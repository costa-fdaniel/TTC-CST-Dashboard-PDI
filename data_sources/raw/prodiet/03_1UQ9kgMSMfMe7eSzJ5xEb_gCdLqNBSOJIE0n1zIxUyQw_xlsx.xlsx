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Projetos" sheetId="2" r:id="rId6"/>
    <sheet state="visible" name="Timesheet" sheetId="3" r:id="rId7"/>
    <sheet state="visible" name="Cópia de Timesheet" sheetId="4" r:id="rId8"/>
    <sheet state="visible" name="Pessoal" sheetId="5" r:id="rId9"/>
    <sheet state="visible" name="#Form" sheetId="6" r:id="rId10"/>
    <sheet state="visible" name="Classificação p pessoal" sheetId="7" r:id="rId11"/>
    <sheet state="visible" name="Investimentos" sheetId="8" r:id="rId12"/>
    <sheet state="visible" name="Página18" sheetId="9" r:id="rId13"/>
    <sheet state="hidden" name="PrjAdd" sheetId="10" r:id="rId14"/>
  </sheets>
  <definedNames>
    <definedName hidden="1" localSheetId="1" name="_xlnm._FilterDatabase">Projetos!$A$5:$L$55</definedName>
    <definedName hidden="1" localSheetId="2" name="_xlnm._FilterDatabase">Timesheet!$A$6:$O$4641</definedName>
    <definedName hidden="1" localSheetId="3" name="_xlnm._FilterDatabase">'Cópia de Timesheet'!$A$6:$O$4641</definedName>
    <definedName hidden="1" localSheetId="5" name="_xlnm._FilterDatabase">'#Form'!$B$5:$J$33</definedName>
    <definedName hidden="1" localSheetId="7" name="_xlnm._FilterDatabase">Investimentos!$A$5:$V$137</definedName>
    <definedName hidden="1" localSheetId="7" name="Z_4D7FC94B_7382_46AE_98F4_F866EE4EC7F6_.wvu.FilterData">Investimentos!$A$5:$U$137</definedName>
    <definedName hidden="1" localSheetId="2" name="Z_FB697474_A6FB_4E1A_ADFE_7AF7D371867C_.wvu.FilterData">Timesheet!$A$2:$O$4626</definedName>
    <definedName hidden="1" localSheetId="3" name="Z_FB697474_A6FB_4E1A_ADFE_7AF7D371867C_.wvu.FilterData">'Cópia de Timesheet'!$A$2:$O$4626</definedName>
    <definedName hidden="1" localSheetId="7" name="Z_FB697474_A6FB_4E1A_ADFE_7AF7D371867C_.wvu.FilterData">Investimentos!$A$2:$U$106</definedName>
  </definedNames>
  <calcPr/>
  <customWorkbookViews>
    <customWorkbookView activeSheetId="0" maximized="1" windowHeight="0" windowWidth="0" guid="{FB697474-A6FB-4E1A-ADFE-7AF7D371867C}" name="Filtro 1"/>
    <customWorkbookView activeSheetId="0" maximized="1" windowHeight="0" windowWidth="0" guid="{4D7FC94B-7382-46AE-98F4-F866EE4EC7F6}" name="Filtro 2"/>
  </customWorkbookViews>
</workbook>
</file>

<file path=xl/sharedStrings.xml><?xml version="1.0" encoding="utf-8"?>
<sst xmlns="http://schemas.openxmlformats.org/spreadsheetml/2006/main" count="31568" uniqueCount="3965">
  <si>
    <t>Resumo dos investimentos</t>
  </si>
  <si>
    <t>BENEFÍCIO FISCAL DE PD&amp;I 2021</t>
  </si>
  <si>
    <t>2019-088 PRODIET</t>
  </si>
  <si>
    <t>PRODIET NUTRIÇÃO CLINICA LTDA</t>
  </si>
  <si>
    <t>CNPJ 08.183.359/0001-53</t>
  </si>
  <si>
    <t>Rua General Potiguara, 1428, Lotes 20 e 21, Novo Mundo - PR - SUL - CURITIBA - CEP 81.050-500 - fone: (41) 3342-2825</t>
  </si>
  <si>
    <t>Natureza</t>
  </si>
  <si>
    <t>Totalizadores</t>
  </si>
  <si>
    <t>( i ) Origem dos dados</t>
  </si>
  <si>
    <t>Material</t>
  </si>
  <si>
    <r>
      <rPr>
        <rFont val="Cairo"/>
        <i/>
        <color rgb="FF496C60"/>
        <sz val="10.0"/>
      </rPr>
      <t xml:space="preserve">(a1) Material consumido - </t>
    </r>
    <r>
      <rPr>
        <rFont val="Cairo"/>
        <i/>
        <color rgb="FF496C60"/>
        <sz val="10.0"/>
        <u/>
      </rPr>
      <t>planilha Investimentos</t>
    </r>
  </si>
  <si>
    <t>Terceiros</t>
  </si>
  <si>
    <r>
      <rPr>
        <rFont val="Cairo"/>
        <i/>
        <color rgb="FF496C60"/>
        <sz val="10.0"/>
      </rPr>
      <t xml:space="preserve">(a2) Serviços contratados - </t>
    </r>
    <r>
      <rPr>
        <rFont val="Cairo"/>
        <i/>
        <color rgb="FF496C60"/>
        <sz val="10.0"/>
        <u/>
      </rPr>
      <t>planilha Investimentos</t>
    </r>
  </si>
  <si>
    <r>
      <rPr>
        <rFont val="Cairo"/>
        <color rgb="FF000000"/>
        <sz val="10.0"/>
      </rPr>
      <t>RH (</t>
    </r>
    <r>
      <rPr>
        <rFont val="Cairo"/>
        <i/>
        <color rgb="FF000000"/>
        <sz val="10.0"/>
      </rPr>
      <t>Parcial inovação</t>
    </r>
    <r>
      <rPr>
        <rFont val="Cairo"/>
        <color rgb="FF000000"/>
        <sz val="10.0"/>
      </rPr>
      <t>)</t>
    </r>
  </si>
  <si>
    <r>
      <rPr>
        <rFont val="Cairo"/>
        <i/>
        <color rgb="FF496C60"/>
        <sz val="10.0"/>
      </rPr>
      <t xml:space="preserve">(b) Dispêndio com funcionários de dedicação parcial - </t>
    </r>
    <r>
      <rPr>
        <rFont val="Cairo"/>
        <i/>
        <color rgb="FF496C60"/>
        <sz val="10.0"/>
        <u/>
      </rPr>
      <t>planilha Timesheet</t>
    </r>
  </si>
  <si>
    <r>
      <rPr>
        <rFont val="Cairo"/>
        <color rgb="FF000000"/>
        <sz val="10.0"/>
      </rPr>
      <t>RH (</t>
    </r>
    <r>
      <rPr>
        <rFont val="Cairo"/>
        <i/>
        <color rgb="FF000000"/>
        <sz val="10.0"/>
      </rPr>
      <t>Exclusivo inovação</t>
    </r>
    <r>
      <rPr>
        <rFont val="Cairo"/>
        <color rgb="FF000000"/>
        <sz val="10.0"/>
      </rPr>
      <t>)</t>
    </r>
  </si>
  <si>
    <r>
      <rPr>
        <rFont val="Cairo"/>
        <i/>
        <color rgb="FF496C60"/>
        <sz val="10.0"/>
      </rPr>
      <t xml:space="preserve">(c) Custo total dos funcionários com dedicação exclusiva - </t>
    </r>
    <r>
      <rPr>
        <rFont val="Cairo"/>
        <i/>
        <color rgb="FF496C60"/>
        <sz val="10.0"/>
        <u/>
      </rPr>
      <t>planilha Salários</t>
    </r>
  </si>
  <si>
    <t>Total 1</t>
  </si>
  <si>
    <t>Percentual Exclusão</t>
  </si>
  <si>
    <t>60%</t>
  </si>
  <si>
    <t>+10%</t>
  </si>
  <si>
    <t>+20%</t>
  </si>
  <si>
    <t>Exclusão da Base de cálculo do IRPJ e CSLL</t>
  </si>
  <si>
    <t>Benefício padrão</t>
  </si>
  <si>
    <t>Incremento &lt;5% de pesquisadores exclusivos</t>
  </si>
  <si>
    <t>Incremento &gt;5% de pesquisadores exclusivos</t>
  </si>
  <si>
    <t>Dispendios com registro de patente</t>
  </si>
  <si>
    <r>
      <rPr>
        <rFont val="Cairo"/>
        <color rgb="FF000000"/>
        <sz val="10.0"/>
      </rPr>
      <t>Patente (</t>
    </r>
    <r>
      <rPr>
        <rFont val="Cairo"/>
        <color rgb="FF1155CC"/>
        <sz val="10.0"/>
        <u/>
      </rPr>
      <t>Gastos "InstanTH Neo"</t>
    </r>
    <r>
      <rPr>
        <rFont val="Cairo"/>
        <color rgb="FF000000"/>
        <sz val="10.0"/>
      </rPr>
      <t>)</t>
    </r>
  </si>
  <si>
    <t>Total exclusão</t>
  </si>
  <si>
    <r>
      <rPr>
        <rFont val="Cairo"/>
        <b/>
        <color rgb="FFFFFFFF"/>
        <sz val="10.0"/>
      </rPr>
      <t>Economia Estimada [</t>
    </r>
    <r>
      <rPr>
        <rFont val="Cairo"/>
        <b/>
        <color rgb="FFFFFFFF"/>
        <sz val="10.0"/>
      </rPr>
      <t>34%</t>
    </r>
    <r>
      <rPr>
        <rFont val="Cairo"/>
        <b/>
        <color rgb="FFFFFFFF"/>
        <sz val="10.0"/>
      </rPr>
      <t>]</t>
    </r>
  </si>
  <si>
    <t>Comissão McBenner</t>
  </si>
  <si>
    <t>Observações:</t>
  </si>
  <si>
    <t>1. Os dispêndios devem ser registrados na contabilidade em conta específica</t>
  </si>
  <si>
    <t>2. O benefício deve ser aproveitado na ECF do respectivo ano/competência</t>
  </si>
  <si>
    <t>3. O formulário do MCTIC (governo) deve ser enviado até fim de setembro/2021</t>
  </si>
  <si>
    <t>4. Os projetos estão descritos em arquivo a parte a ser anexado no FORM PD&amp;I</t>
  </si>
  <si>
    <t>5. Alguns benefícios previstos na Lei do Bem não foram utilizados:</t>
  </si>
  <si>
    <t>--- 5.1. Depreciação acelerada</t>
  </si>
  <si>
    <t>--- 5.2. Redução de IPI na aquisição de equipamento para PD&amp;I</t>
  </si>
  <si>
    <t>Equipe de PD&amp;I</t>
  </si>
  <si>
    <t>Quadro de resumo</t>
  </si>
  <si>
    <t>Dedicação Parcial</t>
  </si>
  <si>
    <t>Dedicação Exclusiva</t>
  </si>
  <si>
    <t>Qtd</t>
  </si>
  <si>
    <t>Valor gasto</t>
  </si>
  <si>
    <t>Horas</t>
  </si>
  <si>
    <t>Técnico</t>
  </si>
  <si>
    <t>Tecnologo</t>
  </si>
  <si>
    <t>Superior Completo</t>
  </si>
  <si>
    <t>Pós graduado</t>
  </si>
  <si>
    <t>Mestrado</t>
  </si>
  <si>
    <t>Doutorado</t>
  </si>
  <si>
    <t>Valores por projeto de PD&amp;I</t>
  </si>
  <si>
    <t>Projetos</t>
  </si>
  <si>
    <t>Identificação</t>
  </si>
  <si>
    <t>Vlr materiais</t>
  </si>
  <si>
    <t>Vlr terceiros</t>
  </si>
  <si>
    <t>Vlr Rh parcial</t>
  </si>
  <si>
    <t>Vlr exclusivos</t>
  </si>
  <si>
    <t>Novos Produtos</t>
  </si>
  <si>
    <t>NP</t>
  </si>
  <si>
    <t>Novas Matérias-primas</t>
  </si>
  <si>
    <t>Nmp</t>
  </si>
  <si>
    <t>Melhoria de Produto</t>
  </si>
  <si>
    <t>Mprod</t>
  </si>
  <si>
    <t>Melhoria de Processos</t>
  </si>
  <si>
    <t>Mproc</t>
  </si>
  <si>
    <t>Segurança Alimentar</t>
  </si>
  <si>
    <t>SgAlim</t>
  </si>
  <si>
    <t>Subtotais</t>
  </si>
  <si>
    <t>Projeto</t>
  </si>
  <si>
    <t>Agrupamento</t>
  </si>
  <si>
    <t>Categoria do projeto</t>
  </si>
  <si>
    <t>Elemento tecnologicamente novo ou inovador</t>
  </si>
  <si>
    <t>Barreira ou desafio tecnológico a superar</t>
  </si>
  <si>
    <t>Metodologia empregada</t>
  </si>
  <si>
    <t>Data início</t>
  </si>
  <si>
    <t>Data de término (estimada)</t>
  </si>
  <si>
    <t>Descrição</t>
  </si>
  <si>
    <t>Attachments</t>
  </si>
  <si>
    <t>Timesheet</t>
  </si>
  <si>
    <t>Lei do Bem</t>
  </si>
  <si>
    <t/>
  </si>
  <si>
    <t>CarboCH</t>
  </si>
  <si>
    <t>Centro de Inovação / Novos laboratórios</t>
  </si>
  <si>
    <t>Cicatrização</t>
  </si>
  <si>
    <t>Congresso ESPEN</t>
  </si>
  <si>
    <t>Congresso Ganepão</t>
  </si>
  <si>
    <t>Diamax IG</t>
  </si>
  <si>
    <t>Diamax pó</t>
  </si>
  <si>
    <t>Novo</t>
  </si>
  <si>
    <t>Dieta artesanal</t>
  </si>
  <si>
    <t>EE - 2020</t>
  </si>
  <si>
    <t>Energyzip 1.0</t>
  </si>
  <si>
    <t>Energyzip baunilha</t>
  </si>
  <si>
    <t>Energyzip Chocolate</t>
  </si>
  <si>
    <t>Energyzip Fiber</t>
  </si>
  <si>
    <t>Energyzip morango</t>
  </si>
  <si>
    <t>Energyzip pó</t>
  </si>
  <si>
    <t>EnergyZIP Protein</t>
  </si>
  <si>
    <t>Energyzip Sênior</t>
  </si>
  <si>
    <t>Estabilidade misturas secas</t>
  </si>
  <si>
    <t>HDmax - pesquisa</t>
  </si>
  <si>
    <t>HDmax 1.5</t>
  </si>
  <si>
    <t>HDmax 2.0</t>
  </si>
  <si>
    <t>Immax - etapa final da Pesquisa Clínica</t>
  </si>
  <si>
    <t>Inovação industrial - misturas secas</t>
  </si>
  <si>
    <t>InstanTH CLEAR (espessante)</t>
  </si>
  <si>
    <t>InstanTH Neo</t>
  </si>
  <si>
    <t>Jumbo UHT</t>
  </si>
  <si>
    <t>Licenciamento</t>
  </si>
  <si>
    <t>Linha Soya pó</t>
  </si>
  <si>
    <t>Marca própria - Enterfiber Prebiotic</t>
  </si>
  <si>
    <t>Novos produtos Turquia</t>
  </si>
  <si>
    <t>Pasta de Amendoim - RUTF</t>
  </si>
  <si>
    <t>Peptimax - pesquisa</t>
  </si>
  <si>
    <t>ProteinPT</t>
  </si>
  <si>
    <t>Retort (Sistema Fechado)</t>
  </si>
  <si>
    <t>Sachê</t>
  </si>
  <si>
    <t>Sarcopenia</t>
  </si>
  <si>
    <t>Software P&amp;D</t>
  </si>
  <si>
    <t>Suplemento hiperproteico líquido</t>
  </si>
  <si>
    <t>Trophic 1.5 250mL - Edge</t>
  </si>
  <si>
    <t>Trophic Basic Enteral</t>
  </si>
  <si>
    <t>Trophic Basic pó</t>
  </si>
  <si>
    <t>Trophic Dose Única</t>
  </si>
  <si>
    <t>Trophic Dose Única 250mL - Edge</t>
  </si>
  <si>
    <t>Trophic Junior Líquido 1.0 (ARB)</t>
  </si>
  <si>
    <t>Trophic Junior Líquido 1.0 e 1.5 (ARB)</t>
  </si>
  <si>
    <t>Trophic Junior Powder (China)</t>
  </si>
  <si>
    <t>Trophic Soya 1.5 Fiber</t>
  </si>
  <si>
    <t>Trophic Soya pó</t>
  </si>
  <si>
    <t>Vulcano (pote jumbo e Sachês a vácuo)</t>
  </si>
  <si>
    <t>Parcial</t>
  </si>
  <si>
    <t>Exclusivo</t>
  </si>
  <si>
    <t>TOTAL</t>
  </si>
  <si>
    <t>Cod</t>
  </si>
  <si>
    <t>Pessoa</t>
  </si>
  <si>
    <t>Start</t>
  </si>
  <si>
    <t>End</t>
  </si>
  <si>
    <t>Tempo aplicado</t>
  </si>
  <si>
    <t>Data</t>
  </si>
  <si>
    <t>Atividade incentivada</t>
  </si>
  <si>
    <t>Valor (R$)</t>
  </si>
  <si>
    <t>Custo</t>
  </si>
  <si>
    <t>checkprojetos</t>
  </si>
  <si>
    <t>Ana Claudia Zanini</t>
  </si>
  <si>
    <t>Pesquisa basica para Produção de material cientifico</t>
  </si>
  <si>
    <t>Pesquisa e desenvolvimento de nova fórmula</t>
  </si>
  <si>
    <t>Desenvolvimento de comunicação da fórmula do produto</t>
  </si>
  <si>
    <t>Não entra</t>
  </si>
  <si>
    <t>Desenvolvimento de novo produto - análise inicial de composição</t>
  </si>
  <si>
    <t>Bemmax sabor neutro</t>
  </si>
  <si>
    <t>Análise de composição de novo produto</t>
  </si>
  <si>
    <t>Pesquisa basica para incorporação de fórmula</t>
  </si>
  <si>
    <t>Produção de material cientifico</t>
  </si>
  <si>
    <t>Desenvolvimento de equipo SAMTRONIC - Teste</t>
  </si>
  <si>
    <t>Pesquisa Básica pós Congresso Ganepão (projeto novos produtos e novas pesquisas)</t>
  </si>
  <si>
    <t>Pesquisa basica para licenciamento de nova fórmula</t>
  </si>
  <si>
    <t>Desenvolvimento de novo produto</t>
  </si>
  <si>
    <t>Pesquisa Básica pós Congresso ESPEN(projeto novos produtos e novas pesquisas)</t>
  </si>
  <si>
    <t>Pesquisa basica para elaboração de material cientifico</t>
  </si>
  <si>
    <t>Desenvolvimento de protocolo de pesquisa com o produto</t>
  </si>
  <si>
    <t>Participação em Evento cientifico</t>
  </si>
  <si>
    <t>Pesquisa basica e escrita de artigo cientifico</t>
  </si>
  <si>
    <t>Pesquisa basica para elaboração de protocolo de pesquisa clinica</t>
  </si>
  <si>
    <t>Pesquisa basica para escrita de artigo cientifico</t>
  </si>
  <si>
    <t>Pesquisa basica para Produção de respaldo cientifico</t>
  </si>
  <si>
    <t>Arianna Schreiber</t>
  </si>
  <si>
    <t>Estratégias de comunicação do produto</t>
  </si>
  <si>
    <t>Desenvolvimento material técnico</t>
  </si>
  <si>
    <t>Desenvolvimento de material científico</t>
  </si>
  <si>
    <t>Revisão embalagem</t>
  </si>
  <si>
    <t>Planejamento de lançamento</t>
  </si>
  <si>
    <t>Planejamento de comunicação Evento</t>
  </si>
  <si>
    <t>Revisão de projeto</t>
  </si>
  <si>
    <t>Orçamentos</t>
  </si>
  <si>
    <t>Camila Mendes Pereira</t>
  </si>
  <si>
    <t>Abertura protocolo análises de acompanhamento T. Basic e Fiber</t>
  </si>
  <si>
    <t>Alinhamento 2021-2022 área técnica</t>
  </si>
  <si>
    <t>Alinhamento ações pós deferimento Trophic Standard</t>
  </si>
  <si>
    <t>Alinhamento Alteração quantidade base</t>
  </si>
  <si>
    <t>Alinhamento amostras/análises EE T12</t>
  </si>
  <si>
    <t>Alinhamento análise de T0 de bancada</t>
  </si>
  <si>
    <t>Alinhamento análises microbiológicas Sachês para amostra PC</t>
  </si>
  <si>
    <t>Alinhamento aroma com fornecedor</t>
  </si>
  <si>
    <t>Alinhamento atividade da semana</t>
  </si>
  <si>
    <t>Não enviar</t>
  </si>
  <si>
    <t>Alinhamento atividades</t>
  </si>
  <si>
    <t>Alinhamento atividades P&amp;D</t>
  </si>
  <si>
    <t>Alinhamento atualização cronograma PC</t>
  </si>
  <si>
    <t>Alinhamento carboidratos em MF</t>
  </si>
  <si>
    <t>Alinhamento CIF</t>
  </si>
  <si>
    <t>Alinhamento com fornecedor sobre especificação técnica latas recravadas 127x143</t>
  </si>
  <si>
    <t>Alinhamento conferência de mixes e sobredosagem em MF</t>
  </si>
  <si>
    <t>Alinhamento contrato de premix com fornecedor</t>
  </si>
  <si>
    <t>Alinhamento criação de códigos Protheus</t>
  </si>
  <si>
    <t>Alinhamento criação de códigos Protheus com setores afetados</t>
  </si>
  <si>
    <t>Alinhamento cumprimento de exigência Immax com resultados de T12</t>
  </si>
  <si>
    <t>Alinhamento de atividades</t>
  </si>
  <si>
    <t>Alinhamento de dúvidas rotulagem</t>
  </si>
  <si>
    <t>Alinhamento desenvolvimentos área técnica primeiro semestre</t>
  </si>
  <si>
    <t>Alinhamento EE</t>
  </si>
  <si>
    <t>Alinhamento equipe estabilidade Peptimax</t>
  </si>
  <si>
    <t>Alinhamento especificação técnica</t>
  </si>
  <si>
    <t>Alinhamento forecast pesquisa clínica Instanth NEO</t>
  </si>
  <si>
    <t>Alinhamento fornecedor de aromas IFF</t>
  </si>
  <si>
    <t>Alinhamento líderes de projeto</t>
  </si>
  <si>
    <t>Instrução de Fabricação Prodiet</t>
  </si>
  <si>
    <t>Atualização IF</t>
  </si>
  <si>
    <t>Atualização planilha de controle de análises</t>
  </si>
  <si>
    <t>Conferência análises realizadas</t>
  </si>
  <si>
    <t>Compilados laudos de análise T9</t>
  </si>
  <si>
    <t>Avaliação análise fósforo leites</t>
  </si>
  <si>
    <t>Densidade Enterfiber Prebiotic</t>
  </si>
  <si>
    <t>Análise sensorial T3 Sonoco e Brasilata com N2</t>
  </si>
  <si>
    <t>Avaliação análise concorrente</t>
  </si>
  <si>
    <t>Envio filme Sachê análise de TPVA e TPO</t>
  </si>
  <si>
    <t>Primeira Produção Prodiet</t>
  </si>
  <si>
    <t>Análise sensorial Canola com antioxidante</t>
  </si>
  <si>
    <t>Envio para análise validação mistura 20 minutos</t>
  </si>
  <si>
    <t>Avaliação resultado perfil lipídico Immax T6A</t>
  </si>
  <si>
    <t>Atualização relatório canola com antioxidante</t>
  </si>
  <si>
    <t>Conferência NF análises realizadas</t>
  </si>
  <si>
    <t>Acompanhamento Produção Prodiet</t>
  </si>
  <si>
    <t>Avaliação mix de vitaminas e minerais</t>
  </si>
  <si>
    <t>POP estudo de estabilidade</t>
  </si>
  <si>
    <t>POP envio de amostras</t>
  </si>
  <si>
    <t>Acompanhamento Produção Trophic Basic mistura 20 minutos</t>
  </si>
  <si>
    <t>Atualização controle de mudança</t>
  </si>
  <si>
    <t>Avaliação colher medida cabo longo</t>
  </si>
  <si>
    <t>Alinhamento Teste Sachê</t>
  </si>
  <si>
    <t>Discussão técnica estudo de estabilidade</t>
  </si>
  <si>
    <t>Treinamento Solicitação de NF</t>
  </si>
  <si>
    <t>Solicitação de análise Tophic EP T12</t>
  </si>
  <si>
    <t>Discussão POP</t>
  </si>
  <si>
    <t>Envio amostra óleo com antioxidante para Luciana</t>
  </si>
  <si>
    <t>Criação da estrutura</t>
  </si>
  <si>
    <t>Alinhamento MPs</t>
  </si>
  <si>
    <t>Avaliação FT versão 2</t>
  </si>
  <si>
    <t>Conferência quantidade amostras latas para Teste Peptimax e Sênior</t>
  </si>
  <si>
    <t>Discussão Teste pesquisa clínica</t>
  </si>
  <si>
    <t>Solicitação de análise e envio validação mistura 20 minutos Trophic Basic</t>
  </si>
  <si>
    <t>Envio de amostra para validação mistura Prodiet</t>
  </si>
  <si>
    <t>Análise de pH</t>
  </si>
  <si>
    <t>Acompanhamento primeira Produção Carboch Sachê</t>
  </si>
  <si>
    <t>Alinhamento MPs com Compras e Qualidade</t>
  </si>
  <si>
    <t>Contato laboratório análise fosfatidilserina</t>
  </si>
  <si>
    <t>Solicitação análise macronutrientes E.chocolate T12LD</t>
  </si>
  <si>
    <t>Solicitação de análise E. chocolate e morango T12</t>
  </si>
  <si>
    <t>Avaliação FT leites e atualização MF</t>
  </si>
  <si>
    <t>Contato laboratório externo análise PS</t>
  </si>
  <si>
    <t>Avaliação orçamento análises</t>
  </si>
  <si>
    <t>Conferência NF envio de amostras para análise</t>
  </si>
  <si>
    <t>Análise sensorial aplicação do óleo com antioxidante</t>
  </si>
  <si>
    <t>Atualização MF e custo PA</t>
  </si>
  <si>
    <t>Densidade e colher medida placebo</t>
  </si>
  <si>
    <t>Administração Trophic Fiber T0 - Teste de acompanhamento</t>
  </si>
  <si>
    <t>Apresentação planilha complience Juliana</t>
  </si>
  <si>
    <t>Ajuste MF</t>
  </si>
  <si>
    <t>Envio placebo para Luciana Dutra</t>
  </si>
  <si>
    <t>Solicitação e envio para análise de T12</t>
  </si>
  <si>
    <t>Retirada amostras de T6 estufa</t>
  </si>
  <si>
    <t>Apresentação softweere</t>
  </si>
  <si>
    <t>Avaliação FT latas</t>
  </si>
  <si>
    <t>Envio Spectral Service para análise de PF T12</t>
  </si>
  <si>
    <t>Solicitação de análise e envio para análise lata recravada T6</t>
  </si>
  <si>
    <t>Pesagem caixas display e expedição</t>
  </si>
  <si>
    <t>Cadastro laboratório como fornecedor</t>
  </si>
  <si>
    <t>Contato laboratório para análise microbiológica T12</t>
  </si>
  <si>
    <t>Atualização cronograma</t>
  </si>
  <si>
    <t>Alinhamento área técnica e marketing</t>
  </si>
  <si>
    <t>Preparação amostra placebo para pesquisador</t>
  </si>
  <si>
    <t>Solicitação análise microbiológica placebo</t>
  </si>
  <si>
    <t>Avaliação e Solicitação Teste TPVA e TPO lata multifoliada</t>
  </si>
  <si>
    <t>Avaliação quantidade de latas recravadas para Testes</t>
  </si>
  <si>
    <t>Compilação resultados homogeneização mistura 20 minutos</t>
  </si>
  <si>
    <t>Elaboração especificação Prodiet leite sem lactose</t>
  </si>
  <si>
    <t>Relatório Teste de bancada TCM alibra</t>
  </si>
  <si>
    <t>Colher medida Trophic Basic com Xanthan BEV</t>
  </si>
  <si>
    <t>Contato laboratório para análise microbiológica em T12</t>
  </si>
  <si>
    <t>Avaliação FT óleo de canola 70BH</t>
  </si>
  <si>
    <t>Solicitação microbiológica placebo</t>
  </si>
  <si>
    <t>Alinhamento regulatório P&amp;D</t>
  </si>
  <si>
    <t>Cronograma Teste Peptimax Protesa</t>
  </si>
  <si>
    <t>Inscrição Evento Horizonte 21</t>
  </si>
  <si>
    <t>Evento Horizonte 21</t>
  </si>
  <si>
    <t>Cadastro pesquisador</t>
  </si>
  <si>
    <t>Orientações Teste Protesa</t>
  </si>
  <si>
    <t>Alinhamento novas MPs com setor de Compras</t>
  </si>
  <si>
    <t>Envio de placebo Ana Paula</t>
  </si>
  <si>
    <t>Conferência materiais para Teste Peptimax</t>
  </si>
  <si>
    <t>Conferência NF análises realizadas Immax recravado T6</t>
  </si>
  <si>
    <t>Mistura Peptimax Teste Protesa</t>
  </si>
  <si>
    <t>Separação de materiais e envio Teste Peptimax Protesa</t>
  </si>
  <si>
    <t>Envio para análise de fosfatidilserina em T12</t>
  </si>
  <si>
    <t>Conferência NF análises realizadas reduçao de mistura</t>
  </si>
  <si>
    <t>Conferência FT lata recravada</t>
  </si>
  <si>
    <t>Apresentação equipamento Produção</t>
  </si>
  <si>
    <t>Envio de amostras Cargill para análise sensorial</t>
  </si>
  <si>
    <t>Envio de amostra Immax análise T6A</t>
  </si>
  <si>
    <t>Abertura do EEALD ProteinPT Whey</t>
  </si>
  <si>
    <t>Avaliação mistura Teste Protesa</t>
  </si>
  <si>
    <t>Retirar da estufa T6A e T6LD (recravada com N2 e Sonoco)</t>
  </si>
  <si>
    <t>Diluição formulação com Xantana</t>
  </si>
  <si>
    <t>Orientações amostras EE PA líquido</t>
  </si>
  <si>
    <t>Solicitação de código VPC</t>
  </si>
  <si>
    <t>Solicitação análise microbiológica Peptimax</t>
  </si>
  <si>
    <t>Peso colher de sopa</t>
  </si>
  <si>
    <t>Teste em suplementos</t>
  </si>
  <si>
    <t>Alinhamento regulatório</t>
  </si>
  <si>
    <t>Alinhamento Testes latas recravadas Prodiet</t>
  </si>
  <si>
    <t>Conferência NF análises realizadas T12 microbiologia</t>
  </si>
  <si>
    <t>Solicitação e envio de amostras para análise de T6</t>
  </si>
  <si>
    <t>Análise de O2 (recrava com N2 e Sonoco)</t>
  </si>
  <si>
    <t>Solicitação de análise Peptimax T0</t>
  </si>
  <si>
    <t>Envio para análise de T0 Peptimax</t>
  </si>
  <si>
    <t>Conferência NF análise de PL T12</t>
  </si>
  <si>
    <t>Contato fornecedor de absorvedor de O2</t>
  </si>
  <si>
    <t>Envio análise de aminoácidos Peptimax</t>
  </si>
  <si>
    <t>Verificação viscosidade</t>
  </si>
  <si>
    <t>Alinhamento P&amp;D com cromograma S&amp;OP</t>
  </si>
  <si>
    <t>Metodologias de análise consistências</t>
  </si>
  <si>
    <t>Conferência NF análise de PL validação mistura Produção Prodiet</t>
  </si>
  <si>
    <t>Atualização atividades bimestrais</t>
  </si>
  <si>
    <t>Teste atingimento consistências em suplemento</t>
  </si>
  <si>
    <t>Relatório redução tempo de mistura</t>
  </si>
  <si>
    <t>Conferência NF análise de PL Immax T6</t>
  </si>
  <si>
    <t>Cronograma Teste Immax Protesa</t>
  </si>
  <si>
    <t>Conferência quantidade de amostras para EE Trophic Fiber pó</t>
  </si>
  <si>
    <t>Alinhamento P&amp;D primeira Produção</t>
  </si>
  <si>
    <t>Teste de envase com desumidificador</t>
  </si>
  <si>
    <t>Produção e separação de materias Teste Immax Protesa</t>
  </si>
  <si>
    <t>Envio para análise validação Teste com WPI Sooro</t>
  </si>
  <si>
    <t>Solicitação de amostra para EE Trophic Fiber 800g</t>
  </si>
  <si>
    <t>Atualização cronograma Enterfiber Prebiotic</t>
  </si>
  <si>
    <t>Envio para análise de sódio e concorrentes</t>
  </si>
  <si>
    <t>Envio para análise Teste mistura binzinho 15 e 20 minutos</t>
  </si>
  <si>
    <t>Alinhamento PC</t>
  </si>
  <si>
    <t>Atualização de cadastros para estrutura</t>
  </si>
  <si>
    <t>Controle de mudança</t>
  </si>
  <si>
    <t>Solicitação Avaliação estoque MPs para Teste Pesquisa Clínica</t>
  </si>
  <si>
    <t>Teste de envase gravitacional em lata</t>
  </si>
  <si>
    <t>Envio para análise de T0 Trophic Fiber 800g, Trophic EP e Soya</t>
  </si>
  <si>
    <t>Colher medida - Teste WPI Sooro</t>
  </si>
  <si>
    <t>Preparação amostra fornecedor absorvedor</t>
  </si>
  <si>
    <t>Apresentação ASPEN</t>
  </si>
  <si>
    <t>Solicitação Teste validação maquinário Protesa</t>
  </si>
  <si>
    <t>Alinhamento Pesquisa Clínica</t>
  </si>
  <si>
    <t>Solicitação de cadastros</t>
  </si>
  <si>
    <t>Solicitação análise microbiológica Immax Teste Protesa</t>
  </si>
  <si>
    <t>Envio para análise de aminograma e lactose Fiber 800g, Trophic EP e Soya</t>
  </si>
  <si>
    <t>Alinhamento pesquisa clínica</t>
  </si>
  <si>
    <t>Produção bancada para análise de T0</t>
  </si>
  <si>
    <t>Envio para análise de T0-IN</t>
  </si>
  <si>
    <t>Envase em bancada</t>
  </si>
  <si>
    <t>Envio 5kg para Teste maquinário Protesa</t>
  </si>
  <si>
    <t>Discussão enquadramento técnico</t>
  </si>
  <si>
    <t>Alinhamento pH premix com o fornecedor</t>
  </si>
  <si>
    <t>Conferência pesagens Teste Embrapa</t>
  </si>
  <si>
    <t>Conferência pesagens Teste Tetra Pak Junio 1.0 e 1.5</t>
  </si>
  <si>
    <t>Pesagem óleos Teste Tetra Pak</t>
  </si>
  <si>
    <t>Pesagem óleos Teste Embrapa</t>
  </si>
  <si>
    <t>Conferência pesagens Teste Tetra Pak</t>
  </si>
  <si>
    <t>Alinhamento PIS</t>
  </si>
  <si>
    <t>Alinhamento Testes de consistência</t>
  </si>
  <si>
    <t>Comitê MKT+AR+P&amp;D - Alinhamento lançamento</t>
  </si>
  <si>
    <t>Publicação especificação leite sem lactose</t>
  </si>
  <si>
    <t>Elaboração especificação Xanthan BEV HD</t>
  </si>
  <si>
    <t>Retirada da estufa Bemmax T12LD</t>
  </si>
  <si>
    <t>Envio para análise de Bemmax T12LD</t>
  </si>
  <si>
    <t>Envio para análise de T0</t>
  </si>
  <si>
    <t>Densidade leite sem lactose CCGL</t>
  </si>
  <si>
    <t>Relatório WPI Sooro</t>
  </si>
  <si>
    <t>Estrutura Protheus</t>
  </si>
  <si>
    <t>Alinhamento projeto marca própria Enterfiber Prebiotic</t>
  </si>
  <si>
    <t>Retirar da esufa Immax T12 ploc off</t>
  </si>
  <si>
    <t>Encaminhar para análise de Immax T12 ploc off</t>
  </si>
  <si>
    <t>Análise FQ Immax T6A e LD com e sem absorvedor</t>
  </si>
  <si>
    <t>Análise FQ Immax T6A e LD recravada com N2 e Sonoco</t>
  </si>
  <si>
    <t>Relatório Testes de consistência</t>
  </si>
  <si>
    <t>Apresentação IFF sobre mercado</t>
  </si>
  <si>
    <t>Apresentação análise sensorial Cargill Immax lata recravada</t>
  </si>
  <si>
    <t>Alinhamento MKT e Produção lançamentos 2021</t>
  </si>
  <si>
    <t>Relatório Placebo</t>
  </si>
  <si>
    <t>Alinhamento Protesa PC</t>
  </si>
  <si>
    <t>Atualização de cadastro</t>
  </si>
  <si>
    <t>Alinhamento protocolo estudo de estabilidade</t>
  </si>
  <si>
    <t>Solicitação análise microbiológica amostra para pesquisador</t>
  </si>
  <si>
    <t>Envio para análise de T18 Enterfiber</t>
  </si>
  <si>
    <t>Envio para análise microbiológica Immax T12 ploc off</t>
  </si>
  <si>
    <t>Envio para análise microbiológica Bemmax T12</t>
  </si>
  <si>
    <t>Preparo de amostra placebo Instanth NEO para envio pesquisador e análise microbiológica</t>
  </si>
  <si>
    <t>Busca por fornecedores de MP</t>
  </si>
  <si>
    <t>Pesquisa por material Line Spread Test</t>
  </si>
  <si>
    <t>ReTeste Instanth Clear em suplemento</t>
  </si>
  <si>
    <t>Envio amostra placeno Instanth NEO para pesquisador</t>
  </si>
  <si>
    <t>Alinhamento sobre Testes piloto P&amp;D</t>
  </si>
  <si>
    <t>Ajuste master file placebo</t>
  </si>
  <si>
    <t>Alinhamento próximos passos Pesquisa Clínica</t>
  </si>
  <si>
    <t>Conferência NF análise de mistura misturador 50L</t>
  </si>
  <si>
    <t>Relatório Avaliação tempo de mistura misturador 50L</t>
  </si>
  <si>
    <t>Avaliação resultados T0</t>
  </si>
  <si>
    <t>Alinhamento quantidade de amostras para EE</t>
  </si>
  <si>
    <t>Análise FQ Peptimax T0</t>
  </si>
  <si>
    <t>Análise FQ Immax T12 ploc off</t>
  </si>
  <si>
    <t>Análise FQ Immax T6A 170820456</t>
  </si>
  <si>
    <t>Teste de envase</t>
  </si>
  <si>
    <t>Especificação de PA</t>
  </si>
  <si>
    <t>Análise sensorial VP - Immax recravada s/ N2</t>
  </si>
  <si>
    <t>Análise sensorial VP - Immax recravada c/ N2</t>
  </si>
  <si>
    <t>Lizianne Shmeil</t>
  </si>
  <si>
    <t>Análise TAP - reclamação Prodiet em Casa</t>
  </si>
  <si>
    <t>Estrutura para PC</t>
  </si>
  <si>
    <t>Estrutura placebo</t>
  </si>
  <si>
    <t>Avaliação FT vegetais em pó</t>
  </si>
  <si>
    <t>Avaliação FT filme Sachê</t>
  </si>
  <si>
    <t>Administração T. Fiber T0</t>
  </si>
  <si>
    <t>Administração T. Basic T0</t>
  </si>
  <si>
    <t>Administração T0 04214561999</t>
  </si>
  <si>
    <t>Administração T0  04214562662</t>
  </si>
  <si>
    <t>Avaliação de consistência</t>
  </si>
  <si>
    <t>Alinhamento responsabilidades/atividades EE</t>
  </si>
  <si>
    <t>Atualização de marca no sistema</t>
  </si>
  <si>
    <t>Apresentação de Briefing</t>
  </si>
  <si>
    <t>Atualização de protocolos de EE com análise FQ</t>
  </si>
  <si>
    <t>Avaliação de custo 400g</t>
  </si>
  <si>
    <t>Retirada de produto concorrente da estufa</t>
  </si>
  <si>
    <t>Envio ProteinPT para análise de T18</t>
  </si>
  <si>
    <t>Confirmação de volume  diluído</t>
  </si>
  <si>
    <t>Relatório Teste de consistência</t>
  </si>
  <si>
    <t>Simulação custo PA para pesquisa clínica</t>
  </si>
  <si>
    <t>Solicitação de código Trophic Basic Enteral</t>
  </si>
  <si>
    <t>Conferência MPs Teste piloto Soya 1.5</t>
  </si>
  <si>
    <t>Treinamento osmômetro</t>
  </si>
  <si>
    <t>Osmolalidade Immax T12 lata ploc off</t>
  </si>
  <si>
    <t>Osmolalidade Trophic Fiber pó T0</t>
  </si>
  <si>
    <t>Osmolalidade Peptimax T0</t>
  </si>
  <si>
    <t>Análise sensorial ProteinPT T18</t>
  </si>
  <si>
    <t>Análise sensorial Carboch T18</t>
  </si>
  <si>
    <t>Análise sensorial Bemmax T12</t>
  </si>
  <si>
    <t>Osmolalidade Immax T0 04214561999</t>
  </si>
  <si>
    <t>Osmolalidade Immax T0 04214562662</t>
  </si>
  <si>
    <t>Osmolalidade Immax T6A 160920456 Sonoco</t>
  </si>
  <si>
    <t>Osmolalidade ImmaxT6A 160920456 Brasilata</t>
  </si>
  <si>
    <t>Osmolalidade Immax T6A 170820456 s/ abs</t>
  </si>
  <si>
    <t>Desenvolvimento de MF</t>
  </si>
  <si>
    <t>Discussão resultados Testes de consistência</t>
  </si>
  <si>
    <t>Teste LST dose 50 e 75% espessante</t>
  </si>
  <si>
    <t>Retirada da estufa T9 multifoliada 160920456</t>
  </si>
  <si>
    <t>Retirada da estufa T9 Brasilata recravada 160920456</t>
  </si>
  <si>
    <t>Atualização relatório Teste consistências</t>
  </si>
  <si>
    <t>Estrutura Trophic Basic Enteral</t>
  </si>
  <si>
    <t>Discussão com setor financeiro custo Trophic Basic Enteral</t>
  </si>
  <si>
    <t>Preparo de amostra em bancada Trophic Basic Enteral</t>
  </si>
  <si>
    <t>Alinhamento retorno férias</t>
  </si>
  <si>
    <t>Solicitação análise microbiologica amostra Trophic Basic Enteral</t>
  </si>
  <si>
    <t>Emissão especificação inglês Xanthan BEV</t>
  </si>
  <si>
    <t>Apresentação Testes</t>
  </si>
  <si>
    <t>Cronograma de mudança Trophic Basic Enteral</t>
  </si>
  <si>
    <t>Elaboração especificação técnica Trophic Basic Enteral para CQ</t>
  </si>
  <si>
    <t>Publicação especificação provisória</t>
  </si>
  <si>
    <t>Revisão ET Immax de acordo com EE</t>
  </si>
  <si>
    <t>Estrutura pesquisa clínica</t>
  </si>
  <si>
    <t>Apresentação portfólio de MPs fornecedor WPI</t>
  </si>
  <si>
    <t>Alinhamento lançamentos com MKT</t>
  </si>
  <si>
    <t>Elaboração especificação Prodiet latas recravadas</t>
  </si>
  <si>
    <t>Márcio Henrique Nogueira</t>
  </si>
  <si>
    <t>Congresso InovaWhey - Desenvolvimentos e inovações para soro em pó</t>
  </si>
  <si>
    <t>Kézia Rithássia Piccoli</t>
  </si>
  <si>
    <t>Continuação Alinhamento próximos passos</t>
  </si>
  <si>
    <t>Continuação Avaliação FT embalagem multifoliada Milano</t>
  </si>
  <si>
    <t>Publicação especificação Trophic Basic Enteral</t>
  </si>
  <si>
    <t>Publicação especificações internas latas recravadas</t>
  </si>
  <si>
    <t>Estudo embalagem metálicas</t>
  </si>
  <si>
    <t>Retirada da estufa Energyzip baunilha T12LD</t>
  </si>
  <si>
    <t>Avaliação sensorial  para validação mistura em homogeneizador 50L</t>
  </si>
  <si>
    <t>Continuação do levantamente de possíveis melhorias e escrita do projeto melhoria de propriedades de hidratação de proteínas (Prodiet - Inovaleite)</t>
  </si>
  <si>
    <t>Avaliação de custo com novo mix</t>
  </si>
  <si>
    <t>Atualização desenvolvimentos primeiro semestre</t>
  </si>
  <si>
    <t>Elaboração especificação sobretampa latas recravadas</t>
  </si>
  <si>
    <t>Discussão com fornecedor sobre MP alternativa</t>
  </si>
  <si>
    <t>Contribuição livro de receitas</t>
  </si>
  <si>
    <t>Alteração de estrutura PA com óleo de canola com antioxidante</t>
  </si>
  <si>
    <t>Apresentação Ganepão 2021</t>
  </si>
  <si>
    <t>Apresentação matriz regulatória</t>
  </si>
  <si>
    <t>Atualização cadastro mix</t>
  </si>
  <si>
    <t>Nova revisão de estrutura Protheus</t>
  </si>
  <si>
    <t>Revisão e publicação especificação lata recravada 127x143</t>
  </si>
  <si>
    <t>Análise de osmolalidade</t>
  </si>
  <si>
    <t>Discussão processo Enteral</t>
  </si>
  <si>
    <t>Desenvolvimento da fórmula em bancada</t>
  </si>
  <si>
    <t>Relatório Avaliação sensorial Infant</t>
  </si>
  <si>
    <t>Avaliação FTs novas MPs</t>
  </si>
  <si>
    <t>Administração</t>
  </si>
  <si>
    <t>Juliana Lamas Roberto</t>
  </si>
  <si>
    <t>Contribuição para guia de estabilidade ABIAD</t>
  </si>
  <si>
    <t>Alinhamento Testes novas MPs e Teste de volume novas embalagens</t>
  </si>
  <si>
    <t>Aplicação em PA PIS Tratho</t>
  </si>
  <si>
    <t>Análise sensorial - redução aroma Duas Rodas e mascarante; ajuste xantana</t>
  </si>
  <si>
    <t>Análise sensorial concorrente Nutro Soy</t>
  </si>
  <si>
    <t>Apresentação área P&amp;D para o CD</t>
  </si>
  <si>
    <t>Atualização estrutura immax nova fórmula e nova embalagem</t>
  </si>
  <si>
    <t>Atualização relatório aplicação em PA PIS Tratho</t>
  </si>
  <si>
    <t>Controle de mudança linha Soya pó</t>
  </si>
  <si>
    <t>Treinamento sensorial fábrica e GQ</t>
  </si>
  <si>
    <t>Alinhamento apresentação novos projetos AGM</t>
  </si>
  <si>
    <t>Aplicação em PA WPI GermanProt lecitina de girassol</t>
  </si>
  <si>
    <t>TB fornecedor Prativita</t>
  </si>
  <si>
    <t>Avaliação sensorial formulação com Caseinato de Cálcio</t>
  </si>
  <si>
    <t>Envio de amostras Immax recravado para análise sensorial Cargill</t>
  </si>
  <si>
    <t>Retirada da estufa e envio para análise Immax 160820456 T12</t>
  </si>
  <si>
    <t>Solicitação de novo cadastro Humalin 52g</t>
  </si>
  <si>
    <t>Avaliação de custo</t>
  </si>
  <si>
    <t>Alinhamento status atividades</t>
  </si>
  <si>
    <t>Elaboração apresentação AGM</t>
  </si>
  <si>
    <t>Relatório aplicação em PA WPI GermanProt lecitina de girassol</t>
  </si>
  <si>
    <t>Atualização ET e MF Energyzip Sênior</t>
  </si>
  <si>
    <t>TB TCM Alibra</t>
  </si>
  <si>
    <t>Controle de mudança redução de xantana em T. Basic Enteral</t>
  </si>
  <si>
    <t>Conversa com fornecedor sobre novos projetos, busca por MPs</t>
  </si>
  <si>
    <t>Busca novos fornecedores de vegetais em pó, novas opções</t>
  </si>
  <si>
    <t>TB com fornecedor Nutrimental e Avaliação sensorial das farinhas de grão de bico, feijão e ervilha</t>
  </si>
  <si>
    <t>Atualização ET</t>
  </si>
  <si>
    <t>COP e Setup para inicio de Produção saches</t>
  </si>
  <si>
    <t>Apresentação de ideia pro ação</t>
  </si>
  <si>
    <t>Correção de documentos para registro como NE</t>
  </si>
  <si>
    <t>Avaliação de custo Enterfiber Prebiotic</t>
  </si>
  <si>
    <t>Correção dos limites microbiologicos ET</t>
  </si>
  <si>
    <t>Cruzamento dos dados de mudança de processo, quantidade produzida e problemas de viscosidade em produtos UHT 2018-2020</t>
  </si>
  <si>
    <t>Atualização controle de mudança leite com lactose</t>
  </si>
  <si>
    <t>Custos dietas + Solicitação cotações novas MP's</t>
  </si>
  <si>
    <t>Definição análises T6 concorrentes</t>
  </si>
  <si>
    <t>Cadastro de estrutura 52g</t>
  </si>
  <si>
    <t>Atualização óleo em estrutura Basic Enteral</t>
  </si>
  <si>
    <t>Avaliação FT TCM Alibra</t>
  </si>
  <si>
    <t>Atualização cronograma latas recravadas</t>
  </si>
  <si>
    <t>Alinhamento status projetos</t>
  </si>
  <si>
    <t>Discussão sobre laudos com fornecedor do filme</t>
  </si>
  <si>
    <t>Análise FQ Immax 160820456 T12</t>
  </si>
  <si>
    <t>Análise sensorial aplicação aromas IFF</t>
  </si>
  <si>
    <t>Definição de IN</t>
  </si>
  <si>
    <t>Discussão teor de colesterol</t>
  </si>
  <si>
    <t>Definição de IN do BEMMAX</t>
  </si>
  <si>
    <t>Atualização especificação mix com betacaroteno 20%</t>
  </si>
  <si>
    <t>Treinamento análise sensorial Basic Enteral</t>
  </si>
  <si>
    <t>Análise sensorial aroma IFF com mascarante cód. 19</t>
  </si>
  <si>
    <t>Relatório TCM Alibra 7005</t>
  </si>
  <si>
    <t>Webinar Ital sobre embalagens para alimentos</t>
  </si>
  <si>
    <t>Atualização e publicação ET em SP</t>
  </si>
  <si>
    <t>Atualização controle de mudança com publicação da ET</t>
  </si>
  <si>
    <t>Avaliação extrato de levedura</t>
  </si>
  <si>
    <t>Comitê P&amp;D/MKT/AR/Comercial</t>
  </si>
  <si>
    <t>Atualização POP Teste em Planta Piloto</t>
  </si>
  <si>
    <t>Aplicação em PA TCM Alibra 7005</t>
  </si>
  <si>
    <t>Apresentação bebidas proteicas</t>
  </si>
  <si>
    <t>Análise sensorial com aroma cód. 611</t>
  </si>
  <si>
    <t>Relatório aplicação TCM Alibra 7005 em PA</t>
  </si>
  <si>
    <t>TB aplicação em PA - novo fornecedor de TCM Innobio</t>
  </si>
  <si>
    <t>TB aplicação em PA - novo fornecedor de Polissacarídeo de soja Indukern</t>
  </si>
  <si>
    <t>Envio de amostras Soya pó aprovação Luciana</t>
  </si>
  <si>
    <t>Relatório desenvolvimento artesanal</t>
  </si>
  <si>
    <t>Elaboração apresentação primeiros resultados artesanal</t>
  </si>
  <si>
    <t>Densidade</t>
  </si>
  <si>
    <t>Apresentação primeiros resultados artesanal</t>
  </si>
  <si>
    <t>Avaliação mix Mcassab para aceite especificação</t>
  </si>
  <si>
    <t>Atualização apresentação AGM status Soya pó</t>
  </si>
  <si>
    <t>Desmontagem da linha e COP devido travamento da rosca da sacheteria</t>
  </si>
  <si>
    <t>Discussão com fornecedor de MP ADM</t>
  </si>
  <si>
    <t>Alinhamento técnico projetos</t>
  </si>
  <si>
    <t>Solicitação microbiológica amostras PC</t>
  </si>
  <si>
    <t>Desmontagem e COP sacheteira</t>
  </si>
  <si>
    <t>Retirar da estufa e encaminhar para análise Immax T12 lote 170920456 (Sonoco)</t>
  </si>
  <si>
    <t>Retirar da estufa e encaminhar para análise Peptimax T6A e LD</t>
  </si>
  <si>
    <t>Determinação da distribuição de amostras para envio para análise de T0</t>
  </si>
  <si>
    <t>Análise FQ Immax T12 lote 170920456 (Sonoco)</t>
  </si>
  <si>
    <t>Análise FQ Peptimax T6A e LD</t>
  </si>
  <si>
    <t>Avaliação sensorial</t>
  </si>
  <si>
    <t>Especificação Sachê Humalin</t>
  </si>
  <si>
    <t>Ajuste MF Carboch para dose Arábia</t>
  </si>
  <si>
    <t>Relatório TP Polissacarídeo PurePro Indukern</t>
  </si>
  <si>
    <t>Relatório TP TCM Innobio</t>
  </si>
  <si>
    <t>Envio Sachê Humalin para Teste de cor</t>
  </si>
  <si>
    <t>Teste envase Immax 800g lata Brasilata 127mm</t>
  </si>
  <si>
    <t>Envio análise de fosfatidilserina</t>
  </si>
  <si>
    <t>Treinamento sensorial nova fórmula Immax</t>
  </si>
  <si>
    <t>Acompanhamento 1ª Produção Immax lata recravada</t>
  </si>
  <si>
    <t>Apresentação Innova</t>
  </si>
  <si>
    <t>Discussão receitas Instanth Clear</t>
  </si>
  <si>
    <t>Apresentação Cargill sensorial Immax</t>
  </si>
  <si>
    <t>Determinação de número de amostras para EE, para início de novos estudos</t>
  </si>
  <si>
    <t>Webinar DSM CanolaPro</t>
  </si>
  <si>
    <t>TB Trophic Soya Fiber, validação dose xantana</t>
  </si>
  <si>
    <t>Alinhamento unidade filme Sachês</t>
  </si>
  <si>
    <t>Avaliação de resultados Peptimax com TCM Innobio</t>
  </si>
  <si>
    <t>Retirada da estufa e envio para análise Trophic Fiber T6</t>
  </si>
  <si>
    <t>Diluição e administração FO Trophic Basic Enteral</t>
  </si>
  <si>
    <t>Apresentação ESPEN</t>
  </si>
  <si>
    <t>Avaliação FT sobretampa Sonoco</t>
  </si>
  <si>
    <t>Ajuste MF com lecitina em lipídeos</t>
  </si>
  <si>
    <t>Preparo de amostras e envio para análise sensorial T. Soya e Soya Fiber</t>
  </si>
  <si>
    <t>Criação de estrutura Immax 700g, Humalin 700g</t>
  </si>
  <si>
    <t>Testes migração release Protheus</t>
  </si>
  <si>
    <t>Diluição mix 171422 a 10%</t>
  </si>
  <si>
    <t>Atualização controle de mudança Alteração de fórmula Immax</t>
  </si>
  <si>
    <t>Ajuste especificação técnica sobretampa</t>
  </si>
  <si>
    <t>Atualização controle de mudança linha Soya pó</t>
  </si>
  <si>
    <t>Avaliação sensorial e apresentação formulação</t>
  </si>
  <si>
    <t>Diluição mix 171422 a 7,6%</t>
  </si>
  <si>
    <t>Compilado documentos para AR</t>
  </si>
  <si>
    <t>Envio análise Peptimax T18</t>
  </si>
  <si>
    <t>Solicitação de amostra TP TCM Alibra</t>
  </si>
  <si>
    <t>Diluição mix Sênior</t>
  </si>
  <si>
    <t>Diluição para análise microbiologia T12 lote 160820456</t>
  </si>
  <si>
    <t>Apresentação briefing Diamax pó</t>
  </si>
  <si>
    <t>Atualização cronogramas</t>
  </si>
  <si>
    <t>Envio Retort Labor 3</t>
  </si>
  <si>
    <t>Relatório</t>
  </si>
  <si>
    <t>Webinar ingredientes americanos</t>
  </si>
  <si>
    <t>Entendimento marca própria Enterfiber Prebiotic</t>
  </si>
  <si>
    <t>TB redução de lecitina Soya pó</t>
  </si>
  <si>
    <t>TB redução de lecitina e xantana Soya Fiber pó</t>
  </si>
  <si>
    <t>Diluição para análise microbiologia T12 lote 160920456</t>
  </si>
  <si>
    <t>TB aplicação em PA Solec FS B IP</t>
  </si>
  <si>
    <t>Avaliação redução de lecitina x c/ lecitina pós 12h linha Soya</t>
  </si>
  <si>
    <t>Preenchimento formulário desenvolvimento embalagem 116mm</t>
  </si>
  <si>
    <t>Relatório TB aplicação em PA Solec FS B IP</t>
  </si>
  <si>
    <t>Elaboração do cronograma marca própria Enterfiber Prebiotic</t>
  </si>
  <si>
    <t>Ajuste MF linha Soya pó com 0,3% lecitina</t>
  </si>
  <si>
    <t>Apresentação cronograma marca própria Enterfiber Prebiotic</t>
  </si>
  <si>
    <t>Avaliação de custo Enterfiber Prebiotic 260g</t>
  </si>
  <si>
    <t>Elaboração do controle de mudança MPs não homologadas no laboratório de Processos</t>
  </si>
  <si>
    <t>Retirada da estufa e envio PL, marcadores Immax T6A</t>
  </si>
  <si>
    <t>Retirada da estufa e envio Immax T18</t>
  </si>
  <si>
    <t>Colher medida/colher de sopa Enterfiber Prebiotic</t>
  </si>
  <si>
    <t>Análise FQ T. Fiber T6A e T6LD</t>
  </si>
  <si>
    <t>Conferência simulador de custos</t>
  </si>
  <si>
    <t>Compilado resultados FQ T6 T. Fiber</t>
  </si>
  <si>
    <t>Simulação de custo 700g</t>
  </si>
  <si>
    <t>Atualização de custo Enterfiber Prebiotic 260g</t>
  </si>
  <si>
    <t>Revisão de MF linha Soya pó</t>
  </si>
  <si>
    <t>Simulação densidade Enterfiber Prebiotic compactado</t>
  </si>
  <si>
    <t>Desenvolvimento de MF para 2° Teste de bancada</t>
  </si>
  <si>
    <t>Relatório Testes de bancada Enterfiber 260g - Marca própria</t>
  </si>
  <si>
    <t>Avaliação isolada de novas MPs (GB, Ervilha, Ervilha+arroz)</t>
  </si>
  <si>
    <t>Teste de bancada - sensorial</t>
  </si>
  <si>
    <t>Compra FiberMais projeto Marca própria</t>
  </si>
  <si>
    <t>Conferência IN Enterfiber Prebiotic para Marca própria</t>
  </si>
  <si>
    <t>Conferência MPs Teste industral Soya pó</t>
  </si>
  <si>
    <t>Conferência MPs Teste industral Soya fiber pó</t>
  </si>
  <si>
    <t>Análise sensorial T6LD Fiber pó</t>
  </si>
  <si>
    <t>Diluição para análise microbiológica T18 Immax</t>
  </si>
  <si>
    <t>Avaliação diluição 15g/200ml Enterfiber Prebiotic</t>
  </si>
  <si>
    <t>Administração 15g/200ml Enterfiber Prebiotic</t>
  </si>
  <si>
    <t>Avaliação amostra de início e fim de envase Instanth NEO</t>
  </si>
  <si>
    <t>Direcionais Recebimento NF's</t>
  </si>
  <si>
    <t>Análise FQ  T18 Immax</t>
  </si>
  <si>
    <t>Análise FQ T0</t>
  </si>
  <si>
    <t>Direcionais Supply - novas MP's para início da Produção</t>
  </si>
  <si>
    <t>Direcionamentos IF's Castro com novas MP's aprovadas</t>
  </si>
  <si>
    <t>Apresentação o que fiz de diferente</t>
  </si>
  <si>
    <t>Teste de customização estruturas Protheus</t>
  </si>
  <si>
    <t>Avaliação prévia novo fornecedor lata multifoliada Milano</t>
  </si>
  <si>
    <t>Busca por fornecedores de girassol alto teor oleico pó</t>
  </si>
  <si>
    <t>Distribuição de amostras para análise de EE</t>
  </si>
  <si>
    <t>Dupla conferência das frações</t>
  </si>
  <si>
    <t>Alteração de estrutura Humalin 52g</t>
  </si>
  <si>
    <t>Envio laudos de MPs para DSM envase PC</t>
  </si>
  <si>
    <t>Dúvidas Nutrivello</t>
  </si>
  <si>
    <t>Email comunicando lote, quantidades pesagens, falta de material e Solicitação de NF</t>
  </si>
  <si>
    <t>Avaliação diluição FiberMais</t>
  </si>
  <si>
    <t>Avaliação de pontos brancos pós diluição Bemmax</t>
  </si>
  <si>
    <t>Análise FQ TF Nutrison Soya</t>
  </si>
  <si>
    <t>Análise FQ TF Pleni</t>
  </si>
  <si>
    <t>Envio de amostras Eurofins</t>
  </si>
  <si>
    <t>Atualização status de projetos</t>
  </si>
  <si>
    <t>Avaliação embalagem jumbo Topeka</t>
  </si>
  <si>
    <t>Teste de envase E. Sênior 400g</t>
  </si>
  <si>
    <t>Comitê de sourcing</t>
  </si>
  <si>
    <t>Avaliação embalagem multifoliada Milano</t>
  </si>
  <si>
    <t>Embasamento técnico para decaimentos do Trophic Soya 1.5</t>
  </si>
  <si>
    <t>Simulação custo 360/370/400/700/740g</t>
  </si>
  <si>
    <t>TB aplicação Polidextrose Fibersee ST (Apliquímica) em Enterfiber</t>
  </si>
  <si>
    <t>TB aplicação Polidextrose Fibersee ST (Apliquímica) em Enterfiber Prebiotic</t>
  </si>
  <si>
    <t>TB aplicação Polidextrose Litesse Powder -Solae em Enterfiber</t>
  </si>
  <si>
    <t>TB aplicação Polidextrose Litesse Powder -Solae em Enterfiber Prebiotic</t>
  </si>
  <si>
    <t>Comitê de Sourcing</t>
  </si>
  <si>
    <t>Teste protheus Alteração quantidade base</t>
  </si>
  <si>
    <t>Cronograma Diamax pó</t>
  </si>
  <si>
    <t>Administração pós homogeneização com liquidificador Basic Enteral</t>
  </si>
  <si>
    <t>Teste disperção de bolhas Basic Enteral</t>
  </si>
  <si>
    <t>Encaminhamento de NF para pagamento</t>
  </si>
  <si>
    <t>Produção vídeo diluição e administração Basic Enteral</t>
  </si>
  <si>
    <t>Comitê de Sourcing - embalagens Milano</t>
  </si>
  <si>
    <t>Carta resposta padrão ocorrência Basic Enteral</t>
  </si>
  <si>
    <t>Apresentação Basic Enteral comercial</t>
  </si>
  <si>
    <t>Avaliação FT embalagem multifoliada Milano</t>
  </si>
  <si>
    <t>Relatórios Polidextroses alternativas Aplinova e Danisco</t>
  </si>
  <si>
    <r>
      <rPr>
        <rFont val="Cairo"/>
        <color theme="1"/>
        <sz val="10.0"/>
      </rPr>
      <t xml:space="preserve">Entrega das receitas para realização do fracionamento para Produção </t>
    </r>
    <r>
      <rPr>
        <rFont val="Cairo"/>
        <b/>
        <color theme="1"/>
        <sz val="10.0"/>
      </rPr>
      <t>piloto</t>
    </r>
  </si>
  <si>
    <t>Esclarecimento NF para envio amostras</t>
  </si>
  <si>
    <t>Preenchimento controle de mudança</t>
  </si>
  <si>
    <t>Planejamento Teste piloto</t>
  </si>
  <si>
    <t>Orientações Trophic Basic Enteral para Marketing</t>
  </si>
  <si>
    <t>Esclarecimento ocorrência T. Basic Enteral</t>
  </si>
  <si>
    <t>Envio para análise T. Fiber T12 acompanhamento</t>
  </si>
  <si>
    <t>Esclarecimento sobre as embalagens e Produção do Diamax IG junto ao setor de AR da Castrolanda</t>
  </si>
  <si>
    <t>Esclarecimentos modo de preparo T. Basic Enteral</t>
  </si>
  <si>
    <t>Escrita do projeto de melhoria de propriedades de hidrataão de proteínas (Prodiet - Inovaleite).</t>
  </si>
  <si>
    <t>Escrita do relatórios sobre impacto de diferentes processos e da PIS sobre a viscosidade de produtos UHT</t>
  </si>
  <si>
    <t>ET Nutrivello</t>
  </si>
  <si>
    <t>Atualização de cronogramas</t>
  </si>
  <si>
    <t>Explicação do apareciemento de dois lotes nas amostras de HDMAX que serão enviadas para o acompanhamento de EE</t>
  </si>
  <si>
    <t>Webinar rotulagem Anvisa</t>
  </si>
  <si>
    <t>Exposição de resultados GermanProt lecitina de girassol</t>
  </si>
  <si>
    <t>Análise teor de lipídeos gorduras em pó x liquido</t>
  </si>
  <si>
    <t>Contato com fornecedor sobre participação/parceria no Congresso de Disfagia</t>
  </si>
  <si>
    <t>Envio amostras análises Energyzip Sênior T0</t>
  </si>
  <si>
    <t>Exposição ocorrência espessamento café com leite</t>
  </si>
  <si>
    <t>Análise FQ Energyzip Sênior T0</t>
  </si>
  <si>
    <t>Avaliações T. Basic Enteral ocorrência</t>
  </si>
  <si>
    <t>Apresentação automatização IF</t>
  </si>
  <si>
    <t>Preenchimento formulário marca própria</t>
  </si>
  <si>
    <t>Teste aplicação em café com leite 4L</t>
  </si>
  <si>
    <t>Comitê P&amp;D, MKT, AR, Comercial</t>
  </si>
  <si>
    <t>Relatório Teste aplicação 4L café com leite</t>
  </si>
  <si>
    <t>FiSA 2021 - AI e uso de dados em indústrias de alimentos</t>
  </si>
  <si>
    <t>Alinhamento técnico 2022</t>
  </si>
  <si>
    <t>FiSA 2021 + prospecção novas MP's</t>
  </si>
  <si>
    <t>Discussão técnica fornecedor de MPs</t>
  </si>
  <si>
    <t>Relatório redução de xantana T. Basic Enteral</t>
  </si>
  <si>
    <t>Preenchimento formulário marca prrópria Carrefour</t>
  </si>
  <si>
    <t>Coleta de produtos e compra espessantes concorrentes</t>
  </si>
  <si>
    <t>Simulação de custo Soya e Soya Fiber</t>
  </si>
  <si>
    <t>Alteração de estrutura T. Basic Enteral nível de xantana</t>
  </si>
  <si>
    <t>Formulação do racional e discussão sobre usode diferentes carragenas, MCC em fórmulas enterais (Seamsa e Green Ingredients)</t>
  </si>
  <si>
    <t>Teste aplicação concorrentes em café com leite 4L</t>
  </si>
  <si>
    <t>Especificação técnica provisória Enterfiber Prebiotic</t>
  </si>
  <si>
    <t>Atualização relatório aplicação concorrentes em café com leite 4L</t>
  </si>
  <si>
    <t>Desenvolvimento primeiro master file</t>
  </si>
  <si>
    <t>Inserção de amostras na estufa</t>
  </si>
  <si>
    <t>Inserção do produto na estufa LD</t>
  </si>
  <si>
    <t>Inserção e retirada de amostras estufa</t>
  </si>
  <si>
    <t>Inserção na estufa Immax Teste Protesa</t>
  </si>
  <si>
    <t>Inserção na estufa Teste Protesa</t>
  </si>
  <si>
    <t>Leitura matéria</t>
  </si>
  <si>
    <t>Leitura POP sobre IF automática</t>
  </si>
  <si>
    <t>Levantamento Eventos 2022</t>
  </si>
  <si>
    <t>Orçamento equipamento atividade de água</t>
  </si>
  <si>
    <t>Organização Testes de bancada Avaliação consistência</t>
  </si>
  <si>
    <t>Participação palestras Fispal</t>
  </si>
  <si>
    <t>Gabriela Faria de Oliveira</t>
  </si>
  <si>
    <t>Desenvolvimento de estratégias para relançamento</t>
  </si>
  <si>
    <t>Pesquisa de novos ingredientes para desenvolvimento de novo produto</t>
  </si>
  <si>
    <t>Desenvolvimento de novo produto - análise de micronutrientes</t>
  </si>
  <si>
    <t>Desenvolvimento de material científico para potes Jumbo</t>
  </si>
  <si>
    <t>Desenvolvimento de orientação sobre uso de novo produto</t>
  </si>
  <si>
    <t>Desenvolvimento de material científico para novos produtos em Sachê</t>
  </si>
  <si>
    <t>Desenvolvimento de protocolo de estudo com produto</t>
  </si>
  <si>
    <t>Avaliação de software, funcionalidades e necessidades de desenvolvimento de outras funcionalidades</t>
  </si>
  <si>
    <t>Desenvolvimento de contato profissional para pesquisa</t>
  </si>
  <si>
    <t>Entendimento de nível de variação em EE de cloreto</t>
  </si>
  <si>
    <t>Desenvolvimento de novo produto - análise de fibras</t>
  </si>
  <si>
    <t>Desenvolvimento de pesquisa com produto HDmax</t>
  </si>
  <si>
    <t>Desenvolvimento de pesquisa com produto</t>
  </si>
  <si>
    <t>Desenvolvimento de novo produto - análise nutricional da fórmula</t>
  </si>
  <si>
    <t>Desenvolvimento de novo produto - análise de composição de micronutrientes</t>
  </si>
  <si>
    <t>Desenvolvimento de mix de micronutrientes para novo produto</t>
  </si>
  <si>
    <t>Desenvolvimento de novos materiais com produto</t>
  </si>
  <si>
    <t>Análise de novos produtos</t>
  </si>
  <si>
    <t>Desenvolvimento de material científico de novo produto</t>
  </si>
  <si>
    <t>Desenvolvimento de pesquisa com novo produto</t>
  </si>
  <si>
    <t>Adequação da resposta à exigência do Diamax IG RTH</t>
  </si>
  <si>
    <t>Adequação de relatório de EE após modificação da IN do IMMAX</t>
  </si>
  <si>
    <t>Alinhamento amostras de EE T12</t>
  </si>
  <si>
    <t>Alinhamento com DSM sobre documentação de prémix em desenvolvimento</t>
  </si>
  <si>
    <t>Alinhamento de andamento de projetos</t>
  </si>
  <si>
    <t>Alinhamento de atividades de projetos em andamento.</t>
  </si>
  <si>
    <t>Alinhamento de cronograma de projetos</t>
  </si>
  <si>
    <t>Alinhamento de normas para segurança de alimentos</t>
  </si>
  <si>
    <t>Alinhamento de prazos para cronograma do projeto</t>
  </si>
  <si>
    <t>Alinhamento de requirimentos legais, com AR</t>
  </si>
  <si>
    <t>Alinhamento para distribuição de amostras de EE</t>
  </si>
  <si>
    <t>Alinhamento sobre atividades para dados enviados pela Lactalis</t>
  </si>
  <si>
    <t>Alinhamento sobre documentos recebidos</t>
  </si>
  <si>
    <t>Alinhamento sobre IN formulada</t>
  </si>
  <si>
    <t>Alteração de relatório de EE com foco na CE, após sinalização de AR</t>
  </si>
  <si>
    <t>Apresentação do sistema retort</t>
  </si>
  <si>
    <t>Apresentação de misturas secas</t>
  </si>
  <si>
    <t>Discussão validação métodos analíticos utilizados nos EE</t>
  </si>
  <si>
    <t>Avaliação de normas nacionais e internacionais aplicadas à EE</t>
  </si>
  <si>
    <t>Avaliação dos resultados de macronutrientes para EE Trophic EP T12 LD e inclusção de dados na planilha do estudo 19-11</t>
  </si>
  <si>
    <t>Avaliação dos resultados de macronutrientes para EE Energizyp baunilha T6A e inclusção de dados na planilha do estudo 20-06</t>
  </si>
  <si>
    <t>Discussão estudos de estabiliade</t>
  </si>
  <si>
    <t>Avaliação e discussão técnica dos resultados apresentados no relatório FRA-93833 PS40001746.</t>
  </si>
  <si>
    <t>Revisão procedimento de estudo de estabilidade.</t>
  </si>
  <si>
    <t>Formulação e envio das informações sobre a carragena para a Green Ingredients</t>
  </si>
  <si>
    <t>Avaliação dos resultados de marcadores para EE INMAX T3A e T3LD e inclusção de dados na planilha, para estudo 20-08</t>
  </si>
  <si>
    <t>Avaliação dos resultados de ácido fólico para EE Energizyp baunilha e inclusção de dados na planilha do estudo 20-06</t>
  </si>
  <si>
    <t>Discussão, com laboratório externo, da estratégia para validação de metodologia analítica utilizada em EE</t>
  </si>
  <si>
    <t>Discussão  da estratégia para validação de metodologia analítica utilizada em EE</t>
  </si>
  <si>
    <t>Discussão técnica sobre desenvolvimento de prémixes substitutos</t>
  </si>
  <si>
    <t>Avaliação de normas para validação metodologia analítica, para aplicação em EE</t>
  </si>
  <si>
    <t>Avaliação dos resultados de marcadores para EE INMAX  T6LD e inclusção de dados na planilha, para estudo 20-09</t>
  </si>
  <si>
    <t>Avaliação da metodologia de cloretos utilizada para análise de EE T12.</t>
  </si>
  <si>
    <t>Discussão e atualização PIS</t>
  </si>
  <si>
    <t>Avaliação da proposta para análise da fosfatidilserina</t>
  </si>
  <si>
    <t>Avaliação de requisitos para Avaliação de estudo de estabilidade</t>
  </si>
  <si>
    <t>Avaliação do laboratório para análise de fosfatidilserina</t>
  </si>
  <si>
    <t>Avaliação dos resultados das análises de perfil lipídico de EE, para produtos Energizyp e INMAX</t>
  </si>
  <si>
    <t>Avaliação proposta de analise fosfatidilserina</t>
  </si>
  <si>
    <t>Elaboração gráfica para EE BEMMAX</t>
  </si>
  <si>
    <t>Busca na literatura mecanismo degradação de gorduras</t>
  </si>
  <si>
    <t>Avaliação de resultados obtidos nos EE</t>
  </si>
  <si>
    <t>Atualização de resultados de estudos de EE</t>
  </si>
  <si>
    <t>Avaliação de opções de laboratório para análise de fosfatidilserina</t>
  </si>
  <si>
    <t>Avaliação de propostas de métodos a serem aplicados nos EE</t>
  </si>
  <si>
    <t>Elaboração gráficos para Avaliação resultados de EE INMAX</t>
  </si>
  <si>
    <t>Avaliação de COA de fontes para mix de vitaminas e minerais.</t>
  </si>
  <si>
    <t>Discussão técnica sobre EE acelerado</t>
  </si>
  <si>
    <t>Avaliação metodologia NEPAL</t>
  </si>
  <si>
    <t>Avaliação dos COAS das fontes do mix de vitaminas e minerais para o produto Energizyp senior</t>
  </si>
  <si>
    <t>Avaliação resultados de EE</t>
  </si>
  <si>
    <t>Discussão projeto de validação de método</t>
  </si>
  <si>
    <t>Atualização dos resultados obtidos em EE</t>
  </si>
  <si>
    <t>Avaliação TCM</t>
  </si>
  <si>
    <t>Elaboração de análise gráfica para Avaliação de EE</t>
  </si>
  <si>
    <t>Solicitação de análise Fosfatildilserina</t>
  </si>
  <si>
    <t>Revisão da versão em inglês do procedimento de EE</t>
  </si>
  <si>
    <t>Avaliação de documentos para desenvolvimento de mix substitutos</t>
  </si>
  <si>
    <t>Avaliação das metodologias propostas para EE</t>
  </si>
  <si>
    <t>Conferência de transferência dos resultados para registro do produto Trophic Soya 1.5</t>
  </si>
  <si>
    <t>Avaliação de resultados analíticos</t>
  </si>
  <si>
    <t>Elaboração de relatório de EE</t>
  </si>
  <si>
    <t>Atualização de resultados de T12 de EE</t>
  </si>
  <si>
    <t>Atualização de resultados de EE</t>
  </si>
  <si>
    <t>Elaboração gráfica para Avaliação de EE</t>
  </si>
  <si>
    <t>Elaboração de relatório de conclusão de EE</t>
  </si>
  <si>
    <t>Atualização de resultados</t>
  </si>
  <si>
    <t>Elaboração de apresentação sobre EE para integração de nova colaboradora</t>
  </si>
  <si>
    <t>Avaliação da IN frente a resultados obtidos nos estudos de EE</t>
  </si>
  <si>
    <t>Elaboração de apresentação sobre EE, para atualizações necessárias na condução dos estudos, conforme nova revisão do procedimento</t>
  </si>
  <si>
    <t>FQ A e LD - concorrentes</t>
  </si>
  <si>
    <t>Avaliação de novo laboratório (CLF) para execução de análises</t>
  </si>
  <si>
    <t>Estudo de característica do perfil lipídico do produto</t>
  </si>
  <si>
    <t>Verificação de pendências nos resultados obtidos</t>
  </si>
  <si>
    <t>Avaliação de resultados de homogeneidade de mistura seca</t>
  </si>
  <si>
    <t>Verificação de métodos a serem utilizados nos próximos períodos de estudo e atualização de resultados obtidos.</t>
  </si>
  <si>
    <t>Elaboração de planilha e gráficos comparativos para Avaliação de EE</t>
  </si>
  <si>
    <t>Discussão técnica dos Testes de densidade e peso para estudos de EE</t>
  </si>
  <si>
    <t>Elaboração de cronograma para verificação das metodologias analíticas</t>
  </si>
  <si>
    <t>Avaliação de metodologia aplicada a estudos de EE</t>
  </si>
  <si>
    <t>Elaboração de comparativos para Avaliação de homogeneidade de mistura.</t>
  </si>
  <si>
    <t>Elaboração de matriz comparativa para métodos de análise aplicados a EE</t>
  </si>
  <si>
    <t>Discussão técnica sobre resultados obtidos</t>
  </si>
  <si>
    <t>Atualização e Avaliação de resultados obtidos.</t>
  </si>
  <si>
    <t>Avaliação de metodologia aplicada ao estudos de EE</t>
  </si>
  <si>
    <t>Desenvolvimento de pré-mix</t>
  </si>
  <si>
    <t>Elaboração de documento para início do desenvolvimento de pre mix</t>
  </si>
  <si>
    <t>Discussão técnica com fornecedor de TCM para entendimento de resultados de EE</t>
  </si>
  <si>
    <t>Discussão técnica sobre a sobredosagens de vitaminas</t>
  </si>
  <si>
    <t>Avaliação de ficha técnica de pré-mix</t>
  </si>
  <si>
    <t>Avaliação de metodologias aplicadas a EE</t>
  </si>
  <si>
    <t>Atualização de resultados e elaboração de planilhas para estudos de EE</t>
  </si>
  <si>
    <t>Discussão técnica com consultar sobre laboratório responsável pela covalidação</t>
  </si>
  <si>
    <t>Elaboração de relatório de EE para submissão de produto.</t>
  </si>
  <si>
    <t>Abertura de EEALD</t>
  </si>
  <si>
    <t>Avaliação do número de amostras necessárias para condução dos estudos de EE.</t>
  </si>
  <si>
    <t>Discussão técnica sobre viabilidade de licenciamento de produtos</t>
  </si>
  <si>
    <t>Preparo de documentação solicitada por laboratório responsável pela análise de EE.</t>
  </si>
  <si>
    <t>Atualização de resultados de EE.</t>
  </si>
  <si>
    <t>Revisão de relatório de EE, após revisão</t>
  </si>
  <si>
    <t>Apresentação software</t>
  </si>
  <si>
    <t>Avaliação de métodologia mais adequada para análise de sódio</t>
  </si>
  <si>
    <t>Formatação de planilhas, para Avaliação de resultados de EE</t>
  </si>
  <si>
    <t>Levantamento de histórico de discussão técnica sobre análises, para continuidade de EE</t>
  </si>
  <si>
    <t>Atualização de resultados de EE e Avaliação estatística dos resultados</t>
  </si>
  <si>
    <t>FQ E. baunilha T9</t>
  </si>
  <si>
    <t>Aprofundamento no conhecimento do perfil de fosfolipidios, para racionalização dos resultados obtidos.</t>
  </si>
  <si>
    <t>Discussão técnica com laboratório para distribuição de amostras</t>
  </si>
  <si>
    <t>Avaliação de  FT para pré-mix de vitaminas</t>
  </si>
  <si>
    <t>Avaliação de  FT para pré-mix de minerais</t>
  </si>
  <si>
    <t>Discussão técnica com consultor responsável pela covalidação de métodos</t>
  </si>
  <si>
    <t>Elaboração de relatório de EE para submissão do produto a CE</t>
  </si>
  <si>
    <t>Discussão técnica sobre análises/amostras retort</t>
  </si>
  <si>
    <t>Solicitação de análise para verificação de metodologia</t>
  </si>
  <si>
    <t>Elaboração de relatório para Avaliação de misutra seca.</t>
  </si>
  <si>
    <t>Avaliação de documentação para desenvolvimento de pré-mix</t>
  </si>
  <si>
    <t>Criação de pedido de análise</t>
  </si>
  <si>
    <t>31/03/0201</t>
  </si>
  <si>
    <t>Elaboração de gráficos para Avaliação da homogeneidade do processo</t>
  </si>
  <si>
    <t>Discussão técnica com laboratório responsável pela verificação de metodologia</t>
  </si>
  <si>
    <t>Envio de NF referente a análise para EE e atualização de planilha de análises.</t>
  </si>
  <si>
    <t>Revisão de relatório para Avaliação da homogeneidade de mistura seca.</t>
  </si>
  <si>
    <t>Avaliação de amostras necessárias para condução de Testes.</t>
  </si>
  <si>
    <t>Atualização de resultados e envio de NF</t>
  </si>
  <si>
    <t>Atualização de resultados Peptimax e produtos concorrentes</t>
  </si>
  <si>
    <t>Solicitação de análise.</t>
  </si>
  <si>
    <t>Treinamento em Solicitação de análise SFDK e IAL.</t>
  </si>
  <si>
    <t>Avaliação de metodologia aplicada a EE</t>
  </si>
  <si>
    <t>Envio de Solicitação de análise e atualização de planilha de análises</t>
  </si>
  <si>
    <t>Avaliação se as fontes utilizadas estão de acordo com RDC22</t>
  </si>
  <si>
    <t>Atualização de resultados de EE (Peptimax e ImMAX)</t>
  </si>
  <si>
    <t>Discussão técnica sobre estratégia de EE para cumprimento de exigência</t>
  </si>
  <si>
    <t>Atualiza de resultados de EE e elaboração gráfica para Avaliação</t>
  </si>
  <si>
    <t>FQ Enterfiber T18</t>
  </si>
  <si>
    <t>Avaliação resultados fosfatidilserina</t>
  </si>
  <si>
    <t>Solicitação de análise</t>
  </si>
  <si>
    <t>Avaliação da maneira de reportar fosfatidilserina nos estudos de EE</t>
  </si>
  <si>
    <t>Avaliação de alternativa para análise de biotina</t>
  </si>
  <si>
    <t>Atualização de resultados e entendimento de limites legais para macronutrientes e perfil lipídico</t>
  </si>
  <si>
    <t>Atualização de laudos para cumprimento de exigencia</t>
  </si>
  <si>
    <t>Criação de planilha para compilação de resultados de EE</t>
  </si>
  <si>
    <t>Discussão técnica com consultor sobre andamento do projeto.</t>
  </si>
  <si>
    <t>Discussão técnica para definição da melhor forma de análise.</t>
  </si>
  <si>
    <t>Elaboração de instruções de preparo de amostras, para início dos Testes de verificação de método analítico</t>
  </si>
  <si>
    <t>Abertura de EEALD para novos estudos de EE</t>
  </si>
  <si>
    <t>Avaliação de quantidade para análise e métodos aplicados para determinação IN</t>
  </si>
  <si>
    <t>Solicitação de análise para comprovação de composição</t>
  </si>
  <si>
    <t>Atualização de resultados de EE e elaboração de gráficos para Avaliação</t>
  </si>
  <si>
    <t>Avaliação de laudo de MP</t>
  </si>
  <si>
    <t>Solicitações de análise para determinar IN</t>
  </si>
  <si>
    <t>Discussão técnica com laboratorio que irá realizar análise de sódio</t>
  </si>
  <si>
    <t>Acompanhamento do andamento do projeto para verificação de método analítico.</t>
  </si>
  <si>
    <t>Elaboração de gráficos para elaboração de relatório final de EE.</t>
  </si>
  <si>
    <t>Discussão técnica com laboratório responsável por análises</t>
  </si>
  <si>
    <t>Discussão técnica com fornecedor</t>
  </si>
  <si>
    <t>Elaboração de gráficos para Avaliação de estabilidade</t>
  </si>
  <si>
    <t>Elaboração de aminograma do peptimax</t>
  </si>
  <si>
    <t>Entendimento do processo para pagamento de análise realizada fora do Brasil e envio de Invoice para pagamento</t>
  </si>
  <si>
    <t>Envio de NF para pagamento</t>
  </si>
  <si>
    <t>Avaliação da composição de fosfolipidios no produto.</t>
  </si>
  <si>
    <t>Discussão técnica sobre micronutrientes Instanth Neo</t>
  </si>
  <si>
    <t>Avaliação de documentação de pré-mix</t>
  </si>
  <si>
    <t>Compilação de documentos para cumprimento de exigência</t>
  </si>
  <si>
    <t>Discussão técnica sobre registro do Instanth Neo como nutrição enteral</t>
  </si>
  <si>
    <t>Discussão técnica sobre documentação para submissão do produto a CE</t>
  </si>
  <si>
    <t>Elaboração de comparativo para Avaliação de EE</t>
  </si>
  <si>
    <t>Solicitação de análise para EE</t>
  </si>
  <si>
    <t>Atualização de resultado de EE</t>
  </si>
  <si>
    <t>Discussão técnica sobre pré mix em desenvolvimento</t>
  </si>
  <si>
    <t>Atualização de EE</t>
  </si>
  <si>
    <t>Revisão de relatório para submissão de produto</t>
  </si>
  <si>
    <t>Solicitação de análise de EE</t>
  </si>
  <si>
    <t>Avaliação de resultados de GMO</t>
  </si>
  <si>
    <t>Discussão técnica sobre análises para EE</t>
  </si>
  <si>
    <t>Avaliação de resultados de EE</t>
  </si>
  <si>
    <t>Revisão de relatório de EE</t>
  </si>
  <si>
    <t>Avaliação de resultados de perfil lipídico</t>
  </si>
  <si>
    <t>Solicitações de análise</t>
  </si>
  <si>
    <t>Atualização de resultados e elaboração de EEALD</t>
  </si>
  <si>
    <t>Atualização de planilhas de análise</t>
  </si>
  <si>
    <t>Apresentação de novo modelo de especificação técnica, baseada em EE</t>
  </si>
  <si>
    <t>Discussão técnica sobre resultados obtidos pela Cargil, para IMMAX</t>
  </si>
  <si>
    <t>Discussão técnica ABIAD sobre novas propostas para EE</t>
  </si>
  <si>
    <t>Abertura de EEALD IMMAX para novos estudos de EE</t>
  </si>
  <si>
    <t>Elaboração de ET, baseado nos resultados de EE</t>
  </si>
  <si>
    <t>Discussão técnica para lançamento do produto.</t>
  </si>
  <si>
    <t>Discussão técnica sobre composição de pré-mix</t>
  </si>
  <si>
    <t>Pesquisa bibliográfica para Avaliação de composição do pré-mix</t>
  </si>
  <si>
    <t>Avaliação das ET criadas.</t>
  </si>
  <si>
    <t>Avaliação de relatório de Teste</t>
  </si>
  <si>
    <t>Solicitação análise Labor 3</t>
  </si>
  <si>
    <t>Discussão técnica sobre atividades semanais</t>
  </si>
  <si>
    <t>Solicitação de análise Eurofins</t>
  </si>
  <si>
    <t>Discussão técnica sobre composição de pré-mix de minerais</t>
  </si>
  <si>
    <t>Elaboração de relatório de EE com foco na CE</t>
  </si>
  <si>
    <t>Elaboração de gráficos para Avaliação de EE</t>
  </si>
  <si>
    <t>Envio de NF referente a análises de EE</t>
  </si>
  <si>
    <t>Avaliação de metodologia para análise de EE Trophic junior</t>
  </si>
  <si>
    <t>FQ T12 dietas IG e NN</t>
  </si>
  <si>
    <t>Atualização de resultados e formatação de planilha</t>
  </si>
  <si>
    <t>Atualização de resutlados de EE</t>
  </si>
  <si>
    <t>Elaboração de IN</t>
  </si>
  <si>
    <t>Solicitação de análise Eurofins/Ital Trophic Junior 1.0 e 1.5</t>
  </si>
  <si>
    <t>Atualização de T12 e formatação da planilha de resultados</t>
  </si>
  <si>
    <t>Atualização da planilha EE compliance</t>
  </si>
  <si>
    <t>Criação de ET para produtos UHT</t>
  </si>
  <si>
    <t>Pesquisa bibliográfica para Avaliação de pre-mix</t>
  </si>
  <si>
    <t>Histórico desenvolvimento MPs comitê de sourcing</t>
  </si>
  <si>
    <t>Solicitação de análise de aminograma para Trophic Junior</t>
  </si>
  <si>
    <t>Atualização dos resultados preliminares do projeto de verificação de metodo analítico</t>
  </si>
  <si>
    <t>Discussão técnica com AR sobre cumprimento da exigência IMMAX</t>
  </si>
  <si>
    <t>Discussão técnica sobre GMO</t>
  </si>
  <si>
    <t>Apresentação do racional para Avaliação de EE</t>
  </si>
  <si>
    <t>Discussão técnica com AR sobre composição de ET</t>
  </si>
  <si>
    <t>Discussão técnica com diretoria sobre relatório com foco na CE</t>
  </si>
  <si>
    <t>Solicitações de análise Carboch</t>
  </si>
  <si>
    <t>Revisão de relatório de EE, conforme discussão técnica</t>
  </si>
  <si>
    <t>Atualização de resultados e abertura de EEALD</t>
  </si>
  <si>
    <t>Atualização de resultados de EE e planilha compliance</t>
  </si>
  <si>
    <t>Discussão técnica sobre cumprimento de exigência</t>
  </si>
  <si>
    <t>Atualização de resultados T12 e elaboração de análise estatística dos dados</t>
  </si>
  <si>
    <t>Elaboração de aminograma em EEALD para Trophic Fiber pó e Trophic EP</t>
  </si>
  <si>
    <t>Criação do arquivo de ET</t>
  </si>
  <si>
    <t>Início COP sacheteria e misturador</t>
  </si>
  <si>
    <t>Conferência de laudos recebidos e envio de NF, referente a verificação de metodologia</t>
  </si>
  <si>
    <t>Avaliação de especificação de micronutrientes, enviadas pelo fornecedor</t>
  </si>
  <si>
    <t>Levantamento de laudos para exigência Trophic Soya 1.5</t>
  </si>
  <si>
    <t>Elaboração de relatório para Avaliação de homogeneidade de mistura.</t>
  </si>
  <si>
    <t>Início da criação do painel produto+aditivo+processo para os produtos UHT</t>
  </si>
  <si>
    <t>Discussão técnica com laboratório que realiza análise de estabilidade sobre condução dos ensaios</t>
  </si>
  <si>
    <t>Início da elaboração do projeto de melhoria de propriedades de hidratação de proteínas (Prodiet - Inovaleite)</t>
  </si>
  <si>
    <t>Discussão técnica com consultor sobre resultados obtidos no laboratório proposto</t>
  </si>
  <si>
    <t>Elaboração de racional para desenvolvimento do pre-mix para basear a sobredosagem</t>
  </si>
  <si>
    <t>Atualização do Protheus, com dados de pre mix em desenvolvimento</t>
  </si>
  <si>
    <t>Atualização de resultados e planilha EE compliance</t>
  </si>
  <si>
    <t>Abertura de EEALD para Trophic Junior</t>
  </si>
  <si>
    <t>Discussão técnica sobre distribuição de amostras para EE</t>
  </si>
  <si>
    <t>Discussão técnica para definição de IN</t>
  </si>
  <si>
    <t>Discussão técnica sobre MF</t>
  </si>
  <si>
    <t>Início da elaboração do relatório do congresso NIS</t>
  </si>
  <si>
    <t>Apresentação de nova legislação</t>
  </si>
  <si>
    <t>Avaliação de resultados preliminares</t>
  </si>
  <si>
    <t>Elaboração de gáficos para Avaliação da dieta NN</t>
  </si>
  <si>
    <t>Início da redação do relatório sobre a feira NIS</t>
  </si>
  <si>
    <t>Revisão dos resultados de EE</t>
  </si>
  <si>
    <t>Conferência de laudos de fontes de nutrientes, para resposta de exigência</t>
  </si>
  <si>
    <t>Revisão de relatorio com foco ce</t>
  </si>
  <si>
    <t>Elaboração gráfica analise immax</t>
  </si>
  <si>
    <t>Discussão técnica sobre exigência Trophic Soya 1.5</t>
  </si>
  <si>
    <t>Pesquisa bibliográfica para Avaliação embasar decaimento de vitaminas</t>
  </si>
  <si>
    <t>Início do levantamento dos ingredientes usados em produtos concorrentes</t>
  </si>
  <si>
    <t>Atualização de resultados e elaboração gráfica analise immax</t>
  </si>
  <si>
    <t>Atualização de resultados e elaboração gráfica analise da dieta NN</t>
  </si>
  <si>
    <t>Discussão técnica para início do projeto</t>
  </si>
  <si>
    <t>Avaliação de documentos para desenvolvimento de pré-mix</t>
  </si>
  <si>
    <t>Ajustes de ET elaboradas</t>
  </si>
  <si>
    <t>Levantamento da quantidade de amostras necessária para análise de estabilidade o produto PleniS</t>
  </si>
  <si>
    <t>Revisão de IN do Energizyp Sênior</t>
  </si>
  <si>
    <t>Revisão final de relatório de EE para submissão a CE e encaminhamento para tradução.</t>
  </si>
  <si>
    <t>Criação de planilha para estimativa do número de amostras necessárias para estudos de EE futuro</t>
  </si>
  <si>
    <t>Elaboração de relatório final de EE para IMMAX</t>
  </si>
  <si>
    <t>Levantamento bibliográfico para embasar decaimento de vitaminas ao longo de EE</t>
  </si>
  <si>
    <t>Atualização de resultados de fibras e valor calórico.</t>
  </si>
  <si>
    <t>Atualização de resultado e elaboração da aba de aminograma na planilhar de EEALD</t>
  </si>
  <si>
    <t>Revisão de estimativa do número de amostras necessárias para estudos de EE futuro</t>
  </si>
  <si>
    <t>Início do levantamento dos lotes de matérias-primas usadas nos produtos que apresentaram aumento de viscosidade</t>
  </si>
  <si>
    <t>Elaboração de relatório final de EE para cumprimento de exigência</t>
  </si>
  <si>
    <t>Pesquisa bibliográfica para decaimento de vitaminas.</t>
  </si>
  <si>
    <t>Envio de NF referente a análise de EE para pagamento</t>
  </si>
  <si>
    <t>Treinamento no sistema Protheus, para cadastro de novo pré-mix</t>
  </si>
  <si>
    <t>Discussão técnica com DSM sobre pH do prémix utilizado no produto</t>
  </si>
  <si>
    <t>Avaliação de métodos aplicados em EE</t>
  </si>
  <si>
    <t>Elaboração de ET</t>
  </si>
  <si>
    <t>Discussão técnica sobre relatório final de EE, para resposta de exigência</t>
  </si>
  <si>
    <t>Revisão de relatório conforme discussão técnica</t>
  </si>
  <si>
    <t>Revisão de relatório de EE, com foco em CE, na versão em inglês</t>
  </si>
  <si>
    <t>Levantamento de pendências e followup de resultados</t>
  </si>
  <si>
    <t>Avaliação de documentação para desenvolvimento de prémix de vitaminas</t>
  </si>
  <si>
    <t>Avaliação de documentação para desenvolvimento de prémix de minerais</t>
  </si>
  <si>
    <t>Levantamento de dados para compor IN do Instanth Neo, com base no EE finalizado</t>
  </si>
  <si>
    <t>Avaliação das fontes utilizadas no pré-mix</t>
  </si>
  <si>
    <t>Revisão de relatório de EE, com foco em CE, na versão em inglês, após direcional de AR</t>
  </si>
  <si>
    <t>Revisão do relatório final para resposta de exigência, segundo direcional de AR</t>
  </si>
  <si>
    <t>Levantamento de custo e numero de amostras necessários para EE</t>
  </si>
  <si>
    <t>Composição de IN do produto</t>
  </si>
  <si>
    <t>Avaliação de resultados para início de relatório</t>
  </si>
  <si>
    <t>Envio de NF referente a análise de EE para pagamento e atualizações de planilhas</t>
  </si>
  <si>
    <t>Atualização de resultados de EE e elaboração de gráfico</t>
  </si>
  <si>
    <t>Revisão de ET</t>
  </si>
  <si>
    <t>Envio de NF de análise de EE para pagamento</t>
  </si>
  <si>
    <t>Elaboração de gráficos e relatório final de EE</t>
  </si>
  <si>
    <t>Revisão de relatório do IMMAX para resposta de exigência.</t>
  </si>
  <si>
    <t>Discussão técnica para resposta à enxigência Trophic Soya 1.5</t>
  </si>
  <si>
    <t>Avaliação da discussão técnica com ANVISA</t>
  </si>
  <si>
    <t>Elaboração de relatório de T12</t>
  </si>
  <si>
    <t>Avaliação de fontes para pré-mix</t>
  </si>
  <si>
    <t>Apresentação de resultados de pesquisa para viscosidade dos produtos</t>
  </si>
  <si>
    <t>Discussão técnica com AR sobre resposta à exigência IMMAX</t>
  </si>
  <si>
    <t>Revisão de documentos necessários para resposta à exigência IMMAX</t>
  </si>
  <si>
    <t>Levantamento da necessidade de respaldos para composição do relatório de EE</t>
  </si>
  <si>
    <t>Elaboração de relatório de T12 e pesquisa bibliográfica</t>
  </si>
  <si>
    <t>Elaboração de documentos para desenvolvimento de novos mixes e revisão do existente</t>
  </si>
  <si>
    <t>Levantamento de necessidade de análise de aminograma</t>
  </si>
  <si>
    <t>Elaboração de gráficos para Avaliação dos resultados obtidos no projeto de verificação de metodologia</t>
  </si>
  <si>
    <t>Elaboração do relatório do Teste de administração</t>
  </si>
  <si>
    <t>Apresentação dos resultados obtidos para gerência</t>
  </si>
  <si>
    <t>Discussão técnica sobre status de projetos e condução de estudos de EE</t>
  </si>
  <si>
    <t>Atualização de cronograma</t>
  </si>
  <si>
    <t>Verificação de metodologia utilizada para análise de sódio e elaboração de referência bibliográfica</t>
  </si>
  <si>
    <t>Formatação de planilha EEALD</t>
  </si>
  <si>
    <t>Elaboração de ET do HDMAX</t>
  </si>
  <si>
    <t>Criação de ET</t>
  </si>
  <si>
    <t>Discussão técnica com fornecedor de pré misturas</t>
  </si>
  <si>
    <t>Início do primeiro Batch de Instanth Neo</t>
  </si>
  <si>
    <t>Início Produção INst. Neo</t>
  </si>
  <si>
    <t>Innovation Day DSM</t>
  </si>
  <si>
    <t>Discussão sobre ET e Alinhamento para resposta à exigência ANVISA</t>
  </si>
  <si>
    <t>Apresentação de resultados obtidos para gerência e diretoria e followup com consultor contratado</t>
  </si>
  <si>
    <t>Solicitações de análise de EE</t>
  </si>
  <si>
    <t>Elaboração relatório de EE</t>
  </si>
  <si>
    <t>Atualização de resultados de EE e planilha complience</t>
  </si>
  <si>
    <t>Discussão técnica com consultor e posterior revisão de resultados</t>
  </si>
  <si>
    <t>Elaboração relatório de EE e relatório de administração</t>
  </si>
  <si>
    <t>Avaliação de documentos referentes a desenvolvimento de 3 pré-mixes.</t>
  </si>
  <si>
    <t>Discussão técnica sobre modificações na documentação de registro e pós registro de produtos</t>
  </si>
  <si>
    <t>Levantamento de laudos atualizados para reposta de exigência.</t>
  </si>
  <si>
    <t>Pesquisa bibliográfica sobre comportamento de minerais como fonte de nutrientes e elaboração de proposta de Alteração de mix</t>
  </si>
  <si>
    <t>Discussão técnica com gerência e consultor sobre etapas pendentes do projeto</t>
  </si>
  <si>
    <t>Elaboração de resposta para cumprimento de exigência</t>
  </si>
  <si>
    <t>Apresentação de resultados do semestre</t>
  </si>
  <si>
    <t>Elaboração de documento para registro de discussão técnica com consultor</t>
  </si>
  <si>
    <t>Elaboração de resposta à exigência Anvisa</t>
  </si>
  <si>
    <t>Discussão técnica sobre IN da formula NN</t>
  </si>
  <si>
    <t>Preparo para envio de amostras para análise de EE</t>
  </si>
  <si>
    <t>Avaliação de novo target proposto em brienfing e elaboração de documento para desenvolvimento de mix</t>
  </si>
  <si>
    <t>Solicitação de análise e agendamento de transporte de amostras</t>
  </si>
  <si>
    <t>Preparo de apresentação com resultados obtidos com Teste de bancada</t>
  </si>
  <si>
    <t>Discussão técnica sobre resultados obtidos e elaboração de resumo da discussão. Inclusão de fotos para compartilhar com fornecedor.</t>
  </si>
  <si>
    <t>Solicitação de análise e preparo de amostra para envio.</t>
  </si>
  <si>
    <t>Elaboração de documento para desenvolvimento de pré-mix, considerando novo target</t>
  </si>
  <si>
    <t>Discussão técnica sobre novo target de pré-mix</t>
  </si>
  <si>
    <t>Avaliação dos dados enviados para análises realizadas.</t>
  </si>
  <si>
    <t>Atualização de resultados de EE de produtos concorrentes e envio de NF para pagamento</t>
  </si>
  <si>
    <t>Composição de IN a partir de análises de EE para Trophic Júnior 1.0 e 1.5</t>
  </si>
  <si>
    <t>Busca por laudo de pré-mix utilizado no Teste piloto do Trophic Júnior 1.0 e 1.5 para entendimentos dos resultados</t>
  </si>
  <si>
    <t>Discussão técnica com fornecedor para composição de documentação necessária para homologação de mix</t>
  </si>
  <si>
    <t>Elaboração gráfica para EE</t>
  </si>
  <si>
    <t>Formatação de EEALD</t>
  </si>
  <si>
    <t>Aceite de análise, atualização de planilha de controle de análise e definição de número de amostras necessárias para EE</t>
  </si>
  <si>
    <t>Avaliação de documentos enviados pela Lactalis e resposta de questionamentos.</t>
  </si>
  <si>
    <t>Elaboração de relatório de EE e pesquisa bibliográfica para decaimento de vitaminas</t>
  </si>
  <si>
    <t>Discussão com consultor sobre retorno do laboratório.</t>
  </si>
  <si>
    <t>Avaliação de pré-mix do Trophic Júnior para verificação de resultados obtidos em EE</t>
  </si>
  <si>
    <t>Revisão de relatório de EE para resposta de exigência do Trophic Soya 1.5</t>
  </si>
  <si>
    <t>Revisão de relatório de administração para resposta de exigência do Trophic Soya 1.5</t>
  </si>
  <si>
    <t>Revisão de relatório de EE e de administração para resposta de exigência do Trophic Soya 1.5</t>
  </si>
  <si>
    <t>Verificação de documentação necessária para homologação do pré mix</t>
  </si>
  <si>
    <t>Elaboração de relatório de EE e de relatório de administração</t>
  </si>
  <si>
    <t>Levantamento de necessidade de respaldo científico para EE</t>
  </si>
  <si>
    <t>Avaliação de resultados SFDKxEurofins</t>
  </si>
  <si>
    <t>Avaliação de ficha técnica e especificações físico-químicas para desenvolvimento de pré mix</t>
  </si>
  <si>
    <t>Atualização de resultados de EE e formatação de EEALD para os módulos</t>
  </si>
  <si>
    <t>Discussão técnica com novo formecedor de mix sobre fontes permitidas para o produto</t>
  </si>
  <si>
    <t>Avaliação de normas encaminhadas por AR, sobre requisitos de EE</t>
  </si>
  <si>
    <t>Elaboração de gráficos para relatório de EE para registro do Instanth Neo como NE</t>
  </si>
  <si>
    <t>Avaliação de documentação para desenvolvimento de pré-mix substitutos</t>
  </si>
  <si>
    <t>Avaliação de documentação para desenvolvimento de pré-mix para pasta de amendoim</t>
  </si>
  <si>
    <t>Avaliação de documentação para pré-mix</t>
  </si>
  <si>
    <t>Revisão de relatório Trophic Soya 1.5</t>
  </si>
  <si>
    <t>Levantamento de amostas para continuição de estudos de EE IMMAX</t>
  </si>
  <si>
    <t>Preparo de material para discussão técnica com fornecedor de pré-mix</t>
  </si>
  <si>
    <t>Elaboração de relatório final de EE</t>
  </si>
  <si>
    <t>Discussão técnica para desenvolvimento de pré-mix</t>
  </si>
  <si>
    <t>Discussão técnica com gerência sobre relatório de EE</t>
  </si>
  <si>
    <t>Revisão de relatório de EE.</t>
  </si>
  <si>
    <t>Apresentação de documentação necessária para AR</t>
  </si>
  <si>
    <t>Atualização de resultado de EE HDMAX e atualização de planilha EE Compliance</t>
  </si>
  <si>
    <t>Discussão técnica com gerência sobre orçamento para2022</t>
  </si>
  <si>
    <t>Preparo de documentação necessária para registro do produto Diamax IG RTH</t>
  </si>
  <si>
    <t>Avaliação de documentação para desenvolvimento de pré-mix isento de sódio, potássio, cloreto e flúor</t>
  </si>
  <si>
    <t>Atualização de planilha EAALD, EE Compliance e ET</t>
  </si>
  <si>
    <t>Revisão documentos para desenvolvimento do Energizyp Senior</t>
  </si>
  <si>
    <t>Revisão de documentos retort IG para registro</t>
  </si>
  <si>
    <t>Preparo de documentação necessária para registro do produto Trophic Soya RTH</t>
  </si>
  <si>
    <t>Avaliação de pré-mix exitentes para aplicação</t>
  </si>
  <si>
    <t>Discussão técnica sobre estratégia para desenvolvimento de novos pré-mixes</t>
  </si>
  <si>
    <t>Avaliação de metodologia adequada para análise de aminograma</t>
  </si>
  <si>
    <t>Avaliação de histórico de resultados de EE, para desenvolvimento de MF</t>
  </si>
  <si>
    <t>Discussão técnica com AR, sobre novos procedimentos Anvisa</t>
  </si>
  <si>
    <t>Avaliação de documentação enviada pelo fornecedor de pré-mix</t>
  </si>
  <si>
    <t>Desenvolvimento mix pasta de amendoim</t>
  </si>
  <si>
    <t>Avaliação de equivalência de nomenclatura de fontes de nutrientes</t>
  </si>
  <si>
    <t>Avaliação de fontes de nutrientes para produto pasta de amendoim</t>
  </si>
  <si>
    <t>Relatório final de EE para revalidação de registro Trophic Basic L</t>
  </si>
  <si>
    <t>Discussão técnica sobre estratégia para registro do produto com NE</t>
  </si>
  <si>
    <t>Discussão técnica sobre desvio analítico em pré-mix de vitamina</t>
  </si>
  <si>
    <t>Levantamento de dados de pré mix solicitados pela qualidade</t>
  </si>
  <si>
    <t>Discussão técnica sobre os projetos em andamento</t>
  </si>
  <si>
    <t>Elaboração de gráficos para relatório final de EE para revalidação de registro Trophic 1.5</t>
  </si>
  <si>
    <t>Atualização e Avaliação de resultados de EE para Trophic Soya 1.5, HDMAX e Energizyp baunilha</t>
  </si>
  <si>
    <t>Atualização de resultados de EE com aminograma</t>
  </si>
  <si>
    <t>Atualização de pendeências analítcas, para estudos de EE</t>
  </si>
  <si>
    <t>Discussão técnica sobre requisitos de check list de documentos para registro de produtos</t>
  </si>
  <si>
    <t>Discussão com o científico sobre IN</t>
  </si>
  <si>
    <t>Avaliação de Testes estatísticos pertinemtes para elaboração do relatório de EE Trophic 1.5 e basic</t>
  </si>
  <si>
    <t>Atualização de resultados de PL</t>
  </si>
  <si>
    <t>Elaboração de gráficos para relatório final de EE para revalidação de registro Trophic Basic</t>
  </si>
  <si>
    <t>Discussão técnica com científico para Avaliação de resultados obtidos em EE</t>
  </si>
  <si>
    <t>Discussão com AR sobre documentos necessários para registro do produto Diamax IG RTH</t>
  </si>
  <si>
    <t>Envio de documentação necessária para registro</t>
  </si>
  <si>
    <t>Discussão técnica sobre agenda de Testes para desenvolvimento de novas MP's</t>
  </si>
  <si>
    <t>Elaboração de relatório de EE para renovação de registro Trophic 1.5 e Basic</t>
  </si>
  <si>
    <t>Discussão técnica sobre target do mix de minerais</t>
  </si>
  <si>
    <t>Revisão de MF para Avaliação do target de minerais</t>
  </si>
  <si>
    <t>Atualização de resultado de EE Trophic Junior 1.0 e 1.5</t>
  </si>
  <si>
    <t>Atualização de resultados de reanálise de EE e follow up de pendências</t>
  </si>
  <si>
    <t>Avaliação de parecer de AR sobre categoria do produto</t>
  </si>
  <si>
    <t>Discussão de critérios para estabelecer sobredosagem de pré-mixes</t>
  </si>
  <si>
    <t>Atualização de resultados de T0 do EE do Trohic Soya 1.5</t>
  </si>
  <si>
    <t>Discussão técnica sobre dados apresentados no relatório de EE</t>
  </si>
  <si>
    <t>Revisão de relatório de EE e de administração do Diamax IG RTH</t>
  </si>
  <si>
    <t>Discussão técnica sobre análises que devem ser conduzidas no T12 do IMMAX</t>
  </si>
  <si>
    <t>Solicitações de análise IMMAX, MP PIS e Trophic Fiber</t>
  </si>
  <si>
    <t>Revisão dos relatórios de EE do Diamax IG RTH e Trophic Soya RTH com contribuições de AR</t>
  </si>
  <si>
    <t>Atualização do andamento do projeto de verificação de métodos</t>
  </si>
  <si>
    <t>Webinar sobre métodos analíticos para análise de açucares e fibras</t>
  </si>
  <si>
    <t>Elaboração de relatório de administração para renovação de registro Trophic 1.5 e Basic</t>
  </si>
  <si>
    <t>Avaliação de documentação enviada para desenvolvimento do pré-mix</t>
  </si>
  <si>
    <t>Elaboração de planilha base para especificação de pré mix e conferência de documentos enviados pelo fornecedor</t>
  </si>
  <si>
    <t>Atualização de resultado de reanálise do trophic junior 1.0</t>
  </si>
  <si>
    <t>Revisão de relatório e apresentação para finalização do projeto de verificação de método analítico</t>
  </si>
  <si>
    <t>Follow up com DSM sobre retorno de necessidade de ajuste de pré-mixes</t>
  </si>
  <si>
    <t>Preenchimento da matriz regulatória para renovação do registro do Trophic Basic e 1.5 e disponibilização de documentos para AR</t>
  </si>
  <si>
    <t>Elaboração de respaldo para concentração de ácido fólico no relatório de EE Trophic Basic e 1.5</t>
  </si>
  <si>
    <t>Atualização de ET e verificação de MF</t>
  </si>
  <si>
    <t>Follow up de atividades</t>
  </si>
  <si>
    <t>Revisão de relatório de PL</t>
  </si>
  <si>
    <t>Revisão do relatório de EE</t>
  </si>
  <si>
    <t>Avaliação de pontos levantados pela gerência no reltório de EE do Trophic Basic e 1.5</t>
  </si>
  <si>
    <t>Instalação do misturador da sacheteira e Ajustes, medição de novo acoplamento para sacheteira</t>
  </si>
  <si>
    <t>Revisão de resultados de PL e de documentos do pré-mix</t>
  </si>
  <si>
    <t>Apresentação para finalizar projeto</t>
  </si>
  <si>
    <t>Revisão  de relatório de EE para renovação de registro Trophic 1.5 e Basic</t>
  </si>
  <si>
    <t>Pesquisa para metodologia de determinação de açucares para atendimento a IN75</t>
  </si>
  <si>
    <t>Avaliação da proposta comercial para laboratório CLF</t>
  </si>
  <si>
    <t>Discussão com científico sobre dados de EE para ácido fólico dos produtos Trophic Basic e 1.5</t>
  </si>
  <si>
    <t>Avaliação de dados para elaboração de relatório de EE Trophic Infant</t>
  </si>
  <si>
    <t>Avaliação de alterações no respaldo do ácido fólico para Trophic Basic e 1.5</t>
  </si>
  <si>
    <t>Elaboração de gráficos para compor relatório de EE do produto Trophic Infant</t>
  </si>
  <si>
    <t>Avaliação de Testes estatísticos pertinemtes para elaboração do relatório de EE Trophic Infant</t>
  </si>
  <si>
    <t>Atualização de cronograma do projeto de verificação de método analítico</t>
  </si>
  <si>
    <t>Discussão técnica com laboratório terceiro sobre análises de açúcares, para atendimento a IN 75</t>
  </si>
  <si>
    <t>Discussão técnica sobre resultados de perfil lipidico</t>
  </si>
  <si>
    <t>Treinamento de colaborador em Solicitação de análise</t>
  </si>
  <si>
    <t>Discussão técnica sobre resultados obtidos em análises FQ e posterior Solicitação de análise para trophic junior</t>
  </si>
  <si>
    <t>Avaliação de pré-mix e Solicitação de revisão do pré-mix</t>
  </si>
  <si>
    <t>Discussão técnica com fornecedor, a respeito de gramatura de material de embalagem</t>
  </si>
  <si>
    <t>Avaliação de comparativo entre pré-mix utilizados.</t>
  </si>
  <si>
    <t>Discussão técnica sobre PL</t>
  </si>
  <si>
    <t>Revisão de resultados de PL com análise de colesterol</t>
  </si>
  <si>
    <t>Elaboração de relatório de EE do produto Trophic Infant</t>
  </si>
  <si>
    <t>Follow up de pendências</t>
  </si>
  <si>
    <t>Discussão técnica para desenvolvimento de novo mix</t>
  </si>
  <si>
    <t>Levantamento de produtos que terão análise no mês de setembro</t>
  </si>
  <si>
    <t>Elaboração de apresentação sobre participação em seminário sobre técnicas analíticas para açucares e fibras</t>
  </si>
  <si>
    <t>Follow up de pendências analíticas</t>
  </si>
  <si>
    <t>Revisão do relatório para Trophic Basic e 1.5 com considerações de AR</t>
  </si>
  <si>
    <t>Revisão do relatório para Trophic Basic e 1.5 com considerações de AR e levantamento de documentos necessários para revalidação</t>
  </si>
  <si>
    <t>Avaliação de metodologia para determinação de açucares</t>
  </si>
  <si>
    <t>Apresentação de inovações para matéria-prima</t>
  </si>
  <si>
    <t>Follow up de pendências de resultados</t>
  </si>
  <si>
    <t>Revisão de gráficos para compor relatório de EE do produto Trophic Infant</t>
  </si>
  <si>
    <t>Avaliação de metodologia para determinação de açucares, macronutrientes e perfil lipídico para laboratóri oCLF</t>
  </si>
  <si>
    <t>Follow up de pendências para finalização do projeto de verificação de método analítico</t>
  </si>
  <si>
    <t>Avaliação de orçamentos para análises de EE</t>
  </si>
  <si>
    <t>Avaliação de budget versus necessidade de análises</t>
  </si>
  <si>
    <t>Elaboração relatório de EE do produto Trophic Infant</t>
  </si>
  <si>
    <t>Follow up de questionamentos</t>
  </si>
  <si>
    <t>Avaliação de budget de análises</t>
  </si>
  <si>
    <t>Discussão técnica de tendencias de mercado para categoria de produto</t>
  </si>
  <si>
    <t>Levantamento de documentação necessário para registro do produto como NE</t>
  </si>
  <si>
    <t>Atualização de resultados de EE T12 IMMAX e Avaliação de pendências de reanálise</t>
  </si>
  <si>
    <t>Conferência de proposta analítica para novo laboratório</t>
  </si>
  <si>
    <t>Elaboração de relatório de EE Trophic Infant</t>
  </si>
  <si>
    <t>Solicitação de análise para T0 EE Diamax IG RTH e NH e acompanhamento HNcF</t>
  </si>
  <si>
    <t>Treinamento em Solicitação de Análise de Distribuição de Partículas</t>
  </si>
  <si>
    <t>Follow up de resultados</t>
  </si>
  <si>
    <t>Treinamento e elaboração de especificação Prodiet para pré-mix do produgo</t>
  </si>
  <si>
    <t>Atualização de resultados de análise</t>
  </si>
  <si>
    <t>Levantamento de custo por grupo de análise, para estudos de EE e levantamento do número de análises, para negociação de custo com laboratório.</t>
  </si>
  <si>
    <t>Envio de NF de análise de EE</t>
  </si>
  <si>
    <t>Atualização de resultados em planilha EEALD e EE compliance</t>
  </si>
  <si>
    <t>Solicitação de análise para EE de setembro</t>
  </si>
  <si>
    <t>Solicitação de análise para investigação de corpo estranho</t>
  </si>
  <si>
    <t>Follow up de resultados para EE</t>
  </si>
  <si>
    <t>Conferência de especificação de pré-mix</t>
  </si>
  <si>
    <t>Formatação de planilhas de EE</t>
  </si>
  <si>
    <t>Follow ups de questionamentos aos laboratórios</t>
  </si>
  <si>
    <t>Revisão de número de amostras necessárias</t>
  </si>
  <si>
    <t>Revisão de documentos necessários para registro do produto com NE</t>
  </si>
  <si>
    <t>Abertura de EEALD para novos estudos</t>
  </si>
  <si>
    <t>Discussão técnica sobre registro do produto como NE</t>
  </si>
  <si>
    <t>Desenvolvimento de estratégia para condução do estudo, considerando amostras disponíveis.</t>
  </si>
  <si>
    <t>Follow-up de pendência de resultados analíticos</t>
  </si>
  <si>
    <t>Elaboração de relatório de EE Trophic Infant e Avaliação de processos ANVISA</t>
  </si>
  <si>
    <t>Avaliação de métodos de análise, para determinação de adequação a EE</t>
  </si>
  <si>
    <t>Instalação Recravadora</t>
  </si>
  <si>
    <t>Avaliação de exigência Anvisa para Trophic Soya 1.5</t>
  </si>
  <si>
    <t>Levantamento de dados para Avaliação de exigência Anvisa para Trophic Soya 1.5</t>
  </si>
  <si>
    <t>Atualização e Avaliação de resultados para T3A do Trophic Junior 1.0</t>
  </si>
  <si>
    <t>Elaboração de gráficos para compartilhamento de resultados com fornecedor de pré-mix</t>
  </si>
  <si>
    <t>Revisão de relatório e discussão de resultados de microbiologia.</t>
  </si>
  <si>
    <t>Levantamento bibliográfico para embasamento de Avaliação de EE</t>
  </si>
  <si>
    <t>Atualização e Avaliação de resultados para T3A do Trophic Junior 1.5</t>
  </si>
  <si>
    <t>Revisão bibliográfica para elaboração de relatório de EE Trophic Infant</t>
  </si>
  <si>
    <t>Discussão técnica com AR e gerência sobre relatório de EE</t>
  </si>
  <si>
    <t>Revisão de relatório e pesquisa bibliográfica para embasamento de Testes microbiológicos.</t>
  </si>
  <si>
    <t>Avaliação de método de análise para determinação de glúten</t>
  </si>
  <si>
    <t>Levantamento e Solicitação de número de amostras necessárias para início de EE</t>
  </si>
  <si>
    <t>Discussão com AR sobre requisitos para registro e revisão de relatório de EE</t>
  </si>
  <si>
    <t>Revisão de relatório técnico do produto</t>
  </si>
  <si>
    <t>Avaliação de proposta de método para análise de glúten e verificação de pendencias</t>
  </si>
  <si>
    <t>Solicitação de análise para enterfiber prebiotic</t>
  </si>
  <si>
    <t>Discussão técnica para resposta de exigência do Trophic Soya 1.5</t>
  </si>
  <si>
    <t>Levantamento de dados para Avaliação de resultados Eurofins x SFDK</t>
  </si>
  <si>
    <t>Solicitação de análise para fosfatidilserina</t>
  </si>
  <si>
    <t>Atualização de resultados de EE Peptimax</t>
  </si>
  <si>
    <t>Pesquisa bibliográfica para resposta à exigência Trophic Soya 1.5</t>
  </si>
  <si>
    <t>Avaliação de devolutiva de fornecedor, para desenvolvimento de pré-mix projeto júnior</t>
  </si>
  <si>
    <t>Avaliação de documentos necessários para resposta à exigência Trophic Soya 1.5</t>
  </si>
  <si>
    <t>Elaboração de documentos para resposta à exigência Trophic Soya 1.5</t>
  </si>
  <si>
    <t>Discussão de resultados obtidos para Peptimax</t>
  </si>
  <si>
    <t>Inclusão da Avaliação de carnitina no reltório de EE Diamax IG RTH</t>
  </si>
  <si>
    <t>Discussão técnisas sobre Alteração de fonte de colina</t>
  </si>
  <si>
    <t>Elaboração de gráficos para compor relatório de EE Trophic Fiber</t>
  </si>
  <si>
    <t>Elaboração de gráficos para compor relatório de EE e elaboração de relatório Trophic Fiber</t>
  </si>
  <si>
    <t>Discussão técnica com possível fornecedor de soluções para alimentos</t>
  </si>
  <si>
    <t>Avaliação de resultados de PL</t>
  </si>
  <si>
    <t>Inclusão da IN por dose, no arquivo de ET</t>
  </si>
  <si>
    <t>Apresentação de resultados obtidos pela Cargill para Avaliação de material de embalagem</t>
  </si>
  <si>
    <t>Avaliação do aminograma Retort HN</t>
  </si>
  <si>
    <t>Levantamento de produtos que deverão se retirados das estufas para análise no mês de outubro</t>
  </si>
  <si>
    <t>Discussão técnica e revisão dos resultados esperados para PL</t>
  </si>
  <si>
    <t>Elaboração de relatório de administração para Trophic Fiber</t>
  </si>
  <si>
    <t>Avaliação de metodos analíticos para determinação de gorduras</t>
  </si>
  <si>
    <t>Revisão de relatório de EE e de Administração</t>
  </si>
  <si>
    <t>Preenchimento de matriz regulatório e separação de documentação</t>
  </si>
  <si>
    <t>Solicitação de análise de PL, DP e EC</t>
  </si>
  <si>
    <t>Avaliação de resultados de T0</t>
  </si>
  <si>
    <t>Avaliação de limites de legislação para glúten</t>
  </si>
  <si>
    <t>Solicitação de análise para T6A e LD Trophic Soya</t>
  </si>
  <si>
    <t>Solicitação de aminograma e atualização da planilha de controle de análise</t>
  </si>
  <si>
    <t>Discussão técnica com diretoria e gerência sobre resultados Eurofins x SFDK</t>
  </si>
  <si>
    <t>Envio de NF de análises para pagament</t>
  </si>
  <si>
    <t>Discussão técnica com ITAL sobre métodos de análise de perfil lipidico</t>
  </si>
  <si>
    <t>Elaboração de análises estatísticas para determinação do prazo de validade do produto Trophic Soya 1.5</t>
  </si>
  <si>
    <t>Avaliação de proposta para análise de PL</t>
  </si>
  <si>
    <t>Avaliação e connferência de PDS para pré-mix de minerais do projeto júnior</t>
  </si>
  <si>
    <t>Apresentação do científico de resultado de participação em congresso</t>
  </si>
  <si>
    <t>Inclusão de aminograma em ET Trophid Fiber L</t>
  </si>
  <si>
    <t>Avaliação de proposta de análise de PL</t>
  </si>
  <si>
    <t>Atualização de planilha comparativa de resutaldos de diferentes EE IMMAX</t>
  </si>
  <si>
    <t>Inclusão de aminograma na ET do Trophic Basic Enteral</t>
  </si>
  <si>
    <t>Discussão técnica sobre  condução dos estudos de EE IMMAX</t>
  </si>
  <si>
    <t>Solicitação de revisão de target de cloreto para Trophic Junior</t>
  </si>
  <si>
    <t>Avaliação de metodologia para entendimento dos resultados obtidos em EE</t>
  </si>
  <si>
    <t>Solicitação de análise de aminograma</t>
  </si>
  <si>
    <t>Avaliação de novo target Trophic Júnior e desenho de pré-mix</t>
  </si>
  <si>
    <t>Elaboração de análises estatísticas para determinação do prazo de validade do produto Trophic Soya 1.5, considerando SF de 9 meses</t>
  </si>
  <si>
    <t>Elaboração de análises estatísticas para determinação do prazo de validade do produto Trophic Soya 1.5, considerando SF de 10 meses</t>
  </si>
  <si>
    <t>Elaboração de matriz para Avaliação de laudo x resultados em T0</t>
  </si>
  <si>
    <t>Discussão técnica sobre Avaliação laudo x resultado em T0</t>
  </si>
  <si>
    <t>Avaliação de análise estatística não paramétrica para cálculo de validade do produto Trophic Soya 1.5 e dicussão técnica</t>
  </si>
  <si>
    <t>Discussão técnica sobre Testes retort e Solicitação de cancelamento de análises</t>
  </si>
  <si>
    <t>Revisão de documento para definição do prazo de validade do produto Trophic Soya 1.5</t>
  </si>
  <si>
    <t>Elaboração de resposta para exigência Anviasa do Trophic Soya 1.5- Item 4</t>
  </si>
  <si>
    <t>Avaliação de resultados Peptimax</t>
  </si>
  <si>
    <t>Elaboração de resposta para exigência Anviasa do Trophic Soya 1.5- Item 2</t>
  </si>
  <si>
    <t>Avaliação de MF x resultados obtidos em EE, para Peptimax</t>
  </si>
  <si>
    <t>Formatação de planilhas</t>
  </si>
  <si>
    <t>Levantamento de número de amostras necessárias para EE</t>
  </si>
  <si>
    <t>Discussão técnica sobre resultados de vitaminas e PL do Peptimax</t>
  </si>
  <si>
    <t>Discussão técnica com laboratório sobre reanálise</t>
  </si>
  <si>
    <t>Pesquisa bibliográfica para tomada de decisão de análise para liberação de lote</t>
  </si>
  <si>
    <t>Envio de NF de análises para pagamento</t>
  </si>
  <si>
    <t>Revisão de valor teórico, para EE</t>
  </si>
  <si>
    <t>Integração de nova colaboradora</t>
  </si>
  <si>
    <t>Solicitação de análise para confirmação T18 Peptimax</t>
  </si>
  <si>
    <t>Elaboração relatório Trophic Infant</t>
  </si>
  <si>
    <t>Atualização de resultados de perfil lipidico</t>
  </si>
  <si>
    <t>Avaliação de quantidade de amostras para EE</t>
  </si>
  <si>
    <t>Discussão com consultor sobe abordagens apropriadas para investigação de resultados obtidos pelo novo laboratório</t>
  </si>
  <si>
    <t>Atualização de resultados de esterelidade comercial</t>
  </si>
  <si>
    <t>Discussão sobre status das ativdidades</t>
  </si>
  <si>
    <t>Pesquisa bibliográfica para entendimento de resultados de esterelidade comercial</t>
  </si>
  <si>
    <t>Atualização de resultados para Diamax IG RTH</t>
  </si>
  <si>
    <t>Revisão de respostas a exigência Trophic Soya 1.5</t>
  </si>
  <si>
    <t>Apresentação do científico para início dos projetos Energizyp e Diamax pó</t>
  </si>
  <si>
    <t>Atualização de resultados de fosfolipidios e entendimento dos resultados</t>
  </si>
  <si>
    <t>Atualização de resultados de vitaminas, minerais e macronutrientes</t>
  </si>
  <si>
    <t>Pesquisa bibliográfica para embasamento de conclusões para relatório de EE</t>
  </si>
  <si>
    <t>Atualização do cronograma do projeto de verificação de método analítico</t>
  </si>
  <si>
    <t>Formatação de planilha para sinalização de atendimento a legislação</t>
  </si>
  <si>
    <t>Revisão do relatório de EE Trophic Infant</t>
  </si>
  <si>
    <t>Discussão com AR sobre resposta a exigência ANVISA, para Trophic Soya 1.5</t>
  </si>
  <si>
    <t>Inclusão de análise estatística no relatório final de EE</t>
  </si>
  <si>
    <t>Atualização de resultados IMMAX</t>
  </si>
  <si>
    <t>Avaliação de amostras para continuidade de EE e levantamento de análises nos tempos intermediarios</t>
  </si>
  <si>
    <t>Levantamento de dados para resposta a exigência ANVISA, para Trophic Soya 1.5</t>
  </si>
  <si>
    <t>Avaliação de PDS para desenvolvimento de novo mix para Trophic Júnior</t>
  </si>
  <si>
    <t>Discussão técnica sobre resposnta à exigência Anvisa, para Trophic Soya 1.5</t>
  </si>
  <si>
    <t>Elaboração de resposta para Item 1 da exigência Anvisa, para Trophic Soya 1.5</t>
  </si>
  <si>
    <t>Discussão técnica com laboratório sobre reanálise de perfil lipidico</t>
  </si>
  <si>
    <t>Revisão bibliográfica sobre oxidação de óleos e gorduras</t>
  </si>
  <si>
    <t>Avaliação de documentação para desenvolvimento de pré-mix para Trophic junior</t>
  </si>
  <si>
    <t>Atualização de planilhas de controle</t>
  </si>
  <si>
    <t>Levantamento de pré-mixes que possuem colina agregada</t>
  </si>
  <si>
    <t>Atualização planilha EE compliance</t>
  </si>
  <si>
    <t>Avaliação de resultados de investigação Trophic 1.5</t>
  </si>
  <si>
    <t>Discussão técnica sobre pré-mix do produto Trophic junior</t>
  </si>
  <si>
    <t>Atualização de resultados e elaboração de análise gráfica</t>
  </si>
  <si>
    <t>Revisão de documento para desenvolvimento de pré-mix</t>
  </si>
  <si>
    <t>Integração de P&amp;D</t>
  </si>
  <si>
    <t>Levantamento de necessidade de análise</t>
  </si>
  <si>
    <t>Solicitação de análise para início de EE</t>
  </si>
  <si>
    <t>Atualização de resultados.</t>
  </si>
  <si>
    <t>Avaliação de composição de pre mix e SD aplicada</t>
  </si>
  <si>
    <t>Integração nova funcionária Supply</t>
  </si>
  <si>
    <t>Integração Produção sobre área de P&amp;D</t>
  </si>
  <si>
    <t>Avaliação dos resultados obtidos em EE para Trophic Junior, para Alteração de pré-mix de vitamina, com retirada da colina</t>
  </si>
  <si>
    <t>Pesquisa de laboratório para realização da análise de EC</t>
  </si>
  <si>
    <t>Solicitações de análise para 2 estudo de IMMAX</t>
  </si>
  <si>
    <t>Solicitação analise T0 para vitaminas, minerais e macronutrientes para 5 dietas</t>
  </si>
  <si>
    <t>Inclusão de informação na ET</t>
  </si>
  <si>
    <t>Solicitação de análise para 2 estudos de IMMAX</t>
  </si>
  <si>
    <t>Avaliação de documentação para de pré-mix alternativo</t>
  </si>
  <si>
    <t>Discussão com AR sobre SD em pré-mix</t>
  </si>
  <si>
    <t>Pesquisa bibliográfica sobre fibras solúveis</t>
  </si>
  <si>
    <t>Levantamento de disponibilidade de pré-mix para lote piloto do Trophic Júnior</t>
  </si>
  <si>
    <t>Atualização da documentação de novos pré-mixes</t>
  </si>
  <si>
    <t>Inclusão de respaldo científico no relatório de EE</t>
  </si>
  <si>
    <t>Discussão técnica entre AR e PD sobre SD em pré-mix</t>
  </si>
  <si>
    <t>Levantamento de requisitos legais para valores de colesterol</t>
  </si>
  <si>
    <t>Atualização de limites de colesterol em EEALD</t>
  </si>
  <si>
    <t>Verificação de documentação necessária para início de desenvolvimento de pré-mix alternativo</t>
  </si>
  <si>
    <t>Discussão técnica sobre investigação Trophic 1.5</t>
  </si>
  <si>
    <t>Inventário amostras embalagens + atualização SP</t>
  </si>
  <si>
    <t>Atualização de resultado EE Trophic Soya</t>
  </si>
  <si>
    <t>Atualização de dados sobre material de embalagem no arquivos EEALD Trophic Fiber g e Enterfiber Prebiotic</t>
  </si>
  <si>
    <t>Discussão técnica com gerência sobre contribuição para guia de estabilidade ABIAD e revisão do documento.</t>
  </si>
  <si>
    <t>Solicitações de análise de PL, Vitaminas e Minereais para Energyaip Sênior</t>
  </si>
  <si>
    <t>Revisão de dados para inclusão de colesterol em EEALD</t>
  </si>
  <si>
    <t>Levantamento de resultados e comparativo entre diferentes EE</t>
  </si>
  <si>
    <t>Discussão técnica com AR e Avaliação da exigência Diamax IG RTH</t>
  </si>
  <si>
    <t>Levantamento de dados para indeferimento Trophic Soya RTH</t>
  </si>
  <si>
    <t>Avaliação pré-mix, devido ao valor elevado de pH obtido em Teste piloto</t>
  </si>
  <si>
    <t>Avaliação de resultados T0xT6A para Trophic Fiber g</t>
  </si>
  <si>
    <t>Avaliação de documentos elaborado para AR, sobre Trophic Soya RTH e discussão técnica</t>
  </si>
  <si>
    <t>Discussão técnica sobre necessidade de reanálise, para diferentes produtos</t>
  </si>
  <si>
    <t>Formatação de planilhas EEALD</t>
  </si>
  <si>
    <t>Discussão técnica com AR sobre plano de ação para Trophic Soya RTH</t>
  </si>
  <si>
    <t>Desenvolvimento de pré-mix alternativo para HDMAX (Avaliação de targets)</t>
  </si>
  <si>
    <t>Discussão técnica com diretoria e gerência plano de açao para Trophic Soya RTH</t>
  </si>
  <si>
    <t>Levantamento de necessidade de reanálise</t>
  </si>
  <si>
    <t>Avaliação do parecer de deferimento Trophic Soya 1.5 para aplicação de racional no Trophic Soya RTH</t>
  </si>
  <si>
    <t>Discussão técnica com gerência sobre necessidade de reanálises</t>
  </si>
  <si>
    <t>Discussão técnica com laboratório sobre metodologias a serem aplicadas em reanálises</t>
  </si>
  <si>
    <t>Pesquisa bibliográfica para justificativa da SD na fórmula do Trophic Soya RTH</t>
  </si>
  <si>
    <t>Levantamento de atividades ao longo de 2021</t>
  </si>
  <si>
    <t>Discussão técnica sobre Testes no lote piloto</t>
  </si>
  <si>
    <t>Avaliação de custos de análise e desenho de novo pré-mix</t>
  </si>
  <si>
    <t>Elaboração de documento de Solicitação de reversão de indeferimento</t>
  </si>
  <si>
    <t>Discussão técnica com AR sobre concentração de ácido fólico e decaimento de nutrientes no produto Trophic Soya RTH</t>
  </si>
  <si>
    <t>Atualização de pendências de análise</t>
  </si>
  <si>
    <t>Investigação hidratação MP HSM + contato Ekron</t>
  </si>
  <si>
    <t>Treinamento nos processos produtivos Prodiet</t>
  </si>
  <si>
    <t>Apresentação atividades 2021</t>
  </si>
  <si>
    <t>Atualização de resultados e posicionamento em pendências</t>
  </si>
  <si>
    <t>Atualização de resultados Diamax IG RTH (Teste agosto)</t>
  </si>
  <si>
    <t>Elaboração relatório Trophic Basic</t>
  </si>
  <si>
    <t>Avaliação documentação pra pré-mix minerais Trophic Junior</t>
  </si>
  <si>
    <t>Avaliação de documentação de pré-mix, conforme necessidade da qualidade</t>
  </si>
  <si>
    <t>Elaboração de declaração sobre gorduras totais para Trophic Fiber</t>
  </si>
  <si>
    <t>Avaliação de número de amostras x períodos de EE, uma vez que amostras não foram recebidas pela Eurofins</t>
  </si>
  <si>
    <t>Atualização de resultados de EE e planilhas</t>
  </si>
  <si>
    <t>Discussão técnica sobre continuidade dos estudos de EE</t>
  </si>
  <si>
    <t>Contato com transportadora e laboratório para entendimento do extravio de amostras</t>
  </si>
  <si>
    <t>Inclusão de Teste de peso e formatação de planilha EEALD IMMAX</t>
  </si>
  <si>
    <t>Atualização de resultados IMMAX e elaboração de comparativo</t>
  </si>
  <si>
    <t>Avaliação de documentação de pré-mix, para desenvolvimento de alternativos para HDMAX</t>
  </si>
  <si>
    <t>Discussão técnia sobre resultados IMMAX</t>
  </si>
  <si>
    <t>Discussão técnica com laboratório sobre extravio de amostra</t>
  </si>
  <si>
    <t>Inclusão de valores em 100 kcl em ET e revisão geral</t>
  </si>
  <si>
    <t>Avaliação exigência Diamax IG RTH, para início de elaboração de respostas</t>
  </si>
  <si>
    <t>Levantamento de dados para cumprimento da exigência Diamax IG RTH</t>
  </si>
  <si>
    <t>Discussão técnica sobre gestão de PD</t>
  </si>
  <si>
    <t>Elaboração de documento de resposta exigência Diamax IG RTH</t>
  </si>
  <si>
    <t>Atualização de resultados de EC</t>
  </si>
  <si>
    <t>Discussão técnica com laboratório analítico para programação de análises de 2022</t>
  </si>
  <si>
    <t>Investigação historico desenvolvimento corantes</t>
  </si>
  <si>
    <t>Compilação de preços de análises para 2022</t>
  </si>
  <si>
    <t>Inclusão do respaldo científico no relatório de EE  Trophic Fiber</t>
  </si>
  <si>
    <t>Entendimento das análises de DP</t>
  </si>
  <si>
    <t>Investigação histórico nova MP citrato Na</t>
  </si>
  <si>
    <t>Discussão técnica com AR sobre cumprimento exigência Diamax IG RTH</t>
  </si>
  <si>
    <t>Avaliação de especificação e aceite de especificação de pré-mixes</t>
  </si>
  <si>
    <t>Atualização de resultados e elaboração de estatística</t>
  </si>
  <si>
    <t>Avaliação de especificação de equipamento de atividade de água para orçamento 2022</t>
  </si>
  <si>
    <t>Discussão técnica entre AR e PD sobre proposta de ações para gerência</t>
  </si>
  <si>
    <t>Avaliação de impacto de mudança de nível em pré-mix</t>
  </si>
  <si>
    <t>Avaliação de documentação de pré-mix padrão x alternativo</t>
  </si>
  <si>
    <t>Discussão técnica junto à DSM sobre requisitos para desenvolvimento de pré-mix</t>
  </si>
  <si>
    <t>Elaboração para resposta exigência Diamax IG RTH</t>
  </si>
  <si>
    <t>Levantamento de dados para resposta a questionamento do parceiro na colombia</t>
  </si>
  <si>
    <t>Avaliação de documentos sobre ácido fólico para documento de indeferimento Trophic Soya RTH</t>
  </si>
  <si>
    <t>Avaliação de documentação de mixes de diferentes fornecedores para comparação</t>
  </si>
  <si>
    <t>Discussão técnica com fornecedor Mcassab, para correção de documentação</t>
  </si>
  <si>
    <t>Revisão de resultados</t>
  </si>
  <si>
    <t>Atualização de resultados e elaboração de gráficos comparativos entre os diferentes estudos de IMMAX</t>
  </si>
  <si>
    <t>Revisão dos comentário da gerência sobre documento para reversão do indeferimento do Trophic Soya RTH</t>
  </si>
  <si>
    <t>Solicitação de análise, separação e preparo de amostras para envio para análise</t>
  </si>
  <si>
    <t>Avaliação de modificação de documento de declaração de composição de pré-mix Mcassab</t>
  </si>
  <si>
    <t>Avaliação COA versus resultados de EE para Peotimax</t>
  </si>
  <si>
    <t>Envio de NF para pagamentos</t>
  </si>
  <si>
    <t>Elaboração da aba relatório em EEALD</t>
  </si>
  <si>
    <t>Elaboração de gráficos para Avaliação de EE Peptimax</t>
  </si>
  <si>
    <t>Discussão técnica sobre estratégia para resposta a exigência Diamax IG RTH</t>
  </si>
  <si>
    <t>Levantamento de análises de EE para dez</t>
  </si>
  <si>
    <t>Elaboração de documento de embasamento de IN, para registro Diamax IG na Colômbia</t>
  </si>
  <si>
    <t>Elaboração e revisão de respostas para exigência Diamax IG RTH</t>
  </si>
  <si>
    <t>Envio de necessidade de análise de EE para dezembro</t>
  </si>
  <si>
    <t>Elaboração de resposta para discussão técnica com LCT</t>
  </si>
  <si>
    <t>Atualização de resultados Peptimax</t>
  </si>
  <si>
    <t>Conferência de limites de especificação de pré-mixes</t>
  </si>
  <si>
    <t>Discussão técnica com Sternim sobre especificação de iodo em pré-mix</t>
  </si>
  <si>
    <t>Atualização de resultados e planilhas de controle</t>
  </si>
  <si>
    <t>Avaliação de métodos que serão aplicados em EE para 2022</t>
  </si>
  <si>
    <t>Revisão de documentos enviados para registro e Avaliação de pontos levantados por AR para recurso</t>
  </si>
  <si>
    <t>Avaliação de literatura para estudos de EE não-inferioridade</t>
  </si>
  <si>
    <t>Avaliação de certificado de análise versus resultados obtidos em EE</t>
  </si>
  <si>
    <t>Envio de NF para análise</t>
  </si>
  <si>
    <t>Solicitação de análise Trophic Fiber</t>
  </si>
  <si>
    <t>Alinhamento técnico sobre estratégia para renovação de registro do produto Trophic Fiber</t>
  </si>
  <si>
    <t>Revisão de custos análiticos para oraçamento 2022</t>
  </si>
  <si>
    <t>Investigação histórico premix + tempos mistura nova fábrica + contato fornecedor premix</t>
  </si>
  <si>
    <t>Elaboração de gráficos para Avaliação de EE Trophic Fiber po</t>
  </si>
  <si>
    <t>Elaboração de documento explicativo para nível de uso de pré-mix</t>
  </si>
  <si>
    <t>Avaliação de documentação de pré-mix de vitaminas e minerais</t>
  </si>
  <si>
    <t>Avaliação de dados de fabricação de pré-mix Stern, para tomada de decisão sobre aceitação de lote</t>
  </si>
  <si>
    <t>Elaboração de resposta a fornecedor StermMin</t>
  </si>
  <si>
    <t>Atualização de resultados e gráficos para Avaliação</t>
  </si>
  <si>
    <t>Levantamento bibliográfico sobre estudos de não-inferioridade</t>
  </si>
  <si>
    <t>Atualização de resultados e Avaliação crítica</t>
  </si>
  <si>
    <t>Revisão de resultados e elaboração de comparativos entre os estudos iniciados</t>
  </si>
  <si>
    <t>Discussão técnica sobre resultados de vitamina B1 obtidos</t>
  </si>
  <si>
    <t>Revisão de planilhas para compilação de resultados</t>
  </si>
  <si>
    <t>Participação em discussão técnica ESA</t>
  </si>
  <si>
    <t>Elaboração de comparativo entre resultados dos estudos de EE iniciados e início de discussão técnica com DSM sobre decaimento da vitamina B1</t>
  </si>
  <si>
    <t>Revisão bibliográfica sobre comportamento de minerais, a fim de explicar presença de granulos no pré-mix do produto Bemmax</t>
  </si>
  <si>
    <t>Atualização de cronograma de projetos</t>
  </si>
  <si>
    <t>Discussão técnica sobre ET, ET provisória e ETPR</t>
  </si>
  <si>
    <t>Atualização de planilha de controle de análises</t>
  </si>
  <si>
    <t>Solicitação de análise e abertura de EEALD</t>
  </si>
  <si>
    <t>Alinhamento de atividades MKTXARXPDXIB</t>
  </si>
  <si>
    <t>Revisão bibliográfica sobre dados de decaimento de vitaminas</t>
  </si>
  <si>
    <t>Avaliação de proposta comercial para análises de EE 2022</t>
  </si>
  <si>
    <t>Discussão técnica sobre análise de corpos cetônicos e busca por realização de análise</t>
  </si>
  <si>
    <t>Revisão bibliográfica sobre estudos de não-inferioridade</t>
  </si>
  <si>
    <t>Discussão técnica sobre melhorias da gestão</t>
  </si>
  <si>
    <t>Discussão técnica com científico sobre métodos de análise de corpos cetônicsox</t>
  </si>
  <si>
    <t>Elaboração de gráficos para relatório de EE Peptimax</t>
  </si>
  <si>
    <t>Revisão bibliográfica para Avaliação de fontes de nutrientes em pré-mix de minerais</t>
  </si>
  <si>
    <t>Elaboração de planilha para compilar resultados e início da elaboração do relatório</t>
  </si>
  <si>
    <t>Revisão bibliográfica para comportamento de vitaminas sensivieis ao pH</t>
  </si>
  <si>
    <t>Discussão técnica sobre atividades e apresentação do budget aprovado para 2022</t>
  </si>
  <si>
    <t>Avaliação de requisitos regulatórios para aminograma</t>
  </si>
  <si>
    <t>Revisão de relatório com decaimento de vitaminas sensíveis ao pH maior que 7</t>
  </si>
  <si>
    <t>Leitura das comentários da gerência no relatório de EE.</t>
  </si>
  <si>
    <t>Pesquisa bibliográfica para comportamento vitamina B1</t>
  </si>
  <si>
    <t>Discussão técnica sobre quantidade de amostras necessárias para estudo</t>
  </si>
  <si>
    <t>Atualização de resultados e de planilha EE complience</t>
  </si>
  <si>
    <t>Discussão técnica sobre resultados de vitaminas sensíveis ao pH</t>
  </si>
  <si>
    <t>Discussão técnica com Ital sobre resultados de perfil lipídico</t>
  </si>
  <si>
    <t>Avaliação do laudo de aminograma para produto NHcF</t>
  </si>
  <si>
    <t>Revisão bibliográfica sobre estudos preditivos e modelos estatísticos</t>
  </si>
  <si>
    <t>Avaliação de controle de mudança referente a material de embalagem plástico, conforme RDC589/2021</t>
  </si>
  <si>
    <t>Avaliação de requisitos necessários para condução de Teste para verificação de manutenção de vácuo em produtos em pó</t>
  </si>
  <si>
    <t>Avaliação de método analítico utilizado para análise de aminograma</t>
  </si>
  <si>
    <t>Avaliação de documentação de pré-mix de minerais com magnésio integrado</t>
  </si>
  <si>
    <t>Discussão técnica sobre impacto do controle de mudança referente a material de embalagem plástico, conforme RDC589/2021</t>
  </si>
  <si>
    <t>Avaliação de documentação de pré-mix de minerais com magnésio integrado e entendimento de Master File</t>
  </si>
  <si>
    <t>Avaliação do relatório de EE para Trophic Infant</t>
  </si>
  <si>
    <t>Discussão técnica com AR sobre registro Trophic Infant</t>
  </si>
  <si>
    <t>Avaliação de Testes estatísticos para Avaliação EE Peptimax</t>
  </si>
  <si>
    <t>Desenvolvimento pré-mix de vitaminas</t>
  </si>
  <si>
    <t>Leitura de atualização de procedimentos</t>
  </si>
  <si>
    <t>Avaliação de risco para registro de Trophic Infant como novo produto</t>
  </si>
  <si>
    <t>Elaboração de racional para construção de pré-mix baseado no target</t>
  </si>
  <si>
    <t>Discussão técnica com diretoria sobre os riscos regulatórios no novo processo para o produto Trophic Infant</t>
  </si>
  <si>
    <t>Avaliação de dados para compor ET para produto Trophic Infatn</t>
  </si>
  <si>
    <t>Avaliação controle de mudança Trophic Basic Enteral</t>
  </si>
  <si>
    <t>Elaboração IN Pepetimax</t>
  </si>
  <si>
    <t>Discussão técnica sobre andamento das atividades</t>
  </si>
  <si>
    <t>Revisão ET Trophic Infant</t>
  </si>
  <si>
    <t>Avaliação de dados para escolha de Testes estatísticos pertinentes para EE Trophic Soya</t>
  </si>
  <si>
    <t>Avaliação de resultados analíticos, conforme solicitado pela Qualidade</t>
  </si>
  <si>
    <t>Leitura de briefing Diamax pó e energizyp pó para desenvolvimento de pré-mix</t>
  </si>
  <si>
    <t>Leitura de parecer de indeferimento Nutrivello</t>
  </si>
  <si>
    <t>Leitura do documento para resposta exigência Diamax IG RTH</t>
  </si>
  <si>
    <t>Participação em Webnar Anvisa sobre informação nutricional</t>
  </si>
  <si>
    <t>Participação em webniar do Ital sobre material de embalagem</t>
  </si>
  <si>
    <t>Revisão de orçamento para 2022 após Recebimento de proposta comercial atualizada com descontos</t>
  </si>
  <si>
    <t>Revisão de valores de análise para orçamento 2022</t>
  </si>
  <si>
    <t>Alinhamento alterações de Mix Immax/ Humalin</t>
  </si>
  <si>
    <t>Alinhamento das pesagens e elaboração das etiquetas</t>
  </si>
  <si>
    <t>Alinhamento industrial próximos passos</t>
  </si>
  <si>
    <t>Alinhamento recravadeira</t>
  </si>
  <si>
    <t>Aprovação do controle de mudanças</t>
  </si>
  <si>
    <t>Investigação pH elevado premix</t>
  </si>
  <si>
    <t>Investigação premix antigo x novo</t>
  </si>
  <si>
    <t>Ajustes e Produção Neo</t>
  </si>
  <si>
    <t>Produção Clear</t>
  </si>
  <si>
    <t>Produção Immax</t>
  </si>
  <si>
    <t>Alinhamento Técnico</t>
  </si>
  <si>
    <t>Investigação resultado aminograma HH e NHcF + contato fornecedor proteínas + contato fornecedor premix novo FS 12016</t>
  </si>
  <si>
    <t>Investigação teor de lactose novo WPI IMCD</t>
  </si>
  <si>
    <t>Novos Testes de envase</t>
  </si>
  <si>
    <t>Produção Sachê ProteinPT whey</t>
  </si>
  <si>
    <t>Ajustes sacheteira (peneira) e Produção Sachê ProteinPT whey</t>
  </si>
  <si>
    <t>Alinhamento técnico - próximos passos sacheteira</t>
  </si>
  <si>
    <t>Finalização IF dos produtos Jumbos.</t>
  </si>
  <si>
    <t>Produção jumbo T. Fiber e T. Basic</t>
  </si>
  <si>
    <t>Acompanhamento e suporte para pesagens</t>
  </si>
  <si>
    <t>Kick-off - briefing</t>
  </si>
  <si>
    <t>Kick-off projeto Sistema Fechado UTI</t>
  </si>
  <si>
    <t>Lançamento do novo produto</t>
  </si>
  <si>
    <t>Lançamento dos produtos dose única (T. Soya; T. Fiber; T. 1.5) de 250mL.</t>
  </si>
  <si>
    <t>Lançamento dose única</t>
  </si>
  <si>
    <t>Ajustes de máquina e Produção ProteinPT Whey</t>
  </si>
  <si>
    <t>Acompanhamento abastecimento Teste Peptimax com peneira de 2mm na verticalização</t>
  </si>
  <si>
    <t>Produção T. basic Jumbo</t>
  </si>
  <si>
    <t>Produção T. Fiber Jumbo</t>
  </si>
  <si>
    <t>Lançamento novo PA</t>
  </si>
  <si>
    <t>Liberação e atualização de cadastro Sachê Humalin 52g</t>
  </si>
  <si>
    <t>Recebimento da peça do misturador da sacheteira e Teste de mistura com T. Basic</t>
  </si>
  <si>
    <t>Teste mistura T. Basic com tempos de misturas.</t>
  </si>
  <si>
    <t>Teste WPI DMV no T. basic 400g</t>
  </si>
  <si>
    <t>Teste WPI Sooro no Immax 350g</t>
  </si>
  <si>
    <t>Teste mistura e envase de NEo na saheteira com umidificador</t>
  </si>
  <si>
    <t>Testes de mistura no misturador Sachê</t>
  </si>
  <si>
    <t>Teste de envase de Malto indemil no produto Carboch 400g</t>
  </si>
  <si>
    <t>Mistura e envase do Teste de enterfiber Prebiotic 5g com umidificador</t>
  </si>
  <si>
    <t>Abastecimento e mistura do Teste Immax para Protesa</t>
  </si>
  <si>
    <t>Teste de mistura com T. Basic em tempos de 15 e 20min para análise</t>
  </si>
  <si>
    <t>Testes de mistura e envase</t>
  </si>
  <si>
    <t>Produção immax</t>
  </si>
  <si>
    <t>Preparação para Teste NEO 13,75gr</t>
  </si>
  <si>
    <t>Teste sache NEO 13,75 gr</t>
  </si>
  <si>
    <t>Planejamento Setup Recravadora e Testes de hermeticidade para latas</t>
  </si>
  <si>
    <t>Produção clear</t>
  </si>
  <si>
    <t>Produção jumbo</t>
  </si>
  <si>
    <t>Produção Carboch 25g Sachê</t>
  </si>
  <si>
    <t>Reunião com brasilata para possiveis Testes de hermeticidade</t>
  </si>
  <si>
    <t>ProduçãoProteinPT Whey 15g</t>
  </si>
  <si>
    <t>Reunião para definição dos proximos passos para adequação fabrica</t>
  </si>
  <si>
    <t>Reunião para definição dos Teste de hermeticidade com sonoco</t>
  </si>
  <si>
    <t>Produção jumbo T Basic</t>
  </si>
  <si>
    <t>Envase Trophic Basic 2,07kg</t>
  </si>
  <si>
    <t>Envase Trophic Fiber 1,92kg</t>
  </si>
  <si>
    <t>Pesagem, mistura  e Teste de envase da formula</t>
  </si>
  <si>
    <t>Pesagem e Teste de envase</t>
  </si>
  <si>
    <t>Liberação sensorial linha envase Enu</t>
  </si>
  <si>
    <t>Limpeza por arraste e Ajustes de solda na sacheteira</t>
  </si>
  <si>
    <t>Limpeza por arraste, Ajustes de solda e equipamento sacheteira</t>
  </si>
  <si>
    <t>Matriz regulatória</t>
  </si>
  <si>
    <t>Treinamento com técnico Mocmaq da recravadeira</t>
  </si>
  <si>
    <t>MF com Alteração mix</t>
  </si>
  <si>
    <t>Produção ProteinPT Whey</t>
  </si>
  <si>
    <t>Acompanhamento pesagem, colocação de dosador, fechamento, impressao pote e impressao caixa da amostra de T. Basic Enteral</t>
  </si>
  <si>
    <t>Acompanhamento da Pesagem para Teste ADMIX</t>
  </si>
  <si>
    <t>Emissão de etiquetas e conferencia das pesagens para  o Teste ADMIX</t>
  </si>
  <si>
    <t>Salva de CoA dos lotes utilizados no Teste ADMIX</t>
  </si>
  <si>
    <t>Acompanhamento Teste da Sucralose Kambo no T. Basic</t>
  </si>
  <si>
    <t>Acompanhamento da embalagem e paletização do Protein Pt Whey</t>
  </si>
  <si>
    <t>Teste de envase e recravação para Teste shipping test</t>
  </si>
  <si>
    <t>Acompanhamento pesagem T. Basic e validação do tempo de mistura do mini bin para linha Sachê</t>
  </si>
  <si>
    <t>Acompanhamento Setup para Produção Neo</t>
  </si>
  <si>
    <t>Acompanhamento mistura Inst Neo e Ajustes para início de envase</t>
  </si>
  <si>
    <t>Acompanhamento Produção Instanth Neo</t>
  </si>
  <si>
    <t>Acompanhamento Produção T. Basic Jumbo</t>
  </si>
  <si>
    <t>Acompanhamento Produção T. Fiber Jumbo</t>
  </si>
  <si>
    <t>MF com mix redesenhado</t>
  </si>
  <si>
    <t>Acompanhamento mistura e envase do ENU Italy e ENU EUA - formulação Immax</t>
  </si>
  <si>
    <t>Acompanhamento Produção INst Clear</t>
  </si>
  <si>
    <t>Pesagem e conferencia de MPs para Teste ADmix</t>
  </si>
  <si>
    <t>Produção Protein PT Whey 15g</t>
  </si>
  <si>
    <t>MF V01 - nível uso aditivos</t>
  </si>
  <si>
    <t>Produção Humalin 45g</t>
  </si>
  <si>
    <t>Acompanhamento e separação para fracionamento retort</t>
  </si>
  <si>
    <t>Cadastro, emissão de NF, identificação e envio das amostras para Teste Admix</t>
  </si>
  <si>
    <t>Conferência e salvamento dos laudos dos lotes utilizados no fracionamento</t>
  </si>
  <si>
    <t>MF V01 Energyzip pó</t>
  </si>
  <si>
    <t>Acompanhamento e finalização Produção Humalin 45g</t>
  </si>
  <si>
    <t>Acompanhamento e separação das frações</t>
  </si>
  <si>
    <t>Produção T. Basic 2,07Kg</t>
  </si>
  <si>
    <t>Acompanhamento pesagem mix para retort</t>
  </si>
  <si>
    <t>Produção Inst. Clear</t>
  </si>
  <si>
    <t>Modificações e envio do relatório sobre processos aplicados visando melhorar a viscosidade de Produtos UHT</t>
  </si>
  <si>
    <t>Montagem e Setup para enterfiber</t>
  </si>
  <si>
    <t>Acompanhamento fracionamento e mistura do enterfiber 5g</t>
  </si>
  <si>
    <t>Ajustes sacheteira e checkweighter  para Enterfiber  5g</t>
  </si>
  <si>
    <t>Produção T. Fiber 1,92kg</t>
  </si>
  <si>
    <t>Produção Enterfiber 5g e montagem displays</t>
  </si>
  <si>
    <t>Acompanhamento Produção enterfiber 5g</t>
  </si>
  <si>
    <t>Acompanhamento Produção Carboch 25g</t>
  </si>
  <si>
    <t>Acompanhamento pesagem, mistura e envase Basic Enteral</t>
  </si>
  <si>
    <t>Acompanhamento mistura e Setup NEO</t>
  </si>
  <si>
    <t>Acompanhamento mistura e Produção NEO</t>
  </si>
  <si>
    <t>Ajustes e Produção Inst Neo</t>
  </si>
  <si>
    <t>Teste envase 800 e 900g Infant em lata recravada</t>
  </si>
  <si>
    <t>Mudança de pasta no SP</t>
  </si>
  <si>
    <t>Acompanhamento pesagem e abastecimento Testes peptimax (TCM) e T. fiber (polidextrose)</t>
  </si>
  <si>
    <t>Envase dos Testes</t>
  </si>
  <si>
    <t>Teste recravadeira de T. Fiber lata 400g</t>
  </si>
  <si>
    <t>Envase do T. Neo Sachê</t>
  </si>
  <si>
    <t>Acompanhamento pesagem Testes retort</t>
  </si>
  <si>
    <t>Produção do T Basic Enteral</t>
  </si>
  <si>
    <t>Acompanhamento Produção do T Basic Enteral</t>
  </si>
  <si>
    <t>Produção porteinpt whey</t>
  </si>
  <si>
    <t>Preparação e Teste de envase enterfiber na recravadeira</t>
  </si>
  <si>
    <t>Produção Proteinpt whey</t>
  </si>
  <si>
    <t>Produção T: Basic Enteral pote</t>
  </si>
  <si>
    <t>Acompanhamento das pesagens</t>
  </si>
  <si>
    <t>Mudança dos materiais do laboratório de FQ para o laboratório de processos, organização e separação das MP de P&amp;D</t>
  </si>
  <si>
    <t>Produção INst. Neo</t>
  </si>
  <si>
    <t>Teste de envase e recravação do E senior 700g</t>
  </si>
  <si>
    <t>Teste de envase e recravação Bemmax 700g</t>
  </si>
  <si>
    <t>Teste de envase e recravação Immax 600g</t>
  </si>
  <si>
    <t>Teste de envase e recravação T infant 800g</t>
  </si>
  <si>
    <t>Mudança laboratório</t>
  </si>
  <si>
    <t>Produção T B enteral 800g</t>
  </si>
  <si>
    <t>Acompanhamento Produção Bemmax</t>
  </si>
  <si>
    <t>Acompanhamento Produção T BAsic enteral Recravadas</t>
  </si>
  <si>
    <t>Acompanhamento Produção T Infant Recravada</t>
  </si>
  <si>
    <t>Teste de envase e recravação do E. senior 400g latas 99</t>
  </si>
  <si>
    <t>Acompanhamento Setup e Produção Proteinpt 15g</t>
  </si>
  <si>
    <t>Acompanhamento da Produção de Immax recravada 350g</t>
  </si>
  <si>
    <t>Acompanhamento da Produção de Humalin recravada 700g</t>
  </si>
  <si>
    <t>Acompanhamento da Produção de Immax recravada 700g</t>
  </si>
  <si>
    <t>Setup  para Produção Carboch 25g</t>
  </si>
  <si>
    <t>Setup da sacheteira para Produção Neo</t>
  </si>
  <si>
    <t>Setup e Ajustes linha para Produção jumbo T. Fiber</t>
  </si>
  <si>
    <t>Setup e envase do T. Neo Sachê</t>
  </si>
  <si>
    <t>Setup e inicia Produção protein pt whey</t>
  </si>
  <si>
    <t>Setup e inicio de sache protein pt</t>
  </si>
  <si>
    <t>Setup e inicio Produção Jumbo</t>
  </si>
  <si>
    <t>Setup e Produção do T Basic Enteral</t>
  </si>
  <si>
    <t>Setup e Produção do T Basic Enteral 400g em lata recravada</t>
  </si>
  <si>
    <t>Setup e Produção inst. clear</t>
  </si>
  <si>
    <t>Setup e Produção jumbo</t>
  </si>
  <si>
    <t>Setup e Produção Jumbo Basic 2,07kG</t>
  </si>
  <si>
    <t>Setup e Produção na recravadeira</t>
  </si>
  <si>
    <t>Setup Produção Neo</t>
  </si>
  <si>
    <t>Setup sacheteira</t>
  </si>
  <si>
    <t>Setup sacheteira para inicio Produção Humalin 45g</t>
  </si>
  <si>
    <t>Setup, sensorial e envase do immax da recravadeira</t>
  </si>
  <si>
    <t>Alinhamento anual área Técnica - 2021 e perspectivas 2022</t>
  </si>
  <si>
    <t>Alinhamento AR - nova rotulagem alimentos</t>
  </si>
  <si>
    <t>Alinhamento AR x C x P&amp;D - nronograma 2022</t>
  </si>
  <si>
    <t>Alinhamento checagem MF</t>
  </si>
  <si>
    <t>Alinhamento CoA de fontes de micronutrientes em SP</t>
  </si>
  <si>
    <t>Alinhamento comercialização</t>
  </si>
  <si>
    <t>Alinhamento comitê sourcing + atualizações sistema código sucralose</t>
  </si>
  <si>
    <t>Alinhamento cronograma Sachês a vácuo</t>
  </si>
  <si>
    <t>Alinhamento descarte mix</t>
  </si>
  <si>
    <t>Alinhamento desenvolvimento novas MP's</t>
  </si>
  <si>
    <t>Alinhamento divisão atividades para gestão dos EE</t>
  </si>
  <si>
    <t>Alinhamento docs Centric</t>
  </si>
  <si>
    <t>Alinhamento envios placebo para Covalidação</t>
  </si>
  <si>
    <t>Alinhamento equipe técnica - status projeto</t>
  </si>
  <si>
    <t>Alinhamento escopo final Centric</t>
  </si>
  <si>
    <t>Alinhamento estrutura e comercialização kits</t>
  </si>
  <si>
    <t>Alinhamento feedback simulações</t>
  </si>
  <si>
    <t>Alinhamento fornecedor - novo WPI da Holanda</t>
  </si>
  <si>
    <t>Alinhamento fornecedor novo WPI + planejamento TB</t>
  </si>
  <si>
    <t>Alinhamento gerência técnica - retorno férias + contato Castrolanda (tempos mistura) + Avaliação novos fornecedores pouch</t>
  </si>
  <si>
    <t>Alinhamento interno - Avaliação novo premix vitaminas com SL 6 meses</t>
  </si>
  <si>
    <t>Alinhamento interno - entendimento quantidade amostras Eurofins</t>
  </si>
  <si>
    <t>Alinhamento interno - envios T0</t>
  </si>
  <si>
    <t>Alinhamento interno - IF's Protheus</t>
  </si>
  <si>
    <t>Alinhamento interno - novas MP's para início da Produção</t>
  </si>
  <si>
    <t>Alinhamento interno - novo fornecedor óleos em pó + atualizações SP/P nova sucralose</t>
  </si>
  <si>
    <t>Alinhamento interno - novo ppt P&amp;D fábrica + atualização ppt</t>
  </si>
  <si>
    <t>Alinhamento interno instalação envasadora + contato Embrapa + racional HSM</t>
  </si>
  <si>
    <t>Alinhamento interno P&amp;D - opções de formulação + processo</t>
  </si>
  <si>
    <t>Alinhamento junto a fornecedor - lista equivalência fontes min/vit</t>
  </si>
  <si>
    <t>Alinhamento junto a Supply - CasCa EM 9</t>
  </si>
  <si>
    <t>Alinhamento junto a Supply - novos desenvolvimentos 2019-20-21</t>
  </si>
  <si>
    <t>Alinhamento junto ao Científico - análise viscosidade diferentes consistências</t>
  </si>
  <si>
    <t>Alinhamento junto ao fornecedor - assinaturas dos PDS + padronização docs para a Prodiet</t>
  </si>
  <si>
    <t>Alinhamento líderes cronogramas projetos</t>
  </si>
  <si>
    <t>Alinhamento materiais em contato com alimentos</t>
  </si>
  <si>
    <t>Alinhamento métodos análise viscosidades</t>
  </si>
  <si>
    <t>Alinhamento nova rotulagem nutricional obrigatória</t>
  </si>
  <si>
    <t>Alinhamento novas análises nos estudos de EE</t>
  </si>
  <si>
    <t>Alinhamento novo adaptador + equipo</t>
  </si>
  <si>
    <t>Alinhamento novo adaptador + equipo - fornecedor</t>
  </si>
  <si>
    <t>Alinhamento P&amp;D - cronograma S&amp;OP</t>
  </si>
  <si>
    <t>Alinhamento pesagens de MP's para TP</t>
  </si>
  <si>
    <t>Alinhamento previsão janela Produção + distribuição correlatos</t>
  </si>
  <si>
    <t>Alinhamento Q - specs Prodiet x novos desenvolvimentos</t>
  </si>
  <si>
    <t>Alinhamento resultados Vit B1 + contato fornecedores w-3 dieta UTI</t>
  </si>
  <si>
    <t>Alinhamento retorno Centric - requerimentos</t>
  </si>
  <si>
    <t>Alinhamento revisão docs capacidade fabril</t>
  </si>
  <si>
    <t>Alinhamento sobre desvios PA Castro - alterações consistência</t>
  </si>
  <si>
    <t>Alinhamento specs PA</t>
  </si>
  <si>
    <t>Alinhamento Supply - contatos fornecedores Sachês a vácuo</t>
  </si>
  <si>
    <t>Alinhamento supply - status embalagens</t>
  </si>
  <si>
    <t>Alinhamento supply - status projeto</t>
  </si>
  <si>
    <t>Alinhamento supply - TP CasCa Alibra em Castro + coordenação TP FOS Galam Castro + PIS Indukern (aminograma)</t>
  </si>
  <si>
    <t>Alinhamento T0 Eurofins - amostras T0</t>
  </si>
  <si>
    <t>Alinhamento TB com hanger e equipo</t>
  </si>
  <si>
    <t>Alinhamento TB equipo Samtronic</t>
  </si>
  <si>
    <t>Análise instruções uso equipo Prodiet</t>
  </si>
  <si>
    <t>Aprovação OS análise PL</t>
  </si>
  <si>
    <t>Arrumação salinha amostras P&amp;D</t>
  </si>
  <si>
    <t>Conferência orçamento análises Eurofins</t>
  </si>
  <si>
    <t>Contato Castrolanda - Teste novo citrato K / Solicitação orçamento dispositivo bx viscosidade</t>
  </si>
  <si>
    <t>Desenvolvimento conector embalagem 250mL</t>
  </si>
  <si>
    <t>Direcionamento etapas aprovação óleo de soja</t>
  </si>
  <si>
    <t>Follow-up Produção Castro</t>
  </si>
  <si>
    <t>Inserção estufa</t>
  </si>
  <si>
    <t>Inserção produtos Teste Embrapa estufas + envios T0</t>
  </si>
  <si>
    <t>Inserção Trophic EP e Trophic Soya na estufa + análise peso T0</t>
  </si>
  <si>
    <t>Compilação documentos MP's produtos diversos para Grécia</t>
  </si>
  <si>
    <t>Mudança salinha P&amp;D</t>
  </si>
  <si>
    <t>Envio concorrentes e NN para análise de aminograma no NPAL (EUA)</t>
  </si>
  <si>
    <t>Planejamento TP novo citrato K</t>
  </si>
  <si>
    <t>Atualização ETPR novo SKU</t>
  </si>
  <si>
    <t>Planejamento novo Teste Embrapa + contato Embrapa</t>
  </si>
  <si>
    <t>Contato fornecedores - aprovação novas MPs para início de Produção (isomaltulose + citrato Na)</t>
  </si>
  <si>
    <t>Desenvolvimento pouches - contato fornecedor</t>
  </si>
  <si>
    <t>Planejamento TB novo monodi</t>
  </si>
  <si>
    <t>Avaliação FT's novos premixes + Solicitação correções</t>
  </si>
  <si>
    <t>Pesquisa básica - misturador alto cisalhamento</t>
  </si>
  <si>
    <t>Análise novos desenvolvimentos MP's para sumário executivo</t>
  </si>
  <si>
    <t>Entendimento funcionamento misturador alto cisalhamento</t>
  </si>
  <si>
    <t>Entendimento embalagens a vácuo + contato fornecedor</t>
  </si>
  <si>
    <t>Planejamento envio Energyzip Baunilha T12 + Avaliação MP's pendentes desenvolvimento x Supply</t>
  </si>
  <si>
    <t>Avaliação nova amostra pouches</t>
  </si>
  <si>
    <t>Contato NPAL (EUA) - chegada amostras para aminograma</t>
  </si>
  <si>
    <t>Avaliação FT's novos premixes</t>
  </si>
  <si>
    <t>Planejamento envio Energyzip Baunilha T12 + envio pra lab externo</t>
  </si>
  <si>
    <t>Atualização sistema - Trophic Soya SVPC</t>
  </si>
  <si>
    <t>Auxílio Supply - novo fornecedor WPI</t>
  </si>
  <si>
    <t>Planejamento novo Teste Embrapa</t>
  </si>
  <si>
    <t>Solicitações cadastros novo produto deferido Anvisa</t>
  </si>
  <si>
    <t>Atualizações sistema - novas nomenclaturas premixes DSM</t>
  </si>
  <si>
    <t>Novo MF com Omegavie</t>
  </si>
  <si>
    <t>Discussão técnica estrutura Sachês a vácuo + contato fornecedor</t>
  </si>
  <si>
    <t>Treinamento processos retort e UHT</t>
  </si>
  <si>
    <t>Planejamento envio análise externa - produtos T12</t>
  </si>
  <si>
    <t>Discussão técnica estrutura Sachês a vácuo</t>
  </si>
  <si>
    <t>Retirada da estufa produtos T12 / Análises FQ T12 - E. Baunilha + E. 1.0</t>
  </si>
  <si>
    <t>Avaliação visual dietas último Teste Embrapa</t>
  </si>
  <si>
    <t>Planejamento Treinamento estruturas Protheus + atualizações sistema com novos códigos</t>
  </si>
  <si>
    <t>Verificação Solicitação lab externo - qtd amostras para análises</t>
  </si>
  <si>
    <t>Solicitação amostras Sachês a vácuo</t>
  </si>
  <si>
    <t>Avaliação DC/alergênicos/IN novos premixes + Solicitação correções</t>
  </si>
  <si>
    <t>Atualização MF com novos premixes</t>
  </si>
  <si>
    <t>Planejamento envio pouches para Teste em fornecedor envasadora + elaboração novos MF HN e HH</t>
  </si>
  <si>
    <t>Planejamento envio lab externo produtos T12 + preenchimento solicitações lab externo</t>
  </si>
  <si>
    <t>Contato Castrolanda - Teste novo citrato K</t>
  </si>
  <si>
    <t>Elaboração novo MF</t>
  </si>
  <si>
    <t>Elaboração painel Sachês a vácuo - opções de estruturas x fornecedores</t>
  </si>
  <si>
    <t>Retirada da estufa produtos T12 / Análises FQ T12 - E. chocolate + Trophic Fiber líq</t>
  </si>
  <si>
    <t>Solicitação coleta novos premixes</t>
  </si>
  <si>
    <t>Alinhamento técnico - produtos em análises T12</t>
  </si>
  <si>
    <t>Contato fornecedor pouches - amostras com Al</t>
  </si>
  <si>
    <t>Planejamento Teste Tetra Pak</t>
  </si>
  <si>
    <t>Envio para publicação em SP - POP's estrutura + análise sensorial</t>
  </si>
  <si>
    <t>Elaboração estruturas novos SKU's para início da Produção</t>
  </si>
  <si>
    <t>Novos MF's - premix minerais e vitaminas</t>
  </si>
  <si>
    <t>Opção para continuidade do projeto</t>
  </si>
  <si>
    <t>Planejamento Teste Embrapa + contato Embrapa</t>
  </si>
  <si>
    <t>Treinamento Teste piloto - novo colaborador P&amp;DI</t>
  </si>
  <si>
    <t>Alinhamento técnico junto ao Fiscal - solicitações NF para envio produtos</t>
  </si>
  <si>
    <t>Planejamento Teste Embrapa + planejamento análises FQ último Teste</t>
  </si>
  <si>
    <t>Contato fornecedor - entrega premixes para Teste Tetra Pak</t>
  </si>
  <si>
    <t>Contato fornecedor novo CasCa + planejamento TP Castrolanda / planejamneto TP novo polissacarídeo soja</t>
  </si>
  <si>
    <t>Planejamento atividades laboratório</t>
  </si>
  <si>
    <t>Análises FQ NHcF #1, #2, #3, #5, #6</t>
  </si>
  <si>
    <t>Coordenação utilização óleo de soja - Produção fev/2021</t>
  </si>
  <si>
    <t>Atualização data resultado amonigrama NPAL</t>
  </si>
  <si>
    <t>Contato Ital - envio amostras para análise T12</t>
  </si>
  <si>
    <t>Orientação IF Castro</t>
  </si>
  <si>
    <t>Treinamento desenvolvimento novas MP's - novo colaborador P&amp;DI</t>
  </si>
  <si>
    <t>Planejamento Teste Tetra Pak + Solicitação acompanhamento in loco</t>
  </si>
  <si>
    <t>Alinhamento técnico decisões pouches x envasadoras</t>
  </si>
  <si>
    <t>Ajustes estruturas Protheus</t>
  </si>
  <si>
    <t>Planejamento envio T12 laboratório externo + Alinhamento amostras EE para envio T12</t>
  </si>
  <si>
    <t>Planejamento Teste Embrapa + verificação instalações para uso HSM + contato Silverson</t>
  </si>
  <si>
    <t>Envio produtos T12 para lab externo + análises FQ T12 Trophic 1.5 L e Trophic Basic L</t>
  </si>
  <si>
    <t>Avaliação Ajustes novos premixes</t>
  </si>
  <si>
    <t>Verificação pouches retort - opções fornecedores / Contato Silverson - HSM para próximo Teste Embrapa</t>
  </si>
  <si>
    <t>Orientação para Avaliação FT</t>
  </si>
  <si>
    <t>Planejamento Teste Tetra Pak - reagendamento planta</t>
  </si>
  <si>
    <t>Avaliação FT's novos premixes espelhos - Bring Solutions</t>
  </si>
  <si>
    <t>Ajuste MF - macronutrientes</t>
  </si>
  <si>
    <t>Solicitação documentos premix com código ajustado - HDmax / atualização planilha premix</t>
  </si>
  <si>
    <t>Pesquisa envasadoras</t>
  </si>
  <si>
    <t>Planejamento TP novo polissacarídeo soja</t>
  </si>
  <si>
    <t>Orientações Trophic Basic Enteral para Comercial</t>
  </si>
  <si>
    <t>Planejamento Teste Embrapa + Avaliação resultados FQ's + opções aditivos nova rodada Testes</t>
  </si>
  <si>
    <t>Contato fornecedor - nova MP para início de Produção</t>
  </si>
  <si>
    <t>Alinhamento interno para próximo Teste Embrapa - discussão técnica formulações</t>
  </si>
  <si>
    <t>Avaliação formulário Ital - descrição amostras</t>
  </si>
  <si>
    <t>Contato CETEA - termossoldagem pouches</t>
  </si>
  <si>
    <t>Atualizações sistema - docs nova MP</t>
  </si>
  <si>
    <t>Planejamento Teste Tetra Pak + contato Tetra Pak (atualizações sobre agenda)</t>
  </si>
  <si>
    <t>Planejamento envio pouches para Teste em fornecedor envasadora (França)</t>
  </si>
  <si>
    <t>Planejamento envio amostras T12 lab externo</t>
  </si>
  <si>
    <t>Alinhamento técnico CETEA - opções termossoldagem para pouches</t>
  </si>
  <si>
    <t>Envio produtos T12 para lab externo + análises FQ T12 E. Morango + planejamento envio produtos T12</t>
  </si>
  <si>
    <t>Planejamento envio produtos T12 - qtd amostras por produto e por análise</t>
  </si>
  <si>
    <t>Discussão técnica novo fornecedor carragenas</t>
  </si>
  <si>
    <t>Coordenação TP novas MP's - Produção fev/2021</t>
  </si>
  <si>
    <t>Atualização planilha contratos Embrapa + trâmites finenceiros último contrato</t>
  </si>
  <si>
    <t>Coordenação TP novas MP's - Produção fev/2021 + planeamento envio produtos T12 lab externo</t>
  </si>
  <si>
    <t>Auxílio GQ - liberação novo polissacarídeo soja</t>
  </si>
  <si>
    <t>Planejamento comunicado início Produção Castrolanda</t>
  </si>
  <si>
    <t>Alinhamento técnico - resultados aminograma concorrentes x continuidade projeto</t>
  </si>
  <si>
    <t>Alinhamento técnico - bancada hanger e equipo</t>
  </si>
  <si>
    <t>Adequações MF dietas HH, HN e NHcF</t>
  </si>
  <si>
    <t>Coordenação Teste Embrapa - pesagens e envio materiais</t>
  </si>
  <si>
    <t>Discussão técnica Teste fornecedor envasadora a vácuo</t>
  </si>
  <si>
    <t>Planejamento validação métodos análise com placebo</t>
  </si>
  <si>
    <t>Preenchimento solicitações envio 6 produtos análise macron e micronut T12</t>
  </si>
  <si>
    <t>Alinhamento técnico resultados aminograma concorrentes</t>
  </si>
  <si>
    <t>Preenchimento solicitações envio 6 produtos análise macron e micronut T12 + separação e preparação para envio</t>
  </si>
  <si>
    <t>Coordenação coleta novos premixes Teste Embrapa</t>
  </si>
  <si>
    <t>Pesagens dos óleos líquidos</t>
  </si>
  <si>
    <t>Atualizações sistema - WPI Lacprodan / trâmites para coleta do dispositivo bx viscosidade</t>
  </si>
  <si>
    <t>Análise novas MP's em desenvolvimento + Alinhamento técnico status e próximos passos</t>
  </si>
  <si>
    <t>Retorno fornecedor carragenas para Teste Embrapa + envio dietas para pesgaem</t>
  </si>
  <si>
    <t>Auxílio entendimento receita placebo para validação metodologias análises</t>
  </si>
  <si>
    <t>Verificação TP novo polissacarídeo soja</t>
  </si>
  <si>
    <t>Discussão técnica junto a fornecedor Sachê a vácuo</t>
  </si>
  <si>
    <t>Avaliação resultados T12 + retorno ao laboratório</t>
  </si>
  <si>
    <t>Contato fornecedores embalagens flexíveis</t>
  </si>
  <si>
    <t>Verificação funcionamento HSM de bancada</t>
  </si>
  <si>
    <t>Discussão técnica opções de formulação</t>
  </si>
  <si>
    <t>Coordenação TP novo WPI</t>
  </si>
  <si>
    <t>Cancelamento TP Tetra Pak</t>
  </si>
  <si>
    <t>Coordenação envio produtos novos colaboradores</t>
  </si>
  <si>
    <t>Contato fornecedor novo WPI</t>
  </si>
  <si>
    <t>Entendimento análise proteínas desnaturadas + Solicitação laudo fornecedores</t>
  </si>
  <si>
    <t>Avaliação declaração diluentes mix renal</t>
  </si>
  <si>
    <t>Contato CEAMSA - nova carragena</t>
  </si>
  <si>
    <t>Pesagens dos óleos líquidos recebidos do co-man</t>
  </si>
  <si>
    <t>Entendimento funcionamento dispositivo aferição baixa viscosidade</t>
  </si>
  <si>
    <t>Avaliação cobrança aminogramas NPAL</t>
  </si>
  <si>
    <t>Revisão POP Solicitação amostras</t>
  </si>
  <si>
    <t>Contato fornecedores - análise proteína desnaturada</t>
  </si>
  <si>
    <t>Atualização EEALD - E. morango + E. baunilha + E. 1.0 + E. chocolate + T.Fiber + T. Basic + T. 1.5</t>
  </si>
  <si>
    <t>Estudo estruturas embalagens Sachê a vácuo</t>
  </si>
  <si>
    <t>Avaliação documentos novos premixes</t>
  </si>
  <si>
    <t>Alinhamento técnico - análise proteína desnaturada</t>
  </si>
  <si>
    <t>Estudo estruturas embalagens Sachê a vácuo + retorno fornecedores</t>
  </si>
  <si>
    <t>Avaliação FT nova carragena</t>
  </si>
  <si>
    <t>Contato NPAL - invoice + dúvidas laudo aminograma</t>
  </si>
  <si>
    <t>Avaliação retorno validação spec Prodiet DHA</t>
  </si>
  <si>
    <t>Avaliação FT novo monodi + entendimento análises de controle + coordenação TP novo polissacarídeo soja</t>
  </si>
  <si>
    <t>Atualizações sistema</t>
  </si>
  <si>
    <t>Discussão técnica Teste envase a vácuo</t>
  </si>
  <si>
    <t>Separação materiais/embalagens próximo Teste Embrapa/RJ + contato Embrapa</t>
  </si>
  <si>
    <t>Alinhamento técnico junto ao fornecedor PIS - análise proteína desnaturada</t>
  </si>
  <si>
    <t>Coordenação próximo Teste Embrapa</t>
  </si>
  <si>
    <t>Alinhamento técnico junto à Supply - fluxo desenvolvimento de novas MP's</t>
  </si>
  <si>
    <t>Atualização planilha Testes</t>
  </si>
  <si>
    <t>Atualização planilha controle análises - produtos T12</t>
  </si>
  <si>
    <t>Discussão técnica - novo rumo projeto (produto líquido)</t>
  </si>
  <si>
    <t>Evento com fornecedores (Inspire Prodiet)</t>
  </si>
  <si>
    <t>Atualização fornecedor HSM - próximo Teste Embrapa</t>
  </si>
  <si>
    <t>Contato fornecedores embalagens flexíveis + acompanhamento remoto Teste Sachê a vácuo</t>
  </si>
  <si>
    <t>Atualizações Protheus - estruturas com novas MP's aprovadas</t>
  </si>
  <si>
    <t>Coordenação Teste óleo soja em substituição ao milho</t>
  </si>
  <si>
    <t>Avaliação spec Prodiet x perfil lipídico TCM pó</t>
  </si>
  <si>
    <t>Treinamento uso sistema</t>
  </si>
  <si>
    <t>Avaliação resultados Testes envasadora x pouch</t>
  </si>
  <si>
    <t>Avaliação resultados fora do LQ produtos T12 + contato laboratório</t>
  </si>
  <si>
    <t>Solicitação amostras fornecedores embalagens flexíveis</t>
  </si>
  <si>
    <t>Avaliação pendências documentos novos premixes</t>
  </si>
  <si>
    <t>Planejamento TB + TB novo WPI + elaboração relatório</t>
  </si>
  <si>
    <t>Envio specs Prodiet - novo fornecedor MP's</t>
  </si>
  <si>
    <t>Pesar Sachês Enterfiber prebiotic vazios</t>
  </si>
  <si>
    <t>Alinhamento técnico junto à Produção - pouch copm bico Enplus x bandejas/carrinho autoclave</t>
  </si>
  <si>
    <t>Planejamento TB equipo + hanger</t>
  </si>
  <si>
    <t>Planificação das análises de estudo de estabilidade para EE do Trophic Junior 1.0 e 1.5 T3</t>
  </si>
  <si>
    <t>Alinhamento técnico novo rumo projeto</t>
  </si>
  <si>
    <t>Discussão técnica novo SKU junto à mkt</t>
  </si>
  <si>
    <t>Planificação do direcionamento para as análises de estudo de estabilidade do Trophic Jr 1.0 e 1.5</t>
  </si>
  <si>
    <t>Avaliação medidas pouch ICB + contato fornecedor envasadora</t>
  </si>
  <si>
    <t>Discussão técnica novo fornecedor premixes (espelhos)</t>
  </si>
  <si>
    <t>Pool de amostras T. Fiber para análise microbiológica</t>
  </si>
  <si>
    <t>Discussão técnica fornecedor aromas</t>
  </si>
  <si>
    <t>Solicitação revisão proposta metodologias análises T12</t>
  </si>
  <si>
    <t>Planejamento envio amostras análise T12 + elaboração solicitações laboratórios</t>
  </si>
  <si>
    <t>Envio amostras T12 labs externos</t>
  </si>
  <si>
    <t>Preparação aplicação aromas IFF</t>
  </si>
  <si>
    <t>Planejamento análises FQ energyzip morango (Prodiet em casa)</t>
  </si>
  <si>
    <t>Verificação estruturas embalagens ativas</t>
  </si>
  <si>
    <t>Pesquisa e compra de produtos concorrentes para TB</t>
  </si>
  <si>
    <t>Planejamento envio produtos com novas MP's para lab externo</t>
  </si>
  <si>
    <t>Verificação andamento análises produtos T12 junto ao lab</t>
  </si>
  <si>
    <t>Solicitação planta técnica pouch com bico Enplus</t>
  </si>
  <si>
    <t>Solicitação análises - validação nova MP + atualização planilha controle análises</t>
  </si>
  <si>
    <t>TB hanger + alocação produtos em estufa acelerado</t>
  </si>
  <si>
    <t>Planejamento envio produtos com óleo de soja para lab externo</t>
  </si>
  <si>
    <t>Contato fornecedor HSM - previsão próximo Teste Embrapa</t>
  </si>
  <si>
    <t>Preparação do material para discussão técnica sobre a mudança de viscosidade em produtos UHT</t>
  </si>
  <si>
    <t>Avaliação Evento Tacta Foods - Horizonte 21</t>
  </si>
  <si>
    <t>Preparação Immax T12 lote 160820456 diluído para análise microbiologica</t>
  </si>
  <si>
    <t>Contato Eurofins - quantidade amostras análise T12</t>
  </si>
  <si>
    <t>Solicitação amostras Sachê - Teste a vácuo</t>
  </si>
  <si>
    <t>Preparação TB novas MPs - PIS + CasCa</t>
  </si>
  <si>
    <t>Alinhamento técnico junto ao Ital/CETEA - estruturas embalagens a vácuo</t>
  </si>
  <si>
    <t>Coordenação retorno excedente TP - nova MP</t>
  </si>
  <si>
    <t>Avaliação TB hanger</t>
  </si>
  <si>
    <t>Comunicação interna - novo rumo projeto</t>
  </si>
  <si>
    <t>Discussão técnica junto ao Científico - nova apresentação</t>
  </si>
  <si>
    <t>Coordenação coleta novos premixes</t>
  </si>
  <si>
    <t>Prestação contas cartão corporativo + planejamento envios T0</t>
  </si>
  <si>
    <t>Atualização planilha controle análises - produtos T12 + contato SFDK resultados T6 E. baunilha</t>
  </si>
  <si>
    <t>Treinamento em MF - nova funcionária AR</t>
  </si>
  <si>
    <t>Atualizações sistema - Trophic Fiber 250mL</t>
  </si>
  <si>
    <t>Entendimento separação latas Teste Protesa/MoqMac</t>
  </si>
  <si>
    <t>Primeira Produção e primeira rodada de aplicação dos aromas nas formulações do EnergyZIP novos sabores</t>
  </si>
  <si>
    <t>Pós Teste novo óleo de soja - envio de amostras para lab externo</t>
  </si>
  <si>
    <t>Compartilhamento infos fornecedores novas MP's</t>
  </si>
  <si>
    <t>Relatório hanger + criação código</t>
  </si>
  <si>
    <t>Elaboração relatórios novas MP's (TCM Concepta + CasCa DMV + WPI DMV + PurePro F2B)</t>
  </si>
  <si>
    <t>Atualização relatório WPI German Prot + Protheus</t>
  </si>
  <si>
    <t>Acompanhamento amostras E. morango SL</t>
  </si>
  <si>
    <t>Contato fornecedor HSM - próximo Teste</t>
  </si>
  <si>
    <t>Planejamento atividades lab + FQ E. morango acompanhamento SL</t>
  </si>
  <si>
    <t>Programação entrada produto em EE</t>
  </si>
  <si>
    <t>Compilação amostras Sachês a vácuo - novos fornecedores</t>
  </si>
  <si>
    <t>Contato fornecedor pouch -  desenho técnico com bico Enplus</t>
  </si>
  <si>
    <t>Verificação análises produtos concorrentes - envio lab externo</t>
  </si>
  <si>
    <t>Elaboração relatório acompanhamento SL E. morango</t>
  </si>
  <si>
    <t>Coordenação mudança lab processos</t>
  </si>
  <si>
    <t>Avaliação FT novo pote Topeka + contato fornecedor (inclusão itens na FT)</t>
  </si>
  <si>
    <t>Discussão técnica com novo fornecedor hidrocolóides CEAMSA - carragena para próximo Teste</t>
  </si>
  <si>
    <t>Avaliação nível uso mixes no placebo para envio à Covalidação + Solicitação amostra Mg(OH)2</t>
  </si>
  <si>
    <t>Contato novos fornecedores - envio amostras para Testes</t>
  </si>
  <si>
    <t>Atualização SP com FT ajustada pelo fornecedor</t>
  </si>
  <si>
    <t>Atualização painel pouches - Recebimento amostras Sachês a vácuo</t>
  </si>
  <si>
    <t>Apresentação JBT-PLF - novos equipamentos com atmosfera modificada e vácuo</t>
  </si>
  <si>
    <t>Compra produtos concorrentes - TB com equipo padrão</t>
  </si>
  <si>
    <t>Solicitação amostras PA (óleo de soja) - envio lab externo</t>
  </si>
  <si>
    <t>Coordenação envio T12 lab externo</t>
  </si>
  <si>
    <t>Programação TB novos premixes</t>
  </si>
  <si>
    <t>Publicação FT com ajusta WPH</t>
  </si>
  <si>
    <t>Avaliação novo polissacarídeo de soja - trâmites entrada da nova MP</t>
  </si>
  <si>
    <t>Solicitação lab externo Avaliação PA's com óleo de soja</t>
  </si>
  <si>
    <t>Avaliação vídeo TB</t>
  </si>
  <si>
    <t>Coordenação novo TP WPI DMV - produtos pó</t>
  </si>
  <si>
    <t>Planejamento atividades lab + envio produtos lab externo +  sensorial e FQ produtos com óleo de soja</t>
  </si>
  <si>
    <t>Discussão técnica - estudos viscosidade</t>
  </si>
  <si>
    <t>Elaboração cronograma dietas SF</t>
  </si>
  <si>
    <t>Avaliação quantidades mixes para placebo + cronograma dieta IG</t>
  </si>
  <si>
    <t>Solicitações envio análises externas</t>
  </si>
  <si>
    <t>Coordenação próximo Teste</t>
  </si>
  <si>
    <t>Contato fornecedor nova MP isomaltulose</t>
  </si>
  <si>
    <t>Cronograma dieta IG + Solicitação atualização Protheus para retort</t>
  </si>
  <si>
    <t>Avaliação resultado macronutrientes novo WPI DMV  em Basic</t>
  </si>
  <si>
    <t>Elaboração novo MF IG</t>
  </si>
  <si>
    <t>Treinamento desenvolvimento novas MP's</t>
  </si>
  <si>
    <t>Elaboração novo MF NN</t>
  </si>
  <si>
    <t>Projeto UTI</t>
  </si>
  <si>
    <t>Finalização MF IG e NN</t>
  </si>
  <si>
    <t>Avaliação resultado fibras novo polissac soja Indukern</t>
  </si>
  <si>
    <t>Prospecção nova empresa</t>
  </si>
  <si>
    <t>Call nova funcionária AR - direcionamento MF</t>
  </si>
  <si>
    <t>Contato Embrapa + coordenação novo Teste</t>
  </si>
  <si>
    <t>Elaboração cronogramas dietas HH e NN</t>
  </si>
  <si>
    <t>Elaboração cronogramas dietas NHcF, HNcF e HN</t>
  </si>
  <si>
    <t>Coordenação novo Teste piloto</t>
  </si>
  <si>
    <t>Aprovação novo polissac soja + contato fornecedor + Alinhamentos internos</t>
  </si>
  <si>
    <t>Verificação erros Protheus - cadastro principal x secundário</t>
  </si>
  <si>
    <t>Alinhamento interno - Testes com P&amp;D e AR</t>
  </si>
  <si>
    <t>Entendimento etapas licenciamento produtos importados de SF</t>
  </si>
  <si>
    <t>Avaliação target ideal Científico nas dietas retort</t>
  </si>
  <si>
    <t>Elaboração cronograma licenciamento SF + avaliaçao target ideal micronutrientes dietas IG e NN</t>
  </si>
  <si>
    <t>Verificação TP Castrolanda fev/2021</t>
  </si>
  <si>
    <t>Contato fornecedor aromas</t>
  </si>
  <si>
    <t>Elaboração spec dosador 10g + publicação SP</t>
  </si>
  <si>
    <t>Planejamento atividades lab + solicitações envio placebo Covalidação</t>
  </si>
  <si>
    <t>Prospecção nova MP - creatina</t>
  </si>
  <si>
    <t>TB equipo padrão com hanger - produto 250mL</t>
  </si>
  <si>
    <t>Entendimento adição etapa nova fábrica nos cronogramas</t>
  </si>
  <si>
    <t>Planejamento etapas projeto para início da Produção</t>
  </si>
  <si>
    <t>Contato laboratório - quantidade amostras por análise</t>
  </si>
  <si>
    <t>Contato fornecedores - amostra óleo de peixe</t>
  </si>
  <si>
    <t>Revisão POP-SPD-008 SELECAO E CREDENCIAMENTO DE MATERIAS PRIMAS</t>
  </si>
  <si>
    <t>Revisão POP-SPD-010-05 DESENVOLVIMENTO DE MIXES DE MICRONUTRIENTES</t>
  </si>
  <si>
    <t>Revisão POP-SPD-001-07 TESTE EM PLANTA PILOTO + FOR_RETORT</t>
  </si>
  <si>
    <t>Auxílio PCP - estruturas com novo citrato K</t>
  </si>
  <si>
    <t>Revisão spec isomaltulose</t>
  </si>
  <si>
    <t>Contato fornecedor - amostra Mg(OH)2 + Alinhamento envio amostras placebo Covalidação</t>
  </si>
  <si>
    <t>Revisão - POP-SPD-007-05 TESTE DE ADMINISTRACAO GRAVITACIONAL IN VITRO</t>
  </si>
  <si>
    <t>Coordenação Teste WPI DMV produtos pó</t>
  </si>
  <si>
    <t>Elaboração relatório novo óleo de soja x óleo de milho</t>
  </si>
  <si>
    <t>Avaliação docs WPI Glanbia - importação direta</t>
  </si>
  <si>
    <t>Estudo carragenas kappas + contato fornecedor</t>
  </si>
  <si>
    <t>Avaliação laudo macronutrientes PA com óleo de soja + atualização relatório novo óleo de soja x óleo de milho + retorno interno</t>
  </si>
  <si>
    <t>Coordenação Teste WPI Sooro</t>
  </si>
  <si>
    <t>Planejamento envio placebo covalidação</t>
  </si>
  <si>
    <t>Planejamento próximos passos simulações</t>
  </si>
  <si>
    <t>Coordenação IF's Castro com novas MP's aprovadas + Avaliação legisl nova rotulagem para resultados óleo soja</t>
  </si>
  <si>
    <t>Análise resultados laudos PL PA com óleo de soja</t>
  </si>
  <si>
    <t>Retorno diretoria - premixes próximo Teste</t>
  </si>
  <si>
    <t>Prospecção novos fornecedores isomaltulose</t>
  </si>
  <si>
    <t>Simulação inserção PA</t>
  </si>
  <si>
    <t>Planejamento nova pesagem óleo de soja - próximo Teste</t>
  </si>
  <si>
    <t>Contato fornecedores Sachê a vácuo - entendimento estruturas</t>
  </si>
  <si>
    <t>Planejamento atividaes lab + verificação hanger em estufa</t>
  </si>
  <si>
    <t>Prospecção óleo de amendoim/cártamo</t>
  </si>
  <si>
    <t>TB suco laranja + concorrentes</t>
  </si>
  <si>
    <t>Atualizações varejo Farma</t>
  </si>
  <si>
    <t>Planejamento próximo Teste</t>
  </si>
  <si>
    <t>Coordenação envio 5kg polissac soja Indukern</t>
  </si>
  <si>
    <t>Organização NF's viagens Teste Semco e Embrapa</t>
  </si>
  <si>
    <t>Bloqueio MP's não utilizadas no Protheus</t>
  </si>
  <si>
    <t>Planejamento próximo Teste - pesagem óleos + agendamento HSM</t>
  </si>
  <si>
    <t>Contato fornecedores novos desenvolvimentos de MP's ALT</t>
  </si>
  <si>
    <t>Revisão - POP-SPD-009-07 SELECAO E CREDENCIAMENTO DE MATERIAL DE EMBALAGEM</t>
  </si>
  <si>
    <t>Planejamento mudança laboratório processos</t>
  </si>
  <si>
    <t>Contato fornecedor - nova xantana</t>
  </si>
  <si>
    <t>Discussão técnica - lotes PIS com alta viscosidade</t>
  </si>
  <si>
    <t>Planejamento envio placebo covalidação + contato fornecedor carragena</t>
  </si>
  <si>
    <t>Coordenação TP WPI DMV e WPI Sooro - atualizações sistema</t>
  </si>
  <si>
    <t>Ajustes MF com citrato K</t>
  </si>
  <si>
    <t>Prospecção óleo de amenoim/cártamo</t>
  </si>
  <si>
    <t>Prospecção WPI termoestável</t>
  </si>
  <si>
    <t>Atualização EEALD . Baunilha T9</t>
  </si>
  <si>
    <t>Avaliação FT novo WPI Tratho + contato fornecedor</t>
  </si>
  <si>
    <t>Planejamento próximo Teste + contato Embrapa + atualização briefing - novo modelo</t>
  </si>
  <si>
    <t>Questionamento sobre resultados analítiocos obtidos</t>
  </si>
  <si>
    <t>Atualização relatório com TB equipo</t>
  </si>
  <si>
    <t>Contato fornecedor + Alinhamentos internos</t>
  </si>
  <si>
    <t>Contato fornecedor - compra dispositivo baixa viscosidade</t>
  </si>
  <si>
    <t>Contato fornecedor - amostras óleo peixe</t>
  </si>
  <si>
    <t>Planejamento próximo Teste + contato Tetra Pak</t>
  </si>
  <si>
    <t>Atualização EEALD IG e NN com resultados FQ T12</t>
  </si>
  <si>
    <t>Avaliação envio EE T12</t>
  </si>
  <si>
    <t>Contato fornecedor - novo polissacarídeo de soja</t>
  </si>
  <si>
    <t>Avaliação envio EE T9</t>
  </si>
  <si>
    <t>Planejamento Teste Embrapa</t>
  </si>
  <si>
    <t>Planejamento e coordenação amostras Trophic Soya e Trophic EP - entrada em EE</t>
  </si>
  <si>
    <t>Coordenação próximo Teste Embrapa - fracionamento batchs</t>
  </si>
  <si>
    <t>Verificação chegada do equipamento para Testes P&amp;D</t>
  </si>
  <si>
    <t>Cálculo quantidade KOH necessário para atingir K adequado para HH e HN</t>
  </si>
  <si>
    <t>Discussão técnica - conteúdo K nas formulações</t>
  </si>
  <si>
    <t>TB - equipo padrão em 250mL (v. aberta)</t>
  </si>
  <si>
    <t>Alinhamento fornecedor HSM - uso equipamento próximo Teste Embrapa</t>
  </si>
  <si>
    <t>Atualização planilha estufas com novos produtos EE</t>
  </si>
  <si>
    <t>Coordenação próximo Teste Embrapa - uso HSM</t>
  </si>
  <si>
    <t>Avaliação proposta Embrapa + atualização planilha + contato fornecedor HSM</t>
  </si>
  <si>
    <t>Coordenação próximo Teste Embrapa - conferência pesagens</t>
  </si>
  <si>
    <t>Treinamento como elaborar IF Teste Tetra Pak</t>
  </si>
  <si>
    <t>Questionamento técnico lab NPAL - laudo aminograma</t>
  </si>
  <si>
    <t>Coordenação próximo Teste Embrapa - coleta HSM e entrega Embrapa</t>
  </si>
  <si>
    <t>Coordenação próximo Teste Embrapa - status todas atividades</t>
  </si>
  <si>
    <t>Avaliação prospecção novos fornecedores palatinose</t>
  </si>
  <si>
    <t>Análises FQ T6A NHcF</t>
  </si>
  <si>
    <t>Análises FQ T6A HN</t>
  </si>
  <si>
    <t>Contato fornecedor - amostras palatinose Teste retort</t>
  </si>
  <si>
    <t>Entendimento chegada amostras adaptador/equipo</t>
  </si>
  <si>
    <t>Atualização relatório retort - Teste out/2020 com análises FQ</t>
  </si>
  <si>
    <t>Solicitação premixes Teste Tetra Pak</t>
  </si>
  <si>
    <t>Avaliação MF dietas com bx potássio + Alinhamento sobre aditivos para próximo Teste Embrapa</t>
  </si>
  <si>
    <t>Atualização e publicação spec citrato K cmo menor validade</t>
  </si>
  <si>
    <t>Elaboração IF's Teste + deslocamento para Teste Embrapa</t>
  </si>
  <si>
    <t>Teste Embrapa</t>
  </si>
  <si>
    <t>Elaboração relatório Teste Embrapa + deslocamento de retorno</t>
  </si>
  <si>
    <t>Planejamentos e Ajustes pós Teste Embrapa</t>
  </si>
  <si>
    <t>Planejamento Teste novo mix + entrada em EE</t>
  </si>
  <si>
    <t>Planejamento envio docs Castro para início 1a Produção</t>
  </si>
  <si>
    <t>Entendimento disponibilidade de janela Castro + planejamento TB adaptador/equipo</t>
  </si>
  <si>
    <t>Discussão técnica com fornecdor - possibilidades de aromas para mascarar o PA</t>
  </si>
  <si>
    <t>Avaliação reclamação Prodiet em Casa - T. 1.5 com bolhas</t>
  </si>
  <si>
    <t>Coordenação retorno ao fornecedor - HSM</t>
  </si>
  <si>
    <t>Alinhamento premix retort - problemas no Teste</t>
  </si>
  <si>
    <t>Apresentação nova ET para todos os PA's após finalização EE</t>
  </si>
  <si>
    <t>Avaliação resultados Teste Embrapa</t>
  </si>
  <si>
    <t>Contato fornecedor - amostra palatinose + Científico com target micronutrientes</t>
  </si>
  <si>
    <t>Entendimento cronograma</t>
  </si>
  <si>
    <t>Verificação qtd amostras para EE</t>
  </si>
  <si>
    <t>Discussão técnica junto ao mkt - fornecedor Dupont</t>
  </si>
  <si>
    <t>Alinhamento técnico junto ao fornecedor - resultados Teste abril Embrapa</t>
  </si>
  <si>
    <t>Alinhamento com PPCP/Manutenção - Teste seladora a vácuo</t>
  </si>
  <si>
    <t>Estudo racional mixes retort (desnaturação proteínas)</t>
  </si>
  <si>
    <t>Contato fornecedor Huons - ingrediente inovador Honeybush</t>
  </si>
  <si>
    <t>Discussão técnica Científico - target novo mix minerais + contato Embrapa agenda novo Teste</t>
  </si>
  <si>
    <t>Alinhamento técnico junto ao fornecedor - carragena</t>
  </si>
  <si>
    <t>Discussão técnica resultados Testes</t>
  </si>
  <si>
    <t>Avaliação FT's nova xantana</t>
  </si>
  <si>
    <t>Planejamento TB equipo Samtronic</t>
  </si>
  <si>
    <t>Planejamento Testes Científico</t>
  </si>
  <si>
    <t>Planejamento novo Teste Embrapa + contato fornecedores</t>
  </si>
  <si>
    <t>Planejamento novo Teste Embrapa + elaboração IF IG</t>
  </si>
  <si>
    <t>Discussão técnica Supply nova MP citrato Na + atualização sistema</t>
  </si>
  <si>
    <t>Avaliação FT's novo WPI</t>
  </si>
  <si>
    <t>Contato fornecedores novas MP's</t>
  </si>
  <si>
    <t>Avaliação FT's novo WPI + retornos internos</t>
  </si>
  <si>
    <t>Elaboração planilha controle novos desenvolvimentos MP's</t>
  </si>
  <si>
    <t>Discussão técnica resultados carragena</t>
  </si>
  <si>
    <t>Investigação uso óleos Teste Tetra Pak</t>
  </si>
  <si>
    <t>Questionamentos Enterfiber Prebiotic Polônia</t>
  </si>
  <si>
    <t>TB novo citrato Na</t>
  </si>
  <si>
    <t>Discussão técnica fornecedor Huons - MP honeybush</t>
  </si>
  <si>
    <t>Fracionamento novo Teste Embrapa - validação premix minerais</t>
  </si>
  <si>
    <t>TB E. morango - acompanhamento SL</t>
  </si>
  <si>
    <t>Discussão técnica PIS na formulação</t>
  </si>
  <si>
    <t>Recebimento de documentação relativo ao desenvolvimento do prémix</t>
  </si>
  <si>
    <t>Solicitação MP's para Castro</t>
  </si>
  <si>
    <t>Alinhamento técnico com fornecedor de premix - validação minerais</t>
  </si>
  <si>
    <t>Elaboração novos MF - 2 opções premixes minerais + planejamento novo Teste Embrapa</t>
  </si>
  <si>
    <t>Criação solicitações envio EE T0</t>
  </si>
  <si>
    <t>Elaboração IF com dois premixes + planejamento novo Teste Embrapa</t>
  </si>
  <si>
    <t>Envio produtos T0 lab externo + inserção produtos estufas</t>
  </si>
  <si>
    <t>Verificação contrato DSM - assinatura FT's</t>
  </si>
  <si>
    <t>Atualização planilha estufas</t>
  </si>
  <si>
    <t>Atualização sistema</t>
  </si>
  <si>
    <t>Recebimento de laudos de análise</t>
  </si>
  <si>
    <t>Entendimento análises resultados EE</t>
  </si>
  <si>
    <t>Avaliação retorno Cargill specs Prodiet</t>
  </si>
  <si>
    <t>Alinhamento Dupont - novo Teste Embrapa</t>
  </si>
  <si>
    <t>Recebimento de laudos de análise e atualização de resultados</t>
  </si>
  <si>
    <t>Solicitações envio produtos análise PL Ital - óleo soja</t>
  </si>
  <si>
    <t>Planejamento Teste seladora a vácuo</t>
  </si>
  <si>
    <t>Avaliação docs após abertura embalagem premixes + retorno ao fornecedor</t>
  </si>
  <si>
    <t>Entendimento MP junto a fornecedor + elaboração novo MF NN</t>
  </si>
  <si>
    <t>Avaliação FT nova xantana</t>
  </si>
  <si>
    <t>Envio equipos e montagem kits para TB pelo Científico + compra concorrente para TB</t>
  </si>
  <si>
    <t>Planejamento Teste Embrapa + verificações junto a fornecedor</t>
  </si>
  <si>
    <t>TB equipo Samtronic com concorrente</t>
  </si>
  <si>
    <t>Planejamento novo Teste Tetra Pak - início de EE</t>
  </si>
  <si>
    <t>Coordenação Treinamento osmômetro</t>
  </si>
  <si>
    <t>Viagem Teste Embrapa + Ajustes finais</t>
  </si>
  <si>
    <t>Teste piloto Embrapa</t>
  </si>
  <si>
    <t>Teste piloto Embrapa + retorno viagem</t>
  </si>
  <si>
    <t>Recebimento de laudos de EE</t>
  </si>
  <si>
    <t>Elaboração ppt apresentação P&amp;D fábrica</t>
  </si>
  <si>
    <t>Avaliação FT's jumbo UHT</t>
  </si>
  <si>
    <t>Elaboração ppt apresentação P&amp;D fábrica + atualização relatório</t>
  </si>
  <si>
    <t>Alinhamentos P&amp;D - planejamento Teste seladora a vácuo</t>
  </si>
  <si>
    <t>Avaliação WPI termoestável</t>
  </si>
  <si>
    <t>Planejamento itinerário Teste Embrapa + fracionamento MP's</t>
  </si>
  <si>
    <t>Planejamento itinerário Teste Embrapa</t>
  </si>
  <si>
    <t>Recebimento de laudos e atualização de resultados de EE</t>
  </si>
  <si>
    <t>Atualização planilha controle estufas</t>
  </si>
  <si>
    <t>Coordenação novo Teste Embrapa</t>
  </si>
  <si>
    <t>Atualização planilha novos desenvolvimentos + compartilhamento interno</t>
  </si>
  <si>
    <t>Recebimento de peças do equipamento de mistura para sacheteira</t>
  </si>
  <si>
    <t>Contato fornecedor - estimativa consumo novas MP's + prospeção WPI termoestável</t>
  </si>
  <si>
    <t>Treinamento Protheus</t>
  </si>
  <si>
    <t>Atualização relatório</t>
  </si>
  <si>
    <t>Contato fornecedor premixes - Teste validação Embrapa</t>
  </si>
  <si>
    <t>Avaliação targets CoA premix Q</t>
  </si>
  <si>
    <t>Nova rodada Testes</t>
  </si>
  <si>
    <t>Envio Basic com nova malto para análise externa</t>
  </si>
  <si>
    <t>Atualização relatório + retorno fornecedor</t>
  </si>
  <si>
    <t>Preparação e apresentação ppt P&amp;D fábrica</t>
  </si>
  <si>
    <t>Planejamento Teste Embrapa - validação premix minerais</t>
  </si>
  <si>
    <t>Alinhamento AR nova rodada Testes</t>
  </si>
  <si>
    <t>Reconhecimento regulatório por parte de P&amp;D</t>
  </si>
  <si>
    <t>Contato CETEA - embalagens jumbo UHT</t>
  </si>
  <si>
    <t>Ajustes finais Teste validação premix minerais + viagem Teste Embrapa</t>
  </si>
  <si>
    <t>Discussão técnica - faixa pH no premix</t>
  </si>
  <si>
    <t>Redução de Xantana 37,5% em T. Basic Enteral</t>
  </si>
  <si>
    <t>Avaliação specs Prodiet x FT's fornecedores</t>
  </si>
  <si>
    <t>2a rodada Testes HG</t>
  </si>
  <si>
    <t>Auxílio mkt - kit com equipo, hanger, produto</t>
  </si>
  <si>
    <t>Planejamento atividades lab</t>
  </si>
  <si>
    <t>Discussão técnica Testes HG</t>
  </si>
  <si>
    <t>TB novos premixes minerais padrão</t>
  </si>
  <si>
    <t>Análises FQ Junior 1.0 e 1.5</t>
  </si>
  <si>
    <t>Análises FQ dietas IG Teste validação premixes</t>
  </si>
  <si>
    <t>Contato Embrapa</t>
  </si>
  <si>
    <t>Discussão técnico junto ao fornecedor - perfil nutricional PIS</t>
  </si>
  <si>
    <t>Discussão técnica com suporte HG - 2a rodada Testes</t>
  </si>
  <si>
    <t>Atualização planilha histórico premixes</t>
  </si>
  <si>
    <t>TB novos premixes minerais infantil</t>
  </si>
  <si>
    <t>Análises FQ dietas IG Teste validação premixes (embalagem com impressão)</t>
  </si>
  <si>
    <t>Análises FQ T0 Trophic EP e Trophic Soya</t>
  </si>
  <si>
    <t>Cálculo estimativas volumes para custo + atualização relatório + contato fornecedores</t>
  </si>
  <si>
    <t>Contato fornecedor - funcionamento viscosímetro</t>
  </si>
  <si>
    <t>Elaboração relatório TB premixes espelho</t>
  </si>
  <si>
    <t>Elaboração apresentação resultados Testes HG</t>
  </si>
  <si>
    <t>Coordenação homologação premixes</t>
  </si>
  <si>
    <t>Apresentação resultados viscosidade PIS x PA</t>
  </si>
  <si>
    <t>Pesquisa WPI termoestável + contato fornecedores</t>
  </si>
  <si>
    <t>Discussão técnica - desenvolvimento novas MP's</t>
  </si>
  <si>
    <t>Apresentação Arla Foods - opções MP's</t>
  </si>
  <si>
    <t>Atualização EEALD Trophic EP - análises T0</t>
  </si>
  <si>
    <t>Compilado gastos Teste retort + integração nova funcionária</t>
  </si>
  <si>
    <t>Apresentação Suppliers Meeting</t>
  </si>
  <si>
    <t>Cálculo quantidade CasCa para TP + retorno ao fonecedor</t>
  </si>
  <si>
    <t>Redução de Xantana 43,75% em T. Basic Enteral</t>
  </si>
  <si>
    <t>Webinar Braseq - Cuidados no preparo da amostra (viscosímetro)</t>
  </si>
  <si>
    <t>Discussão técnica fornecedor</t>
  </si>
  <si>
    <t>Atualizações fornecedores embalagem</t>
  </si>
  <si>
    <t>Atualização spec WPI</t>
  </si>
  <si>
    <t>Entendimento novo HSM Admix</t>
  </si>
  <si>
    <t>Elaboração IF Teste Admix</t>
  </si>
  <si>
    <t>Compartilhamento IF Teste Admix</t>
  </si>
  <si>
    <t>Avaliação resultados macronutrientes + atualização relatório nova maltodextrina</t>
  </si>
  <si>
    <t>Auxílio conferência MF's x Protheus</t>
  </si>
  <si>
    <t>Contato fornecedor - amostra aromas</t>
  </si>
  <si>
    <t>TB novo WPI importação direta</t>
  </si>
  <si>
    <t>Teste seladora à vácuo</t>
  </si>
  <si>
    <t>Compartilhamento IF Teste Admix + pesagem</t>
  </si>
  <si>
    <t>Atualização junto à equipe</t>
  </si>
  <si>
    <t>Planejamento dinâmica entrada/saída produtos das estufas</t>
  </si>
  <si>
    <t>Solicitação documentos premixes</t>
  </si>
  <si>
    <t>Apresentação para P&amp;D - resultados Testes HG</t>
  </si>
  <si>
    <t>Compartilhamento MF's</t>
  </si>
  <si>
    <t>Alinhamento Teste piloto</t>
  </si>
  <si>
    <t>Elaboração novos MF's (premixes validados)</t>
  </si>
  <si>
    <t>Atualização controle estufas</t>
  </si>
  <si>
    <t>Alinhamento previsão lançamento</t>
  </si>
  <si>
    <t>Avaliação resultados PL produtos com óleo de soja + atualização relatório</t>
  </si>
  <si>
    <t>Redução de Xantana 50 e 75% Basic Enteral</t>
  </si>
  <si>
    <t>Discussão técnica Innova Market</t>
  </si>
  <si>
    <t>Verificação premixes Teste Admix</t>
  </si>
  <si>
    <t>Webinar Fispal - Transformação digital para A&amp;B</t>
  </si>
  <si>
    <t>Redução de Xantana 50 e 75% em T. Basic Enteral</t>
  </si>
  <si>
    <t>Discussão técnica Mcassab - nova marca Nutror + novas MP's</t>
  </si>
  <si>
    <t>Separação de amostras para envio T0 + inserção na estufa + análise peso</t>
  </si>
  <si>
    <t>Avaliação novas MP's + retorno fornecedores</t>
  </si>
  <si>
    <t>Redução de Xantana 62,5% em T. Basic Enteral</t>
  </si>
  <si>
    <t>Planejamento Teste piloto IFF</t>
  </si>
  <si>
    <t>Apresentação Innova Market</t>
  </si>
  <si>
    <t>Atualização cronogramas + planejamento Teste Admix</t>
  </si>
  <si>
    <t>Atualização relatório nova sucralose</t>
  </si>
  <si>
    <t>Simulação custos + planejamento Teste Admix</t>
  </si>
  <si>
    <t>Discussão técnica Admix Teste misturador + compilação dados</t>
  </si>
  <si>
    <t>Planejamento atividades lab + envio amostras T0</t>
  </si>
  <si>
    <t>Separação materiais reunião mkt</t>
  </si>
  <si>
    <t>Coordenação Avaliação espaço estufas</t>
  </si>
  <si>
    <t>Simulação custos + atualizações sistema</t>
  </si>
  <si>
    <t>Simulação custos</t>
  </si>
  <si>
    <t>Avaliação documentação lote piloto + suporte AR</t>
  </si>
  <si>
    <t>Atualizações nova fábrica</t>
  </si>
  <si>
    <t>Alinhamento Testes</t>
  </si>
  <si>
    <t>Treinamento relatório insumos + alergênicos</t>
  </si>
  <si>
    <t>Redução de Xantana 68,75% em T. Basic Enteral</t>
  </si>
  <si>
    <t>Alinhamento técnico com fornecedor - desenvolvimento de nova MP</t>
  </si>
  <si>
    <t>Atualização EEALD</t>
  </si>
  <si>
    <t>Redução de Xantana 75% em T. Basic Enteral</t>
  </si>
  <si>
    <t>Verificação nível uso TCM + atualização spec TCM pó (Compras, GQ e inglês)</t>
  </si>
  <si>
    <t>Repetição diluição para análise microbiologia Immax T12 lote 160920456</t>
  </si>
  <si>
    <t>Solicitação criação de código</t>
  </si>
  <si>
    <t>Atualização cronograma licenciamento</t>
  </si>
  <si>
    <t>Contato fornecedor - novo ingrediente</t>
  </si>
  <si>
    <t>Contato fornecedor - entendimento creatina em tto térmico</t>
  </si>
  <si>
    <t>Análise linha do tempo desenvolvimento premixes + atualizações sistema</t>
  </si>
  <si>
    <t>Planejamento Teste misturador Admix</t>
  </si>
  <si>
    <t>Planejamento simulação custo dietas + descritivo licitação + planejamento próximo Teste</t>
  </si>
  <si>
    <t>Planejamento simulação custo dietas</t>
  </si>
  <si>
    <t>Alinhamento técnico com fornecedor - desenvolvimento de novos premixes</t>
  </si>
  <si>
    <t>Alinhamento técnico andamento projeto</t>
  </si>
  <si>
    <t>Discussão técnica novas MP's para consultoria</t>
  </si>
  <si>
    <t>Estudo desenvolvimento inicial</t>
  </si>
  <si>
    <t>Planejamento TP- compra passagens Teste Embrapa + cronograma licenciamento/dietas</t>
  </si>
  <si>
    <t>Coordenação TP novo premix Mcassab</t>
  </si>
  <si>
    <t>Elaboração descritivos licitação para 6 dietas</t>
  </si>
  <si>
    <t>Simulação Testes Protheus - relatório ALT</t>
  </si>
  <si>
    <t>Verificação documentos diluentes + atualização MF 6 dietas com DC</t>
  </si>
  <si>
    <t>Atualização Logística - nova maltodextrina</t>
  </si>
  <si>
    <t>Entendimento lecitina Solec SG (GMO) + contato fornecedor + atualizações sistema</t>
  </si>
  <si>
    <t>Estudo novas MP's</t>
  </si>
  <si>
    <t>Apresentação Basic x Enteral</t>
  </si>
  <si>
    <t>Alinhamento cadastros Protheus + Testes relatório estruturas</t>
  </si>
  <si>
    <t>Testes relatório estruturas</t>
  </si>
  <si>
    <t>Planejamento qtd amostras estufas</t>
  </si>
  <si>
    <t>Estudo inicial UTI</t>
  </si>
  <si>
    <t>Call MKT - suporte de dieta + Testes em casa hippo</t>
  </si>
  <si>
    <t>Planejamento Testes bags 3L e 10L</t>
  </si>
  <si>
    <t>Planejamento atividades lab + inserção PA estufas EE</t>
  </si>
  <si>
    <t>Separação materiais Teste hippo</t>
  </si>
  <si>
    <t>Respaldo de P&amp;D sobre a separação de fase do Trophic 1.5 - FO - Tocantins</t>
  </si>
  <si>
    <t>Estudo degradação compostos novas MP's aa</t>
  </si>
  <si>
    <t>Avaliação novas MP's</t>
  </si>
  <si>
    <t>Atualização docs para registro (premixes)</t>
  </si>
  <si>
    <t>Planejamento Teste IFF - aplicação aroma HH com ômega</t>
  </si>
  <si>
    <t>Contato fornecedores - novas MP's aa</t>
  </si>
  <si>
    <t>Planejamento Teste Admix + docs registro premixes</t>
  </si>
  <si>
    <t>Atualização cronograma licenciamento + Avaliação docs diluentes premixes</t>
  </si>
  <si>
    <t>Atualização sistema - novo TCM Mcassab</t>
  </si>
  <si>
    <t>Atualização sistema - novo código sucralose + Avaliação novos fornecedores</t>
  </si>
  <si>
    <t>Elaboração novo MF HH com ômega + Alinhamento técnico licenciamento SF</t>
  </si>
  <si>
    <t>Avaliação FT's e docs novas MP's - polidextrose, TCM, PIS, L-leucina + atualização planilha novos desenvolvimentos</t>
  </si>
  <si>
    <t>Planejamento envio amostra - Gabriel</t>
  </si>
  <si>
    <t>Planejamento Teste bancada - bags 3L e 10L</t>
  </si>
  <si>
    <t>Planejamento Teste Embrapa + homologação premixes</t>
  </si>
  <si>
    <t>Planejamento Teste Embrapa (hospedagem + aluguel carro + aéreo 2a semana) + Avaliação nova FT premix minerais com Mg(OH)2</t>
  </si>
  <si>
    <t>Alinhamento técnico lecitina líquida sem GMO</t>
  </si>
  <si>
    <t>Estudo novos ingredientes/processo + elaboração cronograma</t>
  </si>
  <si>
    <t>Contato Centric</t>
  </si>
  <si>
    <t>Atualização sistema - nova sucralose</t>
  </si>
  <si>
    <t>Coordenação Teste Admix</t>
  </si>
  <si>
    <t>Envio amostra Trophic Fiber líq - aminograma</t>
  </si>
  <si>
    <t>Atualizações sistema + contato fornecedor</t>
  </si>
  <si>
    <t>Contato Centric + planejamento interno</t>
  </si>
  <si>
    <t>Atualizações sistema + Avaliação FT provisória equipo Prodiet</t>
  </si>
  <si>
    <t>Planejamento Teste Embrapa - trâmites pesagens MP's</t>
  </si>
  <si>
    <t>Avaliação nova PIS + contato fornecedor</t>
  </si>
  <si>
    <t>Entendimento uso dispositivo baixa viscosidade - resultado irregular</t>
  </si>
  <si>
    <t>Elaboração novo MF HH com ômega - Teste IFF</t>
  </si>
  <si>
    <t>Discussão técnica nova MP - torra amendoim</t>
  </si>
  <si>
    <t>Planejamento TP novo TCM</t>
  </si>
  <si>
    <t>Avaliação FT's novas isomaltuloses + retorno supply</t>
  </si>
  <si>
    <t>Atualizações sistema - Infant SPVC</t>
  </si>
  <si>
    <t>Compilado 1a rodada Testes seladora a vácuo</t>
  </si>
  <si>
    <t>Avaliação CasCa Alibra para TP líq</t>
  </si>
  <si>
    <t>Planejamento e trâmites fracionamento/envio MP's - Teste IFF UTI</t>
  </si>
  <si>
    <t>Atualização planilha painel embalagens + retorno fornecedores</t>
  </si>
  <si>
    <t>Elaboração relatório Sachês a vácuo</t>
  </si>
  <si>
    <t>Discussão técnica fornecedor - lecitina líquida sem GMO + custo</t>
  </si>
  <si>
    <t>Discussão técnica fornecedor - resultados com seladora a vácuo + próximos passos nova rodada Testes</t>
  </si>
  <si>
    <t>Avaliação docs premixes e Mg(OH)2 - registro</t>
  </si>
  <si>
    <t>Elaboração doc fracionamento próximo Teste Embrapa + compartilhamento com Produção</t>
  </si>
  <si>
    <t>Elaboração relatório WPI Glanbia importação direta</t>
  </si>
  <si>
    <t>Alinhamento técnico possível parceiro Prodiet</t>
  </si>
  <si>
    <t>Teste em casa - hippo + compartilhamento MKT</t>
  </si>
  <si>
    <t>Elaboração spec lecitina soja fluida</t>
  </si>
  <si>
    <t>Atualizações sistema - equipo Samtronic</t>
  </si>
  <si>
    <t>Estudo compostos degradação aa</t>
  </si>
  <si>
    <t>Auxílio AR registros IG e NN</t>
  </si>
  <si>
    <t>Verificação budget + planejamento próximo Teste Embrapa</t>
  </si>
  <si>
    <t>Avaliação FT's e docs novas MP's - polidextrose, sucralose, PIS + atualização spec polidextrose</t>
  </si>
  <si>
    <t>Avaliação relatório Ekron - Cemco + Call Silverson (malha HSM)</t>
  </si>
  <si>
    <t>Relatório Sachês a vácuo</t>
  </si>
  <si>
    <t>Contato fornecedor - migração equipo</t>
  </si>
  <si>
    <t>Auxílio AR + Alinhamento técnico - registros IG e NN</t>
  </si>
  <si>
    <t>Elaboração MF V01</t>
  </si>
  <si>
    <t>Elaboração IF Teste IFF - HH com ômega</t>
  </si>
  <si>
    <t>Treinamento Márcio em equipamentos lab + análises FQ T0 Soya 1.5 Fiber</t>
  </si>
  <si>
    <t>Atualizações SP - pastas IG e NN</t>
  </si>
  <si>
    <t>Coordenação TP FOS Galam Castrolanda + contato fornecedor novo TCM pó</t>
  </si>
  <si>
    <t>Coordenação Teste Embrapa</t>
  </si>
  <si>
    <t>Webinar Braseq - viscosidade</t>
  </si>
  <si>
    <t>Teste envase lata recravada - Trophic Infant</t>
  </si>
  <si>
    <t>Planejamento Teste Embrapa + Atualização matriz regulatória + ET - IG</t>
  </si>
  <si>
    <t>Avaliação aminograma nova PIS + auxílio Científico</t>
  </si>
  <si>
    <t>Teste envase lata recravada - Immax</t>
  </si>
  <si>
    <t>Atualização matriz regulatória IG + atualização MF registro IG e NN com Mg(OH)2</t>
  </si>
  <si>
    <t>Entendimento nível uso aromas - Teste IFF HH com ômega</t>
  </si>
  <si>
    <t>Resposta técnina ao questionamento sobre quantidade de água utilzada na fórmula do Trophic 1.5</t>
  </si>
  <si>
    <t>Avaliação FT's e docs novas MP's - polidextrose, CasCa</t>
  </si>
  <si>
    <t>Ajustes MF V01 + Avaliação PL óleos vegetais</t>
  </si>
  <si>
    <t>Elaboração cronograma atividades P&amp;D</t>
  </si>
  <si>
    <t>Coordenação Teste Embrapa - laudos MP's para dietas entrarem em EE</t>
  </si>
  <si>
    <t>Avaliação estrutura embalagem jumbo mistura seca</t>
  </si>
  <si>
    <t>Finalização P&amp;D spec lecitina soja fluida</t>
  </si>
  <si>
    <t>Contato Supply novas MP's - sucralose, TCM pó, carragena</t>
  </si>
  <si>
    <t>Avaliação NDA Centric</t>
  </si>
  <si>
    <t>Verificação histórico aminograma NPAL</t>
  </si>
  <si>
    <t>Coordenação TP FOS Galam/CasCa Alibra Castrolanda</t>
  </si>
  <si>
    <t>Avaliação FT's óleos Vantage + retorno fornecedor</t>
  </si>
  <si>
    <t>Entendimento análise DP + Avaliação Embrapa para uso</t>
  </si>
  <si>
    <t>Preenchimento matriz regulatória NN</t>
  </si>
  <si>
    <t>Atualização relatório Sachês a vácuo + painel embalagens</t>
  </si>
  <si>
    <t>Contato Embrapa análise DP próximo Teste</t>
  </si>
  <si>
    <t>Contato fornecedor AN</t>
  </si>
  <si>
    <t>Planejamento TB lab novas MP's - PIS + CasCa</t>
  </si>
  <si>
    <t>Coordenação Teste Embrapa - fracionamento MP's</t>
  </si>
  <si>
    <t>TB novas Mp's - WPI IMCD + WPI Doremus</t>
  </si>
  <si>
    <t>Retorno a IFF e Solicitação de lotes de PIS com menor viscosidade</t>
  </si>
  <si>
    <t>Elaboração docs demo Centric</t>
  </si>
  <si>
    <t>Atualização specs Prodiet + publicação SP</t>
  </si>
  <si>
    <t>Estudo novos ingredientes + pesquisa legislação Unicef</t>
  </si>
  <si>
    <t>Ajuste docs demo Centric</t>
  </si>
  <si>
    <t>Coordenação envio equipamentos lab calibração</t>
  </si>
  <si>
    <t>Elaboração relatório TB WPI IMCD</t>
  </si>
  <si>
    <t>Retorno fornecedor nova MP palatinose</t>
  </si>
  <si>
    <t>Alinhamento técnico fornecedor - docs para demo</t>
  </si>
  <si>
    <t>TB novas Mp's - PIS + CasCa</t>
  </si>
  <si>
    <t>Atualizações sistema - novo WPI GermanProt</t>
  </si>
  <si>
    <t>Elaboração relatório novas MP's (WPI e PIS)</t>
  </si>
  <si>
    <t>Elaboração IF's Teste Embrapa + planejamento Teste (proposta, fracionamentos, análises)</t>
  </si>
  <si>
    <t>Avaliação FT x spec Prodiet - novo CasCa + validação lista equivalências fontes DSM</t>
  </si>
  <si>
    <t>Retorno fornecedor novo CasCa</t>
  </si>
  <si>
    <t>Avaliação proposta Teste + planejamento Teste Embrapa</t>
  </si>
  <si>
    <t>Avaliação novas MP's + atualizações SP e Protheus</t>
  </si>
  <si>
    <t>Verificação requisitos x Centric</t>
  </si>
  <si>
    <t>Atualizações sistema - novas MP's</t>
  </si>
  <si>
    <t>Elaboração relatório Teste IFF - HH com ômega</t>
  </si>
  <si>
    <t>Discussão técnica fornecedor - fontes minerais</t>
  </si>
  <si>
    <t>Estudo nova carragena kappa - aplicação no Teste Embrapa + planejamento Teste</t>
  </si>
  <si>
    <t>Apresentação P&amp;D para CD</t>
  </si>
  <si>
    <t>Check físico receitas Teste Embrapa</t>
  </si>
  <si>
    <t>Planejamento TP Castro CasCa e polissac soja + discussão técnica e Alinhamento detalhes TP's</t>
  </si>
  <si>
    <t>Avaliação laudos novas MP's + relatório novo CasCa Armor + Alinhamento descarte produtos EE</t>
  </si>
  <si>
    <t>Retorno Ital envio amostras + contato Eurofins Solicitação análises</t>
  </si>
  <si>
    <t>Planejamento Teste jumbo</t>
  </si>
  <si>
    <t>Estudo novas MP's - SF UTI</t>
  </si>
  <si>
    <t>Retornos internos TB citrato Na</t>
  </si>
  <si>
    <t>Conferência envio materiais Teste Embrapa</t>
  </si>
  <si>
    <t>Coordenação Teste Embrapa + elaboração IF's</t>
  </si>
  <si>
    <t>Discussão técnica interna</t>
  </si>
  <si>
    <t>Atualizações sistema novas MP's + relatórios insumos/ALT</t>
  </si>
  <si>
    <t>Cerimônia premiação FiSA 2021</t>
  </si>
  <si>
    <t>Segunda rodada de aplicação (Ajustes de formulação) dos aromas e análise sensorial preliminar das formulações do EnergyZIP novos sabores</t>
  </si>
  <si>
    <t>Discussão técnica - aminograma PIS x spec Prodiet</t>
  </si>
  <si>
    <t>Seminário ITAL sobre documentação de material de embalagem</t>
  </si>
  <si>
    <t>Seminário sobre novos softwares aplicados a P&amp;D da Fispal</t>
  </si>
  <si>
    <t>Atualizações sistema novas MP's + FiSA 2021</t>
  </si>
  <si>
    <t>TB nova polidextrose + FQ HN e NHcF outubro/20</t>
  </si>
  <si>
    <t>Discussão técnica junto ao fornecedor - óleo de amendoim</t>
  </si>
  <si>
    <t>Planejamento trâmites deslocamento - Teste Embrapa</t>
  </si>
  <si>
    <t>Alinhamento técnico - novas MP's</t>
  </si>
  <si>
    <t>Avaliação proposta Teste + coordenação Teste Embrapa</t>
  </si>
  <si>
    <t>Seminário técnico sobre aplicações de pectina para produtos lácteos e bebidas e envio das impressões a equipe</t>
  </si>
  <si>
    <t>Alinhamento técnico junto a CQ - Teste jumbo</t>
  </si>
  <si>
    <t>Atualização spec PIS (aminograma) + atualizações sistema novas MP's</t>
  </si>
  <si>
    <t>Atualização relatório jumbo UHT + sistema</t>
  </si>
  <si>
    <t>Atualizações planilha novos desenvolvimentos</t>
  </si>
  <si>
    <t>Sensorial concorrente Nutricomp Soup</t>
  </si>
  <si>
    <t>Planejamento trâmites deslocamento - Teste Embrapa + coordenação Teste Embrapa</t>
  </si>
  <si>
    <t>Contato fornecedor - densidade óleo de amendoim</t>
  </si>
  <si>
    <t>Verificação colher medida para novo WPI</t>
  </si>
  <si>
    <t>Atualização ET IG e NN</t>
  </si>
  <si>
    <t>Atualizações sistema + discussão técnica equipo</t>
  </si>
  <si>
    <t>Coordenação Teste Embrapa + planejamento sensorial Teste IFF</t>
  </si>
  <si>
    <t>Atualização ET IG e NN + coordenação Teste Embrapa</t>
  </si>
  <si>
    <t>TB HH com ômega + viscosidade/pH base + Avaliação relatório Admix</t>
  </si>
  <si>
    <t>Sensorial de liberação 1° Produção Bin 50L</t>
  </si>
  <si>
    <t>Planejamento sequencial receitas Teste Embrapa + trâmites deslocamento + discussão técnica resultados Teste Admix</t>
  </si>
  <si>
    <t>Atualizações sistema - nova sucralose</t>
  </si>
  <si>
    <t>Planejamento Teste Semco (análises)</t>
  </si>
  <si>
    <t>Atualização EEALD's</t>
  </si>
  <si>
    <t>Atualização cronogramas + planejamento trâmites deslocamento Teste Embrapa</t>
  </si>
  <si>
    <t>Sensorial do Bemmax após mistura com manimalto e WPI sooro</t>
  </si>
  <si>
    <t>Discussão técnica novo WPI GermanProt</t>
  </si>
  <si>
    <t>Teste Embrapa/RJ - NHcF e HNcF</t>
  </si>
  <si>
    <t>Teste Embrapa/RJ - HN, HH e NN</t>
  </si>
  <si>
    <t>Teste Embrapa/RJ - NHcF, HH e IG</t>
  </si>
  <si>
    <t>Teste Embrapa/RJ - NN</t>
  </si>
  <si>
    <t>Elaboração relatório Teste Embrapa</t>
  </si>
  <si>
    <t>Discussão técnica - progresso e revisão dos requerimentos</t>
  </si>
  <si>
    <t>Atualização relatório Teste Embrapa</t>
  </si>
  <si>
    <t>Atualização Teste jumbo - cancelamento Teste</t>
  </si>
  <si>
    <t>Discussão técnica junto ao fornecdor - resultados Teste Embrapa</t>
  </si>
  <si>
    <t>Sensorial lata Immax recravada T9</t>
  </si>
  <si>
    <t>Evento DR tá na mesa</t>
  </si>
  <si>
    <t>Alinhamento técnico próximos passos - Produção 250mL</t>
  </si>
  <si>
    <t>Discussão técnica junto ao fornecedor - óleo de cártamo</t>
  </si>
  <si>
    <t>Estudo resultados Teste Embrapa</t>
  </si>
  <si>
    <t>Estruturação próximo Teste Embrapa</t>
  </si>
  <si>
    <t>Planejamento Teste caixa expedição</t>
  </si>
  <si>
    <t>Alinhamento técnico aromas - Teste IFF HH com Ômega + tabulação dados sensorial Teste IFF + relatório Teste IFF</t>
  </si>
  <si>
    <t>Apresentação pesquisa bebidas protéicas</t>
  </si>
  <si>
    <t>Planejamento envio análise externa HDmax com nova FOS</t>
  </si>
  <si>
    <t>Avaliação resultados DP Teste Embrapa + relatórios autoclave + atualização relatório Teste</t>
  </si>
  <si>
    <t>Teste caixa expedição + atualização relatório</t>
  </si>
  <si>
    <t>Elaboração apresentação resultados Teste Embrapa - IFF + planejamento envios T0</t>
  </si>
  <si>
    <t>Discussão técnica IFF - resultados retort + contato DMV grumos NHcF + planejamento envios T0</t>
  </si>
  <si>
    <t>Solicitações envio análise DP</t>
  </si>
  <si>
    <t>Alinhamento técnico status recravadeira</t>
  </si>
  <si>
    <t>Discussão técnica - status Sachê a vácuo + cronograma</t>
  </si>
  <si>
    <t>Avaliação docs Centric</t>
  </si>
  <si>
    <t>Planejamento envios T0</t>
  </si>
  <si>
    <t>Envios análises T0 + inserção produtos estufas</t>
  </si>
  <si>
    <t>Avaliação Trophic 1.5 Prodiet em Casa</t>
  </si>
  <si>
    <t>TB MF V01 - óleo de amendoim e óleo de cártamo</t>
  </si>
  <si>
    <t>Avaliação specs mixes Mcassab</t>
  </si>
  <si>
    <t>Planejamento Teste Embrapa x estudos resultados</t>
  </si>
  <si>
    <t>Contato fornecedores Sachê a vácuo + Alinhamento técnico junto ao mkt</t>
  </si>
  <si>
    <t>Contato fornecedores creatina e óleo de peixe - estabilidade térmica</t>
  </si>
  <si>
    <t>Retorno fornecedor carragena - resultados Teste Embrapa</t>
  </si>
  <si>
    <t>Publicação spec PIS com aminograma + atualizações sistema</t>
  </si>
  <si>
    <t>Sensorial T6 com e sem canola BHA</t>
  </si>
  <si>
    <t>Alinhamento técnico estudo extensão SL</t>
  </si>
  <si>
    <t>Sensorial TP HH com ômega</t>
  </si>
  <si>
    <t>Separação e Avaliação FQ E.baunilha T9</t>
  </si>
  <si>
    <t>Avaliação specs mixes Mcassab + Alinhamento técnico resultado TI novo CasCa</t>
  </si>
  <si>
    <t>Discussão técnica próximo Teste Embrapa (melhorias nas formulações/processo)</t>
  </si>
  <si>
    <t>Análises FQ NHcF, IG e HN + atualizações EEALD's</t>
  </si>
  <si>
    <t>Planejamento trâmites deslocamento Teste Embrapa + elaboração novos MF HH (3 versões)</t>
  </si>
  <si>
    <t>Alinhamento técnico uso lecitina líquida produtos UHT</t>
  </si>
  <si>
    <t>Coordenação Teste Embrapa set/21</t>
  </si>
  <si>
    <t>Planejamento envio T0</t>
  </si>
  <si>
    <t>Atualização ETPR + publicação SP</t>
  </si>
  <si>
    <t>Planejamento Teste Embrapa - uso HSM</t>
  </si>
  <si>
    <t>Discussão técnica - Alteração coloração</t>
  </si>
  <si>
    <t>Contato fornecedores Sachê a vácuo</t>
  </si>
  <si>
    <t>Planejamento envios T0 + trâmites deslocamento próximo Teste + coordenação interna próximo Teste</t>
  </si>
  <si>
    <t>Entendimento Teste Semco + contato fornecedor</t>
  </si>
  <si>
    <t>Separação envio placebo Covalidação</t>
  </si>
  <si>
    <t>Fracionamento ingredientes próximo Teste Embrapa</t>
  </si>
  <si>
    <t>Coordenação fracionamento batches 18L</t>
  </si>
  <si>
    <t>Elaboração respaldo KCl</t>
  </si>
  <si>
    <t>Avaliação FT's novas MP's</t>
  </si>
  <si>
    <t>Planejamento próximo Teste + estudo proteínas</t>
  </si>
  <si>
    <t>Atualizações Protheus - nova FOS e GermanProt</t>
  </si>
  <si>
    <t>Análise resultados DP</t>
  </si>
  <si>
    <t>Conferência fracionamentos 18L</t>
  </si>
  <si>
    <t>Avaliação resultado fibras novo polissac soja + atualização relatório TP</t>
  </si>
  <si>
    <t>Contato fornecedores Sachê a vácuo -  nova rodada de Testes</t>
  </si>
  <si>
    <t>Planejamento TP - novas MP's</t>
  </si>
  <si>
    <t>Alinhamento técnico novas MP's - status e prioridades + call fornecedor polidextrose</t>
  </si>
  <si>
    <t>Envio análises T0</t>
  </si>
  <si>
    <t>Sessão tecnológica Centric</t>
  </si>
  <si>
    <t>Elaboração IF's novo Teste Embrapa</t>
  </si>
  <si>
    <t>Alinhamento técnico - retomada do projeto</t>
  </si>
  <si>
    <t>Discussão técnica junto ao laboratório - resultados DP</t>
  </si>
  <si>
    <t>Planejamento mudança lab processo</t>
  </si>
  <si>
    <t>Compilado novas MP's x microbiologia</t>
  </si>
  <si>
    <t>Discussão técnica - validação financeira</t>
  </si>
  <si>
    <t>Solicitação cotações óleo de peixe x analise aplicação pó versus líquido</t>
  </si>
  <si>
    <t>Planejamento próximo Teste + contato fornecedores</t>
  </si>
  <si>
    <t>Simpósio DSM sobre inovações e tendencias para bebidas e possíbilidade de desenvolvimento para Prodiet</t>
  </si>
  <si>
    <t>Compilado timeline discussões Centric</t>
  </si>
  <si>
    <t>Planejamento Teste Semco + coordenação Teste Embrapa</t>
  </si>
  <si>
    <t>Avaliação resultados DP USP LCT</t>
  </si>
  <si>
    <t>Teste Embrapa - HH, NN e preparo NHcF</t>
  </si>
  <si>
    <t>Teste Embrapa - HH, NN e NHcF</t>
  </si>
  <si>
    <t>Planejamento Teste Semco</t>
  </si>
  <si>
    <t>Alinhamento técnico Alteração coloração</t>
  </si>
  <si>
    <t>Avaliação resultados + coordenação pós Teste + retorno a Cw</t>
  </si>
  <si>
    <t>Simpósio Duas Rodas sobre inovação e tendencias de mercado</t>
  </si>
  <si>
    <t>Verificação política vidros - lab processo</t>
  </si>
  <si>
    <t>Planejamento envios T0 + início EE's</t>
  </si>
  <si>
    <t>Alinhamento técnico - demonstração inicial + validação fiinanceira</t>
  </si>
  <si>
    <t>Elaboração relatório Teste Embrapa + planejamento Teste Semco</t>
  </si>
  <si>
    <t>Planejamento Teste Semco + coordenação Testes outubro</t>
  </si>
  <si>
    <t>Avaliação requerimentos Centric x Prodiet</t>
  </si>
  <si>
    <t>Avaliação documentos novo óleo de soja em pó</t>
  </si>
  <si>
    <t>Coordenação fracionamentos Testes outubro</t>
  </si>
  <si>
    <t>Alinhamento Teste Semco - sequencial adição, estatores + planejamento Teste Semco + Alinhamentos último Teste Embrapa</t>
  </si>
  <si>
    <t>Avaliação documentos novo óleo de soja em pó + retorno fornecedor</t>
  </si>
  <si>
    <t>Apresentação Científico - Espen 2021</t>
  </si>
  <si>
    <t>Finalização documento requeirmentos Centric</t>
  </si>
  <si>
    <t>Planejamento inserção PA's estufas + entendimento processo Semco + compilação dados Teste Semco</t>
  </si>
  <si>
    <t>Avaliação novas plantas</t>
  </si>
  <si>
    <t>Coordenação Teste Semco</t>
  </si>
  <si>
    <t>Planejamento e coordenação Teste Semco + atualizações sistema + contato fornecedores</t>
  </si>
  <si>
    <t>Solicitação amostra fornecedor</t>
  </si>
  <si>
    <t>Contato fornecedor - próximo Teste</t>
  </si>
  <si>
    <t>Avaliação planilha fornecedor premix</t>
  </si>
  <si>
    <t>Atualizações SP + investigação resultados T0 Teste Embrapa</t>
  </si>
  <si>
    <t>Planejamento Teste Semco - logística deslocamento, fracionamentos, envios</t>
  </si>
  <si>
    <t>Avaliação retorno Centric - requerimentos</t>
  </si>
  <si>
    <t>Alinhamento resultados T0 Teste Embrapa</t>
  </si>
  <si>
    <t>Contato fornecedor</t>
  </si>
  <si>
    <t>Avaliação documentos nova lecitina soja</t>
  </si>
  <si>
    <t>Levantamento custos Teste Embrapa ago-set + planjemento próximo Teste</t>
  </si>
  <si>
    <t>Planejamento prócimo Teste Embrapa</t>
  </si>
  <si>
    <t>Solicitação cotações novas MP's</t>
  </si>
  <si>
    <t>Elaboração novos MF's - nível uso premix</t>
  </si>
  <si>
    <t>Levantamento budget retort + custos Teste Embrapa ago/set + contato agenda Embrapa + atualização relatório</t>
  </si>
  <si>
    <t>Planejamento Teste Embrapa - logística deslocamento, fracionamentos, envios</t>
  </si>
  <si>
    <t>Fracionamento MP's Teste Embrapa + separação embalagens + conferência materiais Produção</t>
  </si>
  <si>
    <t>Levantamento custos proposta Centric antiga x nova</t>
  </si>
  <si>
    <t>Planejamento Teste Embrapa + entendimento/investigação resultado EC T0 agosto</t>
  </si>
  <si>
    <t>Briefing pelo Científico - Diamax pó</t>
  </si>
  <si>
    <t>Avaliação novo CasCa + planejamento TP</t>
  </si>
  <si>
    <t>Análise FQ amostras NN, NHcF e HH</t>
  </si>
  <si>
    <t>TB nova lecitina soja</t>
  </si>
  <si>
    <t>Avaliação novo TCM + aprovação</t>
  </si>
  <si>
    <t>Checagem pesagens Teste Semco + separação embalagens análises</t>
  </si>
  <si>
    <t>Avaliação resultado análise ST + atualização relatório (análises FQ + DP)</t>
  </si>
  <si>
    <t>Elaboração relatório TB nova lecitina soja + atualizações sistema</t>
  </si>
  <si>
    <t>Deslocamento para Teste Embrapa</t>
  </si>
  <si>
    <t>Teste Embrapa - 5 formulações para EE</t>
  </si>
  <si>
    <t>Teste Embrapa - 5 formulações para EE + retorno Curitiba</t>
  </si>
  <si>
    <t>Planejamento envio amostras Teste Semco - lab externo</t>
  </si>
  <si>
    <t>Deslocamento para Teste Semco</t>
  </si>
  <si>
    <t>Teste Semco - HSM</t>
  </si>
  <si>
    <t>Teste Semco - HSM + retorno Curitiba</t>
  </si>
  <si>
    <t>Avaliação nosvas MP's (PIS, óleo de canola em pó, sucralose, lecitina de soja, CasCa, TCM)</t>
  </si>
  <si>
    <t>Discussões internas novas MP's</t>
  </si>
  <si>
    <t>Elaboração relatório Teste Semco</t>
  </si>
  <si>
    <t>Elaboração relatório Teste Semco +envio EC amostras Teste outubro (5 dietas) + inserção produtos nas estufas</t>
  </si>
  <si>
    <t>Elaboração documento com Avaliação impactos software</t>
  </si>
  <si>
    <t>Planejamento Teste pouches nova envasadora + relatório Teste Semco + relatório Teste Embrapa + contato Ekron HSM</t>
  </si>
  <si>
    <t>Relatório fábrica retort + contato Tetra Pak HSM + entendimento tempos hidratação HSM</t>
  </si>
  <si>
    <t>Entendimento exigência Diamax IG RTH + análises FQ T0 (5 dietas)</t>
  </si>
  <si>
    <t>Contato DSM coloração mix x PA</t>
  </si>
  <si>
    <t>Pesquisa cursos integridade embalagens + contato Cetea</t>
  </si>
  <si>
    <t>Envio análises T0 lab externo (5 dietas)</t>
  </si>
  <si>
    <t>Avaliação novo citrato Na + sucralose</t>
  </si>
  <si>
    <t>Atualização relatórios fabrica retort e Teste Embrapa</t>
  </si>
  <si>
    <t>Simulações com MP's</t>
  </si>
  <si>
    <t>Entendimento ajuste %sólido spec maltodextrina</t>
  </si>
  <si>
    <t>Pesquisa curso tratamento térmico + contato Ekron + contato castrolanda (levantamento tempos MP's)</t>
  </si>
  <si>
    <t>Elaboração ppt status retort - AGM</t>
  </si>
  <si>
    <t>Avaliação retorno fornecedor novo TCM em pó + entendimento parâmetros</t>
  </si>
  <si>
    <t>Relatório insumos + alergênicos + ALT + Avaliação novo MPC</t>
  </si>
  <si>
    <t>Pesquisa integridade embalagens a vácuo</t>
  </si>
  <si>
    <t>Avaliação retorno fornecedor novo citrato de Na</t>
  </si>
  <si>
    <t>Apresentação Tetra Pak + entendimento tipos de HSM x resultados</t>
  </si>
  <si>
    <t>Avaliação premixes x specs Prodiet</t>
  </si>
  <si>
    <t>Pesquisa curso tratamento térmico</t>
  </si>
  <si>
    <t>Simulações de custo 800g, sem lactose, comparativo Immax</t>
  </si>
  <si>
    <t>Levantamento teor umidade lotes maltodextrina (3 anos) + atualização spec</t>
  </si>
  <si>
    <t>Atualizações comitê sourcing + Avaliação nova isomaltulose</t>
  </si>
  <si>
    <t>Avaliação dosc nova isomaltulose + citrato de Na</t>
  </si>
  <si>
    <t>Apresentação briefing SF UTI</t>
  </si>
  <si>
    <t>Avaliação nova proposta Centric</t>
  </si>
  <si>
    <t>Pesquisa localização nova envasadora</t>
  </si>
  <si>
    <t>Avaliação proposta Cetea + pesquisa curso tratamento térmico</t>
  </si>
  <si>
    <t>Entendimento instalação nova envasadora</t>
  </si>
  <si>
    <t>Atualização ppt retort AGM</t>
  </si>
  <si>
    <t>Planejamento + Teste seladora a vácuo</t>
  </si>
  <si>
    <t>Avaliação produtos nas estufas</t>
  </si>
  <si>
    <t>Avaliação interna novo MPC</t>
  </si>
  <si>
    <t>Avaliação proposta Cetea</t>
  </si>
  <si>
    <t>Atualizações comitê sourcing</t>
  </si>
  <si>
    <t>Atualização melhorias lab processo</t>
  </si>
  <si>
    <t>Apresentação AGM</t>
  </si>
  <si>
    <t>Avaliação planilha estufas</t>
  </si>
  <si>
    <t>Reenvio T0 + Avaliação PA's nas estufas + coordenação instalação envasadora</t>
  </si>
  <si>
    <t>TB polidextroses (3 amostras) + citrato Na</t>
  </si>
  <si>
    <t>Simulações software P&amp;D</t>
  </si>
  <si>
    <t>Elaboração relatório TB citrato Na</t>
  </si>
  <si>
    <t>Contato fornecedor pouches vácuo</t>
  </si>
  <si>
    <t>Elaboração relatório TB 3 polidextroses + Solicitação códigos + atualizações sistema</t>
  </si>
  <si>
    <t>Contato fornecedor pouches vácuo - sistema fechamento</t>
  </si>
  <si>
    <t>Atualizações Comitê Sourcing</t>
  </si>
  <si>
    <t>Atualização SP e Protheus - códigos polidextroses</t>
  </si>
  <si>
    <t>Compilação resultados FQ T0 nos EEALD's</t>
  </si>
  <si>
    <t>Pesquisa corante/aromas</t>
  </si>
  <si>
    <t>Entendimento resultados vitaminas EE's retort</t>
  </si>
  <si>
    <t>Planejamento e contato fornecedores - Docs açúcares</t>
  </si>
  <si>
    <t>Atualizações novo óleo canola, premixes, isomaltulose</t>
  </si>
  <si>
    <t>Atualizações Centric e Mcassab</t>
  </si>
  <si>
    <t>Simulações software P&amp;D - inclusão parâmetros "personalizados"</t>
  </si>
  <si>
    <t>Discussão interna novas ET / ETPR / ET provisória</t>
  </si>
  <si>
    <t>Apresentação retort Supply + compartilhamento de docs + investigação MP's EE's</t>
  </si>
  <si>
    <t>Relatório ALT + integração Supply + estudo trocador calor + contato Steriflow</t>
  </si>
  <si>
    <t>Entendimento pesquisa clínica</t>
  </si>
  <si>
    <t>Alinhamento sobre lançamento</t>
  </si>
  <si>
    <t>Atualizações Comitê Soucing - novo CasCa Arla</t>
  </si>
  <si>
    <t>Coordenação docs novo funcionário Supply + estudo ômegas + Avaliação fornecedores pouch</t>
  </si>
  <si>
    <t>Avaliação Vitacel Citrus Fiber</t>
  </si>
  <si>
    <t>Contato fornecedores óleo - projeto em stand-by</t>
  </si>
  <si>
    <t>Contato fornecedor w-3 - laudos para dieta UTI + trâmites NF Teste Semco</t>
  </si>
  <si>
    <t>Cálculos em MF - tabela mix vitaminas com SD</t>
  </si>
  <si>
    <t>Cálculos em MF - tabela mix vitaminas com SD + contato fornecedores/centros tratamento térmico</t>
  </si>
  <si>
    <t>Treinamento IF automática</t>
  </si>
  <si>
    <t>Planejamento contato fornecedores - doc açúcares + contato fornecedores - doc açúcares</t>
  </si>
  <si>
    <t>Discussão técnica fornecedor pouches EUA</t>
  </si>
  <si>
    <t>Contato fornecedores - doc açúcares</t>
  </si>
  <si>
    <t>Atualizações sistema - nova carragena kappa + compartilhamento MP's retort - supply + contato fornecedor premix + contato fornecedores aromas/corantes</t>
  </si>
  <si>
    <t>Contato fornecedores aromas/corantes + elaboração planilha aromas/corantes</t>
  </si>
  <si>
    <t>Contato fornedor w-3 + discussão técnicas novas formulações 2022 - UTI/ HNcF</t>
  </si>
  <si>
    <t>Atualizações sistema - Mg(OH)2 + cronogramas HH e HN + contato GNT corantes retort + relatório fábrica</t>
  </si>
  <si>
    <t>cronogramas NHcF, IG e NN + relatório fábrica + estudo trocadores de calor</t>
  </si>
  <si>
    <t>Avaliação budget 2022 + contato fornecedor Sachê vácuo</t>
  </si>
  <si>
    <t>Contato fornecedores aromas/corantes + atualização planilha</t>
  </si>
  <si>
    <t>Avaliação docs premix 12016 + atualizações sistema + contato fornecedor w-3</t>
  </si>
  <si>
    <t>Alinhamento técnico - cronograma projetos 2022</t>
  </si>
  <si>
    <t>Avaliação e planejamento EE - estudo vácuo/nutrientes</t>
  </si>
  <si>
    <t>Simulações teor K nas dietas + Avaliação FT's premixes + Solicitação amostra novas MP's</t>
  </si>
  <si>
    <t>Coordenação instalação envasadora + contato USP-LCT (análise DP)</t>
  </si>
  <si>
    <t>Planejamento TB hanger</t>
  </si>
  <si>
    <t>Planejamento novo cronograma 2022 + contato fornecedores aromas/corantes +</t>
  </si>
  <si>
    <t>Coordenação envio materiais - TB hanger</t>
  </si>
  <si>
    <t>Avaliação docs nova carragena + contato fornecedor para adequações CoA</t>
  </si>
  <si>
    <t>Alinhamento Supply e Manutenção - próximos passos e Testes</t>
  </si>
  <si>
    <t>Avaliação docs dos fornecedores + Alinhamento interno</t>
  </si>
  <si>
    <t>Coordenação instalação envasadora + atualzações sistema + Avaliação doc w-3</t>
  </si>
  <si>
    <t>TB hanger + atualização relatório</t>
  </si>
  <si>
    <t>Preenchimento doc Qualidade + planejamento EE - vácuo/nutrientes</t>
  </si>
  <si>
    <t>Coordenação instalação envasadora</t>
  </si>
  <si>
    <t>Adequação do parâmetro de alcalinidade na especificação técnica do citrato de sódio</t>
  </si>
  <si>
    <t>Alinhamento e Solicitação de amostra do Licopeno da Lycored como substituto ao carmim</t>
  </si>
  <si>
    <t>Alinhamento sobre as necessidades finais para cadastros de matérias-primas e serviços para crição de IF automática a partir da estrutura do Protheus</t>
  </si>
  <si>
    <t>Alteração das instruções de fabricação para produtos da prodiet fabricados na Castrolanda</t>
  </si>
  <si>
    <t>Análise de custo e discussão sobre Markup do trophic Soya 1.5</t>
  </si>
  <si>
    <t>Análise do desvio de qualidade observado para o Trophic 1.5</t>
  </si>
  <si>
    <t>Análise dos lotes com reclamações para o  Trophic EP e Trophic 1.5</t>
  </si>
  <si>
    <t>Análise dos lotes com reclamações para o DIAMAX e Trophic Fiber</t>
  </si>
  <si>
    <t>Análise dos lotes com reclamações para o EnergyZip e HDMAX</t>
  </si>
  <si>
    <t>Análise dos lotes com reclamações para o Trophic Basic</t>
  </si>
  <si>
    <t>Análise dos lotes com reclamações para o Trophic Soya e Trophic EP</t>
  </si>
  <si>
    <t>Desenvolvimento de corante alternativo para o energyzip morango</t>
  </si>
  <si>
    <t>Inclusão das águas e serviços na estrura do Trophic Soya 1.5 para criação da IF Automática.</t>
  </si>
  <si>
    <t>Inclusão/Modificação de estrutura para adição de ingredientes alternativos à formula e troca de embalagem</t>
  </si>
  <si>
    <t>Leitura da nova versão do Pocket guide para produtos Prodiet</t>
  </si>
  <si>
    <t>Leitura da RDC 331/2019 e IN 60/2019</t>
  </si>
  <si>
    <t>Leitura de documentos relacionados a Testes industriais</t>
  </si>
  <si>
    <t>Leitura de materiais sobre o Phytolin, seus benefícios, e possibilidades de uso para NE</t>
  </si>
  <si>
    <t>Leitura de material sobre dieta caseira/Artesanal para nutrição enteral</t>
  </si>
  <si>
    <t>Leitura do  POP referente a tabela nutricional solicitado por qualidade</t>
  </si>
  <si>
    <t>Leitura dos relatórios e documentos (Testes e MF) do Trophic 1.5 fiber para inicio do desenvolvimento de sugestões</t>
  </si>
  <si>
    <t>Leitura e Avaliação do relatório do Teste de bancada do CasCa da Doremus</t>
  </si>
  <si>
    <t>Organização da coleta das amostras do TS1.5 Fiber produzidas na Dupont-IFF</t>
  </si>
  <si>
    <t>Organização das estufas e colocação do Trophic Soya 1.5 Fiber</t>
  </si>
  <si>
    <t>Organização do Teste da caixa de expedição das embalagens dose única (250mL) (envio de documentos, Alinhamento junto a Castrolanda e orientações com relação aos procedimentos a serem adotados).</t>
  </si>
  <si>
    <t>Organização do Teste de aplicação da caixa de expedição das embalagens tetra 250mL junto a Castrolanda</t>
  </si>
  <si>
    <t>Organização do Teste e Solicitação de MP para o EnergyZIP Protein</t>
  </si>
  <si>
    <t>Organização do Teste EnergyZIP Protein e Trophic soya 1.5 fiber (Solicitação de novas MP e quantidades diferentes)</t>
  </si>
  <si>
    <t>Organização do Teste trophic soya 1.5 na tetra pak</t>
  </si>
  <si>
    <t>Organização dos dados de viscosidade de 2019-2020 e comparação dos resultados das amostras UHT</t>
  </si>
  <si>
    <t>Organização e Alinhamento sobre o Teste do caseinado de cálcio da Alibra no Trophic 1.5</t>
  </si>
  <si>
    <t>Organização e envio da amostra do Trophic 1.5 produzido com CAN90 para a análise de proteínas.</t>
  </si>
  <si>
    <t>Organização e envio das MP do Testes do EnergyZIP Protein</t>
  </si>
  <si>
    <t>Organização e envio de amostra do HDMAX para análise de EE</t>
  </si>
  <si>
    <t>Organização e envio de amostras do Trophic basic enteral para análise de validação pela diretoria</t>
  </si>
  <si>
    <t>Organização e envio de amostras para EE do Trophic Fiber</t>
  </si>
  <si>
    <t>Organização e envio de arte final à Castrolanda (EnergyZIP morango e chocolate).</t>
  </si>
  <si>
    <t>Organização e envio de arte final à Castrolanda.</t>
  </si>
  <si>
    <t>Organização e envio de documentos a Castrolanda referente as embalagens VPC (Trophic 1.5 e Trophic Soya)</t>
  </si>
  <si>
    <t>Organização e envio de informações a Castrolanda sobre quantidades e distribuição de lotes de Soya,  fiber e 1.5 normal e VPC que serão produzidos com a nova embalagem.</t>
  </si>
  <si>
    <t>Organização e envio de lotes para estudo de estabilidade</t>
  </si>
  <si>
    <t>Organização e envio de materiais para análise de EE</t>
  </si>
  <si>
    <t>Organização e envio dos documentos  Tetra Pak referentes as MP do EnergyZIP Protein (IF e ficha de declaração de composição)</t>
  </si>
  <si>
    <t>Organização e envio dos documentos referentes ao Teste de caseinato Alibra CAN90</t>
  </si>
  <si>
    <t>Organização e envio dos laudos do CAN90 a Castrolanda para efetuar a liberação para o Teste do Trophic 1.5</t>
  </si>
  <si>
    <t>Organização e inicio do estudo de estabilidade das amostras do Trophic Jr 1.0 e 1.5</t>
  </si>
  <si>
    <t>Participação da Feira NIS</t>
  </si>
  <si>
    <t>Participação em um webinar da Duas rodas sobre inovação na cadeia de alimentos</t>
  </si>
  <si>
    <t>Discussão técnica sobre portifolio Prodiet</t>
  </si>
  <si>
    <t>Discussão técnica sobre BPF</t>
  </si>
  <si>
    <t>Discussão técnica sobre Processos UHT/Retort</t>
  </si>
  <si>
    <t>Análise de Teste de viscosidade 2019-2020 amostras UHT</t>
  </si>
  <si>
    <t>Modificação de estrutura para a inclusaão de ingrediente alternativo à formula (mix de vitaminas) e modificação de controle de versões</t>
  </si>
  <si>
    <t>Discussão técnica sobre o desenvolvimento de novas matérias-primas</t>
  </si>
  <si>
    <t>Discussão técnica sobre os estudos de estabilidade</t>
  </si>
  <si>
    <t>Discussão técnica sobre o portfolio Prodiet</t>
  </si>
  <si>
    <t>Discussão técnica sobre usos, densenvolvimentos e aplicação do sistema retort</t>
  </si>
  <si>
    <t>Discussão técnica sobre a estabilidade de lipídeos e vitaminas nas misturas secas</t>
  </si>
  <si>
    <t>Discussão técnica sobre misturas secas e sharepoint</t>
  </si>
  <si>
    <t>Estudo de estabilidade, premixes e mudanças de viscosidade de produtos UHT</t>
  </si>
  <si>
    <t>Treinamento sobre a Lei do bem</t>
  </si>
  <si>
    <t>Avaliação das fichas técnicas e dos laudos de analise (shelf life) para liberação de fabricação com óleo girassol com 9,2% de Ac. Graxos saturados</t>
  </si>
  <si>
    <t>Avaliação da mudança de viscosidade do produto após homogeneização e possiveis problemas na Castrolanda</t>
  </si>
  <si>
    <t>Avaliação dos resultados de viscosidade 2018-2019 do Trophic EP</t>
  </si>
  <si>
    <t>Discussão técnica sobre assuntos regulatórios</t>
  </si>
  <si>
    <t>Avaliação e comparação dos POPs e resultados de viscosidades da linha UHT</t>
  </si>
  <si>
    <t>Discussão técnica para apresentação das conclusões preliminares dos resultados das mudanças de viscosidade dos produtos UHT</t>
  </si>
  <si>
    <t>Discussão técnica sobre o cronograma de Produção do diamax IG</t>
  </si>
  <si>
    <t>Discussão técnica sobre as mudanças de viscosidade dos produtos UHT</t>
  </si>
  <si>
    <t>Avaliação dos MF/Bath Castrolanda e fichas de reclamação dos clientes para produtos UHT</t>
  </si>
  <si>
    <t>Discussão técnica com Fornecedor de hidrocolóides</t>
  </si>
  <si>
    <t>Discussão técnica sobre o cronograma de Produção do Trophic dose única</t>
  </si>
  <si>
    <t>Discussão técnina sobre os processos prioritários de p&amp;d</t>
  </si>
  <si>
    <t>Análise do MF e do POP para o trophic Jr para possíveis sugestões dos Testes na tetrapak</t>
  </si>
  <si>
    <t>Discussão técnica sobre o aminograma da PIS usadas como ingredientes</t>
  </si>
  <si>
    <t>Discussão técnica sobre o status de novas matérias primas</t>
  </si>
  <si>
    <t>Avaliação dos batch records da Castrolanda e comparação com os lotes para cada produto UHT</t>
  </si>
  <si>
    <t>Start Up da Recravadora</t>
  </si>
  <si>
    <t>Solicitação de código para Produção do DIAMAX destinada a Arábia e potencialmente Turquia</t>
  </si>
  <si>
    <t>Comparação dos resultados de viscosidade entre os anos de 2018-2020 em produtos UHT</t>
  </si>
  <si>
    <t>Levantamento das mudanças de processos ocorridas entre 2018-2020 em produtos UHT</t>
  </si>
  <si>
    <t>Discussão técnica sobre as mudanças de viscosidades nos anos de 2018-2020 em produtos UHT</t>
  </si>
  <si>
    <t>Levantamento sobre a quantidade produzida de cada produto entre os anos de 2018-2020</t>
  </si>
  <si>
    <t>Levantamento dos lotes com aumento de viscosidade entre 2018-2020 relacionado com as mudanças de processo</t>
  </si>
  <si>
    <t>Discussão técnica sobre lotes de PIS e possíveis impactos sobre o aumento de viscosidade IFF</t>
  </si>
  <si>
    <t>Status lançamento</t>
  </si>
  <si>
    <t>Discussão técnica sobre possibilidade de Testes de Shelf-life acelerado usando a estrututa da Cargil</t>
  </si>
  <si>
    <t>Levantamento dos lotes de PIS/WPI/CasCa usados em produtos que apresentaram aumento de viscosidade</t>
  </si>
  <si>
    <t>Levantamento de todos os lotes de PIS/WPI/CasCa comprados pela Prodiet entre 2018 - 2020</t>
  </si>
  <si>
    <t>Levantamento do uso dos lotes de PIS possivelmente problemáticos em outros produtos</t>
  </si>
  <si>
    <t>Levantamento do volume produzido para cada produto versus a quantidade de unidades com problemas</t>
  </si>
  <si>
    <t>Discussão sobre elaboração e preenchimento da ficha de controle de mudanças</t>
  </si>
  <si>
    <t>Discussão técnica sobre controle de mudanças do Diamax IG/Avaliação de viscosidade do Tr. Soya de Abril e inicio do cronograma para o Trophic Soya 1.5 Fiber, definindo a necessidade de montagem do MF</t>
  </si>
  <si>
    <t>Avaliação das possiveis causas de degradação de corante no EnergyZIP morango</t>
  </si>
  <si>
    <t>Avaliação dos batch records da Castrolanda para o EnergyZIP morango que apresentou desvio de qualidade</t>
  </si>
  <si>
    <t>Comparação entre os relatórios emitidos pela Castrolanda durante a Produção dos 3 lotes de EnergyZip morango e dos Batch records</t>
  </si>
  <si>
    <t>Discussão técnica sobre atribuições e necessidades para os proximos 45 dias</t>
  </si>
  <si>
    <t>Discussão técnica sobre as medidas a serem tomadas com relação a rejeição do corante Carmim pela certificação HALAL</t>
  </si>
  <si>
    <t>Proposição de criação do cronograma das ações de P&amp;D para buscar novos substitutos para o corante Carmim</t>
  </si>
  <si>
    <t>Discussão técnica sobre as necessidades do conhecimento de normas para o desenvolvimento de novos produtos</t>
  </si>
  <si>
    <t>Solicitação dos códigos para os novos produtos dose única</t>
  </si>
  <si>
    <t>Discussão técnica sobre o estudo de estabilidade de produtos liquidos e em pó</t>
  </si>
  <si>
    <t>Levantamento dos lotes de PIS comprados pela Prodiet</t>
  </si>
  <si>
    <t>Avaliação de mudança de viscosidade de trophic soya</t>
  </si>
  <si>
    <t>Criação de estruturas no Protheus para os produtos dose única (T.1.5 /T.Fiber)</t>
  </si>
  <si>
    <t>Discussão técnica sobre oslotes de WPI e CasCa usados em produtos com aumento de viscosidade</t>
  </si>
  <si>
    <t>Avaliação e atualização do MF para o Diamax IG para criação da especificação de produto acabado</t>
  </si>
  <si>
    <t>Discussão técnica e elaboração do relatório sobre o hanger para os produtos dose única</t>
  </si>
  <si>
    <t>Discussão técnica sobre os responsáveis e suas atribuições nos projetos de P&amp;DI</t>
  </si>
  <si>
    <t>Discussão técnica sobre o desenvolvimento do trophic júnior liquido</t>
  </si>
  <si>
    <t>Pesquisa e discussão técnica junto a AR sobre as regulamentações de aditivos e ingredientes aceitos na CE e na Arábia</t>
  </si>
  <si>
    <t>Avaliação de mudança de viscosidade de trophic soya lote março 2021</t>
  </si>
  <si>
    <t>Finalização da atulização do MF para Diamax IG</t>
  </si>
  <si>
    <t>Discussão técnica sobre possiveis novas fontes e usos de hidrocoloides para aplicações UHT e Retort</t>
  </si>
  <si>
    <t>Levantamento da quantidade produzida de PA versus quantidade utilizada de lotes de PIS</t>
  </si>
  <si>
    <t>Discussão técnica sobre as análises e envio de amostras para estudo de estabilidade</t>
  </si>
  <si>
    <t>Discussão técnica sobre as possíveis modificações que serão feitas no trophic junior de acordo com as regulementações no BR/CE/AS</t>
  </si>
  <si>
    <t>Discussão técnica sobre o possível uso de novos equipamentos para o envase de produtos em pó, seja em lata ou em Sachê</t>
  </si>
  <si>
    <t>Discussão técnica sobre as implicações e usos de hidrocoloides em produtos UHT com a Green ingredients</t>
  </si>
  <si>
    <t>Atualização do relatório do trophic junior liquido com adição das informações do estudo da legislação feito por AR</t>
  </si>
  <si>
    <t>Discussão técnica sobre as características e usos do aroma de baunilha</t>
  </si>
  <si>
    <t>Avaliação das IF da castro para criação da IF do Diamax IG</t>
  </si>
  <si>
    <t>Discussão técnica sobre a inserção das IFs da castro no sistema Protheus</t>
  </si>
  <si>
    <t>Atualização do relatório do trophic junior liquido com o aceite de uso da carragena e do aroma de baunilha para AS</t>
  </si>
  <si>
    <t>Criação de estruturas no Protheus para os produtos dose única de 250 mL (Trophic Soya)</t>
  </si>
  <si>
    <t>Criação da apresentação dos resultados do estudo de aumento viscosidade para produtos UHT</t>
  </si>
  <si>
    <t>Discussão técnica sobre os fatores envolvidos no aumento de viscosidade de produtos UHT ligados a PIS</t>
  </si>
  <si>
    <t>Criação do plano de ação para o estudo de Shelf life de produtos UHT com o objetivo de análise de viscosidade</t>
  </si>
  <si>
    <t>Avaliação dos desvios de qualidade para as amostras do Trophic soya produzidos em fevereiro de 2021</t>
  </si>
  <si>
    <t>Avaliação dos desvios de qualidade para as amostras do EnergyZip produzidas em fevereiro de 2020</t>
  </si>
  <si>
    <t>Criação da especificação do Diamax IG tendo como base o MF, as informações de rotulagem e os resultados de EE de T12</t>
  </si>
  <si>
    <t>Discussão técnica junto a qualidade para esclarecimento da identificação de lotes a partir dos Batch records da Castrolanda</t>
  </si>
  <si>
    <t>Atualização do relatório do trophic junior liquido com aceite de uso de carragena e aroma de baunilha e prosseguimento dos Testes piloto</t>
  </si>
  <si>
    <t>Solicitação dos códigos para o Diamax IG 200mL destinados a Arábia.</t>
  </si>
  <si>
    <t>Discussão técnica sobre os novos parâmetros a serem descritos na rotulagem para produtos de nutrição enteral e suplementos</t>
  </si>
  <si>
    <t>Discussão técnica sobre os desvios de qualidade do trophic Soya</t>
  </si>
  <si>
    <t>Discussão técnica com o responsável da qualidade da Castrolanda para o esclarecimento da identificação dos lotes de produto acabado versus a identificação presente nas fichas técnicas</t>
  </si>
  <si>
    <t>Avaliação dos desvios de qualidade para trophic 1.5</t>
  </si>
  <si>
    <t>Finalização e publicação no SP da especificação do Diamax IG</t>
  </si>
  <si>
    <t>Criação e atualização do cronograma do projeto do Trophic soya 1.5 fiber, energyZIP novos sabores e Diamax 1.5</t>
  </si>
  <si>
    <t>Avaliação dos desvios de qualidade para o Trophic EP fabricado em fevereiro de 2021</t>
  </si>
  <si>
    <t>Discussão técnica junto ao AR sobre espessantes alternativos a carragena que tem o uso permitidos para formulas destinadas a faixa etária de 1-10 anos</t>
  </si>
  <si>
    <t>Discussão técnica sobre as atividades a serem realizadas pela equipe de P&amp;DI</t>
  </si>
  <si>
    <t>Modificação de estrutura dos EnergyZip destinados a Arábia Saudita</t>
  </si>
  <si>
    <t>Criação e atualização da especificação do trophic 1.5 250mL</t>
  </si>
  <si>
    <t>Avaliação dos resultados recebidos dos lotes de PIS a respeito da viscosidade intrínseca da MP</t>
  </si>
  <si>
    <t>Atualização do relatório do Diamax IG com a inclusão das novas artes liberadas e com os códigos para os produtos 200mL destinados a AS</t>
  </si>
  <si>
    <t>Solicitação de criação do código para o Trophic 1.5 250mL VPC</t>
  </si>
  <si>
    <t>Criação da estrutura no sistema Protheus para o Trophic 1.5 250mL VPC</t>
  </si>
  <si>
    <t>Atualização do controle de mudanças par o Trophic 1.5/Trophic Soya/ Trophic Fiber, sendo todos nas apresentações de 250mL</t>
  </si>
  <si>
    <t>Discussão técnica sobre a possibilidade de desenvolvimento e Testes de novos aromas para produtos liquidos e em pó com a Duas Rodas</t>
  </si>
  <si>
    <t>Discussão técnica sobre o uso e os Testes a serem realizados com o novo software de P&amp;D</t>
  </si>
  <si>
    <t>Discussão técnica sobre a divisão de atividades relacionadas ao EE pela equipe de P&amp;DI</t>
  </si>
  <si>
    <t>Atualização do relatório dos produtos usando carragena e aroma de baunilha para 1-10 anos</t>
  </si>
  <si>
    <t>Modificação dos IFs da castro para inclusão de óleo de soja/WPI e mix de vitaminas</t>
  </si>
  <si>
    <t>Avaliação dos desvios de qualidade para o Trophic 1.5</t>
  </si>
  <si>
    <t>Discussão técnica sobre a consolidação das metas de estudo de estabilidade ligados ao aumento de viscosidade de produtos UHT</t>
  </si>
  <si>
    <t>Discussão técnica e finalização da criação dos cronogramas do Trophic Soya 1.5 Fiber/EnergyZIP novos sabore e Diamax 1.5</t>
  </si>
  <si>
    <t>Discussão técnica sobre o resultado das atividades bimestrais de P&amp;DI e sobre a prospecção das atividades a serem desenvolvidas</t>
  </si>
  <si>
    <t>Criação do briefing dos assuntos a serem tratados na reunião junto a IFF sobre os lotes PIS</t>
  </si>
  <si>
    <t>Criação do MF para o Trophic júnior 1.5</t>
  </si>
  <si>
    <t>Discussão técnica sobre CoA de fontes de micronutrientes</t>
  </si>
  <si>
    <t>Discussão técnica sobre os resultados dos Testes do software de P&amp;D</t>
  </si>
  <si>
    <t>Avaliação dos desvios de qualidade para o Trophic basic</t>
  </si>
  <si>
    <t>Elaboração das respostas ligados aos desvios de qualidade observadas para o trophic 1.5 e trophic basic, a partir da análise dos batch record e das fichas técnicas da Castrolanda</t>
  </si>
  <si>
    <t>Discussão técnica sobre o comitê de sourcing para novos projetos de P&amp;DI</t>
  </si>
  <si>
    <t>Discussão técnica junto a IFF sobre os resultados de viscosidade para a PIS como MP</t>
  </si>
  <si>
    <t>Avaliação das possiveis mudanças a se propor no POP para padronização de pH</t>
  </si>
  <si>
    <t>Levantamento dos demais lotes de PIS usados em produtos que não apresentaram aumento de viscosidade</t>
  </si>
  <si>
    <t>Inativação das estruturas no Protheus</t>
  </si>
  <si>
    <t>Levantamento das especificações técnicas e padrões para carragena para possível novo fornecedor</t>
  </si>
  <si>
    <t>Solicitação de cadastro de ALT óleo vegetal para substituição nas estruturas de PA</t>
  </si>
  <si>
    <t>Discussão técnica e envio dos lotes de PIS que não foram usados em produtos com aumento de viscosidade</t>
  </si>
  <si>
    <t>Avaliação do relatório do hanger a ser utilizado nos novos produtos dose única</t>
  </si>
  <si>
    <t>Avaliação dos documentos e agendamento dos Testes piloto na tetra pak para o Trophic Jr 1.0 e 1.5</t>
  </si>
  <si>
    <t>Avaliação do desvio da qualidade observado para Energyzip morango</t>
  </si>
  <si>
    <t>Atualização da especificação do WPI para o Inglês</t>
  </si>
  <si>
    <t>Solicitação de separação de amostras de Trophic Soya e EP para início de estudo de estabilidade</t>
  </si>
  <si>
    <t>Desenvolvimento do plano de ação para análise de viscosidade dos produtos UHT durante o SL</t>
  </si>
  <si>
    <t>Discussão técnica com a Protesa sobre padrões e mudanças nas caracteristicas de WPI e seus impactos na viscosidade dos produtos finais</t>
  </si>
  <si>
    <t>Discussão técnica sobre AR dos parâmetros descritos na IN do Trophic 1.5</t>
  </si>
  <si>
    <t>Conferência dos lotes e horário de Produção dos produtos solicitados para entrar em estudo de estabilidade</t>
  </si>
  <si>
    <t>Avaliação da especificação dos óleos da Cargil</t>
  </si>
  <si>
    <t>Discussão técnica sobre os desvios de qualidade observados nos produtos produzidos na Castrolanda</t>
  </si>
  <si>
    <t>Estudo sobre influencia das carragenas, cálcio em fórmulas com WPI e PIS</t>
  </si>
  <si>
    <t>Discussão técnica sobre atividades a serem realizadas nos próximos 90 dias</t>
  </si>
  <si>
    <t>Atualização da especificação da fosfatidilserina para o Inglês</t>
  </si>
  <si>
    <t>Avaliação do desvio da qualidade observado para o Trophic 1.5</t>
  </si>
  <si>
    <t>Elaboração do formulário para o desenvolvimento do energyzip novos sabores e discussão técnica sobre o assunto</t>
  </si>
  <si>
    <t>Conferência e preenchimento dos documentos a serem enviados para o Teste piloto da tetra Pak</t>
  </si>
  <si>
    <t>Conferência do envio das amostras de aromas solicitadas pelo P&amp;D para o desenvolvimento de novos aromas</t>
  </si>
  <si>
    <t>Atualização do cadastro dos produtos no Protheus para modificação dos ALT óleo de milho por ALT óleo vegetal</t>
  </si>
  <si>
    <t>Levantamento das MP necessárias para os Testes do Trophic Jr 1.0 e 1.5 na tetra pak e Solicitação junto a PCP e logistica</t>
  </si>
  <si>
    <t>Discussão técnica sobre os highlights da ASPEN</t>
  </si>
  <si>
    <t>Discussão técnica sobre atualizações regulatórias previstas na CP 1038/2021</t>
  </si>
  <si>
    <t>Avaliação dos desvios de qualidade observados para o Trophic EP</t>
  </si>
  <si>
    <t>Avaliação dos documento de FT/COA/ e alergênicos para o citrato de sódio para a elaboração de uma especificação interna na Prodiet</t>
  </si>
  <si>
    <t>Criação da especificação técnica interna da Prodiet para o citrato de sódio</t>
  </si>
  <si>
    <t>Atualização e discussões técnicas sobre o que de melhor deveria ser feito no Teste do Trophic Jr</t>
  </si>
  <si>
    <t>Avaliação dos desvios de qualidade observados para o trophic 1.5</t>
  </si>
  <si>
    <t>Discussão técnica sobre os pontos que serão testados no Teste piloto tetra pak para o trophic Jr 1.0 e 1.5</t>
  </si>
  <si>
    <t>Avaliação dos documentos de FT/COA e Alergênicos do citráto de sódio da sweetmix</t>
  </si>
  <si>
    <t>Criação do plano de desenvolvimento para P&amp;D</t>
  </si>
  <si>
    <t>Discussão técnica sobre o fluxo de etapas entre P&amp;D e científico dentro da Prodiet</t>
  </si>
  <si>
    <t>Modificação de estrutura no Protheus para inclusão de embalagem tetra edge para o energyzip ARB</t>
  </si>
  <si>
    <t>Modificação de estrutura no Protheus para inclusão do ALT citrato de potássio</t>
  </si>
  <si>
    <t>Conferência das MP a serem enviadas para o Teste na Tetra Pak do Trophic Jr 1.0 e 1.5</t>
  </si>
  <si>
    <t>Discussão técnica sobre as novas referências de micronotrientes para nutrição enteral</t>
  </si>
  <si>
    <t>Avaliação dos documentos de FT/COA e Alergênicos do citráto de sódio da boraquímica</t>
  </si>
  <si>
    <t>Discussão técnica sobre o detalhamento das atividades de analista de P&amp;D</t>
  </si>
  <si>
    <t>Teste piloto do trophic Jr 1.0 na planta da tetra Pak</t>
  </si>
  <si>
    <t>Discussão dos dados e elaboração do relatório para o Trophic Jr 1.0</t>
  </si>
  <si>
    <t>Teste piloto do trophic Jr 1.5 na planta da tetra Pak</t>
  </si>
  <si>
    <t>Discussão dos dados e elaboração do relatório para o Trophic Jr 1.5</t>
  </si>
  <si>
    <t>Discussão técnica sobre os resultados FQ para o T6 dos produtos Retort</t>
  </si>
  <si>
    <t>Discussão técnica com a Green ingredients sobre as especificações, padrões de uso e objetivos da aplicação das carragenas</t>
  </si>
  <si>
    <t>Finalização e publicação dos relatórios do Teste do Trophic Jr 1.0 e 1.5</t>
  </si>
  <si>
    <t>Avaliação do resultado do formulário para o desenvolvimento do energyzip novo sabores</t>
  </si>
  <si>
    <t>Criação do relatório do energyzip novos sabores</t>
  </si>
  <si>
    <t>Avaliação dos desvios da qualidade observados para o Energyzip morango</t>
  </si>
  <si>
    <t>Teste piloto dos produtos retort na Embrapa</t>
  </si>
  <si>
    <t>Finalização e publicação do relatório do energyzip novos sabores</t>
  </si>
  <si>
    <t>Finalização dos Testes dos produtos retort na Embrapa</t>
  </si>
  <si>
    <t>Finalização da IF para Produção do DIAMAX IG</t>
  </si>
  <si>
    <t>Conferência e compilação dos documentos necessários para inicio de Produção do Diamax IG</t>
  </si>
  <si>
    <t>Avaliação dos desvios de qualidade observados para o Trophic 1.5</t>
  </si>
  <si>
    <t>Discussão técnica sobre o acompanhamento de atividades de P&amp;D</t>
  </si>
  <si>
    <t>Discussão técnica sobre os novos produtos em pó que serão lançados nas versões latas recravadas e saches</t>
  </si>
  <si>
    <t>Envio dos documentos e NF do Teste do trophic Jr 1.0 e 1.5</t>
  </si>
  <si>
    <t>Finalização, conferencia e envio dos documentos para inicio de Produção do diamax IG</t>
  </si>
  <si>
    <t>Verificação e planejamento do envio das amostras do Trophic Jr da Tetra Pak para a Prodiet</t>
  </si>
  <si>
    <t>Discussão técnica sobre as atividades de P&amp;D durante as férias da Luciana</t>
  </si>
  <si>
    <t>Discussão técnica sobre as diferenças de composição dos Mixs usados nos Testes do retort e do Trophic Jr</t>
  </si>
  <si>
    <t>Finalização e envio do relatório do estudo de bancada para o EnergyZip novos sabores</t>
  </si>
  <si>
    <t>Avaliação do desvio de qualidade do Trophic 1.5</t>
  </si>
  <si>
    <t>Double check nas IF de fabricação enviadas a Castrolanda, conforme solicitado pelo Sidnei</t>
  </si>
  <si>
    <t>Solicitação de aromas para o Teste de bancada do EnergyZip novos sabores</t>
  </si>
  <si>
    <t>Levantamento dos dados dos produtos produzidos no Teste Tetra Pak e Solicitação de retirada das unidades</t>
  </si>
  <si>
    <t>Status venda Neo (Amazon)</t>
  </si>
  <si>
    <t>Tabulação dados sensorial HH com ômega</t>
  </si>
  <si>
    <t>Discussão técnica sobre a liberação do citrato de sódio da Sweetmix para a Produção do Diamax IG</t>
  </si>
  <si>
    <t>Levantamento dos ingredientes usados em fórmulas enterais UHT concorrentes (soya e 1.5)</t>
  </si>
  <si>
    <t>Discussão técnica sobre potenciais estudos clínicos do Diamax IG e contato com a UFJF</t>
  </si>
  <si>
    <t>TAP Trophic 1.5 - Prodiet em Casa</t>
  </si>
  <si>
    <t>Finalização do levantamento dos gastos com as viagens para os Testes Tetra Pak e Retort</t>
  </si>
  <si>
    <t>Avaliação dos desvios de qualidade ligados a umidade e pH nos produtos UHT</t>
  </si>
  <si>
    <t>Solicitação junto a logista da retirada dos produtos produzidos durante o Teste do Trophic Jr na Tetra Pak</t>
  </si>
  <si>
    <t>Discussão técnica junto a AR sobre a legislação para aromas para o Teste de bancada do Energyzip novos sabores</t>
  </si>
  <si>
    <t>Envio de informações referentes a alergênicos e contaminantes em aromas para a Duas Rodas</t>
  </si>
  <si>
    <t>Finalização do levantamento do numero de amostras necessário e Solicitação dos documentos referentes ao estudo de estabilidade do trophic Jr</t>
  </si>
  <si>
    <t>Discussão técnica, compilação e inserção de anexos ao relatório dos Testes piloto do trophic Junior a respeito das informações dos óleos utilizados</t>
  </si>
  <si>
    <t>Finalização dos trâmites para retirada das amostras produidas durante o Teste do Trophic Jr 1.0 e 1.5 na Tetra (NF, logística, data, relatório microbiológico)</t>
  </si>
  <si>
    <t>Discussão técnica sobre a pesagem de materiais para Testes piloto</t>
  </si>
  <si>
    <t>Avaliação das fichas de preparo do Diamax e HDMAX que apresentaram variação de pH e umidade</t>
  </si>
  <si>
    <t>Discussão e resolução dos problemas logisticos sobre a retirada de amostras do Trophic Jr na Tetra</t>
  </si>
  <si>
    <t>Atualização dos nome dos fornecedores no cadastro de produtos no Protheus</t>
  </si>
  <si>
    <t>Discussão técnica, contato e planificação de possível parceria com a UFJF para estudo clínico do Diamax IG</t>
  </si>
  <si>
    <t>Solicitação de informações junto a IFF sobre os resultados de viscosidade das carragenas</t>
  </si>
  <si>
    <t>Discussão técnica sobre a integração entre o ambiente Protheus e a geração automática de IF para produtos UHT produzidos na Castrolanda</t>
  </si>
  <si>
    <t>Avaliação técnica e elaboração de sugestões de melhorias a serem aplicadas no desenvolvimento do Trophic Soya 1.5 Fiber</t>
  </si>
  <si>
    <t>Elaboração e apresentação dos insights sobre os efeitos, usos e processos a serem aplicados para se utilizar diferentes carragenas</t>
  </si>
  <si>
    <t>Tentativa de envase do Neo</t>
  </si>
  <si>
    <t>Atualização do relatório do Trophic Jr 1.0 e 1.5 com inclusão das informações de início do EE</t>
  </si>
  <si>
    <t>Discussão técnica sobre possíveis mudanças a serem implementadas nos produtos UHT e potenciais Testes piloto</t>
  </si>
  <si>
    <t>Avaliação da FO do Trophic 1.5</t>
  </si>
  <si>
    <t>Atualização da estrutura do Trophic Jr 1.0 e Solicitação de criação dos códigos para o Trophic Jr 1.5</t>
  </si>
  <si>
    <t>Atualização das informações da especificação do citrato de sódio e atualização da lista mestra</t>
  </si>
  <si>
    <t>Tradução e atualização das especificações técnicas da fosfatidilserina e do TCM</t>
  </si>
  <si>
    <t>Finalização da tradução das especificações técnicas, publicação e atualização da ficha mestra</t>
  </si>
  <si>
    <t>Discussão técnica, procura e envio de artigos sobre frutas e verduras associadas a redução de sindromes metabólicas (Ana Claudia)</t>
  </si>
  <si>
    <t>Discussão técnina junto ao científico sobre as atualizações no processo de desenvolvimento e Testes do Trophic Jr</t>
  </si>
  <si>
    <t>Levantamento e envio de informações sobre os aromas que serão usados no Teste de bancada do EnerdyZip novos sabores</t>
  </si>
  <si>
    <t>Discussão técnica sobre o indeferimento do Trophic Soya 1.5 e atividades a serem desenvolvidas para a solução</t>
  </si>
  <si>
    <t>Levantamento e Solicitação de datas para um novo Teste piloto do Trophic Soya 1.5 para se iniciar o EE em T0</t>
  </si>
  <si>
    <t>Criação do painel produto+aditivo+processo para os produtos UHT</t>
  </si>
  <si>
    <t>Avaliação da FO do Trophic 1.5 com manchas</t>
  </si>
  <si>
    <t>Criação/atualização das estruturas do trophic Jr 1.0 e 1.5 no Protheus</t>
  </si>
  <si>
    <t>Levantamento dos corantes alternativos para EnergyZip morango (beterraba e Red140)</t>
  </si>
  <si>
    <t>Finalização da criação do painel produto+aditivo+processo para os produtos UHT</t>
  </si>
  <si>
    <t>Atualização da estrutura do DIAMAX IG Arábia</t>
  </si>
  <si>
    <t>Discussão técnica e Solicitação de demais documentos sobre a especificação do citrato de sódio da Sweetmix</t>
  </si>
  <si>
    <t>Discussão técnica e elaboração de plano sobre a integração Protheus e IF castrolanda</t>
  </si>
  <si>
    <t>Levantamento das MP e conferência das FT dos mix de vitaminas e minerais para o Trophic soya 1.5</t>
  </si>
  <si>
    <t>Discussão técnina sobre a inclusão de nova fórmula na rotulagem</t>
  </si>
  <si>
    <t>Discussão técnica sobre as atividades traçadas de P&amp;D e seus desdobramentos fututos</t>
  </si>
  <si>
    <t>Elaboração dos documentos (IF, Anexos A e D) referentes ao Teste do Trophic soya 1.5</t>
  </si>
  <si>
    <t>Discussão técnica sobre as diferenças de composição dos Mixs do MF 01 e 02 do trophic soya 1.5</t>
  </si>
  <si>
    <t>Discussão técnina sobre WPI alternativo produzido pela Ingredia e Teklak resistente ao tratamento térmico</t>
  </si>
  <si>
    <t>Discussão técnica entre qualidade e P&amp;D sobre as os parâmetros descritos e solicitados em especificações</t>
  </si>
  <si>
    <t>Busca de artigos sobre sobredosagem de vitaminas e estabilidade durante o SL dos Produtos (Juliana)</t>
  </si>
  <si>
    <t>Tradução e atualização das especificações técnicas da lecitina de soja e do polissacarídeo de soja</t>
  </si>
  <si>
    <t>Contato direto com o responsável de vendas da Tate and Lyle para possível compra de citrato de sódio para o Diamax IG</t>
  </si>
  <si>
    <t>Solicitação de resposta sobre a variação de viscosidade em lotes de PIS</t>
  </si>
  <si>
    <t>Levantamento de informações, especificação e escarecimento das dúvidas dos possíveis usos de um corante alterantivo ao Carmim para o EnergyZip morango (Licopeno - Lycored)</t>
  </si>
  <si>
    <t>Solicitação de atualização do status do desenvolvimento de aromas para o Teste do EnergyZip</t>
  </si>
  <si>
    <t>Atualização dos códigos do Diamax IG no MF</t>
  </si>
  <si>
    <t>Discussão técnica sobre apresentação do trabalho de P&amp;D a equipe de Produção</t>
  </si>
  <si>
    <t>Solicitação de ingredientes para Teste piloto do Trophic soya 1.5</t>
  </si>
  <si>
    <t>Discussão técnica e Avaliação dos laudos do Carmim Halal (sensient)</t>
  </si>
  <si>
    <t>Avaliação do resultado de perfil lipídico do trophic Jr 1.0 e 1.5</t>
  </si>
  <si>
    <t>Avaliação das FT do licopeno da Licored</t>
  </si>
  <si>
    <t>Modificação da especificação técnica do citrato de sódio que será usado na Produção do Diamax IG</t>
  </si>
  <si>
    <t>Avaliação das FT dos aromas enviados pelas Duas Rodas para o Teste do EnergyZip novos sabores</t>
  </si>
  <si>
    <t>Discussão técnica e levantamento junto a qualidade e AR sobre o uso do Carmim Halal (sensient)</t>
  </si>
  <si>
    <t>Discussão técnica sobre o embasamento das mudanças estruturais e de quantidade de proteínas no Immax e no trophic soya 1.5</t>
  </si>
  <si>
    <t>Discussão sobre as quantidades de amostras necessárias do HDMAX para início de EE.</t>
  </si>
  <si>
    <t>Solicitação de liberação de amostras do HDMAX ARB para EE e contato com o Sidnei (Castrolanda) para separação das amostras</t>
  </si>
  <si>
    <t>Modificação da estrutura do trophic 1.5 para substituição do citrato de potássio pelo ALT citrato de potássio</t>
  </si>
  <si>
    <t>Discussão técnica sobre a viscosidade do Trophic soya 1.5 e Solicitação de amostra de KOH</t>
  </si>
  <si>
    <t>Bloqueio de MP no produtos devido a não abastecimento do fabricante</t>
  </si>
  <si>
    <t>Discussão técnica sobre os erros do Protheus com relação as estruturas</t>
  </si>
  <si>
    <t>Discussão técnica e formulação de argumentos junto ao científico sobre a estabilidade das proteínas nas fórmulas da Prodiet</t>
  </si>
  <si>
    <t>Levantamento dos possíveis substitutos ao corante Carmim e discussão técnica junto a Sensient e Lycored</t>
  </si>
  <si>
    <t>Desenvolvimento dos MFs e do plano de trabalho para o Teste de bancada dos novos sabores de EnergyZIP</t>
  </si>
  <si>
    <t>Discussão técnica sobre a assinaturas das fichas técnicas de prémix DSM</t>
  </si>
  <si>
    <t>Avaliação dos resultados da IFF sobre os lotes de PIS usados pela Prodiet em produtos UHT</t>
  </si>
  <si>
    <t>Verificação das quantidades de MP solicitadas para o Teste Piloto TetraPak do Trophic Soya 1.5</t>
  </si>
  <si>
    <t>Levantamento dos dados de viscosidade de todos os lotes de produtos UHT fabricados pela Castrolanda em 2021/2020</t>
  </si>
  <si>
    <t>Criação da especificação de PA para castrolanda (Tr. Basic e Trophic EP)</t>
  </si>
  <si>
    <t>Avaliação das estruturas ativas no Protheus devido ao erro</t>
  </si>
  <si>
    <t>Treinamento osmômetro junto a PZL</t>
  </si>
  <si>
    <t>Discussão técnica sobre o desenvolvimento de P&amp;D</t>
  </si>
  <si>
    <t>Descrição dos erros obervados no Protheus</t>
  </si>
  <si>
    <t>Avaliação da especificação técnica do citrato de sódio da Tate and Lyle</t>
  </si>
  <si>
    <t>Testes no ambiente de Testes do Protheus para tentar solucionar os problemas observados ao salvar estrutura</t>
  </si>
  <si>
    <t>Discussão técnica junto a TI para tentat solucionar os erros no Protheus</t>
  </si>
  <si>
    <t>Teste piloto Tetra Pak para desenvolvimento de novas unidades do Trophic Soya 1.5 para iniciar novo EE</t>
  </si>
  <si>
    <t>Discussão técnica e Solicitação de amostras do HDMAX ARB junto a Castrolanda para acompanhamento de EE</t>
  </si>
  <si>
    <t>Elaboração e finalização do relatório do Teste piloto tetra Pak do Trophic Soya 1.5</t>
  </si>
  <si>
    <t>Criação da especificação de PA para castrolanda (Tr. Soya; Tr. 1.5 DIAMAX IG; EnergyZip; HDMAX)</t>
  </si>
  <si>
    <t>Validação e aprovação da estrutura do DIAMAX IG no Protheus</t>
  </si>
  <si>
    <t>Discussão técnica para apresentação de um compilado dos resultados obtidos pela IFF e sugestões de possíveis mudanças de processo</t>
  </si>
  <si>
    <t>Preenchimento e envio das notas fiscais do Teste do Trophic Soya 1.5</t>
  </si>
  <si>
    <t>Avaliação das informações da ET do Diamax IG</t>
  </si>
  <si>
    <t>Avaliação das viscosidades dos lotes 2021 e 2020 dos produtos UHT e criação de um painel de sugestões para nova ET para produto acabado</t>
  </si>
  <si>
    <t>Treinamento PowerBI</t>
  </si>
  <si>
    <t>Discussão técnica e Solicitação de novos códigos para as embalagens VPC (Soya e 1.5)</t>
  </si>
  <si>
    <t>Inserção de informações no Protheus para criação de IF automática</t>
  </si>
  <si>
    <t>Discussão técnica com a Arla Foods sobre possíveis novas fontes de proteínas estáveis a tratamentos térmicos e de baixa viscosidade</t>
  </si>
  <si>
    <t>Criação do documento único compilando todas as ESPEC de PA para liberação da Castrolanda junto com as novas sugestões do parâmetro viscosidade</t>
  </si>
  <si>
    <t>Envio, atualização e publicação da especificação do citrato de sódio de acordo com novos parâmetros da Qualidade</t>
  </si>
  <si>
    <t>Discussão técnica sobre novos Alinhamentos de atividades de P&amp;D</t>
  </si>
  <si>
    <t>Discussão técnica sobre a segunda rodada de Testes do software de P&amp;D</t>
  </si>
  <si>
    <t>Treinamento de PowerBI</t>
  </si>
  <si>
    <t>Envio das atualizações das AF do Diamax IG Arábia Saudita para a Castrolanda</t>
  </si>
  <si>
    <t>Avaliação dos laudos dos produtos com viscosidade não conforme liberados pela Castrolanda (Trophic 1.5/ Trophic Soya)</t>
  </si>
  <si>
    <t>Modificação de estruturas no Protheus</t>
  </si>
  <si>
    <t>Discussão técnica sobre divergências entre MF e estrutura ativa no Protheus para o Trophic 1.5</t>
  </si>
  <si>
    <t>Atualização do MF do Trophic 1.5 para incluir a re-inserção do carbonato de cálcio</t>
  </si>
  <si>
    <t>Discussão técnica e Alinhamento sobre dúvidas a partir do desenvolvimento das novas especificações técnicas</t>
  </si>
  <si>
    <t>Trâmites financeiros - atualização osmômetro</t>
  </si>
  <si>
    <t>Avaliação dos laudos dos produtos com viscosidade e umidade não conforme liberados pela Castrolanda (DIAMAX E HDMAX)</t>
  </si>
  <si>
    <t>Discussão técnica junto a MCASSAB sobre possíveis novos desenvolvimento, melhorias e aplicação de novos produtos (Mix de vitaminas e minerais; proteínas termoestáveis; corantes substitutos ao carmim)</t>
  </si>
  <si>
    <t>Avaliação da especificão da Isomaltulose da Aplinova</t>
  </si>
  <si>
    <t>Trâmites financeiros - envio amostras NPAL (EUA)</t>
  </si>
  <si>
    <t>Finalização dos MF para o Teste de bancada do EnergyZip novos sabores</t>
  </si>
  <si>
    <t>Conferência e envio das artes finas do Trophic soya VPC e do Trophic 1.5 VPC para Castrolanda</t>
  </si>
  <si>
    <t>Levantamento dos sabores disponíves no mercado para os concorrentes do Energyzip novos sabores</t>
  </si>
  <si>
    <t>Modificação e ativação das estruturas do Trophic 1.5 250mL e Diamax IG 200mL VPC</t>
  </si>
  <si>
    <t>Avaliação dos laudos do HDMAX arábia com viscosidade e umidade fora do especificado</t>
  </si>
  <si>
    <t>Conferência e envio das artes finas do Trophic basic, caixa de expedição e AF do Diamax IG ARB</t>
  </si>
  <si>
    <t>Finalização das especificações para castrolanda</t>
  </si>
  <si>
    <t>Conferência e atulização dos documento de código e descrição de produtos UHT e de sequência de preparo e CIP para Castrolanda</t>
  </si>
  <si>
    <t>Discussão técnica sobre cultura de segurança de ADM/P&amp;D/AR</t>
  </si>
  <si>
    <t>Levantamento e Solicitação de MPs para os Testes de bancada do EnergyZip novos sabores</t>
  </si>
  <si>
    <t>Atualização dos cronogramas de projeto de P&amp;D</t>
  </si>
  <si>
    <t>Modificações finais na especificação técnica de PA que vai para a Castrolanda</t>
  </si>
  <si>
    <t>Discussão técnica e organização do Recebimento das unidades do Trophic Soya 1.5 produzido no Teste piloto e envio para EE</t>
  </si>
  <si>
    <t>Discussão técnica sobre os balanços do 1º semestre de P&amp;D e das diretrizes para o 2º Semestre</t>
  </si>
  <si>
    <t>Discussão técnica para lançamento do Diamax IG</t>
  </si>
  <si>
    <t>Discussão técnica sobre obtenção da lista de alergênicos e de estruturas/códigos do Protheus</t>
  </si>
  <si>
    <t>Alinhamento de atividades para o Teste de bancada do EnergyZip novos sabores</t>
  </si>
  <si>
    <t>Modificação de documentos referentes a ordem de Produção de produtos UHT /CIP e códigos de produtos</t>
  </si>
  <si>
    <t>Solicitação de envio e organização de retirada de amostras do Teste Piloto Tetra Pak para o Trophic Soya 1.5</t>
  </si>
  <si>
    <t>Envio dos layouts da embalagem e caixa de expedição do Diamax IG</t>
  </si>
  <si>
    <t>Discussão técnica sobre os highlights do Ganepão 2021</t>
  </si>
  <si>
    <t>Modificação dos especificações técnicas de PA que será enviada a castolanda</t>
  </si>
  <si>
    <t>Conferência e inserção dos dados de açúcares adicionados nas especificações de PA UHT</t>
  </si>
  <si>
    <t>Finalização do relatório do EnergyZIP novos sabores, com a inserção dos dados dos produtos disponíveis no mercado</t>
  </si>
  <si>
    <t>Envio dos documentos referentes as especificações técnicas de PA para a Castrolanda</t>
  </si>
  <si>
    <t>Discussão técnica com direcionais sobre os sabores que serão usados para os TB do EnergyZIP novos sabores</t>
  </si>
  <si>
    <t>Avaliação de informações e Solicitação de materiais técnicos sobre os corantes de beterraba para substituição do Carmin</t>
  </si>
  <si>
    <t>Cadastro no Protheus da estrutura do Trophic Junior 1.0 e 1.5</t>
  </si>
  <si>
    <t>Discussão técnica sobre novos campos a serem preenchidos dentro do Protheus para PA devido a inserção da linha de sistema fechado</t>
  </si>
  <si>
    <t>Envio e Solicitação de atualizações sobre o Teste piloto para as caixas de expedição da Tetra Edge na Castrolanda</t>
  </si>
  <si>
    <t>Solicitação de cadastro para a fórmulas VPC R do Diamax IG</t>
  </si>
  <si>
    <t>Discussão técnica sobre os direcionais para a Avaliação do Trophic Junior 1.0 e 1.5 e possivel desenvolvimento do Trophic 1.5 com fibras</t>
  </si>
  <si>
    <t>Solicitação dos laudos microbiológicos dos produtos fabricados nos Testes piloto na Tetra Pak (Trophic Junior e Trophic soya 1.5)</t>
  </si>
  <si>
    <t>Pesquisa sobre a resistência térmica da l-Ornitina para aplicação nas fórmulas UHT para cicatrização</t>
  </si>
  <si>
    <t>Solicitação dos CoA dos Mix de vitaminas e minerais usados no desenvolvimento do Trophic Jr</t>
  </si>
  <si>
    <t>Atualização da especificação técnica do selo Peel off 99mm</t>
  </si>
  <si>
    <t>Atualização do cadastro do Diamax IG VPC R no Protheus</t>
  </si>
  <si>
    <t>Atualização de cadastros do Trophic Jr (embalagem/PI/PA)</t>
  </si>
  <si>
    <t>Solicitação de cadastro de serviços e MP para a integração automatica entre Protheus e IF Castrolanda</t>
  </si>
  <si>
    <t>Finalização do cadastro no Protheus do Diamax IG VPC R</t>
  </si>
  <si>
    <t>Discussão técnica sobre o plano de desenvolvimento</t>
  </si>
  <si>
    <t>Discussão técnica sobre o projeto cicatrização e sobre aplicações de Ornitina, citrulina e arginina</t>
  </si>
  <si>
    <t>Solicitação dos códigos para criação da IF automática entre Protheus e IF Castrolanda</t>
  </si>
  <si>
    <t>Alteração de estrutura do Trophic 1.5 VPC</t>
  </si>
  <si>
    <t>Atualização dos cronogramas dos projetos (energyzip novos sabores, Trophic soya 1.5 Fiber, Trophic Jr)</t>
  </si>
  <si>
    <t>Discussão técnica sobre o desvio de qualidade observado após a mistura</t>
  </si>
  <si>
    <t>Desafio de PowerBI</t>
  </si>
  <si>
    <t>Avaliação da especificação da Lecitina de soja liquida Solec N</t>
  </si>
  <si>
    <t>Atualização sobre as primeiras impressões da Prodiet presencialmente</t>
  </si>
  <si>
    <t>Solicitação de criação dos cadastros dos produtos dose única VPCR (Soya, Fiber e 1.5)</t>
  </si>
  <si>
    <t>Modificação e atualização das especificações de PA enviada a Castrolanda</t>
  </si>
  <si>
    <t>Avaliação do resultado de análise do aminograma e lactose do trophic fiber 1L</t>
  </si>
  <si>
    <t>Atualização no SP dos laudos de análise microbiológicas dos Testes realizados na Tetra Pak</t>
  </si>
  <si>
    <t>Avaliação dos dados de gorduras saturadas do óleo de soja versus a especificação técnica versus os MF para liberação do óleo de soja com valores elevados de ácidos graxos saturados</t>
  </si>
  <si>
    <t>Pesagem de materiais para o Teste Retort (Lizianne) na Dupont-IFF</t>
  </si>
  <si>
    <t>Envio da metodologia e discussão técnica sobre a análise de alcalinidade do citrato de sódio para o Diamax IG</t>
  </si>
  <si>
    <t>Modificação do MF para formulação do Teste na Dupont-IFF</t>
  </si>
  <si>
    <t>Pesagem de materiais para o Teste do TS1.5 Fiber na Dupont - IFF</t>
  </si>
  <si>
    <t>Pesagem de materiais para o Teste do TS1.5 Fiber na Dupont - IFF, checagem e organização do envio</t>
  </si>
  <si>
    <t>Modificação e planejamento do Teste de bancada do energyZIP novos sabores</t>
  </si>
  <si>
    <t>Modificação dos MFs do energyZIP novos sabores para o Teste de bancada</t>
  </si>
  <si>
    <t>Avaliação dos custos das fórmulas e desenvolvimento (Soya 1.5, Trophic Jr 1.0 e 1.5, Trophic soya 1.5 Fiber)</t>
  </si>
  <si>
    <t>Discussão técnina sobre novas aplicação e possíveis alternativas a carragena para o Trophic soya 1.5 fiber</t>
  </si>
  <si>
    <t>Discussão técnica, Avaliação e liberação do óleo de soja com um teor mais elevado de ácidos graxos saturados</t>
  </si>
  <si>
    <t>Avaliação dos documentos ligados ao Trophic 1.5 VPC que apresentou desvio da qualidade para o parâmetro viscosidade</t>
  </si>
  <si>
    <t>Envio e retirada de dúvidas junto a Castrolanda sobre a nova especificação técnica de PA UHT</t>
  </si>
  <si>
    <t>Discussão técnica e modificação de MF do EnergyZIP novs sabores para realização doTeste de bancada</t>
  </si>
  <si>
    <t>Discussão técnica sobre as modificações no MF do EnergyZIP Protein e sobre os Testes que serão aplicados ao TS1.5 Fiber no Teste piloto da Dupont-IFF</t>
  </si>
  <si>
    <t>Avaliação das especificações de outros hidrocoloides que podem ser aplicados ao TS1.5 Fiber</t>
  </si>
  <si>
    <t>Trâmites financeiros - pouches</t>
  </si>
  <si>
    <t>Solicitação de criação de cadastros paras os produtos em pó e liquidos destinados a Arábia Saudita e ALT citrato de sódio</t>
  </si>
  <si>
    <t>Modificação de estrutura do DIAMAX IG para apontamentos do financeiro devido ao uso de MP ALT ainda não cadastrada</t>
  </si>
  <si>
    <t>Composição e atualização do relatório do EnergyZIP novos sabores com os resultados preliminares</t>
  </si>
  <si>
    <t>Discussão técnica sobre os possíveis indicadores a serem utilizados em um Dashboard para P&amp;D no PowerBI</t>
  </si>
  <si>
    <t>Preenchimento e atualização dos documentos de PS para o IB</t>
  </si>
  <si>
    <t>Avaliação dos resultados e da nova ET do HDMAX</t>
  </si>
  <si>
    <t>Atualização do MF existente e criação de um novo MF para o EnergyZIP Protein tendo como base o Briefing de suplemento</t>
  </si>
  <si>
    <t>Teste de bancada do T0 do HDMAX (viscosidade, osmolalidade, pH, administração in vitro) e atulização das planilhas de EE</t>
  </si>
  <si>
    <t>Modificação e atualização dos custos para a fórmula do Trophic soya 1.5</t>
  </si>
  <si>
    <t>Atualização sobre as atividades de P&amp;D sobre minha responsabilidade (soya 1.5 fiber, energyZip novos sabores, junior 1.0 e 1.5, corantes alternativos)</t>
  </si>
  <si>
    <t>Envio de nova instrução para a Produção dos produtos VPC a Castrolanda com orientações sobre uso das embalagens e impressão da inscrição "Venda Proibida ao Comércio" na aresta superior da embalagem</t>
  </si>
  <si>
    <t>Solicitação de inserção no simulador de custos das MP do Trophic junior 1.0 e 1.5</t>
  </si>
  <si>
    <t>Atualização do relatório do TS1.5 Fiber com as considerações observadas pela Luciana durante o Teste na Dupont-IFF</t>
  </si>
  <si>
    <t>Apresentação e integração da equipe de P&amp;D com os novos funcionários da Produção</t>
  </si>
  <si>
    <t>Atualização dos códigos e envio a Castrolanda dos produtos UHT Prodiet</t>
  </si>
  <si>
    <t>Avaliação dos aminogramas do trophic junior 1.0 e 1.5</t>
  </si>
  <si>
    <t>Avaliação do desvio da qualidade observado para o Trophic 1.5 1L</t>
  </si>
  <si>
    <t>Discussão técnica sobre a nova mastriz regulatória para P&amp;D</t>
  </si>
  <si>
    <t>Teste de bancada do T0 do Trophic Soya 1.5 Fiber produzido na Dupont-IFF (viscosidade, ormolalidade, pH e administração in vitro).</t>
  </si>
  <si>
    <t>Atualização das planilhas de EE do TS1.5 Fiber e do relatório do Teste piloto realizado na Dupont-IFF</t>
  </si>
  <si>
    <t>Atualização do MF e IF para o Teste de bancada das formulações do EnergyZIP novos sabores</t>
  </si>
  <si>
    <t>Produção em escala laboratorial das formulações do EnergyZIP novos sabores com as quantidades de aromas definitivas</t>
  </si>
  <si>
    <t>Aplicação da análise sensorial das formulações do EnergyZIP novos sabores</t>
  </si>
  <si>
    <t>Atualização do relatório do Teste de bancada do EnergyZIP novos sabores com os resultados definitivos da análise sensorial</t>
  </si>
  <si>
    <t>Discussão técnica sobre os resultados do TS1.5 Fiber produzido no Teste piloto na Dupont-IFF</t>
  </si>
  <si>
    <t>Envio das AF do DIAMAX IG, Trophic soya VPC, trophic 1.5 VPC</t>
  </si>
  <si>
    <t>Discussão sobre desvio analitico dos MIX de vitaminas DSM</t>
  </si>
  <si>
    <t>Discussão tecnica sobre a grade de Produção de agosto dos produtos UHT na Castrolanda</t>
  </si>
  <si>
    <t>Discussão técnica sobre as atualizações das atividades de P&amp;D dos diferentes projetos em desenvolvimento</t>
  </si>
  <si>
    <t>Atualização de informações sobre o Teste de bancada e análise sensorial do EnergyZIP novos sabores</t>
  </si>
  <si>
    <t>Discussão e atualização de informações sobre os novos produtos destinado a Arábia Saudita</t>
  </si>
  <si>
    <t>Atualização de resultados de EE do Trophic Junior 1.0 e 1.5</t>
  </si>
  <si>
    <t>Modificação de estruturas dos produtos dose única, 250mL (Soya, 1.5 e Fiber)</t>
  </si>
  <si>
    <t>Avaliação da especificação do corante Carmim</t>
  </si>
  <si>
    <t>Solicitação de documentação à novos fornecedores para corantes alterantivos ao carmim (busca por corantes Halal).</t>
  </si>
  <si>
    <t>Primeiro contato com a Duas Rodas para Alinhamento de possível Teste do EnergyZIP novos sabores</t>
  </si>
  <si>
    <t>Avaliação do resultado obtido durante o processo de fabricação do Diamax IG, com Brix fora do especificado</t>
  </si>
  <si>
    <t>Avaliação da especificação do corante Carmim IFF</t>
  </si>
  <si>
    <t>Criação de dados de especificação de produto acabado dentro da lista mestra</t>
  </si>
  <si>
    <t>Atualização das especificações no modelo de qualidade para os produtos liquidos UHT</t>
  </si>
  <si>
    <t>Avaliação das especificações do Carmim puro IFF e da Sensient</t>
  </si>
  <si>
    <t>Atualização de informações sobre o Teste piloto industrial da FOS Galan no HDMAX</t>
  </si>
  <si>
    <t>Atualização de valores e informações sobre os produtos dose única no Protheus, atualização de revisão e mudança de nome do produto de VPC R para Hanger</t>
  </si>
  <si>
    <t>Atualização de informações e liberação no Protheus do caseinato de cálcio/sódio Alibra CAN90</t>
  </si>
  <si>
    <t>Atualização de estrutura no Protheus do Trophic 1.5 VPC com modificação da embalagem</t>
  </si>
  <si>
    <t>Avaliação de documentos e especificações dos caseinatos  e comparação com o CAN90 a ser testado na Produção do Trophic 1.5</t>
  </si>
  <si>
    <t>Discussão técnica sobre Testes piloto de novas matérias-primas, agenda e status antes dos Testes de FOS no HDMAX e do CAN90 no Trophic 1.5</t>
  </si>
  <si>
    <t>Finalização do relatório final do PowerBI</t>
  </si>
  <si>
    <t>Avaliação dos documentos e da especificação da Isomaltulose da Aplinova</t>
  </si>
  <si>
    <t>Avaliação de documentos de expedição dos produtos liquidos UHT produzidos entre Abril - junho</t>
  </si>
  <si>
    <t>Trâmites financeiros - pouches / Avaliação FT's novos premixes + Solicitação correções</t>
  </si>
  <si>
    <t>Leitura de e-mails e discussão técnica sobre o uso da PIS YX 4000 - Trato</t>
  </si>
  <si>
    <t>Discussão técnica sobre as características do Trophic Soya 1.5 Fiber</t>
  </si>
  <si>
    <t>Atualização dos MFs do Trophic Soya 1.5 Fiber com os dois mix de minerais diferentes (liquido e pó)</t>
  </si>
  <si>
    <t>Avaliação do laudo de macronutrientes do DIAMAX IG</t>
  </si>
  <si>
    <t>Criação e atualização dos MFs do EnergyZIP Protein com os mix da linha soya (liquido e pó).</t>
  </si>
  <si>
    <t>Avaliação do aminograma da PIS 780IP</t>
  </si>
  <si>
    <t>Modificação e criação de códigos referentes a IF automática do Protheus</t>
  </si>
  <si>
    <t>Discussão técnica sobre os pontos a serem observados durante o Teste do CAN90 na Produção do Trophic 1.5</t>
  </si>
  <si>
    <t>Atualização dos cronogramas para novos produtos</t>
  </si>
  <si>
    <t>Discussão técnica e modificação dos dados a serem inseridos a respeito da IF automático a partir do Protheus</t>
  </si>
  <si>
    <t>Avaliação das especificações da PIS com inclusão do parâmetro de esporos</t>
  </si>
  <si>
    <t>Discussão técnica sobre as atualizações no briefing do EnergyZIP Protein</t>
  </si>
  <si>
    <t>Avaliação do relatório do Teste de aplicação da PIS YX4000 Tratho</t>
  </si>
  <si>
    <t>Discussão técnica e Alinhamento sobre os pontos a serem apresentados pela área técnica (P&amp;D) na AGM</t>
  </si>
  <si>
    <t>Elaboração da apresentação sobre EnergyZIP novos sabores que será apresentado na AGM</t>
  </si>
  <si>
    <t>Criação e atualização da estrutura no Protheus do Trophic Basic 200mL destinado a AS</t>
  </si>
  <si>
    <t>Avaliação da ficha de cadastro da Castrolanda do DIAMAX IG, com parâmetros atualizados</t>
  </si>
  <si>
    <t>Discussão técnica com o MKT a respeito da atualização das atividades referentes ao projet dose única (250mL)</t>
  </si>
  <si>
    <t>Discussão técnica junto a compras sobre liberação da caixa de expedição e resultados dos Testes de aplicação para os produtos dose única (250mL).</t>
  </si>
  <si>
    <t>Discussão técnica e Alinhamento sobre problemas ao se cadastrar alguns serviços e MP no Protheus para criação da IF automática.</t>
  </si>
  <si>
    <t>Atualização dos parâmetros de qualidade da especificação de produtos acabados</t>
  </si>
  <si>
    <t>Avaliação  do lote de Fibrin com esporos , proteínas ou viscosidade fora do limite da especificação IFF</t>
  </si>
  <si>
    <t>Discussão técnica junto IFF sobre as variações de lotes de Fibrin</t>
  </si>
  <si>
    <t>Discussão técnica sobre o comitê de sourcing, validação e Testes de novas matérias-primas</t>
  </si>
  <si>
    <t>Discussão técnica junto com AR sobre os pontos finais a serem apresentados na resposta da exigência do Trophic Soya 1.5</t>
  </si>
  <si>
    <t>Discussão técnica junto a CQ sobre melhores parâmetros a serem testados durante Teste de bancada das embalagens jumbo UHT de 3, 5 e 10L</t>
  </si>
  <si>
    <t>Atualização do MF e da planilha de custos do Trophic soya 1.5 Fiber com os dados enviados pela DSM</t>
  </si>
  <si>
    <t>Avaliação do resultado do Teste da caixa de expedição dos produtos dose única (250mL) e envio para validação para qualidade, comercial e MKT</t>
  </si>
  <si>
    <t>Avaliação dos resultados análiticos do EE do Trophic Jr 1.0 e 1.5</t>
  </si>
  <si>
    <t>Discussão técnica sobre os lotes mínimos a serem inseridos na planilha de custos dos mix do Trophic Soya 1.5 Fober</t>
  </si>
  <si>
    <t>Avaliação e aceite do lote de Fibrin com viscosidade acima do especificado</t>
  </si>
  <si>
    <t>Teste de bancada do T3A do Trophic Jr 1.0 e 1.5</t>
  </si>
  <si>
    <t>Avaliação das informações contidas na especificação de PA castrolanda, validação do lote do Diamax IG com Brix fora do especificado e modificação da especificação para esse parêmetro</t>
  </si>
  <si>
    <t>Integração de novos funcionários e apresentação das atividades de P&amp;D</t>
  </si>
  <si>
    <t>Discussão técnica sobre corpo estranho encontrado em uma unidade do Trophic 1.5</t>
  </si>
  <si>
    <t>Teste de bancada do T3LD do Trophic Jr 1.0 e 1.5 e composição do relatório</t>
  </si>
  <si>
    <t>Atualização da ET do HDMAX</t>
  </si>
  <si>
    <t>Avaliação das IN75 com relação a rotugem nutricional com declaração de açúcares</t>
  </si>
  <si>
    <t>Análise do mix de minerais padrão</t>
  </si>
  <si>
    <t>Mudança de estrutura da sala de amostras do P&amp;D</t>
  </si>
  <si>
    <t>Avaliação da proposta de análise para Avaliação de corpo estranho no Trophic 1.5</t>
  </si>
  <si>
    <t>Teste de bancada do Trophic 1.5 com suspeita de corpo estranho</t>
  </si>
  <si>
    <t>Teste industrial de aplicação do caseinato de cálcio/sódio da Alibra - CAN90 no Trophic 1.5 - Castrolanda</t>
  </si>
  <si>
    <t>Discussão técnica sobre lotes exigência de chumbo em lotes de citrato</t>
  </si>
  <si>
    <t>Composição do relatório do Teste industrial de aplicação do CAN90 no Trophic 1.5</t>
  </si>
  <si>
    <t>Discussão tecnica junto a IFF sobre os desvios da especificação observados em lotes de Fibrin</t>
  </si>
  <si>
    <t>Discussão técnica sobre o EE do Trophic Jr 1.0 e 1.5 e possíveis caminhos a se tormar a partir dos resultados</t>
  </si>
  <si>
    <t>Discussão técnica sobre follow-up dos produtos dose única</t>
  </si>
  <si>
    <t>Atualização do POP sobre Teste piloto industrial</t>
  </si>
  <si>
    <t>Discussão técnica junto a Duas Rodas para estabelecimento de parâmetros a serem aplicados no Teste piloto do EnergyZIP novos sabores</t>
  </si>
  <si>
    <t>Discussão técnica sobre revalidação de fórmulas do trophic basic e 1.5</t>
  </si>
  <si>
    <t>Avaliação dos aminogramas da PIS</t>
  </si>
  <si>
    <t>Análise e liberação do lote do Trophic 1.5 produzido com CAN90</t>
  </si>
  <si>
    <t>Análise de Teste de bancada do Trophic 1.5 produzido com  o CAN90</t>
  </si>
  <si>
    <t>Apresentação dos resultados do EE T3 do Trophic Jr 1.0 e 1.5  envio de informações a DSM com relação ao diferentes MIX</t>
  </si>
  <si>
    <t>Avaliação do aminograma do Trophic Fiber 1L</t>
  </si>
  <si>
    <t>Avaliação do relatório do Teste de aplicação da caixa de expedição das embalagens do dose única (250mL)</t>
  </si>
  <si>
    <t>Atualização da especificação do EnergyZIP 1.0</t>
  </si>
  <si>
    <t>Trâmites financeiros pagamento análise lab NPAL (EUA)</t>
  </si>
  <si>
    <t>Trâmites fiscais - dispositivo baixa viscosidade</t>
  </si>
  <si>
    <t>Levantamento dos custos da fórmula do EnergyZIP Protein</t>
  </si>
  <si>
    <t>Elaboração e envio de informações sobre a necessidade corante alternativo ao Camim para a GNT, Solicitação de amostra e da FT</t>
  </si>
  <si>
    <t>Trophic Fiber revisão relatório conforme AR</t>
  </si>
  <si>
    <t>Avaliação da ficha de preparo do EnergyZIP 1.0 e da especificação para liberação do produto com pH acima do especificado</t>
  </si>
  <si>
    <t>Modificação de POP para Testes piloto externas</t>
  </si>
  <si>
    <t>Discussão técnica sobre envio de documentos para novos produtos a Castrolanda</t>
  </si>
  <si>
    <t>Atualização e envio da especificação técnica do EnergyZIP 1.0</t>
  </si>
  <si>
    <t>Discussão técnica e Solicitação de amostra de corante para EnergyZIP morango em substituição ao Carmim</t>
  </si>
  <si>
    <t>Discussão técnica sobre bebidas hiperproteicas</t>
  </si>
  <si>
    <t>Solicitação de amostra para EnergyZIP morango em substituição ao Carmim</t>
  </si>
  <si>
    <t>Leitura, formulação de sugestões e discussão técnica sobre os resultados obtidos no Teste Retort</t>
  </si>
  <si>
    <t>Avaliação da nova especificação do óleo de soja com ácido cítrico</t>
  </si>
  <si>
    <t>Modificação de estrutura de ALT para inclusão de MP ALT</t>
  </si>
  <si>
    <t>Avaliação do relatório analítico e liberação do lote do Trophic 1.5 fabricado durante o Teste da Castrolanda</t>
  </si>
  <si>
    <t>Discussão técnica sobre o andamento das atividades de P&amp;D</t>
  </si>
  <si>
    <t>Levantamento das quantidades e Solicitação de amostras de Mix de minerais para os Testes do TS1.5F e EnergyZIP Protein</t>
  </si>
  <si>
    <t>Discussão técnica e Alinhamento para os Testes de aroma para o EnergyZIP junto a Duas Rodas</t>
  </si>
  <si>
    <t>Avaliação do desvio de qualidade observado para a amostra do Trophic 1.5</t>
  </si>
  <si>
    <t>Discussão técnica e Alinhamento sobre o Teste de bancada do EnergyZIP Protein</t>
  </si>
  <si>
    <t>Avaliação da amostra de contraprova do Trophic 1.5 com desvio, (análise de viscosidade e administração) e composição da carta resposta a cliente</t>
  </si>
  <si>
    <t>Discussão técnica sobre os resultados bimestrais de P&amp;D e planificação parao próximo bimestre</t>
  </si>
  <si>
    <t>Planificação e montagem da ideia inicial dos Dashboard de cronogramas em PowerBI</t>
  </si>
  <si>
    <t>Discussão técnica sobre os avanços da linha soya (pó, 1.5 e 1.5 fiber) e dos Testes de aplicação de aroma para o EnergyZIP</t>
  </si>
  <si>
    <t>Levantamento e Solicitação de datas para novos Testes piloto na Tetra Pak (Soya 1.5 Fiber, Junior 1.0, 1.5 e 1.5 Fiber; e EnergyZIP Protein).</t>
  </si>
  <si>
    <t>Discussão técnica e Alinhamento sobre o corante alternativa ao carmim da Exberry (aplicação para bebidas, influência do pH e da temperatura de processo)</t>
  </si>
  <si>
    <t>Discussão técnica sobre o Teste industrial de aplicação do caseinato de cálcio/sódio da Alibra na Produção do Trophic 1.5</t>
  </si>
  <si>
    <t>Avaliação da especificação do Premix de vitaminas da DSM com teor elevado de betacaroteno</t>
  </si>
  <si>
    <t>Levantamento dos custos dos Testes piloto para os produtos em diferentes plantas (Castrolanda e Tetra Pak) para Soya 1.5 Fiber, Junior 1.0, 1.5 e 1.5 Fiber; e EnergyZIP Protein</t>
  </si>
  <si>
    <t>Discussão técnica e retorno a Doehler  sobre o corante alternativo ao carmim</t>
  </si>
  <si>
    <t>Avaliação do desvio no EnergyZIP 1.0 e liberação do lote para comercialização</t>
  </si>
  <si>
    <t>Discussão técnica junto a Qualidade a respeito da possibilidade de realização de ensaios para detecção de microfuros e falhas de selagem em embalagens Tetra Pak</t>
  </si>
  <si>
    <t>Discussão técnica sobre a aplicação da lecitina liquida da IFF nos produtos UHT</t>
  </si>
  <si>
    <t>Discussão técnica, Solicitação e Alinhamento das análises de condutibilidade elétrica e de penetração de cor a ser realizada nas caixas Tetra Pak</t>
  </si>
  <si>
    <t>Atualização da ET do Trophic soya e Trophic Soya 1.5</t>
  </si>
  <si>
    <t>Análise de bancada do EnergyZIP Protein (Teste do 1º MF).</t>
  </si>
  <si>
    <t>Discussão técnica sobre as análises a abordagem a se ter com as amostras de caixas Tetra PaK</t>
  </si>
  <si>
    <t>Discussão técnica sobre os avanços dos PowerBI da área técnica</t>
  </si>
  <si>
    <t>Pesagem de materiais para o Teste piloto Retort</t>
  </si>
  <si>
    <t>Acompanhamento do Simpósio sobre produtos UHT do INOVALEITE</t>
  </si>
  <si>
    <t>Composição do relatório sobre a FO8163 do Trophic 1.5 após análises de bancada (administração e viscosidade)</t>
  </si>
  <si>
    <t>Discussão técnica, Alinhamento e Solicitação de amostras para o Teste piloto do EnergyZIP café na Duas Rodas</t>
  </si>
  <si>
    <t>Modificação das estruturas do Diamax IG VPCR (1L e 200mL)</t>
  </si>
  <si>
    <t>Testes de hidratação do caseinato de cálcio da Alibra e composição do relatório</t>
  </si>
  <si>
    <t>Modificação das estruturas do Trophic Infant e do IMMAX</t>
  </si>
  <si>
    <t>Criação dos indicadores para criação dos dashboards de cronogramas do PowerBI</t>
  </si>
  <si>
    <t>Solicitação de datas para novos Testes piloto do caseinato de cálcio Alibra e Lecitina de soja Liquida IFF</t>
  </si>
  <si>
    <t>Avaliação das embalagens retidas da tetra Pak, junto com a Qualidade (análise de microfuros e falhas de selagem)</t>
  </si>
  <si>
    <t>Alimentação dos dados da planilha dos indicadores para criação do dashbord dos cronogramas do PowerBI</t>
  </si>
  <si>
    <t>Discussão técnica e apresentação da ideia dos dashboards dos cronogramas de powerBI</t>
  </si>
  <si>
    <t>Alinhamento sobre os Testes a serem realizados na Tetra Pak</t>
  </si>
  <si>
    <t>Discussão sobre o desenvolvimento e as necessidades dos dashboards do PowerBI para o Científico, regulatório e Setor de análise de licitação.</t>
  </si>
  <si>
    <t>Apresentação das mudanças do novo laboratório de P&amp;D</t>
  </si>
  <si>
    <t>Discussão técnica sobre os avanços e possibilidade de desenvolvimento de novos aromas para o EnergyZIP e Diamax IG</t>
  </si>
  <si>
    <t>Alinhamento e discussão técnica sobre as datas para o novo Teste do caseinato de cálcio da Alibra, Teste de hidratação a quente da PIS e da lecitina liquida da IFF</t>
  </si>
  <si>
    <t>Discussão técnica junto a INNOVA para apresentação de funcionalidades da plataforma</t>
  </si>
  <si>
    <t>Separação de materiais para o Teste de aplicação do aroma de café no EnergyZIP (projeto EnergyZIP novos sabores).</t>
  </si>
  <si>
    <t>Envio de informações e documentos a Duas Rodas para realização do Teste de aplicação do aroma de café no EnergyZIP</t>
  </si>
  <si>
    <t>Avaliação do laudo de expedição do Trophic Fiber 1L com densidade alterada</t>
  </si>
  <si>
    <t>Aplicação do corante da Exberry (substituto ao Carmim) na fórmula do energyZIP, Teste de aplicação e composição do relatório</t>
  </si>
  <si>
    <t>Validação conferência Recebimento amostras T12</t>
  </si>
  <si>
    <t>Discussão técnica e Alinhamento das possibilidades de aplicação do corante substituto do carmim nos Testes de novembro na Tetra Pak</t>
  </si>
  <si>
    <t>Alinhamento das possibilidades a serem realizadas na Castrolanda para os Testes do caseinato</t>
  </si>
  <si>
    <t>Discussão técnica e aplicação inicial da instrução de fabricação automática a partir do Protheus.</t>
  </si>
  <si>
    <t>Discussão técnica junto a qualidade sobre o desvio observado no Trophic 1.5</t>
  </si>
  <si>
    <t>Alinhamento e desenvolvimento do PowerBI para os cronogramas</t>
  </si>
  <si>
    <t>Validação de mudanças no Protheus para criação da IF automática</t>
  </si>
  <si>
    <t>Atualização do MF para inclusão de novos MIXs e de citrato de potássio</t>
  </si>
  <si>
    <t>Modificação do arquivo para o PowerBI dos cronogramas</t>
  </si>
  <si>
    <t>Solicitação de datas e organização do Teste do EnergyZIP Protein e do Trophic soya 1.5 Fiber</t>
  </si>
  <si>
    <t>Modificação da estrutura do Trophic Junior para Teste de criação da IF automática</t>
  </si>
  <si>
    <t>Atualização dos documentos e discussão técnica sobre novos parâmetros que seriam adotados no Teste do dia 07/10</t>
  </si>
  <si>
    <t>Envio de materiais relativos a embalagem e caixa de expedição da nova AF para o Trophic 1.5 250mL</t>
  </si>
  <si>
    <t>Modificação do formato e inclusão de campos no arquivo do PowerBI para Cronogramas</t>
  </si>
  <si>
    <t>Teste de aplicação do caseinato de cálcio da Alibra na Produção do Trophic 1.5</t>
  </si>
  <si>
    <t>Atualização e envio do documento sobre Testes piloto</t>
  </si>
  <si>
    <t>Discussão técnica sobre as mudanças que deveriam ser feitas no código do Protheus para criação da IF automática</t>
  </si>
  <si>
    <t>Atualizações nos procedimentos e mudanças de estrutura e código do Protheus para criação da IF automática</t>
  </si>
  <si>
    <t>Criação do relatório do Teste piloto de aplicação do caseinato de cálcio da alibra no Trophic 1.5</t>
  </si>
  <si>
    <t>Finalização e envio do relatório de aplicação do caseinato de cálcio da Alibra na Produção do Trophic 1.5</t>
  </si>
  <si>
    <t>Discussão técnica sobre os valores de chumbo na especificação do citrato de sódio</t>
  </si>
  <si>
    <t>Discussão técnica sobre o desvio da qualidade observado para o Diamax IG</t>
  </si>
  <si>
    <t>Atualização da especificação do citrato de sódio (exclusão da obrigatoriedade do parâmetro Chumbo para todas os lotes)</t>
  </si>
  <si>
    <t>Discussão técnica sobre o desvio de qualidade do Trophic 1.5 e sobre os Dossiês Castrolanda e Prodiet (P&amp;D/Q/Castrolanda)</t>
  </si>
  <si>
    <t>Finalização e envio dos MF (EnergyZIP Protein e Trophic Soya 1.5 Fiber) ao científico e ao AR</t>
  </si>
  <si>
    <t>Modificação do MF e ajuste para um volume de Teste maior (Solicitação maior de MP junto a PCP)</t>
  </si>
  <si>
    <t>Inclusão dos cronogramas no arquivo do PowerBI</t>
  </si>
  <si>
    <t>Discussão técnica sobre o que seria aplicado no Teste piloto industrial do Trophic Soya 1.5 fiber e do EnergyZIP Protein</t>
  </si>
  <si>
    <t>Alinhamento sobre as MP necessárias para os Testes na Tetra Pak (Solicitação de maiores volumes, Solicitação do corante e atualização do status de entrega dos pré-mixes)</t>
  </si>
  <si>
    <t>Atualização da estrutura do Trophic Jr e do Protheus para criação da IF automática</t>
  </si>
  <si>
    <t>Validação envase 700g</t>
  </si>
  <si>
    <t>Pesagem e separação das MP necessárias para o Teste do EnergyZIP Protein e do Trophic Soya 1.5 Fiber</t>
  </si>
  <si>
    <t>Discussão técnica e ajuste do MF (EnergyZIP Protein e TS1.5F) para atendimento do target (mudança de cálculo, pré-mix de minerais)</t>
  </si>
  <si>
    <t>Re-pesagem, separação e envio das MP para o Teste piloto industrial do Trophic soya 1.5 fIber e do EnergyZIP Protein</t>
  </si>
  <si>
    <t>Atualização da estrutura do Soya e do fiber para criação da primeria IF automática</t>
  </si>
  <si>
    <t>Discussão tecnica (P&amp;D e TI) sobre parâmetros a serem mudados/adaptados na IF automática</t>
  </si>
  <si>
    <t>Atualização do Anexo A (Tetra Pak) sobre as MP a serem usadas no Teste do EnergyZIP Protein e no TS1.5F</t>
  </si>
  <si>
    <t>Atualização da IF Castrolanda para inclusão do caseinato de cálcio da Alibra (atualização de ordem de adição e de aumento de tempo de hidratação)</t>
  </si>
  <si>
    <t>Finalização da IF Castrolanda com caseinato Alibra</t>
  </si>
  <si>
    <t>Modificação do código Protheus (cálcio de %) e das estruturas (Soya e Fiber)</t>
  </si>
  <si>
    <t>Finalização das primeiras IF automáticas e envio para a Castrolanda</t>
  </si>
  <si>
    <t>Viagem para Monte Mor (Teste piloto industrial Tetra Pak - EnergyZIP Protein e TS1.5F)</t>
  </si>
  <si>
    <t>Teste piloto industrial - Tetra Pak - EnergyZIP Protein e EnergyZIP Protein com corante alternativo</t>
  </si>
  <si>
    <t>Teste piloto industrial - Tetra Pak - Trophic Soya 1.5 Fiber</t>
  </si>
  <si>
    <t>Discussão técnica sobre Elaboração dos MFs</t>
  </si>
  <si>
    <t>Discussão técnica sobre checagem dos MFs</t>
  </si>
  <si>
    <t>Definição, criação e montagem dos indicadores do PowerBI - Cronogramas de projetos</t>
  </si>
  <si>
    <t>Discussão técnica sobre informações dos produtos destinados a IB - Grécia, sobre declaração de glúten, lista de ingredientes, FTs.</t>
  </si>
  <si>
    <t>Atualização dos status dos projetos.</t>
  </si>
  <si>
    <t>Tratativa e atualização, junto a qualidade, a respeito das matérias-primas usadas em produtos liquidos, pós, retort, e que serão testadas em Testes industriais</t>
  </si>
  <si>
    <t>Avaliação de NC - Maltodextrina</t>
  </si>
  <si>
    <t>Finalização e envio do relatório do Teste industrial do EnergyZIP Protein com e sem corante</t>
  </si>
  <si>
    <t>Finalização e envio do relatório do Teste industrial do Trophic Soya 1.5 Fiber</t>
  </si>
  <si>
    <t>Discussões técnicas sobre os relatórios de Testes industriais (Soya 1.5 Fiber e EnergyZIP Protein).</t>
  </si>
  <si>
    <t>Teste de bancada do Mix de minerais do Soya 1.5 Fiber</t>
  </si>
  <si>
    <t>Avaliação do documento de checagem do MF, inclusão de necessidade do cálculo da água</t>
  </si>
  <si>
    <t>Validação envase Bemmax, Immax e Infant 600/700/800g</t>
  </si>
  <si>
    <t>Discussão técnica sobre a necessidade, funcionalidade e resultados esperados para um analisador de atividade de água.</t>
  </si>
  <si>
    <t>Discussão técnica sobre possíveis corantes alternativos ao Carmim, junto a Sensient.</t>
  </si>
  <si>
    <t>Discussão técnica sobre a cinética de degradação das vitaminas</t>
  </si>
  <si>
    <t>Solicitação de criação de cadastro para o EnergyZIP Protein</t>
  </si>
  <si>
    <t>Discussão técnica e elaboração de resposta à GNT a respeito do corante a base de beterraba.</t>
  </si>
  <si>
    <t>Cadastro de águas e serviços nas estruturas dos produtos liquidos UHT.</t>
  </si>
  <si>
    <t>Pesquisa sobre mudança de estruturas de proteínas, interações durante o processo, processos de rehidratação e impacto na viscosidade.</t>
  </si>
  <si>
    <t>Validação óleo amendoim</t>
  </si>
  <si>
    <t>Levantamento de gastos totais dos Testes do T. Soya 1.5 Fiber e do EnergyZIP Protein.</t>
  </si>
  <si>
    <t>Atualização sobre os Testes de aplicação da lecitina de soja liquina na Produção do T. 1.5</t>
  </si>
  <si>
    <t>Finalização do relatório da NIS</t>
  </si>
  <si>
    <t>Avaliação da FO carragena</t>
  </si>
  <si>
    <t>Montagem da apresentação para reunião da área técnica</t>
  </si>
  <si>
    <t>Discussão técnica sobre os projetos da área técnica.</t>
  </si>
  <si>
    <t>Finalização da inclusão das águas e serviços para montagem das IF automáticas para produtos liquidos UHT</t>
  </si>
  <si>
    <t>Criação do esqueleto e discussão técnica sobre os indicadores, cálculos e compilação dos dados para o PowerBI - Cronogramas</t>
  </si>
  <si>
    <t>Discussão técnica sobre o projeto sistema fechado UTI</t>
  </si>
  <si>
    <t>Finalização da criação das IF automáticas - Protheus para os produtos liquidos UHT</t>
  </si>
  <si>
    <t>Avaliação FO mudança de cor de lecitina</t>
  </si>
  <si>
    <t>Contato com Inovaleite e definição de estratégias para criação de um projeto de pesquisa para melhoria de propriedades de hidratação de proteínas.</t>
  </si>
  <si>
    <t>Discussões técnicas sobre mudanças e aplicações do citrato de potássio</t>
  </si>
  <si>
    <t>Validação sobretampas Sonoco e Tampaflex lata Brasilata 127mm</t>
  </si>
  <si>
    <t>Avaliação da estrutura do Trophic Soya 1.5 e checagem do MF</t>
  </si>
  <si>
    <t>Validação teor de Xantana, administração</t>
  </si>
  <si>
    <t>Validar colher medida FiberMais</t>
  </si>
  <si>
    <t>Discussão técnica junto a IFF, a repeito de desenvolvimentos de MP, aplicações no Trophic Junior, T. Soya 1.5 Fiber.</t>
  </si>
  <si>
    <t>Discussão técnica sobre o citrato de sódio - inclusão de MP alternativa e Teste industrial</t>
  </si>
  <si>
    <t>Criação do documento mãe do PowerBI - Cronogramas</t>
  </si>
  <si>
    <t>Pesagem das MP para o Teste piloto-industrial na Tetra Pak do EnergyZIP Protein</t>
  </si>
  <si>
    <t>Levantamento de documentos e envio à Castrolanda de certificados de validação do citrato de sódio (Boraquímica - Cargil) para aplicação no Diamax IG</t>
  </si>
  <si>
    <t>Check final das IF - Automáticas e envio à Castrolanda</t>
  </si>
  <si>
    <t>Finalização do relatório do EnergyZIP novos sabores, após análise sensorial final</t>
  </si>
  <si>
    <t>Análise de viscosidade da FO - Trophic 1.5</t>
  </si>
  <si>
    <t>Atualização do Protheus do mix de minerais do Trophic Jr (1.0, 1.5 e 1.5 fiber)</t>
  </si>
  <si>
    <t>Discussão técnica a respeito da FO - Tocantins (Separação de fase do Trophic 1.5).</t>
  </si>
  <si>
    <t>Solicitação de criação de cadastro para o PA - Teste Industrial Castrolanda</t>
  </si>
  <si>
    <t>Criação do MF para o Trophic Junior 1.5 Fiber</t>
  </si>
  <si>
    <t>Discussão técnica sobre o lançamento do Trophic Soya 1.5</t>
  </si>
  <si>
    <t>Finalização do MF EnergyZIP Protein</t>
  </si>
  <si>
    <t>Double Check na estrutura no Protheus do Trophic Soya 1.5 (MP + Aguas  + Serviços).</t>
  </si>
  <si>
    <t>Verificações docs novas MP's + atualizações sistema</t>
  </si>
  <si>
    <t>Início da criação da apresentação da NIS</t>
  </si>
  <si>
    <t>Discussão e Alinhamento sobre o uso do citrato de sódio para o Diamax IG</t>
  </si>
  <si>
    <t>Discussão técnica e Alinhamento sobre mudanças de processo após implementação do caseinato da Alibra</t>
  </si>
  <si>
    <t>Atualização do relatório do Teste de aplicação da lecitina liquida</t>
  </si>
  <si>
    <t>Análise de bancada do T2 do Trophic 1.5</t>
  </si>
  <si>
    <t>Montagem do esqueleto do arquivo padrão do PowerBI - Cronogramas</t>
  </si>
  <si>
    <t>Discussão técnica junto a TI a respeito dos indicadores e montagem do arquivo padrão PowerBI - Cronogramas</t>
  </si>
  <si>
    <t>Discussão técnica junto a IFF e a Synergy a respeito de novas MP e possível implementação de aromas</t>
  </si>
  <si>
    <t>Teste de hidratação do caseinato de cálcio da Alibra junto com as demais proteínas, simulando aplicação industrial no tanque 1</t>
  </si>
  <si>
    <t>Atualização de documentos Tetra Pak - Laudos microbióligicos, liberação e organização de recepção das amaostras do Trophic Soya 1.5 Fiber</t>
  </si>
  <si>
    <t>Viabilização de coleta de amostra em planta piloto</t>
  </si>
  <si>
    <t>Finalização do relatório do Teste de hidratação do cadeinato de cálcio da Alibra</t>
  </si>
  <si>
    <t>Análise e respaldo da amostra da FO - Tocantins, homogeneização</t>
  </si>
  <si>
    <t>Avaliação de lotes fora da especificação (EP e 1.5)</t>
  </si>
  <si>
    <t>Discussão técnica junto a IFF a respeito da melhoria de hidratação da PIS</t>
  </si>
  <si>
    <t>Criação do projeto de estudo da mudança de viscosidade ao longo do SL do Trophic 1.5</t>
  </si>
  <si>
    <t>Finalização da apresentação da NIS</t>
  </si>
  <si>
    <t>Discussão técnica, modificação do embasamente sobre a separação de fase do Trophic 1.5 - FO - Tocantins</t>
  </si>
  <si>
    <t>Discussão e organização de retirada do produtos produzidos no Teste da Tetra Pak -  Trophic Soya 1.5 fiber</t>
  </si>
  <si>
    <t>Discussão técnica do comitê de sourcing a respeito de aplicação de novas MP e embalagens</t>
  </si>
  <si>
    <t>Finalização da discussão técnina e do documento referente ao desvio de qualidade do Trophic 1.5 - Tocantins</t>
  </si>
  <si>
    <t>Finalização do documento e da apresentação dos destaques da NIS 2021 e discussão técnica a respeito de alimentos para melhoria da imunidade</t>
  </si>
  <si>
    <t>Análise de viscosidade dos lotes do Trophic 1.5  e Fiber - Treinamento a Cristina (Qualidade)</t>
  </si>
  <si>
    <t>Discussão técnica junto a qualidade e Produção a respeito das atividades exercidas por P&amp;D</t>
  </si>
  <si>
    <t>PowerBI Cronogramas</t>
  </si>
  <si>
    <t>Discussão técnica projeto Prodiet - Inovaleite UFJF</t>
  </si>
  <si>
    <t>Bloqueio de cadastros no Protheus de MP e produtos desnecessários/obsoletos</t>
  </si>
  <si>
    <t>Discussão técnica e primeiro alinhameto sobre os Testes a serem realizados na Castrolanda</t>
  </si>
  <si>
    <t>Atualização do POP de estruturas no Protheus, trazendo a inserção das necessidades para criação da IF automática</t>
  </si>
  <si>
    <t>Modificação de especificação de Monodiglicerídeo</t>
  </si>
  <si>
    <t>Discussão técnica junto a MKT sobre possíveis lançamentos de EnergyZIP voltados a campanhas específicas (Collabs)</t>
  </si>
  <si>
    <t>Estudo e atualização sobre impactos de processo sobre as características reologicas e de emulsão de proteínas lácteas.</t>
  </si>
  <si>
    <t>Análise de T2 dos produtos testados em outubro (HDMAX e Trophic 1.5 - CAN 90)</t>
  </si>
  <si>
    <t>Estudo e atualização sobre impactos do uso de diferentes hidrocoloides na estabilidade e na reologia dos produtos</t>
  </si>
  <si>
    <t>Viabilização de envio e Solicitação de análise para amostra de papinha</t>
  </si>
  <si>
    <t>Discussão técnica sobre dieta caseira/Artesanal para nutrição enteral</t>
  </si>
  <si>
    <t>Viabilização de início do estudo de EE</t>
  </si>
  <si>
    <t>Mudança de cadastro de serviços no Protheus</t>
  </si>
  <si>
    <t>Pesagem e separação de matérias-primas para o Teste do EnergyZIP Protein na Tetra Pak</t>
  </si>
  <si>
    <t>Discussão técnica e levantemento de tempos de processo usados para a fabricação das fórmulas UHT</t>
  </si>
  <si>
    <t>Estudos e atualizações sobre diferentes estabiizantes minerais para fórmulas UHT</t>
  </si>
  <si>
    <t>Discussão técnica sobre melhoria de hidratação de PIS e sobre compra seletiva de lotes com baixa viscosidade</t>
  </si>
  <si>
    <t>Atualização das especificações técnicas dos produtos acabados UHT de acordo com a nova legislação para parâmetros microbiológicos</t>
  </si>
  <si>
    <t>Envio de documentação de especificações a Castrolanda</t>
  </si>
  <si>
    <t>Discussão técnica sobre o tempo de preparo do Diamax IG</t>
  </si>
  <si>
    <t>Pesagem e separação de matérias-primas para o Teste do Trophic Soya 1.5 Fiber na Tetra Pak</t>
  </si>
  <si>
    <t>Discussão técnica sobre diminuição de viscosidade dos produtos UHT e sua relação a PIS</t>
  </si>
  <si>
    <t>Visita aos laboratórios Eurofins Indaiatuba</t>
  </si>
  <si>
    <t>Análise dos lotes de Trophic 1.5 com diferentes viscosidades (estudo de LD em diferentes temperaturas)</t>
  </si>
  <si>
    <t>Discussão técnica sobre as mudanças no processo de cadastro no Protheus devido a IF automática</t>
  </si>
  <si>
    <t>Levantamento dos custos de Produção do Trophic Soya 1.5 Fiber liquido</t>
  </si>
  <si>
    <t>Leitura das RDCs (360, 429) e discussão técnica</t>
  </si>
  <si>
    <t>Verificação e correção dos relatórios de EE do Trophic Soya 1.5 Fiber produzidos com pH alto</t>
  </si>
  <si>
    <t>Discussão técnica sobre os projetos e budjet de P&amp;D para 2022</t>
  </si>
  <si>
    <t>Atualização de status de projetos</t>
  </si>
  <si>
    <t>Discussão técnica junto aos responsáveis da Castrolanda a repeito de melhorias de processo que podem ser aplicados para o processamento das fórmulas</t>
  </si>
  <si>
    <t>Visualização de resultados de congresso</t>
  </si>
  <si>
    <t>Atualização do projeto dos Testes no Inovaleite - UFJF</t>
  </si>
  <si>
    <t>Atualização da planilha de corantes testados</t>
  </si>
  <si>
    <t>Solicitação e atualização de documentação sobre as especficicações técnicas das embalagens Tetra Pak de 250mL</t>
  </si>
  <si>
    <t>Discussão técnica sobre os cronogramas e as mudanças a serem implementadas para o auxílio no powerBI</t>
  </si>
  <si>
    <t>Discussão técnica sobre as atividades prioritárias de P&amp;D</t>
  </si>
  <si>
    <t>Atualização dos cronogramas dos projetos</t>
  </si>
  <si>
    <t>Estudo e atualização sobre o impacto de minerais sobre a interação entrre proteínas lácteas e soja</t>
  </si>
  <si>
    <t>Discussão técnica sobre a aualização no modelo do crononograma e impacto no PowerBI</t>
  </si>
  <si>
    <t>Discussão técnica sobre a posição de fixação do hanger nos produtos dose única</t>
  </si>
  <si>
    <t>Discussão técnica sobre as atualizações nas atividades dos diferentes projetos de P&amp;D</t>
  </si>
  <si>
    <r>
      <rPr>
        <rFont val="Cairo"/>
        <color theme="1"/>
        <sz val="10.0"/>
      </rPr>
      <t xml:space="preserve">Entrega das receitas para realização do fracionamento para Produção </t>
    </r>
    <r>
      <rPr>
        <rFont val="Cairo"/>
        <b/>
        <color theme="1"/>
        <sz val="10.0"/>
      </rPr>
      <t>piloto</t>
    </r>
  </si>
  <si>
    <t>Pessoal</t>
  </si>
  <si>
    <t>Salario bruto</t>
  </si>
  <si>
    <t>planilha RH</t>
  </si>
  <si>
    <t>RH atualizou online</t>
  </si>
  <si>
    <t>Nome Completo</t>
  </si>
  <si>
    <t>CPF</t>
  </si>
  <si>
    <t>notas</t>
  </si>
  <si>
    <t>Cargo/função</t>
  </si>
  <si>
    <t>Formação</t>
  </si>
  <si>
    <t>Salário 01</t>
  </si>
  <si>
    <t>Salário 02</t>
  </si>
  <si>
    <t>Salário 03</t>
  </si>
  <si>
    <t>Salário 04</t>
  </si>
  <si>
    <t>Salário 05</t>
  </si>
  <si>
    <t>Salário 06</t>
  </si>
  <si>
    <t>Salário 07</t>
  </si>
  <si>
    <t>Salário 08</t>
  </si>
  <si>
    <t>Salário 09</t>
  </si>
  <si>
    <t>Salário 10</t>
  </si>
  <si>
    <t>Salário 11</t>
  </si>
  <si>
    <t>Salário 12</t>
  </si>
  <si>
    <t>PD&amp;I time</t>
  </si>
  <si>
    <t>PD&amp;I (%)</t>
  </si>
  <si>
    <t>Classificação</t>
  </si>
  <si>
    <t>Pesquisador</t>
  </si>
  <si>
    <t>076.046.519-33</t>
  </si>
  <si>
    <t>Analista Científico</t>
  </si>
  <si>
    <t>Ana Paula Celes</t>
  </si>
  <si>
    <t>759.837.297-72</t>
  </si>
  <si>
    <t>Diretora Técnica</t>
  </si>
  <si>
    <t>PJ</t>
  </si>
  <si>
    <t>066.466.799-67</t>
  </si>
  <si>
    <t>Gerente Mkt</t>
  </si>
  <si>
    <t>083.832.289-10</t>
  </si>
  <si>
    <t>Assistente de P&amp;D</t>
  </si>
  <si>
    <t>087.823.469-17</t>
  </si>
  <si>
    <t>Hellin dos Santos</t>
  </si>
  <si>
    <t>058.544.839-63</t>
  </si>
  <si>
    <t>Gerente Cientifico</t>
  </si>
  <si>
    <t>317.875.738-42</t>
  </si>
  <si>
    <t>Especialista em Estudos de Estabilidade</t>
  </si>
  <si>
    <t>077.680.169-47</t>
  </si>
  <si>
    <t>Analista de GQ</t>
  </si>
  <si>
    <t>052.485.199-93</t>
  </si>
  <si>
    <t>Analista P&amp;D</t>
  </si>
  <si>
    <t>Luciana Dutra</t>
  </si>
  <si>
    <t>186.586.978-35</t>
  </si>
  <si>
    <t>Gerente Técnica</t>
  </si>
  <si>
    <t>088.869.216-16</t>
  </si>
  <si>
    <t>Analista de P&amp;D</t>
  </si>
  <si>
    <t>Marianne Stigar</t>
  </si>
  <si>
    <t>066.424.199-95</t>
  </si>
  <si>
    <t>Coord. GQ</t>
  </si>
  <si>
    <t>Tahuany Leite</t>
  </si>
  <si>
    <t>086.481.459-37</t>
  </si>
  <si>
    <t>Analista MKT</t>
  </si>
  <si>
    <t>Cálculo do custo/hora</t>
  </si>
  <si>
    <t>Encargos sobre folha</t>
  </si>
  <si>
    <t>INSS</t>
  </si>
  <si>
    <t>Patronal</t>
  </si>
  <si>
    <t>FGTS</t>
  </si>
  <si>
    <t>Férias</t>
  </si>
  <si>
    <t>13º</t>
  </si>
  <si>
    <t>Total</t>
  </si>
  <si>
    <t>RAT</t>
  </si>
  <si>
    <t>Custo / Hora</t>
  </si>
  <si>
    <t>PD&amp;I R$</t>
  </si>
  <si>
    <t>Aprovado R$</t>
  </si>
  <si>
    <t>Feriados</t>
  </si>
  <si>
    <t>sexta-feira</t>
  </si>
  <si>
    <t>Confraternização Universal</t>
  </si>
  <si>
    <t>Paixão de Cristo</t>
  </si>
  <si>
    <t>quarta-feira</t>
  </si>
  <si>
    <t>Tiradentes</t>
  </si>
  <si>
    <t>quinta-feira</t>
  </si>
  <si>
    <t>Corpus Christi</t>
  </si>
  <si>
    <t>terça-feira</t>
  </si>
  <si>
    <t>Independência do Brasil</t>
  </si>
  <si>
    <t>Aniversário de Curitiba</t>
  </si>
  <si>
    <t>Nossa Sr.a Aparecida - Padroeira do Brasil</t>
  </si>
  <si>
    <t>Finados</t>
  </si>
  <si>
    <t>segunda-feira</t>
  </si>
  <si>
    <t>Proclamação da República</t>
  </si>
  <si>
    <t>MATERIAIS</t>
  </si>
  <si>
    <t>SERVIÇOS</t>
  </si>
  <si>
    <t>Projeto 1</t>
  </si>
  <si>
    <t>Projeto 2</t>
  </si>
  <si>
    <t>Projeto 3</t>
  </si>
  <si>
    <t>Empresa</t>
  </si>
  <si>
    <t>Código FORMS</t>
  </si>
  <si>
    <t>CNPJ</t>
  </si>
  <si>
    <t>Valor</t>
  </si>
  <si>
    <t>Melhoria de Processo</t>
  </si>
  <si>
    <t>Fundação de Apoio à Universidade de São Paulo</t>
  </si>
  <si>
    <t>3.1.15.1.2</t>
  </si>
  <si>
    <t>68.314.830/0001-27</t>
  </si>
  <si>
    <t>Análise de Distribuição de Partículas</t>
  </si>
  <si>
    <t>Embrapa/CTAA</t>
  </si>
  <si>
    <t xml:space="preserve">3.1.15.2.4 </t>
  </si>
  <si>
    <t>Despesas relacionadas aos testes realizados na Tetra Pak (Monte Mor/SP) e Embrapa/RJ</t>
  </si>
  <si>
    <t>Márcio Nogueira</t>
  </si>
  <si>
    <t>CASA OMEGA NUTRIÇÃO LTDA</t>
  </si>
  <si>
    <t>3.1.15.2.6</t>
  </si>
  <si>
    <t>32.749.234/0001-22</t>
  </si>
  <si>
    <t>Insumos para análises de produtos de concorrentes</t>
  </si>
  <si>
    <t>RAIADROGASIL S/A</t>
  </si>
  <si>
    <t>61.585.865/1660-41</t>
  </si>
  <si>
    <t>Nutrihealth Comercio de Produtos Alimenticios</t>
  </si>
  <si>
    <t>14.942.128/0001-89</t>
  </si>
  <si>
    <t>NP Analytical Laboratories</t>
  </si>
  <si>
    <t>NA</t>
  </si>
  <si>
    <t>Insumos para análise de aminoácidos</t>
  </si>
  <si>
    <t>Laboratório ALAC Ltda</t>
  </si>
  <si>
    <t>3.1.16.2.5</t>
  </si>
  <si>
    <t>94.088.952/0001-52</t>
  </si>
  <si>
    <t>Análises de Estudo de estabilidade; Análises de Matéria Prima para novo produto (ex. validar nova maltodextrina, validar novo WPI, macronutriente); Análises para validar o tempo de mistura; e Validação de mistura com Bin menor (50L)</t>
  </si>
  <si>
    <t>Fundação de desenv. da pesquisa do agronegócio - FUNDEPAG</t>
  </si>
  <si>
    <t>50.276.237/0001-78</t>
  </si>
  <si>
    <t>Reanálise de perfil lipídico; Análise de TPVA e TPO2 bobina Suprema; Análise de validação de mistura</t>
  </si>
  <si>
    <t>Eurofins do Brasil Análise de Alimentos Ltda.</t>
  </si>
  <si>
    <t>04.329.668/0001-38</t>
  </si>
  <si>
    <t>Análises de Estudo de Estabilidade; Análise de aminograma; Investigação de sódio nos produtos; Covalidações metodologicas das análises; Validações de novas Matérias Primas; Investigação de Estabilidade das fórmulas de concorrentes; Análise para investigação de vitaminas sensíveis ao pH</t>
  </si>
  <si>
    <t>Fundação Arthur Bernardes</t>
  </si>
  <si>
    <t>20.320.503/0001-51</t>
  </si>
  <si>
    <t>Valores pagos por Apoio técnico no contrato EMBRAPA/FUNARBE</t>
  </si>
  <si>
    <t>Anderson Mendonça Lima</t>
  </si>
  <si>
    <t>35.964.728/0001 18</t>
  </si>
  <si>
    <t>Consultoria em Estudos de Estabilidade e Validação de métodos analíticos</t>
  </si>
  <si>
    <t>PZL Indústria Eletrônica Ltda.</t>
  </si>
  <si>
    <t>76.785.302/0001-84</t>
  </si>
  <si>
    <t>Solução de calibração do osmômetro</t>
  </si>
  <si>
    <t>Tuv Sud SFDK Laboratório de Análise de Produtos Eireli</t>
  </si>
  <si>
    <t>55.953.079/0001-67</t>
  </si>
  <si>
    <t>Análise microbiológica</t>
  </si>
  <si>
    <t>D + L CONSULTORIA E TREINAMENTO DE ALIMENTOS LTDA</t>
  </si>
  <si>
    <t>26.522.083/0001-72</t>
  </si>
  <si>
    <t>Evento Horizonte 21-  inovação em ingredientes</t>
  </si>
  <si>
    <t>DMED consultoria científica e Treinamento profissional ltda</t>
  </si>
  <si>
    <t>24.466.324/0001-88</t>
  </si>
  <si>
    <t>Inscrição em congresso</t>
  </si>
  <si>
    <t>Tetra Pak Ltda.</t>
  </si>
  <si>
    <t>61.528.030/0001-60</t>
  </si>
  <si>
    <t>Aluguel de planta para Teste de NP</t>
  </si>
  <si>
    <t>Atlantica Hotels International do Brasil Ltda.</t>
  </si>
  <si>
    <t>02.223.996/0004-66</t>
  </si>
  <si>
    <t>Hospedagem e estacionamento - Teste Tetra Pak (Monte Mor/SP)</t>
  </si>
  <si>
    <t>Labor Três Laboratórios e Consultoria Técnica Ltda.</t>
  </si>
  <si>
    <t>02.021.076/0001-29</t>
  </si>
  <si>
    <t>Análises de Estudos de Estabilidade</t>
  </si>
  <si>
    <t>Dr Aguilar Nascimento</t>
  </si>
  <si>
    <t>08.608.841/0001-98</t>
  </si>
  <si>
    <t>Palestra Polspen</t>
  </si>
  <si>
    <t>Nutrimens assessoria e consultoria</t>
  </si>
  <si>
    <t>08.218.651/0001-64</t>
  </si>
  <si>
    <t>Consultoria fórmula Diamax IG</t>
  </si>
  <si>
    <t>BRAZILSUL Serviços Administrativos Ltda</t>
  </si>
  <si>
    <t>11.456.079/0001-86</t>
  </si>
  <si>
    <t>Elaboração da minuta para depósito e acompanhamento do pedido  de patente do Instanth Neo</t>
  </si>
  <si>
    <t>DPR Turismo Ltda EPP "Em recuperação judicial"</t>
  </si>
  <si>
    <t>73.506.453/0001-68</t>
  </si>
  <si>
    <t>Despesas de viagens para a Embrapa/RJ e SEMCO/SP para realização de testes de maior complexidade</t>
  </si>
  <si>
    <t>RNC Médicos intensivistas</t>
  </si>
  <si>
    <t>26.528.525/0001-98</t>
  </si>
  <si>
    <t>Consultoria sobre formulação</t>
  </si>
  <si>
    <t>Empresa Brasileira de Pesquisa Agropecuária</t>
  </si>
  <si>
    <t>00.348.003/0011-92</t>
  </si>
  <si>
    <t>SEMCO TECNOLOGIA EM PROCESSOS LTDA.</t>
  </si>
  <si>
    <t>15.108.353/0002-68</t>
  </si>
  <si>
    <t>Teste HSM</t>
  </si>
  <si>
    <t>Recursos Humanos</t>
  </si>
  <si>
    <t>MProduto</t>
  </si>
  <si>
    <t>MProcesso</t>
  </si>
  <si>
    <t>Dedicação</t>
  </si>
  <si>
    <t>Valor total</t>
  </si>
  <si>
    <t>Total horas</t>
  </si>
  <si>
    <t xml:space="preserve"> </t>
  </si>
  <si>
    <t>Valor que deveria ter</t>
  </si>
  <si>
    <t>Horas que deveria ter</t>
  </si>
  <si>
    <t>3.1</t>
  </si>
  <si>
    <t>RECEITAS</t>
  </si>
  <si>
    <t>3.2</t>
  </si>
  <si>
    <t>DEDUCOES DA RECEITA</t>
  </si>
  <si>
    <t>RECEITA LIQUIDA</t>
  </si>
  <si>
    <t>Novos produtos</t>
  </si>
  <si>
    <t>Melhoria de produtos</t>
  </si>
  <si>
    <t>Melhoria de processos</t>
  </si>
  <si>
    <t>Projetos no HD</t>
  </si>
  <si>
    <t>Trophic Junior</t>
  </si>
  <si>
    <t>Estabilidade de misturas secas</t>
  </si>
  <si>
    <t>Energyzip Junior</t>
  </si>
  <si>
    <t>Sachê a vácuo</t>
  </si>
  <si>
    <t>Sacheteira</t>
  </si>
  <si>
    <t>DiamaxIG</t>
  </si>
  <si>
    <t>Energyzip / Diamax novos sabores</t>
  </si>
  <si>
    <t>Sistema Fechado</t>
  </si>
  <si>
    <t>Instanth Neo</t>
  </si>
  <si>
    <t>Instanth Clear</t>
  </si>
  <si>
    <t>Doc. 2020</t>
  </si>
  <si>
    <t>Tie:in - rateio de aproveitamento dos estudos de estabilidade</t>
  </si>
  <si>
    <t>valor total</t>
  </si>
  <si>
    <t>horas totais</t>
  </si>
  <si>
    <t>Valores e horas sem o EE - 2020</t>
  </si>
  <si>
    <t>Investimentos</t>
  </si>
  <si>
    <t>Fornecedor</t>
  </si>
  <si>
    <t>NF/ND</t>
  </si>
  <si>
    <t>Valor original</t>
  </si>
  <si>
    <t>R$ Incentivavel</t>
  </si>
  <si>
    <t>Inovação?</t>
  </si>
  <si>
    <t>Tipo</t>
  </si>
  <si>
    <t>Novas matérias-primas</t>
  </si>
  <si>
    <t>Tipo 2</t>
  </si>
  <si>
    <t>Proj incentivado?</t>
  </si>
  <si>
    <t>1º Semestre</t>
  </si>
  <si>
    <t>J&amp;J Serviços de Entregas Ltda - ME</t>
  </si>
  <si>
    <t>20.618.029/0001-49</t>
  </si>
  <si>
    <t>Envio de amostra para análise</t>
  </si>
  <si>
    <t>Serviço</t>
  </si>
  <si>
    <t>-</t>
  </si>
  <si>
    <t>Serviço de terceiros</t>
  </si>
  <si>
    <t>Immax, Trophic EP, Trophic Basic, Trophic Fiber</t>
  </si>
  <si>
    <t>InstanTH NEO/ Novos produtos</t>
  </si>
  <si>
    <t>Análise de macronutrientes</t>
  </si>
  <si>
    <t>Trophic Basic, Trophic Fiber, Energyzip Sênior</t>
  </si>
  <si>
    <t>ASPEN - American Society for Parenteral and Enteral Society</t>
  </si>
  <si>
    <t>Inscrição em Congresso</t>
  </si>
  <si>
    <t>Bemmax e Immax</t>
  </si>
  <si>
    <t>Análise de perfil lipídico (T0)</t>
  </si>
  <si>
    <t>Retort</t>
  </si>
  <si>
    <t>Produtos em pó e líquidos</t>
  </si>
  <si>
    <t>Análise de macro e micronutrientes</t>
  </si>
  <si>
    <t>Bemmax Sabor Neutro, Instant NEO, Instanth Clear</t>
  </si>
  <si>
    <t>1a/2 parcela contrato Embrapa FUNARBE de R$11.600,00 (contrato 052/21)</t>
  </si>
  <si>
    <t>Energyzip baunilha, Energyzip 1.0, Energyzip chocolate, Trophic Fiber líq e Trophic Basic líq</t>
  </si>
  <si>
    <t>Análise T0 das 5 dietas retort</t>
  </si>
  <si>
    <t>Trophic EP</t>
  </si>
  <si>
    <t>2a/2 parcela contrato Embrapa FUNARBE de R$11.600,00 (contrato 052/21)</t>
  </si>
  <si>
    <t>Trophic Basic pó, Trophic Fiber pó e Energyzip Sênior</t>
  </si>
  <si>
    <t>JF Inox - Metais e Serviços Eireli</t>
  </si>
  <si>
    <t>Confecção de bandejas para autoclave Embrapa</t>
  </si>
  <si>
    <t>Trophic Basic pó e Trophic Fiber pó</t>
  </si>
  <si>
    <t>Gastos com viagem para TP Castrolanda (Castro/PR)</t>
  </si>
  <si>
    <t>CGHR003524800</t>
  </si>
  <si>
    <t>Isosource Soya, Fresubin Soya Fibre, Retort NN</t>
  </si>
  <si>
    <t>Instanth CLEAR</t>
  </si>
  <si>
    <t>LSD SERVIÇOS DE TRADUÇÃO LTDA</t>
  </si>
  <si>
    <t>Tradução de artigo cientifico</t>
  </si>
  <si>
    <t>CWBIR01614171</t>
  </si>
  <si>
    <t>Compra de concorrentes para TB</t>
  </si>
  <si>
    <t>Produtos líquidos - todos os projetos</t>
  </si>
  <si>
    <t>Localiza rent a car AS</t>
  </si>
  <si>
    <t>Aluguel de veículo para teste com Perfilmaq (General Carneiro/PR)</t>
  </si>
  <si>
    <t>Todos os produtos (pó e líquido)</t>
  </si>
  <si>
    <t>GERAL</t>
  </si>
  <si>
    <t>Trophic Basic pó, Trophic Fiber pó, Trophic 1.5 250mL, Sachês (Carboch, Proteinpt Whey e Enterfiber Prebiotic)</t>
  </si>
  <si>
    <t>Envio para análises EE</t>
  </si>
  <si>
    <t>Instanth Neo, Energyzip Chocolate, Energyzip Morango e Trophic Fiber</t>
  </si>
  <si>
    <t>Curso Embalagem Celulósicas - CETEA</t>
  </si>
  <si>
    <t>Concorrentes e NN</t>
  </si>
  <si>
    <t>Análise T0</t>
  </si>
  <si>
    <t>Instanth, Instanth Clear e Bemmax Sabor Neutro</t>
  </si>
  <si>
    <t>Análise de perfil lipídico (t0)</t>
  </si>
  <si>
    <t>Cell e Target Eventos e Cursos Ltda</t>
  </si>
  <si>
    <t>Inscrição no Ganepão</t>
  </si>
  <si>
    <t>Análise T4</t>
  </si>
  <si>
    <t>Análise T0 (aumento SL)</t>
  </si>
  <si>
    <t>Produtos em pó</t>
  </si>
  <si>
    <t>Azul Linhas Aereas Brasileiras S.A</t>
  </si>
  <si>
    <t>Aéreo teste Embrapa/RJ - Juliana</t>
  </si>
  <si>
    <t>Trophic 1.5, Trophic Basic, Trophic Fiber, Energyzip 1.0</t>
  </si>
  <si>
    <t>Aéreo teste Embrapa/RJ - Lizianne</t>
  </si>
  <si>
    <t>Restaurante Canaa</t>
  </si>
  <si>
    <t>Alimentação teste Latco (Cruzeiro do Oeste/PR) - Lizianne</t>
  </si>
  <si>
    <t>Cocamar Postos de Combustíveis Ltda</t>
  </si>
  <si>
    <t>Combustível para carro alugado - teste Lacto (Cruzeiro do Oeste/PR)</t>
  </si>
  <si>
    <t>FLP PIZZARIA EIRELI</t>
  </si>
  <si>
    <t>Trophic 1.5, Trophic Basic, Trophic Fiber, Energyzip 1.0, Energyzip chocolate</t>
  </si>
  <si>
    <t>DPR Turismo Ltda</t>
  </si>
  <si>
    <t>Aéreo teste Latco (Cruzeiro do Oeste/PR) - Marianne</t>
  </si>
  <si>
    <t>Aéreo teste Latco (Cruzeiro do Oeste/PR) - Fabiano</t>
  </si>
  <si>
    <t>Análise T12 (Soya e EP), T18 (Peptimax)</t>
  </si>
  <si>
    <t>Studio Madcreative Design Ltda - ME</t>
  </si>
  <si>
    <t>11.115.312/0001-67</t>
  </si>
  <si>
    <t>Desenvolvimento de embalagens</t>
  </si>
  <si>
    <t>Trophic EP, Energyzip morango, Energyzip chocolate</t>
  </si>
  <si>
    <t>Análise de perfil lipídico - T6A (HH, HN e NHcF), T0 (Trophic Soya 1.5)</t>
  </si>
  <si>
    <t>Análise de T6LD e T6A de vit, min e macronutrientes (HH, HN e NHcF)</t>
  </si>
  <si>
    <t>Immax e Bemmax</t>
  </si>
  <si>
    <t>Everton Claudi Graeff</t>
  </si>
  <si>
    <t>RDV teste Embrapa/RJ</t>
  </si>
  <si>
    <t>Análise T0 de vitaminas, minerais e macronutrientes</t>
  </si>
  <si>
    <t>Trophic 1.5, Trophic Basic, Trophic Fiber</t>
  </si>
  <si>
    <t>Trophic 1.5, Trophic Basic, Trophic Fiber, Energyzip 1.0, Energyzip chocolate, Energyzip morango</t>
  </si>
  <si>
    <t>Produtos líquidos</t>
  </si>
  <si>
    <t>Energyzip morango, Energyzip chocolate</t>
  </si>
  <si>
    <t>Trophic Soya 1.5</t>
  </si>
  <si>
    <t>MCI Suisse SA, Rue du Pré-Bouvier 9, 1242 Satigny, Switzerland - ESPEN</t>
  </si>
  <si>
    <t>Inscrição em congresso ESPEN</t>
  </si>
  <si>
    <t>Gol Linhas aéreas</t>
  </si>
  <si>
    <t>Aéreo CWB - SP - CWB</t>
  </si>
  <si>
    <t>Produtos pó, Immax, ProteinPT Whey</t>
  </si>
  <si>
    <t>Ibis</t>
  </si>
  <si>
    <t>Ibis Viena (1 diária)</t>
  </si>
  <si>
    <t>Energyzip chocolate</t>
  </si>
  <si>
    <t>Análise de perfil lipídico - T0</t>
  </si>
  <si>
    <t>Instanth Neo, Trophic Soya 1.5, Sustenlac Baunilha</t>
  </si>
  <si>
    <t>InstanTH NEO e Instanth Clear</t>
  </si>
  <si>
    <t>Análises de Esterilidade comercial - T0</t>
  </si>
  <si>
    <t>Immax e Retort</t>
  </si>
  <si>
    <t>Análise de DP - HN, HH e HNcF</t>
  </si>
  <si>
    <t>Lizianne Angelica Shmeil</t>
  </si>
  <si>
    <t>1a/3 parcela contrato Embrapa FUNARBE de R$30.000,00 (contrato 007/22)</t>
  </si>
  <si>
    <t>Immax, Trophic Basic, Trophic Fiber</t>
  </si>
  <si>
    <t>Hospedagem teste Embrapa/RJ - Lizianne e Juliana) + Aluguel de carro teste Embrapa/RJ</t>
  </si>
  <si>
    <t>Dieta complemento artesanal</t>
  </si>
  <si>
    <t>Energyzip Baunilha</t>
  </si>
  <si>
    <t>Análise de perfil lipídico - T18</t>
  </si>
  <si>
    <t>Fundação de apoio à Pesquisa</t>
  </si>
  <si>
    <t>Apoio à pesquisa clinica</t>
  </si>
  <si>
    <t>Immax lata recravada</t>
  </si>
  <si>
    <t>2a/3 parcela contrato Embrapa FUNARBE de R$30.000,00 (contrato 007/22)</t>
  </si>
  <si>
    <t>Trophic Fiber pó</t>
  </si>
  <si>
    <t>DHL Express (Brazil) Ltda</t>
  </si>
  <si>
    <t>Recebimento de amostra de pouch (Alemanha)</t>
  </si>
  <si>
    <t>Trophic dose única 250mL</t>
  </si>
  <si>
    <t>Immax</t>
  </si>
  <si>
    <t>Análise de vitaminas B1, C e A (HH antes do processo de esterilização)</t>
  </si>
  <si>
    <t>Análise de vitaminas, minerais e macronutrientes para T0 (HH, HN e HNcF)</t>
  </si>
  <si>
    <t>Análise de vitaminas, minerais e macronutrientes para T18</t>
  </si>
  <si>
    <t>Envio de amostra para análise - NHcF T9LD</t>
  </si>
  <si>
    <t>Sachês e Diamax IG</t>
  </si>
  <si>
    <t>Análise de perfil lipídico - T0 (HH, HN e HNcF)</t>
  </si>
  <si>
    <t>Bemmax Sabor Neutro, Instant NEO</t>
  </si>
  <si>
    <t>Desenvolvimento de rotulagem</t>
  </si>
  <si>
    <t>Trophic 1.5 e Trophic EP</t>
  </si>
  <si>
    <t>Produtos pó</t>
  </si>
  <si>
    <t>Análise de vitaminas, minerais e macronutrientes para T12</t>
  </si>
  <si>
    <t>Produtos concorrentes e Trophic Basic pó lata</t>
  </si>
  <si>
    <t>Produto concorrente</t>
  </si>
  <si>
    <t>Instanth Clear, InstanTH NEO e Bemmax Sabor Neutro</t>
  </si>
  <si>
    <t>Análise de microbiologia - T18</t>
  </si>
  <si>
    <t>Peptimax</t>
  </si>
  <si>
    <t>Trophic Basic L, Trophic Fiber L, Trophic 1.5, Energyzip Chocolate</t>
  </si>
  <si>
    <t>ZAY SERVIÇOS DE ANÁLISES QUÍMICAS LTDA</t>
  </si>
  <si>
    <t>Serviço terceirizado de condução de estudo de estabilidade</t>
  </si>
  <si>
    <t>2021/24</t>
  </si>
  <si>
    <t>HDmax e Instant Neo</t>
  </si>
  <si>
    <t>Tetra Pak Ltda</t>
  </si>
  <si>
    <t>Aluguel de planta para teste piloto</t>
  </si>
  <si>
    <t>Análise de macronutrientes para T18</t>
  </si>
  <si>
    <t>Produtos concorrentes</t>
  </si>
  <si>
    <t>Análise de perfil lipídico - T9 NHcF</t>
  </si>
  <si>
    <t>Hdmax</t>
  </si>
  <si>
    <t>Aluguel de espaço em câmara climática, para estudo acelerado das dietas retort HH, HN e HNcF V04 e V05</t>
  </si>
  <si>
    <t>HDMaX 2.0, Energyzip Sênior, Trophic Fiber, Trophic EP e Trophic Soya</t>
  </si>
  <si>
    <t>3a/3 parcela contrato Embrapa FUNARBE de R$30.000,00 (contrato 007/22)</t>
  </si>
  <si>
    <t>Análise de macronutrientes, Vitamina E, B1, B2, B5, Biotina, Selênio, Molibdênio e Cromo (T9LD NHcF)</t>
  </si>
  <si>
    <t>Bemmax</t>
  </si>
  <si>
    <t>CarboCH e Cicatrização</t>
  </si>
  <si>
    <t>Análise de Vitaminas e Minerais, para T9LD do retort NHcF e Vitaminas, Minerais e Macronutrientes para T0 do Energyzip 25%</t>
  </si>
  <si>
    <t>Análise de macronutrientes para T12</t>
  </si>
  <si>
    <t>Immax, ProteinPT e CarboCH</t>
  </si>
  <si>
    <t>Hospedagem teste Embrapa/RJ - Everton</t>
  </si>
  <si>
    <t>Retort (Sistema Fechado) e Energyzip morango</t>
  </si>
  <si>
    <t>Hospedagem teste Embrapa/RJ - Lizianne e Luciana</t>
  </si>
  <si>
    <t>Trophic Junior 1.0 e 1.5</t>
  </si>
  <si>
    <t>Serviço próprio</t>
  </si>
  <si>
    <t>Análise de perfil lipídico - T0 (acompanhamento)</t>
  </si>
  <si>
    <t>Bemmax sabor neutro e Immax</t>
  </si>
  <si>
    <t>Trophic EP e HDmax</t>
  </si>
  <si>
    <t>Análise de novas MP's</t>
  </si>
  <si>
    <t>Concorrentes espessante</t>
  </si>
  <si>
    <t>Energyzip baunilha, Energyzip 1.0</t>
  </si>
  <si>
    <t>Localiza Rent a Car S/A</t>
  </si>
  <si>
    <t>Aluguel de carro teste Embrapa/RJ (set 2022)</t>
  </si>
  <si>
    <t>Trophic Basic, Trophic Fiber, Trophic 1.5 e Energyzip Chocolate</t>
  </si>
  <si>
    <t>Análise de DP - UTI, Diamax RTH e Trophic Soya RTH</t>
  </si>
  <si>
    <t>Bemmax Sabor Neutro, InstanTH NEO, HDmax e Energyzip Morango</t>
  </si>
  <si>
    <t>Análise de vitaminas e minerais - T18</t>
  </si>
  <si>
    <t>Retort (Sistema Fechado) e Immax</t>
  </si>
  <si>
    <t>Análise de vitaminas e minerais - T0</t>
  </si>
  <si>
    <t>Spectral Service AG</t>
  </si>
  <si>
    <t>Análise de fosfolipídios - T12</t>
  </si>
  <si>
    <t>Análise de vitaminas e minerais (Immax - T24) e vitaminas, minerais, macronutrientes e perfil de açúcar (Diamax IN - T0)</t>
  </si>
  <si>
    <t>Eneryzip Force + (Sênior)</t>
  </si>
  <si>
    <t>InstanTH NEO, Trophioc Soya 1.5, HDmax 2.0</t>
  </si>
  <si>
    <t>Análise de microbiologia - T0 (Diamax RTH, Trophic Soya RTH, UTI)</t>
  </si>
  <si>
    <t>Análise de vitaminas, minerais e macronutrientes (Trophic Fiber pó -  T18LD / Instanth Neo - T12)</t>
  </si>
  <si>
    <t>Bemmax sabor neutro, Enterfiber e Immax</t>
  </si>
  <si>
    <t>Análise de perfil lipídico - T24</t>
  </si>
  <si>
    <t>Ativo</t>
  </si>
  <si>
    <t>Todos os produtos líquidos</t>
  </si>
  <si>
    <t>Peptimax Trophic 1.5, Trophic EP, Trophic Fiber líq, Energizyp morango, Energyzip chocolate e Energyzip 1.0</t>
  </si>
  <si>
    <t>Energyzip Fiber e Diamax IG</t>
  </si>
  <si>
    <t>Análise de vitaminas, minerais, macronutrientes e perfil de açúcares - T0 (Diamax IG RTH, Trophic Soya RTH e UTI)</t>
  </si>
  <si>
    <t>Trophic Soya, Trophic EP e Trophic Fiber pó</t>
  </si>
  <si>
    <t>InstanTH NEO, Bemmax Sabor Neutro e módulos</t>
  </si>
  <si>
    <t>Editora Grafica Everest Ltda</t>
  </si>
  <si>
    <t>Impressão de pesquisas clínicas em material compilado para divulgação profissional</t>
  </si>
  <si>
    <t>Hdmax 2.0</t>
  </si>
  <si>
    <t>InstanTH NEO, Bemmax Sabor Neutro, Instanth Clear e módulos</t>
  </si>
  <si>
    <t>LDS serviços de tradução LTDA</t>
  </si>
  <si>
    <t>Tradução de resumos de estudos de casos para congressos</t>
  </si>
  <si>
    <t>Trophic EP, Trophic Soya e Trophic Fiber pó</t>
  </si>
  <si>
    <t>Produtos Turquia e HDmax</t>
  </si>
  <si>
    <t>Bemmax Sabor Neutro, Instant NEO e produtos pó</t>
  </si>
  <si>
    <t>Reanálise vit C</t>
  </si>
  <si>
    <t>Retort (Sistema Fechado) e Produtos Turquia</t>
  </si>
  <si>
    <t>Aluguel de espaço em câmara climática, para estudo acelerado das dietas retort HH, HN e HNcF V04 e V05 + sachê a vácuo</t>
  </si>
  <si>
    <t>Recebimento de amostra de equipos coreanos</t>
  </si>
  <si>
    <t>Concorrente</t>
  </si>
  <si>
    <t>Análise de T12 para estudo de vitaminas sensíveis</t>
  </si>
  <si>
    <t>Immax, Bemmax, Trophic Junior, Carboch, Trophic Soya, Trophic Fiber L,Trophic Basic L, Energizyp Baunilha e Morango, Diamax e Hdmax</t>
  </si>
  <si>
    <t>Trophic Basic e Energyzip 1.0</t>
  </si>
  <si>
    <t>MCI Suisse S/A</t>
  </si>
  <si>
    <t>Bemmax Sabor Neutro, Enterfiber e Energyzip 1.0</t>
  </si>
  <si>
    <t>Fleury S/A</t>
  </si>
  <si>
    <t>Exames estudo de caso</t>
  </si>
  <si>
    <t>Trophic Fiber, HDmax</t>
  </si>
  <si>
    <t>Draft Grupo de de comunicación Healthcare S/A</t>
  </si>
  <si>
    <t>Banner tema livre</t>
  </si>
  <si>
    <t>HDmax 2.0 e Energyzip 1.0</t>
  </si>
  <si>
    <t>KLM – Cia. Real Holandesa de Aviação</t>
  </si>
  <si>
    <t>aéreo ESPEN</t>
  </si>
  <si>
    <t>Trophic Fiber, Trophic Basic e Trophic 1.5T3A, Carboch e ProteinPT T6A</t>
  </si>
  <si>
    <t>Brasil Sul Servicos Administrativos LTDA</t>
  </si>
  <si>
    <t>anuidade patente Neo</t>
  </si>
  <si>
    <t>Inscrição ESPEN para pesquisadora HDmax</t>
  </si>
  <si>
    <t>Bemmax Sabor Neutro e Immax</t>
  </si>
  <si>
    <t>BRASPEN</t>
  </si>
  <si>
    <t>Inscrição em curso Pré-congresso BRASPEN</t>
  </si>
  <si>
    <t>Gol Linhas Aéreas</t>
  </si>
  <si>
    <t>Aquisição de passagens para Congresso da BRASPEN</t>
  </si>
  <si>
    <t>RDV</t>
  </si>
  <si>
    <t>Despesas congresso ESPEN</t>
  </si>
  <si>
    <t>Energyzip Chocolate, HDmax</t>
  </si>
  <si>
    <t>ALLEGIS CONSULT. EM TREINAMENTO E ASSUNTOS REGULAT. LTDA</t>
  </si>
  <si>
    <t>Treinamento em rotulagem de alimentos</t>
  </si>
  <si>
    <t>Medtrition</t>
  </si>
  <si>
    <t>Amostras Medtrition - projeto licenciamento</t>
  </si>
  <si>
    <t>Energyzip Baunilha e HDmax 2.0</t>
  </si>
  <si>
    <t>RDV congresso BRASPEN</t>
  </si>
  <si>
    <t>Análise de Vitamina B1 no pré-mix</t>
  </si>
  <si>
    <t>Carboch e Trophic Basic L</t>
  </si>
  <si>
    <t>Reanálise de Vitamina A, cálcio,  fósforo e gorduras totais para T0 do retort UTI. Cálcio, fósforo e Vitamina A para T0 do Trophic Soya RTH</t>
  </si>
  <si>
    <t>Peptimax e Immax latas recravadas</t>
  </si>
  <si>
    <t>Análise de DP</t>
  </si>
  <si>
    <t>Análise de micronutrientes - T18LD</t>
  </si>
  <si>
    <t>Análise de perfil lipídico - T18LD</t>
  </si>
  <si>
    <t>Análise de perfil lipídico - T18LD (com BHA e sem BHA)</t>
  </si>
  <si>
    <t>Trophic Basic L</t>
  </si>
  <si>
    <t>Análise de PL T12LD Instanth Neo e T18LD Trophic Fiber pó</t>
  </si>
  <si>
    <t>Análise de perfil lipídico - T12LD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</si>
</sst>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, &quot;mmmm&quot; de &quot;yyyy"/>
    <numFmt numFmtId="165" formatCode="_-* #,##0.00_-;\-* #,##0.00_-;_-* &quot;-&quot;??_-;_-@"/>
    <numFmt numFmtId="166" formatCode="#,##0.00;(#,##0.00)"/>
    <numFmt numFmtId="167" formatCode="dd/MM/yyyy"/>
    <numFmt numFmtId="168" formatCode="[$R$ -416]#,##0.00"/>
    <numFmt numFmtId="169" formatCode="0.0000%"/>
    <numFmt numFmtId="170" formatCode="dd/mm/yyyy"/>
    <numFmt numFmtId="171" formatCode="dd&quot;, &quot;mmmyyyy"/>
  </numFmts>
  <fonts count="37">
    <font>
      <sz val="10.0"/>
      <color rgb="FF000000"/>
      <name val="Arial"/>
      <scheme val="minor"/>
    </font>
    <font>
      <b/>
      <sz val="10.0"/>
      <color rgb="FF000000"/>
      <name val="Cairo"/>
    </font>
    <font>
      <sz val="10.0"/>
      <color rgb="FF000000"/>
      <name val="Cairo"/>
    </font>
    <font>
      <sz val="20.0"/>
      <color rgb="FF000000"/>
      <name val="Cairo"/>
    </font>
    <font>
      <sz val="11.0"/>
      <color rgb="FF000000"/>
      <name val="Cairo"/>
    </font>
    <font>
      <b/>
      <sz val="11.0"/>
      <color rgb="FF000000"/>
      <name val="Cairo"/>
    </font>
    <font>
      <sz val="8.0"/>
      <color rgb="FF000000"/>
      <name val="Cairo"/>
    </font>
    <font>
      <i/>
      <sz val="10.0"/>
      <color rgb="FF000000"/>
      <name val="Cairo"/>
    </font>
    <font>
      <b/>
      <sz val="10.0"/>
      <color rgb="FFFFFFFF"/>
      <name val="Cairo"/>
    </font>
    <font>
      <i/>
      <sz val="10.0"/>
      <color rgb="FF496C60"/>
      <name val="Cairo"/>
    </font>
    <font>
      <sz val="10.0"/>
      <color rgb="FFFF0000"/>
      <name val="Cairo"/>
    </font>
    <font>
      <u/>
      <sz val="10.0"/>
      <color rgb="FF000000"/>
      <name val="Cairo"/>
    </font>
    <font>
      <color theme="1"/>
      <name val="Cairo"/>
    </font>
    <font>
      <b/>
      <sz val="12.0"/>
      <color rgb="FF000000"/>
      <name val="Cairo"/>
    </font>
    <font>
      <sz val="10.0"/>
      <color theme="1"/>
      <name val="Cairo"/>
    </font>
    <font>
      <b/>
      <sz val="14.0"/>
      <color theme="1"/>
      <name val="Cairo"/>
    </font>
    <font>
      <b/>
      <sz val="10.0"/>
      <color theme="1"/>
      <name val="Cairo"/>
    </font>
    <font>
      <sz val="10.0"/>
      <color theme="1"/>
      <name val="Source Sans Pro"/>
    </font>
    <font>
      <sz val="10.0"/>
      <color rgb="FFFFFFFF"/>
      <name val="Cairo"/>
    </font>
    <font>
      <b/>
      <color theme="1"/>
      <name val="Cairo"/>
    </font>
    <font>
      <color theme="1"/>
      <name val="Arial"/>
    </font>
    <font>
      <i/>
      <sz val="8.0"/>
      <color theme="1"/>
      <name val="Cairo"/>
    </font>
    <font>
      <b/>
      <color rgb="FFFFFFFF"/>
      <name val="Cairo"/>
    </font>
    <font>
      <b/>
      <color rgb="FFFF0000"/>
      <name val="Cairo"/>
    </font>
    <font/>
    <font>
      <sz val="11.0"/>
      <color theme="1"/>
      <name val="Cairo"/>
    </font>
    <font>
      <b/>
      <color rgb="FF000000"/>
      <name val="Cairo"/>
    </font>
    <font>
      <color rgb="FF000000"/>
      <name val="Cairo"/>
    </font>
    <font>
      <sz val="10.0"/>
      <color rgb="FFCC0000"/>
      <name val="Cairo"/>
    </font>
    <font>
      <sz val="8.0"/>
      <color rgb="FF666666"/>
      <name val="Cairo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Montserrat"/>
    </font>
    <font>
      <b/>
      <sz val="9.0"/>
      <color rgb="FFFFFFFF"/>
      <name val="Cairo"/>
    </font>
    <font>
      <b/>
      <sz val="10.0"/>
      <color rgb="FF666666"/>
      <name val="Cairo"/>
    </font>
    <font>
      <sz val="9.0"/>
      <color rgb="FF000000"/>
      <name val="Cairo"/>
    </font>
    <font>
      <sz val="8.0"/>
      <color rgb="FF666666"/>
      <name val="&quot;Source Sans Pro&quot;"/>
    </font>
  </fonts>
  <fills count="18">
    <fill>
      <patternFill patternType="none"/>
    </fill>
    <fill>
      <patternFill patternType="lightGray"/>
    </fill>
    <fill>
      <patternFill patternType="solid">
        <fgColor rgb="FF496C60"/>
        <bgColor rgb="FF496C60"/>
      </patternFill>
    </fill>
    <fill>
      <patternFill patternType="solid">
        <fgColor rgb="FF8B8D8E"/>
        <bgColor rgb="FF8B8D8E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1F1F2"/>
        <bgColor rgb="FFF1F1F2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31">
    <border/>
    <border>
      <top style="dotted">
        <color rgb="FF8B8D8E"/>
      </top>
    </border>
    <border>
      <bottom style="dotted">
        <color rgb="FF8B8D8E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top style="thin">
        <color rgb="FF434343"/>
      </top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666666"/>
      </top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right" readingOrder="0" vertical="center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0" fontId="6" numFmtId="164" xfId="0" applyAlignment="1" applyFont="1" applyNumberFormat="1">
      <alignment horizontal="right" readingOrder="0" vertical="top"/>
    </xf>
    <xf borderId="2" fillId="0" fontId="7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3" fillId="3" fontId="8" numFmtId="0" xfId="0" applyAlignment="1" applyBorder="1" applyFill="1" applyFont="1">
      <alignment vertical="center"/>
    </xf>
    <xf borderId="3" fillId="3" fontId="8" numFmtId="0" xfId="0" applyAlignment="1" applyBorder="1" applyFont="1">
      <alignment horizontal="center" readingOrder="0" vertical="center"/>
    </xf>
    <xf borderId="3" fillId="3" fontId="8" numFmtId="0" xfId="0" applyAlignment="1" applyBorder="1" applyFont="1">
      <alignment horizontal="left" readingOrder="0" vertical="center"/>
    </xf>
    <xf borderId="0" fillId="3" fontId="8" numFmtId="0" xfId="0" applyAlignment="1" applyFont="1">
      <alignment horizontal="left" readingOrder="0" vertical="center"/>
    </xf>
    <xf borderId="0" fillId="0" fontId="2" numFmtId="165" xfId="0" applyAlignment="1" applyFont="1" applyNumberForma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4" fillId="2" fontId="8" numFmtId="0" xfId="0" applyAlignment="1" applyBorder="1" applyFont="1">
      <alignment readingOrder="0" vertical="center"/>
    </xf>
    <xf borderId="4" fillId="2" fontId="8" numFmtId="165" xfId="0" applyAlignment="1" applyBorder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4" fontId="7" numFmtId="0" xfId="0" applyAlignment="1" applyFill="1" applyFont="1">
      <alignment vertical="center"/>
    </xf>
    <xf borderId="0" fillId="4" fontId="7" numFmtId="9" xfId="0" applyAlignment="1" applyFont="1" applyNumberFormat="1">
      <alignment readingOrder="0" vertical="center"/>
    </xf>
    <xf borderId="0" fillId="4" fontId="2" numFmtId="0" xfId="0" applyAlignment="1" applyFont="1">
      <alignment vertical="center"/>
    </xf>
    <xf quotePrefix="1" borderId="0" fillId="5" fontId="2" numFmtId="0" xfId="0" applyAlignment="1" applyFill="1" applyFont="1">
      <alignment horizontal="center" readingOrder="0" vertical="center"/>
    </xf>
    <xf quotePrefix="1" borderId="0" fillId="6" fontId="2" numFmtId="0" xfId="0" applyAlignment="1" applyFill="1" applyFont="1">
      <alignment horizontal="center" readingOrder="0" vertical="center"/>
    </xf>
    <xf quotePrefix="1" borderId="0" fillId="7" fontId="2" numFmtId="0" xfId="0" applyAlignment="1" applyFill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0" fillId="5" fontId="6" numFmtId="0" xfId="0" applyAlignment="1" applyFont="1">
      <alignment horizontal="center" readingOrder="0" shrinkToFit="0" vertical="top" wrapText="1"/>
    </xf>
    <xf borderId="0" fillId="6" fontId="6" numFmtId="0" xfId="0" applyAlignment="1" applyFont="1">
      <alignment horizontal="center" readingOrder="0" shrinkToFit="0" vertical="top" wrapText="1"/>
    </xf>
    <xf borderId="0" fillId="7" fontId="6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readingOrder="0" vertical="center"/>
    </xf>
    <xf borderId="4" fillId="2" fontId="8" numFmtId="0" xfId="0" applyAlignment="1" applyBorder="1" applyFont="1">
      <alignment vertical="center"/>
    </xf>
    <xf borderId="0" fillId="0" fontId="2" numFmtId="4" xfId="0" applyAlignment="1" applyFont="1" applyNumberForma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166" xfId="0" applyAlignment="1" applyFont="1" applyNumberFormat="1">
      <alignment vertical="center"/>
    </xf>
    <xf borderId="0" fillId="0" fontId="12" numFmtId="0" xfId="0" applyFont="1"/>
    <xf borderId="0" fillId="3" fontId="8" numFmtId="0" xfId="0" applyAlignment="1" applyFont="1">
      <alignment readingOrder="0" vertical="center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horizontal="right" vertical="center"/>
    </xf>
    <xf quotePrefix="1"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2" numFmtId="0" xfId="0" applyFont="1"/>
    <xf borderId="0" fillId="5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49" xfId="0" applyAlignment="1" applyFont="1" applyNumberFormat="1">
      <alignment readingOrder="0" vertical="center"/>
    </xf>
    <xf borderId="4" fillId="2" fontId="8" numFmtId="165" xfId="0" applyAlignment="1" applyBorder="1" applyFont="1" applyNumberFormat="1">
      <alignment readingOrder="0" vertical="center"/>
    </xf>
    <xf borderId="4" fillId="2" fontId="8" numFmtId="0" xfId="0" applyAlignment="1" applyBorder="1" applyFont="1">
      <alignment horizontal="center" vertical="center"/>
    </xf>
    <xf borderId="0" fillId="2" fontId="8" numFmtId="165" xfId="0" applyAlignment="1" applyFont="1" applyNumberFormat="1">
      <alignment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17" numFmtId="0" xfId="0" applyAlignment="1" applyFont="1">
      <alignment readingOrder="0" vertical="center"/>
    </xf>
    <xf borderId="0" fillId="2" fontId="17" numFmtId="0" xfId="0" applyAlignment="1" applyFont="1">
      <alignment readingOrder="0" vertical="center"/>
    </xf>
    <xf borderId="0" fillId="0" fontId="14" numFmtId="167" xfId="0" applyAlignment="1" applyFont="1" applyNumberFormat="1">
      <alignment horizontal="right" vertical="center"/>
    </xf>
    <xf borderId="0" fillId="0" fontId="14" numFmtId="46" xfId="0" applyAlignment="1" applyFont="1" applyNumberFormat="1">
      <alignment horizontal="center" vertical="center"/>
    </xf>
    <xf borderId="0" fillId="0" fontId="14" numFmtId="46" xfId="0" applyAlignment="1" applyFont="1" applyNumberFormat="1">
      <alignment vertical="center"/>
    </xf>
    <xf borderId="0" fillId="0" fontId="14" numFmtId="167" xfId="0" applyAlignment="1" applyFont="1" applyNumberFormat="1">
      <alignment horizontal="center" vertical="center"/>
    </xf>
    <xf borderId="0" fillId="0" fontId="14" numFmtId="168" xfId="0" applyAlignment="1" applyFont="1" applyNumberFormat="1">
      <alignment vertical="center"/>
    </xf>
    <xf borderId="0" fillId="5" fontId="2" numFmtId="0" xfId="0" applyAlignment="1" applyFont="1">
      <alignment horizontal="right" readingOrder="0" vertical="center"/>
    </xf>
    <xf borderId="0" fillId="0" fontId="14" numFmtId="168" xfId="0" applyAlignment="1" applyFont="1" applyNumberFormat="1">
      <alignment readingOrder="0" vertical="center"/>
    </xf>
    <xf borderId="0" fillId="5" fontId="1" numFmtId="0" xfId="0" applyAlignment="1" applyFont="1">
      <alignment horizontal="right" readingOrder="0" vertical="center"/>
    </xf>
    <xf borderId="0" fillId="0" fontId="16" numFmtId="168" xfId="0" applyAlignment="1" applyFont="1" applyNumberFormat="1">
      <alignment vertical="center"/>
    </xf>
    <xf borderId="0" fillId="0" fontId="16" numFmtId="0" xfId="0" applyAlignment="1" applyFont="1">
      <alignment vertical="center"/>
    </xf>
    <xf borderId="0" fillId="2" fontId="8" numFmtId="167" xfId="0" applyAlignment="1" applyFont="1" applyNumberForma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0" fillId="2" fontId="8" numFmtId="46" xfId="0" applyAlignment="1" applyFont="1" applyNumberFormat="1">
      <alignment readingOrder="0" vertical="center"/>
    </xf>
    <xf borderId="0" fillId="7" fontId="18" numFmtId="0" xfId="0" applyAlignment="1" applyFont="1">
      <alignment horizontal="right" readingOrder="0" vertical="center"/>
    </xf>
    <xf borderId="0" fillId="0" fontId="14" numFmtId="0" xfId="0" applyAlignment="1" applyFont="1">
      <alignment horizontal="left" readingOrder="0" vertical="center"/>
    </xf>
    <xf borderId="0" fillId="0" fontId="14" numFmtId="46" xfId="0" applyAlignment="1" applyFont="1" applyNumberFormat="1">
      <alignment horizontal="center" readingOrder="0" vertical="center"/>
    </xf>
    <xf borderId="0" fillId="0" fontId="14" numFmtId="167" xfId="0" applyAlignment="1" applyFont="1" applyNumberFormat="1">
      <alignment horizontal="center" readingOrder="0" vertical="center"/>
    </xf>
    <xf borderId="0" fillId="0" fontId="14" numFmtId="4" xfId="0" applyAlignment="1" applyFont="1" applyNumberFormat="1">
      <alignment readingOrder="0" vertical="center"/>
    </xf>
    <xf borderId="0" fillId="0" fontId="19" numFmtId="0" xfId="0" applyFont="1"/>
    <xf borderId="0" fillId="0" fontId="20" numFmtId="0" xfId="0" applyFont="1"/>
    <xf borderId="0" fillId="0" fontId="21" numFmtId="0" xfId="0" applyAlignment="1" applyFont="1">
      <alignment horizontal="right"/>
    </xf>
    <xf borderId="0" fillId="0" fontId="14" numFmtId="4" xfId="0" applyAlignment="1" applyFont="1" applyNumberFormat="1">
      <alignment vertical="center"/>
    </xf>
    <xf borderId="0" fillId="2" fontId="22" numFmtId="0" xfId="0" applyFont="1"/>
    <xf borderId="0" fillId="2" fontId="22" numFmtId="0" xfId="0" applyAlignment="1" applyFont="1">
      <alignment readingOrder="0"/>
    </xf>
    <xf borderId="0" fillId="2" fontId="22" numFmtId="0" xfId="0" applyAlignment="1" applyFont="1">
      <alignment horizontal="right"/>
    </xf>
    <xf borderId="0" fillId="7" fontId="18" numFmtId="0" xfId="0" applyAlignment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168" xfId="0" applyAlignment="1" applyFont="1" applyNumberFormat="1">
      <alignment horizontal="right" readingOrder="0"/>
    </xf>
    <xf borderId="0" fillId="0" fontId="12" numFmtId="46" xfId="0" applyAlignment="1" applyFont="1" applyNumberFormat="1">
      <alignment horizontal="right"/>
    </xf>
    <xf borderId="0" fillId="0" fontId="12" numFmtId="10" xfId="0" applyAlignment="1" applyFont="1" applyNumberFormat="1">
      <alignment horizontal="right"/>
    </xf>
    <xf borderId="0" fillId="0" fontId="12" numFmtId="0" xfId="0" applyAlignment="1" applyFont="1">
      <alignment horizontal="right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5" fillId="0" fontId="23" numFmtId="0" xfId="0" applyAlignment="1" applyBorder="1" applyFont="1">
      <alignment horizontal="center" vertical="bottom"/>
    </xf>
    <xf borderId="6" fillId="0" fontId="24" numFmtId="0" xfId="0" applyBorder="1" applyFont="1"/>
    <xf borderId="7" fillId="0" fontId="24" numFmtId="0" xfId="0" applyBorder="1" applyFont="1"/>
    <xf borderId="0" fillId="0" fontId="25" numFmtId="0" xfId="0" applyAlignment="1" applyFont="1">
      <alignment vertical="bottom"/>
    </xf>
    <xf borderId="8" fillId="0" fontId="25" numFmtId="0" xfId="0" applyAlignment="1" applyBorder="1" applyFont="1">
      <alignment vertical="bottom"/>
    </xf>
    <xf borderId="9" fillId="0" fontId="23" numFmtId="0" xfId="0" applyAlignment="1" applyBorder="1" applyFont="1">
      <alignment horizontal="center" vertical="center"/>
    </xf>
    <xf borderId="10" fillId="8" fontId="26" numFmtId="0" xfId="0" applyAlignment="1" applyBorder="1" applyFill="1" applyFont="1">
      <alignment vertical="bottom"/>
    </xf>
    <xf borderId="7" fillId="0" fontId="27" numFmtId="10" xfId="0" applyAlignment="1" applyBorder="1" applyFont="1" applyNumberFormat="1">
      <alignment horizontal="right" readingOrder="0" vertical="bottom"/>
    </xf>
    <xf borderId="0" fillId="0" fontId="14" numFmtId="166" xfId="0" applyAlignment="1" applyFont="1" applyNumberFormat="1">
      <alignment vertical="center"/>
    </xf>
    <xf borderId="11" fillId="8" fontId="26" numFmtId="0" xfId="0" applyAlignment="1" applyBorder="1" applyFont="1">
      <alignment horizontal="right" vertical="bottom"/>
    </xf>
    <xf borderId="12" fillId="8" fontId="26" numFmtId="0" xfId="0" applyAlignment="1" applyBorder="1" applyFont="1">
      <alignment horizontal="right" vertical="bottom"/>
    </xf>
    <xf borderId="13" fillId="8" fontId="26" numFmtId="0" xfId="0" applyAlignment="1" applyBorder="1" applyFont="1">
      <alignment horizontal="right" vertical="bottom"/>
    </xf>
    <xf borderId="0" fillId="0" fontId="25" numFmtId="9" xfId="0" applyAlignment="1" applyFont="1" applyNumberFormat="1">
      <alignment readingOrder="0" vertical="bottom"/>
    </xf>
    <xf borderId="14" fillId="0" fontId="24" numFmtId="0" xfId="0" applyBorder="1" applyFont="1"/>
    <xf borderId="12" fillId="8" fontId="26" numFmtId="0" xfId="0" applyAlignment="1" applyBorder="1" applyFont="1">
      <alignment vertical="bottom"/>
    </xf>
    <xf borderId="13" fillId="0" fontId="27" numFmtId="10" xfId="0" applyAlignment="1" applyBorder="1" applyFont="1" applyNumberFormat="1">
      <alignment horizontal="right" readingOrder="0" vertical="bottom"/>
    </xf>
    <xf borderId="0" fillId="0" fontId="27" numFmtId="169" xfId="0" applyAlignment="1" applyFont="1" applyNumberFormat="1">
      <alignment horizontal="right" vertical="bottom"/>
    </xf>
    <xf borderId="0" fillId="0" fontId="27" numFmtId="169" xfId="0" applyAlignment="1" applyFont="1" applyNumberFormat="1">
      <alignment horizontal="right" readingOrder="0" vertical="bottom"/>
    </xf>
    <xf borderId="15" fillId="0" fontId="27" numFmtId="169" xfId="0" applyAlignment="1" applyBorder="1" applyFont="1" applyNumberFormat="1">
      <alignment horizontal="right" vertical="bottom"/>
    </xf>
    <xf borderId="15" fillId="0" fontId="26" numFmtId="169" xfId="0" applyAlignment="1" applyBorder="1" applyFont="1" applyNumberFormat="1">
      <alignment horizontal="right" vertical="bottom"/>
    </xf>
    <xf borderId="12" fillId="0" fontId="24" numFmtId="0" xfId="0" applyBorder="1" applyFont="1"/>
    <xf borderId="0" fillId="0" fontId="26" numFmtId="169" xfId="0" applyAlignment="1" applyFont="1" applyNumberFormat="1">
      <alignment horizontal="right" vertical="bottom"/>
    </xf>
    <xf borderId="0" fillId="0" fontId="23" numFmtId="0" xfId="0" applyAlignment="1" applyFont="1">
      <alignment horizontal="center" vertical="center"/>
    </xf>
    <xf borderId="0" fillId="9" fontId="26" numFmtId="0" xfId="0" applyAlignment="1" applyFill="1" applyFont="1">
      <alignment vertical="bottom"/>
    </xf>
    <xf borderId="0" fillId="0" fontId="27" numFmtId="10" xfId="0" applyAlignment="1" applyFont="1" applyNumberFormat="1">
      <alignment horizontal="right" vertical="bottom"/>
    </xf>
    <xf borderId="0" fillId="0" fontId="28" numFmtId="166" xfId="0" applyAlignment="1" applyFont="1" applyNumberFormat="1">
      <alignment vertical="center"/>
    </xf>
    <xf borderId="0" fillId="2" fontId="8" numFmtId="170" xfId="0" applyAlignment="1" applyFont="1" applyNumberFormat="1">
      <alignment horizontal="right" readingOrder="0" vertical="center"/>
    </xf>
    <xf borderId="0" fillId="0" fontId="18" numFmtId="0" xfId="0" applyAlignment="1" applyFont="1">
      <alignment horizontal="center" readingOrder="0" vertical="center"/>
    </xf>
    <xf borderId="0" fillId="4" fontId="12" numFmtId="0" xfId="0" applyFont="1"/>
    <xf borderId="0" fillId="4" fontId="14" numFmtId="0" xfId="0" applyAlignment="1" applyFont="1">
      <alignment vertical="center"/>
    </xf>
    <xf borderId="0" fillId="4" fontId="14" numFmtId="168" xfId="0" applyAlignment="1" applyFont="1" applyNumberFormat="1">
      <alignment vertical="center"/>
    </xf>
    <xf borderId="0" fillId="0" fontId="14" numFmtId="14" xfId="0" applyAlignment="1" applyFont="1" applyNumberFormat="1">
      <alignment vertical="center"/>
    </xf>
    <xf borderId="0" fillId="9" fontId="29" numFmtId="171" xfId="0" applyAlignment="1" applyFont="1" applyNumberFormat="1">
      <alignment horizontal="left" readingOrder="0"/>
    </xf>
    <xf borderId="0" fillId="9" fontId="29" numFmtId="0" xfId="0" applyAlignment="1" applyFont="1">
      <alignment horizontal="left" readingOrder="0"/>
    </xf>
    <xf borderId="0" fillId="10" fontId="29" numFmtId="171" xfId="0" applyAlignment="1" applyFill="1" applyFont="1" applyNumberFormat="1">
      <alignment horizontal="left" readingOrder="0"/>
    </xf>
    <xf borderId="0" fillId="10" fontId="29" numFmtId="0" xfId="0" applyAlignment="1" applyFont="1">
      <alignment horizontal="left" readingOrder="0"/>
    </xf>
    <xf borderId="0" fillId="11" fontId="29" numFmtId="171" xfId="0" applyAlignment="1" applyFill="1" applyFont="1" applyNumberFormat="1">
      <alignment horizontal="left" readingOrder="0"/>
    </xf>
    <xf borderId="0" fillId="11" fontId="29" numFmtId="0" xfId="0" applyAlignment="1" applyFont="1">
      <alignment horizontal="left" readingOrder="0"/>
    </xf>
    <xf borderId="0" fillId="0" fontId="30" numFmtId="0" xfId="0" applyAlignment="1" applyFont="1">
      <alignment readingOrder="0"/>
    </xf>
    <xf borderId="0" fillId="0" fontId="30" numFmtId="166" xfId="0" applyFont="1" applyNumberFormat="1"/>
    <xf borderId="0" fillId="0" fontId="30" numFmtId="166" xfId="0" applyAlignment="1" applyFont="1" applyNumberFormat="1">
      <alignment vertical="center"/>
    </xf>
    <xf borderId="0" fillId="0" fontId="30" numFmtId="0" xfId="0" applyAlignment="1" applyFont="1">
      <alignment horizontal="center" readingOrder="0"/>
    </xf>
    <xf borderId="0" fillId="0" fontId="30" numFmtId="166" xfId="0" applyAlignment="1" applyFont="1" applyNumberFormat="1">
      <alignment horizontal="right" readingOrder="0"/>
    </xf>
    <xf borderId="0" fillId="0" fontId="30" numFmtId="0" xfId="0" applyAlignment="1" applyFont="1">
      <alignment horizontal="right"/>
    </xf>
    <xf borderId="0" fillId="12" fontId="31" numFmtId="0" xfId="0" applyFill="1" applyFont="1"/>
    <xf borderId="0" fillId="12" fontId="31" numFmtId="0" xfId="0" applyAlignment="1" applyFont="1">
      <alignment readingOrder="0"/>
    </xf>
    <xf borderId="0" fillId="12" fontId="31" numFmtId="166" xfId="0" applyFont="1" applyNumberFormat="1"/>
    <xf borderId="0" fillId="12" fontId="31" numFmtId="0" xfId="0" applyAlignment="1" applyFont="1">
      <alignment readingOrder="0" shrinkToFit="0" wrapText="0"/>
    </xf>
    <xf borderId="0" fillId="13" fontId="31" numFmtId="0" xfId="0" applyFill="1" applyFont="1"/>
    <xf borderId="0" fillId="13" fontId="31" numFmtId="0" xfId="0" applyAlignment="1" applyFont="1">
      <alignment readingOrder="0"/>
    </xf>
    <xf borderId="0" fillId="13" fontId="31" numFmtId="166" xfId="0" applyFont="1" applyNumberFormat="1"/>
    <xf borderId="0" fillId="13" fontId="31" numFmtId="0" xfId="0" applyAlignment="1" applyFont="1">
      <alignment readingOrder="0" shrinkToFit="0" wrapText="0"/>
    </xf>
    <xf borderId="0" fillId="14" fontId="31" numFmtId="0" xfId="0" applyFill="1" applyFont="1"/>
    <xf borderId="0" fillId="14" fontId="31" numFmtId="0" xfId="0" applyAlignment="1" applyFont="1">
      <alignment readingOrder="0"/>
    </xf>
    <xf borderId="0" fillId="14" fontId="31" numFmtId="166" xfId="0" applyFont="1" applyNumberFormat="1"/>
    <xf borderId="0" fillId="14" fontId="31" numFmtId="0" xfId="0" applyAlignment="1" applyFont="1">
      <alignment readingOrder="0" shrinkToFit="0" wrapText="0"/>
    </xf>
    <xf borderId="0" fillId="0" fontId="31" numFmtId="0" xfId="0" applyFont="1"/>
    <xf borderId="0" fillId="0" fontId="31" numFmtId="0" xfId="0" applyAlignment="1" applyFont="1">
      <alignment readingOrder="0"/>
    </xf>
    <xf borderId="0" fillId="0" fontId="31" numFmtId="166" xfId="0" applyFont="1" applyNumberFormat="1"/>
    <xf borderId="0" fillId="0" fontId="31" numFmtId="0" xfId="0" applyAlignment="1" applyFont="1">
      <alignment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shrinkToFit="0" wrapText="0"/>
    </xf>
    <xf borderId="0" fillId="0" fontId="31" numFmtId="166" xfId="0" applyAlignment="1" applyFont="1" applyNumberFormat="1">
      <alignment readingOrder="0"/>
    </xf>
    <xf borderId="0" fillId="0" fontId="30" numFmtId="0" xfId="0" applyFont="1"/>
    <xf borderId="16" fillId="0" fontId="30" numFmtId="0" xfId="0" applyAlignment="1" applyBorder="1" applyFont="1">
      <alignment horizontal="center" readingOrder="0"/>
    </xf>
    <xf borderId="17" fillId="0" fontId="24" numFmtId="0" xfId="0" applyBorder="1" applyFont="1"/>
    <xf borderId="18" fillId="0" fontId="31" numFmtId="0" xfId="0" applyAlignment="1" applyBorder="1" applyFont="1">
      <alignment horizontal="right" readingOrder="0"/>
    </xf>
    <xf borderId="19" fillId="0" fontId="31" numFmtId="0" xfId="0" applyAlignment="1" applyBorder="1" applyFont="1">
      <alignment horizontal="right" readingOrder="0"/>
    </xf>
    <xf borderId="18" fillId="0" fontId="31" numFmtId="166" xfId="0" applyAlignment="1" applyBorder="1" applyFont="1" applyNumberFormat="1">
      <alignment horizontal="right"/>
    </xf>
    <xf borderId="19" fillId="0" fontId="31" numFmtId="4" xfId="0" applyAlignment="1" applyBorder="1" applyFont="1" applyNumberFormat="1">
      <alignment horizontal="right"/>
    </xf>
    <xf borderId="20" fillId="0" fontId="30" numFmtId="166" xfId="0" applyAlignment="1" applyBorder="1" applyFont="1" applyNumberFormat="1">
      <alignment horizontal="right"/>
    </xf>
    <xf borderId="21" fillId="0" fontId="30" numFmtId="4" xfId="0" applyAlignment="1" applyBorder="1" applyFont="1" applyNumberFormat="1">
      <alignment horizontal="right"/>
    </xf>
    <xf borderId="0" fillId="0" fontId="31" numFmtId="166" xfId="0" applyAlignment="1" applyFont="1" applyNumberFormat="1">
      <alignment horizontal="right"/>
    </xf>
    <xf borderId="0" fillId="0" fontId="31" numFmtId="4" xfId="0" applyAlignment="1" applyFont="1" applyNumberFormat="1">
      <alignment horizontal="right"/>
    </xf>
    <xf borderId="0" fillId="0" fontId="31" numFmtId="0" xfId="0" applyAlignment="1" applyFont="1">
      <alignment horizontal="right"/>
    </xf>
    <xf borderId="0" fillId="0" fontId="31" numFmtId="4" xfId="0" applyFont="1" applyNumberFormat="1"/>
    <xf borderId="22" fillId="0" fontId="31" numFmtId="0" xfId="0" applyBorder="1" applyFont="1"/>
    <xf borderId="23" fillId="0" fontId="31" numFmtId="0" xfId="0" applyBorder="1" applyFont="1"/>
    <xf borderId="24" fillId="0" fontId="31" numFmtId="0" xfId="0" applyBorder="1" applyFont="1"/>
    <xf borderId="25" fillId="0" fontId="31" numFmtId="0" xfId="0" applyBorder="1" applyFont="1"/>
    <xf borderId="0" fillId="0" fontId="32" numFmtId="0" xfId="0" applyAlignment="1" applyFont="1">
      <alignment vertical="bottom"/>
    </xf>
    <xf borderId="0" fillId="0" fontId="32" numFmtId="166" xfId="0" applyAlignment="1" applyFont="1" applyNumberFormat="1">
      <alignment horizontal="right" readingOrder="0" vertical="bottom"/>
    </xf>
    <xf borderId="8" fillId="0" fontId="31" numFmtId="0" xfId="0" applyBorder="1" applyFont="1"/>
    <xf borderId="26" fillId="14" fontId="31" numFmtId="0" xfId="0" applyBorder="1" applyFont="1"/>
    <xf borderId="27" fillId="14" fontId="31" numFmtId="0" xfId="0" applyBorder="1" applyFont="1"/>
    <xf borderId="13" fillId="14" fontId="31" numFmtId="0" xfId="0" applyBorder="1" applyFont="1"/>
    <xf borderId="0" fillId="0" fontId="31" numFmtId="0" xfId="0" applyAlignment="1" applyFont="1">
      <alignment horizontal="right" readingOrder="0"/>
    </xf>
    <xf borderId="0" fillId="0" fontId="30" numFmtId="0" xfId="0" applyAlignment="1" applyFont="1">
      <alignment horizontal="right" readingOrder="0"/>
    </xf>
    <xf borderId="18" fillId="0" fontId="31" numFmtId="0" xfId="0" applyBorder="1" applyFont="1"/>
    <xf borderId="18" fillId="0" fontId="30" numFmtId="0" xfId="0" applyAlignment="1" applyBorder="1" applyFont="1">
      <alignment readingOrder="0"/>
    </xf>
    <xf borderId="16" fillId="5" fontId="31" numFmtId="166" xfId="0" applyAlignment="1" applyBorder="1" applyFont="1" applyNumberFormat="1">
      <alignment horizontal="right"/>
    </xf>
    <xf borderId="17" fillId="5" fontId="31" numFmtId="4" xfId="0" applyAlignment="1" applyBorder="1" applyFont="1" applyNumberFormat="1">
      <alignment horizontal="right"/>
    </xf>
    <xf borderId="18" fillId="5" fontId="31" numFmtId="166" xfId="0" applyAlignment="1" applyBorder="1" applyFont="1" applyNumberFormat="1">
      <alignment horizontal="right"/>
    </xf>
    <xf borderId="19" fillId="5" fontId="31" numFmtId="4" xfId="0" applyAlignment="1" applyBorder="1" applyFont="1" applyNumberFormat="1">
      <alignment horizontal="right"/>
    </xf>
    <xf borderId="0" fillId="5" fontId="31" numFmtId="0" xfId="0" applyAlignment="1" applyFont="1">
      <alignment readingOrder="0"/>
    </xf>
    <xf borderId="20" fillId="5" fontId="31" numFmtId="166" xfId="0" applyAlignment="1" applyBorder="1" applyFont="1" applyNumberFormat="1">
      <alignment horizontal="right"/>
    </xf>
    <xf borderId="21" fillId="5" fontId="31" numFmtId="4" xfId="0" applyAlignment="1" applyBorder="1" applyFont="1" applyNumberFormat="1">
      <alignment horizontal="right"/>
    </xf>
    <xf borderId="28" fillId="0" fontId="30" numFmtId="166" xfId="0" applyAlignment="1" applyBorder="1" applyFont="1" applyNumberFormat="1">
      <alignment horizontal="right"/>
    </xf>
    <xf borderId="29" fillId="0" fontId="30" numFmtId="4" xfId="0" applyAlignment="1" applyBorder="1" applyFont="1" applyNumberFormat="1">
      <alignment horizontal="right"/>
    </xf>
    <xf borderId="0" fillId="0" fontId="14" numFmtId="0" xfId="0" applyAlignment="1" applyFont="1">
      <alignment horizontal="center" vertical="center"/>
    </xf>
    <xf borderId="0" fillId="0" fontId="14" numFmtId="166" xfId="0" applyAlignment="1" applyFont="1" applyNumberFormat="1">
      <alignment horizontal="right" vertical="center"/>
    </xf>
    <xf borderId="0" fillId="0" fontId="14" numFmtId="0" xfId="0" applyAlignment="1" applyFont="1">
      <alignment horizontal="right" vertical="center"/>
    </xf>
    <xf borderId="0" fillId="5" fontId="14" numFmtId="0" xfId="0" applyAlignment="1" applyFont="1">
      <alignment vertical="center"/>
    </xf>
    <xf borderId="0" fillId="0" fontId="16" numFmtId="166" xfId="0" applyAlignment="1" applyFont="1" applyNumberFormat="1">
      <alignment vertical="center"/>
    </xf>
    <xf borderId="0" fillId="0" fontId="16" numFmtId="166" xfId="0" applyAlignment="1" applyFont="1" applyNumberFormat="1">
      <alignment horizontal="right" vertical="center"/>
    </xf>
    <xf borderId="0" fillId="2" fontId="8" numFmtId="166" xfId="0" applyAlignment="1" applyFont="1" applyNumberFormat="1">
      <alignment horizontal="right" readingOrder="0" vertical="center"/>
    </xf>
    <xf borderId="0" fillId="2" fontId="8" numFmtId="0" xfId="0" applyAlignment="1" applyFont="1">
      <alignment horizontal="right" readingOrder="0" vertical="center"/>
    </xf>
    <xf borderId="0" fillId="15" fontId="33" numFmtId="166" xfId="0" applyAlignment="1" applyFill="1" applyFont="1" applyNumberFormat="1">
      <alignment horizontal="right" readingOrder="0" shrinkToFit="0" wrapText="1"/>
    </xf>
    <xf borderId="0" fillId="5" fontId="34" numFmtId="0" xfId="0" applyAlignment="1" applyFont="1">
      <alignment readingOrder="0" vertical="center"/>
    </xf>
    <xf borderId="0" fillId="2" fontId="8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left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166" xfId="0" applyAlignment="1" applyFont="1" applyNumberFormat="1">
      <alignment readingOrder="0" vertical="center"/>
    </xf>
    <xf borderId="0" fillId="0" fontId="14" numFmtId="166" xfId="0" applyAlignment="1" applyFont="1" applyNumberFormat="1">
      <alignment horizontal="right" readingOrder="0" vertical="center"/>
    </xf>
    <xf borderId="0" fillId="0" fontId="14" numFmtId="171" xfId="0" applyAlignment="1" applyFont="1" applyNumberFormat="1">
      <alignment readingOrder="0" vertical="center"/>
    </xf>
    <xf borderId="0" fillId="16" fontId="35" numFmtId="166" xfId="0" applyAlignment="1" applyFill="1" applyFont="1" applyNumberFormat="1">
      <alignment horizontal="right" readingOrder="0" shrinkToFit="0" wrapText="0"/>
    </xf>
    <xf borderId="0" fillId="5" fontId="14" numFmtId="0" xfId="0" applyAlignment="1" applyFont="1">
      <alignment readingOrder="0" vertical="center"/>
    </xf>
    <xf borderId="30" fillId="4" fontId="36" numFmtId="0" xfId="0" applyBorder="1" applyFont="1"/>
    <xf borderId="30" fillId="4" fontId="36" numFmtId="166" xfId="0" applyAlignment="1" applyBorder="1" applyFont="1" applyNumberFormat="1">
      <alignment horizontal="right"/>
    </xf>
    <xf borderId="30" fillId="0" fontId="20" numFmtId="0" xfId="0" applyAlignment="1" applyBorder="1" applyFont="1">
      <alignment readingOrder="0"/>
    </xf>
    <xf borderId="0" fillId="4" fontId="36" numFmtId="0" xfId="0" applyFont="1"/>
    <xf borderId="0" fillId="4" fontId="36" numFmtId="166" xfId="0" applyAlignment="1" applyFont="1" applyNumberFormat="1">
      <alignment horizontal="right"/>
    </xf>
    <xf borderId="0" fillId="4" fontId="36" numFmtId="0" xfId="0" applyAlignment="1" applyFont="1">
      <alignment shrinkToFit="0" wrapText="0"/>
    </xf>
    <xf borderId="0" fillId="14" fontId="14" numFmtId="0" xfId="0" applyAlignment="1" applyFont="1">
      <alignment horizontal="center" readingOrder="0" vertical="center"/>
    </xf>
    <xf borderId="0" fillId="14" fontId="14" numFmtId="0" xfId="0" applyAlignment="1" applyFont="1">
      <alignment horizontal="center" vertical="center"/>
    </xf>
    <xf borderId="0" fillId="14" fontId="14" numFmtId="0" xfId="0" applyAlignment="1" applyFont="1">
      <alignment vertical="center"/>
    </xf>
    <xf borderId="0" fillId="14" fontId="14" numFmtId="171" xfId="0" applyAlignment="1" applyFont="1" applyNumberFormat="1">
      <alignment readingOrder="0" vertical="center"/>
    </xf>
    <xf borderId="0" fillId="14" fontId="12" numFmtId="0" xfId="0" applyFont="1"/>
    <xf borderId="0" fillId="14" fontId="14" numFmtId="0" xfId="0" applyAlignment="1" applyFont="1">
      <alignment readingOrder="0" vertical="center"/>
    </xf>
    <xf borderId="0" fillId="14" fontId="35" numFmtId="166" xfId="0" applyAlignment="1" applyFont="1" applyNumberFormat="1">
      <alignment horizontal="right" readingOrder="0" shrinkToFit="0" wrapText="0"/>
    </xf>
    <xf borderId="0" fillId="14" fontId="12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0" fontId="14" numFmtId="3" xfId="0" applyAlignment="1" applyFont="1" applyNumberFormat="1">
      <alignment horizontal="center" readingOrder="0" vertical="center"/>
    </xf>
    <xf borderId="0" fillId="17" fontId="35" numFmtId="166" xfId="0" applyAlignment="1" applyFill="1" applyFont="1" applyNumberFormat="1">
      <alignment horizontal="right" readingOrder="0" shrinkToFit="0" wrapText="0"/>
    </xf>
    <xf borderId="30" fillId="4" fontId="36" numFmtId="0" xfId="0" applyBorder="1" applyFont="1"/>
    <xf borderId="0" fillId="4" fontId="3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RESUMO!$B$8</c:f>
            </c:strRef>
          </c:tx>
          <c:dPt>
            <c:idx val="0"/>
            <c:explosion val="0"/>
            <c:spPr>
              <a:solidFill>
                <a:srgbClr val="94DCC3"/>
              </a:solidFill>
            </c:spPr>
          </c:dPt>
          <c:dPt>
            <c:idx val="1"/>
            <c:spPr>
              <a:solidFill>
                <a:srgbClr val="496C60"/>
              </a:solidFill>
            </c:spPr>
          </c:dPt>
          <c:dPt>
            <c:idx val="2"/>
            <c:spPr>
              <a:solidFill>
                <a:srgbClr val="999999"/>
              </a:solidFill>
            </c:spPr>
          </c:dPt>
          <c:dPt>
            <c:idx val="3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RESUMO!$A$9:$A$12</c:f>
            </c:strRef>
          </c:cat>
          <c:val>
            <c:numRef>
              <c:f>RESUMO!$B$9:$B$12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1" sz="12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25</xdr:row>
      <xdr:rowOff>190500</xdr:rowOff>
    </xdr:from>
    <xdr:ext cx="3105150" cy="1752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447675</xdr:colOff>
      <xdr:row>1</xdr:row>
      <xdr:rowOff>123825</xdr:rowOff>
    </xdr:from>
    <xdr:ext cx="1428750" cy="295275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vA7oQIjfgmieoV6G0WRoHhQ2zeDLsO5Kom90H_sfJU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38.0"/>
    <col customWidth="1" min="2" max="2" width="11.88"/>
    <col customWidth="1" min="3" max="3" width="10.13"/>
    <col customWidth="1" min="4" max="7" width="12.63"/>
    <col customWidth="1" min="8" max="8" width="7.13"/>
  </cols>
  <sheetData>
    <row r="1" ht="11.25" customHeight="1">
      <c r="A1" s="1"/>
      <c r="B1" s="2"/>
      <c r="C1" s="2"/>
      <c r="D1" s="2"/>
      <c r="E1" s="2"/>
      <c r="F1" s="2"/>
      <c r="G1" s="2"/>
      <c r="H1" s="2"/>
    </row>
    <row r="2" ht="16.5" customHeight="1">
      <c r="A2" s="3" t="s">
        <v>0</v>
      </c>
      <c r="B2" s="4"/>
      <c r="C2" s="4"/>
      <c r="D2" s="4"/>
      <c r="E2" s="4"/>
      <c r="F2" s="4"/>
      <c r="G2" s="4"/>
      <c r="H2" s="4"/>
    </row>
    <row r="3" ht="18.75" customHeight="1">
      <c r="A3" s="5" t="s">
        <v>1</v>
      </c>
      <c r="B3" s="4"/>
      <c r="C3" s="4"/>
      <c r="D3" s="4"/>
      <c r="E3" s="4"/>
      <c r="F3" s="4"/>
      <c r="G3" s="4"/>
      <c r="H3" s="4"/>
    </row>
    <row r="4" ht="11.25" customHeight="1">
      <c r="A4" s="6"/>
      <c r="B4" s="6"/>
      <c r="C4" s="6"/>
      <c r="D4" s="6"/>
      <c r="E4" s="6"/>
      <c r="F4" s="6"/>
      <c r="G4" s="7" t="s">
        <v>2</v>
      </c>
      <c r="H4" s="7"/>
    </row>
    <row r="5" ht="18.75" customHeight="1">
      <c r="A5" s="8" t="s">
        <v>3</v>
      </c>
      <c r="B5" s="8"/>
      <c r="C5" s="9"/>
      <c r="D5" s="8"/>
      <c r="E5" s="10" t="s">
        <v>4</v>
      </c>
      <c r="F5" s="6"/>
      <c r="G5" s="11">
        <f>TODAY()</f>
        <v>46168</v>
      </c>
      <c r="H5" s="11"/>
    </row>
    <row r="6" ht="18.75" customHeight="1">
      <c r="A6" s="12" t="s">
        <v>5</v>
      </c>
      <c r="B6" s="13"/>
      <c r="C6" s="13"/>
      <c r="D6" s="13"/>
      <c r="E6" s="13"/>
      <c r="F6" s="6"/>
      <c r="G6" s="6"/>
      <c r="H6" s="6"/>
    </row>
    <row r="7" ht="18.75" customHeight="1">
      <c r="A7" s="6"/>
      <c r="B7" s="6"/>
      <c r="C7" s="6"/>
      <c r="D7" s="6"/>
      <c r="E7" s="6"/>
      <c r="F7" s="6"/>
      <c r="G7" s="6"/>
      <c r="H7" s="6"/>
    </row>
    <row r="8" ht="18.75" customHeight="1">
      <c r="A8" s="14" t="s">
        <v>6</v>
      </c>
      <c r="B8" s="15" t="s">
        <v>7</v>
      </c>
      <c r="C8" s="16" t="s">
        <v>8</v>
      </c>
      <c r="D8" s="16"/>
      <c r="E8" s="16"/>
      <c r="F8" s="16"/>
      <c r="G8" s="16"/>
      <c r="H8" s="17"/>
    </row>
    <row r="9" ht="18.75" customHeight="1">
      <c r="A9" s="6" t="s">
        <v>9</v>
      </c>
      <c r="B9" s="18">
        <f>D54</f>
        <v>0</v>
      </c>
      <c r="C9" s="19" t="s">
        <v>10</v>
      </c>
      <c r="D9" s="6"/>
      <c r="E9" s="6"/>
      <c r="F9" s="6"/>
      <c r="G9" s="6"/>
      <c r="H9" s="6"/>
    </row>
    <row r="10" ht="18.75" customHeight="1">
      <c r="A10" s="6" t="s">
        <v>11</v>
      </c>
      <c r="B10" s="18">
        <f>E54</f>
        <v>503579.72</v>
      </c>
      <c r="C10" s="19" t="s">
        <v>12</v>
      </c>
      <c r="D10" s="6"/>
      <c r="E10" s="6"/>
      <c r="F10" s="6"/>
      <c r="G10" s="6"/>
      <c r="H10" s="6"/>
    </row>
    <row r="11" ht="18.75" customHeight="1">
      <c r="A11" s="6" t="s">
        <v>13</v>
      </c>
      <c r="B11" s="18">
        <f>Pessoal!T24</f>
        <v>356413.4018</v>
      </c>
      <c r="C11" s="19" t="s">
        <v>14</v>
      </c>
      <c r="D11" s="20"/>
      <c r="E11" s="6"/>
      <c r="F11" s="6"/>
      <c r="G11" s="6"/>
      <c r="H11" s="6"/>
    </row>
    <row r="12" ht="18.75" customHeight="1">
      <c r="A12" s="6" t="s">
        <v>15</v>
      </c>
      <c r="B12" s="18">
        <f>Pessoal!T25</f>
        <v>0</v>
      </c>
      <c r="C12" s="21" t="s">
        <v>16</v>
      </c>
      <c r="D12" s="6"/>
      <c r="E12" s="6"/>
      <c r="F12" s="6"/>
      <c r="G12" s="6"/>
      <c r="H12" s="6"/>
    </row>
    <row r="13" ht="18.75" customHeight="1">
      <c r="A13" s="22" t="s">
        <v>17</v>
      </c>
      <c r="B13" s="23">
        <f>sum(B9:B12)</f>
        <v>859993.1218</v>
      </c>
      <c r="C13" s="24"/>
      <c r="D13" s="6"/>
      <c r="E13" s="6"/>
      <c r="F13" s="6"/>
      <c r="G13" s="6"/>
      <c r="H13" s="6"/>
    </row>
    <row r="14" ht="18.75" customHeight="1">
      <c r="A14" s="25" t="s">
        <v>18</v>
      </c>
      <c r="B14" s="26">
        <v>0.6</v>
      </c>
      <c r="C14" s="27"/>
      <c r="D14" s="28" t="s">
        <v>19</v>
      </c>
      <c r="E14" s="29" t="s">
        <v>20</v>
      </c>
      <c r="F14" s="29" t="s">
        <v>21</v>
      </c>
      <c r="G14" s="30" t="s">
        <v>21</v>
      </c>
      <c r="H14" s="31"/>
    </row>
    <row r="15" ht="18.75" customHeight="1">
      <c r="A15" s="6" t="s">
        <v>22</v>
      </c>
      <c r="B15" s="18">
        <f>B13*B14</f>
        <v>515995.8731</v>
      </c>
      <c r="C15" s="6"/>
      <c r="D15" s="32" t="s">
        <v>23</v>
      </c>
      <c r="E15" s="33" t="s">
        <v>24</v>
      </c>
      <c r="F15" s="33" t="s">
        <v>25</v>
      </c>
      <c r="G15" s="34" t="s">
        <v>26</v>
      </c>
      <c r="H15" s="34"/>
    </row>
    <row r="16" ht="18.75" customHeight="1">
      <c r="A16" s="6"/>
      <c r="B16" s="6"/>
      <c r="C16" s="6"/>
      <c r="H16" s="34"/>
    </row>
    <row r="17" ht="18.75" customHeight="1">
      <c r="A17" s="35" t="s">
        <v>27</v>
      </c>
      <c r="B17" s="18">
        <f>IFERROR(__xludf.DUMMYFUNCTION("importrange(""1yvA7oQIjfgmieoV6G0WRoHhQ2zeDLsO5Kom90H_sfJU"",""Resumo geral!J16"")"),333294.53749999974)</f>
        <v>333294.5375</v>
      </c>
      <c r="C17" s="21"/>
      <c r="D17" s="27"/>
      <c r="E17" s="33"/>
      <c r="F17" s="33"/>
      <c r="G17" s="34"/>
      <c r="H17" s="34"/>
    </row>
    <row r="18" ht="18.75" customHeight="1">
      <c r="A18" s="25" t="s">
        <v>18</v>
      </c>
      <c r="B18" s="26">
        <v>0.2</v>
      </c>
      <c r="C18" s="27"/>
      <c r="D18" s="27"/>
      <c r="H18" s="34"/>
    </row>
    <row r="19" ht="18.75" customHeight="1">
      <c r="A19" s="6" t="s">
        <v>22</v>
      </c>
      <c r="B19" s="18">
        <f>B17*B18</f>
        <v>66658.9075</v>
      </c>
      <c r="C19" s="6"/>
      <c r="D19" s="21"/>
      <c r="E19" s="21"/>
      <c r="F19" s="21"/>
      <c r="G19" s="21"/>
      <c r="H19" s="21"/>
    </row>
    <row r="20" ht="18.75" customHeight="1">
      <c r="A20" s="6"/>
      <c r="B20" s="6"/>
      <c r="C20" s="6"/>
      <c r="D20" s="21"/>
      <c r="E20" s="21"/>
      <c r="F20" s="21"/>
      <c r="G20" s="21"/>
      <c r="H20" s="21"/>
    </row>
    <row r="21" ht="18.75" customHeight="1">
      <c r="A21" s="22" t="s">
        <v>28</v>
      </c>
      <c r="B21" s="23">
        <f>sum(B15,B19)</f>
        <v>582654.7806</v>
      </c>
      <c r="C21" s="6"/>
      <c r="D21" s="21"/>
      <c r="E21" s="21"/>
      <c r="F21" s="21"/>
      <c r="G21" s="21"/>
      <c r="H21" s="21"/>
    </row>
    <row r="22" ht="18.75" customHeight="1">
      <c r="A22" s="6"/>
      <c r="B22" s="6"/>
      <c r="C22" s="6"/>
      <c r="D22" s="21"/>
      <c r="E22" s="21"/>
      <c r="F22" s="21"/>
      <c r="G22" s="21"/>
      <c r="H22" s="21"/>
    </row>
    <row r="23" ht="18.75" customHeight="1">
      <c r="A23" s="36" t="s">
        <v>29</v>
      </c>
      <c r="B23" s="23">
        <f>B21*34%</f>
        <v>198102.6254</v>
      </c>
      <c r="C23" s="6"/>
      <c r="D23" s="37"/>
      <c r="E23" s="6"/>
      <c r="F23" s="18"/>
      <c r="G23" s="6"/>
      <c r="H23" s="6"/>
    </row>
    <row r="24" ht="18.75" hidden="1" customHeight="1">
      <c r="A24" s="38" t="s">
        <v>30</v>
      </c>
      <c r="B24" s="39">
        <f>B23*0.1</f>
        <v>19810.26254</v>
      </c>
      <c r="C24" s="6"/>
      <c r="D24" s="6"/>
      <c r="E24" s="6"/>
      <c r="F24" s="6"/>
      <c r="G24" s="6"/>
      <c r="H24" s="6"/>
    </row>
    <row r="25" ht="18.75" customHeight="1">
      <c r="A25" s="40"/>
      <c r="B25" s="40"/>
      <c r="C25" s="6"/>
      <c r="D25" s="6"/>
      <c r="E25" s="6"/>
      <c r="F25" s="6"/>
      <c r="G25" s="6"/>
      <c r="H25" s="6"/>
    </row>
    <row r="26" ht="18.75" customHeight="1">
      <c r="A26" s="41" t="s">
        <v>31</v>
      </c>
      <c r="B26" s="42"/>
      <c r="C26" s="6"/>
      <c r="D26" s="6"/>
      <c r="E26" s="6"/>
      <c r="F26" s="6"/>
      <c r="G26" s="6"/>
      <c r="H26" s="6"/>
    </row>
    <row r="27" ht="18.75" customHeight="1">
      <c r="A27" s="24" t="s">
        <v>32</v>
      </c>
      <c r="B27" s="6"/>
      <c r="C27" s="6"/>
      <c r="D27" s="6"/>
      <c r="E27" s="6"/>
      <c r="F27" s="6"/>
      <c r="G27" s="6"/>
      <c r="H27" s="6"/>
    </row>
    <row r="28" ht="18.75" customHeight="1">
      <c r="A28" s="24" t="s">
        <v>33</v>
      </c>
      <c r="B28" s="6"/>
      <c r="C28" s="6"/>
      <c r="D28" s="6"/>
      <c r="E28" s="6"/>
      <c r="F28" s="6"/>
      <c r="G28" s="6"/>
      <c r="H28" s="6"/>
    </row>
    <row r="29" ht="18.75" customHeight="1">
      <c r="A29" s="24" t="s">
        <v>34</v>
      </c>
      <c r="B29" s="6"/>
      <c r="C29" s="6"/>
      <c r="D29" s="6"/>
      <c r="E29" s="6"/>
      <c r="F29" s="6"/>
      <c r="G29" s="6"/>
      <c r="H29" s="6"/>
    </row>
    <row r="30" ht="16.5" customHeight="1">
      <c r="A30" s="24" t="s">
        <v>35</v>
      </c>
      <c r="B30" s="43"/>
      <c r="C30" s="6"/>
      <c r="D30" s="6"/>
      <c r="E30" s="6"/>
      <c r="F30" s="6"/>
      <c r="G30" s="6"/>
      <c r="H30" s="6"/>
    </row>
    <row r="31" ht="16.5" customHeight="1">
      <c r="A31" s="24" t="s">
        <v>36</v>
      </c>
      <c r="B31" s="6"/>
      <c r="C31" s="6"/>
      <c r="D31" s="6"/>
      <c r="E31" s="6"/>
      <c r="F31" s="6"/>
      <c r="G31" s="6"/>
      <c r="H31" s="6"/>
    </row>
    <row r="32" ht="16.5" customHeight="1">
      <c r="A32" s="44" t="s">
        <v>37</v>
      </c>
      <c r="B32" s="4"/>
      <c r="C32" s="6"/>
      <c r="D32" s="6"/>
      <c r="E32" s="6"/>
      <c r="F32" s="6"/>
      <c r="G32" s="6"/>
      <c r="H32" s="6"/>
    </row>
    <row r="33" ht="16.5" customHeight="1">
      <c r="A33" s="45" t="s">
        <v>38</v>
      </c>
      <c r="B33" s="4"/>
      <c r="C33" s="4"/>
      <c r="D33" s="4"/>
      <c r="E33" s="4"/>
      <c r="F33" s="4"/>
      <c r="G33" s="4"/>
      <c r="H33" s="4"/>
    </row>
    <row r="34" ht="16.5" customHeight="1">
      <c r="A34" s="4"/>
      <c r="B34" s="4"/>
      <c r="C34" s="4"/>
      <c r="D34" s="4"/>
      <c r="E34" s="4"/>
      <c r="F34" s="4"/>
      <c r="G34" s="4"/>
      <c r="H34" s="4"/>
    </row>
    <row r="35" ht="18.75" customHeight="1">
      <c r="A35" s="40"/>
      <c r="B35" s="40"/>
      <c r="C35" s="6"/>
      <c r="D35" s="6"/>
      <c r="E35" s="6"/>
      <c r="F35" s="6"/>
      <c r="G35" s="6"/>
      <c r="H35" s="6"/>
    </row>
    <row r="36" ht="16.5" customHeight="1">
      <c r="A36" s="46" t="s">
        <v>39</v>
      </c>
      <c r="B36" s="6"/>
      <c r="C36" s="6"/>
      <c r="D36" s="6"/>
      <c r="E36" s="40"/>
      <c r="F36" s="47"/>
      <c r="G36" s="6"/>
      <c r="H36" s="6"/>
    </row>
    <row r="37" ht="16.5" customHeight="1">
      <c r="A37" s="24" t="s">
        <v>40</v>
      </c>
      <c r="B37" s="48" t="s">
        <v>41</v>
      </c>
      <c r="E37" s="49" t="s">
        <v>42</v>
      </c>
      <c r="H37" s="49"/>
    </row>
    <row r="38" ht="16.5" customHeight="1">
      <c r="A38" s="50"/>
      <c r="B38" s="50" t="s">
        <v>43</v>
      </c>
      <c r="C38" s="50" t="s">
        <v>44</v>
      </c>
      <c r="D38" s="50" t="s">
        <v>45</v>
      </c>
      <c r="E38" s="50" t="s">
        <v>43</v>
      </c>
      <c r="F38" s="50" t="s">
        <v>44</v>
      </c>
      <c r="G38" s="50" t="s">
        <v>45</v>
      </c>
      <c r="H38" s="50"/>
    </row>
    <row r="39" ht="16.5" customHeight="1">
      <c r="A39" s="51" t="s">
        <v>46</v>
      </c>
      <c r="B39" s="52">
        <f>IFERROR(__xludf.DUMMYFUNCTION("COUNTA(IFERROR(FILTER(Pessoal!$E$6:$E$18,Pessoal!$E$6:$E$18 = $A39,Pessoal!$U$6:$U$18 = ""Parcial"",Pessoal!$U$29:$U$41 = TRUE),))"),0.0)</f>
        <v>0</v>
      </c>
      <c r="C39" s="53">
        <f>IFERROR(__xludf.DUMMYFUNCTION("SUM(IFERROR(FILTER(Pessoal!$T$29:$T$41,Pessoal!$E$29:$E$41 = $A39,Pessoal!$D$29:$D$41 = ""Parcial""),0))"),0.0)</f>
        <v>0</v>
      </c>
      <c r="D39" s="53">
        <f>IFERROR(__xludf.DUMMYFUNCTION("SUM(IFERROR(FILTER(Pessoal!$S$6:$S$18,Pessoal!$E$6:$E$18 = $A39,Pessoal!$U$6:$U$18 = ""Parcial""),0))*24"),0.0)</f>
        <v>0</v>
      </c>
      <c r="E39" s="52">
        <f>IFERROR(__xludf.DUMMYFUNCTION("COUNTA(IFERROR(FILTER(Pessoal!$E$6:$E$18,Pessoal!$E$6:$E$18 = $A39,Pessoal!$U$6:$U$18 = ""Exclusivo"",Pessoal!$U$29:$U$40 = TRUE),))"),0.0)</f>
        <v>0</v>
      </c>
      <c r="F39" s="53">
        <f>IFERROR(__xludf.DUMMYFUNCTION("SUM(IFERROR(FILTER(Pessoal!$T$29:$T$40,Pessoal!$E$29:$E$40 = $A39,Pessoal!$D$29:$D$40 = ""Exclusivo""),0))"),0.0)</f>
        <v>0</v>
      </c>
      <c r="G39" s="53">
        <f>IFERROR(__xludf.DUMMYFUNCTION("SUM(IFERROR(FILTER(Pessoal!$S$6:$S$18,Pessoal!$E$6:$E$18 = $A39,Pessoal!$U$6:$U$18 = ""Exclusivo""),0))*24"),0.0)</f>
        <v>0</v>
      </c>
      <c r="H39" s="54"/>
    </row>
    <row r="40" ht="16.5" customHeight="1">
      <c r="A40" s="55" t="s">
        <v>47</v>
      </c>
      <c r="B40" s="52">
        <f>IFERROR(__xludf.DUMMYFUNCTION("COUNTA(IFERROR(FILTER(Pessoal!$E$6:$E$18,Pessoal!$E$6:$E$18 = $A40,Pessoal!$U$6:$U$18 = ""Parcial"",Pessoal!$U$29:$U$41 = TRUE),))"),0.0)</f>
        <v>0</v>
      </c>
      <c r="C40" s="53">
        <f>IFERROR(__xludf.DUMMYFUNCTION("SUM(IFERROR(FILTER(Pessoal!$T$29:$T$41,Pessoal!$E$29:$E$41 = $A40,Pessoal!$D$29:$D$41 = ""Parcial""),0))"),0.0)</f>
        <v>0</v>
      </c>
      <c r="D40" s="53">
        <f>IFERROR(__xludf.DUMMYFUNCTION("SUM(IFERROR(FILTER(Pessoal!$S$6:$S$18,Pessoal!$E$6:$E$18 = $A40,Pessoal!$U$6:$U$18 = ""Parcial""),0))*24"),0.0)</f>
        <v>0</v>
      </c>
      <c r="E40" s="52">
        <f>IFERROR(__xludf.DUMMYFUNCTION("COUNTA(IFERROR(FILTER(Pessoal!$E$6:$E$18,Pessoal!$E$6:$E$18 = $A40,Pessoal!$U$6:$U$18 = ""Exclusivo"",Pessoal!$U$29:$U$40 = TRUE),))"),0.0)</f>
        <v>0</v>
      </c>
      <c r="F40" s="53">
        <f>IFERROR(__xludf.DUMMYFUNCTION("SUM(IFERROR(FILTER(Pessoal!$T$29:$T$40,Pessoal!$E$29:$E$40 = $A40,Pessoal!$D$29:$D$40 = ""Exclusivo""),0))"),0.0)</f>
        <v>0</v>
      </c>
      <c r="G40" s="53">
        <f>IFERROR(__xludf.DUMMYFUNCTION("SUM(IFERROR(FILTER(Pessoal!$S$6:$S$18,Pessoal!$E$6:$E$18 = $A40,Pessoal!$U$6:$U$18 = ""Exclusivo""),0))*24"),0.0)</f>
        <v>0</v>
      </c>
      <c r="H40" s="54"/>
    </row>
    <row r="41" ht="16.5" customHeight="1">
      <c r="A41" s="51" t="s">
        <v>48</v>
      </c>
      <c r="B41" s="52">
        <f>IFERROR(__xludf.DUMMYFUNCTION("COUNTA(IFERROR(FILTER(Pessoal!$E$6:$E$18,Pessoal!$E$6:$E$18 = $A41,Pessoal!$U$6:$U$18 = ""Parcial"",Pessoal!$U$29:$U$41 = TRUE),))"),3.0)</f>
        <v>3</v>
      </c>
      <c r="C41" s="53">
        <f>IFERROR(__xludf.DUMMYFUNCTION("SUM(IFERROR(FILTER(Pessoal!$T$29:$T$41,Pessoal!$E$29:$E$41 = $A41,Pessoal!$D$29:$D$41 = ""Parcial""),0))"),120218.49720611384)</f>
        <v>120218.4972</v>
      </c>
      <c r="D41" s="53">
        <f>IFERROR(__xludf.DUMMYFUNCTION("SUM(IFERROR(FILTER(Pessoal!$S$6:$S$18,Pessoal!$E$6:$E$18 = $A41,Pessoal!$U$6:$U$18 = ""Parcial""),0))*24"),2782.1666666666647)</f>
        <v>2782.166667</v>
      </c>
      <c r="E41" s="52">
        <f>IFERROR(__xludf.DUMMYFUNCTION("COUNTA(IFERROR(FILTER(Pessoal!$E$6:$E$18,Pessoal!$E$6:$E$18 = $A41,Pessoal!$U$6:$U$18 = ""Exclusivo"",Pessoal!$U$29:$U$40 = TRUE),))"),0.0)</f>
        <v>0</v>
      </c>
      <c r="F41" s="53">
        <f>IFERROR(__xludf.DUMMYFUNCTION("SUM(IFERROR(FILTER(Pessoal!$T$29:$T$40,Pessoal!$E$29:$E$40 = $A41,Pessoal!$D$29:$D$40 = ""Exclusivo""),0))"),0.0)</f>
        <v>0</v>
      </c>
      <c r="G41" s="53">
        <f>IFERROR(__xludf.DUMMYFUNCTION("SUM(IFERROR(FILTER(Pessoal!$S$6:$S$18,Pessoal!$E$6:$E$18 = $A41,Pessoal!$U$6:$U$18 = ""Exclusivo""),0))*24"),0.0)</f>
        <v>0</v>
      </c>
      <c r="H41" s="54"/>
    </row>
    <row r="42" ht="16.5" customHeight="1">
      <c r="A42" s="55" t="s">
        <v>49</v>
      </c>
      <c r="B42" s="52">
        <f>IFERROR(__xludf.DUMMYFUNCTION("COUNTA(IFERROR(FILTER(Pessoal!$E$6:$E$18,Pessoal!$E$6:$E$18 = $A42,Pessoal!$U$6:$U$18 = ""Parcial"",Pessoal!$U$29:$U$41 = TRUE),))"),8.0)</f>
        <v>8</v>
      </c>
      <c r="C42" s="53">
        <f>IFERROR(__xludf.DUMMYFUNCTION("SUM(IFERROR(FILTER(Pessoal!$T$29:$T$41,Pessoal!$E$29:$E$41 = $A42,Pessoal!$D$29:$D$41 = ""Parcial""),0))"),197945.15917924847)</f>
        <v>197945.1592</v>
      </c>
      <c r="D42" s="53">
        <f>IFERROR(__xludf.DUMMYFUNCTION("SUM(IFERROR(FILTER(Pessoal!$S$6:$S$18,Pessoal!$E$6:$E$18 = $A42,Pessoal!$U$6:$U$18 = ""Parcial""),0))*24"),3332.116666666666)</f>
        <v>3332.116667</v>
      </c>
      <c r="E42" s="52">
        <f>IFERROR(__xludf.DUMMYFUNCTION("COUNTA(IFERROR(FILTER(Pessoal!$E$6:$E$18,Pessoal!$E$6:$E$18 = $A42,Pessoal!$U$6:$U$18 = ""Exclusivo"",Pessoal!$U$29:$U$40 = TRUE),))"),0.0)</f>
        <v>0</v>
      </c>
      <c r="F42" s="53">
        <f>IFERROR(__xludf.DUMMYFUNCTION("SUM(IFERROR(FILTER(Pessoal!$T$29:$T$40,Pessoal!$E$29:$E$40 = $A42,Pessoal!$D$29:$D$40 = ""Exclusivo""),0))"),0.0)</f>
        <v>0</v>
      </c>
      <c r="G42" s="53">
        <f>IFERROR(__xludf.DUMMYFUNCTION("SUM(IFERROR(FILTER(Pessoal!$S$6:$S$18,Pessoal!$E$6:$E$18 = $A42,Pessoal!$U$6:$U$18 = ""Exclusivo""),0))*24"),0.0)</f>
        <v>0</v>
      </c>
      <c r="H42" s="54"/>
    </row>
    <row r="43" ht="16.5" customHeight="1">
      <c r="A43" s="56" t="s">
        <v>50</v>
      </c>
      <c r="B43" s="52">
        <f>IFERROR(__xludf.DUMMYFUNCTION("COUNTA(IFERROR(FILTER(Pessoal!$E$6:$E$18,Pessoal!$E$6:$E$18 = $A43,Pessoal!$U$6:$U$18 = ""Parcial"",Pessoal!$U$29:$U$41 = TRUE),))"),2.0)</f>
        <v>2</v>
      </c>
      <c r="C43" s="53">
        <f>IFERROR(__xludf.DUMMYFUNCTION("SUM(IFERROR(FILTER(Pessoal!$T$29:$T$41,Pessoal!$E$29:$E$41 = $A43,Pessoal!$D$29:$D$41 = ""Parcial""),0))"),38249.74538828467)</f>
        <v>38249.74539</v>
      </c>
      <c r="D43" s="53">
        <f>IFERROR(__xludf.DUMMYFUNCTION("SUM(IFERROR(FILTER(Pessoal!$S$6:$S$18,Pessoal!$E$6:$E$18 = $A43,Pessoal!$U$6:$U$18 = ""Parcial""),0))*24"),1153.499999999999)</f>
        <v>1153.5</v>
      </c>
      <c r="E43" s="52">
        <f>IFERROR(__xludf.DUMMYFUNCTION("COUNTA(IFERROR(FILTER(Pessoal!$E$6:$E$18,Pessoal!$E$6:$E$18 = $A43,Pessoal!$U$6:$U$18 = ""Exclusivo"",Pessoal!$U$29:$U$40 = TRUE),))"),0.0)</f>
        <v>0</v>
      </c>
      <c r="F43" s="53">
        <f>IFERROR(__xludf.DUMMYFUNCTION("SUM(IFERROR(FILTER(Pessoal!$T$29:$T$40,Pessoal!$E$29:$E$40 = $A43,Pessoal!$D$29:$D$40 = ""Exclusivo""),0))"),0.0)</f>
        <v>0</v>
      </c>
      <c r="G43" s="53">
        <f>IFERROR(__xludf.DUMMYFUNCTION("SUM(IFERROR(FILTER(Pessoal!$S$6:$S$18,Pessoal!$E$6:$E$18 = $A43,Pessoal!$U$6:$U$18 = ""Exclusivo""),0))*24"),0.0)</f>
        <v>0</v>
      </c>
      <c r="H43" s="54"/>
    </row>
    <row r="44" ht="16.5" customHeight="1">
      <c r="A44" s="56" t="s">
        <v>51</v>
      </c>
      <c r="B44" s="52">
        <f>IFERROR(__xludf.DUMMYFUNCTION("COUNTA(IFERROR(FILTER(Pessoal!$E$6:$E$18,Pessoal!$E$6:$E$18 = $A44,Pessoal!$U$6:$U$18 = ""Parcial"",Pessoal!$U$29:$U$41 = TRUE),))"),0.0)</f>
        <v>0</v>
      </c>
      <c r="C44" s="53">
        <f>IFERROR(__xludf.DUMMYFUNCTION("SUM(IFERROR(FILTER(Pessoal!$T$29:$T$41,Pessoal!$E$29:$E$41 = $A44,Pessoal!$D$29:$D$41 = ""Parcial""),0))"),0.0)</f>
        <v>0</v>
      </c>
      <c r="D44" s="53">
        <f>IFERROR(__xludf.DUMMYFUNCTION("SUM(IFERROR(FILTER(Pessoal!$S$6:$S$18,Pessoal!$E$6:$E$18 = $A44,Pessoal!$U$6:$U$18 = ""Parcial""),0))*24"),0.0)</f>
        <v>0</v>
      </c>
      <c r="E44" s="52">
        <f>IFERROR(__xludf.DUMMYFUNCTION("COUNTA(IFERROR(FILTER(Pessoal!$E$6:$E$18,Pessoal!$E$6:$E$18 = $A44,Pessoal!$U$6:$U$18 = ""Exclusivo"",Pessoal!$U$29:$U$40 = TRUE),))"),0.0)</f>
        <v>0</v>
      </c>
      <c r="F44" s="53">
        <f>IFERROR(__xludf.DUMMYFUNCTION("SUM(IFERROR(FILTER(Pessoal!$T$29:$T$40,Pessoal!$E$29:$E$40 = $A44,Pessoal!$D$29:$D$40 = ""Exclusivo""),0))"),0.0)</f>
        <v>0</v>
      </c>
      <c r="G44" s="53">
        <f>IFERROR(__xludf.DUMMYFUNCTION("SUM(IFERROR(FILTER(Pessoal!$S$6:$S$18,Pessoal!$E$6:$E$18 = $A44,Pessoal!$U$6:$U$18 = ""Exclusivo""),0))*24"),0.0)</f>
        <v>0</v>
      </c>
      <c r="H44" s="54"/>
    </row>
    <row r="45" ht="16.5" customHeight="1">
      <c r="A45" s="57"/>
      <c r="B45" s="58">
        <f t="shared" ref="B45:G45" si="1">SUM(B39:B44)</f>
        <v>13</v>
      </c>
      <c r="C45" s="23">
        <f t="shared" si="1"/>
        <v>356413.4018</v>
      </c>
      <c r="D45" s="23">
        <f t="shared" si="1"/>
        <v>7267.783333</v>
      </c>
      <c r="E45" s="58">
        <f t="shared" si="1"/>
        <v>0</v>
      </c>
      <c r="F45" s="23">
        <f t="shared" si="1"/>
        <v>0</v>
      </c>
      <c r="G45" s="23">
        <f t="shared" si="1"/>
        <v>0</v>
      </c>
      <c r="H45" s="59"/>
    </row>
    <row r="46" ht="18.75" customHeight="1">
      <c r="A46" s="40"/>
      <c r="B46" s="40"/>
      <c r="C46" s="6"/>
      <c r="D46" s="6"/>
      <c r="E46" s="6"/>
      <c r="F46" s="6"/>
      <c r="G46" s="6"/>
      <c r="H46" s="6"/>
    </row>
    <row r="47" ht="18.75" customHeight="1">
      <c r="A47" s="46" t="s">
        <v>52</v>
      </c>
      <c r="B47" s="40"/>
      <c r="C47" s="6"/>
      <c r="D47" s="6"/>
      <c r="E47" s="6"/>
      <c r="F47" s="6"/>
      <c r="G47" s="6"/>
      <c r="H47" s="6"/>
    </row>
    <row r="48" ht="18.75" customHeight="1">
      <c r="A48" s="41" t="s">
        <v>53</v>
      </c>
      <c r="B48" s="41" t="s">
        <v>54</v>
      </c>
      <c r="C48" s="41"/>
      <c r="D48" s="41" t="s">
        <v>55</v>
      </c>
      <c r="E48" s="41" t="s">
        <v>56</v>
      </c>
      <c r="F48" s="41" t="s">
        <v>57</v>
      </c>
      <c r="G48" s="41" t="s">
        <v>58</v>
      </c>
      <c r="H48" s="41"/>
    </row>
    <row r="49" ht="18.75" customHeight="1">
      <c r="A49" s="6" t="s">
        <v>59</v>
      </c>
      <c r="B49" s="6" t="s">
        <v>60</v>
      </c>
      <c r="C49" s="4"/>
      <c r="D49" s="18">
        <f>IFERROR(__xludf.DUMMYFUNCTION("iferror(SUM(FILTER(Investimentos!$M:$M,Investimentos!$L:$L = ""Material"",Investimentos!$J:$J = TRUE)),0)"),0.0)</f>
        <v>0</v>
      </c>
      <c r="E49" s="18">
        <f>IFERROR(__xludf.DUMMYFUNCTION("SUM(FILTER(Investimentos!$M:$M,Investimentos!$L:$L = ""Serviço"",Investimentos!$J:$J = TRUE,Investimentos!$U:$U = TRUE))"),239212.73000000004)</f>
        <v>239212.73</v>
      </c>
      <c r="F49" s="18">
        <f t="shared" ref="F49:F53" si="2">$B$11*(E49/$E$54)</f>
        <v>169305.1159</v>
      </c>
      <c r="G49" s="18">
        <f t="shared" ref="G49:G53" si="3">$B$12*(E49/$E$54)</f>
        <v>0</v>
      </c>
      <c r="H49" s="18"/>
    </row>
    <row r="50" ht="18.75" customHeight="1">
      <c r="A50" s="24" t="s">
        <v>61</v>
      </c>
      <c r="B50" s="24" t="s">
        <v>62</v>
      </c>
      <c r="C50" s="4"/>
      <c r="D50" s="18">
        <f>IFERROR(__xludf.DUMMYFUNCTION("iferror(SUM(FILTER(Investimentos!$N:$N,Investimentos!$L:$L = ""Material"",Investimentos!$J:$J = TRUE,Investimentos!$U:$U = TRUE)),0)"),0.0)</f>
        <v>0</v>
      </c>
      <c r="E50" s="18">
        <f>IFERROR(__xludf.DUMMYFUNCTION("SUM(FILTER(Investimentos!$N:$N,Investimentos!$L:$L = ""Serviço"",Investimentos!$J:$J = TRUE,Investimentos!$U:$U = TRUE))"),0.0)</f>
        <v>0</v>
      </c>
      <c r="F50" s="18">
        <f t="shared" si="2"/>
        <v>0</v>
      </c>
      <c r="G50" s="18">
        <f t="shared" si="3"/>
        <v>0</v>
      </c>
      <c r="H50" s="18"/>
    </row>
    <row r="51" ht="18.75" customHeight="1">
      <c r="A51" s="6" t="s">
        <v>63</v>
      </c>
      <c r="B51" s="6" t="s">
        <v>64</v>
      </c>
      <c r="C51" s="4"/>
      <c r="D51" s="18">
        <f>IFERROR(__xludf.DUMMYFUNCTION("iferror(SUM(FILTER(Investimentos!$O:$O,Investimentos!$L:$L = ""Material"",Investimentos!$J:$J = TRUE())),0)"),0.0)</f>
        <v>0</v>
      </c>
      <c r="E51" s="18">
        <f>IFERROR(__xludf.DUMMYFUNCTION("SUM(FILTER(Investimentos!$O:$O,Investimentos!$L:$L = ""Serviço"",Investimentos!$J:$J = TRUE,Investimentos!$U:$U = TRUE))"),243517.54999999993)</f>
        <v>243517.55</v>
      </c>
      <c r="F51" s="18">
        <f t="shared" si="2"/>
        <v>172351.8937</v>
      </c>
      <c r="G51" s="18">
        <f t="shared" si="3"/>
        <v>0</v>
      </c>
      <c r="H51" s="18"/>
    </row>
    <row r="52" ht="18.75" customHeight="1">
      <c r="A52" s="24" t="s">
        <v>65</v>
      </c>
      <c r="B52" s="24" t="s">
        <v>66</v>
      </c>
      <c r="C52" s="4"/>
      <c r="D52" s="18">
        <f>IFERROR(__xludf.DUMMYFUNCTION("iferror(SUM(FILTER(Investimentos!$P:$P,Investimentos!$L:$L = ""Material"",Investimentos!$J:$J = TRUE)),0)"),0.0)</f>
        <v>0</v>
      </c>
      <c r="E52" s="18">
        <f>IFERROR(__xludf.DUMMYFUNCTION("SUM(FILTER(Investimentos!$P:$P,Investimentos!$L:$L = ""Serviço"",Investimentos!$J:$J = TRUE,Investimentos!$U:$U = TRUE))"),20849.44)</f>
        <v>20849.44</v>
      </c>
      <c r="F52" s="18">
        <f t="shared" si="2"/>
        <v>14756.39217</v>
      </c>
      <c r="G52" s="18">
        <f t="shared" si="3"/>
        <v>0</v>
      </c>
      <c r="H52" s="18"/>
    </row>
    <row r="53" ht="18.75" customHeight="1">
      <c r="A53" s="24" t="s">
        <v>67</v>
      </c>
      <c r="B53" s="24" t="s">
        <v>68</v>
      </c>
      <c r="C53" s="4"/>
      <c r="D53" s="18">
        <f>IFERROR(__xludf.DUMMYFUNCTION("iferror(SUM(FILTER(Investimentos!$Q:$Q,Investimentos!$L:$L = ""Material"",Investimentos!$J:$J = TRUE,Investimentos!$U:$U = TRUE)),0)"),0.0)</f>
        <v>0</v>
      </c>
      <c r="E53" s="18">
        <f>IFERROR(__xludf.DUMMYFUNCTION("SUM(FILTER(Investimentos!$Q:$Q,Investimentos!$L:$L = ""Serviço"",Investimentos!$J:$J = TRUE,Investimentos!$U:$U = TRUE))"),0.0)</f>
        <v>0</v>
      </c>
      <c r="F53" s="18">
        <f t="shared" si="2"/>
        <v>0</v>
      </c>
      <c r="G53" s="18">
        <f t="shared" si="3"/>
        <v>0</v>
      </c>
      <c r="H53" s="18"/>
    </row>
    <row r="54" ht="18.75" customHeight="1">
      <c r="A54" s="57" t="s">
        <v>69</v>
      </c>
      <c r="B54" s="23"/>
      <c r="C54" s="23"/>
      <c r="D54" s="23">
        <f t="shared" ref="D54:G54" si="4">SUM(D49:D53)</f>
        <v>0</v>
      </c>
      <c r="E54" s="23">
        <f t="shared" si="4"/>
        <v>503579.72</v>
      </c>
      <c r="F54" s="23">
        <f t="shared" si="4"/>
        <v>356413.4018</v>
      </c>
      <c r="G54" s="23">
        <f t="shared" si="4"/>
        <v>0</v>
      </c>
      <c r="H54" s="59"/>
    </row>
  </sheetData>
  <mergeCells count="9">
    <mergeCell ref="B37:D37"/>
    <mergeCell ref="E37:G37"/>
    <mergeCell ref="D15:D16"/>
    <mergeCell ref="E15:E16"/>
    <mergeCell ref="F15:F16"/>
    <mergeCell ref="G15:G16"/>
    <mergeCell ref="E17:E18"/>
    <mergeCell ref="F17:F18"/>
    <mergeCell ref="G17:G18"/>
  </mergeCells>
  <hyperlinks>
    <hyperlink r:id="rId1" location="gid=1506730269" ref="A17"/>
  </hyperlinks>
  <printOptions/>
  <pageMargins bottom="0.75" footer="0.0" header="0.0" left="0.25" right="0.25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15.0"/>
  </cols>
  <sheetData>
    <row r="1" ht="11.25" customHeight="1">
      <c r="A1" s="60"/>
      <c r="B1" s="60"/>
      <c r="C1" s="60"/>
      <c r="D1" s="60"/>
      <c r="E1" s="61"/>
      <c r="F1" s="61"/>
      <c r="G1" s="61"/>
      <c r="H1" s="61"/>
      <c r="I1" s="61"/>
      <c r="J1" s="61"/>
      <c r="K1" s="61"/>
      <c r="L1" s="61"/>
    </row>
    <row r="2">
      <c r="A2" s="62" t="s">
        <v>53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>
      <c r="A3" s="5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>
      <c r="A4" s="63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>
      <c r="A5" s="64" t="s">
        <v>70</v>
      </c>
      <c r="B5" s="64" t="s">
        <v>71</v>
      </c>
      <c r="C5" s="64" t="s">
        <v>72</v>
      </c>
      <c r="D5" s="64" t="s">
        <v>73</v>
      </c>
      <c r="E5" s="64" t="s">
        <v>74</v>
      </c>
      <c r="F5" s="64" t="s">
        <v>75</v>
      </c>
      <c r="G5" s="64" t="s">
        <v>76</v>
      </c>
      <c r="H5" s="64" t="s">
        <v>77</v>
      </c>
      <c r="I5" s="64" t="s">
        <v>78</v>
      </c>
      <c r="J5" s="64" t="s">
        <v>79</v>
      </c>
      <c r="K5" s="64" t="s">
        <v>80</v>
      </c>
      <c r="L5" s="64" t="s">
        <v>81</v>
      </c>
    </row>
    <row r="6">
      <c r="A6" s="65" t="str">
        <f t="array" ref="A6:A55">SORT(UNIQUE({Timesheet!C7:C56;PrjAdd!A2:A10}),1,true)</f>
        <v>Bemmax sabor neutro</v>
      </c>
      <c r="B6" s="65"/>
      <c r="C6" s="65" t="s">
        <v>82</v>
      </c>
      <c r="D6" s="65"/>
      <c r="E6" s="65" t="s">
        <v>82</v>
      </c>
      <c r="F6" s="65" t="s">
        <v>82</v>
      </c>
      <c r="G6" s="65" t="s">
        <v>82</v>
      </c>
      <c r="H6" s="65" t="s">
        <v>82</v>
      </c>
      <c r="I6" s="65"/>
      <c r="J6" s="65" t="s">
        <v>82</v>
      </c>
      <c r="K6" s="65"/>
      <c r="L6" s="66" t="b">
        <v>1</v>
      </c>
    </row>
    <row r="7">
      <c r="A7" s="65" t="s">
        <v>83</v>
      </c>
      <c r="B7" s="65"/>
      <c r="C7" s="65" t="s">
        <v>82</v>
      </c>
      <c r="D7" s="65"/>
      <c r="E7" s="65" t="s">
        <v>82</v>
      </c>
      <c r="F7" s="65" t="s">
        <v>82</v>
      </c>
      <c r="G7" s="65" t="s">
        <v>82</v>
      </c>
      <c r="H7" s="65" t="s">
        <v>82</v>
      </c>
      <c r="I7" s="65"/>
      <c r="J7" s="65" t="s">
        <v>82</v>
      </c>
      <c r="K7" s="65"/>
      <c r="L7" s="66" t="b">
        <v>1</v>
      </c>
    </row>
    <row r="8">
      <c r="A8" s="65" t="s">
        <v>84</v>
      </c>
      <c r="B8" s="65"/>
      <c r="C8" s="65" t="s">
        <v>82</v>
      </c>
      <c r="D8" s="65"/>
      <c r="E8" s="65" t="s">
        <v>82</v>
      </c>
      <c r="F8" s="65" t="s">
        <v>82</v>
      </c>
      <c r="G8" s="65" t="s">
        <v>82</v>
      </c>
      <c r="H8" s="65" t="s">
        <v>82</v>
      </c>
      <c r="I8" s="65"/>
      <c r="J8" s="65" t="s">
        <v>82</v>
      </c>
      <c r="K8" s="65"/>
      <c r="L8" s="66" t="b">
        <v>0</v>
      </c>
    </row>
    <row r="9">
      <c r="A9" s="65" t="s">
        <v>85</v>
      </c>
      <c r="B9" s="65"/>
      <c r="C9" s="65" t="s">
        <v>82</v>
      </c>
      <c r="D9" s="65"/>
      <c r="E9" s="65" t="s">
        <v>82</v>
      </c>
      <c r="F9" s="65" t="s">
        <v>82</v>
      </c>
      <c r="G9" s="65" t="s">
        <v>82</v>
      </c>
      <c r="H9" s="65" t="s">
        <v>82</v>
      </c>
      <c r="I9" s="65"/>
      <c r="J9" s="65" t="s">
        <v>82</v>
      </c>
      <c r="K9" s="65"/>
      <c r="L9" s="66" t="b">
        <v>1</v>
      </c>
    </row>
    <row r="10">
      <c r="A10" s="65" t="s">
        <v>86</v>
      </c>
      <c r="B10" s="65"/>
      <c r="C10" s="65" t="s">
        <v>82</v>
      </c>
      <c r="D10" s="65"/>
      <c r="E10" s="65" t="s">
        <v>82</v>
      </c>
      <c r="F10" s="65" t="s">
        <v>82</v>
      </c>
      <c r="G10" s="65" t="s">
        <v>82</v>
      </c>
      <c r="H10" s="65" t="s">
        <v>82</v>
      </c>
      <c r="I10" s="65"/>
      <c r="J10" s="65" t="s">
        <v>82</v>
      </c>
      <c r="K10" s="65"/>
      <c r="L10" s="66" t="b">
        <v>1</v>
      </c>
    </row>
    <row r="11">
      <c r="A11" s="65" t="s">
        <v>87</v>
      </c>
      <c r="B11" s="65"/>
      <c r="C11" s="65" t="s">
        <v>82</v>
      </c>
      <c r="D11" s="65"/>
      <c r="E11" s="65" t="s">
        <v>82</v>
      </c>
      <c r="F11" s="65" t="s">
        <v>82</v>
      </c>
      <c r="G11" s="65" t="s">
        <v>82</v>
      </c>
      <c r="H11" s="65" t="s">
        <v>82</v>
      </c>
      <c r="I11" s="65"/>
      <c r="J11" s="65" t="s">
        <v>82</v>
      </c>
      <c r="K11" s="65"/>
      <c r="L11" s="66" t="b">
        <v>1</v>
      </c>
    </row>
    <row r="12">
      <c r="A12" s="65" t="s">
        <v>88</v>
      </c>
      <c r="B12" s="65"/>
      <c r="C12" s="65" t="s">
        <v>82</v>
      </c>
      <c r="D12" s="65"/>
      <c r="E12" s="65" t="s">
        <v>82</v>
      </c>
      <c r="F12" s="65" t="s">
        <v>82</v>
      </c>
      <c r="G12" s="65" t="s">
        <v>82</v>
      </c>
      <c r="H12" s="65" t="s">
        <v>82</v>
      </c>
      <c r="I12" s="65"/>
      <c r="J12" s="65" t="s">
        <v>82</v>
      </c>
      <c r="K12" s="65"/>
      <c r="L12" s="66" t="b">
        <v>1</v>
      </c>
    </row>
    <row r="13">
      <c r="A13" s="65" t="s">
        <v>89</v>
      </c>
      <c r="B13" s="65"/>
      <c r="C13" s="65" t="s">
        <v>82</v>
      </c>
      <c r="D13" s="65"/>
      <c r="E13" s="65" t="s">
        <v>82</v>
      </c>
      <c r="F13" s="65" t="s">
        <v>82</v>
      </c>
      <c r="G13" s="65" t="s">
        <v>82</v>
      </c>
      <c r="H13" s="65" t="s">
        <v>82</v>
      </c>
      <c r="I13" s="65"/>
      <c r="J13" s="65" t="s">
        <v>82</v>
      </c>
      <c r="K13" s="65" t="s">
        <v>90</v>
      </c>
      <c r="L13" s="66" t="b">
        <v>1</v>
      </c>
    </row>
    <row r="14">
      <c r="A14" s="65" t="s">
        <v>91</v>
      </c>
      <c r="B14" s="65"/>
      <c r="C14" s="65" t="s">
        <v>82</v>
      </c>
      <c r="D14" s="65"/>
      <c r="E14" s="65" t="s">
        <v>82</v>
      </c>
      <c r="F14" s="65" t="s">
        <v>82</v>
      </c>
      <c r="G14" s="65" t="s">
        <v>82</v>
      </c>
      <c r="H14" s="65" t="s">
        <v>82</v>
      </c>
      <c r="I14" s="65"/>
      <c r="J14" s="65" t="s">
        <v>82</v>
      </c>
      <c r="K14" s="65"/>
      <c r="L14" s="66" t="b">
        <v>1</v>
      </c>
    </row>
    <row r="15">
      <c r="A15" s="65" t="s">
        <v>92</v>
      </c>
      <c r="B15" s="65"/>
      <c r="C15" s="65" t="s">
        <v>82</v>
      </c>
      <c r="D15" s="65"/>
      <c r="E15" s="65" t="s">
        <v>82</v>
      </c>
      <c r="F15" s="65" t="s">
        <v>82</v>
      </c>
      <c r="G15" s="65" t="s">
        <v>82</v>
      </c>
      <c r="H15" s="65" t="s">
        <v>82</v>
      </c>
      <c r="I15" s="65"/>
      <c r="J15" s="65" t="s">
        <v>82</v>
      </c>
      <c r="K15" s="65"/>
      <c r="L15" s="66" t="b">
        <v>1</v>
      </c>
    </row>
    <row r="16">
      <c r="A16" s="65" t="s">
        <v>93</v>
      </c>
      <c r="B16" s="65"/>
      <c r="C16" s="65" t="s">
        <v>82</v>
      </c>
      <c r="D16" s="65"/>
      <c r="E16" s="65" t="s">
        <v>82</v>
      </c>
      <c r="F16" s="65" t="s">
        <v>82</v>
      </c>
      <c r="G16" s="65" t="s">
        <v>82</v>
      </c>
      <c r="H16" s="65" t="s">
        <v>82</v>
      </c>
      <c r="I16" s="65"/>
      <c r="J16" s="65" t="s">
        <v>82</v>
      </c>
      <c r="K16" s="65"/>
      <c r="L16" s="66" t="b">
        <v>1</v>
      </c>
    </row>
    <row r="17">
      <c r="A17" s="65" t="s">
        <v>94</v>
      </c>
      <c r="B17" s="65"/>
      <c r="C17" s="65" t="s">
        <v>82</v>
      </c>
      <c r="D17" s="65"/>
      <c r="E17" s="65" t="s">
        <v>82</v>
      </c>
      <c r="F17" s="65" t="s">
        <v>82</v>
      </c>
      <c r="G17" s="65" t="s">
        <v>82</v>
      </c>
      <c r="H17" s="65" t="s">
        <v>82</v>
      </c>
      <c r="I17" s="65"/>
      <c r="J17" s="65" t="s">
        <v>82</v>
      </c>
      <c r="K17" s="65" t="s">
        <v>90</v>
      </c>
      <c r="L17" s="66" t="b">
        <v>1</v>
      </c>
    </row>
    <row r="18">
      <c r="A18" s="65" t="s">
        <v>95</v>
      </c>
      <c r="B18" s="65"/>
      <c r="C18" s="65" t="s">
        <v>82</v>
      </c>
      <c r="D18" s="65"/>
      <c r="E18" s="65" t="s">
        <v>82</v>
      </c>
      <c r="F18" s="65" t="s">
        <v>82</v>
      </c>
      <c r="G18" s="65" t="s">
        <v>82</v>
      </c>
      <c r="H18" s="65" t="s">
        <v>82</v>
      </c>
      <c r="I18" s="65"/>
      <c r="J18" s="65" t="s">
        <v>82</v>
      </c>
      <c r="K18" s="65"/>
      <c r="L18" s="66" t="b">
        <v>1</v>
      </c>
    </row>
    <row r="19">
      <c r="A19" s="65" t="s">
        <v>96</v>
      </c>
      <c r="B19" s="65"/>
      <c r="C19" s="65" t="s">
        <v>82</v>
      </c>
      <c r="D19" s="65"/>
      <c r="E19" s="65" t="s">
        <v>82</v>
      </c>
      <c r="F19" s="65" t="s">
        <v>82</v>
      </c>
      <c r="G19" s="65" t="s">
        <v>82</v>
      </c>
      <c r="H19" s="65" t="s">
        <v>82</v>
      </c>
      <c r="I19" s="65"/>
      <c r="J19" s="65" t="s">
        <v>82</v>
      </c>
      <c r="K19" s="65"/>
      <c r="L19" s="66" t="b">
        <v>1</v>
      </c>
    </row>
    <row r="20">
      <c r="A20" s="65" t="s">
        <v>97</v>
      </c>
      <c r="B20" s="65"/>
      <c r="C20" s="65" t="s">
        <v>82</v>
      </c>
      <c r="D20" s="65"/>
      <c r="E20" s="65" t="s">
        <v>82</v>
      </c>
      <c r="F20" s="65" t="s">
        <v>82</v>
      </c>
      <c r="G20" s="65" t="s">
        <v>82</v>
      </c>
      <c r="H20" s="65" t="s">
        <v>82</v>
      </c>
      <c r="I20" s="65"/>
      <c r="J20" s="65" t="s">
        <v>82</v>
      </c>
      <c r="K20" s="65"/>
      <c r="L20" s="66" t="b">
        <v>1</v>
      </c>
    </row>
    <row r="21">
      <c r="A21" s="65" t="s">
        <v>98</v>
      </c>
      <c r="B21" s="65"/>
      <c r="C21" s="65" t="s">
        <v>82</v>
      </c>
      <c r="D21" s="65"/>
      <c r="E21" s="65" t="s">
        <v>82</v>
      </c>
      <c r="F21" s="65" t="s">
        <v>82</v>
      </c>
      <c r="G21" s="65" t="s">
        <v>82</v>
      </c>
      <c r="H21" s="65" t="s">
        <v>82</v>
      </c>
      <c r="I21" s="65"/>
      <c r="J21" s="65" t="s">
        <v>82</v>
      </c>
      <c r="K21" s="65"/>
      <c r="L21" s="66" t="b">
        <v>1</v>
      </c>
    </row>
    <row r="22">
      <c r="A22" s="65" t="s">
        <v>99</v>
      </c>
      <c r="B22" s="65"/>
      <c r="C22" s="65" t="s">
        <v>82</v>
      </c>
      <c r="D22" s="65"/>
      <c r="E22" s="65" t="s">
        <v>82</v>
      </c>
      <c r="F22" s="65" t="s">
        <v>82</v>
      </c>
      <c r="G22" s="65" t="s">
        <v>82</v>
      </c>
      <c r="H22" s="65" t="s">
        <v>82</v>
      </c>
      <c r="I22" s="65"/>
      <c r="J22" s="65" t="s">
        <v>82</v>
      </c>
      <c r="K22" s="65" t="s">
        <v>90</v>
      </c>
      <c r="L22" s="66" t="b">
        <v>1</v>
      </c>
    </row>
    <row r="23">
      <c r="A23" s="65" t="s">
        <v>100</v>
      </c>
      <c r="B23" s="65"/>
      <c r="C23" s="65" t="s">
        <v>82</v>
      </c>
      <c r="D23" s="65"/>
      <c r="E23" s="65" t="s">
        <v>82</v>
      </c>
      <c r="F23" s="65" t="s">
        <v>82</v>
      </c>
      <c r="G23" s="65" t="s">
        <v>82</v>
      </c>
      <c r="H23" s="65" t="s">
        <v>82</v>
      </c>
      <c r="I23" s="65"/>
      <c r="J23" s="65" t="s">
        <v>82</v>
      </c>
      <c r="K23" s="65"/>
      <c r="L23" s="66" t="b">
        <v>1</v>
      </c>
    </row>
    <row r="24">
      <c r="A24" s="65" t="s">
        <v>101</v>
      </c>
      <c r="B24" s="65"/>
      <c r="C24" s="65" t="s">
        <v>82</v>
      </c>
      <c r="D24" s="65"/>
      <c r="E24" s="65" t="s">
        <v>82</v>
      </c>
      <c r="F24" s="65" t="s">
        <v>82</v>
      </c>
      <c r="G24" s="65" t="s">
        <v>82</v>
      </c>
      <c r="H24" s="65" t="s">
        <v>82</v>
      </c>
      <c r="I24" s="65"/>
      <c r="J24" s="65" t="s">
        <v>82</v>
      </c>
      <c r="K24" s="65"/>
      <c r="L24" s="66" t="b">
        <v>1</v>
      </c>
    </row>
    <row r="25">
      <c r="A25" s="65" t="s">
        <v>102</v>
      </c>
      <c r="B25" s="65"/>
      <c r="C25" s="65" t="s">
        <v>82</v>
      </c>
      <c r="D25" s="65"/>
      <c r="E25" s="65" t="s">
        <v>82</v>
      </c>
      <c r="F25" s="65" t="s">
        <v>82</v>
      </c>
      <c r="G25" s="65" t="s">
        <v>82</v>
      </c>
      <c r="H25" s="65" t="s">
        <v>82</v>
      </c>
      <c r="I25" s="65"/>
      <c r="J25" s="65" t="s">
        <v>82</v>
      </c>
      <c r="K25" s="65" t="s">
        <v>90</v>
      </c>
      <c r="L25" s="66" t="b">
        <v>1</v>
      </c>
    </row>
    <row r="26">
      <c r="A26" s="65" t="s">
        <v>103</v>
      </c>
      <c r="B26" s="65"/>
      <c r="C26" s="65" t="s">
        <v>82</v>
      </c>
      <c r="D26" s="65"/>
      <c r="E26" s="65" t="s">
        <v>82</v>
      </c>
      <c r="F26" s="65" t="s">
        <v>82</v>
      </c>
      <c r="G26" s="65" t="s">
        <v>82</v>
      </c>
      <c r="H26" s="65" t="s">
        <v>82</v>
      </c>
      <c r="I26" s="65"/>
      <c r="J26" s="65" t="s">
        <v>82</v>
      </c>
      <c r="K26" s="65"/>
      <c r="L26" s="66" t="b">
        <v>1</v>
      </c>
    </row>
    <row r="27">
      <c r="A27" s="65" t="s">
        <v>104</v>
      </c>
      <c r="B27" s="65"/>
      <c r="C27" s="65" t="s">
        <v>82</v>
      </c>
      <c r="D27" s="65"/>
      <c r="E27" s="65" t="s">
        <v>82</v>
      </c>
      <c r="F27" s="65" t="s">
        <v>82</v>
      </c>
      <c r="G27" s="65" t="s">
        <v>82</v>
      </c>
      <c r="H27" s="65" t="s">
        <v>82</v>
      </c>
      <c r="I27" s="65"/>
      <c r="J27" s="65" t="s">
        <v>82</v>
      </c>
      <c r="K27" s="65"/>
      <c r="L27" s="66" t="b">
        <v>1</v>
      </c>
    </row>
    <row r="28">
      <c r="A28" s="65" t="s">
        <v>105</v>
      </c>
      <c r="B28" s="65"/>
      <c r="C28" s="65" t="s">
        <v>82</v>
      </c>
      <c r="D28" s="65"/>
      <c r="E28" s="65" t="s">
        <v>82</v>
      </c>
      <c r="F28" s="65" t="s">
        <v>82</v>
      </c>
      <c r="G28" s="65" t="s">
        <v>82</v>
      </c>
      <c r="H28" s="65" t="s">
        <v>82</v>
      </c>
      <c r="I28" s="65"/>
      <c r="J28" s="65" t="s">
        <v>82</v>
      </c>
      <c r="K28" s="65"/>
      <c r="L28" s="66" t="b">
        <v>1</v>
      </c>
    </row>
    <row r="29">
      <c r="A29" s="65" t="s">
        <v>106</v>
      </c>
      <c r="B29" s="65"/>
      <c r="C29" s="65" t="s">
        <v>82</v>
      </c>
      <c r="D29" s="65"/>
      <c r="E29" s="65" t="s">
        <v>82</v>
      </c>
      <c r="F29" s="65" t="s">
        <v>82</v>
      </c>
      <c r="G29" s="65" t="s">
        <v>82</v>
      </c>
      <c r="H29" s="65" t="s">
        <v>82</v>
      </c>
      <c r="I29" s="65"/>
      <c r="J29" s="65" t="s">
        <v>82</v>
      </c>
      <c r="K29" s="65"/>
      <c r="L29" s="66" t="b">
        <v>1</v>
      </c>
    </row>
    <row r="30">
      <c r="A30" s="65" t="s">
        <v>107</v>
      </c>
      <c r="B30" s="65"/>
      <c r="C30" s="65" t="s">
        <v>82</v>
      </c>
      <c r="D30" s="65"/>
      <c r="E30" s="65" t="s">
        <v>82</v>
      </c>
      <c r="F30" s="65" t="s">
        <v>82</v>
      </c>
      <c r="G30" s="65" t="s">
        <v>82</v>
      </c>
      <c r="H30" s="65" t="s">
        <v>82</v>
      </c>
      <c r="I30" s="65"/>
      <c r="J30" s="65" t="s">
        <v>82</v>
      </c>
      <c r="K30" s="65"/>
      <c r="L30" s="67" t="b">
        <v>1</v>
      </c>
    </row>
    <row r="31">
      <c r="A31" s="65" t="s">
        <v>108</v>
      </c>
      <c r="B31" s="65"/>
      <c r="C31" s="65"/>
      <c r="D31" s="65"/>
      <c r="E31" s="65" t="s">
        <v>82</v>
      </c>
      <c r="F31" s="65" t="s">
        <v>82</v>
      </c>
      <c r="G31" s="65" t="s">
        <v>82</v>
      </c>
      <c r="H31" s="65" t="s">
        <v>82</v>
      </c>
      <c r="I31" s="65"/>
      <c r="J31" s="65" t="s">
        <v>82</v>
      </c>
      <c r="K31" s="65"/>
      <c r="L31" s="66" t="b">
        <v>1</v>
      </c>
    </row>
    <row r="32">
      <c r="A32" s="65" t="s">
        <v>109</v>
      </c>
      <c r="B32" s="65"/>
      <c r="C32" s="65"/>
      <c r="D32" s="65"/>
      <c r="E32" s="65" t="s">
        <v>82</v>
      </c>
      <c r="F32" s="65" t="s">
        <v>82</v>
      </c>
      <c r="G32" s="65" t="s">
        <v>82</v>
      </c>
      <c r="H32" s="65" t="s">
        <v>82</v>
      </c>
      <c r="I32" s="65"/>
      <c r="J32" s="65" t="s">
        <v>82</v>
      </c>
      <c r="K32" s="65" t="s">
        <v>90</v>
      </c>
      <c r="L32" s="66" t="b">
        <v>1</v>
      </c>
    </row>
    <row r="33">
      <c r="A33" s="65" t="s">
        <v>110</v>
      </c>
      <c r="B33" s="65"/>
      <c r="C33" s="65" t="s">
        <v>82</v>
      </c>
      <c r="D33" s="65"/>
      <c r="E33" s="65" t="s">
        <v>82</v>
      </c>
      <c r="F33" s="65" t="s">
        <v>82</v>
      </c>
      <c r="G33" s="65" t="s">
        <v>82</v>
      </c>
      <c r="H33" s="65" t="s">
        <v>82</v>
      </c>
      <c r="I33" s="65"/>
      <c r="J33" s="65" t="s">
        <v>82</v>
      </c>
      <c r="K33" s="65" t="s">
        <v>90</v>
      </c>
      <c r="L33" s="66" t="b">
        <v>0</v>
      </c>
    </row>
    <row r="34">
      <c r="A34" s="65" t="s">
        <v>111</v>
      </c>
      <c r="B34" s="65"/>
      <c r="C34" s="65" t="s">
        <v>82</v>
      </c>
      <c r="D34" s="65"/>
      <c r="E34" s="65" t="s">
        <v>82</v>
      </c>
      <c r="F34" s="65" t="s">
        <v>82</v>
      </c>
      <c r="G34" s="65" t="s">
        <v>82</v>
      </c>
      <c r="H34" s="65" t="s">
        <v>82</v>
      </c>
      <c r="I34" s="65"/>
      <c r="J34" s="65" t="s">
        <v>82</v>
      </c>
      <c r="K34" s="65" t="s">
        <v>90</v>
      </c>
      <c r="L34" s="66" t="b">
        <v>0</v>
      </c>
    </row>
    <row r="35">
      <c r="A35" s="65" t="s">
        <v>112</v>
      </c>
      <c r="B35" s="65"/>
      <c r="C35" s="65"/>
      <c r="D35" s="65"/>
      <c r="E35" s="65"/>
      <c r="F35" s="65"/>
      <c r="G35" s="65"/>
      <c r="H35" s="65"/>
      <c r="I35" s="65"/>
      <c r="J35" s="65"/>
      <c r="K35" s="65" t="s">
        <v>90</v>
      </c>
      <c r="L35" s="66" t="b">
        <v>0</v>
      </c>
    </row>
    <row r="36">
      <c r="A36" s="65" t="s">
        <v>113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6" t="b">
        <v>1</v>
      </c>
    </row>
    <row r="37">
      <c r="A37" s="65" t="s">
        <v>114</v>
      </c>
      <c r="B37" s="65"/>
      <c r="C37" s="65"/>
      <c r="D37" s="65"/>
      <c r="E37" s="65"/>
      <c r="F37" s="65"/>
      <c r="G37" s="65"/>
      <c r="H37" s="65"/>
      <c r="I37" s="65"/>
      <c r="J37" s="65"/>
      <c r="K37" s="65" t="s">
        <v>90</v>
      </c>
      <c r="L37" s="66" t="b">
        <v>1</v>
      </c>
    </row>
    <row r="38">
      <c r="A38" s="65" t="s">
        <v>115</v>
      </c>
      <c r="B38" s="65"/>
      <c r="C38" s="65"/>
      <c r="D38" s="65"/>
      <c r="E38" s="65"/>
      <c r="F38" s="65"/>
      <c r="G38" s="65"/>
      <c r="H38" s="65"/>
      <c r="I38" s="65"/>
      <c r="J38" s="65"/>
      <c r="K38" s="65" t="s">
        <v>90</v>
      </c>
      <c r="L38" s="66" t="b">
        <v>1</v>
      </c>
    </row>
    <row r="39">
      <c r="A39" s="65" t="s">
        <v>116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6" t="b">
        <v>1</v>
      </c>
    </row>
    <row r="40">
      <c r="A40" s="65" t="s">
        <v>117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6" t="b">
        <v>1</v>
      </c>
    </row>
    <row r="41">
      <c r="A41" s="65" t="s">
        <v>118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7" t="b">
        <v>1</v>
      </c>
    </row>
    <row r="42">
      <c r="A42" s="65" t="s">
        <v>119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7" t="b">
        <v>1</v>
      </c>
    </row>
    <row r="43">
      <c r="A43" s="65" t="s">
        <v>120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6" t="b">
        <v>0</v>
      </c>
    </row>
    <row r="44">
      <c r="A44" s="65" t="s">
        <v>121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6" t="b">
        <v>1</v>
      </c>
    </row>
    <row r="45">
      <c r="A45" s="65" t="s">
        <v>122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6" t="b">
        <v>1</v>
      </c>
    </row>
    <row r="46">
      <c r="A46" s="65" t="s">
        <v>123</v>
      </c>
      <c r="B46" s="65"/>
      <c r="C46" s="65"/>
      <c r="D46" s="65"/>
      <c r="E46" s="65"/>
      <c r="F46" s="65"/>
      <c r="G46" s="65"/>
      <c r="H46" s="65"/>
      <c r="I46" s="65"/>
      <c r="J46" s="65"/>
      <c r="K46" s="65" t="s">
        <v>90</v>
      </c>
      <c r="L46" s="66" t="b">
        <v>1</v>
      </c>
    </row>
    <row r="47">
      <c r="A47" s="65" t="s">
        <v>124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6" t="b">
        <v>1</v>
      </c>
    </row>
    <row r="48">
      <c r="A48" s="65" t="s">
        <v>125</v>
      </c>
      <c r="B48" s="65"/>
      <c r="C48" s="65"/>
      <c r="D48" s="65"/>
      <c r="E48" s="65"/>
      <c r="F48" s="65"/>
      <c r="G48" s="65"/>
      <c r="H48" s="65"/>
      <c r="I48" s="65"/>
      <c r="J48" s="65"/>
      <c r="K48" s="65" t="s">
        <v>90</v>
      </c>
      <c r="L48" s="66" t="b">
        <v>1</v>
      </c>
    </row>
    <row r="49">
      <c r="A49" s="65" t="s">
        <v>126</v>
      </c>
      <c r="B49" s="65"/>
      <c r="C49" s="65"/>
      <c r="D49" s="65"/>
      <c r="E49" s="65"/>
      <c r="F49" s="65"/>
      <c r="G49" s="65"/>
      <c r="H49" s="65"/>
      <c r="I49" s="65"/>
      <c r="J49" s="65"/>
      <c r="K49" s="65" t="s">
        <v>90</v>
      </c>
      <c r="L49" s="66" t="b">
        <v>1</v>
      </c>
    </row>
    <row r="50">
      <c r="A50" s="65" t="s">
        <v>127</v>
      </c>
      <c r="B50" s="65"/>
      <c r="C50" s="65"/>
      <c r="D50" s="65"/>
      <c r="E50" s="65"/>
      <c r="F50" s="65"/>
      <c r="G50" s="65"/>
      <c r="H50" s="65"/>
      <c r="I50" s="65"/>
      <c r="J50" s="65"/>
      <c r="K50" s="65" t="s">
        <v>90</v>
      </c>
      <c r="L50" s="66" t="b">
        <v>1</v>
      </c>
    </row>
    <row r="51">
      <c r="A51" s="65" t="s">
        <v>128</v>
      </c>
      <c r="B51" s="65"/>
      <c r="C51" s="65"/>
      <c r="D51" s="65"/>
      <c r="E51" s="65"/>
      <c r="F51" s="65"/>
      <c r="G51" s="65"/>
      <c r="H51" s="65"/>
      <c r="I51" s="65"/>
      <c r="J51" s="65"/>
      <c r="K51" s="65" t="s">
        <v>90</v>
      </c>
      <c r="L51" s="66" t="b">
        <v>1</v>
      </c>
    </row>
    <row r="52">
      <c r="A52" s="65" t="s">
        <v>129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6" t="b">
        <v>1</v>
      </c>
    </row>
    <row r="53">
      <c r="A53" s="65" t="s">
        <v>130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6" t="b">
        <v>1</v>
      </c>
    </row>
    <row r="54">
      <c r="A54" s="65" t="s">
        <v>131</v>
      </c>
      <c r="B54" s="65"/>
      <c r="C54" s="65"/>
      <c r="D54" s="65"/>
      <c r="E54" s="65"/>
      <c r="F54" s="65"/>
      <c r="G54" s="65"/>
      <c r="H54" s="65"/>
      <c r="I54" s="65"/>
      <c r="J54" s="65"/>
      <c r="K54" s="65" t="s">
        <v>90</v>
      </c>
      <c r="L54" s="66" t="b">
        <v>0</v>
      </c>
    </row>
    <row r="55">
      <c r="A55" s="65" t="s">
        <v>132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6" t="b">
        <v>0</v>
      </c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6" t="b">
        <v>0</v>
      </c>
    </row>
  </sheetData>
  <autoFilter ref="$A$5:$L$5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1.38"/>
    <col customWidth="1" min="3" max="3" width="25.0"/>
    <col customWidth="1" min="4" max="4" width="9.25"/>
    <col customWidth="1" min="5" max="5" width="73.88"/>
    <col customWidth="1" min="6" max="9" width="11.63"/>
    <col customWidth="1" min="10" max="11" width="15.88"/>
    <col customWidth="1" min="13" max="13" width="10.75"/>
    <col customWidth="1" min="14" max="15" width="11.75"/>
  </cols>
  <sheetData>
    <row r="1" ht="11.25" customHeight="1">
      <c r="A1" s="60"/>
      <c r="B1" s="60"/>
      <c r="C1" s="60"/>
      <c r="D1" s="60"/>
      <c r="E1" s="40"/>
      <c r="F1" s="68"/>
      <c r="G1" s="69"/>
      <c r="H1" s="70"/>
      <c r="I1" s="71"/>
      <c r="J1" s="61"/>
      <c r="K1" s="61"/>
      <c r="L1" s="61"/>
      <c r="M1" s="61"/>
      <c r="N1" s="61"/>
      <c r="O1" s="61"/>
    </row>
    <row r="2">
      <c r="A2" s="62" t="s">
        <v>80</v>
      </c>
      <c r="B2" s="61"/>
      <c r="C2" s="61"/>
      <c r="D2" s="61"/>
      <c r="E2" s="61"/>
      <c r="F2" s="68"/>
      <c r="G2" s="69"/>
      <c r="H2" s="70"/>
      <c r="I2" s="71"/>
      <c r="J2" s="61"/>
      <c r="K2" s="61"/>
      <c r="L2" s="61"/>
      <c r="M2" s="40"/>
      <c r="N2" s="72"/>
      <c r="O2" s="40"/>
    </row>
    <row r="3">
      <c r="A3" s="5" t="s">
        <v>1</v>
      </c>
      <c r="B3" s="61"/>
      <c r="C3" s="61"/>
      <c r="D3" s="61"/>
      <c r="E3" s="61"/>
      <c r="F3" s="68"/>
      <c r="G3" s="69"/>
      <c r="H3" s="70"/>
      <c r="I3" s="71"/>
      <c r="J3" s="61"/>
      <c r="K3" s="61"/>
      <c r="L3" s="61"/>
      <c r="M3" s="73" t="s">
        <v>133</v>
      </c>
      <c r="N3" s="72">
        <f>N5-N4</f>
        <v>356413.4018</v>
      </c>
      <c r="O3" s="61"/>
    </row>
    <row r="4">
      <c r="A4" s="63"/>
      <c r="B4" s="61"/>
      <c r="C4" s="61"/>
      <c r="D4" s="61"/>
      <c r="E4" s="61"/>
      <c r="F4" s="68"/>
      <c r="G4" s="69"/>
      <c r="H4" s="70"/>
      <c r="I4" s="71"/>
      <c r="J4" s="61"/>
      <c r="K4" s="61"/>
      <c r="L4" s="61"/>
      <c r="M4" s="73" t="s">
        <v>134</v>
      </c>
      <c r="N4" s="74">
        <f>IFERROR(__xludf.DUMMYFUNCTION("SUMIF($B$7:$B4641,FILTER(Pessoal!$A$9:$A$18,Pessoal!$U$9:$U$18 = ""Exclusivo"",MATCH(Pessoal!$A$9:$A$18,FILTER(Pessoal!$A$29:$A$40,Pessoal!$U$29:$U$40 = TRUE),0)),$N$7:$N4641)"),0.0)</f>
        <v>0</v>
      </c>
      <c r="O4" s="74"/>
    </row>
    <row r="5">
      <c r="A5" s="63"/>
      <c r="B5" s="61"/>
      <c r="C5" s="61"/>
      <c r="D5" s="61"/>
      <c r="E5" s="61"/>
      <c r="F5" s="68"/>
      <c r="G5" s="69"/>
      <c r="H5" s="70"/>
      <c r="I5" s="71"/>
      <c r="J5" s="61"/>
      <c r="K5" s="61"/>
      <c r="L5" s="61"/>
      <c r="M5" s="75" t="s">
        <v>135</v>
      </c>
      <c r="N5" s="76">
        <f>SUM(N7:N4641)</f>
        <v>356413.4018</v>
      </c>
      <c r="O5" s="77"/>
    </row>
    <row r="6">
      <c r="A6" s="64" t="s">
        <v>136</v>
      </c>
      <c r="B6" s="64" t="s">
        <v>137</v>
      </c>
      <c r="C6" s="64" t="s">
        <v>70</v>
      </c>
      <c r="D6" s="64"/>
      <c r="E6" s="64" t="s">
        <v>78</v>
      </c>
      <c r="F6" s="78" t="s">
        <v>138</v>
      </c>
      <c r="G6" s="79" t="s">
        <v>139</v>
      </c>
      <c r="H6" s="80" t="s">
        <v>140</v>
      </c>
      <c r="I6" s="78" t="s">
        <v>141</v>
      </c>
      <c r="J6" s="64" t="s">
        <v>142</v>
      </c>
      <c r="K6" s="64"/>
      <c r="L6" s="64" t="s">
        <v>79</v>
      </c>
      <c r="M6" s="81" t="s">
        <v>143</v>
      </c>
      <c r="N6" s="81" t="s">
        <v>144</v>
      </c>
      <c r="O6" s="81" t="s">
        <v>145</v>
      </c>
    </row>
    <row r="7" hidden="1">
      <c r="A7" s="82"/>
      <c r="B7" s="65" t="s">
        <v>146</v>
      </c>
      <c r="C7" s="65" t="s">
        <v>130</v>
      </c>
      <c r="D7" s="65" t="str">
        <f>vlookup(C7,'Classificação p pessoal'!F:G,2,false)</f>
        <v>NP</v>
      </c>
      <c r="E7" s="65" t="s">
        <v>147</v>
      </c>
      <c r="F7" s="83">
        <v>0.5625</v>
      </c>
      <c r="G7" s="83">
        <v>0.75</v>
      </c>
      <c r="H7" s="83">
        <v>0.1875</v>
      </c>
      <c r="I7" s="84">
        <v>44200.0</v>
      </c>
      <c r="J7" s="65" t="b">
        <v>1</v>
      </c>
      <c r="K7" s="65"/>
      <c r="L7" s="85" t="b">
        <f>IF(VLOOKUP(C7,Projetos!A:L,12,false)=TRUE,TRUE,FALSE)</f>
        <v>1</v>
      </c>
      <c r="M7" s="74">
        <f t="array" ref="M7:M4641">VLOOKUP(B7:B4641,Pessoal!$A$28:$R$40,MONTH(F7:F4641)+6,false)</f>
        <v>33.15972725</v>
      </c>
      <c r="N7" s="74">
        <f t="shared" ref="N7:N4641" si="1">IFERROR(IF(AND(J7=TRUE,O7=TRUE,YEAR(F7)&lt;2021),H7,"")*(M7*24),0)</f>
        <v>149.2187726</v>
      </c>
      <c r="O7" s="74" t="b">
        <f t="array" ref="O7:O4641">VLOOKUP(C7:C4641,Projetos!A6:L4641,12,false)</f>
        <v>1</v>
      </c>
    </row>
    <row r="8" hidden="1">
      <c r="A8" s="82"/>
      <c r="B8" s="65" t="s">
        <v>146</v>
      </c>
      <c r="C8" s="65" t="s">
        <v>130</v>
      </c>
      <c r="D8" s="65" t="str">
        <f>vlookup(C8,'Classificação p pessoal'!F:G,2,false)</f>
        <v>NP</v>
      </c>
      <c r="E8" s="65" t="s">
        <v>147</v>
      </c>
      <c r="F8" s="83">
        <v>0.34375</v>
      </c>
      <c r="G8" s="83">
        <v>0.5104166666666666</v>
      </c>
      <c r="H8" s="83">
        <v>0.16666666666666666</v>
      </c>
      <c r="I8" s="84">
        <v>44201.0</v>
      </c>
      <c r="J8" s="65" t="b">
        <v>1</v>
      </c>
      <c r="K8" s="65"/>
      <c r="L8" s="85" t="b">
        <f>IF(VLOOKUP(C8,Projetos!A:L,12,false)=TRUE,TRUE,FALSE)</f>
        <v>1</v>
      </c>
      <c r="M8" s="74">
        <v>33.15972725468975</v>
      </c>
      <c r="N8" s="74">
        <f t="shared" si="1"/>
        <v>132.638909</v>
      </c>
      <c r="O8" s="74" t="b">
        <v>1</v>
      </c>
    </row>
    <row r="9" hidden="1">
      <c r="A9" s="82"/>
      <c r="B9" s="65" t="s">
        <v>146</v>
      </c>
      <c r="C9" s="65" t="s">
        <v>121</v>
      </c>
      <c r="D9" s="65" t="str">
        <f>vlookup(C9,'Classificação p pessoal'!F:G,2,false)</f>
        <v>NP</v>
      </c>
      <c r="E9" s="65" t="s">
        <v>148</v>
      </c>
      <c r="F9" s="83">
        <v>0.5625</v>
      </c>
      <c r="G9" s="83">
        <v>0.75</v>
      </c>
      <c r="H9" s="83">
        <v>0.1875</v>
      </c>
      <c r="I9" s="84">
        <v>44201.0</v>
      </c>
      <c r="J9" s="65" t="b">
        <v>1</v>
      </c>
      <c r="K9" s="65"/>
      <c r="L9" s="85" t="b">
        <f>IF(VLOOKUP(C9,Projetos!A:L,12,false)=TRUE,TRUE,FALSE)</f>
        <v>1</v>
      </c>
      <c r="M9" s="74">
        <v>33.15972725468975</v>
      </c>
      <c r="N9" s="74">
        <f t="shared" si="1"/>
        <v>149.2187726</v>
      </c>
      <c r="O9" s="74" t="b">
        <v>1</v>
      </c>
    </row>
    <row r="10" hidden="1">
      <c r="A10" s="82"/>
      <c r="B10" s="65" t="s">
        <v>146</v>
      </c>
      <c r="C10" s="65" t="s">
        <v>130</v>
      </c>
      <c r="D10" s="65" t="str">
        <f>vlookup(C10,'Classificação p pessoal'!F:G,2,false)</f>
        <v>NP</v>
      </c>
      <c r="E10" s="65" t="s">
        <v>147</v>
      </c>
      <c r="F10" s="83">
        <v>0.3541666666666667</v>
      </c>
      <c r="G10" s="83">
        <v>0.5625</v>
      </c>
      <c r="H10" s="83">
        <v>0.20833333333333334</v>
      </c>
      <c r="I10" s="84">
        <v>44202.0</v>
      </c>
      <c r="J10" s="65" t="b">
        <v>1</v>
      </c>
      <c r="K10" s="65"/>
      <c r="L10" s="85" t="b">
        <f>IF(VLOOKUP(C10,Projetos!A:L,12,false)=TRUE,TRUE,FALSE)</f>
        <v>1</v>
      </c>
      <c r="M10" s="74">
        <v>33.15972725468975</v>
      </c>
      <c r="N10" s="74">
        <f t="shared" si="1"/>
        <v>165.7986363</v>
      </c>
      <c r="O10" s="74" t="b">
        <v>1</v>
      </c>
    </row>
    <row r="11" hidden="1">
      <c r="A11" s="82"/>
      <c r="B11" s="65" t="s">
        <v>146</v>
      </c>
      <c r="C11" s="65" t="s">
        <v>121</v>
      </c>
      <c r="D11" s="65" t="str">
        <f>vlookup(C11,'Classificação p pessoal'!F:G,2,false)</f>
        <v>NP</v>
      </c>
      <c r="E11" s="65" t="s">
        <v>148</v>
      </c>
      <c r="F11" s="83">
        <v>0.625</v>
      </c>
      <c r="G11" s="83">
        <v>0.75</v>
      </c>
      <c r="H11" s="83">
        <v>0.125</v>
      </c>
      <c r="I11" s="84">
        <v>44202.0</v>
      </c>
      <c r="J11" s="65" t="b">
        <v>1</v>
      </c>
      <c r="K11" s="65"/>
      <c r="L11" s="85" t="b">
        <f>IF(VLOOKUP(C11,Projetos!A:L,12,false)=TRUE,TRUE,FALSE)</f>
        <v>1</v>
      </c>
      <c r="M11" s="74">
        <v>33.15972725468975</v>
      </c>
      <c r="N11" s="74">
        <f t="shared" si="1"/>
        <v>99.47918176</v>
      </c>
      <c r="O11" s="74" t="b">
        <v>1</v>
      </c>
    </row>
    <row r="12" hidden="1">
      <c r="A12" s="82"/>
      <c r="B12" s="65" t="s">
        <v>146</v>
      </c>
      <c r="C12" s="65" t="s">
        <v>130</v>
      </c>
      <c r="D12" s="65" t="str">
        <f>vlookup(C12,'Classificação p pessoal'!F:G,2,false)</f>
        <v>NP</v>
      </c>
      <c r="E12" s="65" t="s">
        <v>147</v>
      </c>
      <c r="F12" s="83">
        <v>0.3541666666666667</v>
      </c>
      <c r="G12" s="83">
        <v>0.4583333333333333</v>
      </c>
      <c r="H12" s="83">
        <v>0.10416666666666667</v>
      </c>
      <c r="I12" s="84">
        <v>44203.0</v>
      </c>
      <c r="J12" s="65" t="b">
        <v>1</v>
      </c>
      <c r="K12" s="65"/>
      <c r="L12" s="85" t="b">
        <f>IF(VLOOKUP(C12,Projetos!A:L,12,false)=TRUE,TRUE,FALSE)</f>
        <v>1</v>
      </c>
      <c r="M12" s="74">
        <v>33.15972725468975</v>
      </c>
      <c r="N12" s="74">
        <f t="shared" si="1"/>
        <v>82.89931814</v>
      </c>
      <c r="O12" s="74" t="b">
        <v>1</v>
      </c>
    </row>
    <row r="13" hidden="1">
      <c r="A13" s="82"/>
      <c r="B13" s="65" t="s">
        <v>146</v>
      </c>
      <c r="C13" s="65" t="s">
        <v>121</v>
      </c>
      <c r="D13" s="65" t="str">
        <f>vlookup(C13,'Classificação p pessoal'!F:G,2,false)</f>
        <v>NP</v>
      </c>
      <c r="E13" s="65" t="s">
        <v>148</v>
      </c>
      <c r="F13" s="83">
        <v>0.5625</v>
      </c>
      <c r="G13" s="83">
        <v>0.75</v>
      </c>
      <c r="H13" s="83">
        <v>0.1875</v>
      </c>
      <c r="I13" s="84">
        <v>44203.0</v>
      </c>
      <c r="J13" s="65" t="b">
        <v>1</v>
      </c>
      <c r="K13" s="65"/>
      <c r="L13" s="85" t="b">
        <f>IF(VLOOKUP(C13,Projetos!A:L,12,false)=TRUE,TRUE,FALSE)</f>
        <v>1</v>
      </c>
      <c r="M13" s="74">
        <v>33.15972725468975</v>
      </c>
      <c r="N13" s="74">
        <f t="shared" si="1"/>
        <v>149.2187726</v>
      </c>
      <c r="O13" s="74" t="b">
        <v>1</v>
      </c>
    </row>
    <row r="14" hidden="1">
      <c r="A14" s="82"/>
      <c r="B14" s="65" t="s">
        <v>146</v>
      </c>
      <c r="C14" s="65" t="s">
        <v>130</v>
      </c>
      <c r="D14" s="65" t="str">
        <f>vlookup(C14,'Classificação p pessoal'!F:G,2,false)</f>
        <v>NP</v>
      </c>
      <c r="E14" s="65" t="s">
        <v>147</v>
      </c>
      <c r="F14" s="83">
        <v>0.3541666666666667</v>
      </c>
      <c r="G14" s="83">
        <v>0.5625</v>
      </c>
      <c r="H14" s="83">
        <v>0.20833333333333334</v>
      </c>
      <c r="I14" s="84">
        <v>44204.0</v>
      </c>
      <c r="J14" s="65" t="b">
        <v>1</v>
      </c>
      <c r="K14" s="65"/>
      <c r="L14" s="85" t="b">
        <f>IF(VLOOKUP(C14,Projetos!A:L,12,false)=TRUE,TRUE,FALSE)</f>
        <v>1</v>
      </c>
      <c r="M14" s="74">
        <v>33.15972725468975</v>
      </c>
      <c r="N14" s="74">
        <f t="shared" si="1"/>
        <v>165.7986363</v>
      </c>
      <c r="O14" s="74" t="b">
        <v>1</v>
      </c>
    </row>
    <row r="15" hidden="1">
      <c r="A15" s="82"/>
      <c r="B15" s="65" t="s">
        <v>146</v>
      </c>
      <c r="C15" s="65" t="s">
        <v>130</v>
      </c>
      <c r="D15" s="65" t="str">
        <f>vlookup(C15,'Classificação p pessoal'!F:G,2,false)</f>
        <v>NP</v>
      </c>
      <c r="E15" s="65" t="s">
        <v>147</v>
      </c>
      <c r="F15" s="83">
        <v>0.3541666666666667</v>
      </c>
      <c r="G15" s="83">
        <v>0.5416666666666666</v>
      </c>
      <c r="H15" s="83">
        <v>0.1875</v>
      </c>
      <c r="I15" s="84">
        <v>44207.0</v>
      </c>
      <c r="J15" s="65" t="b">
        <v>1</v>
      </c>
      <c r="K15" s="65"/>
      <c r="L15" s="85" t="b">
        <f>IF(VLOOKUP(C15,Projetos!A:L,12,false)=TRUE,TRUE,FALSE)</f>
        <v>1</v>
      </c>
      <c r="M15" s="74">
        <v>33.15972725468975</v>
      </c>
      <c r="N15" s="74">
        <f t="shared" si="1"/>
        <v>149.2187726</v>
      </c>
      <c r="O15" s="74" t="b">
        <v>1</v>
      </c>
    </row>
    <row r="16" hidden="1">
      <c r="A16" s="82"/>
      <c r="B16" s="65" t="s">
        <v>146</v>
      </c>
      <c r="C16" s="65" t="s">
        <v>108</v>
      </c>
      <c r="D16" s="65"/>
      <c r="E16" s="65" t="s">
        <v>149</v>
      </c>
      <c r="F16" s="83">
        <v>0.7291666666666666</v>
      </c>
      <c r="G16" s="83">
        <v>0.75</v>
      </c>
      <c r="H16" s="83">
        <v>0.020833333333333332</v>
      </c>
      <c r="I16" s="84">
        <v>44208.0</v>
      </c>
      <c r="J16" s="65" t="b">
        <v>0</v>
      </c>
      <c r="K16" s="65" t="s">
        <v>150</v>
      </c>
      <c r="L16" s="85" t="b">
        <f>IF(VLOOKUP(C16,Projetos!A:L,12,false)=TRUE,TRUE,FALSE)</f>
        <v>1</v>
      </c>
      <c r="M16" s="74">
        <v>33.15972725468975</v>
      </c>
      <c r="N16" s="74">
        <f t="shared" si="1"/>
        <v>0</v>
      </c>
      <c r="O16" s="74" t="b">
        <v>1</v>
      </c>
    </row>
    <row r="17" hidden="1">
      <c r="A17" s="82"/>
      <c r="B17" s="65" t="s">
        <v>146</v>
      </c>
      <c r="C17" s="65" t="s">
        <v>130</v>
      </c>
      <c r="D17" s="65" t="str">
        <f>vlookup(C17,'Classificação p pessoal'!F:G,2,false)</f>
        <v>NP</v>
      </c>
      <c r="E17" s="65" t="s">
        <v>147</v>
      </c>
      <c r="F17" s="83">
        <v>0.5625</v>
      </c>
      <c r="G17" s="83">
        <v>0.7083333333333334</v>
      </c>
      <c r="H17" s="83">
        <v>0.14583333333333334</v>
      </c>
      <c r="I17" s="84">
        <v>44208.0</v>
      </c>
      <c r="J17" s="65" t="b">
        <v>1</v>
      </c>
      <c r="K17" s="65"/>
      <c r="L17" s="85" t="b">
        <f>IF(VLOOKUP(C17,Projetos!A:L,12,false)=TRUE,TRUE,FALSE)</f>
        <v>1</v>
      </c>
      <c r="M17" s="74">
        <v>33.15972725468975</v>
      </c>
      <c r="N17" s="74">
        <f t="shared" si="1"/>
        <v>116.0590454</v>
      </c>
      <c r="O17" s="74" t="b">
        <v>1</v>
      </c>
    </row>
    <row r="18" hidden="1">
      <c r="A18" s="82"/>
      <c r="B18" s="65" t="s">
        <v>146</v>
      </c>
      <c r="C18" s="65" t="s">
        <v>108</v>
      </c>
      <c r="D18" s="65"/>
      <c r="E18" s="65" t="s">
        <v>149</v>
      </c>
      <c r="F18" s="83">
        <v>0.4166666666666667</v>
      </c>
      <c r="G18" s="83">
        <v>0.4583333333333333</v>
      </c>
      <c r="H18" s="83">
        <v>0.041666666666666664</v>
      </c>
      <c r="I18" s="84">
        <v>44209.0</v>
      </c>
      <c r="J18" s="65" t="b">
        <v>0</v>
      </c>
      <c r="K18" s="65" t="s">
        <v>150</v>
      </c>
      <c r="L18" s="85" t="b">
        <f>IF(VLOOKUP(C18,Projetos!A:L,12,false)=TRUE,TRUE,FALSE)</f>
        <v>1</v>
      </c>
      <c r="M18" s="74">
        <v>33.15972725468975</v>
      </c>
      <c r="N18" s="74">
        <f t="shared" si="1"/>
        <v>0</v>
      </c>
      <c r="O18" s="74" t="b">
        <v>1</v>
      </c>
    </row>
    <row r="19" hidden="1">
      <c r="A19" s="82"/>
      <c r="B19" s="65" t="s">
        <v>146</v>
      </c>
      <c r="C19" s="65" t="s">
        <v>130</v>
      </c>
      <c r="D19" s="65" t="str">
        <f>vlookup(C19,'Classificação p pessoal'!F:G,2,false)</f>
        <v>NP</v>
      </c>
      <c r="E19" s="65" t="s">
        <v>147</v>
      </c>
      <c r="F19" s="83">
        <v>0.5625</v>
      </c>
      <c r="G19" s="83">
        <v>0.75</v>
      </c>
      <c r="H19" s="83">
        <v>0.1875</v>
      </c>
      <c r="I19" s="84">
        <v>44209.0</v>
      </c>
      <c r="J19" s="65" t="b">
        <v>1</v>
      </c>
      <c r="K19" s="65"/>
      <c r="L19" s="85" t="b">
        <f>IF(VLOOKUP(C19,Projetos!A:L,12,false)=TRUE,TRUE,FALSE)</f>
        <v>1</v>
      </c>
      <c r="M19" s="74">
        <v>33.15972725468975</v>
      </c>
      <c r="N19" s="74">
        <f t="shared" si="1"/>
        <v>149.2187726</v>
      </c>
      <c r="O19" s="74" t="b">
        <v>1</v>
      </c>
    </row>
    <row r="20" hidden="1">
      <c r="A20" s="82"/>
      <c r="B20" s="65" t="s">
        <v>146</v>
      </c>
      <c r="C20" s="65" t="s">
        <v>121</v>
      </c>
      <c r="D20" s="65" t="str">
        <f>vlookup(C20,'Classificação p pessoal'!F:G,2,false)</f>
        <v>NP</v>
      </c>
      <c r="E20" s="65" t="s">
        <v>148</v>
      </c>
      <c r="F20" s="83">
        <v>0.3541666666666667</v>
      </c>
      <c r="G20" s="83">
        <v>0.5208333333333334</v>
      </c>
      <c r="H20" s="83">
        <v>0.16666666666666666</v>
      </c>
      <c r="I20" s="84">
        <v>44210.0</v>
      </c>
      <c r="J20" s="65" t="b">
        <v>1</v>
      </c>
      <c r="K20" s="65"/>
      <c r="L20" s="85" t="b">
        <f>IF(VLOOKUP(C20,Projetos!A:L,12,false)=TRUE,TRUE,FALSE)</f>
        <v>1</v>
      </c>
      <c r="M20" s="74">
        <v>33.15972725468975</v>
      </c>
      <c r="N20" s="74">
        <f t="shared" si="1"/>
        <v>132.638909</v>
      </c>
      <c r="O20" s="74" t="b">
        <v>1</v>
      </c>
    </row>
    <row r="21" hidden="1">
      <c r="A21" s="82"/>
      <c r="B21" s="65" t="s">
        <v>146</v>
      </c>
      <c r="C21" s="65" t="s">
        <v>130</v>
      </c>
      <c r="D21" s="65" t="str">
        <f>vlookup(C21,'Classificação p pessoal'!F:G,2,false)</f>
        <v>NP</v>
      </c>
      <c r="E21" s="65" t="s">
        <v>147</v>
      </c>
      <c r="F21" s="83">
        <v>0.5833333333333334</v>
      </c>
      <c r="G21" s="83">
        <v>0.75</v>
      </c>
      <c r="H21" s="83">
        <v>0.16666666666666666</v>
      </c>
      <c r="I21" s="84">
        <v>44210.0</v>
      </c>
      <c r="J21" s="65" t="b">
        <v>1</v>
      </c>
      <c r="K21" s="65"/>
      <c r="L21" s="85" t="b">
        <f>IF(VLOOKUP(C21,Projetos!A:L,12,false)=TRUE,TRUE,FALSE)</f>
        <v>1</v>
      </c>
      <c r="M21" s="74">
        <v>33.15972725468975</v>
      </c>
      <c r="N21" s="74">
        <f t="shared" si="1"/>
        <v>132.638909</v>
      </c>
      <c r="O21" s="74" t="b">
        <v>1</v>
      </c>
    </row>
    <row r="22" hidden="1">
      <c r="A22" s="82"/>
      <c r="B22" s="65" t="s">
        <v>146</v>
      </c>
      <c r="C22" s="65" t="s">
        <v>130</v>
      </c>
      <c r="D22" s="65" t="str">
        <f>vlookup(C22,'Classificação p pessoal'!F:G,2,false)</f>
        <v>NP</v>
      </c>
      <c r="E22" s="65" t="s">
        <v>147</v>
      </c>
      <c r="F22" s="83">
        <v>0.3541666666666667</v>
      </c>
      <c r="G22" s="83">
        <v>0.4375</v>
      </c>
      <c r="H22" s="83">
        <v>0.08333333333333333</v>
      </c>
      <c r="I22" s="84">
        <v>44211.0</v>
      </c>
      <c r="J22" s="65" t="b">
        <v>1</v>
      </c>
      <c r="K22" s="65"/>
      <c r="L22" s="85" t="b">
        <f>IF(VLOOKUP(C22,Projetos!A:L,12,false)=TRUE,TRUE,FALSE)</f>
        <v>1</v>
      </c>
      <c r="M22" s="74">
        <v>33.15972725468975</v>
      </c>
      <c r="N22" s="74">
        <f t="shared" si="1"/>
        <v>66.31945451</v>
      </c>
      <c r="O22" s="74" t="b">
        <v>1</v>
      </c>
    </row>
    <row r="23" hidden="1">
      <c r="A23" s="82"/>
      <c r="B23" s="65" t="s">
        <v>146</v>
      </c>
      <c r="C23" s="65" t="s">
        <v>127</v>
      </c>
      <c r="D23" s="65" t="str">
        <f>vlookup(C23,'Classificação p pessoal'!F:G,2,false)</f>
        <v>NP</v>
      </c>
      <c r="E23" s="65" t="s">
        <v>148</v>
      </c>
      <c r="F23" s="83">
        <v>0.5416666666666666</v>
      </c>
      <c r="G23" s="83">
        <v>0.75</v>
      </c>
      <c r="H23" s="83">
        <v>0.20833333333333334</v>
      </c>
      <c r="I23" s="84">
        <v>44214.0</v>
      </c>
      <c r="J23" s="65" t="b">
        <v>1</v>
      </c>
      <c r="K23" s="65"/>
      <c r="L23" s="85" t="b">
        <f>IF(VLOOKUP(C23,Projetos!A:L,12,false)=TRUE,TRUE,FALSE)</f>
        <v>1</v>
      </c>
      <c r="M23" s="74">
        <v>33.15972725468975</v>
      </c>
      <c r="N23" s="74">
        <f t="shared" si="1"/>
        <v>165.7986363</v>
      </c>
      <c r="O23" s="74" t="b">
        <v>1</v>
      </c>
    </row>
    <row r="24" hidden="1">
      <c r="A24" s="82"/>
      <c r="B24" s="65" t="s">
        <v>146</v>
      </c>
      <c r="C24" s="65" t="s">
        <v>121</v>
      </c>
      <c r="D24" s="65" t="str">
        <f>vlookup(C24,'Classificação p pessoal'!F:G,2,false)</f>
        <v>NP</v>
      </c>
      <c r="E24" s="65" t="s">
        <v>148</v>
      </c>
      <c r="F24" s="83">
        <v>0.3541666666666667</v>
      </c>
      <c r="G24" s="83">
        <v>0.5625</v>
      </c>
      <c r="H24" s="83">
        <v>0.20833333333333334</v>
      </c>
      <c r="I24" s="84">
        <v>44215.0</v>
      </c>
      <c r="J24" s="65" t="b">
        <v>1</v>
      </c>
      <c r="K24" s="65"/>
      <c r="L24" s="85" t="b">
        <f>IF(VLOOKUP(C24,Projetos!A:L,12,false)=TRUE,TRUE,FALSE)</f>
        <v>1</v>
      </c>
      <c r="M24" s="74">
        <v>33.15972725468975</v>
      </c>
      <c r="N24" s="74">
        <f t="shared" si="1"/>
        <v>165.7986363</v>
      </c>
      <c r="O24" s="74" t="b">
        <v>1</v>
      </c>
    </row>
    <row r="25" hidden="1">
      <c r="A25" s="82"/>
      <c r="B25" s="65" t="s">
        <v>146</v>
      </c>
      <c r="C25" s="65" t="s">
        <v>121</v>
      </c>
      <c r="D25" s="65" t="str">
        <f>vlookup(C25,'Classificação p pessoal'!F:G,2,false)</f>
        <v>NP</v>
      </c>
      <c r="E25" s="65" t="s">
        <v>148</v>
      </c>
      <c r="F25" s="83">
        <v>0.3541666666666667</v>
      </c>
      <c r="G25" s="83">
        <v>0.5416666666666666</v>
      </c>
      <c r="H25" s="83">
        <v>0.1875</v>
      </c>
      <c r="I25" s="84">
        <v>44216.0</v>
      </c>
      <c r="J25" s="65" t="b">
        <v>1</v>
      </c>
      <c r="K25" s="65"/>
      <c r="L25" s="85" t="b">
        <f>IF(VLOOKUP(C25,Projetos!A:L,12,false)=TRUE,TRUE,FALSE)</f>
        <v>1</v>
      </c>
      <c r="M25" s="74">
        <v>33.15972725468975</v>
      </c>
      <c r="N25" s="74">
        <f t="shared" si="1"/>
        <v>149.2187726</v>
      </c>
      <c r="O25" s="74" t="b">
        <v>1</v>
      </c>
    </row>
    <row r="26" hidden="1">
      <c r="A26" s="82"/>
      <c r="B26" s="65" t="s">
        <v>146</v>
      </c>
      <c r="C26" s="65" t="s">
        <v>88</v>
      </c>
      <c r="D26" s="65"/>
      <c r="E26" s="65" t="s">
        <v>149</v>
      </c>
      <c r="F26" s="83">
        <v>0.5625</v>
      </c>
      <c r="G26" s="83">
        <v>0.75</v>
      </c>
      <c r="H26" s="83">
        <v>0.1875</v>
      </c>
      <c r="I26" s="84">
        <v>44217.0</v>
      </c>
      <c r="J26" s="65" t="b">
        <v>0</v>
      </c>
      <c r="K26" s="65" t="s">
        <v>150</v>
      </c>
      <c r="L26" s="85" t="b">
        <f>IF(VLOOKUP(C26,Projetos!A:L,12,false)=TRUE,TRUE,FALSE)</f>
        <v>1</v>
      </c>
      <c r="M26" s="74">
        <v>33.15972725468975</v>
      </c>
      <c r="N26" s="74">
        <f t="shared" si="1"/>
        <v>0</v>
      </c>
      <c r="O26" s="74" t="b">
        <v>1</v>
      </c>
    </row>
    <row r="27" hidden="1">
      <c r="A27" s="82"/>
      <c r="B27" s="65" t="s">
        <v>146</v>
      </c>
      <c r="C27" s="65" t="s">
        <v>88</v>
      </c>
      <c r="D27" s="65"/>
      <c r="E27" s="65" t="s">
        <v>149</v>
      </c>
      <c r="F27" s="83">
        <v>0.5208333333333334</v>
      </c>
      <c r="G27" s="83">
        <v>0.75</v>
      </c>
      <c r="H27" s="83">
        <v>0.22916666666666666</v>
      </c>
      <c r="I27" s="84">
        <v>44218.0</v>
      </c>
      <c r="J27" s="65" t="b">
        <v>0</v>
      </c>
      <c r="K27" s="65" t="s">
        <v>150</v>
      </c>
      <c r="L27" s="85" t="b">
        <f>IF(VLOOKUP(C27,Projetos!A:L,12,false)=TRUE,TRUE,FALSE)</f>
        <v>1</v>
      </c>
      <c r="M27" s="74">
        <v>33.15972725468975</v>
      </c>
      <c r="N27" s="74">
        <f t="shared" si="1"/>
        <v>0</v>
      </c>
      <c r="O27" s="74" t="b">
        <v>1</v>
      </c>
    </row>
    <row r="28" hidden="1">
      <c r="A28" s="82"/>
      <c r="B28" s="65" t="s">
        <v>146</v>
      </c>
      <c r="C28" s="65" t="s">
        <v>88</v>
      </c>
      <c r="D28" s="65"/>
      <c r="E28" s="65" t="s">
        <v>149</v>
      </c>
      <c r="F28" s="83">
        <v>0.34375</v>
      </c>
      <c r="G28" s="83">
        <v>0.5416666666666666</v>
      </c>
      <c r="H28" s="83">
        <v>0.19791666666666666</v>
      </c>
      <c r="I28" s="84">
        <v>44221.0</v>
      </c>
      <c r="J28" s="65" t="b">
        <v>0</v>
      </c>
      <c r="K28" s="65" t="s">
        <v>150</v>
      </c>
      <c r="L28" s="85" t="b">
        <f>IF(VLOOKUP(C28,Projetos!A:L,12,false)=TRUE,TRUE,FALSE)</f>
        <v>1</v>
      </c>
      <c r="M28" s="74">
        <v>33.15972725468975</v>
      </c>
      <c r="N28" s="74">
        <f t="shared" si="1"/>
        <v>0</v>
      </c>
      <c r="O28" s="74" t="b">
        <v>1</v>
      </c>
    </row>
    <row r="29" hidden="1">
      <c r="A29" s="82"/>
      <c r="B29" s="65" t="s">
        <v>146</v>
      </c>
      <c r="C29" s="65" t="s">
        <v>121</v>
      </c>
      <c r="D29" s="65" t="str">
        <f>vlookup(C29,'Classificação p pessoal'!F:G,2,false)</f>
        <v>NP</v>
      </c>
      <c r="E29" s="65" t="s">
        <v>148</v>
      </c>
      <c r="F29" s="83">
        <v>0.5833333333333334</v>
      </c>
      <c r="G29" s="83">
        <v>0.75</v>
      </c>
      <c r="H29" s="83">
        <v>0.16666666666666666</v>
      </c>
      <c r="I29" s="84">
        <v>44221.0</v>
      </c>
      <c r="J29" s="65" t="b">
        <v>1</v>
      </c>
      <c r="K29" s="65"/>
      <c r="L29" s="85" t="b">
        <f>IF(VLOOKUP(C29,Projetos!A:L,12,false)=TRUE,TRUE,FALSE)</f>
        <v>1</v>
      </c>
      <c r="M29" s="74">
        <v>33.15972725468975</v>
      </c>
      <c r="N29" s="74">
        <f t="shared" si="1"/>
        <v>132.638909</v>
      </c>
      <c r="O29" s="74" t="b">
        <v>1</v>
      </c>
    </row>
    <row r="30" hidden="1">
      <c r="A30" s="82"/>
      <c r="B30" s="65" t="s">
        <v>146</v>
      </c>
      <c r="C30" s="65" t="s">
        <v>121</v>
      </c>
      <c r="D30" s="65" t="str">
        <f>vlookup(C30,'Classificação p pessoal'!F:G,2,false)</f>
        <v>NP</v>
      </c>
      <c r="E30" s="65" t="s">
        <v>148</v>
      </c>
      <c r="F30" s="83">
        <v>0.34375</v>
      </c>
      <c r="G30" s="83">
        <v>0.5416666666666666</v>
      </c>
      <c r="H30" s="83">
        <v>0.19791666666666666</v>
      </c>
      <c r="I30" s="84">
        <v>44222.0</v>
      </c>
      <c r="J30" s="65" t="b">
        <v>1</v>
      </c>
      <c r="K30" s="65"/>
      <c r="L30" s="85" t="b">
        <f>IF(VLOOKUP(C30,Projetos!A:L,12,false)=TRUE,TRUE,FALSE)</f>
        <v>1</v>
      </c>
      <c r="M30" s="74">
        <v>33.15972725468975</v>
      </c>
      <c r="N30" s="74">
        <f t="shared" si="1"/>
        <v>157.5087045</v>
      </c>
      <c r="O30" s="74" t="b">
        <v>1</v>
      </c>
    </row>
    <row r="31" hidden="1">
      <c r="A31" s="82"/>
      <c r="B31" s="65" t="s">
        <v>146</v>
      </c>
      <c r="C31" s="65" t="s">
        <v>88</v>
      </c>
      <c r="D31" s="65"/>
      <c r="E31" s="65" t="s">
        <v>149</v>
      </c>
      <c r="F31" s="83">
        <v>0.5833333333333334</v>
      </c>
      <c r="G31" s="83">
        <v>0.75</v>
      </c>
      <c r="H31" s="83">
        <v>0.16666666666666666</v>
      </c>
      <c r="I31" s="84">
        <v>44222.0</v>
      </c>
      <c r="J31" s="65" t="b">
        <v>0</v>
      </c>
      <c r="K31" s="65" t="s">
        <v>150</v>
      </c>
      <c r="L31" s="85" t="b">
        <f>IF(VLOOKUP(C31,Projetos!A:L,12,false)=TRUE,TRUE,FALSE)</f>
        <v>1</v>
      </c>
      <c r="M31" s="74">
        <v>33.15972725468975</v>
      </c>
      <c r="N31" s="74">
        <f t="shared" si="1"/>
        <v>0</v>
      </c>
      <c r="O31" s="74" t="b">
        <v>1</v>
      </c>
    </row>
    <row r="32" hidden="1">
      <c r="A32" s="82"/>
      <c r="B32" s="65" t="s">
        <v>146</v>
      </c>
      <c r="C32" s="65" t="s">
        <v>121</v>
      </c>
      <c r="D32" s="65" t="str">
        <f>vlookup(C32,'Classificação p pessoal'!F:G,2,false)</f>
        <v>NP</v>
      </c>
      <c r="E32" s="65" t="s">
        <v>148</v>
      </c>
      <c r="F32" s="83">
        <v>0.34375</v>
      </c>
      <c r="G32" s="83">
        <v>0.5416666666666666</v>
      </c>
      <c r="H32" s="83">
        <v>0.19791666666666666</v>
      </c>
      <c r="I32" s="84">
        <v>44223.0</v>
      </c>
      <c r="J32" s="65" t="b">
        <v>1</v>
      </c>
      <c r="K32" s="65"/>
      <c r="L32" s="85" t="b">
        <f>IF(VLOOKUP(C32,Projetos!A:L,12,false)=TRUE,TRUE,FALSE)</f>
        <v>1</v>
      </c>
      <c r="M32" s="74">
        <v>33.15972725468975</v>
      </c>
      <c r="N32" s="74">
        <f t="shared" si="1"/>
        <v>157.5087045</v>
      </c>
      <c r="O32" s="74" t="b">
        <v>1</v>
      </c>
    </row>
    <row r="33" hidden="1">
      <c r="A33" s="82"/>
      <c r="B33" s="65" t="s">
        <v>146</v>
      </c>
      <c r="C33" s="65" t="s">
        <v>121</v>
      </c>
      <c r="D33" s="65" t="str">
        <f>vlookup(C33,'Classificação p pessoal'!F:G,2,false)</f>
        <v>NP</v>
      </c>
      <c r="E33" s="65" t="s">
        <v>148</v>
      </c>
      <c r="F33" s="83">
        <v>0.34375</v>
      </c>
      <c r="G33" s="83">
        <v>0.5416666666666666</v>
      </c>
      <c r="H33" s="83">
        <v>0.19791666666666666</v>
      </c>
      <c r="I33" s="84">
        <v>44224.0</v>
      </c>
      <c r="J33" s="65" t="b">
        <v>1</v>
      </c>
      <c r="K33" s="65"/>
      <c r="L33" s="85" t="b">
        <f>IF(VLOOKUP(C33,Projetos!A:L,12,false)=TRUE,TRUE,FALSE)</f>
        <v>1</v>
      </c>
      <c r="M33" s="74">
        <v>33.15972725468975</v>
      </c>
      <c r="N33" s="74">
        <f t="shared" si="1"/>
        <v>157.5087045</v>
      </c>
      <c r="O33" s="74" t="b">
        <v>1</v>
      </c>
    </row>
    <row r="34" hidden="1">
      <c r="A34" s="82"/>
      <c r="B34" s="65" t="s">
        <v>146</v>
      </c>
      <c r="C34" s="65" t="s">
        <v>121</v>
      </c>
      <c r="D34" s="65" t="str">
        <f>vlookup(C34,'Classificação p pessoal'!F:G,2,false)</f>
        <v>NP</v>
      </c>
      <c r="E34" s="65" t="s">
        <v>148</v>
      </c>
      <c r="F34" s="83">
        <v>0.34375</v>
      </c>
      <c r="G34" s="83">
        <v>0.4166666666666667</v>
      </c>
      <c r="H34" s="83">
        <v>0.07291666666666667</v>
      </c>
      <c r="I34" s="84">
        <v>44225.0</v>
      </c>
      <c r="J34" s="65" t="b">
        <v>1</v>
      </c>
      <c r="K34" s="65"/>
      <c r="L34" s="85" t="b">
        <f>IF(VLOOKUP(C34,Projetos!A:L,12,false)=TRUE,TRUE,FALSE)</f>
        <v>1</v>
      </c>
      <c r="M34" s="74">
        <v>33.15972725468975</v>
      </c>
      <c r="N34" s="74">
        <f t="shared" si="1"/>
        <v>58.0295227</v>
      </c>
      <c r="O34" s="74" t="b">
        <v>1</v>
      </c>
    </row>
    <row r="35" hidden="1">
      <c r="A35" s="82"/>
      <c r="B35" s="65" t="s">
        <v>146</v>
      </c>
      <c r="C35" s="65" t="s">
        <v>130</v>
      </c>
      <c r="D35" s="65" t="str">
        <f>vlookup(C35,'Classificação p pessoal'!F:G,2,false)</f>
        <v>NP</v>
      </c>
      <c r="E35" s="65" t="s">
        <v>147</v>
      </c>
      <c r="F35" s="83">
        <v>0.5</v>
      </c>
      <c r="G35" s="83">
        <v>0.7083333333333334</v>
      </c>
      <c r="H35" s="83">
        <v>0.20833333333333334</v>
      </c>
      <c r="I35" s="84">
        <v>44225.0</v>
      </c>
      <c r="J35" s="65" t="b">
        <v>1</v>
      </c>
      <c r="K35" s="65"/>
      <c r="L35" s="85" t="b">
        <f>IF(VLOOKUP(C35,Projetos!A:L,12,false)=TRUE,TRUE,FALSE)</f>
        <v>1</v>
      </c>
      <c r="M35" s="74">
        <v>33.15972725468975</v>
      </c>
      <c r="N35" s="74">
        <f t="shared" si="1"/>
        <v>165.7986363</v>
      </c>
      <c r="O35" s="74" t="b">
        <v>1</v>
      </c>
    </row>
    <row r="36" hidden="1">
      <c r="A36" s="82"/>
      <c r="B36" s="65" t="s">
        <v>146</v>
      </c>
      <c r="C36" s="65" t="s">
        <v>130</v>
      </c>
      <c r="D36" s="65" t="str">
        <f>vlookup(C36,'Classificação p pessoal'!F:G,2,false)</f>
        <v>NP</v>
      </c>
      <c r="E36" s="65" t="s">
        <v>147</v>
      </c>
      <c r="F36" s="83">
        <v>0.3541666666666667</v>
      </c>
      <c r="G36" s="83">
        <v>0.5208333333333334</v>
      </c>
      <c r="H36" s="83">
        <v>0.16666666666666666</v>
      </c>
      <c r="I36" s="84">
        <v>44228.0</v>
      </c>
      <c r="J36" s="65" t="b">
        <v>1</v>
      </c>
      <c r="K36" s="65"/>
      <c r="L36" s="85" t="b">
        <f>IF(VLOOKUP(C36,Projetos!A:L,12,false)=TRUE,TRUE,FALSE)</f>
        <v>1</v>
      </c>
      <c r="M36" s="74">
        <v>33.15972725468975</v>
      </c>
      <c r="N36" s="74">
        <f t="shared" si="1"/>
        <v>132.638909</v>
      </c>
      <c r="O36" s="74" t="b">
        <v>1</v>
      </c>
    </row>
    <row r="37" hidden="1">
      <c r="A37" s="82"/>
      <c r="B37" s="65" t="s">
        <v>146</v>
      </c>
      <c r="C37" s="65" t="s">
        <v>127</v>
      </c>
      <c r="D37" s="65" t="str">
        <f>vlookup(C37,'Classificação p pessoal'!F:G,2,false)</f>
        <v>NP</v>
      </c>
      <c r="E37" s="65" t="s">
        <v>148</v>
      </c>
      <c r="F37" s="83">
        <v>0.625</v>
      </c>
      <c r="G37" s="83">
        <v>0.75</v>
      </c>
      <c r="H37" s="83">
        <v>0.125</v>
      </c>
      <c r="I37" s="84">
        <v>44228.0</v>
      </c>
      <c r="J37" s="65" t="b">
        <v>1</v>
      </c>
      <c r="K37" s="65"/>
      <c r="L37" s="85" t="b">
        <f>IF(VLOOKUP(C37,Projetos!A:L,12,false)=TRUE,TRUE,FALSE)</f>
        <v>1</v>
      </c>
      <c r="M37" s="74">
        <v>33.15972725468975</v>
      </c>
      <c r="N37" s="74">
        <f t="shared" si="1"/>
        <v>99.47918176</v>
      </c>
      <c r="O37" s="74" t="b">
        <v>1</v>
      </c>
    </row>
    <row r="38" hidden="1">
      <c r="A38" s="82"/>
      <c r="B38" s="65" t="s">
        <v>146</v>
      </c>
      <c r="C38" s="65" t="s">
        <v>127</v>
      </c>
      <c r="D38" s="65" t="str">
        <f>vlookup(C38,'Classificação p pessoal'!F:G,2,false)</f>
        <v>NP</v>
      </c>
      <c r="E38" s="65" t="s">
        <v>148</v>
      </c>
      <c r="F38" s="83">
        <v>0.34375</v>
      </c>
      <c r="G38" s="83">
        <v>0.5520833333333334</v>
      </c>
      <c r="H38" s="83">
        <v>0.20833333333333334</v>
      </c>
      <c r="I38" s="84">
        <v>44229.0</v>
      </c>
      <c r="J38" s="65" t="b">
        <v>1</v>
      </c>
      <c r="K38" s="65"/>
      <c r="L38" s="85" t="b">
        <f>IF(VLOOKUP(C38,Projetos!A:L,12,false)=TRUE,TRUE,FALSE)</f>
        <v>1</v>
      </c>
      <c r="M38" s="74">
        <v>33.15972725468975</v>
      </c>
      <c r="N38" s="74">
        <f t="shared" si="1"/>
        <v>165.7986363</v>
      </c>
      <c r="O38" s="74" t="b">
        <v>1</v>
      </c>
    </row>
    <row r="39" hidden="1">
      <c r="A39" s="82"/>
      <c r="B39" s="65" t="s">
        <v>146</v>
      </c>
      <c r="C39" s="65" t="s">
        <v>127</v>
      </c>
      <c r="D39" s="65" t="str">
        <f>vlookup(C39,'Classificação p pessoal'!F:G,2,false)</f>
        <v>NP</v>
      </c>
      <c r="E39" s="65" t="s">
        <v>148</v>
      </c>
      <c r="F39" s="83">
        <v>0.34375</v>
      </c>
      <c r="G39" s="83">
        <v>0.46875</v>
      </c>
      <c r="H39" s="83">
        <v>0.125</v>
      </c>
      <c r="I39" s="84">
        <v>44230.0</v>
      </c>
      <c r="J39" s="65" t="b">
        <v>1</v>
      </c>
      <c r="K39" s="65"/>
      <c r="L39" s="85" t="b">
        <f>IF(VLOOKUP(C39,Projetos!A:L,12,false)=TRUE,TRUE,FALSE)</f>
        <v>1</v>
      </c>
      <c r="M39" s="74">
        <v>33.15972725468975</v>
      </c>
      <c r="N39" s="74">
        <f t="shared" si="1"/>
        <v>99.47918176</v>
      </c>
      <c r="O39" s="74" t="b">
        <v>1</v>
      </c>
    </row>
    <row r="40" hidden="1">
      <c r="A40" s="82"/>
      <c r="B40" s="65" t="s">
        <v>146</v>
      </c>
      <c r="C40" s="65" t="s">
        <v>130</v>
      </c>
      <c r="D40" s="65" t="str">
        <f>vlookup(C40,'Classificação p pessoal'!F:G,2,false)</f>
        <v>NP</v>
      </c>
      <c r="E40" s="65" t="s">
        <v>147</v>
      </c>
      <c r="F40" s="83">
        <v>0.625</v>
      </c>
      <c r="G40" s="83">
        <v>0.75</v>
      </c>
      <c r="H40" s="83">
        <v>0.125</v>
      </c>
      <c r="I40" s="84">
        <v>44230.0</v>
      </c>
      <c r="J40" s="65" t="b">
        <v>1</v>
      </c>
      <c r="K40" s="65"/>
      <c r="L40" s="85" t="b">
        <f>IF(VLOOKUP(C40,Projetos!A:L,12,false)=TRUE,TRUE,FALSE)</f>
        <v>1</v>
      </c>
      <c r="M40" s="74">
        <v>33.15972725468975</v>
      </c>
      <c r="N40" s="74">
        <f t="shared" si="1"/>
        <v>99.47918176</v>
      </c>
      <c r="O40" s="74" t="b">
        <v>1</v>
      </c>
    </row>
    <row r="41" hidden="1">
      <c r="A41" s="82"/>
      <c r="B41" s="65" t="s">
        <v>146</v>
      </c>
      <c r="C41" s="65" t="s">
        <v>130</v>
      </c>
      <c r="D41" s="65" t="str">
        <f>vlookup(C41,'Classificação p pessoal'!F:G,2,false)</f>
        <v>NP</v>
      </c>
      <c r="E41" s="65" t="s">
        <v>147</v>
      </c>
      <c r="F41" s="83">
        <v>0.34375</v>
      </c>
      <c r="G41" s="83">
        <v>0.46875</v>
      </c>
      <c r="H41" s="83">
        <v>0.125</v>
      </c>
      <c r="I41" s="84">
        <v>44231.0</v>
      </c>
      <c r="J41" s="65" t="b">
        <v>1</v>
      </c>
      <c r="K41" s="65"/>
      <c r="L41" s="85" t="b">
        <f>IF(VLOOKUP(C41,Projetos!A:L,12,false)=TRUE,TRUE,FALSE)</f>
        <v>1</v>
      </c>
      <c r="M41" s="74">
        <v>33.15972725468975</v>
      </c>
      <c r="N41" s="74">
        <f t="shared" si="1"/>
        <v>99.47918176</v>
      </c>
      <c r="O41" s="74" t="b">
        <v>1</v>
      </c>
    </row>
    <row r="42" hidden="1">
      <c r="A42" s="82"/>
      <c r="B42" s="65" t="s">
        <v>146</v>
      </c>
      <c r="C42" s="65" t="s">
        <v>127</v>
      </c>
      <c r="D42" s="65" t="str">
        <f>vlookup(C42,'Classificação p pessoal'!F:G,2,false)</f>
        <v>NP</v>
      </c>
      <c r="E42" s="65" t="s">
        <v>148</v>
      </c>
      <c r="F42" s="83">
        <v>0.5833333333333334</v>
      </c>
      <c r="G42" s="83">
        <v>0.75</v>
      </c>
      <c r="H42" s="83">
        <v>0.16666666666666666</v>
      </c>
      <c r="I42" s="84">
        <v>44231.0</v>
      </c>
      <c r="J42" s="65" t="b">
        <v>1</v>
      </c>
      <c r="K42" s="65"/>
      <c r="L42" s="85" t="b">
        <f>IF(VLOOKUP(C42,Projetos!A:L,12,false)=TRUE,TRUE,FALSE)</f>
        <v>1</v>
      </c>
      <c r="M42" s="74">
        <v>33.15972725468975</v>
      </c>
      <c r="N42" s="74">
        <f t="shared" si="1"/>
        <v>132.638909</v>
      </c>
      <c r="O42" s="74" t="b">
        <v>1</v>
      </c>
    </row>
    <row r="43" hidden="1">
      <c r="A43" s="82"/>
      <c r="B43" s="65" t="s">
        <v>146</v>
      </c>
      <c r="C43" s="65" t="s">
        <v>127</v>
      </c>
      <c r="D43" s="65" t="str">
        <f>vlookup(C43,'Classificação p pessoal'!F:G,2,false)</f>
        <v>NP</v>
      </c>
      <c r="E43" s="65" t="s">
        <v>148</v>
      </c>
      <c r="F43" s="83">
        <v>0.3541666666666667</v>
      </c>
      <c r="G43" s="83">
        <v>0.5416666666666666</v>
      </c>
      <c r="H43" s="83">
        <v>0.1875</v>
      </c>
      <c r="I43" s="84">
        <v>44232.0</v>
      </c>
      <c r="J43" s="65" t="b">
        <v>1</v>
      </c>
      <c r="K43" s="65"/>
      <c r="L43" s="85" t="b">
        <f>IF(VLOOKUP(C43,Projetos!A:L,12,false)=TRUE,TRUE,FALSE)</f>
        <v>1</v>
      </c>
      <c r="M43" s="74">
        <v>33.15972725468975</v>
      </c>
      <c r="N43" s="74">
        <f t="shared" si="1"/>
        <v>149.2187726</v>
      </c>
      <c r="O43" s="74" t="b">
        <v>1</v>
      </c>
    </row>
    <row r="44" hidden="1">
      <c r="A44" s="82"/>
      <c r="B44" s="65" t="s">
        <v>146</v>
      </c>
      <c r="C44" s="65" t="s">
        <v>130</v>
      </c>
      <c r="D44" s="65" t="str">
        <f>vlookup(C44,'Classificação p pessoal'!F:G,2,false)</f>
        <v>NP</v>
      </c>
      <c r="E44" s="65" t="s">
        <v>147</v>
      </c>
      <c r="F44" s="83">
        <v>0.6875</v>
      </c>
      <c r="G44" s="83">
        <v>0.75</v>
      </c>
      <c r="H44" s="83">
        <v>0.0625</v>
      </c>
      <c r="I44" s="84">
        <v>44232.0</v>
      </c>
      <c r="J44" s="65" t="b">
        <v>1</v>
      </c>
      <c r="K44" s="65"/>
      <c r="L44" s="85" t="b">
        <f>IF(VLOOKUP(C44,Projetos!A:L,12,false)=TRUE,TRUE,FALSE)</f>
        <v>1</v>
      </c>
      <c r="M44" s="74">
        <v>33.15972725468975</v>
      </c>
      <c r="N44" s="74">
        <f t="shared" si="1"/>
        <v>49.73959088</v>
      </c>
      <c r="O44" s="74" t="b">
        <v>1</v>
      </c>
    </row>
    <row r="45" hidden="1">
      <c r="A45" s="82"/>
      <c r="B45" s="65" t="s">
        <v>146</v>
      </c>
      <c r="C45" s="65" t="s">
        <v>118</v>
      </c>
      <c r="D45" s="65" t="str">
        <f>vlookup(C45,'Classificação p pessoal'!F:G,2,false)</f>
        <v>MProduto</v>
      </c>
      <c r="E45" s="65" t="s">
        <v>147</v>
      </c>
      <c r="F45" s="83">
        <v>0.625</v>
      </c>
      <c r="G45" s="83">
        <v>0.6875</v>
      </c>
      <c r="H45" s="83">
        <v>0.0625</v>
      </c>
      <c r="I45" s="84">
        <v>44232.0</v>
      </c>
      <c r="J45" s="65" t="b">
        <v>1</v>
      </c>
      <c r="K45" s="65"/>
      <c r="L45" s="85" t="b">
        <f>IF(VLOOKUP(C45,Projetos!A:L,12,false)=TRUE,TRUE,FALSE)</f>
        <v>1</v>
      </c>
      <c r="M45" s="74">
        <v>33.15972725468975</v>
      </c>
      <c r="N45" s="74">
        <f t="shared" si="1"/>
        <v>49.73959088</v>
      </c>
      <c r="O45" s="74" t="b">
        <v>1</v>
      </c>
    </row>
    <row r="46" hidden="1">
      <c r="A46" s="82"/>
      <c r="B46" s="65" t="s">
        <v>146</v>
      </c>
      <c r="C46" s="65" t="s">
        <v>130</v>
      </c>
      <c r="D46" s="65" t="str">
        <f>vlookup(C46,'Classificação p pessoal'!F:G,2,false)</f>
        <v>NP</v>
      </c>
      <c r="E46" s="65" t="s">
        <v>147</v>
      </c>
      <c r="F46" s="83">
        <v>0.34375</v>
      </c>
      <c r="G46" s="83">
        <v>0.4791666666666667</v>
      </c>
      <c r="H46" s="83">
        <v>0.13541666666666666</v>
      </c>
      <c r="I46" s="84">
        <v>44235.0</v>
      </c>
      <c r="J46" s="65" t="b">
        <v>1</v>
      </c>
      <c r="K46" s="65"/>
      <c r="L46" s="85" t="b">
        <f>IF(VLOOKUP(C46,Projetos!A:L,12,false)=TRUE,TRUE,FALSE)</f>
        <v>1</v>
      </c>
      <c r="M46" s="74">
        <v>33.15972725468975</v>
      </c>
      <c r="N46" s="74">
        <f t="shared" si="1"/>
        <v>107.7691136</v>
      </c>
      <c r="O46" s="74" t="b">
        <v>1</v>
      </c>
    </row>
    <row r="47" hidden="1">
      <c r="A47" s="82"/>
      <c r="B47" s="65" t="s">
        <v>146</v>
      </c>
      <c r="C47" s="65" t="s">
        <v>127</v>
      </c>
      <c r="D47" s="65" t="str">
        <f>vlookup(C47,'Classificação p pessoal'!F:G,2,false)</f>
        <v>NP</v>
      </c>
      <c r="E47" s="65" t="s">
        <v>148</v>
      </c>
      <c r="F47" s="83">
        <v>0.5833333333333334</v>
      </c>
      <c r="G47" s="83">
        <v>0.6666666666666666</v>
      </c>
      <c r="H47" s="83">
        <v>0.08333333333333333</v>
      </c>
      <c r="I47" s="84">
        <v>44235.0</v>
      </c>
      <c r="J47" s="65" t="b">
        <v>1</v>
      </c>
      <c r="K47" s="65"/>
      <c r="L47" s="85" t="b">
        <f>IF(VLOOKUP(C47,Projetos!A:L,12,false)=TRUE,TRUE,FALSE)</f>
        <v>1</v>
      </c>
      <c r="M47" s="74">
        <v>33.15972725468975</v>
      </c>
      <c r="N47" s="74">
        <f t="shared" si="1"/>
        <v>66.31945451</v>
      </c>
      <c r="O47" s="74" t="b">
        <v>1</v>
      </c>
    </row>
    <row r="48" hidden="1">
      <c r="A48" s="82"/>
      <c r="B48" s="65" t="s">
        <v>146</v>
      </c>
      <c r="C48" s="65" t="s">
        <v>130</v>
      </c>
      <c r="D48" s="65" t="str">
        <f>vlookup(C48,'Classificação p pessoal'!F:G,2,false)</f>
        <v>NP</v>
      </c>
      <c r="E48" s="65" t="s">
        <v>147</v>
      </c>
      <c r="F48" s="83">
        <v>0.3541666666666667</v>
      </c>
      <c r="G48" s="83">
        <v>0.4375</v>
      </c>
      <c r="H48" s="83">
        <v>0.08333333333333333</v>
      </c>
      <c r="I48" s="84">
        <v>44236.0</v>
      </c>
      <c r="J48" s="65" t="b">
        <v>1</v>
      </c>
      <c r="K48" s="65"/>
      <c r="L48" s="85" t="b">
        <f>IF(VLOOKUP(C48,Projetos!A:L,12,false)=TRUE,TRUE,FALSE)</f>
        <v>1</v>
      </c>
      <c r="M48" s="74">
        <v>33.15972725468975</v>
      </c>
      <c r="N48" s="74">
        <f t="shared" si="1"/>
        <v>66.31945451</v>
      </c>
      <c r="O48" s="74" t="b">
        <v>1</v>
      </c>
    </row>
    <row r="49" hidden="1">
      <c r="A49" s="82"/>
      <c r="B49" s="65" t="s">
        <v>146</v>
      </c>
      <c r="C49" s="65" t="s">
        <v>127</v>
      </c>
      <c r="D49" s="65" t="str">
        <f>vlookup(C49,'Classificação p pessoal'!F:G,2,false)</f>
        <v>NP</v>
      </c>
      <c r="E49" s="65" t="s">
        <v>148</v>
      </c>
      <c r="F49" s="83">
        <v>0.625</v>
      </c>
      <c r="G49" s="83">
        <v>0.75</v>
      </c>
      <c r="H49" s="83">
        <v>0.125</v>
      </c>
      <c r="I49" s="84">
        <v>44236.0</v>
      </c>
      <c r="J49" s="65" t="b">
        <v>1</v>
      </c>
      <c r="K49" s="65"/>
      <c r="L49" s="85" t="b">
        <f>IF(VLOOKUP(C49,Projetos!A:L,12,false)=TRUE,TRUE,FALSE)</f>
        <v>1</v>
      </c>
      <c r="M49" s="74">
        <v>33.15972725468975</v>
      </c>
      <c r="N49" s="74">
        <f t="shared" si="1"/>
        <v>99.47918176</v>
      </c>
      <c r="O49" s="74" t="b">
        <v>1</v>
      </c>
    </row>
    <row r="50" hidden="1">
      <c r="A50" s="82"/>
      <c r="B50" s="65" t="s">
        <v>146</v>
      </c>
      <c r="C50" s="65" t="s">
        <v>127</v>
      </c>
      <c r="D50" s="65" t="str">
        <f>vlookup(C50,'Classificação p pessoal'!F:G,2,false)</f>
        <v>NP</v>
      </c>
      <c r="E50" s="65" t="s">
        <v>148</v>
      </c>
      <c r="F50" s="83">
        <v>0.34375</v>
      </c>
      <c r="G50" s="83">
        <v>0.5520833333333334</v>
      </c>
      <c r="H50" s="83">
        <v>0.20833333333333334</v>
      </c>
      <c r="I50" s="84">
        <v>44237.0</v>
      </c>
      <c r="J50" s="65" t="b">
        <v>1</v>
      </c>
      <c r="K50" s="65"/>
      <c r="L50" s="85" t="b">
        <f>IF(VLOOKUP(C50,Projetos!A:L,12,false)=TRUE,TRUE,FALSE)</f>
        <v>1</v>
      </c>
      <c r="M50" s="74">
        <v>33.15972725468975</v>
      </c>
      <c r="N50" s="74">
        <f t="shared" si="1"/>
        <v>165.7986363</v>
      </c>
      <c r="O50" s="74" t="b">
        <v>1</v>
      </c>
    </row>
    <row r="51" hidden="1">
      <c r="A51" s="82"/>
      <c r="B51" s="65" t="s">
        <v>146</v>
      </c>
      <c r="C51" s="65" t="s">
        <v>130</v>
      </c>
      <c r="D51" s="65" t="str">
        <f>vlookup(C51,'Classificação p pessoal'!F:G,2,false)</f>
        <v>NP</v>
      </c>
      <c r="E51" s="65" t="s">
        <v>147</v>
      </c>
      <c r="F51" s="83">
        <v>0.3541666666666667</v>
      </c>
      <c r="G51" s="83">
        <v>0.4375</v>
      </c>
      <c r="H51" s="83">
        <v>0.08333333333333333</v>
      </c>
      <c r="I51" s="84">
        <v>44238.0</v>
      </c>
      <c r="J51" s="65" t="b">
        <v>1</v>
      </c>
      <c r="K51" s="65"/>
      <c r="L51" s="85" t="b">
        <f>IF(VLOOKUP(C51,Projetos!A:L,12,false)=TRUE,TRUE,FALSE)</f>
        <v>1</v>
      </c>
      <c r="M51" s="74">
        <v>33.15972725468975</v>
      </c>
      <c r="N51" s="74">
        <f t="shared" si="1"/>
        <v>66.31945451</v>
      </c>
      <c r="O51" s="74" t="b">
        <v>1</v>
      </c>
    </row>
    <row r="52" hidden="1">
      <c r="A52" s="82"/>
      <c r="B52" s="65" t="s">
        <v>146</v>
      </c>
      <c r="C52" s="65" t="s">
        <v>127</v>
      </c>
      <c r="D52" s="65" t="str">
        <f>vlookup(C52,'Classificação p pessoal'!F:G,2,false)</f>
        <v>NP</v>
      </c>
      <c r="E52" s="65" t="s">
        <v>148</v>
      </c>
      <c r="F52" s="83">
        <v>0.625</v>
      </c>
      <c r="G52" s="83">
        <v>0.75</v>
      </c>
      <c r="H52" s="83">
        <v>0.125</v>
      </c>
      <c r="I52" s="84">
        <v>44238.0</v>
      </c>
      <c r="J52" s="65" t="b">
        <v>1</v>
      </c>
      <c r="K52" s="65"/>
      <c r="L52" s="85" t="b">
        <f>IF(VLOOKUP(C52,Projetos!A:L,12,false)=TRUE,TRUE,FALSE)</f>
        <v>1</v>
      </c>
      <c r="M52" s="74">
        <v>33.15972725468975</v>
      </c>
      <c r="N52" s="74">
        <f t="shared" si="1"/>
        <v>99.47918176</v>
      </c>
      <c r="O52" s="74" t="b">
        <v>1</v>
      </c>
    </row>
    <row r="53" hidden="1">
      <c r="A53" s="82"/>
      <c r="B53" s="65" t="s">
        <v>146</v>
      </c>
      <c r="C53" s="65" t="s">
        <v>127</v>
      </c>
      <c r="D53" s="65" t="str">
        <f>vlookup(C53,'Classificação p pessoal'!F:G,2,false)</f>
        <v>NP</v>
      </c>
      <c r="E53" s="65" t="s">
        <v>148</v>
      </c>
      <c r="F53" s="83">
        <v>0.5416666666666666</v>
      </c>
      <c r="G53" s="83">
        <v>0.6666666666666666</v>
      </c>
      <c r="H53" s="83">
        <v>0.125</v>
      </c>
      <c r="I53" s="84">
        <v>44239.0</v>
      </c>
      <c r="J53" s="65" t="b">
        <v>1</v>
      </c>
      <c r="K53" s="65"/>
      <c r="L53" s="85" t="b">
        <f>IF(VLOOKUP(C53,Projetos!A:L,12,false)=TRUE,TRUE,FALSE)</f>
        <v>1</v>
      </c>
      <c r="M53" s="74">
        <v>33.15972725468975</v>
      </c>
      <c r="N53" s="74">
        <f t="shared" si="1"/>
        <v>99.47918176</v>
      </c>
      <c r="O53" s="74" t="b">
        <v>1</v>
      </c>
    </row>
    <row r="54" hidden="1">
      <c r="A54" s="82"/>
      <c r="B54" s="65" t="s">
        <v>146</v>
      </c>
      <c r="C54" s="65" t="s">
        <v>88</v>
      </c>
      <c r="D54" s="65" t="str">
        <f>vlookup(C54,'Classificação p pessoal'!F:G,2,false)</f>
        <v>MProduto</v>
      </c>
      <c r="E54" s="65" t="s">
        <v>147</v>
      </c>
      <c r="F54" s="83">
        <v>0.34375</v>
      </c>
      <c r="G54" s="83">
        <v>0.5625</v>
      </c>
      <c r="H54" s="83">
        <v>0.21875</v>
      </c>
      <c r="I54" s="84">
        <v>44242.0</v>
      </c>
      <c r="J54" s="65" t="b">
        <v>1</v>
      </c>
      <c r="K54" s="65"/>
      <c r="L54" s="85" t="b">
        <f>IF(VLOOKUP(C54,Projetos!A:L,12,false)=TRUE,TRUE,FALSE)</f>
        <v>1</v>
      </c>
      <c r="M54" s="74">
        <v>33.15972725468975</v>
      </c>
      <c r="N54" s="74">
        <f t="shared" si="1"/>
        <v>174.0885681</v>
      </c>
      <c r="O54" s="74" t="b">
        <v>1</v>
      </c>
    </row>
    <row r="55" hidden="1">
      <c r="A55" s="82"/>
      <c r="B55" s="65" t="s">
        <v>146</v>
      </c>
      <c r="C55" s="65" t="s">
        <v>127</v>
      </c>
      <c r="D55" s="65" t="str">
        <f>vlookup(C55,'Classificação p pessoal'!F:G,2,false)</f>
        <v>NP</v>
      </c>
      <c r="E55" s="65" t="s">
        <v>148</v>
      </c>
      <c r="F55" s="83">
        <v>0.6041666666666666</v>
      </c>
      <c r="G55" s="83">
        <v>0.75</v>
      </c>
      <c r="H55" s="83">
        <v>0.14583333333333334</v>
      </c>
      <c r="I55" s="84">
        <v>44242.0</v>
      </c>
      <c r="J55" s="65" t="b">
        <v>1</v>
      </c>
      <c r="K55" s="65"/>
      <c r="L55" s="85" t="b">
        <f>IF(VLOOKUP(C55,Projetos!A:L,12,false)=TRUE,TRUE,FALSE)</f>
        <v>1</v>
      </c>
      <c r="M55" s="74">
        <v>33.15972725468975</v>
      </c>
      <c r="N55" s="74">
        <f t="shared" si="1"/>
        <v>116.0590454</v>
      </c>
      <c r="O55" s="74" t="b">
        <v>1</v>
      </c>
    </row>
    <row r="56" hidden="1">
      <c r="A56" s="82"/>
      <c r="B56" s="65" t="s">
        <v>146</v>
      </c>
      <c r="C56" s="65" t="s">
        <v>127</v>
      </c>
      <c r="D56" s="65" t="str">
        <f>vlookup(C56,'Classificação p pessoal'!F:G,2,false)</f>
        <v>NP</v>
      </c>
      <c r="E56" s="65" t="s">
        <v>148</v>
      </c>
      <c r="F56" s="83">
        <v>0.5416666666666666</v>
      </c>
      <c r="G56" s="83">
        <v>0.75</v>
      </c>
      <c r="H56" s="83">
        <v>0.20833333333333334</v>
      </c>
      <c r="I56" s="84">
        <v>44244.0</v>
      </c>
      <c r="J56" s="65" t="b">
        <v>1</v>
      </c>
      <c r="K56" s="65"/>
      <c r="L56" s="85" t="b">
        <f>IF(VLOOKUP(C56,Projetos!A:L,12,false)=TRUE,TRUE,FALSE)</f>
        <v>1</v>
      </c>
      <c r="M56" s="74">
        <v>33.15972725468975</v>
      </c>
      <c r="N56" s="74">
        <f t="shared" si="1"/>
        <v>165.7986363</v>
      </c>
      <c r="O56" s="74" t="b">
        <v>1</v>
      </c>
    </row>
    <row r="57" hidden="1">
      <c r="A57" s="82"/>
      <c r="B57" s="65" t="s">
        <v>146</v>
      </c>
      <c r="C57" s="65" t="s">
        <v>127</v>
      </c>
      <c r="D57" s="65" t="str">
        <f>vlookup(C57,'Classificação p pessoal'!F:G,2,false)</f>
        <v>NP</v>
      </c>
      <c r="E57" s="65" t="s">
        <v>148</v>
      </c>
      <c r="F57" s="83">
        <v>0.3541666666666667</v>
      </c>
      <c r="G57" s="83">
        <v>0.5</v>
      </c>
      <c r="H57" s="83">
        <v>0.14583333333333334</v>
      </c>
      <c r="I57" s="84">
        <v>44245.0</v>
      </c>
      <c r="J57" s="65" t="b">
        <v>1</v>
      </c>
      <c r="K57" s="65"/>
      <c r="L57" s="85" t="b">
        <f>IF(VLOOKUP(C57,Projetos!A:L,12,false)=TRUE,TRUE,FALSE)</f>
        <v>1</v>
      </c>
      <c r="M57" s="74">
        <v>33.15972725468975</v>
      </c>
      <c r="N57" s="74">
        <f t="shared" si="1"/>
        <v>116.0590454</v>
      </c>
      <c r="O57" s="74" t="b">
        <v>1</v>
      </c>
    </row>
    <row r="58" hidden="1">
      <c r="A58" s="82"/>
      <c r="B58" s="65" t="s">
        <v>146</v>
      </c>
      <c r="C58" s="65" t="s">
        <v>88</v>
      </c>
      <c r="D58" s="65" t="str">
        <f>vlookup(C58,'Classificação p pessoal'!F:G,2,false)</f>
        <v>MProduto</v>
      </c>
      <c r="E58" s="65" t="s">
        <v>147</v>
      </c>
      <c r="F58" s="83">
        <v>0.5416666666666666</v>
      </c>
      <c r="G58" s="83">
        <v>0.75</v>
      </c>
      <c r="H58" s="83">
        <v>0.20833333333333334</v>
      </c>
      <c r="I58" s="84">
        <v>44245.0</v>
      </c>
      <c r="J58" s="65" t="b">
        <v>1</v>
      </c>
      <c r="K58" s="65"/>
      <c r="L58" s="85" t="b">
        <f>IF(VLOOKUP(C58,Projetos!A:L,12,false)=TRUE,TRUE,FALSE)</f>
        <v>1</v>
      </c>
      <c r="M58" s="74">
        <v>33.15972725468975</v>
      </c>
      <c r="N58" s="74">
        <f t="shared" si="1"/>
        <v>165.7986363</v>
      </c>
      <c r="O58" s="74" t="b">
        <v>1</v>
      </c>
    </row>
    <row r="59" hidden="1">
      <c r="A59" s="82"/>
      <c r="B59" s="65" t="s">
        <v>146</v>
      </c>
      <c r="C59" s="65" t="s">
        <v>127</v>
      </c>
      <c r="D59" s="65" t="str">
        <f>vlookup(C59,'Classificação p pessoal'!F:G,2,false)</f>
        <v>NP</v>
      </c>
      <c r="E59" s="65" t="s">
        <v>148</v>
      </c>
      <c r="F59" s="83">
        <v>0.5416666666666666</v>
      </c>
      <c r="G59" s="83">
        <v>0.75</v>
      </c>
      <c r="H59" s="83">
        <v>0.20833333333333334</v>
      </c>
      <c r="I59" s="84">
        <v>44246.0</v>
      </c>
      <c r="J59" s="65" t="b">
        <v>1</v>
      </c>
      <c r="K59" s="65"/>
      <c r="L59" s="85" t="b">
        <f>IF(VLOOKUP(C59,Projetos!A:L,12,false)=TRUE,TRUE,FALSE)</f>
        <v>1</v>
      </c>
      <c r="M59" s="74">
        <v>33.15972725468975</v>
      </c>
      <c r="N59" s="74">
        <f t="shared" si="1"/>
        <v>165.7986363</v>
      </c>
      <c r="O59" s="74" t="b">
        <v>1</v>
      </c>
    </row>
    <row r="60" hidden="1">
      <c r="A60" s="82"/>
      <c r="B60" s="65" t="s">
        <v>146</v>
      </c>
      <c r="C60" s="65" t="s">
        <v>127</v>
      </c>
      <c r="D60" s="65" t="str">
        <f>vlookup(C60,'Classificação p pessoal'!F:G,2,false)</f>
        <v>NP</v>
      </c>
      <c r="E60" s="65" t="s">
        <v>148</v>
      </c>
      <c r="F60" s="83">
        <v>0.34375</v>
      </c>
      <c r="G60" s="83">
        <v>0.5625</v>
      </c>
      <c r="H60" s="83">
        <v>0.21875</v>
      </c>
      <c r="I60" s="84">
        <v>44252.0</v>
      </c>
      <c r="J60" s="65" t="b">
        <v>1</v>
      </c>
      <c r="K60" s="65"/>
      <c r="L60" s="85" t="b">
        <f>IF(VLOOKUP(C60,Projetos!A:L,12,false)=TRUE,TRUE,FALSE)</f>
        <v>1</v>
      </c>
      <c r="M60" s="74">
        <v>33.15972725468975</v>
      </c>
      <c r="N60" s="74">
        <f t="shared" si="1"/>
        <v>174.0885681</v>
      </c>
      <c r="O60" s="74" t="b">
        <v>1</v>
      </c>
    </row>
    <row r="61" hidden="1">
      <c r="A61" s="82"/>
      <c r="B61" s="65" t="s">
        <v>146</v>
      </c>
      <c r="C61" s="65" t="s">
        <v>88</v>
      </c>
      <c r="D61" s="65" t="str">
        <f>vlookup(C61,'Classificação p pessoal'!F:G,2,false)</f>
        <v>MProduto</v>
      </c>
      <c r="E61" s="65" t="s">
        <v>147</v>
      </c>
      <c r="F61" s="83">
        <v>0.5416666666666666</v>
      </c>
      <c r="G61" s="83">
        <v>0.75</v>
      </c>
      <c r="H61" s="83">
        <v>0.20833333333333334</v>
      </c>
      <c r="I61" s="84">
        <v>44253.0</v>
      </c>
      <c r="J61" s="65" t="b">
        <v>1</v>
      </c>
      <c r="K61" s="65"/>
      <c r="L61" s="85" t="b">
        <f>IF(VLOOKUP(C61,Projetos!A:L,12,false)=TRUE,TRUE,FALSE)</f>
        <v>1</v>
      </c>
      <c r="M61" s="74">
        <v>33.15972725468975</v>
      </c>
      <c r="N61" s="74">
        <f t="shared" si="1"/>
        <v>165.7986363</v>
      </c>
      <c r="O61" s="74" t="b">
        <v>1</v>
      </c>
    </row>
    <row r="62" hidden="1">
      <c r="A62" s="82"/>
      <c r="B62" s="65" t="s">
        <v>146</v>
      </c>
      <c r="C62" s="65" t="s">
        <v>127</v>
      </c>
      <c r="D62" s="65" t="str">
        <f>vlookup(C62,'Classificação p pessoal'!F:G,2,false)</f>
        <v>NP</v>
      </c>
      <c r="E62" s="65" t="s">
        <v>148</v>
      </c>
      <c r="F62" s="83">
        <v>0.4166666666666667</v>
      </c>
      <c r="G62" s="83">
        <v>0.5416666666666666</v>
      </c>
      <c r="H62" s="83">
        <v>0.125</v>
      </c>
      <c r="I62" s="84">
        <v>44256.0</v>
      </c>
      <c r="J62" s="65" t="b">
        <v>1</v>
      </c>
      <c r="K62" s="65"/>
      <c r="L62" s="85" t="b">
        <f>IF(VLOOKUP(C62,Projetos!A:L,12,false)=TRUE,TRUE,FALSE)</f>
        <v>1</v>
      </c>
      <c r="M62" s="74">
        <v>33.15972725468975</v>
      </c>
      <c r="N62" s="74">
        <f t="shared" si="1"/>
        <v>99.47918176</v>
      </c>
      <c r="O62" s="74" t="b">
        <v>1</v>
      </c>
    </row>
    <row r="63" hidden="1">
      <c r="A63" s="82"/>
      <c r="B63" s="65" t="s">
        <v>146</v>
      </c>
      <c r="C63" s="65" t="s">
        <v>130</v>
      </c>
      <c r="D63" s="65" t="str">
        <f>vlookup(C63,'Classificação p pessoal'!F:G,2,false)</f>
        <v>NP</v>
      </c>
      <c r="E63" s="65" t="s">
        <v>147</v>
      </c>
      <c r="F63" s="83">
        <v>0.5833333333333334</v>
      </c>
      <c r="G63" s="83">
        <v>0.6666666666666666</v>
      </c>
      <c r="H63" s="83">
        <v>0.08333333333333333</v>
      </c>
      <c r="I63" s="84">
        <v>44256.0</v>
      </c>
      <c r="J63" s="65" t="b">
        <v>1</v>
      </c>
      <c r="K63" s="65"/>
      <c r="L63" s="85" t="b">
        <f>IF(VLOOKUP(C63,Projetos!A:L,12,false)=TRUE,TRUE,FALSE)</f>
        <v>1</v>
      </c>
      <c r="M63" s="74">
        <v>33.15972725468975</v>
      </c>
      <c r="N63" s="74">
        <f t="shared" si="1"/>
        <v>66.31945451</v>
      </c>
      <c r="O63" s="74" t="b">
        <v>1</v>
      </c>
    </row>
    <row r="64" hidden="1">
      <c r="A64" s="82"/>
      <c r="B64" s="65" t="s">
        <v>146</v>
      </c>
      <c r="C64" s="65" t="s">
        <v>127</v>
      </c>
      <c r="D64" s="65" t="str">
        <f>vlookup(C64,'Classificação p pessoal'!F:G,2,false)</f>
        <v>NP</v>
      </c>
      <c r="E64" s="65" t="s">
        <v>148</v>
      </c>
      <c r="F64" s="83">
        <v>0.3541666666666667</v>
      </c>
      <c r="G64" s="83">
        <v>0.4375</v>
      </c>
      <c r="H64" s="83">
        <v>0.08333333333333333</v>
      </c>
      <c r="I64" s="84">
        <v>44257.0</v>
      </c>
      <c r="J64" s="65" t="b">
        <v>1</v>
      </c>
      <c r="K64" s="65"/>
      <c r="L64" s="85" t="b">
        <f>IF(VLOOKUP(C64,Projetos!A:L,12,false)=TRUE,TRUE,FALSE)</f>
        <v>1</v>
      </c>
      <c r="M64" s="74">
        <v>33.15972725468975</v>
      </c>
      <c r="N64" s="74">
        <f t="shared" si="1"/>
        <v>66.31945451</v>
      </c>
      <c r="O64" s="74" t="b">
        <v>1</v>
      </c>
    </row>
    <row r="65" hidden="1">
      <c r="A65" s="82"/>
      <c r="B65" s="65" t="s">
        <v>146</v>
      </c>
      <c r="C65" s="65" t="s">
        <v>127</v>
      </c>
      <c r="D65" s="65" t="str">
        <f>vlookup(C65,'Classificação p pessoal'!F:G,2,false)</f>
        <v>NP</v>
      </c>
      <c r="E65" s="65" t="s">
        <v>148</v>
      </c>
      <c r="F65" s="83">
        <v>0.3541666666666667</v>
      </c>
      <c r="G65" s="83">
        <v>0.4375</v>
      </c>
      <c r="H65" s="83">
        <v>0.08333333333333333</v>
      </c>
      <c r="I65" s="84">
        <v>44258.0</v>
      </c>
      <c r="J65" s="65" t="b">
        <v>1</v>
      </c>
      <c r="K65" s="65"/>
      <c r="L65" s="85" t="b">
        <f>IF(VLOOKUP(C65,Projetos!A:L,12,false)=TRUE,TRUE,FALSE)</f>
        <v>1</v>
      </c>
      <c r="M65" s="74">
        <v>33.15972725468975</v>
      </c>
      <c r="N65" s="74">
        <f t="shared" si="1"/>
        <v>66.31945451</v>
      </c>
      <c r="O65" s="74" t="b">
        <v>1</v>
      </c>
    </row>
    <row r="66" hidden="1">
      <c r="A66" s="82"/>
      <c r="B66" s="65" t="s">
        <v>146</v>
      </c>
      <c r="C66" s="65" t="s">
        <v>88</v>
      </c>
      <c r="D66" s="65" t="str">
        <f>vlookup(C66,'Classificação p pessoal'!F:G,2,false)</f>
        <v>MProduto</v>
      </c>
      <c r="E66" s="65" t="s">
        <v>147</v>
      </c>
      <c r="F66" s="83">
        <v>0.5416666666666666</v>
      </c>
      <c r="G66" s="83">
        <v>0.75</v>
      </c>
      <c r="H66" s="83">
        <v>0.20833333333333334</v>
      </c>
      <c r="I66" s="84">
        <v>44258.0</v>
      </c>
      <c r="J66" s="65" t="b">
        <v>1</v>
      </c>
      <c r="K66" s="65"/>
      <c r="L66" s="85" t="b">
        <f>IF(VLOOKUP(C66,Projetos!A:L,12,false)=TRUE,TRUE,FALSE)</f>
        <v>1</v>
      </c>
      <c r="M66" s="74">
        <v>33.15972725468975</v>
      </c>
      <c r="N66" s="74">
        <f t="shared" si="1"/>
        <v>165.7986363</v>
      </c>
      <c r="O66" s="74" t="b">
        <v>1</v>
      </c>
    </row>
    <row r="67" hidden="1">
      <c r="A67" s="82"/>
      <c r="B67" s="65" t="s">
        <v>146</v>
      </c>
      <c r="C67" s="65" t="s">
        <v>88</v>
      </c>
      <c r="D67" s="65" t="str">
        <f>vlookup(C67,'Classificação p pessoal'!F:G,2,false)</f>
        <v>MProduto</v>
      </c>
      <c r="E67" s="65" t="s">
        <v>147</v>
      </c>
      <c r="F67" s="83">
        <v>0.5833333333333334</v>
      </c>
      <c r="G67" s="83">
        <v>0.75</v>
      </c>
      <c r="H67" s="83">
        <v>0.16666666666666666</v>
      </c>
      <c r="I67" s="84">
        <v>44259.0</v>
      </c>
      <c r="J67" s="65" t="b">
        <v>1</v>
      </c>
      <c r="K67" s="65"/>
      <c r="L67" s="85" t="b">
        <f>IF(VLOOKUP(C67,Projetos!A:L,12,false)=TRUE,TRUE,FALSE)</f>
        <v>1</v>
      </c>
      <c r="M67" s="74">
        <v>33.15972725468975</v>
      </c>
      <c r="N67" s="74">
        <f t="shared" si="1"/>
        <v>132.638909</v>
      </c>
      <c r="O67" s="74" t="b">
        <v>1</v>
      </c>
    </row>
    <row r="68" hidden="1">
      <c r="A68" s="82"/>
      <c r="B68" s="65" t="s">
        <v>146</v>
      </c>
      <c r="C68" s="65" t="s">
        <v>118</v>
      </c>
      <c r="D68" s="65" t="str">
        <f>vlookup(C68,'Classificação p pessoal'!F:G,2,false)</f>
        <v>MProduto</v>
      </c>
      <c r="E68" s="65" t="s">
        <v>147</v>
      </c>
      <c r="F68" s="83">
        <v>0.6458333333333334</v>
      </c>
      <c r="G68" s="83">
        <v>0.75</v>
      </c>
      <c r="H68" s="83">
        <v>0.10416666666666667</v>
      </c>
      <c r="I68" s="84">
        <v>44260.0</v>
      </c>
      <c r="J68" s="65" t="b">
        <v>1</v>
      </c>
      <c r="K68" s="65"/>
      <c r="L68" s="85" t="b">
        <f>IF(VLOOKUP(C68,Projetos!A:L,12,false)=TRUE,TRUE,FALSE)</f>
        <v>1</v>
      </c>
      <c r="M68" s="74">
        <v>33.15972725468975</v>
      </c>
      <c r="N68" s="74">
        <f t="shared" si="1"/>
        <v>82.89931814</v>
      </c>
      <c r="O68" s="74" t="b">
        <v>1</v>
      </c>
    </row>
    <row r="69" hidden="1">
      <c r="A69" s="82"/>
      <c r="B69" s="65" t="s">
        <v>146</v>
      </c>
      <c r="C69" s="65" t="s">
        <v>88</v>
      </c>
      <c r="D69" s="65" t="str">
        <f>vlookup(C69,'Classificação p pessoal'!F:G,2,false)</f>
        <v>MProduto</v>
      </c>
      <c r="E69" s="65" t="s">
        <v>147</v>
      </c>
      <c r="F69" s="83">
        <v>0.5416666666666666</v>
      </c>
      <c r="G69" s="83">
        <v>0.6458333333333334</v>
      </c>
      <c r="H69" s="83">
        <v>0.10416666666666667</v>
      </c>
      <c r="I69" s="84">
        <v>44260.0</v>
      </c>
      <c r="J69" s="65" t="b">
        <v>1</v>
      </c>
      <c r="K69" s="65"/>
      <c r="L69" s="85" t="b">
        <f>IF(VLOOKUP(C69,Projetos!A:L,12,false)=TRUE,TRUE,FALSE)</f>
        <v>1</v>
      </c>
      <c r="M69" s="74">
        <v>33.15972725468975</v>
      </c>
      <c r="N69" s="74">
        <f t="shared" si="1"/>
        <v>82.89931814</v>
      </c>
      <c r="O69" s="74" t="b">
        <v>1</v>
      </c>
    </row>
    <row r="70" hidden="1">
      <c r="A70" s="82"/>
      <c r="B70" s="65" t="s">
        <v>146</v>
      </c>
      <c r="C70" s="65" t="s">
        <v>88</v>
      </c>
      <c r="D70" s="65" t="str">
        <f>vlookup(C70,'Classificação p pessoal'!F:G,2,false)</f>
        <v>MProduto</v>
      </c>
      <c r="E70" s="65" t="s">
        <v>147</v>
      </c>
      <c r="F70" s="83">
        <v>0.5625</v>
      </c>
      <c r="G70" s="83">
        <v>0.75</v>
      </c>
      <c r="H70" s="83">
        <v>0.1875</v>
      </c>
      <c r="I70" s="84">
        <v>44263.0</v>
      </c>
      <c r="J70" s="65" t="b">
        <v>1</v>
      </c>
      <c r="K70" s="65"/>
      <c r="L70" s="85" t="b">
        <f>IF(VLOOKUP(C70,Projetos!A:L,12,false)=TRUE,TRUE,FALSE)</f>
        <v>1</v>
      </c>
      <c r="M70" s="74">
        <v>33.15972725468975</v>
      </c>
      <c r="N70" s="74">
        <f t="shared" si="1"/>
        <v>149.2187726</v>
      </c>
      <c r="O70" s="74" t="b">
        <v>1</v>
      </c>
    </row>
    <row r="71" hidden="1">
      <c r="A71" s="82"/>
      <c r="B71" s="65" t="s">
        <v>146</v>
      </c>
      <c r="C71" s="65" t="s">
        <v>88</v>
      </c>
      <c r="D71" s="65" t="str">
        <f>vlookup(C71,'Classificação p pessoal'!F:G,2,false)</f>
        <v>MProduto</v>
      </c>
      <c r="E71" s="65" t="s">
        <v>147</v>
      </c>
      <c r="F71" s="83">
        <v>0.3541666666666667</v>
      </c>
      <c r="G71" s="83">
        <v>0.5625</v>
      </c>
      <c r="H71" s="83">
        <v>0.20833333333333334</v>
      </c>
      <c r="I71" s="84">
        <v>44264.0</v>
      </c>
      <c r="J71" s="65" t="b">
        <v>1</v>
      </c>
      <c r="K71" s="65"/>
      <c r="L71" s="85" t="b">
        <f>IF(VLOOKUP(C71,Projetos!A:L,12,false)=TRUE,TRUE,FALSE)</f>
        <v>1</v>
      </c>
      <c r="M71" s="74">
        <v>33.15972725468975</v>
      </c>
      <c r="N71" s="74">
        <f t="shared" si="1"/>
        <v>165.7986363</v>
      </c>
      <c r="O71" s="74" t="b">
        <v>1</v>
      </c>
    </row>
    <row r="72" hidden="1">
      <c r="A72" s="82"/>
      <c r="B72" s="65" t="s">
        <v>146</v>
      </c>
      <c r="C72" s="65" t="s">
        <v>88</v>
      </c>
      <c r="D72" s="65" t="str">
        <f>vlookup(C72,'Classificação p pessoal'!F:G,2,false)</f>
        <v>MProduto</v>
      </c>
      <c r="E72" s="65" t="s">
        <v>147</v>
      </c>
      <c r="F72" s="83">
        <v>0.5208333333333334</v>
      </c>
      <c r="G72" s="83">
        <v>0.75</v>
      </c>
      <c r="H72" s="83">
        <v>0.22916666666666666</v>
      </c>
      <c r="I72" s="84">
        <v>44265.0</v>
      </c>
      <c r="J72" s="65" t="b">
        <v>1</v>
      </c>
      <c r="K72" s="65"/>
      <c r="L72" s="85" t="b">
        <f>IF(VLOOKUP(C72,Projetos!A:L,12,false)=TRUE,TRUE,FALSE)</f>
        <v>1</v>
      </c>
      <c r="M72" s="74">
        <v>33.15972725468975</v>
      </c>
      <c r="N72" s="74">
        <f t="shared" si="1"/>
        <v>182.3784999</v>
      </c>
      <c r="O72" s="74" t="b">
        <v>1</v>
      </c>
    </row>
    <row r="73" hidden="1">
      <c r="A73" s="82"/>
      <c r="B73" s="65" t="s">
        <v>146</v>
      </c>
      <c r="C73" s="65" t="s">
        <v>88</v>
      </c>
      <c r="D73" s="65" t="str">
        <f>vlookup(C73,'Classificação p pessoal'!F:G,2,false)</f>
        <v>MProduto</v>
      </c>
      <c r="E73" s="65" t="s">
        <v>147</v>
      </c>
      <c r="F73" s="83">
        <v>0.34375</v>
      </c>
      <c r="G73" s="83">
        <v>0.5625</v>
      </c>
      <c r="H73" s="83">
        <v>0.21875</v>
      </c>
      <c r="I73" s="84">
        <v>44266.0</v>
      </c>
      <c r="J73" s="65" t="b">
        <v>1</v>
      </c>
      <c r="K73" s="65"/>
      <c r="L73" s="85" t="b">
        <f>IF(VLOOKUP(C73,Projetos!A:L,12,false)=TRUE,TRUE,FALSE)</f>
        <v>1</v>
      </c>
      <c r="M73" s="74">
        <v>33.15972725468975</v>
      </c>
      <c r="N73" s="74">
        <f t="shared" si="1"/>
        <v>174.0885681</v>
      </c>
      <c r="O73" s="74" t="b">
        <v>1</v>
      </c>
    </row>
    <row r="74" hidden="1">
      <c r="A74" s="82"/>
      <c r="B74" s="65" t="s">
        <v>146</v>
      </c>
      <c r="C74" s="65" t="s">
        <v>88</v>
      </c>
      <c r="D74" s="65" t="str">
        <f>vlookup(C74,'Classificação p pessoal'!F:G,2,false)</f>
        <v>MProduto</v>
      </c>
      <c r="E74" s="65" t="s">
        <v>147</v>
      </c>
      <c r="F74" s="83">
        <v>0.34375</v>
      </c>
      <c r="G74" s="83">
        <v>0.5625</v>
      </c>
      <c r="H74" s="83">
        <v>0.21875</v>
      </c>
      <c r="I74" s="84">
        <v>44267.0</v>
      </c>
      <c r="J74" s="65" t="b">
        <v>1</v>
      </c>
      <c r="K74" s="65"/>
      <c r="L74" s="85" t="b">
        <f>IF(VLOOKUP(C74,Projetos!A:L,12,false)=TRUE,TRUE,FALSE)</f>
        <v>1</v>
      </c>
      <c r="M74" s="74">
        <v>33.15972725468975</v>
      </c>
      <c r="N74" s="74">
        <f t="shared" si="1"/>
        <v>174.0885681</v>
      </c>
      <c r="O74" s="74" t="b">
        <v>1</v>
      </c>
    </row>
    <row r="75" hidden="1">
      <c r="A75" s="82"/>
      <c r="B75" s="65" t="s">
        <v>146</v>
      </c>
      <c r="C75" s="65" t="s">
        <v>88</v>
      </c>
      <c r="D75" s="65" t="str">
        <f>vlookup(C75,'Classificação p pessoal'!F:G,2,false)</f>
        <v>MProduto</v>
      </c>
      <c r="E75" s="65" t="s">
        <v>147</v>
      </c>
      <c r="F75" s="83">
        <v>0.3541666666666667</v>
      </c>
      <c r="G75" s="83">
        <v>0.4375</v>
      </c>
      <c r="H75" s="83">
        <v>0.08333333333333333</v>
      </c>
      <c r="I75" s="84">
        <v>44270.0</v>
      </c>
      <c r="J75" s="65" t="b">
        <v>1</v>
      </c>
      <c r="K75" s="65"/>
      <c r="L75" s="85" t="b">
        <f>IF(VLOOKUP(C75,Projetos!A:L,12,false)=TRUE,TRUE,FALSE)</f>
        <v>1</v>
      </c>
      <c r="M75" s="74">
        <v>33.15972725468975</v>
      </c>
      <c r="N75" s="74">
        <f t="shared" si="1"/>
        <v>66.31945451</v>
      </c>
      <c r="O75" s="74" t="b">
        <v>1</v>
      </c>
    </row>
    <row r="76" hidden="1">
      <c r="A76" s="82"/>
      <c r="B76" s="65" t="s">
        <v>146</v>
      </c>
      <c r="C76" s="65" t="s">
        <v>88</v>
      </c>
      <c r="D76" s="65" t="str">
        <f>vlookup(C76,'Classificação p pessoal'!F:G,2,false)</f>
        <v>MProduto</v>
      </c>
      <c r="E76" s="65" t="s">
        <v>147</v>
      </c>
      <c r="F76" s="83">
        <v>0.5416666666666666</v>
      </c>
      <c r="G76" s="83">
        <v>0.75</v>
      </c>
      <c r="H76" s="83">
        <v>0.20833333333333334</v>
      </c>
      <c r="I76" s="84">
        <v>44274.0</v>
      </c>
      <c r="J76" s="65" t="b">
        <v>1</v>
      </c>
      <c r="K76" s="65"/>
      <c r="L76" s="85" t="b">
        <f>IF(VLOOKUP(C76,Projetos!A:L,12,false)=TRUE,TRUE,FALSE)</f>
        <v>1</v>
      </c>
      <c r="M76" s="74">
        <v>33.15972725468975</v>
      </c>
      <c r="N76" s="74">
        <f t="shared" si="1"/>
        <v>165.7986363</v>
      </c>
      <c r="O76" s="74" t="b">
        <v>1</v>
      </c>
    </row>
    <row r="77" hidden="1">
      <c r="A77" s="82"/>
      <c r="B77" s="65" t="s">
        <v>146</v>
      </c>
      <c r="C77" s="65" t="s">
        <v>117</v>
      </c>
      <c r="D77" s="65" t="str">
        <f>vlookup(C77,'Classificação p pessoal'!F:G,2,false)</f>
        <v>NP</v>
      </c>
      <c r="E77" s="65" t="s">
        <v>151</v>
      </c>
      <c r="F77" s="83">
        <v>0.3541666666666667</v>
      </c>
      <c r="G77" s="83">
        <v>0.5208333333333334</v>
      </c>
      <c r="H77" s="83">
        <v>0.16666666666666666</v>
      </c>
      <c r="I77" s="84">
        <v>44273.0</v>
      </c>
      <c r="J77" s="65" t="b">
        <v>1</v>
      </c>
      <c r="K77" s="65"/>
      <c r="L77" s="85" t="b">
        <f>IF(VLOOKUP(C77,Projetos!A:L,12,false)=TRUE,TRUE,FALSE)</f>
        <v>1</v>
      </c>
      <c r="M77" s="74">
        <v>33.15972725468975</v>
      </c>
      <c r="N77" s="74">
        <f t="shared" si="1"/>
        <v>132.638909</v>
      </c>
      <c r="O77" s="74" t="b">
        <v>1</v>
      </c>
    </row>
    <row r="78" hidden="1">
      <c r="A78" s="82"/>
      <c r="B78" s="65" t="s">
        <v>146</v>
      </c>
      <c r="C78" s="65" t="s">
        <v>118</v>
      </c>
      <c r="D78" s="65" t="str">
        <f>vlookup(C78,'Classificação p pessoal'!F:G,2,false)</f>
        <v>MProduto</v>
      </c>
      <c r="E78" s="65" t="s">
        <v>147</v>
      </c>
      <c r="F78" s="83">
        <v>0.5833333333333334</v>
      </c>
      <c r="G78" s="83">
        <v>0.75</v>
      </c>
      <c r="H78" s="83">
        <v>0.16666666666666666</v>
      </c>
      <c r="I78" s="84">
        <v>44277.0</v>
      </c>
      <c r="J78" s="65" t="b">
        <v>1</v>
      </c>
      <c r="K78" s="65"/>
      <c r="L78" s="85" t="b">
        <f>IF(VLOOKUP(C78,Projetos!A:L,12,false)=TRUE,TRUE,FALSE)</f>
        <v>1</v>
      </c>
      <c r="M78" s="74">
        <v>33.15972725468975</v>
      </c>
      <c r="N78" s="74">
        <f t="shared" si="1"/>
        <v>132.638909</v>
      </c>
      <c r="O78" s="74" t="b">
        <v>1</v>
      </c>
    </row>
    <row r="79" hidden="1">
      <c r="A79" s="82"/>
      <c r="B79" s="65" t="s">
        <v>146</v>
      </c>
      <c r="C79" s="65" t="s">
        <v>118</v>
      </c>
      <c r="D79" s="65" t="str">
        <f>vlookup(C79,'Classificação p pessoal'!F:G,2,false)</f>
        <v>MProduto</v>
      </c>
      <c r="E79" s="65" t="s">
        <v>147</v>
      </c>
      <c r="F79" s="83">
        <v>0.3541666666666667</v>
      </c>
      <c r="G79" s="83">
        <v>0.4791666666666667</v>
      </c>
      <c r="H79" s="83">
        <v>0.125</v>
      </c>
      <c r="I79" s="84">
        <v>44278.0</v>
      </c>
      <c r="J79" s="65" t="b">
        <v>1</v>
      </c>
      <c r="K79" s="65"/>
      <c r="L79" s="85" t="b">
        <f>IF(VLOOKUP(C79,Projetos!A:L,12,false)=TRUE,TRUE,FALSE)</f>
        <v>1</v>
      </c>
      <c r="M79" s="74">
        <v>33.15972725468975</v>
      </c>
      <c r="N79" s="74">
        <f t="shared" si="1"/>
        <v>99.47918176</v>
      </c>
      <c r="O79" s="74" t="b">
        <v>1</v>
      </c>
    </row>
    <row r="80" hidden="1">
      <c r="A80" s="82"/>
      <c r="B80" s="65" t="s">
        <v>146</v>
      </c>
      <c r="C80" s="65" t="s">
        <v>118</v>
      </c>
      <c r="D80" s="65" t="str">
        <f>vlookup(C80,'Classificação p pessoal'!F:G,2,false)</f>
        <v>MProduto</v>
      </c>
      <c r="E80" s="65" t="s">
        <v>147</v>
      </c>
      <c r="F80" s="83">
        <v>0.375</v>
      </c>
      <c r="G80" s="83">
        <v>0.4166666666666667</v>
      </c>
      <c r="H80" s="83">
        <v>0.041666666666666664</v>
      </c>
      <c r="I80" s="84">
        <v>44279.0</v>
      </c>
      <c r="J80" s="65" t="b">
        <v>1</v>
      </c>
      <c r="K80" s="65"/>
      <c r="L80" s="85" t="b">
        <f>IF(VLOOKUP(C80,Projetos!A:L,12,false)=TRUE,TRUE,FALSE)</f>
        <v>1</v>
      </c>
      <c r="M80" s="74">
        <v>33.15972725468975</v>
      </c>
      <c r="N80" s="74">
        <f t="shared" si="1"/>
        <v>33.15972725</v>
      </c>
      <c r="O80" s="74" t="b">
        <v>1</v>
      </c>
    </row>
    <row r="81" hidden="1">
      <c r="A81" s="82"/>
      <c r="B81" s="65" t="s">
        <v>146</v>
      </c>
      <c r="C81" s="65" t="s">
        <v>118</v>
      </c>
      <c r="D81" s="65" t="str">
        <f>vlookup(C81,'Classificação p pessoal'!F:G,2,false)</f>
        <v>MProduto</v>
      </c>
      <c r="E81" s="65" t="s">
        <v>147</v>
      </c>
      <c r="F81" s="83">
        <v>0.4166666666666667</v>
      </c>
      <c r="G81" s="83">
        <v>0.5</v>
      </c>
      <c r="H81" s="83">
        <v>0.08333333333333333</v>
      </c>
      <c r="I81" s="84">
        <v>44280.0</v>
      </c>
      <c r="J81" s="65" t="b">
        <v>1</v>
      </c>
      <c r="K81" s="65"/>
      <c r="L81" s="85" t="b">
        <f>IF(VLOOKUP(C81,Projetos!A:L,12,false)=TRUE,TRUE,FALSE)</f>
        <v>1</v>
      </c>
      <c r="M81" s="74">
        <v>33.15972725468975</v>
      </c>
      <c r="N81" s="74">
        <f t="shared" si="1"/>
        <v>66.31945451</v>
      </c>
      <c r="O81" s="74" t="b">
        <v>1</v>
      </c>
    </row>
    <row r="82" hidden="1">
      <c r="A82" s="82"/>
      <c r="B82" s="65" t="s">
        <v>146</v>
      </c>
      <c r="C82" s="65" t="s">
        <v>118</v>
      </c>
      <c r="D82" s="65" t="str">
        <f>vlookup(C82,'Classificação p pessoal'!F:G,2,false)</f>
        <v>MProduto</v>
      </c>
      <c r="E82" s="65" t="s">
        <v>147</v>
      </c>
      <c r="F82" s="83">
        <v>0.3541666666666667</v>
      </c>
      <c r="G82" s="83">
        <v>0.4791666666666667</v>
      </c>
      <c r="H82" s="83">
        <v>0.125</v>
      </c>
      <c r="I82" s="84">
        <v>44281.0</v>
      </c>
      <c r="J82" s="65" t="b">
        <v>1</v>
      </c>
      <c r="K82" s="65"/>
      <c r="L82" s="85" t="b">
        <f>IF(VLOOKUP(C82,Projetos!A:L,12,false)=TRUE,TRUE,FALSE)</f>
        <v>1</v>
      </c>
      <c r="M82" s="74">
        <v>33.15972725468975</v>
      </c>
      <c r="N82" s="74">
        <f t="shared" si="1"/>
        <v>99.47918176</v>
      </c>
      <c r="O82" s="74" t="b">
        <v>1</v>
      </c>
    </row>
    <row r="83" hidden="1">
      <c r="A83" s="82"/>
      <c r="B83" s="65" t="s">
        <v>146</v>
      </c>
      <c r="C83" s="65" t="s">
        <v>152</v>
      </c>
      <c r="D83" s="65" t="str">
        <f>vlookup(C83,'Classificação p pessoal'!F:G,2,false)</f>
        <v>MProduto</v>
      </c>
      <c r="E83" s="65" t="s">
        <v>147</v>
      </c>
      <c r="F83" s="83">
        <v>0.5625</v>
      </c>
      <c r="G83" s="83">
        <v>0.6458333333333334</v>
      </c>
      <c r="H83" s="83">
        <v>0.08333333333333333</v>
      </c>
      <c r="I83" s="84">
        <v>44281.0</v>
      </c>
      <c r="J83" s="65" t="b">
        <v>1</v>
      </c>
      <c r="K83" s="65"/>
      <c r="L83" s="85" t="b">
        <f>IF(VLOOKUP(C83,Projetos!A:L,12,false)=TRUE,TRUE,FALSE)</f>
        <v>1</v>
      </c>
      <c r="M83" s="74">
        <v>33.15972725468975</v>
      </c>
      <c r="N83" s="74">
        <f t="shared" si="1"/>
        <v>66.31945451</v>
      </c>
      <c r="O83" s="74" t="b">
        <v>1</v>
      </c>
    </row>
    <row r="84" hidden="1">
      <c r="A84" s="82"/>
      <c r="B84" s="65" t="s">
        <v>146</v>
      </c>
      <c r="C84" s="65" t="s">
        <v>152</v>
      </c>
      <c r="D84" s="65" t="str">
        <f>vlookup(C84,'Classificação p pessoal'!F:G,2,false)</f>
        <v>MProduto</v>
      </c>
      <c r="E84" s="65" t="s">
        <v>147</v>
      </c>
      <c r="F84" s="83">
        <v>0.375</v>
      </c>
      <c r="G84" s="83">
        <v>0.4583333333333333</v>
      </c>
      <c r="H84" s="83">
        <v>0.08333333333333333</v>
      </c>
      <c r="I84" s="84">
        <v>44284.0</v>
      </c>
      <c r="J84" s="65" t="b">
        <v>1</v>
      </c>
      <c r="K84" s="65"/>
      <c r="L84" s="85" t="b">
        <f>IF(VLOOKUP(C84,Projetos!A:L,12,false)=TRUE,TRUE,FALSE)</f>
        <v>1</v>
      </c>
      <c r="M84" s="74">
        <v>33.15972725468975</v>
      </c>
      <c r="N84" s="74">
        <f t="shared" si="1"/>
        <v>66.31945451</v>
      </c>
      <c r="O84" s="74" t="b">
        <v>1</v>
      </c>
    </row>
    <row r="85" hidden="1">
      <c r="A85" s="82"/>
      <c r="B85" s="65" t="s">
        <v>146</v>
      </c>
      <c r="C85" s="65" t="s">
        <v>117</v>
      </c>
      <c r="D85" s="65" t="str">
        <f>vlookup(C85,'Classificação p pessoal'!F:G,2,false)</f>
        <v>NP</v>
      </c>
      <c r="E85" s="65" t="s">
        <v>151</v>
      </c>
      <c r="F85" s="83">
        <v>0.3541666666666667</v>
      </c>
      <c r="G85" s="83">
        <v>0.5208333333333334</v>
      </c>
      <c r="H85" s="83">
        <v>0.16666666666666666</v>
      </c>
      <c r="I85" s="84">
        <v>44286.0</v>
      </c>
      <c r="J85" s="65" t="b">
        <v>1</v>
      </c>
      <c r="K85" s="65"/>
      <c r="L85" s="85" t="b">
        <f>IF(VLOOKUP(C85,Projetos!A:L,12,false)=TRUE,TRUE,FALSE)</f>
        <v>1</v>
      </c>
      <c r="M85" s="74">
        <v>33.15972725468975</v>
      </c>
      <c r="N85" s="74">
        <f t="shared" si="1"/>
        <v>132.638909</v>
      </c>
      <c r="O85" s="74" t="b">
        <v>1</v>
      </c>
    </row>
    <row r="86" hidden="1">
      <c r="A86" s="82"/>
      <c r="B86" s="65" t="s">
        <v>146</v>
      </c>
      <c r="C86" s="65" t="s">
        <v>117</v>
      </c>
      <c r="D86" s="65" t="str">
        <f>vlookup(C86,'Classificação p pessoal'!F:G,2,false)</f>
        <v>NP</v>
      </c>
      <c r="E86" s="65" t="s">
        <v>153</v>
      </c>
      <c r="F86" s="83">
        <v>0.3541666666666667</v>
      </c>
      <c r="G86" s="83">
        <v>0.4375</v>
      </c>
      <c r="H86" s="83">
        <v>0.08333333333333333</v>
      </c>
      <c r="I86" s="84">
        <v>44260.0</v>
      </c>
      <c r="J86" s="65" t="b">
        <v>1</v>
      </c>
      <c r="K86" s="65"/>
      <c r="L86" s="85" t="b">
        <f>IF(VLOOKUP(C86,Projetos!A:L,12,false)=TRUE,TRUE,FALSE)</f>
        <v>1</v>
      </c>
      <c r="M86" s="74">
        <v>33.15972725468975</v>
      </c>
      <c r="N86" s="74">
        <f t="shared" si="1"/>
        <v>66.31945451</v>
      </c>
      <c r="O86" s="74" t="b">
        <v>1</v>
      </c>
    </row>
    <row r="87" hidden="1">
      <c r="A87" s="82"/>
      <c r="B87" s="65" t="s">
        <v>146</v>
      </c>
      <c r="C87" s="65" t="s">
        <v>117</v>
      </c>
      <c r="D87" s="65" t="str">
        <f>vlookup(C87,'Classificação p pessoal'!F:G,2,false)</f>
        <v>NP</v>
      </c>
      <c r="E87" s="65" t="s">
        <v>154</v>
      </c>
      <c r="F87" s="83">
        <v>0.5625</v>
      </c>
      <c r="G87" s="83">
        <v>0.75</v>
      </c>
      <c r="H87" s="83">
        <v>0.1875</v>
      </c>
      <c r="I87" s="84">
        <v>44271.0</v>
      </c>
      <c r="J87" s="65" t="b">
        <v>1</v>
      </c>
      <c r="K87" s="65"/>
      <c r="L87" s="85" t="b">
        <f>IF(VLOOKUP(C87,Projetos!A:L,12,false)=TRUE,TRUE,FALSE)</f>
        <v>1</v>
      </c>
      <c r="M87" s="74">
        <v>33.15972725468975</v>
      </c>
      <c r="N87" s="74">
        <f t="shared" si="1"/>
        <v>149.2187726</v>
      </c>
      <c r="O87" s="74" t="b">
        <v>1</v>
      </c>
    </row>
    <row r="88" hidden="1">
      <c r="A88" s="82"/>
      <c r="B88" s="65" t="s">
        <v>146</v>
      </c>
      <c r="C88" s="65" t="s">
        <v>117</v>
      </c>
      <c r="D88" s="65" t="str">
        <f>vlookup(C88,'Classificação p pessoal'!F:G,2,false)</f>
        <v>NP</v>
      </c>
      <c r="E88" s="65" t="s">
        <v>154</v>
      </c>
      <c r="F88" s="83">
        <v>0.5625</v>
      </c>
      <c r="G88" s="83">
        <v>0.75</v>
      </c>
      <c r="H88" s="83">
        <v>0.1875</v>
      </c>
      <c r="I88" s="84">
        <v>44272.0</v>
      </c>
      <c r="J88" s="65" t="b">
        <v>1</v>
      </c>
      <c r="K88" s="65"/>
      <c r="L88" s="85" t="b">
        <f>IF(VLOOKUP(C88,Projetos!A:L,12,false)=TRUE,TRUE,FALSE)</f>
        <v>1</v>
      </c>
      <c r="M88" s="74">
        <v>33.15972725468975</v>
      </c>
      <c r="N88" s="74">
        <f t="shared" si="1"/>
        <v>149.2187726</v>
      </c>
      <c r="O88" s="74" t="b">
        <v>1</v>
      </c>
    </row>
    <row r="89" hidden="1">
      <c r="A89" s="82"/>
      <c r="B89" s="65" t="s">
        <v>146</v>
      </c>
      <c r="C89" s="65" t="s">
        <v>117</v>
      </c>
      <c r="D89" s="65" t="str">
        <f>vlookup(C89,'Classificação p pessoal'!F:G,2,false)</f>
        <v>NP</v>
      </c>
      <c r="E89" s="65" t="s">
        <v>154</v>
      </c>
      <c r="F89" s="83">
        <v>0.3541666666666667</v>
      </c>
      <c r="G89" s="83">
        <v>0.5208333333333334</v>
      </c>
      <c r="H89" s="83">
        <v>0.16666666666666666</v>
      </c>
      <c r="I89" s="84">
        <v>44274.0</v>
      </c>
      <c r="J89" s="65" t="b">
        <v>1</v>
      </c>
      <c r="K89" s="65"/>
      <c r="L89" s="85" t="b">
        <f>IF(VLOOKUP(C89,Projetos!A:L,12,false)=TRUE,TRUE,FALSE)</f>
        <v>1</v>
      </c>
      <c r="M89" s="74">
        <v>33.15972725468975</v>
      </c>
      <c r="N89" s="74">
        <f t="shared" si="1"/>
        <v>132.638909</v>
      </c>
      <c r="O89" s="74" t="b">
        <v>1</v>
      </c>
    </row>
    <row r="90" hidden="1">
      <c r="A90" s="82"/>
      <c r="B90" s="65" t="s">
        <v>146</v>
      </c>
      <c r="C90" s="65" t="s">
        <v>117</v>
      </c>
      <c r="D90" s="65" t="str">
        <f>vlookup(C90,'Classificação p pessoal'!F:G,2,false)</f>
        <v>NP</v>
      </c>
      <c r="E90" s="65" t="s">
        <v>154</v>
      </c>
      <c r="F90" s="83">
        <v>0.3541666666666667</v>
      </c>
      <c r="G90" s="83">
        <v>0.4791666666666667</v>
      </c>
      <c r="H90" s="83">
        <v>0.125</v>
      </c>
      <c r="I90" s="84">
        <v>44277.0</v>
      </c>
      <c r="J90" s="65" t="b">
        <v>1</v>
      </c>
      <c r="K90" s="65"/>
      <c r="L90" s="85" t="b">
        <f>IF(VLOOKUP(C90,Projetos!A:L,12,false)=TRUE,TRUE,FALSE)</f>
        <v>1</v>
      </c>
      <c r="M90" s="74">
        <v>33.15972725468975</v>
      </c>
      <c r="N90" s="74">
        <f t="shared" si="1"/>
        <v>99.47918176</v>
      </c>
      <c r="O90" s="74" t="b">
        <v>1</v>
      </c>
    </row>
    <row r="91" hidden="1">
      <c r="A91" s="82"/>
      <c r="B91" s="65" t="s">
        <v>146</v>
      </c>
      <c r="C91" s="65" t="s">
        <v>117</v>
      </c>
      <c r="D91" s="65" t="str">
        <f>vlookup(C91,'Classificação p pessoal'!F:G,2,false)</f>
        <v>NP</v>
      </c>
      <c r="E91" s="65" t="s">
        <v>154</v>
      </c>
      <c r="F91" s="83">
        <v>0.5833333333333334</v>
      </c>
      <c r="G91" s="83">
        <v>0.75</v>
      </c>
      <c r="H91" s="83">
        <v>0.16666666666666666</v>
      </c>
      <c r="I91" s="84">
        <v>44278.0</v>
      </c>
      <c r="J91" s="65" t="b">
        <v>1</v>
      </c>
      <c r="K91" s="65"/>
      <c r="L91" s="85" t="b">
        <f>IF(VLOOKUP(C91,Projetos!A:L,12,false)=TRUE,TRUE,FALSE)</f>
        <v>1</v>
      </c>
      <c r="M91" s="74">
        <v>33.15972725468975</v>
      </c>
      <c r="N91" s="74">
        <f t="shared" si="1"/>
        <v>132.638909</v>
      </c>
      <c r="O91" s="74" t="b">
        <v>1</v>
      </c>
    </row>
    <row r="92" hidden="1">
      <c r="A92" s="82"/>
      <c r="B92" s="65" t="s">
        <v>146</v>
      </c>
      <c r="C92" s="65" t="s">
        <v>117</v>
      </c>
      <c r="D92" s="65" t="str">
        <f>vlookup(C92,'Classificação p pessoal'!F:G,2,false)</f>
        <v>NP</v>
      </c>
      <c r="E92" s="65" t="s">
        <v>151</v>
      </c>
      <c r="F92" s="83">
        <v>0.3541666666666667</v>
      </c>
      <c r="G92" s="83">
        <v>0.5208333333333334</v>
      </c>
      <c r="H92" s="83">
        <v>0.16666666666666666</v>
      </c>
      <c r="I92" s="84">
        <v>44279.0</v>
      </c>
      <c r="J92" s="65" t="b">
        <v>1</v>
      </c>
      <c r="K92" s="65"/>
      <c r="L92" s="85" t="b">
        <f>IF(VLOOKUP(C92,Projetos!A:L,12,false)=TRUE,TRUE,FALSE)</f>
        <v>1</v>
      </c>
      <c r="M92" s="74">
        <v>33.15972725468975</v>
      </c>
      <c r="N92" s="74">
        <f t="shared" si="1"/>
        <v>132.638909</v>
      </c>
      <c r="O92" s="74" t="b">
        <v>1</v>
      </c>
    </row>
    <row r="93" hidden="1">
      <c r="A93" s="82"/>
      <c r="B93" s="65" t="s">
        <v>146</v>
      </c>
      <c r="C93" s="65" t="s">
        <v>117</v>
      </c>
      <c r="D93" s="65" t="str">
        <f>vlookup(C93,'Classificação p pessoal'!F:G,2,false)</f>
        <v>NP</v>
      </c>
      <c r="E93" s="65" t="s">
        <v>148</v>
      </c>
      <c r="F93" s="83">
        <v>0.4166666666666667</v>
      </c>
      <c r="G93" s="83">
        <v>0.5416666666666666</v>
      </c>
      <c r="H93" s="83">
        <v>0.125</v>
      </c>
      <c r="I93" s="84">
        <v>44287.0</v>
      </c>
      <c r="J93" s="65" t="b">
        <v>1</v>
      </c>
      <c r="K93" s="65"/>
      <c r="L93" s="85" t="b">
        <f>IF(VLOOKUP(C93,Projetos!A:L,12,false)=TRUE,TRUE,FALSE)</f>
        <v>1</v>
      </c>
      <c r="M93" s="74">
        <v>33.15972725468975</v>
      </c>
      <c r="N93" s="74">
        <f t="shared" si="1"/>
        <v>99.47918176</v>
      </c>
      <c r="O93" s="74" t="b">
        <v>1</v>
      </c>
    </row>
    <row r="94" hidden="1">
      <c r="A94" s="82"/>
      <c r="B94" s="65" t="s">
        <v>146</v>
      </c>
      <c r="C94" s="65" t="s">
        <v>121</v>
      </c>
      <c r="D94" s="65" t="str">
        <f>vlookup(C94,'Classificação p pessoal'!F:G,2,false)</f>
        <v>NP</v>
      </c>
      <c r="E94" s="65" t="s">
        <v>148</v>
      </c>
      <c r="F94" s="83">
        <v>0.625</v>
      </c>
      <c r="G94" s="83">
        <v>0.75</v>
      </c>
      <c r="H94" s="83">
        <v>0.125</v>
      </c>
      <c r="I94" s="84">
        <v>44287.0</v>
      </c>
      <c r="J94" s="65" t="b">
        <v>1</v>
      </c>
      <c r="K94" s="65"/>
      <c r="L94" s="85" t="b">
        <f>IF(VLOOKUP(C94,Projetos!A:L,12,false)=TRUE,TRUE,FALSE)</f>
        <v>1</v>
      </c>
      <c r="M94" s="74">
        <v>33.15972725468975</v>
      </c>
      <c r="N94" s="74">
        <f t="shared" si="1"/>
        <v>99.47918176</v>
      </c>
      <c r="O94" s="74" t="b">
        <v>1</v>
      </c>
    </row>
    <row r="95" hidden="1">
      <c r="A95" s="82"/>
      <c r="B95" s="65" t="s">
        <v>146</v>
      </c>
      <c r="C95" s="65" t="s">
        <v>117</v>
      </c>
      <c r="D95" s="65" t="str">
        <f>vlookup(C95,'Classificação p pessoal'!F:G,2,false)</f>
        <v>NP</v>
      </c>
      <c r="E95" s="65" t="s">
        <v>148</v>
      </c>
      <c r="F95" s="83">
        <v>0.3541666666666667</v>
      </c>
      <c r="G95" s="83">
        <v>0.5416666666666666</v>
      </c>
      <c r="H95" s="83">
        <v>0.1875</v>
      </c>
      <c r="I95" s="84">
        <v>44291.0</v>
      </c>
      <c r="J95" s="65" t="b">
        <v>1</v>
      </c>
      <c r="K95" s="65"/>
      <c r="L95" s="85" t="b">
        <f>IF(VLOOKUP(C95,Projetos!A:L,12,false)=TRUE,TRUE,FALSE)</f>
        <v>1</v>
      </c>
      <c r="M95" s="74">
        <v>33.15972725468975</v>
      </c>
      <c r="N95" s="74">
        <f t="shared" si="1"/>
        <v>149.2187726</v>
      </c>
      <c r="O95" s="74" t="b">
        <v>1</v>
      </c>
    </row>
    <row r="96" hidden="1">
      <c r="A96" s="82"/>
      <c r="B96" s="65" t="s">
        <v>146</v>
      </c>
      <c r="C96" s="65" t="s">
        <v>117</v>
      </c>
      <c r="D96" s="65" t="str">
        <f>vlookup(C96,'Classificação p pessoal'!F:G,2,false)</f>
        <v>NP</v>
      </c>
      <c r="E96" s="65" t="s">
        <v>148</v>
      </c>
      <c r="F96" s="83">
        <v>0.3541666666666667</v>
      </c>
      <c r="G96" s="83">
        <v>0.5416666666666666</v>
      </c>
      <c r="H96" s="83">
        <v>0.1875</v>
      </c>
      <c r="I96" s="84">
        <v>44292.0</v>
      </c>
      <c r="J96" s="65" t="b">
        <v>1</v>
      </c>
      <c r="K96" s="65"/>
      <c r="L96" s="85" t="b">
        <f>IF(VLOOKUP(C96,Projetos!A:L,12,false)=TRUE,TRUE,FALSE)</f>
        <v>1</v>
      </c>
      <c r="M96" s="74">
        <v>33.15972725468975</v>
      </c>
      <c r="N96" s="74">
        <f t="shared" si="1"/>
        <v>149.2187726</v>
      </c>
      <c r="O96" s="74" t="b">
        <v>1</v>
      </c>
    </row>
    <row r="97" hidden="1">
      <c r="A97" s="82"/>
      <c r="B97" s="65" t="s">
        <v>146</v>
      </c>
      <c r="C97" s="65" t="s">
        <v>121</v>
      </c>
      <c r="D97" s="65" t="str">
        <f>vlookup(C97,'Classificação p pessoal'!F:G,2,false)</f>
        <v>NP</v>
      </c>
      <c r="E97" s="65" t="s">
        <v>148</v>
      </c>
      <c r="F97" s="83">
        <v>0.6666666666666666</v>
      </c>
      <c r="G97" s="83">
        <v>0.75</v>
      </c>
      <c r="H97" s="83">
        <v>0.08333333333333333</v>
      </c>
      <c r="I97" s="84">
        <v>44292.0</v>
      </c>
      <c r="J97" s="65" t="b">
        <v>1</v>
      </c>
      <c r="K97" s="65"/>
      <c r="L97" s="85" t="b">
        <f>IF(VLOOKUP(C97,Projetos!A:L,12,false)=TRUE,TRUE,FALSE)</f>
        <v>1</v>
      </c>
      <c r="M97" s="74">
        <v>33.15972725468975</v>
      </c>
      <c r="N97" s="74">
        <f t="shared" si="1"/>
        <v>66.31945451</v>
      </c>
      <c r="O97" s="74" t="b">
        <v>1</v>
      </c>
    </row>
    <row r="98" hidden="1">
      <c r="A98" s="82"/>
      <c r="B98" s="65" t="s">
        <v>146</v>
      </c>
      <c r="C98" s="65" t="s">
        <v>117</v>
      </c>
      <c r="D98" s="65" t="str">
        <f>vlookup(C98,'Classificação p pessoal'!F:G,2,false)</f>
        <v>NP</v>
      </c>
      <c r="E98" s="65" t="s">
        <v>148</v>
      </c>
      <c r="F98" s="83">
        <v>0.3541666666666667</v>
      </c>
      <c r="G98" s="83">
        <v>0.4583333333333333</v>
      </c>
      <c r="H98" s="83">
        <v>0.10416666666666667</v>
      </c>
      <c r="I98" s="84">
        <v>44293.0</v>
      </c>
      <c r="J98" s="65" t="b">
        <v>1</v>
      </c>
      <c r="K98" s="65"/>
      <c r="L98" s="85" t="b">
        <f>IF(VLOOKUP(C98,Projetos!A:L,12,false)=TRUE,TRUE,FALSE)</f>
        <v>1</v>
      </c>
      <c r="M98" s="74">
        <v>33.15972725468975</v>
      </c>
      <c r="N98" s="74">
        <f t="shared" si="1"/>
        <v>82.89931814</v>
      </c>
      <c r="O98" s="74" t="b">
        <v>1</v>
      </c>
    </row>
    <row r="99" hidden="1">
      <c r="A99" s="82"/>
      <c r="B99" s="65" t="s">
        <v>146</v>
      </c>
      <c r="C99" s="65" t="s">
        <v>121</v>
      </c>
      <c r="D99" s="65" t="str">
        <f>vlookup(C99,'Classificação p pessoal'!F:G,2,false)</f>
        <v>NP</v>
      </c>
      <c r="E99" s="65" t="s">
        <v>148</v>
      </c>
      <c r="F99" s="83">
        <v>0.375</v>
      </c>
      <c r="G99" s="83">
        <v>0.4375</v>
      </c>
      <c r="H99" s="83">
        <v>0.0625</v>
      </c>
      <c r="I99" s="84">
        <v>44294.0</v>
      </c>
      <c r="J99" s="65" t="b">
        <v>1</v>
      </c>
      <c r="K99" s="65"/>
      <c r="L99" s="85" t="b">
        <f>IF(VLOOKUP(C99,Projetos!A:L,12,false)=TRUE,TRUE,FALSE)</f>
        <v>1</v>
      </c>
      <c r="M99" s="74">
        <v>33.15972725468975</v>
      </c>
      <c r="N99" s="74">
        <f t="shared" si="1"/>
        <v>49.73959088</v>
      </c>
      <c r="O99" s="74" t="b">
        <v>1</v>
      </c>
    </row>
    <row r="100" hidden="1">
      <c r="A100" s="82"/>
      <c r="B100" s="65" t="s">
        <v>146</v>
      </c>
      <c r="C100" s="65" t="s">
        <v>118</v>
      </c>
      <c r="D100" s="65" t="str">
        <f>vlookup(C100,'Classificação p pessoal'!F:G,2,false)</f>
        <v>MProduto</v>
      </c>
      <c r="E100" s="65" t="s">
        <v>147</v>
      </c>
      <c r="F100" s="83">
        <v>0.4166666666666667</v>
      </c>
      <c r="G100" s="83">
        <v>0.5416666666666666</v>
      </c>
      <c r="H100" s="83">
        <v>0.125</v>
      </c>
      <c r="I100" s="84">
        <v>44295.0</v>
      </c>
      <c r="J100" s="65" t="b">
        <v>1</v>
      </c>
      <c r="K100" s="65"/>
      <c r="L100" s="85" t="b">
        <f>IF(VLOOKUP(C100,Projetos!A:L,12,false)=TRUE,TRUE,FALSE)</f>
        <v>1</v>
      </c>
      <c r="M100" s="74">
        <v>33.15972725468975</v>
      </c>
      <c r="N100" s="74">
        <f t="shared" si="1"/>
        <v>99.47918176</v>
      </c>
      <c r="O100" s="74" t="b">
        <v>1</v>
      </c>
    </row>
    <row r="101" hidden="1">
      <c r="A101" s="82"/>
      <c r="B101" s="65" t="s">
        <v>146</v>
      </c>
      <c r="C101" s="65" t="s">
        <v>121</v>
      </c>
      <c r="D101" s="65" t="str">
        <f>vlookup(C101,'Classificação p pessoal'!F:G,2,false)</f>
        <v>NP</v>
      </c>
      <c r="E101" s="65" t="s">
        <v>148</v>
      </c>
      <c r="F101" s="83">
        <v>0.625</v>
      </c>
      <c r="G101" s="83">
        <v>0.7083333333333334</v>
      </c>
      <c r="H101" s="83">
        <v>0.08333333333333333</v>
      </c>
      <c r="I101" s="84">
        <v>44295.0</v>
      </c>
      <c r="J101" s="65" t="b">
        <v>1</v>
      </c>
      <c r="K101" s="65"/>
      <c r="L101" s="85" t="b">
        <f>IF(VLOOKUP(C101,Projetos!A:L,12,false)=TRUE,TRUE,FALSE)</f>
        <v>1</v>
      </c>
      <c r="M101" s="74">
        <v>33.15972725468975</v>
      </c>
      <c r="N101" s="74">
        <f t="shared" si="1"/>
        <v>66.31945451</v>
      </c>
      <c r="O101" s="74" t="b">
        <v>1</v>
      </c>
    </row>
    <row r="102" hidden="1">
      <c r="A102" s="82"/>
      <c r="B102" s="65" t="s">
        <v>146</v>
      </c>
      <c r="C102" s="65" t="s">
        <v>88</v>
      </c>
      <c r="D102" s="65" t="str">
        <f>vlookup(C102,'Classificação p pessoal'!F:G,2,false)</f>
        <v>MProduto</v>
      </c>
      <c r="E102" s="65" t="s">
        <v>147</v>
      </c>
      <c r="F102" s="83">
        <v>0.375</v>
      </c>
      <c r="G102" s="83">
        <v>0.5416666666666666</v>
      </c>
      <c r="H102" s="83">
        <v>0.16666666666666666</v>
      </c>
      <c r="I102" s="84">
        <v>44298.0</v>
      </c>
      <c r="J102" s="65" t="b">
        <v>1</v>
      </c>
      <c r="K102" s="65"/>
      <c r="L102" s="85" t="b">
        <f>IF(VLOOKUP(C102,Projetos!A:L,12,false)=TRUE,TRUE,FALSE)</f>
        <v>1</v>
      </c>
      <c r="M102" s="74">
        <v>33.15972725468975</v>
      </c>
      <c r="N102" s="74">
        <f t="shared" si="1"/>
        <v>132.638909</v>
      </c>
      <c r="O102" s="74" t="b">
        <v>1</v>
      </c>
    </row>
    <row r="103" hidden="1">
      <c r="A103" s="82"/>
      <c r="B103" s="65" t="s">
        <v>146</v>
      </c>
      <c r="C103" s="65" t="s">
        <v>118</v>
      </c>
      <c r="D103" s="65" t="str">
        <f>vlookup(C103,'Classificação p pessoal'!F:G,2,false)</f>
        <v>MProduto</v>
      </c>
      <c r="E103" s="65" t="s">
        <v>147</v>
      </c>
      <c r="F103" s="83">
        <v>0.625</v>
      </c>
      <c r="G103" s="83">
        <v>0.75</v>
      </c>
      <c r="H103" s="83">
        <v>0.125</v>
      </c>
      <c r="I103" s="84">
        <v>44298.0</v>
      </c>
      <c r="J103" s="65" t="b">
        <v>1</v>
      </c>
      <c r="K103" s="65"/>
      <c r="L103" s="85" t="b">
        <f>IF(VLOOKUP(C103,Projetos!A:L,12,false)=TRUE,TRUE,FALSE)</f>
        <v>1</v>
      </c>
      <c r="M103" s="74">
        <v>33.15972725468975</v>
      </c>
      <c r="N103" s="74">
        <f t="shared" si="1"/>
        <v>99.47918176</v>
      </c>
      <c r="O103" s="74" t="b">
        <v>1</v>
      </c>
    </row>
    <row r="104" hidden="1">
      <c r="A104" s="82"/>
      <c r="B104" s="65" t="s">
        <v>146</v>
      </c>
      <c r="C104" s="65" t="s">
        <v>88</v>
      </c>
      <c r="D104" s="65" t="str">
        <f>vlookup(C104,'Classificação p pessoal'!F:G,2,false)</f>
        <v>MProduto</v>
      </c>
      <c r="E104" s="65" t="s">
        <v>147</v>
      </c>
      <c r="F104" s="83">
        <v>0.3541666666666667</v>
      </c>
      <c r="G104" s="83">
        <v>0.5833333333333334</v>
      </c>
      <c r="H104" s="83">
        <v>0.22916666666666666</v>
      </c>
      <c r="I104" s="84">
        <v>44299.0</v>
      </c>
      <c r="J104" s="65" t="b">
        <v>1</v>
      </c>
      <c r="K104" s="65"/>
      <c r="L104" s="85" t="b">
        <f>IF(VLOOKUP(C104,Projetos!A:L,12,false)=TRUE,TRUE,FALSE)</f>
        <v>1</v>
      </c>
      <c r="M104" s="74">
        <v>33.15972725468975</v>
      </c>
      <c r="N104" s="74">
        <f t="shared" si="1"/>
        <v>182.3784999</v>
      </c>
      <c r="O104" s="74" t="b">
        <v>1</v>
      </c>
    </row>
    <row r="105" hidden="1">
      <c r="A105" s="82"/>
      <c r="B105" s="65" t="s">
        <v>146</v>
      </c>
      <c r="C105" s="65" t="s">
        <v>88</v>
      </c>
      <c r="D105" s="65" t="str">
        <f>vlookup(C105,'Classificação p pessoal'!F:G,2,false)</f>
        <v>MProduto</v>
      </c>
      <c r="E105" s="65" t="s">
        <v>147</v>
      </c>
      <c r="F105" s="83">
        <v>0.5833333333333334</v>
      </c>
      <c r="G105" s="83">
        <v>0.6666666666666666</v>
      </c>
      <c r="H105" s="83">
        <v>0.08333333333333333</v>
      </c>
      <c r="I105" s="84">
        <v>44300.0</v>
      </c>
      <c r="J105" s="65" t="b">
        <v>1</v>
      </c>
      <c r="K105" s="65"/>
      <c r="L105" s="85" t="b">
        <f>IF(VLOOKUP(C105,Projetos!A:L,12,false)=TRUE,TRUE,FALSE)</f>
        <v>1</v>
      </c>
      <c r="M105" s="74">
        <v>33.15972725468975</v>
      </c>
      <c r="N105" s="74">
        <f t="shared" si="1"/>
        <v>66.31945451</v>
      </c>
      <c r="O105" s="74" t="b">
        <v>1</v>
      </c>
    </row>
    <row r="106" hidden="1">
      <c r="A106" s="82"/>
      <c r="B106" s="65" t="s">
        <v>146</v>
      </c>
      <c r="C106" s="65" t="s">
        <v>121</v>
      </c>
      <c r="D106" s="65" t="str">
        <f>vlookup(C106,'Classificação p pessoal'!F:G,2,false)</f>
        <v>NP</v>
      </c>
      <c r="E106" s="65" t="s">
        <v>148</v>
      </c>
      <c r="F106" s="83">
        <v>0.6666666666666666</v>
      </c>
      <c r="G106" s="83">
        <v>0.75</v>
      </c>
      <c r="H106" s="83">
        <v>0.08333333333333333</v>
      </c>
      <c r="I106" s="84">
        <v>44301.0</v>
      </c>
      <c r="J106" s="65" t="b">
        <v>1</v>
      </c>
      <c r="K106" s="65"/>
      <c r="L106" s="85" t="b">
        <f>IF(VLOOKUP(C106,Projetos!A:L,12,false)=TRUE,TRUE,FALSE)</f>
        <v>1</v>
      </c>
      <c r="M106" s="74">
        <v>33.15972725468975</v>
      </c>
      <c r="N106" s="74">
        <f t="shared" si="1"/>
        <v>66.31945451</v>
      </c>
      <c r="O106" s="74" t="b">
        <v>1</v>
      </c>
    </row>
    <row r="107" hidden="1">
      <c r="A107" s="82"/>
      <c r="B107" s="65" t="s">
        <v>146</v>
      </c>
      <c r="C107" s="65" t="s">
        <v>88</v>
      </c>
      <c r="D107" s="65" t="str">
        <f>vlookup(C107,'Classificação p pessoal'!F:G,2,false)</f>
        <v>MProduto</v>
      </c>
      <c r="E107" s="65" t="s">
        <v>147</v>
      </c>
      <c r="F107" s="83">
        <v>0.3541666666666667</v>
      </c>
      <c r="G107" s="83">
        <v>0.4583333333333333</v>
      </c>
      <c r="H107" s="83">
        <v>0.10416666666666667</v>
      </c>
      <c r="I107" s="84">
        <v>44302.0</v>
      </c>
      <c r="J107" s="65" t="b">
        <v>1</v>
      </c>
      <c r="K107" s="65"/>
      <c r="L107" s="85" t="b">
        <f>IF(VLOOKUP(C107,Projetos!A:L,12,false)=TRUE,TRUE,FALSE)</f>
        <v>1</v>
      </c>
      <c r="M107" s="74">
        <v>33.15972725468975</v>
      </c>
      <c r="N107" s="74">
        <f t="shared" si="1"/>
        <v>82.89931814</v>
      </c>
      <c r="O107" s="74" t="b">
        <v>1</v>
      </c>
    </row>
    <row r="108" hidden="1">
      <c r="A108" s="82"/>
      <c r="B108" s="65" t="s">
        <v>146</v>
      </c>
      <c r="C108" s="65" t="s">
        <v>121</v>
      </c>
      <c r="D108" s="65" t="str">
        <f>vlookup(C108,'Classificação p pessoal'!F:G,2,false)</f>
        <v>NP</v>
      </c>
      <c r="E108" s="65" t="s">
        <v>148</v>
      </c>
      <c r="F108" s="83">
        <v>0.7083333333333334</v>
      </c>
      <c r="G108" s="83">
        <v>0.75</v>
      </c>
      <c r="H108" s="83">
        <v>0.041666666666666664</v>
      </c>
      <c r="I108" s="84">
        <v>44302.0</v>
      </c>
      <c r="J108" s="65" t="b">
        <v>1</v>
      </c>
      <c r="K108" s="65"/>
      <c r="L108" s="85" t="b">
        <f>IF(VLOOKUP(C108,Projetos!A:L,12,false)=TRUE,TRUE,FALSE)</f>
        <v>1</v>
      </c>
      <c r="M108" s="74">
        <v>33.15972725468975</v>
      </c>
      <c r="N108" s="74">
        <f t="shared" si="1"/>
        <v>33.15972725</v>
      </c>
      <c r="O108" s="74" t="b">
        <v>1</v>
      </c>
    </row>
    <row r="109" hidden="1">
      <c r="A109" s="82"/>
      <c r="B109" s="65" t="s">
        <v>146</v>
      </c>
      <c r="C109" s="65" t="s">
        <v>121</v>
      </c>
      <c r="D109" s="65" t="str">
        <f>vlookup(C109,'Classificação p pessoal'!F:G,2,false)</f>
        <v>NP</v>
      </c>
      <c r="E109" s="65" t="s">
        <v>148</v>
      </c>
      <c r="F109" s="83">
        <v>0.375</v>
      </c>
      <c r="G109" s="83">
        <v>0.4583333333333333</v>
      </c>
      <c r="H109" s="83">
        <v>0.08333333333333333</v>
      </c>
      <c r="I109" s="84">
        <v>44305.0</v>
      </c>
      <c r="J109" s="65" t="b">
        <v>1</v>
      </c>
      <c r="K109" s="65"/>
      <c r="L109" s="85" t="b">
        <f>IF(VLOOKUP(C109,Projetos!A:L,12,false)=TRUE,TRUE,FALSE)</f>
        <v>1</v>
      </c>
      <c r="M109" s="74">
        <v>33.15972725468975</v>
      </c>
      <c r="N109" s="74">
        <f t="shared" si="1"/>
        <v>66.31945451</v>
      </c>
      <c r="O109" s="74" t="b">
        <v>1</v>
      </c>
    </row>
    <row r="110" hidden="1">
      <c r="A110" s="82"/>
      <c r="B110" s="65" t="s">
        <v>146</v>
      </c>
      <c r="C110" s="65" t="s">
        <v>127</v>
      </c>
      <c r="D110" s="65" t="str">
        <f>vlookup(C110,'Classificação p pessoal'!F:G,2,false)</f>
        <v>NP</v>
      </c>
      <c r="E110" s="65" t="s">
        <v>153</v>
      </c>
      <c r="F110" s="83">
        <v>0.5833333333333334</v>
      </c>
      <c r="G110" s="83">
        <v>0.625</v>
      </c>
      <c r="H110" s="83">
        <v>0.041666666666666664</v>
      </c>
      <c r="I110" s="84">
        <v>44306.0</v>
      </c>
      <c r="J110" s="65" t="b">
        <v>1</v>
      </c>
      <c r="K110" s="65"/>
      <c r="L110" s="85" t="b">
        <f>IF(VLOOKUP(C110,Projetos!A:L,12,false)=TRUE,TRUE,FALSE)</f>
        <v>1</v>
      </c>
      <c r="M110" s="74">
        <v>33.15972725468975</v>
      </c>
      <c r="N110" s="74">
        <f t="shared" si="1"/>
        <v>33.15972725</v>
      </c>
      <c r="O110" s="74" t="b">
        <v>1</v>
      </c>
    </row>
    <row r="111" hidden="1">
      <c r="A111" s="82"/>
      <c r="B111" s="65" t="s">
        <v>146</v>
      </c>
      <c r="C111" s="65" t="s">
        <v>121</v>
      </c>
      <c r="D111" s="65" t="str">
        <f>vlookup(C111,'Classificação p pessoal'!F:G,2,false)</f>
        <v>NP</v>
      </c>
      <c r="E111" s="65" t="s">
        <v>148</v>
      </c>
      <c r="F111" s="83">
        <v>0.7083333333333334</v>
      </c>
      <c r="G111" s="83">
        <v>0.75</v>
      </c>
      <c r="H111" s="83">
        <v>0.041666666666666664</v>
      </c>
      <c r="I111" s="84">
        <v>44306.0</v>
      </c>
      <c r="J111" s="65" t="b">
        <v>1</v>
      </c>
      <c r="K111" s="65"/>
      <c r="L111" s="85" t="b">
        <f>IF(VLOOKUP(C111,Projetos!A:L,12,false)=TRUE,TRUE,FALSE)</f>
        <v>1</v>
      </c>
      <c r="M111" s="74">
        <v>33.15972725468975</v>
      </c>
      <c r="N111" s="74">
        <f t="shared" si="1"/>
        <v>33.15972725</v>
      </c>
      <c r="O111" s="74" t="b">
        <v>1</v>
      </c>
    </row>
    <row r="112" hidden="1">
      <c r="A112" s="82"/>
      <c r="B112" s="65" t="s">
        <v>146</v>
      </c>
      <c r="C112" s="65" t="s">
        <v>118</v>
      </c>
      <c r="D112" s="65" t="str">
        <f>vlookup(C112,'Classificação p pessoal'!F:G,2,false)</f>
        <v>MProduto</v>
      </c>
      <c r="E112" s="65" t="s">
        <v>147</v>
      </c>
      <c r="F112" s="83">
        <v>0.5833333333333334</v>
      </c>
      <c r="G112" s="83">
        <v>0.6666666666666666</v>
      </c>
      <c r="H112" s="83">
        <v>0.08333333333333333</v>
      </c>
      <c r="I112" s="84">
        <v>44308.0</v>
      </c>
      <c r="J112" s="65" t="b">
        <v>1</v>
      </c>
      <c r="K112" s="65"/>
      <c r="L112" s="85" t="b">
        <f>IF(VLOOKUP(C112,Projetos!A:L,12,false)=TRUE,TRUE,FALSE)</f>
        <v>1</v>
      </c>
      <c r="M112" s="74">
        <v>33.15972725468975</v>
      </c>
      <c r="N112" s="74">
        <f t="shared" si="1"/>
        <v>66.31945451</v>
      </c>
      <c r="O112" s="74" t="b">
        <v>1</v>
      </c>
    </row>
    <row r="113" hidden="1">
      <c r="A113" s="82"/>
      <c r="B113" s="65" t="s">
        <v>146</v>
      </c>
      <c r="C113" s="65" t="s">
        <v>121</v>
      </c>
      <c r="D113" s="65" t="str">
        <f>vlookup(C113,'Classificação p pessoal'!F:G,2,false)</f>
        <v>NP</v>
      </c>
      <c r="E113" s="65" t="s">
        <v>148</v>
      </c>
      <c r="F113" s="83">
        <v>0.625</v>
      </c>
      <c r="G113" s="83">
        <v>0.6666666666666666</v>
      </c>
      <c r="H113" s="83">
        <v>0.041666666666666664</v>
      </c>
      <c r="I113" s="84">
        <v>44312.0</v>
      </c>
      <c r="J113" s="65" t="b">
        <v>1</v>
      </c>
      <c r="K113" s="65"/>
      <c r="L113" s="85" t="b">
        <f>IF(VLOOKUP(C113,Projetos!A:L,12,false)=TRUE,TRUE,FALSE)</f>
        <v>1</v>
      </c>
      <c r="M113" s="74">
        <v>33.15972725468975</v>
      </c>
      <c r="N113" s="74">
        <f t="shared" si="1"/>
        <v>33.15972725</v>
      </c>
      <c r="O113" s="74" t="b">
        <v>1</v>
      </c>
    </row>
    <row r="114" hidden="1">
      <c r="A114" s="82"/>
      <c r="B114" s="65" t="s">
        <v>146</v>
      </c>
      <c r="C114" s="65" t="s">
        <v>118</v>
      </c>
      <c r="D114" s="65" t="str">
        <f>vlookup(C114,'Classificação p pessoal'!F:G,2,false)</f>
        <v>MProduto</v>
      </c>
      <c r="E114" s="65" t="s">
        <v>147</v>
      </c>
      <c r="F114" s="83">
        <v>0.4583333333333333</v>
      </c>
      <c r="G114" s="83">
        <v>0.5625</v>
      </c>
      <c r="H114" s="83">
        <v>0.10416666666666667</v>
      </c>
      <c r="I114" s="84">
        <v>44313.0</v>
      </c>
      <c r="J114" s="65" t="b">
        <v>1</v>
      </c>
      <c r="K114" s="65"/>
      <c r="L114" s="85" t="b">
        <f>IF(VLOOKUP(C114,Projetos!A:L,12,false)=TRUE,TRUE,FALSE)</f>
        <v>1</v>
      </c>
      <c r="M114" s="74">
        <v>33.15972725468975</v>
      </c>
      <c r="N114" s="74">
        <f t="shared" si="1"/>
        <v>82.89931814</v>
      </c>
      <c r="O114" s="74" t="b">
        <v>1</v>
      </c>
    </row>
    <row r="115" hidden="1">
      <c r="A115" s="82"/>
      <c r="B115" s="65" t="s">
        <v>146</v>
      </c>
      <c r="C115" s="65" t="s">
        <v>118</v>
      </c>
      <c r="D115" s="65" t="str">
        <f>vlookup(C115,'Classificação p pessoal'!F:G,2,false)</f>
        <v>MProduto</v>
      </c>
      <c r="E115" s="65" t="s">
        <v>147</v>
      </c>
      <c r="F115" s="83">
        <v>0.625</v>
      </c>
      <c r="G115" s="83">
        <v>0.7083333333333334</v>
      </c>
      <c r="H115" s="83">
        <v>0.08333333333333333</v>
      </c>
      <c r="I115" s="84">
        <v>44314.0</v>
      </c>
      <c r="J115" s="65" t="b">
        <v>1</v>
      </c>
      <c r="K115" s="65"/>
      <c r="L115" s="85" t="b">
        <f>IF(VLOOKUP(C115,Projetos!A:L,12,false)=TRUE,TRUE,FALSE)</f>
        <v>1</v>
      </c>
      <c r="M115" s="74">
        <v>33.15972725468975</v>
      </c>
      <c r="N115" s="74">
        <f t="shared" si="1"/>
        <v>66.31945451</v>
      </c>
      <c r="O115" s="74" t="b">
        <v>1</v>
      </c>
    </row>
    <row r="116" hidden="1">
      <c r="A116" s="82"/>
      <c r="B116" s="65" t="s">
        <v>146</v>
      </c>
      <c r="C116" s="65" t="s">
        <v>118</v>
      </c>
      <c r="D116" s="65" t="str">
        <f>vlookup(C116,'Classificação p pessoal'!F:G,2,false)</f>
        <v>MProduto</v>
      </c>
      <c r="E116" s="65" t="s">
        <v>147</v>
      </c>
      <c r="F116" s="83">
        <v>0.5833333333333334</v>
      </c>
      <c r="G116" s="83">
        <v>0.7083333333333334</v>
      </c>
      <c r="H116" s="83">
        <v>0.125</v>
      </c>
      <c r="I116" s="84">
        <v>44315.0</v>
      </c>
      <c r="J116" s="65" t="b">
        <v>1</v>
      </c>
      <c r="K116" s="65"/>
      <c r="L116" s="85" t="b">
        <f>IF(VLOOKUP(C116,Projetos!A:L,12,false)=TRUE,TRUE,FALSE)</f>
        <v>1</v>
      </c>
      <c r="M116" s="74">
        <v>33.15972725468975</v>
      </c>
      <c r="N116" s="74">
        <f t="shared" si="1"/>
        <v>99.47918176</v>
      </c>
      <c r="O116" s="74" t="b">
        <v>1</v>
      </c>
    </row>
    <row r="117" hidden="1">
      <c r="A117" s="82"/>
      <c r="B117" s="65" t="s">
        <v>146</v>
      </c>
      <c r="C117" s="65" t="s">
        <v>118</v>
      </c>
      <c r="D117" s="65" t="str">
        <f>vlookup(C117,'Classificação p pessoal'!F:G,2,false)</f>
        <v>MProduto</v>
      </c>
      <c r="E117" s="65" t="s">
        <v>147</v>
      </c>
      <c r="F117" s="83">
        <v>0.3541666666666667</v>
      </c>
      <c r="G117" s="83">
        <v>0.5416666666666666</v>
      </c>
      <c r="H117" s="83">
        <v>0.1875</v>
      </c>
      <c r="I117" s="84">
        <v>44316.0</v>
      </c>
      <c r="J117" s="65" t="b">
        <v>1</v>
      </c>
      <c r="K117" s="65"/>
      <c r="L117" s="85" t="b">
        <f>IF(VLOOKUP(C117,Projetos!A:L,12,false)=TRUE,TRUE,FALSE)</f>
        <v>1</v>
      </c>
      <c r="M117" s="74">
        <v>33.15972725468975</v>
      </c>
      <c r="N117" s="74">
        <f t="shared" si="1"/>
        <v>149.2187726</v>
      </c>
      <c r="O117" s="74" t="b">
        <v>1</v>
      </c>
    </row>
    <row r="118" hidden="1">
      <c r="A118" s="82"/>
      <c r="B118" s="65" t="s">
        <v>146</v>
      </c>
      <c r="C118" s="65" t="s">
        <v>118</v>
      </c>
      <c r="D118" s="65" t="str">
        <f>vlookup(C118,'Classificação p pessoal'!F:G,2,false)</f>
        <v>MProduto</v>
      </c>
      <c r="E118" s="65" t="s">
        <v>147</v>
      </c>
      <c r="F118" s="83">
        <v>0.375</v>
      </c>
      <c r="G118" s="83">
        <v>0.4583333333333333</v>
      </c>
      <c r="H118" s="83">
        <v>0.08333333333333333</v>
      </c>
      <c r="I118" s="84">
        <v>44319.0</v>
      </c>
      <c r="J118" s="65" t="b">
        <v>1</v>
      </c>
      <c r="K118" s="65"/>
      <c r="L118" s="85" t="b">
        <f>IF(VLOOKUP(C118,Projetos!A:L,12,false)=TRUE,TRUE,FALSE)</f>
        <v>1</v>
      </c>
      <c r="M118" s="74">
        <v>33.15972725468975</v>
      </c>
      <c r="N118" s="74">
        <f t="shared" si="1"/>
        <v>66.31945451</v>
      </c>
      <c r="O118" s="74" t="b">
        <v>1</v>
      </c>
    </row>
    <row r="119" hidden="1">
      <c r="A119" s="82"/>
      <c r="B119" s="65" t="s">
        <v>146</v>
      </c>
      <c r="C119" s="65" t="s">
        <v>117</v>
      </c>
      <c r="D119" s="65" t="str">
        <f>vlookup(C119,'Classificação p pessoal'!F:G,2,false)</f>
        <v>NP</v>
      </c>
      <c r="E119" s="65" t="s">
        <v>153</v>
      </c>
      <c r="F119" s="83">
        <v>0.4583333333333333</v>
      </c>
      <c r="G119" s="83">
        <v>0.5416666666666666</v>
      </c>
      <c r="H119" s="83">
        <v>0.08333333333333333</v>
      </c>
      <c r="I119" s="84">
        <v>44319.0</v>
      </c>
      <c r="J119" s="65" t="b">
        <v>1</v>
      </c>
      <c r="K119" s="65"/>
      <c r="L119" s="85" t="b">
        <f>IF(VLOOKUP(C119,Projetos!A:L,12,false)=TRUE,TRUE,FALSE)</f>
        <v>1</v>
      </c>
      <c r="M119" s="74">
        <v>33.15972725468975</v>
      </c>
      <c r="N119" s="74">
        <f t="shared" si="1"/>
        <v>66.31945451</v>
      </c>
      <c r="O119" s="74" t="b">
        <v>1</v>
      </c>
    </row>
    <row r="120" hidden="1">
      <c r="A120" s="82"/>
      <c r="B120" s="65" t="s">
        <v>146</v>
      </c>
      <c r="C120" s="65" t="s">
        <v>88</v>
      </c>
      <c r="D120" s="65" t="str">
        <f>vlookup(C120,'Classificação p pessoal'!F:G,2,false)</f>
        <v>MProduto</v>
      </c>
      <c r="E120" s="65" t="s">
        <v>147</v>
      </c>
      <c r="F120" s="83">
        <v>0.625</v>
      </c>
      <c r="G120" s="83">
        <v>0.75</v>
      </c>
      <c r="H120" s="83">
        <v>0.125</v>
      </c>
      <c r="I120" s="84">
        <v>44319.0</v>
      </c>
      <c r="J120" s="65" t="b">
        <v>1</v>
      </c>
      <c r="K120" s="65"/>
      <c r="L120" s="85" t="b">
        <f>IF(VLOOKUP(C120,Projetos!A:L,12,false)=TRUE,TRUE,FALSE)</f>
        <v>1</v>
      </c>
      <c r="M120" s="74">
        <v>33.15972725468975</v>
      </c>
      <c r="N120" s="74">
        <f t="shared" si="1"/>
        <v>99.47918176</v>
      </c>
      <c r="O120" s="74" t="b">
        <v>1</v>
      </c>
    </row>
    <row r="121" hidden="1">
      <c r="A121" s="82"/>
      <c r="B121" s="65" t="s">
        <v>146</v>
      </c>
      <c r="C121" s="65" t="s">
        <v>88</v>
      </c>
      <c r="D121" s="65" t="str">
        <f>vlookup(C121,'Classificação p pessoal'!F:G,2,false)</f>
        <v>MProduto</v>
      </c>
      <c r="E121" s="65" t="s">
        <v>147</v>
      </c>
      <c r="F121" s="83">
        <v>0.3541666666666667</v>
      </c>
      <c r="G121" s="83">
        <v>0.5416666666666666</v>
      </c>
      <c r="H121" s="83">
        <v>0.1875</v>
      </c>
      <c r="I121" s="84">
        <v>44320.0</v>
      </c>
      <c r="J121" s="65" t="b">
        <v>1</v>
      </c>
      <c r="K121" s="65"/>
      <c r="L121" s="85" t="b">
        <f>IF(VLOOKUP(C121,Projetos!A:L,12,false)=TRUE,TRUE,FALSE)</f>
        <v>1</v>
      </c>
      <c r="M121" s="74">
        <v>33.15972725468975</v>
      </c>
      <c r="N121" s="74">
        <f t="shared" si="1"/>
        <v>149.2187726</v>
      </c>
      <c r="O121" s="74" t="b">
        <v>1</v>
      </c>
    </row>
    <row r="122" hidden="1">
      <c r="A122" s="82"/>
      <c r="B122" s="65" t="s">
        <v>146</v>
      </c>
      <c r="C122" s="65" t="s">
        <v>118</v>
      </c>
      <c r="D122" s="65" t="str">
        <f>vlookup(C122,'Classificação p pessoal'!F:G,2,false)</f>
        <v>MProduto</v>
      </c>
      <c r="E122" s="65" t="s">
        <v>147</v>
      </c>
      <c r="F122" s="83">
        <v>0.625</v>
      </c>
      <c r="G122" s="83">
        <v>0.6875</v>
      </c>
      <c r="H122" s="83">
        <v>0.0625</v>
      </c>
      <c r="I122" s="84">
        <v>44320.0</v>
      </c>
      <c r="J122" s="65" t="b">
        <v>1</v>
      </c>
      <c r="K122" s="65"/>
      <c r="L122" s="85" t="b">
        <f>IF(VLOOKUP(C122,Projetos!A:L,12,false)=TRUE,TRUE,FALSE)</f>
        <v>1</v>
      </c>
      <c r="M122" s="74">
        <v>33.15972725468975</v>
      </c>
      <c r="N122" s="74">
        <f t="shared" si="1"/>
        <v>49.73959088</v>
      </c>
      <c r="O122" s="74" t="b">
        <v>1</v>
      </c>
    </row>
    <row r="123" hidden="1">
      <c r="A123" s="82"/>
      <c r="B123" s="65" t="s">
        <v>146</v>
      </c>
      <c r="C123" s="65" t="s">
        <v>118</v>
      </c>
      <c r="D123" s="65" t="str">
        <f>vlookup(C123,'Classificação p pessoal'!F:G,2,false)</f>
        <v>MProduto</v>
      </c>
      <c r="E123" s="65" t="s">
        <v>147</v>
      </c>
      <c r="F123" s="83">
        <v>0.375</v>
      </c>
      <c r="G123" s="83">
        <v>0.5416666666666666</v>
      </c>
      <c r="H123" s="83">
        <v>0.16666666666666666</v>
      </c>
      <c r="I123" s="84">
        <v>44321.0</v>
      </c>
      <c r="J123" s="65" t="b">
        <v>1</v>
      </c>
      <c r="K123" s="65"/>
      <c r="L123" s="85" t="b">
        <f>IF(VLOOKUP(C123,Projetos!A:L,12,false)=TRUE,TRUE,FALSE)</f>
        <v>1</v>
      </c>
      <c r="M123" s="74">
        <v>33.15972725468975</v>
      </c>
      <c r="N123" s="74">
        <f t="shared" si="1"/>
        <v>132.638909</v>
      </c>
      <c r="O123" s="74" t="b">
        <v>1</v>
      </c>
    </row>
    <row r="124" hidden="1">
      <c r="A124" s="82"/>
      <c r="B124" s="65" t="s">
        <v>146</v>
      </c>
      <c r="C124" s="65" t="s">
        <v>117</v>
      </c>
      <c r="D124" s="65" t="str">
        <f>vlookup(C124,'Classificação p pessoal'!F:G,2,false)</f>
        <v>NP</v>
      </c>
      <c r="E124" s="65" t="s">
        <v>153</v>
      </c>
      <c r="F124" s="83">
        <v>0.5833333333333334</v>
      </c>
      <c r="G124" s="83">
        <v>0.625</v>
      </c>
      <c r="H124" s="83">
        <v>0.041666666666666664</v>
      </c>
      <c r="I124" s="84">
        <v>44321.0</v>
      </c>
      <c r="J124" s="65" t="b">
        <v>1</v>
      </c>
      <c r="K124" s="65"/>
      <c r="L124" s="85" t="b">
        <f>IF(VLOOKUP(C124,Projetos!A:L,12,false)=TRUE,TRUE,FALSE)</f>
        <v>1</v>
      </c>
      <c r="M124" s="74">
        <v>33.15972725468975</v>
      </c>
      <c r="N124" s="74">
        <f t="shared" si="1"/>
        <v>33.15972725</v>
      </c>
      <c r="O124" s="74" t="b">
        <v>1</v>
      </c>
    </row>
    <row r="125" hidden="1">
      <c r="A125" s="82"/>
      <c r="B125" s="65" t="s">
        <v>146</v>
      </c>
      <c r="C125" s="65" t="s">
        <v>88</v>
      </c>
      <c r="D125" s="65" t="str">
        <f>vlookup(C125,'Classificação p pessoal'!F:G,2,false)</f>
        <v>MProduto</v>
      </c>
      <c r="E125" s="65" t="s">
        <v>147</v>
      </c>
      <c r="F125" s="83">
        <v>0.625</v>
      </c>
      <c r="G125" s="83">
        <v>0.75</v>
      </c>
      <c r="H125" s="83">
        <v>0.125</v>
      </c>
      <c r="I125" s="84">
        <v>44321.0</v>
      </c>
      <c r="J125" s="65" t="b">
        <v>1</v>
      </c>
      <c r="K125" s="65"/>
      <c r="L125" s="85" t="b">
        <f>IF(VLOOKUP(C125,Projetos!A:L,12,false)=TRUE,TRUE,FALSE)</f>
        <v>1</v>
      </c>
      <c r="M125" s="74">
        <v>33.15972725468975</v>
      </c>
      <c r="N125" s="74">
        <f t="shared" si="1"/>
        <v>99.47918176</v>
      </c>
      <c r="O125" s="74" t="b">
        <v>1</v>
      </c>
    </row>
    <row r="126" hidden="1">
      <c r="A126" s="82"/>
      <c r="B126" s="65" t="s">
        <v>146</v>
      </c>
      <c r="C126" s="65" t="s">
        <v>88</v>
      </c>
      <c r="D126" s="65" t="str">
        <f>vlookup(C126,'Classificação p pessoal'!F:G,2,false)</f>
        <v>MProduto</v>
      </c>
      <c r="E126" s="65" t="s">
        <v>147</v>
      </c>
      <c r="F126" s="83">
        <v>0.5833333333333334</v>
      </c>
      <c r="G126" s="83">
        <v>0.75</v>
      </c>
      <c r="H126" s="83">
        <v>0.16666666666666666</v>
      </c>
      <c r="I126" s="84">
        <v>44322.0</v>
      </c>
      <c r="J126" s="65" t="b">
        <v>1</v>
      </c>
      <c r="K126" s="65"/>
      <c r="L126" s="85" t="b">
        <f>IF(VLOOKUP(C126,Projetos!A:L,12,false)=TRUE,TRUE,FALSE)</f>
        <v>1</v>
      </c>
      <c r="M126" s="74">
        <v>33.15972725468975</v>
      </c>
      <c r="N126" s="74">
        <f t="shared" si="1"/>
        <v>132.638909</v>
      </c>
      <c r="O126" s="74" t="b">
        <v>1</v>
      </c>
    </row>
    <row r="127" hidden="1">
      <c r="A127" s="82"/>
      <c r="B127" s="65" t="s">
        <v>146</v>
      </c>
      <c r="C127" s="65" t="s">
        <v>118</v>
      </c>
      <c r="D127" s="65" t="str">
        <f>vlookup(C127,'Classificação p pessoal'!F:G,2,false)</f>
        <v>MProduto</v>
      </c>
      <c r="E127" s="65" t="s">
        <v>147</v>
      </c>
      <c r="F127" s="83">
        <v>0.4583333333333333</v>
      </c>
      <c r="G127" s="83">
        <v>0.5833333333333334</v>
      </c>
      <c r="H127" s="83">
        <v>0.125</v>
      </c>
      <c r="I127" s="84">
        <v>44323.0</v>
      </c>
      <c r="J127" s="65" t="b">
        <v>1</v>
      </c>
      <c r="K127" s="65"/>
      <c r="L127" s="85" t="b">
        <f>IF(VLOOKUP(C127,Projetos!A:L,12,false)=TRUE,TRUE,FALSE)</f>
        <v>1</v>
      </c>
      <c r="M127" s="74">
        <v>33.15972725468975</v>
      </c>
      <c r="N127" s="74">
        <f t="shared" si="1"/>
        <v>99.47918176</v>
      </c>
      <c r="O127" s="74" t="b">
        <v>1</v>
      </c>
    </row>
    <row r="128" hidden="1">
      <c r="A128" s="82"/>
      <c r="B128" s="65" t="s">
        <v>146</v>
      </c>
      <c r="C128" s="65" t="s">
        <v>152</v>
      </c>
      <c r="D128" s="65"/>
      <c r="E128" s="65" t="s">
        <v>155</v>
      </c>
      <c r="F128" s="83">
        <v>0.375</v>
      </c>
      <c r="G128" s="83">
        <v>0.4583333333333333</v>
      </c>
      <c r="H128" s="83">
        <v>0.08333333333333333</v>
      </c>
      <c r="I128" s="84">
        <v>44326.0</v>
      </c>
      <c r="J128" s="65" t="b">
        <v>0</v>
      </c>
      <c r="K128" s="65" t="s">
        <v>150</v>
      </c>
      <c r="L128" s="85" t="b">
        <f>IF(VLOOKUP(C128,Projetos!A:L,12,false)=TRUE,TRUE,FALSE)</f>
        <v>1</v>
      </c>
      <c r="M128" s="74">
        <v>33.15972725468975</v>
      </c>
      <c r="N128" s="74">
        <f t="shared" si="1"/>
        <v>0</v>
      </c>
      <c r="O128" s="74" t="b">
        <v>1</v>
      </c>
    </row>
    <row r="129" hidden="1">
      <c r="A129" s="82"/>
      <c r="B129" s="65" t="s">
        <v>146</v>
      </c>
      <c r="C129" s="65" t="s">
        <v>117</v>
      </c>
      <c r="D129" s="65" t="str">
        <f>vlookup(C129,'Classificação p pessoal'!F:G,2,false)</f>
        <v>NP</v>
      </c>
      <c r="E129" s="65" t="s">
        <v>153</v>
      </c>
      <c r="F129" s="83">
        <v>0.4166666666666667</v>
      </c>
      <c r="G129" s="83">
        <v>0.4583333333333333</v>
      </c>
      <c r="H129" s="83">
        <v>0.041666666666666664</v>
      </c>
      <c r="I129" s="84">
        <v>44327.0</v>
      </c>
      <c r="J129" s="65" t="b">
        <v>1</v>
      </c>
      <c r="K129" s="65"/>
      <c r="L129" s="85" t="b">
        <f>IF(VLOOKUP(C129,Projetos!A:L,12,false)=TRUE,TRUE,FALSE)</f>
        <v>1</v>
      </c>
      <c r="M129" s="74">
        <v>33.15972725468975</v>
      </c>
      <c r="N129" s="74">
        <f t="shared" si="1"/>
        <v>33.15972725</v>
      </c>
      <c r="O129" s="74" t="b">
        <v>1</v>
      </c>
    </row>
    <row r="130" hidden="1">
      <c r="A130" s="82"/>
      <c r="B130" s="65" t="s">
        <v>146</v>
      </c>
      <c r="C130" s="65" t="s">
        <v>88</v>
      </c>
      <c r="D130" s="65" t="str">
        <f>vlookup(C130,'Classificação p pessoal'!F:G,2,false)</f>
        <v>MProduto</v>
      </c>
      <c r="E130" s="65" t="s">
        <v>147</v>
      </c>
      <c r="F130" s="83">
        <v>0.5833333333333334</v>
      </c>
      <c r="G130" s="83">
        <v>0.75</v>
      </c>
      <c r="H130" s="83">
        <v>0.16666666666666666</v>
      </c>
      <c r="I130" s="84">
        <v>44327.0</v>
      </c>
      <c r="J130" s="65" t="b">
        <v>1</v>
      </c>
      <c r="K130" s="65"/>
      <c r="L130" s="85" t="b">
        <f>IF(VLOOKUP(C130,Projetos!A:L,12,false)=TRUE,TRUE,FALSE)</f>
        <v>1</v>
      </c>
      <c r="M130" s="74">
        <v>33.15972725468975</v>
      </c>
      <c r="N130" s="74">
        <f t="shared" si="1"/>
        <v>132.638909</v>
      </c>
      <c r="O130" s="74" t="b">
        <v>1</v>
      </c>
    </row>
    <row r="131" hidden="1">
      <c r="A131" s="82"/>
      <c r="B131" s="65" t="s">
        <v>146</v>
      </c>
      <c r="C131" s="65" t="s">
        <v>88</v>
      </c>
      <c r="D131" s="65" t="str">
        <f>vlookup(C131,'Classificação p pessoal'!F:G,2,false)</f>
        <v>MProduto</v>
      </c>
      <c r="E131" s="65" t="s">
        <v>147</v>
      </c>
      <c r="F131" s="83">
        <v>0.34375</v>
      </c>
      <c r="G131" s="83">
        <v>0.5520833333333334</v>
      </c>
      <c r="H131" s="83">
        <v>0.20833333333333334</v>
      </c>
      <c r="I131" s="84">
        <v>44328.0</v>
      </c>
      <c r="J131" s="65" t="b">
        <v>1</v>
      </c>
      <c r="K131" s="65"/>
      <c r="L131" s="85" t="b">
        <f>IF(VLOOKUP(C131,Projetos!A:L,12,false)=TRUE,TRUE,FALSE)</f>
        <v>1</v>
      </c>
      <c r="M131" s="74">
        <v>33.15972725468975</v>
      </c>
      <c r="N131" s="74">
        <f t="shared" si="1"/>
        <v>165.7986363</v>
      </c>
      <c r="O131" s="74" t="b">
        <v>1</v>
      </c>
    </row>
    <row r="132" hidden="1">
      <c r="A132" s="82"/>
      <c r="B132" s="65" t="s">
        <v>146</v>
      </c>
      <c r="C132" s="65" t="s">
        <v>152</v>
      </c>
      <c r="D132" s="65"/>
      <c r="E132" s="65" t="s">
        <v>155</v>
      </c>
      <c r="F132" s="83">
        <v>0.625</v>
      </c>
      <c r="G132" s="83">
        <v>0.6666666666666666</v>
      </c>
      <c r="H132" s="83">
        <v>0.041666666666666664</v>
      </c>
      <c r="I132" s="84">
        <v>44328.0</v>
      </c>
      <c r="J132" s="65" t="b">
        <v>0</v>
      </c>
      <c r="K132" s="65" t="s">
        <v>150</v>
      </c>
      <c r="L132" s="85" t="b">
        <f>IF(VLOOKUP(C132,Projetos!A:L,12,false)=TRUE,TRUE,FALSE)</f>
        <v>1</v>
      </c>
      <c r="M132" s="74">
        <v>33.15972725468975</v>
      </c>
      <c r="N132" s="74">
        <f t="shared" si="1"/>
        <v>0</v>
      </c>
      <c r="O132" s="74" t="b">
        <v>1</v>
      </c>
    </row>
    <row r="133" hidden="1">
      <c r="A133" s="82"/>
      <c r="B133" s="65" t="s">
        <v>146</v>
      </c>
      <c r="C133" s="65" t="s">
        <v>88</v>
      </c>
      <c r="D133" s="65" t="str">
        <f>vlookup(C133,'Classificação p pessoal'!F:G,2,false)</f>
        <v>MProduto</v>
      </c>
      <c r="E133" s="65" t="s">
        <v>147</v>
      </c>
      <c r="F133" s="83">
        <v>0.5416666666666666</v>
      </c>
      <c r="G133" s="83">
        <v>0.75</v>
      </c>
      <c r="H133" s="83">
        <v>0.20833333333333334</v>
      </c>
      <c r="I133" s="84">
        <v>44329.0</v>
      </c>
      <c r="J133" s="65" t="b">
        <v>1</v>
      </c>
      <c r="K133" s="65"/>
      <c r="L133" s="85" t="b">
        <f>IF(VLOOKUP(C133,Projetos!A:L,12,false)=TRUE,TRUE,FALSE)</f>
        <v>1</v>
      </c>
      <c r="M133" s="74">
        <v>33.15972725468975</v>
      </c>
      <c r="N133" s="74">
        <f t="shared" si="1"/>
        <v>165.7986363</v>
      </c>
      <c r="O133" s="74" t="b">
        <v>1</v>
      </c>
    </row>
    <row r="134" hidden="1">
      <c r="A134" s="82"/>
      <c r="B134" s="65" t="s">
        <v>146</v>
      </c>
      <c r="C134" s="65" t="s">
        <v>121</v>
      </c>
      <c r="D134" s="65" t="str">
        <f>vlookup(C134,'Classificação p pessoal'!F:G,2,false)</f>
        <v>NP</v>
      </c>
      <c r="E134" s="65" t="s">
        <v>148</v>
      </c>
      <c r="F134" s="83">
        <v>0.4583333333333333</v>
      </c>
      <c r="G134" s="83">
        <v>0.5</v>
      </c>
      <c r="H134" s="83">
        <v>0.041666666666666664</v>
      </c>
      <c r="I134" s="84">
        <v>44329.0</v>
      </c>
      <c r="J134" s="65" t="b">
        <v>1</v>
      </c>
      <c r="K134" s="65"/>
      <c r="L134" s="85" t="b">
        <f>IF(VLOOKUP(C134,Projetos!A:L,12,false)=TRUE,TRUE,FALSE)</f>
        <v>1</v>
      </c>
      <c r="M134" s="74">
        <v>33.15972725468975</v>
      </c>
      <c r="N134" s="74">
        <f t="shared" si="1"/>
        <v>33.15972725</v>
      </c>
      <c r="O134" s="74" t="b">
        <v>1</v>
      </c>
    </row>
    <row r="135" hidden="1">
      <c r="A135" s="82"/>
      <c r="B135" s="65" t="s">
        <v>146</v>
      </c>
      <c r="C135" s="65" t="s">
        <v>88</v>
      </c>
      <c r="D135" s="65" t="str">
        <f>vlookup(C135,'Classificação p pessoal'!F:G,2,false)</f>
        <v>MProduto</v>
      </c>
      <c r="E135" s="65" t="s">
        <v>148</v>
      </c>
      <c r="F135" s="83">
        <v>0.3541666666666667</v>
      </c>
      <c r="G135" s="83">
        <v>0.5416666666666666</v>
      </c>
      <c r="H135" s="83">
        <v>0.1875</v>
      </c>
      <c r="I135" s="84">
        <v>44330.0</v>
      </c>
      <c r="J135" s="65" t="b">
        <v>1</v>
      </c>
      <c r="K135" s="65"/>
      <c r="L135" s="85" t="b">
        <f>IF(VLOOKUP(C135,Projetos!A:L,12,false)=TRUE,TRUE,FALSE)</f>
        <v>1</v>
      </c>
      <c r="M135" s="74">
        <v>33.15972725468975</v>
      </c>
      <c r="N135" s="74">
        <f t="shared" si="1"/>
        <v>149.2187726</v>
      </c>
      <c r="O135" s="74" t="b">
        <v>1</v>
      </c>
    </row>
    <row r="136" hidden="1">
      <c r="A136" s="82"/>
      <c r="B136" s="65" t="s">
        <v>146</v>
      </c>
      <c r="C136" s="65" t="s">
        <v>117</v>
      </c>
      <c r="D136" s="65" t="str">
        <f>vlookup(C136,'Classificação p pessoal'!F:G,2,false)</f>
        <v>NP</v>
      </c>
      <c r="E136" s="65" t="s">
        <v>153</v>
      </c>
      <c r="F136" s="83">
        <v>0.5833333333333334</v>
      </c>
      <c r="G136" s="83">
        <v>0.625</v>
      </c>
      <c r="H136" s="83">
        <v>0.041666666666666664</v>
      </c>
      <c r="I136" s="84">
        <v>44330.0</v>
      </c>
      <c r="J136" s="65" t="b">
        <v>1</v>
      </c>
      <c r="K136" s="65"/>
      <c r="L136" s="85" t="b">
        <f>IF(VLOOKUP(C136,Projetos!A:L,12,false)=TRUE,TRUE,FALSE)</f>
        <v>1</v>
      </c>
      <c r="M136" s="74">
        <v>33.15972725468975</v>
      </c>
      <c r="N136" s="74">
        <f t="shared" si="1"/>
        <v>33.15972725</v>
      </c>
      <c r="O136" s="74" t="b">
        <v>1</v>
      </c>
    </row>
    <row r="137" hidden="1">
      <c r="A137" s="82"/>
      <c r="B137" s="65" t="s">
        <v>146</v>
      </c>
      <c r="C137" s="65" t="s">
        <v>152</v>
      </c>
      <c r="D137" s="65"/>
      <c r="E137" s="65" t="s">
        <v>155</v>
      </c>
      <c r="F137" s="83">
        <v>0.625</v>
      </c>
      <c r="G137" s="83">
        <v>0.6666666666666666</v>
      </c>
      <c r="H137" s="83">
        <v>0.041666666666666664</v>
      </c>
      <c r="I137" s="84">
        <v>44330.0</v>
      </c>
      <c r="J137" s="65" t="b">
        <v>0</v>
      </c>
      <c r="K137" s="65" t="s">
        <v>150</v>
      </c>
      <c r="L137" s="85" t="b">
        <f>IF(VLOOKUP(C137,Projetos!A:L,12,false)=TRUE,TRUE,FALSE)</f>
        <v>1</v>
      </c>
      <c r="M137" s="74">
        <v>33.15972725468975</v>
      </c>
      <c r="N137" s="74">
        <f t="shared" si="1"/>
        <v>0</v>
      </c>
      <c r="O137" s="74" t="b">
        <v>1</v>
      </c>
    </row>
    <row r="138" hidden="1">
      <c r="A138" s="82"/>
      <c r="B138" s="65" t="s">
        <v>146</v>
      </c>
      <c r="C138" s="65" t="s">
        <v>88</v>
      </c>
      <c r="D138" s="65" t="str">
        <f>vlookup(C138,'Classificação p pessoal'!F:G,2,false)</f>
        <v>MProduto</v>
      </c>
      <c r="E138" s="65" t="s">
        <v>147</v>
      </c>
      <c r="F138" s="83">
        <v>0.3541666666666667</v>
      </c>
      <c r="G138" s="83">
        <v>0.5416666666666666</v>
      </c>
      <c r="H138" s="83">
        <v>0.1875</v>
      </c>
      <c r="I138" s="84">
        <v>44333.0</v>
      </c>
      <c r="J138" s="65" t="b">
        <v>1</v>
      </c>
      <c r="K138" s="65"/>
      <c r="L138" s="85" t="b">
        <f>IF(VLOOKUP(C138,Projetos!A:L,12,false)=TRUE,TRUE,FALSE)</f>
        <v>1</v>
      </c>
      <c r="M138" s="74">
        <v>33.15972725468975</v>
      </c>
      <c r="N138" s="74">
        <f t="shared" si="1"/>
        <v>149.2187726</v>
      </c>
      <c r="O138" s="74" t="b">
        <v>1</v>
      </c>
    </row>
    <row r="139" hidden="1">
      <c r="A139" s="82"/>
      <c r="B139" s="65" t="s">
        <v>146</v>
      </c>
      <c r="C139" s="65" t="s">
        <v>88</v>
      </c>
      <c r="D139" s="65" t="str">
        <f>vlookup(C139,'Classificação p pessoal'!F:G,2,false)</f>
        <v>MProduto</v>
      </c>
      <c r="E139" s="65" t="s">
        <v>147</v>
      </c>
      <c r="F139" s="83">
        <v>0.4166666666666667</v>
      </c>
      <c r="G139" s="83">
        <v>0.5416666666666666</v>
      </c>
      <c r="H139" s="83">
        <v>0.125</v>
      </c>
      <c r="I139" s="84">
        <v>44334.0</v>
      </c>
      <c r="J139" s="65" t="b">
        <v>1</v>
      </c>
      <c r="K139" s="65"/>
      <c r="L139" s="85" t="b">
        <f>IF(VLOOKUP(C139,Projetos!A:L,12,false)=TRUE,TRUE,FALSE)</f>
        <v>1</v>
      </c>
      <c r="M139" s="74">
        <v>33.15972725468975</v>
      </c>
      <c r="N139" s="74">
        <f t="shared" si="1"/>
        <v>99.47918176</v>
      </c>
      <c r="O139" s="74" t="b">
        <v>1</v>
      </c>
    </row>
    <row r="140" hidden="1">
      <c r="A140" s="82"/>
      <c r="B140" s="65" t="s">
        <v>146</v>
      </c>
      <c r="C140" s="65" t="s">
        <v>117</v>
      </c>
      <c r="D140" s="65" t="str">
        <f>vlookup(C140,'Classificação p pessoal'!F:G,2,false)</f>
        <v>NP</v>
      </c>
      <c r="E140" s="65" t="s">
        <v>148</v>
      </c>
      <c r="F140" s="83">
        <v>0.625</v>
      </c>
      <c r="G140" s="83">
        <v>0.75</v>
      </c>
      <c r="H140" s="83">
        <v>0.125</v>
      </c>
      <c r="I140" s="84">
        <v>44334.0</v>
      </c>
      <c r="J140" s="65" t="b">
        <v>1</v>
      </c>
      <c r="K140" s="65"/>
      <c r="L140" s="85" t="b">
        <f>IF(VLOOKUP(C140,Projetos!A:L,12,false)=TRUE,TRUE,FALSE)</f>
        <v>1</v>
      </c>
      <c r="M140" s="74">
        <v>33.15972725468975</v>
      </c>
      <c r="N140" s="74">
        <f t="shared" si="1"/>
        <v>99.47918176</v>
      </c>
      <c r="O140" s="74" t="b">
        <v>1</v>
      </c>
    </row>
    <row r="141" hidden="1">
      <c r="A141" s="82"/>
      <c r="B141" s="65" t="s">
        <v>146</v>
      </c>
      <c r="C141" s="65" t="s">
        <v>152</v>
      </c>
      <c r="D141" s="65"/>
      <c r="E141" s="65" t="s">
        <v>155</v>
      </c>
      <c r="F141" s="83">
        <v>0.5833333333333334</v>
      </c>
      <c r="G141" s="83">
        <v>0.625</v>
      </c>
      <c r="H141" s="83">
        <v>0.041666666666666664</v>
      </c>
      <c r="I141" s="84">
        <v>44334.0</v>
      </c>
      <c r="J141" s="65" t="b">
        <v>0</v>
      </c>
      <c r="K141" s="65" t="s">
        <v>150</v>
      </c>
      <c r="L141" s="85" t="b">
        <f>IF(VLOOKUP(C141,Projetos!A:L,12,false)=TRUE,TRUE,FALSE)</f>
        <v>1</v>
      </c>
      <c r="M141" s="74">
        <v>33.15972725468975</v>
      </c>
      <c r="N141" s="74">
        <f t="shared" si="1"/>
        <v>0</v>
      </c>
      <c r="O141" s="74" t="b">
        <v>1</v>
      </c>
    </row>
    <row r="142" hidden="1">
      <c r="A142" s="82"/>
      <c r="B142" s="65" t="s">
        <v>146</v>
      </c>
      <c r="C142" s="65" t="s">
        <v>152</v>
      </c>
      <c r="D142" s="65"/>
      <c r="E142" s="65" t="s">
        <v>155</v>
      </c>
      <c r="F142" s="83">
        <v>0.625</v>
      </c>
      <c r="G142" s="83">
        <v>0.6666666666666666</v>
      </c>
      <c r="H142" s="83">
        <v>0.041666666666666664</v>
      </c>
      <c r="I142" s="84">
        <v>44335.0</v>
      </c>
      <c r="J142" s="65" t="b">
        <v>0</v>
      </c>
      <c r="K142" s="65" t="s">
        <v>150</v>
      </c>
      <c r="L142" s="85" t="b">
        <f>IF(VLOOKUP(C142,Projetos!A:L,12,false)=TRUE,TRUE,FALSE)</f>
        <v>1</v>
      </c>
      <c r="M142" s="74">
        <v>33.15972725468975</v>
      </c>
      <c r="N142" s="74">
        <f t="shared" si="1"/>
        <v>0</v>
      </c>
      <c r="O142" s="74" t="b">
        <v>1</v>
      </c>
    </row>
    <row r="143" hidden="1">
      <c r="A143" s="82"/>
      <c r="B143" s="65" t="s">
        <v>146</v>
      </c>
      <c r="C143" s="65" t="s">
        <v>117</v>
      </c>
      <c r="D143" s="65" t="str">
        <f>vlookup(C143,'Classificação p pessoal'!F:G,2,false)</f>
        <v>NP</v>
      </c>
      <c r="E143" s="65" t="s">
        <v>148</v>
      </c>
      <c r="F143" s="83">
        <v>0.3541666666666667</v>
      </c>
      <c r="G143" s="83">
        <v>0.5416666666666666</v>
      </c>
      <c r="H143" s="83">
        <v>0.1875</v>
      </c>
      <c r="I143" s="84">
        <v>44336.0</v>
      </c>
      <c r="J143" s="65" t="b">
        <v>1</v>
      </c>
      <c r="K143" s="65"/>
      <c r="L143" s="85" t="b">
        <f>IF(VLOOKUP(C143,Projetos!A:L,12,false)=TRUE,TRUE,FALSE)</f>
        <v>1</v>
      </c>
      <c r="M143" s="74">
        <v>33.15972725468975</v>
      </c>
      <c r="N143" s="74">
        <f t="shared" si="1"/>
        <v>149.2187726</v>
      </c>
      <c r="O143" s="74" t="b">
        <v>1</v>
      </c>
    </row>
    <row r="144" hidden="1">
      <c r="A144" s="82"/>
      <c r="B144" s="65" t="s">
        <v>146</v>
      </c>
      <c r="C144" s="65" t="s">
        <v>88</v>
      </c>
      <c r="D144" s="65" t="str">
        <f>vlookup(C144,'Classificação p pessoal'!F:G,2,false)</f>
        <v>MProduto</v>
      </c>
      <c r="E144" s="65" t="s">
        <v>147</v>
      </c>
      <c r="F144" s="83">
        <v>0.4791666666666667</v>
      </c>
      <c r="G144" s="83">
        <v>0.5416666666666666</v>
      </c>
      <c r="H144" s="83">
        <v>0.0625</v>
      </c>
      <c r="I144" s="84">
        <v>44337.0</v>
      </c>
      <c r="J144" s="65" t="b">
        <v>1</v>
      </c>
      <c r="K144" s="65"/>
      <c r="L144" s="85" t="b">
        <f>IF(VLOOKUP(C144,Projetos!A:L,12,false)=TRUE,TRUE,FALSE)</f>
        <v>1</v>
      </c>
      <c r="M144" s="74">
        <v>33.15972725468975</v>
      </c>
      <c r="N144" s="74">
        <f t="shared" si="1"/>
        <v>49.73959088</v>
      </c>
      <c r="O144" s="74" t="b">
        <v>1</v>
      </c>
    </row>
    <row r="145" hidden="1">
      <c r="A145" s="82"/>
      <c r="B145" s="65" t="s">
        <v>146</v>
      </c>
      <c r="C145" s="65" t="s">
        <v>117</v>
      </c>
      <c r="D145" s="65" t="str">
        <f>vlookup(C145,'Classificação p pessoal'!F:G,2,false)</f>
        <v>NP</v>
      </c>
      <c r="E145" s="65" t="s">
        <v>148</v>
      </c>
      <c r="F145" s="83">
        <v>0.625</v>
      </c>
      <c r="G145" s="83">
        <v>0.75</v>
      </c>
      <c r="H145" s="83">
        <v>0.125</v>
      </c>
      <c r="I145" s="84">
        <v>44337.0</v>
      </c>
      <c r="J145" s="65" t="b">
        <v>1</v>
      </c>
      <c r="K145" s="65"/>
      <c r="L145" s="85" t="b">
        <f>IF(VLOOKUP(C145,Projetos!A:L,12,false)=TRUE,TRUE,FALSE)</f>
        <v>1</v>
      </c>
      <c r="M145" s="74">
        <v>33.15972725468975</v>
      </c>
      <c r="N145" s="74">
        <f t="shared" si="1"/>
        <v>99.47918176</v>
      </c>
      <c r="O145" s="74" t="b">
        <v>1</v>
      </c>
    </row>
    <row r="146" hidden="1">
      <c r="A146" s="82"/>
      <c r="B146" s="65" t="s">
        <v>146</v>
      </c>
      <c r="C146" s="65" t="s">
        <v>88</v>
      </c>
      <c r="D146" s="65" t="str">
        <f>vlookup(C146,'Classificação p pessoal'!F:G,2,false)</f>
        <v>MProduto</v>
      </c>
      <c r="E146" s="65" t="s">
        <v>147</v>
      </c>
      <c r="F146" s="83">
        <v>0.5833333333333334</v>
      </c>
      <c r="G146" s="83">
        <v>0.75</v>
      </c>
      <c r="H146" s="83">
        <v>0.16666666666666666</v>
      </c>
      <c r="I146" s="84">
        <v>44340.0</v>
      </c>
      <c r="J146" s="65" t="b">
        <v>1</v>
      </c>
      <c r="K146" s="65"/>
      <c r="L146" s="85" t="b">
        <f>IF(VLOOKUP(C146,Projetos!A:L,12,false)=TRUE,TRUE,FALSE)</f>
        <v>1</v>
      </c>
      <c r="M146" s="74">
        <v>33.15972725468975</v>
      </c>
      <c r="N146" s="74">
        <f t="shared" si="1"/>
        <v>132.638909</v>
      </c>
      <c r="O146" s="74" t="b">
        <v>1</v>
      </c>
    </row>
    <row r="147" hidden="1">
      <c r="A147" s="82"/>
      <c r="B147" s="65" t="s">
        <v>146</v>
      </c>
      <c r="C147" s="65" t="s">
        <v>88</v>
      </c>
      <c r="D147" s="65" t="str">
        <f>vlookup(C147,'Classificação p pessoal'!F:G,2,false)</f>
        <v>MProduto</v>
      </c>
      <c r="E147" s="65" t="s">
        <v>147</v>
      </c>
      <c r="F147" s="83">
        <v>0.5833333333333334</v>
      </c>
      <c r="G147" s="83">
        <v>0.6666666666666666</v>
      </c>
      <c r="H147" s="83">
        <v>0.08333333333333333</v>
      </c>
      <c r="I147" s="84">
        <v>44341.0</v>
      </c>
      <c r="J147" s="65" t="b">
        <v>1</v>
      </c>
      <c r="K147" s="65"/>
      <c r="L147" s="85" t="b">
        <f>IF(VLOOKUP(C147,Projetos!A:L,12,false)=TRUE,TRUE,FALSE)</f>
        <v>1</v>
      </c>
      <c r="M147" s="74">
        <v>33.15972725468975</v>
      </c>
      <c r="N147" s="74">
        <f t="shared" si="1"/>
        <v>66.31945451</v>
      </c>
      <c r="O147" s="74" t="b">
        <v>1</v>
      </c>
    </row>
    <row r="148" hidden="1">
      <c r="A148" s="82"/>
      <c r="B148" s="65" t="s">
        <v>146</v>
      </c>
      <c r="C148" s="65" t="s">
        <v>121</v>
      </c>
      <c r="D148" s="65" t="str">
        <f>vlookup(C148,'Classificação p pessoal'!F:G,2,false)</f>
        <v>NP</v>
      </c>
      <c r="E148" s="65" t="s">
        <v>148</v>
      </c>
      <c r="F148" s="83">
        <v>0.6666666666666666</v>
      </c>
      <c r="G148" s="83">
        <v>0.75</v>
      </c>
      <c r="H148" s="83">
        <v>0.08333333333333333</v>
      </c>
      <c r="I148" s="84">
        <v>44341.0</v>
      </c>
      <c r="J148" s="65" t="b">
        <v>1</v>
      </c>
      <c r="K148" s="65"/>
      <c r="L148" s="85" t="b">
        <f>IF(VLOOKUP(C148,Projetos!A:L,12,false)=TRUE,TRUE,FALSE)</f>
        <v>1</v>
      </c>
      <c r="M148" s="74">
        <v>33.15972725468975</v>
      </c>
      <c r="N148" s="74">
        <f t="shared" si="1"/>
        <v>66.31945451</v>
      </c>
      <c r="O148" s="74" t="b">
        <v>1</v>
      </c>
    </row>
    <row r="149" hidden="1">
      <c r="A149" s="82"/>
      <c r="B149" s="65" t="s">
        <v>146</v>
      </c>
      <c r="C149" s="65" t="s">
        <v>121</v>
      </c>
      <c r="D149" s="65" t="str">
        <f>vlookup(C149,'Classificação p pessoal'!F:G,2,false)</f>
        <v>NP</v>
      </c>
      <c r="E149" s="65" t="s">
        <v>148</v>
      </c>
      <c r="F149" s="83">
        <v>0.6666666666666666</v>
      </c>
      <c r="G149" s="83">
        <v>0.75</v>
      </c>
      <c r="H149" s="83">
        <v>0.08333333333333333</v>
      </c>
      <c r="I149" s="84">
        <v>44342.0</v>
      </c>
      <c r="J149" s="65" t="b">
        <v>1</v>
      </c>
      <c r="K149" s="65"/>
      <c r="L149" s="85" t="b">
        <f>IF(VLOOKUP(C149,Projetos!A:L,12,false)=TRUE,TRUE,FALSE)</f>
        <v>1</v>
      </c>
      <c r="M149" s="74">
        <v>33.15972725468975</v>
      </c>
      <c r="N149" s="74">
        <f t="shared" si="1"/>
        <v>66.31945451</v>
      </c>
      <c r="O149" s="74" t="b">
        <v>1</v>
      </c>
    </row>
    <row r="150" hidden="1">
      <c r="A150" s="82"/>
      <c r="B150" s="65" t="s">
        <v>146</v>
      </c>
      <c r="C150" s="65" t="s">
        <v>121</v>
      </c>
      <c r="D150" s="65" t="str">
        <f>vlookup(C150,'Classificação p pessoal'!F:G,2,false)</f>
        <v>NP</v>
      </c>
      <c r="E150" s="65" t="s">
        <v>148</v>
      </c>
      <c r="F150" s="83">
        <v>0.5833333333333334</v>
      </c>
      <c r="G150" s="83">
        <v>0.6666666666666666</v>
      </c>
      <c r="H150" s="83">
        <v>0.08333333333333333</v>
      </c>
      <c r="I150" s="84">
        <v>44343.0</v>
      </c>
      <c r="J150" s="65" t="b">
        <v>1</v>
      </c>
      <c r="K150" s="65"/>
      <c r="L150" s="85" t="b">
        <f>IF(VLOOKUP(C150,Projetos!A:L,12,false)=TRUE,TRUE,FALSE)</f>
        <v>1</v>
      </c>
      <c r="M150" s="74">
        <v>33.15972725468975</v>
      </c>
      <c r="N150" s="74">
        <f t="shared" si="1"/>
        <v>66.31945451</v>
      </c>
      <c r="O150" s="74" t="b">
        <v>1</v>
      </c>
    </row>
    <row r="151" hidden="1">
      <c r="A151" s="82"/>
      <c r="B151" s="65" t="s">
        <v>146</v>
      </c>
      <c r="C151" s="65" t="s">
        <v>122</v>
      </c>
      <c r="D151" s="65" t="str">
        <f>vlookup(C151,'Classificação p pessoal'!F:G,2,false)</f>
        <v>NP</v>
      </c>
      <c r="E151" s="65" t="s">
        <v>156</v>
      </c>
      <c r="F151" s="83">
        <v>0.5833333333333334</v>
      </c>
      <c r="G151" s="83">
        <v>0.75</v>
      </c>
      <c r="H151" s="83">
        <v>0.16666666666666666</v>
      </c>
      <c r="I151" s="84">
        <v>44343.0</v>
      </c>
      <c r="J151" s="65" t="b">
        <v>1</v>
      </c>
      <c r="K151" s="65"/>
      <c r="L151" s="85" t="b">
        <f>IF(VLOOKUP(C151,Projetos!A:L,12,false)=TRUE,TRUE,FALSE)</f>
        <v>1</v>
      </c>
      <c r="M151" s="74">
        <v>33.15972725468975</v>
      </c>
      <c r="N151" s="74">
        <f t="shared" si="1"/>
        <v>132.638909</v>
      </c>
      <c r="O151" s="74" t="b">
        <v>1</v>
      </c>
    </row>
    <row r="152" hidden="1">
      <c r="A152" s="82"/>
      <c r="B152" s="65" t="s">
        <v>146</v>
      </c>
      <c r="C152" s="65" t="s">
        <v>122</v>
      </c>
      <c r="D152" s="65" t="str">
        <f>vlookup(C152,'Classificação p pessoal'!F:G,2,false)</f>
        <v>NP</v>
      </c>
      <c r="E152" s="65" t="s">
        <v>156</v>
      </c>
      <c r="F152" s="83">
        <v>0.34375</v>
      </c>
      <c r="G152" s="83">
        <v>0.3854166666666667</v>
      </c>
      <c r="H152" s="83">
        <v>0.041666666666666664</v>
      </c>
      <c r="I152" s="84">
        <v>44344.0</v>
      </c>
      <c r="J152" s="65" t="b">
        <v>1</v>
      </c>
      <c r="K152" s="65"/>
      <c r="L152" s="85" t="b">
        <f>IF(VLOOKUP(C152,Projetos!A:L,12,false)=TRUE,TRUE,FALSE)</f>
        <v>1</v>
      </c>
      <c r="M152" s="74">
        <v>33.15972725468975</v>
      </c>
      <c r="N152" s="74">
        <f t="shared" si="1"/>
        <v>33.15972725</v>
      </c>
      <c r="O152" s="74" t="b">
        <v>1</v>
      </c>
    </row>
    <row r="153" hidden="1">
      <c r="A153" s="82"/>
      <c r="B153" s="65" t="s">
        <v>146</v>
      </c>
      <c r="C153" s="65" t="s">
        <v>88</v>
      </c>
      <c r="D153" s="65" t="str">
        <f>vlookup(C153,'Classificação p pessoal'!F:G,2,false)</f>
        <v>MProduto</v>
      </c>
      <c r="E153" s="65" t="s">
        <v>147</v>
      </c>
      <c r="F153" s="83">
        <v>0.34375</v>
      </c>
      <c r="G153" s="83">
        <v>0.5416666666666666</v>
      </c>
      <c r="H153" s="83">
        <v>0.19791666666666666</v>
      </c>
      <c r="I153" s="84">
        <v>44347.0</v>
      </c>
      <c r="J153" s="65" t="b">
        <v>1</v>
      </c>
      <c r="K153" s="65"/>
      <c r="L153" s="85" t="b">
        <f>IF(VLOOKUP(C153,Projetos!A:L,12,false)=TRUE,TRUE,FALSE)</f>
        <v>1</v>
      </c>
      <c r="M153" s="74">
        <v>33.15972725468975</v>
      </c>
      <c r="N153" s="74">
        <f t="shared" si="1"/>
        <v>157.5087045</v>
      </c>
      <c r="O153" s="74" t="b">
        <v>1</v>
      </c>
    </row>
    <row r="154" hidden="1">
      <c r="A154" s="82"/>
      <c r="B154" s="65" t="s">
        <v>146</v>
      </c>
      <c r="C154" s="65" t="s">
        <v>117</v>
      </c>
      <c r="D154" s="65" t="str">
        <f>vlookup(C154,'Classificação p pessoal'!F:G,2,false)</f>
        <v>NP</v>
      </c>
      <c r="E154" s="65" t="s">
        <v>148</v>
      </c>
      <c r="F154" s="83">
        <v>0.3541666666666667</v>
      </c>
      <c r="G154" s="83">
        <v>0.5208333333333334</v>
      </c>
      <c r="H154" s="83">
        <v>0.16666666666666666</v>
      </c>
      <c r="I154" s="84">
        <v>44348.0</v>
      </c>
      <c r="J154" s="65" t="b">
        <v>1</v>
      </c>
      <c r="K154" s="65"/>
      <c r="L154" s="85" t="b">
        <f>IF(VLOOKUP(C154,Projetos!A:L,12,false)=TRUE,TRUE,FALSE)</f>
        <v>1</v>
      </c>
      <c r="M154" s="74">
        <v>33.15972725468975</v>
      </c>
      <c r="N154" s="74">
        <f t="shared" si="1"/>
        <v>132.638909</v>
      </c>
      <c r="O154" s="74" t="b">
        <v>1</v>
      </c>
    </row>
    <row r="155" hidden="1">
      <c r="A155" s="82"/>
      <c r="B155" s="65" t="s">
        <v>146</v>
      </c>
      <c r="C155" s="65" t="s">
        <v>88</v>
      </c>
      <c r="D155" s="65" t="str">
        <f>vlookup(C155,'Classificação p pessoal'!F:G,2,false)</f>
        <v>MProduto</v>
      </c>
      <c r="E155" s="65" t="s">
        <v>147</v>
      </c>
      <c r="F155" s="83">
        <v>0.5625</v>
      </c>
      <c r="G155" s="83">
        <v>0.6458333333333334</v>
      </c>
      <c r="H155" s="83">
        <v>0.08333333333333333</v>
      </c>
      <c r="I155" s="84">
        <v>44348.0</v>
      </c>
      <c r="J155" s="65" t="b">
        <v>1</v>
      </c>
      <c r="K155" s="65"/>
      <c r="L155" s="85" t="b">
        <f>IF(VLOOKUP(C155,Projetos!A:L,12,false)=TRUE,TRUE,FALSE)</f>
        <v>1</v>
      </c>
      <c r="M155" s="74">
        <v>33.15972725468975</v>
      </c>
      <c r="N155" s="74">
        <f t="shared" si="1"/>
        <v>66.31945451</v>
      </c>
      <c r="O155" s="74" t="b">
        <v>1</v>
      </c>
    </row>
    <row r="156" hidden="1">
      <c r="A156" s="82"/>
      <c r="B156" s="65" t="s">
        <v>146</v>
      </c>
      <c r="C156" s="65" t="s">
        <v>117</v>
      </c>
      <c r="D156" s="65" t="str">
        <f>vlookup(C156,'Classificação p pessoal'!F:G,2,false)</f>
        <v>NP</v>
      </c>
      <c r="E156" s="65" t="s">
        <v>148</v>
      </c>
      <c r="F156" s="83">
        <v>0.3541666666666667</v>
      </c>
      <c r="G156" s="83">
        <v>0.5208333333333334</v>
      </c>
      <c r="H156" s="83">
        <v>0.16666666666666666</v>
      </c>
      <c r="I156" s="84">
        <v>44349.0</v>
      </c>
      <c r="J156" s="65" t="b">
        <v>1</v>
      </c>
      <c r="K156" s="65"/>
      <c r="L156" s="85" t="b">
        <f>IF(VLOOKUP(C156,Projetos!A:L,12,false)=TRUE,TRUE,FALSE)</f>
        <v>1</v>
      </c>
      <c r="M156" s="74">
        <v>33.15972725468975</v>
      </c>
      <c r="N156" s="74">
        <f t="shared" si="1"/>
        <v>132.638909</v>
      </c>
      <c r="O156" s="74" t="b">
        <v>1</v>
      </c>
    </row>
    <row r="157" hidden="1">
      <c r="A157" s="82"/>
      <c r="B157" s="65" t="s">
        <v>146</v>
      </c>
      <c r="C157" s="65" t="s">
        <v>88</v>
      </c>
      <c r="D157" s="65" t="str">
        <f>vlookup(C157,'Classificação p pessoal'!F:G,2,false)</f>
        <v>MProduto</v>
      </c>
      <c r="E157" s="65" t="s">
        <v>147</v>
      </c>
      <c r="F157" s="83">
        <v>0.5833333333333334</v>
      </c>
      <c r="G157" s="83">
        <v>0.6666666666666666</v>
      </c>
      <c r="H157" s="83">
        <v>0.08333333333333333</v>
      </c>
      <c r="I157" s="84">
        <v>44349.0</v>
      </c>
      <c r="J157" s="65" t="b">
        <v>1</v>
      </c>
      <c r="K157" s="65"/>
      <c r="L157" s="85" t="b">
        <f>IF(VLOOKUP(C157,Projetos!A:L,12,false)=TRUE,TRUE,FALSE)</f>
        <v>1</v>
      </c>
      <c r="M157" s="74">
        <v>33.15972725468975</v>
      </c>
      <c r="N157" s="74">
        <f t="shared" si="1"/>
        <v>66.31945451</v>
      </c>
      <c r="O157" s="74" t="b">
        <v>1</v>
      </c>
    </row>
    <row r="158" hidden="1">
      <c r="A158" s="82"/>
      <c r="B158" s="65" t="s">
        <v>146</v>
      </c>
      <c r="C158" s="65" t="s">
        <v>127</v>
      </c>
      <c r="D158" s="65" t="str">
        <f>vlookup(C158,'Classificação p pessoal'!F:G,2,false)</f>
        <v>NP</v>
      </c>
      <c r="E158" s="65" t="s">
        <v>148</v>
      </c>
      <c r="F158" s="83">
        <v>0.5416666666666666</v>
      </c>
      <c r="G158" s="83">
        <v>0.75</v>
      </c>
      <c r="H158" s="83">
        <v>0.20833333333333334</v>
      </c>
      <c r="I158" s="84">
        <v>44362.0</v>
      </c>
      <c r="J158" s="65" t="b">
        <v>1</v>
      </c>
      <c r="K158" s="65"/>
      <c r="L158" s="85" t="b">
        <f>IF(VLOOKUP(C158,Projetos!A:L,12,false)=TRUE,TRUE,FALSE)</f>
        <v>1</v>
      </c>
      <c r="M158" s="74">
        <v>33.15972725468975</v>
      </c>
      <c r="N158" s="74">
        <f t="shared" si="1"/>
        <v>165.7986363</v>
      </c>
      <c r="O158" s="74" t="b">
        <v>1</v>
      </c>
    </row>
    <row r="159" hidden="1">
      <c r="A159" s="82"/>
      <c r="B159" s="65" t="s">
        <v>146</v>
      </c>
      <c r="C159" s="65" t="s">
        <v>88</v>
      </c>
      <c r="D159" s="65" t="str">
        <f>vlookup(C159,'Classificação p pessoal'!F:G,2,false)</f>
        <v>MProduto</v>
      </c>
      <c r="E159" s="65" t="s">
        <v>147</v>
      </c>
      <c r="F159" s="83">
        <v>0.3541666666666667</v>
      </c>
      <c r="G159" s="83">
        <v>0.5416666666666666</v>
      </c>
      <c r="H159" s="83">
        <v>0.1875</v>
      </c>
      <c r="I159" s="84">
        <v>44363.0</v>
      </c>
      <c r="J159" s="65" t="b">
        <v>1</v>
      </c>
      <c r="K159" s="65"/>
      <c r="L159" s="85" t="b">
        <f>IF(VLOOKUP(C159,Projetos!A:L,12,false)=TRUE,TRUE,FALSE)</f>
        <v>1</v>
      </c>
      <c r="M159" s="74">
        <v>33.15972725468975</v>
      </c>
      <c r="N159" s="74">
        <f t="shared" si="1"/>
        <v>149.2187726</v>
      </c>
      <c r="O159" s="74" t="b">
        <v>1</v>
      </c>
    </row>
    <row r="160" hidden="1">
      <c r="A160" s="82"/>
      <c r="B160" s="65" t="s">
        <v>146</v>
      </c>
      <c r="C160" s="65" t="s">
        <v>127</v>
      </c>
      <c r="D160" s="65" t="str">
        <f>vlookup(C160,'Classificação p pessoal'!F:G,2,false)</f>
        <v>NP</v>
      </c>
      <c r="E160" s="65" t="s">
        <v>148</v>
      </c>
      <c r="F160" s="83">
        <v>0.5416666666666666</v>
      </c>
      <c r="G160" s="83">
        <v>0.75</v>
      </c>
      <c r="H160" s="83">
        <v>0.20833333333333334</v>
      </c>
      <c r="I160" s="84">
        <v>44363.0</v>
      </c>
      <c r="J160" s="65" t="b">
        <v>1</v>
      </c>
      <c r="K160" s="65"/>
      <c r="L160" s="85" t="b">
        <f>IF(VLOOKUP(C160,Projetos!A:L,12,false)=TRUE,TRUE,FALSE)</f>
        <v>1</v>
      </c>
      <c r="M160" s="74">
        <v>33.15972725468975</v>
      </c>
      <c r="N160" s="74">
        <f t="shared" si="1"/>
        <v>165.7986363</v>
      </c>
      <c r="O160" s="74" t="b">
        <v>1</v>
      </c>
    </row>
    <row r="161" hidden="1">
      <c r="A161" s="82"/>
      <c r="B161" s="65" t="s">
        <v>146</v>
      </c>
      <c r="C161" s="65" t="s">
        <v>127</v>
      </c>
      <c r="D161" s="65" t="str">
        <f>vlookup(C161,'Classificação p pessoal'!F:G,2,false)</f>
        <v>NP</v>
      </c>
      <c r="E161" s="65" t="s">
        <v>148</v>
      </c>
      <c r="F161" s="83">
        <v>0.3541666666666667</v>
      </c>
      <c r="G161" s="83">
        <v>0.5625</v>
      </c>
      <c r="H161" s="83">
        <v>0.20833333333333334</v>
      </c>
      <c r="I161" s="84">
        <v>44364.0</v>
      </c>
      <c r="J161" s="65" t="b">
        <v>1</v>
      </c>
      <c r="K161" s="65"/>
      <c r="L161" s="85" t="b">
        <f>IF(VLOOKUP(C161,Projetos!A:L,12,false)=TRUE,TRUE,FALSE)</f>
        <v>1</v>
      </c>
      <c r="M161" s="74">
        <v>33.15972725468975</v>
      </c>
      <c r="N161" s="74">
        <f t="shared" si="1"/>
        <v>165.7986363</v>
      </c>
      <c r="O161" s="74" t="b">
        <v>1</v>
      </c>
    </row>
    <row r="162" hidden="1">
      <c r="A162" s="82"/>
      <c r="B162" s="65" t="s">
        <v>146</v>
      </c>
      <c r="C162" s="65" t="s">
        <v>88</v>
      </c>
      <c r="D162" s="65" t="str">
        <f>vlookup(C162,'Classificação p pessoal'!F:G,2,false)</f>
        <v>MProduto</v>
      </c>
      <c r="E162" s="65" t="s">
        <v>147</v>
      </c>
      <c r="F162" s="83">
        <v>0.6041666666666666</v>
      </c>
      <c r="G162" s="83">
        <v>0.75</v>
      </c>
      <c r="H162" s="83">
        <v>0.14583333333333334</v>
      </c>
      <c r="I162" s="84">
        <v>44364.0</v>
      </c>
      <c r="J162" s="65" t="b">
        <v>1</v>
      </c>
      <c r="K162" s="65"/>
      <c r="L162" s="85" t="b">
        <f>IF(VLOOKUP(C162,Projetos!A:L,12,false)=TRUE,TRUE,FALSE)</f>
        <v>1</v>
      </c>
      <c r="M162" s="74">
        <v>33.15972725468975</v>
      </c>
      <c r="N162" s="74">
        <f t="shared" si="1"/>
        <v>116.0590454</v>
      </c>
      <c r="O162" s="74" t="b">
        <v>1</v>
      </c>
    </row>
    <row r="163" hidden="1">
      <c r="A163" s="82"/>
      <c r="B163" s="65" t="s">
        <v>146</v>
      </c>
      <c r="C163" s="65" t="s">
        <v>88</v>
      </c>
      <c r="D163" s="65" t="str">
        <f>vlookup(C163,'Classificação p pessoal'!F:G,2,false)</f>
        <v>MProduto</v>
      </c>
      <c r="E163" s="65" t="s">
        <v>147</v>
      </c>
      <c r="F163" s="83">
        <v>0.3541666666666667</v>
      </c>
      <c r="G163" s="83">
        <v>0.5416666666666666</v>
      </c>
      <c r="H163" s="83">
        <v>0.1875</v>
      </c>
      <c r="I163" s="84">
        <v>44365.0</v>
      </c>
      <c r="J163" s="65" t="b">
        <v>1</v>
      </c>
      <c r="K163" s="65"/>
      <c r="L163" s="85" t="b">
        <f>IF(VLOOKUP(C163,Projetos!A:L,12,false)=TRUE,TRUE,FALSE)</f>
        <v>1</v>
      </c>
      <c r="M163" s="74">
        <v>33.15972725468975</v>
      </c>
      <c r="N163" s="74">
        <f t="shared" si="1"/>
        <v>149.2187726</v>
      </c>
      <c r="O163" s="74" t="b">
        <v>1</v>
      </c>
    </row>
    <row r="164" hidden="1">
      <c r="A164" s="82"/>
      <c r="B164" s="65" t="s">
        <v>146</v>
      </c>
      <c r="C164" s="65" t="s">
        <v>127</v>
      </c>
      <c r="D164" s="65" t="str">
        <f>vlookup(C164,'Classificação p pessoal'!F:G,2,false)</f>
        <v>NP</v>
      </c>
      <c r="E164" s="65" t="s">
        <v>148</v>
      </c>
      <c r="F164" s="83">
        <v>0.5833333333333334</v>
      </c>
      <c r="G164" s="83">
        <v>0.75</v>
      </c>
      <c r="H164" s="83">
        <v>0.16666666666666666</v>
      </c>
      <c r="I164" s="84">
        <v>44365.0</v>
      </c>
      <c r="J164" s="65" t="b">
        <v>1</v>
      </c>
      <c r="K164" s="65"/>
      <c r="L164" s="85" t="b">
        <f>IF(VLOOKUP(C164,Projetos!A:L,12,false)=TRUE,TRUE,FALSE)</f>
        <v>1</v>
      </c>
      <c r="M164" s="74">
        <v>33.15972725468975</v>
      </c>
      <c r="N164" s="74">
        <f t="shared" si="1"/>
        <v>132.638909</v>
      </c>
      <c r="O164" s="74" t="b">
        <v>1</v>
      </c>
    </row>
    <row r="165" hidden="1">
      <c r="A165" s="82"/>
      <c r="B165" s="65" t="s">
        <v>146</v>
      </c>
      <c r="C165" s="65" t="s">
        <v>88</v>
      </c>
      <c r="D165" s="65" t="str">
        <f>vlookup(C165,'Classificação p pessoal'!F:G,2,false)</f>
        <v>MProduto</v>
      </c>
      <c r="E165" s="65" t="s">
        <v>147</v>
      </c>
      <c r="F165" s="83">
        <v>0.3333333333333333</v>
      </c>
      <c r="G165" s="83">
        <v>0.3958333333333333</v>
      </c>
      <c r="H165" s="83">
        <v>0.0625</v>
      </c>
      <c r="I165" s="84">
        <v>44378.0</v>
      </c>
      <c r="J165" s="65" t="b">
        <v>1</v>
      </c>
      <c r="K165" s="65"/>
      <c r="L165" s="85" t="b">
        <f>IF(VLOOKUP(C165,Projetos!A:L,12,false)=TRUE,TRUE,FALSE)</f>
        <v>1</v>
      </c>
      <c r="M165" s="74">
        <v>33.15972725468975</v>
      </c>
      <c r="N165" s="74">
        <f t="shared" si="1"/>
        <v>49.73959088</v>
      </c>
      <c r="O165" s="74" t="b">
        <v>1</v>
      </c>
    </row>
    <row r="166" hidden="1">
      <c r="A166" s="82"/>
      <c r="B166" s="65" t="s">
        <v>146</v>
      </c>
      <c r="C166" s="65" t="s">
        <v>87</v>
      </c>
      <c r="D166" s="65" t="str">
        <f>vlookup(C166,'Classificação p pessoal'!F:G,2,false)</f>
        <v>MProduto</v>
      </c>
      <c r="E166" s="65" t="s">
        <v>157</v>
      </c>
      <c r="F166" s="83">
        <v>0.5416666666666666</v>
      </c>
      <c r="G166" s="83">
        <v>0.75</v>
      </c>
      <c r="H166" s="83">
        <v>0.20833333333333334</v>
      </c>
      <c r="I166" s="84">
        <v>44378.0</v>
      </c>
      <c r="J166" s="65" t="b">
        <v>1</v>
      </c>
      <c r="K166" s="65"/>
      <c r="L166" s="85" t="b">
        <f>IF(VLOOKUP(C166,Projetos!A:L,12,false)=TRUE,TRUE,FALSE)</f>
        <v>1</v>
      </c>
      <c r="M166" s="74">
        <v>33.15972725468975</v>
      </c>
      <c r="N166" s="74">
        <f t="shared" si="1"/>
        <v>165.7986363</v>
      </c>
      <c r="O166" s="74" t="b">
        <v>1</v>
      </c>
    </row>
    <row r="167" hidden="1">
      <c r="A167" s="82"/>
      <c r="B167" s="65" t="s">
        <v>146</v>
      </c>
      <c r="C167" s="65" t="s">
        <v>88</v>
      </c>
      <c r="D167" s="65" t="str">
        <f>vlookup(C167,'Classificação p pessoal'!F:G,2,false)</f>
        <v>MProduto</v>
      </c>
      <c r="E167" s="65" t="s">
        <v>147</v>
      </c>
      <c r="F167" s="83">
        <v>0.4166666666666667</v>
      </c>
      <c r="G167" s="83">
        <v>0.4583333333333333</v>
      </c>
      <c r="H167" s="83">
        <v>0.041666666666666664</v>
      </c>
      <c r="I167" s="84">
        <v>44378.0</v>
      </c>
      <c r="J167" s="65" t="b">
        <v>1</v>
      </c>
      <c r="K167" s="65"/>
      <c r="L167" s="85" t="b">
        <f>IF(VLOOKUP(C167,Projetos!A:L,12,false)=TRUE,TRUE,FALSE)</f>
        <v>1</v>
      </c>
      <c r="M167" s="74">
        <v>33.15972725468975</v>
      </c>
      <c r="N167" s="74">
        <f t="shared" si="1"/>
        <v>33.15972725</v>
      </c>
      <c r="O167" s="74" t="b">
        <v>1</v>
      </c>
    </row>
    <row r="168" hidden="1">
      <c r="A168" s="82"/>
      <c r="B168" s="65" t="s">
        <v>146</v>
      </c>
      <c r="C168" s="65" t="s">
        <v>87</v>
      </c>
      <c r="D168" s="65" t="str">
        <f>vlookup(C168,'Classificação p pessoal'!F:G,2,false)</f>
        <v>MProduto</v>
      </c>
      <c r="E168" s="65" t="s">
        <v>157</v>
      </c>
      <c r="F168" s="83">
        <v>0.34375</v>
      </c>
      <c r="G168" s="83">
        <v>0.5</v>
      </c>
      <c r="H168" s="83">
        <v>0.15625</v>
      </c>
      <c r="I168" s="84">
        <v>44379.0</v>
      </c>
      <c r="J168" s="65" t="b">
        <v>1</v>
      </c>
      <c r="K168" s="65"/>
      <c r="L168" s="85" t="b">
        <f>IF(VLOOKUP(C168,Projetos!A:L,12,false)=TRUE,TRUE,FALSE)</f>
        <v>1</v>
      </c>
      <c r="M168" s="74">
        <v>33.15972725468975</v>
      </c>
      <c r="N168" s="74">
        <f t="shared" si="1"/>
        <v>124.3489772</v>
      </c>
      <c r="O168" s="74" t="b">
        <v>1</v>
      </c>
    </row>
    <row r="169" hidden="1">
      <c r="A169" s="82"/>
      <c r="B169" s="65" t="s">
        <v>146</v>
      </c>
      <c r="C169" s="65" t="s">
        <v>88</v>
      </c>
      <c r="D169" s="65" t="str">
        <f>vlookup(C169,'Classificação p pessoal'!F:G,2,false)</f>
        <v>MProduto</v>
      </c>
      <c r="E169" s="65" t="s">
        <v>147</v>
      </c>
      <c r="F169" s="83">
        <v>0.4166666666666667</v>
      </c>
      <c r="G169" s="83">
        <v>0.5416666666666666</v>
      </c>
      <c r="H169" s="83">
        <v>0.125</v>
      </c>
      <c r="I169" s="84">
        <v>44382.0</v>
      </c>
      <c r="J169" s="65" t="b">
        <v>1</v>
      </c>
      <c r="K169" s="65"/>
      <c r="L169" s="85" t="b">
        <f>IF(VLOOKUP(C169,Projetos!A:L,12,false)=TRUE,TRUE,FALSE)</f>
        <v>1</v>
      </c>
      <c r="M169" s="74">
        <v>33.15972725468975</v>
      </c>
      <c r="N169" s="74">
        <f t="shared" si="1"/>
        <v>99.47918176</v>
      </c>
      <c r="O169" s="74" t="b">
        <v>1</v>
      </c>
    </row>
    <row r="170" hidden="1">
      <c r="A170" s="82"/>
      <c r="B170" s="65" t="s">
        <v>146</v>
      </c>
      <c r="C170" s="65" t="s">
        <v>117</v>
      </c>
      <c r="D170" s="65" t="str">
        <f>vlookup(C170,'Classificação p pessoal'!F:G,2,false)</f>
        <v>NP</v>
      </c>
      <c r="E170" s="65" t="s">
        <v>158</v>
      </c>
      <c r="F170" s="83">
        <v>0.625</v>
      </c>
      <c r="G170" s="83">
        <v>0.6666666666666666</v>
      </c>
      <c r="H170" s="83">
        <v>0.041666666666666664</v>
      </c>
      <c r="I170" s="84">
        <v>44382.0</v>
      </c>
      <c r="J170" s="65" t="b">
        <v>1</v>
      </c>
      <c r="K170" s="65"/>
      <c r="L170" s="85" t="b">
        <f>IF(VLOOKUP(C170,Projetos!A:L,12,false)=TRUE,TRUE,FALSE)</f>
        <v>1</v>
      </c>
      <c r="M170" s="74">
        <v>33.15972725468975</v>
      </c>
      <c r="N170" s="74">
        <f t="shared" si="1"/>
        <v>33.15972725</v>
      </c>
      <c r="O170" s="74" t="b">
        <v>1</v>
      </c>
    </row>
    <row r="171" hidden="1">
      <c r="A171" s="82"/>
      <c r="B171" s="65" t="s">
        <v>146</v>
      </c>
      <c r="C171" s="65" t="s">
        <v>88</v>
      </c>
      <c r="D171" s="65" t="str">
        <f>vlookup(C171,'Classificação p pessoal'!F:G,2,false)</f>
        <v>MProduto</v>
      </c>
      <c r="E171" s="65" t="s">
        <v>147</v>
      </c>
      <c r="F171" s="83">
        <v>0.34375</v>
      </c>
      <c r="G171" s="83">
        <v>0.5416666666666666</v>
      </c>
      <c r="H171" s="83">
        <v>0.19791666666666666</v>
      </c>
      <c r="I171" s="84">
        <v>44383.0</v>
      </c>
      <c r="J171" s="65" t="b">
        <v>1</v>
      </c>
      <c r="K171" s="65"/>
      <c r="L171" s="85" t="b">
        <f>IF(VLOOKUP(C171,Projetos!A:L,12,false)=TRUE,TRUE,FALSE)</f>
        <v>1</v>
      </c>
      <c r="M171" s="74">
        <v>33.15972725468975</v>
      </c>
      <c r="N171" s="74">
        <f t="shared" si="1"/>
        <v>157.5087045</v>
      </c>
      <c r="O171" s="74" t="b">
        <v>1</v>
      </c>
    </row>
    <row r="172" hidden="1">
      <c r="A172" s="82"/>
      <c r="B172" s="65" t="s">
        <v>146</v>
      </c>
      <c r="C172" s="65" t="s">
        <v>117</v>
      </c>
      <c r="D172" s="65" t="str">
        <f>vlookup(C172,'Classificação p pessoal'!F:G,2,false)</f>
        <v>NP</v>
      </c>
      <c r="E172" s="65" t="s">
        <v>158</v>
      </c>
      <c r="F172" s="83">
        <v>0.5833333333333334</v>
      </c>
      <c r="G172" s="83">
        <v>0.75</v>
      </c>
      <c r="H172" s="83">
        <v>0.16666666666666666</v>
      </c>
      <c r="I172" s="84">
        <v>44384.0</v>
      </c>
      <c r="J172" s="65" t="b">
        <v>1</v>
      </c>
      <c r="K172" s="65"/>
      <c r="L172" s="85" t="b">
        <f>IF(VLOOKUP(C172,Projetos!A:L,12,false)=TRUE,TRUE,FALSE)</f>
        <v>1</v>
      </c>
      <c r="M172" s="74">
        <v>33.15972725468975</v>
      </c>
      <c r="N172" s="74">
        <f t="shared" si="1"/>
        <v>132.638909</v>
      </c>
      <c r="O172" s="74" t="b">
        <v>1</v>
      </c>
    </row>
    <row r="173" hidden="1">
      <c r="A173" s="82"/>
      <c r="B173" s="65" t="s">
        <v>146</v>
      </c>
      <c r="C173" s="65" t="s">
        <v>87</v>
      </c>
      <c r="D173" s="65" t="str">
        <f>vlookup(C173,'Classificação p pessoal'!F:G,2,false)</f>
        <v>MProduto</v>
      </c>
      <c r="E173" s="65" t="s">
        <v>157</v>
      </c>
      <c r="F173" s="83">
        <v>0.3333333333333333</v>
      </c>
      <c r="G173" s="83">
        <v>0.375</v>
      </c>
      <c r="H173" s="83">
        <v>0.041666666666666664</v>
      </c>
      <c r="I173" s="84">
        <v>44384.0</v>
      </c>
      <c r="J173" s="65" t="b">
        <v>1</v>
      </c>
      <c r="K173" s="65"/>
      <c r="L173" s="85" t="b">
        <f>IF(VLOOKUP(C173,Projetos!A:L,12,false)=TRUE,TRUE,FALSE)</f>
        <v>1</v>
      </c>
      <c r="M173" s="74">
        <v>33.15972725468975</v>
      </c>
      <c r="N173" s="74">
        <f t="shared" si="1"/>
        <v>33.15972725</v>
      </c>
      <c r="O173" s="74" t="b">
        <v>1</v>
      </c>
    </row>
    <row r="174" hidden="1">
      <c r="A174" s="82"/>
      <c r="B174" s="65" t="s">
        <v>146</v>
      </c>
      <c r="C174" s="65" t="s">
        <v>117</v>
      </c>
      <c r="D174" s="65" t="str">
        <f>vlookup(C174,'Classificação p pessoal'!F:G,2,false)</f>
        <v>NP</v>
      </c>
      <c r="E174" s="65" t="s">
        <v>158</v>
      </c>
      <c r="F174" s="83">
        <v>0.375</v>
      </c>
      <c r="G174" s="83">
        <v>0.5</v>
      </c>
      <c r="H174" s="83">
        <v>0.125</v>
      </c>
      <c r="I174" s="84">
        <v>44385.0</v>
      </c>
      <c r="J174" s="65" t="b">
        <v>1</v>
      </c>
      <c r="K174" s="65"/>
      <c r="L174" s="85" t="b">
        <f>IF(VLOOKUP(C174,Projetos!A:L,12,false)=TRUE,TRUE,FALSE)</f>
        <v>1</v>
      </c>
      <c r="M174" s="74">
        <v>33.15972725468975</v>
      </c>
      <c r="N174" s="74">
        <f t="shared" si="1"/>
        <v>99.47918176</v>
      </c>
      <c r="O174" s="74" t="b">
        <v>1</v>
      </c>
    </row>
    <row r="175" hidden="1">
      <c r="A175" s="82"/>
      <c r="B175" s="65" t="s">
        <v>146</v>
      </c>
      <c r="C175" s="65" t="s">
        <v>87</v>
      </c>
      <c r="D175" s="65" t="str">
        <f>vlookup(C175,'Classificação p pessoal'!F:G,2,false)</f>
        <v>MProduto</v>
      </c>
      <c r="E175" s="65" t="s">
        <v>157</v>
      </c>
      <c r="F175" s="83">
        <v>0.5833333333333334</v>
      </c>
      <c r="G175" s="83">
        <v>0.75</v>
      </c>
      <c r="H175" s="83">
        <v>0.16666666666666666</v>
      </c>
      <c r="I175" s="84">
        <v>44385.0</v>
      </c>
      <c r="J175" s="65" t="b">
        <v>1</v>
      </c>
      <c r="K175" s="65"/>
      <c r="L175" s="85" t="b">
        <f>IF(VLOOKUP(C175,Projetos!A:L,12,false)=TRUE,TRUE,FALSE)</f>
        <v>1</v>
      </c>
      <c r="M175" s="74">
        <v>33.15972725468975</v>
      </c>
      <c r="N175" s="74">
        <f t="shared" si="1"/>
        <v>132.638909</v>
      </c>
      <c r="O175" s="74" t="b">
        <v>1</v>
      </c>
    </row>
    <row r="176" hidden="1">
      <c r="A176" s="82"/>
      <c r="B176" s="65" t="s">
        <v>146</v>
      </c>
      <c r="C176" s="65" t="s">
        <v>117</v>
      </c>
      <c r="D176" s="65" t="str">
        <f>vlookup(C176,'Classificação p pessoal'!F:G,2,false)</f>
        <v>NP</v>
      </c>
      <c r="E176" s="65" t="s">
        <v>148</v>
      </c>
      <c r="F176" s="83">
        <v>0.34375</v>
      </c>
      <c r="G176" s="83">
        <v>0.5416666666666666</v>
      </c>
      <c r="H176" s="83">
        <v>0.19791666666666666</v>
      </c>
      <c r="I176" s="84">
        <v>44386.0</v>
      </c>
      <c r="J176" s="65" t="b">
        <v>1</v>
      </c>
      <c r="K176" s="65"/>
      <c r="L176" s="85" t="b">
        <f>IF(VLOOKUP(C176,Projetos!A:L,12,false)=TRUE,TRUE,FALSE)</f>
        <v>1</v>
      </c>
      <c r="M176" s="74">
        <v>33.15972725468975</v>
      </c>
      <c r="N176" s="74">
        <f t="shared" si="1"/>
        <v>157.5087045</v>
      </c>
      <c r="O176" s="74" t="b">
        <v>1</v>
      </c>
    </row>
    <row r="177" hidden="1">
      <c r="A177" s="82"/>
      <c r="B177" s="65" t="s">
        <v>146</v>
      </c>
      <c r="C177" s="65" t="s">
        <v>87</v>
      </c>
      <c r="D177" s="65" t="str">
        <f>vlookup(C177,'Classificação p pessoal'!F:G,2,false)</f>
        <v>MProduto</v>
      </c>
      <c r="E177" s="65" t="s">
        <v>157</v>
      </c>
      <c r="F177" s="83">
        <v>0.5833333333333334</v>
      </c>
      <c r="G177" s="83">
        <v>0.7083333333333334</v>
      </c>
      <c r="H177" s="83">
        <v>0.125</v>
      </c>
      <c r="I177" s="84">
        <v>44386.0</v>
      </c>
      <c r="J177" s="65" t="b">
        <v>1</v>
      </c>
      <c r="K177" s="65"/>
      <c r="L177" s="85" t="b">
        <f>IF(VLOOKUP(C177,Projetos!A:L,12,false)=TRUE,TRUE,FALSE)</f>
        <v>1</v>
      </c>
      <c r="M177" s="74">
        <v>33.15972725468975</v>
      </c>
      <c r="N177" s="74">
        <f t="shared" si="1"/>
        <v>99.47918176</v>
      </c>
      <c r="O177" s="74" t="b">
        <v>1</v>
      </c>
    </row>
    <row r="178" hidden="1">
      <c r="A178" s="82"/>
      <c r="B178" s="65" t="s">
        <v>146</v>
      </c>
      <c r="C178" s="65" t="s">
        <v>117</v>
      </c>
      <c r="D178" s="65" t="str">
        <f>vlookup(C178,'Classificação p pessoal'!F:G,2,false)</f>
        <v>NP</v>
      </c>
      <c r="E178" s="65" t="s">
        <v>148</v>
      </c>
      <c r="F178" s="83">
        <v>0.34375</v>
      </c>
      <c r="G178" s="83">
        <v>0.5625</v>
      </c>
      <c r="H178" s="83">
        <v>0.21875</v>
      </c>
      <c r="I178" s="84">
        <v>44389.0</v>
      </c>
      <c r="J178" s="65" t="b">
        <v>1</v>
      </c>
      <c r="K178" s="65"/>
      <c r="L178" s="85" t="b">
        <f>IF(VLOOKUP(C178,Projetos!A:L,12,false)=TRUE,TRUE,FALSE)</f>
        <v>1</v>
      </c>
      <c r="M178" s="74">
        <v>33.15972725468975</v>
      </c>
      <c r="N178" s="74">
        <f t="shared" si="1"/>
        <v>174.0885681</v>
      </c>
      <c r="O178" s="74" t="b">
        <v>1</v>
      </c>
    </row>
    <row r="179" hidden="1">
      <c r="A179" s="82"/>
      <c r="B179" s="65" t="s">
        <v>146</v>
      </c>
      <c r="C179" s="65" t="s">
        <v>117</v>
      </c>
      <c r="D179" s="65" t="str">
        <f>vlookup(C179,'Classificação p pessoal'!F:G,2,false)</f>
        <v>NP</v>
      </c>
      <c r="E179" s="65" t="s">
        <v>148</v>
      </c>
      <c r="F179" s="83">
        <v>0.3541666666666667</v>
      </c>
      <c r="G179" s="83">
        <v>0.5625</v>
      </c>
      <c r="H179" s="83">
        <v>0.20833333333333334</v>
      </c>
      <c r="I179" s="84">
        <v>44390.0</v>
      </c>
      <c r="J179" s="65" t="b">
        <v>1</v>
      </c>
      <c r="K179" s="65"/>
      <c r="L179" s="85" t="b">
        <f>IF(VLOOKUP(C179,Projetos!A:L,12,false)=TRUE,TRUE,FALSE)</f>
        <v>1</v>
      </c>
      <c r="M179" s="74">
        <v>33.15972725468975</v>
      </c>
      <c r="N179" s="74">
        <f t="shared" si="1"/>
        <v>165.7986363</v>
      </c>
      <c r="O179" s="74" t="b">
        <v>1</v>
      </c>
    </row>
    <row r="180" hidden="1">
      <c r="A180" s="82"/>
      <c r="B180" s="65" t="s">
        <v>146</v>
      </c>
      <c r="C180" s="65" t="s">
        <v>117</v>
      </c>
      <c r="D180" s="65" t="str">
        <f>vlookup(C180,'Classificação p pessoal'!F:G,2,false)</f>
        <v>NP</v>
      </c>
      <c r="E180" s="65" t="s">
        <v>148</v>
      </c>
      <c r="F180" s="83">
        <v>0.5416666666666666</v>
      </c>
      <c r="G180" s="83">
        <v>0.75</v>
      </c>
      <c r="H180" s="83">
        <v>0.20833333333333334</v>
      </c>
      <c r="I180" s="84">
        <v>44391.0</v>
      </c>
      <c r="J180" s="65" t="b">
        <v>1</v>
      </c>
      <c r="K180" s="65"/>
      <c r="L180" s="85" t="b">
        <f>IF(VLOOKUP(C180,Projetos!A:L,12,false)=TRUE,TRUE,FALSE)</f>
        <v>1</v>
      </c>
      <c r="M180" s="74">
        <v>33.15972725468975</v>
      </c>
      <c r="N180" s="74">
        <f t="shared" si="1"/>
        <v>165.7986363</v>
      </c>
      <c r="O180" s="74" t="b">
        <v>1</v>
      </c>
    </row>
    <row r="181" hidden="1">
      <c r="A181" s="82"/>
      <c r="B181" s="65" t="s">
        <v>146</v>
      </c>
      <c r="C181" s="65" t="s">
        <v>117</v>
      </c>
      <c r="D181" s="65" t="str">
        <f>vlookup(C181,'Classificação p pessoal'!F:G,2,false)</f>
        <v>NP</v>
      </c>
      <c r="E181" s="65" t="s">
        <v>148</v>
      </c>
      <c r="F181" s="83">
        <v>0.5416666666666666</v>
      </c>
      <c r="G181" s="83">
        <v>0.75</v>
      </c>
      <c r="H181" s="83">
        <v>0.20833333333333334</v>
      </c>
      <c r="I181" s="84">
        <v>44392.0</v>
      </c>
      <c r="J181" s="65" t="b">
        <v>1</v>
      </c>
      <c r="K181" s="65"/>
      <c r="L181" s="85" t="b">
        <f>IF(VLOOKUP(C181,Projetos!A:L,12,false)=TRUE,TRUE,FALSE)</f>
        <v>1</v>
      </c>
      <c r="M181" s="74">
        <v>33.15972725468975</v>
      </c>
      <c r="N181" s="74">
        <f t="shared" si="1"/>
        <v>165.7986363</v>
      </c>
      <c r="O181" s="74" t="b">
        <v>1</v>
      </c>
    </row>
    <row r="182" hidden="1">
      <c r="A182" s="82"/>
      <c r="B182" s="65" t="s">
        <v>146</v>
      </c>
      <c r="C182" s="65" t="s">
        <v>117</v>
      </c>
      <c r="D182" s="65" t="str">
        <f>vlookup(C182,'Classificação p pessoal'!F:G,2,false)</f>
        <v>NP</v>
      </c>
      <c r="E182" s="65" t="s">
        <v>148</v>
      </c>
      <c r="F182" s="83">
        <v>0.3541666666666667</v>
      </c>
      <c r="G182" s="83">
        <v>0.5416666666666666</v>
      </c>
      <c r="H182" s="83">
        <v>0.1875</v>
      </c>
      <c r="I182" s="84">
        <v>44393.0</v>
      </c>
      <c r="J182" s="65" t="b">
        <v>1</v>
      </c>
      <c r="K182" s="65"/>
      <c r="L182" s="85" t="b">
        <f>IF(VLOOKUP(C182,Projetos!A:L,12,false)=TRUE,TRUE,FALSE)</f>
        <v>1</v>
      </c>
      <c r="M182" s="74">
        <v>33.15972725468975</v>
      </c>
      <c r="N182" s="74">
        <f t="shared" si="1"/>
        <v>149.2187726</v>
      </c>
      <c r="O182" s="74" t="b">
        <v>1</v>
      </c>
    </row>
    <row r="183" hidden="1">
      <c r="A183" s="82"/>
      <c r="B183" s="65" t="s">
        <v>146</v>
      </c>
      <c r="C183" s="65" t="s">
        <v>117</v>
      </c>
      <c r="D183" s="65" t="str">
        <f>vlookup(C183,'Classificação p pessoal'!F:G,2,false)</f>
        <v>NP</v>
      </c>
      <c r="E183" s="65" t="s">
        <v>148</v>
      </c>
      <c r="F183" s="83">
        <v>0.3541666666666667</v>
      </c>
      <c r="G183" s="83">
        <v>0.5416666666666666</v>
      </c>
      <c r="H183" s="83">
        <v>0.1875</v>
      </c>
      <c r="I183" s="84">
        <v>44396.0</v>
      </c>
      <c r="J183" s="65" t="b">
        <v>1</v>
      </c>
      <c r="K183" s="65"/>
      <c r="L183" s="85" t="b">
        <f>IF(VLOOKUP(C183,Projetos!A:L,12,false)=TRUE,TRUE,FALSE)</f>
        <v>1</v>
      </c>
      <c r="M183" s="74">
        <v>33.15972725468975</v>
      </c>
      <c r="N183" s="74">
        <f t="shared" si="1"/>
        <v>149.2187726</v>
      </c>
      <c r="O183" s="74" t="b">
        <v>1</v>
      </c>
    </row>
    <row r="184" hidden="1">
      <c r="A184" s="82"/>
      <c r="B184" s="65" t="s">
        <v>146</v>
      </c>
      <c r="C184" s="65" t="s">
        <v>117</v>
      </c>
      <c r="D184" s="65" t="str">
        <f>vlookup(C184,'Classificação p pessoal'!F:G,2,false)</f>
        <v>NP</v>
      </c>
      <c r="E184" s="65" t="s">
        <v>148</v>
      </c>
      <c r="F184" s="83">
        <v>0.5416666666666666</v>
      </c>
      <c r="G184" s="83">
        <v>0.75</v>
      </c>
      <c r="H184" s="83">
        <v>0.20833333333333334</v>
      </c>
      <c r="I184" s="84">
        <v>44397.0</v>
      </c>
      <c r="J184" s="65" t="b">
        <v>1</v>
      </c>
      <c r="K184" s="65"/>
      <c r="L184" s="85" t="b">
        <f>IF(VLOOKUP(C184,Projetos!A:L,12,false)=TRUE,TRUE,FALSE)</f>
        <v>1</v>
      </c>
      <c r="M184" s="74">
        <v>33.15972725468975</v>
      </c>
      <c r="N184" s="74">
        <f t="shared" si="1"/>
        <v>165.7986363</v>
      </c>
      <c r="O184" s="74" t="b">
        <v>1</v>
      </c>
    </row>
    <row r="185" hidden="1">
      <c r="A185" s="82"/>
      <c r="B185" s="65" t="s">
        <v>146</v>
      </c>
      <c r="C185" s="65" t="s">
        <v>88</v>
      </c>
      <c r="D185" s="65" t="str">
        <f>vlookup(C185,'Classificação p pessoal'!F:G,2,false)</f>
        <v>MProduto</v>
      </c>
      <c r="E185" s="65" t="s">
        <v>148</v>
      </c>
      <c r="F185" s="83">
        <v>0.3541666666666667</v>
      </c>
      <c r="G185" s="83">
        <v>0.5</v>
      </c>
      <c r="H185" s="83">
        <v>0.14583333333333334</v>
      </c>
      <c r="I185" s="84">
        <v>44398.0</v>
      </c>
      <c r="J185" s="65" t="b">
        <v>1</v>
      </c>
      <c r="K185" s="65"/>
      <c r="L185" s="85" t="b">
        <f>IF(VLOOKUP(C185,Projetos!A:L,12,false)=TRUE,TRUE,FALSE)</f>
        <v>1</v>
      </c>
      <c r="M185" s="74">
        <v>33.15972725468975</v>
      </c>
      <c r="N185" s="74">
        <f t="shared" si="1"/>
        <v>116.0590454</v>
      </c>
      <c r="O185" s="74" t="b">
        <v>1</v>
      </c>
    </row>
    <row r="186" hidden="1">
      <c r="A186" s="82"/>
      <c r="B186" s="65" t="s">
        <v>146</v>
      </c>
      <c r="C186" s="65" t="s">
        <v>117</v>
      </c>
      <c r="D186" s="65" t="str">
        <f>vlookup(C186,'Classificação p pessoal'!F:G,2,false)</f>
        <v>NP</v>
      </c>
      <c r="E186" s="65" t="s">
        <v>148</v>
      </c>
      <c r="F186" s="83">
        <v>0.5416666666666666</v>
      </c>
      <c r="G186" s="83">
        <v>0.75</v>
      </c>
      <c r="H186" s="83">
        <v>0.20833333333333334</v>
      </c>
      <c r="I186" s="84">
        <v>44399.0</v>
      </c>
      <c r="J186" s="65" t="b">
        <v>1</v>
      </c>
      <c r="K186" s="65"/>
      <c r="L186" s="85" t="b">
        <f>IF(VLOOKUP(C186,Projetos!A:L,12,false)=TRUE,TRUE,FALSE)</f>
        <v>1</v>
      </c>
      <c r="M186" s="74">
        <v>33.15972725468975</v>
      </c>
      <c r="N186" s="74">
        <f t="shared" si="1"/>
        <v>165.7986363</v>
      </c>
      <c r="O186" s="74" t="b">
        <v>1</v>
      </c>
    </row>
    <row r="187" hidden="1">
      <c r="A187" s="82"/>
      <c r="B187" s="65" t="s">
        <v>146</v>
      </c>
      <c r="C187" s="65" t="s">
        <v>117</v>
      </c>
      <c r="D187" s="65" t="str">
        <f>vlookup(C187,'Classificação p pessoal'!F:G,2,false)</f>
        <v>NP</v>
      </c>
      <c r="E187" s="65" t="s">
        <v>158</v>
      </c>
      <c r="F187" s="83">
        <v>0.5416666666666666</v>
      </c>
      <c r="G187" s="83">
        <v>0.75</v>
      </c>
      <c r="H187" s="83">
        <v>0.20833333333333334</v>
      </c>
      <c r="I187" s="84">
        <v>44400.0</v>
      </c>
      <c r="J187" s="65" t="b">
        <v>1</v>
      </c>
      <c r="K187" s="65"/>
      <c r="L187" s="85" t="b">
        <f>IF(VLOOKUP(C187,Projetos!A:L,12,false)=TRUE,TRUE,FALSE)</f>
        <v>1</v>
      </c>
      <c r="M187" s="74">
        <v>33.15972725468975</v>
      </c>
      <c r="N187" s="74">
        <f t="shared" si="1"/>
        <v>165.7986363</v>
      </c>
      <c r="O187" s="74" t="b">
        <v>1</v>
      </c>
    </row>
    <row r="188" hidden="1">
      <c r="A188" s="82"/>
      <c r="B188" s="65" t="s">
        <v>146</v>
      </c>
      <c r="C188" s="65" t="s">
        <v>88</v>
      </c>
      <c r="D188" s="65" t="str">
        <f>vlookup(C188,'Classificação p pessoal'!F:G,2,false)</f>
        <v>MProduto</v>
      </c>
      <c r="E188" s="65" t="s">
        <v>148</v>
      </c>
      <c r="F188" s="83">
        <v>0.3541666666666667</v>
      </c>
      <c r="G188" s="83">
        <v>0.5</v>
      </c>
      <c r="H188" s="83">
        <v>0.14583333333333334</v>
      </c>
      <c r="I188" s="84">
        <v>44403.0</v>
      </c>
      <c r="J188" s="65" t="b">
        <v>1</v>
      </c>
      <c r="K188" s="65"/>
      <c r="L188" s="85" t="b">
        <f>IF(VLOOKUP(C188,Projetos!A:L,12,false)=TRUE,TRUE,FALSE)</f>
        <v>1</v>
      </c>
      <c r="M188" s="74">
        <v>33.15972725468975</v>
      </c>
      <c r="N188" s="74">
        <f t="shared" si="1"/>
        <v>116.0590454</v>
      </c>
      <c r="O188" s="74" t="b">
        <v>1</v>
      </c>
    </row>
    <row r="189" hidden="1">
      <c r="A189" s="82"/>
      <c r="B189" s="65" t="s">
        <v>146</v>
      </c>
      <c r="C189" s="65" t="s">
        <v>117</v>
      </c>
      <c r="D189" s="65" t="str">
        <f>vlookup(C189,'Classificação p pessoal'!F:G,2,false)</f>
        <v>NP</v>
      </c>
      <c r="E189" s="65" t="s">
        <v>158</v>
      </c>
      <c r="F189" s="83">
        <v>0.625</v>
      </c>
      <c r="G189" s="83">
        <v>0.75</v>
      </c>
      <c r="H189" s="83">
        <v>0.125</v>
      </c>
      <c r="I189" s="84">
        <v>44403.0</v>
      </c>
      <c r="J189" s="65" t="b">
        <v>1</v>
      </c>
      <c r="K189" s="65"/>
      <c r="L189" s="85" t="b">
        <f>IF(VLOOKUP(C189,Projetos!A:L,12,false)=TRUE,TRUE,FALSE)</f>
        <v>1</v>
      </c>
      <c r="M189" s="74">
        <v>33.15972725468975</v>
      </c>
      <c r="N189" s="74">
        <f t="shared" si="1"/>
        <v>99.47918176</v>
      </c>
      <c r="O189" s="74" t="b">
        <v>1</v>
      </c>
    </row>
    <row r="190" hidden="1">
      <c r="A190" s="82"/>
      <c r="B190" s="65" t="s">
        <v>146</v>
      </c>
      <c r="C190" s="65" t="s">
        <v>117</v>
      </c>
      <c r="D190" s="65" t="str">
        <f>vlookup(C190,'Classificação p pessoal'!F:G,2,false)</f>
        <v>NP</v>
      </c>
      <c r="E190" s="65" t="s">
        <v>158</v>
      </c>
      <c r="F190" s="83">
        <v>0.375</v>
      </c>
      <c r="G190" s="83">
        <v>0.4166666666666667</v>
      </c>
      <c r="H190" s="83">
        <v>0.041666666666666664</v>
      </c>
      <c r="I190" s="84">
        <v>44404.0</v>
      </c>
      <c r="J190" s="65" t="b">
        <v>1</v>
      </c>
      <c r="K190" s="65"/>
      <c r="L190" s="85" t="b">
        <f>IF(VLOOKUP(C190,Projetos!A:L,12,false)=TRUE,TRUE,FALSE)</f>
        <v>1</v>
      </c>
      <c r="M190" s="74">
        <v>33.15972725468975</v>
      </c>
      <c r="N190" s="74">
        <f t="shared" si="1"/>
        <v>33.15972725</v>
      </c>
      <c r="O190" s="74" t="b">
        <v>1</v>
      </c>
    </row>
    <row r="191" hidden="1">
      <c r="A191" s="82"/>
      <c r="B191" s="65" t="s">
        <v>146</v>
      </c>
      <c r="C191" s="65" t="s">
        <v>117</v>
      </c>
      <c r="D191" s="65" t="str">
        <f>vlookup(C191,'Classificação p pessoal'!F:G,2,false)</f>
        <v>NP</v>
      </c>
      <c r="E191" s="65" t="s">
        <v>158</v>
      </c>
      <c r="F191" s="83">
        <v>0.3541666666666667</v>
      </c>
      <c r="G191" s="83">
        <v>0.4375</v>
      </c>
      <c r="H191" s="83">
        <v>0.08333333333333333</v>
      </c>
      <c r="I191" s="84">
        <v>44405.0</v>
      </c>
      <c r="J191" s="65" t="b">
        <v>1</v>
      </c>
      <c r="K191" s="65"/>
      <c r="L191" s="85" t="b">
        <f>IF(VLOOKUP(C191,Projetos!A:L,12,false)=TRUE,TRUE,FALSE)</f>
        <v>1</v>
      </c>
      <c r="M191" s="74">
        <v>33.15972725468975</v>
      </c>
      <c r="N191" s="74">
        <f t="shared" si="1"/>
        <v>66.31945451</v>
      </c>
      <c r="O191" s="74" t="b">
        <v>1</v>
      </c>
    </row>
    <row r="192" hidden="1">
      <c r="A192" s="82"/>
      <c r="B192" s="65" t="s">
        <v>146</v>
      </c>
      <c r="C192" s="65" t="s">
        <v>88</v>
      </c>
      <c r="D192" s="65" t="str">
        <f>vlookup(C192,'Classificação p pessoal'!F:G,2,false)</f>
        <v>MProduto</v>
      </c>
      <c r="E192" s="65" t="s">
        <v>148</v>
      </c>
      <c r="F192" s="83">
        <v>0.5416666666666666</v>
      </c>
      <c r="G192" s="83">
        <v>0.75</v>
      </c>
      <c r="H192" s="83">
        <v>0.20833333333333334</v>
      </c>
      <c r="I192" s="84">
        <v>44405.0</v>
      </c>
      <c r="J192" s="65" t="b">
        <v>1</v>
      </c>
      <c r="K192" s="65"/>
      <c r="L192" s="85" t="b">
        <f>IF(VLOOKUP(C192,Projetos!A:L,12,false)=TRUE,TRUE,FALSE)</f>
        <v>1</v>
      </c>
      <c r="M192" s="74">
        <v>33.15972725468975</v>
      </c>
      <c r="N192" s="74">
        <f t="shared" si="1"/>
        <v>165.7986363</v>
      </c>
      <c r="O192" s="74" t="b">
        <v>1</v>
      </c>
    </row>
    <row r="193" hidden="1">
      <c r="A193" s="82"/>
      <c r="B193" s="65" t="s">
        <v>146</v>
      </c>
      <c r="C193" s="65" t="s">
        <v>117</v>
      </c>
      <c r="D193" s="65" t="str">
        <f>vlookup(C193,'Classificação p pessoal'!F:G,2,false)</f>
        <v>NP</v>
      </c>
      <c r="E193" s="65" t="s">
        <v>158</v>
      </c>
      <c r="F193" s="83">
        <v>0.4166666666666667</v>
      </c>
      <c r="G193" s="83">
        <v>0.5416666666666666</v>
      </c>
      <c r="H193" s="83">
        <v>0.125</v>
      </c>
      <c r="I193" s="84">
        <v>44406.0</v>
      </c>
      <c r="J193" s="65" t="b">
        <v>1</v>
      </c>
      <c r="K193" s="65"/>
      <c r="L193" s="85" t="b">
        <f>IF(VLOOKUP(C193,Projetos!A:L,12,false)=TRUE,TRUE,FALSE)</f>
        <v>1</v>
      </c>
      <c r="M193" s="74">
        <v>33.15972725468975</v>
      </c>
      <c r="N193" s="74">
        <f t="shared" si="1"/>
        <v>99.47918176</v>
      </c>
      <c r="O193" s="74" t="b">
        <v>1</v>
      </c>
    </row>
    <row r="194" hidden="1">
      <c r="A194" s="82"/>
      <c r="B194" s="65" t="s">
        <v>146</v>
      </c>
      <c r="C194" s="65" t="s">
        <v>117</v>
      </c>
      <c r="D194" s="65" t="str">
        <f>vlookup(C194,'Classificação p pessoal'!F:G,2,false)</f>
        <v>NP</v>
      </c>
      <c r="E194" s="65" t="s">
        <v>158</v>
      </c>
      <c r="F194" s="83">
        <v>0.375</v>
      </c>
      <c r="G194" s="83">
        <v>0.5</v>
      </c>
      <c r="H194" s="83">
        <v>0.125</v>
      </c>
      <c r="I194" s="84">
        <v>44407.0</v>
      </c>
      <c r="J194" s="65" t="b">
        <v>1</v>
      </c>
      <c r="K194" s="65"/>
      <c r="L194" s="85" t="b">
        <f>IF(VLOOKUP(C194,Projetos!A:L,12,false)=TRUE,TRUE,FALSE)</f>
        <v>1</v>
      </c>
      <c r="M194" s="74">
        <v>33.15972725468975</v>
      </c>
      <c r="N194" s="74">
        <f t="shared" si="1"/>
        <v>99.47918176</v>
      </c>
      <c r="O194" s="74" t="b">
        <v>1</v>
      </c>
    </row>
    <row r="195" hidden="1">
      <c r="A195" s="82"/>
      <c r="B195" s="65" t="s">
        <v>146</v>
      </c>
      <c r="C195" s="65" t="s">
        <v>117</v>
      </c>
      <c r="D195" s="65" t="str">
        <f>vlookup(C195,'Classificação p pessoal'!F:G,2,false)</f>
        <v>NP</v>
      </c>
      <c r="E195" s="65" t="s">
        <v>148</v>
      </c>
      <c r="F195" s="83">
        <v>0.3333333333333333</v>
      </c>
      <c r="G195" s="83">
        <v>0.4166666666666667</v>
      </c>
      <c r="H195" s="83">
        <v>0.08333333333333333</v>
      </c>
      <c r="I195" s="84">
        <v>44412.0</v>
      </c>
      <c r="J195" s="65" t="b">
        <v>1</v>
      </c>
      <c r="K195" s="65"/>
      <c r="L195" s="85" t="b">
        <f>IF(VLOOKUP(C195,Projetos!A:L,12,false)=TRUE,TRUE,FALSE)</f>
        <v>1</v>
      </c>
      <c r="M195" s="74">
        <v>33.15972725468975</v>
      </c>
      <c r="N195" s="74">
        <f t="shared" si="1"/>
        <v>66.31945451</v>
      </c>
      <c r="O195" s="74" t="b">
        <v>1</v>
      </c>
    </row>
    <row r="196" hidden="1">
      <c r="A196" s="82"/>
      <c r="B196" s="65" t="s">
        <v>146</v>
      </c>
      <c r="C196" s="65" t="s">
        <v>117</v>
      </c>
      <c r="D196" s="65" t="str">
        <f>vlookup(C196,'Classificação p pessoal'!F:G,2,false)</f>
        <v>NP</v>
      </c>
      <c r="E196" s="65" t="s">
        <v>148</v>
      </c>
      <c r="F196" s="83">
        <v>0.3541666666666667</v>
      </c>
      <c r="G196" s="83">
        <v>0.5416666666666666</v>
      </c>
      <c r="H196" s="83">
        <v>0.1875</v>
      </c>
      <c r="I196" s="84">
        <v>44414.0</v>
      </c>
      <c r="J196" s="65" t="b">
        <v>1</v>
      </c>
      <c r="K196" s="65"/>
      <c r="L196" s="85" t="b">
        <f>IF(VLOOKUP(C196,Projetos!A:L,12,false)=TRUE,TRUE,FALSE)</f>
        <v>1</v>
      </c>
      <c r="M196" s="74">
        <v>33.15972725468975</v>
      </c>
      <c r="N196" s="74">
        <f t="shared" si="1"/>
        <v>149.2187726</v>
      </c>
      <c r="O196" s="74" t="b">
        <v>1</v>
      </c>
    </row>
    <row r="197" hidden="1">
      <c r="A197" s="82"/>
      <c r="B197" s="65" t="s">
        <v>146</v>
      </c>
      <c r="C197" s="65" t="s">
        <v>117</v>
      </c>
      <c r="D197" s="65" t="str">
        <f>vlookup(C197,'Classificação p pessoal'!F:G,2,false)</f>
        <v>NP</v>
      </c>
      <c r="E197" s="65" t="s">
        <v>148</v>
      </c>
      <c r="F197" s="83">
        <v>0.375</v>
      </c>
      <c r="G197" s="83">
        <v>0.4166666666666667</v>
      </c>
      <c r="H197" s="83">
        <v>0.041666666666666664</v>
      </c>
      <c r="I197" s="84">
        <v>44417.0</v>
      </c>
      <c r="J197" s="65" t="b">
        <v>1</v>
      </c>
      <c r="K197" s="65"/>
      <c r="L197" s="85" t="b">
        <f>IF(VLOOKUP(C197,Projetos!A:L,12,false)=TRUE,TRUE,FALSE)</f>
        <v>1</v>
      </c>
      <c r="M197" s="74">
        <v>33.15972725468975</v>
      </c>
      <c r="N197" s="74">
        <f t="shared" si="1"/>
        <v>33.15972725</v>
      </c>
      <c r="O197" s="74" t="b">
        <v>1</v>
      </c>
    </row>
    <row r="198" hidden="1">
      <c r="A198" s="82"/>
      <c r="B198" s="65" t="s">
        <v>146</v>
      </c>
      <c r="C198" s="65" t="s">
        <v>88</v>
      </c>
      <c r="D198" s="65" t="str">
        <f>vlookup(C198,'Classificação p pessoal'!F:G,2,false)</f>
        <v>MProduto</v>
      </c>
      <c r="E198" s="65" t="s">
        <v>147</v>
      </c>
      <c r="F198" s="83">
        <v>0.3541666666666667</v>
      </c>
      <c r="G198" s="83">
        <v>0.5</v>
      </c>
      <c r="H198" s="83">
        <v>0.14583333333333334</v>
      </c>
      <c r="I198" s="84">
        <v>44418.0</v>
      </c>
      <c r="J198" s="65" t="b">
        <v>1</v>
      </c>
      <c r="K198" s="65"/>
      <c r="L198" s="85" t="b">
        <f>IF(VLOOKUP(C198,Projetos!A:L,12,false)=TRUE,TRUE,FALSE)</f>
        <v>1</v>
      </c>
      <c r="M198" s="74">
        <v>33.15972725468975</v>
      </c>
      <c r="N198" s="74">
        <f t="shared" si="1"/>
        <v>116.0590454</v>
      </c>
      <c r="O198" s="74" t="b">
        <v>1</v>
      </c>
    </row>
    <row r="199" hidden="1">
      <c r="A199" s="82"/>
      <c r="B199" s="65" t="s">
        <v>146</v>
      </c>
      <c r="C199" s="65" t="s">
        <v>117</v>
      </c>
      <c r="D199" s="65" t="str">
        <f>vlookup(C199,'Classificação p pessoal'!F:G,2,false)</f>
        <v>NP</v>
      </c>
      <c r="E199" s="65" t="s">
        <v>148</v>
      </c>
      <c r="F199" s="83">
        <v>0.3541666666666667</v>
      </c>
      <c r="G199" s="83">
        <v>0.3958333333333333</v>
      </c>
      <c r="H199" s="83">
        <v>0.041666666666666664</v>
      </c>
      <c r="I199" s="84">
        <v>44424.0</v>
      </c>
      <c r="J199" s="65" t="b">
        <v>1</v>
      </c>
      <c r="K199" s="65"/>
      <c r="L199" s="85" t="b">
        <f>IF(VLOOKUP(C199,Projetos!A:L,12,false)=TRUE,TRUE,FALSE)</f>
        <v>1</v>
      </c>
      <c r="M199" s="74">
        <v>33.15972725468975</v>
      </c>
      <c r="N199" s="74">
        <f t="shared" si="1"/>
        <v>33.15972725</v>
      </c>
      <c r="O199" s="74" t="b">
        <v>1</v>
      </c>
    </row>
    <row r="200" hidden="1">
      <c r="A200" s="82"/>
      <c r="B200" s="65" t="s">
        <v>146</v>
      </c>
      <c r="C200" s="65" t="s">
        <v>127</v>
      </c>
      <c r="D200" s="65" t="str">
        <f>vlookup(C200,'Classificação p pessoal'!F:G,2,false)</f>
        <v>NP</v>
      </c>
      <c r="E200" s="65" t="s">
        <v>148</v>
      </c>
      <c r="F200" s="83">
        <v>0.3958333333333333</v>
      </c>
      <c r="G200" s="83">
        <v>0.4583333333333333</v>
      </c>
      <c r="H200" s="83">
        <v>0.0625</v>
      </c>
      <c r="I200" s="84">
        <v>44424.0</v>
      </c>
      <c r="J200" s="65" t="b">
        <v>1</v>
      </c>
      <c r="K200" s="65"/>
      <c r="L200" s="85" t="b">
        <f>IF(VLOOKUP(C200,Projetos!A:L,12,false)=TRUE,TRUE,FALSE)</f>
        <v>1</v>
      </c>
      <c r="M200" s="74">
        <v>33.15972725468975</v>
      </c>
      <c r="N200" s="74">
        <f t="shared" si="1"/>
        <v>49.73959088</v>
      </c>
      <c r="O200" s="74" t="b">
        <v>1</v>
      </c>
    </row>
    <row r="201" hidden="1">
      <c r="A201" s="82"/>
      <c r="B201" s="65" t="s">
        <v>146</v>
      </c>
      <c r="C201" s="65" t="s">
        <v>117</v>
      </c>
      <c r="D201" s="65" t="str">
        <f>vlookup(C201,'Classificação p pessoal'!F:G,2,false)</f>
        <v>NP</v>
      </c>
      <c r="E201" s="65" t="s">
        <v>148</v>
      </c>
      <c r="F201" s="83">
        <v>0.5416666666666666</v>
      </c>
      <c r="G201" s="83">
        <v>0.75</v>
      </c>
      <c r="H201" s="83">
        <v>0.20833333333333334</v>
      </c>
      <c r="I201" s="84">
        <v>44424.0</v>
      </c>
      <c r="J201" s="65" t="b">
        <v>1</v>
      </c>
      <c r="K201" s="65"/>
      <c r="L201" s="85" t="b">
        <f>IF(VLOOKUP(C201,Projetos!A:L,12,false)=TRUE,TRUE,FALSE)</f>
        <v>1</v>
      </c>
      <c r="M201" s="74">
        <v>33.15972725468975</v>
      </c>
      <c r="N201" s="74">
        <f t="shared" si="1"/>
        <v>165.7986363</v>
      </c>
      <c r="O201" s="74" t="b">
        <v>1</v>
      </c>
    </row>
    <row r="202" hidden="1">
      <c r="A202" s="82"/>
      <c r="B202" s="65" t="s">
        <v>146</v>
      </c>
      <c r="C202" s="65" t="s">
        <v>121</v>
      </c>
      <c r="D202" s="65" t="str">
        <f>vlookup(C202,'Classificação p pessoal'!F:G,2,false)</f>
        <v>NP</v>
      </c>
      <c r="E202" s="65" t="s">
        <v>148</v>
      </c>
      <c r="F202" s="83">
        <v>0.3541666666666667</v>
      </c>
      <c r="G202" s="83">
        <v>0.3958333333333333</v>
      </c>
      <c r="H202" s="83">
        <v>0.041666666666666664</v>
      </c>
      <c r="I202" s="84">
        <v>44425.0</v>
      </c>
      <c r="J202" s="65" t="b">
        <v>1</v>
      </c>
      <c r="K202" s="65"/>
      <c r="L202" s="85" t="b">
        <f>IF(VLOOKUP(C202,Projetos!A:L,12,false)=TRUE,TRUE,FALSE)</f>
        <v>1</v>
      </c>
      <c r="M202" s="74">
        <v>33.15972725468975</v>
      </c>
      <c r="N202" s="74">
        <f t="shared" si="1"/>
        <v>33.15972725</v>
      </c>
      <c r="O202" s="74" t="b">
        <v>1</v>
      </c>
    </row>
    <row r="203" hidden="1">
      <c r="A203" s="82"/>
      <c r="B203" s="65" t="s">
        <v>146</v>
      </c>
      <c r="C203" s="65" t="s">
        <v>117</v>
      </c>
      <c r="D203" s="65" t="str">
        <f>vlookup(C203,'Classificação p pessoal'!F:G,2,false)</f>
        <v>NP</v>
      </c>
      <c r="E203" s="65" t="s">
        <v>148</v>
      </c>
      <c r="F203" s="83">
        <v>0.5833333333333334</v>
      </c>
      <c r="G203" s="83">
        <v>0.75</v>
      </c>
      <c r="H203" s="83">
        <v>0.16666666666666666</v>
      </c>
      <c r="I203" s="84">
        <v>44426.0</v>
      </c>
      <c r="J203" s="65" t="b">
        <v>1</v>
      </c>
      <c r="K203" s="65"/>
      <c r="L203" s="85" t="b">
        <f>IF(VLOOKUP(C203,Projetos!A:L,12,false)=TRUE,TRUE,FALSE)</f>
        <v>1</v>
      </c>
      <c r="M203" s="74">
        <v>33.15972725468975</v>
      </c>
      <c r="N203" s="74">
        <f t="shared" si="1"/>
        <v>132.638909</v>
      </c>
      <c r="O203" s="74" t="b">
        <v>1</v>
      </c>
    </row>
    <row r="204" hidden="1">
      <c r="A204" s="82"/>
      <c r="B204" s="65" t="s">
        <v>146</v>
      </c>
      <c r="C204" s="65" t="s">
        <v>87</v>
      </c>
      <c r="D204" s="65" t="str">
        <f>vlookup(C204,'Classificação p pessoal'!F:G,2,false)</f>
        <v>MProduto</v>
      </c>
      <c r="E204" s="65" t="s">
        <v>157</v>
      </c>
      <c r="F204" s="83">
        <v>0.4375</v>
      </c>
      <c r="G204" s="83">
        <v>0.5</v>
      </c>
      <c r="H204" s="83">
        <v>0.0625</v>
      </c>
      <c r="I204" s="84">
        <v>44426.0</v>
      </c>
      <c r="J204" s="65" t="b">
        <v>1</v>
      </c>
      <c r="K204" s="65"/>
      <c r="L204" s="85" t="b">
        <f>IF(VLOOKUP(C204,Projetos!A:L,12,false)=TRUE,TRUE,FALSE)</f>
        <v>1</v>
      </c>
      <c r="M204" s="74">
        <v>33.15972725468975</v>
      </c>
      <c r="N204" s="74">
        <f t="shared" si="1"/>
        <v>49.73959088</v>
      </c>
      <c r="O204" s="74" t="b">
        <v>1</v>
      </c>
    </row>
    <row r="205" hidden="1">
      <c r="A205" s="82"/>
      <c r="B205" s="65" t="s">
        <v>146</v>
      </c>
      <c r="C205" s="65" t="s">
        <v>117</v>
      </c>
      <c r="D205" s="65" t="str">
        <f>vlookup(C205,'Classificação p pessoal'!F:G,2,false)</f>
        <v>NP</v>
      </c>
      <c r="E205" s="65" t="s">
        <v>148</v>
      </c>
      <c r="F205" s="83">
        <v>0.5833333333333334</v>
      </c>
      <c r="G205" s="83">
        <v>0.75</v>
      </c>
      <c r="H205" s="83">
        <v>0.16666666666666666</v>
      </c>
      <c r="I205" s="84">
        <v>44427.0</v>
      </c>
      <c r="J205" s="65" t="b">
        <v>1</v>
      </c>
      <c r="K205" s="65"/>
      <c r="L205" s="85" t="b">
        <f>IF(VLOOKUP(C205,Projetos!A:L,12,false)=TRUE,TRUE,FALSE)</f>
        <v>1</v>
      </c>
      <c r="M205" s="74">
        <v>33.15972725468975</v>
      </c>
      <c r="N205" s="74">
        <f t="shared" si="1"/>
        <v>132.638909</v>
      </c>
      <c r="O205" s="74" t="b">
        <v>1</v>
      </c>
    </row>
    <row r="206" hidden="1">
      <c r="A206" s="82"/>
      <c r="B206" s="65" t="s">
        <v>146</v>
      </c>
      <c r="C206" s="65" t="s">
        <v>117</v>
      </c>
      <c r="D206" s="65" t="str">
        <f>vlookup(C206,'Classificação p pessoal'!F:G,2,false)</f>
        <v>NP</v>
      </c>
      <c r="E206" s="65" t="s">
        <v>148</v>
      </c>
      <c r="F206" s="83">
        <v>0.5833333333333334</v>
      </c>
      <c r="G206" s="83">
        <v>0.6666666666666666</v>
      </c>
      <c r="H206" s="83">
        <v>0.08333333333333333</v>
      </c>
      <c r="I206" s="84">
        <v>44428.0</v>
      </c>
      <c r="J206" s="65" t="b">
        <v>1</v>
      </c>
      <c r="K206" s="65"/>
      <c r="L206" s="85" t="b">
        <f>IF(VLOOKUP(C206,Projetos!A:L,12,false)=TRUE,TRUE,FALSE)</f>
        <v>1</v>
      </c>
      <c r="M206" s="74">
        <v>33.15972725468975</v>
      </c>
      <c r="N206" s="74">
        <f t="shared" si="1"/>
        <v>66.31945451</v>
      </c>
      <c r="O206" s="74" t="b">
        <v>1</v>
      </c>
    </row>
    <row r="207" hidden="1">
      <c r="A207" s="82"/>
      <c r="B207" s="65" t="s">
        <v>146</v>
      </c>
      <c r="C207" s="65" t="s">
        <v>87</v>
      </c>
      <c r="D207" s="65" t="str">
        <f>vlookup(C207,'Classificação p pessoal'!F:G,2,false)</f>
        <v>MProduto</v>
      </c>
      <c r="E207" s="65" t="s">
        <v>157</v>
      </c>
      <c r="F207" s="83">
        <v>0.7083333333333334</v>
      </c>
      <c r="G207" s="83">
        <v>0.75</v>
      </c>
      <c r="H207" s="83">
        <v>0.041666666666666664</v>
      </c>
      <c r="I207" s="84">
        <v>44428.0</v>
      </c>
      <c r="J207" s="65" t="b">
        <v>1</v>
      </c>
      <c r="K207" s="65"/>
      <c r="L207" s="85" t="b">
        <f>IF(VLOOKUP(C207,Projetos!A:L,12,false)=TRUE,TRUE,FALSE)</f>
        <v>1</v>
      </c>
      <c r="M207" s="74">
        <v>33.15972725468975</v>
      </c>
      <c r="N207" s="74">
        <f t="shared" si="1"/>
        <v>33.15972725</v>
      </c>
      <c r="O207" s="74" t="b">
        <v>1</v>
      </c>
    </row>
    <row r="208" hidden="1">
      <c r="A208" s="82"/>
      <c r="B208" s="65" t="s">
        <v>146</v>
      </c>
      <c r="C208" s="65" t="s">
        <v>117</v>
      </c>
      <c r="D208" s="65" t="str">
        <f>vlookup(C208,'Classificação p pessoal'!F:G,2,false)</f>
        <v>NP</v>
      </c>
      <c r="E208" s="65" t="s">
        <v>148</v>
      </c>
      <c r="F208" s="83">
        <v>0.375</v>
      </c>
      <c r="G208" s="83">
        <v>0.4583333333333333</v>
      </c>
      <c r="H208" s="83">
        <v>0.08333333333333333</v>
      </c>
      <c r="I208" s="84">
        <v>44431.0</v>
      </c>
      <c r="J208" s="65" t="b">
        <v>1</v>
      </c>
      <c r="K208" s="65"/>
      <c r="L208" s="85" t="b">
        <f>IF(VLOOKUP(C208,Projetos!A:L,12,false)=TRUE,TRUE,FALSE)</f>
        <v>1</v>
      </c>
      <c r="M208" s="74">
        <v>33.15972725468975</v>
      </c>
      <c r="N208" s="74">
        <f t="shared" si="1"/>
        <v>66.31945451</v>
      </c>
      <c r="O208" s="74" t="b">
        <v>1</v>
      </c>
    </row>
    <row r="209" hidden="1">
      <c r="A209" s="82"/>
      <c r="B209" s="65" t="s">
        <v>146</v>
      </c>
      <c r="C209" s="65" t="s">
        <v>117</v>
      </c>
      <c r="D209" s="65" t="str">
        <f>vlookup(C209,'Classificação p pessoal'!F:G,2,false)</f>
        <v>NP</v>
      </c>
      <c r="E209" s="65" t="s">
        <v>148</v>
      </c>
      <c r="F209" s="83">
        <v>0.5833333333333334</v>
      </c>
      <c r="G209" s="83">
        <v>0.75</v>
      </c>
      <c r="H209" s="83">
        <v>0.16666666666666666</v>
      </c>
      <c r="I209" s="84">
        <v>44431.0</v>
      </c>
      <c r="J209" s="65" t="b">
        <v>1</v>
      </c>
      <c r="K209" s="65"/>
      <c r="L209" s="85" t="b">
        <f>IF(VLOOKUP(C209,Projetos!A:L,12,false)=TRUE,TRUE,FALSE)</f>
        <v>1</v>
      </c>
      <c r="M209" s="74">
        <v>33.15972725468975</v>
      </c>
      <c r="N209" s="74">
        <f t="shared" si="1"/>
        <v>132.638909</v>
      </c>
      <c r="O209" s="74" t="b">
        <v>1</v>
      </c>
    </row>
    <row r="210" hidden="1">
      <c r="A210" s="82"/>
      <c r="B210" s="65" t="s">
        <v>146</v>
      </c>
      <c r="C210" s="65" t="s">
        <v>117</v>
      </c>
      <c r="D210" s="65" t="str">
        <f>vlookup(C210,'Classificação p pessoal'!F:G,2,false)</f>
        <v>NP</v>
      </c>
      <c r="E210" s="65" t="s">
        <v>148</v>
      </c>
      <c r="F210" s="83">
        <v>0.375</v>
      </c>
      <c r="G210" s="83">
        <v>0.5</v>
      </c>
      <c r="H210" s="83">
        <v>0.125</v>
      </c>
      <c r="I210" s="84">
        <v>44432.0</v>
      </c>
      <c r="J210" s="65" t="b">
        <v>1</v>
      </c>
      <c r="K210" s="65"/>
      <c r="L210" s="85" t="b">
        <f>IF(VLOOKUP(C210,Projetos!A:L,12,false)=TRUE,TRUE,FALSE)</f>
        <v>1</v>
      </c>
      <c r="M210" s="74">
        <v>33.15972725468975</v>
      </c>
      <c r="N210" s="74">
        <f t="shared" si="1"/>
        <v>99.47918176</v>
      </c>
      <c r="O210" s="74" t="b">
        <v>1</v>
      </c>
    </row>
    <row r="211" hidden="1">
      <c r="A211" s="82"/>
      <c r="B211" s="65" t="s">
        <v>146</v>
      </c>
      <c r="C211" s="65" t="s">
        <v>117</v>
      </c>
      <c r="D211" s="65" t="str">
        <f>vlookup(C211,'Classificação p pessoal'!F:G,2,false)</f>
        <v>NP</v>
      </c>
      <c r="E211" s="65" t="s">
        <v>148</v>
      </c>
      <c r="F211" s="83">
        <v>0.6666666666666666</v>
      </c>
      <c r="G211" s="83">
        <v>0.75</v>
      </c>
      <c r="H211" s="83">
        <v>0.08333333333333333</v>
      </c>
      <c r="I211" s="84">
        <v>44432.0</v>
      </c>
      <c r="J211" s="65" t="b">
        <v>1</v>
      </c>
      <c r="K211" s="65"/>
      <c r="L211" s="85" t="b">
        <f>IF(VLOOKUP(C211,Projetos!A:L,12,false)=TRUE,TRUE,FALSE)</f>
        <v>1</v>
      </c>
      <c r="M211" s="74">
        <v>33.15972725468975</v>
      </c>
      <c r="N211" s="74">
        <f t="shared" si="1"/>
        <v>66.31945451</v>
      </c>
      <c r="O211" s="74" t="b">
        <v>1</v>
      </c>
    </row>
    <row r="212" hidden="1">
      <c r="A212" s="82"/>
      <c r="B212" s="65" t="s">
        <v>146</v>
      </c>
      <c r="C212" s="65" t="s">
        <v>117</v>
      </c>
      <c r="D212" s="65" t="str">
        <f>vlookup(C212,'Classificação p pessoal'!F:G,2,false)</f>
        <v>NP</v>
      </c>
      <c r="E212" s="65" t="s">
        <v>148</v>
      </c>
      <c r="F212" s="83">
        <v>0.3541666666666667</v>
      </c>
      <c r="G212" s="83">
        <v>0.5208333333333334</v>
      </c>
      <c r="H212" s="83">
        <v>0.16666666666666666</v>
      </c>
      <c r="I212" s="84">
        <v>44433.0</v>
      </c>
      <c r="J212" s="65" t="b">
        <v>1</v>
      </c>
      <c r="K212" s="65"/>
      <c r="L212" s="85" t="b">
        <f>IF(VLOOKUP(C212,Projetos!A:L,12,false)=TRUE,TRUE,FALSE)</f>
        <v>1</v>
      </c>
      <c r="M212" s="74">
        <v>33.15972725468975</v>
      </c>
      <c r="N212" s="74">
        <f t="shared" si="1"/>
        <v>132.638909</v>
      </c>
      <c r="O212" s="74" t="b">
        <v>1</v>
      </c>
    </row>
    <row r="213" hidden="1">
      <c r="A213" s="82"/>
      <c r="B213" s="65" t="s">
        <v>146</v>
      </c>
      <c r="C213" s="65" t="s">
        <v>117</v>
      </c>
      <c r="D213" s="65" t="str">
        <f>vlookup(C213,'Classificação p pessoal'!F:G,2,false)</f>
        <v>NP</v>
      </c>
      <c r="E213" s="65" t="s">
        <v>148</v>
      </c>
      <c r="F213" s="83">
        <v>0.3541666666666667</v>
      </c>
      <c r="G213" s="83">
        <v>0.4583333333333333</v>
      </c>
      <c r="H213" s="83">
        <v>0.10416666666666667</v>
      </c>
      <c r="I213" s="84">
        <v>44434.0</v>
      </c>
      <c r="J213" s="65" t="b">
        <v>1</v>
      </c>
      <c r="K213" s="65"/>
      <c r="L213" s="85" t="b">
        <f>IF(VLOOKUP(C213,Projetos!A:L,12,false)=TRUE,TRUE,FALSE)</f>
        <v>1</v>
      </c>
      <c r="M213" s="74">
        <v>33.15972725468975</v>
      </c>
      <c r="N213" s="74">
        <f t="shared" si="1"/>
        <v>82.89931814</v>
      </c>
      <c r="O213" s="74" t="b">
        <v>1</v>
      </c>
    </row>
    <row r="214" hidden="1">
      <c r="A214" s="82"/>
      <c r="B214" s="65" t="s">
        <v>146</v>
      </c>
      <c r="C214" s="65" t="s">
        <v>117</v>
      </c>
      <c r="D214" s="65" t="str">
        <f>vlookup(C214,'Classificação p pessoal'!F:G,2,false)</f>
        <v>NP</v>
      </c>
      <c r="E214" s="65" t="s">
        <v>148</v>
      </c>
      <c r="F214" s="83">
        <v>0.5833333333333334</v>
      </c>
      <c r="G214" s="83">
        <v>0.75</v>
      </c>
      <c r="H214" s="83">
        <v>0.16666666666666666</v>
      </c>
      <c r="I214" s="84">
        <v>44435.0</v>
      </c>
      <c r="J214" s="65" t="b">
        <v>1</v>
      </c>
      <c r="K214" s="65"/>
      <c r="L214" s="85" t="b">
        <f>IF(VLOOKUP(C214,Projetos!A:L,12,false)=TRUE,TRUE,FALSE)</f>
        <v>1</v>
      </c>
      <c r="M214" s="74">
        <v>33.15972725468975</v>
      </c>
      <c r="N214" s="74">
        <f t="shared" si="1"/>
        <v>132.638909</v>
      </c>
      <c r="O214" s="74" t="b">
        <v>1</v>
      </c>
    </row>
    <row r="215" hidden="1">
      <c r="A215" s="82"/>
      <c r="B215" s="65" t="s">
        <v>146</v>
      </c>
      <c r="C215" s="65" t="s">
        <v>117</v>
      </c>
      <c r="D215" s="65" t="str">
        <f>vlookup(C215,'Classificação p pessoal'!F:G,2,false)</f>
        <v>NP</v>
      </c>
      <c r="E215" s="65" t="s">
        <v>148</v>
      </c>
      <c r="F215" s="83">
        <v>0.3541666666666667</v>
      </c>
      <c r="G215" s="83">
        <v>0.5416666666666666</v>
      </c>
      <c r="H215" s="83">
        <v>0.1875</v>
      </c>
      <c r="I215" s="84">
        <v>44438.0</v>
      </c>
      <c r="J215" s="65" t="b">
        <v>1</v>
      </c>
      <c r="K215" s="65"/>
      <c r="L215" s="85" t="b">
        <f>IF(VLOOKUP(C215,Projetos!A:L,12,false)=TRUE,TRUE,FALSE)</f>
        <v>1</v>
      </c>
      <c r="M215" s="74">
        <v>33.15972725468975</v>
      </c>
      <c r="N215" s="74">
        <f t="shared" si="1"/>
        <v>149.2187726</v>
      </c>
      <c r="O215" s="74" t="b">
        <v>1</v>
      </c>
    </row>
    <row r="216" hidden="1">
      <c r="A216" s="82"/>
      <c r="B216" s="65" t="s">
        <v>146</v>
      </c>
      <c r="C216" s="65" t="s">
        <v>117</v>
      </c>
      <c r="D216" s="65" t="str">
        <f>vlookup(C216,'Classificação p pessoal'!F:G,2,false)</f>
        <v>NP</v>
      </c>
      <c r="E216" s="65" t="s">
        <v>148</v>
      </c>
      <c r="F216" s="83">
        <v>0.5833333333333334</v>
      </c>
      <c r="G216" s="83">
        <v>0.75</v>
      </c>
      <c r="H216" s="83">
        <v>0.16666666666666666</v>
      </c>
      <c r="I216" s="84">
        <v>44439.0</v>
      </c>
      <c r="J216" s="65" t="b">
        <v>1</v>
      </c>
      <c r="K216" s="65"/>
      <c r="L216" s="85" t="b">
        <f>IF(VLOOKUP(C216,Projetos!A:L,12,false)=TRUE,TRUE,FALSE)</f>
        <v>1</v>
      </c>
      <c r="M216" s="74">
        <v>33.15972725468975</v>
      </c>
      <c r="N216" s="74">
        <f t="shared" si="1"/>
        <v>132.638909</v>
      </c>
      <c r="O216" s="74" t="b">
        <v>1</v>
      </c>
    </row>
    <row r="217" hidden="1">
      <c r="A217" s="82"/>
      <c r="B217" s="65" t="s">
        <v>146</v>
      </c>
      <c r="C217" s="65" t="s">
        <v>89</v>
      </c>
      <c r="D217" s="65" t="str">
        <f>vlookup(C217,'Classificação p pessoal'!F:G,2,false)</f>
        <v>NP</v>
      </c>
      <c r="E217" s="65" t="s">
        <v>159</v>
      </c>
      <c r="F217" s="83">
        <v>0.3541666666666667</v>
      </c>
      <c r="G217" s="83">
        <v>0.4375</v>
      </c>
      <c r="H217" s="83">
        <v>0.08333333333333333</v>
      </c>
      <c r="I217" s="84">
        <v>44435.0</v>
      </c>
      <c r="J217" s="65" t="b">
        <v>1</v>
      </c>
      <c r="K217" s="65"/>
      <c r="L217" s="85" t="b">
        <f>IF(VLOOKUP(C217,Projetos!A:L,12,false)=TRUE,TRUE,FALSE)</f>
        <v>1</v>
      </c>
      <c r="M217" s="74">
        <v>33.15972725468975</v>
      </c>
      <c r="N217" s="74">
        <f t="shared" si="1"/>
        <v>66.31945451</v>
      </c>
      <c r="O217" s="74" t="b">
        <v>1</v>
      </c>
    </row>
    <row r="218" hidden="1">
      <c r="A218" s="82"/>
      <c r="B218" s="65" t="s">
        <v>146</v>
      </c>
      <c r="C218" s="65" t="s">
        <v>117</v>
      </c>
      <c r="D218" s="65" t="str">
        <f>vlookup(C218,'Classificação p pessoal'!F:G,2,false)</f>
        <v>NP</v>
      </c>
      <c r="E218" s="65" t="s">
        <v>148</v>
      </c>
      <c r="F218" s="83">
        <v>0.3541666666666667</v>
      </c>
      <c r="G218" s="83">
        <v>0.5416666666666666</v>
      </c>
      <c r="H218" s="83">
        <v>0.1875</v>
      </c>
      <c r="I218" s="84">
        <v>44440.0</v>
      </c>
      <c r="J218" s="65" t="b">
        <v>1</v>
      </c>
      <c r="K218" s="65"/>
      <c r="L218" s="85" t="b">
        <f>IF(VLOOKUP(C218,Projetos!A:L,12,false)=TRUE,TRUE,FALSE)</f>
        <v>1</v>
      </c>
      <c r="M218" s="74">
        <v>33.15972725468975</v>
      </c>
      <c r="N218" s="74">
        <f t="shared" si="1"/>
        <v>149.2187726</v>
      </c>
      <c r="O218" s="74" t="b">
        <v>1</v>
      </c>
    </row>
    <row r="219" hidden="1">
      <c r="A219" s="82"/>
      <c r="B219" s="65" t="s">
        <v>146</v>
      </c>
      <c r="C219" s="65" t="s">
        <v>89</v>
      </c>
      <c r="D219" s="65" t="str">
        <f>vlookup(C219,'Classificação p pessoal'!F:G,2,false)</f>
        <v>NP</v>
      </c>
      <c r="E219" s="65" t="s">
        <v>159</v>
      </c>
      <c r="F219" s="83">
        <v>0.625</v>
      </c>
      <c r="G219" s="83">
        <v>0.6666666666666666</v>
      </c>
      <c r="H219" s="83">
        <v>0.041666666666666664</v>
      </c>
      <c r="I219" s="84">
        <v>44440.0</v>
      </c>
      <c r="J219" s="65" t="b">
        <v>1</v>
      </c>
      <c r="K219" s="65"/>
      <c r="L219" s="85" t="b">
        <f>IF(VLOOKUP(C219,Projetos!A:L,12,false)=TRUE,TRUE,FALSE)</f>
        <v>1</v>
      </c>
      <c r="M219" s="74">
        <v>33.15972725468975</v>
      </c>
      <c r="N219" s="74">
        <f t="shared" si="1"/>
        <v>33.15972725</v>
      </c>
      <c r="O219" s="74" t="b">
        <v>1</v>
      </c>
    </row>
    <row r="220" hidden="1">
      <c r="A220" s="82"/>
      <c r="B220" s="65" t="s">
        <v>146</v>
      </c>
      <c r="C220" s="65" t="s">
        <v>117</v>
      </c>
      <c r="D220" s="65" t="str">
        <f>vlookup(C220,'Classificação p pessoal'!F:G,2,false)</f>
        <v>NP</v>
      </c>
      <c r="E220" s="65" t="s">
        <v>148</v>
      </c>
      <c r="F220" s="83">
        <v>0.5833333333333334</v>
      </c>
      <c r="G220" s="83">
        <v>0.75</v>
      </c>
      <c r="H220" s="83">
        <v>0.16666666666666666</v>
      </c>
      <c r="I220" s="84">
        <v>44441.0</v>
      </c>
      <c r="J220" s="65" t="b">
        <v>1</v>
      </c>
      <c r="K220" s="65"/>
      <c r="L220" s="85" t="b">
        <f>IF(VLOOKUP(C220,Projetos!A:L,12,false)=TRUE,TRUE,FALSE)</f>
        <v>1</v>
      </c>
      <c r="M220" s="74">
        <v>33.15972725468975</v>
      </c>
      <c r="N220" s="74">
        <f t="shared" si="1"/>
        <v>132.638909</v>
      </c>
      <c r="O220" s="74" t="b">
        <v>1</v>
      </c>
    </row>
    <row r="221" hidden="1">
      <c r="A221" s="82"/>
      <c r="B221" s="65" t="s">
        <v>146</v>
      </c>
      <c r="C221" s="65" t="s">
        <v>117</v>
      </c>
      <c r="D221" s="65" t="str">
        <f>vlookup(C221,'Classificação p pessoal'!F:G,2,false)</f>
        <v>NP</v>
      </c>
      <c r="E221" s="65" t="s">
        <v>148</v>
      </c>
      <c r="F221" s="83">
        <v>0.5416666666666666</v>
      </c>
      <c r="G221" s="83">
        <v>0.75</v>
      </c>
      <c r="H221" s="83">
        <v>0.20833333333333334</v>
      </c>
      <c r="I221" s="84">
        <v>44442.0</v>
      </c>
      <c r="J221" s="65" t="b">
        <v>1</v>
      </c>
      <c r="K221" s="65"/>
      <c r="L221" s="85" t="b">
        <f>IF(VLOOKUP(C221,Projetos!A:L,12,false)=TRUE,TRUE,FALSE)</f>
        <v>1</v>
      </c>
      <c r="M221" s="74">
        <v>33.15972725468975</v>
      </c>
      <c r="N221" s="74">
        <f t="shared" si="1"/>
        <v>165.7986363</v>
      </c>
      <c r="O221" s="74" t="b">
        <v>1</v>
      </c>
    </row>
    <row r="222" hidden="1">
      <c r="A222" s="82"/>
      <c r="B222" s="65" t="s">
        <v>146</v>
      </c>
      <c r="C222" s="65" t="s">
        <v>117</v>
      </c>
      <c r="D222" s="65" t="str">
        <f>vlookup(C222,'Classificação p pessoal'!F:G,2,false)</f>
        <v>NP</v>
      </c>
      <c r="E222" s="65" t="s">
        <v>148</v>
      </c>
      <c r="F222" s="83">
        <v>0.5416666666666666</v>
      </c>
      <c r="G222" s="83">
        <v>0.75</v>
      </c>
      <c r="H222" s="83">
        <v>0.20833333333333334</v>
      </c>
      <c r="I222" s="84">
        <v>44445.0</v>
      </c>
      <c r="J222" s="65" t="b">
        <v>1</v>
      </c>
      <c r="K222" s="65"/>
      <c r="L222" s="85" t="b">
        <f>IF(VLOOKUP(C222,Projetos!A:L,12,false)=TRUE,TRUE,FALSE)</f>
        <v>1</v>
      </c>
      <c r="M222" s="74">
        <v>33.15972725468975</v>
      </c>
      <c r="N222" s="74">
        <f t="shared" si="1"/>
        <v>165.7986363</v>
      </c>
      <c r="O222" s="74" t="b">
        <v>1</v>
      </c>
    </row>
    <row r="223" hidden="1">
      <c r="A223" s="82"/>
      <c r="B223" s="65" t="s">
        <v>146</v>
      </c>
      <c r="C223" s="65" t="s">
        <v>117</v>
      </c>
      <c r="D223" s="65" t="str">
        <f>vlookup(C223,'Classificação p pessoal'!F:G,2,false)</f>
        <v>NP</v>
      </c>
      <c r="E223" s="65" t="s">
        <v>148</v>
      </c>
      <c r="F223" s="83">
        <v>0.3541666666666667</v>
      </c>
      <c r="G223" s="83">
        <v>0.4375</v>
      </c>
      <c r="H223" s="83">
        <v>0.08333333333333333</v>
      </c>
      <c r="I223" s="84">
        <v>44448.0</v>
      </c>
      <c r="J223" s="65" t="b">
        <v>1</v>
      </c>
      <c r="K223" s="65"/>
      <c r="L223" s="85" t="b">
        <f>IF(VLOOKUP(C223,Projetos!A:L,12,false)=TRUE,TRUE,FALSE)</f>
        <v>1</v>
      </c>
      <c r="M223" s="74">
        <v>33.15972725468975</v>
      </c>
      <c r="N223" s="74">
        <f t="shared" si="1"/>
        <v>66.31945451</v>
      </c>
      <c r="O223" s="74" t="b">
        <v>1</v>
      </c>
    </row>
    <row r="224" hidden="1">
      <c r="A224" s="82"/>
      <c r="B224" s="65" t="s">
        <v>146</v>
      </c>
      <c r="C224" s="65" t="s">
        <v>117</v>
      </c>
      <c r="D224" s="65" t="str">
        <f>vlookup(C224,'Classificação p pessoal'!F:G,2,false)</f>
        <v>NP</v>
      </c>
      <c r="E224" s="65" t="s">
        <v>148</v>
      </c>
      <c r="F224" s="83">
        <v>0.3541666666666667</v>
      </c>
      <c r="G224" s="83">
        <v>0.5625</v>
      </c>
      <c r="H224" s="83">
        <v>0.20833333333333334</v>
      </c>
      <c r="I224" s="84">
        <v>44454.0</v>
      </c>
      <c r="J224" s="65" t="b">
        <v>1</v>
      </c>
      <c r="K224" s="65"/>
      <c r="L224" s="85" t="b">
        <f>IF(VLOOKUP(C224,Projetos!A:L,12,false)=TRUE,TRUE,FALSE)</f>
        <v>1</v>
      </c>
      <c r="M224" s="74">
        <v>33.15972725468975</v>
      </c>
      <c r="N224" s="74">
        <f t="shared" si="1"/>
        <v>165.7986363</v>
      </c>
      <c r="O224" s="74" t="b">
        <v>1</v>
      </c>
    </row>
    <row r="225" hidden="1">
      <c r="A225" s="82"/>
      <c r="B225" s="65" t="s">
        <v>146</v>
      </c>
      <c r="C225" s="65" t="s">
        <v>86</v>
      </c>
      <c r="D225" s="65" t="str">
        <f>vlookup(C225,'Classificação p pessoal'!F:G,2,false)</f>
        <v>NP</v>
      </c>
      <c r="E225" s="65" t="s">
        <v>160</v>
      </c>
      <c r="F225" s="83">
        <v>0.3541666666666667</v>
      </c>
      <c r="G225" s="83">
        <v>0.5625</v>
      </c>
      <c r="H225" s="83">
        <v>0.20833333333333334</v>
      </c>
      <c r="I225" s="84">
        <v>44455.0</v>
      </c>
      <c r="J225" s="65" t="b">
        <v>1</v>
      </c>
      <c r="K225" s="65"/>
      <c r="L225" s="85" t="b">
        <f>IF(VLOOKUP(C225,Projetos!A:L,12,false)=TRUE,TRUE,FALSE)</f>
        <v>1</v>
      </c>
      <c r="M225" s="74">
        <v>33.15972725468975</v>
      </c>
      <c r="N225" s="74">
        <f t="shared" si="1"/>
        <v>165.7986363</v>
      </c>
      <c r="O225" s="74" t="b">
        <v>1</v>
      </c>
    </row>
    <row r="226" hidden="1">
      <c r="A226" s="82"/>
      <c r="B226" s="65" t="s">
        <v>146</v>
      </c>
      <c r="C226" s="65" t="s">
        <v>89</v>
      </c>
      <c r="D226" s="65" t="str">
        <f>vlookup(C226,'Classificação p pessoal'!F:G,2,false)</f>
        <v>NP</v>
      </c>
      <c r="E226" s="65" t="s">
        <v>159</v>
      </c>
      <c r="F226" s="83">
        <v>0.6666666666666666</v>
      </c>
      <c r="G226" s="83">
        <v>0.7291666666666666</v>
      </c>
      <c r="H226" s="83">
        <v>0.0625</v>
      </c>
      <c r="I226" s="84">
        <v>44455.0</v>
      </c>
      <c r="J226" s="65" t="b">
        <v>1</v>
      </c>
      <c r="K226" s="65"/>
      <c r="L226" s="85" t="b">
        <f>IF(VLOOKUP(C226,Projetos!A:L,12,false)=TRUE,TRUE,FALSE)</f>
        <v>1</v>
      </c>
      <c r="M226" s="74">
        <v>33.15972725468975</v>
      </c>
      <c r="N226" s="74">
        <f t="shared" si="1"/>
        <v>49.73959088</v>
      </c>
      <c r="O226" s="74" t="b">
        <v>1</v>
      </c>
    </row>
    <row r="227" hidden="1">
      <c r="A227" s="82"/>
      <c r="B227" s="65" t="s">
        <v>146</v>
      </c>
      <c r="C227" s="65" t="s">
        <v>86</v>
      </c>
      <c r="D227" s="65" t="str">
        <f>vlookup(C227,'Classificação p pessoal'!F:G,2,false)</f>
        <v>NP</v>
      </c>
      <c r="E227" s="65" t="s">
        <v>160</v>
      </c>
      <c r="F227" s="83">
        <v>0.3541666666666667</v>
      </c>
      <c r="G227" s="83">
        <v>0.5416666666666666</v>
      </c>
      <c r="H227" s="83">
        <v>0.1875</v>
      </c>
      <c r="I227" s="84">
        <v>44456.0</v>
      </c>
      <c r="J227" s="65" t="b">
        <v>1</v>
      </c>
      <c r="K227" s="65"/>
      <c r="L227" s="85" t="b">
        <f>IF(VLOOKUP(C227,Projetos!A:L,12,false)=TRUE,TRUE,FALSE)</f>
        <v>1</v>
      </c>
      <c r="M227" s="74">
        <v>33.15972725468975</v>
      </c>
      <c r="N227" s="74">
        <f t="shared" si="1"/>
        <v>149.2187726</v>
      </c>
      <c r="O227" s="74" t="b">
        <v>1</v>
      </c>
    </row>
    <row r="228" hidden="1">
      <c r="A228" s="82"/>
      <c r="B228" s="65" t="s">
        <v>146</v>
      </c>
      <c r="C228" s="65" t="s">
        <v>117</v>
      </c>
      <c r="D228" s="65" t="str">
        <f>vlookup(C228,'Classificação p pessoal'!F:G,2,false)</f>
        <v>NP</v>
      </c>
      <c r="E228" s="65" t="s">
        <v>148</v>
      </c>
      <c r="F228" s="83">
        <v>0.5833333333333334</v>
      </c>
      <c r="G228" s="83">
        <v>0.6666666666666666</v>
      </c>
      <c r="H228" s="83">
        <v>0.08333333333333333</v>
      </c>
      <c r="I228" s="84">
        <v>44456.0</v>
      </c>
      <c r="J228" s="65" t="b">
        <v>1</v>
      </c>
      <c r="K228" s="65"/>
      <c r="L228" s="85" t="b">
        <f>IF(VLOOKUP(C228,Projetos!A:L,12,false)=TRUE,TRUE,FALSE)</f>
        <v>1</v>
      </c>
      <c r="M228" s="74">
        <v>33.15972725468975</v>
      </c>
      <c r="N228" s="74">
        <f t="shared" si="1"/>
        <v>66.31945451</v>
      </c>
      <c r="O228" s="74" t="b">
        <v>1</v>
      </c>
    </row>
    <row r="229" hidden="1">
      <c r="A229" s="82"/>
      <c r="B229" s="65" t="s">
        <v>146</v>
      </c>
      <c r="C229" s="65" t="s">
        <v>86</v>
      </c>
      <c r="D229" s="65" t="str">
        <f>vlookup(C229,'Classificação p pessoal'!F:G,2,false)</f>
        <v>NP</v>
      </c>
      <c r="E229" s="65" t="s">
        <v>160</v>
      </c>
      <c r="F229" s="83">
        <v>0.3541666666666667</v>
      </c>
      <c r="G229" s="83">
        <v>0.5625</v>
      </c>
      <c r="H229" s="83">
        <v>0.20833333333333334</v>
      </c>
      <c r="I229" s="84">
        <v>44459.0</v>
      </c>
      <c r="J229" s="65" t="b">
        <v>1</v>
      </c>
      <c r="K229" s="65"/>
      <c r="L229" s="85" t="b">
        <f>IF(VLOOKUP(C229,Projetos!A:L,12,false)=TRUE,TRUE,FALSE)</f>
        <v>1</v>
      </c>
      <c r="M229" s="74">
        <v>33.15972725468975</v>
      </c>
      <c r="N229" s="74">
        <f t="shared" si="1"/>
        <v>165.7986363</v>
      </c>
      <c r="O229" s="74" t="b">
        <v>1</v>
      </c>
    </row>
    <row r="230" hidden="1">
      <c r="A230" s="82"/>
      <c r="B230" s="65" t="s">
        <v>146</v>
      </c>
      <c r="C230" s="65" t="s">
        <v>86</v>
      </c>
      <c r="D230" s="65" t="str">
        <f>vlookup(C230,'Classificação p pessoal'!F:G,2,false)</f>
        <v>NP</v>
      </c>
      <c r="E230" s="65" t="s">
        <v>160</v>
      </c>
      <c r="F230" s="83">
        <v>0.5833333333333334</v>
      </c>
      <c r="G230" s="83">
        <v>0.75</v>
      </c>
      <c r="H230" s="83">
        <v>0.16666666666666666</v>
      </c>
      <c r="I230" s="84">
        <v>44460.0</v>
      </c>
      <c r="J230" s="65" t="b">
        <v>1</v>
      </c>
      <c r="K230" s="65"/>
      <c r="L230" s="85" t="b">
        <f>IF(VLOOKUP(C230,Projetos!A:L,12,false)=TRUE,TRUE,FALSE)</f>
        <v>1</v>
      </c>
      <c r="M230" s="74">
        <v>33.15972725468975</v>
      </c>
      <c r="N230" s="74">
        <f t="shared" si="1"/>
        <v>132.638909</v>
      </c>
      <c r="O230" s="74" t="b">
        <v>1</v>
      </c>
    </row>
    <row r="231" hidden="1">
      <c r="A231" s="82"/>
      <c r="B231" s="65" t="s">
        <v>146</v>
      </c>
      <c r="C231" s="65" t="s">
        <v>86</v>
      </c>
      <c r="D231" s="65" t="str">
        <f>vlookup(C231,'Classificação p pessoal'!F:G,2,false)</f>
        <v>NP</v>
      </c>
      <c r="E231" s="65" t="s">
        <v>160</v>
      </c>
      <c r="F231" s="83">
        <v>0.3541666666666667</v>
      </c>
      <c r="G231" s="83">
        <v>0.5416666666666666</v>
      </c>
      <c r="H231" s="83">
        <v>0.1875</v>
      </c>
      <c r="I231" s="84">
        <v>44461.0</v>
      </c>
      <c r="J231" s="65" t="b">
        <v>1</v>
      </c>
      <c r="K231" s="65"/>
      <c r="L231" s="85" t="b">
        <f>IF(VLOOKUP(C231,Projetos!A:L,12,false)=TRUE,TRUE,FALSE)</f>
        <v>1</v>
      </c>
      <c r="M231" s="74">
        <v>33.15972725468975</v>
      </c>
      <c r="N231" s="74">
        <f t="shared" si="1"/>
        <v>149.2187726</v>
      </c>
      <c r="O231" s="74" t="b">
        <v>1</v>
      </c>
    </row>
    <row r="232" hidden="1">
      <c r="A232" s="82"/>
      <c r="B232" s="65" t="s">
        <v>146</v>
      </c>
      <c r="C232" s="65" t="s">
        <v>89</v>
      </c>
      <c r="D232" s="65" t="str">
        <f>vlookup(C232,'Classificação p pessoal'!F:G,2,false)</f>
        <v>NP</v>
      </c>
      <c r="E232" s="65" t="s">
        <v>159</v>
      </c>
      <c r="F232" s="83">
        <v>0.625</v>
      </c>
      <c r="G232" s="83">
        <v>0.75</v>
      </c>
      <c r="H232" s="83">
        <v>0.125</v>
      </c>
      <c r="I232" s="84">
        <v>44461.0</v>
      </c>
      <c r="J232" s="65" t="b">
        <v>1</v>
      </c>
      <c r="K232" s="65"/>
      <c r="L232" s="85" t="b">
        <f>IF(VLOOKUP(C232,Projetos!A:L,12,false)=TRUE,TRUE,FALSE)</f>
        <v>1</v>
      </c>
      <c r="M232" s="74">
        <v>33.15972725468975</v>
      </c>
      <c r="N232" s="74">
        <f t="shared" si="1"/>
        <v>99.47918176</v>
      </c>
      <c r="O232" s="74" t="b">
        <v>1</v>
      </c>
    </row>
    <row r="233" hidden="1">
      <c r="A233" s="82"/>
      <c r="B233" s="65" t="s">
        <v>146</v>
      </c>
      <c r="C233" s="65" t="s">
        <v>89</v>
      </c>
      <c r="D233" s="65" t="str">
        <f>vlookup(C233,'Classificação p pessoal'!F:G,2,false)</f>
        <v>NP</v>
      </c>
      <c r="E233" s="65" t="s">
        <v>159</v>
      </c>
      <c r="F233" s="83">
        <v>0.3541666666666667</v>
      </c>
      <c r="G233" s="83">
        <v>0.5208333333333334</v>
      </c>
      <c r="H233" s="83">
        <v>0.16666666666666666</v>
      </c>
      <c r="I233" s="84">
        <v>44462.0</v>
      </c>
      <c r="J233" s="65" t="b">
        <v>1</v>
      </c>
      <c r="K233" s="65"/>
      <c r="L233" s="85" t="b">
        <f>IF(VLOOKUP(C233,Projetos!A:L,12,false)=TRUE,TRUE,FALSE)</f>
        <v>1</v>
      </c>
      <c r="M233" s="74">
        <v>33.15972725468975</v>
      </c>
      <c r="N233" s="74">
        <f t="shared" si="1"/>
        <v>132.638909</v>
      </c>
      <c r="O233" s="74" t="b">
        <v>1</v>
      </c>
    </row>
    <row r="234" hidden="1">
      <c r="A234" s="82"/>
      <c r="B234" s="65" t="s">
        <v>146</v>
      </c>
      <c r="C234" s="65" t="s">
        <v>117</v>
      </c>
      <c r="D234" s="65" t="str">
        <f>vlookup(C234,'Classificação p pessoal'!F:G,2,false)</f>
        <v>NP</v>
      </c>
      <c r="E234" s="65" t="s">
        <v>148</v>
      </c>
      <c r="F234" s="83">
        <v>0.5625</v>
      </c>
      <c r="G234" s="83">
        <v>0.75</v>
      </c>
      <c r="H234" s="83">
        <v>0.1875</v>
      </c>
      <c r="I234" s="84">
        <v>44462.0</v>
      </c>
      <c r="J234" s="65" t="b">
        <v>1</v>
      </c>
      <c r="K234" s="65"/>
      <c r="L234" s="85" t="b">
        <f>IF(VLOOKUP(C234,Projetos!A:L,12,false)=TRUE,TRUE,FALSE)</f>
        <v>1</v>
      </c>
      <c r="M234" s="74">
        <v>33.15972725468975</v>
      </c>
      <c r="N234" s="74">
        <f t="shared" si="1"/>
        <v>149.2187726</v>
      </c>
      <c r="O234" s="74" t="b">
        <v>1</v>
      </c>
    </row>
    <row r="235" hidden="1">
      <c r="A235" s="82"/>
      <c r="B235" s="65" t="s">
        <v>146</v>
      </c>
      <c r="C235" s="65" t="s">
        <v>117</v>
      </c>
      <c r="D235" s="65" t="str">
        <f>vlookup(C235,'Classificação p pessoal'!F:G,2,false)</f>
        <v>NP</v>
      </c>
      <c r="E235" s="65" t="s">
        <v>148</v>
      </c>
      <c r="F235" s="83">
        <v>0.375</v>
      </c>
      <c r="G235" s="83">
        <v>0.4375</v>
      </c>
      <c r="H235" s="83">
        <v>0.0625</v>
      </c>
      <c r="I235" s="84">
        <v>44463.0</v>
      </c>
      <c r="J235" s="65" t="b">
        <v>1</v>
      </c>
      <c r="K235" s="65"/>
      <c r="L235" s="85" t="b">
        <f>IF(VLOOKUP(C235,Projetos!A:L,12,false)=TRUE,TRUE,FALSE)</f>
        <v>1</v>
      </c>
      <c r="M235" s="74">
        <v>33.15972725468975</v>
      </c>
      <c r="N235" s="74">
        <f t="shared" si="1"/>
        <v>49.73959088</v>
      </c>
      <c r="O235" s="74" t="b">
        <v>1</v>
      </c>
    </row>
    <row r="236" hidden="1">
      <c r="A236" s="82"/>
      <c r="B236" s="65" t="s">
        <v>146</v>
      </c>
      <c r="C236" s="65" t="s">
        <v>86</v>
      </c>
      <c r="D236" s="65" t="str">
        <f>vlookup(C236,'Classificação p pessoal'!F:G,2,false)</f>
        <v>NP</v>
      </c>
      <c r="E236" s="65" t="s">
        <v>160</v>
      </c>
      <c r="F236" s="83">
        <v>0.4375</v>
      </c>
      <c r="G236" s="83">
        <v>0.5416666666666666</v>
      </c>
      <c r="H236" s="83">
        <v>0.10416666666666667</v>
      </c>
      <c r="I236" s="84">
        <v>44463.0</v>
      </c>
      <c r="J236" s="65" t="b">
        <v>1</v>
      </c>
      <c r="K236" s="65"/>
      <c r="L236" s="85" t="b">
        <f>IF(VLOOKUP(C236,Projetos!A:L,12,false)=TRUE,TRUE,FALSE)</f>
        <v>1</v>
      </c>
      <c r="M236" s="74">
        <v>33.15972725468975</v>
      </c>
      <c r="N236" s="74">
        <f t="shared" si="1"/>
        <v>82.89931814</v>
      </c>
      <c r="O236" s="74" t="b">
        <v>1</v>
      </c>
    </row>
    <row r="237" hidden="1">
      <c r="A237" s="82"/>
      <c r="B237" s="65" t="s">
        <v>146</v>
      </c>
      <c r="C237" s="65" t="s">
        <v>117</v>
      </c>
      <c r="D237" s="65" t="str">
        <f>vlookup(C237,'Classificação p pessoal'!F:G,2,false)</f>
        <v>NP</v>
      </c>
      <c r="E237" s="65" t="s">
        <v>148</v>
      </c>
      <c r="F237" s="83">
        <v>0.5833333333333334</v>
      </c>
      <c r="G237" s="83">
        <v>0.6666666666666666</v>
      </c>
      <c r="H237" s="83">
        <v>0.08333333333333333</v>
      </c>
      <c r="I237" s="84">
        <v>44463.0</v>
      </c>
      <c r="J237" s="65" t="b">
        <v>1</v>
      </c>
      <c r="K237" s="65"/>
      <c r="L237" s="85" t="b">
        <f>IF(VLOOKUP(C237,Projetos!A:L,12,false)=TRUE,TRUE,FALSE)</f>
        <v>1</v>
      </c>
      <c r="M237" s="74">
        <v>33.15972725468975</v>
      </c>
      <c r="N237" s="74">
        <f t="shared" si="1"/>
        <v>66.31945451</v>
      </c>
      <c r="O237" s="74" t="b">
        <v>1</v>
      </c>
    </row>
    <row r="238" hidden="1">
      <c r="A238" s="82"/>
      <c r="B238" s="65" t="s">
        <v>146</v>
      </c>
      <c r="C238" s="65" t="s">
        <v>86</v>
      </c>
      <c r="D238" s="65" t="str">
        <f>vlookup(C238,'Classificação p pessoal'!F:G,2,false)</f>
        <v>NP</v>
      </c>
      <c r="E238" s="65" t="s">
        <v>160</v>
      </c>
      <c r="F238" s="83">
        <v>0.5416666666666666</v>
      </c>
      <c r="G238" s="83">
        <v>0.75</v>
      </c>
      <c r="H238" s="83">
        <v>0.20833333333333334</v>
      </c>
      <c r="I238" s="84">
        <v>44466.0</v>
      </c>
      <c r="J238" s="65" t="b">
        <v>1</v>
      </c>
      <c r="K238" s="65"/>
      <c r="L238" s="85" t="b">
        <f>IF(VLOOKUP(C238,Projetos!A:L,12,false)=TRUE,TRUE,FALSE)</f>
        <v>1</v>
      </c>
      <c r="M238" s="74">
        <v>33.15972725468975</v>
      </c>
      <c r="N238" s="74">
        <f t="shared" si="1"/>
        <v>165.7986363</v>
      </c>
      <c r="O238" s="74" t="b">
        <v>1</v>
      </c>
    </row>
    <row r="239" hidden="1">
      <c r="A239" s="82"/>
      <c r="B239" s="65" t="s">
        <v>146</v>
      </c>
      <c r="C239" s="65" t="s">
        <v>86</v>
      </c>
      <c r="D239" s="65" t="str">
        <f>vlookup(C239,'Classificação p pessoal'!F:G,2,false)</f>
        <v>NP</v>
      </c>
      <c r="E239" s="65" t="s">
        <v>160</v>
      </c>
      <c r="F239" s="83">
        <v>0.3541666666666667</v>
      </c>
      <c r="G239" s="83">
        <v>0.5416666666666666</v>
      </c>
      <c r="H239" s="83">
        <v>0.1875</v>
      </c>
      <c r="I239" s="84">
        <v>44467.0</v>
      </c>
      <c r="J239" s="65" t="b">
        <v>1</v>
      </c>
      <c r="K239" s="65"/>
      <c r="L239" s="85" t="b">
        <f>IF(VLOOKUP(C239,Projetos!A:L,12,false)=TRUE,TRUE,FALSE)</f>
        <v>1</v>
      </c>
      <c r="M239" s="74">
        <v>33.15972725468975</v>
      </c>
      <c r="N239" s="74">
        <f t="shared" si="1"/>
        <v>149.2187726</v>
      </c>
      <c r="O239" s="74" t="b">
        <v>1</v>
      </c>
    </row>
    <row r="240" hidden="1">
      <c r="A240" s="82"/>
      <c r="B240" s="65" t="s">
        <v>146</v>
      </c>
      <c r="C240" s="65" t="s">
        <v>89</v>
      </c>
      <c r="D240" s="65" t="str">
        <f>vlookup(C240,'Classificação p pessoal'!F:G,2,false)</f>
        <v>NP</v>
      </c>
      <c r="E240" s="65" t="s">
        <v>159</v>
      </c>
      <c r="F240" s="83">
        <v>0.5833333333333334</v>
      </c>
      <c r="G240" s="83">
        <v>0.6666666666666666</v>
      </c>
      <c r="H240" s="83">
        <v>0.08333333333333333</v>
      </c>
      <c r="I240" s="84">
        <v>44467.0</v>
      </c>
      <c r="J240" s="65" t="b">
        <v>1</v>
      </c>
      <c r="K240" s="65"/>
      <c r="L240" s="85" t="b">
        <f>IF(VLOOKUP(C240,Projetos!A:L,12,false)=TRUE,TRUE,FALSE)</f>
        <v>1</v>
      </c>
      <c r="M240" s="74">
        <v>33.15972725468975</v>
      </c>
      <c r="N240" s="74">
        <f t="shared" si="1"/>
        <v>66.31945451</v>
      </c>
      <c r="O240" s="74" t="b">
        <v>1</v>
      </c>
    </row>
    <row r="241" hidden="1">
      <c r="A241" s="82"/>
      <c r="B241" s="65" t="s">
        <v>146</v>
      </c>
      <c r="C241" s="65" t="s">
        <v>88</v>
      </c>
      <c r="D241" s="65"/>
      <c r="E241" s="65" t="s">
        <v>161</v>
      </c>
      <c r="F241" s="83">
        <v>0.5416666666666666</v>
      </c>
      <c r="G241" s="83">
        <v>0.75</v>
      </c>
      <c r="H241" s="83">
        <v>0.20833333333333334</v>
      </c>
      <c r="I241" s="84">
        <v>44468.0</v>
      </c>
      <c r="J241" s="65" t="b">
        <v>0</v>
      </c>
      <c r="K241" s="65" t="s">
        <v>150</v>
      </c>
      <c r="L241" s="85" t="b">
        <f>IF(VLOOKUP(C241,Projetos!A:L,12,false)=TRUE,TRUE,FALSE)</f>
        <v>1</v>
      </c>
      <c r="M241" s="74">
        <v>33.15972725468975</v>
      </c>
      <c r="N241" s="74">
        <f t="shared" si="1"/>
        <v>0</v>
      </c>
      <c r="O241" s="74" t="b">
        <v>1</v>
      </c>
    </row>
    <row r="242" hidden="1">
      <c r="A242" s="82"/>
      <c r="B242" s="65" t="s">
        <v>146</v>
      </c>
      <c r="C242" s="65" t="s">
        <v>86</v>
      </c>
      <c r="D242" s="65" t="str">
        <f>vlookup(C242,'Classificação p pessoal'!F:G,2,false)</f>
        <v>NP</v>
      </c>
      <c r="E242" s="65" t="s">
        <v>160</v>
      </c>
      <c r="F242" s="83">
        <v>0.75</v>
      </c>
      <c r="G242" s="83">
        <v>0.8333333333333334</v>
      </c>
      <c r="H242" s="83">
        <v>0.08333333333333333</v>
      </c>
      <c r="I242" s="84">
        <v>44468.0</v>
      </c>
      <c r="J242" s="65" t="b">
        <v>1</v>
      </c>
      <c r="K242" s="65"/>
      <c r="L242" s="85" t="b">
        <f>IF(VLOOKUP(C242,Projetos!A:L,12,false)=TRUE,TRUE,FALSE)</f>
        <v>1</v>
      </c>
      <c r="M242" s="74">
        <v>33.15972725468975</v>
      </c>
      <c r="N242" s="74">
        <f t="shared" si="1"/>
        <v>66.31945451</v>
      </c>
      <c r="O242" s="74" t="b">
        <v>1</v>
      </c>
    </row>
    <row r="243" hidden="1">
      <c r="A243" s="82"/>
      <c r="B243" s="65" t="s">
        <v>146</v>
      </c>
      <c r="C243" s="65" t="s">
        <v>89</v>
      </c>
      <c r="D243" s="65" t="str">
        <f>vlookup(C243,'Classificação p pessoal'!F:G,2,false)</f>
        <v>NP</v>
      </c>
      <c r="E243" s="65" t="s">
        <v>159</v>
      </c>
      <c r="F243" s="83">
        <v>0.5416666666666666</v>
      </c>
      <c r="G243" s="83">
        <v>0.75</v>
      </c>
      <c r="H243" s="83">
        <v>0.20833333333333334</v>
      </c>
      <c r="I243" s="84">
        <v>44469.0</v>
      </c>
      <c r="J243" s="65" t="b">
        <v>1</v>
      </c>
      <c r="K243" s="65"/>
      <c r="L243" s="85" t="b">
        <f>IF(VLOOKUP(C243,Projetos!A:L,12,false)=TRUE,TRUE,FALSE)</f>
        <v>1</v>
      </c>
      <c r="M243" s="74">
        <v>33.15972725468975</v>
      </c>
      <c r="N243" s="74">
        <f t="shared" si="1"/>
        <v>165.7986363</v>
      </c>
      <c r="O243" s="74" t="b">
        <v>1</v>
      </c>
    </row>
    <row r="244" hidden="1">
      <c r="A244" s="82"/>
      <c r="B244" s="65" t="s">
        <v>146</v>
      </c>
      <c r="C244" s="65" t="s">
        <v>117</v>
      </c>
      <c r="D244" s="65" t="str">
        <f>vlookup(C244,'Classificação p pessoal'!F:G,2,false)</f>
        <v>NP</v>
      </c>
      <c r="E244" s="65" t="s">
        <v>148</v>
      </c>
      <c r="F244" s="83">
        <v>0.5833333333333334</v>
      </c>
      <c r="G244" s="83">
        <v>0.6666666666666666</v>
      </c>
      <c r="H244" s="83">
        <v>0.08333333333333333</v>
      </c>
      <c r="I244" s="84">
        <v>44470.0</v>
      </c>
      <c r="J244" s="65" t="b">
        <v>1</v>
      </c>
      <c r="K244" s="65"/>
      <c r="L244" s="85" t="b">
        <f>IF(VLOOKUP(C244,Projetos!A:L,12,false)=TRUE,TRUE,FALSE)</f>
        <v>1</v>
      </c>
      <c r="M244" s="74">
        <v>33.15972725468975</v>
      </c>
      <c r="N244" s="74">
        <f t="shared" si="1"/>
        <v>66.31945451</v>
      </c>
      <c r="O244" s="74" t="b">
        <v>1</v>
      </c>
    </row>
    <row r="245" hidden="1">
      <c r="A245" s="82"/>
      <c r="B245" s="65" t="s">
        <v>146</v>
      </c>
      <c r="C245" s="65" t="s">
        <v>86</v>
      </c>
      <c r="D245" s="65" t="str">
        <f>vlookup(C245,'Classificação p pessoal'!F:G,2,false)</f>
        <v>NP</v>
      </c>
      <c r="E245" s="65" t="s">
        <v>160</v>
      </c>
      <c r="F245" s="83">
        <v>0.3541666666666667</v>
      </c>
      <c r="G245" s="83">
        <v>0.5208333333333334</v>
      </c>
      <c r="H245" s="83">
        <v>0.16666666666666666</v>
      </c>
      <c r="I245" s="84">
        <v>44473.0</v>
      </c>
      <c r="J245" s="65" t="b">
        <v>1</v>
      </c>
      <c r="K245" s="65"/>
      <c r="L245" s="85" t="b">
        <f>IF(VLOOKUP(C245,Projetos!A:L,12,false)=TRUE,TRUE,FALSE)</f>
        <v>1</v>
      </c>
      <c r="M245" s="74">
        <v>33.15972725468975</v>
      </c>
      <c r="N245" s="74">
        <f t="shared" si="1"/>
        <v>132.638909</v>
      </c>
      <c r="O245" s="74" t="b">
        <v>1</v>
      </c>
    </row>
    <row r="246" hidden="1">
      <c r="A246" s="82"/>
      <c r="B246" s="65" t="s">
        <v>146</v>
      </c>
      <c r="C246" s="65" t="s">
        <v>117</v>
      </c>
      <c r="D246" s="65" t="str">
        <f>vlookup(C246,'Classificação p pessoal'!F:G,2,false)</f>
        <v>NP</v>
      </c>
      <c r="E246" s="65" t="s">
        <v>148</v>
      </c>
      <c r="F246" s="83">
        <v>0.6666666666666666</v>
      </c>
      <c r="G246" s="83">
        <v>0.75</v>
      </c>
      <c r="H246" s="83">
        <v>0.08333333333333333</v>
      </c>
      <c r="I246" s="84">
        <v>44473.0</v>
      </c>
      <c r="J246" s="65" t="b">
        <v>1</v>
      </c>
      <c r="K246" s="65"/>
      <c r="L246" s="85" t="b">
        <f>IF(VLOOKUP(C246,Projetos!A:L,12,false)=TRUE,TRUE,FALSE)</f>
        <v>1</v>
      </c>
      <c r="M246" s="74">
        <v>33.15972725468975</v>
      </c>
      <c r="N246" s="74">
        <f t="shared" si="1"/>
        <v>66.31945451</v>
      </c>
      <c r="O246" s="74" t="b">
        <v>1</v>
      </c>
    </row>
    <row r="247" hidden="1">
      <c r="A247" s="82"/>
      <c r="B247" s="65" t="s">
        <v>146</v>
      </c>
      <c r="C247" s="65" t="s">
        <v>86</v>
      </c>
      <c r="D247" s="65" t="str">
        <f>vlookup(C247,'Classificação p pessoal'!F:G,2,false)</f>
        <v>NP</v>
      </c>
      <c r="E247" s="65" t="s">
        <v>160</v>
      </c>
      <c r="F247" s="83">
        <v>0.3541666666666667</v>
      </c>
      <c r="G247" s="83">
        <v>0.5</v>
      </c>
      <c r="H247" s="83">
        <v>0.14583333333333334</v>
      </c>
      <c r="I247" s="84">
        <v>44474.0</v>
      </c>
      <c r="J247" s="65" t="b">
        <v>1</v>
      </c>
      <c r="K247" s="65"/>
      <c r="L247" s="85" t="b">
        <f>IF(VLOOKUP(C247,Projetos!A:L,12,false)=TRUE,TRUE,FALSE)</f>
        <v>1</v>
      </c>
      <c r="M247" s="74">
        <v>33.15972725468975</v>
      </c>
      <c r="N247" s="74">
        <f t="shared" si="1"/>
        <v>116.0590454</v>
      </c>
      <c r="O247" s="74" t="b">
        <v>1</v>
      </c>
    </row>
    <row r="248" hidden="1">
      <c r="A248" s="82"/>
      <c r="B248" s="65" t="s">
        <v>146</v>
      </c>
      <c r="C248" s="65" t="s">
        <v>117</v>
      </c>
      <c r="D248" s="65" t="str">
        <f>vlookup(C248,'Classificação p pessoal'!F:G,2,false)</f>
        <v>NP</v>
      </c>
      <c r="E248" s="65" t="s">
        <v>148</v>
      </c>
      <c r="F248" s="83">
        <v>0.5625</v>
      </c>
      <c r="G248" s="83">
        <v>0.6875</v>
      </c>
      <c r="H248" s="83">
        <v>0.125</v>
      </c>
      <c r="I248" s="84">
        <v>44474.0</v>
      </c>
      <c r="J248" s="65" t="b">
        <v>1</v>
      </c>
      <c r="K248" s="65"/>
      <c r="L248" s="85" t="b">
        <f>IF(VLOOKUP(C248,Projetos!A:L,12,false)=TRUE,TRUE,FALSE)</f>
        <v>1</v>
      </c>
      <c r="M248" s="74">
        <v>33.15972725468975</v>
      </c>
      <c r="N248" s="74">
        <f t="shared" si="1"/>
        <v>99.47918176</v>
      </c>
      <c r="O248" s="74" t="b">
        <v>1</v>
      </c>
    </row>
    <row r="249" hidden="1">
      <c r="A249" s="82"/>
      <c r="B249" s="65" t="s">
        <v>146</v>
      </c>
      <c r="C249" s="65" t="s">
        <v>117</v>
      </c>
      <c r="D249" s="65" t="str">
        <f>vlookup(C249,'Classificação p pessoal'!F:G,2,false)</f>
        <v>NP</v>
      </c>
      <c r="E249" s="65" t="s">
        <v>148</v>
      </c>
      <c r="F249" s="83">
        <v>0.3541666666666667</v>
      </c>
      <c r="G249" s="83">
        <v>0.4375</v>
      </c>
      <c r="H249" s="83">
        <v>0.08333333333333333</v>
      </c>
      <c r="I249" s="84">
        <v>44475.0</v>
      </c>
      <c r="J249" s="65" t="b">
        <v>1</v>
      </c>
      <c r="K249" s="65"/>
      <c r="L249" s="85" t="b">
        <f>IF(VLOOKUP(C249,Projetos!A:L,12,false)=TRUE,TRUE,FALSE)</f>
        <v>1</v>
      </c>
      <c r="M249" s="74">
        <v>33.15972725468975</v>
      </c>
      <c r="N249" s="74">
        <f t="shared" si="1"/>
        <v>66.31945451</v>
      </c>
      <c r="O249" s="74" t="b">
        <v>1</v>
      </c>
    </row>
    <row r="250" hidden="1">
      <c r="A250" s="82"/>
      <c r="B250" s="65" t="s">
        <v>146</v>
      </c>
      <c r="C250" s="65" t="s">
        <v>127</v>
      </c>
      <c r="D250" s="65" t="str">
        <f>vlookup(C250,'Classificação p pessoal'!F:G,2,false)</f>
        <v>NP</v>
      </c>
      <c r="E250" s="65" t="s">
        <v>148</v>
      </c>
      <c r="F250" s="83">
        <v>0.4583333333333333</v>
      </c>
      <c r="G250" s="83">
        <v>0.5416666666666666</v>
      </c>
      <c r="H250" s="83">
        <v>0.08333333333333333</v>
      </c>
      <c r="I250" s="84">
        <v>44475.0</v>
      </c>
      <c r="J250" s="65" t="b">
        <v>1</v>
      </c>
      <c r="K250" s="65"/>
      <c r="L250" s="85" t="b">
        <f>IF(VLOOKUP(C250,Projetos!A:L,12,false)=TRUE,TRUE,FALSE)</f>
        <v>1</v>
      </c>
      <c r="M250" s="74">
        <v>33.15972725468975</v>
      </c>
      <c r="N250" s="74">
        <f t="shared" si="1"/>
        <v>66.31945451</v>
      </c>
      <c r="O250" s="74" t="b">
        <v>1</v>
      </c>
    </row>
    <row r="251" hidden="1">
      <c r="A251" s="82"/>
      <c r="B251" s="65" t="s">
        <v>146</v>
      </c>
      <c r="C251" s="65" t="s">
        <v>89</v>
      </c>
      <c r="D251" s="65" t="str">
        <f>vlookup(C251,'Classificação p pessoal'!F:G,2,false)</f>
        <v>NP</v>
      </c>
      <c r="E251" s="65" t="s">
        <v>148</v>
      </c>
      <c r="F251" s="83">
        <v>0.5833333333333334</v>
      </c>
      <c r="G251" s="83">
        <v>0.75</v>
      </c>
      <c r="H251" s="83">
        <v>0.16666666666666666</v>
      </c>
      <c r="I251" s="84">
        <v>44475.0</v>
      </c>
      <c r="J251" s="65" t="b">
        <v>1</v>
      </c>
      <c r="K251" s="65"/>
      <c r="L251" s="85" t="b">
        <f>IF(VLOOKUP(C251,Projetos!A:L,12,false)=TRUE,TRUE,FALSE)</f>
        <v>1</v>
      </c>
      <c r="M251" s="74">
        <v>33.15972725468975</v>
      </c>
      <c r="N251" s="74">
        <f t="shared" si="1"/>
        <v>132.638909</v>
      </c>
      <c r="O251" s="74" t="b">
        <v>1</v>
      </c>
    </row>
    <row r="252" hidden="1">
      <c r="A252" s="82"/>
      <c r="B252" s="65" t="s">
        <v>146</v>
      </c>
      <c r="C252" s="65" t="s">
        <v>117</v>
      </c>
      <c r="D252" s="65" t="str">
        <f>vlookup(C252,'Classificação p pessoal'!F:G,2,false)</f>
        <v>NP</v>
      </c>
      <c r="E252" s="65" t="s">
        <v>148</v>
      </c>
      <c r="F252" s="83">
        <v>0.3541666666666667</v>
      </c>
      <c r="G252" s="83">
        <v>0.5208333333333334</v>
      </c>
      <c r="H252" s="83">
        <v>0.16666666666666666</v>
      </c>
      <c r="I252" s="84">
        <v>44476.0</v>
      </c>
      <c r="J252" s="65" t="b">
        <v>1</v>
      </c>
      <c r="K252" s="65"/>
      <c r="L252" s="85" t="b">
        <f>IF(VLOOKUP(C252,Projetos!A:L,12,false)=TRUE,TRUE,FALSE)</f>
        <v>1</v>
      </c>
      <c r="M252" s="74">
        <v>33.15972725468975</v>
      </c>
      <c r="N252" s="74">
        <f t="shared" si="1"/>
        <v>132.638909</v>
      </c>
      <c r="O252" s="74" t="b">
        <v>1</v>
      </c>
    </row>
    <row r="253" hidden="1">
      <c r="A253" s="82"/>
      <c r="B253" s="65" t="s">
        <v>146</v>
      </c>
      <c r="C253" s="65" t="s">
        <v>89</v>
      </c>
      <c r="D253" s="65" t="str">
        <f>vlookup(C253,'Classificação p pessoal'!F:G,2,false)</f>
        <v>NP</v>
      </c>
      <c r="E253" s="65" t="s">
        <v>148</v>
      </c>
      <c r="F253" s="83">
        <v>0.3541666666666667</v>
      </c>
      <c r="G253" s="83">
        <v>0.4791666666666667</v>
      </c>
      <c r="H253" s="83">
        <v>0.125</v>
      </c>
      <c r="I253" s="84">
        <v>44482.0</v>
      </c>
      <c r="J253" s="65" t="b">
        <v>1</v>
      </c>
      <c r="K253" s="65"/>
      <c r="L253" s="85" t="b">
        <f>IF(VLOOKUP(C253,Projetos!A:L,12,false)=TRUE,TRUE,FALSE)</f>
        <v>1</v>
      </c>
      <c r="M253" s="74">
        <v>33.15972725468975</v>
      </c>
      <c r="N253" s="74">
        <f t="shared" si="1"/>
        <v>99.47918176</v>
      </c>
      <c r="O253" s="74" t="b">
        <v>1</v>
      </c>
    </row>
    <row r="254" hidden="1">
      <c r="A254" s="82"/>
      <c r="B254" s="65" t="s">
        <v>146</v>
      </c>
      <c r="C254" s="65" t="s">
        <v>86</v>
      </c>
      <c r="D254" s="65" t="str">
        <f>vlookup(C254,'Classificação p pessoal'!F:G,2,false)</f>
        <v>NP</v>
      </c>
      <c r="E254" s="65" t="s">
        <v>160</v>
      </c>
      <c r="F254" s="83">
        <v>0.6041666666666666</v>
      </c>
      <c r="G254" s="83">
        <v>0.6875</v>
      </c>
      <c r="H254" s="83">
        <v>0.08333333333333333</v>
      </c>
      <c r="I254" s="84">
        <v>44482.0</v>
      </c>
      <c r="J254" s="65" t="b">
        <v>1</v>
      </c>
      <c r="K254" s="65"/>
      <c r="L254" s="85" t="b">
        <f>IF(VLOOKUP(C254,Projetos!A:L,12,false)=TRUE,TRUE,FALSE)</f>
        <v>1</v>
      </c>
      <c r="M254" s="74">
        <v>33.15972725468975</v>
      </c>
      <c r="N254" s="74">
        <f t="shared" si="1"/>
        <v>66.31945451</v>
      </c>
      <c r="O254" s="74" t="b">
        <v>1</v>
      </c>
    </row>
    <row r="255" hidden="1">
      <c r="A255" s="82"/>
      <c r="B255" s="65" t="s">
        <v>146</v>
      </c>
      <c r="C255" s="65" t="s">
        <v>86</v>
      </c>
      <c r="D255" s="65" t="str">
        <f>vlookup(C255,'Classificação p pessoal'!F:G,2,false)</f>
        <v>NP</v>
      </c>
      <c r="E255" s="65" t="s">
        <v>160</v>
      </c>
      <c r="F255" s="83">
        <v>0.3541666666666667</v>
      </c>
      <c r="G255" s="83">
        <v>0.4166666666666667</v>
      </c>
      <c r="H255" s="83">
        <v>0.0625</v>
      </c>
      <c r="I255" s="84">
        <v>44483.0</v>
      </c>
      <c r="J255" s="65" t="b">
        <v>1</v>
      </c>
      <c r="K255" s="65"/>
      <c r="L255" s="85" t="b">
        <f>IF(VLOOKUP(C255,Projetos!A:L,12,false)=TRUE,TRUE,FALSE)</f>
        <v>1</v>
      </c>
      <c r="M255" s="74">
        <v>33.15972725468975</v>
      </c>
      <c r="N255" s="74">
        <f t="shared" si="1"/>
        <v>49.73959088</v>
      </c>
      <c r="O255" s="74" t="b">
        <v>1</v>
      </c>
    </row>
    <row r="256" hidden="1">
      <c r="A256" s="82"/>
      <c r="B256" s="65" t="s">
        <v>146</v>
      </c>
      <c r="C256" s="65" t="s">
        <v>88</v>
      </c>
      <c r="D256" s="65"/>
      <c r="E256" s="65" t="s">
        <v>161</v>
      </c>
      <c r="F256" s="83">
        <v>0.5416666666666666</v>
      </c>
      <c r="G256" s="83">
        <v>0.6666666666666666</v>
      </c>
      <c r="H256" s="83">
        <v>0.125</v>
      </c>
      <c r="I256" s="84">
        <v>44483.0</v>
      </c>
      <c r="J256" s="65" t="b">
        <v>0</v>
      </c>
      <c r="K256" s="65" t="s">
        <v>150</v>
      </c>
      <c r="L256" s="85" t="b">
        <f>IF(VLOOKUP(C256,Projetos!A:L,12,false)=TRUE,TRUE,FALSE)</f>
        <v>1</v>
      </c>
      <c r="M256" s="74">
        <v>33.15972725468975</v>
      </c>
      <c r="N256" s="74">
        <f t="shared" si="1"/>
        <v>0</v>
      </c>
      <c r="O256" s="74" t="b">
        <v>1</v>
      </c>
    </row>
    <row r="257" hidden="1">
      <c r="A257" s="82"/>
      <c r="B257" s="65" t="s">
        <v>146</v>
      </c>
      <c r="C257" s="65" t="s">
        <v>89</v>
      </c>
      <c r="D257" s="65" t="str">
        <f>vlookup(C257,'Classificação p pessoal'!F:G,2,false)</f>
        <v>NP</v>
      </c>
      <c r="E257" s="65" t="s">
        <v>148</v>
      </c>
      <c r="F257" s="83">
        <v>0.5416666666666666</v>
      </c>
      <c r="G257" s="83">
        <v>0.6666666666666666</v>
      </c>
      <c r="H257" s="83">
        <v>0.125</v>
      </c>
      <c r="I257" s="84">
        <v>44484.0</v>
      </c>
      <c r="J257" s="65" t="b">
        <v>1</v>
      </c>
      <c r="K257" s="65"/>
      <c r="L257" s="85" t="b">
        <f>IF(VLOOKUP(C257,Projetos!A:L,12,false)=TRUE,TRUE,FALSE)</f>
        <v>1</v>
      </c>
      <c r="M257" s="74">
        <v>33.15972725468975</v>
      </c>
      <c r="N257" s="74">
        <f t="shared" si="1"/>
        <v>99.47918176</v>
      </c>
      <c r="O257" s="74" t="b">
        <v>1</v>
      </c>
    </row>
    <row r="258" hidden="1">
      <c r="A258" s="82"/>
      <c r="B258" s="65" t="s">
        <v>146</v>
      </c>
      <c r="C258" s="65" t="s">
        <v>88</v>
      </c>
      <c r="D258" s="65"/>
      <c r="E258" s="65" t="s">
        <v>161</v>
      </c>
      <c r="F258" s="83">
        <v>0.6666666666666666</v>
      </c>
      <c r="G258" s="83">
        <v>0.75</v>
      </c>
      <c r="H258" s="83">
        <v>0.08333333333333333</v>
      </c>
      <c r="I258" s="84">
        <v>44484.0</v>
      </c>
      <c r="J258" s="65" t="b">
        <v>0</v>
      </c>
      <c r="K258" s="65" t="s">
        <v>150</v>
      </c>
      <c r="L258" s="85" t="b">
        <f>IF(VLOOKUP(C258,Projetos!A:L,12,false)=TRUE,TRUE,FALSE)</f>
        <v>1</v>
      </c>
      <c r="M258" s="74">
        <v>33.15972725468975</v>
      </c>
      <c r="N258" s="74">
        <f t="shared" si="1"/>
        <v>0</v>
      </c>
      <c r="O258" s="74" t="b">
        <v>1</v>
      </c>
    </row>
    <row r="259" hidden="1">
      <c r="A259" s="82"/>
      <c r="B259" s="65" t="s">
        <v>146</v>
      </c>
      <c r="C259" s="65" t="s">
        <v>117</v>
      </c>
      <c r="D259" s="65" t="str">
        <f>vlookup(C259,'Classificação p pessoal'!F:G,2,false)</f>
        <v>NP</v>
      </c>
      <c r="E259" s="65" t="s">
        <v>148</v>
      </c>
      <c r="F259" s="83">
        <v>0.3541666666666667</v>
      </c>
      <c r="G259" s="83">
        <v>0.5416666666666666</v>
      </c>
      <c r="H259" s="83">
        <v>0.1875</v>
      </c>
      <c r="I259" s="84">
        <v>44509.0</v>
      </c>
      <c r="J259" s="65" t="b">
        <v>1</v>
      </c>
      <c r="K259" s="65"/>
      <c r="L259" s="85" t="b">
        <f>IF(VLOOKUP(C259,Projetos!A:L,12,false)=TRUE,TRUE,FALSE)</f>
        <v>1</v>
      </c>
      <c r="M259" s="74">
        <v>33.15972725468975</v>
      </c>
      <c r="N259" s="74">
        <f t="shared" si="1"/>
        <v>149.2187726</v>
      </c>
      <c r="O259" s="74" t="b">
        <v>1</v>
      </c>
    </row>
    <row r="260" hidden="1">
      <c r="A260" s="82"/>
      <c r="B260" s="65" t="s">
        <v>146</v>
      </c>
      <c r="C260" s="65" t="s">
        <v>117</v>
      </c>
      <c r="D260" s="65" t="str">
        <f>vlookup(C260,'Classificação p pessoal'!F:G,2,false)</f>
        <v>NP</v>
      </c>
      <c r="E260" s="65" t="s">
        <v>148</v>
      </c>
      <c r="F260" s="83">
        <v>0.3541666666666667</v>
      </c>
      <c r="G260" s="83">
        <v>0.5416666666666666</v>
      </c>
      <c r="H260" s="83">
        <v>0.1875</v>
      </c>
      <c r="I260" s="84">
        <v>44510.0</v>
      </c>
      <c r="J260" s="65" t="b">
        <v>1</v>
      </c>
      <c r="K260" s="65"/>
      <c r="L260" s="85" t="b">
        <f>IF(VLOOKUP(C260,Projetos!A:L,12,false)=TRUE,TRUE,FALSE)</f>
        <v>1</v>
      </c>
      <c r="M260" s="74">
        <v>33.15972725468975</v>
      </c>
      <c r="N260" s="74">
        <f t="shared" si="1"/>
        <v>149.2187726</v>
      </c>
      <c r="O260" s="74" t="b">
        <v>1</v>
      </c>
    </row>
    <row r="261" hidden="1">
      <c r="A261" s="82"/>
      <c r="B261" s="65" t="s">
        <v>146</v>
      </c>
      <c r="C261" s="65" t="s">
        <v>117</v>
      </c>
      <c r="D261" s="65" t="str">
        <f>vlookup(C261,'Classificação p pessoal'!F:G,2,false)</f>
        <v>NP</v>
      </c>
      <c r="E261" s="65" t="s">
        <v>148</v>
      </c>
      <c r="F261" s="83">
        <v>0.3541666666666667</v>
      </c>
      <c r="G261" s="83">
        <v>0.5416666666666666</v>
      </c>
      <c r="H261" s="83">
        <v>0.1875</v>
      </c>
      <c r="I261" s="84">
        <v>44511.0</v>
      </c>
      <c r="J261" s="65" t="b">
        <v>1</v>
      </c>
      <c r="K261" s="65"/>
      <c r="L261" s="85" t="b">
        <f>IF(VLOOKUP(C261,Projetos!A:L,12,false)=TRUE,TRUE,FALSE)</f>
        <v>1</v>
      </c>
      <c r="M261" s="74">
        <v>33.15972725468975</v>
      </c>
      <c r="N261" s="74">
        <f t="shared" si="1"/>
        <v>149.2187726</v>
      </c>
      <c r="O261" s="74" t="b">
        <v>1</v>
      </c>
    </row>
    <row r="262" hidden="1">
      <c r="A262" s="82"/>
      <c r="B262" s="65" t="s">
        <v>146</v>
      </c>
      <c r="C262" s="65" t="s">
        <v>117</v>
      </c>
      <c r="D262" s="65" t="str">
        <f>vlookup(C262,'Classificação p pessoal'!F:G,2,false)</f>
        <v>NP</v>
      </c>
      <c r="E262" s="65" t="s">
        <v>148</v>
      </c>
      <c r="F262" s="83">
        <v>0.3541666666666667</v>
      </c>
      <c r="G262" s="83">
        <v>0.5416666666666666</v>
      </c>
      <c r="H262" s="83">
        <v>0.1875</v>
      </c>
      <c r="I262" s="84">
        <v>44512.0</v>
      </c>
      <c r="J262" s="65" t="b">
        <v>1</v>
      </c>
      <c r="K262" s="65"/>
      <c r="L262" s="85" t="b">
        <f>IF(VLOOKUP(C262,Projetos!A:L,12,false)=TRUE,TRUE,FALSE)</f>
        <v>1</v>
      </c>
      <c r="M262" s="74">
        <v>33.15972725468975</v>
      </c>
      <c r="N262" s="74">
        <f t="shared" si="1"/>
        <v>149.2187726</v>
      </c>
      <c r="O262" s="74" t="b">
        <v>1</v>
      </c>
    </row>
    <row r="263" hidden="1">
      <c r="A263" s="82"/>
      <c r="B263" s="65" t="s">
        <v>146</v>
      </c>
      <c r="C263" s="65" t="s">
        <v>117</v>
      </c>
      <c r="D263" s="65" t="str">
        <f>vlookup(C263,'Classificação p pessoal'!F:G,2,false)</f>
        <v>NP</v>
      </c>
      <c r="E263" s="65" t="s">
        <v>148</v>
      </c>
      <c r="F263" s="83">
        <v>0.375</v>
      </c>
      <c r="G263" s="83">
        <v>0.5416666666666666</v>
      </c>
      <c r="H263" s="83">
        <v>0.16666666666666666</v>
      </c>
      <c r="I263" s="84">
        <v>44517.0</v>
      </c>
      <c r="J263" s="65" t="b">
        <v>1</v>
      </c>
      <c r="K263" s="65"/>
      <c r="L263" s="85" t="b">
        <f>IF(VLOOKUP(C263,Projetos!A:L,12,false)=TRUE,TRUE,FALSE)</f>
        <v>1</v>
      </c>
      <c r="M263" s="74">
        <v>33.15972725468975</v>
      </c>
      <c r="N263" s="74">
        <f t="shared" si="1"/>
        <v>132.638909</v>
      </c>
      <c r="O263" s="74" t="b">
        <v>1</v>
      </c>
    </row>
    <row r="264" hidden="1">
      <c r="A264" s="82"/>
      <c r="B264" s="65" t="s">
        <v>146</v>
      </c>
      <c r="C264" s="65" t="s">
        <v>117</v>
      </c>
      <c r="D264" s="65" t="str">
        <f>vlookup(C264,'Classificação p pessoal'!F:G,2,false)</f>
        <v>NP</v>
      </c>
      <c r="E264" s="65" t="s">
        <v>148</v>
      </c>
      <c r="F264" s="83">
        <v>0.5833333333333334</v>
      </c>
      <c r="G264" s="83">
        <v>0.75</v>
      </c>
      <c r="H264" s="83">
        <v>0.16666666666666666</v>
      </c>
      <c r="I264" s="84">
        <v>44525.0</v>
      </c>
      <c r="J264" s="65" t="b">
        <v>1</v>
      </c>
      <c r="K264" s="65"/>
      <c r="L264" s="85" t="b">
        <f>IF(VLOOKUP(C264,Projetos!A:L,12,false)=TRUE,TRUE,FALSE)</f>
        <v>1</v>
      </c>
      <c r="M264" s="74">
        <v>33.15972725468975</v>
      </c>
      <c r="N264" s="74">
        <f t="shared" si="1"/>
        <v>132.638909</v>
      </c>
      <c r="O264" s="74" t="b">
        <v>1</v>
      </c>
    </row>
    <row r="265" hidden="1">
      <c r="A265" s="82"/>
      <c r="B265" s="65" t="s">
        <v>146</v>
      </c>
      <c r="C265" s="65" t="s">
        <v>89</v>
      </c>
      <c r="D265" s="65" t="str">
        <f>vlookup(C265,'Classificação p pessoal'!F:G,2,false)</f>
        <v>NP</v>
      </c>
      <c r="E265" s="65" t="s">
        <v>148</v>
      </c>
      <c r="F265" s="83">
        <v>0.5833333333333334</v>
      </c>
      <c r="G265" s="83">
        <v>0.75</v>
      </c>
      <c r="H265" s="83">
        <v>0.16666666666666666</v>
      </c>
      <c r="I265" s="84">
        <v>44526.0</v>
      </c>
      <c r="J265" s="65" t="b">
        <v>1</v>
      </c>
      <c r="K265" s="65"/>
      <c r="L265" s="85" t="b">
        <f>IF(VLOOKUP(C265,Projetos!A:L,12,false)=TRUE,TRUE,FALSE)</f>
        <v>1</v>
      </c>
      <c r="M265" s="74">
        <v>33.15972725468975</v>
      </c>
      <c r="N265" s="74">
        <f t="shared" si="1"/>
        <v>132.638909</v>
      </c>
      <c r="O265" s="74" t="b">
        <v>1</v>
      </c>
    </row>
    <row r="266" hidden="1">
      <c r="A266" s="82"/>
      <c r="B266" s="65" t="s">
        <v>146</v>
      </c>
      <c r="C266" s="65" t="s">
        <v>117</v>
      </c>
      <c r="D266" s="65" t="str">
        <f>vlookup(C266,'Classificação p pessoal'!F:G,2,false)</f>
        <v>NP</v>
      </c>
      <c r="E266" s="65" t="s">
        <v>148</v>
      </c>
      <c r="F266" s="83">
        <v>0.5833333333333334</v>
      </c>
      <c r="G266" s="83">
        <v>0.6666666666666666</v>
      </c>
      <c r="H266" s="83">
        <v>0.08333333333333333</v>
      </c>
      <c r="I266" s="84">
        <v>44529.0</v>
      </c>
      <c r="J266" s="65" t="b">
        <v>1</v>
      </c>
      <c r="K266" s="65"/>
      <c r="L266" s="85" t="b">
        <f>IF(VLOOKUP(C266,Projetos!A:L,12,false)=TRUE,TRUE,FALSE)</f>
        <v>1</v>
      </c>
      <c r="M266" s="74">
        <v>33.15972725468975</v>
      </c>
      <c r="N266" s="74">
        <f t="shared" si="1"/>
        <v>66.31945451</v>
      </c>
      <c r="O266" s="74" t="b">
        <v>1</v>
      </c>
    </row>
    <row r="267" hidden="1">
      <c r="A267" s="82"/>
      <c r="B267" s="65" t="s">
        <v>146</v>
      </c>
      <c r="C267" s="65" t="s">
        <v>89</v>
      </c>
      <c r="D267" s="65" t="str">
        <f>vlookup(C267,'Classificação p pessoal'!F:G,2,false)</f>
        <v>NP</v>
      </c>
      <c r="E267" s="65" t="s">
        <v>148</v>
      </c>
      <c r="F267" s="83">
        <v>0.625</v>
      </c>
      <c r="G267" s="83">
        <v>0.75</v>
      </c>
      <c r="H267" s="83">
        <v>0.125</v>
      </c>
      <c r="I267" s="84">
        <v>44530.0</v>
      </c>
      <c r="J267" s="65" t="b">
        <v>1</v>
      </c>
      <c r="K267" s="65"/>
      <c r="L267" s="85" t="b">
        <f>IF(VLOOKUP(C267,Projetos!A:L,12,false)=TRUE,TRUE,FALSE)</f>
        <v>1</v>
      </c>
      <c r="M267" s="74">
        <v>33.15972725468975</v>
      </c>
      <c r="N267" s="74">
        <f t="shared" si="1"/>
        <v>99.47918176</v>
      </c>
      <c r="O267" s="74" t="b">
        <v>1</v>
      </c>
    </row>
    <row r="268" hidden="1">
      <c r="A268" s="82"/>
      <c r="B268" s="65" t="s">
        <v>146</v>
      </c>
      <c r="C268" s="65" t="s">
        <v>89</v>
      </c>
      <c r="D268" s="65" t="str">
        <f>vlookup(C268,'Classificação p pessoal'!F:G,2,false)</f>
        <v>NP</v>
      </c>
      <c r="E268" s="65" t="s">
        <v>148</v>
      </c>
      <c r="F268" s="83">
        <v>0.375</v>
      </c>
      <c r="G268" s="83">
        <v>0.5</v>
      </c>
      <c r="H268" s="83">
        <v>0.125</v>
      </c>
      <c r="I268" s="84">
        <v>44537.0</v>
      </c>
      <c r="J268" s="65" t="b">
        <v>1</v>
      </c>
      <c r="K268" s="65"/>
      <c r="L268" s="85" t="b">
        <f>IF(VLOOKUP(C268,Projetos!A:L,12,false)=TRUE,TRUE,FALSE)</f>
        <v>1</v>
      </c>
      <c r="M268" s="74">
        <v>33.15972725468975</v>
      </c>
      <c r="N268" s="74">
        <f t="shared" si="1"/>
        <v>99.47918176</v>
      </c>
      <c r="O268" s="74" t="b">
        <v>1</v>
      </c>
    </row>
    <row r="269" hidden="1">
      <c r="A269" s="82"/>
      <c r="B269" s="65" t="s">
        <v>146</v>
      </c>
      <c r="C269" s="65" t="s">
        <v>89</v>
      </c>
      <c r="D269" s="65" t="str">
        <f>vlookup(C269,'Classificação p pessoal'!F:G,2,false)</f>
        <v>NP</v>
      </c>
      <c r="E269" s="65" t="s">
        <v>148</v>
      </c>
      <c r="F269" s="83">
        <v>0.6666666666666666</v>
      </c>
      <c r="G269" s="83">
        <v>0.75</v>
      </c>
      <c r="H269" s="83">
        <v>0.08333333333333333</v>
      </c>
      <c r="I269" s="84">
        <v>44546.0</v>
      </c>
      <c r="J269" s="65" t="b">
        <v>1</v>
      </c>
      <c r="K269" s="65"/>
      <c r="L269" s="85" t="b">
        <f>IF(VLOOKUP(C269,Projetos!A:L,12,false)=TRUE,TRUE,FALSE)</f>
        <v>1</v>
      </c>
      <c r="M269" s="74">
        <v>33.15972725468975</v>
      </c>
      <c r="N269" s="74">
        <f t="shared" si="1"/>
        <v>66.31945451</v>
      </c>
      <c r="O269" s="74" t="b">
        <v>1</v>
      </c>
    </row>
    <row r="270" hidden="1">
      <c r="A270" s="82"/>
      <c r="B270" s="65" t="s">
        <v>146</v>
      </c>
      <c r="C270" s="65" t="s">
        <v>89</v>
      </c>
      <c r="D270" s="65" t="str">
        <f>vlookup(C270,'Classificação p pessoal'!F:G,2,false)</f>
        <v>NP</v>
      </c>
      <c r="E270" s="65" t="s">
        <v>148</v>
      </c>
      <c r="F270" s="83">
        <v>0.5833333333333334</v>
      </c>
      <c r="G270" s="83">
        <v>0.6666666666666666</v>
      </c>
      <c r="H270" s="83">
        <v>0.08333333333333333</v>
      </c>
      <c r="I270" s="84">
        <v>44551.0</v>
      </c>
      <c r="J270" s="65" t="b">
        <v>1</v>
      </c>
      <c r="K270" s="65"/>
      <c r="L270" s="85" t="b">
        <f>IF(VLOOKUP(C270,Projetos!A:L,12,false)=TRUE,TRUE,FALSE)</f>
        <v>1</v>
      </c>
      <c r="M270" s="74">
        <v>33.15972725468975</v>
      </c>
      <c r="N270" s="74">
        <f t="shared" si="1"/>
        <v>66.31945451</v>
      </c>
      <c r="O270" s="74" t="b">
        <v>1</v>
      </c>
    </row>
    <row r="271" hidden="1">
      <c r="A271" s="82"/>
      <c r="B271" s="65" t="s">
        <v>146</v>
      </c>
      <c r="C271" s="65" t="s">
        <v>117</v>
      </c>
      <c r="D271" s="65" t="str">
        <f>vlookup(C271,'Classificação p pessoal'!F:G,2,false)</f>
        <v>NP</v>
      </c>
      <c r="E271" s="65" t="s">
        <v>148</v>
      </c>
      <c r="F271" s="83">
        <v>0.3541666666666667</v>
      </c>
      <c r="G271" s="83">
        <v>0.5416666666666666</v>
      </c>
      <c r="H271" s="83">
        <v>0.1875</v>
      </c>
      <c r="I271" s="84">
        <v>44557.0</v>
      </c>
      <c r="J271" s="65" t="b">
        <v>1</v>
      </c>
      <c r="K271" s="65"/>
      <c r="L271" s="85" t="b">
        <f>IF(VLOOKUP(C271,Projetos!A:L,12,false)=TRUE,TRUE,FALSE)</f>
        <v>1</v>
      </c>
      <c r="M271" s="74">
        <v>33.15972725468975</v>
      </c>
      <c r="N271" s="74">
        <f t="shared" si="1"/>
        <v>149.2187726</v>
      </c>
      <c r="O271" s="74" t="b">
        <v>1</v>
      </c>
    </row>
    <row r="272" hidden="1">
      <c r="A272" s="82"/>
      <c r="B272" s="65" t="s">
        <v>146</v>
      </c>
      <c r="C272" s="65" t="s">
        <v>89</v>
      </c>
      <c r="D272" s="65" t="str">
        <f>vlookup(C272,'Classificação p pessoal'!F:G,2,false)</f>
        <v>NP</v>
      </c>
      <c r="E272" s="65" t="s">
        <v>148</v>
      </c>
      <c r="F272" s="83">
        <v>0.7083333333333334</v>
      </c>
      <c r="G272" s="83">
        <v>0.75</v>
      </c>
      <c r="H272" s="83">
        <v>0.041666666666666664</v>
      </c>
      <c r="I272" s="84">
        <v>44559.0</v>
      </c>
      <c r="J272" s="65" t="b">
        <v>1</v>
      </c>
      <c r="K272" s="65"/>
      <c r="L272" s="85" t="b">
        <f>IF(VLOOKUP(C272,Projetos!A:L,12,false)=TRUE,TRUE,FALSE)</f>
        <v>1</v>
      </c>
      <c r="M272" s="74">
        <v>33.15972725468975</v>
      </c>
      <c r="N272" s="74">
        <f t="shared" si="1"/>
        <v>33.15972725</v>
      </c>
      <c r="O272" s="74" t="b">
        <v>1</v>
      </c>
    </row>
    <row r="273" hidden="1">
      <c r="A273" s="82"/>
      <c r="B273" s="65" t="s">
        <v>146</v>
      </c>
      <c r="C273" s="65" t="s">
        <v>89</v>
      </c>
      <c r="D273" s="65" t="str">
        <f>vlookup(C273,'Classificação p pessoal'!F:G,2,false)</f>
        <v>NP</v>
      </c>
      <c r="E273" s="65" t="s">
        <v>148</v>
      </c>
      <c r="F273" s="83">
        <v>0.625</v>
      </c>
      <c r="G273" s="83">
        <v>0.75</v>
      </c>
      <c r="H273" s="83">
        <v>0.125</v>
      </c>
      <c r="I273" s="84">
        <v>44560.0</v>
      </c>
      <c r="J273" s="65" t="b">
        <v>1</v>
      </c>
      <c r="K273" s="65"/>
      <c r="L273" s="85" t="b">
        <f>IF(VLOOKUP(C273,Projetos!A:L,12,false)=TRUE,TRUE,FALSE)</f>
        <v>1</v>
      </c>
      <c r="M273" s="74">
        <v>33.15972725468975</v>
      </c>
      <c r="N273" s="74">
        <f t="shared" si="1"/>
        <v>99.47918176</v>
      </c>
      <c r="O273" s="74" t="b">
        <v>1</v>
      </c>
    </row>
    <row r="274" hidden="1">
      <c r="A274" s="82"/>
      <c r="B274" s="65" t="s">
        <v>146</v>
      </c>
      <c r="C274" s="65" t="s">
        <v>88</v>
      </c>
      <c r="D274" s="65" t="str">
        <f>vlookup(C274,'Classificação p pessoal'!F:G,2,false)</f>
        <v>MProduto</v>
      </c>
      <c r="E274" s="65" t="s">
        <v>162</v>
      </c>
      <c r="F274" s="83">
        <v>0.375</v>
      </c>
      <c r="G274" s="83">
        <v>0.5</v>
      </c>
      <c r="H274" s="83">
        <v>0.125</v>
      </c>
      <c r="I274" s="84">
        <v>44308.0</v>
      </c>
      <c r="J274" s="65" t="b">
        <v>1</v>
      </c>
      <c r="K274" s="65"/>
      <c r="L274" s="85" t="b">
        <f>IF(VLOOKUP(C274,Projetos!A:L,12,false)=TRUE,TRUE,FALSE)</f>
        <v>1</v>
      </c>
      <c r="M274" s="74">
        <v>33.15972725468975</v>
      </c>
      <c r="N274" s="74">
        <f t="shared" si="1"/>
        <v>99.47918176</v>
      </c>
      <c r="O274" s="74" t="b">
        <v>1</v>
      </c>
    </row>
    <row r="275" hidden="1">
      <c r="A275" s="82"/>
      <c r="B275" s="65" t="s">
        <v>146</v>
      </c>
      <c r="C275" s="65" t="s">
        <v>88</v>
      </c>
      <c r="D275" s="65" t="str">
        <f>vlookup(C275,'Classificação p pessoal'!F:G,2,false)</f>
        <v>MProduto</v>
      </c>
      <c r="E275" s="65" t="s">
        <v>162</v>
      </c>
      <c r="F275" s="83">
        <v>0.5833333333333334</v>
      </c>
      <c r="G275" s="83">
        <v>0.7083333333333334</v>
      </c>
      <c r="H275" s="83">
        <v>0.125</v>
      </c>
      <c r="I275" s="84">
        <v>44309.0</v>
      </c>
      <c r="J275" s="65" t="b">
        <v>1</v>
      </c>
      <c r="K275" s="65"/>
      <c r="L275" s="85" t="b">
        <f>IF(VLOOKUP(C275,Projetos!A:L,12,false)=TRUE,TRUE,FALSE)</f>
        <v>1</v>
      </c>
      <c r="M275" s="74">
        <v>33.15972725468975</v>
      </c>
      <c r="N275" s="74">
        <f t="shared" si="1"/>
        <v>99.47918176</v>
      </c>
      <c r="O275" s="74" t="b">
        <v>1</v>
      </c>
    </row>
    <row r="276" hidden="1">
      <c r="A276" s="82"/>
      <c r="B276" s="65" t="s">
        <v>146</v>
      </c>
      <c r="C276" s="65" t="s">
        <v>88</v>
      </c>
      <c r="D276" s="65" t="str">
        <f>vlookup(C276,'Classificação p pessoal'!F:G,2,false)</f>
        <v>MProduto</v>
      </c>
      <c r="E276" s="65" t="s">
        <v>162</v>
      </c>
      <c r="F276" s="83">
        <v>0.6666666666666666</v>
      </c>
      <c r="G276" s="83">
        <v>0.8958333333333334</v>
      </c>
      <c r="H276" s="83">
        <v>0.22916666666666666</v>
      </c>
      <c r="I276" s="84">
        <v>44313.0</v>
      </c>
      <c r="J276" s="65" t="b">
        <v>1</v>
      </c>
      <c r="K276" s="65"/>
      <c r="L276" s="85" t="b">
        <f>IF(VLOOKUP(C276,Projetos!A:L,12,false)=TRUE,TRUE,FALSE)</f>
        <v>1</v>
      </c>
      <c r="M276" s="74">
        <v>33.15972725468975</v>
      </c>
      <c r="N276" s="74">
        <f t="shared" si="1"/>
        <v>182.3784999</v>
      </c>
      <c r="O276" s="74" t="b">
        <v>1</v>
      </c>
    </row>
    <row r="277" hidden="1">
      <c r="A277" s="82"/>
      <c r="B277" s="65" t="s">
        <v>146</v>
      </c>
      <c r="C277" s="65" t="s">
        <v>88</v>
      </c>
      <c r="D277" s="65" t="str">
        <f>vlookup(C277,'Classificação p pessoal'!F:G,2,false)</f>
        <v>MProduto</v>
      </c>
      <c r="E277" s="65" t="s">
        <v>162</v>
      </c>
      <c r="F277" s="83">
        <v>0.625</v>
      </c>
      <c r="G277" s="83">
        <v>0.75</v>
      </c>
      <c r="H277" s="83">
        <v>0.125</v>
      </c>
      <c r="I277" s="84">
        <v>44323.0</v>
      </c>
      <c r="J277" s="65" t="b">
        <v>1</v>
      </c>
      <c r="K277" s="65"/>
      <c r="L277" s="85" t="b">
        <f>IF(VLOOKUP(C277,Projetos!A:L,12,false)=TRUE,TRUE,FALSE)</f>
        <v>1</v>
      </c>
      <c r="M277" s="74">
        <v>33.15972725468975</v>
      </c>
      <c r="N277" s="74">
        <f t="shared" si="1"/>
        <v>99.47918176</v>
      </c>
      <c r="O277" s="74" t="b">
        <v>1</v>
      </c>
    </row>
    <row r="278" hidden="1">
      <c r="A278" s="82"/>
      <c r="B278" s="65" t="s">
        <v>146</v>
      </c>
      <c r="C278" s="65" t="s">
        <v>88</v>
      </c>
      <c r="D278" s="65" t="str">
        <f>vlookup(C278,'Classificação p pessoal'!F:G,2,false)</f>
        <v>MProduto</v>
      </c>
      <c r="E278" s="65" t="s">
        <v>162</v>
      </c>
      <c r="F278" s="83">
        <v>0.5833333333333334</v>
      </c>
      <c r="G278" s="83">
        <v>0.75</v>
      </c>
      <c r="H278" s="83">
        <v>0.16666666666666666</v>
      </c>
      <c r="I278" s="84">
        <v>44326.0</v>
      </c>
      <c r="J278" s="65" t="b">
        <v>1</v>
      </c>
      <c r="K278" s="65"/>
      <c r="L278" s="85" t="b">
        <f>IF(VLOOKUP(C278,Projetos!A:L,12,false)=TRUE,TRUE,FALSE)</f>
        <v>1</v>
      </c>
      <c r="M278" s="74">
        <v>33.15972725468975</v>
      </c>
      <c r="N278" s="74">
        <f t="shared" si="1"/>
        <v>132.638909</v>
      </c>
      <c r="O278" s="74" t="b">
        <v>1</v>
      </c>
    </row>
    <row r="279" hidden="1">
      <c r="A279" s="82"/>
      <c r="B279" s="65" t="s">
        <v>146</v>
      </c>
      <c r="C279" s="65" t="s">
        <v>88</v>
      </c>
      <c r="D279" s="65" t="str">
        <f>vlookup(C279,'Classificação p pessoal'!F:G,2,false)</f>
        <v>MProduto</v>
      </c>
      <c r="E279" s="65" t="s">
        <v>162</v>
      </c>
      <c r="F279" s="83">
        <v>0.6666666666666666</v>
      </c>
      <c r="G279" s="83">
        <v>0.75</v>
      </c>
      <c r="H279" s="83">
        <v>0.08333333333333333</v>
      </c>
      <c r="I279" s="84">
        <v>44333.0</v>
      </c>
      <c r="J279" s="65" t="b">
        <v>1</v>
      </c>
      <c r="K279" s="65"/>
      <c r="L279" s="85" t="b">
        <f>IF(VLOOKUP(C279,Projetos!A:L,12,false)=TRUE,TRUE,FALSE)</f>
        <v>1</v>
      </c>
      <c r="M279" s="74">
        <v>33.15972725468975</v>
      </c>
      <c r="N279" s="74">
        <f t="shared" si="1"/>
        <v>66.31945451</v>
      </c>
      <c r="O279" s="74" t="b">
        <v>1</v>
      </c>
    </row>
    <row r="280" hidden="1">
      <c r="A280" s="82"/>
      <c r="B280" s="65" t="s">
        <v>146</v>
      </c>
      <c r="C280" s="65" t="s">
        <v>88</v>
      </c>
      <c r="D280" s="65" t="str">
        <f>vlookup(C280,'Classificação p pessoal'!F:G,2,false)</f>
        <v>MProduto</v>
      </c>
      <c r="E280" s="65" t="s">
        <v>162</v>
      </c>
      <c r="F280" s="83">
        <v>0.375</v>
      </c>
      <c r="G280" s="83">
        <v>0.4166666666666667</v>
      </c>
      <c r="H280" s="83">
        <v>0.041666666666666664</v>
      </c>
      <c r="I280" s="84">
        <v>44334.0</v>
      </c>
      <c r="J280" s="65" t="b">
        <v>1</v>
      </c>
      <c r="K280" s="65"/>
      <c r="L280" s="85" t="b">
        <f>IF(VLOOKUP(C280,Projetos!A:L,12,false)=TRUE,TRUE,FALSE)</f>
        <v>1</v>
      </c>
      <c r="M280" s="74">
        <v>33.15972725468975</v>
      </c>
      <c r="N280" s="74">
        <f t="shared" si="1"/>
        <v>33.15972725</v>
      </c>
      <c r="O280" s="74" t="b">
        <v>1</v>
      </c>
    </row>
    <row r="281" hidden="1">
      <c r="A281" s="82"/>
      <c r="B281" s="65" t="s">
        <v>146</v>
      </c>
      <c r="C281" s="65" t="s">
        <v>88</v>
      </c>
      <c r="D281" s="65" t="str">
        <f>vlookup(C281,'Classificação p pessoal'!F:G,2,false)</f>
        <v>MProduto</v>
      </c>
      <c r="E281" s="65" t="s">
        <v>162</v>
      </c>
      <c r="F281" s="83">
        <v>0.625</v>
      </c>
      <c r="G281" s="83">
        <v>0.75</v>
      </c>
      <c r="H281" s="83">
        <v>0.125</v>
      </c>
      <c r="I281" s="84">
        <v>44336.0</v>
      </c>
      <c r="J281" s="65" t="b">
        <v>1</v>
      </c>
      <c r="K281" s="65"/>
      <c r="L281" s="85" t="b">
        <f>IF(VLOOKUP(C281,Projetos!A:L,12,false)=TRUE,TRUE,FALSE)</f>
        <v>1</v>
      </c>
      <c r="M281" s="74">
        <v>33.15972725468975</v>
      </c>
      <c r="N281" s="74">
        <f t="shared" si="1"/>
        <v>99.47918176</v>
      </c>
      <c r="O281" s="74" t="b">
        <v>1</v>
      </c>
    </row>
    <row r="282" hidden="1">
      <c r="A282" s="82"/>
      <c r="B282" s="65" t="s">
        <v>146</v>
      </c>
      <c r="C282" s="65" t="s">
        <v>88</v>
      </c>
      <c r="D282" s="65" t="str">
        <f>vlookup(C282,'Classificação p pessoal'!F:G,2,false)</f>
        <v>MProduto</v>
      </c>
      <c r="E282" s="65" t="s">
        <v>162</v>
      </c>
      <c r="F282" s="83">
        <v>0.3541666666666667</v>
      </c>
      <c r="G282" s="83">
        <v>0.4791666666666667</v>
      </c>
      <c r="H282" s="83">
        <v>0.125</v>
      </c>
      <c r="I282" s="84">
        <v>44337.0</v>
      </c>
      <c r="J282" s="65" t="b">
        <v>1</v>
      </c>
      <c r="K282" s="65"/>
      <c r="L282" s="85" t="b">
        <f>IF(VLOOKUP(C282,Projetos!A:L,12,false)=TRUE,TRUE,FALSE)</f>
        <v>1</v>
      </c>
      <c r="M282" s="74">
        <v>33.15972725468975</v>
      </c>
      <c r="N282" s="74">
        <f t="shared" si="1"/>
        <v>99.47918176</v>
      </c>
      <c r="O282" s="74" t="b">
        <v>1</v>
      </c>
    </row>
    <row r="283" hidden="1">
      <c r="A283" s="82"/>
      <c r="B283" s="65" t="s">
        <v>146</v>
      </c>
      <c r="C283" s="65" t="s">
        <v>88</v>
      </c>
      <c r="D283" s="65" t="str">
        <f>vlookup(C283,'Classificação p pessoal'!F:G,2,false)</f>
        <v>MProduto</v>
      </c>
      <c r="E283" s="65" t="s">
        <v>162</v>
      </c>
      <c r="F283" s="83">
        <v>0.3541666666666667</v>
      </c>
      <c r="G283" s="83">
        <v>0.5416666666666666</v>
      </c>
      <c r="H283" s="83">
        <v>0.1875</v>
      </c>
      <c r="I283" s="84">
        <v>44341.0</v>
      </c>
      <c r="J283" s="65" t="b">
        <v>1</v>
      </c>
      <c r="K283" s="65"/>
      <c r="L283" s="85" t="b">
        <f>IF(VLOOKUP(C283,Projetos!A:L,12,false)=TRUE,TRUE,FALSE)</f>
        <v>1</v>
      </c>
      <c r="M283" s="74">
        <v>33.15972725468975</v>
      </c>
      <c r="N283" s="74">
        <f t="shared" si="1"/>
        <v>149.2187726</v>
      </c>
      <c r="O283" s="74" t="b">
        <v>1</v>
      </c>
    </row>
    <row r="284" hidden="1">
      <c r="A284" s="82"/>
      <c r="B284" s="65" t="s">
        <v>146</v>
      </c>
      <c r="C284" s="65" t="s">
        <v>88</v>
      </c>
      <c r="D284" s="65" t="str">
        <f>vlookup(C284,'Classificação p pessoal'!F:G,2,false)</f>
        <v>MProduto</v>
      </c>
      <c r="E284" s="65" t="s">
        <v>162</v>
      </c>
      <c r="F284" s="83">
        <v>0.3541666666666667</v>
      </c>
      <c r="G284" s="83">
        <v>0.5416666666666666</v>
      </c>
      <c r="H284" s="83">
        <v>0.1875</v>
      </c>
      <c r="I284" s="84">
        <v>44342.0</v>
      </c>
      <c r="J284" s="65" t="b">
        <v>1</v>
      </c>
      <c r="K284" s="65"/>
      <c r="L284" s="85" t="b">
        <f>IF(VLOOKUP(C284,Projetos!A:L,12,false)=TRUE,TRUE,FALSE)</f>
        <v>1</v>
      </c>
      <c r="M284" s="74">
        <v>33.15972725468975</v>
      </c>
      <c r="N284" s="74">
        <f t="shared" si="1"/>
        <v>149.2187726</v>
      </c>
      <c r="O284" s="74" t="b">
        <v>1</v>
      </c>
    </row>
    <row r="285" hidden="1">
      <c r="A285" s="82"/>
      <c r="B285" s="65" t="s">
        <v>146</v>
      </c>
      <c r="C285" s="65" t="s">
        <v>88</v>
      </c>
      <c r="D285" s="65" t="str">
        <f>vlookup(C285,'Classificação p pessoal'!F:G,2,false)</f>
        <v>MProduto</v>
      </c>
      <c r="E285" s="65" t="s">
        <v>162</v>
      </c>
      <c r="F285" s="83">
        <v>0.3541666666666667</v>
      </c>
      <c r="G285" s="83">
        <v>0.5208333333333334</v>
      </c>
      <c r="H285" s="83">
        <v>0.16666666666666666</v>
      </c>
      <c r="I285" s="84">
        <v>44343.0</v>
      </c>
      <c r="J285" s="65" t="b">
        <v>1</v>
      </c>
      <c r="K285" s="65"/>
      <c r="L285" s="85" t="b">
        <f>IF(VLOOKUP(C285,Projetos!A:L,12,false)=TRUE,TRUE,FALSE)</f>
        <v>1</v>
      </c>
      <c r="M285" s="74">
        <v>33.15972725468975</v>
      </c>
      <c r="N285" s="74">
        <f t="shared" si="1"/>
        <v>132.638909</v>
      </c>
      <c r="O285" s="74" t="b">
        <v>1</v>
      </c>
    </row>
    <row r="286" hidden="1">
      <c r="A286" s="82"/>
      <c r="B286" s="65" t="s">
        <v>146</v>
      </c>
      <c r="C286" s="65" t="s">
        <v>88</v>
      </c>
      <c r="D286" s="65" t="str">
        <f>vlookup(C286,'Classificação p pessoal'!F:G,2,false)</f>
        <v>MProduto</v>
      </c>
      <c r="E286" s="65" t="s">
        <v>162</v>
      </c>
      <c r="F286" s="83">
        <v>0.3958333333333333</v>
      </c>
      <c r="G286" s="83">
        <v>0.5416666666666666</v>
      </c>
      <c r="H286" s="83">
        <v>0.14583333333333334</v>
      </c>
      <c r="I286" s="84">
        <v>44344.0</v>
      </c>
      <c r="J286" s="65" t="b">
        <v>1</v>
      </c>
      <c r="K286" s="65"/>
      <c r="L286" s="85" t="b">
        <f>IF(VLOOKUP(C286,Projetos!A:L,12,false)=TRUE,TRUE,FALSE)</f>
        <v>1</v>
      </c>
      <c r="M286" s="74">
        <v>33.15972725468975</v>
      </c>
      <c r="N286" s="74">
        <f t="shared" si="1"/>
        <v>116.0590454</v>
      </c>
      <c r="O286" s="74" t="b">
        <v>1</v>
      </c>
    </row>
    <row r="287" hidden="1">
      <c r="A287" s="82"/>
      <c r="B287" s="65" t="s">
        <v>146</v>
      </c>
      <c r="C287" s="65" t="s">
        <v>87</v>
      </c>
      <c r="D287" s="65" t="str">
        <f>vlookup(C287,'Classificação p pessoal'!F:G,2,false)</f>
        <v>MProduto</v>
      </c>
      <c r="E287" s="65" t="s">
        <v>163</v>
      </c>
      <c r="F287" s="83">
        <v>0.3333333333333333</v>
      </c>
      <c r="G287" s="83">
        <v>0.75</v>
      </c>
      <c r="H287" s="83">
        <v>0.4166666666666667</v>
      </c>
      <c r="I287" s="84">
        <v>44355.0</v>
      </c>
      <c r="J287" s="65" t="b">
        <v>1</v>
      </c>
      <c r="K287" s="65"/>
      <c r="L287" s="85" t="b">
        <f>IF(VLOOKUP(C287,Projetos!A:L,12,false)=TRUE,TRUE,FALSE)</f>
        <v>1</v>
      </c>
      <c r="M287" s="74">
        <v>33.15972725468975</v>
      </c>
      <c r="N287" s="74">
        <f t="shared" si="1"/>
        <v>331.5972725</v>
      </c>
      <c r="O287" s="74" t="b">
        <v>1</v>
      </c>
    </row>
    <row r="288" hidden="1">
      <c r="A288" s="82"/>
      <c r="B288" s="65" t="s">
        <v>146</v>
      </c>
      <c r="C288" s="65" t="s">
        <v>87</v>
      </c>
      <c r="D288" s="65" t="str">
        <f>vlookup(C288,'Classificação p pessoal'!F:G,2,false)</f>
        <v>MProduto</v>
      </c>
      <c r="E288" s="65" t="s">
        <v>163</v>
      </c>
      <c r="F288" s="83">
        <v>0.3125</v>
      </c>
      <c r="G288" s="83">
        <v>0.7916666666666666</v>
      </c>
      <c r="H288" s="83">
        <v>0.4791666666666667</v>
      </c>
      <c r="I288" s="84">
        <v>44356.0</v>
      </c>
      <c r="J288" s="65" t="b">
        <v>1</v>
      </c>
      <c r="K288" s="65"/>
      <c r="L288" s="85" t="b">
        <f>IF(VLOOKUP(C288,Projetos!A:L,12,false)=TRUE,TRUE,FALSE)</f>
        <v>1</v>
      </c>
      <c r="M288" s="74">
        <v>33.15972725468975</v>
      </c>
      <c r="N288" s="74">
        <f t="shared" si="1"/>
        <v>381.3368634</v>
      </c>
      <c r="O288" s="74" t="b">
        <v>1</v>
      </c>
    </row>
    <row r="289" hidden="1">
      <c r="A289" s="82"/>
      <c r="B289" s="65" t="s">
        <v>146</v>
      </c>
      <c r="C289" s="65" t="s">
        <v>87</v>
      </c>
      <c r="D289" s="65" t="str">
        <f>vlookup(C289,'Classificação p pessoal'!F:G,2,false)</f>
        <v>MProduto</v>
      </c>
      <c r="E289" s="65" t="s">
        <v>163</v>
      </c>
      <c r="F289" s="83">
        <v>0.3333333333333333</v>
      </c>
      <c r="G289" s="83">
        <v>0.75</v>
      </c>
      <c r="H289" s="83">
        <v>0.4166666666666667</v>
      </c>
      <c r="I289" s="84">
        <v>44357.0</v>
      </c>
      <c r="J289" s="65" t="b">
        <v>1</v>
      </c>
      <c r="K289" s="65"/>
      <c r="L289" s="85" t="b">
        <f>IF(VLOOKUP(C289,Projetos!A:L,12,false)=TRUE,TRUE,FALSE)</f>
        <v>1</v>
      </c>
      <c r="M289" s="74">
        <v>33.15972725468975</v>
      </c>
      <c r="N289" s="74">
        <f t="shared" si="1"/>
        <v>331.5972725</v>
      </c>
      <c r="O289" s="74" t="b">
        <v>1</v>
      </c>
    </row>
    <row r="290" hidden="1">
      <c r="A290" s="82"/>
      <c r="B290" s="65" t="s">
        <v>146</v>
      </c>
      <c r="C290" s="65" t="s">
        <v>87</v>
      </c>
      <c r="D290" s="65" t="str">
        <f>vlookup(C290,'Classificação p pessoal'!F:G,2,false)</f>
        <v>MProduto</v>
      </c>
      <c r="E290" s="65" t="s">
        <v>163</v>
      </c>
      <c r="F290" s="83">
        <v>0.3333333333333333</v>
      </c>
      <c r="G290" s="83">
        <v>0.75</v>
      </c>
      <c r="H290" s="83">
        <v>0.4166666666666667</v>
      </c>
      <c r="I290" s="84">
        <v>44358.0</v>
      </c>
      <c r="J290" s="65" t="b">
        <v>1</v>
      </c>
      <c r="K290" s="65"/>
      <c r="L290" s="85" t="b">
        <f>IF(VLOOKUP(C290,Projetos!A:L,12,false)=TRUE,TRUE,FALSE)</f>
        <v>1</v>
      </c>
      <c r="M290" s="74">
        <v>33.15972725468975</v>
      </c>
      <c r="N290" s="74">
        <f t="shared" si="1"/>
        <v>331.5972725</v>
      </c>
      <c r="O290" s="74" t="b">
        <v>1</v>
      </c>
    </row>
    <row r="291" hidden="1">
      <c r="A291" s="82"/>
      <c r="B291" s="65" t="s">
        <v>146</v>
      </c>
      <c r="C291" s="65" t="s">
        <v>87</v>
      </c>
      <c r="D291" s="65" t="str">
        <f>vlookup(C291,'Classificação p pessoal'!F:G,2,false)</f>
        <v>MProduto</v>
      </c>
      <c r="E291" s="65" t="s">
        <v>163</v>
      </c>
      <c r="F291" s="83">
        <v>0.4375</v>
      </c>
      <c r="G291" s="83">
        <v>0.5416666666666666</v>
      </c>
      <c r="H291" s="83">
        <v>0.10416666666666667</v>
      </c>
      <c r="I291" s="84">
        <v>44448.0</v>
      </c>
      <c r="J291" s="65" t="b">
        <v>1</v>
      </c>
      <c r="K291" s="65"/>
      <c r="L291" s="85" t="b">
        <f>IF(VLOOKUP(C291,Projetos!A:L,12,false)=TRUE,TRUE,FALSE)</f>
        <v>1</v>
      </c>
      <c r="M291" s="74">
        <v>33.15972725468975</v>
      </c>
      <c r="N291" s="74">
        <f t="shared" si="1"/>
        <v>82.89931814</v>
      </c>
      <c r="O291" s="74" t="b">
        <v>1</v>
      </c>
    </row>
    <row r="292" hidden="1">
      <c r="A292" s="82"/>
      <c r="B292" s="65" t="s">
        <v>146</v>
      </c>
      <c r="C292" s="65" t="s">
        <v>87</v>
      </c>
      <c r="D292" s="65" t="str">
        <f>vlookup(C292,'Classificação p pessoal'!F:G,2,false)</f>
        <v>MProduto</v>
      </c>
      <c r="E292" s="65" t="s">
        <v>163</v>
      </c>
      <c r="F292" s="83">
        <v>0.16666666666666666</v>
      </c>
      <c r="G292" s="83">
        <v>0.5729166666666666</v>
      </c>
      <c r="H292" s="83">
        <v>0.40625</v>
      </c>
      <c r="I292" s="84">
        <v>44449.0</v>
      </c>
      <c r="J292" s="65" t="b">
        <v>1</v>
      </c>
      <c r="K292" s="65"/>
      <c r="L292" s="85" t="b">
        <f>IF(VLOOKUP(C292,Projetos!A:L,12,false)=TRUE,TRUE,FALSE)</f>
        <v>1</v>
      </c>
      <c r="M292" s="74">
        <v>33.15972725468975</v>
      </c>
      <c r="N292" s="74">
        <f t="shared" si="1"/>
        <v>323.3073407</v>
      </c>
      <c r="O292" s="74" t="b">
        <v>1</v>
      </c>
    </row>
    <row r="293" hidden="1">
      <c r="A293" s="82"/>
      <c r="B293" s="65" t="s">
        <v>146</v>
      </c>
      <c r="C293" s="65" t="s">
        <v>87</v>
      </c>
      <c r="D293" s="65" t="str">
        <f>vlookup(C293,'Classificação p pessoal'!F:G,2,false)</f>
        <v>MProduto</v>
      </c>
      <c r="E293" s="65" t="s">
        <v>163</v>
      </c>
      <c r="F293" s="83">
        <v>0.16666666666666666</v>
      </c>
      <c r="G293" s="83">
        <v>0.3958333333333333</v>
      </c>
      <c r="H293" s="83">
        <v>0.22916666666666666</v>
      </c>
      <c r="I293" s="84">
        <v>44450.0</v>
      </c>
      <c r="J293" s="65" t="b">
        <v>1</v>
      </c>
      <c r="K293" s="65"/>
      <c r="L293" s="85" t="b">
        <f>IF(VLOOKUP(C293,Projetos!A:L,12,false)=TRUE,TRUE,FALSE)</f>
        <v>1</v>
      </c>
      <c r="M293" s="74">
        <v>33.15972725468975</v>
      </c>
      <c r="N293" s="74">
        <f t="shared" si="1"/>
        <v>182.3784999</v>
      </c>
      <c r="O293" s="74" t="b">
        <v>1</v>
      </c>
    </row>
    <row r="294" hidden="1">
      <c r="A294" s="82"/>
      <c r="B294" s="65" t="s">
        <v>146</v>
      </c>
      <c r="C294" s="65" t="s">
        <v>87</v>
      </c>
      <c r="D294" s="65" t="str">
        <f>vlookup(C294,'Classificação p pessoal'!F:G,2,false)</f>
        <v>MProduto</v>
      </c>
      <c r="E294" s="65" t="s">
        <v>163</v>
      </c>
      <c r="F294" s="83">
        <v>0.4166666666666667</v>
      </c>
      <c r="G294" s="83">
        <v>0.5416666666666666</v>
      </c>
      <c r="H294" s="83">
        <v>0.125</v>
      </c>
      <c r="I294" s="84">
        <v>44451.0</v>
      </c>
      <c r="J294" s="65" t="b">
        <v>1</v>
      </c>
      <c r="K294" s="65"/>
      <c r="L294" s="85" t="b">
        <f>IF(VLOOKUP(C294,Projetos!A:L,12,false)=TRUE,TRUE,FALSE)</f>
        <v>1</v>
      </c>
      <c r="M294" s="74">
        <v>33.15972725468975</v>
      </c>
      <c r="N294" s="74">
        <f t="shared" si="1"/>
        <v>99.47918176</v>
      </c>
      <c r="O294" s="74" t="b">
        <v>1</v>
      </c>
    </row>
    <row r="295" hidden="1">
      <c r="A295" s="82"/>
      <c r="B295" s="65" t="s">
        <v>146</v>
      </c>
      <c r="C295" s="65" t="s">
        <v>87</v>
      </c>
      <c r="D295" s="65" t="str">
        <f>vlookup(C295,'Classificação p pessoal'!F:G,2,false)</f>
        <v>MProduto</v>
      </c>
      <c r="E295" s="65" t="s">
        <v>163</v>
      </c>
      <c r="F295" s="83">
        <v>0.25</v>
      </c>
      <c r="G295" s="83">
        <v>0.65625</v>
      </c>
      <c r="H295" s="83">
        <v>0.40625</v>
      </c>
      <c r="I295" s="84">
        <v>44452.0</v>
      </c>
      <c r="J295" s="65" t="b">
        <v>1</v>
      </c>
      <c r="K295" s="65"/>
      <c r="L295" s="85" t="b">
        <f>IF(VLOOKUP(C295,Projetos!A:L,12,false)=TRUE,TRUE,FALSE)</f>
        <v>1</v>
      </c>
      <c r="M295" s="74">
        <v>33.15972725468975</v>
      </c>
      <c r="N295" s="74">
        <f t="shared" si="1"/>
        <v>323.3073407</v>
      </c>
      <c r="O295" s="74" t="b">
        <v>1</v>
      </c>
    </row>
    <row r="296" hidden="1">
      <c r="A296" s="82"/>
      <c r="B296" s="65" t="s">
        <v>146</v>
      </c>
      <c r="C296" s="65" t="s">
        <v>87</v>
      </c>
      <c r="D296" s="65" t="str">
        <f>vlookup(C296,'Classificação p pessoal'!F:G,2,false)</f>
        <v>MProduto</v>
      </c>
      <c r="E296" s="65" t="s">
        <v>163</v>
      </c>
      <c r="F296" s="83">
        <v>0.2916666666666667</v>
      </c>
      <c r="G296" s="83">
        <v>0.6979166666666666</v>
      </c>
      <c r="H296" s="83">
        <v>0.40625</v>
      </c>
      <c r="I296" s="84">
        <v>44453.0</v>
      </c>
      <c r="J296" s="65" t="b">
        <v>1</v>
      </c>
      <c r="K296" s="65"/>
      <c r="L296" s="85" t="b">
        <f>IF(VLOOKUP(C296,Projetos!A:L,12,false)=TRUE,TRUE,FALSE)</f>
        <v>1</v>
      </c>
      <c r="M296" s="74">
        <v>33.15972725468975</v>
      </c>
      <c r="N296" s="74">
        <f t="shared" si="1"/>
        <v>323.3073407</v>
      </c>
      <c r="O296" s="74" t="b">
        <v>1</v>
      </c>
    </row>
    <row r="297" hidden="1">
      <c r="A297" s="82"/>
      <c r="B297" s="65" t="s">
        <v>146</v>
      </c>
      <c r="C297" s="65" t="s">
        <v>88</v>
      </c>
      <c r="D297" s="65" t="str">
        <f>vlookup(C297,'Classificação p pessoal'!F:G,2,false)</f>
        <v>MProduto</v>
      </c>
      <c r="E297" s="65" t="s">
        <v>164</v>
      </c>
      <c r="F297" s="83">
        <v>0.3541666666666667</v>
      </c>
      <c r="G297" s="83">
        <v>0.5416666666666666</v>
      </c>
      <c r="H297" s="83">
        <v>0.1875</v>
      </c>
      <c r="I297" s="84">
        <v>44531.0</v>
      </c>
      <c r="J297" s="65" t="b">
        <v>1</v>
      </c>
      <c r="K297" s="65"/>
      <c r="L297" s="85" t="b">
        <f>IF(VLOOKUP(C297,Projetos!A:L,12,false)=TRUE,TRUE,FALSE)</f>
        <v>1</v>
      </c>
      <c r="M297" s="74">
        <v>33.15972725468975</v>
      </c>
      <c r="N297" s="74">
        <f t="shared" si="1"/>
        <v>149.2187726</v>
      </c>
      <c r="O297" s="74" t="b">
        <v>1</v>
      </c>
    </row>
    <row r="298" hidden="1">
      <c r="A298" s="82"/>
      <c r="B298" s="65" t="s">
        <v>146</v>
      </c>
      <c r="C298" s="65" t="s">
        <v>88</v>
      </c>
      <c r="D298" s="65" t="str">
        <f>vlookup(C298,'Classificação p pessoal'!F:G,2,false)</f>
        <v>MProduto</v>
      </c>
      <c r="E298" s="65" t="s">
        <v>164</v>
      </c>
      <c r="F298" s="83">
        <v>0.5833333333333334</v>
      </c>
      <c r="G298" s="83">
        <v>0.75</v>
      </c>
      <c r="H298" s="83">
        <v>0.16666666666666666</v>
      </c>
      <c r="I298" s="84">
        <v>44532.0</v>
      </c>
      <c r="J298" s="65" t="b">
        <v>1</v>
      </c>
      <c r="K298" s="65"/>
      <c r="L298" s="85" t="b">
        <f>IF(VLOOKUP(C298,Projetos!A:L,12,false)=TRUE,TRUE,FALSE)</f>
        <v>1</v>
      </c>
      <c r="M298" s="74">
        <v>33.15972725468975</v>
      </c>
      <c r="N298" s="74">
        <f t="shared" si="1"/>
        <v>132.638909</v>
      </c>
      <c r="O298" s="74" t="b">
        <v>1</v>
      </c>
    </row>
    <row r="299" hidden="1">
      <c r="A299" s="82"/>
      <c r="B299" s="65" t="s">
        <v>146</v>
      </c>
      <c r="C299" s="65" t="s">
        <v>88</v>
      </c>
      <c r="D299" s="65" t="str">
        <f>vlookup(C299,'Classificação p pessoal'!F:G,2,false)</f>
        <v>MProduto</v>
      </c>
      <c r="E299" s="65" t="s">
        <v>164</v>
      </c>
      <c r="F299" s="83">
        <v>0.3541666666666667</v>
      </c>
      <c r="G299" s="83">
        <v>0.5416666666666666</v>
      </c>
      <c r="H299" s="83">
        <v>0.1875</v>
      </c>
      <c r="I299" s="84">
        <v>44533.0</v>
      </c>
      <c r="J299" s="65" t="b">
        <v>1</v>
      </c>
      <c r="K299" s="65"/>
      <c r="L299" s="85" t="b">
        <f>IF(VLOOKUP(C299,Projetos!A:L,12,false)=TRUE,TRUE,FALSE)</f>
        <v>1</v>
      </c>
      <c r="M299" s="74">
        <v>33.15972725468975</v>
      </c>
      <c r="N299" s="74">
        <f t="shared" si="1"/>
        <v>149.2187726</v>
      </c>
      <c r="O299" s="74" t="b">
        <v>1</v>
      </c>
    </row>
    <row r="300" hidden="1">
      <c r="A300" s="82"/>
      <c r="B300" s="65" t="s">
        <v>146</v>
      </c>
      <c r="C300" s="65" t="s">
        <v>88</v>
      </c>
      <c r="D300" s="65" t="str">
        <f>vlookup(C300,'Classificação p pessoal'!F:G,2,false)</f>
        <v>MProduto</v>
      </c>
      <c r="E300" s="65" t="s">
        <v>164</v>
      </c>
      <c r="F300" s="83">
        <v>0.5625</v>
      </c>
      <c r="G300" s="83">
        <v>0.75</v>
      </c>
      <c r="H300" s="83">
        <v>0.1875</v>
      </c>
      <c r="I300" s="84">
        <v>44536.0</v>
      </c>
      <c r="J300" s="65" t="b">
        <v>1</v>
      </c>
      <c r="K300" s="65"/>
      <c r="L300" s="85" t="b">
        <f>IF(VLOOKUP(C300,Projetos!A:L,12,false)=TRUE,TRUE,FALSE)</f>
        <v>1</v>
      </c>
      <c r="M300" s="74">
        <v>33.15972725468975</v>
      </c>
      <c r="N300" s="74">
        <f t="shared" si="1"/>
        <v>149.2187726</v>
      </c>
      <c r="O300" s="74" t="b">
        <v>1</v>
      </c>
    </row>
    <row r="301" hidden="1">
      <c r="A301" s="82"/>
      <c r="B301" s="65" t="s">
        <v>146</v>
      </c>
      <c r="C301" s="65" t="s">
        <v>88</v>
      </c>
      <c r="D301" s="65" t="str">
        <f>vlookup(C301,'Classificação p pessoal'!F:G,2,false)</f>
        <v>MProduto</v>
      </c>
      <c r="E301" s="65" t="s">
        <v>164</v>
      </c>
      <c r="F301" s="83">
        <v>0.5416666666666666</v>
      </c>
      <c r="G301" s="83">
        <v>0.75</v>
      </c>
      <c r="H301" s="83">
        <v>0.20833333333333334</v>
      </c>
      <c r="I301" s="84">
        <v>44537.0</v>
      </c>
      <c r="J301" s="65" t="b">
        <v>1</v>
      </c>
      <c r="K301" s="65"/>
      <c r="L301" s="85" t="b">
        <f>IF(VLOOKUP(C301,Projetos!A:L,12,false)=TRUE,TRUE,FALSE)</f>
        <v>1</v>
      </c>
      <c r="M301" s="74">
        <v>33.15972725468975</v>
      </c>
      <c r="N301" s="74">
        <f t="shared" si="1"/>
        <v>165.7986363</v>
      </c>
      <c r="O301" s="74" t="b">
        <v>1</v>
      </c>
    </row>
    <row r="302" hidden="1">
      <c r="A302" s="82"/>
      <c r="B302" s="65" t="s">
        <v>146</v>
      </c>
      <c r="C302" s="65" t="s">
        <v>88</v>
      </c>
      <c r="D302" s="65" t="str">
        <f>vlookup(C302,'Classificação p pessoal'!F:G,2,false)</f>
        <v>MProduto</v>
      </c>
      <c r="E302" s="65" t="s">
        <v>164</v>
      </c>
      <c r="F302" s="83">
        <v>0.3541666666666667</v>
      </c>
      <c r="G302" s="83">
        <v>0.5416666666666666</v>
      </c>
      <c r="H302" s="83">
        <v>0.1875</v>
      </c>
      <c r="I302" s="84">
        <v>44538.0</v>
      </c>
      <c r="J302" s="65" t="b">
        <v>1</v>
      </c>
      <c r="K302" s="65"/>
      <c r="L302" s="85" t="b">
        <f>IF(VLOOKUP(C302,Projetos!A:L,12,false)=TRUE,TRUE,FALSE)</f>
        <v>1</v>
      </c>
      <c r="M302" s="74">
        <v>33.15972725468975</v>
      </c>
      <c r="N302" s="74">
        <f t="shared" si="1"/>
        <v>149.2187726</v>
      </c>
      <c r="O302" s="74" t="b">
        <v>1</v>
      </c>
    </row>
    <row r="303" hidden="1">
      <c r="A303" s="82"/>
      <c r="B303" s="65" t="s">
        <v>146</v>
      </c>
      <c r="C303" s="65" t="s">
        <v>88</v>
      </c>
      <c r="D303" s="65" t="str">
        <f>vlookup(C303,'Classificação p pessoal'!F:G,2,false)</f>
        <v>MProduto</v>
      </c>
      <c r="E303" s="65" t="s">
        <v>164</v>
      </c>
      <c r="F303" s="83">
        <v>0.5416666666666666</v>
      </c>
      <c r="G303" s="83">
        <v>0.6458333333333334</v>
      </c>
      <c r="H303" s="83">
        <v>0.10416666666666667</v>
      </c>
      <c r="I303" s="84">
        <v>44539.0</v>
      </c>
      <c r="J303" s="65" t="b">
        <v>1</v>
      </c>
      <c r="K303" s="65"/>
      <c r="L303" s="85" t="b">
        <f>IF(VLOOKUP(C303,Projetos!A:L,12,false)=TRUE,TRUE,FALSE)</f>
        <v>1</v>
      </c>
      <c r="M303" s="74">
        <v>33.15972725468975</v>
      </c>
      <c r="N303" s="74">
        <f t="shared" si="1"/>
        <v>82.89931814</v>
      </c>
      <c r="O303" s="74" t="b">
        <v>1</v>
      </c>
    </row>
    <row r="304" hidden="1">
      <c r="A304" s="82"/>
      <c r="B304" s="65" t="s">
        <v>146</v>
      </c>
      <c r="C304" s="65" t="s">
        <v>88</v>
      </c>
      <c r="D304" s="65" t="str">
        <f>vlookup(C304,'Classificação p pessoal'!F:G,2,false)</f>
        <v>MProduto</v>
      </c>
      <c r="E304" s="65" t="s">
        <v>164</v>
      </c>
      <c r="F304" s="83">
        <v>0.3541666666666667</v>
      </c>
      <c r="G304" s="83">
        <v>0.4583333333333333</v>
      </c>
      <c r="H304" s="83">
        <v>0.10416666666666667</v>
      </c>
      <c r="I304" s="84">
        <v>44540.0</v>
      </c>
      <c r="J304" s="65" t="b">
        <v>1</v>
      </c>
      <c r="K304" s="65"/>
      <c r="L304" s="85" t="b">
        <f>IF(VLOOKUP(C304,Projetos!A:L,12,false)=TRUE,TRUE,FALSE)</f>
        <v>1</v>
      </c>
      <c r="M304" s="74">
        <v>33.15972725468975</v>
      </c>
      <c r="N304" s="74">
        <f t="shared" si="1"/>
        <v>82.89931814</v>
      </c>
      <c r="O304" s="74" t="b">
        <v>1</v>
      </c>
    </row>
    <row r="305" hidden="1">
      <c r="A305" s="82"/>
      <c r="B305" s="65" t="s">
        <v>146</v>
      </c>
      <c r="C305" s="65" t="s">
        <v>88</v>
      </c>
      <c r="D305" s="65" t="str">
        <f>vlookup(C305,'Classificação p pessoal'!F:G,2,false)</f>
        <v>MProduto</v>
      </c>
      <c r="E305" s="65" t="s">
        <v>164</v>
      </c>
      <c r="F305" s="83">
        <v>0.3541666666666667</v>
      </c>
      <c r="G305" s="83">
        <v>0.5416666666666666</v>
      </c>
      <c r="H305" s="83">
        <v>0.1875</v>
      </c>
      <c r="I305" s="84">
        <v>44543.0</v>
      </c>
      <c r="J305" s="65" t="b">
        <v>1</v>
      </c>
      <c r="K305" s="65"/>
      <c r="L305" s="85" t="b">
        <f>IF(VLOOKUP(C305,Projetos!A:L,12,false)=TRUE,TRUE,FALSE)</f>
        <v>1</v>
      </c>
      <c r="M305" s="74">
        <v>33.15972725468975</v>
      </c>
      <c r="N305" s="74">
        <f t="shared" si="1"/>
        <v>149.2187726</v>
      </c>
      <c r="O305" s="74" t="b">
        <v>1</v>
      </c>
    </row>
    <row r="306" hidden="1">
      <c r="A306" s="82"/>
      <c r="B306" s="65" t="s">
        <v>146</v>
      </c>
      <c r="C306" s="65" t="s">
        <v>88</v>
      </c>
      <c r="D306" s="65" t="str">
        <f>vlookup(C306,'Classificação p pessoal'!F:G,2,false)</f>
        <v>MProduto</v>
      </c>
      <c r="E306" s="65" t="s">
        <v>164</v>
      </c>
      <c r="F306" s="83">
        <v>0.3541666666666667</v>
      </c>
      <c r="G306" s="83">
        <v>0.4166666666666667</v>
      </c>
      <c r="H306" s="83">
        <v>0.0625</v>
      </c>
      <c r="I306" s="84">
        <v>44544.0</v>
      </c>
      <c r="J306" s="65" t="b">
        <v>1</v>
      </c>
      <c r="K306" s="65"/>
      <c r="L306" s="85" t="b">
        <f>IF(VLOOKUP(C306,Projetos!A:L,12,false)=TRUE,TRUE,FALSE)</f>
        <v>1</v>
      </c>
      <c r="M306" s="74">
        <v>33.15972725468975</v>
      </c>
      <c r="N306" s="74">
        <f t="shared" si="1"/>
        <v>49.73959088</v>
      </c>
      <c r="O306" s="74" t="b">
        <v>1</v>
      </c>
    </row>
    <row r="307" hidden="1">
      <c r="A307" s="82"/>
      <c r="B307" s="65" t="s">
        <v>146</v>
      </c>
      <c r="C307" s="65" t="s">
        <v>88</v>
      </c>
      <c r="D307" s="65" t="str">
        <f>vlookup(C307,'Classificação p pessoal'!F:G,2,false)</f>
        <v>MProduto</v>
      </c>
      <c r="E307" s="65" t="s">
        <v>164</v>
      </c>
      <c r="F307" s="83">
        <v>0.5416666666666666</v>
      </c>
      <c r="G307" s="83">
        <v>0.75</v>
      </c>
      <c r="H307" s="83">
        <v>0.20833333333333334</v>
      </c>
      <c r="I307" s="84">
        <v>44545.0</v>
      </c>
      <c r="J307" s="65" t="b">
        <v>1</v>
      </c>
      <c r="K307" s="65"/>
      <c r="L307" s="85" t="b">
        <f>IF(VLOOKUP(C307,Projetos!A:L,12,false)=TRUE,TRUE,FALSE)</f>
        <v>1</v>
      </c>
      <c r="M307" s="74">
        <v>33.15972725468975</v>
      </c>
      <c r="N307" s="74">
        <f t="shared" si="1"/>
        <v>165.7986363</v>
      </c>
      <c r="O307" s="74" t="b">
        <v>1</v>
      </c>
    </row>
    <row r="308" hidden="1">
      <c r="A308" s="82"/>
      <c r="B308" s="65" t="s">
        <v>146</v>
      </c>
      <c r="C308" s="65" t="s">
        <v>88</v>
      </c>
      <c r="D308" s="65" t="str">
        <f>vlookup(C308,'Classificação p pessoal'!F:G,2,false)</f>
        <v>MProduto</v>
      </c>
      <c r="E308" s="65" t="s">
        <v>164</v>
      </c>
      <c r="F308" s="83">
        <v>0.3541666666666667</v>
      </c>
      <c r="G308" s="83">
        <v>0.5416666666666666</v>
      </c>
      <c r="H308" s="83">
        <v>0.1875</v>
      </c>
      <c r="I308" s="84">
        <v>44546.0</v>
      </c>
      <c r="J308" s="65" t="b">
        <v>1</v>
      </c>
      <c r="K308" s="65"/>
      <c r="L308" s="85" t="b">
        <f>IF(VLOOKUP(C308,Projetos!A:L,12,false)=TRUE,TRUE,FALSE)</f>
        <v>1</v>
      </c>
      <c r="M308" s="74">
        <v>33.15972725468975</v>
      </c>
      <c r="N308" s="74">
        <f t="shared" si="1"/>
        <v>149.2187726</v>
      </c>
      <c r="O308" s="74" t="b">
        <v>1</v>
      </c>
    </row>
    <row r="309" hidden="1">
      <c r="A309" s="82"/>
      <c r="B309" s="65" t="s">
        <v>146</v>
      </c>
      <c r="C309" s="65" t="s">
        <v>88</v>
      </c>
      <c r="D309" s="65" t="str">
        <f>vlookup(C309,'Classificação p pessoal'!F:G,2,false)</f>
        <v>MProduto</v>
      </c>
      <c r="E309" s="65" t="s">
        <v>164</v>
      </c>
      <c r="F309" s="83">
        <v>0.5416666666666666</v>
      </c>
      <c r="G309" s="83">
        <v>0.75</v>
      </c>
      <c r="H309" s="83">
        <v>0.20833333333333334</v>
      </c>
      <c r="I309" s="84">
        <v>44550.0</v>
      </c>
      <c r="J309" s="65" t="b">
        <v>1</v>
      </c>
      <c r="K309" s="65"/>
      <c r="L309" s="85" t="b">
        <f>IF(VLOOKUP(C309,Projetos!A:L,12,false)=TRUE,TRUE,FALSE)</f>
        <v>1</v>
      </c>
      <c r="M309" s="74">
        <v>33.15972725468975</v>
      </c>
      <c r="N309" s="74">
        <f t="shared" si="1"/>
        <v>165.7986363</v>
      </c>
      <c r="O309" s="74" t="b">
        <v>1</v>
      </c>
    </row>
    <row r="310" hidden="1">
      <c r="A310" s="82"/>
      <c r="B310" s="65" t="s">
        <v>146</v>
      </c>
      <c r="C310" s="65" t="s">
        <v>88</v>
      </c>
      <c r="D310" s="65" t="str">
        <f>vlookup(C310,'Classificação p pessoal'!F:G,2,false)</f>
        <v>MProduto</v>
      </c>
      <c r="E310" s="65" t="s">
        <v>164</v>
      </c>
      <c r="F310" s="83">
        <v>0.34375</v>
      </c>
      <c r="G310" s="83">
        <v>0.5416666666666666</v>
      </c>
      <c r="H310" s="83">
        <v>0.19791666666666666</v>
      </c>
      <c r="I310" s="84">
        <v>44551.0</v>
      </c>
      <c r="J310" s="65" t="b">
        <v>1</v>
      </c>
      <c r="K310" s="65"/>
      <c r="L310" s="85" t="b">
        <f>IF(VLOOKUP(C310,Projetos!A:L,12,false)=TRUE,TRUE,FALSE)</f>
        <v>1</v>
      </c>
      <c r="M310" s="74">
        <v>33.15972725468975</v>
      </c>
      <c r="N310" s="74">
        <f t="shared" si="1"/>
        <v>157.5087045</v>
      </c>
      <c r="O310" s="74" t="b">
        <v>1</v>
      </c>
    </row>
    <row r="311" hidden="1">
      <c r="A311" s="82"/>
      <c r="B311" s="65" t="s">
        <v>146</v>
      </c>
      <c r="C311" s="65" t="s">
        <v>88</v>
      </c>
      <c r="D311" s="65" t="str">
        <f>vlookup(C311,'Classificação p pessoal'!F:G,2,false)</f>
        <v>MProduto</v>
      </c>
      <c r="E311" s="65" t="s">
        <v>164</v>
      </c>
      <c r="F311" s="83">
        <v>0.34375</v>
      </c>
      <c r="G311" s="83">
        <v>0.5520833333333334</v>
      </c>
      <c r="H311" s="83">
        <v>0.20833333333333334</v>
      </c>
      <c r="I311" s="84">
        <v>44552.0</v>
      </c>
      <c r="J311" s="65" t="b">
        <v>1</v>
      </c>
      <c r="K311" s="65"/>
      <c r="L311" s="85" t="b">
        <f>IF(VLOOKUP(C311,Projetos!A:L,12,false)=TRUE,TRUE,FALSE)</f>
        <v>1</v>
      </c>
      <c r="M311" s="74">
        <v>33.15972725468975</v>
      </c>
      <c r="N311" s="74">
        <f t="shared" si="1"/>
        <v>165.7986363</v>
      </c>
      <c r="O311" s="74" t="b">
        <v>1</v>
      </c>
    </row>
    <row r="312" hidden="1">
      <c r="A312" s="82"/>
      <c r="B312" s="65" t="s">
        <v>146</v>
      </c>
      <c r="C312" s="65" t="s">
        <v>88</v>
      </c>
      <c r="D312" s="65" t="str">
        <f>vlookup(C312,'Classificação p pessoal'!F:G,2,false)</f>
        <v>MProduto</v>
      </c>
      <c r="E312" s="65" t="s">
        <v>164</v>
      </c>
      <c r="F312" s="83">
        <v>0.5833333333333334</v>
      </c>
      <c r="G312" s="83">
        <v>0.75</v>
      </c>
      <c r="H312" s="83">
        <v>0.16666666666666666</v>
      </c>
      <c r="I312" s="84">
        <v>44553.0</v>
      </c>
      <c r="J312" s="65" t="b">
        <v>1</v>
      </c>
      <c r="K312" s="65"/>
      <c r="L312" s="85" t="b">
        <f>IF(VLOOKUP(C312,Projetos!A:L,12,false)=TRUE,TRUE,FALSE)</f>
        <v>1</v>
      </c>
      <c r="M312" s="74">
        <v>33.15972725468975</v>
      </c>
      <c r="N312" s="74">
        <f t="shared" si="1"/>
        <v>132.638909</v>
      </c>
      <c r="O312" s="74" t="b">
        <v>1</v>
      </c>
    </row>
    <row r="313" hidden="1">
      <c r="A313" s="82"/>
      <c r="B313" s="65" t="s">
        <v>146</v>
      </c>
      <c r="C313" s="65" t="s">
        <v>88</v>
      </c>
      <c r="D313" s="65" t="str">
        <f>vlookup(C313,'Classificação p pessoal'!F:G,2,false)</f>
        <v>MProduto</v>
      </c>
      <c r="E313" s="65" t="s">
        <v>164</v>
      </c>
      <c r="F313" s="83">
        <v>0.5833333333333334</v>
      </c>
      <c r="G313" s="83">
        <v>0.75</v>
      </c>
      <c r="H313" s="83">
        <v>0.16666666666666666</v>
      </c>
      <c r="I313" s="84">
        <v>44557.0</v>
      </c>
      <c r="J313" s="65" t="b">
        <v>1</v>
      </c>
      <c r="K313" s="65"/>
      <c r="L313" s="85" t="b">
        <f>IF(VLOOKUP(C313,Projetos!A:L,12,false)=TRUE,TRUE,FALSE)</f>
        <v>1</v>
      </c>
      <c r="M313" s="74">
        <v>33.15972725468975</v>
      </c>
      <c r="N313" s="74">
        <f t="shared" si="1"/>
        <v>132.638909</v>
      </c>
      <c r="O313" s="74" t="b">
        <v>1</v>
      </c>
    </row>
    <row r="314" hidden="1">
      <c r="A314" s="82"/>
      <c r="B314" s="65" t="s">
        <v>146</v>
      </c>
      <c r="C314" s="65" t="s">
        <v>88</v>
      </c>
      <c r="D314" s="65" t="str">
        <f>vlookup(C314,'Classificação p pessoal'!F:G,2,false)</f>
        <v>MProduto</v>
      </c>
      <c r="E314" s="65" t="s">
        <v>164</v>
      </c>
      <c r="F314" s="83">
        <v>0.3541666666666667</v>
      </c>
      <c r="G314" s="83">
        <v>0.5416666666666666</v>
      </c>
      <c r="H314" s="83">
        <v>0.1875</v>
      </c>
      <c r="I314" s="84">
        <v>44558.0</v>
      </c>
      <c r="J314" s="65" t="b">
        <v>1</v>
      </c>
      <c r="K314" s="65"/>
      <c r="L314" s="85" t="b">
        <f>IF(VLOOKUP(C314,Projetos!A:L,12,false)=TRUE,TRUE,FALSE)</f>
        <v>1</v>
      </c>
      <c r="M314" s="74">
        <v>33.15972725468975</v>
      </c>
      <c r="N314" s="74">
        <f t="shared" si="1"/>
        <v>149.2187726</v>
      </c>
      <c r="O314" s="74" t="b">
        <v>1</v>
      </c>
    </row>
    <row r="315" hidden="1">
      <c r="A315" s="82"/>
      <c r="B315" s="65" t="s">
        <v>146</v>
      </c>
      <c r="C315" s="65" t="s">
        <v>88</v>
      </c>
      <c r="D315" s="65" t="str">
        <f>vlookup(C315,'Classificação p pessoal'!F:G,2,false)</f>
        <v>MProduto</v>
      </c>
      <c r="E315" s="65" t="s">
        <v>164</v>
      </c>
      <c r="F315" s="83">
        <v>0.3541666666666667</v>
      </c>
      <c r="G315" s="83">
        <v>0.5416666666666666</v>
      </c>
      <c r="H315" s="83">
        <v>0.1875</v>
      </c>
      <c r="I315" s="84">
        <v>44559.0</v>
      </c>
      <c r="J315" s="65" t="b">
        <v>1</v>
      </c>
      <c r="K315" s="65"/>
      <c r="L315" s="85" t="b">
        <f>IF(VLOOKUP(C315,Projetos!A:L,12,false)=TRUE,TRUE,FALSE)</f>
        <v>1</v>
      </c>
      <c r="M315" s="74">
        <v>33.15972725468975</v>
      </c>
      <c r="N315" s="74">
        <f t="shared" si="1"/>
        <v>149.2187726</v>
      </c>
      <c r="O315" s="74" t="b">
        <v>1</v>
      </c>
    </row>
    <row r="316" hidden="1">
      <c r="A316" s="82"/>
      <c r="B316" s="65" t="s">
        <v>146</v>
      </c>
      <c r="C316" s="65" t="s">
        <v>88</v>
      </c>
      <c r="D316" s="65" t="str">
        <f>vlookup(C316,'Classificação p pessoal'!F:G,2,false)</f>
        <v>MProduto</v>
      </c>
      <c r="E316" s="65" t="s">
        <v>164</v>
      </c>
      <c r="F316" s="83">
        <v>0.3541666666666667</v>
      </c>
      <c r="G316" s="83">
        <v>0.5416666666666666</v>
      </c>
      <c r="H316" s="83">
        <v>0.1875</v>
      </c>
      <c r="I316" s="84">
        <v>44560.0</v>
      </c>
      <c r="J316" s="65" t="b">
        <v>1</v>
      </c>
      <c r="K316" s="65"/>
      <c r="L316" s="85" t="b">
        <f>IF(VLOOKUP(C316,Projetos!A:L,12,false)=TRUE,TRUE,FALSE)</f>
        <v>1</v>
      </c>
      <c r="M316" s="74">
        <v>33.15972725468975</v>
      </c>
      <c r="N316" s="74">
        <f t="shared" si="1"/>
        <v>149.2187726</v>
      </c>
      <c r="O316" s="74" t="b">
        <v>1</v>
      </c>
    </row>
    <row r="317" hidden="1">
      <c r="A317" s="82"/>
      <c r="B317" s="65" t="s">
        <v>146</v>
      </c>
      <c r="C317" s="65" t="s">
        <v>88</v>
      </c>
      <c r="D317" s="65" t="str">
        <f>vlookup(C317,'Classificação p pessoal'!F:G,2,false)</f>
        <v>MProduto</v>
      </c>
      <c r="E317" s="65" t="s">
        <v>165</v>
      </c>
      <c r="F317" s="83">
        <v>0.4375</v>
      </c>
      <c r="G317" s="83">
        <v>0.5416666666666666</v>
      </c>
      <c r="H317" s="83">
        <v>0.10416666666666667</v>
      </c>
      <c r="I317" s="84">
        <v>44384.0</v>
      </c>
      <c r="J317" s="65" t="b">
        <v>1</v>
      </c>
      <c r="K317" s="65"/>
      <c r="L317" s="85" t="b">
        <f>IF(VLOOKUP(C317,Projetos!A:L,12,false)=TRUE,TRUE,FALSE)</f>
        <v>1</v>
      </c>
      <c r="M317" s="74">
        <v>33.15972725468975</v>
      </c>
      <c r="N317" s="74">
        <f t="shared" si="1"/>
        <v>82.89931814</v>
      </c>
      <c r="O317" s="74" t="b">
        <v>1</v>
      </c>
    </row>
    <row r="318" hidden="1">
      <c r="A318" s="82"/>
      <c r="B318" s="65" t="s">
        <v>146</v>
      </c>
      <c r="C318" s="65" t="s">
        <v>88</v>
      </c>
      <c r="D318" s="65" t="str">
        <f>vlookup(C318,'Classificação p pessoal'!F:G,2,false)</f>
        <v>MProduto</v>
      </c>
      <c r="E318" s="65" t="s">
        <v>165</v>
      </c>
      <c r="F318" s="83">
        <v>0.5833333333333334</v>
      </c>
      <c r="G318" s="83">
        <v>0.625</v>
      </c>
      <c r="H318" s="83">
        <v>0.041666666666666664</v>
      </c>
      <c r="I318" s="84">
        <v>44414.0</v>
      </c>
      <c r="J318" s="65" t="b">
        <v>1</v>
      </c>
      <c r="K318" s="65"/>
      <c r="L318" s="85" t="b">
        <f>IF(VLOOKUP(C318,Projetos!A:L,12,false)=TRUE,TRUE,FALSE)</f>
        <v>1</v>
      </c>
      <c r="M318" s="74">
        <v>33.15972725468975</v>
      </c>
      <c r="N318" s="74">
        <f t="shared" si="1"/>
        <v>33.15972725</v>
      </c>
      <c r="O318" s="74" t="b">
        <v>1</v>
      </c>
    </row>
    <row r="319" hidden="1">
      <c r="A319" s="82"/>
      <c r="B319" s="65" t="s">
        <v>146</v>
      </c>
      <c r="C319" s="65" t="s">
        <v>88</v>
      </c>
      <c r="D319" s="65" t="str">
        <f>vlookup(C319,'Classificação p pessoal'!F:G,2,false)</f>
        <v>MProduto</v>
      </c>
      <c r="E319" s="65" t="s">
        <v>165</v>
      </c>
      <c r="F319" s="83">
        <v>0.3541666666666667</v>
      </c>
      <c r="G319" s="83">
        <v>0.4791666666666667</v>
      </c>
      <c r="H319" s="83">
        <v>0.125</v>
      </c>
      <c r="I319" s="84">
        <v>44470.0</v>
      </c>
      <c r="J319" s="65" t="b">
        <v>1</v>
      </c>
      <c r="K319" s="65"/>
      <c r="L319" s="85" t="b">
        <f>IF(VLOOKUP(C319,Projetos!A:L,12,false)=TRUE,TRUE,FALSE)</f>
        <v>1</v>
      </c>
      <c r="M319" s="74">
        <v>33.15972725468975</v>
      </c>
      <c r="N319" s="74">
        <f t="shared" si="1"/>
        <v>99.47918176</v>
      </c>
      <c r="O319" s="74" t="b">
        <v>1</v>
      </c>
    </row>
    <row r="320" hidden="1">
      <c r="A320" s="82"/>
      <c r="B320" s="65" t="s">
        <v>146</v>
      </c>
      <c r="C320" s="65" t="s">
        <v>88</v>
      </c>
      <c r="D320" s="65" t="str">
        <f>vlookup(C320,'Classificação p pessoal'!F:G,2,false)</f>
        <v>MProduto</v>
      </c>
      <c r="E320" s="65" t="s">
        <v>165</v>
      </c>
      <c r="F320" s="83">
        <v>0.4166666666666667</v>
      </c>
      <c r="G320" s="83">
        <v>0.5</v>
      </c>
      <c r="H320" s="83">
        <v>0.08333333333333333</v>
      </c>
      <c r="I320" s="84">
        <v>44483.0</v>
      </c>
      <c r="J320" s="65" t="b">
        <v>1</v>
      </c>
      <c r="K320" s="65"/>
      <c r="L320" s="85" t="b">
        <f>IF(VLOOKUP(C320,Projetos!A:L,12,false)=TRUE,TRUE,FALSE)</f>
        <v>1</v>
      </c>
      <c r="M320" s="74">
        <v>33.15972725468975</v>
      </c>
      <c r="N320" s="74">
        <f t="shared" si="1"/>
        <v>66.31945451</v>
      </c>
      <c r="O320" s="74" t="b">
        <v>1</v>
      </c>
    </row>
    <row r="321" hidden="1">
      <c r="A321" s="82"/>
      <c r="B321" s="65" t="s">
        <v>146</v>
      </c>
      <c r="C321" s="65" t="s">
        <v>88</v>
      </c>
      <c r="D321" s="65" t="str">
        <f>vlookup(C321,'Classificação p pessoal'!F:G,2,false)</f>
        <v>MProduto</v>
      </c>
      <c r="E321" s="65" t="s">
        <v>165</v>
      </c>
      <c r="F321" s="83">
        <v>0.6666666666666666</v>
      </c>
      <c r="G321" s="83">
        <v>0.75</v>
      </c>
      <c r="H321" s="83">
        <v>0.08333333333333333</v>
      </c>
      <c r="I321" s="84">
        <v>44483.0</v>
      </c>
      <c r="J321" s="65" t="b">
        <v>1</v>
      </c>
      <c r="K321" s="65"/>
      <c r="L321" s="85" t="b">
        <f>IF(VLOOKUP(C321,Projetos!A:L,12,false)=TRUE,TRUE,FALSE)</f>
        <v>1</v>
      </c>
      <c r="M321" s="74">
        <v>33.15972725468975</v>
      </c>
      <c r="N321" s="74">
        <f t="shared" si="1"/>
        <v>66.31945451</v>
      </c>
      <c r="O321" s="74" t="b">
        <v>1</v>
      </c>
    </row>
    <row r="322" hidden="1">
      <c r="A322" s="82"/>
      <c r="B322" s="65" t="s">
        <v>146</v>
      </c>
      <c r="C322" s="65" t="s">
        <v>88</v>
      </c>
      <c r="D322" s="65" t="str">
        <f>vlookup(C322,'Classificação p pessoal'!F:G,2,false)</f>
        <v>MProduto</v>
      </c>
      <c r="E322" s="65" t="s">
        <v>165</v>
      </c>
      <c r="F322" s="83">
        <v>0.3541666666666667</v>
      </c>
      <c r="G322" s="83">
        <v>0.4583333333333333</v>
      </c>
      <c r="H322" s="83">
        <v>0.10416666666666667</v>
      </c>
      <c r="I322" s="84">
        <v>44484.0</v>
      </c>
      <c r="J322" s="65" t="b">
        <v>1</v>
      </c>
      <c r="K322" s="65"/>
      <c r="L322" s="85" t="b">
        <f>IF(VLOOKUP(C322,Projetos!A:L,12,false)=TRUE,TRUE,FALSE)</f>
        <v>1</v>
      </c>
      <c r="M322" s="74">
        <v>33.15972725468975</v>
      </c>
      <c r="N322" s="74">
        <f t="shared" si="1"/>
        <v>82.89931814</v>
      </c>
      <c r="O322" s="74" t="b">
        <v>1</v>
      </c>
    </row>
    <row r="323" hidden="1">
      <c r="A323" s="82"/>
      <c r="B323" s="65" t="s">
        <v>146</v>
      </c>
      <c r="C323" s="65" t="s">
        <v>88</v>
      </c>
      <c r="D323" s="65" t="str">
        <f>vlookup(C323,'Classificação p pessoal'!F:G,2,false)</f>
        <v>MProduto</v>
      </c>
      <c r="E323" s="65" t="s">
        <v>165</v>
      </c>
      <c r="F323" s="83">
        <v>0.3541666666666667</v>
      </c>
      <c r="G323" s="83">
        <v>0.5208333333333334</v>
      </c>
      <c r="H323" s="83">
        <v>0.16666666666666666</v>
      </c>
      <c r="I323" s="84">
        <v>44516.0</v>
      </c>
      <c r="J323" s="65" t="b">
        <v>1</v>
      </c>
      <c r="K323" s="65"/>
      <c r="L323" s="85" t="b">
        <f>IF(VLOOKUP(C323,Projetos!A:L,12,false)=TRUE,TRUE,FALSE)</f>
        <v>1</v>
      </c>
      <c r="M323" s="74">
        <v>33.15972725468975</v>
      </c>
      <c r="N323" s="74">
        <f t="shared" si="1"/>
        <v>132.638909</v>
      </c>
      <c r="O323" s="74" t="b">
        <v>1</v>
      </c>
    </row>
    <row r="324" hidden="1">
      <c r="A324" s="82"/>
      <c r="B324" s="65" t="s">
        <v>146</v>
      </c>
      <c r="C324" s="65" t="s">
        <v>88</v>
      </c>
      <c r="D324" s="65" t="str">
        <f>vlookup(C324,'Classificação p pessoal'!F:G,2,false)</f>
        <v>MProduto</v>
      </c>
      <c r="E324" s="65" t="s">
        <v>165</v>
      </c>
      <c r="F324" s="83">
        <v>0.625</v>
      </c>
      <c r="G324" s="83">
        <v>0.75</v>
      </c>
      <c r="H324" s="83">
        <v>0.125</v>
      </c>
      <c r="I324" s="84">
        <v>44517.0</v>
      </c>
      <c r="J324" s="65" t="b">
        <v>1</v>
      </c>
      <c r="K324" s="65"/>
      <c r="L324" s="85" t="b">
        <f>IF(VLOOKUP(C324,Projetos!A:L,12,false)=TRUE,TRUE,FALSE)</f>
        <v>1</v>
      </c>
      <c r="M324" s="74">
        <v>33.15972725468975</v>
      </c>
      <c r="N324" s="74">
        <f t="shared" si="1"/>
        <v>99.47918176</v>
      </c>
      <c r="O324" s="74" t="b">
        <v>1</v>
      </c>
    </row>
    <row r="325" hidden="1">
      <c r="A325" s="82"/>
      <c r="B325" s="65" t="s">
        <v>146</v>
      </c>
      <c r="C325" s="65" t="s">
        <v>88</v>
      </c>
      <c r="D325" s="65" t="str">
        <f>vlookup(C325,'Classificação p pessoal'!F:G,2,false)</f>
        <v>MProduto</v>
      </c>
      <c r="E325" s="65" t="s">
        <v>165</v>
      </c>
      <c r="F325" s="83">
        <v>0.6666666666666666</v>
      </c>
      <c r="G325" s="83">
        <v>0.75</v>
      </c>
      <c r="H325" s="83">
        <v>0.08333333333333333</v>
      </c>
      <c r="I325" s="84">
        <v>44524.0</v>
      </c>
      <c r="J325" s="65" t="b">
        <v>1</v>
      </c>
      <c r="K325" s="65"/>
      <c r="L325" s="85" t="b">
        <f>IF(VLOOKUP(C325,Projetos!A:L,12,false)=TRUE,TRUE,FALSE)</f>
        <v>1</v>
      </c>
      <c r="M325" s="74">
        <v>33.15972725468975</v>
      </c>
      <c r="N325" s="74">
        <f t="shared" si="1"/>
        <v>66.31945451</v>
      </c>
      <c r="O325" s="74" t="b">
        <v>1</v>
      </c>
    </row>
    <row r="326" hidden="1">
      <c r="A326" s="82"/>
      <c r="B326" s="65" t="s">
        <v>146</v>
      </c>
      <c r="C326" s="65" t="s">
        <v>88</v>
      </c>
      <c r="D326" s="65" t="str">
        <f>vlookup(C326,'Classificação p pessoal'!F:G,2,false)</f>
        <v>MProduto</v>
      </c>
      <c r="E326" s="65" t="s">
        <v>165</v>
      </c>
      <c r="F326" s="83">
        <v>0.5833333333333334</v>
      </c>
      <c r="G326" s="83">
        <v>0.625</v>
      </c>
      <c r="H326" s="83">
        <v>0.041666666666666664</v>
      </c>
      <c r="I326" s="84">
        <v>44531.0</v>
      </c>
      <c r="J326" s="65" t="b">
        <v>1</v>
      </c>
      <c r="K326" s="65"/>
      <c r="L326" s="85" t="b">
        <f>IF(VLOOKUP(C326,Projetos!A:L,12,false)=TRUE,TRUE,FALSE)</f>
        <v>1</v>
      </c>
      <c r="M326" s="74">
        <v>33.15972725468975</v>
      </c>
      <c r="N326" s="74">
        <f t="shared" si="1"/>
        <v>33.15972725</v>
      </c>
      <c r="O326" s="74" t="b">
        <v>1</v>
      </c>
    </row>
    <row r="327" hidden="1">
      <c r="A327" s="82"/>
      <c r="B327" s="65" t="s">
        <v>146</v>
      </c>
      <c r="C327" s="65" t="s">
        <v>88</v>
      </c>
      <c r="D327" s="65" t="str">
        <f>vlookup(C327,'Classificação p pessoal'!F:G,2,false)</f>
        <v>MProduto</v>
      </c>
      <c r="E327" s="65" t="s">
        <v>165</v>
      </c>
      <c r="F327" s="83">
        <v>0.5833333333333334</v>
      </c>
      <c r="G327" s="83">
        <v>0.6666666666666666</v>
      </c>
      <c r="H327" s="83">
        <v>0.08333333333333333</v>
      </c>
      <c r="I327" s="84">
        <v>44538.0</v>
      </c>
      <c r="J327" s="65" t="b">
        <v>1</v>
      </c>
      <c r="K327" s="65"/>
      <c r="L327" s="85" t="b">
        <f>IF(VLOOKUP(C327,Projetos!A:L,12,false)=TRUE,TRUE,FALSE)</f>
        <v>1</v>
      </c>
      <c r="M327" s="74">
        <v>33.15972725468975</v>
      </c>
      <c r="N327" s="74">
        <f t="shared" si="1"/>
        <v>66.31945451</v>
      </c>
      <c r="O327" s="74" t="b">
        <v>1</v>
      </c>
    </row>
    <row r="328" hidden="1">
      <c r="A328" s="82"/>
      <c r="B328" s="65" t="s">
        <v>146</v>
      </c>
      <c r="C328" s="65" t="s">
        <v>88</v>
      </c>
      <c r="D328" s="65" t="str">
        <f>vlookup(C328,'Classificação p pessoal'!F:G,2,false)</f>
        <v>MProduto</v>
      </c>
      <c r="E328" s="65" t="s">
        <v>165</v>
      </c>
      <c r="F328" s="83">
        <v>0.625</v>
      </c>
      <c r="G328" s="83">
        <v>0.75</v>
      </c>
      <c r="H328" s="83">
        <v>0.125</v>
      </c>
      <c r="I328" s="84">
        <v>44540.0</v>
      </c>
      <c r="J328" s="65" t="b">
        <v>1</v>
      </c>
      <c r="K328" s="65"/>
      <c r="L328" s="85" t="b">
        <f>IF(VLOOKUP(C328,Projetos!A:L,12,false)=TRUE,TRUE,FALSE)</f>
        <v>1</v>
      </c>
      <c r="M328" s="74">
        <v>33.15972725468975</v>
      </c>
      <c r="N328" s="74">
        <f t="shared" si="1"/>
        <v>99.47918176</v>
      </c>
      <c r="O328" s="74" t="b">
        <v>1</v>
      </c>
    </row>
    <row r="329" hidden="1">
      <c r="A329" s="82"/>
      <c r="B329" s="65" t="s">
        <v>146</v>
      </c>
      <c r="C329" s="65" t="s">
        <v>88</v>
      </c>
      <c r="D329" s="65" t="str">
        <f>vlookup(C329,'Classificação p pessoal'!F:G,2,false)</f>
        <v>MProduto</v>
      </c>
      <c r="E329" s="65" t="s">
        <v>165</v>
      </c>
      <c r="F329" s="83">
        <v>0.5833333333333334</v>
      </c>
      <c r="G329" s="83">
        <v>0.6666666666666666</v>
      </c>
      <c r="H329" s="83">
        <v>0.08333333333333333</v>
      </c>
      <c r="I329" s="84">
        <v>44558.0</v>
      </c>
      <c r="J329" s="65" t="b">
        <v>1</v>
      </c>
      <c r="K329" s="65"/>
      <c r="L329" s="85" t="b">
        <f>IF(VLOOKUP(C329,Projetos!A:L,12,false)=TRUE,TRUE,FALSE)</f>
        <v>1</v>
      </c>
      <c r="M329" s="74">
        <v>33.15972725468975</v>
      </c>
      <c r="N329" s="74">
        <f t="shared" si="1"/>
        <v>66.31945451</v>
      </c>
      <c r="O329" s="74" t="b">
        <v>1</v>
      </c>
    </row>
    <row r="330" hidden="1">
      <c r="A330" s="82"/>
      <c r="B330" s="65" t="s">
        <v>146</v>
      </c>
      <c r="C330" s="65" t="s">
        <v>88</v>
      </c>
      <c r="D330" s="65" t="str">
        <f>vlookup(C330,'Classificação p pessoal'!F:G,2,false)</f>
        <v>MProduto</v>
      </c>
      <c r="E330" s="65" t="s">
        <v>166</v>
      </c>
      <c r="F330" s="83">
        <v>0.3541666666666667</v>
      </c>
      <c r="G330" s="83">
        <v>0.4375</v>
      </c>
      <c r="H330" s="83">
        <v>0.08333333333333333</v>
      </c>
      <c r="I330" s="84">
        <v>44426.0</v>
      </c>
      <c r="J330" s="65" t="b">
        <v>1</v>
      </c>
      <c r="K330" s="65"/>
      <c r="L330" s="85" t="b">
        <f>IF(VLOOKUP(C330,Projetos!A:L,12,false)=TRUE,TRUE,FALSE)</f>
        <v>1</v>
      </c>
      <c r="M330" s="74">
        <v>33.15972725468975</v>
      </c>
      <c r="N330" s="74">
        <f t="shared" si="1"/>
        <v>66.31945451</v>
      </c>
      <c r="O330" s="74" t="b">
        <v>1</v>
      </c>
    </row>
    <row r="331" hidden="1">
      <c r="A331" s="82"/>
      <c r="B331" s="65" t="s">
        <v>146</v>
      </c>
      <c r="C331" s="65" t="s">
        <v>88</v>
      </c>
      <c r="D331" s="65" t="str">
        <f>vlookup(C331,'Classificação p pessoal'!F:G,2,false)</f>
        <v>MProduto</v>
      </c>
      <c r="E331" s="65" t="s">
        <v>166</v>
      </c>
      <c r="F331" s="83">
        <v>0.3541666666666667</v>
      </c>
      <c r="G331" s="83">
        <v>0.4375</v>
      </c>
      <c r="H331" s="83">
        <v>0.08333333333333333</v>
      </c>
      <c r="I331" s="84">
        <v>44427.0</v>
      </c>
      <c r="J331" s="65" t="b">
        <v>1</v>
      </c>
      <c r="K331" s="65"/>
      <c r="L331" s="85" t="b">
        <f>IF(VLOOKUP(C331,Projetos!A:L,12,false)=TRUE,TRUE,FALSE)</f>
        <v>1</v>
      </c>
      <c r="M331" s="74">
        <v>33.15972725468975</v>
      </c>
      <c r="N331" s="74">
        <f t="shared" si="1"/>
        <v>66.31945451</v>
      </c>
      <c r="O331" s="74" t="b">
        <v>1</v>
      </c>
    </row>
    <row r="332" hidden="1">
      <c r="A332" s="82"/>
      <c r="B332" s="65" t="s">
        <v>146</v>
      </c>
      <c r="C332" s="65" t="s">
        <v>88</v>
      </c>
      <c r="D332" s="65" t="str">
        <f>vlookup(C332,'Classificação p pessoal'!F:G,2,false)</f>
        <v>MProduto</v>
      </c>
      <c r="E332" s="65" t="s">
        <v>166</v>
      </c>
      <c r="F332" s="83">
        <v>0.3541666666666667</v>
      </c>
      <c r="G332" s="83">
        <v>0.4375</v>
      </c>
      <c r="H332" s="83">
        <v>0.08333333333333333</v>
      </c>
      <c r="I332" s="84">
        <v>44428.0</v>
      </c>
      <c r="J332" s="65" t="b">
        <v>1</v>
      </c>
      <c r="K332" s="65"/>
      <c r="L332" s="85" t="b">
        <f>IF(VLOOKUP(C332,Projetos!A:L,12,false)=TRUE,TRUE,FALSE)</f>
        <v>1</v>
      </c>
      <c r="M332" s="74">
        <v>33.15972725468975</v>
      </c>
      <c r="N332" s="74">
        <f t="shared" si="1"/>
        <v>66.31945451</v>
      </c>
      <c r="O332" s="74" t="b">
        <v>1</v>
      </c>
    </row>
    <row r="333" hidden="1">
      <c r="A333" s="82"/>
      <c r="B333" s="65" t="s">
        <v>146</v>
      </c>
      <c r="C333" s="65" t="s">
        <v>88</v>
      </c>
      <c r="D333" s="65" t="str">
        <f>vlookup(C333,'Classificação p pessoal'!F:G,2,false)</f>
        <v>MProduto</v>
      </c>
      <c r="E333" s="65" t="s">
        <v>166</v>
      </c>
      <c r="F333" s="83">
        <v>0.5833333333333334</v>
      </c>
      <c r="G333" s="83">
        <v>0.6666666666666666</v>
      </c>
      <c r="H333" s="83">
        <v>0.08333333333333333</v>
      </c>
      <c r="I333" s="84">
        <v>44432.0</v>
      </c>
      <c r="J333" s="65" t="b">
        <v>1</v>
      </c>
      <c r="K333" s="65"/>
      <c r="L333" s="85" t="b">
        <f>IF(VLOOKUP(C333,Projetos!A:L,12,false)=TRUE,TRUE,FALSE)</f>
        <v>1</v>
      </c>
      <c r="M333" s="74">
        <v>33.15972725468975</v>
      </c>
      <c r="N333" s="74">
        <f t="shared" si="1"/>
        <v>66.31945451</v>
      </c>
      <c r="O333" s="74" t="b">
        <v>1</v>
      </c>
    </row>
    <row r="334" hidden="1">
      <c r="A334" s="82"/>
      <c r="B334" s="65" t="s">
        <v>146</v>
      </c>
      <c r="C334" s="65" t="s">
        <v>88</v>
      </c>
      <c r="D334" s="65" t="str">
        <f>vlookup(C334,'Classificação p pessoal'!F:G,2,false)</f>
        <v>MProduto</v>
      </c>
      <c r="E334" s="65" t="s">
        <v>166</v>
      </c>
      <c r="F334" s="83">
        <v>0.3541666666666667</v>
      </c>
      <c r="G334" s="83">
        <v>0.5416666666666666</v>
      </c>
      <c r="H334" s="83">
        <v>0.1875</v>
      </c>
      <c r="I334" s="84">
        <v>44523.0</v>
      </c>
      <c r="J334" s="65" t="b">
        <v>1</v>
      </c>
      <c r="K334" s="65"/>
      <c r="L334" s="85" t="b">
        <f>IF(VLOOKUP(C334,Projetos!A:L,12,false)=TRUE,TRUE,FALSE)</f>
        <v>1</v>
      </c>
      <c r="M334" s="74">
        <v>33.15972725468975</v>
      </c>
      <c r="N334" s="74">
        <f t="shared" si="1"/>
        <v>149.2187726</v>
      </c>
      <c r="O334" s="74" t="b">
        <v>1</v>
      </c>
    </row>
    <row r="335" hidden="1">
      <c r="A335" s="82"/>
      <c r="B335" s="65" t="s">
        <v>146</v>
      </c>
      <c r="C335" s="65" t="s">
        <v>88</v>
      </c>
      <c r="D335" s="65" t="str">
        <f>vlookup(C335,'Classificação p pessoal'!F:G,2,false)</f>
        <v>MProduto</v>
      </c>
      <c r="E335" s="65" t="s">
        <v>166</v>
      </c>
      <c r="F335" s="83">
        <v>0.3541666666666667</v>
      </c>
      <c r="G335" s="83">
        <v>0.5416666666666666</v>
      </c>
      <c r="H335" s="83">
        <v>0.1875</v>
      </c>
      <c r="I335" s="84">
        <v>44524.0</v>
      </c>
      <c r="J335" s="65" t="b">
        <v>1</v>
      </c>
      <c r="K335" s="65"/>
      <c r="L335" s="85" t="b">
        <f>IF(VLOOKUP(C335,Projetos!A:L,12,false)=TRUE,TRUE,FALSE)</f>
        <v>1</v>
      </c>
      <c r="M335" s="74">
        <v>33.15972725468975</v>
      </c>
      <c r="N335" s="74">
        <f t="shared" si="1"/>
        <v>149.2187726</v>
      </c>
      <c r="O335" s="74" t="b">
        <v>1</v>
      </c>
    </row>
    <row r="336" hidden="1">
      <c r="A336" s="82"/>
      <c r="B336" s="65" t="s">
        <v>146</v>
      </c>
      <c r="C336" s="65" t="s">
        <v>88</v>
      </c>
      <c r="D336" s="65" t="str">
        <f>vlookup(C336,'Classificação p pessoal'!F:G,2,false)</f>
        <v>MProduto</v>
      </c>
      <c r="E336" s="65" t="s">
        <v>166</v>
      </c>
      <c r="F336" s="83">
        <v>0.3541666666666667</v>
      </c>
      <c r="G336" s="83">
        <v>0.5416666666666666</v>
      </c>
      <c r="H336" s="83">
        <v>0.1875</v>
      </c>
      <c r="I336" s="84">
        <v>44525.0</v>
      </c>
      <c r="J336" s="65" t="b">
        <v>1</v>
      </c>
      <c r="K336" s="65"/>
      <c r="L336" s="85" t="b">
        <f>IF(VLOOKUP(C336,Projetos!A:L,12,false)=TRUE,TRUE,FALSE)</f>
        <v>1</v>
      </c>
      <c r="M336" s="74">
        <v>33.15972725468975</v>
      </c>
      <c r="N336" s="74">
        <f t="shared" si="1"/>
        <v>149.2187726</v>
      </c>
      <c r="O336" s="74" t="b">
        <v>1</v>
      </c>
    </row>
    <row r="337" hidden="1">
      <c r="A337" s="82"/>
      <c r="B337" s="65" t="s">
        <v>146</v>
      </c>
      <c r="C337" s="65" t="s">
        <v>88</v>
      </c>
      <c r="D337" s="65" t="str">
        <f>vlookup(C337,'Classificação p pessoal'!F:G,2,false)</f>
        <v>MProduto</v>
      </c>
      <c r="E337" s="65" t="s">
        <v>166</v>
      </c>
      <c r="F337" s="83">
        <v>0.3541666666666667</v>
      </c>
      <c r="G337" s="83">
        <v>0.5416666666666666</v>
      </c>
      <c r="H337" s="83">
        <v>0.1875</v>
      </c>
      <c r="I337" s="84">
        <v>44529.0</v>
      </c>
      <c r="J337" s="65" t="b">
        <v>1</v>
      </c>
      <c r="K337" s="65"/>
      <c r="L337" s="85" t="b">
        <f>IF(VLOOKUP(C337,Projetos!A:L,12,false)=TRUE,TRUE,FALSE)</f>
        <v>1</v>
      </c>
      <c r="M337" s="74">
        <v>33.15972725468975</v>
      </c>
      <c r="N337" s="74">
        <f t="shared" si="1"/>
        <v>149.2187726</v>
      </c>
      <c r="O337" s="74" t="b">
        <v>1</v>
      </c>
    </row>
    <row r="338" hidden="1">
      <c r="A338" s="82"/>
      <c r="B338" s="65" t="s">
        <v>146</v>
      </c>
      <c r="C338" s="65" t="s">
        <v>88</v>
      </c>
      <c r="D338" s="65" t="str">
        <f>vlookup(C338,'Classificação p pessoal'!F:G,2,false)</f>
        <v>MProduto</v>
      </c>
      <c r="E338" s="65" t="s">
        <v>166</v>
      </c>
      <c r="F338" s="83">
        <v>0.3541666666666667</v>
      </c>
      <c r="G338" s="83">
        <v>0.5416666666666666</v>
      </c>
      <c r="H338" s="83">
        <v>0.1875</v>
      </c>
      <c r="I338" s="84">
        <v>44530.0</v>
      </c>
      <c r="J338" s="65" t="b">
        <v>1</v>
      </c>
      <c r="K338" s="65"/>
      <c r="L338" s="85" t="b">
        <f>IF(VLOOKUP(C338,Projetos!A:L,12,false)=TRUE,TRUE,FALSE)</f>
        <v>1</v>
      </c>
      <c r="M338" s="74">
        <v>33.15972725468975</v>
      </c>
      <c r="N338" s="74">
        <f t="shared" si="1"/>
        <v>149.2187726</v>
      </c>
      <c r="O338" s="74" t="b">
        <v>1</v>
      </c>
    </row>
    <row r="339" hidden="1">
      <c r="A339" s="82"/>
      <c r="B339" s="65" t="s">
        <v>146</v>
      </c>
      <c r="C339" s="65" t="s">
        <v>117</v>
      </c>
      <c r="D339" s="65" t="str">
        <f>vlookup(C339,'Classificação p pessoal'!F:G,2,false)</f>
        <v>NP</v>
      </c>
      <c r="E339" s="65" t="s">
        <v>167</v>
      </c>
      <c r="F339" s="83">
        <v>0.5416666666666666</v>
      </c>
      <c r="G339" s="83">
        <v>0.75</v>
      </c>
      <c r="H339" s="83">
        <v>0.20833333333333334</v>
      </c>
      <c r="I339" s="84">
        <v>44379.0</v>
      </c>
      <c r="J339" s="65" t="b">
        <v>1</v>
      </c>
      <c r="K339" s="65"/>
      <c r="L339" s="85" t="b">
        <f>IF(VLOOKUP(C339,Projetos!A:L,12,false)=TRUE,TRUE,FALSE)</f>
        <v>1</v>
      </c>
      <c r="M339" s="74">
        <v>33.15972725468975</v>
      </c>
      <c r="N339" s="74">
        <f t="shared" si="1"/>
        <v>165.7986363</v>
      </c>
      <c r="O339" s="74" t="b">
        <v>1</v>
      </c>
    </row>
    <row r="340" hidden="1">
      <c r="A340" s="82"/>
      <c r="B340" s="65" t="s">
        <v>146</v>
      </c>
      <c r="C340" s="65" t="s">
        <v>88</v>
      </c>
      <c r="D340" s="65" t="str">
        <f>vlookup(C340,'Classificação p pessoal'!F:G,2,false)</f>
        <v>MProduto</v>
      </c>
      <c r="E340" s="65" t="s">
        <v>167</v>
      </c>
      <c r="F340" s="83">
        <v>0.5833333333333334</v>
      </c>
      <c r="G340" s="83">
        <v>0.75</v>
      </c>
      <c r="H340" s="83">
        <v>0.16666666666666666</v>
      </c>
      <c r="I340" s="84">
        <v>44406.0</v>
      </c>
      <c r="J340" s="65" t="b">
        <v>1</v>
      </c>
      <c r="K340" s="65"/>
      <c r="L340" s="85" t="b">
        <f>IF(VLOOKUP(C340,Projetos!A:L,12,false)=TRUE,TRUE,FALSE)</f>
        <v>1</v>
      </c>
      <c r="M340" s="74">
        <v>33.15972725468975</v>
      </c>
      <c r="N340" s="74">
        <f t="shared" si="1"/>
        <v>132.638909</v>
      </c>
      <c r="O340" s="74" t="b">
        <v>1</v>
      </c>
    </row>
    <row r="341" hidden="1">
      <c r="A341" s="82"/>
      <c r="B341" s="65" t="s">
        <v>146</v>
      </c>
      <c r="C341" s="65" t="s">
        <v>117</v>
      </c>
      <c r="D341" s="65" t="str">
        <f>vlookup(C341,'Classificação p pessoal'!F:G,2,false)</f>
        <v>NP</v>
      </c>
      <c r="E341" s="65" t="s">
        <v>167</v>
      </c>
      <c r="F341" s="83">
        <v>0.5416666666666666</v>
      </c>
      <c r="G341" s="83">
        <v>0.7083333333333334</v>
      </c>
      <c r="H341" s="83">
        <v>0.16666666666666666</v>
      </c>
      <c r="I341" s="84">
        <v>44407.0</v>
      </c>
      <c r="J341" s="65" t="b">
        <v>1</v>
      </c>
      <c r="K341" s="65"/>
      <c r="L341" s="85" t="b">
        <f>IF(VLOOKUP(C341,Projetos!A:L,12,false)=TRUE,TRUE,FALSE)</f>
        <v>1</v>
      </c>
      <c r="M341" s="74">
        <v>33.15972725468975</v>
      </c>
      <c r="N341" s="74">
        <f t="shared" si="1"/>
        <v>132.638909</v>
      </c>
      <c r="O341" s="74" t="b">
        <v>1</v>
      </c>
    </row>
    <row r="342" hidden="1">
      <c r="A342" s="82"/>
      <c r="B342" s="65" t="s">
        <v>146</v>
      </c>
      <c r="C342" s="65" t="s">
        <v>117</v>
      </c>
      <c r="D342" s="65" t="str">
        <f>vlookup(C342,'Classificação p pessoal'!F:G,2,false)</f>
        <v>NP</v>
      </c>
      <c r="E342" s="65" t="s">
        <v>167</v>
      </c>
      <c r="F342" s="83">
        <v>0.3541666666666667</v>
      </c>
      <c r="G342" s="83">
        <v>0.5416666666666666</v>
      </c>
      <c r="H342" s="83">
        <v>0.1875</v>
      </c>
      <c r="I342" s="84">
        <v>44410.0</v>
      </c>
      <c r="J342" s="65" t="b">
        <v>1</v>
      </c>
      <c r="K342" s="65"/>
      <c r="L342" s="85" t="b">
        <f>IF(VLOOKUP(C342,Projetos!A:L,12,false)=TRUE,TRUE,FALSE)</f>
        <v>1</v>
      </c>
      <c r="M342" s="74">
        <v>33.15972725468975</v>
      </c>
      <c r="N342" s="74">
        <f t="shared" si="1"/>
        <v>149.2187726</v>
      </c>
      <c r="O342" s="74" t="b">
        <v>1</v>
      </c>
    </row>
    <row r="343" hidden="1">
      <c r="A343" s="82"/>
      <c r="B343" s="65" t="s">
        <v>146</v>
      </c>
      <c r="C343" s="65" t="s">
        <v>117</v>
      </c>
      <c r="D343" s="65" t="str">
        <f>vlookup(C343,'Classificação p pessoal'!F:G,2,false)</f>
        <v>NP</v>
      </c>
      <c r="E343" s="65" t="s">
        <v>167</v>
      </c>
      <c r="F343" s="83">
        <v>0.5833333333333334</v>
      </c>
      <c r="G343" s="83">
        <v>0.75</v>
      </c>
      <c r="H343" s="83">
        <v>0.16666666666666666</v>
      </c>
      <c r="I343" s="84">
        <v>44411.0</v>
      </c>
      <c r="J343" s="65" t="b">
        <v>1</v>
      </c>
      <c r="K343" s="65"/>
      <c r="L343" s="85" t="b">
        <f>IF(VLOOKUP(C343,Projetos!A:L,12,false)=TRUE,TRUE,FALSE)</f>
        <v>1</v>
      </c>
      <c r="M343" s="74">
        <v>33.15972725468975</v>
      </c>
      <c r="N343" s="74">
        <f t="shared" si="1"/>
        <v>132.638909</v>
      </c>
      <c r="O343" s="74" t="b">
        <v>1</v>
      </c>
    </row>
    <row r="344" hidden="1">
      <c r="A344" s="82"/>
      <c r="B344" s="65" t="s">
        <v>146</v>
      </c>
      <c r="C344" s="65" t="s">
        <v>117</v>
      </c>
      <c r="D344" s="65" t="str">
        <f>vlookup(C344,'Classificação p pessoal'!F:G,2,false)</f>
        <v>NP</v>
      </c>
      <c r="E344" s="65" t="s">
        <v>167</v>
      </c>
      <c r="F344" s="83">
        <v>0.5833333333333334</v>
      </c>
      <c r="G344" s="83">
        <v>0.75</v>
      </c>
      <c r="H344" s="83">
        <v>0.16666666666666666</v>
      </c>
      <c r="I344" s="84">
        <v>44412.0</v>
      </c>
      <c r="J344" s="65" t="b">
        <v>1</v>
      </c>
      <c r="K344" s="65"/>
      <c r="L344" s="85" t="b">
        <f>IF(VLOOKUP(C344,Projetos!A:L,12,false)=TRUE,TRUE,FALSE)</f>
        <v>1</v>
      </c>
      <c r="M344" s="74">
        <v>33.15972725468975</v>
      </c>
      <c r="N344" s="74">
        <f t="shared" si="1"/>
        <v>132.638909</v>
      </c>
      <c r="O344" s="74" t="b">
        <v>1</v>
      </c>
    </row>
    <row r="345" hidden="1">
      <c r="A345" s="82"/>
      <c r="B345" s="65" t="s">
        <v>146</v>
      </c>
      <c r="C345" s="65" t="s">
        <v>117</v>
      </c>
      <c r="D345" s="65" t="str">
        <f>vlookup(C345,'Classificação p pessoal'!F:G,2,false)</f>
        <v>NP</v>
      </c>
      <c r="E345" s="65" t="s">
        <v>167</v>
      </c>
      <c r="F345" s="83">
        <v>0.3541666666666667</v>
      </c>
      <c r="G345" s="83">
        <v>0.5</v>
      </c>
      <c r="H345" s="83">
        <v>0.14583333333333334</v>
      </c>
      <c r="I345" s="84">
        <v>44413.0</v>
      </c>
      <c r="J345" s="65" t="b">
        <v>1</v>
      </c>
      <c r="K345" s="65"/>
      <c r="L345" s="85" t="b">
        <f>IF(VLOOKUP(C345,Projetos!A:L,12,false)=TRUE,TRUE,FALSE)</f>
        <v>1</v>
      </c>
      <c r="M345" s="74">
        <v>33.15972725468975</v>
      </c>
      <c r="N345" s="74">
        <f t="shared" si="1"/>
        <v>116.0590454</v>
      </c>
      <c r="O345" s="74" t="b">
        <v>1</v>
      </c>
    </row>
    <row r="346" hidden="1">
      <c r="A346" s="82"/>
      <c r="B346" s="65" t="s">
        <v>146</v>
      </c>
      <c r="C346" s="65" t="s">
        <v>117</v>
      </c>
      <c r="D346" s="65" t="str">
        <f>vlookup(C346,'Classificação p pessoal'!F:G,2,false)</f>
        <v>NP</v>
      </c>
      <c r="E346" s="65" t="s">
        <v>167</v>
      </c>
      <c r="F346" s="83">
        <v>0.625</v>
      </c>
      <c r="G346" s="83">
        <v>0.75</v>
      </c>
      <c r="H346" s="83">
        <v>0.125</v>
      </c>
      <c r="I346" s="84">
        <v>44414.0</v>
      </c>
      <c r="J346" s="65" t="b">
        <v>1</v>
      </c>
      <c r="K346" s="65"/>
      <c r="L346" s="85" t="b">
        <f>IF(VLOOKUP(C346,Projetos!A:L,12,false)=TRUE,TRUE,FALSE)</f>
        <v>1</v>
      </c>
      <c r="M346" s="74">
        <v>33.15972725468975</v>
      </c>
      <c r="N346" s="74">
        <f t="shared" si="1"/>
        <v>99.47918176</v>
      </c>
      <c r="O346" s="74" t="b">
        <v>1</v>
      </c>
    </row>
    <row r="347" hidden="1">
      <c r="A347" s="82"/>
      <c r="B347" s="65" t="s">
        <v>146</v>
      </c>
      <c r="C347" s="65" t="s">
        <v>117</v>
      </c>
      <c r="D347" s="65" t="str">
        <f>vlookup(C347,'Classificação p pessoal'!F:G,2,false)</f>
        <v>NP</v>
      </c>
      <c r="E347" s="65" t="s">
        <v>167</v>
      </c>
      <c r="F347" s="83">
        <v>0.3541666666666667</v>
      </c>
      <c r="G347" s="83">
        <v>0.5416666666666666</v>
      </c>
      <c r="H347" s="83">
        <v>0.1875</v>
      </c>
      <c r="I347" s="84">
        <v>44532.0</v>
      </c>
      <c r="J347" s="65" t="b">
        <v>1</v>
      </c>
      <c r="K347" s="65"/>
      <c r="L347" s="85" t="b">
        <f>IF(VLOOKUP(C347,Projetos!A:L,12,false)=TRUE,TRUE,FALSE)</f>
        <v>1</v>
      </c>
      <c r="M347" s="74">
        <v>33.15972725468975</v>
      </c>
      <c r="N347" s="74">
        <f t="shared" si="1"/>
        <v>149.2187726</v>
      </c>
      <c r="O347" s="74" t="b">
        <v>1</v>
      </c>
    </row>
    <row r="348" hidden="1">
      <c r="A348" s="82"/>
      <c r="B348" s="65" t="s">
        <v>146</v>
      </c>
      <c r="C348" s="65" t="s">
        <v>117</v>
      </c>
      <c r="D348" s="65" t="str">
        <f>vlookup(C348,'Classificação p pessoal'!F:G,2,false)</f>
        <v>NP</v>
      </c>
      <c r="E348" s="65" t="s">
        <v>167</v>
      </c>
      <c r="F348" s="83">
        <v>0.5833333333333334</v>
      </c>
      <c r="G348" s="83">
        <v>0.625</v>
      </c>
      <c r="H348" s="83">
        <v>0.041666666666666664</v>
      </c>
      <c r="I348" s="84">
        <v>44533.0</v>
      </c>
      <c r="J348" s="65" t="b">
        <v>1</v>
      </c>
      <c r="K348" s="65"/>
      <c r="L348" s="85" t="b">
        <f>IF(VLOOKUP(C348,Projetos!A:L,12,false)=TRUE,TRUE,FALSE)</f>
        <v>1</v>
      </c>
      <c r="M348" s="74">
        <v>33.15972725468975</v>
      </c>
      <c r="N348" s="74">
        <f t="shared" si="1"/>
        <v>33.15972725</v>
      </c>
      <c r="O348" s="74" t="b">
        <v>1</v>
      </c>
    </row>
    <row r="349" hidden="1">
      <c r="A349" s="82"/>
      <c r="B349" s="65" t="s">
        <v>146</v>
      </c>
      <c r="C349" s="65" t="s">
        <v>117</v>
      </c>
      <c r="D349" s="65" t="str">
        <f>vlookup(C349,'Classificação p pessoal'!F:G,2,false)</f>
        <v>NP</v>
      </c>
      <c r="E349" s="65" t="s">
        <v>167</v>
      </c>
      <c r="F349" s="83">
        <v>0.3541666666666667</v>
      </c>
      <c r="G349" s="83">
        <v>0.5</v>
      </c>
      <c r="H349" s="83">
        <v>0.14583333333333334</v>
      </c>
      <c r="I349" s="84">
        <v>44539.0</v>
      </c>
      <c r="J349" s="65" t="b">
        <v>1</v>
      </c>
      <c r="K349" s="65"/>
      <c r="L349" s="85" t="b">
        <f>IF(VLOOKUP(C349,Projetos!A:L,12,false)=TRUE,TRUE,FALSE)</f>
        <v>1</v>
      </c>
      <c r="M349" s="74">
        <v>33.15972725468975</v>
      </c>
      <c r="N349" s="74">
        <f t="shared" si="1"/>
        <v>116.0590454</v>
      </c>
      <c r="O349" s="74" t="b">
        <v>1</v>
      </c>
    </row>
    <row r="350" hidden="1">
      <c r="A350" s="82"/>
      <c r="B350" s="65" t="s">
        <v>146</v>
      </c>
      <c r="C350" s="65" t="s">
        <v>117</v>
      </c>
      <c r="D350" s="65" t="str">
        <f>vlookup(C350,'Classificação p pessoal'!F:G,2,false)</f>
        <v>NP</v>
      </c>
      <c r="E350" s="65" t="s">
        <v>167</v>
      </c>
      <c r="F350" s="83">
        <v>0.5833333333333334</v>
      </c>
      <c r="G350" s="83">
        <v>0.625</v>
      </c>
      <c r="H350" s="83">
        <v>0.041666666666666664</v>
      </c>
      <c r="I350" s="84">
        <v>44540.0</v>
      </c>
      <c r="J350" s="65" t="b">
        <v>1</v>
      </c>
      <c r="K350" s="65"/>
      <c r="L350" s="85" t="b">
        <f>IF(VLOOKUP(C350,Projetos!A:L,12,false)=TRUE,TRUE,FALSE)</f>
        <v>1</v>
      </c>
      <c r="M350" s="74">
        <v>33.15972725468975</v>
      </c>
      <c r="N350" s="74">
        <f t="shared" si="1"/>
        <v>33.15972725</v>
      </c>
      <c r="O350" s="74" t="b">
        <v>1</v>
      </c>
    </row>
    <row r="351" hidden="1">
      <c r="A351" s="82"/>
      <c r="B351" s="65" t="s">
        <v>168</v>
      </c>
      <c r="C351" s="65" t="s">
        <v>108</v>
      </c>
      <c r="D351" s="65"/>
      <c r="E351" s="65" t="s">
        <v>169</v>
      </c>
      <c r="F351" s="83">
        <v>0.375</v>
      </c>
      <c r="G351" s="83">
        <v>0.5</v>
      </c>
      <c r="H351" s="83">
        <v>0.125</v>
      </c>
      <c r="I351" s="84">
        <v>44207.0</v>
      </c>
      <c r="J351" s="65" t="b">
        <v>0</v>
      </c>
      <c r="K351" s="65" t="s">
        <v>150</v>
      </c>
      <c r="L351" s="85" t="b">
        <f>IF(VLOOKUP(C351,Projetos!A:L,12,false)=TRUE,TRUE,FALSE)</f>
        <v>1</v>
      </c>
      <c r="M351" s="74">
        <v>93.01026307720058</v>
      </c>
      <c r="N351" s="74">
        <f t="shared" si="1"/>
        <v>0</v>
      </c>
      <c r="O351" s="74" t="b">
        <v>1</v>
      </c>
    </row>
    <row r="352" hidden="1">
      <c r="A352" s="82"/>
      <c r="B352" s="65" t="s">
        <v>168</v>
      </c>
      <c r="C352" s="65" t="s">
        <v>107</v>
      </c>
      <c r="D352" s="65"/>
      <c r="E352" s="65" t="s">
        <v>169</v>
      </c>
      <c r="F352" s="83">
        <v>0.3541666666666667</v>
      </c>
      <c r="G352" s="83">
        <v>0.4791666666666667</v>
      </c>
      <c r="H352" s="83">
        <v>0.125</v>
      </c>
      <c r="I352" s="84">
        <v>44208.0</v>
      </c>
      <c r="J352" s="65" t="b">
        <v>0</v>
      </c>
      <c r="K352" s="65" t="s">
        <v>150</v>
      </c>
      <c r="L352" s="85" t="b">
        <f>IF(VLOOKUP(C352,Projetos!A:L,12,false)=TRUE,TRUE,FALSE)</f>
        <v>1</v>
      </c>
      <c r="M352" s="74">
        <v>93.01026307720058</v>
      </c>
      <c r="N352" s="74">
        <f t="shared" si="1"/>
        <v>0</v>
      </c>
      <c r="O352" s="74" t="b">
        <v>1</v>
      </c>
    </row>
    <row r="353" hidden="1">
      <c r="A353" s="82"/>
      <c r="B353" s="65" t="s">
        <v>168</v>
      </c>
      <c r="C353" s="65" t="s">
        <v>107</v>
      </c>
      <c r="D353" s="65"/>
      <c r="E353" s="65" t="s">
        <v>169</v>
      </c>
      <c r="F353" s="83">
        <v>0.5833333333333334</v>
      </c>
      <c r="G353" s="83">
        <v>0.7083333333333334</v>
      </c>
      <c r="H353" s="83">
        <v>0.125</v>
      </c>
      <c r="I353" s="84">
        <v>44214.0</v>
      </c>
      <c r="J353" s="65" t="b">
        <v>0</v>
      </c>
      <c r="K353" s="65" t="s">
        <v>150</v>
      </c>
      <c r="L353" s="85" t="b">
        <f>IF(VLOOKUP(C353,Projetos!A:L,12,false)=TRUE,TRUE,FALSE)</f>
        <v>1</v>
      </c>
      <c r="M353" s="74">
        <v>93.01026307720058</v>
      </c>
      <c r="N353" s="74">
        <f t="shared" si="1"/>
        <v>0</v>
      </c>
      <c r="O353" s="74" t="b">
        <v>1</v>
      </c>
    </row>
    <row r="354" hidden="1">
      <c r="A354" s="82"/>
      <c r="B354" s="65" t="s">
        <v>168</v>
      </c>
      <c r="C354" s="65" t="s">
        <v>152</v>
      </c>
      <c r="D354" s="65"/>
      <c r="E354" s="65" t="s">
        <v>170</v>
      </c>
      <c r="F354" s="83">
        <v>0.375</v>
      </c>
      <c r="G354" s="83">
        <v>0.4583333333333333</v>
      </c>
      <c r="H354" s="83">
        <v>0.08333333333333333</v>
      </c>
      <c r="I354" s="84">
        <v>44215.0</v>
      </c>
      <c r="J354" s="65" t="b">
        <v>0</v>
      </c>
      <c r="K354" s="65" t="s">
        <v>150</v>
      </c>
      <c r="L354" s="85" t="b">
        <f>IF(VLOOKUP(C354,Projetos!A:L,12,false)=TRUE,TRUE,FALSE)</f>
        <v>1</v>
      </c>
      <c r="M354" s="74">
        <v>93.01026307720058</v>
      </c>
      <c r="N354" s="74">
        <f t="shared" si="1"/>
        <v>0</v>
      </c>
      <c r="O354" s="74" t="b">
        <v>1</v>
      </c>
    </row>
    <row r="355" hidden="1">
      <c r="A355" s="82"/>
      <c r="B355" s="65" t="s">
        <v>168</v>
      </c>
      <c r="C355" s="65" t="s">
        <v>152</v>
      </c>
      <c r="D355" s="65"/>
      <c r="E355" s="65" t="s">
        <v>171</v>
      </c>
      <c r="F355" s="83">
        <v>0.3541666666666667</v>
      </c>
      <c r="G355" s="83">
        <v>0.4791666666666667</v>
      </c>
      <c r="H355" s="83">
        <v>0.125</v>
      </c>
      <c r="I355" s="84">
        <v>44216.0</v>
      </c>
      <c r="J355" s="65" t="b">
        <v>0</v>
      </c>
      <c r="K355" s="65" t="s">
        <v>150</v>
      </c>
      <c r="L355" s="85" t="b">
        <f>IF(VLOOKUP(C355,Projetos!A:L,12,false)=TRUE,TRUE,FALSE)</f>
        <v>1</v>
      </c>
      <c r="M355" s="74">
        <v>93.01026307720058</v>
      </c>
      <c r="N355" s="74">
        <f t="shared" si="1"/>
        <v>0</v>
      </c>
      <c r="O355" s="74" t="b">
        <v>1</v>
      </c>
    </row>
    <row r="356" hidden="1">
      <c r="A356" s="82"/>
      <c r="B356" s="65" t="s">
        <v>168</v>
      </c>
      <c r="C356" s="65" t="s">
        <v>108</v>
      </c>
      <c r="D356" s="65"/>
      <c r="E356" s="65" t="s">
        <v>171</v>
      </c>
      <c r="F356" s="83">
        <v>0.4166666666666667</v>
      </c>
      <c r="G356" s="83">
        <v>0.5</v>
      </c>
      <c r="H356" s="83">
        <v>0.08333333333333333</v>
      </c>
      <c r="I356" s="84">
        <v>44235.0</v>
      </c>
      <c r="J356" s="65" t="b">
        <v>0</v>
      </c>
      <c r="K356" s="65" t="s">
        <v>150</v>
      </c>
      <c r="L356" s="85" t="b">
        <f>IF(VLOOKUP(C356,Projetos!A:L,12,false)=TRUE,TRUE,FALSE)</f>
        <v>1</v>
      </c>
      <c r="M356" s="74">
        <v>93.01026307720058</v>
      </c>
      <c r="N356" s="74">
        <f t="shared" si="1"/>
        <v>0</v>
      </c>
      <c r="O356" s="74" t="b">
        <v>1</v>
      </c>
    </row>
    <row r="357" hidden="1">
      <c r="A357" s="82"/>
      <c r="B357" s="65" t="s">
        <v>168</v>
      </c>
      <c r="C357" s="65" t="s">
        <v>108</v>
      </c>
      <c r="D357" s="65"/>
      <c r="E357" s="65" t="s">
        <v>171</v>
      </c>
      <c r="F357" s="83">
        <v>0.5833333333333334</v>
      </c>
      <c r="G357" s="83">
        <v>0.6666666666666666</v>
      </c>
      <c r="H357" s="83">
        <v>0.08333333333333333</v>
      </c>
      <c r="I357" s="84">
        <v>44236.0</v>
      </c>
      <c r="J357" s="65" t="b">
        <v>0</v>
      </c>
      <c r="K357" s="65" t="s">
        <v>150</v>
      </c>
      <c r="L357" s="85" t="b">
        <f>IF(VLOOKUP(C357,Projetos!A:L,12,false)=TRUE,TRUE,FALSE)</f>
        <v>1</v>
      </c>
      <c r="M357" s="74">
        <v>93.01026307720058</v>
      </c>
      <c r="N357" s="74">
        <f t="shared" si="1"/>
        <v>0</v>
      </c>
      <c r="O357" s="74" t="b">
        <v>1</v>
      </c>
    </row>
    <row r="358" hidden="1">
      <c r="A358" s="82"/>
      <c r="B358" s="65" t="s">
        <v>168</v>
      </c>
      <c r="C358" s="65" t="s">
        <v>107</v>
      </c>
      <c r="D358" s="65" t="str">
        <f>vlookup(C358,'Classificação p pessoal'!F:G,2,false)</f>
        <v>NP</v>
      </c>
      <c r="E358" s="65" t="s">
        <v>172</v>
      </c>
      <c r="F358" s="83">
        <v>0.375</v>
      </c>
      <c r="G358" s="83">
        <v>0.5</v>
      </c>
      <c r="H358" s="83">
        <v>0.125</v>
      </c>
      <c r="I358" s="84">
        <v>44242.0</v>
      </c>
      <c r="J358" s="65" t="b">
        <v>1</v>
      </c>
      <c r="K358" s="65"/>
      <c r="L358" s="85" t="b">
        <f>IF(VLOOKUP(C358,Projetos!A:L,12,false)=TRUE,TRUE,FALSE)</f>
        <v>1</v>
      </c>
      <c r="M358" s="74">
        <v>93.01026307720058</v>
      </c>
      <c r="N358" s="74">
        <f t="shared" si="1"/>
        <v>279.0307892</v>
      </c>
      <c r="O358" s="74" t="b">
        <v>1</v>
      </c>
    </row>
    <row r="359" hidden="1">
      <c r="A359" s="82"/>
      <c r="B359" s="65" t="s">
        <v>168</v>
      </c>
      <c r="C359" s="65" t="s">
        <v>152</v>
      </c>
      <c r="D359" s="65"/>
      <c r="E359" s="65" t="s">
        <v>171</v>
      </c>
      <c r="F359" s="83">
        <v>0.4166666666666667</v>
      </c>
      <c r="G359" s="83">
        <v>0.5416666666666666</v>
      </c>
      <c r="H359" s="83">
        <v>0.125</v>
      </c>
      <c r="I359" s="84">
        <v>44243.0</v>
      </c>
      <c r="J359" s="65" t="b">
        <v>0</v>
      </c>
      <c r="K359" s="65" t="s">
        <v>150</v>
      </c>
      <c r="L359" s="85" t="b">
        <f>IF(VLOOKUP(C359,Projetos!A:L,12,false)=TRUE,TRUE,FALSE)</f>
        <v>1</v>
      </c>
      <c r="M359" s="74">
        <v>93.01026307720058</v>
      </c>
      <c r="N359" s="74">
        <f t="shared" si="1"/>
        <v>0</v>
      </c>
      <c r="O359" s="74" t="b">
        <v>1</v>
      </c>
    </row>
    <row r="360" hidden="1">
      <c r="A360" s="82"/>
      <c r="B360" s="65" t="s">
        <v>168</v>
      </c>
      <c r="C360" s="65" t="s">
        <v>118</v>
      </c>
      <c r="D360" s="65"/>
      <c r="E360" s="65" t="s">
        <v>171</v>
      </c>
      <c r="F360" s="83">
        <v>0.6666666666666666</v>
      </c>
      <c r="G360" s="83">
        <v>0.75</v>
      </c>
      <c r="H360" s="83">
        <v>0.08333333333333333</v>
      </c>
      <c r="I360" s="84">
        <v>44244.0</v>
      </c>
      <c r="J360" s="65" t="b">
        <v>0</v>
      </c>
      <c r="K360" s="65" t="s">
        <v>150</v>
      </c>
      <c r="L360" s="85" t="b">
        <f>IF(VLOOKUP(C360,Projetos!A:L,12,false)=TRUE,TRUE,FALSE)</f>
        <v>1</v>
      </c>
      <c r="M360" s="74">
        <v>93.01026307720058</v>
      </c>
      <c r="N360" s="74">
        <f t="shared" si="1"/>
        <v>0</v>
      </c>
      <c r="O360" s="74" t="b">
        <v>1</v>
      </c>
    </row>
    <row r="361" hidden="1">
      <c r="A361" s="82"/>
      <c r="B361" s="65" t="s">
        <v>168</v>
      </c>
      <c r="C361" s="65" t="s">
        <v>118</v>
      </c>
      <c r="D361" s="65"/>
      <c r="E361" s="65" t="s">
        <v>173</v>
      </c>
      <c r="F361" s="83">
        <v>0.5416666666666666</v>
      </c>
      <c r="G361" s="83">
        <v>0.7083333333333334</v>
      </c>
      <c r="H361" s="83">
        <v>0.16666666666666666</v>
      </c>
      <c r="I361" s="84">
        <v>44251.0</v>
      </c>
      <c r="J361" s="65" t="b">
        <v>0</v>
      </c>
      <c r="K361" s="65" t="s">
        <v>150</v>
      </c>
      <c r="L361" s="85" t="b">
        <f>IF(VLOOKUP(C361,Projetos!A:L,12,false)=TRUE,TRUE,FALSE)</f>
        <v>1</v>
      </c>
      <c r="M361" s="74">
        <v>93.01026307720058</v>
      </c>
      <c r="N361" s="74">
        <f t="shared" si="1"/>
        <v>0</v>
      </c>
      <c r="O361" s="74" t="b">
        <v>1</v>
      </c>
    </row>
    <row r="362" hidden="1">
      <c r="A362" s="82"/>
      <c r="B362" s="65" t="s">
        <v>168</v>
      </c>
      <c r="C362" s="65" t="s">
        <v>108</v>
      </c>
      <c r="D362" s="65"/>
      <c r="E362" s="65" t="s">
        <v>171</v>
      </c>
      <c r="F362" s="83">
        <v>0.5416666666666666</v>
      </c>
      <c r="G362" s="83">
        <v>0.75</v>
      </c>
      <c r="H362" s="83">
        <v>0.20833333333333334</v>
      </c>
      <c r="I362" s="84">
        <v>44263.0</v>
      </c>
      <c r="J362" s="65" t="b">
        <v>0</v>
      </c>
      <c r="K362" s="65" t="s">
        <v>150</v>
      </c>
      <c r="L362" s="85" t="b">
        <f>IF(VLOOKUP(C362,Projetos!A:L,12,false)=TRUE,TRUE,FALSE)</f>
        <v>1</v>
      </c>
      <c r="M362" s="74">
        <v>93.01026307720058</v>
      </c>
      <c r="N362" s="74">
        <f t="shared" si="1"/>
        <v>0</v>
      </c>
      <c r="O362" s="74" t="b">
        <v>1</v>
      </c>
    </row>
    <row r="363" hidden="1">
      <c r="A363" s="82"/>
      <c r="B363" s="65" t="s">
        <v>168</v>
      </c>
      <c r="C363" s="65" t="s">
        <v>108</v>
      </c>
      <c r="D363" s="65"/>
      <c r="E363" s="65" t="s">
        <v>171</v>
      </c>
      <c r="F363" s="83">
        <v>0.4166666666666667</v>
      </c>
      <c r="G363" s="83">
        <v>0.5</v>
      </c>
      <c r="H363" s="83">
        <v>0.08333333333333333</v>
      </c>
      <c r="I363" s="84">
        <v>44264.0</v>
      </c>
      <c r="J363" s="65" t="b">
        <v>0</v>
      </c>
      <c r="K363" s="65" t="s">
        <v>150</v>
      </c>
      <c r="L363" s="85" t="b">
        <f>IF(VLOOKUP(C363,Projetos!A:L,12,false)=TRUE,TRUE,FALSE)</f>
        <v>1</v>
      </c>
      <c r="M363" s="74">
        <v>93.01026307720058</v>
      </c>
      <c r="N363" s="74">
        <f t="shared" si="1"/>
        <v>0</v>
      </c>
      <c r="O363" s="74" t="b">
        <v>1</v>
      </c>
    </row>
    <row r="364" hidden="1">
      <c r="A364" s="82"/>
      <c r="B364" s="65" t="s">
        <v>168</v>
      </c>
      <c r="C364" s="65" t="s">
        <v>108</v>
      </c>
      <c r="D364" s="65" t="str">
        <f>vlookup(C364,'Classificação p pessoal'!F:G,2,false)</f>
        <v>NP</v>
      </c>
      <c r="E364" s="65" t="s">
        <v>172</v>
      </c>
      <c r="F364" s="83">
        <v>0.5416666666666666</v>
      </c>
      <c r="G364" s="83">
        <v>0.6666666666666666</v>
      </c>
      <c r="H364" s="83">
        <v>0.125</v>
      </c>
      <c r="I364" s="84">
        <v>44277.0</v>
      </c>
      <c r="J364" s="65" t="b">
        <v>1</v>
      </c>
      <c r="K364" s="65"/>
      <c r="L364" s="85" t="b">
        <f>IF(VLOOKUP(C364,Projetos!A:L,12,false)=TRUE,TRUE,FALSE)</f>
        <v>1</v>
      </c>
      <c r="M364" s="74">
        <v>93.01026307720058</v>
      </c>
      <c r="N364" s="74">
        <f t="shared" si="1"/>
        <v>279.0307892</v>
      </c>
      <c r="O364" s="74" t="b">
        <v>1</v>
      </c>
    </row>
    <row r="365" hidden="1">
      <c r="A365" s="82"/>
      <c r="B365" s="65" t="s">
        <v>168</v>
      </c>
      <c r="C365" s="65" t="s">
        <v>152</v>
      </c>
      <c r="D365" s="65"/>
      <c r="E365" s="65" t="s">
        <v>171</v>
      </c>
      <c r="F365" s="83">
        <v>0.625</v>
      </c>
      <c r="G365" s="83">
        <v>0.6666666666666666</v>
      </c>
      <c r="H365" s="83">
        <v>0.041666666666666664</v>
      </c>
      <c r="I365" s="84">
        <v>44278.0</v>
      </c>
      <c r="J365" s="65" t="b">
        <v>0</v>
      </c>
      <c r="K365" s="65" t="s">
        <v>150</v>
      </c>
      <c r="L365" s="85" t="b">
        <f>IF(VLOOKUP(C365,Projetos!A:L,12,false)=TRUE,TRUE,FALSE)</f>
        <v>1</v>
      </c>
      <c r="M365" s="74">
        <v>93.01026307720058</v>
      </c>
      <c r="N365" s="74">
        <f t="shared" si="1"/>
        <v>0</v>
      </c>
      <c r="O365" s="74" t="b">
        <v>1</v>
      </c>
    </row>
    <row r="366" hidden="1">
      <c r="A366" s="82"/>
      <c r="B366" s="65" t="s">
        <v>168</v>
      </c>
      <c r="C366" s="65" t="s">
        <v>117</v>
      </c>
      <c r="D366" s="65"/>
      <c r="E366" s="65" t="s">
        <v>171</v>
      </c>
      <c r="F366" s="83">
        <v>0.5</v>
      </c>
      <c r="G366" s="83">
        <v>0.75</v>
      </c>
      <c r="H366" s="83">
        <v>0.25</v>
      </c>
      <c r="I366" s="84">
        <v>44281.0</v>
      </c>
      <c r="J366" s="65" t="b">
        <v>0</v>
      </c>
      <c r="K366" s="65" t="s">
        <v>150</v>
      </c>
      <c r="L366" s="85" t="b">
        <f>IF(VLOOKUP(C366,Projetos!A:L,12,false)=TRUE,TRUE,FALSE)</f>
        <v>1</v>
      </c>
      <c r="M366" s="74">
        <v>93.01026307720058</v>
      </c>
      <c r="N366" s="74">
        <f t="shared" si="1"/>
        <v>0</v>
      </c>
      <c r="O366" s="74" t="b">
        <v>1</v>
      </c>
    </row>
    <row r="367" hidden="1">
      <c r="A367" s="82"/>
      <c r="B367" s="65" t="s">
        <v>168</v>
      </c>
      <c r="C367" s="65" t="s">
        <v>152</v>
      </c>
      <c r="D367" s="65"/>
      <c r="E367" s="65" t="s">
        <v>173</v>
      </c>
      <c r="F367" s="83">
        <v>0.375</v>
      </c>
      <c r="G367" s="83">
        <v>0.5</v>
      </c>
      <c r="H367" s="83">
        <v>0.125</v>
      </c>
      <c r="I367" s="84">
        <v>44285.0</v>
      </c>
      <c r="J367" s="65" t="b">
        <v>0</v>
      </c>
      <c r="K367" s="65" t="s">
        <v>150</v>
      </c>
      <c r="L367" s="85" t="b">
        <f>IF(VLOOKUP(C367,Projetos!A:L,12,false)=TRUE,TRUE,FALSE)</f>
        <v>1</v>
      </c>
      <c r="M367" s="74">
        <v>93.01026307720058</v>
      </c>
      <c r="N367" s="74">
        <f t="shared" si="1"/>
        <v>0</v>
      </c>
      <c r="O367" s="74" t="b">
        <v>1</v>
      </c>
    </row>
    <row r="368" hidden="1">
      <c r="A368" s="82"/>
      <c r="B368" s="65" t="s">
        <v>168</v>
      </c>
      <c r="C368" s="65" t="s">
        <v>108</v>
      </c>
      <c r="D368" s="65"/>
      <c r="E368" s="65" t="s">
        <v>171</v>
      </c>
      <c r="F368" s="83">
        <v>0.375</v>
      </c>
      <c r="G368" s="83">
        <v>0.5</v>
      </c>
      <c r="H368" s="83">
        <v>0.125</v>
      </c>
      <c r="I368" s="84">
        <v>44287.0</v>
      </c>
      <c r="J368" s="65" t="b">
        <v>0</v>
      </c>
      <c r="K368" s="65" t="s">
        <v>150</v>
      </c>
      <c r="L368" s="85" t="b">
        <f>IF(VLOOKUP(C368,Projetos!A:L,12,false)=TRUE,TRUE,FALSE)</f>
        <v>1</v>
      </c>
      <c r="M368" s="74">
        <v>93.01026307720058</v>
      </c>
      <c r="N368" s="74">
        <f t="shared" si="1"/>
        <v>0</v>
      </c>
      <c r="O368" s="74" t="b">
        <v>1</v>
      </c>
    </row>
    <row r="369" hidden="1">
      <c r="A369" s="82"/>
      <c r="B369" s="65" t="s">
        <v>168</v>
      </c>
      <c r="C369" s="65" t="s">
        <v>108</v>
      </c>
      <c r="D369" s="65"/>
      <c r="E369" s="65" t="s">
        <v>171</v>
      </c>
      <c r="F369" s="83">
        <v>0.5833333333333334</v>
      </c>
      <c r="G369" s="83">
        <v>0.6666666666666666</v>
      </c>
      <c r="H369" s="83">
        <v>0.08333333333333333</v>
      </c>
      <c r="I369" s="84">
        <v>44288.0</v>
      </c>
      <c r="J369" s="65" t="b">
        <v>0</v>
      </c>
      <c r="K369" s="65" t="s">
        <v>150</v>
      </c>
      <c r="L369" s="85" t="b">
        <f>IF(VLOOKUP(C369,Projetos!A:L,12,false)=TRUE,TRUE,FALSE)</f>
        <v>1</v>
      </c>
      <c r="M369" s="74">
        <v>93.01026307720058</v>
      </c>
      <c r="N369" s="74">
        <f t="shared" si="1"/>
        <v>0</v>
      </c>
      <c r="O369" s="74" t="b">
        <v>1</v>
      </c>
    </row>
    <row r="370" hidden="1">
      <c r="A370" s="82"/>
      <c r="B370" s="65" t="s">
        <v>168</v>
      </c>
      <c r="C370" s="65" t="s">
        <v>108</v>
      </c>
      <c r="D370" s="65" t="str">
        <f>vlookup(C370,'Classificação p pessoal'!F:G,2,false)</f>
        <v>NP</v>
      </c>
      <c r="E370" s="65" t="s">
        <v>172</v>
      </c>
      <c r="F370" s="83">
        <v>0.375</v>
      </c>
      <c r="G370" s="83">
        <v>0.5</v>
      </c>
      <c r="H370" s="83">
        <v>0.125</v>
      </c>
      <c r="I370" s="84">
        <v>44314.0</v>
      </c>
      <c r="J370" s="65" t="b">
        <v>1</v>
      </c>
      <c r="K370" s="65"/>
      <c r="L370" s="85" t="b">
        <f>IF(VLOOKUP(C370,Projetos!A:L,12,false)=TRUE,TRUE,FALSE)</f>
        <v>1</v>
      </c>
      <c r="M370" s="74">
        <v>93.01026307720058</v>
      </c>
      <c r="N370" s="74">
        <f t="shared" si="1"/>
        <v>279.0307892</v>
      </c>
      <c r="O370" s="74" t="b">
        <v>1</v>
      </c>
    </row>
    <row r="371" hidden="1">
      <c r="A371" s="82"/>
      <c r="B371" s="65" t="s">
        <v>168</v>
      </c>
      <c r="C371" s="65" t="s">
        <v>152</v>
      </c>
      <c r="D371" s="65"/>
      <c r="E371" s="65" t="s">
        <v>171</v>
      </c>
      <c r="F371" s="83">
        <v>0.4166666666666667</v>
      </c>
      <c r="G371" s="83">
        <v>0.5416666666666666</v>
      </c>
      <c r="H371" s="83">
        <v>0.125</v>
      </c>
      <c r="I371" s="84">
        <v>44315.0</v>
      </c>
      <c r="J371" s="65" t="b">
        <v>0</v>
      </c>
      <c r="K371" s="65" t="s">
        <v>150</v>
      </c>
      <c r="L371" s="85" t="b">
        <f>IF(VLOOKUP(C371,Projetos!A:L,12,false)=TRUE,TRUE,FALSE)</f>
        <v>1</v>
      </c>
      <c r="M371" s="74">
        <v>93.01026307720058</v>
      </c>
      <c r="N371" s="74">
        <f t="shared" si="1"/>
        <v>0</v>
      </c>
      <c r="O371" s="74" t="b">
        <v>1</v>
      </c>
    </row>
    <row r="372" hidden="1">
      <c r="A372" s="82"/>
      <c r="B372" s="65" t="s">
        <v>168</v>
      </c>
      <c r="C372" s="65" t="s">
        <v>117</v>
      </c>
      <c r="D372" s="65"/>
      <c r="E372" s="65" t="s">
        <v>171</v>
      </c>
      <c r="F372" s="83">
        <v>0.625</v>
      </c>
      <c r="G372" s="83">
        <v>0.75</v>
      </c>
      <c r="H372" s="83">
        <v>0.125</v>
      </c>
      <c r="I372" s="84">
        <v>44316.0</v>
      </c>
      <c r="J372" s="65" t="b">
        <v>0</v>
      </c>
      <c r="K372" s="65" t="s">
        <v>150</v>
      </c>
      <c r="L372" s="85" t="b">
        <f>IF(VLOOKUP(C372,Projetos!A:L,12,false)=TRUE,TRUE,FALSE)</f>
        <v>1</v>
      </c>
      <c r="M372" s="74">
        <v>93.01026307720058</v>
      </c>
      <c r="N372" s="74">
        <f t="shared" si="1"/>
        <v>0</v>
      </c>
      <c r="O372" s="74" t="b">
        <v>1</v>
      </c>
    </row>
    <row r="373" hidden="1">
      <c r="A373" s="82"/>
      <c r="B373" s="65" t="s">
        <v>168</v>
      </c>
      <c r="C373" s="65" t="s">
        <v>152</v>
      </c>
      <c r="D373" s="65"/>
      <c r="E373" s="65" t="s">
        <v>173</v>
      </c>
      <c r="F373" s="83">
        <v>0.7083333333333334</v>
      </c>
      <c r="G373" s="83">
        <v>0.75</v>
      </c>
      <c r="H373" s="83">
        <v>0.041666666666666664</v>
      </c>
      <c r="I373" s="84">
        <v>44315.0</v>
      </c>
      <c r="J373" s="65" t="b">
        <v>0</v>
      </c>
      <c r="K373" s="65" t="s">
        <v>150</v>
      </c>
      <c r="L373" s="85" t="b">
        <f>IF(VLOOKUP(C373,Projetos!A:L,12,false)=TRUE,TRUE,FALSE)</f>
        <v>1</v>
      </c>
      <c r="M373" s="74">
        <v>93.01026307720058</v>
      </c>
      <c r="N373" s="74">
        <f t="shared" si="1"/>
        <v>0</v>
      </c>
      <c r="O373" s="74" t="b">
        <v>1</v>
      </c>
    </row>
    <row r="374" hidden="1">
      <c r="A374" s="82"/>
      <c r="B374" s="65" t="s">
        <v>168</v>
      </c>
      <c r="C374" s="65" t="s">
        <v>108</v>
      </c>
      <c r="D374" s="65"/>
      <c r="E374" s="65" t="s">
        <v>171</v>
      </c>
      <c r="F374" s="83">
        <v>0.4166666666666667</v>
      </c>
      <c r="G374" s="83">
        <v>0.5416666666666666</v>
      </c>
      <c r="H374" s="83">
        <v>0.125</v>
      </c>
      <c r="I374" s="84">
        <v>44326.0</v>
      </c>
      <c r="J374" s="65" t="b">
        <v>0</v>
      </c>
      <c r="K374" s="65" t="s">
        <v>150</v>
      </c>
      <c r="L374" s="85" t="b">
        <f>IF(VLOOKUP(C374,Projetos!A:L,12,false)=TRUE,TRUE,FALSE)</f>
        <v>1</v>
      </c>
      <c r="M374" s="74">
        <v>93.01026307720058</v>
      </c>
      <c r="N374" s="74">
        <f t="shared" si="1"/>
        <v>0</v>
      </c>
      <c r="O374" s="74" t="b">
        <v>1</v>
      </c>
    </row>
    <row r="375" hidden="1">
      <c r="A375" s="82"/>
      <c r="B375" s="65" t="s">
        <v>168</v>
      </c>
      <c r="C375" s="65" t="s">
        <v>108</v>
      </c>
      <c r="D375" s="65"/>
      <c r="E375" s="65" t="s">
        <v>171</v>
      </c>
      <c r="F375" s="83">
        <v>0.5833333333333334</v>
      </c>
      <c r="G375" s="83">
        <v>0.7083333333333334</v>
      </c>
      <c r="H375" s="83">
        <v>0.125</v>
      </c>
      <c r="I375" s="84">
        <v>44327.0</v>
      </c>
      <c r="J375" s="65" t="b">
        <v>0</v>
      </c>
      <c r="K375" s="65" t="s">
        <v>150</v>
      </c>
      <c r="L375" s="85" t="b">
        <f>IF(VLOOKUP(C375,Projetos!A:L,12,false)=TRUE,TRUE,FALSE)</f>
        <v>1</v>
      </c>
      <c r="M375" s="74">
        <v>93.01026307720058</v>
      </c>
      <c r="N375" s="74">
        <f t="shared" si="1"/>
        <v>0</v>
      </c>
      <c r="O375" s="74" t="b">
        <v>1</v>
      </c>
    </row>
    <row r="376" hidden="1">
      <c r="A376" s="82"/>
      <c r="B376" s="65" t="s">
        <v>168</v>
      </c>
      <c r="C376" s="65" t="s">
        <v>107</v>
      </c>
      <c r="D376" s="65" t="str">
        <f>vlookup(C376,'Classificação p pessoal'!F:G,2,false)</f>
        <v>NP</v>
      </c>
      <c r="E376" s="65" t="s">
        <v>172</v>
      </c>
      <c r="F376" s="83">
        <v>0.375</v>
      </c>
      <c r="G376" s="83">
        <v>0.5</v>
      </c>
      <c r="H376" s="83">
        <v>0.125</v>
      </c>
      <c r="I376" s="84">
        <v>44333.0</v>
      </c>
      <c r="J376" s="65" t="b">
        <v>1</v>
      </c>
      <c r="K376" s="65"/>
      <c r="L376" s="85" t="b">
        <f>IF(VLOOKUP(C376,Projetos!A:L,12,false)=TRUE,TRUE,FALSE)</f>
        <v>1</v>
      </c>
      <c r="M376" s="74">
        <v>93.01026307720058</v>
      </c>
      <c r="N376" s="74">
        <f t="shared" si="1"/>
        <v>279.0307892</v>
      </c>
      <c r="O376" s="74" t="b">
        <v>1</v>
      </c>
    </row>
    <row r="377" hidden="1">
      <c r="A377" s="82"/>
      <c r="B377" s="65" t="s">
        <v>168</v>
      </c>
      <c r="C377" s="65" t="s">
        <v>152</v>
      </c>
      <c r="D377" s="65"/>
      <c r="E377" s="65" t="s">
        <v>171</v>
      </c>
      <c r="F377" s="83">
        <v>0.375</v>
      </c>
      <c r="G377" s="83">
        <v>0.5416666666666666</v>
      </c>
      <c r="H377" s="83">
        <v>0.16666666666666666</v>
      </c>
      <c r="I377" s="84">
        <v>44334.0</v>
      </c>
      <c r="J377" s="65" t="b">
        <v>0</v>
      </c>
      <c r="K377" s="65" t="s">
        <v>150</v>
      </c>
      <c r="L377" s="85" t="b">
        <f>IF(VLOOKUP(C377,Projetos!A:L,12,false)=TRUE,TRUE,FALSE)</f>
        <v>1</v>
      </c>
      <c r="M377" s="74">
        <v>93.01026307720058</v>
      </c>
      <c r="N377" s="74">
        <f t="shared" si="1"/>
        <v>0</v>
      </c>
      <c r="O377" s="74" t="b">
        <v>1</v>
      </c>
    </row>
    <row r="378" hidden="1">
      <c r="A378" s="82"/>
      <c r="B378" s="65" t="s">
        <v>168</v>
      </c>
      <c r="C378" s="65" t="s">
        <v>118</v>
      </c>
      <c r="D378" s="65"/>
      <c r="E378" s="65" t="s">
        <v>171</v>
      </c>
      <c r="F378" s="83">
        <v>0.6666666666666666</v>
      </c>
      <c r="G378" s="83">
        <v>0.75</v>
      </c>
      <c r="H378" s="83">
        <v>0.08333333333333333</v>
      </c>
      <c r="I378" s="84">
        <v>44335.0</v>
      </c>
      <c r="J378" s="65" t="b">
        <v>0</v>
      </c>
      <c r="K378" s="65" t="s">
        <v>150</v>
      </c>
      <c r="L378" s="85" t="b">
        <f>IF(VLOOKUP(C378,Projetos!A:L,12,false)=TRUE,TRUE,FALSE)</f>
        <v>1</v>
      </c>
      <c r="M378" s="74">
        <v>93.01026307720058</v>
      </c>
      <c r="N378" s="74">
        <f t="shared" si="1"/>
        <v>0</v>
      </c>
      <c r="O378" s="74" t="b">
        <v>1</v>
      </c>
    </row>
    <row r="379" hidden="1">
      <c r="A379" s="82"/>
      <c r="B379" s="65" t="s">
        <v>168</v>
      </c>
      <c r="C379" s="65" t="s">
        <v>118</v>
      </c>
      <c r="D379" s="65"/>
      <c r="E379" s="65" t="s">
        <v>173</v>
      </c>
      <c r="F379" s="83">
        <v>0.5416666666666666</v>
      </c>
      <c r="G379" s="83">
        <v>0.7083333333333334</v>
      </c>
      <c r="H379" s="83">
        <v>0.16666666666666666</v>
      </c>
      <c r="I379" s="84">
        <v>44336.0</v>
      </c>
      <c r="J379" s="65" t="b">
        <v>0</v>
      </c>
      <c r="K379" s="65" t="s">
        <v>150</v>
      </c>
      <c r="L379" s="85" t="b">
        <f>IF(VLOOKUP(C379,Projetos!A:L,12,false)=TRUE,TRUE,FALSE)</f>
        <v>1</v>
      </c>
      <c r="M379" s="74">
        <v>93.01026307720058</v>
      </c>
      <c r="N379" s="74">
        <f t="shared" si="1"/>
        <v>0</v>
      </c>
      <c r="O379" s="74" t="b">
        <v>1</v>
      </c>
    </row>
    <row r="380" hidden="1">
      <c r="A380" s="82"/>
      <c r="B380" s="65" t="s">
        <v>168</v>
      </c>
      <c r="C380" s="65" t="s">
        <v>108</v>
      </c>
      <c r="D380" s="65"/>
      <c r="E380" s="65" t="s">
        <v>171</v>
      </c>
      <c r="F380" s="83">
        <v>0.4166666666666667</v>
      </c>
      <c r="G380" s="83">
        <v>0.5</v>
      </c>
      <c r="H380" s="83">
        <v>0.08333333333333333</v>
      </c>
      <c r="I380" s="84">
        <v>44349.0</v>
      </c>
      <c r="J380" s="65" t="b">
        <v>0</v>
      </c>
      <c r="K380" s="65" t="s">
        <v>150</v>
      </c>
      <c r="L380" s="85" t="b">
        <f>IF(VLOOKUP(C380,Projetos!A:L,12,false)=TRUE,TRUE,FALSE)</f>
        <v>1</v>
      </c>
      <c r="M380" s="74">
        <v>93.01026307720058</v>
      </c>
      <c r="N380" s="74">
        <f t="shared" si="1"/>
        <v>0</v>
      </c>
      <c r="O380" s="74" t="b">
        <v>1</v>
      </c>
    </row>
    <row r="381" hidden="1">
      <c r="A381" s="82"/>
      <c r="B381" s="65" t="s">
        <v>168</v>
      </c>
      <c r="C381" s="65" t="s">
        <v>100</v>
      </c>
      <c r="D381" s="65"/>
      <c r="E381" s="65" t="s">
        <v>171</v>
      </c>
      <c r="F381" s="83">
        <v>0.375</v>
      </c>
      <c r="G381" s="83">
        <v>0.5</v>
      </c>
      <c r="H381" s="83">
        <v>0.125</v>
      </c>
      <c r="I381" s="84">
        <v>44356.0</v>
      </c>
      <c r="J381" s="65" t="b">
        <v>0</v>
      </c>
      <c r="K381" s="65" t="s">
        <v>150</v>
      </c>
      <c r="L381" s="85" t="b">
        <f>IF(VLOOKUP(C381,Projetos!A:L,12,false)=TRUE,TRUE,FALSE)</f>
        <v>1</v>
      </c>
      <c r="M381" s="74">
        <v>93.01026307720058</v>
      </c>
      <c r="N381" s="74">
        <f t="shared" si="1"/>
        <v>0</v>
      </c>
      <c r="O381" s="74" t="b">
        <v>1</v>
      </c>
    </row>
    <row r="382" hidden="1">
      <c r="A382" s="82"/>
      <c r="B382" s="65" t="s">
        <v>168</v>
      </c>
      <c r="C382" s="65" t="s">
        <v>118</v>
      </c>
      <c r="D382" s="65" t="str">
        <f>vlookup(C382,'Classificação p pessoal'!F:G,2,false)</f>
        <v>MProduto</v>
      </c>
      <c r="E382" s="65" t="s">
        <v>172</v>
      </c>
      <c r="F382" s="83">
        <v>0.5416666666666666</v>
      </c>
      <c r="G382" s="83">
        <v>0.625</v>
      </c>
      <c r="H382" s="83">
        <v>0.08333333333333333</v>
      </c>
      <c r="I382" s="84">
        <v>44363.0</v>
      </c>
      <c r="J382" s="65" t="b">
        <v>1</v>
      </c>
      <c r="K382" s="65"/>
      <c r="L382" s="85" t="b">
        <f>IF(VLOOKUP(C382,Projetos!A:L,12,false)=TRUE,TRUE,FALSE)</f>
        <v>1</v>
      </c>
      <c r="M382" s="74">
        <v>93.01026307720058</v>
      </c>
      <c r="N382" s="74">
        <f t="shared" si="1"/>
        <v>186.0205262</v>
      </c>
      <c r="O382" s="74" t="b">
        <v>1</v>
      </c>
    </row>
    <row r="383" hidden="1">
      <c r="A383" s="82"/>
      <c r="B383" s="65" t="s">
        <v>168</v>
      </c>
      <c r="C383" s="65" t="s">
        <v>88</v>
      </c>
      <c r="D383" s="65"/>
      <c r="E383" s="65" t="s">
        <v>171</v>
      </c>
      <c r="F383" s="83">
        <v>0.625</v>
      </c>
      <c r="G383" s="83">
        <v>0.75</v>
      </c>
      <c r="H383" s="83">
        <v>0.125</v>
      </c>
      <c r="I383" s="84">
        <v>44364.0</v>
      </c>
      <c r="J383" s="65" t="b">
        <v>0</v>
      </c>
      <c r="K383" s="65" t="s">
        <v>150</v>
      </c>
      <c r="L383" s="85" t="b">
        <f>IF(VLOOKUP(C383,Projetos!A:L,12,false)=TRUE,TRUE,FALSE)</f>
        <v>1</v>
      </c>
      <c r="M383" s="74">
        <v>93.01026307720058</v>
      </c>
      <c r="N383" s="74">
        <f t="shared" si="1"/>
        <v>0</v>
      </c>
      <c r="O383" s="74" t="b">
        <v>1</v>
      </c>
    </row>
    <row r="384" hidden="1">
      <c r="A384" s="82"/>
      <c r="B384" s="65" t="s">
        <v>168</v>
      </c>
      <c r="C384" s="65" t="s">
        <v>88</v>
      </c>
      <c r="D384" s="65"/>
      <c r="E384" s="65" t="s">
        <v>171</v>
      </c>
      <c r="F384" s="83">
        <v>0.4166666666666667</v>
      </c>
      <c r="G384" s="83">
        <v>0.5</v>
      </c>
      <c r="H384" s="83">
        <v>0.08333333333333333</v>
      </c>
      <c r="I384" s="84">
        <v>44368.0</v>
      </c>
      <c r="J384" s="65" t="b">
        <v>0</v>
      </c>
      <c r="K384" s="65" t="s">
        <v>150</v>
      </c>
      <c r="L384" s="85" t="b">
        <f>IF(VLOOKUP(C384,Projetos!A:L,12,false)=TRUE,TRUE,FALSE)</f>
        <v>1</v>
      </c>
      <c r="M384" s="74">
        <v>93.01026307720058</v>
      </c>
      <c r="N384" s="74">
        <f t="shared" si="1"/>
        <v>0</v>
      </c>
      <c r="O384" s="74" t="b">
        <v>1</v>
      </c>
    </row>
    <row r="385" hidden="1">
      <c r="A385" s="82"/>
      <c r="B385" s="65" t="s">
        <v>168</v>
      </c>
      <c r="C385" s="65" t="s">
        <v>107</v>
      </c>
      <c r="D385" s="65"/>
      <c r="E385" s="65" t="s">
        <v>174</v>
      </c>
      <c r="F385" s="83">
        <v>0.375</v>
      </c>
      <c r="G385" s="83">
        <v>0.5</v>
      </c>
      <c r="H385" s="83">
        <v>0.125</v>
      </c>
      <c r="I385" s="84">
        <v>44369.0</v>
      </c>
      <c r="J385" s="65" t="b">
        <v>0</v>
      </c>
      <c r="K385" s="65" t="s">
        <v>150</v>
      </c>
      <c r="L385" s="85" t="b">
        <f>IF(VLOOKUP(C385,Projetos!A:L,12,false)=TRUE,TRUE,FALSE)</f>
        <v>1</v>
      </c>
      <c r="M385" s="74">
        <v>93.01026307720058</v>
      </c>
      <c r="N385" s="74">
        <f t="shared" si="1"/>
        <v>0</v>
      </c>
      <c r="O385" s="74" t="b">
        <v>1</v>
      </c>
    </row>
    <row r="386" hidden="1">
      <c r="A386" s="82"/>
      <c r="B386" s="65" t="s">
        <v>168</v>
      </c>
      <c r="C386" s="65" t="s">
        <v>84</v>
      </c>
      <c r="D386" s="65"/>
      <c r="E386" s="65" t="s">
        <v>175</v>
      </c>
      <c r="F386" s="83">
        <v>0.5416666666666666</v>
      </c>
      <c r="G386" s="83">
        <v>0.625</v>
      </c>
      <c r="H386" s="83">
        <v>0.08333333333333333</v>
      </c>
      <c r="I386" s="84">
        <v>44370.0</v>
      </c>
      <c r="J386" s="65" t="b">
        <v>0</v>
      </c>
      <c r="K386" s="65"/>
      <c r="L386" s="85" t="b">
        <f>IF(VLOOKUP(C386,Projetos!A:L,12,false)=TRUE,TRUE,FALSE)</f>
        <v>0</v>
      </c>
      <c r="M386" s="74">
        <v>93.01026307720058</v>
      </c>
      <c r="N386" s="74">
        <f t="shared" si="1"/>
        <v>0</v>
      </c>
      <c r="O386" s="74" t="b">
        <v>0</v>
      </c>
    </row>
    <row r="387" hidden="1">
      <c r="A387" s="82"/>
      <c r="B387" s="65" t="s">
        <v>168</v>
      </c>
      <c r="C387" s="65" t="s">
        <v>122</v>
      </c>
      <c r="D387" s="65"/>
      <c r="E387" s="65" t="s">
        <v>173</v>
      </c>
      <c r="F387" s="83">
        <v>0.625</v>
      </c>
      <c r="G387" s="83">
        <v>0.75</v>
      </c>
      <c r="H387" s="83">
        <v>0.125</v>
      </c>
      <c r="I387" s="84">
        <v>44371.0</v>
      </c>
      <c r="J387" s="65" t="b">
        <v>0</v>
      </c>
      <c r="K387" s="65" t="s">
        <v>150</v>
      </c>
      <c r="L387" s="85" t="b">
        <f>IF(VLOOKUP(C387,Projetos!A:L,12,false)=TRUE,TRUE,FALSE)</f>
        <v>1</v>
      </c>
      <c r="M387" s="74">
        <v>93.01026307720058</v>
      </c>
      <c r="N387" s="74">
        <f t="shared" si="1"/>
        <v>0</v>
      </c>
      <c r="O387" s="74" t="b">
        <v>1</v>
      </c>
    </row>
    <row r="388" hidden="1">
      <c r="A388" s="82"/>
      <c r="B388" s="65" t="s">
        <v>168</v>
      </c>
      <c r="C388" s="65" t="s">
        <v>100</v>
      </c>
      <c r="D388" s="65"/>
      <c r="E388" s="65" t="s">
        <v>171</v>
      </c>
      <c r="F388" s="83">
        <v>0.375</v>
      </c>
      <c r="G388" s="83">
        <v>0.5</v>
      </c>
      <c r="H388" s="83">
        <v>0.125</v>
      </c>
      <c r="I388" s="84">
        <v>44383.0</v>
      </c>
      <c r="J388" s="65" t="b">
        <v>0</v>
      </c>
      <c r="K388" s="65" t="s">
        <v>150</v>
      </c>
      <c r="L388" s="85" t="b">
        <f>IF(VLOOKUP(C388,Projetos!A:L,12,false)=TRUE,TRUE,FALSE)</f>
        <v>1</v>
      </c>
      <c r="M388" s="74">
        <v>93.01026307720058</v>
      </c>
      <c r="N388" s="74">
        <f t="shared" si="1"/>
        <v>0</v>
      </c>
      <c r="O388" s="74" t="b">
        <v>1</v>
      </c>
    </row>
    <row r="389" hidden="1">
      <c r="A389" s="82"/>
      <c r="B389" s="65" t="s">
        <v>168</v>
      </c>
      <c r="C389" s="65" t="s">
        <v>107</v>
      </c>
      <c r="D389" s="65"/>
      <c r="E389" s="65" t="s">
        <v>171</v>
      </c>
      <c r="F389" s="83">
        <v>0.5833333333333334</v>
      </c>
      <c r="G389" s="83">
        <v>0.6666666666666666</v>
      </c>
      <c r="H389" s="83">
        <v>0.08333333333333333</v>
      </c>
      <c r="I389" s="84">
        <v>44384.0</v>
      </c>
      <c r="J389" s="65" t="b">
        <v>0</v>
      </c>
      <c r="K389" s="65" t="s">
        <v>150</v>
      </c>
      <c r="L389" s="85" t="b">
        <f>IF(VLOOKUP(C389,Projetos!A:L,12,false)=TRUE,TRUE,FALSE)</f>
        <v>1</v>
      </c>
      <c r="M389" s="74">
        <v>93.01026307720058</v>
      </c>
      <c r="N389" s="74">
        <f t="shared" si="1"/>
        <v>0</v>
      </c>
      <c r="O389" s="74" t="b">
        <v>1</v>
      </c>
    </row>
    <row r="390" hidden="1">
      <c r="A390" s="82"/>
      <c r="B390" s="65" t="s">
        <v>168</v>
      </c>
      <c r="C390" s="65" t="s">
        <v>122</v>
      </c>
      <c r="D390" s="65" t="str">
        <f>vlookup(C390,'Classificação p pessoal'!F:G,2,false)</f>
        <v>NP</v>
      </c>
      <c r="E390" s="65" t="s">
        <v>172</v>
      </c>
      <c r="F390" s="83">
        <v>0.375</v>
      </c>
      <c r="G390" s="83">
        <v>0.5</v>
      </c>
      <c r="H390" s="83">
        <v>0.125</v>
      </c>
      <c r="I390" s="84">
        <v>44390.0</v>
      </c>
      <c r="J390" s="65" t="b">
        <v>1</v>
      </c>
      <c r="K390" s="65"/>
      <c r="L390" s="85" t="b">
        <f>IF(VLOOKUP(C390,Projetos!A:L,12,false)=TRUE,TRUE,FALSE)</f>
        <v>1</v>
      </c>
      <c r="M390" s="74">
        <v>93.01026307720058</v>
      </c>
      <c r="N390" s="74">
        <f t="shared" si="1"/>
        <v>279.0307892</v>
      </c>
      <c r="O390" s="74" t="b">
        <v>1</v>
      </c>
    </row>
    <row r="391" hidden="1">
      <c r="A391" s="82"/>
      <c r="B391" s="65" t="s">
        <v>168</v>
      </c>
      <c r="C391" s="65" t="s">
        <v>122</v>
      </c>
      <c r="D391" s="65"/>
      <c r="E391" s="65" t="s">
        <v>171</v>
      </c>
      <c r="F391" s="83">
        <v>0.4166666666666667</v>
      </c>
      <c r="G391" s="83">
        <v>0.5416666666666666</v>
      </c>
      <c r="H391" s="83">
        <v>0.125</v>
      </c>
      <c r="I391" s="84">
        <v>44391.0</v>
      </c>
      <c r="J391" s="65" t="b">
        <v>0</v>
      </c>
      <c r="K391" s="65" t="s">
        <v>150</v>
      </c>
      <c r="L391" s="85" t="b">
        <f>IF(VLOOKUP(C391,Projetos!A:L,12,false)=TRUE,TRUE,FALSE)</f>
        <v>1</v>
      </c>
      <c r="M391" s="74">
        <v>93.01026307720058</v>
      </c>
      <c r="N391" s="74">
        <f t="shared" si="1"/>
        <v>0</v>
      </c>
      <c r="O391" s="74" t="b">
        <v>1</v>
      </c>
    </row>
    <row r="392" hidden="1">
      <c r="A392" s="82"/>
      <c r="B392" s="65" t="s">
        <v>168</v>
      </c>
      <c r="C392" s="65" t="s">
        <v>132</v>
      </c>
      <c r="D392" s="65"/>
      <c r="E392" s="65" t="s">
        <v>173</v>
      </c>
      <c r="F392" s="83">
        <v>0.625</v>
      </c>
      <c r="G392" s="83">
        <v>0.75</v>
      </c>
      <c r="H392" s="83">
        <v>0.125</v>
      </c>
      <c r="I392" s="84">
        <v>44399.0</v>
      </c>
      <c r="J392" s="65" t="b">
        <v>0</v>
      </c>
      <c r="K392" s="65" t="s">
        <v>150</v>
      </c>
      <c r="L392" s="85" t="b">
        <f>IF(VLOOKUP(C392,Projetos!A:L,12,false)=TRUE,TRUE,FALSE)</f>
        <v>0</v>
      </c>
      <c r="M392" s="74">
        <v>93.01026307720058</v>
      </c>
      <c r="N392" s="74">
        <f t="shared" si="1"/>
        <v>0</v>
      </c>
      <c r="O392" s="74" t="b">
        <v>0</v>
      </c>
    </row>
    <row r="393" hidden="1">
      <c r="A393" s="82"/>
      <c r="B393" s="65" t="s">
        <v>168</v>
      </c>
      <c r="C393" s="65" t="s">
        <v>108</v>
      </c>
      <c r="D393" s="65"/>
      <c r="E393" s="65" t="s">
        <v>171</v>
      </c>
      <c r="F393" s="83">
        <v>0.4166666666666667</v>
      </c>
      <c r="G393" s="83">
        <v>0.5</v>
      </c>
      <c r="H393" s="83">
        <v>0.08333333333333333</v>
      </c>
      <c r="I393" s="84">
        <v>44418.0</v>
      </c>
      <c r="J393" s="65" t="b">
        <v>0</v>
      </c>
      <c r="K393" s="65" t="s">
        <v>150</v>
      </c>
      <c r="L393" s="85" t="b">
        <f>IF(VLOOKUP(C393,Projetos!A:L,12,false)=TRUE,TRUE,FALSE)</f>
        <v>1</v>
      </c>
      <c r="M393" s="74">
        <v>93.01026307720058</v>
      </c>
      <c r="N393" s="74">
        <f t="shared" si="1"/>
        <v>0</v>
      </c>
      <c r="O393" s="74" t="b">
        <v>1</v>
      </c>
    </row>
    <row r="394" hidden="1">
      <c r="A394" s="82"/>
      <c r="B394" s="65" t="s">
        <v>168</v>
      </c>
      <c r="C394" s="65" t="s">
        <v>107</v>
      </c>
      <c r="D394" s="65"/>
      <c r="E394" s="65" t="s">
        <v>171</v>
      </c>
      <c r="F394" s="83">
        <v>0.5833333333333334</v>
      </c>
      <c r="G394" s="83">
        <v>0.6666666666666666</v>
      </c>
      <c r="H394" s="83">
        <v>0.08333333333333333</v>
      </c>
      <c r="I394" s="84">
        <v>44419.0</v>
      </c>
      <c r="J394" s="65" t="b">
        <v>0</v>
      </c>
      <c r="K394" s="65" t="s">
        <v>150</v>
      </c>
      <c r="L394" s="85" t="b">
        <f>IF(VLOOKUP(C394,Projetos!A:L,12,false)=TRUE,TRUE,FALSE)</f>
        <v>1</v>
      </c>
      <c r="M394" s="74">
        <v>93.01026307720058</v>
      </c>
      <c r="N394" s="74">
        <f t="shared" si="1"/>
        <v>0</v>
      </c>
      <c r="O394" s="74" t="b">
        <v>1</v>
      </c>
    </row>
    <row r="395" hidden="1">
      <c r="A395" s="82"/>
      <c r="B395" s="65" t="s">
        <v>168</v>
      </c>
      <c r="C395" s="65" t="s">
        <v>122</v>
      </c>
      <c r="D395" s="65" t="str">
        <f>vlookup(C395,'Classificação p pessoal'!F:G,2,false)</f>
        <v>NP</v>
      </c>
      <c r="E395" s="65" t="s">
        <v>172</v>
      </c>
      <c r="F395" s="83">
        <v>0.375</v>
      </c>
      <c r="G395" s="83">
        <v>0.5</v>
      </c>
      <c r="H395" s="83">
        <v>0.125</v>
      </c>
      <c r="I395" s="84">
        <v>44425.0</v>
      </c>
      <c r="J395" s="65" t="b">
        <v>1</v>
      </c>
      <c r="K395" s="65"/>
      <c r="L395" s="85" t="b">
        <f>IF(VLOOKUP(C395,Projetos!A:L,12,false)=TRUE,TRUE,FALSE)</f>
        <v>1</v>
      </c>
      <c r="M395" s="74">
        <v>93.01026307720058</v>
      </c>
      <c r="N395" s="74">
        <f t="shared" si="1"/>
        <v>279.0307892</v>
      </c>
      <c r="O395" s="74" t="b">
        <v>1</v>
      </c>
    </row>
    <row r="396" hidden="1">
      <c r="A396" s="82"/>
      <c r="B396" s="65" t="s">
        <v>168</v>
      </c>
      <c r="C396" s="65" t="s">
        <v>121</v>
      </c>
      <c r="D396" s="65"/>
      <c r="E396" s="65" t="s">
        <v>171</v>
      </c>
      <c r="F396" s="83">
        <v>0.4166666666666667</v>
      </c>
      <c r="G396" s="83">
        <v>0.5416666666666666</v>
      </c>
      <c r="H396" s="83">
        <v>0.125</v>
      </c>
      <c r="I396" s="84">
        <v>44426.0</v>
      </c>
      <c r="J396" s="65" t="b">
        <v>0</v>
      </c>
      <c r="K396" s="65" t="s">
        <v>150</v>
      </c>
      <c r="L396" s="85" t="b">
        <f>IF(VLOOKUP(C396,Projetos!A:L,12,false)=TRUE,TRUE,FALSE)</f>
        <v>1</v>
      </c>
      <c r="M396" s="74">
        <v>93.01026307720058</v>
      </c>
      <c r="N396" s="74">
        <f t="shared" si="1"/>
        <v>0</v>
      </c>
      <c r="O396" s="74" t="b">
        <v>1</v>
      </c>
    </row>
    <row r="397" hidden="1">
      <c r="A397" s="82"/>
      <c r="B397" s="65" t="s">
        <v>168</v>
      </c>
      <c r="C397" s="65" t="s">
        <v>132</v>
      </c>
      <c r="D397" s="65"/>
      <c r="E397" s="65" t="s">
        <v>173</v>
      </c>
      <c r="F397" s="83">
        <v>0.4166666666666667</v>
      </c>
      <c r="G397" s="83">
        <v>0.5</v>
      </c>
      <c r="H397" s="83">
        <v>0.08333333333333333</v>
      </c>
      <c r="I397" s="84">
        <v>44433.0</v>
      </c>
      <c r="J397" s="65" t="b">
        <v>0</v>
      </c>
      <c r="K397" s="65" t="s">
        <v>150</v>
      </c>
      <c r="L397" s="85" t="b">
        <f>IF(VLOOKUP(C397,Projetos!A:L,12,false)=TRUE,TRUE,FALSE)</f>
        <v>0</v>
      </c>
      <c r="M397" s="74">
        <v>93.01026307720058</v>
      </c>
      <c r="N397" s="74">
        <f t="shared" si="1"/>
        <v>0</v>
      </c>
      <c r="O397" s="74" t="b">
        <v>0</v>
      </c>
    </row>
    <row r="398" hidden="1">
      <c r="A398" s="82"/>
      <c r="B398" s="65" t="s">
        <v>168</v>
      </c>
      <c r="C398" s="65" t="s">
        <v>122</v>
      </c>
      <c r="D398" s="65"/>
      <c r="E398" s="65" t="s">
        <v>171</v>
      </c>
      <c r="F398" s="83">
        <v>0.375</v>
      </c>
      <c r="G398" s="83">
        <v>0.5</v>
      </c>
      <c r="H398" s="83">
        <v>0.125</v>
      </c>
      <c r="I398" s="84">
        <v>44446.0</v>
      </c>
      <c r="J398" s="65" t="b">
        <v>0</v>
      </c>
      <c r="K398" s="65" t="s">
        <v>150</v>
      </c>
      <c r="L398" s="85" t="b">
        <f>IF(VLOOKUP(C398,Projetos!A:L,12,false)=TRUE,TRUE,FALSE)</f>
        <v>1</v>
      </c>
      <c r="M398" s="74">
        <v>93.01026307720058</v>
      </c>
      <c r="N398" s="74">
        <f t="shared" si="1"/>
        <v>0</v>
      </c>
      <c r="O398" s="74" t="b">
        <v>1</v>
      </c>
    </row>
    <row r="399" hidden="1">
      <c r="A399" s="82"/>
      <c r="B399" s="65" t="s">
        <v>168</v>
      </c>
      <c r="C399" s="65" t="s">
        <v>88</v>
      </c>
      <c r="D399" s="65"/>
      <c r="E399" s="65" t="s">
        <v>171</v>
      </c>
      <c r="F399" s="83">
        <v>0.625</v>
      </c>
      <c r="G399" s="83">
        <v>0.6666666666666666</v>
      </c>
      <c r="H399" s="83">
        <v>0.041666666666666664</v>
      </c>
      <c r="I399" s="84">
        <v>44447.0</v>
      </c>
      <c r="J399" s="65" t="b">
        <v>0</v>
      </c>
      <c r="K399" s="65" t="s">
        <v>150</v>
      </c>
      <c r="L399" s="85" t="b">
        <f>IF(VLOOKUP(C399,Projetos!A:L,12,false)=TRUE,TRUE,FALSE)</f>
        <v>1</v>
      </c>
      <c r="M399" s="74">
        <v>93.01026307720058</v>
      </c>
      <c r="N399" s="74">
        <f t="shared" si="1"/>
        <v>0</v>
      </c>
      <c r="O399" s="74" t="b">
        <v>1</v>
      </c>
    </row>
    <row r="400" hidden="1">
      <c r="A400" s="82"/>
      <c r="B400" s="65" t="s">
        <v>168</v>
      </c>
      <c r="C400" s="65" t="s">
        <v>122</v>
      </c>
      <c r="D400" s="65" t="str">
        <f>vlookup(C400,'Classificação p pessoal'!F:G,2,false)</f>
        <v>NP</v>
      </c>
      <c r="E400" s="65" t="s">
        <v>172</v>
      </c>
      <c r="F400" s="83">
        <v>0.375</v>
      </c>
      <c r="G400" s="83">
        <v>0.5</v>
      </c>
      <c r="H400" s="83">
        <v>0.125</v>
      </c>
      <c r="I400" s="84">
        <v>44448.0</v>
      </c>
      <c r="J400" s="65" t="b">
        <v>1</v>
      </c>
      <c r="K400" s="65"/>
      <c r="L400" s="85" t="b">
        <f>IF(VLOOKUP(C400,Projetos!A:L,12,false)=TRUE,TRUE,FALSE)</f>
        <v>1</v>
      </c>
      <c r="M400" s="74">
        <v>93.01026307720058</v>
      </c>
      <c r="N400" s="74">
        <f t="shared" si="1"/>
        <v>279.0307892</v>
      </c>
      <c r="O400" s="74" t="b">
        <v>1</v>
      </c>
    </row>
    <row r="401" hidden="1">
      <c r="A401" s="82"/>
      <c r="B401" s="65" t="s">
        <v>168</v>
      </c>
      <c r="C401" s="65" t="s">
        <v>122</v>
      </c>
      <c r="D401" s="65"/>
      <c r="E401" s="65" t="s">
        <v>171</v>
      </c>
      <c r="F401" s="83">
        <v>0.375</v>
      </c>
      <c r="G401" s="83">
        <v>0.5416666666666666</v>
      </c>
      <c r="H401" s="83">
        <v>0.16666666666666666</v>
      </c>
      <c r="I401" s="84">
        <v>44453.0</v>
      </c>
      <c r="J401" s="65" t="b">
        <v>0</v>
      </c>
      <c r="K401" s="65" t="s">
        <v>150</v>
      </c>
      <c r="L401" s="85" t="b">
        <f>IF(VLOOKUP(C401,Projetos!A:L,12,false)=TRUE,TRUE,FALSE)</f>
        <v>1</v>
      </c>
      <c r="M401" s="74">
        <v>93.01026307720058</v>
      </c>
      <c r="N401" s="74">
        <f t="shared" si="1"/>
        <v>0</v>
      </c>
      <c r="O401" s="74" t="b">
        <v>1</v>
      </c>
    </row>
    <row r="402" hidden="1">
      <c r="A402" s="82"/>
      <c r="B402" s="65" t="s">
        <v>168</v>
      </c>
      <c r="C402" s="65" t="s">
        <v>132</v>
      </c>
      <c r="D402" s="65"/>
      <c r="E402" s="65" t="s">
        <v>173</v>
      </c>
      <c r="F402" s="83">
        <v>0.625</v>
      </c>
      <c r="G402" s="83">
        <v>0.75</v>
      </c>
      <c r="H402" s="83">
        <v>0.125</v>
      </c>
      <c r="I402" s="84">
        <v>44460.0</v>
      </c>
      <c r="J402" s="65" t="b">
        <v>0</v>
      </c>
      <c r="K402" s="65" t="s">
        <v>150</v>
      </c>
      <c r="L402" s="85" t="b">
        <f>IF(VLOOKUP(C402,Projetos!A:L,12,false)=TRUE,TRUE,FALSE)</f>
        <v>0</v>
      </c>
      <c r="M402" s="74">
        <v>93.01026307720058</v>
      </c>
      <c r="N402" s="74">
        <f t="shared" si="1"/>
        <v>0</v>
      </c>
      <c r="O402" s="74" t="b">
        <v>0</v>
      </c>
    </row>
    <row r="403" hidden="1">
      <c r="A403" s="82"/>
      <c r="B403" s="65" t="s">
        <v>168</v>
      </c>
      <c r="C403" s="65" t="s">
        <v>132</v>
      </c>
      <c r="D403" s="65"/>
      <c r="E403" s="65" t="s">
        <v>171</v>
      </c>
      <c r="F403" s="83">
        <v>0.4166666666666667</v>
      </c>
      <c r="G403" s="83">
        <v>0.5</v>
      </c>
      <c r="H403" s="83">
        <v>0.08333333333333333</v>
      </c>
      <c r="I403" s="84">
        <v>44474.0</v>
      </c>
      <c r="J403" s="65" t="b">
        <v>0</v>
      </c>
      <c r="K403" s="65" t="s">
        <v>150</v>
      </c>
      <c r="L403" s="85" t="b">
        <f>IF(VLOOKUP(C403,Projetos!A:L,12,false)=TRUE,TRUE,FALSE)</f>
        <v>0</v>
      </c>
      <c r="M403" s="74">
        <v>93.01026307720058</v>
      </c>
      <c r="N403" s="74">
        <f t="shared" si="1"/>
        <v>0</v>
      </c>
      <c r="O403" s="74" t="b">
        <v>0</v>
      </c>
    </row>
    <row r="404" hidden="1">
      <c r="A404" s="82"/>
      <c r="B404" s="65" t="s">
        <v>168</v>
      </c>
      <c r="C404" s="65" t="s">
        <v>88</v>
      </c>
      <c r="D404" s="65"/>
      <c r="E404" s="65" t="s">
        <v>171</v>
      </c>
      <c r="F404" s="83">
        <v>0.625</v>
      </c>
      <c r="G404" s="83">
        <v>0.6666666666666666</v>
      </c>
      <c r="H404" s="83">
        <v>0.041666666666666664</v>
      </c>
      <c r="I404" s="84">
        <v>44475.0</v>
      </c>
      <c r="J404" s="65" t="b">
        <v>0</v>
      </c>
      <c r="K404" s="65" t="s">
        <v>150</v>
      </c>
      <c r="L404" s="85" t="b">
        <f>IF(VLOOKUP(C404,Projetos!A:L,12,false)=TRUE,TRUE,FALSE)</f>
        <v>1</v>
      </c>
      <c r="M404" s="74">
        <v>93.01026307720058</v>
      </c>
      <c r="N404" s="74">
        <f t="shared" si="1"/>
        <v>0</v>
      </c>
      <c r="O404" s="74" t="b">
        <v>1</v>
      </c>
    </row>
    <row r="405" hidden="1">
      <c r="A405" s="82"/>
      <c r="B405" s="65" t="s">
        <v>168</v>
      </c>
      <c r="C405" s="65" t="s">
        <v>122</v>
      </c>
      <c r="D405" s="65" t="str">
        <f>vlookup(C405,'Classificação p pessoal'!F:G,2,false)</f>
        <v>NP</v>
      </c>
      <c r="E405" s="65" t="s">
        <v>172</v>
      </c>
      <c r="F405" s="83">
        <v>0.375</v>
      </c>
      <c r="G405" s="83">
        <v>0.5</v>
      </c>
      <c r="H405" s="83">
        <v>0.125</v>
      </c>
      <c r="I405" s="84">
        <v>44477.0</v>
      </c>
      <c r="J405" s="65" t="b">
        <v>1</v>
      </c>
      <c r="K405" s="65"/>
      <c r="L405" s="85" t="b">
        <f>IF(VLOOKUP(C405,Projetos!A:L,12,false)=TRUE,TRUE,FALSE)</f>
        <v>1</v>
      </c>
      <c r="M405" s="74">
        <v>93.01026307720058</v>
      </c>
      <c r="N405" s="74">
        <f t="shared" si="1"/>
        <v>279.0307892</v>
      </c>
      <c r="O405" s="74" t="b">
        <v>1</v>
      </c>
    </row>
    <row r="406" hidden="1">
      <c r="A406" s="82"/>
      <c r="B406" s="65" t="s">
        <v>168</v>
      </c>
      <c r="C406" s="65" t="s">
        <v>122</v>
      </c>
      <c r="D406" s="65"/>
      <c r="E406" s="65" t="s">
        <v>171</v>
      </c>
      <c r="F406" s="83">
        <v>0.4166666666666667</v>
      </c>
      <c r="G406" s="83">
        <v>0.5416666666666666</v>
      </c>
      <c r="H406" s="83">
        <v>0.125</v>
      </c>
      <c r="I406" s="84">
        <v>44488.0</v>
      </c>
      <c r="J406" s="65" t="b">
        <v>0</v>
      </c>
      <c r="K406" s="65" t="s">
        <v>150</v>
      </c>
      <c r="L406" s="85" t="b">
        <f>IF(VLOOKUP(C406,Projetos!A:L,12,false)=TRUE,TRUE,FALSE)</f>
        <v>1</v>
      </c>
      <c r="M406" s="74">
        <v>93.01026307720058</v>
      </c>
      <c r="N406" s="74">
        <f t="shared" si="1"/>
        <v>0</v>
      </c>
      <c r="O406" s="74" t="b">
        <v>1</v>
      </c>
    </row>
    <row r="407" hidden="1">
      <c r="A407" s="82"/>
      <c r="B407" s="65" t="s">
        <v>168</v>
      </c>
      <c r="C407" s="65" t="s">
        <v>132</v>
      </c>
      <c r="D407" s="65"/>
      <c r="E407" s="65" t="s">
        <v>173</v>
      </c>
      <c r="F407" s="83">
        <v>0.625</v>
      </c>
      <c r="G407" s="83">
        <v>0.75</v>
      </c>
      <c r="H407" s="83">
        <v>0.125</v>
      </c>
      <c r="I407" s="84">
        <v>44491.0</v>
      </c>
      <c r="J407" s="65" t="b">
        <v>0</v>
      </c>
      <c r="K407" s="65" t="s">
        <v>150</v>
      </c>
      <c r="L407" s="85" t="b">
        <f>IF(VLOOKUP(C407,Projetos!A:L,12,false)=TRUE,TRUE,FALSE)</f>
        <v>0</v>
      </c>
      <c r="M407" s="74">
        <v>93.01026307720058</v>
      </c>
      <c r="N407" s="74">
        <f t="shared" si="1"/>
        <v>0</v>
      </c>
      <c r="O407" s="74" t="b">
        <v>0</v>
      </c>
    </row>
    <row r="408" hidden="1">
      <c r="A408" s="82"/>
      <c r="B408" s="65" t="s">
        <v>168</v>
      </c>
      <c r="C408" s="65" t="s">
        <v>122</v>
      </c>
      <c r="D408" s="65"/>
      <c r="E408" s="65" t="s">
        <v>171</v>
      </c>
      <c r="F408" s="83">
        <v>0.4166666666666667</v>
      </c>
      <c r="G408" s="83">
        <v>0.5</v>
      </c>
      <c r="H408" s="83">
        <v>0.08333333333333333</v>
      </c>
      <c r="I408" s="84">
        <v>44508.0</v>
      </c>
      <c r="J408" s="65" t="b">
        <v>0</v>
      </c>
      <c r="K408" s="65" t="s">
        <v>150</v>
      </c>
      <c r="L408" s="85" t="b">
        <f>IF(VLOOKUP(C408,Projetos!A:L,12,false)=TRUE,TRUE,FALSE)</f>
        <v>1</v>
      </c>
      <c r="M408" s="74">
        <v>93.01026307720058</v>
      </c>
      <c r="N408" s="74">
        <f t="shared" si="1"/>
        <v>0</v>
      </c>
      <c r="O408" s="74" t="b">
        <v>1</v>
      </c>
    </row>
    <row r="409" hidden="1">
      <c r="A409" s="82"/>
      <c r="B409" s="65" t="s">
        <v>168</v>
      </c>
      <c r="C409" s="65" t="s">
        <v>88</v>
      </c>
      <c r="D409" s="65"/>
      <c r="E409" s="65" t="s">
        <v>171</v>
      </c>
      <c r="F409" s="83">
        <v>0.625</v>
      </c>
      <c r="G409" s="83">
        <v>0.6666666666666666</v>
      </c>
      <c r="H409" s="83">
        <v>0.041666666666666664</v>
      </c>
      <c r="I409" s="84">
        <v>44509.0</v>
      </c>
      <c r="J409" s="65" t="b">
        <v>0</v>
      </c>
      <c r="K409" s="65" t="s">
        <v>150</v>
      </c>
      <c r="L409" s="85" t="b">
        <f>IF(VLOOKUP(C409,Projetos!A:L,12,false)=TRUE,TRUE,FALSE)</f>
        <v>1</v>
      </c>
      <c r="M409" s="74">
        <v>93.01026307720058</v>
      </c>
      <c r="N409" s="74">
        <f t="shared" si="1"/>
        <v>0</v>
      </c>
      <c r="O409" s="74" t="b">
        <v>1</v>
      </c>
    </row>
    <row r="410" hidden="1">
      <c r="A410" s="82"/>
      <c r="B410" s="65" t="s">
        <v>168</v>
      </c>
      <c r="C410" s="65" t="s">
        <v>122</v>
      </c>
      <c r="D410" s="65" t="str">
        <f>vlookup(C410,'Classificação p pessoal'!F:G,2,false)</f>
        <v>NP</v>
      </c>
      <c r="E410" s="65" t="s">
        <v>172</v>
      </c>
      <c r="F410" s="83">
        <v>0.375</v>
      </c>
      <c r="G410" s="83">
        <v>0.5</v>
      </c>
      <c r="H410" s="83">
        <v>0.125</v>
      </c>
      <c r="I410" s="84">
        <v>44510.0</v>
      </c>
      <c r="J410" s="65" t="b">
        <v>1</v>
      </c>
      <c r="K410" s="65"/>
      <c r="L410" s="85" t="b">
        <f>IF(VLOOKUP(C410,Projetos!A:L,12,false)=TRUE,TRUE,FALSE)</f>
        <v>1</v>
      </c>
      <c r="M410" s="74">
        <v>93.01026307720058</v>
      </c>
      <c r="N410" s="74">
        <f t="shared" si="1"/>
        <v>279.0307892</v>
      </c>
      <c r="O410" s="74" t="b">
        <v>1</v>
      </c>
    </row>
    <row r="411" hidden="1">
      <c r="A411" s="82"/>
      <c r="B411" s="65" t="s">
        <v>168</v>
      </c>
      <c r="C411" s="65" t="s">
        <v>122</v>
      </c>
      <c r="D411" s="65"/>
      <c r="E411" s="65" t="s">
        <v>171</v>
      </c>
      <c r="F411" s="83">
        <v>0.4166666666666667</v>
      </c>
      <c r="G411" s="83">
        <v>0.5416666666666666</v>
      </c>
      <c r="H411" s="83">
        <v>0.125</v>
      </c>
      <c r="I411" s="84">
        <v>44515.0</v>
      </c>
      <c r="J411" s="65" t="b">
        <v>0</v>
      </c>
      <c r="K411" s="65" t="s">
        <v>150</v>
      </c>
      <c r="L411" s="85" t="b">
        <f>IF(VLOOKUP(C411,Projetos!A:L,12,false)=TRUE,TRUE,FALSE)</f>
        <v>1</v>
      </c>
      <c r="M411" s="74">
        <v>93.01026307720058</v>
      </c>
      <c r="N411" s="74">
        <f t="shared" si="1"/>
        <v>0</v>
      </c>
      <c r="O411" s="74" t="b">
        <v>1</v>
      </c>
    </row>
    <row r="412" hidden="1">
      <c r="A412" s="82"/>
      <c r="B412" s="65" t="s">
        <v>168</v>
      </c>
      <c r="C412" s="65" t="s">
        <v>132</v>
      </c>
      <c r="D412" s="65"/>
      <c r="E412" s="65" t="s">
        <v>173</v>
      </c>
      <c r="F412" s="83">
        <v>0.5833333333333334</v>
      </c>
      <c r="G412" s="83">
        <v>0.75</v>
      </c>
      <c r="H412" s="83">
        <v>0.16666666666666666</v>
      </c>
      <c r="I412" s="84">
        <v>44522.0</v>
      </c>
      <c r="J412" s="65" t="b">
        <v>0</v>
      </c>
      <c r="K412" s="65" t="s">
        <v>150</v>
      </c>
      <c r="L412" s="85" t="b">
        <f>IF(VLOOKUP(C412,Projetos!A:L,12,false)=TRUE,TRUE,FALSE)</f>
        <v>0</v>
      </c>
      <c r="M412" s="74">
        <v>93.01026307720058</v>
      </c>
      <c r="N412" s="74">
        <f t="shared" si="1"/>
        <v>0</v>
      </c>
      <c r="O412" s="74" t="b">
        <v>0</v>
      </c>
    </row>
    <row r="413" hidden="1">
      <c r="A413" s="82"/>
      <c r="B413" s="65" t="s">
        <v>168</v>
      </c>
      <c r="C413" s="65" t="s">
        <v>122</v>
      </c>
      <c r="D413" s="65"/>
      <c r="E413" s="65" t="s">
        <v>171</v>
      </c>
      <c r="F413" s="83">
        <v>0.4166666666666667</v>
      </c>
      <c r="G413" s="83">
        <v>0.5</v>
      </c>
      <c r="H413" s="83">
        <v>0.08333333333333333</v>
      </c>
      <c r="I413" s="84">
        <v>44536.0</v>
      </c>
      <c r="J413" s="65" t="b">
        <v>0</v>
      </c>
      <c r="K413" s="65" t="s">
        <v>150</v>
      </c>
      <c r="L413" s="85" t="b">
        <f>IF(VLOOKUP(C413,Projetos!A:L,12,false)=TRUE,TRUE,FALSE)</f>
        <v>1</v>
      </c>
      <c r="M413" s="74">
        <v>93.01026307720058</v>
      </c>
      <c r="N413" s="74">
        <f t="shared" si="1"/>
        <v>0</v>
      </c>
      <c r="O413" s="74" t="b">
        <v>1</v>
      </c>
    </row>
    <row r="414" hidden="1">
      <c r="A414" s="82"/>
      <c r="B414" s="65" t="s">
        <v>168</v>
      </c>
      <c r="C414" s="65" t="s">
        <v>88</v>
      </c>
      <c r="D414" s="65"/>
      <c r="E414" s="65" t="s">
        <v>171</v>
      </c>
      <c r="F414" s="83">
        <v>0.625</v>
      </c>
      <c r="G414" s="83">
        <v>0.6666666666666666</v>
      </c>
      <c r="H414" s="83">
        <v>0.041666666666666664</v>
      </c>
      <c r="I414" s="84">
        <v>44537.0</v>
      </c>
      <c r="J414" s="65" t="b">
        <v>0</v>
      </c>
      <c r="K414" s="65" t="s">
        <v>150</v>
      </c>
      <c r="L414" s="85" t="b">
        <f>IF(VLOOKUP(C414,Projetos!A:L,12,false)=TRUE,TRUE,FALSE)</f>
        <v>1</v>
      </c>
      <c r="M414" s="74">
        <v>93.01026307720058</v>
      </c>
      <c r="N414" s="74">
        <f t="shared" si="1"/>
        <v>0</v>
      </c>
      <c r="O414" s="74" t="b">
        <v>1</v>
      </c>
    </row>
    <row r="415" hidden="1">
      <c r="A415" s="82"/>
      <c r="B415" s="65" t="s">
        <v>168</v>
      </c>
      <c r="C415" s="65" t="s">
        <v>122</v>
      </c>
      <c r="D415" s="65" t="str">
        <f>vlookup(C415,'Classificação p pessoal'!F:G,2,false)</f>
        <v>NP</v>
      </c>
      <c r="E415" s="65" t="s">
        <v>172</v>
      </c>
      <c r="F415" s="83">
        <v>0.4166666666666667</v>
      </c>
      <c r="G415" s="83">
        <v>0.5</v>
      </c>
      <c r="H415" s="83">
        <v>0.08333333333333333</v>
      </c>
      <c r="I415" s="84">
        <v>44538.0</v>
      </c>
      <c r="J415" s="65" t="b">
        <v>1</v>
      </c>
      <c r="K415" s="65"/>
      <c r="L415" s="85" t="b">
        <f>IF(VLOOKUP(C415,Projetos!A:L,12,false)=TRUE,TRUE,FALSE)</f>
        <v>1</v>
      </c>
      <c r="M415" s="74">
        <v>93.01026307720058</v>
      </c>
      <c r="N415" s="74">
        <f t="shared" si="1"/>
        <v>186.0205262</v>
      </c>
      <c r="O415" s="74" t="b">
        <v>1</v>
      </c>
    </row>
    <row r="416" hidden="1">
      <c r="A416" s="82"/>
      <c r="B416" s="65" t="s">
        <v>168</v>
      </c>
      <c r="C416" s="65" t="s">
        <v>122</v>
      </c>
      <c r="D416" s="65"/>
      <c r="E416" s="65" t="s">
        <v>171</v>
      </c>
      <c r="F416" s="83">
        <v>0.4166666666666667</v>
      </c>
      <c r="G416" s="83">
        <v>0.5416666666666666</v>
      </c>
      <c r="H416" s="83">
        <v>0.125</v>
      </c>
      <c r="I416" s="84">
        <v>44539.0</v>
      </c>
      <c r="J416" s="65" t="b">
        <v>0</v>
      </c>
      <c r="K416" s="65" t="s">
        <v>150</v>
      </c>
      <c r="L416" s="85" t="b">
        <f>IF(VLOOKUP(C416,Projetos!A:L,12,false)=TRUE,TRUE,FALSE)</f>
        <v>1</v>
      </c>
      <c r="M416" s="74">
        <v>93.01026307720058</v>
      </c>
      <c r="N416" s="74">
        <f t="shared" si="1"/>
        <v>0</v>
      </c>
      <c r="O416" s="74" t="b">
        <v>1</v>
      </c>
    </row>
    <row r="417" hidden="1">
      <c r="A417" s="82"/>
      <c r="B417" s="65" t="s">
        <v>168</v>
      </c>
      <c r="C417" s="65" t="s">
        <v>132</v>
      </c>
      <c r="D417" s="65"/>
      <c r="E417" s="65" t="s">
        <v>173</v>
      </c>
      <c r="F417" s="83">
        <v>0.5833333333333334</v>
      </c>
      <c r="G417" s="83">
        <v>0.75</v>
      </c>
      <c r="H417" s="83">
        <v>0.16666666666666666</v>
      </c>
      <c r="I417" s="84">
        <v>44545.0</v>
      </c>
      <c r="J417" s="65" t="b">
        <v>0</v>
      </c>
      <c r="K417" s="65" t="s">
        <v>150</v>
      </c>
      <c r="L417" s="85" t="b">
        <f>IF(VLOOKUP(C417,Projetos!A:L,12,false)=TRUE,TRUE,FALSE)</f>
        <v>0</v>
      </c>
      <c r="M417" s="74">
        <v>93.01026307720058</v>
      </c>
      <c r="N417" s="74">
        <f t="shared" si="1"/>
        <v>0</v>
      </c>
      <c r="O417" s="74" t="b">
        <v>0</v>
      </c>
    </row>
    <row r="418" hidden="1">
      <c r="A418" s="82"/>
      <c r="B418" s="65" t="s">
        <v>168</v>
      </c>
      <c r="C418" s="65" t="s">
        <v>84</v>
      </c>
      <c r="D418" s="65"/>
      <c r="E418" s="65" t="s">
        <v>176</v>
      </c>
      <c r="F418" s="83">
        <v>0.625</v>
      </c>
      <c r="G418" s="83">
        <v>0.75</v>
      </c>
      <c r="H418" s="83">
        <v>0.125</v>
      </c>
      <c r="I418" s="84">
        <v>44397.0</v>
      </c>
      <c r="J418" s="65" t="b">
        <v>0</v>
      </c>
      <c r="K418" s="65" t="s">
        <v>150</v>
      </c>
      <c r="L418" s="85" t="b">
        <f>IF(VLOOKUP(C418,Projetos!A:L,12,false)=TRUE,TRUE,FALSE)</f>
        <v>0</v>
      </c>
      <c r="M418" s="74">
        <v>93.01026307720058</v>
      </c>
      <c r="N418" s="74">
        <f t="shared" si="1"/>
        <v>0</v>
      </c>
      <c r="O418" s="74" t="b">
        <v>0</v>
      </c>
    </row>
    <row r="419" hidden="1">
      <c r="A419" s="82"/>
      <c r="B419" s="65" t="s">
        <v>168</v>
      </c>
      <c r="C419" s="65" t="s">
        <v>84</v>
      </c>
      <c r="D419" s="65"/>
      <c r="E419" s="65" t="s">
        <v>176</v>
      </c>
      <c r="F419" s="83">
        <v>0.7083333333333334</v>
      </c>
      <c r="G419" s="83">
        <v>0.75</v>
      </c>
      <c r="H419" s="83">
        <v>0.041666666666666664</v>
      </c>
      <c r="I419" s="84">
        <v>44398.0</v>
      </c>
      <c r="J419" s="65" t="b">
        <v>0</v>
      </c>
      <c r="K419" s="65" t="s">
        <v>150</v>
      </c>
      <c r="L419" s="85" t="b">
        <f>IF(VLOOKUP(C419,Projetos!A:L,12,false)=TRUE,TRUE,FALSE)</f>
        <v>0</v>
      </c>
      <c r="M419" s="74">
        <v>93.01026307720058</v>
      </c>
      <c r="N419" s="74">
        <f t="shared" si="1"/>
        <v>0</v>
      </c>
      <c r="O419" s="74" t="b">
        <v>0</v>
      </c>
    </row>
    <row r="420" hidden="1">
      <c r="A420" s="82"/>
      <c r="B420" s="65" t="s">
        <v>168</v>
      </c>
      <c r="C420" s="65" t="s">
        <v>84</v>
      </c>
      <c r="D420" s="65"/>
      <c r="E420" s="65" t="s">
        <v>176</v>
      </c>
      <c r="F420" s="83">
        <v>0.6666666666666666</v>
      </c>
      <c r="G420" s="83">
        <v>0.75</v>
      </c>
      <c r="H420" s="83">
        <v>0.08333333333333333</v>
      </c>
      <c r="I420" s="84">
        <v>44427.0</v>
      </c>
      <c r="J420" s="65" t="b">
        <v>0</v>
      </c>
      <c r="K420" s="65" t="s">
        <v>150</v>
      </c>
      <c r="L420" s="85" t="b">
        <f>IF(VLOOKUP(C420,Projetos!A:L,12,false)=TRUE,TRUE,FALSE)</f>
        <v>0</v>
      </c>
      <c r="M420" s="74">
        <v>93.01026307720058</v>
      </c>
      <c r="N420" s="74">
        <f t="shared" si="1"/>
        <v>0</v>
      </c>
      <c r="O420" s="74" t="b">
        <v>0</v>
      </c>
    </row>
    <row r="421" hidden="1">
      <c r="A421" s="82"/>
      <c r="B421" s="65" t="s">
        <v>168</v>
      </c>
      <c r="C421" s="65" t="s">
        <v>84</v>
      </c>
      <c r="D421" s="65"/>
      <c r="E421" s="65" t="s">
        <v>176</v>
      </c>
      <c r="F421" s="83">
        <v>0.5416666666666666</v>
      </c>
      <c r="G421" s="83">
        <v>0.7083333333333334</v>
      </c>
      <c r="H421" s="83">
        <v>0.16666666666666666</v>
      </c>
      <c r="I421" s="84">
        <v>44432.0</v>
      </c>
      <c r="J421" s="65" t="b">
        <v>0</v>
      </c>
      <c r="K421" s="65" t="s">
        <v>150</v>
      </c>
      <c r="L421" s="85" t="b">
        <f>IF(VLOOKUP(C421,Projetos!A:L,12,false)=TRUE,TRUE,FALSE)</f>
        <v>0</v>
      </c>
      <c r="M421" s="74">
        <v>93.01026307720058</v>
      </c>
      <c r="N421" s="74">
        <f t="shared" si="1"/>
        <v>0</v>
      </c>
      <c r="O421" s="74" t="b">
        <v>0</v>
      </c>
    </row>
    <row r="422" hidden="1">
      <c r="A422" s="82"/>
      <c r="B422" s="65" t="s">
        <v>168</v>
      </c>
      <c r="C422" s="65" t="s">
        <v>84</v>
      </c>
      <c r="D422" s="65"/>
      <c r="E422" s="65" t="s">
        <v>176</v>
      </c>
      <c r="F422" s="83">
        <v>0.625</v>
      </c>
      <c r="G422" s="83">
        <v>0.75</v>
      </c>
      <c r="H422" s="83">
        <v>0.125</v>
      </c>
      <c r="I422" s="84">
        <v>44454.0</v>
      </c>
      <c r="J422" s="65" t="b">
        <v>0</v>
      </c>
      <c r="K422" s="65" t="s">
        <v>150</v>
      </c>
      <c r="L422" s="85" t="b">
        <f>IF(VLOOKUP(C422,Projetos!A:L,12,false)=TRUE,TRUE,FALSE)</f>
        <v>0</v>
      </c>
      <c r="M422" s="74">
        <v>93.01026307720058</v>
      </c>
      <c r="N422" s="74">
        <f t="shared" si="1"/>
        <v>0</v>
      </c>
      <c r="O422" s="74" t="b">
        <v>0</v>
      </c>
    </row>
    <row r="423" hidden="1">
      <c r="A423" s="82"/>
      <c r="B423" s="65" t="s">
        <v>168</v>
      </c>
      <c r="C423" s="65" t="s">
        <v>84</v>
      </c>
      <c r="D423" s="65"/>
      <c r="E423" s="65" t="s">
        <v>176</v>
      </c>
      <c r="F423" s="83">
        <v>0.7083333333333334</v>
      </c>
      <c r="G423" s="83">
        <v>0.75</v>
      </c>
      <c r="H423" s="83">
        <v>0.041666666666666664</v>
      </c>
      <c r="I423" s="84">
        <v>44455.0</v>
      </c>
      <c r="J423" s="65" t="b">
        <v>0</v>
      </c>
      <c r="K423" s="65" t="s">
        <v>150</v>
      </c>
      <c r="L423" s="85" t="b">
        <f>IF(VLOOKUP(C423,Projetos!A:L,12,false)=TRUE,TRUE,FALSE)</f>
        <v>0</v>
      </c>
      <c r="M423" s="74">
        <v>93.01026307720058</v>
      </c>
      <c r="N423" s="74">
        <f t="shared" si="1"/>
        <v>0</v>
      </c>
      <c r="O423" s="74" t="b">
        <v>0</v>
      </c>
    </row>
    <row r="424" hidden="1">
      <c r="A424" s="82"/>
      <c r="B424" s="65" t="s">
        <v>168</v>
      </c>
      <c r="C424" s="65" t="s">
        <v>84</v>
      </c>
      <c r="D424" s="65"/>
      <c r="E424" s="65" t="s">
        <v>176</v>
      </c>
      <c r="F424" s="83">
        <v>0.625</v>
      </c>
      <c r="G424" s="83">
        <v>0.75</v>
      </c>
      <c r="H424" s="83">
        <v>0.125</v>
      </c>
      <c r="I424" s="84">
        <v>44489.0</v>
      </c>
      <c r="J424" s="65" t="b">
        <v>0</v>
      </c>
      <c r="K424" s="65" t="s">
        <v>150</v>
      </c>
      <c r="L424" s="85" t="b">
        <f>IF(VLOOKUP(C424,Projetos!A:L,12,false)=TRUE,TRUE,FALSE)</f>
        <v>0</v>
      </c>
      <c r="M424" s="74">
        <v>93.01026307720058</v>
      </c>
      <c r="N424" s="74">
        <f t="shared" si="1"/>
        <v>0</v>
      </c>
      <c r="O424" s="74" t="b">
        <v>0</v>
      </c>
    </row>
    <row r="425" hidden="1">
      <c r="A425" s="82"/>
      <c r="B425" s="65" t="s">
        <v>168</v>
      </c>
      <c r="C425" s="65" t="s">
        <v>84</v>
      </c>
      <c r="D425" s="65"/>
      <c r="E425" s="65" t="s">
        <v>176</v>
      </c>
      <c r="F425" s="83">
        <v>0.7083333333333334</v>
      </c>
      <c r="G425" s="83">
        <v>0.75</v>
      </c>
      <c r="H425" s="83">
        <v>0.041666666666666664</v>
      </c>
      <c r="I425" s="84">
        <v>44490.0</v>
      </c>
      <c r="J425" s="65" t="b">
        <v>0</v>
      </c>
      <c r="K425" s="65" t="s">
        <v>150</v>
      </c>
      <c r="L425" s="85" t="b">
        <f>IF(VLOOKUP(C425,Projetos!A:L,12,false)=TRUE,TRUE,FALSE)</f>
        <v>0</v>
      </c>
      <c r="M425" s="74">
        <v>93.01026307720058</v>
      </c>
      <c r="N425" s="74">
        <f t="shared" si="1"/>
        <v>0</v>
      </c>
      <c r="O425" s="74" t="b">
        <v>0</v>
      </c>
    </row>
    <row r="426" hidden="1">
      <c r="A426" s="82"/>
      <c r="B426" s="65" t="s">
        <v>168</v>
      </c>
      <c r="C426" s="65" t="s">
        <v>84</v>
      </c>
      <c r="D426" s="65"/>
      <c r="E426" s="65" t="s">
        <v>176</v>
      </c>
      <c r="F426" s="83">
        <v>0.625</v>
      </c>
      <c r="G426" s="83">
        <v>0.75</v>
      </c>
      <c r="H426" s="83">
        <v>0.125</v>
      </c>
      <c r="I426" s="84">
        <v>44516.0</v>
      </c>
      <c r="J426" s="65" t="b">
        <v>0</v>
      </c>
      <c r="K426" s="65" t="s">
        <v>150</v>
      </c>
      <c r="L426" s="85" t="b">
        <f>IF(VLOOKUP(C426,Projetos!A:L,12,false)=TRUE,TRUE,FALSE)</f>
        <v>0</v>
      </c>
      <c r="M426" s="74">
        <v>93.01026307720058</v>
      </c>
      <c r="N426" s="74">
        <f t="shared" si="1"/>
        <v>0</v>
      </c>
      <c r="O426" s="74" t="b">
        <v>0</v>
      </c>
    </row>
    <row r="427" hidden="1">
      <c r="A427" s="82"/>
      <c r="B427" s="65" t="s">
        <v>168</v>
      </c>
      <c r="C427" s="65" t="s">
        <v>84</v>
      </c>
      <c r="D427" s="65"/>
      <c r="E427" s="65" t="s">
        <v>176</v>
      </c>
      <c r="F427" s="83">
        <v>0.625</v>
      </c>
      <c r="G427" s="83">
        <v>0.75</v>
      </c>
      <c r="H427" s="83">
        <v>0.125</v>
      </c>
      <c r="I427" s="84">
        <v>44518.0</v>
      </c>
      <c r="J427" s="65" t="b">
        <v>0</v>
      </c>
      <c r="K427" s="65" t="s">
        <v>150</v>
      </c>
      <c r="L427" s="85" t="b">
        <f>IF(VLOOKUP(C427,Projetos!A:L,12,false)=TRUE,TRUE,FALSE)</f>
        <v>0</v>
      </c>
      <c r="M427" s="74">
        <v>93.01026307720058</v>
      </c>
      <c r="N427" s="74">
        <f t="shared" si="1"/>
        <v>0</v>
      </c>
      <c r="O427" s="74" t="b">
        <v>0</v>
      </c>
    </row>
    <row r="428" hidden="1">
      <c r="A428" s="82"/>
      <c r="B428" s="65" t="s">
        <v>168</v>
      </c>
      <c r="C428" s="65" t="s">
        <v>84</v>
      </c>
      <c r="D428" s="65"/>
      <c r="E428" s="65" t="s">
        <v>176</v>
      </c>
      <c r="F428" s="83">
        <v>0.5833333333333334</v>
      </c>
      <c r="G428" s="83">
        <v>0.75</v>
      </c>
      <c r="H428" s="83">
        <v>0.16666666666666666</v>
      </c>
      <c r="I428" s="84">
        <v>44543.0</v>
      </c>
      <c r="J428" s="65" t="b">
        <v>0</v>
      </c>
      <c r="K428" s="65" t="s">
        <v>150</v>
      </c>
      <c r="L428" s="85" t="b">
        <f>IF(VLOOKUP(C428,Projetos!A:L,12,false)=TRUE,TRUE,FALSE)</f>
        <v>0</v>
      </c>
      <c r="M428" s="74">
        <v>93.01026307720058</v>
      </c>
      <c r="N428" s="74">
        <f t="shared" si="1"/>
        <v>0</v>
      </c>
      <c r="O428" s="74" t="b">
        <v>0</v>
      </c>
    </row>
    <row r="429" hidden="1">
      <c r="A429" s="82"/>
      <c r="B429" s="65" t="s">
        <v>168</v>
      </c>
      <c r="C429" s="65" t="s">
        <v>84</v>
      </c>
      <c r="D429" s="65"/>
      <c r="E429" s="65" t="s">
        <v>176</v>
      </c>
      <c r="F429" s="83">
        <v>0.625</v>
      </c>
      <c r="G429" s="83">
        <v>0.75</v>
      </c>
      <c r="H429" s="83">
        <v>0.125</v>
      </c>
      <c r="I429" s="84">
        <v>44544.0</v>
      </c>
      <c r="J429" s="65" t="b">
        <v>0</v>
      </c>
      <c r="K429" s="65" t="s">
        <v>150</v>
      </c>
      <c r="L429" s="85" t="b">
        <f>IF(VLOOKUP(C429,Projetos!A:L,12,false)=TRUE,TRUE,FALSE)</f>
        <v>0</v>
      </c>
      <c r="M429" s="74">
        <v>93.01026307720058</v>
      </c>
      <c r="N429" s="74">
        <f t="shared" si="1"/>
        <v>0</v>
      </c>
      <c r="O429" s="74" t="b">
        <v>0</v>
      </c>
    </row>
    <row r="430" hidden="1">
      <c r="A430" s="82"/>
      <c r="B430" s="65" t="s">
        <v>177</v>
      </c>
      <c r="C430" s="65" t="s">
        <v>92</v>
      </c>
      <c r="D430" s="65" t="str">
        <f>vlookup(C430,'Classificação p pessoal'!F:G,2,false)</f>
        <v/>
      </c>
      <c r="E430" s="65" t="s">
        <v>178</v>
      </c>
      <c r="F430" s="83">
        <v>0.375</v>
      </c>
      <c r="G430" s="83">
        <v>0.4166666666666667</v>
      </c>
      <c r="H430" s="83">
        <v>0.041666666666666664</v>
      </c>
      <c r="I430" s="84">
        <v>44224.0</v>
      </c>
      <c r="J430" s="65" t="b">
        <v>1</v>
      </c>
      <c r="K430" s="65"/>
      <c r="L430" s="85" t="b">
        <f>IF(VLOOKUP(C430,Projetos!A:L,12,false)=TRUE,TRUE,FALSE)</f>
        <v>1</v>
      </c>
      <c r="M430" s="74">
        <v>31.02923620430495</v>
      </c>
      <c r="N430" s="74">
        <f t="shared" si="1"/>
        <v>31.0292362</v>
      </c>
      <c r="O430" s="74" t="b">
        <v>1</v>
      </c>
    </row>
    <row r="431" hidden="1">
      <c r="A431" s="82"/>
      <c r="B431" s="65" t="s">
        <v>177</v>
      </c>
      <c r="C431" s="65" t="s">
        <v>92</v>
      </c>
      <c r="D431" s="65" t="str">
        <f>vlookup(C431,'Classificação p pessoal'!F:G,2,false)</f>
        <v/>
      </c>
      <c r="E431" s="65" t="s">
        <v>178</v>
      </c>
      <c r="F431" s="83">
        <v>0.4166666666666667</v>
      </c>
      <c r="G431" s="83">
        <v>0.5416666666666666</v>
      </c>
      <c r="H431" s="83">
        <v>0.125</v>
      </c>
      <c r="I431" s="84">
        <v>44225.0</v>
      </c>
      <c r="J431" s="65" t="b">
        <v>1</v>
      </c>
      <c r="K431" s="65"/>
      <c r="L431" s="85" t="b">
        <f>IF(VLOOKUP(C431,Projetos!A:L,12,false)=TRUE,TRUE,FALSE)</f>
        <v>1</v>
      </c>
      <c r="M431" s="74">
        <v>31.02923620430495</v>
      </c>
      <c r="N431" s="74">
        <f t="shared" si="1"/>
        <v>93.08770861</v>
      </c>
      <c r="O431" s="74" t="b">
        <v>1</v>
      </c>
    </row>
    <row r="432" hidden="1">
      <c r="A432" s="82"/>
      <c r="B432" s="65" t="s">
        <v>177</v>
      </c>
      <c r="C432" s="65" t="s">
        <v>91</v>
      </c>
      <c r="D432" s="65" t="str">
        <f>vlookup(C432,'Classificação p pessoal'!F:G,2,false)</f>
        <v>NP</v>
      </c>
      <c r="E432" s="65" t="s">
        <v>179</v>
      </c>
      <c r="F432" s="83">
        <v>0.5625</v>
      </c>
      <c r="G432" s="83">
        <v>0.8125</v>
      </c>
      <c r="H432" s="83">
        <v>0.25</v>
      </c>
      <c r="I432" s="84">
        <v>44511.0</v>
      </c>
      <c r="J432" s="65" t="b">
        <v>1</v>
      </c>
      <c r="K432" s="65"/>
      <c r="L432" s="85" t="b">
        <f>IF(VLOOKUP(C432,Projetos!A:L,12,false)=TRUE,TRUE,FALSE)</f>
        <v>1</v>
      </c>
      <c r="M432" s="74">
        <v>31.02923620430495</v>
      </c>
      <c r="N432" s="74">
        <f t="shared" si="1"/>
        <v>186.1754172</v>
      </c>
      <c r="O432" s="74" t="b">
        <v>1</v>
      </c>
    </row>
    <row r="433" hidden="1">
      <c r="A433" s="82"/>
      <c r="B433" s="65" t="s">
        <v>177</v>
      </c>
      <c r="C433" s="65" t="s">
        <v>101</v>
      </c>
      <c r="D433" s="65" t="str">
        <f>vlookup(C433,'Classificação p pessoal'!F:G,2,false)</f>
        <v>NP</v>
      </c>
      <c r="E433" s="65" t="s">
        <v>180</v>
      </c>
      <c r="F433" s="83">
        <v>0.4166666666666667</v>
      </c>
      <c r="G433" s="83">
        <v>0.4791666666666667</v>
      </c>
      <c r="H433" s="83">
        <v>0.0625</v>
      </c>
      <c r="I433" s="84">
        <v>44300.0</v>
      </c>
      <c r="J433" s="65" t="b">
        <v>1</v>
      </c>
      <c r="K433" s="65"/>
      <c r="L433" s="85" t="b">
        <f>IF(VLOOKUP(C433,Projetos!A:L,12,false)=TRUE,TRUE,FALSE)</f>
        <v>1</v>
      </c>
      <c r="M433" s="74">
        <v>31.02923620430495</v>
      </c>
      <c r="N433" s="74">
        <f t="shared" si="1"/>
        <v>46.54385431</v>
      </c>
      <c r="O433" s="74" t="b">
        <v>1</v>
      </c>
    </row>
    <row r="434" hidden="1">
      <c r="A434" s="82"/>
      <c r="B434" s="65" t="s">
        <v>177</v>
      </c>
      <c r="C434" s="65" t="s">
        <v>106</v>
      </c>
      <c r="D434" s="65" t="str">
        <f>vlookup(C434,'Classificação p pessoal'!F:G,2,false)</f>
        <v>MProcesso</v>
      </c>
      <c r="E434" s="65" t="s">
        <v>181</v>
      </c>
      <c r="F434" s="83">
        <v>0.4166666666666667</v>
      </c>
      <c r="G434" s="83">
        <v>0.4583333333333333</v>
      </c>
      <c r="H434" s="83">
        <v>0.041666666666666664</v>
      </c>
      <c r="I434" s="84">
        <v>44519.0</v>
      </c>
      <c r="J434" s="65" t="b">
        <v>1</v>
      </c>
      <c r="K434" s="65"/>
      <c r="L434" s="85" t="b">
        <f>IF(VLOOKUP(C434,Projetos!A:L,12,false)=TRUE,TRUE,FALSE)</f>
        <v>1</v>
      </c>
      <c r="M434" s="74">
        <v>31.02923620430495</v>
      </c>
      <c r="N434" s="74">
        <f t="shared" si="1"/>
        <v>31.0292362</v>
      </c>
      <c r="O434" s="74" t="b">
        <v>1</v>
      </c>
    </row>
    <row r="435" hidden="1">
      <c r="A435" s="82"/>
      <c r="B435" s="65" t="s">
        <v>177</v>
      </c>
      <c r="C435" s="65" t="s">
        <v>92</v>
      </c>
      <c r="D435" s="65" t="str">
        <f>vlookup(C435,'Classificação p pessoal'!F:G,2,false)</f>
        <v/>
      </c>
      <c r="E435" s="65" t="s">
        <v>182</v>
      </c>
      <c r="F435" s="83">
        <v>0.3541666666666667</v>
      </c>
      <c r="G435" s="83">
        <v>0.3958333333333333</v>
      </c>
      <c r="H435" s="83">
        <v>0.041666666666666664</v>
      </c>
      <c r="I435" s="84">
        <v>44218.0</v>
      </c>
      <c r="J435" s="65" t="b">
        <v>1</v>
      </c>
      <c r="K435" s="65"/>
      <c r="L435" s="85" t="b">
        <f>IF(VLOOKUP(C435,Projetos!A:L,12,false)=TRUE,TRUE,FALSE)</f>
        <v>1</v>
      </c>
      <c r="M435" s="74">
        <v>31.02923620430495</v>
      </c>
      <c r="N435" s="74">
        <f t="shared" si="1"/>
        <v>31.0292362</v>
      </c>
      <c r="O435" s="74" t="b">
        <v>1</v>
      </c>
    </row>
    <row r="436" hidden="1">
      <c r="A436" s="82"/>
      <c r="B436" s="65" t="s">
        <v>177</v>
      </c>
      <c r="C436" s="65" t="s">
        <v>100</v>
      </c>
      <c r="D436" s="65" t="str">
        <f>vlookup(C436,'Classificação p pessoal'!F:G,2,false)</f>
        <v>NP</v>
      </c>
      <c r="E436" s="65" t="s">
        <v>183</v>
      </c>
      <c r="F436" s="83">
        <v>0.7083333333333334</v>
      </c>
      <c r="G436" s="83">
        <v>0.7291666666666666</v>
      </c>
      <c r="H436" s="83">
        <v>0.020833333333333332</v>
      </c>
      <c r="I436" s="84">
        <v>44299.0</v>
      </c>
      <c r="J436" s="65" t="b">
        <v>1</v>
      </c>
      <c r="K436" s="65"/>
      <c r="L436" s="85" t="b">
        <f>IF(VLOOKUP(C436,Projetos!A:L,12,false)=TRUE,TRUE,FALSE)</f>
        <v>1</v>
      </c>
      <c r="M436" s="74">
        <v>31.02923620430495</v>
      </c>
      <c r="N436" s="74">
        <f t="shared" si="1"/>
        <v>15.5146181</v>
      </c>
      <c r="O436" s="74" t="b">
        <v>1</v>
      </c>
    </row>
    <row r="437" hidden="1">
      <c r="A437" s="82"/>
      <c r="B437" s="65" t="s">
        <v>177</v>
      </c>
      <c r="C437" s="65" t="s">
        <v>108</v>
      </c>
      <c r="D437" s="65" t="str">
        <f>vlookup(C437,'Classificação p pessoal'!F:G,2,false)</f>
        <v>NP</v>
      </c>
      <c r="E437" s="65" t="s">
        <v>184</v>
      </c>
      <c r="F437" s="83">
        <v>0.3541666666666667</v>
      </c>
      <c r="G437" s="83">
        <v>0.3645833333333333</v>
      </c>
      <c r="H437" s="83">
        <v>0.010416666666666666</v>
      </c>
      <c r="I437" s="84">
        <v>44433.0</v>
      </c>
      <c r="J437" s="65" t="b">
        <v>1</v>
      </c>
      <c r="K437" s="65"/>
      <c r="L437" s="85" t="b">
        <f>IF(VLOOKUP(C437,Projetos!A:L,12,false)=TRUE,TRUE,FALSE)</f>
        <v>1</v>
      </c>
      <c r="M437" s="74">
        <v>31.02923620430495</v>
      </c>
      <c r="N437" s="74">
        <f t="shared" si="1"/>
        <v>7.757309051</v>
      </c>
      <c r="O437" s="74" t="b">
        <v>1</v>
      </c>
    </row>
    <row r="438" hidden="1">
      <c r="A438" s="82"/>
      <c r="B438" s="65" t="s">
        <v>177</v>
      </c>
      <c r="C438" s="65" t="s">
        <v>119</v>
      </c>
      <c r="D438" s="65" t="str">
        <f>vlookup(C438,'Classificação p pessoal'!F:G,2,false)</f>
        <v>NP</v>
      </c>
      <c r="E438" s="65" t="s">
        <v>185</v>
      </c>
      <c r="F438" s="83">
        <v>0.5833333333333334</v>
      </c>
      <c r="G438" s="83">
        <v>0.6041666666666666</v>
      </c>
      <c r="H438" s="83">
        <v>0.020833333333333332</v>
      </c>
      <c r="I438" s="84">
        <v>44329.0</v>
      </c>
      <c r="J438" s="65" t="b">
        <v>1</v>
      </c>
      <c r="K438" s="65"/>
      <c r="L438" s="85" t="b">
        <f>IF(VLOOKUP(C438,Projetos!A:L,12,false)=TRUE,TRUE,FALSE)</f>
        <v>1</v>
      </c>
      <c r="M438" s="74">
        <v>31.02923620430495</v>
      </c>
      <c r="N438" s="74">
        <f t="shared" si="1"/>
        <v>15.5146181</v>
      </c>
      <c r="O438" s="74" t="b">
        <v>1</v>
      </c>
    </row>
    <row r="439" hidden="1">
      <c r="A439" s="82"/>
      <c r="B439" s="65" t="s">
        <v>177</v>
      </c>
      <c r="C439" s="65" t="s">
        <v>107</v>
      </c>
      <c r="D439" s="65"/>
      <c r="E439" s="65" t="s">
        <v>186</v>
      </c>
      <c r="F439" s="83">
        <v>0.5</v>
      </c>
      <c r="G439" s="83">
        <v>0.5416666666666666</v>
      </c>
      <c r="H439" s="83">
        <v>0.041666666666666664</v>
      </c>
      <c r="I439" s="84">
        <v>44560.0</v>
      </c>
      <c r="J439" s="65" t="b">
        <v>0</v>
      </c>
      <c r="K439" s="65" t="s">
        <v>187</v>
      </c>
      <c r="L439" s="85" t="b">
        <f>IF(VLOOKUP(C439,Projetos!A:L,12,false)=TRUE,TRUE,FALSE)</f>
        <v>1</v>
      </c>
      <c r="M439" s="74">
        <v>31.02923620430495</v>
      </c>
      <c r="N439" s="74">
        <f t="shared" si="1"/>
        <v>0</v>
      </c>
      <c r="O439" s="74" t="b">
        <v>1</v>
      </c>
    </row>
    <row r="440" hidden="1">
      <c r="A440" s="82"/>
      <c r="B440" s="65" t="s">
        <v>177</v>
      </c>
      <c r="C440" s="65" t="s">
        <v>100</v>
      </c>
      <c r="D440" s="65"/>
      <c r="E440" s="65" t="s">
        <v>188</v>
      </c>
      <c r="F440" s="83">
        <v>0.375</v>
      </c>
      <c r="G440" s="83">
        <v>0.4583333333333333</v>
      </c>
      <c r="H440" s="83">
        <v>0.08333333333333333</v>
      </c>
      <c r="I440" s="84">
        <v>44368.0</v>
      </c>
      <c r="J440" s="65" t="b">
        <v>0</v>
      </c>
      <c r="K440" s="65" t="s">
        <v>187</v>
      </c>
      <c r="L440" s="85" t="b">
        <f>IF(VLOOKUP(C440,Projetos!A:L,12,false)=TRUE,TRUE,FALSE)</f>
        <v>1</v>
      </c>
      <c r="M440" s="74">
        <v>31.02923620430495</v>
      </c>
      <c r="N440" s="74">
        <f t="shared" si="1"/>
        <v>0</v>
      </c>
      <c r="O440" s="74" t="b">
        <v>1</v>
      </c>
    </row>
    <row r="441" hidden="1">
      <c r="A441" s="82"/>
      <c r="B441" s="65" t="s">
        <v>177</v>
      </c>
      <c r="C441" s="65" t="s">
        <v>100</v>
      </c>
      <c r="D441" s="65"/>
      <c r="E441" s="65" t="s">
        <v>188</v>
      </c>
      <c r="F441" s="83">
        <v>0.6666666666666666</v>
      </c>
      <c r="G441" s="83">
        <v>0.75</v>
      </c>
      <c r="H441" s="83">
        <v>0.08333333333333333</v>
      </c>
      <c r="I441" s="84">
        <v>44407.0</v>
      </c>
      <c r="J441" s="65" t="b">
        <v>0</v>
      </c>
      <c r="K441" s="65" t="s">
        <v>187</v>
      </c>
      <c r="L441" s="85" t="b">
        <f>IF(VLOOKUP(C441,Projetos!A:L,12,false)=TRUE,TRUE,FALSE)</f>
        <v>1</v>
      </c>
      <c r="M441" s="74">
        <v>31.02923620430495</v>
      </c>
      <c r="N441" s="74">
        <f t="shared" si="1"/>
        <v>0</v>
      </c>
      <c r="O441" s="74" t="b">
        <v>1</v>
      </c>
    </row>
    <row r="442" hidden="1">
      <c r="A442" s="82"/>
      <c r="B442" s="65" t="s">
        <v>177</v>
      </c>
      <c r="C442" s="65" t="s">
        <v>100</v>
      </c>
      <c r="D442" s="65"/>
      <c r="E442" s="65" t="s">
        <v>188</v>
      </c>
      <c r="F442" s="83">
        <v>0.7083333333333334</v>
      </c>
      <c r="G442" s="83">
        <v>0.75</v>
      </c>
      <c r="H442" s="83">
        <v>0.041666666666666664</v>
      </c>
      <c r="I442" s="84">
        <v>44473.0</v>
      </c>
      <c r="J442" s="65" t="b">
        <v>0</v>
      </c>
      <c r="K442" s="65" t="s">
        <v>187</v>
      </c>
      <c r="L442" s="85" t="b">
        <f>IF(VLOOKUP(C442,Projetos!A:L,12,false)=TRUE,TRUE,FALSE)</f>
        <v>1</v>
      </c>
      <c r="M442" s="74">
        <v>31.02923620430495</v>
      </c>
      <c r="N442" s="74">
        <f t="shared" si="1"/>
        <v>0</v>
      </c>
      <c r="O442" s="74" t="b">
        <v>1</v>
      </c>
    </row>
    <row r="443" hidden="1">
      <c r="A443" s="82"/>
      <c r="B443" s="65" t="s">
        <v>177</v>
      </c>
      <c r="C443" s="65" t="s">
        <v>91</v>
      </c>
      <c r="D443" s="65"/>
      <c r="E443" s="65" t="s">
        <v>189</v>
      </c>
      <c r="F443" s="83">
        <v>0.6875</v>
      </c>
      <c r="G443" s="83">
        <v>0.75</v>
      </c>
      <c r="H443" s="83">
        <v>0.0625</v>
      </c>
      <c r="I443" s="84">
        <v>44337.0</v>
      </c>
      <c r="J443" s="65" t="b">
        <v>0</v>
      </c>
      <c r="K443" s="65" t="s">
        <v>187</v>
      </c>
      <c r="L443" s="85" t="b">
        <f>IF(VLOOKUP(C443,Projetos!A:L,12,false)=TRUE,TRUE,FALSE)</f>
        <v>1</v>
      </c>
      <c r="M443" s="74">
        <v>31.02923620430495</v>
      </c>
      <c r="N443" s="74">
        <f t="shared" si="1"/>
        <v>0</v>
      </c>
      <c r="O443" s="74" t="b">
        <v>1</v>
      </c>
    </row>
    <row r="444" hidden="1">
      <c r="A444" s="82"/>
      <c r="B444" s="65" t="s">
        <v>177</v>
      </c>
      <c r="C444" s="65" t="s">
        <v>108</v>
      </c>
      <c r="D444" s="65"/>
      <c r="E444" s="65" t="s">
        <v>190</v>
      </c>
      <c r="F444" s="83">
        <v>0.5833333333333334</v>
      </c>
      <c r="G444" s="83">
        <v>0.6041666666666666</v>
      </c>
      <c r="H444" s="83">
        <v>0.020833333333333332</v>
      </c>
      <c r="I444" s="84">
        <v>44299.0</v>
      </c>
      <c r="J444" s="65" t="b">
        <v>0</v>
      </c>
      <c r="K444" s="65" t="s">
        <v>187</v>
      </c>
      <c r="L444" s="85" t="b">
        <f>IF(VLOOKUP(C444,Projetos!A:L,12,false)=TRUE,TRUE,FALSE)</f>
        <v>1</v>
      </c>
      <c r="M444" s="74">
        <v>31.02923620430495</v>
      </c>
      <c r="N444" s="74">
        <f t="shared" si="1"/>
        <v>0</v>
      </c>
      <c r="O444" s="74" t="b">
        <v>1</v>
      </c>
    </row>
    <row r="445" hidden="1">
      <c r="A445" s="82"/>
      <c r="B445" s="65" t="s">
        <v>177</v>
      </c>
      <c r="C445" s="65" t="s">
        <v>130</v>
      </c>
      <c r="D445" s="65" t="str">
        <f>vlookup(C445,'Classificação p pessoal'!F:G,2,false)</f>
        <v>NP</v>
      </c>
      <c r="E445" s="65" t="s">
        <v>191</v>
      </c>
      <c r="F445" s="83">
        <v>0.4166666666666667</v>
      </c>
      <c r="G445" s="83">
        <v>0.4375</v>
      </c>
      <c r="H445" s="83">
        <v>0.020833333333333332</v>
      </c>
      <c r="I445" s="84">
        <v>44480.0</v>
      </c>
      <c r="J445" s="65" t="b">
        <v>1</v>
      </c>
      <c r="K445" s="65"/>
      <c r="L445" s="85" t="b">
        <f>IF(VLOOKUP(C445,Projetos!A:L,12,false)=TRUE,TRUE,FALSE)</f>
        <v>1</v>
      </c>
      <c r="M445" s="74">
        <v>31.02923620430495</v>
      </c>
      <c r="N445" s="74">
        <f t="shared" si="1"/>
        <v>15.5146181</v>
      </c>
      <c r="O445" s="74" t="b">
        <v>1</v>
      </c>
    </row>
    <row r="446" hidden="1">
      <c r="A446" s="82"/>
      <c r="B446" s="65" t="s">
        <v>177</v>
      </c>
      <c r="C446" s="65" t="s">
        <v>100</v>
      </c>
      <c r="D446" s="65" t="str">
        <f>vlookup(C446,'Classificação p pessoal'!F:G,2,false)</f>
        <v>NP</v>
      </c>
      <c r="E446" s="65" t="s">
        <v>192</v>
      </c>
      <c r="F446" s="83">
        <v>0.4166666666666667</v>
      </c>
      <c r="G446" s="83">
        <v>0.4791666666666667</v>
      </c>
      <c r="H446" s="83">
        <v>0.0625</v>
      </c>
      <c r="I446" s="84">
        <v>44518.0</v>
      </c>
      <c r="J446" s="65" t="b">
        <v>1</v>
      </c>
      <c r="K446" s="65"/>
      <c r="L446" s="85" t="b">
        <f>IF(VLOOKUP(C446,Projetos!A:L,12,false)=TRUE,TRUE,FALSE)</f>
        <v>1</v>
      </c>
      <c r="M446" s="74">
        <v>31.02923620430495</v>
      </c>
      <c r="N446" s="74">
        <f t="shared" si="1"/>
        <v>46.54385431</v>
      </c>
      <c r="O446" s="74" t="b">
        <v>1</v>
      </c>
    </row>
    <row r="447" hidden="1">
      <c r="A447" s="82"/>
      <c r="B447" s="65" t="s">
        <v>177</v>
      </c>
      <c r="C447" s="65" t="s">
        <v>106</v>
      </c>
      <c r="D447" s="65" t="str">
        <f>vlookup(C447,'Classificação p pessoal'!F:G,2,false)</f>
        <v>MProcesso</v>
      </c>
      <c r="E447" s="65" t="s">
        <v>193</v>
      </c>
      <c r="F447" s="83">
        <v>0.6666666666666666</v>
      </c>
      <c r="G447" s="83">
        <v>0.6875</v>
      </c>
      <c r="H447" s="83">
        <v>0.020833333333333332</v>
      </c>
      <c r="I447" s="84">
        <v>44369.0</v>
      </c>
      <c r="J447" s="65" t="b">
        <v>1</v>
      </c>
      <c r="K447" s="65"/>
      <c r="L447" s="85" t="b">
        <f>IF(VLOOKUP(C447,Projetos!A:L,12,false)=TRUE,TRUE,FALSE)</f>
        <v>1</v>
      </c>
      <c r="M447" s="74">
        <v>31.02923620430495</v>
      </c>
      <c r="N447" s="74">
        <f t="shared" si="1"/>
        <v>15.5146181</v>
      </c>
      <c r="O447" s="74" t="b">
        <v>1</v>
      </c>
    </row>
    <row r="448" hidden="1">
      <c r="A448" s="82"/>
      <c r="B448" s="65" t="s">
        <v>177</v>
      </c>
      <c r="C448" s="65" t="s">
        <v>130</v>
      </c>
      <c r="D448" s="65" t="str">
        <f>vlookup(C448,'Classificação p pessoal'!F:G,2,false)</f>
        <v>NP</v>
      </c>
      <c r="E448" s="65" t="s">
        <v>194</v>
      </c>
      <c r="F448" s="83">
        <v>0.5833333333333334</v>
      </c>
      <c r="G448" s="83">
        <v>0.6041666666666666</v>
      </c>
      <c r="H448" s="83">
        <v>0.020833333333333332</v>
      </c>
      <c r="I448" s="84">
        <v>44528.0</v>
      </c>
      <c r="J448" s="65" t="b">
        <v>1</v>
      </c>
      <c r="K448" s="65"/>
      <c r="L448" s="85" t="b">
        <f>IF(VLOOKUP(C448,Projetos!A:L,12,false)=TRUE,TRUE,FALSE)</f>
        <v>1</v>
      </c>
      <c r="M448" s="74">
        <v>31.02923620430495</v>
      </c>
      <c r="N448" s="74">
        <f t="shared" si="1"/>
        <v>15.5146181</v>
      </c>
      <c r="O448" s="74" t="b">
        <v>1</v>
      </c>
    </row>
    <row r="449" hidden="1">
      <c r="A449" s="82"/>
      <c r="B449" s="65" t="s">
        <v>177</v>
      </c>
      <c r="C449" s="65" t="s">
        <v>108</v>
      </c>
      <c r="D449" s="65"/>
      <c r="E449" s="65" t="s">
        <v>195</v>
      </c>
      <c r="F449" s="83">
        <v>0.5833333333333334</v>
      </c>
      <c r="G449" s="83">
        <v>0.625</v>
      </c>
      <c r="H449" s="83">
        <v>0.041666666666666664</v>
      </c>
      <c r="I449" s="84">
        <v>44349.0</v>
      </c>
      <c r="J449" s="65" t="b">
        <v>0</v>
      </c>
      <c r="K449" s="65" t="s">
        <v>150</v>
      </c>
      <c r="L449" s="85" t="b">
        <f>IF(VLOOKUP(C449,Projetos!A:L,12,false)=TRUE,TRUE,FALSE)</f>
        <v>1</v>
      </c>
      <c r="M449" s="74">
        <v>31.02923620430495</v>
      </c>
      <c r="N449" s="74">
        <f t="shared" si="1"/>
        <v>0</v>
      </c>
      <c r="O449" s="74" t="b">
        <v>1</v>
      </c>
    </row>
    <row r="450" hidden="1">
      <c r="A450" s="82"/>
      <c r="B450" s="65" t="s">
        <v>177</v>
      </c>
      <c r="C450" s="65" t="s">
        <v>106</v>
      </c>
      <c r="D450" s="65"/>
      <c r="E450" s="65" t="s">
        <v>196</v>
      </c>
      <c r="F450" s="83">
        <v>0.375</v>
      </c>
      <c r="G450" s="83">
        <v>0.3958333333333333</v>
      </c>
      <c r="H450" s="83">
        <v>0.020833333333333332</v>
      </c>
      <c r="I450" s="84">
        <v>44473.0</v>
      </c>
      <c r="J450" s="65" t="b">
        <v>0</v>
      </c>
      <c r="K450" s="65" t="s">
        <v>187</v>
      </c>
      <c r="L450" s="85" t="b">
        <f>IF(VLOOKUP(C450,Projetos!A:L,12,false)=TRUE,TRUE,FALSE)</f>
        <v>1</v>
      </c>
      <c r="M450" s="74">
        <v>31.02923620430495</v>
      </c>
      <c r="N450" s="74">
        <f t="shared" si="1"/>
        <v>0</v>
      </c>
      <c r="O450" s="74" t="b">
        <v>1</v>
      </c>
    </row>
    <row r="451" hidden="1">
      <c r="A451" s="82"/>
      <c r="B451" s="65" t="s">
        <v>177</v>
      </c>
      <c r="C451" s="65" t="s">
        <v>106</v>
      </c>
      <c r="D451" s="65"/>
      <c r="E451" s="65" t="s">
        <v>197</v>
      </c>
      <c r="F451" s="83">
        <v>0.6666666666666666</v>
      </c>
      <c r="G451" s="83">
        <v>0.6875</v>
      </c>
      <c r="H451" s="83">
        <v>0.020833333333333332</v>
      </c>
      <c r="I451" s="84">
        <v>44473.0</v>
      </c>
      <c r="J451" s="65" t="b">
        <v>0</v>
      </c>
      <c r="K451" s="65" t="s">
        <v>187</v>
      </c>
      <c r="L451" s="85" t="b">
        <f>IF(VLOOKUP(C451,Projetos!A:L,12,false)=TRUE,TRUE,FALSE)</f>
        <v>1</v>
      </c>
      <c r="M451" s="74">
        <v>31.02923620430495</v>
      </c>
      <c r="N451" s="74">
        <f t="shared" si="1"/>
        <v>0</v>
      </c>
      <c r="O451" s="74" t="b">
        <v>1</v>
      </c>
    </row>
    <row r="452" hidden="1">
      <c r="A452" s="82"/>
      <c r="B452" s="65" t="s">
        <v>177</v>
      </c>
      <c r="C452" s="65" t="s">
        <v>92</v>
      </c>
      <c r="D452" s="65" t="str">
        <f>vlookup(C452,'Classificação p pessoal'!F:G,2,false)</f>
        <v/>
      </c>
      <c r="E452" s="65" t="s">
        <v>198</v>
      </c>
      <c r="F452" s="83">
        <v>0.5416666666666666</v>
      </c>
      <c r="G452" s="83">
        <v>0.5833333333333334</v>
      </c>
      <c r="H452" s="83">
        <v>0.041666666666666664</v>
      </c>
      <c r="I452" s="84">
        <v>44293.0</v>
      </c>
      <c r="J452" s="65" t="b">
        <v>1</v>
      </c>
      <c r="K452" s="65"/>
      <c r="L452" s="85" t="b">
        <f>IF(VLOOKUP(C452,Projetos!A:L,12,false)=TRUE,TRUE,FALSE)</f>
        <v>1</v>
      </c>
      <c r="M452" s="74">
        <v>31.02923620430495</v>
      </c>
      <c r="N452" s="74">
        <f t="shared" si="1"/>
        <v>31.0292362</v>
      </c>
      <c r="O452" s="74" t="b">
        <v>1</v>
      </c>
    </row>
    <row r="453" hidden="1">
      <c r="A453" s="82"/>
      <c r="B453" s="65" t="s">
        <v>177</v>
      </c>
      <c r="C453" s="65" t="s">
        <v>91</v>
      </c>
      <c r="D453" s="65"/>
      <c r="E453" s="65" t="s">
        <v>199</v>
      </c>
      <c r="F453" s="83">
        <v>0.3854166666666667</v>
      </c>
      <c r="G453" s="83">
        <v>0.4270833333333333</v>
      </c>
      <c r="H453" s="83">
        <v>0.041666666666666664</v>
      </c>
      <c r="I453" s="84">
        <v>44319.0</v>
      </c>
      <c r="J453" s="65" t="b">
        <v>0</v>
      </c>
      <c r="K453" s="65" t="s">
        <v>150</v>
      </c>
      <c r="L453" s="85" t="b">
        <f>IF(VLOOKUP(C453,Projetos!A:L,12,false)=TRUE,TRUE,FALSE)</f>
        <v>1</v>
      </c>
      <c r="M453" s="74">
        <v>31.02923620430495</v>
      </c>
      <c r="N453" s="74">
        <f t="shared" si="1"/>
        <v>0</v>
      </c>
      <c r="O453" s="74" t="b">
        <v>1</v>
      </c>
    </row>
    <row r="454" hidden="1">
      <c r="A454" s="82"/>
      <c r="B454" s="65" t="s">
        <v>177</v>
      </c>
      <c r="C454" s="65" t="s">
        <v>100</v>
      </c>
      <c r="D454" s="65"/>
      <c r="E454" s="65" t="s">
        <v>200</v>
      </c>
      <c r="F454" s="83">
        <v>0.4375</v>
      </c>
      <c r="G454" s="83">
        <v>0.4583333333333333</v>
      </c>
      <c r="H454" s="83">
        <v>0.020833333333333332</v>
      </c>
      <c r="I454" s="84">
        <v>44406.0</v>
      </c>
      <c r="J454" s="65" t="b">
        <v>0</v>
      </c>
      <c r="K454" s="65" t="s">
        <v>150</v>
      </c>
      <c r="L454" s="85" t="b">
        <f>IF(VLOOKUP(C454,Projetos!A:L,12,false)=TRUE,TRUE,FALSE)</f>
        <v>1</v>
      </c>
      <c r="M454" s="74">
        <v>31.02923620430495</v>
      </c>
      <c r="N454" s="74">
        <f t="shared" si="1"/>
        <v>0</v>
      </c>
      <c r="O454" s="74" t="b">
        <v>1</v>
      </c>
    </row>
    <row r="455" hidden="1">
      <c r="A455" s="82"/>
      <c r="B455" s="65" t="s">
        <v>177</v>
      </c>
      <c r="C455" s="65" t="s">
        <v>119</v>
      </c>
      <c r="D455" s="65"/>
      <c r="E455" s="65" t="s">
        <v>201</v>
      </c>
      <c r="F455" s="83">
        <v>0.7083333333333334</v>
      </c>
      <c r="G455" s="83">
        <v>0.75</v>
      </c>
      <c r="H455" s="83">
        <v>0.041666666666666664</v>
      </c>
      <c r="I455" s="84">
        <v>44225.0</v>
      </c>
      <c r="J455" s="65" t="b">
        <v>0</v>
      </c>
      <c r="K455" s="65" t="s">
        <v>150</v>
      </c>
      <c r="L455" s="85" t="b">
        <f>IF(VLOOKUP(C455,Projetos!A:L,12,false)=TRUE,TRUE,FALSE)</f>
        <v>1</v>
      </c>
      <c r="M455" s="74">
        <v>31.02923620430495</v>
      </c>
      <c r="N455" s="74">
        <f t="shared" si="1"/>
        <v>0</v>
      </c>
      <c r="O455" s="74" t="b">
        <v>1</v>
      </c>
    </row>
    <row r="456" hidden="1">
      <c r="A456" s="82"/>
      <c r="B456" s="65" t="s">
        <v>177</v>
      </c>
      <c r="C456" s="65" t="s">
        <v>108</v>
      </c>
      <c r="D456" s="65" t="str">
        <f>vlookup(C456,'Classificação p pessoal'!F:G,2,false)</f>
        <v>NP</v>
      </c>
      <c r="E456" s="65" t="s">
        <v>202</v>
      </c>
      <c r="F456" s="83">
        <v>0.3958333333333333</v>
      </c>
      <c r="G456" s="83">
        <v>0.4375</v>
      </c>
      <c r="H456" s="83">
        <v>0.041666666666666664</v>
      </c>
      <c r="I456" s="84">
        <v>44462.0</v>
      </c>
      <c r="J456" s="65" t="b">
        <v>1</v>
      </c>
      <c r="K456" s="65"/>
      <c r="L456" s="85" t="b">
        <f>IF(VLOOKUP(C456,Projetos!A:L,12,false)=TRUE,TRUE,FALSE)</f>
        <v>1</v>
      </c>
      <c r="M456" s="74">
        <v>31.02923620430495</v>
      </c>
      <c r="N456" s="74">
        <f t="shared" si="1"/>
        <v>31.0292362</v>
      </c>
      <c r="O456" s="74" t="b">
        <v>1</v>
      </c>
    </row>
    <row r="457" hidden="1">
      <c r="A457" s="82"/>
      <c r="B457" s="65" t="s">
        <v>177</v>
      </c>
      <c r="C457" s="65" t="s">
        <v>92</v>
      </c>
      <c r="D457" s="65"/>
      <c r="E457" s="65" t="s">
        <v>203</v>
      </c>
      <c r="F457" s="83">
        <v>0.6145833333333334</v>
      </c>
      <c r="G457" s="83">
        <v>0.6354166666666666</v>
      </c>
      <c r="H457" s="83">
        <v>0.020833333333333332</v>
      </c>
      <c r="I457" s="84">
        <v>44463.0</v>
      </c>
      <c r="J457" s="65" t="b">
        <v>0</v>
      </c>
      <c r="K457" s="65" t="s">
        <v>150</v>
      </c>
      <c r="L457" s="85" t="b">
        <f>IF(VLOOKUP(C457,Projetos!A:L,12,false)=TRUE,TRUE,FALSE)</f>
        <v>1</v>
      </c>
      <c r="M457" s="74">
        <v>31.02923620430495</v>
      </c>
      <c r="N457" s="74">
        <f t="shared" si="1"/>
        <v>0</v>
      </c>
      <c r="O457" s="74" t="b">
        <v>1</v>
      </c>
    </row>
    <row r="458" hidden="1">
      <c r="A458" s="82"/>
      <c r="B458" s="65" t="s">
        <v>177</v>
      </c>
      <c r="C458" s="65" t="s">
        <v>100</v>
      </c>
      <c r="D458" s="65" t="str">
        <f>vlookup(C458,'Classificação p pessoal'!F:G,2,false)</f>
        <v>NP</v>
      </c>
      <c r="E458" s="65" t="s">
        <v>204</v>
      </c>
      <c r="F458" s="83">
        <v>0.4583333333333333</v>
      </c>
      <c r="G458" s="83">
        <v>0.5</v>
      </c>
      <c r="H458" s="83">
        <v>0.041666666666666664</v>
      </c>
      <c r="I458" s="84">
        <v>44544.0</v>
      </c>
      <c r="J458" s="65" t="b">
        <v>1</v>
      </c>
      <c r="K458" s="65"/>
      <c r="L458" s="85" t="b">
        <f>IF(VLOOKUP(C458,Projetos!A:L,12,false)=TRUE,TRUE,FALSE)</f>
        <v>1</v>
      </c>
      <c r="M458" s="74">
        <v>31.02923620430495</v>
      </c>
      <c r="N458" s="74">
        <f t="shared" si="1"/>
        <v>31.0292362</v>
      </c>
      <c r="O458" s="74" t="b">
        <v>1</v>
      </c>
    </row>
    <row r="459" hidden="1">
      <c r="A459" s="82"/>
      <c r="B459" s="65" t="s">
        <v>177</v>
      </c>
      <c r="C459" s="65" t="s">
        <v>108</v>
      </c>
      <c r="D459" s="65" t="str">
        <f>vlookup(C459,'Classificação p pessoal'!F:G,2,false)</f>
        <v>NP</v>
      </c>
      <c r="E459" s="65" t="s">
        <v>205</v>
      </c>
      <c r="F459" s="83">
        <v>0.5833333333333334</v>
      </c>
      <c r="G459" s="83">
        <v>0.6041666666666666</v>
      </c>
      <c r="H459" s="83">
        <v>0.020833333333333332</v>
      </c>
      <c r="I459" s="84">
        <v>44326.0</v>
      </c>
      <c r="J459" s="65" t="b">
        <v>1</v>
      </c>
      <c r="K459" s="65"/>
      <c r="L459" s="85" t="b">
        <f>IF(VLOOKUP(C459,Projetos!A:L,12,false)=TRUE,TRUE,FALSE)</f>
        <v>1</v>
      </c>
      <c r="M459" s="74">
        <v>31.02923620430495</v>
      </c>
      <c r="N459" s="74">
        <f t="shared" si="1"/>
        <v>15.5146181</v>
      </c>
      <c r="O459" s="74" t="b">
        <v>1</v>
      </c>
    </row>
    <row r="460" hidden="1">
      <c r="A460" s="82"/>
      <c r="B460" s="65" t="s">
        <v>177</v>
      </c>
      <c r="C460" s="65" t="s">
        <v>130</v>
      </c>
      <c r="D460" s="65" t="str">
        <f>vlookup(C460,'Classificação p pessoal'!F:G,2,false)</f>
        <v>NP</v>
      </c>
      <c r="E460" s="65" t="s">
        <v>206</v>
      </c>
      <c r="F460" s="83">
        <v>0.4583333333333333</v>
      </c>
      <c r="G460" s="83">
        <v>0.4791666666666667</v>
      </c>
      <c r="H460" s="83">
        <v>0.020833333333333332</v>
      </c>
      <c r="I460" s="84">
        <v>44466.0</v>
      </c>
      <c r="J460" s="65" t="b">
        <v>1</v>
      </c>
      <c r="K460" s="65"/>
      <c r="L460" s="85" t="b">
        <f>IF(VLOOKUP(C460,Projetos!A:L,12,false)=TRUE,TRUE,FALSE)</f>
        <v>1</v>
      </c>
      <c r="M460" s="74">
        <v>31.02923620430495</v>
      </c>
      <c r="N460" s="74">
        <f t="shared" si="1"/>
        <v>15.5146181</v>
      </c>
      <c r="O460" s="74" t="b">
        <v>1</v>
      </c>
    </row>
    <row r="461" hidden="1">
      <c r="A461" s="82"/>
      <c r="B461" s="65" t="s">
        <v>177</v>
      </c>
      <c r="C461" s="65" t="s">
        <v>100</v>
      </c>
      <c r="D461" s="65"/>
      <c r="E461" s="65" t="s">
        <v>207</v>
      </c>
      <c r="F461" s="83">
        <v>0.3541666666666667</v>
      </c>
      <c r="G461" s="83">
        <v>0.3958333333333333</v>
      </c>
      <c r="H461" s="83">
        <v>0.041666666666666664</v>
      </c>
      <c r="I461" s="84">
        <v>44260.0</v>
      </c>
      <c r="J461" s="65" t="b">
        <v>0</v>
      </c>
      <c r="K461" s="65" t="s">
        <v>150</v>
      </c>
      <c r="L461" s="85" t="b">
        <f>IF(VLOOKUP(C461,Projetos!A:L,12,false)=TRUE,TRUE,FALSE)</f>
        <v>1</v>
      </c>
      <c r="M461" s="74">
        <v>31.02923620430495</v>
      </c>
      <c r="N461" s="74">
        <f t="shared" si="1"/>
        <v>0</v>
      </c>
      <c r="O461" s="74" t="b">
        <v>1</v>
      </c>
    </row>
    <row r="462" hidden="1">
      <c r="A462" s="82"/>
      <c r="B462" s="65" t="s">
        <v>177</v>
      </c>
      <c r="C462" s="65" t="s">
        <v>108</v>
      </c>
      <c r="D462" s="65"/>
      <c r="E462" s="65" t="s">
        <v>208</v>
      </c>
      <c r="F462" s="83">
        <v>0.7083333333333334</v>
      </c>
      <c r="G462" s="83">
        <v>0.75</v>
      </c>
      <c r="H462" s="83">
        <v>0.041666666666666664</v>
      </c>
      <c r="I462" s="84">
        <v>44200.0</v>
      </c>
      <c r="J462" s="65" t="b">
        <v>0</v>
      </c>
      <c r="K462" s="65" t="s">
        <v>150</v>
      </c>
      <c r="L462" s="85" t="b">
        <f>IF(VLOOKUP(C462,Projetos!A:L,12,false)=TRUE,TRUE,FALSE)</f>
        <v>1</v>
      </c>
      <c r="M462" s="74">
        <v>31.02923620430495</v>
      </c>
      <c r="N462" s="74">
        <f t="shared" si="1"/>
        <v>0</v>
      </c>
      <c r="O462" s="74" t="b">
        <v>1</v>
      </c>
    </row>
    <row r="463" hidden="1">
      <c r="A463" s="82"/>
      <c r="B463" s="65" t="s">
        <v>177</v>
      </c>
      <c r="C463" s="65" t="s">
        <v>108</v>
      </c>
      <c r="D463" s="65" t="str">
        <f>vlookup(C463,'Classificação p pessoal'!F:G,2,false)</f>
        <v>NP</v>
      </c>
      <c r="E463" s="65" t="s">
        <v>209</v>
      </c>
      <c r="F463" s="83">
        <v>0.3541666666666667</v>
      </c>
      <c r="G463" s="83">
        <v>0.3958333333333333</v>
      </c>
      <c r="H463" s="83">
        <v>0.041666666666666664</v>
      </c>
      <c r="I463" s="84">
        <v>44201.0</v>
      </c>
      <c r="J463" s="65" t="b">
        <v>1</v>
      </c>
      <c r="K463" s="65"/>
      <c r="L463" s="85" t="b">
        <f>IF(VLOOKUP(C463,Projetos!A:L,12,false)=TRUE,TRUE,FALSE)</f>
        <v>1</v>
      </c>
      <c r="M463" s="74">
        <v>31.02923620430495</v>
      </c>
      <c r="N463" s="74">
        <f t="shared" si="1"/>
        <v>31.0292362</v>
      </c>
      <c r="O463" s="74" t="b">
        <v>1</v>
      </c>
    </row>
    <row r="464" hidden="1">
      <c r="A464" s="82"/>
      <c r="B464" s="65" t="s">
        <v>177</v>
      </c>
      <c r="C464" s="65" t="s">
        <v>92</v>
      </c>
      <c r="D464" s="65" t="str">
        <f>vlookup(C464,'Classificação p pessoal'!F:G,2,false)</f>
        <v/>
      </c>
      <c r="E464" s="65" t="s">
        <v>210</v>
      </c>
      <c r="F464" s="83">
        <v>0.3958333333333333</v>
      </c>
      <c r="G464" s="83">
        <v>0.4375</v>
      </c>
      <c r="H464" s="83">
        <v>0.041666666666666664</v>
      </c>
      <c r="I464" s="84">
        <v>44201.0</v>
      </c>
      <c r="J464" s="65" t="b">
        <v>1</v>
      </c>
      <c r="K464" s="65"/>
      <c r="L464" s="85" t="b">
        <f>IF(VLOOKUP(C464,Projetos!A:L,12,false)=TRUE,TRUE,FALSE)</f>
        <v>1</v>
      </c>
      <c r="M464" s="74">
        <v>31.02923620430495</v>
      </c>
      <c r="N464" s="74">
        <f t="shared" si="1"/>
        <v>31.0292362</v>
      </c>
      <c r="O464" s="74" t="b">
        <v>1</v>
      </c>
    </row>
    <row r="465" hidden="1">
      <c r="A465" s="82"/>
      <c r="B465" s="65" t="s">
        <v>177</v>
      </c>
      <c r="C465" s="65" t="s">
        <v>92</v>
      </c>
      <c r="D465" s="65" t="str">
        <f>vlookup(C465,'Classificação p pessoal'!F:G,2,false)</f>
        <v/>
      </c>
      <c r="E465" s="65" t="s">
        <v>211</v>
      </c>
      <c r="F465" s="83">
        <v>0.3541666666666667</v>
      </c>
      <c r="G465" s="83">
        <v>0.375</v>
      </c>
      <c r="H465" s="83">
        <v>0.020833333333333332</v>
      </c>
      <c r="I465" s="84">
        <v>44202.0</v>
      </c>
      <c r="J465" s="65" t="b">
        <v>1</v>
      </c>
      <c r="K465" s="65"/>
      <c r="L465" s="85" t="b">
        <f>IF(VLOOKUP(C465,Projetos!A:L,12,false)=TRUE,TRUE,FALSE)</f>
        <v>1</v>
      </c>
      <c r="M465" s="74">
        <v>31.02923620430495</v>
      </c>
      <c r="N465" s="74">
        <f t="shared" si="1"/>
        <v>15.5146181</v>
      </c>
      <c r="O465" s="74" t="b">
        <v>1</v>
      </c>
    </row>
    <row r="466" hidden="1">
      <c r="A466" s="82"/>
      <c r="B466" s="65" t="s">
        <v>177</v>
      </c>
      <c r="C466" s="65" t="s">
        <v>92</v>
      </c>
      <c r="D466" s="65" t="str">
        <f>vlookup(C466,'Classificação p pessoal'!F:G,2,false)</f>
        <v/>
      </c>
      <c r="E466" s="65" t="s">
        <v>212</v>
      </c>
      <c r="F466" s="83">
        <v>0.375</v>
      </c>
      <c r="G466" s="83">
        <v>0.4166666666666667</v>
      </c>
      <c r="H466" s="83">
        <v>0.041666666666666664</v>
      </c>
      <c r="I466" s="84">
        <v>44202.0</v>
      </c>
      <c r="J466" s="65" t="b">
        <v>1</v>
      </c>
      <c r="K466" s="65"/>
      <c r="L466" s="85" t="b">
        <f>IF(VLOOKUP(C466,Projetos!A:L,12,false)=TRUE,TRUE,FALSE)</f>
        <v>1</v>
      </c>
      <c r="M466" s="74">
        <v>31.02923620430495</v>
      </c>
      <c r="N466" s="74">
        <f t="shared" si="1"/>
        <v>31.0292362</v>
      </c>
      <c r="O466" s="74" t="b">
        <v>1</v>
      </c>
    </row>
    <row r="467" hidden="1">
      <c r="A467" s="82"/>
      <c r="B467" s="65" t="s">
        <v>177</v>
      </c>
      <c r="C467" s="65" t="s">
        <v>100</v>
      </c>
      <c r="D467" s="65" t="str">
        <f>vlookup(C467,'Classificação p pessoal'!F:G,2,false)</f>
        <v>NP</v>
      </c>
      <c r="E467" s="65" t="s">
        <v>213</v>
      </c>
      <c r="F467" s="83">
        <v>0.4166666666666667</v>
      </c>
      <c r="G467" s="83">
        <v>0.4791666666666667</v>
      </c>
      <c r="H467" s="83">
        <v>0.0625</v>
      </c>
      <c r="I467" s="84">
        <v>44202.0</v>
      </c>
      <c r="J467" s="65" t="b">
        <v>1</v>
      </c>
      <c r="K467" s="65"/>
      <c r="L467" s="85" t="b">
        <f>IF(VLOOKUP(C467,Projetos!A:L,12,false)=TRUE,TRUE,FALSE)</f>
        <v>1</v>
      </c>
      <c r="M467" s="74">
        <v>31.02923620430495</v>
      </c>
      <c r="N467" s="74">
        <f t="shared" si="1"/>
        <v>46.54385431</v>
      </c>
      <c r="O467" s="74" t="b">
        <v>1</v>
      </c>
    </row>
    <row r="468" hidden="1">
      <c r="A468" s="82"/>
      <c r="B468" s="65" t="s">
        <v>177</v>
      </c>
      <c r="C468" s="65" t="s">
        <v>118</v>
      </c>
      <c r="D468" s="65" t="str">
        <f>vlookup(C468,'Classificação p pessoal'!F:G,2,false)</f>
        <v>MProduto</v>
      </c>
      <c r="E468" s="65" t="s">
        <v>214</v>
      </c>
      <c r="F468" s="83">
        <v>0.5833333333333334</v>
      </c>
      <c r="G468" s="83">
        <v>0.625</v>
      </c>
      <c r="H468" s="83">
        <v>0.041666666666666664</v>
      </c>
      <c r="I468" s="84">
        <v>44202.0</v>
      </c>
      <c r="J468" s="65" t="b">
        <v>1</v>
      </c>
      <c r="K468" s="65"/>
      <c r="L468" s="85" t="b">
        <f>IF(VLOOKUP(C468,Projetos!A:L,12,false)=TRUE,TRUE,FALSE)</f>
        <v>1</v>
      </c>
      <c r="M468" s="74">
        <v>31.02923620430495</v>
      </c>
      <c r="N468" s="74">
        <f t="shared" si="1"/>
        <v>31.0292362</v>
      </c>
      <c r="O468" s="74" t="b">
        <v>1</v>
      </c>
    </row>
    <row r="469" hidden="1">
      <c r="A469" s="82"/>
      <c r="B469" s="65" t="s">
        <v>177</v>
      </c>
      <c r="C469" s="65" t="s">
        <v>106</v>
      </c>
      <c r="D469" s="65" t="str">
        <f>vlookup(C469,'Classificação p pessoal'!F:G,2,false)</f>
        <v>MProcesso</v>
      </c>
      <c r="E469" s="65" t="s">
        <v>215</v>
      </c>
      <c r="F469" s="83">
        <v>0.625</v>
      </c>
      <c r="G469" s="83">
        <v>0.6666666666666666</v>
      </c>
      <c r="H469" s="83">
        <v>0.041666666666666664</v>
      </c>
      <c r="I469" s="84">
        <v>44202.0</v>
      </c>
      <c r="J469" s="65" t="b">
        <v>1</v>
      </c>
      <c r="K469" s="65"/>
      <c r="L469" s="85" t="b">
        <f>IF(VLOOKUP(C469,Projetos!A:L,12,false)=TRUE,TRUE,FALSE)</f>
        <v>1</v>
      </c>
      <c r="M469" s="74">
        <v>31.02923620430495</v>
      </c>
      <c r="N469" s="74">
        <f t="shared" si="1"/>
        <v>31.0292362</v>
      </c>
      <c r="O469" s="74" t="b">
        <v>1</v>
      </c>
    </row>
    <row r="470" hidden="1">
      <c r="A470" s="82"/>
      <c r="B470" s="65" t="s">
        <v>177</v>
      </c>
      <c r="C470" s="65" t="s">
        <v>100</v>
      </c>
      <c r="D470" s="65" t="str">
        <f>vlookup(C470,'Classificação p pessoal'!F:G,2,false)</f>
        <v>NP</v>
      </c>
      <c r="E470" s="65" t="s">
        <v>216</v>
      </c>
      <c r="F470" s="83">
        <v>0.3541666666666667</v>
      </c>
      <c r="G470" s="83">
        <v>0.3958333333333333</v>
      </c>
      <c r="H470" s="83">
        <v>0.041666666666666664</v>
      </c>
      <c r="I470" s="84">
        <v>44203.0</v>
      </c>
      <c r="J470" s="65" t="b">
        <v>1</v>
      </c>
      <c r="K470" s="65"/>
      <c r="L470" s="85" t="b">
        <f>IF(VLOOKUP(C470,Projetos!A:L,12,false)=TRUE,TRUE,FALSE)</f>
        <v>1</v>
      </c>
      <c r="M470" s="74">
        <v>31.02923620430495</v>
      </c>
      <c r="N470" s="74">
        <f t="shared" si="1"/>
        <v>31.0292362</v>
      </c>
      <c r="O470" s="74" t="b">
        <v>1</v>
      </c>
    </row>
    <row r="471" hidden="1">
      <c r="A471" s="82"/>
      <c r="B471" s="65" t="s">
        <v>177</v>
      </c>
      <c r="C471" s="65" t="s">
        <v>108</v>
      </c>
      <c r="D471" s="65" t="str">
        <f>vlookup(C471,'Classificação p pessoal'!F:G,2,false)</f>
        <v>NP</v>
      </c>
      <c r="E471" s="65" t="s">
        <v>217</v>
      </c>
      <c r="F471" s="83">
        <v>0.3958333333333333</v>
      </c>
      <c r="G471" s="83">
        <v>0.4375</v>
      </c>
      <c r="H471" s="83">
        <v>0.041666666666666664</v>
      </c>
      <c r="I471" s="84">
        <v>44203.0</v>
      </c>
      <c r="J471" s="65" t="b">
        <v>1</v>
      </c>
      <c r="K471" s="65"/>
      <c r="L471" s="85" t="b">
        <f>IF(VLOOKUP(C471,Projetos!A:L,12,false)=TRUE,TRUE,FALSE)</f>
        <v>1</v>
      </c>
      <c r="M471" s="74">
        <v>31.02923620430495</v>
      </c>
      <c r="N471" s="74">
        <f t="shared" si="1"/>
        <v>31.0292362</v>
      </c>
      <c r="O471" s="74" t="b">
        <v>1</v>
      </c>
    </row>
    <row r="472" hidden="1">
      <c r="A472" s="82"/>
      <c r="B472" s="65" t="s">
        <v>177</v>
      </c>
      <c r="C472" s="65" t="s">
        <v>108</v>
      </c>
      <c r="D472" s="65"/>
      <c r="E472" s="65" t="s">
        <v>218</v>
      </c>
      <c r="F472" s="83">
        <v>0.3541666666666667</v>
      </c>
      <c r="G472" s="83">
        <v>0.7083333333333334</v>
      </c>
      <c r="H472" s="83">
        <v>0.3541666666666667</v>
      </c>
      <c r="I472" s="84">
        <v>44204.0</v>
      </c>
      <c r="J472" s="65" t="b">
        <v>0</v>
      </c>
      <c r="K472" s="65" t="s">
        <v>150</v>
      </c>
      <c r="L472" s="85" t="b">
        <f>IF(VLOOKUP(C472,Projetos!A:L,12,false)=TRUE,TRUE,FALSE)</f>
        <v>1</v>
      </c>
      <c r="M472" s="74">
        <v>31.02923620430495</v>
      </c>
      <c r="N472" s="74">
        <f t="shared" si="1"/>
        <v>0</v>
      </c>
      <c r="O472" s="74" t="b">
        <v>1</v>
      </c>
    </row>
    <row r="473" hidden="1">
      <c r="A473" s="82"/>
      <c r="B473" s="65" t="s">
        <v>177</v>
      </c>
      <c r="C473" s="65" t="s">
        <v>101</v>
      </c>
      <c r="D473" s="65" t="str">
        <f>vlookup(C473,'Classificação p pessoal'!F:G,2,false)</f>
        <v>NP</v>
      </c>
      <c r="E473" s="65" t="s">
        <v>219</v>
      </c>
      <c r="F473" s="83">
        <v>0.7083333333333334</v>
      </c>
      <c r="G473" s="83">
        <v>0.75</v>
      </c>
      <c r="H473" s="83">
        <v>0.041666666666666664</v>
      </c>
      <c r="I473" s="84">
        <v>44204.0</v>
      </c>
      <c r="J473" s="65" t="b">
        <v>1</v>
      </c>
      <c r="K473" s="65"/>
      <c r="L473" s="85" t="b">
        <f>IF(VLOOKUP(C473,Projetos!A:L,12,false)=TRUE,TRUE,FALSE)</f>
        <v>1</v>
      </c>
      <c r="M473" s="74">
        <v>31.02923620430495</v>
      </c>
      <c r="N473" s="74">
        <f t="shared" si="1"/>
        <v>31.0292362</v>
      </c>
      <c r="O473" s="74" t="b">
        <v>1</v>
      </c>
    </row>
    <row r="474" hidden="1">
      <c r="A474" s="82"/>
      <c r="B474" s="65" t="s">
        <v>177</v>
      </c>
      <c r="C474" s="65" t="s">
        <v>106</v>
      </c>
      <c r="D474" s="65" t="str">
        <f>vlookup(C474,'Classificação p pessoal'!F:G,2,false)</f>
        <v>MProcesso</v>
      </c>
      <c r="E474" s="65" t="s">
        <v>220</v>
      </c>
      <c r="F474" s="83">
        <v>0.3541666666666667</v>
      </c>
      <c r="G474" s="83">
        <v>0.4166666666666667</v>
      </c>
      <c r="H474" s="83">
        <v>0.0625</v>
      </c>
      <c r="I474" s="84">
        <v>44207.0</v>
      </c>
      <c r="J474" s="65" t="b">
        <v>1</v>
      </c>
      <c r="K474" s="65"/>
      <c r="L474" s="85" t="b">
        <f>IF(VLOOKUP(C474,Projetos!A:L,12,false)=TRUE,TRUE,FALSE)</f>
        <v>1</v>
      </c>
      <c r="M474" s="74">
        <v>31.02923620430495</v>
      </c>
      <c r="N474" s="74">
        <f t="shared" si="1"/>
        <v>46.54385431</v>
      </c>
      <c r="O474" s="74" t="b">
        <v>1</v>
      </c>
    </row>
    <row r="475" hidden="1">
      <c r="A475" s="82"/>
      <c r="B475" s="65" t="s">
        <v>177</v>
      </c>
      <c r="C475" s="65" t="s">
        <v>92</v>
      </c>
      <c r="D475" s="65" t="str">
        <f>vlookup(C475,'Classificação p pessoal'!F:G,2,false)</f>
        <v/>
      </c>
      <c r="E475" s="65" t="s">
        <v>221</v>
      </c>
      <c r="F475" s="83">
        <v>0.4166666666666667</v>
      </c>
      <c r="G475" s="83">
        <v>0.4583333333333333</v>
      </c>
      <c r="H475" s="83">
        <v>0.041666666666666664</v>
      </c>
      <c r="I475" s="84">
        <v>44207.0</v>
      </c>
      <c r="J475" s="65" t="b">
        <v>1</v>
      </c>
      <c r="K475" s="65"/>
      <c r="L475" s="85" t="b">
        <f>IF(VLOOKUP(C475,Projetos!A:L,12,false)=TRUE,TRUE,FALSE)</f>
        <v>1</v>
      </c>
      <c r="M475" s="74">
        <v>31.02923620430495</v>
      </c>
      <c r="N475" s="74">
        <f t="shared" si="1"/>
        <v>31.0292362</v>
      </c>
      <c r="O475" s="74" t="b">
        <v>1</v>
      </c>
    </row>
    <row r="476" hidden="1">
      <c r="A476" s="82"/>
      <c r="B476" s="65" t="s">
        <v>177</v>
      </c>
      <c r="C476" s="65" t="s">
        <v>101</v>
      </c>
      <c r="D476" s="65" t="str">
        <f>vlookup(C476,'Classificação p pessoal'!F:G,2,false)</f>
        <v>NP</v>
      </c>
      <c r="E476" s="65" t="s">
        <v>222</v>
      </c>
      <c r="F476" s="83">
        <v>0.4583333333333333</v>
      </c>
      <c r="G476" s="83">
        <v>0.5208333333333334</v>
      </c>
      <c r="H476" s="83">
        <v>0.0625</v>
      </c>
      <c r="I476" s="84">
        <v>44207.0</v>
      </c>
      <c r="J476" s="65" t="b">
        <v>1</v>
      </c>
      <c r="K476" s="65"/>
      <c r="L476" s="85" t="b">
        <f>IF(VLOOKUP(C476,Projetos!A:L,12,false)=TRUE,TRUE,FALSE)</f>
        <v>1</v>
      </c>
      <c r="M476" s="74">
        <v>31.02923620430495</v>
      </c>
      <c r="N476" s="74">
        <f t="shared" si="1"/>
        <v>46.54385431</v>
      </c>
      <c r="O476" s="74" t="b">
        <v>1</v>
      </c>
    </row>
    <row r="477" hidden="1">
      <c r="A477" s="82"/>
      <c r="B477" s="65" t="s">
        <v>177</v>
      </c>
      <c r="C477" s="65" t="s">
        <v>92</v>
      </c>
      <c r="D477" s="65" t="str">
        <f>vlookup(C477,'Classificação p pessoal'!F:G,2,false)</f>
        <v/>
      </c>
      <c r="E477" s="65" t="s">
        <v>223</v>
      </c>
      <c r="F477" s="83">
        <v>0.5208333333333334</v>
      </c>
      <c r="G477" s="83">
        <v>0.5625</v>
      </c>
      <c r="H477" s="83">
        <v>0.041666666666666664</v>
      </c>
      <c r="I477" s="84">
        <v>44207.0</v>
      </c>
      <c r="J477" s="65" t="b">
        <v>1</v>
      </c>
      <c r="K477" s="65"/>
      <c r="L477" s="85" t="b">
        <f>IF(VLOOKUP(C477,Projetos!A:L,12,false)=TRUE,TRUE,FALSE)</f>
        <v>1</v>
      </c>
      <c r="M477" s="74">
        <v>31.02923620430495</v>
      </c>
      <c r="N477" s="74">
        <f t="shared" si="1"/>
        <v>31.0292362</v>
      </c>
      <c r="O477" s="74" t="b">
        <v>1</v>
      </c>
    </row>
    <row r="478" hidden="1">
      <c r="A478" s="82"/>
      <c r="B478" s="65" t="s">
        <v>177</v>
      </c>
      <c r="C478" s="65" t="s">
        <v>108</v>
      </c>
      <c r="D478" s="65"/>
      <c r="E478" s="65" t="s">
        <v>224</v>
      </c>
      <c r="F478" s="83">
        <v>0.6458333333333334</v>
      </c>
      <c r="G478" s="83">
        <v>0.75</v>
      </c>
      <c r="H478" s="83">
        <v>0.10416666666666667</v>
      </c>
      <c r="I478" s="84">
        <v>44207.0</v>
      </c>
      <c r="J478" s="65" t="b">
        <v>0</v>
      </c>
      <c r="K478" s="65" t="s">
        <v>150</v>
      </c>
      <c r="L478" s="85" t="b">
        <f>IF(VLOOKUP(C478,Projetos!A:L,12,false)=TRUE,TRUE,FALSE)</f>
        <v>1</v>
      </c>
      <c r="M478" s="74">
        <v>31.02923620430495</v>
      </c>
      <c r="N478" s="74">
        <f t="shared" si="1"/>
        <v>0</v>
      </c>
      <c r="O478" s="74" t="b">
        <v>1</v>
      </c>
    </row>
    <row r="479" hidden="1">
      <c r="A479" s="82"/>
      <c r="B479" s="65" t="s">
        <v>177</v>
      </c>
      <c r="C479" s="65" t="s">
        <v>100</v>
      </c>
      <c r="D479" s="65" t="str">
        <f>vlookup(C479,'Classificação p pessoal'!F:G,2,false)</f>
        <v>NP</v>
      </c>
      <c r="E479" s="65" t="s">
        <v>225</v>
      </c>
      <c r="F479" s="83">
        <v>0.3541666666666667</v>
      </c>
      <c r="G479" s="83">
        <v>0.4375</v>
      </c>
      <c r="H479" s="83">
        <v>0.08333333333333333</v>
      </c>
      <c r="I479" s="84">
        <v>44208.0</v>
      </c>
      <c r="J479" s="65" t="b">
        <v>1</v>
      </c>
      <c r="K479" s="65"/>
      <c r="L479" s="85" t="b">
        <f>IF(VLOOKUP(C479,Projetos!A:L,12,false)=TRUE,TRUE,FALSE)</f>
        <v>1</v>
      </c>
      <c r="M479" s="74">
        <v>31.02923620430495</v>
      </c>
      <c r="N479" s="74">
        <f t="shared" si="1"/>
        <v>62.05847241</v>
      </c>
      <c r="O479" s="74" t="b">
        <v>1</v>
      </c>
    </row>
    <row r="480" hidden="1">
      <c r="A480" s="82"/>
      <c r="B480" s="65" t="s">
        <v>177</v>
      </c>
      <c r="C480" s="65" t="s">
        <v>92</v>
      </c>
      <c r="D480" s="65" t="str">
        <f>vlookup(C480,'Classificação p pessoal'!F:G,2,false)</f>
        <v/>
      </c>
      <c r="E480" s="65" t="s">
        <v>226</v>
      </c>
      <c r="F480" s="83">
        <v>0.3541666666666667</v>
      </c>
      <c r="G480" s="83">
        <v>0.4166666666666667</v>
      </c>
      <c r="H480" s="83">
        <v>0.0625</v>
      </c>
      <c r="I480" s="84">
        <v>44209.0</v>
      </c>
      <c r="J480" s="65" t="b">
        <v>1</v>
      </c>
      <c r="K480" s="65"/>
      <c r="L480" s="85" t="b">
        <f>IF(VLOOKUP(C480,Projetos!A:L,12,false)=TRUE,TRUE,FALSE)</f>
        <v>1</v>
      </c>
      <c r="M480" s="74">
        <v>31.02923620430495</v>
      </c>
      <c r="N480" s="74">
        <f t="shared" si="1"/>
        <v>46.54385431</v>
      </c>
      <c r="O480" s="74" t="b">
        <v>1</v>
      </c>
    </row>
    <row r="481" hidden="1">
      <c r="A481" s="82"/>
      <c r="B481" s="65" t="s">
        <v>177</v>
      </c>
      <c r="C481" s="65" t="s">
        <v>92</v>
      </c>
      <c r="D481" s="65"/>
      <c r="E481" s="65" t="s">
        <v>227</v>
      </c>
      <c r="F481" s="83">
        <v>0.4166666666666667</v>
      </c>
      <c r="G481" s="83">
        <v>0.5833333333333334</v>
      </c>
      <c r="H481" s="83">
        <v>0.16666666666666666</v>
      </c>
      <c r="I481" s="84">
        <v>44209.0</v>
      </c>
      <c r="J481" s="65" t="b">
        <v>0</v>
      </c>
      <c r="K481" s="65" t="s">
        <v>150</v>
      </c>
      <c r="L481" s="85" t="b">
        <f>IF(VLOOKUP(C481,Projetos!A:L,12,false)=TRUE,TRUE,FALSE)</f>
        <v>1</v>
      </c>
      <c r="M481" s="74">
        <v>31.02923620430495</v>
      </c>
      <c r="N481" s="74">
        <f t="shared" si="1"/>
        <v>0</v>
      </c>
      <c r="O481" s="74" t="b">
        <v>1</v>
      </c>
    </row>
    <row r="482" hidden="1">
      <c r="A482" s="82"/>
      <c r="B482" s="65" t="s">
        <v>177</v>
      </c>
      <c r="C482" s="65" t="s">
        <v>106</v>
      </c>
      <c r="D482" s="65"/>
      <c r="E482" s="65" t="s">
        <v>228</v>
      </c>
      <c r="F482" s="83">
        <v>0.34375</v>
      </c>
      <c r="G482" s="83">
        <v>0.3958333333333333</v>
      </c>
      <c r="H482" s="83">
        <v>0.052083333333333336</v>
      </c>
      <c r="I482" s="84">
        <v>44211.0</v>
      </c>
      <c r="J482" s="65" t="b">
        <v>0</v>
      </c>
      <c r="K482" s="65" t="s">
        <v>150</v>
      </c>
      <c r="L482" s="85" t="b">
        <f>IF(VLOOKUP(C482,Projetos!A:L,12,false)=TRUE,TRUE,FALSE)</f>
        <v>1</v>
      </c>
      <c r="M482" s="74">
        <v>31.02923620430495</v>
      </c>
      <c r="N482" s="74">
        <f t="shared" si="1"/>
        <v>0</v>
      </c>
      <c r="O482" s="74" t="b">
        <v>1</v>
      </c>
    </row>
    <row r="483" hidden="1">
      <c r="A483" s="82"/>
      <c r="B483" s="65" t="s">
        <v>177</v>
      </c>
      <c r="C483" s="65" t="s">
        <v>118</v>
      </c>
      <c r="D483" s="65" t="str">
        <f>vlookup(C483,'Classificação p pessoal'!F:G,2,false)</f>
        <v>MProduto</v>
      </c>
      <c r="E483" s="65" t="s">
        <v>229</v>
      </c>
      <c r="F483" s="83">
        <v>0.3541666666666667</v>
      </c>
      <c r="G483" s="83">
        <v>0.375</v>
      </c>
      <c r="H483" s="83">
        <v>0.020833333333333332</v>
      </c>
      <c r="I483" s="84">
        <v>44214.0</v>
      </c>
      <c r="J483" s="65" t="b">
        <v>1</v>
      </c>
      <c r="K483" s="65"/>
      <c r="L483" s="85" t="b">
        <f>IF(VLOOKUP(C483,Projetos!A:L,12,false)=TRUE,TRUE,FALSE)</f>
        <v>1</v>
      </c>
      <c r="M483" s="74">
        <v>31.02923620430495</v>
      </c>
      <c r="N483" s="74">
        <f t="shared" si="1"/>
        <v>15.5146181</v>
      </c>
      <c r="O483" s="74" t="b">
        <v>1</v>
      </c>
    </row>
    <row r="484" hidden="1">
      <c r="A484" s="82"/>
      <c r="B484" s="65" t="s">
        <v>177</v>
      </c>
      <c r="C484" s="65" t="s">
        <v>132</v>
      </c>
      <c r="D484" s="65"/>
      <c r="E484" s="65" t="s">
        <v>230</v>
      </c>
      <c r="F484" s="83">
        <v>0.375</v>
      </c>
      <c r="G484" s="83">
        <v>0.4166666666666667</v>
      </c>
      <c r="H484" s="83">
        <v>0.041666666666666664</v>
      </c>
      <c r="I484" s="84">
        <v>44214.0</v>
      </c>
      <c r="J484" s="65" t="b">
        <v>1</v>
      </c>
      <c r="K484" s="65"/>
      <c r="L484" s="85" t="b">
        <f>IF(VLOOKUP(C484,Projetos!A:L,12,false)=TRUE,TRUE,FALSE)</f>
        <v>0</v>
      </c>
      <c r="M484" s="74">
        <v>31.02923620430495</v>
      </c>
      <c r="N484" s="74">
        <f t="shared" si="1"/>
        <v>0</v>
      </c>
      <c r="O484" s="74" t="b">
        <v>0</v>
      </c>
    </row>
    <row r="485" hidden="1">
      <c r="A485" s="82"/>
      <c r="B485" s="65" t="s">
        <v>177</v>
      </c>
      <c r="C485" s="65" t="s">
        <v>108</v>
      </c>
      <c r="D485" s="65"/>
      <c r="E485" s="65" t="s">
        <v>231</v>
      </c>
      <c r="F485" s="83">
        <v>0.625</v>
      </c>
      <c r="G485" s="83">
        <v>0.6666666666666666</v>
      </c>
      <c r="H485" s="83">
        <v>0.041666666666666664</v>
      </c>
      <c r="I485" s="84">
        <v>44214.0</v>
      </c>
      <c r="J485" s="65" t="b">
        <v>0</v>
      </c>
      <c r="K485" s="65" t="s">
        <v>150</v>
      </c>
      <c r="L485" s="85" t="b">
        <f>IF(VLOOKUP(C485,Projetos!A:L,12,false)=TRUE,TRUE,FALSE)</f>
        <v>1</v>
      </c>
      <c r="M485" s="74">
        <v>31.02923620430495</v>
      </c>
      <c r="N485" s="74">
        <f t="shared" si="1"/>
        <v>0</v>
      </c>
      <c r="O485" s="74" t="b">
        <v>1</v>
      </c>
    </row>
    <row r="486" hidden="1">
      <c r="A486" s="82"/>
      <c r="B486" s="65" t="s">
        <v>177</v>
      </c>
      <c r="C486" s="65" t="s">
        <v>92</v>
      </c>
      <c r="D486" s="65" t="str">
        <f>vlookup(C486,'Classificação p pessoal'!F:G,2,false)</f>
        <v/>
      </c>
      <c r="E486" s="65" t="s">
        <v>232</v>
      </c>
      <c r="F486" s="83">
        <v>0.5625</v>
      </c>
      <c r="G486" s="83">
        <v>0.6041666666666666</v>
      </c>
      <c r="H486" s="83">
        <v>0.041666666666666664</v>
      </c>
      <c r="I486" s="84">
        <v>44214.0</v>
      </c>
      <c r="J486" s="65" t="b">
        <v>1</v>
      </c>
      <c r="K486" s="65"/>
      <c r="L486" s="85" t="b">
        <f>IF(VLOOKUP(C486,Projetos!A:L,12,false)=TRUE,TRUE,FALSE)</f>
        <v>1</v>
      </c>
      <c r="M486" s="74">
        <v>31.02923620430495</v>
      </c>
      <c r="N486" s="74">
        <f t="shared" si="1"/>
        <v>31.0292362</v>
      </c>
      <c r="O486" s="74" t="b">
        <v>1</v>
      </c>
    </row>
    <row r="487" hidden="1">
      <c r="A487" s="82"/>
      <c r="B487" s="65" t="s">
        <v>177</v>
      </c>
      <c r="C487" s="65" t="s">
        <v>92</v>
      </c>
      <c r="D487" s="65" t="str">
        <f>vlookup(C487,'Classificação p pessoal'!F:G,2,false)</f>
        <v/>
      </c>
      <c r="E487" s="65" t="s">
        <v>211</v>
      </c>
      <c r="F487" s="83">
        <v>0.3541666666666667</v>
      </c>
      <c r="G487" s="83">
        <v>0.375</v>
      </c>
      <c r="H487" s="83">
        <v>0.020833333333333332</v>
      </c>
      <c r="I487" s="84">
        <v>44215.0</v>
      </c>
      <c r="J487" s="65" t="b">
        <v>1</v>
      </c>
      <c r="K487" s="65"/>
      <c r="L487" s="85" t="b">
        <f>IF(VLOOKUP(C487,Projetos!A:L,12,false)=TRUE,TRUE,FALSE)</f>
        <v>1</v>
      </c>
      <c r="M487" s="74">
        <v>31.02923620430495</v>
      </c>
      <c r="N487" s="74">
        <f t="shared" si="1"/>
        <v>15.5146181</v>
      </c>
      <c r="O487" s="74" t="b">
        <v>1</v>
      </c>
    </row>
    <row r="488" hidden="1">
      <c r="A488" s="82"/>
      <c r="B488" s="65" t="s">
        <v>177</v>
      </c>
      <c r="C488" s="65" t="s">
        <v>92</v>
      </c>
      <c r="D488" s="65"/>
      <c r="E488" s="65" t="s">
        <v>233</v>
      </c>
      <c r="F488" s="83">
        <v>0.5833333333333334</v>
      </c>
      <c r="G488" s="83">
        <v>0.625</v>
      </c>
      <c r="H488" s="83">
        <v>0.041666666666666664</v>
      </c>
      <c r="I488" s="84">
        <v>44215.0</v>
      </c>
      <c r="J488" s="65" t="b">
        <v>0</v>
      </c>
      <c r="K488" s="65" t="s">
        <v>150</v>
      </c>
      <c r="L488" s="85" t="b">
        <f>IF(VLOOKUP(C488,Projetos!A:L,12,false)=TRUE,TRUE,FALSE)</f>
        <v>1</v>
      </c>
      <c r="M488" s="74">
        <v>31.02923620430495</v>
      </c>
      <c r="N488" s="74">
        <f t="shared" si="1"/>
        <v>0</v>
      </c>
      <c r="O488" s="74" t="b">
        <v>1</v>
      </c>
    </row>
    <row r="489" hidden="1">
      <c r="A489" s="82"/>
      <c r="B489" s="65" t="s">
        <v>177</v>
      </c>
      <c r="C489" s="65" t="s">
        <v>92</v>
      </c>
      <c r="D489" s="65" t="str">
        <f>vlookup(C489,'Classificação p pessoal'!F:G,2,false)</f>
        <v/>
      </c>
      <c r="E489" s="65" t="s">
        <v>234</v>
      </c>
      <c r="F489" s="83">
        <v>0.3541666666666667</v>
      </c>
      <c r="G489" s="83">
        <v>0.3958333333333333</v>
      </c>
      <c r="H489" s="83">
        <v>0.041666666666666664</v>
      </c>
      <c r="I489" s="84">
        <v>44216.0</v>
      </c>
      <c r="J489" s="65" t="b">
        <v>1</v>
      </c>
      <c r="K489" s="65"/>
      <c r="L489" s="85" t="b">
        <f>IF(VLOOKUP(C489,Projetos!A:L,12,false)=TRUE,TRUE,FALSE)</f>
        <v>1</v>
      </c>
      <c r="M489" s="74">
        <v>31.02923620430495</v>
      </c>
      <c r="N489" s="74">
        <f t="shared" si="1"/>
        <v>31.0292362</v>
      </c>
      <c r="O489" s="74" t="b">
        <v>1</v>
      </c>
    </row>
    <row r="490" hidden="1">
      <c r="A490" s="82"/>
      <c r="B490" s="65" t="s">
        <v>177</v>
      </c>
      <c r="C490" s="65" t="s">
        <v>92</v>
      </c>
      <c r="D490" s="65" t="str">
        <f>vlookup(C490,'Classificação p pessoal'!F:G,2,false)</f>
        <v/>
      </c>
      <c r="E490" s="65" t="s">
        <v>223</v>
      </c>
      <c r="F490" s="83">
        <v>0.3958333333333333</v>
      </c>
      <c r="G490" s="83">
        <v>0.4166666666666667</v>
      </c>
      <c r="H490" s="83">
        <v>0.020833333333333332</v>
      </c>
      <c r="I490" s="84">
        <v>44216.0</v>
      </c>
      <c r="J490" s="65" t="b">
        <v>1</v>
      </c>
      <c r="K490" s="65"/>
      <c r="L490" s="85" t="b">
        <f>IF(VLOOKUP(C490,Projetos!A:L,12,false)=TRUE,TRUE,FALSE)</f>
        <v>1</v>
      </c>
      <c r="M490" s="74">
        <v>31.02923620430495</v>
      </c>
      <c r="N490" s="74">
        <f t="shared" si="1"/>
        <v>15.5146181</v>
      </c>
      <c r="O490" s="74" t="b">
        <v>1</v>
      </c>
    </row>
    <row r="491" hidden="1">
      <c r="A491" s="82"/>
      <c r="B491" s="65" t="s">
        <v>177</v>
      </c>
      <c r="C491" s="65" t="s">
        <v>92</v>
      </c>
      <c r="D491" s="65" t="str">
        <f>vlookup(C491,'Classificação p pessoal'!F:G,2,false)</f>
        <v/>
      </c>
      <c r="E491" s="65" t="s">
        <v>235</v>
      </c>
      <c r="F491" s="83">
        <v>0.4375</v>
      </c>
      <c r="G491" s="83">
        <v>0.4791666666666667</v>
      </c>
      <c r="H491" s="83">
        <v>0.041666666666666664</v>
      </c>
      <c r="I491" s="84">
        <v>44216.0</v>
      </c>
      <c r="J491" s="65" t="b">
        <v>1</v>
      </c>
      <c r="K491" s="65"/>
      <c r="L491" s="85" t="b">
        <f>IF(VLOOKUP(C491,Projetos!A:L,12,false)=TRUE,TRUE,FALSE)</f>
        <v>1</v>
      </c>
      <c r="M491" s="74">
        <v>31.02923620430495</v>
      </c>
      <c r="N491" s="74">
        <f t="shared" si="1"/>
        <v>31.0292362</v>
      </c>
      <c r="O491" s="74" t="b">
        <v>1</v>
      </c>
    </row>
    <row r="492" hidden="1">
      <c r="A492" s="82"/>
      <c r="B492" s="65" t="s">
        <v>177</v>
      </c>
      <c r="C492" s="65" t="s">
        <v>101</v>
      </c>
      <c r="D492" s="65" t="str">
        <f>vlookup(C492,'Classificação p pessoal'!F:G,2,false)</f>
        <v>NP</v>
      </c>
      <c r="E492" s="65" t="s">
        <v>236</v>
      </c>
      <c r="F492" s="83">
        <v>0.5833333333333334</v>
      </c>
      <c r="G492" s="83">
        <v>0.625</v>
      </c>
      <c r="H492" s="83">
        <v>0.041666666666666664</v>
      </c>
      <c r="I492" s="84">
        <v>44216.0</v>
      </c>
      <c r="J492" s="65" t="b">
        <v>1</v>
      </c>
      <c r="K492" s="65"/>
      <c r="L492" s="85" t="b">
        <f>IF(VLOOKUP(C492,Projetos!A:L,12,false)=TRUE,TRUE,FALSE)</f>
        <v>1</v>
      </c>
      <c r="M492" s="74">
        <v>31.02923620430495</v>
      </c>
      <c r="N492" s="74">
        <f t="shared" si="1"/>
        <v>31.0292362</v>
      </c>
      <c r="O492" s="74" t="b">
        <v>1</v>
      </c>
    </row>
    <row r="493" hidden="1">
      <c r="A493" s="82"/>
      <c r="B493" s="65" t="s">
        <v>177</v>
      </c>
      <c r="C493" s="65" t="s">
        <v>132</v>
      </c>
      <c r="D493" s="65"/>
      <c r="E493" s="65" t="s">
        <v>237</v>
      </c>
      <c r="F493" s="83">
        <v>0.6666666666666666</v>
      </c>
      <c r="G493" s="83">
        <v>0.75</v>
      </c>
      <c r="H493" s="83">
        <v>0.08333333333333333</v>
      </c>
      <c r="I493" s="84">
        <v>44216.0</v>
      </c>
      <c r="J493" s="65" t="b">
        <v>1</v>
      </c>
      <c r="K493" s="65"/>
      <c r="L493" s="85" t="b">
        <f>IF(VLOOKUP(C493,Projetos!A:L,12,false)=TRUE,TRUE,FALSE)</f>
        <v>0</v>
      </c>
      <c r="M493" s="74">
        <v>31.02923620430495</v>
      </c>
      <c r="N493" s="74">
        <f t="shared" si="1"/>
        <v>0</v>
      </c>
      <c r="O493" s="74" t="b">
        <v>0</v>
      </c>
    </row>
    <row r="494" hidden="1">
      <c r="A494" s="82"/>
      <c r="B494" s="65" t="s">
        <v>177</v>
      </c>
      <c r="C494" s="65" t="s">
        <v>132</v>
      </c>
      <c r="D494" s="65"/>
      <c r="E494" s="65" t="s">
        <v>237</v>
      </c>
      <c r="F494" s="83">
        <v>0.3541666666666667</v>
      </c>
      <c r="G494" s="83">
        <v>0.4166666666666667</v>
      </c>
      <c r="H494" s="83">
        <v>0.0625</v>
      </c>
      <c r="I494" s="84">
        <v>44217.0</v>
      </c>
      <c r="J494" s="65" t="b">
        <v>1</v>
      </c>
      <c r="K494" s="65"/>
      <c r="L494" s="85" t="b">
        <f>IF(VLOOKUP(C494,Projetos!A:L,12,false)=TRUE,TRUE,FALSE)</f>
        <v>0</v>
      </c>
      <c r="M494" s="74">
        <v>31.02923620430495</v>
      </c>
      <c r="N494" s="74">
        <f t="shared" si="1"/>
        <v>0</v>
      </c>
      <c r="O494" s="74" t="b">
        <v>0</v>
      </c>
    </row>
    <row r="495" hidden="1">
      <c r="A495" s="82"/>
      <c r="B495" s="65" t="s">
        <v>177</v>
      </c>
      <c r="C495" s="65" t="s">
        <v>100</v>
      </c>
      <c r="D495" s="65" t="str">
        <f>vlookup(C495,'Classificação p pessoal'!F:G,2,false)</f>
        <v>NP</v>
      </c>
      <c r="E495" s="65" t="s">
        <v>238</v>
      </c>
      <c r="F495" s="83">
        <v>0.4166666666666667</v>
      </c>
      <c r="G495" s="83">
        <v>0.4375</v>
      </c>
      <c r="H495" s="83">
        <v>0.020833333333333332</v>
      </c>
      <c r="I495" s="84">
        <v>44302.0</v>
      </c>
      <c r="J495" s="65" t="b">
        <v>1</v>
      </c>
      <c r="K495" s="65"/>
      <c r="L495" s="85" t="b">
        <f>IF(VLOOKUP(C495,Projetos!A:L,12,false)=TRUE,TRUE,FALSE)</f>
        <v>1</v>
      </c>
      <c r="M495" s="74">
        <v>31.02923620430495</v>
      </c>
      <c r="N495" s="74">
        <f t="shared" si="1"/>
        <v>15.5146181</v>
      </c>
      <c r="O495" s="74" t="b">
        <v>1</v>
      </c>
    </row>
    <row r="496" hidden="1">
      <c r="A496" s="82"/>
      <c r="B496" s="65" t="s">
        <v>177</v>
      </c>
      <c r="C496" s="65" t="s">
        <v>100</v>
      </c>
      <c r="D496" s="65" t="str">
        <f>vlookup(C496,'Classificação p pessoal'!F:G,2,false)</f>
        <v>NP</v>
      </c>
      <c r="E496" s="65" t="s">
        <v>239</v>
      </c>
      <c r="F496" s="83">
        <v>0.4166666666666667</v>
      </c>
      <c r="G496" s="83">
        <v>0.5</v>
      </c>
      <c r="H496" s="83">
        <v>0.08333333333333333</v>
      </c>
      <c r="I496" s="84">
        <v>44218.0</v>
      </c>
      <c r="J496" s="65" t="b">
        <v>1</v>
      </c>
      <c r="K496" s="65"/>
      <c r="L496" s="85" t="b">
        <f>IF(VLOOKUP(C496,Projetos!A:L,12,false)=TRUE,TRUE,FALSE)</f>
        <v>1</v>
      </c>
      <c r="M496" s="74">
        <v>31.02923620430495</v>
      </c>
      <c r="N496" s="74">
        <f t="shared" si="1"/>
        <v>62.05847241</v>
      </c>
      <c r="O496" s="74" t="b">
        <v>1</v>
      </c>
    </row>
    <row r="497" hidden="1">
      <c r="A497" s="82"/>
      <c r="B497" s="65" t="s">
        <v>177</v>
      </c>
      <c r="C497" s="65" t="s">
        <v>106</v>
      </c>
      <c r="D497" s="65" t="str">
        <f>vlookup(C497,'Classificação p pessoal'!F:G,2,false)</f>
        <v>MProcesso</v>
      </c>
      <c r="E497" s="65" t="s">
        <v>240</v>
      </c>
      <c r="F497" s="83">
        <v>0.3541666666666667</v>
      </c>
      <c r="G497" s="83">
        <v>0.3958333333333333</v>
      </c>
      <c r="H497" s="83">
        <v>0.041666666666666664</v>
      </c>
      <c r="I497" s="84">
        <v>44221.0</v>
      </c>
      <c r="J497" s="65" t="b">
        <v>1</v>
      </c>
      <c r="K497" s="65"/>
      <c r="L497" s="85" t="b">
        <f>IF(VLOOKUP(C497,Projetos!A:L,12,false)=TRUE,TRUE,FALSE)</f>
        <v>1</v>
      </c>
      <c r="M497" s="74">
        <v>31.02923620430495</v>
      </c>
      <c r="N497" s="74">
        <f t="shared" si="1"/>
        <v>31.0292362</v>
      </c>
      <c r="O497" s="74" t="b">
        <v>1</v>
      </c>
    </row>
    <row r="498" hidden="1">
      <c r="A498" s="82"/>
      <c r="B498" s="65" t="s">
        <v>177</v>
      </c>
      <c r="C498" s="65" t="s">
        <v>108</v>
      </c>
      <c r="D498" s="65" t="str">
        <f>vlookup(C498,'Classificação p pessoal'!F:G,2,false)</f>
        <v>NP</v>
      </c>
      <c r="E498" s="65" t="s">
        <v>241</v>
      </c>
      <c r="F498" s="83">
        <v>0.6666666666666666</v>
      </c>
      <c r="G498" s="83">
        <v>0.6875</v>
      </c>
      <c r="H498" s="83">
        <v>0.020833333333333332</v>
      </c>
      <c r="I498" s="84">
        <v>44221.0</v>
      </c>
      <c r="J498" s="65" t="b">
        <v>1</v>
      </c>
      <c r="K498" s="65"/>
      <c r="L498" s="85" t="b">
        <f>IF(VLOOKUP(C498,Projetos!A:L,12,false)=TRUE,TRUE,FALSE)</f>
        <v>1</v>
      </c>
      <c r="M498" s="74">
        <v>31.02923620430495</v>
      </c>
      <c r="N498" s="74">
        <f t="shared" si="1"/>
        <v>15.5146181</v>
      </c>
      <c r="O498" s="74" t="b">
        <v>1</v>
      </c>
    </row>
    <row r="499" hidden="1">
      <c r="A499" s="82"/>
      <c r="B499" s="65" t="s">
        <v>177</v>
      </c>
      <c r="C499" s="65" t="s">
        <v>100</v>
      </c>
      <c r="D499" s="65" t="str">
        <f>vlookup(C499,'Classificação p pessoal'!F:G,2,false)</f>
        <v>NP</v>
      </c>
      <c r="E499" s="65" t="s">
        <v>238</v>
      </c>
      <c r="F499" s="83">
        <v>0.625</v>
      </c>
      <c r="G499" s="83">
        <v>0.6458333333333334</v>
      </c>
      <c r="H499" s="83">
        <v>0.020833333333333332</v>
      </c>
      <c r="I499" s="84">
        <v>44306.0</v>
      </c>
      <c r="J499" s="65" t="b">
        <v>1</v>
      </c>
      <c r="K499" s="65"/>
      <c r="L499" s="85" t="b">
        <f>IF(VLOOKUP(C499,Projetos!A:L,12,false)=TRUE,TRUE,FALSE)</f>
        <v>1</v>
      </c>
      <c r="M499" s="74">
        <v>31.02923620430495</v>
      </c>
      <c r="N499" s="74">
        <f t="shared" si="1"/>
        <v>15.5146181</v>
      </c>
      <c r="O499" s="74" t="b">
        <v>1</v>
      </c>
    </row>
    <row r="500" hidden="1">
      <c r="A500" s="82"/>
      <c r="B500" s="65" t="s">
        <v>177</v>
      </c>
      <c r="C500" s="65" t="s">
        <v>106</v>
      </c>
      <c r="D500" s="65" t="str">
        <f>vlookup(C500,'Classificação p pessoal'!F:G,2,false)</f>
        <v>MProcesso</v>
      </c>
      <c r="E500" s="65" t="s">
        <v>242</v>
      </c>
      <c r="F500" s="83">
        <v>0.3541666666666667</v>
      </c>
      <c r="G500" s="83">
        <v>0.3958333333333333</v>
      </c>
      <c r="H500" s="83">
        <v>0.041666666666666664</v>
      </c>
      <c r="I500" s="84">
        <v>44223.0</v>
      </c>
      <c r="J500" s="65" t="b">
        <v>1</v>
      </c>
      <c r="K500" s="65"/>
      <c r="L500" s="85" t="b">
        <f>IF(VLOOKUP(C500,Projetos!A:L,12,false)=TRUE,TRUE,FALSE)</f>
        <v>1</v>
      </c>
      <c r="M500" s="74">
        <v>31.02923620430495</v>
      </c>
      <c r="N500" s="74">
        <f t="shared" si="1"/>
        <v>31.0292362</v>
      </c>
      <c r="O500" s="74" t="b">
        <v>1</v>
      </c>
    </row>
    <row r="501" hidden="1">
      <c r="A501" s="82"/>
      <c r="B501" s="65" t="s">
        <v>177</v>
      </c>
      <c r="C501" s="65" t="s">
        <v>108</v>
      </c>
      <c r="D501" s="65" t="str">
        <f>vlookup(C501,'Classificação p pessoal'!F:G,2,false)</f>
        <v>NP</v>
      </c>
      <c r="E501" s="65" t="s">
        <v>243</v>
      </c>
      <c r="F501" s="83">
        <v>0.3958333333333333</v>
      </c>
      <c r="G501" s="83">
        <v>0.4375</v>
      </c>
      <c r="H501" s="83">
        <v>0.041666666666666664</v>
      </c>
      <c r="I501" s="84">
        <v>44223.0</v>
      </c>
      <c r="J501" s="65" t="b">
        <v>1</v>
      </c>
      <c r="K501" s="65"/>
      <c r="L501" s="85" t="b">
        <f>IF(VLOOKUP(C501,Projetos!A:L,12,false)=TRUE,TRUE,FALSE)</f>
        <v>1</v>
      </c>
      <c r="M501" s="74">
        <v>31.02923620430495</v>
      </c>
      <c r="N501" s="74">
        <f t="shared" si="1"/>
        <v>31.0292362</v>
      </c>
      <c r="O501" s="74" t="b">
        <v>1</v>
      </c>
    </row>
    <row r="502" hidden="1">
      <c r="A502" s="82"/>
      <c r="B502" s="65" t="s">
        <v>177</v>
      </c>
      <c r="C502" s="65" t="s">
        <v>107</v>
      </c>
      <c r="D502" s="65" t="str">
        <f>vlookup(C502,'Classificação p pessoal'!F:G,2,false)</f>
        <v>NP</v>
      </c>
      <c r="E502" s="65" t="s">
        <v>244</v>
      </c>
      <c r="F502" s="83">
        <v>0.5833333333333334</v>
      </c>
      <c r="G502" s="83">
        <v>0.6458333333333334</v>
      </c>
      <c r="H502" s="83">
        <v>0.0625</v>
      </c>
      <c r="I502" s="84">
        <v>44223.0</v>
      </c>
      <c r="J502" s="65" t="b">
        <v>1</v>
      </c>
      <c r="K502" s="65"/>
      <c r="L502" s="85" t="b">
        <f>IF(VLOOKUP(C502,Projetos!A:L,12,false)=TRUE,TRUE,FALSE)</f>
        <v>1</v>
      </c>
      <c r="M502" s="74">
        <v>31.02923620430495</v>
      </c>
      <c r="N502" s="74">
        <f t="shared" si="1"/>
        <v>46.54385431</v>
      </c>
      <c r="O502" s="74" t="b">
        <v>1</v>
      </c>
    </row>
    <row r="503" hidden="1">
      <c r="A503" s="82"/>
      <c r="B503" s="65" t="s">
        <v>177</v>
      </c>
      <c r="C503" s="65" t="s">
        <v>100</v>
      </c>
      <c r="D503" s="65" t="str">
        <f>vlookup(C503,'Classificação p pessoal'!F:G,2,false)</f>
        <v>NP</v>
      </c>
      <c r="E503" s="65" t="s">
        <v>238</v>
      </c>
      <c r="F503" s="83">
        <v>0.6458333333333334</v>
      </c>
      <c r="G503" s="83">
        <v>0.6666666666666666</v>
      </c>
      <c r="H503" s="83">
        <v>0.020833333333333332</v>
      </c>
      <c r="I503" s="84">
        <v>44312.0</v>
      </c>
      <c r="J503" s="65" t="b">
        <v>1</v>
      </c>
      <c r="K503" s="65"/>
      <c r="L503" s="85" t="b">
        <f>IF(VLOOKUP(C503,Projetos!A:L,12,false)=TRUE,TRUE,FALSE)</f>
        <v>1</v>
      </c>
      <c r="M503" s="74">
        <v>31.02923620430495</v>
      </c>
      <c r="N503" s="74">
        <f t="shared" si="1"/>
        <v>15.5146181</v>
      </c>
      <c r="O503" s="74" t="b">
        <v>1</v>
      </c>
    </row>
    <row r="504" hidden="1">
      <c r="A504" s="82"/>
      <c r="B504" s="65" t="s">
        <v>177</v>
      </c>
      <c r="C504" s="65" t="s">
        <v>118</v>
      </c>
      <c r="D504" s="65"/>
      <c r="E504" s="65" t="s">
        <v>245</v>
      </c>
      <c r="F504" s="83">
        <v>0.5833333333333334</v>
      </c>
      <c r="G504" s="83">
        <v>0.7083333333333334</v>
      </c>
      <c r="H504" s="83">
        <v>0.125</v>
      </c>
      <c r="I504" s="84">
        <v>44224.0</v>
      </c>
      <c r="J504" s="65" t="b">
        <v>0</v>
      </c>
      <c r="K504" s="65" t="s">
        <v>150</v>
      </c>
      <c r="L504" s="85" t="b">
        <f>IF(VLOOKUP(C504,Projetos!A:L,12,false)=TRUE,TRUE,FALSE)</f>
        <v>1</v>
      </c>
      <c r="M504" s="74">
        <v>31.02923620430495</v>
      </c>
      <c r="N504" s="74">
        <f t="shared" si="1"/>
        <v>0</v>
      </c>
      <c r="O504" s="74" t="b">
        <v>1</v>
      </c>
    </row>
    <row r="505" hidden="1">
      <c r="A505" s="82"/>
      <c r="B505" s="65" t="s">
        <v>177</v>
      </c>
      <c r="C505" s="65" t="s">
        <v>100</v>
      </c>
      <c r="D505" s="65" t="str">
        <f>vlookup(C505,'Classificação p pessoal'!F:G,2,false)</f>
        <v>NP</v>
      </c>
      <c r="E505" s="65" t="s">
        <v>246</v>
      </c>
      <c r="F505" s="83">
        <v>0.4166666666666667</v>
      </c>
      <c r="G505" s="83">
        <v>0.4375</v>
      </c>
      <c r="H505" s="83">
        <v>0.020833333333333332</v>
      </c>
      <c r="I505" s="84">
        <v>44278.0</v>
      </c>
      <c r="J505" s="65" t="b">
        <v>1</v>
      </c>
      <c r="K505" s="65"/>
      <c r="L505" s="85" t="b">
        <f>IF(VLOOKUP(C505,Projetos!A:L,12,false)=TRUE,TRUE,FALSE)</f>
        <v>1</v>
      </c>
      <c r="M505" s="74">
        <v>31.02923620430495</v>
      </c>
      <c r="N505" s="74">
        <f t="shared" si="1"/>
        <v>15.5146181</v>
      </c>
      <c r="O505" s="74" t="b">
        <v>1</v>
      </c>
    </row>
    <row r="506" hidden="1">
      <c r="A506" s="82"/>
      <c r="B506" s="65" t="s">
        <v>177</v>
      </c>
      <c r="C506" s="65" t="s">
        <v>108</v>
      </c>
      <c r="D506" s="65" t="str">
        <f>vlookup(C506,'Classificação p pessoal'!F:G,2,false)</f>
        <v>NP</v>
      </c>
      <c r="E506" s="65" t="s">
        <v>247</v>
      </c>
      <c r="F506" s="83">
        <v>0.5416666666666666</v>
      </c>
      <c r="G506" s="83">
        <v>0.5833333333333334</v>
      </c>
      <c r="H506" s="83">
        <v>0.041666666666666664</v>
      </c>
      <c r="I506" s="84">
        <v>44225.0</v>
      </c>
      <c r="J506" s="65" t="b">
        <v>1</v>
      </c>
      <c r="K506" s="65"/>
      <c r="L506" s="85" t="b">
        <f>IF(VLOOKUP(C506,Projetos!A:L,12,false)=TRUE,TRUE,FALSE)</f>
        <v>1</v>
      </c>
      <c r="M506" s="74">
        <v>31.02923620430495</v>
      </c>
      <c r="N506" s="74">
        <f t="shared" si="1"/>
        <v>31.0292362</v>
      </c>
      <c r="O506" s="74" t="b">
        <v>1</v>
      </c>
    </row>
    <row r="507" hidden="1">
      <c r="A507" s="82"/>
      <c r="B507" s="65" t="s">
        <v>177</v>
      </c>
      <c r="C507" s="65" t="s">
        <v>92</v>
      </c>
      <c r="D507" s="65" t="str">
        <f>vlookup(C507,'Classificação p pessoal'!F:G,2,false)</f>
        <v/>
      </c>
      <c r="E507" s="65" t="s">
        <v>248</v>
      </c>
      <c r="F507" s="83">
        <v>0.5833333333333334</v>
      </c>
      <c r="G507" s="83">
        <v>0.625</v>
      </c>
      <c r="H507" s="83">
        <v>0.041666666666666664</v>
      </c>
      <c r="I507" s="84">
        <v>44225.0</v>
      </c>
      <c r="J507" s="65" t="b">
        <v>1</v>
      </c>
      <c r="K507" s="65"/>
      <c r="L507" s="85" t="b">
        <f>IF(VLOOKUP(C507,Projetos!A:L,12,false)=TRUE,TRUE,FALSE)</f>
        <v>1</v>
      </c>
      <c r="M507" s="74">
        <v>31.02923620430495</v>
      </c>
      <c r="N507" s="74">
        <f t="shared" si="1"/>
        <v>31.0292362</v>
      </c>
      <c r="O507" s="74" t="b">
        <v>1</v>
      </c>
    </row>
    <row r="508" hidden="1">
      <c r="A508" s="82"/>
      <c r="B508" s="65" t="s">
        <v>177</v>
      </c>
      <c r="C508" s="65" t="s">
        <v>92</v>
      </c>
      <c r="D508" s="65" t="str">
        <f>vlookup(C508,'Classificação p pessoal'!F:G,2,false)</f>
        <v/>
      </c>
      <c r="E508" s="65" t="s">
        <v>249</v>
      </c>
      <c r="F508" s="83">
        <v>0.3541666666666667</v>
      </c>
      <c r="G508" s="83">
        <v>0.5416666666666666</v>
      </c>
      <c r="H508" s="83">
        <v>0.1875</v>
      </c>
      <c r="I508" s="84">
        <v>44228.0</v>
      </c>
      <c r="J508" s="65" t="b">
        <v>1</v>
      </c>
      <c r="K508" s="65"/>
      <c r="L508" s="85" t="b">
        <f>IF(VLOOKUP(C508,Projetos!A:L,12,false)=TRUE,TRUE,FALSE)</f>
        <v>1</v>
      </c>
      <c r="M508" s="74">
        <v>31.02923620430495</v>
      </c>
      <c r="N508" s="74">
        <f t="shared" si="1"/>
        <v>139.6315629</v>
      </c>
      <c r="O508" s="74" t="b">
        <v>1</v>
      </c>
    </row>
    <row r="509" hidden="1">
      <c r="A509" s="82"/>
      <c r="B509" s="65" t="s">
        <v>177</v>
      </c>
      <c r="C509" s="65" t="s">
        <v>100</v>
      </c>
      <c r="D509" s="65" t="str">
        <f>vlookup(C509,'Classificação p pessoal'!F:G,2,false)</f>
        <v>NP</v>
      </c>
      <c r="E509" s="65" t="s">
        <v>250</v>
      </c>
      <c r="F509" s="83">
        <v>0.6666666666666666</v>
      </c>
      <c r="G509" s="83">
        <v>0.75</v>
      </c>
      <c r="H509" s="83">
        <v>0.08333333333333333</v>
      </c>
      <c r="I509" s="84">
        <v>44229.0</v>
      </c>
      <c r="J509" s="65" t="b">
        <v>1</v>
      </c>
      <c r="K509" s="65"/>
      <c r="L509" s="85" t="b">
        <f>IF(VLOOKUP(C509,Projetos!A:L,12,false)=TRUE,TRUE,FALSE)</f>
        <v>1</v>
      </c>
      <c r="M509" s="74">
        <v>31.02923620430495</v>
      </c>
      <c r="N509" s="74">
        <f t="shared" si="1"/>
        <v>62.05847241</v>
      </c>
      <c r="O509" s="74" t="b">
        <v>1</v>
      </c>
    </row>
    <row r="510" hidden="1">
      <c r="A510" s="82"/>
      <c r="B510" s="65" t="s">
        <v>177</v>
      </c>
      <c r="C510" s="65" t="s">
        <v>108</v>
      </c>
      <c r="D510" s="65" t="str">
        <f>vlookup(C510,'Classificação p pessoal'!F:G,2,false)</f>
        <v>NP</v>
      </c>
      <c r="E510" s="65" t="s">
        <v>251</v>
      </c>
      <c r="F510" s="83">
        <v>0.625</v>
      </c>
      <c r="G510" s="83">
        <v>0.6666666666666666</v>
      </c>
      <c r="H510" s="83">
        <v>0.041666666666666664</v>
      </c>
      <c r="I510" s="84">
        <v>44229.0</v>
      </c>
      <c r="J510" s="65" t="b">
        <v>1</v>
      </c>
      <c r="K510" s="65"/>
      <c r="L510" s="85" t="b">
        <f>IF(VLOOKUP(C510,Projetos!A:L,12,false)=TRUE,TRUE,FALSE)</f>
        <v>1</v>
      </c>
      <c r="M510" s="74">
        <v>31.02923620430495</v>
      </c>
      <c r="N510" s="74">
        <f t="shared" si="1"/>
        <v>31.0292362</v>
      </c>
      <c r="O510" s="74" t="b">
        <v>1</v>
      </c>
    </row>
    <row r="511" hidden="1">
      <c r="A511" s="82"/>
      <c r="B511" s="65" t="s">
        <v>177</v>
      </c>
      <c r="C511" s="65" t="s">
        <v>92</v>
      </c>
      <c r="D511" s="65" t="str">
        <f>vlookup(C511,'Classificação p pessoal'!F:G,2,false)</f>
        <v/>
      </c>
      <c r="E511" s="65" t="s">
        <v>252</v>
      </c>
      <c r="F511" s="83">
        <v>0.6666666666666666</v>
      </c>
      <c r="G511" s="83">
        <v>0.7083333333333334</v>
      </c>
      <c r="H511" s="83">
        <v>0.041666666666666664</v>
      </c>
      <c r="I511" s="84">
        <v>44229.0</v>
      </c>
      <c r="J511" s="65" t="b">
        <v>1</v>
      </c>
      <c r="K511" s="65"/>
      <c r="L511" s="85" t="b">
        <f>IF(VLOOKUP(C511,Projetos!A:L,12,false)=TRUE,TRUE,FALSE)</f>
        <v>1</v>
      </c>
      <c r="M511" s="74">
        <v>31.02923620430495</v>
      </c>
      <c r="N511" s="74">
        <f t="shared" si="1"/>
        <v>31.0292362</v>
      </c>
      <c r="O511" s="74" t="b">
        <v>1</v>
      </c>
    </row>
    <row r="512" hidden="1">
      <c r="A512" s="82"/>
      <c r="B512" s="65" t="s">
        <v>177</v>
      </c>
      <c r="C512" s="65" t="s">
        <v>92</v>
      </c>
      <c r="D512" s="65" t="str">
        <f>vlookup(C512,'Classificação p pessoal'!F:G,2,false)</f>
        <v/>
      </c>
      <c r="E512" s="65" t="s">
        <v>253</v>
      </c>
      <c r="F512" s="83">
        <v>0.3541666666666667</v>
      </c>
      <c r="G512" s="83">
        <v>0.375</v>
      </c>
      <c r="H512" s="83">
        <v>0.020833333333333332</v>
      </c>
      <c r="I512" s="84">
        <v>44231.0</v>
      </c>
      <c r="J512" s="65" t="b">
        <v>1</v>
      </c>
      <c r="K512" s="65"/>
      <c r="L512" s="85" t="b">
        <f>IF(VLOOKUP(C512,Projetos!A:L,12,false)=TRUE,TRUE,FALSE)</f>
        <v>1</v>
      </c>
      <c r="M512" s="74">
        <v>31.02923620430495</v>
      </c>
      <c r="N512" s="74">
        <f t="shared" si="1"/>
        <v>15.5146181</v>
      </c>
      <c r="O512" s="74" t="b">
        <v>1</v>
      </c>
    </row>
    <row r="513" hidden="1">
      <c r="A513" s="82"/>
      <c r="B513" s="65" t="s">
        <v>177</v>
      </c>
      <c r="C513" s="65" t="s">
        <v>101</v>
      </c>
      <c r="D513" s="65" t="str">
        <f>vlookup(C513,'Classificação p pessoal'!F:G,2,false)</f>
        <v>NP</v>
      </c>
      <c r="E513" s="65" t="s">
        <v>254</v>
      </c>
      <c r="F513" s="83">
        <v>0.5833333333333334</v>
      </c>
      <c r="G513" s="83">
        <v>0.6458333333333334</v>
      </c>
      <c r="H513" s="83">
        <v>0.0625</v>
      </c>
      <c r="I513" s="84">
        <v>44231.0</v>
      </c>
      <c r="J513" s="65" t="b">
        <v>1</v>
      </c>
      <c r="K513" s="65"/>
      <c r="L513" s="85" t="b">
        <f>IF(VLOOKUP(C513,Projetos!A:L,12,false)=TRUE,TRUE,FALSE)</f>
        <v>1</v>
      </c>
      <c r="M513" s="74">
        <v>31.02923620430495</v>
      </c>
      <c r="N513" s="74">
        <f t="shared" si="1"/>
        <v>46.54385431</v>
      </c>
      <c r="O513" s="74" t="b">
        <v>1</v>
      </c>
    </row>
    <row r="514" hidden="1">
      <c r="A514" s="82"/>
      <c r="B514" s="65" t="s">
        <v>177</v>
      </c>
      <c r="C514" s="65" t="s">
        <v>100</v>
      </c>
      <c r="D514" s="65" t="str">
        <f>vlookup(C514,'Classificação p pessoal'!F:G,2,false)</f>
        <v>NP</v>
      </c>
      <c r="E514" s="65" t="s">
        <v>255</v>
      </c>
      <c r="F514" s="83">
        <v>0.3541666666666667</v>
      </c>
      <c r="G514" s="83">
        <v>0.375</v>
      </c>
      <c r="H514" s="83">
        <v>0.020833333333333332</v>
      </c>
      <c r="I514" s="84">
        <v>44232.0</v>
      </c>
      <c r="J514" s="65" t="b">
        <v>1</v>
      </c>
      <c r="K514" s="65"/>
      <c r="L514" s="85" t="b">
        <f>IF(VLOOKUP(C514,Projetos!A:L,12,false)=TRUE,TRUE,FALSE)</f>
        <v>1</v>
      </c>
      <c r="M514" s="74">
        <v>31.02923620430495</v>
      </c>
      <c r="N514" s="74">
        <f t="shared" si="1"/>
        <v>15.5146181</v>
      </c>
      <c r="O514" s="74" t="b">
        <v>1</v>
      </c>
    </row>
    <row r="515" hidden="1">
      <c r="A515" s="82"/>
      <c r="B515" s="65" t="s">
        <v>177</v>
      </c>
      <c r="C515" s="65" t="s">
        <v>108</v>
      </c>
      <c r="D515" s="65" t="str">
        <f>vlookup(C515,'Classificação p pessoal'!F:G,2,false)</f>
        <v>NP</v>
      </c>
      <c r="E515" s="65" t="s">
        <v>256</v>
      </c>
      <c r="F515" s="83">
        <v>0.5833333333333334</v>
      </c>
      <c r="G515" s="83">
        <v>0.625</v>
      </c>
      <c r="H515" s="83">
        <v>0.041666666666666664</v>
      </c>
      <c r="I515" s="84">
        <v>44232.0</v>
      </c>
      <c r="J515" s="65" t="b">
        <v>1</v>
      </c>
      <c r="K515" s="65"/>
      <c r="L515" s="85" t="b">
        <f>IF(VLOOKUP(C515,Projetos!A:L,12,false)=TRUE,TRUE,FALSE)</f>
        <v>1</v>
      </c>
      <c r="M515" s="74">
        <v>31.02923620430495</v>
      </c>
      <c r="N515" s="74">
        <f t="shared" si="1"/>
        <v>31.0292362</v>
      </c>
      <c r="O515" s="74" t="b">
        <v>1</v>
      </c>
    </row>
    <row r="516" hidden="1">
      <c r="A516" s="82"/>
      <c r="B516" s="65" t="s">
        <v>177</v>
      </c>
      <c r="C516" s="65" t="s">
        <v>92</v>
      </c>
      <c r="D516" s="65" t="str">
        <f>vlookup(C516,'Classificação p pessoal'!F:G,2,false)</f>
        <v/>
      </c>
      <c r="E516" s="65" t="s">
        <v>257</v>
      </c>
      <c r="F516" s="83">
        <v>0.625</v>
      </c>
      <c r="G516" s="83">
        <v>0.6875</v>
      </c>
      <c r="H516" s="83">
        <v>0.0625</v>
      </c>
      <c r="I516" s="84">
        <v>44232.0</v>
      </c>
      <c r="J516" s="65" t="b">
        <v>1</v>
      </c>
      <c r="K516" s="65"/>
      <c r="L516" s="85" t="b">
        <f>IF(VLOOKUP(C516,Projetos!A:L,12,false)=TRUE,TRUE,FALSE)</f>
        <v>1</v>
      </c>
      <c r="M516" s="74">
        <v>31.02923620430495</v>
      </c>
      <c r="N516" s="74">
        <f t="shared" si="1"/>
        <v>46.54385431</v>
      </c>
      <c r="O516" s="74" t="b">
        <v>1</v>
      </c>
    </row>
    <row r="517" hidden="1">
      <c r="A517" s="82"/>
      <c r="B517" s="65" t="s">
        <v>177</v>
      </c>
      <c r="C517" s="65" t="s">
        <v>92</v>
      </c>
      <c r="D517" s="65"/>
      <c r="E517" s="65" t="s">
        <v>258</v>
      </c>
      <c r="F517" s="83">
        <v>0.3541666666666667</v>
      </c>
      <c r="G517" s="83">
        <v>0.375</v>
      </c>
      <c r="H517" s="83">
        <v>0.020833333333333332</v>
      </c>
      <c r="I517" s="84">
        <v>44235.0</v>
      </c>
      <c r="J517" s="65" t="b">
        <v>0</v>
      </c>
      <c r="K517" s="65" t="s">
        <v>150</v>
      </c>
      <c r="L517" s="85" t="b">
        <f>IF(VLOOKUP(C517,Projetos!A:L,12,false)=TRUE,TRUE,FALSE)</f>
        <v>1</v>
      </c>
      <c r="M517" s="74">
        <v>31.02923620430495</v>
      </c>
      <c r="N517" s="74">
        <f t="shared" si="1"/>
        <v>0</v>
      </c>
      <c r="O517" s="74" t="b">
        <v>1</v>
      </c>
    </row>
    <row r="518" hidden="1">
      <c r="A518" s="82"/>
      <c r="B518" s="65" t="s">
        <v>177</v>
      </c>
      <c r="C518" s="65" t="s">
        <v>100</v>
      </c>
      <c r="D518" s="65" t="str">
        <f>vlookup(C518,'Classificação p pessoal'!F:G,2,false)</f>
        <v>NP</v>
      </c>
      <c r="E518" s="65" t="s">
        <v>259</v>
      </c>
      <c r="F518" s="83">
        <v>0.3541666666666667</v>
      </c>
      <c r="G518" s="83">
        <v>0.375</v>
      </c>
      <c r="H518" s="83">
        <v>0.020833333333333332</v>
      </c>
      <c r="I518" s="84">
        <v>44236.0</v>
      </c>
      <c r="J518" s="65" t="b">
        <v>1</v>
      </c>
      <c r="K518" s="65"/>
      <c r="L518" s="85" t="b">
        <f>IF(VLOOKUP(C518,Projetos!A:L,12,false)=TRUE,TRUE,FALSE)</f>
        <v>1</v>
      </c>
      <c r="M518" s="74">
        <v>31.02923620430495</v>
      </c>
      <c r="N518" s="74">
        <f t="shared" si="1"/>
        <v>15.5146181</v>
      </c>
      <c r="O518" s="74" t="b">
        <v>1</v>
      </c>
    </row>
    <row r="519" hidden="1">
      <c r="A519" s="82"/>
      <c r="B519" s="65" t="s">
        <v>177</v>
      </c>
      <c r="C519" s="65" t="s">
        <v>92</v>
      </c>
      <c r="D519" s="65" t="str">
        <f>vlookup(C519,'Classificação p pessoal'!F:G,2,false)</f>
        <v/>
      </c>
      <c r="E519" s="65" t="s">
        <v>223</v>
      </c>
      <c r="F519" s="83">
        <v>0.375</v>
      </c>
      <c r="G519" s="83">
        <v>0.3958333333333333</v>
      </c>
      <c r="H519" s="83">
        <v>0.020833333333333332</v>
      </c>
      <c r="I519" s="84">
        <v>44236.0</v>
      </c>
      <c r="J519" s="65" t="b">
        <v>1</v>
      </c>
      <c r="K519" s="65"/>
      <c r="L519" s="85" t="b">
        <f>IF(VLOOKUP(C519,Projetos!A:L,12,false)=TRUE,TRUE,FALSE)</f>
        <v>1</v>
      </c>
      <c r="M519" s="74">
        <v>31.02923620430495</v>
      </c>
      <c r="N519" s="74">
        <f t="shared" si="1"/>
        <v>15.5146181</v>
      </c>
      <c r="O519" s="74" t="b">
        <v>1</v>
      </c>
    </row>
    <row r="520" hidden="1">
      <c r="A520" s="82"/>
      <c r="B520" s="65" t="s">
        <v>177</v>
      </c>
      <c r="C520" s="65" t="s">
        <v>108</v>
      </c>
      <c r="D520" s="65" t="str">
        <f>vlookup(C520,'Classificação p pessoal'!F:G,2,false)</f>
        <v>NP</v>
      </c>
      <c r="E520" s="65" t="s">
        <v>260</v>
      </c>
      <c r="F520" s="83">
        <v>0.5833333333333334</v>
      </c>
      <c r="G520" s="83">
        <v>0.625</v>
      </c>
      <c r="H520" s="83">
        <v>0.041666666666666664</v>
      </c>
      <c r="I520" s="84">
        <v>44237.0</v>
      </c>
      <c r="J520" s="65" t="b">
        <v>1</v>
      </c>
      <c r="K520" s="65"/>
      <c r="L520" s="85" t="b">
        <f>IF(VLOOKUP(C520,Projetos!A:L,12,false)=TRUE,TRUE,FALSE)</f>
        <v>1</v>
      </c>
      <c r="M520" s="74">
        <v>31.02923620430495</v>
      </c>
      <c r="N520" s="74">
        <f t="shared" si="1"/>
        <v>31.0292362</v>
      </c>
      <c r="O520" s="74" t="b">
        <v>1</v>
      </c>
    </row>
    <row r="521" hidden="1">
      <c r="A521" s="82"/>
      <c r="B521" s="65" t="s">
        <v>177</v>
      </c>
      <c r="C521" s="65" t="s">
        <v>108</v>
      </c>
      <c r="D521" s="65" t="str">
        <f>vlookup(C521,'Classificação p pessoal'!F:G,2,false)</f>
        <v>NP</v>
      </c>
      <c r="E521" s="65" t="s">
        <v>261</v>
      </c>
      <c r="F521" s="83">
        <v>0.3541666666666667</v>
      </c>
      <c r="G521" s="83">
        <v>0.4791666666666667</v>
      </c>
      <c r="H521" s="83">
        <v>0.125</v>
      </c>
      <c r="I521" s="84">
        <v>44239.0</v>
      </c>
      <c r="J521" s="65" t="b">
        <v>1</v>
      </c>
      <c r="K521" s="65"/>
      <c r="L521" s="85" t="b">
        <f>IF(VLOOKUP(C521,Projetos!A:L,12,false)=TRUE,TRUE,FALSE)</f>
        <v>1</v>
      </c>
      <c r="M521" s="74">
        <v>31.02923620430495</v>
      </c>
      <c r="N521" s="74">
        <f t="shared" si="1"/>
        <v>93.08770861</v>
      </c>
      <c r="O521" s="74" t="b">
        <v>1</v>
      </c>
    </row>
    <row r="522" hidden="1">
      <c r="A522" s="82"/>
      <c r="B522" s="65" t="s">
        <v>177</v>
      </c>
      <c r="C522" s="65" t="s">
        <v>101</v>
      </c>
      <c r="D522" s="65" t="str">
        <f>vlookup(C522,'Classificação p pessoal'!F:G,2,false)</f>
        <v>NP</v>
      </c>
      <c r="E522" s="65" t="s">
        <v>262</v>
      </c>
      <c r="F522" s="83">
        <v>0.5833333333333334</v>
      </c>
      <c r="G522" s="83">
        <v>0.625</v>
      </c>
      <c r="H522" s="83">
        <v>0.041666666666666664</v>
      </c>
      <c r="I522" s="84">
        <v>44239.0</v>
      </c>
      <c r="J522" s="65" t="b">
        <v>1</v>
      </c>
      <c r="K522" s="65"/>
      <c r="L522" s="85" t="b">
        <f>IF(VLOOKUP(C522,Projetos!A:L,12,false)=TRUE,TRUE,FALSE)</f>
        <v>1</v>
      </c>
      <c r="M522" s="74">
        <v>31.02923620430495</v>
      </c>
      <c r="N522" s="74">
        <f t="shared" si="1"/>
        <v>31.0292362</v>
      </c>
      <c r="O522" s="74" t="b">
        <v>1</v>
      </c>
    </row>
    <row r="523" hidden="1">
      <c r="A523" s="82"/>
      <c r="B523" s="65" t="s">
        <v>177</v>
      </c>
      <c r="C523" s="65" t="s">
        <v>92</v>
      </c>
      <c r="D523" s="65" t="str">
        <f>vlookup(C523,'Classificação p pessoal'!F:G,2,false)</f>
        <v/>
      </c>
      <c r="E523" s="65" t="s">
        <v>223</v>
      </c>
      <c r="F523" s="83">
        <v>0.5416666666666666</v>
      </c>
      <c r="G523" s="83">
        <v>0.6041666666666666</v>
      </c>
      <c r="H523" s="83">
        <v>0.0625</v>
      </c>
      <c r="I523" s="84">
        <v>44244.0</v>
      </c>
      <c r="J523" s="65" t="b">
        <v>1</v>
      </c>
      <c r="K523" s="65"/>
      <c r="L523" s="85" t="b">
        <f>IF(VLOOKUP(C523,Projetos!A:L,12,false)=TRUE,TRUE,FALSE)</f>
        <v>1</v>
      </c>
      <c r="M523" s="74">
        <v>31.02923620430495</v>
      </c>
      <c r="N523" s="74">
        <f t="shared" si="1"/>
        <v>46.54385431</v>
      </c>
      <c r="O523" s="74" t="b">
        <v>1</v>
      </c>
    </row>
    <row r="524" hidden="1">
      <c r="A524" s="82"/>
      <c r="B524" s="65" t="s">
        <v>177</v>
      </c>
      <c r="C524" s="65" t="s">
        <v>120</v>
      </c>
      <c r="D524" s="65"/>
      <c r="E524" s="65" t="s">
        <v>263</v>
      </c>
      <c r="F524" s="83">
        <v>0.4583333333333333</v>
      </c>
      <c r="G524" s="83">
        <v>0.5</v>
      </c>
      <c r="H524" s="83">
        <v>0.041666666666666664</v>
      </c>
      <c r="I524" s="84">
        <v>44245.0</v>
      </c>
      <c r="J524" s="65" t="b">
        <v>0</v>
      </c>
      <c r="K524" s="65" t="s">
        <v>150</v>
      </c>
      <c r="L524" s="85" t="b">
        <f>IF(VLOOKUP(C524,Projetos!A:L,12,false)=TRUE,TRUE,FALSE)</f>
        <v>0</v>
      </c>
      <c r="M524" s="74">
        <v>31.02923620430495</v>
      </c>
      <c r="N524" s="74">
        <f t="shared" si="1"/>
        <v>0</v>
      </c>
      <c r="O524" s="74" t="b">
        <v>0</v>
      </c>
    </row>
    <row r="525" hidden="1">
      <c r="A525" s="82"/>
      <c r="B525" s="65" t="s">
        <v>177</v>
      </c>
      <c r="C525" s="65" t="s">
        <v>106</v>
      </c>
      <c r="D525" s="65" t="str">
        <f>vlookup(C525,'Classificação p pessoal'!F:G,2,false)</f>
        <v>MProcesso</v>
      </c>
      <c r="E525" s="65" t="s">
        <v>264</v>
      </c>
      <c r="F525" s="83">
        <v>0.7083333333333334</v>
      </c>
      <c r="G525" s="83">
        <v>0.75</v>
      </c>
      <c r="H525" s="83">
        <v>0.041666666666666664</v>
      </c>
      <c r="I525" s="84">
        <v>44245.0</v>
      </c>
      <c r="J525" s="65" t="b">
        <v>1</v>
      </c>
      <c r="K525" s="65"/>
      <c r="L525" s="85" t="b">
        <f>IF(VLOOKUP(C525,Projetos!A:L,12,false)=TRUE,TRUE,FALSE)</f>
        <v>1</v>
      </c>
      <c r="M525" s="74">
        <v>31.02923620430495</v>
      </c>
      <c r="N525" s="74">
        <f t="shared" si="1"/>
        <v>31.0292362</v>
      </c>
      <c r="O525" s="74" t="b">
        <v>1</v>
      </c>
    </row>
    <row r="526" hidden="1">
      <c r="A526" s="82"/>
      <c r="B526" s="65" t="s">
        <v>177</v>
      </c>
      <c r="C526" s="65" t="s">
        <v>108</v>
      </c>
      <c r="D526" s="65" t="str">
        <f>vlookup(C526,'Classificação p pessoal'!F:G,2,false)</f>
        <v>NP</v>
      </c>
      <c r="E526" s="65" t="s">
        <v>265</v>
      </c>
      <c r="F526" s="83">
        <v>0.7083333333333334</v>
      </c>
      <c r="G526" s="83">
        <v>0.75</v>
      </c>
      <c r="H526" s="83">
        <v>0.041666666666666664</v>
      </c>
      <c r="I526" s="84">
        <v>44246.0</v>
      </c>
      <c r="J526" s="65" t="b">
        <v>1</v>
      </c>
      <c r="K526" s="65"/>
      <c r="L526" s="85" t="b">
        <f>IF(VLOOKUP(C526,Projetos!A:L,12,false)=TRUE,TRUE,FALSE)</f>
        <v>1</v>
      </c>
      <c r="M526" s="74">
        <v>31.02923620430495</v>
      </c>
      <c r="N526" s="74">
        <f t="shared" si="1"/>
        <v>31.0292362</v>
      </c>
      <c r="O526" s="74" t="b">
        <v>1</v>
      </c>
    </row>
    <row r="527" hidden="1">
      <c r="A527" s="82"/>
      <c r="B527" s="65" t="s">
        <v>177</v>
      </c>
      <c r="C527" s="65" t="s">
        <v>101</v>
      </c>
      <c r="D527" s="65" t="str">
        <f>vlookup(C527,'Classificação p pessoal'!F:G,2,false)</f>
        <v>NP</v>
      </c>
      <c r="E527" s="65" t="s">
        <v>266</v>
      </c>
      <c r="F527" s="83">
        <v>0.375</v>
      </c>
      <c r="G527" s="83">
        <v>0.5</v>
      </c>
      <c r="H527" s="83">
        <v>0.125</v>
      </c>
      <c r="I527" s="84">
        <v>44246.0</v>
      </c>
      <c r="J527" s="65" t="b">
        <v>1</v>
      </c>
      <c r="K527" s="65"/>
      <c r="L527" s="85" t="b">
        <f>IF(VLOOKUP(C527,Projetos!A:L,12,false)=TRUE,TRUE,FALSE)</f>
        <v>1</v>
      </c>
      <c r="M527" s="74">
        <v>31.02923620430495</v>
      </c>
      <c r="N527" s="74">
        <f t="shared" si="1"/>
        <v>93.08770861</v>
      </c>
      <c r="O527" s="74" t="b">
        <v>1</v>
      </c>
    </row>
    <row r="528" hidden="1">
      <c r="A528" s="82"/>
      <c r="B528" s="65" t="s">
        <v>177</v>
      </c>
      <c r="C528" s="65" t="s">
        <v>118</v>
      </c>
      <c r="D528" s="65" t="str">
        <f>vlookup(C528,'Classificação p pessoal'!F:G,2,false)</f>
        <v>MProduto</v>
      </c>
      <c r="E528" s="65" t="s">
        <v>267</v>
      </c>
      <c r="F528" s="83">
        <v>0.5833333333333334</v>
      </c>
      <c r="G528" s="83">
        <v>0.6041666666666666</v>
      </c>
      <c r="H528" s="83">
        <v>0.020833333333333332</v>
      </c>
      <c r="I528" s="84">
        <v>44246.0</v>
      </c>
      <c r="J528" s="65" t="b">
        <v>1</v>
      </c>
      <c r="K528" s="65"/>
      <c r="L528" s="85" t="b">
        <f>IF(VLOOKUP(C528,Projetos!A:L,12,false)=TRUE,TRUE,FALSE)</f>
        <v>1</v>
      </c>
      <c r="M528" s="74">
        <v>31.02923620430495</v>
      </c>
      <c r="N528" s="74">
        <f t="shared" si="1"/>
        <v>15.5146181</v>
      </c>
      <c r="O528" s="74" t="b">
        <v>1</v>
      </c>
    </row>
    <row r="529" hidden="1">
      <c r="A529" s="82"/>
      <c r="B529" s="65" t="s">
        <v>177</v>
      </c>
      <c r="C529" s="65" t="s">
        <v>108</v>
      </c>
      <c r="D529" s="65"/>
      <c r="E529" s="65" t="s">
        <v>268</v>
      </c>
      <c r="F529" s="83">
        <v>0.3541666666666667</v>
      </c>
      <c r="G529" s="83">
        <v>0.375</v>
      </c>
      <c r="H529" s="83">
        <v>0.020833333333333332</v>
      </c>
      <c r="I529" s="84">
        <v>44249.0</v>
      </c>
      <c r="J529" s="65" t="b">
        <v>0</v>
      </c>
      <c r="K529" s="65" t="s">
        <v>150</v>
      </c>
      <c r="L529" s="85" t="b">
        <f>IF(VLOOKUP(C529,Projetos!A:L,12,false)=TRUE,TRUE,FALSE)</f>
        <v>1</v>
      </c>
      <c r="M529" s="74">
        <v>31.02923620430495</v>
      </c>
      <c r="N529" s="74">
        <f t="shared" si="1"/>
        <v>0</v>
      </c>
      <c r="O529" s="74" t="b">
        <v>1</v>
      </c>
    </row>
    <row r="530" hidden="1">
      <c r="A530" s="82"/>
      <c r="B530" s="65" t="s">
        <v>177</v>
      </c>
      <c r="C530" s="65" t="s">
        <v>108</v>
      </c>
      <c r="D530" s="65" t="str">
        <f>vlookup(C530,'Classificação p pessoal'!F:G,2,false)</f>
        <v>NP</v>
      </c>
      <c r="E530" s="65" t="s">
        <v>269</v>
      </c>
      <c r="F530" s="83">
        <v>0.375</v>
      </c>
      <c r="G530" s="83">
        <v>0.3958333333333333</v>
      </c>
      <c r="H530" s="83">
        <v>0.020833333333333332</v>
      </c>
      <c r="I530" s="84">
        <v>44249.0</v>
      </c>
      <c r="J530" s="65" t="b">
        <v>1</v>
      </c>
      <c r="K530" s="65"/>
      <c r="L530" s="85" t="b">
        <f>IF(VLOOKUP(C530,Projetos!A:L,12,false)=TRUE,TRUE,FALSE)</f>
        <v>1</v>
      </c>
      <c r="M530" s="74">
        <v>31.02923620430495</v>
      </c>
      <c r="N530" s="74">
        <f t="shared" si="1"/>
        <v>15.5146181</v>
      </c>
      <c r="O530" s="74" t="b">
        <v>1</v>
      </c>
    </row>
    <row r="531" hidden="1">
      <c r="A531" s="82"/>
      <c r="B531" s="65" t="s">
        <v>177</v>
      </c>
      <c r="C531" s="65" t="s">
        <v>118</v>
      </c>
      <c r="D531" s="65"/>
      <c r="E531" s="65" t="s">
        <v>270</v>
      </c>
      <c r="F531" s="83">
        <v>0.4166666666666667</v>
      </c>
      <c r="G531" s="83">
        <v>0.5416666666666666</v>
      </c>
      <c r="H531" s="83">
        <v>0.125</v>
      </c>
      <c r="I531" s="84">
        <v>44249.0</v>
      </c>
      <c r="J531" s="65" t="b">
        <v>0</v>
      </c>
      <c r="K531" s="65" t="s">
        <v>150</v>
      </c>
      <c r="L531" s="85" t="b">
        <f>IF(VLOOKUP(C531,Projetos!A:L,12,false)=TRUE,TRUE,FALSE)</f>
        <v>1</v>
      </c>
      <c r="M531" s="74">
        <v>31.02923620430495</v>
      </c>
      <c r="N531" s="74">
        <f t="shared" si="1"/>
        <v>0</v>
      </c>
      <c r="O531" s="74" t="b">
        <v>1</v>
      </c>
    </row>
    <row r="532" hidden="1">
      <c r="A532" s="82"/>
      <c r="B532" s="65" t="s">
        <v>177</v>
      </c>
      <c r="C532" s="65" t="s">
        <v>100</v>
      </c>
      <c r="D532" s="65"/>
      <c r="E532" s="65" t="s">
        <v>270</v>
      </c>
      <c r="F532" s="83">
        <v>0.5416666666666666</v>
      </c>
      <c r="G532" s="83">
        <v>0.5833333333333334</v>
      </c>
      <c r="H532" s="83">
        <v>0.041666666666666664</v>
      </c>
      <c r="I532" s="84">
        <v>44249.0</v>
      </c>
      <c r="J532" s="65" t="b">
        <v>0</v>
      </c>
      <c r="K532" s="65" t="s">
        <v>150</v>
      </c>
      <c r="L532" s="85" t="b">
        <f>IF(VLOOKUP(C532,Projetos!A:L,12,false)=TRUE,TRUE,FALSE)</f>
        <v>1</v>
      </c>
      <c r="M532" s="74">
        <v>31.02923620430495</v>
      </c>
      <c r="N532" s="74">
        <f t="shared" si="1"/>
        <v>0</v>
      </c>
      <c r="O532" s="74" t="b">
        <v>1</v>
      </c>
    </row>
    <row r="533" hidden="1">
      <c r="A533" s="82"/>
      <c r="B533" s="65" t="s">
        <v>177</v>
      </c>
      <c r="C533" s="65" t="s">
        <v>100</v>
      </c>
      <c r="D533" s="65"/>
      <c r="E533" s="65" t="s">
        <v>271</v>
      </c>
      <c r="F533" s="83">
        <v>0.4166666666666667</v>
      </c>
      <c r="G533" s="83">
        <v>0.4791666666666667</v>
      </c>
      <c r="H533" s="83">
        <v>0.0625</v>
      </c>
      <c r="I533" s="84">
        <v>44250.0</v>
      </c>
      <c r="J533" s="65" t="b">
        <v>0</v>
      </c>
      <c r="K533" s="65" t="s">
        <v>150</v>
      </c>
      <c r="L533" s="85" t="b">
        <f>IF(VLOOKUP(C533,Projetos!A:L,12,false)=TRUE,TRUE,FALSE)</f>
        <v>1</v>
      </c>
      <c r="M533" s="74">
        <v>31.02923620430495</v>
      </c>
      <c r="N533" s="74">
        <f t="shared" si="1"/>
        <v>0</v>
      </c>
      <c r="O533" s="74" t="b">
        <v>1</v>
      </c>
    </row>
    <row r="534" hidden="1">
      <c r="A534" s="82"/>
      <c r="B534" s="65" t="s">
        <v>177</v>
      </c>
      <c r="C534" s="65" t="s">
        <v>108</v>
      </c>
      <c r="D534" s="65" t="str">
        <f>vlookup(C534,'Classificação p pessoal'!F:G,2,false)</f>
        <v>NP</v>
      </c>
      <c r="E534" s="65" t="s">
        <v>272</v>
      </c>
      <c r="F534" s="83">
        <v>0.5833333333333334</v>
      </c>
      <c r="G534" s="83">
        <v>0.7083333333333334</v>
      </c>
      <c r="H534" s="83">
        <v>0.125</v>
      </c>
      <c r="I534" s="84">
        <v>44251.0</v>
      </c>
      <c r="J534" s="65" t="b">
        <v>1</v>
      </c>
      <c r="K534" s="65"/>
      <c r="L534" s="85" t="b">
        <f>IF(VLOOKUP(C534,Projetos!A:L,12,false)=TRUE,TRUE,FALSE)</f>
        <v>1</v>
      </c>
      <c r="M534" s="74">
        <v>31.02923620430495</v>
      </c>
      <c r="N534" s="74">
        <f t="shared" si="1"/>
        <v>93.08770861</v>
      </c>
      <c r="O534" s="74" t="b">
        <v>1</v>
      </c>
    </row>
    <row r="535" hidden="1">
      <c r="A535" s="82"/>
      <c r="B535" s="65" t="s">
        <v>177</v>
      </c>
      <c r="C535" s="65" t="s">
        <v>108</v>
      </c>
      <c r="D535" s="65" t="str">
        <f>vlookup(C535,'Classificação p pessoal'!F:G,2,false)</f>
        <v>NP</v>
      </c>
      <c r="E535" s="65" t="s">
        <v>273</v>
      </c>
      <c r="F535" s="83">
        <v>0.7083333333333334</v>
      </c>
      <c r="G535" s="83">
        <v>0.7291666666666666</v>
      </c>
      <c r="H535" s="83">
        <v>0.020833333333333332</v>
      </c>
      <c r="I535" s="84">
        <v>44251.0</v>
      </c>
      <c r="J535" s="65" t="b">
        <v>1</v>
      </c>
      <c r="K535" s="65"/>
      <c r="L535" s="85" t="b">
        <f>IF(VLOOKUP(C535,Projetos!A:L,12,false)=TRUE,TRUE,FALSE)</f>
        <v>1</v>
      </c>
      <c r="M535" s="74">
        <v>31.02923620430495</v>
      </c>
      <c r="N535" s="74">
        <f t="shared" si="1"/>
        <v>15.5146181</v>
      </c>
      <c r="O535" s="74" t="b">
        <v>1</v>
      </c>
    </row>
    <row r="536" hidden="1">
      <c r="A536" s="82"/>
      <c r="B536" s="65" t="s">
        <v>177</v>
      </c>
      <c r="C536" s="65" t="s">
        <v>106</v>
      </c>
      <c r="D536" s="65" t="str">
        <f>vlookup(C536,'Classificação p pessoal'!F:G,2,false)</f>
        <v>MProcesso</v>
      </c>
      <c r="E536" s="65" t="s">
        <v>274</v>
      </c>
      <c r="F536" s="83">
        <v>0.375</v>
      </c>
      <c r="G536" s="83">
        <v>0.3958333333333333</v>
      </c>
      <c r="H536" s="83">
        <v>0.020833333333333332</v>
      </c>
      <c r="I536" s="84">
        <v>44252.0</v>
      </c>
      <c r="J536" s="65" t="b">
        <v>1</v>
      </c>
      <c r="K536" s="65"/>
      <c r="L536" s="85" t="b">
        <f>IF(VLOOKUP(C536,Projetos!A:L,12,false)=TRUE,TRUE,FALSE)</f>
        <v>1</v>
      </c>
      <c r="M536" s="74">
        <v>31.02923620430495</v>
      </c>
      <c r="N536" s="74">
        <f t="shared" si="1"/>
        <v>15.5146181</v>
      </c>
      <c r="O536" s="74" t="b">
        <v>1</v>
      </c>
    </row>
    <row r="537" hidden="1">
      <c r="A537" s="82"/>
      <c r="B537" s="65" t="s">
        <v>177</v>
      </c>
      <c r="C537" s="65" t="s">
        <v>106</v>
      </c>
      <c r="D537" s="65" t="str">
        <f>vlookup(C537,'Classificação p pessoal'!F:G,2,false)</f>
        <v>MProcesso</v>
      </c>
      <c r="E537" s="65" t="s">
        <v>275</v>
      </c>
      <c r="F537" s="83">
        <v>0.3958333333333333</v>
      </c>
      <c r="G537" s="83">
        <v>0.4375</v>
      </c>
      <c r="H537" s="83">
        <v>0.041666666666666664</v>
      </c>
      <c r="I537" s="84">
        <v>44252.0</v>
      </c>
      <c r="J537" s="65" t="b">
        <v>1</v>
      </c>
      <c r="K537" s="65"/>
      <c r="L537" s="85" t="b">
        <f>IF(VLOOKUP(C537,Projetos!A:L,12,false)=TRUE,TRUE,FALSE)</f>
        <v>1</v>
      </c>
      <c r="M537" s="74">
        <v>31.02923620430495</v>
      </c>
      <c r="N537" s="74">
        <f t="shared" si="1"/>
        <v>31.0292362</v>
      </c>
      <c r="O537" s="74" t="b">
        <v>1</v>
      </c>
    </row>
    <row r="538" hidden="1">
      <c r="A538" s="82"/>
      <c r="B538" s="65" t="s">
        <v>177</v>
      </c>
      <c r="C538" s="65" t="s">
        <v>106</v>
      </c>
      <c r="D538" s="65" t="str">
        <f>vlookup(C538,'Classificação p pessoal'!F:G,2,false)</f>
        <v>MProcesso</v>
      </c>
      <c r="E538" s="65" t="s">
        <v>276</v>
      </c>
      <c r="F538" s="83">
        <v>0.4375</v>
      </c>
      <c r="G538" s="83">
        <v>0.5</v>
      </c>
      <c r="H538" s="83">
        <v>0.0625</v>
      </c>
      <c r="I538" s="84">
        <v>44252.0</v>
      </c>
      <c r="J538" s="65" t="b">
        <v>1</v>
      </c>
      <c r="K538" s="65"/>
      <c r="L538" s="85" t="b">
        <f>IF(VLOOKUP(C538,Projetos!A:L,12,false)=TRUE,TRUE,FALSE)</f>
        <v>1</v>
      </c>
      <c r="M538" s="74">
        <v>31.02923620430495</v>
      </c>
      <c r="N538" s="74">
        <f t="shared" si="1"/>
        <v>46.54385431</v>
      </c>
      <c r="O538" s="74" t="b">
        <v>1</v>
      </c>
    </row>
    <row r="539" hidden="1">
      <c r="A539" s="82"/>
      <c r="B539" s="65" t="s">
        <v>177</v>
      </c>
      <c r="C539" s="65" t="s">
        <v>100</v>
      </c>
      <c r="D539" s="65" t="str">
        <f>vlookup(C539,'Classificação p pessoal'!F:G,2,false)</f>
        <v>NP</v>
      </c>
      <c r="E539" s="65" t="s">
        <v>277</v>
      </c>
      <c r="F539" s="83">
        <v>0.3541666666666667</v>
      </c>
      <c r="G539" s="83">
        <v>0.3958333333333333</v>
      </c>
      <c r="H539" s="83">
        <v>0.041666666666666664</v>
      </c>
      <c r="I539" s="84">
        <v>44253.0</v>
      </c>
      <c r="J539" s="65" t="b">
        <v>1</v>
      </c>
      <c r="K539" s="65"/>
      <c r="L539" s="85" t="b">
        <f>IF(VLOOKUP(C539,Projetos!A:L,12,false)=TRUE,TRUE,FALSE)</f>
        <v>1</v>
      </c>
      <c r="M539" s="74">
        <v>31.02923620430495</v>
      </c>
      <c r="N539" s="74">
        <f t="shared" si="1"/>
        <v>31.0292362</v>
      </c>
      <c r="O539" s="74" t="b">
        <v>1</v>
      </c>
    </row>
    <row r="540" hidden="1">
      <c r="A540" s="82"/>
      <c r="B540" s="65" t="s">
        <v>177</v>
      </c>
      <c r="C540" s="65" t="s">
        <v>108</v>
      </c>
      <c r="D540" s="65" t="str">
        <f>vlookup(C540,'Classificação p pessoal'!F:G,2,false)</f>
        <v>NP</v>
      </c>
      <c r="E540" s="65" t="s">
        <v>278</v>
      </c>
      <c r="F540" s="83">
        <v>0.3958333333333333</v>
      </c>
      <c r="G540" s="83">
        <v>0.4583333333333333</v>
      </c>
      <c r="H540" s="83">
        <v>0.0625</v>
      </c>
      <c r="I540" s="84">
        <v>44253.0</v>
      </c>
      <c r="J540" s="65" t="b">
        <v>1</v>
      </c>
      <c r="K540" s="65"/>
      <c r="L540" s="85" t="b">
        <f>IF(VLOOKUP(C540,Projetos!A:L,12,false)=TRUE,TRUE,FALSE)</f>
        <v>1</v>
      </c>
      <c r="M540" s="74">
        <v>31.02923620430495</v>
      </c>
      <c r="N540" s="74">
        <f t="shared" si="1"/>
        <v>46.54385431</v>
      </c>
      <c r="O540" s="74" t="b">
        <v>1</v>
      </c>
    </row>
    <row r="541" hidden="1">
      <c r="A541" s="82"/>
      <c r="B541" s="65" t="s">
        <v>177</v>
      </c>
      <c r="C541" s="65" t="s">
        <v>101</v>
      </c>
      <c r="D541" s="65" t="str">
        <f>vlookup(C541,'Classificação p pessoal'!F:G,2,false)</f>
        <v>NP</v>
      </c>
      <c r="E541" s="65" t="s">
        <v>279</v>
      </c>
      <c r="F541" s="83">
        <v>0.6458333333333334</v>
      </c>
      <c r="G541" s="83">
        <v>0.7083333333333334</v>
      </c>
      <c r="H541" s="83">
        <v>0.0625</v>
      </c>
      <c r="I541" s="84">
        <v>44253.0</v>
      </c>
      <c r="J541" s="65" t="b">
        <v>1</v>
      </c>
      <c r="K541" s="65"/>
      <c r="L541" s="85" t="b">
        <f>IF(VLOOKUP(C541,Projetos!A:L,12,false)=TRUE,TRUE,FALSE)</f>
        <v>1</v>
      </c>
      <c r="M541" s="74">
        <v>31.02923620430495</v>
      </c>
      <c r="N541" s="74">
        <f t="shared" si="1"/>
        <v>46.54385431</v>
      </c>
      <c r="O541" s="74" t="b">
        <v>1</v>
      </c>
    </row>
    <row r="542" hidden="1">
      <c r="A542" s="82"/>
      <c r="B542" s="65" t="s">
        <v>177</v>
      </c>
      <c r="C542" s="65" t="s">
        <v>108</v>
      </c>
      <c r="D542" s="65" t="str">
        <f>vlookup(C542,'Classificação p pessoal'!F:G,2,false)</f>
        <v>NP</v>
      </c>
      <c r="E542" s="65" t="s">
        <v>280</v>
      </c>
      <c r="F542" s="83">
        <v>0.3541666666666667</v>
      </c>
      <c r="G542" s="83">
        <v>0.375</v>
      </c>
      <c r="H542" s="83">
        <v>0.020833333333333332</v>
      </c>
      <c r="I542" s="84">
        <v>44256.0</v>
      </c>
      <c r="J542" s="65" t="b">
        <v>1</v>
      </c>
      <c r="K542" s="65"/>
      <c r="L542" s="85" t="b">
        <f>IF(VLOOKUP(C542,Projetos!A:L,12,false)=TRUE,TRUE,FALSE)</f>
        <v>1</v>
      </c>
      <c r="M542" s="74">
        <v>31.02923620430495</v>
      </c>
      <c r="N542" s="74">
        <f t="shared" si="1"/>
        <v>15.5146181</v>
      </c>
      <c r="O542" s="74" t="b">
        <v>1</v>
      </c>
    </row>
    <row r="543" hidden="1">
      <c r="A543" s="82"/>
      <c r="B543" s="65" t="s">
        <v>177</v>
      </c>
      <c r="C543" s="65" t="s">
        <v>101</v>
      </c>
      <c r="D543" s="65" t="str">
        <f>vlookup(C543,'Classificação p pessoal'!F:G,2,false)</f>
        <v>NP</v>
      </c>
      <c r="E543" s="65" t="s">
        <v>281</v>
      </c>
      <c r="F543" s="83">
        <v>0.375</v>
      </c>
      <c r="G543" s="83">
        <v>0.4166666666666667</v>
      </c>
      <c r="H543" s="83">
        <v>0.041666666666666664</v>
      </c>
      <c r="I543" s="84">
        <v>44256.0</v>
      </c>
      <c r="J543" s="65" t="b">
        <v>1</v>
      </c>
      <c r="K543" s="65"/>
      <c r="L543" s="85" t="b">
        <f>IF(VLOOKUP(C543,Projetos!A:L,12,false)=TRUE,TRUE,FALSE)</f>
        <v>1</v>
      </c>
      <c r="M543" s="74">
        <v>31.02923620430495</v>
      </c>
      <c r="N543" s="74">
        <f t="shared" si="1"/>
        <v>31.0292362</v>
      </c>
      <c r="O543" s="74" t="b">
        <v>1</v>
      </c>
    </row>
    <row r="544" hidden="1">
      <c r="A544" s="82"/>
      <c r="B544" s="65" t="s">
        <v>177</v>
      </c>
      <c r="C544" s="65" t="s">
        <v>108</v>
      </c>
      <c r="D544" s="65" t="str">
        <f>vlookup(C544,'Classificação p pessoal'!F:G,2,false)</f>
        <v>NP</v>
      </c>
      <c r="E544" s="65" t="s">
        <v>282</v>
      </c>
      <c r="F544" s="83">
        <v>0.4166666666666667</v>
      </c>
      <c r="G544" s="83">
        <v>0.4375</v>
      </c>
      <c r="H544" s="83">
        <v>0.020833333333333332</v>
      </c>
      <c r="I544" s="84">
        <v>44256.0</v>
      </c>
      <c r="J544" s="65" t="b">
        <v>1</v>
      </c>
      <c r="K544" s="65"/>
      <c r="L544" s="85" t="b">
        <f>IF(VLOOKUP(C544,Projetos!A:L,12,false)=TRUE,TRUE,FALSE)</f>
        <v>1</v>
      </c>
      <c r="M544" s="74">
        <v>31.02923620430495</v>
      </c>
      <c r="N544" s="74">
        <f t="shared" si="1"/>
        <v>15.5146181</v>
      </c>
      <c r="O544" s="74" t="b">
        <v>1</v>
      </c>
    </row>
    <row r="545" hidden="1">
      <c r="A545" s="82"/>
      <c r="B545" s="65" t="s">
        <v>177</v>
      </c>
      <c r="C545" s="65" t="s">
        <v>91</v>
      </c>
      <c r="D545" s="65" t="str">
        <f>vlookup(C545,'Classificação p pessoal'!F:G,2,false)</f>
        <v>NP</v>
      </c>
      <c r="E545" s="65" t="s">
        <v>283</v>
      </c>
      <c r="F545" s="83">
        <v>0.5833333333333334</v>
      </c>
      <c r="G545" s="83">
        <v>0.6041666666666666</v>
      </c>
      <c r="H545" s="83">
        <v>0.020833333333333332</v>
      </c>
      <c r="I545" s="84">
        <v>44256.0</v>
      </c>
      <c r="J545" s="65" t="b">
        <v>1</v>
      </c>
      <c r="K545" s="65"/>
      <c r="L545" s="85" t="b">
        <f>IF(VLOOKUP(C545,Projetos!A:L,12,false)=TRUE,TRUE,FALSE)</f>
        <v>1</v>
      </c>
      <c r="M545" s="74">
        <v>31.02923620430495</v>
      </c>
      <c r="N545" s="74">
        <f t="shared" si="1"/>
        <v>15.5146181</v>
      </c>
      <c r="O545" s="74" t="b">
        <v>1</v>
      </c>
    </row>
    <row r="546" hidden="1">
      <c r="A546" s="82"/>
      <c r="B546" s="65" t="s">
        <v>177</v>
      </c>
      <c r="C546" s="65" t="s">
        <v>106</v>
      </c>
      <c r="D546" s="65" t="str">
        <f>vlookup(C546,'Classificação p pessoal'!F:G,2,false)</f>
        <v>MProcesso</v>
      </c>
      <c r="E546" s="65" t="s">
        <v>223</v>
      </c>
      <c r="F546" s="83">
        <v>0.3541666666666667</v>
      </c>
      <c r="G546" s="83">
        <v>0.375</v>
      </c>
      <c r="H546" s="83">
        <v>0.020833333333333332</v>
      </c>
      <c r="I546" s="84">
        <v>44257.0</v>
      </c>
      <c r="J546" s="65" t="b">
        <v>1</v>
      </c>
      <c r="K546" s="65"/>
      <c r="L546" s="85" t="b">
        <f>IF(VLOOKUP(C546,Projetos!A:L,12,false)=TRUE,TRUE,FALSE)</f>
        <v>1</v>
      </c>
      <c r="M546" s="74">
        <v>31.02923620430495</v>
      </c>
      <c r="N546" s="74">
        <f t="shared" si="1"/>
        <v>15.5146181</v>
      </c>
      <c r="O546" s="74" t="b">
        <v>1</v>
      </c>
    </row>
    <row r="547" hidden="1">
      <c r="A547" s="82"/>
      <c r="B547" s="65" t="s">
        <v>177</v>
      </c>
      <c r="C547" s="65" t="s">
        <v>106</v>
      </c>
      <c r="D547" s="65"/>
      <c r="E547" s="65" t="s">
        <v>284</v>
      </c>
      <c r="F547" s="83">
        <v>0.375</v>
      </c>
      <c r="G547" s="83">
        <v>0.40625</v>
      </c>
      <c r="H547" s="83">
        <v>0.03125</v>
      </c>
      <c r="I547" s="84">
        <v>44257.0</v>
      </c>
      <c r="J547" s="65" t="b">
        <v>0</v>
      </c>
      <c r="K547" s="65" t="s">
        <v>150</v>
      </c>
      <c r="L547" s="85" t="b">
        <f>IF(VLOOKUP(C547,Projetos!A:L,12,false)=TRUE,TRUE,FALSE)</f>
        <v>1</v>
      </c>
      <c r="M547" s="74">
        <v>31.02923620430495</v>
      </c>
      <c r="N547" s="74">
        <f t="shared" si="1"/>
        <v>0</v>
      </c>
      <c r="O547" s="74" t="b">
        <v>1</v>
      </c>
    </row>
    <row r="548" hidden="1">
      <c r="A548" s="82"/>
      <c r="B548" s="65" t="s">
        <v>177</v>
      </c>
      <c r="C548" s="65" t="s">
        <v>100</v>
      </c>
      <c r="D548" s="65" t="str">
        <f>vlookup(C548,'Classificação p pessoal'!F:G,2,false)</f>
        <v>NP</v>
      </c>
      <c r="E548" s="65" t="s">
        <v>285</v>
      </c>
      <c r="F548" s="83">
        <v>0.40625</v>
      </c>
      <c r="G548" s="83">
        <v>0.4270833333333333</v>
      </c>
      <c r="H548" s="83">
        <v>0.020833333333333332</v>
      </c>
      <c r="I548" s="84">
        <v>44257.0</v>
      </c>
      <c r="J548" s="65" t="b">
        <v>1</v>
      </c>
      <c r="K548" s="65"/>
      <c r="L548" s="85" t="b">
        <f>IF(VLOOKUP(C548,Projetos!A:L,12,false)=TRUE,TRUE,FALSE)</f>
        <v>1</v>
      </c>
      <c r="M548" s="74">
        <v>31.02923620430495</v>
      </c>
      <c r="N548" s="74">
        <f t="shared" si="1"/>
        <v>15.5146181</v>
      </c>
      <c r="O548" s="74" t="b">
        <v>1</v>
      </c>
    </row>
    <row r="549" hidden="1">
      <c r="A549" s="82"/>
      <c r="B549" s="65" t="s">
        <v>177</v>
      </c>
      <c r="C549" s="65" t="s">
        <v>100</v>
      </c>
      <c r="D549" s="65" t="str">
        <f>vlookup(C549,'Classificação p pessoal'!F:G,2,false)</f>
        <v>NP</v>
      </c>
      <c r="E549" s="65" t="s">
        <v>286</v>
      </c>
      <c r="F549" s="83">
        <v>0.375</v>
      </c>
      <c r="G549" s="83">
        <v>0.7083333333333334</v>
      </c>
      <c r="H549" s="83">
        <v>0.3333333333333333</v>
      </c>
      <c r="I549" s="84">
        <v>44258.0</v>
      </c>
      <c r="J549" s="65" t="b">
        <v>1</v>
      </c>
      <c r="K549" s="65"/>
      <c r="L549" s="85" t="b">
        <f>IF(VLOOKUP(C549,Projetos!A:L,12,false)=TRUE,TRUE,FALSE)</f>
        <v>1</v>
      </c>
      <c r="M549" s="74">
        <v>31.02923620430495</v>
      </c>
      <c r="N549" s="74">
        <f t="shared" si="1"/>
        <v>248.2338896</v>
      </c>
      <c r="O549" s="74" t="b">
        <v>1</v>
      </c>
    </row>
    <row r="550" hidden="1">
      <c r="A550" s="82"/>
      <c r="B550" s="65" t="s">
        <v>177</v>
      </c>
      <c r="C550" s="65" t="s">
        <v>100</v>
      </c>
      <c r="D550" s="65" t="str">
        <f>vlookup(C550,'Classificação p pessoal'!F:G,2,false)</f>
        <v>NP</v>
      </c>
      <c r="E550" s="65" t="s">
        <v>286</v>
      </c>
      <c r="F550" s="83">
        <v>0.375</v>
      </c>
      <c r="G550" s="83">
        <v>0.7083333333333334</v>
      </c>
      <c r="H550" s="83">
        <v>0.3333333333333333</v>
      </c>
      <c r="I550" s="84">
        <v>44259.0</v>
      </c>
      <c r="J550" s="65" t="b">
        <v>1</v>
      </c>
      <c r="K550" s="65"/>
      <c r="L550" s="85" t="b">
        <f>IF(VLOOKUP(C550,Projetos!A:L,12,false)=TRUE,TRUE,FALSE)</f>
        <v>1</v>
      </c>
      <c r="M550" s="74">
        <v>31.02923620430495</v>
      </c>
      <c r="N550" s="74">
        <f t="shared" si="1"/>
        <v>248.2338896</v>
      </c>
      <c r="O550" s="74" t="b">
        <v>1</v>
      </c>
    </row>
    <row r="551" hidden="1">
      <c r="A551" s="82"/>
      <c r="B551" s="65" t="s">
        <v>177</v>
      </c>
      <c r="C551" s="65" t="s">
        <v>108</v>
      </c>
      <c r="D551" s="65" t="str">
        <f>vlookup(C551,'Classificação p pessoal'!F:G,2,false)</f>
        <v>NP</v>
      </c>
      <c r="E551" s="65" t="s">
        <v>223</v>
      </c>
      <c r="F551" s="83">
        <v>0.3958333333333333</v>
      </c>
      <c r="G551" s="83">
        <v>0.4166666666666667</v>
      </c>
      <c r="H551" s="83">
        <v>0.020833333333333332</v>
      </c>
      <c r="I551" s="84">
        <v>44259.0</v>
      </c>
      <c r="J551" s="65" t="b">
        <v>1</v>
      </c>
      <c r="K551" s="65"/>
      <c r="L551" s="85" t="b">
        <f>IF(VLOOKUP(C551,Projetos!A:L,12,false)=TRUE,TRUE,FALSE)</f>
        <v>1</v>
      </c>
      <c r="M551" s="74">
        <v>31.02923620430495</v>
      </c>
      <c r="N551" s="74">
        <f t="shared" si="1"/>
        <v>15.5146181</v>
      </c>
      <c r="O551" s="74" t="b">
        <v>1</v>
      </c>
    </row>
    <row r="552" hidden="1">
      <c r="A552" s="82"/>
      <c r="B552" s="65" t="s">
        <v>177</v>
      </c>
      <c r="C552" s="65" t="s">
        <v>108</v>
      </c>
      <c r="D552" s="65"/>
      <c r="E552" s="65" t="s">
        <v>287</v>
      </c>
      <c r="F552" s="83">
        <v>0.5833333333333334</v>
      </c>
      <c r="G552" s="83">
        <v>0.6041666666666666</v>
      </c>
      <c r="H552" s="83">
        <v>0.020833333333333332</v>
      </c>
      <c r="I552" s="84">
        <v>44260.0</v>
      </c>
      <c r="J552" s="65" t="b">
        <v>0</v>
      </c>
      <c r="K552" s="65" t="s">
        <v>150</v>
      </c>
      <c r="L552" s="85" t="b">
        <f>IF(VLOOKUP(C552,Projetos!A:L,12,false)=TRUE,TRUE,FALSE)</f>
        <v>1</v>
      </c>
      <c r="M552" s="74">
        <v>31.02923620430495</v>
      </c>
      <c r="N552" s="74">
        <f t="shared" si="1"/>
        <v>0</v>
      </c>
      <c r="O552" s="74" t="b">
        <v>1</v>
      </c>
    </row>
    <row r="553" hidden="1">
      <c r="A553" s="82"/>
      <c r="B553" s="65" t="s">
        <v>177</v>
      </c>
      <c r="C553" s="65" t="s">
        <v>106</v>
      </c>
      <c r="D553" s="65"/>
      <c r="E553" s="65" t="s">
        <v>288</v>
      </c>
      <c r="F553" s="83">
        <v>0.5625</v>
      </c>
      <c r="G553" s="83">
        <v>0.5833333333333334</v>
      </c>
      <c r="H553" s="83">
        <v>0.020833333333333332</v>
      </c>
      <c r="I553" s="84">
        <v>44260.0</v>
      </c>
      <c r="J553" s="65" t="b">
        <v>0</v>
      </c>
      <c r="K553" s="65" t="s">
        <v>150</v>
      </c>
      <c r="L553" s="85" t="b">
        <f>IF(VLOOKUP(C553,Projetos!A:L,12,false)=TRUE,TRUE,FALSE)</f>
        <v>1</v>
      </c>
      <c r="M553" s="74">
        <v>31.02923620430495</v>
      </c>
      <c r="N553" s="74">
        <f t="shared" si="1"/>
        <v>0</v>
      </c>
      <c r="O553" s="74" t="b">
        <v>1</v>
      </c>
    </row>
    <row r="554" hidden="1">
      <c r="A554" s="82"/>
      <c r="B554" s="65" t="s">
        <v>177</v>
      </c>
      <c r="C554" s="65" t="s">
        <v>119</v>
      </c>
      <c r="D554" s="65" t="str">
        <f>vlookup(C554,'Classificação p pessoal'!F:G,2,false)</f>
        <v>NP</v>
      </c>
      <c r="E554" s="65" t="s">
        <v>289</v>
      </c>
      <c r="F554" s="83">
        <v>0.5833333333333334</v>
      </c>
      <c r="G554" s="83">
        <v>0.625</v>
      </c>
      <c r="H554" s="83">
        <v>0.041666666666666664</v>
      </c>
      <c r="I554" s="84">
        <v>44222.0</v>
      </c>
      <c r="J554" s="65" t="b">
        <v>1</v>
      </c>
      <c r="K554" s="65"/>
      <c r="L554" s="85" t="b">
        <f>IF(VLOOKUP(C554,Projetos!A:L,12,false)=TRUE,TRUE,FALSE)</f>
        <v>1</v>
      </c>
      <c r="M554" s="74">
        <v>31.02923620430495</v>
      </c>
      <c r="N554" s="74">
        <f t="shared" si="1"/>
        <v>31.0292362</v>
      </c>
      <c r="O554" s="74" t="b">
        <v>1</v>
      </c>
    </row>
    <row r="555" hidden="1">
      <c r="A555" s="82"/>
      <c r="B555" s="65" t="s">
        <v>177</v>
      </c>
      <c r="C555" s="65" t="s">
        <v>108</v>
      </c>
      <c r="D555" s="65" t="str">
        <f>vlookup(C555,'Classificação p pessoal'!F:G,2,false)</f>
        <v>NP</v>
      </c>
      <c r="E555" s="65" t="s">
        <v>290</v>
      </c>
      <c r="F555" s="83">
        <v>0.6458333333333334</v>
      </c>
      <c r="G555" s="83">
        <v>0.6666666666666666</v>
      </c>
      <c r="H555" s="83">
        <v>0.020833333333333332</v>
      </c>
      <c r="I555" s="84">
        <v>44260.0</v>
      </c>
      <c r="J555" s="65" t="b">
        <v>1</v>
      </c>
      <c r="K555" s="65"/>
      <c r="L555" s="85" t="b">
        <f>IF(VLOOKUP(C555,Projetos!A:L,12,false)=TRUE,TRUE,FALSE)</f>
        <v>1</v>
      </c>
      <c r="M555" s="74">
        <v>31.02923620430495</v>
      </c>
      <c r="N555" s="74">
        <f t="shared" si="1"/>
        <v>15.5146181</v>
      </c>
      <c r="O555" s="74" t="b">
        <v>1</v>
      </c>
    </row>
    <row r="556" hidden="1">
      <c r="A556" s="82"/>
      <c r="B556" s="65" t="s">
        <v>177</v>
      </c>
      <c r="C556" s="65" t="s">
        <v>106</v>
      </c>
      <c r="D556" s="65" t="str">
        <f>vlookup(C556,'Classificação p pessoal'!F:G,2,false)</f>
        <v>MProcesso</v>
      </c>
      <c r="E556" s="65" t="s">
        <v>291</v>
      </c>
      <c r="F556" s="83">
        <v>0.5833333333333334</v>
      </c>
      <c r="G556" s="83">
        <v>0.6458333333333334</v>
      </c>
      <c r="H556" s="83">
        <v>0.0625</v>
      </c>
      <c r="I556" s="84">
        <v>44260.0</v>
      </c>
      <c r="J556" s="65" t="b">
        <v>1</v>
      </c>
      <c r="K556" s="65"/>
      <c r="L556" s="85" t="b">
        <f>IF(VLOOKUP(C556,Projetos!A:L,12,false)=TRUE,TRUE,FALSE)</f>
        <v>1</v>
      </c>
      <c r="M556" s="74">
        <v>31.02923620430495</v>
      </c>
      <c r="N556" s="74">
        <f t="shared" si="1"/>
        <v>46.54385431</v>
      </c>
      <c r="O556" s="74" t="b">
        <v>1</v>
      </c>
    </row>
    <row r="557" hidden="1">
      <c r="A557" s="82"/>
      <c r="B557" s="65" t="s">
        <v>177</v>
      </c>
      <c r="C557" s="65" t="s">
        <v>106</v>
      </c>
      <c r="D557" s="65" t="str">
        <f>vlookup(C557,'Classificação p pessoal'!F:G,2,false)</f>
        <v>MProcesso</v>
      </c>
      <c r="E557" s="65" t="s">
        <v>292</v>
      </c>
      <c r="F557" s="83">
        <v>0.3541666666666667</v>
      </c>
      <c r="G557" s="83">
        <v>0.375</v>
      </c>
      <c r="H557" s="83">
        <v>0.020833333333333332</v>
      </c>
      <c r="I557" s="84">
        <v>44263.0</v>
      </c>
      <c r="J557" s="65" t="b">
        <v>1</v>
      </c>
      <c r="K557" s="65"/>
      <c r="L557" s="85" t="b">
        <f>IF(VLOOKUP(C557,Projetos!A:L,12,false)=TRUE,TRUE,FALSE)</f>
        <v>1</v>
      </c>
      <c r="M557" s="74">
        <v>31.02923620430495</v>
      </c>
      <c r="N557" s="74">
        <f t="shared" si="1"/>
        <v>15.5146181</v>
      </c>
      <c r="O557" s="74" t="b">
        <v>1</v>
      </c>
    </row>
    <row r="558" hidden="1">
      <c r="A558" s="82"/>
      <c r="B558" s="65" t="s">
        <v>177</v>
      </c>
      <c r="C558" s="65" t="s">
        <v>106</v>
      </c>
      <c r="D558" s="65" t="str">
        <f>vlookup(C558,'Classificação p pessoal'!F:G,2,false)</f>
        <v>MProcesso</v>
      </c>
      <c r="E558" s="65" t="s">
        <v>293</v>
      </c>
      <c r="F558" s="83">
        <v>0.375</v>
      </c>
      <c r="G558" s="83">
        <v>0.4166666666666667</v>
      </c>
      <c r="H558" s="83">
        <v>0.041666666666666664</v>
      </c>
      <c r="I558" s="84">
        <v>44263.0</v>
      </c>
      <c r="J558" s="65" t="b">
        <v>1</v>
      </c>
      <c r="K558" s="65"/>
      <c r="L558" s="85" t="b">
        <f>IF(VLOOKUP(C558,Projetos!A:L,12,false)=TRUE,TRUE,FALSE)</f>
        <v>1</v>
      </c>
      <c r="M558" s="74">
        <v>31.02923620430495</v>
      </c>
      <c r="N558" s="74">
        <f t="shared" si="1"/>
        <v>31.0292362</v>
      </c>
      <c r="O558" s="74" t="b">
        <v>1</v>
      </c>
    </row>
    <row r="559" hidden="1">
      <c r="A559" s="82"/>
      <c r="B559" s="65" t="s">
        <v>177</v>
      </c>
      <c r="C559" s="65" t="s">
        <v>106</v>
      </c>
      <c r="D559" s="65" t="str">
        <f>vlookup(C559,'Classificação p pessoal'!F:G,2,false)</f>
        <v>MProcesso</v>
      </c>
      <c r="E559" s="65" t="s">
        <v>294</v>
      </c>
      <c r="F559" s="83">
        <v>0.625</v>
      </c>
      <c r="G559" s="83">
        <v>0.6666666666666666</v>
      </c>
      <c r="H559" s="83">
        <v>0.041666666666666664</v>
      </c>
      <c r="I559" s="84">
        <v>44263.0</v>
      </c>
      <c r="J559" s="65" t="b">
        <v>1</v>
      </c>
      <c r="K559" s="65"/>
      <c r="L559" s="85" t="b">
        <f>IF(VLOOKUP(C559,Projetos!A:L,12,false)=TRUE,TRUE,FALSE)</f>
        <v>1</v>
      </c>
      <c r="M559" s="74">
        <v>31.02923620430495</v>
      </c>
      <c r="N559" s="74">
        <f t="shared" si="1"/>
        <v>31.0292362</v>
      </c>
      <c r="O559" s="74" t="b">
        <v>1</v>
      </c>
    </row>
    <row r="560" hidden="1">
      <c r="A560" s="82"/>
      <c r="B560" s="65" t="s">
        <v>177</v>
      </c>
      <c r="C560" s="65" t="s">
        <v>108</v>
      </c>
      <c r="D560" s="65" t="str">
        <f>vlookup(C560,'Classificação p pessoal'!F:G,2,false)</f>
        <v>NP</v>
      </c>
      <c r="E560" s="65" t="s">
        <v>295</v>
      </c>
      <c r="F560" s="83">
        <v>0.6875</v>
      </c>
      <c r="G560" s="83">
        <v>0.7083333333333334</v>
      </c>
      <c r="H560" s="83">
        <v>0.020833333333333332</v>
      </c>
      <c r="I560" s="84">
        <v>44263.0</v>
      </c>
      <c r="J560" s="65" t="b">
        <v>1</v>
      </c>
      <c r="K560" s="65"/>
      <c r="L560" s="85" t="b">
        <f>IF(VLOOKUP(C560,Projetos!A:L,12,false)=TRUE,TRUE,FALSE)</f>
        <v>1</v>
      </c>
      <c r="M560" s="74">
        <v>31.02923620430495</v>
      </c>
      <c r="N560" s="74">
        <f t="shared" si="1"/>
        <v>15.5146181</v>
      </c>
      <c r="O560" s="74" t="b">
        <v>1</v>
      </c>
    </row>
    <row r="561" hidden="1">
      <c r="A561" s="82"/>
      <c r="B561" s="65" t="s">
        <v>177</v>
      </c>
      <c r="C561" s="65" t="s">
        <v>106</v>
      </c>
      <c r="D561" s="65" t="str">
        <f>vlookup(C561,'Classificação p pessoal'!F:G,2,false)</f>
        <v>MProcesso</v>
      </c>
      <c r="E561" s="65" t="s">
        <v>296</v>
      </c>
      <c r="F561" s="83">
        <v>0.3541666666666667</v>
      </c>
      <c r="G561" s="83">
        <v>0.375</v>
      </c>
      <c r="H561" s="83">
        <v>0.020833333333333332</v>
      </c>
      <c r="I561" s="84">
        <v>44264.0</v>
      </c>
      <c r="J561" s="65" t="b">
        <v>1</v>
      </c>
      <c r="K561" s="65"/>
      <c r="L561" s="85" t="b">
        <f>IF(VLOOKUP(C561,Projetos!A:L,12,false)=TRUE,TRUE,FALSE)</f>
        <v>1</v>
      </c>
      <c r="M561" s="74">
        <v>31.02923620430495</v>
      </c>
      <c r="N561" s="74">
        <f t="shared" si="1"/>
        <v>15.5146181</v>
      </c>
      <c r="O561" s="74" t="b">
        <v>1</v>
      </c>
    </row>
    <row r="562" hidden="1">
      <c r="A562" s="82"/>
      <c r="B562" s="65" t="s">
        <v>177</v>
      </c>
      <c r="C562" s="65" t="s">
        <v>106</v>
      </c>
      <c r="D562" s="65" t="str">
        <f>vlookup(C562,'Classificação p pessoal'!F:G,2,false)</f>
        <v>MProcesso</v>
      </c>
      <c r="E562" s="65" t="s">
        <v>297</v>
      </c>
      <c r="F562" s="83">
        <v>0.375</v>
      </c>
      <c r="G562" s="83">
        <v>0.3958333333333333</v>
      </c>
      <c r="H562" s="83">
        <v>0.020833333333333332</v>
      </c>
      <c r="I562" s="84">
        <v>44264.0</v>
      </c>
      <c r="J562" s="65" t="b">
        <v>1</v>
      </c>
      <c r="K562" s="65"/>
      <c r="L562" s="85" t="b">
        <f>IF(VLOOKUP(C562,Projetos!A:L,12,false)=TRUE,TRUE,FALSE)</f>
        <v>1</v>
      </c>
      <c r="M562" s="74">
        <v>31.02923620430495</v>
      </c>
      <c r="N562" s="74">
        <f t="shared" si="1"/>
        <v>15.5146181</v>
      </c>
      <c r="O562" s="74" t="b">
        <v>1</v>
      </c>
    </row>
    <row r="563" hidden="1">
      <c r="A563" s="82"/>
      <c r="B563" s="65" t="s">
        <v>177</v>
      </c>
      <c r="C563" s="65" t="s">
        <v>106</v>
      </c>
      <c r="D563" s="65"/>
      <c r="E563" s="65" t="s">
        <v>298</v>
      </c>
      <c r="F563" s="83">
        <v>0.4166666666666667</v>
      </c>
      <c r="G563" s="83">
        <v>0.4583333333333333</v>
      </c>
      <c r="H563" s="83">
        <v>0.041666666666666664</v>
      </c>
      <c r="I563" s="84">
        <v>44264.0</v>
      </c>
      <c r="J563" s="65" t="b">
        <v>0</v>
      </c>
      <c r="K563" s="65" t="s">
        <v>150</v>
      </c>
      <c r="L563" s="85" t="b">
        <f>IF(VLOOKUP(C563,Projetos!A:L,12,false)=TRUE,TRUE,FALSE)</f>
        <v>1</v>
      </c>
      <c r="M563" s="74">
        <v>31.02923620430495</v>
      </c>
      <c r="N563" s="74">
        <f t="shared" si="1"/>
        <v>0</v>
      </c>
      <c r="O563" s="74" t="b">
        <v>1</v>
      </c>
    </row>
    <row r="564" hidden="1">
      <c r="A564" s="82"/>
      <c r="B564" s="65" t="s">
        <v>177</v>
      </c>
      <c r="C564" s="65" t="s">
        <v>101</v>
      </c>
      <c r="D564" s="65" t="str">
        <f>vlookup(C564,'Classificação p pessoal'!F:G,2,false)</f>
        <v>NP</v>
      </c>
      <c r="E564" s="65" t="s">
        <v>299</v>
      </c>
      <c r="F564" s="83">
        <v>0.5833333333333334</v>
      </c>
      <c r="G564" s="83">
        <v>0.6041666666666666</v>
      </c>
      <c r="H564" s="83">
        <v>0.020833333333333332</v>
      </c>
      <c r="I564" s="84">
        <v>44265.0</v>
      </c>
      <c r="J564" s="65" t="b">
        <v>1</v>
      </c>
      <c r="K564" s="65"/>
      <c r="L564" s="85" t="b">
        <f>IF(VLOOKUP(C564,Projetos!A:L,12,false)=TRUE,TRUE,FALSE)</f>
        <v>1</v>
      </c>
      <c r="M564" s="74">
        <v>31.02923620430495</v>
      </c>
      <c r="N564" s="74">
        <f t="shared" si="1"/>
        <v>15.5146181</v>
      </c>
      <c r="O564" s="74" t="b">
        <v>1</v>
      </c>
    </row>
    <row r="565" hidden="1">
      <c r="A565" s="82"/>
      <c r="B565" s="65" t="s">
        <v>177</v>
      </c>
      <c r="C565" s="65" t="s">
        <v>106</v>
      </c>
      <c r="D565" s="65" t="str">
        <f>vlookup(C565,'Classificação p pessoal'!F:G,2,false)</f>
        <v>MProcesso</v>
      </c>
      <c r="E565" s="65" t="s">
        <v>300</v>
      </c>
      <c r="F565" s="83">
        <v>0.6041666666666666</v>
      </c>
      <c r="G565" s="83">
        <v>0.6458333333333334</v>
      </c>
      <c r="H565" s="83">
        <v>0.041666666666666664</v>
      </c>
      <c r="I565" s="84">
        <v>44265.0</v>
      </c>
      <c r="J565" s="65" t="b">
        <v>1</v>
      </c>
      <c r="K565" s="65"/>
      <c r="L565" s="85" t="b">
        <f>IF(VLOOKUP(C565,Projetos!A:L,12,false)=TRUE,TRUE,FALSE)</f>
        <v>1</v>
      </c>
      <c r="M565" s="74">
        <v>31.02923620430495</v>
      </c>
      <c r="N565" s="74">
        <f t="shared" si="1"/>
        <v>31.0292362</v>
      </c>
      <c r="O565" s="74" t="b">
        <v>1</v>
      </c>
    </row>
    <row r="566" hidden="1">
      <c r="A566" s="82"/>
      <c r="B566" s="65" t="s">
        <v>177</v>
      </c>
      <c r="C566" s="65" t="s">
        <v>118</v>
      </c>
      <c r="D566" s="65" t="str">
        <f>vlookup(C566,'Classificação p pessoal'!F:G,2,false)</f>
        <v>MProduto</v>
      </c>
      <c r="E566" s="65" t="s">
        <v>301</v>
      </c>
      <c r="F566" s="83">
        <v>0.4166666666666667</v>
      </c>
      <c r="G566" s="83">
        <v>0.5</v>
      </c>
      <c r="H566" s="83">
        <v>0.08333333333333333</v>
      </c>
      <c r="I566" s="84">
        <v>44266.0</v>
      </c>
      <c r="J566" s="65" t="b">
        <v>1</v>
      </c>
      <c r="K566" s="65"/>
      <c r="L566" s="85" t="b">
        <f>IF(VLOOKUP(C566,Projetos!A:L,12,false)=TRUE,TRUE,FALSE)</f>
        <v>1</v>
      </c>
      <c r="M566" s="74">
        <v>31.02923620430495</v>
      </c>
      <c r="N566" s="74">
        <f t="shared" si="1"/>
        <v>62.05847241</v>
      </c>
      <c r="O566" s="74" t="b">
        <v>1</v>
      </c>
    </row>
    <row r="567" hidden="1">
      <c r="A567" s="82"/>
      <c r="B567" s="65" t="s">
        <v>177</v>
      </c>
      <c r="C567" s="65" t="s">
        <v>106</v>
      </c>
      <c r="D567" s="65" t="str">
        <f>vlookup(C567,'Classificação p pessoal'!F:G,2,false)</f>
        <v>MProcesso</v>
      </c>
      <c r="E567" s="65" t="s">
        <v>302</v>
      </c>
      <c r="F567" s="83">
        <v>0.3541666666666667</v>
      </c>
      <c r="G567" s="83">
        <v>0.3958333333333333</v>
      </c>
      <c r="H567" s="83">
        <v>0.041666666666666664</v>
      </c>
      <c r="I567" s="84">
        <v>44267.0</v>
      </c>
      <c r="J567" s="65" t="b">
        <v>1</v>
      </c>
      <c r="K567" s="65"/>
      <c r="L567" s="85" t="b">
        <f>IF(VLOOKUP(C567,Projetos!A:L,12,false)=TRUE,TRUE,FALSE)</f>
        <v>1</v>
      </c>
      <c r="M567" s="74">
        <v>31.02923620430495</v>
      </c>
      <c r="N567" s="74">
        <f t="shared" si="1"/>
        <v>31.0292362</v>
      </c>
      <c r="O567" s="74" t="b">
        <v>1</v>
      </c>
    </row>
    <row r="568" hidden="1">
      <c r="A568" s="82"/>
      <c r="B568" s="65" t="s">
        <v>177</v>
      </c>
      <c r="C568" s="65" t="s">
        <v>106</v>
      </c>
      <c r="D568" s="65" t="str">
        <f>vlookup(C568,'Classificação p pessoal'!F:G,2,false)</f>
        <v>MProcesso</v>
      </c>
      <c r="E568" s="65" t="s">
        <v>303</v>
      </c>
      <c r="F568" s="83">
        <v>0.4375</v>
      </c>
      <c r="G568" s="83">
        <v>0.4583333333333333</v>
      </c>
      <c r="H568" s="83">
        <v>0.020833333333333332</v>
      </c>
      <c r="I568" s="84">
        <v>44267.0</v>
      </c>
      <c r="J568" s="65" t="b">
        <v>1</v>
      </c>
      <c r="K568" s="65"/>
      <c r="L568" s="85" t="b">
        <f>IF(VLOOKUP(C568,Projetos!A:L,12,false)=TRUE,TRUE,FALSE)</f>
        <v>1</v>
      </c>
      <c r="M568" s="74">
        <v>31.02923620430495</v>
      </c>
      <c r="N568" s="74">
        <f t="shared" si="1"/>
        <v>15.5146181</v>
      </c>
      <c r="O568" s="74" t="b">
        <v>1</v>
      </c>
    </row>
    <row r="569" hidden="1">
      <c r="A569" s="82"/>
      <c r="B569" s="65" t="s">
        <v>177</v>
      </c>
      <c r="C569" s="65" t="s">
        <v>101</v>
      </c>
      <c r="D569" s="65" t="str">
        <f>vlookup(C569,'Classificação p pessoal'!F:G,2,false)</f>
        <v>NP</v>
      </c>
      <c r="E569" s="65" t="s">
        <v>304</v>
      </c>
      <c r="F569" s="83">
        <v>0.4583333333333333</v>
      </c>
      <c r="G569" s="83">
        <v>0.5208333333333334</v>
      </c>
      <c r="H569" s="83">
        <v>0.0625</v>
      </c>
      <c r="I569" s="84">
        <v>44267.0</v>
      </c>
      <c r="J569" s="65" t="b">
        <v>1</v>
      </c>
      <c r="K569" s="65"/>
      <c r="L569" s="85" t="b">
        <f>IF(VLOOKUP(C569,Projetos!A:L,12,false)=TRUE,TRUE,FALSE)</f>
        <v>1</v>
      </c>
      <c r="M569" s="74">
        <v>31.02923620430495</v>
      </c>
      <c r="N569" s="74">
        <f t="shared" si="1"/>
        <v>46.54385431</v>
      </c>
      <c r="O569" s="74" t="b">
        <v>1</v>
      </c>
    </row>
    <row r="570" hidden="1">
      <c r="A570" s="82"/>
      <c r="B570" s="65" t="s">
        <v>177</v>
      </c>
      <c r="C570" s="65" t="s">
        <v>92</v>
      </c>
      <c r="D570" s="65"/>
      <c r="E570" s="65" t="s">
        <v>305</v>
      </c>
      <c r="F570" s="83">
        <v>0.375</v>
      </c>
      <c r="G570" s="83">
        <v>0.3958333333333333</v>
      </c>
      <c r="H570" s="83">
        <v>0.020833333333333332</v>
      </c>
      <c r="I570" s="84">
        <v>44270.0</v>
      </c>
      <c r="J570" s="65" t="b">
        <v>0</v>
      </c>
      <c r="K570" s="65" t="s">
        <v>150</v>
      </c>
      <c r="L570" s="85" t="b">
        <f>IF(VLOOKUP(C570,Projetos!A:L,12,false)=TRUE,TRUE,FALSE)</f>
        <v>1</v>
      </c>
      <c r="M570" s="74">
        <v>31.02923620430495</v>
      </c>
      <c r="N570" s="74">
        <f t="shared" si="1"/>
        <v>0</v>
      </c>
      <c r="O570" s="74" t="b">
        <v>1</v>
      </c>
    </row>
    <row r="571" hidden="1">
      <c r="A571" s="82"/>
      <c r="B571" s="65" t="s">
        <v>177</v>
      </c>
      <c r="C571" s="65" t="s">
        <v>118</v>
      </c>
      <c r="D571" s="65" t="str">
        <f>vlookup(C571,'Classificação p pessoal'!F:G,2,false)</f>
        <v>MProduto</v>
      </c>
      <c r="E571" s="65" t="s">
        <v>306</v>
      </c>
      <c r="F571" s="83">
        <v>0.3958333333333333</v>
      </c>
      <c r="G571" s="83">
        <v>0.4166666666666667</v>
      </c>
      <c r="H571" s="83">
        <v>0.020833333333333332</v>
      </c>
      <c r="I571" s="84">
        <v>44270.0</v>
      </c>
      <c r="J571" s="65" t="b">
        <v>1</v>
      </c>
      <c r="K571" s="65"/>
      <c r="L571" s="85" t="b">
        <f>IF(VLOOKUP(C571,Projetos!A:L,12,false)=TRUE,TRUE,FALSE)</f>
        <v>1</v>
      </c>
      <c r="M571" s="74">
        <v>31.02923620430495</v>
      </c>
      <c r="N571" s="74">
        <f t="shared" si="1"/>
        <v>15.5146181</v>
      </c>
      <c r="O571" s="74" t="b">
        <v>1</v>
      </c>
    </row>
    <row r="572" hidden="1">
      <c r="A572" s="82"/>
      <c r="B572" s="65" t="s">
        <v>177</v>
      </c>
      <c r="C572" s="65" t="s">
        <v>106</v>
      </c>
      <c r="D572" s="65" t="str">
        <f>vlookup(C572,'Classificação p pessoal'!F:G,2,false)</f>
        <v>MProcesso</v>
      </c>
      <c r="E572" s="65" t="s">
        <v>307</v>
      </c>
      <c r="F572" s="83">
        <v>0.4166666666666667</v>
      </c>
      <c r="G572" s="83">
        <v>0.4270833333333333</v>
      </c>
      <c r="H572" s="83">
        <v>0.010416666666666666</v>
      </c>
      <c r="I572" s="84">
        <v>44270.0</v>
      </c>
      <c r="J572" s="65" t="b">
        <v>1</v>
      </c>
      <c r="K572" s="65"/>
      <c r="L572" s="85" t="b">
        <f>IF(VLOOKUP(C572,Projetos!A:L,12,false)=TRUE,TRUE,FALSE)</f>
        <v>1</v>
      </c>
      <c r="M572" s="74">
        <v>31.02923620430495</v>
      </c>
      <c r="N572" s="74">
        <f t="shared" si="1"/>
        <v>7.757309051</v>
      </c>
      <c r="O572" s="74" t="b">
        <v>1</v>
      </c>
    </row>
    <row r="573" hidden="1">
      <c r="A573" s="82"/>
      <c r="B573" s="65" t="s">
        <v>177</v>
      </c>
      <c r="C573" s="65" t="s">
        <v>100</v>
      </c>
      <c r="D573" s="65" t="str">
        <f>vlookup(C573,'Classificação p pessoal'!F:G,2,false)</f>
        <v>NP</v>
      </c>
      <c r="E573" s="65" t="s">
        <v>308</v>
      </c>
      <c r="F573" s="83">
        <v>0.5833333333333334</v>
      </c>
      <c r="G573" s="83">
        <v>0.625</v>
      </c>
      <c r="H573" s="83">
        <v>0.041666666666666664</v>
      </c>
      <c r="I573" s="84">
        <v>44271.0</v>
      </c>
      <c r="J573" s="65" t="b">
        <v>1</v>
      </c>
      <c r="K573" s="65"/>
      <c r="L573" s="85" t="b">
        <f>IF(VLOOKUP(C573,Projetos!A:L,12,false)=TRUE,TRUE,FALSE)</f>
        <v>1</v>
      </c>
      <c r="M573" s="74">
        <v>31.02923620430495</v>
      </c>
      <c r="N573" s="74">
        <f t="shared" si="1"/>
        <v>31.0292362</v>
      </c>
      <c r="O573" s="74" t="b">
        <v>1</v>
      </c>
    </row>
    <row r="574" hidden="1">
      <c r="A574" s="82"/>
      <c r="B574" s="65" t="s">
        <v>177</v>
      </c>
      <c r="C574" s="65" t="s">
        <v>107</v>
      </c>
      <c r="D574" s="65" t="str">
        <f>vlookup(C574,'Classificação p pessoal'!F:G,2,false)</f>
        <v>NP</v>
      </c>
      <c r="E574" s="65" t="s">
        <v>309</v>
      </c>
      <c r="F574" s="83">
        <v>0.625</v>
      </c>
      <c r="G574" s="83">
        <v>0.75</v>
      </c>
      <c r="H574" s="83">
        <v>0.125</v>
      </c>
      <c r="I574" s="84">
        <v>44271.0</v>
      </c>
      <c r="J574" s="65" t="b">
        <v>1</v>
      </c>
      <c r="K574" s="65"/>
      <c r="L574" s="85" t="b">
        <f>IF(VLOOKUP(C574,Projetos!A:L,12,false)=TRUE,TRUE,FALSE)</f>
        <v>1</v>
      </c>
      <c r="M574" s="74">
        <v>31.02923620430495</v>
      </c>
      <c r="N574" s="74">
        <f t="shared" si="1"/>
        <v>93.08770861</v>
      </c>
      <c r="O574" s="74" t="b">
        <v>1</v>
      </c>
    </row>
    <row r="575" hidden="1">
      <c r="A575" s="82"/>
      <c r="B575" s="65" t="s">
        <v>177</v>
      </c>
      <c r="C575" s="65" t="s">
        <v>100</v>
      </c>
      <c r="D575" s="65" t="str">
        <f>vlookup(C575,'Classificação p pessoal'!F:G,2,false)</f>
        <v>NP</v>
      </c>
      <c r="E575" s="65" t="s">
        <v>310</v>
      </c>
      <c r="F575" s="83">
        <v>0.4583333333333333</v>
      </c>
      <c r="G575" s="83">
        <v>0.5</v>
      </c>
      <c r="H575" s="83">
        <v>0.041666666666666664</v>
      </c>
      <c r="I575" s="84">
        <v>44272.0</v>
      </c>
      <c r="J575" s="65" t="b">
        <v>1</v>
      </c>
      <c r="K575" s="65"/>
      <c r="L575" s="85" t="b">
        <f>IF(VLOOKUP(C575,Projetos!A:L,12,false)=TRUE,TRUE,FALSE)</f>
        <v>1</v>
      </c>
      <c r="M575" s="74">
        <v>31.02923620430495</v>
      </c>
      <c r="N575" s="74">
        <f t="shared" si="1"/>
        <v>31.0292362</v>
      </c>
      <c r="O575" s="74" t="b">
        <v>1</v>
      </c>
    </row>
    <row r="576" hidden="1">
      <c r="A576" s="82"/>
      <c r="B576" s="65" t="s">
        <v>177</v>
      </c>
      <c r="C576" s="65" t="s">
        <v>106</v>
      </c>
      <c r="D576" s="65"/>
      <c r="E576" s="65" t="s">
        <v>311</v>
      </c>
      <c r="F576" s="83">
        <v>0.5833333333333334</v>
      </c>
      <c r="G576" s="83">
        <v>0.625</v>
      </c>
      <c r="H576" s="83">
        <v>0.041666666666666664</v>
      </c>
      <c r="I576" s="84">
        <v>44273.0</v>
      </c>
      <c r="J576" s="65" t="b">
        <v>0</v>
      </c>
      <c r="K576" s="65" t="s">
        <v>150</v>
      </c>
      <c r="L576" s="85" t="b">
        <f>IF(VLOOKUP(C576,Projetos!A:L,12,false)=TRUE,TRUE,FALSE)</f>
        <v>1</v>
      </c>
      <c r="M576" s="74">
        <v>31.02923620430495</v>
      </c>
      <c r="N576" s="74">
        <f t="shared" si="1"/>
        <v>0</v>
      </c>
      <c r="O576" s="74" t="b">
        <v>1</v>
      </c>
    </row>
    <row r="577" hidden="1">
      <c r="A577" s="82"/>
      <c r="B577" s="65" t="s">
        <v>177</v>
      </c>
      <c r="C577" s="65" t="s">
        <v>100</v>
      </c>
      <c r="D577" s="65"/>
      <c r="E577" s="65" t="s">
        <v>270</v>
      </c>
      <c r="F577" s="83">
        <v>0.34375</v>
      </c>
      <c r="G577" s="83">
        <v>0.5416666666666666</v>
      </c>
      <c r="H577" s="83">
        <v>0.19791666666666666</v>
      </c>
      <c r="I577" s="84">
        <v>44273.0</v>
      </c>
      <c r="J577" s="65" t="b">
        <v>0</v>
      </c>
      <c r="K577" s="65" t="s">
        <v>150</v>
      </c>
      <c r="L577" s="85" t="b">
        <f>IF(VLOOKUP(C577,Projetos!A:L,12,false)=TRUE,TRUE,FALSE)</f>
        <v>1</v>
      </c>
      <c r="M577" s="74">
        <v>31.02923620430495</v>
      </c>
      <c r="N577" s="74">
        <f t="shared" si="1"/>
        <v>0</v>
      </c>
      <c r="O577" s="74" t="b">
        <v>1</v>
      </c>
    </row>
    <row r="578" hidden="1">
      <c r="A578" s="82"/>
      <c r="B578" s="65" t="s">
        <v>177</v>
      </c>
      <c r="C578" s="65" t="s">
        <v>108</v>
      </c>
      <c r="D578" s="65" t="str">
        <f>vlookup(C578,'Classificação p pessoal'!F:G,2,false)</f>
        <v>NP</v>
      </c>
      <c r="E578" s="65" t="s">
        <v>312</v>
      </c>
      <c r="F578" s="83">
        <v>0.625</v>
      </c>
      <c r="G578" s="83">
        <v>0.625</v>
      </c>
      <c r="H578" s="83">
        <v>0.0</v>
      </c>
      <c r="I578" s="84">
        <v>44273.0</v>
      </c>
      <c r="J578" s="65" t="b">
        <v>1</v>
      </c>
      <c r="K578" s="65"/>
      <c r="L578" s="85" t="b">
        <f>IF(VLOOKUP(C578,Projetos!A:L,12,false)=TRUE,TRUE,FALSE)</f>
        <v>1</v>
      </c>
      <c r="M578" s="74">
        <v>31.02923620430495</v>
      </c>
      <c r="N578" s="74">
        <f t="shared" si="1"/>
        <v>0</v>
      </c>
      <c r="O578" s="74" t="b">
        <v>1</v>
      </c>
    </row>
    <row r="579" hidden="1">
      <c r="A579" s="82"/>
      <c r="B579" s="65" t="s">
        <v>177</v>
      </c>
      <c r="C579" s="65" t="s">
        <v>106</v>
      </c>
      <c r="D579" s="65" t="str">
        <f>vlookup(C579,'Classificação p pessoal'!F:G,2,false)</f>
        <v>MProcesso</v>
      </c>
      <c r="E579" s="65" t="s">
        <v>313</v>
      </c>
      <c r="F579" s="83">
        <v>0.3541666666666667</v>
      </c>
      <c r="G579" s="83">
        <v>0.4375</v>
      </c>
      <c r="H579" s="83">
        <v>0.08333333333333333</v>
      </c>
      <c r="I579" s="84">
        <v>44274.0</v>
      </c>
      <c r="J579" s="65" t="b">
        <v>1</v>
      </c>
      <c r="K579" s="65"/>
      <c r="L579" s="85" t="b">
        <f>IF(VLOOKUP(C579,Projetos!A:L,12,false)=TRUE,TRUE,FALSE)</f>
        <v>1</v>
      </c>
      <c r="M579" s="74">
        <v>31.02923620430495</v>
      </c>
      <c r="N579" s="74">
        <f t="shared" si="1"/>
        <v>62.05847241</v>
      </c>
      <c r="O579" s="74" t="b">
        <v>1</v>
      </c>
    </row>
    <row r="580" hidden="1">
      <c r="A580" s="82"/>
      <c r="B580" s="65" t="s">
        <v>177</v>
      </c>
      <c r="C580" s="65" t="s">
        <v>106</v>
      </c>
      <c r="D580" s="65" t="str">
        <f>vlookup(C580,'Classificação p pessoal'!F:G,2,false)</f>
        <v>MProcesso</v>
      </c>
      <c r="E580" s="65" t="s">
        <v>314</v>
      </c>
      <c r="F580" s="83">
        <v>0.5833333333333334</v>
      </c>
      <c r="G580" s="83">
        <v>0.6041666666666666</v>
      </c>
      <c r="H580" s="83">
        <v>0.020833333333333332</v>
      </c>
      <c r="I580" s="84">
        <v>44274.0</v>
      </c>
      <c r="J580" s="65" t="b">
        <v>1</v>
      </c>
      <c r="K580" s="65"/>
      <c r="L580" s="85" t="b">
        <f>IF(VLOOKUP(C580,Projetos!A:L,12,false)=TRUE,TRUE,FALSE)</f>
        <v>1</v>
      </c>
      <c r="M580" s="74">
        <v>31.02923620430495</v>
      </c>
      <c r="N580" s="74">
        <f t="shared" si="1"/>
        <v>15.5146181</v>
      </c>
      <c r="O580" s="74" t="b">
        <v>1</v>
      </c>
    </row>
    <row r="581" hidden="1">
      <c r="A581" s="82"/>
      <c r="B581" s="65" t="s">
        <v>177</v>
      </c>
      <c r="C581" s="65" t="s">
        <v>106</v>
      </c>
      <c r="D581" s="65" t="str">
        <f>vlookup(C581,'Classificação p pessoal'!F:G,2,false)</f>
        <v>MProcesso</v>
      </c>
      <c r="E581" s="65" t="s">
        <v>315</v>
      </c>
      <c r="F581" s="83">
        <v>0.4375</v>
      </c>
      <c r="G581" s="83">
        <v>0.5</v>
      </c>
      <c r="H581" s="83">
        <v>0.0625</v>
      </c>
      <c r="I581" s="84">
        <v>44274.0</v>
      </c>
      <c r="J581" s="65" t="b">
        <v>1</v>
      </c>
      <c r="K581" s="65"/>
      <c r="L581" s="85" t="b">
        <f>IF(VLOOKUP(C581,Projetos!A:L,12,false)=TRUE,TRUE,FALSE)</f>
        <v>1</v>
      </c>
      <c r="M581" s="74">
        <v>31.02923620430495</v>
      </c>
      <c r="N581" s="74">
        <f t="shared" si="1"/>
        <v>46.54385431</v>
      </c>
      <c r="O581" s="74" t="b">
        <v>1</v>
      </c>
    </row>
    <row r="582" hidden="1">
      <c r="A582" s="82"/>
      <c r="B582" s="65" t="s">
        <v>177</v>
      </c>
      <c r="C582" s="65" t="s">
        <v>106</v>
      </c>
      <c r="D582" s="65" t="str">
        <f>vlookup(C582,'Classificação p pessoal'!F:G,2,false)</f>
        <v>MProcesso</v>
      </c>
      <c r="E582" s="65" t="s">
        <v>316</v>
      </c>
      <c r="F582" s="83">
        <v>0.6041666666666666</v>
      </c>
      <c r="G582" s="83">
        <v>0.6458333333333334</v>
      </c>
      <c r="H582" s="83">
        <v>0.041666666666666664</v>
      </c>
      <c r="I582" s="84">
        <v>44274.0</v>
      </c>
      <c r="J582" s="65" t="b">
        <v>1</v>
      </c>
      <c r="K582" s="65"/>
      <c r="L582" s="85" t="b">
        <f>IF(VLOOKUP(C582,Projetos!A:L,12,false)=TRUE,TRUE,FALSE)</f>
        <v>1</v>
      </c>
      <c r="M582" s="74">
        <v>31.02923620430495</v>
      </c>
      <c r="N582" s="74">
        <f t="shared" si="1"/>
        <v>31.0292362</v>
      </c>
      <c r="O582" s="74" t="b">
        <v>1</v>
      </c>
    </row>
    <row r="583" hidden="1">
      <c r="A583" s="82"/>
      <c r="B583" s="65" t="s">
        <v>177</v>
      </c>
      <c r="C583" s="65" t="s">
        <v>108</v>
      </c>
      <c r="D583" s="65" t="str">
        <f>vlookup(C583,'Classificação p pessoal'!F:G,2,false)</f>
        <v>NP</v>
      </c>
      <c r="E583" s="65" t="s">
        <v>317</v>
      </c>
      <c r="F583" s="83">
        <v>0.3541666666666667</v>
      </c>
      <c r="G583" s="83">
        <v>0.375</v>
      </c>
      <c r="H583" s="83">
        <v>0.020833333333333332</v>
      </c>
      <c r="I583" s="84">
        <v>44277.0</v>
      </c>
      <c r="J583" s="65" t="b">
        <v>1</v>
      </c>
      <c r="K583" s="65"/>
      <c r="L583" s="85" t="b">
        <f>IF(VLOOKUP(C583,Projetos!A:L,12,false)=TRUE,TRUE,FALSE)</f>
        <v>1</v>
      </c>
      <c r="M583" s="74">
        <v>31.02923620430495</v>
      </c>
      <c r="N583" s="74">
        <f t="shared" si="1"/>
        <v>15.5146181</v>
      </c>
      <c r="O583" s="74" t="b">
        <v>1</v>
      </c>
    </row>
    <row r="584" hidden="1">
      <c r="A584" s="82"/>
      <c r="B584" s="65" t="s">
        <v>177</v>
      </c>
      <c r="C584" s="65" t="s">
        <v>106</v>
      </c>
      <c r="D584" s="65" t="str">
        <f>vlookup(C584,'Classificação p pessoal'!F:G,2,false)</f>
        <v>MProcesso</v>
      </c>
      <c r="E584" s="65" t="s">
        <v>318</v>
      </c>
      <c r="F584" s="83">
        <v>0.7083333333333334</v>
      </c>
      <c r="G584" s="83">
        <v>0.7291666666666666</v>
      </c>
      <c r="H584" s="83">
        <v>0.020833333333333332</v>
      </c>
      <c r="I584" s="84">
        <v>44278.0</v>
      </c>
      <c r="J584" s="65" t="b">
        <v>1</v>
      </c>
      <c r="K584" s="65"/>
      <c r="L584" s="85" t="b">
        <f>IF(VLOOKUP(C584,Projetos!A:L,12,false)=TRUE,TRUE,FALSE)</f>
        <v>1</v>
      </c>
      <c r="M584" s="74">
        <v>31.02923620430495</v>
      </c>
      <c r="N584" s="74">
        <f t="shared" si="1"/>
        <v>15.5146181</v>
      </c>
      <c r="O584" s="74" t="b">
        <v>1</v>
      </c>
    </row>
    <row r="585" hidden="1">
      <c r="A585" s="82"/>
      <c r="B585" s="65" t="s">
        <v>177</v>
      </c>
      <c r="C585" s="65" t="s">
        <v>106</v>
      </c>
      <c r="D585" s="65" t="str">
        <f>vlookup(C585,'Classificação p pessoal'!F:G,2,false)</f>
        <v>MProcesso</v>
      </c>
      <c r="E585" s="65" t="s">
        <v>319</v>
      </c>
      <c r="F585" s="83">
        <v>0.375</v>
      </c>
      <c r="G585" s="83">
        <v>0.4166666666666667</v>
      </c>
      <c r="H585" s="83">
        <v>0.041666666666666664</v>
      </c>
      <c r="I585" s="84">
        <v>44279.0</v>
      </c>
      <c r="J585" s="65" t="b">
        <v>1</v>
      </c>
      <c r="K585" s="65"/>
      <c r="L585" s="85" t="b">
        <f>IF(VLOOKUP(C585,Projetos!A:L,12,false)=TRUE,TRUE,FALSE)</f>
        <v>1</v>
      </c>
      <c r="M585" s="74">
        <v>31.02923620430495</v>
      </c>
      <c r="N585" s="74">
        <f t="shared" si="1"/>
        <v>31.0292362</v>
      </c>
      <c r="O585" s="74" t="b">
        <v>1</v>
      </c>
    </row>
    <row r="586" hidden="1">
      <c r="A586" s="82"/>
      <c r="B586" s="65" t="s">
        <v>177</v>
      </c>
      <c r="C586" s="65" t="s">
        <v>107</v>
      </c>
      <c r="D586" s="65" t="str">
        <f>vlookup(C586,'Classificação p pessoal'!F:G,2,false)</f>
        <v>NP</v>
      </c>
      <c r="E586" s="65" t="s">
        <v>320</v>
      </c>
      <c r="F586" s="83">
        <v>0.4166666666666667</v>
      </c>
      <c r="G586" s="83">
        <v>0.5</v>
      </c>
      <c r="H586" s="83">
        <v>0.08333333333333333</v>
      </c>
      <c r="I586" s="84">
        <v>44279.0</v>
      </c>
      <c r="J586" s="65" t="b">
        <v>1</v>
      </c>
      <c r="K586" s="65"/>
      <c r="L586" s="85" t="b">
        <f>IF(VLOOKUP(C586,Projetos!A:L,12,false)=TRUE,TRUE,FALSE)</f>
        <v>1</v>
      </c>
      <c r="M586" s="74">
        <v>31.02923620430495</v>
      </c>
      <c r="N586" s="74">
        <f t="shared" si="1"/>
        <v>62.05847241</v>
      </c>
      <c r="O586" s="74" t="b">
        <v>1</v>
      </c>
    </row>
    <row r="587" hidden="1">
      <c r="A587" s="82"/>
      <c r="B587" s="65" t="s">
        <v>177</v>
      </c>
      <c r="C587" s="65" t="s">
        <v>100</v>
      </c>
      <c r="D587" s="65"/>
      <c r="E587" s="65" t="s">
        <v>321</v>
      </c>
      <c r="F587" s="83">
        <v>0.625</v>
      </c>
      <c r="G587" s="83">
        <v>0.6458333333333334</v>
      </c>
      <c r="H587" s="83">
        <v>0.020833333333333332</v>
      </c>
      <c r="I587" s="84">
        <v>44364.0</v>
      </c>
      <c r="J587" s="65" t="b">
        <v>0</v>
      </c>
      <c r="K587" s="65" t="s">
        <v>150</v>
      </c>
      <c r="L587" s="85" t="b">
        <f>IF(VLOOKUP(C587,Projetos!A:L,12,false)=TRUE,TRUE,FALSE)</f>
        <v>1</v>
      </c>
      <c r="M587" s="74">
        <v>31.02923620430495</v>
      </c>
      <c r="N587" s="74">
        <f t="shared" si="1"/>
        <v>0</v>
      </c>
      <c r="O587" s="74" t="b">
        <v>1</v>
      </c>
    </row>
    <row r="588" hidden="1">
      <c r="A588" s="82"/>
      <c r="B588" s="65" t="s">
        <v>177</v>
      </c>
      <c r="C588" s="65" t="s">
        <v>107</v>
      </c>
      <c r="D588" s="65" t="str">
        <f>vlookup(C588,'Classificação p pessoal'!F:G,2,false)</f>
        <v>NP</v>
      </c>
      <c r="E588" s="65" t="s">
        <v>322</v>
      </c>
      <c r="F588" s="83">
        <v>0.625</v>
      </c>
      <c r="G588" s="83">
        <v>0.6666666666666666</v>
      </c>
      <c r="H588" s="83">
        <v>0.041666666666666664</v>
      </c>
      <c r="I588" s="84">
        <v>44280.0</v>
      </c>
      <c r="J588" s="65" t="b">
        <v>1</v>
      </c>
      <c r="K588" s="65"/>
      <c r="L588" s="85" t="b">
        <f>IF(VLOOKUP(C588,Projetos!A:L,12,false)=TRUE,TRUE,FALSE)</f>
        <v>1</v>
      </c>
      <c r="M588" s="74">
        <v>31.02923620430495</v>
      </c>
      <c r="N588" s="74">
        <f t="shared" si="1"/>
        <v>31.0292362</v>
      </c>
      <c r="O588" s="74" t="b">
        <v>1</v>
      </c>
    </row>
    <row r="589" hidden="1">
      <c r="A589" s="82"/>
      <c r="B589" s="65" t="s">
        <v>177</v>
      </c>
      <c r="C589" s="65" t="s">
        <v>108</v>
      </c>
      <c r="D589" s="65" t="str">
        <f>vlookup(C589,'Classificação p pessoal'!F:G,2,false)</f>
        <v>NP</v>
      </c>
      <c r="E589" s="65" t="s">
        <v>323</v>
      </c>
      <c r="F589" s="83">
        <v>0.3541666666666667</v>
      </c>
      <c r="G589" s="83">
        <v>0.375</v>
      </c>
      <c r="H589" s="83">
        <v>0.020833333333333332</v>
      </c>
      <c r="I589" s="84">
        <v>44281.0</v>
      </c>
      <c r="J589" s="65" t="b">
        <v>1</v>
      </c>
      <c r="K589" s="65"/>
      <c r="L589" s="85" t="b">
        <f>IF(VLOOKUP(C589,Projetos!A:L,12,false)=TRUE,TRUE,FALSE)</f>
        <v>1</v>
      </c>
      <c r="M589" s="74">
        <v>31.02923620430495</v>
      </c>
      <c r="N589" s="74">
        <f t="shared" si="1"/>
        <v>15.5146181</v>
      </c>
      <c r="O589" s="74" t="b">
        <v>1</v>
      </c>
    </row>
    <row r="590" hidden="1">
      <c r="A590" s="82"/>
      <c r="B590" s="65" t="s">
        <v>177</v>
      </c>
      <c r="C590" s="65" t="s">
        <v>106</v>
      </c>
      <c r="D590" s="65" t="str">
        <f>vlookup(C590,'Classificação p pessoal'!F:G,2,false)</f>
        <v>MProcesso</v>
      </c>
      <c r="E590" s="65" t="s">
        <v>318</v>
      </c>
      <c r="F590" s="83">
        <v>0.375</v>
      </c>
      <c r="G590" s="83">
        <v>0.3958333333333333</v>
      </c>
      <c r="H590" s="83">
        <v>0.020833333333333332</v>
      </c>
      <c r="I590" s="84">
        <v>44281.0</v>
      </c>
      <c r="J590" s="65" t="b">
        <v>1</v>
      </c>
      <c r="K590" s="65"/>
      <c r="L590" s="85" t="b">
        <f>IF(VLOOKUP(C590,Projetos!A:L,12,false)=TRUE,TRUE,FALSE)</f>
        <v>1</v>
      </c>
      <c r="M590" s="74">
        <v>31.02923620430495</v>
      </c>
      <c r="N590" s="74">
        <f t="shared" si="1"/>
        <v>15.5146181</v>
      </c>
      <c r="O590" s="74" t="b">
        <v>1</v>
      </c>
    </row>
    <row r="591" hidden="1">
      <c r="A591" s="82"/>
      <c r="B591" s="65" t="s">
        <v>177</v>
      </c>
      <c r="C591" s="65" t="s">
        <v>100</v>
      </c>
      <c r="D591" s="65" t="str">
        <f>vlookup(C591,'Classificação p pessoal'!F:G,2,false)</f>
        <v>NP</v>
      </c>
      <c r="E591" s="65" t="s">
        <v>324</v>
      </c>
      <c r="F591" s="83">
        <v>0.6666666666666666</v>
      </c>
      <c r="G591" s="83">
        <v>0.75</v>
      </c>
      <c r="H591" s="83">
        <v>0.08333333333333333</v>
      </c>
      <c r="I591" s="84">
        <v>44281.0</v>
      </c>
      <c r="J591" s="65" t="b">
        <v>1</v>
      </c>
      <c r="K591" s="65"/>
      <c r="L591" s="85" t="b">
        <f>IF(VLOOKUP(C591,Projetos!A:L,12,false)=TRUE,TRUE,FALSE)</f>
        <v>1</v>
      </c>
      <c r="M591" s="74">
        <v>31.02923620430495</v>
      </c>
      <c r="N591" s="74">
        <f t="shared" si="1"/>
        <v>62.05847241</v>
      </c>
      <c r="O591" s="74" t="b">
        <v>1</v>
      </c>
    </row>
    <row r="592" hidden="1">
      <c r="A592" s="82"/>
      <c r="B592" s="65" t="s">
        <v>177</v>
      </c>
      <c r="C592" s="65" t="s">
        <v>107</v>
      </c>
      <c r="D592" s="65" t="str">
        <f>vlookup(C592,'Classificação p pessoal'!F:G,2,false)</f>
        <v>NP</v>
      </c>
      <c r="E592" s="65" t="s">
        <v>325</v>
      </c>
      <c r="F592" s="83">
        <v>0.4583333333333333</v>
      </c>
      <c r="G592" s="83">
        <v>0.6666666666666666</v>
      </c>
      <c r="H592" s="83">
        <v>0.20833333333333334</v>
      </c>
      <c r="I592" s="84">
        <v>44281.0</v>
      </c>
      <c r="J592" s="65" t="b">
        <v>1</v>
      </c>
      <c r="K592" s="65"/>
      <c r="L592" s="85" t="b">
        <f>IF(VLOOKUP(C592,Projetos!A:L,12,false)=TRUE,TRUE,FALSE)</f>
        <v>1</v>
      </c>
      <c r="M592" s="74">
        <v>31.02923620430495</v>
      </c>
      <c r="N592" s="74">
        <f t="shared" si="1"/>
        <v>155.146181</v>
      </c>
      <c r="O592" s="74" t="b">
        <v>1</v>
      </c>
    </row>
    <row r="593" hidden="1">
      <c r="A593" s="82"/>
      <c r="B593" s="65" t="s">
        <v>177</v>
      </c>
      <c r="C593" s="65" t="s">
        <v>106</v>
      </c>
      <c r="D593" s="65" t="str">
        <f>vlookup(C593,'Classificação p pessoal'!F:G,2,false)</f>
        <v>MProcesso</v>
      </c>
      <c r="E593" s="65" t="s">
        <v>326</v>
      </c>
      <c r="F593" s="83">
        <v>0.3541666666666667</v>
      </c>
      <c r="G593" s="83">
        <v>0.4375</v>
      </c>
      <c r="H593" s="83">
        <v>0.08333333333333333</v>
      </c>
      <c r="I593" s="84">
        <v>44284.0</v>
      </c>
      <c r="J593" s="65" t="b">
        <v>1</v>
      </c>
      <c r="K593" s="65"/>
      <c r="L593" s="85" t="b">
        <f>IF(VLOOKUP(C593,Projetos!A:L,12,false)=TRUE,TRUE,FALSE)</f>
        <v>1</v>
      </c>
      <c r="M593" s="74">
        <v>31.02923620430495</v>
      </c>
      <c r="N593" s="74">
        <f t="shared" si="1"/>
        <v>62.05847241</v>
      </c>
      <c r="O593" s="74" t="b">
        <v>1</v>
      </c>
    </row>
    <row r="594" hidden="1">
      <c r="A594" s="82"/>
      <c r="B594" s="65" t="s">
        <v>177</v>
      </c>
      <c r="C594" s="65" t="s">
        <v>106</v>
      </c>
      <c r="D594" s="65" t="str">
        <f>vlookup(C594,'Classificação p pessoal'!F:G,2,false)</f>
        <v>MProcesso</v>
      </c>
      <c r="E594" s="65" t="s">
        <v>327</v>
      </c>
      <c r="F594" s="83">
        <v>0.4375</v>
      </c>
      <c r="G594" s="83">
        <v>0.4583333333333333</v>
      </c>
      <c r="H594" s="83">
        <v>0.020833333333333332</v>
      </c>
      <c r="I594" s="84">
        <v>44284.0</v>
      </c>
      <c r="J594" s="65" t="b">
        <v>1</v>
      </c>
      <c r="K594" s="65"/>
      <c r="L594" s="85" t="b">
        <f>IF(VLOOKUP(C594,Projetos!A:L,12,false)=TRUE,TRUE,FALSE)</f>
        <v>1</v>
      </c>
      <c r="M594" s="74">
        <v>31.02923620430495</v>
      </c>
      <c r="N594" s="74">
        <f t="shared" si="1"/>
        <v>15.5146181</v>
      </c>
      <c r="O594" s="74" t="b">
        <v>1</v>
      </c>
    </row>
    <row r="595" hidden="1">
      <c r="A595" s="82"/>
      <c r="B595" s="65" t="s">
        <v>177</v>
      </c>
      <c r="C595" s="65" t="s">
        <v>106</v>
      </c>
      <c r="D595" s="65"/>
      <c r="E595" s="65" t="s">
        <v>328</v>
      </c>
      <c r="F595" s="83">
        <v>0.3541666666666667</v>
      </c>
      <c r="G595" s="83">
        <v>0.375</v>
      </c>
      <c r="H595" s="83">
        <v>0.020833333333333332</v>
      </c>
      <c r="I595" s="84">
        <v>44285.0</v>
      </c>
      <c r="J595" s="65" t="b">
        <v>0</v>
      </c>
      <c r="K595" s="65" t="s">
        <v>150</v>
      </c>
      <c r="L595" s="85" t="b">
        <f>IF(VLOOKUP(C595,Projetos!A:L,12,false)=TRUE,TRUE,FALSE)</f>
        <v>1</v>
      </c>
      <c r="M595" s="74">
        <v>31.02923620430495</v>
      </c>
      <c r="N595" s="74">
        <f t="shared" si="1"/>
        <v>0</v>
      </c>
      <c r="O595" s="74" t="b">
        <v>1</v>
      </c>
    </row>
    <row r="596" hidden="1">
      <c r="A596" s="82"/>
      <c r="B596" s="65" t="s">
        <v>177</v>
      </c>
      <c r="C596" s="65" t="s">
        <v>92</v>
      </c>
      <c r="D596" s="65" t="str">
        <f>vlookup(C596,'Classificação p pessoal'!F:G,2,false)</f>
        <v/>
      </c>
      <c r="E596" s="65" t="s">
        <v>329</v>
      </c>
      <c r="F596" s="83">
        <v>0.375</v>
      </c>
      <c r="G596" s="83">
        <v>0.3958333333333333</v>
      </c>
      <c r="H596" s="83">
        <v>0.020833333333333332</v>
      </c>
      <c r="I596" s="84">
        <v>44285.0</v>
      </c>
      <c r="J596" s="65" t="b">
        <v>1</v>
      </c>
      <c r="K596" s="65"/>
      <c r="L596" s="85" t="b">
        <f>IF(VLOOKUP(C596,Projetos!A:L,12,false)=TRUE,TRUE,FALSE)</f>
        <v>1</v>
      </c>
      <c r="M596" s="74">
        <v>31.02923620430495</v>
      </c>
      <c r="N596" s="74">
        <f t="shared" si="1"/>
        <v>15.5146181</v>
      </c>
      <c r="O596" s="74" t="b">
        <v>1</v>
      </c>
    </row>
    <row r="597" hidden="1">
      <c r="A597" s="82"/>
      <c r="B597" s="65" t="s">
        <v>177</v>
      </c>
      <c r="C597" s="65" t="s">
        <v>108</v>
      </c>
      <c r="D597" s="65" t="str">
        <f>vlookup(C597,'Classificação p pessoal'!F:G,2,false)</f>
        <v>NP</v>
      </c>
      <c r="E597" s="65" t="s">
        <v>330</v>
      </c>
      <c r="F597" s="83">
        <v>0.6041666666666666</v>
      </c>
      <c r="G597" s="83">
        <v>0.6458333333333334</v>
      </c>
      <c r="H597" s="83">
        <v>0.041666666666666664</v>
      </c>
      <c r="I597" s="84">
        <v>44207.0</v>
      </c>
      <c r="J597" s="65" t="b">
        <v>1</v>
      </c>
      <c r="K597" s="65"/>
      <c r="L597" s="85" t="b">
        <f>IF(VLOOKUP(C597,Projetos!A:L,12,false)=TRUE,TRUE,FALSE)</f>
        <v>1</v>
      </c>
      <c r="M597" s="74">
        <v>31.02923620430495</v>
      </c>
      <c r="N597" s="74">
        <f t="shared" si="1"/>
        <v>31.0292362</v>
      </c>
      <c r="O597" s="74" t="b">
        <v>1</v>
      </c>
    </row>
    <row r="598" hidden="1">
      <c r="A598" s="82"/>
      <c r="B598" s="65" t="s">
        <v>177</v>
      </c>
      <c r="C598" s="65" t="s">
        <v>108</v>
      </c>
      <c r="D598" s="65" t="str">
        <f>vlookup(C598,'Classificação p pessoal'!F:G,2,false)</f>
        <v>NP</v>
      </c>
      <c r="E598" s="65" t="s">
        <v>331</v>
      </c>
      <c r="F598" s="83">
        <v>0.3958333333333333</v>
      </c>
      <c r="G598" s="83">
        <v>0.4375</v>
      </c>
      <c r="H598" s="83">
        <v>0.041666666666666664</v>
      </c>
      <c r="I598" s="84">
        <v>44285.0</v>
      </c>
      <c r="J598" s="65" t="b">
        <v>1</v>
      </c>
      <c r="K598" s="65"/>
      <c r="L598" s="85" t="b">
        <f>IF(VLOOKUP(C598,Projetos!A:L,12,false)=TRUE,TRUE,FALSE)</f>
        <v>1</v>
      </c>
      <c r="M598" s="74">
        <v>31.02923620430495</v>
      </c>
      <c r="N598" s="74">
        <f t="shared" si="1"/>
        <v>31.0292362</v>
      </c>
      <c r="O598" s="74" t="b">
        <v>1</v>
      </c>
    </row>
    <row r="599" hidden="1">
      <c r="A599" s="82"/>
      <c r="B599" s="65" t="s">
        <v>177</v>
      </c>
      <c r="C599" s="65" t="s">
        <v>106</v>
      </c>
      <c r="D599" s="65" t="str">
        <f>vlookup(C599,'Classificação p pessoal'!F:G,2,false)</f>
        <v>MProcesso</v>
      </c>
      <c r="E599" s="65" t="s">
        <v>332</v>
      </c>
      <c r="F599" s="83">
        <v>0.4166666666666667</v>
      </c>
      <c r="G599" s="83">
        <v>0.75</v>
      </c>
      <c r="H599" s="83">
        <v>0.3333333333333333</v>
      </c>
      <c r="I599" s="84">
        <v>44287.0</v>
      </c>
      <c r="J599" s="65" t="b">
        <v>1</v>
      </c>
      <c r="K599" s="65"/>
      <c r="L599" s="85" t="b">
        <f>IF(VLOOKUP(C599,Projetos!A:L,12,false)=TRUE,TRUE,FALSE)</f>
        <v>1</v>
      </c>
      <c r="M599" s="74">
        <v>31.02923620430495</v>
      </c>
      <c r="N599" s="74">
        <f t="shared" si="1"/>
        <v>248.2338896</v>
      </c>
      <c r="O599" s="74" t="b">
        <v>1</v>
      </c>
    </row>
    <row r="600" hidden="1">
      <c r="A600" s="82"/>
      <c r="B600" s="65" t="s">
        <v>177</v>
      </c>
      <c r="C600" s="65" t="s">
        <v>152</v>
      </c>
      <c r="D600" s="65" t="str">
        <f>vlookup(C600,'Classificação p pessoal'!F:G,2,false)</f>
        <v>MProduto</v>
      </c>
      <c r="E600" s="65" t="s">
        <v>333</v>
      </c>
      <c r="F600" s="83">
        <v>0.375</v>
      </c>
      <c r="G600" s="83">
        <v>0.4166666666666667</v>
      </c>
      <c r="H600" s="83">
        <v>0.041666666666666664</v>
      </c>
      <c r="I600" s="84">
        <v>44287.0</v>
      </c>
      <c r="J600" s="65" t="b">
        <v>1</v>
      </c>
      <c r="K600" s="65"/>
      <c r="L600" s="85" t="b">
        <f>IF(VLOOKUP(C600,Projetos!A:L,12,false)=TRUE,TRUE,FALSE)</f>
        <v>1</v>
      </c>
      <c r="M600" s="74">
        <v>31.02923620430495</v>
      </c>
      <c r="N600" s="74">
        <f t="shared" si="1"/>
        <v>31.0292362</v>
      </c>
      <c r="O600" s="74" t="b">
        <v>1</v>
      </c>
    </row>
    <row r="601" hidden="1">
      <c r="A601" s="82"/>
      <c r="B601" s="65" t="s">
        <v>177</v>
      </c>
      <c r="C601" s="65" t="s">
        <v>92</v>
      </c>
      <c r="D601" s="65" t="str">
        <f>vlookup(C601,'Classificação p pessoal'!F:G,2,false)</f>
        <v/>
      </c>
      <c r="E601" s="65" t="s">
        <v>334</v>
      </c>
      <c r="F601" s="83">
        <v>0.3541666666666667</v>
      </c>
      <c r="G601" s="83">
        <v>0.375</v>
      </c>
      <c r="H601" s="83">
        <v>0.020833333333333332</v>
      </c>
      <c r="I601" s="84">
        <v>44291.0</v>
      </c>
      <c r="J601" s="65" t="b">
        <v>1</v>
      </c>
      <c r="K601" s="65"/>
      <c r="L601" s="85" t="b">
        <f>IF(VLOOKUP(C601,Projetos!A:L,12,false)=TRUE,TRUE,FALSE)</f>
        <v>1</v>
      </c>
      <c r="M601" s="74">
        <v>31.02923620430495</v>
      </c>
      <c r="N601" s="74">
        <f t="shared" si="1"/>
        <v>15.5146181</v>
      </c>
      <c r="O601" s="74" t="b">
        <v>1</v>
      </c>
    </row>
    <row r="602" hidden="1">
      <c r="A602" s="82"/>
      <c r="B602" s="65" t="s">
        <v>177</v>
      </c>
      <c r="C602" s="65" t="s">
        <v>118</v>
      </c>
      <c r="D602" s="65"/>
      <c r="E602" s="65" t="s">
        <v>335</v>
      </c>
      <c r="F602" s="83">
        <v>0.3541666666666667</v>
      </c>
      <c r="G602" s="83">
        <v>0.3958333333333333</v>
      </c>
      <c r="H602" s="83">
        <v>0.041666666666666664</v>
      </c>
      <c r="I602" s="84">
        <v>44292.0</v>
      </c>
      <c r="J602" s="65" t="b">
        <v>0</v>
      </c>
      <c r="K602" s="65" t="s">
        <v>150</v>
      </c>
      <c r="L602" s="85" t="b">
        <f>IF(VLOOKUP(C602,Projetos!A:L,12,false)=TRUE,TRUE,FALSE)</f>
        <v>1</v>
      </c>
      <c r="M602" s="74">
        <v>31.02923620430495</v>
      </c>
      <c r="N602" s="74">
        <f t="shared" si="1"/>
        <v>0</v>
      </c>
      <c r="O602" s="74" t="b">
        <v>1</v>
      </c>
    </row>
    <row r="603" hidden="1">
      <c r="A603" s="82"/>
      <c r="B603" s="65" t="s">
        <v>177</v>
      </c>
      <c r="C603" s="65" t="s">
        <v>107</v>
      </c>
      <c r="D603" s="65" t="str">
        <f>vlookup(C603,'Classificação p pessoal'!F:G,2,false)</f>
        <v>NP</v>
      </c>
      <c r="E603" s="65" t="s">
        <v>336</v>
      </c>
      <c r="F603" s="83">
        <v>0.5833333333333334</v>
      </c>
      <c r="G603" s="83">
        <v>0.625</v>
      </c>
      <c r="H603" s="83">
        <v>0.041666666666666664</v>
      </c>
      <c r="I603" s="84">
        <v>44293.0</v>
      </c>
      <c r="J603" s="65" t="b">
        <v>1</v>
      </c>
      <c r="K603" s="65"/>
      <c r="L603" s="85" t="b">
        <f>IF(VLOOKUP(C603,Projetos!A:L,12,false)=TRUE,TRUE,FALSE)</f>
        <v>1</v>
      </c>
      <c r="M603" s="74">
        <v>31.02923620430495</v>
      </c>
      <c r="N603" s="74">
        <f t="shared" si="1"/>
        <v>31.0292362</v>
      </c>
      <c r="O603" s="74" t="b">
        <v>1</v>
      </c>
    </row>
    <row r="604" hidden="1">
      <c r="A604" s="82"/>
      <c r="B604" s="65" t="s">
        <v>177</v>
      </c>
      <c r="C604" s="65" t="s">
        <v>106</v>
      </c>
      <c r="D604" s="65" t="str">
        <f>vlookup(C604,'Classificação p pessoal'!F:G,2,false)</f>
        <v>MProcesso</v>
      </c>
      <c r="E604" s="65" t="s">
        <v>337</v>
      </c>
      <c r="F604" s="83">
        <v>0.625</v>
      </c>
      <c r="G604" s="83">
        <v>0.6666666666666666</v>
      </c>
      <c r="H604" s="83">
        <v>0.041666666666666664</v>
      </c>
      <c r="I604" s="84">
        <v>44293.0</v>
      </c>
      <c r="J604" s="65" t="b">
        <v>1</v>
      </c>
      <c r="K604" s="65"/>
      <c r="L604" s="85" t="b">
        <f>IF(VLOOKUP(C604,Projetos!A:L,12,false)=TRUE,TRUE,FALSE)</f>
        <v>1</v>
      </c>
      <c r="M604" s="74">
        <v>31.02923620430495</v>
      </c>
      <c r="N604" s="74">
        <f t="shared" si="1"/>
        <v>31.0292362</v>
      </c>
      <c r="O604" s="74" t="b">
        <v>1</v>
      </c>
    </row>
    <row r="605" hidden="1">
      <c r="A605" s="82"/>
      <c r="B605" s="65" t="s">
        <v>177</v>
      </c>
      <c r="C605" s="65" t="s">
        <v>108</v>
      </c>
      <c r="D605" s="65" t="str">
        <f>vlookup(C605,'Classificação p pessoal'!F:G,2,false)</f>
        <v>NP</v>
      </c>
      <c r="E605" s="65" t="s">
        <v>338</v>
      </c>
      <c r="F605" s="83">
        <v>0.4375</v>
      </c>
      <c r="G605" s="83">
        <v>0.4583333333333333</v>
      </c>
      <c r="H605" s="83">
        <v>0.020833333333333332</v>
      </c>
      <c r="I605" s="84">
        <v>44526.0</v>
      </c>
      <c r="J605" s="65" t="b">
        <v>1</v>
      </c>
      <c r="K605" s="65"/>
      <c r="L605" s="85" t="b">
        <f>IF(VLOOKUP(C605,Projetos!A:L,12,false)=TRUE,TRUE,FALSE)</f>
        <v>1</v>
      </c>
      <c r="M605" s="74">
        <v>31.02923620430495</v>
      </c>
      <c r="N605" s="74">
        <f t="shared" si="1"/>
        <v>15.5146181</v>
      </c>
      <c r="O605" s="74" t="b">
        <v>1</v>
      </c>
    </row>
    <row r="606" hidden="1">
      <c r="A606" s="82"/>
      <c r="B606" s="65" t="s">
        <v>177</v>
      </c>
      <c r="C606" s="65" t="s">
        <v>100</v>
      </c>
      <c r="D606" s="65" t="str">
        <f>vlookup(C606,'Classificação p pessoal'!F:G,2,false)</f>
        <v>NP</v>
      </c>
      <c r="E606" s="65" t="s">
        <v>339</v>
      </c>
      <c r="F606" s="83">
        <v>0.3541666666666667</v>
      </c>
      <c r="G606" s="83">
        <v>0.375</v>
      </c>
      <c r="H606" s="83">
        <v>0.020833333333333332</v>
      </c>
      <c r="I606" s="84">
        <v>44294.0</v>
      </c>
      <c r="J606" s="65" t="b">
        <v>1</v>
      </c>
      <c r="K606" s="65"/>
      <c r="L606" s="85" t="b">
        <f>IF(VLOOKUP(C606,Projetos!A:L,12,false)=TRUE,TRUE,FALSE)</f>
        <v>1</v>
      </c>
      <c r="M606" s="74">
        <v>31.02923620430495</v>
      </c>
      <c r="N606" s="74">
        <f t="shared" si="1"/>
        <v>15.5146181</v>
      </c>
      <c r="O606" s="74" t="b">
        <v>1</v>
      </c>
    </row>
    <row r="607" hidden="1">
      <c r="A607" s="82"/>
      <c r="B607" s="65" t="s">
        <v>177</v>
      </c>
      <c r="C607" s="65" t="s">
        <v>100</v>
      </c>
      <c r="D607" s="65" t="str">
        <f>vlookup(C607,'Classificação p pessoal'!F:G,2,false)</f>
        <v>NP</v>
      </c>
      <c r="E607" s="65" t="s">
        <v>340</v>
      </c>
      <c r="F607" s="83">
        <v>0.3541666666666667</v>
      </c>
      <c r="G607" s="83">
        <v>0.3854166666666667</v>
      </c>
      <c r="H607" s="83">
        <v>0.03125</v>
      </c>
      <c r="I607" s="84">
        <v>44295.0</v>
      </c>
      <c r="J607" s="65" t="b">
        <v>1</v>
      </c>
      <c r="K607" s="65"/>
      <c r="L607" s="85" t="b">
        <f>IF(VLOOKUP(C607,Projetos!A:L,12,false)=TRUE,TRUE,FALSE)</f>
        <v>1</v>
      </c>
      <c r="M607" s="74">
        <v>31.02923620430495</v>
      </c>
      <c r="N607" s="74">
        <f t="shared" si="1"/>
        <v>23.27192715</v>
      </c>
      <c r="O607" s="74" t="b">
        <v>1</v>
      </c>
    </row>
    <row r="608" hidden="1">
      <c r="A608" s="82"/>
      <c r="B608" s="65" t="s">
        <v>177</v>
      </c>
      <c r="C608" s="65" t="s">
        <v>108</v>
      </c>
      <c r="D608" s="65" t="str">
        <f>vlookup(C608,'Classificação p pessoal'!F:G,2,false)</f>
        <v>NP</v>
      </c>
      <c r="E608" s="65" t="s">
        <v>341</v>
      </c>
      <c r="F608" s="83">
        <v>0.3854166666666667</v>
      </c>
      <c r="G608" s="83">
        <v>0.3958333333333333</v>
      </c>
      <c r="H608" s="83">
        <v>0.010416666666666666</v>
      </c>
      <c r="I608" s="84">
        <v>44295.0</v>
      </c>
      <c r="J608" s="65" t="b">
        <v>1</v>
      </c>
      <c r="K608" s="65"/>
      <c r="L608" s="85" t="b">
        <f>IF(VLOOKUP(C608,Projetos!A:L,12,false)=TRUE,TRUE,FALSE)</f>
        <v>1</v>
      </c>
      <c r="M608" s="74">
        <v>31.02923620430495</v>
      </c>
      <c r="N608" s="74">
        <f t="shared" si="1"/>
        <v>7.757309051</v>
      </c>
      <c r="O608" s="74" t="b">
        <v>1</v>
      </c>
    </row>
    <row r="609" hidden="1">
      <c r="A609" s="82"/>
      <c r="B609" s="65" t="s">
        <v>177</v>
      </c>
      <c r="C609" s="65" t="s">
        <v>108</v>
      </c>
      <c r="D609" s="65" t="str">
        <f>vlookup(C609,'Classificação p pessoal'!F:G,2,false)</f>
        <v>NP</v>
      </c>
      <c r="E609" s="65" t="s">
        <v>342</v>
      </c>
      <c r="F609" s="83">
        <v>0.3958333333333333</v>
      </c>
      <c r="G609" s="83">
        <v>0.4375</v>
      </c>
      <c r="H609" s="83">
        <v>0.041666666666666664</v>
      </c>
      <c r="I609" s="84">
        <v>44295.0</v>
      </c>
      <c r="J609" s="65" t="b">
        <v>1</v>
      </c>
      <c r="K609" s="65"/>
      <c r="L609" s="85" t="b">
        <f>IF(VLOOKUP(C609,Projetos!A:L,12,false)=TRUE,TRUE,FALSE)</f>
        <v>1</v>
      </c>
      <c r="M609" s="74">
        <v>31.02923620430495</v>
      </c>
      <c r="N609" s="74">
        <f t="shared" si="1"/>
        <v>31.0292362</v>
      </c>
      <c r="O609" s="74" t="b">
        <v>1</v>
      </c>
    </row>
    <row r="610" hidden="1">
      <c r="A610" s="82"/>
      <c r="B610" s="65" t="s">
        <v>177</v>
      </c>
      <c r="C610" s="65" t="s">
        <v>92</v>
      </c>
      <c r="D610" s="65" t="str">
        <f>vlookup(C610,'Classificação p pessoal'!F:G,2,false)</f>
        <v/>
      </c>
      <c r="E610" s="65" t="s">
        <v>343</v>
      </c>
      <c r="F610" s="83">
        <v>0.4375</v>
      </c>
      <c r="G610" s="83">
        <v>0.5</v>
      </c>
      <c r="H610" s="83">
        <v>0.0625</v>
      </c>
      <c r="I610" s="84">
        <v>44295.0</v>
      </c>
      <c r="J610" s="65" t="b">
        <v>1</v>
      </c>
      <c r="K610" s="65"/>
      <c r="L610" s="85" t="b">
        <f>IF(VLOOKUP(C610,Projetos!A:L,12,false)=TRUE,TRUE,FALSE)</f>
        <v>1</v>
      </c>
      <c r="M610" s="74">
        <v>31.02923620430495</v>
      </c>
      <c r="N610" s="74">
        <f t="shared" si="1"/>
        <v>46.54385431</v>
      </c>
      <c r="O610" s="74" t="b">
        <v>1</v>
      </c>
    </row>
    <row r="611" hidden="1">
      <c r="A611" s="82"/>
      <c r="B611" s="65" t="s">
        <v>177</v>
      </c>
      <c r="C611" s="65" t="s">
        <v>152</v>
      </c>
      <c r="D611" s="65" t="str">
        <f>vlookup(C611,'Classificação p pessoal'!F:G,2,false)</f>
        <v>MProduto</v>
      </c>
      <c r="E611" s="65" t="s">
        <v>344</v>
      </c>
      <c r="F611" s="83">
        <v>0.5</v>
      </c>
      <c r="G611" s="83">
        <v>0.5208333333333334</v>
      </c>
      <c r="H611" s="83">
        <v>0.020833333333333332</v>
      </c>
      <c r="I611" s="84">
        <v>44295.0</v>
      </c>
      <c r="J611" s="65" t="b">
        <v>1</v>
      </c>
      <c r="K611" s="65"/>
      <c r="L611" s="85" t="b">
        <f>IF(VLOOKUP(C611,Projetos!A:L,12,false)=TRUE,TRUE,FALSE)</f>
        <v>1</v>
      </c>
      <c r="M611" s="74">
        <v>31.02923620430495</v>
      </c>
      <c r="N611" s="74">
        <f t="shared" si="1"/>
        <v>15.5146181</v>
      </c>
      <c r="O611" s="74" t="b">
        <v>1</v>
      </c>
    </row>
    <row r="612" hidden="1">
      <c r="A612" s="82"/>
      <c r="B612" s="65" t="s">
        <v>177</v>
      </c>
      <c r="C612" s="65" t="s">
        <v>106</v>
      </c>
      <c r="D612" s="65" t="str">
        <f>vlookup(C612,'Classificação p pessoal'!F:G,2,false)</f>
        <v>MProcesso</v>
      </c>
      <c r="E612" s="65" t="s">
        <v>345</v>
      </c>
      <c r="F612" s="83">
        <v>0.5208333333333334</v>
      </c>
      <c r="G612" s="83">
        <v>0.5416666666666666</v>
      </c>
      <c r="H612" s="83">
        <v>0.020833333333333332</v>
      </c>
      <c r="I612" s="84">
        <v>44295.0</v>
      </c>
      <c r="J612" s="65" t="b">
        <v>1</v>
      </c>
      <c r="K612" s="65"/>
      <c r="L612" s="85" t="b">
        <f>IF(VLOOKUP(C612,Projetos!A:L,12,false)=TRUE,TRUE,FALSE)</f>
        <v>1</v>
      </c>
      <c r="M612" s="74">
        <v>31.02923620430495</v>
      </c>
      <c r="N612" s="74">
        <f t="shared" si="1"/>
        <v>15.5146181</v>
      </c>
      <c r="O612" s="74" t="b">
        <v>1</v>
      </c>
    </row>
    <row r="613" hidden="1">
      <c r="A613" s="82"/>
      <c r="B613" s="65" t="s">
        <v>177</v>
      </c>
      <c r="C613" s="65" t="s">
        <v>91</v>
      </c>
      <c r="D613" s="65"/>
      <c r="E613" s="65" t="s">
        <v>346</v>
      </c>
      <c r="F613" s="83">
        <v>0.3541666666666667</v>
      </c>
      <c r="G613" s="83">
        <v>0.4166666666666667</v>
      </c>
      <c r="H613" s="83">
        <v>0.0625</v>
      </c>
      <c r="I613" s="84">
        <v>44298.0</v>
      </c>
      <c r="J613" s="65" t="b">
        <v>0</v>
      </c>
      <c r="K613" s="65" t="s">
        <v>150</v>
      </c>
      <c r="L613" s="85" t="b">
        <f>IF(VLOOKUP(C613,Projetos!A:L,12,false)=TRUE,TRUE,FALSE)</f>
        <v>1</v>
      </c>
      <c r="M613" s="74">
        <v>31.02923620430495</v>
      </c>
      <c r="N613" s="74">
        <f t="shared" si="1"/>
        <v>0</v>
      </c>
      <c r="O613" s="74" t="b">
        <v>1</v>
      </c>
    </row>
    <row r="614" hidden="1">
      <c r="A614" s="82"/>
      <c r="B614" s="65" t="s">
        <v>177</v>
      </c>
      <c r="C614" s="65" t="s">
        <v>108</v>
      </c>
      <c r="D614" s="65" t="str">
        <f>vlookup(C614,'Classificação p pessoal'!F:G,2,false)</f>
        <v>NP</v>
      </c>
      <c r="E614" s="65" t="s">
        <v>347</v>
      </c>
      <c r="F614" s="83">
        <v>0.3541666666666667</v>
      </c>
      <c r="G614" s="83">
        <v>0.375</v>
      </c>
      <c r="H614" s="83">
        <v>0.020833333333333332</v>
      </c>
      <c r="I614" s="84">
        <v>44299.0</v>
      </c>
      <c r="J614" s="65" t="b">
        <v>1</v>
      </c>
      <c r="K614" s="65"/>
      <c r="L614" s="85" t="b">
        <f>IF(VLOOKUP(C614,Projetos!A:L,12,false)=TRUE,TRUE,FALSE)</f>
        <v>1</v>
      </c>
      <c r="M614" s="74">
        <v>31.02923620430495</v>
      </c>
      <c r="N614" s="74">
        <f t="shared" si="1"/>
        <v>15.5146181</v>
      </c>
      <c r="O614" s="74" t="b">
        <v>1</v>
      </c>
    </row>
    <row r="615" hidden="1">
      <c r="A615" s="82"/>
      <c r="B615" s="65" t="s">
        <v>177</v>
      </c>
      <c r="C615" s="65" t="s">
        <v>108</v>
      </c>
      <c r="D615" s="65" t="str">
        <f>vlookup(C615,'Classificação p pessoal'!F:G,2,false)</f>
        <v>NP</v>
      </c>
      <c r="E615" s="65" t="s">
        <v>348</v>
      </c>
      <c r="F615" s="83">
        <v>0.5625</v>
      </c>
      <c r="G615" s="83">
        <v>0.5833333333333334</v>
      </c>
      <c r="H615" s="83">
        <v>0.020833333333333332</v>
      </c>
      <c r="I615" s="84">
        <v>44421.0</v>
      </c>
      <c r="J615" s="65" t="b">
        <v>1</v>
      </c>
      <c r="K615" s="65"/>
      <c r="L615" s="85" t="b">
        <f>IF(VLOOKUP(C615,Projetos!A:L,12,false)=TRUE,TRUE,FALSE)</f>
        <v>1</v>
      </c>
      <c r="M615" s="74">
        <v>31.02923620430495</v>
      </c>
      <c r="N615" s="74">
        <f t="shared" si="1"/>
        <v>15.5146181</v>
      </c>
      <c r="O615" s="74" t="b">
        <v>1</v>
      </c>
    </row>
    <row r="616" hidden="1">
      <c r="A616" s="82"/>
      <c r="B616" s="65" t="s">
        <v>177</v>
      </c>
      <c r="C616" s="65" t="s">
        <v>100</v>
      </c>
      <c r="D616" s="65" t="str">
        <f>vlookup(C616,'Classificação p pessoal'!F:G,2,false)</f>
        <v>NP</v>
      </c>
      <c r="E616" s="65" t="s">
        <v>349</v>
      </c>
      <c r="F616" s="83">
        <v>0.4166666666666667</v>
      </c>
      <c r="G616" s="83">
        <v>0.4583333333333333</v>
      </c>
      <c r="H616" s="83">
        <v>0.041666666666666664</v>
      </c>
      <c r="I616" s="84">
        <v>44299.0</v>
      </c>
      <c r="J616" s="65" t="b">
        <v>1</v>
      </c>
      <c r="K616" s="65"/>
      <c r="L616" s="85" t="b">
        <f>IF(VLOOKUP(C616,Projetos!A:L,12,false)=TRUE,TRUE,FALSE)</f>
        <v>1</v>
      </c>
      <c r="M616" s="74">
        <v>31.02923620430495</v>
      </c>
      <c r="N616" s="74">
        <f t="shared" si="1"/>
        <v>31.0292362</v>
      </c>
      <c r="O616" s="74" t="b">
        <v>1</v>
      </c>
    </row>
    <row r="617" hidden="1">
      <c r="A617" s="82"/>
      <c r="B617" s="65" t="s">
        <v>177</v>
      </c>
      <c r="C617" s="65" t="s">
        <v>106</v>
      </c>
      <c r="D617" s="65"/>
      <c r="E617" s="65" t="s">
        <v>350</v>
      </c>
      <c r="F617" s="83">
        <v>0.3541666666666667</v>
      </c>
      <c r="G617" s="83">
        <v>0.375</v>
      </c>
      <c r="H617" s="83">
        <v>0.020833333333333332</v>
      </c>
      <c r="I617" s="84">
        <v>44300.0</v>
      </c>
      <c r="J617" s="65" t="b">
        <v>0</v>
      </c>
      <c r="K617" s="65" t="s">
        <v>150</v>
      </c>
      <c r="L617" s="85" t="b">
        <f>IF(VLOOKUP(C617,Projetos!A:L,12,false)=TRUE,TRUE,FALSE)</f>
        <v>1</v>
      </c>
      <c r="M617" s="74">
        <v>31.02923620430495</v>
      </c>
      <c r="N617" s="74">
        <f t="shared" si="1"/>
        <v>0</v>
      </c>
      <c r="O617" s="74" t="b">
        <v>1</v>
      </c>
    </row>
    <row r="618" hidden="1">
      <c r="A618" s="82"/>
      <c r="B618" s="65" t="s">
        <v>177</v>
      </c>
      <c r="C618" s="65" t="s">
        <v>92</v>
      </c>
      <c r="D618" s="65" t="str">
        <f>vlookup(C618,'Classificação p pessoal'!F:G,2,false)</f>
        <v/>
      </c>
      <c r="E618" s="65" t="s">
        <v>351</v>
      </c>
      <c r="F618" s="83">
        <v>0.375</v>
      </c>
      <c r="G618" s="83">
        <v>0.4166666666666667</v>
      </c>
      <c r="H618" s="83">
        <v>0.041666666666666664</v>
      </c>
      <c r="I618" s="84">
        <v>44300.0</v>
      </c>
      <c r="J618" s="65" t="b">
        <v>1</v>
      </c>
      <c r="K618" s="65"/>
      <c r="L618" s="85" t="b">
        <f>IF(VLOOKUP(C618,Projetos!A:L,12,false)=TRUE,TRUE,FALSE)</f>
        <v>1</v>
      </c>
      <c r="M618" s="74">
        <v>31.02923620430495</v>
      </c>
      <c r="N618" s="74">
        <f t="shared" si="1"/>
        <v>31.0292362</v>
      </c>
      <c r="O618" s="74" t="b">
        <v>1</v>
      </c>
    </row>
    <row r="619" hidden="1">
      <c r="A619" s="82"/>
      <c r="B619" s="65" t="s">
        <v>177</v>
      </c>
      <c r="C619" s="65" t="s">
        <v>108</v>
      </c>
      <c r="D619" s="65" t="str">
        <f>vlookup(C619,'Classificação p pessoal'!F:G,2,false)</f>
        <v>NP</v>
      </c>
      <c r="E619" s="65" t="s">
        <v>352</v>
      </c>
      <c r="F619" s="83">
        <v>0.625</v>
      </c>
      <c r="G619" s="83">
        <v>0.6458333333333334</v>
      </c>
      <c r="H619" s="83">
        <v>0.020833333333333332</v>
      </c>
      <c r="I619" s="84">
        <v>44546.0</v>
      </c>
      <c r="J619" s="65" t="b">
        <v>1</v>
      </c>
      <c r="K619" s="65"/>
      <c r="L619" s="85" t="b">
        <f>IF(VLOOKUP(C619,Projetos!A:L,12,false)=TRUE,TRUE,FALSE)</f>
        <v>1</v>
      </c>
      <c r="M619" s="74">
        <v>31.02923620430495</v>
      </c>
      <c r="N619" s="74">
        <f t="shared" si="1"/>
        <v>15.5146181</v>
      </c>
      <c r="O619" s="74" t="b">
        <v>1</v>
      </c>
    </row>
    <row r="620" hidden="1">
      <c r="A620" s="82"/>
      <c r="B620" s="65" t="s">
        <v>177</v>
      </c>
      <c r="C620" s="65" t="s">
        <v>100</v>
      </c>
      <c r="D620" s="65" t="str">
        <f>vlookup(C620,'Classificação p pessoal'!F:G,2,false)</f>
        <v>NP</v>
      </c>
      <c r="E620" s="65" t="s">
        <v>353</v>
      </c>
      <c r="F620" s="83">
        <v>0.5416666666666666</v>
      </c>
      <c r="G620" s="83">
        <v>0.6041666666666666</v>
      </c>
      <c r="H620" s="83">
        <v>0.0625</v>
      </c>
      <c r="I620" s="84">
        <v>44301.0</v>
      </c>
      <c r="J620" s="65" t="b">
        <v>1</v>
      </c>
      <c r="K620" s="65"/>
      <c r="L620" s="85" t="b">
        <f>IF(VLOOKUP(C620,Projetos!A:L,12,false)=TRUE,TRUE,FALSE)</f>
        <v>1</v>
      </c>
      <c r="M620" s="74">
        <v>31.02923620430495</v>
      </c>
      <c r="N620" s="74">
        <f t="shared" si="1"/>
        <v>46.54385431</v>
      </c>
      <c r="O620" s="74" t="b">
        <v>1</v>
      </c>
    </row>
    <row r="621" hidden="1">
      <c r="A621" s="82"/>
      <c r="B621" s="65" t="s">
        <v>177</v>
      </c>
      <c r="C621" s="65" t="s">
        <v>100</v>
      </c>
      <c r="D621" s="65" t="str">
        <f>vlookup(C621,'Classificação p pessoal'!F:G,2,false)</f>
        <v>NP</v>
      </c>
      <c r="E621" s="65" t="s">
        <v>354</v>
      </c>
      <c r="F621" s="83">
        <v>0.6041666666666666</v>
      </c>
      <c r="G621" s="83">
        <v>0.6458333333333334</v>
      </c>
      <c r="H621" s="83">
        <v>0.041666666666666664</v>
      </c>
      <c r="I621" s="84">
        <v>44301.0</v>
      </c>
      <c r="J621" s="65" t="b">
        <v>1</v>
      </c>
      <c r="K621" s="65"/>
      <c r="L621" s="85" t="b">
        <f>IF(VLOOKUP(C621,Projetos!A:L,12,false)=TRUE,TRUE,FALSE)</f>
        <v>1</v>
      </c>
      <c r="M621" s="74">
        <v>31.02923620430495</v>
      </c>
      <c r="N621" s="74">
        <f t="shared" si="1"/>
        <v>31.0292362</v>
      </c>
      <c r="O621" s="74" t="b">
        <v>1</v>
      </c>
    </row>
    <row r="622" hidden="1">
      <c r="A622" s="82"/>
      <c r="B622" s="65" t="s">
        <v>177</v>
      </c>
      <c r="C622" s="65" t="s">
        <v>100</v>
      </c>
      <c r="D622" s="65" t="str">
        <f>vlookup(C622,'Classificação p pessoal'!F:G,2,false)</f>
        <v>NP</v>
      </c>
      <c r="E622" s="65" t="s">
        <v>355</v>
      </c>
      <c r="F622" s="83">
        <v>0.6458333333333334</v>
      </c>
      <c r="G622" s="83">
        <v>0.6875</v>
      </c>
      <c r="H622" s="83">
        <v>0.041666666666666664</v>
      </c>
      <c r="I622" s="84">
        <v>44301.0</v>
      </c>
      <c r="J622" s="65" t="b">
        <v>1</v>
      </c>
      <c r="K622" s="65"/>
      <c r="L622" s="85" t="b">
        <f>IF(VLOOKUP(C622,Projetos!A:L,12,false)=TRUE,TRUE,FALSE)</f>
        <v>1</v>
      </c>
      <c r="M622" s="74">
        <v>31.02923620430495</v>
      </c>
      <c r="N622" s="74">
        <f t="shared" si="1"/>
        <v>31.0292362</v>
      </c>
      <c r="O622" s="74" t="b">
        <v>1</v>
      </c>
    </row>
    <row r="623" hidden="1">
      <c r="A623" s="82"/>
      <c r="B623" s="65" t="s">
        <v>177</v>
      </c>
      <c r="C623" s="65" t="s">
        <v>100</v>
      </c>
      <c r="D623" s="65" t="str">
        <f>vlookup(C623,'Classificação p pessoal'!F:G,2,false)</f>
        <v>NP</v>
      </c>
      <c r="E623" s="65" t="s">
        <v>349</v>
      </c>
      <c r="F623" s="83">
        <v>0.4375</v>
      </c>
      <c r="G623" s="83">
        <v>0.4583333333333333</v>
      </c>
      <c r="H623" s="83">
        <v>0.020833333333333332</v>
      </c>
      <c r="I623" s="84">
        <v>44302.0</v>
      </c>
      <c r="J623" s="65" t="b">
        <v>1</v>
      </c>
      <c r="K623" s="65"/>
      <c r="L623" s="85" t="b">
        <f>IF(VLOOKUP(C623,Projetos!A:L,12,false)=TRUE,TRUE,FALSE)</f>
        <v>1</v>
      </c>
      <c r="M623" s="74">
        <v>31.02923620430495</v>
      </c>
      <c r="N623" s="74">
        <f t="shared" si="1"/>
        <v>15.5146181</v>
      </c>
      <c r="O623" s="74" t="b">
        <v>1</v>
      </c>
    </row>
    <row r="624" hidden="1">
      <c r="A624" s="82"/>
      <c r="B624" s="65" t="s">
        <v>177</v>
      </c>
      <c r="C624" s="65" t="s">
        <v>108</v>
      </c>
      <c r="D624" s="65" t="str">
        <f>vlookup(C624,'Classificação p pessoal'!F:G,2,false)</f>
        <v>NP</v>
      </c>
      <c r="E624" s="65" t="s">
        <v>356</v>
      </c>
      <c r="F624" s="83">
        <v>0.3541666666666667</v>
      </c>
      <c r="G624" s="83">
        <v>0.375</v>
      </c>
      <c r="H624" s="83">
        <v>0.020833333333333332</v>
      </c>
      <c r="I624" s="84">
        <v>44302.0</v>
      </c>
      <c r="J624" s="65" t="b">
        <v>1</v>
      </c>
      <c r="K624" s="65"/>
      <c r="L624" s="85" t="b">
        <f>IF(VLOOKUP(C624,Projetos!A:L,12,false)=TRUE,TRUE,FALSE)</f>
        <v>1</v>
      </c>
      <c r="M624" s="74">
        <v>31.02923620430495</v>
      </c>
      <c r="N624" s="74">
        <f t="shared" si="1"/>
        <v>15.5146181</v>
      </c>
      <c r="O624" s="74" t="b">
        <v>1</v>
      </c>
    </row>
    <row r="625" hidden="1">
      <c r="A625" s="82"/>
      <c r="B625" s="65" t="s">
        <v>177</v>
      </c>
      <c r="C625" s="65" t="s">
        <v>91</v>
      </c>
      <c r="D625" s="65" t="str">
        <f>vlookup(C625,'Classificação p pessoal'!F:G,2,false)</f>
        <v>NP</v>
      </c>
      <c r="E625" s="65" t="s">
        <v>357</v>
      </c>
      <c r="F625" s="83">
        <v>0.375</v>
      </c>
      <c r="G625" s="83">
        <v>0.4166666666666667</v>
      </c>
      <c r="H625" s="83">
        <v>0.041666666666666664</v>
      </c>
      <c r="I625" s="84">
        <v>44302.0</v>
      </c>
      <c r="J625" s="65" t="b">
        <v>1</v>
      </c>
      <c r="K625" s="65"/>
      <c r="L625" s="85" t="b">
        <f>IF(VLOOKUP(C625,Projetos!A:L,12,false)=TRUE,TRUE,FALSE)</f>
        <v>1</v>
      </c>
      <c r="M625" s="74">
        <v>31.02923620430495</v>
      </c>
      <c r="N625" s="74">
        <f t="shared" si="1"/>
        <v>31.0292362</v>
      </c>
      <c r="O625" s="74" t="b">
        <v>1</v>
      </c>
    </row>
    <row r="626" hidden="1">
      <c r="A626" s="82"/>
      <c r="B626" s="65" t="s">
        <v>177</v>
      </c>
      <c r="C626" s="65" t="s">
        <v>108</v>
      </c>
      <c r="D626" s="65" t="str">
        <f>vlookup(C626,'Classificação p pessoal'!F:G,2,false)</f>
        <v>NP</v>
      </c>
      <c r="E626" s="65" t="s">
        <v>358</v>
      </c>
      <c r="F626" s="83">
        <v>0.3958333333333333</v>
      </c>
      <c r="G626" s="83">
        <v>0.4166666666666667</v>
      </c>
      <c r="H626" s="83">
        <v>0.020833333333333332</v>
      </c>
      <c r="I626" s="84">
        <v>44349.0</v>
      </c>
      <c r="J626" s="65" t="b">
        <v>1</v>
      </c>
      <c r="K626" s="65"/>
      <c r="L626" s="85" t="b">
        <f>IF(VLOOKUP(C626,Projetos!A:L,12,false)=TRUE,TRUE,FALSE)</f>
        <v>1</v>
      </c>
      <c r="M626" s="74">
        <v>31.02923620430495</v>
      </c>
      <c r="N626" s="74">
        <f t="shared" si="1"/>
        <v>15.5146181</v>
      </c>
      <c r="O626" s="74" t="b">
        <v>1</v>
      </c>
    </row>
    <row r="627" hidden="1">
      <c r="A627" s="82"/>
      <c r="B627" s="65" t="s">
        <v>177</v>
      </c>
      <c r="C627" s="65" t="s">
        <v>117</v>
      </c>
      <c r="D627" s="65" t="str">
        <f>vlookup(C627,'Classificação p pessoal'!F:G,2,false)</f>
        <v>NP</v>
      </c>
      <c r="E627" s="65" t="s">
        <v>359</v>
      </c>
      <c r="F627" s="83">
        <v>0.5833333333333334</v>
      </c>
      <c r="G627" s="83">
        <v>0.6458333333333334</v>
      </c>
      <c r="H627" s="83">
        <v>0.0625</v>
      </c>
      <c r="I627" s="84">
        <v>44302.0</v>
      </c>
      <c r="J627" s="65" t="b">
        <v>1</v>
      </c>
      <c r="K627" s="65"/>
      <c r="L627" s="85" t="b">
        <f>IF(VLOOKUP(C627,Projetos!A:L,12,false)=TRUE,TRUE,FALSE)</f>
        <v>1</v>
      </c>
      <c r="M627" s="74">
        <v>31.02923620430495</v>
      </c>
      <c r="N627" s="74">
        <f t="shared" si="1"/>
        <v>46.54385431</v>
      </c>
      <c r="O627" s="74" t="b">
        <v>1</v>
      </c>
    </row>
    <row r="628" hidden="1">
      <c r="A628" s="82"/>
      <c r="B628" s="65" t="s">
        <v>177</v>
      </c>
      <c r="C628" s="65" t="s">
        <v>113</v>
      </c>
      <c r="D628" s="65" t="str">
        <f>vlookup(C628,'Classificação p pessoal'!F:G,2,false)</f>
        <v>NP</v>
      </c>
      <c r="E628" s="65" t="s">
        <v>360</v>
      </c>
      <c r="F628" s="83">
        <v>0.6458333333333334</v>
      </c>
      <c r="G628" s="83">
        <v>0.6875</v>
      </c>
      <c r="H628" s="83">
        <v>0.041666666666666664</v>
      </c>
      <c r="I628" s="84">
        <v>44302.0</v>
      </c>
      <c r="J628" s="65" t="b">
        <v>1</v>
      </c>
      <c r="K628" s="65"/>
      <c r="L628" s="85" t="b">
        <f>IF(VLOOKUP(C628,Projetos!A:L,12,false)=TRUE,TRUE,FALSE)</f>
        <v>1</v>
      </c>
      <c r="M628" s="74">
        <v>31.02923620430495</v>
      </c>
      <c r="N628" s="74">
        <f t="shared" si="1"/>
        <v>31.0292362</v>
      </c>
      <c r="O628" s="74" t="b">
        <v>1</v>
      </c>
    </row>
    <row r="629" hidden="1">
      <c r="A629" s="82"/>
      <c r="B629" s="65" t="s">
        <v>177</v>
      </c>
      <c r="C629" s="65" t="s">
        <v>113</v>
      </c>
      <c r="D629" s="65" t="str">
        <f>vlookup(C629,'Classificação p pessoal'!F:G,2,false)</f>
        <v>NP</v>
      </c>
      <c r="E629" s="65" t="s">
        <v>361</v>
      </c>
      <c r="F629" s="83">
        <v>0.6875</v>
      </c>
      <c r="G629" s="83">
        <v>0.7708333333333334</v>
      </c>
      <c r="H629" s="83">
        <v>0.08333333333333333</v>
      </c>
      <c r="I629" s="84">
        <v>44302.0</v>
      </c>
      <c r="J629" s="65" t="b">
        <v>1</v>
      </c>
      <c r="K629" s="65"/>
      <c r="L629" s="85" t="b">
        <f>IF(VLOOKUP(C629,Projetos!A:L,12,false)=TRUE,TRUE,FALSE)</f>
        <v>1</v>
      </c>
      <c r="M629" s="74">
        <v>31.02923620430495</v>
      </c>
      <c r="N629" s="74">
        <f t="shared" si="1"/>
        <v>62.05847241</v>
      </c>
      <c r="O629" s="74" t="b">
        <v>1</v>
      </c>
    </row>
    <row r="630" hidden="1">
      <c r="A630" s="82"/>
      <c r="B630" s="65" t="s">
        <v>177</v>
      </c>
      <c r="C630" s="65" t="s">
        <v>117</v>
      </c>
      <c r="D630" s="65" t="str">
        <f>vlookup(C630,'Classificação p pessoal'!F:G,2,false)</f>
        <v>NP</v>
      </c>
      <c r="E630" s="65" t="s">
        <v>362</v>
      </c>
      <c r="F630" s="83">
        <v>0.3958333333333333</v>
      </c>
      <c r="G630" s="83">
        <v>0.4791666666666667</v>
      </c>
      <c r="H630" s="83">
        <v>0.08333333333333333</v>
      </c>
      <c r="I630" s="84">
        <v>44305.0</v>
      </c>
      <c r="J630" s="65" t="b">
        <v>1</v>
      </c>
      <c r="K630" s="65"/>
      <c r="L630" s="85" t="b">
        <f>IF(VLOOKUP(C630,Projetos!A:L,12,false)=TRUE,TRUE,FALSE)</f>
        <v>1</v>
      </c>
      <c r="M630" s="74">
        <v>31.02923620430495</v>
      </c>
      <c r="N630" s="74">
        <f t="shared" si="1"/>
        <v>62.05847241</v>
      </c>
      <c r="O630" s="74" t="b">
        <v>1</v>
      </c>
    </row>
    <row r="631" hidden="1">
      <c r="A631" s="82"/>
      <c r="B631" s="65" t="s">
        <v>177</v>
      </c>
      <c r="C631" s="65" t="s">
        <v>113</v>
      </c>
      <c r="D631" s="65" t="str">
        <f>vlookup(C631,'Classificação p pessoal'!F:G,2,false)</f>
        <v>NP</v>
      </c>
      <c r="E631" s="65" t="s">
        <v>361</v>
      </c>
      <c r="F631" s="83">
        <v>0.3541666666666667</v>
      </c>
      <c r="G631" s="83">
        <v>0.3958333333333333</v>
      </c>
      <c r="H631" s="83">
        <v>0.041666666666666664</v>
      </c>
      <c r="I631" s="84">
        <v>44305.0</v>
      </c>
      <c r="J631" s="65" t="b">
        <v>1</v>
      </c>
      <c r="K631" s="65"/>
      <c r="L631" s="85" t="b">
        <f>IF(VLOOKUP(C631,Projetos!A:L,12,false)=TRUE,TRUE,FALSE)</f>
        <v>1</v>
      </c>
      <c r="M631" s="74">
        <v>31.02923620430495</v>
      </c>
      <c r="N631" s="74">
        <f t="shared" si="1"/>
        <v>31.0292362</v>
      </c>
      <c r="O631" s="74" t="b">
        <v>1</v>
      </c>
    </row>
    <row r="632" hidden="1">
      <c r="A632" s="82"/>
      <c r="B632" s="65" t="s">
        <v>177</v>
      </c>
      <c r="C632" s="65" t="s">
        <v>117</v>
      </c>
      <c r="D632" s="65" t="str">
        <f>vlookup(C632,'Classificação p pessoal'!F:G,2,false)</f>
        <v>NP</v>
      </c>
      <c r="E632" s="65" t="s">
        <v>359</v>
      </c>
      <c r="F632" s="83">
        <v>0.5625</v>
      </c>
      <c r="G632" s="83">
        <v>0.6041666666666666</v>
      </c>
      <c r="H632" s="83">
        <v>0.041666666666666664</v>
      </c>
      <c r="I632" s="84">
        <v>44305.0</v>
      </c>
      <c r="J632" s="65" t="b">
        <v>1</v>
      </c>
      <c r="K632" s="65"/>
      <c r="L632" s="85" t="b">
        <f>IF(VLOOKUP(C632,Projetos!A:L,12,false)=TRUE,TRUE,FALSE)</f>
        <v>1</v>
      </c>
      <c r="M632" s="74">
        <v>31.02923620430495</v>
      </c>
      <c r="N632" s="74">
        <f t="shared" si="1"/>
        <v>31.0292362</v>
      </c>
      <c r="O632" s="74" t="b">
        <v>1</v>
      </c>
    </row>
    <row r="633" hidden="1">
      <c r="A633" s="82"/>
      <c r="B633" s="65" t="s">
        <v>177</v>
      </c>
      <c r="C633" s="65" t="s">
        <v>113</v>
      </c>
      <c r="D633" s="65" t="str">
        <f>vlookup(C633,'Classificação p pessoal'!F:G,2,false)</f>
        <v>NP</v>
      </c>
      <c r="E633" s="65" t="s">
        <v>363</v>
      </c>
      <c r="F633" s="83">
        <v>0.4791666666666667</v>
      </c>
      <c r="G633" s="83">
        <v>0.5208333333333334</v>
      </c>
      <c r="H633" s="83">
        <v>0.041666666666666664</v>
      </c>
      <c r="I633" s="84">
        <v>44305.0</v>
      </c>
      <c r="J633" s="65" t="b">
        <v>1</v>
      </c>
      <c r="K633" s="65"/>
      <c r="L633" s="85" t="b">
        <f>IF(VLOOKUP(C633,Projetos!A:L,12,false)=TRUE,TRUE,FALSE)</f>
        <v>1</v>
      </c>
      <c r="M633" s="74">
        <v>31.02923620430495</v>
      </c>
      <c r="N633" s="74">
        <f t="shared" si="1"/>
        <v>31.0292362</v>
      </c>
      <c r="O633" s="74" t="b">
        <v>1</v>
      </c>
    </row>
    <row r="634" hidden="1">
      <c r="A634" s="82"/>
      <c r="B634" s="65" t="s">
        <v>177</v>
      </c>
      <c r="C634" s="65" t="s">
        <v>130</v>
      </c>
      <c r="D634" s="65" t="str">
        <f>vlookup(C634,'Classificação p pessoal'!F:G,2,false)</f>
        <v>NP</v>
      </c>
      <c r="E634" s="65" t="s">
        <v>364</v>
      </c>
      <c r="F634" s="83">
        <v>0.5416666666666666</v>
      </c>
      <c r="G634" s="83">
        <v>0.5833333333333334</v>
      </c>
      <c r="H634" s="83">
        <v>0.041666666666666664</v>
      </c>
      <c r="I634" s="84">
        <v>44228.0</v>
      </c>
      <c r="J634" s="65" t="b">
        <v>1</v>
      </c>
      <c r="K634" s="65"/>
      <c r="L634" s="85" t="b">
        <f>IF(VLOOKUP(C634,Projetos!A:L,12,false)=TRUE,TRUE,FALSE)</f>
        <v>1</v>
      </c>
      <c r="M634" s="74">
        <v>31.02923620430495</v>
      </c>
      <c r="N634" s="74">
        <f t="shared" si="1"/>
        <v>31.0292362</v>
      </c>
      <c r="O634" s="74" t="b">
        <v>1</v>
      </c>
    </row>
    <row r="635" hidden="1">
      <c r="A635" s="82"/>
      <c r="B635" s="65" t="s">
        <v>177</v>
      </c>
      <c r="C635" s="65" t="s">
        <v>107</v>
      </c>
      <c r="D635" s="65"/>
      <c r="E635" s="65" t="s">
        <v>365</v>
      </c>
      <c r="F635" s="83">
        <v>0.3541666666666667</v>
      </c>
      <c r="G635" s="83">
        <v>0.375</v>
      </c>
      <c r="H635" s="83">
        <v>0.020833333333333332</v>
      </c>
      <c r="I635" s="84">
        <v>44306.0</v>
      </c>
      <c r="J635" s="65" t="b">
        <v>0</v>
      </c>
      <c r="K635" s="65" t="s">
        <v>150</v>
      </c>
      <c r="L635" s="85" t="b">
        <f>IF(VLOOKUP(C635,Projetos!A:L,12,false)=TRUE,TRUE,FALSE)</f>
        <v>1</v>
      </c>
      <c r="M635" s="74">
        <v>31.02923620430495</v>
      </c>
      <c r="N635" s="74">
        <f t="shared" si="1"/>
        <v>0</v>
      </c>
      <c r="O635" s="74" t="b">
        <v>1</v>
      </c>
    </row>
    <row r="636" hidden="1">
      <c r="A636" s="82"/>
      <c r="B636" s="65" t="s">
        <v>177</v>
      </c>
      <c r="C636" s="65" t="s">
        <v>100</v>
      </c>
      <c r="D636" s="65"/>
      <c r="E636" s="65" t="s">
        <v>366</v>
      </c>
      <c r="F636" s="83">
        <v>0.375</v>
      </c>
      <c r="G636" s="83">
        <v>0.4166666666666667</v>
      </c>
      <c r="H636" s="83">
        <v>0.041666666666666664</v>
      </c>
      <c r="I636" s="84">
        <v>44306.0</v>
      </c>
      <c r="J636" s="65" t="b">
        <v>0</v>
      </c>
      <c r="K636" s="65" t="s">
        <v>150</v>
      </c>
      <c r="L636" s="85" t="b">
        <f>IF(VLOOKUP(C636,Projetos!A:L,12,false)=TRUE,TRUE,FALSE)</f>
        <v>1</v>
      </c>
      <c r="M636" s="74">
        <v>31.02923620430495</v>
      </c>
      <c r="N636" s="74">
        <f t="shared" si="1"/>
        <v>0</v>
      </c>
      <c r="O636" s="74" t="b">
        <v>1</v>
      </c>
    </row>
    <row r="637" hidden="1">
      <c r="A637" s="82"/>
      <c r="B637" s="65" t="s">
        <v>177</v>
      </c>
      <c r="C637" s="65" t="s">
        <v>100</v>
      </c>
      <c r="D637" s="65" t="str">
        <f>vlookup(C637,'Classificação p pessoal'!F:G,2,false)</f>
        <v>NP</v>
      </c>
      <c r="E637" s="65" t="s">
        <v>367</v>
      </c>
      <c r="F637" s="83">
        <v>0.3541666666666667</v>
      </c>
      <c r="G637" s="83">
        <v>0.375</v>
      </c>
      <c r="H637" s="83">
        <v>0.020833333333333332</v>
      </c>
      <c r="I637" s="84">
        <v>44308.0</v>
      </c>
      <c r="J637" s="65" t="b">
        <v>1</v>
      </c>
      <c r="K637" s="65"/>
      <c r="L637" s="85" t="b">
        <f>IF(VLOOKUP(C637,Projetos!A:L,12,false)=TRUE,TRUE,FALSE)</f>
        <v>1</v>
      </c>
      <c r="M637" s="74">
        <v>31.02923620430495</v>
      </c>
      <c r="N637" s="74">
        <f t="shared" si="1"/>
        <v>15.5146181</v>
      </c>
      <c r="O637" s="74" t="b">
        <v>1</v>
      </c>
    </row>
    <row r="638" hidden="1">
      <c r="A638" s="82"/>
      <c r="B638" s="65" t="s">
        <v>177</v>
      </c>
      <c r="C638" s="65" t="s">
        <v>101</v>
      </c>
      <c r="D638" s="65" t="str">
        <f>vlookup(C638,'Classificação p pessoal'!F:G,2,false)</f>
        <v>NP</v>
      </c>
      <c r="E638" s="65" t="s">
        <v>368</v>
      </c>
      <c r="F638" s="83">
        <v>0.375</v>
      </c>
      <c r="G638" s="83">
        <v>0.4166666666666667</v>
      </c>
      <c r="H638" s="83">
        <v>0.041666666666666664</v>
      </c>
      <c r="I638" s="84">
        <v>44308.0</v>
      </c>
      <c r="J638" s="65" t="b">
        <v>1</v>
      </c>
      <c r="K638" s="65"/>
      <c r="L638" s="85" t="b">
        <f>IF(VLOOKUP(C638,Projetos!A:L,12,false)=TRUE,TRUE,FALSE)</f>
        <v>1</v>
      </c>
      <c r="M638" s="74">
        <v>31.02923620430495</v>
      </c>
      <c r="N638" s="74">
        <f t="shared" si="1"/>
        <v>31.0292362</v>
      </c>
      <c r="O638" s="74" t="b">
        <v>1</v>
      </c>
    </row>
    <row r="639" hidden="1">
      <c r="A639" s="82"/>
      <c r="B639" s="65" t="s">
        <v>177</v>
      </c>
      <c r="C639" s="65" t="s">
        <v>92</v>
      </c>
      <c r="D639" s="65" t="str">
        <f>vlookup(C639,'Classificação p pessoal'!F:G,2,false)</f>
        <v/>
      </c>
      <c r="E639" s="65" t="s">
        <v>369</v>
      </c>
      <c r="F639" s="83">
        <v>0.5625</v>
      </c>
      <c r="G639" s="83">
        <v>0.5833333333333334</v>
      </c>
      <c r="H639" s="83">
        <v>0.020833333333333332</v>
      </c>
      <c r="I639" s="84">
        <v>44309.0</v>
      </c>
      <c r="J639" s="65" t="b">
        <v>1</v>
      </c>
      <c r="K639" s="65"/>
      <c r="L639" s="85" t="b">
        <f>IF(VLOOKUP(C639,Projetos!A:L,12,false)=TRUE,TRUE,FALSE)</f>
        <v>1</v>
      </c>
      <c r="M639" s="74">
        <v>31.02923620430495</v>
      </c>
      <c r="N639" s="74">
        <f t="shared" si="1"/>
        <v>15.5146181</v>
      </c>
      <c r="O639" s="74" t="b">
        <v>1</v>
      </c>
    </row>
    <row r="640" hidden="1">
      <c r="A640" s="82"/>
      <c r="B640" s="65" t="s">
        <v>177</v>
      </c>
      <c r="C640" s="65" t="s">
        <v>92</v>
      </c>
      <c r="D640" s="65" t="str">
        <f>vlookup(C640,'Classificação p pessoal'!F:G,2,false)</f>
        <v/>
      </c>
      <c r="E640" s="65" t="s">
        <v>370</v>
      </c>
      <c r="F640" s="83">
        <v>0.5833333333333334</v>
      </c>
      <c r="G640" s="83">
        <v>0.625</v>
      </c>
      <c r="H640" s="83">
        <v>0.041666666666666664</v>
      </c>
      <c r="I640" s="84">
        <v>44309.0</v>
      </c>
      <c r="J640" s="65" t="b">
        <v>1</v>
      </c>
      <c r="K640" s="65"/>
      <c r="L640" s="85" t="b">
        <f>IF(VLOOKUP(C640,Projetos!A:L,12,false)=TRUE,TRUE,FALSE)</f>
        <v>1</v>
      </c>
      <c r="M640" s="74">
        <v>31.02923620430495</v>
      </c>
      <c r="N640" s="74">
        <f t="shared" si="1"/>
        <v>31.0292362</v>
      </c>
      <c r="O640" s="74" t="b">
        <v>1</v>
      </c>
    </row>
    <row r="641" hidden="1">
      <c r="A641" s="82"/>
      <c r="B641" s="65" t="s">
        <v>177</v>
      </c>
      <c r="C641" s="65" t="s">
        <v>106</v>
      </c>
      <c r="D641" s="65" t="str">
        <f>vlookup(C641,'Classificação p pessoal'!F:G,2,false)</f>
        <v>MProcesso</v>
      </c>
      <c r="E641" s="65" t="s">
        <v>371</v>
      </c>
      <c r="F641" s="83">
        <v>0.6666666666666666</v>
      </c>
      <c r="G641" s="83">
        <v>0.7083333333333334</v>
      </c>
      <c r="H641" s="83">
        <v>0.041666666666666664</v>
      </c>
      <c r="I641" s="84">
        <v>44309.0</v>
      </c>
      <c r="J641" s="65" t="b">
        <v>1</v>
      </c>
      <c r="K641" s="65"/>
      <c r="L641" s="85" t="b">
        <f>IF(VLOOKUP(C641,Projetos!A:L,12,false)=TRUE,TRUE,FALSE)</f>
        <v>1</v>
      </c>
      <c r="M641" s="74">
        <v>31.02923620430495</v>
      </c>
      <c r="N641" s="74">
        <f t="shared" si="1"/>
        <v>31.0292362</v>
      </c>
      <c r="O641" s="74" t="b">
        <v>1</v>
      </c>
    </row>
    <row r="642" hidden="1">
      <c r="A642" s="82"/>
      <c r="B642" s="65" t="s">
        <v>177</v>
      </c>
      <c r="C642" s="65" t="s">
        <v>100</v>
      </c>
      <c r="D642" s="65" t="str">
        <f>vlookup(C642,'Classificação p pessoal'!F:G,2,false)</f>
        <v>NP</v>
      </c>
      <c r="E642" s="65" t="s">
        <v>372</v>
      </c>
      <c r="F642" s="83">
        <v>0.7083333333333334</v>
      </c>
      <c r="G642" s="83">
        <v>0.7291666666666666</v>
      </c>
      <c r="H642" s="83">
        <v>0.020833333333333332</v>
      </c>
      <c r="I642" s="84">
        <v>44309.0</v>
      </c>
      <c r="J642" s="65" t="b">
        <v>1</v>
      </c>
      <c r="K642" s="65"/>
      <c r="L642" s="85" t="b">
        <f>IF(VLOOKUP(C642,Projetos!A:L,12,false)=TRUE,TRUE,FALSE)</f>
        <v>1</v>
      </c>
      <c r="M642" s="74">
        <v>31.02923620430495</v>
      </c>
      <c r="N642" s="74">
        <f t="shared" si="1"/>
        <v>15.5146181</v>
      </c>
      <c r="O642" s="74" t="b">
        <v>1</v>
      </c>
    </row>
    <row r="643" hidden="1">
      <c r="A643" s="82"/>
      <c r="B643" s="65" t="s">
        <v>177</v>
      </c>
      <c r="C643" s="65" t="s">
        <v>152</v>
      </c>
      <c r="D643" s="65" t="str">
        <f>vlookup(C643,'Classificação p pessoal'!F:G,2,false)</f>
        <v>MProduto</v>
      </c>
      <c r="E643" s="65" t="s">
        <v>373</v>
      </c>
      <c r="F643" s="83">
        <v>0.3541666666666667</v>
      </c>
      <c r="G643" s="83">
        <v>0.4166666666666667</v>
      </c>
      <c r="H643" s="83">
        <v>0.0625</v>
      </c>
      <c r="I643" s="84">
        <v>44312.0</v>
      </c>
      <c r="J643" s="65" t="b">
        <v>1</v>
      </c>
      <c r="K643" s="65"/>
      <c r="L643" s="85" t="b">
        <f>IF(VLOOKUP(C643,Projetos!A:L,12,false)=TRUE,TRUE,FALSE)</f>
        <v>1</v>
      </c>
      <c r="M643" s="74">
        <v>31.02923620430495</v>
      </c>
      <c r="N643" s="74">
        <f t="shared" si="1"/>
        <v>46.54385431</v>
      </c>
      <c r="O643" s="74" t="b">
        <v>1</v>
      </c>
    </row>
    <row r="644" hidden="1">
      <c r="A644" s="82"/>
      <c r="B644" s="65" t="s">
        <v>177</v>
      </c>
      <c r="C644" s="65" t="s">
        <v>100</v>
      </c>
      <c r="D644" s="65"/>
      <c r="E644" s="65" t="s">
        <v>374</v>
      </c>
      <c r="F644" s="83">
        <v>0.6041666666666666</v>
      </c>
      <c r="G644" s="83">
        <v>0.6458333333333334</v>
      </c>
      <c r="H644" s="83">
        <v>0.041666666666666664</v>
      </c>
      <c r="I644" s="84">
        <v>44312.0</v>
      </c>
      <c r="J644" s="65" t="b">
        <v>0</v>
      </c>
      <c r="K644" s="65" t="s">
        <v>150</v>
      </c>
      <c r="L644" s="85" t="b">
        <f>IF(VLOOKUP(C644,Projetos!A:L,12,false)=TRUE,TRUE,FALSE)</f>
        <v>1</v>
      </c>
      <c r="M644" s="74">
        <v>31.02923620430495</v>
      </c>
      <c r="N644" s="74">
        <f t="shared" si="1"/>
        <v>0</v>
      </c>
      <c r="O644" s="74" t="b">
        <v>1</v>
      </c>
    </row>
    <row r="645" hidden="1">
      <c r="A645" s="82"/>
      <c r="B645" s="65" t="s">
        <v>177</v>
      </c>
      <c r="C645" s="65" t="s">
        <v>118</v>
      </c>
      <c r="D645" s="65"/>
      <c r="E645" s="65" t="s">
        <v>375</v>
      </c>
      <c r="F645" s="83">
        <v>0.375</v>
      </c>
      <c r="G645" s="83">
        <v>0.3888888888888889</v>
      </c>
      <c r="H645" s="83">
        <v>0.013888888888888888</v>
      </c>
      <c r="I645" s="84">
        <v>44520.0</v>
      </c>
      <c r="J645" s="65" t="b">
        <v>0</v>
      </c>
      <c r="K645" s="65"/>
      <c r="L645" s="85" t="b">
        <f>IF(VLOOKUP(C645,Projetos!A:L,12,false)=TRUE,TRUE,FALSE)</f>
        <v>1</v>
      </c>
      <c r="M645" s="74">
        <v>31.02923620430495</v>
      </c>
      <c r="N645" s="74">
        <f t="shared" si="1"/>
        <v>0</v>
      </c>
      <c r="O645" s="74" t="b">
        <v>1</v>
      </c>
    </row>
    <row r="646" hidden="1">
      <c r="A646" s="82"/>
      <c r="B646" s="65" t="s">
        <v>177</v>
      </c>
      <c r="C646" s="65" t="s">
        <v>152</v>
      </c>
      <c r="D646" s="65" t="str">
        <f>vlookup(C646,'Classificação p pessoal'!F:G,2,false)</f>
        <v>MProduto</v>
      </c>
      <c r="E646" s="65" t="s">
        <v>223</v>
      </c>
      <c r="F646" s="83">
        <v>0.3541666666666667</v>
      </c>
      <c r="G646" s="83">
        <v>0.375</v>
      </c>
      <c r="H646" s="83">
        <v>0.020833333333333332</v>
      </c>
      <c r="I646" s="84">
        <v>44313.0</v>
      </c>
      <c r="J646" s="65" t="b">
        <v>1</v>
      </c>
      <c r="K646" s="65"/>
      <c r="L646" s="85" t="b">
        <f>IF(VLOOKUP(C646,Projetos!A:L,12,false)=TRUE,TRUE,FALSE)</f>
        <v>1</v>
      </c>
      <c r="M646" s="74">
        <v>31.02923620430495</v>
      </c>
      <c r="N646" s="74">
        <f t="shared" si="1"/>
        <v>15.5146181</v>
      </c>
      <c r="O646" s="74" t="b">
        <v>1</v>
      </c>
    </row>
    <row r="647" hidden="1">
      <c r="A647" s="82"/>
      <c r="B647" s="65" t="s">
        <v>177</v>
      </c>
      <c r="C647" s="65" t="s">
        <v>92</v>
      </c>
      <c r="D647" s="65" t="str">
        <f>vlookup(C647,'Classificação p pessoal'!F:G,2,false)</f>
        <v/>
      </c>
      <c r="E647" s="65" t="s">
        <v>376</v>
      </c>
      <c r="F647" s="83">
        <v>0.5833333333333334</v>
      </c>
      <c r="G647" s="83">
        <v>0.625</v>
      </c>
      <c r="H647" s="83">
        <v>0.041666666666666664</v>
      </c>
      <c r="I647" s="84">
        <v>44313.0</v>
      </c>
      <c r="J647" s="65" t="b">
        <v>1</v>
      </c>
      <c r="K647" s="65"/>
      <c r="L647" s="85" t="b">
        <f>IF(VLOOKUP(C647,Projetos!A:L,12,false)=TRUE,TRUE,FALSE)</f>
        <v>1</v>
      </c>
      <c r="M647" s="74">
        <v>31.02923620430495</v>
      </c>
      <c r="N647" s="74">
        <f t="shared" si="1"/>
        <v>31.0292362</v>
      </c>
      <c r="O647" s="74" t="b">
        <v>1</v>
      </c>
    </row>
    <row r="648" hidden="1">
      <c r="A648" s="82"/>
      <c r="B648" s="65" t="s">
        <v>177</v>
      </c>
      <c r="C648" s="65" t="s">
        <v>92</v>
      </c>
      <c r="D648" s="65" t="str">
        <f>vlookup(C648,'Classificação p pessoal'!F:G,2,false)</f>
        <v/>
      </c>
      <c r="E648" s="65" t="s">
        <v>377</v>
      </c>
      <c r="F648" s="83">
        <v>0.625</v>
      </c>
      <c r="G648" s="83">
        <v>0.6666666666666666</v>
      </c>
      <c r="H648" s="83">
        <v>0.041666666666666664</v>
      </c>
      <c r="I648" s="84">
        <v>44313.0</v>
      </c>
      <c r="J648" s="65" t="b">
        <v>1</v>
      </c>
      <c r="K648" s="65"/>
      <c r="L648" s="85" t="b">
        <f>IF(VLOOKUP(C648,Projetos!A:L,12,false)=TRUE,TRUE,FALSE)</f>
        <v>1</v>
      </c>
      <c r="M648" s="74">
        <v>31.02923620430495</v>
      </c>
      <c r="N648" s="74">
        <f t="shared" si="1"/>
        <v>31.0292362</v>
      </c>
      <c r="O648" s="74" t="b">
        <v>1</v>
      </c>
    </row>
    <row r="649" hidden="1">
      <c r="A649" s="82"/>
      <c r="B649" s="65" t="s">
        <v>177</v>
      </c>
      <c r="C649" s="65" t="s">
        <v>92</v>
      </c>
      <c r="D649" s="65" t="str">
        <f>vlookup(C649,'Classificação p pessoal'!F:G,2,false)</f>
        <v/>
      </c>
      <c r="E649" s="65" t="s">
        <v>378</v>
      </c>
      <c r="F649" s="83">
        <v>0.6666666666666666</v>
      </c>
      <c r="G649" s="83">
        <v>0.7083333333333334</v>
      </c>
      <c r="H649" s="83">
        <v>0.041666666666666664</v>
      </c>
      <c r="I649" s="84">
        <v>44313.0</v>
      </c>
      <c r="J649" s="65" t="b">
        <v>1</v>
      </c>
      <c r="K649" s="65"/>
      <c r="L649" s="85" t="b">
        <f>IF(VLOOKUP(C649,Projetos!A:L,12,false)=TRUE,TRUE,FALSE)</f>
        <v>1</v>
      </c>
      <c r="M649" s="74">
        <v>31.02923620430495</v>
      </c>
      <c r="N649" s="74">
        <f t="shared" si="1"/>
        <v>31.0292362</v>
      </c>
      <c r="O649" s="74" t="b">
        <v>1</v>
      </c>
    </row>
    <row r="650" hidden="1">
      <c r="A650" s="82"/>
      <c r="B650" s="65" t="s">
        <v>177</v>
      </c>
      <c r="C650" s="65" t="s">
        <v>92</v>
      </c>
      <c r="D650" s="65" t="str">
        <f>vlookup(C650,'Classificação p pessoal'!F:G,2,false)</f>
        <v/>
      </c>
      <c r="E650" s="65" t="s">
        <v>379</v>
      </c>
      <c r="F650" s="83">
        <v>0.7083333333333334</v>
      </c>
      <c r="G650" s="83">
        <v>0.75</v>
      </c>
      <c r="H650" s="83">
        <v>0.041666666666666664</v>
      </c>
      <c r="I650" s="84">
        <v>44313.0</v>
      </c>
      <c r="J650" s="65" t="b">
        <v>1</v>
      </c>
      <c r="K650" s="65"/>
      <c r="L650" s="85" t="b">
        <f>IF(VLOOKUP(C650,Projetos!A:L,12,false)=TRUE,TRUE,FALSE)</f>
        <v>1</v>
      </c>
      <c r="M650" s="74">
        <v>31.02923620430495</v>
      </c>
      <c r="N650" s="74">
        <f t="shared" si="1"/>
        <v>31.0292362</v>
      </c>
      <c r="O650" s="74" t="b">
        <v>1</v>
      </c>
    </row>
    <row r="651" hidden="1">
      <c r="A651" s="82"/>
      <c r="B651" s="65" t="s">
        <v>177</v>
      </c>
      <c r="C651" s="65" t="s">
        <v>100</v>
      </c>
      <c r="D651" s="65" t="str">
        <f>vlookup(C651,'Classificação p pessoal'!F:G,2,false)</f>
        <v>NP</v>
      </c>
      <c r="E651" s="65" t="s">
        <v>229</v>
      </c>
      <c r="F651" s="83">
        <v>0.4583333333333333</v>
      </c>
      <c r="G651" s="83">
        <v>0.5</v>
      </c>
      <c r="H651" s="83">
        <v>0.041666666666666664</v>
      </c>
      <c r="I651" s="84">
        <v>44313.0</v>
      </c>
      <c r="J651" s="65" t="b">
        <v>1</v>
      </c>
      <c r="K651" s="65"/>
      <c r="L651" s="85" t="b">
        <f>IF(VLOOKUP(C651,Projetos!A:L,12,false)=TRUE,TRUE,FALSE)</f>
        <v>1</v>
      </c>
      <c r="M651" s="74">
        <v>31.02923620430495</v>
      </c>
      <c r="N651" s="74">
        <f t="shared" si="1"/>
        <v>31.0292362</v>
      </c>
      <c r="O651" s="74" t="b">
        <v>1</v>
      </c>
    </row>
    <row r="652" hidden="1">
      <c r="A652" s="82"/>
      <c r="B652" s="65" t="s">
        <v>177</v>
      </c>
      <c r="C652" s="65" t="s">
        <v>107</v>
      </c>
      <c r="D652" s="65" t="str">
        <f>vlookup(C652,'Classificação p pessoal'!F:G,2,false)</f>
        <v>NP</v>
      </c>
      <c r="E652" s="65" t="s">
        <v>380</v>
      </c>
      <c r="F652" s="83">
        <v>0.3958333333333333</v>
      </c>
      <c r="G652" s="83">
        <v>0.5416666666666666</v>
      </c>
      <c r="H652" s="83">
        <v>0.14583333333333334</v>
      </c>
      <c r="I652" s="84">
        <v>44314.0</v>
      </c>
      <c r="J652" s="65" t="b">
        <v>1</v>
      </c>
      <c r="K652" s="65"/>
      <c r="L652" s="85" t="b">
        <f>IF(VLOOKUP(C652,Projetos!A:L,12,false)=TRUE,TRUE,FALSE)</f>
        <v>1</v>
      </c>
      <c r="M652" s="74">
        <v>31.02923620430495</v>
      </c>
      <c r="N652" s="74">
        <f t="shared" si="1"/>
        <v>108.6023267</v>
      </c>
      <c r="O652" s="74" t="b">
        <v>1</v>
      </c>
    </row>
    <row r="653" hidden="1">
      <c r="A653" s="82"/>
      <c r="B653" s="65" t="s">
        <v>177</v>
      </c>
      <c r="C653" s="65" t="s">
        <v>91</v>
      </c>
      <c r="D653" s="65"/>
      <c r="E653" s="65" t="s">
        <v>381</v>
      </c>
      <c r="F653" s="83">
        <v>0.4166666666666667</v>
      </c>
      <c r="G653" s="83">
        <v>0.46875</v>
      </c>
      <c r="H653" s="83">
        <v>0.052083333333333336</v>
      </c>
      <c r="I653" s="84">
        <v>44314.0</v>
      </c>
      <c r="J653" s="65" t="b">
        <v>0</v>
      </c>
      <c r="K653" s="65" t="s">
        <v>150</v>
      </c>
      <c r="L653" s="85" t="b">
        <f>IF(VLOOKUP(C653,Projetos!A:L,12,false)=TRUE,TRUE,FALSE)</f>
        <v>1</v>
      </c>
      <c r="M653" s="74">
        <v>31.02923620430495</v>
      </c>
      <c r="N653" s="74">
        <f t="shared" si="1"/>
        <v>0</v>
      </c>
      <c r="O653" s="74" t="b">
        <v>1</v>
      </c>
    </row>
    <row r="654" hidden="1">
      <c r="A654" s="82"/>
      <c r="B654" s="65" t="s">
        <v>177</v>
      </c>
      <c r="C654" s="65" t="s">
        <v>106</v>
      </c>
      <c r="D654" s="65"/>
      <c r="E654" s="65" t="s">
        <v>382</v>
      </c>
      <c r="F654" s="83">
        <v>0.375</v>
      </c>
      <c r="G654" s="83">
        <v>0.40625</v>
      </c>
      <c r="H654" s="83">
        <v>0.03125</v>
      </c>
      <c r="I654" s="84">
        <v>44315.0</v>
      </c>
      <c r="J654" s="65" t="b">
        <v>0</v>
      </c>
      <c r="K654" s="65" t="s">
        <v>150</v>
      </c>
      <c r="L654" s="85" t="b">
        <f>IF(VLOOKUP(C654,Projetos!A:L,12,false)=TRUE,TRUE,FALSE)</f>
        <v>1</v>
      </c>
      <c r="M654" s="74">
        <v>31.02923620430495</v>
      </c>
      <c r="N654" s="74">
        <f t="shared" si="1"/>
        <v>0</v>
      </c>
      <c r="O654" s="74" t="b">
        <v>1</v>
      </c>
    </row>
    <row r="655" hidden="1">
      <c r="A655" s="82"/>
      <c r="B655" s="65" t="s">
        <v>177</v>
      </c>
      <c r="C655" s="65" t="s">
        <v>100</v>
      </c>
      <c r="D655" s="65"/>
      <c r="E655" s="65" t="s">
        <v>383</v>
      </c>
      <c r="F655" s="83">
        <v>0.4166666666666667</v>
      </c>
      <c r="G655" s="83">
        <v>0.4583333333333333</v>
      </c>
      <c r="H655" s="83">
        <v>0.041666666666666664</v>
      </c>
      <c r="I655" s="84">
        <v>44316.0</v>
      </c>
      <c r="J655" s="65" t="b">
        <v>0</v>
      </c>
      <c r="K655" s="65" t="s">
        <v>150</v>
      </c>
      <c r="L655" s="85" t="b">
        <f>IF(VLOOKUP(C655,Projetos!A:L,12,false)=TRUE,TRUE,FALSE)</f>
        <v>1</v>
      </c>
      <c r="M655" s="74">
        <v>31.02923620430495</v>
      </c>
      <c r="N655" s="74">
        <f t="shared" si="1"/>
        <v>0</v>
      </c>
      <c r="O655" s="74" t="b">
        <v>1</v>
      </c>
    </row>
    <row r="656" hidden="1">
      <c r="A656" s="82"/>
      <c r="B656" s="65" t="s">
        <v>177</v>
      </c>
      <c r="C656" s="65" t="s">
        <v>108</v>
      </c>
      <c r="D656" s="65" t="str">
        <f>vlookup(C656,'Classificação p pessoal'!F:G,2,false)</f>
        <v>NP</v>
      </c>
      <c r="E656" s="65" t="s">
        <v>384</v>
      </c>
      <c r="F656" s="83">
        <v>0.4583333333333333</v>
      </c>
      <c r="G656" s="83">
        <v>0.625</v>
      </c>
      <c r="H656" s="83">
        <v>0.16666666666666666</v>
      </c>
      <c r="I656" s="84">
        <v>44316.0</v>
      </c>
      <c r="J656" s="65" t="b">
        <v>1</v>
      </c>
      <c r="K656" s="65"/>
      <c r="L656" s="85" t="b">
        <f>IF(VLOOKUP(C656,Projetos!A:L,12,false)=TRUE,TRUE,FALSE)</f>
        <v>1</v>
      </c>
      <c r="M656" s="74">
        <v>31.02923620430495</v>
      </c>
      <c r="N656" s="74">
        <f t="shared" si="1"/>
        <v>124.1169448</v>
      </c>
      <c r="O656" s="74" t="b">
        <v>1</v>
      </c>
    </row>
    <row r="657" hidden="1">
      <c r="A657" s="82"/>
      <c r="B657" s="65" t="s">
        <v>177</v>
      </c>
      <c r="C657" s="65" t="s">
        <v>108</v>
      </c>
      <c r="D657" s="65" t="str">
        <f>vlookup(C657,'Classificação p pessoal'!F:G,2,false)</f>
        <v>NP</v>
      </c>
      <c r="E657" s="65" t="s">
        <v>385</v>
      </c>
      <c r="F657" s="83">
        <v>0.6875</v>
      </c>
      <c r="G657" s="83">
        <v>0.7291666666666666</v>
      </c>
      <c r="H657" s="83">
        <v>0.041666666666666664</v>
      </c>
      <c r="I657" s="84">
        <v>44341.0</v>
      </c>
      <c r="J657" s="65" t="b">
        <v>1</v>
      </c>
      <c r="K657" s="65"/>
      <c r="L657" s="85" t="b">
        <f>IF(VLOOKUP(C657,Projetos!A:L,12,false)=TRUE,TRUE,FALSE)</f>
        <v>1</v>
      </c>
      <c r="M657" s="74">
        <v>31.02923620430495</v>
      </c>
      <c r="N657" s="74">
        <f t="shared" si="1"/>
        <v>31.0292362</v>
      </c>
      <c r="O657" s="74" t="b">
        <v>1</v>
      </c>
    </row>
    <row r="658" hidden="1">
      <c r="A658" s="82"/>
      <c r="B658" s="65" t="s">
        <v>177</v>
      </c>
      <c r="C658" s="65" t="s">
        <v>100</v>
      </c>
      <c r="D658" s="65" t="str">
        <f>vlookup(C658,'Classificação p pessoal'!F:G,2,false)</f>
        <v>NP</v>
      </c>
      <c r="E658" s="65" t="s">
        <v>386</v>
      </c>
      <c r="F658" s="83">
        <v>0.34375</v>
      </c>
      <c r="G658" s="83">
        <v>0.3645833333333333</v>
      </c>
      <c r="H658" s="83">
        <v>0.020833333333333332</v>
      </c>
      <c r="I658" s="84">
        <v>44319.0</v>
      </c>
      <c r="J658" s="65" t="b">
        <v>1</v>
      </c>
      <c r="K658" s="65"/>
      <c r="L658" s="85" t="b">
        <f>IF(VLOOKUP(C658,Projetos!A:L,12,false)=TRUE,TRUE,FALSE)</f>
        <v>1</v>
      </c>
      <c r="M658" s="74">
        <v>31.02923620430495</v>
      </c>
      <c r="N658" s="74">
        <f t="shared" si="1"/>
        <v>15.5146181</v>
      </c>
      <c r="O658" s="74" t="b">
        <v>1</v>
      </c>
    </row>
    <row r="659" hidden="1">
      <c r="A659" s="82"/>
      <c r="B659" s="65" t="s">
        <v>177</v>
      </c>
      <c r="C659" s="65" t="s">
        <v>100</v>
      </c>
      <c r="D659" s="65" t="str">
        <f>vlookup(C659,'Classificação p pessoal'!F:G,2,false)</f>
        <v>NP</v>
      </c>
      <c r="E659" s="65" t="s">
        <v>229</v>
      </c>
      <c r="F659" s="83">
        <v>0.3645833333333333</v>
      </c>
      <c r="G659" s="83">
        <v>0.3854166666666667</v>
      </c>
      <c r="H659" s="83">
        <v>0.020833333333333332</v>
      </c>
      <c r="I659" s="84">
        <v>44319.0</v>
      </c>
      <c r="J659" s="65" t="b">
        <v>1</v>
      </c>
      <c r="K659" s="65"/>
      <c r="L659" s="85" t="b">
        <f>IF(VLOOKUP(C659,Projetos!A:L,12,false)=TRUE,TRUE,FALSE)</f>
        <v>1</v>
      </c>
      <c r="M659" s="74">
        <v>31.02923620430495</v>
      </c>
      <c r="N659" s="74">
        <f t="shared" si="1"/>
        <v>15.5146181</v>
      </c>
      <c r="O659" s="74" t="b">
        <v>1</v>
      </c>
    </row>
    <row r="660" hidden="1">
      <c r="A660" s="82"/>
      <c r="B660" s="65" t="s">
        <v>177</v>
      </c>
      <c r="C660" s="65" t="s">
        <v>108</v>
      </c>
      <c r="D660" s="65" t="str">
        <f>vlookup(C660,'Classificação p pessoal'!F:G,2,false)</f>
        <v>NP</v>
      </c>
      <c r="E660" s="65" t="s">
        <v>387</v>
      </c>
      <c r="F660" s="83">
        <v>0.6666666666666666</v>
      </c>
      <c r="G660" s="83">
        <v>0.6875</v>
      </c>
      <c r="H660" s="83">
        <v>0.020833333333333332</v>
      </c>
      <c r="I660" s="84">
        <v>44263.0</v>
      </c>
      <c r="J660" s="65" t="b">
        <v>1</v>
      </c>
      <c r="K660" s="65"/>
      <c r="L660" s="85" t="b">
        <f>IF(VLOOKUP(C660,Projetos!A:L,12,false)=TRUE,TRUE,FALSE)</f>
        <v>1</v>
      </c>
      <c r="M660" s="74">
        <v>31.02923620430495</v>
      </c>
      <c r="N660" s="74">
        <f t="shared" si="1"/>
        <v>15.5146181</v>
      </c>
      <c r="O660" s="74" t="b">
        <v>1</v>
      </c>
    </row>
    <row r="661" hidden="1">
      <c r="A661" s="82"/>
      <c r="B661" s="65" t="s">
        <v>177</v>
      </c>
      <c r="C661" s="65" t="s">
        <v>108</v>
      </c>
      <c r="D661" s="65" t="str">
        <f>vlookup(C661,'Classificação p pessoal'!F:G,2,false)</f>
        <v>NP</v>
      </c>
      <c r="E661" s="65" t="s">
        <v>388</v>
      </c>
      <c r="F661" s="83">
        <v>0.4270833333333333</v>
      </c>
      <c r="G661" s="83">
        <v>0.4375</v>
      </c>
      <c r="H661" s="83">
        <v>0.010416666666666666</v>
      </c>
      <c r="I661" s="84">
        <v>44319.0</v>
      </c>
      <c r="J661" s="65" t="b">
        <v>1</v>
      </c>
      <c r="K661" s="65"/>
      <c r="L661" s="85" t="b">
        <f>IF(VLOOKUP(C661,Projetos!A:L,12,false)=TRUE,TRUE,FALSE)</f>
        <v>1</v>
      </c>
      <c r="M661" s="74">
        <v>31.02923620430495</v>
      </c>
      <c r="N661" s="74">
        <f t="shared" si="1"/>
        <v>7.757309051</v>
      </c>
      <c r="O661" s="74" t="b">
        <v>1</v>
      </c>
    </row>
    <row r="662" hidden="1">
      <c r="A662" s="82"/>
      <c r="B662" s="65" t="s">
        <v>177</v>
      </c>
      <c r="C662" s="65" t="s">
        <v>92</v>
      </c>
      <c r="D662" s="65" t="str">
        <f>vlookup(C662,'Classificação p pessoal'!F:G,2,false)</f>
        <v/>
      </c>
      <c r="E662" s="65" t="s">
        <v>389</v>
      </c>
      <c r="F662" s="83">
        <v>0.4375</v>
      </c>
      <c r="G662" s="83">
        <v>0.4583333333333333</v>
      </c>
      <c r="H662" s="83">
        <v>0.020833333333333332</v>
      </c>
      <c r="I662" s="84">
        <v>44319.0</v>
      </c>
      <c r="J662" s="65" t="b">
        <v>1</v>
      </c>
      <c r="K662" s="65"/>
      <c r="L662" s="85" t="b">
        <f>IF(VLOOKUP(C662,Projetos!A:L,12,false)=TRUE,TRUE,FALSE)</f>
        <v>1</v>
      </c>
      <c r="M662" s="74">
        <v>31.02923620430495</v>
      </c>
      <c r="N662" s="74">
        <f t="shared" si="1"/>
        <v>15.5146181</v>
      </c>
      <c r="O662" s="74" t="b">
        <v>1</v>
      </c>
    </row>
    <row r="663" hidden="1">
      <c r="A663" s="82"/>
      <c r="B663" s="65" t="s">
        <v>177</v>
      </c>
      <c r="C663" s="65" t="s">
        <v>92</v>
      </c>
      <c r="D663" s="65" t="str">
        <f>vlookup(C663,'Classificação p pessoal'!F:G,2,false)</f>
        <v/>
      </c>
      <c r="E663" s="65" t="s">
        <v>390</v>
      </c>
      <c r="F663" s="83">
        <v>0.4583333333333333</v>
      </c>
      <c r="G663" s="83">
        <v>0.4791666666666667</v>
      </c>
      <c r="H663" s="83">
        <v>0.020833333333333332</v>
      </c>
      <c r="I663" s="84">
        <v>44319.0</v>
      </c>
      <c r="J663" s="65" t="b">
        <v>1</v>
      </c>
      <c r="K663" s="65"/>
      <c r="L663" s="85" t="b">
        <f>IF(VLOOKUP(C663,Projetos!A:L,12,false)=TRUE,TRUE,FALSE)</f>
        <v>1</v>
      </c>
      <c r="M663" s="74">
        <v>31.02923620430495</v>
      </c>
      <c r="N663" s="74">
        <f t="shared" si="1"/>
        <v>15.5146181</v>
      </c>
      <c r="O663" s="74" t="b">
        <v>1</v>
      </c>
    </row>
    <row r="664" hidden="1">
      <c r="A664" s="82"/>
      <c r="B664" s="65" t="s">
        <v>177</v>
      </c>
      <c r="C664" s="65" t="s">
        <v>92</v>
      </c>
      <c r="D664" s="65" t="str">
        <f>vlookup(C664,'Classificação p pessoal'!F:G,2,false)</f>
        <v/>
      </c>
      <c r="E664" s="65" t="s">
        <v>391</v>
      </c>
      <c r="F664" s="83">
        <v>0.4791666666666667</v>
      </c>
      <c r="G664" s="83">
        <v>0.4895833333333333</v>
      </c>
      <c r="H664" s="83">
        <v>0.010416666666666666</v>
      </c>
      <c r="I664" s="84">
        <v>44319.0</v>
      </c>
      <c r="J664" s="65" t="b">
        <v>1</v>
      </c>
      <c r="K664" s="65"/>
      <c r="L664" s="85" t="b">
        <f>IF(VLOOKUP(C664,Projetos!A:L,12,false)=TRUE,TRUE,FALSE)</f>
        <v>1</v>
      </c>
      <c r="M664" s="74">
        <v>31.02923620430495</v>
      </c>
      <c r="N664" s="74">
        <f t="shared" si="1"/>
        <v>7.757309051</v>
      </c>
      <c r="O664" s="74" t="b">
        <v>1</v>
      </c>
    </row>
    <row r="665" hidden="1">
      <c r="A665" s="82"/>
      <c r="B665" s="65" t="s">
        <v>177</v>
      </c>
      <c r="C665" s="65" t="s">
        <v>108</v>
      </c>
      <c r="D665" s="65" t="str">
        <f>vlookup(C665,'Classificação p pessoal'!F:G,2,false)</f>
        <v>NP</v>
      </c>
      <c r="E665" s="65" t="s">
        <v>392</v>
      </c>
      <c r="F665" s="83">
        <v>0.4895833333333333</v>
      </c>
      <c r="G665" s="83">
        <v>0.53125</v>
      </c>
      <c r="H665" s="83">
        <v>0.041666666666666664</v>
      </c>
      <c r="I665" s="84">
        <v>44319.0</v>
      </c>
      <c r="J665" s="65" t="b">
        <v>1</v>
      </c>
      <c r="K665" s="65"/>
      <c r="L665" s="85" t="b">
        <f>IF(VLOOKUP(C665,Projetos!A:L,12,false)=TRUE,TRUE,FALSE)</f>
        <v>1</v>
      </c>
      <c r="M665" s="74">
        <v>31.02923620430495</v>
      </c>
      <c r="N665" s="74">
        <f t="shared" si="1"/>
        <v>31.0292362</v>
      </c>
      <c r="O665" s="74" t="b">
        <v>1</v>
      </c>
    </row>
    <row r="666" hidden="1">
      <c r="A666" s="82"/>
      <c r="B666" s="65" t="s">
        <v>177</v>
      </c>
      <c r="C666" s="65" t="s">
        <v>91</v>
      </c>
      <c r="D666" s="65"/>
      <c r="E666" s="65" t="s">
        <v>393</v>
      </c>
      <c r="F666" s="83">
        <v>0.34375</v>
      </c>
      <c r="G666" s="83">
        <v>0.5416666666666666</v>
      </c>
      <c r="H666" s="83">
        <v>0.19791666666666666</v>
      </c>
      <c r="I666" s="84">
        <v>44321.0</v>
      </c>
      <c r="J666" s="65" t="b">
        <v>0</v>
      </c>
      <c r="K666" s="65" t="s">
        <v>150</v>
      </c>
      <c r="L666" s="85" t="b">
        <f>IF(VLOOKUP(C666,Projetos!A:L,12,false)=TRUE,TRUE,FALSE)</f>
        <v>1</v>
      </c>
      <c r="M666" s="74">
        <v>31.02923620430495</v>
      </c>
      <c r="N666" s="74">
        <f t="shared" si="1"/>
        <v>0</v>
      </c>
      <c r="O666" s="74" t="b">
        <v>1</v>
      </c>
    </row>
    <row r="667" hidden="1">
      <c r="A667" s="82"/>
      <c r="B667" s="65" t="s">
        <v>177</v>
      </c>
      <c r="C667" s="65" t="s">
        <v>107</v>
      </c>
      <c r="D667" s="65" t="str">
        <f>vlookup(C667,'Classificação p pessoal'!F:G,2,false)</f>
        <v>NP</v>
      </c>
      <c r="E667" s="65" t="s">
        <v>394</v>
      </c>
      <c r="F667" s="83">
        <v>0.375</v>
      </c>
      <c r="G667" s="83">
        <v>0.4166666666666667</v>
      </c>
      <c r="H667" s="83">
        <v>0.041666666666666664</v>
      </c>
      <c r="I667" s="84">
        <v>44322.0</v>
      </c>
      <c r="J667" s="65" t="b">
        <v>1</v>
      </c>
      <c r="K667" s="65"/>
      <c r="L667" s="85" t="b">
        <f>IF(VLOOKUP(C667,Projetos!A:L,12,false)=TRUE,TRUE,FALSE)</f>
        <v>1</v>
      </c>
      <c r="M667" s="74">
        <v>31.02923620430495</v>
      </c>
      <c r="N667" s="74">
        <f t="shared" si="1"/>
        <v>31.0292362</v>
      </c>
      <c r="O667" s="74" t="b">
        <v>1</v>
      </c>
    </row>
    <row r="668" hidden="1">
      <c r="A668" s="82"/>
      <c r="B668" s="65" t="s">
        <v>177</v>
      </c>
      <c r="C668" s="65" t="s">
        <v>107</v>
      </c>
      <c r="D668" s="65" t="str">
        <f>vlookup(C668,'Classificação p pessoal'!F:G,2,false)</f>
        <v>NP</v>
      </c>
      <c r="E668" s="65" t="s">
        <v>395</v>
      </c>
      <c r="F668" s="83">
        <v>0.3958333333333333</v>
      </c>
      <c r="G668" s="83">
        <v>0.5416666666666666</v>
      </c>
      <c r="H668" s="83">
        <v>0.14583333333333334</v>
      </c>
      <c r="I668" s="84">
        <v>44323.0</v>
      </c>
      <c r="J668" s="65" t="b">
        <v>1</v>
      </c>
      <c r="K668" s="65"/>
      <c r="L668" s="85" t="b">
        <f>IF(VLOOKUP(C668,Projetos!A:L,12,false)=TRUE,TRUE,FALSE)</f>
        <v>1</v>
      </c>
      <c r="M668" s="74">
        <v>31.02923620430495</v>
      </c>
      <c r="N668" s="74">
        <f t="shared" si="1"/>
        <v>108.6023267</v>
      </c>
      <c r="O668" s="74" t="b">
        <v>1</v>
      </c>
    </row>
    <row r="669" hidden="1">
      <c r="A669" s="82"/>
      <c r="B669" s="65" t="s">
        <v>177</v>
      </c>
      <c r="C669" s="65" t="s">
        <v>108</v>
      </c>
      <c r="D669" s="65" t="str">
        <f>vlookup(C669,'Classificação p pessoal'!F:G,2,false)</f>
        <v>NP</v>
      </c>
      <c r="E669" s="65" t="s">
        <v>396</v>
      </c>
      <c r="F669" s="83">
        <v>0.5833333333333334</v>
      </c>
      <c r="G669" s="83">
        <v>0.6041666666666666</v>
      </c>
      <c r="H669" s="83">
        <v>0.020833333333333332</v>
      </c>
      <c r="I669" s="84">
        <v>44323.0</v>
      </c>
      <c r="J669" s="65" t="b">
        <v>1</v>
      </c>
      <c r="K669" s="65"/>
      <c r="L669" s="85" t="b">
        <f>IF(VLOOKUP(C669,Projetos!A:L,12,false)=TRUE,TRUE,FALSE)</f>
        <v>1</v>
      </c>
      <c r="M669" s="74">
        <v>31.02923620430495</v>
      </c>
      <c r="N669" s="74">
        <f t="shared" si="1"/>
        <v>15.5146181</v>
      </c>
      <c r="O669" s="74" t="b">
        <v>1</v>
      </c>
    </row>
    <row r="670" hidden="1">
      <c r="A670" s="82"/>
      <c r="B670" s="65" t="s">
        <v>177</v>
      </c>
      <c r="C670" s="65" t="s">
        <v>117</v>
      </c>
      <c r="D670" s="65"/>
      <c r="E670" s="65" t="s">
        <v>397</v>
      </c>
      <c r="F670" s="83">
        <v>0.6666666666666666</v>
      </c>
      <c r="G670" s="83">
        <v>0.6875</v>
      </c>
      <c r="H670" s="83">
        <v>0.020833333333333332</v>
      </c>
      <c r="I670" s="84">
        <v>44323.0</v>
      </c>
      <c r="J670" s="65" t="b">
        <v>0</v>
      </c>
      <c r="K670" s="65" t="s">
        <v>150</v>
      </c>
      <c r="L670" s="85" t="b">
        <f>IF(VLOOKUP(C670,Projetos!A:L,12,false)=TRUE,TRUE,FALSE)</f>
        <v>1</v>
      </c>
      <c r="M670" s="74">
        <v>31.02923620430495</v>
      </c>
      <c r="N670" s="74">
        <f t="shared" si="1"/>
        <v>0</v>
      </c>
      <c r="O670" s="74" t="b">
        <v>1</v>
      </c>
    </row>
    <row r="671" hidden="1">
      <c r="A671" s="82"/>
      <c r="B671" s="65" t="s">
        <v>177</v>
      </c>
      <c r="C671" s="65" t="s">
        <v>108</v>
      </c>
      <c r="D671" s="65" t="str">
        <f>vlookup(C671,'Classificação p pessoal'!F:G,2,false)</f>
        <v>NP</v>
      </c>
      <c r="E671" s="65" t="s">
        <v>398</v>
      </c>
      <c r="F671" s="83">
        <v>0.34375</v>
      </c>
      <c r="G671" s="83">
        <v>0.375</v>
      </c>
      <c r="H671" s="83">
        <v>0.03125</v>
      </c>
      <c r="I671" s="84">
        <v>44326.0</v>
      </c>
      <c r="J671" s="65" t="b">
        <v>1</v>
      </c>
      <c r="K671" s="65"/>
      <c r="L671" s="85" t="b">
        <f>IF(VLOOKUP(C671,Projetos!A:L,12,false)=TRUE,TRUE,FALSE)</f>
        <v>1</v>
      </c>
      <c r="M671" s="74">
        <v>31.02923620430495</v>
      </c>
      <c r="N671" s="74">
        <f t="shared" si="1"/>
        <v>23.27192715</v>
      </c>
      <c r="O671" s="74" t="b">
        <v>1</v>
      </c>
    </row>
    <row r="672" hidden="1">
      <c r="A672" s="82"/>
      <c r="B672" s="65" t="s">
        <v>177</v>
      </c>
      <c r="C672" s="65" t="s">
        <v>108</v>
      </c>
      <c r="D672" s="65" t="str">
        <f>vlookup(C672,'Classificação p pessoal'!F:G,2,false)</f>
        <v>NP</v>
      </c>
      <c r="E672" s="65" t="s">
        <v>399</v>
      </c>
      <c r="F672" s="83">
        <v>0.625</v>
      </c>
      <c r="G672" s="83">
        <v>0.6458333333333334</v>
      </c>
      <c r="H672" s="83">
        <v>0.020833333333333332</v>
      </c>
      <c r="I672" s="84">
        <v>44316.0</v>
      </c>
      <c r="J672" s="65" t="b">
        <v>1</v>
      </c>
      <c r="K672" s="65"/>
      <c r="L672" s="85" t="b">
        <f>IF(VLOOKUP(C672,Projetos!A:L,12,false)=TRUE,TRUE,FALSE)</f>
        <v>1</v>
      </c>
      <c r="M672" s="74">
        <v>31.02923620430495</v>
      </c>
      <c r="N672" s="74">
        <f t="shared" si="1"/>
        <v>15.5146181</v>
      </c>
      <c r="O672" s="74" t="b">
        <v>1</v>
      </c>
    </row>
    <row r="673" hidden="1">
      <c r="A673" s="82"/>
      <c r="B673" s="65" t="s">
        <v>177</v>
      </c>
      <c r="C673" s="65" t="s">
        <v>106</v>
      </c>
      <c r="D673" s="65" t="str">
        <f>vlookup(C673,'Classificação p pessoal'!F:G,2,false)</f>
        <v>MProcesso</v>
      </c>
      <c r="E673" s="65" t="s">
        <v>400</v>
      </c>
      <c r="F673" s="83">
        <v>0.3541666666666667</v>
      </c>
      <c r="G673" s="83">
        <v>0.375</v>
      </c>
      <c r="H673" s="83">
        <v>0.020833333333333332</v>
      </c>
      <c r="I673" s="84">
        <v>44327.0</v>
      </c>
      <c r="J673" s="65" t="b">
        <v>1</v>
      </c>
      <c r="K673" s="65"/>
      <c r="L673" s="85" t="b">
        <f>IF(VLOOKUP(C673,Projetos!A:L,12,false)=TRUE,TRUE,FALSE)</f>
        <v>1</v>
      </c>
      <c r="M673" s="74">
        <v>31.02923620430495</v>
      </c>
      <c r="N673" s="74">
        <f t="shared" si="1"/>
        <v>15.5146181</v>
      </c>
      <c r="O673" s="74" t="b">
        <v>1</v>
      </c>
    </row>
    <row r="674" hidden="1">
      <c r="A674" s="82"/>
      <c r="B674" s="65" t="s">
        <v>177</v>
      </c>
      <c r="C674" s="65" t="s">
        <v>106</v>
      </c>
      <c r="D674" s="65" t="str">
        <f>vlookup(C674,'Classificação p pessoal'!F:G,2,false)</f>
        <v>MProcesso</v>
      </c>
      <c r="E674" s="65" t="s">
        <v>401</v>
      </c>
      <c r="F674" s="83">
        <v>0.375</v>
      </c>
      <c r="G674" s="83">
        <v>0.5</v>
      </c>
      <c r="H674" s="83">
        <v>0.125</v>
      </c>
      <c r="I674" s="84">
        <v>44327.0</v>
      </c>
      <c r="J674" s="65" t="b">
        <v>1</v>
      </c>
      <c r="K674" s="65"/>
      <c r="L674" s="85" t="b">
        <f>IF(VLOOKUP(C674,Projetos!A:L,12,false)=TRUE,TRUE,FALSE)</f>
        <v>1</v>
      </c>
      <c r="M674" s="74">
        <v>31.02923620430495</v>
      </c>
      <c r="N674" s="74">
        <f t="shared" si="1"/>
        <v>93.08770861</v>
      </c>
      <c r="O674" s="74" t="b">
        <v>1</v>
      </c>
    </row>
    <row r="675" hidden="1">
      <c r="A675" s="82"/>
      <c r="B675" s="65" t="s">
        <v>177</v>
      </c>
      <c r="C675" s="65" t="s">
        <v>100</v>
      </c>
      <c r="D675" s="65" t="str">
        <f>vlookup(C675,'Classificação p pessoal'!F:G,2,false)</f>
        <v>NP</v>
      </c>
      <c r="E675" s="65" t="s">
        <v>402</v>
      </c>
      <c r="F675" s="83">
        <v>0.3541666666666667</v>
      </c>
      <c r="G675" s="83">
        <v>0.4375</v>
      </c>
      <c r="H675" s="83">
        <v>0.08333333333333333</v>
      </c>
      <c r="I675" s="84">
        <v>44329.0</v>
      </c>
      <c r="J675" s="65" t="b">
        <v>1</v>
      </c>
      <c r="K675" s="65"/>
      <c r="L675" s="85" t="b">
        <f>IF(VLOOKUP(C675,Projetos!A:L,12,false)=TRUE,TRUE,FALSE)</f>
        <v>1</v>
      </c>
      <c r="M675" s="74">
        <v>31.02923620430495</v>
      </c>
      <c r="N675" s="74">
        <f t="shared" si="1"/>
        <v>62.05847241</v>
      </c>
      <c r="O675" s="74" t="b">
        <v>1</v>
      </c>
    </row>
    <row r="676" hidden="1">
      <c r="A676" s="82"/>
      <c r="B676" s="65" t="s">
        <v>177</v>
      </c>
      <c r="C676" s="65" t="s">
        <v>92</v>
      </c>
      <c r="D676" s="65" t="str">
        <f>vlookup(C676,'Classificação p pessoal'!F:G,2,false)</f>
        <v/>
      </c>
      <c r="E676" s="65" t="s">
        <v>403</v>
      </c>
      <c r="F676" s="83">
        <v>0.6666666666666666</v>
      </c>
      <c r="G676" s="83">
        <v>0.6875</v>
      </c>
      <c r="H676" s="83">
        <v>0.020833333333333332</v>
      </c>
      <c r="I676" s="84">
        <v>44285.0</v>
      </c>
      <c r="J676" s="65" t="b">
        <v>1</v>
      </c>
      <c r="K676" s="65"/>
      <c r="L676" s="85" t="b">
        <f>IF(VLOOKUP(C676,Projetos!A:L,12,false)=TRUE,TRUE,FALSE)</f>
        <v>1</v>
      </c>
      <c r="M676" s="74">
        <v>31.02923620430495</v>
      </c>
      <c r="N676" s="74">
        <f t="shared" si="1"/>
        <v>15.5146181</v>
      </c>
      <c r="O676" s="74" t="b">
        <v>1</v>
      </c>
    </row>
    <row r="677" hidden="1">
      <c r="A677" s="82"/>
      <c r="B677" s="65" t="s">
        <v>177</v>
      </c>
      <c r="C677" s="65" t="s">
        <v>92</v>
      </c>
      <c r="D677" s="65" t="str">
        <f>vlookup(C677,'Classificação p pessoal'!F:G,2,false)</f>
        <v/>
      </c>
      <c r="E677" s="65" t="s">
        <v>404</v>
      </c>
      <c r="F677" s="83">
        <v>0.5833333333333334</v>
      </c>
      <c r="G677" s="83">
        <v>0.625</v>
      </c>
      <c r="H677" s="83">
        <v>0.041666666666666664</v>
      </c>
      <c r="I677" s="84">
        <v>44330.0</v>
      </c>
      <c r="J677" s="65" t="b">
        <v>1</v>
      </c>
      <c r="K677" s="65"/>
      <c r="L677" s="85" t="b">
        <f>IF(VLOOKUP(C677,Projetos!A:L,12,false)=TRUE,TRUE,FALSE)</f>
        <v>1</v>
      </c>
      <c r="M677" s="74">
        <v>31.02923620430495</v>
      </c>
      <c r="N677" s="74">
        <f t="shared" si="1"/>
        <v>31.0292362</v>
      </c>
      <c r="O677" s="74" t="b">
        <v>1</v>
      </c>
    </row>
    <row r="678" hidden="1">
      <c r="A678" s="82"/>
      <c r="B678" s="65" t="s">
        <v>177</v>
      </c>
      <c r="C678" s="65" t="s">
        <v>92</v>
      </c>
      <c r="D678" s="65" t="str">
        <f>vlookup(C678,'Classificação p pessoal'!F:G,2,false)</f>
        <v/>
      </c>
      <c r="E678" s="65" t="s">
        <v>405</v>
      </c>
      <c r="F678" s="83">
        <v>0.625</v>
      </c>
      <c r="G678" s="83">
        <v>0.6666666666666666</v>
      </c>
      <c r="H678" s="83">
        <v>0.041666666666666664</v>
      </c>
      <c r="I678" s="84">
        <v>44330.0</v>
      </c>
      <c r="J678" s="65" t="b">
        <v>1</v>
      </c>
      <c r="K678" s="65"/>
      <c r="L678" s="85" t="b">
        <f>IF(VLOOKUP(C678,Projetos!A:L,12,false)=TRUE,TRUE,FALSE)</f>
        <v>1</v>
      </c>
      <c r="M678" s="74">
        <v>31.02923620430495</v>
      </c>
      <c r="N678" s="74">
        <f t="shared" si="1"/>
        <v>31.0292362</v>
      </c>
      <c r="O678" s="74" t="b">
        <v>1</v>
      </c>
    </row>
    <row r="679" hidden="1">
      <c r="A679" s="82"/>
      <c r="B679" s="65" t="s">
        <v>177</v>
      </c>
      <c r="C679" s="65" t="s">
        <v>106</v>
      </c>
      <c r="D679" s="65" t="str">
        <f>vlookup(C679,'Classificação p pessoal'!F:G,2,false)</f>
        <v>MProcesso</v>
      </c>
      <c r="E679" s="65" t="s">
        <v>406</v>
      </c>
      <c r="F679" s="83">
        <v>0.6666666666666666</v>
      </c>
      <c r="G679" s="83">
        <v>0.7083333333333334</v>
      </c>
      <c r="H679" s="83">
        <v>0.041666666666666664</v>
      </c>
      <c r="I679" s="84">
        <v>44330.0</v>
      </c>
      <c r="J679" s="65" t="b">
        <v>1</v>
      </c>
      <c r="K679" s="65"/>
      <c r="L679" s="85" t="b">
        <f>IF(VLOOKUP(C679,Projetos!A:L,12,false)=TRUE,TRUE,FALSE)</f>
        <v>1</v>
      </c>
      <c r="M679" s="74">
        <v>31.02923620430495</v>
      </c>
      <c r="N679" s="74">
        <f t="shared" si="1"/>
        <v>31.0292362</v>
      </c>
      <c r="O679" s="74" t="b">
        <v>1</v>
      </c>
    </row>
    <row r="680" hidden="1">
      <c r="A680" s="82"/>
      <c r="B680" s="65" t="s">
        <v>177</v>
      </c>
      <c r="C680" s="65" t="s">
        <v>100</v>
      </c>
      <c r="D680" s="65" t="str">
        <f>vlookup(C680,'Classificação p pessoal'!F:G,2,false)</f>
        <v>NP</v>
      </c>
      <c r="E680" s="65" t="s">
        <v>407</v>
      </c>
      <c r="F680" s="83">
        <v>0.7083333333333334</v>
      </c>
      <c r="G680" s="83">
        <v>0.75</v>
      </c>
      <c r="H680" s="83">
        <v>0.041666666666666664</v>
      </c>
      <c r="I680" s="84">
        <v>44330.0</v>
      </c>
      <c r="J680" s="65" t="b">
        <v>1</v>
      </c>
      <c r="K680" s="65"/>
      <c r="L680" s="85" t="b">
        <f>IF(VLOOKUP(C680,Projetos!A:L,12,false)=TRUE,TRUE,FALSE)</f>
        <v>1</v>
      </c>
      <c r="M680" s="74">
        <v>31.02923620430495</v>
      </c>
      <c r="N680" s="74">
        <f t="shared" si="1"/>
        <v>31.0292362</v>
      </c>
      <c r="O680" s="74" t="b">
        <v>1</v>
      </c>
    </row>
    <row r="681" hidden="1">
      <c r="A681" s="82"/>
      <c r="B681" s="65" t="s">
        <v>177</v>
      </c>
      <c r="C681" s="65" t="s">
        <v>100</v>
      </c>
      <c r="D681" s="65" t="str">
        <f>vlookup(C681,'Classificação p pessoal'!F:G,2,false)</f>
        <v>NP</v>
      </c>
      <c r="E681" s="65" t="s">
        <v>408</v>
      </c>
      <c r="F681" s="83">
        <v>0.3541666666666667</v>
      </c>
      <c r="G681" s="83">
        <v>0.3854166666666667</v>
      </c>
      <c r="H681" s="83">
        <v>0.03125</v>
      </c>
      <c r="I681" s="84">
        <v>44333.0</v>
      </c>
      <c r="J681" s="65" t="b">
        <v>1</v>
      </c>
      <c r="K681" s="65"/>
      <c r="L681" s="85" t="b">
        <f>IF(VLOOKUP(C681,Projetos!A:L,12,false)=TRUE,TRUE,FALSE)</f>
        <v>1</v>
      </c>
      <c r="M681" s="74">
        <v>31.02923620430495</v>
      </c>
      <c r="N681" s="74">
        <f t="shared" si="1"/>
        <v>23.27192715</v>
      </c>
      <c r="O681" s="74" t="b">
        <v>1</v>
      </c>
    </row>
    <row r="682" hidden="1">
      <c r="A682" s="82"/>
      <c r="B682" s="65" t="s">
        <v>177</v>
      </c>
      <c r="C682" s="65" t="s">
        <v>106</v>
      </c>
      <c r="D682" s="65" t="str">
        <f>vlookup(C682,'Classificação p pessoal'!F:G,2,false)</f>
        <v>MProcesso</v>
      </c>
      <c r="E682" s="65" t="s">
        <v>409</v>
      </c>
      <c r="F682" s="83">
        <v>0.40625</v>
      </c>
      <c r="G682" s="83">
        <v>0.4166666666666667</v>
      </c>
      <c r="H682" s="83">
        <v>0.010416666666666666</v>
      </c>
      <c r="I682" s="84">
        <v>44333.0</v>
      </c>
      <c r="J682" s="65" t="b">
        <v>1</v>
      </c>
      <c r="K682" s="65"/>
      <c r="L682" s="85" t="b">
        <f>IF(VLOOKUP(C682,Projetos!A:L,12,false)=TRUE,TRUE,FALSE)</f>
        <v>1</v>
      </c>
      <c r="M682" s="74">
        <v>31.02923620430495</v>
      </c>
      <c r="N682" s="74">
        <f t="shared" si="1"/>
        <v>7.757309051</v>
      </c>
      <c r="O682" s="74" t="b">
        <v>1</v>
      </c>
    </row>
    <row r="683" hidden="1">
      <c r="A683" s="82"/>
      <c r="B683" s="65" t="s">
        <v>177</v>
      </c>
      <c r="C683" s="65" t="s">
        <v>106</v>
      </c>
      <c r="D683" s="65" t="str">
        <f>vlookup(C683,'Classificação p pessoal'!F:G,2,false)</f>
        <v>MProcesso</v>
      </c>
      <c r="E683" s="65" t="s">
        <v>410</v>
      </c>
      <c r="F683" s="83">
        <v>0.4166666666666667</v>
      </c>
      <c r="G683" s="83">
        <v>0.4270833333333333</v>
      </c>
      <c r="H683" s="83">
        <v>0.010416666666666666</v>
      </c>
      <c r="I683" s="84">
        <v>44333.0</v>
      </c>
      <c r="J683" s="65" t="b">
        <v>1</v>
      </c>
      <c r="K683" s="65"/>
      <c r="L683" s="85" t="b">
        <f>IF(VLOOKUP(C683,Projetos!A:L,12,false)=TRUE,TRUE,FALSE)</f>
        <v>1</v>
      </c>
      <c r="M683" s="74">
        <v>31.02923620430495</v>
      </c>
      <c r="N683" s="74">
        <f t="shared" si="1"/>
        <v>7.757309051</v>
      </c>
      <c r="O683" s="74" t="b">
        <v>1</v>
      </c>
    </row>
    <row r="684" hidden="1">
      <c r="A684" s="82"/>
      <c r="B684" s="65" t="s">
        <v>411</v>
      </c>
      <c r="C684" s="65" t="s">
        <v>92</v>
      </c>
      <c r="D684" s="65" t="str">
        <f>vlookup(C684,'Classificação p pessoal'!F:G,2,false)</f>
        <v/>
      </c>
      <c r="E684" s="65" t="s">
        <v>412</v>
      </c>
      <c r="F684" s="83">
        <v>0.4791666666666667</v>
      </c>
      <c r="G684" s="83">
        <v>0.5416666666666666</v>
      </c>
      <c r="H684" s="83">
        <v>0.0625</v>
      </c>
      <c r="I684" s="84">
        <v>44461.0</v>
      </c>
      <c r="J684" s="65" t="b">
        <v>1</v>
      </c>
      <c r="K684" s="65"/>
      <c r="L684" s="85" t="b">
        <f>IF(VLOOKUP(C684,Projetos!A:L,12,false)=TRUE,TRUE,FALSE)</f>
        <v>1</v>
      </c>
      <c r="M684" s="74">
        <v>52.48434411075036</v>
      </c>
      <c r="N684" s="74">
        <f t="shared" si="1"/>
        <v>78.72651617</v>
      </c>
      <c r="O684" s="74" t="b">
        <v>1</v>
      </c>
    </row>
    <row r="685" hidden="1">
      <c r="A685" s="82"/>
      <c r="B685" s="65" t="s">
        <v>177</v>
      </c>
      <c r="C685" s="65" t="s">
        <v>108</v>
      </c>
      <c r="D685" s="65" t="str">
        <f>vlookup(C685,'Classificação p pessoal'!F:G,2,false)</f>
        <v>NP</v>
      </c>
      <c r="E685" s="65" t="s">
        <v>413</v>
      </c>
      <c r="F685" s="83">
        <v>0.34375</v>
      </c>
      <c r="G685" s="83">
        <v>0.3854166666666667</v>
      </c>
      <c r="H685" s="83">
        <v>0.041666666666666664</v>
      </c>
      <c r="I685" s="84">
        <v>44334.0</v>
      </c>
      <c r="J685" s="65" t="b">
        <v>1</v>
      </c>
      <c r="K685" s="65"/>
      <c r="L685" s="85" t="b">
        <f>IF(VLOOKUP(C685,Projetos!A:L,12,false)=TRUE,TRUE,FALSE)</f>
        <v>1</v>
      </c>
      <c r="M685" s="74">
        <v>31.02923620430495</v>
      </c>
      <c r="N685" s="74">
        <f t="shared" si="1"/>
        <v>31.0292362</v>
      </c>
      <c r="O685" s="74" t="b">
        <v>1</v>
      </c>
    </row>
    <row r="686" hidden="1">
      <c r="A686" s="82"/>
      <c r="B686" s="65" t="s">
        <v>177</v>
      </c>
      <c r="C686" s="65" t="s">
        <v>108</v>
      </c>
      <c r="D686" s="65" t="str">
        <f>vlookup(C686,'Classificação p pessoal'!F:G,2,false)</f>
        <v>NP</v>
      </c>
      <c r="E686" s="65" t="s">
        <v>414</v>
      </c>
      <c r="F686" s="83">
        <v>0.3854166666666667</v>
      </c>
      <c r="G686" s="83">
        <v>0.4270833333333333</v>
      </c>
      <c r="H686" s="83">
        <v>0.041666666666666664</v>
      </c>
      <c r="I686" s="84">
        <v>44334.0</v>
      </c>
      <c r="J686" s="65" t="b">
        <v>1</v>
      </c>
      <c r="K686" s="65"/>
      <c r="L686" s="85" t="b">
        <f>IF(VLOOKUP(C686,Projetos!A:L,12,false)=TRUE,TRUE,FALSE)</f>
        <v>1</v>
      </c>
      <c r="M686" s="74">
        <v>31.02923620430495</v>
      </c>
      <c r="N686" s="74">
        <f t="shared" si="1"/>
        <v>31.0292362</v>
      </c>
      <c r="O686" s="74" t="b">
        <v>1</v>
      </c>
    </row>
    <row r="687" hidden="1">
      <c r="A687" s="82"/>
      <c r="B687" s="65" t="s">
        <v>177</v>
      </c>
      <c r="C687" s="65" t="s">
        <v>91</v>
      </c>
      <c r="D687" s="65" t="str">
        <f>vlookup(C687,'Classificação p pessoal'!F:G,2,false)</f>
        <v>NP</v>
      </c>
      <c r="E687" s="65" t="s">
        <v>415</v>
      </c>
      <c r="F687" s="83">
        <v>0.4270833333333333</v>
      </c>
      <c r="G687" s="83">
        <v>0.5104166666666666</v>
      </c>
      <c r="H687" s="83">
        <v>0.08333333333333333</v>
      </c>
      <c r="I687" s="84">
        <v>44334.0</v>
      </c>
      <c r="J687" s="65" t="b">
        <v>1</v>
      </c>
      <c r="K687" s="65"/>
      <c r="L687" s="85" t="b">
        <f>IF(VLOOKUP(C687,Projetos!A:L,12,false)=TRUE,TRUE,FALSE)</f>
        <v>1</v>
      </c>
      <c r="M687" s="74">
        <v>31.02923620430495</v>
      </c>
      <c r="N687" s="74">
        <f t="shared" si="1"/>
        <v>62.05847241</v>
      </c>
      <c r="O687" s="74" t="b">
        <v>1</v>
      </c>
    </row>
    <row r="688" hidden="1">
      <c r="A688" s="82"/>
      <c r="B688" s="65" t="s">
        <v>177</v>
      </c>
      <c r="C688" s="65" t="s">
        <v>118</v>
      </c>
      <c r="D688" s="65"/>
      <c r="E688" s="65" t="s">
        <v>416</v>
      </c>
      <c r="F688" s="83">
        <v>0.3541666666666667</v>
      </c>
      <c r="G688" s="83">
        <v>0.375</v>
      </c>
      <c r="H688" s="83">
        <v>0.020833333333333332</v>
      </c>
      <c r="I688" s="84">
        <v>44335.0</v>
      </c>
      <c r="J688" s="65" t="b">
        <v>0</v>
      </c>
      <c r="K688" s="65"/>
      <c r="L688" s="85" t="b">
        <f>IF(VLOOKUP(C688,Projetos!A:L,12,false)=TRUE,TRUE,FALSE)</f>
        <v>1</v>
      </c>
      <c r="M688" s="74">
        <v>31.02923620430495</v>
      </c>
      <c r="N688" s="74">
        <f t="shared" si="1"/>
        <v>0</v>
      </c>
      <c r="O688" s="74" t="b">
        <v>1</v>
      </c>
    </row>
    <row r="689" hidden="1">
      <c r="A689" s="82"/>
      <c r="B689" s="65" t="s">
        <v>177</v>
      </c>
      <c r="C689" s="65" t="s">
        <v>92</v>
      </c>
      <c r="D689" s="65" t="str">
        <f>vlookup(C689,'Classificação p pessoal'!F:G,2,false)</f>
        <v/>
      </c>
      <c r="E689" s="65" t="s">
        <v>417</v>
      </c>
      <c r="F689" s="83">
        <v>0.375</v>
      </c>
      <c r="G689" s="83">
        <v>0.4166666666666667</v>
      </c>
      <c r="H689" s="83">
        <v>0.041666666666666664</v>
      </c>
      <c r="I689" s="84">
        <v>44335.0</v>
      </c>
      <c r="J689" s="65" t="b">
        <v>1</v>
      </c>
      <c r="K689" s="65"/>
      <c r="L689" s="85" t="b">
        <f>IF(VLOOKUP(C689,Projetos!A:L,12,false)=TRUE,TRUE,FALSE)</f>
        <v>1</v>
      </c>
      <c r="M689" s="74">
        <v>31.02923620430495</v>
      </c>
      <c r="N689" s="74">
        <f t="shared" si="1"/>
        <v>31.0292362</v>
      </c>
      <c r="O689" s="74" t="b">
        <v>1</v>
      </c>
    </row>
    <row r="690" hidden="1">
      <c r="A690" s="82"/>
      <c r="B690" s="65" t="s">
        <v>177</v>
      </c>
      <c r="C690" s="65" t="s">
        <v>92</v>
      </c>
      <c r="D690" s="65" t="str">
        <f>vlookup(C690,'Classificação p pessoal'!F:G,2,false)</f>
        <v/>
      </c>
      <c r="E690" s="65" t="s">
        <v>418</v>
      </c>
      <c r="F690" s="83">
        <v>0.4166666666666667</v>
      </c>
      <c r="G690" s="83">
        <v>0.4583333333333333</v>
      </c>
      <c r="H690" s="83">
        <v>0.041666666666666664</v>
      </c>
      <c r="I690" s="84">
        <v>44335.0</v>
      </c>
      <c r="J690" s="65" t="b">
        <v>1</v>
      </c>
      <c r="K690" s="65"/>
      <c r="L690" s="85" t="b">
        <f>IF(VLOOKUP(C690,Projetos!A:L,12,false)=TRUE,TRUE,FALSE)</f>
        <v>1</v>
      </c>
      <c r="M690" s="74">
        <v>31.02923620430495</v>
      </c>
      <c r="N690" s="74">
        <f t="shared" si="1"/>
        <v>31.0292362</v>
      </c>
      <c r="O690" s="74" t="b">
        <v>1</v>
      </c>
    </row>
    <row r="691" hidden="1">
      <c r="A691" s="82"/>
      <c r="B691" s="65" t="s">
        <v>177</v>
      </c>
      <c r="C691" s="65" t="s">
        <v>106</v>
      </c>
      <c r="D691" s="65" t="str">
        <f>vlookup(C691,'Classificação p pessoal'!F:G,2,false)</f>
        <v>MProcesso</v>
      </c>
      <c r="E691" s="65" t="s">
        <v>419</v>
      </c>
      <c r="F691" s="83">
        <v>0.4583333333333333</v>
      </c>
      <c r="G691" s="83">
        <v>0.5</v>
      </c>
      <c r="H691" s="83">
        <v>0.041666666666666664</v>
      </c>
      <c r="I691" s="84">
        <v>44335.0</v>
      </c>
      <c r="J691" s="65" t="b">
        <v>1</v>
      </c>
      <c r="K691" s="65"/>
      <c r="L691" s="85" t="b">
        <f>IF(VLOOKUP(C691,Projetos!A:L,12,false)=TRUE,TRUE,FALSE)</f>
        <v>1</v>
      </c>
      <c r="M691" s="74">
        <v>31.02923620430495</v>
      </c>
      <c r="N691" s="74">
        <f t="shared" si="1"/>
        <v>31.0292362</v>
      </c>
      <c r="O691" s="74" t="b">
        <v>1</v>
      </c>
    </row>
    <row r="692" hidden="1">
      <c r="A692" s="82"/>
      <c r="B692" s="65" t="s">
        <v>177</v>
      </c>
      <c r="C692" s="65" t="s">
        <v>106</v>
      </c>
      <c r="D692" s="65" t="str">
        <f>vlookup(C692,'Classificação p pessoal'!F:G,2,false)</f>
        <v>MProcesso</v>
      </c>
      <c r="E692" s="65" t="s">
        <v>420</v>
      </c>
      <c r="F692" s="83">
        <v>0.5</v>
      </c>
      <c r="G692" s="83">
        <v>0.5416666666666666</v>
      </c>
      <c r="H692" s="83">
        <v>0.041666666666666664</v>
      </c>
      <c r="I692" s="84">
        <v>44335.0</v>
      </c>
      <c r="J692" s="65" t="b">
        <v>1</v>
      </c>
      <c r="K692" s="65"/>
      <c r="L692" s="85" t="b">
        <f>IF(VLOOKUP(C692,Projetos!A:L,12,false)=TRUE,TRUE,FALSE)</f>
        <v>1</v>
      </c>
      <c r="M692" s="74">
        <v>31.02923620430495</v>
      </c>
      <c r="N692" s="74">
        <f t="shared" si="1"/>
        <v>31.0292362</v>
      </c>
      <c r="O692" s="74" t="b">
        <v>1</v>
      </c>
    </row>
    <row r="693" hidden="1">
      <c r="A693" s="82"/>
      <c r="B693" s="65" t="s">
        <v>177</v>
      </c>
      <c r="C693" s="65" t="s">
        <v>107</v>
      </c>
      <c r="D693" s="65" t="str">
        <f>vlookup(C693,'Classificação p pessoal'!F:G,2,false)</f>
        <v>NP</v>
      </c>
      <c r="E693" s="65" t="s">
        <v>421</v>
      </c>
      <c r="F693" s="83">
        <v>0.3958333333333333</v>
      </c>
      <c r="G693" s="83">
        <v>0.6458333333333334</v>
      </c>
      <c r="H693" s="83">
        <v>0.25</v>
      </c>
      <c r="I693" s="84">
        <v>44337.0</v>
      </c>
      <c r="J693" s="65" t="b">
        <v>1</v>
      </c>
      <c r="K693" s="65"/>
      <c r="L693" s="85" t="b">
        <f>IF(VLOOKUP(C693,Projetos!A:L,12,false)=TRUE,TRUE,FALSE)</f>
        <v>1</v>
      </c>
      <c r="M693" s="74">
        <v>31.02923620430495</v>
      </c>
      <c r="N693" s="74">
        <f t="shared" si="1"/>
        <v>186.1754172</v>
      </c>
      <c r="O693" s="74" t="b">
        <v>1</v>
      </c>
    </row>
    <row r="694" hidden="1">
      <c r="A694" s="82"/>
      <c r="B694" s="65" t="s">
        <v>177</v>
      </c>
      <c r="C694" s="65" t="s">
        <v>107</v>
      </c>
      <c r="D694" s="65" t="str">
        <f>vlookup(C694,'Classificação p pessoal'!F:G,2,false)</f>
        <v>NP</v>
      </c>
      <c r="E694" s="65" t="s">
        <v>421</v>
      </c>
      <c r="F694" s="83">
        <v>0.3958333333333333</v>
      </c>
      <c r="G694" s="83">
        <v>0.6875</v>
      </c>
      <c r="H694" s="83">
        <v>0.2916666666666667</v>
      </c>
      <c r="I694" s="84">
        <v>44341.0</v>
      </c>
      <c r="J694" s="65" t="b">
        <v>1</v>
      </c>
      <c r="K694" s="65"/>
      <c r="L694" s="85" t="b">
        <f>IF(VLOOKUP(C694,Projetos!A:L,12,false)=TRUE,TRUE,FALSE)</f>
        <v>1</v>
      </c>
      <c r="M694" s="74">
        <v>31.02923620430495</v>
      </c>
      <c r="N694" s="74">
        <f t="shared" si="1"/>
        <v>217.2046534</v>
      </c>
      <c r="O694" s="74" t="b">
        <v>1</v>
      </c>
    </row>
    <row r="695" hidden="1">
      <c r="A695" s="82"/>
      <c r="B695" s="65" t="s">
        <v>177</v>
      </c>
      <c r="C695" s="65" t="s">
        <v>92</v>
      </c>
      <c r="D695" s="65" t="str">
        <f>vlookup(C695,'Classificação p pessoal'!F:G,2,false)</f>
        <v/>
      </c>
      <c r="E695" s="65" t="s">
        <v>422</v>
      </c>
      <c r="F695" s="83">
        <v>0.4583333333333333</v>
      </c>
      <c r="G695" s="83">
        <v>0.4791666666666667</v>
      </c>
      <c r="H695" s="83">
        <v>0.020833333333333332</v>
      </c>
      <c r="I695" s="84">
        <v>44280.0</v>
      </c>
      <c r="J695" s="65" t="b">
        <v>1</v>
      </c>
      <c r="K695" s="65"/>
      <c r="L695" s="85" t="b">
        <f>IF(VLOOKUP(C695,Projetos!A:L,12,false)=TRUE,TRUE,FALSE)</f>
        <v>1</v>
      </c>
      <c r="M695" s="74">
        <v>31.02923620430495</v>
      </c>
      <c r="N695" s="74">
        <f t="shared" si="1"/>
        <v>15.5146181</v>
      </c>
      <c r="O695" s="74" t="b">
        <v>1</v>
      </c>
    </row>
    <row r="696" hidden="1">
      <c r="A696" s="82"/>
      <c r="B696" s="65" t="s">
        <v>177</v>
      </c>
      <c r="C696" s="65" t="s">
        <v>100</v>
      </c>
      <c r="D696" s="65" t="str">
        <f>vlookup(C696,'Classificação p pessoal'!F:G,2,false)</f>
        <v>NP</v>
      </c>
      <c r="E696" s="65" t="s">
        <v>423</v>
      </c>
      <c r="F696" s="83">
        <v>0.3541666666666667</v>
      </c>
      <c r="G696" s="83">
        <v>0.375</v>
      </c>
      <c r="H696" s="83">
        <v>0.020833333333333332</v>
      </c>
      <c r="I696" s="84">
        <v>44342.0</v>
      </c>
      <c r="J696" s="65" t="b">
        <v>1</v>
      </c>
      <c r="K696" s="65"/>
      <c r="L696" s="85" t="b">
        <f>IF(VLOOKUP(C696,Projetos!A:L,12,false)=TRUE,TRUE,FALSE)</f>
        <v>1</v>
      </c>
      <c r="M696" s="74">
        <v>31.02923620430495</v>
      </c>
      <c r="N696" s="74">
        <f t="shared" si="1"/>
        <v>15.5146181</v>
      </c>
      <c r="O696" s="74" t="b">
        <v>1</v>
      </c>
    </row>
    <row r="697" hidden="1">
      <c r="A697" s="82"/>
      <c r="B697" s="65" t="s">
        <v>177</v>
      </c>
      <c r="C697" s="65" t="s">
        <v>121</v>
      </c>
      <c r="D697" s="65"/>
      <c r="E697" s="65" t="s">
        <v>424</v>
      </c>
      <c r="F697" s="83">
        <v>0.4583333333333333</v>
      </c>
      <c r="G697" s="83">
        <v>0.4791666666666667</v>
      </c>
      <c r="H697" s="83">
        <v>0.020833333333333332</v>
      </c>
      <c r="I697" s="84">
        <v>44342.0</v>
      </c>
      <c r="J697" s="65" t="b">
        <v>0</v>
      </c>
      <c r="K697" s="65" t="s">
        <v>150</v>
      </c>
      <c r="L697" s="85" t="b">
        <f>IF(VLOOKUP(C697,Projetos!A:L,12,false)=TRUE,TRUE,FALSE)</f>
        <v>1</v>
      </c>
      <c r="M697" s="74">
        <v>31.02923620430495</v>
      </c>
      <c r="N697" s="74">
        <f t="shared" si="1"/>
        <v>0</v>
      </c>
      <c r="O697" s="74" t="b">
        <v>1</v>
      </c>
    </row>
    <row r="698" hidden="1">
      <c r="A698" s="82"/>
      <c r="B698" s="65" t="s">
        <v>177</v>
      </c>
      <c r="C698" s="65" t="s">
        <v>92</v>
      </c>
      <c r="D698" s="65" t="str">
        <f>vlookup(C698,'Classificação p pessoal'!F:G,2,false)</f>
        <v/>
      </c>
      <c r="E698" s="65" t="s">
        <v>425</v>
      </c>
      <c r="F698" s="83">
        <v>0.375</v>
      </c>
      <c r="G698" s="83">
        <v>0.4583333333333333</v>
      </c>
      <c r="H698" s="83">
        <v>0.08333333333333333</v>
      </c>
      <c r="I698" s="84">
        <v>44342.0</v>
      </c>
      <c r="J698" s="65" t="b">
        <v>1</v>
      </c>
      <c r="K698" s="65"/>
      <c r="L698" s="85" t="b">
        <f>IF(VLOOKUP(C698,Projetos!A:L,12,false)=TRUE,TRUE,FALSE)</f>
        <v>1</v>
      </c>
      <c r="M698" s="74">
        <v>31.02923620430495</v>
      </c>
      <c r="N698" s="74">
        <f t="shared" si="1"/>
        <v>62.05847241</v>
      </c>
      <c r="O698" s="74" t="b">
        <v>1</v>
      </c>
    </row>
    <row r="699" hidden="1">
      <c r="A699" s="82"/>
      <c r="B699" s="65" t="s">
        <v>177</v>
      </c>
      <c r="C699" s="65" t="s">
        <v>100</v>
      </c>
      <c r="D699" s="65" t="str">
        <f>vlookup(C699,'Classificação p pessoal'!F:G,2,false)</f>
        <v>NP</v>
      </c>
      <c r="E699" s="65" t="s">
        <v>426</v>
      </c>
      <c r="F699" s="83">
        <v>0.375</v>
      </c>
      <c r="G699" s="83">
        <v>0.4166666666666667</v>
      </c>
      <c r="H699" s="83">
        <v>0.041666666666666664</v>
      </c>
      <c r="I699" s="84">
        <v>44343.0</v>
      </c>
      <c r="J699" s="65" t="b">
        <v>1</v>
      </c>
      <c r="K699" s="65"/>
      <c r="L699" s="85" t="b">
        <f>IF(VLOOKUP(C699,Projetos!A:L,12,false)=TRUE,TRUE,FALSE)</f>
        <v>1</v>
      </c>
      <c r="M699" s="74">
        <v>31.02923620430495</v>
      </c>
      <c r="N699" s="74">
        <f t="shared" si="1"/>
        <v>31.0292362</v>
      </c>
      <c r="O699" s="74" t="b">
        <v>1</v>
      </c>
    </row>
    <row r="700" hidden="1">
      <c r="A700" s="82"/>
      <c r="B700" s="65" t="s">
        <v>177</v>
      </c>
      <c r="C700" s="65" t="s">
        <v>92</v>
      </c>
      <c r="D700" s="65" t="str">
        <f>vlookup(C700,'Classificação p pessoal'!F:G,2,false)</f>
        <v/>
      </c>
      <c r="E700" s="65" t="s">
        <v>427</v>
      </c>
      <c r="F700" s="83">
        <v>0.4375</v>
      </c>
      <c r="G700" s="83">
        <v>0.4479166666666667</v>
      </c>
      <c r="H700" s="83">
        <v>0.010416666666666666</v>
      </c>
      <c r="I700" s="84">
        <v>44344.0</v>
      </c>
      <c r="J700" s="65" t="b">
        <v>1</v>
      </c>
      <c r="K700" s="65"/>
      <c r="L700" s="85" t="b">
        <f>IF(VLOOKUP(C700,Projetos!A:L,12,false)=TRUE,TRUE,FALSE)</f>
        <v>1</v>
      </c>
      <c r="M700" s="74">
        <v>31.02923620430495</v>
      </c>
      <c r="N700" s="74">
        <f t="shared" si="1"/>
        <v>7.757309051</v>
      </c>
      <c r="O700" s="74" t="b">
        <v>1</v>
      </c>
    </row>
    <row r="701" hidden="1">
      <c r="A701" s="82"/>
      <c r="B701" s="65" t="s">
        <v>177</v>
      </c>
      <c r="C701" s="65" t="s">
        <v>92</v>
      </c>
      <c r="D701" s="65" t="str">
        <f>vlookup(C701,'Classificação p pessoal'!F:G,2,false)</f>
        <v/>
      </c>
      <c r="E701" s="65" t="s">
        <v>428</v>
      </c>
      <c r="F701" s="83">
        <v>0.4479166666666667</v>
      </c>
      <c r="G701" s="83">
        <v>0.46875</v>
      </c>
      <c r="H701" s="83">
        <v>0.020833333333333332</v>
      </c>
      <c r="I701" s="84">
        <v>44344.0</v>
      </c>
      <c r="J701" s="65" t="b">
        <v>1</v>
      </c>
      <c r="K701" s="65"/>
      <c r="L701" s="85" t="b">
        <f>IF(VLOOKUP(C701,Projetos!A:L,12,false)=TRUE,TRUE,FALSE)</f>
        <v>1</v>
      </c>
      <c r="M701" s="74">
        <v>31.02923620430495</v>
      </c>
      <c r="N701" s="74">
        <f t="shared" si="1"/>
        <v>15.5146181</v>
      </c>
      <c r="O701" s="74" t="b">
        <v>1</v>
      </c>
    </row>
    <row r="702" hidden="1">
      <c r="A702" s="82"/>
      <c r="B702" s="65" t="s">
        <v>177</v>
      </c>
      <c r="C702" s="65" t="s">
        <v>108</v>
      </c>
      <c r="D702" s="65" t="str">
        <f>vlookup(C702,'Classificação p pessoal'!F:G,2,false)</f>
        <v>NP</v>
      </c>
      <c r="E702" s="65" t="s">
        <v>429</v>
      </c>
      <c r="F702" s="83">
        <v>0.6458333333333334</v>
      </c>
      <c r="G702" s="83">
        <v>0.6875</v>
      </c>
      <c r="H702" s="83">
        <v>0.041666666666666664</v>
      </c>
      <c r="I702" s="84">
        <v>44412.0</v>
      </c>
      <c r="J702" s="65" t="b">
        <v>1</v>
      </c>
      <c r="K702" s="65"/>
      <c r="L702" s="85" t="b">
        <f>IF(VLOOKUP(C702,Projetos!A:L,12,false)=TRUE,TRUE,FALSE)</f>
        <v>1</v>
      </c>
      <c r="M702" s="74">
        <v>31.02923620430495</v>
      </c>
      <c r="N702" s="74">
        <f t="shared" si="1"/>
        <v>31.0292362</v>
      </c>
      <c r="O702" s="74" t="b">
        <v>1</v>
      </c>
    </row>
    <row r="703" hidden="1">
      <c r="A703" s="82"/>
      <c r="B703" s="65" t="s">
        <v>177</v>
      </c>
      <c r="C703" s="65" t="s">
        <v>107</v>
      </c>
      <c r="D703" s="65" t="str">
        <f>vlookup(C703,'Classificação p pessoal'!F:G,2,false)</f>
        <v>NP</v>
      </c>
      <c r="E703" s="65" t="s">
        <v>430</v>
      </c>
      <c r="F703" s="83">
        <v>0.375</v>
      </c>
      <c r="G703" s="83">
        <v>0.75</v>
      </c>
      <c r="H703" s="83">
        <v>0.375</v>
      </c>
      <c r="I703" s="84">
        <v>44347.0</v>
      </c>
      <c r="J703" s="65" t="b">
        <v>1</v>
      </c>
      <c r="K703" s="65"/>
      <c r="L703" s="85" t="b">
        <f>IF(VLOOKUP(C703,Projetos!A:L,12,false)=TRUE,TRUE,FALSE)</f>
        <v>1</v>
      </c>
      <c r="M703" s="74">
        <v>31.02923620430495</v>
      </c>
      <c r="N703" s="74">
        <f t="shared" si="1"/>
        <v>279.2631258</v>
      </c>
      <c r="O703" s="74" t="b">
        <v>1</v>
      </c>
    </row>
    <row r="704" hidden="1">
      <c r="A704" s="82"/>
      <c r="B704" s="65" t="s">
        <v>177</v>
      </c>
      <c r="C704" s="65" t="s">
        <v>108</v>
      </c>
      <c r="D704" s="65" t="str">
        <f>vlookup(C704,'Classificação p pessoal'!F:G,2,false)</f>
        <v>NP</v>
      </c>
      <c r="E704" s="65" t="s">
        <v>431</v>
      </c>
      <c r="F704" s="83">
        <v>0.3958333333333333</v>
      </c>
      <c r="G704" s="83">
        <v>0.4583333333333333</v>
      </c>
      <c r="H704" s="83">
        <v>0.0625</v>
      </c>
      <c r="I704" s="84">
        <v>44348.0</v>
      </c>
      <c r="J704" s="65" t="b">
        <v>1</v>
      </c>
      <c r="K704" s="65"/>
      <c r="L704" s="85" t="b">
        <f>IF(VLOOKUP(C704,Projetos!A:L,12,false)=TRUE,TRUE,FALSE)</f>
        <v>1</v>
      </c>
      <c r="M704" s="74">
        <v>31.02923620430495</v>
      </c>
      <c r="N704" s="74">
        <f t="shared" si="1"/>
        <v>46.54385431</v>
      </c>
      <c r="O704" s="74" t="b">
        <v>1</v>
      </c>
    </row>
    <row r="705" hidden="1">
      <c r="A705" s="82"/>
      <c r="B705" s="65" t="s">
        <v>177</v>
      </c>
      <c r="C705" s="65" t="s">
        <v>101</v>
      </c>
      <c r="D705" s="65" t="str">
        <f>vlookup(C705,'Classificação p pessoal'!F:G,2,false)</f>
        <v>NP</v>
      </c>
      <c r="E705" s="65" t="s">
        <v>432</v>
      </c>
      <c r="F705" s="83">
        <v>0.3541666666666667</v>
      </c>
      <c r="G705" s="83">
        <v>0.375</v>
      </c>
      <c r="H705" s="83">
        <v>0.020833333333333332</v>
      </c>
      <c r="I705" s="84">
        <v>44354.0</v>
      </c>
      <c r="J705" s="65" t="b">
        <v>1</v>
      </c>
      <c r="K705" s="65"/>
      <c r="L705" s="85" t="b">
        <f>IF(VLOOKUP(C705,Projetos!A:L,12,false)=TRUE,TRUE,FALSE)</f>
        <v>1</v>
      </c>
      <c r="M705" s="74">
        <v>31.02923620430495</v>
      </c>
      <c r="N705" s="74">
        <f t="shared" si="1"/>
        <v>15.5146181</v>
      </c>
      <c r="O705" s="74" t="b">
        <v>1</v>
      </c>
    </row>
    <row r="706" hidden="1">
      <c r="A706" s="82"/>
      <c r="B706" s="65" t="s">
        <v>177</v>
      </c>
      <c r="C706" s="65" t="s">
        <v>130</v>
      </c>
      <c r="D706" s="65" t="str">
        <f>vlookup(C706,'Classificação p pessoal'!F:G,2,false)</f>
        <v>NP</v>
      </c>
      <c r="E706" s="65" t="s">
        <v>433</v>
      </c>
      <c r="F706" s="83">
        <v>0.3541666666666667</v>
      </c>
      <c r="G706" s="83">
        <v>0.4166666666666667</v>
      </c>
      <c r="H706" s="83">
        <v>0.0625</v>
      </c>
      <c r="I706" s="84">
        <v>44355.0</v>
      </c>
      <c r="J706" s="65" t="b">
        <v>1</v>
      </c>
      <c r="K706" s="65"/>
      <c r="L706" s="85" t="b">
        <f>IF(VLOOKUP(C706,Projetos!A:L,12,false)=TRUE,TRUE,FALSE)</f>
        <v>1</v>
      </c>
      <c r="M706" s="74">
        <v>31.02923620430495</v>
      </c>
      <c r="N706" s="74">
        <f t="shared" si="1"/>
        <v>46.54385431</v>
      </c>
      <c r="O706" s="74" t="b">
        <v>1</v>
      </c>
    </row>
    <row r="707" hidden="1">
      <c r="A707" s="82"/>
      <c r="B707" s="65" t="s">
        <v>177</v>
      </c>
      <c r="C707" s="65" t="s">
        <v>117</v>
      </c>
      <c r="D707" s="65" t="str">
        <f>vlookup(C707,'Classificação p pessoal'!F:G,2,false)</f>
        <v>NP</v>
      </c>
      <c r="E707" s="65" t="s">
        <v>434</v>
      </c>
      <c r="F707" s="83">
        <v>0.4166666666666667</v>
      </c>
      <c r="G707" s="83">
        <v>0.4583333333333333</v>
      </c>
      <c r="H707" s="83">
        <v>0.041666666666666664</v>
      </c>
      <c r="I707" s="84">
        <v>44355.0</v>
      </c>
      <c r="J707" s="65" t="b">
        <v>1</v>
      </c>
      <c r="K707" s="65"/>
      <c r="L707" s="85" t="b">
        <f>IF(VLOOKUP(C707,Projetos!A:L,12,false)=TRUE,TRUE,FALSE)</f>
        <v>1</v>
      </c>
      <c r="M707" s="74">
        <v>31.02923620430495</v>
      </c>
      <c r="N707" s="74">
        <f t="shared" si="1"/>
        <v>31.0292362</v>
      </c>
      <c r="O707" s="74" t="b">
        <v>1</v>
      </c>
    </row>
    <row r="708" hidden="1">
      <c r="A708" s="82"/>
      <c r="B708" s="65" t="s">
        <v>177</v>
      </c>
      <c r="C708" s="65" t="s">
        <v>92</v>
      </c>
      <c r="D708" s="65" t="str">
        <f>vlookup(C708,'Classificação p pessoal'!F:G,2,false)</f>
        <v/>
      </c>
      <c r="E708" s="65" t="s">
        <v>435</v>
      </c>
      <c r="F708" s="83">
        <v>0.4583333333333333</v>
      </c>
      <c r="G708" s="83">
        <v>0.4791666666666667</v>
      </c>
      <c r="H708" s="83">
        <v>0.020833333333333332</v>
      </c>
      <c r="I708" s="84">
        <v>44355.0</v>
      </c>
      <c r="J708" s="65" t="b">
        <v>1</v>
      </c>
      <c r="K708" s="65"/>
      <c r="L708" s="85" t="b">
        <f>IF(VLOOKUP(C708,Projetos!A:L,12,false)=TRUE,TRUE,FALSE)</f>
        <v>1</v>
      </c>
      <c r="M708" s="74">
        <v>31.02923620430495</v>
      </c>
      <c r="N708" s="74">
        <f t="shared" si="1"/>
        <v>15.5146181</v>
      </c>
      <c r="O708" s="74" t="b">
        <v>1</v>
      </c>
    </row>
    <row r="709" hidden="1">
      <c r="A709" s="82"/>
      <c r="B709" s="65" t="s">
        <v>177</v>
      </c>
      <c r="C709" s="65" t="s">
        <v>92</v>
      </c>
      <c r="D709" s="65" t="str">
        <f>vlookup(C709,'Classificação p pessoal'!F:G,2,false)</f>
        <v/>
      </c>
      <c r="E709" s="65" t="s">
        <v>436</v>
      </c>
      <c r="F709" s="83">
        <v>0.4791666666666667</v>
      </c>
      <c r="G709" s="83">
        <v>0.5</v>
      </c>
      <c r="H709" s="83">
        <v>0.020833333333333332</v>
      </c>
      <c r="I709" s="84">
        <v>44355.0</v>
      </c>
      <c r="J709" s="65" t="b">
        <v>1</v>
      </c>
      <c r="K709" s="65"/>
      <c r="L709" s="85" t="b">
        <f>IF(VLOOKUP(C709,Projetos!A:L,12,false)=TRUE,TRUE,FALSE)</f>
        <v>1</v>
      </c>
      <c r="M709" s="74">
        <v>31.02923620430495</v>
      </c>
      <c r="N709" s="74">
        <f t="shared" si="1"/>
        <v>15.5146181</v>
      </c>
      <c r="O709" s="74" t="b">
        <v>1</v>
      </c>
    </row>
    <row r="710" hidden="1">
      <c r="A710" s="82"/>
      <c r="B710" s="65" t="s">
        <v>177</v>
      </c>
      <c r="C710" s="65" t="s">
        <v>92</v>
      </c>
      <c r="D710" s="65" t="str">
        <f>vlookup(C710,'Classificação p pessoal'!F:G,2,false)</f>
        <v/>
      </c>
      <c r="E710" s="65" t="s">
        <v>437</v>
      </c>
      <c r="F710" s="83">
        <v>0.5</v>
      </c>
      <c r="G710" s="83">
        <v>0.5208333333333334</v>
      </c>
      <c r="H710" s="83">
        <v>0.020833333333333332</v>
      </c>
      <c r="I710" s="84">
        <v>44355.0</v>
      </c>
      <c r="J710" s="65" t="b">
        <v>1</v>
      </c>
      <c r="K710" s="65"/>
      <c r="L710" s="85" t="b">
        <f>IF(VLOOKUP(C710,Projetos!A:L,12,false)=TRUE,TRUE,FALSE)</f>
        <v>1</v>
      </c>
      <c r="M710" s="74">
        <v>31.02923620430495</v>
      </c>
      <c r="N710" s="74">
        <f t="shared" si="1"/>
        <v>15.5146181</v>
      </c>
      <c r="O710" s="74" t="b">
        <v>1</v>
      </c>
    </row>
    <row r="711" hidden="1">
      <c r="A711" s="82"/>
      <c r="B711" s="65" t="s">
        <v>177</v>
      </c>
      <c r="C711" s="65" t="s">
        <v>92</v>
      </c>
      <c r="D711" s="65" t="str">
        <f>vlookup(C711,'Classificação p pessoal'!F:G,2,false)</f>
        <v/>
      </c>
      <c r="E711" s="65" t="s">
        <v>438</v>
      </c>
      <c r="F711" s="83">
        <v>0.5208333333333334</v>
      </c>
      <c r="G711" s="83">
        <v>0.5416666666666666</v>
      </c>
      <c r="H711" s="83">
        <v>0.020833333333333332</v>
      </c>
      <c r="I711" s="84">
        <v>44355.0</v>
      </c>
      <c r="J711" s="65" t="b">
        <v>1</v>
      </c>
      <c r="K711" s="65"/>
      <c r="L711" s="85" t="b">
        <f>IF(VLOOKUP(C711,Projetos!A:L,12,false)=TRUE,TRUE,FALSE)</f>
        <v>1</v>
      </c>
      <c r="M711" s="74">
        <v>31.02923620430495</v>
      </c>
      <c r="N711" s="74">
        <f t="shared" si="1"/>
        <v>15.5146181</v>
      </c>
      <c r="O711" s="74" t="b">
        <v>1</v>
      </c>
    </row>
    <row r="712" hidden="1">
      <c r="A712" s="82"/>
      <c r="B712" s="65" t="s">
        <v>177</v>
      </c>
      <c r="C712" s="65" t="s">
        <v>92</v>
      </c>
      <c r="D712" s="65" t="str">
        <f>vlookup(C712,'Classificação p pessoal'!F:G,2,false)</f>
        <v/>
      </c>
      <c r="E712" s="65" t="s">
        <v>439</v>
      </c>
      <c r="F712" s="83">
        <v>0.5416666666666666</v>
      </c>
      <c r="G712" s="83">
        <v>0.5625</v>
      </c>
      <c r="H712" s="83">
        <v>0.020833333333333332</v>
      </c>
      <c r="I712" s="84">
        <v>44355.0</v>
      </c>
      <c r="J712" s="65" t="b">
        <v>1</v>
      </c>
      <c r="K712" s="65"/>
      <c r="L712" s="85" t="b">
        <f>IF(VLOOKUP(C712,Projetos!A:L,12,false)=TRUE,TRUE,FALSE)</f>
        <v>1</v>
      </c>
      <c r="M712" s="74">
        <v>31.02923620430495</v>
      </c>
      <c r="N712" s="74">
        <f t="shared" si="1"/>
        <v>15.5146181</v>
      </c>
      <c r="O712" s="74" t="b">
        <v>1</v>
      </c>
    </row>
    <row r="713" hidden="1">
      <c r="A713" s="82"/>
      <c r="B713" s="65" t="s">
        <v>177</v>
      </c>
      <c r="C713" s="65" t="s">
        <v>92</v>
      </c>
      <c r="D713" s="65" t="str">
        <f>vlookup(C713,'Classificação p pessoal'!F:G,2,false)</f>
        <v/>
      </c>
      <c r="E713" s="65" t="s">
        <v>440</v>
      </c>
      <c r="F713" s="83">
        <v>0.5833333333333334</v>
      </c>
      <c r="G713" s="83">
        <v>0.6041666666666666</v>
      </c>
      <c r="H713" s="83">
        <v>0.020833333333333332</v>
      </c>
      <c r="I713" s="84">
        <v>44355.0</v>
      </c>
      <c r="J713" s="65" t="b">
        <v>1</v>
      </c>
      <c r="K713" s="65"/>
      <c r="L713" s="85" t="b">
        <f>IF(VLOOKUP(C713,Projetos!A:L,12,false)=TRUE,TRUE,FALSE)</f>
        <v>1</v>
      </c>
      <c r="M713" s="74">
        <v>31.02923620430495</v>
      </c>
      <c r="N713" s="74">
        <f t="shared" si="1"/>
        <v>15.5146181</v>
      </c>
      <c r="O713" s="74" t="b">
        <v>1</v>
      </c>
    </row>
    <row r="714" hidden="1">
      <c r="A714" s="82"/>
      <c r="B714" s="65" t="s">
        <v>177</v>
      </c>
      <c r="C714" s="65" t="s">
        <v>106</v>
      </c>
      <c r="D714" s="65" t="str">
        <f>vlookup(C714,'Classificação p pessoal'!F:G,2,false)</f>
        <v>MProcesso</v>
      </c>
      <c r="E714" s="65" t="s">
        <v>441</v>
      </c>
      <c r="F714" s="83">
        <v>0.6041666666666666</v>
      </c>
      <c r="G714" s="83">
        <v>0.625</v>
      </c>
      <c r="H714" s="83">
        <v>0.020833333333333332</v>
      </c>
      <c r="I714" s="84">
        <v>44355.0</v>
      </c>
      <c r="J714" s="65" t="b">
        <v>1</v>
      </c>
      <c r="K714" s="65"/>
      <c r="L714" s="85" t="b">
        <f>IF(VLOOKUP(C714,Projetos!A:L,12,false)=TRUE,TRUE,FALSE)</f>
        <v>1</v>
      </c>
      <c r="M714" s="74">
        <v>31.02923620430495</v>
      </c>
      <c r="N714" s="74">
        <f t="shared" si="1"/>
        <v>15.5146181</v>
      </c>
      <c r="O714" s="74" t="b">
        <v>1</v>
      </c>
    </row>
    <row r="715" hidden="1">
      <c r="A715" s="82"/>
      <c r="B715" s="65" t="s">
        <v>177</v>
      </c>
      <c r="C715" s="65" t="s">
        <v>106</v>
      </c>
      <c r="D715" s="65" t="str">
        <f>vlookup(C715,'Classificação p pessoal'!F:G,2,false)</f>
        <v>MProcesso</v>
      </c>
      <c r="E715" s="65" t="s">
        <v>442</v>
      </c>
      <c r="F715" s="83">
        <v>0.625</v>
      </c>
      <c r="G715" s="83">
        <v>0.6458333333333334</v>
      </c>
      <c r="H715" s="83">
        <v>0.020833333333333332</v>
      </c>
      <c r="I715" s="84">
        <v>44355.0</v>
      </c>
      <c r="J715" s="65" t="b">
        <v>1</v>
      </c>
      <c r="K715" s="65"/>
      <c r="L715" s="85" t="b">
        <f>IF(VLOOKUP(C715,Projetos!A:L,12,false)=TRUE,TRUE,FALSE)</f>
        <v>1</v>
      </c>
      <c r="M715" s="74">
        <v>31.02923620430495</v>
      </c>
      <c r="N715" s="74">
        <f t="shared" si="1"/>
        <v>15.5146181</v>
      </c>
      <c r="O715" s="74" t="b">
        <v>1</v>
      </c>
    </row>
    <row r="716" hidden="1">
      <c r="A716" s="82"/>
      <c r="B716" s="65" t="s">
        <v>177</v>
      </c>
      <c r="C716" s="65" t="s">
        <v>106</v>
      </c>
      <c r="D716" s="65" t="str">
        <f>vlookup(C716,'Classificação p pessoal'!F:G,2,false)</f>
        <v>MProcesso</v>
      </c>
      <c r="E716" s="65" t="s">
        <v>443</v>
      </c>
      <c r="F716" s="83">
        <v>0.6458333333333334</v>
      </c>
      <c r="G716" s="83">
        <v>0.6666666666666666</v>
      </c>
      <c r="H716" s="83">
        <v>0.020833333333333332</v>
      </c>
      <c r="I716" s="84">
        <v>44355.0</v>
      </c>
      <c r="J716" s="65" t="b">
        <v>1</v>
      </c>
      <c r="K716" s="65"/>
      <c r="L716" s="85" t="b">
        <f>IF(VLOOKUP(C716,Projetos!A:L,12,false)=TRUE,TRUE,FALSE)</f>
        <v>1</v>
      </c>
      <c r="M716" s="74">
        <v>31.02923620430495</v>
      </c>
      <c r="N716" s="74">
        <f t="shared" si="1"/>
        <v>15.5146181</v>
      </c>
      <c r="O716" s="74" t="b">
        <v>1</v>
      </c>
    </row>
    <row r="717" hidden="1">
      <c r="A717" s="82"/>
      <c r="B717" s="65" t="s">
        <v>177</v>
      </c>
      <c r="C717" s="65" t="s">
        <v>106</v>
      </c>
      <c r="D717" s="65" t="str">
        <f>vlookup(C717,'Classificação p pessoal'!F:G,2,false)</f>
        <v>MProcesso</v>
      </c>
      <c r="E717" s="65" t="s">
        <v>444</v>
      </c>
      <c r="F717" s="83">
        <v>0.6666666666666666</v>
      </c>
      <c r="G717" s="83">
        <v>0.6875</v>
      </c>
      <c r="H717" s="83">
        <v>0.020833333333333332</v>
      </c>
      <c r="I717" s="84">
        <v>44355.0</v>
      </c>
      <c r="J717" s="65" t="b">
        <v>1</v>
      </c>
      <c r="K717" s="65"/>
      <c r="L717" s="85" t="b">
        <f>IF(VLOOKUP(C717,Projetos!A:L,12,false)=TRUE,TRUE,FALSE)</f>
        <v>1</v>
      </c>
      <c r="M717" s="74">
        <v>31.02923620430495</v>
      </c>
      <c r="N717" s="74">
        <f t="shared" si="1"/>
        <v>15.5146181</v>
      </c>
      <c r="O717" s="74" t="b">
        <v>1</v>
      </c>
    </row>
    <row r="718" hidden="1">
      <c r="A718" s="82"/>
      <c r="B718" s="65" t="s">
        <v>177</v>
      </c>
      <c r="C718" s="65" t="s">
        <v>106</v>
      </c>
      <c r="D718" s="65" t="str">
        <f>vlookup(C718,'Classificação p pessoal'!F:G,2,false)</f>
        <v>MProcesso</v>
      </c>
      <c r="E718" s="65" t="s">
        <v>445</v>
      </c>
      <c r="F718" s="83">
        <v>0.6875</v>
      </c>
      <c r="G718" s="83">
        <v>0.7083333333333334</v>
      </c>
      <c r="H718" s="83">
        <v>0.020833333333333332</v>
      </c>
      <c r="I718" s="84">
        <v>44355.0</v>
      </c>
      <c r="J718" s="65" t="b">
        <v>1</v>
      </c>
      <c r="K718" s="65"/>
      <c r="L718" s="85" t="b">
        <f>IF(VLOOKUP(C718,Projetos!A:L,12,false)=TRUE,TRUE,FALSE)</f>
        <v>1</v>
      </c>
      <c r="M718" s="74">
        <v>31.02923620430495</v>
      </c>
      <c r="N718" s="74">
        <f t="shared" si="1"/>
        <v>15.5146181</v>
      </c>
      <c r="O718" s="74" t="b">
        <v>1</v>
      </c>
    </row>
    <row r="719" hidden="1">
      <c r="A719" s="82"/>
      <c r="B719" s="65" t="s">
        <v>177</v>
      </c>
      <c r="C719" s="65" t="s">
        <v>91</v>
      </c>
      <c r="D719" s="65" t="str">
        <f>vlookup(C719,'Classificação p pessoal'!F:G,2,false)</f>
        <v>NP</v>
      </c>
      <c r="E719" s="65" t="s">
        <v>446</v>
      </c>
      <c r="F719" s="83">
        <v>0.5833333333333334</v>
      </c>
      <c r="G719" s="83">
        <v>0.75</v>
      </c>
      <c r="H719" s="83">
        <v>0.16666666666666666</v>
      </c>
      <c r="I719" s="84">
        <v>44356.0</v>
      </c>
      <c r="J719" s="65" t="b">
        <v>1</v>
      </c>
      <c r="K719" s="65"/>
      <c r="L719" s="85" t="b">
        <f>IF(VLOOKUP(C719,Projetos!A:L,12,false)=TRUE,TRUE,FALSE)</f>
        <v>1</v>
      </c>
      <c r="M719" s="74">
        <v>31.02923620430495</v>
      </c>
      <c r="N719" s="74">
        <f t="shared" si="1"/>
        <v>124.1169448</v>
      </c>
      <c r="O719" s="74" t="b">
        <v>1</v>
      </c>
    </row>
    <row r="720" hidden="1">
      <c r="A720" s="82"/>
      <c r="B720" s="65" t="s">
        <v>177</v>
      </c>
      <c r="C720" s="65" t="s">
        <v>107</v>
      </c>
      <c r="D720" s="65" t="str">
        <f>vlookup(C720,'Classificação p pessoal'!F:G,2,false)</f>
        <v>NP</v>
      </c>
      <c r="E720" s="65" t="s">
        <v>447</v>
      </c>
      <c r="F720" s="83">
        <v>0.7083333333333334</v>
      </c>
      <c r="G720" s="83">
        <v>0.75</v>
      </c>
      <c r="H720" s="83">
        <v>0.041666666666666664</v>
      </c>
      <c r="I720" s="84">
        <v>44357.0</v>
      </c>
      <c r="J720" s="65" t="b">
        <v>1</v>
      </c>
      <c r="K720" s="65"/>
      <c r="L720" s="85" t="b">
        <f>IF(VLOOKUP(C720,Projetos!A:L,12,false)=TRUE,TRUE,FALSE)</f>
        <v>1</v>
      </c>
      <c r="M720" s="74">
        <v>31.02923620430495</v>
      </c>
      <c r="N720" s="74">
        <f t="shared" si="1"/>
        <v>31.0292362</v>
      </c>
      <c r="O720" s="74" t="b">
        <v>1</v>
      </c>
    </row>
    <row r="721" hidden="1">
      <c r="A721" s="82"/>
      <c r="B721" s="65" t="s">
        <v>177</v>
      </c>
      <c r="C721" s="65" t="s">
        <v>107</v>
      </c>
      <c r="D721" s="65" t="str">
        <f>vlookup(C721,'Classificação p pessoal'!F:G,2,false)</f>
        <v>NP</v>
      </c>
      <c r="E721" s="65" t="s">
        <v>448</v>
      </c>
      <c r="F721" s="83">
        <v>0.7083333333333334</v>
      </c>
      <c r="G721" s="83">
        <v>0.75</v>
      </c>
      <c r="H721" s="83">
        <v>0.041666666666666664</v>
      </c>
      <c r="I721" s="84">
        <v>44361.0</v>
      </c>
      <c r="J721" s="65" t="b">
        <v>1</v>
      </c>
      <c r="K721" s="65"/>
      <c r="L721" s="85" t="b">
        <f>IF(VLOOKUP(C721,Projetos!A:L,12,false)=TRUE,TRUE,FALSE)</f>
        <v>1</v>
      </c>
      <c r="M721" s="74">
        <v>31.02923620430495</v>
      </c>
      <c r="N721" s="74">
        <f t="shared" si="1"/>
        <v>31.0292362</v>
      </c>
      <c r="O721" s="74" t="b">
        <v>1</v>
      </c>
    </row>
    <row r="722" hidden="1">
      <c r="A722" s="82"/>
      <c r="B722" s="65" t="s">
        <v>177</v>
      </c>
      <c r="C722" s="65" t="s">
        <v>106</v>
      </c>
      <c r="D722" s="65" t="str">
        <f>vlookup(C722,'Classificação p pessoal'!F:G,2,false)</f>
        <v>MProcesso</v>
      </c>
      <c r="E722" s="65" t="s">
        <v>449</v>
      </c>
      <c r="F722" s="83">
        <v>0.5833333333333334</v>
      </c>
      <c r="G722" s="83">
        <v>0.59375</v>
      </c>
      <c r="H722" s="83">
        <v>0.010416666666666666</v>
      </c>
      <c r="I722" s="84">
        <v>44361.0</v>
      </c>
      <c r="J722" s="65" t="b">
        <v>1</v>
      </c>
      <c r="K722" s="65"/>
      <c r="L722" s="85" t="b">
        <f>IF(VLOOKUP(C722,Projetos!A:L,12,false)=TRUE,TRUE,FALSE)</f>
        <v>1</v>
      </c>
      <c r="M722" s="74">
        <v>31.02923620430495</v>
      </c>
      <c r="N722" s="74">
        <f t="shared" si="1"/>
        <v>7.757309051</v>
      </c>
      <c r="O722" s="74" t="b">
        <v>1</v>
      </c>
    </row>
    <row r="723" hidden="1">
      <c r="A723" s="82"/>
      <c r="B723" s="65" t="s">
        <v>177</v>
      </c>
      <c r="C723" s="65" t="s">
        <v>106</v>
      </c>
      <c r="D723" s="65" t="str">
        <f>vlookup(C723,'Classificação p pessoal'!F:G,2,false)</f>
        <v>MProcesso</v>
      </c>
      <c r="E723" s="65" t="s">
        <v>450</v>
      </c>
      <c r="F723" s="83">
        <v>0.59375</v>
      </c>
      <c r="G723" s="83">
        <v>0.6041666666666666</v>
      </c>
      <c r="H723" s="83">
        <v>0.010416666666666666</v>
      </c>
      <c r="I723" s="84">
        <v>44361.0</v>
      </c>
      <c r="J723" s="65" t="b">
        <v>1</v>
      </c>
      <c r="K723" s="65"/>
      <c r="L723" s="85" t="b">
        <f>IF(VLOOKUP(C723,Projetos!A:L,12,false)=TRUE,TRUE,FALSE)</f>
        <v>1</v>
      </c>
      <c r="M723" s="74">
        <v>31.02923620430495</v>
      </c>
      <c r="N723" s="74">
        <f t="shared" si="1"/>
        <v>7.757309051</v>
      </c>
      <c r="O723" s="74" t="b">
        <v>1</v>
      </c>
    </row>
    <row r="724" hidden="1">
      <c r="A724" s="82"/>
      <c r="B724" s="65" t="s">
        <v>177</v>
      </c>
      <c r="C724" s="65" t="s">
        <v>107</v>
      </c>
      <c r="D724" s="65" t="str">
        <f>vlookup(C724,'Classificação p pessoal'!F:G,2,false)</f>
        <v>NP</v>
      </c>
      <c r="E724" s="65" t="s">
        <v>451</v>
      </c>
      <c r="F724" s="83">
        <v>0.3541666666666667</v>
      </c>
      <c r="G724" s="83">
        <v>0.3958333333333333</v>
      </c>
      <c r="H724" s="83">
        <v>0.041666666666666664</v>
      </c>
      <c r="I724" s="84">
        <v>44362.0</v>
      </c>
      <c r="J724" s="65" t="b">
        <v>1</v>
      </c>
      <c r="K724" s="65"/>
      <c r="L724" s="85" t="b">
        <f>IF(VLOOKUP(C724,Projetos!A:L,12,false)=TRUE,TRUE,FALSE)</f>
        <v>1</v>
      </c>
      <c r="M724" s="74">
        <v>31.02923620430495</v>
      </c>
      <c r="N724" s="74">
        <f t="shared" si="1"/>
        <v>31.0292362</v>
      </c>
      <c r="O724" s="74" t="b">
        <v>1</v>
      </c>
    </row>
    <row r="725" hidden="1">
      <c r="A725" s="82"/>
      <c r="B725" s="65" t="s">
        <v>177</v>
      </c>
      <c r="C725" s="65" t="s">
        <v>101</v>
      </c>
      <c r="D725" s="65" t="str">
        <f>vlookup(C725,'Classificação p pessoal'!F:G,2,false)</f>
        <v>NP</v>
      </c>
      <c r="E725" s="65" t="s">
        <v>452</v>
      </c>
      <c r="F725" s="83">
        <v>0.4375</v>
      </c>
      <c r="G725" s="83">
        <v>0.5</v>
      </c>
      <c r="H725" s="83">
        <v>0.0625</v>
      </c>
      <c r="I725" s="84">
        <v>44363.0</v>
      </c>
      <c r="J725" s="65" t="b">
        <v>1</v>
      </c>
      <c r="K725" s="65"/>
      <c r="L725" s="85" t="b">
        <f>IF(VLOOKUP(C725,Projetos!A:L,12,false)=TRUE,TRUE,FALSE)</f>
        <v>1</v>
      </c>
      <c r="M725" s="74">
        <v>31.02923620430495</v>
      </c>
      <c r="N725" s="74">
        <f t="shared" si="1"/>
        <v>46.54385431</v>
      </c>
      <c r="O725" s="74" t="b">
        <v>1</v>
      </c>
    </row>
    <row r="726" hidden="1">
      <c r="A726" s="82"/>
      <c r="B726" s="65" t="s">
        <v>177</v>
      </c>
      <c r="C726" s="65" t="s">
        <v>101</v>
      </c>
      <c r="D726" s="65" t="str">
        <f>vlookup(C726,'Classificação p pessoal'!F:G,2,false)</f>
        <v>NP</v>
      </c>
      <c r="E726" s="65" t="s">
        <v>453</v>
      </c>
      <c r="F726" s="83">
        <v>0.3541666666666667</v>
      </c>
      <c r="G726" s="83">
        <v>0.375</v>
      </c>
      <c r="H726" s="83">
        <v>0.020833333333333332</v>
      </c>
      <c r="I726" s="84">
        <v>44364.0</v>
      </c>
      <c r="J726" s="65" t="b">
        <v>1</v>
      </c>
      <c r="K726" s="65"/>
      <c r="L726" s="85" t="b">
        <f>IF(VLOOKUP(C726,Projetos!A:L,12,false)=TRUE,TRUE,FALSE)</f>
        <v>1</v>
      </c>
      <c r="M726" s="74">
        <v>31.02923620430495</v>
      </c>
      <c r="N726" s="74">
        <f t="shared" si="1"/>
        <v>15.5146181</v>
      </c>
      <c r="O726" s="74" t="b">
        <v>1</v>
      </c>
    </row>
    <row r="727" hidden="1">
      <c r="A727" s="82"/>
      <c r="B727" s="65" t="s">
        <v>177</v>
      </c>
      <c r="C727" s="65" t="s">
        <v>101</v>
      </c>
      <c r="D727" s="65" t="str">
        <f>vlookup(C727,'Classificação p pessoal'!F:G,2,false)</f>
        <v>NP</v>
      </c>
      <c r="E727" s="65" t="s">
        <v>454</v>
      </c>
      <c r="F727" s="83">
        <v>0.4583333333333333</v>
      </c>
      <c r="G727" s="83">
        <v>0.5625</v>
      </c>
      <c r="H727" s="83">
        <v>0.10416666666666667</v>
      </c>
      <c r="I727" s="84">
        <v>44364.0</v>
      </c>
      <c r="J727" s="65" t="b">
        <v>1</v>
      </c>
      <c r="K727" s="65"/>
      <c r="L727" s="85" t="b">
        <f>IF(VLOOKUP(C727,Projetos!A:L,12,false)=TRUE,TRUE,FALSE)</f>
        <v>1</v>
      </c>
      <c r="M727" s="74">
        <v>31.02923620430495</v>
      </c>
      <c r="N727" s="74">
        <f t="shared" si="1"/>
        <v>77.57309051</v>
      </c>
      <c r="O727" s="74" t="b">
        <v>1</v>
      </c>
    </row>
    <row r="728" hidden="1">
      <c r="A728" s="82"/>
      <c r="B728" s="65" t="s">
        <v>177</v>
      </c>
      <c r="C728" s="65" t="s">
        <v>100</v>
      </c>
      <c r="D728" s="65"/>
      <c r="E728" s="65" t="s">
        <v>455</v>
      </c>
      <c r="F728" s="83">
        <v>0.375</v>
      </c>
      <c r="G728" s="83">
        <v>0.3958333333333333</v>
      </c>
      <c r="H728" s="83">
        <v>0.020833333333333332</v>
      </c>
      <c r="I728" s="84">
        <v>44462.0</v>
      </c>
      <c r="J728" s="65" t="b">
        <v>0</v>
      </c>
      <c r="K728" s="65" t="s">
        <v>150</v>
      </c>
      <c r="L728" s="85" t="b">
        <f>IF(VLOOKUP(C728,Projetos!A:L,12,false)=TRUE,TRUE,FALSE)</f>
        <v>1</v>
      </c>
      <c r="M728" s="74">
        <v>31.02923620430495</v>
      </c>
      <c r="N728" s="74">
        <f t="shared" si="1"/>
        <v>0</v>
      </c>
      <c r="O728" s="74" t="b">
        <v>1</v>
      </c>
    </row>
    <row r="729" hidden="1">
      <c r="A729" s="82"/>
      <c r="B729" s="65" t="s">
        <v>177</v>
      </c>
      <c r="C729" s="65" t="s">
        <v>101</v>
      </c>
      <c r="D729" s="65" t="str">
        <f>vlookup(C729,'Classificação p pessoal'!F:G,2,false)</f>
        <v>NP</v>
      </c>
      <c r="E729" s="65" t="s">
        <v>456</v>
      </c>
      <c r="F729" s="83">
        <v>0.6458333333333334</v>
      </c>
      <c r="G729" s="83">
        <v>0.6666666666666666</v>
      </c>
      <c r="H729" s="83">
        <v>0.020833333333333332</v>
      </c>
      <c r="I729" s="84">
        <v>44364.0</v>
      </c>
      <c r="J729" s="65" t="b">
        <v>1</v>
      </c>
      <c r="K729" s="65"/>
      <c r="L729" s="85" t="b">
        <f>IF(VLOOKUP(C729,Projetos!A:L,12,false)=TRUE,TRUE,FALSE)</f>
        <v>1</v>
      </c>
      <c r="M729" s="74">
        <v>31.02923620430495</v>
      </c>
      <c r="N729" s="74">
        <f t="shared" si="1"/>
        <v>15.5146181</v>
      </c>
      <c r="O729" s="74" t="b">
        <v>1</v>
      </c>
    </row>
    <row r="730" hidden="1">
      <c r="A730" s="82"/>
      <c r="B730" s="65" t="s">
        <v>177</v>
      </c>
      <c r="C730" s="65" t="s">
        <v>101</v>
      </c>
      <c r="D730" s="65"/>
      <c r="E730" s="65" t="s">
        <v>457</v>
      </c>
      <c r="F730" s="83">
        <v>0.5833333333333334</v>
      </c>
      <c r="G730" s="83">
        <v>0.625</v>
      </c>
      <c r="H730" s="83">
        <v>0.041666666666666664</v>
      </c>
      <c r="I730" s="84">
        <v>44365.0</v>
      </c>
      <c r="J730" s="65" t="b">
        <v>0</v>
      </c>
      <c r="K730" s="65" t="s">
        <v>150</v>
      </c>
      <c r="L730" s="85" t="b">
        <f>IF(VLOOKUP(C730,Projetos!A:L,12,false)=TRUE,TRUE,FALSE)</f>
        <v>1</v>
      </c>
      <c r="M730" s="74">
        <v>31.02923620430495</v>
      </c>
      <c r="N730" s="74">
        <f t="shared" si="1"/>
        <v>0</v>
      </c>
      <c r="O730" s="74" t="b">
        <v>1</v>
      </c>
    </row>
    <row r="731" hidden="1">
      <c r="A731" s="82"/>
      <c r="B731" s="65" t="s">
        <v>177</v>
      </c>
      <c r="C731" s="65" t="s">
        <v>120</v>
      </c>
      <c r="D731" s="65"/>
      <c r="E731" s="65" t="s">
        <v>458</v>
      </c>
      <c r="F731" s="83">
        <v>0.5</v>
      </c>
      <c r="G731" s="83">
        <v>0.5416666666666666</v>
      </c>
      <c r="H731" s="83">
        <v>0.041666666666666664</v>
      </c>
      <c r="I731" s="84">
        <v>44368.0</v>
      </c>
      <c r="J731" s="65" t="b">
        <v>0</v>
      </c>
      <c r="K731" s="65" t="s">
        <v>150</v>
      </c>
      <c r="L731" s="85" t="b">
        <f>IF(VLOOKUP(C731,Projetos!A:L,12,false)=TRUE,TRUE,FALSE)</f>
        <v>0</v>
      </c>
      <c r="M731" s="74">
        <v>31.02923620430495</v>
      </c>
      <c r="N731" s="74">
        <f t="shared" si="1"/>
        <v>0</v>
      </c>
      <c r="O731" s="74" t="b">
        <v>0</v>
      </c>
    </row>
    <row r="732" hidden="1">
      <c r="A732" s="82"/>
      <c r="B732" s="65" t="s">
        <v>177</v>
      </c>
      <c r="C732" s="65" t="s">
        <v>101</v>
      </c>
      <c r="D732" s="65"/>
      <c r="E732" s="65" t="s">
        <v>459</v>
      </c>
      <c r="F732" s="83">
        <v>0.5416666666666666</v>
      </c>
      <c r="G732" s="83">
        <v>0.5833333333333334</v>
      </c>
      <c r="H732" s="83">
        <v>0.041666666666666664</v>
      </c>
      <c r="I732" s="84">
        <v>44368.0</v>
      </c>
      <c r="J732" s="65" t="b">
        <v>0</v>
      </c>
      <c r="K732" s="65" t="s">
        <v>150</v>
      </c>
      <c r="L732" s="85" t="b">
        <f>IF(VLOOKUP(C732,Projetos!A:L,12,false)=TRUE,TRUE,FALSE)</f>
        <v>1</v>
      </c>
      <c r="M732" s="74">
        <v>31.02923620430495</v>
      </c>
      <c r="N732" s="74">
        <f t="shared" si="1"/>
        <v>0</v>
      </c>
      <c r="O732" s="74" t="b">
        <v>1</v>
      </c>
    </row>
    <row r="733" hidden="1">
      <c r="A733" s="82"/>
      <c r="B733" s="65" t="s">
        <v>177</v>
      </c>
      <c r="C733" s="65" t="s">
        <v>101</v>
      </c>
      <c r="D733" s="65" t="str">
        <f>vlookup(C733,'Classificação p pessoal'!F:G,2,false)</f>
        <v>NP</v>
      </c>
      <c r="E733" s="65" t="s">
        <v>460</v>
      </c>
      <c r="F733" s="83">
        <v>0.5833333333333334</v>
      </c>
      <c r="G733" s="83">
        <v>0.625</v>
      </c>
      <c r="H733" s="83">
        <v>0.041666666666666664</v>
      </c>
      <c r="I733" s="84">
        <v>44368.0</v>
      </c>
      <c r="J733" s="65" t="b">
        <v>1</v>
      </c>
      <c r="K733" s="65"/>
      <c r="L733" s="85" t="b">
        <f>IF(VLOOKUP(C733,Projetos!A:L,12,false)=TRUE,TRUE,FALSE)</f>
        <v>1</v>
      </c>
      <c r="M733" s="74">
        <v>31.02923620430495</v>
      </c>
      <c r="N733" s="74">
        <f t="shared" si="1"/>
        <v>31.0292362</v>
      </c>
      <c r="O733" s="74" t="b">
        <v>1</v>
      </c>
    </row>
    <row r="734" hidden="1">
      <c r="A734" s="82"/>
      <c r="B734" s="65" t="s">
        <v>177</v>
      </c>
      <c r="C734" s="65" t="s">
        <v>100</v>
      </c>
      <c r="D734" s="65" t="str">
        <f>vlookup(C734,'Classificação p pessoal'!F:G,2,false)</f>
        <v>NP</v>
      </c>
      <c r="E734" s="65" t="s">
        <v>461</v>
      </c>
      <c r="F734" s="83">
        <v>0.3541666666666667</v>
      </c>
      <c r="G734" s="83">
        <v>0.375</v>
      </c>
      <c r="H734" s="83">
        <v>0.020833333333333332</v>
      </c>
      <c r="I734" s="84">
        <v>44369.0</v>
      </c>
      <c r="J734" s="65" t="b">
        <v>1</v>
      </c>
      <c r="K734" s="65"/>
      <c r="L734" s="85" t="b">
        <f>IF(VLOOKUP(C734,Projetos!A:L,12,false)=TRUE,TRUE,FALSE)</f>
        <v>1</v>
      </c>
      <c r="M734" s="74">
        <v>31.02923620430495</v>
      </c>
      <c r="N734" s="74">
        <f t="shared" si="1"/>
        <v>15.5146181</v>
      </c>
      <c r="O734" s="74" t="b">
        <v>1</v>
      </c>
    </row>
    <row r="735" hidden="1">
      <c r="A735" s="82"/>
      <c r="B735" s="65" t="s">
        <v>177</v>
      </c>
      <c r="C735" s="65" t="s">
        <v>92</v>
      </c>
      <c r="D735" s="65" t="str">
        <f>vlookup(C735,'Classificação p pessoal'!F:G,2,false)</f>
        <v/>
      </c>
      <c r="E735" s="65" t="s">
        <v>462</v>
      </c>
      <c r="F735" s="83">
        <v>0.375</v>
      </c>
      <c r="G735" s="83">
        <v>0.4166666666666667</v>
      </c>
      <c r="H735" s="83">
        <v>0.041666666666666664</v>
      </c>
      <c r="I735" s="84">
        <v>44369.0</v>
      </c>
      <c r="J735" s="65" t="b">
        <v>1</v>
      </c>
      <c r="K735" s="65"/>
      <c r="L735" s="85" t="b">
        <f>IF(VLOOKUP(C735,Projetos!A:L,12,false)=TRUE,TRUE,FALSE)</f>
        <v>1</v>
      </c>
      <c r="M735" s="74">
        <v>31.02923620430495</v>
      </c>
      <c r="N735" s="74">
        <f t="shared" si="1"/>
        <v>31.0292362</v>
      </c>
      <c r="O735" s="74" t="b">
        <v>1</v>
      </c>
    </row>
    <row r="736" hidden="1">
      <c r="A736" s="82"/>
      <c r="B736" s="65" t="s">
        <v>177</v>
      </c>
      <c r="C736" s="65" t="s">
        <v>101</v>
      </c>
      <c r="D736" s="65" t="str">
        <f>vlookup(C736,'Classificação p pessoal'!F:G,2,false)</f>
        <v>NP</v>
      </c>
      <c r="E736" s="65" t="s">
        <v>452</v>
      </c>
      <c r="F736" s="83">
        <v>0.4166666666666667</v>
      </c>
      <c r="G736" s="83">
        <v>0.5416666666666666</v>
      </c>
      <c r="H736" s="83">
        <v>0.125</v>
      </c>
      <c r="I736" s="84">
        <v>44369.0</v>
      </c>
      <c r="J736" s="65" t="b">
        <v>1</v>
      </c>
      <c r="K736" s="65"/>
      <c r="L736" s="85" t="b">
        <f>IF(VLOOKUP(C736,Projetos!A:L,12,false)=TRUE,TRUE,FALSE)</f>
        <v>1</v>
      </c>
      <c r="M736" s="74">
        <v>31.02923620430495</v>
      </c>
      <c r="N736" s="74">
        <f t="shared" si="1"/>
        <v>93.08770861</v>
      </c>
      <c r="O736" s="74" t="b">
        <v>1</v>
      </c>
    </row>
    <row r="737" hidden="1">
      <c r="A737" s="82"/>
      <c r="B737" s="65" t="s">
        <v>177</v>
      </c>
      <c r="C737" s="65" t="s">
        <v>108</v>
      </c>
      <c r="D737" s="65" t="str">
        <f>vlookup(C737,'Classificação p pessoal'!F:G,2,false)</f>
        <v>NP</v>
      </c>
      <c r="E737" s="65" t="s">
        <v>463</v>
      </c>
      <c r="F737" s="83">
        <v>0.6875</v>
      </c>
      <c r="G737" s="83">
        <v>0.75</v>
      </c>
      <c r="H737" s="83">
        <v>0.0625</v>
      </c>
      <c r="I737" s="84">
        <v>44369.0</v>
      </c>
      <c r="J737" s="65" t="b">
        <v>1</v>
      </c>
      <c r="K737" s="65"/>
      <c r="L737" s="85" t="b">
        <f>IF(VLOOKUP(C737,Projetos!A:L,12,false)=TRUE,TRUE,FALSE)</f>
        <v>1</v>
      </c>
      <c r="M737" s="74">
        <v>31.02923620430495</v>
      </c>
      <c r="N737" s="74">
        <f t="shared" si="1"/>
        <v>46.54385431</v>
      </c>
      <c r="O737" s="74" t="b">
        <v>1</v>
      </c>
    </row>
    <row r="738" hidden="1">
      <c r="A738" s="82"/>
      <c r="B738" s="65" t="s">
        <v>177</v>
      </c>
      <c r="C738" s="65" t="s">
        <v>117</v>
      </c>
      <c r="D738" s="65"/>
      <c r="E738" s="65" t="s">
        <v>464</v>
      </c>
      <c r="F738" s="83">
        <v>0.6458333333333334</v>
      </c>
      <c r="G738" s="83">
        <v>0.7083333333333334</v>
      </c>
      <c r="H738" s="83">
        <v>0.0625</v>
      </c>
      <c r="I738" s="84">
        <v>44362.0</v>
      </c>
      <c r="J738" s="65" t="b">
        <v>0</v>
      </c>
      <c r="K738" s="65" t="s">
        <v>150</v>
      </c>
      <c r="L738" s="85" t="b">
        <f>IF(VLOOKUP(C738,Projetos!A:L,12,false)=TRUE,TRUE,FALSE)</f>
        <v>1</v>
      </c>
      <c r="M738" s="74">
        <v>31.02923620430495</v>
      </c>
      <c r="N738" s="74">
        <f t="shared" si="1"/>
        <v>0</v>
      </c>
      <c r="O738" s="74" t="b">
        <v>1</v>
      </c>
    </row>
    <row r="739" hidden="1">
      <c r="A739" s="82"/>
      <c r="B739" s="65" t="s">
        <v>177</v>
      </c>
      <c r="C739" s="65" t="s">
        <v>100</v>
      </c>
      <c r="D739" s="65"/>
      <c r="E739" s="65" t="s">
        <v>465</v>
      </c>
      <c r="F739" s="83">
        <v>0.375</v>
      </c>
      <c r="G739" s="83">
        <v>0.4375</v>
      </c>
      <c r="H739" s="83">
        <v>0.0625</v>
      </c>
      <c r="I739" s="84">
        <v>44369.0</v>
      </c>
      <c r="J739" s="65" t="b">
        <v>0</v>
      </c>
      <c r="K739" s="65" t="s">
        <v>150</v>
      </c>
      <c r="L739" s="85" t="b">
        <f>IF(VLOOKUP(C739,Projetos!A:L,12,false)=TRUE,TRUE,FALSE)</f>
        <v>1</v>
      </c>
      <c r="M739" s="74">
        <v>31.02923620430495</v>
      </c>
      <c r="N739" s="74">
        <f t="shared" si="1"/>
        <v>0</v>
      </c>
      <c r="O739" s="74" t="b">
        <v>1</v>
      </c>
    </row>
    <row r="740" hidden="1">
      <c r="A740" s="82"/>
      <c r="B740" s="65" t="s">
        <v>177</v>
      </c>
      <c r="C740" s="65" t="s">
        <v>101</v>
      </c>
      <c r="D740" s="65" t="str">
        <f>vlookup(C740,'Classificação p pessoal'!F:G,2,false)</f>
        <v>NP</v>
      </c>
      <c r="E740" s="65" t="s">
        <v>466</v>
      </c>
      <c r="F740" s="83">
        <v>0.3541666666666667</v>
      </c>
      <c r="G740" s="83">
        <v>0.4375</v>
      </c>
      <c r="H740" s="83">
        <v>0.08333333333333333</v>
      </c>
      <c r="I740" s="84">
        <v>44370.0</v>
      </c>
      <c r="J740" s="65" t="b">
        <v>1</v>
      </c>
      <c r="K740" s="65"/>
      <c r="L740" s="85" t="b">
        <f>IF(VLOOKUP(C740,Projetos!A:L,12,false)=TRUE,TRUE,FALSE)</f>
        <v>1</v>
      </c>
      <c r="M740" s="74">
        <v>31.02923620430495</v>
      </c>
      <c r="N740" s="74">
        <f t="shared" si="1"/>
        <v>62.05847241</v>
      </c>
      <c r="O740" s="74" t="b">
        <v>1</v>
      </c>
    </row>
    <row r="741" hidden="1">
      <c r="A741" s="82"/>
      <c r="B741" s="65" t="s">
        <v>467</v>
      </c>
      <c r="C741" s="65" t="s">
        <v>106</v>
      </c>
      <c r="D741" s="65" t="str">
        <f>vlookup(C741,'Classificação p pessoal'!F:G,2,false)</f>
        <v>MProcesso</v>
      </c>
      <c r="E741" s="65" t="s">
        <v>468</v>
      </c>
      <c r="F741" s="83">
        <v>0.5833333333333334</v>
      </c>
      <c r="G741" s="83">
        <v>0.75</v>
      </c>
      <c r="H741" s="83">
        <v>0.16666666666666666</v>
      </c>
      <c r="I741" s="84">
        <v>44518.0</v>
      </c>
      <c r="J741" s="65" t="b">
        <v>1</v>
      </c>
      <c r="K741" s="65"/>
      <c r="L741" s="85" t="b">
        <f>IF(VLOOKUP(C741,Projetos!A:L,12,false)=TRUE,TRUE,FALSE)</f>
        <v>1</v>
      </c>
      <c r="M741" s="74">
        <v>52.1518759018759</v>
      </c>
      <c r="N741" s="74">
        <f t="shared" si="1"/>
        <v>208.6075036</v>
      </c>
      <c r="O741" s="74" t="b">
        <v>1</v>
      </c>
    </row>
    <row r="742" hidden="1">
      <c r="A742" s="82"/>
      <c r="B742" s="65" t="s">
        <v>469</v>
      </c>
      <c r="C742" s="65" t="s">
        <v>118</v>
      </c>
      <c r="D742" s="65" t="str">
        <f>vlookup(C742,'Classificação p pessoal'!F:G,2,false)</f>
        <v>MProduto</v>
      </c>
      <c r="E742" s="65" t="s">
        <v>470</v>
      </c>
      <c r="F742" s="83">
        <v>0.625</v>
      </c>
      <c r="G742" s="83">
        <v>0.6666666666666666</v>
      </c>
      <c r="H742" s="83">
        <v>0.041666666666666664</v>
      </c>
      <c r="I742" s="84">
        <v>44393.0</v>
      </c>
      <c r="J742" s="65" t="b">
        <v>1</v>
      </c>
      <c r="K742" s="65"/>
      <c r="L742" s="85" t="b">
        <f>IF(VLOOKUP(C742,Projetos!A:L,12,false)=TRUE,TRUE,FALSE)</f>
        <v>1</v>
      </c>
      <c r="M742" s="74">
        <v>37.50928062469937</v>
      </c>
      <c r="N742" s="74">
        <f t="shared" si="1"/>
        <v>37.50928062</v>
      </c>
      <c r="O742" s="74" t="b">
        <v>1</v>
      </c>
    </row>
    <row r="743" hidden="1">
      <c r="A743" s="82"/>
      <c r="B743" s="65" t="s">
        <v>177</v>
      </c>
      <c r="C743" s="65" t="s">
        <v>106</v>
      </c>
      <c r="D743" s="65" t="str">
        <f>vlookup(C743,'Classificação p pessoal'!F:G,2,false)</f>
        <v>MProcesso</v>
      </c>
      <c r="E743" s="65" t="s">
        <v>471</v>
      </c>
      <c r="F743" s="83">
        <v>0.375</v>
      </c>
      <c r="G743" s="83">
        <v>0.3958333333333333</v>
      </c>
      <c r="H743" s="83">
        <v>0.020833333333333332</v>
      </c>
      <c r="I743" s="84">
        <v>44536.0</v>
      </c>
      <c r="J743" s="65" t="b">
        <v>1</v>
      </c>
      <c r="K743" s="65"/>
      <c r="L743" s="85" t="b">
        <f>IF(VLOOKUP(C743,Projetos!A:L,12,false)=TRUE,TRUE,FALSE)</f>
        <v>1</v>
      </c>
      <c r="M743" s="74">
        <v>31.02923620430495</v>
      </c>
      <c r="N743" s="74">
        <f t="shared" si="1"/>
        <v>15.5146181</v>
      </c>
      <c r="O743" s="74" t="b">
        <v>1</v>
      </c>
    </row>
    <row r="744" hidden="1">
      <c r="A744" s="82"/>
      <c r="B744" s="65" t="s">
        <v>177</v>
      </c>
      <c r="C744" s="65" t="s">
        <v>101</v>
      </c>
      <c r="D744" s="65" t="str">
        <f>vlookup(C744,'Classificação p pessoal'!F:G,2,false)</f>
        <v>NP</v>
      </c>
      <c r="E744" s="65" t="s">
        <v>472</v>
      </c>
      <c r="F744" s="83">
        <v>0.3541666666666667</v>
      </c>
      <c r="G744" s="83">
        <v>0.375</v>
      </c>
      <c r="H744" s="83">
        <v>0.020833333333333332</v>
      </c>
      <c r="I744" s="84">
        <v>44371.0</v>
      </c>
      <c r="J744" s="65" t="b">
        <v>1</v>
      </c>
      <c r="K744" s="65"/>
      <c r="L744" s="85" t="b">
        <f>IF(VLOOKUP(C744,Projetos!A:L,12,false)=TRUE,TRUE,FALSE)</f>
        <v>1</v>
      </c>
      <c r="M744" s="74">
        <v>31.02923620430495</v>
      </c>
      <c r="N744" s="74">
        <f t="shared" si="1"/>
        <v>15.5146181</v>
      </c>
      <c r="O744" s="74" t="b">
        <v>1</v>
      </c>
    </row>
    <row r="745" hidden="1">
      <c r="A745" s="82"/>
      <c r="B745" s="65" t="s">
        <v>177</v>
      </c>
      <c r="C745" s="65" t="s">
        <v>106</v>
      </c>
      <c r="D745" s="65" t="str">
        <f>vlookup(C745,'Classificação p pessoal'!F:G,2,false)</f>
        <v>MProcesso</v>
      </c>
      <c r="E745" s="65" t="s">
        <v>473</v>
      </c>
      <c r="F745" s="83">
        <v>0.375</v>
      </c>
      <c r="G745" s="83">
        <v>0.3958333333333333</v>
      </c>
      <c r="H745" s="83">
        <v>0.020833333333333332</v>
      </c>
      <c r="I745" s="84">
        <v>44371.0</v>
      </c>
      <c r="J745" s="65" t="b">
        <v>1</v>
      </c>
      <c r="K745" s="65"/>
      <c r="L745" s="85" t="b">
        <f>IF(VLOOKUP(C745,Projetos!A:L,12,false)=TRUE,TRUE,FALSE)</f>
        <v>1</v>
      </c>
      <c r="M745" s="74">
        <v>31.02923620430495</v>
      </c>
      <c r="N745" s="74">
        <f t="shared" si="1"/>
        <v>15.5146181</v>
      </c>
      <c r="O745" s="74" t="b">
        <v>1</v>
      </c>
    </row>
    <row r="746" hidden="1">
      <c r="A746" s="82"/>
      <c r="B746" s="65" t="s">
        <v>177</v>
      </c>
      <c r="C746" s="65" t="s">
        <v>106</v>
      </c>
      <c r="D746" s="65" t="str">
        <f>vlookup(C746,'Classificação p pessoal'!F:G,2,false)</f>
        <v>MProcesso</v>
      </c>
      <c r="E746" s="65" t="s">
        <v>474</v>
      </c>
      <c r="F746" s="83">
        <v>0.625</v>
      </c>
      <c r="G746" s="83">
        <v>0.75</v>
      </c>
      <c r="H746" s="83">
        <v>0.125</v>
      </c>
      <c r="I746" s="84">
        <v>44371.0</v>
      </c>
      <c r="J746" s="65" t="b">
        <v>1</v>
      </c>
      <c r="K746" s="65"/>
      <c r="L746" s="85" t="b">
        <f>IF(VLOOKUP(C746,Projetos!A:L,12,false)=TRUE,TRUE,FALSE)</f>
        <v>1</v>
      </c>
      <c r="M746" s="74">
        <v>31.02923620430495</v>
      </c>
      <c r="N746" s="74">
        <f t="shared" si="1"/>
        <v>93.08770861</v>
      </c>
      <c r="O746" s="74" t="b">
        <v>1</v>
      </c>
    </row>
    <row r="747" hidden="1">
      <c r="A747" s="82"/>
      <c r="B747" s="65" t="s">
        <v>177</v>
      </c>
      <c r="C747" s="65" t="s">
        <v>106</v>
      </c>
      <c r="D747" s="65" t="str">
        <f>vlookup(C747,'Classificação p pessoal'!F:G,2,false)</f>
        <v>MProcesso</v>
      </c>
      <c r="E747" s="65" t="s">
        <v>474</v>
      </c>
      <c r="F747" s="83">
        <v>0.3541666666666667</v>
      </c>
      <c r="G747" s="83">
        <v>0.4166666666666667</v>
      </c>
      <c r="H747" s="83">
        <v>0.0625</v>
      </c>
      <c r="I747" s="84">
        <v>44372.0</v>
      </c>
      <c r="J747" s="65" t="b">
        <v>1</v>
      </c>
      <c r="K747" s="65"/>
      <c r="L747" s="85" t="b">
        <f>IF(VLOOKUP(C747,Projetos!A:L,12,false)=TRUE,TRUE,FALSE)</f>
        <v>1</v>
      </c>
      <c r="M747" s="74">
        <v>31.02923620430495</v>
      </c>
      <c r="N747" s="74">
        <f t="shared" si="1"/>
        <v>46.54385431</v>
      </c>
      <c r="O747" s="74" t="b">
        <v>1</v>
      </c>
    </row>
    <row r="748" hidden="1">
      <c r="A748" s="82"/>
      <c r="B748" s="65" t="s">
        <v>177</v>
      </c>
      <c r="C748" s="65" t="s">
        <v>92</v>
      </c>
      <c r="D748" s="65" t="str">
        <f>vlookup(C748,'Classificação p pessoal'!F:G,2,false)</f>
        <v/>
      </c>
      <c r="E748" s="65" t="s">
        <v>475</v>
      </c>
      <c r="F748" s="83">
        <v>0.5416666666666666</v>
      </c>
      <c r="G748" s="83">
        <v>0.5625</v>
      </c>
      <c r="H748" s="83">
        <v>0.020833333333333332</v>
      </c>
      <c r="I748" s="84">
        <v>44372.0</v>
      </c>
      <c r="J748" s="65" t="b">
        <v>1</v>
      </c>
      <c r="K748" s="65"/>
      <c r="L748" s="85" t="b">
        <f>IF(VLOOKUP(C748,Projetos!A:L,12,false)=TRUE,TRUE,FALSE)</f>
        <v>1</v>
      </c>
      <c r="M748" s="74">
        <v>31.02923620430495</v>
      </c>
      <c r="N748" s="74">
        <f t="shared" si="1"/>
        <v>15.5146181</v>
      </c>
      <c r="O748" s="74" t="b">
        <v>1</v>
      </c>
    </row>
    <row r="749" hidden="1">
      <c r="A749" s="82"/>
      <c r="B749" s="65" t="s">
        <v>177</v>
      </c>
      <c r="C749" s="65" t="s">
        <v>106</v>
      </c>
      <c r="D749" s="65" t="str">
        <f>vlookup(C749,'Classificação p pessoal'!F:G,2,false)</f>
        <v>MProcesso</v>
      </c>
      <c r="E749" s="65" t="s">
        <v>476</v>
      </c>
      <c r="F749" s="83">
        <v>0.5833333333333334</v>
      </c>
      <c r="G749" s="83">
        <v>0.625</v>
      </c>
      <c r="H749" s="83">
        <v>0.041666666666666664</v>
      </c>
      <c r="I749" s="84">
        <v>44376.0</v>
      </c>
      <c r="J749" s="65" t="b">
        <v>1</v>
      </c>
      <c r="K749" s="65"/>
      <c r="L749" s="85" t="b">
        <f>IF(VLOOKUP(C749,Projetos!A:L,12,false)=TRUE,TRUE,FALSE)</f>
        <v>1</v>
      </c>
      <c r="M749" s="74">
        <v>31.02923620430495</v>
      </c>
      <c r="N749" s="74">
        <f t="shared" si="1"/>
        <v>31.0292362</v>
      </c>
      <c r="O749" s="74" t="b">
        <v>1</v>
      </c>
    </row>
    <row r="750" hidden="1">
      <c r="A750" s="82"/>
      <c r="B750" s="65" t="s">
        <v>467</v>
      </c>
      <c r="C750" s="65" t="s">
        <v>113</v>
      </c>
      <c r="D750" s="65"/>
      <c r="E750" s="65" t="s">
        <v>477</v>
      </c>
      <c r="F750" s="83">
        <v>0.4166666666666667</v>
      </c>
      <c r="G750" s="83">
        <v>0.5</v>
      </c>
      <c r="H750" s="83">
        <v>0.08333333333333333</v>
      </c>
      <c r="I750" s="84">
        <v>44524.0</v>
      </c>
      <c r="J750" s="65" t="b">
        <v>0</v>
      </c>
      <c r="K750" s="65" t="s">
        <v>150</v>
      </c>
      <c r="L750" s="85" t="b">
        <f>IF(VLOOKUP(C750,Projetos!A:L,12,false)=TRUE,TRUE,FALSE)</f>
        <v>1</v>
      </c>
      <c r="M750" s="74">
        <v>52.1518759018759</v>
      </c>
      <c r="N750" s="74">
        <f t="shared" si="1"/>
        <v>0</v>
      </c>
      <c r="O750" s="74" t="b">
        <v>1</v>
      </c>
    </row>
    <row r="751" hidden="1">
      <c r="A751" s="82"/>
      <c r="B751" s="65" t="s">
        <v>177</v>
      </c>
      <c r="C751" s="65" t="s">
        <v>100</v>
      </c>
      <c r="D751" s="65" t="str">
        <f>vlookup(C751,'Classificação p pessoal'!F:G,2,false)</f>
        <v>NP</v>
      </c>
      <c r="E751" s="65" t="s">
        <v>478</v>
      </c>
      <c r="F751" s="83">
        <v>0.625</v>
      </c>
      <c r="G751" s="83">
        <v>0.7083333333333334</v>
      </c>
      <c r="H751" s="83">
        <v>0.08333333333333333</v>
      </c>
      <c r="I751" s="84">
        <v>44376.0</v>
      </c>
      <c r="J751" s="65" t="b">
        <v>1</v>
      </c>
      <c r="K751" s="65"/>
      <c r="L751" s="85" t="b">
        <f>IF(VLOOKUP(C751,Projetos!A:L,12,false)=TRUE,TRUE,FALSE)</f>
        <v>1</v>
      </c>
      <c r="M751" s="74">
        <v>31.02923620430495</v>
      </c>
      <c r="N751" s="74">
        <f t="shared" si="1"/>
        <v>62.05847241</v>
      </c>
      <c r="O751" s="74" t="b">
        <v>1</v>
      </c>
    </row>
    <row r="752" hidden="1">
      <c r="A752" s="82"/>
      <c r="B752" s="65" t="s">
        <v>177</v>
      </c>
      <c r="C752" s="65" t="s">
        <v>100</v>
      </c>
      <c r="D752" s="65" t="str">
        <f>vlookup(C752,'Classificação p pessoal'!F:G,2,false)</f>
        <v>NP</v>
      </c>
      <c r="E752" s="65" t="s">
        <v>479</v>
      </c>
      <c r="F752" s="83">
        <v>0.5833333333333334</v>
      </c>
      <c r="G752" s="83">
        <v>0.7291666666666666</v>
      </c>
      <c r="H752" s="83">
        <v>0.14583333333333334</v>
      </c>
      <c r="I752" s="84">
        <v>44377.0</v>
      </c>
      <c r="J752" s="65" t="b">
        <v>1</v>
      </c>
      <c r="K752" s="65"/>
      <c r="L752" s="85" t="b">
        <f>IF(VLOOKUP(C752,Projetos!A:L,12,false)=TRUE,TRUE,FALSE)</f>
        <v>1</v>
      </c>
      <c r="M752" s="74">
        <v>31.02923620430495</v>
      </c>
      <c r="N752" s="74">
        <f t="shared" si="1"/>
        <v>108.6023267</v>
      </c>
      <c r="O752" s="74" t="b">
        <v>1</v>
      </c>
    </row>
    <row r="753" hidden="1">
      <c r="A753" s="82"/>
      <c r="B753" s="65" t="s">
        <v>177</v>
      </c>
      <c r="C753" s="65" t="s">
        <v>106</v>
      </c>
      <c r="D753" s="65" t="str">
        <f>vlookup(C753,'Classificação p pessoal'!F:G,2,false)</f>
        <v>MProcesso</v>
      </c>
      <c r="E753" s="65" t="s">
        <v>480</v>
      </c>
      <c r="F753" s="83">
        <v>0.3541666666666667</v>
      </c>
      <c r="G753" s="83">
        <v>0.4375</v>
      </c>
      <c r="H753" s="83">
        <v>0.08333333333333333</v>
      </c>
      <c r="I753" s="84">
        <v>44378.0</v>
      </c>
      <c r="J753" s="65" t="b">
        <v>1</v>
      </c>
      <c r="K753" s="65"/>
      <c r="L753" s="85" t="b">
        <f>IF(VLOOKUP(C753,Projetos!A:L,12,false)=TRUE,TRUE,FALSE)</f>
        <v>1</v>
      </c>
      <c r="M753" s="74">
        <v>31.02923620430495</v>
      </c>
      <c r="N753" s="74">
        <f t="shared" si="1"/>
        <v>62.05847241</v>
      </c>
      <c r="O753" s="74" t="b">
        <v>1</v>
      </c>
    </row>
    <row r="754" hidden="1">
      <c r="A754" s="82"/>
      <c r="B754" s="65" t="s">
        <v>177</v>
      </c>
      <c r="C754" s="65" t="s">
        <v>108</v>
      </c>
      <c r="D754" s="65" t="str">
        <f>vlookup(C754,'Classificação p pessoal'!F:G,2,false)</f>
        <v>NP</v>
      </c>
      <c r="E754" s="65" t="s">
        <v>481</v>
      </c>
      <c r="F754" s="83">
        <v>0.4375</v>
      </c>
      <c r="G754" s="83">
        <v>0.4583333333333333</v>
      </c>
      <c r="H754" s="83">
        <v>0.020833333333333332</v>
      </c>
      <c r="I754" s="84">
        <v>44378.0</v>
      </c>
      <c r="J754" s="65" t="b">
        <v>1</v>
      </c>
      <c r="K754" s="65"/>
      <c r="L754" s="85" t="b">
        <f>IF(VLOOKUP(C754,Projetos!A:L,12,false)=TRUE,TRUE,FALSE)</f>
        <v>1</v>
      </c>
      <c r="M754" s="74">
        <v>31.02923620430495</v>
      </c>
      <c r="N754" s="74">
        <f t="shared" si="1"/>
        <v>15.5146181</v>
      </c>
      <c r="O754" s="74" t="b">
        <v>1</v>
      </c>
    </row>
    <row r="755" hidden="1">
      <c r="A755" s="82"/>
      <c r="B755" s="65" t="s">
        <v>177</v>
      </c>
      <c r="C755" s="65" t="s">
        <v>107</v>
      </c>
      <c r="D755" s="65"/>
      <c r="E755" s="65" t="s">
        <v>482</v>
      </c>
      <c r="F755" s="83">
        <v>0.3541666666666667</v>
      </c>
      <c r="G755" s="83">
        <v>0.375</v>
      </c>
      <c r="H755" s="83">
        <v>0.020833333333333332</v>
      </c>
      <c r="I755" s="84">
        <v>44552.0</v>
      </c>
      <c r="J755" s="65" t="b">
        <v>0</v>
      </c>
      <c r="K755" s="65" t="s">
        <v>150</v>
      </c>
      <c r="L755" s="85" t="b">
        <f>IF(VLOOKUP(C755,Projetos!A:L,12,false)=TRUE,TRUE,FALSE)</f>
        <v>1</v>
      </c>
      <c r="M755" s="74">
        <v>31.02923620430495</v>
      </c>
      <c r="N755" s="74">
        <f t="shared" si="1"/>
        <v>0</v>
      </c>
      <c r="O755" s="74" t="b">
        <v>1</v>
      </c>
    </row>
    <row r="756" hidden="1">
      <c r="A756" s="82"/>
      <c r="B756" s="65" t="s">
        <v>177</v>
      </c>
      <c r="C756" s="65" t="s">
        <v>101</v>
      </c>
      <c r="D756" s="65" t="str">
        <f>vlookup(C756,'Classificação p pessoal'!F:G,2,false)</f>
        <v>NP</v>
      </c>
      <c r="E756" s="65" t="s">
        <v>483</v>
      </c>
      <c r="F756" s="83">
        <v>0.5104166666666666</v>
      </c>
      <c r="G756" s="83">
        <v>0.75</v>
      </c>
      <c r="H756" s="83">
        <v>0.23958333333333334</v>
      </c>
      <c r="I756" s="84">
        <v>44379.0</v>
      </c>
      <c r="J756" s="65" t="b">
        <v>1</v>
      </c>
      <c r="K756" s="65"/>
      <c r="L756" s="85" t="b">
        <f>IF(VLOOKUP(C756,Projetos!A:L,12,false)=TRUE,TRUE,FALSE)</f>
        <v>1</v>
      </c>
      <c r="M756" s="74">
        <v>31.02923620430495</v>
      </c>
      <c r="N756" s="74">
        <f t="shared" si="1"/>
        <v>178.4181082</v>
      </c>
      <c r="O756" s="74" t="b">
        <v>1</v>
      </c>
    </row>
    <row r="757" hidden="1">
      <c r="A757" s="82"/>
      <c r="B757" s="65" t="s">
        <v>177</v>
      </c>
      <c r="C757" s="65" t="s">
        <v>91</v>
      </c>
      <c r="D757" s="65"/>
      <c r="E757" s="65" t="s">
        <v>484</v>
      </c>
      <c r="F757" s="83">
        <v>0.4375</v>
      </c>
      <c r="G757" s="83">
        <v>0.5</v>
      </c>
      <c r="H757" s="83">
        <v>0.0625</v>
      </c>
      <c r="I757" s="84">
        <v>44379.0</v>
      </c>
      <c r="J757" s="65" t="b">
        <v>0</v>
      </c>
      <c r="K757" s="65" t="s">
        <v>150</v>
      </c>
      <c r="L757" s="85" t="b">
        <f>IF(VLOOKUP(C757,Projetos!A:L,12,false)=TRUE,TRUE,FALSE)</f>
        <v>1</v>
      </c>
      <c r="M757" s="74">
        <v>31.02923620430495</v>
      </c>
      <c r="N757" s="74">
        <f t="shared" si="1"/>
        <v>0</v>
      </c>
      <c r="O757" s="74" t="b">
        <v>1</v>
      </c>
    </row>
    <row r="758" hidden="1">
      <c r="A758" s="82"/>
      <c r="B758" s="65" t="s">
        <v>177</v>
      </c>
      <c r="C758" s="65" t="s">
        <v>117</v>
      </c>
      <c r="D758" s="65"/>
      <c r="E758" s="65" t="s">
        <v>485</v>
      </c>
      <c r="F758" s="83">
        <v>0.5833333333333334</v>
      </c>
      <c r="G758" s="83">
        <v>0.6354166666666666</v>
      </c>
      <c r="H758" s="83">
        <v>0.052083333333333336</v>
      </c>
      <c r="I758" s="84">
        <v>44404.0</v>
      </c>
      <c r="J758" s="65" t="b">
        <v>0</v>
      </c>
      <c r="K758" s="65" t="s">
        <v>150</v>
      </c>
      <c r="L758" s="85" t="b">
        <f>IF(VLOOKUP(C758,Projetos!A:L,12,false)=TRUE,TRUE,FALSE)</f>
        <v>1</v>
      </c>
      <c r="M758" s="74">
        <v>31.02923620430495</v>
      </c>
      <c r="N758" s="74">
        <f t="shared" si="1"/>
        <v>0</v>
      </c>
      <c r="O758" s="74" t="b">
        <v>1</v>
      </c>
    </row>
    <row r="759" hidden="1">
      <c r="A759" s="82"/>
      <c r="B759" s="65" t="s">
        <v>177</v>
      </c>
      <c r="C759" s="65" t="s">
        <v>100</v>
      </c>
      <c r="D759" s="65" t="str">
        <f>vlookup(C759,'Classificação p pessoal'!F:G,2,false)</f>
        <v>NP</v>
      </c>
      <c r="E759" s="65" t="s">
        <v>486</v>
      </c>
      <c r="F759" s="83">
        <v>0.4166666666666667</v>
      </c>
      <c r="G759" s="83">
        <v>0.4375</v>
      </c>
      <c r="H759" s="83">
        <v>0.020833333333333332</v>
      </c>
      <c r="I759" s="84">
        <v>44404.0</v>
      </c>
      <c r="J759" s="65" t="b">
        <v>1</v>
      </c>
      <c r="K759" s="65"/>
      <c r="L759" s="85" t="b">
        <f>IF(VLOOKUP(C759,Projetos!A:L,12,false)=TRUE,TRUE,FALSE)</f>
        <v>1</v>
      </c>
      <c r="M759" s="74">
        <v>31.02923620430495</v>
      </c>
      <c r="N759" s="74">
        <f t="shared" si="1"/>
        <v>15.5146181</v>
      </c>
      <c r="O759" s="74" t="b">
        <v>1</v>
      </c>
    </row>
    <row r="760" hidden="1">
      <c r="A760" s="82"/>
      <c r="B760" s="65" t="s">
        <v>177</v>
      </c>
      <c r="C760" s="65" t="s">
        <v>100</v>
      </c>
      <c r="D760" s="65"/>
      <c r="E760" s="65" t="s">
        <v>487</v>
      </c>
      <c r="F760" s="83">
        <v>0.4375</v>
      </c>
      <c r="G760" s="83">
        <v>0.5</v>
      </c>
      <c r="H760" s="83">
        <v>0.0625</v>
      </c>
      <c r="I760" s="84">
        <v>44404.0</v>
      </c>
      <c r="J760" s="65" t="b">
        <v>0</v>
      </c>
      <c r="K760" s="65" t="s">
        <v>150</v>
      </c>
      <c r="L760" s="85" t="b">
        <f>IF(VLOOKUP(C760,Projetos!A:L,12,false)=TRUE,TRUE,FALSE)</f>
        <v>1</v>
      </c>
      <c r="M760" s="74">
        <v>31.02923620430495</v>
      </c>
      <c r="N760" s="74">
        <f t="shared" si="1"/>
        <v>0</v>
      </c>
      <c r="O760" s="74" t="b">
        <v>1</v>
      </c>
    </row>
    <row r="761" hidden="1">
      <c r="A761" s="82"/>
      <c r="B761" s="65" t="s">
        <v>177</v>
      </c>
      <c r="C761" s="65" t="s">
        <v>106</v>
      </c>
      <c r="D761" s="65" t="str">
        <f>vlookup(C761,'Classificação p pessoal'!F:G,2,false)</f>
        <v>MProcesso</v>
      </c>
      <c r="E761" s="65" t="s">
        <v>488</v>
      </c>
      <c r="F761" s="83">
        <v>0.3541666666666667</v>
      </c>
      <c r="G761" s="83">
        <v>0.3854166666666667</v>
      </c>
      <c r="H761" s="83">
        <v>0.03125</v>
      </c>
      <c r="I761" s="84">
        <v>44405.0</v>
      </c>
      <c r="J761" s="65" t="b">
        <v>1</v>
      </c>
      <c r="K761" s="65"/>
      <c r="L761" s="85" t="b">
        <f>IF(VLOOKUP(C761,Projetos!A:L,12,false)=TRUE,TRUE,FALSE)</f>
        <v>1</v>
      </c>
      <c r="M761" s="74">
        <v>31.02923620430495</v>
      </c>
      <c r="N761" s="74">
        <f t="shared" si="1"/>
        <v>23.27192715</v>
      </c>
      <c r="O761" s="74" t="b">
        <v>1</v>
      </c>
    </row>
    <row r="762" hidden="1">
      <c r="A762" s="82"/>
      <c r="B762" s="65" t="s">
        <v>177</v>
      </c>
      <c r="C762" s="65" t="s">
        <v>108</v>
      </c>
      <c r="D762" s="65" t="str">
        <f>vlookup(C762,'Classificação p pessoal'!F:G,2,false)</f>
        <v>NP</v>
      </c>
      <c r="E762" s="65" t="s">
        <v>489</v>
      </c>
      <c r="F762" s="83">
        <v>0.625</v>
      </c>
      <c r="G762" s="83">
        <v>0.6666666666666666</v>
      </c>
      <c r="H762" s="83">
        <v>0.041666666666666664</v>
      </c>
      <c r="I762" s="84">
        <v>44405.0</v>
      </c>
      <c r="J762" s="65" t="b">
        <v>1</v>
      </c>
      <c r="K762" s="65"/>
      <c r="L762" s="85" t="b">
        <f>IF(VLOOKUP(C762,Projetos!A:L,12,false)=TRUE,TRUE,FALSE)</f>
        <v>1</v>
      </c>
      <c r="M762" s="74">
        <v>31.02923620430495</v>
      </c>
      <c r="N762" s="74">
        <f t="shared" si="1"/>
        <v>31.0292362</v>
      </c>
      <c r="O762" s="74" t="b">
        <v>1</v>
      </c>
    </row>
    <row r="763" hidden="1">
      <c r="A763" s="82"/>
      <c r="B763" s="65" t="s">
        <v>177</v>
      </c>
      <c r="C763" s="65" t="s">
        <v>108</v>
      </c>
      <c r="D763" s="65" t="str">
        <f>vlookup(C763,'Classificação p pessoal'!F:G,2,false)</f>
        <v>NP</v>
      </c>
      <c r="E763" s="65" t="s">
        <v>490</v>
      </c>
      <c r="F763" s="83">
        <v>0.6666666666666666</v>
      </c>
      <c r="G763" s="83">
        <v>0.7291666666666666</v>
      </c>
      <c r="H763" s="83">
        <v>0.0625</v>
      </c>
      <c r="I763" s="84">
        <v>44406.0</v>
      </c>
      <c r="J763" s="65" t="b">
        <v>1</v>
      </c>
      <c r="K763" s="65"/>
      <c r="L763" s="85" t="b">
        <f>IF(VLOOKUP(C763,Projetos!A:L,12,false)=TRUE,TRUE,FALSE)</f>
        <v>1</v>
      </c>
      <c r="M763" s="74">
        <v>31.02923620430495</v>
      </c>
      <c r="N763" s="74">
        <f t="shared" si="1"/>
        <v>46.54385431</v>
      </c>
      <c r="O763" s="74" t="b">
        <v>1</v>
      </c>
    </row>
    <row r="764" hidden="1">
      <c r="A764" s="82"/>
      <c r="B764" s="65" t="s">
        <v>177</v>
      </c>
      <c r="C764" s="65" t="s">
        <v>130</v>
      </c>
      <c r="D764" s="65" t="str">
        <f>vlookup(C764,'Classificação p pessoal'!F:G,2,false)</f>
        <v>NP</v>
      </c>
      <c r="E764" s="65" t="s">
        <v>491</v>
      </c>
      <c r="F764" s="83">
        <v>0.34375</v>
      </c>
      <c r="G764" s="83">
        <v>0.6041666666666666</v>
      </c>
      <c r="H764" s="83">
        <v>0.2604166666666667</v>
      </c>
      <c r="I764" s="84">
        <v>44407.0</v>
      </c>
      <c r="J764" s="65" t="b">
        <v>1</v>
      </c>
      <c r="K764" s="65"/>
      <c r="L764" s="85" t="b">
        <f>IF(VLOOKUP(C764,Projetos!A:L,12,false)=TRUE,TRUE,FALSE)</f>
        <v>1</v>
      </c>
      <c r="M764" s="74">
        <v>31.02923620430495</v>
      </c>
      <c r="N764" s="74">
        <f t="shared" si="1"/>
        <v>193.9327263</v>
      </c>
      <c r="O764" s="74" t="b">
        <v>1</v>
      </c>
    </row>
    <row r="765" hidden="1">
      <c r="A765" s="82"/>
      <c r="B765" s="65" t="s">
        <v>177</v>
      </c>
      <c r="C765" s="65" t="s">
        <v>106</v>
      </c>
      <c r="D765" s="65" t="str">
        <f>vlookup(C765,'Classificação p pessoal'!F:G,2,false)</f>
        <v>MProcesso</v>
      </c>
      <c r="E765" s="65" t="s">
        <v>492</v>
      </c>
      <c r="F765" s="83">
        <v>0.375</v>
      </c>
      <c r="G765" s="83">
        <v>0.5</v>
      </c>
      <c r="H765" s="83">
        <v>0.125</v>
      </c>
      <c r="I765" s="84">
        <v>44411.0</v>
      </c>
      <c r="J765" s="65" t="b">
        <v>1</v>
      </c>
      <c r="K765" s="65"/>
      <c r="L765" s="85" t="b">
        <f>IF(VLOOKUP(C765,Projetos!A:L,12,false)=TRUE,TRUE,FALSE)</f>
        <v>1</v>
      </c>
      <c r="M765" s="74">
        <v>31.02923620430495</v>
      </c>
      <c r="N765" s="74">
        <f t="shared" si="1"/>
        <v>93.08770861</v>
      </c>
      <c r="O765" s="74" t="b">
        <v>1</v>
      </c>
    </row>
    <row r="766" hidden="1">
      <c r="A766" s="82"/>
      <c r="B766" s="65" t="s">
        <v>177</v>
      </c>
      <c r="C766" s="65" t="s">
        <v>91</v>
      </c>
      <c r="D766" s="65" t="str">
        <f>vlookup(C766,'Classificação p pessoal'!F:G,2,false)</f>
        <v>NP</v>
      </c>
      <c r="E766" s="65" t="s">
        <v>493</v>
      </c>
      <c r="F766" s="83">
        <v>0.34375</v>
      </c>
      <c r="G766" s="83">
        <v>0.5</v>
      </c>
      <c r="H766" s="83">
        <v>0.15625</v>
      </c>
      <c r="I766" s="84">
        <v>44412.0</v>
      </c>
      <c r="J766" s="65" t="b">
        <v>1</v>
      </c>
      <c r="K766" s="65"/>
      <c r="L766" s="85" t="b">
        <f>IF(VLOOKUP(C766,Projetos!A:L,12,false)=TRUE,TRUE,FALSE)</f>
        <v>1</v>
      </c>
      <c r="M766" s="74">
        <v>31.02923620430495</v>
      </c>
      <c r="N766" s="74">
        <f t="shared" si="1"/>
        <v>116.3596358</v>
      </c>
      <c r="O766" s="74" t="b">
        <v>1</v>
      </c>
    </row>
    <row r="767" hidden="1">
      <c r="A767" s="82"/>
      <c r="B767" s="65" t="s">
        <v>177</v>
      </c>
      <c r="C767" s="65" t="s">
        <v>108</v>
      </c>
      <c r="D767" s="65"/>
      <c r="E767" s="65" t="s">
        <v>494</v>
      </c>
      <c r="F767" s="83">
        <v>0.5833333333333334</v>
      </c>
      <c r="G767" s="83">
        <v>0.6458333333333334</v>
      </c>
      <c r="H767" s="83">
        <v>0.0625</v>
      </c>
      <c r="I767" s="84">
        <v>44412.0</v>
      </c>
      <c r="J767" s="65" t="b">
        <v>0</v>
      </c>
      <c r="K767" s="65" t="s">
        <v>150</v>
      </c>
      <c r="L767" s="85" t="b">
        <f>IF(VLOOKUP(C767,Projetos!A:L,12,false)=TRUE,TRUE,FALSE)</f>
        <v>1</v>
      </c>
      <c r="M767" s="74">
        <v>31.02923620430495</v>
      </c>
      <c r="N767" s="74">
        <f t="shared" si="1"/>
        <v>0</v>
      </c>
      <c r="O767" s="74" t="b">
        <v>1</v>
      </c>
    </row>
    <row r="768" hidden="1">
      <c r="A768" s="82"/>
      <c r="B768" s="65" t="s">
        <v>495</v>
      </c>
      <c r="C768" s="65" t="s">
        <v>92</v>
      </c>
      <c r="D768" s="65"/>
      <c r="E768" s="65" t="s">
        <v>496</v>
      </c>
      <c r="F768" s="83">
        <v>0.3541666666666667</v>
      </c>
      <c r="G768" s="83">
        <v>0.5</v>
      </c>
      <c r="H768" s="83">
        <v>0.14583333333333334</v>
      </c>
      <c r="I768" s="84">
        <v>44501.0</v>
      </c>
      <c r="J768" s="65" t="b">
        <v>0</v>
      </c>
      <c r="K768" s="65" t="s">
        <v>150</v>
      </c>
      <c r="L768" s="85" t="b">
        <f>IF(VLOOKUP(C768,Projetos!A:L,12,false)=TRUE,TRUE,FALSE)</f>
        <v>1</v>
      </c>
      <c r="M768" s="74">
        <v>73.7079846079846</v>
      </c>
      <c r="N768" s="74">
        <f t="shared" si="1"/>
        <v>0</v>
      </c>
      <c r="O768" s="74" t="b">
        <v>1</v>
      </c>
    </row>
    <row r="769" hidden="1">
      <c r="A769" s="82"/>
      <c r="B769" s="65" t="s">
        <v>177</v>
      </c>
      <c r="C769" s="65" t="s">
        <v>106</v>
      </c>
      <c r="D769" s="65"/>
      <c r="E769" s="65" t="s">
        <v>497</v>
      </c>
      <c r="F769" s="83">
        <v>0.4375</v>
      </c>
      <c r="G769" s="83">
        <v>0.4791666666666667</v>
      </c>
      <c r="H769" s="83">
        <v>0.041666666666666664</v>
      </c>
      <c r="I769" s="84">
        <v>44413.0</v>
      </c>
      <c r="J769" s="65" t="b">
        <v>0</v>
      </c>
      <c r="K769" s="65" t="s">
        <v>150</v>
      </c>
      <c r="L769" s="85" t="b">
        <f>IF(VLOOKUP(C769,Projetos!A:L,12,false)=TRUE,TRUE,FALSE)</f>
        <v>1</v>
      </c>
      <c r="M769" s="74">
        <v>31.02923620430495</v>
      </c>
      <c r="N769" s="74">
        <f t="shared" si="1"/>
        <v>0</v>
      </c>
      <c r="O769" s="74" t="b">
        <v>1</v>
      </c>
    </row>
    <row r="770" hidden="1">
      <c r="A770" s="82"/>
      <c r="B770" s="65" t="s">
        <v>177</v>
      </c>
      <c r="C770" s="65" t="s">
        <v>106</v>
      </c>
      <c r="D770" s="65" t="str">
        <f>vlookup(C770,'Classificação p pessoal'!F:G,2,false)</f>
        <v>MProcesso</v>
      </c>
      <c r="E770" s="65" t="s">
        <v>492</v>
      </c>
      <c r="F770" s="83">
        <v>0.5416666666666666</v>
      </c>
      <c r="G770" s="83">
        <v>0.75</v>
      </c>
      <c r="H770" s="83">
        <v>0.20833333333333334</v>
      </c>
      <c r="I770" s="84">
        <v>44413.0</v>
      </c>
      <c r="J770" s="65" t="b">
        <v>1</v>
      </c>
      <c r="K770" s="65"/>
      <c r="L770" s="85" t="b">
        <f>IF(VLOOKUP(C770,Projetos!A:L,12,false)=TRUE,TRUE,FALSE)</f>
        <v>1</v>
      </c>
      <c r="M770" s="74">
        <v>31.02923620430495</v>
      </c>
      <c r="N770" s="74">
        <f t="shared" si="1"/>
        <v>155.146181</v>
      </c>
      <c r="O770" s="74" t="b">
        <v>1</v>
      </c>
    </row>
    <row r="771" hidden="1">
      <c r="A771" s="82"/>
      <c r="B771" s="65" t="s">
        <v>177</v>
      </c>
      <c r="C771" s="65" t="s">
        <v>106</v>
      </c>
      <c r="D771" s="65" t="str">
        <f>vlookup(C771,'Classificação p pessoal'!F:G,2,false)</f>
        <v>MProcesso</v>
      </c>
      <c r="E771" s="65" t="s">
        <v>498</v>
      </c>
      <c r="F771" s="83">
        <v>0.375</v>
      </c>
      <c r="G771" s="83">
        <v>0.4375</v>
      </c>
      <c r="H771" s="83">
        <v>0.0625</v>
      </c>
      <c r="I771" s="84">
        <v>44414.0</v>
      </c>
      <c r="J771" s="65" t="b">
        <v>1</v>
      </c>
      <c r="K771" s="65"/>
      <c r="L771" s="85" t="b">
        <f>IF(VLOOKUP(C771,Projetos!A:L,12,false)=TRUE,TRUE,FALSE)</f>
        <v>1</v>
      </c>
      <c r="M771" s="74">
        <v>31.02923620430495</v>
      </c>
      <c r="N771" s="74">
        <f t="shared" si="1"/>
        <v>46.54385431</v>
      </c>
      <c r="O771" s="74" t="b">
        <v>1</v>
      </c>
    </row>
    <row r="772" hidden="1">
      <c r="A772" s="82"/>
      <c r="B772" s="65" t="s">
        <v>177</v>
      </c>
      <c r="C772" s="65" t="s">
        <v>130</v>
      </c>
      <c r="D772" s="65" t="str">
        <f>vlookup(C772,'Classificação p pessoal'!F:G,2,false)</f>
        <v>NP</v>
      </c>
      <c r="E772" s="65" t="s">
        <v>499</v>
      </c>
      <c r="F772" s="83">
        <v>0.4375</v>
      </c>
      <c r="G772" s="83">
        <v>0.6666666666666666</v>
      </c>
      <c r="H772" s="83">
        <v>0.22916666666666666</v>
      </c>
      <c r="I772" s="84">
        <v>44414.0</v>
      </c>
      <c r="J772" s="65" t="b">
        <v>1</v>
      </c>
      <c r="K772" s="65"/>
      <c r="L772" s="85" t="b">
        <f>IF(VLOOKUP(C772,Projetos!A:L,12,false)=TRUE,TRUE,FALSE)</f>
        <v>1</v>
      </c>
      <c r="M772" s="74">
        <v>31.02923620430495</v>
      </c>
      <c r="N772" s="74">
        <f t="shared" si="1"/>
        <v>170.6607991</v>
      </c>
      <c r="O772" s="74" t="b">
        <v>1</v>
      </c>
    </row>
    <row r="773" hidden="1">
      <c r="A773" s="82"/>
      <c r="B773" s="65" t="s">
        <v>177</v>
      </c>
      <c r="C773" s="65" t="s">
        <v>130</v>
      </c>
      <c r="D773" s="65" t="str">
        <f>vlookup(C773,'Classificação p pessoal'!F:G,2,false)</f>
        <v>NP</v>
      </c>
      <c r="E773" s="65" t="s">
        <v>500</v>
      </c>
      <c r="F773" s="83">
        <v>0.6666666666666666</v>
      </c>
      <c r="G773" s="83">
        <v>0.7083333333333334</v>
      </c>
      <c r="H773" s="83">
        <v>0.041666666666666664</v>
      </c>
      <c r="I773" s="84">
        <v>44414.0</v>
      </c>
      <c r="J773" s="65" t="b">
        <v>1</v>
      </c>
      <c r="K773" s="65"/>
      <c r="L773" s="85" t="b">
        <f>IF(VLOOKUP(C773,Projetos!A:L,12,false)=TRUE,TRUE,FALSE)</f>
        <v>1</v>
      </c>
      <c r="M773" s="74">
        <v>31.02923620430495</v>
      </c>
      <c r="N773" s="74">
        <f t="shared" si="1"/>
        <v>31.0292362</v>
      </c>
      <c r="O773" s="74" t="b">
        <v>1</v>
      </c>
    </row>
    <row r="774" hidden="1">
      <c r="A774" s="82"/>
      <c r="B774" s="65" t="s">
        <v>177</v>
      </c>
      <c r="C774" s="65" t="s">
        <v>100</v>
      </c>
      <c r="D774" s="65"/>
      <c r="E774" s="65" t="s">
        <v>501</v>
      </c>
      <c r="F774" s="83">
        <v>0.5625</v>
      </c>
      <c r="G774" s="83">
        <v>0.6458333333333334</v>
      </c>
      <c r="H774" s="83">
        <v>0.08333333333333333</v>
      </c>
      <c r="I774" s="84">
        <v>44412.0</v>
      </c>
      <c r="J774" s="65" t="b">
        <v>0</v>
      </c>
      <c r="K774" s="65" t="s">
        <v>150</v>
      </c>
      <c r="L774" s="85" t="b">
        <f>IF(VLOOKUP(C774,Projetos!A:L,12,false)=TRUE,TRUE,FALSE)</f>
        <v>1</v>
      </c>
      <c r="M774" s="74">
        <v>31.02923620430495</v>
      </c>
      <c r="N774" s="74">
        <f t="shared" si="1"/>
        <v>0</v>
      </c>
      <c r="O774" s="74" t="b">
        <v>1</v>
      </c>
    </row>
    <row r="775" hidden="1">
      <c r="A775" s="82"/>
      <c r="B775" s="65" t="s">
        <v>177</v>
      </c>
      <c r="C775" s="65" t="s">
        <v>106</v>
      </c>
      <c r="D775" s="65" t="str">
        <f>vlookup(C775,'Classificação p pessoal'!F:G,2,false)</f>
        <v>MProcesso</v>
      </c>
      <c r="E775" s="65" t="s">
        <v>502</v>
      </c>
      <c r="F775" s="83">
        <v>0.6666666666666666</v>
      </c>
      <c r="G775" s="83">
        <v>0.7083333333333334</v>
      </c>
      <c r="H775" s="83">
        <v>0.041666666666666664</v>
      </c>
      <c r="I775" s="84">
        <v>44417.0</v>
      </c>
      <c r="J775" s="65" t="b">
        <v>1</v>
      </c>
      <c r="K775" s="65"/>
      <c r="L775" s="85" t="b">
        <f>IF(VLOOKUP(C775,Projetos!A:L,12,false)=TRUE,TRUE,FALSE)</f>
        <v>1</v>
      </c>
      <c r="M775" s="74">
        <v>31.02923620430495</v>
      </c>
      <c r="N775" s="74">
        <f t="shared" si="1"/>
        <v>31.0292362</v>
      </c>
      <c r="O775" s="74" t="b">
        <v>1</v>
      </c>
    </row>
    <row r="776" hidden="1">
      <c r="A776" s="82"/>
      <c r="B776" s="65" t="s">
        <v>177</v>
      </c>
      <c r="C776" s="65" t="s">
        <v>106</v>
      </c>
      <c r="D776" s="65" t="str">
        <f>vlookup(C776,'Classificação p pessoal'!F:G,2,false)</f>
        <v>MProcesso</v>
      </c>
      <c r="E776" s="65" t="s">
        <v>503</v>
      </c>
      <c r="F776" s="83">
        <v>0.375</v>
      </c>
      <c r="G776" s="83">
        <v>0.4375</v>
      </c>
      <c r="H776" s="83">
        <v>0.0625</v>
      </c>
      <c r="I776" s="84">
        <v>44418.0</v>
      </c>
      <c r="J776" s="65" t="b">
        <v>1</v>
      </c>
      <c r="K776" s="65"/>
      <c r="L776" s="85" t="b">
        <f>IF(VLOOKUP(C776,Projetos!A:L,12,false)=TRUE,TRUE,FALSE)</f>
        <v>1</v>
      </c>
      <c r="M776" s="74">
        <v>31.02923620430495</v>
      </c>
      <c r="N776" s="74">
        <f t="shared" si="1"/>
        <v>46.54385431</v>
      </c>
      <c r="O776" s="74" t="b">
        <v>1</v>
      </c>
    </row>
    <row r="777" hidden="1">
      <c r="A777" s="82"/>
      <c r="B777" s="65" t="s">
        <v>177</v>
      </c>
      <c r="C777" s="65" t="s">
        <v>130</v>
      </c>
      <c r="D777" s="65" t="str">
        <f>vlookup(C777,'Classificação p pessoal'!F:G,2,false)</f>
        <v>NP</v>
      </c>
      <c r="E777" s="65" t="s">
        <v>504</v>
      </c>
      <c r="F777" s="83">
        <v>0.3541666666666667</v>
      </c>
      <c r="G777" s="83">
        <v>0.3958333333333333</v>
      </c>
      <c r="H777" s="83">
        <v>0.041666666666666664</v>
      </c>
      <c r="I777" s="84">
        <v>44477.0</v>
      </c>
      <c r="J777" s="65" t="b">
        <v>1</v>
      </c>
      <c r="K777" s="65"/>
      <c r="L777" s="85" t="b">
        <f>IF(VLOOKUP(C777,Projetos!A:L,12,false)=TRUE,TRUE,FALSE)</f>
        <v>1</v>
      </c>
      <c r="M777" s="74">
        <v>31.02923620430495</v>
      </c>
      <c r="N777" s="74">
        <f t="shared" si="1"/>
        <v>31.0292362</v>
      </c>
      <c r="O777" s="74" t="b">
        <v>1</v>
      </c>
    </row>
    <row r="778" hidden="1">
      <c r="A778" s="82"/>
      <c r="B778" s="65" t="s">
        <v>177</v>
      </c>
      <c r="C778" s="65" t="s">
        <v>118</v>
      </c>
      <c r="D778" s="65" t="str">
        <f>vlookup(C778,'Classificação p pessoal'!F:G,2,false)</f>
        <v>MProduto</v>
      </c>
      <c r="E778" s="65" t="s">
        <v>505</v>
      </c>
      <c r="F778" s="83">
        <v>0.625</v>
      </c>
      <c r="G778" s="83">
        <v>0.6666666666666666</v>
      </c>
      <c r="H778" s="83">
        <v>0.041666666666666664</v>
      </c>
      <c r="I778" s="84">
        <v>44418.0</v>
      </c>
      <c r="J778" s="65" t="b">
        <v>1</v>
      </c>
      <c r="K778" s="65"/>
      <c r="L778" s="85" t="b">
        <f>IF(VLOOKUP(C778,Projetos!A:L,12,false)=TRUE,TRUE,FALSE)</f>
        <v>1</v>
      </c>
      <c r="M778" s="74">
        <v>31.02923620430495</v>
      </c>
      <c r="N778" s="74">
        <f t="shared" si="1"/>
        <v>31.0292362</v>
      </c>
      <c r="O778" s="74" t="b">
        <v>1</v>
      </c>
    </row>
    <row r="779" hidden="1">
      <c r="A779" s="82"/>
      <c r="B779" s="65" t="s">
        <v>177</v>
      </c>
      <c r="C779" s="65" t="s">
        <v>130</v>
      </c>
      <c r="D779" s="65"/>
      <c r="E779" s="65" t="s">
        <v>506</v>
      </c>
      <c r="F779" s="83">
        <v>0.6041666666666666</v>
      </c>
      <c r="G779" s="83">
        <v>0.625</v>
      </c>
      <c r="H779" s="83">
        <v>0.020833333333333332</v>
      </c>
      <c r="I779" s="84">
        <v>44418.0</v>
      </c>
      <c r="J779" s="65" t="b">
        <v>0</v>
      </c>
      <c r="K779" s="65" t="s">
        <v>150</v>
      </c>
      <c r="L779" s="85" t="b">
        <f>IF(VLOOKUP(C779,Projetos!A:L,12,false)=TRUE,TRUE,FALSE)</f>
        <v>1</v>
      </c>
      <c r="M779" s="74">
        <v>31.02923620430495</v>
      </c>
      <c r="N779" s="74">
        <f t="shared" si="1"/>
        <v>0</v>
      </c>
      <c r="O779" s="74" t="b">
        <v>1</v>
      </c>
    </row>
    <row r="780" hidden="1">
      <c r="A780" s="82"/>
      <c r="B780" s="65" t="s">
        <v>177</v>
      </c>
      <c r="C780" s="65" t="s">
        <v>106</v>
      </c>
      <c r="D780" s="65" t="str">
        <f>vlookup(C780,'Classificação p pessoal'!F:G,2,false)</f>
        <v>MProcesso</v>
      </c>
      <c r="E780" s="65" t="s">
        <v>507</v>
      </c>
      <c r="F780" s="83">
        <v>0.375</v>
      </c>
      <c r="G780" s="83">
        <v>0.4375</v>
      </c>
      <c r="H780" s="83">
        <v>0.0625</v>
      </c>
      <c r="I780" s="84">
        <v>44419.0</v>
      </c>
      <c r="J780" s="65" t="b">
        <v>1</v>
      </c>
      <c r="K780" s="65"/>
      <c r="L780" s="85" t="b">
        <f>IF(VLOOKUP(C780,Projetos!A:L,12,false)=TRUE,TRUE,FALSE)</f>
        <v>1</v>
      </c>
      <c r="M780" s="74">
        <v>31.02923620430495</v>
      </c>
      <c r="N780" s="74">
        <f t="shared" si="1"/>
        <v>46.54385431</v>
      </c>
      <c r="O780" s="74" t="b">
        <v>1</v>
      </c>
    </row>
    <row r="781" hidden="1">
      <c r="A781" s="82"/>
      <c r="B781" s="65" t="s">
        <v>177</v>
      </c>
      <c r="C781" s="65" t="s">
        <v>91</v>
      </c>
      <c r="D781" s="65" t="str">
        <f>vlookup(C781,'Classificação p pessoal'!F:G,2,false)</f>
        <v>NP</v>
      </c>
      <c r="E781" s="65" t="s">
        <v>508</v>
      </c>
      <c r="F781" s="83">
        <v>0.5833333333333334</v>
      </c>
      <c r="G781" s="83">
        <v>0.6666666666666666</v>
      </c>
      <c r="H781" s="83">
        <v>0.08333333333333333</v>
      </c>
      <c r="I781" s="84">
        <v>44419.0</v>
      </c>
      <c r="J781" s="65" t="b">
        <v>1</v>
      </c>
      <c r="K781" s="65"/>
      <c r="L781" s="85" t="b">
        <f>IF(VLOOKUP(C781,Projetos!A:L,12,false)=TRUE,TRUE,FALSE)</f>
        <v>1</v>
      </c>
      <c r="M781" s="74">
        <v>31.02923620430495</v>
      </c>
      <c r="N781" s="74">
        <f t="shared" si="1"/>
        <v>62.05847241</v>
      </c>
      <c r="O781" s="74" t="b">
        <v>1</v>
      </c>
    </row>
    <row r="782" hidden="1">
      <c r="A782" s="82"/>
      <c r="B782" s="65" t="s">
        <v>177</v>
      </c>
      <c r="C782" s="65" t="s">
        <v>130</v>
      </c>
      <c r="D782" s="65" t="str">
        <f>vlookup(C782,'Classificação p pessoal'!F:G,2,false)</f>
        <v>NP</v>
      </c>
      <c r="E782" s="65" t="s">
        <v>509</v>
      </c>
      <c r="F782" s="83">
        <v>0.6666666666666666</v>
      </c>
      <c r="G782" s="83">
        <v>0.75</v>
      </c>
      <c r="H782" s="83">
        <v>0.08333333333333333</v>
      </c>
      <c r="I782" s="84">
        <v>44419.0</v>
      </c>
      <c r="J782" s="65" t="b">
        <v>1</v>
      </c>
      <c r="K782" s="65"/>
      <c r="L782" s="85" t="b">
        <f>IF(VLOOKUP(C782,Projetos!A:L,12,false)=TRUE,TRUE,FALSE)</f>
        <v>1</v>
      </c>
      <c r="M782" s="74">
        <v>31.02923620430495</v>
      </c>
      <c r="N782" s="74">
        <f t="shared" si="1"/>
        <v>62.05847241</v>
      </c>
      <c r="O782" s="74" t="b">
        <v>1</v>
      </c>
    </row>
    <row r="783" hidden="1">
      <c r="A783" s="82"/>
      <c r="B783" s="65" t="s">
        <v>177</v>
      </c>
      <c r="C783" s="65" t="s">
        <v>106</v>
      </c>
      <c r="D783" s="65" t="str">
        <f>vlookup(C783,'Classificação p pessoal'!F:G,2,false)</f>
        <v>MProcesso</v>
      </c>
      <c r="E783" s="65" t="s">
        <v>510</v>
      </c>
      <c r="F783" s="83">
        <v>0.4375</v>
      </c>
      <c r="G783" s="83">
        <v>0.4791666666666667</v>
      </c>
      <c r="H783" s="83">
        <v>0.041666666666666664</v>
      </c>
      <c r="I783" s="84">
        <v>44419.0</v>
      </c>
      <c r="J783" s="65" t="b">
        <v>1</v>
      </c>
      <c r="K783" s="65"/>
      <c r="L783" s="85" t="b">
        <f>IF(VLOOKUP(C783,Projetos!A:L,12,false)=TRUE,TRUE,FALSE)</f>
        <v>1</v>
      </c>
      <c r="M783" s="74">
        <v>31.02923620430495</v>
      </c>
      <c r="N783" s="74">
        <f t="shared" si="1"/>
        <v>31.0292362</v>
      </c>
      <c r="O783" s="74" t="b">
        <v>1</v>
      </c>
    </row>
    <row r="784" hidden="1">
      <c r="A784" s="82"/>
      <c r="B784" s="65" t="s">
        <v>177</v>
      </c>
      <c r="C784" s="65" t="s">
        <v>106</v>
      </c>
      <c r="D784" s="65" t="str">
        <f>vlookup(C784,'Classificação p pessoal'!F:G,2,false)</f>
        <v>MProcesso</v>
      </c>
      <c r="E784" s="65" t="s">
        <v>511</v>
      </c>
      <c r="F784" s="83">
        <v>0.4791666666666667</v>
      </c>
      <c r="G784" s="83">
        <v>0.5208333333333334</v>
      </c>
      <c r="H784" s="83">
        <v>0.041666666666666664</v>
      </c>
      <c r="I784" s="84">
        <v>44419.0</v>
      </c>
      <c r="J784" s="65" t="b">
        <v>1</v>
      </c>
      <c r="K784" s="65"/>
      <c r="L784" s="85" t="b">
        <f>IF(VLOOKUP(C784,Projetos!A:L,12,false)=TRUE,TRUE,FALSE)</f>
        <v>1</v>
      </c>
      <c r="M784" s="74">
        <v>31.02923620430495</v>
      </c>
      <c r="N784" s="74">
        <f t="shared" si="1"/>
        <v>31.0292362</v>
      </c>
      <c r="O784" s="74" t="b">
        <v>1</v>
      </c>
    </row>
    <row r="785" hidden="1">
      <c r="A785" s="82"/>
      <c r="B785" s="65" t="s">
        <v>177</v>
      </c>
      <c r="C785" s="65" t="s">
        <v>118</v>
      </c>
      <c r="D785" s="65" t="str">
        <f>vlookup(C785,'Classificação p pessoal'!F:G,2,false)</f>
        <v>MProduto</v>
      </c>
      <c r="E785" s="65" t="s">
        <v>512</v>
      </c>
      <c r="F785" s="83">
        <v>0.3541666666666667</v>
      </c>
      <c r="G785" s="83">
        <v>0.375</v>
      </c>
      <c r="H785" s="83">
        <v>0.020833333333333332</v>
      </c>
      <c r="I785" s="84">
        <v>44419.0</v>
      </c>
      <c r="J785" s="65" t="b">
        <v>1</v>
      </c>
      <c r="K785" s="65"/>
      <c r="L785" s="85" t="b">
        <f>IF(VLOOKUP(C785,Projetos!A:L,12,false)=TRUE,TRUE,FALSE)</f>
        <v>1</v>
      </c>
      <c r="M785" s="74">
        <v>31.02923620430495</v>
      </c>
      <c r="N785" s="74">
        <f t="shared" si="1"/>
        <v>15.5146181</v>
      </c>
      <c r="O785" s="74" t="b">
        <v>1</v>
      </c>
    </row>
    <row r="786" hidden="1">
      <c r="A786" s="82"/>
      <c r="B786" s="65" t="s">
        <v>177</v>
      </c>
      <c r="C786" s="65" t="s">
        <v>100</v>
      </c>
      <c r="D786" s="65" t="str">
        <f>vlookup(C786,'Classificação p pessoal'!F:G,2,false)</f>
        <v>NP</v>
      </c>
      <c r="E786" s="65" t="s">
        <v>513</v>
      </c>
      <c r="F786" s="83">
        <v>0.3541666666666667</v>
      </c>
      <c r="G786" s="83">
        <v>0.5</v>
      </c>
      <c r="H786" s="83">
        <v>0.14583333333333334</v>
      </c>
      <c r="I786" s="84">
        <v>44420.0</v>
      </c>
      <c r="J786" s="65" t="b">
        <v>1</v>
      </c>
      <c r="K786" s="65"/>
      <c r="L786" s="85" t="b">
        <f>IF(VLOOKUP(C786,Projetos!A:L,12,false)=TRUE,TRUE,FALSE)</f>
        <v>1</v>
      </c>
      <c r="M786" s="74">
        <v>31.02923620430495</v>
      </c>
      <c r="N786" s="74">
        <f t="shared" si="1"/>
        <v>108.6023267</v>
      </c>
      <c r="O786" s="74" t="b">
        <v>1</v>
      </c>
    </row>
    <row r="787" hidden="1">
      <c r="A787" s="82"/>
      <c r="B787" s="65" t="s">
        <v>177</v>
      </c>
      <c r="C787" s="65" t="s">
        <v>91</v>
      </c>
      <c r="D787" s="65"/>
      <c r="E787" s="65" t="s">
        <v>514</v>
      </c>
      <c r="F787" s="83">
        <v>0.375</v>
      </c>
      <c r="G787" s="83">
        <v>0.4375</v>
      </c>
      <c r="H787" s="83">
        <v>0.0625</v>
      </c>
      <c r="I787" s="84">
        <v>44442.0</v>
      </c>
      <c r="J787" s="65" t="b">
        <v>0</v>
      </c>
      <c r="K787" s="65" t="s">
        <v>150</v>
      </c>
      <c r="L787" s="85" t="b">
        <f>IF(VLOOKUP(C787,Projetos!A:L,12,false)=TRUE,TRUE,FALSE)</f>
        <v>1</v>
      </c>
      <c r="M787" s="74">
        <v>31.02923620430495</v>
      </c>
      <c r="N787" s="74">
        <f t="shared" si="1"/>
        <v>0</v>
      </c>
      <c r="O787" s="74" t="b">
        <v>1</v>
      </c>
    </row>
    <row r="788" hidden="1">
      <c r="A788" s="82"/>
      <c r="B788" s="65" t="s">
        <v>177</v>
      </c>
      <c r="C788" s="65" t="s">
        <v>130</v>
      </c>
      <c r="D788" s="65"/>
      <c r="E788" s="65" t="s">
        <v>515</v>
      </c>
      <c r="F788" s="83">
        <v>0.375</v>
      </c>
      <c r="G788" s="83">
        <v>0.4166666666666667</v>
      </c>
      <c r="H788" s="83">
        <v>0.041666666666666664</v>
      </c>
      <c r="I788" s="84">
        <v>44424.0</v>
      </c>
      <c r="J788" s="65" t="b">
        <v>0</v>
      </c>
      <c r="K788" s="65" t="s">
        <v>150</v>
      </c>
      <c r="L788" s="85" t="b">
        <f>IF(VLOOKUP(C788,Projetos!A:L,12,false)=TRUE,TRUE,FALSE)</f>
        <v>1</v>
      </c>
      <c r="M788" s="74">
        <v>31.02923620430495</v>
      </c>
      <c r="N788" s="74">
        <f t="shared" si="1"/>
        <v>0</v>
      </c>
      <c r="O788" s="74" t="b">
        <v>1</v>
      </c>
    </row>
    <row r="789" hidden="1">
      <c r="A789" s="82"/>
      <c r="B789" s="65" t="s">
        <v>177</v>
      </c>
      <c r="C789" s="65" t="s">
        <v>106</v>
      </c>
      <c r="D789" s="65" t="str">
        <f>vlookup(C789,'Classificação p pessoal'!F:G,2,false)</f>
        <v>MProcesso</v>
      </c>
      <c r="E789" s="65" t="s">
        <v>516</v>
      </c>
      <c r="F789" s="83">
        <v>0.4166666666666667</v>
      </c>
      <c r="G789" s="83">
        <v>0.4791666666666667</v>
      </c>
      <c r="H789" s="83">
        <v>0.0625</v>
      </c>
      <c r="I789" s="84">
        <v>44424.0</v>
      </c>
      <c r="J789" s="65" t="b">
        <v>1</v>
      </c>
      <c r="K789" s="65"/>
      <c r="L789" s="85" t="b">
        <f>IF(VLOOKUP(C789,Projetos!A:L,12,false)=TRUE,TRUE,FALSE)</f>
        <v>1</v>
      </c>
      <c r="M789" s="74">
        <v>31.02923620430495</v>
      </c>
      <c r="N789" s="74">
        <f t="shared" si="1"/>
        <v>46.54385431</v>
      </c>
      <c r="O789" s="74" t="b">
        <v>1</v>
      </c>
    </row>
    <row r="790" hidden="1">
      <c r="A790" s="82"/>
      <c r="B790" s="65" t="s">
        <v>177</v>
      </c>
      <c r="C790" s="65" t="s">
        <v>100</v>
      </c>
      <c r="D790" s="65" t="str">
        <f>vlookup(C790,'Classificação p pessoal'!F:G,2,false)</f>
        <v>NP</v>
      </c>
      <c r="E790" s="65" t="s">
        <v>517</v>
      </c>
      <c r="F790" s="83">
        <v>0.4791666666666667</v>
      </c>
      <c r="G790" s="83">
        <v>0.5104166666666666</v>
      </c>
      <c r="H790" s="83">
        <v>0.03125</v>
      </c>
      <c r="I790" s="84">
        <v>44424.0</v>
      </c>
      <c r="J790" s="65" t="b">
        <v>1</v>
      </c>
      <c r="K790" s="65"/>
      <c r="L790" s="85" t="b">
        <f>IF(VLOOKUP(C790,Projetos!A:L,12,false)=TRUE,TRUE,FALSE)</f>
        <v>1</v>
      </c>
      <c r="M790" s="74">
        <v>31.02923620430495</v>
      </c>
      <c r="N790" s="74">
        <f t="shared" si="1"/>
        <v>23.27192715</v>
      </c>
      <c r="O790" s="74" t="b">
        <v>1</v>
      </c>
    </row>
    <row r="791" hidden="1">
      <c r="A791" s="82"/>
      <c r="B791" s="65" t="s">
        <v>177</v>
      </c>
      <c r="C791" s="65" t="s">
        <v>106</v>
      </c>
      <c r="D791" s="65" t="str">
        <f>vlookup(C791,'Classificação p pessoal'!F:G,2,false)</f>
        <v>MProcesso</v>
      </c>
      <c r="E791" s="65" t="s">
        <v>518</v>
      </c>
      <c r="F791" s="83">
        <v>0.3541666666666667</v>
      </c>
      <c r="G791" s="83">
        <v>0.4166666666666667</v>
      </c>
      <c r="H791" s="83">
        <v>0.0625</v>
      </c>
      <c r="I791" s="84">
        <v>44425.0</v>
      </c>
      <c r="J791" s="65" t="b">
        <v>1</v>
      </c>
      <c r="K791" s="65"/>
      <c r="L791" s="85" t="b">
        <f>IF(VLOOKUP(C791,Projetos!A:L,12,false)=TRUE,TRUE,FALSE)</f>
        <v>1</v>
      </c>
      <c r="M791" s="74">
        <v>31.02923620430495</v>
      </c>
      <c r="N791" s="74">
        <f t="shared" si="1"/>
        <v>46.54385431</v>
      </c>
      <c r="O791" s="74" t="b">
        <v>1</v>
      </c>
    </row>
    <row r="792" hidden="1">
      <c r="A792" s="82"/>
      <c r="B792" s="65" t="s">
        <v>177</v>
      </c>
      <c r="C792" s="65" t="s">
        <v>101</v>
      </c>
      <c r="D792" s="65" t="str">
        <f>vlookup(C792,'Classificação p pessoal'!F:G,2,false)</f>
        <v>NP</v>
      </c>
      <c r="E792" s="65" t="s">
        <v>519</v>
      </c>
      <c r="F792" s="83">
        <v>0.4166666666666667</v>
      </c>
      <c r="G792" s="83">
        <v>0.4444444444444444</v>
      </c>
      <c r="H792" s="83">
        <v>0.027777777777777776</v>
      </c>
      <c r="I792" s="84">
        <v>44558.0</v>
      </c>
      <c r="J792" s="65" t="b">
        <v>1</v>
      </c>
      <c r="K792" s="65"/>
      <c r="L792" s="85" t="b">
        <f>IF(VLOOKUP(C792,Projetos!A:L,12,false)=TRUE,TRUE,FALSE)</f>
        <v>1</v>
      </c>
      <c r="M792" s="74">
        <v>31.02923620430495</v>
      </c>
      <c r="N792" s="74">
        <f t="shared" si="1"/>
        <v>20.68615747</v>
      </c>
      <c r="O792" s="74" t="b">
        <v>1</v>
      </c>
    </row>
    <row r="793" hidden="1">
      <c r="A793" s="82"/>
      <c r="B793" s="65" t="s">
        <v>177</v>
      </c>
      <c r="C793" s="65" t="s">
        <v>91</v>
      </c>
      <c r="D793" s="65"/>
      <c r="E793" s="65" t="s">
        <v>520</v>
      </c>
      <c r="F793" s="83">
        <v>0.5833333333333334</v>
      </c>
      <c r="G793" s="83">
        <v>0.625</v>
      </c>
      <c r="H793" s="83">
        <v>0.041666666666666664</v>
      </c>
      <c r="I793" s="84">
        <v>44370.0</v>
      </c>
      <c r="J793" s="65" t="b">
        <v>0</v>
      </c>
      <c r="K793" s="65" t="s">
        <v>150</v>
      </c>
      <c r="L793" s="85" t="b">
        <f>IF(VLOOKUP(C793,Projetos!A:L,12,false)=TRUE,TRUE,FALSE)</f>
        <v>1</v>
      </c>
      <c r="M793" s="74">
        <v>31.02923620430495</v>
      </c>
      <c r="N793" s="74">
        <f t="shared" si="1"/>
        <v>0</v>
      </c>
      <c r="O793" s="74" t="b">
        <v>1</v>
      </c>
    </row>
    <row r="794" hidden="1">
      <c r="A794" s="82"/>
      <c r="B794" s="65" t="s">
        <v>177</v>
      </c>
      <c r="C794" s="65" t="s">
        <v>91</v>
      </c>
      <c r="D794" s="65"/>
      <c r="E794" s="65" t="s">
        <v>521</v>
      </c>
      <c r="F794" s="83">
        <v>0.3541666666666667</v>
      </c>
      <c r="G794" s="83">
        <v>0.3854166666666667</v>
      </c>
      <c r="H794" s="83">
        <v>0.03125</v>
      </c>
      <c r="I794" s="84">
        <v>44426.0</v>
      </c>
      <c r="J794" s="65" t="b">
        <v>0</v>
      </c>
      <c r="K794" s="65" t="s">
        <v>150</v>
      </c>
      <c r="L794" s="85" t="b">
        <f>IF(VLOOKUP(C794,Projetos!A:L,12,false)=TRUE,TRUE,FALSE)</f>
        <v>1</v>
      </c>
      <c r="M794" s="74">
        <v>31.02923620430495</v>
      </c>
      <c r="N794" s="74">
        <f t="shared" si="1"/>
        <v>0</v>
      </c>
      <c r="O794" s="74" t="b">
        <v>1</v>
      </c>
    </row>
    <row r="795" hidden="1">
      <c r="A795" s="82"/>
      <c r="B795" s="65" t="s">
        <v>177</v>
      </c>
      <c r="C795" s="65" t="s">
        <v>91</v>
      </c>
      <c r="D795" s="65" t="str">
        <f>vlookup(C795,'Classificação p pessoal'!F:G,2,false)</f>
        <v>NP</v>
      </c>
      <c r="E795" s="65" t="s">
        <v>522</v>
      </c>
      <c r="F795" s="83">
        <v>0.3854166666666667</v>
      </c>
      <c r="G795" s="83">
        <v>0.5208333333333334</v>
      </c>
      <c r="H795" s="83">
        <v>0.13541666666666666</v>
      </c>
      <c r="I795" s="84">
        <v>44426.0</v>
      </c>
      <c r="J795" s="65" t="b">
        <v>1</v>
      </c>
      <c r="K795" s="65"/>
      <c r="L795" s="85" t="b">
        <f>IF(VLOOKUP(C795,Projetos!A:L,12,false)=TRUE,TRUE,FALSE)</f>
        <v>1</v>
      </c>
      <c r="M795" s="74">
        <v>31.02923620430495</v>
      </c>
      <c r="N795" s="74">
        <f t="shared" si="1"/>
        <v>100.8450177</v>
      </c>
      <c r="O795" s="74" t="b">
        <v>1</v>
      </c>
    </row>
    <row r="796" hidden="1">
      <c r="A796" s="82"/>
      <c r="B796" s="65" t="s">
        <v>177</v>
      </c>
      <c r="C796" s="65" t="s">
        <v>91</v>
      </c>
      <c r="D796" s="65"/>
      <c r="E796" s="65" t="s">
        <v>521</v>
      </c>
      <c r="F796" s="83">
        <v>0.5625</v>
      </c>
      <c r="G796" s="83">
        <v>0.6041666666666666</v>
      </c>
      <c r="H796" s="83">
        <v>0.041666666666666664</v>
      </c>
      <c r="I796" s="84">
        <v>44426.0</v>
      </c>
      <c r="J796" s="65" t="b">
        <v>0</v>
      </c>
      <c r="K796" s="65" t="s">
        <v>150</v>
      </c>
      <c r="L796" s="85" t="b">
        <f>IF(VLOOKUP(C796,Projetos!A:L,12,false)=TRUE,TRUE,FALSE)</f>
        <v>1</v>
      </c>
      <c r="M796" s="74">
        <v>31.02923620430495</v>
      </c>
      <c r="N796" s="74">
        <f t="shared" si="1"/>
        <v>0</v>
      </c>
      <c r="O796" s="74" t="b">
        <v>1</v>
      </c>
    </row>
    <row r="797" hidden="1">
      <c r="A797" s="82"/>
      <c r="B797" s="65" t="s">
        <v>177</v>
      </c>
      <c r="C797" s="65" t="s">
        <v>100</v>
      </c>
      <c r="D797" s="65" t="str">
        <f>vlookup(C797,'Classificação p pessoal'!F:G,2,false)</f>
        <v>NP</v>
      </c>
      <c r="E797" s="65" t="s">
        <v>523</v>
      </c>
      <c r="F797" s="83">
        <v>0.3541666666666667</v>
      </c>
      <c r="G797" s="83">
        <v>0.3645833333333333</v>
      </c>
      <c r="H797" s="83">
        <v>0.010416666666666666</v>
      </c>
      <c r="I797" s="84">
        <v>44427.0</v>
      </c>
      <c r="J797" s="65" t="b">
        <v>1</v>
      </c>
      <c r="K797" s="65"/>
      <c r="L797" s="85" t="b">
        <f>IF(VLOOKUP(C797,Projetos!A:L,12,false)=TRUE,TRUE,FALSE)</f>
        <v>1</v>
      </c>
      <c r="M797" s="74">
        <v>31.02923620430495</v>
      </c>
      <c r="N797" s="74">
        <f t="shared" si="1"/>
        <v>7.757309051</v>
      </c>
      <c r="O797" s="74" t="b">
        <v>1</v>
      </c>
    </row>
    <row r="798" hidden="1">
      <c r="A798" s="82"/>
      <c r="B798" s="65" t="s">
        <v>469</v>
      </c>
      <c r="C798" s="65" t="s">
        <v>118</v>
      </c>
      <c r="D798" s="65" t="str">
        <f>vlookup(C798,'Classificação p pessoal'!F:G,2,false)</f>
        <v>MProduto</v>
      </c>
      <c r="E798" s="65" t="s">
        <v>524</v>
      </c>
      <c r="F798" s="83">
        <v>0.375</v>
      </c>
      <c r="G798" s="83">
        <v>0.75</v>
      </c>
      <c r="H798" s="83">
        <v>0.375</v>
      </c>
      <c r="I798" s="84">
        <v>44347.0</v>
      </c>
      <c r="J798" s="65" t="b">
        <v>1</v>
      </c>
      <c r="K798" s="65"/>
      <c r="L798" s="85" t="b">
        <f>IF(VLOOKUP(C798,Projetos!A:L,12,false)=TRUE,TRUE,FALSE)</f>
        <v>1</v>
      </c>
      <c r="M798" s="74">
        <v>37.50928062469937</v>
      </c>
      <c r="N798" s="74">
        <f t="shared" si="1"/>
        <v>337.5835256</v>
      </c>
      <c r="O798" s="74" t="b">
        <v>1</v>
      </c>
    </row>
    <row r="799" hidden="1">
      <c r="A799" s="82"/>
      <c r="B799" s="65" t="s">
        <v>177</v>
      </c>
      <c r="C799" s="65" t="s">
        <v>106</v>
      </c>
      <c r="D799" s="65" t="str">
        <f>vlookup(C799,'Classificação p pessoal'!F:G,2,false)</f>
        <v>MProcesso</v>
      </c>
      <c r="E799" s="65" t="s">
        <v>507</v>
      </c>
      <c r="F799" s="83">
        <v>0.3541666666666667</v>
      </c>
      <c r="G799" s="83">
        <v>0.4166666666666667</v>
      </c>
      <c r="H799" s="83">
        <v>0.0625</v>
      </c>
      <c r="I799" s="84">
        <v>44428.0</v>
      </c>
      <c r="J799" s="65" t="b">
        <v>1</v>
      </c>
      <c r="K799" s="65"/>
      <c r="L799" s="85" t="b">
        <f>IF(VLOOKUP(C799,Projetos!A:L,12,false)=TRUE,TRUE,FALSE)</f>
        <v>1</v>
      </c>
      <c r="M799" s="74">
        <v>31.02923620430495</v>
      </c>
      <c r="N799" s="74">
        <f t="shared" si="1"/>
        <v>46.54385431</v>
      </c>
      <c r="O799" s="74" t="b">
        <v>1</v>
      </c>
    </row>
    <row r="800" hidden="1">
      <c r="A800" s="82"/>
      <c r="B800" s="65" t="s">
        <v>177</v>
      </c>
      <c r="C800" s="65" t="s">
        <v>106</v>
      </c>
      <c r="D800" s="65" t="str">
        <f>vlookup(C800,'Classificação p pessoal'!F:G,2,false)</f>
        <v>MProcesso</v>
      </c>
      <c r="E800" s="65" t="s">
        <v>507</v>
      </c>
      <c r="F800" s="83">
        <v>0.4166666666666667</v>
      </c>
      <c r="G800" s="83">
        <v>0.4791666666666667</v>
      </c>
      <c r="H800" s="83">
        <v>0.0625</v>
      </c>
      <c r="I800" s="84">
        <v>44428.0</v>
      </c>
      <c r="J800" s="65" t="b">
        <v>1</v>
      </c>
      <c r="K800" s="65"/>
      <c r="L800" s="85" t="b">
        <f>IF(VLOOKUP(C800,Projetos!A:L,12,false)=TRUE,TRUE,FALSE)</f>
        <v>1</v>
      </c>
      <c r="M800" s="74">
        <v>31.02923620430495</v>
      </c>
      <c r="N800" s="74">
        <f t="shared" si="1"/>
        <v>46.54385431</v>
      </c>
      <c r="O800" s="74" t="b">
        <v>1</v>
      </c>
    </row>
    <row r="801" hidden="1">
      <c r="A801" s="82"/>
      <c r="B801" s="65" t="s">
        <v>177</v>
      </c>
      <c r="C801" s="65" t="s">
        <v>106</v>
      </c>
      <c r="D801" s="65" t="str">
        <f>vlookup(C801,'Classificação p pessoal'!F:G,2,false)</f>
        <v>MProcesso</v>
      </c>
      <c r="E801" s="65" t="s">
        <v>507</v>
      </c>
      <c r="F801" s="83">
        <v>0.4791666666666667</v>
      </c>
      <c r="G801" s="83">
        <v>0.5416666666666666</v>
      </c>
      <c r="H801" s="83">
        <v>0.0625</v>
      </c>
      <c r="I801" s="84">
        <v>44428.0</v>
      </c>
      <c r="J801" s="65" t="b">
        <v>1</v>
      </c>
      <c r="K801" s="65"/>
      <c r="L801" s="85" t="b">
        <f>IF(VLOOKUP(C801,Projetos!A:L,12,false)=TRUE,TRUE,FALSE)</f>
        <v>1</v>
      </c>
      <c r="M801" s="74">
        <v>31.02923620430495</v>
      </c>
      <c r="N801" s="74">
        <f t="shared" si="1"/>
        <v>46.54385431</v>
      </c>
      <c r="O801" s="74" t="b">
        <v>1</v>
      </c>
    </row>
    <row r="802" hidden="1">
      <c r="A802" s="82"/>
      <c r="B802" s="65" t="s">
        <v>177</v>
      </c>
      <c r="C802" s="65" t="s">
        <v>132</v>
      </c>
      <c r="D802" s="65"/>
      <c r="E802" s="65" t="s">
        <v>525</v>
      </c>
      <c r="F802" s="83">
        <v>0.6666666666666666</v>
      </c>
      <c r="G802" s="83">
        <v>0.6875</v>
      </c>
      <c r="H802" s="83">
        <v>0.020833333333333332</v>
      </c>
      <c r="I802" s="84">
        <v>44428.0</v>
      </c>
      <c r="J802" s="65" t="b">
        <v>0</v>
      </c>
      <c r="K802" s="65" t="s">
        <v>150</v>
      </c>
      <c r="L802" s="85" t="b">
        <f>IF(VLOOKUP(C802,Projetos!A:L,12,false)=TRUE,TRUE,FALSE)</f>
        <v>0</v>
      </c>
      <c r="M802" s="74">
        <v>31.02923620430495</v>
      </c>
      <c r="N802" s="74">
        <f t="shared" si="1"/>
        <v>0</v>
      </c>
      <c r="O802" s="74" t="b">
        <v>0</v>
      </c>
    </row>
    <row r="803" hidden="1">
      <c r="A803" s="82"/>
      <c r="B803" s="65" t="s">
        <v>495</v>
      </c>
      <c r="C803" s="65" t="s">
        <v>108</v>
      </c>
      <c r="D803" s="65"/>
      <c r="E803" s="65" t="s">
        <v>526</v>
      </c>
      <c r="F803" s="83">
        <v>0.4583333333333333</v>
      </c>
      <c r="G803" s="83">
        <v>0.5520833333333334</v>
      </c>
      <c r="H803" s="83">
        <v>0.09375</v>
      </c>
      <c r="I803" s="84">
        <v>44453.0</v>
      </c>
      <c r="J803" s="65" t="b">
        <v>0</v>
      </c>
      <c r="K803" s="65" t="s">
        <v>150</v>
      </c>
      <c r="L803" s="85" t="b">
        <f>IF(VLOOKUP(C803,Projetos!A:L,12,false)=TRUE,TRUE,FALSE)</f>
        <v>1</v>
      </c>
      <c r="M803" s="74">
        <v>73.7079846079846</v>
      </c>
      <c r="N803" s="74">
        <f t="shared" si="1"/>
        <v>0</v>
      </c>
      <c r="O803" s="74" t="b">
        <v>1</v>
      </c>
    </row>
    <row r="804" hidden="1">
      <c r="A804" s="82"/>
      <c r="B804" s="65" t="s">
        <v>177</v>
      </c>
      <c r="C804" s="65" t="s">
        <v>118</v>
      </c>
      <c r="D804" s="65" t="str">
        <f>vlookup(C804,'Classificação p pessoal'!F:G,2,false)</f>
        <v>MProduto</v>
      </c>
      <c r="E804" s="65" t="s">
        <v>527</v>
      </c>
      <c r="F804" s="83">
        <v>0.3541666666666667</v>
      </c>
      <c r="G804" s="83">
        <v>0.375</v>
      </c>
      <c r="H804" s="83">
        <v>0.020833333333333332</v>
      </c>
      <c r="I804" s="84">
        <v>44431.0</v>
      </c>
      <c r="J804" s="65" t="b">
        <v>1</v>
      </c>
      <c r="K804" s="65"/>
      <c r="L804" s="85" t="b">
        <f>IF(VLOOKUP(C804,Projetos!A:L,12,false)=TRUE,TRUE,FALSE)</f>
        <v>1</v>
      </c>
      <c r="M804" s="74">
        <v>31.02923620430495</v>
      </c>
      <c r="N804" s="74">
        <f t="shared" si="1"/>
        <v>15.5146181</v>
      </c>
      <c r="O804" s="74" t="b">
        <v>1</v>
      </c>
    </row>
    <row r="805" hidden="1">
      <c r="A805" s="82"/>
      <c r="B805" s="65" t="s">
        <v>177</v>
      </c>
      <c r="C805" s="65" t="s">
        <v>100</v>
      </c>
      <c r="D805" s="65" t="str">
        <f>vlookup(C805,'Classificação p pessoal'!F:G,2,false)</f>
        <v>NP</v>
      </c>
      <c r="E805" s="65" t="s">
        <v>528</v>
      </c>
      <c r="F805" s="83">
        <v>0.3541666666666667</v>
      </c>
      <c r="G805" s="83">
        <v>0.3645833333333333</v>
      </c>
      <c r="H805" s="83">
        <v>0.010416666666666666</v>
      </c>
      <c r="I805" s="84">
        <v>44439.0</v>
      </c>
      <c r="J805" s="65" t="b">
        <v>1</v>
      </c>
      <c r="K805" s="65"/>
      <c r="L805" s="85" t="b">
        <f>IF(VLOOKUP(C805,Projetos!A:L,12,false)=TRUE,TRUE,FALSE)</f>
        <v>1</v>
      </c>
      <c r="M805" s="74">
        <v>31.02923620430495</v>
      </c>
      <c r="N805" s="74">
        <f t="shared" si="1"/>
        <v>7.757309051</v>
      </c>
      <c r="O805" s="74" t="b">
        <v>1</v>
      </c>
    </row>
    <row r="806" hidden="1">
      <c r="A806" s="82"/>
      <c r="B806" s="65" t="s">
        <v>467</v>
      </c>
      <c r="C806" s="65" t="s">
        <v>92</v>
      </c>
      <c r="D806" s="65" t="str">
        <f>vlookup(C806,'Classificação p pessoal'!F:G,2,false)</f>
        <v/>
      </c>
      <c r="E806" s="65" t="s">
        <v>529</v>
      </c>
      <c r="F806" s="83">
        <v>0.5833333333333334</v>
      </c>
      <c r="G806" s="83">
        <v>0.75</v>
      </c>
      <c r="H806" s="83">
        <v>0.16666666666666666</v>
      </c>
      <c r="I806" s="84">
        <v>44232.0</v>
      </c>
      <c r="J806" s="65" t="b">
        <v>1</v>
      </c>
      <c r="K806" s="65"/>
      <c r="L806" s="85" t="b">
        <f>IF(VLOOKUP(C806,Projetos!A:L,12,false)=TRUE,TRUE,FALSE)</f>
        <v>1</v>
      </c>
      <c r="M806" s="74">
        <v>52.1518759018759</v>
      </c>
      <c r="N806" s="74">
        <f t="shared" si="1"/>
        <v>208.6075036</v>
      </c>
      <c r="O806" s="74" t="b">
        <v>1</v>
      </c>
    </row>
    <row r="807" hidden="1">
      <c r="A807" s="82"/>
      <c r="B807" s="65" t="s">
        <v>177</v>
      </c>
      <c r="C807" s="65" t="s">
        <v>100</v>
      </c>
      <c r="D807" s="65" t="str">
        <f>vlookup(C807,'Classificação p pessoal'!F:G,2,false)</f>
        <v>NP</v>
      </c>
      <c r="E807" s="65" t="s">
        <v>530</v>
      </c>
      <c r="F807" s="83">
        <v>0.5625</v>
      </c>
      <c r="G807" s="83">
        <v>0.5833333333333334</v>
      </c>
      <c r="H807" s="83">
        <v>0.020833333333333332</v>
      </c>
      <c r="I807" s="84">
        <v>44431.0</v>
      </c>
      <c r="J807" s="65" t="b">
        <v>1</v>
      </c>
      <c r="K807" s="65"/>
      <c r="L807" s="85" t="b">
        <f>IF(VLOOKUP(C807,Projetos!A:L,12,false)=TRUE,TRUE,FALSE)</f>
        <v>1</v>
      </c>
      <c r="M807" s="74">
        <v>31.02923620430495</v>
      </c>
      <c r="N807" s="74">
        <f t="shared" si="1"/>
        <v>15.5146181</v>
      </c>
      <c r="O807" s="74" t="b">
        <v>1</v>
      </c>
    </row>
    <row r="808" hidden="1">
      <c r="A808" s="82"/>
      <c r="B808" s="65" t="s">
        <v>411</v>
      </c>
      <c r="C808" s="65" t="s">
        <v>117</v>
      </c>
      <c r="D808" s="65"/>
      <c r="E808" s="65" t="s">
        <v>531</v>
      </c>
      <c r="F808" s="83">
        <v>0.34375</v>
      </c>
      <c r="G808" s="83">
        <v>0.4583333333333333</v>
      </c>
      <c r="H808" s="83">
        <v>0.11458333333333333</v>
      </c>
      <c r="I808" s="84">
        <v>44463.0</v>
      </c>
      <c r="J808" s="65" t="b">
        <v>0</v>
      </c>
      <c r="K808" s="65" t="s">
        <v>150</v>
      </c>
      <c r="L808" s="85" t="b">
        <f>IF(VLOOKUP(C808,Projetos!A:L,12,false)=TRUE,TRUE,FALSE)</f>
        <v>1</v>
      </c>
      <c r="M808" s="74">
        <v>52.48434411075036</v>
      </c>
      <c r="N808" s="74">
        <f t="shared" si="1"/>
        <v>0</v>
      </c>
      <c r="O808" s="74" t="b">
        <v>1</v>
      </c>
    </row>
    <row r="809" hidden="1">
      <c r="A809" s="82"/>
      <c r="B809" s="65" t="s">
        <v>411</v>
      </c>
      <c r="C809" s="65" t="s">
        <v>130</v>
      </c>
      <c r="D809" s="65" t="str">
        <f>vlookup(C809,'Classificação p pessoal'!F:G,2,false)</f>
        <v>NP</v>
      </c>
      <c r="E809" s="65" t="s">
        <v>532</v>
      </c>
      <c r="F809" s="83">
        <v>0.375</v>
      </c>
      <c r="G809" s="83">
        <v>0.4166666666666667</v>
      </c>
      <c r="H809" s="83">
        <v>0.041666666666666664</v>
      </c>
      <c r="I809" s="84">
        <v>44256.0</v>
      </c>
      <c r="J809" s="65" t="b">
        <v>1</v>
      </c>
      <c r="K809" s="65"/>
      <c r="L809" s="85" t="b">
        <f>IF(VLOOKUP(C809,Projetos!A:L,12,false)=TRUE,TRUE,FALSE)</f>
        <v>1</v>
      </c>
      <c r="M809" s="74">
        <v>52.48434411075036</v>
      </c>
      <c r="N809" s="74">
        <f t="shared" si="1"/>
        <v>52.48434411</v>
      </c>
      <c r="O809" s="74" t="b">
        <v>1</v>
      </c>
    </row>
    <row r="810" hidden="1">
      <c r="A810" s="82"/>
      <c r="B810" s="65" t="s">
        <v>177</v>
      </c>
      <c r="C810" s="65" t="s">
        <v>118</v>
      </c>
      <c r="D810" s="65"/>
      <c r="E810" s="65" t="s">
        <v>533</v>
      </c>
      <c r="F810" s="83">
        <v>0.6041666666666666</v>
      </c>
      <c r="G810" s="83">
        <v>0.6458333333333334</v>
      </c>
      <c r="H810" s="83">
        <v>0.041666666666666664</v>
      </c>
      <c r="I810" s="84">
        <v>44425.0</v>
      </c>
      <c r="J810" s="65" t="b">
        <v>0</v>
      </c>
      <c r="K810" s="65" t="s">
        <v>150</v>
      </c>
      <c r="L810" s="85" t="b">
        <f>IF(VLOOKUP(C810,Projetos!A:L,12,false)=TRUE,TRUE,FALSE)</f>
        <v>1</v>
      </c>
      <c r="M810" s="74">
        <v>31.02923620430495</v>
      </c>
      <c r="N810" s="74">
        <f t="shared" si="1"/>
        <v>0</v>
      </c>
      <c r="O810" s="74" t="b">
        <v>1</v>
      </c>
    </row>
    <row r="811" hidden="1">
      <c r="A811" s="82"/>
      <c r="B811" s="65" t="s">
        <v>177</v>
      </c>
      <c r="C811" s="65" t="s">
        <v>106</v>
      </c>
      <c r="D811" s="65" t="str">
        <f>vlookup(C811,'Classificação p pessoal'!F:G,2,false)</f>
        <v>MProcesso</v>
      </c>
      <c r="E811" s="65" t="s">
        <v>534</v>
      </c>
      <c r="F811" s="83">
        <v>0.3645833333333333</v>
      </c>
      <c r="G811" s="83">
        <v>0.3958333333333333</v>
      </c>
      <c r="H811" s="83">
        <v>0.03125</v>
      </c>
      <c r="I811" s="84">
        <v>44427.0</v>
      </c>
      <c r="J811" s="65" t="b">
        <v>1</v>
      </c>
      <c r="K811" s="65"/>
      <c r="L811" s="85" t="b">
        <f>IF(VLOOKUP(C811,Projetos!A:L,12,false)=TRUE,TRUE,FALSE)</f>
        <v>1</v>
      </c>
      <c r="M811" s="74">
        <v>31.02923620430495</v>
      </c>
      <c r="N811" s="74">
        <f t="shared" si="1"/>
        <v>23.27192715</v>
      </c>
      <c r="O811" s="74" t="b">
        <v>1</v>
      </c>
    </row>
    <row r="812" hidden="1">
      <c r="A812" s="82"/>
      <c r="B812" s="65" t="s">
        <v>177</v>
      </c>
      <c r="C812" s="65" t="s">
        <v>106</v>
      </c>
      <c r="D812" s="65" t="str">
        <f>vlookup(C812,'Classificação p pessoal'!F:G,2,false)</f>
        <v>MProcesso</v>
      </c>
      <c r="E812" s="65" t="s">
        <v>535</v>
      </c>
      <c r="F812" s="83">
        <v>0.5833333333333334</v>
      </c>
      <c r="G812" s="83">
        <v>0.6041666666666666</v>
      </c>
      <c r="H812" s="83">
        <v>0.020833333333333332</v>
      </c>
      <c r="I812" s="84">
        <v>44431.0</v>
      </c>
      <c r="J812" s="65" t="b">
        <v>1</v>
      </c>
      <c r="K812" s="65"/>
      <c r="L812" s="85" t="b">
        <f>IF(VLOOKUP(C812,Projetos!A:L,12,false)=TRUE,TRUE,FALSE)</f>
        <v>1</v>
      </c>
      <c r="M812" s="74">
        <v>31.02923620430495</v>
      </c>
      <c r="N812" s="74">
        <f t="shared" si="1"/>
        <v>15.5146181</v>
      </c>
      <c r="O812" s="74" t="b">
        <v>1</v>
      </c>
    </row>
    <row r="813" hidden="1">
      <c r="A813" s="82"/>
      <c r="B813" s="65" t="s">
        <v>177</v>
      </c>
      <c r="C813" s="65" t="s">
        <v>106</v>
      </c>
      <c r="D813" s="65"/>
      <c r="E813" s="65" t="s">
        <v>536</v>
      </c>
      <c r="F813" s="83">
        <v>0.3541666666666667</v>
      </c>
      <c r="G813" s="83">
        <v>0.3958333333333333</v>
      </c>
      <c r="H813" s="83">
        <v>0.041666666666666664</v>
      </c>
      <c r="I813" s="84">
        <v>44432.0</v>
      </c>
      <c r="J813" s="65" t="b">
        <v>0</v>
      </c>
      <c r="K813" s="65" t="s">
        <v>150</v>
      </c>
      <c r="L813" s="85" t="b">
        <f>IF(VLOOKUP(C813,Projetos!A:L,12,false)=TRUE,TRUE,FALSE)</f>
        <v>1</v>
      </c>
      <c r="M813" s="74">
        <v>31.02923620430495</v>
      </c>
      <c r="N813" s="74">
        <f t="shared" si="1"/>
        <v>0</v>
      </c>
      <c r="O813" s="74" t="b">
        <v>1</v>
      </c>
    </row>
    <row r="814" hidden="1">
      <c r="A814" s="82"/>
      <c r="B814" s="65" t="s">
        <v>177</v>
      </c>
      <c r="C814" s="65" t="s">
        <v>100</v>
      </c>
      <c r="D814" s="65"/>
      <c r="E814" s="65" t="s">
        <v>537</v>
      </c>
      <c r="F814" s="83">
        <v>0.5833333333333334</v>
      </c>
      <c r="G814" s="83">
        <v>0.6041666666666666</v>
      </c>
      <c r="H814" s="83">
        <v>0.020833333333333332</v>
      </c>
      <c r="I814" s="84">
        <v>44484.0</v>
      </c>
      <c r="J814" s="65" t="b">
        <v>0</v>
      </c>
      <c r="K814" s="65" t="s">
        <v>150</v>
      </c>
      <c r="L814" s="85" t="b">
        <f>IF(VLOOKUP(C814,Projetos!A:L,12,false)=TRUE,TRUE,FALSE)</f>
        <v>1</v>
      </c>
      <c r="M814" s="74">
        <v>31.02923620430495</v>
      </c>
      <c r="N814" s="74">
        <f t="shared" si="1"/>
        <v>0</v>
      </c>
      <c r="O814" s="74" t="b">
        <v>1</v>
      </c>
    </row>
    <row r="815" hidden="1">
      <c r="A815" s="82"/>
      <c r="B815" s="65" t="s">
        <v>177</v>
      </c>
      <c r="C815" s="65" t="s">
        <v>118</v>
      </c>
      <c r="D815" s="65" t="str">
        <f>vlookup(C815,'Classificação p pessoal'!F:G,2,false)</f>
        <v>MProduto</v>
      </c>
      <c r="E815" s="65" t="s">
        <v>538</v>
      </c>
      <c r="F815" s="83">
        <v>0.5833333333333334</v>
      </c>
      <c r="G815" s="83">
        <v>0.625</v>
      </c>
      <c r="H815" s="83">
        <v>0.041666666666666664</v>
      </c>
      <c r="I815" s="84">
        <v>44433.0</v>
      </c>
      <c r="J815" s="65" t="b">
        <v>1</v>
      </c>
      <c r="K815" s="65"/>
      <c r="L815" s="85" t="b">
        <f>IF(VLOOKUP(C815,Projetos!A:L,12,false)=TRUE,TRUE,FALSE)</f>
        <v>1</v>
      </c>
      <c r="M815" s="74">
        <v>31.02923620430495</v>
      </c>
      <c r="N815" s="74">
        <f t="shared" si="1"/>
        <v>31.0292362</v>
      </c>
      <c r="O815" s="74" t="b">
        <v>1</v>
      </c>
    </row>
    <row r="816" hidden="1">
      <c r="A816" s="82"/>
      <c r="B816" s="65" t="s">
        <v>177</v>
      </c>
      <c r="C816" s="65" t="s">
        <v>92</v>
      </c>
      <c r="D816" s="65" t="str">
        <f>vlookup(C816,'Classificação p pessoal'!F:G,2,false)</f>
        <v/>
      </c>
      <c r="E816" s="65" t="s">
        <v>539</v>
      </c>
      <c r="F816" s="83">
        <v>0.6666666666666666</v>
      </c>
      <c r="G816" s="83">
        <v>0.75</v>
      </c>
      <c r="H816" s="83">
        <v>0.08333333333333333</v>
      </c>
      <c r="I816" s="84">
        <v>44433.0</v>
      </c>
      <c r="J816" s="65" t="b">
        <v>1</v>
      </c>
      <c r="K816" s="65"/>
      <c r="L816" s="85" t="b">
        <f>IF(VLOOKUP(C816,Projetos!A:L,12,false)=TRUE,TRUE,FALSE)</f>
        <v>1</v>
      </c>
      <c r="M816" s="74">
        <v>31.02923620430495</v>
      </c>
      <c r="N816" s="74">
        <f t="shared" si="1"/>
        <v>62.05847241</v>
      </c>
      <c r="O816" s="74" t="b">
        <v>1</v>
      </c>
    </row>
    <row r="817" hidden="1">
      <c r="A817" s="82"/>
      <c r="B817" s="65" t="s">
        <v>177</v>
      </c>
      <c r="C817" s="65" t="s">
        <v>130</v>
      </c>
      <c r="D817" s="65" t="str">
        <f>vlookup(C817,'Classificação p pessoal'!F:G,2,false)</f>
        <v>NP</v>
      </c>
      <c r="E817" s="65" t="s">
        <v>540</v>
      </c>
      <c r="F817" s="83">
        <v>0.3645833333333333</v>
      </c>
      <c r="G817" s="83">
        <v>0.4479166666666667</v>
      </c>
      <c r="H817" s="83">
        <v>0.08333333333333333</v>
      </c>
      <c r="I817" s="84">
        <v>44433.0</v>
      </c>
      <c r="J817" s="65" t="b">
        <v>1</v>
      </c>
      <c r="K817" s="65"/>
      <c r="L817" s="85" t="b">
        <f>IF(VLOOKUP(C817,Projetos!A:L,12,false)=TRUE,TRUE,FALSE)</f>
        <v>1</v>
      </c>
      <c r="M817" s="74">
        <v>31.02923620430495</v>
      </c>
      <c r="N817" s="74">
        <f t="shared" si="1"/>
        <v>62.05847241</v>
      </c>
      <c r="O817" s="74" t="b">
        <v>1</v>
      </c>
    </row>
    <row r="818" hidden="1">
      <c r="A818" s="82"/>
      <c r="B818" s="65" t="s">
        <v>495</v>
      </c>
      <c r="C818" s="65" t="s">
        <v>117</v>
      </c>
      <c r="D818" s="65"/>
      <c r="E818" s="65" t="s">
        <v>541</v>
      </c>
      <c r="F818" s="83">
        <v>0.5</v>
      </c>
      <c r="G818" s="83">
        <v>0.5416666666666666</v>
      </c>
      <c r="H818" s="83">
        <v>0.041666666666666664</v>
      </c>
      <c r="I818" s="84">
        <v>44337.0</v>
      </c>
      <c r="J818" s="65" t="b">
        <v>0</v>
      </c>
      <c r="K818" s="65"/>
      <c r="L818" s="85" t="b">
        <f>IF(VLOOKUP(C818,Projetos!A:L,12,false)=TRUE,TRUE,FALSE)</f>
        <v>1</v>
      </c>
      <c r="M818" s="74">
        <v>73.7079846079846</v>
      </c>
      <c r="N818" s="74">
        <f t="shared" si="1"/>
        <v>0</v>
      </c>
      <c r="O818" s="74" t="b">
        <v>1</v>
      </c>
    </row>
    <row r="819" hidden="1">
      <c r="A819" s="82"/>
      <c r="B819" s="65" t="s">
        <v>177</v>
      </c>
      <c r="C819" s="65" t="s">
        <v>100</v>
      </c>
      <c r="D819" s="65" t="str">
        <f>vlookup(C819,'Classificação p pessoal'!F:G,2,false)</f>
        <v>NP</v>
      </c>
      <c r="E819" s="65" t="s">
        <v>542</v>
      </c>
      <c r="F819" s="83">
        <v>0.3541666666666667</v>
      </c>
      <c r="G819" s="83">
        <v>0.375</v>
      </c>
      <c r="H819" s="83">
        <v>0.020833333333333332</v>
      </c>
      <c r="I819" s="84">
        <v>44434.0</v>
      </c>
      <c r="J819" s="65" t="b">
        <v>1</v>
      </c>
      <c r="K819" s="65"/>
      <c r="L819" s="85" t="b">
        <f>IF(VLOOKUP(C819,Projetos!A:L,12,false)=TRUE,TRUE,FALSE)</f>
        <v>1</v>
      </c>
      <c r="M819" s="74">
        <v>31.02923620430495</v>
      </c>
      <c r="N819" s="74">
        <f t="shared" si="1"/>
        <v>15.5146181</v>
      </c>
      <c r="O819" s="74" t="b">
        <v>1</v>
      </c>
    </row>
    <row r="820" hidden="1">
      <c r="A820" s="82"/>
      <c r="B820" s="65" t="s">
        <v>495</v>
      </c>
      <c r="C820" s="65" t="s">
        <v>92</v>
      </c>
      <c r="D820" s="65"/>
      <c r="E820" s="65" t="s">
        <v>543</v>
      </c>
      <c r="F820" s="83">
        <v>0.7083333333333334</v>
      </c>
      <c r="G820" s="83">
        <v>0.75</v>
      </c>
      <c r="H820" s="83">
        <v>0.041666666666666664</v>
      </c>
      <c r="I820" s="84">
        <v>44370.0</v>
      </c>
      <c r="J820" s="65" t="b">
        <v>0</v>
      </c>
      <c r="K820" s="65"/>
      <c r="L820" s="85" t="b">
        <f>IF(VLOOKUP(C820,Projetos!A:L,12,false)=TRUE,TRUE,FALSE)</f>
        <v>1</v>
      </c>
      <c r="M820" s="74">
        <v>73.7079846079846</v>
      </c>
      <c r="N820" s="74">
        <f t="shared" si="1"/>
        <v>0</v>
      </c>
      <c r="O820" s="74" t="b">
        <v>1</v>
      </c>
    </row>
    <row r="821" hidden="1">
      <c r="A821" s="82"/>
      <c r="B821" s="65" t="s">
        <v>177</v>
      </c>
      <c r="C821" s="65" t="s">
        <v>101</v>
      </c>
      <c r="D821" s="65" t="str">
        <f>vlookup(C821,'Classificação p pessoal'!F:G,2,false)</f>
        <v>NP</v>
      </c>
      <c r="E821" s="65" t="s">
        <v>544</v>
      </c>
      <c r="F821" s="83">
        <v>0.34375</v>
      </c>
      <c r="G821" s="83">
        <v>0.3645833333333333</v>
      </c>
      <c r="H821" s="83">
        <v>0.020833333333333332</v>
      </c>
      <c r="I821" s="84">
        <v>44435.0</v>
      </c>
      <c r="J821" s="65" t="b">
        <v>1</v>
      </c>
      <c r="K821" s="65"/>
      <c r="L821" s="85" t="b">
        <f>IF(VLOOKUP(C821,Projetos!A:L,12,false)=TRUE,TRUE,FALSE)</f>
        <v>1</v>
      </c>
      <c r="M821" s="74">
        <v>31.02923620430495</v>
      </c>
      <c r="N821" s="74">
        <f t="shared" si="1"/>
        <v>15.5146181</v>
      </c>
      <c r="O821" s="74" t="b">
        <v>1</v>
      </c>
    </row>
    <row r="822" hidden="1">
      <c r="A822" s="82"/>
      <c r="B822" s="65" t="s">
        <v>177</v>
      </c>
      <c r="C822" s="65" t="s">
        <v>106</v>
      </c>
      <c r="D822" s="65" t="str">
        <f>vlookup(C822,'Classificação p pessoal'!F:G,2,false)</f>
        <v>MProcesso</v>
      </c>
      <c r="E822" s="65" t="s">
        <v>545</v>
      </c>
      <c r="F822" s="83">
        <v>0.7291666666666666</v>
      </c>
      <c r="G822" s="83">
        <v>0.75</v>
      </c>
      <c r="H822" s="83">
        <v>0.020833333333333332</v>
      </c>
      <c r="I822" s="84">
        <v>44435.0</v>
      </c>
      <c r="J822" s="65" t="b">
        <v>1</v>
      </c>
      <c r="K822" s="65"/>
      <c r="L822" s="85" t="b">
        <f>IF(VLOOKUP(C822,Projetos!A:L,12,false)=TRUE,TRUE,FALSE)</f>
        <v>1</v>
      </c>
      <c r="M822" s="74">
        <v>31.02923620430495</v>
      </c>
      <c r="N822" s="74">
        <f t="shared" si="1"/>
        <v>15.5146181</v>
      </c>
      <c r="O822" s="74" t="b">
        <v>1</v>
      </c>
    </row>
    <row r="823" hidden="1">
      <c r="A823" s="82"/>
      <c r="B823" s="65" t="s">
        <v>177</v>
      </c>
      <c r="C823" s="65" t="s">
        <v>130</v>
      </c>
      <c r="D823" s="65" t="str">
        <f>vlookup(C823,'Classificação p pessoal'!F:G,2,false)</f>
        <v>NP</v>
      </c>
      <c r="E823" s="65" t="s">
        <v>546</v>
      </c>
      <c r="F823" s="83">
        <v>0.3645833333333333</v>
      </c>
      <c r="G823" s="83">
        <v>0.4583333333333333</v>
      </c>
      <c r="H823" s="83">
        <v>0.09375</v>
      </c>
      <c r="I823" s="84">
        <v>44435.0</v>
      </c>
      <c r="J823" s="65" t="b">
        <v>1</v>
      </c>
      <c r="K823" s="65"/>
      <c r="L823" s="85" t="b">
        <f>IF(VLOOKUP(C823,Projetos!A:L,12,false)=TRUE,TRUE,FALSE)</f>
        <v>1</v>
      </c>
      <c r="M823" s="74">
        <v>31.02923620430495</v>
      </c>
      <c r="N823" s="74">
        <f t="shared" si="1"/>
        <v>69.81578146</v>
      </c>
      <c r="O823" s="74" t="b">
        <v>1</v>
      </c>
    </row>
    <row r="824" hidden="1">
      <c r="A824" s="82"/>
      <c r="B824" s="65" t="s">
        <v>177</v>
      </c>
      <c r="C824" s="65" t="s">
        <v>106</v>
      </c>
      <c r="D824" s="65" t="str">
        <f>vlookup(C824,'Classificação p pessoal'!F:G,2,false)</f>
        <v>MProcesso</v>
      </c>
      <c r="E824" s="65" t="s">
        <v>547</v>
      </c>
      <c r="F824" s="83">
        <v>0.3854166666666667</v>
      </c>
      <c r="G824" s="83">
        <v>0.4479166666666667</v>
      </c>
      <c r="H824" s="83">
        <v>0.0625</v>
      </c>
      <c r="I824" s="84">
        <v>44434.0</v>
      </c>
      <c r="J824" s="65" t="b">
        <v>1</v>
      </c>
      <c r="K824" s="65"/>
      <c r="L824" s="85" t="b">
        <f>IF(VLOOKUP(C824,Projetos!A:L,12,false)=TRUE,TRUE,FALSE)</f>
        <v>1</v>
      </c>
      <c r="M824" s="74">
        <v>31.02923620430495</v>
      </c>
      <c r="N824" s="74">
        <f t="shared" si="1"/>
        <v>46.54385431</v>
      </c>
      <c r="O824" s="74" t="b">
        <v>1</v>
      </c>
    </row>
    <row r="825" hidden="1">
      <c r="A825" s="82"/>
      <c r="B825" s="65" t="s">
        <v>177</v>
      </c>
      <c r="C825" s="65" t="s">
        <v>106</v>
      </c>
      <c r="D825" s="65" t="str">
        <f>vlookup(C825,'Classificação p pessoal'!F:G,2,false)</f>
        <v>MProcesso</v>
      </c>
      <c r="E825" s="65" t="s">
        <v>548</v>
      </c>
      <c r="F825" s="83">
        <v>0.625</v>
      </c>
      <c r="G825" s="83">
        <v>0.6666666666666666</v>
      </c>
      <c r="H825" s="83">
        <v>0.041666666666666664</v>
      </c>
      <c r="I825" s="84">
        <v>44435.0</v>
      </c>
      <c r="J825" s="65" t="b">
        <v>1</v>
      </c>
      <c r="K825" s="65"/>
      <c r="L825" s="85" t="b">
        <f>IF(VLOOKUP(C825,Projetos!A:L,12,false)=TRUE,TRUE,FALSE)</f>
        <v>1</v>
      </c>
      <c r="M825" s="74">
        <v>31.02923620430495</v>
      </c>
      <c r="N825" s="74">
        <f t="shared" si="1"/>
        <v>31.0292362</v>
      </c>
      <c r="O825" s="74" t="b">
        <v>1</v>
      </c>
    </row>
    <row r="826" hidden="1">
      <c r="A826" s="82"/>
      <c r="B826" s="65" t="s">
        <v>177</v>
      </c>
      <c r="C826" s="65" t="s">
        <v>100</v>
      </c>
      <c r="D826" s="65" t="str">
        <f>vlookup(C826,'Classificação p pessoal'!F:G,2,false)</f>
        <v>NP</v>
      </c>
      <c r="E826" s="65" t="s">
        <v>549</v>
      </c>
      <c r="F826" s="83">
        <v>0.7083333333333334</v>
      </c>
      <c r="G826" s="83">
        <v>0.7291666666666666</v>
      </c>
      <c r="H826" s="83">
        <v>0.020833333333333332</v>
      </c>
      <c r="I826" s="84">
        <v>44435.0</v>
      </c>
      <c r="J826" s="65" t="b">
        <v>1</v>
      </c>
      <c r="K826" s="65"/>
      <c r="L826" s="85" t="b">
        <f>IF(VLOOKUP(C826,Projetos!A:L,12,false)=TRUE,TRUE,FALSE)</f>
        <v>1</v>
      </c>
      <c r="M826" s="74">
        <v>31.02923620430495</v>
      </c>
      <c r="N826" s="74">
        <f t="shared" si="1"/>
        <v>15.5146181</v>
      </c>
      <c r="O826" s="74" t="b">
        <v>1</v>
      </c>
    </row>
    <row r="827" hidden="1">
      <c r="A827" s="82"/>
      <c r="B827" s="65" t="s">
        <v>177</v>
      </c>
      <c r="C827" s="65" t="s">
        <v>100</v>
      </c>
      <c r="D827" s="65" t="str">
        <f>vlookup(C827,'Classificação p pessoal'!F:G,2,false)</f>
        <v>NP</v>
      </c>
      <c r="E827" s="65" t="s">
        <v>550</v>
      </c>
      <c r="F827" s="83">
        <v>0.3541666666666667</v>
      </c>
      <c r="G827" s="83">
        <v>0.3645833333333333</v>
      </c>
      <c r="H827" s="83">
        <v>0.010416666666666666</v>
      </c>
      <c r="I827" s="84">
        <v>44438.0</v>
      </c>
      <c r="J827" s="65" t="b">
        <v>1</v>
      </c>
      <c r="K827" s="65"/>
      <c r="L827" s="85" t="b">
        <f>IF(VLOOKUP(C827,Projetos!A:L,12,false)=TRUE,TRUE,FALSE)</f>
        <v>1</v>
      </c>
      <c r="M827" s="74">
        <v>31.02923620430495</v>
      </c>
      <c r="N827" s="74">
        <f t="shared" si="1"/>
        <v>7.757309051</v>
      </c>
      <c r="O827" s="74" t="b">
        <v>1</v>
      </c>
    </row>
    <row r="828" hidden="1">
      <c r="A828" s="82"/>
      <c r="B828" s="65" t="s">
        <v>177</v>
      </c>
      <c r="C828" s="65" t="s">
        <v>91</v>
      </c>
      <c r="D828" s="65" t="str">
        <f>vlookup(C828,'Classificação p pessoal'!F:G,2,false)</f>
        <v>NP</v>
      </c>
      <c r="E828" s="65" t="s">
        <v>551</v>
      </c>
      <c r="F828" s="83">
        <v>0.6458333333333334</v>
      </c>
      <c r="G828" s="83">
        <v>0.6770833333333334</v>
      </c>
      <c r="H828" s="83">
        <v>0.03125</v>
      </c>
      <c r="I828" s="84">
        <v>44438.0</v>
      </c>
      <c r="J828" s="65" t="b">
        <v>1</v>
      </c>
      <c r="K828" s="65"/>
      <c r="L828" s="85" t="b">
        <f>IF(VLOOKUP(C828,Projetos!A:L,12,false)=TRUE,TRUE,FALSE)</f>
        <v>1</v>
      </c>
      <c r="M828" s="74">
        <v>31.02923620430495</v>
      </c>
      <c r="N828" s="74">
        <f t="shared" si="1"/>
        <v>23.27192715</v>
      </c>
      <c r="O828" s="74" t="b">
        <v>1</v>
      </c>
    </row>
    <row r="829" hidden="1">
      <c r="A829" s="82"/>
      <c r="B829" s="65" t="s">
        <v>495</v>
      </c>
      <c r="C829" s="65" t="s">
        <v>92</v>
      </c>
      <c r="D829" s="65"/>
      <c r="E829" s="65" t="s">
        <v>543</v>
      </c>
      <c r="F829" s="83">
        <v>0.3541666666666667</v>
      </c>
      <c r="G829" s="83">
        <v>0.3888888888888889</v>
      </c>
      <c r="H829" s="83">
        <v>0.034722222222222224</v>
      </c>
      <c r="I829" s="84">
        <v>44371.0</v>
      </c>
      <c r="J829" s="65" t="b">
        <v>0</v>
      </c>
      <c r="K829" s="65"/>
      <c r="L829" s="85" t="b">
        <f>IF(VLOOKUP(C829,Projetos!A:L,12,false)=TRUE,TRUE,FALSE)</f>
        <v>1</v>
      </c>
      <c r="M829" s="74">
        <v>73.7079846079846</v>
      </c>
      <c r="N829" s="74">
        <f t="shared" si="1"/>
        <v>0</v>
      </c>
      <c r="O829" s="74" t="b">
        <v>1</v>
      </c>
    </row>
    <row r="830" hidden="1">
      <c r="A830" s="82"/>
      <c r="B830" s="65" t="s">
        <v>495</v>
      </c>
      <c r="C830" s="65" t="s">
        <v>92</v>
      </c>
      <c r="D830" s="65"/>
      <c r="E830" s="65" t="s">
        <v>543</v>
      </c>
      <c r="F830" s="83">
        <v>0.5416666666666666</v>
      </c>
      <c r="G830" s="83">
        <v>0.625</v>
      </c>
      <c r="H830" s="83">
        <v>0.08333333333333333</v>
      </c>
      <c r="I830" s="84">
        <v>44371.0</v>
      </c>
      <c r="J830" s="65" t="b">
        <v>0</v>
      </c>
      <c r="K830" s="65"/>
      <c r="L830" s="85" t="b">
        <f>IF(VLOOKUP(C830,Projetos!A:L,12,false)=TRUE,TRUE,FALSE)</f>
        <v>1</v>
      </c>
      <c r="M830" s="74">
        <v>73.7079846079846</v>
      </c>
      <c r="N830" s="74">
        <f t="shared" si="1"/>
        <v>0</v>
      </c>
      <c r="O830" s="74" t="b">
        <v>1</v>
      </c>
    </row>
    <row r="831" hidden="1">
      <c r="A831" s="82"/>
      <c r="B831" s="65" t="s">
        <v>177</v>
      </c>
      <c r="C831" s="65" t="s">
        <v>100</v>
      </c>
      <c r="D831" s="65"/>
      <c r="E831" s="65" t="s">
        <v>552</v>
      </c>
      <c r="F831" s="83">
        <v>0.3958333333333333</v>
      </c>
      <c r="G831" s="83">
        <v>0.4375</v>
      </c>
      <c r="H831" s="83">
        <v>0.041666666666666664</v>
      </c>
      <c r="I831" s="84">
        <v>44439.0</v>
      </c>
      <c r="J831" s="65" t="b">
        <v>0</v>
      </c>
      <c r="K831" s="65" t="s">
        <v>150</v>
      </c>
      <c r="L831" s="85" t="b">
        <f>IF(VLOOKUP(C831,Projetos!A:L,12,false)=TRUE,TRUE,FALSE)</f>
        <v>1</v>
      </c>
      <c r="M831" s="74">
        <v>31.02923620430495</v>
      </c>
      <c r="N831" s="74">
        <f t="shared" si="1"/>
        <v>0</v>
      </c>
      <c r="O831" s="74" t="b">
        <v>1</v>
      </c>
    </row>
    <row r="832" hidden="1">
      <c r="A832" s="82"/>
      <c r="B832" s="65" t="s">
        <v>177</v>
      </c>
      <c r="C832" s="65" t="s">
        <v>117</v>
      </c>
      <c r="D832" s="65" t="str">
        <f>vlookup(C832,'Classificação p pessoal'!F:G,2,false)</f>
        <v>NP</v>
      </c>
      <c r="E832" s="65" t="s">
        <v>553</v>
      </c>
      <c r="F832" s="83">
        <v>0.7083333333333334</v>
      </c>
      <c r="G832" s="83">
        <v>0.75</v>
      </c>
      <c r="H832" s="83">
        <v>0.041666666666666664</v>
      </c>
      <c r="I832" s="84">
        <v>44439.0</v>
      </c>
      <c r="J832" s="65" t="b">
        <v>1</v>
      </c>
      <c r="K832" s="65"/>
      <c r="L832" s="85" t="b">
        <f>IF(VLOOKUP(C832,Projetos!A:L,12,false)=TRUE,TRUE,FALSE)</f>
        <v>1</v>
      </c>
      <c r="M832" s="74">
        <v>31.02923620430495</v>
      </c>
      <c r="N832" s="74">
        <f t="shared" si="1"/>
        <v>31.0292362</v>
      </c>
      <c r="O832" s="74" t="b">
        <v>1</v>
      </c>
    </row>
    <row r="833" hidden="1">
      <c r="A833" s="82"/>
      <c r="B833" s="65" t="s">
        <v>177</v>
      </c>
      <c r="C833" s="65" t="s">
        <v>117</v>
      </c>
      <c r="D833" s="65" t="str">
        <f>vlookup(C833,'Classificação p pessoal'!F:G,2,false)</f>
        <v>NP</v>
      </c>
      <c r="E833" s="65" t="s">
        <v>553</v>
      </c>
      <c r="F833" s="83">
        <v>0.375</v>
      </c>
      <c r="G833" s="83">
        <v>0.4166666666666667</v>
      </c>
      <c r="H833" s="83">
        <v>0.041666666666666664</v>
      </c>
      <c r="I833" s="84">
        <v>44440.0</v>
      </c>
      <c r="J833" s="65" t="b">
        <v>1</v>
      </c>
      <c r="K833" s="65"/>
      <c r="L833" s="85" t="b">
        <f>IF(VLOOKUP(C833,Projetos!A:L,12,false)=TRUE,TRUE,FALSE)</f>
        <v>1</v>
      </c>
      <c r="M833" s="74">
        <v>31.02923620430495</v>
      </c>
      <c r="N833" s="74">
        <f t="shared" si="1"/>
        <v>31.0292362</v>
      </c>
      <c r="O833" s="74" t="b">
        <v>1</v>
      </c>
    </row>
    <row r="834" hidden="1">
      <c r="A834" s="82"/>
      <c r="B834" s="65" t="s">
        <v>177</v>
      </c>
      <c r="C834" s="65" t="s">
        <v>106</v>
      </c>
      <c r="D834" s="65" t="str">
        <f>vlookup(C834,'Classificação p pessoal'!F:G,2,false)</f>
        <v>MProcesso</v>
      </c>
      <c r="E834" s="65" t="s">
        <v>554</v>
      </c>
      <c r="F834" s="83">
        <v>0.4166666666666667</v>
      </c>
      <c r="G834" s="83">
        <v>0.5</v>
      </c>
      <c r="H834" s="83">
        <v>0.08333333333333333</v>
      </c>
      <c r="I834" s="84">
        <v>44440.0</v>
      </c>
      <c r="J834" s="65" t="b">
        <v>1</v>
      </c>
      <c r="K834" s="65"/>
      <c r="L834" s="85" t="b">
        <f>IF(VLOOKUP(C834,Projetos!A:L,12,false)=TRUE,TRUE,FALSE)</f>
        <v>1</v>
      </c>
      <c r="M834" s="74">
        <v>31.02923620430495</v>
      </c>
      <c r="N834" s="74">
        <f t="shared" si="1"/>
        <v>62.05847241</v>
      </c>
      <c r="O834" s="74" t="b">
        <v>1</v>
      </c>
    </row>
    <row r="835" hidden="1">
      <c r="A835" s="82"/>
      <c r="B835" s="65" t="s">
        <v>177</v>
      </c>
      <c r="C835" s="65" t="s">
        <v>121</v>
      </c>
      <c r="D835" s="65"/>
      <c r="E835" s="65" t="s">
        <v>555</v>
      </c>
      <c r="F835" s="83">
        <v>0.5416666666666666</v>
      </c>
      <c r="G835" s="83">
        <v>0.5833333333333334</v>
      </c>
      <c r="H835" s="83">
        <v>0.041666666666666664</v>
      </c>
      <c r="I835" s="84">
        <v>44440.0</v>
      </c>
      <c r="J835" s="65" t="b">
        <v>0</v>
      </c>
      <c r="K835" s="65" t="s">
        <v>150</v>
      </c>
      <c r="L835" s="85" t="b">
        <f>IF(VLOOKUP(C835,Projetos!A:L,12,false)=TRUE,TRUE,FALSE)</f>
        <v>1</v>
      </c>
      <c r="M835" s="74">
        <v>31.02923620430495</v>
      </c>
      <c r="N835" s="74">
        <f t="shared" si="1"/>
        <v>0</v>
      </c>
      <c r="O835" s="74" t="b">
        <v>1</v>
      </c>
    </row>
    <row r="836" hidden="1">
      <c r="A836" s="82"/>
      <c r="B836" s="65" t="s">
        <v>177</v>
      </c>
      <c r="C836" s="65" t="s">
        <v>130</v>
      </c>
      <c r="D836" s="65" t="str">
        <f>vlookup(C836,'Classificação p pessoal'!F:G,2,false)</f>
        <v>NP</v>
      </c>
      <c r="E836" s="65" t="s">
        <v>556</v>
      </c>
      <c r="F836" s="83">
        <v>0.5833333333333334</v>
      </c>
      <c r="G836" s="83">
        <v>0.75</v>
      </c>
      <c r="H836" s="83">
        <v>0.16666666666666666</v>
      </c>
      <c r="I836" s="84">
        <v>44440.0</v>
      </c>
      <c r="J836" s="65" t="b">
        <v>1</v>
      </c>
      <c r="K836" s="65"/>
      <c r="L836" s="85" t="b">
        <f>IF(VLOOKUP(C836,Projetos!A:L,12,false)=TRUE,TRUE,FALSE)</f>
        <v>1</v>
      </c>
      <c r="M836" s="74">
        <v>31.02923620430495</v>
      </c>
      <c r="N836" s="74">
        <f t="shared" si="1"/>
        <v>124.1169448</v>
      </c>
      <c r="O836" s="74" t="b">
        <v>1</v>
      </c>
    </row>
    <row r="837" hidden="1">
      <c r="A837" s="82"/>
      <c r="B837" s="65" t="s">
        <v>177</v>
      </c>
      <c r="C837" s="65" t="s">
        <v>106</v>
      </c>
      <c r="D837" s="65" t="str">
        <f>vlookup(C837,'Classificação p pessoal'!F:G,2,false)</f>
        <v>MProcesso</v>
      </c>
      <c r="E837" s="65" t="s">
        <v>557</v>
      </c>
      <c r="F837" s="83">
        <v>0.375</v>
      </c>
      <c r="G837" s="83">
        <v>0.4270833333333333</v>
      </c>
      <c r="H837" s="83">
        <v>0.052083333333333336</v>
      </c>
      <c r="I837" s="84">
        <v>44441.0</v>
      </c>
      <c r="J837" s="65" t="b">
        <v>1</v>
      </c>
      <c r="K837" s="65"/>
      <c r="L837" s="85" t="b">
        <f>IF(VLOOKUP(C837,Projetos!A:L,12,false)=TRUE,TRUE,FALSE)</f>
        <v>1</v>
      </c>
      <c r="M837" s="74">
        <v>31.02923620430495</v>
      </c>
      <c r="N837" s="74">
        <f t="shared" si="1"/>
        <v>38.78654526</v>
      </c>
      <c r="O837" s="74" t="b">
        <v>1</v>
      </c>
    </row>
    <row r="838" hidden="1">
      <c r="A838" s="82"/>
      <c r="B838" s="65" t="s">
        <v>177</v>
      </c>
      <c r="C838" s="65" t="s">
        <v>101</v>
      </c>
      <c r="D838" s="65" t="str">
        <f>vlookup(C838,'Classificação p pessoal'!F:G,2,false)</f>
        <v>NP</v>
      </c>
      <c r="E838" s="65" t="s">
        <v>558</v>
      </c>
      <c r="F838" s="83">
        <v>0.4375</v>
      </c>
      <c r="G838" s="83">
        <v>0.4791666666666667</v>
      </c>
      <c r="H838" s="83">
        <v>0.041666666666666664</v>
      </c>
      <c r="I838" s="84">
        <v>44442.0</v>
      </c>
      <c r="J838" s="65" t="b">
        <v>1</v>
      </c>
      <c r="K838" s="65"/>
      <c r="L838" s="85" t="b">
        <f>IF(VLOOKUP(C838,Projetos!A:L,12,false)=TRUE,TRUE,FALSE)</f>
        <v>1</v>
      </c>
      <c r="M838" s="74">
        <v>31.02923620430495</v>
      </c>
      <c r="N838" s="74">
        <f t="shared" si="1"/>
        <v>31.0292362</v>
      </c>
      <c r="O838" s="74" t="b">
        <v>1</v>
      </c>
    </row>
    <row r="839" hidden="1">
      <c r="A839" s="82"/>
      <c r="B839" s="65" t="s">
        <v>177</v>
      </c>
      <c r="C839" s="65" t="s">
        <v>101</v>
      </c>
      <c r="D839" s="65" t="str">
        <f>vlookup(C839,'Classificação p pessoal'!F:G,2,false)</f>
        <v>NP</v>
      </c>
      <c r="E839" s="65" t="s">
        <v>559</v>
      </c>
      <c r="F839" s="83">
        <v>0.4791666666666667</v>
      </c>
      <c r="G839" s="83">
        <v>0.5208333333333334</v>
      </c>
      <c r="H839" s="83">
        <v>0.041666666666666664</v>
      </c>
      <c r="I839" s="84">
        <v>44442.0</v>
      </c>
      <c r="J839" s="65" t="b">
        <v>1</v>
      </c>
      <c r="K839" s="65"/>
      <c r="L839" s="85" t="b">
        <f>IF(VLOOKUP(C839,Projetos!A:L,12,false)=TRUE,TRUE,FALSE)</f>
        <v>1</v>
      </c>
      <c r="M839" s="74">
        <v>31.02923620430495</v>
      </c>
      <c r="N839" s="74">
        <f t="shared" si="1"/>
        <v>31.0292362</v>
      </c>
      <c r="O839" s="74" t="b">
        <v>1</v>
      </c>
    </row>
    <row r="840" hidden="1">
      <c r="A840" s="82"/>
      <c r="B840" s="65" t="s">
        <v>177</v>
      </c>
      <c r="C840" s="65" t="s">
        <v>130</v>
      </c>
      <c r="D840" s="65" t="str">
        <f>vlookup(C840,'Classificação p pessoal'!F:G,2,false)</f>
        <v>NP</v>
      </c>
      <c r="E840" s="65" t="s">
        <v>560</v>
      </c>
      <c r="F840" s="83">
        <v>0.5625</v>
      </c>
      <c r="G840" s="83">
        <v>0.625</v>
      </c>
      <c r="H840" s="83">
        <v>0.0625</v>
      </c>
      <c r="I840" s="84">
        <v>44442.0</v>
      </c>
      <c r="J840" s="65" t="b">
        <v>1</v>
      </c>
      <c r="K840" s="65"/>
      <c r="L840" s="85" t="b">
        <f>IF(VLOOKUP(C840,Projetos!A:L,12,false)=TRUE,TRUE,FALSE)</f>
        <v>1</v>
      </c>
      <c r="M840" s="74">
        <v>31.02923620430495</v>
      </c>
      <c r="N840" s="74">
        <f t="shared" si="1"/>
        <v>46.54385431</v>
      </c>
      <c r="O840" s="74" t="b">
        <v>1</v>
      </c>
    </row>
    <row r="841" hidden="1">
      <c r="A841" s="82"/>
      <c r="B841" s="65" t="s">
        <v>177</v>
      </c>
      <c r="C841" s="65" t="s">
        <v>91</v>
      </c>
      <c r="D841" s="65" t="str">
        <f>vlookup(C841,'Classificação p pessoal'!F:G,2,false)</f>
        <v>NP</v>
      </c>
      <c r="E841" s="65" t="s">
        <v>561</v>
      </c>
      <c r="F841" s="83">
        <v>0.3541666666666667</v>
      </c>
      <c r="G841" s="83">
        <v>0.5208333333333334</v>
      </c>
      <c r="H841" s="83">
        <v>0.16666666666666666</v>
      </c>
      <c r="I841" s="84">
        <v>44445.0</v>
      </c>
      <c r="J841" s="65" t="b">
        <v>1</v>
      </c>
      <c r="K841" s="65"/>
      <c r="L841" s="85" t="b">
        <f>IF(VLOOKUP(C841,Projetos!A:L,12,false)=TRUE,TRUE,FALSE)</f>
        <v>1</v>
      </c>
      <c r="M841" s="74">
        <v>31.02923620430495</v>
      </c>
      <c r="N841" s="74">
        <f t="shared" si="1"/>
        <v>124.1169448</v>
      </c>
      <c r="O841" s="74" t="b">
        <v>1</v>
      </c>
    </row>
    <row r="842" hidden="1">
      <c r="A842" s="82"/>
      <c r="B842" s="65" t="s">
        <v>177</v>
      </c>
      <c r="C842" s="65" t="s">
        <v>91</v>
      </c>
      <c r="D842" s="65"/>
      <c r="E842" s="65" t="s">
        <v>562</v>
      </c>
      <c r="F842" s="83">
        <v>0.5625</v>
      </c>
      <c r="G842" s="83">
        <v>0.7291666666666666</v>
      </c>
      <c r="H842" s="83">
        <v>0.16666666666666666</v>
      </c>
      <c r="I842" s="84">
        <v>44445.0</v>
      </c>
      <c r="J842" s="65" t="b">
        <v>0</v>
      </c>
      <c r="K842" s="65" t="s">
        <v>150</v>
      </c>
      <c r="L842" s="85" t="b">
        <f>IF(VLOOKUP(C842,Projetos!A:L,12,false)=TRUE,TRUE,FALSE)</f>
        <v>1</v>
      </c>
      <c r="M842" s="74">
        <v>31.02923620430495</v>
      </c>
      <c r="N842" s="74">
        <f t="shared" si="1"/>
        <v>0</v>
      </c>
      <c r="O842" s="74" t="b">
        <v>1</v>
      </c>
    </row>
    <row r="843" hidden="1">
      <c r="A843" s="82"/>
      <c r="B843" s="65" t="s">
        <v>177</v>
      </c>
      <c r="C843" s="65" t="s">
        <v>100</v>
      </c>
      <c r="D843" s="65" t="str">
        <f>vlookup(C843,'Classificação p pessoal'!F:G,2,false)</f>
        <v>NP</v>
      </c>
      <c r="E843" s="65" t="s">
        <v>563</v>
      </c>
      <c r="F843" s="83">
        <v>0.3854166666666667</v>
      </c>
      <c r="G843" s="83">
        <v>0.40625</v>
      </c>
      <c r="H843" s="83">
        <v>0.020833333333333332</v>
      </c>
      <c r="I843" s="84">
        <v>44333.0</v>
      </c>
      <c r="J843" s="65" t="b">
        <v>1</v>
      </c>
      <c r="K843" s="65"/>
      <c r="L843" s="85" t="b">
        <f>IF(VLOOKUP(C843,Projetos!A:L,12,false)=TRUE,TRUE,FALSE)</f>
        <v>1</v>
      </c>
      <c r="M843" s="74">
        <v>31.02923620430495</v>
      </c>
      <c r="N843" s="74">
        <f t="shared" si="1"/>
        <v>15.5146181</v>
      </c>
      <c r="O843" s="74" t="b">
        <v>1</v>
      </c>
    </row>
    <row r="844" hidden="1">
      <c r="A844" s="82"/>
      <c r="B844" s="65" t="s">
        <v>177</v>
      </c>
      <c r="C844" s="65" t="s">
        <v>91</v>
      </c>
      <c r="D844" s="65"/>
      <c r="E844" s="65" t="s">
        <v>564</v>
      </c>
      <c r="F844" s="83">
        <v>0.375</v>
      </c>
      <c r="G844" s="83">
        <v>0.4166666666666667</v>
      </c>
      <c r="H844" s="83">
        <v>0.041666666666666664</v>
      </c>
      <c r="I844" s="84">
        <v>44448.0</v>
      </c>
      <c r="J844" s="65" t="b">
        <v>0</v>
      </c>
      <c r="K844" s="65" t="s">
        <v>150</v>
      </c>
      <c r="L844" s="85" t="b">
        <f>IF(VLOOKUP(C844,Projetos!A:L,12,false)=TRUE,TRUE,FALSE)</f>
        <v>1</v>
      </c>
      <c r="M844" s="74">
        <v>31.02923620430495</v>
      </c>
      <c r="N844" s="74">
        <f t="shared" si="1"/>
        <v>0</v>
      </c>
      <c r="O844" s="74" t="b">
        <v>1</v>
      </c>
    </row>
    <row r="845" hidden="1">
      <c r="A845" s="82"/>
      <c r="B845" s="65" t="s">
        <v>177</v>
      </c>
      <c r="C845" s="65" t="s">
        <v>101</v>
      </c>
      <c r="D845" s="65" t="str">
        <f>vlookup(C845,'Classificação p pessoal'!F:G,2,false)</f>
        <v>NP</v>
      </c>
      <c r="E845" s="65" t="s">
        <v>565</v>
      </c>
      <c r="F845" s="83">
        <v>0.4166666666666667</v>
      </c>
      <c r="G845" s="83">
        <v>0.4583333333333333</v>
      </c>
      <c r="H845" s="83">
        <v>0.041666666666666664</v>
      </c>
      <c r="I845" s="84">
        <v>44448.0</v>
      </c>
      <c r="J845" s="65" t="b">
        <v>1</v>
      </c>
      <c r="K845" s="65"/>
      <c r="L845" s="85" t="b">
        <f>IF(VLOOKUP(C845,Projetos!A:L,12,false)=TRUE,TRUE,FALSE)</f>
        <v>1</v>
      </c>
      <c r="M845" s="74">
        <v>31.02923620430495</v>
      </c>
      <c r="N845" s="74">
        <f t="shared" si="1"/>
        <v>31.0292362</v>
      </c>
      <c r="O845" s="74" t="b">
        <v>1</v>
      </c>
    </row>
    <row r="846" hidden="1">
      <c r="A846" s="82"/>
      <c r="B846" s="65" t="s">
        <v>177</v>
      </c>
      <c r="C846" s="65" t="s">
        <v>130</v>
      </c>
      <c r="D846" s="65"/>
      <c r="E846" s="65" t="s">
        <v>566</v>
      </c>
      <c r="F846" s="83">
        <v>0.4583333333333333</v>
      </c>
      <c r="G846" s="83">
        <v>0.5</v>
      </c>
      <c r="H846" s="83">
        <v>0.041666666666666664</v>
      </c>
      <c r="I846" s="84">
        <v>44448.0</v>
      </c>
      <c r="J846" s="65" t="b">
        <v>0</v>
      </c>
      <c r="K846" s="65" t="s">
        <v>150</v>
      </c>
      <c r="L846" s="85" t="b">
        <f>IF(VLOOKUP(C846,Projetos!A:L,12,false)=TRUE,TRUE,FALSE)</f>
        <v>1</v>
      </c>
      <c r="M846" s="74">
        <v>31.02923620430495</v>
      </c>
      <c r="N846" s="74">
        <f t="shared" si="1"/>
        <v>0</v>
      </c>
      <c r="O846" s="74" t="b">
        <v>1</v>
      </c>
    </row>
    <row r="847" hidden="1">
      <c r="A847" s="82"/>
      <c r="B847" s="65" t="s">
        <v>469</v>
      </c>
      <c r="C847" s="65" t="s">
        <v>118</v>
      </c>
      <c r="D847" s="65"/>
      <c r="E847" s="65" t="s">
        <v>567</v>
      </c>
      <c r="F847" s="83">
        <v>0.3333333333333333</v>
      </c>
      <c r="G847" s="83">
        <v>0.5</v>
      </c>
      <c r="H847" s="83">
        <v>0.16666666666666666</v>
      </c>
      <c r="I847" s="84">
        <v>44382.0</v>
      </c>
      <c r="J847" s="65" t="b">
        <v>0</v>
      </c>
      <c r="K847" s="65" t="s">
        <v>150</v>
      </c>
      <c r="L847" s="85" t="b">
        <f>IF(VLOOKUP(C847,Projetos!A:L,12,false)=TRUE,TRUE,FALSE)</f>
        <v>1</v>
      </c>
      <c r="M847" s="74">
        <v>37.50928062469937</v>
      </c>
      <c r="N847" s="74">
        <f t="shared" si="1"/>
        <v>0</v>
      </c>
      <c r="O847" s="74" t="b">
        <v>1</v>
      </c>
    </row>
    <row r="848" hidden="1">
      <c r="A848" s="82"/>
      <c r="B848" s="65" t="s">
        <v>177</v>
      </c>
      <c r="C848" s="65" t="s">
        <v>91</v>
      </c>
      <c r="D848" s="65" t="str">
        <f>vlookup(C848,'Classificação p pessoal'!F:G,2,false)</f>
        <v>NP</v>
      </c>
      <c r="E848" s="65" t="s">
        <v>568</v>
      </c>
      <c r="F848" s="83">
        <v>0.5833333333333334</v>
      </c>
      <c r="G848" s="83">
        <v>0.625</v>
      </c>
      <c r="H848" s="83">
        <v>0.041666666666666664</v>
      </c>
      <c r="I848" s="84">
        <v>44448.0</v>
      </c>
      <c r="J848" s="65" t="b">
        <v>1</v>
      </c>
      <c r="K848" s="65"/>
      <c r="L848" s="85" t="b">
        <f>IF(VLOOKUP(C848,Projetos!A:L,12,false)=TRUE,TRUE,FALSE)</f>
        <v>1</v>
      </c>
      <c r="M848" s="74">
        <v>31.02923620430495</v>
      </c>
      <c r="N848" s="74">
        <f t="shared" si="1"/>
        <v>31.0292362</v>
      </c>
      <c r="O848" s="74" t="b">
        <v>1</v>
      </c>
    </row>
    <row r="849" hidden="1">
      <c r="A849" s="82"/>
      <c r="B849" s="65" t="s">
        <v>177</v>
      </c>
      <c r="C849" s="65" t="s">
        <v>91</v>
      </c>
      <c r="D849" s="65" t="str">
        <f>vlookup(C849,'Classificação p pessoal'!F:G,2,false)</f>
        <v>NP</v>
      </c>
      <c r="E849" s="65" t="s">
        <v>569</v>
      </c>
      <c r="F849" s="83">
        <v>0.625</v>
      </c>
      <c r="G849" s="83">
        <v>0.7083333333333334</v>
      </c>
      <c r="H849" s="83">
        <v>0.08333333333333333</v>
      </c>
      <c r="I849" s="84">
        <v>44448.0</v>
      </c>
      <c r="J849" s="65" t="b">
        <v>1</v>
      </c>
      <c r="K849" s="65"/>
      <c r="L849" s="85" t="b">
        <f>IF(VLOOKUP(C849,Projetos!A:L,12,false)=TRUE,TRUE,FALSE)</f>
        <v>1</v>
      </c>
      <c r="M849" s="74">
        <v>31.02923620430495</v>
      </c>
      <c r="N849" s="74">
        <f t="shared" si="1"/>
        <v>62.05847241</v>
      </c>
      <c r="O849" s="74" t="b">
        <v>1</v>
      </c>
    </row>
    <row r="850" hidden="1">
      <c r="A850" s="82"/>
      <c r="B850" s="65" t="s">
        <v>177</v>
      </c>
      <c r="C850" s="65" t="s">
        <v>108</v>
      </c>
      <c r="D850" s="65" t="str">
        <f>vlookup(C850,'Classificação p pessoal'!F:G,2,false)</f>
        <v>NP</v>
      </c>
      <c r="E850" s="65" t="s">
        <v>570</v>
      </c>
      <c r="F850" s="83">
        <v>0.3541666666666667</v>
      </c>
      <c r="G850" s="83">
        <v>0.375</v>
      </c>
      <c r="H850" s="83">
        <v>0.020833333333333332</v>
      </c>
      <c r="I850" s="84">
        <v>44449.0</v>
      </c>
      <c r="J850" s="65" t="b">
        <v>1</v>
      </c>
      <c r="K850" s="65"/>
      <c r="L850" s="85" t="b">
        <f>IF(VLOOKUP(C850,Projetos!A:L,12,false)=TRUE,TRUE,FALSE)</f>
        <v>1</v>
      </c>
      <c r="M850" s="74">
        <v>31.02923620430495</v>
      </c>
      <c r="N850" s="74">
        <f t="shared" si="1"/>
        <v>15.5146181</v>
      </c>
      <c r="O850" s="74" t="b">
        <v>1</v>
      </c>
    </row>
    <row r="851" hidden="1">
      <c r="A851" s="82"/>
      <c r="B851" s="65" t="s">
        <v>469</v>
      </c>
      <c r="C851" s="65" t="s">
        <v>118</v>
      </c>
      <c r="D851" s="65"/>
      <c r="E851" s="65" t="s">
        <v>571</v>
      </c>
      <c r="F851" s="83">
        <v>0.3333333333333333</v>
      </c>
      <c r="G851" s="83">
        <v>0.7083333333333334</v>
      </c>
      <c r="H851" s="83">
        <v>0.375</v>
      </c>
      <c r="I851" s="84">
        <v>44413.0</v>
      </c>
      <c r="J851" s="65" t="b">
        <v>0</v>
      </c>
      <c r="K851" s="65" t="s">
        <v>150</v>
      </c>
      <c r="L851" s="85" t="b">
        <f>IF(VLOOKUP(C851,Projetos!A:L,12,false)=TRUE,TRUE,FALSE)</f>
        <v>1</v>
      </c>
      <c r="M851" s="74">
        <v>37.50928062469937</v>
      </c>
      <c r="N851" s="74">
        <f t="shared" si="1"/>
        <v>0</v>
      </c>
      <c r="O851" s="74" t="b">
        <v>1</v>
      </c>
    </row>
    <row r="852" hidden="1">
      <c r="A852" s="82"/>
      <c r="B852" s="65" t="s">
        <v>177</v>
      </c>
      <c r="C852" s="65" t="s">
        <v>106</v>
      </c>
      <c r="D852" s="65" t="str">
        <f>vlookup(C852,'Classificação p pessoal'!F:G,2,false)</f>
        <v>MProcesso</v>
      </c>
      <c r="E852" s="65" t="s">
        <v>572</v>
      </c>
      <c r="F852" s="83">
        <v>0.4375</v>
      </c>
      <c r="G852" s="83">
        <v>0.5</v>
      </c>
      <c r="H852" s="83">
        <v>0.0625</v>
      </c>
      <c r="I852" s="84">
        <v>44449.0</v>
      </c>
      <c r="J852" s="65" t="b">
        <v>1</v>
      </c>
      <c r="K852" s="65"/>
      <c r="L852" s="85" t="b">
        <f>IF(VLOOKUP(C852,Projetos!A:L,12,false)=TRUE,TRUE,FALSE)</f>
        <v>1</v>
      </c>
      <c r="M852" s="74">
        <v>31.02923620430495</v>
      </c>
      <c r="N852" s="74">
        <f t="shared" si="1"/>
        <v>46.54385431</v>
      </c>
      <c r="O852" s="74" t="b">
        <v>1</v>
      </c>
    </row>
    <row r="853" hidden="1">
      <c r="A853" s="82"/>
      <c r="B853" s="65" t="s">
        <v>177</v>
      </c>
      <c r="C853" s="65" t="s">
        <v>92</v>
      </c>
      <c r="D853" s="65" t="str">
        <f>vlookup(C853,'Classificação p pessoal'!F:G,2,false)</f>
        <v/>
      </c>
      <c r="E853" s="65" t="s">
        <v>573</v>
      </c>
      <c r="F853" s="83">
        <v>0.5</v>
      </c>
      <c r="G853" s="83">
        <v>0.5625</v>
      </c>
      <c r="H853" s="83">
        <v>0.0625</v>
      </c>
      <c r="I853" s="84">
        <v>44449.0</v>
      </c>
      <c r="J853" s="65" t="b">
        <v>1</v>
      </c>
      <c r="K853" s="65"/>
      <c r="L853" s="85" t="b">
        <f>IF(VLOOKUP(C853,Projetos!A:L,12,false)=TRUE,TRUE,FALSE)</f>
        <v>1</v>
      </c>
      <c r="M853" s="74">
        <v>31.02923620430495</v>
      </c>
      <c r="N853" s="74">
        <f t="shared" si="1"/>
        <v>46.54385431</v>
      </c>
      <c r="O853" s="74" t="b">
        <v>1</v>
      </c>
    </row>
    <row r="854" hidden="1">
      <c r="A854" s="82"/>
      <c r="B854" s="65" t="s">
        <v>495</v>
      </c>
      <c r="C854" s="65" t="s">
        <v>92</v>
      </c>
      <c r="D854" s="65" t="str">
        <f>vlookup(C854,'Classificação p pessoal'!F:G,2,false)</f>
        <v/>
      </c>
      <c r="E854" s="65" t="s">
        <v>574</v>
      </c>
      <c r="F854" s="83">
        <v>0.4166666666666667</v>
      </c>
      <c r="G854" s="83">
        <v>0.4583333333333333</v>
      </c>
      <c r="H854" s="83">
        <v>0.041666666666666664</v>
      </c>
      <c r="I854" s="84">
        <v>44294.0</v>
      </c>
      <c r="J854" s="65" t="b">
        <v>1</v>
      </c>
      <c r="K854" s="65"/>
      <c r="L854" s="85" t="b">
        <f>IF(VLOOKUP(C854,Projetos!A:L,12,false)=TRUE,TRUE,FALSE)</f>
        <v>1</v>
      </c>
      <c r="M854" s="74">
        <v>73.7079846079846</v>
      </c>
      <c r="N854" s="74">
        <f t="shared" si="1"/>
        <v>73.70798461</v>
      </c>
      <c r="O854" s="74" t="b">
        <v>1</v>
      </c>
    </row>
    <row r="855" hidden="1">
      <c r="A855" s="82"/>
      <c r="B855" s="65" t="s">
        <v>177</v>
      </c>
      <c r="C855" s="65" t="s">
        <v>92</v>
      </c>
      <c r="D855" s="65" t="str">
        <f>vlookup(C855,'Classificação p pessoal'!F:G,2,false)</f>
        <v/>
      </c>
      <c r="E855" s="65" t="s">
        <v>575</v>
      </c>
      <c r="F855" s="83">
        <v>0.4166666666666667</v>
      </c>
      <c r="G855" s="83">
        <v>0.5</v>
      </c>
      <c r="H855" s="83">
        <v>0.08333333333333333</v>
      </c>
      <c r="I855" s="84">
        <v>44463.0</v>
      </c>
      <c r="J855" s="65" t="b">
        <v>1</v>
      </c>
      <c r="K855" s="65"/>
      <c r="L855" s="85" t="b">
        <f>IF(VLOOKUP(C855,Projetos!A:L,12,false)=TRUE,TRUE,FALSE)</f>
        <v>1</v>
      </c>
      <c r="M855" s="74">
        <v>31.02923620430495</v>
      </c>
      <c r="N855" s="74">
        <f t="shared" si="1"/>
        <v>62.05847241</v>
      </c>
      <c r="O855" s="74" t="b">
        <v>1</v>
      </c>
    </row>
    <row r="856" hidden="1">
      <c r="A856" s="82"/>
      <c r="B856" s="65" t="s">
        <v>177</v>
      </c>
      <c r="C856" s="65" t="s">
        <v>92</v>
      </c>
      <c r="D856" s="65" t="str">
        <f>vlookup(C856,'Classificação p pessoal'!F:G,2,false)</f>
        <v/>
      </c>
      <c r="E856" s="65" t="s">
        <v>576</v>
      </c>
      <c r="F856" s="83">
        <v>0.5</v>
      </c>
      <c r="G856" s="83">
        <v>0.5833333333333334</v>
      </c>
      <c r="H856" s="83">
        <v>0.08333333333333333</v>
      </c>
      <c r="I856" s="84">
        <v>44463.0</v>
      </c>
      <c r="J856" s="65" t="b">
        <v>1</v>
      </c>
      <c r="K856" s="65"/>
      <c r="L856" s="85" t="b">
        <f>IF(VLOOKUP(C856,Projetos!A:L,12,false)=TRUE,TRUE,FALSE)</f>
        <v>1</v>
      </c>
      <c r="M856" s="74">
        <v>31.02923620430495</v>
      </c>
      <c r="N856" s="74">
        <f t="shared" si="1"/>
        <v>62.05847241</v>
      </c>
      <c r="O856" s="74" t="b">
        <v>1</v>
      </c>
    </row>
    <row r="857" hidden="1">
      <c r="A857" s="82"/>
      <c r="B857" s="65" t="s">
        <v>177</v>
      </c>
      <c r="C857" s="65" t="s">
        <v>108</v>
      </c>
      <c r="D857" s="65" t="str">
        <f>vlookup(C857,'Classificação p pessoal'!F:G,2,false)</f>
        <v>NP</v>
      </c>
      <c r="E857" s="65" t="s">
        <v>577</v>
      </c>
      <c r="F857" s="83">
        <v>0.5833333333333334</v>
      </c>
      <c r="G857" s="83">
        <v>0.6145833333333334</v>
      </c>
      <c r="H857" s="83">
        <v>0.03125</v>
      </c>
      <c r="I857" s="84">
        <v>44463.0</v>
      </c>
      <c r="J857" s="65" t="b">
        <v>1</v>
      </c>
      <c r="K857" s="65"/>
      <c r="L857" s="85" t="b">
        <f>IF(VLOOKUP(C857,Projetos!A:L,12,false)=TRUE,TRUE,FALSE)</f>
        <v>1</v>
      </c>
      <c r="M857" s="74">
        <v>31.02923620430495</v>
      </c>
      <c r="N857" s="74">
        <f t="shared" si="1"/>
        <v>23.27192715</v>
      </c>
      <c r="O857" s="74" t="b">
        <v>1</v>
      </c>
    </row>
    <row r="858" hidden="1">
      <c r="A858" s="82"/>
      <c r="B858" s="65" t="s">
        <v>177</v>
      </c>
      <c r="C858" s="65" t="s">
        <v>118</v>
      </c>
      <c r="D858" s="65"/>
      <c r="E858" s="65" t="s">
        <v>578</v>
      </c>
      <c r="F858" s="83">
        <v>0.34375</v>
      </c>
      <c r="G858" s="83">
        <v>0.3854166666666667</v>
      </c>
      <c r="H858" s="83">
        <v>0.041666666666666664</v>
      </c>
      <c r="I858" s="84">
        <v>44466.0</v>
      </c>
      <c r="J858" s="65" t="b">
        <v>0</v>
      </c>
      <c r="K858" s="65" t="s">
        <v>150</v>
      </c>
      <c r="L858" s="85" t="b">
        <f>IF(VLOOKUP(C858,Projetos!A:L,12,false)=TRUE,TRUE,FALSE)</f>
        <v>1</v>
      </c>
      <c r="M858" s="74">
        <v>31.02923620430495</v>
      </c>
      <c r="N858" s="74">
        <f t="shared" si="1"/>
        <v>0</v>
      </c>
      <c r="O858" s="74" t="b">
        <v>1</v>
      </c>
    </row>
    <row r="859" hidden="1">
      <c r="A859" s="82"/>
      <c r="B859" s="65" t="s">
        <v>177</v>
      </c>
      <c r="C859" s="65" t="s">
        <v>113</v>
      </c>
      <c r="D859" s="65" t="str">
        <f>vlookup(C859,'Classificação p pessoal'!F:G,2,false)</f>
        <v>NP</v>
      </c>
      <c r="E859" s="65" t="s">
        <v>579</v>
      </c>
      <c r="F859" s="83">
        <v>0.3854166666666667</v>
      </c>
      <c r="G859" s="83">
        <v>0.4375</v>
      </c>
      <c r="H859" s="83">
        <v>0.052083333333333336</v>
      </c>
      <c r="I859" s="84">
        <v>44466.0</v>
      </c>
      <c r="J859" s="65" t="b">
        <v>1</v>
      </c>
      <c r="K859" s="65"/>
      <c r="L859" s="85" t="b">
        <f>IF(VLOOKUP(C859,Projetos!A:L,12,false)=TRUE,TRUE,FALSE)</f>
        <v>1</v>
      </c>
      <c r="M859" s="74">
        <v>31.02923620430495</v>
      </c>
      <c r="N859" s="74">
        <f t="shared" si="1"/>
        <v>38.78654526</v>
      </c>
      <c r="O859" s="74" t="b">
        <v>1</v>
      </c>
    </row>
    <row r="860" hidden="1">
      <c r="A860" s="82"/>
      <c r="B860" s="65" t="s">
        <v>177</v>
      </c>
      <c r="C860" s="65" t="s">
        <v>101</v>
      </c>
      <c r="D860" s="65" t="str">
        <f>vlookup(C860,'Classificação p pessoal'!F:G,2,false)</f>
        <v>NP</v>
      </c>
      <c r="E860" s="65" t="s">
        <v>580</v>
      </c>
      <c r="F860" s="83">
        <v>0.4791666666666667</v>
      </c>
      <c r="G860" s="83">
        <v>0.5625</v>
      </c>
      <c r="H860" s="83">
        <v>0.08333333333333333</v>
      </c>
      <c r="I860" s="84">
        <v>44466.0</v>
      </c>
      <c r="J860" s="65" t="b">
        <v>1</v>
      </c>
      <c r="K860" s="65"/>
      <c r="L860" s="85" t="b">
        <f>IF(VLOOKUP(C860,Projetos!A:L,12,false)=TRUE,TRUE,FALSE)</f>
        <v>1</v>
      </c>
      <c r="M860" s="74">
        <v>31.02923620430495</v>
      </c>
      <c r="N860" s="74">
        <f t="shared" si="1"/>
        <v>62.05847241</v>
      </c>
      <c r="O860" s="74" t="b">
        <v>1</v>
      </c>
    </row>
    <row r="861" hidden="1">
      <c r="A861" s="82"/>
      <c r="B861" s="65" t="s">
        <v>177</v>
      </c>
      <c r="C861" s="65" t="s">
        <v>101</v>
      </c>
      <c r="D861" s="65" t="str">
        <f>vlookup(C861,'Classificação p pessoal'!F:G,2,false)</f>
        <v>NP</v>
      </c>
      <c r="E861" s="65" t="s">
        <v>581</v>
      </c>
      <c r="F861" s="83">
        <v>0.5625</v>
      </c>
      <c r="G861" s="83">
        <v>0.625</v>
      </c>
      <c r="H861" s="83">
        <v>0.0625</v>
      </c>
      <c r="I861" s="84">
        <v>44466.0</v>
      </c>
      <c r="J861" s="65" t="b">
        <v>1</v>
      </c>
      <c r="K861" s="65"/>
      <c r="L861" s="85" t="b">
        <f>IF(VLOOKUP(C861,Projetos!A:L,12,false)=TRUE,TRUE,FALSE)</f>
        <v>1</v>
      </c>
      <c r="M861" s="74">
        <v>31.02923620430495</v>
      </c>
      <c r="N861" s="74">
        <f t="shared" si="1"/>
        <v>46.54385431</v>
      </c>
      <c r="O861" s="74" t="b">
        <v>1</v>
      </c>
    </row>
    <row r="862" hidden="1">
      <c r="A862" s="82"/>
      <c r="B862" s="65" t="s">
        <v>177</v>
      </c>
      <c r="C862" s="65" t="s">
        <v>118</v>
      </c>
      <c r="D862" s="65" t="str">
        <f>vlookup(C862,'Classificação p pessoal'!F:G,2,false)</f>
        <v>MProduto</v>
      </c>
      <c r="E862" s="65" t="s">
        <v>582</v>
      </c>
      <c r="F862" s="83">
        <v>0.375</v>
      </c>
      <c r="G862" s="83">
        <v>0.40625</v>
      </c>
      <c r="H862" s="83">
        <v>0.03125</v>
      </c>
      <c r="I862" s="84">
        <v>44467.0</v>
      </c>
      <c r="J862" s="65" t="b">
        <v>1</v>
      </c>
      <c r="K862" s="65"/>
      <c r="L862" s="85" t="b">
        <f>IF(VLOOKUP(C862,Projetos!A:L,12,false)=TRUE,TRUE,FALSE)</f>
        <v>1</v>
      </c>
      <c r="M862" s="74">
        <v>31.02923620430495</v>
      </c>
      <c r="N862" s="74">
        <f t="shared" si="1"/>
        <v>23.27192715</v>
      </c>
      <c r="O862" s="74" t="b">
        <v>1</v>
      </c>
    </row>
    <row r="863" hidden="1">
      <c r="A863" s="82"/>
      <c r="B863" s="65" t="s">
        <v>177</v>
      </c>
      <c r="C863" s="65" t="s">
        <v>106</v>
      </c>
      <c r="D863" s="65" t="str">
        <f>vlookup(C863,'Classificação p pessoal'!F:G,2,false)</f>
        <v>MProcesso</v>
      </c>
      <c r="E863" s="65" t="s">
        <v>583</v>
      </c>
      <c r="F863" s="83">
        <v>0.4166666666666667</v>
      </c>
      <c r="G863" s="83">
        <v>0.4791666666666667</v>
      </c>
      <c r="H863" s="83">
        <v>0.0625</v>
      </c>
      <c r="I863" s="84">
        <v>44467.0</v>
      </c>
      <c r="J863" s="65" t="b">
        <v>1</v>
      </c>
      <c r="K863" s="65"/>
      <c r="L863" s="85" t="b">
        <f>IF(VLOOKUP(C863,Projetos!A:L,12,false)=TRUE,TRUE,FALSE)</f>
        <v>1</v>
      </c>
      <c r="M863" s="74">
        <v>31.02923620430495</v>
      </c>
      <c r="N863" s="74">
        <f t="shared" si="1"/>
        <v>46.54385431</v>
      </c>
      <c r="O863" s="74" t="b">
        <v>1</v>
      </c>
    </row>
    <row r="864" hidden="1">
      <c r="A864" s="82"/>
      <c r="B864" s="65" t="s">
        <v>177</v>
      </c>
      <c r="C864" s="65" t="s">
        <v>108</v>
      </c>
      <c r="D864" s="65" t="str">
        <f>vlookup(C864,'Classificação p pessoal'!F:G,2,false)</f>
        <v>NP</v>
      </c>
      <c r="E864" s="65" t="s">
        <v>584</v>
      </c>
      <c r="F864" s="83">
        <v>0.5833333333333334</v>
      </c>
      <c r="G864" s="83">
        <v>0.625</v>
      </c>
      <c r="H864" s="83">
        <v>0.041666666666666664</v>
      </c>
      <c r="I864" s="84">
        <v>44467.0</v>
      </c>
      <c r="J864" s="65" t="b">
        <v>1</v>
      </c>
      <c r="K864" s="65"/>
      <c r="L864" s="85" t="b">
        <f>IF(VLOOKUP(C864,Projetos!A:L,12,false)=TRUE,TRUE,FALSE)</f>
        <v>1</v>
      </c>
      <c r="M864" s="74">
        <v>31.02923620430495</v>
      </c>
      <c r="N864" s="74">
        <f t="shared" si="1"/>
        <v>31.0292362</v>
      </c>
      <c r="O864" s="74" t="b">
        <v>1</v>
      </c>
    </row>
    <row r="865" hidden="1">
      <c r="A865" s="82"/>
      <c r="B865" s="65" t="s">
        <v>177</v>
      </c>
      <c r="C865" s="65" t="s">
        <v>101</v>
      </c>
      <c r="D865" s="65" t="str">
        <f>vlookup(C865,'Classificação p pessoal'!F:G,2,false)</f>
        <v>NP</v>
      </c>
      <c r="E865" s="65" t="s">
        <v>585</v>
      </c>
      <c r="F865" s="83">
        <v>0.5</v>
      </c>
      <c r="G865" s="83">
        <v>0.53125</v>
      </c>
      <c r="H865" s="83">
        <v>0.03125</v>
      </c>
      <c r="I865" s="84">
        <v>44467.0</v>
      </c>
      <c r="J865" s="65" t="b">
        <v>1</v>
      </c>
      <c r="K865" s="65"/>
      <c r="L865" s="85" t="b">
        <f>IF(VLOOKUP(C865,Projetos!A:L,12,false)=TRUE,TRUE,FALSE)</f>
        <v>1</v>
      </c>
      <c r="M865" s="74">
        <v>31.02923620430495</v>
      </c>
      <c r="N865" s="74">
        <f t="shared" si="1"/>
        <v>23.27192715</v>
      </c>
      <c r="O865" s="74" t="b">
        <v>1</v>
      </c>
    </row>
    <row r="866" hidden="1">
      <c r="A866" s="82"/>
      <c r="B866" s="65" t="s">
        <v>177</v>
      </c>
      <c r="C866" s="65" t="s">
        <v>106</v>
      </c>
      <c r="D866" s="65"/>
      <c r="E866" s="65" t="s">
        <v>586</v>
      </c>
      <c r="F866" s="83">
        <v>0.4791666666666667</v>
      </c>
      <c r="G866" s="83">
        <v>0.5</v>
      </c>
      <c r="H866" s="83">
        <v>0.020833333333333332</v>
      </c>
      <c r="I866" s="84">
        <v>44467.0</v>
      </c>
      <c r="J866" s="65" t="b">
        <v>0</v>
      </c>
      <c r="K866" s="65" t="s">
        <v>150</v>
      </c>
      <c r="L866" s="85" t="b">
        <f>IF(VLOOKUP(C866,Projetos!A:L,12,false)=TRUE,TRUE,FALSE)</f>
        <v>1</v>
      </c>
      <c r="M866" s="74">
        <v>31.02923620430495</v>
      </c>
      <c r="N866" s="74">
        <f t="shared" si="1"/>
        <v>0</v>
      </c>
      <c r="O866" s="74" t="b">
        <v>1</v>
      </c>
    </row>
    <row r="867" hidden="1">
      <c r="A867" s="82"/>
      <c r="B867" s="65" t="s">
        <v>177</v>
      </c>
      <c r="C867" s="65" t="s">
        <v>100</v>
      </c>
      <c r="D867" s="65"/>
      <c r="E867" s="65" t="s">
        <v>587</v>
      </c>
      <c r="F867" s="83">
        <v>0.7083333333333334</v>
      </c>
      <c r="G867" s="83">
        <v>0.75</v>
      </c>
      <c r="H867" s="83">
        <v>0.041666666666666664</v>
      </c>
      <c r="I867" s="84">
        <v>44467.0</v>
      </c>
      <c r="J867" s="65" t="b">
        <v>0</v>
      </c>
      <c r="K867" s="65" t="s">
        <v>150</v>
      </c>
      <c r="L867" s="85" t="b">
        <f>IF(VLOOKUP(C867,Projetos!A:L,12,false)=TRUE,TRUE,FALSE)</f>
        <v>1</v>
      </c>
      <c r="M867" s="74">
        <v>31.02923620430495</v>
      </c>
      <c r="N867" s="74">
        <f t="shared" si="1"/>
        <v>0</v>
      </c>
      <c r="O867" s="74" t="b">
        <v>1</v>
      </c>
    </row>
    <row r="868" hidden="1">
      <c r="A868" s="82"/>
      <c r="B868" s="65" t="s">
        <v>177</v>
      </c>
      <c r="C868" s="65" t="s">
        <v>107</v>
      </c>
      <c r="D868" s="65" t="str">
        <f>vlookup(C868,'Classificação p pessoal'!F:G,2,false)</f>
        <v>NP</v>
      </c>
      <c r="E868" s="65" t="s">
        <v>588</v>
      </c>
      <c r="F868" s="83">
        <v>0.3333333333333333</v>
      </c>
      <c r="G868" s="83">
        <v>0.375</v>
      </c>
      <c r="H868" s="83">
        <v>0.041666666666666664</v>
      </c>
      <c r="I868" s="84">
        <v>44467.0</v>
      </c>
      <c r="J868" s="65" t="b">
        <v>1</v>
      </c>
      <c r="K868" s="65"/>
      <c r="L868" s="85" t="b">
        <f>IF(VLOOKUP(C868,Projetos!A:L,12,false)=TRUE,TRUE,FALSE)</f>
        <v>1</v>
      </c>
      <c r="M868" s="74">
        <v>31.02923620430495</v>
      </c>
      <c r="N868" s="74">
        <f t="shared" si="1"/>
        <v>31.0292362</v>
      </c>
      <c r="O868" s="74" t="b">
        <v>1</v>
      </c>
    </row>
    <row r="869" hidden="1">
      <c r="A869" s="82"/>
      <c r="B869" s="65" t="s">
        <v>177</v>
      </c>
      <c r="C869" s="65" t="s">
        <v>92</v>
      </c>
      <c r="D869" s="65"/>
      <c r="E869" s="65" t="s">
        <v>589</v>
      </c>
      <c r="F869" s="83">
        <v>0.6458333333333334</v>
      </c>
      <c r="G869" s="83">
        <v>0.6875</v>
      </c>
      <c r="H869" s="83">
        <v>0.041666666666666664</v>
      </c>
      <c r="I869" s="84">
        <v>44468.0</v>
      </c>
      <c r="J869" s="65" t="b">
        <v>0</v>
      </c>
      <c r="K869" s="65" t="s">
        <v>150</v>
      </c>
      <c r="L869" s="85" t="b">
        <f>IF(VLOOKUP(C869,Projetos!A:L,12,false)=TRUE,TRUE,FALSE)</f>
        <v>1</v>
      </c>
      <c r="M869" s="74">
        <v>31.02923620430495</v>
      </c>
      <c r="N869" s="74">
        <f t="shared" si="1"/>
        <v>0</v>
      </c>
      <c r="O869" s="74" t="b">
        <v>1</v>
      </c>
    </row>
    <row r="870" hidden="1">
      <c r="A870" s="82"/>
      <c r="B870" s="65" t="s">
        <v>495</v>
      </c>
      <c r="C870" s="65" t="s">
        <v>92</v>
      </c>
      <c r="D870" s="65" t="str">
        <f>vlookup(C870,'Classificação p pessoal'!F:G,2,false)</f>
        <v/>
      </c>
      <c r="E870" s="65" t="s">
        <v>590</v>
      </c>
      <c r="F870" s="83">
        <v>0.5972222222222222</v>
      </c>
      <c r="G870" s="83">
        <v>0.6666666666666666</v>
      </c>
      <c r="H870" s="83">
        <v>0.06944444444444445</v>
      </c>
      <c r="I870" s="84">
        <v>44281.0</v>
      </c>
      <c r="J870" s="65" t="b">
        <v>1</v>
      </c>
      <c r="K870" s="65"/>
      <c r="L870" s="85" t="b">
        <f>IF(VLOOKUP(C870,Projetos!A:L,12,false)=TRUE,TRUE,FALSE)</f>
        <v>1</v>
      </c>
      <c r="M870" s="74">
        <v>73.7079846079846</v>
      </c>
      <c r="N870" s="74">
        <f t="shared" si="1"/>
        <v>122.846641</v>
      </c>
      <c r="O870" s="74" t="b">
        <v>1</v>
      </c>
    </row>
    <row r="871" hidden="1">
      <c r="A871" s="82"/>
      <c r="B871" s="65" t="s">
        <v>177</v>
      </c>
      <c r="C871" s="65" t="s">
        <v>91</v>
      </c>
      <c r="D871" s="65" t="str">
        <f>vlookup(C871,'Classificação p pessoal'!F:G,2,false)</f>
        <v>NP</v>
      </c>
      <c r="E871" s="65" t="s">
        <v>591</v>
      </c>
      <c r="F871" s="83">
        <v>0.4583333333333333</v>
      </c>
      <c r="G871" s="83">
        <v>0.5416666666666666</v>
      </c>
      <c r="H871" s="83">
        <v>0.08333333333333333</v>
      </c>
      <c r="I871" s="84">
        <v>44468.0</v>
      </c>
      <c r="J871" s="65" t="b">
        <v>1</v>
      </c>
      <c r="K871" s="65"/>
      <c r="L871" s="85" t="b">
        <f>IF(VLOOKUP(C871,Projetos!A:L,12,false)=TRUE,TRUE,FALSE)</f>
        <v>1</v>
      </c>
      <c r="M871" s="74">
        <v>31.02923620430495</v>
      </c>
      <c r="N871" s="74">
        <f t="shared" si="1"/>
        <v>62.05847241</v>
      </c>
      <c r="O871" s="74" t="b">
        <v>1</v>
      </c>
    </row>
    <row r="872" hidden="1">
      <c r="A872" s="82"/>
      <c r="B872" s="65" t="s">
        <v>177</v>
      </c>
      <c r="C872" s="65" t="s">
        <v>130</v>
      </c>
      <c r="D872" s="65" t="str">
        <f>vlookup(C872,'Classificação p pessoal'!F:G,2,false)</f>
        <v>NP</v>
      </c>
      <c r="E872" s="65" t="s">
        <v>592</v>
      </c>
      <c r="F872" s="83">
        <v>0.3541666666666667</v>
      </c>
      <c r="G872" s="83">
        <v>0.5416666666666666</v>
      </c>
      <c r="H872" s="83">
        <v>0.1875</v>
      </c>
      <c r="I872" s="84">
        <v>44470.0</v>
      </c>
      <c r="J872" s="65" t="b">
        <v>1</v>
      </c>
      <c r="K872" s="65"/>
      <c r="L872" s="85" t="b">
        <f>IF(VLOOKUP(C872,Projetos!A:L,12,false)=TRUE,TRUE,FALSE)</f>
        <v>1</v>
      </c>
      <c r="M872" s="74">
        <v>31.02923620430495</v>
      </c>
      <c r="N872" s="74">
        <f t="shared" si="1"/>
        <v>139.6315629</v>
      </c>
      <c r="O872" s="74" t="b">
        <v>1</v>
      </c>
    </row>
    <row r="873" hidden="1">
      <c r="A873" s="82"/>
      <c r="B873" s="65" t="s">
        <v>177</v>
      </c>
      <c r="C873" s="65" t="s">
        <v>118</v>
      </c>
      <c r="D873" s="65"/>
      <c r="E873" s="65" t="s">
        <v>593</v>
      </c>
      <c r="F873" s="83">
        <v>0.4791666666666667</v>
      </c>
      <c r="G873" s="83">
        <v>0.5208333333333334</v>
      </c>
      <c r="H873" s="83">
        <v>0.041666666666666664</v>
      </c>
      <c r="I873" s="84">
        <v>44418.0</v>
      </c>
      <c r="J873" s="65" t="b">
        <v>0</v>
      </c>
      <c r="K873" s="65" t="s">
        <v>150</v>
      </c>
      <c r="L873" s="85" t="b">
        <f>IF(VLOOKUP(C873,Projetos!A:L,12,false)=TRUE,TRUE,FALSE)</f>
        <v>1</v>
      </c>
      <c r="M873" s="74">
        <v>31.02923620430495</v>
      </c>
      <c r="N873" s="74">
        <f t="shared" si="1"/>
        <v>0</v>
      </c>
      <c r="O873" s="74" t="b">
        <v>1</v>
      </c>
    </row>
    <row r="874" hidden="1">
      <c r="A874" s="82"/>
      <c r="B874" s="65" t="s">
        <v>177</v>
      </c>
      <c r="C874" s="65" t="s">
        <v>101</v>
      </c>
      <c r="D874" s="65" t="str">
        <f>vlookup(C874,'Classificação p pessoal'!F:G,2,false)</f>
        <v>NP</v>
      </c>
      <c r="E874" s="65" t="s">
        <v>594</v>
      </c>
      <c r="F874" s="83">
        <v>0.3541666666666667</v>
      </c>
      <c r="G874" s="83">
        <v>0.375</v>
      </c>
      <c r="H874" s="83">
        <v>0.020833333333333332</v>
      </c>
      <c r="I874" s="84">
        <v>44473.0</v>
      </c>
      <c r="J874" s="65" t="b">
        <v>1</v>
      </c>
      <c r="K874" s="65"/>
      <c r="L874" s="85" t="b">
        <f>IF(VLOOKUP(C874,Projetos!A:L,12,false)=TRUE,TRUE,FALSE)</f>
        <v>1</v>
      </c>
      <c r="M874" s="74">
        <v>31.02923620430495</v>
      </c>
      <c r="N874" s="74">
        <f t="shared" si="1"/>
        <v>15.5146181</v>
      </c>
      <c r="O874" s="74" t="b">
        <v>1</v>
      </c>
    </row>
    <row r="875" hidden="1">
      <c r="A875" s="82"/>
      <c r="B875" s="65" t="s">
        <v>177</v>
      </c>
      <c r="C875" s="65" t="s">
        <v>92</v>
      </c>
      <c r="D875" s="65" t="str">
        <f>vlookup(C875,'Classificação p pessoal'!F:G,2,false)</f>
        <v/>
      </c>
      <c r="E875" s="65" t="s">
        <v>595</v>
      </c>
      <c r="F875" s="83">
        <v>0.4375</v>
      </c>
      <c r="G875" s="83">
        <v>0.5</v>
      </c>
      <c r="H875" s="83">
        <v>0.0625</v>
      </c>
      <c r="I875" s="84">
        <v>44474.0</v>
      </c>
      <c r="J875" s="65" t="b">
        <v>1</v>
      </c>
      <c r="K875" s="65"/>
      <c r="L875" s="85" t="b">
        <f>IF(VLOOKUP(C875,Projetos!A:L,12,false)=TRUE,TRUE,FALSE)</f>
        <v>1</v>
      </c>
      <c r="M875" s="74">
        <v>31.02923620430495</v>
      </c>
      <c r="N875" s="74">
        <f t="shared" si="1"/>
        <v>46.54385431</v>
      </c>
      <c r="O875" s="74" t="b">
        <v>1</v>
      </c>
    </row>
    <row r="876" hidden="1">
      <c r="A876" s="82"/>
      <c r="B876" s="65" t="s">
        <v>177</v>
      </c>
      <c r="C876" s="65" t="s">
        <v>101</v>
      </c>
      <c r="D876" s="65" t="str">
        <f>vlookup(C876,'Classificação p pessoal'!F:G,2,false)</f>
        <v>NP</v>
      </c>
      <c r="E876" s="65" t="s">
        <v>596</v>
      </c>
      <c r="F876" s="83">
        <v>0.3541666666666667</v>
      </c>
      <c r="G876" s="83">
        <v>0.5416666666666666</v>
      </c>
      <c r="H876" s="83">
        <v>0.1875</v>
      </c>
      <c r="I876" s="84">
        <v>44525.0</v>
      </c>
      <c r="J876" s="65" t="b">
        <v>1</v>
      </c>
      <c r="K876" s="65"/>
      <c r="L876" s="85" t="b">
        <f>IF(VLOOKUP(C876,Projetos!A:L,12,false)=TRUE,TRUE,FALSE)</f>
        <v>1</v>
      </c>
      <c r="M876" s="74">
        <v>31.02923620430495</v>
      </c>
      <c r="N876" s="74">
        <f t="shared" si="1"/>
        <v>139.6315629</v>
      </c>
      <c r="O876" s="74" t="b">
        <v>1</v>
      </c>
    </row>
    <row r="877" hidden="1">
      <c r="A877" s="82"/>
      <c r="B877" s="65" t="s">
        <v>177</v>
      </c>
      <c r="C877" s="65" t="s">
        <v>99</v>
      </c>
      <c r="D877" s="65"/>
      <c r="E877" s="65" t="s">
        <v>597</v>
      </c>
      <c r="F877" s="83">
        <v>0.375</v>
      </c>
      <c r="G877" s="83">
        <v>0.4375</v>
      </c>
      <c r="H877" s="83">
        <v>0.0625</v>
      </c>
      <c r="I877" s="84">
        <v>44474.0</v>
      </c>
      <c r="J877" s="65" t="b">
        <v>0</v>
      </c>
      <c r="K877" s="65" t="s">
        <v>150</v>
      </c>
      <c r="L877" s="85" t="b">
        <f>IF(VLOOKUP(C877,Projetos!A:L,12,false)=TRUE,TRUE,FALSE)</f>
        <v>1</v>
      </c>
      <c r="M877" s="74">
        <v>31.02923620430495</v>
      </c>
      <c r="N877" s="74">
        <f t="shared" si="1"/>
        <v>0</v>
      </c>
      <c r="O877" s="74" t="b">
        <v>1</v>
      </c>
    </row>
    <row r="878" hidden="1">
      <c r="A878" s="82"/>
      <c r="B878" s="65" t="s">
        <v>177</v>
      </c>
      <c r="C878" s="65" t="s">
        <v>106</v>
      </c>
      <c r="D878" s="65" t="str">
        <f>vlookup(C878,'Classificação p pessoal'!F:G,2,false)</f>
        <v>MProcesso</v>
      </c>
      <c r="E878" s="65" t="s">
        <v>598</v>
      </c>
      <c r="F878" s="83">
        <v>0.5694444444444444</v>
      </c>
      <c r="G878" s="83">
        <v>0.5833333333333334</v>
      </c>
      <c r="H878" s="83">
        <v>0.013888888888888888</v>
      </c>
      <c r="I878" s="84">
        <v>44474.0</v>
      </c>
      <c r="J878" s="65" t="b">
        <v>1</v>
      </c>
      <c r="K878" s="65"/>
      <c r="L878" s="85" t="b">
        <f>IF(VLOOKUP(C878,Projetos!A:L,12,false)=TRUE,TRUE,FALSE)</f>
        <v>1</v>
      </c>
      <c r="M878" s="74">
        <v>31.02923620430495</v>
      </c>
      <c r="N878" s="74">
        <f t="shared" si="1"/>
        <v>10.34307873</v>
      </c>
      <c r="O878" s="74" t="b">
        <v>1</v>
      </c>
    </row>
    <row r="879" hidden="1">
      <c r="A879" s="82"/>
      <c r="B879" s="65" t="s">
        <v>177</v>
      </c>
      <c r="C879" s="65" t="s">
        <v>108</v>
      </c>
      <c r="D879" s="65" t="str">
        <f>vlookup(C879,'Classificação p pessoal'!F:G,2,false)</f>
        <v>NP</v>
      </c>
      <c r="E879" s="65" t="s">
        <v>599</v>
      </c>
      <c r="F879" s="83">
        <v>0.5833333333333334</v>
      </c>
      <c r="G879" s="83">
        <v>0.6145833333333334</v>
      </c>
      <c r="H879" s="83">
        <v>0.03125</v>
      </c>
      <c r="I879" s="84">
        <v>44474.0</v>
      </c>
      <c r="J879" s="65" t="b">
        <v>1</v>
      </c>
      <c r="K879" s="65"/>
      <c r="L879" s="85" t="b">
        <f>IF(VLOOKUP(C879,Projetos!A:L,12,false)=TRUE,TRUE,FALSE)</f>
        <v>1</v>
      </c>
      <c r="M879" s="74">
        <v>31.02923620430495</v>
      </c>
      <c r="N879" s="74">
        <f t="shared" si="1"/>
        <v>23.27192715</v>
      </c>
      <c r="O879" s="74" t="b">
        <v>1</v>
      </c>
    </row>
    <row r="880" hidden="1">
      <c r="A880" s="82"/>
      <c r="B880" s="65" t="s">
        <v>177</v>
      </c>
      <c r="C880" s="65" t="s">
        <v>130</v>
      </c>
      <c r="D880" s="65" t="str">
        <f>vlookup(C880,'Classificação p pessoal'!F:G,2,false)</f>
        <v>NP</v>
      </c>
      <c r="E880" s="65" t="s">
        <v>600</v>
      </c>
      <c r="F880" s="83">
        <v>0.5625</v>
      </c>
      <c r="G880" s="83">
        <v>0.75</v>
      </c>
      <c r="H880" s="83">
        <v>0.1875</v>
      </c>
      <c r="I880" s="84">
        <v>44475.0</v>
      </c>
      <c r="J880" s="65" t="b">
        <v>1</v>
      </c>
      <c r="K880" s="65"/>
      <c r="L880" s="85" t="b">
        <f>IF(VLOOKUP(C880,Projetos!A:L,12,false)=TRUE,TRUE,FALSE)</f>
        <v>1</v>
      </c>
      <c r="M880" s="74">
        <v>31.02923620430495</v>
      </c>
      <c r="N880" s="74">
        <f t="shared" si="1"/>
        <v>139.6315629</v>
      </c>
      <c r="O880" s="74" t="b">
        <v>1</v>
      </c>
    </row>
    <row r="881" hidden="1">
      <c r="A881" s="82"/>
      <c r="B881" s="65" t="s">
        <v>177</v>
      </c>
      <c r="C881" s="65" t="s">
        <v>106</v>
      </c>
      <c r="D881" s="65" t="str">
        <f>vlookup(C881,'Classificação p pessoal'!F:G,2,false)</f>
        <v>MProcesso</v>
      </c>
      <c r="E881" s="65" t="s">
        <v>601</v>
      </c>
      <c r="F881" s="83">
        <v>0.6666666666666666</v>
      </c>
      <c r="G881" s="83">
        <v>0.7708333333333334</v>
      </c>
      <c r="H881" s="83">
        <v>0.10416666666666667</v>
      </c>
      <c r="I881" s="84">
        <v>44476.0</v>
      </c>
      <c r="J881" s="65" t="b">
        <v>1</v>
      </c>
      <c r="K881" s="65"/>
      <c r="L881" s="85" t="b">
        <f>IF(VLOOKUP(C881,Projetos!A:L,12,false)=TRUE,TRUE,FALSE)</f>
        <v>1</v>
      </c>
      <c r="M881" s="74">
        <v>31.02923620430495</v>
      </c>
      <c r="N881" s="74">
        <f t="shared" si="1"/>
        <v>77.57309051</v>
      </c>
      <c r="O881" s="74" t="b">
        <v>1</v>
      </c>
    </row>
    <row r="882" hidden="1">
      <c r="A882" s="82"/>
      <c r="B882" s="65" t="s">
        <v>177</v>
      </c>
      <c r="C882" s="65" t="s">
        <v>120</v>
      </c>
      <c r="D882" s="65"/>
      <c r="E882" s="65" t="s">
        <v>602</v>
      </c>
      <c r="F882" s="83">
        <v>0.5833333333333334</v>
      </c>
      <c r="G882" s="83">
        <v>0.6666666666666666</v>
      </c>
      <c r="H882" s="83">
        <v>0.08333333333333333</v>
      </c>
      <c r="I882" s="84">
        <v>44476.0</v>
      </c>
      <c r="J882" s="65" t="b">
        <v>0</v>
      </c>
      <c r="K882" s="65" t="s">
        <v>150</v>
      </c>
      <c r="L882" s="85" t="b">
        <f>IF(VLOOKUP(C882,Projetos!A:L,12,false)=TRUE,TRUE,FALSE)</f>
        <v>0</v>
      </c>
      <c r="M882" s="74">
        <v>31.02923620430495</v>
      </c>
      <c r="N882" s="74">
        <f t="shared" si="1"/>
        <v>0</v>
      </c>
      <c r="O882" s="74" t="b">
        <v>0</v>
      </c>
    </row>
    <row r="883" hidden="1">
      <c r="A883" s="82"/>
      <c r="B883" s="65" t="s">
        <v>177</v>
      </c>
      <c r="C883" s="65" t="s">
        <v>92</v>
      </c>
      <c r="D883" s="65" t="str">
        <f>vlookup(C883,'Classificação p pessoal'!F:G,2,false)</f>
        <v/>
      </c>
      <c r="E883" s="65" t="s">
        <v>603</v>
      </c>
      <c r="F883" s="83">
        <v>0.3541666666666667</v>
      </c>
      <c r="G883" s="83">
        <v>0.375</v>
      </c>
      <c r="H883" s="83">
        <v>0.020833333333333332</v>
      </c>
      <c r="I883" s="84">
        <v>44509.0</v>
      </c>
      <c r="J883" s="65" t="b">
        <v>1</v>
      </c>
      <c r="K883" s="65"/>
      <c r="L883" s="85" t="b">
        <f>IF(VLOOKUP(C883,Projetos!A:L,12,false)=TRUE,TRUE,FALSE)</f>
        <v>1</v>
      </c>
      <c r="M883" s="74">
        <v>31.02923620430495</v>
      </c>
      <c r="N883" s="74">
        <f t="shared" si="1"/>
        <v>15.5146181</v>
      </c>
      <c r="O883" s="74" t="b">
        <v>1</v>
      </c>
    </row>
    <row r="884" hidden="1">
      <c r="A884" s="82"/>
      <c r="B884" s="65" t="s">
        <v>177</v>
      </c>
      <c r="C884" s="65" t="s">
        <v>101</v>
      </c>
      <c r="D884" s="65" t="str">
        <f>vlookup(C884,'Classificação p pessoal'!F:G,2,false)</f>
        <v>NP</v>
      </c>
      <c r="E884" s="65" t="s">
        <v>604</v>
      </c>
      <c r="F884" s="83">
        <v>0.3958333333333333</v>
      </c>
      <c r="G884" s="83">
        <v>0.4166666666666667</v>
      </c>
      <c r="H884" s="83">
        <v>0.020833333333333332</v>
      </c>
      <c r="I884" s="84">
        <v>44477.0</v>
      </c>
      <c r="J884" s="65" t="b">
        <v>1</v>
      </c>
      <c r="K884" s="65"/>
      <c r="L884" s="85" t="b">
        <f>IF(VLOOKUP(C884,Projetos!A:L,12,false)=TRUE,TRUE,FALSE)</f>
        <v>1</v>
      </c>
      <c r="M884" s="74">
        <v>31.02923620430495</v>
      </c>
      <c r="N884" s="74">
        <f t="shared" si="1"/>
        <v>15.5146181</v>
      </c>
      <c r="O884" s="74" t="b">
        <v>1</v>
      </c>
    </row>
    <row r="885" hidden="1">
      <c r="A885" s="82"/>
      <c r="B885" s="65" t="s">
        <v>177</v>
      </c>
      <c r="C885" s="65" t="s">
        <v>106</v>
      </c>
      <c r="D885" s="65" t="str">
        <f>vlookup(C885,'Classificação p pessoal'!F:G,2,false)</f>
        <v>MProcesso</v>
      </c>
      <c r="E885" s="65" t="s">
        <v>605</v>
      </c>
      <c r="F885" s="83">
        <v>0.3958333333333333</v>
      </c>
      <c r="G885" s="83">
        <v>0.4166666666666667</v>
      </c>
      <c r="H885" s="83">
        <v>0.020833333333333332</v>
      </c>
      <c r="I885" s="84">
        <v>44480.0</v>
      </c>
      <c r="J885" s="65" t="b">
        <v>1</v>
      </c>
      <c r="K885" s="65"/>
      <c r="L885" s="85" t="b">
        <f>IF(VLOOKUP(C885,Projetos!A:L,12,false)=TRUE,TRUE,FALSE)</f>
        <v>1</v>
      </c>
      <c r="M885" s="74">
        <v>31.02923620430495</v>
      </c>
      <c r="N885" s="74">
        <f t="shared" si="1"/>
        <v>15.5146181</v>
      </c>
      <c r="O885" s="74" t="b">
        <v>1</v>
      </c>
    </row>
    <row r="886" hidden="1">
      <c r="A886" s="82"/>
      <c r="B886" s="65" t="s">
        <v>177</v>
      </c>
      <c r="C886" s="65" t="s">
        <v>106</v>
      </c>
      <c r="D886" s="65" t="str">
        <f>vlookup(C886,'Classificação p pessoal'!F:G,2,false)</f>
        <v>MProcesso</v>
      </c>
      <c r="E886" s="65" t="s">
        <v>606</v>
      </c>
      <c r="F886" s="83">
        <v>0.4375</v>
      </c>
      <c r="G886" s="83">
        <v>0.4583333333333333</v>
      </c>
      <c r="H886" s="83">
        <v>0.020833333333333332</v>
      </c>
      <c r="I886" s="84">
        <v>44480.0</v>
      </c>
      <c r="J886" s="65" t="b">
        <v>1</v>
      </c>
      <c r="K886" s="65"/>
      <c r="L886" s="85" t="b">
        <f>IF(VLOOKUP(C886,Projetos!A:L,12,false)=TRUE,TRUE,FALSE)</f>
        <v>1</v>
      </c>
      <c r="M886" s="74">
        <v>31.02923620430495</v>
      </c>
      <c r="N886" s="74">
        <f t="shared" si="1"/>
        <v>15.5146181</v>
      </c>
      <c r="O886" s="74" t="b">
        <v>1</v>
      </c>
    </row>
    <row r="887" hidden="1">
      <c r="A887" s="82"/>
      <c r="B887" s="65" t="s">
        <v>177</v>
      </c>
      <c r="C887" s="65" t="s">
        <v>130</v>
      </c>
      <c r="D887" s="65"/>
      <c r="E887" s="65" t="s">
        <v>607</v>
      </c>
      <c r="F887" s="83">
        <v>0.3958333333333333</v>
      </c>
      <c r="G887" s="83">
        <v>0.4375</v>
      </c>
      <c r="H887" s="83">
        <v>0.041666666666666664</v>
      </c>
      <c r="I887" s="84">
        <v>44482.0</v>
      </c>
      <c r="J887" s="65" t="b">
        <v>0</v>
      </c>
      <c r="K887" s="65" t="s">
        <v>150</v>
      </c>
      <c r="L887" s="85" t="b">
        <f>IF(VLOOKUP(C887,Projetos!A:L,12,false)=TRUE,TRUE,FALSE)</f>
        <v>1</v>
      </c>
      <c r="M887" s="74">
        <v>31.02923620430495</v>
      </c>
      <c r="N887" s="74">
        <f t="shared" si="1"/>
        <v>0</v>
      </c>
      <c r="O887" s="74" t="b">
        <v>1</v>
      </c>
    </row>
    <row r="888" hidden="1">
      <c r="A888" s="82"/>
      <c r="B888" s="65" t="s">
        <v>177</v>
      </c>
      <c r="C888" s="65" t="s">
        <v>92</v>
      </c>
      <c r="D888" s="65" t="str">
        <f>vlookup(C888,'Classificação p pessoal'!F:G,2,false)</f>
        <v/>
      </c>
      <c r="E888" s="65" t="s">
        <v>608</v>
      </c>
      <c r="F888" s="83">
        <v>0.625</v>
      </c>
      <c r="G888" s="83">
        <v>0.6458333333333334</v>
      </c>
      <c r="H888" s="83">
        <v>0.020833333333333332</v>
      </c>
      <c r="I888" s="84">
        <v>44518.0</v>
      </c>
      <c r="J888" s="65" t="b">
        <v>1</v>
      </c>
      <c r="K888" s="65"/>
      <c r="L888" s="85" t="b">
        <f>IF(VLOOKUP(C888,Projetos!A:L,12,false)=TRUE,TRUE,FALSE)</f>
        <v>1</v>
      </c>
      <c r="M888" s="74">
        <v>31.02923620430495</v>
      </c>
      <c r="N888" s="74">
        <f t="shared" si="1"/>
        <v>15.5146181</v>
      </c>
      <c r="O888" s="74" t="b">
        <v>1</v>
      </c>
    </row>
    <row r="889" hidden="1">
      <c r="A889" s="82"/>
      <c r="B889" s="65" t="s">
        <v>177</v>
      </c>
      <c r="C889" s="65" t="s">
        <v>100</v>
      </c>
      <c r="D889" s="65"/>
      <c r="E889" s="65" t="s">
        <v>609</v>
      </c>
      <c r="F889" s="83">
        <v>0.4583333333333333</v>
      </c>
      <c r="G889" s="83">
        <v>0.4791666666666667</v>
      </c>
      <c r="H889" s="83">
        <v>0.020833333333333332</v>
      </c>
      <c r="I889" s="84">
        <v>44482.0</v>
      </c>
      <c r="J889" s="65" t="b">
        <v>0</v>
      </c>
      <c r="K889" s="65" t="s">
        <v>150</v>
      </c>
      <c r="L889" s="85" t="b">
        <f>IF(VLOOKUP(C889,Projetos!A:L,12,false)=TRUE,TRUE,FALSE)</f>
        <v>1</v>
      </c>
      <c r="M889" s="74">
        <v>31.02923620430495</v>
      </c>
      <c r="N889" s="74">
        <f t="shared" si="1"/>
        <v>0</v>
      </c>
      <c r="O889" s="74" t="b">
        <v>1</v>
      </c>
    </row>
    <row r="890" hidden="1">
      <c r="A890" s="82"/>
      <c r="B890" s="65" t="s">
        <v>177</v>
      </c>
      <c r="C890" s="65" t="s">
        <v>92</v>
      </c>
      <c r="D890" s="65" t="str">
        <f>vlookup(C890,'Classificação p pessoal'!F:G,2,false)</f>
        <v/>
      </c>
      <c r="E890" s="65" t="s">
        <v>610</v>
      </c>
      <c r="F890" s="83">
        <v>0.3541666666666667</v>
      </c>
      <c r="G890" s="83">
        <v>0.3958333333333333</v>
      </c>
      <c r="H890" s="83">
        <v>0.041666666666666664</v>
      </c>
      <c r="I890" s="84">
        <v>44483.0</v>
      </c>
      <c r="J890" s="65" t="b">
        <v>1</v>
      </c>
      <c r="K890" s="65"/>
      <c r="L890" s="85" t="b">
        <f>IF(VLOOKUP(C890,Projetos!A:L,12,false)=TRUE,TRUE,FALSE)</f>
        <v>1</v>
      </c>
      <c r="M890" s="74">
        <v>31.02923620430495</v>
      </c>
      <c r="N890" s="74">
        <f t="shared" si="1"/>
        <v>31.0292362</v>
      </c>
      <c r="O890" s="74" t="b">
        <v>1</v>
      </c>
    </row>
    <row r="891" hidden="1">
      <c r="A891" s="82"/>
      <c r="B891" s="65" t="s">
        <v>177</v>
      </c>
      <c r="C891" s="65" t="s">
        <v>101</v>
      </c>
      <c r="D891" s="65" t="str">
        <f>vlookup(C891,'Classificação p pessoal'!F:G,2,false)</f>
        <v>NP</v>
      </c>
      <c r="E891" s="65" t="s">
        <v>611</v>
      </c>
      <c r="F891" s="83">
        <v>0.3958333333333333</v>
      </c>
      <c r="G891" s="83">
        <v>0.4166666666666667</v>
      </c>
      <c r="H891" s="83">
        <v>0.020833333333333332</v>
      </c>
      <c r="I891" s="84">
        <v>44483.0</v>
      </c>
      <c r="J891" s="65" t="b">
        <v>1</v>
      </c>
      <c r="K891" s="65"/>
      <c r="L891" s="85" t="b">
        <f>IF(VLOOKUP(C891,Projetos!A:L,12,false)=TRUE,TRUE,FALSE)</f>
        <v>1</v>
      </c>
      <c r="M891" s="74">
        <v>31.02923620430495</v>
      </c>
      <c r="N891" s="74">
        <f t="shared" si="1"/>
        <v>15.5146181</v>
      </c>
      <c r="O891" s="74" t="b">
        <v>1</v>
      </c>
    </row>
    <row r="892" hidden="1">
      <c r="A892" s="82"/>
      <c r="B892" s="65" t="s">
        <v>177</v>
      </c>
      <c r="C892" s="65" t="s">
        <v>100</v>
      </c>
      <c r="D892" s="65" t="str">
        <f>vlookup(C892,'Classificação p pessoal'!F:G,2,false)</f>
        <v>NP</v>
      </c>
      <c r="E892" s="65" t="s">
        <v>612</v>
      </c>
      <c r="F892" s="83">
        <v>0.5208333333333334</v>
      </c>
      <c r="G892" s="83">
        <v>0.5416666666666666</v>
      </c>
      <c r="H892" s="83">
        <v>0.020833333333333332</v>
      </c>
      <c r="I892" s="84">
        <v>44546.0</v>
      </c>
      <c r="J892" s="65" t="b">
        <v>1</v>
      </c>
      <c r="K892" s="65"/>
      <c r="L892" s="85" t="b">
        <f>IF(VLOOKUP(C892,Projetos!A:L,12,false)=TRUE,TRUE,FALSE)</f>
        <v>1</v>
      </c>
      <c r="M892" s="74">
        <v>31.02923620430495</v>
      </c>
      <c r="N892" s="74">
        <f t="shared" si="1"/>
        <v>15.5146181</v>
      </c>
      <c r="O892" s="74" t="b">
        <v>1</v>
      </c>
    </row>
    <row r="893" hidden="1">
      <c r="A893" s="82"/>
      <c r="B893" s="65" t="s">
        <v>177</v>
      </c>
      <c r="C893" s="65" t="s">
        <v>106</v>
      </c>
      <c r="D893" s="65" t="str">
        <f>vlookup(C893,'Classificação p pessoal'!F:G,2,false)</f>
        <v>MProcesso</v>
      </c>
      <c r="E893" s="65" t="s">
        <v>613</v>
      </c>
      <c r="F893" s="83">
        <v>0.4375</v>
      </c>
      <c r="G893" s="83">
        <v>0.46875</v>
      </c>
      <c r="H893" s="83">
        <v>0.03125</v>
      </c>
      <c r="I893" s="84">
        <v>44425.0</v>
      </c>
      <c r="J893" s="65" t="b">
        <v>1</v>
      </c>
      <c r="K893" s="65"/>
      <c r="L893" s="85" t="b">
        <f>IF(VLOOKUP(C893,Projetos!A:L,12,false)=TRUE,TRUE,FALSE)</f>
        <v>1</v>
      </c>
      <c r="M893" s="74">
        <v>31.02923620430495</v>
      </c>
      <c r="N893" s="74">
        <f t="shared" si="1"/>
        <v>23.27192715</v>
      </c>
      <c r="O893" s="74" t="b">
        <v>1</v>
      </c>
    </row>
    <row r="894" hidden="1">
      <c r="A894" s="82"/>
      <c r="B894" s="65" t="s">
        <v>177</v>
      </c>
      <c r="C894" s="65" t="s">
        <v>88</v>
      </c>
      <c r="D894" s="65"/>
      <c r="E894" s="65" t="s">
        <v>614</v>
      </c>
      <c r="F894" s="83">
        <v>0.625</v>
      </c>
      <c r="G894" s="83">
        <v>0.6666666666666666</v>
      </c>
      <c r="H894" s="83">
        <v>0.041666666666666664</v>
      </c>
      <c r="I894" s="84">
        <v>44484.0</v>
      </c>
      <c r="J894" s="65" t="b">
        <v>0</v>
      </c>
      <c r="K894" s="65" t="s">
        <v>150</v>
      </c>
      <c r="L894" s="85" t="b">
        <f>IF(VLOOKUP(C894,Projetos!A:L,12,false)=TRUE,TRUE,FALSE)</f>
        <v>1</v>
      </c>
      <c r="M894" s="74">
        <v>31.02923620430495</v>
      </c>
      <c r="N894" s="74">
        <f t="shared" si="1"/>
        <v>0</v>
      </c>
      <c r="O894" s="74" t="b">
        <v>1</v>
      </c>
    </row>
    <row r="895" hidden="1">
      <c r="A895" s="82"/>
      <c r="B895" s="65" t="s">
        <v>177</v>
      </c>
      <c r="C895" s="65" t="s">
        <v>100</v>
      </c>
      <c r="D895" s="65"/>
      <c r="E895" s="65" t="s">
        <v>615</v>
      </c>
      <c r="F895" s="83">
        <v>0.375</v>
      </c>
      <c r="G895" s="83">
        <v>0.4166666666666667</v>
      </c>
      <c r="H895" s="83">
        <v>0.041666666666666664</v>
      </c>
      <c r="I895" s="84">
        <v>44518.0</v>
      </c>
      <c r="J895" s="65" t="b">
        <v>0</v>
      </c>
      <c r="K895" s="65" t="s">
        <v>150</v>
      </c>
      <c r="L895" s="85" t="b">
        <f>IF(VLOOKUP(C895,Projetos!A:L,12,false)=TRUE,TRUE,FALSE)</f>
        <v>1</v>
      </c>
      <c r="M895" s="74">
        <v>31.02923620430495</v>
      </c>
      <c r="N895" s="74">
        <f t="shared" si="1"/>
        <v>0</v>
      </c>
      <c r="O895" s="74" t="b">
        <v>1</v>
      </c>
    </row>
    <row r="896" hidden="1">
      <c r="A896" s="82"/>
      <c r="B896" s="65" t="s">
        <v>177</v>
      </c>
      <c r="C896" s="65" t="s">
        <v>117</v>
      </c>
      <c r="D896" s="65" t="str">
        <f>vlookup(C896,'Classificação p pessoal'!F:G,2,false)</f>
        <v>NP</v>
      </c>
      <c r="E896" s="65" t="s">
        <v>616</v>
      </c>
      <c r="F896" s="83">
        <v>0.6666666666666666</v>
      </c>
      <c r="G896" s="83">
        <v>0.6979166666666666</v>
      </c>
      <c r="H896" s="83">
        <v>0.03125</v>
      </c>
      <c r="I896" s="84">
        <v>44484.0</v>
      </c>
      <c r="J896" s="65" t="b">
        <v>1</v>
      </c>
      <c r="K896" s="65"/>
      <c r="L896" s="85" t="b">
        <f>IF(VLOOKUP(C896,Projetos!A:L,12,false)=TRUE,TRUE,FALSE)</f>
        <v>1</v>
      </c>
      <c r="M896" s="74">
        <v>31.02923620430495</v>
      </c>
      <c r="N896" s="74">
        <f t="shared" si="1"/>
        <v>23.27192715</v>
      </c>
      <c r="O896" s="74" t="b">
        <v>1</v>
      </c>
    </row>
    <row r="897" hidden="1">
      <c r="A897" s="82"/>
      <c r="B897" s="65" t="s">
        <v>177</v>
      </c>
      <c r="C897" s="65" t="s">
        <v>130</v>
      </c>
      <c r="D897" s="65" t="str">
        <f>vlookup(C897,'Classificação p pessoal'!F:G,2,false)</f>
        <v>NP</v>
      </c>
      <c r="E897" s="65" t="s">
        <v>617</v>
      </c>
      <c r="F897" s="83">
        <v>0.5416666666666666</v>
      </c>
      <c r="G897" s="83">
        <v>0.75</v>
      </c>
      <c r="H897" s="83">
        <v>0.20833333333333334</v>
      </c>
      <c r="I897" s="84">
        <v>44518.0</v>
      </c>
      <c r="J897" s="65" t="b">
        <v>1</v>
      </c>
      <c r="K897" s="65"/>
      <c r="L897" s="85" t="b">
        <f>IF(VLOOKUP(C897,Projetos!A:L,12,false)=TRUE,TRUE,FALSE)</f>
        <v>1</v>
      </c>
      <c r="M897" s="74">
        <v>31.02923620430495</v>
      </c>
      <c r="N897" s="74">
        <f t="shared" si="1"/>
        <v>155.146181</v>
      </c>
      <c r="O897" s="74" t="b">
        <v>1</v>
      </c>
    </row>
    <row r="898" hidden="1">
      <c r="A898" s="82"/>
      <c r="B898" s="65" t="s">
        <v>177</v>
      </c>
      <c r="C898" s="65" t="s">
        <v>91</v>
      </c>
      <c r="D898" s="65" t="str">
        <f>vlookup(C898,'Classificação p pessoal'!F:G,2,false)</f>
        <v>NP</v>
      </c>
      <c r="E898" s="65" t="s">
        <v>618</v>
      </c>
      <c r="F898" s="83">
        <v>0.3958333333333333</v>
      </c>
      <c r="G898" s="83">
        <v>0.4375</v>
      </c>
      <c r="H898" s="83">
        <v>0.041666666666666664</v>
      </c>
      <c r="I898" s="84">
        <v>44519.0</v>
      </c>
      <c r="J898" s="65" t="b">
        <v>1</v>
      </c>
      <c r="K898" s="65"/>
      <c r="L898" s="85" t="b">
        <f>IF(VLOOKUP(C898,Projetos!A:L,12,false)=TRUE,TRUE,FALSE)</f>
        <v>1</v>
      </c>
      <c r="M898" s="74">
        <v>31.02923620430495</v>
      </c>
      <c r="N898" s="74">
        <f t="shared" si="1"/>
        <v>31.0292362</v>
      </c>
      <c r="O898" s="74" t="b">
        <v>1</v>
      </c>
    </row>
    <row r="899" hidden="1">
      <c r="A899" s="82"/>
      <c r="B899" s="65" t="s">
        <v>177</v>
      </c>
      <c r="C899" s="65" t="s">
        <v>118</v>
      </c>
      <c r="D899" s="65" t="str">
        <f>vlookup(C899,'Classificação p pessoal'!F:G,2,false)</f>
        <v>MProduto</v>
      </c>
      <c r="E899" s="65" t="s">
        <v>619</v>
      </c>
      <c r="F899" s="83">
        <v>0.3541666666666667</v>
      </c>
      <c r="G899" s="83">
        <v>0.375</v>
      </c>
      <c r="H899" s="83">
        <v>0.020833333333333332</v>
      </c>
      <c r="I899" s="84">
        <v>44520.0</v>
      </c>
      <c r="J899" s="65" t="b">
        <v>1</v>
      </c>
      <c r="K899" s="65"/>
      <c r="L899" s="85" t="b">
        <f>IF(VLOOKUP(C899,Projetos!A:L,12,false)=TRUE,TRUE,FALSE)</f>
        <v>1</v>
      </c>
      <c r="M899" s="74">
        <v>31.02923620430495</v>
      </c>
      <c r="N899" s="74">
        <f t="shared" si="1"/>
        <v>15.5146181</v>
      </c>
      <c r="O899" s="74" t="b">
        <v>1</v>
      </c>
    </row>
    <row r="900" hidden="1">
      <c r="A900" s="82"/>
      <c r="B900" s="65" t="s">
        <v>177</v>
      </c>
      <c r="C900" s="65" t="s">
        <v>130</v>
      </c>
      <c r="D900" s="65" t="str">
        <f>vlookup(C900,'Classificação p pessoal'!F:G,2,false)</f>
        <v>NP</v>
      </c>
      <c r="E900" s="65" t="s">
        <v>620</v>
      </c>
      <c r="F900" s="83">
        <v>0.4166666666666667</v>
      </c>
      <c r="G900" s="83">
        <v>0.5</v>
      </c>
      <c r="H900" s="83">
        <v>0.08333333333333333</v>
      </c>
      <c r="I900" s="84">
        <v>44520.0</v>
      </c>
      <c r="J900" s="65" t="b">
        <v>1</v>
      </c>
      <c r="K900" s="65"/>
      <c r="L900" s="85" t="b">
        <f>IF(VLOOKUP(C900,Projetos!A:L,12,false)=TRUE,TRUE,FALSE)</f>
        <v>1</v>
      </c>
      <c r="M900" s="74">
        <v>31.02923620430495</v>
      </c>
      <c r="N900" s="74">
        <f t="shared" si="1"/>
        <v>62.05847241</v>
      </c>
      <c r="O900" s="74" t="b">
        <v>1</v>
      </c>
    </row>
    <row r="901" hidden="1">
      <c r="A901" s="82"/>
      <c r="B901" s="65" t="s">
        <v>177</v>
      </c>
      <c r="C901" s="65" t="s">
        <v>130</v>
      </c>
      <c r="D901" s="65" t="str">
        <f>vlookup(C901,'Classificação p pessoal'!F:G,2,false)</f>
        <v>NP</v>
      </c>
      <c r="E901" s="65" t="s">
        <v>621</v>
      </c>
      <c r="F901" s="83">
        <v>0.5</v>
      </c>
      <c r="G901" s="83">
        <v>0.5833333333333334</v>
      </c>
      <c r="H901" s="83">
        <v>0.08333333333333333</v>
      </c>
      <c r="I901" s="84">
        <v>44520.0</v>
      </c>
      <c r="J901" s="65" t="b">
        <v>1</v>
      </c>
      <c r="K901" s="65"/>
      <c r="L901" s="85" t="b">
        <f>IF(VLOOKUP(C901,Projetos!A:L,12,false)=TRUE,TRUE,FALSE)</f>
        <v>1</v>
      </c>
      <c r="M901" s="74">
        <v>31.02923620430495</v>
      </c>
      <c r="N901" s="74">
        <f t="shared" si="1"/>
        <v>62.05847241</v>
      </c>
      <c r="O901" s="74" t="b">
        <v>1</v>
      </c>
    </row>
    <row r="902" hidden="1">
      <c r="A902" s="82"/>
      <c r="B902" s="65" t="s">
        <v>177</v>
      </c>
      <c r="C902" s="65" t="s">
        <v>106</v>
      </c>
      <c r="D902" s="65" t="str">
        <f>vlookup(C902,'Classificação p pessoal'!F:G,2,false)</f>
        <v>MProcesso</v>
      </c>
      <c r="E902" s="65" t="s">
        <v>622</v>
      </c>
      <c r="F902" s="83">
        <v>0.5</v>
      </c>
      <c r="G902" s="83">
        <v>0.5277777777777778</v>
      </c>
      <c r="H902" s="83">
        <v>0.027777777777777776</v>
      </c>
      <c r="I902" s="84">
        <v>44474.0</v>
      </c>
      <c r="J902" s="65" t="b">
        <v>1</v>
      </c>
      <c r="K902" s="65"/>
      <c r="L902" s="85" t="b">
        <f>IF(VLOOKUP(C902,Projetos!A:L,12,false)=TRUE,TRUE,FALSE)</f>
        <v>1</v>
      </c>
      <c r="M902" s="74">
        <v>31.02923620430495</v>
      </c>
      <c r="N902" s="74">
        <f t="shared" si="1"/>
        <v>20.68615747</v>
      </c>
      <c r="O902" s="74" t="b">
        <v>1</v>
      </c>
    </row>
    <row r="903" hidden="1">
      <c r="A903" s="82"/>
      <c r="B903" s="65" t="s">
        <v>177</v>
      </c>
      <c r="C903" s="65" t="s">
        <v>101</v>
      </c>
      <c r="D903" s="65" t="str">
        <f>vlookup(C903,'Classificação p pessoal'!F:G,2,false)</f>
        <v>NP</v>
      </c>
      <c r="E903" s="65" t="s">
        <v>623</v>
      </c>
      <c r="F903" s="83">
        <v>0.3958333333333333</v>
      </c>
      <c r="G903" s="83">
        <v>0.4791666666666667</v>
      </c>
      <c r="H903" s="83">
        <v>0.08333333333333333</v>
      </c>
      <c r="I903" s="84">
        <v>44521.0</v>
      </c>
      <c r="J903" s="65" t="b">
        <v>1</v>
      </c>
      <c r="K903" s="65"/>
      <c r="L903" s="85" t="b">
        <f>IF(VLOOKUP(C903,Projetos!A:L,12,false)=TRUE,TRUE,FALSE)</f>
        <v>1</v>
      </c>
      <c r="M903" s="74">
        <v>31.02923620430495</v>
      </c>
      <c r="N903" s="74">
        <f t="shared" si="1"/>
        <v>62.05847241</v>
      </c>
      <c r="O903" s="74" t="b">
        <v>1</v>
      </c>
    </row>
    <row r="904" hidden="1">
      <c r="A904" s="82"/>
      <c r="B904" s="65" t="s">
        <v>177</v>
      </c>
      <c r="C904" s="65" t="s">
        <v>130</v>
      </c>
      <c r="D904" s="65" t="str">
        <f>vlookup(C904,'Classificação p pessoal'!F:G,2,false)</f>
        <v>NP</v>
      </c>
      <c r="E904" s="65" t="s">
        <v>624</v>
      </c>
      <c r="F904" s="83">
        <v>0.3541666666666667</v>
      </c>
      <c r="G904" s="83">
        <v>0.3958333333333333</v>
      </c>
      <c r="H904" s="83">
        <v>0.041666666666666664</v>
      </c>
      <c r="I904" s="84">
        <v>44521.0</v>
      </c>
      <c r="J904" s="65" t="b">
        <v>1</v>
      </c>
      <c r="K904" s="65"/>
      <c r="L904" s="85" t="b">
        <f>IF(VLOOKUP(C904,Projetos!A:L,12,false)=TRUE,TRUE,FALSE)</f>
        <v>1</v>
      </c>
      <c r="M904" s="74">
        <v>31.02923620430495</v>
      </c>
      <c r="N904" s="74">
        <f t="shared" si="1"/>
        <v>31.0292362</v>
      </c>
      <c r="O904" s="74" t="b">
        <v>1</v>
      </c>
    </row>
    <row r="905" hidden="1">
      <c r="A905" s="82"/>
      <c r="B905" s="65" t="s">
        <v>177</v>
      </c>
      <c r="C905" s="65" t="s">
        <v>118</v>
      </c>
      <c r="D905" s="65" t="str">
        <f>vlookup(C905,'Classificação p pessoal'!F:G,2,false)</f>
        <v>MProduto</v>
      </c>
      <c r="E905" s="65" t="s">
        <v>625</v>
      </c>
      <c r="F905" s="83">
        <v>0.4791666666666667</v>
      </c>
      <c r="G905" s="83">
        <v>0.5</v>
      </c>
      <c r="H905" s="83">
        <v>0.020833333333333332</v>
      </c>
      <c r="I905" s="84">
        <v>44521.0</v>
      </c>
      <c r="J905" s="65" t="b">
        <v>1</v>
      </c>
      <c r="K905" s="65"/>
      <c r="L905" s="85" t="b">
        <f>IF(VLOOKUP(C905,Projetos!A:L,12,false)=TRUE,TRUE,FALSE)</f>
        <v>1</v>
      </c>
      <c r="M905" s="74">
        <v>31.02923620430495</v>
      </c>
      <c r="N905" s="74">
        <f t="shared" si="1"/>
        <v>15.5146181</v>
      </c>
      <c r="O905" s="74" t="b">
        <v>1</v>
      </c>
    </row>
    <row r="906" hidden="1">
      <c r="A906" s="82"/>
      <c r="B906" s="65" t="s">
        <v>177</v>
      </c>
      <c r="C906" s="65" t="s">
        <v>101</v>
      </c>
      <c r="D906" s="65" t="str">
        <f>vlookup(C906,'Classificação p pessoal'!F:G,2,false)</f>
        <v>NP</v>
      </c>
      <c r="E906" s="65" t="s">
        <v>626</v>
      </c>
      <c r="F906" s="83">
        <v>0.3958333333333333</v>
      </c>
      <c r="G906" s="83">
        <v>0.4583333333333333</v>
      </c>
      <c r="H906" s="83">
        <v>0.0625</v>
      </c>
      <c r="I906" s="84">
        <v>44522.0</v>
      </c>
      <c r="J906" s="65" t="b">
        <v>1</v>
      </c>
      <c r="K906" s="65"/>
      <c r="L906" s="85" t="b">
        <f>IF(VLOOKUP(C906,Projetos!A:L,12,false)=TRUE,TRUE,FALSE)</f>
        <v>1</v>
      </c>
      <c r="M906" s="74">
        <v>31.02923620430495</v>
      </c>
      <c r="N906" s="74">
        <f t="shared" si="1"/>
        <v>46.54385431</v>
      </c>
      <c r="O906" s="74" t="b">
        <v>1</v>
      </c>
    </row>
    <row r="907" hidden="1">
      <c r="A907" s="82"/>
      <c r="B907" s="65" t="s">
        <v>177</v>
      </c>
      <c r="C907" s="65" t="s">
        <v>118</v>
      </c>
      <c r="D907" s="65"/>
      <c r="E907" s="65" t="s">
        <v>627</v>
      </c>
      <c r="F907" s="83">
        <v>0.5</v>
      </c>
      <c r="G907" s="83">
        <v>0.5416666666666666</v>
      </c>
      <c r="H907" s="83">
        <v>0.041666666666666664</v>
      </c>
      <c r="I907" s="84">
        <v>44522.0</v>
      </c>
      <c r="J907" s="65" t="b">
        <v>0</v>
      </c>
      <c r="K907" s="65" t="s">
        <v>150</v>
      </c>
      <c r="L907" s="85" t="b">
        <f>IF(VLOOKUP(C907,Projetos!A:L,12,false)=TRUE,TRUE,FALSE)</f>
        <v>1</v>
      </c>
      <c r="M907" s="74">
        <v>31.02923620430495</v>
      </c>
      <c r="N907" s="74">
        <f t="shared" si="1"/>
        <v>0</v>
      </c>
      <c r="O907" s="74" t="b">
        <v>1</v>
      </c>
    </row>
    <row r="908" hidden="1">
      <c r="A908" s="82"/>
      <c r="B908" s="65" t="s">
        <v>177</v>
      </c>
      <c r="C908" s="65" t="s">
        <v>118</v>
      </c>
      <c r="D908" s="65"/>
      <c r="E908" s="65" t="s">
        <v>627</v>
      </c>
      <c r="F908" s="83">
        <v>0.375</v>
      </c>
      <c r="G908" s="83">
        <v>0.4583333333333333</v>
      </c>
      <c r="H908" s="83">
        <v>0.08333333333333333</v>
      </c>
      <c r="I908" s="84">
        <v>44525.0</v>
      </c>
      <c r="J908" s="65" t="b">
        <v>0</v>
      </c>
      <c r="K908" s="65" t="s">
        <v>150</v>
      </c>
      <c r="L908" s="85" t="b">
        <f>IF(VLOOKUP(C908,Projetos!A:L,12,false)=TRUE,TRUE,FALSE)</f>
        <v>1</v>
      </c>
      <c r="M908" s="74">
        <v>31.02923620430495</v>
      </c>
      <c r="N908" s="74">
        <f t="shared" si="1"/>
        <v>0</v>
      </c>
      <c r="O908" s="74" t="b">
        <v>1</v>
      </c>
    </row>
    <row r="909" hidden="1">
      <c r="A909" s="82"/>
      <c r="B909" s="65" t="s">
        <v>177</v>
      </c>
      <c r="C909" s="65" t="s">
        <v>130</v>
      </c>
      <c r="D909" s="65" t="str">
        <f>vlookup(C909,'Classificação p pessoal'!F:G,2,false)</f>
        <v>NP</v>
      </c>
      <c r="E909" s="65" t="s">
        <v>628</v>
      </c>
      <c r="F909" s="83">
        <v>0.4583333333333333</v>
      </c>
      <c r="G909" s="83">
        <v>0.5208333333333334</v>
      </c>
      <c r="H909" s="83">
        <v>0.0625</v>
      </c>
      <c r="I909" s="84">
        <v>44525.0</v>
      </c>
      <c r="J909" s="65" t="b">
        <v>1</v>
      </c>
      <c r="K909" s="65"/>
      <c r="L909" s="85" t="b">
        <f>IF(VLOOKUP(C909,Projetos!A:L,12,false)=TRUE,TRUE,FALSE)</f>
        <v>1</v>
      </c>
      <c r="M909" s="74">
        <v>31.02923620430495</v>
      </c>
      <c r="N909" s="74">
        <f t="shared" si="1"/>
        <v>46.54385431</v>
      </c>
      <c r="O909" s="74" t="b">
        <v>1</v>
      </c>
    </row>
    <row r="910" hidden="1">
      <c r="A910" s="82"/>
      <c r="B910" s="65" t="s">
        <v>177</v>
      </c>
      <c r="C910" s="65" t="s">
        <v>118</v>
      </c>
      <c r="D910" s="65"/>
      <c r="E910" s="65" t="s">
        <v>629</v>
      </c>
      <c r="F910" s="83">
        <v>0.5833333333333334</v>
      </c>
      <c r="G910" s="83">
        <v>0.6041666666666666</v>
      </c>
      <c r="H910" s="83">
        <v>0.020833333333333332</v>
      </c>
      <c r="I910" s="84">
        <v>44525.0</v>
      </c>
      <c r="J910" s="65" t="b">
        <v>0</v>
      </c>
      <c r="K910" s="65" t="s">
        <v>150</v>
      </c>
      <c r="L910" s="85" t="b">
        <f>IF(VLOOKUP(C910,Projetos!A:L,12,false)=TRUE,TRUE,FALSE)</f>
        <v>1</v>
      </c>
      <c r="M910" s="74">
        <v>31.02923620430495</v>
      </c>
      <c r="N910" s="74">
        <f t="shared" si="1"/>
        <v>0</v>
      </c>
      <c r="O910" s="74" t="b">
        <v>1</v>
      </c>
    </row>
    <row r="911" hidden="1">
      <c r="A911" s="82"/>
      <c r="B911" s="65" t="s">
        <v>177</v>
      </c>
      <c r="C911" s="65" t="s">
        <v>118</v>
      </c>
      <c r="D911" s="65" t="str">
        <f>vlookup(C911,'Classificação p pessoal'!F:G,2,false)</f>
        <v>MProduto</v>
      </c>
      <c r="E911" s="65" t="s">
        <v>630</v>
      </c>
      <c r="F911" s="83">
        <v>0.375</v>
      </c>
      <c r="G911" s="83">
        <v>0.4166666666666667</v>
      </c>
      <c r="H911" s="83">
        <v>0.041666666666666664</v>
      </c>
      <c r="I911" s="84">
        <v>44526.0</v>
      </c>
      <c r="J911" s="65" t="b">
        <v>1</v>
      </c>
      <c r="K911" s="65"/>
      <c r="L911" s="85" t="b">
        <f>IF(VLOOKUP(C911,Projetos!A:L,12,false)=TRUE,TRUE,FALSE)</f>
        <v>1</v>
      </c>
      <c r="M911" s="74">
        <v>31.02923620430495</v>
      </c>
      <c r="N911" s="74">
        <f t="shared" si="1"/>
        <v>31.0292362</v>
      </c>
      <c r="O911" s="74" t="b">
        <v>1</v>
      </c>
    </row>
    <row r="912" hidden="1">
      <c r="A912" s="82"/>
      <c r="B912" s="65" t="s">
        <v>177</v>
      </c>
      <c r="C912" s="65" t="s">
        <v>91</v>
      </c>
      <c r="D912" s="65" t="str">
        <f>vlookup(C912,'Classificação p pessoal'!F:G,2,false)</f>
        <v>NP</v>
      </c>
      <c r="E912" s="65" t="s">
        <v>631</v>
      </c>
      <c r="F912" s="83">
        <v>0.6666666666666666</v>
      </c>
      <c r="G912" s="83">
        <v>0.7083333333333334</v>
      </c>
      <c r="H912" s="83">
        <v>0.041666666666666664</v>
      </c>
      <c r="I912" s="84">
        <v>44526.0</v>
      </c>
      <c r="J912" s="65" t="b">
        <v>1</v>
      </c>
      <c r="K912" s="65"/>
      <c r="L912" s="85" t="b">
        <f>IF(VLOOKUP(C912,Projetos!A:L,12,false)=TRUE,TRUE,FALSE)</f>
        <v>1</v>
      </c>
      <c r="M912" s="74">
        <v>31.02923620430495</v>
      </c>
      <c r="N912" s="74">
        <f t="shared" si="1"/>
        <v>31.0292362</v>
      </c>
      <c r="O912" s="74" t="b">
        <v>1</v>
      </c>
    </row>
    <row r="913" hidden="1">
      <c r="A913" s="82"/>
      <c r="B913" s="65" t="s">
        <v>177</v>
      </c>
      <c r="C913" s="65" t="s">
        <v>106</v>
      </c>
      <c r="D913" s="65" t="str">
        <f>vlookup(C913,'Classificação p pessoal'!F:G,2,false)</f>
        <v>MProcesso</v>
      </c>
      <c r="E913" s="65" t="s">
        <v>632</v>
      </c>
      <c r="F913" s="83">
        <v>0.3541666666666667</v>
      </c>
      <c r="G913" s="83">
        <v>0.3958333333333333</v>
      </c>
      <c r="H913" s="83">
        <v>0.041666666666666664</v>
      </c>
      <c r="I913" s="84">
        <v>44527.0</v>
      </c>
      <c r="J913" s="65" t="b">
        <v>1</v>
      </c>
      <c r="K913" s="65"/>
      <c r="L913" s="85" t="b">
        <f>IF(VLOOKUP(C913,Projetos!A:L,12,false)=TRUE,TRUE,FALSE)</f>
        <v>1</v>
      </c>
      <c r="M913" s="74">
        <v>31.02923620430495</v>
      </c>
      <c r="N913" s="74">
        <f t="shared" si="1"/>
        <v>31.0292362</v>
      </c>
      <c r="O913" s="74" t="b">
        <v>1</v>
      </c>
    </row>
    <row r="914" hidden="1">
      <c r="A914" s="82"/>
      <c r="B914" s="65" t="s">
        <v>177</v>
      </c>
      <c r="C914" s="65" t="s">
        <v>92</v>
      </c>
      <c r="D914" s="65" t="str">
        <f>vlookup(C914,'Classificação p pessoal'!F:G,2,false)</f>
        <v/>
      </c>
      <c r="E914" s="65" t="s">
        <v>633</v>
      </c>
      <c r="F914" s="83">
        <v>0.3958333333333333</v>
      </c>
      <c r="G914" s="83">
        <v>0.4375</v>
      </c>
      <c r="H914" s="83">
        <v>0.041666666666666664</v>
      </c>
      <c r="I914" s="84">
        <v>44527.0</v>
      </c>
      <c r="J914" s="65" t="b">
        <v>1</v>
      </c>
      <c r="K914" s="65"/>
      <c r="L914" s="85" t="b">
        <f>IF(VLOOKUP(C914,Projetos!A:L,12,false)=TRUE,TRUE,FALSE)</f>
        <v>1</v>
      </c>
      <c r="M914" s="74">
        <v>31.02923620430495</v>
      </c>
      <c r="N914" s="74">
        <f t="shared" si="1"/>
        <v>31.0292362</v>
      </c>
      <c r="O914" s="74" t="b">
        <v>1</v>
      </c>
    </row>
    <row r="915" hidden="1">
      <c r="A915" s="82"/>
      <c r="B915" s="65" t="s">
        <v>177</v>
      </c>
      <c r="C915" s="65" t="s">
        <v>118</v>
      </c>
      <c r="D915" s="65" t="str">
        <f>vlookup(C915,'Classificação p pessoal'!F:G,2,false)</f>
        <v>MProduto</v>
      </c>
      <c r="E915" s="65" t="s">
        <v>634</v>
      </c>
      <c r="F915" s="83">
        <v>0.4375</v>
      </c>
      <c r="G915" s="83">
        <v>0.5</v>
      </c>
      <c r="H915" s="83">
        <v>0.0625</v>
      </c>
      <c r="I915" s="84">
        <v>44527.0</v>
      </c>
      <c r="J915" s="65" t="b">
        <v>1</v>
      </c>
      <c r="K915" s="65"/>
      <c r="L915" s="85" t="b">
        <f>IF(VLOOKUP(C915,Projetos!A:L,12,false)=TRUE,TRUE,FALSE)</f>
        <v>1</v>
      </c>
      <c r="M915" s="74">
        <v>31.02923620430495</v>
      </c>
      <c r="N915" s="74">
        <f t="shared" si="1"/>
        <v>46.54385431</v>
      </c>
      <c r="O915" s="74" t="b">
        <v>1</v>
      </c>
    </row>
    <row r="916" hidden="1">
      <c r="A916" s="82"/>
      <c r="B916" s="65" t="s">
        <v>177</v>
      </c>
      <c r="C916" s="65" t="s">
        <v>92</v>
      </c>
      <c r="D916" s="65" t="str">
        <f>vlookup(C916,'Classificação p pessoal'!F:G,2,false)</f>
        <v/>
      </c>
      <c r="E916" s="65" t="s">
        <v>635</v>
      </c>
      <c r="F916" s="83">
        <v>0.5416666666666666</v>
      </c>
      <c r="G916" s="83">
        <v>0.625</v>
      </c>
      <c r="H916" s="83">
        <v>0.08333333333333333</v>
      </c>
      <c r="I916" s="84">
        <v>44527.0</v>
      </c>
      <c r="J916" s="65" t="b">
        <v>1</v>
      </c>
      <c r="K916" s="65"/>
      <c r="L916" s="85" t="b">
        <f>IF(VLOOKUP(C916,Projetos!A:L,12,false)=TRUE,TRUE,FALSE)</f>
        <v>1</v>
      </c>
      <c r="M916" s="74">
        <v>31.02923620430495</v>
      </c>
      <c r="N916" s="74">
        <f t="shared" si="1"/>
        <v>62.05847241</v>
      </c>
      <c r="O916" s="74" t="b">
        <v>1</v>
      </c>
    </row>
    <row r="917" hidden="1">
      <c r="A917" s="82"/>
      <c r="B917" s="65" t="s">
        <v>177</v>
      </c>
      <c r="C917" s="65" t="s">
        <v>118</v>
      </c>
      <c r="D917" s="65"/>
      <c r="E917" s="65" t="s">
        <v>636</v>
      </c>
      <c r="F917" s="83">
        <v>0.625</v>
      </c>
      <c r="G917" s="83">
        <v>0.6666666666666666</v>
      </c>
      <c r="H917" s="83">
        <v>0.041666666666666664</v>
      </c>
      <c r="I917" s="84">
        <v>44527.0</v>
      </c>
      <c r="J917" s="65" t="b">
        <v>0</v>
      </c>
      <c r="K917" s="65"/>
      <c r="L917" s="85" t="b">
        <f>IF(VLOOKUP(C917,Projetos!A:L,12,false)=TRUE,TRUE,FALSE)</f>
        <v>1</v>
      </c>
      <c r="M917" s="74">
        <v>31.02923620430495</v>
      </c>
      <c r="N917" s="74">
        <f t="shared" si="1"/>
        <v>0</v>
      </c>
      <c r="O917" s="74" t="b">
        <v>1</v>
      </c>
    </row>
    <row r="918" hidden="1">
      <c r="A918" s="82"/>
      <c r="B918" s="65" t="s">
        <v>177</v>
      </c>
      <c r="C918" s="65" t="s">
        <v>92</v>
      </c>
      <c r="D918" s="65" t="str">
        <f>vlookup(C918,'Classificação p pessoal'!F:G,2,false)</f>
        <v/>
      </c>
      <c r="E918" s="65" t="s">
        <v>637</v>
      </c>
      <c r="F918" s="83">
        <v>0.3541666666666667</v>
      </c>
      <c r="G918" s="83">
        <v>0.3958333333333333</v>
      </c>
      <c r="H918" s="83">
        <v>0.041666666666666664</v>
      </c>
      <c r="I918" s="84">
        <v>44528.0</v>
      </c>
      <c r="J918" s="65" t="b">
        <v>1</v>
      </c>
      <c r="K918" s="65"/>
      <c r="L918" s="85" t="b">
        <f>IF(VLOOKUP(C918,Projetos!A:L,12,false)=TRUE,TRUE,FALSE)</f>
        <v>1</v>
      </c>
      <c r="M918" s="74">
        <v>31.02923620430495</v>
      </c>
      <c r="N918" s="74">
        <f t="shared" si="1"/>
        <v>31.0292362</v>
      </c>
      <c r="O918" s="74" t="b">
        <v>1</v>
      </c>
    </row>
    <row r="919" hidden="1">
      <c r="A919" s="82"/>
      <c r="B919" s="65" t="s">
        <v>177</v>
      </c>
      <c r="C919" s="65" t="s">
        <v>100</v>
      </c>
      <c r="D919" s="65" t="str">
        <f>vlookup(C919,'Classificação p pessoal'!F:G,2,false)</f>
        <v>NP</v>
      </c>
      <c r="E919" s="65" t="s">
        <v>638</v>
      </c>
      <c r="F919" s="83">
        <v>0.6875</v>
      </c>
      <c r="G919" s="83">
        <v>0.7291666666666666</v>
      </c>
      <c r="H919" s="83">
        <v>0.041666666666666664</v>
      </c>
      <c r="I919" s="84">
        <v>44528.0</v>
      </c>
      <c r="J919" s="65" t="b">
        <v>1</v>
      </c>
      <c r="K919" s="65"/>
      <c r="L919" s="85" t="b">
        <f>IF(VLOOKUP(C919,Projetos!A:L,12,false)=TRUE,TRUE,FALSE)</f>
        <v>1</v>
      </c>
      <c r="M919" s="74">
        <v>31.02923620430495</v>
      </c>
      <c r="N919" s="74">
        <f t="shared" si="1"/>
        <v>31.0292362</v>
      </c>
      <c r="O919" s="74" t="b">
        <v>1</v>
      </c>
    </row>
    <row r="920" hidden="1">
      <c r="A920" s="82"/>
      <c r="B920" s="65" t="s">
        <v>177</v>
      </c>
      <c r="C920" s="65" t="s">
        <v>118</v>
      </c>
      <c r="D920" s="65"/>
      <c r="E920" s="65" t="s">
        <v>639</v>
      </c>
      <c r="F920" s="83">
        <v>0.7291666666666666</v>
      </c>
      <c r="G920" s="83">
        <v>0.75</v>
      </c>
      <c r="H920" s="83">
        <v>0.020833333333333332</v>
      </c>
      <c r="I920" s="84">
        <v>44528.0</v>
      </c>
      <c r="J920" s="65" t="b">
        <v>0</v>
      </c>
      <c r="K920" s="65"/>
      <c r="L920" s="85" t="b">
        <f>IF(VLOOKUP(C920,Projetos!A:L,12,false)=TRUE,TRUE,FALSE)</f>
        <v>1</v>
      </c>
      <c r="M920" s="74">
        <v>31.02923620430495</v>
      </c>
      <c r="N920" s="74">
        <f t="shared" si="1"/>
        <v>0</v>
      </c>
      <c r="O920" s="74" t="b">
        <v>1</v>
      </c>
    </row>
    <row r="921" hidden="1">
      <c r="A921" s="82"/>
      <c r="B921" s="65" t="s">
        <v>177</v>
      </c>
      <c r="C921" s="65" t="s">
        <v>130</v>
      </c>
      <c r="D921" s="65" t="str">
        <f>vlookup(C921,'Classificação p pessoal'!F:G,2,false)</f>
        <v>NP</v>
      </c>
      <c r="E921" s="65" t="s">
        <v>640</v>
      </c>
      <c r="F921" s="83">
        <v>0.3541666666666667</v>
      </c>
      <c r="G921" s="83">
        <v>0.5833333333333334</v>
      </c>
      <c r="H921" s="83">
        <v>0.22916666666666666</v>
      </c>
      <c r="I921" s="84">
        <v>44529.0</v>
      </c>
      <c r="J921" s="65" t="b">
        <v>1</v>
      </c>
      <c r="K921" s="65"/>
      <c r="L921" s="85" t="b">
        <f>IF(VLOOKUP(C921,Projetos!A:L,12,false)=TRUE,TRUE,FALSE)</f>
        <v>1</v>
      </c>
      <c r="M921" s="74">
        <v>31.02923620430495</v>
      </c>
      <c r="N921" s="74">
        <f t="shared" si="1"/>
        <v>170.6607991</v>
      </c>
      <c r="O921" s="74" t="b">
        <v>1</v>
      </c>
    </row>
    <row r="922" hidden="1">
      <c r="A922" s="82"/>
      <c r="B922" s="65" t="s">
        <v>177</v>
      </c>
      <c r="C922" s="65" t="s">
        <v>118</v>
      </c>
      <c r="D922" s="65" t="str">
        <f>vlookup(C922,'Classificação p pessoal'!F:G,2,false)</f>
        <v>MProduto</v>
      </c>
      <c r="E922" s="65" t="s">
        <v>641</v>
      </c>
      <c r="F922" s="83">
        <v>0.5833333333333334</v>
      </c>
      <c r="G922" s="83">
        <v>0.625</v>
      </c>
      <c r="H922" s="83">
        <v>0.041666666666666664</v>
      </c>
      <c r="I922" s="84">
        <v>44529.0</v>
      </c>
      <c r="J922" s="65" t="b">
        <v>1</v>
      </c>
      <c r="K922" s="65"/>
      <c r="L922" s="85" t="b">
        <f>IF(VLOOKUP(C922,Projetos!A:L,12,false)=TRUE,TRUE,FALSE)</f>
        <v>1</v>
      </c>
      <c r="M922" s="74">
        <v>31.02923620430495</v>
      </c>
      <c r="N922" s="74">
        <f t="shared" si="1"/>
        <v>31.0292362</v>
      </c>
      <c r="O922" s="74" t="b">
        <v>1</v>
      </c>
    </row>
    <row r="923" hidden="1">
      <c r="A923" s="82"/>
      <c r="B923" s="65" t="s">
        <v>177</v>
      </c>
      <c r="C923" s="65" t="s">
        <v>91</v>
      </c>
      <c r="D923" s="65" t="str">
        <f>vlookup(C923,'Classificação p pessoal'!F:G,2,false)</f>
        <v>NP</v>
      </c>
      <c r="E923" s="65" t="s">
        <v>642</v>
      </c>
      <c r="F923" s="83">
        <v>0.5416666666666666</v>
      </c>
      <c r="G923" s="83">
        <v>0.75</v>
      </c>
      <c r="H923" s="83">
        <v>0.20833333333333334</v>
      </c>
      <c r="I923" s="84">
        <v>44503.0</v>
      </c>
      <c r="J923" s="65" t="b">
        <v>1</v>
      </c>
      <c r="K923" s="65"/>
      <c r="L923" s="85" t="b">
        <f>IF(VLOOKUP(C923,Projetos!A:L,12,false)=TRUE,TRUE,FALSE)</f>
        <v>1</v>
      </c>
      <c r="M923" s="74">
        <v>31.02923620430495</v>
      </c>
      <c r="N923" s="74">
        <f t="shared" si="1"/>
        <v>155.146181</v>
      </c>
      <c r="O923" s="74" t="b">
        <v>1</v>
      </c>
    </row>
    <row r="924" hidden="1">
      <c r="A924" s="82"/>
      <c r="B924" s="65" t="s">
        <v>177</v>
      </c>
      <c r="C924" s="65" t="s">
        <v>118</v>
      </c>
      <c r="D924" s="65" t="str">
        <f>vlookup(C924,'Classificação p pessoal'!F:G,2,false)</f>
        <v>MProduto</v>
      </c>
      <c r="E924" s="65" t="s">
        <v>643</v>
      </c>
      <c r="F924" s="83">
        <v>0.375</v>
      </c>
      <c r="G924" s="83">
        <v>0.4583333333333333</v>
      </c>
      <c r="H924" s="83">
        <v>0.08333333333333333</v>
      </c>
      <c r="I924" s="84">
        <v>44503.0</v>
      </c>
      <c r="J924" s="65" t="b">
        <v>1</v>
      </c>
      <c r="K924" s="65"/>
      <c r="L924" s="85" t="b">
        <f>IF(VLOOKUP(C924,Projetos!A:L,12,false)=TRUE,TRUE,FALSE)</f>
        <v>1</v>
      </c>
      <c r="M924" s="74">
        <v>31.02923620430495</v>
      </c>
      <c r="N924" s="74">
        <f t="shared" si="1"/>
        <v>62.05847241</v>
      </c>
      <c r="O924" s="74" t="b">
        <v>1</v>
      </c>
    </row>
    <row r="925" hidden="1">
      <c r="A925" s="82"/>
      <c r="B925" s="65" t="s">
        <v>177</v>
      </c>
      <c r="C925" s="65" t="s">
        <v>91</v>
      </c>
      <c r="D925" s="65" t="str">
        <f>vlookup(C925,'Classificação p pessoal'!F:G,2,false)</f>
        <v>NP</v>
      </c>
      <c r="E925" s="65" t="s">
        <v>644</v>
      </c>
      <c r="F925" s="83">
        <v>0.5416666666666666</v>
      </c>
      <c r="G925" s="83">
        <v>0.625</v>
      </c>
      <c r="H925" s="83">
        <v>0.08333333333333333</v>
      </c>
      <c r="I925" s="84">
        <v>44504.0</v>
      </c>
      <c r="J925" s="65" t="b">
        <v>1</v>
      </c>
      <c r="K925" s="65"/>
      <c r="L925" s="85" t="b">
        <f>IF(VLOOKUP(C925,Projetos!A:L,12,false)=TRUE,TRUE,FALSE)</f>
        <v>1</v>
      </c>
      <c r="M925" s="74">
        <v>31.02923620430495</v>
      </c>
      <c r="N925" s="74">
        <f t="shared" si="1"/>
        <v>62.05847241</v>
      </c>
      <c r="O925" s="74" t="b">
        <v>1</v>
      </c>
    </row>
    <row r="926" hidden="1">
      <c r="A926" s="82"/>
      <c r="B926" s="65" t="s">
        <v>177</v>
      </c>
      <c r="C926" s="65" t="s">
        <v>91</v>
      </c>
      <c r="D926" s="65" t="str">
        <f>vlookup(C926,'Classificação p pessoal'!F:G,2,false)</f>
        <v>NP</v>
      </c>
      <c r="E926" s="65" t="s">
        <v>645</v>
      </c>
      <c r="F926" s="83">
        <v>0.625</v>
      </c>
      <c r="G926" s="83">
        <v>0.7083333333333334</v>
      </c>
      <c r="H926" s="83">
        <v>0.08333333333333333</v>
      </c>
      <c r="I926" s="84">
        <v>44504.0</v>
      </c>
      <c r="J926" s="65" t="b">
        <v>1</v>
      </c>
      <c r="K926" s="65"/>
      <c r="L926" s="85" t="b">
        <f>IF(VLOOKUP(C926,Projetos!A:L,12,false)=TRUE,TRUE,FALSE)</f>
        <v>1</v>
      </c>
      <c r="M926" s="74">
        <v>31.02923620430495</v>
      </c>
      <c r="N926" s="74">
        <f t="shared" si="1"/>
        <v>62.05847241</v>
      </c>
      <c r="O926" s="74" t="b">
        <v>1</v>
      </c>
    </row>
    <row r="927" hidden="1">
      <c r="A927" s="82"/>
      <c r="B927" s="65" t="s">
        <v>177</v>
      </c>
      <c r="C927" s="65" t="s">
        <v>118</v>
      </c>
      <c r="D927" s="65" t="str">
        <f>vlookup(C927,'Classificação p pessoal'!F:G,2,false)</f>
        <v>MProduto</v>
      </c>
      <c r="E927" s="65" t="s">
        <v>646</v>
      </c>
      <c r="F927" s="83">
        <v>0.375</v>
      </c>
      <c r="G927" s="83">
        <v>0.3958333333333333</v>
      </c>
      <c r="H927" s="83">
        <v>0.020833333333333332</v>
      </c>
      <c r="I927" s="84">
        <v>44505.0</v>
      </c>
      <c r="J927" s="65" t="b">
        <v>1</v>
      </c>
      <c r="K927" s="65"/>
      <c r="L927" s="85" t="b">
        <f>IF(VLOOKUP(C927,Projetos!A:L,12,false)=TRUE,TRUE,FALSE)</f>
        <v>1</v>
      </c>
      <c r="M927" s="74">
        <v>31.02923620430495</v>
      </c>
      <c r="N927" s="74">
        <f t="shared" si="1"/>
        <v>15.5146181</v>
      </c>
      <c r="O927" s="74" t="b">
        <v>1</v>
      </c>
    </row>
    <row r="928" hidden="1">
      <c r="A928" s="82"/>
      <c r="B928" s="65" t="s">
        <v>177</v>
      </c>
      <c r="C928" s="65" t="s">
        <v>118</v>
      </c>
      <c r="D928" s="65" t="str">
        <f>vlookup(C928,'Classificação p pessoal'!F:G,2,false)</f>
        <v>MProduto</v>
      </c>
      <c r="E928" s="65" t="s">
        <v>647</v>
      </c>
      <c r="F928" s="83">
        <v>0.3958333333333333</v>
      </c>
      <c r="G928" s="83">
        <v>0.4166666666666667</v>
      </c>
      <c r="H928" s="83">
        <v>0.020833333333333332</v>
      </c>
      <c r="I928" s="84">
        <v>44505.0</v>
      </c>
      <c r="J928" s="65" t="b">
        <v>1</v>
      </c>
      <c r="K928" s="65"/>
      <c r="L928" s="85" t="b">
        <f>IF(VLOOKUP(C928,Projetos!A:L,12,false)=TRUE,TRUE,FALSE)</f>
        <v>1</v>
      </c>
      <c r="M928" s="74">
        <v>31.02923620430495</v>
      </c>
      <c r="N928" s="74">
        <f t="shared" si="1"/>
        <v>15.5146181</v>
      </c>
      <c r="O928" s="74" t="b">
        <v>1</v>
      </c>
    </row>
    <row r="929" hidden="1">
      <c r="A929" s="82"/>
      <c r="B929" s="65" t="s">
        <v>177</v>
      </c>
      <c r="C929" s="65" t="s">
        <v>130</v>
      </c>
      <c r="D929" s="65" t="str">
        <f>vlookup(C929,'Classificação p pessoal'!F:G,2,false)</f>
        <v>NP</v>
      </c>
      <c r="E929" s="65" t="s">
        <v>648</v>
      </c>
      <c r="F929" s="83">
        <v>0.4166666666666667</v>
      </c>
      <c r="G929" s="83">
        <v>0.4375</v>
      </c>
      <c r="H929" s="83">
        <v>0.020833333333333332</v>
      </c>
      <c r="I929" s="84">
        <v>44505.0</v>
      </c>
      <c r="J929" s="65" t="b">
        <v>1</v>
      </c>
      <c r="K929" s="65"/>
      <c r="L929" s="85" t="b">
        <f>IF(VLOOKUP(C929,Projetos!A:L,12,false)=TRUE,TRUE,FALSE)</f>
        <v>1</v>
      </c>
      <c r="M929" s="74">
        <v>31.02923620430495</v>
      </c>
      <c r="N929" s="74">
        <f t="shared" si="1"/>
        <v>15.5146181</v>
      </c>
      <c r="O929" s="74" t="b">
        <v>1</v>
      </c>
    </row>
    <row r="930" hidden="1">
      <c r="A930" s="82"/>
      <c r="B930" s="65" t="s">
        <v>177</v>
      </c>
      <c r="C930" s="65" t="s">
        <v>130</v>
      </c>
      <c r="D930" s="65" t="str">
        <f>vlookup(C930,'Classificação p pessoal'!F:G,2,false)</f>
        <v>NP</v>
      </c>
      <c r="E930" s="65" t="s">
        <v>649</v>
      </c>
      <c r="F930" s="83">
        <v>0.4375</v>
      </c>
      <c r="G930" s="83">
        <v>0.4583333333333333</v>
      </c>
      <c r="H930" s="83">
        <v>0.020833333333333332</v>
      </c>
      <c r="I930" s="84">
        <v>44505.0</v>
      </c>
      <c r="J930" s="65" t="b">
        <v>1</v>
      </c>
      <c r="K930" s="65"/>
      <c r="L930" s="85" t="b">
        <f>IF(VLOOKUP(C930,Projetos!A:L,12,false)=TRUE,TRUE,FALSE)</f>
        <v>1</v>
      </c>
      <c r="M930" s="74">
        <v>31.02923620430495</v>
      </c>
      <c r="N930" s="74">
        <f t="shared" si="1"/>
        <v>15.5146181</v>
      </c>
      <c r="O930" s="74" t="b">
        <v>1</v>
      </c>
    </row>
    <row r="931" hidden="1">
      <c r="A931" s="82"/>
      <c r="B931" s="65" t="s">
        <v>177</v>
      </c>
      <c r="C931" s="65" t="s">
        <v>100</v>
      </c>
      <c r="D931" s="65" t="str">
        <f>vlookup(C931,'Classificação p pessoal'!F:G,2,false)</f>
        <v>NP</v>
      </c>
      <c r="E931" s="65" t="s">
        <v>650</v>
      </c>
      <c r="F931" s="83">
        <v>0.3541666666666667</v>
      </c>
      <c r="G931" s="83">
        <v>0.375</v>
      </c>
      <c r="H931" s="83">
        <v>0.020833333333333332</v>
      </c>
      <c r="I931" s="84">
        <v>44508.0</v>
      </c>
      <c r="J931" s="65" t="b">
        <v>1</v>
      </c>
      <c r="K931" s="65"/>
      <c r="L931" s="85" t="b">
        <f>IF(VLOOKUP(C931,Projetos!A:L,12,false)=TRUE,TRUE,FALSE)</f>
        <v>1</v>
      </c>
      <c r="M931" s="74">
        <v>31.02923620430495</v>
      </c>
      <c r="N931" s="74">
        <f t="shared" si="1"/>
        <v>15.5146181</v>
      </c>
      <c r="O931" s="74" t="b">
        <v>1</v>
      </c>
    </row>
    <row r="932" hidden="1">
      <c r="A932" s="82"/>
      <c r="B932" s="65" t="s">
        <v>177</v>
      </c>
      <c r="C932" s="65" t="s">
        <v>92</v>
      </c>
      <c r="D932" s="65" t="str">
        <f>vlookup(C932,'Classificação p pessoal'!F:G,2,false)</f>
        <v/>
      </c>
      <c r="E932" s="65" t="s">
        <v>651</v>
      </c>
      <c r="F932" s="83">
        <v>0.4791666666666667</v>
      </c>
      <c r="G932" s="83">
        <v>0.53125</v>
      </c>
      <c r="H932" s="83">
        <v>0.052083333333333336</v>
      </c>
      <c r="I932" s="84">
        <v>44509.0</v>
      </c>
      <c r="J932" s="65" t="b">
        <v>1</v>
      </c>
      <c r="K932" s="65"/>
      <c r="L932" s="85" t="b">
        <f>IF(VLOOKUP(C932,Projetos!A:L,12,false)=TRUE,TRUE,FALSE)</f>
        <v>1</v>
      </c>
      <c r="M932" s="74">
        <v>31.02923620430495</v>
      </c>
      <c r="N932" s="74">
        <f t="shared" si="1"/>
        <v>38.78654526</v>
      </c>
      <c r="O932" s="74" t="b">
        <v>1</v>
      </c>
    </row>
    <row r="933" hidden="1">
      <c r="A933" s="82"/>
      <c r="B933" s="65" t="s">
        <v>177</v>
      </c>
      <c r="C933" s="65" t="s">
        <v>118</v>
      </c>
      <c r="D933" s="65" t="str">
        <f>vlookup(C933,'Classificação p pessoal'!F:G,2,false)</f>
        <v>MProduto</v>
      </c>
      <c r="E933" s="65" t="s">
        <v>652</v>
      </c>
      <c r="F933" s="83">
        <v>0.375</v>
      </c>
      <c r="G933" s="83">
        <v>0.4166666666666667</v>
      </c>
      <c r="H933" s="83">
        <v>0.041666666666666664</v>
      </c>
      <c r="I933" s="84">
        <v>44509.0</v>
      </c>
      <c r="J933" s="65" t="b">
        <v>1</v>
      </c>
      <c r="K933" s="65"/>
      <c r="L933" s="85" t="b">
        <f>IF(VLOOKUP(C933,Projetos!A:L,12,false)=TRUE,TRUE,FALSE)</f>
        <v>1</v>
      </c>
      <c r="M933" s="74">
        <v>31.02923620430495</v>
      </c>
      <c r="N933" s="74">
        <f t="shared" si="1"/>
        <v>31.0292362</v>
      </c>
      <c r="O933" s="74" t="b">
        <v>1</v>
      </c>
    </row>
    <row r="934" hidden="1">
      <c r="A934" s="82"/>
      <c r="B934" s="65" t="s">
        <v>177</v>
      </c>
      <c r="C934" s="65" t="s">
        <v>118</v>
      </c>
      <c r="D934" s="65" t="str">
        <f>vlookup(C934,'Classificação p pessoal'!F:G,2,false)</f>
        <v>MProduto</v>
      </c>
      <c r="E934" s="65" t="s">
        <v>653</v>
      </c>
      <c r="F934" s="83">
        <v>0.4166666666666667</v>
      </c>
      <c r="G934" s="83">
        <v>0.4583333333333333</v>
      </c>
      <c r="H934" s="83">
        <v>0.041666666666666664</v>
      </c>
      <c r="I934" s="84">
        <v>44509.0</v>
      </c>
      <c r="J934" s="65" t="b">
        <v>1</v>
      </c>
      <c r="K934" s="65"/>
      <c r="L934" s="85" t="b">
        <f>IF(VLOOKUP(C934,Projetos!A:L,12,false)=TRUE,TRUE,FALSE)</f>
        <v>1</v>
      </c>
      <c r="M934" s="74">
        <v>31.02923620430495</v>
      </c>
      <c r="N934" s="74">
        <f t="shared" si="1"/>
        <v>31.0292362</v>
      </c>
      <c r="O934" s="74" t="b">
        <v>1</v>
      </c>
    </row>
    <row r="935" hidden="1">
      <c r="A935" s="82"/>
      <c r="B935" s="65" t="s">
        <v>177</v>
      </c>
      <c r="C935" s="65" t="s">
        <v>108</v>
      </c>
      <c r="D935" s="65" t="str">
        <f>vlookup(C935,'Classificação p pessoal'!F:G,2,false)</f>
        <v>NP</v>
      </c>
      <c r="E935" s="65" t="s">
        <v>654</v>
      </c>
      <c r="F935" s="83">
        <v>0.4583333333333333</v>
      </c>
      <c r="G935" s="83">
        <v>0.4791666666666667</v>
      </c>
      <c r="H935" s="83">
        <v>0.020833333333333332</v>
      </c>
      <c r="I935" s="84">
        <v>44509.0</v>
      </c>
      <c r="J935" s="65" t="b">
        <v>1</v>
      </c>
      <c r="K935" s="65"/>
      <c r="L935" s="85" t="b">
        <f>IF(VLOOKUP(C935,Projetos!A:L,12,false)=TRUE,TRUE,FALSE)</f>
        <v>1</v>
      </c>
      <c r="M935" s="74">
        <v>31.02923620430495</v>
      </c>
      <c r="N935" s="74">
        <f t="shared" si="1"/>
        <v>15.5146181</v>
      </c>
      <c r="O935" s="74" t="b">
        <v>1</v>
      </c>
    </row>
    <row r="936">
      <c r="A936" s="82"/>
      <c r="B936" s="65" t="s">
        <v>411</v>
      </c>
      <c r="C936" s="65" t="s">
        <v>92</v>
      </c>
      <c r="D936" s="65"/>
      <c r="E936" s="65" t="s">
        <v>655</v>
      </c>
      <c r="F936" s="83">
        <v>0.7083333333333334</v>
      </c>
      <c r="G936" s="83">
        <v>0.7291666666666666</v>
      </c>
      <c r="H936" s="83">
        <v>0.020833333333333332</v>
      </c>
      <c r="I936" s="84">
        <v>44295.0</v>
      </c>
      <c r="J936" s="65" t="b">
        <v>0</v>
      </c>
      <c r="K936" s="65" t="s">
        <v>150</v>
      </c>
      <c r="L936" s="85" t="b">
        <f>IF(VLOOKUP(C936,Projetos!A:L,12,false)=TRUE,TRUE,FALSE)</f>
        <v>1</v>
      </c>
      <c r="M936" s="74">
        <v>52.48434411075036</v>
      </c>
      <c r="N936" s="74">
        <f t="shared" si="1"/>
        <v>0</v>
      </c>
      <c r="O936" s="74" t="b">
        <v>1</v>
      </c>
    </row>
    <row r="937" hidden="1">
      <c r="A937" s="82"/>
      <c r="B937" s="65" t="s">
        <v>177</v>
      </c>
      <c r="C937" s="65" t="s">
        <v>92</v>
      </c>
      <c r="D937" s="65" t="str">
        <f>vlookup(C937,'Classificação p pessoal'!F:G,2,false)</f>
        <v/>
      </c>
      <c r="E937" s="65" t="s">
        <v>656</v>
      </c>
      <c r="F937" s="83">
        <v>0.5833333333333334</v>
      </c>
      <c r="G937" s="83">
        <v>0.6458333333333334</v>
      </c>
      <c r="H937" s="83">
        <v>0.0625</v>
      </c>
      <c r="I937" s="84">
        <v>44509.0</v>
      </c>
      <c r="J937" s="65" t="b">
        <v>1</v>
      </c>
      <c r="K937" s="65"/>
      <c r="L937" s="85" t="b">
        <f>IF(VLOOKUP(C937,Projetos!A:L,12,false)=TRUE,TRUE,FALSE)</f>
        <v>1</v>
      </c>
      <c r="M937" s="74">
        <v>31.02923620430495</v>
      </c>
      <c r="N937" s="74">
        <f t="shared" si="1"/>
        <v>46.54385431</v>
      </c>
      <c r="O937" s="74" t="b">
        <v>1</v>
      </c>
    </row>
    <row r="938" hidden="1">
      <c r="A938" s="82"/>
      <c r="B938" s="65" t="s">
        <v>177</v>
      </c>
      <c r="C938" s="65" t="s">
        <v>108</v>
      </c>
      <c r="D938" s="65" t="str">
        <f>vlookup(C938,'Classificação p pessoal'!F:G,2,false)</f>
        <v>NP</v>
      </c>
      <c r="E938" s="65" t="s">
        <v>657</v>
      </c>
      <c r="F938" s="83">
        <v>0.6458333333333334</v>
      </c>
      <c r="G938" s="83">
        <v>0.7083333333333334</v>
      </c>
      <c r="H938" s="83">
        <v>0.0625</v>
      </c>
      <c r="I938" s="84">
        <v>44509.0</v>
      </c>
      <c r="J938" s="65" t="b">
        <v>1</v>
      </c>
      <c r="K938" s="65"/>
      <c r="L938" s="85" t="b">
        <f>IF(VLOOKUP(C938,Projetos!A:L,12,false)=TRUE,TRUE,FALSE)</f>
        <v>1</v>
      </c>
      <c r="M938" s="74">
        <v>31.02923620430495</v>
      </c>
      <c r="N938" s="74">
        <f t="shared" si="1"/>
        <v>46.54385431</v>
      </c>
      <c r="O938" s="74" t="b">
        <v>1</v>
      </c>
    </row>
    <row r="939" hidden="1">
      <c r="A939" s="82"/>
      <c r="B939" s="65" t="s">
        <v>411</v>
      </c>
      <c r="C939" s="65" t="s">
        <v>88</v>
      </c>
      <c r="D939" s="65" t="str">
        <f>vlookup(C939,'Classificação p pessoal'!F:G,2,false)</f>
        <v>MProduto</v>
      </c>
      <c r="E939" s="65" t="s">
        <v>658</v>
      </c>
      <c r="F939" s="83">
        <v>0.4583333333333333</v>
      </c>
      <c r="G939" s="83">
        <v>0.5</v>
      </c>
      <c r="H939" s="83">
        <v>0.041666666666666664</v>
      </c>
      <c r="I939" s="84">
        <v>44214.0</v>
      </c>
      <c r="J939" s="65" t="b">
        <v>1</v>
      </c>
      <c r="K939" s="65"/>
      <c r="L939" s="85" t="b">
        <f>IF(VLOOKUP(C939,Projetos!A:L,12,false)=TRUE,TRUE,FALSE)</f>
        <v>1</v>
      </c>
      <c r="M939" s="74">
        <v>52.48434411075036</v>
      </c>
      <c r="N939" s="74">
        <f t="shared" si="1"/>
        <v>52.48434411</v>
      </c>
      <c r="O939" s="74" t="b">
        <v>1</v>
      </c>
    </row>
    <row r="940" hidden="1">
      <c r="A940" s="82"/>
      <c r="B940" s="65" t="s">
        <v>411</v>
      </c>
      <c r="C940" s="65" t="s">
        <v>92</v>
      </c>
      <c r="D940" s="65" t="str">
        <f>vlookup(C940,'Classificação p pessoal'!F:G,2,false)</f>
        <v/>
      </c>
      <c r="E940" s="65" t="s">
        <v>659</v>
      </c>
      <c r="F940" s="83">
        <v>0.7083333333333334</v>
      </c>
      <c r="G940" s="83">
        <v>0.7291666666666666</v>
      </c>
      <c r="H940" s="83">
        <v>0.020833333333333332</v>
      </c>
      <c r="I940" s="84">
        <v>44287.0</v>
      </c>
      <c r="J940" s="65" t="b">
        <v>1</v>
      </c>
      <c r="K940" s="65"/>
      <c r="L940" s="85" t="b">
        <f>IF(VLOOKUP(C940,Projetos!A:L,12,false)=TRUE,TRUE,FALSE)</f>
        <v>1</v>
      </c>
      <c r="M940" s="74">
        <v>52.48434411075036</v>
      </c>
      <c r="N940" s="74">
        <f t="shared" si="1"/>
        <v>26.24217206</v>
      </c>
      <c r="O940" s="74" t="b">
        <v>1</v>
      </c>
    </row>
    <row r="941" hidden="1">
      <c r="A941" s="82"/>
      <c r="B941" s="65" t="s">
        <v>177</v>
      </c>
      <c r="C941" s="65" t="s">
        <v>101</v>
      </c>
      <c r="D941" s="65"/>
      <c r="E941" s="65" t="s">
        <v>660</v>
      </c>
      <c r="F941" s="83">
        <v>0.3541666666666667</v>
      </c>
      <c r="G941" s="83">
        <v>0.5208333333333334</v>
      </c>
      <c r="H941" s="83">
        <v>0.16666666666666666</v>
      </c>
      <c r="I941" s="84">
        <v>44510.0</v>
      </c>
      <c r="J941" s="65" t="b">
        <v>0</v>
      </c>
      <c r="K941" s="65" t="s">
        <v>150</v>
      </c>
      <c r="L941" s="85" t="b">
        <f>IF(VLOOKUP(C941,Projetos!A:L,12,false)=TRUE,TRUE,FALSE)</f>
        <v>1</v>
      </c>
      <c r="M941" s="74">
        <v>31.02923620430495</v>
      </c>
      <c r="N941" s="74">
        <f t="shared" si="1"/>
        <v>0</v>
      </c>
      <c r="O941" s="74" t="b">
        <v>1</v>
      </c>
    </row>
    <row r="942" hidden="1">
      <c r="A942" s="82"/>
      <c r="B942" s="65" t="s">
        <v>177</v>
      </c>
      <c r="C942" s="65" t="s">
        <v>100</v>
      </c>
      <c r="D942" s="65"/>
      <c r="E942" s="65" t="s">
        <v>661</v>
      </c>
      <c r="F942" s="83">
        <v>0.5208333333333334</v>
      </c>
      <c r="G942" s="83">
        <v>0.5416666666666666</v>
      </c>
      <c r="H942" s="83">
        <v>0.020833333333333332</v>
      </c>
      <c r="I942" s="84">
        <v>44511.0</v>
      </c>
      <c r="J942" s="65" t="b">
        <v>0</v>
      </c>
      <c r="K942" s="65" t="s">
        <v>150</v>
      </c>
      <c r="L942" s="85" t="b">
        <f>IF(VLOOKUP(C942,Projetos!A:L,12,false)=TRUE,TRUE,FALSE)</f>
        <v>1</v>
      </c>
      <c r="M942" s="74">
        <v>31.02923620430495</v>
      </c>
      <c r="N942" s="74">
        <f t="shared" si="1"/>
        <v>0</v>
      </c>
      <c r="O942" s="74" t="b">
        <v>1</v>
      </c>
    </row>
    <row r="943" hidden="1">
      <c r="A943" s="82"/>
      <c r="B943" s="65" t="s">
        <v>177</v>
      </c>
      <c r="C943" s="65" t="s">
        <v>101</v>
      </c>
      <c r="D943" s="65" t="str">
        <f>vlookup(C943,'Classificação p pessoal'!F:G,2,false)</f>
        <v>NP</v>
      </c>
      <c r="E943" s="65" t="s">
        <v>662</v>
      </c>
      <c r="F943" s="83">
        <v>0.4375</v>
      </c>
      <c r="G943" s="83">
        <v>0.4583333333333333</v>
      </c>
      <c r="H943" s="83">
        <v>0.020833333333333332</v>
      </c>
      <c r="I943" s="84">
        <v>44512.0</v>
      </c>
      <c r="J943" s="65" t="b">
        <v>1</v>
      </c>
      <c r="K943" s="65"/>
      <c r="L943" s="85" t="b">
        <f>IF(VLOOKUP(C943,Projetos!A:L,12,false)=TRUE,TRUE,FALSE)</f>
        <v>1</v>
      </c>
      <c r="M943" s="74">
        <v>31.02923620430495</v>
      </c>
      <c r="N943" s="74">
        <f t="shared" si="1"/>
        <v>15.5146181</v>
      </c>
      <c r="O943" s="74" t="b">
        <v>1</v>
      </c>
    </row>
    <row r="944" hidden="1">
      <c r="A944" s="82"/>
      <c r="B944" s="65" t="s">
        <v>177</v>
      </c>
      <c r="C944" s="65" t="s">
        <v>88</v>
      </c>
      <c r="D944" s="65"/>
      <c r="E944" s="65" t="s">
        <v>663</v>
      </c>
      <c r="F944" s="83">
        <v>0.4583333333333333</v>
      </c>
      <c r="G944" s="83">
        <v>0.5</v>
      </c>
      <c r="H944" s="83">
        <v>0.041666666666666664</v>
      </c>
      <c r="I944" s="84">
        <v>44512.0</v>
      </c>
      <c r="J944" s="65" t="b">
        <v>0</v>
      </c>
      <c r="K944" s="65" t="s">
        <v>150</v>
      </c>
      <c r="L944" s="85" t="b">
        <f>IF(VLOOKUP(C944,Projetos!A:L,12,false)=TRUE,TRUE,FALSE)</f>
        <v>1</v>
      </c>
      <c r="M944" s="74">
        <v>31.02923620430495</v>
      </c>
      <c r="N944" s="74">
        <f t="shared" si="1"/>
        <v>0</v>
      </c>
      <c r="O944" s="74" t="b">
        <v>1</v>
      </c>
    </row>
    <row r="945" hidden="1">
      <c r="A945" s="82"/>
      <c r="B945" s="65" t="s">
        <v>495</v>
      </c>
      <c r="C945" s="65" t="s">
        <v>117</v>
      </c>
      <c r="D945" s="65" t="str">
        <f>vlookup(C945,'Classificação p pessoal'!F:G,2,false)</f>
        <v>NP</v>
      </c>
      <c r="E945" s="65" t="s">
        <v>664</v>
      </c>
      <c r="F945" s="83">
        <v>0.6666666666666666</v>
      </c>
      <c r="G945" s="83">
        <v>0.75</v>
      </c>
      <c r="H945" s="83">
        <v>0.08333333333333333</v>
      </c>
      <c r="I945" s="84">
        <v>44322.0</v>
      </c>
      <c r="J945" s="65" t="b">
        <v>1</v>
      </c>
      <c r="K945" s="65"/>
      <c r="L945" s="85" t="b">
        <f>IF(VLOOKUP(C945,Projetos!A:L,12,false)=TRUE,TRUE,FALSE)</f>
        <v>1</v>
      </c>
      <c r="M945" s="74">
        <v>73.7079846079846</v>
      </c>
      <c r="N945" s="74">
        <f t="shared" si="1"/>
        <v>147.4159692</v>
      </c>
      <c r="O945" s="74" t="b">
        <v>1</v>
      </c>
    </row>
    <row r="946" hidden="1">
      <c r="A946" s="82"/>
      <c r="B946" s="65" t="s">
        <v>469</v>
      </c>
      <c r="C946" s="65" t="s">
        <v>117</v>
      </c>
      <c r="D946" s="65" t="str">
        <f>vlookup(C946,'Classificação p pessoal'!F:G,2,false)</f>
        <v>NP</v>
      </c>
      <c r="E946" s="65" t="s">
        <v>665</v>
      </c>
      <c r="F946" s="83">
        <v>0.6458333333333334</v>
      </c>
      <c r="G946" s="83">
        <v>0.7152777777777778</v>
      </c>
      <c r="H946" s="83">
        <v>0.06944444444444445</v>
      </c>
      <c r="I946" s="84">
        <v>44407.0</v>
      </c>
      <c r="J946" s="65" t="b">
        <v>1</v>
      </c>
      <c r="K946" s="65"/>
      <c r="L946" s="85" t="b">
        <f>IF(VLOOKUP(C946,Projetos!A:L,12,false)=TRUE,TRUE,FALSE)</f>
        <v>1</v>
      </c>
      <c r="M946" s="74">
        <v>37.50928062469937</v>
      </c>
      <c r="N946" s="74">
        <f t="shared" si="1"/>
        <v>62.51546771</v>
      </c>
      <c r="O946" s="74" t="b">
        <v>1</v>
      </c>
    </row>
    <row r="947" hidden="1">
      <c r="A947" s="82"/>
      <c r="B947" s="65" t="s">
        <v>177</v>
      </c>
      <c r="C947" s="65" t="s">
        <v>118</v>
      </c>
      <c r="D947" s="65" t="str">
        <f>vlookup(C947,'Classificação p pessoal'!F:G,2,false)</f>
        <v>MProduto</v>
      </c>
      <c r="E947" s="65" t="s">
        <v>666</v>
      </c>
      <c r="F947" s="83">
        <v>0.3958333333333333</v>
      </c>
      <c r="G947" s="83">
        <v>0.4166666666666667</v>
      </c>
      <c r="H947" s="83">
        <v>0.020833333333333332</v>
      </c>
      <c r="I947" s="84">
        <v>44516.0</v>
      </c>
      <c r="J947" s="65" t="b">
        <v>1</v>
      </c>
      <c r="K947" s="65"/>
      <c r="L947" s="85" t="b">
        <f>IF(VLOOKUP(C947,Projetos!A:L,12,false)=TRUE,TRUE,FALSE)</f>
        <v>1</v>
      </c>
      <c r="M947" s="74">
        <v>31.02923620430495</v>
      </c>
      <c r="N947" s="74">
        <f t="shared" si="1"/>
        <v>15.5146181</v>
      </c>
      <c r="O947" s="74" t="b">
        <v>1</v>
      </c>
    </row>
    <row r="948" hidden="1">
      <c r="A948" s="82"/>
      <c r="B948" s="65" t="s">
        <v>177</v>
      </c>
      <c r="C948" s="65" t="s">
        <v>108</v>
      </c>
      <c r="D948" s="65" t="str">
        <f>vlookup(C948,'Classificação p pessoal'!F:G,2,false)</f>
        <v>NP</v>
      </c>
      <c r="E948" s="65" t="s">
        <v>667</v>
      </c>
      <c r="F948" s="83">
        <v>0.3541666666666667</v>
      </c>
      <c r="G948" s="83">
        <v>0.375</v>
      </c>
      <c r="H948" s="83">
        <v>0.020833333333333332</v>
      </c>
      <c r="I948" s="84">
        <v>44518.0</v>
      </c>
      <c r="J948" s="65" t="b">
        <v>1</v>
      </c>
      <c r="K948" s="65"/>
      <c r="L948" s="85" t="b">
        <f>IF(VLOOKUP(C948,Projetos!A:L,12,false)=TRUE,TRUE,FALSE)</f>
        <v>1</v>
      </c>
      <c r="M948" s="74">
        <v>31.02923620430495</v>
      </c>
      <c r="N948" s="74">
        <f t="shared" si="1"/>
        <v>15.5146181</v>
      </c>
      <c r="O948" s="74" t="b">
        <v>1</v>
      </c>
    </row>
    <row r="949" hidden="1">
      <c r="A949" s="82"/>
      <c r="B949" s="65" t="s">
        <v>177</v>
      </c>
      <c r="C949" s="65" t="s">
        <v>108</v>
      </c>
      <c r="D949" s="65" t="str">
        <f>vlookup(C949,'Classificação p pessoal'!F:G,2,false)</f>
        <v>NP</v>
      </c>
      <c r="E949" s="65" t="s">
        <v>668</v>
      </c>
      <c r="F949" s="83">
        <v>0.3333333333333333</v>
      </c>
      <c r="G949" s="83">
        <v>0.375</v>
      </c>
      <c r="H949" s="83">
        <v>0.041666666666666664</v>
      </c>
      <c r="I949" s="84">
        <v>44448.0</v>
      </c>
      <c r="J949" s="65" t="b">
        <v>1</v>
      </c>
      <c r="K949" s="65"/>
      <c r="L949" s="85" t="b">
        <f>IF(VLOOKUP(C949,Projetos!A:L,12,false)=TRUE,TRUE,FALSE)</f>
        <v>1</v>
      </c>
      <c r="M949" s="74">
        <v>31.02923620430495</v>
      </c>
      <c r="N949" s="74">
        <f t="shared" si="1"/>
        <v>31.0292362</v>
      </c>
      <c r="O949" s="74" t="b">
        <v>1</v>
      </c>
    </row>
    <row r="950" hidden="1">
      <c r="A950" s="82"/>
      <c r="B950" s="65" t="s">
        <v>469</v>
      </c>
      <c r="C950" s="65" t="s">
        <v>117</v>
      </c>
      <c r="D950" s="65"/>
      <c r="E950" s="65" t="s">
        <v>669</v>
      </c>
      <c r="F950" s="83">
        <v>0.4583333333333333</v>
      </c>
      <c r="G950" s="83">
        <v>0.4722222222222222</v>
      </c>
      <c r="H950" s="83">
        <v>0.013888888888888888</v>
      </c>
      <c r="I950" s="84">
        <v>44237.0</v>
      </c>
      <c r="J950" s="65" t="b">
        <v>0</v>
      </c>
      <c r="K950" s="65" t="s">
        <v>150</v>
      </c>
      <c r="L950" s="85" t="b">
        <f>IF(VLOOKUP(C950,Projetos!A:L,12,false)=TRUE,TRUE,FALSE)</f>
        <v>1</v>
      </c>
      <c r="M950" s="74">
        <v>37.50928062469937</v>
      </c>
      <c r="N950" s="74">
        <f t="shared" si="1"/>
        <v>0</v>
      </c>
      <c r="O950" s="74" t="b">
        <v>1</v>
      </c>
    </row>
    <row r="951" hidden="1">
      <c r="A951" s="82"/>
      <c r="B951" s="65" t="s">
        <v>177</v>
      </c>
      <c r="C951" s="65" t="s">
        <v>118</v>
      </c>
      <c r="D951" s="65" t="str">
        <f>vlookup(C951,'Classificação p pessoal'!F:G,2,false)</f>
        <v>MProduto</v>
      </c>
      <c r="E951" s="65" t="s">
        <v>670</v>
      </c>
      <c r="F951" s="83">
        <v>0.6458333333333334</v>
      </c>
      <c r="G951" s="83">
        <v>0.6666666666666666</v>
      </c>
      <c r="H951" s="83">
        <v>0.020833333333333332</v>
      </c>
      <c r="I951" s="84">
        <v>44518.0</v>
      </c>
      <c r="J951" s="65" t="b">
        <v>1</v>
      </c>
      <c r="K951" s="65"/>
      <c r="L951" s="85" t="b">
        <f>IF(VLOOKUP(C951,Projetos!A:L,12,false)=TRUE,TRUE,FALSE)</f>
        <v>1</v>
      </c>
      <c r="M951" s="74">
        <v>31.02923620430495</v>
      </c>
      <c r="N951" s="74">
        <f t="shared" si="1"/>
        <v>15.5146181</v>
      </c>
      <c r="O951" s="74" t="b">
        <v>1</v>
      </c>
    </row>
    <row r="952" hidden="1">
      <c r="A952" s="82"/>
      <c r="B952" s="65" t="s">
        <v>177</v>
      </c>
      <c r="C952" s="65" t="s">
        <v>92</v>
      </c>
      <c r="D952" s="65" t="str">
        <f>vlookup(C952,'Classificação p pessoal'!F:G,2,false)</f>
        <v/>
      </c>
      <c r="E952" s="65" t="s">
        <v>671</v>
      </c>
      <c r="F952" s="83">
        <v>0.6666666666666666</v>
      </c>
      <c r="G952" s="83">
        <v>0.6875</v>
      </c>
      <c r="H952" s="83">
        <v>0.020833333333333332</v>
      </c>
      <c r="I952" s="84">
        <v>44518.0</v>
      </c>
      <c r="J952" s="65" t="b">
        <v>1</v>
      </c>
      <c r="K952" s="65"/>
      <c r="L952" s="85" t="b">
        <f>IF(VLOOKUP(C952,Projetos!A:L,12,false)=TRUE,TRUE,FALSE)</f>
        <v>1</v>
      </c>
      <c r="M952" s="74">
        <v>31.02923620430495</v>
      </c>
      <c r="N952" s="74">
        <f t="shared" si="1"/>
        <v>15.5146181</v>
      </c>
      <c r="O952" s="74" t="b">
        <v>1</v>
      </c>
    </row>
    <row r="953" hidden="1">
      <c r="A953" s="82"/>
      <c r="B953" s="65" t="s">
        <v>177</v>
      </c>
      <c r="C953" s="65" t="s">
        <v>92</v>
      </c>
      <c r="D953" s="65" t="str">
        <f>vlookup(C953,'Classificação p pessoal'!F:G,2,false)</f>
        <v/>
      </c>
      <c r="E953" s="65" t="s">
        <v>672</v>
      </c>
      <c r="F953" s="83">
        <v>0.6875</v>
      </c>
      <c r="G953" s="83">
        <v>0.7083333333333334</v>
      </c>
      <c r="H953" s="83">
        <v>0.020833333333333332</v>
      </c>
      <c r="I953" s="84">
        <v>44518.0</v>
      </c>
      <c r="J953" s="65" t="b">
        <v>1</v>
      </c>
      <c r="K953" s="65"/>
      <c r="L953" s="85" t="b">
        <f>IF(VLOOKUP(C953,Projetos!A:L,12,false)=TRUE,TRUE,FALSE)</f>
        <v>1</v>
      </c>
      <c r="M953" s="74">
        <v>31.02923620430495</v>
      </c>
      <c r="N953" s="74">
        <f t="shared" si="1"/>
        <v>15.5146181</v>
      </c>
      <c r="O953" s="74" t="b">
        <v>1</v>
      </c>
    </row>
    <row r="954" hidden="1">
      <c r="A954" s="82"/>
      <c r="B954" s="65" t="s">
        <v>177</v>
      </c>
      <c r="C954" s="65" t="s">
        <v>92</v>
      </c>
      <c r="D954" s="65" t="str">
        <f>vlookup(C954,'Classificação p pessoal'!F:G,2,false)</f>
        <v/>
      </c>
      <c r="E954" s="65" t="s">
        <v>673</v>
      </c>
      <c r="F954" s="83">
        <v>0.7083333333333334</v>
      </c>
      <c r="G954" s="83">
        <v>0.7291666666666666</v>
      </c>
      <c r="H954" s="83">
        <v>0.020833333333333332</v>
      </c>
      <c r="I954" s="84">
        <v>44518.0</v>
      </c>
      <c r="J954" s="65" t="b">
        <v>1</v>
      </c>
      <c r="K954" s="65"/>
      <c r="L954" s="85" t="b">
        <f>IF(VLOOKUP(C954,Projetos!A:L,12,false)=TRUE,TRUE,FALSE)</f>
        <v>1</v>
      </c>
      <c r="M954" s="74">
        <v>31.02923620430495</v>
      </c>
      <c r="N954" s="74">
        <f t="shared" si="1"/>
        <v>15.5146181</v>
      </c>
      <c r="O954" s="74" t="b">
        <v>1</v>
      </c>
    </row>
    <row r="955" hidden="1">
      <c r="A955" s="82"/>
      <c r="B955" s="65" t="s">
        <v>177</v>
      </c>
      <c r="C955" s="65" t="s">
        <v>117</v>
      </c>
      <c r="D955" s="65" t="str">
        <f>vlookup(C955,'Classificação p pessoal'!F:G,2,false)</f>
        <v>NP</v>
      </c>
      <c r="E955" s="65" t="s">
        <v>674</v>
      </c>
      <c r="F955" s="83">
        <v>0.3541666666666667</v>
      </c>
      <c r="G955" s="83">
        <v>0.3958333333333333</v>
      </c>
      <c r="H955" s="83">
        <v>0.041666666666666664</v>
      </c>
      <c r="I955" s="84">
        <v>44518.0</v>
      </c>
      <c r="J955" s="65" t="b">
        <v>1</v>
      </c>
      <c r="K955" s="65"/>
      <c r="L955" s="85" t="b">
        <f>IF(VLOOKUP(C955,Projetos!A:L,12,false)=TRUE,TRUE,FALSE)</f>
        <v>1</v>
      </c>
      <c r="M955" s="74">
        <v>31.02923620430495</v>
      </c>
      <c r="N955" s="74">
        <f t="shared" si="1"/>
        <v>31.0292362</v>
      </c>
      <c r="O955" s="74" t="b">
        <v>1</v>
      </c>
    </row>
    <row r="956" hidden="1">
      <c r="A956" s="82"/>
      <c r="B956" s="65" t="s">
        <v>177</v>
      </c>
      <c r="C956" s="65" t="s">
        <v>100</v>
      </c>
      <c r="D956" s="65" t="str">
        <f>vlookup(C956,'Classificação p pessoal'!F:G,2,false)</f>
        <v>NP</v>
      </c>
      <c r="E956" s="65" t="s">
        <v>675</v>
      </c>
      <c r="F956" s="83">
        <v>0.6666666666666666</v>
      </c>
      <c r="G956" s="83">
        <v>0.75</v>
      </c>
      <c r="H956" s="83">
        <v>0.08333333333333333</v>
      </c>
      <c r="I956" s="84">
        <v>44519.0</v>
      </c>
      <c r="J956" s="65" t="b">
        <v>1</v>
      </c>
      <c r="K956" s="65"/>
      <c r="L956" s="85" t="b">
        <f>IF(VLOOKUP(C956,Projetos!A:L,12,false)=TRUE,TRUE,FALSE)</f>
        <v>1</v>
      </c>
      <c r="M956" s="74">
        <v>31.02923620430495</v>
      </c>
      <c r="N956" s="74">
        <f t="shared" si="1"/>
        <v>62.05847241</v>
      </c>
      <c r="O956" s="74" t="b">
        <v>1</v>
      </c>
    </row>
    <row r="957" hidden="1">
      <c r="A957" s="82"/>
      <c r="B957" s="65" t="s">
        <v>177</v>
      </c>
      <c r="C957" s="65" t="s">
        <v>132</v>
      </c>
      <c r="D957" s="65"/>
      <c r="E957" s="65" t="s">
        <v>676</v>
      </c>
      <c r="F957" s="83">
        <v>0.5833333333333334</v>
      </c>
      <c r="G957" s="83">
        <v>0.625</v>
      </c>
      <c r="H957" s="83">
        <v>0.041666666666666664</v>
      </c>
      <c r="I957" s="84">
        <v>44522.0</v>
      </c>
      <c r="J957" s="65" t="b">
        <v>1</v>
      </c>
      <c r="K957" s="65"/>
      <c r="L957" s="85" t="b">
        <f>IF(VLOOKUP(C957,Projetos!A:L,12,false)=TRUE,TRUE,FALSE)</f>
        <v>0</v>
      </c>
      <c r="M957" s="74">
        <v>31.02923620430495</v>
      </c>
      <c r="N957" s="74">
        <f t="shared" si="1"/>
        <v>0</v>
      </c>
      <c r="O957" s="74" t="b">
        <v>0</v>
      </c>
    </row>
    <row r="958" hidden="1">
      <c r="A958" s="82"/>
      <c r="B958" s="65" t="s">
        <v>177</v>
      </c>
      <c r="C958" s="65" t="s">
        <v>100</v>
      </c>
      <c r="D958" s="65" t="str">
        <f>vlookup(C958,'Classificação p pessoal'!F:G,2,false)</f>
        <v>NP</v>
      </c>
      <c r="E958" s="65" t="s">
        <v>677</v>
      </c>
      <c r="F958" s="83">
        <v>0.3541666666666667</v>
      </c>
      <c r="G958" s="83">
        <v>0.5416666666666666</v>
      </c>
      <c r="H958" s="83">
        <v>0.1875</v>
      </c>
      <c r="I958" s="84">
        <v>44522.0</v>
      </c>
      <c r="J958" s="65" t="b">
        <v>1</v>
      </c>
      <c r="K958" s="65"/>
      <c r="L958" s="85" t="b">
        <f>IF(VLOOKUP(C958,Projetos!A:L,12,false)=TRUE,TRUE,FALSE)</f>
        <v>1</v>
      </c>
      <c r="M958" s="74">
        <v>31.02923620430495</v>
      </c>
      <c r="N958" s="74">
        <f t="shared" si="1"/>
        <v>139.6315629</v>
      </c>
      <c r="O958" s="74" t="b">
        <v>1</v>
      </c>
    </row>
    <row r="959" hidden="1">
      <c r="A959" s="82"/>
      <c r="B959" s="65" t="s">
        <v>177</v>
      </c>
      <c r="C959" s="65" t="s">
        <v>106</v>
      </c>
      <c r="D959" s="65"/>
      <c r="E959" s="65" t="s">
        <v>678</v>
      </c>
      <c r="F959" s="83">
        <v>0.4166666666666667</v>
      </c>
      <c r="G959" s="83">
        <v>0.4791666666666667</v>
      </c>
      <c r="H959" s="83">
        <v>0.0625</v>
      </c>
      <c r="I959" s="84">
        <v>44421.0</v>
      </c>
      <c r="J959" s="65" t="b">
        <v>0</v>
      </c>
      <c r="K959" s="65" t="s">
        <v>150</v>
      </c>
      <c r="L959" s="85" t="b">
        <f>IF(VLOOKUP(C959,Projetos!A:L,12,false)=TRUE,TRUE,FALSE)</f>
        <v>1</v>
      </c>
      <c r="M959" s="74">
        <v>31.02923620430495</v>
      </c>
      <c r="N959" s="74">
        <f t="shared" si="1"/>
        <v>0</v>
      </c>
      <c r="O959" s="74" t="b">
        <v>1</v>
      </c>
    </row>
    <row r="960" hidden="1">
      <c r="A960" s="82"/>
      <c r="B960" s="65" t="s">
        <v>177</v>
      </c>
      <c r="C960" s="65" t="s">
        <v>106</v>
      </c>
      <c r="D960" s="65" t="str">
        <f>vlookup(C960,'Classificação p pessoal'!F:G,2,false)</f>
        <v>MProcesso</v>
      </c>
      <c r="E960" s="65" t="s">
        <v>679</v>
      </c>
      <c r="F960" s="83">
        <v>0.3541666666666667</v>
      </c>
      <c r="G960" s="83">
        <v>0.3958333333333333</v>
      </c>
      <c r="H960" s="83">
        <v>0.041666666666666664</v>
      </c>
      <c r="I960" s="84">
        <v>44523.0</v>
      </c>
      <c r="J960" s="65" t="b">
        <v>1</v>
      </c>
      <c r="K960" s="65"/>
      <c r="L960" s="85" t="b">
        <f>IF(VLOOKUP(C960,Projetos!A:L,12,false)=TRUE,TRUE,FALSE)</f>
        <v>1</v>
      </c>
      <c r="M960" s="74">
        <v>31.02923620430495</v>
      </c>
      <c r="N960" s="74">
        <f t="shared" si="1"/>
        <v>31.0292362</v>
      </c>
      <c r="O960" s="74" t="b">
        <v>1</v>
      </c>
    </row>
    <row r="961" hidden="1">
      <c r="A961" s="82"/>
      <c r="B961" s="65" t="s">
        <v>495</v>
      </c>
      <c r="C961" s="65" t="s">
        <v>92</v>
      </c>
      <c r="D961" s="65" t="str">
        <f>vlookup(C961,'Classificação p pessoal'!F:G,2,false)</f>
        <v/>
      </c>
      <c r="E961" s="65" t="s">
        <v>680</v>
      </c>
      <c r="F961" s="83">
        <v>0.6666666666666666</v>
      </c>
      <c r="G961" s="83">
        <v>0.75</v>
      </c>
      <c r="H961" s="83">
        <v>0.08333333333333333</v>
      </c>
      <c r="I961" s="84">
        <v>44334.0</v>
      </c>
      <c r="J961" s="65" t="b">
        <v>1</v>
      </c>
      <c r="K961" s="65"/>
      <c r="L961" s="85" t="b">
        <f>IF(VLOOKUP(C961,Projetos!A:L,12,false)=TRUE,TRUE,FALSE)</f>
        <v>1</v>
      </c>
      <c r="M961" s="74">
        <v>73.7079846079846</v>
      </c>
      <c r="N961" s="74">
        <f t="shared" si="1"/>
        <v>147.4159692</v>
      </c>
      <c r="O961" s="74" t="b">
        <v>1</v>
      </c>
    </row>
    <row r="962" hidden="1">
      <c r="A962" s="82"/>
      <c r="B962" s="65" t="s">
        <v>177</v>
      </c>
      <c r="C962" s="65" t="s">
        <v>100</v>
      </c>
      <c r="D962" s="65" t="str">
        <f>vlookup(C962,'Classificação p pessoal'!F:G,2,false)</f>
        <v>NP</v>
      </c>
      <c r="E962" s="65" t="s">
        <v>681</v>
      </c>
      <c r="F962" s="83">
        <v>0.375</v>
      </c>
      <c r="G962" s="83">
        <v>0.4375</v>
      </c>
      <c r="H962" s="83">
        <v>0.0625</v>
      </c>
      <c r="I962" s="84">
        <v>44524.0</v>
      </c>
      <c r="J962" s="65" t="b">
        <v>1</v>
      </c>
      <c r="K962" s="65"/>
      <c r="L962" s="85" t="b">
        <f>IF(VLOOKUP(C962,Projetos!A:L,12,false)=TRUE,TRUE,FALSE)</f>
        <v>1</v>
      </c>
      <c r="M962" s="74">
        <v>31.02923620430495</v>
      </c>
      <c r="N962" s="74">
        <f t="shared" si="1"/>
        <v>46.54385431</v>
      </c>
      <c r="O962" s="74" t="b">
        <v>1</v>
      </c>
    </row>
    <row r="963" hidden="1">
      <c r="A963" s="82"/>
      <c r="B963" s="65" t="s">
        <v>177</v>
      </c>
      <c r="C963" s="65" t="s">
        <v>101</v>
      </c>
      <c r="D963" s="65" t="str">
        <f>vlookup(C963,'Classificação p pessoal'!F:G,2,false)</f>
        <v>NP</v>
      </c>
      <c r="E963" s="65" t="s">
        <v>682</v>
      </c>
      <c r="F963" s="83">
        <v>0.5833333333333334</v>
      </c>
      <c r="G963" s="83">
        <v>0.625</v>
      </c>
      <c r="H963" s="83">
        <v>0.041666666666666664</v>
      </c>
      <c r="I963" s="84">
        <v>44525.0</v>
      </c>
      <c r="J963" s="65" t="b">
        <v>1</v>
      </c>
      <c r="K963" s="65"/>
      <c r="L963" s="85" t="b">
        <f>IF(VLOOKUP(C963,Projetos!A:L,12,false)=TRUE,TRUE,FALSE)</f>
        <v>1</v>
      </c>
      <c r="M963" s="74">
        <v>31.02923620430495</v>
      </c>
      <c r="N963" s="74">
        <f t="shared" si="1"/>
        <v>31.0292362</v>
      </c>
      <c r="O963" s="74" t="b">
        <v>1</v>
      </c>
    </row>
    <row r="964" hidden="1">
      <c r="A964" s="82"/>
      <c r="B964" s="65" t="s">
        <v>177</v>
      </c>
      <c r="C964" s="65" t="s">
        <v>101</v>
      </c>
      <c r="D964" s="65" t="str">
        <f>vlookup(C964,'Classificação p pessoal'!F:G,2,false)</f>
        <v>NP</v>
      </c>
      <c r="E964" s="65" t="s">
        <v>683</v>
      </c>
      <c r="F964" s="83">
        <v>0.625</v>
      </c>
      <c r="G964" s="83">
        <v>0.6666666666666666</v>
      </c>
      <c r="H964" s="83">
        <v>0.041666666666666664</v>
      </c>
      <c r="I964" s="84">
        <v>44525.0</v>
      </c>
      <c r="J964" s="65" t="b">
        <v>1</v>
      </c>
      <c r="K964" s="65"/>
      <c r="L964" s="85" t="b">
        <f>IF(VLOOKUP(C964,Projetos!A:L,12,false)=TRUE,TRUE,FALSE)</f>
        <v>1</v>
      </c>
      <c r="M964" s="74">
        <v>31.02923620430495</v>
      </c>
      <c r="N964" s="74">
        <f t="shared" si="1"/>
        <v>31.0292362</v>
      </c>
      <c r="O964" s="74" t="b">
        <v>1</v>
      </c>
    </row>
    <row r="965" hidden="1">
      <c r="A965" s="82"/>
      <c r="B965" s="65" t="s">
        <v>177</v>
      </c>
      <c r="C965" s="65" t="s">
        <v>101</v>
      </c>
      <c r="D965" s="65" t="str">
        <f>vlookup(C965,'Classificação p pessoal'!F:G,2,false)</f>
        <v>NP</v>
      </c>
      <c r="E965" s="65" t="s">
        <v>684</v>
      </c>
      <c r="F965" s="83">
        <v>0.6666666666666666</v>
      </c>
      <c r="G965" s="83">
        <v>0.7083333333333334</v>
      </c>
      <c r="H965" s="83">
        <v>0.041666666666666664</v>
      </c>
      <c r="I965" s="84">
        <v>44525.0</v>
      </c>
      <c r="J965" s="65" t="b">
        <v>1</v>
      </c>
      <c r="K965" s="65"/>
      <c r="L965" s="85" t="b">
        <f>IF(VLOOKUP(C965,Projetos!A:L,12,false)=TRUE,TRUE,FALSE)</f>
        <v>1</v>
      </c>
      <c r="M965" s="74">
        <v>31.02923620430495</v>
      </c>
      <c r="N965" s="74">
        <f t="shared" si="1"/>
        <v>31.0292362</v>
      </c>
      <c r="O965" s="74" t="b">
        <v>1</v>
      </c>
    </row>
    <row r="966" hidden="1">
      <c r="A966" s="82"/>
      <c r="B966" s="65" t="s">
        <v>177</v>
      </c>
      <c r="C966" s="65" t="s">
        <v>101</v>
      </c>
      <c r="D966" s="65" t="str">
        <f>vlookup(C966,'Classificação p pessoal'!F:G,2,false)</f>
        <v>NP</v>
      </c>
      <c r="E966" s="65" t="s">
        <v>685</v>
      </c>
      <c r="F966" s="83">
        <v>0.7083333333333334</v>
      </c>
      <c r="G966" s="83">
        <v>0.75</v>
      </c>
      <c r="H966" s="83">
        <v>0.041666666666666664</v>
      </c>
      <c r="I966" s="84">
        <v>44525.0</v>
      </c>
      <c r="J966" s="65" t="b">
        <v>1</v>
      </c>
      <c r="K966" s="65"/>
      <c r="L966" s="85" t="b">
        <f>IF(VLOOKUP(C966,Projetos!A:L,12,false)=TRUE,TRUE,FALSE)</f>
        <v>1</v>
      </c>
      <c r="M966" s="74">
        <v>31.02923620430495</v>
      </c>
      <c r="N966" s="74">
        <f t="shared" si="1"/>
        <v>31.0292362</v>
      </c>
      <c r="O966" s="74" t="b">
        <v>1</v>
      </c>
    </row>
    <row r="967" hidden="1">
      <c r="A967" s="82"/>
      <c r="B967" s="65" t="s">
        <v>495</v>
      </c>
      <c r="C967" s="65" t="s">
        <v>92</v>
      </c>
      <c r="D967" s="65" t="str">
        <f>vlookup(C967,'Classificação p pessoal'!F:G,2,false)</f>
        <v/>
      </c>
      <c r="E967" s="65" t="s">
        <v>680</v>
      </c>
      <c r="F967" s="83">
        <v>0.375</v>
      </c>
      <c r="G967" s="83">
        <v>0.4166666666666667</v>
      </c>
      <c r="H967" s="83">
        <v>0.041666666666666664</v>
      </c>
      <c r="I967" s="84">
        <v>44335.0</v>
      </c>
      <c r="J967" s="65" t="b">
        <v>1</v>
      </c>
      <c r="K967" s="65"/>
      <c r="L967" s="85" t="b">
        <f>IF(VLOOKUP(C967,Projetos!A:L,12,false)=TRUE,TRUE,FALSE)</f>
        <v>1</v>
      </c>
      <c r="M967" s="74">
        <v>73.7079846079846</v>
      </c>
      <c r="N967" s="74">
        <f t="shared" si="1"/>
        <v>73.70798461</v>
      </c>
      <c r="O967" s="74" t="b">
        <v>1</v>
      </c>
    </row>
    <row r="968" hidden="1">
      <c r="A968" s="82"/>
      <c r="B968" s="65" t="s">
        <v>177</v>
      </c>
      <c r="C968" s="65" t="s">
        <v>101</v>
      </c>
      <c r="D968" s="65"/>
      <c r="E968" s="65" t="s">
        <v>686</v>
      </c>
      <c r="F968" s="83">
        <v>0.625</v>
      </c>
      <c r="G968" s="83">
        <v>0.6875</v>
      </c>
      <c r="H968" s="83">
        <v>0.0625</v>
      </c>
      <c r="I968" s="84">
        <v>44528.0</v>
      </c>
      <c r="J968" s="65" t="b">
        <v>0</v>
      </c>
      <c r="K968" s="65" t="s">
        <v>150</v>
      </c>
      <c r="L968" s="85" t="b">
        <f>IF(VLOOKUP(C968,Projetos!A:L,12,false)=TRUE,TRUE,FALSE)</f>
        <v>1</v>
      </c>
      <c r="M968" s="74">
        <v>31.02923620430495</v>
      </c>
      <c r="N968" s="74">
        <f t="shared" si="1"/>
        <v>0</v>
      </c>
      <c r="O968" s="74" t="b">
        <v>1</v>
      </c>
    </row>
    <row r="969" hidden="1">
      <c r="A969" s="82"/>
      <c r="B969" s="65" t="s">
        <v>177</v>
      </c>
      <c r="C969" s="65" t="s">
        <v>106</v>
      </c>
      <c r="D969" s="65"/>
      <c r="E969" s="65" t="s">
        <v>687</v>
      </c>
      <c r="F969" s="83">
        <v>0.3541666666666667</v>
      </c>
      <c r="G969" s="83">
        <v>0.4166666666666667</v>
      </c>
      <c r="H969" s="83">
        <v>0.0625</v>
      </c>
      <c r="I969" s="84">
        <v>44526.0</v>
      </c>
      <c r="J969" s="65" t="b">
        <v>0</v>
      </c>
      <c r="K969" s="65" t="s">
        <v>150</v>
      </c>
      <c r="L969" s="85" t="b">
        <f>IF(VLOOKUP(C969,Projetos!A:L,12,false)=TRUE,TRUE,FALSE)</f>
        <v>1</v>
      </c>
      <c r="M969" s="74">
        <v>31.02923620430495</v>
      </c>
      <c r="N969" s="74">
        <f t="shared" si="1"/>
        <v>0</v>
      </c>
      <c r="O969" s="74" t="b">
        <v>1</v>
      </c>
    </row>
    <row r="970" hidden="1">
      <c r="A970" s="82"/>
      <c r="B970" s="65" t="s">
        <v>177</v>
      </c>
      <c r="C970" s="65" t="s">
        <v>88</v>
      </c>
      <c r="D970" s="65"/>
      <c r="E970" s="65" t="s">
        <v>688</v>
      </c>
      <c r="F970" s="83">
        <v>0.6666666666666666</v>
      </c>
      <c r="G970" s="83">
        <v>0.7083333333333334</v>
      </c>
      <c r="H970" s="83">
        <v>0.041666666666666664</v>
      </c>
      <c r="I970" s="84">
        <v>44526.0</v>
      </c>
      <c r="J970" s="65" t="b">
        <v>0</v>
      </c>
      <c r="K970" s="65" t="s">
        <v>150</v>
      </c>
      <c r="L970" s="85" t="b">
        <f>IF(VLOOKUP(C970,Projetos!A:L,12,false)=TRUE,TRUE,FALSE)</f>
        <v>1</v>
      </c>
      <c r="M970" s="74">
        <v>31.02923620430495</v>
      </c>
      <c r="N970" s="74">
        <f t="shared" si="1"/>
        <v>0</v>
      </c>
      <c r="O970" s="74" t="b">
        <v>1</v>
      </c>
    </row>
    <row r="971" hidden="1">
      <c r="A971" s="82"/>
      <c r="B971" s="65" t="s">
        <v>177</v>
      </c>
      <c r="C971" s="65" t="s">
        <v>101</v>
      </c>
      <c r="D971" s="65" t="str">
        <f>vlookup(C971,'Classificação p pessoal'!F:G,2,false)</f>
        <v>NP</v>
      </c>
      <c r="E971" s="65" t="s">
        <v>689</v>
      </c>
      <c r="F971" s="83">
        <v>0.3541666666666667</v>
      </c>
      <c r="G971" s="83">
        <v>0.5416666666666666</v>
      </c>
      <c r="H971" s="83">
        <v>0.1875</v>
      </c>
      <c r="I971" s="84">
        <v>44529.0</v>
      </c>
      <c r="J971" s="65" t="b">
        <v>1</v>
      </c>
      <c r="K971" s="65"/>
      <c r="L971" s="85" t="b">
        <f>IF(VLOOKUP(C971,Projetos!A:L,12,false)=TRUE,TRUE,FALSE)</f>
        <v>1</v>
      </c>
      <c r="M971" s="74">
        <v>31.02923620430495</v>
      </c>
      <c r="N971" s="74">
        <f t="shared" si="1"/>
        <v>139.6315629</v>
      </c>
      <c r="O971" s="74" t="b">
        <v>1</v>
      </c>
    </row>
    <row r="972" hidden="1">
      <c r="A972" s="82"/>
      <c r="B972" s="65" t="s">
        <v>177</v>
      </c>
      <c r="C972" s="65" t="s">
        <v>101</v>
      </c>
      <c r="D972" s="65" t="str">
        <f>vlookup(C972,'Classificação p pessoal'!F:G,2,false)</f>
        <v>NP</v>
      </c>
      <c r="E972" s="65" t="s">
        <v>690</v>
      </c>
      <c r="F972" s="83">
        <v>0.4375</v>
      </c>
      <c r="G972" s="83">
        <v>0.5416666666666666</v>
      </c>
      <c r="H972" s="83">
        <v>0.10416666666666667</v>
      </c>
      <c r="I972" s="84">
        <v>44530.0</v>
      </c>
      <c r="J972" s="65" t="b">
        <v>1</v>
      </c>
      <c r="K972" s="65"/>
      <c r="L972" s="85" t="b">
        <f>IF(VLOOKUP(C972,Projetos!A:L,12,false)=TRUE,TRUE,FALSE)</f>
        <v>1</v>
      </c>
      <c r="M972" s="74">
        <v>31.02923620430495</v>
      </c>
      <c r="N972" s="74">
        <f t="shared" si="1"/>
        <v>77.57309051</v>
      </c>
      <c r="O972" s="74" t="b">
        <v>1</v>
      </c>
    </row>
    <row r="973" hidden="1">
      <c r="A973" s="82"/>
      <c r="B973" s="65" t="s">
        <v>495</v>
      </c>
      <c r="C973" s="65" t="s">
        <v>92</v>
      </c>
      <c r="D973" s="65"/>
      <c r="E973" s="65" t="s">
        <v>691</v>
      </c>
      <c r="F973" s="83">
        <v>0.34375</v>
      </c>
      <c r="G973" s="83">
        <v>0.3611111111111111</v>
      </c>
      <c r="H973" s="83">
        <v>0.017361111111111112</v>
      </c>
      <c r="I973" s="84">
        <v>44427.0</v>
      </c>
      <c r="J973" s="65" t="b">
        <v>0</v>
      </c>
      <c r="K973" s="65" t="s">
        <v>150</v>
      </c>
      <c r="L973" s="85" t="b">
        <f>IF(VLOOKUP(C973,Projetos!A:L,12,false)=TRUE,TRUE,FALSE)</f>
        <v>1</v>
      </c>
      <c r="M973" s="74">
        <v>73.7079846079846</v>
      </c>
      <c r="N973" s="74">
        <f t="shared" si="1"/>
        <v>0</v>
      </c>
      <c r="O973" s="74" t="b">
        <v>1</v>
      </c>
    </row>
    <row r="974" hidden="1">
      <c r="A974" s="82"/>
      <c r="B974" s="65" t="s">
        <v>177</v>
      </c>
      <c r="C974" s="65" t="s">
        <v>101</v>
      </c>
      <c r="D974" s="65" t="str">
        <f>vlookup(C974,'Classificação p pessoal'!F:G,2,false)</f>
        <v>NP</v>
      </c>
      <c r="E974" s="65" t="s">
        <v>692</v>
      </c>
      <c r="F974" s="83">
        <v>0.3958333333333333</v>
      </c>
      <c r="G974" s="83">
        <v>0.4375</v>
      </c>
      <c r="H974" s="83">
        <v>0.041666666666666664</v>
      </c>
      <c r="I974" s="84">
        <v>44530.0</v>
      </c>
      <c r="J974" s="65" t="b">
        <v>1</v>
      </c>
      <c r="K974" s="65"/>
      <c r="L974" s="85" t="b">
        <f>IF(VLOOKUP(C974,Projetos!A:L,12,false)=TRUE,TRUE,FALSE)</f>
        <v>1</v>
      </c>
      <c r="M974" s="74">
        <v>31.02923620430495</v>
      </c>
      <c r="N974" s="74">
        <f t="shared" si="1"/>
        <v>31.0292362</v>
      </c>
      <c r="O974" s="74" t="b">
        <v>1</v>
      </c>
    </row>
    <row r="975" hidden="1">
      <c r="A975" s="82"/>
      <c r="B975" s="65" t="s">
        <v>177</v>
      </c>
      <c r="C975" s="65" t="s">
        <v>106</v>
      </c>
      <c r="D975" s="65"/>
      <c r="E975" s="65" t="s">
        <v>693</v>
      </c>
      <c r="F975" s="83">
        <v>0.7083333333333334</v>
      </c>
      <c r="G975" s="83">
        <v>0.75</v>
      </c>
      <c r="H975" s="83">
        <v>0.041666666666666664</v>
      </c>
      <c r="I975" s="84">
        <v>44530.0</v>
      </c>
      <c r="J975" s="65" t="b">
        <v>0</v>
      </c>
      <c r="K975" s="65" t="s">
        <v>150</v>
      </c>
      <c r="L975" s="85" t="b">
        <f>IF(VLOOKUP(C975,Projetos!A:L,12,false)=TRUE,TRUE,FALSE)</f>
        <v>1</v>
      </c>
      <c r="M975" s="74">
        <v>31.02923620430495</v>
      </c>
      <c r="N975" s="74">
        <f t="shared" si="1"/>
        <v>0</v>
      </c>
      <c r="O975" s="74" t="b">
        <v>1</v>
      </c>
    </row>
    <row r="976" hidden="1">
      <c r="A976" s="82"/>
      <c r="B976" s="65" t="s">
        <v>177</v>
      </c>
      <c r="C976" s="65" t="s">
        <v>101</v>
      </c>
      <c r="D976" s="65"/>
      <c r="E976" s="65" t="s">
        <v>694</v>
      </c>
      <c r="F976" s="83">
        <v>0.3541666666666667</v>
      </c>
      <c r="G976" s="83">
        <v>0.4583333333333333</v>
      </c>
      <c r="H976" s="83">
        <v>0.10416666666666667</v>
      </c>
      <c r="I976" s="84">
        <v>44531.0</v>
      </c>
      <c r="J976" s="65" t="b">
        <v>0</v>
      </c>
      <c r="K976" s="65" t="s">
        <v>150</v>
      </c>
      <c r="L976" s="85" t="b">
        <f>IF(VLOOKUP(C976,Projetos!A:L,12,false)=TRUE,TRUE,FALSE)</f>
        <v>1</v>
      </c>
      <c r="M976" s="74">
        <v>31.02923620430495</v>
      </c>
      <c r="N976" s="74">
        <f t="shared" si="1"/>
        <v>0</v>
      </c>
      <c r="O976" s="74" t="b">
        <v>1</v>
      </c>
    </row>
    <row r="977" hidden="1">
      <c r="A977" s="82"/>
      <c r="B977" s="65" t="s">
        <v>177</v>
      </c>
      <c r="C977" s="65" t="s">
        <v>101</v>
      </c>
      <c r="D977" s="65"/>
      <c r="E977" s="65" t="s">
        <v>695</v>
      </c>
      <c r="F977" s="83">
        <v>0.3541666666666667</v>
      </c>
      <c r="G977" s="83">
        <v>0.375</v>
      </c>
      <c r="H977" s="83">
        <v>0.020833333333333332</v>
      </c>
      <c r="I977" s="84">
        <v>44532.0</v>
      </c>
      <c r="J977" s="65" t="b">
        <v>0</v>
      </c>
      <c r="K977" s="65" t="s">
        <v>150</v>
      </c>
      <c r="L977" s="85" t="b">
        <f>IF(VLOOKUP(C977,Projetos!A:L,12,false)=TRUE,TRUE,FALSE)</f>
        <v>1</v>
      </c>
      <c r="M977" s="74">
        <v>31.02923620430495</v>
      </c>
      <c r="N977" s="74">
        <f t="shared" si="1"/>
        <v>0</v>
      </c>
      <c r="O977" s="74" t="b">
        <v>1</v>
      </c>
    </row>
    <row r="978" hidden="1">
      <c r="A978" s="82"/>
      <c r="B978" s="65" t="s">
        <v>177</v>
      </c>
      <c r="C978" s="65" t="s">
        <v>106</v>
      </c>
      <c r="D978" s="65" t="str">
        <f>vlookup(C978,'Classificação p pessoal'!F:G,2,false)</f>
        <v>MProcesso</v>
      </c>
      <c r="E978" s="65" t="s">
        <v>696</v>
      </c>
      <c r="F978" s="83">
        <v>0.3541666666666667</v>
      </c>
      <c r="G978" s="83">
        <v>0.3958333333333333</v>
      </c>
      <c r="H978" s="83">
        <v>0.041666666666666664</v>
      </c>
      <c r="I978" s="84">
        <v>44533.0</v>
      </c>
      <c r="J978" s="65" t="b">
        <v>1</v>
      </c>
      <c r="K978" s="65"/>
      <c r="L978" s="85" t="b">
        <f>IF(VLOOKUP(C978,Projetos!A:L,12,false)=TRUE,TRUE,FALSE)</f>
        <v>1</v>
      </c>
      <c r="M978" s="74">
        <v>31.02923620430495</v>
      </c>
      <c r="N978" s="74">
        <f t="shared" si="1"/>
        <v>31.0292362</v>
      </c>
      <c r="O978" s="74" t="b">
        <v>1</v>
      </c>
    </row>
    <row r="979" hidden="1">
      <c r="A979" s="82"/>
      <c r="B979" s="65" t="s">
        <v>177</v>
      </c>
      <c r="C979" s="65" t="s">
        <v>101</v>
      </c>
      <c r="D979" s="65" t="str">
        <f>vlookup(C979,'Classificação p pessoal'!F:G,2,false)</f>
        <v>NP</v>
      </c>
      <c r="E979" s="65" t="s">
        <v>697</v>
      </c>
      <c r="F979" s="83">
        <v>0.3958333333333333</v>
      </c>
      <c r="G979" s="83">
        <v>0.5208333333333334</v>
      </c>
      <c r="H979" s="83">
        <v>0.125</v>
      </c>
      <c r="I979" s="84">
        <v>44533.0</v>
      </c>
      <c r="J979" s="65" t="b">
        <v>1</v>
      </c>
      <c r="K979" s="65"/>
      <c r="L979" s="85" t="b">
        <f>IF(VLOOKUP(C979,Projetos!A:L,12,false)=TRUE,TRUE,FALSE)</f>
        <v>1</v>
      </c>
      <c r="M979" s="74">
        <v>31.02923620430495</v>
      </c>
      <c r="N979" s="74">
        <f t="shared" si="1"/>
        <v>93.08770861</v>
      </c>
      <c r="O979" s="74" t="b">
        <v>1</v>
      </c>
    </row>
    <row r="980" hidden="1">
      <c r="A980" s="82"/>
      <c r="B980" s="65" t="s">
        <v>469</v>
      </c>
      <c r="C980" s="65" t="s">
        <v>130</v>
      </c>
      <c r="D980" s="65" t="str">
        <f>vlookup(C980,'Classificação p pessoal'!F:G,2,false)</f>
        <v>NP</v>
      </c>
      <c r="E980" s="65" t="s">
        <v>698</v>
      </c>
      <c r="F980" s="83">
        <v>0.4375</v>
      </c>
      <c r="G980" s="83">
        <v>0.4513888888888889</v>
      </c>
      <c r="H980" s="83">
        <v>0.013888888888888888</v>
      </c>
      <c r="I980" s="84">
        <v>44503.0</v>
      </c>
      <c r="J980" s="65" t="b">
        <v>1</v>
      </c>
      <c r="K980" s="65"/>
      <c r="L980" s="85" t="b">
        <f>IF(VLOOKUP(C980,Projetos!A:L,12,false)=TRUE,TRUE,FALSE)</f>
        <v>1</v>
      </c>
      <c r="M980" s="74">
        <v>37.50928062469937</v>
      </c>
      <c r="N980" s="74">
        <f t="shared" si="1"/>
        <v>12.50309354</v>
      </c>
      <c r="O980" s="74" t="b">
        <v>1</v>
      </c>
    </row>
    <row r="981" hidden="1">
      <c r="A981" s="82"/>
      <c r="B981" s="65" t="s">
        <v>411</v>
      </c>
      <c r="C981" s="65" t="s">
        <v>117</v>
      </c>
      <c r="D981" s="65" t="str">
        <f>vlookup(C981,'Classificação p pessoal'!F:G,2,false)</f>
        <v>NP</v>
      </c>
      <c r="E981" s="65" t="s">
        <v>699</v>
      </c>
      <c r="F981" s="83">
        <v>0.4375</v>
      </c>
      <c r="G981" s="83">
        <v>0.4583333333333333</v>
      </c>
      <c r="H981" s="83">
        <v>0.020833333333333332</v>
      </c>
      <c r="I981" s="84">
        <v>44280.0</v>
      </c>
      <c r="J981" s="65" t="b">
        <v>1</v>
      </c>
      <c r="K981" s="65"/>
      <c r="L981" s="85" t="b">
        <f>IF(VLOOKUP(C981,Projetos!A:L,12,false)=TRUE,TRUE,FALSE)</f>
        <v>1</v>
      </c>
      <c r="M981" s="74">
        <v>52.48434411075036</v>
      </c>
      <c r="N981" s="74">
        <f t="shared" si="1"/>
        <v>26.24217206</v>
      </c>
      <c r="O981" s="74" t="b">
        <v>1</v>
      </c>
    </row>
    <row r="982" hidden="1">
      <c r="A982" s="82"/>
      <c r="B982" s="65" t="s">
        <v>177</v>
      </c>
      <c r="C982" s="65" t="s">
        <v>112</v>
      </c>
      <c r="D982" s="65"/>
      <c r="E982" s="65" t="s">
        <v>700</v>
      </c>
      <c r="F982" s="83">
        <v>0.3541666666666667</v>
      </c>
      <c r="G982" s="83">
        <v>0.3958333333333333</v>
      </c>
      <c r="H982" s="83">
        <v>0.041666666666666664</v>
      </c>
      <c r="I982" s="84">
        <v>44537.0</v>
      </c>
      <c r="J982" s="65" t="b">
        <v>0</v>
      </c>
      <c r="K982" s="65"/>
      <c r="L982" s="85" t="b">
        <f>IF(VLOOKUP(C982,Projetos!A:L,12,false)=TRUE,TRUE,FALSE)</f>
        <v>0</v>
      </c>
      <c r="M982" s="74">
        <v>31.02923620430495</v>
      </c>
      <c r="N982" s="74">
        <f t="shared" si="1"/>
        <v>0</v>
      </c>
      <c r="O982" s="74" t="b">
        <v>0</v>
      </c>
    </row>
    <row r="983" hidden="1">
      <c r="A983" s="82"/>
      <c r="B983" s="65" t="s">
        <v>177</v>
      </c>
      <c r="C983" s="65" t="s">
        <v>112</v>
      </c>
      <c r="D983" s="65"/>
      <c r="E983" s="65" t="s">
        <v>701</v>
      </c>
      <c r="F983" s="83">
        <v>0.3958333333333333</v>
      </c>
      <c r="G983" s="83">
        <v>0.4166666666666667</v>
      </c>
      <c r="H983" s="83">
        <v>0.020833333333333332</v>
      </c>
      <c r="I983" s="84">
        <v>44537.0</v>
      </c>
      <c r="J983" s="65" t="b">
        <v>0</v>
      </c>
      <c r="K983" s="65"/>
      <c r="L983" s="85" t="b">
        <f>IF(VLOOKUP(C983,Projetos!A:L,12,false)=TRUE,TRUE,FALSE)</f>
        <v>0</v>
      </c>
      <c r="M983" s="74">
        <v>31.02923620430495</v>
      </c>
      <c r="N983" s="74">
        <f t="shared" si="1"/>
        <v>0</v>
      </c>
      <c r="O983" s="74" t="b">
        <v>0</v>
      </c>
    </row>
    <row r="984" hidden="1">
      <c r="A984" s="82"/>
      <c r="B984" s="65" t="s">
        <v>177</v>
      </c>
      <c r="C984" s="65" t="s">
        <v>101</v>
      </c>
      <c r="D984" s="65"/>
      <c r="E984" s="65" t="s">
        <v>702</v>
      </c>
      <c r="F984" s="83">
        <v>0.5833333333333334</v>
      </c>
      <c r="G984" s="83">
        <v>0.6041666666666666</v>
      </c>
      <c r="H984" s="83">
        <v>0.020833333333333332</v>
      </c>
      <c r="I984" s="84">
        <v>44536.0</v>
      </c>
      <c r="J984" s="65" t="b">
        <v>0</v>
      </c>
      <c r="K984" s="65" t="s">
        <v>150</v>
      </c>
      <c r="L984" s="85" t="b">
        <f>IF(VLOOKUP(C984,Projetos!A:L,12,false)=TRUE,TRUE,FALSE)</f>
        <v>1</v>
      </c>
      <c r="M984" s="74">
        <v>31.02923620430495</v>
      </c>
      <c r="N984" s="74">
        <f t="shared" si="1"/>
        <v>0</v>
      </c>
      <c r="O984" s="74" t="b">
        <v>1</v>
      </c>
    </row>
    <row r="985" hidden="1">
      <c r="A985" s="82"/>
      <c r="B985" s="65" t="s">
        <v>177</v>
      </c>
      <c r="C985" s="65" t="s">
        <v>101</v>
      </c>
      <c r="D985" s="65" t="str">
        <f>vlookup(C985,'Classificação p pessoal'!F:G,2,false)</f>
        <v>NP</v>
      </c>
      <c r="E985" s="65" t="s">
        <v>703</v>
      </c>
      <c r="F985" s="83">
        <v>0.375</v>
      </c>
      <c r="G985" s="83">
        <v>0.3958333333333333</v>
      </c>
      <c r="H985" s="83">
        <v>0.020833333333333332</v>
      </c>
      <c r="I985" s="84">
        <v>44551.0</v>
      </c>
      <c r="J985" s="65" t="b">
        <v>1</v>
      </c>
      <c r="K985" s="65"/>
      <c r="L985" s="85" t="b">
        <f>IF(VLOOKUP(C985,Projetos!A:L,12,false)=TRUE,TRUE,FALSE)</f>
        <v>1</v>
      </c>
      <c r="M985" s="74">
        <v>31.02923620430495</v>
      </c>
      <c r="N985" s="74">
        <f t="shared" si="1"/>
        <v>15.5146181</v>
      </c>
      <c r="O985" s="74" t="b">
        <v>1</v>
      </c>
    </row>
    <row r="986" hidden="1">
      <c r="A986" s="82"/>
      <c r="B986" s="65" t="s">
        <v>177</v>
      </c>
      <c r="C986" s="65" t="s">
        <v>92</v>
      </c>
      <c r="D986" s="65" t="str">
        <f>vlookup(C986,'Classificação p pessoal'!F:G,2,false)</f>
        <v/>
      </c>
      <c r="E986" s="65" t="s">
        <v>704</v>
      </c>
      <c r="F986" s="83">
        <v>0.3541666666666667</v>
      </c>
      <c r="G986" s="83">
        <v>0.3958333333333333</v>
      </c>
      <c r="H986" s="83">
        <v>0.041666666666666664</v>
      </c>
      <c r="I986" s="84">
        <v>44538.0</v>
      </c>
      <c r="J986" s="65" t="b">
        <v>1</v>
      </c>
      <c r="K986" s="65"/>
      <c r="L986" s="85" t="b">
        <f>IF(VLOOKUP(C986,Projetos!A:L,12,false)=TRUE,TRUE,FALSE)</f>
        <v>1</v>
      </c>
      <c r="M986" s="74">
        <v>31.02923620430495</v>
      </c>
      <c r="N986" s="74">
        <f t="shared" si="1"/>
        <v>31.0292362</v>
      </c>
      <c r="O986" s="74" t="b">
        <v>1</v>
      </c>
    </row>
    <row r="987" hidden="1">
      <c r="A987" s="82"/>
      <c r="B987" s="65" t="s">
        <v>467</v>
      </c>
      <c r="C987" s="65" t="s">
        <v>88</v>
      </c>
      <c r="D987" s="65" t="str">
        <f>vlookup(C987,'Classificação p pessoal'!F:G,2,false)</f>
        <v>MProduto</v>
      </c>
      <c r="E987" s="65" t="s">
        <v>705</v>
      </c>
      <c r="F987" s="83">
        <v>0.5833333333333334</v>
      </c>
      <c r="G987" s="83">
        <v>0.6041666666666666</v>
      </c>
      <c r="H987" s="83">
        <v>0.020833333333333332</v>
      </c>
      <c r="I987" s="84">
        <v>44341.0</v>
      </c>
      <c r="J987" s="65" t="b">
        <v>1</v>
      </c>
      <c r="K987" s="65"/>
      <c r="L987" s="85" t="b">
        <f>IF(VLOOKUP(C987,Projetos!A:L,12,false)=TRUE,TRUE,FALSE)</f>
        <v>1</v>
      </c>
      <c r="M987" s="74">
        <v>52.1518759018759</v>
      </c>
      <c r="N987" s="74">
        <f t="shared" si="1"/>
        <v>26.07593795</v>
      </c>
      <c r="O987" s="74" t="b">
        <v>1</v>
      </c>
    </row>
    <row r="988" hidden="1">
      <c r="A988" s="82"/>
      <c r="B988" s="65" t="s">
        <v>177</v>
      </c>
      <c r="C988" s="65" t="s">
        <v>101</v>
      </c>
      <c r="D988" s="65" t="str">
        <f>vlookup(C988,'Classificação p pessoal'!F:G,2,false)</f>
        <v>NP</v>
      </c>
      <c r="E988" s="65" t="s">
        <v>706</v>
      </c>
      <c r="F988" s="83">
        <v>0.3541666666666667</v>
      </c>
      <c r="G988" s="83">
        <v>0.375</v>
      </c>
      <c r="H988" s="83">
        <v>0.020833333333333332</v>
      </c>
      <c r="I988" s="84">
        <v>44536.0</v>
      </c>
      <c r="J988" s="65" t="b">
        <v>1</v>
      </c>
      <c r="K988" s="65"/>
      <c r="L988" s="85" t="b">
        <f>IF(VLOOKUP(C988,Projetos!A:L,12,false)=TRUE,TRUE,FALSE)</f>
        <v>1</v>
      </c>
      <c r="M988" s="74">
        <v>31.02923620430495</v>
      </c>
      <c r="N988" s="74">
        <f t="shared" si="1"/>
        <v>15.5146181</v>
      </c>
      <c r="O988" s="74" t="b">
        <v>1</v>
      </c>
    </row>
    <row r="989" hidden="1">
      <c r="A989" s="82"/>
      <c r="B989" s="65" t="s">
        <v>467</v>
      </c>
      <c r="C989" s="65" t="s">
        <v>106</v>
      </c>
      <c r="D989" s="65"/>
      <c r="E989" s="65" t="s">
        <v>707</v>
      </c>
      <c r="F989" s="83">
        <v>0.3541666666666667</v>
      </c>
      <c r="G989" s="83">
        <v>0.4166666666666667</v>
      </c>
      <c r="H989" s="83">
        <v>0.0625</v>
      </c>
      <c r="I989" s="84">
        <v>44518.0</v>
      </c>
      <c r="J989" s="65" t="b">
        <v>0</v>
      </c>
      <c r="K989" s="65" t="s">
        <v>150</v>
      </c>
      <c r="L989" s="85" t="b">
        <f>IF(VLOOKUP(C989,Projetos!A:L,12,false)=TRUE,TRUE,FALSE)</f>
        <v>1</v>
      </c>
      <c r="M989" s="74">
        <v>52.1518759018759</v>
      </c>
      <c r="N989" s="74">
        <f t="shared" si="1"/>
        <v>0</v>
      </c>
      <c r="O989" s="74" t="b">
        <v>1</v>
      </c>
    </row>
    <row r="990" hidden="1">
      <c r="A990" s="82"/>
      <c r="B990" s="65" t="s">
        <v>467</v>
      </c>
      <c r="C990" s="65" t="s">
        <v>92</v>
      </c>
      <c r="D990" s="65"/>
      <c r="E990" s="65" t="s">
        <v>708</v>
      </c>
      <c r="F990" s="83">
        <v>0.5625</v>
      </c>
      <c r="G990" s="83">
        <v>0.75</v>
      </c>
      <c r="H990" s="83">
        <v>0.1875</v>
      </c>
      <c r="I990" s="84">
        <v>44546.0</v>
      </c>
      <c r="J990" s="65" t="b">
        <v>0</v>
      </c>
      <c r="K990" s="65" t="s">
        <v>150</v>
      </c>
      <c r="L990" s="85" t="b">
        <f>IF(VLOOKUP(C990,Projetos!A:L,12,false)=TRUE,TRUE,FALSE)</f>
        <v>1</v>
      </c>
      <c r="M990" s="74">
        <v>52.1518759018759</v>
      </c>
      <c r="N990" s="74">
        <f t="shared" si="1"/>
        <v>0</v>
      </c>
      <c r="O990" s="74" t="b">
        <v>1</v>
      </c>
    </row>
    <row r="991" hidden="1">
      <c r="A991" s="82"/>
      <c r="B991" s="65" t="s">
        <v>177</v>
      </c>
      <c r="C991" s="65" t="s">
        <v>108</v>
      </c>
      <c r="D991" s="65"/>
      <c r="E991" s="65" t="s">
        <v>709</v>
      </c>
      <c r="F991" s="83">
        <v>0.375</v>
      </c>
      <c r="G991" s="83">
        <v>0.4375</v>
      </c>
      <c r="H991" s="83">
        <v>0.0625</v>
      </c>
      <c r="I991" s="84">
        <v>44449.0</v>
      </c>
      <c r="J991" s="65" t="b">
        <v>0</v>
      </c>
      <c r="K991" s="65"/>
      <c r="L991" s="85" t="b">
        <f>IF(VLOOKUP(C991,Projetos!A:L,12,false)=TRUE,TRUE,FALSE)</f>
        <v>1</v>
      </c>
      <c r="M991" s="74">
        <v>31.02923620430495</v>
      </c>
      <c r="N991" s="74">
        <f t="shared" si="1"/>
        <v>0</v>
      </c>
      <c r="O991" s="74" t="b">
        <v>1</v>
      </c>
    </row>
    <row r="992" hidden="1">
      <c r="A992" s="82"/>
      <c r="B992" s="65" t="s">
        <v>177</v>
      </c>
      <c r="C992" s="65" t="s">
        <v>118</v>
      </c>
      <c r="D992" s="65"/>
      <c r="E992" s="65" t="s">
        <v>710</v>
      </c>
      <c r="F992" s="83">
        <v>0.3541666666666667</v>
      </c>
      <c r="G992" s="83">
        <v>0.375</v>
      </c>
      <c r="H992" s="83">
        <v>0.020833333333333332</v>
      </c>
      <c r="I992" s="84">
        <v>44540.0</v>
      </c>
      <c r="J992" s="65" t="b">
        <v>0</v>
      </c>
      <c r="K992" s="65" t="s">
        <v>150</v>
      </c>
      <c r="L992" s="85" t="b">
        <f>IF(VLOOKUP(C992,Projetos!A:L,12,false)=TRUE,TRUE,FALSE)</f>
        <v>1</v>
      </c>
      <c r="M992" s="74">
        <v>31.02923620430495</v>
      </c>
      <c r="N992" s="74">
        <f t="shared" si="1"/>
        <v>0</v>
      </c>
      <c r="O992" s="74" t="b">
        <v>1</v>
      </c>
    </row>
    <row r="993" hidden="1">
      <c r="A993" s="82"/>
      <c r="B993" s="65" t="s">
        <v>467</v>
      </c>
      <c r="C993" s="65" t="s">
        <v>92</v>
      </c>
      <c r="D993" s="65"/>
      <c r="E993" s="65" t="s">
        <v>711</v>
      </c>
      <c r="F993" s="83">
        <v>0.3888888888888889</v>
      </c>
      <c r="G993" s="83">
        <v>0.3958333333333333</v>
      </c>
      <c r="H993" s="83">
        <v>0.006944444444444444</v>
      </c>
      <c r="I993" s="84">
        <v>44371.0</v>
      </c>
      <c r="J993" s="65" t="b">
        <v>0</v>
      </c>
      <c r="K993" s="65" t="s">
        <v>150</v>
      </c>
      <c r="L993" s="85" t="b">
        <f>IF(VLOOKUP(C993,Projetos!A:L,12,false)=TRUE,TRUE,FALSE)</f>
        <v>1</v>
      </c>
      <c r="M993" s="74">
        <v>52.1518759018759</v>
      </c>
      <c r="N993" s="74">
        <f t="shared" si="1"/>
        <v>0</v>
      </c>
      <c r="O993" s="74" t="b">
        <v>1</v>
      </c>
    </row>
    <row r="994" hidden="1">
      <c r="A994" s="82"/>
      <c r="B994" s="65" t="s">
        <v>177</v>
      </c>
      <c r="C994" s="65" t="s">
        <v>98</v>
      </c>
      <c r="D994" s="65" t="str">
        <f>vlookup(C994,'Classificação p pessoal'!F:G,2,false)</f>
        <v>NP</v>
      </c>
      <c r="E994" s="65" t="s">
        <v>712</v>
      </c>
      <c r="F994" s="83">
        <v>0.625</v>
      </c>
      <c r="G994" s="83">
        <v>0.6666666666666666</v>
      </c>
      <c r="H994" s="83">
        <v>0.041666666666666664</v>
      </c>
      <c r="I994" s="84">
        <v>44543.0</v>
      </c>
      <c r="J994" s="65" t="b">
        <v>1</v>
      </c>
      <c r="K994" s="65"/>
      <c r="L994" s="85" t="b">
        <f>IF(VLOOKUP(C994,Projetos!A:L,12,false)=TRUE,TRUE,FALSE)</f>
        <v>1</v>
      </c>
      <c r="M994" s="74">
        <v>31.02923620430495</v>
      </c>
      <c r="N994" s="74">
        <f t="shared" si="1"/>
        <v>31.0292362</v>
      </c>
      <c r="O994" s="74" t="b">
        <v>1</v>
      </c>
    </row>
    <row r="995" hidden="1">
      <c r="A995" s="82"/>
      <c r="B995" s="65" t="s">
        <v>177</v>
      </c>
      <c r="C995" s="65" t="s">
        <v>106</v>
      </c>
      <c r="D995" s="65"/>
      <c r="E995" s="65" t="s">
        <v>713</v>
      </c>
      <c r="F995" s="83">
        <v>0.6875</v>
      </c>
      <c r="G995" s="83">
        <v>0.7083333333333334</v>
      </c>
      <c r="H995" s="83">
        <v>0.020833333333333332</v>
      </c>
      <c r="I995" s="84">
        <v>44428.0</v>
      </c>
      <c r="J995" s="65" t="b">
        <v>0</v>
      </c>
      <c r="K995" s="65" t="s">
        <v>150</v>
      </c>
      <c r="L995" s="85" t="b">
        <f>IF(VLOOKUP(C995,Projetos!A:L,12,false)=TRUE,TRUE,FALSE)</f>
        <v>1</v>
      </c>
      <c r="M995" s="74">
        <v>31.02923620430495</v>
      </c>
      <c r="N995" s="74">
        <f t="shared" si="1"/>
        <v>0</v>
      </c>
      <c r="O995" s="74" t="b">
        <v>1</v>
      </c>
    </row>
    <row r="996" hidden="1">
      <c r="A996" s="82"/>
      <c r="B996" s="65" t="s">
        <v>177</v>
      </c>
      <c r="C996" s="65" t="s">
        <v>101</v>
      </c>
      <c r="D996" s="65" t="str">
        <f>vlookup(C996,'Classificação p pessoal'!F:G,2,false)</f>
        <v>NP</v>
      </c>
      <c r="E996" s="65" t="s">
        <v>714</v>
      </c>
      <c r="F996" s="83">
        <v>0.3541666666666667</v>
      </c>
      <c r="G996" s="83">
        <v>0.4166666666666667</v>
      </c>
      <c r="H996" s="83">
        <v>0.0625</v>
      </c>
      <c r="I996" s="84">
        <v>44544.0</v>
      </c>
      <c r="J996" s="65" t="b">
        <v>1</v>
      </c>
      <c r="K996" s="65"/>
      <c r="L996" s="85" t="b">
        <f>IF(VLOOKUP(C996,Projetos!A:L,12,false)=TRUE,TRUE,FALSE)</f>
        <v>1</v>
      </c>
      <c r="M996" s="74">
        <v>31.02923620430495</v>
      </c>
      <c r="N996" s="74">
        <f t="shared" si="1"/>
        <v>46.54385431</v>
      </c>
      <c r="O996" s="74" t="b">
        <v>1</v>
      </c>
    </row>
    <row r="997" hidden="1">
      <c r="A997" s="82"/>
      <c r="B997" s="65" t="s">
        <v>177</v>
      </c>
      <c r="C997" s="65" t="s">
        <v>107</v>
      </c>
      <c r="D997" s="65"/>
      <c r="E997" s="65" t="s">
        <v>715</v>
      </c>
      <c r="F997" s="83">
        <v>0.625</v>
      </c>
      <c r="G997" s="83">
        <v>0.6458333333333334</v>
      </c>
      <c r="H997" s="83">
        <v>0.020833333333333332</v>
      </c>
      <c r="I997" s="84">
        <v>44370.0</v>
      </c>
      <c r="J997" s="65" t="b">
        <v>0</v>
      </c>
      <c r="K997" s="65" t="s">
        <v>150</v>
      </c>
      <c r="L997" s="85" t="b">
        <f>IF(VLOOKUP(C997,Projetos!A:L,12,false)=TRUE,TRUE,FALSE)</f>
        <v>1</v>
      </c>
      <c r="M997" s="74">
        <v>31.02923620430495</v>
      </c>
      <c r="N997" s="74">
        <f t="shared" si="1"/>
        <v>0</v>
      </c>
      <c r="O997" s="74" t="b">
        <v>1</v>
      </c>
    </row>
    <row r="998" hidden="1">
      <c r="A998" s="82"/>
      <c r="B998" s="65" t="s">
        <v>177</v>
      </c>
      <c r="C998" s="65" t="s">
        <v>100</v>
      </c>
      <c r="D998" s="65" t="str">
        <f>vlookup(C998,'Classificação p pessoal'!F:G,2,false)</f>
        <v>NP</v>
      </c>
      <c r="E998" s="65" t="s">
        <v>716</v>
      </c>
      <c r="F998" s="83">
        <v>0.3541666666666667</v>
      </c>
      <c r="G998" s="83">
        <v>0.3958333333333333</v>
      </c>
      <c r="H998" s="83">
        <v>0.041666666666666664</v>
      </c>
      <c r="I998" s="84">
        <v>44546.0</v>
      </c>
      <c r="J998" s="65" t="b">
        <v>1</v>
      </c>
      <c r="K998" s="65"/>
      <c r="L998" s="85" t="b">
        <f>IF(VLOOKUP(C998,Projetos!A:L,12,false)=TRUE,TRUE,FALSE)</f>
        <v>1</v>
      </c>
      <c r="M998" s="74">
        <v>31.02923620430495</v>
      </c>
      <c r="N998" s="74">
        <f t="shared" si="1"/>
        <v>31.0292362</v>
      </c>
      <c r="O998" s="74" t="b">
        <v>1</v>
      </c>
    </row>
    <row r="999" hidden="1">
      <c r="A999" s="82"/>
      <c r="B999" s="65" t="s">
        <v>177</v>
      </c>
      <c r="C999" s="65" t="s">
        <v>107</v>
      </c>
      <c r="D999" s="65"/>
      <c r="E999" s="65" t="s">
        <v>717</v>
      </c>
      <c r="F999" s="83">
        <v>0.7083333333333334</v>
      </c>
      <c r="G999" s="83">
        <v>0.75</v>
      </c>
      <c r="H999" s="83">
        <v>0.041666666666666664</v>
      </c>
      <c r="I999" s="84">
        <v>44540.0</v>
      </c>
      <c r="J999" s="65" t="b">
        <v>0</v>
      </c>
      <c r="K999" s="65" t="s">
        <v>150</v>
      </c>
      <c r="L999" s="85" t="b">
        <f>IF(VLOOKUP(C999,Projetos!A:L,12,false)=TRUE,TRUE,FALSE)</f>
        <v>1</v>
      </c>
      <c r="M999" s="74">
        <v>31.02923620430495</v>
      </c>
      <c r="N999" s="74">
        <f t="shared" si="1"/>
        <v>0</v>
      </c>
      <c r="O999" s="74" t="b">
        <v>1</v>
      </c>
    </row>
    <row r="1000" hidden="1">
      <c r="A1000" s="82"/>
      <c r="B1000" s="65" t="s">
        <v>177</v>
      </c>
      <c r="C1000" s="65" t="s">
        <v>107</v>
      </c>
      <c r="D1000" s="65"/>
      <c r="E1000" s="65" t="s">
        <v>717</v>
      </c>
      <c r="F1000" s="83">
        <v>0.6666666666666666</v>
      </c>
      <c r="G1000" s="83">
        <v>0.7083333333333334</v>
      </c>
      <c r="H1000" s="83">
        <v>0.041666666666666664</v>
      </c>
      <c r="I1000" s="84">
        <v>44543.0</v>
      </c>
      <c r="J1000" s="65" t="b">
        <v>0</v>
      </c>
      <c r="K1000" s="65" t="s">
        <v>150</v>
      </c>
      <c r="L1000" s="85" t="b">
        <f>IF(VLOOKUP(C1000,Projetos!A:L,12,false)=TRUE,TRUE,FALSE)</f>
        <v>1</v>
      </c>
      <c r="M1000" s="74">
        <v>31.02923620430495</v>
      </c>
      <c r="N1000" s="74">
        <f t="shared" si="1"/>
        <v>0</v>
      </c>
      <c r="O1000" s="74" t="b">
        <v>1</v>
      </c>
    </row>
    <row r="1001" hidden="1">
      <c r="A1001" s="82"/>
      <c r="B1001" s="65" t="s">
        <v>177</v>
      </c>
      <c r="C1001" s="65" t="s">
        <v>100</v>
      </c>
      <c r="D1001" s="65" t="str">
        <f>vlookup(C1001,'Classificação p pessoal'!F:G,2,false)</f>
        <v>NP</v>
      </c>
      <c r="E1001" s="65" t="s">
        <v>718</v>
      </c>
      <c r="F1001" s="83">
        <v>0.5416666666666666</v>
      </c>
      <c r="G1001" s="83">
        <v>0.5833333333333334</v>
      </c>
      <c r="H1001" s="83">
        <v>0.041666666666666664</v>
      </c>
      <c r="I1001" s="84">
        <v>44546.0</v>
      </c>
      <c r="J1001" s="65" t="b">
        <v>1</v>
      </c>
      <c r="K1001" s="65"/>
      <c r="L1001" s="85" t="b">
        <f>IF(VLOOKUP(C1001,Projetos!A:L,12,false)=TRUE,TRUE,FALSE)</f>
        <v>1</v>
      </c>
      <c r="M1001" s="74">
        <v>31.02923620430495</v>
      </c>
      <c r="N1001" s="74">
        <f t="shared" si="1"/>
        <v>31.0292362</v>
      </c>
      <c r="O1001" s="74" t="b">
        <v>1</v>
      </c>
    </row>
    <row r="1002" hidden="1">
      <c r="A1002" s="82"/>
      <c r="B1002" s="65" t="s">
        <v>177</v>
      </c>
      <c r="C1002" s="65" t="s">
        <v>101</v>
      </c>
      <c r="D1002" s="65" t="str">
        <f>vlookup(C1002,'Classificação p pessoal'!F:G,2,false)</f>
        <v>NP</v>
      </c>
      <c r="E1002" s="65" t="s">
        <v>719</v>
      </c>
      <c r="F1002" s="83">
        <v>0.5833333333333334</v>
      </c>
      <c r="G1002" s="83">
        <v>0.625</v>
      </c>
      <c r="H1002" s="83">
        <v>0.041666666666666664</v>
      </c>
      <c r="I1002" s="84">
        <v>44546.0</v>
      </c>
      <c r="J1002" s="65" t="b">
        <v>1</v>
      </c>
      <c r="K1002" s="65"/>
      <c r="L1002" s="85" t="b">
        <f>IF(VLOOKUP(C1002,Projetos!A:L,12,false)=TRUE,TRUE,FALSE)</f>
        <v>1</v>
      </c>
      <c r="M1002" s="74">
        <v>31.02923620430495</v>
      </c>
      <c r="N1002" s="74">
        <f t="shared" si="1"/>
        <v>31.0292362</v>
      </c>
      <c r="O1002" s="74" t="b">
        <v>1</v>
      </c>
    </row>
    <row r="1003" hidden="1">
      <c r="A1003" s="82"/>
      <c r="B1003" s="65" t="s">
        <v>177</v>
      </c>
      <c r="C1003" s="65" t="s">
        <v>120</v>
      </c>
      <c r="D1003" s="65"/>
      <c r="E1003" s="65" t="s">
        <v>720</v>
      </c>
      <c r="F1003" s="83">
        <v>0.375</v>
      </c>
      <c r="G1003" s="83">
        <v>0.4027777777777778</v>
      </c>
      <c r="H1003" s="83">
        <v>0.027777777777777776</v>
      </c>
      <c r="I1003" s="84">
        <v>44550.0</v>
      </c>
      <c r="J1003" s="65" t="b">
        <v>0</v>
      </c>
      <c r="K1003" s="65" t="s">
        <v>150</v>
      </c>
      <c r="L1003" s="85" t="b">
        <f>IF(VLOOKUP(C1003,Projetos!A:L,12,false)=TRUE,TRUE,FALSE)</f>
        <v>0</v>
      </c>
      <c r="M1003" s="74">
        <v>31.02923620430495</v>
      </c>
      <c r="N1003" s="74">
        <f t="shared" si="1"/>
        <v>0</v>
      </c>
      <c r="O1003" s="74" t="b">
        <v>0</v>
      </c>
    </row>
    <row r="1004" hidden="1">
      <c r="A1004" s="82"/>
      <c r="B1004" s="65" t="s">
        <v>177</v>
      </c>
      <c r="C1004" s="65" t="s">
        <v>112</v>
      </c>
      <c r="D1004" s="65"/>
      <c r="E1004" s="65" t="s">
        <v>721</v>
      </c>
      <c r="F1004" s="83">
        <v>0.34375</v>
      </c>
      <c r="G1004" s="83">
        <v>0.375</v>
      </c>
      <c r="H1004" s="83">
        <v>0.03125</v>
      </c>
      <c r="I1004" s="84">
        <v>44550.0</v>
      </c>
      <c r="J1004" s="65" t="b">
        <v>0</v>
      </c>
      <c r="K1004" s="65"/>
      <c r="L1004" s="85" t="b">
        <f>IF(VLOOKUP(C1004,Projetos!A:L,12,false)=TRUE,TRUE,FALSE)</f>
        <v>0</v>
      </c>
      <c r="M1004" s="74">
        <v>31.02923620430495</v>
      </c>
      <c r="N1004" s="74">
        <f t="shared" si="1"/>
        <v>0</v>
      </c>
      <c r="O1004" s="74" t="b">
        <v>0</v>
      </c>
    </row>
    <row r="1005" hidden="1">
      <c r="A1005" s="82"/>
      <c r="B1005" s="65" t="s">
        <v>177</v>
      </c>
      <c r="C1005" s="65" t="s">
        <v>107</v>
      </c>
      <c r="D1005" s="65" t="str">
        <f>vlookup(C1005,'Classificação p pessoal'!F:G,2,false)</f>
        <v>NP</v>
      </c>
      <c r="E1005" s="65" t="s">
        <v>722</v>
      </c>
      <c r="F1005" s="83">
        <v>0.4027777777777778</v>
      </c>
      <c r="G1005" s="83">
        <v>0.5416666666666666</v>
      </c>
      <c r="H1005" s="83">
        <v>0.1388888888888889</v>
      </c>
      <c r="I1005" s="84">
        <v>44550.0</v>
      </c>
      <c r="J1005" s="65" t="b">
        <v>1</v>
      </c>
      <c r="K1005" s="65"/>
      <c r="L1005" s="85" t="b">
        <f>IF(VLOOKUP(C1005,Projetos!A:L,12,false)=TRUE,TRUE,FALSE)</f>
        <v>1</v>
      </c>
      <c r="M1005" s="74">
        <v>31.02923620430495</v>
      </c>
      <c r="N1005" s="74">
        <f t="shared" si="1"/>
        <v>103.4307873</v>
      </c>
      <c r="O1005" s="74" t="b">
        <v>1</v>
      </c>
    </row>
    <row r="1006" hidden="1">
      <c r="A1006" s="82"/>
      <c r="B1006" s="65" t="s">
        <v>177</v>
      </c>
      <c r="C1006" s="65" t="s">
        <v>100</v>
      </c>
      <c r="D1006" s="65"/>
      <c r="E1006" s="65" t="s">
        <v>723</v>
      </c>
      <c r="F1006" s="83">
        <v>0.4375</v>
      </c>
      <c r="G1006" s="83">
        <v>0.5</v>
      </c>
      <c r="H1006" s="83">
        <v>0.0625</v>
      </c>
      <c r="I1006" s="84">
        <v>44545.0</v>
      </c>
      <c r="J1006" s="65" t="b">
        <v>0</v>
      </c>
      <c r="K1006" s="65" t="s">
        <v>150</v>
      </c>
      <c r="L1006" s="85" t="b">
        <f>IF(VLOOKUP(C1006,Projetos!A:L,12,false)=TRUE,TRUE,FALSE)</f>
        <v>1</v>
      </c>
      <c r="M1006" s="74">
        <v>31.02923620430495</v>
      </c>
      <c r="N1006" s="74">
        <f t="shared" si="1"/>
        <v>0</v>
      </c>
      <c r="O1006" s="74" t="b">
        <v>1</v>
      </c>
    </row>
    <row r="1007" hidden="1">
      <c r="A1007" s="82"/>
      <c r="B1007" s="65" t="s">
        <v>177</v>
      </c>
      <c r="C1007" s="65" t="s">
        <v>107</v>
      </c>
      <c r="D1007" s="65" t="str">
        <f>vlookup(C1007,'Classificação p pessoal'!F:G,2,false)</f>
        <v>NP</v>
      </c>
      <c r="E1007" s="65" t="s">
        <v>724</v>
      </c>
      <c r="F1007" s="83">
        <v>0.3958333333333333</v>
      </c>
      <c r="G1007" s="83">
        <v>0.625</v>
      </c>
      <c r="H1007" s="83">
        <v>0.22916666666666666</v>
      </c>
      <c r="I1007" s="84">
        <v>44551.0</v>
      </c>
      <c r="J1007" s="65" t="b">
        <v>1</v>
      </c>
      <c r="K1007" s="65"/>
      <c r="L1007" s="85" t="b">
        <f>IF(VLOOKUP(C1007,Projetos!A:L,12,false)=TRUE,TRUE,FALSE)</f>
        <v>1</v>
      </c>
      <c r="M1007" s="74">
        <v>31.02923620430495</v>
      </c>
      <c r="N1007" s="74">
        <f t="shared" si="1"/>
        <v>170.6607991</v>
      </c>
      <c r="O1007" s="74" t="b">
        <v>1</v>
      </c>
    </row>
    <row r="1008" hidden="1">
      <c r="A1008" s="82"/>
      <c r="B1008" s="65" t="s">
        <v>411</v>
      </c>
      <c r="C1008" s="65" t="s">
        <v>120</v>
      </c>
      <c r="D1008" s="65"/>
      <c r="E1008" s="65" t="s">
        <v>725</v>
      </c>
      <c r="F1008" s="83">
        <v>0.7083333333333334</v>
      </c>
      <c r="G1008" s="83">
        <v>0.75</v>
      </c>
      <c r="H1008" s="83">
        <v>0.041666666666666664</v>
      </c>
      <c r="I1008" s="84">
        <v>44418.0</v>
      </c>
      <c r="J1008" s="65" t="b">
        <v>0</v>
      </c>
      <c r="K1008" s="65"/>
      <c r="L1008" s="85" t="b">
        <f>IF(VLOOKUP(C1008,Projetos!A:L,12,false)=TRUE,TRUE,FALSE)</f>
        <v>0</v>
      </c>
      <c r="M1008" s="74">
        <v>52.48434411075036</v>
      </c>
      <c r="N1008" s="74">
        <f t="shared" si="1"/>
        <v>0</v>
      </c>
      <c r="O1008" s="74" t="b">
        <v>0</v>
      </c>
    </row>
    <row r="1009" hidden="1">
      <c r="A1009" s="82"/>
      <c r="B1009" s="65" t="s">
        <v>177</v>
      </c>
      <c r="C1009" s="65" t="s">
        <v>89</v>
      </c>
      <c r="D1009" s="65" t="str">
        <f>vlookup(C1009,'Classificação p pessoal'!F:G,2,false)</f>
        <v>NP</v>
      </c>
      <c r="E1009" s="65" t="s">
        <v>726</v>
      </c>
      <c r="F1009" s="83">
        <v>0.6666666666666666</v>
      </c>
      <c r="G1009" s="83">
        <v>0.75</v>
      </c>
      <c r="H1009" s="83">
        <v>0.08333333333333333</v>
      </c>
      <c r="I1009" s="84">
        <v>44551.0</v>
      </c>
      <c r="J1009" s="65" t="b">
        <v>1</v>
      </c>
      <c r="K1009" s="65"/>
      <c r="L1009" s="85" t="b">
        <f>IF(VLOOKUP(C1009,Projetos!A:L,12,false)=TRUE,TRUE,FALSE)</f>
        <v>1</v>
      </c>
      <c r="M1009" s="74">
        <v>31.02923620430495</v>
      </c>
      <c r="N1009" s="74">
        <f t="shared" si="1"/>
        <v>62.05847241</v>
      </c>
      <c r="O1009" s="74" t="b">
        <v>1</v>
      </c>
    </row>
    <row r="1010" hidden="1">
      <c r="A1010" s="82"/>
      <c r="B1010" s="65" t="s">
        <v>411</v>
      </c>
      <c r="C1010" s="65" t="s">
        <v>106</v>
      </c>
      <c r="D1010" s="65" t="str">
        <f>vlookup(C1010,'Classificação p pessoal'!F:G,2,false)</f>
        <v>MProcesso</v>
      </c>
      <c r="E1010" s="65" t="s">
        <v>727</v>
      </c>
      <c r="F1010" s="83">
        <v>0.3819444444444444</v>
      </c>
      <c r="G1010" s="83">
        <v>0.4583333333333333</v>
      </c>
      <c r="H1010" s="83">
        <v>0.0763888888888889</v>
      </c>
      <c r="I1010" s="84">
        <v>44418.0</v>
      </c>
      <c r="J1010" s="65" t="b">
        <v>1</v>
      </c>
      <c r="K1010" s="65"/>
      <c r="L1010" s="85" t="b">
        <f>IF(VLOOKUP(C1010,Projetos!A:L,12,false)=TRUE,TRUE,FALSE)</f>
        <v>1</v>
      </c>
      <c r="M1010" s="74">
        <v>52.48434411075036</v>
      </c>
      <c r="N1010" s="74">
        <f t="shared" si="1"/>
        <v>96.22129754</v>
      </c>
      <c r="O1010" s="74" t="b">
        <v>1</v>
      </c>
    </row>
    <row r="1011" hidden="1">
      <c r="A1011" s="82"/>
      <c r="B1011" s="65" t="s">
        <v>177</v>
      </c>
      <c r="C1011" s="65" t="s">
        <v>91</v>
      </c>
      <c r="D1011" s="65" t="str">
        <f>vlookup(C1011,'Classificação p pessoal'!F:G,2,false)</f>
        <v>NP</v>
      </c>
      <c r="E1011" s="65" t="s">
        <v>728</v>
      </c>
      <c r="F1011" s="83">
        <v>0.4166666666666667</v>
      </c>
      <c r="G1011" s="83">
        <v>0.4583333333333333</v>
      </c>
      <c r="H1011" s="83">
        <v>0.041666666666666664</v>
      </c>
      <c r="I1011" s="84">
        <v>44553.0</v>
      </c>
      <c r="J1011" s="65" t="b">
        <v>1</v>
      </c>
      <c r="K1011" s="65"/>
      <c r="L1011" s="85" t="b">
        <f>IF(VLOOKUP(C1011,Projetos!A:L,12,false)=TRUE,TRUE,FALSE)</f>
        <v>1</v>
      </c>
      <c r="M1011" s="74">
        <v>31.02923620430495</v>
      </c>
      <c r="N1011" s="74">
        <f t="shared" si="1"/>
        <v>31.0292362</v>
      </c>
      <c r="O1011" s="74" t="b">
        <v>1</v>
      </c>
    </row>
    <row r="1012" hidden="1">
      <c r="A1012" s="82"/>
      <c r="B1012" s="65" t="s">
        <v>177</v>
      </c>
      <c r="C1012" s="65" t="s">
        <v>101</v>
      </c>
      <c r="D1012" s="65" t="str">
        <f>vlookup(C1012,'Classificação p pessoal'!F:G,2,false)</f>
        <v>NP</v>
      </c>
      <c r="E1012" s="65" t="s">
        <v>729</v>
      </c>
      <c r="F1012" s="83">
        <v>0.4583333333333333</v>
      </c>
      <c r="G1012" s="83">
        <v>0.7083333333333334</v>
      </c>
      <c r="H1012" s="83">
        <v>0.25</v>
      </c>
      <c r="I1012" s="84">
        <v>44553.0</v>
      </c>
      <c r="J1012" s="65" t="b">
        <v>1</v>
      </c>
      <c r="K1012" s="65"/>
      <c r="L1012" s="85" t="b">
        <f>IF(VLOOKUP(C1012,Projetos!A:L,12,false)=TRUE,TRUE,FALSE)</f>
        <v>1</v>
      </c>
      <c r="M1012" s="74">
        <v>31.02923620430495</v>
      </c>
      <c r="N1012" s="74">
        <f t="shared" si="1"/>
        <v>186.1754172</v>
      </c>
      <c r="O1012" s="74" t="b">
        <v>1</v>
      </c>
    </row>
    <row r="1013" hidden="1">
      <c r="A1013" s="82"/>
      <c r="B1013" s="65" t="s">
        <v>177</v>
      </c>
      <c r="C1013" s="65" t="s">
        <v>100</v>
      </c>
      <c r="D1013" s="65" t="str">
        <f>vlookup(C1013,'Classificação p pessoal'!F:G,2,false)</f>
        <v>NP</v>
      </c>
      <c r="E1013" s="65" t="s">
        <v>730</v>
      </c>
      <c r="F1013" s="83">
        <v>0.3333333333333333</v>
      </c>
      <c r="G1013" s="83">
        <v>0.3611111111111111</v>
      </c>
      <c r="H1013" s="83">
        <v>0.027777777777777776</v>
      </c>
      <c r="I1013" s="84">
        <v>44557.0</v>
      </c>
      <c r="J1013" s="65" t="b">
        <v>1</v>
      </c>
      <c r="K1013" s="65"/>
      <c r="L1013" s="85" t="b">
        <f>IF(VLOOKUP(C1013,Projetos!A:L,12,false)=TRUE,TRUE,FALSE)</f>
        <v>1</v>
      </c>
      <c r="M1013" s="74">
        <v>31.02923620430495</v>
      </c>
      <c r="N1013" s="74">
        <f t="shared" si="1"/>
        <v>20.68615747</v>
      </c>
      <c r="O1013" s="74" t="b">
        <v>1</v>
      </c>
    </row>
    <row r="1014" hidden="1">
      <c r="A1014" s="82"/>
      <c r="B1014" s="65" t="s">
        <v>177</v>
      </c>
      <c r="C1014" s="65" t="s">
        <v>107</v>
      </c>
      <c r="D1014" s="65" t="str">
        <f>vlookup(C1014,'Classificação p pessoal'!F:G,2,false)</f>
        <v>NP</v>
      </c>
      <c r="E1014" s="65" t="s">
        <v>731</v>
      </c>
      <c r="F1014" s="83">
        <v>0.3611111111111111</v>
      </c>
      <c r="G1014" s="83">
        <v>0.4027777777777778</v>
      </c>
      <c r="H1014" s="83">
        <v>0.041666666666666664</v>
      </c>
      <c r="I1014" s="84">
        <v>44557.0</v>
      </c>
      <c r="J1014" s="65" t="b">
        <v>1</v>
      </c>
      <c r="K1014" s="65"/>
      <c r="L1014" s="85" t="b">
        <f>IF(VLOOKUP(C1014,Projetos!A:L,12,false)=TRUE,TRUE,FALSE)</f>
        <v>1</v>
      </c>
      <c r="M1014" s="74">
        <v>31.02923620430495</v>
      </c>
      <c r="N1014" s="74">
        <f t="shared" si="1"/>
        <v>31.0292362</v>
      </c>
      <c r="O1014" s="74" t="b">
        <v>1</v>
      </c>
    </row>
    <row r="1015" hidden="1">
      <c r="A1015" s="82"/>
      <c r="B1015" s="65" t="s">
        <v>177</v>
      </c>
      <c r="C1015" s="65" t="s">
        <v>111</v>
      </c>
      <c r="D1015" s="65"/>
      <c r="E1015" s="65" t="s">
        <v>732</v>
      </c>
      <c r="F1015" s="83">
        <v>0.4027777777777778</v>
      </c>
      <c r="G1015" s="83">
        <v>0.5</v>
      </c>
      <c r="H1015" s="83">
        <v>0.09722222222222222</v>
      </c>
      <c r="I1015" s="84">
        <v>44557.0</v>
      </c>
      <c r="J1015" s="65" t="b">
        <v>1</v>
      </c>
      <c r="K1015" s="65"/>
      <c r="L1015" s="85" t="b">
        <f>IF(VLOOKUP(C1015,Projetos!A:L,12,false)=TRUE,TRUE,FALSE)</f>
        <v>0</v>
      </c>
      <c r="M1015" s="74">
        <v>31.02923620430495</v>
      </c>
      <c r="N1015" s="74">
        <f t="shared" si="1"/>
        <v>0</v>
      </c>
      <c r="O1015" s="74" t="b">
        <v>0</v>
      </c>
    </row>
    <row r="1016" hidden="1">
      <c r="A1016" s="82"/>
      <c r="B1016" s="65" t="s">
        <v>177</v>
      </c>
      <c r="C1016" s="65" t="s">
        <v>101</v>
      </c>
      <c r="D1016" s="65" t="str">
        <f>vlookup(C1016,'Classificação p pessoal'!F:G,2,false)</f>
        <v>NP</v>
      </c>
      <c r="E1016" s="65" t="s">
        <v>733</v>
      </c>
      <c r="F1016" s="83">
        <v>0.3541666666666667</v>
      </c>
      <c r="G1016" s="83">
        <v>0.4166666666666667</v>
      </c>
      <c r="H1016" s="83">
        <v>0.0625</v>
      </c>
      <c r="I1016" s="84">
        <v>44558.0</v>
      </c>
      <c r="J1016" s="65" t="b">
        <v>1</v>
      </c>
      <c r="K1016" s="65"/>
      <c r="L1016" s="85" t="b">
        <f>IF(VLOOKUP(C1016,Projetos!A:L,12,false)=TRUE,TRUE,FALSE)</f>
        <v>1</v>
      </c>
      <c r="M1016" s="74">
        <v>31.02923620430495</v>
      </c>
      <c r="N1016" s="74">
        <f t="shared" si="1"/>
        <v>46.54385431</v>
      </c>
      <c r="O1016" s="74" t="b">
        <v>1</v>
      </c>
    </row>
    <row r="1017" hidden="1">
      <c r="A1017" s="82"/>
      <c r="B1017" s="65" t="s">
        <v>467</v>
      </c>
      <c r="C1017" s="65" t="s">
        <v>130</v>
      </c>
      <c r="D1017" s="65"/>
      <c r="E1017" s="65" t="s">
        <v>734</v>
      </c>
      <c r="F1017" s="83">
        <v>0.5833333333333334</v>
      </c>
      <c r="G1017" s="83">
        <v>0.6458333333333334</v>
      </c>
      <c r="H1017" s="83">
        <v>0.0625</v>
      </c>
      <c r="I1017" s="84">
        <v>44321.0</v>
      </c>
      <c r="J1017" s="65" t="b">
        <v>0</v>
      </c>
      <c r="K1017" s="65" t="s">
        <v>150</v>
      </c>
      <c r="L1017" s="85" t="b">
        <f>IF(VLOOKUP(C1017,Projetos!A:L,12,false)=TRUE,TRUE,FALSE)</f>
        <v>1</v>
      </c>
      <c r="M1017" s="74">
        <v>52.1518759018759</v>
      </c>
      <c r="N1017" s="74">
        <f t="shared" si="1"/>
        <v>0</v>
      </c>
      <c r="O1017" s="74" t="b">
        <v>1</v>
      </c>
    </row>
    <row r="1018" hidden="1">
      <c r="A1018" s="82"/>
      <c r="B1018" s="65" t="s">
        <v>177</v>
      </c>
      <c r="C1018" s="65" t="s">
        <v>107</v>
      </c>
      <c r="D1018" s="65" t="str">
        <f>vlookup(C1018,'Classificação p pessoal'!F:G,2,false)</f>
        <v>NP</v>
      </c>
      <c r="E1018" s="65" t="s">
        <v>735</v>
      </c>
      <c r="F1018" s="83">
        <v>0.375</v>
      </c>
      <c r="G1018" s="83">
        <v>0.6875</v>
      </c>
      <c r="H1018" s="83">
        <v>0.3125</v>
      </c>
      <c r="I1018" s="84">
        <v>44559.0</v>
      </c>
      <c r="J1018" s="65" t="b">
        <v>1</v>
      </c>
      <c r="K1018" s="65"/>
      <c r="L1018" s="85" t="b">
        <f>IF(VLOOKUP(C1018,Projetos!A:L,12,false)=TRUE,TRUE,FALSE)</f>
        <v>1</v>
      </c>
      <c r="M1018" s="74">
        <v>31.02923620430495</v>
      </c>
      <c r="N1018" s="74">
        <f t="shared" si="1"/>
        <v>232.7192715</v>
      </c>
      <c r="O1018" s="74" t="b">
        <v>1</v>
      </c>
    </row>
    <row r="1019" hidden="1">
      <c r="A1019" s="82"/>
      <c r="B1019" s="65" t="s">
        <v>177</v>
      </c>
      <c r="C1019" s="65" t="s">
        <v>118</v>
      </c>
      <c r="D1019" s="65" t="str">
        <f>vlookup(C1019,'Classificação p pessoal'!F:G,2,false)</f>
        <v>MProduto</v>
      </c>
      <c r="E1019" s="65" t="s">
        <v>736</v>
      </c>
      <c r="F1019" s="83">
        <v>0.7083333333333334</v>
      </c>
      <c r="G1019" s="83">
        <v>0.75</v>
      </c>
      <c r="H1019" s="83">
        <v>0.041666666666666664</v>
      </c>
      <c r="I1019" s="84">
        <v>44559.0</v>
      </c>
      <c r="J1019" s="65" t="b">
        <v>1</v>
      </c>
      <c r="K1019" s="65"/>
      <c r="L1019" s="85" t="b">
        <f>IF(VLOOKUP(C1019,Projetos!A:L,12,false)=TRUE,TRUE,FALSE)</f>
        <v>1</v>
      </c>
      <c r="M1019" s="74">
        <v>31.02923620430495</v>
      </c>
      <c r="N1019" s="74">
        <f t="shared" si="1"/>
        <v>31.0292362</v>
      </c>
      <c r="O1019" s="74" t="b">
        <v>1</v>
      </c>
    </row>
    <row r="1020" hidden="1">
      <c r="A1020" s="82"/>
      <c r="B1020" s="65" t="s">
        <v>177</v>
      </c>
      <c r="C1020" s="65" t="s">
        <v>107</v>
      </c>
      <c r="D1020" s="65" t="str">
        <f>vlookup(C1020,'Classificação p pessoal'!F:G,2,false)</f>
        <v>NP</v>
      </c>
      <c r="E1020" s="65" t="s">
        <v>735</v>
      </c>
      <c r="F1020" s="83">
        <v>0.375</v>
      </c>
      <c r="G1020" s="83">
        <v>0.625</v>
      </c>
      <c r="H1020" s="83">
        <v>0.25</v>
      </c>
      <c r="I1020" s="84">
        <v>44560.0</v>
      </c>
      <c r="J1020" s="65" t="b">
        <v>1</v>
      </c>
      <c r="K1020" s="65"/>
      <c r="L1020" s="85" t="b">
        <f>IF(VLOOKUP(C1020,Projetos!A:L,12,false)=TRUE,TRUE,FALSE)</f>
        <v>1</v>
      </c>
      <c r="M1020" s="74">
        <v>31.02923620430495</v>
      </c>
      <c r="N1020" s="74">
        <f t="shared" si="1"/>
        <v>186.1754172</v>
      </c>
      <c r="O1020" s="74" t="b">
        <v>1</v>
      </c>
    </row>
    <row r="1021" hidden="1">
      <c r="A1021" s="82"/>
      <c r="B1021" s="65" t="s">
        <v>177</v>
      </c>
      <c r="C1021" s="65" t="s">
        <v>107</v>
      </c>
      <c r="D1021" s="65" t="str">
        <f>vlookup(C1021,'Classificação p pessoal'!F:G,2,false)</f>
        <v>NP</v>
      </c>
      <c r="E1021" s="65" t="s">
        <v>737</v>
      </c>
      <c r="F1021" s="83">
        <v>0.625</v>
      </c>
      <c r="G1021" s="83">
        <v>0.75</v>
      </c>
      <c r="H1021" s="83">
        <v>0.125</v>
      </c>
      <c r="I1021" s="84">
        <v>44560.0</v>
      </c>
      <c r="J1021" s="65" t="b">
        <v>1</v>
      </c>
      <c r="K1021" s="65"/>
      <c r="L1021" s="85" t="b">
        <f>IF(VLOOKUP(C1021,Projetos!A:L,12,false)=TRUE,TRUE,FALSE)</f>
        <v>1</v>
      </c>
      <c r="M1021" s="74">
        <v>31.02923620430495</v>
      </c>
      <c r="N1021" s="74">
        <f t="shared" si="1"/>
        <v>93.08770861</v>
      </c>
      <c r="O1021" s="74" t="b">
        <v>1</v>
      </c>
    </row>
    <row r="1022" hidden="1">
      <c r="A1022" s="82"/>
      <c r="B1022" s="65" t="s">
        <v>177</v>
      </c>
      <c r="C1022" s="65" t="s">
        <v>98</v>
      </c>
      <c r="D1022" s="65" t="str">
        <f>vlookup(C1022,'Classificação p pessoal'!F:G,2,false)</f>
        <v>NP</v>
      </c>
      <c r="E1022" s="65" t="s">
        <v>738</v>
      </c>
      <c r="F1022" s="83">
        <v>0.4444444444444444</v>
      </c>
      <c r="G1022" s="83">
        <v>0.7083333333333334</v>
      </c>
      <c r="H1022" s="83">
        <v>0.2638888888888889</v>
      </c>
      <c r="I1022" s="84">
        <v>44558.0</v>
      </c>
      <c r="J1022" s="65" t="b">
        <v>1</v>
      </c>
      <c r="K1022" s="65"/>
      <c r="L1022" s="85" t="b">
        <f>IF(VLOOKUP(C1022,Projetos!A:L,12,false)=TRUE,TRUE,FALSE)</f>
        <v>1</v>
      </c>
      <c r="M1022" s="74">
        <v>31.02923620430495</v>
      </c>
      <c r="N1022" s="74">
        <f t="shared" si="1"/>
        <v>196.518496</v>
      </c>
      <c r="O1022" s="74" t="b">
        <v>1</v>
      </c>
    </row>
    <row r="1023" hidden="1">
      <c r="A1023" s="82"/>
      <c r="B1023" s="65" t="s">
        <v>177</v>
      </c>
      <c r="C1023" s="65" t="s">
        <v>92</v>
      </c>
      <c r="D1023" s="65" t="str">
        <f>vlookup(C1023,'Classificação p pessoal'!F:G,2,false)</f>
        <v/>
      </c>
      <c r="E1023" s="65" t="s">
        <v>739</v>
      </c>
      <c r="F1023" s="83">
        <v>0.6875</v>
      </c>
      <c r="G1023" s="83">
        <v>0.75</v>
      </c>
      <c r="H1023" s="83">
        <v>0.0625</v>
      </c>
      <c r="I1023" s="84">
        <v>44293.0</v>
      </c>
      <c r="J1023" s="65" t="b">
        <v>1</v>
      </c>
      <c r="K1023" s="65"/>
      <c r="L1023" s="85" t="b">
        <f>IF(VLOOKUP(C1023,Projetos!A:L,12,false)=TRUE,TRUE,FALSE)</f>
        <v>1</v>
      </c>
      <c r="M1023" s="74">
        <v>31.02923620430495</v>
      </c>
      <c r="N1023" s="74">
        <f t="shared" si="1"/>
        <v>46.54385431</v>
      </c>
      <c r="O1023" s="74" t="b">
        <v>1</v>
      </c>
    </row>
    <row r="1024" hidden="1">
      <c r="A1024" s="82"/>
      <c r="B1024" s="65" t="s">
        <v>177</v>
      </c>
      <c r="C1024" s="65" t="s">
        <v>108</v>
      </c>
      <c r="D1024" s="65" t="str">
        <f>vlookup(C1024,'Classificação p pessoal'!F:G,2,false)</f>
        <v>NP</v>
      </c>
      <c r="E1024" s="65" t="s">
        <v>739</v>
      </c>
      <c r="F1024" s="83">
        <v>0.625</v>
      </c>
      <c r="G1024" s="83">
        <v>0.7083333333333334</v>
      </c>
      <c r="H1024" s="83">
        <v>0.08333333333333333</v>
      </c>
      <c r="I1024" s="84">
        <v>44467.0</v>
      </c>
      <c r="J1024" s="65" t="b">
        <v>1</v>
      </c>
      <c r="K1024" s="65"/>
      <c r="L1024" s="85" t="b">
        <f>IF(VLOOKUP(C1024,Projetos!A:L,12,false)=TRUE,TRUE,FALSE)</f>
        <v>1</v>
      </c>
      <c r="M1024" s="74">
        <v>31.02923620430495</v>
      </c>
      <c r="N1024" s="74">
        <f t="shared" si="1"/>
        <v>62.05847241</v>
      </c>
      <c r="O1024" s="74" t="b">
        <v>1</v>
      </c>
    </row>
    <row r="1025" hidden="1">
      <c r="A1025" s="82"/>
      <c r="B1025" s="65" t="s">
        <v>177</v>
      </c>
      <c r="C1025" s="65" t="s">
        <v>100</v>
      </c>
      <c r="D1025" s="65" t="str">
        <f>vlookup(C1025,'Classificação p pessoal'!F:G,2,false)</f>
        <v>NP</v>
      </c>
      <c r="E1025" s="65" t="s">
        <v>740</v>
      </c>
      <c r="F1025" s="83">
        <v>0.625</v>
      </c>
      <c r="G1025" s="83">
        <v>0.6666666666666666</v>
      </c>
      <c r="H1025" s="83">
        <v>0.041666666666666664</v>
      </c>
      <c r="I1025" s="84">
        <v>44529.0</v>
      </c>
      <c r="J1025" s="65" t="b">
        <v>1</v>
      </c>
      <c r="K1025" s="65"/>
      <c r="L1025" s="85" t="b">
        <f>IF(VLOOKUP(C1025,Projetos!A:L,12,false)=TRUE,TRUE,FALSE)</f>
        <v>1</v>
      </c>
      <c r="M1025" s="74">
        <v>31.02923620430495</v>
      </c>
      <c r="N1025" s="74">
        <f t="shared" si="1"/>
        <v>31.0292362</v>
      </c>
      <c r="O1025" s="74" t="b">
        <v>1</v>
      </c>
    </row>
    <row r="1026" hidden="1">
      <c r="A1026" s="82"/>
      <c r="B1026" s="65" t="s">
        <v>177</v>
      </c>
      <c r="C1026" s="65" t="s">
        <v>100</v>
      </c>
      <c r="D1026" s="65" t="str">
        <f>vlookup(C1026,'Classificação p pessoal'!F:G,2,false)</f>
        <v>NP</v>
      </c>
      <c r="E1026" s="65" t="s">
        <v>741</v>
      </c>
      <c r="F1026" s="83">
        <v>0.625</v>
      </c>
      <c r="G1026" s="83">
        <v>0.6666666666666666</v>
      </c>
      <c r="H1026" s="83">
        <v>0.041666666666666664</v>
      </c>
      <c r="I1026" s="84">
        <v>44522.0</v>
      </c>
      <c r="J1026" s="65" t="b">
        <v>1</v>
      </c>
      <c r="K1026" s="65"/>
      <c r="L1026" s="85" t="b">
        <f>IF(VLOOKUP(C1026,Projetos!A:L,12,false)=TRUE,TRUE,FALSE)</f>
        <v>1</v>
      </c>
      <c r="M1026" s="74">
        <v>31.02923620430495</v>
      </c>
      <c r="N1026" s="74">
        <f t="shared" si="1"/>
        <v>31.0292362</v>
      </c>
      <c r="O1026" s="74" t="b">
        <v>1</v>
      </c>
    </row>
    <row r="1027" hidden="1">
      <c r="A1027" s="82"/>
      <c r="B1027" s="65" t="s">
        <v>177</v>
      </c>
      <c r="C1027" s="65" t="s">
        <v>92</v>
      </c>
      <c r="D1027" s="65" t="str">
        <f>vlookup(C1027,'Classificação p pessoal'!F:G,2,false)</f>
        <v/>
      </c>
      <c r="E1027" s="65" t="s">
        <v>742</v>
      </c>
      <c r="F1027" s="83">
        <v>0.625</v>
      </c>
      <c r="G1027" s="83">
        <v>0.6666666666666666</v>
      </c>
      <c r="H1027" s="83">
        <v>0.041666666666666664</v>
      </c>
      <c r="I1027" s="84">
        <v>44309.0</v>
      </c>
      <c r="J1027" s="65" t="b">
        <v>1</v>
      </c>
      <c r="K1027" s="65"/>
      <c r="L1027" s="85" t="b">
        <f>IF(VLOOKUP(C1027,Projetos!A:L,12,false)=TRUE,TRUE,FALSE)</f>
        <v>1</v>
      </c>
      <c r="M1027" s="74">
        <v>31.02923620430495</v>
      </c>
      <c r="N1027" s="74">
        <f t="shared" si="1"/>
        <v>31.0292362</v>
      </c>
      <c r="O1027" s="74" t="b">
        <v>1</v>
      </c>
    </row>
    <row r="1028" hidden="1">
      <c r="A1028" s="82"/>
      <c r="B1028" s="65" t="s">
        <v>177</v>
      </c>
      <c r="C1028" s="65" t="s">
        <v>106</v>
      </c>
      <c r="D1028" s="65" t="str">
        <f>vlookup(C1028,'Classificação p pessoal'!F:G,2,false)</f>
        <v>MProcesso</v>
      </c>
      <c r="E1028" s="65" t="s">
        <v>743</v>
      </c>
      <c r="F1028" s="83">
        <v>0.3958333333333333</v>
      </c>
      <c r="G1028" s="83">
        <v>0.4375</v>
      </c>
      <c r="H1028" s="83">
        <v>0.041666666666666664</v>
      </c>
      <c r="I1028" s="84">
        <v>44267.0</v>
      </c>
      <c r="J1028" s="65" t="b">
        <v>1</v>
      </c>
      <c r="K1028" s="65"/>
      <c r="L1028" s="85" t="b">
        <f>IF(VLOOKUP(C1028,Projetos!A:L,12,false)=TRUE,TRUE,FALSE)</f>
        <v>1</v>
      </c>
      <c r="M1028" s="74">
        <v>31.02923620430495</v>
      </c>
      <c r="N1028" s="74">
        <f t="shared" si="1"/>
        <v>31.0292362</v>
      </c>
      <c r="O1028" s="74" t="b">
        <v>1</v>
      </c>
    </row>
    <row r="1029" hidden="1">
      <c r="A1029" s="82"/>
      <c r="B1029" s="65" t="s">
        <v>177</v>
      </c>
      <c r="C1029" s="65" t="s">
        <v>91</v>
      </c>
      <c r="D1029" s="65"/>
      <c r="E1029" s="65" t="s">
        <v>744</v>
      </c>
      <c r="F1029" s="83">
        <v>0.6944444444444444</v>
      </c>
      <c r="G1029" s="83">
        <v>0.7152777777777778</v>
      </c>
      <c r="H1029" s="83">
        <v>0.020833333333333332</v>
      </c>
      <c r="I1029" s="84">
        <v>44537.0</v>
      </c>
      <c r="J1029" s="65" t="b">
        <v>0</v>
      </c>
      <c r="K1029" s="65" t="s">
        <v>150</v>
      </c>
      <c r="L1029" s="85" t="b">
        <f>IF(VLOOKUP(C1029,Projetos!A:L,12,false)=TRUE,TRUE,FALSE)</f>
        <v>1</v>
      </c>
      <c r="M1029" s="74">
        <v>31.02923620430495</v>
      </c>
      <c r="N1029" s="74">
        <f t="shared" si="1"/>
        <v>0</v>
      </c>
      <c r="O1029" s="74" t="b">
        <v>1</v>
      </c>
    </row>
    <row r="1030" hidden="1">
      <c r="A1030" s="82"/>
      <c r="B1030" s="65" t="s">
        <v>177</v>
      </c>
      <c r="C1030" s="65" t="s">
        <v>120</v>
      </c>
      <c r="D1030" s="65"/>
      <c r="E1030" s="65" t="s">
        <v>745</v>
      </c>
      <c r="F1030" s="83">
        <v>0.7152777777777778</v>
      </c>
      <c r="G1030" s="83">
        <v>0.7361111111111112</v>
      </c>
      <c r="H1030" s="83">
        <v>0.020833333333333332</v>
      </c>
      <c r="I1030" s="84">
        <v>44537.0</v>
      </c>
      <c r="J1030" s="65" t="b">
        <v>0</v>
      </c>
      <c r="K1030" s="65" t="s">
        <v>150</v>
      </c>
      <c r="L1030" s="85" t="b">
        <f>IF(VLOOKUP(C1030,Projetos!A:L,12,false)=TRUE,TRUE,FALSE)</f>
        <v>0</v>
      </c>
      <c r="M1030" s="74">
        <v>31.02923620430495</v>
      </c>
      <c r="N1030" s="74">
        <f t="shared" si="1"/>
        <v>0</v>
      </c>
      <c r="O1030" s="74" t="b">
        <v>0</v>
      </c>
    </row>
    <row r="1031" hidden="1">
      <c r="A1031" s="82"/>
      <c r="B1031" s="65" t="s">
        <v>177</v>
      </c>
      <c r="C1031" s="65" t="s">
        <v>91</v>
      </c>
      <c r="D1031" s="65"/>
      <c r="E1031" s="65" t="s">
        <v>746</v>
      </c>
      <c r="F1031" s="83">
        <v>0.6666666666666666</v>
      </c>
      <c r="G1031" s="83">
        <v>0.75</v>
      </c>
      <c r="H1031" s="83">
        <v>0.08333333333333333</v>
      </c>
      <c r="I1031" s="84">
        <v>44522.0</v>
      </c>
      <c r="J1031" s="65" t="b">
        <v>0</v>
      </c>
      <c r="K1031" s="65" t="s">
        <v>150</v>
      </c>
      <c r="L1031" s="85" t="b">
        <f>IF(VLOOKUP(C1031,Projetos!A:L,12,false)=TRUE,TRUE,FALSE)</f>
        <v>1</v>
      </c>
      <c r="M1031" s="74">
        <v>31.02923620430495</v>
      </c>
      <c r="N1031" s="74">
        <f t="shared" si="1"/>
        <v>0</v>
      </c>
      <c r="O1031" s="74" t="b">
        <v>1</v>
      </c>
    </row>
    <row r="1032" hidden="1">
      <c r="A1032" s="82"/>
      <c r="B1032" s="65" t="s">
        <v>177</v>
      </c>
      <c r="C1032" s="65" t="s">
        <v>92</v>
      </c>
      <c r="D1032" s="65"/>
      <c r="E1032" s="65" t="s">
        <v>747</v>
      </c>
      <c r="F1032" s="83">
        <v>0.375</v>
      </c>
      <c r="G1032" s="83">
        <v>0.4166666666666667</v>
      </c>
      <c r="H1032" s="83">
        <v>0.041666666666666664</v>
      </c>
      <c r="I1032" s="84">
        <v>44518.0</v>
      </c>
      <c r="J1032" s="65" t="b">
        <v>0</v>
      </c>
      <c r="K1032" s="65" t="s">
        <v>150</v>
      </c>
      <c r="L1032" s="85" t="b">
        <f>IF(VLOOKUP(C1032,Projetos!A:L,12,false)=TRUE,TRUE,FALSE)</f>
        <v>1</v>
      </c>
      <c r="M1032" s="74">
        <v>31.02923620430495</v>
      </c>
      <c r="N1032" s="74">
        <f t="shared" si="1"/>
        <v>0</v>
      </c>
      <c r="O1032" s="74" t="b">
        <v>1</v>
      </c>
    </row>
    <row r="1033" hidden="1">
      <c r="A1033" s="82"/>
      <c r="B1033" s="65" t="s">
        <v>177</v>
      </c>
      <c r="C1033" s="65" t="s">
        <v>107</v>
      </c>
      <c r="D1033" s="65" t="str">
        <f>vlookup(C1033,'Classificação p pessoal'!F:G,2,false)</f>
        <v>NP</v>
      </c>
      <c r="E1033" s="65" t="s">
        <v>748</v>
      </c>
      <c r="F1033" s="83">
        <v>0.3541666666666667</v>
      </c>
      <c r="G1033" s="83">
        <v>0.3958333333333333</v>
      </c>
      <c r="H1033" s="83">
        <v>0.041666666666666664</v>
      </c>
      <c r="I1033" s="84">
        <v>44328.0</v>
      </c>
      <c r="J1033" s="65" t="b">
        <v>1</v>
      </c>
      <c r="K1033" s="65"/>
      <c r="L1033" s="85" t="b">
        <f>IF(VLOOKUP(C1033,Projetos!A:L,12,false)=TRUE,TRUE,FALSE)</f>
        <v>1</v>
      </c>
      <c r="M1033" s="74">
        <v>31.02923620430495</v>
      </c>
      <c r="N1033" s="74">
        <f t="shared" si="1"/>
        <v>31.0292362</v>
      </c>
      <c r="O1033" s="74" t="b">
        <v>1</v>
      </c>
    </row>
    <row r="1034" hidden="1">
      <c r="A1034" s="82"/>
      <c r="B1034" s="65" t="s">
        <v>177</v>
      </c>
      <c r="C1034" s="65" t="s">
        <v>106</v>
      </c>
      <c r="D1034" s="65" t="str">
        <f>vlookup(C1034,'Classificação p pessoal'!F:G,2,false)</f>
        <v>MProcesso</v>
      </c>
      <c r="E1034" s="65" t="s">
        <v>749</v>
      </c>
      <c r="F1034" s="83">
        <v>0.5833333333333334</v>
      </c>
      <c r="G1034" s="83">
        <v>0.75</v>
      </c>
      <c r="H1034" s="83">
        <v>0.16666666666666666</v>
      </c>
      <c r="I1034" s="84">
        <v>44477.0</v>
      </c>
      <c r="J1034" s="65" t="b">
        <v>1</v>
      </c>
      <c r="K1034" s="65"/>
      <c r="L1034" s="85" t="b">
        <f>IF(VLOOKUP(C1034,Projetos!A:L,12,false)=TRUE,TRUE,FALSE)</f>
        <v>1</v>
      </c>
      <c r="M1034" s="74">
        <v>31.02923620430495</v>
      </c>
      <c r="N1034" s="74">
        <f t="shared" si="1"/>
        <v>124.1169448</v>
      </c>
      <c r="O1034" s="74" t="b">
        <v>1</v>
      </c>
    </row>
    <row r="1035" hidden="1">
      <c r="A1035" s="82"/>
      <c r="B1035" s="65" t="s">
        <v>750</v>
      </c>
      <c r="C1035" s="65" t="s">
        <v>108</v>
      </c>
      <c r="D1035" s="65"/>
      <c r="E1035" s="65" t="s">
        <v>751</v>
      </c>
      <c r="F1035" s="83">
        <v>0.3958333333333333</v>
      </c>
      <c r="G1035" s="83">
        <v>0.4583333333333333</v>
      </c>
      <c r="H1035" s="83">
        <v>0.0625</v>
      </c>
      <c r="I1035" s="84">
        <v>44313.0</v>
      </c>
      <c r="J1035" s="65" t="b">
        <v>0</v>
      </c>
      <c r="K1035" s="65" t="s">
        <v>150</v>
      </c>
      <c r="L1035" s="85" t="b">
        <f>IF(VLOOKUP(C1035,Projetos!A:L,12,false)=TRUE,TRUE,FALSE)</f>
        <v>1</v>
      </c>
      <c r="M1035" s="74">
        <v>34.7706987012987</v>
      </c>
      <c r="N1035" s="74">
        <f t="shared" si="1"/>
        <v>0</v>
      </c>
      <c r="O1035" s="74" t="b">
        <v>1</v>
      </c>
    </row>
    <row r="1036" hidden="1">
      <c r="A1036" s="82"/>
      <c r="B1036" s="65" t="s">
        <v>750</v>
      </c>
      <c r="C1036" s="65" t="s">
        <v>85</v>
      </c>
      <c r="D1036" s="65" t="str">
        <f>vlookup(C1036,'Classificação p pessoal'!F:G,2,false)</f>
        <v>NP</v>
      </c>
      <c r="E1036" s="65" t="s">
        <v>752</v>
      </c>
      <c r="F1036" s="83">
        <v>0.4166666666666667</v>
      </c>
      <c r="G1036" s="83">
        <v>0.5</v>
      </c>
      <c r="H1036" s="83">
        <v>0.08333333333333333</v>
      </c>
      <c r="I1036" s="84">
        <v>44200.0</v>
      </c>
      <c r="J1036" s="65" t="b">
        <v>1</v>
      </c>
      <c r="K1036" s="65"/>
      <c r="L1036" s="85" t="b">
        <f>IF(VLOOKUP(C1036,Projetos!A:L,12,false)=TRUE,TRUE,FALSE)</f>
        <v>1</v>
      </c>
      <c r="M1036" s="74">
        <v>34.7706987012987</v>
      </c>
      <c r="N1036" s="74">
        <f t="shared" si="1"/>
        <v>69.5413974</v>
      </c>
      <c r="O1036" s="74" t="b">
        <v>1</v>
      </c>
    </row>
    <row r="1037" hidden="1">
      <c r="A1037" s="82"/>
      <c r="B1037" s="65" t="s">
        <v>750</v>
      </c>
      <c r="C1037" s="65" t="s">
        <v>108</v>
      </c>
      <c r="D1037" s="65"/>
      <c r="E1037" s="65" t="s">
        <v>149</v>
      </c>
      <c r="F1037" s="83">
        <v>0.4583333333333333</v>
      </c>
      <c r="G1037" s="83">
        <v>0.5</v>
      </c>
      <c r="H1037" s="83">
        <v>0.041666666666666664</v>
      </c>
      <c r="I1037" s="84">
        <v>44201.0</v>
      </c>
      <c r="J1037" s="65" t="b">
        <v>0</v>
      </c>
      <c r="K1037" s="65" t="s">
        <v>150</v>
      </c>
      <c r="L1037" s="85" t="b">
        <f>IF(VLOOKUP(C1037,Projetos!A:L,12,false)=TRUE,TRUE,FALSE)</f>
        <v>1</v>
      </c>
      <c r="M1037" s="74">
        <v>34.7706987012987</v>
      </c>
      <c r="N1037" s="74">
        <f t="shared" si="1"/>
        <v>0</v>
      </c>
      <c r="O1037" s="74" t="b">
        <v>1</v>
      </c>
    </row>
    <row r="1038" hidden="1">
      <c r="A1038" s="82"/>
      <c r="B1038" s="65" t="s">
        <v>750</v>
      </c>
      <c r="C1038" s="65" t="s">
        <v>85</v>
      </c>
      <c r="D1038" s="65" t="str">
        <f>vlookup(C1038,'Classificação p pessoal'!F:G,2,false)</f>
        <v>NP</v>
      </c>
      <c r="E1038" s="65" t="s">
        <v>752</v>
      </c>
      <c r="F1038" s="83">
        <v>0.5833333333333334</v>
      </c>
      <c r="G1038" s="83">
        <v>0.75</v>
      </c>
      <c r="H1038" s="83">
        <v>0.16666666666666666</v>
      </c>
      <c r="I1038" s="84">
        <v>44201.0</v>
      </c>
      <c r="J1038" s="65" t="b">
        <v>1</v>
      </c>
      <c r="K1038" s="65"/>
      <c r="L1038" s="85" t="b">
        <f>IF(VLOOKUP(C1038,Projetos!A:L,12,false)=TRUE,TRUE,FALSE)</f>
        <v>1</v>
      </c>
      <c r="M1038" s="74">
        <v>34.7706987012987</v>
      </c>
      <c r="N1038" s="74">
        <f t="shared" si="1"/>
        <v>139.0827948</v>
      </c>
      <c r="O1038" s="74" t="b">
        <v>1</v>
      </c>
    </row>
    <row r="1039" hidden="1">
      <c r="A1039" s="82"/>
      <c r="B1039" s="65" t="s">
        <v>750</v>
      </c>
      <c r="C1039" s="65" t="s">
        <v>85</v>
      </c>
      <c r="D1039" s="65" t="str">
        <f>vlookup(C1039,'Classificação p pessoal'!F:G,2,false)</f>
        <v>NP</v>
      </c>
      <c r="E1039" s="65" t="s">
        <v>752</v>
      </c>
      <c r="F1039" s="83">
        <v>0.375</v>
      </c>
      <c r="G1039" s="83">
        <v>0.4583333333333333</v>
      </c>
      <c r="H1039" s="83">
        <v>0.08333333333333333</v>
      </c>
      <c r="I1039" s="84">
        <v>44202.0</v>
      </c>
      <c r="J1039" s="65" t="b">
        <v>1</v>
      </c>
      <c r="K1039" s="65"/>
      <c r="L1039" s="85" t="b">
        <f>IF(VLOOKUP(C1039,Projetos!A:L,12,false)=TRUE,TRUE,FALSE)</f>
        <v>1</v>
      </c>
      <c r="M1039" s="74">
        <v>34.7706987012987</v>
      </c>
      <c r="N1039" s="74">
        <f t="shared" si="1"/>
        <v>69.5413974</v>
      </c>
      <c r="O1039" s="74" t="b">
        <v>1</v>
      </c>
    </row>
    <row r="1040" hidden="1">
      <c r="A1040" s="82"/>
      <c r="B1040" s="65" t="s">
        <v>750</v>
      </c>
      <c r="C1040" s="65" t="s">
        <v>85</v>
      </c>
      <c r="D1040" s="65" t="str">
        <f>vlookup(C1040,'Classificação p pessoal'!F:G,2,false)</f>
        <v>NP</v>
      </c>
      <c r="E1040" s="65" t="s">
        <v>752</v>
      </c>
      <c r="F1040" s="83">
        <v>0.5</v>
      </c>
      <c r="G1040" s="83">
        <v>0.75</v>
      </c>
      <c r="H1040" s="83">
        <v>0.25</v>
      </c>
      <c r="I1040" s="84">
        <v>44203.0</v>
      </c>
      <c r="J1040" s="65" t="b">
        <v>1</v>
      </c>
      <c r="K1040" s="65"/>
      <c r="L1040" s="85" t="b">
        <f>IF(VLOOKUP(C1040,Projetos!A:L,12,false)=TRUE,TRUE,FALSE)</f>
        <v>1</v>
      </c>
      <c r="M1040" s="74">
        <v>34.7706987012987</v>
      </c>
      <c r="N1040" s="74">
        <f t="shared" si="1"/>
        <v>208.6241922</v>
      </c>
      <c r="O1040" s="74" t="b">
        <v>1</v>
      </c>
    </row>
    <row r="1041" hidden="1">
      <c r="A1041" s="82"/>
      <c r="B1041" s="65" t="s">
        <v>750</v>
      </c>
      <c r="C1041" s="65" t="s">
        <v>85</v>
      </c>
      <c r="D1041" s="65" t="str">
        <f>vlookup(C1041,'Classificação p pessoal'!F:G,2,false)</f>
        <v>NP</v>
      </c>
      <c r="E1041" s="65" t="s">
        <v>752</v>
      </c>
      <c r="F1041" s="83">
        <v>0.375</v>
      </c>
      <c r="G1041" s="83">
        <v>0.5</v>
      </c>
      <c r="H1041" s="83">
        <v>0.125</v>
      </c>
      <c r="I1041" s="84">
        <v>44204.0</v>
      </c>
      <c r="J1041" s="65" t="b">
        <v>1</v>
      </c>
      <c r="K1041" s="65"/>
      <c r="L1041" s="85" t="b">
        <f>IF(VLOOKUP(C1041,Projetos!A:L,12,false)=TRUE,TRUE,FALSE)</f>
        <v>1</v>
      </c>
      <c r="M1041" s="74">
        <v>34.7706987012987</v>
      </c>
      <c r="N1041" s="74">
        <f t="shared" si="1"/>
        <v>104.3120961</v>
      </c>
      <c r="O1041" s="74" t="b">
        <v>1</v>
      </c>
    </row>
    <row r="1042" hidden="1">
      <c r="A1042" s="82"/>
      <c r="B1042" s="65" t="s">
        <v>750</v>
      </c>
      <c r="C1042" s="65" t="s">
        <v>108</v>
      </c>
      <c r="D1042" s="65"/>
      <c r="E1042" s="65" t="s">
        <v>149</v>
      </c>
      <c r="F1042" s="83">
        <v>0.5416666666666666</v>
      </c>
      <c r="G1042" s="83">
        <v>0.7083333333333334</v>
      </c>
      <c r="H1042" s="83">
        <v>0.16666666666666666</v>
      </c>
      <c r="I1042" s="84">
        <v>44204.0</v>
      </c>
      <c r="J1042" s="65" t="b">
        <v>0</v>
      </c>
      <c r="K1042" s="65" t="s">
        <v>150</v>
      </c>
      <c r="L1042" s="85" t="b">
        <f>IF(VLOOKUP(C1042,Projetos!A:L,12,false)=TRUE,TRUE,FALSE)</f>
        <v>1</v>
      </c>
      <c r="M1042" s="74">
        <v>34.7706987012987</v>
      </c>
      <c r="N1042" s="74">
        <f t="shared" si="1"/>
        <v>0</v>
      </c>
      <c r="O1042" s="74" t="b">
        <v>1</v>
      </c>
    </row>
    <row r="1043" hidden="1">
      <c r="A1043" s="82"/>
      <c r="B1043" s="65" t="s">
        <v>750</v>
      </c>
      <c r="C1043" s="65" t="s">
        <v>108</v>
      </c>
      <c r="D1043" s="65"/>
      <c r="E1043" s="65" t="s">
        <v>149</v>
      </c>
      <c r="F1043" s="83">
        <v>0.375</v>
      </c>
      <c r="G1043" s="83">
        <v>0.4375</v>
      </c>
      <c r="H1043" s="83">
        <v>0.0625</v>
      </c>
      <c r="I1043" s="84">
        <v>44207.0</v>
      </c>
      <c r="J1043" s="65" t="b">
        <v>0</v>
      </c>
      <c r="K1043" s="65" t="s">
        <v>150</v>
      </c>
      <c r="L1043" s="85" t="b">
        <f>IF(VLOOKUP(C1043,Projetos!A:L,12,false)=TRUE,TRUE,FALSE)</f>
        <v>1</v>
      </c>
      <c r="M1043" s="74">
        <v>34.7706987012987</v>
      </c>
      <c r="N1043" s="74">
        <f t="shared" si="1"/>
        <v>0</v>
      </c>
      <c r="O1043" s="74" t="b">
        <v>1</v>
      </c>
    </row>
    <row r="1044" hidden="1">
      <c r="A1044" s="82"/>
      <c r="B1044" s="65" t="s">
        <v>750</v>
      </c>
      <c r="C1044" s="65" t="s">
        <v>85</v>
      </c>
      <c r="D1044" s="65" t="str">
        <f>vlookup(C1044,'Classificação p pessoal'!F:G,2,false)</f>
        <v>NP</v>
      </c>
      <c r="E1044" s="65" t="s">
        <v>752</v>
      </c>
      <c r="F1044" s="83">
        <v>0.5833333333333334</v>
      </c>
      <c r="G1044" s="83">
        <v>0.7083333333333334</v>
      </c>
      <c r="H1044" s="83">
        <v>0.125</v>
      </c>
      <c r="I1044" s="84">
        <v>44208.0</v>
      </c>
      <c r="J1044" s="65" t="b">
        <v>1</v>
      </c>
      <c r="K1044" s="65"/>
      <c r="L1044" s="85" t="b">
        <f>IF(VLOOKUP(C1044,Projetos!A:L,12,false)=TRUE,TRUE,FALSE)</f>
        <v>1</v>
      </c>
      <c r="M1044" s="74">
        <v>34.7706987012987</v>
      </c>
      <c r="N1044" s="74">
        <f t="shared" si="1"/>
        <v>104.3120961</v>
      </c>
      <c r="O1044" s="74" t="b">
        <v>1</v>
      </c>
    </row>
    <row r="1045" hidden="1">
      <c r="A1045" s="82"/>
      <c r="B1045" s="65" t="s">
        <v>750</v>
      </c>
      <c r="C1045" s="65" t="s">
        <v>85</v>
      </c>
      <c r="D1045" s="65" t="str">
        <f>vlookup(C1045,'Classificação p pessoal'!F:G,2,false)</f>
        <v>NP</v>
      </c>
      <c r="E1045" s="65" t="s">
        <v>752</v>
      </c>
      <c r="F1045" s="83">
        <v>0.375</v>
      </c>
      <c r="G1045" s="83">
        <v>0.5</v>
      </c>
      <c r="H1045" s="83">
        <v>0.125</v>
      </c>
      <c r="I1045" s="84">
        <v>44209.0</v>
      </c>
      <c r="J1045" s="65" t="b">
        <v>1</v>
      </c>
      <c r="K1045" s="65"/>
      <c r="L1045" s="85" t="b">
        <f>IF(VLOOKUP(C1045,Projetos!A:L,12,false)=TRUE,TRUE,FALSE)</f>
        <v>1</v>
      </c>
      <c r="M1045" s="74">
        <v>34.7706987012987</v>
      </c>
      <c r="N1045" s="74">
        <f t="shared" si="1"/>
        <v>104.3120961</v>
      </c>
      <c r="O1045" s="74" t="b">
        <v>1</v>
      </c>
    </row>
    <row r="1046" hidden="1">
      <c r="A1046" s="82"/>
      <c r="B1046" s="65" t="s">
        <v>750</v>
      </c>
      <c r="C1046" s="65" t="s">
        <v>85</v>
      </c>
      <c r="D1046" s="65" t="str">
        <f>vlookup(C1046,'Classificação p pessoal'!F:G,2,false)</f>
        <v>NP</v>
      </c>
      <c r="E1046" s="65" t="s">
        <v>752</v>
      </c>
      <c r="F1046" s="83">
        <v>0.4583333333333333</v>
      </c>
      <c r="G1046" s="83">
        <v>0.625</v>
      </c>
      <c r="H1046" s="83">
        <v>0.16666666666666666</v>
      </c>
      <c r="I1046" s="84">
        <v>44210.0</v>
      </c>
      <c r="J1046" s="65" t="b">
        <v>1</v>
      </c>
      <c r="K1046" s="65"/>
      <c r="L1046" s="85" t="b">
        <f>IF(VLOOKUP(C1046,Projetos!A:L,12,false)=TRUE,TRUE,FALSE)</f>
        <v>1</v>
      </c>
      <c r="M1046" s="74">
        <v>34.7706987012987</v>
      </c>
      <c r="N1046" s="74">
        <f t="shared" si="1"/>
        <v>139.0827948</v>
      </c>
      <c r="O1046" s="74" t="b">
        <v>1</v>
      </c>
    </row>
    <row r="1047" hidden="1">
      <c r="A1047" s="82"/>
      <c r="B1047" s="65" t="s">
        <v>750</v>
      </c>
      <c r="C1047" s="65" t="s">
        <v>108</v>
      </c>
      <c r="D1047" s="65"/>
      <c r="E1047" s="65" t="s">
        <v>149</v>
      </c>
      <c r="F1047" s="83">
        <v>0.5416666666666666</v>
      </c>
      <c r="G1047" s="83">
        <v>0.5833333333333334</v>
      </c>
      <c r="H1047" s="83">
        <v>0.041666666666666664</v>
      </c>
      <c r="I1047" s="84">
        <v>44211.0</v>
      </c>
      <c r="J1047" s="65" t="b">
        <v>0</v>
      </c>
      <c r="K1047" s="65" t="s">
        <v>150</v>
      </c>
      <c r="L1047" s="85" t="b">
        <f>IF(VLOOKUP(C1047,Projetos!A:L,12,false)=TRUE,TRUE,FALSE)</f>
        <v>1</v>
      </c>
      <c r="M1047" s="74">
        <v>34.7706987012987</v>
      </c>
      <c r="N1047" s="74">
        <f t="shared" si="1"/>
        <v>0</v>
      </c>
      <c r="O1047" s="74" t="b">
        <v>1</v>
      </c>
    </row>
    <row r="1048" hidden="1">
      <c r="A1048" s="82"/>
      <c r="B1048" s="65" t="s">
        <v>750</v>
      </c>
      <c r="C1048" s="65" t="s">
        <v>117</v>
      </c>
      <c r="D1048" s="65" t="str">
        <f>vlookup(C1048,'Classificação p pessoal'!F:G,2,false)</f>
        <v>NP</v>
      </c>
      <c r="E1048" s="65" t="s">
        <v>753</v>
      </c>
      <c r="F1048" s="83">
        <v>0.5833333333333334</v>
      </c>
      <c r="G1048" s="83">
        <v>0.75</v>
      </c>
      <c r="H1048" s="83">
        <v>0.16666666666666666</v>
      </c>
      <c r="I1048" s="84">
        <v>44214.0</v>
      </c>
      <c r="J1048" s="65" t="b">
        <v>1</v>
      </c>
      <c r="K1048" s="65"/>
      <c r="L1048" s="85" t="b">
        <f>IF(VLOOKUP(C1048,Projetos!A:L,12,false)=TRUE,TRUE,FALSE)</f>
        <v>1</v>
      </c>
      <c r="M1048" s="74">
        <v>34.7706987012987</v>
      </c>
      <c r="N1048" s="74">
        <f t="shared" si="1"/>
        <v>139.0827948</v>
      </c>
      <c r="O1048" s="74" t="b">
        <v>1</v>
      </c>
    </row>
    <row r="1049" hidden="1">
      <c r="A1049" s="82"/>
      <c r="B1049" s="65" t="s">
        <v>750</v>
      </c>
      <c r="C1049" s="65" t="s">
        <v>117</v>
      </c>
      <c r="D1049" s="65" t="str">
        <f>vlookup(C1049,'Classificação p pessoal'!F:G,2,false)</f>
        <v>NP</v>
      </c>
      <c r="E1049" s="65" t="s">
        <v>753</v>
      </c>
      <c r="F1049" s="83">
        <v>0.4166666666666667</v>
      </c>
      <c r="G1049" s="83">
        <v>0.5416666666666666</v>
      </c>
      <c r="H1049" s="83">
        <v>0.125</v>
      </c>
      <c r="I1049" s="84">
        <v>44215.0</v>
      </c>
      <c r="J1049" s="65" t="b">
        <v>1</v>
      </c>
      <c r="K1049" s="65"/>
      <c r="L1049" s="85" t="b">
        <f>IF(VLOOKUP(C1049,Projetos!A:L,12,false)=TRUE,TRUE,FALSE)</f>
        <v>1</v>
      </c>
      <c r="M1049" s="74">
        <v>34.7706987012987</v>
      </c>
      <c r="N1049" s="74">
        <f t="shared" si="1"/>
        <v>104.3120961</v>
      </c>
      <c r="O1049" s="74" t="b">
        <v>1</v>
      </c>
    </row>
    <row r="1050" hidden="1">
      <c r="A1050" s="82"/>
      <c r="B1050" s="65" t="s">
        <v>750</v>
      </c>
      <c r="C1050" s="65" t="s">
        <v>117</v>
      </c>
      <c r="D1050" s="65" t="str">
        <f>vlookup(C1050,'Classificação p pessoal'!F:G,2,false)</f>
        <v>NP</v>
      </c>
      <c r="E1050" s="65" t="s">
        <v>753</v>
      </c>
      <c r="F1050" s="83">
        <v>0.4166666666666667</v>
      </c>
      <c r="G1050" s="83">
        <v>0.5</v>
      </c>
      <c r="H1050" s="83">
        <v>0.08333333333333333</v>
      </c>
      <c r="I1050" s="84">
        <v>44222.0</v>
      </c>
      <c r="J1050" s="65" t="b">
        <v>1</v>
      </c>
      <c r="K1050" s="65"/>
      <c r="L1050" s="85" t="b">
        <f>IF(VLOOKUP(C1050,Projetos!A:L,12,false)=TRUE,TRUE,FALSE)</f>
        <v>1</v>
      </c>
      <c r="M1050" s="74">
        <v>34.7706987012987</v>
      </c>
      <c r="N1050" s="74">
        <f t="shared" si="1"/>
        <v>69.5413974</v>
      </c>
      <c r="O1050" s="74" t="b">
        <v>1</v>
      </c>
    </row>
    <row r="1051" hidden="1">
      <c r="A1051" s="82"/>
      <c r="B1051" s="65" t="s">
        <v>750</v>
      </c>
      <c r="C1051" s="65" t="s">
        <v>132</v>
      </c>
      <c r="D1051" s="65"/>
      <c r="E1051" s="65" t="s">
        <v>754</v>
      </c>
      <c r="F1051" s="83">
        <v>0.375</v>
      </c>
      <c r="G1051" s="83">
        <v>0.5416666666666666</v>
      </c>
      <c r="H1051" s="83">
        <v>0.16666666666666666</v>
      </c>
      <c r="I1051" s="84">
        <v>44229.0</v>
      </c>
      <c r="J1051" s="65" t="b">
        <v>1</v>
      </c>
      <c r="K1051" s="65"/>
      <c r="L1051" s="85" t="b">
        <f>IF(VLOOKUP(C1051,Projetos!A:L,12,false)=TRUE,TRUE,FALSE)</f>
        <v>0</v>
      </c>
      <c r="M1051" s="74">
        <v>34.7706987012987</v>
      </c>
      <c r="N1051" s="74">
        <f t="shared" si="1"/>
        <v>0</v>
      </c>
      <c r="O1051" s="74" t="b">
        <v>0</v>
      </c>
    </row>
    <row r="1052" hidden="1">
      <c r="A1052" s="82"/>
      <c r="B1052" s="65" t="s">
        <v>750</v>
      </c>
      <c r="C1052" s="65" t="s">
        <v>85</v>
      </c>
      <c r="D1052" s="65" t="str">
        <f>vlookup(C1052,'Classificação p pessoal'!F:G,2,false)</f>
        <v>NP</v>
      </c>
      <c r="E1052" s="65" t="s">
        <v>752</v>
      </c>
      <c r="F1052" s="83">
        <v>0.3333333333333333</v>
      </c>
      <c r="G1052" s="83">
        <v>0.5</v>
      </c>
      <c r="H1052" s="83">
        <v>0.16666666666666666</v>
      </c>
      <c r="I1052" s="84">
        <v>44230.0</v>
      </c>
      <c r="J1052" s="65" t="b">
        <v>1</v>
      </c>
      <c r="K1052" s="65"/>
      <c r="L1052" s="85" t="b">
        <f>IF(VLOOKUP(C1052,Projetos!A:L,12,false)=TRUE,TRUE,FALSE)</f>
        <v>1</v>
      </c>
      <c r="M1052" s="74">
        <v>34.7706987012987</v>
      </c>
      <c r="N1052" s="74">
        <f t="shared" si="1"/>
        <v>139.0827948</v>
      </c>
      <c r="O1052" s="74" t="b">
        <v>1</v>
      </c>
    </row>
    <row r="1053" hidden="1">
      <c r="A1053" s="82"/>
      <c r="B1053" s="65" t="s">
        <v>750</v>
      </c>
      <c r="C1053" s="65" t="s">
        <v>126</v>
      </c>
      <c r="D1053" s="65"/>
      <c r="E1053" s="65" t="s">
        <v>755</v>
      </c>
      <c r="F1053" s="83">
        <v>0.6666666666666666</v>
      </c>
      <c r="G1053" s="83">
        <v>0.75</v>
      </c>
      <c r="H1053" s="83">
        <v>0.08333333333333333</v>
      </c>
      <c r="I1053" s="84">
        <v>44270.0</v>
      </c>
      <c r="J1053" s="65" t="b">
        <v>0</v>
      </c>
      <c r="K1053" s="65" t="s">
        <v>150</v>
      </c>
      <c r="L1053" s="85" t="b">
        <f>IF(VLOOKUP(C1053,Projetos!A:L,12,false)=TRUE,TRUE,FALSE)</f>
        <v>1</v>
      </c>
      <c r="M1053" s="74">
        <v>34.7706987012987</v>
      </c>
      <c r="N1053" s="74">
        <f t="shared" si="1"/>
        <v>0</v>
      </c>
      <c r="O1053" s="74" t="b">
        <v>1</v>
      </c>
    </row>
    <row r="1054" hidden="1">
      <c r="A1054" s="82"/>
      <c r="B1054" s="65" t="s">
        <v>750</v>
      </c>
      <c r="C1054" s="65" t="s">
        <v>118</v>
      </c>
      <c r="D1054" s="65"/>
      <c r="E1054" s="65" t="s">
        <v>756</v>
      </c>
      <c r="F1054" s="83">
        <v>0.5416666666666666</v>
      </c>
      <c r="G1054" s="83">
        <v>0.625</v>
      </c>
      <c r="H1054" s="83">
        <v>0.08333333333333333</v>
      </c>
      <c r="I1054" s="84">
        <v>44230.0</v>
      </c>
      <c r="J1054" s="65" t="b">
        <v>0</v>
      </c>
      <c r="K1054" s="65"/>
      <c r="L1054" s="85" t="b">
        <f>IF(VLOOKUP(C1054,Projetos!A:L,12,false)=TRUE,TRUE,FALSE)</f>
        <v>1</v>
      </c>
      <c r="M1054" s="74">
        <v>34.7706987012987</v>
      </c>
      <c r="N1054" s="74">
        <f t="shared" si="1"/>
        <v>0</v>
      </c>
      <c r="O1054" s="74" t="b">
        <v>1</v>
      </c>
    </row>
    <row r="1055" hidden="1">
      <c r="A1055" s="82"/>
      <c r="B1055" s="65" t="s">
        <v>750</v>
      </c>
      <c r="C1055" s="65" t="s">
        <v>126</v>
      </c>
      <c r="D1055" s="65"/>
      <c r="E1055" s="65" t="s">
        <v>755</v>
      </c>
      <c r="F1055" s="83">
        <v>0.375</v>
      </c>
      <c r="G1055" s="83">
        <v>0.5</v>
      </c>
      <c r="H1055" s="83">
        <v>0.125</v>
      </c>
      <c r="I1055" s="84">
        <v>44271.0</v>
      </c>
      <c r="J1055" s="65" t="b">
        <v>0</v>
      </c>
      <c r="K1055" s="65" t="s">
        <v>150</v>
      </c>
      <c r="L1055" s="85" t="b">
        <f>IF(VLOOKUP(C1055,Projetos!A:L,12,false)=TRUE,TRUE,FALSE)</f>
        <v>1</v>
      </c>
      <c r="M1055" s="74">
        <v>34.7706987012987</v>
      </c>
      <c r="N1055" s="74">
        <f t="shared" si="1"/>
        <v>0</v>
      </c>
      <c r="O1055" s="74" t="b">
        <v>1</v>
      </c>
    </row>
    <row r="1056" hidden="1">
      <c r="A1056" s="82"/>
      <c r="B1056" s="65" t="s">
        <v>750</v>
      </c>
      <c r="C1056" s="65" t="s">
        <v>107</v>
      </c>
      <c r="D1056" s="65" t="str">
        <f>vlookup(C1056,'Classificação p pessoal'!F:G,2,false)</f>
        <v>NP</v>
      </c>
      <c r="E1056" s="65" t="s">
        <v>757</v>
      </c>
      <c r="F1056" s="83">
        <v>0.625</v>
      </c>
      <c r="G1056" s="83">
        <v>0.75</v>
      </c>
      <c r="H1056" s="83">
        <v>0.125</v>
      </c>
      <c r="I1056" s="84">
        <v>44231.0</v>
      </c>
      <c r="J1056" s="65" t="b">
        <v>1</v>
      </c>
      <c r="K1056" s="65"/>
      <c r="L1056" s="85" t="b">
        <f>IF(VLOOKUP(C1056,Projetos!A:L,12,false)=TRUE,TRUE,FALSE)</f>
        <v>1</v>
      </c>
      <c r="M1056" s="74">
        <v>34.7706987012987</v>
      </c>
      <c r="N1056" s="74">
        <f t="shared" si="1"/>
        <v>104.3120961</v>
      </c>
      <c r="O1056" s="74" t="b">
        <v>1</v>
      </c>
    </row>
    <row r="1057" hidden="1">
      <c r="A1057" s="82"/>
      <c r="B1057" s="65" t="s">
        <v>750</v>
      </c>
      <c r="C1057" s="65" t="s">
        <v>85</v>
      </c>
      <c r="D1057" s="65" t="str">
        <f>vlookup(C1057,'Classificação p pessoal'!F:G,2,false)</f>
        <v>NP</v>
      </c>
      <c r="E1057" s="65" t="s">
        <v>752</v>
      </c>
      <c r="F1057" s="83">
        <v>0.375</v>
      </c>
      <c r="G1057" s="83">
        <v>0.4583333333333333</v>
      </c>
      <c r="H1057" s="83">
        <v>0.08333333333333333</v>
      </c>
      <c r="I1057" s="84">
        <v>44232.0</v>
      </c>
      <c r="J1057" s="65" t="b">
        <v>1</v>
      </c>
      <c r="K1057" s="65"/>
      <c r="L1057" s="85" t="b">
        <f>IF(VLOOKUP(C1057,Projetos!A:L,12,false)=TRUE,TRUE,FALSE)</f>
        <v>1</v>
      </c>
      <c r="M1057" s="74">
        <v>34.7706987012987</v>
      </c>
      <c r="N1057" s="74">
        <f t="shared" si="1"/>
        <v>69.5413974</v>
      </c>
      <c r="O1057" s="74" t="b">
        <v>1</v>
      </c>
    </row>
    <row r="1058" hidden="1">
      <c r="A1058" s="82"/>
      <c r="B1058" s="65" t="s">
        <v>750</v>
      </c>
      <c r="C1058" s="65" t="s">
        <v>100</v>
      </c>
      <c r="D1058" s="65" t="str">
        <f>vlookup(C1058,'Classificação p pessoal'!F:G,2,false)</f>
        <v>NP</v>
      </c>
      <c r="E1058" s="65" t="s">
        <v>151</v>
      </c>
      <c r="F1058" s="83">
        <v>0.5</v>
      </c>
      <c r="G1058" s="83">
        <v>0.625</v>
      </c>
      <c r="H1058" s="83">
        <v>0.125</v>
      </c>
      <c r="I1058" s="84">
        <v>44232.0</v>
      </c>
      <c r="J1058" s="65" t="b">
        <v>1</v>
      </c>
      <c r="K1058" s="65"/>
      <c r="L1058" s="85" t="b">
        <f>IF(VLOOKUP(C1058,Projetos!A:L,12,false)=TRUE,TRUE,FALSE)</f>
        <v>1</v>
      </c>
      <c r="M1058" s="74">
        <v>34.7706987012987</v>
      </c>
      <c r="N1058" s="74">
        <f t="shared" si="1"/>
        <v>104.3120961</v>
      </c>
      <c r="O1058" s="74" t="b">
        <v>1</v>
      </c>
    </row>
    <row r="1059" hidden="1">
      <c r="A1059" s="82"/>
      <c r="B1059" s="65" t="s">
        <v>750</v>
      </c>
      <c r="C1059" s="65" t="s">
        <v>118</v>
      </c>
      <c r="D1059" s="65"/>
      <c r="E1059" s="65" t="s">
        <v>756</v>
      </c>
      <c r="F1059" s="83">
        <v>0.625</v>
      </c>
      <c r="G1059" s="83">
        <v>0.7083333333333334</v>
      </c>
      <c r="H1059" s="83">
        <v>0.08333333333333333</v>
      </c>
      <c r="I1059" s="84">
        <v>44232.0</v>
      </c>
      <c r="J1059" s="65" t="b">
        <v>0</v>
      </c>
      <c r="K1059" s="65"/>
      <c r="L1059" s="85" t="b">
        <f>IF(VLOOKUP(C1059,Projetos!A:L,12,false)=TRUE,TRUE,FALSE)</f>
        <v>1</v>
      </c>
      <c r="M1059" s="74">
        <v>34.7706987012987</v>
      </c>
      <c r="N1059" s="74">
        <f t="shared" si="1"/>
        <v>0</v>
      </c>
      <c r="O1059" s="74" t="b">
        <v>1</v>
      </c>
    </row>
    <row r="1060" hidden="1">
      <c r="A1060" s="82"/>
      <c r="B1060" s="65" t="s">
        <v>750</v>
      </c>
      <c r="C1060" s="65" t="s">
        <v>100</v>
      </c>
      <c r="D1060" s="65" t="str">
        <f>vlookup(C1060,'Classificação p pessoal'!F:G,2,false)</f>
        <v>NP</v>
      </c>
      <c r="E1060" s="65" t="s">
        <v>151</v>
      </c>
      <c r="F1060" s="83">
        <v>0.4166666666666667</v>
      </c>
      <c r="G1060" s="83">
        <v>0.5</v>
      </c>
      <c r="H1060" s="83">
        <v>0.08333333333333333</v>
      </c>
      <c r="I1060" s="84">
        <v>44235.0</v>
      </c>
      <c r="J1060" s="65" t="b">
        <v>1</v>
      </c>
      <c r="K1060" s="65"/>
      <c r="L1060" s="85" t="b">
        <f>IF(VLOOKUP(C1060,Projetos!A:L,12,false)=TRUE,TRUE,FALSE)</f>
        <v>1</v>
      </c>
      <c r="M1060" s="74">
        <v>34.7706987012987</v>
      </c>
      <c r="N1060" s="74">
        <f t="shared" si="1"/>
        <v>69.5413974</v>
      </c>
      <c r="O1060" s="74" t="b">
        <v>1</v>
      </c>
    </row>
    <row r="1061" hidden="1">
      <c r="A1061" s="82"/>
      <c r="B1061" s="65" t="s">
        <v>750</v>
      </c>
      <c r="C1061" s="65" t="s">
        <v>118</v>
      </c>
      <c r="D1061" s="65"/>
      <c r="E1061" s="65" t="s">
        <v>756</v>
      </c>
      <c r="F1061" s="83">
        <v>0.5833333333333334</v>
      </c>
      <c r="G1061" s="83">
        <v>0.7083333333333334</v>
      </c>
      <c r="H1061" s="83">
        <v>0.125</v>
      </c>
      <c r="I1061" s="84">
        <v>44235.0</v>
      </c>
      <c r="J1061" s="65" t="b">
        <v>0</v>
      </c>
      <c r="K1061" s="65"/>
      <c r="L1061" s="85" t="b">
        <f>IF(VLOOKUP(C1061,Projetos!A:L,12,false)=TRUE,TRUE,FALSE)</f>
        <v>1</v>
      </c>
      <c r="M1061" s="74">
        <v>34.7706987012987</v>
      </c>
      <c r="N1061" s="74">
        <f t="shared" si="1"/>
        <v>0</v>
      </c>
      <c r="O1061" s="74" t="b">
        <v>1</v>
      </c>
    </row>
    <row r="1062" hidden="1">
      <c r="A1062" s="82"/>
      <c r="B1062" s="65" t="s">
        <v>750</v>
      </c>
      <c r="C1062" s="65" t="s">
        <v>118</v>
      </c>
      <c r="D1062" s="65"/>
      <c r="E1062" s="65" t="s">
        <v>756</v>
      </c>
      <c r="F1062" s="83">
        <v>0.5833333333333334</v>
      </c>
      <c r="G1062" s="83">
        <v>0.75</v>
      </c>
      <c r="H1062" s="83">
        <v>0.16666666666666666</v>
      </c>
      <c r="I1062" s="84">
        <v>44236.0</v>
      </c>
      <c r="J1062" s="65" t="b">
        <v>0</v>
      </c>
      <c r="K1062" s="65"/>
      <c r="L1062" s="85" t="b">
        <f>IF(VLOOKUP(C1062,Projetos!A:L,12,false)=TRUE,TRUE,FALSE)</f>
        <v>1</v>
      </c>
      <c r="M1062" s="74">
        <v>34.7706987012987</v>
      </c>
      <c r="N1062" s="74">
        <f t="shared" si="1"/>
        <v>0</v>
      </c>
      <c r="O1062" s="74" t="b">
        <v>1</v>
      </c>
    </row>
    <row r="1063" hidden="1">
      <c r="A1063" s="82"/>
      <c r="B1063" s="65" t="s">
        <v>750</v>
      </c>
      <c r="C1063" s="65" t="s">
        <v>85</v>
      </c>
      <c r="D1063" s="65" t="str">
        <f>vlookup(C1063,'Classificação p pessoal'!F:G,2,false)</f>
        <v>NP</v>
      </c>
      <c r="E1063" s="65" t="s">
        <v>752</v>
      </c>
      <c r="F1063" s="83">
        <v>0.375</v>
      </c>
      <c r="G1063" s="83">
        <v>0.5</v>
      </c>
      <c r="H1063" s="83">
        <v>0.125</v>
      </c>
      <c r="I1063" s="84">
        <v>44236.0</v>
      </c>
      <c r="J1063" s="65" t="b">
        <v>1</v>
      </c>
      <c r="K1063" s="65"/>
      <c r="L1063" s="85" t="b">
        <f>IF(VLOOKUP(C1063,Projetos!A:L,12,false)=TRUE,TRUE,FALSE)</f>
        <v>1</v>
      </c>
      <c r="M1063" s="74">
        <v>34.7706987012987</v>
      </c>
      <c r="N1063" s="74">
        <f t="shared" si="1"/>
        <v>104.3120961</v>
      </c>
      <c r="O1063" s="74" t="b">
        <v>1</v>
      </c>
    </row>
    <row r="1064" hidden="1">
      <c r="A1064" s="82"/>
      <c r="B1064" s="65" t="s">
        <v>750</v>
      </c>
      <c r="C1064" s="65" t="s">
        <v>85</v>
      </c>
      <c r="D1064" s="65" t="str">
        <f>vlookup(C1064,'Classificação p pessoal'!F:G,2,false)</f>
        <v>NP</v>
      </c>
      <c r="E1064" s="65" t="s">
        <v>752</v>
      </c>
      <c r="F1064" s="83">
        <v>0.5</v>
      </c>
      <c r="G1064" s="83">
        <v>0.75</v>
      </c>
      <c r="H1064" s="83">
        <v>0.25</v>
      </c>
      <c r="I1064" s="84">
        <v>44237.0</v>
      </c>
      <c r="J1064" s="65" t="b">
        <v>1</v>
      </c>
      <c r="K1064" s="65"/>
      <c r="L1064" s="85" t="b">
        <f>IF(VLOOKUP(C1064,Projetos!A:L,12,false)=TRUE,TRUE,FALSE)</f>
        <v>1</v>
      </c>
      <c r="M1064" s="74">
        <v>34.7706987012987</v>
      </c>
      <c r="N1064" s="74">
        <f t="shared" si="1"/>
        <v>208.6241922</v>
      </c>
      <c r="O1064" s="74" t="b">
        <v>1</v>
      </c>
    </row>
    <row r="1065" hidden="1">
      <c r="A1065" s="82"/>
      <c r="B1065" s="65" t="s">
        <v>750</v>
      </c>
      <c r="C1065" s="65" t="s">
        <v>85</v>
      </c>
      <c r="D1065" s="65" t="str">
        <f>vlookup(C1065,'Classificação p pessoal'!F:G,2,false)</f>
        <v>NP</v>
      </c>
      <c r="E1065" s="65" t="s">
        <v>752</v>
      </c>
      <c r="F1065" s="83">
        <v>0.5416666666666666</v>
      </c>
      <c r="G1065" s="83">
        <v>0.6666666666666666</v>
      </c>
      <c r="H1065" s="83">
        <v>0.125</v>
      </c>
      <c r="I1065" s="84">
        <v>44238.0</v>
      </c>
      <c r="J1065" s="65" t="b">
        <v>1</v>
      </c>
      <c r="K1065" s="65"/>
      <c r="L1065" s="85" t="b">
        <f>IF(VLOOKUP(C1065,Projetos!A:L,12,false)=TRUE,TRUE,FALSE)</f>
        <v>1</v>
      </c>
      <c r="M1065" s="74">
        <v>34.7706987012987</v>
      </c>
      <c r="N1065" s="74">
        <f t="shared" si="1"/>
        <v>104.3120961</v>
      </c>
      <c r="O1065" s="74" t="b">
        <v>1</v>
      </c>
    </row>
    <row r="1066" hidden="1">
      <c r="A1066" s="82"/>
      <c r="B1066" s="65" t="s">
        <v>750</v>
      </c>
      <c r="C1066" s="65" t="s">
        <v>118</v>
      </c>
      <c r="D1066" s="65"/>
      <c r="E1066" s="65" t="s">
        <v>756</v>
      </c>
      <c r="F1066" s="83">
        <v>0.375</v>
      </c>
      <c r="G1066" s="83">
        <v>0.4583333333333333</v>
      </c>
      <c r="H1066" s="83">
        <v>0.08333333333333333</v>
      </c>
      <c r="I1066" s="84">
        <v>44238.0</v>
      </c>
      <c r="J1066" s="65" t="b">
        <v>0</v>
      </c>
      <c r="K1066" s="65"/>
      <c r="L1066" s="85" t="b">
        <f>IF(VLOOKUP(C1066,Projetos!A:L,12,false)=TRUE,TRUE,FALSE)</f>
        <v>1</v>
      </c>
      <c r="M1066" s="74">
        <v>34.7706987012987</v>
      </c>
      <c r="N1066" s="74">
        <f t="shared" si="1"/>
        <v>0</v>
      </c>
      <c r="O1066" s="74" t="b">
        <v>1</v>
      </c>
    </row>
    <row r="1067" hidden="1">
      <c r="A1067" s="82"/>
      <c r="B1067" s="65" t="s">
        <v>750</v>
      </c>
      <c r="C1067" s="65" t="s">
        <v>126</v>
      </c>
      <c r="D1067" s="65"/>
      <c r="E1067" s="65" t="s">
        <v>755</v>
      </c>
      <c r="F1067" s="83">
        <v>0.5416666666666666</v>
      </c>
      <c r="G1067" s="83">
        <v>0.7083333333333334</v>
      </c>
      <c r="H1067" s="83">
        <v>0.16666666666666666</v>
      </c>
      <c r="I1067" s="84">
        <v>44273.0</v>
      </c>
      <c r="J1067" s="65" t="b">
        <v>0</v>
      </c>
      <c r="K1067" s="65" t="s">
        <v>150</v>
      </c>
      <c r="L1067" s="85" t="b">
        <f>IF(VLOOKUP(C1067,Projetos!A:L,12,false)=TRUE,TRUE,FALSE)</f>
        <v>1</v>
      </c>
      <c r="M1067" s="74">
        <v>34.7706987012987</v>
      </c>
      <c r="N1067" s="74">
        <f t="shared" si="1"/>
        <v>0</v>
      </c>
      <c r="O1067" s="74" t="b">
        <v>1</v>
      </c>
    </row>
    <row r="1068" hidden="1">
      <c r="A1068" s="82"/>
      <c r="B1068" s="65" t="s">
        <v>750</v>
      </c>
      <c r="C1068" s="65" t="s">
        <v>126</v>
      </c>
      <c r="D1068" s="65"/>
      <c r="E1068" s="65" t="s">
        <v>755</v>
      </c>
      <c r="F1068" s="83">
        <v>0.375</v>
      </c>
      <c r="G1068" s="83">
        <v>0.5416666666666666</v>
      </c>
      <c r="H1068" s="83">
        <v>0.16666666666666666</v>
      </c>
      <c r="I1068" s="84">
        <v>44336.0</v>
      </c>
      <c r="J1068" s="65" t="b">
        <v>0</v>
      </c>
      <c r="K1068" s="65" t="s">
        <v>150</v>
      </c>
      <c r="L1068" s="85" t="b">
        <f>IF(VLOOKUP(C1068,Projetos!A:L,12,false)=TRUE,TRUE,FALSE)</f>
        <v>1</v>
      </c>
      <c r="M1068" s="74">
        <v>34.7706987012987</v>
      </c>
      <c r="N1068" s="74">
        <f t="shared" si="1"/>
        <v>0</v>
      </c>
      <c r="O1068" s="74" t="b">
        <v>1</v>
      </c>
    </row>
    <row r="1069" hidden="1">
      <c r="A1069" s="82"/>
      <c r="B1069" s="65" t="s">
        <v>750</v>
      </c>
      <c r="C1069" s="65" t="s">
        <v>118</v>
      </c>
      <c r="D1069" s="65"/>
      <c r="E1069" s="65" t="s">
        <v>756</v>
      </c>
      <c r="F1069" s="83">
        <v>0.5416666666666666</v>
      </c>
      <c r="G1069" s="83">
        <v>0.625</v>
      </c>
      <c r="H1069" s="83">
        <v>0.08333333333333333</v>
      </c>
      <c r="I1069" s="84">
        <v>44244.0</v>
      </c>
      <c r="J1069" s="65" t="b">
        <v>0</v>
      </c>
      <c r="K1069" s="65"/>
      <c r="L1069" s="85" t="b">
        <f>IF(VLOOKUP(C1069,Projetos!A:L,12,false)=TRUE,TRUE,FALSE)</f>
        <v>1</v>
      </c>
      <c r="M1069" s="74">
        <v>34.7706987012987</v>
      </c>
      <c r="N1069" s="74">
        <f t="shared" si="1"/>
        <v>0</v>
      </c>
      <c r="O1069" s="74" t="b">
        <v>1</v>
      </c>
    </row>
    <row r="1070" hidden="1">
      <c r="A1070" s="82"/>
      <c r="B1070" s="65" t="s">
        <v>750</v>
      </c>
      <c r="C1070" s="65" t="s">
        <v>85</v>
      </c>
      <c r="D1070" s="65" t="str">
        <f>vlookup(C1070,'Classificação p pessoal'!F:G,2,false)</f>
        <v>NP</v>
      </c>
      <c r="E1070" s="65" t="s">
        <v>752</v>
      </c>
      <c r="F1070" s="83">
        <v>0.6666666666666666</v>
      </c>
      <c r="G1070" s="83">
        <v>0.75</v>
      </c>
      <c r="H1070" s="83">
        <v>0.08333333333333333</v>
      </c>
      <c r="I1070" s="84">
        <v>44244.0</v>
      </c>
      <c r="J1070" s="65" t="b">
        <v>1</v>
      </c>
      <c r="K1070" s="65"/>
      <c r="L1070" s="85" t="b">
        <f>IF(VLOOKUP(C1070,Projetos!A:L,12,false)=TRUE,TRUE,FALSE)</f>
        <v>1</v>
      </c>
      <c r="M1070" s="74">
        <v>34.7706987012987</v>
      </c>
      <c r="N1070" s="74">
        <f t="shared" si="1"/>
        <v>69.5413974</v>
      </c>
      <c r="O1070" s="74" t="b">
        <v>1</v>
      </c>
    </row>
    <row r="1071" hidden="1">
      <c r="A1071" s="82"/>
      <c r="B1071" s="65" t="s">
        <v>750</v>
      </c>
      <c r="C1071" s="65" t="s">
        <v>85</v>
      </c>
      <c r="D1071" s="65" t="str">
        <f>vlookup(C1071,'Classificação p pessoal'!F:G,2,false)</f>
        <v>NP</v>
      </c>
      <c r="E1071" s="65" t="s">
        <v>752</v>
      </c>
      <c r="F1071" s="83">
        <v>0.5833333333333334</v>
      </c>
      <c r="G1071" s="83">
        <v>0.75</v>
      </c>
      <c r="H1071" s="83">
        <v>0.16666666666666666</v>
      </c>
      <c r="I1071" s="84">
        <v>44245.0</v>
      </c>
      <c r="J1071" s="65" t="b">
        <v>1</v>
      </c>
      <c r="K1071" s="65"/>
      <c r="L1071" s="85" t="b">
        <f>IF(VLOOKUP(C1071,Projetos!A:L,12,false)=TRUE,TRUE,FALSE)</f>
        <v>1</v>
      </c>
      <c r="M1071" s="74">
        <v>34.7706987012987</v>
      </c>
      <c r="N1071" s="74">
        <f t="shared" si="1"/>
        <v>139.0827948</v>
      </c>
      <c r="O1071" s="74" t="b">
        <v>1</v>
      </c>
    </row>
    <row r="1072" hidden="1">
      <c r="A1072" s="82"/>
      <c r="B1072" s="65" t="s">
        <v>750</v>
      </c>
      <c r="C1072" s="65" t="s">
        <v>126</v>
      </c>
      <c r="D1072" s="65"/>
      <c r="E1072" s="65" t="s">
        <v>755</v>
      </c>
      <c r="F1072" s="83">
        <v>0.7083333333333334</v>
      </c>
      <c r="G1072" s="83">
        <v>0.75</v>
      </c>
      <c r="H1072" s="83">
        <v>0.041666666666666664</v>
      </c>
      <c r="I1072" s="84">
        <v>44343.0</v>
      </c>
      <c r="J1072" s="65" t="b">
        <v>0</v>
      </c>
      <c r="K1072" s="65" t="s">
        <v>150</v>
      </c>
      <c r="L1072" s="85" t="b">
        <f>IF(VLOOKUP(C1072,Projetos!A:L,12,false)=TRUE,TRUE,FALSE)</f>
        <v>1</v>
      </c>
      <c r="M1072" s="74">
        <v>34.7706987012987</v>
      </c>
      <c r="N1072" s="74">
        <f t="shared" si="1"/>
        <v>0</v>
      </c>
      <c r="O1072" s="74" t="b">
        <v>1</v>
      </c>
    </row>
    <row r="1073" hidden="1">
      <c r="A1073" s="82"/>
      <c r="B1073" s="65" t="s">
        <v>750</v>
      </c>
      <c r="C1073" s="65" t="s">
        <v>120</v>
      </c>
      <c r="D1073" s="65"/>
      <c r="E1073" s="65" t="s">
        <v>758</v>
      </c>
      <c r="F1073" s="83">
        <v>0.4583333333333333</v>
      </c>
      <c r="G1073" s="83">
        <v>0.5208333333333334</v>
      </c>
      <c r="H1073" s="83">
        <v>0.0625</v>
      </c>
      <c r="I1073" s="84">
        <v>44245.0</v>
      </c>
      <c r="J1073" s="65" t="b">
        <v>0</v>
      </c>
      <c r="K1073" s="65"/>
      <c r="L1073" s="85" t="b">
        <f>IF(VLOOKUP(C1073,Projetos!A:L,12,false)=TRUE,TRUE,FALSE)</f>
        <v>0</v>
      </c>
      <c r="M1073" s="74">
        <v>34.7706987012987</v>
      </c>
      <c r="N1073" s="74">
        <f t="shared" si="1"/>
        <v>0</v>
      </c>
      <c r="O1073" s="74" t="b">
        <v>0</v>
      </c>
    </row>
    <row r="1074" hidden="1">
      <c r="A1074" s="82"/>
      <c r="B1074" s="65" t="s">
        <v>750</v>
      </c>
      <c r="C1074" s="65" t="s">
        <v>107</v>
      </c>
      <c r="D1074" s="65" t="str">
        <f>vlookup(C1074,'Classificação p pessoal'!F:G,2,false)</f>
        <v>NP</v>
      </c>
      <c r="E1074" s="65" t="s">
        <v>757</v>
      </c>
      <c r="F1074" s="83">
        <v>0.6666666666666666</v>
      </c>
      <c r="G1074" s="83">
        <v>0.75</v>
      </c>
      <c r="H1074" s="83">
        <v>0.08333333333333333</v>
      </c>
      <c r="I1074" s="84">
        <v>44230.0</v>
      </c>
      <c r="J1074" s="65" t="b">
        <v>1</v>
      </c>
      <c r="K1074" s="65"/>
      <c r="L1074" s="85" t="b">
        <f>IF(VLOOKUP(C1074,Projetos!A:L,12,false)=TRUE,TRUE,FALSE)</f>
        <v>1</v>
      </c>
      <c r="M1074" s="74">
        <v>34.7706987012987</v>
      </c>
      <c r="N1074" s="74">
        <f t="shared" si="1"/>
        <v>69.5413974</v>
      </c>
      <c r="O1074" s="74" t="b">
        <v>1</v>
      </c>
    </row>
    <row r="1075" hidden="1">
      <c r="A1075" s="82"/>
      <c r="B1075" s="65" t="s">
        <v>750</v>
      </c>
      <c r="C1075" s="65" t="s">
        <v>107</v>
      </c>
      <c r="D1075" s="65" t="str">
        <f>vlookup(C1075,'Classificação p pessoal'!F:G,2,false)</f>
        <v>NP</v>
      </c>
      <c r="E1075" s="65" t="s">
        <v>757</v>
      </c>
      <c r="F1075" s="83">
        <v>0.375</v>
      </c>
      <c r="G1075" s="83">
        <v>0.5416666666666666</v>
      </c>
      <c r="H1075" s="83">
        <v>0.16666666666666666</v>
      </c>
      <c r="I1075" s="84">
        <v>44239.0</v>
      </c>
      <c r="J1075" s="65" t="b">
        <v>1</v>
      </c>
      <c r="K1075" s="65"/>
      <c r="L1075" s="85" t="b">
        <f>IF(VLOOKUP(C1075,Projetos!A:L,12,false)=TRUE,TRUE,FALSE)</f>
        <v>1</v>
      </c>
      <c r="M1075" s="74">
        <v>34.7706987012987</v>
      </c>
      <c r="N1075" s="74">
        <f t="shared" si="1"/>
        <v>139.0827948</v>
      </c>
      <c r="O1075" s="74" t="b">
        <v>1</v>
      </c>
    </row>
    <row r="1076" hidden="1">
      <c r="A1076" s="82"/>
      <c r="B1076" s="65" t="s">
        <v>750</v>
      </c>
      <c r="C1076" s="65" t="s">
        <v>107</v>
      </c>
      <c r="D1076" s="65" t="str">
        <f>vlookup(C1076,'Classificação p pessoal'!F:G,2,false)</f>
        <v>NP</v>
      </c>
      <c r="E1076" s="65" t="s">
        <v>757</v>
      </c>
      <c r="F1076" s="83">
        <v>0.375</v>
      </c>
      <c r="G1076" s="83">
        <v>0.4583333333333333</v>
      </c>
      <c r="H1076" s="83">
        <v>0.08333333333333333</v>
      </c>
      <c r="I1076" s="84">
        <v>44244.0</v>
      </c>
      <c r="J1076" s="65" t="b">
        <v>1</v>
      </c>
      <c r="K1076" s="65"/>
      <c r="L1076" s="85" t="b">
        <f>IF(VLOOKUP(C1076,Projetos!A:L,12,false)=TRUE,TRUE,FALSE)</f>
        <v>1</v>
      </c>
      <c r="M1076" s="74">
        <v>34.7706987012987</v>
      </c>
      <c r="N1076" s="74">
        <f t="shared" si="1"/>
        <v>69.5413974</v>
      </c>
      <c r="O1076" s="74" t="b">
        <v>1</v>
      </c>
    </row>
    <row r="1077" hidden="1">
      <c r="A1077" s="82"/>
      <c r="B1077" s="65" t="s">
        <v>750</v>
      </c>
      <c r="C1077" s="65" t="s">
        <v>107</v>
      </c>
      <c r="D1077" s="65" t="str">
        <f>vlookup(C1077,'Classificação p pessoal'!F:G,2,false)</f>
        <v>NP</v>
      </c>
      <c r="E1077" s="65" t="s">
        <v>757</v>
      </c>
      <c r="F1077" s="83">
        <v>0.375</v>
      </c>
      <c r="G1077" s="83">
        <v>0.4583333333333333</v>
      </c>
      <c r="H1077" s="83">
        <v>0.08333333333333333</v>
      </c>
      <c r="I1077" s="84">
        <v>44245.0</v>
      </c>
      <c r="J1077" s="65" t="b">
        <v>1</v>
      </c>
      <c r="K1077" s="65"/>
      <c r="L1077" s="85" t="b">
        <f>IF(VLOOKUP(C1077,Projetos!A:L,12,false)=TRUE,TRUE,FALSE)</f>
        <v>1</v>
      </c>
      <c r="M1077" s="74">
        <v>34.7706987012987</v>
      </c>
      <c r="N1077" s="74">
        <f t="shared" si="1"/>
        <v>69.5413974</v>
      </c>
      <c r="O1077" s="74" t="b">
        <v>1</v>
      </c>
    </row>
    <row r="1078" hidden="1">
      <c r="A1078" s="82"/>
      <c r="B1078" s="65" t="s">
        <v>750</v>
      </c>
      <c r="C1078" s="65" t="s">
        <v>107</v>
      </c>
      <c r="D1078" s="65" t="str">
        <f>vlookup(C1078,'Classificação p pessoal'!F:G,2,false)</f>
        <v>NP</v>
      </c>
      <c r="E1078" s="65" t="s">
        <v>757</v>
      </c>
      <c r="F1078" s="83">
        <v>0.5</v>
      </c>
      <c r="G1078" s="83">
        <v>0.625</v>
      </c>
      <c r="H1078" s="83">
        <v>0.125</v>
      </c>
      <c r="I1078" s="84">
        <v>44246.0</v>
      </c>
      <c r="J1078" s="65" t="b">
        <v>1</v>
      </c>
      <c r="K1078" s="65"/>
      <c r="L1078" s="85" t="b">
        <f>IF(VLOOKUP(C1078,Projetos!A:L,12,false)=TRUE,TRUE,FALSE)</f>
        <v>1</v>
      </c>
      <c r="M1078" s="74">
        <v>34.7706987012987</v>
      </c>
      <c r="N1078" s="74">
        <f t="shared" si="1"/>
        <v>104.3120961</v>
      </c>
      <c r="O1078" s="74" t="b">
        <v>1</v>
      </c>
    </row>
    <row r="1079" hidden="1">
      <c r="A1079" s="82"/>
      <c r="B1079" s="65" t="s">
        <v>750</v>
      </c>
      <c r="C1079" s="65" t="s">
        <v>107</v>
      </c>
      <c r="D1079" s="65" t="str">
        <f>vlookup(C1079,'Classificação p pessoal'!F:G,2,false)</f>
        <v>NP</v>
      </c>
      <c r="E1079" s="65" t="s">
        <v>757</v>
      </c>
      <c r="F1079" s="83">
        <v>0.4166666666666667</v>
      </c>
      <c r="G1079" s="83">
        <v>0.5</v>
      </c>
      <c r="H1079" s="83">
        <v>0.08333333333333333</v>
      </c>
      <c r="I1079" s="84">
        <v>44249.0</v>
      </c>
      <c r="J1079" s="65" t="b">
        <v>1</v>
      </c>
      <c r="K1079" s="65"/>
      <c r="L1079" s="85" t="b">
        <f>IF(VLOOKUP(C1079,Projetos!A:L,12,false)=TRUE,TRUE,FALSE)</f>
        <v>1</v>
      </c>
      <c r="M1079" s="74">
        <v>34.7706987012987</v>
      </c>
      <c r="N1079" s="74">
        <f t="shared" si="1"/>
        <v>69.5413974</v>
      </c>
      <c r="O1079" s="74" t="b">
        <v>1</v>
      </c>
    </row>
    <row r="1080" hidden="1">
      <c r="A1080" s="82"/>
      <c r="B1080" s="65" t="s">
        <v>750</v>
      </c>
      <c r="C1080" s="65" t="s">
        <v>107</v>
      </c>
      <c r="D1080" s="65" t="str">
        <f>vlookup(C1080,'Classificação p pessoal'!F:G,2,false)</f>
        <v>NP</v>
      </c>
      <c r="E1080" s="65" t="s">
        <v>757</v>
      </c>
      <c r="F1080" s="83">
        <v>0.5833333333333334</v>
      </c>
      <c r="G1080" s="83">
        <v>0.75</v>
      </c>
      <c r="H1080" s="83">
        <v>0.16666666666666666</v>
      </c>
      <c r="I1080" s="84">
        <v>44250.0</v>
      </c>
      <c r="J1080" s="65" t="b">
        <v>1</v>
      </c>
      <c r="K1080" s="65"/>
      <c r="L1080" s="85" t="b">
        <f>IF(VLOOKUP(C1080,Projetos!A:L,12,false)=TRUE,TRUE,FALSE)</f>
        <v>1</v>
      </c>
      <c r="M1080" s="74">
        <v>34.7706987012987</v>
      </c>
      <c r="N1080" s="74">
        <f t="shared" si="1"/>
        <v>139.0827948</v>
      </c>
      <c r="O1080" s="74" t="b">
        <v>1</v>
      </c>
    </row>
    <row r="1081" hidden="1">
      <c r="A1081" s="82"/>
      <c r="B1081" s="65" t="s">
        <v>750</v>
      </c>
      <c r="C1081" s="65" t="s">
        <v>107</v>
      </c>
      <c r="D1081" s="65" t="str">
        <f>vlookup(C1081,'Classificação p pessoal'!F:G,2,false)</f>
        <v>NP</v>
      </c>
      <c r="E1081" s="65" t="s">
        <v>757</v>
      </c>
      <c r="F1081" s="83">
        <v>0.5416666666666666</v>
      </c>
      <c r="G1081" s="83">
        <v>0.7083333333333334</v>
      </c>
      <c r="H1081" s="83">
        <v>0.16666666666666666</v>
      </c>
      <c r="I1081" s="84">
        <v>44251.0</v>
      </c>
      <c r="J1081" s="65" t="b">
        <v>1</v>
      </c>
      <c r="K1081" s="65"/>
      <c r="L1081" s="85" t="b">
        <f>IF(VLOOKUP(C1081,Projetos!A:L,12,false)=TRUE,TRUE,FALSE)</f>
        <v>1</v>
      </c>
      <c r="M1081" s="74">
        <v>34.7706987012987</v>
      </c>
      <c r="N1081" s="74">
        <f t="shared" si="1"/>
        <v>139.0827948</v>
      </c>
      <c r="O1081" s="74" t="b">
        <v>1</v>
      </c>
    </row>
    <row r="1082" hidden="1">
      <c r="A1082" s="82"/>
      <c r="B1082" s="65" t="s">
        <v>750</v>
      </c>
      <c r="C1082" s="65" t="s">
        <v>118</v>
      </c>
      <c r="D1082" s="65"/>
      <c r="E1082" s="65" t="s">
        <v>756</v>
      </c>
      <c r="F1082" s="83">
        <v>0.625</v>
      </c>
      <c r="G1082" s="83">
        <v>0.7083333333333334</v>
      </c>
      <c r="H1082" s="83">
        <v>0.08333333333333333</v>
      </c>
      <c r="I1082" s="84">
        <v>44258.0</v>
      </c>
      <c r="J1082" s="65" t="b">
        <v>0</v>
      </c>
      <c r="K1082" s="65" t="s">
        <v>150</v>
      </c>
      <c r="L1082" s="85" t="b">
        <f>IF(VLOOKUP(C1082,Projetos!A:L,12,false)=TRUE,TRUE,FALSE)</f>
        <v>1</v>
      </c>
      <c r="M1082" s="74">
        <v>34.7706987012987</v>
      </c>
      <c r="N1082" s="74">
        <f t="shared" si="1"/>
        <v>0</v>
      </c>
      <c r="O1082" s="74" t="b">
        <v>1</v>
      </c>
    </row>
    <row r="1083" hidden="1">
      <c r="A1083" s="82"/>
      <c r="B1083" s="65" t="s">
        <v>750</v>
      </c>
      <c r="C1083" s="65" t="s">
        <v>107</v>
      </c>
      <c r="D1083" s="65" t="str">
        <f>vlookup(C1083,'Classificação p pessoal'!F:G,2,false)</f>
        <v>NP</v>
      </c>
      <c r="E1083" s="65" t="s">
        <v>757</v>
      </c>
      <c r="F1083" s="83">
        <v>0.4166666666666667</v>
      </c>
      <c r="G1083" s="83">
        <v>0.5416666666666666</v>
      </c>
      <c r="H1083" s="83">
        <v>0.125</v>
      </c>
      <c r="I1083" s="84">
        <v>44252.0</v>
      </c>
      <c r="J1083" s="65" t="b">
        <v>1</v>
      </c>
      <c r="K1083" s="65"/>
      <c r="L1083" s="85" t="b">
        <f>IF(VLOOKUP(C1083,Projetos!A:L,12,false)=TRUE,TRUE,FALSE)</f>
        <v>1</v>
      </c>
      <c r="M1083" s="74">
        <v>34.7706987012987</v>
      </c>
      <c r="N1083" s="74">
        <f t="shared" si="1"/>
        <v>104.3120961</v>
      </c>
      <c r="O1083" s="74" t="b">
        <v>1</v>
      </c>
    </row>
    <row r="1084" hidden="1">
      <c r="A1084" s="82"/>
      <c r="B1084" s="65" t="s">
        <v>750</v>
      </c>
      <c r="C1084" s="65" t="s">
        <v>118</v>
      </c>
      <c r="D1084" s="65"/>
      <c r="E1084" s="65" t="s">
        <v>756</v>
      </c>
      <c r="F1084" s="83">
        <v>0.375</v>
      </c>
      <c r="G1084" s="83">
        <v>0.5416666666666666</v>
      </c>
      <c r="H1084" s="83">
        <v>0.16666666666666666</v>
      </c>
      <c r="I1084" s="84">
        <v>44260.0</v>
      </c>
      <c r="J1084" s="65" t="b">
        <v>0</v>
      </c>
      <c r="K1084" s="65" t="s">
        <v>150</v>
      </c>
      <c r="L1084" s="85" t="b">
        <f>IF(VLOOKUP(C1084,Projetos!A:L,12,false)=TRUE,TRUE,FALSE)</f>
        <v>1</v>
      </c>
      <c r="M1084" s="74">
        <v>34.7706987012987</v>
      </c>
      <c r="N1084" s="74">
        <f t="shared" si="1"/>
        <v>0</v>
      </c>
      <c r="O1084" s="74" t="b">
        <v>1</v>
      </c>
    </row>
    <row r="1085" hidden="1">
      <c r="A1085" s="82"/>
      <c r="B1085" s="65" t="s">
        <v>750</v>
      </c>
      <c r="C1085" s="65" t="s">
        <v>107</v>
      </c>
      <c r="D1085" s="65" t="str">
        <f>vlookup(C1085,'Classificação p pessoal'!F:G,2,false)</f>
        <v>NP</v>
      </c>
      <c r="E1085" s="65" t="s">
        <v>757</v>
      </c>
      <c r="F1085" s="83">
        <v>0.625</v>
      </c>
      <c r="G1085" s="83">
        <v>0.75</v>
      </c>
      <c r="H1085" s="83">
        <v>0.125</v>
      </c>
      <c r="I1085" s="84">
        <v>44256.0</v>
      </c>
      <c r="J1085" s="65" t="b">
        <v>1</v>
      </c>
      <c r="K1085" s="65"/>
      <c r="L1085" s="85" t="b">
        <f>IF(VLOOKUP(C1085,Projetos!A:L,12,false)=TRUE,TRUE,FALSE)</f>
        <v>1</v>
      </c>
      <c r="M1085" s="74">
        <v>34.7706987012987</v>
      </c>
      <c r="N1085" s="74">
        <f t="shared" si="1"/>
        <v>104.3120961</v>
      </c>
      <c r="O1085" s="74" t="b">
        <v>1</v>
      </c>
    </row>
    <row r="1086" hidden="1">
      <c r="A1086" s="82"/>
      <c r="B1086" s="65" t="s">
        <v>750</v>
      </c>
      <c r="C1086" s="65" t="s">
        <v>107</v>
      </c>
      <c r="D1086" s="65" t="str">
        <f>vlookup(C1086,'Classificação p pessoal'!F:G,2,false)</f>
        <v>NP</v>
      </c>
      <c r="E1086" s="65" t="s">
        <v>757</v>
      </c>
      <c r="F1086" s="83">
        <v>0.4166666666666667</v>
      </c>
      <c r="G1086" s="83">
        <v>0.5416666666666666</v>
      </c>
      <c r="H1086" s="83">
        <v>0.125</v>
      </c>
      <c r="I1086" s="84">
        <v>44257.0</v>
      </c>
      <c r="J1086" s="65" t="b">
        <v>1</v>
      </c>
      <c r="K1086" s="65"/>
      <c r="L1086" s="85" t="b">
        <f>IF(VLOOKUP(C1086,Projetos!A:L,12,false)=TRUE,TRUE,FALSE)</f>
        <v>1</v>
      </c>
      <c r="M1086" s="74">
        <v>34.7706987012987</v>
      </c>
      <c r="N1086" s="74">
        <f t="shared" si="1"/>
        <v>104.3120961</v>
      </c>
      <c r="O1086" s="74" t="b">
        <v>1</v>
      </c>
    </row>
    <row r="1087" hidden="1">
      <c r="A1087" s="82"/>
      <c r="B1087" s="65" t="s">
        <v>750</v>
      </c>
      <c r="C1087" s="65" t="s">
        <v>107</v>
      </c>
      <c r="D1087" s="65" t="str">
        <f>vlookup(C1087,'Classificação p pessoal'!F:G,2,false)</f>
        <v>NP</v>
      </c>
      <c r="E1087" s="65" t="s">
        <v>757</v>
      </c>
      <c r="F1087" s="83">
        <v>0.375</v>
      </c>
      <c r="G1087" s="83">
        <v>0.4583333333333333</v>
      </c>
      <c r="H1087" s="83">
        <v>0.08333333333333333</v>
      </c>
      <c r="I1087" s="84">
        <v>44258.0</v>
      </c>
      <c r="J1087" s="65" t="b">
        <v>1</v>
      </c>
      <c r="K1087" s="65"/>
      <c r="L1087" s="85" t="b">
        <f>IF(VLOOKUP(C1087,Projetos!A:L,12,false)=TRUE,TRUE,FALSE)</f>
        <v>1</v>
      </c>
      <c r="M1087" s="74">
        <v>34.7706987012987</v>
      </c>
      <c r="N1087" s="74">
        <f t="shared" si="1"/>
        <v>69.5413974</v>
      </c>
      <c r="O1087" s="74" t="b">
        <v>1</v>
      </c>
    </row>
    <row r="1088" hidden="1">
      <c r="A1088" s="82"/>
      <c r="B1088" s="65" t="s">
        <v>750</v>
      </c>
      <c r="C1088" s="65" t="s">
        <v>118</v>
      </c>
      <c r="D1088" s="65"/>
      <c r="E1088" s="65" t="s">
        <v>756</v>
      </c>
      <c r="F1088" s="83">
        <v>0.4166666666666667</v>
      </c>
      <c r="G1088" s="83">
        <v>0.5416666666666666</v>
      </c>
      <c r="H1088" s="83">
        <v>0.125</v>
      </c>
      <c r="I1088" s="84">
        <v>44265.0</v>
      </c>
      <c r="J1088" s="65" t="b">
        <v>0</v>
      </c>
      <c r="K1088" s="65" t="s">
        <v>150</v>
      </c>
      <c r="L1088" s="85" t="b">
        <f>IF(VLOOKUP(C1088,Projetos!A:L,12,false)=TRUE,TRUE,FALSE)</f>
        <v>1</v>
      </c>
      <c r="M1088" s="74">
        <v>34.7706987012987</v>
      </c>
      <c r="N1088" s="74">
        <f t="shared" si="1"/>
        <v>0</v>
      </c>
      <c r="O1088" s="74" t="b">
        <v>1</v>
      </c>
    </row>
    <row r="1089" hidden="1">
      <c r="A1089" s="82"/>
      <c r="B1089" s="65" t="s">
        <v>750</v>
      </c>
      <c r="C1089" s="65" t="s">
        <v>107</v>
      </c>
      <c r="D1089" s="65" t="str">
        <f>vlookup(C1089,'Classificação p pessoal'!F:G,2,false)</f>
        <v>NP</v>
      </c>
      <c r="E1089" s="65" t="s">
        <v>757</v>
      </c>
      <c r="F1089" s="83">
        <v>0.6666666666666666</v>
      </c>
      <c r="G1089" s="83">
        <v>0.75</v>
      </c>
      <c r="H1089" s="83">
        <v>0.08333333333333333</v>
      </c>
      <c r="I1089" s="84">
        <v>44259.0</v>
      </c>
      <c r="J1089" s="65" t="b">
        <v>1</v>
      </c>
      <c r="K1089" s="65"/>
      <c r="L1089" s="85" t="b">
        <f>IF(VLOOKUP(C1089,Projetos!A:L,12,false)=TRUE,TRUE,FALSE)</f>
        <v>1</v>
      </c>
      <c r="M1089" s="74">
        <v>34.7706987012987</v>
      </c>
      <c r="N1089" s="74">
        <f t="shared" si="1"/>
        <v>69.5413974</v>
      </c>
      <c r="O1089" s="74" t="b">
        <v>1</v>
      </c>
    </row>
    <row r="1090" hidden="1">
      <c r="A1090" s="82"/>
      <c r="B1090" s="65" t="s">
        <v>750</v>
      </c>
      <c r="C1090" s="65" t="s">
        <v>107</v>
      </c>
      <c r="D1090" s="65" t="str">
        <f>vlookup(C1090,'Classificação p pessoal'!F:G,2,false)</f>
        <v>NP</v>
      </c>
      <c r="E1090" s="65" t="s">
        <v>757</v>
      </c>
      <c r="F1090" s="83">
        <v>0.625</v>
      </c>
      <c r="G1090" s="83">
        <v>0.75</v>
      </c>
      <c r="H1090" s="83">
        <v>0.125</v>
      </c>
      <c r="I1090" s="84">
        <v>44260.0</v>
      </c>
      <c r="J1090" s="65" t="b">
        <v>1</v>
      </c>
      <c r="K1090" s="65"/>
      <c r="L1090" s="85" t="b">
        <f>IF(VLOOKUP(C1090,Projetos!A:L,12,false)=TRUE,TRUE,FALSE)</f>
        <v>1</v>
      </c>
      <c r="M1090" s="74">
        <v>34.7706987012987</v>
      </c>
      <c r="N1090" s="74">
        <f t="shared" si="1"/>
        <v>104.3120961</v>
      </c>
      <c r="O1090" s="74" t="b">
        <v>1</v>
      </c>
    </row>
    <row r="1091" hidden="1">
      <c r="A1091" s="82"/>
      <c r="B1091" s="65" t="s">
        <v>750</v>
      </c>
      <c r="C1091" s="65" t="s">
        <v>118</v>
      </c>
      <c r="D1091" s="65"/>
      <c r="E1091" s="65" t="s">
        <v>756</v>
      </c>
      <c r="F1091" s="83">
        <v>0.5833333333333334</v>
      </c>
      <c r="G1091" s="83">
        <v>0.6666666666666666</v>
      </c>
      <c r="H1091" s="83">
        <v>0.08333333333333333</v>
      </c>
      <c r="I1091" s="84">
        <v>44266.0</v>
      </c>
      <c r="J1091" s="65" t="b">
        <v>0</v>
      </c>
      <c r="K1091" s="65" t="s">
        <v>150</v>
      </c>
      <c r="L1091" s="85" t="b">
        <f>IF(VLOOKUP(C1091,Projetos!A:L,12,false)=TRUE,TRUE,FALSE)</f>
        <v>1</v>
      </c>
      <c r="M1091" s="74">
        <v>34.7706987012987</v>
      </c>
      <c r="N1091" s="74">
        <f t="shared" si="1"/>
        <v>0</v>
      </c>
      <c r="O1091" s="74" t="b">
        <v>1</v>
      </c>
    </row>
    <row r="1092" hidden="1">
      <c r="A1092" s="82"/>
      <c r="B1092" s="65" t="s">
        <v>750</v>
      </c>
      <c r="C1092" s="65" t="s">
        <v>118</v>
      </c>
      <c r="D1092" s="65"/>
      <c r="E1092" s="65" t="s">
        <v>756</v>
      </c>
      <c r="F1092" s="83">
        <v>0.5416666666666666</v>
      </c>
      <c r="G1092" s="83">
        <v>0.7083333333333334</v>
      </c>
      <c r="H1092" s="83">
        <v>0.16666666666666666</v>
      </c>
      <c r="I1092" s="84">
        <v>44267.0</v>
      </c>
      <c r="J1092" s="65" t="b">
        <v>0</v>
      </c>
      <c r="K1092" s="65" t="s">
        <v>150</v>
      </c>
      <c r="L1092" s="85" t="b">
        <f>IF(VLOOKUP(C1092,Projetos!A:L,12,false)=TRUE,TRUE,FALSE)</f>
        <v>1</v>
      </c>
      <c r="M1092" s="74">
        <v>34.7706987012987</v>
      </c>
      <c r="N1092" s="74">
        <f t="shared" si="1"/>
        <v>0</v>
      </c>
      <c r="O1092" s="74" t="b">
        <v>1</v>
      </c>
    </row>
    <row r="1093" hidden="1">
      <c r="A1093" s="82"/>
      <c r="B1093" s="65" t="s">
        <v>750</v>
      </c>
      <c r="C1093" s="65" t="s">
        <v>118</v>
      </c>
      <c r="D1093" s="65"/>
      <c r="E1093" s="65" t="s">
        <v>756</v>
      </c>
      <c r="F1093" s="83">
        <v>0.4166666666666667</v>
      </c>
      <c r="G1093" s="83">
        <v>0.5</v>
      </c>
      <c r="H1093" s="83">
        <v>0.08333333333333333</v>
      </c>
      <c r="I1093" s="84">
        <v>44270.0</v>
      </c>
      <c r="J1093" s="65" t="b">
        <v>0</v>
      </c>
      <c r="K1093" s="65" t="s">
        <v>150</v>
      </c>
      <c r="L1093" s="85" t="b">
        <f>IF(VLOOKUP(C1093,Projetos!A:L,12,false)=TRUE,TRUE,FALSE)</f>
        <v>1</v>
      </c>
      <c r="M1093" s="74">
        <v>34.7706987012987</v>
      </c>
      <c r="N1093" s="74">
        <f t="shared" si="1"/>
        <v>0</v>
      </c>
      <c r="O1093" s="74" t="b">
        <v>1</v>
      </c>
    </row>
    <row r="1094" hidden="1">
      <c r="A1094" s="82"/>
      <c r="B1094" s="65" t="s">
        <v>750</v>
      </c>
      <c r="C1094" s="65" t="s">
        <v>107</v>
      </c>
      <c r="D1094" s="65" t="str">
        <f>vlookup(C1094,'Classificação p pessoal'!F:G,2,false)</f>
        <v>NP</v>
      </c>
      <c r="E1094" s="65" t="s">
        <v>757</v>
      </c>
      <c r="F1094" s="83">
        <v>0.4166666666666667</v>
      </c>
      <c r="G1094" s="83">
        <v>0.5</v>
      </c>
      <c r="H1094" s="83">
        <v>0.08333333333333333</v>
      </c>
      <c r="I1094" s="84">
        <v>44263.0</v>
      </c>
      <c r="J1094" s="65" t="b">
        <v>1</v>
      </c>
      <c r="K1094" s="65"/>
      <c r="L1094" s="85" t="b">
        <f>IF(VLOOKUP(C1094,Projetos!A:L,12,false)=TRUE,TRUE,FALSE)</f>
        <v>1</v>
      </c>
      <c r="M1094" s="74">
        <v>34.7706987012987</v>
      </c>
      <c r="N1094" s="74">
        <f t="shared" si="1"/>
        <v>69.5413974</v>
      </c>
      <c r="O1094" s="74" t="b">
        <v>1</v>
      </c>
    </row>
    <row r="1095" hidden="1">
      <c r="A1095" s="82"/>
      <c r="B1095" s="65" t="s">
        <v>750</v>
      </c>
      <c r="C1095" s="65" t="s">
        <v>107</v>
      </c>
      <c r="D1095" s="65" t="str">
        <f>vlookup(C1095,'Classificação p pessoal'!F:G,2,false)</f>
        <v>NP</v>
      </c>
      <c r="E1095" s="65" t="s">
        <v>757</v>
      </c>
      <c r="F1095" s="83">
        <v>0.5416666666666666</v>
      </c>
      <c r="G1095" s="83">
        <v>0.7083333333333334</v>
      </c>
      <c r="H1095" s="83">
        <v>0.16666666666666666</v>
      </c>
      <c r="I1095" s="84">
        <v>44264.0</v>
      </c>
      <c r="J1095" s="65" t="b">
        <v>1</v>
      </c>
      <c r="K1095" s="65"/>
      <c r="L1095" s="85" t="b">
        <f>IF(VLOOKUP(C1095,Projetos!A:L,12,false)=TRUE,TRUE,FALSE)</f>
        <v>1</v>
      </c>
      <c r="M1095" s="74">
        <v>34.7706987012987</v>
      </c>
      <c r="N1095" s="74">
        <f t="shared" si="1"/>
        <v>139.0827948</v>
      </c>
      <c r="O1095" s="74" t="b">
        <v>1</v>
      </c>
    </row>
    <row r="1096" hidden="1">
      <c r="A1096" s="82"/>
      <c r="B1096" s="65" t="s">
        <v>750</v>
      </c>
      <c r="C1096" s="65" t="s">
        <v>107</v>
      </c>
      <c r="D1096" s="65" t="str">
        <f>vlookup(C1096,'Classificação p pessoal'!F:G,2,false)</f>
        <v>NP</v>
      </c>
      <c r="E1096" s="65" t="s">
        <v>757</v>
      </c>
      <c r="F1096" s="83">
        <v>0.6666666666666666</v>
      </c>
      <c r="G1096" s="83">
        <v>0.7083333333333334</v>
      </c>
      <c r="H1096" s="83">
        <v>0.041666666666666664</v>
      </c>
      <c r="I1096" s="84">
        <v>44265.0</v>
      </c>
      <c r="J1096" s="65" t="b">
        <v>1</v>
      </c>
      <c r="K1096" s="65"/>
      <c r="L1096" s="85" t="b">
        <f>IF(VLOOKUP(C1096,Projetos!A:L,12,false)=TRUE,TRUE,FALSE)</f>
        <v>1</v>
      </c>
      <c r="M1096" s="74">
        <v>34.7706987012987</v>
      </c>
      <c r="N1096" s="74">
        <f t="shared" si="1"/>
        <v>34.7706987</v>
      </c>
      <c r="O1096" s="74" t="b">
        <v>1</v>
      </c>
    </row>
    <row r="1097" hidden="1">
      <c r="A1097" s="82"/>
      <c r="B1097" s="65" t="s">
        <v>750</v>
      </c>
      <c r="C1097" s="65" t="s">
        <v>85</v>
      </c>
      <c r="D1097" s="65" t="str">
        <f>vlookup(C1097,'Classificação p pessoal'!F:G,2,false)</f>
        <v>NP</v>
      </c>
      <c r="E1097" s="65" t="s">
        <v>752</v>
      </c>
      <c r="F1097" s="83">
        <v>0.5833333333333334</v>
      </c>
      <c r="G1097" s="83">
        <v>0.7083333333333334</v>
      </c>
      <c r="H1097" s="83">
        <v>0.125</v>
      </c>
      <c r="I1097" s="84">
        <v>44271.0</v>
      </c>
      <c r="J1097" s="65" t="b">
        <v>1</v>
      </c>
      <c r="K1097" s="65"/>
      <c r="L1097" s="85" t="b">
        <f>IF(VLOOKUP(C1097,Projetos!A:L,12,false)=TRUE,TRUE,FALSE)</f>
        <v>1</v>
      </c>
      <c r="M1097" s="74">
        <v>34.7706987012987</v>
      </c>
      <c r="N1097" s="74">
        <f t="shared" si="1"/>
        <v>104.3120961</v>
      </c>
      <c r="O1097" s="74" t="b">
        <v>1</v>
      </c>
    </row>
    <row r="1098" hidden="1">
      <c r="A1098" s="82"/>
      <c r="B1098" s="65" t="s">
        <v>750</v>
      </c>
      <c r="C1098" s="65" t="s">
        <v>100</v>
      </c>
      <c r="D1098" s="65" t="str">
        <f>vlookup(C1098,'Classificação p pessoal'!F:G,2,false)</f>
        <v>NP</v>
      </c>
      <c r="E1098" s="65" t="s">
        <v>151</v>
      </c>
      <c r="F1098" s="83">
        <v>0.4166666666666667</v>
      </c>
      <c r="G1098" s="83">
        <v>0.4583333333333333</v>
      </c>
      <c r="H1098" s="83">
        <v>0.041666666666666664</v>
      </c>
      <c r="I1098" s="84">
        <v>44272.0</v>
      </c>
      <c r="J1098" s="65" t="b">
        <v>1</v>
      </c>
      <c r="K1098" s="65"/>
      <c r="L1098" s="85" t="b">
        <f>IF(VLOOKUP(C1098,Projetos!A:L,12,false)=TRUE,TRUE,FALSE)</f>
        <v>1</v>
      </c>
      <c r="M1098" s="74">
        <v>34.7706987012987</v>
      </c>
      <c r="N1098" s="74">
        <f t="shared" si="1"/>
        <v>34.7706987</v>
      </c>
      <c r="O1098" s="74" t="b">
        <v>1</v>
      </c>
    </row>
    <row r="1099" hidden="1">
      <c r="A1099" s="82"/>
      <c r="B1099" s="65" t="s">
        <v>750</v>
      </c>
      <c r="C1099" s="65" t="s">
        <v>85</v>
      </c>
      <c r="D1099" s="65" t="str">
        <f>vlookup(C1099,'Classificação p pessoal'!F:G,2,false)</f>
        <v>NP</v>
      </c>
      <c r="E1099" s="65" t="s">
        <v>752</v>
      </c>
      <c r="F1099" s="83">
        <v>0.5416666666666666</v>
      </c>
      <c r="G1099" s="83">
        <v>0.6666666666666666</v>
      </c>
      <c r="H1099" s="83">
        <v>0.125</v>
      </c>
      <c r="I1099" s="84">
        <v>44272.0</v>
      </c>
      <c r="J1099" s="65" t="b">
        <v>1</v>
      </c>
      <c r="K1099" s="65"/>
      <c r="L1099" s="85" t="b">
        <f>IF(VLOOKUP(C1099,Projetos!A:L,12,false)=TRUE,TRUE,FALSE)</f>
        <v>1</v>
      </c>
      <c r="M1099" s="74">
        <v>34.7706987012987</v>
      </c>
      <c r="N1099" s="74">
        <f t="shared" si="1"/>
        <v>104.3120961</v>
      </c>
      <c r="O1099" s="74" t="b">
        <v>1</v>
      </c>
    </row>
    <row r="1100" hidden="1">
      <c r="A1100" s="82"/>
      <c r="B1100" s="65" t="s">
        <v>750</v>
      </c>
      <c r="C1100" s="65" t="s">
        <v>107</v>
      </c>
      <c r="D1100" s="65" t="str">
        <f>vlookup(C1100,'Classificação p pessoal'!F:G,2,false)</f>
        <v>NP</v>
      </c>
      <c r="E1100" s="65" t="s">
        <v>757</v>
      </c>
      <c r="F1100" s="83">
        <v>0.375</v>
      </c>
      <c r="G1100" s="83">
        <v>0.5</v>
      </c>
      <c r="H1100" s="83">
        <v>0.125</v>
      </c>
      <c r="I1100" s="84">
        <v>44266.0</v>
      </c>
      <c r="J1100" s="65" t="b">
        <v>1</v>
      </c>
      <c r="K1100" s="65"/>
      <c r="L1100" s="85" t="b">
        <f>IF(VLOOKUP(C1100,Projetos!A:L,12,false)=TRUE,TRUE,FALSE)</f>
        <v>1</v>
      </c>
      <c r="M1100" s="74">
        <v>34.7706987012987</v>
      </c>
      <c r="N1100" s="74">
        <f t="shared" si="1"/>
        <v>104.3120961</v>
      </c>
      <c r="O1100" s="74" t="b">
        <v>1</v>
      </c>
    </row>
    <row r="1101" hidden="1">
      <c r="A1101" s="82"/>
      <c r="B1101" s="65" t="s">
        <v>750</v>
      </c>
      <c r="C1101" s="65" t="s">
        <v>100</v>
      </c>
      <c r="D1101" s="65" t="str">
        <f>vlookup(C1101,'Classificação p pessoal'!F:G,2,false)</f>
        <v>NP</v>
      </c>
      <c r="E1101" s="65" t="s">
        <v>151</v>
      </c>
      <c r="F1101" s="83">
        <v>0.375</v>
      </c>
      <c r="G1101" s="83">
        <v>0.5</v>
      </c>
      <c r="H1101" s="83">
        <v>0.125</v>
      </c>
      <c r="I1101" s="84">
        <v>44273.0</v>
      </c>
      <c r="J1101" s="65" t="b">
        <v>1</v>
      </c>
      <c r="K1101" s="65"/>
      <c r="L1101" s="85" t="b">
        <f>IF(VLOOKUP(C1101,Projetos!A:L,12,false)=TRUE,TRUE,FALSE)</f>
        <v>1</v>
      </c>
      <c r="M1101" s="74">
        <v>34.7706987012987</v>
      </c>
      <c r="N1101" s="74">
        <f t="shared" si="1"/>
        <v>104.3120961</v>
      </c>
      <c r="O1101" s="74" t="b">
        <v>1</v>
      </c>
    </row>
    <row r="1102" hidden="1">
      <c r="A1102" s="82"/>
      <c r="B1102" s="65" t="s">
        <v>750</v>
      </c>
      <c r="C1102" s="65" t="s">
        <v>107</v>
      </c>
      <c r="D1102" s="65" t="str">
        <f>vlookup(C1102,'Classificação p pessoal'!F:G,2,false)</f>
        <v>NP</v>
      </c>
      <c r="E1102" s="65" t="s">
        <v>757</v>
      </c>
      <c r="F1102" s="83">
        <v>0.5833333333333334</v>
      </c>
      <c r="G1102" s="83">
        <v>0.625</v>
      </c>
      <c r="H1102" s="83">
        <v>0.041666666666666664</v>
      </c>
      <c r="I1102" s="84">
        <v>44270.0</v>
      </c>
      <c r="J1102" s="65" t="b">
        <v>1</v>
      </c>
      <c r="K1102" s="65"/>
      <c r="L1102" s="85" t="b">
        <f>IF(VLOOKUP(C1102,Projetos!A:L,12,false)=TRUE,TRUE,FALSE)</f>
        <v>1</v>
      </c>
      <c r="M1102" s="74">
        <v>34.7706987012987</v>
      </c>
      <c r="N1102" s="74">
        <f t="shared" si="1"/>
        <v>34.7706987</v>
      </c>
      <c r="O1102" s="74" t="b">
        <v>1</v>
      </c>
    </row>
    <row r="1103" hidden="1">
      <c r="A1103" s="82"/>
      <c r="B1103" s="65" t="s">
        <v>750</v>
      </c>
      <c r="C1103" s="65" t="s">
        <v>85</v>
      </c>
      <c r="D1103" s="65" t="str">
        <f>vlookup(C1103,'Classificação p pessoal'!F:G,2,false)</f>
        <v>NP</v>
      </c>
      <c r="E1103" s="65" t="s">
        <v>752</v>
      </c>
      <c r="F1103" s="83">
        <v>0.3333333333333333</v>
      </c>
      <c r="G1103" s="83">
        <v>0.5</v>
      </c>
      <c r="H1103" s="83">
        <v>0.16666666666666666</v>
      </c>
      <c r="I1103" s="84">
        <v>44274.0</v>
      </c>
      <c r="J1103" s="65" t="b">
        <v>1</v>
      </c>
      <c r="K1103" s="65"/>
      <c r="L1103" s="85" t="b">
        <f>IF(VLOOKUP(C1103,Projetos!A:L,12,false)=TRUE,TRUE,FALSE)</f>
        <v>1</v>
      </c>
      <c r="M1103" s="74">
        <v>34.7706987012987</v>
      </c>
      <c r="N1103" s="74">
        <f t="shared" si="1"/>
        <v>139.0827948</v>
      </c>
      <c r="O1103" s="74" t="b">
        <v>1</v>
      </c>
    </row>
    <row r="1104" hidden="1">
      <c r="A1104" s="82"/>
      <c r="B1104" s="65" t="s">
        <v>750</v>
      </c>
      <c r="C1104" s="65" t="s">
        <v>107</v>
      </c>
      <c r="D1104" s="65" t="str">
        <f>vlookup(C1104,'Classificação p pessoal'!F:G,2,false)</f>
        <v>NP</v>
      </c>
      <c r="E1104" s="65" t="s">
        <v>757</v>
      </c>
      <c r="F1104" s="83">
        <v>0.7083333333333334</v>
      </c>
      <c r="G1104" s="83">
        <v>0.75</v>
      </c>
      <c r="H1104" s="83">
        <v>0.041666666666666664</v>
      </c>
      <c r="I1104" s="84">
        <v>44273.0</v>
      </c>
      <c r="J1104" s="65" t="b">
        <v>1</v>
      </c>
      <c r="K1104" s="65"/>
      <c r="L1104" s="85" t="b">
        <f>IF(VLOOKUP(C1104,Projetos!A:L,12,false)=TRUE,TRUE,FALSE)</f>
        <v>1</v>
      </c>
      <c r="M1104" s="74">
        <v>34.7706987012987</v>
      </c>
      <c r="N1104" s="74">
        <f t="shared" si="1"/>
        <v>34.7706987</v>
      </c>
      <c r="O1104" s="74" t="b">
        <v>1</v>
      </c>
    </row>
    <row r="1105" hidden="1">
      <c r="A1105" s="82"/>
      <c r="B1105" s="65" t="s">
        <v>750</v>
      </c>
      <c r="C1105" s="65" t="s">
        <v>118</v>
      </c>
      <c r="D1105" s="65"/>
      <c r="E1105" s="65" t="s">
        <v>756</v>
      </c>
      <c r="F1105" s="83">
        <v>0.7083333333333334</v>
      </c>
      <c r="G1105" s="83">
        <v>0.75</v>
      </c>
      <c r="H1105" s="83">
        <v>0.041666666666666664</v>
      </c>
      <c r="I1105" s="84">
        <v>44274.0</v>
      </c>
      <c r="J1105" s="65" t="b">
        <v>0</v>
      </c>
      <c r="K1105" s="65" t="s">
        <v>150</v>
      </c>
      <c r="L1105" s="85" t="b">
        <f>IF(VLOOKUP(C1105,Projetos!A:L,12,false)=TRUE,TRUE,FALSE)</f>
        <v>1</v>
      </c>
      <c r="M1105" s="74">
        <v>34.7706987012987</v>
      </c>
      <c r="N1105" s="74">
        <f t="shared" si="1"/>
        <v>0</v>
      </c>
      <c r="O1105" s="74" t="b">
        <v>1</v>
      </c>
    </row>
    <row r="1106" hidden="1">
      <c r="A1106" s="82"/>
      <c r="B1106" s="65" t="s">
        <v>750</v>
      </c>
      <c r="C1106" s="65" t="s">
        <v>107</v>
      </c>
      <c r="D1106" s="65" t="str">
        <f>vlookup(C1106,'Classificação p pessoal'!F:G,2,false)</f>
        <v>NP</v>
      </c>
      <c r="E1106" s="65" t="s">
        <v>757</v>
      </c>
      <c r="F1106" s="83">
        <v>0.5833333333333334</v>
      </c>
      <c r="G1106" s="83">
        <v>0.6666666666666666</v>
      </c>
      <c r="H1106" s="83">
        <v>0.08333333333333333</v>
      </c>
      <c r="I1106" s="84">
        <v>44274.0</v>
      </c>
      <c r="J1106" s="65" t="b">
        <v>1</v>
      </c>
      <c r="K1106" s="65"/>
      <c r="L1106" s="85" t="b">
        <f>IF(VLOOKUP(C1106,Projetos!A:L,12,false)=TRUE,TRUE,FALSE)</f>
        <v>1</v>
      </c>
      <c r="M1106" s="74">
        <v>34.7706987012987</v>
      </c>
      <c r="N1106" s="74">
        <f t="shared" si="1"/>
        <v>69.5413974</v>
      </c>
      <c r="O1106" s="74" t="b">
        <v>1</v>
      </c>
    </row>
    <row r="1107" hidden="1">
      <c r="A1107" s="82"/>
      <c r="B1107" s="65" t="s">
        <v>750</v>
      </c>
      <c r="C1107" s="65" t="s">
        <v>107</v>
      </c>
      <c r="D1107" s="65" t="str">
        <f>vlookup(C1107,'Classificação p pessoal'!F:G,2,false)</f>
        <v>NP</v>
      </c>
      <c r="E1107" s="65" t="s">
        <v>757</v>
      </c>
      <c r="F1107" s="83">
        <v>0.5416666666666666</v>
      </c>
      <c r="G1107" s="83">
        <v>0.75</v>
      </c>
      <c r="H1107" s="83">
        <v>0.20833333333333334</v>
      </c>
      <c r="I1107" s="84">
        <v>44277.0</v>
      </c>
      <c r="J1107" s="65" t="b">
        <v>1</v>
      </c>
      <c r="K1107" s="65"/>
      <c r="L1107" s="85" t="b">
        <f>IF(VLOOKUP(C1107,Projetos!A:L,12,false)=TRUE,TRUE,FALSE)</f>
        <v>1</v>
      </c>
      <c r="M1107" s="74">
        <v>34.7706987012987</v>
      </c>
      <c r="N1107" s="74">
        <f t="shared" si="1"/>
        <v>173.8534935</v>
      </c>
      <c r="O1107" s="74" t="b">
        <v>1</v>
      </c>
    </row>
    <row r="1108" hidden="1">
      <c r="A1108" s="82"/>
      <c r="B1108" s="65" t="s">
        <v>750</v>
      </c>
      <c r="C1108" s="65" t="s">
        <v>118</v>
      </c>
      <c r="D1108" s="65"/>
      <c r="E1108" s="65" t="s">
        <v>756</v>
      </c>
      <c r="F1108" s="83">
        <v>0.5833333333333334</v>
      </c>
      <c r="G1108" s="83">
        <v>0.75</v>
      </c>
      <c r="H1108" s="83">
        <v>0.16666666666666666</v>
      </c>
      <c r="I1108" s="84">
        <v>44278.0</v>
      </c>
      <c r="J1108" s="65" t="b">
        <v>0</v>
      </c>
      <c r="K1108" s="65" t="s">
        <v>150</v>
      </c>
      <c r="L1108" s="85" t="b">
        <f>IF(VLOOKUP(C1108,Projetos!A:L,12,false)=TRUE,TRUE,FALSE)</f>
        <v>1</v>
      </c>
      <c r="M1108" s="74">
        <v>34.7706987012987</v>
      </c>
      <c r="N1108" s="74">
        <f t="shared" si="1"/>
        <v>0</v>
      </c>
      <c r="O1108" s="74" t="b">
        <v>1</v>
      </c>
    </row>
    <row r="1109" hidden="1">
      <c r="A1109" s="82"/>
      <c r="B1109" s="65" t="s">
        <v>750</v>
      </c>
      <c r="C1109" s="65" t="s">
        <v>118</v>
      </c>
      <c r="D1109" s="65"/>
      <c r="E1109" s="65" t="s">
        <v>756</v>
      </c>
      <c r="F1109" s="83">
        <v>0.4166666666666667</v>
      </c>
      <c r="G1109" s="83">
        <v>0.5</v>
      </c>
      <c r="H1109" s="83">
        <v>0.08333333333333333</v>
      </c>
      <c r="I1109" s="84">
        <v>44279.0</v>
      </c>
      <c r="J1109" s="65" t="b">
        <v>0</v>
      </c>
      <c r="K1109" s="65" t="s">
        <v>150</v>
      </c>
      <c r="L1109" s="85" t="b">
        <f>IF(VLOOKUP(C1109,Projetos!A:L,12,false)=TRUE,TRUE,FALSE)</f>
        <v>1</v>
      </c>
      <c r="M1109" s="74">
        <v>34.7706987012987</v>
      </c>
      <c r="N1109" s="74">
        <f t="shared" si="1"/>
        <v>0</v>
      </c>
      <c r="O1109" s="74" t="b">
        <v>1</v>
      </c>
    </row>
    <row r="1110" hidden="1">
      <c r="A1110" s="82"/>
      <c r="B1110" s="65" t="s">
        <v>750</v>
      </c>
      <c r="C1110" s="65" t="s">
        <v>107</v>
      </c>
      <c r="D1110" s="65" t="str">
        <f>vlookup(C1110,'Classificação p pessoal'!F:G,2,false)</f>
        <v>NP</v>
      </c>
      <c r="E1110" s="65" t="s">
        <v>757</v>
      </c>
      <c r="F1110" s="83">
        <v>0.3333333333333333</v>
      </c>
      <c r="G1110" s="83">
        <v>0.5</v>
      </c>
      <c r="H1110" s="83">
        <v>0.16666666666666666</v>
      </c>
      <c r="I1110" s="84">
        <v>44278.0</v>
      </c>
      <c r="J1110" s="65" t="b">
        <v>1</v>
      </c>
      <c r="K1110" s="65"/>
      <c r="L1110" s="85" t="b">
        <f>IF(VLOOKUP(C1110,Projetos!A:L,12,false)=TRUE,TRUE,FALSE)</f>
        <v>1</v>
      </c>
      <c r="M1110" s="74">
        <v>34.7706987012987</v>
      </c>
      <c r="N1110" s="74">
        <f t="shared" si="1"/>
        <v>139.0827948</v>
      </c>
      <c r="O1110" s="74" t="b">
        <v>1</v>
      </c>
    </row>
    <row r="1111" hidden="1">
      <c r="A1111" s="82"/>
      <c r="B1111" s="65" t="s">
        <v>750</v>
      </c>
      <c r="C1111" s="65" t="s">
        <v>107</v>
      </c>
      <c r="D1111" s="65" t="str">
        <f>vlookup(C1111,'Classificação p pessoal'!F:G,2,false)</f>
        <v>NP</v>
      </c>
      <c r="E1111" s="65" t="s">
        <v>757</v>
      </c>
      <c r="F1111" s="83">
        <v>0.5833333333333334</v>
      </c>
      <c r="G1111" s="83">
        <v>0.75</v>
      </c>
      <c r="H1111" s="83">
        <v>0.16666666666666666</v>
      </c>
      <c r="I1111" s="84">
        <v>44279.0</v>
      </c>
      <c r="J1111" s="65" t="b">
        <v>1</v>
      </c>
      <c r="K1111" s="65"/>
      <c r="L1111" s="85" t="b">
        <f>IF(VLOOKUP(C1111,Projetos!A:L,12,false)=TRUE,TRUE,FALSE)</f>
        <v>1</v>
      </c>
      <c r="M1111" s="74">
        <v>34.7706987012987</v>
      </c>
      <c r="N1111" s="74">
        <f t="shared" si="1"/>
        <v>139.0827948</v>
      </c>
      <c r="O1111" s="74" t="b">
        <v>1</v>
      </c>
    </row>
    <row r="1112" hidden="1">
      <c r="A1112" s="82"/>
      <c r="B1112" s="65" t="s">
        <v>750</v>
      </c>
      <c r="C1112" s="65" t="s">
        <v>118</v>
      </c>
      <c r="D1112" s="65"/>
      <c r="E1112" s="65" t="s">
        <v>756</v>
      </c>
      <c r="F1112" s="83">
        <v>0.375</v>
      </c>
      <c r="G1112" s="83">
        <v>0.5</v>
      </c>
      <c r="H1112" s="83">
        <v>0.125</v>
      </c>
      <c r="I1112" s="84">
        <v>44281.0</v>
      </c>
      <c r="J1112" s="65" t="b">
        <v>0</v>
      </c>
      <c r="K1112" s="65" t="s">
        <v>150</v>
      </c>
      <c r="L1112" s="85" t="b">
        <f>IF(VLOOKUP(C1112,Projetos!A:L,12,false)=TRUE,TRUE,FALSE)</f>
        <v>1</v>
      </c>
      <c r="M1112" s="74">
        <v>34.7706987012987</v>
      </c>
      <c r="N1112" s="74">
        <f t="shared" si="1"/>
        <v>0</v>
      </c>
      <c r="O1112" s="74" t="b">
        <v>1</v>
      </c>
    </row>
    <row r="1113" hidden="1">
      <c r="A1113" s="82"/>
      <c r="B1113" s="65" t="s">
        <v>750</v>
      </c>
      <c r="C1113" s="65" t="s">
        <v>118</v>
      </c>
      <c r="D1113" s="65"/>
      <c r="E1113" s="65" t="s">
        <v>756</v>
      </c>
      <c r="F1113" s="83">
        <v>0.375</v>
      </c>
      <c r="G1113" s="83">
        <v>0.4583333333333333</v>
      </c>
      <c r="H1113" s="83">
        <v>0.08333333333333333</v>
      </c>
      <c r="I1113" s="84">
        <v>44284.0</v>
      </c>
      <c r="J1113" s="65" t="b">
        <v>0</v>
      </c>
      <c r="K1113" s="65" t="s">
        <v>150</v>
      </c>
      <c r="L1113" s="85" t="b">
        <f>IF(VLOOKUP(C1113,Projetos!A:L,12,false)=TRUE,TRUE,FALSE)</f>
        <v>1</v>
      </c>
      <c r="M1113" s="74">
        <v>34.7706987012987</v>
      </c>
      <c r="N1113" s="74">
        <f t="shared" si="1"/>
        <v>0</v>
      </c>
      <c r="O1113" s="74" t="b">
        <v>1</v>
      </c>
    </row>
    <row r="1114" hidden="1">
      <c r="A1114" s="82"/>
      <c r="B1114" s="65" t="s">
        <v>750</v>
      </c>
      <c r="C1114" s="65" t="s">
        <v>120</v>
      </c>
      <c r="D1114" s="65"/>
      <c r="E1114" s="65" t="s">
        <v>758</v>
      </c>
      <c r="F1114" s="83">
        <v>0.5625</v>
      </c>
      <c r="G1114" s="83">
        <v>0.6041666666666666</v>
      </c>
      <c r="H1114" s="83">
        <v>0.041666666666666664</v>
      </c>
      <c r="I1114" s="84">
        <v>44284.0</v>
      </c>
      <c r="J1114" s="65" t="b">
        <v>0</v>
      </c>
      <c r="K1114" s="65"/>
      <c r="L1114" s="85" t="b">
        <f>IF(VLOOKUP(C1114,Projetos!A:L,12,false)=TRUE,TRUE,FALSE)</f>
        <v>0</v>
      </c>
      <c r="M1114" s="74">
        <v>34.7706987012987</v>
      </c>
      <c r="N1114" s="74">
        <f t="shared" si="1"/>
        <v>0</v>
      </c>
      <c r="O1114" s="74" t="b">
        <v>0</v>
      </c>
    </row>
    <row r="1115" hidden="1">
      <c r="A1115" s="82"/>
      <c r="B1115" s="65" t="s">
        <v>750</v>
      </c>
      <c r="C1115" s="65" t="s">
        <v>118</v>
      </c>
      <c r="D1115" s="65"/>
      <c r="E1115" s="65" t="s">
        <v>756</v>
      </c>
      <c r="F1115" s="83">
        <v>0.4166666666666667</v>
      </c>
      <c r="G1115" s="83">
        <v>0.5</v>
      </c>
      <c r="H1115" s="83">
        <v>0.08333333333333333</v>
      </c>
      <c r="I1115" s="84">
        <v>44285.0</v>
      </c>
      <c r="J1115" s="65" t="b">
        <v>0</v>
      </c>
      <c r="K1115" s="65" t="s">
        <v>150</v>
      </c>
      <c r="L1115" s="85" t="b">
        <f>IF(VLOOKUP(C1115,Projetos!A:L,12,false)=TRUE,TRUE,FALSE)</f>
        <v>1</v>
      </c>
      <c r="M1115" s="74">
        <v>34.7706987012987</v>
      </c>
      <c r="N1115" s="74">
        <f t="shared" si="1"/>
        <v>0</v>
      </c>
      <c r="O1115" s="74" t="b">
        <v>1</v>
      </c>
    </row>
    <row r="1116" hidden="1">
      <c r="A1116" s="82"/>
      <c r="B1116" s="65" t="s">
        <v>750</v>
      </c>
      <c r="C1116" s="65" t="s">
        <v>107</v>
      </c>
      <c r="D1116" s="65" t="str">
        <f>vlookup(C1116,'Classificação p pessoal'!F:G,2,false)</f>
        <v>NP</v>
      </c>
      <c r="E1116" s="65" t="s">
        <v>757</v>
      </c>
      <c r="F1116" s="83">
        <v>0.5</v>
      </c>
      <c r="G1116" s="83">
        <v>0.75</v>
      </c>
      <c r="H1116" s="83">
        <v>0.25</v>
      </c>
      <c r="I1116" s="84">
        <v>44280.0</v>
      </c>
      <c r="J1116" s="65" t="b">
        <v>1</v>
      </c>
      <c r="K1116" s="65"/>
      <c r="L1116" s="85" t="b">
        <f>IF(VLOOKUP(C1116,Projetos!A:L,12,false)=TRUE,TRUE,FALSE)</f>
        <v>1</v>
      </c>
      <c r="M1116" s="74">
        <v>34.7706987012987</v>
      </c>
      <c r="N1116" s="74">
        <f t="shared" si="1"/>
        <v>208.6241922</v>
      </c>
      <c r="O1116" s="74" t="b">
        <v>1</v>
      </c>
    </row>
    <row r="1117" hidden="1">
      <c r="A1117" s="82"/>
      <c r="B1117" s="65" t="s">
        <v>750</v>
      </c>
      <c r="C1117" s="65" t="s">
        <v>85</v>
      </c>
      <c r="D1117" s="65" t="str">
        <f>vlookup(C1117,'Classificação p pessoal'!F:G,2,false)</f>
        <v>NP</v>
      </c>
      <c r="E1117" s="65" t="s">
        <v>752</v>
      </c>
      <c r="F1117" s="83">
        <v>0.375</v>
      </c>
      <c r="G1117" s="83">
        <v>0.5</v>
      </c>
      <c r="H1117" s="83">
        <v>0.125</v>
      </c>
      <c r="I1117" s="84">
        <v>44286.0</v>
      </c>
      <c r="J1117" s="65" t="b">
        <v>1</v>
      </c>
      <c r="K1117" s="65"/>
      <c r="L1117" s="85" t="b">
        <f>IF(VLOOKUP(C1117,Projetos!A:L,12,false)=TRUE,TRUE,FALSE)</f>
        <v>1</v>
      </c>
      <c r="M1117" s="74">
        <v>34.7706987012987</v>
      </c>
      <c r="N1117" s="74">
        <f t="shared" si="1"/>
        <v>104.3120961</v>
      </c>
      <c r="O1117" s="74" t="b">
        <v>1</v>
      </c>
    </row>
    <row r="1118" hidden="1">
      <c r="A1118" s="82"/>
      <c r="B1118" s="65" t="s">
        <v>750</v>
      </c>
      <c r="C1118" s="65" t="s">
        <v>107</v>
      </c>
      <c r="D1118" s="65" t="str">
        <f>vlookup(C1118,'Classificação p pessoal'!F:G,2,false)</f>
        <v>NP</v>
      </c>
      <c r="E1118" s="65" t="s">
        <v>757</v>
      </c>
      <c r="F1118" s="83">
        <v>0.625</v>
      </c>
      <c r="G1118" s="83">
        <v>0.75</v>
      </c>
      <c r="H1118" s="83">
        <v>0.125</v>
      </c>
      <c r="I1118" s="84">
        <v>44285.0</v>
      </c>
      <c r="J1118" s="65" t="b">
        <v>1</v>
      </c>
      <c r="K1118" s="65"/>
      <c r="L1118" s="85" t="b">
        <f>IF(VLOOKUP(C1118,Projetos!A:L,12,false)=TRUE,TRUE,FALSE)</f>
        <v>1</v>
      </c>
      <c r="M1118" s="74">
        <v>34.7706987012987</v>
      </c>
      <c r="N1118" s="74">
        <f t="shared" si="1"/>
        <v>104.3120961</v>
      </c>
      <c r="O1118" s="74" t="b">
        <v>1</v>
      </c>
    </row>
    <row r="1119" hidden="1">
      <c r="A1119" s="82"/>
      <c r="B1119" s="65" t="s">
        <v>750</v>
      </c>
      <c r="C1119" s="65" t="s">
        <v>107</v>
      </c>
      <c r="D1119" s="65" t="str">
        <f>vlookup(C1119,'Classificação p pessoal'!F:G,2,false)</f>
        <v>NP</v>
      </c>
      <c r="E1119" s="65" t="s">
        <v>757</v>
      </c>
      <c r="F1119" s="83">
        <v>0.5833333333333334</v>
      </c>
      <c r="G1119" s="83">
        <v>0.7083333333333334</v>
      </c>
      <c r="H1119" s="83">
        <v>0.125</v>
      </c>
      <c r="I1119" s="84">
        <v>44286.0</v>
      </c>
      <c r="J1119" s="65" t="b">
        <v>1</v>
      </c>
      <c r="K1119" s="65"/>
      <c r="L1119" s="85" t="b">
        <f>IF(VLOOKUP(C1119,Projetos!A:L,12,false)=TRUE,TRUE,FALSE)</f>
        <v>1</v>
      </c>
      <c r="M1119" s="74">
        <v>34.7706987012987</v>
      </c>
      <c r="N1119" s="74">
        <f t="shared" si="1"/>
        <v>104.3120961</v>
      </c>
      <c r="O1119" s="74" t="b">
        <v>1</v>
      </c>
    </row>
    <row r="1120" hidden="1">
      <c r="A1120" s="82"/>
      <c r="B1120" s="65" t="s">
        <v>750</v>
      </c>
      <c r="C1120" s="65" t="s">
        <v>85</v>
      </c>
      <c r="D1120" s="65" t="str">
        <f>vlookup(C1120,'Classificação p pessoal'!F:G,2,false)</f>
        <v>NP</v>
      </c>
      <c r="E1120" s="65" t="s">
        <v>752</v>
      </c>
      <c r="F1120" s="83">
        <v>0.5833333333333334</v>
      </c>
      <c r="G1120" s="83">
        <v>0.7083333333333334</v>
      </c>
      <c r="H1120" s="83">
        <v>0.125</v>
      </c>
      <c r="I1120" s="84">
        <v>44287.0</v>
      </c>
      <c r="J1120" s="65" t="b">
        <v>1</v>
      </c>
      <c r="K1120" s="65"/>
      <c r="L1120" s="85" t="b">
        <f>IF(VLOOKUP(C1120,Projetos!A:L,12,false)=TRUE,TRUE,FALSE)</f>
        <v>1</v>
      </c>
      <c r="M1120" s="74">
        <v>34.7706987012987</v>
      </c>
      <c r="N1120" s="74">
        <f t="shared" si="1"/>
        <v>104.3120961</v>
      </c>
      <c r="O1120" s="74" t="b">
        <v>1</v>
      </c>
    </row>
    <row r="1121" hidden="1">
      <c r="A1121" s="82"/>
      <c r="B1121" s="65" t="s">
        <v>750</v>
      </c>
      <c r="C1121" s="65" t="s">
        <v>117</v>
      </c>
      <c r="D1121" s="65" t="str">
        <f>vlookup(C1121,'Classificação p pessoal'!F:G,2,false)</f>
        <v>NP</v>
      </c>
      <c r="E1121" s="65" t="s">
        <v>753</v>
      </c>
      <c r="F1121" s="83">
        <v>0.375</v>
      </c>
      <c r="G1121" s="83">
        <v>0.4583333333333333</v>
      </c>
      <c r="H1121" s="83">
        <v>0.08333333333333333</v>
      </c>
      <c r="I1121" s="84">
        <v>44291.0</v>
      </c>
      <c r="J1121" s="65" t="b">
        <v>1</v>
      </c>
      <c r="K1121" s="65"/>
      <c r="L1121" s="85" t="b">
        <f>IF(VLOOKUP(C1121,Projetos!A:L,12,false)=TRUE,TRUE,FALSE)</f>
        <v>1</v>
      </c>
      <c r="M1121" s="74">
        <v>34.7706987012987</v>
      </c>
      <c r="N1121" s="74">
        <f t="shared" si="1"/>
        <v>69.5413974</v>
      </c>
      <c r="O1121" s="74" t="b">
        <v>1</v>
      </c>
    </row>
    <row r="1122" hidden="1">
      <c r="A1122" s="82"/>
      <c r="B1122" s="65" t="s">
        <v>750</v>
      </c>
      <c r="C1122" s="65" t="s">
        <v>118</v>
      </c>
      <c r="D1122" s="65"/>
      <c r="E1122" s="65" t="s">
        <v>756</v>
      </c>
      <c r="F1122" s="83">
        <v>0.4583333333333333</v>
      </c>
      <c r="G1122" s="83">
        <v>0.5</v>
      </c>
      <c r="H1122" s="83">
        <v>0.041666666666666664</v>
      </c>
      <c r="I1122" s="84">
        <v>44292.0</v>
      </c>
      <c r="J1122" s="65" t="b">
        <v>0</v>
      </c>
      <c r="K1122" s="65" t="s">
        <v>150</v>
      </c>
      <c r="L1122" s="85" t="b">
        <f>IF(VLOOKUP(C1122,Projetos!A:L,12,false)=TRUE,TRUE,FALSE)</f>
        <v>1</v>
      </c>
      <c r="M1122" s="74">
        <v>34.7706987012987</v>
      </c>
      <c r="N1122" s="74">
        <f t="shared" si="1"/>
        <v>0</v>
      </c>
      <c r="O1122" s="74" t="b">
        <v>1</v>
      </c>
    </row>
    <row r="1123" hidden="1">
      <c r="A1123" s="82"/>
      <c r="B1123" s="65" t="s">
        <v>750</v>
      </c>
      <c r="C1123" s="65" t="s">
        <v>117</v>
      </c>
      <c r="D1123" s="65" t="str">
        <f>vlookup(C1123,'Classificação p pessoal'!F:G,2,false)</f>
        <v>NP</v>
      </c>
      <c r="E1123" s="65" t="s">
        <v>753</v>
      </c>
      <c r="F1123" s="83">
        <v>0.4166666666666667</v>
      </c>
      <c r="G1123" s="83">
        <v>0.4583333333333333</v>
      </c>
      <c r="H1123" s="83">
        <v>0.041666666666666664</v>
      </c>
      <c r="I1123" s="84">
        <v>44293.0</v>
      </c>
      <c r="J1123" s="65" t="b">
        <v>1</v>
      </c>
      <c r="K1123" s="65"/>
      <c r="L1123" s="85" t="b">
        <f>IF(VLOOKUP(C1123,Projetos!A:L,12,false)=TRUE,TRUE,FALSE)</f>
        <v>1</v>
      </c>
      <c r="M1123" s="74">
        <v>34.7706987012987</v>
      </c>
      <c r="N1123" s="74">
        <f t="shared" si="1"/>
        <v>34.7706987</v>
      </c>
      <c r="O1123" s="74" t="b">
        <v>1</v>
      </c>
    </row>
    <row r="1124" hidden="1">
      <c r="A1124" s="82"/>
      <c r="B1124" s="65" t="s">
        <v>750</v>
      </c>
      <c r="C1124" s="65" t="s">
        <v>118</v>
      </c>
      <c r="D1124" s="65"/>
      <c r="E1124" s="65" t="s">
        <v>756</v>
      </c>
      <c r="F1124" s="83">
        <v>0.6666666666666666</v>
      </c>
      <c r="G1124" s="83">
        <v>0.7083333333333334</v>
      </c>
      <c r="H1124" s="83">
        <v>0.041666666666666664</v>
      </c>
      <c r="I1124" s="84">
        <v>44298.0</v>
      </c>
      <c r="J1124" s="65" t="b">
        <v>0</v>
      </c>
      <c r="K1124" s="65" t="s">
        <v>150</v>
      </c>
      <c r="L1124" s="85" t="b">
        <f>IF(VLOOKUP(C1124,Projetos!A:L,12,false)=TRUE,TRUE,FALSE)</f>
        <v>1</v>
      </c>
      <c r="M1124" s="74">
        <v>34.7706987012987</v>
      </c>
      <c r="N1124" s="74">
        <f t="shared" si="1"/>
        <v>0</v>
      </c>
      <c r="O1124" s="74" t="b">
        <v>1</v>
      </c>
    </row>
    <row r="1125" hidden="1">
      <c r="A1125" s="82"/>
      <c r="B1125" s="65" t="s">
        <v>750</v>
      </c>
      <c r="C1125" s="65" t="s">
        <v>100</v>
      </c>
      <c r="D1125" s="65" t="str">
        <f>vlookup(C1125,'Classificação p pessoal'!F:G,2,false)</f>
        <v>NP</v>
      </c>
      <c r="E1125" s="65" t="s">
        <v>151</v>
      </c>
      <c r="F1125" s="83">
        <v>0.5416666666666666</v>
      </c>
      <c r="G1125" s="83">
        <v>0.625</v>
      </c>
      <c r="H1125" s="83">
        <v>0.08333333333333333</v>
      </c>
      <c r="I1125" s="84">
        <v>44298.0</v>
      </c>
      <c r="J1125" s="65" t="b">
        <v>1</v>
      </c>
      <c r="K1125" s="65"/>
      <c r="L1125" s="85" t="b">
        <f>IF(VLOOKUP(C1125,Projetos!A:L,12,false)=TRUE,TRUE,FALSE)</f>
        <v>1</v>
      </c>
      <c r="M1125" s="74">
        <v>34.7706987012987</v>
      </c>
      <c r="N1125" s="74">
        <f t="shared" si="1"/>
        <v>69.5413974</v>
      </c>
      <c r="O1125" s="74" t="b">
        <v>1</v>
      </c>
    </row>
    <row r="1126" hidden="1">
      <c r="A1126" s="82"/>
      <c r="B1126" s="65" t="s">
        <v>750</v>
      </c>
      <c r="C1126" s="65" t="s">
        <v>107</v>
      </c>
      <c r="D1126" s="65" t="str">
        <f>vlookup(C1126,'Classificação p pessoal'!F:G,2,false)</f>
        <v>NP</v>
      </c>
      <c r="E1126" s="65" t="s">
        <v>757</v>
      </c>
      <c r="F1126" s="83">
        <v>0.4166666666666667</v>
      </c>
      <c r="G1126" s="83">
        <v>0.5</v>
      </c>
      <c r="H1126" s="83">
        <v>0.08333333333333333</v>
      </c>
      <c r="I1126" s="84">
        <v>44287.0</v>
      </c>
      <c r="J1126" s="65" t="b">
        <v>1</v>
      </c>
      <c r="K1126" s="65"/>
      <c r="L1126" s="85" t="b">
        <f>IF(VLOOKUP(C1126,Projetos!A:L,12,false)=TRUE,TRUE,FALSE)</f>
        <v>1</v>
      </c>
      <c r="M1126" s="74">
        <v>34.7706987012987</v>
      </c>
      <c r="N1126" s="74">
        <f t="shared" si="1"/>
        <v>69.5413974</v>
      </c>
      <c r="O1126" s="74" t="b">
        <v>1</v>
      </c>
    </row>
    <row r="1127" hidden="1">
      <c r="A1127" s="82"/>
      <c r="B1127" s="65" t="s">
        <v>750</v>
      </c>
      <c r="C1127" s="65" t="s">
        <v>107</v>
      </c>
      <c r="D1127" s="65" t="str">
        <f>vlookup(C1127,'Classificação p pessoal'!F:G,2,false)</f>
        <v>NP</v>
      </c>
      <c r="E1127" s="65" t="s">
        <v>757</v>
      </c>
      <c r="F1127" s="83">
        <v>0.5833333333333334</v>
      </c>
      <c r="G1127" s="83">
        <v>0.7083333333333334</v>
      </c>
      <c r="H1127" s="83">
        <v>0.125</v>
      </c>
      <c r="I1127" s="84">
        <v>44299.0</v>
      </c>
      <c r="J1127" s="65" t="b">
        <v>1</v>
      </c>
      <c r="K1127" s="65"/>
      <c r="L1127" s="85" t="b">
        <f>IF(VLOOKUP(C1127,Projetos!A:L,12,false)=TRUE,TRUE,FALSE)</f>
        <v>1</v>
      </c>
      <c r="M1127" s="74">
        <v>34.7706987012987</v>
      </c>
      <c r="N1127" s="74">
        <f t="shared" si="1"/>
        <v>104.3120961</v>
      </c>
      <c r="O1127" s="74" t="b">
        <v>1</v>
      </c>
    </row>
    <row r="1128" hidden="1">
      <c r="A1128" s="82"/>
      <c r="B1128" s="65" t="s">
        <v>750</v>
      </c>
      <c r="C1128" s="65" t="s">
        <v>107</v>
      </c>
      <c r="D1128" s="65" t="str">
        <f>vlookup(C1128,'Classificação p pessoal'!F:G,2,false)</f>
        <v>NP</v>
      </c>
      <c r="E1128" s="65" t="s">
        <v>757</v>
      </c>
      <c r="F1128" s="83">
        <v>0.625</v>
      </c>
      <c r="G1128" s="83">
        <v>0.7083333333333334</v>
      </c>
      <c r="H1128" s="83">
        <v>0.08333333333333333</v>
      </c>
      <c r="I1128" s="84">
        <v>44300.0</v>
      </c>
      <c r="J1128" s="65" t="b">
        <v>1</v>
      </c>
      <c r="K1128" s="65"/>
      <c r="L1128" s="85" t="b">
        <f>IF(VLOOKUP(C1128,Projetos!A:L,12,false)=TRUE,TRUE,FALSE)</f>
        <v>1</v>
      </c>
      <c r="M1128" s="74">
        <v>34.7706987012987</v>
      </c>
      <c r="N1128" s="74">
        <f t="shared" si="1"/>
        <v>69.5413974</v>
      </c>
      <c r="O1128" s="74" t="b">
        <v>1</v>
      </c>
    </row>
    <row r="1129" hidden="1">
      <c r="A1129" s="82"/>
      <c r="B1129" s="65" t="s">
        <v>750</v>
      </c>
      <c r="C1129" s="65" t="s">
        <v>118</v>
      </c>
      <c r="D1129" s="65"/>
      <c r="E1129" s="65" t="s">
        <v>756</v>
      </c>
      <c r="F1129" s="83">
        <v>0.6666666666666666</v>
      </c>
      <c r="G1129" s="83">
        <v>0.7916666666666666</v>
      </c>
      <c r="H1129" s="83">
        <v>0.125</v>
      </c>
      <c r="I1129" s="84">
        <v>44301.0</v>
      </c>
      <c r="J1129" s="65" t="b">
        <v>0</v>
      </c>
      <c r="K1129" s="65" t="s">
        <v>150</v>
      </c>
      <c r="L1129" s="85" t="b">
        <f>IF(VLOOKUP(C1129,Projetos!A:L,12,false)=TRUE,TRUE,FALSE)</f>
        <v>1</v>
      </c>
      <c r="M1129" s="74">
        <v>34.7706987012987</v>
      </c>
      <c r="N1129" s="74">
        <f t="shared" si="1"/>
        <v>0</v>
      </c>
      <c r="O1129" s="74" t="b">
        <v>1</v>
      </c>
    </row>
    <row r="1130" hidden="1">
      <c r="A1130" s="82"/>
      <c r="B1130" s="65" t="s">
        <v>750</v>
      </c>
      <c r="C1130" s="65" t="s">
        <v>118</v>
      </c>
      <c r="D1130" s="65"/>
      <c r="E1130" s="65" t="s">
        <v>756</v>
      </c>
      <c r="F1130" s="83">
        <v>0.6666666666666666</v>
      </c>
      <c r="G1130" s="83">
        <v>0.7083333333333334</v>
      </c>
      <c r="H1130" s="83">
        <v>0.041666666666666664</v>
      </c>
      <c r="I1130" s="84">
        <v>44302.0</v>
      </c>
      <c r="J1130" s="65" t="b">
        <v>0</v>
      </c>
      <c r="K1130" s="65" t="s">
        <v>150</v>
      </c>
      <c r="L1130" s="85" t="b">
        <f>IF(VLOOKUP(C1130,Projetos!A:L,12,false)=TRUE,TRUE,FALSE)</f>
        <v>1</v>
      </c>
      <c r="M1130" s="74">
        <v>34.7706987012987</v>
      </c>
      <c r="N1130" s="74">
        <f t="shared" si="1"/>
        <v>0</v>
      </c>
      <c r="O1130" s="74" t="b">
        <v>1</v>
      </c>
    </row>
    <row r="1131" hidden="1">
      <c r="A1131" s="82"/>
      <c r="B1131" s="65" t="s">
        <v>750</v>
      </c>
      <c r="C1131" s="65" t="s">
        <v>91</v>
      </c>
      <c r="D1131" s="65" t="str">
        <f>vlookup(C1131,'Classificação p pessoal'!F:G,2,false)</f>
        <v>NP</v>
      </c>
      <c r="E1131" s="65" t="s">
        <v>159</v>
      </c>
      <c r="F1131" s="83">
        <v>0.375</v>
      </c>
      <c r="G1131" s="83">
        <v>0.5416666666666666</v>
      </c>
      <c r="H1131" s="83">
        <v>0.16666666666666666</v>
      </c>
      <c r="I1131" s="84">
        <v>44302.0</v>
      </c>
      <c r="J1131" s="65" t="b">
        <v>1</v>
      </c>
      <c r="K1131" s="65"/>
      <c r="L1131" s="85" t="b">
        <f>IF(VLOOKUP(C1131,Projetos!A:L,12,false)=TRUE,TRUE,FALSE)</f>
        <v>1</v>
      </c>
      <c r="M1131" s="74">
        <v>34.7706987012987</v>
      </c>
      <c r="N1131" s="74">
        <f t="shared" si="1"/>
        <v>139.0827948</v>
      </c>
      <c r="O1131" s="74" t="b">
        <v>1</v>
      </c>
    </row>
    <row r="1132" hidden="1">
      <c r="A1132" s="82"/>
      <c r="B1132" s="65" t="s">
        <v>750</v>
      </c>
      <c r="C1132" s="65" t="s">
        <v>107</v>
      </c>
      <c r="D1132" s="65" t="str">
        <f>vlookup(C1132,'Classificação p pessoal'!F:G,2,false)</f>
        <v>NP</v>
      </c>
      <c r="E1132" s="65" t="s">
        <v>757</v>
      </c>
      <c r="F1132" s="83">
        <v>0.4166666666666667</v>
      </c>
      <c r="G1132" s="83">
        <v>0.5</v>
      </c>
      <c r="H1132" s="83">
        <v>0.08333333333333333</v>
      </c>
      <c r="I1132" s="84">
        <v>44301.0</v>
      </c>
      <c r="J1132" s="65" t="b">
        <v>1</v>
      </c>
      <c r="K1132" s="65"/>
      <c r="L1132" s="85" t="b">
        <f>IF(VLOOKUP(C1132,Projetos!A:L,12,false)=TRUE,TRUE,FALSE)</f>
        <v>1</v>
      </c>
      <c r="M1132" s="74">
        <v>34.7706987012987</v>
      </c>
      <c r="N1132" s="74">
        <f t="shared" si="1"/>
        <v>69.5413974</v>
      </c>
      <c r="O1132" s="74" t="b">
        <v>1</v>
      </c>
    </row>
    <row r="1133" hidden="1">
      <c r="A1133" s="82"/>
      <c r="B1133" s="65" t="s">
        <v>750</v>
      </c>
      <c r="C1133" s="65" t="s">
        <v>91</v>
      </c>
      <c r="D1133" s="65" t="str">
        <f>vlookup(C1133,'Classificação p pessoal'!F:G,2,false)</f>
        <v>NP</v>
      </c>
      <c r="E1133" s="65" t="s">
        <v>159</v>
      </c>
      <c r="F1133" s="83">
        <v>0.6666666666666666</v>
      </c>
      <c r="G1133" s="83">
        <v>0.75</v>
      </c>
      <c r="H1133" s="83">
        <v>0.08333333333333333</v>
      </c>
      <c r="I1133" s="84">
        <v>44305.0</v>
      </c>
      <c r="J1133" s="65" t="b">
        <v>1</v>
      </c>
      <c r="K1133" s="65"/>
      <c r="L1133" s="85" t="b">
        <f>IF(VLOOKUP(C1133,Projetos!A:L,12,false)=TRUE,TRUE,FALSE)</f>
        <v>1</v>
      </c>
      <c r="M1133" s="74">
        <v>34.7706987012987</v>
      </c>
      <c r="N1133" s="74">
        <f t="shared" si="1"/>
        <v>69.5413974</v>
      </c>
      <c r="O1133" s="74" t="b">
        <v>1</v>
      </c>
    </row>
    <row r="1134" hidden="1">
      <c r="A1134" s="82"/>
      <c r="B1134" s="65" t="s">
        <v>750</v>
      </c>
      <c r="C1134" s="65" t="s">
        <v>107</v>
      </c>
      <c r="D1134" s="65" t="str">
        <f>vlookup(C1134,'Classificação p pessoal'!F:G,2,false)</f>
        <v>NP</v>
      </c>
      <c r="E1134" s="65" t="s">
        <v>757</v>
      </c>
      <c r="F1134" s="83">
        <v>0.5416666666666666</v>
      </c>
      <c r="G1134" s="83">
        <v>0.625</v>
      </c>
      <c r="H1134" s="83">
        <v>0.08333333333333333</v>
      </c>
      <c r="I1134" s="84">
        <v>44305.0</v>
      </c>
      <c r="J1134" s="65" t="b">
        <v>1</v>
      </c>
      <c r="K1134" s="65"/>
      <c r="L1134" s="85" t="b">
        <f>IF(VLOOKUP(C1134,Projetos!A:L,12,false)=TRUE,TRUE,FALSE)</f>
        <v>1</v>
      </c>
      <c r="M1134" s="74">
        <v>34.7706987012987</v>
      </c>
      <c r="N1134" s="74">
        <f t="shared" si="1"/>
        <v>69.5413974</v>
      </c>
      <c r="O1134" s="74" t="b">
        <v>1</v>
      </c>
    </row>
    <row r="1135" hidden="1">
      <c r="A1135" s="82"/>
      <c r="B1135" s="65" t="s">
        <v>750</v>
      </c>
      <c r="C1135" s="65" t="s">
        <v>100</v>
      </c>
      <c r="D1135" s="65" t="str">
        <f>vlookup(C1135,'Classificação p pessoal'!F:G,2,false)</f>
        <v>NP</v>
      </c>
      <c r="E1135" s="65" t="s">
        <v>151</v>
      </c>
      <c r="F1135" s="83">
        <v>0.4166666666666667</v>
      </c>
      <c r="G1135" s="83">
        <v>0.5</v>
      </c>
      <c r="H1135" s="83">
        <v>0.08333333333333333</v>
      </c>
      <c r="I1135" s="84">
        <v>44308.0</v>
      </c>
      <c r="J1135" s="65" t="b">
        <v>1</v>
      </c>
      <c r="K1135" s="65"/>
      <c r="L1135" s="85" t="b">
        <f>IF(VLOOKUP(C1135,Projetos!A:L,12,false)=TRUE,TRUE,FALSE)</f>
        <v>1</v>
      </c>
      <c r="M1135" s="74">
        <v>34.7706987012987</v>
      </c>
      <c r="N1135" s="74">
        <f t="shared" si="1"/>
        <v>69.5413974</v>
      </c>
      <c r="O1135" s="74" t="b">
        <v>1</v>
      </c>
    </row>
    <row r="1136" hidden="1">
      <c r="A1136" s="82"/>
      <c r="B1136" s="65" t="s">
        <v>750</v>
      </c>
      <c r="C1136" s="65" t="s">
        <v>85</v>
      </c>
      <c r="D1136" s="65" t="str">
        <f>vlookup(C1136,'Classificação p pessoal'!F:G,2,false)</f>
        <v>NP</v>
      </c>
      <c r="E1136" s="65" t="s">
        <v>752</v>
      </c>
      <c r="F1136" s="83">
        <v>0.5833333333333334</v>
      </c>
      <c r="G1136" s="83">
        <v>0.7083333333333334</v>
      </c>
      <c r="H1136" s="83">
        <v>0.125</v>
      </c>
      <c r="I1136" s="84">
        <v>44308.0</v>
      </c>
      <c r="J1136" s="65" t="b">
        <v>1</v>
      </c>
      <c r="K1136" s="65"/>
      <c r="L1136" s="85" t="b">
        <f>IF(VLOOKUP(C1136,Projetos!A:L,12,false)=TRUE,TRUE,FALSE)</f>
        <v>1</v>
      </c>
      <c r="M1136" s="74">
        <v>34.7706987012987</v>
      </c>
      <c r="N1136" s="74">
        <f t="shared" si="1"/>
        <v>104.3120961</v>
      </c>
      <c r="O1136" s="74" t="b">
        <v>1</v>
      </c>
    </row>
    <row r="1137" hidden="1">
      <c r="A1137" s="82"/>
      <c r="B1137" s="65" t="s">
        <v>750</v>
      </c>
      <c r="C1137" s="65" t="s">
        <v>85</v>
      </c>
      <c r="D1137" s="65" t="str">
        <f>vlookup(C1137,'Classificação p pessoal'!F:G,2,false)</f>
        <v>NP</v>
      </c>
      <c r="E1137" s="65" t="s">
        <v>752</v>
      </c>
      <c r="F1137" s="83">
        <v>0.3333333333333333</v>
      </c>
      <c r="G1137" s="83">
        <v>0.7083333333333334</v>
      </c>
      <c r="H1137" s="83">
        <v>0.375</v>
      </c>
      <c r="I1137" s="84">
        <v>44309.0</v>
      </c>
      <c r="J1137" s="65" t="b">
        <v>1</v>
      </c>
      <c r="K1137" s="65"/>
      <c r="L1137" s="85" t="b">
        <f>IF(VLOOKUP(C1137,Projetos!A:L,12,false)=TRUE,TRUE,FALSE)</f>
        <v>1</v>
      </c>
      <c r="M1137" s="74">
        <v>34.7706987012987</v>
      </c>
      <c r="N1137" s="74">
        <f t="shared" si="1"/>
        <v>312.9362883</v>
      </c>
      <c r="O1137" s="74" t="b">
        <v>1</v>
      </c>
    </row>
    <row r="1138" hidden="1">
      <c r="A1138" s="82"/>
      <c r="B1138" s="65" t="s">
        <v>750</v>
      </c>
      <c r="C1138" s="65" t="s">
        <v>85</v>
      </c>
      <c r="D1138" s="65" t="str">
        <f>vlookup(C1138,'Classificação p pessoal'!F:G,2,false)</f>
        <v>NP</v>
      </c>
      <c r="E1138" s="65" t="s">
        <v>752</v>
      </c>
      <c r="F1138" s="83">
        <v>0.3333333333333333</v>
      </c>
      <c r="G1138" s="83">
        <v>0.7083333333333334</v>
      </c>
      <c r="H1138" s="83">
        <v>0.375</v>
      </c>
      <c r="I1138" s="84">
        <v>44310.0</v>
      </c>
      <c r="J1138" s="65" t="b">
        <v>1</v>
      </c>
      <c r="K1138" s="65"/>
      <c r="L1138" s="85" t="b">
        <f>IF(VLOOKUP(C1138,Projetos!A:L,12,false)=TRUE,TRUE,FALSE)</f>
        <v>1</v>
      </c>
      <c r="M1138" s="74">
        <v>34.7706987012987</v>
      </c>
      <c r="N1138" s="74">
        <f t="shared" si="1"/>
        <v>312.9362883</v>
      </c>
      <c r="O1138" s="74" t="b">
        <v>1</v>
      </c>
    </row>
    <row r="1139" hidden="1">
      <c r="A1139" s="82"/>
      <c r="B1139" s="65" t="s">
        <v>750</v>
      </c>
      <c r="C1139" s="65" t="s">
        <v>85</v>
      </c>
      <c r="D1139" s="65" t="str">
        <f>vlookup(C1139,'Classificação p pessoal'!F:G,2,false)</f>
        <v>NP</v>
      </c>
      <c r="E1139" s="65" t="s">
        <v>752</v>
      </c>
      <c r="F1139" s="83">
        <v>0.3333333333333333</v>
      </c>
      <c r="G1139" s="83">
        <v>0.5</v>
      </c>
      <c r="H1139" s="83">
        <v>0.16666666666666666</v>
      </c>
      <c r="I1139" s="84">
        <v>44312.0</v>
      </c>
      <c r="J1139" s="65" t="b">
        <v>1</v>
      </c>
      <c r="K1139" s="65"/>
      <c r="L1139" s="85" t="b">
        <f>IF(VLOOKUP(C1139,Projetos!A:L,12,false)=TRUE,TRUE,FALSE)</f>
        <v>1</v>
      </c>
      <c r="M1139" s="74">
        <v>34.7706987012987</v>
      </c>
      <c r="N1139" s="74">
        <f t="shared" si="1"/>
        <v>139.0827948</v>
      </c>
      <c r="O1139" s="74" t="b">
        <v>1</v>
      </c>
    </row>
    <row r="1140" hidden="1">
      <c r="A1140" s="82"/>
      <c r="B1140" s="65" t="s">
        <v>750</v>
      </c>
      <c r="C1140" s="65" t="s">
        <v>107</v>
      </c>
      <c r="D1140" s="65" t="str">
        <f>vlookup(C1140,'Classificação p pessoal'!F:G,2,false)</f>
        <v>NP</v>
      </c>
      <c r="E1140" s="65" t="s">
        <v>757</v>
      </c>
      <c r="F1140" s="83">
        <v>0.3541666666666667</v>
      </c>
      <c r="G1140" s="83">
        <v>0.4166666666666667</v>
      </c>
      <c r="H1140" s="83">
        <v>0.0625</v>
      </c>
      <c r="I1140" s="84">
        <v>44306.0</v>
      </c>
      <c r="J1140" s="65" t="b">
        <v>1</v>
      </c>
      <c r="K1140" s="65"/>
      <c r="L1140" s="85" t="b">
        <f>IF(VLOOKUP(C1140,Projetos!A:L,12,false)=TRUE,TRUE,FALSE)</f>
        <v>1</v>
      </c>
      <c r="M1140" s="74">
        <v>34.7706987012987</v>
      </c>
      <c r="N1140" s="74">
        <f t="shared" si="1"/>
        <v>52.15604805</v>
      </c>
      <c r="O1140" s="74" t="b">
        <v>1</v>
      </c>
    </row>
    <row r="1141" hidden="1">
      <c r="A1141" s="82"/>
      <c r="B1141" s="65" t="s">
        <v>750</v>
      </c>
      <c r="C1141" s="65" t="s">
        <v>107</v>
      </c>
      <c r="D1141" s="65" t="str">
        <f>vlookup(C1141,'Classificação p pessoal'!F:G,2,false)</f>
        <v>NP</v>
      </c>
      <c r="E1141" s="65" t="s">
        <v>757</v>
      </c>
      <c r="F1141" s="83">
        <v>0.375</v>
      </c>
      <c r="G1141" s="83">
        <v>0.5</v>
      </c>
      <c r="H1141" s="83">
        <v>0.125</v>
      </c>
      <c r="I1141" s="84">
        <v>44314.0</v>
      </c>
      <c r="J1141" s="65" t="b">
        <v>1</v>
      </c>
      <c r="K1141" s="65"/>
      <c r="L1141" s="85" t="b">
        <f>IF(VLOOKUP(C1141,Projetos!A:L,12,false)=TRUE,TRUE,FALSE)</f>
        <v>1</v>
      </c>
      <c r="M1141" s="74">
        <v>34.7706987012987</v>
      </c>
      <c r="N1141" s="74">
        <f t="shared" si="1"/>
        <v>104.3120961</v>
      </c>
      <c r="O1141" s="74" t="b">
        <v>1</v>
      </c>
    </row>
    <row r="1142" hidden="1">
      <c r="A1142" s="82"/>
      <c r="B1142" s="65" t="s">
        <v>750</v>
      </c>
      <c r="C1142" s="65" t="s">
        <v>107</v>
      </c>
      <c r="D1142" s="65" t="str">
        <f>vlookup(C1142,'Classificação p pessoal'!F:G,2,false)</f>
        <v>NP</v>
      </c>
      <c r="E1142" s="65" t="s">
        <v>757</v>
      </c>
      <c r="F1142" s="83">
        <v>0.375</v>
      </c>
      <c r="G1142" s="83">
        <v>0.4166666666666667</v>
      </c>
      <c r="H1142" s="83">
        <v>0.041666666666666664</v>
      </c>
      <c r="I1142" s="84">
        <v>44315.0</v>
      </c>
      <c r="J1142" s="65" t="b">
        <v>1</v>
      </c>
      <c r="K1142" s="65"/>
      <c r="L1142" s="85" t="b">
        <f>IF(VLOOKUP(C1142,Projetos!A:L,12,false)=TRUE,TRUE,FALSE)</f>
        <v>1</v>
      </c>
      <c r="M1142" s="74">
        <v>34.7706987012987</v>
      </c>
      <c r="N1142" s="74">
        <f t="shared" si="1"/>
        <v>34.7706987</v>
      </c>
      <c r="O1142" s="74" t="b">
        <v>1</v>
      </c>
    </row>
    <row r="1143" hidden="1">
      <c r="A1143" s="82"/>
      <c r="B1143" s="65" t="s">
        <v>750</v>
      </c>
      <c r="C1143" s="65" t="s">
        <v>100</v>
      </c>
      <c r="D1143" s="65" t="str">
        <f>vlookup(C1143,'Classificação p pessoal'!F:G,2,false)</f>
        <v>NP</v>
      </c>
      <c r="E1143" s="65" t="s">
        <v>151</v>
      </c>
      <c r="F1143" s="83">
        <v>0.5833333333333334</v>
      </c>
      <c r="G1143" s="83">
        <v>0.6666666666666666</v>
      </c>
      <c r="H1143" s="83">
        <v>0.08333333333333333</v>
      </c>
      <c r="I1143" s="84">
        <v>44315.0</v>
      </c>
      <c r="J1143" s="65" t="b">
        <v>1</v>
      </c>
      <c r="K1143" s="65"/>
      <c r="L1143" s="85" t="b">
        <f>IF(VLOOKUP(C1143,Projetos!A:L,12,false)=TRUE,TRUE,FALSE)</f>
        <v>1</v>
      </c>
      <c r="M1143" s="74">
        <v>34.7706987012987</v>
      </c>
      <c r="N1143" s="74">
        <f t="shared" si="1"/>
        <v>69.5413974</v>
      </c>
      <c r="O1143" s="74" t="b">
        <v>1</v>
      </c>
    </row>
    <row r="1144" hidden="1">
      <c r="A1144" s="82"/>
      <c r="B1144" s="65" t="s">
        <v>750</v>
      </c>
      <c r="C1144" s="65" t="s">
        <v>91</v>
      </c>
      <c r="D1144" s="65" t="str">
        <f>vlookup(C1144,'Classificação p pessoal'!F:G,2,false)</f>
        <v>NP</v>
      </c>
      <c r="E1144" s="65" t="s">
        <v>159</v>
      </c>
      <c r="F1144" s="83">
        <v>0.7083333333333334</v>
      </c>
      <c r="G1144" s="83">
        <v>0.75</v>
      </c>
      <c r="H1144" s="83">
        <v>0.041666666666666664</v>
      </c>
      <c r="I1144" s="84">
        <v>44315.0</v>
      </c>
      <c r="J1144" s="65" t="b">
        <v>1</v>
      </c>
      <c r="K1144" s="65"/>
      <c r="L1144" s="85" t="b">
        <f>IF(VLOOKUP(C1144,Projetos!A:L,12,false)=TRUE,TRUE,FALSE)</f>
        <v>1</v>
      </c>
      <c r="M1144" s="74">
        <v>34.7706987012987</v>
      </c>
      <c r="N1144" s="74">
        <f t="shared" si="1"/>
        <v>34.7706987</v>
      </c>
      <c r="O1144" s="74" t="b">
        <v>1</v>
      </c>
    </row>
    <row r="1145" hidden="1">
      <c r="A1145" s="82"/>
      <c r="B1145" s="65" t="s">
        <v>750</v>
      </c>
      <c r="C1145" s="65" t="s">
        <v>107</v>
      </c>
      <c r="D1145" s="65" t="str">
        <f>vlookup(C1145,'Classificação p pessoal'!F:G,2,false)</f>
        <v>NP</v>
      </c>
      <c r="E1145" s="65" t="s">
        <v>757</v>
      </c>
      <c r="F1145" s="83">
        <v>0.375</v>
      </c>
      <c r="G1145" s="83">
        <v>0.4583333333333333</v>
      </c>
      <c r="H1145" s="83">
        <v>0.08333333333333333</v>
      </c>
      <c r="I1145" s="84">
        <v>44316.0</v>
      </c>
      <c r="J1145" s="65" t="b">
        <v>1</v>
      </c>
      <c r="K1145" s="65"/>
      <c r="L1145" s="85" t="b">
        <f>IF(VLOOKUP(C1145,Projetos!A:L,12,false)=TRUE,TRUE,FALSE)</f>
        <v>1</v>
      </c>
      <c r="M1145" s="74">
        <v>34.7706987012987</v>
      </c>
      <c r="N1145" s="74">
        <f t="shared" si="1"/>
        <v>69.5413974</v>
      </c>
      <c r="O1145" s="74" t="b">
        <v>1</v>
      </c>
    </row>
    <row r="1146" hidden="1">
      <c r="A1146" s="82"/>
      <c r="B1146" s="65" t="s">
        <v>750</v>
      </c>
      <c r="C1146" s="65" t="s">
        <v>118</v>
      </c>
      <c r="D1146" s="65"/>
      <c r="E1146" s="65" t="s">
        <v>756</v>
      </c>
      <c r="F1146" s="83">
        <v>0.5833333333333334</v>
      </c>
      <c r="G1146" s="83">
        <v>0.6666666666666666</v>
      </c>
      <c r="H1146" s="83">
        <v>0.08333333333333333</v>
      </c>
      <c r="I1146" s="84">
        <v>44316.0</v>
      </c>
      <c r="J1146" s="65" t="b">
        <v>0</v>
      </c>
      <c r="K1146" s="65" t="s">
        <v>150</v>
      </c>
      <c r="L1146" s="85" t="b">
        <f>IF(VLOOKUP(C1146,Projetos!A:L,12,false)=TRUE,TRUE,FALSE)</f>
        <v>1</v>
      </c>
      <c r="M1146" s="74">
        <v>34.7706987012987</v>
      </c>
      <c r="N1146" s="74">
        <f t="shared" si="1"/>
        <v>0</v>
      </c>
      <c r="O1146" s="74" t="b">
        <v>1</v>
      </c>
    </row>
    <row r="1147" hidden="1">
      <c r="A1147" s="82"/>
      <c r="B1147" s="65" t="s">
        <v>750</v>
      </c>
      <c r="C1147" s="65" t="s">
        <v>85</v>
      </c>
      <c r="D1147" s="65" t="str">
        <f>vlookup(C1147,'Classificação p pessoal'!F:G,2,false)</f>
        <v>NP</v>
      </c>
      <c r="E1147" s="65" t="s">
        <v>752</v>
      </c>
      <c r="F1147" s="83">
        <v>0.7083333333333334</v>
      </c>
      <c r="G1147" s="83">
        <v>0.75</v>
      </c>
      <c r="H1147" s="83">
        <v>0.041666666666666664</v>
      </c>
      <c r="I1147" s="84">
        <v>44316.0</v>
      </c>
      <c r="J1147" s="65" t="b">
        <v>1</v>
      </c>
      <c r="K1147" s="65"/>
      <c r="L1147" s="85" t="b">
        <f>IF(VLOOKUP(C1147,Projetos!A:L,12,false)=TRUE,TRUE,FALSE)</f>
        <v>1</v>
      </c>
      <c r="M1147" s="74">
        <v>34.7706987012987</v>
      </c>
      <c r="N1147" s="74">
        <f t="shared" si="1"/>
        <v>34.7706987</v>
      </c>
      <c r="O1147" s="74" t="b">
        <v>1</v>
      </c>
    </row>
    <row r="1148" hidden="1">
      <c r="A1148" s="82"/>
      <c r="B1148" s="65" t="s">
        <v>750</v>
      </c>
      <c r="C1148" s="65" t="s">
        <v>118</v>
      </c>
      <c r="D1148" s="65"/>
      <c r="E1148" s="65" t="s">
        <v>756</v>
      </c>
      <c r="F1148" s="83">
        <v>0.375</v>
      </c>
      <c r="G1148" s="83">
        <v>0.5416666666666666</v>
      </c>
      <c r="H1148" s="83">
        <v>0.16666666666666666</v>
      </c>
      <c r="I1148" s="84">
        <v>44319.0</v>
      </c>
      <c r="J1148" s="65" t="b">
        <v>0</v>
      </c>
      <c r="K1148" s="65" t="s">
        <v>150</v>
      </c>
      <c r="L1148" s="85" t="b">
        <f>IF(VLOOKUP(C1148,Projetos!A:L,12,false)=TRUE,TRUE,FALSE)</f>
        <v>1</v>
      </c>
      <c r="M1148" s="74">
        <v>34.7706987012987</v>
      </c>
      <c r="N1148" s="74">
        <f t="shared" si="1"/>
        <v>0</v>
      </c>
      <c r="O1148" s="74" t="b">
        <v>1</v>
      </c>
    </row>
    <row r="1149" hidden="1">
      <c r="A1149" s="82"/>
      <c r="B1149" s="65" t="s">
        <v>750</v>
      </c>
      <c r="C1149" s="65" t="s">
        <v>107</v>
      </c>
      <c r="D1149" s="65" t="str">
        <f>vlookup(C1149,'Classificação p pessoal'!F:G,2,false)</f>
        <v>NP</v>
      </c>
      <c r="E1149" s="65" t="s">
        <v>759</v>
      </c>
      <c r="F1149" s="83">
        <v>0.625</v>
      </c>
      <c r="G1149" s="83">
        <v>0.75</v>
      </c>
      <c r="H1149" s="83">
        <v>0.125</v>
      </c>
      <c r="I1149" s="84">
        <v>44319.0</v>
      </c>
      <c r="J1149" s="65" t="b">
        <v>1</v>
      </c>
      <c r="K1149" s="65"/>
      <c r="L1149" s="85" t="b">
        <f>IF(VLOOKUP(C1149,Projetos!A:L,12,false)=TRUE,TRUE,FALSE)</f>
        <v>1</v>
      </c>
      <c r="M1149" s="74">
        <v>34.7706987012987</v>
      </c>
      <c r="N1149" s="74">
        <f t="shared" si="1"/>
        <v>104.3120961</v>
      </c>
      <c r="O1149" s="74" t="b">
        <v>1</v>
      </c>
    </row>
    <row r="1150" hidden="1">
      <c r="A1150" s="82"/>
      <c r="B1150" s="65" t="s">
        <v>750</v>
      </c>
      <c r="C1150" s="65" t="s">
        <v>92</v>
      </c>
      <c r="D1150" s="65" t="str">
        <f>vlookup(C1150,'Classificação p pessoal'!F:G,2,false)</f>
        <v/>
      </c>
      <c r="E1150" s="65" t="s">
        <v>760</v>
      </c>
      <c r="F1150" s="83">
        <v>0.375</v>
      </c>
      <c r="G1150" s="83">
        <v>0.4166666666666667</v>
      </c>
      <c r="H1150" s="83">
        <v>0.041666666666666664</v>
      </c>
      <c r="I1150" s="84">
        <v>44320.0</v>
      </c>
      <c r="J1150" s="65" t="b">
        <v>1</v>
      </c>
      <c r="K1150" s="65"/>
      <c r="L1150" s="85" t="b">
        <f>IF(VLOOKUP(C1150,Projetos!A:L,12,false)=TRUE,TRUE,FALSE)</f>
        <v>1</v>
      </c>
      <c r="M1150" s="74">
        <v>34.7706987012987</v>
      </c>
      <c r="N1150" s="74">
        <f t="shared" si="1"/>
        <v>34.7706987</v>
      </c>
      <c r="O1150" s="74" t="b">
        <v>1</v>
      </c>
    </row>
    <row r="1151" hidden="1">
      <c r="A1151" s="82"/>
      <c r="B1151" s="65" t="s">
        <v>750</v>
      </c>
      <c r="C1151" s="65" t="s">
        <v>118</v>
      </c>
      <c r="D1151" s="65"/>
      <c r="E1151" s="65" t="s">
        <v>756</v>
      </c>
      <c r="F1151" s="83">
        <v>0.4583333333333333</v>
      </c>
      <c r="G1151" s="83">
        <v>0.5416666666666666</v>
      </c>
      <c r="H1151" s="83">
        <v>0.08333333333333333</v>
      </c>
      <c r="I1151" s="84">
        <v>44320.0</v>
      </c>
      <c r="J1151" s="65" t="b">
        <v>0</v>
      </c>
      <c r="K1151" s="65" t="s">
        <v>150</v>
      </c>
      <c r="L1151" s="85" t="b">
        <f>IF(VLOOKUP(C1151,Projetos!A:L,12,false)=TRUE,TRUE,FALSE)</f>
        <v>1</v>
      </c>
      <c r="M1151" s="74">
        <v>34.7706987012987</v>
      </c>
      <c r="N1151" s="74">
        <f t="shared" si="1"/>
        <v>0</v>
      </c>
      <c r="O1151" s="74" t="b">
        <v>1</v>
      </c>
    </row>
    <row r="1152" hidden="1">
      <c r="A1152" s="82"/>
      <c r="B1152" s="65" t="s">
        <v>750</v>
      </c>
      <c r="C1152" s="65" t="s">
        <v>107</v>
      </c>
      <c r="D1152" s="65" t="str">
        <f>vlookup(C1152,'Classificação p pessoal'!F:G,2,false)</f>
        <v>NP</v>
      </c>
      <c r="E1152" s="65" t="s">
        <v>757</v>
      </c>
      <c r="F1152" s="83">
        <v>0.625</v>
      </c>
      <c r="G1152" s="83">
        <v>0.75</v>
      </c>
      <c r="H1152" s="83">
        <v>0.125</v>
      </c>
      <c r="I1152" s="84">
        <v>44320.0</v>
      </c>
      <c r="J1152" s="65" t="b">
        <v>1</v>
      </c>
      <c r="K1152" s="65"/>
      <c r="L1152" s="85" t="b">
        <f>IF(VLOOKUP(C1152,Projetos!A:L,12,false)=TRUE,TRUE,FALSE)</f>
        <v>1</v>
      </c>
      <c r="M1152" s="74">
        <v>34.7706987012987</v>
      </c>
      <c r="N1152" s="74">
        <f t="shared" si="1"/>
        <v>104.3120961</v>
      </c>
      <c r="O1152" s="74" t="b">
        <v>1</v>
      </c>
    </row>
    <row r="1153" hidden="1">
      <c r="A1153" s="82"/>
      <c r="B1153" s="65" t="s">
        <v>750</v>
      </c>
      <c r="C1153" s="65" t="s">
        <v>85</v>
      </c>
      <c r="D1153" s="65" t="str">
        <f>vlookup(C1153,'Classificação p pessoal'!F:G,2,false)</f>
        <v>NP</v>
      </c>
      <c r="E1153" s="65" t="s">
        <v>752</v>
      </c>
      <c r="F1153" s="83">
        <v>0.3541666666666667</v>
      </c>
      <c r="G1153" s="83">
        <v>0.4166666666666667</v>
      </c>
      <c r="H1153" s="83">
        <v>0.0625</v>
      </c>
      <c r="I1153" s="84">
        <v>44321.0</v>
      </c>
      <c r="J1153" s="65" t="b">
        <v>1</v>
      </c>
      <c r="K1153" s="65"/>
      <c r="L1153" s="85" t="b">
        <f>IF(VLOOKUP(C1153,Projetos!A:L,12,false)=TRUE,TRUE,FALSE)</f>
        <v>1</v>
      </c>
      <c r="M1153" s="74">
        <v>34.7706987012987</v>
      </c>
      <c r="N1153" s="74">
        <f t="shared" si="1"/>
        <v>52.15604805</v>
      </c>
      <c r="O1153" s="74" t="b">
        <v>1</v>
      </c>
    </row>
    <row r="1154" hidden="1">
      <c r="A1154" s="82"/>
      <c r="B1154" s="65" t="s">
        <v>750</v>
      </c>
      <c r="C1154" s="65" t="s">
        <v>107</v>
      </c>
      <c r="D1154" s="65" t="str">
        <f>vlookup(C1154,'Classificação p pessoal'!F:G,2,false)</f>
        <v>NP</v>
      </c>
      <c r="E1154" s="65" t="s">
        <v>757</v>
      </c>
      <c r="F1154" s="83">
        <v>0.4375</v>
      </c>
      <c r="G1154" s="83">
        <v>0.5</v>
      </c>
      <c r="H1154" s="83">
        <v>0.0625</v>
      </c>
      <c r="I1154" s="84">
        <v>44321.0</v>
      </c>
      <c r="J1154" s="65" t="b">
        <v>1</v>
      </c>
      <c r="K1154" s="65"/>
      <c r="L1154" s="85" t="b">
        <f>IF(VLOOKUP(C1154,Projetos!A:L,12,false)=TRUE,TRUE,FALSE)</f>
        <v>1</v>
      </c>
      <c r="M1154" s="74">
        <v>34.7706987012987</v>
      </c>
      <c r="N1154" s="74">
        <f t="shared" si="1"/>
        <v>52.15604805</v>
      </c>
      <c r="O1154" s="74" t="b">
        <v>1</v>
      </c>
    </row>
    <row r="1155" hidden="1">
      <c r="A1155" s="82"/>
      <c r="B1155" s="65" t="s">
        <v>750</v>
      </c>
      <c r="C1155" s="65" t="s">
        <v>118</v>
      </c>
      <c r="D1155" s="65"/>
      <c r="E1155" s="65" t="s">
        <v>756</v>
      </c>
      <c r="F1155" s="83">
        <v>0.625</v>
      </c>
      <c r="G1155" s="83">
        <v>0.75</v>
      </c>
      <c r="H1155" s="83">
        <v>0.125</v>
      </c>
      <c r="I1155" s="84">
        <v>44321.0</v>
      </c>
      <c r="J1155" s="65" t="b">
        <v>0</v>
      </c>
      <c r="K1155" s="65" t="s">
        <v>150</v>
      </c>
      <c r="L1155" s="85" t="b">
        <f>IF(VLOOKUP(C1155,Projetos!A:L,12,false)=TRUE,TRUE,FALSE)</f>
        <v>1</v>
      </c>
      <c r="M1155" s="74">
        <v>34.7706987012987</v>
      </c>
      <c r="N1155" s="74">
        <f t="shared" si="1"/>
        <v>0</v>
      </c>
      <c r="O1155" s="74" t="b">
        <v>1</v>
      </c>
    </row>
    <row r="1156" hidden="1">
      <c r="A1156" s="82"/>
      <c r="B1156" s="65" t="s">
        <v>750</v>
      </c>
      <c r="C1156" s="65" t="s">
        <v>91</v>
      </c>
      <c r="D1156" s="65" t="str">
        <f>vlookup(C1156,'Classificação p pessoal'!F:G,2,false)</f>
        <v>NP</v>
      </c>
      <c r="E1156" s="65" t="s">
        <v>761</v>
      </c>
      <c r="F1156" s="83">
        <v>0.375</v>
      </c>
      <c r="G1156" s="83">
        <v>0.5</v>
      </c>
      <c r="H1156" s="83">
        <v>0.125</v>
      </c>
      <c r="I1156" s="84">
        <v>44322.0</v>
      </c>
      <c r="J1156" s="65" t="b">
        <v>1</v>
      </c>
      <c r="K1156" s="65"/>
      <c r="L1156" s="85" t="b">
        <f>IF(VLOOKUP(C1156,Projetos!A:L,12,false)=TRUE,TRUE,FALSE)</f>
        <v>1</v>
      </c>
      <c r="M1156" s="74">
        <v>34.7706987012987</v>
      </c>
      <c r="N1156" s="74">
        <f t="shared" si="1"/>
        <v>104.3120961</v>
      </c>
      <c r="O1156" s="74" t="b">
        <v>1</v>
      </c>
    </row>
    <row r="1157" hidden="1">
      <c r="A1157" s="82"/>
      <c r="B1157" s="65" t="s">
        <v>750</v>
      </c>
      <c r="C1157" s="65" t="s">
        <v>107</v>
      </c>
      <c r="D1157" s="65" t="str">
        <f>vlookup(C1157,'Classificação p pessoal'!F:G,2,false)</f>
        <v>NP</v>
      </c>
      <c r="E1157" s="65" t="s">
        <v>757</v>
      </c>
      <c r="F1157" s="83">
        <v>0.5833333333333334</v>
      </c>
      <c r="G1157" s="83">
        <v>0.7083333333333334</v>
      </c>
      <c r="H1157" s="83">
        <v>0.125</v>
      </c>
      <c r="I1157" s="84">
        <v>44322.0</v>
      </c>
      <c r="J1157" s="65" t="b">
        <v>1</v>
      </c>
      <c r="K1157" s="65"/>
      <c r="L1157" s="85" t="b">
        <f>IF(VLOOKUP(C1157,Projetos!A:L,12,false)=TRUE,TRUE,FALSE)</f>
        <v>1</v>
      </c>
      <c r="M1157" s="74">
        <v>34.7706987012987</v>
      </c>
      <c r="N1157" s="74">
        <f t="shared" si="1"/>
        <v>104.3120961</v>
      </c>
      <c r="O1157" s="74" t="b">
        <v>1</v>
      </c>
    </row>
    <row r="1158" hidden="1">
      <c r="A1158" s="82"/>
      <c r="B1158" s="65" t="s">
        <v>750</v>
      </c>
      <c r="C1158" s="65" t="s">
        <v>118</v>
      </c>
      <c r="D1158" s="65"/>
      <c r="E1158" s="65" t="s">
        <v>756</v>
      </c>
      <c r="F1158" s="83">
        <v>0.375</v>
      </c>
      <c r="G1158" s="83">
        <v>0.5416666666666666</v>
      </c>
      <c r="H1158" s="83">
        <v>0.16666666666666666</v>
      </c>
      <c r="I1158" s="84">
        <v>44323.0</v>
      </c>
      <c r="J1158" s="65" t="b">
        <v>0</v>
      </c>
      <c r="K1158" s="65" t="s">
        <v>150</v>
      </c>
      <c r="L1158" s="85" t="b">
        <f>IF(VLOOKUP(C1158,Projetos!A:L,12,false)=TRUE,TRUE,FALSE)</f>
        <v>1</v>
      </c>
      <c r="M1158" s="74">
        <v>34.7706987012987</v>
      </c>
      <c r="N1158" s="74">
        <f t="shared" si="1"/>
        <v>0</v>
      </c>
      <c r="O1158" s="74" t="b">
        <v>1</v>
      </c>
    </row>
    <row r="1159" hidden="1">
      <c r="A1159" s="82"/>
      <c r="B1159" s="65" t="s">
        <v>750</v>
      </c>
      <c r="C1159" s="65" t="s">
        <v>118</v>
      </c>
      <c r="D1159" s="65"/>
      <c r="E1159" s="65" t="s">
        <v>756</v>
      </c>
      <c r="F1159" s="83">
        <v>0.3541666666666667</v>
      </c>
      <c r="G1159" s="83">
        <v>0.5</v>
      </c>
      <c r="H1159" s="83">
        <v>0.14583333333333334</v>
      </c>
      <c r="I1159" s="84">
        <v>44326.0</v>
      </c>
      <c r="J1159" s="65" t="b">
        <v>0</v>
      </c>
      <c r="K1159" s="65" t="s">
        <v>150</v>
      </c>
      <c r="L1159" s="85" t="b">
        <f>IF(VLOOKUP(C1159,Projetos!A:L,12,false)=TRUE,TRUE,FALSE)</f>
        <v>1</v>
      </c>
      <c r="M1159" s="74">
        <v>34.7706987012987</v>
      </c>
      <c r="N1159" s="74">
        <f t="shared" si="1"/>
        <v>0</v>
      </c>
      <c r="O1159" s="74" t="b">
        <v>1</v>
      </c>
    </row>
    <row r="1160" hidden="1">
      <c r="A1160" s="82"/>
      <c r="B1160" s="65" t="s">
        <v>750</v>
      </c>
      <c r="C1160" s="65" t="s">
        <v>102</v>
      </c>
      <c r="D1160" s="65" t="str">
        <f>vlookup(C1160,'Classificação p pessoal'!F:G,2,false)</f>
        <v>NP</v>
      </c>
      <c r="E1160" s="65" t="s">
        <v>762</v>
      </c>
      <c r="F1160" s="83">
        <v>0.5833333333333334</v>
      </c>
      <c r="G1160" s="83">
        <v>0.6666666666666666</v>
      </c>
      <c r="H1160" s="83">
        <v>0.08333333333333333</v>
      </c>
      <c r="I1160" s="84">
        <v>44326.0</v>
      </c>
      <c r="J1160" s="65" t="b">
        <v>1</v>
      </c>
      <c r="K1160" s="65"/>
      <c r="L1160" s="85" t="b">
        <f>IF(VLOOKUP(C1160,Projetos!A:L,12,false)=TRUE,TRUE,FALSE)</f>
        <v>1</v>
      </c>
      <c r="M1160" s="74">
        <v>34.7706987012987</v>
      </c>
      <c r="N1160" s="74">
        <f t="shared" si="1"/>
        <v>69.5413974</v>
      </c>
      <c r="O1160" s="74" t="b">
        <v>1</v>
      </c>
    </row>
    <row r="1161" hidden="1">
      <c r="A1161" s="82"/>
      <c r="B1161" s="65" t="s">
        <v>750</v>
      </c>
      <c r="C1161" s="65" t="s">
        <v>107</v>
      </c>
      <c r="D1161" s="65" t="str">
        <f>vlookup(C1161,'Classificação p pessoal'!F:G,2,false)</f>
        <v>NP</v>
      </c>
      <c r="E1161" s="65" t="s">
        <v>757</v>
      </c>
      <c r="F1161" s="83">
        <v>0.6666666666666666</v>
      </c>
      <c r="G1161" s="83">
        <v>0.75</v>
      </c>
      <c r="H1161" s="83">
        <v>0.08333333333333333</v>
      </c>
      <c r="I1161" s="84">
        <v>44326.0</v>
      </c>
      <c r="J1161" s="65" t="b">
        <v>1</v>
      </c>
      <c r="K1161" s="65"/>
      <c r="L1161" s="85" t="b">
        <f>IF(VLOOKUP(C1161,Projetos!A:L,12,false)=TRUE,TRUE,FALSE)</f>
        <v>1</v>
      </c>
      <c r="M1161" s="74">
        <v>34.7706987012987</v>
      </c>
      <c r="N1161" s="74">
        <f t="shared" si="1"/>
        <v>69.5413974</v>
      </c>
      <c r="O1161" s="74" t="b">
        <v>1</v>
      </c>
    </row>
    <row r="1162" hidden="1">
      <c r="A1162" s="82"/>
      <c r="B1162" s="65" t="s">
        <v>750</v>
      </c>
      <c r="C1162" s="65" t="s">
        <v>85</v>
      </c>
      <c r="D1162" s="65" t="str">
        <f>vlookup(C1162,'Classificação p pessoal'!F:G,2,false)</f>
        <v>NP</v>
      </c>
      <c r="E1162" s="65" t="s">
        <v>752</v>
      </c>
      <c r="F1162" s="83">
        <v>0.5416666666666666</v>
      </c>
      <c r="G1162" s="83">
        <v>0.75</v>
      </c>
      <c r="H1162" s="83">
        <v>0.20833333333333334</v>
      </c>
      <c r="I1162" s="84">
        <v>44327.0</v>
      </c>
      <c r="J1162" s="65" t="b">
        <v>1</v>
      </c>
      <c r="K1162" s="65"/>
      <c r="L1162" s="85" t="b">
        <f>IF(VLOOKUP(C1162,Projetos!A:L,12,false)=TRUE,TRUE,FALSE)</f>
        <v>1</v>
      </c>
      <c r="M1162" s="74">
        <v>34.7706987012987</v>
      </c>
      <c r="N1162" s="74">
        <f t="shared" si="1"/>
        <v>173.8534935</v>
      </c>
      <c r="O1162" s="74" t="b">
        <v>1</v>
      </c>
    </row>
    <row r="1163" hidden="1">
      <c r="A1163" s="82"/>
      <c r="B1163" s="65" t="s">
        <v>750</v>
      </c>
      <c r="C1163" s="65" t="s">
        <v>118</v>
      </c>
      <c r="D1163" s="65"/>
      <c r="E1163" s="65" t="s">
        <v>756</v>
      </c>
      <c r="F1163" s="83">
        <v>0.3541666666666667</v>
      </c>
      <c r="G1163" s="83">
        <v>0.5</v>
      </c>
      <c r="H1163" s="83">
        <v>0.14583333333333334</v>
      </c>
      <c r="I1163" s="84">
        <v>44328.0</v>
      </c>
      <c r="J1163" s="65" t="b">
        <v>0</v>
      </c>
      <c r="K1163" s="65" t="s">
        <v>150</v>
      </c>
      <c r="L1163" s="85" t="b">
        <f>IF(VLOOKUP(C1163,Projetos!A:L,12,false)=TRUE,TRUE,FALSE)</f>
        <v>1</v>
      </c>
      <c r="M1163" s="74">
        <v>34.7706987012987</v>
      </c>
      <c r="N1163" s="74">
        <f t="shared" si="1"/>
        <v>0</v>
      </c>
      <c r="O1163" s="74" t="b">
        <v>1</v>
      </c>
    </row>
    <row r="1164" hidden="1">
      <c r="A1164" s="82"/>
      <c r="B1164" s="65" t="s">
        <v>750</v>
      </c>
      <c r="C1164" s="65" t="s">
        <v>107</v>
      </c>
      <c r="D1164" s="65" t="str">
        <f>vlookup(C1164,'Classificação p pessoal'!F:G,2,false)</f>
        <v>NP</v>
      </c>
      <c r="E1164" s="65" t="s">
        <v>757</v>
      </c>
      <c r="F1164" s="83">
        <v>0.375</v>
      </c>
      <c r="G1164" s="83">
        <v>0.5</v>
      </c>
      <c r="H1164" s="83">
        <v>0.125</v>
      </c>
      <c r="I1164" s="84">
        <v>44329.0</v>
      </c>
      <c r="J1164" s="65" t="b">
        <v>1</v>
      </c>
      <c r="K1164" s="65"/>
      <c r="L1164" s="85" t="b">
        <f>IF(VLOOKUP(C1164,Projetos!A:L,12,false)=TRUE,TRUE,FALSE)</f>
        <v>1</v>
      </c>
      <c r="M1164" s="74">
        <v>34.7706987012987</v>
      </c>
      <c r="N1164" s="74">
        <f t="shared" si="1"/>
        <v>104.3120961</v>
      </c>
      <c r="O1164" s="74" t="b">
        <v>1</v>
      </c>
    </row>
    <row r="1165" hidden="1">
      <c r="A1165" s="82"/>
      <c r="B1165" s="65" t="s">
        <v>750</v>
      </c>
      <c r="C1165" s="65" t="s">
        <v>118</v>
      </c>
      <c r="D1165" s="65"/>
      <c r="E1165" s="65" t="s">
        <v>756</v>
      </c>
      <c r="F1165" s="83">
        <v>0.5833333333333334</v>
      </c>
      <c r="G1165" s="83">
        <v>0.75</v>
      </c>
      <c r="H1165" s="83">
        <v>0.16666666666666666</v>
      </c>
      <c r="I1165" s="84">
        <v>44329.0</v>
      </c>
      <c r="J1165" s="65" t="b">
        <v>0</v>
      </c>
      <c r="K1165" s="65" t="s">
        <v>150</v>
      </c>
      <c r="L1165" s="85" t="b">
        <f>IF(VLOOKUP(C1165,Projetos!A:L,12,false)=TRUE,TRUE,FALSE)</f>
        <v>1</v>
      </c>
      <c r="M1165" s="74">
        <v>34.7706987012987</v>
      </c>
      <c r="N1165" s="74">
        <f t="shared" si="1"/>
        <v>0</v>
      </c>
      <c r="O1165" s="74" t="b">
        <v>1</v>
      </c>
    </row>
    <row r="1166" hidden="1">
      <c r="A1166" s="82"/>
      <c r="B1166" s="65" t="s">
        <v>750</v>
      </c>
      <c r="C1166" s="65" t="s">
        <v>107</v>
      </c>
      <c r="D1166" s="65" t="str">
        <f>vlookup(C1166,'Classificação p pessoal'!F:G,2,false)</f>
        <v>NP</v>
      </c>
      <c r="E1166" s="65" t="s">
        <v>757</v>
      </c>
      <c r="F1166" s="83">
        <v>0.375</v>
      </c>
      <c r="G1166" s="83">
        <v>0.5</v>
      </c>
      <c r="H1166" s="83">
        <v>0.125</v>
      </c>
      <c r="I1166" s="84">
        <v>44330.0</v>
      </c>
      <c r="J1166" s="65" t="b">
        <v>1</v>
      </c>
      <c r="K1166" s="65"/>
      <c r="L1166" s="85" t="b">
        <f>IF(VLOOKUP(C1166,Projetos!A:L,12,false)=TRUE,TRUE,FALSE)</f>
        <v>1</v>
      </c>
      <c r="M1166" s="74">
        <v>34.7706987012987</v>
      </c>
      <c r="N1166" s="74">
        <f t="shared" si="1"/>
        <v>104.3120961</v>
      </c>
      <c r="O1166" s="74" t="b">
        <v>1</v>
      </c>
    </row>
    <row r="1167" hidden="1">
      <c r="A1167" s="82"/>
      <c r="B1167" s="65" t="s">
        <v>750</v>
      </c>
      <c r="C1167" s="65" t="s">
        <v>118</v>
      </c>
      <c r="D1167" s="65"/>
      <c r="E1167" s="65" t="s">
        <v>756</v>
      </c>
      <c r="F1167" s="83">
        <v>0.5416666666666666</v>
      </c>
      <c r="G1167" s="83">
        <v>0.625</v>
      </c>
      <c r="H1167" s="83">
        <v>0.08333333333333333</v>
      </c>
      <c r="I1167" s="84">
        <v>44330.0</v>
      </c>
      <c r="J1167" s="65" t="b">
        <v>0</v>
      </c>
      <c r="K1167" s="65" t="s">
        <v>150</v>
      </c>
      <c r="L1167" s="85" t="b">
        <f>IF(VLOOKUP(C1167,Projetos!A:L,12,false)=TRUE,TRUE,FALSE)</f>
        <v>1</v>
      </c>
      <c r="M1167" s="74">
        <v>34.7706987012987</v>
      </c>
      <c r="N1167" s="74">
        <f t="shared" si="1"/>
        <v>0</v>
      </c>
      <c r="O1167" s="74" t="b">
        <v>1</v>
      </c>
    </row>
    <row r="1168" hidden="1">
      <c r="A1168" s="82"/>
      <c r="B1168" s="65" t="s">
        <v>750</v>
      </c>
      <c r="C1168" s="65" t="s">
        <v>102</v>
      </c>
      <c r="D1168" s="65" t="str">
        <f>vlookup(C1168,'Classificação p pessoal'!F:G,2,false)</f>
        <v>NP</v>
      </c>
      <c r="E1168" s="65" t="s">
        <v>762</v>
      </c>
      <c r="F1168" s="83">
        <v>0.6666666666666666</v>
      </c>
      <c r="G1168" s="83">
        <v>0.75</v>
      </c>
      <c r="H1168" s="83">
        <v>0.08333333333333333</v>
      </c>
      <c r="I1168" s="84">
        <v>44330.0</v>
      </c>
      <c r="J1168" s="65" t="b">
        <v>1</v>
      </c>
      <c r="K1168" s="65"/>
      <c r="L1168" s="85" t="b">
        <f>IF(VLOOKUP(C1168,Projetos!A:L,12,false)=TRUE,TRUE,FALSE)</f>
        <v>1</v>
      </c>
      <c r="M1168" s="74">
        <v>34.7706987012987</v>
      </c>
      <c r="N1168" s="74">
        <f t="shared" si="1"/>
        <v>69.5413974</v>
      </c>
      <c r="O1168" s="74" t="b">
        <v>1</v>
      </c>
    </row>
    <row r="1169" hidden="1">
      <c r="A1169" s="82"/>
      <c r="B1169" s="65" t="s">
        <v>750</v>
      </c>
      <c r="C1169" s="65" t="s">
        <v>107</v>
      </c>
      <c r="D1169" s="65" t="str">
        <f>vlookup(C1169,'Classificação p pessoal'!F:G,2,false)</f>
        <v>NP</v>
      </c>
      <c r="E1169" s="65" t="s">
        <v>757</v>
      </c>
      <c r="F1169" s="83">
        <v>0.5416666666666666</v>
      </c>
      <c r="G1169" s="83">
        <v>0.6666666666666666</v>
      </c>
      <c r="H1169" s="83">
        <v>0.125</v>
      </c>
      <c r="I1169" s="84">
        <v>44334.0</v>
      </c>
      <c r="J1169" s="65" t="b">
        <v>1</v>
      </c>
      <c r="K1169" s="65"/>
      <c r="L1169" s="85" t="b">
        <f>IF(VLOOKUP(C1169,Projetos!A:L,12,false)=TRUE,TRUE,FALSE)</f>
        <v>1</v>
      </c>
      <c r="M1169" s="74">
        <v>34.7706987012987</v>
      </c>
      <c r="N1169" s="74">
        <f t="shared" si="1"/>
        <v>104.3120961</v>
      </c>
      <c r="O1169" s="74" t="b">
        <v>1</v>
      </c>
    </row>
    <row r="1170" hidden="1">
      <c r="A1170" s="82"/>
      <c r="B1170" s="65" t="s">
        <v>750</v>
      </c>
      <c r="C1170" s="65" t="s">
        <v>118</v>
      </c>
      <c r="D1170" s="65"/>
      <c r="E1170" s="65" t="s">
        <v>756</v>
      </c>
      <c r="F1170" s="83">
        <v>0.5416666666666666</v>
      </c>
      <c r="G1170" s="83">
        <v>0.75</v>
      </c>
      <c r="H1170" s="83">
        <v>0.20833333333333334</v>
      </c>
      <c r="I1170" s="84">
        <v>44335.0</v>
      </c>
      <c r="J1170" s="65" t="b">
        <v>0</v>
      </c>
      <c r="K1170" s="65" t="s">
        <v>150</v>
      </c>
      <c r="L1170" s="85" t="b">
        <f>IF(VLOOKUP(C1170,Projetos!A:L,12,false)=TRUE,TRUE,FALSE)</f>
        <v>1</v>
      </c>
      <c r="M1170" s="74">
        <v>34.7706987012987</v>
      </c>
      <c r="N1170" s="74">
        <f t="shared" si="1"/>
        <v>0</v>
      </c>
      <c r="O1170" s="74" t="b">
        <v>1</v>
      </c>
    </row>
    <row r="1171" hidden="1">
      <c r="A1171" s="82"/>
      <c r="B1171" s="65" t="s">
        <v>750</v>
      </c>
      <c r="C1171" s="65" t="s">
        <v>107</v>
      </c>
      <c r="D1171" s="65" t="str">
        <f>vlookup(C1171,'Classificação p pessoal'!F:G,2,false)</f>
        <v>NP</v>
      </c>
      <c r="E1171" s="65" t="s">
        <v>763</v>
      </c>
      <c r="F1171" s="83">
        <v>0.375</v>
      </c>
      <c r="G1171" s="83">
        <v>0.5833333333333334</v>
      </c>
      <c r="H1171" s="83">
        <v>0.20833333333333334</v>
      </c>
      <c r="I1171" s="84">
        <v>44337.0</v>
      </c>
      <c r="J1171" s="65" t="b">
        <v>1</v>
      </c>
      <c r="K1171" s="65"/>
      <c r="L1171" s="85" t="b">
        <f>IF(VLOOKUP(C1171,Projetos!A:L,12,false)=TRUE,TRUE,FALSE)</f>
        <v>1</v>
      </c>
      <c r="M1171" s="74">
        <v>34.7706987012987</v>
      </c>
      <c r="N1171" s="74">
        <f t="shared" si="1"/>
        <v>173.8534935</v>
      </c>
      <c r="O1171" s="74" t="b">
        <v>1</v>
      </c>
    </row>
    <row r="1172" hidden="1">
      <c r="A1172" s="82"/>
      <c r="B1172" s="65" t="s">
        <v>750</v>
      </c>
      <c r="C1172" s="65" t="s">
        <v>118</v>
      </c>
      <c r="D1172" s="65"/>
      <c r="E1172" s="65" t="s">
        <v>756</v>
      </c>
      <c r="F1172" s="83">
        <v>0.5833333333333334</v>
      </c>
      <c r="G1172" s="83">
        <v>0.6666666666666666</v>
      </c>
      <c r="H1172" s="83">
        <v>0.08333333333333333</v>
      </c>
      <c r="I1172" s="84">
        <v>44340.0</v>
      </c>
      <c r="J1172" s="65" t="b">
        <v>0</v>
      </c>
      <c r="K1172" s="65" t="s">
        <v>150</v>
      </c>
      <c r="L1172" s="85" t="b">
        <f>IF(VLOOKUP(C1172,Projetos!A:L,12,false)=TRUE,TRUE,FALSE)</f>
        <v>1</v>
      </c>
      <c r="M1172" s="74">
        <v>34.7706987012987</v>
      </c>
      <c r="N1172" s="74">
        <f t="shared" si="1"/>
        <v>0</v>
      </c>
      <c r="O1172" s="74" t="b">
        <v>1</v>
      </c>
    </row>
    <row r="1173" hidden="1">
      <c r="A1173" s="82"/>
      <c r="B1173" s="65" t="s">
        <v>750</v>
      </c>
      <c r="C1173" s="65" t="s">
        <v>85</v>
      </c>
      <c r="D1173" s="65" t="str">
        <f>vlookup(C1173,'Classificação p pessoal'!F:G,2,false)</f>
        <v>NP</v>
      </c>
      <c r="E1173" s="65" t="s">
        <v>752</v>
      </c>
      <c r="F1173" s="83">
        <v>0.375</v>
      </c>
      <c r="G1173" s="83">
        <v>0.5</v>
      </c>
      <c r="H1173" s="83">
        <v>0.125</v>
      </c>
      <c r="I1173" s="84">
        <v>44340.0</v>
      </c>
      <c r="J1173" s="65" t="b">
        <v>1</v>
      </c>
      <c r="K1173" s="65"/>
      <c r="L1173" s="85" t="b">
        <f>IF(VLOOKUP(C1173,Projetos!A:L,12,false)=TRUE,TRUE,FALSE)</f>
        <v>1</v>
      </c>
      <c r="M1173" s="74">
        <v>34.7706987012987</v>
      </c>
      <c r="N1173" s="74">
        <f t="shared" si="1"/>
        <v>104.3120961</v>
      </c>
      <c r="O1173" s="74" t="b">
        <v>1</v>
      </c>
    </row>
    <row r="1174" hidden="1">
      <c r="A1174" s="82"/>
      <c r="B1174" s="65" t="s">
        <v>750</v>
      </c>
      <c r="C1174" s="65" t="s">
        <v>91</v>
      </c>
      <c r="D1174" s="65" t="str">
        <f>vlookup(C1174,'Classificação p pessoal'!F:G,2,false)</f>
        <v>NP</v>
      </c>
      <c r="E1174" s="65" t="s">
        <v>764</v>
      </c>
      <c r="F1174" s="83">
        <v>0.5416666666666666</v>
      </c>
      <c r="G1174" s="83">
        <v>0.7083333333333334</v>
      </c>
      <c r="H1174" s="83">
        <v>0.16666666666666666</v>
      </c>
      <c r="I1174" s="84">
        <v>44341.0</v>
      </c>
      <c r="J1174" s="65" t="b">
        <v>1</v>
      </c>
      <c r="K1174" s="65"/>
      <c r="L1174" s="85" t="b">
        <f>IF(VLOOKUP(C1174,Projetos!A:L,12,false)=TRUE,TRUE,FALSE)</f>
        <v>1</v>
      </c>
      <c r="M1174" s="74">
        <v>34.7706987012987</v>
      </c>
      <c r="N1174" s="74">
        <f t="shared" si="1"/>
        <v>139.0827948</v>
      </c>
      <c r="O1174" s="74" t="b">
        <v>1</v>
      </c>
    </row>
    <row r="1175" hidden="1">
      <c r="A1175" s="82"/>
      <c r="B1175" s="65" t="s">
        <v>750</v>
      </c>
      <c r="C1175" s="65" t="s">
        <v>107</v>
      </c>
      <c r="D1175" s="65" t="str">
        <f>vlookup(C1175,'Classificação p pessoal'!F:G,2,false)</f>
        <v>NP</v>
      </c>
      <c r="E1175" s="65" t="s">
        <v>763</v>
      </c>
      <c r="F1175" s="83">
        <v>0.5416666666666666</v>
      </c>
      <c r="G1175" s="83">
        <v>0.7083333333333334</v>
      </c>
      <c r="H1175" s="83">
        <v>0.16666666666666666</v>
      </c>
      <c r="I1175" s="84">
        <v>44342.0</v>
      </c>
      <c r="J1175" s="65" t="b">
        <v>1</v>
      </c>
      <c r="K1175" s="65"/>
      <c r="L1175" s="85" t="b">
        <f>IF(VLOOKUP(C1175,Projetos!A:L,12,false)=TRUE,TRUE,FALSE)</f>
        <v>1</v>
      </c>
      <c r="M1175" s="74">
        <v>34.7706987012987</v>
      </c>
      <c r="N1175" s="74">
        <f t="shared" si="1"/>
        <v>139.0827948</v>
      </c>
      <c r="O1175" s="74" t="b">
        <v>1</v>
      </c>
    </row>
    <row r="1176" hidden="1">
      <c r="A1176" s="82"/>
      <c r="B1176" s="65" t="s">
        <v>750</v>
      </c>
      <c r="C1176" s="65" t="s">
        <v>107</v>
      </c>
      <c r="D1176" s="65" t="str">
        <f>vlookup(C1176,'Classificação p pessoal'!F:G,2,false)</f>
        <v>NP</v>
      </c>
      <c r="E1176" s="65" t="s">
        <v>763</v>
      </c>
      <c r="F1176" s="83">
        <v>0.3541666666666667</v>
      </c>
      <c r="G1176" s="83">
        <v>0.5</v>
      </c>
      <c r="H1176" s="83">
        <v>0.14583333333333334</v>
      </c>
      <c r="I1176" s="84">
        <v>44343.0</v>
      </c>
      <c r="J1176" s="65" t="b">
        <v>1</v>
      </c>
      <c r="K1176" s="65"/>
      <c r="L1176" s="85" t="b">
        <f>IF(VLOOKUP(C1176,Projetos!A:L,12,false)=TRUE,TRUE,FALSE)</f>
        <v>1</v>
      </c>
      <c r="M1176" s="74">
        <v>34.7706987012987</v>
      </c>
      <c r="N1176" s="74">
        <f t="shared" si="1"/>
        <v>121.6974455</v>
      </c>
      <c r="O1176" s="74" t="b">
        <v>1</v>
      </c>
    </row>
    <row r="1177" hidden="1">
      <c r="A1177" s="82"/>
      <c r="B1177" s="65" t="s">
        <v>750</v>
      </c>
      <c r="C1177" s="65" t="s">
        <v>100</v>
      </c>
      <c r="D1177" s="65" t="str">
        <f>vlookup(C1177,'Classificação p pessoal'!F:G,2,false)</f>
        <v>NP</v>
      </c>
      <c r="E1177" s="65" t="s">
        <v>765</v>
      </c>
      <c r="F1177" s="83">
        <v>0.5833333333333334</v>
      </c>
      <c r="G1177" s="83">
        <v>0.6666666666666666</v>
      </c>
      <c r="H1177" s="83">
        <v>0.08333333333333333</v>
      </c>
      <c r="I1177" s="84">
        <v>44343.0</v>
      </c>
      <c r="J1177" s="65" t="b">
        <v>1</v>
      </c>
      <c r="K1177" s="65"/>
      <c r="L1177" s="85" t="b">
        <f>IF(VLOOKUP(C1177,Projetos!A:L,12,false)=TRUE,TRUE,FALSE)</f>
        <v>1</v>
      </c>
      <c r="M1177" s="74">
        <v>34.7706987012987</v>
      </c>
      <c r="N1177" s="74">
        <f t="shared" si="1"/>
        <v>69.5413974</v>
      </c>
      <c r="O1177" s="74" t="b">
        <v>1</v>
      </c>
    </row>
    <row r="1178" hidden="1">
      <c r="A1178" s="82"/>
      <c r="B1178" s="65" t="s">
        <v>750</v>
      </c>
      <c r="C1178" s="65" t="s">
        <v>107</v>
      </c>
      <c r="D1178" s="65" t="str">
        <f>vlookup(C1178,'Classificação p pessoal'!F:G,2,false)</f>
        <v>NP</v>
      </c>
      <c r="E1178" s="65" t="s">
        <v>763</v>
      </c>
      <c r="F1178" s="83">
        <v>0.5416666666666666</v>
      </c>
      <c r="G1178" s="83">
        <v>0.7083333333333334</v>
      </c>
      <c r="H1178" s="83">
        <v>0.16666666666666666</v>
      </c>
      <c r="I1178" s="84">
        <v>44344.0</v>
      </c>
      <c r="J1178" s="65" t="b">
        <v>1</v>
      </c>
      <c r="K1178" s="65"/>
      <c r="L1178" s="85" t="b">
        <f>IF(VLOOKUP(C1178,Projetos!A:L,12,false)=TRUE,TRUE,FALSE)</f>
        <v>1</v>
      </c>
      <c r="M1178" s="74">
        <v>34.7706987012987</v>
      </c>
      <c r="N1178" s="74">
        <f t="shared" si="1"/>
        <v>139.0827948</v>
      </c>
      <c r="O1178" s="74" t="b">
        <v>1</v>
      </c>
    </row>
    <row r="1179" hidden="1">
      <c r="A1179" s="82"/>
      <c r="B1179" s="65" t="s">
        <v>750</v>
      </c>
      <c r="C1179" s="65" t="s">
        <v>107</v>
      </c>
      <c r="D1179" s="65" t="str">
        <f>vlookup(C1179,'Classificação p pessoal'!F:G,2,false)</f>
        <v>NP</v>
      </c>
      <c r="E1179" s="65" t="s">
        <v>763</v>
      </c>
      <c r="F1179" s="83">
        <v>0.375</v>
      </c>
      <c r="G1179" s="83">
        <v>0.5</v>
      </c>
      <c r="H1179" s="83">
        <v>0.125</v>
      </c>
      <c r="I1179" s="84">
        <v>44347.0</v>
      </c>
      <c r="J1179" s="65" t="b">
        <v>1</v>
      </c>
      <c r="K1179" s="65"/>
      <c r="L1179" s="85" t="b">
        <f>IF(VLOOKUP(C1179,Projetos!A:L,12,false)=TRUE,TRUE,FALSE)</f>
        <v>1</v>
      </c>
      <c r="M1179" s="74">
        <v>34.7706987012987</v>
      </c>
      <c r="N1179" s="74">
        <f t="shared" si="1"/>
        <v>104.3120961</v>
      </c>
      <c r="O1179" s="74" t="b">
        <v>1</v>
      </c>
    </row>
    <row r="1180" hidden="1">
      <c r="A1180" s="82"/>
      <c r="B1180" s="65" t="s">
        <v>750</v>
      </c>
      <c r="C1180" s="65" t="s">
        <v>85</v>
      </c>
      <c r="D1180" s="65" t="str">
        <f>vlookup(C1180,'Classificação p pessoal'!F:G,2,false)</f>
        <v>NP</v>
      </c>
      <c r="E1180" s="65" t="s">
        <v>752</v>
      </c>
      <c r="F1180" s="83">
        <v>0.5833333333333334</v>
      </c>
      <c r="G1180" s="83">
        <v>0.7083333333333334</v>
      </c>
      <c r="H1180" s="83">
        <v>0.125</v>
      </c>
      <c r="I1180" s="84">
        <v>44347.0</v>
      </c>
      <c r="J1180" s="65" t="b">
        <v>1</v>
      </c>
      <c r="K1180" s="65"/>
      <c r="L1180" s="85" t="b">
        <f>IF(VLOOKUP(C1180,Projetos!A:L,12,false)=TRUE,TRUE,FALSE)</f>
        <v>1</v>
      </c>
      <c r="M1180" s="74">
        <v>34.7706987012987</v>
      </c>
      <c r="N1180" s="74">
        <f t="shared" si="1"/>
        <v>104.3120961</v>
      </c>
      <c r="O1180" s="74" t="b">
        <v>1</v>
      </c>
    </row>
    <row r="1181" hidden="1">
      <c r="A1181" s="82"/>
      <c r="B1181" s="65" t="s">
        <v>750</v>
      </c>
      <c r="C1181" s="65" t="s">
        <v>118</v>
      </c>
      <c r="D1181" s="65"/>
      <c r="E1181" s="65" t="s">
        <v>756</v>
      </c>
      <c r="F1181" s="83">
        <v>0.3541666666666667</v>
      </c>
      <c r="G1181" s="83">
        <v>0.4583333333333333</v>
      </c>
      <c r="H1181" s="83">
        <v>0.10416666666666667</v>
      </c>
      <c r="I1181" s="84">
        <v>44348.0</v>
      </c>
      <c r="J1181" s="65" t="b">
        <v>0</v>
      </c>
      <c r="K1181" s="65" t="s">
        <v>150</v>
      </c>
      <c r="L1181" s="85" t="b">
        <f>IF(VLOOKUP(C1181,Projetos!A:L,12,false)=TRUE,TRUE,FALSE)</f>
        <v>1</v>
      </c>
      <c r="M1181" s="74">
        <v>34.7706987012987</v>
      </c>
      <c r="N1181" s="74">
        <f t="shared" si="1"/>
        <v>0</v>
      </c>
      <c r="O1181" s="74" t="b">
        <v>1</v>
      </c>
    </row>
    <row r="1182" hidden="1">
      <c r="A1182" s="82"/>
      <c r="B1182" s="65" t="s">
        <v>750</v>
      </c>
      <c r="C1182" s="65" t="s">
        <v>107</v>
      </c>
      <c r="D1182" s="65" t="str">
        <f>vlookup(C1182,'Classificação p pessoal'!F:G,2,false)</f>
        <v>NP</v>
      </c>
      <c r="E1182" s="65" t="s">
        <v>763</v>
      </c>
      <c r="F1182" s="83">
        <v>0.375</v>
      </c>
      <c r="G1182" s="83">
        <v>0.5</v>
      </c>
      <c r="H1182" s="83">
        <v>0.125</v>
      </c>
      <c r="I1182" s="84">
        <v>44349.0</v>
      </c>
      <c r="J1182" s="65" t="b">
        <v>1</v>
      </c>
      <c r="K1182" s="65"/>
      <c r="L1182" s="85" t="b">
        <f>IF(VLOOKUP(C1182,Projetos!A:L,12,false)=TRUE,TRUE,FALSE)</f>
        <v>1</v>
      </c>
      <c r="M1182" s="74">
        <v>34.7706987012987</v>
      </c>
      <c r="N1182" s="74">
        <f t="shared" si="1"/>
        <v>104.3120961</v>
      </c>
      <c r="O1182" s="74" t="b">
        <v>1</v>
      </c>
    </row>
    <row r="1183" hidden="1">
      <c r="A1183" s="82"/>
      <c r="B1183" s="65" t="s">
        <v>750</v>
      </c>
      <c r="C1183" s="65" t="s">
        <v>85</v>
      </c>
      <c r="D1183" s="65" t="str">
        <f>vlookup(C1183,'Classificação p pessoal'!F:G,2,false)</f>
        <v>NP</v>
      </c>
      <c r="E1183" s="65" t="s">
        <v>752</v>
      </c>
      <c r="F1183" s="83">
        <v>0.5625</v>
      </c>
      <c r="G1183" s="83">
        <v>0.7083333333333334</v>
      </c>
      <c r="H1183" s="83">
        <v>0.14583333333333334</v>
      </c>
      <c r="I1183" s="84">
        <v>44349.0</v>
      </c>
      <c r="J1183" s="65" t="b">
        <v>1</v>
      </c>
      <c r="K1183" s="65"/>
      <c r="L1183" s="85" t="b">
        <f>IF(VLOOKUP(C1183,Projetos!A:L,12,false)=TRUE,TRUE,FALSE)</f>
        <v>1</v>
      </c>
      <c r="M1183" s="74">
        <v>34.7706987012987</v>
      </c>
      <c r="N1183" s="74">
        <f t="shared" si="1"/>
        <v>121.6974455</v>
      </c>
      <c r="O1183" s="74" t="b">
        <v>1</v>
      </c>
    </row>
    <row r="1184" hidden="1">
      <c r="A1184" s="82"/>
      <c r="B1184" s="65" t="s">
        <v>750</v>
      </c>
      <c r="C1184" s="65" t="s">
        <v>107</v>
      </c>
      <c r="D1184" s="65" t="str">
        <f>vlookup(C1184,'Classificação p pessoal'!F:G,2,false)</f>
        <v>NP</v>
      </c>
      <c r="E1184" s="65" t="s">
        <v>763</v>
      </c>
      <c r="F1184" s="83">
        <v>0.625</v>
      </c>
      <c r="G1184" s="83">
        <v>0.7083333333333334</v>
      </c>
      <c r="H1184" s="83">
        <v>0.08333333333333333</v>
      </c>
      <c r="I1184" s="84">
        <v>44354.0</v>
      </c>
      <c r="J1184" s="65" t="b">
        <v>1</v>
      </c>
      <c r="K1184" s="65"/>
      <c r="L1184" s="85" t="b">
        <f>IF(VLOOKUP(C1184,Projetos!A:L,12,false)=TRUE,TRUE,FALSE)</f>
        <v>1</v>
      </c>
      <c r="M1184" s="74">
        <v>34.7706987012987</v>
      </c>
      <c r="N1184" s="74">
        <f t="shared" si="1"/>
        <v>69.5413974</v>
      </c>
      <c r="O1184" s="74" t="b">
        <v>1</v>
      </c>
    </row>
    <row r="1185" hidden="1">
      <c r="A1185" s="82"/>
      <c r="B1185" s="65" t="s">
        <v>750</v>
      </c>
      <c r="C1185" s="65" t="s">
        <v>118</v>
      </c>
      <c r="D1185" s="65"/>
      <c r="E1185" s="65" t="s">
        <v>756</v>
      </c>
      <c r="F1185" s="83">
        <v>0.4166666666666667</v>
      </c>
      <c r="G1185" s="83">
        <v>0.5</v>
      </c>
      <c r="H1185" s="83">
        <v>0.08333333333333333</v>
      </c>
      <c r="I1185" s="84">
        <v>44354.0</v>
      </c>
      <c r="J1185" s="65" t="b">
        <v>0</v>
      </c>
      <c r="K1185" s="65" t="s">
        <v>150</v>
      </c>
      <c r="L1185" s="85" t="b">
        <f>IF(VLOOKUP(C1185,Projetos!A:L,12,false)=TRUE,TRUE,FALSE)</f>
        <v>1</v>
      </c>
      <c r="M1185" s="74">
        <v>34.7706987012987</v>
      </c>
      <c r="N1185" s="74">
        <f t="shared" si="1"/>
        <v>0</v>
      </c>
      <c r="O1185" s="74" t="b">
        <v>1</v>
      </c>
    </row>
    <row r="1186" hidden="1">
      <c r="A1186" s="82"/>
      <c r="B1186" s="65" t="s">
        <v>750</v>
      </c>
      <c r="C1186" s="65" t="s">
        <v>100</v>
      </c>
      <c r="D1186" s="65" t="str">
        <f>vlookup(C1186,'Classificação p pessoal'!F:G,2,false)</f>
        <v>NP</v>
      </c>
      <c r="E1186" s="65" t="s">
        <v>766</v>
      </c>
      <c r="F1186" s="83">
        <v>0.5833333333333334</v>
      </c>
      <c r="G1186" s="83">
        <v>0.625</v>
      </c>
      <c r="H1186" s="83">
        <v>0.041666666666666664</v>
      </c>
      <c r="I1186" s="84">
        <v>44355.0</v>
      </c>
      <c r="J1186" s="65" t="b">
        <v>1</v>
      </c>
      <c r="K1186" s="65"/>
      <c r="L1186" s="85" t="b">
        <f>IF(VLOOKUP(C1186,Projetos!A:L,12,false)=TRUE,TRUE,FALSE)</f>
        <v>1</v>
      </c>
      <c r="M1186" s="74">
        <v>34.7706987012987</v>
      </c>
      <c r="N1186" s="74">
        <f t="shared" si="1"/>
        <v>34.7706987</v>
      </c>
      <c r="O1186" s="74" t="b">
        <v>1</v>
      </c>
    </row>
    <row r="1187" hidden="1">
      <c r="A1187" s="82"/>
      <c r="B1187" s="65" t="s">
        <v>750</v>
      </c>
      <c r="C1187" s="65" t="s">
        <v>107</v>
      </c>
      <c r="D1187" s="65" t="str">
        <f>vlookup(C1187,'Classificação p pessoal'!F:G,2,false)</f>
        <v>NP</v>
      </c>
      <c r="E1187" s="65" t="s">
        <v>763</v>
      </c>
      <c r="F1187" s="83">
        <v>0.5416666666666666</v>
      </c>
      <c r="G1187" s="83">
        <v>0.75</v>
      </c>
      <c r="H1187" s="83">
        <v>0.20833333333333334</v>
      </c>
      <c r="I1187" s="84">
        <v>44356.0</v>
      </c>
      <c r="J1187" s="65" t="b">
        <v>1</v>
      </c>
      <c r="K1187" s="65"/>
      <c r="L1187" s="85" t="b">
        <f>IF(VLOOKUP(C1187,Projetos!A:L,12,false)=TRUE,TRUE,FALSE)</f>
        <v>1</v>
      </c>
      <c r="M1187" s="74">
        <v>34.7706987012987</v>
      </c>
      <c r="N1187" s="74">
        <f t="shared" si="1"/>
        <v>173.8534935</v>
      </c>
      <c r="O1187" s="74" t="b">
        <v>1</v>
      </c>
    </row>
    <row r="1188" hidden="1">
      <c r="A1188" s="82"/>
      <c r="B1188" s="65" t="s">
        <v>750</v>
      </c>
      <c r="C1188" s="65" t="s">
        <v>132</v>
      </c>
      <c r="D1188" s="65"/>
      <c r="E1188" s="65" t="s">
        <v>756</v>
      </c>
      <c r="F1188" s="83">
        <v>0.5833333333333334</v>
      </c>
      <c r="G1188" s="83">
        <v>0.625</v>
      </c>
      <c r="H1188" s="83">
        <v>0.041666666666666664</v>
      </c>
      <c r="I1188" s="84">
        <v>44357.0</v>
      </c>
      <c r="J1188" s="65" t="b">
        <v>0</v>
      </c>
      <c r="K1188" s="65" t="s">
        <v>150</v>
      </c>
      <c r="L1188" s="85" t="b">
        <f>IF(VLOOKUP(C1188,Projetos!A:L,12,false)=TRUE,TRUE,FALSE)</f>
        <v>0</v>
      </c>
      <c r="M1188" s="74">
        <v>34.7706987012987</v>
      </c>
      <c r="N1188" s="74">
        <f t="shared" si="1"/>
        <v>0</v>
      </c>
      <c r="O1188" s="74" t="b">
        <v>0</v>
      </c>
    </row>
    <row r="1189" hidden="1">
      <c r="A1189" s="82"/>
      <c r="B1189" s="65" t="s">
        <v>750</v>
      </c>
      <c r="C1189" s="65" t="s">
        <v>107</v>
      </c>
      <c r="D1189" s="65" t="str">
        <f>vlookup(C1189,'Classificação p pessoal'!F:G,2,false)</f>
        <v>NP</v>
      </c>
      <c r="E1189" s="65" t="s">
        <v>763</v>
      </c>
      <c r="F1189" s="83">
        <v>0.375</v>
      </c>
      <c r="G1189" s="83">
        <v>0.5</v>
      </c>
      <c r="H1189" s="83">
        <v>0.125</v>
      </c>
      <c r="I1189" s="84">
        <v>44357.0</v>
      </c>
      <c r="J1189" s="65" t="b">
        <v>1</v>
      </c>
      <c r="K1189" s="65"/>
      <c r="L1189" s="85" t="b">
        <f>IF(VLOOKUP(C1189,Projetos!A:L,12,false)=TRUE,TRUE,FALSE)</f>
        <v>1</v>
      </c>
      <c r="M1189" s="74">
        <v>34.7706987012987</v>
      </c>
      <c r="N1189" s="74">
        <f t="shared" si="1"/>
        <v>104.3120961</v>
      </c>
      <c r="O1189" s="74" t="b">
        <v>1</v>
      </c>
    </row>
    <row r="1190" hidden="1">
      <c r="A1190" s="82"/>
      <c r="B1190" s="65" t="s">
        <v>750</v>
      </c>
      <c r="C1190" s="65" t="s">
        <v>107</v>
      </c>
      <c r="D1190" s="65" t="str">
        <f>vlookup(C1190,'Classificação p pessoal'!F:G,2,false)</f>
        <v>NP</v>
      </c>
      <c r="E1190" s="65" t="s">
        <v>763</v>
      </c>
      <c r="F1190" s="83">
        <v>0.4166666666666667</v>
      </c>
      <c r="G1190" s="83">
        <v>0.5416666666666666</v>
      </c>
      <c r="H1190" s="83">
        <v>0.125</v>
      </c>
      <c r="I1190" s="84">
        <v>44358.0</v>
      </c>
      <c r="J1190" s="65" t="b">
        <v>1</v>
      </c>
      <c r="K1190" s="65"/>
      <c r="L1190" s="85" t="b">
        <f>IF(VLOOKUP(C1190,Projetos!A:L,12,false)=TRUE,TRUE,FALSE)</f>
        <v>1</v>
      </c>
      <c r="M1190" s="74">
        <v>34.7706987012987</v>
      </c>
      <c r="N1190" s="74">
        <f t="shared" si="1"/>
        <v>104.3120961</v>
      </c>
      <c r="O1190" s="74" t="b">
        <v>1</v>
      </c>
    </row>
    <row r="1191" hidden="1">
      <c r="A1191" s="82"/>
      <c r="B1191" s="65" t="s">
        <v>750</v>
      </c>
      <c r="C1191" s="65" t="s">
        <v>107</v>
      </c>
      <c r="D1191" s="65" t="str">
        <f>vlookup(C1191,'Classificação p pessoal'!F:G,2,false)</f>
        <v>NP</v>
      </c>
      <c r="E1191" s="65" t="s">
        <v>763</v>
      </c>
      <c r="F1191" s="83">
        <v>0.5833333333333334</v>
      </c>
      <c r="G1191" s="83">
        <v>0.75</v>
      </c>
      <c r="H1191" s="83">
        <v>0.16666666666666666</v>
      </c>
      <c r="I1191" s="84">
        <v>44361.0</v>
      </c>
      <c r="J1191" s="65" t="b">
        <v>1</v>
      </c>
      <c r="K1191" s="65"/>
      <c r="L1191" s="85" t="b">
        <f>IF(VLOOKUP(C1191,Projetos!A:L,12,false)=TRUE,TRUE,FALSE)</f>
        <v>1</v>
      </c>
      <c r="M1191" s="74">
        <v>34.7706987012987</v>
      </c>
      <c r="N1191" s="74">
        <f t="shared" si="1"/>
        <v>139.0827948</v>
      </c>
      <c r="O1191" s="74" t="b">
        <v>1</v>
      </c>
    </row>
    <row r="1192" hidden="1">
      <c r="A1192" s="82"/>
      <c r="B1192" s="65" t="s">
        <v>750</v>
      </c>
      <c r="C1192" s="65" t="s">
        <v>85</v>
      </c>
      <c r="D1192" s="65" t="str">
        <f>vlookup(C1192,'Classificação p pessoal'!F:G,2,false)</f>
        <v>NP</v>
      </c>
      <c r="E1192" s="65" t="s">
        <v>752</v>
      </c>
      <c r="F1192" s="83">
        <v>0.5833333333333334</v>
      </c>
      <c r="G1192" s="83">
        <v>0.625</v>
      </c>
      <c r="H1192" s="83">
        <v>0.041666666666666664</v>
      </c>
      <c r="I1192" s="84">
        <v>44362.0</v>
      </c>
      <c r="J1192" s="65" t="b">
        <v>1</v>
      </c>
      <c r="K1192" s="65"/>
      <c r="L1192" s="85" t="b">
        <f>IF(VLOOKUP(C1192,Projetos!A:L,12,false)=TRUE,TRUE,FALSE)</f>
        <v>1</v>
      </c>
      <c r="M1192" s="74">
        <v>34.7706987012987</v>
      </c>
      <c r="N1192" s="74">
        <f t="shared" si="1"/>
        <v>34.7706987</v>
      </c>
      <c r="O1192" s="74" t="b">
        <v>1</v>
      </c>
    </row>
    <row r="1193" hidden="1">
      <c r="A1193" s="82"/>
      <c r="B1193" s="65" t="s">
        <v>750</v>
      </c>
      <c r="C1193" s="65" t="s">
        <v>100</v>
      </c>
      <c r="D1193" s="65" t="str">
        <f>vlookup(C1193,'Classificação p pessoal'!F:G,2,false)</f>
        <v>NP</v>
      </c>
      <c r="E1193" s="65" t="s">
        <v>766</v>
      </c>
      <c r="F1193" s="83">
        <v>0.5416666666666666</v>
      </c>
      <c r="G1193" s="83">
        <v>0.5833333333333334</v>
      </c>
      <c r="H1193" s="83">
        <v>0.041666666666666664</v>
      </c>
      <c r="I1193" s="84">
        <v>44362.0</v>
      </c>
      <c r="J1193" s="65" t="b">
        <v>1</v>
      </c>
      <c r="K1193" s="65"/>
      <c r="L1193" s="85" t="b">
        <f>IF(VLOOKUP(C1193,Projetos!A:L,12,false)=TRUE,TRUE,FALSE)</f>
        <v>1</v>
      </c>
      <c r="M1193" s="74">
        <v>34.7706987012987</v>
      </c>
      <c r="N1193" s="74">
        <f t="shared" si="1"/>
        <v>34.7706987</v>
      </c>
      <c r="O1193" s="74" t="b">
        <v>1</v>
      </c>
    </row>
    <row r="1194" hidden="1">
      <c r="A1194" s="82"/>
      <c r="B1194" s="65" t="s">
        <v>750</v>
      </c>
      <c r="C1194" s="65" t="s">
        <v>107</v>
      </c>
      <c r="D1194" s="65" t="str">
        <f>vlookup(C1194,'Classificação p pessoal'!F:G,2,false)</f>
        <v>NP</v>
      </c>
      <c r="E1194" s="65" t="s">
        <v>763</v>
      </c>
      <c r="F1194" s="83">
        <v>0.625</v>
      </c>
      <c r="G1194" s="83">
        <v>0.6666666666666666</v>
      </c>
      <c r="H1194" s="83">
        <v>0.041666666666666664</v>
      </c>
      <c r="I1194" s="84">
        <v>44362.0</v>
      </c>
      <c r="J1194" s="65" t="b">
        <v>1</v>
      </c>
      <c r="K1194" s="65"/>
      <c r="L1194" s="85" t="b">
        <f>IF(VLOOKUP(C1194,Projetos!A:L,12,false)=TRUE,TRUE,FALSE)</f>
        <v>1</v>
      </c>
      <c r="M1194" s="74">
        <v>34.7706987012987</v>
      </c>
      <c r="N1194" s="74">
        <f t="shared" si="1"/>
        <v>34.7706987</v>
      </c>
      <c r="O1194" s="74" t="b">
        <v>1</v>
      </c>
    </row>
    <row r="1195" hidden="1">
      <c r="A1195" s="82"/>
      <c r="B1195" s="65" t="s">
        <v>750</v>
      </c>
      <c r="C1195" s="65" t="s">
        <v>91</v>
      </c>
      <c r="D1195" s="65" t="str">
        <f>vlookup(C1195,'Classificação p pessoal'!F:G,2,false)</f>
        <v>NP</v>
      </c>
      <c r="E1195" s="65" t="s">
        <v>159</v>
      </c>
      <c r="F1195" s="83">
        <v>0.6666666666666666</v>
      </c>
      <c r="G1195" s="83">
        <v>0.75</v>
      </c>
      <c r="H1195" s="83">
        <v>0.08333333333333333</v>
      </c>
      <c r="I1195" s="84">
        <v>44362.0</v>
      </c>
      <c r="J1195" s="65" t="b">
        <v>1</v>
      </c>
      <c r="K1195" s="65"/>
      <c r="L1195" s="85" t="b">
        <f>IF(VLOOKUP(C1195,Projetos!A:L,12,false)=TRUE,TRUE,FALSE)</f>
        <v>1</v>
      </c>
      <c r="M1195" s="74">
        <v>34.7706987012987</v>
      </c>
      <c r="N1195" s="74">
        <f t="shared" si="1"/>
        <v>69.5413974</v>
      </c>
      <c r="O1195" s="74" t="b">
        <v>1</v>
      </c>
    </row>
    <row r="1196" hidden="1">
      <c r="A1196" s="82"/>
      <c r="B1196" s="65" t="s">
        <v>750</v>
      </c>
      <c r="C1196" s="65" t="s">
        <v>107</v>
      </c>
      <c r="D1196" s="65" t="str">
        <f>vlookup(C1196,'Classificação p pessoal'!F:G,2,false)</f>
        <v>NP</v>
      </c>
      <c r="E1196" s="65" t="s">
        <v>763</v>
      </c>
      <c r="F1196" s="83">
        <v>0.5833333333333334</v>
      </c>
      <c r="G1196" s="83">
        <v>0.7083333333333334</v>
      </c>
      <c r="H1196" s="83">
        <v>0.125</v>
      </c>
      <c r="I1196" s="84">
        <v>44363.0</v>
      </c>
      <c r="J1196" s="65" t="b">
        <v>1</v>
      </c>
      <c r="K1196" s="65"/>
      <c r="L1196" s="85" t="b">
        <f>IF(VLOOKUP(C1196,Projetos!A:L,12,false)=TRUE,TRUE,FALSE)</f>
        <v>1</v>
      </c>
      <c r="M1196" s="74">
        <v>34.7706987012987</v>
      </c>
      <c r="N1196" s="74">
        <f t="shared" si="1"/>
        <v>104.3120961</v>
      </c>
      <c r="O1196" s="74" t="b">
        <v>1</v>
      </c>
    </row>
    <row r="1197" hidden="1">
      <c r="A1197" s="82"/>
      <c r="B1197" s="65" t="s">
        <v>750</v>
      </c>
      <c r="C1197" s="65" t="s">
        <v>107</v>
      </c>
      <c r="D1197" s="65" t="str">
        <f>vlookup(C1197,'Classificação p pessoal'!F:G,2,false)</f>
        <v>NP</v>
      </c>
      <c r="E1197" s="65" t="s">
        <v>763</v>
      </c>
      <c r="F1197" s="83">
        <v>0.625</v>
      </c>
      <c r="G1197" s="83">
        <v>0.75</v>
      </c>
      <c r="H1197" s="83">
        <v>0.125</v>
      </c>
      <c r="I1197" s="84">
        <v>44364.0</v>
      </c>
      <c r="J1197" s="65" t="b">
        <v>1</v>
      </c>
      <c r="K1197" s="65"/>
      <c r="L1197" s="85" t="b">
        <f>IF(VLOOKUP(C1197,Projetos!A:L,12,false)=TRUE,TRUE,FALSE)</f>
        <v>1</v>
      </c>
      <c r="M1197" s="74">
        <v>34.7706987012987</v>
      </c>
      <c r="N1197" s="74">
        <f t="shared" si="1"/>
        <v>104.3120961</v>
      </c>
      <c r="O1197" s="74" t="b">
        <v>1</v>
      </c>
    </row>
    <row r="1198" hidden="1">
      <c r="A1198" s="82"/>
      <c r="B1198" s="65" t="s">
        <v>750</v>
      </c>
      <c r="C1198" s="65" t="s">
        <v>91</v>
      </c>
      <c r="D1198" s="65" t="str">
        <f>vlookup(C1198,'Classificação p pessoal'!F:G,2,false)</f>
        <v>NP</v>
      </c>
      <c r="E1198" s="65" t="s">
        <v>159</v>
      </c>
      <c r="F1198" s="83">
        <v>0.5416666666666666</v>
      </c>
      <c r="G1198" s="83">
        <v>0.5833333333333334</v>
      </c>
      <c r="H1198" s="83">
        <v>0.041666666666666664</v>
      </c>
      <c r="I1198" s="84">
        <v>44364.0</v>
      </c>
      <c r="J1198" s="65" t="b">
        <v>1</v>
      </c>
      <c r="K1198" s="65"/>
      <c r="L1198" s="85" t="b">
        <f>IF(VLOOKUP(C1198,Projetos!A:L,12,false)=TRUE,TRUE,FALSE)</f>
        <v>1</v>
      </c>
      <c r="M1198" s="74">
        <v>34.7706987012987</v>
      </c>
      <c r="N1198" s="74">
        <f t="shared" si="1"/>
        <v>34.7706987</v>
      </c>
      <c r="O1198" s="74" t="b">
        <v>1</v>
      </c>
    </row>
    <row r="1199" hidden="1">
      <c r="A1199" s="82"/>
      <c r="B1199" s="65" t="s">
        <v>750</v>
      </c>
      <c r="C1199" s="65" t="s">
        <v>85</v>
      </c>
      <c r="D1199" s="65" t="str">
        <f>vlookup(C1199,'Classificação p pessoal'!F:G,2,false)</f>
        <v>NP</v>
      </c>
      <c r="E1199" s="65" t="s">
        <v>752</v>
      </c>
      <c r="F1199" s="83">
        <v>0.4166666666666667</v>
      </c>
      <c r="G1199" s="83">
        <v>0.5</v>
      </c>
      <c r="H1199" s="83">
        <v>0.08333333333333333</v>
      </c>
      <c r="I1199" s="84">
        <v>44364.0</v>
      </c>
      <c r="J1199" s="65" t="b">
        <v>1</v>
      </c>
      <c r="K1199" s="65"/>
      <c r="L1199" s="85" t="b">
        <f>IF(VLOOKUP(C1199,Projetos!A:L,12,false)=TRUE,TRUE,FALSE)</f>
        <v>1</v>
      </c>
      <c r="M1199" s="74">
        <v>34.7706987012987</v>
      </c>
      <c r="N1199" s="74">
        <f t="shared" si="1"/>
        <v>69.5413974</v>
      </c>
      <c r="O1199" s="74" t="b">
        <v>1</v>
      </c>
    </row>
    <row r="1200" hidden="1">
      <c r="A1200" s="82"/>
      <c r="B1200" s="65" t="s">
        <v>750</v>
      </c>
      <c r="C1200" s="65" t="s">
        <v>107</v>
      </c>
      <c r="D1200" s="65" t="str">
        <f>vlookup(C1200,'Classificação p pessoal'!F:G,2,false)</f>
        <v>NP</v>
      </c>
      <c r="E1200" s="65" t="s">
        <v>763</v>
      </c>
      <c r="F1200" s="83">
        <v>0.375</v>
      </c>
      <c r="G1200" s="83">
        <v>0.4583333333333333</v>
      </c>
      <c r="H1200" s="83">
        <v>0.08333333333333333</v>
      </c>
      <c r="I1200" s="84">
        <v>44365.0</v>
      </c>
      <c r="J1200" s="65" t="b">
        <v>1</v>
      </c>
      <c r="K1200" s="65"/>
      <c r="L1200" s="85" t="b">
        <f>IF(VLOOKUP(C1200,Projetos!A:L,12,false)=TRUE,TRUE,FALSE)</f>
        <v>1</v>
      </c>
      <c r="M1200" s="74">
        <v>34.7706987012987</v>
      </c>
      <c r="N1200" s="74">
        <f t="shared" si="1"/>
        <v>69.5413974</v>
      </c>
      <c r="O1200" s="74" t="b">
        <v>1</v>
      </c>
    </row>
    <row r="1201" hidden="1">
      <c r="A1201" s="82"/>
      <c r="B1201" s="65" t="s">
        <v>750</v>
      </c>
      <c r="C1201" s="65" t="s">
        <v>91</v>
      </c>
      <c r="D1201" s="65" t="str">
        <f>vlookup(C1201,'Classificação p pessoal'!F:G,2,false)</f>
        <v>NP</v>
      </c>
      <c r="E1201" s="65" t="s">
        <v>159</v>
      </c>
      <c r="F1201" s="83">
        <v>0.5416666666666666</v>
      </c>
      <c r="G1201" s="83">
        <v>0.6666666666666666</v>
      </c>
      <c r="H1201" s="83">
        <v>0.125</v>
      </c>
      <c r="I1201" s="84">
        <v>44365.0</v>
      </c>
      <c r="J1201" s="65" t="b">
        <v>1</v>
      </c>
      <c r="K1201" s="65"/>
      <c r="L1201" s="85" t="b">
        <f>IF(VLOOKUP(C1201,Projetos!A:L,12,false)=TRUE,TRUE,FALSE)</f>
        <v>1</v>
      </c>
      <c r="M1201" s="74">
        <v>34.7706987012987</v>
      </c>
      <c r="N1201" s="74">
        <f t="shared" si="1"/>
        <v>104.3120961</v>
      </c>
      <c r="O1201" s="74" t="b">
        <v>1</v>
      </c>
    </row>
    <row r="1202" hidden="1">
      <c r="A1202" s="82"/>
      <c r="B1202" s="65" t="s">
        <v>750</v>
      </c>
      <c r="C1202" s="65" t="s">
        <v>107</v>
      </c>
      <c r="D1202" s="65" t="str">
        <f>vlookup(C1202,'Classificação p pessoal'!F:G,2,false)</f>
        <v>NP</v>
      </c>
      <c r="E1202" s="65" t="s">
        <v>763</v>
      </c>
      <c r="F1202" s="83">
        <v>0.375</v>
      </c>
      <c r="G1202" s="83">
        <v>0.5</v>
      </c>
      <c r="H1202" s="83">
        <v>0.125</v>
      </c>
      <c r="I1202" s="84">
        <v>44368.0</v>
      </c>
      <c r="J1202" s="65" t="b">
        <v>1</v>
      </c>
      <c r="K1202" s="65"/>
      <c r="L1202" s="85" t="b">
        <f>IF(VLOOKUP(C1202,Projetos!A:L,12,false)=TRUE,TRUE,FALSE)</f>
        <v>1</v>
      </c>
      <c r="M1202" s="74">
        <v>34.7706987012987</v>
      </c>
      <c r="N1202" s="74">
        <f t="shared" si="1"/>
        <v>104.3120961</v>
      </c>
      <c r="O1202" s="74" t="b">
        <v>1</v>
      </c>
    </row>
    <row r="1203" hidden="1">
      <c r="A1203" s="82"/>
      <c r="B1203" s="65" t="s">
        <v>750</v>
      </c>
      <c r="C1203" s="65" t="s">
        <v>85</v>
      </c>
      <c r="D1203" s="65" t="str">
        <f>vlookup(C1203,'Classificação p pessoal'!F:G,2,false)</f>
        <v>NP</v>
      </c>
      <c r="E1203" s="65" t="s">
        <v>752</v>
      </c>
      <c r="F1203" s="83">
        <v>0.625</v>
      </c>
      <c r="G1203" s="83">
        <v>0.75</v>
      </c>
      <c r="H1203" s="83">
        <v>0.125</v>
      </c>
      <c r="I1203" s="84">
        <v>44368.0</v>
      </c>
      <c r="J1203" s="65" t="b">
        <v>1</v>
      </c>
      <c r="K1203" s="65"/>
      <c r="L1203" s="85" t="b">
        <f>IF(VLOOKUP(C1203,Projetos!A:L,12,false)=TRUE,TRUE,FALSE)</f>
        <v>1</v>
      </c>
      <c r="M1203" s="74">
        <v>34.7706987012987</v>
      </c>
      <c r="N1203" s="74">
        <f t="shared" si="1"/>
        <v>104.3120961</v>
      </c>
      <c r="O1203" s="74" t="b">
        <v>1</v>
      </c>
    </row>
    <row r="1204" hidden="1">
      <c r="A1204" s="82"/>
      <c r="B1204" s="65" t="s">
        <v>750</v>
      </c>
      <c r="C1204" s="65" t="s">
        <v>117</v>
      </c>
      <c r="D1204" s="65" t="str">
        <f>vlookup(C1204,'Classificação p pessoal'!F:G,2,false)</f>
        <v>NP</v>
      </c>
      <c r="E1204" s="65" t="s">
        <v>753</v>
      </c>
      <c r="F1204" s="83">
        <v>0.5833333333333334</v>
      </c>
      <c r="G1204" s="83">
        <v>0.7083333333333334</v>
      </c>
      <c r="H1204" s="83">
        <v>0.125</v>
      </c>
      <c r="I1204" s="84">
        <v>44369.0</v>
      </c>
      <c r="J1204" s="65" t="b">
        <v>1</v>
      </c>
      <c r="K1204" s="65"/>
      <c r="L1204" s="85" t="b">
        <f>IF(VLOOKUP(C1204,Projetos!A:L,12,false)=TRUE,TRUE,FALSE)</f>
        <v>1</v>
      </c>
      <c r="M1204" s="74">
        <v>34.7706987012987</v>
      </c>
      <c r="N1204" s="74">
        <f t="shared" si="1"/>
        <v>104.3120961</v>
      </c>
      <c r="O1204" s="74" t="b">
        <v>1</v>
      </c>
    </row>
    <row r="1205" hidden="1">
      <c r="A1205" s="82"/>
      <c r="B1205" s="65" t="s">
        <v>750</v>
      </c>
      <c r="C1205" s="65" t="s">
        <v>107</v>
      </c>
      <c r="D1205" s="65" t="str">
        <f>vlookup(C1205,'Classificação p pessoal'!F:G,2,false)</f>
        <v>NP</v>
      </c>
      <c r="E1205" s="65" t="s">
        <v>763</v>
      </c>
      <c r="F1205" s="83">
        <v>0.4166666666666667</v>
      </c>
      <c r="G1205" s="83">
        <v>0.5416666666666666</v>
      </c>
      <c r="H1205" s="83">
        <v>0.125</v>
      </c>
      <c r="I1205" s="84">
        <v>44370.0</v>
      </c>
      <c r="J1205" s="65" t="b">
        <v>1</v>
      </c>
      <c r="K1205" s="65"/>
      <c r="L1205" s="85" t="b">
        <f>IF(VLOOKUP(C1205,Projetos!A:L,12,false)=TRUE,TRUE,FALSE)</f>
        <v>1</v>
      </c>
      <c r="M1205" s="74">
        <v>34.7706987012987</v>
      </c>
      <c r="N1205" s="74">
        <f t="shared" si="1"/>
        <v>104.3120961</v>
      </c>
      <c r="O1205" s="74" t="b">
        <v>1</v>
      </c>
    </row>
    <row r="1206" hidden="1">
      <c r="A1206" s="82"/>
      <c r="B1206" s="65" t="s">
        <v>750</v>
      </c>
      <c r="C1206" s="65" t="s">
        <v>85</v>
      </c>
      <c r="D1206" s="65" t="str">
        <f>vlookup(C1206,'Classificação p pessoal'!F:G,2,false)</f>
        <v>NP</v>
      </c>
      <c r="E1206" s="65" t="s">
        <v>752</v>
      </c>
      <c r="F1206" s="83">
        <v>0.6666666666666666</v>
      </c>
      <c r="G1206" s="83">
        <v>0.75</v>
      </c>
      <c r="H1206" s="83">
        <v>0.08333333333333333</v>
      </c>
      <c r="I1206" s="84">
        <v>44370.0</v>
      </c>
      <c r="J1206" s="65" t="b">
        <v>1</v>
      </c>
      <c r="K1206" s="65"/>
      <c r="L1206" s="85" t="b">
        <f>IF(VLOOKUP(C1206,Projetos!A:L,12,false)=TRUE,TRUE,FALSE)</f>
        <v>1</v>
      </c>
      <c r="M1206" s="74">
        <v>34.7706987012987</v>
      </c>
      <c r="N1206" s="74">
        <f t="shared" si="1"/>
        <v>69.5413974</v>
      </c>
      <c r="O1206" s="74" t="b">
        <v>1</v>
      </c>
    </row>
    <row r="1207" hidden="1">
      <c r="A1207" s="82"/>
      <c r="B1207" s="65" t="s">
        <v>750</v>
      </c>
      <c r="C1207" s="65" t="s">
        <v>107</v>
      </c>
      <c r="D1207" s="65" t="str">
        <f>vlookup(C1207,'Classificação p pessoal'!F:G,2,false)</f>
        <v>NP</v>
      </c>
      <c r="E1207" s="65" t="s">
        <v>763</v>
      </c>
      <c r="F1207" s="83">
        <v>0.5416666666666666</v>
      </c>
      <c r="G1207" s="83">
        <v>0.75</v>
      </c>
      <c r="H1207" s="83">
        <v>0.20833333333333334</v>
      </c>
      <c r="I1207" s="84">
        <v>44371.0</v>
      </c>
      <c r="J1207" s="65" t="b">
        <v>1</v>
      </c>
      <c r="K1207" s="65"/>
      <c r="L1207" s="85" t="b">
        <f>IF(VLOOKUP(C1207,Projetos!A:L,12,false)=TRUE,TRUE,FALSE)</f>
        <v>1</v>
      </c>
      <c r="M1207" s="74">
        <v>34.7706987012987</v>
      </c>
      <c r="N1207" s="74">
        <f t="shared" si="1"/>
        <v>173.8534935</v>
      </c>
      <c r="O1207" s="74" t="b">
        <v>1</v>
      </c>
    </row>
    <row r="1208" hidden="1">
      <c r="A1208" s="82"/>
      <c r="B1208" s="65" t="s">
        <v>750</v>
      </c>
      <c r="C1208" s="65" t="s">
        <v>107</v>
      </c>
      <c r="D1208" s="65" t="str">
        <f>vlookup(C1208,'Classificação p pessoal'!F:G,2,false)</f>
        <v>NP</v>
      </c>
      <c r="E1208" s="65" t="s">
        <v>763</v>
      </c>
      <c r="F1208" s="83">
        <v>0.375</v>
      </c>
      <c r="G1208" s="83">
        <v>0.5416666666666666</v>
      </c>
      <c r="H1208" s="83">
        <v>0.16666666666666666</v>
      </c>
      <c r="I1208" s="84">
        <v>44372.0</v>
      </c>
      <c r="J1208" s="65" t="b">
        <v>1</v>
      </c>
      <c r="K1208" s="65"/>
      <c r="L1208" s="85" t="b">
        <f>IF(VLOOKUP(C1208,Projetos!A:L,12,false)=TRUE,TRUE,FALSE)</f>
        <v>1</v>
      </c>
      <c r="M1208" s="74">
        <v>34.7706987012987</v>
      </c>
      <c r="N1208" s="74">
        <f t="shared" si="1"/>
        <v>139.0827948</v>
      </c>
      <c r="O1208" s="74" t="b">
        <v>1</v>
      </c>
    </row>
    <row r="1209" hidden="1">
      <c r="A1209" s="82"/>
      <c r="B1209" s="65" t="s">
        <v>750</v>
      </c>
      <c r="C1209" s="65" t="s">
        <v>117</v>
      </c>
      <c r="D1209" s="65" t="str">
        <f>vlookup(C1209,'Classificação p pessoal'!F:G,2,false)</f>
        <v>NP</v>
      </c>
      <c r="E1209" s="65" t="s">
        <v>753</v>
      </c>
      <c r="F1209" s="83">
        <v>0.4166666666666667</v>
      </c>
      <c r="G1209" s="83">
        <v>0.5</v>
      </c>
      <c r="H1209" s="83">
        <v>0.08333333333333333</v>
      </c>
      <c r="I1209" s="84">
        <v>44375.0</v>
      </c>
      <c r="J1209" s="65" t="b">
        <v>1</v>
      </c>
      <c r="K1209" s="65"/>
      <c r="L1209" s="85" t="b">
        <f>IF(VLOOKUP(C1209,Projetos!A:L,12,false)=TRUE,TRUE,FALSE)</f>
        <v>1</v>
      </c>
      <c r="M1209" s="74">
        <v>34.7706987012987</v>
      </c>
      <c r="N1209" s="74">
        <f t="shared" si="1"/>
        <v>69.5413974</v>
      </c>
      <c r="O1209" s="74" t="b">
        <v>1</v>
      </c>
    </row>
    <row r="1210" hidden="1">
      <c r="A1210" s="82"/>
      <c r="B1210" s="65" t="s">
        <v>750</v>
      </c>
      <c r="C1210" s="65" t="s">
        <v>85</v>
      </c>
      <c r="D1210" s="65" t="str">
        <f>vlookup(C1210,'Classificação p pessoal'!F:G,2,false)</f>
        <v>NP</v>
      </c>
      <c r="E1210" s="65" t="s">
        <v>752</v>
      </c>
      <c r="F1210" s="83">
        <v>0.4166666666666667</v>
      </c>
      <c r="G1210" s="83">
        <v>0.5416666666666666</v>
      </c>
      <c r="H1210" s="83">
        <v>0.125</v>
      </c>
      <c r="I1210" s="84">
        <v>44378.0</v>
      </c>
      <c r="J1210" s="65" t="b">
        <v>1</v>
      </c>
      <c r="K1210" s="65"/>
      <c r="L1210" s="85" t="b">
        <f>IF(VLOOKUP(C1210,Projetos!A:L,12,false)=TRUE,TRUE,FALSE)</f>
        <v>1</v>
      </c>
      <c r="M1210" s="74">
        <v>34.7706987012987</v>
      </c>
      <c r="N1210" s="74">
        <f t="shared" si="1"/>
        <v>104.3120961</v>
      </c>
      <c r="O1210" s="74" t="b">
        <v>1</v>
      </c>
    </row>
    <row r="1211" hidden="1">
      <c r="A1211" s="82"/>
      <c r="B1211" s="65" t="s">
        <v>750</v>
      </c>
      <c r="C1211" s="65" t="s">
        <v>85</v>
      </c>
      <c r="D1211" s="65" t="str">
        <f>vlookup(C1211,'Classificação p pessoal'!F:G,2,false)</f>
        <v>NP</v>
      </c>
      <c r="E1211" s="65" t="s">
        <v>752</v>
      </c>
      <c r="F1211" s="83">
        <v>0.5833333333333334</v>
      </c>
      <c r="G1211" s="83">
        <v>0.7083333333333334</v>
      </c>
      <c r="H1211" s="83">
        <v>0.125</v>
      </c>
      <c r="I1211" s="84">
        <v>44379.0</v>
      </c>
      <c r="J1211" s="65" t="b">
        <v>1</v>
      </c>
      <c r="K1211" s="65"/>
      <c r="L1211" s="85" t="b">
        <f>IF(VLOOKUP(C1211,Projetos!A:L,12,false)=TRUE,TRUE,FALSE)</f>
        <v>1</v>
      </c>
      <c r="M1211" s="74">
        <v>34.7706987012987</v>
      </c>
      <c r="N1211" s="74">
        <f t="shared" si="1"/>
        <v>104.3120961</v>
      </c>
      <c r="O1211" s="74" t="b">
        <v>1</v>
      </c>
    </row>
    <row r="1212" hidden="1">
      <c r="A1212" s="82"/>
      <c r="B1212" s="65" t="s">
        <v>750</v>
      </c>
      <c r="C1212" s="65" t="s">
        <v>100</v>
      </c>
      <c r="D1212" s="65" t="str">
        <f>vlookup(C1212,'Classificação p pessoal'!F:G,2,false)</f>
        <v>NP</v>
      </c>
      <c r="E1212" s="65" t="s">
        <v>159</v>
      </c>
      <c r="F1212" s="83">
        <v>0.4166666666666667</v>
      </c>
      <c r="G1212" s="83">
        <v>0.5</v>
      </c>
      <c r="H1212" s="83">
        <v>0.08333333333333333</v>
      </c>
      <c r="I1212" s="84">
        <v>44379.0</v>
      </c>
      <c r="J1212" s="65" t="b">
        <v>1</v>
      </c>
      <c r="K1212" s="65"/>
      <c r="L1212" s="85" t="b">
        <f>IF(VLOOKUP(C1212,Projetos!A:L,12,false)=TRUE,TRUE,FALSE)</f>
        <v>1</v>
      </c>
      <c r="M1212" s="74">
        <v>34.7706987012987</v>
      </c>
      <c r="N1212" s="74">
        <f t="shared" si="1"/>
        <v>69.5413974</v>
      </c>
      <c r="O1212" s="74" t="b">
        <v>1</v>
      </c>
    </row>
    <row r="1213" hidden="1">
      <c r="A1213" s="82"/>
      <c r="B1213" s="65" t="s">
        <v>750</v>
      </c>
      <c r="C1213" s="65" t="s">
        <v>85</v>
      </c>
      <c r="D1213" s="65" t="str">
        <f>vlookup(C1213,'Classificação p pessoal'!F:G,2,false)</f>
        <v>NP</v>
      </c>
      <c r="E1213" s="65" t="s">
        <v>752</v>
      </c>
      <c r="F1213" s="83">
        <v>0.5</v>
      </c>
      <c r="G1213" s="83">
        <v>0.7083333333333334</v>
      </c>
      <c r="H1213" s="83">
        <v>0.20833333333333334</v>
      </c>
      <c r="I1213" s="84">
        <v>44382.0</v>
      </c>
      <c r="J1213" s="65" t="b">
        <v>1</v>
      </c>
      <c r="K1213" s="65"/>
      <c r="L1213" s="85" t="b">
        <f>IF(VLOOKUP(C1213,Projetos!A:L,12,false)=TRUE,TRUE,FALSE)</f>
        <v>1</v>
      </c>
      <c r="M1213" s="74">
        <v>34.7706987012987</v>
      </c>
      <c r="N1213" s="74">
        <f t="shared" si="1"/>
        <v>173.8534935</v>
      </c>
      <c r="O1213" s="74" t="b">
        <v>1</v>
      </c>
    </row>
    <row r="1214" hidden="1">
      <c r="A1214" s="82"/>
      <c r="B1214" s="65" t="s">
        <v>750</v>
      </c>
      <c r="C1214" s="65" t="s">
        <v>107</v>
      </c>
      <c r="D1214" s="65" t="str">
        <f>vlookup(C1214,'Classificação p pessoal'!F:G,2,false)</f>
        <v>NP</v>
      </c>
      <c r="E1214" s="65" t="s">
        <v>763</v>
      </c>
      <c r="F1214" s="83">
        <v>0.5</v>
      </c>
      <c r="G1214" s="83">
        <v>0.6666666666666666</v>
      </c>
      <c r="H1214" s="83">
        <v>0.16666666666666666</v>
      </c>
      <c r="I1214" s="84">
        <v>44383.0</v>
      </c>
      <c r="J1214" s="65" t="b">
        <v>1</v>
      </c>
      <c r="K1214" s="65"/>
      <c r="L1214" s="85" t="b">
        <f>IF(VLOOKUP(C1214,Projetos!A:L,12,false)=TRUE,TRUE,FALSE)</f>
        <v>1</v>
      </c>
      <c r="M1214" s="74">
        <v>34.7706987012987</v>
      </c>
      <c r="N1214" s="74">
        <f t="shared" si="1"/>
        <v>139.0827948</v>
      </c>
      <c r="O1214" s="74" t="b">
        <v>1</v>
      </c>
    </row>
    <row r="1215" hidden="1">
      <c r="A1215" s="82"/>
      <c r="B1215" s="65" t="s">
        <v>750</v>
      </c>
      <c r="C1215" s="65" t="s">
        <v>102</v>
      </c>
      <c r="D1215" s="65" t="str">
        <f>vlookup(C1215,'Classificação p pessoal'!F:G,2,false)</f>
        <v>NP</v>
      </c>
      <c r="E1215" s="65" t="s">
        <v>762</v>
      </c>
      <c r="F1215" s="83">
        <v>0.5416666666666666</v>
      </c>
      <c r="G1215" s="83">
        <v>0.625</v>
      </c>
      <c r="H1215" s="83">
        <v>0.08333333333333333</v>
      </c>
      <c r="I1215" s="84">
        <v>44384.0</v>
      </c>
      <c r="J1215" s="65" t="b">
        <v>1</v>
      </c>
      <c r="K1215" s="65"/>
      <c r="L1215" s="85" t="b">
        <f>IF(VLOOKUP(C1215,Projetos!A:L,12,false)=TRUE,TRUE,FALSE)</f>
        <v>1</v>
      </c>
      <c r="M1215" s="74">
        <v>34.7706987012987</v>
      </c>
      <c r="N1215" s="74">
        <f t="shared" si="1"/>
        <v>69.5413974</v>
      </c>
      <c r="O1215" s="74" t="b">
        <v>1</v>
      </c>
    </row>
    <row r="1216" hidden="1">
      <c r="A1216" s="82"/>
      <c r="B1216" s="65" t="s">
        <v>750</v>
      </c>
      <c r="C1216" s="65" t="s">
        <v>102</v>
      </c>
      <c r="D1216" s="65" t="str">
        <f>vlookup(C1216,'Classificação p pessoal'!F:G,2,false)</f>
        <v>NP</v>
      </c>
      <c r="E1216" s="65" t="s">
        <v>762</v>
      </c>
      <c r="F1216" s="83">
        <v>0.4166666666666667</v>
      </c>
      <c r="G1216" s="83">
        <v>0.5</v>
      </c>
      <c r="H1216" s="83">
        <v>0.08333333333333333</v>
      </c>
      <c r="I1216" s="84">
        <v>44386.0</v>
      </c>
      <c r="J1216" s="65" t="b">
        <v>1</v>
      </c>
      <c r="K1216" s="65"/>
      <c r="L1216" s="85" t="b">
        <f>IF(VLOOKUP(C1216,Projetos!A:L,12,false)=TRUE,TRUE,FALSE)</f>
        <v>1</v>
      </c>
      <c r="M1216" s="74">
        <v>34.7706987012987</v>
      </c>
      <c r="N1216" s="74">
        <f t="shared" si="1"/>
        <v>69.5413974</v>
      </c>
      <c r="O1216" s="74" t="b">
        <v>1</v>
      </c>
    </row>
    <row r="1217" hidden="1">
      <c r="A1217" s="82"/>
      <c r="B1217" s="65" t="s">
        <v>750</v>
      </c>
      <c r="C1217" s="65" t="s">
        <v>85</v>
      </c>
      <c r="D1217" s="65" t="str">
        <f>vlookup(C1217,'Classificação p pessoal'!F:G,2,false)</f>
        <v>NP</v>
      </c>
      <c r="E1217" s="65" t="s">
        <v>752</v>
      </c>
      <c r="F1217" s="83">
        <v>0.5416666666666666</v>
      </c>
      <c r="G1217" s="83">
        <v>0.7083333333333334</v>
      </c>
      <c r="H1217" s="83">
        <v>0.16666666666666666</v>
      </c>
      <c r="I1217" s="84">
        <v>44391.0</v>
      </c>
      <c r="J1217" s="65" t="b">
        <v>1</v>
      </c>
      <c r="K1217" s="65"/>
      <c r="L1217" s="85" t="b">
        <f>IF(VLOOKUP(C1217,Projetos!A:L,12,false)=TRUE,TRUE,FALSE)</f>
        <v>1</v>
      </c>
      <c r="M1217" s="74">
        <v>34.7706987012987</v>
      </c>
      <c r="N1217" s="74">
        <f t="shared" si="1"/>
        <v>139.0827948</v>
      </c>
      <c r="O1217" s="74" t="b">
        <v>1</v>
      </c>
    </row>
    <row r="1218" hidden="1">
      <c r="A1218" s="82"/>
      <c r="B1218" s="65" t="s">
        <v>750</v>
      </c>
      <c r="C1218" s="65" t="s">
        <v>107</v>
      </c>
      <c r="D1218" s="65" t="str">
        <f>vlookup(C1218,'Classificação p pessoal'!F:G,2,false)</f>
        <v>NP</v>
      </c>
      <c r="E1218" s="65" t="s">
        <v>763</v>
      </c>
      <c r="F1218" s="83">
        <v>0.6666666666666666</v>
      </c>
      <c r="G1218" s="83">
        <v>0.75</v>
      </c>
      <c r="H1218" s="83">
        <v>0.08333333333333333</v>
      </c>
      <c r="I1218" s="84">
        <v>44392.0</v>
      </c>
      <c r="J1218" s="65" t="b">
        <v>1</v>
      </c>
      <c r="K1218" s="65"/>
      <c r="L1218" s="85" t="b">
        <f>IF(VLOOKUP(C1218,Projetos!A:L,12,false)=TRUE,TRUE,FALSE)</f>
        <v>1</v>
      </c>
      <c r="M1218" s="74">
        <v>34.7706987012987</v>
      </c>
      <c r="N1218" s="74">
        <f t="shared" si="1"/>
        <v>69.5413974</v>
      </c>
      <c r="O1218" s="74" t="b">
        <v>1</v>
      </c>
    </row>
    <row r="1219" hidden="1">
      <c r="A1219" s="82"/>
      <c r="B1219" s="65" t="s">
        <v>750</v>
      </c>
      <c r="C1219" s="65" t="s">
        <v>107</v>
      </c>
      <c r="D1219" s="65" t="str">
        <f>vlookup(C1219,'Classificação p pessoal'!F:G,2,false)</f>
        <v>NP</v>
      </c>
      <c r="E1219" s="65" t="s">
        <v>763</v>
      </c>
      <c r="F1219" s="83">
        <v>0.6666666666666666</v>
      </c>
      <c r="G1219" s="83">
        <v>0.75</v>
      </c>
      <c r="H1219" s="83">
        <v>0.08333333333333333</v>
      </c>
      <c r="I1219" s="84">
        <v>44393.0</v>
      </c>
      <c r="J1219" s="65" t="b">
        <v>1</v>
      </c>
      <c r="K1219" s="65"/>
      <c r="L1219" s="85" t="b">
        <f>IF(VLOOKUP(C1219,Projetos!A:L,12,false)=TRUE,TRUE,FALSE)</f>
        <v>1</v>
      </c>
      <c r="M1219" s="74">
        <v>34.7706987012987</v>
      </c>
      <c r="N1219" s="74">
        <f t="shared" si="1"/>
        <v>69.5413974</v>
      </c>
      <c r="O1219" s="74" t="b">
        <v>1</v>
      </c>
    </row>
    <row r="1220" hidden="1">
      <c r="A1220" s="82"/>
      <c r="B1220" s="65" t="s">
        <v>750</v>
      </c>
      <c r="C1220" s="65" t="s">
        <v>107</v>
      </c>
      <c r="D1220" s="65" t="str">
        <f>vlookup(C1220,'Classificação p pessoal'!F:G,2,false)</f>
        <v>NP</v>
      </c>
      <c r="E1220" s="65" t="s">
        <v>763</v>
      </c>
      <c r="F1220" s="83">
        <v>0.375</v>
      </c>
      <c r="G1220" s="83">
        <v>0.5</v>
      </c>
      <c r="H1220" s="83">
        <v>0.125</v>
      </c>
      <c r="I1220" s="84">
        <v>44394.0</v>
      </c>
      <c r="J1220" s="65" t="b">
        <v>1</v>
      </c>
      <c r="K1220" s="65"/>
      <c r="L1220" s="85" t="b">
        <f>IF(VLOOKUP(C1220,Projetos!A:L,12,false)=TRUE,TRUE,FALSE)</f>
        <v>1</v>
      </c>
      <c r="M1220" s="74">
        <v>34.7706987012987</v>
      </c>
      <c r="N1220" s="74">
        <f t="shared" si="1"/>
        <v>104.3120961</v>
      </c>
      <c r="O1220" s="74" t="b">
        <v>1</v>
      </c>
    </row>
    <row r="1221" hidden="1">
      <c r="A1221" s="82"/>
      <c r="B1221" s="65" t="s">
        <v>750</v>
      </c>
      <c r="C1221" s="65" t="s">
        <v>107</v>
      </c>
      <c r="D1221" s="65" t="str">
        <f>vlookup(C1221,'Classificação p pessoal'!F:G,2,false)</f>
        <v>NP</v>
      </c>
      <c r="E1221" s="65" t="s">
        <v>763</v>
      </c>
      <c r="F1221" s="83">
        <v>0.4166666666666667</v>
      </c>
      <c r="G1221" s="83">
        <v>0.5</v>
      </c>
      <c r="H1221" s="83">
        <v>0.08333333333333333</v>
      </c>
      <c r="I1221" s="84">
        <v>44396.0</v>
      </c>
      <c r="J1221" s="65" t="b">
        <v>1</v>
      </c>
      <c r="K1221" s="65"/>
      <c r="L1221" s="85" t="b">
        <f>IF(VLOOKUP(C1221,Projetos!A:L,12,false)=TRUE,TRUE,FALSE)</f>
        <v>1</v>
      </c>
      <c r="M1221" s="74">
        <v>34.7706987012987</v>
      </c>
      <c r="N1221" s="74">
        <f t="shared" si="1"/>
        <v>69.5413974</v>
      </c>
      <c r="O1221" s="74" t="b">
        <v>1</v>
      </c>
    </row>
    <row r="1222" hidden="1">
      <c r="A1222" s="82"/>
      <c r="B1222" s="65" t="s">
        <v>750</v>
      </c>
      <c r="C1222" s="65" t="s">
        <v>102</v>
      </c>
      <c r="D1222" s="65" t="str">
        <f>vlookup(C1222,'Classificação p pessoal'!F:G,2,false)</f>
        <v>NP</v>
      </c>
      <c r="E1222" s="65" t="s">
        <v>762</v>
      </c>
      <c r="F1222" s="83">
        <v>0.625</v>
      </c>
      <c r="G1222" s="83">
        <v>0.6666666666666666</v>
      </c>
      <c r="H1222" s="83">
        <v>0.041666666666666664</v>
      </c>
      <c r="I1222" s="84">
        <v>44397.0</v>
      </c>
      <c r="J1222" s="65" t="b">
        <v>1</v>
      </c>
      <c r="K1222" s="65"/>
      <c r="L1222" s="85" t="b">
        <f>IF(VLOOKUP(C1222,Projetos!A:L,12,false)=TRUE,TRUE,FALSE)</f>
        <v>1</v>
      </c>
      <c r="M1222" s="74">
        <v>34.7706987012987</v>
      </c>
      <c r="N1222" s="74">
        <f t="shared" si="1"/>
        <v>34.7706987</v>
      </c>
      <c r="O1222" s="74" t="b">
        <v>1</v>
      </c>
    </row>
    <row r="1223" hidden="1">
      <c r="A1223" s="82"/>
      <c r="B1223" s="65" t="s">
        <v>750</v>
      </c>
      <c r="C1223" s="65" t="s">
        <v>107</v>
      </c>
      <c r="D1223" s="65" t="str">
        <f>vlookup(C1223,'Classificação p pessoal'!F:G,2,false)</f>
        <v>NP</v>
      </c>
      <c r="E1223" s="65" t="s">
        <v>763</v>
      </c>
      <c r="F1223" s="83">
        <v>0.6666666666666666</v>
      </c>
      <c r="G1223" s="83">
        <v>0.75</v>
      </c>
      <c r="H1223" s="83">
        <v>0.08333333333333333</v>
      </c>
      <c r="I1223" s="84">
        <v>44398.0</v>
      </c>
      <c r="J1223" s="65" t="b">
        <v>1</v>
      </c>
      <c r="K1223" s="65"/>
      <c r="L1223" s="85" t="b">
        <f>IF(VLOOKUP(C1223,Projetos!A:L,12,false)=TRUE,TRUE,FALSE)</f>
        <v>1</v>
      </c>
      <c r="M1223" s="74">
        <v>34.7706987012987</v>
      </c>
      <c r="N1223" s="74">
        <f t="shared" si="1"/>
        <v>69.5413974</v>
      </c>
      <c r="O1223" s="74" t="b">
        <v>1</v>
      </c>
    </row>
    <row r="1224" hidden="1">
      <c r="A1224" s="82"/>
      <c r="B1224" s="65" t="s">
        <v>750</v>
      </c>
      <c r="C1224" s="65" t="s">
        <v>91</v>
      </c>
      <c r="D1224" s="65" t="str">
        <f>vlookup(C1224,'Classificação p pessoal'!F:G,2,false)</f>
        <v>NP</v>
      </c>
      <c r="E1224" s="65" t="s">
        <v>159</v>
      </c>
      <c r="F1224" s="83">
        <v>0.5833333333333334</v>
      </c>
      <c r="G1224" s="83">
        <v>0.7083333333333334</v>
      </c>
      <c r="H1224" s="83">
        <v>0.125</v>
      </c>
      <c r="I1224" s="84">
        <v>44399.0</v>
      </c>
      <c r="J1224" s="65" t="b">
        <v>1</v>
      </c>
      <c r="K1224" s="65"/>
      <c r="L1224" s="85" t="b">
        <f>IF(VLOOKUP(C1224,Projetos!A:L,12,false)=TRUE,TRUE,FALSE)</f>
        <v>1</v>
      </c>
      <c r="M1224" s="74">
        <v>34.7706987012987</v>
      </c>
      <c r="N1224" s="74">
        <f t="shared" si="1"/>
        <v>104.3120961</v>
      </c>
      <c r="O1224" s="74" t="b">
        <v>1</v>
      </c>
    </row>
    <row r="1225" hidden="1">
      <c r="A1225" s="82"/>
      <c r="B1225" s="65" t="s">
        <v>750</v>
      </c>
      <c r="C1225" s="65" t="s">
        <v>115</v>
      </c>
      <c r="D1225" s="65" t="str">
        <f>vlookup(C1225,'Classificação p pessoal'!F:G,2,false)</f>
        <v>NP</v>
      </c>
      <c r="E1225" s="65" t="s">
        <v>763</v>
      </c>
      <c r="F1225" s="83">
        <v>0.625</v>
      </c>
      <c r="G1225" s="83">
        <v>0.75</v>
      </c>
      <c r="H1225" s="83">
        <v>0.125</v>
      </c>
      <c r="I1225" s="84">
        <v>44400.0</v>
      </c>
      <c r="J1225" s="65" t="b">
        <v>1</v>
      </c>
      <c r="K1225" s="65"/>
      <c r="L1225" s="85" t="b">
        <f>IF(VLOOKUP(C1225,Projetos!A:L,12,false)=TRUE,TRUE,FALSE)</f>
        <v>1</v>
      </c>
      <c r="M1225" s="74">
        <v>34.7706987012987</v>
      </c>
      <c r="N1225" s="74">
        <f t="shared" si="1"/>
        <v>104.3120961</v>
      </c>
      <c r="O1225" s="74" t="b">
        <v>1</v>
      </c>
    </row>
    <row r="1226" hidden="1">
      <c r="A1226" s="82"/>
      <c r="B1226" s="65" t="s">
        <v>750</v>
      </c>
      <c r="C1226" s="65" t="s">
        <v>107</v>
      </c>
      <c r="D1226" s="65" t="str">
        <f>vlookup(C1226,'Classificação p pessoal'!F:G,2,false)</f>
        <v>NP</v>
      </c>
      <c r="E1226" s="65" t="s">
        <v>763</v>
      </c>
      <c r="F1226" s="83">
        <v>0.4166666666666667</v>
      </c>
      <c r="G1226" s="83">
        <v>0.5</v>
      </c>
      <c r="H1226" s="83">
        <v>0.08333333333333333</v>
      </c>
      <c r="I1226" s="84">
        <v>44400.0</v>
      </c>
      <c r="J1226" s="65" t="b">
        <v>1</v>
      </c>
      <c r="K1226" s="65"/>
      <c r="L1226" s="85" t="b">
        <f>IF(VLOOKUP(C1226,Projetos!A:L,12,false)=TRUE,TRUE,FALSE)</f>
        <v>1</v>
      </c>
      <c r="M1226" s="74">
        <v>34.7706987012987</v>
      </c>
      <c r="N1226" s="74">
        <f t="shared" si="1"/>
        <v>69.5413974</v>
      </c>
      <c r="O1226" s="74" t="b">
        <v>1</v>
      </c>
    </row>
    <row r="1227" hidden="1">
      <c r="A1227" s="82"/>
      <c r="B1227" s="65" t="s">
        <v>750</v>
      </c>
      <c r="C1227" s="65" t="s">
        <v>115</v>
      </c>
      <c r="D1227" s="65" t="str">
        <f>vlookup(C1227,'Classificação p pessoal'!F:G,2,false)</f>
        <v>NP</v>
      </c>
      <c r="E1227" s="65" t="s">
        <v>763</v>
      </c>
      <c r="F1227" s="83">
        <v>0.4583333333333333</v>
      </c>
      <c r="G1227" s="83">
        <v>0.5416666666666666</v>
      </c>
      <c r="H1227" s="83">
        <v>0.08333333333333333</v>
      </c>
      <c r="I1227" s="84">
        <v>44403.0</v>
      </c>
      <c r="J1227" s="65" t="b">
        <v>1</v>
      </c>
      <c r="K1227" s="65"/>
      <c r="L1227" s="85" t="b">
        <f>IF(VLOOKUP(C1227,Projetos!A:L,12,false)=TRUE,TRUE,FALSE)</f>
        <v>1</v>
      </c>
      <c r="M1227" s="74">
        <v>34.7706987012987</v>
      </c>
      <c r="N1227" s="74">
        <f t="shared" si="1"/>
        <v>69.5413974</v>
      </c>
      <c r="O1227" s="74" t="b">
        <v>1</v>
      </c>
    </row>
    <row r="1228" hidden="1">
      <c r="A1228" s="82"/>
      <c r="B1228" s="65" t="s">
        <v>750</v>
      </c>
      <c r="C1228" s="65" t="s">
        <v>115</v>
      </c>
      <c r="D1228" s="65" t="str">
        <f>vlookup(C1228,'Classificação p pessoal'!F:G,2,false)</f>
        <v>NP</v>
      </c>
      <c r="E1228" s="65" t="s">
        <v>763</v>
      </c>
      <c r="F1228" s="83">
        <v>0.5416666666666666</v>
      </c>
      <c r="G1228" s="83">
        <v>0.6666666666666666</v>
      </c>
      <c r="H1228" s="83">
        <v>0.125</v>
      </c>
      <c r="I1228" s="84">
        <v>44404.0</v>
      </c>
      <c r="J1228" s="65" t="b">
        <v>1</v>
      </c>
      <c r="K1228" s="65"/>
      <c r="L1228" s="85" t="b">
        <f>IF(VLOOKUP(C1228,Projetos!A:L,12,false)=TRUE,TRUE,FALSE)</f>
        <v>1</v>
      </c>
      <c r="M1228" s="74">
        <v>34.7706987012987</v>
      </c>
      <c r="N1228" s="74">
        <f t="shared" si="1"/>
        <v>104.3120961</v>
      </c>
      <c r="O1228" s="74" t="b">
        <v>1</v>
      </c>
    </row>
    <row r="1229" hidden="1">
      <c r="A1229" s="82"/>
      <c r="B1229" s="65" t="s">
        <v>750</v>
      </c>
      <c r="C1229" s="65" t="s">
        <v>115</v>
      </c>
      <c r="D1229" s="65" t="str">
        <f>vlookup(C1229,'Classificação p pessoal'!F:G,2,false)</f>
        <v>NP</v>
      </c>
      <c r="E1229" s="65" t="s">
        <v>763</v>
      </c>
      <c r="F1229" s="83">
        <v>0.375</v>
      </c>
      <c r="G1229" s="83">
        <v>0.4166666666666667</v>
      </c>
      <c r="H1229" s="83">
        <v>0.041666666666666664</v>
      </c>
      <c r="I1229" s="84">
        <v>44405.0</v>
      </c>
      <c r="J1229" s="65" t="b">
        <v>1</v>
      </c>
      <c r="K1229" s="65"/>
      <c r="L1229" s="85" t="b">
        <f>IF(VLOOKUP(C1229,Projetos!A:L,12,false)=TRUE,TRUE,FALSE)</f>
        <v>1</v>
      </c>
      <c r="M1229" s="74">
        <v>34.7706987012987</v>
      </c>
      <c r="N1229" s="74">
        <f t="shared" si="1"/>
        <v>34.7706987</v>
      </c>
      <c r="O1229" s="74" t="b">
        <v>1</v>
      </c>
    </row>
    <row r="1230" hidden="1">
      <c r="A1230" s="82"/>
      <c r="B1230" s="65" t="s">
        <v>750</v>
      </c>
      <c r="C1230" s="65" t="s">
        <v>107</v>
      </c>
      <c r="D1230" s="65" t="str">
        <f>vlookup(C1230,'Classificação p pessoal'!F:G,2,false)</f>
        <v>NP</v>
      </c>
      <c r="E1230" s="65" t="s">
        <v>763</v>
      </c>
      <c r="F1230" s="83">
        <v>0.5833333333333334</v>
      </c>
      <c r="G1230" s="83">
        <v>0.625</v>
      </c>
      <c r="H1230" s="83">
        <v>0.041666666666666664</v>
      </c>
      <c r="I1230" s="84">
        <v>44405.0</v>
      </c>
      <c r="J1230" s="65" t="b">
        <v>1</v>
      </c>
      <c r="K1230" s="65"/>
      <c r="L1230" s="85" t="b">
        <f>IF(VLOOKUP(C1230,Projetos!A:L,12,false)=TRUE,TRUE,FALSE)</f>
        <v>1</v>
      </c>
      <c r="M1230" s="74">
        <v>34.7706987012987</v>
      </c>
      <c r="N1230" s="74">
        <f t="shared" si="1"/>
        <v>34.7706987</v>
      </c>
      <c r="O1230" s="74" t="b">
        <v>1</v>
      </c>
    </row>
    <row r="1231" hidden="1">
      <c r="A1231" s="82"/>
      <c r="B1231" s="65" t="s">
        <v>750</v>
      </c>
      <c r="C1231" s="65" t="s">
        <v>85</v>
      </c>
      <c r="D1231" s="65" t="str">
        <f>vlookup(C1231,'Classificação p pessoal'!F:G,2,false)</f>
        <v>NP</v>
      </c>
      <c r="E1231" s="65" t="s">
        <v>752</v>
      </c>
      <c r="F1231" s="83">
        <v>0.6666666666666666</v>
      </c>
      <c r="G1231" s="83">
        <v>0.75</v>
      </c>
      <c r="H1231" s="83">
        <v>0.08333333333333333</v>
      </c>
      <c r="I1231" s="84">
        <v>44405.0</v>
      </c>
      <c r="J1231" s="65" t="b">
        <v>1</v>
      </c>
      <c r="K1231" s="65"/>
      <c r="L1231" s="85" t="b">
        <f>IF(VLOOKUP(C1231,Projetos!A:L,12,false)=TRUE,TRUE,FALSE)</f>
        <v>1</v>
      </c>
      <c r="M1231" s="74">
        <v>34.7706987012987</v>
      </c>
      <c r="N1231" s="74">
        <f t="shared" si="1"/>
        <v>69.5413974</v>
      </c>
      <c r="O1231" s="74" t="b">
        <v>1</v>
      </c>
    </row>
    <row r="1232" hidden="1">
      <c r="A1232" s="82"/>
      <c r="B1232" s="65" t="s">
        <v>750</v>
      </c>
      <c r="C1232" s="65" t="s">
        <v>98</v>
      </c>
      <c r="D1232" s="65" t="str">
        <f>vlookup(C1232,'Classificação p pessoal'!F:G,2,false)</f>
        <v>NP</v>
      </c>
      <c r="E1232" s="65" t="s">
        <v>159</v>
      </c>
      <c r="F1232" s="83">
        <v>0.5416666666666666</v>
      </c>
      <c r="G1232" s="83">
        <v>0.75</v>
      </c>
      <c r="H1232" s="83">
        <v>0.20833333333333334</v>
      </c>
      <c r="I1232" s="84">
        <v>44406.0</v>
      </c>
      <c r="J1232" s="65" t="b">
        <v>1</v>
      </c>
      <c r="K1232" s="65"/>
      <c r="L1232" s="85" t="b">
        <f>IF(VLOOKUP(C1232,Projetos!A:L,12,false)=TRUE,TRUE,FALSE)</f>
        <v>1</v>
      </c>
      <c r="M1232" s="74">
        <v>34.7706987012987</v>
      </c>
      <c r="N1232" s="74">
        <f t="shared" si="1"/>
        <v>173.8534935</v>
      </c>
      <c r="O1232" s="74" t="b">
        <v>1</v>
      </c>
    </row>
    <row r="1233" hidden="1">
      <c r="A1233" s="82"/>
      <c r="B1233" s="65" t="s">
        <v>750</v>
      </c>
      <c r="C1233" s="65" t="s">
        <v>107</v>
      </c>
      <c r="D1233" s="65" t="str">
        <f>vlookup(C1233,'Classificação p pessoal'!F:G,2,false)</f>
        <v>NP</v>
      </c>
      <c r="E1233" s="65" t="s">
        <v>767</v>
      </c>
      <c r="F1233" s="83">
        <v>0.375</v>
      </c>
      <c r="G1233" s="83">
        <v>0.4583333333333333</v>
      </c>
      <c r="H1233" s="83">
        <v>0.08333333333333333</v>
      </c>
      <c r="I1233" s="84">
        <v>44406.0</v>
      </c>
      <c r="J1233" s="65" t="b">
        <v>1</v>
      </c>
      <c r="K1233" s="65"/>
      <c r="L1233" s="85" t="b">
        <f>IF(VLOOKUP(C1233,Projetos!A:L,12,false)=TRUE,TRUE,FALSE)</f>
        <v>1</v>
      </c>
      <c r="M1233" s="74">
        <v>34.7706987012987</v>
      </c>
      <c r="N1233" s="74">
        <f t="shared" si="1"/>
        <v>69.5413974</v>
      </c>
      <c r="O1233" s="74" t="b">
        <v>1</v>
      </c>
    </row>
    <row r="1234" hidden="1">
      <c r="A1234" s="82"/>
      <c r="B1234" s="65" t="s">
        <v>750</v>
      </c>
      <c r="C1234" s="65" t="s">
        <v>107</v>
      </c>
      <c r="D1234" s="65" t="str">
        <f>vlookup(C1234,'Classificação p pessoal'!F:G,2,false)</f>
        <v>NP</v>
      </c>
      <c r="E1234" s="65" t="s">
        <v>767</v>
      </c>
      <c r="F1234" s="83">
        <v>0.6666666666666666</v>
      </c>
      <c r="G1234" s="83">
        <v>0.7083333333333334</v>
      </c>
      <c r="H1234" s="83">
        <v>0.041666666666666664</v>
      </c>
      <c r="I1234" s="84">
        <v>44407.0</v>
      </c>
      <c r="J1234" s="65" t="b">
        <v>1</v>
      </c>
      <c r="K1234" s="65"/>
      <c r="L1234" s="85" t="b">
        <f>IF(VLOOKUP(C1234,Projetos!A:L,12,false)=TRUE,TRUE,FALSE)</f>
        <v>1</v>
      </c>
      <c r="M1234" s="74">
        <v>34.7706987012987</v>
      </c>
      <c r="N1234" s="74">
        <f t="shared" si="1"/>
        <v>34.7706987</v>
      </c>
      <c r="O1234" s="74" t="b">
        <v>1</v>
      </c>
    </row>
    <row r="1235" hidden="1">
      <c r="A1235" s="82"/>
      <c r="B1235" s="65" t="s">
        <v>750</v>
      </c>
      <c r="C1235" s="65" t="s">
        <v>115</v>
      </c>
      <c r="D1235" s="65" t="str">
        <f>vlookup(C1235,'Classificação p pessoal'!F:G,2,false)</f>
        <v>NP</v>
      </c>
      <c r="E1235" s="65" t="s">
        <v>763</v>
      </c>
      <c r="F1235" s="83">
        <v>0.4166666666666667</v>
      </c>
      <c r="G1235" s="83">
        <v>0.5</v>
      </c>
      <c r="H1235" s="83">
        <v>0.08333333333333333</v>
      </c>
      <c r="I1235" s="84">
        <v>44420.0</v>
      </c>
      <c r="J1235" s="65" t="b">
        <v>1</v>
      </c>
      <c r="K1235" s="65"/>
      <c r="L1235" s="85" t="b">
        <f>IF(VLOOKUP(C1235,Projetos!A:L,12,false)=TRUE,TRUE,FALSE)</f>
        <v>1</v>
      </c>
      <c r="M1235" s="74">
        <v>34.7706987012987</v>
      </c>
      <c r="N1235" s="74">
        <f t="shared" si="1"/>
        <v>69.5413974</v>
      </c>
      <c r="O1235" s="74" t="b">
        <v>1</v>
      </c>
    </row>
    <row r="1236" hidden="1">
      <c r="A1236" s="82"/>
      <c r="B1236" s="65" t="s">
        <v>750</v>
      </c>
      <c r="C1236" s="65" t="s">
        <v>98</v>
      </c>
      <c r="D1236" s="65" t="str">
        <f>vlookup(C1236,'Classificação p pessoal'!F:G,2,false)</f>
        <v>NP</v>
      </c>
      <c r="E1236" s="65" t="s">
        <v>159</v>
      </c>
      <c r="F1236" s="83">
        <v>0.4166666666666667</v>
      </c>
      <c r="G1236" s="83">
        <v>0.5</v>
      </c>
      <c r="H1236" s="83">
        <v>0.08333333333333333</v>
      </c>
      <c r="I1236" s="84">
        <v>44421.0</v>
      </c>
      <c r="J1236" s="65" t="b">
        <v>1</v>
      </c>
      <c r="K1236" s="65"/>
      <c r="L1236" s="85" t="b">
        <f>IF(VLOOKUP(C1236,Projetos!A:L,12,false)=TRUE,TRUE,FALSE)</f>
        <v>1</v>
      </c>
      <c r="M1236" s="74">
        <v>34.7706987012987</v>
      </c>
      <c r="N1236" s="74">
        <f t="shared" si="1"/>
        <v>69.5413974</v>
      </c>
      <c r="O1236" s="74" t="b">
        <v>1</v>
      </c>
    </row>
    <row r="1237" hidden="1">
      <c r="A1237" s="82"/>
      <c r="B1237" s="65" t="s">
        <v>750</v>
      </c>
      <c r="C1237" s="65" t="s">
        <v>98</v>
      </c>
      <c r="D1237" s="65" t="str">
        <f>vlookup(C1237,'Classificação p pessoal'!F:G,2,false)</f>
        <v>NP</v>
      </c>
      <c r="E1237" s="65" t="s">
        <v>159</v>
      </c>
      <c r="F1237" s="83">
        <v>0.5833333333333334</v>
      </c>
      <c r="G1237" s="83">
        <v>0.6666666666666666</v>
      </c>
      <c r="H1237" s="83">
        <v>0.08333333333333333</v>
      </c>
      <c r="I1237" s="84">
        <v>44424.0</v>
      </c>
      <c r="J1237" s="65" t="b">
        <v>1</v>
      </c>
      <c r="K1237" s="65"/>
      <c r="L1237" s="85" t="b">
        <f>IF(VLOOKUP(C1237,Projetos!A:L,12,false)=TRUE,TRUE,FALSE)</f>
        <v>1</v>
      </c>
      <c r="M1237" s="74">
        <v>34.7706987012987</v>
      </c>
      <c r="N1237" s="74">
        <f t="shared" si="1"/>
        <v>69.5413974</v>
      </c>
      <c r="O1237" s="74" t="b">
        <v>1</v>
      </c>
    </row>
    <row r="1238" hidden="1">
      <c r="A1238" s="82"/>
      <c r="B1238" s="65" t="s">
        <v>750</v>
      </c>
      <c r="C1238" s="65" t="s">
        <v>107</v>
      </c>
      <c r="D1238" s="65" t="str">
        <f>vlookup(C1238,'Classificação p pessoal'!F:G,2,false)</f>
        <v>NP</v>
      </c>
      <c r="E1238" s="65" t="s">
        <v>763</v>
      </c>
      <c r="F1238" s="83">
        <v>0.625</v>
      </c>
      <c r="G1238" s="83">
        <v>0.75</v>
      </c>
      <c r="H1238" s="83">
        <v>0.125</v>
      </c>
      <c r="I1238" s="84">
        <v>44428.0</v>
      </c>
      <c r="J1238" s="65" t="b">
        <v>1</v>
      </c>
      <c r="K1238" s="65"/>
      <c r="L1238" s="85" t="b">
        <f>IF(VLOOKUP(C1238,Projetos!A:L,12,false)=TRUE,TRUE,FALSE)</f>
        <v>1</v>
      </c>
      <c r="M1238" s="74">
        <v>34.7706987012987</v>
      </c>
      <c r="N1238" s="74">
        <f t="shared" si="1"/>
        <v>104.3120961</v>
      </c>
      <c r="O1238" s="74" t="b">
        <v>1</v>
      </c>
    </row>
    <row r="1239" hidden="1">
      <c r="A1239" s="82"/>
      <c r="B1239" s="65" t="s">
        <v>750</v>
      </c>
      <c r="C1239" s="65" t="s">
        <v>107</v>
      </c>
      <c r="D1239" s="65" t="str">
        <f>vlookup(C1239,'Classificação p pessoal'!F:G,2,false)</f>
        <v>NP</v>
      </c>
      <c r="E1239" s="65" t="s">
        <v>763</v>
      </c>
      <c r="F1239" s="83">
        <v>0.375</v>
      </c>
      <c r="G1239" s="83">
        <v>0.5</v>
      </c>
      <c r="H1239" s="83">
        <v>0.125</v>
      </c>
      <c r="I1239" s="84">
        <v>44431.0</v>
      </c>
      <c r="J1239" s="65" t="b">
        <v>1</v>
      </c>
      <c r="K1239" s="65"/>
      <c r="L1239" s="85" t="b">
        <f>IF(VLOOKUP(C1239,Projetos!A:L,12,false)=TRUE,TRUE,FALSE)</f>
        <v>1</v>
      </c>
      <c r="M1239" s="74">
        <v>34.7706987012987</v>
      </c>
      <c r="N1239" s="74">
        <f t="shared" si="1"/>
        <v>104.3120961</v>
      </c>
      <c r="O1239" s="74" t="b">
        <v>1</v>
      </c>
    </row>
    <row r="1240" hidden="1">
      <c r="A1240" s="82"/>
      <c r="B1240" s="65" t="s">
        <v>750</v>
      </c>
      <c r="C1240" s="65" t="s">
        <v>98</v>
      </c>
      <c r="D1240" s="65" t="str">
        <f>vlookup(C1240,'Classificação p pessoal'!F:G,2,false)</f>
        <v>NP</v>
      </c>
      <c r="E1240" s="65" t="s">
        <v>159</v>
      </c>
      <c r="F1240" s="83">
        <v>0.4166666666666667</v>
      </c>
      <c r="G1240" s="83">
        <v>0.5416666666666666</v>
      </c>
      <c r="H1240" s="83">
        <v>0.125</v>
      </c>
      <c r="I1240" s="84">
        <v>44432.0</v>
      </c>
      <c r="J1240" s="65" t="b">
        <v>1</v>
      </c>
      <c r="K1240" s="65"/>
      <c r="L1240" s="85" t="b">
        <f>IF(VLOOKUP(C1240,Projetos!A:L,12,false)=TRUE,TRUE,FALSE)</f>
        <v>1</v>
      </c>
      <c r="M1240" s="74">
        <v>34.7706987012987</v>
      </c>
      <c r="N1240" s="74">
        <f t="shared" si="1"/>
        <v>104.3120961</v>
      </c>
      <c r="O1240" s="74" t="b">
        <v>1</v>
      </c>
    </row>
    <row r="1241" hidden="1">
      <c r="A1241" s="82"/>
      <c r="B1241" s="65" t="s">
        <v>750</v>
      </c>
      <c r="C1241" s="65" t="s">
        <v>85</v>
      </c>
      <c r="D1241" s="65" t="str">
        <f>vlookup(C1241,'Classificação p pessoal'!F:G,2,false)</f>
        <v>NP</v>
      </c>
      <c r="E1241" s="65" t="s">
        <v>159</v>
      </c>
      <c r="F1241" s="83">
        <v>0.5833333333333334</v>
      </c>
      <c r="G1241" s="83">
        <v>0.7083333333333334</v>
      </c>
      <c r="H1241" s="83">
        <v>0.125</v>
      </c>
      <c r="I1241" s="84">
        <v>44432.0</v>
      </c>
      <c r="J1241" s="65" t="b">
        <v>1</v>
      </c>
      <c r="K1241" s="65"/>
      <c r="L1241" s="85" t="b">
        <f>IF(VLOOKUP(C1241,Projetos!A:L,12,false)=TRUE,TRUE,FALSE)</f>
        <v>1</v>
      </c>
      <c r="M1241" s="74">
        <v>34.7706987012987</v>
      </c>
      <c r="N1241" s="74">
        <f t="shared" si="1"/>
        <v>104.3120961</v>
      </c>
      <c r="O1241" s="74" t="b">
        <v>1</v>
      </c>
    </row>
    <row r="1242" hidden="1">
      <c r="A1242" s="82"/>
      <c r="B1242" s="65" t="s">
        <v>750</v>
      </c>
      <c r="C1242" s="65" t="s">
        <v>98</v>
      </c>
      <c r="D1242" s="65" t="str">
        <f>vlookup(C1242,'Classificação p pessoal'!F:G,2,false)</f>
        <v>NP</v>
      </c>
      <c r="E1242" s="65" t="s">
        <v>159</v>
      </c>
      <c r="F1242" s="83">
        <v>0.625</v>
      </c>
      <c r="G1242" s="83">
        <v>0.75</v>
      </c>
      <c r="H1242" s="83">
        <v>0.125</v>
      </c>
      <c r="I1242" s="84">
        <v>44433.0</v>
      </c>
      <c r="J1242" s="65" t="b">
        <v>1</v>
      </c>
      <c r="K1242" s="65"/>
      <c r="L1242" s="85" t="b">
        <f>IF(VLOOKUP(C1242,Projetos!A:L,12,false)=TRUE,TRUE,FALSE)</f>
        <v>1</v>
      </c>
      <c r="M1242" s="74">
        <v>34.7706987012987</v>
      </c>
      <c r="N1242" s="74">
        <f t="shared" si="1"/>
        <v>104.3120961</v>
      </c>
      <c r="O1242" s="74" t="b">
        <v>1</v>
      </c>
    </row>
    <row r="1243" hidden="1">
      <c r="A1243" s="82"/>
      <c r="B1243" s="65" t="s">
        <v>750</v>
      </c>
      <c r="C1243" s="65" t="s">
        <v>107</v>
      </c>
      <c r="D1243" s="65" t="str">
        <f>vlookup(C1243,'Classificação p pessoal'!F:G,2,false)</f>
        <v>NP</v>
      </c>
      <c r="E1243" s="65" t="s">
        <v>763</v>
      </c>
      <c r="F1243" s="83">
        <v>0.6666666666666666</v>
      </c>
      <c r="G1243" s="83">
        <v>0.75</v>
      </c>
      <c r="H1243" s="83">
        <v>0.08333333333333333</v>
      </c>
      <c r="I1243" s="84">
        <v>44435.0</v>
      </c>
      <c r="J1243" s="65" t="b">
        <v>1</v>
      </c>
      <c r="K1243" s="65"/>
      <c r="L1243" s="85" t="b">
        <f>IF(VLOOKUP(C1243,Projetos!A:L,12,false)=TRUE,TRUE,FALSE)</f>
        <v>1</v>
      </c>
      <c r="M1243" s="74">
        <v>34.7706987012987</v>
      </c>
      <c r="N1243" s="74">
        <f t="shared" si="1"/>
        <v>69.5413974</v>
      </c>
      <c r="O1243" s="74" t="b">
        <v>1</v>
      </c>
    </row>
    <row r="1244" hidden="1">
      <c r="A1244" s="82"/>
      <c r="B1244" s="65" t="s">
        <v>750</v>
      </c>
      <c r="C1244" s="65" t="s">
        <v>107</v>
      </c>
      <c r="D1244" s="65" t="str">
        <f>vlookup(C1244,'Classificação p pessoal'!F:G,2,false)</f>
        <v>NP</v>
      </c>
      <c r="E1244" s="65" t="s">
        <v>763</v>
      </c>
      <c r="F1244" s="83">
        <v>0.5833333333333334</v>
      </c>
      <c r="G1244" s="83">
        <v>0.7083333333333334</v>
      </c>
      <c r="H1244" s="83">
        <v>0.125</v>
      </c>
      <c r="I1244" s="84">
        <v>44438.0</v>
      </c>
      <c r="J1244" s="65" t="b">
        <v>1</v>
      </c>
      <c r="K1244" s="65"/>
      <c r="L1244" s="85" t="b">
        <f>IF(VLOOKUP(C1244,Projetos!A:L,12,false)=TRUE,TRUE,FALSE)</f>
        <v>1</v>
      </c>
      <c r="M1244" s="74">
        <v>34.7706987012987</v>
      </c>
      <c r="N1244" s="74">
        <f t="shared" si="1"/>
        <v>104.3120961</v>
      </c>
      <c r="O1244" s="74" t="b">
        <v>1</v>
      </c>
    </row>
    <row r="1245" hidden="1">
      <c r="A1245" s="82"/>
      <c r="B1245" s="65" t="s">
        <v>750</v>
      </c>
      <c r="C1245" s="65" t="s">
        <v>98</v>
      </c>
      <c r="D1245" s="65" t="str">
        <f>vlookup(C1245,'Classificação p pessoal'!F:G,2,false)</f>
        <v>NP</v>
      </c>
      <c r="E1245" s="65" t="s">
        <v>159</v>
      </c>
      <c r="F1245" s="83">
        <v>0.4166666666666667</v>
      </c>
      <c r="G1245" s="83">
        <v>0.5</v>
      </c>
      <c r="H1245" s="83">
        <v>0.08333333333333333</v>
      </c>
      <c r="I1245" s="84">
        <v>44438.0</v>
      </c>
      <c r="J1245" s="65" t="b">
        <v>1</v>
      </c>
      <c r="K1245" s="65"/>
      <c r="L1245" s="85" t="b">
        <f>IF(VLOOKUP(C1245,Projetos!A:L,12,false)=TRUE,TRUE,FALSE)</f>
        <v>1</v>
      </c>
      <c r="M1245" s="74">
        <v>34.7706987012987</v>
      </c>
      <c r="N1245" s="74">
        <f t="shared" si="1"/>
        <v>69.5413974</v>
      </c>
      <c r="O1245" s="74" t="b">
        <v>1</v>
      </c>
    </row>
    <row r="1246" hidden="1">
      <c r="A1246" s="82"/>
      <c r="B1246" s="65" t="s">
        <v>750</v>
      </c>
      <c r="C1246" s="65" t="s">
        <v>98</v>
      </c>
      <c r="D1246" s="65" t="str">
        <f>vlookup(C1246,'Classificação p pessoal'!F:G,2,false)</f>
        <v>NP</v>
      </c>
      <c r="E1246" s="65" t="s">
        <v>159</v>
      </c>
      <c r="F1246" s="83">
        <v>0.375</v>
      </c>
      <c r="G1246" s="83">
        <v>0.5</v>
      </c>
      <c r="H1246" s="83">
        <v>0.125</v>
      </c>
      <c r="I1246" s="84">
        <v>44439.0</v>
      </c>
      <c r="J1246" s="65" t="b">
        <v>1</v>
      </c>
      <c r="K1246" s="65"/>
      <c r="L1246" s="85" t="b">
        <f>IF(VLOOKUP(C1246,Projetos!A:L,12,false)=TRUE,TRUE,FALSE)</f>
        <v>1</v>
      </c>
      <c r="M1246" s="74">
        <v>34.7706987012987</v>
      </c>
      <c r="N1246" s="74">
        <f t="shared" si="1"/>
        <v>104.3120961</v>
      </c>
      <c r="O1246" s="74" t="b">
        <v>1</v>
      </c>
    </row>
    <row r="1247" hidden="1">
      <c r="A1247" s="82"/>
      <c r="B1247" s="65" t="s">
        <v>750</v>
      </c>
      <c r="C1247" s="65" t="s">
        <v>115</v>
      </c>
      <c r="D1247" s="65" t="str">
        <f>vlookup(C1247,'Classificação p pessoal'!F:G,2,false)</f>
        <v>NP</v>
      </c>
      <c r="E1247" s="65" t="s">
        <v>763</v>
      </c>
      <c r="F1247" s="83">
        <v>0.5833333333333334</v>
      </c>
      <c r="G1247" s="83">
        <v>0.7083333333333334</v>
      </c>
      <c r="H1247" s="83">
        <v>0.125</v>
      </c>
      <c r="I1247" s="84">
        <v>44439.0</v>
      </c>
      <c r="J1247" s="65" t="b">
        <v>1</v>
      </c>
      <c r="K1247" s="65"/>
      <c r="L1247" s="85" t="b">
        <f>IF(VLOOKUP(C1247,Projetos!A:L,12,false)=TRUE,TRUE,FALSE)</f>
        <v>1</v>
      </c>
      <c r="M1247" s="74">
        <v>34.7706987012987</v>
      </c>
      <c r="N1247" s="74">
        <f t="shared" si="1"/>
        <v>104.3120961</v>
      </c>
      <c r="O1247" s="74" t="b">
        <v>1</v>
      </c>
    </row>
    <row r="1248" hidden="1">
      <c r="A1248" s="82"/>
      <c r="B1248" s="65" t="s">
        <v>750</v>
      </c>
      <c r="C1248" s="65" t="s">
        <v>98</v>
      </c>
      <c r="D1248" s="65" t="str">
        <f>vlookup(C1248,'Classificação p pessoal'!F:G,2,false)</f>
        <v>NP</v>
      </c>
      <c r="E1248" s="65" t="s">
        <v>159</v>
      </c>
      <c r="F1248" s="83">
        <v>0.5833333333333334</v>
      </c>
      <c r="G1248" s="83">
        <v>0.625</v>
      </c>
      <c r="H1248" s="83">
        <v>0.041666666666666664</v>
      </c>
      <c r="I1248" s="84">
        <v>44440.0</v>
      </c>
      <c r="J1248" s="65" t="b">
        <v>1</v>
      </c>
      <c r="K1248" s="65"/>
      <c r="L1248" s="85" t="b">
        <f>IF(VLOOKUP(C1248,Projetos!A:L,12,false)=TRUE,TRUE,FALSE)</f>
        <v>1</v>
      </c>
      <c r="M1248" s="74">
        <v>34.7706987012987</v>
      </c>
      <c r="N1248" s="74">
        <f t="shared" si="1"/>
        <v>34.7706987</v>
      </c>
      <c r="O1248" s="74" t="b">
        <v>1</v>
      </c>
    </row>
    <row r="1249" hidden="1">
      <c r="A1249" s="82"/>
      <c r="B1249" s="65" t="s">
        <v>750</v>
      </c>
      <c r="C1249" s="65" t="s">
        <v>115</v>
      </c>
      <c r="D1249" s="65" t="str">
        <f>vlookup(C1249,'Classificação p pessoal'!F:G,2,false)</f>
        <v>NP</v>
      </c>
      <c r="E1249" s="65" t="s">
        <v>763</v>
      </c>
      <c r="F1249" s="83">
        <v>0.625</v>
      </c>
      <c r="G1249" s="83">
        <v>0.6666666666666666</v>
      </c>
      <c r="H1249" s="83">
        <v>0.041666666666666664</v>
      </c>
      <c r="I1249" s="84">
        <v>44440.0</v>
      </c>
      <c r="J1249" s="65" t="b">
        <v>1</v>
      </c>
      <c r="K1249" s="65"/>
      <c r="L1249" s="85" t="b">
        <f>IF(VLOOKUP(C1249,Projetos!A:L,12,false)=TRUE,TRUE,FALSE)</f>
        <v>1</v>
      </c>
      <c r="M1249" s="74">
        <v>34.7706987012987</v>
      </c>
      <c r="N1249" s="74">
        <f t="shared" si="1"/>
        <v>34.7706987</v>
      </c>
      <c r="O1249" s="74" t="b">
        <v>1</v>
      </c>
    </row>
    <row r="1250" hidden="1">
      <c r="A1250" s="82"/>
      <c r="B1250" s="65" t="s">
        <v>750</v>
      </c>
      <c r="C1250" s="65" t="s">
        <v>98</v>
      </c>
      <c r="D1250" s="65" t="str">
        <f>vlookup(C1250,'Classificação p pessoal'!F:G,2,false)</f>
        <v>NP</v>
      </c>
      <c r="E1250" s="65" t="s">
        <v>159</v>
      </c>
      <c r="F1250" s="83">
        <v>0.4166666666666667</v>
      </c>
      <c r="G1250" s="83">
        <v>0.5</v>
      </c>
      <c r="H1250" s="83">
        <v>0.08333333333333333</v>
      </c>
      <c r="I1250" s="84">
        <v>44441.0</v>
      </c>
      <c r="J1250" s="65" t="b">
        <v>1</v>
      </c>
      <c r="K1250" s="65"/>
      <c r="L1250" s="85" t="b">
        <f>IF(VLOOKUP(C1250,Projetos!A:L,12,false)=TRUE,TRUE,FALSE)</f>
        <v>1</v>
      </c>
      <c r="M1250" s="74">
        <v>34.7706987012987</v>
      </c>
      <c r="N1250" s="74">
        <f t="shared" si="1"/>
        <v>69.5413974</v>
      </c>
      <c r="O1250" s="74" t="b">
        <v>1</v>
      </c>
    </row>
    <row r="1251" hidden="1">
      <c r="A1251" s="82"/>
      <c r="B1251" s="65" t="s">
        <v>750</v>
      </c>
      <c r="C1251" s="65" t="s">
        <v>98</v>
      </c>
      <c r="D1251" s="65" t="str">
        <f>vlookup(C1251,'Classificação p pessoal'!F:G,2,false)</f>
        <v>NP</v>
      </c>
      <c r="E1251" s="65" t="s">
        <v>159</v>
      </c>
      <c r="F1251" s="83">
        <v>0.6666666666666666</v>
      </c>
      <c r="G1251" s="83">
        <v>0.7083333333333334</v>
      </c>
      <c r="H1251" s="83">
        <v>0.041666666666666664</v>
      </c>
      <c r="I1251" s="84">
        <v>44442.0</v>
      </c>
      <c r="J1251" s="65" t="b">
        <v>1</v>
      </c>
      <c r="K1251" s="65"/>
      <c r="L1251" s="85" t="b">
        <f>IF(VLOOKUP(C1251,Projetos!A:L,12,false)=TRUE,TRUE,FALSE)</f>
        <v>1</v>
      </c>
      <c r="M1251" s="74">
        <v>34.7706987012987</v>
      </c>
      <c r="N1251" s="74">
        <f t="shared" si="1"/>
        <v>34.7706987</v>
      </c>
      <c r="O1251" s="74" t="b">
        <v>1</v>
      </c>
    </row>
    <row r="1252" hidden="1">
      <c r="A1252" s="82"/>
      <c r="B1252" s="65" t="s">
        <v>750</v>
      </c>
      <c r="C1252" s="65" t="s">
        <v>98</v>
      </c>
      <c r="D1252" s="65" t="str">
        <f>vlookup(C1252,'Classificação p pessoal'!F:G,2,false)</f>
        <v>NP</v>
      </c>
      <c r="E1252" s="65" t="s">
        <v>159</v>
      </c>
      <c r="F1252" s="83">
        <v>0.375</v>
      </c>
      <c r="G1252" s="83">
        <v>0.5</v>
      </c>
      <c r="H1252" s="83">
        <v>0.125</v>
      </c>
      <c r="I1252" s="84">
        <v>44445.0</v>
      </c>
      <c r="J1252" s="65" t="b">
        <v>1</v>
      </c>
      <c r="K1252" s="65"/>
      <c r="L1252" s="85" t="b">
        <f>IF(VLOOKUP(C1252,Projetos!A:L,12,false)=TRUE,TRUE,FALSE)</f>
        <v>1</v>
      </c>
      <c r="M1252" s="74">
        <v>34.7706987012987</v>
      </c>
      <c r="N1252" s="74">
        <f t="shared" si="1"/>
        <v>104.3120961</v>
      </c>
      <c r="O1252" s="74" t="b">
        <v>1</v>
      </c>
    </row>
    <row r="1253" hidden="1">
      <c r="A1253" s="82"/>
      <c r="B1253" s="65" t="s">
        <v>750</v>
      </c>
      <c r="C1253" s="65" t="s">
        <v>85</v>
      </c>
      <c r="D1253" s="65" t="str">
        <f>vlookup(C1253,'Classificação p pessoal'!F:G,2,false)</f>
        <v>NP</v>
      </c>
      <c r="E1253" s="65" t="s">
        <v>159</v>
      </c>
      <c r="F1253" s="83">
        <v>0.5833333333333334</v>
      </c>
      <c r="G1253" s="83">
        <v>0.6666666666666666</v>
      </c>
      <c r="H1253" s="83">
        <v>0.08333333333333333</v>
      </c>
      <c r="I1253" s="84">
        <v>44445.0</v>
      </c>
      <c r="J1253" s="65" t="b">
        <v>1</v>
      </c>
      <c r="K1253" s="65"/>
      <c r="L1253" s="85" t="b">
        <f>IF(VLOOKUP(C1253,Projetos!A:L,12,false)=TRUE,TRUE,FALSE)</f>
        <v>1</v>
      </c>
      <c r="M1253" s="74">
        <v>34.7706987012987</v>
      </c>
      <c r="N1253" s="74">
        <f t="shared" si="1"/>
        <v>69.5413974</v>
      </c>
      <c r="O1253" s="74" t="b">
        <v>1</v>
      </c>
    </row>
    <row r="1254" hidden="1">
      <c r="A1254" s="82"/>
      <c r="B1254" s="65" t="s">
        <v>750</v>
      </c>
      <c r="C1254" s="65" t="s">
        <v>91</v>
      </c>
      <c r="D1254" s="65" t="str">
        <f>vlookup(C1254,'Classificação p pessoal'!F:G,2,false)</f>
        <v>NP</v>
      </c>
      <c r="E1254" s="65" t="s">
        <v>159</v>
      </c>
      <c r="F1254" s="83">
        <v>0.4166666666666667</v>
      </c>
      <c r="G1254" s="83">
        <v>0.5</v>
      </c>
      <c r="H1254" s="83">
        <v>0.08333333333333333</v>
      </c>
      <c r="I1254" s="84">
        <v>44448.0</v>
      </c>
      <c r="J1254" s="65" t="b">
        <v>1</v>
      </c>
      <c r="K1254" s="65"/>
      <c r="L1254" s="85" t="b">
        <f>IF(VLOOKUP(C1254,Projetos!A:L,12,false)=TRUE,TRUE,FALSE)</f>
        <v>1</v>
      </c>
      <c r="M1254" s="74">
        <v>34.7706987012987</v>
      </c>
      <c r="N1254" s="74">
        <f t="shared" si="1"/>
        <v>69.5413974</v>
      </c>
      <c r="O1254" s="74" t="b">
        <v>1</v>
      </c>
    </row>
    <row r="1255" hidden="1">
      <c r="A1255" s="82"/>
      <c r="B1255" s="65" t="s">
        <v>750</v>
      </c>
      <c r="C1255" s="65" t="s">
        <v>85</v>
      </c>
      <c r="D1255" s="65" t="str">
        <f>vlookup(C1255,'Classificação p pessoal'!F:G,2,false)</f>
        <v>NP</v>
      </c>
      <c r="E1255" s="65" t="s">
        <v>159</v>
      </c>
      <c r="F1255" s="83">
        <v>0.375</v>
      </c>
      <c r="G1255" s="83">
        <v>0.4583333333333333</v>
      </c>
      <c r="H1255" s="83">
        <v>0.08333333333333333</v>
      </c>
      <c r="I1255" s="84">
        <v>44449.0</v>
      </c>
      <c r="J1255" s="65" t="b">
        <v>1</v>
      </c>
      <c r="K1255" s="65"/>
      <c r="L1255" s="85" t="b">
        <f>IF(VLOOKUP(C1255,Projetos!A:L,12,false)=TRUE,TRUE,FALSE)</f>
        <v>1</v>
      </c>
      <c r="M1255" s="74">
        <v>34.7706987012987</v>
      </c>
      <c r="N1255" s="74">
        <f t="shared" si="1"/>
        <v>69.5413974</v>
      </c>
      <c r="O1255" s="74" t="b">
        <v>1</v>
      </c>
    </row>
    <row r="1256" hidden="1">
      <c r="A1256" s="82"/>
      <c r="B1256" s="65" t="s">
        <v>750</v>
      </c>
      <c r="C1256" s="65" t="s">
        <v>98</v>
      </c>
      <c r="D1256" s="65" t="str">
        <f>vlookup(C1256,'Classificação p pessoal'!F:G,2,false)</f>
        <v>NP</v>
      </c>
      <c r="E1256" s="65" t="s">
        <v>159</v>
      </c>
      <c r="F1256" s="83">
        <v>0.625</v>
      </c>
      <c r="G1256" s="83">
        <v>0.7083333333333334</v>
      </c>
      <c r="H1256" s="83">
        <v>0.08333333333333333</v>
      </c>
      <c r="I1256" s="84">
        <v>44449.0</v>
      </c>
      <c r="J1256" s="65" t="b">
        <v>1</v>
      </c>
      <c r="K1256" s="65"/>
      <c r="L1256" s="85" t="b">
        <f>IF(VLOOKUP(C1256,Projetos!A:L,12,false)=TRUE,TRUE,FALSE)</f>
        <v>1</v>
      </c>
      <c r="M1256" s="74">
        <v>34.7706987012987</v>
      </c>
      <c r="N1256" s="74">
        <f t="shared" si="1"/>
        <v>69.5413974</v>
      </c>
      <c r="O1256" s="74" t="b">
        <v>1</v>
      </c>
    </row>
    <row r="1257" hidden="1">
      <c r="A1257" s="82"/>
      <c r="B1257" s="65" t="s">
        <v>750</v>
      </c>
      <c r="C1257" s="65" t="s">
        <v>85</v>
      </c>
      <c r="D1257" s="65" t="str">
        <f>vlookup(C1257,'Classificação p pessoal'!F:G,2,false)</f>
        <v>NP</v>
      </c>
      <c r="E1257" s="65" t="s">
        <v>159</v>
      </c>
      <c r="F1257" s="83">
        <v>0.4166666666666667</v>
      </c>
      <c r="G1257" s="83">
        <v>0.4583333333333333</v>
      </c>
      <c r="H1257" s="83">
        <v>0.041666666666666664</v>
      </c>
      <c r="I1257" s="84">
        <v>44453.0</v>
      </c>
      <c r="J1257" s="65" t="b">
        <v>1</v>
      </c>
      <c r="K1257" s="65"/>
      <c r="L1257" s="85" t="b">
        <f>IF(VLOOKUP(C1257,Projetos!A:L,12,false)=TRUE,TRUE,FALSE)</f>
        <v>1</v>
      </c>
      <c r="M1257" s="74">
        <v>34.7706987012987</v>
      </c>
      <c r="N1257" s="74">
        <f t="shared" si="1"/>
        <v>34.7706987</v>
      </c>
      <c r="O1257" s="74" t="b">
        <v>1</v>
      </c>
    </row>
    <row r="1258" hidden="1">
      <c r="A1258" s="82"/>
      <c r="B1258" s="65" t="s">
        <v>750</v>
      </c>
      <c r="C1258" s="65" t="s">
        <v>98</v>
      </c>
      <c r="D1258" s="65" t="str">
        <f>vlookup(C1258,'Classificação p pessoal'!F:G,2,false)</f>
        <v>NP</v>
      </c>
      <c r="E1258" s="65" t="s">
        <v>159</v>
      </c>
      <c r="F1258" s="83">
        <v>0.5833333333333334</v>
      </c>
      <c r="G1258" s="83">
        <v>0.6666666666666666</v>
      </c>
      <c r="H1258" s="83">
        <v>0.08333333333333333</v>
      </c>
      <c r="I1258" s="84">
        <v>44453.0</v>
      </c>
      <c r="J1258" s="65" t="b">
        <v>1</v>
      </c>
      <c r="K1258" s="65"/>
      <c r="L1258" s="85" t="b">
        <f>IF(VLOOKUP(C1258,Projetos!A:L,12,false)=TRUE,TRUE,FALSE)</f>
        <v>1</v>
      </c>
      <c r="M1258" s="74">
        <v>34.7706987012987</v>
      </c>
      <c r="N1258" s="74">
        <f t="shared" si="1"/>
        <v>69.5413974</v>
      </c>
      <c r="O1258" s="74" t="b">
        <v>1</v>
      </c>
    </row>
    <row r="1259" hidden="1">
      <c r="A1259" s="82"/>
      <c r="B1259" s="65" t="s">
        <v>750</v>
      </c>
      <c r="C1259" s="65" t="s">
        <v>98</v>
      </c>
      <c r="D1259" s="65" t="str">
        <f>vlookup(C1259,'Classificação p pessoal'!F:G,2,false)</f>
        <v>NP</v>
      </c>
      <c r="E1259" s="65" t="s">
        <v>159</v>
      </c>
      <c r="F1259" s="83">
        <v>0.375</v>
      </c>
      <c r="G1259" s="83">
        <v>0.4583333333333333</v>
      </c>
      <c r="H1259" s="83">
        <v>0.08333333333333333</v>
      </c>
      <c r="I1259" s="84">
        <v>44454.0</v>
      </c>
      <c r="J1259" s="65" t="b">
        <v>1</v>
      </c>
      <c r="K1259" s="65"/>
      <c r="L1259" s="85" t="b">
        <f>IF(VLOOKUP(C1259,Projetos!A:L,12,false)=TRUE,TRUE,FALSE)</f>
        <v>1</v>
      </c>
      <c r="M1259" s="74">
        <v>34.7706987012987</v>
      </c>
      <c r="N1259" s="74">
        <f t="shared" si="1"/>
        <v>69.5413974</v>
      </c>
      <c r="O1259" s="74" t="b">
        <v>1</v>
      </c>
    </row>
    <row r="1260" hidden="1">
      <c r="A1260" s="82"/>
      <c r="B1260" s="65" t="s">
        <v>750</v>
      </c>
      <c r="C1260" s="65" t="s">
        <v>98</v>
      </c>
      <c r="D1260" s="65" t="str">
        <f>vlookup(C1260,'Classificação p pessoal'!F:G,2,false)</f>
        <v>NP</v>
      </c>
      <c r="E1260" s="65" t="s">
        <v>159</v>
      </c>
      <c r="F1260" s="83">
        <v>0.5833333333333334</v>
      </c>
      <c r="G1260" s="83">
        <v>0.6666666666666666</v>
      </c>
      <c r="H1260" s="83">
        <v>0.08333333333333333</v>
      </c>
      <c r="I1260" s="84">
        <v>44455.0</v>
      </c>
      <c r="J1260" s="65" t="b">
        <v>1</v>
      </c>
      <c r="K1260" s="65"/>
      <c r="L1260" s="85" t="b">
        <f>IF(VLOOKUP(C1260,Projetos!A:L,12,false)=TRUE,TRUE,FALSE)</f>
        <v>1</v>
      </c>
      <c r="M1260" s="74">
        <v>34.7706987012987</v>
      </c>
      <c r="N1260" s="74">
        <f t="shared" si="1"/>
        <v>69.5413974</v>
      </c>
      <c r="O1260" s="74" t="b">
        <v>1</v>
      </c>
    </row>
    <row r="1261" hidden="1">
      <c r="A1261" s="82"/>
      <c r="B1261" s="65" t="s">
        <v>750</v>
      </c>
      <c r="C1261" s="65" t="s">
        <v>107</v>
      </c>
      <c r="D1261" s="65" t="str">
        <f>vlookup(C1261,'Classificação p pessoal'!F:G,2,false)</f>
        <v>NP</v>
      </c>
      <c r="E1261" s="65" t="s">
        <v>763</v>
      </c>
      <c r="F1261" s="83">
        <v>0.4166666666666667</v>
      </c>
      <c r="G1261" s="83">
        <v>0.5</v>
      </c>
      <c r="H1261" s="83">
        <v>0.08333333333333333</v>
      </c>
      <c r="I1261" s="84">
        <v>44459.0</v>
      </c>
      <c r="J1261" s="65" t="b">
        <v>1</v>
      </c>
      <c r="K1261" s="65"/>
      <c r="L1261" s="85" t="b">
        <f>IF(VLOOKUP(C1261,Projetos!A:L,12,false)=TRUE,TRUE,FALSE)</f>
        <v>1</v>
      </c>
      <c r="M1261" s="74">
        <v>34.7706987012987</v>
      </c>
      <c r="N1261" s="74">
        <f t="shared" si="1"/>
        <v>69.5413974</v>
      </c>
      <c r="O1261" s="74" t="b">
        <v>1</v>
      </c>
    </row>
    <row r="1262" hidden="1">
      <c r="A1262" s="82"/>
      <c r="B1262" s="65" t="s">
        <v>750</v>
      </c>
      <c r="C1262" s="65" t="s">
        <v>107</v>
      </c>
      <c r="D1262" s="65" t="str">
        <f>vlookup(C1262,'Classificação p pessoal'!F:G,2,false)</f>
        <v>NP</v>
      </c>
      <c r="E1262" s="65" t="s">
        <v>763</v>
      </c>
      <c r="F1262" s="83">
        <v>0.5833333333333334</v>
      </c>
      <c r="G1262" s="83">
        <v>0.75</v>
      </c>
      <c r="H1262" s="83">
        <v>0.16666666666666666</v>
      </c>
      <c r="I1262" s="84">
        <v>44460.0</v>
      </c>
      <c r="J1262" s="65" t="b">
        <v>1</v>
      </c>
      <c r="K1262" s="65"/>
      <c r="L1262" s="85" t="b">
        <f>IF(VLOOKUP(C1262,Projetos!A:L,12,false)=TRUE,TRUE,FALSE)</f>
        <v>1</v>
      </c>
      <c r="M1262" s="74">
        <v>34.7706987012987</v>
      </c>
      <c r="N1262" s="74">
        <f t="shared" si="1"/>
        <v>139.0827948</v>
      </c>
      <c r="O1262" s="74" t="b">
        <v>1</v>
      </c>
    </row>
    <row r="1263" hidden="1">
      <c r="A1263" s="82"/>
      <c r="B1263" s="65" t="s">
        <v>750</v>
      </c>
      <c r="C1263" s="65" t="s">
        <v>85</v>
      </c>
      <c r="D1263" s="65" t="str">
        <f>vlookup(C1263,'Classificação p pessoal'!F:G,2,false)</f>
        <v>NP</v>
      </c>
      <c r="E1263" s="65" t="s">
        <v>159</v>
      </c>
      <c r="F1263" s="83">
        <v>0.375</v>
      </c>
      <c r="G1263" s="83">
        <v>0.5</v>
      </c>
      <c r="H1263" s="83">
        <v>0.125</v>
      </c>
      <c r="I1263" s="84">
        <v>44461.0</v>
      </c>
      <c r="J1263" s="65" t="b">
        <v>1</v>
      </c>
      <c r="K1263" s="65"/>
      <c r="L1263" s="85" t="b">
        <f>IF(VLOOKUP(C1263,Projetos!A:L,12,false)=TRUE,TRUE,FALSE)</f>
        <v>1</v>
      </c>
      <c r="M1263" s="74">
        <v>34.7706987012987</v>
      </c>
      <c r="N1263" s="74">
        <f t="shared" si="1"/>
        <v>104.3120961</v>
      </c>
      <c r="O1263" s="74" t="b">
        <v>1</v>
      </c>
    </row>
    <row r="1264" hidden="1">
      <c r="A1264" s="82"/>
      <c r="B1264" s="65" t="s">
        <v>750</v>
      </c>
      <c r="C1264" s="65" t="s">
        <v>98</v>
      </c>
      <c r="D1264" s="65" t="str">
        <f>vlookup(C1264,'Classificação p pessoal'!F:G,2,false)</f>
        <v>NP</v>
      </c>
      <c r="E1264" s="65" t="s">
        <v>159</v>
      </c>
      <c r="F1264" s="83">
        <v>0.375</v>
      </c>
      <c r="G1264" s="83">
        <v>0.4583333333333333</v>
      </c>
      <c r="H1264" s="83">
        <v>0.08333333333333333</v>
      </c>
      <c r="I1264" s="84">
        <v>44462.0</v>
      </c>
      <c r="J1264" s="65" t="b">
        <v>1</v>
      </c>
      <c r="K1264" s="65"/>
      <c r="L1264" s="85" t="b">
        <f>IF(VLOOKUP(C1264,Projetos!A:L,12,false)=TRUE,TRUE,FALSE)</f>
        <v>1</v>
      </c>
      <c r="M1264" s="74">
        <v>34.7706987012987</v>
      </c>
      <c r="N1264" s="74">
        <f t="shared" si="1"/>
        <v>69.5413974</v>
      </c>
      <c r="O1264" s="74" t="b">
        <v>1</v>
      </c>
    </row>
    <row r="1265" hidden="1">
      <c r="A1265" s="82"/>
      <c r="B1265" s="65" t="s">
        <v>750</v>
      </c>
      <c r="C1265" s="65" t="s">
        <v>107</v>
      </c>
      <c r="D1265" s="65" t="str">
        <f>vlookup(C1265,'Classificação p pessoal'!F:G,2,false)</f>
        <v>NP</v>
      </c>
      <c r="E1265" s="65" t="s">
        <v>763</v>
      </c>
      <c r="F1265" s="83">
        <v>0.5833333333333334</v>
      </c>
      <c r="G1265" s="83">
        <v>0.7083333333333334</v>
      </c>
      <c r="H1265" s="83">
        <v>0.125</v>
      </c>
      <c r="I1265" s="84">
        <v>44462.0</v>
      </c>
      <c r="J1265" s="65" t="b">
        <v>1</v>
      </c>
      <c r="K1265" s="65"/>
      <c r="L1265" s="85" t="b">
        <f>IF(VLOOKUP(C1265,Projetos!A:L,12,false)=TRUE,TRUE,FALSE)</f>
        <v>1</v>
      </c>
      <c r="M1265" s="74">
        <v>34.7706987012987</v>
      </c>
      <c r="N1265" s="74">
        <f t="shared" si="1"/>
        <v>104.3120961</v>
      </c>
      <c r="O1265" s="74" t="b">
        <v>1</v>
      </c>
    </row>
    <row r="1266" hidden="1">
      <c r="A1266" s="82"/>
      <c r="B1266" s="65" t="s">
        <v>750</v>
      </c>
      <c r="C1266" s="65" t="s">
        <v>107</v>
      </c>
      <c r="D1266" s="65" t="str">
        <f>vlookup(C1266,'Classificação p pessoal'!F:G,2,false)</f>
        <v>NP</v>
      </c>
      <c r="E1266" s="65" t="s">
        <v>763</v>
      </c>
      <c r="F1266" s="83">
        <v>0.4166666666666667</v>
      </c>
      <c r="G1266" s="83">
        <v>0.5</v>
      </c>
      <c r="H1266" s="83">
        <v>0.08333333333333333</v>
      </c>
      <c r="I1266" s="84">
        <v>44463.0</v>
      </c>
      <c r="J1266" s="65" t="b">
        <v>1</v>
      </c>
      <c r="K1266" s="65"/>
      <c r="L1266" s="85" t="b">
        <f>IF(VLOOKUP(C1266,Projetos!A:L,12,false)=TRUE,TRUE,FALSE)</f>
        <v>1</v>
      </c>
      <c r="M1266" s="74">
        <v>34.7706987012987</v>
      </c>
      <c r="N1266" s="74">
        <f t="shared" si="1"/>
        <v>69.5413974</v>
      </c>
      <c r="O1266" s="74" t="b">
        <v>1</v>
      </c>
    </row>
    <row r="1267" hidden="1">
      <c r="A1267" s="82"/>
      <c r="B1267" s="65" t="s">
        <v>750</v>
      </c>
      <c r="C1267" s="65" t="s">
        <v>107</v>
      </c>
      <c r="D1267" s="65" t="str">
        <f>vlookup(C1267,'Classificação p pessoal'!F:G,2,false)</f>
        <v>NP</v>
      </c>
      <c r="E1267" s="65" t="s">
        <v>763</v>
      </c>
      <c r="F1267" s="83">
        <v>0.375</v>
      </c>
      <c r="G1267" s="83">
        <v>0.5416666666666666</v>
      </c>
      <c r="H1267" s="83">
        <v>0.16666666666666666</v>
      </c>
      <c r="I1267" s="84">
        <v>44466.0</v>
      </c>
      <c r="J1267" s="65" t="b">
        <v>1</v>
      </c>
      <c r="K1267" s="65"/>
      <c r="L1267" s="85" t="b">
        <f>IF(VLOOKUP(C1267,Projetos!A:L,12,false)=TRUE,TRUE,FALSE)</f>
        <v>1</v>
      </c>
      <c r="M1267" s="74">
        <v>34.7706987012987</v>
      </c>
      <c r="N1267" s="74">
        <f t="shared" si="1"/>
        <v>139.0827948</v>
      </c>
      <c r="O1267" s="74" t="b">
        <v>1</v>
      </c>
    </row>
    <row r="1268" hidden="1">
      <c r="A1268" s="82"/>
      <c r="B1268" s="65" t="s">
        <v>750</v>
      </c>
      <c r="C1268" s="65" t="s">
        <v>107</v>
      </c>
      <c r="D1268" s="65" t="str">
        <f>vlookup(C1268,'Classificação p pessoal'!F:G,2,false)</f>
        <v>NP</v>
      </c>
      <c r="E1268" s="65" t="s">
        <v>763</v>
      </c>
      <c r="F1268" s="83">
        <v>0.4166666666666667</v>
      </c>
      <c r="G1268" s="83">
        <v>0.5</v>
      </c>
      <c r="H1268" s="83">
        <v>0.08333333333333333</v>
      </c>
      <c r="I1268" s="84">
        <v>44467.0</v>
      </c>
      <c r="J1268" s="65" t="b">
        <v>1</v>
      </c>
      <c r="K1268" s="65"/>
      <c r="L1268" s="85" t="b">
        <f>IF(VLOOKUP(C1268,Projetos!A:L,12,false)=TRUE,TRUE,FALSE)</f>
        <v>1</v>
      </c>
      <c r="M1268" s="74">
        <v>34.7706987012987</v>
      </c>
      <c r="N1268" s="74">
        <f t="shared" si="1"/>
        <v>69.5413974</v>
      </c>
      <c r="O1268" s="74" t="b">
        <v>1</v>
      </c>
    </row>
    <row r="1269" hidden="1">
      <c r="A1269" s="82"/>
      <c r="B1269" s="65" t="s">
        <v>750</v>
      </c>
      <c r="C1269" s="65" t="s">
        <v>115</v>
      </c>
      <c r="D1269" s="65" t="str">
        <f>vlookup(C1269,'Classificação p pessoal'!F:G,2,false)</f>
        <v>NP</v>
      </c>
      <c r="E1269" s="65" t="s">
        <v>763</v>
      </c>
      <c r="F1269" s="83">
        <v>0.5416666666666666</v>
      </c>
      <c r="G1269" s="83">
        <v>0.625</v>
      </c>
      <c r="H1269" s="83">
        <v>0.08333333333333333</v>
      </c>
      <c r="I1269" s="84">
        <v>44467.0</v>
      </c>
      <c r="J1269" s="65" t="b">
        <v>1</v>
      </c>
      <c r="K1269" s="65"/>
      <c r="L1269" s="85" t="b">
        <f>IF(VLOOKUP(C1269,Projetos!A:L,12,false)=TRUE,TRUE,FALSE)</f>
        <v>1</v>
      </c>
      <c r="M1269" s="74">
        <v>34.7706987012987</v>
      </c>
      <c r="N1269" s="74">
        <f t="shared" si="1"/>
        <v>69.5413974</v>
      </c>
      <c r="O1269" s="74" t="b">
        <v>1</v>
      </c>
    </row>
    <row r="1270" hidden="1">
      <c r="A1270" s="82"/>
      <c r="B1270" s="65" t="s">
        <v>750</v>
      </c>
      <c r="C1270" s="65" t="s">
        <v>107</v>
      </c>
      <c r="D1270" s="65" t="str">
        <f>vlookup(C1270,'Classificação p pessoal'!F:G,2,false)</f>
        <v>NP</v>
      </c>
      <c r="E1270" s="65" t="s">
        <v>763</v>
      </c>
      <c r="F1270" s="83">
        <v>0.375</v>
      </c>
      <c r="G1270" s="83">
        <v>0.5</v>
      </c>
      <c r="H1270" s="83">
        <v>0.125</v>
      </c>
      <c r="I1270" s="84">
        <v>44468.0</v>
      </c>
      <c r="J1270" s="65" t="b">
        <v>1</v>
      </c>
      <c r="K1270" s="65"/>
      <c r="L1270" s="85" t="b">
        <f>IF(VLOOKUP(C1270,Projetos!A:L,12,false)=TRUE,TRUE,FALSE)</f>
        <v>1</v>
      </c>
      <c r="M1270" s="74">
        <v>34.7706987012987</v>
      </c>
      <c r="N1270" s="74">
        <f t="shared" si="1"/>
        <v>104.3120961</v>
      </c>
      <c r="O1270" s="74" t="b">
        <v>1</v>
      </c>
    </row>
    <row r="1271" hidden="1">
      <c r="A1271" s="82"/>
      <c r="B1271" s="65" t="s">
        <v>750</v>
      </c>
      <c r="C1271" s="65" t="s">
        <v>115</v>
      </c>
      <c r="D1271" s="65" t="str">
        <f>vlookup(C1271,'Classificação p pessoal'!F:G,2,false)</f>
        <v>NP</v>
      </c>
      <c r="E1271" s="65" t="s">
        <v>763</v>
      </c>
      <c r="F1271" s="83">
        <v>0.5833333333333334</v>
      </c>
      <c r="G1271" s="83">
        <v>0.7083333333333334</v>
      </c>
      <c r="H1271" s="83">
        <v>0.125</v>
      </c>
      <c r="I1271" s="84">
        <v>44468.0</v>
      </c>
      <c r="J1271" s="65" t="b">
        <v>1</v>
      </c>
      <c r="K1271" s="65"/>
      <c r="L1271" s="85" t="b">
        <f>IF(VLOOKUP(C1271,Projetos!A:L,12,false)=TRUE,TRUE,FALSE)</f>
        <v>1</v>
      </c>
      <c r="M1271" s="74">
        <v>34.7706987012987</v>
      </c>
      <c r="N1271" s="74">
        <f t="shared" si="1"/>
        <v>104.3120961</v>
      </c>
      <c r="O1271" s="74" t="b">
        <v>1</v>
      </c>
    </row>
    <row r="1272" hidden="1">
      <c r="A1272" s="82"/>
      <c r="B1272" s="65" t="s">
        <v>750</v>
      </c>
      <c r="C1272" s="65" t="s">
        <v>107</v>
      </c>
      <c r="D1272" s="65" t="str">
        <f>vlookup(C1272,'Classificação p pessoal'!F:G,2,false)</f>
        <v>NP</v>
      </c>
      <c r="E1272" s="65" t="s">
        <v>763</v>
      </c>
      <c r="F1272" s="83">
        <v>0.375</v>
      </c>
      <c r="G1272" s="83">
        <v>0.5</v>
      </c>
      <c r="H1272" s="83">
        <v>0.125</v>
      </c>
      <c r="I1272" s="84">
        <v>44469.0</v>
      </c>
      <c r="J1272" s="65" t="b">
        <v>1</v>
      </c>
      <c r="K1272" s="65"/>
      <c r="L1272" s="85" t="b">
        <f>IF(VLOOKUP(C1272,Projetos!A:L,12,false)=TRUE,TRUE,FALSE)</f>
        <v>1</v>
      </c>
      <c r="M1272" s="74">
        <v>34.7706987012987</v>
      </c>
      <c r="N1272" s="74">
        <f t="shared" si="1"/>
        <v>104.3120961</v>
      </c>
      <c r="O1272" s="74" t="b">
        <v>1</v>
      </c>
    </row>
    <row r="1273" hidden="1">
      <c r="A1273" s="82"/>
      <c r="B1273" s="65" t="s">
        <v>750</v>
      </c>
      <c r="C1273" s="65" t="s">
        <v>115</v>
      </c>
      <c r="D1273" s="65" t="str">
        <f>vlookup(C1273,'Classificação p pessoal'!F:G,2,false)</f>
        <v>NP</v>
      </c>
      <c r="E1273" s="65" t="s">
        <v>763</v>
      </c>
      <c r="F1273" s="83">
        <v>0.5833333333333334</v>
      </c>
      <c r="G1273" s="83">
        <v>0.7083333333333334</v>
      </c>
      <c r="H1273" s="83">
        <v>0.125</v>
      </c>
      <c r="I1273" s="84">
        <v>44469.0</v>
      </c>
      <c r="J1273" s="65" t="b">
        <v>1</v>
      </c>
      <c r="K1273" s="65"/>
      <c r="L1273" s="85" t="b">
        <f>IF(VLOOKUP(C1273,Projetos!A:L,12,false)=TRUE,TRUE,FALSE)</f>
        <v>1</v>
      </c>
      <c r="M1273" s="74">
        <v>34.7706987012987</v>
      </c>
      <c r="N1273" s="74">
        <f t="shared" si="1"/>
        <v>104.3120961</v>
      </c>
      <c r="O1273" s="74" t="b">
        <v>1</v>
      </c>
    </row>
    <row r="1274" hidden="1">
      <c r="A1274" s="82"/>
      <c r="B1274" s="65" t="s">
        <v>750</v>
      </c>
      <c r="C1274" s="65" t="s">
        <v>85</v>
      </c>
      <c r="D1274" s="65" t="str">
        <f>vlookup(C1274,'Classificação p pessoal'!F:G,2,false)</f>
        <v>NP</v>
      </c>
      <c r="E1274" s="65" t="s">
        <v>159</v>
      </c>
      <c r="F1274" s="83">
        <v>0.4166666666666667</v>
      </c>
      <c r="G1274" s="83">
        <v>0.5</v>
      </c>
      <c r="H1274" s="83">
        <v>0.08333333333333333</v>
      </c>
      <c r="I1274" s="84">
        <v>44470.0</v>
      </c>
      <c r="J1274" s="65" t="b">
        <v>1</v>
      </c>
      <c r="K1274" s="65"/>
      <c r="L1274" s="85" t="b">
        <f>IF(VLOOKUP(C1274,Projetos!A:L,12,false)=TRUE,TRUE,FALSE)</f>
        <v>1</v>
      </c>
      <c r="M1274" s="74">
        <v>34.7706987012987</v>
      </c>
      <c r="N1274" s="74">
        <f t="shared" si="1"/>
        <v>69.5413974</v>
      </c>
      <c r="O1274" s="74" t="b">
        <v>1</v>
      </c>
    </row>
    <row r="1275" hidden="1">
      <c r="A1275" s="82"/>
      <c r="B1275" s="65" t="s">
        <v>750</v>
      </c>
      <c r="C1275" s="65" t="s">
        <v>98</v>
      </c>
      <c r="D1275" s="65" t="str">
        <f>vlookup(C1275,'Classificação p pessoal'!F:G,2,false)</f>
        <v>NP</v>
      </c>
      <c r="E1275" s="65" t="s">
        <v>159</v>
      </c>
      <c r="F1275" s="83">
        <v>0.5833333333333334</v>
      </c>
      <c r="G1275" s="83">
        <v>0.6666666666666666</v>
      </c>
      <c r="H1275" s="83">
        <v>0.08333333333333333</v>
      </c>
      <c r="I1275" s="84">
        <v>44470.0</v>
      </c>
      <c r="J1275" s="65" t="b">
        <v>1</v>
      </c>
      <c r="K1275" s="65"/>
      <c r="L1275" s="85" t="b">
        <f>IF(VLOOKUP(C1275,Projetos!A:L,12,false)=TRUE,TRUE,FALSE)</f>
        <v>1</v>
      </c>
      <c r="M1275" s="74">
        <v>34.7706987012987</v>
      </c>
      <c r="N1275" s="74">
        <f t="shared" si="1"/>
        <v>69.5413974</v>
      </c>
      <c r="O1275" s="74" t="b">
        <v>1</v>
      </c>
    </row>
    <row r="1276" hidden="1">
      <c r="A1276" s="82"/>
      <c r="B1276" s="65" t="s">
        <v>750</v>
      </c>
      <c r="C1276" s="65" t="s">
        <v>98</v>
      </c>
      <c r="D1276" s="65" t="str">
        <f>vlookup(C1276,'Classificação p pessoal'!F:G,2,false)</f>
        <v>NP</v>
      </c>
      <c r="E1276" s="65" t="s">
        <v>159</v>
      </c>
      <c r="F1276" s="83">
        <v>0.5416666666666666</v>
      </c>
      <c r="G1276" s="83">
        <v>0.6666666666666666</v>
      </c>
      <c r="H1276" s="83">
        <v>0.125</v>
      </c>
      <c r="I1276" s="84">
        <v>44473.0</v>
      </c>
      <c r="J1276" s="65" t="b">
        <v>1</v>
      </c>
      <c r="K1276" s="65"/>
      <c r="L1276" s="85" t="b">
        <f>IF(VLOOKUP(C1276,Projetos!A:L,12,false)=TRUE,TRUE,FALSE)</f>
        <v>1</v>
      </c>
      <c r="M1276" s="74">
        <v>34.7706987012987</v>
      </c>
      <c r="N1276" s="74">
        <f t="shared" si="1"/>
        <v>104.3120961</v>
      </c>
      <c r="O1276" s="74" t="b">
        <v>1</v>
      </c>
    </row>
    <row r="1277" hidden="1">
      <c r="A1277" s="82"/>
      <c r="B1277" s="65" t="s">
        <v>750</v>
      </c>
      <c r="C1277" s="65" t="s">
        <v>98</v>
      </c>
      <c r="D1277" s="65" t="str">
        <f>vlookup(C1277,'Classificação p pessoal'!F:G,2,false)</f>
        <v>NP</v>
      </c>
      <c r="E1277" s="65" t="s">
        <v>159</v>
      </c>
      <c r="F1277" s="83">
        <v>0.5416666666666666</v>
      </c>
      <c r="G1277" s="83">
        <v>0.625</v>
      </c>
      <c r="H1277" s="83">
        <v>0.08333333333333333</v>
      </c>
      <c r="I1277" s="84">
        <v>44474.0</v>
      </c>
      <c r="J1277" s="65" t="b">
        <v>1</v>
      </c>
      <c r="K1277" s="65"/>
      <c r="L1277" s="85" t="b">
        <f>IF(VLOOKUP(C1277,Projetos!A:L,12,false)=TRUE,TRUE,FALSE)</f>
        <v>1</v>
      </c>
      <c r="M1277" s="74">
        <v>34.7706987012987</v>
      </c>
      <c r="N1277" s="74">
        <f t="shared" si="1"/>
        <v>69.5413974</v>
      </c>
      <c r="O1277" s="74" t="b">
        <v>1</v>
      </c>
    </row>
    <row r="1278" hidden="1">
      <c r="A1278" s="82"/>
      <c r="B1278" s="65" t="s">
        <v>750</v>
      </c>
      <c r="C1278" s="65" t="s">
        <v>102</v>
      </c>
      <c r="D1278" s="65" t="str">
        <f>vlookup(C1278,'Classificação p pessoal'!F:G,2,false)</f>
        <v>NP</v>
      </c>
      <c r="E1278" s="65" t="s">
        <v>762</v>
      </c>
      <c r="F1278" s="83">
        <v>0.7083333333333334</v>
      </c>
      <c r="G1278" s="83">
        <v>0.75</v>
      </c>
      <c r="H1278" s="83">
        <v>0.041666666666666664</v>
      </c>
      <c r="I1278" s="84">
        <v>44475.0</v>
      </c>
      <c r="J1278" s="65" t="b">
        <v>1</v>
      </c>
      <c r="K1278" s="65"/>
      <c r="L1278" s="85" t="b">
        <f>IF(VLOOKUP(C1278,Projetos!A:L,12,false)=TRUE,TRUE,FALSE)</f>
        <v>1</v>
      </c>
      <c r="M1278" s="74">
        <v>34.7706987012987</v>
      </c>
      <c r="N1278" s="74">
        <f t="shared" si="1"/>
        <v>34.7706987</v>
      </c>
      <c r="O1278" s="74" t="b">
        <v>1</v>
      </c>
    </row>
    <row r="1279" hidden="1">
      <c r="A1279" s="82"/>
      <c r="B1279" s="65" t="s">
        <v>750</v>
      </c>
      <c r="C1279" s="65" t="s">
        <v>91</v>
      </c>
      <c r="D1279" s="65" t="str">
        <f>vlookup(C1279,'Classificação p pessoal'!F:G,2,false)</f>
        <v>NP</v>
      </c>
      <c r="E1279" s="65" t="s">
        <v>159</v>
      </c>
      <c r="F1279" s="83">
        <v>0.5833333333333334</v>
      </c>
      <c r="G1279" s="83">
        <v>0.7083333333333334</v>
      </c>
      <c r="H1279" s="83">
        <v>0.125</v>
      </c>
      <c r="I1279" s="84">
        <v>44475.0</v>
      </c>
      <c r="J1279" s="65" t="b">
        <v>1</v>
      </c>
      <c r="K1279" s="65"/>
      <c r="L1279" s="85" t="b">
        <f>IF(VLOOKUP(C1279,Projetos!A:L,12,false)=TRUE,TRUE,FALSE)</f>
        <v>1</v>
      </c>
      <c r="M1279" s="74">
        <v>34.7706987012987</v>
      </c>
      <c r="N1279" s="74">
        <f t="shared" si="1"/>
        <v>104.3120961</v>
      </c>
      <c r="O1279" s="74" t="b">
        <v>1</v>
      </c>
    </row>
    <row r="1280" hidden="1">
      <c r="A1280" s="82"/>
      <c r="B1280" s="65" t="s">
        <v>750</v>
      </c>
      <c r="C1280" s="65" t="s">
        <v>98</v>
      </c>
      <c r="D1280" s="65" t="str">
        <f>vlookup(C1280,'Classificação p pessoal'!F:G,2,false)</f>
        <v>NP</v>
      </c>
      <c r="E1280" s="65" t="s">
        <v>159</v>
      </c>
      <c r="F1280" s="83">
        <v>0.375</v>
      </c>
      <c r="G1280" s="83">
        <v>0.4583333333333333</v>
      </c>
      <c r="H1280" s="83">
        <v>0.08333333333333333</v>
      </c>
      <c r="I1280" s="84">
        <v>44475.0</v>
      </c>
      <c r="J1280" s="65" t="b">
        <v>1</v>
      </c>
      <c r="K1280" s="65"/>
      <c r="L1280" s="85" t="b">
        <f>IF(VLOOKUP(C1280,Projetos!A:L,12,false)=TRUE,TRUE,FALSE)</f>
        <v>1</v>
      </c>
      <c r="M1280" s="74">
        <v>34.7706987012987</v>
      </c>
      <c r="N1280" s="74">
        <f t="shared" si="1"/>
        <v>69.5413974</v>
      </c>
      <c r="O1280" s="74" t="b">
        <v>1</v>
      </c>
    </row>
    <row r="1281" hidden="1">
      <c r="A1281" s="82"/>
      <c r="B1281" s="65" t="s">
        <v>750</v>
      </c>
      <c r="C1281" s="65" t="s">
        <v>91</v>
      </c>
      <c r="D1281" s="65" t="str">
        <f>vlookup(C1281,'Classificação p pessoal'!F:G,2,false)</f>
        <v>NP</v>
      </c>
      <c r="E1281" s="65" t="s">
        <v>159</v>
      </c>
      <c r="F1281" s="83">
        <v>0.375</v>
      </c>
      <c r="G1281" s="83">
        <v>0.4166666666666667</v>
      </c>
      <c r="H1281" s="83">
        <v>0.041666666666666664</v>
      </c>
      <c r="I1281" s="84">
        <v>44476.0</v>
      </c>
      <c r="J1281" s="65" t="b">
        <v>1</v>
      </c>
      <c r="K1281" s="65"/>
      <c r="L1281" s="85" t="b">
        <f>IF(VLOOKUP(C1281,Projetos!A:L,12,false)=TRUE,TRUE,FALSE)</f>
        <v>1</v>
      </c>
      <c r="M1281" s="74">
        <v>34.7706987012987</v>
      </c>
      <c r="N1281" s="74">
        <f t="shared" si="1"/>
        <v>34.7706987</v>
      </c>
      <c r="O1281" s="74" t="b">
        <v>1</v>
      </c>
    </row>
    <row r="1282" hidden="1">
      <c r="A1282" s="82"/>
      <c r="B1282" s="65" t="s">
        <v>750</v>
      </c>
      <c r="C1282" s="65" t="s">
        <v>117</v>
      </c>
      <c r="D1282" s="65" t="str">
        <f>vlookup(C1282,'Classificação p pessoal'!F:G,2,false)</f>
        <v>NP</v>
      </c>
      <c r="E1282" s="65" t="s">
        <v>753</v>
      </c>
      <c r="F1282" s="83">
        <v>0.4583333333333333</v>
      </c>
      <c r="G1282" s="83">
        <v>0.5416666666666666</v>
      </c>
      <c r="H1282" s="83">
        <v>0.08333333333333333</v>
      </c>
      <c r="I1282" s="84">
        <v>44476.0</v>
      </c>
      <c r="J1282" s="65" t="b">
        <v>1</v>
      </c>
      <c r="K1282" s="65"/>
      <c r="L1282" s="85" t="b">
        <f>IF(VLOOKUP(C1282,Projetos!A:L,12,false)=TRUE,TRUE,FALSE)</f>
        <v>1</v>
      </c>
      <c r="M1282" s="74">
        <v>34.7706987012987</v>
      </c>
      <c r="N1282" s="74">
        <f t="shared" si="1"/>
        <v>69.5413974</v>
      </c>
      <c r="O1282" s="74" t="b">
        <v>1</v>
      </c>
    </row>
    <row r="1283" hidden="1">
      <c r="A1283" s="82"/>
      <c r="B1283" s="65" t="s">
        <v>750</v>
      </c>
      <c r="C1283" s="65" t="s">
        <v>85</v>
      </c>
      <c r="D1283" s="65" t="str">
        <f>vlookup(C1283,'Classificação p pessoal'!F:G,2,false)</f>
        <v>NP</v>
      </c>
      <c r="E1283" s="65" t="s">
        <v>159</v>
      </c>
      <c r="F1283" s="83">
        <v>0.625</v>
      </c>
      <c r="G1283" s="83">
        <v>0.75</v>
      </c>
      <c r="H1283" s="83">
        <v>0.125</v>
      </c>
      <c r="I1283" s="84">
        <v>44476.0</v>
      </c>
      <c r="J1283" s="65" t="b">
        <v>1</v>
      </c>
      <c r="K1283" s="65"/>
      <c r="L1283" s="85" t="b">
        <f>IF(VLOOKUP(C1283,Projetos!A:L,12,false)=TRUE,TRUE,FALSE)</f>
        <v>1</v>
      </c>
      <c r="M1283" s="74">
        <v>34.7706987012987</v>
      </c>
      <c r="N1283" s="74">
        <f t="shared" si="1"/>
        <v>104.3120961</v>
      </c>
      <c r="O1283" s="74" t="b">
        <v>1</v>
      </c>
    </row>
    <row r="1284" hidden="1">
      <c r="A1284" s="82"/>
      <c r="B1284" s="65" t="s">
        <v>750</v>
      </c>
      <c r="C1284" s="65" t="s">
        <v>85</v>
      </c>
      <c r="D1284" s="65" t="str">
        <f>vlookup(C1284,'Classificação p pessoal'!F:G,2,false)</f>
        <v>NP</v>
      </c>
      <c r="E1284" s="65" t="s">
        <v>159</v>
      </c>
      <c r="F1284" s="83">
        <v>0.5833333333333334</v>
      </c>
      <c r="G1284" s="83">
        <v>0.7083333333333334</v>
      </c>
      <c r="H1284" s="83">
        <v>0.125</v>
      </c>
      <c r="I1284" s="84">
        <v>44477.0</v>
      </c>
      <c r="J1284" s="65" t="b">
        <v>1</v>
      </c>
      <c r="K1284" s="65"/>
      <c r="L1284" s="85" t="b">
        <f>IF(VLOOKUP(C1284,Projetos!A:L,12,false)=TRUE,TRUE,FALSE)</f>
        <v>1</v>
      </c>
      <c r="M1284" s="74">
        <v>34.7706987012987</v>
      </c>
      <c r="N1284" s="74">
        <f t="shared" si="1"/>
        <v>104.3120961</v>
      </c>
      <c r="O1284" s="74" t="b">
        <v>1</v>
      </c>
    </row>
    <row r="1285" hidden="1">
      <c r="A1285" s="82"/>
      <c r="B1285" s="65" t="s">
        <v>750</v>
      </c>
      <c r="C1285" s="65" t="s">
        <v>91</v>
      </c>
      <c r="D1285" s="65" t="str">
        <f>vlookup(C1285,'Classificação p pessoal'!F:G,2,false)</f>
        <v>NP</v>
      </c>
      <c r="E1285" s="65" t="s">
        <v>159</v>
      </c>
      <c r="F1285" s="83">
        <v>0.4166666666666667</v>
      </c>
      <c r="G1285" s="83">
        <v>0.5</v>
      </c>
      <c r="H1285" s="83">
        <v>0.08333333333333333</v>
      </c>
      <c r="I1285" s="84">
        <v>44480.0</v>
      </c>
      <c r="J1285" s="65" t="b">
        <v>1</v>
      </c>
      <c r="K1285" s="65"/>
      <c r="L1285" s="85" t="b">
        <f>IF(VLOOKUP(C1285,Projetos!A:L,12,false)=TRUE,TRUE,FALSE)</f>
        <v>1</v>
      </c>
      <c r="M1285" s="74">
        <v>34.7706987012987</v>
      </c>
      <c r="N1285" s="74">
        <f t="shared" si="1"/>
        <v>69.5413974</v>
      </c>
      <c r="O1285" s="74" t="b">
        <v>1</v>
      </c>
    </row>
    <row r="1286" hidden="1">
      <c r="A1286" s="82"/>
      <c r="B1286" s="65" t="s">
        <v>750</v>
      </c>
      <c r="C1286" s="65" t="s">
        <v>98</v>
      </c>
      <c r="D1286" s="65" t="str">
        <f>vlookup(C1286,'Classificação p pessoal'!F:G,2,false)</f>
        <v>NP</v>
      </c>
      <c r="E1286" s="65" t="s">
        <v>159</v>
      </c>
      <c r="F1286" s="83">
        <v>0.5833333333333334</v>
      </c>
      <c r="G1286" s="83">
        <v>0.7083333333333334</v>
      </c>
      <c r="H1286" s="83">
        <v>0.125</v>
      </c>
      <c r="I1286" s="84">
        <v>44480.0</v>
      </c>
      <c r="J1286" s="65" t="b">
        <v>1</v>
      </c>
      <c r="K1286" s="65"/>
      <c r="L1286" s="85" t="b">
        <f>IF(VLOOKUP(C1286,Projetos!A:L,12,false)=TRUE,TRUE,FALSE)</f>
        <v>1</v>
      </c>
      <c r="M1286" s="74">
        <v>34.7706987012987</v>
      </c>
      <c r="N1286" s="74">
        <f t="shared" si="1"/>
        <v>104.3120961</v>
      </c>
      <c r="O1286" s="74" t="b">
        <v>1</v>
      </c>
    </row>
    <row r="1287" hidden="1">
      <c r="A1287" s="82"/>
      <c r="B1287" s="65" t="s">
        <v>750</v>
      </c>
      <c r="C1287" s="65" t="s">
        <v>126</v>
      </c>
      <c r="D1287" s="65" t="str">
        <f>vlookup(C1287,'Classificação p pessoal'!F:G,2,false)</f>
        <v>NP</v>
      </c>
      <c r="E1287" s="65" t="s">
        <v>753</v>
      </c>
      <c r="F1287" s="83">
        <v>0.375</v>
      </c>
      <c r="G1287" s="83">
        <v>0.4583333333333333</v>
      </c>
      <c r="H1287" s="83">
        <v>0.08333333333333333</v>
      </c>
      <c r="I1287" s="84">
        <v>44483.0</v>
      </c>
      <c r="J1287" s="65" t="b">
        <v>1</v>
      </c>
      <c r="K1287" s="65"/>
      <c r="L1287" s="85" t="b">
        <f>IF(VLOOKUP(C1287,Projetos!A:L,12,false)=TRUE,TRUE,FALSE)</f>
        <v>1</v>
      </c>
      <c r="M1287" s="74">
        <v>34.7706987012987</v>
      </c>
      <c r="N1287" s="74">
        <f t="shared" si="1"/>
        <v>69.5413974</v>
      </c>
      <c r="O1287" s="74" t="b">
        <v>1</v>
      </c>
    </row>
    <row r="1288" hidden="1">
      <c r="A1288" s="82"/>
      <c r="B1288" s="65" t="s">
        <v>750</v>
      </c>
      <c r="C1288" s="65" t="s">
        <v>98</v>
      </c>
      <c r="D1288" s="65" t="str">
        <f>vlookup(C1288,'Classificação p pessoal'!F:G,2,false)</f>
        <v>NP</v>
      </c>
      <c r="E1288" s="65" t="s">
        <v>159</v>
      </c>
      <c r="F1288" s="83">
        <v>0.4166666666666667</v>
      </c>
      <c r="G1288" s="83">
        <v>0.5</v>
      </c>
      <c r="H1288" s="83">
        <v>0.08333333333333333</v>
      </c>
      <c r="I1288" s="84">
        <v>44484.0</v>
      </c>
      <c r="J1288" s="65" t="b">
        <v>1</v>
      </c>
      <c r="K1288" s="65"/>
      <c r="L1288" s="85" t="b">
        <f>IF(VLOOKUP(C1288,Projetos!A:L,12,false)=TRUE,TRUE,FALSE)</f>
        <v>1</v>
      </c>
      <c r="M1288" s="74">
        <v>34.7706987012987</v>
      </c>
      <c r="N1288" s="74">
        <f t="shared" si="1"/>
        <v>69.5413974</v>
      </c>
      <c r="O1288" s="74" t="b">
        <v>1</v>
      </c>
    </row>
    <row r="1289" hidden="1">
      <c r="A1289" s="82"/>
      <c r="B1289" s="65" t="s">
        <v>750</v>
      </c>
      <c r="C1289" s="65" t="s">
        <v>98</v>
      </c>
      <c r="D1289" s="65" t="str">
        <f>vlookup(C1289,'Classificação p pessoal'!F:G,2,false)</f>
        <v>NP</v>
      </c>
      <c r="E1289" s="65" t="s">
        <v>159</v>
      </c>
      <c r="F1289" s="83">
        <v>0.5833333333333334</v>
      </c>
      <c r="G1289" s="83">
        <v>0.75</v>
      </c>
      <c r="H1289" s="83">
        <v>0.16666666666666666</v>
      </c>
      <c r="I1289" s="84">
        <v>44487.0</v>
      </c>
      <c r="J1289" s="65" t="b">
        <v>1</v>
      </c>
      <c r="K1289" s="65"/>
      <c r="L1289" s="85" t="b">
        <f>IF(VLOOKUP(C1289,Projetos!A:L,12,false)=TRUE,TRUE,FALSE)</f>
        <v>1</v>
      </c>
      <c r="M1289" s="74">
        <v>34.7706987012987</v>
      </c>
      <c r="N1289" s="74">
        <f t="shared" si="1"/>
        <v>139.0827948</v>
      </c>
      <c r="O1289" s="74" t="b">
        <v>1</v>
      </c>
    </row>
    <row r="1290" hidden="1">
      <c r="A1290" s="82"/>
      <c r="B1290" s="65" t="s">
        <v>750</v>
      </c>
      <c r="C1290" s="65" t="s">
        <v>118</v>
      </c>
      <c r="D1290" s="65"/>
      <c r="E1290" s="65" t="s">
        <v>756</v>
      </c>
      <c r="F1290" s="83">
        <v>0.375</v>
      </c>
      <c r="G1290" s="83">
        <v>0.5</v>
      </c>
      <c r="H1290" s="83">
        <v>0.125</v>
      </c>
      <c r="I1290" s="84">
        <v>44488.0</v>
      </c>
      <c r="J1290" s="65" t="b">
        <v>0</v>
      </c>
      <c r="K1290" s="65" t="s">
        <v>150</v>
      </c>
      <c r="L1290" s="85" t="b">
        <f>IF(VLOOKUP(C1290,Projetos!A:L,12,false)=TRUE,TRUE,FALSE)</f>
        <v>1</v>
      </c>
      <c r="M1290" s="74">
        <v>34.7706987012987</v>
      </c>
      <c r="N1290" s="74">
        <f t="shared" si="1"/>
        <v>0</v>
      </c>
      <c r="O1290" s="74" t="b">
        <v>1</v>
      </c>
    </row>
    <row r="1291" hidden="1">
      <c r="A1291" s="82"/>
      <c r="B1291" s="65" t="s">
        <v>750</v>
      </c>
      <c r="C1291" s="65" t="s">
        <v>110</v>
      </c>
      <c r="D1291" s="65"/>
      <c r="E1291" s="65" t="s">
        <v>768</v>
      </c>
      <c r="F1291" s="83">
        <v>0.5833333333333334</v>
      </c>
      <c r="G1291" s="83">
        <v>0.6666666666666666</v>
      </c>
      <c r="H1291" s="83">
        <v>0.08333333333333333</v>
      </c>
      <c r="I1291" s="84">
        <v>44488.0</v>
      </c>
      <c r="J1291" s="65" t="b">
        <v>0</v>
      </c>
      <c r="K1291" s="65"/>
      <c r="L1291" s="85" t="b">
        <f>IF(VLOOKUP(C1291,Projetos!A:L,12,false)=TRUE,TRUE,FALSE)</f>
        <v>0</v>
      </c>
      <c r="M1291" s="74">
        <v>34.7706987012987</v>
      </c>
      <c r="N1291" s="74">
        <f t="shared" si="1"/>
        <v>0</v>
      </c>
      <c r="O1291" s="74" t="b">
        <v>0</v>
      </c>
    </row>
    <row r="1292" hidden="1">
      <c r="A1292" s="82"/>
      <c r="B1292" s="65" t="s">
        <v>750</v>
      </c>
      <c r="C1292" s="65" t="s">
        <v>98</v>
      </c>
      <c r="D1292" s="65" t="str">
        <f>vlookup(C1292,'Classificação p pessoal'!F:G,2,false)</f>
        <v>NP</v>
      </c>
      <c r="E1292" s="65" t="s">
        <v>159</v>
      </c>
      <c r="F1292" s="83">
        <v>0.4166666666666667</v>
      </c>
      <c r="G1292" s="83">
        <v>0.5</v>
      </c>
      <c r="H1292" s="83">
        <v>0.08333333333333333</v>
      </c>
      <c r="I1292" s="84">
        <v>44489.0</v>
      </c>
      <c r="J1292" s="65" t="b">
        <v>1</v>
      </c>
      <c r="K1292" s="65"/>
      <c r="L1292" s="85" t="b">
        <f>IF(VLOOKUP(C1292,Projetos!A:L,12,false)=TRUE,TRUE,FALSE)</f>
        <v>1</v>
      </c>
      <c r="M1292" s="74">
        <v>34.7706987012987</v>
      </c>
      <c r="N1292" s="74">
        <f t="shared" si="1"/>
        <v>69.5413974</v>
      </c>
      <c r="O1292" s="74" t="b">
        <v>1</v>
      </c>
    </row>
    <row r="1293" hidden="1">
      <c r="A1293" s="82"/>
      <c r="B1293" s="65" t="s">
        <v>750</v>
      </c>
      <c r="C1293" s="65" t="s">
        <v>98</v>
      </c>
      <c r="D1293" s="65" t="str">
        <f>vlookup(C1293,'Classificação p pessoal'!F:G,2,false)</f>
        <v>NP</v>
      </c>
      <c r="E1293" s="65" t="s">
        <v>159</v>
      </c>
      <c r="F1293" s="83">
        <v>0.4166666666666667</v>
      </c>
      <c r="G1293" s="83">
        <v>0.5</v>
      </c>
      <c r="H1293" s="83">
        <v>0.08333333333333333</v>
      </c>
      <c r="I1293" s="84">
        <v>44489.0</v>
      </c>
      <c r="J1293" s="65" t="b">
        <v>1</v>
      </c>
      <c r="K1293" s="65"/>
      <c r="L1293" s="85" t="b">
        <f>IF(VLOOKUP(C1293,Projetos!A:L,12,false)=TRUE,TRUE,FALSE)</f>
        <v>1</v>
      </c>
      <c r="M1293" s="74">
        <v>34.7706987012987</v>
      </c>
      <c r="N1293" s="74">
        <f t="shared" si="1"/>
        <v>69.5413974</v>
      </c>
      <c r="O1293" s="74" t="b">
        <v>1</v>
      </c>
    </row>
    <row r="1294" hidden="1">
      <c r="A1294" s="82"/>
      <c r="B1294" s="65" t="s">
        <v>750</v>
      </c>
      <c r="C1294" s="65" t="s">
        <v>118</v>
      </c>
      <c r="D1294" s="65"/>
      <c r="E1294" s="65" t="s">
        <v>756</v>
      </c>
      <c r="F1294" s="83">
        <v>0.5833333333333334</v>
      </c>
      <c r="G1294" s="83">
        <v>0.6666666666666666</v>
      </c>
      <c r="H1294" s="83">
        <v>0.08333333333333333</v>
      </c>
      <c r="I1294" s="84">
        <v>44489.0</v>
      </c>
      <c r="J1294" s="65" t="b">
        <v>0</v>
      </c>
      <c r="K1294" s="65" t="s">
        <v>150</v>
      </c>
      <c r="L1294" s="85" t="b">
        <f>IF(VLOOKUP(C1294,Projetos!A:L,12,false)=TRUE,TRUE,FALSE)</f>
        <v>1</v>
      </c>
      <c r="M1294" s="74">
        <v>34.7706987012987</v>
      </c>
      <c r="N1294" s="74">
        <f t="shared" si="1"/>
        <v>0</v>
      </c>
      <c r="O1294" s="74" t="b">
        <v>1</v>
      </c>
    </row>
    <row r="1295" hidden="1">
      <c r="A1295" s="82"/>
      <c r="B1295" s="65" t="s">
        <v>750</v>
      </c>
      <c r="C1295" s="65" t="s">
        <v>100</v>
      </c>
      <c r="D1295" s="65" t="str">
        <f>vlookup(C1295,'Classificação p pessoal'!F:G,2,false)</f>
        <v>NP</v>
      </c>
      <c r="E1295" s="65" t="s">
        <v>159</v>
      </c>
      <c r="F1295" s="83">
        <v>0.5416666666666666</v>
      </c>
      <c r="G1295" s="83">
        <v>0.7083333333333334</v>
      </c>
      <c r="H1295" s="83">
        <v>0.16666666666666666</v>
      </c>
      <c r="I1295" s="84">
        <v>44490.0</v>
      </c>
      <c r="J1295" s="65" t="b">
        <v>1</v>
      </c>
      <c r="K1295" s="65"/>
      <c r="L1295" s="85" t="b">
        <f>IF(VLOOKUP(C1295,Projetos!A:L,12,false)=TRUE,TRUE,FALSE)</f>
        <v>1</v>
      </c>
      <c r="M1295" s="74">
        <v>34.7706987012987</v>
      </c>
      <c r="N1295" s="74">
        <f t="shared" si="1"/>
        <v>139.0827948</v>
      </c>
      <c r="O1295" s="74" t="b">
        <v>1</v>
      </c>
    </row>
    <row r="1296" hidden="1">
      <c r="A1296" s="82"/>
      <c r="B1296" s="65" t="s">
        <v>750</v>
      </c>
      <c r="C1296" s="65" t="s">
        <v>110</v>
      </c>
      <c r="D1296" s="65"/>
      <c r="E1296" s="65" t="s">
        <v>768</v>
      </c>
      <c r="F1296" s="83">
        <v>0.3541666666666667</v>
      </c>
      <c r="G1296" s="83">
        <v>0.375</v>
      </c>
      <c r="H1296" s="83">
        <v>0.020833333333333332</v>
      </c>
      <c r="I1296" s="84">
        <v>44491.0</v>
      </c>
      <c r="J1296" s="65" t="b">
        <v>0</v>
      </c>
      <c r="K1296" s="65"/>
      <c r="L1296" s="85" t="b">
        <f>IF(VLOOKUP(C1296,Projetos!A:L,12,false)=TRUE,TRUE,FALSE)</f>
        <v>0</v>
      </c>
      <c r="M1296" s="74">
        <v>34.7706987012987</v>
      </c>
      <c r="N1296" s="74">
        <f t="shared" si="1"/>
        <v>0</v>
      </c>
      <c r="O1296" s="74" t="b">
        <v>0</v>
      </c>
    </row>
    <row r="1297" hidden="1">
      <c r="A1297" s="82"/>
      <c r="B1297" s="65" t="s">
        <v>750</v>
      </c>
      <c r="C1297" s="65" t="s">
        <v>99</v>
      </c>
      <c r="D1297" s="65" t="str">
        <f>vlookup(C1297,'Classificação p pessoal'!F:G,2,false)</f>
        <v>NP</v>
      </c>
      <c r="E1297" s="65" t="s">
        <v>159</v>
      </c>
      <c r="F1297" s="83">
        <v>0.375</v>
      </c>
      <c r="G1297" s="83">
        <v>0.4583333333333333</v>
      </c>
      <c r="H1297" s="83">
        <v>0.08333333333333333</v>
      </c>
      <c r="I1297" s="84">
        <v>44491.0</v>
      </c>
      <c r="J1297" s="65" t="b">
        <v>1</v>
      </c>
      <c r="K1297" s="65"/>
      <c r="L1297" s="85" t="b">
        <f>IF(VLOOKUP(C1297,Projetos!A:L,12,false)=TRUE,TRUE,FALSE)</f>
        <v>1</v>
      </c>
      <c r="M1297" s="74">
        <v>34.7706987012987</v>
      </c>
      <c r="N1297" s="74">
        <f t="shared" si="1"/>
        <v>69.5413974</v>
      </c>
      <c r="O1297" s="74" t="b">
        <v>1</v>
      </c>
    </row>
    <row r="1298" hidden="1">
      <c r="A1298" s="82"/>
      <c r="B1298" s="65" t="s">
        <v>750</v>
      </c>
      <c r="C1298" s="65" t="s">
        <v>130</v>
      </c>
      <c r="D1298" s="65" t="str">
        <f>vlookup(C1298,'Classificação p pessoal'!F:G,2,false)</f>
        <v>NP</v>
      </c>
      <c r="E1298" s="65" t="s">
        <v>753</v>
      </c>
      <c r="F1298" s="83">
        <v>0.4583333333333333</v>
      </c>
      <c r="G1298" s="83">
        <v>0.5416666666666666</v>
      </c>
      <c r="H1298" s="83">
        <v>0.08333333333333333</v>
      </c>
      <c r="I1298" s="84">
        <v>44491.0</v>
      </c>
      <c r="J1298" s="65" t="b">
        <v>1</v>
      </c>
      <c r="K1298" s="65"/>
      <c r="L1298" s="85" t="b">
        <f>IF(VLOOKUP(C1298,Projetos!A:L,12,false)=TRUE,TRUE,FALSE)</f>
        <v>1</v>
      </c>
      <c r="M1298" s="74">
        <v>34.7706987012987</v>
      </c>
      <c r="N1298" s="74">
        <f t="shared" si="1"/>
        <v>69.5413974</v>
      </c>
      <c r="O1298" s="74" t="b">
        <v>1</v>
      </c>
    </row>
    <row r="1299" hidden="1">
      <c r="A1299" s="82"/>
      <c r="B1299" s="65" t="s">
        <v>750</v>
      </c>
      <c r="C1299" s="65" t="s">
        <v>118</v>
      </c>
      <c r="D1299" s="65"/>
      <c r="E1299" s="65" t="s">
        <v>756</v>
      </c>
      <c r="F1299" s="83">
        <v>0.625</v>
      </c>
      <c r="G1299" s="83">
        <v>0.75</v>
      </c>
      <c r="H1299" s="83">
        <v>0.125</v>
      </c>
      <c r="I1299" s="84">
        <v>44491.0</v>
      </c>
      <c r="J1299" s="65" t="b">
        <v>0</v>
      </c>
      <c r="K1299" s="65" t="s">
        <v>150</v>
      </c>
      <c r="L1299" s="85" t="b">
        <f>IF(VLOOKUP(C1299,Projetos!A:L,12,false)=TRUE,TRUE,FALSE)</f>
        <v>1</v>
      </c>
      <c r="M1299" s="74">
        <v>34.7706987012987</v>
      </c>
      <c r="N1299" s="74">
        <f t="shared" si="1"/>
        <v>0</v>
      </c>
      <c r="O1299" s="74" t="b">
        <v>1</v>
      </c>
    </row>
    <row r="1300" hidden="1">
      <c r="A1300" s="82"/>
      <c r="B1300" s="65" t="s">
        <v>750</v>
      </c>
      <c r="C1300" s="65" t="s">
        <v>100</v>
      </c>
      <c r="D1300" s="65" t="str">
        <f>vlookup(C1300,'Classificação p pessoal'!F:G,2,false)</f>
        <v>NP</v>
      </c>
      <c r="E1300" s="65" t="s">
        <v>159</v>
      </c>
      <c r="F1300" s="83">
        <v>0.375</v>
      </c>
      <c r="G1300" s="83">
        <v>0.4583333333333333</v>
      </c>
      <c r="H1300" s="83">
        <v>0.08333333333333333</v>
      </c>
      <c r="I1300" s="84">
        <v>44494.0</v>
      </c>
      <c r="J1300" s="65" t="b">
        <v>1</v>
      </c>
      <c r="K1300" s="65"/>
      <c r="L1300" s="85" t="b">
        <f>IF(VLOOKUP(C1300,Projetos!A:L,12,false)=TRUE,TRUE,FALSE)</f>
        <v>1</v>
      </c>
      <c r="M1300" s="74">
        <v>34.7706987012987</v>
      </c>
      <c r="N1300" s="74">
        <f t="shared" si="1"/>
        <v>69.5413974</v>
      </c>
      <c r="O1300" s="74" t="b">
        <v>1</v>
      </c>
    </row>
    <row r="1301" hidden="1">
      <c r="A1301" s="82"/>
      <c r="B1301" s="65" t="s">
        <v>750</v>
      </c>
      <c r="C1301" s="65" t="s">
        <v>130</v>
      </c>
      <c r="D1301" s="65" t="str">
        <f>vlookup(C1301,'Classificação p pessoal'!F:G,2,false)</f>
        <v>NP</v>
      </c>
      <c r="E1301" s="65" t="s">
        <v>753</v>
      </c>
      <c r="F1301" s="83">
        <v>0.4583333333333333</v>
      </c>
      <c r="G1301" s="83">
        <v>0.5</v>
      </c>
      <c r="H1301" s="83">
        <v>0.041666666666666664</v>
      </c>
      <c r="I1301" s="84">
        <v>44495.0</v>
      </c>
      <c r="J1301" s="65" t="b">
        <v>1</v>
      </c>
      <c r="K1301" s="65"/>
      <c r="L1301" s="85" t="b">
        <f>IF(VLOOKUP(C1301,Projetos!A:L,12,false)=TRUE,TRUE,FALSE)</f>
        <v>1</v>
      </c>
      <c r="M1301" s="74">
        <v>34.7706987012987</v>
      </c>
      <c r="N1301" s="74">
        <f t="shared" si="1"/>
        <v>34.7706987</v>
      </c>
      <c r="O1301" s="74" t="b">
        <v>1</v>
      </c>
    </row>
    <row r="1302" hidden="1">
      <c r="A1302" s="82"/>
      <c r="B1302" s="65" t="s">
        <v>750</v>
      </c>
      <c r="C1302" s="65" t="s">
        <v>107</v>
      </c>
      <c r="D1302" s="65" t="str">
        <f>vlookup(C1302,'Classificação p pessoal'!F:G,2,false)</f>
        <v>NP</v>
      </c>
      <c r="E1302" s="65" t="s">
        <v>763</v>
      </c>
      <c r="F1302" s="83">
        <v>0.5833333333333334</v>
      </c>
      <c r="G1302" s="83">
        <v>0.6666666666666666</v>
      </c>
      <c r="H1302" s="83">
        <v>0.08333333333333333</v>
      </c>
      <c r="I1302" s="84">
        <v>44496.0</v>
      </c>
      <c r="J1302" s="65" t="b">
        <v>1</v>
      </c>
      <c r="K1302" s="65"/>
      <c r="L1302" s="85" t="b">
        <f>IF(VLOOKUP(C1302,Projetos!A:L,12,false)=TRUE,TRUE,FALSE)</f>
        <v>1</v>
      </c>
      <c r="M1302" s="74">
        <v>34.7706987012987</v>
      </c>
      <c r="N1302" s="74">
        <f t="shared" si="1"/>
        <v>69.5413974</v>
      </c>
      <c r="O1302" s="74" t="b">
        <v>1</v>
      </c>
    </row>
    <row r="1303" hidden="1">
      <c r="A1303" s="82"/>
      <c r="B1303" s="65" t="s">
        <v>750</v>
      </c>
      <c r="C1303" s="65" t="s">
        <v>85</v>
      </c>
      <c r="D1303" s="65" t="str">
        <f>vlookup(C1303,'Classificação p pessoal'!F:G,2,false)</f>
        <v>NP</v>
      </c>
      <c r="E1303" s="65" t="s">
        <v>159</v>
      </c>
      <c r="F1303" s="83">
        <v>0.4166666666666667</v>
      </c>
      <c r="G1303" s="83">
        <v>0.5</v>
      </c>
      <c r="H1303" s="83">
        <v>0.08333333333333333</v>
      </c>
      <c r="I1303" s="84">
        <v>44497.0</v>
      </c>
      <c r="J1303" s="65" t="b">
        <v>1</v>
      </c>
      <c r="K1303" s="65"/>
      <c r="L1303" s="85" t="b">
        <f>IF(VLOOKUP(C1303,Projetos!A:L,12,false)=TRUE,TRUE,FALSE)</f>
        <v>1</v>
      </c>
      <c r="M1303" s="74">
        <v>34.7706987012987</v>
      </c>
      <c r="N1303" s="74">
        <f t="shared" si="1"/>
        <v>69.5413974</v>
      </c>
      <c r="O1303" s="74" t="b">
        <v>1</v>
      </c>
    </row>
    <row r="1304" hidden="1">
      <c r="A1304" s="82"/>
      <c r="B1304" s="65" t="s">
        <v>750</v>
      </c>
      <c r="C1304" s="65" t="s">
        <v>130</v>
      </c>
      <c r="D1304" s="65" t="str">
        <f>vlookup(C1304,'Classificação p pessoal'!F:G,2,false)</f>
        <v>NP</v>
      </c>
      <c r="E1304" s="65" t="s">
        <v>753</v>
      </c>
      <c r="F1304" s="83">
        <v>0.5833333333333334</v>
      </c>
      <c r="G1304" s="83">
        <v>0.7083333333333334</v>
      </c>
      <c r="H1304" s="83">
        <v>0.125</v>
      </c>
      <c r="I1304" s="84">
        <v>44497.0</v>
      </c>
      <c r="J1304" s="65" t="b">
        <v>1</v>
      </c>
      <c r="K1304" s="65"/>
      <c r="L1304" s="85" t="b">
        <f>IF(VLOOKUP(C1304,Projetos!A:L,12,false)=TRUE,TRUE,FALSE)</f>
        <v>1</v>
      </c>
      <c r="M1304" s="74">
        <v>34.7706987012987</v>
      </c>
      <c r="N1304" s="74">
        <f t="shared" si="1"/>
        <v>104.3120961</v>
      </c>
      <c r="O1304" s="74" t="b">
        <v>1</v>
      </c>
    </row>
    <row r="1305" hidden="1">
      <c r="A1305" s="82"/>
      <c r="B1305" s="65" t="s">
        <v>750</v>
      </c>
      <c r="C1305" s="65" t="s">
        <v>85</v>
      </c>
      <c r="D1305" s="65" t="str">
        <f>vlookup(C1305,'Classificação p pessoal'!F:G,2,false)</f>
        <v>NP</v>
      </c>
      <c r="E1305" s="65" t="s">
        <v>159</v>
      </c>
      <c r="F1305" s="83">
        <v>0.5833333333333334</v>
      </c>
      <c r="G1305" s="83">
        <v>0.75</v>
      </c>
      <c r="H1305" s="83">
        <v>0.16666666666666666</v>
      </c>
      <c r="I1305" s="84">
        <v>44498.0</v>
      </c>
      <c r="J1305" s="65" t="b">
        <v>1</v>
      </c>
      <c r="K1305" s="65"/>
      <c r="L1305" s="85" t="b">
        <f>IF(VLOOKUP(C1305,Projetos!A:L,12,false)=TRUE,TRUE,FALSE)</f>
        <v>1</v>
      </c>
      <c r="M1305" s="74">
        <v>34.7706987012987</v>
      </c>
      <c r="N1305" s="74">
        <f t="shared" si="1"/>
        <v>139.0827948</v>
      </c>
      <c r="O1305" s="74" t="b">
        <v>1</v>
      </c>
    </row>
    <row r="1306" hidden="1">
      <c r="A1306" s="82"/>
      <c r="B1306" s="65" t="s">
        <v>750</v>
      </c>
      <c r="C1306" s="65" t="s">
        <v>85</v>
      </c>
      <c r="D1306" s="65" t="str">
        <f>vlookup(C1306,'Classificação p pessoal'!F:G,2,false)</f>
        <v>NP</v>
      </c>
      <c r="E1306" s="65" t="s">
        <v>159</v>
      </c>
      <c r="F1306" s="83">
        <v>0.375</v>
      </c>
      <c r="G1306" s="83">
        <v>0.5</v>
      </c>
      <c r="H1306" s="83">
        <v>0.125</v>
      </c>
      <c r="I1306" s="84">
        <v>44503.0</v>
      </c>
      <c r="J1306" s="65" t="b">
        <v>1</v>
      </c>
      <c r="K1306" s="65"/>
      <c r="L1306" s="85" t="b">
        <f>IF(VLOOKUP(C1306,Projetos!A:L,12,false)=TRUE,TRUE,FALSE)</f>
        <v>1</v>
      </c>
      <c r="M1306" s="74">
        <v>34.7706987012987</v>
      </c>
      <c r="N1306" s="74">
        <f t="shared" si="1"/>
        <v>104.3120961</v>
      </c>
      <c r="O1306" s="74" t="b">
        <v>1</v>
      </c>
    </row>
    <row r="1307" hidden="1">
      <c r="A1307" s="82"/>
      <c r="B1307" s="65" t="s">
        <v>750</v>
      </c>
      <c r="C1307" s="65" t="s">
        <v>131</v>
      </c>
      <c r="D1307" s="65"/>
      <c r="E1307" s="65" t="s">
        <v>159</v>
      </c>
      <c r="F1307" s="83">
        <v>0.5833333333333334</v>
      </c>
      <c r="G1307" s="83">
        <v>0.6666666666666666</v>
      </c>
      <c r="H1307" s="83">
        <v>0.08333333333333333</v>
      </c>
      <c r="I1307" s="84">
        <v>44503.0</v>
      </c>
      <c r="J1307" s="65" t="b">
        <v>1</v>
      </c>
      <c r="K1307" s="65"/>
      <c r="L1307" s="85" t="b">
        <f>IF(VLOOKUP(C1307,Projetos!A:L,12,false)=TRUE,TRUE,FALSE)</f>
        <v>0</v>
      </c>
      <c r="M1307" s="74">
        <v>34.7706987012987</v>
      </c>
      <c r="N1307" s="74">
        <f t="shared" si="1"/>
        <v>0</v>
      </c>
      <c r="O1307" s="74" t="b">
        <v>0</v>
      </c>
    </row>
    <row r="1308" hidden="1">
      <c r="A1308" s="82"/>
      <c r="B1308" s="65" t="s">
        <v>750</v>
      </c>
      <c r="C1308" s="65" t="s">
        <v>107</v>
      </c>
      <c r="D1308" s="65"/>
      <c r="E1308" s="65" t="s">
        <v>756</v>
      </c>
      <c r="F1308" s="83">
        <v>0.375</v>
      </c>
      <c r="G1308" s="83">
        <v>0.5</v>
      </c>
      <c r="H1308" s="83">
        <v>0.125</v>
      </c>
      <c r="I1308" s="84">
        <v>44504.0</v>
      </c>
      <c r="J1308" s="65" t="b">
        <v>0</v>
      </c>
      <c r="K1308" s="65" t="s">
        <v>150</v>
      </c>
      <c r="L1308" s="85" t="b">
        <f>IF(VLOOKUP(C1308,Projetos!A:L,12,false)=TRUE,TRUE,FALSE)</f>
        <v>1</v>
      </c>
      <c r="M1308" s="74">
        <v>34.7706987012987</v>
      </c>
      <c r="N1308" s="74">
        <f t="shared" si="1"/>
        <v>0</v>
      </c>
      <c r="O1308" s="74" t="b">
        <v>1</v>
      </c>
    </row>
    <row r="1309" hidden="1">
      <c r="A1309" s="82"/>
      <c r="B1309" s="65" t="s">
        <v>750</v>
      </c>
      <c r="C1309" s="65" t="s">
        <v>117</v>
      </c>
      <c r="D1309" s="65" t="str">
        <f>vlookup(C1309,'Classificação p pessoal'!F:G,2,false)</f>
        <v>NP</v>
      </c>
      <c r="E1309" s="65" t="s">
        <v>753</v>
      </c>
      <c r="F1309" s="83">
        <v>0.5</v>
      </c>
      <c r="G1309" s="83">
        <v>0.625</v>
      </c>
      <c r="H1309" s="83">
        <v>0.125</v>
      </c>
      <c r="I1309" s="84">
        <v>44505.0</v>
      </c>
      <c r="J1309" s="65" t="b">
        <v>1</v>
      </c>
      <c r="K1309" s="65"/>
      <c r="L1309" s="85" t="b">
        <f>IF(VLOOKUP(C1309,Projetos!A:L,12,false)=TRUE,TRUE,FALSE)</f>
        <v>1</v>
      </c>
      <c r="M1309" s="74">
        <v>34.7706987012987</v>
      </c>
      <c r="N1309" s="74">
        <f t="shared" si="1"/>
        <v>104.3120961</v>
      </c>
      <c r="O1309" s="74" t="b">
        <v>1</v>
      </c>
    </row>
    <row r="1310" hidden="1">
      <c r="A1310" s="82"/>
      <c r="B1310" s="65" t="s">
        <v>750</v>
      </c>
      <c r="C1310" s="65" t="s">
        <v>85</v>
      </c>
      <c r="D1310" s="65" t="str">
        <f>vlookup(C1310,'Classificação p pessoal'!F:G,2,false)</f>
        <v>NP</v>
      </c>
      <c r="E1310" s="65" t="s">
        <v>159</v>
      </c>
      <c r="F1310" s="83">
        <v>0.5416666666666666</v>
      </c>
      <c r="G1310" s="83">
        <v>0.6666666666666666</v>
      </c>
      <c r="H1310" s="83">
        <v>0.125</v>
      </c>
      <c r="I1310" s="84">
        <v>44505.0</v>
      </c>
      <c r="J1310" s="65" t="b">
        <v>1</v>
      </c>
      <c r="K1310" s="65"/>
      <c r="L1310" s="85" t="b">
        <f>IF(VLOOKUP(C1310,Projetos!A:L,12,false)=TRUE,TRUE,FALSE)</f>
        <v>1</v>
      </c>
      <c r="M1310" s="74">
        <v>34.7706987012987</v>
      </c>
      <c r="N1310" s="74">
        <f t="shared" si="1"/>
        <v>104.3120961</v>
      </c>
      <c r="O1310" s="74" t="b">
        <v>1</v>
      </c>
    </row>
    <row r="1311" hidden="1">
      <c r="A1311" s="82"/>
      <c r="B1311" s="65" t="s">
        <v>750</v>
      </c>
      <c r="C1311" s="65" t="s">
        <v>85</v>
      </c>
      <c r="D1311" s="65" t="str">
        <f>vlookup(C1311,'Classificação p pessoal'!F:G,2,false)</f>
        <v>NP</v>
      </c>
      <c r="E1311" s="65" t="s">
        <v>159</v>
      </c>
      <c r="F1311" s="83">
        <v>0.5833333333333334</v>
      </c>
      <c r="G1311" s="83">
        <v>0.7083333333333334</v>
      </c>
      <c r="H1311" s="83">
        <v>0.125</v>
      </c>
      <c r="I1311" s="84">
        <v>44508.0</v>
      </c>
      <c r="J1311" s="65" t="b">
        <v>1</v>
      </c>
      <c r="K1311" s="65"/>
      <c r="L1311" s="85" t="b">
        <f>IF(VLOOKUP(C1311,Projetos!A:L,12,false)=TRUE,TRUE,FALSE)</f>
        <v>1</v>
      </c>
      <c r="M1311" s="74">
        <v>34.7706987012987</v>
      </c>
      <c r="N1311" s="74">
        <f t="shared" si="1"/>
        <v>104.3120961</v>
      </c>
      <c r="O1311" s="74" t="b">
        <v>1</v>
      </c>
    </row>
    <row r="1312" hidden="1">
      <c r="A1312" s="82"/>
      <c r="B1312" s="65" t="s">
        <v>750</v>
      </c>
      <c r="C1312" s="65" t="s">
        <v>118</v>
      </c>
      <c r="D1312" s="65"/>
      <c r="E1312" s="65" t="s">
        <v>756</v>
      </c>
      <c r="F1312" s="83">
        <v>0.4166666666666667</v>
      </c>
      <c r="G1312" s="83">
        <v>0.5</v>
      </c>
      <c r="H1312" s="83">
        <v>0.08333333333333333</v>
      </c>
      <c r="I1312" s="84">
        <v>44508.0</v>
      </c>
      <c r="J1312" s="65" t="b">
        <v>0</v>
      </c>
      <c r="K1312" s="65" t="s">
        <v>150</v>
      </c>
      <c r="L1312" s="85" t="b">
        <f>IF(VLOOKUP(C1312,Projetos!A:L,12,false)=TRUE,TRUE,FALSE)</f>
        <v>1</v>
      </c>
      <c r="M1312" s="74">
        <v>34.7706987012987</v>
      </c>
      <c r="N1312" s="74">
        <f t="shared" si="1"/>
        <v>0</v>
      </c>
      <c r="O1312" s="74" t="b">
        <v>1</v>
      </c>
    </row>
    <row r="1313" hidden="1">
      <c r="A1313" s="82"/>
      <c r="B1313" s="65" t="s">
        <v>750</v>
      </c>
      <c r="C1313" s="65" t="s">
        <v>85</v>
      </c>
      <c r="D1313" s="65" t="str">
        <f>vlookup(C1313,'Classificação p pessoal'!F:G,2,false)</f>
        <v>NP</v>
      </c>
      <c r="E1313" s="65" t="s">
        <v>159</v>
      </c>
      <c r="F1313" s="83">
        <v>0.5833333333333334</v>
      </c>
      <c r="G1313" s="83">
        <v>0.75</v>
      </c>
      <c r="H1313" s="83">
        <v>0.16666666666666666</v>
      </c>
      <c r="I1313" s="84">
        <v>44509.0</v>
      </c>
      <c r="J1313" s="65" t="b">
        <v>1</v>
      </c>
      <c r="K1313" s="65"/>
      <c r="L1313" s="85" t="b">
        <f>IF(VLOOKUP(C1313,Projetos!A:L,12,false)=TRUE,TRUE,FALSE)</f>
        <v>1</v>
      </c>
      <c r="M1313" s="74">
        <v>34.7706987012987</v>
      </c>
      <c r="N1313" s="74">
        <f t="shared" si="1"/>
        <v>139.0827948</v>
      </c>
      <c r="O1313" s="74" t="b">
        <v>1</v>
      </c>
    </row>
    <row r="1314" hidden="1">
      <c r="A1314" s="82"/>
      <c r="B1314" s="65" t="s">
        <v>750</v>
      </c>
      <c r="C1314" s="65" t="s">
        <v>118</v>
      </c>
      <c r="D1314" s="65"/>
      <c r="E1314" s="65" t="s">
        <v>756</v>
      </c>
      <c r="F1314" s="83">
        <v>0.4166666666666667</v>
      </c>
      <c r="G1314" s="83">
        <v>0.5</v>
      </c>
      <c r="H1314" s="83">
        <v>0.08333333333333333</v>
      </c>
      <c r="I1314" s="84">
        <v>44509.0</v>
      </c>
      <c r="J1314" s="65" t="b">
        <v>0</v>
      </c>
      <c r="K1314" s="65" t="s">
        <v>150</v>
      </c>
      <c r="L1314" s="85" t="b">
        <f>IF(VLOOKUP(C1314,Projetos!A:L,12,false)=TRUE,TRUE,FALSE)</f>
        <v>1</v>
      </c>
      <c r="M1314" s="74">
        <v>34.7706987012987</v>
      </c>
      <c r="N1314" s="74">
        <f t="shared" si="1"/>
        <v>0</v>
      </c>
      <c r="O1314" s="74" t="b">
        <v>1</v>
      </c>
    </row>
    <row r="1315" hidden="1">
      <c r="A1315" s="82"/>
      <c r="B1315" s="65" t="s">
        <v>750</v>
      </c>
      <c r="C1315" s="65" t="s">
        <v>117</v>
      </c>
      <c r="D1315" s="65" t="str">
        <f>vlookup(C1315,'Classificação p pessoal'!F:G,2,false)</f>
        <v>NP</v>
      </c>
      <c r="E1315" s="65" t="s">
        <v>753</v>
      </c>
      <c r="F1315" s="83">
        <v>0.4166666666666667</v>
      </c>
      <c r="G1315" s="83">
        <v>0.4583333333333333</v>
      </c>
      <c r="H1315" s="83">
        <v>0.041666666666666664</v>
      </c>
      <c r="I1315" s="84">
        <v>44510.0</v>
      </c>
      <c r="J1315" s="65" t="b">
        <v>1</v>
      </c>
      <c r="K1315" s="65"/>
      <c r="L1315" s="85" t="b">
        <f>IF(VLOOKUP(C1315,Projetos!A:L,12,false)=TRUE,TRUE,FALSE)</f>
        <v>1</v>
      </c>
      <c r="M1315" s="74">
        <v>34.7706987012987</v>
      </c>
      <c r="N1315" s="74">
        <f t="shared" si="1"/>
        <v>34.7706987</v>
      </c>
      <c r="O1315" s="74" t="b">
        <v>1</v>
      </c>
    </row>
    <row r="1316" hidden="1">
      <c r="A1316" s="82"/>
      <c r="B1316" s="65" t="s">
        <v>750</v>
      </c>
      <c r="C1316" s="65" t="s">
        <v>118</v>
      </c>
      <c r="D1316" s="65"/>
      <c r="E1316" s="65" t="s">
        <v>756</v>
      </c>
      <c r="F1316" s="83">
        <v>0.5833333333333334</v>
      </c>
      <c r="G1316" s="83">
        <v>0.6666666666666666</v>
      </c>
      <c r="H1316" s="83">
        <v>0.08333333333333333</v>
      </c>
      <c r="I1316" s="84">
        <v>44510.0</v>
      </c>
      <c r="J1316" s="65" t="b">
        <v>0</v>
      </c>
      <c r="K1316" s="65" t="s">
        <v>150</v>
      </c>
      <c r="L1316" s="85" t="b">
        <f>IF(VLOOKUP(C1316,Projetos!A:L,12,false)=TRUE,TRUE,FALSE)</f>
        <v>1</v>
      </c>
      <c r="M1316" s="74">
        <v>34.7706987012987</v>
      </c>
      <c r="N1316" s="74">
        <f t="shared" si="1"/>
        <v>0</v>
      </c>
      <c r="O1316" s="74" t="b">
        <v>1</v>
      </c>
    </row>
    <row r="1317" hidden="1">
      <c r="A1317" s="82"/>
      <c r="B1317" s="65" t="s">
        <v>750</v>
      </c>
      <c r="C1317" s="65" t="s">
        <v>85</v>
      </c>
      <c r="D1317" s="65" t="str">
        <f>vlookup(C1317,'Classificação p pessoal'!F:G,2,false)</f>
        <v>NP</v>
      </c>
      <c r="E1317" s="65" t="s">
        <v>159</v>
      </c>
      <c r="F1317" s="83">
        <v>0.5833333333333334</v>
      </c>
      <c r="G1317" s="83">
        <v>0.75</v>
      </c>
      <c r="H1317" s="83">
        <v>0.16666666666666666</v>
      </c>
      <c r="I1317" s="84">
        <v>44511.0</v>
      </c>
      <c r="J1317" s="65" t="b">
        <v>1</v>
      </c>
      <c r="K1317" s="65"/>
      <c r="L1317" s="85" t="b">
        <f>IF(VLOOKUP(C1317,Projetos!A:L,12,false)=TRUE,TRUE,FALSE)</f>
        <v>1</v>
      </c>
      <c r="M1317" s="74">
        <v>34.7706987012987</v>
      </c>
      <c r="N1317" s="74">
        <f t="shared" si="1"/>
        <v>139.0827948</v>
      </c>
      <c r="O1317" s="74" t="b">
        <v>1</v>
      </c>
    </row>
    <row r="1318" hidden="1">
      <c r="A1318" s="82"/>
      <c r="B1318" s="65" t="s">
        <v>750</v>
      </c>
      <c r="C1318" s="65" t="s">
        <v>85</v>
      </c>
      <c r="D1318" s="65" t="str">
        <f>vlookup(C1318,'Classificação p pessoal'!F:G,2,false)</f>
        <v>NP</v>
      </c>
      <c r="E1318" s="65" t="s">
        <v>159</v>
      </c>
      <c r="F1318" s="83">
        <v>0.625</v>
      </c>
      <c r="G1318" s="83">
        <v>0.75</v>
      </c>
      <c r="H1318" s="83">
        <v>0.125</v>
      </c>
      <c r="I1318" s="84">
        <v>44512.0</v>
      </c>
      <c r="J1318" s="65" t="b">
        <v>1</v>
      </c>
      <c r="K1318" s="65"/>
      <c r="L1318" s="85" t="b">
        <f>IF(VLOOKUP(C1318,Projetos!A:L,12,false)=TRUE,TRUE,FALSE)</f>
        <v>1</v>
      </c>
      <c r="M1318" s="74">
        <v>34.7706987012987</v>
      </c>
      <c r="N1318" s="74">
        <f t="shared" si="1"/>
        <v>104.3120961</v>
      </c>
      <c r="O1318" s="74" t="b">
        <v>1</v>
      </c>
    </row>
    <row r="1319" hidden="1">
      <c r="A1319" s="82"/>
      <c r="B1319" s="65" t="s">
        <v>750</v>
      </c>
      <c r="C1319" s="65" t="s">
        <v>85</v>
      </c>
      <c r="D1319" s="65" t="str">
        <f>vlookup(C1319,'Classificação p pessoal'!F:G,2,false)</f>
        <v>NP</v>
      </c>
      <c r="E1319" s="65" t="s">
        <v>159</v>
      </c>
      <c r="F1319" s="83">
        <v>0.5</v>
      </c>
      <c r="G1319" s="83">
        <v>0.75</v>
      </c>
      <c r="H1319" s="83">
        <v>0.25</v>
      </c>
      <c r="I1319" s="84">
        <v>44516.0</v>
      </c>
      <c r="J1319" s="65" t="b">
        <v>1</v>
      </c>
      <c r="K1319" s="65"/>
      <c r="L1319" s="85" t="b">
        <f>IF(VLOOKUP(C1319,Projetos!A:L,12,false)=TRUE,TRUE,FALSE)</f>
        <v>1</v>
      </c>
      <c r="M1319" s="74">
        <v>34.7706987012987</v>
      </c>
      <c r="N1319" s="74">
        <f t="shared" si="1"/>
        <v>208.6241922</v>
      </c>
      <c r="O1319" s="74" t="b">
        <v>1</v>
      </c>
    </row>
    <row r="1320" hidden="1">
      <c r="A1320" s="82"/>
      <c r="B1320" s="65" t="s">
        <v>750</v>
      </c>
      <c r="C1320" s="65" t="s">
        <v>85</v>
      </c>
      <c r="D1320" s="65" t="str">
        <f>vlookup(C1320,'Classificação p pessoal'!F:G,2,false)</f>
        <v>NP</v>
      </c>
      <c r="E1320" s="65" t="s">
        <v>159</v>
      </c>
      <c r="F1320" s="83">
        <v>0.5833333333333334</v>
      </c>
      <c r="G1320" s="83">
        <v>0.7083333333333334</v>
      </c>
      <c r="H1320" s="83">
        <v>0.125</v>
      </c>
      <c r="I1320" s="84">
        <v>44517.0</v>
      </c>
      <c r="J1320" s="65" t="b">
        <v>1</v>
      </c>
      <c r="K1320" s="65"/>
      <c r="L1320" s="85" t="b">
        <f>IF(VLOOKUP(C1320,Projetos!A:L,12,false)=TRUE,TRUE,FALSE)</f>
        <v>1</v>
      </c>
      <c r="M1320" s="74">
        <v>34.7706987012987</v>
      </c>
      <c r="N1320" s="74">
        <f t="shared" si="1"/>
        <v>104.3120961</v>
      </c>
      <c r="O1320" s="74" t="b">
        <v>1</v>
      </c>
    </row>
    <row r="1321" hidden="1">
      <c r="A1321" s="82"/>
      <c r="B1321" s="65" t="s">
        <v>750</v>
      </c>
      <c r="C1321" s="65" t="s">
        <v>100</v>
      </c>
      <c r="D1321" s="65"/>
      <c r="E1321" s="65" t="s">
        <v>769</v>
      </c>
      <c r="F1321" s="83">
        <v>0.375</v>
      </c>
      <c r="G1321" s="83">
        <v>0.5416666666666666</v>
      </c>
      <c r="H1321" s="83">
        <v>0.16666666666666666</v>
      </c>
      <c r="I1321" s="84">
        <v>44518.0</v>
      </c>
      <c r="J1321" s="65" t="b">
        <v>0</v>
      </c>
      <c r="K1321" s="65" t="s">
        <v>150</v>
      </c>
      <c r="L1321" s="85" t="b">
        <f>IF(VLOOKUP(C1321,Projetos!A:L,12,false)=TRUE,TRUE,FALSE)</f>
        <v>1</v>
      </c>
      <c r="M1321" s="74">
        <v>34.7706987012987</v>
      </c>
      <c r="N1321" s="74">
        <f t="shared" si="1"/>
        <v>0</v>
      </c>
      <c r="O1321" s="74" t="b">
        <v>1</v>
      </c>
    </row>
    <row r="1322" hidden="1">
      <c r="A1322" s="82"/>
      <c r="B1322" s="65" t="s">
        <v>750</v>
      </c>
      <c r="C1322" s="65" t="s">
        <v>85</v>
      </c>
      <c r="D1322" s="65" t="str">
        <f>vlookup(C1322,'Classificação p pessoal'!F:G,2,false)</f>
        <v>NP</v>
      </c>
      <c r="E1322" s="65" t="s">
        <v>159</v>
      </c>
      <c r="F1322" s="83">
        <v>0.625</v>
      </c>
      <c r="G1322" s="83">
        <v>0.75</v>
      </c>
      <c r="H1322" s="83">
        <v>0.125</v>
      </c>
      <c r="I1322" s="84">
        <v>44518.0</v>
      </c>
      <c r="J1322" s="65" t="b">
        <v>1</v>
      </c>
      <c r="K1322" s="65"/>
      <c r="L1322" s="85" t="b">
        <f>IF(VLOOKUP(C1322,Projetos!A:L,12,false)=TRUE,TRUE,FALSE)</f>
        <v>1</v>
      </c>
      <c r="M1322" s="74">
        <v>34.7706987012987</v>
      </c>
      <c r="N1322" s="74">
        <f t="shared" si="1"/>
        <v>104.3120961</v>
      </c>
      <c r="O1322" s="74" t="b">
        <v>1</v>
      </c>
    </row>
    <row r="1323" hidden="1">
      <c r="A1323" s="82"/>
      <c r="B1323" s="65" t="s">
        <v>750</v>
      </c>
      <c r="C1323" s="65" t="s">
        <v>100</v>
      </c>
      <c r="D1323" s="65"/>
      <c r="E1323" s="65" t="s">
        <v>769</v>
      </c>
      <c r="F1323" s="83">
        <v>0.5833333333333334</v>
      </c>
      <c r="G1323" s="83">
        <v>0.6666666666666666</v>
      </c>
      <c r="H1323" s="83">
        <v>0.08333333333333333</v>
      </c>
      <c r="I1323" s="84">
        <v>44519.0</v>
      </c>
      <c r="J1323" s="65" t="b">
        <v>0</v>
      </c>
      <c r="K1323" s="65" t="s">
        <v>150</v>
      </c>
      <c r="L1323" s="85" t="b">
        <f>IF(VLOOKUP(C1323,Projetos!A:L,12,false)=TRUE,TRUE,FALSE)</f>
        <v>1</v>
      </c>
      <c r="M1323" s="74">
        <v>34.7706987012987</v>
      </c>
      <c r="N1323" s="74">
        <f t="shared" si="1"/>
        <v>0</v>
      </c>
      <c r="O1323" s="74" t="b">
        <v>1</v>
      </c>
    </row>
    <row r="1324" hidden="1">
      <c r="A1324" s="82"/>
      <c r="B1324" s="65" t="s">
        <v>750</v>
      </c>
      <c r="C1324" s="65" t="s">
        <v>85</v>
      </c>
      <c r="D1324" s="65" t="str">
        <f>vlookup(C1324,'Classificação p pessoal'!F:G,2,false)</f>
        <v>NP</v>
      </c>
      <c r="E1324" s="65" t="s">
        <v>159</v>
      </c>
      <c r="F1324" s="83">
        <v>0.4166666666666667</v>
      </c>
      <c r="G1324" s="83">
        <v>0.5</v>
      </c>
      <c r="H1324" s="83">
        <v>0.08333333333333333</v>
      </c>
      <c r="I1324" s="84">
        <v>44522.0</v>
      </c>
      <c r="J1324" s="65" t="b">
        <v>1</v>
      </c>
      <c r="K1324" s="65"/>
      <c r="L1324" s="85" t="b">
        <f>IF(VLOOKUP(C1324,Projetos!A:L,12,false)=TRUE,TRUE,FALSE)</f>
        <v>1</v>
      </c>
      <c r="M1324" s="74">
        <v>34.7706987012987</v>
      </c>
      <c r="N1324" s="74">
        <f t="shared" si="1"/>
        <v>69.5413974</v>
      </c>
      <c r="O1324" s="74" t="b">
        <v>1</v>
      </c>
    </row>
    <row r="1325" hidden="1">
      <c r="A1325" s="82"/>
      <c r="B1325" s="65" t="s">
        <v>750</v>
      </c>
      <c r="C1325" s="65" t="s">
        <v>85</v>
      </c>
      <c r="D1325" s="65" t="str">
        <f>vlookup(C1325,'Classificação p pessoal'!F:G,2,false)</f>
        <v>NP</v>
      </c>
      <c r="E1325" s="65" t="s">
        <v>159</v>
      </c>
      <c r="F1325" s="83">
        <v>0.5833333333333334</v>
      </c>
      <c r="G1325" s="83">
        <v>0.7083333333333334</v>
      </c>
      <c r="H1325" s="83">
        <v>0.125</v>
      </c>
      <c r="I1325" s="84">
        <v>44523.0</v>
      </c>
      <c r="J1325" s="65" t="b">
        <v>1</v>
      </c>
      <c r="K1325" s="65"/>
      <c r="L1325" s="85" t="b">
        <f>IF(VLOOKUP(C1325,Projetos!A:L,12,false)=TRUE,TRUE,FALSE)</f>
        <v>1</v>
      </c>
      <c r="M1325" s="74">
        <v>34.7706987012987</v>
      </c>
      <c r="N1325" s="74">
        <f t="shared" si="1"/>
        <v>104.3120961</v>
      </c>
      <c r="O1325" s="74" t="b">
        <v>1</v>
      </c>
    </row>
    <row r="1326" hidden="1">
      <c r="A1326" s="82"/>
      <c r="B1326" s="65" t="s">
        <v>750</v>
      </c>
      <c r="C1326" s="65" t="s">
        <v>85</v>
      </c>
      <c r="D1326" s="65" t="str">
        <f>vlookup(C1326,'Classificação p pessoal'!F:G,2,false)</f>
        <v>NP</v>
      </c>
      <c r="E1326" s="65" t="s">
        <v>159</v>
      </c>
      <c r="F1326" s="83">
        <v>0.625</v>
      </c>
      <c r="G1326" s="83">
        <v>0.75</v>
      </c>
      <c r="H1326" s="83">
        <v>0.125</v>
      </c>
      <c r="I1326" s="84">
        <v>44524.0</v>
      </c>
      <c r="J1326" s="65" t="b">
        <v>1</v>
      </c>
      <c r="K1326" s="65"/>
      <c r="L1326" s="85" t="b">
        <f>IF(VLOOKUP(C1326,Projetos!A:L,12,false)=TRUE,TRUE,FALSE)</f>
        <v>1</v>
      </c>
      <c r="M1326" s="74">
        <v>34.7706987012987</v>
      </c>
      <c r="N1326" s="74">
        <f t="shared" si="1"/>
        <v>104.3120961</v>
      </c>
      <c r="O1326" s="74" t="b">
        <v>1</v>
      </c>
    </row>
    <row r="1327" hidden="1">
      <c r="A1327" s="82"/>
      <c r="B1327" s="65" t="s">
        <v>750</v>
      </c>
      <c r="C1327" s="65" t="s">
        <v>85</v>
      </c>
      <c r="D1327" s="65" t="str">
        <f>vlookup(C1327,'Classificação p pessoal'!F:G,2,false)</f>
        <v>NP</v>
      </c>
      <c r="E1327" s="65" t="s">
        <v>159</v>
      </c>
      <c r="F1327" s="83">
        <v>0.4166666666666667</v>
      </c>
      <c r="G1327" s="83">
        <v>0.5</v>
      </c>
      <c r="H1327" s="83">
        <v>0.08333333333333333</v>
      </c>
      <c r="I1327" s="84">
        <v>44525.0</v>
      </c>
      <c r="J1327" s="65" t="b">
        <v>1</v>
      </c>
      <c r="K1327" s="65"/>
      <c r="L1327" s="85" t="b">
        <f>IF(VLOOKUP(C1327,Projetos!A:L,12,false)=TRUE,TRUE,FALSE)</f>
        <v>1</v>
      </c>
      <c r="M1327" s="74">
        <v>34.7706987012987</v>
      </c>
      <c r="N1327" s="74">
        <f t="shared" si="1"/>
        <v>69.5413974</v>
      </c>
      <c r="O1327" s="74" t="b">
        <v>1</v>
      </c>
    </row>
    <row r="1328" hidden="1">
      <c r="A1328" s="82"/>
      <c r="B1328" s="65" t="s">
        <v>750</v>
      </c>
      <c r="C1328" s="65" t="s">
        <v>100</v>
      </c>
      <c r="D1328" s="65"/>
      <c r="E1328" s="65" t="s">
        <v>769</v>
      </c>
      <c r="F1328" s="83">
        <v>0.5833333333333334</v>
      </c>
      <c r="G1328" s="83">
        <v>0.7083333333333334</v>
      </c>
      <c r="H1328" s="83">
        <v>0.125</v>
      </c>
      <c r="I1328" s="84">
        <v>44525.0</v>
      </c>
      <c r="J1328" s="65" t="b">
        <v>0</v>
      </c>
      <c r="K1328" s="65" t="s">
        <v>150</v>
      </c>
      <c r="L1328" s="85" t="b">
        <f>IF(VLOOKUP(C1328,Projetos!A:L,12,false)=TRUE,TRUE,FALSE)</f>
        <v>1</v>
      </c>
      <c r="M1328" s="74">
        <v>34.7706987012987</v>
      </c>
      <c r="N1328" s="74">
        <f t="shared" si="1"/>
        <v>0</v>
      </c>
      <c r="O1328" s="74" t="b">
        <v>1</v>
      </c>
    </row>
    <row r="1329" hidden="1">
      <c r="A1329" s="82"/>
      <c r="B1329" s="65" t="s">
        <v>750</v>
      </c>
      <c r="C1329" s="65" t="s">
        <v>85</v>
      </c>
      <c r="D1329" s="65" t="str">
        <f>vlookup(C1329,'Classificação p pessoal'!F:G,2,false)</f>
        <v>NP</v>
      </c>
      <c r="E1329" s="65" t="s">
        <v>159</v>
      </c>
      <c r="F1329" s="83">
        <v>0.4166666666666667</v>
      </c>
      <c r="G1329" s="83">
        <v>0.5</v>
      </c>
      <c r="H1329" s="83">
        <v>0.08333333333333333</v>
      </c>
      <c r="I1329" s="84">
        <v>44526.0</v>
      </c>
      <c r="J1329" s="65" t="b">
        <v>1</v>
      </c>
      <c r="K1329" s="65"/>
      <c r="L1329" s="85" t="b">
        <f>IF(VLOOKUP(C1329,Projetos!A:L,12,false)=TRUE,TRUE,FALSE)</f>
        <v>1</v>
      </c>
      <c r="M1329" s="74">
        <v>34.7706987012987</v>
      </c>
      <c r="N1329" s="74">
        <f t="shared" si="1"/>
        <v>69.5413974</v>
      </c>
      <c r="O1329" s="74" t="b">
        <v>1</v>
      </c>
    </row>
    <row r="1330" hidden="1">
      <c r="A1330" s="82"/>
      <c r="B1330" s="65" t="s">
        <v>750</v>
      </c>
      <c r="C1330" s="65" t="s">
        <v>98</v>
      </c>
      <c r="D1330" s="65" t="str">
        <f>vlookup(C1330,'Classificação p pessoal'!F:G,2,false)</f>
        <v>NP</v>
      </c>
      <c r="E1330" s="65" t="s">
        <v>159</v>
      </c>
      <c r="F1330" s="83">
        <v>0.5833333333333334</v>
      </c>
      <c r="G1330" s="83">
        <v>0.6666666666666666</v>
      </c>
      <c r="H1330" s="83">
        <v>0.08333333333333333</v>
      </c>
      <c r="I1330" s="84">
        <v>44526.0</v>
      </c>
      <c r="J1330" s="65" t="b">
        <v>1</v>
      </c>
      <c r="K1330" s="65"/>
      <c r="L1330" s="85" t="b">
        <f>IF(VLOOKUP(C1330,Projetos!A:L,12,false)=TRUE,TRUE,FALSE)</f>
        <v>1</v>
      </c>
      <c r="M1330" s="74">
        <v>34.7706987012987</v>
      </c>
      <c r="N1330" s="74">
        <f t="shared" si="1"/>
        <v>69.5413974</v>
      </c>
      <c r="O1330" s="74" t="b">
        <v>1</v>
      </c>
    </row>
    <row r="1331" hidden="1">
      <c r="A1331" s="82"/>
      <c r="B1331" s="65" t="s">
        <v>750</v>
      </c>
      <c r="C1331" s="65" t="s">
        <v>100</v>
      </c>
      <c r="D1331" s="65"/>
      <c r="E1331" s="65" t="s">
        <v>769</v>
      </c>
      <c r="F1331" s="83">
        <v>0.5416666666666666</v>
      </c>
      <c r="G1331" s="83">
        <v>0.75</v>
      </c>
      <c r="H1331" s="83">
        <v>0.20833333333333334</v>
      </c>
      <c r="I1331" s="84">
        <v>44529.0</v>
      </c>
      <c r="J1331" s="65" t="b">
        <v>0</v>
      </c>
      <c r="K1331" s="65" t="s">
        <v>150</v>
      </c>
      <c r="L1331" s="85" t="b">
        <f>IF(VLOOKUP(C1331,Projetos!A:L,12,false)=TRUE,TRUE,FALSE)</f>
        <v>1</v>
      </c>
      <c r="M1331" s="74">
        <v>34.7706987012987</v>
      </c>
      <c r="N1331" s="74">
        <f t="shared" si="1"/>
        <v>0</v>
      </c>
      <c r="O1331" s="74" t="b">
        <v>1</v>
      </c>
    </row>
    <row r="1332" hidden="1">
      <c r="A1332" s="82"/>
      <c r="B1332" s="65" t="s">
        <v>750</v>
      </c>
      <c r="C1332" s="65" t="s">
        <v>100</v>
      </c>
      <c r="D1332" s="65"/>
      <c r="E1332" s="65" t="s">
        <v>769</v>
      </c>
      <c r="F1332" s="83">
        <v>0.4166666666666667</v>
      </c>
      <c r="G1332" s="83">
        <v>0.7083333333333334</v>
      </c>
      <c r="H1332" s="83">
        <v>0.2916666666666667</v>
      </c>
      <c r="I1332" s="84">
        <v>44530.0</v>
      </c>
      <c r="J1332" s="65" t="b">
        <v>0</v>
      </c>
      <c r="K1332" s="65" t="s">
        <v>150</v>
      </c>
      <c r="L1332" s="85" t="b">
        <f>IF(VLOOKUP(C1332,Projetos!A:L,12,false)=TRUE,TRUE,FALSE)</f>
        <v>1</v>
      </c>
      <c r="M1332" s="74">
        <v>34.7706987012987</v>
      </c>
      <c r="N1332" s="74">
        <f t="shared" si="1"/>
        <v>0</v>
      </c>
      <c r="O1332" s="74" t="b">
        <v>1</v>
      </c>
    </row>
    <row r="1333" hidden="1">
      <c r="A1333" s="82"/>
      <c r="B1333" s="65" t="s">
        <v>750</v>
      </c>
      <c r="C1333" s="65" t="s">
        <v>107</v>
      </c>
      <c r="D1333" s="65" t="str">
        <f>vlookup(C1333,'Classificação p pessoal'!F:G,2,false)</f>
        <v>NP</v>
      </c>
      <c r="E1333" s="65" t="s">
        <v>770</v>
      </c>
      <c r="F1333" s="83">
        <v>0.4166666666666667</v>
      </c>
      <c r="G1333" s="83">
        <v>0.5</v>
      </c>
      <c r="H1333" s="83">
        <v>0.08333333333333333</v>
      </c>
      <c r="I1333" s="84">
        <v>44533.0</v>
      </c>
      <c r="J1333" s="65" t="b">
        <v>1</v>
      </c>
      <c r="K1333" s="65"/>
      <c r="L1333" s="85" t="b">
        <f>IF(VLOOKUP(C1333,Projetos!A:L,12,false)=TRUE,TRUE,FALSE)</f>
        <v>1</v>
      </c>
      <c r="M1333" s="74">
        <v>34.7706987012987</v>
      </c>
      <c r="N1333" s="74">
        <f t="shared" si="1"/>
        <v>69.5413974</v>
      </c>
      <c r="O1333" s="74" t="b">
        <v>1</v>
      </c>
    </row>
    <row r="1334" hidden="1">
      <c r="A1334" s="82"/>
      <c r="B1334" s="65" t="s">
        <v>750</v>
      </c>
      <c r="C1334" s="65" t="s">
        <v>107</v>
      </c>
      <c r="D1334" s="65" t="str">
        <f>vlookup(C1334,'Classificação p pessoal'!F:G,2,false)</f>
        <v>NP</v>
      </c>
      <c r="E1334" s="65" t="s">
        <v>770</v>
      </c>
      <c r="F1334" s="83">
        <v>0.375</v>
      </c>
      <c r="G1334" s="83">
        <v>0.5416666666666666</v>
      </c>
      <c r="H1334" s="83">
        <v>0.16666666666666666</v>
      </c>
      <c r="I1334" s="84">
        <v>44536.0</v>
      </c>
      <c r="J1334" s="65" t="b">
        <v>1</v>
      </c>
      <c r="K1334" s="65"/>
      <c r="L1334" s="85" t="b">
        <f>IF(VLOOKUP(C1334,Projetos!A:L,12,false)=TRUE,TRUE,FALSE)</f>
        <v>1</v>
      </c>
      <c r="M1334" s="74">
        <v>34.7706987012987</v>
      </c>
      <c r="N1334" s="74">
        <f t="shared" si="1"/>
        <v>139.0827948</v>
      </c>
      <c r="O1334" s="74" t="b">
        <v>1</v>
      </c>
    </row>
    <row r="1335" hidden="1">
      <c r="A1335" s="82"/>
      <c r="B1335" s="65" t="s">
        <v>750</v>
      </c>
      <c r="C1335" s="65" t="s">
        <v>107</v>
      </c>
      <c r="D1335" s="65" t="str">
        <f>vlookup(C1335,'Classificação p pessoal'!F:G,2,false)</f>
        <v>NP</v>
      </c>
      <c r="E1335" s="65" t="s">
        <v>770</v>
      </c>
      <c r="F1335" s="83">
        <v>0.5833333333333334</v>
      </c>
      <c r="G1335" s="83">
        <v>0.75</v>
      </c>
      <c r="H1335" s="83">
        <v>0.16666666666666666</v>
      </c>
      <c r="I1335" s="84">
        <v>44537.0</v>
      </c>
      <c r="J1335" s="65" t="b">
        <v>1</v>
      </c>
      <c r="K1335" s="65"/>
      <c r="L1335" s="85" t="b">
        <f>IF(VLOOKUP(C1335,Projetos!A:L,12,false)=TRUE,TRUE,FALSE)</f>
        <v>1</v>
      </c>
      <c r="M1335" s="74">
        <v>34.7706987012987</v>
      </c>
      <c r="N1335" s="74">
        <f t="shared" si="1"/>
        <v>139.0827948</v>
      </c>
      <c r="O1335" s="74" t="b">
        <v>1</v>
      </c>
    </row>
    <row r="1336" hidden="1">
      <c r="A1336" s="82"/>
      <c r="B1336" s="65" t="s">
        <v>750</v>
      </c>
      <c r="C1336" s="65" t="s">
        <v>107</v>
      </c>
      <c r="D1336" s="65" t="str">
        <f>vlookup(C1336,'Classificação p pessoal'!F:G,2,false)</f>
        <v>NP</v>
      </c>
      <c r="E1336" s="65" t="s">
        <v>770</v>
      </c>
      <c r="F1336" s="83">
        <v>0.5416666666666666</v>
      </c>
      <c r="G1336" s="83">
        <v>0.7083333333333334</v>
      </c>
      <c r="H1336" s="83">
        <v>0.16666666666666666</v>
      </c>
      <c r="I1336" s="84">
        <v>44538.0</v>
      </c>
      <c r="J1336" s="65" t="b">
        <v>1</v>
      </c>
      <c r="K1336" s="65"/>
      <c r="L1336" s="85" t="b">
        <f>IF(VLOOKUP(C1336,Projetos!A:L,12,false)=TRUE,TRUE,FALSE)</f>
        <v>1</v>
      </c>
      <c r="M1336" s="74">
        <v>34.7706987012987</v>
      </c>
      <c r="N1336" s="74">
        <f t="shared" si="1"/>
        <v>139.0827948</v>
      </c>
      <c r="O1336" s="74" t="b">
        <v>1</v>
      </c>
    </row>
    <row r="1337" hidden="1">
      <c r="A1337" s="82"/>
      <c r="B1337" s="65" t="s">
        <v>750</v>
      </c>
      <c r="C1337" s="65" t="s">
        <v>107</v>
      </c>
      <c r="D1337" s="65" t="str">
        <f>vlookup(C1337,'Classificação p pessoal'!F:G,2,false)</f>
        <v>NP</v>
      </c>
      <c r="E1337" s="65" t="s">
        <v>770</v>
      </c>
      <c r="F1337" s="83">
        <v>0.5833333333333334</v>
      </c>
      <c r="G1337" s="83">
        <v>0.6666666666666666</v>
      </c>
      <c r="H1337" s="83">
        <v>0.08333333333333333</v>
      </c>
      <c r="I1337" s="84">
        <v>44539.0</v>
      </c>
      <c r="J1337" s="65" t="b">
        <v>1</v>
      </c>
      <c r="K1337" s="65"/>
      <c r="L1337" s="85" t="b">
        <f>IF(VLOOKUP(C1337,Projetos!A:L,12,false)=TRUE,TRUE,FALSE)</f>
        <v>1</v>
      </c>
      <c r="M1337" s="74">
        <v>34.7706987012987</v>
      </c>
      <c r="N1337" s="74">
        <f t="shared" si="1"/>
        <v>69.5413974</v>
      </c>
      <c r="O1337" s="74" t="b">
        <v>1</v>
      </c>
    </row>
    <row r="1338" hidden="1">
      <c r="A1338" s="82"/>
      <c r="B1338" s="65" t="s">
        <v>750</v>
      </c>
      <c r="C1338" s="65" t="s">
        <v>102</v>
      </c>
      <c r="D1338" s="65" t="str">
        <f>vlookup(C1338,'Classificação p pessoal'!F:G,2,false)</f>
        <v>NP</v>
      </c>
      <c r="E1338" s="65" t="s">
        <v>762</v>
      </c>
      <c r="F1338" s="83">
        <v>0.6041666666666666</v>
      </c>
      <c r="G1338" s="83">
        <v>0.6458333333333334</v>
      </c>
      <c r="H1338" s="83">
        <v>0.041666666666666664</v>
      </c>
      <c r="I1338" s="84">
        <v>44546.0</v>
      </c>
      <c r="J1338" s="65" t="b">
        <v>1</v>
      </c>
      <c r="K1338" s="65"/>
      <c r="L1338" s="85" t="b">
        <f>IF(VLOOKUP(C1338,Projetos!A:L,12,false)=TRUE,TRUE,FALSE)</f>
        <v>1</v>
      </c>
      <c r="M1338" s="74">
        <v>34.7706987012987</v>
      </c>
      <c r="N1338" s="74">
        <f t="shared" si="1"/>
        <v>34.7706987</v>
      </c>
      <c r="O1338" s="74" t="b">
        <v>1</v>
      </c>
    </row>
    <row r="1339" hidden="1">
      <c r="A1339" s="82"/>
      <c r="B1339" s="65" t="s">
        <v>750</v>
      </c>
      <c r="C1339" s="65" t="s">
        <v>85</v>
      </c>
      <c r="D1339" s="65" t="str">
        <f>vlookup(C1339,'Classificação p pessoal'!F:G,2,false)</f>
        <v>NP</v>
      </c>
      <c r="E1339" s="65" t="s">
        <v>159</v>
      </c>
      <c r="F1339" s="83">
        <v>0.6666666666666666</v>
      </c>
      <c r="G1339" s="83">
        <v>0.75</v>
      </c>
      <c r="H1339" s="83">
        <v>0.08333333333333333</v>
      </c>
      <c r="I1339" s="84">
        <v>44551.0</v>
      </c>
      <c r="J1339" s="65" t="b">
        <v>1</v>
      </c>
      <c r="K1339" s="65"/>
      <c r="L1339" s="85" t="b">
        <f>IF(VLOOKUP(C1339,Projetos!A:L,12,false)=TRUE,TRUE,FALSE)</f>
        <v>1</v>
      </c>
      <c r="M1339" s="74">
        <v>34.7706987012987</v>
      </c>
      <c r="N1339" s="74">
        <f t="shared" si="1"/>
        <v>69.5413974</v>
      </c>
      <c r="O1339" s="74" t="b">
        <v>1</v>
      </c>
    </row>
    <row r="1340" hidden="1">
      <c r="A1340" s="82"/>
      <c r="B1340" s="65" t="s">
        <v>750</v>
      </c>
      <c r="C1340" s="65" t="s">
        <v>85</v>
      </c>
      <c r="D1340" s="65" t="str">
        <f>vlookup(C1340,'Classificação p pessoal'!F:G,2,false)</f>
        <v>NP</v>
      </c>
      <c r="E1340" s="65" t="s">
        <v>159</v>
      </c>
      <c r="F1340" s="83">
        <v>0.5416666666666666</v>
      </c>
      <c r="G1340" s="83">
        <v>0.7083333333333334</v>
      </c>
      <c r="H1340" s="83">
        <v>0.16666666666666666</v>
      </c>
      <c r="I1340" s="84">
        <v>44552.0</v>
      </c>
      <c r="J1340" s="65" t="b">
        <v>1</v>
      </c>
      <c r="K1340" s="65"/>
      <c r="L1340" s="85" t="b">
        <f>IF(VLOOKUP(C1340,Projetos!A:L,12,false)=TRUE,TRUE,FALSE)</f>
        <v>1</v>
      </c>
      <c r="M1340" s="74">
        <v>34.7706987012987</v>
      </c>
      <c r="N1340" s="74">
        <f t="shared" si="1"/>
        <v>139.0827948</v>
      </c>
      <c r="O1340" s="74" t="b">
        <v>1</v>
      </c>
    </row>
    <row r="1341" hidden="1">
      <c r="A1341" s="82"/>
      <c r="B1341" s="65" t="s">
        <v>750</v>
      </c>
      <c r="C1341" s="65" t="s">
        <v>85</v>
      </c>
      <c r="D1341" s="65" t="str">
        <f>vlookup(C1341,'Classificação p pessoal'!F:G,2,false)</f>
        <v>NP</v>
      </c>
      <c r="E1341" s="65" t="s">
        <v>159</v>
      </c>
      <c r="F1341" s="83">
        <v>0.5833333333333334</v>
      </c>
      <c r="G1341" s="83">
        <v>0.75</v>
      </c>
      <c r="H1341" s="83">
        <v>0.16666666666666666</v>
      </c>
      <c r="I1341" s="84">
        <v>44553.0</v>
      </c>
      <c r="J1341" s="65" t="b">
        <v>1</v>
      </c>
      <c r="K1341" s="65"/>
      <c r="L1341" s="85" t="b">
        <f>IF(VLOOKUP(C1341,Projetos!A:L,12,false)=TRUE,TRUE,FALSE)</f>
        <v>1</v>
      </c>
      <c r="M1341" s="74">
        <v>34.7706987012987</v>
      </c>
      <c r="N1341" s="74">
        <f t="shared" si="1"/>
        <v>139.0827948</v>
      </c>
      <c r="O1341" s="74" t="b">
        <v>1</v>
      </c>
    </row>
    <row r="1342" hidden="1">
      <c r="A1342" s="82"/>
      <c r="B1342" s="65" t="s">
        <v>750</v>
      </c>
      <c r="C1342" s="65" t="s">
        <v>85</v>
      </c>
      <c r="D1342" s="65" t="str">
        <f>vlookup(C1342,'Classificação p pessoal'!F:G,2,false)</f>
        <v>NP</v>
      </c>
      <c r="E1342" s="65" t="s">
        <v>159</v>
      </c>
      <c r="F1342" s="83">
        <v>0.4166666666666667</v>
      </c>
      <c r="G1342" s="83">
        <v>0.5</v>
      </c>
      <c r="H1342" s="83">
        <v>0.08333333333333333</v>
      </c>
      <c r="I1342" s="84">
        <v>44558.0</v>
      </c>
      <c r="J1342" s="65" t="b">
        <v>1</v>
      </c>
      <c r="K1342" s="65"/>
      <c r="L1342" s="85" t="b">
        <f>IF(VLOOKUP(C1342,Projetos!A:L,12,false)=TRUE,TRUE,FALSE)</f>
        <v>1</v>
      </c>
      <c r="M1342" s="74">
        <v>34.7706987012987</v>
      </c>
      <c r="N1342" s="74">
        <f t="shared" si="1"/>
        <v>69.5413974</v>
      </c>
      <c r="O1342" s="74" t="b">
        <v>1</v>
      </c>
    </row>
    <row r="1343" hidden="1">
      <c r="A1343" s="82"/>
      <c r="B1343" s="65" t="s">
        <v>750</v>
      </c>
      <c r="C1343" s="65" t="s">
        <v>85</v>
      </c>
      <c r="D1343" s="65" t="str">
        <f>vlookup(C1343,'Classificação p pessoal'!F:G,2,false)</f>
        <v>NP</v>
      </c>
      <c r="E1343" s="65" t="s">
        <v>159</v>
      </c>
      <c r="F1343" s="83">
        <v>0.5833333333333334</v>
      </c>
      <c r="G1343" s="83">
        <v>0.7083333333333334</v>
      </c>
      <c r="H1343" s="83">
        <v>0.125</v>
      </c>
      <c r="I1343" s="84">
        <v>44559.0</v>
      </c>
      <c r="J1343" s="65" t="b">
        <v>1</v>
      </c>
      <c r="K1343" s="65"/>
      <c r="L1343" s="85" t="b">
        <f>IF(VLOOKUP(C1343,Projetos!A:L,12,false)=TRUE,TRUE,FALSE)</f>
        <v>1</v>
      </c>
      <c r="M1343" s="74">
        <v>34.7706987012987</v>
      </c>
      <c r="N1343" s="74">
        <f t="shared" si="1"/>
        <v>104.3120961</v>
      </c>
      <c r="O1343" s="74" t="b">
        <v>1</v>
      </c>
    </row>
    <row r="1344" hidden="1">
      <c r="A1344" s="82"/>
      <c r="B1344" s="65" t="s">
        <v>750</v>
      </c>
      <c r="C1344" s="65" t="s">
        <v>85</v>
      </c>
      <c r="D1344" s="65" t="str">
        <f>vlookup(C1344,'Classificação p pessoal'!F:G,2,false)</f>
        <v>NP</v>
      </c>
      <c r="E1344" s="65" t="s">
        <v>159</v>
      </c>
      <c r="F1344" s="83">
        <v>0.375</v>
      </c>
      <c r="G1344" s="83">
        <v>0.5</v>
      </c>
      <c r="H1344" s="83">
        <v>0.125</v>
      </c>
      <c r="I1344" s="84">
        <v>44560.0</v>
      </c>
      <c r="J1344" s="65" t="b">
        <v>1</v>
      </c>
      <c r="K1344" s="65"/>
      <c r="L1344" s="85" t="b">
        <f>IF(VLOOKUP(C1344,Projetos!A:L,12,false)=TRUE,TRUE,FALSE)</f>
        <v>1</v>
      </c>
      <c r="M1344" s="74">
        <v>34.7706987012987</v>
      </c>
      <c r="N1344" s="74">
        <f t="shared" si="1"/>
        <v>104.3120961</v>
      </c>
      <c r="O1344" s="74" t="b">
        <v>1</v>
      </c>
    </row>
    <row r="1345" hidden="1">
      <c r="A1345" s="82"/>
      <c r="B1345" s="65" t="s">
        <v>750</v>
      </c>
      <c r="C1345" s="65" t="s">
        <v>85</v>
      </c>
      <c r="D1345" s="65" t="str">
        <f>vlookup(C1345,'Classificação p pessoal'!F:G,2,false)</f>
        <v>NP</v>
      </c>
      <c r="E1345" s="65" t="s">
        <v>752</v>
      </c>
      <c r="F1345" s="83">
        <v>0.375</v>
      </c>
      <c r="G1345" s="83">
        <v>0.5</v>
      </c>
      <c r="H1345" s="83">
        <v>0.125</v>
      </c>
      <c r="I1345" s="84">
        <v>44231.0</v>
      </c>
      <c r="J1345" s="65" t="b">
        <v>1</v>
      </c>
      <c r="K1345" s="65"/>
      <c r="L1345" s="85" t="b">
        <f>IF(VLOOKUP(C1345,Projetos!A:L,12,false)=TRUE,TRUE,FALSE)</f>
        <v>1</v>
      </c>
      <c r="M1345" s="74">
        <v>34.7706987012987</v>
      </c>
      <c r="N1345" s="74">
        <f t="shared" si="1"/>
        <v>104.3120961</v>
      </c>
      <c r="O1345" s="74" t="b">
        <v>1</v>
      </c>
    </row>
    <row r="1346" hidden="1">
      <c r="A1346" s="82"/>
      <c r="B1346" s="65" t="s">
        <v>495</v>
      </c>
      <c r="C1346" s="65" t="s">
        <v>117</v>
      </c>
      <c r="D1346" s="65" t="str">
        <f>vlookup(C1346,'Classificação p pessoal'!F:G,2,false)</f>
        <v>NP</v>
      </c>
      <c r="E1346" s="65" t="s">
        <v>771</v>
      </c>
      <c r="F1346" s="83">
        <v>0.3958333333333333</v>
      </c>
      <c r="G1346" s="83">
        <v>0.4375</v>
      </c>
      <c r="H1346" s="83">
        <v>0.041666666666666664</v>
      </c>
      <c r="I1346" s="84">
        <v>44543.0</v>
      </c>
      <c r="J1346" s="65" t="b">
        <v>1</v>
      </c>
      <c r="K1346" s="65"/>
      <c r="L1346" s="85" t="b">
        <f>IF(VLOOKUP(C1346,Projetos!A:L,12,false)=TRUE,TRUE,FALSE)</f>
        <v>1</v>
      </c>
      <c r="M1346" s="74">
        <v>73.7079846079846</v>
      </c>
      <c r="N1346" s="74">
        <f t="shared" si="1"/>
        <v>73.70798461</v>
      </c>
      <c r="O1346" s="74" t="b">
        <v>1</v>
      </c>
    </row>
    <row r="1347" hidden="1">
      <c r="A1347" s="82"/>
      <c r="B1347" s="65" t="s">
        <v>495</v>
      </c>
      <c r="C1347" s="65" t="s">
        <v>92</v>
      </c>
      <c r="D1347" s="65" t="str">
        <f>vlookup(C1347,'Classificação p pessoal'!F:G,2,false)</f>
        <v/>
      </c>
      <c r="E1347" s="65" t="s">
        <v>772</v>
      </c>
      <c r="F1347" s="83">
        <v>0.4652777777777778</v>
      </c>
      <c r="G1347" s="83">
        <v>0.5277777777777778</v>
      </c>
      <c r="H1347" s="83">
        <v>0.0625</v>
      </c>
      <c r="I1347" s="84">
        <v>44369.0</v>
      </c>
      <c r="J1347" s="65" t="b">
        <v>1</v>
      </c>
      <c r="K1347" s="65"/>
      <c r="L1347" s="85" t="b">
        <f>IF(VLOOKUP(C1347,Projetos!A:L,12,false)=TRUE,TRUE,FALSE)</f>
        <v>1</v>
      </c>
      <c r="M1347" s="74">
        <v>73.7079846079846</v>
      </c>
      <c r="N1347" s="74">
        <f t="shared" si="1"/>
        <v>110.5619769</v>
      </c>
      <c r="O1347" s="74" t="b">
        <v>1</v>
      </c>
    </row>
    <row r="1348" hidden="1">
      <c r="A1348" s="82"/>
      <c r="B1348" s="65" t="s">
        <v>495</v>
      </c>
      <c r="C1348" s="65" t="s">
        <v>92</v>
      </c>
      <c r="D1348" s="65" t="str">
        <f>vlookup(C1348,'Classificação p pessoal'!F:G,2,false)</f>
        <v/>
      </c>
      <c r="E1348" s="65" t="s">
        <v>772</v>
      </c>
      <c r="F1348" s="83">
        <v>0.625</v>
      </c>
      <c r="G1348" s="83">
        <v>0.7083333333333334</v>
      </c>
      <c r="H1348" s="83">
        <v>0.08333333333333333</v>
      </c>
      <c r="I1348" s="84">
        <v>44370.0</v>
      </c>
      <c r="J1348" s="65" t="b">
        <v>1</v>
      </c>
      <c r="K1348" s="65"/>
      <c r="L1348" s="85" t="b">
        <f>IF(VLOOKUP(C1348,Projetos!A:L,12,false)=TRUE,TRUE,FALSE)</f>
        <v>1</v>
      </c>
      <c r="M1348" s="74">
        <v>73.7079846079846</v>
      </c>
      <c r="N1348" s="74">
        <f t="shared" si="1"/>
        <v>147.4159692</v>
      </c>
      <c r="O1348" s="74" t="b">
        <v>1</v>
      </c>
    </row>
    <row r="1349" hidden="1">
      <c r="A1349" s="82"/>
      <c r="B1349" s="65" t="s">
        <v>495</v>
      </c>
      <c r="C1349" s="65" t="s">
        <v>92</v>
      </c>
      <c r="D1349" s="65" t="str">
        <f>vlookup(C1349,'Classificação p pessoal'!F:G,2,false)</f>
        <v/>
      </c>
      <c r="E1349" s="65" t="s">
        <v>773</v>
      </c>
      <c r="F1349" s="83">
        <v>0.3541666666666667</v>
      </c>
      <c r="G1349" s="83">
        <v>0.3958333333333333</v>
      </c>
      <c r="H1349" s="83">
        <v>0.041666666666666664</v>
      </c>
      <c r="I1349" s="84">
        <v>43852.0</v>
      </c>
      <c r="J1349" s="65" t="b">
        <v>1</v>
      </c>
      <c r="K1349" s="65"/>
      <c r="L1349" s="85" t="b">
        <f>IF(VLOOKUP(C1349,Projetos!A:L,12,false)=TRUE,TRUE,FALSE)</f>
        <v>1</v>
      </c>
      <c r="M1349" s="74">
        <v>73.7079846079846</v>
      </c>
      <c r="N1349" s="74">
        <f t="shared" si="1"/>
        <v>73.70798461</v>
      </c>
      <c r="O1349" s="74" t="b">
        <v>1</v>
      </c>
    </row>
    <row r="1350" hidden="1">
      <c r="A1350" s="82"/>
      <c r="B1350" s="65" t="s">
        <v>495</v>
      </c>
      <c r="C1350" s="65" t="s">
        <v>130</v>
      </c>
      <c r="D1350" s="65" t="str">
        <f>vlookup(C1350,'Classificação p pessoal'!F:G,2,false)</f>
        <v>NP</v>
      </c>
      <c r="E1350" s="65" t="s">
        <v>774</v>
      </c>
      <c r="F1350" s="83">
        <v>0.5833333333333334</v>
      </c>
      <c r="G1350" s="83">
        <v>0.6354166666666666</v>
      </c>
      <c r="H1350" s="83">
        <v>0.052083333333333336</v>
      </c>
      <c r="I1350" s="84">
        <v>44349.0</v>
      </c>
      <c r="J1350" s="65" t="b">
        <v>1</v>
      </c>
      <c r="K1350" s="65"/>
      <c r="L1350" s="85" t="b">
        <f>IF(VLOOKUP(C1350,Projetos!A:L,12,false)=TRUE,TRUE,FALSE)</f>
        <v>1</v>
      </c>
      <c r="M1350" s="74">
        <v>73.7079846079846</v>
      </c>
      <c r="N1350" s="74">
        <f t="shared" si="1"/>
        <v>92.13498076</v>
      </c>
      <c r="O1350" s="74" t="b">
        <v>1</v>
      </c>
    </row>
    <row r="1351" hidden="1">
      <c r="A1351" s="82"/>
      <c r="B1351" s="65" t="s">
        <v>495</v>
      </c>
      <c r="C1351" s="65" t="s">
        <v>92</v>
      </c>
      <c r="D1351" s="65"/>
      <c r="E1351" s="65" t="s">
        <v>775</v>
      </c>
      <c r="F1351" s="83">
        <v>0.375</v>
      </c>
      <c r="G1351" s="83">
        <v>0.4409722222222222</v>
      </c>
      <c r="H1351" s="83">
        <v>0.06597222222222222</v>
      </c>
      <c r="I1351" s="84">
        <v>44442.0</v>
      </c>
      <c r="J1351" s="65" t="b">
        <v>0</v>
      </c>
      <c r="K1351" s="65" t="s">
        <v>150</v>
      </c>
      <c r="L1351" s="85" t="b">
        <f>IF(VLOOKUP(C1351,Projetos!A:L,12,false)=TRUE,TRUE,FALSE)</f>
        <v>1</v>
      </c>
      <c r="M1351" s="74">
        <v>73.7079846079846</v>
      </c>
      <c r="N1351" s="74">
        <f t="shared" si="1"/>
        <v>0</v>
      </c>
      <c r="O1351" s="74" t="b">
        <v>1</v>
      </c>
    </row>
    <row r="1352" hidden="1">
      <c r="A1352" s="82"/>
      <c r="B1352" s="65" t="s">
        <v>495</v>
      </c>
      <c r="C1352" s="65" t="s">
        <v>92</v>
      </c>
      <c r="D1352" s="65"/>
      <c r="E1352" s="65" t="s">
        <v>775</v>
      </c>
      <c r="F1352" s="83">
        <v>0.625</v>
      </c>
      <c r="G1352" s="83">
        <v>0.6875</v>
      </c>
      <c r="H1352" s="83">
        <v>0.0625</v>
      </c>
      <c r="I1352" s="84">
        <v>44448.0</v>
      </c>
      <c r="J1352" s="65" t="b">
        <v>0</v>
      </c>
      <c r="K1352" s="65" t="s">
        <v>150</v>
      </c>
      <c r="L1352" s="85" t="b">
        <f>IF(VLOOKUP(C1352,Projetos!A:L,12,false)=TRUE,TRUE,FALSE)</f>
        <v>1</v>
      </c>
      <c r="M1352" s="74">
        <v>73.7079846079846</v>
      </c>
      <c r="N1352" s="74">
        <f t="shared" si="1"/>
        <v>0</v>
      </c>
      <c r="O1352" s="74" t="b">
        <v>1</v>
      </c>
    </row>
    <row r="1353" hidden="1">
      <c r="A1353" s="82"/>
      <c r="B1353" s="65" t="s">
        <v>495</v>
      </c>
      <c r="C1353" s="65" t="s">
        <v>92</v>
      </c>
      <c r="D1353" s="65"/>
      <c r="E1353" s="65" t="s">
        <v>199</v>
      </c>
      <c r="F1353" s="83">
        <v>0.5729166666666666</v>
      </c>
      <c r="G1353" s="83">
        <v>0.6354166666666666</v>
      </c>
      <c r="H1353" s="83">
        <v>0.0625</v>
      </c>
      <c r="I1353" s="84">
        <v>44425.0</v>
      </c>
      <c r="J1353" s="65" t="b">
        <v>0</v>
      </c>
      <c r="K1353" s="65" t="s">
        <v>150</v>
      </c>
      <c r="L1353" s="85" t="b">
        <f>IF(VLOOKUP(C1353,Projetos!A:L,12,false)=TRUE,TRUE,FALSE)</f>
        <v>1</v>
      </c>
      <c r="M1353" s="74">
        <v>73.7079846079846</v>
      </c>
      <c r="N1353" s="74">
        <f t="shared" si="1"/>
        <v>0</v>
      </c>
      <c r="O1353" s="74" t="b">
        <v>1</v>
      </c>
    </row>
    <row r="1354" hidden="1">
      <c r="A1354" s="82"/>
      <c r="B1354" s="65" t="s">
        <v>495</v>
      </c>
      <c r="C1354" s="65" t="s">
        <v>92</v>
      </c>
      <c r="D1354" s="65"/>
      <c r="E1354" s="65" t="s">
        <v>199</v>
      </c>
      <c r="F1354" s="83">
        <v>0.6666666666666666</v>
      </c>
      <c r="G1354" s="83">
        <v>0.7083333333333334</v>
      </c>
      <c r="H1354" s="83">
        <v>0.041666666666666664</v>
      </c>
      <c r="I1354" s="84">
        <v>44519.0</v>
      </c>
      <c r="J1354" s="65" t="b">
        <v>0</v>
      </c>
      <c r="K1354" s="65" t="s">
        <v>150</v>
      </c>
      <c r="L1354" s="85" t="b">
        <f>IF(VLOOKUP(C1354,Projetos!A:L,12,false)=TRUE,TRUE,FALSE)</f>
        <v>1</v>
      </c>
      <c r="M1354" s="74">
        <v>73.7079846079846</v>
      </c>
      <c r="N1354" s="74">
        <f t="shared" si="1"/>
        <v>0</v>
      </c>
      <c r="O1354" s="74" t="b">
        <v>1</v>
      </c>
    </row>
    <row r="1355" hidden="1">
      <c r="A1355" s="82"/>
      <c r="B1355" s="65" t="s">
        <v>495</v>
      </c>
      <c r="C1355" s="65" t="s">
        <v>92</v>
      </c>
      <c r="D1355" s="65"/>
      <c r="E1355" s="65" t="s">
        <v>776</v>
      </c>
      <c r="F1355" s="83">
        <v>0.3958333333333333</v>
      </c>
      <c r="G1355" s="83">
        <v>0.4409722222222222</v>
      </c>
      <c r="H1355" s="83">
        <v>0.04513888888888889</v>
      </c>
      <c r="I1355" s="84">
        <v>44439.0</v>
      </c>
      <c r="J1355" s="65" t="b">
        <v>0</v>
      </c>
      <c r="K1355" s="65" t="s">
        <v>150</v>
      </c>
      <c r="L1355" s="85" t="b">
        <f>IF(VLOOKUP(C1355,Projetos!A:L,12,false)=TRUE,TRUE,FALSE)</f>
        <v>1</v>
      </c>
      <c r="M1355" s="74">
        <v>73.7079846079846</v>
      </c>
      <c r="N1355" s="74">
        <f t="shared" si="1"/>
        <v>0</v>
      </c>
      <c r="O1355" s="74" t="b">
        <v>1</v>
      </c>
    </row>
    <row r="1356" hidden="1">
      <c r="A1356" s="82"/>
      <c r="B1356" s="65" t="s">
        <v>495</v>
      </c>
      <c r="C1356" s="65" t="s">
        <v>92</v>
      </c>
      <c r="D1356" s="65"/>
      <c r="E1356" s="65" t="s">
        <v>777</v>
      </c>
      <c r="F1356" s="83">
        <v>0.3854166666666667</v>
      </c>
      <c r="G1356" s="83">
        <v>0.4444444444444444</v>
      </c>
      <c r="H1356" s="83">
        <v>0.059027777777777776</v>
      </c>
      <c r="I1356" s="84">
        <v>44369.0</v>
      </c>
      <c r="J1356" s="65" t="b">
        <v>0</v>
      </c>
      <c r="K1356" s="65" t="s">
        <v>187</v>
      </c>
      <c r="L1356" s="85" t="b">
        <f>IF(VLOOKUP(C1356,Projetos!A:L,12,false)=TRUE,TRUE,FALSE)</f>
        <v>1</v>
      </c>
      <c r="M1356" s="74">
        <v>73.7079846079846</v>
      </c>
      <c r="N1356" s="74">
        <f t="shared" si="1"/>
        <v>0</v>
      </c>
      <c r="O1356" s="74" t="b">
        <v>1</v>
      </c>
    </row>
    <row r="1357" hidden="1">
      <c r="A1357" s="82"/>
      <c r="B1357" s="65" t="s">
        <v>495</v>
      </c>
      <c r="C1357" s="65" t="s">
        <v>92</v>
      </c>
      <c r="D1357" s="65"/>
      <c r="E1357" s="65" t="s">
        <v>778</v>
      </c>
      <c r="F1357" s="83">
        <v>0.375</v>
      </c>
      <c r="G1357" s="83">
        <v>0.4166666666666667</v>
      </c>
      <c r="H1357" s="83">
        <v>0.041666666666666664</v>
      </c>
      <c r="I1357" s="84">
        <v>44375.0</v>
      </c>
      <c r="J1357" s="65" t="b">
        <v>0</v>
      </c>
      <c r="K1357" s="65" t="s">
        <v>150</v>
      </c>
      <c r="L1357" s="85" t="b">
        <f>IF(VLOOKUP(C1357,Projetos!A:L,12,false)=TRUE,TRUE,FALSE)</f>
        <v>1</v>
      </c>
      <c r="M1357" s="74">
        <v>73.7079846079846</v>
      </c>
      <c r="N1357" s="74">
        <f t="shared" si="1"/>
        <v>0</v>
      </c>
      <c r="O1357" s="74" t="b">
        <v>1</v>
      </c>
    </row>
    <row r="1358" hidden="1">
      <c r="A1358" s="82"/>
      <c r="B1358" s="65" t="s">
        <v>495</v>
      </c>
      <c r="C1358" s="65" t="s">
        <v>92</v>
      </c>
      <c r="D1358" s="65"/>
      <c r="E1358" s="65" t="s">
        <v>779</v>
      </c>
      <c r="F1358" s="83">
        <v>0.6666666666666666</v>
      </c>
      <c r="G1358" s="83">
        <v>0.7083333333333334</v>
      </c>
      <c r="H1358" s="83">
        <v>0.041666666666666664</v>
      </c>
      <c r="I1358" s="84">
        <v>44526.0</v>
      </c>
      <c r="J1358" s="65" t="b">
        <v>0</v>
      </c>
      <c r="K1358" s="65" t="s">
        <v>187</v>
      </c>
      <c r="L1358" s="85" t="b">
        <f>IF(VLOOKUP(C1358,Projetos!A:L,12,false)=TRUE,TRUE,FALSE)</f>
        <v>1</v>
      </c>
      <c r="M1358" s="74">
        <v>73.7079846079846</v>
      </c>
      <c r="N1358" s="74">
        <f t="shared" si="1"/>
        <v>0</v>
      </c>
      <c r="O1358" s="74" t="b">
        <v>1</v>
      </c>
    </row>
    <row r="1359" hidden="1">
      <c r="A1359" s="82"/>
      <c r="B1359" s="65" t="s">
        <v>495</v>
      </c>
      <c r="C1359" s="65" t="s">
        <v>92</v>
      </c>
      <c r="D1359" s="65" t="str">
        <f>vlookup(C1359,'Classificação p pessoal'!F:G,2,false)</f>
        <v/>
      </c>
      <c r="E1359" s="65" t="s">
        <v>780</v>
      </c>
      <c r="F1359" s="83">
        <v>0.4375</v>
      </c>
      <c r="G1359" s="83">
        <v>0.5069444444444444</v>
      </c>
      <c r="H1359" s="83">
        <v>0.06944444444444445</v>
      </c>
      <c r="I1359" s="84">
        <v>44397.0</v>
      </c>
      <c r="J1359" s="65" t="b">
        <v>1</v>
      </c>
      <c r="K1359" s="65"/>
      <c r="L1359" s="85" t="b">
        <f>IF(VLOOKUP(C1359,Projetos!A:L,12,false)=TRUE,TRUE,FALSE)</f>
        <v>1</v>
      </c>
      <c r="M1359" s="74">
        <v>73.7079846079846</v>
      </c>
      <c r="N1359" s="74">
        <f t="shared" si="1"/>
        <v>122.846641</v>
      </c>
      <c r="O1359" s="74" t="b">
        <v>1</v>
      </c>
    </row>
    <row r="1360" hidden="1">
      <c r="A1360" s="82"/>
      <c r="B1360" s="65" t="s">
        <v>495</v>
      </c>
      <c r="C1360" s="65" t="s">
        <v>108</v>
      </c>
      <c r="D1360" s="65" t="str">
        <f>vlookup(C1360,'Classificação p pessoal'!F:G,2,false)</f>
        <v>NP</v>
      </c>
      <c r="E1360" s="65" t="s">
        <v>781</v>
      </c>
      <c r="F1360" s="83">
        <v>0.625</v>
      </c>
      <c r="G1360" s="83">
        <v>0.6458333333333334</v>
      </c>
      <c r="H1360" s="83">
        <v>0.020833333333333332</v>
      </c>
      <c r="I1360" s="84">
        <v>44467.0</v>
      </c>
      <c r="J1360" s="65" t="b">
        <v>1</v>
      </c>
      <c r="K1360" s="65"/>
      <c r="L1360" s="85" t="b">
        <f>IF(VLOOKUP(C1360,Projetos!A:L,12,false)=TRUE,TRUE,FALSE)</f>
        <v>1</v>
      </c>
      <c r="M1360" s="74">
        <v>73.7079846079846</v>
      </c>
      <c r="N1360" s="74">
        <f t="shared" si="1"/>
        <v>36.8539923</v>
      </c>
      <c r="O1360" s="74" t="b">
        <v>1</v>
      </c>
    </row>
    <row r="1361" hidden="1">
      <c r="A1361" s="82"/>
      <c r="B1361" s="65" t="s">
        <v>495</v>
      </c>
      <c r="C1361" s="65" t="s">
        <v>117</v>
      </c>
      <c r="D1361" s="65"/>
      <c r="E1361" s="65" t="s">
        <v>782</v>
      </c>
      <c r="F1361" s="83">
        <v>0.5</v>
      </c>
      <c r="G1361" s="83">
        <v>0.5208333333333334</v>
      </c>
      <c r="H1361" s="83">
        <v>0.020833333333333332</v>
      </c>
      <c r="I1361" s="84">
        <v>44386.0</v>
      </c>
      <c r="J1361" s="65" t="b">
        <v>0</v>
      </c>
      <c r="K1361" s="65"/>
      <c r="L1361" s="85" t="b">
        <f>IF(VLOOKUP(C1361,Projetos!A:L,12,false)=TRUE,TRUE,FALSE)</f>
        <v>1</v>
      </c>
      <c r="M1361" s="74">
        <v>73.7079846079846</v>
      </c>
      <c r="N1361" s="74">
        <f t="shared" si="1"/>
        <v>0</v>
      </c>
      <c r="O1361" s="74" t="b">
        <v>1</v>
      </c>
    </row>
    <row r="1362" hidden="1">
      <c r="A1362" s="82"/>
      <c r="B1362" s="65" t="s">
        <v>495</v>
      </c>
      <c r="C1362" s="65" t="s">
        <v>100</v>
      </c>
      <c r="D1362" s="65" t="str">
        <f>vlookup(C1362,'Classificação p pessoal'!F:G,2,false)</f>
        <v>NP</v>
      </c>
      <c r="E1362" s="65" t="s">
        <v>783</v>
      </c>
      <c r="F1362" s="83">
        <v>0.4375</v>
      </c>
      <c r="G1362" s="83">
        <v>0.4583333333333333</v>
      </c>
      <c r="H1362" s="83">
        <v>0.020833333333333332</v>
      </c>
      <c r="I1362" s="84">
        <v>44424.0</v>
      </c>
      <c r="J1362" s="65" t="b">
        <v>1</v>
      </c>
      <c r="K1362" s="65"/>
      <c r="L1362" s="85" t="b">
        <f>IF(VLOOKUP(C1362,Projetos!A:L,12,false)=TRUE,TRUE,FALSE)</f>
        <v>1</v>
      </c>
      <c r="M1362" s="74">
        <v>73.7079846079846</v>
      </c>
      <c r="N1362" s="74">
        <f t="shared" si="1"/>
        <v>36.8539923</v>
      </c>
      <c r="O1362" s="74" t="b">
        <v>1</v>
      </c>
    </row>
    <row r="1363" hidden="1">
      <c r="A1363" s="82"/>
      <c r="B1363" s="65" t="s">
        <v>495</v>
      </c>
      <c r="C1363" s="65" t="s">
        <v>108</v>
      </c>
      <c r="D1363" s="65"/>
      <c r="E1363" s="65" t="s">
        <v>784</v>
      </c>
      <c r="F1363" s="83">
        <v>0.6111111111111112</v>
      </c>
      <c r="G1363" s="83">
        <v>0.6666666666666666</v>
      </c>
      <c r="H1363" s="83">
        <v>0.05555555555555555</v>
      </c>
      <c r="I1363" s="84">
        <v>44358.0</v>
      </c>
      <c r="J1363" s="65" t="b">
        <v>0</v>
      </c>
      <c r="K1363" s="65"/>
      <c r="L1363" s="85" t="b">
        <f>IF(VLOOKUP(C1363,Projetos!A:L,12,false)=TRUE,TRUE,FALSE)</f>
        <v>1</v>
      </c>
      <c r="M1363" s="74">
        <v>73.7079846079846</v>
      </c>
      <c r="N1363" s="74">
        <f t="shared" si="1"/>
        <v>0</v>
      </c>
      <c r="O1363" s="74" t="b">
        <v>1</v>
      </c>
    </row>
    <row r="1364" hidden="1">
      <c r="A1364" s="82"/>
      <c r="B1364" s="65" t="s">
        <v>495</v>
      </c>
      <c r="C1364" s="65" t="s">
        <v>92</v>
      </c>
      <c r="D1364" s="65" t="str">
        <f>vlookup(C1364,'Classificação p pessoal'!F:G,2,false)</f>
        <v/>
      </c>
      <c r="E1364" s="65" t="s">
        <v>785</v>
      </c>
      <c r="F1364" s="83">
        <v>0.7083333333333334</v>
      </c>
      <c r="G1364" s="83">
        <v>0.75</v>
      </c>
      <c r="H1364" s="83">
        <v>0.041666666666666664</v>
      </c>
      <c r="I1364" s="84">
        <v>44355.0</v>
      </c>
      <c r="J1364" s="65" t="b">
        <v>1</v>
      </c>
      <c r="K1364" s="65"/>
      <c r="L1364" s="85" t="b">
        <f>IF(VLOOKUP(C1364,Projetos!A:L,12,false)=TRUE,TRUE,FALSE)</f>
        <v>1</v>
      </c>
      <c r="M1364" s="74">
        <v>73.7079846079846</v>
      </c>
      <c r="N1364" s="74">
        <f t="shared" si="1"/>
        <v>73.70798461</v>
      </c>
      <c r="O1364" s="74" t="b">
        <v>1</v>
      </c>
    </row>
    <row r="1365" hidden="1">
      <c r="A1365" s="82"/>
      <c r="B1365" s="65" t="s">
        <v>495</v>
      </c>
      <c r="C1365" s="65" t="s">
        <v>117</v>
      </c>
      <c r="D1365" s="65"/>
      <c r="E1365" s="65" t="s">
        <v>786</v>
      </c>
      <c r="F1365" s="83">
        <v>0.3541666666666667</v>
      </c>
      <c r="G1365" s="83">
        <v>0.4375</v>
      </c>
      <c r="H1365" s="83">
        <v>0.08333333333333333</v>
      </c>
      <c r="I1365" s="84">
        <v>43843.0</v>
      </c>
      <c r="J1365" s="65" t="b">
        <v>0</v>
      </c>
      <c r="K1365" s="65" t="s">
        <v>150</v>
      </c>
      <c r="L1365" s="85" t="b">
        <f>IF(VLOOKUP(C1365,Projetos!A:L,12,false)=TRUE,TRUE,FALSE)</f>
        <v>1</v>
      </c>
      <c r="M1365" s="74">
        <v>73.7079846079846</v>
      </c>
      <c r="N1365" s="74">
        <f t="shared" si="1"/>
        <v>0</v>
      </c>
      <c r="O1365" s="74" t="b">
        <v>1</v>
      </c>
    </row>
    <row r="1366" hidden="1">
      <c r="A1366" s="82"/>
      <c r="B1366" s="65" t="s">
        <v>495</v>
      </c>
      <c r="C1366" s="65" t="s">
        <v>106</v>
      </c>
      <c r="D1366" s="65"/>
      <c r="E1366" s="65" t="s">
        <v>787</v>
      </c>
      <c r="F1366" s="83">
        <v>0.4375</v>
      </c>
      <c r="G1366" s="83">
        <v>0.5</v>
      </c>
      <c r="H1366" s="83">
        <v>0.0625</v>
      </c>
      <c r="I1366" s="84">
        <v>43843.0</v>
      </c>
      <c r="J1366" s="65" t="b">
        <v>0</v>
      </c>
      <c r="K1366" s="65" t="s">
        <v>150</v>
      </c>
      <c r="L1366" s="85" t="b">
        <f>IF(VLOOKUP(C1366,Projetos!A:L,12,false)=TRUE,TRUE,FALSE)</f>
        <v>1</v>
      </c>
      <c r="M1366" s="74">
        <v>73.7079846079846</v>
      </c>
      <c r="N1366" s="74">
        <f t="shared" si="1"/>
        <v>0</v>
      </c>
      <c r="O1366" s="74" t="b">
        <v>1</v>
      </c>
    </row>
    <row r="1367" hidden="1">
      <c r="A1367" s="82"/>
      <c r="B1367" s="65" t="s">
        <v>495</v>
      </c>
      <c r="C1367" s="65" t="s">
        <v>92</v>
      </c>
      <c r="D1367" s="65" t="str">
        <f>vlookup(C1367,'Classificação p pessoal'!F:G,2,false)</f>
        <v/>
      </c>
      <c r="E1367" s="65" t="s">
        <v>788</v>
      </c>
      <c r="F1367" s="83">
        <v>0.3541666666666667</v>
      </c>
      <c r="G1367" s="83">
        <v>0.4583333333333333</v>
      </c>
      <c r="H1367" s="83">
        <v>0.10416666666666667</v>
      </c>
      <c r="I1367" s="84">
        <v>43844.0</v>
      </c>
      <c r="J1367" s="65" t="b">
        <v>1</v>
      </c>
      <c r="K1367" s="65"/>
      <c r="L1367" s="85" t="b">
        <f>IF(VLOOKUP(C1367,Projetos!A:L,12,false)=TRUE,TRUE,FALSE)</f>
        <v>1</v>
      </c>
      <c r="M1367" s="74">
        <v>73.7079846079846</v>
      </c>
      <c r="N1367" s="74">
        <f t="shared" si="1"/>
        <v>184.2699615</v>
      </c>
      <c r="O1367" s="74" t="b">
        <v>1</v>
      </c>
    </row>
    <row r="1368" hidden="1">
      <c r="A1368" s="82"/>
      <c r="B1368" s="65" t="s">
        <v>495</v>
      </c>
      <c r="C1368" s="65" t="s">
        <v>92</v>
      </c>
      <c r="D1368" s="65" t="str">
        <f>vlookup(C1368,'Classificação p pessoal'!F:G,2,false)</f>
        <v/>
      </c>
      <c r="E1368" s="65" t="s">
        <v>789</v>
      </c>
      <c r="F1368" s="83">
        <v>0.5416666666666666</v>
      </c>
      <c r="G1368" s="83">
        <v>0.75</v>
      </c>
      <c r="H1368" s="83">
        <v>0.20833333333333334</v>
      </c>
      <c r="I1368" s="84">
        <v>43845.0</v>
      </c>
      <c r="J1368" s="65" t="b">
        <v>1</v>
      </c>
      <c r="K1368" s="65"/>
      <c r="L1368" s="85" t="b">
        <f>IF(VLOOKUP(C1368,Projetos!A:L,12,false)=TRUE,TRUE,FALSE)</f>
        <v>1</v>
      </c>
      <c r="M1368" s="74">
        <v>73.7079846079846</v>
      </c>
      <c r="N1368" s="74">
        <f t="shared" si="1"/>
        <v>368.539923</v>
      </c>
      <c r="O1368" s="74" t="b">
        <v>1</v>
      </c>
    </row>
    <row r="1369" hidden="1">
      <c r="A1369" s="82"/>
      <c r="B1369" s="65" t="s">
        <v>495</v>
      </c>
      <c r="C1369" s="65" t="s">
        <v>92</v>
      </c>
      <c r="D1369" s="65" t="str">
        <f>vlookup(C1369,'Classificação p pessoal'!F:G,2,false)</f>
        <v/>
      </c>
      <c r="E1369" s="65" t="s">
        <v>790</v>
      </c>
      <c r="F1369" s="83">
        <v>0.375</v>
      </c>
      <c r="G1369" s="83">
        <v>0.4166666666666667</v>
      </c>
      <c r="H1369" s="83">
        <v>0.041666666666666664</v>
      </c>
      <c r="I1369" s="84">
        <v>43848.0</v>
      </c>
      <c r="J1369" s="65" t="b">
        <v>1</v>
      </c>
      <c r="K1369" s="65"/>
      <c r="L1369" s="85" t="b">
        <f>IF(VLOOKUP(C1369,Projetos!A:L,12,false)=TRUE,TRUE,FALSE)</f>
        <v>1</v>
      </c>
      <c r="M1369" s="74">
        <v>73.7079846079846</v>
      </c>
      <c r="N1369" s="74">
        <f t="shared" si="1"/>
        <v>73.70798461</v>
      </c>
      <c r="O1369" s="74" t="b">
        <v>1</v>
      </c>
    </row>
    <row r="1370" hidden="1">
      <c r="A1370" s="82"/>
      <c r="B1370" s="65" t="s">
        <v>495</v>
      </c>
      <c r="C1370" s="65" t="s">
        <v>92</v>
      </c>
      <c r="D1370" s="65" t="str">
        <f>vlookup(C1370,'Classificação p pessoal'!F:G,2,false)</f>
        <v/>
      </c>
      <c r="E1370" s="65" t="s">
        <v>791</v>
      </c>
      <c r="F1370" s="83">
        <v>0.4444444444444444</v>
      </c>
      <c r="G1370" s="83">
        <v>0.4791666666666667</v>
      </c>
      <c r="H1370" s="83">
        <v>0.034722222222222224</v>
      </c>
      <c r="I1370" s="84">
        <v>43848.0</v>
      </c>
      <c r="J1370" s="65" t="b">
        <v>1</v>
      </c>
      <c r="K1370" s="65"/>
      <c r="L1370" s="85" t="b">
        <f>IF(VLOOKUP(C1370,Projetos!A:L,12,false)=TRUE,TRUE,FALSE)</f>
        <v>1</v>
      </c>
      <c r="M1370" s="74">
        <v>73.7079846079846</v>
      </c>
      <c r="N1370" s="74">
        <f t="shared" si="1"/>
        <v>61.42332051</v>
      </c>
      <c r="O1370" s="74" t="b">
        <v>1</v>
      </c>
    </row>
    <row r="1371" hidden="1">
      <c r="A1371" s="82"/>
      <c r="B1371" s="65" t="s">
        <v>495</v>
      </c>
      <c r="C1371" s="65" t="s">
        <v>92</v>
      </c>
      <c r="D1371" s="65" t="str">
        <f>vlookup(C1371,'Classificação p pessoal'!F:G,2,false)</f>
        <v/>
      </c>
      <c r="E1371" s="65" t="s">
        <v>792</v>
      </c>
      <c r="F1371" s="83">
        <v>0.4375</v>
      </c>
      <c r="G1371" s="83">
        <v>0.4791666666666667</v>
      </c>
      <c r="H1371" s="83">
        <v>0.041666666666666664</v>
      </c>
      <c r="I1371" s="84">
        <v>43850.0</v>
      </c>
      <c r="J1371" s="65" t="b">
        <v>1</v>
      </c>
      <c r="K1371" s="65"/>
      <c r="L1371" s="85" t="b">
        <f>IF(VLOOKUP(C1371,Projetos!A:L,12,false)=TRUE,TRUE,FALSE)</f>
        <v>1</v>
      </c>
      <c r="M1371" s="74">
        <v>73.7079846079846</v>
      </c>
      <c r="N1371" s="74">
        <f t="shared" si="1"/>
        <v>73.70798461</v>
      </c>
      <c r="O1371" s="74" t="b">
        <v>1</v>
      </c>
    </row>
    <row r="1372" hidden="1">
      <c r="A1372" s="82"/>
      <c r="B1372" s="65" t="s">
        <v>495</v>
      </c>
      <c r="C1372" s="65" t="s">
        <v>108</v>
      </c>
      <c r="D1372" s="65" t="str">
        <f>vlookup(C1372,'Classificação p pessoal'!F:G,2,false)</f>
        <v>NP</v>
      </c>
      <c r="E1372" s="65" t="s">
        <v>793</v>
      </c>
      <c r="F1372" s="83">
        <v>0.6666666666666666</v>
      </c>
      <c r="G1372" s="83">
        <v>0.75</v>
      </c>
      <c r="H1372" s="83">
        <v>0.08333333333333333</v>
      </c>
      <c r="I1372" s="84">
        <v>43850.0</v>
      </c>
      <c r="J1372" s="65" t="b">
        <v>1</v>
      </c>
      <c r="K1372" s="65"/>
      <c r="L1372" s="85" t="b">
        <f>IF(VLOOKUP(C1372,Projetos!A:L,12,false)=TRUE,TRUE,FALSE)</f>
        <v>1</v>
      </c>
      <c r="M1372" s="74">
        <v>73.7079846079846</v>
      </c>
      <c r="N1372" s="74">
        <f t="shared" si="1"/>
        <v>147.4159692</v>
      </c>
      <c r="O1372" s="74" t="b">
        <v>1</v>
      </c>
    </row>
    <row r="1373" hidden="1">
      <c r="A1373" s="82"/>
      <c r="B1373" s="65" t="s">
        <v>495</v>
      </c>
      <c r="C1373" s="65" t="s">
        <v>92</v>
      </c>
      <c r="D1373" s="65" t="str">
        <f>vlookup(C1373,'Classificação p pessoal'!F:G,2,false)</f>
        <v/>
      </c>
      <c r="E1373" s="65" t="s">
        <v>788</v>
      </c>
      <c r="F1373" s="83">
        <v>0.3541666666666667</v>
      </c>
      <c r="G1373" s="83">
        <v>0.4583333333333333</v>
      </c>
      <c r="H1373" s="83">
        <v>0.10416666666666667</v>
      </c>
      <c r="I1373" s="84">
        <v>43851.0</v>
      </c>
      <c r="J1373" s="65" t="b">
        <v>1</v>
      </c>
      <c r="K1373" s="65"/>
      <c r="L1373" s="85" t="b">
        <f>IF(VLOOKUP(C1373,Projetos!A:L,12,false)=TRUE,TRUE,FALSE)</f>
        <v>1</v>
      </c>
      <c r="M1373" s="74">
        <v>73.7079846079846</v>
      </c>
      <c r="N1373" s="74">
        <f t="shared" si="1"/>
        <v>184.2699615</v>
      </c>
      <c r="O1373" s="74" t="b">
        <v>1</v>
      </c>
    </row>
    <row r="1374" hidden="1">
      <c r="A1374" s="82"/>
      <c r="B1374" s="65" t="s">
        <v>495</v>
      </c>
      <c r="C1374" s="65" t="s">
        <v>92</v>
      </c>
      <c r="D1374" s="65" t="str">
        <f>vlookup(C1374,'Classificação p pessoal'!F:G,2,false)</f>
        <v/>
      </c>
      <c r="E1374" s="65" t="s">
        <v>794</v>
      </c>
      <c r="F1374" s="83">
        <v>0.5416666666666666</v>
      </c>
      <c r="G1374" s="83">
        <v>0.7291666666666666</v>
      </c>
      <c r="H1374" s="83">
        <v>0.1875</v>
      </c>
      <c r="I1374" s="84">
        <v>43851.0</v>
      </c>
      <c r="J1374" s="65" t="b">
        <v>1</v>
      </c>
      <c r="K1374" s="65"/>
      <c r="L1374" s="85" t="b">
        <f>IF(VLOOKUP(C1374,Projetos!A:L,12,false)=TRUE,TRUE,FALSE)</f>
        <v>1</v>
      </c>
      <c r="M1374" s="74">
        <v>73.7079846079846</v>
      </c>
      <c r="N1374" s="74">
        <f t="shared" si="1"/>
        <v>331.6859307</v>
      </c>
      <c r="O1374" s="74" t="b">
        <v>1</v>
      </c>
    </row>
    <row r="1375" hidden="1">
      <c r="A1375" s="82"/>
      <c r="B1375" s="65" t="s">
        <v>467</v>
      </c>
      <c r="C1375" s="65" t="s">
        <v>113</v>
      </c>
      <c r="D1375" s="65"/>
      <c r="E1375" s="65" t="s">
        <v>795</v>
      </c>
      <c r="F1375" s="83">
        <v>0.5416666666666666</v>
      </c>
      <c r="G1375" s="83">
        <v>0.5833333333333334</v>
      </c>
      <c r="H1375" s="83">
        <v>0.041666666666666664</v>
      </c>
      <c r="I1375" s="84">
        <v>44320.0</v>
      </c>
      <c r="J1375" s="65" t="b">
        <v>0</v>
      </c>
      <c r="K1375" s="65" t="s">
        <v>150</v>
      </c>
      <c r="L1375" s="85" t="b">
        <f>IF(VLOOKUP(C1375,Projetos!A:L,12,false)=TRUE,TRUE,FALSE)</f>
        <v>1</v>
      </c>
      <c r="M1375" s="74">
        <v>52.1518759018759</v>
      </c>
      <c r="N1375" s="74">
        <f t="shared" si="1"/>
        <v>0</v>
      </c>
      <c r="O1375" s="74" t="b">
        <v>1</v>
      </c>
    </row>
    <row r="1376" hidden="1">
      <c r="A1376" s="82"/>
      <c r="B1376" s="65" t="s">
        <v>495</v>
      </c>
      <c r="C1376" s="65" t="s">
        <v>92</v>
      </c>
      <c r="D1376" s="65" t="str">
        <f>vlookup(C1376,'Classificação p pessoal'!F:G,2,false)</f>
        <v/>
      </c>
      <c r="E1376" s="65" t="s">
        <v>796</v>
      </c>
      <c r="F1376" s="83">
        <v>0.4583333333333333</v>
      </c>
      <c r="G1376" s="83">
        <v>0.5208333333333334</v>
      </c>
      <c r="H1376" s="83">
        <v>0.0625</v>
      </c>
      <c r="I1376" s="84">
        <v>43852.0</v>
      </c>
      <c r="J1376" s="65" t="b">
        <v>1</v>
      </c>
      <c r="K1376" s="65"/>
      <c r="L1376" s="85" t="b">
        <f>IF(VLOOKUP(C1376,Projetos!A:L,12,false)=TRUE,TRUE,FALSE)</f>
        <v>1</v>
      </c>
      <c r="M1376" s="74">
        <v>73.7079846079846</v>
      </c>
      <c r="N1376" s="74">
        <f t="shared" si="1"/>
        <v>110.5619769</v>
      </c>
      <c r="O1376" s="74" t="b">
        <v>1</v>
      </c>
    </row>
    <row r="1377" hidden="1">
      <c r="A1377" s="82"/>
      <c r="B1377" s="65" t="s">
        <v>495</v>
      </c>
      <c r="C1377" s="65" t="s">
        <v>92</v>
      </c>
      <c r="D1377" s="65" t="str">
        <f>vlookup(C1377,'Classificação p pessoal'!F:G,2,false)</f>
        <v/>
      </c>
      <c r="E1377" s="65" t="s">
        <v>797</v>
      </c>
      <c r="F1377" s="83">
        <v>0.5416666666666666</v>
      </c>
      <c r="G1377" s="83">
        <v>0.5625</v>
      </c>
      <c r="H1377" s="83">
        <v>0.020833333333333332</v>
      </c>
      <c r="I1377" s="84">
        <v>43852.0</v>
      </c>
      <c r="J1377" s="65" t="b">
        <v>1</v>
      </c>
      <c r="K1377" s="65"/>
      <c r="L1377" s="85" t="b">
        <f>IF(VLOOKUP(C1377,Projetos!A:L,12,false)=TRUE,TRUE,FALSE)</f>
        <v>1</v>
      </c>
      <c r="M1377" s="74">
        <v>73.7079846079846</v>
      </c>
      <c r="N1377" s="74">
        <f t="shared" si="1"/>
        <v>36.8539923</v>
      </c>
      <c r="O1377" s="74" t="b">
        <v>1</v>
      </c>
    </row>
    <row r="1378" hidden="1">
      <c r="A1378" s="82"/>
      <c r="B1378" s="65" t="s">
        <v>495</v>
      </c>
      <c r="C1378" s="65" t="s">
        <v>92</v>
      </c>
      <c r="D1378" s="65" t="str">
        <f>vlookup(C1378,'Classificação p pessoal'!F:G,2,false)</f>
        <v/>
      </c>
      <c r="E1378" s="65" t="s">
        <v>798</v>
      </c>
      <c r="F1378" s="83">
        <v>0.5833333333333334</v>
      </c>
      <c r="G1378" s="83">
        <v>0.6041666666666666</v>
      </c>
      <c r="H1378" s="83">
        <v>0.020833333333333332</v>
      </c>
      <c r="I1378" s="84">
        <v>44218.0</v>
      </c>
      <c r="J1378" s="65" t="b">
        <v>1</v>
      </c>
      <c r="K1378" s="65"/>
      <c r="L1378" s="85" t="b">
        <f>IF(VLOOKUP(C1378,Projetos!A:L,12,false)=TRUE,TRUE,FALSE)</f>
        <v>1</v>
      </c>
      <c r="M1378" s="74">
        <v>73.7079846079846</v>
      </c>
      <c r="N1378" s="74">
        <f t="shared" si="1"/>
        <v>36.8539923</v>
      </c>
      <c r="O1378" s="74" t="b">
        <v>1</v>
      </c>
    </row>
    <row r="1379" hidden="1">
      <c r="A1379" s="82"/>
      <c r="B1379" s="65" t="s">
        <v>495</v>
      </c>
      <c r="C1379" s="65" t="s">
        <v>92</v>
      </c>
      <c r="D1379" s="65" t="str">
        <f>vlookup(C1379,'Classificação p pessoal'!F:G,2,false)</f>
        <v/>
      </c>
      <c r="E1379" s="65" t="s">
        <v>799</v>
      </c>
      <c r="F1379" s="83">
        <v>0.6666666666666666</v>
      </c>
      <c r="G1379" s="83">
        <v>0.7083333333333334</v>
      </c>
      <c r="H1379" s="83">
        <v>0.041666666666666664</v>
      </c>
      <c r="I1379" s="84">
        <v>43852.0</v>
      </c>
      <c r="J1379" s="65" t="b">
        <v>1</v>
      </c>
      <c r="K1379" s="65"/>
      <c r="L1379" s="85" t="b">
        <f>IF(VLOOKUP(C1379,Projetos!A:L,12,false)=TRUE,TRUE,FALSE)</f>
        <v>1</v>
      </c>
      <c r="M1379" s="74">
        <v>73.7079846079846</v>
      </c>
      <c r="N1379" s="74">
        <f t="shared" si="1"/>
        <v>73.70798461</v>
      </c>
      <c r="O1379" s="74" t="b">
        <v>1</v>
      </c>
    </row>
    <row r="1380" hidden="1">
      <c r="A1380" s="82"/>
      <c r="B1380" s="65" t="s">
        <v>495</v>
      </c>
      <c r="C1380" s="65" t="s">
        <v>106</v>
      </c>
      <c r="D1380" s="65" t="str">
        <f>vlookup(C1380,'Classificação p pessoal'!F:G,2,false)</f>
        <v>MProcesso</v>
      </c>
      <c r="E1380" s="65" t="s">
        <v>800</v>
      </c>
      <c r="F1380" s="83">
        <v>0.4375</v>
      </c>
      <c r="G1380" s="83">
        <v>0.4791666666666667</v>
      </c>
      <c r="H1380" s="83">
        <v>0.041666666666666664</v>
      </c>
      <c r="I1380" s="84">
        <v>44221.0</v>
      </c>
      <c r="J1380" s="65" t="b">
        <v>1</v>
      </c>
      <c r="K1380" s="65"/>
      <c r="L1380" s="85" t="b">
        <f>IF(VLOOKUP(C1380,Projetos!A:L,12,false)=TRUE,TRUE,FALSE)</f>
        <v>1</v>
      </c>
      <c r="M1380" s="74">
        <v>73.7079846079846</v>
      </c>
      <c r="N1380" s="74">
        <f t="shared" si="1"/>
        <v>73.70798461</v>
      </c>
      <c r="O1380" s="74" t="b">
        <v>1</v>
      </c>
    </row>
    <row r="1381" hidden="1">
      <c r="A1381" s="82"/>
      <c r="B1381" s="65" t="s">
        <v>495</v>
      </c>
      <c r="C1381" s="65" t="s">
        <v>92</v>
      </c>
      <c r="D1381" s="65" t="str">
        <f>vlookup(C1381,'Classificação p pessoal'!F:G,2,false)</f>
        <v/>
      </c>
      <c r="E1381" s="65" t="s">
        <v>801</v>
      </c>
      <c r="F1381" s="83">
        <v>0.3333333333333333</v>
      </c>
      <c r="G1381" s="83">
        <v>0.5</v>
      </c>
      <c r="H1381" s="83">
        <v>0.16666666666666666</v>
      </c>
      <c r="I1381" s="84">
        <v>44222.0</v>
      </c>
      <c r="J1381" s="65" t="b">
        <v>1</v>
      </c>
      <c r="K1381" s="65"/>
      <c r="L1381" s="85" t="b">
        <f>IF(VLOOKUP(C1381,Projetos!A:L,12,false)=TRUE,TRUE,FALSE)</f>
        <v>1</v>
      </c>
      <c r="M1381" s="74">
        <v>73.7079846079846</v>
      </c>
      <c r="N1381" s="74">
        <f t="shared" si="1"/>
        <v>294.8319384</v>
      </c>
      <c r="O1381" s="74" t="b">
        <v>1</v>
      </c>
    </row>
    <row r="1382" hidden="1">
      <c r="A1382" s="82"/>
      <c r="B1382" s="65" t="s">
        <v>495</v>
      </c>
      <c r="C1382" s="65" t="s">
        <v>92</v>
      </c>
      <c r="D1382" s="65" t="str">
        <f>vlookup(C1382,'Classificação p pessoal'!F:G,2,false)</f>
        <v/>
      </c>
      <c r="E1382" s="65" t="s">
        <v>802</v>
      </c>
      <c r="F1382" s="83">
        <v>0.4861111111111111</v>
      </c>
      <c r="G1382" s="83">
        <v>0.5277777777777778</v>
      </c>
      <c r="H1382" s="83">
        <v>0.041666666666666664</v>
      </c>
      <c r="I1382" s="84">
        <v>43859.0</v>
      </c>
      <c r="J1382" s="65" t="b">
        <v>1</v>
      </c>
      <c r="K1382" s="65"/>
      <c r="L1382" s="85" t="b">
        <f>IF(VLOOKUP(C1382,Projetos!A:L,12,false)=TRUE,TRUE,FALSE)</f>
        <v>1</v>
      </c>
      <c r="M1382" s="74">
        <v>73.7079846079846</v>
      </c>
      <c r="N1382" s="74">
        <f t="shared" si="1"/>
        <v>73.70798461</v>
      </c>
      <c r="O1382" s="74" t="b">
        <v>1</v>
      </c>
    </row>
    <row r="1383" hidden="1">
      <c r="A1383" s="82"/>
      <c r="B1383" s="65" t="s">
        <v>495</v>
      </c>
      <c r="C1383" s="65" t="s">
        <v>92</v>
      </c>
      <c r="D1383" s="65" t="str">
        <f>vlookup(C1383,'Classificação p pessoal'!F:G,2,false)</f>
        <v/>
      </c>
      <c r="E1383" s="65" t="s">
        <v>803</v>
      </c>
      <c r="F1383" s="83">
        <v>0.53125</v>
      </c>
      <c r="G1383" s="83">
        <v>0.5416666666666666</v>
      </c>
      <c r="H1383" s="83">
        <v>0.010416666666666666</v>
      </c>
      <c r="I1383" s="84">
        <v>43859.0</v>
      </c>
      <c r="J1383" s="65" t="b">
        <v>1</v>
      </c>
      <c r="K1383" s="65"/>
      <c r="L1383" s="85" t="b">
        <f>IF(VLOOKUP(C1383,Projetos!A:L,12,false)=TRUE,TRUE,FALSE)</f>
        <v>1</v>
      </c>
      <c r="M1383" s="74">
        <v>73.7079846079846</v>
      </c>
      <c r="N1383" s="74">
        <f t="shared" si="1"/>
        <v>18.42699615</v>
      </c>
      <c r="O1383" s="74" t="b">
        <v>1</v>
      </c>
    </row>
    <row r="1384" hidden="1">
      <c r="A1384" s="82"/>
      <c r="B1384" s="65" t="s">
        <v>495</v>
      </c>
      <c r="C1384" s="65" t="s">
        <v>130</v>
      </c>
      <c r="D1384" s="65" t="str">
        <f>vlookup(C1384,'Classificação p pessoal'!F:G,2,false)</f>
        <v>NP</v>
      </c>
      <c r="E1384" s="65" t="s">
        <v>804</v>
      </c>
      <c r="F1384" s="83">
        <v>0.4375</v>
      </c>
      <c r="G1384" s="83">
        <v>0.4791666666666667</v>
      </c>
      <c r="H1384" s="83">
        <v>0.041666666666666664</v>
      </c>
      <c r="I1384" s="84">
        <v>44228.0</v>
      </c>
      <c r="J1384" s="65" t="b">
        <v>1</v>
      </c>
      <c r="K1384" s="65"/>
      <c r="L1384" s="85" t="b">
        <f>IF(VLOOKUP(C1384,Projetos!A:L,12,false)=TRUE,TRUE,FALSE)</f>
        <v>1</v>
      </c>
      <c r="M1384" s="74">
        <v>73.7079846079846</v>
      </c>
      <c r="N1384" s="74">
        <f t="shared" si="1"/>
        <v>73.70798461</v>
      </c>
      <c r="O1384" s="74" t="b">
        <v>1</v>
      </c>
    </row>
    <row r="1385" hidden="1">
      <c r="A1385" s="82"/>
      <c r="B1385" s="65" t="s">
        <v>495</v>
      </c>
      <c r="C1385" s="65" t="s">
        <v>108</v>
      </c>
      <c r="D1385" s="65" t="str">
        <f>vlookup(C1385,'Classificação p pessoal'!F:G,2,false)</f>
        <v>NP</v>
      </c>
      <c r="E1385" s="65" t="s">
        <v>805</v>
      </c>
      <c r="F1385" s="83">
        <v>0.6875</v>
      </c>
      <c r="G1385" s="83">
        <v>0.7013888888888888</v>
      </c>
      <c r="H1385" s="83">
        <v>0.013888888888888888</v>
      </c>
      <c r="I1385" s="84">
        <v>44228.0</v>
      </c>
      <c r="J1385" s="65" t="b">
        <v>1</v>
      </c>
      <c r="K1385" s="65"/>
      <c r="L1385" s="85" t="b">
        <f>IF(VLOOKUP(C1385,Projetos!A:L,12,false)=TRUE,TRUE,FALSE)</f>
        <v>1</v>
      </c>
      <c r="M1385" s="74">
        <v>73.7079846079846</v>
      </c>
      <c r="N1385" s="74">
        <f t="shared" si="1"/>
        <v>24.5693282</v>
      </c>
      <c r="O1385" s="74" t="b">
        <v>1</v>
      </c>
    </row>
    <row r="1386" hidden="1">
      <c r="A1386" s="82"/>
      <c r="B1386" s="65" t="s">
        <v>495</v>
      </c>
      <c r="C1386" s="65" t="s">
        <v>92</v>
      </c>
      <c r="D1386" s="65" t="str">
        <f>vlookup(C1386,'Classificação p pessoal'!F:G,2,false)</f>
        <v/>
      </c>
      <c r="E1386" s="65" t="s">
        <v>806</v>
      </c>
      <c r="F1386" s="83">
        <v>0.3333333333333333</v>
      </c>
      <c r="G1386" s="83">
        <v>0.5</v>
      </c>
      <c r="H1386" s="83">
        <v>0.16666666666666666</v>
      </c>
      <c r="I1386" s="84">
        <v>44229.0</v>
      </c>
      <c r="J1386" s="65" t="b">
        <v>1</v>
      </c>
      <c r="K1386" s="65"/>
      <c r="L1386" s="85" t="b">
        <f>IF(VLOOKUP(C1386,Projetos!A:L,12,false)=TRUE,TRUE,FALSE)</f>
        <v>1</v>
      </c>
      <c r="M1386" s="74">
        <v>73.7079846079846</v>
      </c>
      <c r="N1386" s="74">
        <f t="shared" si="1"/>
        <v>294.8319384</v>
      </c>
      <c r="O1386" s="74" t="b">
        <v>1</v>
      </c>
    </row>
    <row r="1387" hidden="1">
      <c r="A1387" s="82"/>
      <c r="B1387" s="65" t="s">
        <v>495</v>
      </c>
      <c r="C1387" s="65" t="s">
        <v>108</v>
      </c>
      <c r="D1387" s="65" t="str">
        <f>vlookup(C1387,'Classificação p pessoal'!F:G,2,false)</f>
        <v>NP</v>
      </c>
      <c r="E1387" s="65" t="s">
        <v>807</v>
      </c>
      <c r="F1387" s="83">
        <v>0.6666666666666666</v>
      </c>
      <c r="G1387" s="83">
        <v>0.6805555555555556</v>
      </c>
      <c r="H1387" s="83">
        <v>0.013888888888888888</v>
      </c>
      <c r="I1387" s="84">
        <v>44229.0</v>
      </c>
      <c r="J1387" s="65" t="b">
        <v>1</v>
      </c>
      <c r="K1387" s="65"/>
      <c r="L1387" s="85" t="b">
        <f>IF(VLOOKUP(C1387,Projetos!A:L,12,false)=TRUE,TRUE,FALSE)</f>
        <v>1</v>
      </c>
      <c r="M1387" s="74">
        <v>73.7079846079846</v>
      </c>
      <c r="N1387" s="74">
        <f t="shared" si="1"/>
        <v>24.5693282</v>
      </c>
      <c r="O1387" s="74" t="b">
        <v>1</v>
      </c>
    </row>
    <row r="1388" hidden="1">
      <c r="A1388" s="82"/>
      <c r="B1388" s="65" t="s">
        <v>495</v>
      </c>
      <c r="C1388" s="65" t="s">
        <v>108</v>
      </c>
      <c r="D1388" s="65" t="str">
        <f>vlookup(C1388,'Classificação p pessoal'!F:G,2,false)</f>
        <v>NP</v>
      </c>
      <c r="E1388" s="65" t="s">
        <v>808</v>
      </c>
      <c r="F1388" s="83">
        <v>0.6875</v>
      </c>
      <c r="G1388" s="83">
        <v>0.75</v>
      </c>
      <c r="H1388" s="83">
        <v>0.0625</v>
      </c>
      <c r="I1388" s="84">
        <v>44229.0</v>
      </c>
      <c r="J1388" s="65" t="b">
        <v>1</v>
      </c>
      <c r="K1388" s="65"/>
      <c r="L1388" s="85" t="b">
        <f>IF(VLOOKUP(C1388,Projetos!A:L,12,false)=TRUE,TRUE,FALSE)</f>
        <v>1</v>
      </c>
      <c r="M1388" s="74">
        <v>73.7079846079846</v>
      </c>
      <c r="N1388" s="74">
        <f t="shared" si="1"/>
        <v>110.5619769</v>
      </c>
      <c r="O1388" s="74" t="b">
        <v>1</v>
      </c>
    </row>
    <row r="1389" hidden="1">
      <c r="A1389" s="82"/>
      <c r="B1389" s="65" t="s">
        <v>495</v>
      </c>
      <c r="C1389" s="65" t="s">
        <v>108</v>
      </c>
      <c r="D1389" s="65" t="str">
        <f>vlookup(C1389,'Classificação p pessoal'!F:G,2,false)</f>
        <v>NP</v>
      </c>
      <c r="E1389" s="65" t="s">
        <v>809</v>
      </c>
      <c r="F1389" s="83">
        <v>0.3472222222222222</v>
      </c>
      <c r="G1389" s="83">
        <v>0.375</v>
      </c>
      <c r="H1389" s="83">
        <v>0.027777777777777776</v>
      </c>
      <c r="I1389" s="84">
        <v>44230.0</v>
      </c>
      <c r="J1389" s="65" t="b">
        <v>1</v>
      </c>
      <c r="K1389" s="65"/>
      <c r="L1389" s="85" t="b">
        <f>IF(VLOOKUP(C1389,Projetos!A:L,12,false)=TRUE,TRUE,FALSE)</f>
        <v>1</v>
      </c>
      <c r="M1389" s="74">
        <v>73.7079846079846</v>
      </c>
      <c r="N1389" s="74">
        <f t="shared" si="1"/>
        <v>49.13865641</v>
      </c>
      <c r="O1389" s="74" t="b">
        <v>1</v>
      </c>
    </row>
    <row r="1390" hidden="1">
      <c r="A1390" s="82"/>
      <c r="B1390" s="65" t="s">
        <v>495</v>
      </c>
      <c r="C1390" s="65" t="s">
        <v>92</v>
      </c>
      <c r="D1390" s="65" t="str">
        <f>vlookup(C1390,'Classificação p pessoal'!F:G,2,false)</f>
        <v/>
      </c>
      <c r="E1390" s="65" t="s">
        <v>810</v>
      </c>
      <c r="F1390" s="83">
        <v>0.375</v>
      </c>
      <c r="G1390" s="83">
        <v>0.4583333333333333</v>
      </c>
      <c r="H1390" s="83">
        <v>0.08333333333333333</v>
      </c>
      <c r="I1390" s="84">
        <v>44230.0</v>
      </c>
      <c r="J1390" s="65" t="b">
        <v>1</v>
      </c>
      <c r="K1390" s="65"/>
      <c r="L1390" s="85" t="b">
        <f>IF(VLOOKUP(C1390,Projetos!A:L,12,false)=TRUE,TRUE,FALSE)</f>
        <v>1</v>
      </c>
      <c r="M1390" s="74">
        <v>73.7079846079846</v>
      </c>
      <c r="N1390" s="74">
        <f t="shared" si="1"/>
        <v>147.4159692</v>
      </c>
      <c r="O1390" s="74" t="b">
        <v>1</v>
      </c>
    </row>
    <row r="1391" hidden="1">
      <c r="A1391" s="82"/>
      <c r="B1391" s="65" t="s">
        <v>495</v>
      </c>
      <c r="C1391" s="65" t="s">
        <v>92</v>
      </c>
      <c r="D1391" s="65" t="str">
        <f>vlookup(C1391,'Classificação p pessoal'!F:G,2,false)</f>
        <v/>
      </c>
      <c r="E1391" s="65" t="s">
        <v>811</v>
      </c>
      <c r="F1391" s="83">
        <v>0.4583333333333333</v>
      </c>
      <c r="G1391" s="83">
        <v>0.5416666666666666</v>
      </c>
      <c r="H1391" s="83">
        <v>0.08333333333333333</v>
      </c>
      <c r="I1391" s="84">
        <v>44230.0</v>
      </c>
      <c r="J1391" s="65" t="b">
        <v>1</v>
      </c>
      <c r="K1391" s="65"/>
      <c r="L1391" s="85" t="b">
        <f>IF(VLOOKUP(C1391,Projetos!A:L,12,false)=TRUE,TRUE,FALSE)</f>
        <v>1</v>
      </c>
      <c r="M1391" s="74">
        <v>73.7079846079846</v>
      </c>
      <c r="N1391" s="74">
        <f t="shared" si="1"/>
        <v>147.4159692</v>
      </c>
      <c r="O1391" s="74" t="b">
        <v>1</v>
      </c>
    </row>
    <row r="1392" hidden="1">
      <c r="A1392" s="82"/>
      <c r="B1392" s="65" t="s">
        <v>495</v>
      </c>
      <c r="C1392" s="65" t="s">
        <v>92</v>
      </c>
      <c r="D1392" s="65" t="str">
        <f>vlookup(C1392,'Classificação p pessoal'!F:G,2,false)</f>
        <v/>
      </c>
      <c r="E1392" s="65" t="s">
        <v>812</v>
      </c>
      <c r="F1392" s="83">
        <v>0.5833333333333334</v>
      </c>
      <c r="G1392" s="83">
        <v>0.75</v>
      </c>
      <c r="H1392" s="83">
        <v>0.16666666666666666</v>
      </c>
      <c r="I1392" s="84">
        <v>44230.0</v>
      </c>
      <c r="J1392" s="65" t="b">
        <v>1</v>
      </c>
      <c r="K1392" s="65"/>
      <c r="L1392" s="85" t="b">
        <f>IF(VLOOKUP(C1392,Projetos!A:L,12,false)=TRUE,TRUE,FALSE)</f>
        <v>1</v>
      </c>
      <c r="M1392" s="74">
        <v>73.7079846079846</v>
      </c>
      <c r="N1392" s="74">
        <f t="shared" si="1"/>
        <v>294.8319384</v>
      </c>
      <c r="O1392" s="74" t="b">
        <v>1</v>
      </c>
    </row>
    <row r="1393" hidden="1">
      <c r="A1393" s="82"/>
      <c r="B1393" s="65" t="s">
        <v>495</v>
      </c>
      <c r="C1393" s="65" t="s">
        <v>92</v>
      </c>
      <c r="D1393" s="65" t="str">
        <f>vlookup(C1393,'Classificação p pessoal'!F:G,2,false)</f>
        <v/>
      </c>
      <c r="E1393" s="65" t="s">
        <v>813</v>
      </c>
      <c r="F1393" s="83">
        <v>0.34375</v>
      </c>
      <c r="G1393" s="83">
        <v>0.4375</v>
      </c>
      <c r="H1393" s="83">
        <v>0.09375</v>
      </c>
      <c r="I1393" s="84">
        <v>44231.0</v>
      </c>
      <c r="J1393" s="65" t="b">
        <v>1</v>
      </c>
      <c r="K1393" s="65"/>
      <c r="L1393" s="85" t="b">
        <f>IF(VLOOKUP(C1393,Projetos!A:L,12,false)=TRUE,TRUE,FALSE)</f>
        <v>1</v>
      </c>
      <c r="M1393" s="74">
        <v>73.7079846079846</v>
      </c>
      <c r="N1393" s="74">
        <f t="shared" si="1"/>
        <v>165.8429654</v>
      </c>
      <c r="O1393" s="74" t="b">
        <v>1</v>
      </c>
    </row>
    <row r="1394" hidden="1">
      <c r="A1394" s="82"/>
      <c r="B1394" s="65" t="s">
        <v>495</v>
      </c>
      <c r="C1394" s="65" t="s">
        <v>108</v>
      </c>
      <c r="D1394" s="65" t="str">
        <f>vlookup(C1394,'Classificação p pessoal'!F:G,2,false)</f>
        <v>NP</v>
      </c>
      <c r="E1394" s="65" t="s">
        <v>814</v>
      </c>
      <c r="F1394" s="83">
        <v>0.4375</v>
      </c>
      <c r="G1394" s="83">
        <v>0.4583333333333333</v>
      </c>
      <c r="H1394" s="83">
        <v>0.020833333333333332</v>
      </c>
      <c r="I1394" s="84">
        <v>44231.0</v>
      </c>
      <c r="J1394" s="65" t="b">
        <v>1</v>
      </c>
      <c r="K1394" s="65"/>
      <c r="L1394" s="85" t="b">
        <f>IF(VLOOKUP(C1394,Projetos!A:L,12,false)=TRUE,TRUE,FALSE)</f>
        <v>1</v>
      </c>
      <c r="M1394" s="74">
        <v>73.7079846079846</v>
      </c>
      <c r="N1394" s="74">
        <f t="shared" si="1"/>
        <v>36.8539923</v>
      </c>
      <c r="O1394" s="74" t="b">
        <v>1</v>
      </c>
    </row>
    <row r="1395" hidden="1">
      <c r="A1395" s="82"/>
      <c r="B1395" s="65" t="s">
        <v>495</v>
      </c>
      <c r="C1395" s="65" t="s">
        <v>92</v>
      </c>
      <c r="D1395" s="65" t="str">
        <f>vlookup(C1395,'Classificação p pessoal'!F:G,2,false)</f>
        <v/>
      </c>
      <c r="E1395" s="65" t="s">
        <v>815</v>
      </c>
      <c r="F1395" s="83">
        <v>0.5416666666666666</v>
      </c>
      <c r="G1395" s="83">
        <v>0.75</v>
      </c>
      <c r="H1395" s="83">
        <v>0.20833333333333334</v>
      </c>
      <c r="I1395" s="84">
        <v>44231.0</v>
      </c>
      <c r="J1395" s="65" t="b">
        <v>1</v>
      </c>
      <c r="K1395" s="65"/>
      <c r="L1395" s="85" t="b">
        <f>IF(VLOOKUP(C1395,Projetos!A:L,12,false)=TRUE,TRUE,FALSE)</f>
        <v>1</v>
      </c>
      <c r="M1395" s="74">
        <v>73.7079846079846</v>
      </c>
      <c r="N1395" s="74">
        <f t="shared" si="1"/>
        <v>368.539923</v>
      </c>
      <c r="O1395" s="74" t="b">
        <v>1</v>
      </c>
    </row>
    <row r="1396" hidden="1">
      <c r="A1396" s="82"/>
      <c r="B1396" s="65" t="s">
        <v>495</v>
      </c>
      <c r="C1396" s="65" t="s">
        <v>92</v>
      </c>
      <c r="D1396" s="65" t="str">
        <f>vlookup(C1396,'Classificação p pessoal'!F:G,2,false)</f>
        <v/>
      </c>
      <c r="E1396" s="65" t="s">
        <v>813</v>
      </c>
      <c r="F1396" s="83">
        <v>0.4305555555555556</v>
      </c>
      <c r="G1396" s="83">
        <v>0.75</v>
      </c>
      <c r="H1396" s="83">
        <v>0.3194444444444444</v>
      </c>
      <c r="I1396" s="84">
        <v>44232.0</v>
      </c>
      <c r="J1396" s="65" t="b">
        <v>1</v>
      </c>
      <c r="K1396" s="65"/>
      <c r="L1396" s="85" t="b">
        <f>IF(VLOOKUP(C1396,Projetos!A:L,12,false)=TRUE,TRUE,FALSE)</f>
        <v>1</v>
      </c>
      <c r="M1396" s="74">
        <v>73.7079846079846</v>
      </c>
      <c r="N1396" s="74">
        <f t="shared" si="1"/>
        <v>565.0945487</v>
      </c>
      <c r="O1396" s="74" t="b">
        <v>1</v>
      </c>
    </row>
    <row r="1397" hidden="1">
      <c r="A1397" s="82"/>
      <c r="B1397" s="65" t="s">
        <v>495</v>
      </c>
      <c r="C1397" s="65" t="s">
        <v>92</v>
      </c>
      <c r="D1397" s="65" t="str">
        <f>vlookup(C1397,'Classificação p pessoal'!F:G,2,false)</f>
        <v/>
      </c>
      <c r="E1397" s="65" t="s">
        <v>816</v>
      </c>
      <c r="F1397" s="83">
        <v>0.34375</v>
      </c>
      <c r="G1397" s="83">
        <v>0.4583333333333333</v>
      </c>
      <c r="H1397" s="83">
        <v>0.11458333333333333</v>
      </c>
      <c r="I1397" s="84">
        <v>44235.0</v>
      </c>
      <c r="J1397" s="65" t="b">
        <v>1</v>
      </c>
      <c r="K1397" s="65"/>
      <c r="L1397" s="85" t="b">
        <f>IF(VLOOKUP(C1397,Projetos!A:L,12,false)=TRUE,TRUE,FALSE)</f>
        <v>1</v>
      </c>
      <c r="M1397" s="74">
        <v>73.7079846079846</v>
      </c>
      <c r="N1397" s="74">
        <f t="shared" si="1"/>
        <v>202.6969577</v>
      </c>
      <c r="O1397" s="74" t="b">
        <v>1</v>
      </c>
    </row>
    <row r="1398" hidden="1">
      <c r="A1398" s="82"/>
      <c r="B1398" s="65" t="s">
        <v>495</v>
      </c>
      <c r="C1398" s="65" t="s">
        <v>100</v>
      </c>
      <c r="D1398" s="65" t="str">
        <f>vlookup(C1398,'Classificação p pessoal'!F:G,2,false)</f>
        <v>NP</v>
      </c>
      <c r="E1398" s="65" t="s">
        <v>817</v>
      </c>
      <c r="F1398" s="83">
        <v>0.5</v>
      </c>
      <c r="G1398" s="83">
        <v>0.5416666666666666</v>
      </c>
      <c r="H1398" s="83">
        <v>0.041666666666666664</v>
      </c>
      <c r="I1398" s="84">
        <v>44235.0</v>
      </c>
      <c r="J1398" s="65" t="b">
        <v>1</v>
      </c>
      <c r="K1398" s="65"/>
      <c r="L1398" s="85" t="b">
        <f>IF(VLOOKUP(C1398,Projetos!A:L,12,false)=TRUE,TRUE,FALSE)</f>
        <v>1</v>
      </c>
      <c r="M1398" s="74">
        <v>73.7079846079846</v>
      </c>
      <c r="N1398" s="74">
        <f t="shared" si="1"/>
        <v>73.70798461</v>
      </c>
      <c r="O1398" s="74" t="b">
        <v>1</v>
      </c>
    </row>
    <row r="1399" hidden="1">
      <c r="A1399" s="82"/>
      <c r="B1399" s="65" t="s">
        <v>495</v>
      </c>
      <c r="C1399" s="65" t="s">
        <v>92</v>
      </c>
      <c r="D1399" s="65" t="str">
        <f>vlookup(C1399,'Classificação p pessoal'!F:G,2,false)</f>
        <v/>
      </c>
      <c r="E1399" s="65" t="s">
        <v>813</v>
      </c>
      <c r="F1399" s="83">
        <v>0.34375</v>
      </c>
      <c r="G1399" s="83">
        <v>0.4583333333333333</v>
      </c>
      <c r="H1399" s="83">
        <v>0.11458333333333333</v>
      </c>
      <c r="I1399" s="84">
        <v>44236.0</v>
      </c>
      <c r="J1399" s="65" t="b">
        <v>1</v>
      </c>
      <c r="K1399" s="65"/>
      <c r="L1399" s="85" t="b">
        <f>IF(VLOOKUP(C1399,Projetos!A:L,12,false)=TRUE,TRUE,FALSE)</f>
        <v>1</v>
      </c>
      <c r="M1399" s="74">
        <v>73.7079846079846</v>
      </c>
      <c r="N1399" s="74">
        <f t="shared" si="1"/>
        <v>202.6969577</v>
      </c>
      <c r="O1399" s="74" t="b">
        <v>1</v>
      </c>
    </row>
    <row r="1400" hidden="1">
      <c r="A1400" s="82"/>
      <c r="B1400" s="65" t="s">
        <v>495</v>
      </c>
      <c r="C1400" s="65" t="s">
        <v>92</v>
      </c>
      <c r="D1400" s="65" t="str">
        <f>vlookup(C1400,'Classificação p pessoal'!F:G,2,false)</f>
        <v/>
      </c>
      <c r="E1400" s="65" t="s">
        <v>818</v>
      </c>
      <c r="F1400" s="83">
        <v>0.4583333333333333</v>
      </c>
      <c r="G1400" s="83">
        <v>0.5</v>
      </c>
      <c r="H1400" s="83">
        <v>0.041666666666666664</v>
      </c>
      <c r="I1400" s="84">
        <v>44236.0</v>
      </c>
      <c r="J1400" s="65" t="b">
        <v>1</v>
      </c>
      <c r="K1400" s="65"/>
      <c r="L1400" s="85" t="b">
        <f>IF(VLOOKUP(C1400,Projetos!A:L,12,false)=TRUE,TRUE,FALSE)</f>
        <v>1</v>
      </c>
      <c r="M1400" s="74">
        <v>73.7079846079846</v>
      </c>
      <c r="N1400" s="74">
        <f t="shared" si="1"/>
        <v>73.70798461</v>
      </c>
      <c r="O1400" s="74" t="b">
        <v>1</v>
      </c>
    </row>
    <row r="1401" hidden="1">
      <c r="A1401" s="82"/>
      <c r="B1401" s="65" t="s">
        <v>495</v>
      </c>
      <c r="C1401" s="65" t="s">
        <v>130</v>
      </c>
      <c r="D1401" s="65" t="str">
        <f>vlookup(C1401,'Classificação p pessoal'!F:G,2,false)</f>
        <v>NP</v>
      </c>
      <c r="E1401" s="65" t="s">
        <v>819</v>
      </c>
      <c r="F1401" s="83">
        <v>0.34375</v>
      </c>
      <c r="G1401" s="83">
        <v>0.4166666666666667</v>
      </c>
      <c r="H1401" s="83">
        <v>0.07291666666666667</v>
      </c>
      <c r="I1401" s="84">
        <v>44237.0</v>
      </c>
      <c r="J1401" s="65" t="b">
        <v>1</v>
      </c>
      <c r="K1401" s="65"/>
      <c r="L1401" s="85" t="b">
        <f>IF(VLOOKUP(C1401,Projetos!A:L,12,false)=TRUE,TRUE,FALSE)</f>
        <v>1</v>
      </c>
      <c r="M1401" s="74">
        <v>73.7079846079846</v>
      </c>
      <c r="N1401" s="74">
        <f t="shared" si="1"/>
        <v>128.9889731</v>
      </c>
      <c r="O1401" s="74" t="b">
        <v>1</v>
      </c>
    </row>
    <row r="1402" hidden="1">
      <c r="A1402" s="82"/>
      <c r="B1402" s="65" t="s">
        <v>495</v>
      </c>
      <c r="C1402" s="65" t="s">
        <v>100</v>
      </c>
      <c r="D1402" s="65" t="str">
        <f>vlookup(C1402,'Classificação p pessoal'!F:G,2,false)</f>
        <v>NP</v>
      </c>
      <c r="E1402" s="65" t="s">
        <v>820</v>
      </c>
      <c r="F1402" s="83">
        <v>0.4236111111111111</v>
      </c>
      <c r="G1402" s="83">
        <v>0.75</v>
      </c>
      <c r="H1402" s="83">
        <v>0.3263888888888889</v>
      </c>
      <c r="I1402" s="84">
        <v>44237.0</v>
      </c>
      <c r="J1402" s="65" t="b">
        <v>1</v>
      </c>
      <c r="K1402" s="65"/>
      <c r="L1402" s="85" t="b">
        <f>IF(VLOOKUP(C1402,Projetos!A:L,12,false)=TRUE,TRUE,FALSE)</f>
        <v>1</v>
      </c>
      <c r="M1402" s="74">
        <v>73.7079846079846</v>
      </c>
      <c r="N1402" s="74">
        <f t="shared" si="1"/>
        <v>577.3792128</v>
      </c>
      <c r="O1402" s="74" t="b">
        <v>1</v>
      </c>
    </row>
    <row r="1403" hidden="1">
      <c r="A1403" s="82"/>
      <c r="B1403" s="65" t="s">
        <v>495</v>
      </c>
      <c r="C1403" s="65" t="s">
        <v>92</v>
      </c>
      <c r="D1403" s="65" t="str">
        <f>vlookup(C1403,'Classificação p pessoal'!F:G,2,false)</f>
        <v/>
      </c>
      <c r="E1403" s="65" t="s">
        <v>821</v>
      </c>
      <c r="F1403" s="83">
        <v>0.34375</v>
      </c>
      <c r="G1403" s="83">
        <v>0.5</v>
      </c>
      <c r="H1403" s="83">
        <v>0.15625</v>
      </c>
      <c r="I1403" s="84">
        <v>44238.0</v>
      </c>
      <c r="J1403" s="65" t="b">
        <v>1</v>
      </c>
      <c r="K1403" s="65"/>
      <c r="L1403" s="85" t="b">
        <f>IF(VLOOKUP(C1403,Projetos!A:L,12,false)=TRUE,TRUE,FALSE)</f>
        <v>1</v>
      </c>
      <c r="M1403" s="74">
        <v>73.7079846079846</v>
      </c>
      <c r="N1403" s="74">
        <f t="shared" si="1"/>
        <v>276.4049423</v>
      </c>
      <c r="O1403" s="74" t="b">
        <v>1</v>
      </c>
    </row>
    <row r="1404" hidden="1">
      <c r="A1404" s="82"/>
      <c r="B1404" s="65" t="s">
        <v>495</v>
      </c>
      <c r="C1404" s="65" t="s">
        <v>84</v>
      </c>
      <c r="D1404" s="65"/>
      <c r="E1404" s="65" t="s">
        <v>822</v>
      </c>
      <c r="F1404" s="83">
        <v>0.5833333333333334</v>
      </c>
      <c r="G1404" s="83">
        <v>0.625</v>
      </c>
      <c r="H1404" s="83">
        <v>0.041666666666666664</v>
      </c>
      <c r="I1404" s="84">
        <v>44238.0</v>
      </c>
      <c r="J1404" s="65" t="b">
        <v>0</v>
      </c>
      <c r="K1404" s="65"/>
      <c r="L1404" s="85" t="b">
        <f>IF(VLOOKUP(C1404,Projetos!A:L,12,false)=TRUE,TRUE,FALSE)</f>
        <v>0</v>
      </c>
      <c r="M1404" s="74">
        <v>73.7079846079846</v>
      </c>
      <c r="N1404" s="74">
        <f t="shared" si="1"/>
        <v>0</v>
      </c>
      <c r="O1404" s="74" t="b">
        <v>0</v>
      </c>
    </row>
    <row r="1405" hidden="1">
      <c r="A1405" s="82"/>
      <c r="B1405" s="65" t="s">
        <v>495</v>
      </c>
      <c r="C1405" s="65" t="s">
        <v>108</v>
      </c>
      <c r="D1405" s="65" t="str">
        <f>vlookup(C1405,'Classificação p pessoal'!F:G,2,false)</f>
        <v>NP</v>
      </c>
      <c r="E1405" s="65" t="s">
        <v>823</v>
      </c>
      <c r="F1405" s="83">
        <v>0.6319444444444444</v>
      </c>
      <c r="G1405" s="83">
        <v>0.75</v>
      </c>
      <c r="H1405" s="83">
        <v>0.11805555555555555</v>
      </c>
      <c r="I1405" s="84">
        <v>44238.0</v>
      </c>
      <c r="J1405" s="65" t="b">
        <v>1</v>
      </c>
      <c r="K1405" s="65"/>
      <c r="L1405" s="85" t="b">
        <f>IF(VLOOKUP(C1405,Projetos!A:L,12,false)=TRUE,TRUE,FALSE)</f>
        <v>1</v>
      </c>
      <c r="M1405" s="74">
        <v>73.7079846079846</v>
      </c>
      <c r="N1405" s="74">
        <f t="shared" si="1"/>
        <v>208.8392897</v>
      </c>
      <c r="O1405" s="74" t="b">
        <v>1</v>
      </c>
    </row>
    <row r="1406" hidden="1">
      <c r="A1406" s="82"/>
      <c r="B1406" s="65" t="s">
        <v>495</v>
      </c>
      <c r="C1406" s="65" t="s">
        <v>108</v>
      </c>
      <c r="D1406" s="65" t="str">
        <f>vlookup(C1406,'Classificação p pessoal'!F:G,2,false)</f>
        <v>NP</v>
      </c>
      <c r="E1406" s="65" t="s">
        <v>824</v>
      </c>
      <c r="F1406" s="83">
        <v>0.5416666666666666</v>
      </c>
      <c r="G1406" s="83">
        <v>0.625</v>
      </c>
      <c r="H1406" s="83">
        <v>0.08333333333333333</v>
      </c>
      <c r="I1406" s="84">
        <v>44239.0</v>
      </c>
      <c r="J1406" s="65" t="b">
        <v>1</v>
      </c>
      <c r="K1406" s="65"/>
      <c r="L1406" s="85" t="b">
        <f>IF(VLOOKUP(C1406,Projetos!A:L,12,false)=TRUE,TRUE,FALSE)</f>
        <v>1</v>
      </c>
      <c r="M1406" s="74">
        <v>73.7079846079846</v>
      </c>
      <c r="N1406" s="74">
        <f t="shared" si="1"/>
        <v>147.4159692</v>
      </c>
      <c r="O1406" s="74" t="b">
        <v>1</v>
      </c>
    </row>
    <row r="1407" hidden="1">
      <c r="A1407" s="82"/>
      <c r="B1407" s="65" t="s">
        <v>495</v>
      </c>
      <c r="C1407" s="65" t="s">
        <v>92</v>
      </c>
      <c r="D1407" s="65" t="str">
        <f>vlookup(C1407,'Classificação p pessoal'!F:G,2,false)</f>
        <v/>
      </c>
      <c r="E1407" s="65" t="s">
        <v>825</v>
      </c>
      <c r="F1407" s="83">
        <v>0.625</v>
      </c>
      <c r="G1407" s="83">
        <v>0.75</v>
      </c>
      <c r="H1407" s="83">
        <v>0.125</v>
      </c>
      <c r="I1407" s="84">
        <v>44239.0</v>
      </c>
      <c r="J1407" s="65" t="b">
        <v>1</v>
      </c>
      <c r="K1407" s="65"/>
      <c r="L1407" s="85" t="b">
        <f>IF(VLOOKUP(C1407,Projetos!A:L,12,false)=TRUE,TRUE,FALSE)</f>
        <v>1</v>
      </c>
      <c r="M1407" s="74">
        <v>73.7079846079846</v>
      </c>
      <c r="N1407" s="74">
        <f t="shared" si="1"/>
        <v>221.1239538</v>
      </c>
      <c r="O1407" s="74" t="b">
        <v>1</v>
      </c>
    </row>
    <row r="1408" hidden="1">
      <c r="A1408" s="82"/>
      <c r="B1408" s="65" t="s">
        <v>495</v>
      </c>
      <c r="C1408" s="65" t="s">
        <v>92</v>
      </c>
      <c r="D1408" s="65" t="str">
        <f>vlookup(C1408,'Classificação p pessoal'!F:G,2,false)</f>
        <v/>
      </c>
      <c r="E1408" s="65" t="s">
        <v>813</v>
      </c>
      <c r="F1408" s="83">
        <v>0.5416666666666666</v>
      </c>
      <c r="G1408" s="83">
        <v>0.75</v>
      </c>
      <c r="H1408" s="83">
        <v>0.20833333333333334</v>
      </c>
      <c r="I1408" s="84">
        <v>44244.0</v>
      </c>
      <c r="J1408" s="65" t="b">
        <v>1</v>
      </c>
      <c r="K1408" s="65"/>
      <c r="L1408" s="85" t="b">
        <f>IF(VLOOKUP(C1408,Projetos!A:L,12,false)=TRUE,TRUE,FALSE)</f>
        <v>1</v>
      </c>
      <c r="M1408" s="74">
        <v>73.7079846079846</v>
      </c>
      <c r="N1408" s="74">
        <f t="shared" si="1"/>
        <v>368.539923</v>
      </c>
      <c r="O1408" s="74" t="b">
        <v>1</v>
      </c>
    </row>
    <row r="1409" hidden="1">
      <c r="A1409" s="82"/>
      <c r="B1409" s="65" t="s">
        <v>495</v>
      </c>
      <c r="C1409" s="65" t="s">
        <v>92</v>
      </c>
      <c r="D1409" s="65" t="str">
        <f>vlookup(C1409,'Classificação p pessoal'!F:G,2,false)</f>
        <v/>
      </c>
      <c r="E1409" s="65" t="s">
        <v>813</v>
      </c>
      <c r="F1409" s="83">
        <v>0.34375</v>
      </c>
      <c r="G1409" s="83">
        <v>0.75</v>
      </c>
      <c r="H1409" s="83">
        <v>0.40625</v>
      </c>
      <c r="I1409" s="84">
        <v>44245.0</v>
      </c>
      <c r="J1409" s="65" t="b">
        <v>1</v>
      </c>
      <c r="K1409" s="65"/>
      <c r="L1409" s="85" t="b">
        <f>IF(VLOOKUP(C1409,Projetos!A:L,12,false)=TRUE,TRUE,FALSE)</f>
        <v>1</v>
      </c>
      <c r="M1409" s="74">
        <v>73.7079846079846</v>
      </c>
      <c r="N1409" s="74">
        <f t="shared" si="1"/>
        <v>718.6528499</v>
      </c>
      <c r="O1409" s="74" t="b">
        <v>1</v>
      </c>
    </row>
    <row r="1410" hidden="1">
      <c r="A1410" s="82"/>
      <c r="B1410" s="65" t="s">
        <v>495</v>
      </c>
      <c r="C1410" s="65" t="s">
        <v>92</v>
      </c>
      <c r="D1410" s="65" t="str">
        <f>vlookup(C1410,'Classificação p pessoal'!F:G,2,false)</f>
        <v/>
      </c>
      <c r="E1410" s="65" t="s">
        <v>813</v>
      </c>
      <c r="F1410" s="83">
        <v>0.34375</v>
      </c>
      <c r="G1410" s="83">
        <v>0.5416666666666666</v>
      </c>
      <c r="H1410" s="83">
        <v>0.19791666666666666</v>
      </c>
      <c r="I1410" s="84">
        <v>44246.0</v>
      </c>
      <c r="J1410" s="65" t="b">
        <v>1</v>
      </c>
      <c r="K1410" s="65"/>
      <c r="L1410" s="85" t="b">
        <f>IF(VLOOKUP(C1410,Projetos!A:L,12,false)=TRUE,TRUE,FALSE)</f>
        <v>1</v>
      </c>
      <c r="M1410" s="74">
        <v>73.7079846079846</v>
      </c>
      <c r="N1410" s="74">
        <f t="shared" si="1"/>
        <v>350.1129269</v>
      </c>
      <c r="O1410" s="74" t="b">
        <v>1</v>
      </c>
    </row>
    <row r="1411" hidden="1">
      <c r="A1411" s="82"/>
      <c r="B1411" s="65" t="s">
        <v>495</v>
      </c>
      <c r="C1411" s="65" t="s">
        <v>108</v>
      </c>
      <c r="D1411" s="65" t="str">
        <f>vlookup(C1411,'Classificação p pessoal'!F:G,2,false)</f>
        <v>NP</v>
      </c>
      <c r="E1411" s="65" t="s">
        <v>826</v>
      </c>
      <c r="F1411" s="83">
        <v>0.5833333333333334</v>
      </c>
      <c r="G1411" s="83">
        <v>0.6388888888888888</v>
      </c>
      <c r="H1411" s="83">
        <v>0.05555555555555555</v>
      </c>
      <c r="I1411" s="84">
        <v>44246.0</v>
      </c>
      <c r="J1411" s="65" t="b">
        <v>1</v>
      </c>
      <c r="K1411" s="65"/>
      <c r="L1411" s="85" t="b">
        <f>IF(VLOOKUP(C1411,Projetos!A:L,12,false)=TRUE,TRUE,FALSE)</f>
        <v>1</v>
      </c>
      <c r="M1411" s="74">
        <v>73.7079846079846</v>
      </c>
      <c r="N1411" s="74">
        <f t="shared" si="1"/>
        <v>98.27731281</v>
      </c>
      <c r="O1411" s="74" t="b">
        <v>1</v>
      </c>
    </row>
    <row r="1412" hidden="1">
      <c r="A1412" s="82"/>
      <c r="B1412" s="65" t="s">
        <v>495</v>
      </c>
      <c r="C1412" s="65" t="s">
        <v>92</v>
      </c>
      <c r="D1412" s="65" t="str">
        <f>vlookup(C1412,'Classificação p pessoal'!F:G,2,false)</f>
        <v/>
      </c>
      <c r="E1412" s="65" t="s">
        <v>827</v>
      </c>
      <c r="F1412" s="83">
        <v>0.6388888888888888</v>
      </c>
      <c r="G1412" s="83">
        <v>0.75</v>
      </c>
      <c r="H1412" s="83">
        <v>0.1111111111111111</v>
      </c>
      <c r="I1412" s="84">
        <v>44246.0</v>
      </c>
      <c r="J1412" s="65" t="b">
        <v>1</v>
      </c>
      <c r="K1412" s="65"/>
      <c r="L1412" s="85" t="b">
        <f>IF(VLOOKUP(C1412,Projetos!A:L,12,false)=TRUE,TRUE,FALSE)</f>
        <v>1</v>
      </c>
      <c r="M1412" s="74">
        <v>73.7079846079846</v>
      </c>
      <c r="N1412" s="74">
        <f t="shared" si="1"/>
        <v>196.5546256</v>
      </c>
      <c r="O1412" s="74" t="b">
        <v>1</v>
      </c>
    </row>
    <row r="1413" hidden="1">
      <c r="A1413" s="82"/>
      <c r="B1413" s="65" t="s">
        <v>495</v>
      </c>
      <c r="C1413" s="65" t="s">
        <v>92</v>
      </c>
      <c r="D1413" s="65" t="str">
        <f>vlookup(C1413,'Classificação p pessoal'!F:G,2,false)</f>
        <v/>
      </c>
      <c r="E1413" s="65" t="s">
        <v>813</v>
      </c>
      <c r="F1413" s="83">
        <v>0.34375</v>
      </c>
      <c r="G1413" s="83">
        <v>0.5</v>
      </c>
      <c r="H1413" s="83">
        <v>0.15625</v>
      </c>
      <c r="I1413" s="84">
        <v>44249.0</v>
      </c>
      <c r="J1413" s="65" t="b">
        <v>1</v>
      </c>
      <c r="K1413" s="65"/>
      <c r="L1413" s="85" t="b">
        <f>IF(VLOOKUP(C1413,Projetos!A:L,12,false)=TRUE,TRUE,FALSE)</f>
        <v>1</v>
      </c>
      <c r="M1413" s="74">
        <v>73.7079846079846</v>
      </c>
      <c r="N1413" s="74">
        <f t="shared" si="1"/>
        <v>276.4049423</v>
      </c>
      <c r="O1413" s="74" t="b">
        <v>1</v>
      </c>
    </row>
    <row r="1414" hidden="1">
      <c r="A1414" s="82"/>
      <c r="B1414" s="65" t="s">
        <v>495</v>
      </c>
      <c r="C1414" s="65" t="s">
        <v>108</v>
      </c>
      <c r="D1414" s="65" t="str">
        <f>vlookup(C1414,'Classificação p pessoal'!F:G,2,false)</f>
        <v>NP</v>
      </c>
      <c r="E1414" s="65" t="s">
        <v>813</v>
      </c>
      <c r="F1414" s="83">
        <v>0.5</v>
      </c>
      <c r="G1414" s="83">
        <v>0.5416666666666666</v>
      </c>
      <c r="H1414" s="83">
        <v>0.041666666666666664</v>
      </c>
      <c r="I1414" s="84">
        <v>44249.0</v>
      </c>
      <c r="J1414" s="65" t="b">
        <v>1</v>
      </c>
      <c r="K1414" s="65"/>
      <c r="L1414" s="85" t="b">
        <f>IF(VLOOKUP(C1414,Projetos!A:L,12,false)=TRUE,TRUE,FALSE)</f>
        <v>1</v>
      </c>
      <c r="M1414" s="74">
        <v>73.7079846079846</v>
      </c>
      <c r="N1414" s="74">
        <f t="shared" si="1"/>
        <v>73.70798461</v>
      </c>
      <c r="O1414" s="74" t="b">
        <v>1</v>
      </c>
    </row>
    <row r="1415" hidden="1">
      <c r="A1415" s="82"/>
      <c r="B1415" s="65" t="s">
        <v>495</v>
      </c>
      <c r="C1415" s="65" t="s">
        <v>108</v>
      </c>
      <c r="D1415" s="65" t="str">
        <f>vlookup(C1415,'Classificação p pessoal'!F:G,2,false)</f>
        <v>NP</v>
      </c>
      <c r="E1415" s="65" t="s">
        <v>827</v>
      </c>
      <c r="F1415" s="83">
        <v>0.5833333333333334</v>
      </c>
      <c r="G1415" s="83">
        <v>0.625</v>
      </c>
      <c r="H1415" s="83">
        <v>0.041666666666666664</v>
      </c>
      <c r="I1415" s="84">
        <v>44249.0</v>
      </c>
      <c r="J1415" s="65" t="b">
        <v>1</v>
      </c>
      <c r="K1415" s="65"/>
      <c r="L1415" s="85" t="b">
        <f>IF(VLOOKUP(C1415,Projetos!A:L,12,false)=TRUE,TRUE,FALSE)</f>
        <v>1</v>
      </c>
      <c r="M1415" s="74">
        <v>73.7079846079846</v>
      </c>
      <c r="N1415" s="74">
        <f t="shared" si="1"/>
        <v>73.70798461</v>
      </c>
      <c r="O1415" s="74" t="b">
        <v>1</v>
      </c>
    </row>
    <row r="1416" hidden="1">
      <c r="A1416" s="82"/>
      <c r="B1416" s="65" t="s">
        <v>495</v>
      </c>
      <c r="C1416" s="65" t="s">
        <v>92</v>
      </c>
      <c r="D1416" s="65"/>
      <c r="E1416" s="65" t="s">
        <v>828</v>
      </c>
      <c r="F1416" s="83">
        <v>0.625</v>
      </c>
      <c r="G1416" s="83">
        <v>0.6666666666666666</v>
      </c>
      <c r="H1416" s="83">
        <v>0.041666666666666664</v>
      </c>
      <c r="I1416" s="84">
        <v>44249.0</v>
      </c>
      <c r="J1416" s="65" t="b">
        <v>0</v>
      </c>
      <c r="K1416" s="65" t="s">
        <v>150</v>
      </c>
      <c r="L1416" s="85" t="b">
        <f>IF(VLOOKUP(C1416,Projetos!A:L,12,false)=TRUE,TRUE,FALSE)</f>
        <v>1</v>
      </c>
      <c r="M1416" s="74">
        <v>73.7079846079846</v>
      </c>
      <c r="N1416" s="74">
        <f t="shared" si="1"/>
        <v>0</v>
      </c>
      <c r="O1416" s="74" t="b">
        <v>1</v>
      </c>
    </row>
    <row r="1417" hidden="1">
      <c r="A1417" s="82"/>
      <c r="B1417" s="65" t="s">
        <v>495</v>
      </c>
      <c r="C1417" s="65" t="s">
        <v>117</v>
      </c>
      <c r="D1417" s="65" t="str">
        <f>vlookup(C1417,'Classificação p pessoal'!F:G,2,false)</f>
        <v>NP</v>
      </c>
      <c r="E1417" s="65" t="s">
        <v>829</v>
      </c>
      <c r="F1417" s="83">
        <v>0.6041666666666666</v>
      </c>
      <c r="G1417" s="83">
        <v>0.75</v>
      </c>
      <c r="H1417" s="83">
        <v>0.14583333333333334</v>
      </c>
      <c r="I1417" s="84">
        <v>44250.0</v>
      </c>
      <c r="J1417" s="65" t="b">
        <v>1</v>
      </c>
      <c r="K1417" s="65"/>
      <c r="L1417" s="85" t="b">
        <f>IF(VLOOKUP(C1417,Projetos!A:L,12,false)=TRUE,TRUE,FALSE)</f>
        <v>1</v>
      </c>
      <c r="M1417" s="74">
        <v>73.7079846079846</v>
      </c>
      <c r="N1417" s="74">
        <f t="shared" si="1"/>
        <v>257.9779461</v>
      </c>
      <c r="O1417" s="74" t="b">
        <v>1</v>
      </c>
    </row>
    <row r="1418" hidden="1">
      <c r="A1418" s="82"/>
      <c r="B1418" s="65" t="s">
        <v>495</v>
      </c>
      <c r="C1418" s="65" t="s">
        <v>92</v>
      </c>
      <c r="D1418" s="65" t="str">
        <f>vlookup(C1418,'Classificação p pessoal'!F:G,2,false)</f>
        <v/>
      </c>
      <c r="E1418" s="65" t="s">
        <v>830</v>
      </c>
      <c r="F1418" s="83">
        <v>0.34375</v>
      </c>
      <c r="G1418" s="83">
        <v>0.4583333333333333</v>
      </c>
      <c r="H1418" s="83">
        <v>0.11458333333333333</v>
      </c>
      <c r="I1418" s="84">
        <v>44251.0</v>
      </c>
      <c r="J1418" s="65" t="b">
        <v>1</v>
      </c>
      <c r="K1418" s="65"/>
      <c r="L1418" s="85" t="b">
        <f>IF(VLOOKUP(C1418,Projetos!A:L,12,false)=TRUE,TRUE,FALSE)</f>
        <v>1</v>
      </c>
      <c r="M1418" s="74">
        <v>73.7079846079846</v>
      </c>
      <c r="N1418" s="74">
        <f t="shared" si="1"/>
        <v>202.6969577</v>
      </c>
      <c r="O1418" s="74" t="b">
        <v>1</v>
      </c>
    </row>
    <row r="1419" hidden="1">
      <c r="A1419" s="82"/>
      <c r="B1419" s="65" t="s">
        <v>495</v>
      </c>
      <c r="C1419" s="65" t="s">
        <v>92</v>
      </c>
      <c r="D1419" s="65" t="str">
        <f>vlookup(C1419,'Classificação p pessoal'!F:G,2,false)</f>
        <v/>
      </c>
      <c r="E1419" s="65" t="s">
        <v>813</v>
      </c>
      <c r="F1419" s="83">
        <v>0.4583333333333333</v>
      </c>
      <c r="G1419" s="83">
        <v>0.5</v>
      </c>
      <c r="H1419" s="83">
        <v>0.041666666666666664</v>
      </c>
      <c r="I1419" s="84">
        <v>44251.0</v>
      </c>
      <c r="J1419" s="65" t="b">
        <v>1</v>
      </c>
      <c r="K1419" s="65"/>
      <c r="L1419" s="85" t="b">
        <f>IF(VLOOKUP(C1419,Projetos!A:L,12,false)=TRUE,TRUE,FALSE)</f>
        <v>1</v>
      </c>
      <c r="M1419" s="74">
        <v>73.7079846079846</v>
      </c>
      <c r="N1419" s="74">
        <f t="shared" si="1"/>
        <v>73.70798461</v>
      </c>
      <c r="O1419" s="74" t="b">
        <v>1</v>
      </c>
    </row>
    <row r="1420" hidden="1">
      <c r="A1420" s="82"/>
      <c r="B1420" s="65" t="s">
        <v>495</v>
      </c>
      <c r="C1420" s="65" t="s">
        <v>92</v>
      </c>
      <c r="D1420" s="65" t="str">
        <f>vlookup(C1420,'Classificação p pessoal'!F:G,2,false)</f>
        <v/>
      </c>
      <c r="E1420" s="65" t="s">
        <v>825</v>
      </c>
      <c r="F1420" s="83">
        <v>0.34375</v>
      </c>
      <c r="G1420" s="83">
        <v>0.5416666666666666</v>
      </c>
      <c r="H1420" s="83">
        <v>0.19791666666666666</v>
      </c>
      <c r="I1420" s="84">
        <v>43886.0</v>
      </c>
      <c r="J1420" s="65" t="b">
        <v>1</v>
      </c>
      <c r="K1420" s="65"/>
      <c r="L1420" s="85" t="b">
        <f>IF(VLOOKUP(C1420,Projetos!A:L,12,false)=TRUE,TRUE,FALSE)</f>
        <v>1</v>
      </c>
      <c r="M1420" s="74">
        <v>73.7079846079846</v>
      </c>
      <c r="N1420" s="74">
        <f t="shared" si="1"/>
        <v>350.1129269</v>
      </c>
      <c r="O1420" s="74" t="b">
        <v>1</v>
      </c>
    </row>
    <row r="1421" hidden="1">
      <c r="A1421" s="82"/>
      <c r="B1421" s="65" t="s">
        <v>495</v>
      </c>
      <c r="C1421" s="65" t="s">
        <v>101</v>
      </c>
      <c r="D1421" s="65" t="str">
        <f>vlookup(C1421,'Classificação p pessoal'!F:G,2,false)</f>
        <v>NP</v>
      </c>
      <c r="E1421" s="65" t="s">
        <v>831</v>
      </c>
      <c r="F1421" s="83">
        <v>0.5833333333333334</v>
      </c>
      <c r="G1421" s="83">
        <v>0.6666666666666666</v>
      </c>
      <c r="H1421" s="83">
        <v>0.08333333333333333</v>
      </c>
      <c r="I1421" s="84">
        <v>43886.0</v>
      </c>
      <c r="J1421" s="65" t="b">
        <v>1</v>
      </c>
      <c r="K1421" s="65"/>
      <c r="L1421" s="85" t="b">
        <f>IF(VLOOKUP(C1421,Projetos!A:L,12,false)=TRUE,TRUE,FALSE)</f>
        <v>1</v>
      </c>
      <c r="M1421" s="74">
        <v>73.7079846079846</v>
      </c>
      <c r="N1421" s="74">
        <f t="shared" si="1"/>
        <v>147.4159692</v>
      </c>
      <c r="O1421" s="74" t="b">
        <v>1</v>
      </c>
    </row>
    <row r="1422" hidden="1">
      <c r="A1422" s="82"/>
      <c r="B1422" s="65" t="s">
        <v>495</v>
      </c>
      <c r="C1422" s="65" t="s">
        <v>92</v>
      </c>
      <c r="D1422" s="65" t="str">
        <f>vlookup(C1422,'Classificação p pessoal'!F:G,2,false)</f>
        <v/>
      </c>
      <c r="E1422" s="65" t="s">
        <v>813</v>
      </c>
      <c r="F1422" s="83">
        <v>0.6666666666666666</v>
      </c>
      <c r="G1422" s="83">
        <v>0.75</v>
      </c>
      <c r="H1422" s="83">
        <v>0.08333333333333333</v>
      </c>
      <c r="I1422" s="84">
        <v>43886.0</v>
      </c>
      <c r="J1422" s="65" t="b">
        <v>1</v>
      </c>
      <c r="K1422" s="65"/>
      <c r="L1422" s="85" t="b">
        <f>IF(VLOOKUP(C1422,Projetos!A:L,12,false)=TRUE,TRUE,FALSE)</f>
        <v>1</v>
      </c>
      <c r="M1422" s="74">
        <v>73.7079846079846</v>
      </c>
      <c r="N1422" s="74">
        <f t="shared" si="1"/>
        <v>147.4159692</v>
      </c>
      <c r="O1422" s="74" t="b">
        <v>1</v>
      </c>
    </row>
    <row r="1423" hidden="1">
      <c r="A1423" s="82"/>
      <c r="B1423" s="65" t="s">
        <v>495</v>
      </c>
      <c r="C1423" s="65" t="s">
        <v>92</v>
      </c>
      <c r="D1423" s="65" t="str">
        <f>vlookup(C1423,'Classificação p pessoal'!F:G,2,false)</f>
        <v/>
      </c>
      <c r="E1423" s="65" t="s">
        <v>832</v>
      </c>
      <c r="F1423" s="83">
        <v>0.34375</v>
      </c>
      <c r="G1423" s="83">
        <v>0.4583333333333333</v>
      </c>
      <c r="H1423" s="83">
        <v>0.11458333333333333</v>
      </c>
      <c r="I1423" s="84">
        <v>43887.0</v>
      </c>
      <c r="J1423" s="65" t="b">
        <v>1</v>
      </c>
      <c r="K1423" s="65"/>
      <c r="L1423" s="85" t="b">
        <f>IF(VLOOKUP(C1423,Projetos!A:L,12,false)=TRUE,TRUE,FALSE)</f>
        <v>1</v>
      </c>
      <c r="M1423" s="74">
        <v>73.7079846079846</v>
      </c>
      <c r="N1423" s="74">
        <f t="shared" si="1"/>
        <v>202.6969577</v>
      </c>
      <c r="O1423" s="74" t="b">
        <v>1</v>
      </c>
    </row>
    <row r="1424" hidden="1">
      <c r="A1424" s="82"/>
      <c r="B1424" s="65" t="s">
        <v>495</v>
      </c>
      <c r="C1424" s="65" t="s">
        <v>108</v>
      </c>
      <c r="D1424" s="65" t="str">
        <f>vlookup(C1424,'Classificação p pessoal'!F:G,2,false)</f>
        <v>NP</v>
      </c>
      <c r="E1424" s="65" t="s">
        <v>833</v>
      </c>
      <c r="F1424" s="83">
        <v>0.34375</v>
      </c>
      <c r="G1424" s="83">
        <v>0.3854166666666667</v>
      </c>
      <c r="H1424" s="83">
        <v>0.041666666666666664</v>
      </c>
      <c r="I1424" s="84">
        <v>44256.0</v>
      </c>
      <c r="J1424" s="65" t="b">
        <v>1</v>
      </c>
      <c r="K1424" s="65"/>
      <c r="L1424" s="85" t="b">
        <f>IF(VLOOKUP(C1424,Projetos!A:L,12,false)=TRUE,TRUE,FALSE)</f>
        <v>1</v>
      </c>
      <c r="M1424" s="74">
        <v>73.7079846079846</v>
      </c>
      <c r="N1424" s="74">
        <f t="shared" si="1"/>
        <v>73.70798461</v>
      </c>
      <c r="O1424" s="74" t="b">
        <v>1</v>
      </c>
    </row>
    <row r="1425" hidden="1">
      <c r="A1425" s="82"/>
      <c r="B1425" s="65" t="s">
        <v>495</v>
      </c>
      <c r="C1425" s="65" t="s">
        <v>92</v>
      </c>
      <c r="D1425" s="65" t="str">
        <f>vlookup(C1425,'Classificação p pessoal'!F:G,2,false)</f>
        <v/>
      </c>
      <c r="E1425" s="65" t="s">
        <v>834</v>
      </c>
      <c r="F1425" s="83">
        <v>0.4166666666666667</v>
      </c>
      <c r="G1425" s="83">
        <v>0.5416666666666666</v>
      </c>
      <c r="H1425" s="83">
        <v>0.125</v>
      </c>
      <c r="I1425" s="84">
        <v>44256.0</v>
      </c>
      <c r="J1425" s="65" t="b">
        <v>1</v>
      </c>
      <c r="K1425" s="65"/>
      <c r="L1425" s="85" t="b">
        <f>IF(VLOOKUP(C1425,Projetos!A:L,12,false)=TRUE,TRUE,FALSE)</f>
        <v>1</v>
      </c>
      <c r="M1425" s="74">
        <v>73.7079846079846</v>
      </c>
      <c r="N1425" s="74">
        <f t="shared" si="1"/>
        <v>221.1239538</v>
      </c>
      <c r="O1425" s="74" t="b">
        <v>1</v>
      </c>
    </row>
    <row r="1426" hidden="1">
      <c r="A1426" s="82"/>
      <c r="B1426" s="65" t="s">
        <v>495</v>
      </c>
      <c r="C1426" s="65" t="s">
        <v>92</v>
      </c>
      <c r="D1426" s="65" t="str">
        <f>vlookup(C1426,'Classificação p pessoal'!F:G,2,false)</f>
        <v/>
      </c>
      <c r="E1426" s="65" t="s">
        <v>835</v>
      </c>
      <c r="F1426" s="83">
        <v>0.5833333333333334</v>
      </c>
      <c r="G1426" s="83">
        <v>0.75</v>
      </c>
      <c r="H1426" s="83">
        <v>0.16666666666666666</v>
      </c>
      <c r="I1426" s="84">
        <v>44256.0</v>
      </c>
      <c r="J1426" s="65" t="b">
        <v>1</v>
      </c>
      <c r="K1426" s="65"/>
      <c r="L1426" s="85" t="b">
        <f>IF(VLOOKUP(C1426,Projetos!A:L,12,false)=TRUE,TRUE,FALSE)</f>
        <v>1</v>
      </c>
      <c r="M1426" s="74">
        <v>73.7079846079846</v>
      </c>
      <c r="N1426" s="74">
        <f t="shared" si="1"/>
        <v>294.8319384</v>
      </c>
      <c r="O1426" s="74" t="b">
        <v>1</v>
      </c>
    </row>
    <row r="1427" hidden="1">
      <c r="A1427" s="82"/>
      <c r="B1427" s="65" t="s">
        <v>495</v>
      </c>
      <c r="C1427" s="65" t="s">
        <v>92</v>
      </c>
      <c r="D1427" s="65" t="str">
        <f>vlookup(C1427,'Classificação p pessoal'!F:G,2,false)</f>
        <v/>
      </c>
      <c r="E1427" s="65" t="s">
        <v>836</v>
      </c>
      <c r="F1427" s="83">
        <v>0.34375</v>
      </c>
      <c r="G1427" s="83">
        <v>0.5416666666666666</v>
      </c>
      <c r="H1427" s="83">
        <v>0.19791666666666666</v>
      </c>
      <c r="I1427" s="84">
        <v>44257.0</v>
      </c>
      <c r="J1427" s="65" t="b">
        <v>1</v>
      </c>
      <c r="K1427" s="65"/>
      <c r="L1427" s="85" t="b">
        <f>IF(VLOOKUP(C1427,Projetos!A:L,12,false)=TRUE,TRUE,FALSE)</f>
        <v>1</v>
      </c>
      <c r="M1427" s="74">
        <v>73.7079846079846</v>
      </c>
      <c r="N1427" s="74">
        <f t="shared" si="1"/>
        <v>350.1129269</v>
      </c>
      <c r="O1427" s="74" t="b">
        <v>1</v>
      </c>
    </row>
    <row r="1428" hidden="1">
      <c r="A1428" s="82"/>
      <c r="B1428" s="65" t="s">
        <v>495</v>
      </c>
      <c r="C1428" s="65" t="s">
        <v>92</v>
      </c>
      <c r="D1428" s="65" t="str">
        <f>vlookup(C1428,'Classificação p pessoal'!F:G,2,false)</f>
        <v/>
      </c>
      <c r="E1428" s="65" t="s">
        <v>837</v>
      </c>
      <c r="F1428" s="83">
        <v>0.5833333333333334</v>
      </c>
      <c r="G1428" s="83">
        <v>0.75</v>
      </c>
      <c r="H1428" s="83">
        <v>0.16666666666666666</v>
      </c>
      <c r="I1428" s="84">
        <v>44257.0</v>
      </c>
      <c r="J1428" s="65" t="b">
        <v>1</v>
      </c>
      <c r="K1428" s="65"/>
      <c r="L1428" s="85" t="b">
        <f>IF(VLOOKUP(C1428,Projetos!A:L,12,false)=TRUE,TRUE,FALSE)</f>
        <v>1</v>
      </c>
      <c r="M1428" s="74">
        <v>73.7079846079846</v>
      </c>
      <c r="N1428" s="74">
        <f t="shared" si="1"/>
        <v>294.8319384</v>
      </c>
      <c r="O1428" s="74" t="b">
        <v>1</v>
      </c>
    </row>
    <row r="1429" hidden="1">
      <c r="A1429" s="82"/>
      <c r="B1429" s="65" t="s">
        <v>495</v>
      </c>
      <c r="C1429" s="65" t="s">
        <v>92</v>
      </c>
      <c r="D1429" s="65"/>
      <c r="E1429" s="65" t="s">
        <v>838</v>
      </c>
      <c r="F1429" s="83">
        <v>0.34375</v>
      </c>
      <c r="G1429" s="83">
        <v>0.4166666666666667</v>
      </c>
      <c r="H1429" s="83">
        <v>0.07291666666666667</v>
      </c>
      <c r="I1429" s="84">
        <v>44258.0</v>
      </c>
      <c r="J1429" s="65" t="b">
        <v>0</v>
      </c>
      <c r="K1429" s="65" t="s">
        <v>150</v>
      </c>
      <c r="L1429" s="85" t="b">
        <f>IF(VLOOKUP(C1429,Projetos!A:L,12,false)=TRUE,TRUE,FALSE)</f>
        <v>1</v>
      </c>
      <c r="M1429" s="74">
        <v>73.7079846079846</v>
      </c>
      <c r="N1429" s="74">
        <f t="shared" si="1"/>
        <v>0</v>
      </c>
      <c r="O1429" s="74" t="b">
        <v>1</v>
      </c>
    </row>
    <row r="1430" hidden="1">
      <c r="A1430" s="82"/>
      <c r="B1430" s="65" t="s">
        <v>495</v>
      </c>
      <c r="C1430" s="65" t="s">
        <v>108</v>
      </c>
      <c r="D1430" s="65" t="str">
        <f>vlookup(C1430,'Classificação p pessoal'!F:G,2,false)</f>
        <v>NP</v>
      </c>
      <c r="E1430" s="65" t="s">
        <v>839</v>
      </c>
      <c r="F1430" s="83">
        <v>0.4166666666666667</v>
      </c>
      <c r="G1430" s="83">
        <v>0.5416666666666666</v>
      </c>
      <c r="H1430" s="83">
        <v>0.125</v>
      </c>
      <c r="I1430" s="84">
        <v>44258.0</v>
      </c>
      <c r="J1430" s="65" t="b">
        <v>1</v>
      </c>
      <c r="K1430" s="65"/>
      <c r="L1430" s="85" t="b">
        <f>IF(VLOOKUP(C1430,Projetos!A:L,12,false)=TRUE,TRUE,FALSE)</f>
        <v>1</v>
      </c>
      <c r="M1430" s="74">
        <v>73.7079846079846</v>
      </c>
      <c r="N1430" s="74">
        <f t="shared" si="1"/>
        <v>221.1239538</v>
      </c>
      <c r="O1430" s="74" t="b">
        <v>1</v>
      </c>
    </row>
    <row r="1431" hidden="1">
      <c r="A1431" s="82"/>
      <c r="B1431" s="65" t="s">
        <v>495</v>
      </c>
      <c r="C1431" s="65" t="s">
        <v>92</v>
      </c>
      <c r="D1431" s="65"/>
      <c r="E1431" s="65" t="s">
        <v>840</v>
      </c>
      <c r="F1431" s="83">
        <v>0.5833333333333334</v>
      </c>
      <c r="G1431" s="83">
        <v>0.6875</v>
      </c>
      <c r="H1431" s="83">
        <v>0.10416666666666667</v>
      </c>
      <c r="I1431" s="84">
        <v>44258.0</v>
      </c>
      <c r="J1431" s="65" t="b">
        <v>0</v>
      </c>
      <c r="K1431" s="65" t="s">
        <v>150</v>
      </c>
      <c r="L1431" s="85" t="b">
        <f>IF(VLOOKUP(C1431,Projetos!A:L,12,false)=TRUE,TRUE,FALSE)</f>
        <v>1</v>
      </c>
      <c r="M1431" s="74">
        <v>73.7079846079846</v>
      </c>
      <c r="N1431" s="74">
        <f t="shared" si="1"/>
        <v>0</v>
      </c>
      <c r="O1431" s="74" t="b">
        <v>1</v>
      </c>
    </row>
    <row r="1432" hidden="1">
      <c r="A1432" s="82"/>
      <c r="B1432" s="65" t="s">
        <v>411</v>
      </c>
      <c r="C1432" s="65" t="s">
        <v>130</v>
      </c>
      <c r="D1432" s="65"/>
      <c r="E1432" s="65" t="s">
        <v>841</v>
      </c>
      <c r="F1432" s="83">
        <v>0.6041666666666666</v>
      </c>
      <c r="G1432" s="83">
        <v>0.7083333333333334</v>
      </c>
      <c r="H1432" s="83">
        <v>0.10416666666666667</v>
      </c>
      <c r="I1432" s="84">
        <v>44286.0</v>
      </c>
      <c r="J1432" s="65" t="b">
        <v>0</v>
      </c>
      <c r="K1432" s="65"/>
      <c r="L1432" s="85" t="b">
        <f>IF(VLOOKUP(C1432,Projetos!A:L,12,false)=TRUE,TRUE,FALSE)</f>
        <v>1</v>
      </c>
      <c r="M1432" s="74">
        <v>52.48434411075036</v>
      </c>
      <c r="N1432" s="74">
        <f t="shared" si="1"/>
        <v>0</v>
      </c>
      <c r="O1432" s="74" t="b">
        <v>1</v>
      </c>
    </row>
    <row r="1433" hidden="1">
      <c r="A1433" s="82"/>
      <c r="B1433" s="65" t="s">
        <v>495</v>
      </c>
      <c r="C1433" s="65" t="s">
        <v>84</v>
      </c>
      <c r="D1433" s="65"/>
      <c r="E1433" s="65" t="s">
        <v>842</v>
      </c>
      <c r="F1433" s="83">
        <v>0.34375</v>
      </c>
      <c r="G1433" s="83">
        <v>0.4583333333333333</v>
      </c>
      <c r="H1433" s="83">
        <v>0.11458333333333333</v>
      </c>
      <c r="I1433" s="84">
        <v>44259.0</v>
      </c>
      <c r="J1433" s="65" t="b">
        <v>0</v>
      </c>
      <c r="K1433" s="65"/>
      <c r="L1433" s="85" t="b">
        <f>IF(VLOOKUP(C1433,Projetos!A:L,12,false)=TRUE,TRUE,FALSE)</f>
        <v>0</v>
      </c>
      <c r="M1433" s="74">
        <v>73.7079846079846</v>
      </c>
      <c r="N1433" s="74">
        <f t="shared" si="1"/>
        <v>0</v>
      </c>
      <c r="O1433" s="74" t="b">
        <v>0</v>
      </c>
    </row>
    <row r="1434" hidden="1">
      <c r="A1434" s="82"/>
      <c r="B1434" s="65" t="s">
        <v>495</v>
      </c>
      <c r="C1434" s="65" t="s">
        <v>92</v>
      </c>
      <c r="D1434" s="65" t="str">
        <f>vlookup(C1434,'Classificação p pessoal'!F:G,2,false)</f>
        <v/>
      </c>
      <c r="E1434" s="65" t="s">
        <v>834</v>
      </c>
      <c r="F1434" s="83">
        <v>0.46875</v>
      </c>
      <c r="G1434" s="83">
        <v>0.5416666666666666</v>
      </c>
      <c r="H1434" s="83">
        <v>0.07291666666666667</v>
      </c>
      <c r="I1434" s="84">
        <v>44259.0</v>
      </c>
      <c r="J1434" s="65" t="b">
        <v>1</v>
      </c>
      <c r="K1434" s="65"/>
      <c r="L1434" s="85" t="b">
        <f>IF(VLOOKUP(C1434,Projetos!A:L,12,false)=TRUE,TRUE,FALSE)</f>
        <v>1</v>
      </c>
      <c r="M1434" s="74">
        <v>73.7079846079846</v>
      </c>
      <c r="N1434" s="74">
        <f t="shared" si="1"/>
        <v>128.9889731</v>
      </c>
      <c r="O1434" s="74" t="b">
        <v>1</v>
      </c>
    </row>
    <row r="1435" hidden="1">
      <c r="A1435" s="82"/>
      <c r="B1435" s="65" t="s">
        <v>495</v>
      </c>
      <c r="C1435" s="65" t="s">
        <v>108</v>
      </c>
      <c r="D1435" s="65" t="str">
        <f>vlookup(C1435,'Classificação p pessoal'!F:G,2,false)</f>
        <v>NP</v>
      </c>
      <c r="E1435" s="65" t="s">
        <v>843</v>
      </c>
      <c r="F1435" s="83">
        <v>0.5833333333333334</v>
      </c>
      <c r="G1435" s="83">
        <v>0.7083333333333334</v>
      </c>
      <c r="H1435" s="83">
        <v>0.125</v>
      </c>
      <c r="I1435" s="84">
        <v>44259.0</v>
      </c>
      <c r="J1435" s="65" t="b">
        <v>1</v>
      </c>
      <c r="K1435" s="65"/>
      <c r="L1435" s="85" t="b">
        <f>IF(VLOOKUP(C1435,Projetos!A:L,12,false)=TRUE,TRUE,FALSE)</f>
        <v>1</v>
      </c>
      <c r="M1435" s="74">
        <v>73.7079846079846</v>
      </c>
      <c r="N1435" s="74">
        <f t="shared" si="1"/>
        <v>221.1239538</v>
      </c>
      <c r="O1435" s="74" t="b">
        <v>1</v>
      </c>
    </row>
    <row r="1436" hidden="1">
      <c r="A1436" s="82"/>
      <c r="B1436" s="65" t="s">
        <v>495</v>
      </c>
      <c r="C1436" s="65" t="s">
        <v>92</v>
      </c>
      <c r="D1436" s="65" t="str">
        <f>vlookup(C1436,'Classificação p pessoal'!F:G,2,false)</f>
        <v/>
      </c>
      <c r="E1436" s="65" t="s">
        <v>844</v>
      </c>
      <c r="F1436" s="83">
        <v>0.7083333333333334</v>
      </c>
      <c r="G1436" s="83">
        <v>0.75</v>
      </c>
      <c r="H1436" s="83">
        <v>0.041666666666666664</v>
      </c>
      <c r="I1436" s="84">
        <v>44259.0</v>
      </c>
      <c r="J1436" s="65" t="b">
        <v>1</v>
      </c>
      <c r="K1436" s="65"/>
      <c r="L1436" s="85" t="b">
        <f>IF(VLOOKUP(C1436,Projetos!A:L,12,false)=TRUE,TRUE,FALSE)</f>
        <v>1</v>
      </c>
      <c r="M1436" s="74">
        <v>73.7079846079846</v>
      </c>
      <c r="N1436" s="74">
        <f t="shared" si="1"/>
        <v>73.70798461</v>
      </c>
      <c r="O1436" s="74" t="b">
        <v>1</v>
      </c>
    </row>
    <row r="1437" hidden="1">
      <c r="A1437" s="82"/>
      <c r="B1437" s="65" t="s">
        <v>495</v>
      </c>
      <c r="C1437" s="65" t="s">
        <v>92</v>
      </c>
      <c r="D1437" s="65" t="str">
        <f>vlookup(C1437,'Classificação p pessoal'!F:G,2,false)</f>
        <v/>
      </c>
      <c r="E1437" s="65" t="s">
        <v>834</v>
      </c>
      <c r="F1437" s="83">
        <v>0.4166666666666667</v>
      </c>
      <c r="G1437" s="83">
        <v>0.5416666666666666</v>
      </c>
      <c r="H1437" s="83">
        <v>0.125</v>
      </c>
      <c r="I1437" s="84">
        <v>44260.0</v>
      </c>
      <c r="J1437" s="65" t="b">
        <v>1</v>
      </c>
      <c r="K1437" s="65"/>
      <c r="L1437" s="85" t="b">
        <f>IF(VLOOKUP(C1437,Projetos!A:L,12,false)=TRUE,TRUE,FALSE)</f>
        <v>1</v>
      </c>
      <c r="M1437" s="74">
        <v>73.7079846079846</v>
      </c>
      <c r="N1437" s="74">
        <f t="shared" si="1"/>
        <v>221.1239538</v>
      </c>
      <c r="O1437" s="74" t="b">
        <v>1</v>
      </c>
    </row>
    <row r="1438" hidden="1">
      <c r="A1438" s="82"/>
      <c r="B1438" s="65" t="s">
        <v>495</v>
      </c>
      <c r="C1438" s="65" t="s">
        <v>101</v>
      </c>
      <c r="D1438" s="65" t="str">
        <f>vlookup(C1438,'Classificação p pessoal'!F:G,2,false)</f>
        <v>NP</v>
      </c>
      <c r="E1438" s="65" t="s">
        <v>845</v>
      </c>
      <c r="F1438" s="83">
        <v>0.5833333333333334</v>
      </c>
      <c r="G1438" s="83">
        <v>0.6458333333333334</v>
      </c>
      <c r="H1438" s="83">
        <v>0.0625</v>
      </c>
      <c r="I1438" s="84">
        <v>44260.0</v>
      </c>
      <c r="J1438" s="65" t="b">
        <v>1</v>
      </c>
      <c r="K1438" s="65"/>
      <c r="L1438" s="85" t="b">
        <f>IF(VLOOKUP(C1438,Projetos!A:L,12,false)=TRUE,TRUE,FALSE)</f>
        <v>1</v>
      </c>
      <c r="M1438" s="74">
        <v>73.7079846079846</v>
      </c>
      <c r="N1438" s="74">
        <f t="shared" si="1"/>
        <v>110.5619769</v>
      </c>
      <c r="O1438" s="74" t="b">
        <v>1</v>
      </c>
    </row>
    <row r="1439" hidden="1">
      <c r="A1439" s="82"/>
      <c r="B1439" s="65" t="s">
        <v>495</v>
      </c>
      <c r="C1439" s="65" t="s">
        <v>92</v>
      </c>
      <c r="D1439" s="65" t="str">
        <f>vlookup(C1439,'Classificação p pessoal'!F:G,2,false)</f>
        <v/>
      </c>
      <c r="E1439" s="65" t="s">
        <v>846</v>
      </c>
      <c r="F1439" s="83">
        <v>0.6458333333333334</v>
      </c>
      <c r="G1439" s="83">
        <v>0.75</v>
      </c>
      <c r="H1439" s="83">
        <v>0.10416666666666667</v>
      </c>
      <c r="I1439" s="84">
        <v>44260.0</v>
      </c>
      <c r="J1439" s="65" t="b">
        <v>1</v>
      </c>
      <c r="K1439" s="65"/>
      <c r="L1439" s="85" t="b">
        <f>IF(VLOOKUP(C1439,Projetos!A:L,12,false)=TRUE,TRUE,FALSE)</f>
        <v>1</v>
      </c>
      <c r="M1439" s="74">
        <v>73.7079846079846</v>
      </c>
      <c r="N1439" s="74">
        <f t="shared" si="1"/>
        <v>184.2699615</v>
      </c>
      <c r="O1439" s="74" t="b">
        <v>1</v>
      </c>
    </row>
    <row r="1440" hidden="1">
      <c r="A1440" s="82"/>
      <c r="B1440" s="65" t="s">
        <v>495</v>
      </c>
      <c r="C1440" s="65" t="s">
        <v>92</v>
      </c>
      <c r="D1440" s="65" t="str">
        <f>vlookup(C1440,'Classificação p pessoal'!F:G,2,false)</f>
        <v/>
      </c>
      <c r="E1440" s="65" t="s">
        <v>847</v>
      </c>
      <c r="F1440" s="83">
        <v>0.34375</v>
      </c>
      <c r="G1440" s="83">
        <v>0.5416666666666666</v>
      </c>
      <c r="H1440" s="83">
        <v>0.19791666666666666</v>
      </c>
      <c r="I1440" s="84">
        <v>44263.0</v>
      </c>
      <c r="J1440" s="65" t="b">
        <v>1</v>
      </c>
      <c r="K1440" s="65"/>
      <c r="L1440" s="85" t="b">
        <f>IF(VLOOKUP(C1440,Projetos!A:L,12,false)=TRUE,TRUE,FALSE)</f>
        <v>1</v>
      </c>
      <c r="M1440" s="74">
        <v>73.7079846079846</v>
      </c>
      <c r="N1440" s="74">
        <f t="shared" si="1"/>
        <v>350.1129269</v>
      </c>
      <c r="O1440" s="74" t="b">
        <v>1</v>
      </c>
    </row>
    <row r="1441" hidden="1">
      <c r="A1441" s="82"/>
      <c r="B1441" s="65" t="s">
        <v>495</v>
      </c>
      <c r="C1441" s="65" t="s">
        <v>92</v>
      </c>
      <c r="D1441" s="65" t="str">
        <f>vlookup(C1441,'Classificação p pessoal'!F:G,2,false)</f>
        <v/>
      </c>
      <c r="E1441" s="65" t="s">
        <v>847</v>
      </c>
      <c r="F1441" s="83">
        <v>0.5833333333333334</v>
      </c>
      <c r="G1441" s="83">
        <v>0.6666666666666666</v>
      </c>
      <c r="H1441" s="83">
        <v>0.08333333333333333</v>
      </c>
      <c r="I1441" s="84">
        <v>44263.0</v>
      </c>
      <c r="J1441" s="65" t="b">
        <v>1</v>
      </c>
      <c r="K1441" s="65"/>
      <c r="L1441" s="85" t="b">
        <f>IF(VLOOKUP(C1441,Projetos!A:L,12,false)=TRUE,TRUE,FALSE)</f>
        <v>1</v>
      </c>
      <c r="M1441" s="74">
        <v>73.7079846079846</v>
      </c>
      <c r="N1441" s="74">
        <f t="shared" si="1"/>
        <v>147.4159692</v>
      </c>
      <c r="O1441" s="74" t="b">
        <v>1</v>
      </c>
    </row>
    <row r="1442" hidden="1">
      <c r="A1442" s="82"/>
      <c r="B1442" s="65" t="s">
        <v>495</v>
      </c>
      <c r="C1442" s="65" t="s">
        <v>92</v>
      </c>
      <c r="D1442" s="65" t="str">
        <f>vlookup(C1442,'Classificação p pessoal'!F:G,2,false)</f>
        <v/>
      </c>
      <c r="E1442" s="65" t="s">
        <v>848</v>
      </c>
      <c r="F1442" s="83">
        <v>0.6666666666666666</v>
      </c>
      <c r="G1442" s="83">
        <v>0.6875</v>
      </c>
      <c r="H1442" s="83">
        <v>0.020833333333333332</v>
      </c>
      <c r="I1442" s="84">
        <v>44263.0</v>
      </c>
      <c r="J1442" s="65" t="b">
        <v>1</v>
      </c>
      <c r="K1442" s="65"/>
      <c r="L1442" s="85" t="b">
        <f>IF(VLOOKUP(C1442,Projetos!A:L,12,false)=TRUE,TRUE,FALSE)</f>
        <v>1</v>
      </c>
      <c r="M1442" s="74">
        <v>73.7079846079846</v>
      </c>
      <c r="N1442" s="74">
        <f t="shared" si="1"/>
        <v>36.8539923</v>
      </c>
      <c r="O1442" s="74" t="b">
        <v>1</v>
      </c>
    </row>
    <row r="1443" hidden="1">
      <c r="A1443" s="82"/>
      <c r="B1443" s="65" t="s">
        <v>495</v>
      </c>
      <c r="C1443" s="65" t="s">
        <v>92</v>
      </c>
      <c r="D1443" s="65" t="str">
        <f>vlookup(C1443,'Classificação p pessoal'!F:G,2,false)</f>
        <v/>
      </c>
      <c r="E1443" s="65" t="s">
        <v>834</v>
      </c>
      <c r="F1443" s="83">
        <v>0.6979166666666666</v>
      </c>
      <c r="G1443" s="83">
        <v>0.75</v>
      </c>
      <c r="H1443" s="83">
        <v>0.052083333333333336</v>
      </c>
      <c r="I1443" s="84">
        <v>44263.0</v>
      </c>
      <c r="J1443" s="65" t="b">
        <v>1</v>
      </c>
      <c r="K1443" s="65"/>
      <c r="L1443" s="85" t="b">
        <f>IF(VLOOKUP(C1443,Projetos!A:L,12,false)=TRUE,TRUE,FALSE)</f>
        <v>1</v>
      </c>
      <c r="M1443" s="74">
        <v>73.7079846079846</v>
      </c>
      <c r="N1443" s="74">
        <f t="shared" si="1"/>
        <v>92.13498076</v>
      </c>
      <c r="O1443" s="74" t="b">
        <v>1</v>
      </c>
    </row>
    <row r="1444" hidden="1">
      <c r="A1444" s="82"/>
      <c r="B1444" s="65" t="s">
        <v>495</v>
      </c>
      <c r="C1444" s="65" t="s">
        <v>92</v>
      </c>
      <c r="D1444" s="65"/>
      <c r="E1444" s="65" t="s">
        <v>849</v>
      </c>
      <c r="F1444" s="83">
        <v>0.3645833333333333</v>
      </c>
      <c r="G1444" s="83">
        <v>0.5416666666666666</v>
      </c>
      <c r="H1444" s="83">
        <v>0.17708333333333334</v>
      </c>
      <c r="I1444" s="84">
        <v>44264.0</v>
      </c>
      <c r="J1444" s="65" t="b">
        <v>0</v>
      </c>
      <c r="K1444" s="65" t="s">
        <v>150</v>
      </c>
      <c r="L1444" s="85" t="b">
        <f>IF(VLOOKUP(C1444,Projetos!A:L,12,false)=TRUE,TRUE,FALSE)</f>
        <v>1</v>
      </c>
      <c r="M1444" s="74">
        <v>73.7079846079846</v>
      </c>
      <c r="N1444" s="74">
        <f t="shared" si="1"/>
        <v>0</v>
      </c>
      <c r="O1444" s="74" t="b">
        <v>1</v>
      </c>
    </row>
    <row r="1445" hidden="1">
      <c r="A1445" s="82"/>
      <c r="B1445" s="65" t="s">
        <v>495</v>
      </c>
      <c r="C1445" s="65" t="s">
        <v>92</v>
      </c>
      <c r="D1445" s="65" t="str">
        <f>vlookup(C1445,'Classificação p pessoal'!F:G,2,false)</f>
        <v/>
      </c>
      <c r="E1445" s="65" t="s">
        <v>850</v>
      </c>
      <c r="F1445" s="83">
        <v>0.5833333333333334</v>
      </c>
      <c r="G1445" s="83">
        <v>0.625</v>
      </c>
      <c r="H1445" s="83">
        <v>0.041666666666666664</v>
      </c>
      <c r="I1445" s="84">
        <v>44264.0</v>
      </c>
      <c r="J1445" s="65" t="b">
        <v>1</v>
      </c>
      <c r="K1445" s="65"/>
      <c r="L1445" s="85" t="b">
        <f>IF(VLOOKUP(C1445,Projetos!A:L,12,false)=TRUE,TRUE,FALSE)</f>
        <v>1</v>
      </c>
      <c r="M1445" s="74">
        <v>73.7079846079846</v>
      </c>
      <c r="N1445" s="74">
        <f t="shared" si="1"/>
        <v>73.70798461</v>
      </c>
      <c r="O1445" s="74" t="b">
        <v>1</v>
      </c>
    </row>
    <row r="1446" hidden="1">
      <c r="A1446" s="82"/>
      <c r="B1446" s="65" t="s">
        <v>495</v>
      </c>
      <c r="C1446" s="65" t="s">
        <v>108</v>
      </c>
      <c r="D1446" s="65" t="str">
        <f>vlookup(C1446,'Classificação p pessoal'!F:G,2,false)</f>
        <v>NP</v>
      </c>
      <c r="E1446" s="65" t="s">
        <v>851</v>
      </c>
      <c r="F1446" s="83">
        <v>0.625</v>
      </c>
      <c r="G1446" s="83">
        <v>0.75</v>
      </c>
      <c r="H1446" s="83">
        <v>0.125</v>
      </c>
      <c r="I1446" s="84">
        <v>44264.0</v>
      </c>
      <c r="J1446" s="65" t="b">
        <v>1</v>
      </c>
      <c r="K1446" s="65"/>
      <c r="L1446" s="85" t="b">
        <f>IF(VLOOKUP(C1446,Projetos!A:L,12,false)=TRUE,TRUE,FALSE)</f>
        <v>1</v>
      </c>
      <c r="M1446" s="74">
        <v>73.7079846079846</v>
      </c>
      <c r="N1446" s="74">
        <f t="shared" si="1"/>
        <v>221.1239538</v>
      </c>
      <c r="O1446" s="74" t="b">
        <v>1</v>
      </c>
    </row>
    <row r="1447" hidden="1">
      <c r="A1447" s="82"/>
      <c r="B1447" s="65" t="s">
        <v>495</v>
      </c>
      <c r="C1447" s="65" t="s">
        <v>92</v>
      </c>
      <c r="D1447" s="65" t="str">
        <f>vlookup(C1447,'Classificação p pessoal'!F:G,2,false)</f>
        <v/>
      </c>
      <c r="E1447" s="65" t="s">
        <v>852</v>
      </c>
      <c r="F1447" s="83">
        <v>0.3333333333333333</v>
      </c>
      <c r="G1447" s="83">
        <v>0.5416666666666666</v>
      </c>
      <c r="H1447" s="83">
        <v>0.20833333333333334</v>
      </c>
      <c r="I1447" s="84">
        <v>44265.0</v>
      </c>
      <c r="J1447" s="65" t="b">
        <v>1</v>
      </c>
      <c r="K1447" s="65"/>
      <c r="L1447" s="85" t="b">
        <f>IF(VLOOKUP(C1447,Projetos!A:L,12,false)=TRUE,TRUE,FALSE)</f>
        <v>1</v>
      </c>
      <c r="M1447" s="74">
        <v>73.7079846079846</v>
      </c>
      <c r="N1447" s="74">
        <f t="shared" si="1"/>
        <v>368.539923</v>
      </c>
      <c r="O1447" s="74" t="b">
        <v>1</v>
      </c>
    </row>
    <row r="1448" hidden="1">
      <c r="A1448" s="82"/>
      <c r="B1448" s="65" t="s">
        <v>495</v>
      </c>
      <c r="C1448" s="65" t="s">
        <v>108</v>
      </c>
      <c r="D1448" s="65" t="str">
        <f>vlookup(C1448,'Classificação p pessoal'!F:G,2,false)</f>
        <v>NP</v>
      </c>
      <c r="E1448" s="65" t="s">
        <v>853</v>
      </c>
      <c r="F1448" s="83">
        <v>0.5833333333333334</v>
      </c>
      <c r="G1448" s="83">
        <v>0.6041666666666666</v>
      </c>
      <c r="H1448" s="83">
        <v>0.020833333333333332</v>
      </c>
      <c r="I1448" s="84">
        <v>44265.0</v>
      </c>
      <c r="J1448" s="65" t="b">
        <v>1</v>
      </c>
      <c r="K1448" s="65"/>
      <c r="L1448" s="85" t="b">
        <f>IF(VLOOKUP(C1448,Projetos!A:L,12,false)=TRUE,TRUE,FALSE)</f>
        <v>1</v>
      </c>
      <c r="M1448" s="74">
        <v>73.7079846079846</v>
      </c>
      <c r="N1448" s="74">
        <f t="shared" si="1"/>
        <v>36.8539923</v>
      </c>
      <c r="O1448" s="74" t="b">
        <v>1</v>
      </c>
    </row>
    <row r="1449" hidden="1">
      <c r="A1449" s="82"/>
      <c r="B1449" s="65" t="s">
        <v>495</v>
      </c>
      <c r="C1449" s="65" t="s">
        <v>92</v>
      </c>
      <c r="D1449" s="65" t="str">
        <f>vlookup(C1449,'Classificação p pessoal'!F:G,2,false)</f>
        <v/>
      </c>
      <c r="E1449" s="65" t="s">
        <v>854</v>
      </c>
      <c r="F1449" s="83">
        <v>0.6041666666666666</v>
      </c>
      <c r="G1449" s="83">
        <v>0.75</v>
      </c>
      <c r="H1449" s="83">
        <v>0.14583333333333334</v>
      </c>
      <c r="I1449" s="84">
        <v>44265.0</v>
      </c>
      <c r="J1449" s="65" t="b">
        <v>1</v>
      </c>
      <c r="K1449" s="65"/>
      <c r="L1449" s="85" t="b">
        <f>IF(VLOOKUP(C1449,Projetos!A:L,12,false)=TRUE,TRUE,FALSE)</f>
        <v>1</v>
      </c>
      <c r="M1449" s="74">
        <v>73.7079846079846</v>
      </c>
      <c r="N1449" s="74">
        <f t="shared" si="1"/>
        <v>257.9779461</v>
      </c>
      <c r="O1449" s="74" t="b">
        <v>1</v>
      </c>
    </row>
    <row r="1450" hidden="1">
      <c r="A1450" s="82"/>
      <c r="B1450" s="65" t="s">
        <v>495</v>
      </c>
      <c r="C1450" s="65" t="s">
        <v>92</v>
      </c>
      <c r="D1450" s="65" t="str">
        <f>vlookup(C1450,'Classificação p pessoal'!F:G,2,false)</f>
        <v/>
      </c>
      <c r="E1450" s="65" t="s">
        <v>850</v>
      </c>
      <c r="F1450" s="83">
        <v>0.4166666666666667</v>
      </c>
      <c r="G1450" s="83">
        <v>0.5416666666666666</v>
      </c>
      <c r="H1450" s="83">
        <v>0.125</v>
      </c>
      <c r="I1450" s="84">
        <v>44266.0</v>
      </c>
      <c r="J1450" s="65" t="b">
        <v>1</v>
      </c>
      <c r="K1450" s="65"/>
      <c r="L1450" s="85" t="b">
        <f>IF(VLOOKUP(C1450,Projetos!A:L,12,false)=TRUE,TRUE,FALSE)</f>
        <v>1</v>
      </c>
      <c r="M1450" s="74">
        <v>73.7079846079846</v>
      </c>
      <c r="N1450" s="74">
        <f t="shared" si="1"/>
        <v>221.1239538</v>
      </c>
      <c r="O1450" s="74" t="b">
        <v>1</v>
      </c>
    </row>
    <row r="1451" hidden="1">
      <c r="A1451" s="82"/>
      <c r="B1451" s="65" t="s">
        <v>495</v>
      </c>
      <c r="C1451" s="65" t="s">
        <v>104</v>
      </c>
      <c r="D1451" s="65" t="str">
        <f>vlookup(C1451,'Classificação p pessoal'!F:G,2,false)</f>
        <v>NP</v>
      </c>
      <c r="E1451" s="65" t="s">
        <v>855</v>
      </c>
      <c r="F1451" s="83">
        <v>0.34375</v>
      </c>
      <c r="G1451" s="83">
        <v>0.375</v>
      </c>
      <c r="H1451" s="83">
        <v>0.03125</v>
      </c>
      <c r="I1451" s="84">
        <v>44266.0</v>
      </c>
      <c r="J1451" s="65" t="b">
        <v>1</v>
      </c>
      <c r="K1451" s="65"/>
      <c r="L1451" s="85" t="b">
        <f>IF(VLOOKUP(C1451,Projetos!A:L,12,false)=TRUE,TRUE,FALSE)</f>
        <v>1</v>
      </c>
      <c r="M1451" s="74">
        <v>73.7079846079846</v>
      </c>
      <c r="N1451" s="74">
        <f t="shared" si="1"/>
        <v>55.28098846</v>
      </c>
      <c r="O1451" s="74" t="b">
        <v>1</v>
      </c>
    </row>
    <row r="1452" hidden="1">
      <c r="A1452" s="82"/>
      <c r="B1452" s="65" t="s">
        <v>495</v>
      </c>
      <c r="C1452" s="65" t="s">
        <v>92</v>
      </c>
      <c r="D1452" s="65" t="str">
        <f>vlookup(C1452,'Classificação p pessoal'!F:G,2,false)</f>
        <v/>
      </c>
      <c r="E1452" s="65" t="s">
        <v>836</v>
      </c>
      <c r="F1452" s="83">
        <v>0.4166666666666667</v>
      </c>
      <c r="G1452" s="83">
        <v>0.5416666666666666</v>
      </c>
      <c r="H1452" s="83">
        <v>0.125</v>
      </c>
      <c r="I1452" s="84">
        <v>44266.0</v>
      </c>
      <c r="J1452" s="65" t="b">
        <v>1</v>
      </c>
      <c r="K1452" s="65"/>
      <c r="L1452" s="85" t="b">
        <f>IF(VLOOKUP(C1452,Projetos!A:L,12,false)=TRUE,TRUE,FALSE)</f>
        <v>1</v>
      </c>
      <c r="M1452" s="74">
        <v>73.7079846079846</v>
      </c>
      <c r="N1452" s="74">
        <f t="shared" si="1"/>
        <v>221.1239538</v>
      </c>
      <c r="O1452" s="74" t="b">
        <v>1</v>
      </c>
    </row>
    <row r="1453" hidden="1">
      <c r="A1453" s="82"/>
      <c r="B1453" s="65" t="s">
        <v>495</v>
      </c>
      <c r="C1453" s="65" t="s">
        <v>92</v>
      </c>
      <c r="D1453" s="65" t="str">
        <f>vlookup(C1453,'Classificação p pessoal'!F:G,2,false)</f>
        <v/>
      </c>
      <c r="E1453" s="65" t="s">
        <v>836</v>
      </c>
      <c r="F1453" s="83">
        <v>0.5833333333333334</v>
      </c>
      <c r="G1453" s="83">
        <v>0.75</v>
      </c>
      <c r="H1453" s="83">
        <v>0.16666666666666666</v>
      </c>
      <c r="I1453" s="84">
        <v>44266.0</v>
      </c>
      <c r="J1453" s="65" t="b">
        <v>1</v>
      </c>
      <c r="K1453" s="65"/>
      <c r="L1453" s="85" t="b">
        <f>IF(VLOOKUP(C1453,Projetos!A:L,12,false)=TRUE,TRUE,FALSE)</f>
        <v>1</v>
      </c>
      <c r="M1453" s="74">
        <v>73.7079846079846</v>
      </c>
      <c r="N1453" s="74">
        <f t="shared" si="1"/>
        <v>294.8319384</v>
      </c>
      <c r="O1453" s="74" t="b">
        <v>1</v>
      </c>
    </row>
    <row r="1454" hidden="1">
      <c r="A1454" s="82"/>
      <c r="B1454" s="65" t="s">
        <v>495</v>
      </c>
      <c r="C1454" s="65" t="s">
        <v>104</v>
      </c>
      <c r="D1454" s="65" t="str">
        <f>vlookup(C1454,'Classificação p pessoal'!F:G,2,false)</f>
        <v>NP</v>
      </c>
      <c r="E1454" s="65" t="s">
        <v>855</v>
      </c>
      <c r="F1454" s="83">
        <v>0.34375</v>
      </c>
      <c r="G1454" s="83">
        <v>0.375</v>
      </c>
      <c r="H1454" s="83">
        <v>0.03125</v>
      </c>
      <c r="I1454" s="84">
        <v>44267.0</v>
      </c>
      <c r="J1454" s="65" t="b">
        <v>1</v>
      </c>
      <c r="K1454" s="65"/>
      <c r="L1454" s="85" t="b">
        <f>IF(VLOOKUP(C1454,Projetos!A:L,12,false)=TRUE,TRUE,FALSE)</f>
        <v>1</v>
      </c>
      <c r="M1454" s="74">
        <v>73.7079846079846</v>
      </c>
      <c r="N1454" s="74">
        <f t="shared" si="1"/>
        <v>55.28098846</v>
      </c>
      <c r="O1454" s="74" t="b">
        <v>1</v>
      </c>
    </row>
    <row r="1455" hidden="1">
      <c r="A1455" s="82"/>
      <c r="B1455" s="65" t="s">
        <v>495</v>
      </c>
      <c r="C1455" s="65" t="s">
        <v>92</v>
      </c>
      <c r="D1455" s="65" t="str">
        <f>vlookup(C1455,'Classificação p pessoal'!F:G,2,false)</f>
        <v/>
      </c>
      <c r="E1455" s="65" t="s">
        <v>836</v>
      </c>
      <c r="F1455" s="83">
        <v>0.4583333333333333</v>
      </c>
      <c r="G1455" s="83">
        <v>0.5416666666666666</v>
      </c>
      <c r="H1455" s="83">
        <v>0.08333333333333333</v>
      </c>
      <c r="I1455" s="84">
        <v>44267.0</v>
      </c>
      <c r="J1455" s="65" t="b">
        <v>1</v>
      </c>
      <c r="K1455" s="65"/>
      <c r="L1455" s="85" t="b">
        <f>IF(VLOOKUP(C1455,Projetos!A:L,12,false)=TRUE,TRUE,FALSE)</f>
        <v>1</v>
      </c>
      <c r="M1455" s="74">
        <v>73.7079846079846</v>
      </c>
      <c r="N1455" s="74">
        <f t="shared" si="1"/>
        <v>147.4159692</v>
      </c>
      <c r="O1455" s="74" t="b">
        <v>1</v>
      </c>
    </row>
    <row r="1456" hidden="1">
      <c r="A1456" s="82"/>
      <c r="B1456" s="65" t="s">
        <v>495</v>
      </c>
      <c r="C1456" s="65" t="s">
        <v>92</v>
      </c>
      <c r="D1456" s="65" t="str">
        <f>vlookup(C1456,'Classificação p pessoal'!F:G,2,false)</f>
        <v/>
      </c>
      <c r="E1456" s="65" t="s">
        <v>836</v>
      </c>
      <c r="F1456" s="83">
        <v>0.6875</v>
      </c>
      <c r="G1456" s="83">
        <v>0.75</v>
      </c>
      <c r="H1456" s="83">
        <v>0.0625</v>
      </c>
      <c r="I1456" s="84">
        <v>44267.0</v>
      </c>
      <c r="J1456" s="65" t="b">
        <v>1</v>
      </c>
      <c r="K1456" s="65"/>
      <c r="L1456" s="85" t="b">
        <f>IF(VLOOKUP(C1456,Projetos!A:L,12,false)=TRUE,TRUE,FALSE)</f>
        <v>1</v>
      </c>
      <c r="M1456" s="74">
        <v>73.7079846079846</v>
      </c>
      <c r="N1456" s="74">
        <f t="shared" si="1"/>
        <v>110.5619769</v>
      </c>
      <c r="O1456" s="74" t="b">
        <v>1</v>
      </c>
    </row>
    <row r="1457" hidden="1">
      <c r="A1457" s="82"/>
      <c r="B1457" s="65" t="s">
        <v>495</v>
      </c>
      <c r="C1457" s="65" t="s">
        <v>117</v>
      </c>
      <c r="D1457" s="65" t="str">
        <f>vlookup(C1457,'Classificação p pessoal'!F:G,2,false)</f>
        <v>NP</v>
      </c>
      <c r="E1457" s="65" t="s">
        <v>834</v>
      </c>
      <c r="F1457" s="83">
        <v>0.4583333333333333</v>
      </c>
      <c r="G1457" s="83">
        <v>0.5625</v>
      </c>
      <c r="H1457" s="83">
        <v>0.10416666666666667</v>
      </c>
      <c r="I1457" s="84">
        <v>44270.0</v>
      </c>
      <c r="J1457" s="65" t="b">
        <v>1</v>
      </c>
      <c r="K1457" s="65"/>
      <c r="L1457" s="85" t="b">
        <f>IF(VLOOKUP(C1457,Projetos!A:L,12,false)=TRUE,TRUE,FALSE)</f>
        <v>1</v>
      </c>
      <c r="M1457" s="74">
        <v>73.7079846079846</v>
      </c>
      <c r="N1457" s="74">
        <f t="shared" si="1"/>
        <v>184.2699615</v>
      </c>
      <c r="O1457" s="74" t="b">
        <v>1</v>
      </c>
    </row>
    <row r="1458" hidden="1">
      <c r="A1458" s="82"/>
      <c r="B1458" s="65" t="s">
        <v>495</v>
      </c>
      <c r="C1458" s="65" t="s">
        <v>130</v>
      </c>
      <c r="D1458" s="65" t="str">
        <f>vlookup(C1458,'Classificação p pessoal'!F:G,2,false)</f>
        <v>NP</v>
      </c>
      <c r="E1458" s="65" t="s">
        <v>856</v>
      </c>
      <c r="F1458" s="83">
        <v>0.6666666666666666</v>
      </c>
      <c r="G1458" s="83">
        <v>0.75</v>
      </c>
      <c r="H1458" s="83">
        <v>0.08333333333333333</v>
      </c>
      <c r="I1458" s="84">
        <v>44270.0</v>
      </c>
      <c r="J1458" s="65" t="b">
        <v>1</v>
      </c>
      <c r="K1458" s="65"/>
      <c r="L1458" s="85" t="b">
        <f>IF(VLOOKUP(C1458,Projetos!A:L,12,false)=TRUE,TRUE,FALSE)</f>
        <v>1</v>
      </c>
      <c r="M1458" s="74">
        <v>73.7079846079846</v>
      </c>
      <c r="N1458" s="74">
        <f t="shared" si="1"/>
        <v>147.4159692</v>
      </c>
      <c r="O1458" s="74" t="b">
        <v>1</v>
      </c>
    </row>
    <row r="1459" hidden="1">
      <c r="A1459" s="82"/>
      <c r="B1459" s="65" t="s">
        <v>495</v>
      </c>
      <c r="C1459" s="65" t="s">
        <v>130</v>
      </c>
      <c r="D1459" s="65" t="str">
        <f>vlookup(C1459,'Classificação p pessoal'!F:G,2,false)</f>
        <v>NP</v>
      </c>
      <c r="E1459" s="65" t="s">
        <v>856</v>
      </c>
      <c r="F1459" s="83">
        <v>0.34375</v>
      </c>
      <c r="G1459" s="83">
        <v>0.5416666666666666</v>
      </c>
      <c r="H1459" s="83">
        <v>0.19791666666666666</v>
      </c>
      <c r="I1459" s="84">
        <v>44271.0</v>
      </c>
      <c r="J1459" s="65" t="b">
        <v>1</v>
      </c>
      <c r="K1459" s="65"/>
      <c r="L1459" s="85" t="b">
        <f>IF(VLOOKUP(C1459,Projetos!A:L,12,false)=TRUE,TRUE,FALSE)</f>
        <v>1</v>
      </c>
      <c r="M1459" s="74">
        <v>73.7079846079846</v>
      </c>
      <c r="N1459" s="74">
        <f t="shared" si="1"/>
        <v>350.1129269</v>
      </c>
      <c r="O1459" s="74" t="b">
        <v>1</v>
      </c>
    </row>
    <row r="1460" hidden="1">
      <c r="A1460" s="82"/>
      <c r="B1460" s="65" t="s">
        <v>495</v>
      </c>
      <c r="C1460" s="65" t="s">
        <v>108</v>
      </c>
      <c r="D1460" s="65" t="str">
        <f>vlookup(C1460,'Classificação p pessoal'!F:G,2,false)</f>
        <v>NP</v>
      </c>
      <c r="E1460" s="65" t="s">
        <v>853</v>
      </c>
      <c r="F1460" s="83">
        <v>0.5833333333333334</v>
      </c>
      <c r="G1460" s="83">
        <v>0.6041666666666666</v>
      </c>
      <c r="H1460" s="83">
        <v>0.020833333333333332</v>
      </c>
      <c r="I1460" s="84">
        <v>44271.0</v>
      </c>
      <c r="J1460" s="65" t="b">
        <v>1</v>
      </c>
      <c r="K1460" s="65"/>
      <c r="L1460" s="85" t="b">
        <f>IF(VLOOKUP(C1460,Projetos!A:L,12,false)=TRUE,TRUE,FALSE)</f>
        <v>1</v>
      </c>
      <c r="M1460" s="74">
        <v>73.7079846079846</v>
      </c>
      <c r="N1460" s="74">
        <f t="shared" si="1"/>
        <v>36.8539923</v>
      </c>
      <c r="O1460" s="74" t="b">
        <v>1</v>
      </c>
    </row>
    <row r="1461" hidden="1">
      <c r="A1461" s="82"/>
      <c r="B1461" s="65" t="s">
        <v>495</v>
      </c>
      <c r="C1461" s="65" t="s">
        <v>130</v>
      </c>
      <c r="D1461" s="65" t="str">
        <f>vlookup(C1461,'Classificação p pessoal'!F:G,2,false)</f>
        <v>NP</v>
      </c>
      <c r="E1461" s="65" t="s">
        <v>857</v>
      </c>
      <c r="F1461" s="83">
        <v>0.6666666666666666</v>
      </c>
      <c r="G1461" s="83">
        <v>0.75</v>
      </c>
      <c r="H1461" s="83">
        <v>0.08333333333333333</v>
      </c>
      <c r="I1461" s="84">
        <v>44271.0</v>
      </c>
      <c r="J1461" s="65" t="b">
        <v>1</v>
      </c>
      <c r="K1461" s="65"/>
      <c r="L1461" s="85" t="b">
        <f>IF(VLOOKUP(C1461,Projetos!A:L,12,false)=TRUE,TRUE,FALSE)</f>
        <v>1</v>
      </c>
      <c r="M1461" s="74">
        <v>73.7079846079846</v>
      </c>
      <c r="N1461" s="74">
        <f t="shared" si="1"/>
        <v>147.4159692</v>
      </c>
      <c r="O1461" s="74" t="b">
        <v>1</v>
      </c>
    </row>
    <row r="1462" hidden="1">
      <c r="A1462" s="82"/>
      <c r="B1462" s="65" t="s">
        <v>495</v>
      </c>
      <c r="C1462" s="65" t="s">
        <v>130</v>
      </c>
      <c r="D1462" s="65" t="str">
        <f>vlookup(C1462,'Classificação p pessoal'!F:G,2,false)</f>
        <v>NP</v>
      </c>
      <c r="E1462" s="65" t="s">
        <v>857</v>
      </c>
      <c r="F1462" s="83">
        <v>0.34375</v>
      </c>
      <c r="G1462" s="83">
        <v>0.4375</v>
      </c>
      <c r="H1462" s="83">
        <v>0.09375</v>
      </c>
      <c r="I1462" s="84">
        <v>44272.0</v>
      </c>
      <c r="J1462" s="65" t="b">
        <v>1</v>
      </c>
      <c r="K1462" s="65"/>
      <c r="L1462" s="85" t="b">
        <f>IF(VLOOKUP(C1462,Projetos!A:L,12,false)=TRUE,TRUE,FALSE)</f>
        <v>1</v>
      </c>
      <c r="M1462" s="74">
        <v>73.7079846079846</v>
      </c>
      <c r="N1462" s="74">
        <f t="shared" si="1"/>
        <v>165.8429654</v>
      </c>
      <c r="O1462" s="74" t="b">
        <v>1</v>
      </c>
    </row>
    <row r="1463" hidden="1">
      <c r="A1463" s="82"/>
      <c r="B1463" s="65" t="s">
        <v>495</v>
      </c>
      <c r="C1463" s="65" t="s">
        <v>108</v>
      </c>
      <c r="D1463" s="65" t="str">
        <f>vlookup(C1463,'Classificação p pessoal'!F:G,2,false)</f>
        <v>NP</v>
      </c>
      <c r="E1463" s="65" t="s">
        <v>858</v>
      </c>
      <c r="F1463" s="83">
        <v>0.4375</v>
      </c>
      <c r="G1463" s="83">
        <v>0.4791666666666667</v>
      </c>
      <c r="H1463" s="83">
        <v>0.041666666666666664</v>
      </c>
      <c r="I1463" s="84">
        <v>44272.0</v>
      </c>
      <c r="J1463" s="65" t="b">
        <v>1</v>
      </c>
      <c r="K1463" s="65"/>
      <c r="L1463" s="85" t="b">
        <f>IF(VLOOKUP(C1463,Projetos!A:L,12,false)=TRUE,TRUE,FALSE)</f>
        <v>1</v>
      </c>
      <c r="M1463" s="74">
        <v>73.7079846079846</v>
      </c>
      <c r="N1463" s="74">
        <f t="shared" si="1"/>
        <v>73.70798461</v>
      </c>
      <c r="O1463" s="74" t="b">
        <v>1</v>
      </c>
    </row>
    <row r="1464" hidden="1">
      <c r="A1464" s="82"/>
      <c r="B1464" s="65" t="s">
        <v>495</v>
      </c>
      <c r="C1464" s="65" t="s">
        <v>92</v>
      </c>
      <c r="D1464" s="65" t="str">
        <f>vlookup(C1464,'Classificação p pessoal'!F:G,2,false)</f>
        <v/>
      </c>
      <c r="E1464" s="65" t="s">
        <v>836</v>
      </c>
      <c r="F1464" s="83">
        <v>0.4791666666666667</v>
      </c>
      <c r="G1464" s="83">
        <v>0.5694444444444444</v>
      </c>
      <c r="H1464" s="83">
        <v>0.09027777777777778</v>
      </c>
      <c r="I1464" s="84">
        <v>44272.0</v>
      </c>
      <c r="J1464" s="65" t="b">
        <v>1</v>
      </c>
      <c r="K1464" s="65"/>
      <c r="L1464" s="85" t="b">
        <f>IF(VLOOKUP(C1464,Projetos!A:L,12,false)=TRUE,TRUE,FALSE)</f>
        <v>1</v>
      </c>
      <c r="M1464" s="74">
        <v>73.7079846079846</v>
      </c>
      <c r="N1464" s="74">
        <f t="shared" si="1"/>
        <v>159.7006333</v>
      </c>
      <c r="O1464" s="74" t="b">
        <v>1</v>
      </c>
    </row>
    <row r="1465" hidden="1">
      <c r="A1465" s="82"/>
      <c r="B1465" s="65" t="s">
        <v>495</v>
      </c>
      <c r="C1465" s="65" t="s">
        <v>130</v>
      </c>
      <c r="D1465" s="65" t="str">
        <f>vlookup(C1465,'Classificação p pessoal'!F:G,2,false)</f>
        <v>NP</v>
      </c>
      <c r="E1465" s="65" t="s">
        <v>859</v>
      </c>
      <c r="F1465" s="83">
        <v>0.6111111111111112</v>
      </c>
      <c r="G1465" s="83">
        <v>0.75</v>
      </c>
      <c r="H1465" s="83">
        <v>0.1388888888888889</v>
      </c>
      <c r="I1465" s="84">
        <v>44272.0</v>
      </c>
      <c r="J1465" s="65" t="b">
        <v>1</v>
      </c>
      <c r="K1465" s="65"/>
      <c r="L1465" s="85" t="b">
        <f>IF(VLOOKUP(C1465,Projetos!A:L,12,false)=TRUE,TRUE,FALSE)</f>
        <v>1</v>
      </c>
      <c r="M1465" s="74">
        <v>73.7079846079846</v>
      </c>
      <c r="N1465" s="74">
        <f t="shared" si="1"/>
        <v>245.693282</v>
      </c>
      <c r="O1465" s="74" t="b">
        <v>1</v>
      </c>
    </row>
    <row r="1466" hidden="1">
      <c r="A1466" s="82"/>
      <c r="B1466" s="65" t="s">
        <v>495</v>
      </c>
      <c r="C1466" s="65" t="s">
        <v>92</v>
      </c>
      <c r="D1466" s="65" t="str">
        <f>vlookup(C1466,'Classificação p pessoal'!F:G,2,false)</f>
        <v/>
      </c>
      <c r="E1466" s="65" t="s">
        <v>834</v>
      </c>
      <c r="F1466" s="83">
        <v>0.34375</v>
      </c>
      <c r="G1466" s="83">
        <v>0.4375</v>
      </c>
      <c r="H1466" s="83">
        <v>0.09375</v>
      </c>
      <c r="I1466" s="84">
        <v>44273.0</v>
      </c>
      <c r="J1466" s="65" t="b">
        <v>1</v>
      </c>
      <c r="K1466" s="65"/>
      <c r="L1466" s="85" t="b">
        <f>IF(VLOOKUP(C1466,Projetos!A:L,12,false)=TRUE,TRUE,FALSE)</f>
        <v>1</v>
      </c>
      <c r="M1466" s="74">
        <v>73.7079846079846</v>
      </c>
      <c r="N1466" s="74">
        <f t="shared" si="1"/>
        <v>165.8429654</v>
      </c>
      <c r="O1466" s="74" t="b">
        <v>1</v>
      </c>
    </row>
    <row r="1467" hidden="1">
      <c r="A1467" s="82"/>
      <c r="B1467" s="65" t="s">
        <v>495</v>
      </c>
      <c r="C1467" s="65" t="s">
        <v>130</v>
      </c>
      <c r="D1467" s="65" t="str">
        <f>vlookup(C1467,'Classificação p pessoal'!F:G,2,false)</f>
        <v>NP</v>
      </c>
      <c r="E1467" s="65" t="s">
        <v>857</v>
      </c>
      <c r="F1467" s="83">
        <v>0.4444444444444444</v>
      </c>
      <c r="G1467" s="83">
        <v>0.5694444444444444</v>
      </c>
      <c r="H1467" s="83">
        <v>0.125</v>
      </c>
      <c r="I1467" s="84">
        <v>44273.0</v>
      </c>
      <c r="J1467" s="65" t="b">
        <v>1</v>
      </c>
      <c r="K1467" s="65"/>
      <c r="L1467" s="85" t="b">
        <f>IF(VLOOKUP(C1467,Projetos!A:L,12,false)=TRUE,TRUE,FALSE)</f>
        <v>1</v>
      </c>
      <c r="M1467" s="74">
        <v>73.7079846079846</v>
      </c>
      <c r="N1467" s="74">
        <f t="shared" si="1"/>
        <v>221.1239538</v>
      </c>
      <c r="O1467" s="74" t="b">
        <v>1</v>
      </c>
    </row>
    <row r="1468" hidden="1">
      <c r="A1468" s="82"/>
      <c r="B1468" s="65" t="s">
        <v>495</v>
      </c>
      <c r="C1468" s="65" t="s">
        <v>106</v>
      </c>
      <c r="D1468" s="65" t="str">
        <f>vlookup(C1468,'Classificação p pessoal'!F:G,2,false)</f>
        <v>MProcesso</v>
      </c>
      <c r="E1468" s="65" t="s">
        <v>860</v>
      </c>
      <c r="F1468" s="83">
        <v>0.6111111111111112</v>
      </c>
      <c r="G1468" s="83">
        <v>0.7083333333333334</v>
      </c>
      <c r="H1468" s="83">
        <v>0.09722222222222222</v>
      </c>
      <c r="I1468" s="84">
        <v>44273.0</v>
      </c>
      <c r="J1468" s="65" t="b">
        <v>1</v>
      </c>
      <c r="K1468" s="65"/>
      <c r="L1468" s="85" t="b">
        <f>IF(VLOOKUP(C1468,Projetos!A:L,12,false)=TRUE,TRUE,FALSE)</f>
        <v>1</v>
      </c>
      <c r="M1468" s="74">
        <v>73.7079846079846</v>
      </c>
      <c r="N1468" s="74">
        <f t="shared" si="1"/>
        <v>171.9852974</v>
      </c>
      <c r="O1468" s="74" t="b">
        <v>1</v>
      </c>
    </row>
    <row r="1469" hidden="1">
      <c r="A1469" s="82"/>
      <c r="B1469" s="65" t="s">
        <v>495</v>
      </c>
      <c r="C1469" s="65" t="s">
        <v>92</v>
      </c>
      <c r="D1469" s="65" t="str">
        <f>vlookup(C1469,'Classificação p pessoal'!F:G,2,false)</f>
        <v/>
      </c>
      <c r="E1469" s="65" t="s">
        <v>861</v>
      </c>
      <c r="F1469" s="83">
        <v>0.7083333333333334</v>
      </c>
      <c r="G1469" s="83">
        <v>0.75</v>
      </c>
      <c r="H1469" s="83">
        <v>0.041666666666666664</v>
      </c>
      <c r="I1469" s="84">
        <v>44273.0</v>
      </c>
      <c r="J1469" s="65" t="b">
        <v>1</v>
      </c>
      <c r="K1469" s="65"/>
      <c r="L1469" s="85" t="b">
        <f>IF(VLOOKUP(C1469,Projetos!A:L,12,false)=TRUE,TRUE,FALSE)</f>
        <v>1</v>
      </c>
      <c r="M1469" s="74">
        <v>73.7079846079846</v>
      </c>
      <c r="N1469" s="74">
        <f t="shared" si="1"/>
        <v>73.70798461</v>
      </c>
      <c r="O1469" s="74" t="b">
        <v>1</v>
      </c>
    </row>
    <row r="1470" hidden="1">
      <c r="A1470" s="82"/>
      <c r="B1470" s="65" t="s">
        <v>495</v>
      </c>
      <c r="C1470" s="65" t="s">
        <v>92</v>
      </c>
      <c r="D1470" s="65" t="str">
        <f>vlookup(C1470,'Classificação p pessoal'!F:G,2,false)</f>
        <v/>
      </c>
      <c r="E1470" s="65" t="s">
        <v>862</v>
      </c>
      <c r="F1470" s="83">
        <v>0.34375</v>
      </c>
      <c r="G1470" s="83">
        <v>0.5625</v>
      </c>
      <c r="H1470" s="83">
        <v>0.21875</v>
      </c>
      <c r="I1470" s="84">
        <v>44274.0</v>
      </c>
      <c r="J1470" s="65" t="b">
        <v>1</v>
      </c>
      <c r="K1470" s="65"/>
      <c r="L1470" s="85" t="b">
        <f>IF(VLOOKUP(C1470,Projetos!A:L,12,false)=TRUE,TRUE,FALSE)</f>
        <v>1</v>
      </c>
      <c r="M1470" s="74">
        <v>73.7079846079846</v>
      </c>
      <c r="N1470" s="74">
        <f t="shared" si="1"/>
        <v>386.9669192</v>
      </c>
      <c r="O1470" s="74" t="b">
        <v>1</v>
      </c>
    </row>
    <row r="1471" hidden="1">
      <c r="A1471" s="82"/>
      <c r="B1471" s="65" t="s">
        <v>495</v>
      </c>
      <c r="C1471" s="65" t="s">
        <v>92</v>
      </c>
      <c r="D1471" s="65" t="str">
        <f>vlookup(C1471,'Classificação p pessoal'!F:G,2,false)</f>
        <v/>
      </c>
      <c r="E1471" s="65" t="s">
        <v>834</v>
      </c>
      <c r="F1471" s="83">
        <v>0.6111111111111112</v>
      </c>
      <c r="G1471" s="83">
        <v>0.6666666666666666</v>
      </c>
      <c r="H1471" s="83">
        <v>0.05555555555555555</v>
      </c>
      <c r="I1471" s="84">
        <v>44274.0</v>
      </c>
      <c r="J1471" s="65" t="b">
        <v>1</v>
      </c>
      <c r="K1471" s="65"/>
      <c r="L1471" s="85" t="b">
        <f>IF(VLOOKUP(C1471,Projetos!A:L,12,false)=TRUE,TRUE,FALSE)</f>
        <v>1</v>
      </c>
      <c r="M1471" s="74">
        <v>73.7079846079846</v>
      </c>
      <c r="N1471" s="74">
        <f t="shared" si="1"/>
        <v>98.27731281</v>
      </c>
      <c r="O1471" s="74" t="b">
        <v>1</v>
      </c>
    </row>
    <row r="1472" hidden="1">
      <c r="A1472" s="82"/>
      <c r="B1472" s="65" t="s">
        <v>495</v>
      </c>
      <c r="C1472" s="65" t="s">
        <v>84</v>
      </c>
      <c r="D1472" s="65"/>
      <c r="E1472" s="65" t="s">
        <v>863</v>
      </c>
      <c r="F1472" s="83">
        <v>0.6666666666666666</v>
      </c>
      <c r="G1472" s="83">
        <v>0.7083333333333334</v>
      </c>
      <c r="H1472" s="83">
        <v>0.041666666666666664</v>
      </c>
      <c r="I1472" s="84">
        <v>44274.0</v>
      </c>
      <c r="J1472" s="65" t="b">
        <v>0</v>
      </c>
      <c r="K1472" s="65"/>
      <c r="L1472" s="85" t="b">
        <f>IF(VLOOKUP(C1472,Projetos!A:L,12,false)=TRUE,TRUE,FALSE)</f>
        <v>0</v>
      </c>
      <c r="M1472" s="74">
        <v>73.7079846079846</v>
      </c>
      <c r="N1472" s="74">
        <f t="shared" si="1"/>
        <v>0</v>
      </c>
      <c r="O1472" s="74" t="b">
        <v>0</v>
      </c>
    </row>
    <row r="1473" hidden="1">
      <c r="A1473" s="82"/>
      <c r="B1473" s="65" t="s">
        <v>495</v>
      </c>
      <c r="C1473" s="65" t="s">
        <v>113</v>
      </c>
      <c r="D1473" s="65" t="str">
        <f>vlookup(C1473,'Classificação p pessoal'!F:G,2,false)</f>
        <v>NP</v>
      </c>
      <c r="E1473" s="65" t="s">
        <v>864</v>
      </c>
      <c r="F1473" s="83">
        <v>0.4166666666666667</v>
      </c>
      <c r="G1473" s="83">
        <v>0.5625</v>
      </c>
      <c r="H1473" s="83">
        <v>0.14583333333333334</v>
      </c>
      <c r="I1473" s="84">
        <v>44277.0</v>
      </c>
      <c r="J1473" s="65" t="b">
        <v>1</v>
      </c>
      <c r="K1473" s="65"/>
      <c r="L1473" s="85" t="b">
        <f>IF(VLOOKUP(C1473,Projetos!A:L,12,false)=TRUE,TRUE,FALSE)</f>
        <v>1</v>
      </c>
      <c r="M1473" s="74">
        <v>73.7079846079846</v>
      </c>
      <c r="N1473" s="74">
        <f t="shared" si="1"/>
        <v>257.9779461</v>
      </c>
      <c r="O1473" s="74" t="b">
        <v>1</v>
      </c>
    </row>
    <row r="1474" hidden="1">
      <c r="A1474" s="82"/>
      <c r="B1474" s="65" t="s">
        <v>495</v>
      </c>
      <c r="C1474" s="65" t="s">
        <v>101</v>
      </c>
      <c r="D1474" s="65" t="str">
        <f>vlookup(C1474,'Classificação p pessoal'!F:G,2,false)</f>
        <v>NP</v>
      </c>
      <c r="E1474" s="65" t="s">
        <v>845</v>
      </c>
      <c r="F1474" s="83">
        <v>0.6041666666666666</v>
      </c>
      <c r="G1474" s="83">
        <v>0.6666666666666666</v>
      </c>
      <c r="H1474" s="83">
        <v>0.0625</v>
      </c>
      <c r="I1474" s="84">
        <v>44277.0</v>
      </c>
      <c r="J1474" s="65" t="b">
        <v>1</v>
      </c>
      <c r="K1474" s="65"/>
      <c r="L1474" s="85" t="b">
        <f>IF(VLOOKUP(C1474,Projetos!A:L,12,false)=TRUE,TRUE,FALSE)</f>
        <v>1</v>
      </c>
      <c r="M1474" s="74">
        <v>73.7079846079846</v>
      </c>
      <c r="N1474" s="74">
        <f t="shared" si="1"/>
        <v>110.5619769</v>
      </c>
      <c r="O1474" s="74" t="b">
        <v>1</v>
      </c>
    </row>
    <row r="1475" hidden="1">
      <c r="A1475" s="82"/>
      <c r="B1475" s="65" t="s">
        <v>495</v>
      </c>
      <c r="C1475" s="65" t="s">
        <v>92</v>
      </c>
      <c r="D1475" s="65" t="str">
        <f>vlookup(C1475,'Classificação p pessoal'!F:G,2,false)</f>
        <v/>
      </c>
      <c r="E1475" s="65" t="s">
        <v>865</v>
      </c>
      <c r="F1475" s="83">
        <v>0.6736111111111112</v>
      </c>
      <c r="G1475" s="83">
        <v>0.7083333333333334</v>
      </c>
      <c r="H1475" s="83">
        <v>0.034722222222222224</v>
      </c>
      <c r="I1475" s="84">
        <v>44277.0</v>
      </c>
      <c r="J1475" s="65" t="b">
        <v>1</v>
      </c>
      <c r="K1475" s="65"/>
      <c r="L1475" s="85" t="b">
        <f>IF(VLOOKUP(C1475,Projetos!A:L,12,false)=TRUE,TRUE,FALSE)</f>
        <v>1</v>
      </c>
      <c r="M1475" s="74">
        <v>73.7079846079846</v>
      </c>
      <c r="N1475" s="74">
        <f t="shared" si="1"/>
        <v>61.42332051</v>
      </c>
      <c r="O1475" s="74" t="b">
        <v>1</v>
      </c>
    </row>
    <row r="1476" hidden="1">
      <c r="A1476" s="82"/>
      <c r="B1476" s="65" t="s">
        <v>495</v>
      </c>
      <c r="C1476" s="65" t="s">
        <v>92</v>
      </c>
      <c r="D1476" s="65" t="str">
        <f>vlookup(C1476,'Classificação p pessoal'!F:G,2,false)</f>
        <v/>
      </c>
      <c r="E1476" s="65" t="s">
        <v>866</v>
      </c>
      <c r="F1476" s="83">
        <v>0.34375</v>
      </c>
      <c r="G1476" s="83">
        <v>0.4166666666666667</v>
      </c>
      <c r="H1476" s="83">
        <v>0.07291666666666667</v>
      </c>
      <c r="I1476" s="84">
        <v>44278.0</v>
      </c>
      <c r="J1476" s="65" t="b">
        <v>1</v>
      </c>
      <c r="K1476" s="65"/>
      <c r="L1476" s="85" t="b">
        <f>IF(VLOOKUP(C1476,Projetos!A:L,12,false)=TRUE,TRUE,FALSE)</f>
        <v>1</v>
      </c>
      <c r="M1476" s="74">
        <v>73.7079846079846</v>
      </c>
      <c r="N1476" s="74">
        <f t="shared" si="1"/>
        <v>128.9889731</v>
      </c>
      <c r="O1476" s="74" t="b">
        <v>1</v>
      </c>
    </row>
    <row r="1477" hidden="1">
      <c r="A1477" s="82"/>
      <c r="B1477" s="65" t="s">
        <v>495</v>
      </c>
      <c r="C1477" s="65" t="s">
        <v>92</v>
      </c>
      <c r="D1477" s="65" t="str">
        <f>vlookup(C1477,'Classificação p pessoal'!F:G,2,false)</f>
        <v/>
      </c>
      <c r="E1477" s="65" t="s">
        <v>865</v>
      </c>
      <c r="F1477" s="83">
        <v>0.4166666666666667</v>
      </c>
      <c r="G1477" s="83">
        <v>0.5520833333333334</v>
      </c>
      <c r="H1477" s="83">
        <v>0.13541666666666666</v>
      </c>
      <c r="I1477" s="84">
        <v>44278.0</v>
      </c>
      <c r="J1477" s="65" t="b">
        <v>1</v>
      </c>
      <c r="K1477" s="65"/>
      <c r="L1477" s="85" t="b">
        <f>IF(VLOOKUP(C1477,Projetos!A:L,12,false)=TRUE,TRUE,FALSE)</f>
        <v>1</v>
      </c>
      <c r="M1477" s="74">
        <v>73.7079846079846</v>
      </c>
      <c r="N1477" s="74">
        <f t="shared" si="1"/>
        <v>239.55095</v>
      </c>
      <c r="O1477" s="74" t="b">
        <v>1</v>
      </c>
    </row>
    <row r="1478" hidden="1">
      <c r="A1478" s="82"/>
      <c r="B1478" s="65" t="s">
        <v>495</v>
      </c>
      <c r="C1478" s="65" t="s">
        <v>117</v>
      </c>
      <c r="D1478" s="65" t="str">
        <f>vlookup(C1478,'Classificação p pessoal'!F:G,2,false)</f>
        <v>NP</v>
      </c>
      <c r="E1478" s="65" t="s">
        <v>867</v>
      </c>
      <c r="F1478" s="83">
        <v>0.59375</v>
      </c>
      <c r="G1478" s="83">
        <v>0.6145833333333334</v>
      </c>
      <c r="H1478" s="83">
        <v>0.020833333333333332</v>
      </c>
      <c r="I1478" s="84">
        <v>44278.0</v>
      </c>
      <c r="J1478" s="65" t="b">
        <v>1</v>
      </c>
      <c r="K1478" s="65"/>
      <c r="L1478" s="85" t="b">
        <f>IF(VLOOKUP(C1478,Projetos!A:L,12,false)=TRUE,TRUE,FALSE)</f>
        <v>1</v>
      </c>
      <c r="M1478" s="74">
        <v>73.7079846079846</v>
      </c>
      <c r="N1478" s="74">
        <f t="shared" si="1"/>
        <v>36.8539923</v>
      </c>
      <c r="O1478" s="74" t="b">
        <v>1</v>
      </c>
    </row>
    <row r="1479" hidden="1">
      <c r="A1479" s="82"/>
      <c r="B1479" s="65" t="s">
        <v>495</v>
      </c>
      <c r="C1479" s="65" t="s">
        <v>92</v>
      </c>
      <c r="D1479" s="65" t="str">
        <f>vlookup(C1479,'Classificação p pessoal'!F:G,2,false)</f>
        <v/>
      </c>
      <c r="E1479" s="65" t="s">
        <v>832</v>
      </c>
      <c r="F1479" s="83">
        <v>0.625</v>
      </c>
      <c r="G1479" s="83">
        <v>0.75</v>
      </c>
      <c r="H1479" s="83">
        <v>0.125</v>
      </c>
      <c r="I1479" s="84">
        <v>44278.0</v>
      </c>
      <c r="J1479" s="65" t="b">
        <v>1</v>
      </c>
      <c r="K1479" s="65"/>
      <c r="L1479" s="85" t="b">
        <f>IF(VLOOKUP(C1479,Projetos!A:L,12,false)=TRUE,TRUE,FALSE)</f>
        <v>1</v>
      </c>
      <c r="M1479" s="74">
        <v>73.7079846079846</v>
      </c>
      <c r="N1479" s="74">
        <f t="shared" si="1"/>
        <v>221.1239538</v>
      </c>
      <c r="O1479" s="74" t="b">
        <v>1</v>
      </c>
    </row>
    <row r="1480" hidden="1">
      <c r="A1480" s="82"/>
      <c r="B1480" s="65" t="s">
        <v>495</v>
      </c>
      <c r="C1480" s="65" t="s">
        <v>108</v>
      </c>
      <c r="D1480" s="65" t="str">
        <f>vlookup(C1480,'Classificação p pessoal'!F:G,2,false)</f>
        <v>NP</v>
      </c>
      <c r="E1480" s="65" t="s">
        <v>868</v>
      </c>
      <c r="F1480" s="83">
        <v>0.34375</v>
      </c>
      <c r="G1480" s="83">
        <v>0.3541666666666667</v>
      </c>
      <c r="H1480" s="83">
        <v>0.010416666666666666</v>
      </c>
      <c r="I1480" s="84">
        <v>44279.0</v>
      </c>
      <c r="J1480" s="65" t="b">
        <v>1</v>
      </c>
      <c r="K1480" s="65"/>
      <c r="L1480" s="85" t="b">
        <f>IF(VLOOKUP(C1480,Projetos!A:L,12,false)=TRUE,TRUE,FALSE)</f>
        <v>1</v>
      </c>
      <c r="M1480" s="74">
        <v>73.7079846079846</v>
      </c>
      <c r="N1480" s="74">
        <f t="shared" si="1"/>
        <v>18.42699615</v>
      </c>
      <c r="O1480" s="74" t="b">
        <v>1</v>
      </c>
    </row>
    <row r="1481" hidden="1">
      <c r="A1481" s="82"/>
      <c r="B1481" s="65" t="s">
        <v>495</v>
      </c>
      <c r="C1481" s="65" t="s">
        <v>92</v>
      </c>
      <c r="D1481" s="65" t="str">
        <f>vlookup(C1481,'Classificação p pessoal'!F:G,2,false)</f>
        <v/>
      </c>
      <c r="E1481" s="65" t="s">
        <v>869</v>
      </c>
      <c r="F1481" s="83">
        <v>0.3541666666666667</v>
      </c>
      <c r="G1481" s="83">
        <v>0.5625</v>
      </c>
      <c r="H1481" s="83">
        <v>0.20833333333333334</v>
      </c>
      <c r="I1481" s="84">
        <v>44279.0</v>
      </c>
      <c r="J1481" s="65" t="b">
        <v>1</v>
      </c>
      <c r="K1481" s="65"/>
      <c r="L1481" s="85" t="b">
        <f>IF(VLOOKUP(C1481,Projetos!A:L,12,false)=TRUE,TRUE,FALSE)</f>
        <v>1</v>
      </c>
      <c r="M1481" s="74">
        <v>73.7079846079846</v>
      </c>
      <c r="N1481" s="74">
        <f t="shared" si="1"/>
        <v>368.539923</v>
      </c>
      <c r="O1481" s="74" t="b">
        <v>1</v>
      </c>
    </row>
    <row r="1482" hidden="1">
      <c r="A1482" s="82"/>
      <c r="B1482" s="65" t="s">
        <v>495</v>
      </c>
      <c r="C1482" s="65" t="s">
        <v>92</v>
      </c>
      <c r="D1482" s="65" t="str">
        <f>vlookup(C1482,'Classificação p pessoal'!F:G,2,false)</f>
        <v/>
      </c>
      <c r="E1482" s="65" t="s">
        <v>870</v>
      </c>
      <c r="F1482" s="83">
        <v>0.6041666666666666</v>
      </c>
      <c r="G1482" s="83">
        <v>0.6666666666666666</v>
      </c>
      <c r="H1482" s="83">
        <v>0.0625</v>
      </c>
      <c r="I1482" s="84">
        <v>44279.0</v>
      </c>
      <c r="J1482" s="65" t="b">
        <v>1</v>
      </c>
      <c r="K1482" s="65"/>
      <c r="L1482" s="85" t="b">
        <f>IF(VLOOKUP(C1482,Projetos!A:L,12,false)=TRUE,TRUE,FALSE)</f>
        <v>1</v>
      </c>
      <c r="M1482" s="74">
        <v>73.7079846079846</v>
      </c>
      <c r="N1482" s="74">
        <f t="shared" si="1"/>
        <v>110.5619769</v>
      </c>
      <c r="O1482" s="74" t="b">
        <v>1</v>
      </c>
    </row>
    <row r="1483" hidden="1">
      <c r="A1483" s="82"/>
      <c r="B1483" s="65" t="s">
        <v>495</v>
      </c>
      <c r="C1483" s="65" t="s">
        <v>120</v>
      </c>
      <c r="D1483" s="65"/>
      <c r="E1483" s="65" t="s">
        <v>871</v>
      </c>
      <c r="F1483" s="83">
        <v>0.6666666666666666</v>
      </c>
      <c r="G1483" s="83">
        <v>0.6875</v>
      </c>
      <c r="H1483" s="83">
        <v>0.020833333333333332</v>
      </c>
      <c r="I1483" s="84">
        <v>44279.0</v>
      </c>
      <c r="J1483" s="65" t="b">
        <v>0</v>
      </c>
      <c r="K1483" s="65" t="s">
        <v>150</v>
      </c>
      <c r="L1483" s="85" t="b">
        <f>IF(VLOOKUP(C1483,Projetos!A:L,12,false)=TRUE,TRUE,FALSE)</f>
        <v>0</v>
      </c>
      <c r="M1483" s="74">
        <v>73.7079846079846</v>
      </c>
      <c r="N1483" s="74">
        <f t="shared" si="1"/>
        <v>0</v>
      </c>
      <c r="O1483" s="74" t="b">
        <v>0</v>
      </c>
    </row>
    <row r="1484" hidden="1">
      <c r="A1484" s="82"/>
      <c r="B1484" s="65" t="s">
        <v>495</v>
      </c>
      <c r="C1484" s="65" t="s">
        <v>92</v>
      </c>
      <c r="D1484" s="65" t="str">
        <f>vlookup(C1484,'Classificação p pessoal'!F:G,2,false)</f>
        <v/>
      </c>
      <c r="E1484" s="65" t="s">
        <v>870</v>
      </c>
      <c r="F1484" s="83">
        <v>0.6979166666666666</v>
      </c>
      <c r="G1484" s="83">
        <v>0.75</v>
      </c>
      <c r="H1484" s="83">
        <v>0.052083333333333336</v>
      </c>
      <c r="I1484" s="84">
        <v>44279.0</v>
      </c>
      <c r="J1484" s="65" t="b">
        <v>1</v>
      </c>
      <c r="K1484" s="65"/>
      <c r="L1484" s="85" t="b">
        <f>IF(VLOOKUP(C1484,Projetos!A:L,12,false)=TRUE,TRUE,FALSE)</f>
        <v>1</v>
      </c>
      <c r="M1484" s="74">
        <v>73.7079846079846</v>
      </c>
      <c r="N1484" s="74">
        <f t="shared" si="1"/>
        <v>92.13498076</v>
      </c>
      <c r="O1484" s="74" t="b">
        <v>1</v>
      </c>
    </row>
    <row r="1485" hidden="1">
      <c r="A1485" s="82"/>
      <c r="B1485" s="65" t="s">
        <v>495</v>
      </c>
      <c r="C1485" s="65" t="s">
        <v>100</v>
      </c>
      <c r="D1485" s="65" t="str">
        <f>vlookup(C1485,'Classificação p pessoal'!F:G,2,false)</f>
        <v>NP</v>
      </c>
      <c r="E1485" s="65" t="s">
        <v>861</v>
      </c>
      <c r="F1485" s="83">
        <v>0.3541666666666667</v>
      </c>
      <c r="G1485" s="83">
        <v>0.4375</v>
      </c>
      <c r="H1485" s="83">
        <v>0.08333333333333333</v>
      </c>
      <c r="I1485" s="84">
        <v>44280.0</v>
      </c>
      <c r="J1485" s="65" t="b">
        <v>1</v>
      </c>
      <c r="K1485" s="65"/>
      <c r="L1485" s="85" t="b">
        <f>IF(VLOOKUP(C1485,Projetos!A:L,12,false)=TRUE,TRUE,FALSE)</f>
        <v>1</v>
      </c>
      <c r="M1485" s="74">
        <v>73.7079846079846</v>
      </c>
      <c r="N1485" s="74">
        <f t="shared" si="1"/>
        <v>147.4159692</v>
      </c>
      <c r="O1485" s="74" t="b">
        <v>1</v>
      </c>
    </row>
    <row r="1486" hidden="1">
      <c r="A1486" s="82"/>
      <c r="B1486" s="65" t="s">
        <v>495</v>
      </c>
      <c r="C1486" s="65" t="s">
        <v>107</v>
      </c>
      <c r="D1486" s="65" t="str">
        <f>vlookup(C1486,'Classificação p pessoal'!F:G,2,false)</f>
        <v>NP</v>
      </c>
      <c r="E1486" s="65" t="s">
        <v>872</v>
      </c>
      <c r="F1486" s="83">
        <v>0.4861111111111111</v>
      </c>
      <c r="G1486" s="83">
        <v>0.5208333333333334</v>
      </c>
      <c r="H1486" s="83">
        <v>0.034722222222222224</v>
      </c>
      <c r="I1486" s="84">
        <v>44280.0</v>
      </c>
      <c r="J1486" s="65" t="b">
        <v>1</v>
      </c>
      <c r="K1486" s="65"/>
      <c r="L1486" s="85" t="b">
        <f>IF(VLOOKUP(C1486,Projetos!A:L,12,false)=TRUE,TRUE,FALSE)</f>
        <v>1</v>
      </c>
      <c r="M1486" s="74">
        <v>73.7079846079846</v>
      </c>
      <c r="N1486" s="74">
        <f t="shared" si="1"/>
        <v>61.42332051</v>
      </c>
      <c r="O1486" s="74" t="b">
        <v>1</v>
      </c>
    </row>
    <row r="1487" hidden="1">
      <c r="A1487" s="82"/>
      <c r="B1487" s="65" t="s">
        <v>495</v>
      </c>
      <c r="C1487" s="65" t="s">
        <v>92</v>
      </c>
      <c r="D1487" s="65"/>
      <c r="E1487" s="65" t="s">
        <v>873</v>
      </c>
      <c r="F1487" s="83">
        <v>0.5833333333333334</v>
      </c>
      <c r="G1487" s="83">
        <v>0.75</v>
      </c>
      <c r="H1487" s="83">
        <v>0.16666666666666666</v>
      </c>
      <c r="I1487" s="84">
        <v>44280.0</v>
      </c>
      <c r="J1487" s="65" t="b">
        <v>0</v>
      </c>
      <c r="K1487" s="65" t="s">
        <v>150</v>
      </c>
      <c r="L1487" s="85" t="b">
        <f>IF(VLOOKUP(C1487,Projetos!A:L,12,false)=TRUE,TRUE,FALSE)</f>
        <v>1</v>
      </c>
      <c r="M1487" s="74">
        <v>73.7079846079846</v>
      </c>
      <c r="N1487" s="74">
        <f t="shared" si="1"/>
        <v>0</v>
      </c>
      <c r="O1487" s="74" t="b">
        <v>1</v>
      </c>
    </row>
    <row r="1488" hidden="1">
      <c r="A1488" s="82"/>
      <c r="B1488" s="65" t="s">
        <v>495</v>
      </c>
      <c r="C1488" s="65" t="s">
        <v>117</v>
      </c>
      <c r="D1488" s="65" t="str">
        <f>vlookup(C1488,'Classificação p pessoal'!F:G,2,false)</f>
        <v>NP</v>
      </c>
      <c r="E1488" s="65" t="s">
        <v>874</v>
      </c>
      <c r="F1488" s="83">
        <v>0.3541666666666667</v>
      </c>
      <c r="G1488" s="83">
        <v>0.3958333333333333</v>
      </c>
      <c r="H1488" s="83">
        <v>0.041666666666666664</v>
      </c>
      <c r="I1488" s="84">
        <v>44281.0</v>
      </c>
      <c r="J1488" s="65" t="b">
        <v>1</v>
      </c>
      <c r="K1488" s="65"/>
      <c r="L1488" s="85" t="b">
        <f>IF(VLOOKUP(C1488,Projetos!A:L,12,false)=TRUE,TRUE,FALSE)</f>
        <v>1</v>
      </c>
      <c r="M1488" s="74">
        <v>73.7079846079846</v>
      </c>
      <c r="N1488" s="74">
        <f t="shared" si="1"/>
        <v>73.70798461</v>
      </c>
      <c r="O1488" s="74" t="b">
        <v>1</v>
      </c>
    </row>
    <row r="1489" hidden="1">
      <c r="A1489" s="82"/>
      <c r="B1489" s="65" t="s">
        <v>495</v>
      </c>
      <c r="C1489" s="65" t="s">
        <v>108</v>
      </c>
      <c r="D1489" s="65" t="str">
        <f>vlookup(C1489,'Classificação p pessoal'!F:G,2,false)</f>
        <v>NP</v>
      </c>
      <c r="E1489" s="65" t="s">
        <v>875</v>
      </c>
      <c r="F1489" s="83">
        <v>0.4583333333333333</v>
      </c>
      <c r="G1489" s="83">
        <v>0.5555555555555556</v>
      </c>
      <c r="H1489" s="83">
        <v>0.09722222222222222</v>
      </c>
      <c r="I1489" s="84">
        <v>44281.0</v>
      </c>
      <c r="J1489" s="65" t="b">
        <v>1</v>
      </c>
      <c r="K1489" s="65"/>
      <c r="L1489" s="85" t="b">
        <f>IF(VLOOKUP(C1489,Projetos!A:L,12,false)=TRUE,TRUE,FALSE)</f>
        <v>1</v>
      </c>
      <c r="M1489" s="74">
        <v>73.7079846079846</v>
      </c>
      <c r="N1489" s="74">
        <f t="shared" si="1"/>
        <v>171.9852974</v>
      </c>
      <c r="O1489" s="74" t="b">
        <v>1</v>
      </c>
    </row>
    <row r="1490" hidden="1">
      <c r="A1490" s="82"/>
      <c r="B1490" s="65" t="s">
        <v>411</v>
      </c>
      <c r="C1490" s="65" t="s">
        <v>92</v>
      </c>
      <c r="D1490" s="65"/>
      <c r="E1490" s="65" t="s">
        <v>876</v>
      </c>
      <c r="F1490" s="83">
        <v>0.5625</v>
      </c>
      <c r="G1490" s="83">
        <v>0.6041666666666666</v>
      </c>
      <c r="H1490" s="83">
        <v>0.041666666666666664</v>
      </c>
      <c r="I1490" s="84">
        <v>44286.0</v>
      </c>
      <c r="J1490" s="65" t="b">
        <v>0</v>
      </c>
      <c r="K1490" s="65"/>
      <c r="L1490" s="85" t="b">
        <f>IF(VLOOKUP(C1490,Projetos!A:L,12,false)=TRUE,TRUE,FALSE)</f>
        <v>1</v>
      </c>
      <c r="M1490" s="74">
        <v>52.48434411075036</v>
      </c>
      <c r="N1490" s="74">
        <f t="shared" si="1"/>
        <v>0</v>
      </c>
      <c r="O1490" s="74" t="b">
        <v>1</v>
      </c>
    </row>
    <row r="1491" hidden="1">
      <c r="A1491" s="82"/>
      <c r="B1491" s="65" t="s">
        <v>495</v>
      </c>
      <c r="C1491" s="65" t="s">
        <v>108</v>
      </c>
      <c r="D1491" s="65" t="str">
        <f>vlookup(C1491,'Classificação p pessoal'!F:G,2,false)</f>
        <v>NP</v>
      </c>
      <c r="E1491" s="65" t="s">
        <v>877</v>
      </c>
      <c r="F1491" s="83">
        <v>0.34375</v>
      </c>
      <c r="G1491" s="83">
        <v>0.4166666666666667</v>
      </c>
      <c r="H1491" s="83">
        <v>0.07291666666666667</v>
      </c>
      <c r="I1491" s="84">
        <v>44284.0</v>
      </c>
      <c r="J1491" s="65" t="b">
        <v>1</v>
      </c>
      <c r="K1491" s="65"/>
      <c r="L1491" s="85" t="b">
        <f>IF(VLOOKUP(C1491,Projetos!A:L,12,false)=TRUE,TRUE,FALSE)</f>
        <v>1</v>
      </c>
      <c r="M1491" s="74">
        <v>73.7079846079846</v>
      </c>
      <c r="N1491" s="74">
        <f t="shared" si="1"/>
        <v>128.9889731</v>
      </c>
      <c r="O1491" s="74" t="b">
        <v>1</v>
      </c>
    </row>
    <row r="1492" hidden="1">
      <c r="A1492" s="82"/>
      <c r="B1492" s="65" t="s">
        <v>495</v>
      </c>
      <c r="C1492" s="65" t="s">
        <v>117</v>
      </c>
      <c r="D1492" s="65" t="str">
        <f>vlookup(C1492,'Classificação p pessoal'!F:G,2,false)</f>
        <v>NP</v>
      </c>
      <c r="E1492" s="65" t="s">
        <v>878</v>
      </c>
      <c r="F1492" s="83">
        <v>0.4270833333333333</v>
      </c>
      <c r="G1492" s="83">
        <v>0.4583333333333333</v>
      </c>
      <c r="H1492" s="83">
        <v>0.03125</v>
      </c>
      <c r="I1492" s="84">
        <v>44284.0</v>
      </c>
      <c r="J1492" s="65" t="b">
        <v>1</v>
      </c>
      <c r="K1492" s="65"/>
      <c r="L1492" s="85" t="b">
        <f>IF(VLOOKUP(C1492,Projetos!A:L,12,false)=TRUE,TRUE,FALSE)</f>
        <v>1</v>
      </c>
      <c r="M1492" s="74">
        <v>73.7079846079846</v>
      </c>
      <c r="N1492" s="74">
        <f t="shared" si="1"/>
        <v>55.28098846</v>
      </c>
      <c r="O1492" s="74" t="b">
        <v>1</v>
      </c>
    </row>
    <row r="1493" hidden="1">
      <c r="A1493" s="82"/>
      <c r="B1493" s="65" t="s">
        <v>495</v>
      </c>
      <c r="C1493" s="65" t="s">
        <v>130</v>
      </c>
      <c r="D1493" s="65" t="str">
        <f>vlookup(C1493,'Classificação p pessoal'!F:G,2,false)</f>
        <v>NP</v>
      </c>
      <c r="E1493" s="65" t="s">
        <v>879</v>
      </c>
      <c r="F1493" s="83">
        <v>0.4583333333333333</v>
      </c>
      <c r="G1493" s="83">
        <v>0.5625</v>
      </c>
      <c r="H1493" s="83">
        <v>0.10416666666666667</v>
      </c>
      <c r="I1493" s="84">
        <v>44284.0</v>
      </c>
      <c r="J1493" s="65" t="b">
        <v>1</v>
      </c>
      <c r="K1493" s="65"/>
      <c r="L1493" s="85" t="b">
        <f>IF(VLOOKUP(C1493,Projetos!A:L,12,false)=TRUE,TRUE,FALSE)</f>
        <v>1</v>
      </c>
      <c r="M1493" s="74">
        <v>73.7079846079846</v>
      </c>
      <c r="N1493" s="74">
        <f t="shared" si="1"/>
        <v>184.2699615</v>
      </c>
      <c r="O1493" s="74" t="b">
        <v>1</v>
      </c>
    </row>
    <row r="1494" hidden="1">
      <c r="A1494" s="82"/>
      <c r="B1494" s="65" t="s">
        <v>495</v>
      </c>
      <c r="C1494" s="65" t="s">
        <v>130</v>
      </c>
      <c r="D1494" s="65" t="str">
        <f>vlookup(C1494,'Classificação p pessoal'!F:G,2,false)</f>
        <v>NP</v>
      </c>
      <c r="E1494" s="65" t="s">
        <v>880</v>
      </c>
      <c r="F1494" s="83">
        <v>0.6458333333333334</v>
      </c>
      <c r="G1494" s="83">
        <v>0.75</v>
      </c>
      <c r="H1494" s="83">
        <v>0.10416666666666667</v>
      </c>
      <c r="I1494" s="84">
        <v>44284.0</v>
      </c>
      <c r="J1494" s="65" t="b">
        <v>1</v>
      </c>
      <c r="K1494" s="65"/>
      <c r="L1494" s="85" t="b">
        <f>IF(VLOOKUP(C1494,Projetos!A:L,12,false)=TRUE,TRUE,FALSE)</f>
        <v>1</v>
      </c>
      <c r="M1494" s="74">
        <v>73.7079846079846</v>
      </c>
      <c r="N1494" s="74">
        <f t="shared" si="1"/>
        <v>184.2699615</v>
      </c>
      <c r="O1494" s="74" t="b">
        <v>1</v>
      </c>
    </row>
    <row r="1495" hidden="1">
      <c r="A1495" s="82"/>
      <c r="B1495" s="65" t="s">
        <v>495</v>
      </c>
      <c r="C1495" s="65" t="s">
        <v>117</v>
      </c>
      <c r="D1495" s="65" t="str">
        <f>vlookup(C1495,'Classificação p pessoal'!F:G,2,false)</f>
        <v>NP</v>
      </c>
      <c r="E1495" s="65" t="s">
        <v>878</v>
      </c>
      <c r="F1495" s="83">
        <v>0.34375</v>
      </c>
      <c r="G1495" s="83">
        <v>0.3541666666666667</v>
      </c>
      <c r="H1495" s="83">
        <v>0.010416666666666666</v>
      </c>
      <c r="I1495" s="84">
        <v>44285.0</v>
      </c>
      <c r="J1495" s="65" t="b">
        <v>1</v>
      </c>
      <c r="K1495" s="65"/>
      <c r="L1495" s="85" t="b">
        <f>IF(VLOOKUP(C1495,Projetos!A:L,12,false)=TRUE,TRUE,FALSE)</f>
        <v>1</v>
      </c>
      <c r="M1495" s="74">
        <v>73.7079846079846</v>
      </c>
      <c r="N1495" s="74">
        <f t="shared" si="1"/>
        <v>18.42699615</v>
      </c>
      <c r="O1495" s="74" t="b">
        <v>1</v>
      </c>
    </row>
    <row r="1496" hidden="1">
      <c r="A1496" s="82"/>
      <c r="B1496" s="65" t="s">
        <v>495</v>
      </c>
      <c r="C1496" s="65" t="s">
        <v>84</v>
      </c>
      <c r="D1496" s="65"/>
      <c r="E1496" s="65" t="s">
        <v>881</v>
      </c>
      <c r="F1496" s="83">
        <v>0.3541666666666667</v>
      </c>
      <c r="G1496" s="83">
        <v>0.4166666666666667</v>
      </c>
      <c r="H1496" s="83">
        <v>0.0625</v>
      </c>
      <c r="I1496" s="84">
        <v>44285.0</v>
      </c>
      <c r="J1496" s="65" t="b">
        <v>0</v>
      </c>
      <c r="K1496" s="65"/>
      <c r="L1496" s="85" t="b">
        <f>IF(VLOOKUP(C1496,Projetos!A:L,12,false)=TRUE,TRUE,FALSE)</f>
        <v>0</v>
      </c>
      <c r="M1496" s="74">
        <v>73.7079846079846</v>
      </c>
      <c r="N1496" s="74">
        <f t="shared" si="1"/>
        <v>0</v>
      </c>
      <c r="O1496" s="74" t="b">
        <v>0</v>
      </c>
    </row>
    <row r="1497" hidden="1">
      <c r="A1497" s="82"/>
      <c r="B1497" s="65" t="s">
        <v>495</v>
      </c>
      <c r="C1497" s="65" t="s">
        <v>88</v>
      </c>
      <c r="D1497" s="65" t="str">
        <f>vlookup(C1497,'Classificação p pessoal'!F:G,2,false)</f>
        <v>MProduto</v>
      </c>
      <c r="E1497" s="65" t="s">
        <v>882</v>
      </c>
      <c r="F1497" s="83">
        <v>0.4166666666666667</v>
      </c>
      <c r="G1497" s="83">
        <v>0.5625</v>
      </c>
      <c r="H1497" s="83">
        <v>0.14583333333333334</v>
      </c>
      <c r="I1497" s="84">
        <v>44285.0</v>
      </c>
      <c r="J1497" s="65" t="b">
        <v>1</v>
      </c>
      <c r="K1497" s="65"/>
      <c r="L1497" s="85" t="b">
        <f>IF(VLOOKUP(C1497,Projetos!A:L,12,false)=TRUE,TRUE,FALSE)</f>
        <v>1</v>
      </c>
      <c r="M1497" s="74">
        <v>73.7079846079846</v>
      </c>
      <c r="N1497" s="74">
        <f t="shared" si="1"/>
        <v>257.9779461</v>
      </c>
      <c r="O1497" s="74" t="b">
        <v>1</v>
      </c>
    </row>
    <row r="1498" hidden="1">
      <c r="A1498" s="82"/>
      <c r="B1498" s="65" t="s">
        <v>495</v>
      </c>
      <c r="C1498" s="65" t="s">
        <v>88</v>
      </c>
      <c r="D1498" s="65" t="str">
        <f>vlookup(C1498,'Classificação p pessoal'!F:G,2,false)</f>
        <v>MProduto</v>
      </c>
      <c r="E1498" s="65" t="s">
        <v>882</v>
      </c>
      <c r="F1498" s="83">
        <v>0.6041666666666666</v>
      </c>
      <c r="G1498" s="83">
        <v>0.6666666666666666</v>
      </c>
      <c r="H1498" s="83">
        <v>0.0625</v>
      </c>
      <c r="I1498" s="84">
        <v>44285.0</v>
      </c>
      <c r="J1498" s="65" t="b">
        <v>1</v>
      </c>
      <c r="K1498" s="65"/>
      <c r="L1498" s="85" t="b">
        <f>IF(VLOOKUP(C1498,Projetos!A:L,12,false)=TRUE,TRUE,FALSE)</f>
        <v>1</v>
      </c>
      <c r="M1498" s="74">
        <v>73.7079846079846</v>
      </c>
      <c r="N1498" s="74">
        <f t="shared" si="1"/>
        <v>110.5619769</v>
      </c>
      <c r="O1498" s="74" t="b">
        <v>1</v>
      </c>
    </row>
    <row r="1499" hidden="1">
      <c r="A1499" s="82"/>
      <c r="B1499" s="65" t="s">
        <v>495</v>
      </c>
      <c r="C1499" s="65" t="s">
        <v>117</v>
      </c>
      <c r="D1499" s="65" t="str">
        <f>vlookup(C1499,'Classificação p pessoal'!F:G,2,false)</f>
        <v>NP</v>
      </c>
      <c r="E1499" s="65" t="s">
        <v>883</v>
      </c>
      <c r="F1499" s="83">
        <v>0.6666666666666666</v>
      </c>
      <c r="G1499" s="83">
        <v>0.6875</v>
      </c>
      <c r="H1499" s="83">
        <v>0.020833333333333332</v>
      </c>
      <c r="I1499" s="84">
        <v>44285.0</v>
      </c>
      <c r="J1499" s="65" t="b">
        <v>1</v>
      </c>
      <c r="K1499" s="65"/>
      <c r="L1499" s="85" t="b">
        <f>IF(VLOOKUP(C1499,Projetos!A:L,12,false)=TRUE,TRUE,FALSE)</f>
        <v>1</v>
      </c>
      <c r="M1499" s="74">
        <v>73.7079846079846</v>
      </c>
      <c r="N1499" s="74">
        <f t="shared" si="1"/>
        <v>36.8539923</v>
      </c>
      <c r="O1499" s="74" t="b">
        <v>1</v>
      </c>
    </row>
    <row r="1500" hidden="1">
      <c r="A1500" s="82"/>
      <c r="B1500" s="65" t="s">
        <v>495</v>
      </c>
      <c r="C1500" s="65" t="s">
        <v>84</v>
      </c>
      <c r="D1500" s="65"/>
      <c r="E1500" s="65" t="s">
        <v>884</v>
      </c>
      <c r="F1500" s="83">
        <v>0.7291666666666666</v>
      </c>
      <c r="G1500" s="83">
        <v>0.75</v>
      </c>
      <c r="H1500" s="83">
        <v>0.020833333333333332</v>
      </c>
      <c r="I1500" s="84">
        <v>44285.0</v>
      </c>
      <c r="J1500" s="65" t="b">
        <v>0</v>
      </c>
      <c r="K1500" s="65"/>
      <c r="L1500" s="85" t="b">
        <f>IF(VLOOKUP(C1500,Projetos!A:L,12,false)=TRUE,TRUE,FALSE)</f>
        <v>0</v>
      </c>
      <c r="M1500" s="74">
        <v>73.7079846079846</v>
      </c>
      <c r="N1500" s="74">
        <f t="shared" si="1"/>
        <v>0</v>
      </c>
      <c r="O1500" s="74" t="b">
        <v>0</v>
      </c>
    </row>
    <row r="1501" hidden="1">
      <c r="A1501" s="82"/>
      <c r="B1501" s="65" t="s">
        <v>495</v>
      </c>
      <c r="C1501" s="65" t="s">
        <v>106</v>
      </c>
      <c r="D1501" s="65" t="str">
        <f>vlookup(C1501,'Classificação p pessoal'!F:G,2,false)</f>
        <v>MProcesso</v>
      </c>
      <c r="E1501" s="65" t="s">
        <v>885</v>
      </c>
      <c r="F1501" s="83">
        <v>0.34375</v>
      </c>
      <c r="G1501" s="83">
        <v>0.4166666666666667</v>
      </c>
      <c r="H1501" s="83">
        <v>0.07291666666666667</v>
      </c>
      <c r="I1501" s="84">
        <v>44286.0</v>
      </c>
      <c r="J1501" s="65" t="b">
        <v>1</v>
      </c>
      <c r="K1501" s="65"/>
      <c r="L1501" s="85" t="b">
        <f>IF(VLOOKUP(C1501,Projetos!A:L,12,false)=TRUE,TRUE,FALSE)</f>
        <v>1</v>
      </c>
      <c r="M1501" s="74">
        <v>73.7079846079846</v>
      </c>
      <c r="N1501" s="74">
        <f t="shared" si="1"/>
        <v>128.9889731</v>
      </c>
      <c r="O1501" s="74" t="b">
        <v>1</v>
      </c>
    </row>
    <row r="1502" hidden="1">
      <c r="A1502" s="82"/>
      <c r="B1502" s="65" t="s">
        <v>495</v>
      </c>
      <c r="C1502" s="65" t="s">
        <v>106</v>
      </c>
      <c r="D1502" s="65"/>
      <c r="E1502" s="65" t="s">
        <v>886</v>
      </c>
      <c r="F1502" s="83">
        <v>0.4583333333333333</v>
      </c>
      <c r="G1502" s="83">
        <v>0.5625</v>
      </c>
      <c r="H1502" s="83">
        <v>0.10416666666666667</v>
      </c>
      <c r="I1502" s="84">
        <v>44286.0</v>
      </c>
      <c r="J1502" s="65" t="b">
        <v>0</v>
      </c>
      <c r="K1502" s="65" t="s">
        <v>150</v>
      </c>
      <c r="L1502" s="85" t="b">
        <f>IF(VLOOKUP(C1502,Projetos!A:L,12,false)=TRUE,TRUE,FALSE)</f>
        <v>1</v>
      </c>
      <c r="M1502" s="74">
        <v>73.7079846079846</v>
      </c>
      <c r="N1502" s="74">
        <f t="shared" si="1"/>
        <v>0</v>
      </c>
      <c r="O1502" s="74" t="b">
        <v>1</v>
      </c>
    </row>
    <row r="1503" hidden="1">
      <c r="A1503" s="82"/>
      <c r="B1503" s="65" t="s">
        <v>495</v>
      </c>
      <c r="C1503" s="65" t="s">
        <v>92</v>
      </c>
      <c r="D1503" s="65" t="str">
        <f>vlookup(C1503,'Classificação p pessoal'!F:G,2,false)</f>
        <v/>
      </c>
      <c r="E1503" s="65" t="s">
        <v>882</v>
      </c>
      <c r="F1503" s="83">
        <v>0.6041666666666666</v>
      </c>
      <c r="G1503" s="83">
        <v>0.6770833333333334</v>
      </c>
      <c r="H1503" s="83">
        <v>0.07291666666666667</v>
      </c>
      <c r="I1503" s="84">
        <v>44286.0</v>
      </c>
      <c r="J1503" s="65" t="b">
        <v>1</v>
      </c>
      <c r="K1503" s="65"/>
      <c r="L1503" s="85" t="b">
        <f>IF(VLOOKUP(C1503,Projetos!A:L,12,false)=TRUE,TRUE,FALSE)</f>
        <v>1</v>
      </c>
      <c r="M1503" s="74">
        <v>73.7079846079846</v>
      </c>
      <c r="N1503" s="74">
        <f t="shared" si="1"/>
        <v>128.9889731</v>
      </c>
      <c r="O1503" s="74" t="b">
        <v>1</v>
      </c>
    </row>
    <row r="1504" hidden="1">
      <c r="A1504" s="82"/>
      <c r="B1504" s="65" t="s">
        <v>495</v>
      </c>
      <c r="C1504" s="65" t="s">
        <v>117</v>
      </c>
      <c r="D1504" s="65" t="str">
        <f>vlookup(C1504,'Classificação p pessoal'!F:G,2,false)</f>
        <v>NP</v>
      </c>
      <c r="E1504" s="65" t="s">
        <v>887</v>
      </c>
      <c r="F1504" s="83">
        <v>0.6770833333333334</v>
      </c>
      <c r="G1504" s="83">
        <v>0.75</v>
      </c>
      <c r="H1504" s="83">
        <v>0.07291666666666667</v>
      </c>
      <c r="I1504" s="84" t="s">
        <v>888</v>
      </c>
      <c r="J1504" s="65" t="b">
        <v>1</v>
      </c>
      <c r="K1504" s="65"/>
      <c r="L1504" s="85" t="b">
        <f>IF(VLOOKUP(C1504,Projetos!A:L,12,false)=TRUE,TRUE,FALSE)</f>
        <v>1</v>
      </c>
      <c r="M1504" s="74">
        <v>73.7079846079846</v>
      </c>
      <c r="N1504" s="74">
        <f t="shared" si="1"/>
        <v>128.9889731</v>
      </c>
      <c r="O1504" s="74" t="b">
        <v>1</v>
      </c>
    </row>
    <row r="1505" hidden="1">
      <c r="A1505" s="82"/>
      <c r="B1505" s="65" t="s">
        <v>495</v>
      </c>
      <c r="C1505" s="65" t="s">
        <v>106</v>
      </c>
      <c r="D1505" s="65" t="str">
        <f>vlookup(C1505,'Classificação p pessoal'!F:G,2,false)</f>
        <v>MProcesso</v>
      </c>
      <c r="E1505" s="65" t="s">
        <v>889</v>
      </c>
      <c r="F1505" s="83">
        <v>0.3645833333333333</v>
      </c>
      <c r="G1505" s="83">
        <v>0.5034722222222222</v>
      </c>
      <c r="H1505" s="83">
        <v>0.1388888888888889</v>
      </c>
      <c r="I1505" s="84">
        <v>44287.0</v>
      </c>
      <c r="J1505" s="65" t="b">
        <v>1</v>
      </c>
      <c r="K1505" s="65"/>
      <c r="L1505" s="85" t="b">
        <f>IF(VLOOKUP(C1505,Projetos!A:L,12,false)=TRUE,TRUE,FALSE)</f>
        <v>1</v>
      </c>
      <c r="M1505" s="74">
        <v>73.7079846079846</v>
      </c>
      <c r="N1505" s="74">
        <f t="shared" si="1"/>
        <v>245.693282</v>
      </c>
      <c r="O1505" s="74" t="b">
        <v>1</v>
      </c>
    </row>
    <row r="1506" hidden="1">
      <c r="A1506" s="82"/>
      <c r="B1506" s="65" t="s">
        <v>495</v>
      </c>
      <c r="C1506" s="65" t="s">
        <v>84</v>
      </c>
      <c r="D1506" s="65"/>
      <c r="E1506" s="65" t="s">
        <v>890</v>
      </c>
      <c r="F1506" s="83">
        <v>0.5034722222222222</v>
      </c>
      <c r="G1506" s="83">
        <v>0.5694444444444444</v>
      </c>
      <c r="H1506" s="83">
        <v>0.06597222222222222</v>
      </c>
      <c r="I1506" s="84">
        <v>44287.0</v>
      </c>
      <c r="J1506" s="65" t="b">
        <v>0</v>
      </c>
      <c r="K1506" s="65"/>
      <c r="L1506" s="85" t="b">
        <f>IF(VLOOKUP(C1506,Projetos!A:L,12,false)=TRUE,TRUE,FALSE)</f>
        <v>0</v>
      </c>
      <c r="M1506" s="74">
        <v>73.7079846079846</v>
      </c>
      <c r="N1506" s="74">
        <f t="shared" si="1"/>
        <v>0</v>
      </c>
      <c r="O1506" s="74" t="b">
        <v>0</v>
      </c>
    </row>
    <row r="1507" hidden="1">
      <c r="A1507" s="82"/>
      <c r="B1507" s="65" t="s">
        <v>495</v>
      </c>
      <c r="C1507" s="65" t="s">
        <v>92</v>
      </c>
      <c r="D1507" s="65" t="str">
        <f>vlookup(C1507,'Classificação p pessoal'!F:G,2,false)</f>
        <v/>
      </c>
      <c r="E1507" s="65" t="s">
        <v>891</v>
      </c>
      <c r="F1507" s="83">
        <v>0.6145833333333334</v>
      </c>
      <c r="G1507" s="83">
        <v>0.6666666666666666</v>
      </c>
      <c r="H1507" s="83">
        <v>0.052083333333333336</v>
      </c>
      <c r="I1507" s="84">
        <v>44287.0</v>
      </c>
      <c r="J1507" s="65" t="b">
        <v>1</v>
      </c>
      <c r="K1507" s="65"/>
      <c r="L1507" s="85" t="b">
        <f>IF(VLOOKUP(C1507,Projetos!A:L,12,false)=TRUE,TRUE,FALSE)</f>
        <v>1</v>
      </c>
      <c r="M1507" s="74">
        <v>73.7079846079846</v>
      </c>
      <c r="N1507" s="74">
        <f t="shared" si="1"/>
        <v>92.13498076</v>
      </c>
      <c r="O1507" s="74" t="b">
        <v>1</v>
      </c>
    </row>
    <row r="1508" hidden="1">
      <c r="A1508" s="82"/>
      <c r="B1508" s="65" t="s">
        <v>495</v>
      </c>
      <c r="C1508" s="65" t="s">
        <v>130</v>
      </c>
      <c r="D1508" s="65" t="str">
        <f>vlookup(C1508,'Classificação p pessoal'!F:G,2,false)</f>
        <v>NP</v>
      </c>
      <c r="E1508" s="65" t="s">
        <v>880</v>
      </c>
      <c r="F1508" s="83">
        <v>0.6770833333333334</v>
      </c>
      <c r="G1508" s="83">
        <v>0.75</v>
      </c>
      <c r="H1508" s="83">
        <v>0.07291666666666667</v>
      </c>
      <c r="I1508" s="84">
        <v>44287.0</v>
      </c>
      <c r="J1508" s="65" t="b">
        <v>1</v>
      </c>
      <c r="K1508" s="65"/>
      <c r="L1508" s="85" t="b">
        <f>IF(VLOOKUP(C1508,Projetos!A:L,12,false)=TRUE,TRUE,FALSE)</f>
        <v>1</v>
      </c>
      <c r="M1508" s="74">
        <v>73.7079846079846</v>
      </c>
      <c r="N1508" s="74">
        <f t="shared" si="1"/>
        <v>128.9889731</v>
      </c>
      <c r="O1508" s="74" t="b">
        <v>1</v>
      </c>
    </row>
    <row r="1509" hidden="1">
      <c r="A1509" s="82"/>
      <c r="B1509" s="65" t="s">
        <v>495</v>
      </c>
      <c r="C1509" s="65" t="s">
        <v>92</v>
      </c>
      <c r="D1509" s="65" t="str">
        <f>vlookup(C1509,'Classificação p pessoal'!F:G,2,false)</f>
        <v/>
      </c>
      <c r="E1509" s="65" t="s">
        <v>882</v>
      </c>
      <c r="F1509" s="83">
        <v>0.33541666666666664</v>
      </c>
      <c r="G1509" s="83">
        <v>0.3958333333333333</v>
      </c>
      <c r="H1509" s="83">
        <v>0.06041666666666667</v>
      </c>
      <c r="I1509" s="84">
        <v>44291.0</v>
      </c>
      <c r="J1509" s="65" t="b">
        <v>1</v>
      </c>
      <c r="K1509" s="65"/>
      <c r="L1509" s="85" t="b">
        <f>IF(VLOOKUP(C1509,Projetos!A:L,12,false)=TRUE,TRUE,FALSE)</f>
        <v>1</v>
      </c>
      <c r="M1509" s="74">
        <v>73.7079846079846</v>
      </c>
      <c r="N1509" s="74">
        <f t="shared" si="1"/>
        <v>106.8765777</v>
      </c>
      <c r="O1509" s="74" t="b">
        <v>1</v>
      </c>
    </row>
    <row r="1510" hidden="1">
      <c r="A1510" s="82"/>
      <c r="B1510" s="65" t="s">
        <v>495</v>
      </c>
      <c r="C1510" s="65" t="s">
        <v>106</v>
      </c>
      <c r="D1510" s="65" t="str">
        <f>vlookup(C1510,'Classificação p pessoal'!F:G,2,false)</f>
        <v>MProcesso</v>
      </c>
      <c r="E1510" s="65" t="s">
        <v>892</v>
      </c>
      <c r="F1510" s="83">
        <v>0.3958333333333333</v>
      </c>
      <c r="G1510" s="83">
        <v>0.4166666666666667</v>
      </c>
      <c r="H1510" s="83">
        <v>0.020833333333333332</v>
      </c>
      <c r="I1510" s="84">
        <v>44291.0</v>
      </c>
      <c r="J1510" s="65" t="b">
        <v>1</v>
      </c>
      <c r="K1510" s="65"/>
      <c r="L1510" s="85" t="b">
        <f>IF(VLOOKUP(C1510,Projetos!A:L,12,false)=TRUE,TRUE,FALSE)</f>
        <v>1</v>
      </c>
      <c r="M1510" s="74">
        <v>73.7079846079846</v>
      </c>
      <c r="N1510" s="74">
        <f t="shared" si="1"/>
        <v>36.8539923</v>
      </c>
      <c r="O1510" s="74" t="b">
        <v>1</v>
      </c>
    </row>
    <row r="1511" hidden="1">
      <c r="A1511" s="82"/>
      <c r="B1511" s="65" t="s">
        <v>495</v>
      </c>
      <c r="C1511" s="65" t="s">
        <v>130</v>
      </c>
      <c r="D1511" s="65" t="str">
        <f>vlookup(C1511,'Classificação p pessoal'!F:G,2,false)</f>
        <v>NP</v>
      </c>
      <c r="E1511" s="65" t="s">
        <v>880</v>
      </c>
      <c r="F1511" s="83">
        <v>0.4270833333333333</v>
      </c>
      <c r="G1511" s="83">
        <v>0.5208333333333334</v>
      </c>
      <c r="H1511" s="83">
        <v>0.09375</v>
      </c>
      <c r="I1511" s="84">
        <v>44291.0</v>
      </c>
      <c r="J1511" s="65" t="b">
        <v>1</v>
      </c>
      <c r="K1511" s="65"/>
      <c r="L1511" s="85" t="b">
        <f>IF(VLOOKUP(C1511,Projetos!A:L,12,false)=TRUE,TRUE,FALSE)</f>
        <v>1</v>
      </c>
      <c r="M1511" s="74">
        <v>73.7079846079846</v>
      </c>
      <c r="N1511" s="74">
        <f t="shared" si="1"/>
        <v>165.8429654</v>
      </c>
      <c r="O1511" s="74" t="b">
        <v>1</v>
      </c>
    </row>
    <row r="1512" hidden="1">
      <c r="A1512" s="82"/>
      <c r="B1512" s="65" t="s">
        <v>495</v>
      </c>
      <c r="C1512" s="65" t="s">
        <v>101</v>
      </c>
      <c r="D1512" s="65" t="str">
        <f>vlookup(C1512,'Classificação p pessoal'!F:G,2,false)</f>
        <v>NP</v>
      </c>
      <c r="E1512" s="65" t="s">
        <v>893</v>
      </c>
      <c r="F1512" s="83">
        <v>0.5208333333333334</v>
      </c>
      <c r="G1512" s="83">
        <v>0.5625</v>
      </c>
      <c r="H1512" s="83">
        <v>0.041666666666666664</v>
      </c>
      <c r="I1512" s="84">
        <v>44291.0</v>
      </c>
      <c r="J1512" s="65" t="b">
        <v>1</v>
      </c>
      <c r="K1512" s="65"/>
      <c r="L1512" s="85" t="b">
        <f>IF(VLOOKUP(C1512,Projetos!A:L,12,false)=TRUE,TRUE,FALSE)</f>
        <v>1</v>
      </c>
      <c r="M1512" s="74">
        <v>73.7079846079846</v>
      </c>
      <c r="N1512" s="74">
        <f t="shared" si="1"/>
        <v>73.70798461</v>
      </c>
      <c r="O1512" s="74" t="b">
        <v>1</v>
      </c>
    </row>
    <row r="1513" hidden="1">
      <c r="A1513" s="82"/>
      <c r="B1513" s="65" t="s">
        <v>495</v>
      </c>
      <c r="C1513" s="65" t="s">
        <v>92</v>
      </c>
      <c r="D1513" s="65" t="str">
        <f>vlookup(C1513,'Classificação p pessoal'!F:G,2,false)</f>
        <v/>
      </c>
      <c r="E1513" s="65" t="s">
        <v>894</v>
      </c>
      <c r="F1513" s="83">
        <v>0.6041666666666666</v>
      </c>
      <c r="G1513" s="83">
        <v>0.75</v>
      </c>
      <c r="H1513" s="83">
        <v>0.14583333333333334</v>
      </c>
      <c r="I1513" s="84">
        <v>43926.0</v>
      </c>
      <c r="J1513" s="65" t="b">
        <v>1</v>
      </c>
      <c r="K1513" s="65"/>
      <c r="L1513" s="85" t="b">
        <f>IF(VLOOKUP(C1513,Projetos!A:L,12,false)=TRUE,TRUE,FALSE)</f>
        <v>1</v>
      </c>
      <c r="M1513" s="74">
        <v>73.7079846079846</v>
      </c>
      <c r="N1513" s="74">
        <f t="shared" si="1"/>
        <v>257.9779461</v>
      </c>
      <c r="O1513" s="74" t="b">
        <v>1</v>
      </c>
    </row>
    <row r="1514" hidden="1">
      <c r="A1514" s="82"/>
      <c r="B1514" s="65" t="s">
        <v>495</v>
      </c>
      <c r="C1514" s="65" t="s">
        <v>92</v>
      </c>
      <c r="D1514" s="65" t="str">
        <f>vlookup(C1514,'Classificação p pessoal'!F:G,2,false)</f>
        <v/>
      </c>
      <c r="E1514" s="65" t="s">
        <v>895</v>
      </c>
      <c r="F1514" s="83">
        <v>0.3541666666666667</v>
      </c>
      <c r="G1514" s="83">
        <v>0.5625</v>
      </c>
      <c r="H1514" s="83">
        <v>0.20833333333333334</v>
      </c>
      <c r="I1514" s="84">
        <v>44292.0</v>
      </c>
      <c r="J1514" s="65" t="b">
        <v>1</v>
      </c>
      <c r="K1514" s="65"/>
      <c r="L1514" s="85" t="b">
        <f>IF(VLOOKUP(C1514,Projetos!A:L,12,false)=TRUE,TRUE,FALSE)</f>
        <v>1</v>
      </c>
      <c r="M1514" s="74">
        <v>73.7079846079846</v>
      </c>
      <c r="N1514" s="74">
        <f t="shared" si="1"/>
        <v>368.539923</v>
      </c>
      <c r="O1514" s="74" t="b">
        <v>1</v>
      </c>
    </row>
    <row r="1515" hidden="1">
      <c r="A1515" s="82"/>
      <c r="B1515" s="65" t="s">
        <v>495</v>
      </c>
      <c r="C1515" s="65" t="s">
        <v>107</v>
      </c>
      <c r="D1515" s="65" t="str">
        <f>vlookup(C1515,'Classificação p pessoal'!F:G,2,false)</f>
        <v>NP</v>
      </c>
      <c r="E1515" s="65" t="s">
        <v>896</v>
      </c>
      <c r="F1515" s="83">
        <v>0.6041666666666666</v>
      </c>
      <c r="G1515" s="83">
        <v>0.6666666666666666</v>
      </c>
      <c r="H1515" s="83">
        <v>0.0625</v>
      </c>
      <c r="I1515" s="84">
        <v>44292.0</v>
      </c>
      <c r="J1515" s="65" t="b">
        <v>1</v>
      </c>
      <c r="K1515" s="65"/>
      <c r="L1515" s="85" t="b">
        <f>IF(VLOOKUP(C1515,Projetos!A:L,12,false)=TRUE,TRUE,FALSE)</f>
        <v>1</v>
      </c>
      <c r="M1515" s="74">
        <v>73.7079846079846</v>
      </c>
      <c r="N1515" s="74">
        <f t="shared" si="1"/>
        <v>110.5619769</v>
      </c>
      <c r="O1515" s="74" t="b">
        <v>1</v>
      </c>
    </row>
    <row r="1516" hidden="1">
      <c r="A1516" s="82"/>
      <c r="B1516" s="65" t="s">
        <v>495</v>
      </c>
      <c r="C1516" s="65" t="s">
        <v>104</v>
      </c>
      <c r="D1516" s="65" t="str">
        <f>vlookup(C1516,'Classificação p pessoal'!F:G,2,false)</f>
        <v>NP</v>
      </c>
      <c r="E1516" s="65" t="s">
        <v>897</v>
      </c>
      <c r="F1516" s="83">
        <v>0.6875</v>
      </c>
      <c r="G1516" s="83">
        <v>0.7291666666666666</v>
      </c>
      <c r="H1516" s="83">
        <v>0.041666666666666664</v>
      </c>
      <c r="I1516" s="84">
        <v>44292.0</v>
      </c>
      <c r="J1516" s="65" t="b">
        <v>1</v>
      </c>
      <c r="K1516" s="65"/>
      <c r="L1516" s="85" t="b">
        <f>IF(VLOOKUP(C1516,Projetos!A:L,12,false)=TRUE,TRUE,FALSE)</f>
        <v>1</v>
      </c>
      <c r="M1516" s="74">
        <v>73.7079846079846</v>
      </c>
      <c r="N1516" s="74">
        <f t="shared" si="1"/>
        <v>73.70798461</v>
      </c>
      <c r="O1516" s="74" t="b">
        <v>1</v>
      </c>
    </row>
    <row r="1517" hidden="1">
      <c r="A1517" s="82"/>
      <c r="B1517" s="65" t="s">
        <v>495</v>
      </c>
      <c r="C1517" s="65" t="s">
        <v>92</v>
      </c>
      <c r="D1517" s="65" t="str">
        <f>vlookup(C1517,'Classificação p pessoal'!F:G,2,false)</f>
        <v/>
      </c>
      <c r="E1517" s="65" t="s">
        <v>834</v>
      </c>
      <c r="F1517" s="83">
        <v>0.7291666666666666</v>
      </c>
      <c r="G1517" s="83">
        <v>0.75</v>
      </c>
      <c r="H1517" s="83">
        <v>0.020833333333333332</v>
      </c>
      <c r="I1517" s="84">
        <v>44292.0</v>
      </c>
      <c r="J1517" s="65" t="b">
        <v>1</v>
      </c>
      <c r="K1517" s="65"/>
      <c r="L1517" s="85" t="b">
        <f>IF(VLOOKUP(C1517,Projetos!A:L,12,false)=TRUE,TRUE,FALSE)</f>
        <v>1</v>
      </c>
      <c r="M1517" s="74">
        <v>73.7079846079846</v>
      </c>
      <c r="N1517" s="74">
        <f t="shared" si="1"/>
        <v>36.8539923</v>
      </c>
      <c r="O1517" s="74" t="b">
        <v>1</v>
      </c>
    </row>
    <row r="1518" hidden="1">
      <c r="A1518" s="82"/>
      <c r="B1518" s="65" t="s">
        <v>495</v>
      </c>
      <c r="C1518" s="65" t="s">
        <v>100</v>
      </c>
      <c r="D1518" s="65" t="str">
        <f>vlookup(C1518,'Classificação p pessoal'!F:G,2,false)</f>
        <v>NP</v>
      </c>
      <c r="E1518" s="65" t="s">
        <v>898</v>
      </c>
      <c r="F1518" s="83">
        <v>0.34375</v>
      </c>
      <c r="G1518" s="83">
        <v>0.3854166666666667</v>
      </c>
      <c r="H1518" s="83">
        <v>0.041666666666666664</v>
      </c>
      <c r="I1518" s="84">
        <v>44293.0</v>
      </c>
      <c r="J1518" s="65" t="b">
        <v>1</v>
      </c>
      <c r="K1518" s="65"/>
      <c r="L1518" s="85" t="b">
        <f>IF(VLOOKUP(C1518,Projetos!A:L,12,false)=TRUE,TRUE,FALSE)</f>
        <v>1</v>
      </c>
      <c r="M1518" s="74">
        <v>73.7079846079846</v>
      </c>
      <c r="N1518" s="74">
        <f t="shared" si="1"/>
        <v>73.70798461</v>
      </c>
      <c r="O1518" s="74" t="b">
        <v>1</v>
      </c>
    </row>
    <row r="1519" hidden="1">
      <c r="A1519" s="82"/>
      <c r="B1519" s="65" t="s">
        <v>495</v>
      </c>
      <c r="C1519" s="65" t="s">
        <v>104</v>
      </c>
      <c r="D1519" s="65" t="str">
        <f>vlookup(C1519,'Classificação p pessoal'!F:G,2,false)</f>
        <v>NP</v>
      </c>
      <c r="E1519" s="65" t="s">
        <v>899</v>
      </c>
      <c r="F1519" s="83">
        <v>0.3854166666666667</v>
      </c>
      <c r="G1519" s="83">
        <v>0.4375</v>
      </c>
      <c r="H1519" s="83">
        <v>0.052083333333333336</v>
      </c>
      <c r="I1519" s="84">
        <v>44293.0</v>
      </c>
      <c r="J1519" s="65" t="b">
        <v>1</v>
      </c>
      <c r="K1519" s="65"/>
      <c r="L1519" s="85" t="b">
        <f>IF(VLOOKUP(C1519,Projetos!A:L,12,false)=TRUE,TRUE,FALSE)</f>
        <v>1</v>
      </c>
      <c r="M1519" s="74">
        <v>73.7079846079846</v>
      </c>
      <c r="N1519" s="74">
        <f t="shared" si="1"/>
        <v>92.13498076</v>
      </c>
      <c r="O1519" s="74" t="b">
        <v>1</v>
      </c>
    </row>
    <row r="1520" hidden="1">
      <c r="A1520" s="82"/>
      <c r="B1520" s="65" t="s">
        <v>495</v>
      </c>
      <c r="C1520" s="65" t="s">
        <v>108</v>
      </c>
      <c r="D1520" s="65" t="str">
        <f>vlookup(C1520,'Classificação p pessoal'!F:G,2,false)</f>
        <v>NP</v>
      </c>
      <c r="E1520" s="65" t="s">
        <v>900</v>
      </c>
      <c r="F1520" s="83">
        <v>0.4375</v>
      </c>
      <c r="G1520" s="83">
        <v>0.5</v>
      </c>
      <c r="H1520" s="83">
        <v>0.0625</v>
      </c>
      <c r="I1520" s="84">
        <v>44293.0</v>
      </c>
      <c r="J1520" s="65" t="b">
        <v>1</v>
      </c>
      <c r="K1520" s="65"/>
      <c r="L1520" s="85" t="b">
        <f>IF(VLOOKUP(C1520,Projetos!A:L,12,false)=TRUE,TRUE,FALSE)</f>
        <v>1</v>
      </c>
      <c r="M1520" s="74">
        <v>73.7079846079846</v>
      </c>
      <c r="N1520" s="74">
        <f t="shared" si="1"/>
        <v>110.5619769</v>
      </c>
      <c r="O1520" s="74" t="b">
        <v>1</v>
      </c>
    </row>
    <row r="1521" hidden="1">
      <c r="A1521" s="82"/>
      <c r="B1521" s="65" t="s">
        <v>495</v>
      </c>
      <c r="C1521" s="65" t="s">
        <v>92</v>
      </c>
      <c r="D1521" s="65" t="str">
        <f>vlookup(C1521,'Classificação p pessoal'!F:G,2,false)</f>
        <v/>
      </c>
      <c r="E1521" s="65" t="s">
        <v>901</v>
      </c>
      <c r="F1521" s="83">
        <v>0.5</v>
      </c>
      <c r="G1521" s="83">
        <v>0.5416666666666666</v>
      </c>
      <c r="H1521" s="83">
        <v>0.041666666666666664</v>
      </c>
      <c r="I1521" s="84">
        <v>44293.0</v>
      </c>
      <c r="J1521" s="65" t="b">
        <v>1</v>
      </c>
      <c r="K1521" s="65"/>
      <c r="L1521" s="85" t="b">
        <f>IF(VLOOKUP(C1521,Projetos!A:L,12,false)=TRUE,TRUE,FALSE)</f>
        <v>1</v>
      </c>
      <c r="M1521" s="74">
        <v>73.7079846079846</v>
      </c>
      <c r="N1521" s="74">
        <f t="shared" si="1"/>
        <v>73.70798461</v>
      </c>
      <c r="O1521" s="74" t="b">
        <v>1</v>
      </c>
    </row>
    <row r="1522" hidden="1">
      <c r="A1522" s="82"/>
      <c r="B1522" s="65" t="s">
        <v>495</v>
      </c>
      <c r="C1522" s="65" t="s">
        <v>92</v>
      </c>
      <c r="D1522" s="65" t="str">
        <f>vlookup(C1522,'Classificação p pessoal'!F:G,2,false)</f>
        <v/>
      </c>
      <c r="E1522" s="65" t="s">
        <v>902</v>
      </c>
      <c r="F1522" s="83">
        <v>0.5833333333333334</v>
      </c>
      <c r="G1522" s="83">
        <v>0.625</v>
      </c>
      <c r="H1522" s="83">
        <v>0.041666666666666664</v>
      </c>
      <c r="I1522" s="84">
        <v>44293.0</v>
      </c>
      <c r="J1522" s="65" t="b">
        <v>1</v>
      </c>
      <c r="K1522" s="65"/>
      <c r="L1522" s="85" t="b">
        <f>IF(VLOOKUP(C1522,Projetos!A:L,12,false)=TRUE,TRUE,FALSE)</f>
        <v>1</v>
      </c>
      <c r="M1522" s="74">
        <v>73.7079846079846</v>
      </c>
      <c r="N1522" s="74">
        <f t="shared" si="1"/>
        <v>73.70798461</v>
      </c>
      <c r="O1522" s="74" t="b">
        <v>1</v>
      </c>
    </row>
    <row r="1523" hidden="1">
      <c r="A1523" s="82"/>
      <c r="B1523" s="65" t="s">
        <v>495</v>
      </c>
      <c r="C1523" s="65" t="s">
        <v>92</v>
      </c>
      <c r="D1523" s="65" t="str">
        <f>vlookup(C1523,'Classificação p pessoal'!F:G,2,false)</f>
        <v/>
      </c>
      <c r="E1523" s="65" t="s">
        <v>903</v>
      </c>
      <c r="F1523" s="83">
        <v>0.625</v>
      </c>
      <c r="G1523" s="83">
        <v>0.75</v>
      </c>
      <c r="H1523" s="83">
        <v>0.125</v>
      </c>
      <c r="I1523" s="84">
        <v>44293.0</v>
      </c>
      <c r="J1523" s="65" t="b">
        <v>1</v>
      </c>
      <c r="K1523" s="65"/>
      <c r="L1523" s="85" t="b">
        <f>IF(VLOOKUP(C1523,Projetos!A:L,12,false)=TRUE,TRUE,FALSE)</f>
        <v>1</v>
      </c>
      <c r="M1523" s="74">
        <v>73.7079846079846</v>
      </c>
      <c r="N1523" s="74">
        <f t="shared" si="1"/>
        <v>221.1239538</v>
      </c>
      <c r="O1523" s="74" t="b">
        <v>1</v>
      </c>
    </row>
    <row r="1524" hidden="1">
      <c r="A1524" s="82"/>
      <c r="B1524" s="65" t="s">
        <v>495</v>
      </c>
      <c r="C1524" s="65" t="s">
        <v>92</v>
      </c>
      <c r="D1524" s="65" t="str">
        <f>vlookup(C1524,'Classificação p pessoal'!F:G,2,false)</f>
        <v/>
      </c>
      <c r="E1524" s="65" t="s">
        <v>891</v>
      </c>
      <c r="F1524" s="83">
        <v>0.3541666666666667</v>
      </c>
      <c r="G1524" s="83">
        <v>0.4166666666666667</v>
      </c>
      <c r="H1524" s="83">
        <v>0.0625</v>
      </c>
      <c r="I1524" s="84">
        <v>44294.0</v>
      </c>
      <c r="J1524" s="65" t="b">
        <v>1</v>
      </c>
      <c r="K1524" s="65"/>
      <c r="L1524" s="85" t="b">
        <f>IF(VLOOKUP(C1524,Projetos!A:L,12,false)=TRUE,TRUE,FALSE)</f>
        <v>1</v>
      </c>
      <c r="M1524" s="74">
        <v>73.7079846079846</v>
      </c>
      <c r="N1524" s="74">
        <f t="shared" si="1"/>
        <v>110.5619769</v>
      </c>
      <c r="O1524" s="74" t="b">
        <v>1</v>
      </c>
    </row>
    <row r="1525" hidden="1">
      <c r="A1525" s="82"/>
      <c r="B1525" s="65" t="s">
        <v>177</v>
      </c>
      <c r="C1525" s="65" t="s">
        <v>92</v>
      </c>
      <c r="D1525" s="65"/>
      <c r="E1525" s="65" t="s">
        <v>904</v>
      </c>
      <c r="F1525" s="83">
        <v>0.6458333333333334</v>
      </c>
      <c r="G1525" s="83">
        <v>0.6979166666666666</v>
      </c>
      <c r="H1525" s="83">
        <v>0.052083333333333336</v>
      </c>
      <c r="I1525" s="84">
        <v>44370.0</v>
      </c>
      <c r="J1525" s="65" t="b">
        <v>0</v>
      </c>
      <c r="K1525" s="65"/>
      <c r="L1525" s="85" t="b">
        <f>IF(VLOOKUP(C1525,Projetos!A:L,12,false)=TRUE,TRUE,FALSE)</f>
        <v>1</v>
      </c>
      <c r="M1525" s="74">
        <v>31.02923620430495</v>
      </c>
      <c r="N1525" s="74">
        <f t="shared" si="1"/>
        <v>0</v>
      </c>
      <c r="O1525" s="74" t="b">
        <v>1</v>
      </c>
    </row>
    <row r="1526" hidden="1">
      <c r="A1526" s="82"/>
      <c r="B1526" s="65" t="s">
        <v>495</v>
      </c>
      <c r="C1526" s="65" t="s">
        <v>108</v>
      </c>
      <c r="D1526" s="65" t="str">
        <f>vlookup(C1526,'Classificação p pessoal'!F:G,2,false)</f>
        <v>NP</v>
      </c>
      <c r="E1526" s="65" t="s">
        <v>905</v>
      </c>
      <c r="F1526" s="83">
        <v>0.4583333333333333</v>
      </c>
      <c r="G1526" s="83">
        <v>0.5625</v>
      </c>
      <c r="H1526" s="83">
        <v>0.10416666666666667</v>
      </c>
      <c r="I1526" s="84">
        <v>44294.0</v>
      </c>
      <c r="J1526" s="65" t="b">
        <v>1</v>
      </c>
      <c r="K1526" s="65"/>
      <c r="L1526" s="85" t="b">
        <f>IF(VLOOKUP(C1526,Projetos!A:L,12,false)=TRUE,TRUE,FALSE)</f>
        <v>1</v>
      </c>
      <c r="M1526" s="74">
        <v>73.7079846079846</v>
      </c>
      <c r="N1526" s="74">
        <f t="shared" si="1"/>
        <v>184.2699615</v>
      </c>
      <c r="O1526" s="74" t="b">
        <v>1</v>
      </c>
    </row>
    <row r="1527" hidden="1">
      <c r="A1527" s="82"/>
      <c r="B1527" s="65" t="s">
        <v>495</v>
      </c>
      <c r="C1527" s="65" t="s">
        <v>92</v>
      </c>
      <c r="D1527" s="65" t="str">
        <f>vlookup(C1527,'Classificação p pessoal'!F:G,2,false)</f>
        <v/>
      </c>
      <c r="E1527" s="65" t="s">
        <v>906</v>
      </c>
      <c r="F1527" s="83">
        <v>0.6041666666666666</v>
      </c>
      <c r="G1527" s="83">
        <v>0.7083333333333334</v>
      </c>
      <c r="H1527" s="83">
        <v>0.10416666666666667</v>
      </c>
      <c r="I1527" s="84">
        <v>44294.0</v>
      </c>
      <c r="J1527" s="65" t="b">
        <v>1</v>
      </c>
      <c r="K1527" s="65"/>
      <c r="L1527" s="85" t="b">
        <f>IF(VLOOKUP(C1527,Projetos!A:L,12,false)=TRUE,TRUE,FALSE)</f>
        <v>1</v>
      </c>
      <c r="M1527" s="74">
        <v>73.7079846079846</v>
      </c>
      <c r="N1527" s="74">
        <f t="shared" si="1"/>
        <v>184.2699615</v>
      </c>
      <c r="O1527" s="74" t="b">
        <v>1</v>
      </c>
    </row>
    <row r="1528" hidden="1">
      <c r="A1528" s="82"/>
      <c r="B1528" s="65" t="s">
        <v>495</v>
      </c>
      <c r="C1528" s="65" t="s">
        <v>92</v>
      </c>
      <c r="D1528" s="65" t="str">
        <f>vlookup(C1528,'Classificação p pessoal'!F:G,2,false)</f>
        <v/>
      </c>
      <c r="E1528" s="65" t="s">
        <v>899</v>
      </c>
      <c r="F1528" s="83">
        <v>0.3541666666666667</v>
      </c>
      <c r="G1528" s="83">
        <v>0.375</v>
      </c>
      <c r="H1528" s="83">
        <v>0.020833333333333332</v>
      </c>
      <c r="I1528" s="84">
        <v>44295.0</v>
      </c>
      <c r="J1528" s="65" t="b">
        <v>1</v>
      </c>
      <c r="K1528" s="65"/>
      <c r="L1528" s="85" t="b">
        <f>IF(VLOOKUP(C1528,Projetos!A:L,12,false)=TRUE,TRUE,FALSE)</f>
        <v>1</v>
      </c>
      <c r="M1528" s="74">
        <v>73.7079846079846</v>
      </c>
      <c r="N1528" s="74">
        <f t="shared" si="1"/>
        <v>36.8539923</v>
      </c>
      <c r="O1528" s="74" t="b">
        <v>1</v>
      </c>
    </row>
    <row r="1529" hidden="1">
      <c r="A1529" s="82"/>
      <c r="B1529" s="65" t="s">
        <v>495</v>
      </c>
      <c r="C1529" s="65" t="s">
        <v>108</v>
      </c>
      <c r="D1529" s="65" t="str">
        <f>vlookup(C1529,'Classificação p pessoal'!F:G,2,false)</f>
        <v>NP</v>
      </c>
      <c r="E1529" s="65" t="s">
        <v>907</v>
      </c>
      <c r="F1529" s="83">
        <v>0.375</v>
      </c>
      <c r="G1529" s="83">
        <v>0.4166666666666667</v>
      </c>
      <c r="H1529" s="83">
        <v>0.041666666666666664</v>
      </c>
      <c r="I1529" s="84">
        <v>44295.0</v>
      </c>
      <c r="J1529" s="65" t="b">
        <v>1</v>
      </c>
      <c r="K1529" s="65"/>
      <c r="L1529" s="85" t="b">
        <f>IF(VLOOKUP(C1529,Projetos!A:L,12,false)=TRUE,TRUE,FALSE)</f>
        <v>1</v>
      </c>
      <c r="M1529" s="74">
        <v>73.7079846079846</v>
      </c>
      <c r="N1529" s="74">
        <f t="shared" si="1"/>
        <v>73.70798461</v>
      </c>
      <c r="O1529" s="74" t="b">
        <v>1</v>
      </c>
    </row>
    <row r="1530" hidden="1">
      <c r="A1530" s="82"/>
      <c r="B1530" s="65" t="s">
        <v>495</v>
      </c>
      <c r="C1530" s="65" t="s">
        <v>108</v>
      </c>
      <c r="D1530" s="65" t="str">
        <f>vlookup(C1530,'Classificação p pessoal'!F:G,2,false)</f>
        <v>NP</v>
      </c>
      <c r="E1530" s="65" t="s">
        <v>907</v>
      </c>
      <c r="F1530" s="83">
        <v>0.4583333333333333</v>
      </c>
      <c r="G1530" s="83">
        <v>0.5833333333333334</v>
      </c>
      <c r="H1530" s="83">
        <v>0.125</v>
      </c>
      <c r="I1530" s="84">
        <v>44295.0</v>
      </c>
      <c r="J1530" s="65" t="b">
        <v>1</v>
      </c>
      <c r="K1530" s="65"/>
      <c r="L1530" s="85" t="b">
        <f>IF(VLOOKUP(C1530,Projetos!A:L,12,false)=TRUE,TRUE,FALSE)</f>
        <v>1</v>
      </c>
      <c r="M1530" s="74">
        <v>73.7079846079846</v>
      </c>
      <c r="N1530" s="74">
        <f t="shared" si="1"/>
        <v>221.1239538</v>
      </c>
      <c r="O1530" s="74" t="b">
        <v>1</v>
      </c>
    </row>
    <row r="1531" hidden="1">
      <c r="A1531" s="82"/>
      <c r="B1531" s="65" t="s">
        <v>495</v>
      </c>
      <c r="C1531" s="65" t="s">
        <v>100</v>
      </c>
      <c r="D1531" s="65" t="str">
        <f>vlookup(C1531,'Classificação p pessoal'!F:G,2,false)</f>
        <v>NP</v>
      </c>
      <c r="E1531" s="65" t="s">
        <v>908</v>
      </c>
      <c r="F1531" s="83">
        <v>0.625</v>
      </c>
      <c r="G1531" s="83">
        <v>0.6666666666666666</v>
      </c>
      <c r="H1531" s="83">
        <v>0.041666666666666664</v>
      </c>
      <c r="I1531" s="84">
        <v>44295.0</v>
      </c>
      <c r="J1531" s="65" t="b">
        <v>1</v>
      </c>
      <c r="K1531" s="65"/>
      <c r="L1531" s="85" t="b">
        <f>IF(VLOOKUP(C1531,Projetos!A:L,12,false)=TRUE,TRUE,FALSE)</f>
        <v>1</v>
      </c>
      <c r="M1531" s="74">
        <v>73.7079846079846</v>
      </c>
      <c r="N1531" s="74">
        <f t="shared" si="1"/>
        <v>73.70798461</v>
      </c>
      <c r="O1531" s="74" t="b">
        <v>1</v>
      </c>
    </row>
    <row r="1532" hidden="1">
      <c r="A1532" s="82"/>
      <c r="B1532" s="65" t="s">
        <v>495</v>
      </c>
      <c r="C1532" s="65" t="s">
        <v>92</v>
      </c>
      <c r="D1532" s="65" t="str">
        <f>vlookup(C1532,'Classificação p pessoal'!F:G,2,false)</f>
        <v/>
      </c>
      <c r="E1532" s="65" t="s">
        <v>837</v>
      </c>
      <c r="F1532" s="83">
        <v>0.6666666666666666</v>
      </c>
      <c r="G1532" s="83">
        <v>0.75</v>
      </c>
      <c r="H1532" s="83">
        <v>0.08333333333333333</v>
      </c>
      <c r="I1532" s="84">
        <v>44295.0</v>
      </c>
      <c r="J1532" s="65" t="b">
        <v>1</v>
      </c>
      <c r="K1532" s="65"/>
      <c r="L1532" s="85" t="b">
        <f>IF(VLOOKUP(C1532,Projetos!A:L,12,false)=TRUE,TRUE,FALSE)</f>
        <v>1</v>
      </c>
      <c r="M1532" s="74">
        <v>73.7079846079846</v>
      </c>
      <c r="N1532" s="74">
        <f t="shared" si="1"/>
        <v>147.4159692</v>
      </c>
      <c r="O1532" s="74" t="b">
        <v>1</v>
      </c>
    </row>
    <row r="1533" hidden="1">
      <c r="A1533" s="82"/>
      <c r="B1533" s="65" t="s">
        <v>495</v>
      </c>
      <c r="C1533" s="65" t="s">
        <v>92</v>
      </c>
      <c r="D1533" s="65" t="str">
        <f>vlookup(C1533,'Classificação p pessoal'!F:G,2,false)</f>
        <v/>
      </c>
      <c r="E1533" s="65" t="s">
        <v>909</v>
      </c>
      <c r="F1533" s="83">
        <v>0.4166666666666667</v>
      </c>
      <c r="G1533" s="83">
        <v>0.4583333333333333</v>
      </c>
      <c r="H1533" s="83">
        <v>0.041666666666666664</v>
      </c>
      <c r="I1533" s="84">
        <v>44298.0</v>
      </c>
      <c r="J1533" s="65" t="b">
        <v>1</v>
      </c>
      <c r="K1533" s="65"/>
      <c r="L1533" s="85" t="b">
        <f>IF(VLOOKUP(C1533,Projetos!A:L,12,false)=TRUE,TRUE,FALSE)</f>
        <v>1</v>
      </c>
      <c r="M1533" s="74">
        <v>73.7079846079846</v>
      </c>
      <c r="N1533" s="74">
        <f t="shared" si="1"/>
        <v>73.70798461</v>
      </c>
      <c r="O1533" s="74" t="b">
        <v>1</v>
      </c>
    </row>
    <row r="1534" hidden="1">
      <c r="A1534" s="82"/>
      <c r="B1534" s="65" t="s">
        <v>495</v>
      </c>
      <c r="C1534" s="65" t="s">
        <v>130</v>
      </c>
      <c r="D1534" s="65" t="str">
        <f>vlookup(C1534,'Classificação p pessoal'!F:G,2,false)</f>
        <v>NP</v>
      </c>
      <c r="E1534" s="65" t="s">
        <v>856</v>
      </c>
      <c r="F1534" s="83">
        <v>0.4583333333333333</v>
      </c>
      <c r="G1534" s="83">
        <v>0.5729166666666666</v>
      </c>
      <c r="H1534" s="83">
        <v>0.11458333333333333</v>
      </c>
      <c r="I1534" s="84">
        <v>44298.0</v>
      </c>
      <c r="J1534" s="65" t="b">
        <v>1</v>
      </c>
      <c r="K1534" s="65"/>
      <c r="L1534" s="85" t="b">
        <f>IF(VLOOKUP(C1534,Projetos!A:L,12,false)=TRUE,TRUE,FALSE)</f>
        <v>1</v>
      </c>
      <c r="M1534" s="74">
        <v>73.7079846079846</v>
      </c>
      <c r="N1534" s="74">
        <f t="shared" si="1"/>
        <v>202.6969577</v>
      </c>
      <c r="O1534" s="74" t="b">
        <v>1</v>
      </c>
    </row>
    <row r="1535" hidden="1">
      <c r="A1535" s="82"/>
      <c r="B1535" s="65" t="s">
        <v>495</v>
      </c>
      <c r="C1535" s="65" t="s">
        <v>92</v>
      </c>
      <c r="D1535" s="65" t="str">
        <f>vlookup(C1535,'Classificação p pessoal'!F:G,2,false)</f>
        <v/>
      </c>
      <c r="E1535" s="65" t="s">
        <v>910</v>
      </c>
      <c r="F1535" s="83">
        <v>0.6145833333333334</v>
      </c>
      <c r="G1535" s="83">
        <v>0.7083333333333334</v>
      </c>
      <c r="H1535" s="83">
        <v>0.09375</v>
      </c>
      <c r="I1535" s="84">
        <v>44298.0</v>
      </c>
      <c r="J1535" s="65" t="b">
        <v>1</v>
      </c>
      <c r="K1535" s="65"/>
      <c r="L1535" s="85" t="b">
        <f>IF(VLOOKUP(C1535,Projetos!A:L,12,false)=TRUE,TRUE,FALSE)</f>
        <v>1</v>
      </c>
      <c r="M1535" s="74">
        <v>73.7079846079846</v>
      </c>
      <c r="N1535" s="74">
        <f t="shared" si="1"/>
        <v>165.8429654</v>
      </c>
      <c r="O1535" s="74" t="b">
        <v>1</v>
      </c>
    </row>
    <row r="1536" hidden="1">
      <c r="A1536" s="82"/>
      <c r="B1536" s="65" t="s">
        <v>495</v>
      </c>
      <c r="C1536" s="65" t="s">
        <v>92</v>
      </c>
      <c r="D1536" s="65" t="str">
        <f>vlookup(C1536,'Classificação p pessoal'!F:G,2,false)</f>
        <v/>
      </c>
      <c r="E1536" s="65" t="s">
        <v>911</v>
      </c>
      <c r="F1536" s="83">
        <v>0.7083333333333334</v>
      </c>
      <c r="G1536" s="83">
        <v>0.75</v>
      </c>
      <c r="H1536" s="83">
        <v>0.041666666666666664</v>
      </c>
      <c r="I1536" s="84">
        <v>44298.0</v>
      </c>
      <c r="J1536" s="65" t="b">
        <v>1</v>
      </c>
      <c r="K1536" s="65"/>
      <c r="L1536" s="85" t="b">
        <f>IF(VLOOKUP(C1536,Projetos!A:L,12,false)=TRUE,TRUE,FALSE)</f>
        <v>1</v>
      </c>
      <c r="M1536" s="74">
        <v>73.7079846079846</v>
      </c>
      <c r="N1536" s="74">
        <f t="shared" si="1"/>
        <v>73.70798461</v>
      </c>
      <c r="O1536" s="74" t="b">
        <v>1</v>
      </c>
    </row>
    <row r="1537" hidden="1">
      <c r="A1537" s="82"/>
      <c r="B1537" s="65" t="s">
        <v>495</v>
      </c>
      <c r="C1537" s="65" t="s">
        <v>84</v>
      </c>
      <c r="D1537" s="65"/>
      <c r="E1537" s="65" t="s">
        <v>912</v>
      </c>
      <c r="F1537" s="83">
        <v>0.3541666666666667</v>
      </c>
      <c r="G1537" s="83">
        <v>0.3854166666666667</v>
      </c>
      <c r="H1537" s="83">
        <v>0.03125</v>
      </c>
      <c r="I1537" s="84">
        <v>44299.0</v>
      </c>
      <c r="J1537" s="65" t="b">
        <v>0</v>
      </c>
      <c r="K1537" s="65"/>
      <c r="L1537" s="85" t="b">
        <f>IF(VLOOKUP(C1537,Projetos!A:L,12,false)=TRUE,TRUE,FALSE)</f>
        <v>0</v>
      </c>
      <c r="M1537" s="74">
        <v>73.7079846079846</v>
      </c>
      <c r="N1537" s="74">
        <f t="shared" si="1"/>
        <v>0</v>
      </c>
      <c r="O1537" s="74" t="b">
        <v>0</v>
      </c>
    </row>
    <row r="1538" hidden="1">
      <c r="A1538" s="82"/>
      <c r="B1538" s="65" t="s">
        <v>495</v>
      </c>
      <c r="C1538" s="65" t="s">
        <v>104</v>
      </c>
      <c r="D1538" s="65" t="str">
        <f>vlookup(C1538,'Classificação p pessoal'!F:G,2,false)</f>
        <v>NP</v>
      </c>
      <c r="E1538" s="65" t="s">
        <v>913</v>
      </c>
      <c r="F1538" s="83">
        <v>0.3854166666666667</v>
      </c>
      <c r="G1538" s="83">
        <v>0.3958333333333333</v>
      </c>
      <c r="H1538" s="83">
        <v>0.010416666666666666</v>
      </c>
      <c r="I1538" s="84">
        <v>44299.0</v>
      </c>
      <c r="J1538" s="65" t="b">
        <v>1</v>
      </c>
      <c r="K1538" s="65"/>
      <c r="L1538" s="85" t="b">
        <f>IF(VLOOKUP(C1538,Projetos!A:L,12,false)=TRUE,TRUE,FALSE)</f>
        <v>1</v>
      </c>
      <c r="M1538" s="74">
        <v>73.7079846079846</v>
      </c>
      <c r="N1538" s="74">
        <f t="shared" si="1"/>
        <v>18.42699615</v>
      </c>
      <c r="O1538" s="74" t="b">
        <v>1</v>
      </c>
    </row>
    <row r="1539" hidden="1">
      <c r="A1539" s="82"/>
      <c r="B1539" s="65" t="s">
        <v>495</v>
      </c>
      <c r="C1539" s="65" t="s">
        <v>84</v>
      </c>
      <c r="D1539" s="65"/>
      <c r="E1539" s="65" t="s">
        <v>914</v>
      </c>
      <c r="F1539" s="83">
        <v>0.3958333333333333</v>
      </c>
      <c r="G1539" s="83">
        <v>0.5</v>
      </c>
      <c r="H1539" s="83">
        <v>0.10416666666666667</v>
      </c>
      <c r="I1539" s="84">
        <v>44299.0</v>
      </c>
      <c r="J1539" s="65" t="b">
        <v>0</v>
      </c>
      <c r="K1539" s="65"/>
      <c r="L1539" s="85" t="b">
        <f>IF(VLOOKUP(C1539,Projetos!A:L,12,false)=TRUE,TRUE,FALSE)</f>
        <v>0</v>
      </c>
      <c r="M1539" s="74">
        <v>73.7079846079846</v>
      </c>
      <c r="N1539" s="74">
        <f t="shared" si="1"/>
        <v>0</v>
      </c>
      <c r="O1539" s="74" t="b">
        <v>0</v>
      </c>
    </row>
    <row r="1540" hidden="1">
      <c r="A1540" s="82"/>
      <c r="B1540" s="65" t="s">
        <v>495</v>
      </c>
      <c r="C1540" s="65" t="s">
        <v>92</v>
      </c>
      <c r="D1540" s="65" t="str">
        <f>vlookup(C1540,'Classificação p pessoal'!F:G,2,false)</f>
        <v/>
      </c>
      <c r="E1540" s="65" t="s">
        <v>915</v>
      </c>
      <c r="F1540" s="83">
        <v>0.4791666666666667</v>
      </c>
      <c r="G1540" s="83">
        <v>0.5694444444444444</v>
      </c>
      <c r="H1540" s="83">
        <v>0.09027777777777778</v>
      </c>
      <c r="I1540" s="84">
        <v>44299.0</v>
      </c>
      <c r="J1540" s="65" t="b">
        <v>1</v>
      </c>
      <c r="K1540" s="65"/>
      <c r="L1540" s="85" t="b">
        <f>IF(VLOOKUP(C1540,Projetos!A:L,12,false)=TRUE,TRUE,FALSE)</f>
        <v>1</v>
      </c>
      <c r="M1540" s="74">
        <v>73.7079846079846</v>
      </c>
      <c r="N1540" s="74">
        <f t="shared" si="1"/>
        <v>159.7006333</v>
      </c>
      <c r="O1540" s="74" t="b">
        <v>1</v>
      </c>
    </row>
    <row r="1541" hidden="1">
      <c r="A1541" s="82"/>
      <c r="B1541" s="65" t="s">
        <v>495</v>
      </c>
      <c r="C1541" s="65" t="s">
        <v>92</v>
      </c>
      <c r="D1541" s="65" t="str">
        <f>vlookup(C1541,'Classificação p pessoal'!F:G,2,false)</f>
        <v/>
      </c>
      <c r="E1541" s="65" t="s">
        <v>910</v>
      </c>
      <c r="F1541" s="83">
        <v>0.6145833333333334</v>
      </c>
      <c r="G1541" s="83">
        <v>0.6527777777777778</v>
      </c>
      <c r="H1541" s="83">
        <v>0.03819444444444445</v>
      </c>
      <c r="I1541" s="84">
        <v>44298.0</v>
      </c>
      <c r="J1541" s="65" t="b">
        <v>1</v>
      </c>
      <c r="K1541" s="65"/>
      <c r="L1541" s="85" t="b">
        <f>IF(VLOOKUP(C1541,Projetos!A:L,12,false)=TRUE,TRUE,FALSE)</f>
        <v>1</v>
      </c>
      <c r="M1541" s="74">
        <v>73.7079846079846</v>
      </c>
      <c r="N1541" s="74">
        <f t="shared" si="1"/>
        <v>67.56565256</v>
      </c>
      <c r="O1541" s="74" t="b">
        <v>1</v>
      </c>
    </row>
    <row r="1542" hidden="1">
      <c r="A1542" s="82"/>
      <c r="B1542" s="65" t="s">
        <v>495</v>
      </c>
      <c r="C1542" s="65" t="s">
        <v>92</v>
      </c>
      <c r="D1542" s="65" t="str">
        <f>vlookup(C1542,'Classificação p pessoal'!F:G,2,false)</f>
        <v/>
      </c>
      <c r="E1542" s="65" t="s">
        <v>915</v>
      </c>
      <c r="F1542" s="83">
        <v>0.6527777777777778</v>
      </c>
      <c r="G1542" s="83">
        <v>0.7291666666666666</v>
      </c>
      <c r="H1542" s="83">
        <v>0.0763888888888889</v>
      </c>
      <c r="I1542" s="84">
        <v>44299.0</v>
      </c>
      <c r="J1542" s="65" t="b">
        <v>1</v>
      </c>
      <c r="K1542" s="65"/>
      <c r="L1542" s="85" t="b">
        <f>IF(VLOOKUP(C1542,Projetos!A:L,12,false)=TRUE,TRUE,FALSE)</f>
        <v>1</v>
      </c>
      <c r="M1542" s="74">
        <v>73.7079846079846</v>
      </c>
      <c r="N1542" s="74">
        <f t="shared" si="1"/>
        <v>135.1313051</v>
      </c>
      <c r="O1542" s="74" t="b">
        <v>1</v>
      </c>
    </row>
    <row r="1543" hidden="1">
      <c r="A1543" s="82"/>
      <c r="B1543" s="65" t="s">
        <v>495</v>
      </c>
      <c r="C1543" s="65" t="s">
        <v>100</v>
      </c>
      <c r="D1543" s="65" t="str">
        <f>vlookup(C1543,'Classificação p pessoal'!F:G,2,false)</f>
        <v>NP</v>
      </c>
      <c r="E1543" s="65" t="s">
        <v>916</v>
      </c>
      <c r="F1543" s="83">
        <v>0.7291666666666666</v>
      </c>
      <c r="G1543" s="83">
        <v>0.75</v>
      </c>
      <c r="H1543" s="83">
        <v>0.020833333333333332</v>
      </c>
      <c r="I1543" s="84">
        <v>44299.0</v>
      </c>
      <c r="J1543" s="65" t="b">
        <v>1</v>
      </c>
      <c r="K1543" s="65"/>
      <c r="L1543" s="85" t="b">
        <f>IF(VLOOKUP(C1543,Projetos!A:L,12,false)=TRUE,TRUE,FALSE)</f>
        <v>1</v>
      </c>
      <c r="M1543" s="74">
        <v>73.7079846079846</v>
      </c>
      <c r="N1543" s="74">
        <f t="shared" si="1"/>
        <v>36.8539923</v>
      </c>
      <c r="O1543" s="74" t="b">
        <v>1</v>
      </c>
    </row>
    <row r="1544" hidden="1">
      <c r="A1544" s="82"/>
      <c r="B1544" s="65" t="s">
        <v>495</v>
      </c>
      <c r="C1544" s="65" t="s">
        <v>92</v>
      </c>
      <c r="D1544" s="65" t="str">
        <f>vlookup(C1544,'Classificação p pessoal'!F:G,2,false)</f>
        <v/>
      </c>
      <c r="E1544" s="65" t="s">
        <v>917</v>
      </c>
      <c r="F1544" s="83">
        <v>0.3541666666666667</v>
      </c>
      <c r="G1544" s="83">
        <v>0.40625</v>
      </c>
      <c r="H1544" s="83">
        <v>0.052083333333333336</v>
      </c>
      <c r="I1544" s="84">
        <v>44300.0</v>
      </c>
      <c r="J1544" s="65" t="b">
        <v>1</v>
      </c>
      <c r="K1544" s="65"/>
      <c r="L1544" s="85" t="b">
        <f>IF(VLOOKUP(C1544,Projetos!A:L,12,false)=TRUE,TRUE,FALSE)</f>
        <v>1</v>
      </c>
      <c r="M1544" s="74">
        <v>73.7079846079846</v>
      </c>
      <c r="N1544" s="74">
        <f t="shared" si="1"/>
        <v>92.13498076</v>
      </c>
      <c r="O1544" s="74" t="b">
        <v>1</v>
      </c>
    </row>
    <row r="1545" hidden="1">
      <c r="A1545" s="82"/>
      <c r="B1545" s="65" t="s">
        <v>495</v>
      </c>
      <c r="C1545" s="65" t="s">
        <v>92</v>
      </c>
      <c r="D1545" s="65" t="str">
        <f>vlookup(C1545,'Classificação p pessoal'!F:G,2,false)</f>
        <v/>
      </c>
      <c r="E1545" s="65" t="s">
        <v>918</v>
      </c>
      <c r="F1545" s="83">
        <v>0.40625</v>
      </c>
      <c r="G1545" s="83">
        <v>0.5625</v>
      </c>
      <c r="H1545" s="83">
        <v>0.15625</v>
      </c>
      <c r="I1545" s="84">
        <v>44300.0</v>
      </c>
      <c r="J1545" s="65" t="b">
        <v>1</v>
      </c>
      <c r="K1545" s="65"/>
      <c r="L1545" s="85" t="b">
        <f>IF(VLOOKUP(C1545,Projetos!A:L,12,false)=TRUE,TRUE,FALSE)</f>
        <v>1</v>
      </c>
      <c r="M1545" s="74">
        <v>73.7079846079846</v>
      </c>
      <c r="N1545" s="74">
        <f t="shared" si="1"/>
        <v>276.4049423</v>
      </c>
      <c r="O1545" s="74" t="b">
        <v>1</v>
      </c>
    </row>
    <row r="1546" hidden="1">
      <c r="A1546" s="82"/>
      <c r="B1546" s="65" t="s">
        <v>495</v>
      </c>
      <c r="C1546" s="65" t="s">
        <v>92</v>
      </c>
      <c r="D1546" s="65" t="str">
        <f>vlookup(C1546,'Classificação p pessoal'!F:G,2,false)</f>
        <v/>
      </c>
      <c r="E1546" s="65" t="s">
        <v>918</v>
      </c>
      <c r="F1546" s="83">
        <v>0.6041666666666666</v>
      </c>
      <c r="G1546" s="83">
        <v>0.6875</v>
      </c>
      <c r="H1546" s="83">
        <v>0.08333333333333333</v>
      </c>
      <c r="I1546" s="84">
        <v>44300.0</v>
      </c>
      <c r="J1546" s="65" t="b">
        <v>1</v>
      </c>
      <c r="K1546" s="65"/>
      <c r="L1546" s="85" t="b">
        <f>IF(VLOOKUP(C1546,Projetos!A:L,12,false)=TRUE,TRUE,FALSE)</f>
        <v>1</v>
      </c>
      <c r="M1546" s="74">
        <v>73.7079846079846</v>
      </c>
      <c r="N1546" s="74">
        <f t="shared" si="1"/>
        <v>147.4159692</v>
      </c>
      <c r="O1546" s="74" t="b">
        <v>1</v>
      </c>
    </row>
    <row r="1547" hidden="1">
      <c r="A1547" s="82"/>
      <c r="B1547" s="65" t="s">
        <v>495</v>
      </c>
      <c r="C1547" s="65" t="s">
        <v>108</v>
      </c>
      <c r="D1547" s="65" t="str">
        <f>vlookup(C1547,'Classificação p pessoal'!F:G,2,false)</f>
        <v>NP</v>
      </c>
      <c r="E1547" s="65" t="s">
        <v>919</v>
      </c>
      <c r="F1547" s="83">
        <v>0.7083333333333334</v>
      </c>
      <c r="G1547" s="83">
        <v>0.75</v>
      </c>
      <c r="H1547" s="83">
        <v>0.041666666666666664</v>
      </c>
      <c r="I1547" s="84">
        <v>44300.0</v>
      </c>
      <c r="J1547" s="65" t="b">
        <v>1</v>
      </c>
      <c r="K1547" s="65"/>
      <c r="L1547" s="85" t="b">
        <f>IF(VLOOKUP(C1547,Projetos!A:L,12,false)=TRUE,TRUE,FALSE)</f>
        <v>1</v>
      </c>
      <c r="M1547" s="74">
        <v>73.7079846079846</v>
      </c>
      <c r="N1547" s="74">
        <f t="shared" si="1"/>
        <v>73.70798461</v>
      </c>
      <c r="O1547" s="74" t="b">
        <v>1</v>
      </c>
    </row>
    <row r="1548" hidden="1">
      <c r="A1548" s="82"/>
      <c r="B1548" s="65" t="s">
        <v>495</v>
      </c>
      <c r="C1548" s="65" t="s">
        <v>100</v>
      </c>
      <c r="D1548" s="65" t="str">
        <f>vlookup(C1548,'Classificação p pessoal'!F:G,2,false)</f>
        <v>NP</v>
      </c>
      <c r="E1548" s="65" t="s">
        <v>920</v>
      </c>
      <c r="F1548" s="83">
        <v>0.3541666666666667</v>
      </c>
      <c r="G1548" s="83">
        <v>0.4166666666666667</v>
      </c>
      <c r="H1548" s="83">
        <v>0.0625</v>
      </c>
      <c r="I1548" s="84">
        <v>44301.0</v>
      </c>
      <c r="J1548" s="65" t="b">
        <v>1</v>
      </c>
      <c r="K1548" s="65"/>
      <c r="L1548" s="85" t="b">
        <f>IF(VLOOKUP(C1548,Projetos!A:L,12,false)=TRUE,TRUE,FALSE)</f>
        <v>1</v>
      </c>
      <c r="M1548" s="74">
        <v>73.7079846079846</v>
      </c>
      <c r="N1548" s="74">
        <f t="shared" si="1"/>
        <v>110.5619769</v>
      </c>
      <c r="O1548" s="74" t="b">
        <v>1</v>
      </c>
    </row>
    <row r="1549" hidden="1">
      <c r="A1549" s="82"/>
      <c r="B1549" s="65" t="s">
        <v>495</v>
      </c>
      <c r="C1549" s="65" t="s">
        <v>107</v>
      </c>
      <c r="D1549" s="65" t="str">
        <f>vlookup(C1549,'Classificação p pessoal'!F:G,2,false)</f>
        <v>NP</v>
      </c>
      <c r="E1549" s="65" t="s">
        <v>921</v>
      </c>
      <c r="F1549" s="83">
        <v>0.4166666666666667</v>
      </c>
      <c r="G1549" s="83">
        <v>0.4583333333333333</v>
      </c>
      <c r="H1549" s="83">
        <v>0.041666666666666664</v>
      </c>
      <c r="I1549" s="84">
        <v>44301.0</v>
      </c>
      <c r="J1549" s="65" t="b">
        <v>1</v>
      </c>
      <c r="K1549" s="65"/>
      <c r="L1549" s="85" t="b">
        <f>IF(VLOOKUP(C1549,Projetos!A:L,12,false)=TRUE,TRUE,FALSE)</f>
        <v>1</v>
      </c>
      <c r="M1549" s="74">
        <v>73.7079846079846</v>
      </c>
      <c r="N1549" s="74">
        <f t="shared" si="1"/>
        <v>73.70798461</v>
      </c>
      <c r="O1549" s="74" t="b">
        <v>1</v>
      </c>
    </row>
    <row r="1550" hidden="1">
      <c r="A1550" s="82"/>
      <c r="B1550" s="65" t="s">
        <v>495</v>
      </c>
      <c r="C1550" s="65" t="s">
        <v>84</v>
      </c>
      <c r="D1550" s="65"/>
      <c r="E1550" s="65" t="s">
        <v>922</v>
      </c>
      <c r="F1550" s="83">
        <v>0.4583333333333333</v>
      </c>
      <c r="G1550" s="83">
        <v>0.5</v>
      </c>
      <c r="H1550" s="83">
        <v>0.041666666666666664</v>
      </c>
      <c r="I1550" s="84">
        <v>44301.0</v>
      </c>
      <c r="J1550" s="65" t="b">
        <v>0</v>
      </c>
      <c r="K1550" s="65" t="s">
        <v>150</v>
      </c>
      <c r="L1550" s="85" t="b">
        <f>IF(VLOOKUP(C1550,Projetos!A:L,12,false)=TRUE,TRUE,FALSE)</f>
        <v>0</v>
      </c>
      <c r="M1550" s="74">
        <v>73.7079846079846</v>
      </c>
      <c r="N1550" s="74">
        <f t="shared" si="1"/>
        <v>0</v>
      </c>
      <c r="O1550" s="74" t="b">
        <v>0</v>
      </c>
    </row>
    <row r="1551" hidden="1">
      <c r="A1551" s="82"/>
      <c r="B1551" s="65" t="s">
        <v>495</v>
      </c>
      <c r="C1551" s="65" t="s">
        <v>92</v>
      </c>
      <c r="D1551" s="65" t="str">
        <f>vlookup(C1551,'Classificação p pessoal'!F:G,2,false)</f>
        <v/>
      </c>
      <c r="E1551" s="65" t="s">
        <v>923</v>
      </c>
      <c r="F1551" s="83">
        <v>0.5</v>
      </c>
      <c r="G1551" s="83">
        <v>0.5625</v>
      </c>
      <c r="H1551" s="83">
        <v>0.0625</v>
      </c>
      <c r="I1551" s="84">
        <v>44301.0</v>
      </c>
      <c r="J1551" s="65" t="b">
        <v>1</v>
      </c>
      <c r="K1551" s="65"/>
      <c r="L1551" s="85" t="b">
        <f>IF(VLOOKUP(C1551,Projetos!A:L,12,false)=TRUE,TRUE,FALSE)</f>
        <v>1</v>
      </c>
      <c r="M1551" s="74">
        <v>73.7079846079846</v>
      </c>
      <c r="N1551" s="74">
        <f t="shared" si="1"/>
        <v>110.5619769</v>
      </c>
      <c r="O1551" s="74" t="b">
        <v>1</v>
      </c>
    </row>
    <row r="1552" hidden="1">
      <c r="A1552" s="82"/>
      <c r="B1552" s="65" t="s">
        <v>495</v>
      </c>
      <c r="C1552" s="65" t="s">
        <v>100</v>
      </c>
      <c r="D1552" s="65" t="str">
        <f>vlookup(C1552,'Classificação p pessoal'!F:G,2,false)</f>
        <v>NP</v>
      </c>
      <c r="E1552" s="65" t="s">
        <v>924</v>
      </c>
      <c r="F1552" s="83">
        <v>0.3472222222222222</v>
      </c>
      <c r="G1552" s="83">
        <v>0.375</v>
      </c>
      <c r="H1552" s="83">
        <v>0.027777777777777776</v>
      </c>
      <c r="I1552" s="84">
        <v>44302.0</v>
      </c>
      <c r="J1552" s="65" t="b">
        <v>1</v>
      </c>
      <c r="K1552" s="65"/>
      <c r="L1552" s="85" t="b">
        <f>IF(VLOOKUP(C1552,Projetos!A:L,12,false)=TRUE,TRUE,FALSE)</f>
        <v>1</v>
      </c>
      <c r="M1552" s="74">
        <v>73.7079846079846</v>
      </c>
      <c r="N1552" s="74">
        <f t="shared" si="1"/>
        <v>49.13865641</v>
      </c>
      <c r="O1552" s="74" t="b">
        <v>1</v>
      </c>
    </row>
    <row r="1553" hidden="1">
      <c r="A1553" s="82"/>
      <c r="B1553" s="65" t="s">
        <v>495</v>
      </c>
      <c r="C1553" s="65" t="s">
        <v>106</v>
      </c>
      <c r="D1553" s="65" t="str">
        <f>vlookup(C1553,'Classificação p pessoal'!F:G,2,false)</f>
        <v>MProcesso</v>
      </c>
      <c r="E1553" s="65" t="s">
        <v>925</v>
      </c>
      <c r="F1553" s="83">
        <v>0.375</v>
      </c>
      <c r="G1553" s="83">
        <v>0.4166666666666667</v>
      </c>
      <c r="H1553" s="83">
        <v>0.041666666666666664</v>
      </c>
      <c r="I1553" s="84">
        <v>44302.0</v>
      </c>
      <c r="J1553" s="65" t="b">
        <v>1</v>
      </c>
      <c r="K1553" s="65"/>
      <c r="L1553" s="85" t="b">
        <f>IF(VLOOKUP(C1553,Projetos!A:L,12,false)=TRUE,TRUE,FALSE)</f>
        <v>1</v>
      </c>
      <c r="M1553" s="74">
        <v>73.7079846079846</v>
      </c>
      <c r="N1553" s="74">
        <f t="shared" si="1"/>
        <v>73.70798461</v>
      </c>
      <c r="O1553" s="74" t="b">
        <v>1</v>
      </c>
    </row>
    <row r="1554" hidden="1">
      <c r="A1554" s="82"/>
      <c r="B1554" s="65" t="s">
        <v>495</v>
      </c>
      <c r="C1554" s="65" t="s">
        <v>92</v>
      </c>
      <c r="D1554" s="65" t="str">
        <f>vlookup(C1554,'Classificação p pessoal'!F:G,2,false)</f>
        <v/>
      </c>
      <c r="E1554" s="65" t="s">
        <v>926</v>
      </c>
      <c r="F1554" s="83">
        <v>0.4583333333333333</v>
      </c>
      <c r="G1554" s="83">
        <v>0.5833333333333334</v>
      </c>
      <c r="H1554" s="83">
        <v>0.125</v>
      </c>
      <c r="I1554" s="84">
        <v>44302.0</v>
      </c>
      <c r="J1554" s="65" t="b">
        <v>1</v>
      </c>
      <c r="K1554" s="65"/>
      <c r="L1554" s="85" t="b">
        <f>IF(VLOOKUP(C1554,Projetos!A:L,12,false)=TRUE,TRUE,FALSE)</f>
        <v>1</v>
      </c>
      <c r="M1554" s="74">
        <v>73.7079846079846</v>
      </c>
      <c r="N1554" s="74">
        <f t="shared" si="1"/>
        <v>221.1239538</v>
      </c>
      <c r="O1554" s="74" t="b">
        <v>1</v>
      </c>
    </row>
    <row r="1555" hidden="1">
      <c r="A1555" s="82"/>
      <c r="B1555" s="65" t="s">
        <v>495</v>
      </c>
      <c r="C1555" s="65" t="s">
        <v>92</v>
      </c>
      <c r="D1555" s="65" t="str">
        <f>vlookup(C1555,'Classificação p pessoal'!F:G,2,false)</f>
        <v/>
      </c>
      <c r="E1555" s="65" t="s">
        <v>927</v>
      </c>
      <c r="F1555" s="83">
        <v>0.625</v>
      </c>
      <c r="G1555" s="83">
        <v>0.75</v>
      </c>
      <c r="H1555" s="83">
        <v>0.125</v>
      </c>
      <c r="I1555" s="84">
        <v>44302.0</v>
      </c>
      <c r="J1555" s="65" t="b">
        <v>1</v>
      </c>
      <c r="K1555" s="65"/>
      <c r="L1555" s="85" t="b">
        <f>IF(VLOOKUP(C1555,Projetos!A:L,12,false)=TRUE,TRUE,FALSE)</f>
        <v>1</v>
      </c>
      <c r="M1555" s="74">
        <v>73.7079846079846</v>
      </c>
      <c r="N1555" s="74">
        <f t="shared" si="1"/>
        <v>221.1239538</v>
      </c>
      <c r="O1555" s="74" t="b">
        <v>1</v>
      </c>
    </row>
    <row r="1556" hidden="1">
      <c r="A1556" s="82"/>
      <c r="B1556" s="65" t="s">
        <v>495</v>
      </c>
      <c r="C1556" s="65" t="s">
        <v>108</v>
      </c>
      <c r="D1556" s="65" t="str">
        <f>vlookup(C1556,'Classificação p pessoal'!F:G,2,false)</f>
        <v>NP</v>
      </c>
      <c r="E1556" s="65" t="s">
        <v>928</v>
      </c>
      <c r="F1556" s="83">
        <v>0.34375</v>
      </c>
      <c r="G1556" s="83">
        <v>0.375</v>
      </c>
      <c r="H1556" s="83">
        <v>0.03125</v>
      </c>
      <c r="I1556" s="84">
        <v>44305.0</v>
      </c>
      <c r="J1556" s="65" t="b">
        <v>1</v>
      </c>
      <c r="K1556" s="65"/>
      <c r="L1556" s="85" t="b">
        <f>IF(VLOOKUP(C1556,Projetos!A:L,12,false)=TRUE,TRUE,FALSE)</f>
        <v>1</v>
      </c>
      <c r="M1556" s="74">
        <v>73.7079846079846</v>
      </c>
      <c r="N1556" s="74">
        <f t="shared" si="1"/>
        <v>55.28098846</v>
      </c>
      <c r="O1556" s="74" t="b">
        <v>1</v>
      </c>
    </row>
    <row r="1557" hidden="1">
      <c r="A1557" s="82"/>
      <c r="B1557" s="65" t="s">
        <v>495</v>
      </c>
      <c r="C1557" s="65" t="s">
        <v>92</v>
      </c>
      <c r="D1557" s="65" t="str">
        <f>vlookup(C1557,'Classificação p pessoal'!F:G,2,false)</f>
        <v/>
      </c>
      <c r="E1557" s="65" t="s">
        <v>929</v>
      </c>
      <c r="F1557" s="83">
        <v>0.375</v>
      </c>
      <c r="G1557" s="83">
        <v>0.3958333333333333</v>
      </c>
      <c r="H1557" s="83">
        <v>0.020833333333333332</v>
      </c>
      <c r="I1557" s="84">
        <v>44305.0</v>
      </c>
      <c r="J1557" s="65" t="b">
        <v>1</v>
      </c>
      <c r="K1557" s="65"/>
      <c r="L1557" s="85" t="b">
        <f>IF(VLOOKUP(C1557,Projetos!A:L,12,false)=TRUE,TRUE,FALSE)</f>
        <v>1</v>
      </c>
      <c r="M1557" s="74">
        <v>73.7079846079846</v>
      </c>
      <c r="N1557" s="74">
        <f t="shared" si="1"/>
        <v>36.8539923</v>
      </c>
      <c r="O1557" s="74" t="b">
        <v>1</v>
      </c>
    </row>
    <row r="1558" hidden="1">
      <c r="A1558" s="82"/>
      <c r="B1558" s="65" t="s">
        <v>495</v>
      </c>
      <c r="C1558" s="65" t="s">
        <v>108</v>
      </c>
      <c r="D1558" s="65" t="str">
        <f>vlookup(C1558,'Classificação p pessoal'!F:G,2,false)</f>
        <v>NP</v>
      </c>
      <c r="E1558" s="65" t="s">
        <v>930</v>
      </c>
      <c r="F1558" s="83">
        <v>0.4166666666666667</v>
      </c>
      <c r="G1558" s="83">
        <v>0.5208333333333334</v>
      </c>
      <c r="H1558" s="83">
        <v>0.10416666666666667</v>
      </c>
      <c r="I1558" s="84">
        <v>44305.0</v>
      </c>
      <c r="J1558" s="65" t="b">
        <v>1</v>
      </c>
      <c r="K1558" s="65"/>
      <c r="L1558" s="85" t="b">
        <f>IF(VLOOKUP(C1558,Projetos!A:L,12,false)=TRUE,TRUE,FALSE)</f>
        <v>1</v>
      </c>
      <c r="M1558" s="74">
        <v>73.7079846079846</v>
      </c>
      <c r="N1558" s="74">
        <f t="shared" si="1"/>
        <v>184.2699615</v>
      </c>
      <c r="O1558" s="74" t="b">
        <v>1</v>
      </c>
    </row>
    <row r="1559" hidden="1">
      <c r="A1559" s="82"/>
      <c r="B1559" s="65" t="s">
        <v>495</v>
      </c>
      <c r="C1559" s="65" t="s">
        <v>92</v>
      </c>
      <c r="D1559" s="65" t="str">
        <f>vlookup(C1559,'Classificação p pessoal'!F:G,2,false)</f>
        <v/>
      </c>
      <c r="E1559" s="65" t="s">
        <v>926</v>
      </c>
      <c r="F1559" s="83">
        <v>0.5208333333333334</v>
      </c>
      <c r="G1559" s="83">
        <v>0.5520833333333334</v>
      </c>
      <c r="H1559" s="83">
        <v>0.03125</v>
      </c>
      <c r="I1559" s="84">
        <v>44305.0</v>
      </c>
      <c r="J1559" s="65" t="b">
        <v>1</v>
      </c>
      <c r="K1559" s="65"/>
      <c r="L1559" s="85" t="b">
        <f>IF(VLOOKUP(C1559,Projetos!A:L,12,false)=TRUE,TRUE,FALSE)</f>
        <v>1</v>
      </c>
      <c r="M1559" s="74">
        <v>73.7079846079846</v>
      </c>
      <c r="N1559" s="74">
        <f t="shared" si="1"/>
        <v>55.28098846</v>
      </c>
      <c r="O1559" s="74" t="b">
        <v>1</v>
      </c>
    </row>
    <row r="1560" hidden="1">
      <c r="A1560" s="82"/>
      <c r="B1560" s="65" t="s">
        <v>495</v>
      </c>
      <c r="C1560" s="65" t="s">
        <v>108</v>
      </c>
      <c r="D1560" s="65" t="str">
        <f>vlookup(C1560,'Classificação p pessoal'!F:G,2,false)</f>
        <v>NP</v>
      </c>
      <c r="E1560" s="65" t="s">
        <v>931</v>
      </c>
      <c r="F1560" s="83">
        <v>0.6041666666666666</v>
      </c>
      <c r="G1560" s="83">
        <v>0.6354166666666666</v>
      </c>
      <c r="H1560" s="83">
        <v>0.03125</v>
      </c>
      <c r="I1560" s="84">
        <v>44305.0</v>
      </c>
      <c r="J1560" s="65" t="b">
        <v>1</v>
      </c>
      <c r="K1560" s="65"/>
      <c r="L1560" s="85" t="b">
        <f>IF(VLOOKUP(C1560,Projetos!A:L,12,false)=TRUE,TRUE,FALSE)</f>
        <v>1</v>
      </c>
      <c r="M1560" s="74">
        <v>73.7079846079846</v>
      </c>
      <c r="N1560" s="74">
        <f t="shared" si="1"/>
        <v>55.28098846</v>
      </c>
      <c r="O1560" s="74" t="b">
        <v>1</v>
      </c>
    </row>
    <row r="1561" hidden="1">
      <c r="A1561" s="82"/>
      <c r="B1561" s="65" t="s">
        <v>495</v>
      </c>
      <c r="C1561" s="65" t="s">
        <v>92</v>
      </c>
      <c r="D1561" s="65" t="str">
        <f>vlookup(C1561,'Classificação p pessoal'!F:G,2,false)</f>
        <v/>
      </c>
      <c r="E1561" s="65" t="s">
        <v>929</v>
      </c>
      <c r="F1561" s="83">
        <v>0.6354166666666666</v>
      </c>
      <c r="G1561" s="83">
        <v>0.65625</v>
      </c>
      <c r="H1561" s="83">
        <v>0.020833333333333332</v>
      </c>
      <c r="I1561" s="84">
        <v>44305.0</v>
      </c>
      <c r="J1561" s="65" t="b">
        <v>1</v>
      </c>
      <c r="K1561" s="65"/>
      <c r="L1561" s="85" t="b">
        <f>IF(VLOOKUP(C1561,Projetos!A:L,12,false)=TRUE,TRUE,FALSE)</f>
        <v>1</v>
      </c>
      <c r="M1561" s="74">
        <v>73.7079846079846</v>
      </c>
      <c r="N1561" s="74">
        <f t="shared" si="1"/>
        <v>36.8539923</v>
      </c>
      <c r="O1561" s="74" t="b">
        <v>1</v>
      </c>
    </row>
    <row r="1562" hidden="1">
      <c r="A1562" s="82"/>
      <c r="B1562" s="65" t="s">
        <v>495</v>
      </c>
      <c r="C1562" s="65" t="s">
        <v>92</v>
      </c>
      <c r="D1562" s="65" t="str">
        <f>vlookup(C1562,'Classificação p pessoal'!F:G,2,false)</f>
        <v/>
      </c>
      <c r="E1562" s="65" t="s">
        <v>926</v>
      </c>
      <c r="F1562" s="83">
        <v>0.65625</v>
      </c>
      <c r="G1562" s="83">
        <v>0.75</v>
      </c>
      <c r="H1562" s="83">
        <v>0.09375</v>
      </c>
      <c r="I1562" s="84">
        <v>44305.0</v>
      </c>
      <c r="J1562" s="65" t="b">
        <v>1</v>
      </c>
      <c r="K1562" s="65"/>
      <c r="L1562" s="85" t="b">
        <f>IF(VLOOKUP(C1562,Projetos!A:L,12,false)=TRUE,TRUE,FALSE)</f>
        <v>1</v>
      </c>
      <c r="M1562" s="74">
        <v>73.7079846079846</v>
      </c>
      <c r="N1562" s="74">
        <f t="shared" si="1"/>
        <v>165.8429654</v>
      </c>
      <c r="O1562" s="74" t="b">
        <v>1</v>
      </c>
    </row>
    <row r="1563" hidden="1">
      <c r="A1563" s="82"/>
      <c r="B1563" s="65" t="s">
        <v>495</v>
      </c>
      <c r="C1563" s="65" t="s">
        <v>101</v>
      </c>
      <c r="D1563" s="65"/>
      <c r="E1563" s="65" t="s">
        <v>932</v>
      </c>
      <c r="F1563" s="83">
        <v>0.34375</v>
      </c>
      <c r="G1563" s="83">
        <v>0.3854166666666667</v>
      </c>
      <c r="H1563" s="83">
        <v>0.041666666666666664</v>
      </c>
      <c r="I1563" s="84">
        <v>44306.0</v>
      </c>
      <c r="J1563" s="65" t="b">
        <v>0</v>
      </c>
      <c r="K1563" s="65" t="s">
        <v>150</v>
      </c>
      <c r="L1563" s="85" t="b">
        <f>IF(VLOOKUP(C1563,Projetos!A:L,12,false)=TRUE,TRUE,FALSE)</f>
        <v>1</v>
      </c>
      <c r="M1563" s="74">
        <v>73.7079846079846</v>
      </c>
      <c r="N1563" s="74">
        <f t="shared" si="1"/>
        <v>0</v>
      </c>
      <c r="O1563" s="74" t="b">
        <v>1</v>
      </c>
    </row>
    <row r="1564" hidden="1">
      <c r="A1564" s="82"/>
      <c r="B1564" s="65" t="s">
        <v>495</v>
      </c>
      <c r="C1564" s="65" t="s">
        <v>92</v>
      </c>
      <c r="D1564" s="65"/>
      <c r="E1564" s="65" t="s">
        <v>933</v>
      </c>
      <c r="F1564" s="83">
        <v>0.3854166666666667</v>
      </c>
      <c r="G1564" s="83">
        <v>0.4270833333333333</v>
      </c>
      <c r="H1564" s="83">
        <v>0.041666666666666664</v>
      </c>
      <c r="I1564" s="84">
        <v>44306.0</v>
      </c>
      <c r="J1564" s="65" t="b">
        <v>0</v>
      </c>
      <c r="K1564" s="65" t="s">
        <v>150</v>
      </c>
      <c r="L1564" s="85" t="b">
        <f>IF(VLOOKUP(C1564,Projetos!A:L,12,false)=TRUE,TRUE,FALSE)</f>
        <v>1</v>
      </c>
      <c r="M1564" s="74">
        <v>73.7079846079846</v>
      </c>
      <c r="N1564" s="74">
        <f t="shared" si="1"/>
        <v>0</v>
      </c>
      <c r="O1564" s="74" t="b">
        <v>1</v>
      </c>
    </row>
    <row r="1565" hidden="1">
      <c r="A1565" s="82"/>
      <c r="B1565" s="65" t="s">
        <v>495</v>
      </c>
      <c r="C1565" s="65" t="s">
        <v>92</v>
      </c>
      <c r="D1565" s="65" t="str">
        <f>vlookup(C1565,'Classificação p pessoal'!F:G,2,false)</f>
        <v/>
      </c>
      <c r="E1565" s="65" t="s">
        <v>926</v>
      </c>
      <c r="F1565" s="83">
        <v>0.4375</v>
      </c>
      <c r="G1565" s="83">
        <v>0.5555555555555556</v>
      </c>
      <c r="H1565" s="83">
        <v>0.11805555555555555</v>
      </c>
      <c r="I1565" s="84">
        <v>44306.0</v>
      </c>
      <c r="J1565" s="65" t="b">
        <v>1</v>
      </c>
      <c r="K1565" s="65"/>
      <c r="L1565" s="85" t="b">
        <f>IF(VLOOKUP(C1565,Projetos!A:L,12,false)=TRUE,TRUE,FALSE)</f>
        <v>1</v>
      </c>
      <c r="M1565" s="74">
        <v>73.7079846079846</v>
      </c>
      <c r="N1565" s="74">
        <f t="shared" si="1"/>
        <v>208.8392897</v>
      </c>
      <c r="O1565" s="74" t="b">
        <v>1</v>
      </c>
    </row>
    <row r="1566" hidden="1">
      <c r="A1566" s="82"/>
      <c r="B1566" s="65" t="s">
        <v>495</v>
      </c>
      <c r="C1566" s="65" t="s">
        <v>92</v>
      </c>
      <c r="D1566" s="65" t="str">
        <f>vlookup(C1566,'Classificação p pessoal'!F:G,2,false)</f>
        <v/>
      </c>
      <c r="E1566" s="65" t="s">
        <v>834</v>
      </c>
      <c r="F1566" s="83">
        <v>0.6006944444444444</v>
      </c>
      <c r="G1566" s="83">
        <v>0.6458333333333334</v>
      </c>
      <c r="H1566" s="83">
        <v>0.04513888888888889</v>
      </c>
      <c r="I1566" s="84">
        <v>44306.0</v>
      </c>
      <c r="J1566" s="65" t="b">
        <v>1</v>
      </c>
      <c r="K1566" s="65"/>
      <c r="L1566" s="85" t="b">
        <f>IF(VLOOKUP(C1566,Projetos!A:L,12,false)=TRUE,TRUE,FALSE)</f>
        <v>1</v>
      </c>
      <c r="M1566" s="74">
        <v>73.7079846079846</v>
      </c>
      <c r="N1566" s="74">
        <f t="shared" si="1"/>
        <v>79.85031666</v>
      </c>
      <c r="O1566" s="74" t="b">
        <v>1</v>
      </c>
    </row>
    <row r="1567" hidden="1">
      <c r="A1567" s="82"/>
      <c r="B1567" s="65" t="s">
        <v>495</v>
      </c>
      <c r="C1567" s="65" t="s">
        <v>108</v>
      </c>
      <c r="D1567" s="65" t="str">
        <f>vlookup(C1567,'Classificação p pessoal'!F:G,2,false)</f>
        <v>NP</v>
      </c>
      <c r="E1567" s="65" t="s">
        <v>934</v>
      </c>
      <c r="F1567" s="83">
        <v>0.6458333333333334</v>
      </c>
      <c r="G1567" s="83">
        <v>0.71875</v>
      </c>
      <c r="H1567" s="83">
        <v>0.07291666666666667</v>
      </c>
      <c r="I1567" s="84">
        <v>44306.0</v>
      </c>
      <c r="J1567" s="65" t="b">
        <v>1</v>
      </c>
      <c r="K1567" s="65"/>
      <c r="L1567" s="85" t="b">
        <f>IF(VLOOKUP(C1567,Projetos!A:L,12,false)=TRUE,TRUE,FALSE)</f>
        <v>1</v>
      </c>
      <c r="M1567" s="74">
        <v>73.7079846079846</v>
      </c>
      <c r="N1567" s="74">
        <f t="shared" si="1"/>
        <v>128.9889731</v>
      </c>
      <c r="O1567" s="74" t="b">
        <v>1</v>
      </c>
    </row>
    <row r="1568" hidden="1">
      <c r="A1568" s="82"/>
      <c r="B1568" s="65" t="s">
        <v>495</v>
      </c>
      <c r="C1568" s="65" t="s">
        <v>92</v>
      </c>
      <c r="D1568" s="65" t="str">
        <f>vlookup(C1568,'Classificação p pessoal'!F:G,2,false)</f>
        <v/>
      </c>
      <c r="E1568" s="65" t="s">
        <v>935</v>
      </c>
      <c r="F1568" s="83">
        <v>0.7291666666666666</v>
      </c>
      <c r="G1568" s="83">
        <v>0.75</v>
      </c>
      <c r="H1568" s="83">
        <v>0.020833333333333332</v>
      </c>
      <c r="I1568" s="84">
        <v>44306.0</v>
      </c>
      <c r="J1568" s="65" t="b">
        <v>1</v>
      </c>
      <c r="K1568" s="65"/>
      <c r="L1568" s="85" t="b">
        <f>IF(VLOOKUP(C1568,Projetos!A:L,12,false)=TRUE,TRUE,FALSE)</f>
        <v>1</v>
      </c>
      <c r="M1568" s="74">
        <v>73.7079846079846</v>
      </c>
      <c r="N1568" s="74">
        <f t="shared" si="1"/>
        <v>36.8539923</v>
      </c>
      <c r="O1568" s="74" t="b">
        <v>1</v>
      </c>
    </row>
    <row r="1569" hidden="1">
      <c r="A1569" s="82"/>
      <c r="B1569" s="65" t="s">
        <v>495</v>
      </c>
      <c r="C1569" s="65" t="s">
        <v>92</v>
      </c>
      <c r="D1569" s="65" t="str">
        <f>vlookup(C1569,'Classificação p pessoal'!F:G,2,false)</f>
        <v/>
      </c>
      <c r="E1569" s="65" t="s">
        <v>929</v>
      </c>
      <c r="F1569" s="83">
        <v>0.34375</v>
      </c>
      <c r="G1569" s="83">
        <v>0.375</v>
      </c>
      <c r="H1569" s="83">
        <v>0.03125</v>
      </c>
      <c r="I1569" s="84">
        <v>44308.0</v>
      </c>
      <c r="J1569" s="65" t="b">
        <v>1</v>
      </c>
      <c r="K1569" s="65"/>
      <c r="L1569" s="85" t="b">
        <f>IF(VLOOKUP(C1569,Projetos!A:L,12,false)=TRUE,TRUE,FALSE)</f>
        <v>1</v>
      </c>
      <c r="M1569" s="74">
        <v>73.7079846079846</v>
      </c>
      <c r="N1569" s="74">
        <f t="shared" si="1"/>
        <v>55.28098846</v>
      </c>
      <c r="O1569" s="74" t="b">
        <v>1</v>
      </c>
    </row>
    <row r="1570" hidden="1">
      <c r="A1570" s="82"/>
      <c r="B1570" s="65" t="s">
        <v>495</v>
      </c>
      <c r="C1570" s="65" t="s">
        <v>92</v>
      </c>
      <c r="D1570" s="65" t="str">
        <f>vlookup(C1570,'Classificação p pessoal'!F:G,2,false)</f>
        <v/>
      </c>
      <c r="E1570" s="65" t="s">
        <v>936</v>
      </c>
      <c r="F1570" s="83">
        <v>0.375</v>
      </c>
      <c r="G1570" s="83">
        <v>0.4583333333333333</v>
      </c>
      <c r="H1570" s="83">
        <v>0.08333333333333333</v>
      </c>
      <c r="I1570" s="84">
        <v>44308.0</v>
      </c>
      <c r="J1570" s="65" t="b">
        <v>1</v>
      </c>
      <c r="K1570" s="65"/>
      <c r="L1570" s="85" t="b">
        <f>IF(VLOOKUP(C1570,Projetos!A:L,12,false)=TRUE,TRUE,FALSE)</f>
        <v>1</v>
      </c>
      <c r="M1570" s="74">
        <v>73.7079846079846</v>
      </c>
      <c r="N1570" s="74">
        <f t="shared" si="1"/>
        <v>147.4159692</v>
      </c>
      <c r="O1570" s="74" t="b">
        <v>1</v>
      </c>
    </row>
    <row r="1571" hidden="1">
      <c r="A1571" s="82"/>
      <c r="B1571" s="65" t="s">
        <v>495</v>
      </c>
      <c r="C1571" s="65" t="s">
        <v>92</v>
      </c>
      <c r="D1571" s="65" t="str">
        <f>vlookup(C1571,'Classificação p pessoal'!F:G,2,false)</f>
        <v/>
      </c>
      <c r="E1571" s="65" t="s">
        <v>926</v>
      </c>
      <c r="F1571" s="83">
        <v>0.4583333333333333</v>
      </c>
      <c r="G1571" s="83">
        <v>0.5625</v>
      </c>
      <c r="H1571" s="83">
        <v>0.10416666666666667</v>
      </c>
      <c r="I1571" s="84">
        <v>44308.0</v>
      </c>
      <c r="J1571" s="65" t="b">
        <v>1</v>
      </c>
      <c r="K1571" s="65"/>
      <c r="L1571" s="85" t="b">
        <f>IF(VLOOKUP(C1571,Projetos!A:L,12,false)=TRUE,TRUE,FALSE)</f>
        <v>1</v>
      </c>
      <c r="M1571" s="74">
        <v>73.7079846079846</v>
      </c>
      <c r="N1571" s="74">
        <f t="shared" si="1"/>
        <v>184.2699615</v>
      </c>
      <c r="O1571" s="74" t="b">
        <v>1</v>
      </c>
    </row>
    <row r="1572" hidden="1">
      <c r="A1572" s="82"/>
      <c r="B1572" s="65" t="s">
        <v>495</v>
      </c>
      <c r="C1572" s="65" t="s">
        <v>130</v>
      </c>
      <c r="D1572" s="65"/>
      <c r="E1572" s="65" t="s">
        <v>932</v>
      </c>
      <c r="F1572" s="83">
        <v>0.6458333333333334</v>
      </c>
      <c r="G1572" s="83">
        <v>0.7083333333333334</v>
      </c>
      <c r="H1572" s="83">
        <v>0.0625</v>
      </c>
      <c r="I1572" s="84">
        <v>44308.0</v>
      </c>
      <c r="J1572" s="65" t="b">
        <v>0</v>
      </c>
      <c r="K1572" s="65" t="s">
        <v>150</v>
      </c>
      <c r="L1572" s="85" t="b">
        <f>IF(VLOOKUP(C1572,Projetos!A:L,12,false)=TRUE,TRUE,FALSE)</f>
        <v>1</v>
      </c>
      <c r="M1572" s="74">
        <v>73.7079846079846</v>
      </c>
      <c r="N1572" s="74">
        <f t="shared" si="1"/>
        <v>0</v>
      </c>
      <c r="O1572" s="74" t="b">
        <v>1</v>
      </c>
    </row>
    <row r="1573" hidden="1">
      <c r="A1573" s="82"/>
      <c r="B1573" s="65" t="s">
        <v>495</v>
      </c>
      <c r="C1573" s="65" t="s">
        <v>106</v>
      </c>
      <c r="D1573" s="65" t="str">
        <f>vlookup(C1573,'Classificação p pessoal'!F:G,2,false)</f>
        <v>MProcesso</v>
      </c>
      <c r="E1573" s="65" t="s">
        <v>937</v>
      </c>
      <c r="F1573" s="83">
        <v>0.3541666666666667</v>
      </c>
      <c r="G1573" s="83">
        <v>0.4583333333333333</v>
      </c>
      <c r="H1573" s="83">
        <v>0.10416666666666667</v>
      </c>
      <c r="I1573" s="84">
        <v>44309.0</v>
      </c>
      <c r="J1573" s="65" t="b">
        <v>1</v>
      </c>
      <c r="K1573" s="65"/>
      <c r="L1573" s="85" t="b">
        <f>IF(VLOOKUP(C1573,Projetos!A:L,12,false)=TRUE,TRUE,FALSE)</f>
        <v>1</v>
      </c>
      <c r="M1573" s="74">
        <v>73.7079846079846</v>
      </c>
      <c r="N1573" s="74">
        <f t="shared" si="1"/>
        <v>184.2699615</v>
      </c>
      <c r="O1573" s="74" t="b">
        <v>1</v>
      </c>
    </row>
    <row r="1574" hidden="1">
      <c r="A1574" s="82"/>
      <c r="B1574" s="65" t="s">
        <v>495</v>
      </c>
      <c r="C1574" s="65" t="s">
        <v>92</v>
      </c>
      <c r="D1574" s="65" t="str">
        <f>vlookup(C1574,'Classificação p pessoal'!F:G,2,false)</f>
        <v/>
      </c>
      <c r="E1574" s="65" t="s">
        <v>926</v>
      </c>
      <c r="F1574" s="83">
        <v>0.4583333333333333</v>
      </c>
      <c r="G1574" s="83">
        <v>0.5520833333333334</v>
      </c>
      <c r="H1574" s="83">
        <v>0.09375</v>
      </c>
      <c r="I1574" s="84">
        <v>44309.0</v>
      </c>
      <c r="J1574" s="65" t="b">
        <v>1</v>
      </c>
      <c r="K1574" s="65"/>
      <c r="L1574" s="85" t="b">
        <f>IF(VLOOKUP(C1574,Projetos!A:L,12,false)=TRUE,TRUE,FALSE)</f>
        <v>1</v>
      </c>
      <c r="M1574" s="74">
        <v>73.7079846079846</v>
      </c>
      <c r="N1574" s="74">
        <f t="shared" si="1"/>
        <v>165.8429654</v>
      </c>
      <c r="O1574" s="74" t="b">
        <v>1</v>
      </c>
    </row>
    <row r="1575" hidden="1">
      <c r="A1575" s="82"/>
      <c r="B1575" s="65" t="s">
        <v>495</v>
      </c>
      <c r="C1575" s="65" t="s">
        <v>130</v>
      </c>
      <c r="D1575" s="65"/>
      <c r="E1575" s="65" t="s">
        <v>932</v>
      </c>
      <c r="F1575" s="83">
        <v>0.6041666666666666</v>
      </c>
      <c r="G1575" s="83">
        <v>0.7083333333333334</v>
      </c>
      <c r="H1575" s="83">
        <v>0.10416666666666667</v>
      </c>
      <c r="I1575" s="84">
        <v>44309.0</v>
      </c>
      <c r="J1575" s="65" t="b">
        <v>0</v>
      </c>
      <c r="K1575" s="65" t="s">
        <v>150</v>
      </c>
      <c r="L1575" s="85" t="b">
        <f>IF(VLOOKUP(C1575,Projetos!A:L,12,false)=TRUE,TRUE,FALSE)</f>
        <v>1</v>
      </c>
      <c r="M1575" s="74">
        <v>73.7079846079846</v>
      </c>
      <c r="N1575" s="74">
        <f t="shared" si="1"/>
        <v>0</v>
      </c>
      <c r="O1575" s="74" t="b">
        <v>1</v>
      </c>
    </row>
    <row r="1576" hidden="1">
      <c r="A1576" s="82"/>
      <c r="B1576" s="65" t="s">
        <v>495</v>
      </c>
      <c r="C1576" s="65" t="s">
        <v>92</v>
      </c>
      <c r="D1576" s="65" t="str">
        <f>vlookup(C1576,'Classificação p pessoal'!F:G,2,false)</f>
        <v/>
      </c>
      <c r="E1576" s="65" t="s">
        <v>938</v>
      </c>
      <c r="F1576" s="83">
        <v>0.7083333333333334</v>
      </c>
      <c r="G1576" s="83">
        <v>0.75</v>
      </c>
      <c r="H1576" s="83">
        <v>0.041666666666666664</v>
      </c>
      <c r="I1576" s="84">
        <v>44309.0</v>
      </c>
      <c r="J1576" s="65" t="b">
        <v>1</v>
      </c>
      <c r="K1576" s="65"/>
      <c r="L1576" s="85" t="b">
        <f>IF(VLOOKUP(C1576,Projetos!A:L,12,false)=TRUE,TRUE,FALSE)</f>
        <v>1</v>
      </c>
      <c r="M1576" s="74">
        <v>73.7079846079846</v>
      </c>
      <c r="N1576" s="74">
        <f t="shared" si="1"/>
        <v>73.70798461</v>
      </c>
      <c r="O1576" s="74" t="b">
        <v>1</v>
      </c>
    </row>
    <row r="1577" hidden="1">
      <c r="A1577" s="82"/>
      <c r="B1577" s="65" t="s">
        <v>495</v>
      </c>
      <c r="C1577" s="65" t="s">
        <v>130</v>
      </c>
      <c r="D1577" s="65" t="str">
        <f>vlookup(C1577,'Classificação p pessoal'!F:G,2,false)</f>
        <v>NP</v>
      </c>
      <c r="E1577" s="65" t="s">
        <v>939</v>
      </c>
      <c r="F1577" s="83">
        <v>0.3541666666666667</v>
      </c>
      <c r="G1577" s="83">
        <v>0.4166666666666667</v>
      </c>
      <c r="H1577" s="83">
        <v>0.0625</v>
      </c>
      <c r="I1577" s="84">
        <v>44312.0</v>
      </c>
      <c r="J1577" s="65" t="b">
        <v>1</v>
      </c>
      <c r="K1577" s="65"/>
      <c r="L1577" s="85" t="b">
        <f>IF(VLOOKUP(C1577,Projetos!A:L,12,false)=TRUE,TRUE,FALSE)</f>
        <v>1</v>
      </c>
      <c r="M1577" s="74">
        <v>73.7079846079846</v>
      </c>
      <c r="N1577" s="74">
        <f t="shared" si="1"/>
        <v>110.5619769</v>
      </c>
      <c r="O1577" s="74" t="b">
        <v>1</v>
      </c>
    </row>
    <row r="1578" hidden="1">
      <c r="A1578" s="82"/>
      <c r="B1578" s="65" t="s">
        <v>495</v>
      </c>
      <c r="C1578" s="65" t="s">
        <v>92</v>
      </c>
      <c r="D1578" s="65" t="str">
        <f>vlookup(C1578,'Classificação p pessoal'!F:G,2,false)</f>
        <v/>
      </c>
      <c r="E1578" s="65" t="s">
        <v>940</v>
      </c>
      <c r="F1578" s="83">
        <v>0.4583333333333333</v>
      </c>
      <c r="G1578" s="83">
        <v>0.5625</v>
      </c>
      <c r="H1578" s="83">
        <v>0.10416666666666667</v>
      </c>
      <c r="I1578" s="84">
        <v>44312.0</v>
      </c>
      <c r="J1578" s="65" t="b">
        <v>1</v>
      </c>
      <c r="K1578" s="65"/>
      <c r="L1578" s="85" t="b">
        <f>IF(VLOOKUP(C1578,Projetos!A:L,12,false)=TRUE,TRUE,FALSE)</f>
        <v>1</v>
      </c>
      <c r="M1578" s="74">
        <v>73.7079846079846</v>
      </c>
      <c r="N1578" s="74">
        <f t="shared" si="1"/>
        <v>184.2699615</v>
      </c>
      <c r="O1578" s="74" t="b">
        <v>1</v>
      </c>
    </row>
    <row r="1579" hidden="1">
      <c r="A1579" s="82"/>
      <c r="B1579" s="65" t="s">
        <v>495</v>
      </c>
      <c r="C1579" s="65" t="s">
        <v>92</v>
      </c>
      <c r="D1579" s="65" t="str">
        <f>vlookup(C1579,'Classificação p pessoal'!F:G,2,false)</f>
        <v/>
      </c>
      <c r="E1579" s="65" t="s">
        <v>941</v>
      </c>
      <c r="F1579" s="83">
        <v>0.6041666666666666</v>
      </c>
      <c r="G1579" s="83">
        <v>0.7083333333333334</v>
      </c>
      <c r="H1579" s="83">
        <v>0.10416666666666667</v>
      </c>
      <c r="I1579" s="84">
        <v>44312.0</v>
      </c>
      <c r="J1579" s="65" t="b">
        <v>1</v>
      </c>
      <c r="K1579" s="65"/>
      <c r="L1579" s="85" t="b">
        <f>IF(VLOOKUP(C1579,Projetos!A:L,12,false)=TRUE,TRUE,FALSE)</f>
        <v>1</v>
      </c>
      <c r="M1579" s="74">
        <v>73.7079846079846</v>
      </c>
      <c r="N1579" s="74">
        <f t="shared" si="1"/>
        <v>184.2699615</v>
      </c>
      <c r="O1579" s="74" t="b">
        <v>1</v>
      </c>
    </row>
    <row r="1580" hidden="1">
      <c r="A1580" s="82"/>
      <c r="B1580" s="65" t="s">
        <v>495</v>
      </c>
      <c r="C1580" s="65" t="s">
        <v>92</v>
      </c>
      <c r="D1580" s="65" t="str">
        <f>vlookup(C1580,'Classificação p pessoal'!F:G,2,false)</f>
        <v/>
      </c>
      <c r="E1580" s="65" t="s">
        <v>942</v>
      </c>
      <c r="F1580" s="83">
        <v>0.3472222222222222</v>
      </c>
      <c r="G1580" s="83">
        <v>0.4166666666666667</v>
      </c>
      <c r="H1580" s="83">
        <v>0.06944444444444445</v>
      </c>
      <c r="I1580" s="84">
        <v>44313.0</v>
      </c>
      <c r="J1580" s="65" t="b">
        <v>1</v>
      </c>
      <c r="K1580" s="65"/>
      <c r="L1580" s="85" t="b">
        <f>IF(VLOOKUP(C1580,Projetos!A:L,12,false)=TRUE,TRUE,FALSE)</f>
        <v>1</v>
      </c>
      <c r="M1580" s="74">
        <v>73.7079846079846</v>
      </c>
      <c r="N1580" s="74">
        <f t="shared" si="1"/>
        <v>122.846641</v>
      </c>
      <c r="O1580" s="74" t="b">
        <v>1</v>
      </c>
    </row>
    <row r="1581" hidden="1">
      <c r="A1581" s="82"/>
      <c r="B1581" s="65" t="s">
        <v>495</v>
      </c>
      <c r="C1581" s="65" t="s">
        <v>92</v>
      </c>
      <c r="D1581" s="65" t="str">
        <f>vlookup(C1581,'Classificação p pessoal'!F:G,2,false)</f>
        <v/>
      </c>
      <c r="E1581" s="65" t="s">
        <v>943</v>
      </c>
      <c r="F1581" s="83">
        <v>0.4166666666666667</v>
      </c>
      <c r="G1581" s="83">
        <v>0.4791666666666667</v>
      </c>
      <c r="H1581" s="83">
        <v>0.0625</v>
      </c>
      <c r="I1581" s="84">
        <v>44313.0</v>
      </c>
      <c r="J1581" s="65" t="b">
        <v>1</v>
      </c>
      <c r="K1581" s="65"/>
      <c r="L1581" s="85" t="b">
        <f>IF(VLOOKUP(C1581,Projetos!A:L,12,false)=TRUE,TRUE,FALSE)</f>
        <v>1</v>
      </c>
      <c r="M1581" s="74">
        <v>73.7079846079846</v>
      </c>
      <c r="N1581" s="74">
        <f t="shared" si="1"/>
        <v>110.5619769</v>
      </c>
      <c r="O1581" s="74" t="b">
        <v>1</v>
      </c>
    </row>
    <row r="1582" hidden="1">
      <c r="A1582" s="82"/>
      <c r="B1582" s="65" t="s">
        <v>495</v>
      </c>
      <c r="C1582" s="65" t="s">
        <v>92</v>
      </c>
      <c r="D1582" s="65" t="str">
        <f>vlookup(C1582,'Classificação p pessoal'!F:G,2,false)</f>
        <v/>
      </c>
      <c r="E1582" s="65" t="s">
        <v>944</v>
      </c>
      <c r="F1582" s="83">
        <v>0.4791666666666667</v>
      </c>
      <c r="G1582" s="83">
        <v>0.5208333333333334</v>
      </c>
      <c r="H1582" s="83">
        <v>0.041666666666666664</v>
      </c>
      <c r="I1582" s="84">
        <v>44313.0</v>
      </c>
      <c r="J1582" s="65" t="b">
        <v>1</v>
      </c>
      <c r="K1582" s="65"/>
      <c r="L1582" s="85" t="b">
        <f>IF(VLOOKUP(C1582,Projetos!A:L,12,false)=TRUE,TRUE,FALSE)</f>
        <v>1</v>
      </c>
      <c r="M1582" s="74">
        <v>73.7079846079846</v>
      </c>
      <c r="N1582" s="74">
        <f t="shared" si="1"/>
        <v>73.70798461</v>
      </c>
      <c r="O1582" s="74" t="b">
        <v>1</v>
      </c>
    </row>
    <row r="1583" hidden="1">
      <c r="A1583" s="82"/>
      <c r="B1583" s="65" t="s">
        <v>495</v>
      </c>
      <c r="C1583" s="65" t="s">
        <v>92</v>
      </c>
      <c r="D1583" s="65" t="str">
        <f>vlookup(C1583,'Classificação p pessoal'!F:G,2,false)</f>
        <v/>
      </c>
      <c r="E1583" s="65" t="s">
        <v>945</v>
      </c>
      <c r="F1583" s="83">
        <v>0.5208333333333334</v>
      </c>
      <c r="G1583" s="83">
        <v>0.5729166666666666</v>
      </c>
      <c r="H1583" s="83">
        <v>0.052083333333333336</v>
      </c>
      <c r="I1583" s="84">
        <v>44313.0</v>
      </c>
      <c r="J1583" s="65" t="b">
        <v>1</v>
      </c>
      <c r="K1583" s="65"/>
      <c r="L1583" s="85" t="b">
        <f>IF(VLOOKUP(C1583,Projetos!A:L,12,false)=TRUE,TRUE,FALSE)</f>
        <v>1</v>
      </c>
      <c r="M1583" s="74">
        <v>73.7079846079846</v>
      </c>
      <c r="N1583" s="74">
        <f t="shared" si="1"/>
        <v>92.13498076</v>
      </c>
      <c r="O1583" s="74" t="b">
        <v>1</v>
      </c>
    </row>
    <row r="1584" hidden="1">
      <c r="A1584" s="82"/>
      <c r="B1584" s="65" t="s">
        <v>495</v>
      </c>
      <c r="C1584" s="65" t="s">
        <v>92</v>
      </c>
      <c r="D1584" s="65" t="str">
        <f>vlookup(C1584,'Classificação p pessoal'!F:G,2,false)</f>
        <v/>
      </c>
      <c r="E1584" s="65" t="s">
        <v>906</v>
      </c>
      <c r="F1584" s="83">
        <v>0.6145833333333334</v>
      </c>
      <c r="G1584" s="83">
        <v>0.65625</v>
      </c>
      <c r="H1584" s="83">
        <v>0.041666666666666664</v>
      </c>
      <c r="I1584" s="84">
        <v>44313.0</v>
      </c>
      <c r="J1584" s="65" t="b">
        <v>1</v>
      </c>
      <c r="K1584" s="65"/>
      <c r="L1584" s="85" t="b">
        <f>IF(VLOOKUP(C1584,Projetos!A:L,12,false)=TRUE,TRUE,FALSE)</f>
        <v>1</v>
      </c>
      <c r="M1584" s="74">
        <v>73.7079846079846</v>
      </c>
      <c r="N1584" s="74">
        <f t="shared" si="1"/>
        <v>73.70798461</v>
      </c>
      <c r="O1584" s="74" t="b">
        <v>1</v>
      </c>
    </row>
    <row r="1585" hidden="1">
      <c r="A1585" s="82"/>
      <c r="B1585" s="65" t="s">
        <v>495</v>
      </c>
      <c r="C1585" s="65" t="s">
        <v>92</v>
      </c>
      <c r="D1585" s="65" t="str">
        <f>vlookup(C1585,'Classificação p pessoal'!F:G,2,false)</f>
        <v/>
      </c>
      <c r="E1585" s="65" t="s">
        <v>946</v>
      </c>
      <c r="F1585" s="83">
        <v>0.6666666666666666</v>
      </c>
      <c r="G1585" s="83">
        <v>0.75</v>
      </c>
      <c r="H1585" s="83">
        <v>0.08333333333333333</v>
      </c>
      <c r="I1585" s="84">
        <v>44313.0</v>
      </c>
      <c r="J1585" s="65" t="b">
        <v>1</v>
      </c>
      <c r="K1585" s="65"/>
      <c r="L1585" s="85" t="b">
        <f>IF(VLOOKUP(C1585,Projetos!A:L,12,false)=TRUE,TRUE,FALSE)</f>
        <v>1</v>
      </c>
      <c r="M1585" s="74">
        <v>73.7079846079846</v>
      </c>
      <c r="N1585" s="74">
        <f t="shared" si="1"/>
        <v>147.4159692</v>
      </c>
      <c r="O1585" s="74" t="b">
        <v>1</v>
      </c>
    </row>
    <row r="1586" hidden="1">
      <c r="A1586" s="82"/>
      <c r="B1586" s="65" t="s">
        <v>495</v>
      </c>
      <c r="C1586" s="65" t="s">
        <v>92</v>
      </c>
      <c r="D1586" s="65" t="str">
        <f>vlookup(C1586,'Classificação p pessoal'!F:G,2,false)</f>
        <v/>
      </c>
      <c r="E1586" s="65" t="s">
        <v>947</v>
      </c>
      <c r="F1586" s="83">
        <v>0.3645833333333333</v>
      </c>
      <c r="G1586" s="83">
        <v>0.4166666666666667</v>
      </c>
      <c r="H1586" s="83">
        <v>0.052083333333333336</v>
      </c>
      <c r="I1586" s="84">
        <v>44314.0</v>
      </c>
      <c r="J1586" s="65" t="b">
        <v>1</v>
      </c>
      <c r="K1586" s="65"/>
      <c r="L1586" s="85" t="b">
        <f>IF(VLOOKUP(C1586,Projetos!A:L,12,false)=TRUE,TRUE,FALSE)</f>
        <v>1</v>
      </c>
      <c r="M1586" s="74">
        <v>73.7079846079846</v>
      </c>
      <c r="N1586" s="74">
        <f t="shared" si="1"/>
        <v>92.13498076</v>
      </c>
      <c r="O1586" s="74" t="b">
        <v>1</v>
      </c>
    </row>
    <row r="1587" hidden="1">
      <c r="A1587" s="82"/>
      <c r="B1587" s="65" t="s">
        <v>495</v>
      </c>
      <c r="C1587" s="65" t="s">
        <v>92</v>
      </c>
      <c r="D1587" s="65" t="str">
        <f>vlookup(C1587,'Classificação p pessoal'!F:G,2,false)</f>
        <v/>
      </c>
      <c r="E1587" s="65" t="s">
        <v>948</v>
      </c>
      <c r="F1587" s="83">
        <v>0.4791666666666667</v>
      </c>
      <c r="G1587" s="83">
        <v>0.5729166666666666</v>
      </c>
      <c r="H1587" s="83">
        <v>0.09375</v>
      </c>
      <c r="I1587" s="84">
        <v>44314.0</v>
      </c>
      <c r="J1587" s="65" t="b">
        <v>1</v>
      </c>
      <c r="K1587" s="65"/>
      <c r="L1587" s="85" t="b">
        <f>IF(VLOOKUP(C1587,Projetos!A:L,12,false)=TRUE,TRUE,FALSE)</f>
        <v>1</v>
      </c>
      <c r="M1587" s="74">
        <v>73.7079846079846</v>
      </c>
      <c r="N1587" s="74">
        <f t="shared" si="1"/>
        <v>165.8429654</v>
      </c>
      <c r="O1587" s="74" t="b">
        <v>1</v>
      </c>
    </row>
    <row r="1588" hidden="1">
      <c r="A1588" s="82"/>
      <c r="B1588" s="65" t="s">
        <v>495</v>
      </c>
      <c r="C1588" s="65" t="s">
        <v>92</v>
      </c>
      <c r="D1588" s="65" t="str">
        <f>vlookup(C1588,'Classificação p pessoal'!F:G,2,false)</f>
        <v/>
      </c>
      <c r="E1588" s="65" t="s">
        <v>949</v>
      </c>
      <c r="F1588" s="83">
        <v>0.6145833333333334</v>
      </c>
      <c r="G1588" s="83">
        <v>0.75</v>
      </c>
      <c r="H1588" s="83">
        <v>0.13541666666666666</v>
      </c>
      <c r="I1588" s="84">
        <v>44314.0</v>
      </c>
      <c r="J1588" s="65" t="b">
        <v>1</v>
      </c>
      <c r="K1588" s="65"/>
      <c r="L1588" s="85" t="b">
        <f>IF(VLOOKUP(C1588,Projetos!A:L,12,false)=TRUE,TRUE,FALSE)</f>
        <v>1</v>
      </c>
      <c r="M1588" s="74">
        <v>73.7079846079846</v>
      </c>
      <c r="N1588" s="74">
        <f t="shared" si="1"/>
        <v>239.55095</v>
      </c>
      <c r="O1588" s="74" t="b">
        <v>1</v>
      </c>
    </row>
    <row r="1589" hidden="1">
      <c r="A1589" s="82"/>
      <c r="B1589" s="65" t="s">
        <v>495</v>
      </c>
      <c r="C1589" s="65" t="s">
        <v>92</v>
      </c>
      <c r="D1589" s="65" t="str">
        <f>vlookup(C1589,'Classificação p pessoal'!F:G,2,false)</f>
        <v/>
      </c>
      <c r="E1589" s="65" t="s">
        <v>950</v>
      </c>
      <c r="F1589" s="83">
        <v>0.34375</v>
      </c>
      <c r="G1589" s="83">
        <v>0.3645833333333333</v>
      </c>
      <c r="H1589" s="83">
        <v>0.020833333333333332</v>
      </c>
      <c r="I1589" s="84">
        <v>44315.0</v>
      </c>
      <c r="J1589" s="65" t="b">
        <v>1</v>
      </c>
      <c r="K1589" s="65"/>
      <c r="L1589" s="85" t="b">
        <f>IF(VLOOKUP(C1589,Projetos!A:L,12,false)=TRUE,TRUE,FALSE)</f>
        <v>1</v>
      </c>
      <c r="M1589" s="74">
        <v>73.7079846079846</v>
      </c>
      <c r="N1589" s="74">
        <f t="shared" si="1"/>
        <v>36.8539923</v>
      </c>
      <c r="O1589" s="74" t="b">
        <v>1</v>
      </c>
    </row>
    <row r="1590" hidden="1">
      <c r="A1590" s="82"/>
      <c r="B1590" s="65" t="s">
        <v>495</v>
      </c>
      <c r="C1590" s="65" t="s">
        <v>92</v>
      </c>
      <c r="D1590" s="65"/>
      <c r="E1590" s="65" t="s">
        <v>951</v>
      </c>
      <c r="F1590" s="83">
        <v>0.3645833333333333</v>
      </c>
      <c r="G1590" s="83">
        <v>0.375</v>
      </c>
      <c r="H1590" s="83">
        <v>0.010416666666666666</v>
      </c>
      <c r="I1590" s="84">
        <v>44315.0</v>
      </c>
      <c r="J1590" s="65" t="b">
        <v>0</v>
      </c>
      <c r="K1590" s="65" t="s">
        <v>150</v>
      </c>
      <c r="L1590" s="85" t="b">
        <f>IF(VLOOKUP(C1590,Projetos!A:L,12,false)=TRUE,TRUE,FALSE)</f>
        <v>1</v>
      </c>
      <c r="M1590" s="74">
        <v>73.7079846079846</v>
      </c>
      <c r="N1590" s="74">
        <f t="shared" si="1"/>
        <v>0</v>
      </c>
      <c r="O1590" s="74" t="b">
        <v>1</v>
      </c>
    </row>
    <row r="1591" hidden="1">
      <c r="A1591" s="82"/>
      <c r="B1591" s="65" t="s">
        <v>495</v>
      </c>
      <c r="C1591" s="65" t="s">
        <v>92</v>
      </c>
      <c r="D1591" s="65" t="str">
        <f>vlookup(C1591,'Classificação p pessoal'!F:G,2,false)</f>
        <v/>
      </c>
      <c r="E1591" s="65" t="s">
        <v>952</v>
      </c>
      <c r="F1591" s="83">
        <v>0.375</v>
      </c>
      <c r="G1591" s="83">
        <v>0.40625</v>
      </c>
      <c r="H1591" s="83">
        <v>0.03125</v>
      </c>
      <c r="I1591" s="84">
        <v>44315.0</v>
      </c>
      <c r="J1591" s="65" t="b">
        <v>1</v>
      </c>
      <c r="K1591" s="65"/>
      <c r="L1591" s="85" t="b">
        <f>IF(VLOOKUP(C1591,Projetos!A:L,12,false)=TRUE,TRUE,FALSE)</f>
        <v>1</v>
      </c>
      <c r="M1591" s="74">
        <v>73.7079846079846</v>
      </c>
      <c r="N1591" s="74">
        <f t="shared" si="1"/>
        <v>55.28098846</v>
      </c>
      <c r="O1591" s="74" t="b">
        <v>1</v>
      </c>
    </row>
    <row r="1592" hidden="1">
      <c r="A1592" s="82"/>
      <c r="B1592" s="65" t="s">
        <v>495</v>
      </c>
      <c r="C1592" s="65" t="s">
        <v>92</v>
      </c>
      <c r="D1592" s="65" t="str">
        <f>vlookup(C1592,'Classificação p pessoal'!F:G,2,false)</f>
        <v/>
      </c>
      <c r="E1592" s="65" t="s">
        <v>953</v>
      </c>
      <c r="F1592" s="83">
        <v>0.4166666666666667</v>
      </c>
      <c r="G1592" s="83">
        <v>0.4791666666666667</v>
      </c>
      <c r="H1592" s="83">
        <v>0.0625</v>
      </c>
      <c r="I1592" s="84">
        <v>44315.0</v>
      </c>
      <c r="J1592" s="65" t="b">
        <v>1</v>
      </c>
      <c r="K1592" s="65"/>
      <c r="L1592" s="85" t="b">
        <f>IF(VLOOKUP(C1592,Projetos!A:L,12,false)=TRUE,TRUE,FALSE)</f>
        <v>1</v>
      </c>
      <c r="M1592" s="74">
        <v>73.7079846079846</v>
      </c>
      <c r="N1592" s="74">
        <f t="shared" si="1"/>
        <v>110.5619769</v>
      </c>
      <c r="O1592" s="74" t="b">
        <v>1</v>
      </c>
    </row>
    <row r="1593" hidden="1">
      <c r="A1593" s="82"/>
      <c r="B1593" s="65" t="s">
        <v>495</v>
      </c>
      <c r="C1593" s="65" t="s">
        <v>106</v>
      </c>
      <c r="D1593" s="65" t="str">
        <f>vlookup(C1593,'Classificação p pessoal'!F:G,2,false)</f>
        <v>MProcesso</v>
      </c>
      <c r="E1593" s="65" t="s">
        <v>954</v>
      </c>
      <c r="F1593" s="83">
        <v>0.4791666666666667</v>
      </c>
      <c r="G1593" s="83">
        <v>0.5625</v>
      </c>
      <c r="H1593" s="83">
        <v>0.08333333333333333</v>
      </c>
      <c r="I1593" s="84">
        <v>44315.0</v>
      </c>
      <c r="J1593" s="65" t="b">
        <v>1</v>
      </c>
      <c r="K1593" s="65"/>
      <c r="L1593" s="85" t="b">
        <f>IF(VLOOKUP(C1593,Projetos!A:L,12,false)=TRUE,TRUE,FALSE)</f>
        <v>1</v>
      </c>
      <c r="M1593" s="74">
        <v>73.7079846079846</v>
      </c>
      <c r="N1593" s="74">
        <f t="shared" si="1"/>
        <v>147.4159692</v>
      </c>
      <c r="O1593" s="74" t="b">
        <v>1</v>
      </c>
    </row>
    <row r="1594" hidden="1">
      <c r="A1594" s="82"/>
      <c r="B1594" s="65" t="s">
        <v>495</v>
      </c>
      <c r="C1594" s="65" t="s">
        <v>92</v>
      </c>
      <c r="D1594" s="65" t="str">
        <f>vlookup(C1594,'Classificação p pessoal'!F:G,2,false)</f>
        <v/>
      </c>
      <c r="E1594" s="65" t="s">
        <v>834</v>
      </c>
      <c r="F1594" s="83">
        <v>0.6041666666666666</v>
      </c>
      <c r="G1594" s="83">
        <v>0.6666666666666666</v>
      </c>
      <c r="H1594" s="83">
        <v>0.0625</v>
      </c>
      <c r="I1594" s="84">
        <v>44315.0</v>
      </c>
      <c r="J1594" s="65" t="b">
        <v>1</v>
      </c>
      <c r="K1594" s="65"/>
      <c r="L1594" s="85" t="b">
        <f>IF(VLOOKUP(C1594,Projetos!A:L,12,false)=TRUE,TRUE,FALSE)</f>
        <v>1</v>
      </c>
      <c r="M1594" s="74">
        <v>73.7079846079846</v>
      </c>
      <c r="N1594" s="74">
        <f t="shared" si="1"/>
        <v>110.5619769</v>
      </c>
      <c r="O1594" s="74" t="b">
        <v>1</v>
      </c>
    </row>
    <row r="1595" hidden="1">
      <c r="A1595" s="82"/>
      <c r="B1595" s="65" t="s">
        <v>495</v>
      </c>
      <c r="C1595" s="65" t="s">
        <v>92</v>
      </c>
      <c r="D1595" s="65" t="str">
        <f>vlookup(C1595,'Classificação p pessoal'!F:G,2,false)</f>
        <v/>
      </c>
      <c r="E1595" s="65" t="s">
        <v>955</v>
      </c>
      <c r="F1595" s="83">
        <v>0.6666666666666666</v>
      </c>
      <c r="G1595" s="83">
        <v>0.75</v>
      </c>
      <c r="H1595" s="83">
        <v>0.08333333333333333</v>
      </c>
      <c r="I1595" s="84">
        <v>44315.0</v>
      </c>
      <c r="J1595" s="65" t="b">
        <v>1</v>
      </c>
      <c r="K1595" s="65"/>
      <c r="L1595" s="85" t="b">
        <f>IF(VLOOKUP(C1595,Projetos!A:L,12,false)=TRUE,TRUE,FALSE)</f>
        <v>1</v>
      </c>
      <c r="M1595" s="74">
        <v>73.7079846079846</v>
      </c>
      <c r="N1595" s="74">
        <f t="shared" si="1"/>
        <v>147.4159692</v>
      </c>
      <c r="O1595" s="74" t="b">
        <v>1</v>
      </c>
    </row>
    <row r="1596" hidden="1">
      <c r="A1596" s="82"/>
      <c r="B1596" s="65" t="s">
        <v>495</v>
      </c>
      <c r="C1596" s="65" t="s">
        <v>92</v>
      </c>
      <c r="D1596" s="65" t="str">
        <f>vlookup(C1596,'Classificação p pessoal'!F:G,2,false)</f>
        <v/>
      </c>
      <c r="E1596" s="65" t="s">
        <v>955</v>
      </c>
      <c r="F1596" s="83">
        <v>0.34375</v>
      </c>
      <c r="G1596" s="83">
        <v>0.4166666666666667</v>
      </c>
      <c r="H1596" s="83">
        <v>0.07291666666666667</v>
      </c>
      <c r="I1596" s="84">
        <v>44316.0</v>
      </c>
      <c r="J1596" s="65" t="b">
        <v>1</v>
      </c>
      <c r="K1596" s="65"/>
      <c r="L1596" s="85" t="b">
        <f>IF(VLOOKUP(C1596,Projetos!A:L,12,false)=TRUE,TRUE,FALSE)</f>
        <v>1</v>
      </c>
      <c r="M1596" s="74">
        <v>73.7079846079846</v>
      </c>
      <c r="N1596" s="74">
        <f t="shared" si="1"/>
        <v>128.9889731</v>
      </c>
      <c r="O1596" s="74" t="b">
        <v>1</v>
      </c>
    </row>
    <row r="1597" hidden="1">
      <c r="A1597" s="82"/>
      <c r="B1597" s="65" t="s">
        <v>495</v>
      </c>
      <c r="C1597" s="65" t="s">
        <v>100</v>
      </c>
      <c r="D1597" s="65" t="str">
        <f>vlookup(C1597,'Classificação p pessoal'!F:G,2,false)</f>
        <v>NP</v>
      </c>
      <c r="E1597" s="65" t="s">
        <v>956</v>
      </c>
      <c r="F1597" s="83">
        <v>0.4166666666666667</v>
      </c>
      <c r="G1597" s="83">
        <v>0.4583333333333333</v>
      </c>
      <c r="H1597" s="83">
        <v>0.041666666666666664</v>
      </c>
      <c r="I1597" s="84">
        <v>44316.0</v>
      </c>
      <c r="J1597" s="65" t="b">
        <v>1</v>
      </c>
      <c r="K1597" s="65"/>
      <c r="L1597" s="85" t="b">
        <f>IF(VLOOKUP(C1597,Projetos!A:L,12,false)=TRUE,TRUE,FALSE)</f>
        <v>1</v>
      </c>
      <c r="M1597" s="74">
        <v>73.7079846079846</v>
      </c>
      <c r="N1597" s="74">
        <f t="shared" si="1"/>
        <v>73.70798461</v>
      </c>
      <c r="O1597" s="74" t="b">
        <v>1</v>
      </c>
    </row>
    <row r="1598" hidden="1">
      <c r="A1598" s="82"/>
      <c r="B1598" s="65" t="s">
        <v>495</v>
      </c>
      <c r="C1598" s="65" t="s">
        <v>92</v>
      </c>
      <c r="D1598" s="65" t="str">
        <f>vlookup(C1598,'Classificação p pessoal'!F:G,2,false)</f>
        <v/>
      </c>
      <c r="E1598" s="65" t="s">
        <v>834</v>
      </c>
      <c r="F1598" s="83">
        <v>0.4583333333333333</v>
      </c>
      <c r="G1598" s="83">
        <v>0.5416666666666666</v>
      </c>
      <c r="H1598" s="83">
        <v>0.08333333333333333</v>
      </c>
      <c r="I1598" s="84">
        <v>44316.0</v>
      </c>
      <c r="J1598" s="65" t="b">
        <v>1</v>
      </c>
      <c r="K1598" s="65"/>
      <c r="L1598" s="85" t="b">
        <f>IF(VLOOKUP(C1598,Projetos!A:L,12,false)=TRUE,TRUE,FALSE)</f>
        <v>1</v>
      </c>
      <c r="M1598" s="74">
        <v>73.7079846079846</v>
      </c>
      <c r="N1598" s="74">
        <f t="shared" si="1"/>
        <v>147.4159692</v>
      </c>
      <c r="O1598" s="74" t="b">
        <v>1</v>
      </c>
    </row>
    <row r="1599" hidden="1">
      <c r="A1599" s="82"/>
      <c r="B1599" s="65" t="s">
        <v>495</v>
      </c>
      <c r="C1599" s="65" t="s">
        <v>117</v>
      </c>
      <c r="D1599" s="65" t="str">
        <f>vlookup(C1599,'Classificação p pessoal'!F:G,2,false)</f>
        <v>NP</v>
      </c>
      <c r="E1599" s="65" t="s">
        <v>957</v>
      </c>
      <c r="F1599" s="83">
        <v>0.5833333333333334</v>
      </c>
      <c r="G1599" s="83">
        <v>0.6041666666666666</v>
      </c>
      <c r="H1599" s="83">
        <v>0.020833333333333332</v>
      </c>
      <c r="I1599" s="84">
        <v>44316.0</v>
      </c>
      <c r="J1599" s="65" t="b">
        <v>1</v>
      </c>
      <c r="K1599" s="65"/>
      <c r="L1599" s="85" t="b">
        <f>IF(VLOOKUP(C1599,Projetos!A:L,12,false)=TRUE,TRUE,FALSE)</f>
        <v>1</v>
      </c>
      <c r="M1599" s="74">
        <v>73.7079846079846</v>
      </c>
      <c r="N1599" s="74">
        <f t="shared" si="1"/>
        <v>36.8539923</v>
      </c>
      <c r="O1599" s="74" t="b">
        <v>1</v>
      </c>
    </row>
    <row r="1600" hidden="1">
      <c r="A1600" s="82"/>
      <c r="B1600" s="65" t="s">
        <v>495</v>
      </c>
      <c r="C1600" s="65" t="s">
        <v>117</v>
      </c>
      <c r="D1600" s="65" t="str">
        <f>vlookup(C1600,'Classificação p pessoal'!F:G,2,false)</f>
        <v>NP</v>
      </c>
      <c r="E1600" s="65" t="s">
        <v>958</v>
      </c>
      <c r="F1600" s="83">
        <v>0.6041666666666666</v>
      </c>
      <c r="G1600" s="83">
        <v>0.6875</v>
      </c>
      <c r="H1600" s="83">
        <v>0.08333333333333333</v>
      </c>
      <c r="I1600" s="84">
        <v>44316.0</v>
      </c>
      <c r="J1600" s="65" t="b">
        <v>1</v>
      </c>
      <c r="K1600" s="65"/>
      <c r="L1600" s="85" t="b">
        <f>IF(VLOOKUP(C1600,Projetos!A:L,12,false)=TRUE,TRUE,FALSE)</f>
        <v>1</v>
      </c>
      <c r="M1600" s="74">
        <v>73.7079846079846</v>
      </c>
      <c r="N1600" s="74">
        <f t="shared" si="1"/>
        <v>147.4159692</v>
      </c>
      <c r="O1600" s="74" t="b">
        <v>1</v>
      </c>
    </row>
    <row r="1601" hidden="1">
      <c r="A1601" s="82"/>
      <c r="B1601" s="65" t="s">
        <v>495</v>
      </c>
      <c r="C1601" s="65" t="s">
        <v>92</v>
      </c>
      <c r="D1601" s="65" t="str">
        <f>vlookup(C1601,'Classificação p pessoal'!F:G,2,false)</f>
        <v/>
      </c>
      <c r="E1601" s="65" t="s">
        <v>959</v>
      </c>
      <c r="F1601" s="83">
        <v>0.6875</v>
      </c>
      <c r="G1601" s="83">
        <v>0.7083333333333334</v>
      </c>
      <c r="H1601" s="83">
        <v>0.020833333333333332</v>
      </c>
      <c r="I1601" s="84">
        <v>44316.0</v>
      </c>
      <c r="J1601" s="65" t="b">
        <v>1</v>
      </c>
      <c r="K1601" s="65"/>
      <c r="L1601" s="85" t="b">
        <f>IF(VLOOKUP(C1601,Projetos!A:L,12,false)=TRUE,TRUE,FALSE)</f>
        <v>1</v>
      </c>
      <c r="M1601" s="74">
        <v>73.7079846079846</v>
      </c>
      <c r="N1601" s="74">
        <f t="shared" si="1"/>
        <v>36.8539923</v>
      </c>
      <c r="O1601" s="74" t="b">
        <v>1</v>
      </c>
    </row>
    <row r="1602" hidden="1">
      <c r="A1602" s="82"/>
      <c r="B1602" s="65" t="s">
        <v>495</v>
      </c>
      <c r="C1602" s="65" t="s">
        <v>117</v>
      </c>
      <c r="D1602" s="65" t="str">
        <f>vlookup(C1602,'Classificação p pessoal'!F:G,2,false)</f>
        <v>NP</v>
      </c>
      <c r="E1602" s="65" t="s">
        <v>960</v>
      </c>
      <c r="F1602" s="83">
        <v>0.7083333333333334</v>
      </c>
      <c r="G1602" s="83">
        <v>0.75</v>
      </c>
      <c r="H1602" s="83">
        <v>0.041666666666666664</v>
      </c>
      <c r="I1602" s="84">
        <v>44316.0</v>
      </c>
      <c r="J1602" s="65" t="b">
        <v>1</v>
      </c>
      <c r="K1602" s="65"/>
      <c r="L1602" s="85" t="b">
        <f>IF(VLOOKUP(C1602,Projetos!A:L,12,false)=TRUE,TRUE,FALSE)</f>
        <v>1</v>
      </c>
      <c r="M1602" s="74">
        <v>73.7079846079846</v>
      </c>
      <c r="N1602" s="74">
        <f t="shared" si="1"/>
        <v>73.70798461</v>
      </c>
      <c r="O1602" s="74" t="b">
        <v>1</v>
      </c>
    </row>
    <row r="1603" hidden="1">
      <c r="A1603" s="82"/>
      <c r="B1603" s="65" t="s">
        <v>495</v>
      </c>
      <c r="C1603" s="65" t="s">
        <v>92</v>
      </c>
      <c r="D1603" s="65" t="str">
        <f>vlookup(C1603,'Classificação p pessoal'!F:G,2,false)</f>
        <v/>
      </c>
      <c r="E1603" s="65" t="s">
        <v>961</v>
      </c>
      <c r="F1603" s="83">
        <v>0.3541666666666667</v>
      </c>
      <c r="G1603" s="83">
        <v>0.375</v>
      </c>
      <c r="H1603" s="83">
        <v>0.020833333333333332</v>
      </c>
      <c r="I1603" s="84">
        <v>44319.0</v>
      </c>
      <c r="J1603" s="65" t="b">
        <v>1</v>
      </c>
      <c r="K1603" s="65"/>
      <c r="L1603" s="85" t="b">
        <f>IF(VLOOKUP(C1603,Projetos!A:L,12,false)=TRUE,TRUE,FALSE)</f>
        <v>1</v>
      </c>
      <c r="M1603" s="74">
        <v>73.7079846079846</v>
      </c>
      <c r="N1603" s="74">
        <f t="shared" si="1"/>
        <v>36.8539923</v>
      </c>
      <c r="O1603" s="74" t="b">
        <v>1</v>
      </c>
    </row>
    <row r="1604" hidden="1">
      <c r="A1604" s="82"/>
      <c r="B1604" s="65" t="s">
        <v>495</v>
      </c>
      <c r="C1604" s="65" t="s">
        <v>92</v>
      </c>
      <c r="D1604" s="65" t="str">
        <f>vlookup(C1604,'Classificação p pessoal'!F:G,2,false)</f>
        <v/>
      </c>
      <c r="E1604" s="65" t="s">
        <v>962</v>
      </c>
      <c r="F1604" s="83">
        <v>0.375</v>
      </c>
      <c r="G1604" s="83">
        <v>0.4270833333333333</v>
      </c>
      <c r="H1604" s="83">
        <v>0.052083333333333336</v>
      </c>
      <c r="I1604" s="84">
        <v>44319.0</v>
      </c>
      <c r="J1604" s="65" t="b">
        <v>1</v>
      </c>
      <c r="K1604" s="65"/>
      <c r="L1604" s="85" t="b">
        <f>IF(VLOOKUP(C1604,Projetos!A:L,12,false)=TRUE,TRUE,FALSE)</f>
        <v>1</v>
      </c>
      <c r="M1604" s="74">
        <v>73.7079846079846</v>
      </c>
      <c r="N1604" s="74">
        <f t="shared" si="1"/>
        <v>92.13498076</v>
      </c>
      <c r="O1604" s="74" t="b">
        <v>1</v>
      </c>
    </row>
    <row r="1605" hidden="1">
      <c r="A1605" s="82"/>
      <c r="B1605" s="65" t="s">
        <v>495</v>
      </c>
      <c r="C1605" s="65" t="s">
        <v>92</v>
      </c>
      <c r="D1605" s="65" t="str">
        <f>vlookup(C1605,'Classificação p pessoal'!F:G,2,false)</f>
        <v/>
      </c>
      <c r="E1605" s="65" t="s">
        <v>963</v>
      </c>
      <c r="F1605" s="83">
        <v>0.4270833333333333</v>
      </c>
      <c r="G1605" s="83">
        <v>0.4583333333333333</v>
      </c>
      <c r="H1605" s="83">
        <v>0.03125</v>
      </c>
      <c r="I1605" s="84">
        <v>44319.0</v>
      </c>
      <c r="J1605" s="65" t="b">
        <v>1</v>
      </c>
      <c r="K1605" s="65"/>
      <c r="L1605" s="85" t="b">
        <f>IF(VLOOKUP(C1605,Projetos!A:L,12,false)=TRUE,TRUE,FALSE)</f>
        <v>1</v>
      </c>
      <c r="M1605" s="74">
        <v>73.7079846079846</v>
      </c>
      <c r="N1605" s="74">
        <f t="shared" si="1"/>
        <v>55.28098846</v>
      </c>
      <c r="O1605" s="74" t="b">
        <v>1</v>
      </c>
    </row>
    <row r="1606" hidden="1">
      <c r="A1606" s="82"/>
      <c r="B1606" s="65" t="s">
        <v>495</v>
      </c>
      <c r="C1606" s="65" t="s">
        <v>117</v>
      </c>
      <c r="D1606" s="65" t="str">
        <f>vlookup(C1606,'Classificação p pessoal'!F:G,2,false)</f>
        <v>NP</v>
      </c>
      <c r="E1606" s="65" t="s">
        <v>964</v>
      </c>
      <c r="F1606" s="83">
        <v>0.4583333333333333</v>
      </c>
      <c r="G1606" s="83">
        <v>0.5</v>
      </c>
      <c r="H1606" s="83">
        <v>0.041666666666666664</v>
      </c>
      <c r="I1606" s="84">
        <v>44319.0</v>
      </c>
      <c r="J1606" s="65" t="b">
        <v>1</v>
      </c>
      <c r="K1606" s="65"/>
      <c r="L1606" s="85" t="b">
        <f>IF(VLOOKUP(C1606,Projetos!A:L,12,false)=TRUE,TRUE,FALSE)</f>
        <v>1</v>
      </c>
      <c r="M1606" s="74">
        <v>73.7079846079846</v>
      </c>
      <c r="N1606" s="74">
        <f t="shared" si="1"/>
        <v>73.70798461</v>
      </c>
      <c r="O1606" s="74" t="b">
        <v>1</v>
      </c>
    </row>
    <row r="1607" hidden="1">
      <c r="A1607" s="82"/>
      <c r="B1607" s="65" t="s">
        <v>495</v>
      </c>
      <c r="C1607" s="65" t="s">
        <v>92</v>
      </c>
      <c r="D1607" s="65" t="str">
        <f>vlookup(C1607,'Classificação p pessoal'!F:G,2,false)</f>
        <v/>
      </c>
      <c r="E1607" s="65" t="s">
        <v>965</v>
      </c>
      <c r="F1607" s="83">
        <v>0.5</v>
      </c>
      <c r="G1607" s="83">
        <v>0.5541666666666667</v>
      </c>
      <c r="H1607" s="83">
        <v>0.05416666666666667</v>
      </c>
      <c r="I1607" s="84">
        <v>44319.0</v>
      </c>
      <c r="J1607" s="65" t="b">
        <v>1</v>
      </c>
      <c r="K1607" s="65"/>
      <c r="L1607" s="85" t="b">
        <f>IF(VLOOKUP(C1607,Projetos!A:L,12,false)=TRUE,TRUE,FALSE)</f>
        <v>1</v>
      </c>
      <c r="M1607" s="74">
        <v>73.7079846079846</v>
      </c>
      <c r="N1607" s="74">
        <f t="shared" si="1"/>
        <v>95.82037999</v>
      </c>
      <c r="O1607" s="74" t="b">
        <v>1</v>
      </c>
    </row>
    <row r="1608" hidden="1">
      <c r="A1608" s="82"/>
      <c r="B1608" s="65" t="s">
        <v>495</v>
      </c>
      <c r="C1608" s="65" t="s">
        <v>92</v>
      </c>
      <c r="D1608" s="65" t="str">
        <f>vlookup(C1608,'Classificação p pessoal'!F:G,2,false)</f>
        <v/>
      </c>
      <c r="E1608" s="65" t="s">
        <v>965</v>
      </c>
      <c r="F1608" s="83">
        <v>0.5958333333333333</v>
      </c>
      <c r="G1608" s="83">
        <v>0.75</v>
      </c>
      <c r="H1608" s="83">
        <v>0.15416666666666667</v>
      </c>
      <c r="I1608" s="84">
        <v>44319.0</v>
      </c>
      <c r="J1608" s="65" t="b">
        <v>1</v>
      </c>
      <c r="K1608" s="65"/>
      <c r="L1608" s="85" t="b">
        <f>IF(VLOOKUP(C1608,Projetos!A:L,12,false)=TRUE,TRUE,FALSE)</f>
        <v>1</v>
      </c>
      <c r="M1608" s="74">
        <v>73.7079846079846</v>
      </c>
      <c r="N1608" s="74">
        <f t="shared" si="1"/>
        <v>272.719543</v>
      </c>
      <c r="O1608" s="74" t="b">
        <v>1</v>
      </c>
    </row>
    <row r="1609" hidden="1">
      <c r="A1609" s="82"/>
      <c r="B1609" s="65" t="s">
        <v>495</v>
      </c>
      <c r="C1609" s="65" t="s">
        <v>92</v>
      </c>
      <c r="D1609" s="65" t="str">
        <f>vlookup(C1609,'Classificação p pessoal'!F:G,2,false)</f>
        <v/>
      </c>
      <c r="E1609" s="65" t="s">
        <v>834</v>
      </c>
      <c r="F1609" s="83">
        <v>0.34375</v>
      </c>
      <c r="G1609" s="83">
        <v>0.4583333333333333</v>
      </c>
      <c r="H1609" s="83">
        <v>0.11458333333333333</v>
      </c>
      <c r="I1609" s="84">
        <v>44320.0</v>
      </c>
      <c r="J1609" s="65" t="b">
        <v>1</v>
      </c>
      <c r="K1609" s="65"/>
      <c r="L1609" s="85" t="b">
        <f>IF(VLOOKUP(C1609,Projetos!A:L,12,false)=TRUE,TRUE,FALSE)</f>
        <v>1</v>
      </c>
      <c r="M1609" s="74">
        <v>73.7079846079846</v>
      </c>
      <c r="N1609" s="74">
        <f t="shared" si="1"/>
        <v>202.6969577</v>
      </c>
      <c r="O1609" s="74" t="b">
        <v>1</v>
      </c>
    </row>
    <row r="1610" hidden="1">
      <c r="A1610" s="82"/>
      <c r="B1610" s="65" t="s">
        <v>495</v>
      </c>
      <c r="C1610" s="65" t="s">
        <v>92</v>
      </c>
      <c r="D1610" s="65" t="str">
        <f>vlookup(C1610,'Classificação p pessoal'!F:G,2,false)</f>
        <v/>
      </c>
      <c r="E1610" s="65" t="s">
        <v>965</v>
      </c>
      <c r="F1610" s="83">
        <v>0.4583333333333333</v>
      </c>
      <c r="G1610" s="83">
        <v>0.5548611111111111</v>
      </c>
      <c r="H1610" s="83">
        <v>0.09652777777777778</v>
      </c>
      <c r="I1610" s="84">
        <v>44320.0</v>
      </c>
      <c r="J1610" s="65" t="b">
        <v>1</v>
      </c>
      <c r="K1610" s="65"/>
      <c r="L1610" s="85" t="b">
        <f>IF(VLOOKUP(C1610,Projetos!A:L,12,false)=TRUE,TRUE,FALSE)</f>
        <v>1</v>
      </c>
      <c r="M1610" s="74">
        <v>73.7079846079846</v>
      </c>
      <c r="N1610" s="74">
        <f t="shared" si="1"/>
        <v>170.756831</v>
      </c>
      <c r="O1610" s="74" t="b">
        <v>1</v>
      </c>
    </row>
    <row r="1611" hidden="1">
      <c r="A1611" s="82"/>
      <c r="B1611" s="65" t="s">
        <v>495</v>
      </c>
      <c r="C1611" s="65" t="s">
        <v>92</v>
      </c>
      <c r="D1611" s="65" t="str">
        <f>vlookup(C1611,'Classificação p pessoal'!F:G,2,false)</f>
        <v/>
      </c>
      <c r="E1611" s="65" t="s">
        <v>966</v>
      </c>
      <c r="F1611" s="83">
        <v>0.5979166666666667</v>
      </c>
      <c r="G1611" s="83">
        <v>0.75</v>
      </c>
      <c r="H1611" s="83">
        <v>0.15208333333333332</v>
      </c>
      <c r="I1611" s="84">
        <v>44320.0</v>
      </c>
      <c r="J1611" s="65" t="b">
        <v>1</v>
      </c>
      <c r="K1611" s="65"/>
      <c r="L1611" s="85" t="b">
        <f>IF(VLOOKUP(C1611,Projetos!A:L,12,false)=TRUE,TRUE,FALSE)</f>
        <v>1</v>
      </c>
      <c r="M1611" s="74">
        <v>73.7079846079846</v>
      </c>
      <c r="N1611" s="74">
        <f t="shared" si="1"/>
        <v>269.0341438</v>
      </c>
      <c r="O1611" s="74" t="b">
        <v>1</v>
      </c>
    </row>
    <row r="1612" hidden="1">
      <c r="A1612" s="82"/>
      <c r="B1612" s="65" t="s">
        <v>495</v>
      </c>
      <c r="C1612" s="65" t="s">
        <v>92</v>
      </c>
      <c r="D1612" s="65" t="str">
        <f>vlookup(C1612,'Classificação p pessoal'!F:G,2,false)</f>
        <v/>
      </c>
      <c r="E1612" s="65" t="s">
        <v>967</v>
      </c>
      <c r="F1612" s="83">
        <v>0.34375</v>
      </c>
      <c r="G1612" s="83">
        <v>0.3958333333333333</v>
      </c>
      <c r="H1612" s="83">
        <v>0.052083333333333336</v>
      </c>
      <c r="I1612" s="84">
        <v>44322.0</v>
      </c>
      <c r="J1612" s="65" t="b">
        <v>1</v>
      </c>
      <c r="K1612" s="65"/>
      <c r="L1612" s="85" t="b">
        <f>IF(VLOOKUP(C1612,Projetos!A:L,12,false)=TRUE,TRUE,FALSE)</f>
        <v>1</v>
      </c>
      <c r="M1612" s="74">
        <v>73.7079846079846</v>
      </c>
      <c r="N1612" s="74">
        <f t="shared" si="1"/>
        <v>92.13498076</v>
      </c>
      <c r="O1612" s="74" t="b">
        <v>1</v>
      </c>
    </row>
    <row r="1613" hidden="1">
      <c r="A1613" s="82"/>
      <c r="B1613" s="65" t="s">
        <v>495</v>
      </c>
      <c r="C1613" s="65" t="s">
        <v>92</v>
      </c>
      <c r="D1613" s="65" t="str">
        <f>vlookup(C1613,'Classificação p pessoal'!F:G,2,false)</f>
        <v/>
      </c>
      <c r="E1613" s="65" t="s">
        <v>965</v>
      </c>
      <c r="F1613" s="83">
        <v>0.3958333333333333</v>
      </c>
      <c r="G1613" s="83">
        <v>0.5416666666666666</v>
      </c>
      <c r="H1613" s="83">
        <v>0.14583333333333334</v>
      </c>
      <c r="I1613" s="84">
        <v>44322.0</v>
      </c>
      <c r="J1613" s="65" t="b">
        <v>1</v>
      </c>
      <c r="K1613" s="65"/>
      <c r="L1613" s="85" t="b">
        <f>IF(VLOOKUP(C1613,Projetos!A:L,12,false)=TRUE,TRUE,FALSE)</f>
        <v>1</v>
      </c>
      <c r="M1613" s="74">
        <v>73.7079846079846</v>
      </c>
      <c r="N1613" s="74">
        <f t="shared" si="1"/>
        <v>257.9779461</v>
      </c>
      <c r="O1613" s="74" t="b">
        <v>1</v>
      </c>
    </row>
    <row r="1614" hidden="1">
      <c r="A1614" s="82"/>
      <c r="B1614" s="65" t="s">
        <v>495</v>
      </c>
      <c r="C1614" s="65" t="s">
        <v>92</v>
      </c>
      <c r="D1614" s="65" t="str">
        <f>vlookup(C1614,'Classificação p pessoal'!F:G,2,false)</f>
        <v/>
      </c>
      <c r="E1614" s="65" t="s">
        <v>968</v>
      </c>
      <c r="F1614" s="83">
        <v>0.5833333333333334</v>
      </c>
      <c r="G1614" s="83">
        <v>0.6666666666666666</v>
      </c>
      <c r="H1614" s="83">
        <v>0.08333333333333333</v>
      </c>
      <c r="I1614" s="84">
        <v>44322.0</v>
      </c>
      <c r="J1614" s="65" t="b">
        <v>1</v>
      </c>
      <c r="K1614" s="65"/>
      <c r="L1614" s="85" t="b">
        <f>IF(VLOOKUP(C1614,Projetos!A:L,12,false)=TRUE,TRUE,FALSE)</f>
        <v>1</v>
      </c>
      <c r="M1614" s="74">
        <v>73.7079846079846</v>
      </c>
      <c r="N1614" s="74">
        <f t="shared" si="1"/>
        <v>147.4159692</v>
      </c>
      <c r="O1614" s="74" t="b">
        <v>1</v>
      </c>
    </row>
    <row r="1615" hidden="1">
      <c r="A1615" s="82"/>
      <c r="B1615" s="65" t="s">
        <v>411</v>
      </c>
      <c r="C1615" s="65" t="s">
        <v>117</v>
      </c>
      <c r="D1615" s="65"/>
      <c r="E1615" s="65" t="s">
        <v>969</v>
      </c>
      <c r="F1615" s="83">
        <v>0.4375</v>
      </c>
      <c r="G1615" s="83">
        <v>0.5833333333333334</v>
      </c>
      <c r="H1615" s="83">
        <v>0.14583333333333334</v>
      </c>
      <c r="I1615" s="84">
        <v>44260.0</v>
      </c>
      <c r="J1615" s="65" t="b">
        <v>0</v>
      </c>
      <c r="K1615" s="65"/>
      <c r="L1615" s="85" t="b">
        <f>IF(VLOOKUP(C1615,Projetos!A:L,12,false)=TRUE,TRUE,FALSE)</f>
        <v>1</v>
      </c>
      <c r="M1615" s="74">
        <v>52.48434411075036</v>
      </c>
      <c r="N1615" s="74">
        <f t="shared" si="1"/>
        <v>0</v>
      </c>
      <c r="O1615" s="74" t="b">
        <v>1</v>
      </c>
    </row>
    <row r="1616" hidden="1">
      <c r="A1616" s="82"/>
      <c r="B1616" s="65" t="s">
        <v>495</v>
      </c>
      <c r="C1616" s="65" t="s">
        <v>117</v>
      </c>
      <c r="D1616" s="65" t="str">
        <f>vlookup(C1616,'Classificação p pessoal'!F:G,2,false)</f>
        <v>NP</v>
      </c>
      <c r="E1616" s="65" t="s">
        <v>970</v>
      </c>
      <c r="F1616" s="83">
        <v>0.34375</v>
      </c>
      <c r="G1616" s="83">
        <v>0.4166666666666667</v>
      </c>
      <c r="H1616" s="83">
        <v>0.07291666666666667</v>
      </c>
      <c r="I1616" s="84">
        <v>44323.0</v>
      </c>
      <c r="J1616" s="65" t="b">
        <v>1</v>
      </c>
      <c r="K1616" s="65"/>
      <c r="L1616" s="85" t="b">
        <f>IF(VLOOKUP(C1616,Projetos!A:L,12,false)=TRUE,TRUE,FALSE)</f>
        <v>1</v>
      </c>
      <c r="M1616" s="74">
        <v>73.7079846079846</v>
      </c>
      <c r="N1616" s="74">
        <f t="shared" si="1"/>
        <v>128.9889731</v>
      </c>
      <c r="O1616" s="74" t="b">
        <v>1</v>
      </c>
    </row>
    <row r="1617" hidden="1">
      <c r="A1617" s="82"/>
      <c r="B1617" s="65" t="s">
        <v>495</v>
      </c>
      <c r="C1617" s="65" t="s">
        <v>92</v>
      </c>
      <c r="D1617" s="65" t="str">
        <f>vlookup(C1617,'Classificação p pessoal'!F:G,2,false)</f>
        <v/>
      </c>
      <c r="E1617" s="65" t="s">
        <v>971</v>
      </c>
      <c r="F1617" s="83">
        <v>0.4166666666666667</v>
      </c>
      <c r="G1617" s="83">
        <v>0.5555555555555556</v>
      </c>
      <c r="H1617" s="83">
        <v>0.1388888888888889</v>
      </c>
      <c r="I1617" s="84">
        <v>44323.0</v>
      </c>
      <c r="J1617" s="65" t="b">
        <v>1</v>
      </c>
      <c r="K1617" s="65"/>
      <c r="L1617" s="85" t="b">
        <f>IF(VLOOKUP(C1617,Projetos!A:L,12,false)=TRUE,TRUE,FALSE)</f>
        <v>1</v>
      </c>
      <c r="M1617" s="74">
        <v>73.7079846079846</v>
      </c>
      <c r="N1617" s="74">
        <f t="shared" si="1"/>
        <v>245.693282</v>
      </c>
      <c r="O1617" s="74" t="b">
        <v>1</v>
      </c>
    </row>
    <row r="1618" hidden="1">
      <c r="A1618" s="82"/>
      <c r="B1618" s="65" t="s">
        <v>495</v>
      </c>
      <c r="C1618" s="65" t="s">
        <v>100</v>
      </c>
      <c r="D1618" s="65" t="str">
        <f>vlookup(C1618,'Classificação p pessoal'!F:G,2,false)</f>
        <v>NP</v>
      </c>
      <c r="E1618" s="65" t="s">
        <v>972</v>
      </c>
      <c r="F1618" s="83">
        <v>0.5972222222222222</v>
      </c>
      <c r="G1618" s="83">
        <v>0.6666666666666666</v>
      </c>
      <c r="H1618" s="83">
        <v>0.06944444444444445</v>
      </c>
      <c r="I1618" s="84">
        <v>44323.0</v>
      </c>
      <c r="J1618" s="65" t="b">
        <v>1</v>
      </c>
      <c r="K1618" s="65"/>
      <c r="L1618" s="85" t="b">
        <f>IF(VLOOKUP(C1618,Projetos!A:L,12,false)=TRUE,TRUE,FALSE)</f>
        <v>1</v>
      </c>
      <c r="M1618" s="74">
        <v>73.7079846079846</v>
      </c>
      <c r="N1618" s="74">
        <f t="shared" si="1"/>
        <v>122.846641</v>
      </c>
      <c r="O1618" s="74" t="b">
        <v>1</v>
      </c>
    </row>
    <row r="1619" hidden="1">
      <c r="A1619" s="82"/>
      <c r="B1619" s="65" t="s">
        <v>495</v>
      </c>
      <c r="C1619" s="65" t="s">
        <v>92</v>
      </c>
      <c r="D1619" s="65" t="str">
        <f>vlookup(C1619,'Classificação p pessoal'!F:G,2,false)</f>
        <v/>
      </c>
      <c r="E1619" s="65" t="s">
        <v>973</v>
      </c>
      <c r="F1619" s="83">
        <v>0.7083333333333334</v>
      </c>
      <c r="G1619" s="83">
        <v>0.75</v>
      </c>
      <c r="H1619" s="83">
        <v>0.041666666666666664</v>
      </c>
      <c r="I1619" s="84">
        <v>44323.0</v>
      </c>
      <c r="J1619" s="65" t="b">
        <v>1</v>
      </c>
      <c r="K1619" s="65"/>
      <c r="L1619" s="85" t="b">
        <f>IF(VLOOKUP(C1619,Projetos!A:L,12,false)=TRUE,TRUE,FALSE)</f>
        <v>1</v>
      </c>
      <c r="M1619" s="74">
        <v>73.7079846079846</v>
      </c>
      <c r="N1619" s="74">
        <f t="shared" si="1"/>
        <v>73.70798461</v>
      </c>
      <c r="O1619" s="74" t="b">
        <v>1</v>
      </c>
    </row>
    <row r="1620" hidden="1">
      <c r="A1620" s="82"/>
      <c r="B1620" s="65" t="s">
        <v>495</v>
      </c>
      <c r="C1620" s="65" t="s">
        <v>117</v>
      </c>
      <c r="D1620" s="65" t="str">
        <f>vlookup(C1620,'Classificação p pessoal'!F:G,2,false)</f>
        <v>NP</v>
      </c>
      <c r="E1620" s="65" t="s">
        <v>967</v>
      </c>
      <c r="F1620" s="83">
        <v>0.3472222222222222</v>
      </c>
      <c r="G1620" s="83">
        <v>0.3611111111111111</v>
      </c>
      <c r="H1620" s="83">
        <v>0.013888888888888888</v>
      </c>
      <c r="I1620" s="84">
        <v>44326.0</v>
      </c>
      <c r="J1620" s="65" t="b">
        <v>1</v>
      </c>
      <c r="K1620" s="65"/>
      <c r="L1620" s="85" t="b">
        <f>IF(VLOOKUP(C1620,Projetos!A:L,12,false)=TRUE,TRUE,FALSE)</f>
        <v>1</v>
      </c>
      <c r="M1620" s="74">
        <v>73.7079846079846</v>
      </c>
      <c r="N1620" s="74">
        <f t="shared" si="1"/>
        <v>24.5693282</v>
      </c>
      <c r="O1620" s="74" t="b">
        <v>1</v>
      </c>
    </row>
    <row r="1621" hidden="1">
      <c r="A1621" s="82"/>
      <c r="B1621" s="65" t="s">
        <v>495</v>
      </c>
      <c r="C1621" s="65" t="s">
        <v>92</v>
      </c>
      <c r="D1621" s="65" t="str">
        <f>vlookup(C1621,'Classificação p pessoal'!F:G,2,false)</f>
        <v/>
      </c>
      <c r="E1621" s="65" t="s">
        <v>967</v>
      </c>
      <c r="F1621" s="83">
        <v>0.3611111111111111</v>
      </c>
      <c r="G1621" s="83">
        <v>0.3854166666666667</v>
      </c>
      <c r="H1621" s="83">
        <v>0.024305555555555556</v>
      </c>
      <c r="I1621" s="84">
        <v>44326.0</v>
      </c>
      <c r="J1621" s="65" t="b">
        <v>1</v>
      </c>
      <c r="K1621" s="65"/>
      <c r="L1621" s="85" t="b">
        <f>IF(VLOOKUP(C1621,Projetos!A:L,12,false)=TRUE,TRUE,FALSE)</f>
        <v>1</v>
      </c>
      <c r="M1621" s="74">
        <v>73.7079846079846</v>
      </c>
      <c r="N1621" s="74">
        <f t="shared" si="1"/>
        <v>42.99632435</v>
      </c>
      <c r="O1621" s="74" t="b">
        <v>1</v>
      </c>
    </row>
    <row r="1622" hidden="1">
      <c r="A1622" s="82"/>
      <c r="B1622" s="65" t="s">
        <v>495</v>
      </c>
      <c r="C1622" s="65" t="s">
        <v>117</v>
      </c>
      <c r="D1622" s="65" t="str">
        <f>vlookup(C1622,'Classificação p pessoal'!F:G,2,false)</f>
        <v>NP</v>
      </c>
      <c r="E1622" s="65" t="s">
        <v>974</v>
      </c>
      <c r="F1622" s="83">
        <v>0.3854166666666667</v>
      </c>
      <c r="G1622" s="83">
        <v>0.5</v>
      </c>
      <c r="H1622" s="83">
        <v>0.11458333333333333</v>
      </c>
      <c r="I1622" s="84">
        <v>44326.0</v>
      </c>
      <c r="J1622" s="65" t="b">
        <v>1</v>
      </c>
      <c r="K1622" s="65"/>
      <c r="L1622" s="85" t="b">
        <f>IF(VLOOKUP(C1622,Projetos!A:L,12,false)=TRUE,TRUE,FALSE)</f>
        <v>1</v>
      </c>
      <c r="M1622" s="74">
        <v>73.7079846079846</v>
      </c>
      <c r="N1622" s="74">
        <f t="shared" si="1"/>
        <v>202.6969577</v>
      </c>
      <c r="O1622" s="74" t="b">
        <v>1</v>
      </c>
    </row>
    <row r="1623" hidden="1">
      <c r="A1623" s="82"/>
      <c r="B1623" s="65" t="s">
        <v>495</v>
      </c>
      <c r="C1623" s="65" t="s">
        <v>117</v>
      </c>
      <c r="D1623" s="65" t="str">
        <f>vlookup(C1623,'Classificação p pessoal'!F:G,2,false)</f>
        <v>NP</v>
      </c>
      <c r="E1623" s="65" t="s">
        <v>975</v>
      </c>
      <c r="F1623" s="83">
        <v>0.5</v>
      </c>
      <c r="G1623" s="83">
        <v>0.5208333333333334</v>
      </c>
      <c r="H1623" s="83">
        <v>0.020833333333333332</v>
      </c>
      <c r="I1623" s="84">
        <v>44326.0</v>
      </c>
      <c r="J1623" s="65" t="b">
        <v>1</v>
      </c>
      <c r="K1623" s="65"/>
      <c r="L1623" s="85" t="b">
        <f>IF(VLOOKUP(C1623,Projetos!A:L,12,false)=TRUE,TRUE,FALSE)</f>
        <v>1</v>
      </c>
      <c r="M1623" s="74">
        <v>73.7079846079846</v>
      </c>
      <c r="N1623" s="74">
        <f t="shared" si="1"/>
        <v>36.8539923</v>
      </c>
      <c r="O1623" s="74" t="b">
        <v>1</v>
      </c>
    </row>
    <row r="1624" hidden="1">
      <c r="A1624" s="82"/>
      <c r="B1624" s="65" t="s">
        <v>495</v>
      </c>
      <c r="C1624" s="65" t="s">
        <v>92</v>
      </c>
      <c r="D1624" s="65" t="str">
        <f>vlookup(C1624,'Classificação p pessoal'!F:G,2,false)</f>
        <v/>
      </c>
      <c r="E1624" s="65" t="s">
        <v>975</v>
      </c>
      <c r="F1624" s="83">
        <v>0.5208333333333334</v>
      </c>
      <c r="G1624" s="83">
        <v>0.5625</v>
      </c>
      <c r="H1624" s="83">
        <v>0.041666666666666664</v>
      </c>
      <c r="I1624" s="84">
        <v>44326.0</v>
      </c>
      <c r="J1624" s="65" t="b">
        <v>1</v>
      </c>
      <c r="K1624" s="65"/>
      <c r="L1624" s="85" t="b">
        <f>IF(VLOOKUP(C1624,Projetos!A:L,12,false)=TRUE,TRUE,FALSE)</f>
        <v>1</v>
      </c>
      <c r="M1624" s="74">
        <v>73.7079846079846</v>
      </c>
      <c r="N1624" s="74">
        <f t="shared" si="1"/>
        <v>73.70798461</v>
      </c>
      <c r="O1624" s="74" t="b">
        <v>1</v>
      </c>
    </row>
    <row r="1625" hidden="1">
      <c r="A1625" s="82"/>
      <c r="B1625" s="65" t="s">
        <v>495</v>
      </c>
      <c r="C1625" s="65" t="s">
        <v>92</v>
      </c>
      <c r="D1625" s="65" t="str">
        <f>vlookup(C1625,'Classificação p pessoal'!F:G,2,false)</f>
        <v/>
      </c>
      <c r="E1625" s="65" t="s">
        <v>976</v>
      </c>
      <c r="F1625" s="83">
        <v>0.6041666666666666</v>
      </c>
      <c r="G1625" s="83">
        <v>0.75</v>
      </c>
      <c r="H1625" s="83">
        <v>0.14583333333333334</v>
      </c>
      <c r="I1625" s="84">
        <v>44326.0</v>
      </c>
      <c r="J1625" s="65" t="b">
        <v>1</v>
      </c>
      <c r="K1625" s="65"/>
      <c r="L1625" s="85" t="b">
        <f>IF(VLOOKUP(C1625,Projetos!A:L,12,false)=TRUE,TRUE,FALSE)</f>
        <v>1</v>
      </c>
      <c r="M1625" s="74">
        <v>73.7079846079846</v>
      </c>
      <c r="N1625" s="74">
        <f t="shared" si="1"/>
        <v>257.9779461</v>
      </c>
      <c r="O1625" s="74" t="b">
        <v>1</v>
      </c>
    </row>
    <row r="1626" hidden="1">
      <c r="A1626" s="82"/>
      <c r="B1626" s="65" t="s">
        <v>495</v>
      </c>
      <c r="C1626" s="65" t="s">
        <v>92</v>
      </c>
      <c r="D1626" s="65" t="str">
        <f>vlookup(C1626,'Classificação p pessoal'!F:G,2,false)</f>
        <v/>
      </c>
      <c r="E1626" s="65" t="s">
        <v>967</v>
      </c>
      <c r="F1626" s="83">
        <v>0.3506944444444444</v>
      </c>
      <c r="G1626" s="83">
        <v>0.375</v>
      </c>
      <c r="H1626" s="83">
        <v>0.024305555555555556</v>
      </c>
      <c r="I1626" s="84">
        <v>44327.0</v>
      </c>
      <c r="J1626" s="65" t="b">
        <v>1</v>
      </c>
      <c r="K1626" s="65"/>
      <c r="L1626" s="85" t="b">
        <f>IF(VLOOKUP(C1626,Projetos!A:L,12,false)=TRUE,TRUE,FALSE)</f>
        <v>1</v>
      </c>
      <c r="M1626" s="74">
        <v>73.7079846079846</v>
      </c>
      <c r="N1626" s="74">
        <f t="shared" si="1"/>
        <v>42.99632435</v>
      </c>
      <c r="O1626" s="74" t="b">
        <v>1</v>
      </c>
    </row>
    <row r="1627" hidden="1">
      <c r="A1627" s="82"/>
      <c r="B1627" s="65" t="s">
        <v>495</v>
      </c>
      <c r="C1627" s="65" t="s">
        <v>92</v>
      </c>
      <c r="D1627" s="65" t="str">
        <f>vlookup(C1627,'Classificação p pessoal'!F:G,2,false)</f>
        <v/>
      </c>
      <c r="E1627" s="65" t="s">
        <v>976</v>
      </c>
      <c r="F1627" s="83">
        <v>0.375</v>
      </c>
      <c r="G1627" s="83">
        <v>0.5416666666666666</v>
      </c>
      <c r="H1627" s="83">
        <v>0.16666666666666666</v>
      </c>
      <c r="I1627" s="84">
        <v>44327.0</v>
      </c>
      <c r="J1627" s="65" t="b">
        <v>1</v>
      </c>
      <c r="K1627" s="65"/>
      <c r="L1627" s="85" t="b">
        <f>IF(VLOOKUP(C1627,Projetos!A:L,12,false)=TRUE,TRUE,FALSE)</f>
        <v>1</v>
      </c>
      <c r="M1627" s="74">
        <v>73.7079846079846</v>
      </c>
      <c r="N1627" s="74">
        <f t="shared" si="1"/>
        <v>294.8319384</v>
      </c>
      <c r="O1627" s="74" t="b">
        <v>1</v>
      </c>
    </row>
    <row r="1628" hidden="1">
      <c r="A1628" s="82"/>
      <c r="B1628" s="65" t="s">
        <v>495</v>
      </c>
      <c r="C1628" s="65" t="s">
        <v>117</v>
      </c>
      <c r="D1628" s="65" t="str">
        <f>vlookup(C1628,'Classificação p pessoal'!F:G,2,false)</f>
        <v>NP</v>
      </c>
      <c r="E1628" s="65" t="s">
        <v>977</v>
      </c>
      <c r="F1628" s="83">
        <v>0.5416666666666666</v>
      </c>
      <c r="G1628" s="83">
        <v>0.575</v>
      </c>
      <c r="H1628" s="83">
        <v>0.03333333333333333</v>
      </c>
      <c r="I1628" s="84">
        <v>44327.0</v>
      </c>
      <c r="J1628" s="65" t="b">
        <v>1</v>
      </c>
      <c r="K1628" s="65"/>
      <c r="L1628" s="85" t="b">
        <f>IF(VLOOKUP(C1628,Projetos!A:L,12,false)=TRUE,TRUE,FALSE)</f>
        <v>1</v>
      </c>
      <c r="M1628" s="74">
        <v>73.7079846079846</v>
      </c>
      <c r="N1628" s="74">
        <f t="shared" si="1"/>
        <v>58.96638769</v>
      </c>
      <c r="O1628" s="74" t="b">
        <v>1</v>
      </c>
    </row>
    <row r="1629" hidden="1">
      <c r="A1629" s="82"/>
      <c r="B1629" s="65" t="s">
        <v>495</v>
      </c>
      <c r="C1629" s="65" t="s">
        <v>117</v>
      </c>
      <c r="D1629" s="65" t="str">
        <f>vlookup(C1629,'Classificação p pessoal'!F:G,2,false)</f>
        <v>NP</v>
      </c>
      <c r="E1629" s="65" t="s">
        <v>860</v>
      </c>
      <c r="F1629" s="83">
        <v>0.6166666666666667</v>
      </c>
      <c r="G1629" s="83">
        <v>0.75</v>
      </c>
      <c r="H1629" s="83">
        <v>0.13333333333333333</v>
      </c>
      <c r="I1629" s="84">
        <v>44327.0</v>
      </c>
      <c r="J1629" s="65" t="b">
        <v>1</v>
      </c>
      <c r="K1629" s="65"/>
      <c r="L1629" s="85" t="b">
        <f>IF(VLOOKUP(C1629,Projetos!A:L,12,false)=TRUE,TRUE,FALSE)</f>
        <v>1</v>
      </c>
      <c r="M1629" s="74">
        <v>73.7079846079846</v>
      </c>
      <c r="N1629" s="74">
        <f t="shared" si="1"/>
        <v>235.8655507</v>
      </c>
      <c r="O1629" s="74" t="b">
        <v>1</v>
      </c>
    </row>
    <row r="1630" hidden="1">
      <c r="A1630" s="82"/>
      <c r="B1630" s="65" t="s">
        <v>177</v>
      </c>
      <c r="C1630" s="65" t="s">
        <v>101</v>
      </c>
      <c r="D1630" s="65" t="str">
        <f>vlookup(C1630,'Classificação p pessoal'!F:G,2,false)</f>
        <v>NP</v>
      </c>
      <c r="E1630" s="65" t="s">
        <v>978</v>
      </c>
      <c r="F1630" s="83">
        <v>0.7083333333333334</v>
      </c>
      <c r="G1630" s="83">
        <v>0.75</v>
      </c>
      <c r="H1630" s="83">
        <v>0.041666666666666664</v>
      </c>
      <c r="I1630" s="84">
        <v>44463.0</v>
      </c>
      <c r="J1630" s="65" t="b">
        <v>1</v>
      </c>
      <c r="K1630" s="65"/>
      <c r="L1630" s="85" t="b">
        <f>IF(VLOOKUP(C1630,Projetos!A:L,12,false)=TRUE,TRUE,FALSE)</f>
        <v>1</v>
      </c>
      <c r="M1630" s="74">
        <v>31.02923620430495</v>
      </c>
      <c r="N1630" s="74">
        <f t="shared" si="1"/>
        <v>31.0292362</v>
      </c>
      <c r="O1630" s="74" t="b">
        <v>1</v>
      </c>
    </row>
    <row r="1631" hidden="1">
      <c r="A1631" s="82"/>
      <c r="B1631" s="65" t="s">
        <v>495</v>
      </c>
      <c r="C1631" s="65" t="s">
        <v>92</v>
      </c>
      <c r="D1631" s="65" t="str">
        <f>vlookup(C1631,'Classificação p pessoal'!F:G,2,false)</f>
        <v/>
      </c>
      <c r="E1631" s="65" t="s">
        <v>979</v>
      </c>
      <c r="F1631" s="83">
        <v>0.375</v>
      </c>
      <c r="G1631" s="83">
        <v>0.4340277777777778</v>
      </c>
      <c r="H1631" s="83">
        <v>0.059027777777777776</v>
      </c>
      <c r="I1631" s="84">
        <v>44328.0</v>
      </c>
      <c r="J1631" s="65" t="b">
        <v>1</v>
      </c>
      <c r="K1631" s="65"/>
      <c r="L1631" s="85" t="b">
        <f>IF(VLOOKUP(C1631,Projetos!A:L,12,false)=TRUE,TRUE,FALSE)</f>
        <v>1</v>
      </c>
      <c r="M1631" s="74">
        <v>73.7079846079846</v>
      </c>
      <c r="N1631" s="74">
        <f t="shared" si="1"/>
        <v>104.4196449</v>
      </c>
      <c r="O1631" s="74" t="b">
        <v>1</v>
      </c>
    </row>
    <row r="1632" hidden="1">
      <c r="A1632" s="82"/>
      <c r="B1632" s="65" t="s">
        <v>495</v>
      </c>
      <c r="C1632" s="65" t="s">
        <v>84</v>
      </c>
      <c r="D1632" s="65"/>
      <c r="E1632" s="65" t="s">
        <v>980</v>
      </c>
      <c r="F1632" s="83">
        <v>0.4375</v>
      </c>
      <c r="G1632" s="83">
        <v>0.5416666666666666</v>
      </c>
      <c r="H1632" s="83">
        <v>0.10416666666666667</v>
      </c>
      <c r="I1632" s="84">
        <v>44328.0</v>
      </c>
      <c r="J1632" s="65" t="b">
        <v>0</v>
      </c>
      <c r="K1632" s="65"/>
      <c r="L1632" s="85" t="b">
        <f>IF(VLOOKUP(C1632,Projetos!A:L,12,false)=TRUE,TRUE,FALSE)</f>
        <v>0</v>
      </c>
      <c r="M1632" s="74">
        <v>73.7079846079846</v>
      </c>
      <c r="N1632" s="74">
        <f t="shared" si="1"/>
        <v>0</v>
      </c>
      <c r="O1632" s="74" t="b">
        <v>0</v>
      </c>
    </row>
    <row r="1633" hidden="1">
      <c r="A1633" s="82"/>
      <c r="B1633" s="65" t="s">
        <v>495</v>
      </c>
      <c r="C1633" s="65" t="s">
        <v>92</v>
      </c>
      <c r="D1633" s="65" t="str">
        <f>vlookup(C1633,'Classificação p pessoal'!F:G,2,false)</f>
        <v/>
      </c>
      <c r="E1633" s="65" t="s">
        <v>981</v>
      </c>
      <c r="F1633" s="83">
        <v>0.5833333333333334</v>
      </c>
      <c r="G1633" s="83">
        <v>0.6111111111111112</v>
      </c>
      <c r="H1633" s="83">
        <v>0.027777777777777776</v>
      </c>
      <c r="I1633" s="84">
        <v>44328.0</v>
      </c>
      <c r="J1633" s="65" t="b">
        <v>1</v>
      </c>
      <c r="K1633" s="65"/>
      <c r="L1633" s="85" t="b">
        <f>IF(VLOOKUP(C1633,Projetos!A:L,12,false)=TRUE,TRUE,FALSE)</f>
        <v>1</v>
      </c>
      <c r="M1633" s="74">
        <v>73.7079846079846</v>
      </c>
      <c r="N1633" s="74">
        <f t="shared" si="1"/>
        <v>49.13865641</v>
      </c>
      <c r="O1633" s="74" t="b">
        <v>1</v>
      </c>
    </row>
    <row r="1634" hidden="1">
      <c r="A1634" s="82"/>
      <c r="B1634" s="65" t="s">
        <v>495</v>
      </c>
      <c r="C1634" s="65" t="s">
        <v>92</v>
      </c>
      <c r="D1634" s="65" t="str">
        <f>vlookup(C1634,'Classificação p pessoal'!F:G,2,false)</f>
        <v/>
      </c>
      <c r="E1634" s="65" t="s">
        <v>965</v>
      </c>
      <c r="F1634" s="83">
        <v>0.625</v>
      </c>
      <c r="G1634" s="83">
        <v>0.75</v>
      </c>
      <c r="H1634" s="83">
        <v>0.125</v>
      </c>
      <c r="I1634" s="84">
        <v>44328.0</v>
      </c>
      <c r="J1634" s="65" t="b">
        <v>1</v>
      </c>
      <c r="K1634" s="65"/>
      <c r="L1634" s="85" t="b">
        <f>IF(VLOOKUP(C1634,Projetos!A:L,12,false)=TRUE,TRUE,FALSE)</f>
        <v>1</v>
      </c>
      <c r="M1634" s="74">
        <v>73.7079846079846</v>
      </c>
      <c r="N1634" s="74">
        <f t="shared" si="1"/>
        <v>221.1239538</v>
      </c>
      <c r="O1634" s="74" t="b">
        <v>1</v>
      </c>
    </row>
    <row r="1635" hidden="1">
      <c r="A1635" s="82"/>
      <c r="B1635" s="65" t="s">
        <v>495</v>
      </c>
      <c r="C1635" s="65" t="s">
        <v>92</v>
      </c>
      <c r="D1635" s="65" t="str">
        <f>vlookup(C1635,'Classificação p pessoal'!F:G,2,false)</f>
        <v/>
      </c>
      <c r="E1635" s="65" t="s">
        <v>965</v>
      </c>
      <c r="F1635" s="83">
        <v>0.3576388888888889</v>
      </c>
      <c r="G1635" s="83">
        <v>0.375</v>
      </c>
      <c r="H1635" s="83">
        <v>0.017361111111111112</v>
      </c>
      <c r="I1635" s="84">
        <v>44329.0</v>
      </c>
      <c r="J1635" s="65" t="b">
        <v>1</v>
      </c>
      <c r="K1635" s="65"/>
      <c r="L1635" s="85" t="b">
        <f>IF(VLOOKUP(C1635,Projetos!A:L,12,false)=TRUE,TRUE,FALSE)</f>
        <v>1</v>
      </c>
      <c r="M1635" s="74">
        <v>73.7079846079846</v>
      </c>
      <c r="N1635" s="74">
        <f t="shared" si="1"/>
        <v>30.71166025</v>
      </c>
      <c r="O1635" s="74" t="b">
        <v>1</v>
      </c>
    </row>
    <row r="1636" hidden="1">
      <c r="A1636" s="82"/>
      <c r="B1636" s="65" t="s">
        <v>495</v>
      </c>
      <c r="C1636" s="65" t="s">
        <v>84</v>
      </c>
      <c r="D1636" s="65"/>
      <c r="E1636" s="65" t="s">
        <v>982</v>
      </c>
      <c r="F1636" s="83">
        <v>0.375</v>
      </c>
      <c r="G1636" s="83">
        <v>0.4270833333333333</v>
      </c>
      <c r="H1636" s="83">
        <v>0.052083333333333336</v>
      </c>
      <c r="I1636" s="84">
        <v>44329.0</v>
      </c>
      <c r="J1636" s="65" t="b">
        <v>0</v>
      </c>
      <c r="K1636" s="65"/>
      <c r="L1636" s="85" t="b">
        <f>IF(VLOOKUP(C1636,Projetos!A:L,12,false)=TRUE,TRUE,FALSE)</f>
        <v>0</v>
      </c>
      <c r="M1636" s="74">
        <v>73.7079846079846</v>
      </c>
      <c r="N1636" s="74">
        <f t="shared" si="1"/>
        <v>0</v>
      </c>
      <c r="O1636" s="74" t="b">
        <v>0</v>
      </c>
    </row>
    <row r="1637" hidden="1">
      <c r="A1637" s="82"/>
      <c r="B1637" s="65" t="s">
        <v>495</v>
      </c>
      <c r="C1637" s="65" t="s">
        <v>92</v>
      </c>
      <c r="D1637" s="65" t="str">
        <f>vlookup(C1637,'Classificação p pessoal'!F:G,2,false)</f>
        <v/>
      </c>
      <c r="E1637" s="65" t="s">
        <v>965</v>
      </c>
      <c r="F1637" s="83">
        <v>0.4270833333333333</v>
      </c>
      <c r="G1637" s="83">
        <v>0.4583333333333333</v>
      </c>
      <c r="H1637" s="83">
        <v>0.03125</v>
      </c>
      <c r="I1637" s="84">
        <v>44329.0</v>
      </c>
      <c r="J1637" s="65" t="b">
        <v>1</v>
      </c>
      <c r="K1637" s="65"/>
      <c r="L1637" s="85" t="b">
        <f>IF(VLOOKUP(C1637,Projetos!A:L,12,false)=TRUE,TRUE,FALSE)</f>
        <v>1</v>
      </c>
      <c r="M1637" s="74">
        <v>73.7079846079846</v>
      </c>
      <c r="N1637" s="74">
        <f t="shared" si="1"/>
        <v>55.28098846</v>
      </c>
      <c r="O1637" s="74" t="b">
        <v>1</v>
      </c>
    </row>
    <row r="1638" hidden="1">
      <c r="A1638" s="82"/>
      <c r="B1638" s="65" t="s">
        <v>495</v>
      </c>
      <c r="C1638" s="65" t="s">
        <v>92</v>
      </c>
      <c r="D1638" s="65"/>
      <c r="E1638" s="65" t="s">
        <v>983</v>
      </c>
      <c r="F1638" s="83">
        <v>0.4583333333333333</v>
      </c>
      <c r="G1638" s="83">
        <v>0.4930555555555556</v>
      </c>
      <c r="H1638" s="83">
        <v>0.034722222222222224</v>
      </c>
      <c r="I1638" s="84">
        <v>44329.0</v>
      </c>
      <c r="J1638" s="65" t="b">
        <v>0</v>
      </c>
      <c r="K1638" s="65" t="s">
        <v>150</v>
      </c>
      <c r="L1638" s="85" t="b">
        <f>IF(VLOOKUP(C1638,Projetos!A:L,12,false)=TRUE,TRUE,FALSE)</f>
        <v>1</v>
      </c>
      <c r="M1638" s="74">
        <v>73.7079846079846</v>
      </c>
      <c r="N1638" s="74">
        <f t="shared" si="1"/>
        <v>0</v>
      </c>
      <c r="O1638" s="74" t="b">
        <v>1</v>
      </c>
    </row>
    <row r="1639" hidden="1">
      <c r="A1639" s="82"/>
      <c r="B1639" s="65" t="s">
        <v>495</v>
      </c>
      <c r="C1639" s="65" t="s">
        <v>92</v>
      </c>
      <c r="D1639" s="65" t="str">
        <f>vlookup(C1639,'Classificação p pessoal'!F:G,2,false)</f>
        <v/>
      </c>
      <c r="E1639" s="65" t="s">
        <v>965</v>
      </c>
      <c r="F1639" s="83">
        <v>0.4930555555555556</v>
      </c>
      <c r="G1639" s="83">
        <v>0.5625</v>
      </c>
      <c r="H1639" s="83">
        <v>0.06944444444444445</v>
      </c>
      <c r="I1639" s="84">
        <v>44329.0</v>
      </c>
      <c r="J1639" s="65" t="b">
        <v>1</v>
      </c>
      <c r="K1639" s="65"/>
      <c r="L1639" s="85" t="b">
        <f>IF(VLOOKUP(C1639,Projetos!A:L,12,false)=TRUE,TRUE,FALSE)</f>
        <v>1</v>
      </c>
      <c r="M1639" s="74">
        <v>73.7079846079846</v>
      </c>
      <c r="N1639" s="74">
        <f t="shared" si="1"/>
        <v>122.846641</v>
      </c>
      <c r="O1639" s="74" t="b">
        <v>1</v>
      </c>
    </row>
    <row r="1640" hidden="1">
      <c r="A1640" s="82"/>
      <c r="B1640" s="65" t="s">
        <v>495</v>
      </c>
      <c r="C1640" s="65" t="s">
        <v>92</v>
      </c>
      <c r="D1640" s="65" t="str">
        <f>vlookup(C1640,'Classificação p pessoal'!F:G,2,false)</f>
        <v/>
      </c>
      <c r="E1640" s="65" t="s">
        <v>834</v>
      </c>
      <c r="F1640" s="83">
        <v>0.6041666666666666</v>
      </c>
      <c r="G1640" s="83">
        <v>0.6458333333333334</v>
      </c>
      <c r="H1640" s="83">
        <v>0.041666666666666664</v>
      </c>
      <c r="I1640" s="84">
        <v>44329.0</v>
      </c>
      <c r="J1640" s="65" t="b">
        <v>1</v>
      </c>
      <c r="K1640" s="65"/>
      <c r="L1640" s="85" t="b">
        <f>IF(VLOOKUP(C1640,Projetos!A:L,12,false)=TRUE,TRUE,FALSE)</f>
        <v>1</v>
      </c>
      <c r="M1640" s="74">
        <v>73.7079846079846</v>
      </c>
      <c r="N1640" s="74">
        <f t="shared" si="1"/>
        <v>73.70798461</v>
      </c>
      <c r="O1640" s="74" t="b">
        <v>1</v>
      </c>
    </row>
    <row r="1641" hidden="1">
      <c r="A1641" s="82"/>
      <c r="B1641" s="65" t="s">
        <v>495</v>
      </c>
      <c r="C1641" s="65" t="s">
        <v>92</v>
      </c>
      <c r="D1641" s="65" t="str">
        <f>vlookup(C1641,'Classificação p pessoal'!F:G,2,false)</f>
        <v/>
      </c>
      <c r="E1641" s="65" t="s">
        <v>984</v>
      </c>
      <c r="F1641" s="83">
        <v>0.6458333333333334</v>
      </c>
      <c r="G1641" s="83">
        <v>0.6875</v>
      </c>
      <c r="H1641" s="83">
        <v>0.041666666666666664</v>
      </c>
      <c r="I1641" s="84">
        <v>44329.0</v>
      </c>
      <c r="J1641" s="65" t="b">
        <v>1</v>
      </c>
      <c r="K1641" s="65"/>
      <c r="L1641" s="85" t="b">
        <f>IF(VLOOKUP(C1641,Projetos!A:L,12,false)=TRUE,TRUE,FALSE)</f>
        <v>1</v>
      </c>
      <c r="M1641" s="74">
        <v>73.7079846079846</v>
      </c>
      <c r="N1641" s="74">
        <f t="shared" si="1"/>
        <v>73.70798461</v>
      </c>
      <c r="O1641" s="74" t="b">
        <v>1</v>
      </c>
    </row>
    <row r="1642" hidden="1">
      <c r="A1642" s="82"/>
      <c r="B1642" s="65" t="s">
        <v>495</v>
      </c>
      <c r="C1642" s="65" t="s">
        <v>92</v>
      </c>
      <c r="D1642" s="65" t="str">
        <f>vlookup(C1642,'Classificação p pessoal'!F:G,2,false)</f>
        <v/>
      </c>
      <c r="E1642" s="65" t="s">
        <v>834</v>
      </c>
      <c r="F1642" s="83">
        <v>0.6875</v>
      </c>
      <c r="G1642" s="83">
        <v>0.75</v>
      </c>
      <c r="H1642" s="83">
        <v>0.0625</v>
      </c>
      <c r="I1642" s="84">
        <v>44329.0</v>
      </c>
      <c r="J1642" s="65" t="b">
        <v>1</v>
      </c>
      <c r="K1642" s="65"/>
      <c r="L1642" s="85" t="b">
        <f>IF(VLOOKUP(C1642,Projetos!A:L,12,false)=TRUE,TRUE,FALSE)</f>
        <v>1</v>
      </c>
      <c r="M1642" s="74">
        <v>73.7079846079846</v>
      </c>
      <c r="N1642" s="74">
        <f t="shared" si="1"/>
        <v>110.5619769</v>
      </c>
      <c r="O1642" s="74" t="b">
        <v>1</v>
      </c>
    </row>
    <row r="1643" hidden="1">
      <c r="A1643" s="82"/>
      <c r="B1643" s="65" t="s">
        <v>495</v>
      </c>
      <c r="C1643" s="65" t="s">
        <v>92</v>
      </c>
      <c r="D1643" s="65" t="str">
        <f>vlookup(C1643,'Classificação p pessoal'!F:G,2,false)</f>
        <v/>
      </c>
      <c r="E1643" s="65" t="s">
        <v>985</v>
      </c>
      <c r="F1643" s="83">
        <v>0.3506944444444444</v>
      </c>
      <c r="G1643" s="83">
        <v>0.3819444444444444</v>
      </c>
      <c r="H1643" s="83">
        <v>0.03125</v>
      </c>
      <c r="I1643" s="84">
        <v>44330.0</v>
      </c>
      <c r="J1643" s="65" t="b">
        <v>1</v>
      </c>
      <c r="K1643" s="65"/>
      <c r="L1643" s="85" t="b">
        <f>IF(VLOOKUP(C1643,Projetos!A:L,12,false)=TRUE,TRUE,FALSE)</f>
        <v>1</v>
      </c>
      <c r="M1643" s="74">
        <v>73.7079846079846</v>
      </c>
      <c r="N1643" s="74">
        <f t="shared" si="1"/>
        <v>55.28098846</v>
      </c>
      <c r="O1643" s="74" t="b">
        <v>1</v>
      </c>
    </row>
    <row r="1644" hidden="1">
      <c r="A1644" s="82"/>
      <c r="B1644" s="65" t="s">
        <v>495</v>
      </c>
      <c r="C1644" s="65" t="s">
        <v>92</v>
      </c>
      <c r="D1644" s="65" t="str">
        <f>vlookup(C1644,'Classificação p pessoal'!F:G,2,false)</f>
        <v/>
      </c>
      <c r="E1644" s="65" t="s">
        <v>986</v>
      </c>
      <c r="F1644" s="83">
        <v>0.3819444444444444</v>
      </c>
      <c r="G1644" s="83">
        <v>0.4375</v>
      </c>
      <c r="H1644" s="83">
        <v>0.05555555555555555</v>
      </c>
      <c r="I1644" s="84">
        <v>44330.0</v>
      </c>
      <c r="J1644" s="65" t="b">
        <v>1</v>
      </c>
      <c r="K1644" s="65"/>
      <c r="L1644" s="85" t="b">
        <f>IF(VLOOKUP(C1644,Projetos!A:L,12,false)=TRUE,TRUE,FALSE)</f>
        <v>1</v>
      </c>
      <c r="M1644" s="74">
        <v>73.7079846079846</v>
      </c>
      <c r="N1644" s="74">
        <f t="shared" si="1"/>
        <v>98.27731281</v>
      </c>
      <c r="O1644" s="74" t="b">
        <v>1</v>
      </c>
    </row>
    <row r="1645" hidden="1">
      <c r="A1645" s="82"/>
      <c r="B1645" s="65" t="s">
        <v>495</v>
      </c>
      <c r="C1645" s="65" t="s">
        <v>92</v>
      </c>
      <c r="D1645" s="65" t="str">
        <f>vlookup(C1645,'Classificação p pessoal'!F:G,2,false)</f>
        <v/>
      </c>
      <c r="E1645" s="65" t="s">
        <v>987</v>
      </c>
      <c r="F1645" s="83">
        <v>0.4375</v>
      </c>
      <c r="G1645" s="83">
        <v>0.5625</v>
      </c>
      <c r="H1645" s="83">
        <v>0.125</v>
      </c>
      <c r="I1645" s="84">
        <v>44330.0</v>
      </c>
      <c r="J1645" s="65" t="b">
        <v>1</v>
      </c>
      <c r="K1645" s="65"/>
      <c r="L1645" s="85" t="b">
        <f>IF(VLOOKUP(C1645,Projetos!A:L,12,false)=TRUE,TRUE,FALSE)</f>
        <v>1</v>
      </c>
      <c r="M1645" s="74">
        <v>73.7079846079846</v>
      </c>
      <c r="N1645" s="74">
        <f t="shared" si="1"/>
        <v>221.1239538</v>
      </c>
      <c r="O1645" s="74" t="b">
        <v>1</v>
      </c>
    </row>
    <row r="1646" hidden="1">
      <c r="A1646" s="82"/>
      <c r="B1646" s="65" t="s">
        <v>495</v>
      </c>
      <c r="C1646" s="65" t="s">
        <v>92</v>
      </c>
      <c r="D1646" s="65" t="str">
        <f>vlookup(C1646,'Classificação p pessoal'!F:G,2,false)</f>
        <v/>
      </c>
      <c r="E1646" s="65" t="s">
        <v>988</v>
      </c>
      <c r="F1646" s="83">
        <v>0.6041666666666666</v>
      </c>
      <c r="G1646" s="83">
        <v>0.75</v>
      </c>
      <c r="H1646" s="83">
        <v>0.14583333333333334</v>
      </c>
      <c r="I1646" s="84">
        <v>44330.0</v>
      </c>
      <c r="J1646" s="65" t="b">
        <v>1</v>
      </c>
      <c r="K1646" s="65"/>
      <c r="L1646" s="85" t="b">
        <f>IF(VLOOKUP(C1646,Projetos!A:L,12,false)=TRUE,TRUE,FALSE)</f>
        <v>1</v>
      </c>
      <c r="M1646" s="74">
        <v>73.7079846079846</v>
      </c>
      <c r="N1646" s="74">
        <f t="shared" si="1"/>
        <v>257.9779461</v>
      </c>
      <c r="O1646" s="74" t="b">
        <v>1</v>
      </c>
    </row>
    <row r="1647" hidden="1">
      <c r="A1647" s="82"/>
      <c r="B1647" s="65" t="s">
        <v>495</v>
      </c>
      <c r="C1647" s="65" t="s">
        <v>92</v>
      </c>
      <c r="D1647" s="65" t="str">
        <f>vlookup(C1647,'Classificação p pessoal'!F:G,2,false)</f>
        <v/>
      </c>
      <c r="E1647" s="65" t="s">
        <v>989</v>
      </c>
      <c r="F1647" s="83">
        <v>0.3541666666666667</v>
      </c>
      <c r="G1647" s="83">
        <v>0.4375</v>
      </c>
      <c r="H1647" s="83">
        <v>0.08333333333333333</v>
      </c>
      <c r="I1647" s="84">
        <v>44333.0</v>
      </c>
      <c r="J1647" s="65" t="b">
        <v>1</v>
      </c>
      <c r="K1647" s="65"/>
      <c r="L1647" s="85" t="b">
        <f>IF(VLOOKUP(C1647,Projetos!A:L,12,false)=TRUE,TRUE,FALSE)</f>
        <v>1</v>
      </c>
      <c r="M1647" s="74">
        <v>73.7079846079846</v>
      </c>
      <c r="N1647" s="74">
        <f t="shared" si="1"/>
        <v>147.4159692</v>
      </c>
      <c r="O1647" s="74" t="b">
        <v>1</v>
      </c>
    </row>
    <row r="1648" hidden="1">
      <c r="A1648" s="82"/>
      <c r="B1648" s="65" t="s">
        <v>495</v>
      </c>
      <c r="C1648" s="65" t="s">
        <v>130</v>
      </c>
      <c r="D1648" s="65" t="str">
        <f>vlookup(C1648,'Classificação p pessoal'!F:G,2,false)</f>
        <v>NP</v>
      </c>
      <c r="E1648" s="65" t="s">
        <v>990</v>
      </c>
      <c r="F1648" s="83">
        <v>0.4375</v>
      </c>
      <c r="G1648" s="83">
        <v>0.4930555555555556</v>
      </c>
      <c r="H1648" s="83">
        <v>0.05555555555555555</v>
      </c>
      <c r="I1648" s="84">
        <v>44333.0</v>
      </c>
      <c r="J1648" s="65" t="b">
        <v>1</v>
      </c>
      <c r="K1648" s="65"/>
      <c r="L1648" s="85" t="b">
        <f>IF(VLOOKUP(C1648,Projetos!A:L,12,false)=TRUE,TRUE,FALSE)</f>
        <v>1</v>
      </c>
      <c r="M1648" s="74">
        <v>73.7079846079846</v>
      </c>
      <c r="N1648" s="74">
        <f t="shared" si="1"/>
        <v>98.27731281</v>
      </c>
      <c r="O1648" s="74" t="b">
        <v>1</v>
      </c>
    </row>
    <row r="1649" hidden="1">
      <c r="A1649" s="82"/>
      <c r="B1649" s="65" t="s">
        <v>495</v>
      </c>
      <c r="C1649" s="65" t="s">
        <v>117</v>
      </c>
      <c r="D1649" s="65" t="str">
        <f>vlookup(C1649,'Classificação p pessoal'!F:G,2,false)</f>
        <v>NP</v>
      </c>
      <c r="E1649" s="65" t="s">
        <v>991</v>
      </c>
      <c r="F1649" s="83">
        <v>0.5208333333333334</v>
      </c>
      <c r="G1649" s="83">
        <v>0.5694444444444444</v>
      </c>
      <c r="H1649" s="83">
        <v>0.04861111111111111</v>
      </c>
      <c r="I1649" s="84">
        <v>44333.0</v>
      </c>
      <c r="J1649" s="65" t="b">
        <v>1</v>
      </c>
      <c r="K1649" s="65"/>
      <c r="L1649" s="85" t="b">
        <f>IF(VLOOKUP(C1649,Projetos!A:L,12,false)=TRUE,TRUE,FALSE)</f>
        <v>1</v>
      </c>
      <c r="M1649" s="74">
        <v>73.7079846079846</v>
      </c>
      <c r="N1649" s="74">
        <f t="shared" si="1"/>
        <v>85.99264871</v>
      </c>
      <c r="O1649" s="74" t="b">
        <v>1</v>
      </c>
    </row>
    <row r="1650" hidden="1">
      <c r="A1650" s="82"/>
      <c r="B1650" s="65" t="s">
        <v>495</v>
      </c>
      <c r="C1650" s="65" t="s">
        <v>117</v>
      </c>
      <c r="D1650" s="65" t="str">
        <f>vlookup(C1650,'Classificação p pessoal'!F:G,2,false)</f>
        <v>NP</v>
      </c>
      <c r="E1650" s="65" t="s">
        <v>991</v>
      </c>
      <c r="F1650" s="83">
        <v>0.6111111111111112</v>
      </c>
      <c r="G1650" s="83">
        <v>0.65625</v>
      </c>
      <c r="H1650" s="83">
        <v>0.04513888888888889</v>
      </c>
      <c r="I1650" s="84">
        <v>44333.0</v>
      </c>
      <c r="J1650" s="65" t="b">
        <v>1</v>
      </c>
      <c r="K1650" s="65"/>
      <c r="L1650" s="85" t="b">
        <f>IF(VLOOKUP(C1650,Projetos!A:L,12,false)=TRUE,TRUE,FALSE)</f>
        <v>1</v>
      </c>
      <c r="M1650" s="74">
        <v>73.7079846079846</v>
      </c>
      <c r="N1650" s="74">
        <f t="shared" si="1"/>
        <v>79.85031666</v>
      </c>
      <c r="O1650" s="74" t="b">
        <v>1</v>
      </c>
    </row>
    <row r="1651" hidden="1">
      <c r="A1651" s="82"/>
      <c r="B1651" s="65" t="s">
        <v>495</v>
      </c>
      <c r="C1651" s="65" t="s">
        <v>92</v>
      </c>
      <c r="D1651" s="65" t="str">
        <f>vlookup(C1651,'Classificação p pessoal'!F:G,2,false)</f>
        <v/>
      </c>
      <c r="E1651" s="65" t="s">
        <v>992</v>
      </c>
      <c r="F1651" s="83">
        <v>0.65625</v>
      </c>
      <c r="G1651" s="83">
        <v>0.7208333333333333</v>
      </c>
      <c r="H1651" s="83">
        <v>0.06458333333333334</v>
      </c>
      <c r="I1651" s="84">
        <v>44333.0</v>
      </c>
      <c r="J1651" s="65" t="b">
        <v>1</v>
      </c>
      <c r="K1651" s="65"/>
      <c r="L1651" s="85" t="b">
        <f>IF(VLOOKUP(C1651,Projetos!A:L,12,false)=TRUE,TRUE,FALSE)</f>
        <v>1</v>
      </c>
      <c r="M1651" s="74">
        <v>73.7079846079846</v>
      </c>
      <c r="N1651" s="74">
        <f t="shared" si="1"/>
        <v>114.2473761</v>
      </c>
      <c r="O1651" s="74" t="b">
        <v>1</v>
      </c>
    </row>
    <row r="1652" hidden="1">
      <c r="A1652" s="82"/>
      <c r="B1652" s="65" t="s">
        <v>495</v>
      </c>
      <c r="C1652" s="65" t="s">
        <v>108</v>
      </c>
      <c r="D1652" s="65" t="str">
        <f>vlookup(C1652,'Classificação p pessoal'!F:G,2,false)</f>
        <v>NP</v>
      </c>
      <c r="E1652" s="65" t="s">
        <v>993</v>
      </c>
      <c r="F1652" s="83">
        <v>0.7208333333333333</v>
      </c>
      <c r="G1652" s="83">
        <v>0.7395833333333334</v>
      </c>
      <c r="H1652" s="83">
        <v>0.01875</v>
      </c>
      <c r="I1652" s="84">
        <v>44333.0</v>
      </c>
      <c r="J1652" s="65" t="b">
        <v>1</v>
      </c>
      <c r="K1652" s="65"/>
      <c r="L1652" s="85" t="b">
        <f>IF(VLOOKUP(C1652,Projetos!A:L,12,false)=TRUE,TRUE,FALSE)</f>
        <v>1</v>
      </c>
      <c r="M1652" s="74">
        <v>73.7079846079846</v>
      </c>
      <c r="N1652" s="74">
        <f t="shared" si="1"/>
        <v>33.16859307</v>
      </c>
      <c r="O1652" s="74" t="b">
        <v>1</v>
      </c>
    </row>
    <row r="1653" hidden="1">
      <c r="A1653" s="82"/>
      <c r="B1653" s="65" t="s">
        <v>469</v>
      </c>
      <c r="C1653" s="65" t="s">
        <v>118</v>
      </c>
      <c r="D1653" s="65"/>
      <c r="E1653" s="65" t="s">
        <v>994</v>
      </c>
      <c r="F1653" s="83">
        <v>0.34375</v>
      </c>
      <c r="G1653" s="83">
        <v>0.75</v>
      </c>
      <c r="H1653" s="83">
        <v>0.40625</v>
      </c>
      <c r="I1653" s="84">
        <v>44200.0</v>
      </c>
      <c r="J1653" s="65" t="b">
        <v>0</v>
      </c>
      <c r="K1653" s="65"/>
      <c r="L1653" s="85" t="b">
        <f>IF(VLOOKUP(C1653,Projetos!A:L,12,false)=TRUE,TRUE,FALSE)</f>
        <v>1</v>
      </c>
      <c r="M1653" s="74">
        <v>37.50928062469937</v>
      </c>
      <c r="N1653" s="74">
        <f t="shared" si="1"/>
        <v>0</v>
      </c>
      <c r="O1653" s="74" t="b">
        <v>1</v>
      </c>
    </row>
    <row r="1654" hidden="1">
      <c r="A1654" s="82"/>
      <c r="B1654" s="65" t="s">
        <v>495</v>
      </c>
      <c r="C1654" s="65" t="s">
        <v>84</v>
      </c>
      <c r="D1654" s="65"/>
      <c r="E1654" s="65" t="s">
        <v>995</v>
      </c>
      <c r="F1654" s="83">
        <v>0.34375</v>
      </c>
      <c r="G1654" s="83">
        <v>0.375</v>
      </c>
      <c r="H1654" s="83">
        <v>0.03125</v>
      </c>
      <c r="I1654" s="84">
        <v>44334.0</v>
      </c>
      <c r="J1654" s="65" t="b">
        <v>0</v>
      </c>
      <c r="K1654" s="65"/>
      <c r="L1654" s="85" t="b">
        <f>IF(VLOOKUP(C1654,Projetos!A:L,12,false)=TRUE,TRUE,FALSE)</f>
        <v>0</v>
      </c>
      <c r="M1654" s="74">
        <v>73.7079846079846</v>
      </c>
      <c r="N1654" s="74">
        <f t="shared" si="1"/>
        <v>0</v>
      </c>
      <c r="O1654" s="74" t="b">
        <v>0</v>
      </c>
    </row>
    <row r="1655" hidden="1">
      <c r="A1655" s="82"/>
      <c r="B1655" s="65" t="s">
        <v>495</v>
      </c>
      <c r="C1655" s="65" t="s">
        <v>92</v>
      </c>
      <c r="D1655" s="65" t="str">
        <f>vlookup(C1655,'Classificação p pessoal'!F:G,2,false)</f>
        <v/>
      </c>
      <c r="E1655" s="65" t="s">
        <v>996</v>
      </c>
      <c r="F1655" s="83">
        <v>0.375</v>
      </c>
      <c r="G1655" s="83">
        <v>0.4513888888888889</v>
      </c>
      <c r="H1655" s="83">
        <v>0.0763888888888889</v>
      </c>
      <c r="I1655" s="84">
        <v>44334.0</v>
      </c>
      <c r="J1655" s="65" t="b">
        <v>1</v>
      </c>
      <c r="K1655" s="65"/>
      <c r="L1655" s="85" t="b">
        <f>IF(VLOOKUP(C1655,Projetos!A:L,12,false)=TRUE,TRUE,FALSE)</f>
        <v>1</v>
      </c>
      <c r="M1655" s="74">
        <v>73.7079846079846</v>
      </c>
      <c r="N1655" s="74">
        <f t="shared" si="1"/>
        <v>135.1313051</v>
      </c>
      <c r="O1655" s="74" t="b">
        <v>1</v>
      </c>
    </row>
    <row r="1656" hidden="1">
      <c r="A1656" s="82"/>
      <c r="B1656" s="65" t="s">
        <v>495</v>
      </c>
      <c r="C1656" s="65" t="s">
        <v>92</v>
      </c>
      <c r="D1656" s="65" t="str">
        <f>vlookup(C1656,'Classificação p pessoal'!F:G,2,false)</f>
        <v/>
      </c>
      <c r="E1656" s="65" t="s">
        <v>997</v>
      </c>
      <c r="F1656" s="83">
        <v>0.4513888888888889</v>
      </c>
      <c r="G1656" s="83">
        <v>0.5694444444444444</v>
      </c>
      <c r="H1656" s="83">
        <v>0.11805555555555555</v>
      </c>
      <c r="I1656" s="84">
        <v>44334.0</v>
      </c>
      <c r="J1656" s="65" t="b">
        <v>1</v>
      </c>
      <c r="K1656" s="65"/>
      <c r="L1656" s="85" t="b">
        <f>IF(VLOOKUP(C1656,Projetos!A:L,12,false)=TRUE,TRUE,FALSE)</f>
        <v>1</v>
      </c>
      <c r="M1656" s="74">
        <v>73.7079846079846</v>
      </c>
      <c r="N1656" s="74">
        <f t="shared" si="1"/>
        <v>208.8392897</v>
      </c>
      <c r="O1656" s="74" t="b">
        <v>1</v>
      </c>
    </row>
    <row r="1657" hidden="1">
      <c r="A1657" s="82"/>
      <c r="B1657" s="65" t="s">
        <v>495</v>
      </c>
      <c r="C1657" s="65" t="s">
        <v>106</v>
      </c>
      <c r="D1657" s="65" t="str">
        <f>vlookup(C1657,'Classificação p pessoal'!F:G,2,false)</f>
        <v>MProcesso</v>
      </c>
      <c r="E1657" s="65" t="s">
        <v>998</v>
      </c>
      <c r="F1657" s="83">
        <v>0.6111111111111112</v>
      </c>
      <c r="G1657" s="83">
        <v>0.6666666666666666</v>
      </c>
      <c r="H1657" s="83">
        <v>0.05555555555555555</v>
      </c>
      <c r="I1657" s="84">
        <v>44334.0</v>
      </c>
      <c r="J1657" s="65" t="b">
        <v>1</v>
      </c>
      <c r="K1657" s="65"/>
      <c r="L1657" s="85" t="b">
        <f>IF(VLOOKUP(C1657,Projetos!A:L,12,false)=TRUE,TRUE,FALSE)</f>
        <v>1</v>
      </c>
      <c r="M1657" s="74">
        <v>73.7079846079846</v>
      </c>
      <c r="N1657" s="74">
        <f t="shared" si="1"/>
        <v>98.27731281</v>
      </c>
      <c r="O1657" s="74" t="b">
        <v>1</v>
      </c>
    </row>
    <row r="1658" hidden="1">
      <c r="A1658" s="82"/>
      <c r="B1658" s="65" t="s">
        <v>467</v>
      </c>
      <c r="C1658" s="65" t="s">
        <v>130</v>
      </c>
      <c r="D1658" s="65"/>
      <c r="E1658" s="65" t="s">
        <v>999</v>
      </c>
      <c r="F1658" s="83">
        <v>0.5416666666666666</v>
      </c>
      <c r="G1658" s="83">
        <v>0.5833333333333334</v>
      </c>
      <c r="H1658" s="83">
        <v>0.041666666666666664</v>
      </c>
      <c r="I1658" s="84">
        <v>44328.0</v>
      </c>
      <c r="J1658" s="65" t="b">
        <v>0</v>
      </c>
      <c r="K1658" s="65" t="s">
        <v>150</v>
      </c>
      <c r="L1658" s="85" t="b">
        <f>IF(VLOOKUP(C1658,Projetos!A:L,12,false)=TRUE,TRUE,FALSE)</f>
        <v>1</v>
      </c>
      <c r="M1658" s="74">
        <v>52.1518759018759</v>
      </c>
      <c r="N1658" s="74">
        <f t="shared" si="1"/>
        <v>0</v>
      </c>
      <c r="O1658" s="74" t="b">
        <v>1</v>
      </c>
    </row>
    <row r="1659" hidden="1">
      <c r="A1659" s="82"/>
      <c r="B1659" s="65" t="s">
        <v>495</v>
      </c>
      <c r="C1659" s="65" t="s">
        <v>92</v>
      </c>
      <c r="D1659" s="65" t="str">
        <f>vlookup(C1659,'Classificação p pessoal'!F:G,2,false)</f>
        <v/>
      </c>
      <c r="E1659" s="65" t="s">
        <v>1000</v>
      </c>
      <c r="F1659" s="83">
        <v>0.34375</v>
      </c>
      <c r="G1659" s="83">
        <v>0.375</v>
      </c>
      <c r="H1659" s="83">
        <v>0.03125</v>
      </c>
      <c r="I1659" s="84">
        <v>44335.0</v>
      </c>
      <c r="J1659" s="65" t="b">
        <v>1</v>
      </c>
      <c r="K1659" s="65"/>
      <c r="L1659" s="85" t="b">
        <f>IF(VLOOKUP(C1659,Projetos!A:L,12,false)=TRUE,TRUE,FALSE)</f>
        <v>1</v>
      </c>
      <c r="M1659" s="74">
        <v>73.7079846079846</v>
      </c>
      <c r="N1659" s="74">
        <f t="shared" si="1"/>
        <v>55.28098846</v>
      </c>
      <c r="O1659" s="74" t="b">
        <v>1</v>
      </c>
    </row>
    <row r="1660" hidden="1">
      <c r="A1660" s="82"/>
      <c r="B1660" s="65" t="s">
        <v>467</v>
      </c>
      <c r="C1660" s="65" t="s">
        <v>106</v>
      </c>
      <c r="D1660" s="65"/>
      <c r="E1660" s="65" t="s">
        <v>1001</v>
      </c>
      <c r="F1660" s="83">
        <v>0.3958333333333333</v>
      </c>
      <c r="G1660" s="83">
        <v>0.4791666666666667</v>
      </c>
      <c r="H1660" s="83">
        <v>0.08333333333333333</v>
      </c>
      <c r="I1660" s="84">
        <v>44517.0</v>
      </c>
      <c r="J1660" s="65" t="b">
        <v>0</v>
      </c>
      <c r="K1660" s="65" t="s">
        <v>150</v>
      </c>
      <c r="L1660" s="85" t="b">
        <f>IF(VLOOKUP(C1660,Projetos!A:L,12,false)=TRUE,TRUE,FALSE)</f>
        <v>1</v>
      </c>
      <c r="M1660" s="74">
        <v>52.1518759018759</v>
      </c>
      <c r="N1660" s="74">
        <f t="shared" si="1"/>
        <v>0</v>
      </c>
      <c r="O1660" s="74" t="b">
        <v>1</v>
      </c>
    </row>
    <row r="1661" hidden="1">
      <c r="A1661" s="82"/>
      <c r="B1661" s="65" t="s">
        <v>495</v>
      </c>
      <c r="C1661" s="65" t="s">
        <v>84</v>
      </c>
      <c r="D1661" s="65"/>
      <c r="E1661" s="65" t="s">
        <v>1002</v>
      </c>
      <c r="F1661" s="83">
        <v>0.4166666666666667</v>
      </c>
      <c r="G1661" s="83">
        <v>0.4583333333333333</v>
      </c>
      <c r="H1661" s="83">
        <v>0.041666666666666664</v>
      </c>
      <c r="I1661" s="84">
        <v>44335.0</v>
      </c>
      <c r="J1661" s="65" t="b">
        <v>0</v>
      </c>
      <c r="K1661" s="65"/>
      <c r="L1661" s="85" t="b">
        <f>IF(VLOOKUP(C1661,Projetos!A:L,12,false)=TRUE,TRUE,FALSE)</f>
        <v>0</v>
      </c>
      <c r="M1661" s="74">
        <v>73.7079846079846</v>
      </c>
      <c r="N1661" s="74">
        <f t="shared" si="1"/>
        <v>0</v>
      </c>
      <c r="O1661" s="74" t="b">
        <v>0</v>
      </c>
    </row>
    <row r="1662" hidden="1">
      <c r="A1662" s="82"/>
      <c r="B1662" s="65" t="s">
        <v>495</v>
      </c>
      <c r="C1662" s="65" t="s">
        <v>106</v>
      </c>
      <c r="D1662" s="65" t="str">
        <f>vlookup(C1662,'Classificação p pessoal'!F:G,2,false)</f>
        <v>MProcesso</v>
      </c>
      <c r="E1662" s="65" t="s">
        <v>1003</v>
      </c>
      <c r="F1662" s="83">
        <v>0.4791666666666667</v>
      </c>
      <c r="G1662" s="83">
        <v>0.5763888888888888</v>
      </c>
      <c r="H1662" s="83">
        <v>0.09722222222222222</v>
      </c>
      <c r="I1662" s="84">
        <v>44335.0</v>
      </c>
      <c r="J1662" s="65" t="b">
        <v>1</v>
      </c>
      <c r="K1662" s="65"/>
      <c r="L1662" s="85" t="b">
        <f>IF(VLOOKUP(C1662,Projetos!A:L,12,false)=TRUE,TRUE,FALSE)</f>
        <v>1</v>
      </c>
      <c r="M1662" s="74">
        <v>73.7079846079846</v>
      </c>
      <c r="N1662" s="74">
        <f t="shared" si="1"/>
        <v>171.9852974</v>
      </c>
      <c r="O1662" s="74" t="b">
        <v>1</v>
      </c>
    </row>
    <row r="1663" hidden="1">
      <c r="A1663" s="82"/>
      <c r="B1663" s="65" t="s">
        <v>495</v>
      </c>
      <c r="C1663" s="65" t="s">
        <v>106</v>
      </c>
      <c r="D1663" s="65" t="str">
        <f>vlookup(C1663,'Classificação p pessoal'!F:G,2,false)</f>
        <v>MProcesso</v>
      </c>
      <c r="E1663" s="65" t="s">
        <v>1003</v>
      </c>
      <c r="F1663" s="83">
        <v>0.6180555555555556</v>
      </c>
      <c r="G1663" s="83">
        <v>0.6666666666666666</v>
      </c>
      <c r="H1663" s="83">
        <v>0.04861111111111111</v>
      </c>
      <c r="I1663" s="84">
        <v>44335.0</v>
      </c>
      <c r="J1663" s="65" t="b">
        <v>1</v>
      </c>
      <c r="K1663" s="65"/>
      <c r="L1663" s="85" t="b">
        <f>IF(VLOOKUP(C1663,Projetos!A:L,12,false)=TRUE,TRUE,FALSE)</f>
        <v>1</v>
      </c>
      <c r="M1663" s="74">
        <v>73.7079846079846</v>
      </c>
      <c r="N1663" s="74">
        <f t="shared" si="1"/>
        <v>85.99264871</v>
      </c>
      <c r="O1663" s="74" t="b">
        <v>1</v>
      </c>
    </row>
    <row r="1664" hidden="1">
      <c r="A1664" s="82"/>
      <c r="B1664" s="65" t="s">
        <v>495</v>
      </c>
      <c r="C1664" s="65" t="s">
        <v>92</v>
      </c>
      <c r="D1664" s="65" t="str">
        <f>vlookup(C1664,'Classificação p pessoal'!F:G,2,false)</f>
        <v/>
      </c>
      <c r="E1664" s="65" t="s">
        <v>837</v>
      </c>
      <c r="F1664" s="83">
        <v>0.6666666666666666</v>
      </c>
      <c r="G1664" s="83">
        <v>0.7083333333333334</v>
      </c>
      <c r="H1664" s="83">
        <v>0.041666666666666664</v>
      </c>
      <c r="I1664" s="84">
        <v>44335.0</v>
      </c>
      <c r="J1664" s="65" t="b">
        <v>1</v>
      </c>
      <c r="K1664" s="65"/>
      <c r="L1664" s="85" t="b">
        <f>IF(VLOOKUP(C1664,Projetos!A:L,12,false)=TRUE,TRUE,FALSE)</f>
        <v>1</v>
      </c>
      <c r="M1664" s="74">
        <v>73.7079846079846</v>
      </c>
      <c r="N1664" s="74">
        <f t="shared" si="1"/>
        <v>73.70798461</v>
      </c>
      <c r="O1664" s="74" t="b">
        <v>1</v>
      </c>
    </row>
    <row r="1665" hidden="1">
      <c r="A1665" s="82"/>
      <c r="B1665" s="65" t="s">
        <v>495</v>
      </c>
      <c r="C1665" s="65" t="s">
        <v>130</v>
      </c>
      <c r="D1665" s="65"/>
      <c r="E1665" s="65" t="s">
        <v>1004</v>
      </c>
      <c r="F1665" s="83">
        <v>0.7083333333333334</v>
      </c>
      <c r="G1665" s="83">
        <v>0.75</v>
      </c>
      <c r="H1665" s="83">
        <v>0.041666666666666664</v>
      </c>
      <c r="I1665" s="84">
        <v>44335.0</v>
      </c>
      <c r="J1665" s="65" t="b">
        <v>0</v>
      </c>
      <c r="K1665" s="65" t="s">
        <v>150</v>
      </c>
      <c r="L1665" s="85" t="b">
        <f>IF(VLOOKUP(C1665,Projetos!A:L,12,false)=TRUE,TRUE,FALSE)</f>
        <v>1</v>
      </c>
      <c r="M1665" s="74">
        <v>73.7079846079846</v>
      </c>
      <c r="N1665" s="74">
        <f t="shared" si="1"/>
        <v>0</v>
      </c>
      <c r="O1665" s="74" t="b">
        <v>1</v>
      </c>
    </row>
    <row r="1666" hidden="1">
      <c r="A1666" s="82"/>
      <c r="B1666" s="65" t="s">
        <v>495</v>
      </c>
      <c r="C1666" s="65" t="s">
        <v>92</v>
      </c>
      <c r="D1666" s="65" t="str">
        <f>vlookup(C1666,'Classificação p pessoal'!F:G,2,false)</f>
        <v/>
      </c>
      <c r="E1666" s="65" t="s">
        <v>1005</v>
      </c>
      <c r="F1666" s="83">
        <v>0.3611111111111111</v>
      </c>
      <c r="G1666" s="83">
        <v>0.3958333333333333</v>
      </c>
      <c r="H1666" s="83">
        <v>0.034722222222222224</v>
      </c>
      <c r="I1666" s="84">
        <v>44336.0</v>
      </c>
      <c r="J1666" s="65" t="b">
        <v>1</v>
      </c>
      <c r="K1666" s="65"/>
      <c r="L1666" s="85" t="b">
        <f>IF(VLOOKUP(C1666,Projetos!A:L,12,false)=TRUE,TRUE,FALSE)</f>
        <v>1</v>
      </c>
      <c r="M1666" s="74">
        <v>73.7079846079846</v>
      </c>
      <c r="N1666" s="74">
        <f t="shared" si="1"/>
        <v>61.42332051</v>
      </c>
      <c r="O1666" s="74" t="b">
        <v>1</v>
      </c>
    </row>
    <row r="1667" hidden="1">
      <c r="A1667" s="82"/>
      <c r="B1667" s="65" t="s">
        <v>495</v>
      </c>
      <c r="C1667" s="65" t="s">
        <v>92</v>
      </c>
      <c r="D1667" s="65" t="str">
        <f>vlookup(C1667,'Classificação p pessoal'!F:G,2,false)</f>
        <v/>
      </c>
      <c r="E1667" s="65" t="s">
        <v>1006</v>
      </c>
      <c r="F1667" s="83">
        <v>0.4166666666666667</v>
      </c>
      <c r="G1667" s="83">
        <v>0.4791666666666667</v>
      </c>
      <c r="H1667" s="83">
        <v>0.0625</v>
      </c>
      <c r="I1667" s="84">
        <v>44336.0</v>
      </c>
      <c r="J1667" s="65" t="b">
        <v>1</v>
      </c>
      <c r="K1667" s="65"/>
      <c r="L1667" s="85" t="b">
        <f>IF(VLOOKUP(C1667,Projetos!A:L,12,false)=TRUE,TRUE,FALSE)</f>
        <v>1</v>
      </c>
      <c r="M1667" s="74">
        <v>73.7079846079846</v>
      </c>
      <c r="N1667" s="74">
        <f t="shared" si="1"/>
        <v>110.5619769</v>
      </c>
      <c r="O1667" s="74" t="b">
        <v>1</v>
      </c>
    </row>
    <row r="1668" hidden="1">
      <c r="A1668" s="82"/>
      <c r="B1668" s="65" t="s">
        <v>495</v>
      </c>
      <c r="C1668" s="65" t="s">
        <v>117</v>
      </c>
      <c r="D1668" s="65" t="str">
        <f>vlookup(C1668,'Classificação p pessoal'!F:G,2,false)</f>
        <v>NP</v>
      </c>
      <c r="E1668" s="65" t="s">
        <v>1007</v>
      </c>
      <c r="F1668" s="83">
        <v>0.4791666666666667</v>
      </c>
      <c r="G1668" s="83">
        <v>0.5</v>
      </c>
      <c r="H1668" s="83">
        <v>0.020833333333333332</v>
      </c>
      <c r="I1668" s="84">
        <v>44336.0</v>
      </c>
      <c r="J1668" s="65" t="b">
        <v>1</v>
      </c>
      <c r="K1668" s="65"/>
      <c r="L1668" s="85" t="b">
        <f>IF(VLOOKUP(C1668,Projetos!A:L,12,false)=TRUE,TRUE,FALSE)</f>
        <v>1</v>
      </c>
      <c r="M1668" s="74">
        <v>73.7079846079846</v>
      </c>
      <c r="N1668" s="74">
        <f t="shared" si="1"/>
        <v>36.8539923</v>
      </c>
      <c r="O1668" s="74" t="b">
        <v>1</v>
      </c>
    </row>
    <row r="1669" hidden="1">
      <c r="A1669" s="82"/>
      <c r="B1669" s="65" t="s">
        <v>495</v>
      </c>
      <c r="C1669" s="65" t="s">
        <v>92</v>
      </c>
      <c r="D1669" s="65" t="str">
        <f>vlookup(C1669,'Classificação p pessoal'!F:G,2,false)</f>
        <v/>
      </c>
      <c r="E1669" s="65" t="s">
        <v>1006</v>
      </c>
      <c r="F1669" s="83">
        <v>0.5</v>
      </c>
      <c r="G1669" s="83">
        <v>0.5833333333333334</v>
      </c>
      <c r="H1669" s="83">
        <v>0.08333333333333333</v>
      </c>
      <c r="I1669" s="84">
        <v>44336.0</v>
      </c>
      <c r="J1669" s="65" t="b">
        <v>1</v>
      </c>
      <c r="K1669" s="65"/>
      <c r="L1669" s="85" t="b">
        <f>IF(VLOOKUP(C1669,Projetos!A:L,12,false)=TRUE,TRUE,FALSE)</f>
        <v>1</v>
      </c>
      <c r="M1669" s="74">
        <v>73.7079846079846</v>
      </c>
      <c r="N1669" s="74">
        <f t="shared" si="1"/>
        <v>147.4159692</v>
      </c>
      <c r="O1669" s="74" t="b">
        <v>1</v>
      </c>
    </row>
    <row r="1670" hidden="1">
      <c r="A1670" s="82"/>
      <c r="B1670" s="65" t="s">
        <v>495</v>
      </c>
      <c r="C1670" s="65" t="s">
        <v>92</v>
      </c>
      <c r="D1670" s="65" t="str">
        <f>vlookup(C1670,'Classificação p pessoal'!F:G,2,false)</f>
        <v/>
      </c>
      <c r="E1670" s="65" t="s">
        <v>834</v>
      </c>
      <c r="F1670" s="83">
        <v>0.625</v>
      </c>
      <c r="G1670" s="83">
        <v>0.6666666666666666</v>
      </c>
      <c r="H1670" s="83">
        <v>0.041666666666666664</v>
      </c>
      <c r="I1670" s="84">
        <v>44336.0</v>
      </c>
      <c r="J1670" s="65" t="b">
        <v>1</v>
      </c>
      <c r="K1670" s="65"/>
      <c r="L1670" s="85" t="b">
        <f>IF(VLOOKUP(C1670,Projetos!A:L,12,false)=TRUE,TRUE,FALSE)</f>
        <v>1</v>
      </c>
      <c r="M1670" s="74">
        <v>73.7079846079846</v>
      </c>
      <c r="N1670" s="74">
        <f t="shared" si="1"/>
        <v>73.70798461</v>
      </c>
      <c r="O1670" s="74" t="b">
        <v>1</v>
      </c>
    </row>
    <row r="1671" hidden="1">
      <c r="A1671" s="82"/>
      <c r="B1671" s="65" t="s">
        <v>495</v>
      </c>
      <c r="C1671" s="65" t="s">
        <v>117</v>
      </c>
      <c r="D1671" s="65" t="str">
        <f>vlookup(C1671,'Classificação p pessoal'!F:G,2,false)</f>
        <v>NP</v>
      </c>
      <c r="E1671" s="65" t="s">
        <v>1008</v>
      </c>
      <c r="F1671" s="83">
        <v>0.6666666666666666</v>
      </c>
      <c r="G1671" s="83">
        <v>0.7291666666666666</v>
      </c>
      <c r="H1671" s="83">
        <v>0.0625</v>
      </c>
      <c r="I1671" s="84">
        <v>44336.0</v>
      </c>
      <c r="J1671" s="65" t="b">
        <v>1</v>
      </c>
      <c r="K1671" s="65"/>
      <c r="L1671" s="85" t="b">
        <f>IF(VLOOKUP(C1671,Projetos!A:L,12,false)=TRUE,TRUE,FALSE)</f>
        <v>1</v>
      </c>
      <c r="M1671" s="74">
        <v>73.7079846079846</v>
      </c>
      <c r="N1671" s="74">
        <f t="shared" si="1"/>
        <v>110.5619769</v>
      </c>
      <c r="O1671" s="74" t="b">
        <v>1</v>
      </c>
    </row>
    <row r="1672" hidden="1">
      <c r="A1672" s="82"/>
      <c r="B1672" s="65" t="s">
        <v>495</v>
      </c>
      <c r="C1672" s="65" t="s">
        <v>92</v>
      </c>
      <c r="D1672" s="65" t="str">
        <f>vlookup(C1672,'Classificação p pessoal'!F:G,2,false)</f>
        <v/>
      </c>
      <c r="E1672" s="65" t="s">
        <v>1009</v>
      </c>
      <c r="F1672" s="83">
        <v>0.375</v>
      </c>
      <c r="G1672" s="83">
        <v>0.4583333333333333</v>
      </c>
      <c r="H1672" s="83">
        <v>0.08333333333333333</v>
      </c>
      <c r="I1672" s="84">
        <v>44337.0</v>
      </c>
      <c r="J1672" s="65" t="b">
        <v>1</v>
      </c>
      <c r="K1672" s="65"/>
      <c r="L1672" s="85" t="b">
        <f>IF(VLOOKUP(C1672,Projetos!A:L,12,false)=TRUE,TRUE,FALSE)</f>
        <v>1</v>
      </c>
      <c r="M1672" s="74">
        <v>73.7079846079846</v>
      </c>
      <c r="N1672" s="74">
        <f t="shared" si="1"/>
        <v>147.4159692</v>
      </c>
      <c r="O1672" s="74" t="b">
        <v>1</v>
      </c>
    </row>
    <row r="1673" hidden="1">
      <c r="A1673" s="82"/>
      <c r="B1673" s="65" t="s">
        <v>467</v>
      </c>
      <c r="C1673" s="65" t="s">
        <v>113</v>
      </c>
      <c r="D1673" s="65"/>
      <c r="E1673" s="65" t="s">
        <v>1010</v>
      </c>
      <c r="F1673" s="83">
        <v>0.375</v>
      </c>
      <c r="G1673" s="83">
        <v>0.4375</v>
      </c>
      <c r="H1673" s="83">
        <v>0.0625</v>
      </c>
      <c r="I1673" s="84">
        <v>44509.0</v>
      </c>
      <c r="J1673" s="65" t="b">
        <v>0</v>
      </c>
      <c r="K1673" s="65" t="s">
        <v>150</v>
      </c>
      <c r="L1673" s="85" t="b">
        <f>IF(VLOOKUP(C1673,Projetos!A:L,12,false)=TRUE,TRUE,FALSE)</f>
        <v>1</v>
      </c>
      <c r="M1673" s="74">
        <v>52.1518759018759</v>
      </c>
      <c r="N1673" s="74">
        <f t="shared" si="1"/>
        <v>0</v>
      </c>
      <c r="O1673" s="74" t="b">
        <v>1</v>
      </c>
    </row>
    <row r="1674" hidden="1">
      <c r="A1674" s="82"/>
      <c r="B1674" s="65" t="s">
        <v>495</v>
      </c>
      <c r="C1674" s="65" t="s">
        <v>92</v>
      </c>
      <c r="D1674" s="65"/>
      <c r="E1674" s="65" t="s">
        <v>1011</v>
      </c>
      <c r="F1674" s="83">
        <v>0.5833333333333334</v>
      </c>
      <c r="G1674" s="83">
        <v>0.6111111111111112</v>
      </c>
      <c r="H1674" s="83">
        <v>0.027777777777777776</v>
      </c>
      <c r="I1674" s="84">
        <v>44337.0</v>
      </c>
      <c r="J1674" s="65" t="b">
        <v>0</v>
      </c>
      <c r="K1674" s="65" t="s">
        <v>150</v>
      </c>
      <c r="L1674" s="85" t="b">
        <f>IF(VLOOKUP(C1674,Projetos!A:L,12,false)=TRUE,TRUE,FALSE)</f>
        <v>1</v>
      </c>
      <c r="M1674" s="74">
        <v>73.7079846079846</v>
      </c>
      <c r="N1674" s="74">
        <f t="shared" si="1"/>
        <v>0</v>
      </c>
      <c r="O1674" s="74" t="b">
        <v>1</v>
      </c>
    </row>
    <row r="1675" hidden="1">
      <c r="A1675" s="82"/>
      <c r="B1675" s="65" t="s">
        <v>495</v>
      </c>
      <c r="C1675" s="65" t="s">
        <v>84</v>
      </c>
      <c r="D1675" s="65"/>
      <c r="E1675" s="65" t="s">
        <v>1012</v>
      </c>
      <c r="F1675" s="83">
        <v>0.625</v>
      </c>
      <c r="G1675" s="83">
        <v>0.7083333333333334</v>
      </c>
      <c r="H1675" s="83">
        <v>0.08333333333333333</v>
      </c>
      <c r="I1675" s="84">
        <v>44337.0</v>
      </c>
      <c r="J1675" s="65" t="b">
        <v>0</v>
      </c>
      <c r="K1675" s="65"/>
      <c r="L1675" s="85" t="b">
        <f>IF(VLOOKUP(C1675,Projetos!A:L,12,false)=TRUE,TRUE,FALSE)</f>
        <v>0</v>
      </c>
      <c r="M1675" s="74">
        <v>73.7079846079846</v>
      </c>
      <c r="N1675" s="74">
        <f t="shared" si="1"/>
        <v>0</v>
      </c>
      <c r="O1675" s="74" t="b">
        <v>0</v>
      </c>
    </row>
    <row r="1676" hidden="1">
      <c r="A1676" s="82"/>
      <c r="B1676" s="65" t="s">
        <v>495</v>
      </c>
      <c r="C1676" s="65" t="s">
        <v>117</v>
      </c>
      <c r="D1676" s="65" t="str">
        <f>vlookup(C1676,'Classificação p pessoal'!F:G,2,false)</f>
        <v>NP</v>
      </c>
      <c r="E1676" s="65" t="s">
        <v>1013</v>
      </c>
      <c r="F1676" s="83">
        <v>0.7083333333333334</v>
      </c>
      <c r="G1676" s="83">
        <v>0.75</v>
      </c>
      <c r="H1676" s="83">
        <v>0.041666666666666664</v>
      </c>
      <c r="I1676" s="84">
        <v>44337.0</v>
      </c>
      <c r="J1676" s="65" t="b">
        <v>1</v>
      </c>
      <c r="K1676" s="65"/>
      <c r="L1676" s="85" t="b">
        <f>IF(VLOOKUP(C1676,Projetos!A:L,12,false)=TRUE,TRUE,FALSE)</f>
        <v>1</v>
      </c>
      <c r="M1676" s="74">
        <v>73.7079846079846</v>
      </c>
      <c r="N1676" s="74">
        <f t="shared" si="1"/>
        <v>73.70798461</v>
      </c>
      <c r="O1676" s="74" t="b">
        <v>1</v>
      </c>
    </row>
    <row r="1677" hidden="1">
      <c r="A1677" s="82"/>
      <c r="B1677" s="65" t="s">
        <v>467</v>
      </c>
      <c r="C1677" s="65" t="s">
        <v>113</v>
      </c>
      <c r="D1677" s="65"/>
      <c r="E1677" s="65" t="s">
        <v>1014</v>
      </c>
      <c r="F1677" s="83">
        <v>0.5833333333333334</v>
      </c>
      <c r="G1677" s="83">
        <v>0.6458333333333334</v>
      </c>
      <c r="H1677" s="83">
        <v>0.0625</v>
      </c>
      <c r="I1677" s="84">
        <v>44490.0</v>
      </c>
      <c r="J1677" s="65" t="b">
        <v>0</v>
      </c>
      <c r="K1677" s="65" t="s">
        <v>150</v>
      </c>
      <c r="L1677" s="85" t="b">
        <f>IF(VLOOKUP(C1677,Projetos!A:L,12,false)=TRUE,TRUE,FALSE)</f>
        <v>1</v>
      </c>
      <c r="M1677" s="74">
        <v>52.1518759018759</v>
      </c>
      <c r="N1677" s="74">
        <f t="shared" si="1"/>
        <v>0</v>
      </c>
      <c r="O1677" s="74" t="b">
        <v>1</v>
      </c>
    </row>
    <row r="1678" hidden="1">
      <c r="A1678" s="82"/>
      <c r="B1678" s="65" t="s">
        <v>495</v>
      </c>
      <c r="C1678" s="65" t="s">
        <v>117</v>
      </c>
      <c r="D1678" s="65" t="str">
        <f>vlookup(C1678,'Classificação p pessoal'!F:G,2,false)</f>
        <v>NP</v>
      </c>
      <c r="E1678" s="65" t="s">
        <v>1015</v>
      </c>
      <c r="F1678" s="83">
        <v>0.3819444444444444</v>
      </c>
      <c r="G1678" s="83">
        <v>0.4583333333333333</v>
      </c>
      <c r="H1678" s="83">
        <v>0.0763888888888889</v>
      </c>
      <c r="I1678" s="84">
        <v>44340.0</v>
      </c>
      <c r="J1678" s="65" t="b">
        <v>1</v>
      </c>
      <c r="K1678" s="65"/>
      <c r="L1678" s="85" t="b">
        <f>IF(VLOOKUP(C1678,Projetos!A:L,12,false)=TRUE,TRUE,FALSE)</f>
        <v>1</v>
      </c>
      <c r="M1678" s="74">
        <v>73.7079846079846</v>
      </c>
      <c r="N1678" s="74">
        <f t="shared" si="1"/>
        <v>135.1313051</v>
      </c>
      <c r="O1678" s="74" t="b">
        <v>1</v>
      </c>
    </row>
    <row r="1679" hidden="1">
      <c r="A1679" s="82"/>
      <c r="B1679" s="65" t="s">
        <v>495</v>
      </c>
      <c r="C1679" s="65" t="s">
        <v>92</v>
      </c>
      <c r="D1679" s="65" t="str">
        <f>vlookup(C1679,'Classificação p pessoal'!F:G,2,false)</f>
        <v/>
      </c>
      <c r="E1679" s="65" t="s">
        <v>1016</v>
      </c>
      <c r="F1679" s="83">
        <v>0.4583333333333333</v>
      </c>
      <c r="G1679" s="83">
        <v>0.5416666666666666</v>
      </c>
      <c r="H1679" s="83">
        <v>0.08333333333333333</v>
      </c>
      <c r="I1679" s="84">
        <v>44340.0</v>
      </c>
      <c r="J1679" s="65" t="b">
        <v>1</v>
      </c>
      <c r="K1679" s="65"/>
      <c r="L1679" s="85" t="b">
        <f>IF(VLOOKUP(C1679,Projetos!A:L,12,false)=TRUE,TRUE,FALSE)</f>
        <v>1</v>
      </c>
      <c r="M1679" s="74">
        <v>73.7079846079846</v>
      </c>
      <c r="N1679" s="74">
        <f t="shared" si="1"/>
        <v>147.4159692</v>
      </c>
      <c r="O1679" s="74" t="b">
        <v>1</v>
      </c>
    </row>
    <row r="1680" hidden="1">
      <c r="A1680" s="82"/>
      <c r="B1680" s="65" t="s">
        <v>495</v>
      </c>
      <c r="C1680" s="65" t="s">
        <v>92</v>
      </c>
      <c r="D1680" s="65" t="str">
        <f>vlookup(C1680,'Classificação p pessoal'!F:G,2,false)</f>
        <v/>
      </c>
      <c r="E1680" s="65" t="s">
        <v>1017</v>
      </c>
      <c r="F1680" s="83">
        <v>0.5833333333333334</v>
      </c>
      <c r="G1680" s="83">
        <v>0.625</v>
      </c>
      <c r="H1680" s="83">
        <v>0.041666666666666664</v>
      </c>
      <c r="I1680" s="84">
        <v>44340.0</v>
      </c>
      <c r="J1680" s="65" t="b">
        <v>1</v>
      </c>
      <c r="K1680" s="65"/>
      <c r="L1680" s="85" t="b">
        <f>IF(VLOOKUP(C1680,Projetos!A:L,12,false)=TRUE,TRUE,FALSE)</f>
        <v>1</v>
      </c>
      <c r="M1680" s="74">
        <v>73.7079846079846</v>
      </c>
      <c r="N1680" s="74">
        <f t="shared" si="1"/>
        <v>73.70798461</v>
      </c>
      <c r="O1680" s="74" t="b">
        <v>1</v>
      </c>
    </row>
    <row r="1681" hidden="1">
      <c r="A1681" s="82"/>
      <c r="B1681" s="65" t="s">
        <v>495</v>
      </c>
      <c r="C1681" s="65" t="s">
        <v>92</v>
      </c>
      <c r="D1681" s="65" t="str">
        <f>vlookup(C1681,'Classificação p pessoal'!F:G,2,false)</f>
        <v/>
      </c>
      <c r="E1681" s="65" t="s">
        <v>1018</v>
      </c>
      <c r="F1681" s="83">
        <v>0.625</v>
      </c>
      <c r="G1681" s="83">
        <v>0.75</v>
      </c>
      <c r="H1681" s="83">
        <v>0.125</v>
      </c>
      <c r="I1681" s="84">
        <v>44340.0</v>
      </c>
      <c r="J1681" s="65" t="b">
        <v>1</v>
      </c>
      <c r="K1681" s="65"/>
      <c r="L1681" s="85" t="b">
        <f>IF(VLOOKUP(C1681,Projetos!A:L,12,false)=TRUE,TRUE,FALSE)</f>
        <v>1</v>
      </c>
      <c r="M1681" s="74">
        <v>73.7079846079846</v>
      </c>
      <c r="N1681" s="74">
        <f t="shared" si="1"/>
        <v>221.1239538</v>
      </c>
      <c r="O1681" s="74" t="b">
        <v>1</v>
      </c>
    </row>
    <row r="1682" hidden="1">
      <c r="A1682" s="82"/>
      <c r="B1682" s="65" t="s">
        <v>495</v>
      </c>
      <c r="C1682" s="65" t="s">
        <v>92</v>
      </c>
      <c r="D1682" s="65" t="str">
        <f>vlookup(C1682,'Classificação p pessoal'!F:G,2,false)</f>
        <v/>
      </c>
      <c r="E1682" s="65" t="s">
        <v>1019</v>
      </c>
      <c r="F1682" s="83">
        <v>0.375</v>
      </c>
      <c r="G1682" s="83">
        <v>0.4270833333333333</v>
      </c>
      <c r="H1682" s="83">
        <v>0.052083333333333336</v>
      </c>
      <c r="I1682" s="84">
        <v>44311.0</v>
      </c>
      <c r="J1682" s="65" t="b">
        <v>1</v>
      </c>
      <c r="K1682" s="65"/>
      <c r="L1682" s="85" t="b">
        <f>IF(VLOOKUP(C1682,Projetos!A:L,12,false)=TRUE,TRUE,FALSE)</f>
        <v>1</v>
      </c>
      <c r="M1682" s="74">
        <v>73.7079846079846</v>
      </c>
      <c r="N1682" s="74">
        <f t="shared" si="1"/>
        <v>92.13498076</v>
      </c>
      <c r="O1682" s="74" t="b">
        <v>1</v>
      </c>
    </row>
    <row r="1683" hidden="1">
      <c r="A1683" s="82"/>
      <c r="B1683" s="65" t="s">
        <v>495</v>
      </c>
      <c r="C1683" s="65" t="s">
        <v>92</v>
      </c>
      <c r="D1683" s="65" t="str">
        <f>vlookup(C1683,'Classificação p pessoal'!F:G,2,false)</f>
        <v/>
      </c>
      <c r="E1683" s="65" t="s">
        <v>1020</v>
      </c>
      <c r="F1683" s="83">
        <v>0.4583333333333333</v>
      </c>
      <c r="G1683" s="83">
        <v>0.5694444444444444</v>
      </c>
      <c r="H1683" s="83">
        <v>0.1111111111111111</v>
      </c>
      <c r="I1683" s="84">
        <v>44311.0</v>
      </c>
      <c r="J1683" s="65" t="b">
        <v>1</v>
      </c>
      <c r="K1683" s="65"/>
      <c r="L1683" s="85" t="b">
        <f>IF(VLOOKUP(C1683,Projetos!A:L,12,false)=TRUE,TRUE,FALSE)</f>
        <v>1</v>
      </c>
      <c r="M1683" s="74">
        <v>73.7079846079846</v>
      </c>
      <c r="N1683" s="74">
        <f t="shared" si="1"/>
        <v>196.5546256</v>
      </c>
      <c r="O1683" s="74" t="b">
        <v>1</v>
      </c>
    </row>
    <row r="1684" hidden="1">
      <c r="A1684" s="82"/>
      <c r="B1684" s="65" t="s">
        <v>467</v>
      </c>
      <c r="C1684" s="65" t="s">
        <v>130</v>
      </c>
      <c r="D1684" s="65"/>
      <c r="E1684" s="65" t="s">
        <v>1021</v>
      </c>
      <c r="F1684" s="83">
        <v>0.6458333333333334</v>
      </c>
      <c r="G1684" s="83">
        <v>0.6875</v>
      </c>
      <c r="H1684" s="83">
        <v>0.041666666666666664</v>
      </c>
      <c r="I1684" s="84">
        <v>44320.0</v>
      </c>
      <c r="J1684" s="65" t="b">
        <v>0</v>
      </c>
      <c r="K1684" s="65" t="s">
        <v>150</v>
      </c>
      <c r="L1684" s="85" t="b">
        <f>IF(VLOOKUP(C1684,Projetos!A:L,12,false)=TRUE,TRUE,FALSE)</f>
        <v>1</v>
      </c>
      <c r="M1684" s="74">
        <v>52.1518759018759</v>
      </c>
      <c r="N1684" s="74">
        <f t="shared" si="1"/>
        <v>0</v>
      </c>
      <c r="O1684" s="74" t="b">
        <v>1</v>
      </c>
    </row>
    <row r="1685" hidden="1">
      <c r="A1685" s="82"/>
      <c r="B1685" s="65" t="s">
        <v>495</v>
      </c>
      <c r="C1685" s="65" t="s">
        <v>92</v>
      </c>
      <c r="D1685" s="65" t="str">
        <f>vlookup(C1685,'Classificação p pessoal'!F:G,2,false)</f>
        <v/>
      </c>
      <c r="E1685" s="65" t="s">
        <v>1022</v>
      </c>
      <c r="F1685" s="83">
        <v>0.625</v>
      </c>
      <c r="G1685" s="83">
        <v>0.7083333333333334</v>
      </c>
      <c r="H1685" s="83">
        <v>0.08333333333333333</v>
      </c>
      <c r="I1685" s="84">
        <v>44311.0</v>
      </c>
      <c r="J1685" s="65" t="b">
        <v>1</v>
      </c>
      <c r="K1685" s="65"/>
      <c r="L1685" s="85" t="b">
        <f>IF(VLOOKUP(C1685,Projetos!A:L,12,false)=TRUE,TRUE,FALSE)</f>
        <v>1</v>
      </c>
      <c r="M1685" s="74">
        <v>73.7079846079846</v>
      </c>
      <c r="N1685" s="74">
        <f t="shared" si="1"/>
        <v>147.4159692</v>
      </c>
      <c r="O1685" s="74" t="b">
        <v>1</v>
      </c>
    </row>
    <row r="1686" hidden="1">
      <c r="A1686" s="82"/>
      <c r="B1686" s="65" t="s">
        <v>495</v>
      </c>
      <c r="C1686" s="65" t="s">
        <v>117</v>
      </c>
      <c r="D1686" s="65" t="str">
        <f>vlookup(C1686,'Classificação p pessoal'!F:G,2,false)</f>
        <v>NP</v>
      </c>
      <c r="E1686" s="65" t="s">
        <v>1023</v>
      </c>
      <c r="F1686" s="83">
        <v>0.7083333333333334</v>
      </c>
      <c r="G1686" s="83">
        <v>0.75</v>
      </c>
      <c r="H1686" s="83">
        <v>0.041666666666666664</v>
      </c>
      <c r="I1686" s="84">
        <v>44311.0</v>
      </c>
      <c r="J1686" s="65" t="b">
        <v>1</v>
      </c>
      <c r="K1686" s="65"/>
      <c r="L1686" s="85" t="b">
        <f>IF(VLOOKUP(C1686,Projetos!A:L,12,false)=TRUE,TRUE,FALSE)</f>
        <v>1</v>
      </c>
      <c r="M1686" s="74">
        <v>73.7079846079846</v>
      </c>
      <c r="N1686" s="74">
        <f t="shared" si="1"/>
        <v>73.70798461</v>
      </c>
      <c r="O1686" s="74" t="b">
        <v>1</v>
      </c>
    </row>
    <row r="1687" hidden="1">
      <c r="A1687" s="82"/>
      <c r="B1687" s="65" t="s">
        <v>495</v>
      </c>
      <c r="C1687" s="65" t="s">
        <v>92</v>
      </c>
      <c r="D1687" s="65" t="str">
        <f>vlookup(C1687,'Classificação p pessoal'!F:G,2,false)</f>
        <v/>
      </c>
      <c r="E1687" s="65" t="s">
        <v>1005</v>
      </c>
      <c r="F1687" s="83">
        <v>0.3541666666666667</v>
      </c>
      <c r="G1687" s="83">
        <v>0.4375</v>
      </c>
      <c r="H1687" s="83">
        <v>0.08333333333333333</v>
      </c>
      <c r="I1687" s="84">
        <v>44312.0</v>
      </c>
      <c r="J1687" s="65" t="b">
        <v>1</v>
      </c>
      <c r="K1687" s="65"/>
      <c r="L1687" s="85" t="b">
        <f>IF(VLOOKUP(C1687,Projetos!A:L,12,false)=TRUE,TRUE,FALSE)</f>
        <v>1</v>
      </c>
      <c r="M1687" s="74">
        <v>73.7079846079846</v>
      </c>
      <c r="N1687" s="74">
        <f t="shared" si="1"/>
        <v>147.4159692</v>
      </c>
      <c r="O1687" s="74" t="b">
        <v>1</v>
      </c>
    </row>
    <row r="1688" hidden="1">
      <c r="A1688" s="82"/>
      <c r="B1688" s="65" t="s">
        <v>495</v>
      </c>
      <c r="C1688" s="65" t="s">
        <v>121</v>
      </c>
      <c r="D1688" s="65" t="str">
        <f>vlookup(C1688,'Classificação p pessoal'!F:G,2,false)</f>
        <v>NP</v>
      </c>
      <c r="E1688" s="65" t="s">
        <v>1024</v>
      </c>
      <c r="F1688" s="83">
        <v>0.4583333333333333</v>
      </c>
      <c r="G1688" s="83">
        <v>0.4826388888888889</v>
      </c>
      <c r="H1688" s="83">
        <v>0.024305555555555556</v>
      </c>
      <c r="I1688" s="84">
        <v>44312.0</v>
      </c>
      <c r="J1688" s="65" t="b">
        <v>1</v>
      </c>
      <c r="K1688" s="65"/>
      <c r="L1688" s="85" t="b">
        <f>IF(VLOOKUP(C1688,Projetos!A:L,12,false)=TRUE,TRUE,FALSE)</f>
        <v>1</v>
      </c>
      <c r="M1688" s="74">
        <v>73.7079846079846</v>
      </c>
      <c r="N1688" s="74">
        <f t="shared" si="1"/>
        <v>42.99632435</v>
      </c>
      <c r="O1688" s="74" t="b">
        <v>1</v>
      </c>
    </row>
    <row r="1689" hidden="1">
      <c r="A1689" s="82"/>
      <c r="B1689" s="65" t="s">
        <v>495</v>
      </c>
      <c r="C1689" s="65" t="s">
        <v>130</v>
      </c>
      <c r="D1689" s="65"/>
      <c r="E1689" s="65" t="s">
        <v>1025</v>
      </c>
      <c r="F1689" s="83">
        <v>0.4895833333333333</v>
      </c>
      <c r="G1689" s="83">
        <v>0.5763888888888888</v>
      </c>
      <c r="H1689" s="83">
        <v>0.08680555555555555</v>
      </c>
      <c r="I1689" s="84">
        <v>44312.0</v>
      </c>
      <c r="J1689" s="65" t="b">
        <v>0</v>
      </c>
      <c r="K1689" s="65" t="s">
        <v>150</v>
      </c>
      <c r="L1689" s="85" t="b">
        <f>IF(VLOOKUP(C1689,Projetos!A:L,12,false)=TRUE,TRUE,FALSE)</f>
        <v>1</v>
      </c>
      <c r="M1689" s="74">
        <v>73.7079846079846</v>
      </c>
      <c r="N1689" s="74">
        <f t="shared" si="1"/>
        <v>0</v>
      </c>
      <c r="O1689" s="74" t="b">
        <v>1</v>
      </c>
    </row>
    <row r="1690" hidden="1">
      <c r="A1690" s="82"/>
      <c r="B1690" s="65" t="s">
        <v>495</v>
      </c>
      <c r="C1690" s="65" t="s">
        <v>92</v>
      </c>
      <c r="D1690" s="65" t="str">
        <f>vlookup(C1690,'Classificação p pessoal'!F:G,2,false)</f>
        <v/>
      </c>
      <c r="E1690" s="65" t="s">
        <v>834</v>
      </c>
      <c r="F1690" s="83">
        <v>0.6180555555555556</v>
      </c>
      <c r="G1690" s="83">
        <v>0.6666666666666666</v>
      </c>
      <c r="H1690" s="83">
        <v>0.04861111111111111</v>
      </c>
      <c r="I1690" s="84">
        <v>44312.0</v>
      </c>
      <c r="J1690" s="65" t="b">
        <v>1</v>
      </c>
      <c r="K1690" s="65"/>
      <c r="L1690" s="85" t="b">
        <f>IF(VLOOKUP(C1690,Projetos!A:L,12,false)=TRUE,TRUE,FALSE)</f>
        <v>1</v>
      </c>
      <c r="M1690" s="74">
        <v>73.7079846079846</v>
      </c>
      <c r="N1690" s="74">
        <f t="shared" si="1"/>
        <v>85.99264871</v>
      </c>
      <c r="O1690" s="74" t="b">
        <v>1</v>
      </c>
    </row>
    <row r="1691" hidden="1">
      <c r="A1691" s="82"/>
      <c r="B1691" s="65" t="s">
        <v>495</v>
      </c>
      <c r="C1691" s="65" t="s">
        <v>92</v>
      </c>
      <c r="D1691" s="65" t="str">
        <f>vlookup(C1691,'Classificação p pessoal'!F:G,2,false)</f>
        <v/>
      </c>
      <c r="E1691" s="65" t="s">
        <v>1026</v>
      </c>
      <c r="F1691" s="83">
        <v>0.6666666666666666</v>
      </c>
      <c r="G1691" s="83">
        <v>0.75</v>
      </c>
      <c r="H1691" s="83">
        <v>0.08333333333333333</v>
      </c>
      <c r="I1691" s="84">
        <v>44312.0</v>
      </c>
      <c r="J1691" s="65" t="b">
        <v>1</v>
      </c>
      <c r="K1691" s="65"/>
      <c r="L1691" s="85" t="b">
        <f>IF(VLOOKUP(C1691,Projetos!A:L,12,false)=TRUE,TRUE,FALSE)</f>
        <v>1</v>
      </c>
      <c r="M1691" s="74">
        <v>73.7079846079846</v>
      </c>
      <c r="N1691" s="74">
        <f t="shared" si="1"/>
        <v>147.4159692</v>
      </c>
      <c r="O1691" s="74" t="b">
        <v>1</v>
      </c>
    </row>
    <row r="1692" hidden="1">
      <c r="A1692" s="82"/>
      <c r="B1692" s="65" t="s">
        <v>495</v>
      </c>
      <c r="C1692" s="65" t="s">
        <v>92</v>
      </c>
      <c r="D1692" s="65" t="str">
        <f>vlookup(C1692,'Classificação p pessoal'!F:G,2,false)</f>
        <v/>
      </c>
      <c r="E1692" s="65" t="s">
        <v>1027</v>
      </c>
      <c r="F1692" s="83">
        <v>0.34375</v>
      </c>
      <c r="G1692" s="83">
        <v>0.375</v>
      </c>
      <c r="H1692" s="83">
        <v>0.03125</v>
      </c>
      <c r="I1692" s="84">
        <v>44313.0</v>
      </c>
      <c r="J1692" s="65" t="b">
        <v>1</v>
      </c>
      <c r="K1692" s="65"/>
      <c r="L1692" s="85" t="b">
        <f>IF(VLOOKUP(C1692,Projetos!A:L,12,false)=TRUE,TRUE,FALSE)</f>
        <v>1</v>
      </c>
      <c r="M1692" s="74">
        <v>73.7079846079846</v>
      </c>
      <c r="N1692" s="74">
        <f t="shared" si="1"/>
        <v>55.28098846</v>
      </c>
      <c r="O1692" s="74" t="b">
        <v>1</v>
      </c>
    </row>
    <row r="1693" hidden="1">
      <c r="A1693" s="82"/>
      <c r="B1693" s="65" t="s">
        <v>495</v>
      </c>
      <c r="C1693" s="65" t="s">
        <v>92</v>
      </c>
      <c r="D1693" s="65" t="str">
        <f>vlookup(C1693,'Classificação p pessoal'!F:G,2,false)</f>
        <v/>
      </c>
      <c r="E1693" s="65" t="s">
        <v>963</v>
      </c>
      <c r="F1693" s="83">
        <v>0.3958333333333333</v>
      </c>
      <c r="G1693" s="83">
        <v>0.4375</v>
      </c>
      <c r="H1693" s="83">
        <v>0.041666666666666664</v>
      </c>
      <c r="I1693" s="84">
        <v>44313.0</v>
      </c>
      <c r="J1693" s="65" t="b">
        <v>1</v>
      </c>
      <c r="K1693" s="65"/>
      <c r="L1693" s="85" t="b">
        <f>IF(VLOOKUP(C1693,Projetos!A:L,12,false)=TRUE,TRUE,FALSE)</f>
        <v>1</v>
      </c>
      <c r="M1693" s="74">
        <v>73.7079846079846</v>
      </c>
      <c r="N1693" s="74">
        <f t="shared" si="1"/>
        <v>73.70798461</v>
      </c>
      <c r="O1693" s="74" t="b">
        <v>1</v>
      </c>
    </row>
    <row r="1694" hidden="1">
      <c r="A1694" s="82"/>
      <c r="B1694" s="65" t="s">
        <v>495</v>
      </c>
      <c r="C1694" s="65" t="s">
        <v>92</v>
      </c>
      <c r="D1694" s="65" t="str">
        <f>vlookup(C1694,'Classificação p pessoal'!F:G,2,false)</f>
        <v/>
      </c>
      <c r="E1694" s="65" t="s">
        <v>1028</v>
      </c>
      <c r="F1694" s="83">
        <v>0.4375</v>
      </c>
      <c r="G1694" s="83">
        <v>0.5</v>
      </c>
      <c r="H1694" s="83">
        <v>0.0625</v>
      </c>
      <c r="I1694" s="84">
        <v>44313.0</v>
      </c>
      <c r="J1694" s="65" t="b">
        <v>1</v>
      </c>
      <c r="K1694" s="65"/>
      <c r="L1694" s="85" t="b">
        <f>IF(VLOOKUP(C1694,Projetos!A:L,12,false)=TRUE,TRUE,FALSE)</f>
        <v>1</v>
      </c>
      <c r="M1694" s="74">
        <v>73.7079846079846</v>
      </c>
      <c r="N1694" s="74">
        <f t="shared" si="1"/>
        <v>110.5619769</v>
      </c>
      <c r="O1694" s="74" t="b">
        <v>1</v>
      </c>
    </row>
    <row r="1695" hidden="1">
      <c r="A1695" s="82"/>
      <c r="B1695" s="65" t="s">
        <v>495</v>
      </c>
      <c r="C1695" s="65" t="s">
        <v>92</v>
      </c>
      <c r="D1695" s="65" t="str">
        <f>vlookup(C1695,'Classificação p pessoal'!F:G,2,false)</f>
        <v/>
      </c>
      <c r="E1695" s="65" t="s">
        <v>1029</v>
      </c>
      <c r="F1695" s="83">
        <v>0.5</v>
      </c>
      <c r="G1695" s="83">
        <v>0.5729166666666666</v>
      </c>
      <c r="H1695" s="83">
        <v>0.07291666666666667</v>
      </c>
      <c r="I1695" s="84">
        <v>44313.0</v>
      </c>
      <c r="J1695" s="65" t="b">
        <v>1</v>
      </c>
      <c r="K1695" s="65"/>
      <c r="L1695" s="85" t="b">
        <f>IF(VLOOKUP(C1695,Projetos!A:L,12,false)=TRUE,TRUE,FALSE)</f>
        <v>1</v>
      </c>
      <c r="M1695" s="74">
        <v>73.7079846079846</v>
      </c>
      <c r="N1695" s="74">
        <f t="shared" si="1"/>
        <v>128.9889731</v>
      </c>
      <c r="O1695" s="74" t="b">
        <v>1</v>
      </c>
    </row>
    <row r="1696" hidden="1">
      <c r="A1696" s="82"/>
      <c r="B1696" s="65" t="s">
        <v>495</v>
      </c>
      <c r="C1696" s="65" t="s">
        <v>92</v>
      </c>
      <c r="D1696" s="65" t="str">
        <f>vlookup(C1696,'Classificação p pessoal'!F:G,2,false)</f>
        <v/>
      </c>
      <c r="E1696" s="65" t="s">
        <v>1030</v>
      </c>
      <c r="F1696" s="83">
        <v>0.6145833333333334</v>
      </c>
      <c r="G1696" s="83">
        <v>0.6805555555555556</v>
      </c>
      <c r="H1696" s="83">
        <v>0.06597222222222222</v>
      </c>
      <c r="I1696" s="84">
        <v>44313.0</v>
      </c>
      <c r="J1696" s="65" t="b">
        <v>1</v>
      </c>
      <c r="K1696" s="65"/>
      <c r="L1696" s="85" t="b">
        <f>IF(VLOOKUP(C1696,Projetos!A:L,12,false)=TRUE,TRUE,FALSE)</f>
        <v>1</v>
      </c>
      <c r="M1696" s="74">
        <v>73.7079846079846</v>
      </c>
      <c r="N1696" s="74">
        <f t="shared" si="1"/>
        <v>116.704309</v>
      </c>
      <c r="O1696" s="74" t="b">
        <v>1</v>
      </c>
    </row>
    <row r="1697" hidden="1">
      <c r="A1697" s="82"/>
      <c r="B1697" s="65" t="s">
        <v>495</v>
      </c>
      <c r="C1697" s="65" t="s">
        <v>92</v>
      </c>
      <c r="D1697" s="65" t="str">
        <f>vlookup(C1697,'Classificação p pessoal'!F:G,2,false)</f>
        <v/>
      </c>
      <c r="E1697" s="65" t="s">
        <v>1031</v>
      </c>
      <c r="F1697" s="83">
        <v>0.6805555555555556</v>
      </c>
      <c r="G1697" s="83">
        <v>0.75</v>
      </c>
      <c r="H1697" s="83">
        <v>0.06944444444444445</v>
      </c>
      <c r="I1697" s="84">
        <v>44313.0</v>
      </c>
      <c r="J1697" s="65" t="b">
        <v>1</v>
      </c>
      <c r="K1697" s="65"/>
      <c r="L1697" s="85" t="b">
        <f>IF(VLOOKUP(C1697,Projetos!A:L,12,false)=TRUE,TRUE,FALSE)</f>
        <v>1</v>
      </c>
      <c r="M1697" s="74">
        <v>73.7079846079846</v>
      </c>
      <c r="N1697" s="74">
        <f t="shared" si="1"/>
        <v>122.846641</v>
      </c>
      <c r="O1697" s="74" t="b">
        <v>1</v>
      </c>
    </row>
    <row r="1698" hidden="1">
      <c r="A1698" s="82"/>
      <c r="B1698" s="65" t="s">
        <v>495</v>
      </c>
      <c r="C1698" s="65" t="s">
        <v>92</v>
      </c>
      <c r="D1698" s="65" t="str">
        <f>vlookup(C1698,'Classificação p pessoal'!F:G,2,false)</f>
        <v/>
      </c>
      <c r="E1698" s="65" t="s">
        <v>1032</v>
      </c>
      <c r="F1698" s="83">
        <v>0.3854166666666667</v>
      </c>
      <c r="G1698" s="83">
        <v>0.5763888888888888</v>
      </c>
      <c r="H1698" s="83">
        <v>0.1909722222222222</v>
      </c>
      <c r="I1698" s="84">
        <v>44344.0</v>
      </c>
      <c r="J1698" s="65" t="b">
        <v>1</v>
      </c>
      <c r="K1698" s="65"/>
      <c r="L1698" s="85" t="b">
        <f>IF(VLOOKUP(C1698,Projetos!A:L,12,false)=TRUE,TRUE,FALSE)</f>
        <v>1</v>
      </c>
      <c r="M1698" s="74">
        <v>73.7079846079846</v>
      </c>
      <c r="N1698" s="74">
        <f t="shared" si="1"/>
        <v>337.8282628</v>
      </c>
      <c r="O1698" s="74" t="b">
        <v>1</v>
      </c>
    </row>
    <row r="1699" hidden="1">
      <c r="A1699" s="82"/>
      <c r="B1699" s="65" t="s">
        <v>495</v>
      </c>
      <c r="C1699" s="65" t="s">
        <v>92</v>
      </c>
      <c r="D1699" s="65" t="str">
        <f>vlookup(C1699,'Classificação p pessoal'!F:G,2,false)</f>
        <v/>
      </c>
      <c r="E1699" s="65" t="s">
        <v>1031</v>
      </c>
      <c r="F1699" s="83">
        <v>0.6180555555555556</v>
      </c>
      <c r="G1699" s="83">
        <v>0.75</v>
      </c>
      <c r="H1699" s="83">
        <v>0.13194444444444445</v>
      </c>
      <c r="I1699" s="84">
        <v>44344.0</v>
      </c>
      <c r="J1699" s="65" t="b">
        <v>1</v>
      </c>
      <c r="K1699" s="65"/>
      <c r="L1699" s="85" t="b">
        <f>IF(VLOOKUP(C1699,Projetos!A:L,12,false)=TRUE,TRUE,FALSE)</f>
        <v>1</v>
      </c>
      <c r="M1699" s="74">
        <v>73.7079846079846</v>
      </c>
      <c r="N1699" s="74">
        <f t="shared" si="1"/>
        <v>233.4086179</v>
      </c>
      <c r="O1699" s="74" t="b">
        <v>1</v>
      </c>
    </row>
    <row r="1700" hidden="1">
      <c r="A1700" s="82"/>
      <c r="B1700" s="65" t="s">
        <v>495</v>
      </c>
      <c r="C1700" s="65" t="s">
        <v>117</v>
      </c>
      <c r="D1700" s="65" t="str">
        <f>vlookup(C1700,'Classificação p pessoal'!F:G,2,false)</f>
        <v>NP</v>
      </c>
      <c r="E1700" s="65" t="s">
        <v>1033</v>
      </c>
      <c r="F1700" s="83">
        <v>0.3541666666666667</v>
      </c>
      <c r="G1700" s="83">
        <v>0.375</v>
      </c>
      <c r="H1700" s="83">
        <v>0.020833333333333332</v>
      </c>
      <c r="I1700" s="84">
        <v>44347.0</v>
      </c>
      <c r="J1700" s="65" t="b">
        <v>1</v>
      </c>
      <c r="K1700" s="65"/>
      <c r="L1700" s="85" t="b">
        <f>IF(VLOOKUP(C1700,Projetos!A:L,12,false)=TRUE,TRUE,FALSE)</f>
        <v>1</v>
      </c>
      <c r="M1700" s="74">
        <v>73.7079846079846</v>
      </c>
      <c r="N1700" s="74">
        <f t="shared" si="1"/>
        <v>36.8539923</v>
      </c>
      <c r="O1700" s="74" t="b">
        <v>1</v>
      </c>
    </row>
    <row r="1701" hidden="1">
      <c r="A1701" s="82"/>
      <c r="B1701" s="65" t="s">
        <v>495</v>
      </c>
      <c r="C1701" s="65" t="s">
        <v>92</v>
      </c>
      <c r="D1701" s="65" t="str">
        <f>vlookup(C1701,'Classificação p pessoal'!F:G,2,false)</f>
        <v/>
      </c>
      <c r="E1701" s="65" t="s">
        <v>1034</v>
      </c>
      <c r="F1701" s="83">
        <v>0.375</v>
      </c>
      <c r="G1701" s="83">
        <v>0.4791666666666667</v>
      </c>
      <c r="H1701" s="83">
        <v>0.10416666666666667</v>
      </c>
      <c r="I1701" s="84">
        <v>44347.0</v>
      </c>
      <c r="J1701" s="65" t="b">
        <v>1</v>
      </c>
      <c r="K1701" s="65"/>
      <c r="L1701" s="85" t="b">
        <f>IF(VLOOKUP(C1701,Projetos!A:L,12,false)=TRUE,TRUE,FALSE)</f>
        <v>1</v>
      </c>
      <c r="M1701" s="74">
        <v>73.7079846079846</v>
      </c>
      <c r="N1701" s="74">
        <f t="shared" si="1"/>
        <v>184.2699615</v>
      </c>
      <c r="O1701" s="74" t="b">
        <v>1</v>
      </c>
    </row>
    <row r="1702" hidden="1">
      <c r="A1702" s="82"/>
      <c r="B1702" s="65" t="s">
        <v>495</v>
      </c>
      <c r="C1702" s="65" t="s">
        <v>92</v>
      </c>
      <c r="D1702" s="65" t="str">
        <f>vlookup(C1702,'Classificação p pessoal'!F:G,2,false)</f>
        <v/>
      </c>
      <c r="E1702" s="65" t="s">
        <v>1035</v>
      </c>
      <c r="F1702" s="83">
        <v>0.4791666666666667</v>
      </c>
      <c r="G1702" s="83">
        <v>0.5069444444444444</v>
      </c>
      <c r="H1702" s="83">
        <v>0.027777777777777776</v>
      </c>
      <c r="I1702" s="84">
        <v>44347.0</v>
      </c>
      <c r="J1702" s="65" t="b">
        <v>1</v>
      </c>
      <c r="K1702" s="65"/>
      <c r="L1702" s="85" t="b">
        <f>IF(VLOOKUP(C1702,Projetos!A:L,12,false)=TRUE,TRUE,FALSE)</f>
        <v>1</v>
      </c>
      <c r="M1702" s="74">
        <v>73.7079846079846</v>
      </c>
      <c r="N1702" s="74">
        <f t="shared" si="1"/>
        <v>49.13865641</v>
      </c>
      <c r="O1702" s="74" t="b">
        <v>1</v>
      </c>
    </row>
    <row r="1703" hidden="1">
      <c r="A1703" s="82"/>
      <c r="B1703" s="65" t="s">
        <v>495</v>
      </c>
      <c r="C1703" s="65" t="s">
        <v>92</v>
      </c>
      <c r="D1703" s="65" t="str">
        <f>vlookup(C1703,'Classificação p pessoal'!F:G,2,false)</f>
        <v/>
      </c>
      <c r="E1703" s="65" t="s">
        <v>1031</v>
      </c>
      <c r="F1703" s="83">
        <v>0.5138888888888888</v>
      </c>
      <c r="G1703" s="83">
        <v>0.5555555555555556</v>
      </c>
      <c r="H1703" s="83">
        <v>0.041666666666666664</v>
      </c>
      <c r="I1703" s="84">
        <v>44347.0</v>
      </c>
      <c r="J1703" s="65" t="b">
        <v>1</v>
      </c>
      <c r="K1703" s="65"/>
      <c r="L1703" s="85" t="b">
        <f>IF(VLOOKUP(C1703,Projetos!A:L,12,false)=TRUE,TRUE,FALSE)</f>
        <v>1</v>
      </c>
      <c r="M1703" s="74">
        <v>73.7079846079846</v>
      </c>
      <c r="N1703" s="74">
        <f t="shared" si="1"/>
        <v>73.70798461</v>
      </c>
      <c r="O1703" s="74" t="b">
        <v>1</v>
      </c>
    </row>
    <row r="1704" hidden="1">
      <c r="A1704" s="82"/>
      <c r="B1704" s="65" t="s">
        <v>495</v>
      </c>
      <c r="C1704" s="65" t="s">
        <v>92</v>
      </c>
      <c r="D1704" s="65" t="str">
        <f>vlookup(C1704,'Classificação p pessoal'!F:G,2,false)</f>
        <v/>
      </c>
      <c r="E1704" s="65" t="s">
        <v>1031</v>
      </c>
      <c r="F1704" s="83">
        <v>0.6041666666666666</v>
      </c>
      <c r="G1704" s="83">
        <v>0.6666666666666666</v>
      </c>
      <c r="H1704" s="83">
        <v>0.0625</v>
      </c>
      <c r="I1704" s="84">
        <v>44347.0</v>
      </c>
      <c r="J1704" s="65" t="b">
        <v>1</v>
      </c>
      <c r="K1704" s="65"/>
      <c r="L1704" s="85" t="b">
        <f>IF(VLOOKUP(C1704,Projetos!A:L,12,false)=TRUE,TRUE,FALSE)</f>
        <v>1</v>
      </c>
      <c r="M1704" s="74">
        <v>73.7079846079846</v>
      </c>
      <c r="N1704" s="74">
        <f t="shared" si="1"/>
        <v>110.5619769</v>
      </c>
      <c r="O1704" s="74" t="b">
        <v>1</v>
      </c>
    </row>
    <row r="1705" hidden="1">
      <c r="A1705" s="82"/>
      <c r="B1705" s="65" t="s">
        <v>495</v>
      </c>
      <c r="C1705" s="65" t="s">
        <v>92</v>
      </c>
      <c r="D1705" s="65" t="str">
        <f>vlookup(C1705,'Classificação p pessoal'!F:G,2,false)</f>
        <v/>
      </c>
      <c r="E1705" s="65" t="s">
        <v>1032</v>
      </c>
      <c r="F1705" s="83">
        <v>0.6666666666666666</v>
      </c>
      <c r="G1705" s="83">
        <v>0.7291666666666666</v>
      </c>
      <c r="H1705" s="83">
        <v>0.0625</v>
      </c>
      <c r="I1705" s="84">
        <v>44347.0</v>
      </c>
      <c r="J1705" s="65" t="b">
        <v>1</v>
      </c>
      <c r="K1705" s="65"/>
      <c r="L1705" s="85" t="b">
        <f>IF(VLOOKUP(C1705,Projetos!A:L,12,false)=TRUE,TRUE,FALSE)</f>
        <v>1</v>
      </c>
      <c r="M1705" s="74">
        <v>73.7079846079846</v>
      </c>
      <c r="N1705" s="74">
        <f t="shared" si="1"/>
        <v>110.5619769</v>
      </c>
      <c r="O1705" s="74" t="b">
        <v>1</v>
      </c>
    </row>
    <row r="1706" hidden="1">
      <c r="A1706" s="82"/>
      <c r="B1706" s="65" t="s">
        <v>467</v>
      </c>
      <c r="C1706" s="65" t="s">
        <v>92</v>
      </c>
      <c r="D1706" s="65"/>
      <c r="E1706" s="65" t="s">
        <v>1036</v>
      </c>
      <c r="F1706" s="83">
        <v>0.625</v>
      </c>
      <c r="G1706" s="83">
        <v>0.6875</v>
      </c>
      <c r="H1706" s="83">
        <v>0.0625</v>
      </c>
      <c r="I1706" s="84">
        <v>44236.0</v>
      </c>
      <c r="J1706" s="65" t="b">
        <v>0</v>
      </c>
      <c r="K1706" s="65" t="s">
        <v>150</v>
      </c>
      <c r="L1706" s="85" t="b">
        <f>IF(VLOOKUP(C1706,Projetos!A:L,12,false)=TRUE,TRUE,FALSE)</f>
        <v>1</v>
      </c>
      <c r="M1706" s="74">
        <v>52.1518759018759</v>
      </c>
      <c r="N1706" s="74">
        <f t="shared" si="1"/>
        <v>0</v>
      </c>
      <c r="O1706" s="74" t="b">
        <v>1</v>
      </c>
    </row>
    <row r="1707" hidden="1">
      <c r="A1707" s="82"/>
      <c r="B1707" s="65" t="s">
        <v>495</v>
      </c>
      <c r="C1707" s="65" t="s">
        <v>92</v>
      </c>
      <c r="D1707" s="65" t="str">
        <f>vlookup(C1707,'Classificação p pessoal'!F:G,2,false)</f>
        <v/>
      </c>
      <c r="E1707" s="65" t="s">
        <v>834</v>
      </c>
      <c r="F1707" s="83">
        <v>0.3541666666666667</v>
      </c>
      <c r="G1707" s="83">
        <v>0.375</v>
      </c>
      <c r="H1707" s="83">
        <v>0.020833333333333332</v>
      </c>
      <c r="I1707" s="84">
        <v>44348.0</v>
      </c>
      <c r="J1707" s="65" t="b">
        <v>1</v>
      </c>
      <c r="K1707" s="65"/>
      <c r="L1707" s="85" t="b">
        <f>IF(VLOOKUP(C1707,Projetos!A:L,12,false)=TRUE,TRUE,FALSE)</f>
        <v>1</v>
      </c>
      <c r="M1707" s="74">
        <v>73.7079846079846</v>
      </c>
      <c r="N1707" s="74">
        <f t="shared" si="1"/>
        <v>36.8539923</v>
      </c>
      <c r="O1707" s="74" t="b">
        <v>1</v>
      </c>
    </row>
    <row r="1708" hidden="1">
      <c r="A1708" s="82"/>
      <c r="B1708" s="65" t="s">
        <v>495</v>
      </c>
      <c r="C1708" s="65" t="s">
        <v>92</v>
      </c>
      <c r="D1708" s="65" t="str">
        <f>vlookup(C1708,'Classificação p pessoal'!F:G,2,false)</f>
        <v/>
      </c>
      <c r="E1708" s="65" t="s">
        <v>1037</v>
      </c>
      <c r="F1708" s="83">
        <v>0.375</v>
      </c>
      <c r="G1708" s="83">
        <v>0.5625</v>
      </c>
      <c r="H1708" s="83">
        <v>0.1875</v>
      </c>
      <c r="I1708" s="84">
        <v>44348.0</v>
      </c>
      <c r="J1708" s="65" t="b">
        <v>1</v>
      </c>
      <c r="K1708" s="65"/>
      <c r="L1708" s="85" t="b">
        <f>IF(VLOOKUP(C1708,Projetos!A:L,12,false)=TRUE,TRUE,FALSE)</f>
        <v>1</v>
      </c>
      <c r="M1708" s="74">
        <v>73.7079846079846</v>
      </c>
      <c r="N1708" s="74">
        <f t="shared" si="1"/>
        <v>331.6859307</v>
      </c>
      <c r="O1708" s="74" t="b">
        <v>1</v>
      </c>
    </row>
    <row r="1709" hidden="1">
      <c r="A1709" s="82"/>
      <c r="B1709" s="65" t="s">
        <v>495</v>
      </c>
      <c r="C1709" s="65" t="s">
        <v>92</v>
      </c>
      <c r="D1709" s="65" t="str">
        <f>vlookup(C1709,'Classificação p pessoal'!F:G,2,false)</f>
        <v/>
      </c>
      <c r="E1709" s="65" t="s">
        <v>1037</v>
      </c>
      <c r="F1709" s="83">
        <v>0.6041666666666666</v>
      </c>
      <c r="G1709" s="83">
        <v>0.6666666666666666</v>
      </c>
      <c r="H1709" s="83">
        <v>0.0625</v>
      </c>
      <c r="I1709" s="84">
        <v>44348.0</v>
      </c>
      <c r="J1709" s="65" t="b">
        <v>1</v>
      </c>
      <c r="K1709" s="65"/>
      <c r="L1709" s="85" t="b">
        <f>IF(VLOOKUP(C1709,Projetos!A:L,12,false)=TRUE,TRUE,FALSE)</f>
        <v>1</v>
      </c>
      <c r="M1709" s="74">
        <v>73.7079846079846</v>
      </c>
      <c r="N1709" s="74">
        <f t="shared" si="1"/>
        <v>110.5619769</v>
      </c>
      <c r="O1709" s="74" t="b">
        <v>1</v>
      </c>
    </row>
    <row r="1710" hidden="1">
      <c r="A1710" s="82"/>
      <c r="B1710" s="65" t="s">
        <v>495</v>
      </c>
      <c r="C1710" s="65" t="s">
        <v>92</v>
      </c>
      <c r="D1710" s="65" t="str">
        <f>vlookup(C1710,'Classificação p pessoal'!F:G,2,false)</f>
        <v/>
      </c>
      <c r="E1710" s="65" t="s">
        <v>1038</v>
      </c>
      <c r="F1710" s="83">
        <v>0.6666666666666666</v>
      </c>
      <c r="G1710" s="83">
        <v>0.75</v>
      </c>
      <c r="H1710" s="83">
        <v>0.08333333333333333</v>
      </c>
      <c r="I1710" s="84">
        <v>44348.0</v>
      </c>
      <c r="J1710" s="65" t="b">
        <v>1</v>
      </c>
      <c r="K1710" s="65"/>
      <c r="L1710" s="85" t="b">
        <f>IF(VLOOKUP(C1710,Projetos!A:L,12,false)=TRUE,TRUE,FALSE)</f>
        <v>1</v>
      </c>
      <c r="M1710" s="74">
        <v>73.7079846079846</v>
      </c>
      <c r="N1710" s="74">
        <f t="shared" si="1"/>
        <v>147.4159692</v>
      </c>
      <c r="O1710" s="74" t="b">
        <v>1</v>
      </c>
    </row>
    <row r="1711" hidden="1">
      <c r="A1711" s="82"/>
      <c r="B1711" s="65" t="s">
        <v>495</v>
      </c>
      <c r="C1711" s="65" t="s">
        <v>92</v>
      </c>
      <c r="D1711" s="65" t="str">
        <f>vlookup(C1711,'Classificação p pessoal'!F:G,2,false)</f>
        <v/>
      </c>
      <c r="E1711" s="65" t="s">
        <v>1039</v>
      </c>
      <c r="F1711" s="83">
        <v>0.3541666666666667</v>
      </c>
      <c r="G1711" s="83">
        <v>0.375</v>
      </c>
      <c r="H1711" s="83">
        <v>0.020833333333333332</v>
      </c>
      <c r="I1711" s="84">
        <v>44349.0</v>
      </c>
      <c r="J1711" s="65" t="b">
        <v>1</v>
      </c>
      <c r="K1711" s="65"/>
      <c r="L1711" s="85" t="b">
        <f>IF(VLOOKUP(C1711,Projetos!A:L,12,false)=TRUE,TRUE,FALSE)</f>
        <v>1</v>
      </c>
      <c r="M1711" s="74">
        <v>73.7079846079846</v>
      </c>
      <c r="N1711" s="74">
        <f t="shared" si="1"/>
        <v>36.8539923</v>
      </c>
      <c r="O1711" s="74" t="b">
        <v>1</v>
      </c>
    </row>
    <row r="1712" hidden="1">
      <c r="A1712" s="82"/>
      <c r="B1712" s="65" t="s">
        <v>495</v>
      </c>
      <c r="C1712" s="65" t="s">
        <v>92</v>
      </c>
      <c r="D1712" s="65"/>
      <c r="E1712" s="65" t="s">
        <v>1040</v>
      </c>
      <c r="F1712" s="83">
        <v>0.375</v>
      </c>
      <c r="G1712" s="83">
        <v>0.3958333333333333</v>
      </c>
      <c r="H1712" s="83">
        <v>0.020833333333333332</v>
      </c>
      <c r="I1712" s="84">
        <v>44349.0</v>
      </c>
      <c r="J1712" s="65" t="b">
        <v>0</v>
      </c>
      <c r="K1712" s="65" t="s">
        <v>150</v>
      </c>
      <c r="L1712" s="85" t="b">
        <f>IF(VLOOKUP(C1712,Projetos!A:L,12,false)=TRUE,TRUE,FALSE)</f>
        <v>1</v>
      </c>
      <c r="M1712" s="74">
        <v>73.7079846079846</v>
      </c>
      <c r="N1712" s="74">
        <f t="shared" si="1"/>
        <v>0</v>
      </c>
      <c r="O1712" s="74" t="b">
        <v>1</v>
      </c>
    </row>
    <row r="1713" hidden="1">
      <c r="A1713" s="82"/>
      <c r="B1713" s="65" t="s">
        <v>495</v>
      </c>
      <c r="C1713" s="65" t="s">
        <v>108</v>
      </c>
      <c r="D1713" s="65" t="str">
        <f>vlookup(C1713,'Classificação p pessoal'!F:G,2,false)</f>
        <v>NP</v>
      </c>
      <c r="E1713" s="65" t="s">
        <v>1041</v>
      </c>
      <c r="F1713" s="83">
        <v>0.3958333333333333</v>
      </c>
      <c r="G1713" s="83">
        <v>0.4270833333333333</v>
      </c>
      <c r="H1713" s="83">
        <v>0.03125</v>
      </c>
      <c r="I1713" s="84">
        <v>44349.0</v>
      </c>
      <c r="J1713" s="65" t="b">
        <v>1</v>
      </c>
      <c r="K1713" s="65"/>
      <c r="L1713" s="85" t="b">
        <f>IF(VLOOKUP(C1713,Projetos!A:L,12,false)=TRUE,TRUE,FALSE)</f>
        <v>1</v>
      </c>
      <c r="M1713" s="74">
        <v>73.7079846079846</v>
      </c>
      <c r="N1713" s="74">
        <f t="shared" si="1"/>
        <v>55.28098846</v>
      </c>
      <c r="O1713" s="74" t="b">
        <v>1</v>
      </c>
    </row>
    <row r="1714" hidden="1">
      <c r="A1714" s="82"/>
      <c r="B1714" s="65" t="s">
        <v>495</v>
      </c>
      <c r="C1714" s="65" t="s">
        <v>92</v>
      </c>
      <c r="D1714" s="65" t="str">
        <f>vlookup(C1714,'Classificação p pessoal'!F:G,2,false)</f>
        <v/>
      </c>
      <c r="E1714" s="65" t="s">
        <v>1038</v>
      </c>
      <c r="F1714" s="83">
        <v>0.4270833333333333</v>
      </c>
      <c r="G1714" s="83">
        <v>0.5416666666666666</v>
      </c>
      <c r="H1714" s="83">
        <v>0.11458333333333333</v>
      </c>
      <c r="I1714" s="84">
        <v>44349.0</v>
      </c>
      <c r="J1714" s="65" t="b">
        <v>1</v>
      </c>
      <c r="K1714" s="65"/>
      <c r="L1714" s="85" t="b">
        <f>IF(VLOOKUP(C1714,Projetos!A:L,12,false)=TRUE,TRUE,FALSE)</f>
        <v>1</v>
      </c>
      <c r="M1714" s="74">
        <v>73.7079846079846</v>
      </c>
      <c r="N1714" s="74">
        <f t="shared" si="1"/>
        <v>202.6969577</v>
      </c>
      <c r="O1714" s="74" t="b">
        <v>1</v>
      </c>
    </row>
    <row r="1715" hidden="1">
      <c r="A1715" s="82"/>
      <c r="B1715" s="65" t="s">
        <v>495</v>
      </c>
      <c r="C1715" s="65" t="s">
        <v>92</v>
      </c>
      <c r="D1715" s="65" t="str">
        <f>vlookup(C1715,'Classificação p pessoal'!F:G,2,false)</f>
        <v/>
      </c>
      <c r="E1715" s="65" t="s">
        <v>834</v>
      </c>
      <c r="F1715" s="83">
        <v>0.6770833333333334</v>
      </c>
      <c r="G1715" s="83">
        <v>0.75</v>
      </c>
      <c r="H1715" s="83">
        <v>0.07291666666666667</v>
      </c>
      <c r="I1715" s="84">
        <v>44349.0</v>
      </c>
      <c r="J1715" s="65" t="b">
        <v>1</v>
      </c>
      <c r="K1715" s="65"/>
      <c r="L1715" s="85" t="b">
        <f>IF(VLOOKUP(C1715,Projetos!A:L,12,false)=TRUE,TRUE,FALSE)</f>
        <v>1</v>
      </c>
      <c r="M1715" s="74">
        <v>73.7079846079846</v>
      </c>
      <c r="N1715" s="74">
        <f t="shared" si="1"/>
        <v>128.9889731</v>
      </c>
      <c r="O1715" s="74" t="b">
        <v>1</v>
      </c>
    </row>
    <row r="1716" hidden="1">
      <c r="A1716" s="82"/>
      <c r="B1716" s="65" t="s">
        <v>495</v>
      </c>
      <c r="C1716" s="65" t="s">
        <v>92</v>
      </c>
      <c r="D1716" s="65" t="str">
        <f>vlookup(C1716,'Classificação p pessoal'!F:G,2,false)</f>
        <v/>
      </c>
      <c r="E1716" s="65" t="s">
        <v>1039</v>
      </c>
      <c r="F1716" s="83">
        <v>0.34375</v>
      </c>
      <c r="G1716" s="83">
        <v>0.375</v>
      </c>
      <c r="H1716" s="83">
        <v>0.03125</v>
      </c>
      <c r="I1716" s="84">
        <v>44354.0</v>
      </c>
      <c r="J1716" s="65" t="b">
        <v>1</v>
      </c>
      <c r="K1716" s="65"/>
      <c r="L1716" s="85" t="b">
        <f>IF(VLOOKUP(C1716,Projetos!A:L,12,false)=TRUE,TRUE,FALSE)</f>
        <v>1</v>
      </c>
      <c r="M1716" s="74">
        <v>73.7079846079846</v>
      </c>
      <c r="N1716" s="74">
        <f t="shared" si="1"/>
        <v>55.28098846</v>
      </c>
      <c r="O1716" s="74" t="b">
        <v>1</v>
      </c>
    </row>
    <row r="1717" hidden="1">
      <c r="A1717" s="82"/>
      <c r="B1717" s="65" t="s">
        <v>495</v>
      </c>
      <c r="C1717" s="65" t="s">
        <v>92</v>
      </c>
      <c r="D1717" s="65" t="str">
        <f>vlookup(C1717,'Classificação p pessoal'!F:G,2,false)</f>
        <v/>
      </c>
      <c r="E1717" s="65" t="s">
        <v>1042</v>
      </c>
      <c r="F1717" s="83">
        <v>0.375</v>
      </c>
      <c r="G1717" s="83">
        <v>0.4166666666666667</v>
      </c>
      <c r="H1717" s="83">
        <v>0.041666666666666664</v>
      </c>
      <c r="I1717" s="84">
        <v>44354.0</v>
      </c>
      <c r="J1717" s="65" t="b">
        <v>1</v>
      </c>
      <c r="K1717" s="65"/>
      <c r="L1717" s="85" t="b">
        <f>IF(VLOOKUP(C1717,Projetos!A:L,12,false)=TRUE,TRUE,FALSE)</f>
        <v>1</v>
      </c>
      <c r="M1717" s="74">
        <v>73.7079846079846</v>
      </c>
      <c r="N1717" s="74">
        <f t="shared" si="1"/>
        <v>73.70798461</v>
      </c>
      <c r="O1717" s="74" t="b">
        <v>1</v>
      </c>
    </row>
    <row r="1718" hidden="1">
      <c r="A1718" s="82"/>
      <c r="B1718" s="65" t="s">
        <v>495</v>
      </c>
      <c r="C1718" s="65" t="s">
        <v>92</v>
      </c>
      <c r="D1718" s="65" t="str">
        <f>vlookup(C1718,'Classificação p pessoal'!F:G,2,false)</f>
        <v/>
      </c>
      <c r="E1718" s="65" t="s">
        <v>834</v>
      </c>
      <c r="F1718" s="83">
        <v>0.4166666666666667</v>
      </c>
      <c r="G1718" s="83">
        <v>0.4791666666666667</v>
      </c>
      <c r="H1718" s="83">
        <v>0.0625</v>
      </c>
      <c r="I1718" s="84">
        <v>44354.0</v>
      </c>
      <c r="J1718" s="65" t="b">
        <v>1</v>
      </c>
      <c r="K1718" s="65"/>
      <c r="L1718" s="85" t="b">
        <f>IF(VLOOKUP(C1718,Projetos!A:L,12,false)=TRUE,TRUE,FALSE)</f>
        <v>1</v>
      </c>
      <c r="M1718" s="74">
        <v>73.7079846079846</v>
      </c>
      <c r="N1718" s="74">
        <f t="shared" si="1"/>
        <v>110.5619769</v>
      </c>
      <c r="O1718" s="74" t="b">
        <v>1</v>
      </c>
    </row>
    <row r="1719" hidden="1">
      <c r="A1719" s="82"/>
      <c r="B1719" s="65" t="s">
        <v>495</v>
      </c>
      <c r="C1719" s="65" t="s">
        <v>92</v>
      </c>
      <c r="D1719" s="65" t="str">
        <f>vlookup(C1719,'Classificação p pessoal'!F:G,2,false)</f>
        <v/>
      </c>
      <c r="E1719" s="65" t="s">
        <v>1043</v>
      </c>
      <c r="F1719" s="83">
        <v>0.4791666666666667</v>
      </c>
      <c r="G1719" s="83">
        <v>0.5694444444444444</v>
      </c>
      <c r="H1719" s="83">
        <v>0.09027777777777778</v>
      </c>
      <c r="I1719" s="84">
        <v>44354.0</v>
      </c>
      <c r="J1719" s="65" t="b">
        <v>1</v>
      </c>
      <c r="K1719" s="65"/>
      <c r="L1719" s="85" t="b">
        <f>IF(VLOOKUP(C1719,Projetos!A:L,12,false)=TRUE,TRUE,FALSE)</f>
        <v>1</v>
      </c>
      <c r="M1719" s="74">
        <v>73.7079846079846</v>
      </c>
      <c r="N1719" s="74">
        <f t="shared" si="1"/>
        <v>159.7006333</v>
      </c>
      <c r="O1719" s="74" t="b">
        <v>1</v>
      </c>
    </row>
    <row r="1720" hidden="1">
      <c r="A1720" s="82"/>
      <c r="B1720" s="65" t="s">
        <v>495</v>
      </c>
      <c r="C1720" s="65" t="s">
        <v>92</v>
      </c>
      <c r="D1720" s="65" t="str">
        <f>vlookup(C1720,'Classificação p pessoal'!F:G,2,false)</f>
        <v/>
      </c>
      <c r="E1720" s="65" t="s">
        <v>1044</v>
      </c>
      <c r="F1720" s="83">
        <v>0.6111111111111112</v>
      </c>
      <c r="G1720" s="83">
        <v>0.6458333333333334</v>
      </c>
      <c r="H1720" s="83">
        <v>0.034722222222222224</v>
      </c>
      <c r="I1720" s="84">
        <v>44354.0</v>
      </c>
      <c r="J1720" s="65" t="b">
        <v>1</v>
      </c>
      <c r="K1720" s="65"/>
      <c r="L1720" s="85" t="b">
        <f>IF(VLOOKUP(C1720,Projetos!A:L,12,false)=TRUE,TRUE,FALSE)</f>
        <v>1</v>
      </c>
      <c r="M1720" s="74">
        <v>73.7079846079846</v>
      </c>
      <c r="N1720" s="74">
        <f t="shared" si="1"/>
        <v>61.42332051</v>
      </c>
      <c r="O1720" s="74" t="b">
        <v>1</v>
      </c>
    </row>
    <row r="1721" hidden="1">
      <c r="A1721" s="82"/>
      <c r="B1721" s="65" t="s">
        <v>495</v>
      </c>
      <c r="C1721" s="65" t="s">
        <v>92</v>
      </c>
      <c r="D1721" s="65" t="str">
        <f>vlookup(C1721,'Classificação p pessoal'!F:G,2,false)</f>
        <v/>
      </c>
      <c r="E1721" s="65" t="s">
        <v>1045</v>
      </c>
      <c r="F1721" s="83">
        <v>0.6458333333333334</v>
      </c>
      <c r="G1721" s="83">
        <v>0.7083333333333334</v>
      </c>
      <c r="H1721" s="83">
        <v>0.0625</v>
      </c>
      <c r="I1721" s="84">
        <v>44354.0</v>
      </c>
      <c r="J1721" s="65" t="b">
        <v>1</v>
      </c>
      <c r="K1721" s="65"/>
      <c r="L1721" s="85" t="b">
        <f>IF(VLOOKUP(C1721,Projetos!A:L,12,false)=TRUE,TRUE,FALSE)</f>
        <v>1</v>
      </c>
      <c r="M1721" s="74">
        <v>73.7079846079846</v>
      </c>
      <c r="N1721" s="74">
        <f t="shared" si="1"/>
        <v>110.5619769</v>
      </c>
      <c r="O1721" s="74" t="b">
        <v>1</v>
      </c>
    </row>
    <row r="1722" hidden="1">
      <c r="A1722" s="82"/>
      <c r="B1722" s="65" t="s">
        <v>495</v>
      </c>
      <c r="C1722" s="65" t="s">
        <v>92</v>
      </c>
      <c r="D1722" s="65" t="str">
        <f>vlookup(C1722,'Classificação p pessoal'!F:G,2,false)</f>
        <v/>
      </c>
      <c r="E1722" s="65" t="s">
        <v>1046</v>
      </c>
      <c r="F1722" s="83">
        <v>0.3541666666666667</v>
      </c>
      <c r="G1722" s="83">
        <v>0.4166666666666667</v>
      </c>
      <c r="H1722" s="83">
        <v>0.0625</v>
      </c>
      <c r="I1722" s="84">
        <v>44355.0</v>
      </c>
      <c r="J1722" s="65" t="b">
        <v>1</v>
      </c>
      <c r="K1722" s="65"/>
      <c r="L1722" s="85" t="b">
        <f>IF(VLOOKUP(C1722,Projetos!A:L,12,false)=TRUE,TRUE,FALSE)</f>
        <v>1</v>
      </c>
      <c r="M1722" s="74">
        <v>73.7079846079846</v>
      </c>
      <c r="N1722" s="74">
        <f t="shared" si="1"/>
        <v>110.5619769</v>
      </c>
      <c r="O1722" s="74" t="b">
        <v>1</v>
      </c>
    </row>
    <row r="1723" hidden="1">
      <c r="A1723" s="82"/>
      <c r="B1723" s="65" t="s">
        <v>495</v>
      </c>
      <c r="C1723" s="65" t="s">
        <v>92</v>
      </c>
      <c r="D1723" s="65" t="str">
        <f>vlookup(C1723,'Classificação p pessoal'!F:G,2,false)</f>
        <v/>
      </c>
      <c r="E1723" s="65" t="s">
        <v>1047</v>
      </c>
      <c r="F1723" s="83">
        <v>0.4375</v>
      </c>
      <c r="G1723" s="83">
        <v>0.5</v>
      </c>
      <c r="H1723" s="83">
        <v>0.0625</v>
      </c>
      <c r="I1723" s="84">
        <v>44355.0</v>
      </c>
      <c r="J1723" s="65" t="b">
        <v>1</v>
      </c>
      <c r="K1723" s="65"/>
      <c r="L1723" s="85" t="b">
        <f>IF(VLOOKUP(C1723,Projetos!A:L,12,false)=TRUE,TRUE,FALSE)</f>
        <v>1</v>
      </c>
      <c r="M1723" s="74">
        <v>73.7079846079846</v>
      </c>
      <c r="N1723" s="74">
        <f t="shared" si="1"/>
        <v>110.5619769</v>
      </c>
      <c r="O1723" s="74" t="b">
        <v>1</v>
      </c>
    </row>
    <row r="1724" hidden="1">
      <c r="A1724" s="82"/>
      <c r="B1724" s="65" t="s">
        <v>495</v>
      </c>
      <c r="C1724" s="65" t="s">
        <v>130</v>
      </c>
      <c r="D1724" s="65"/>
      <c r="E1724" s="65" t="s">
        <v>1048</v>
      </c>
      <c r="F1724" s="83">
        <v>0.5</v>
      </c>
      <c r="G1724" s="83">
        <v>0.5729166666666666</v>
      </c>
      <c r="H1724" s="83">
        <v>0.07291666666666667</v>
      </c>
      <c r="I1724" s="84">
        <v>44355.0</v>
      </c>
      <c r="J1724" s="65" t="b">
        <v>0</v>
      </c>
      <c r="K1724" s="65" t="s">
        <v>150</v>
      </c>
      <c r="L1724" s="85" t="b">
        <f>IF(VLOOKUP(C1724,Projetos!A:L,12,false)=TRUE,TRUE,FALSE)</f>
        <v>1</v>
      </c>
      <c r="M1724" s="74">
        <v>73.7079846079846</v>
      </c>
      <c r="N1724" s="74">
        <f t="shared" si="1"/>
        <v>0</v>
      </c>
      <c r="O1724" s="74" t="b">
        <v>1</v>
      </c>
    </row>
    <row r="1725" hidden="1">
      <c r="A1725" s="82"/>
      <c r="B1725" s="65" t="s">
        <v>495</v>
      </c>
      <c r="C1725" s="65" t="s">
        <v>130</v>
      </c>
      <c r="D1725" s="65"/>
      <c r="E1725" s="65" t="s">
        <v>1049</v>
      </c>
      <c r="F1725" s="83">
        <v>0.6145833333333334</v>
      </c>
      <c r="G1725" s="83">
        <v>0.6770833333333334</v>
      </c>
      <c r="H1725" s="83">
        <v>0.0625</v>
      </c>
      <c r="I1725" s="84">
        <v>44355.0</v>
      </c>
      <c r="J1725" s="65" t="b">
        <v>0</v>
      </c>
      <c r="K1725" s="65" t="s">
        <v>150</v>
      </c>
      <c r="L1725" s="85" t="b">
        <f>IF(VLOOKUP(C1725,Projetos!A:L,12,false)=TRUE,TRUE,FALSE)</f>
        <v>1</v>
      </c>
      <c r="M1725" s="74">
        <v>73.7079846079846</v>
      </c>
      <c r="N1725" s="74">
        <f t="shared" si="1"/>
        <v>0</v>
      </c>
      <c r="O1725" s="74" t="b">
        <v>1</v>
      </c>
    </row>
    <row r="1726" hidden="1">
      <c r="A1726" s="82"/>
      <c r="B1726" s="65" t="s">
        <v>495</v>
      </c>
      <c r="C1726" s="65" t="s">
        <v>108</v>
      </c>
      <c r="D1726" s="65" t="str">
        <f>vlookup(C1726,'Classificação p pessoal'!F:G,2,false)</f>
        <v>NP</v>
      </c>
      <c r="E1726" s="65" t="s">
        <v>1050</v>
      </c>
      <c r="F1726" s="83">
        <v>0.34375</v>
      </c>
      <c r="G1726" s="83">
        <v>0.4583333333333333</v>
      </c>
      <c r="H1726" s="83">
        <v>0.11458333333333333</v>
      </c>
      <c r="I1726" s="84">
        <v>44356.0</v>
      </c>
      <c r="J1726" s="65" t="b">
        <v>1</v>
      </c>
      <c r="K1726" s="65"/>
      <c r="L1726" s="85" t="b">
        <f>IF(VLOOKUP(C1726,Projetos!A:L,12,false)=TRUE,TRUE,FALSE)</f>
        <v>1</v>
      </c>
      <c r="M1726" s="74">
        <v>73.7079846079846</v>
      </c>
      <c r="N1726" s="74">
        <f t="shared" si="1"/>
        <v>202.6969577</v>
      </c>
      <c r="O1726" s="74" t="b">
        <v>1</v>
      </c>
    </row>
    <row r="1727" hidden="1">
      <c r="A1727" s="82"/>
      <c r="B1727" s="65" t="s">
        <v>495</v>
      </c>
      <c r="C1727" s="65" t="s">
        <v>92</v>
      </c>
      <c r="D1727" s="65" t="str">
        <f>vlookup(C1727,'Classificação p pessoal'!F:G,2,false)</f>
        <v/>
      </c>
      <c r="E1727" s="65" t="s">
        <v>834</v>
      </c>
      <c r="F1727" s="83">
        <v>0.4583333333333333</v>
      </c>
      <c r="G1727" s="83">
        <v>0.5</v>
      </c>
      <c r="H1727" s="83">
        <v>0.041666666666666664</v>
      </c>
      <c r="I1727" s="84">
        <v>44356.0</v>
      </c>
      <c r="J1727" s="65" t="b">
        <v>1</v>
      </c>
      <c r="K1727" s="65"/>
      <c r="L1727" s="85" t="b">
        <f>IF(VLOOKUP(C1727,Projetos!A:L,12,false)=TRUE,TRUE,FALSE)</f>
        <v>1</v>
      </c>
      <c r="M1727" s="74">
        <v>73.7079846079846</v>
      </c>
      <c r="N1727" s="74">
        <f t="shared" si="1"/>
        <v>73.70798461</v>
      </c>
      <c r="O1727" s="74" t="b">
        <v>1</v>
      </c>
    </row>
    <row r="1728" hidden="1">
      <c r="A1728" s="82"/>
      <c r="B1728" s="65" t="s">
        <v>495</v>
      </c>
      <c r="C1728" s="65" t="s">
        <v>130</v>
      </c>
      <c r="D1728" s="65" t="str">
        <f>vlookup(C1728,'Classificação p pessoal'!F:G,2,false)</f>
        <v>NP</v>
      </c>
      <c r="E1728" s="65" t="s">
        <v>1051</v>
      </c>
      <c r="F1728" s="83">
        <v>0.5</v>
      </c>
      <c r="G1728" s="83">
        <v>0.5694444444444444</v>
      </c>
      <c r="H1728" s="83">
        <v>0.06944444444444445</v>
      </c>
      <c r="I1728" s="84">
        <v>44356.0</v>
      </c>
      <c r="J1728" s="65" t="b">
        <v>1</v>
      </c>
      <c r="K1728" s="65"/>
      <c r="L1728" s="85" t="b">
        <f>IF(VLOOKUP(C1728,Projetos!A:L,12,false)=TRUE,TRUE,FALSE)</f>
        <v>1</v>
      </c>
      <c r="M1728" s="74">
        <v>73.7079846079846</v>
      </c>
      <c r="N1728" s="74">
        <f t="shared" si="1"/>
        <v>122.846641</v>
      </c>
      <c r="O1728" s="74" t="b">
        <v>1</v>
      </c>
    </row>
    <row r="1729" hidden="1">
      <c r="A1729" s="82"/>
      <c r="B1729" s="65" t="s">
        <v>495</v>
      </c>
      <c r="C1729" s="65" t="s">
        <v>130</v>
      </c>
      <c r="D1729" s="65" t="str">
        <f>vlookup(C1729,'Classificação p pessoal'!F:G,2,false)</f>
        <v>NP</v>
      </c>
      <c r="E1729" s="65" t="s">
        <v>1051</v>
      </c>
      <c r="F1729" s="83">
        <v>0.6111111111111112</v>
      </c>
      <c r="G1729" s="83">
        <v>0.6666666666666666</v>
      </c>
      <c r="H1729" s="83">
        <v>0.05555555555555555</v>
      </c>
      <c r="I1729" s="84">
        <v>44356.0</v>
      </c>
      <c r="J1729" s="65" t="b">
        <v>1</v>
      </c>
      <c r="K1729" s="65"/>
      <c r="L1729" s="85" t="b">
        <f>IF(VLOOKUP(C1729,Projetos!A:L,12,false)=TRUE,TRUE,FALSE)</f>
        <v>1</v>
      </c>
      <c r="M1729" s="74">
        <v>73.7079846079846</v>
      </c>
      <c r="N1729" s="74">
        <f t="shared" si="1"/>
        <v>98.27731281</v>
      </c>
      <c r="O1729" s="74" t="b">
        <v>1</v>
      </c>
    </row>
    <row r="1730" hidden="1">
      <c r="A1730" s="82"/>
      <c r="B1730" s="65" t="s">
        <v>495</v>
      </c>
      <c r="C1730" s="65" t="s">
        <v>92</v>
      </c>
      <c r="D1730" s="65" t="str">
        <f>vlookup(C1730,'Classificação p pessoal'!F:G,2,false)</f>
        <v/>
      </c>
      <c r="E1730" s="65" t="s">
        <v>1052</v>
      </c>
      <c r="F1730" s="83">
        <v>0.6666666666666666</v>
      </c>
      <c r="G1730" s="83">
        <v>0.75</v>
      </c>
      <c r="H1730" s="83">
        <v>0.08333333333333333</v>
      </c>
      <c r="I1730" s="84">
        <v>44356.0</v>
      </c>
      <c r="J1730" s="65" t="b">
        <v>1</v>
      </c>
      <c r="K1730" s="65"/>
      <c r="L1730" s="85" t="b">
        <f>IF(VLOOKUP(C1730,Projetos!A:L,12,false)=TRUE,TRUE,FALSE)</f>
        <v>1</v>
      </c>
      <c r="M1730" s="74">
        <v>73.7079846079846</v>
      </c>
      <c r="N1730" s="74">
        <f t="shared" si="1"/>
        <v>147.4159692</v>
      </c>
      <c r="O1730" s="74" t="b">
        <v>1</v>
      </c>
    </row>
    <row r="1731" hidden="1">
      <c r="A1731" s="82"/>
      <c r="B1731" s="65" t="s">
        <v>495</v>
      </c>
      <c r="C1731" s="65" t="s">
        <v>92</v>
      </c>
      <c r="D1731" s="65" t="str">
        <f>vlookup(C1731,'Classificação p pessoal'!F:G,2,false)</f>
        <v/>
      </c>
      <c r="E1731" s="65" t="s">
        <v>1053</v>
      </c>
      <c r="F1731" s="83">
        <v>0.3541666666666667</v>
      </c>
      <c r="G1731" s="83">
        <v>0.4583333333333333</v>
      </c>
      <c r="H1731" s="83">
        <v>0.10416666666666667</v>
      </c>
      <c r="I1731" s="84">
        <v>44357.0</v>
      </c>
      <c r="J1731" s="65" t="b">
        <v>1</v>
      </c>
      <c r="K1731" s="65"/>
      <c r="L1731" s="85" t="b">
        <f>IF(VLOOKUP(C1731,Projetos!A:L,12,false)=TRUE,TRUE,FALSE)</f>
        <v>1</v>
      </c>
      <c r="M1731" s="74">
        <v>73.7079846079846</v>
      </c>
      <c r="N1731" s="74">
        <f t="shared" si="1"/>
        <v>184.2699615</v>
      </c>
      <c r="O1731" s="74" t="b">
        <v>1</v>
      </c>
    </row>
    <row r="1732" hidden="1">
      <c r="A1732" s="82"/>
      <c r="B1732" s="65" t="s">
        <v>495</v>
      </c>
      <c r="C1732" s="65" t="s">
        <v>130</v>
      </c>
      <c r="D1732" s="65" t="str">
        <f>vlookup(C1732,'Classificação p pessoal'!F:G,2,false)</f>
        <v>NP</v>
      </c>
      <c r="E1732" s="65" t="s">
        <v>1054</v>
      </c>
      <c r="F1732" s="83">
        <v>0.4583333333333333</v>
      </c>
      <c r="G1732" s="83">
        <v>0.5</v>
      </c>
      <c r="H1732" s="83">
        <v>0.041666666666666664</v>
      </c>
      <c r="I1732" s="84">
        <v>44357.0</v>
      </c>
      <c r="J1732" s="65" t="b">
        <v>1</v>
      </c>
      <c r="K1732" s="65"/>
      <c r="L1732" s="85" t="b">
        <f>IF(VLOOKUP(C1732,Projetos!A:L,12,false)=TRUE,TRUE,FALSE)</f>
        <v>1</v>
      </c>
      <c r="M1732" s="74">
        <v>73.7079846079846</v>
      </c>
      <c r="N1732" s="74">
        <f t="shared" si="1"/>
        <v>73.70798461</v>
      </c>
      <c r="O1732" s="74" t="b">
        <v>1</v>
      </c>
    </row>
    <row r="1733" hidden="1">
      <c r="A1733" s="82"/>
      <c r="B1733" s="65" t="s">
        <v>495</v>
      </c>
      <c r="C1733" s="65" t="s">
        <v>108</v>
      </c>
      <c r="D1733" s="65"/>
      <c r="E1733" s="65" t="s">
        <v>1055</v>
      </c>
      <c r="F1733" s="83">
        <v>0.5277777777777778</v>
      </c>
      <c r="G1733" s="83">
        <v>0.625</v>
      </c>
      <c r="H1733" s="83">
        <v>0.09722222222222222</v>
      </c>
      <c r="I1733" s="84">
        <v>44357.0</v>
      </c>
      <c r="J1733" s="65" t="b">
        <v>0</v>
      </c>
      <c r="K1733" s="65" t="s">
        <v>150</v>
      </c>
      <c r="L1733" s="85" t="b">
        <f>IF(VLOOKUP(C1733,Projetos!A:L,12,false)=TRUE,TRUE,FALSE)</f>
        <v>1</v>
      </c>
      <c r="M1733" s="74">
        <v>73.7079846079846</v>
      </c>
      <c r="N1733" s="74">
        <f t="shared" si="1"/>
        <v>0</v>
      </c>
      <c r="O1733" s="74" t="b">
        <v>1</v>
      </c>
    </row>
    <row r="1734" hidden="1">
      <c r="A1734" s="82"/>
      <c r="B1734" s="65" t="s">
        <v>495</v>
      </c>
      <c r="C1734" s="65" t="s">
        <v>108</v>
      </c>
      <c r="D1734" s="65" t="str">
        <f>vlookup(C1734,'Classificação p pessoal'!F:G,2,false)</f>
        <v>NP</v>
      </c>
      <c r="E1734" s="65" t="s">
        <v>1056</v>
      </c>
      <c r="F1734" s="83">
        <v>0.625</v>
      </c>
      <c r="G1734" s="83">
        <v>0.7083333333333334</v>
      </c>
      <c r="H1734" s="83">
        <v>0.08333333333333333</v>
      </c>
      <c r="I1734" s="84">
        <v>44357.0</v>
      </c>
      <c r="J1734" s="65" t="b">
        <v>1</v>
      </c>
      <c r="K1734" s="65"/>
      <c r="L1734" s="85" t="b">
        <f>IF(VLOOKUP(C1734,Projetos!A:L,12,false)=TRUE,TRUE,FALSE)</f>
        <v>1</v>
      </c>
      <c r="M1734" s="74">
        <v>73.7079846079846</v>
      </c>
      <c r="N1734" s="74">
        <f t="shared" si="1"/>
        <v>147.4159692</v>
      </c>
      <c r="O1734" s="74" t="b">
        <v>1</v>
      </c>
    </row>
    <row r="1735" hidden="1">
      <c r="A1735" s="82"/>
      <c r="B1735" s="65" t="s">
        <v>495</v>
      </c>
      <c r="C1735" s="65" t="s">
        <v>92</v>
      </c>
      <c r="D1735" s="65" t="str">
        <f>vlookup(C1735,'Classificação p pessoal'!F:G,2,false)</f>
        <v/>
      </c>
      <c r="E1735" s="65" t="s">
        <v>1057</v>
      </c>
      <c r="F1735" s="83">
        <v>0.7083333333333334</v>
      </c>
      <c r="G1735" s="83">
        <v>0.75</v>
      </c>
      <c r="H1735" s="83">
        <v>0.041666666666666664</v>
      </c>
      <c r="I1735" s="84">
        <v>44357.0</v>
      </c>
      <c r="J1735" s="65" t="b">
        <v>1</v>
      </c>
      <c r="K1735" s="65"/>
      <c r="L1735" s="85" t="b">
        <f>IF(VLOOKUP(C1735,Projetos!A:L,12,false)=TRUE,TRUE,FALSE)</f>
        <v>1</v>
      </c>
      <c r="M1735" s="74">
        <v>73.7079846079846</v>
      </c>
      <c r="N1735" s="74">
        <f t="shared" si="1"/>
        <v>73.70798461</v>
      </c>
      <c r="O1735" s="74" t="b">
        <v>1</v>
      </c>
    </row>
    <row r="1736" hidden="1">
      <c r="A1736" s="82"/>
      <c r="B1736" s="65" t="s">
        <v>495</v>
      </c>
      <c r="C1736" s="65" t="s">
        <v>117</v>
      </c>
      <c r="D1736" s="65" t="str">
        <f>vlookup(C1736,'Classificação p pessoal'!F:G,2,false)</f>
        <v>NP</v>
      </c>
      <c r="E1736" s="65" t="s">
        <v>1058</v>
      </c>
      <c r="F1736" s="83">
        <v>0.3472222222222222</v>
      </c>
      <c r="G1736" s="83">
        <v>0.3854166666666667</v>
      </c>
      <c r="H1736" s="83">
        <v>0.03819444444444445</v>
      </c>
      <c r="I1736" s="84">
        <v>44358.0</v>
      </c>
      <c r="J1736" s="65" t="b">
        <v>1</v>
      </c>
      <c r="K1736" s="65"/>
      <c r="L1736" s="85" t="b">
        <f>IF(VLOOKUP(C1736,Projetos!A:L,12,false)=TRUE,TRUE,FALSE)</f>
        <v>1</v>
      </c>
      <c r="M1736" s="74">
        <v>73.7079846079846</v>
      </c>
      <c r="N1736" s="74">
        <f t="shared" si="1"/>
        <v>67.56565256</v>
      </c>
      <c r="O1736" s="74" t="b">
        <v>1</v>
      </c>
    </row>
    <row r="1737" hidden="1">
      <c r="A1737" s="82"/>
      <c r="B1737" s="65" t="s">
        <v>495</v>
      </c>
      <c r="C1737" s="65" t="s">
        <v>92</v>
      </c>
      <c r="D1737" s="65" t="str">
        <f>vlookup(C1737,'Classificação p pessoal'!F:G,2,false)</f>
        <v/>
      </c>
      <c r="E1737" s="65" t="s">
        <v>1059</v>
      </c>
      <c r="F1737" s="83">
        <v>0.3958333333333333</v>
      </c>
      <c r="G1737" s="83">
        <v>0.4166666666666667</v>
      </c>
      <c r="H1737" s="83">
        <v>0.020833333333333332</v>
      </c>
      <c r="I1737" s="84">
        <v>44358.0</v>
      </c>
      <c r="J1737" s="65" t="b">
        <v>1</v>
      </c>
      <c r="K1737" s="65"/>
      <c r="L1737" s="85" t="b">
        <f>IF(VLOOKUP(C1737,Projetos!A:L,12,false)=TRUE,TRUE,FALSE)</f>
        <v>1</v>
      </c>
      <c r="M1737" s="74">
        <v>73.7079846079846</v>
      </c>
      <c r="N1737" s="74">
        <f t="shared" si="1"/>
        <v>36.8539923</v>
      </c>
      <c r="O1737" s="74" t="b">
        <v>1</v>
      </c>
    </row>
    <row r="1738" hidden="1">
      <c r="A1738" s="82"/>
      <c r="B1738" s="65" t="s">
        <v>495</v>
      </c>
      <c r="C1738" s="65" t="s">
        <v>92</v>
      </c>
      <c r="D1738" s="65" t="str">
        <f>vlookup(C1738,'Classificação p pessoal'!F:G,2,false)</f>
        <v/>
      </c>
      <c r="E1738" s="65" t="s">
        <v>1060</v>
      </c>
      <c r="F1738" s="83">
        <v>0.4166666666666667</v>
      </c>
      <c r="G1738" s="83">
        <v>0.4270833333333333</v>
      </c>
      <c r="H1738" s="83">
        <v>0.010416666666666666</v>
      </c>
      <c r="I1738" s="84">
        <v>44358.0</v>
      </c>
      <c r="J1738" s="65" t="b">
        <v>1</v>
      </c>
      <c r="K1738" s="65"/>
      <c r="L1738" s="85" t="b">
        <f>IF(VLOOKUP(C1738,Projetos!A:L,12,false)=TRUE,TRUE,FALSE)</f>
        <v>1</v>
      </c>
      <c r="M1738" s="74">
        <v>73.7079846079846</v>
      </c>
      <c r="N1738" s="74">
        <f t="shared" si="1"/>
        <v>18.42699615</v>
      </c>
      <c r="O1738" s="74" t="b">
        <v>1</v>
      </c>
    </row>
    <row r="1739" hidden="1">
      <c r="A1739" s="82"/>
      <c r="B1739" s="65" t="s">
        <v>495</v>
      </c>
      <c r="C1739" s="65" t="s">
        <v>92</v>
      </c>
      <c r="D1739" s="65" t="str">
        <f>vlookup(C1739,'Classificação p pessoal'!F:G,2,false)</f>
        <v/>
      </c>
      <c r="E1739" s="65" t="s">
        <v>837</v>
      </c>
      <c r="F1739" s="83">
        <v>0.4270833333333333</v>
      </c>
      <c r="G1739" s="83">
        <v>0.4583333333333333</v>
      </c>
      <c r="H1739" s="83">
        <v>0.03125</v>
      </c>
      <c r="I1739" s="84">
        <v>44358.0</v>
      </c>
      <c r="J1739" s="65" t="b">
        <v>1</v>
      </c>
      <c r="K1739" s="65"/>
      <c r="L1739" s="85" t="b">
        <f>IF(VLOOKUP(C1739,Projetos!A:L,12,false)=TRUE,TRUE,FALSE)</f>
        <v>1</v>
      </c>
      <c r="M1739" s="74">
        <v>73.7079846079846</v>
      </c>
      <c r="N1739" s="74">
        <f t="shared" si="1"/>
        <v>55.28098846</v>
      </c>
      <c r="O1739" s="74" t="b">
        <v>1</v>
      </c>
    </row>
    <row r="1740" hidden="1">
      <c r="A1740" s="82"/>
      <c r="B1740" s="65" t="s">
        <v>495</v>
      </c>
      <c r="C1740" s="65" t="s">
        <v>108</v>
      </c>
      <c r="D1740" s="65" t="str">
        <f>vlookup(C1740,'Classificação p pessoal'!F:G,2,false)</f>
        <v>NP</v>
      </c>
      <c r="E1740" s="65" t="s">
        <v>1061</v>
      </c>
      <c r="F1740" s="83">
        <v>0.4583333333333333</v>
      </c>
      <c r="G1740" s="83">
        <v>0.5694444444444444</v>
      </c>
      <c r="H1740" s="83">
        <v>0.1111111111111111</v>
      </c>
      <c r="I1740" s="84">
        <v>44358.0</v>
      </c>
      <c r="J1740" s="65" t="b">
        <v>1</v>
      </c>
      <c r="K1740" s="65"/>
      <c r="L1740" s="85" t="b">
        <f>IF(VLOOKUP(C1740,Projetos!A:L,12,false)=TRUE,TRUE,FALSE)</f>
        <v>1</v>
      </c>
      <c r="M1740" s="74">
        <v>73.7079846079846</v>
      </c>
      <c r="N1740" s="74">
        <f t="shared" si="1"/>
        <v>196.5546256</v>
      </c>
      <c r="O1740" s="74" t="b">
        <v>1</v>
      </c>
    </row>
    <row r="1741" hidden="1">
      <c r="A1741" s="82"/>
      <c r="B1741" s="65" t="s">
        <v>495</v>
      </c>
      <c r="C1741" s="65" t="s">
        <v>108</v>
      </c>
      <c r="D1741" s="65" t="str">
        <f>vlookup(C1741,'Classificação p pessoal'!F:G,2,false)</f>
        <v>NP</v>
      </c>
      <c r="E1741" s="65" t="s">
        <v>1043</v>
      </c>
      <c r="F1741" s="83">
        <v>0.3541666666666667</v>
      </c>
      <c r="G1741" s="83">
        <v>0.4166666666666667</v>
      </c>
      <c r="H1741" s="83">
        <v>0.0625</v>
      </c>
      <c r="I1741" s="84">
        <v>44361.0</v>
      </c>
      <c r="J1741" s="65" t="b">
        <v>1</v>
      </c>
      <c r="K1741" s="65"/>
      <c r="L1741" s="85" t="b">
        <f>IF(VLOOKUP(C1741,Projetos!A:L,12,false)=TRUE,TRUE,FALSE)</f>
        <v>1</v>
      </c>
      <c r="M1741" s="74">
        <v>73.7079846079846</v>
      </c>
      <c r="N1741" s="74">
        <f t="shared" si="1"/>
        <v>110.5619769</v>
      </c>
      <c r="O1741" s="74" t="b">
        <v>1</v>
      </c>
    </row>
    <row r="1742" hidden="1">
      <c r="A1742" s="82"/>
      <c r="B1742" s="65" t="s">
        <v>495</v>
      </c>
      <c r="C1742" s="65" t="s">
        <v>92</v>
      </c>
      <c r="D1742" s="65" t="str">
        <f>vlookup(C1742,'Classificação p pessoal'!F:G,2,false)</f>
        <v/>
      </c>
      <c r="E1742" s="65" t="s">
        <v>1062</v>
      </c>
      <c r="F1742" s="83">
        <v>0.4375</v>
      </c>
      <c r="G1742" s="83">
        <v>0.5694444444444444</v>
      </c>
      <c r="H1742" s="83">
        <v>0.13194444444444445</v>
      </c>
      <c r="I1742" s="84">
        <v>44361.0</v>
      </c>
      <c r="J1742" s="65" t="b">
        <v>1</v>
      </c>
      <c r="K1742" s="65"/>
      <c r="L1742" s="85" t="b">
        <f>IF(VLOOKUP(C1742,Projetos!A:L,12,false)=TRUE,TRUE,FALSE)</f>
        <v>1</v>
      </c>
      <c r="M1742" s="74">
        <v>73.7079846079846</v>
      </c>
      <c r="N1742" s="74">
        <f t="shared" si="1"/>
        <v>233.4086179</v>
      </c>
      <c r="O1742" s="74" t="b">
        <v>1</v>
      </c>
    </row>
    <row r="1743" hidden="1">
      <c r="A1743" s="82"/>
      <c r="B1743" s="65" t="s">
        <v>495</v>
      </c>
      <c r="C1743" s="65" t="s">
        <v>92</v>
      </c>
      <c r="D1743" s="65" t="str">
        <f>vlookup(C1743,'Classificação p pessoal'!F:G,2,false)</f>
        <v/>
      </c>
      <c r="E1743" s="65" t="s">
        <v>1063</v>
      </c>
      <c r="F1743" s="83">
        <v>0.625</v>
      </c>
      <c r="G1743" s="83">
        <v>0.6527777777777778</v>
      </c>
      <c r="H1743" s="83">
        <v>0.027777777777777776</v>
      </c>
      <c r="I1743" s="84">
        <v>44361.0</v>
      </c>
      <c r="J1743" s="65" t="b">
        <v>1</v>
      </c>
      <c r="K1743" s="65"/>
      <c r="L1743" s="85" t="b">
        <f>IF(VLOOKUP(C1743,Projetos!A:L,12,false)=TRUE,TRUE,FALSE)</f>
        <v>1</v>
      </c>
      <c r="M1743" s="74">
        <v>73.7079846079846</v>
      </c>
      <c r="N1743" s="74">
        <f t="shared" si="1"/>
        <v>49.13865641</v>
      </c>
      <c r="O1743" s="74" t="b">
        <v>1</v>
      </c>
    </row>
    <row r="1744" hidden="1">
      <c r="A1744" s="82"/>
      <c r="B1744" s="65" t="s">
        <v>495</v>
      </c>
      <c r="C1744" s="65" t="s">
        <v>92</v>
      </c>
      <c r="D1744" s="65" t="str">
        <f>vlookup(C1744,'Classificação p pessoal'!F:G,2,false)</f>
        <v/>
      </c>
      <c r="E1744" s="65" t="s">
        <v>1064</v>
      </c>
      <c r="F1744" s="83">
        <v>0.6527777777777778</v>
      </c>
      <c r="G1744" s="83">
        <v>0.7083333333333334</v>
      </c>
      <c r="H1744" s="83">
        <v>0.05555555555555555</v>
      </c>
      <c r="I1744" s="84">
        <v>44361.0</v>
      </c>
      <c r="J1744" s="65" t="b">
        <v>1</v>
      </c>
      <c r="K1744" s="65"/>
      <c r="L1744" s="85" t="b">
        <f>IF(VLOOKUP(C1744,Projetos!A:L,12,false)=TRUE,TRUE,FALSE)</f>
        <v>1</v>
      </c>
      <c r="M1744" s="74">
        <v>73.7079846079846</v>
      </c>
      <c r="N1744" s="74">
        <f t="shared" si="1"/>
        <v>98.27731281</v>
      </c>
      <c r="O1744" s="74" t="b">
        <v>1</v>
      </c>
    </row>
    <row r="1745" hidden="1">
      <c r="A1745" s="82"/>
      <c r="B1745" s="65" t="s">
        <v>495</v>
      </c>
      <c r="C1745" s="65" t="s">
        <v>117</v>
      </c>
      <c r="D1745" s="65" t="str">
        <f>vlookup(C1745,'Classificação p pessoal'!F:G,2,false)</f>
        <v>NP</v>
      </c>
      <c r="E1745" s="65" t="s">
        <v>1065</v>
      </c>
      <c r="F1745" s="83">
        <v>0.7083333333333334</v>
      </c>
      <c r="G1745" s="83">
        <v>0.75</v>
      </c>
      <c r="H1745" s="83">
        <v>0.041666666666666664</v>
      </c>
      <c r="I1745" s="84">
        <v>44361.0</v>
      </c>
      <c r="J1745" s="65" t="b">
        <v>1</v>
      </c>
      <c r="K1745" s="65"/>
      <c r="L1745" s="85" t="b">
        <f>IF(VLOOKUP(C1745,Projetos!A:L,12,false)=TRUE,TRUE,FALSE)</f>
        <v>1</v>
      </c>
      <c r="M1745" s="74">
        <v>73.7079846079846</v>
      </c>
      <c r="N1745" s="74">
        <f t="shared" si="1"/>
        <v>73.70798461</v>
      </c>
      <c r="O1745" s="74" t="b">
        <v>1</v>
      </c>
    </row>
    <row r="1746" hidden="1">
      <c r="A1746" s="82"/>
      <c r="B1746" s="65" t="s">
        <v>495</v>
      </c>
      <c r="C1746" s="65" t="s">
        <v>100</v>
      </c>
      <c r="D1746" s="65" t="str">
        <f>vlookup(C1746,'Classificação p pessoal'!F:G,2,false)</f>
        <v>NP</v>
      </c>
      <c r="E1746" s="65" t="s">
        <v>1066</v>
      </c>
      <c r="F1746" s="83">
        <v>0.3472222222222222</v>
      </c>
      <c r="G1746" s="83">
        <v>0.375</v>
      </c>
      <c r="H1746" s="83">
        <v>0.027777777777777776</v>
      </c>
      <c r="I1746" s="84">
        <v>44362.0</v>
      </c>
      <c r="J1746" s="65" t="b">
        <v>1</v>
      </c>
      <c r="K1746" s="65"/>
      <c r="L1746" s="85" t="b">
        <f>IF(VLOOKUP(C1746,Projetos!A:L,12,false)=TRUE,TRUE,FALSE)</f>
        <v>1</v>
      </c>
      <c r="M1746" s="74">
        <v>73.7079846079846</v>
      </c>
      <c r="N1746" s="74">
        <f t="shared" si="1"/>
        <v>49.13865641</v>
      </c>
      <c r="O1746" s="74" t="b">
        <v>1</v>
      </c>
    </row>
    <row r="1747" hidden="1">
      <c r="A1747" s="82"/>
      <c r="B1747" s="65" t="s">
        <v>495</v>
      </c>
      <c r="C1747" s="65" t="s">
        <v>92</v>
      </c>
      <c r="D1747" s="65"/>
      <c r="E1747" s="65" t="s">
        <v>1067</v>
      </c>
      <c r="F1747" s="83">
        <v>0.375</v>
      </c>
      <c r="G1747" s="83">
        <v>0.4166666666666667</v>
      </c>
      <c r="H1747" s="83">
        <v>0.041666666666666664</v>
      </c>
      <c r="I1747" s="84">
        <v>44362.0</v>
      </c>
      <c r="J1747" s="65" t="b">
        <v>0</v>
      </c>
      <c r="K1747" s="65" t="s">
        <v>150</v>
      </c>
      <c r="L1747" s="85" t="b">
        <f>IF(VLOOKUP(C1747,Projetos!A:L,12,false)=TRUE,TRUE,FALSE)</f>
        <v>1</v>
      </c>
      <c r="M1747" s="74">
        <v>73.7079846079846</v>
      </c>
      <c r="N1747" s="74">
        <f t="shared" si="1"/>
        <v>0</v>
      </c>
      <c r="O1747" s="74" t="b">
        <v>1</v>
      </c>
    </row>
    <row r="1748" hidden="1">
      <c r="A1748" s="82"/>
      <c r="B1748" s="65" t="s">
        <v>495</v>
      </c>
      <c r="C1748" s="65" t="s">
        <v>92</v>
      </c>
      <c r="D1748" s="65" t="str">
        <f>vlookup(C1748,'Classificação p pessoal'!F:G,2,false)</f>
        <v/>
      </c>
      <c r="E1748" s="65" t="s">
        <v>1068</v>
      </c>
      <c r="F1748" s="83">
        <v>0.4166666666666667</v>
      </c>
      <c r="G1748" s="83">
        <v>0.4479166666666667</v>
      </c>
      <c r="H1748" s="83">
        <v>0.03125</v>
      </c>
      <c r="I1748" s="84">
        <v>44362.0</v>
      </c>
      <c r="J1748" s="65" t="b">
        <v>1</v>
      </c>
      <c r="K1748" s="65"/>
      <c r="L1748" s="85" t="b">
        <f>IF(VLOOKUP(C1748,Projetos!A:L,12,false)=TRUE,TRUE,FALSE)</f>
        <v>1</v>
      </c>
      <c r="M1748" s="74">
        <v>73.7079846079846</v>
      </c>
      <c r="N1748" s="74">
        <f t="shared" si="1"/>
        <v>55.28098846</v>
      </c>
      <c r="O1748" s="74" t="b">
        <v>1</v>
      </c>
    </row>
    <row r="1749" hidden="1">
      <c r="A1749" s="82"/>
      <c r="B1749" s="65" t="s">
        <v>495</v>
      </c>
      <c r="C1749" s="65" t="s">
        <v>92</v>
      </c>
      <c r="D1749" s="65" t="str">
        <f>vlookup(C1749,'Classificação p pessoal'!F:G,2,false)</f>
        <v/>
      </c>
      <c r="E1749" s="65" t="s">
        <v>1069</v>
      </c>
      <c r="F1749" s="83">
        <v>0.4479166666666667</v>
      </c>
      <c r="G1749" s="83">
        <v>0.5</v>
      </c>
      <c r="H1749" s="83">
        <v>0.052083333333333336</v>
      </c>
      <c r="I1749" s="84">
        <v>44362.0</v>
      </c>
      <c r="J1749" s="65" t="b">
        <v>1</v>
      </c>
      <c r="K1749" s="65"/>
      <c r="L1749" s="85" t="b">
        <f>IF(VLOOKUP(C1749,Projetos!A:L,12,false)=TRUE,TRUE,FALSE)</f>
        <v>1</v>
      </c>
      <c r="M1749" s="74">
        <v>73.7079846079846</v>
      </c>
      <c r="N1749" s="74">
        <f t="shared" si="1"/>
        <v>92.13498076</v>
      </c>
      <c r="O1749" s="74" t="b">
        <v>1</v>
      </c>
    </row>
    <row r="1750" hidden="1">
      <c r="A1750" s="82"/>
      <c r="B1750" s="65" t="s">
        <v>495</v>
      </c>
      <c r="C1750" s="65" t="s">
        <v>117</v>
      </c>
      <c r="D1750" s="65" t="str">
        <f>vlookup(C1750,'Classificação p pessoal'!F:G,2,false)</f>
        <v>NP</v>
      </c>
      <c r="E1750" s="65" t="s">
        <v>1065</v>
      </c>
      <c r="F1750" s="83">
        <v>0.5104166666666666</v>
      </c>
      <c r="G1750" s="83">
        <v>0.5729166666666666</v>
      </c>
      <c r="H1750" s="83">
        <v>0.0625</v>
      </c>
      <c r="I1750" s="84">
        <v>44362.0</v>
      </c>
      <c r="J1750" s="65" t="b">
        <v>1</v>
      </c>
      <c r="K1750" s="65"/>
      <c r="L1750" s="85" t="b">
        <f>IF(VLOOKUP(C1750,Projetos!A:L,12,false)=TRUE,TRUE,FALSE)</f>
        <v>1</v>
      </c>
      <c r="M1750" s="74">
        <v>73.7079846079846</v>
      </c>
      <c r="N1750" s="74">
        <f t="shared" si="1"/>
        <v>110.5619769</v>
      </c>
      <c r="O1750" s="74" t="b">
        <v>1</v>
      </c>
    </row>
    <row r="1751" hidden="1">
      <c r="A1751" s="82"/>
      <c r="B1751" s="65" t="s">
        <v>495</v>
      </c>
      <c r="C1751" s="65" t="s">
        <v>117</v>
      </c>
      <c r="D1751" s="65" t="str">
        <f>vlookup(C1751,'Classificação p pessoal'!F:G,2,false)</f>
        <v>NP</v>
      </c>
      <c r="E1751" s="65" t="s">
        <v>1070</v>
      </c>
      <c r="F1751" s="83">
        <v>0.6145833333333334</v>
      </c>
      <c r="G1751" s="83">
        <v>0.6666666666666666</v>
      </c>
      <c r="H1751" s="83">
        <v>0.052083333333333336</v>
      </c>
      <c r="I1751" s="84">
        <v>44362.0</v>
      </c>
      <c r="J1751" s="65" t="b">
        <v>1</v>
      </c>
      <c r="K1751" s="65"/>
      <c r="L1751" s="85" t="b">
        <f>IF(VLOOKUP(C1751,Projetos!A:L,12,false)=TRUE,TRUE,FALSE)</f>
        <v>1</v>
      </c>
      <c r="M1751" s="74">
        <v>73.7079846079846</v>
      </c>
      <c r="N1751" s="74">
        <f t="shared" si="1"/>
        <v>92.13498076</v>
      </c>
      <c r="O1751" s="74" t="b">
        <v>1</v>
      </c>
    </row>
    <row r="1752" hidden="1">
      <c r="A1752" s="82"/>
      <c r="B1752" s="65" t="s">
        <v>495</v>
      </c>
      <c r="C1752" s="65" t="s">
        <v>117</v>
      </c>
      <c r="D1752" s="65" t="str">
        <f>vlookup(C1752,'Classificação p pessoal'!F:G,2,false)</f>
        <v>NP</v>
      </c>
      <c r="E1752" s="65" t="s">
        <v>1065</v>
      </c>
      <c r="F1752" s="83">
        <v>0.6875</v>
      </c>
      <c r="G1752" s="83">
        <v>0.75</v>
      </c>
      <c r="H1752" s="83">
        <v>0.0625</v>
      </c>
      <c r="I1752" s="84">
        <v>44362.0</v>
      </c>
      <c r="J1752" s="65" t="b">
        <v>1</v>
      </c>
      <c r="K1752" s="65"/>
      <c r="L1752" s="85" t="b">
        <f>IF(VLOOKUP(C1752,Projetos!A:L,12,false)=TRUE,TRUE,FALSE)</f>
        <v>1</v>
      </c>
      <c r="M1752" s="74">
        <v>73.7079846079846</v>
      </c>
      <c r="N1752" s="74">
        <f t="shared" si="1"/>
        <v>110.5619769</v>
      </c>
      <c r="O1752" s="74" t="b">
        <v>1</v>
      </c>
    </row>
    <row r="1753" hidden="1">
      <c r="A1753" s="82"/>
      <c r="B1753" s="65" t="s">
        <v>495</v>
      </c>
      <c r="C1753" s="65" t="s">
        <v>117</v>
      </c>
      <c r="D1753" s="65" t="str">
        <f>vlookup(C1753,'Classificação p pessoal'!F:G,2,false)</f>
        <v>NP</v>
      </c>
      <c r="E1753" s="65" t="s">
        <v>1071</v>
      </c>
      <c r="F1753" s="83">
        <v>0.3541666666666667</v>
      </c>
      <c r="G1753" s="83">
        <v>0.4583333333333333</v>
      </c>
      <c r="H1753" s="83">
        <v>0.10416666666666667</v>
      </c>
      <c r="I1753" s="84">
        <v>44363.0</v>
      </c>
      <c r="J1753" s="65" t="b">
        <v>1</v>
      </c>
      <c r="K1753" s="65"/>
      <c r="L1753" s="85" t="b">
        <f>IF(VLOOKUP(C1753,Projetos!A:L,12,false)=TRUE,TRUE,FALSE)</f>
        <v>1</v>
      </c>
      <c r="M1753" s="74">
        <v>73.7079846079846</v>
      </c>
      <c r="N1753" s="74">
        <f t="shared" si="1"/>
        <v>184.2699615</v>
      </c>
      <c r="O1753" s="74" t="b">
        <v>1</v>
      </c>
    </row>
    <row r="1754" hidden="1">
      <c r="A1754" s="82"/>
      <c r="B1754" s="65" t="s">
        <v>495</v>
      </c>
      <c r="C1754" s="65" t="s">
        <v>100</v>
      </c>
      <c r="D1754" s="65" t="str">
        <f>vlookup(C1754,'Classificação p pessoal'!F:G,2,false)</f>
        <v>NP</v>
      </c>
      <c r="E1754" s="65" t="s">
        <v>1072</v>
      </c>
      <c r="F1754" s="83">
        <v>0.4583333333333333</v>
      </c>
      <c r="G1754" s="83">
        <v>0.5208333333333334</v>
      </c>
      <c r="H1754" s="83">
        <v>0.0625</v>
      </c>
      <c r="I1754" s="84">
        <v>44363.0</v>
      </c>
      <c r="J1754" s="65" t="b">
        <v>1</v>
      </c>
      <c r="K1754" s="65"/>
      <c r="L1754" s="85" t="b">
        <f>IF(VLOOKUP(C1754,Projetos!A:L,12,false)=TRUE,TRUE,FALSE)</f>
        <v>1</v>
      </c>
      <c r="M1754" s="74">
        <v>73.7079846079846</v>
      </c>
      <c r="N1754" s="74">
        <f t="shared" si="1"/>
        <v>110.5619769</v>
      </c>
      <c r="O1754" s="74" t="b">
        <v>1</v>
      </c>
    </row>
    <row r="1755" hidden="1">
      <c r="A1755" s="82"/>
      <c r="B1755" s="65" t="s">
        <v>495</v>
      </c>
      <c r="C1755" s="65" t="s">
        <v>117</v>
      </c>
      <c r="D1755" s="65" t="str">
        <f>vlookup(C1755,'Classificação p pessoal'!F:G,2,false)</f>
        <v>NP</v>
      </c>
      <c r="E1755" s="65" t="s">
        <v>1065</v>
      </c>
      <c r="F1755" s="83">
        <v>0.5208333333333334</v>
      </c>
      <c r="G1755" s="83">
        <v>0.5729166666666666</v>
      </c>
      <c r="H1755" s="83">
        <v>0.052083333333333336</v>
      </c>
      <c r="I1755" s="84">
        <v>44363.0</v>
      </c>
      <c r="J1755" s="65" t="b">
        <v>1</v>
      </c>
      <c r="K1755" s="65"/>
      <c r="L1755" s="85" t="b">
        <f>IF(VLOOKUP(C1755,Projetos!A:L,12,false)=TRUE,TRUE,FALSE)</f>
        <v>1</v>
      </c>
      <c r="M1755" s="74">
        <v>73.7079846079846</v>
      </c>
      <c r="N1755" s="74">
        <f t="shared" si="1"/>
        <v>92.13498076</v>
      </c>
      <c r="O1755" s="74" t="b">
        <v>1</v>
      </c>
    </row>
    <row r="1756" hidden="1">
      <c r="A1756" s="82"/>
      <c r="B1756" s="65" t="s">
        <v>495</v>
      </c>
      <c r="C1756" s="65" t="s">
        <v>117</v>
      </c>
      <c r="D1756" s="65" t="str">
        <f>vlookup(C1756,'Classificação p pessoal'!F:G,2,false)</f>
        <v>NP</v>
      </c>
      <c r="E1756" s="65" t="s">
        <v>1065</v>
      </c>
      <c r="F1756" s="83">
        <v>0.6145833333333334</v>
      </c>
      <c r="G1756" s="83">
        <v>0.6666666666666666</v>
      </c>
      <c r="H1756" s="83">
        <v>0.052083333333333336</v>
      </c>
      <c r="I1756" s="84">
        <v>44363.0</v>
      </c>
      <c r="J1756" s="65" t="b">
        <v>1</v>
      </c>
      <c r="K1756" s="65"/>
      <c r="L1756" s="85" t="b">
        <f>IF(VLOOKUP(C1756,Projetos!A:L,12,false)=TRUE,TRUE,FALSE)</f>
        <v>1</v>
      </c>
      <c r="M1756" s="74">
        <v>73.7079846079846</v>
      </c>
      <c r="N1756" s="74">
        <f t="shared" si="1"/>
        <v>92.13498076</v>
      </c>
      <c r="O1756" s="74" t="b">
        <v>1</v>
      </c>
    </row>
    <row r="1757" hidden="1">
      <c r="A1757" s="82"/>
      <c r="B1757" s="65" t="s">
        <v>495</v>
      </c>
      <c r="C1757" s="65" t="s">
        <v>92</v>
      </c>
      <c r="D1757" s="65" t="str">
        <f>vlookup(C1757,'Classificação p pessoal'!F:G,2,false)</f>
        <v/>
      </c>
      <c r="E1757" s="65" t="s">
        <v>1059</v>
      </c>
      <c r="F1757" s="83">
        <v>0.6666666666666666</v>
      </c>
      <c r="G1757" s="83">
        <v>0.6875</v>
      </c>
      <c r="H1757" s="83">
        <v>0.020833333333333332</v>
      </c>
      <c r="I1757" s="84">
        <v>44363.0</v>
      </c>
      <c r="J1757" s="65" t="b">
        <v>1</v>
      </c>
      <c r="K1757" s="65"/>
      <c r="L1757" s="85" t="b">
        <f>IF(VLOOKUP(C1757,Projetos!A:L,12,false)=TRUE,TRUE,FALSE)</f>
        <v>1</v>
      </c>
      <c r="M1757" s="74">
        <v>73.7079846079846</v>
      </c>
      <c r="N1757" s="74">
        <f t="shared" si="1"/>
        <v>36.8539923</v>
      </c>
      <c r="O1757" s="74" t="b">
        <v>1</v>
      </c>
    </row>
    <row r="1758" hidden="1">
      <c r="A1758" s="82"/>
      <c r="B1758" s="65" t="s">
        <v>495</v>
      </c>
      <c r="C1758" s="65" t="s">
        <v>117</v>
      </c>
      <c r="D1758" s="65" t="str">
        <f>vlookup(C1758,'Classificação p pessoal'!F:G,2,false)</f>
        <v>NP</v>
      </c>
      <c r="E1758" s="65" t="s">
        <v>1038</v>
      </c>
      <c r="F1758" s="83">
        <v>0.7083333333333334</v>
      </c>
      <c r="G1758" s="83">
        <v>0.75</v>
      </c>
      <c r="H1758" s="83">
        <v>0.041666666666666664</v>
      </c>
      <c r="I1758" s="84">
        <v>44363.0</v>
      </c>
      <c r="J1758" s="65" t="b">
        <v>1</v>
      </c>
      <c r="K1758" s="65"/>
      <c r="L1758" s="85" t="b">
        <f>IF(VLOOKUP(C1758,Projetos!A:L,12,false)=TRUE,TRUE,FALSE)</f>
        <v>1</v>
      </c>
      <c r="M1758" s="74">
        <v>73.7079846079846</v>
      </c>
      <c r="N1758" s="74">
        <f t="shared" si="1"/>
        <v>73.70798461</v>
      </c>
      <c r="O1758" s="74" t="b">
        <v>1</v>
      </c>
    </row>
    <row r="1759" hidden="1">
      <c r="A1759" s="82"/>
      <c r="B1759" s="65" t="s">
        <v>495</v>
      </c>
      <c r="C1759" s="65" t="s">
        <v>117</v>
      </c>
      <c r="D1759" s="65" t="str">
        <f>vlookup(C1759,'Classificação p pessoal'!F:G,2,false)</f>
        <v>NP</v>
      </c>
      <c r="E1759" s="65" t="s">
        <v>1038</v>
      </c>
      <c r="F1759" s="83">
        <v>0.34375</v>
      </c>
      <c r="G1759" s="83">
        <v>0.4166666666666667</v>
      </c>
      <c r="H1759" s="83">
        <v>0.07291666666666667</v>
      </c>
      <c r="I1759" s="84">
        <v>44364.0</v>
      </c>
      <c r="J1759" s="65" t="b">
        <v>1</v>
      </c>
      <c r="K1759" s="65"/>
      <c r="L1759" s="85" t="b">
        <f>IF(VLOOKUP(C1759,Projetos!A:L,12,false)=TRUE,TRUE,FALSE)</f>
        <v>1</v>
      </c>
      <c r="M1759" s="74">
        <v>73.7079846079846</v>
      </c>
      <c r="N1759" s="74">
        <f t="shared" si="1"/>
        <v>128.9889731</v>
      </c>
      <c r="O1759" s="74" t="b">
        <v>1</v>
      </c>
    </row>
    <row r="1760" hidden="1">
      <c r="A1760" s="82"/>
      <c r="B1760" s="65" t="s">
        <v>495</v>
      </c>
      <c r="C1760" s="65" t="s">
        <v>117</v>
      </c>
      <c r="D1760" s="65" t="str">
        <f>vlookup(C1760,'Classificação p pessoal'!F:G,2,false)</f>
        <v>NP</v>
      </c>
      <c r="E1760" s="65" t="s">
        <v>1065</v>
      </c>
      <c r="F1760" s="83">
        <v>0.4166666666666667</v>
      </c>
      <c r="G1760" s="83">
        <v>0.5694444444444444</v>
      </c>
      <c r="H1760" s="83">
        <v>0.1527777777777778</v>
      </c>
      <c r="I1760" s="84">
        <v>44364.0</v>
      </c>
      <c r="J1760" s="65" t="b">
        <v>1</v>
      </c>
      <c r="K1760" s="65"/>
      <c r="L1760" s="85" t="b">
        <f>IF(VLOOKUP(C1760,Projetos!A:L,12,false)=TRUE,TRUE,FALSE)</f>
        <v>1</v>
      </c>
      <c r="M1760" s="74">
        <v>73.7079846079846</v>
      </c>
      <c r="N1760" s="74">
        <f t="shared" si="1"/>
        <v>270.2626102</v>
      </c>
      <c r="O1760" s="74" t="b">
        <v>1</v>
      </c>
    </row>
    <row r="1761" hidden="1">
      <c r="A1761" s="82"/>
      <c r="B1761" s="65" t="s">
        <v>495</v>
      </c>
      <c r="C1761" s="65" t="s">
        <v>117</v>
      </c>
      <c r="D1761" s="65" t="str">
        <f>vlookup(C1761,'Classificação p pessoal'!F:G,2,false)</f>
        <v>NP</v>
      </c>
      <c r="E1761" s="65" t="s">
        <v>1065</v>
      </c>
      <c r="F1761" s="83">
        <v>0.6111111111111112</v>
      </c>
      <c r="G1761" s="83">
        <v>0.6666666666666666</v>
      </c>
      <c r="H1761" s="83">
        <v>0.05555555555555555</v>
      </c>
      <c r="I1761" s="84">
        <v>44364.0</v>
      </c>
      <c r="J1761" s="65" t="b">
        <v>1</v>
      </c>
      <c r="K1761" s="65"/>
      <c r="L1761" s="85" t="b">
        <f>IF(VLOOKUP(C1761,Projetos!A:L,12,false)=TRUE,TRUE,FALSE)</f>
        <v>1</v>
      </c>
      <c r="M1761" s="74">
        <v>73.7079846079846</v>
      </c>
      <c r="N1761" s="74">
        <f t="shared" si="1"/>
        <v>98.27731281</v>
      </c>
      <c r="O1761" s="74" t="b">
        <v>1</v>
      </c>
    </row>
    <row r="1762" hidden="1">
      <c r="A1762" s="82"/>
      <c r="B1762" s="65" t="s">
        <v>495</v>
      </c>
      <c r="C1762" s="65" t="s">
        <v>92</v>
      </c>
      <c r="D1762" s="65" t="str">
        <f>vlookup(C1762,'Classificação p pessoal'!F:G,2,false)</f>
        <v/>
      </c>
      <c r="E1762" s="65" t="s">
        <v>1059</v>
      </c>
      <c r="F1762" s="83">
        <v>0.6666666666666666</v>
      </c>
      <c r="G1762" s="83">
        <v>0.7083333333333334</v>
      </c>
      <c r="H1762" s="83">
        <v>0.041666666666666664</v>
      </c>
      <c r="I1762" s="84">
        <v>44364.0</v>
      </c>
      <c r="J1762" s="65" t="b">
        <v>1</v>
      </c>
      <c r="K1762" s="65"/>
      <c r="L1762" s="85" t="b">
        <f>IF(VLOOKUP(C1762,Projetos!A:L,12,false)=TRUE,TRUE,FALSE)</f>
        <v>1</v>
      </c>
      <c r="M1762" s="74">
        <v>73.7079846079846</v>
      </c>
      <c r="N1762" s="74">
        <f t="shared" si="1"/>
        <v>73.70798461</v>
      </c>
      <c r="O1762" s="74" t="b">
        <v>1</v>
      </c>
    </row>
    <row r="1763" hidden="1">
      <c r="A1763" s="82"/>
      <c r="B1763" s="65" t="s">
        <v>495</v>
      </c>
      <c r="C1763" s="65" t="s">
        <v>92</v>
      </c>
      <c r="D1763" s="65" t="str">
        <f>vlookup(C1763,'Classificação p pessoal'!F:G,2,false)</f>
        <v/>
      </c>
      <c r="E1763" s="65" t="s">
        <v>834</v>
      </c>
      <c r="F1763" s="83">
        <v>0.7083333333333334</v>
      </c>
      <c r="G1763" s="83">
        <v>0.75</v>
      </c>
      <c r="H1763" s="83">
        <v>0.041666666666666664</v>
      </c>
      <c r="I1763" s="84">
        <v>44364.0</v>
      </c>
      <c r="J1763" s="65" t="b">
        <v>1</v>
      </c>
      <c r="K1763" s="65"/>
      <c r="L1763" s="85" t="b">
        <f>IF(VLOOKUP(C1763,Projetos!A:L,12,false)=TRUE,TRUE,FALSE)</f>
        <v>1</v>
      </c>
      <c r="M1763" s="74">
        <v>73.7079846079846</v>
      </c>
      <c r="N1763" s="74">
        <f t="shared" si="1"/>
        <v>73.70798461</v>
      </c>
      <c r="O1763" s="74" t="b">
        <v>1</v>
      </c>
    </row>
    <row r="1764" hidden="1">
      <c r="A1764" s="82"/>
      <c r="B1764" s="65" t="s">
        <v>495</v>
      </c>
      <c r="C1764" s="65" t="s">
        <v>92</v>
      </c>
      <c r="D1764" s="65" t="str">
        <f>vlookup(C1764,'Classificação p pessoal'!F:G,2,false)</f>
        <v/>
      </c>
      <c r="E1764" s="65" t="s">
        <v>1059</v>
      </c>
      <c r="F1764" s="83">
        <v>0.3541666666666667</v>
      </c>
      <c r="G1764" s="83">
        <v>0.53125</v>
      </c>
      <c r="H1764" s="83">
        <v>0.17708333333333334</v>
      </c>
      <c r="I1764" s="84">
        <v>44365.0</v>
      </c>
      <c r="J1764" s="65" t="b">
        <v>1</v>
      </c>
      <c r="K1764" s="65"/>
      <c r="L1764" s="85" t="b">
        <f>IF(VLOOKUP(C1764,Projetos!A:L,12,false)=TRUE,TRUE,FALSE)</f>
        <v>1</v>
      </c>
      <c r="M1764" s="74">
        <v>73.7079846079846</v>
      </c>
      <c r="N1764" s="74">
        <f t="shared" si="1"/>
        <v>313.2589346</v>
      </c>
      <c r="O1764" s="74" t="b">
        <v>1</v>
      </c>
    </row>
    <row r="1765" hidden="1">
      <c r="A1765" s="82"/>
      <c r="B1765" s="65" t="s">
        <v>495</v>
      </c>
      <c r="C1765" s="65" t="s">
        <v>92</v>
      </c>
      <c r="D1765" s="65" t="str">
        <f>vlookup(C1765,'Classificação p pessoal'!F:G,2,false)</f>
        <v/>
      </c>
      <c r="E1765" s="65" t="s">
        <v>1073</v>
      </c>
      <c r="F1765" s="83">
        <v>0.53125</v>
      </c>
      <c r="G1765" s="83">
        <v>0.5729166666666666</v>
      </c>
      <c r="H1765" s="83">
        <v>0.041666666666666664</v>
      </c>
      <c r="I1765" s="84">
        <v>44365.0</v>
      </c>
      <c r="J1765" s="65" t="b">
        <v>1</v>
      </c>
      <c r="K1765" s="65"/>
      <c r="L1765" s="85" t="b">
        <f>IF(VLOOKUP(C1765,Projetos!A:L,12,false)=TRUE,TRUE,FALSE)</f>
        <v>1</v>
      </c>
      <c r="M1765" s="74">
        <v>73.7079846079846</v>
      </c>
      <c r="N1765" s="74">
        <f t="shared" si="1"/>
        <v>73.70798461</v>
      </c>
      <c r="O1765" s="74" t="b">
        <v>1</v>
      </c>
    </row>
    <row r="1766" hidden="1">
      <c r="A1766" s="82"/>
      <c r="B1766" s="65" t="s">
        <v>495</v>
      </c>
      <c r="C1766" s="65" t="s">
        <v>84</v>
      </c>
      <c r="D1766" s="65"/>
      <c r="E1766" s="65" t="s">
        <v>1074</v>
      </c>
      <c r="F1766" s="83">
        <v>0.6145833333333334</v>
      </c>
      <c r="G1766" s="83">
        <v>0.6840277777777778</v>
      </c>
      <c r="H1766" s="83">
        <v>0.06944444444444445</v>
      </c>
      <c r="I1766" s="84">
        <v>44365.0</v>
      </c>
      <c r="J1766" s="65" t="b">
        <v>0</v>
      </c>
      <c r="K1766" s="65"/>
      <c r="L1766" s="85" t="b">
        <f>IF(VLOOKUP(C1766,Projetos!A:L,12,false)=TRUE,TRUE,FALSE)</f>
        <v>0</v>
      </c>
      <c r="M1766" s="74">
        <v>73.7079846079846</v>
      </c>
      <c r="N1766" s="74">
        <f t="shared" si="1"/>
        <v>0</v>
      </c>
      <c r="O1766" s="74" t="b">
        <v>0</v>
      </c>
    </row>
    <row r="1767" hidden="1">
      <c r="A1767" s="82"/>
      <c r="B1767" s="65" t="s">
        <v>495</v>
      </c>
      <c r="C1767" s="65" t="s">
        <v>117</v>
      </c>
      <c r="D1767" s="65" t="str">
        <f>vlookup(C1767,'Classificação p pessoal'!F:G,2,false)</f>
        <v>NP</v>
      </c>
      <c r="E1767" s="65" t="s">
        <v>1075</v>
      </c>
      <c r="F1767" s="83">
        <v>0.6979166666666666</v>
      </c>
      <c r="G1767" s="83">
        <v>0.75</v>
      </c>
      <c r="H1767" s="83">
        <v>0.052083333333333336</v>
      </c>
      <c r="I1767" s="84">
        <v>44365.0</v>
      </c>
      <c r="J1767" s="65" t="b">
        <v>1</v>
      </c>
      <c r="K1767" s="65"/>
      <c r="L1767" s="85" t="b">
        <f>IF(VLOOKUP(C1767,Projetos!A:L,12,false)=TRUE,TRUE,FALSE)</f>
        <v>1</v>
      </c>
      <c r="M1767" s="74">
        <v>73.7079846079846</v>
      </c>
      <c r="N1767" s="74">
        <f t="shared" si="1"/>
        <v>92.13498076</v>
      </c>
      <c r="O1767" s="74" t="b">
        <v>1</v>
      </c>
    </row>
    <row r="1768" hidden="1">
      <c r="A1768" s="82"/>
      <c r="B1768" s="65" t="s">
        <v>495</v>
      </c>
      <c r="C1768" s="65" t="s">
        <v>84</v>
      </c>
      <c r="D1768" s="65"/>
      <c r="E1768" s="65" t="s">
        <v>1076</v>
      </c>
      <c r="F1768" s="83">
        <v>0.3541666666666667</v>
      </c>
      <c r="G1768" s="83">
        <v>0.375</v>
      </c>
      <c r="H1768" s="83">
        <v>0.020833333333333332</v>
      </c>
      <c r="I1768" s="84">
        <v>44368.0</v>
      </c>
      <c r="J1768" s="65" t="b">
        <v>0</v>
      </c>
      <c r="K1768" s="65" t="s">
        <v>150</v>
      </c>
      <c r="L1768" s="85" t="b">
        <f>IF(VLOOKUP(C1768,Projetos!A:L,12,false)=TRUE,TRUE,FALSE)</f>
        <v>0</v>
      </c>
      <c r="M1768" s="74">
        <v>73.7079846079846</v>
      </c>
      <c r="N1768" s="74">
        <f t="shared" si="1"/>
        <v>0</v>
      </c>
      <c r="O1768" s="74" t="b">
        <v>0</v>
      </c>
    </row>
    <row r="1769" hidden="1">
      <c r="A1769" s="82"/>
      <c r="B1769" s="65" t="s">
        <v>495</v>
      </c>
      <c r="C1769" s="65" t="s">
        <v>92</v>
      </c>
      <c r="D1769" s="65" t="str">
        <f>vlookup(C1769,'Classificação p pessoal'!F:G,2,false)</f>
        <v/>
      </c>
      <c r="E1769" s="65" t="s">
        <v>1077</v>
      </c>
      <c r="F1769" s="83">
        <v>0.375</v>
      </c>
      <c r="G1769" s="83">
        <v>0.4583333333333333</v>
      </c>
      <c r="H1769" s="83">
        <v>0.08333333333333333</v>
      </c>
      <c r="I1769" s="84">
        <v>44368.0</v>
      </c>
      <c r="J1769" s="65" t="b">
        <v>1</v>
      </c>
      <c r="K1769" s="65"/>
      <c r="L1769" s="85" t="b">
        <f>IF(VLOOKUP(C1769,Projetos!A:L,12,false)=TRUE,TRUE,FALSE)</f>
        <v>1</v>
      </c>
      <c r="M1769" s="74">
        <v>73.7079846079846</v>
      </c>
      <c r="N1769" s="74">
        <f t="shared" si="1"/>
        <v>147.4159692</v>
      </c>
      <c r="O1769" s="74" t="b">
        <v>1</v>
      </c>
    </row>
    <row r="1770" hidden="1">
      <c r="A1770" s="82"/>
      <c r="B1770" s="65" t="s">
        <v>495</v>
      </c>
      <c r="C1770" s="65" t="s">
        <v>117</v>
      </c>
      <c r="D1770" s="65" t="str">
        <f>vlookup(C1770,'Classificação p pessoal'!F:G,2,false)</f>
        <v>NP</v>
      </c>
      <c r="E1770" s="65" t="s">
        <v>1038</v>
      </c>
      <c r="F1770" s="83">
        <v>0.4583333333333333</v>
      </c>
      <c r="G1770" s="83">
        <v>0.5694444444444444</v>
      </c>
      <c r="H1770" s="83">
        <v>0.1111111111111111</v>
      </c>
      <c r="I1770" s="84">
        <v>44368.0</v>
      </c>
      <c r="J1770" s="65" t="b">
        <v>1</v>
      </c>
      <c r="K1770" s="65"/>
      <c r="L1770" s="85" t="b">
        <f>IF(VLOOKUP(C1770,Projetos!A:L,12,false)=TRUE,TRUE,FALSE)</f>
        <v>1</v>
      </c>
      <c r="M1770" s="74">
        <v>73.7079846079846</v>
      </c>
      <c r="N1770" s="74">
        <f t="shared" si="1"/>
        <v>196.5546256</v>
      </c>
      <c r="O1770" s="74" t="b">
        <v>1</v>
      </c>
    </row>
    <row r="1771" hidden="1">
      <c r="A1771" s="82"/>
      <c r="B1771" s="65" t="s">
        <v>495</v>
      </c>
      <c r="C1771" s="65" t="s">
        <v>117</v>
      </c>
      <c r="D1771" s="65" t="str">
        <f>vlookup(C1771,'Classificação p pessoal'!F:G,2,false)</f>
        <v>NP</v>
      </c>
      <c r="E1771" s="65" t="s">
        <v>1065</v>
      </c>
      <c r="F1771" s="83">
        <v>0.6111111111111112</v>
      </c>
      <c r="G1771" s="83">
        <v>0.7083333333333334</v>
      </c>
      <c r="H1771" s="83">
        <v>0.09722222222222222</v>
      </c>
      <c r="I1771" s="84">
        <v>44368.0</v>
      </c>
      <c r="J1771" s="65" t="b">
        <v>1</v>
      </c>
      <c r="K1771" s="65"/>
      <c r="L1771" s="85" t="b">
        <f>IF(VLOOKUP(C1771,Projetos!A:L,12,false)=TRUE,TRUE,FALSE)</f>
        <v>1</v>
      </c>
      <c r="M1771" s="74">
        <v>73.7079846079846</v>
      </c>
      <c r="N1771" s="74">
        <f t="shared" si="1"/>
        <v>171.9852974</v>
      </c>
      <c r="O1771" s="74" t="b">
        <v>1</v>
      </c>
    </row>
    <row r="1772" hidden="1">
      <c r="A1772" s="82"/>
      <c r="B1772" s="65" t="s">
        <v>495</v>
      </c>
      <c r="C1772" s="65" t="s">
        <v>92</v>
      </c>
      <c r="D1772" s="65" t="str">
        <f>vlookup(C1772,'Classificação p pessoal'!F:G,2,false)</f>
        <v/>
      </c>
      <c r="E1772" s="65" t="s">
        <v>1053</v>
      </c>
      <c r="F1772" s="83">
        <v>0.7083333333333334</v>
      </c>
      <c r="G1772" s="83">
        <v>0.75</v>
      </c>
      <c r="H1772" s="83">
        <v>0.041666666666666664</v>
      </c>
      <c r="I1772" s="84">
        <v>44368.0</v>
      </c>
      <c r="J1772" s="65" t="b">
        <v>1</v>
      </c>
      <c r="K1772" s="65"/>
      <c r="L1772" s="85" t="b">
        <f>IF(VLOOKUP(C1772,Projetos!A:L,12,false)=TRUE,TRUE,FALSE)</f>
        <v>1</v>
      </c>
      <c r="M1772" s="74">
        <v>73.7079846079846</v>
      </c>
      <c r="N1772" s="74">
        <f t="shared" si="1"/>
        <v>73.70798461</v>
      </c>
      <c r="O1772" s="74" t="b">
        <v>1</v>
      </c>
    </row>
    <row r="1773" hidden="1">
      <c r="A1773" s="82"/>
      <c r="B1773" s="65" t="s">
        <v>495</v>
      </c>
      <c r="C1773" s="65" t="s">
        <v>92</v>
      </c>
      <c r="D1773" s="65" t="str">
        <f>vlookup(C1773,'Classificação p pessoal'!F:G,2,false)</f>
        <v/>
      </c>
      <c r="E1773" s="65" t="s">
        <v>1060</v>
      </c>
      <c r="F1773" s="83">
        <v>0.3472222222222222</v>
      </c>
      <c r="G1773" s="83">
        <v>0.375</v>
      </c>
      <c r="H1773" s="83">
        <v>0.027777777777777776</v>
      </c>
      <c r="I1773" s="84">
        <v>44369.0</v>
      </c>
      <c r="J1773" s="65" t="b">
        <v>1</v>
      </c>
      <c r="K1773" s="65"/>
      <c r="L1773" s="85" t="b">
        <f>IF(VLOOKUP(C1773,Projetos!A:L,12,false)=TRUE,TRUE,FALSE)</f>
        <v>1</v>
      </c>
      <c r="M1773" s="74">
        <v>73.7079846079846</v>
      </c>
      <c r="N1773" s="74">
        <f t="shared" si="1"/>
        <v>49.13865641</v>
      </c>
      <c r="O1773" s="74" t="b">
        <v>1</v>
      </c>
    </row>
    <row r="1774" hidden="1">
      <c r="A1774" s="82"/>
      <c r="B1774" s="65" t="s">
        <v>495</v>
      </c>
      <c r="C1774" s="65" t="s">
        <v>92</v>
      </c>
      <c r="D1774" s="65" t="str">
        <f>vlookup(C1774,'Classificação p pessoal'!F:G,2,false)</f>
        <v/>
      </c>
      <c r="E1774" s="65" t="s">
        <v>834</v>
      </c>
      <c r="F1774" s="83">
        <v>0.4444444444444444</v>
      </c>
      <c r="G1774" s="83">
        <v>0.4652777777777778</v>
      </c>
      <c r="H1774" s="83">
        <v>0.020833333333333332</v>
      </c>
      <c r="I1774" s="84">
        <v>44369.0</v>
      </c>
      <c r="J1774" s="65" t="b">
        <v>1</v>
      </c>
      <c r="K1774" s="65"/>
      <c r="L1774" s="85" t="b">
        <f>IF(VLOOKUP(C1774,Projetos!A:L,12,false)=TRUE,TRUE,FALSE)</f>
        <v>1</v>
      </c>
      <c r="M1774" s="74">
        <v>73.7079846079846</v>
      </c>
      <c r="N1774" s="74">
        <f t="shared" si="1"/>
        <v>36.8539923</v>
      </c>
      <c r="O1774" s="74" t="b">
        <v>1</v>
      </c>
    </row>
    <row r="1775" hidden="1">
      <c r="A1775" s="82"/>
      <c r="B1775" s="65" t="s">
        <v>495</v>
      </c>
      <c r="C1775" s="65" t="s">
        <v>84</v>
      </c>
      <c r="D1775" s="65"/>
      <c r="E1775" s="65" t="s">
        <v>1078</v>
      </c>
      <c r="F1775" s="83">
        <v>0.5277777777777778</v>
      </c>
      <c r="G1775" s="83">
        <v>0.5416666666666666</v>
      </c>
      <c r="H1775" s="83">
        <v>0.013888888888888888</v>
      </c>
      <c r="I1775" s="84">
        <v>44369.0</v>
      </c>
      <c r="J1775" s="65" t="b">
        <v>0</v>
      </c>
      <c r="K1775" s="65" t="s">
        <v>150</v>
      </c>
      <c r="L1775" s="85" t="b">
        <f>IF(VLOOKUP(C1775,Projetos!A:L,12,false)=TRUE,TRUE,FALSE)</f>
        <v>0</v>
      </c>
      <c r="M1775" s="74">
        <v>73.7079846079846</v>
      </c>
      <c r="N1775" s="74">
        <f t="shared" si="1"/>
        <v>0</v>
      </c>
      <c r="O1775" s="74" t="b">
        <v>0</v>
      </c>
    </row>
    <row r="1776" hidden="1">
      <c r="A1776" s="82"/>
      <c r="B1776" s="65" t="s">
        <v>495</v>
      </c>
      <c r="C1776" s="65" t="s">
        <v>107</v>
      </c>
      <c r="D1776" s="65" t="str">
        <f>vlookup(C1776,'Classificação p pessoal'!F:G,2,false)</f>
        <v>NP</v>
      </c>
      <c r="E1776" s="65" t="s">
        <v>1079</v>
      </c>
      <c r="F1776" s="83">
        <v>0.5416666666666666</v>
      </c>
      <c r="G1776" s="83">
        <v>0.5729166666666666</v>
      </c>
      <c r="H1776" s="83">
        <v>0.03125</v>
      </c>
      <c r="I1776" s="84">
        <v>44369.0</v>
      </c>
      <c r="J1776" s="65" t="b">
        <v>1</v>
      </c>
      <c r="K1776" s="65"/>
      <c r="L1776" s="85" t="b">
        <f>IF(VLOOKUP(C1776,Projetos!A:L,12,false)=TRUE,TRUE,FALSE)</f>
        <v>1</v>
      </c>
      <c r="M1776" s="74">
        <v>73.7079846079846</v>
      </c>
      <c r="N1776" s="74">
        <f t="shared" si="1"/>
        <v>55.28098846</v>
      </c>
      <c r="O1776" s="74" t="b">
        <v>1</v>
      </c>
    </row>
    <row r="1777" hidden="1">
      <c r="A1777" s="82"/>
      <c r="B1777" s="65" t="s">
        <v>495</v>
      </c>
      <c r="C1777" s="65" t="s">
        <v>108</v>
      </c>
      <c r="D1777" s="65" t="str">
        <f>vlookup(C1777,'Classificação p pessoal'!F:G,2,false)</f>
        <v>NP</v>
      </c>
      <c r="E1777" s="65" t="s">
        <v>1059</v>
      </c>
      <c r="F1777" s="83">
        <v>0.6145833333333334</v>
      </c>
      <c r="G1777" s="83">
        <v>0.6388888888888888</v>
      </c>
      <c r="H1777" s="83">
        <v>0.024305555555555556</v>
      </c>
      <c r="I1777" s="84">
        <v>44369.0</v>
      </c>
      <c r="J1777" s="65" t="b">
        <v>1</v>
      </c>
      <c r="K1777" s="65"/>
      <c r="L1777" s="85" t="b">
        <f>IF(VLOOKUP(C1777,Projetos!A:L,12,false)=TRUE,TRUE,FALSE)</f>
        <v>1</v>
      </c>
      <c r="M1777" s="74">
        <v>73.7079846079846</v>
      </c>
      <c r="N1777" s="74">
        <f t="shared" si="1"/>
        <v>42.99632435</v>
      </c>
      <c r="O1777" s="74" t="b">
        <v>1</v>
      </c>
    </row>
    <row r="1778" hidden="1">
      <c r="A1778" s="82"/>
      <c r="B1778" s="65" t="s">
        <v>495</v>
      </c>
      <c r="C1778" s="65" t="s">
        <v>92</v>
      </c>
      <c r="D1778" s="65"/>
      <c r="E1778" s="65" t="s">
        <v>1080</v>
      </c>
      <c r="F1778" s="83">
        <v>0.6388888888888888</v>
      </c>
      <c r="G1778" s="83">
        <v>0.7083333333333334</v>
      </c>
      <c r="H1778" s="83">
        <v>0.06944444444444445</v>
      </c>
      <c r="I1778" s="84">
        <v>44369.0</v>
      </c>
      <c r="J1778" s="65" t="b">
        <v>0</v>
      </c>
      <c r="K1778" s="65" t="s">
        <v>150</v>
      </c>
      <c r="L1778" s="85" t="b">
        <f>IF(VLOOKUP(C1778,Projetos!A:L,12,false)=TRUE,TRUE,FALSE)</f>
        <v>1</v>
      </c>
      <c r="M1778" s="74">
        <v>73.7079846079846</v>
      </c>
      <c r="N1778" s="74">
        <f t="shared" si="1"/>
        <v>0</v>
      </c>
      <c r="O1778" s="74" t="b">
        <v>1</v>
      </c>
    </row>
    <row r="1779" hidden="1">
      <c r="A1779" s="82"/>
      <c r="B1779" s="65" t="s">
        <v>495</v>
      </c>
      <c r="C1779" s="65" t="s">
        <v>92</v>
      </c>
      <c r="D1779" s="65" t="str">
        <f>vlookup(C1779,'Classificação p pessoal'!F:G,2,false)</f>
        <v/>
      </c>
      <c r="E1779" s="65" t="s">
        <v>1081</v>
      </c>
      <c r="F1779" s="83">
        <v>0.7083333333333334</v>
      </c>
      <c r="G1779" s="83">
        <v>0.75</v>
      </c>
      <c r="H1779" s="83">
        <v>0.041666666666666664</v>
      </c>
      <c r="I1779" s="84">
        <v>44369.0</v>
      </c>
      <c r="J1779" s="65" t="b">
        <v>1</v>
      </c>
      <c r="K1779" s="65"/>
      <c r="L1779" s="85" t="b">
        <f>IF(VLOOKUP(C1779,Projetos!A:L,12,false)=TRUE,TRUE,FALSE)</f>
        <v>1</v>
      </c>
      <c r="M1779" s="74">
        <v>73.7079846079846</v>
      </c>
      <c r="N1779" s="74">
        <f t="shared" si="1"/>
        <v>73.70798461</v>
      </c>
      <c r="O1779" s="74" t="b">
        <v>1</v>
      </c>
    </row>
    <row r="1780" hidden="1">
      <c r="A1780" s="82"/>
      <c r="B1780" s="65" t="s">
        <v>495</v>
      </c>
      <c r="C1780" s="65" t="s">
        <v>92</v>
      </c>
      <c r="D1780" s="65" t="str">
        <f>vlookup(C1780,'Classificação p pessoal'!F:G,2,false)</f>
        <v/>
      </c>
      <c r="E1780" s="65" t="s">
        <v>898</v>
      </c>
      <c r="F1780" s="83">
        <v>0.34375</v>
      </c>
      <c r="G1780" s="83">
        <v>0.4166666666666667</v>
      </c>
      <c r="H1780" s="83">
        <v>0.07291666666666667</v>
      </c>
      <c r="I1780" s="84">
        <v>44370.0</v>
      </c>
      <c r="J1780" s="65" t="b">
        <v>1</v>
      </c>
      <c r="K1780" s="65"/>
      <c r="L1780" s="85" t="b">
        <f>IF(VLOOKUP(C1780,Projetos!A:L,12,false)=TRUE,TRUE,FALSE)</f>
        <v>1</v>
      </c>
      <c r="M1780" s="74">
        <v>73.7079846079846</v>
      </c>
      <c r="N1780" s="74">
        <f t="shared" si="1"/>
        <v>128.9889731</v>
      </c>
      <c r="O1780" s="74" t="b">
        <v>1</v>
      </c>
    </row>
    <row r="1781" hidden="1">
      <c r="A1781" s="82"/>
      <c r="B1781" s="65" t="s">
        <v>495</v>
      </c>
      <c r="C1781" s="65" t="s">
        <v>92</v>
      </c>
      <c r="D1781" s="65" t="str">
        <f>vlookup(C1781,'Classificação p pessoal'!F:G,2,false)</f>
        <v/>
      </c>
      <c r="E1781" s="65" t="s">
        <v>1082</v>
      </c>
      <c r="F1781" s="83">
        <v>0.4166666666666667</v>
      </c>
      <c r="G1781" s="83">
        <v>0.5416666666666666</v>
      </c>
      <c r="H1781" s="83">
        <v>0.125</v>
      </c>
      <c r="I1781" s="84">
        <v>44370.0</v>
      </c>
      <c r="J1781" s="65" t="b">
        <v>1</v>
      </c>
      <c r="K1781" s="65"/>
      <c r="L1781" s="85" t="b">
        <f>IF(VLOOKUP(C1781,Projetos!A:L,12,false)=TRUE,TRUE,FALSE)</f>
        <v>1</v>
      </c>
      <c r="M1781" s="74">
        <v>73.7079846079846</v>
      </c>
      <c r="N1781" s="74">
        <f t="shared" si="1"/>
        <v>221.1239538</v>
      </c>
      <c r="O1781" s="74" t="b">
        <v>1</v>
      </c>
    </row>
    <row r="1782" hidden="1">
      <c r="A1782" s="82"/>
      <c r="B1782" s="65" t="s">
        <v>495</v>
      </c>
      <c r="C1782" s="65" t="s">
        <v>106</v>
      </c>
      <c r="D1782" s="65" t="str">
        <f>vlookup(C1782,'Classificação p pessoal'!F:G,2,false)</f>
        <v>MProcesso</v>
      </c>
      <c r="E1782" s="65" t="s">
        <v>1083</v>
      </c>
      <c r="F1782" s="83">
        <v>0.5833333333333334</v>
      </c>
      <c r="G1782" s="83">
        <v>0.625</v>
      </c>
      <c r="H1782" s="83">
        <v>0.041666666666666664</v>
      </c>
      <c r="I1782" s="84">
        <v>44370.0</v>
      </c>
      <c r="J1782" s="65" t="b">
        <v>1</v>
      </c>
      <c r="K1782" s="65"/>
      <c r="L1782" s="85" t="b">
        <f>IF(VLOOKUP(C1782,Projetos!A:L,12,false)=TRUE,TRUE,FALSE)</f>
        <v>1</v>
      </c>
      <c r="M1782" s="74">
        <v>73.7079846079846</v>
      </c>
      <c r="N1782" s="74">
        <f t="shared" si="1"/>
        <v>73.70798461</v>
      </c>
      <c r="O1782" s="74" t="b">
        <v>1</v>
      </c>
    </row>
    <row r="1783" hidden="1">
      <c r="A1783" s="82"/>
      <c r="B1783" s="65" t="s">
        <v>469</v>
      </c>
      <c r="C1783" s="65" t="s">
        <v>108</v>
      </c>
      <c r="D1783" s="65"/>
      <c r="E1783" s="65" t="s">
        <v>1084</v>
      </c>
      <c r="F1783" s="83">
        <v>0.34375</v>
      </c>
      <c r="G1783" s="83">
        <v>0.75</v>
      </c>
      <c r="H1783" s="83">
        <v>0.40625</v>
      </c>
      <c r="I1783" s="84">
        <v>44204.0</v>
      </c>
      <c r="J1783" s="65" t="b">
        <v>0</v>
      </c>
      <c r="K1783" s="65" t="s">
        <v>150</v>
      </c>
      <c r="L1783" s="85" t="b">
        <f>IF(VLOOKUP(C1783,Projetos!A:L,12,false)=TRUE,TRUE,FALSE)</f>
        <v>1</v>
      </c>
      <c r="M1783" s="74">
        <v>37.50928062469937</v>
      </c>
      <c r="N1783" s="74">
        <f t="shared" si="1"/>
        <v>0</v>
      </c>
      <c r="O1783" s="74" t="b">
        <v>1</v>
      </c>
    </row>
    <row r="1784" hidden="1">
      <c r="A1784" s="82"/>
      <c r="B1784" s="65" t="s">
        <v>469</v>
      </c>
      <c r="C1784" s="65" t="s">
        <v>108</v>
      </c>
      <c r="D1784" s="65"/>
      <c r="E1784" s="65" t="s">
        <v>1085</v>
      </c>
      <c r="F1784" s="83">
        <v>0.3333333333333333</v>
      </c>
      <c r="G1784" s="83">
        <v>0.7083333333333334</v>
      </c>
      <c r="H1784" s="83">
        <v>0.375</v>
      </c>
      <c r="I1784" s="84">
        <v>44483.0</v>
      </c>
      <c r="J1784" s="65" t="b">
        <v>0</v>
      </c>
      <c r="K1784" s="65" t="s">
        <v>150</v>
      </c>
      <c r="L1784" s="85" t="b">
        <f>IF(VLOOKUP(C1784,Projetos!A:L,12,false)=TRUE,TRUE,FALSE)</f>
        <v>1</v>
      </c>
      <c r="M1784" s="74">
        <v>37.50928062469937</v>
      </c>
      <c r="N1784" s="74">
        <f t="shared" si="1"/>
        <v>0</v>
      </c>
      <c r="O1784" s="74" t="b">
        <v>1</v>
      </c>
    </row>
    <row r="1785" hidden="1">
      <c r="A1785" s="82"/>
      <c r="B1785" s="65" t="s">
        <v>177</v>
      </c>
      <c r="C1785" s="65" t="s">
        <v>91</v>
      </c>
      <c r="D1785" s="65" t="str">
        <f>vlookup(C1785,'Classificação p pessoal'!F:G,2,false)</f>
        <v>NP</v>
      </c>
      <c r="E1785" s="65" t="s">
        <v>1086</v>
      </c>
      <c r="F1785" s="83">
        <v>0.5833333333333334</v>
      </c>
      <c r="G1785" s="83">
        <v>0.6458333333333334</v>
      </c>
      <c r="H1785" s="83">
        <v>0.0625</v>
      </c>
      <c r="I1785" s="84">
        <v>44438.0</v>
      </c>
      <c r="J1785" s="65" t="b">
        <v>1</v>
      </c>
      <c r="K1785" s="65"/>
      <c r="L1785" s="85" t="b">
        <f>IF(VLOOKUP(C1785,Projetos!A:L,12,false)=TRUE,TRUE,FALSE)</f>
        <v>1</v>
      </c>
      <c r="M1785" s="74">
        <v>31.02923620430495</v>
      </c>
      <c r="N1785" s="74">
        <f t="shared" si="1"/>
        <v>46.54385431</v>
      </c>
      <c r="O1785" s="74" t="b">
        <v>1</v>
      </c>
    </row>
    <row r="1786" hidden="1">
      <c r="A1786" s="82"/>
      <c r="B1786" s="65" t="s">
        <v>495</v>
      </c>
      <c r="C1786" s="65" t="s">
        <v>92</v>
      </c>
      <c r="D1786" s="65" t="str">
        <f>vlookup(C1786,'Classificação p pessoal'!F:G,2,false)</f>
        <v/>
      </c>
      <c r="E1786" s="65" t="s">
        <v>1087</v>
      </c>
      <c r="F1786" s="83">
        <v>0.625</v>
      </c>
      <c r="G1786" s="83">
        <v>0.6666666666666666</v>
      </c>
      <c r="H1786" s="83">
        <v>0.041666666666666664</v>
      </c>
      <c r="I1786" s="84">
        <v>44371.0</v>
      </c>
      <c r="J1786" s="65" t="b">
        <v>1</v>
      </c>
      <c r="K1786" s="65"/>
      <c r="L1786" s="85" t="b">
        <f>IF(VLOOKUP(C1786,Projetos!A:L,12,false)=TRUE,TRUE,FALSE)</f>
        <v>1</v>
      </c>
      <c r="M1786" s="74">
        <v>73.7079846079846</v>
      </c>
      <c r="N1786" s="74">
        <f t="shared" si="1"/>
        <v>73.70798461</v>
      </c>
      <c r="O1786" s="74" t="b">
        <v>1</v>
      </c>
    </row>
    <row r="1787" hidden="1">
      <c r="A1787" s="82"/>
      <c r="B1787" s="65" t="s">
        <v>495</v>
      </c>
      <c r="C1787" s="65" t="s">
        <v>84</v>
      </c>
      <c r="D1787" s="65"/>
      <c r="E1787" s="65" t="s">
        <v>1088</v>
      </c>
      <c r="F1787" s="83">
        <v>0.6666666666666666</v>
      </c>
      <c r="G1787" s="83">
        <v>0.75</v>
      </c>
      <c r="H1787" s="83">
        <v>0.08333333333333333</v>
      </c>
      <c r="I1787" s="84">
        <v>44371.0</v>
      </c>
      <c r="J1787" s="65" t="b">
        <v>0</v>
      </c>
      <c r="K1787" s="65" t="s">
        <v>150</v>
      </c>
      <c r="L1787" s="85" t="b">
        <f>IF(VLOOKUP(C1787,Projetos!A:L,12,false)=TRUE,TRUE,FALSE)</f>
        <v>0</v>
      </c>
      <c r="M1787" s="74">
        <v>73.7079846079846</v>
      </c>
      <c r="N1787" s="74">
        <f t="shared" si="1"/>
        <v>0</v>
      </c>
      <c r="O1787" s="74" t="b">
        <v>0</v>
      </c>
    </row>
    <row r="1788" hidden="1">
      <c r="A1788" s="82"/>
      <c r="B1788" s="65" t="s">
        <v>495</v>
      </c>
      <c r="C1788" s="65" t="s">
        <v>92</v>
      </c>
      <c r="D1788" s="65" t="str">
        <f>vlookup(C1788,'Classificação p pessoal'!F:G,2,false)</f>
        <v/>
      </c>
      <c r="E1788" s="65" t="s">
        <v>1089</v>
      </c>
      <c r="F1788" s="83">
        <v>0.3541666666666667</v>
      </c>
      <c r="G1788" s="83">
        <v>0.4583333333333333</v>
      </c>
      <c r="H1788" s="83">
        <v>0.10416666666666667</v>
      </c>
      <c r="I1788" s="84">
        <v>44372.0</v>
      </c>
      <c r="J1788" s="65" t="b">
        <v>1</v>
      </c>
      <c r="K1788" s="65"/>
      <c r="L1788" s="85" t="b">
        <f>IF(VLOOKUP(C1788,Projetos!A:L,12,false)=TRUE,TRUE,FALSE)</f>
        <v>1</v>
      </c>
      <c r="M1788" s="74">
        <v>73.7079846079846</v>
      </c>
      <c r="N1788" s="74">
        <f t="shared" si="1"/>
        <v>184.2699615</v>
      </c>
      <c r="O1788" s="74" t="b">
        <v>1</v>
      </c>
    </row>
    <row r="1789" hidden="1">
      <c r="A1789" s="82"/>
      <c r="B1789" s="65" t="s">
        <v>495</v>
      </c>
      <c r="C1789" s="65" t="s">
        <v>92</v>
      </c>
      <c r="D1789" s="65" t="str">
        <f>vlookup(C1789,'Classificação p pessoal'!F:G,2,false)</f>
        <v/>
      </c>
      <c r="E1789" s="65" t="s">
        <v>946</v>
      </c>
      <c r="F1789" s="83">
        <v>0.4583333333333333</v>
      </c>
      <c r="G1789" s="83">
        <v>0.5</v>
      </c>
      <c r="H1789" s="83">
        <v>0.041666666666666664</v>
      </c>
      <c r="I1789" s="84">
        <v>44372.0</v>
      </c>
      <c r="J1789" s="65" t="b">
        <v>1</v>
      </c>
      <c r="K1789" s="65"/>
      <c r="L1789" s="85" t="b">
        <f>IF(VLOOKUP(C1789,Projetos!A:L,12,false)=TRUE,TRUE,FALSE)</f>
        <v>1</v>
      </c>
      <c r="M1789" s="74">
        <v>73.7079846079846</v>
      </c>
      <c r="N1789" s="74">
        <f t="shared" si="1"/>
        <v>73.70798461</v>
      </c>
      <c r="O1789" s="74" t="b">
        <v>1</v>
      </c>
    </row>
    <row r="1790" hidden="1">
      <c r="A1790" s="82"/>
      <c r="B1790" s="65" t="s">
        <v>495</v>
      </c>
      <c r="C1790" s="65" t="s">
        <v>92</v>
      </c>
      <c r="D1790" s="65" t="str">
        <f>vlookup(C1790,'Classificação p pessoal'!F:G,2,false)</f>
        <v/>
      </c>
      <c r="E1790" s="65" t="s">
        <v>1038</v>
      </c>
      <c r="F1790" s="83">
        <v>0.5</v>
      </c>
      <c r="G1790" s="83">
        <v>0.5763888888888888</v>
      </c>
      <c r="H1790" s="83">
        <v>0.0763888888888889</v>
      </c>
      <c r="I1790" s="84">
        <v>44372.0</v>
      </c>
      <c r="J1790" s="65" t="b">
        <v>1</v>
      </c>
      <c r="K1790" s="65"/>
      <c r="L1790" s="85" t="b">
        <f>IF(VLOOKUP(C1790,Projetos!A:L,12,false)=TRUE,TRUE,FALSE)</f>
        <v>1</v>
      </c>
      <c r="M1790" s="74">
        <v>73.7079846079846</v>
      </c>
      <c r="N1790" s="74">
        <f t="shared" si="1"/>
        <v>135.1313051</v>
      </c>
      <c r="O1790" s="74" t="b">
        <v>1</v>
      </c>
    </row>
    <row r="1791" hidden="1">
      <c r="A1791" s="82"/>
      <c r="B1791" s="65" t="s">
        <v>495</v>
      </c>
      <c r="C1791" s="65" t="s">
        <v>117</v>
      </c>
      <c r="D1791" s="65" t="str">
        <f>vlookup(C1791,'Classificação p pessoal'!F:G,2,false)</f>
        <v>NP</v>
      </c>
      <c r="E1791" s="65" t="s">
        <v>1090</v>
      </c>
      <c r="F1791" s="83">
        <v>0.6180555555555556</v>
      </c>
      <c r="G1791" s="83">
        <v>0.75</v>
      </c>
      <c r="H1791" s="83">
        <v>0.13194444444444445</v>
      </c>
      <c r="I1791" s="84">
        <v>44372.0</v>
      </c>
      <c r="J1791" s="65" t="b">
        <v>1</v>
      </c>
      <c r="K1791" s="65"/>
      <c r="L1791" s="85" t="b">
        <f>IF(VLOOKUP(C1791,Projetos!A:L,12,false)=TRUE,TRUE,FALSE)</f>
        <v>1</v>
      </c>
      <c r="M1791" s="74">
        <v>73.7079846079846</v>
      </c>
      <c r="N1791" s="74">
        <f t="shared" si="1"/>
        <v>233.4086179</v>
      </c>
      <c r="O1791" s="74" t="b">
        <v>1</v>
      </c>
    </row>
    <row r="1792" hidden="1">
      <c r="A1792" s="82"/>
      <c r="B1792" s="65" t="s">
        <v>495</v>
      </c>
      <c r="C1792" s="65" t="s">
        <v>92</v>
      </c>
      <c r="D1792" s="65" t="str">
        <f>vlookup(C1792,'Classificação p pessoal'!F:G,2,false)</f>
        <v/>
      </c>
      <c r="E1792" s="65" t="s">
        <v>1091</v>
      </c>
      <c r="F1792" s="83">
        <v>0.3472222222222222</v>
      </c>
      <c r="G1792" s="83">
        <v>0.375</v>
      </c>
      <c r="H1792" s="83">
        <v>0.027777777777777776</v>
      </c>
      <c r="I1792" s="84">
        <v>44375.0</v>
      </c>
      <c r="J1792" s="65" t="b">
        <v>1</v>
      </c>
      <c r="K1792" s="65"/>
      <c r="L1792" s="85" t="b">
        <f>IF(VLOOKUP(C1792,Projetos!A:L,12,false)=TRUE,TRUE,FALSE)</f>
        <v>1</v>
      </c>
      <c r="M1792" s="74">
        <v>73.7079846079846</v>
      </c>
      <c r="N1792" s="74">
        <f t="shared" si="1"/>
        <v>49.13865641</v>
      </c>
      <c r="O1792" s="74" t="b">
        <v>1</v>
      </c>
    </row>
    <row r="1793" hidden="1">
      <c r="A1793" s="82"/>
      <c r="B1793" s="65" t="s">
        <v>495</v>
      </c>
      <c r="C1793" s="65" t="s">
        <v>84</v>
      </c>
      <c r="D1793" s="65"/>
      <c r="E1793" s="65" t="s">
        <v>1092</v>
      </c>
      <c r="F1793" s="83">
        <v>0.4166666666666667</v>
      </c>
      <c r="G1793" s="83">
        <v>0.4930555555555556</v>
      </c>
      <c r="H1793" s="83">
        <v>0.0763888888888889</v>
      </c>
      <c r="I1793" s="84">
        <v>44375.0</v>
      </c>
      <c r="J1793" s="65" t="b">
        <v>0</v>
      </c>
      <c r="K1793" s="65"/>
      <c r="L1793" s="85" t="b">
        <f>IF(VLOOKUP(C1793,Projetos!A:L,12,false)=TRUE,TRUE,FALSE)</f>
        <v>0</v>
      </c>
      <c r="M1793" s="74">
        <v>73.7079846079846</v>
      </c>
      <c r="N1793" s="74">
        <f t="shared" si="1"/>
        <v>0</v>
      </c>
      <c r="O1793" s="74" t="b">
        <v>0</v>
      </c>
    </row>
    <row r="1794" hidden="1">
      <c r="A1794" s="82"/>
      <c r="B1794" s="65" t="s">
        <v>495</v>
      </c>
      <c r="C1794" s="65" t="s">
        <v>117</v>
      </c>
      <c r="D1794" s="65" t="str">
        <f>vlookup(C1794,'Classificação p pessoal'!F:G,2,false)</f>
        <v>NP</v>
      </c>
      <c r="E1794" s="65" t="s">
        <v>1090</v>
      </c>
      <c r="F1794" s="83">
        <v>0.5</v>
      </c>
      <c r="G1794" s="83">
        <v>0.5895833333333333</v>
      </c>
      <c r="H1794" s="83">
        <v>0.08958333333333333</v>
      </c>
      <c r="I1794" s="84">
        <v>44375.0</v>
      </c>
      <c r="J1794" s="65" t="b">
        <v>1</v>
      </c>
      <c r="K1794" s="65"/>
      <c r="L1794" s="85" t="b">
        <f>IF(VLOOKUP(C1794,Projetos!A:L,12,false)=TRUE,TRUE,FALSE)</f>
        <v>1</v>
      </c>
      <c r="M1794" s="74">
        <v>73.7079846079846</v>
      </c>
      <c r="N1794" s="74">
        <f t="shared" si="1"/>
        <v>158.4721669</v>
      </c>
      <c r="O1794" s="74" t="b">
        <v>1</v>
      </c>
    </row>
    <row r="1795" hidden="1">
      <c r="A1795" s="82"/>
      <c r="B1795" s="65" t="s">
        <v>495</v>
      </c>
      <c r="C1795" s="65" t="s">
        <v>117</v>
      </c>
      <c r="D1795" s="65" t="str">
        <f>vlookup(C1795,'Classificação p pessoal'!F:G,2,false)</f>
        <v>NP</v>
      </c>
      <c r="E1795" s="65" t="s">
        <v>1093</v>
      </c>
      <c r="F1795" s="83">
        <v>0.63125</v>
      </c>
      <c r="G1795" s="83">
        <v>0.75</v>
      </c>
      <c r="H1795" s="83">
        <v>0.11875</v>
      </c>
      <c r="I1795" s="84">
        <v>44375.0</v>
      </c>
      <c r="J1795" s="65" t="b">
        <v>1</v>
      </c>
      <c r="K1795" s="65"/>
      <c r="L1795" s="85" t="b">
        <f>IF(VLOOKUP(C1795,Projetos!A:L,12,false)=TRUE,TRUE,FALSE)</f>
        <v>1</v>
      </c>
      <c r="M1795" s="74">
        <v>73.7079846079846</v>
      </c>
      <c r="N1795" s="74">
        <f t="shared" si="1"/>
        <v>210.0677561</v>
      </c>
      <c r="O1795" s="74" t="b">
        <v>1</v>
      </c>
    </row>
    <row r="1796" hidden="1">
      <c r="A1796" s="82"/>
      <c r="B1796" s="65" t="s">
        <v>495</v>
      </c>
      <c r="C1796" s="65" t="s">
        <v>100</v>
      </c>
      <c r="D1796" s="65"/>
      <c r="E1796" s="65" t="s">
        <v>1094</v>
      </c>
      <c r="F1796" s="83">
        <v>0.3472222222222222</v>
      </c>
      <c r="G1796" s="83">
        <v>0.4722222222222222</v>
      </c>
      <c r="H1796" s="83">
        <v>0.125</v>
      </c>
      <c r="I1796" s="84">
        <v>44376.0</v>
      </c>
      <c r="J1796" s="65" t="b">
        <v>0</v>
      </c>
      <c r="K1796" s="65" t="s">
        <v>150</v>
      </c>
      <c r="L1796" s="85" t="b">
        <f>IF(VLOOKUP(C1796,Projetos!A:L,12,false)=TRUE,TRUE,FALSE)</f>
        <v>1</v>
      </c>
      <c r="M1796" s="74">
        <v>73.7079846079846</v>
      </c>
      <c r="N1796" s="74">
        <f t="shared" si="1"/>
        <v>0</v>
      </c>
      <c r="O1796" s="74" t="b">
        <v>1</v>
      </c>
    </row>
    <row r="1797" hidden="1">
      <c r="A1797" s="82"/>
      <c r="B1797" s="65" t="s">
        <v>495</v>
      </c>
      <c r="C1797" s="65" t="s">
        <v>92</v>
      </c>
      <c r="D1797" s="65" t="str">
        <f>vlookup(C1797,'Classificação p pessoal'!F:G,2,false)</f>
        <v/>
      </c>
      <c r="E1797" s="65" t="s">
        <v>1095</v>
      </c>
      <c r="F1797" s="83">
        <v>0.4826388888888889</v>
      </c>
      <c r="G1797" s="83">
        <v>0.53125</v>
      </c>
      <c r="H1797" s="83">
        <v>0.04861111111111111</v>
      </c>
      <c r="I1797" s="84">
        <v>44376.0</v>
      </c>
      <c r="J1797" s="65" t="b">
        <v>1</v>
      </c>
      <c r="K1797" s="65"/>
      <c r="L1797" s="85" t="b">
        <f>IF(VLOOKUP(C1797,Projetos!A:L,12,false)=TRUE,TRUE,FALSE)</f>
        <v>1</v>
      </c>
      <c r="M1797" s="74">
        <v>73.7079846079846</v>
      </c>
      <c r="N1797" s="74">
        <f t="shared" si="1"/>
        <v>85.99264871</v>
      </c>
      <c r="O1797" s="74" t="b">
        <v>1</v>
      </c>
    </row>
    <row r="1798" hidden="1">
      <c r="A1798" s="82"/>
      <c r="B1798" s="65" t="s">
        <v>495</v>
      </c>
      <c r="C1798" s="65" t="s">
        <v>117</v>
      </c>
      <c r="D1798" s="65" t="str">
        <f>vlookup(C1798,'Classificação p pessoal'!F:G,2,false)</f>
        <v>NP</v>
      </c>
      <c r="E1798" s="65" t="s">
        <v>946</v>
      </c>
      <c r="F1798" s="83">
        <v>0.5416666666666666</v>
      </c>
      <c r="G1798" s="83">
        <v>0.5729166666666666</v>
      </c>
      <c r="H1798" s="83">
        <v>0.03125</v>
      </c>
      <c r="I1798" s="84">
        <v>44376.0</v>
      </c>
      <c r="J1798" s="65" t="b">
        <v>1</v>
      </c>
      <c r="K1798" s="65"/>
      <c r="L1798" s="85" t="b">
        <f>IF(VLOOKUP(C1798,Projetos!A:L,12,false)=TRUE,TRUE,FALSE)</f>
        <v>1</v>
      </c>
      <c r="M1798" s="74">
        <v>73.7079846079846</v>
      </c>
      <c r="N1798" s="74">
        <f t="shared" si="1"/>
        <v>55.28098846</v>
      </c>
      <c r="O1798" s="74" t="b">
        <v>1</v>
      </c>
    </row>
    <row r="1799" hidden="1">
      <c r="A1799" s="82"/>
      <c r="B1799" s="65" t="s">
        <v>495</v>
      </c>
      <c r="C1799" s="65" t="s">
        <v>117</v>
      </c>
      <c r="D1799" s="65" t="str">
        <f>vlookup(C1799,'Classificação p pessoal'!F:G,2,false)</f>
        <v>NP</v>
      </c>
      <c r="E1799" s="65" t="s">
        <v>832</v>
      </c>
      <c r="F1799" s="83">
        <v>0.6145833333333334</v>
      </c>
      <c r="G1799" s="83">
        <v>0.7083333333333334</v>
      </c>
      <c r="H1799" s="83">
        <v>0.09375</v>
      </c>
      <c r="I1799" s="84">
        <v>44376.0</v>
      </c>
      <c r="J1799" s="65" t="b">
        <v>1</v>
      </c>
      <c r="K1799" s="65"/>
      <c r="L1799" s="85" t="b">
        <f>IF(VLOOKUP(C1799,Projetos!A:L,12,false)=TRUE,TRUE,FALSE)</f>
        <v>1</v>
      </c>
      <c r="M1799" s="74">
        <v>73.7079846079846</v>
      </c>
      <c r="N1799" s="74">
        <f t="shared" si="1"/>
        <v>165.8429654</v>
      </c>
      <c r="O1799" s="74" t="b">
        <v>1</v>
      </c>
    </row>
    <row r="1800" hidden="1">
      <c r="A1800" s="82"/>
      <c r="B1800" s="65" t="s">
        <v>495</v>
      </c>
      <c r="C1800" s="65" t="s">
        <v>92</v>
      </c>
      <c r="D1800" s="65" t="str">
        <f>vlookup(C1800,'Classificação p pessoal'!F:G,2,false)</f>
        <v/>
      </c>
      <c r="E1800" s="65" t="s">
        <v>1096</v>
      </c>
      <c r="F1800" s="83">
        <v>0.7083333333333334</v>
      </c>
      <c r="G1800" s="83">
        <v>0.75</v>
      </c>
      <c r="H1800" s="83">
        <v>0.041666666666666664</v>
      </c>
      <c r="I1800" s="84">
        <v>44376.0</v>
      </c>
      <c r="J1800" s="65" t="b">
        <v>1</v>
      </c>
      <c r="K1800" s="65"/>
      <c r="L1800" s="85" t="b">
        <f>IF(VLOOKUP(C1800,Projetos!A:L,12,false)=TRUE,TRUE,FALSE)</f>
        <v>1</v>
      </c>
      <c r="M1800" s="74">
        <v>73.7079846079846</v>
      </c>
      <c r="N1800" s="74">
        <f t="shared" si="1"/>
        <v>73.70798461</v>
      </c>
      <c r="O1800" s="74" t="b">
        <v>1</v>
      </c>
    </row>
    <row r="1801" hidden="1">
      <c r="A1801" s="82"/>
      <c r="B1801" s="65" t="s">
        <v>495</v>
      </c>
      <c r="C1801" s="65" t="s">
        <v>100</v>
      </c>
      <c r="D1801" s="65" t="str">
        <f>vlookup(C1801,'Classificação p pessoal'!F:G,2,false)</f>
        <v>NP</v>
      </c>
      <c r="E1801" s="65" t="s">
        <v>1097</v>
      </c>
      <c r="F1801" s="83">
        <v>0.3541666666666667</v>
      </c>
      <c r="G1801" s="83">
        <v>0.4583333333333333</v>
      </c>
      <c r="H1801" s="83">
        <v>0.10416666666666667</v>
      </c>
      <c r="I1801" s="84">
        <v>44377.0</v>
      </c>
      <c r="J1801" s="65" t="b">
        <v>1</v>
      </c>
      <c r="K1801" s="65"/>
      <c r="L1801" s="85" t="b">
        <f>IF(VLOOKUP(C1801,Projetos!A:L,12,false)=TRUE,TRUE,FALSE)</f>
        <v>1</v>
      </c>
      <c r="M1801" s="74">
        <v>73.7079846079846</v>
      </c>
      <c r="N1801" s="74">
        <f t="shared" si="1"/>
        <v>184.2699615</v>
      </c>
      <c r="O1801" s="74" t="b">
        <v>1</v>
      </c>
    </row>
    <row r="1802" hidden="1">
      <c r="A1802" s="82"/>
      <c r="B1802" s="65" t="s">
        <v>495</v>
      </c>
      <c r="C1802" s="65" t="s">
        <v>84</v>
      </c>
      <c r="D1802" s="65"/>
      <c r="E1802" s="65" t="s">
        <v>1098</v>
      </c>
      <c r="F1802" s="83">
        <v>0.4583333333333333</v>
      </c>
      <c r="G1802" s="83">
        <v>0.5173611111111112</v>
      </c>
      <c r="H1802" s="83">
        <v>0.059027777777777776</v>
      </c>
      <c r="I1802" s="84">
        <v>44377.0</v>
      </c>
      <c r="J1802" s="65" t="b">
        <v>0</v>
      </c>
      <c r="K1802" s="65"/>
      <c r="L1802" s="85" t="b">
        <f>IF(VLOOKUP(C1802,Projetos!A:L,12,false)=TRUE,TRUE,FALSE)</f>
        <v>0</v>
      </c>
      <c r="M1802" s="74">
        <v>73.7079846079846</v>
      </c>
      <c r="N1802" s="74">
        <f t="shared" si="1"/>
        <v>0</v>
      </c>
      <c r="O1802" s="74" t="b">
        <v>0</v>
      </c>
    </row>
    <row r="1803" hidden="1">
      <c r="A1803" s="82"/>
      <c r="B1803" s="65" t="s">
        <v>495</v>
      </c>
      <c r="C1803" s="65" t="s">
        <v>92</v>
      </c>
      <c r="D1803" s="65" t="str">
        <f>vlookup(C1803,'Classificação p pessoal'!F:G,2,false)</f>
        <v/>
      </c>
      <c r="E1803" s="65" t="s">
        <v>1099</v>
      </c>
      <c r="F1803" s="83">
        <v>0.5590277777777778</v>
      </c>
      <c r="G1803" s="83">
        <v>0.5833333333333334</v>
      </c>
      <c r="H1803" s="83">
        <v>0.024305555555555556</v>
      </c>
      <c r="I1803" s="84">
        <v>44377.0</v>
      </c>
      <c r="J1803" s="65" t="b">
        <v>1</v>
      </c>
      <c r="K1803" s="65"/>
      <c r="L1803" s="85" t="b">
        <f>IF(VLOOKUP(C1803,Projetos!A:L,12,false)=TRUE,TRUE,FALSE)</f>
        <v>1</v>
      </c>
      <c r="M1803" s="74">
        <v>73.7079846079846</v>
      </c>
      <c r="N1803" s="74">
        <f t="shared" si="1"/>
        <v>42.99632435</v>
      </c>
      <c r="O1803" s="74" t="b">
        <v>1</v>
      </c>
    </row>
    <row r="1804" hidden="1">
      <c r="A1804" s="82"/>
      <c r="B1804" s="65" t="s">
        <v>495</v>
      </c>
      <c r="C1804" s="65" t="s">
        <v>92</v>
      </c>
      <c r="D1804" s="65"/>
      <c r="E1804" s="65" t="s">
        <v>1100</v>
      </c>
      <c r="F1804" s="83">
        <v>0.5833333333333334</v>
      </c>
      <c r="G1804" s="83">
        <v>0.7291666666666666</v>
      </c>
      <c r="H1804" s="83">
        <v>0.14583333333333334</v>
      </c>
      <c r="I1804" s="84">
        <v>44377.0</v>
      </c>
      <c r="J1804" s="65" t="b">
        <v>0</v>
      </c>
      <c r="K1804" s="65" t="s">
        <v>150</v>
      </c>
      <c r="L1804" s="85" t="b">
        <f>IF(VLOOKUP(C1804,Projetos!A:L,12,false)=TRUE,TRUE,FALSE)</f>
        <v>1</v>
      </c>
      <c r="M1804" s="74">
        <v>73.7079846079846</v>
      </c>
      <c r="N1804" s="74">
        <f t="shared" si="1"/>
        <v>0</v>
      </c>
      <c r="O1804" s="74" t="b">
        <v>1</v>
      </c>
    </row>
    <row r="1805" hidden="1">
      <c r="A1805" s="82"/>
      <c r="B1805" s="65" t="s">
        <v>495</v>
      </c>
      <c r="C1805" s="65" t="s">
        <v>84</v>
      </c>
      <c r="D1805" s="65"/>
      <c r="E1805" s="65" t="s">
        <v>1101</v>
      </c>
      <c r="F1805" s="83">
        <v>0.3541666666666667</v>
      </c>
      <c r="G1805" s="83">
        <v>0.4166666666666667</v>
      </c>
      <c r="H1805" s="83">
        <v>0.0625</v>
      </c>
      <c r="I1805" s="84">
        <v>44378.0</v>
      </c>
      <c r="J1805" s="65" t="b">
        <v>0</v>
      </c>
      <c r="K1805" s="65"/>
      <c r="L1805" s="85" t="b">
        <f>IF(VLOOKUP(C1805,Projetos!A:L,12,false)=TRUE,TRUE,FALSE)</f>
        <v>0</v>
      </c>
      <c r="M1805" s="74">
        <v>73.7079846079846</v>
      </c>
      <c r="N1805" s="74">
        <f t="shared" si="1"/>
        <v>0</v>
      </c>
      <c r="O1805" s="74" t="b">
        <v>0</v>
      </c>
    </row>
    <row r="1806" hidden="1">
      <c r="A1806" s="82"/>
      <c r="B1806" s="65" t="s">
        <v>495</v>
      </c>
      <c r="C1806" s="65" t="s">
        <v>92</v>
      </c>
      <c r="D1806" s="65" t="str">
        <f>vlookup(C1806,'Classificação p pessoal'!F:G,2,false)</f>
        <v/>
      </c>
      <c r="E1806" s="65" t="s">
        <v>1102</v>
      </c>
      <c r="F1806" s="83">
        <v>0.4375</v>
      </c>
      <c r="G1806" s="83">
        <v>0.5555555555555556</v>
      </c>
      <c r="H1806" s="83">
        <v>0.11805555555555555</v>
      </c>
      <c r="I1806" s="84">
        <v>44378.0</v>
      </c>
      <c r="J1806" s="65" t="b">
        <v>1</v>
      </c>
      <c r="K1806" s="65"/>
      <c r="L1806" s="85" t="b">
        <f>IF(VLOOKUP(C1806,Projetos!A:L,12,false)=TRUE,TRUE,FALSE)</f>
        <v>1</v>
      </c>
      <c r="M1806" s="74">
        <v>73.7079846079846</v>
      </c>
      <c r="N1806" s="74">
        <f t="shared" si="1"/>
        <v>208.8392897</v>
      </c>
      <c r="O1806" s="74" t="b">
        <v>1</v>
      </c>
    </row>
    <row r="1807" hidden="1">
      <c r="A1807" s="82"/>
      <c r="B1807" s="65" t="s">
        <v>495</v>
      </c>
      <c r="C1807" s="65" t="s">
        <v>117</v>
      </c>
      <c r="D1807" s="65" t="str">
        <f>vlookup(C1807,'Classificação p pessoal'!F:G,2,false)</f>
        <v>NP</v>
      </c>
      <c r="E1807" s="65" t="s">
        <v>1103</v>
      </c>
      <c r="F1807" s="83">
        <v>0.6041666666666666</v>
      </c>
      <c r="G1807" s="83">
        <v>0.6458333333333334</v>
      </c>
      <c r="H1807" s="83">
        <v>0.041666666666666664</v>
      </c>
      <c r="I1807" s="84">
        <v>44378.0</v>
      </c>
      <c r="J1807" s="65" t="b">
        <v>1</v>
      </c>
      <c r="K1807" s="65"/>
      <c r="L1807" s="85" t="b">
        <f>IF(VLOOKUP(C1807,Projetos!A:L,12,false)=TRUE,TRUE,FALSE)</f>
        <v>1</v>
      </c>
      <c r="M1807" s="74">
        <v>73.7079846079846</v>
      </c>
      <c r="N1807" s="74">
        <f t="shared" si="1"/>
        <v>73.70798461</v>
      </c>
      <c r="O1807" s="74" t="b">
        <v>1</v>
      </c>
    </row>
    <row r="1808" hidden="1">
      <c r="A1808" s="82"/>
      <c r="B1808" s="65" t="s">
        <v>495</v>
      </c>
      <c r="C1808" s="65" t="s">
        <v>92</v>
      </c>
      <c r="D1808" s="65" t="str">
        <f>vlookup(C1808,'Classificação p pessoal'!F:G,2,false)</f>
        <v/>
      </c>
      <c r="E1808" s="65" t="s">
        <v>1101</v>
      </c>
      <c r="F1808" s="83">
        <v>0.6458333333333334</v>
      </c>
      <c r="G1808" s="83">
        <v>0.7083333333333334</v>
      </c>
      <c r="H1808" s="83">
        <v>0.0625</v>
      </c>
      <c r="I1808" s="84">
        <v>44378.0</v>
      </c>
      <c r="J1808" s="65" t="b">
        <v>1</v>
      </c>
      <c r="K1808" s="65"/>
      <c r="L1808" s="85" t="b">
        <f>IF(VLOOKUP(C1808,Projetos!A:L,12,false)=TRUE,TRUE,FALSE)</f>
        <v>1</v>
      </c>
      <c r="M1808" s="74">
        <v>73.7079846079846</v>
      </c>
      <c r="N1808" s="74">
        <f t="shared" si="1"/>
        <v>110.5619769</v>
      </c>
      <c r="O1808" s="74" t="b">
        <v>1</v>
      </c>
    </row>
    <row r="1809" hidden="1">
      <c r="A1809" s="82"/>
      <c r="B1809" s="65" t="s">
        <v>495</v>
      </c>
      <c r="C1809" s="65" t="s">
        <v>92</v>
      </c>
      <c r="D1809" s="65" t="str">
        <f>vlookup(C1809,'Classificação p pessoal'!F:G,2,false)</f>
        <v/>
      </c>
      <c r="E1809" s="65" t="s">
        <v>1104</v>
      </c>
      <c r="F1809" s="83">
        <v>0.7083333333333334</v>
      </c>
      <c r="G1809" s="83">
        <v>0.75</v>
      </c>
      <c r="H1809" s="83">
        <v>0.041666666666666664</v>
      </c>
      <c r="I1809" s="84">
        <v>44378.0</v>
      </c>
      <c r="J1809" s="65" t="b">
        <v>1</v>
      </c>
      <c r="K1809" s="65"/>
      <c r="L1809" s="85" t="b">
        <f>IF(VLOOKUP(C1809,Projetos!A:L,12,false)=TRUE,TRUE,FALSE)</f>
        <v>1</v>
      </c>
      <c r="M1809" s="74">
        <v>73.7079846079846</v>
      </c>
      <c r="N1809" s="74">
        <f t="shared" si="1"/>
        <v>73.70798461</v>
      </c>
      <c r="O1809" s="74" t="b">
        <v>1</v>
      </c>
    </row>
    <row r="1810" hidden="1">
      <c r="A1810" s="82"/>
      <c r="B1810" s="65" t="s">
        <v>495</v>
      </c>
      <c r="C1810" s="65" t="s">
        <v>100</v>
      </c>
      <c r="D1810" s="65"/>
      <c r="E1810" s="65" t="s">
        <v>1105</v>
      </c>
      <c r="F1810" s="83">
        <v>0.3611111111111111</v>
      </c>
      <c r="G1810" s="83">
        <v>0.4375</v>
      </c>
      <c r="H1810" s="83">
        <v>0.0763888888888889</v>
      </c>
      <c r="I1810" s="84">
        <v>44379.0</v>
      </c>
      <c r="J1810" s="65" t="b">
        <v>0</v>
      </c>
      <c r="K1810" s="65" t="s">
        <v>150</v>
      </c>
      <c r="L1810" s="85" t="b">
        <f>IF(VLOOKUP(C1810,Projetos!A:L,12,false)=TRUE,TRUE,FALSE)</f>
        <v>1</v>
      </c>
      <c r="M1810" s="74">
        <v>73.7079846079846</v>
      </c>
      <c r="N1810" s="74">
        <f t="shared" si="1"/>
        <v>0</v>
      </c>
      <c r="O1810" s="74" t="b">
        <v>1</v>
      </c>
    </row>
    <row r="1811" hidden="1">
      <c r="A1811" s="82"/>
      <c r="B1811" s="65" t="s">
        <v>411</v>
      </c>
      <c r="C1811" s="65" t="s">
        <v>119</v>
      </c>
      <c r="D1811" s="65" t="str">
        <f>vlookup(C1811,'Classificação p pessoal'!F:G,2,false)</f>
        <v>NP</v>
      </c>
      <c r="E1811" s="65" t="s">
        <v>1086</v>
      </c>
      <c r="F1811" s="83">
        <v>0.5833333333333334</v>
      </c>
      <c r="G1811" s="83">
        <v>0.6458333333333334</v>
      </c>
      <c r="H1811" s="83">
        <v>0.0625</v>
      </c>
      <c r="I1811" s="84">
        <v>44438.0</v>
      </c>
      <c r="J1811" s="65" t="b">
        <v>1</v>
      </c>
      <c r="K1811" s="65"/>
      <c r="L1811" s="85" t="b">
        <f>IF(VLOOKUP(C1811,Projetos!A:L,12,false)=TRUE,TRUE,FALSE)</f>
        <v>1</v>
      </c>
      <c r="M1811" s="74">
        <v>52.48434411075036</v>
      </c>
      <c r="N1811" s="74">
        <f t="shared" si="1"/>
        <v>78.72651617</v>
      </c>
      <c r="O1811" s="74" t="b">
        <v>1</v>
      </c>
    </row>
    <row r="1812" hidden="1">
      <c r="A1812" s="82"/>
      <c r="B1812" s="65" t="s">
        <v>495</v>
      </c>
      <c r="C1812" s="65" t="s">
        <v>92</v>
      </c>
      <c r="D1812" s="65" t="str">
        <f>vlookup(C1812,'Classificação p pessoal'!F:G,2,false)</f>
        <v/>
      </c>
      <c r="E1812" s="65" t="s">
        <v>1102</v>
      </c>
      <c r="F1812" s="83">
        <v>0.5104166666666666</v>
      </c>
      <c r="G1812" s="83">
        <v>0.5729166666666666</v>
      </c>
      <c r="H1812" s="83">
        <v>0.0625</v>
      </c>
      <c r="I1812" s="84">
        <v>44379.0</v>
      </c>
      <c r="J1812" s="65" t="b">
        <v>1</v>
      </c>
      <c r="K1812" s="65"/>
      <c r="L1812" s="85" t="b">
        <f>IF(VLOOKUP(C1812,Projetos!A:L,12,false)=TRUE,TRUE,FALSE)</f>
        <v>1</v>
      </c>
      <c r="M1812" s="74">
        <v>73.7079846079846</v>
      </c>
      <c r="N1812" s="74">
        <f t="shared" si="1"/>
        <v>110.5619769</v>
      </c>
      <c r="O1812" s="74" t="b">
        <v>1</v>
      </c>
    </row>
    <row r="1813" hidden="1">
      <c r="A1813" s="82"/>
      <c r="B1813" s="65" t="s">
        <v>495</v>
      </c>
      <c r="C1813" s="65" t="s">
        <v>92</v>
      </c>
      <c r="D1813" s="65" t="str">
        <f>vlookup(C1813,'Classificação p pessoal'!F:G,2,false)</f>
        <v/>
      </c>
      <c r="E1813" s="65" t="s">
        <v>1106</v>
      </c>
      <c r="F1813" s="83">
        <v>0.6145833333333334</v>
      </c>
      <c r="G1813" s="83">
        <v>0.6666666666666666</v>
      </c>
      <c r="H1813" s="83">
        <v>0.052083333333333336</v>
      </c>
      <c r="I1813" s="84">
        <v>44379.0</v>
      </c>
      <c r="J1813" s="65" t="b">
        <v>1</v>
      </c>
      <c r="K1813" s="65"/>
      <c r="L1813" s="85" t="b">
        <f>IF(VLOOKUP(C1813,Projetos!A:L,12,false)=TRUE,TRUE,FALSE)</f>
        <v>1</v>
      </c>
      <c r="M1813" s="74">
        <v>73.7079846079846</v>
      </c>
      <c r="N1813" s="74">
        <f t="shared" si="1"/>
        <v>92.13498076</v>
      </c>
      <c r="O1813" s="74" t="b">
        <v>1</v>
      </c>
    </row>
    <row r="1814" hidden="1">
      <c r="A1814" s="82"/>
      <c r="B1814" s="65" t="s">
        <v>495</v>
      </c>
      <c r="C1814" s="65" t="s">
        <v>92</v>
      </c>
      <c r="D1814" s="65" t="str">
        <f>vlookup(C1814,'Classificação p pessoal'!F:G,2,false)</f>
        <v/>
      </c>
      <c r="E1814" s="65" t="s">
        <v>865</v>
      </c>
      <c r="F1814" s="83">
        <v>0.6666666666666666</v>
      </c>
      <c r="G1814" s="83">
        <v>0.75</v>
      </c>
      <c r="H1814" s="83">
        <v>0.08333333333333333</v>
      </c>
      <c r="I1814" s="84">
        <v>44379.0</v>
      </c>
      <c r="J1814" s="65" t="b">
        <v>1</v>
      </c>
      <c r="K1814" s="65"/>
      <c r="L1814" s="85" t="b">
        <f>IF(VLOOKUP(C1814,Projetos!A:L,12,false)=TRUE,TRUE,FALSE)</f>
        <v>1</v>
      </c>
      <c r="M1814" s="74">
        <v>73.7079846079846</v>
      </c>
      <c r="N1814" s="74">
        <f t="shared" si="1"/>
        <v>147.4159692</v>
      </c>
      <c r="O1814" s="74" t="b">
        <v>1</v>
      </c>
    </row>
    <row r="1815" hidden="1">
      <c r="A1815" s="82"/>
      <c r="B1815" s="65" t="s">
        <v>495</v>
      </c>
      <c r="C1815" s="65" t="s">
        <v>106</v>
      </c>
      <c r="D1815" s="65"/>
      <c r="E1815" s="65" t="s">
        <v>1107</v>
      </c>
      <c r="F1815" s="83">
        <v>0.34375</v>
      </c>
      <c r="G1815" s="83">
        <v>0.375</v>
      </c>
      <c r="H1815" s="83">
        <v>0.03125</v>
      </c>
      <c r="I1815" s="84">
        <v>44382.0</v>
      </c>
      <c r="J1815" s="65" t="b">
        <v>0</v>
      </c>
      <c r="K1815" s="65" t="s">
        <v>150</v>
      </c>
      <c r="L1815" s="85" t="b">
        <f>IF(VLOOKUP(C1815,Projetos!A:L,12,false)=TRUE,TRUE,FALSE)</f>
        <v>1</v>
      </c>
      <c r="M1815" s="74">
        <v>73.7079846079846</v>
      </c>
      <c r="N1815" s="74">
        <f t="shared" si="1"/>
        <v>0</v>
      </c>
      <c r="O1815" s="74" t="b">
        <v>1</v>
      </c>
    </row>
    <row r="1816" hidden="1">
      <c r="A1816" s="82"/>
      <c r="B1816" s="65" t="s">
        <v>495</v>
      </c>
      <c r="C1816" s="65" t="s">
        <v>106</v>
      </c>
      <c r="D1816" s="65" t="str">
        <f>vlookup(C1816,'Classificação p pessoal'!F:G,2,false)</f>
        <v>MProcesso</v>
      </c>
      <c r="E1816" s="65" t="s">
        <v>1108</v>
      </c>
      <c r="F1816" s="83">
        <v>0.375</v>
      </c>
      <c r="G1816" s="83">
        <v>0.4375</v>
      </c>
      <c r="H1816" s="83">
        <v>0.0625</v>
      </c>
      <c r="I1816" s="84">
        <v>44382.0</v>
      </c>
      <c r="J1816" s="65" t="b">
        <v>1</v>
      </c>
      <c r="K1816" s="65"/>
      <c r="L1816" s="85" t="b">
        <f>IF(VLOOKUP(C1816,Projetos!A:L,12,false)=TRUE,TRUE,FALSE)</f>
        <v>1</v>
      </c>
      <c r="M1816" s="74">
        <v>73.7079846079846</v>
      </c>
      <c r="N1816" s="74">
        <f t="shared" si="1"/>
        <v>110.5619769</v>
      </c>
      <c r="O1816" s="74" t="b">
        <v>1</v>
      </c>
    </row>
    <row r="1817" hidden="1">
      <c r="A1817" s="82"/>
      <c r="B1817" s="65" t="s">
        <v>495</v>
      </c>
      <c r="C1817" s="65" t="s">
        <v>92</v>
      </c>
      <c r="D1817" s="65" t="str">
        <f>vlookup(C1817,'Classificação p pessoal'!F:G,2,false)</f>
        <v/>
      </c>
      <c r="E1817" s="65" t="s">
        <v>1109</v>
      </c>
      <c r="F1817" s="83">
        <v>0.4375</v>
      </c>
      <c r="G1817" s="83">
        <v>0.5</v>
      </c>
      <c r="H1817" s="83">
        <v>0.0625</v>
      </c>
      <c r="I1817" s="84">
        <v>44382.0</v>
      </c>
      <c r="J1817" s="65" t="b">
        <v>1</v>
      </c>
      <c r="K1817" s="65"/>
      <c r="L1817" s="85" t="b">
        <f>IF(VLOOKUP(C1817,Projetos!A:L,12,false)=TRUE,TRUE,FALSE)</f>
        <v>1</v>
      </c>
      <c r="M1817" s="74">
        <v>73.7079846079846</v>
      </c>
      <c r="N1817" s="74">
        <f t="shared" si="1"/>
        <v>110.5619769</v>
      </c>
      <c r="O1817" s="74" t="b">
        <v>1</v>
      </c>
    </row>
    <row r="1818" hidden="1">
      <c r="A1818" s="82"/>
      <c r="B1818" s="65" t="s">
        <v>495</v>
      </c>
      <c r="C1818" s="65" t="s">
        <v>100</v>
      </c>
      <c r="D1818" s="65" t="str">
        <f>vlookup(C1818,'Classificação p pessoal'!F:G,2,false)</f>
        <v>NP</v>
      </c>
      <c r="E1818" s="65" t="s">
        <v>1110</v>
      </c>
      <c r="F1818" s="83">
        <v>0.5104166666666666</v>
      </c>
      <c r="G1818" s="83">
        <v>0.5798611111111112</v>
      </c>
      <c r="H1818" s="83">
        <v>0.06944444444444445</v>
      </c>
      <c r="I1818" s="84">
        <v>44382.0</v>
      </c>
      <c r="J1818" s="65" t="b">
        <v>1</v>
      </c>
      <c r="K1818" s="65"/>
      <c r="L1818" s="85" t="b">
        <f>IF(VLOOKUP(C1818,Projetos!A:L,12,false)=TRUE,TRUE,FALSE)</f>
        <v>1</v>
      </c>
      <c r="M1818" s="74">
        <v>73.7079846079846</v>
      </c>
      <c r="N1818" s="74">
        <f t="shared" si="1"/>
        <v>122.846641</v>
      </c>
      <c r="O1818" s="74" t="b">
        <v>1</v>
      </c>
    </row>
    <row r="1819" hidden="1">
      <c r="A1819" s="82"/>
      <c r="B1819" s="65" t="s">
        <v>495</v>
      </c>
      <c r="C1819" s="65" t="s">
        <v>100</v>
      </c>
      <c r="D1819" s="65" t="str">
        <f>vlookup(C1819,'Classificação p pessoal'!F:G,2,false)</f>
        <v>NP</v>
      </c>
      <c r="E1819" s="65" t="s">
        <v>1111</v>
      </c>
      <c r="F1819" s="83">
        <v>0.6215277777777778</v>
      </c>
      <c r="G1819" s="83">
        <v>0.6527777777777778</v>
      </c>
      <c r="H1819" s="83">
        <v>0.03125</v>
      </c>
      <c r="I1819" s="84">
        <v>44382.0</v>
      </c>
      <c r="J1819" s="65" t="b">
        <v>1</v>
      </c>
      <c r="K1819" s="65"/>
      <c r="L1819" s="85" t="b">
        <f>IF(VLOOKUP(C1819,Projetos!A:L,12,false)=TRUE,TRUE,FALSE)</f>
        <v>1</v>
      </c>
      <c r="M1819" s="74">
        <v>73.7079846079846</v>
      </c>
      <c r="N1819" s="74">
        <f t="shared" si="1"/>
        <v>55.28098846</v>
      </c>
      <c r="O1819" s="74" t="b">
        <v>1</v>
      </c>
    </row>
    <row r="1820" hidden="1">
      <c r="A1820" s="82"/>
      <c r="B1820" s="65" t="s">
        <v>495</v>
      </c>
      <c r="C1820" s="65" t="s">
        <v>84</v>
      </c>
      <c r="D1820" s="65"/>
      <c r="E1820" s="65" t="s">
        <v>1112</v>
      </c>
      <c r="F1820" s="83">
        <v>0.6666666666666666</v>
      </c>
      <c r="G1820" s="83">
        <v>0.7083333333333334</v>
      </c>
      <c r="H1820" s="83">
        <v>0.041666666666666664</v>
      </c>
      <c r="I1820" s="84">
        <v>44382.0</v>
      </c>
      <c r="J1820" s="65" t="b">
        <v>0</v>
      </c>
      <c r="K1820" s="65"/>
      <c r="L1820" s="85" t="b">
        <f>IF(VLOOKUP(C1820,Projetos!A:L,12,false)=TRUE,TRUE,FALSE)</f>
        <v>0</v>
      </c>
      <c r="M1820" s="74">
        <v>73.7079846079846</v>
      </c>
      <c r="N1820" s="74">
        <f t="shared" si="1"/>
        <v>0</v>
      </c>
      <c r="O1820" s="74" t="b">
        <v>0</v>
      </c>
    </row>
    <row r="1821" hidden="1">
      <c r="A1821" s="82"/>
      <c r="B1821" s="65" t="s">
        <v>495</v>
      </c>
      <c r="C1821" s="65" t="s">
        <v>92</v>
      </c>
      <c r="D1821" s="65" t="str">
        <f>vlookup(C1821,'Classificação p pessoal'!F:G,2,false)</f>
        <v/>
      </c>
      <c r="E1821" s="65" t="s">
        <v>1113</v>
      </c>
      <c r="F1821" s="83">
        <v>0.34375</v>
      </c>
      <c r="G1821" s="83">
        <v>0.375</v>
      </c>
      <c r="H1821" s="83">
        <v>0.03125</v>
      </c>
      <c r="I1821" s="84">
        <v>44383.0</v>
      </c>
      <c r="J1821" s="65" t="b">
        <v>1</v>
      </c>
      <c r="K1821" s="65"/>
      <c r="L1821" s="85" t="b">
        <f>IF(VLOOKUP(C1821,Projetos!A:L,12,false)=TRUE,TRUE,FALSE)</f>
        <v>1</v>
      </c>
      <c r="M1821" s="74">
        <v>73.7079846079846</v>
      </c>
      <c r="N1821" s="74">
        <f t="shared" si="1"/>
        <v>55.28098846</v>
      </c>
      <c r="O1821" s="74" t="b">
        <v>1</v>
      </c>
    </row>
    <row r="1822" hidden="1">
      <c r="A1822" s="82"/>
      <c r="B1822" s="65" t="s">
        <v>495</v>
      </c>
      <c r="C1822" s="65" t="s">
        <v>92</v>
      </c>
      <c r="D1822" s="65"/>
      <c r="E1822" s="65" t="s">
        <v>1114</v>
      </c>
      <c r="F1822" s="83">
        <v>0.375</v>
      </c>
      <c r="G1822" s="83">
        <v>0.4166666666666667</v>
      </c>
      <c r="H1822" s="83">
        <v>0.041666666666666664</v>
      </c>
      <c r="I1822" s="84">
        <v>44383.0</v>
      </c>
      <c r="J1822" s="65" t="b">
        <v>0</v>
      </c>
      <c r="K1822" s="65" t="s">
        <v>150</v>
      </c>
      <c r="L1822" s="85" t="b">
        <f>IF(VLOOKUP(C1822,Projetos!A:L,12,false)=TRUE,TRUE,FALSE)</f>
        <v>1</v>
      </c>
      <c r="M1822" s="74">
        <v>73.7079846079846</v>
      </c>
      <c r="N1822" s="74">
        <f t="shared" si="1"/>
        <v>0</v>
      </c>
      <c r="O1822" s="74" t="b">
        <v>1</v>
      </c>
    </row>
    <row r="1823" hidden="1">
      <c r="A1823" s="82"/>
      <c r="B1823" s="65" t="s">
        <v>495</v>
      </c>
      <c r="C1823" s="65" t="s">
        <v>92</v>
      </c>
      <c r="D1823" s="65" t="str">
        <f>vlookup(C1823,'Classificação p pessoal'!F:G,2,false)</f>
        <v/>
      </c>
      <c r="E1823" s="65" t="s">
        <v>1115</v>
      </c>
      <c r="F1823" s="83">
        <v>0.4166666666666667</v>
      </c>
      <c r="G1823" s="83">
        <v>0.4375</v>
      </c>
      <c r="H1823" s="83">
        <v>0.020833333333333332</v>
      </c>
      <c r="I1823" s="84">
        <v>44383.0</v>
      </c>
      <c r="J1823" s="65" t="b">
        <v>1</v>
      </c>
      <c r="K1823" s="65"/>
      <c r="L1823" s="85" t="b">
        <f>IF(VLOOKUP(C1823,Projetos!A:L,12,false)=TRUE,TRUE,FALSE)</f>
        <v>1</v>
      </c>
      <c r="M1823" s="74">
        <v>73.7079846079846</v>
      </c>
      <c r="N1823" s="74">
        <f t="shared" si="1"/>
        <v>36.8539923</v>
      </c>
      <c r="O1823" s="74" t="b">
        <v>1</v>
      </c>
    </row>
    <row r="1824" hidden="1">
      <c r="A1824" s="82"/>
      <c r="B1824" s="65" t="s">
        <v>495</v>
      </c>
      <c r="C1824" s="65" t="s">
        <v>106</v>
      </c>
      <c r="D1824" s="65" t="str">
        <f>vlookup(C1824,'Classificação p pessoal'!F:G,2,false)</f>
        <v>MProcesso</v>
      </c>
      <c r="E1824" s="65" t="s">
        <v>1116</v>
      </c>
      <c r="F1824" s="83">
        <v>0.4375</v>
      </c>
      <c r="G1824" s="83">
        <v>0.46875</v>
      </c>
      <c r="H1824" s="83">
        <v>0.03125</v>
      </c>
      <c r="I1824" s="84">
        <v>44383.0</v>
      </c>
      <c r="J1824" s="65" t="b">
        <v>1</v>
      </c>
      <c r="K1824" s="65"/>
      <c r="L1824" s="85" t="b">
        <f>IF(VLOOKUP(C1824,Projetos!A:L,12,false)=TRUE,TRUE,FALSE)</f>
        <v>1</v>
      </c>
      <c r="M1824" s="74">
        <v>73.7079846079846</v>
      </c>
      <c r="N1824" s="74">
        <f t="shared" si="1"/>
        <v>55.28098846</v>
      </c>
      <c r="O1824" s="74" t="b">
        <v>1</v>
      </c>
    </row>
    <row r="1825" hidden="1">
      <c r="A1825" s="82"/>
      <c r="B1825" s="65" t="s">
        <v>495</v>
      </c>
      <c r="C1825" s="65" t="s">
        <v>117</v>
      </c>
      <c r="D1825" s="65" t="str">
        <f>vlookup(C1825,'Classificação p pessoal'!F:G,2,false)</f>
        <v>NP</v>
      </c>
      <c r="E1825" s="65" t="s">
        <v>1117</v>
      </c>
      <c r="F1825" s="83">
        <v>0.6111111111111112</v>
      </c>
      <c r="G1825" s="83">
        <v>0.7361111111111112</v>
      </c>
      <c r="H1825" s="83">
        <v>0.125</v>
      </c>
      <c r="I1825" s="84">
        <v>44383.0</v>
      </c>
      <c r="J1825" s="65" t="b">
        <v>1</v>
      </c>
      <c r="K1825" s="65"/>
      <c r="L1825" s="85" t="b">
        <f>IF(VLOOKUP(C1825,Projetos!A:L,12,false)=TRUE,TRUE,FALSE)</f>
        <v>1</v>
      </c>
      <c r="M1825" s="74">
        <v>73.7079846079846</v>
      </c>
      <c r="N1825" s="74">
        <f t="shared" si="1"/>
        <v>221.1239538</v>
      </c>
      <c r="O1825" s="74" t="b">
        <v>1</v>
      </c>
    </row>
    <row r="1826" hidden="1">
      <c r="A1826" s="82"/>
      <c r="B1826" s="65" t="s">
        <v>495</v>
      </c>
      <c r="C1826" s="65" t="s">
        <v>92</v>
      </c>
      <c r="D1826" s="65"/>
      <c r="E1826" s="65" t="s">
        <v>1118</v>
      </c>
      <c r="F1826" s="83">
        <v>0.7361111111111112</v>
      </c>
      <c r="G1826" s="83">
        <v>0.75</v>
      </c>
      <c r="H1826" s="83">
        <v>0.013888888888888888</v>
      </c>
      <c r="I1826" s="84">
        <v>44383.0</v>
      </c>
      <c r="J1826" s="65" t="b">
        <v>0</v>
      </c>
      <c r="K1826" s="65" t="s">
        <v>150</v>
      </c>
      <c r="L1826" s="85" t="b">
        <f>IF(VLOOKUP(C1826,Projetos!A:L,12,false)=TRUE,TRUE,FALSE)</f>
        <v>1</v>
      </c>
      <c r="M1826" s="74">
        <v>73.7079846079846</v>
      </c>
      <c r="N1826" s="74">
        <f t="shared" si="1"/>
        <v>0</v>
      </c>
      <c r="O1826" s="74" t="b">
        <v>1</v>
      </c>
    </row>
    <row r="1827" hidden="1">
      <c r="A1827" s="82"/>
      <c r="B1827" s="65" t="s">
        <v>495</v>
      </c>
      <c r="C1827" s="65" t="s">
        <v>92</v>
      </c>
      <c r="D1827" s="65" t="str">
        <f>vlookup(C1827,'Classificação p pessoal'!F:G,2,false)</f>
        <v/>
      </c>
      <c r="E1827" s="65" t="s">
        <v>1119</v>
      </c>
      <c r="F1827" s="83">
        <v>0.34375</v>
      </c>
      <c r="G1827" s="83">
        <v>0.375</v>
      </c>
      <c r="H1827" s="83">
        <v>0.03125</v>
      </c>
      <c r="I1827" s="84">
        <v>44384.0</v>
      </c>
      <c r="J1827" s="65" t="b">
        <v>1</v>
      </c>
      <c r="K1827" s="65"/>
      <c r="L1827" s="85" t="b">
        <f>IF(VLOOKUP(C1827,Projetos!A:L,12,false)=TRUE,TRUE,FALSE)</f>
        <v>1</v>
      </c>
      <c r="M1827" s="74">
        <v>73.7079846079846</v>
      </c>
      <c r="N1827" s="74">
        <f t="shared" si="1"/>
        <v>55.28098846</v>
      </c>
      <c r="O1827" s="74" t="b">
        <v>1</v>
      </c>
    </row>
    <row r="1828" hidden="1">
      <c r="A1828" s="82"/>
      <c r="B1828" s="65" t="s">
        <v>495</v>
      </c>
      <c r="C1828" s="65" t="s">
        <v>117</v>
      </c>
      <c r="D1828" s="65"/>
      <c r="E1828" s="65" t="s">
        <v>1120</v>
      </c>
      <c r="F1828" s="83">
        <v>0.375</v>
      </c>
      <c r="G1828" s="83">
        <v>0.4305555555555556</v>
      </c>
      <c r="H1828" s="83">
        <v>0.05555555555555555</v>
      </c>
      <c r="I1828" s="84">
        <v>44384.0</v>
      </c>
      <c r="J1828" s="65" t="b">
        <v>0</v>
      </c>
      <c r="K1828" s="65" t="s">
        <v>150</v>
      </c>
      <c r="L1828" s="85" t="b">
        <f>IF(VLOOKUP(C1828,Projetos!A:L,12,false)=TRUE,TRUE,FALSE)</f>
        <v>1</v>
      </c>
      <c r="M1828" s="74">
        <v>73.7079846079846</v>
      </c>
      <c r="N1828" s="74">
        <f t="shared" si="1"/>
        <v>0</v>
      </c>
      <c r="O1828" s="74" t="b">
        <v>1</v>
      </c>
    </row>
    <row r="1829" hidden="1">
      <c r="A1829" s="82"/>
      <c r="B1829" s="65" t="s">
        <v>495</v>
      </c>
      <c r="C1829" s="65" t="s">
        <v>117</v>
      </c>
      <c r="D1829" s="65" t="str">
        <f>vlookup(C1829,'Classificação p pessoal'!F:G,2,false)</f>
        <v>NP</v>
      </c>
      <c r="E1829" s="65" t="s">
        <v>832</v>
      </c>
      <c r="F1829" s="83">
        <v>0.4722222222222222</v>
      </c>
      <c r="G1829" s="83">
        <v>0.5625</v>
      </c>
      <c r="H1829" s="83">
        <v>0.09027777777777778</v>
      </c>
      <c r="I1829" s="84">
        <v>44384.0</v>
      </c>
      <c r="J1829" s="65" t="b">
        <v>1</v>
      </c>
      <c r="K1829" s="65"/>
      <c r="L1829" s="85" t="b">
        <f>IF(VLOOKUP(C1829,Projetos!A:L,12,false)=TRUE,TRUE,FALSE)</f>
        <v>1</v>
      </c>
      <c r="M1829" s="74">
        <v>73.7079846079846</v>
      </c>
      <c r="N1829" s="74">
        <f t="shared" si="1"/>
        <v>159.7006333</v>
      </c>
      <c r="O1829" s="74" t="b">
        <v>1</v>
      </c>
    </row>
    <row r="1830" hidden="1">
      <c r="A1830" s="82"/>
      <c r="B1830" s="65" t="s">
        <v>495</v>
      </c>
      <c r="C1830" s="65" t="s">
        <v>117</v>
      </c>
      <c r="D1830" s="65" t="str">
        <f>vlookup(C1830,'Classificação p pessoal'!F:G,2,false)</f>
        <v>NP</v>
      </c>
      <c r="E1830" s="65" t="s">
        <v>832</v>
      </c>
      <c r="F1830" s="83">
        <v>0.6041666666666666</v>
      </c>
      <c r="G1830" s="83">
        <v>0.75</v>
      </c>
      <c r="H1830" s="83">
        <v>0.14583333333333334</v>
      </c>
      <c r="I1830" s="84">
        <v>44384.0</v>
      </c>
      <c r="J1830" s="65" t="b">
        <v>1</v>
      </c>
      <c r="K1830" s="65"/>
      <c r="L1830" s="85" t="b">
        <f>IF(VLOOKUP(C1830,Projetos!A:L,12,false)=TRUE,TRUE,FALSE)</f>
        <v>1</v>
      </c>
      <c r="M1830" s="74">
        <v>73.7079846079846</v>
      </c>
      <c r="N1830" s="74">
        <f t="shared" si="1"/>
        <v>257.9779461</v>
      </c>
      <c r="O1830" s="74" t="b">
        <v>1</v>
      </c>
    </row>
    <row r="1831" hidden="1">
      <c r="A1831" s="82"/>
      <c r="B1831" s="65" t="s">
        <v>495</v>
      </c>
      <c r="C1831" s="65" t="s">
        <v>92</v>
      </c>
      <c r="D1831" s="65" t="str">
        <f>vlookup(C1831,'Classificação p pessoal'!F:G,2,false)</f>
        <v/>
      </c>
      <c r="E1831" s="65" t="s">
        <v>1121</v>
      </c>
      <c r="F1831" s="83">
        <v>0.3472222222222222</v>
      </c>
      <c r="G1831" s="83">
        <v>0.5694444444444444</v>
      </c>
      <c r="H1831" s="83">
        <v>0.2222222222222222</v>
      </c>
      <c r="I1831" s="84">
        <v>44385.0</v>
      </c>
      <c r="J1831" s="65" t="b">
        <v>1</v>
      </c>
      <c r="K1831" s="65"/>
      <c r="L1831" s="85" t="b">
        <f>IF(VLOOKUP(C1831,Projetos!A:L,12,false)=TRUE,TRUE,FALSE)</f>
        <v>1</v>
      </c>
      <c r="M1831" s="74">
        <v>73.7079846079846</v>
      </c>
      <c r="N1831" s="74">
        <f t="shared" si="1"/>
        <v>393.1092512</v>
      </c>
      <c r="O1831" s="74" t="b">
        <v>1</v>
      </c>
    </row>
    <row r="1832" hidden="1">
      <c r="A1832" s="82"/>
      <c r="B1832" s="65" t="s">
        <v>495</v>
      </c>
      <c r="C1832" s="65" t="s">
        <v>84</v>
      </c>
      <c r="D1832" s="65"/>
      <c r="E1832" s="65" t="s">
        <v>1122</v>
      </c>
      <c r="F1832" s="83">
        <v>0.6111111111111112</v>
      </c>
      <c r="G1832" s="83">
        <v>0.6458333333333334</v>
      </c>
      <c r="H1832" s="83">
        <v>0.034722222222222224</v>
      </c>
      <c r="I1832" s="84">
        <v>44385.0</v>
      </c>
      <c r="J1832" s="65" t="b">
        <v>0</v>
      </c>
      <c r="K1832" s="65"/>
      <c r="L1832" s="85" t="b">
        <f>IF(VLOOKUP(C1832,Projetos!A:L,12,false)=TRUE,TRUE,FALSE)</f>
        <v>0</v>
      </c>
      <c r="M1832" s="74">
        <v>73.7079846079846</v>
      </c>
      <c r="N1832" s="74">
        <f t="shared" si="1"/>
        <v>0</v>
      </c>
      <c r="O1832" s="74" t="b">
        <v>0</v>
      </c>
    </row>
    <row r="1833" hidden="1">
      <c r="A1833" s="82"/>
      <c r="B1833" s="65" t="s">
        <v>495</v>
      </c>
      <c r="C1833" s="65" t="s">
        <v>92</v>
      </c>
      <c r="D1833" s="65" t="str">
        <f>vlookup(C1833,'Classificação p pessoal'!F:G,2,false)</f>
        <v/>
      </c>
      <c r="E1833" s="65" t="s">
        <v>1123</v>
      </c>
      <c r="F1833" s="83">
        <v>0.6527777777777778</v>
      </c>
      <c r="G1833" s="83">
        <v>0.6861111111111111</v>
      </c>
      <c r="H1833" s="83">
        <v>0.03333333333333333</v>
      </c>
      <c r="I1833" s="84">
        <v>44385.0</v>
      </c>
      <c r="J1833" s="65" t="b">
        <v>1</v>
      </c>
      <c r="K1833" s="65"/>
      <c r="L1833" s="85" t="b">
        <f>IF(VLOOKUP(C1833,Projetos!A:L,12,false)=TRUE,TRUE,FALSE)</f>
        <v>1</v>
      </c>
      <c r="M1833" s="74">
        <v>73.7079846079846</v>
      </c>
      <c r="N1833" s="74">
        <f t="shared" si="1"/>
        <v>58.96638769</v>
      </c>
      <c r="O1833" s="74" t="b">
        <v>1</v>
      </c>
    </row>
    <row r="1834" hidden="1">
      <c r="A1834" s="82"/>
      <c r="B1834" s="65" t="s">
        <v>495</v>
      </c>
      <c r="C1834" s="65" t="s">
        <v>117</v>
      </c>
      <c r="D1834" s="65" t="str">
        <f>vlookup(C1834,'Classificação p pessoal'!F:G,2,false)</f>
        <v>NP</v>
      </c>
      <c r="E1834" s="65" t="s">
        <v>832</v>
      </c>
      <c r="F1834" s="83">
        <v>0.6979166666666666</v>
      </c>
      <c r="G1834" s="83">
        <v>0.75</v>
      </c>
      <c r="H1834" s="83">
        <v>0.052083333333333336</v>
      </c>
      <c r="I1834" s="84">
        <v>44385.0</v>
      </c>
      <c r="J1834" s="65" t="b">
        <v>1</v>
      </c>
      <c r="K1834" s="65"/>
      <c r="L1834" s="85" t="b">
        <f>IF(VLOOKUP(C1834,Projetos!A:L,12,false)=TRUE,TRUE,FALSE)</f>
        <v>1</v>
      </c>
      <c r="M1834" s="74">
        <v>73.7079846079846</v>
      </c>
      <c r="N1834" s="74">
        <f t="shared" si="1"/>
        <v>92.13498076</v>
      </c>
      <c r="O1834" s="74" t="b">
        <v>1</v>
      </c>
    </row>
    <row r="1835" hidden="1">
      <c r="A1835" s="82"/>
      <c r="B1835" s="65" t="s">
        <v>495</v>
      </c>
      <c r="C1835" s="65" t="s">
        <v>92</v>
      </c>
      <c r="D1835" s="65" t="str">
        <f>vlookup(C1835,'Classificação p pessoal'!F:G,2,false)</f>
        <v/>
      </c>
      <c r="E1835" s="65" t="s">
        <v>1124</v>
      </c>
      <c r="F1835" s="83">
        <v>0.3541666666666667</v>
      </c>
      <c r="G1835" s="83">
        <v>0.5</v>
      </c>
      <c r="H1835" s="83">
        <v>0.14583333333333334</v>
      </c>
      <c r="I1835" s="84">
        <v>44386.0</v>
      </c>
      <c r="J1835" s="65" t="b">
        <v>1</v>
      </c>
      <c r="K1835" s="65"/>
      <c r="L1835" s="85" t="b">
        <f>IF(VLOOKUP(C1835,Projetos!A:L,12,false)=TRUE,TRUE,FALSE)</f>
        <v>1</v>
      </c>
      <c r="M1835" s="74">
        <v>73.7079846079846</v>
      </c>
      <c r="N1835" s="74">
        <f t="shared" si="1"/>
        <v>257.9779461</v>
      </c>
      <c r="O1835" s="74" t="b">
        <v>1</v>
      </c>
    </row>
    <row r="1836" hidden="1">
      <c r="A1836" s="82"/>
      <c r="B1836" s="65" t="s">
        <v>495</v>
      </c>
      <c r="C1836" s="65" t="s">
        <v>92</v>
      </c>
      <c r="D1836" s="65" t="str">
        <f>vlookup(C1836,'Classificação p pessoal'!F:G,2,false)</f>
        <v/>
      </c>
      <c r="E1836" s="65" t="s">
        <v>1124</v>
      </c>
      <c r="F1836" s="83">
        <v>0.53125</v>
      </c>
      <c r="G1836" s="83">
        <v>0.6069444444444444</v>
      </c>
      <c r="H1836" s="83">
        <v>0.07569444444444444</v>
      </c>
      <c r="I1836" s="84">
        <v>44386.0</v>
      </c>
      <c r="J1836" s="65" t="b">
        <v>1</v>
      </c>
      <c r="K1836" s="65"/>
      <c r="L1836" s="85" t="b">
        <f>IF(VLOOKUP(C1836,Projetos!A:L,12,false)=TRUE,TRUE,FALSE)</f>
        <v>1</v>
      </c>
      <c r="M1836" s="74">
        <v>73.7079846079846</v>
      </c>
      <c r="N1836" s="74">
        <f t="shared" si="1"/>
        <v>133.9028387</v>
      </c>
      <c r="O1836" s="74" t="b">
        <v>1</v>
      </c>
    </row>
    <row r="1837" hidden="1">
      <c r="A1837" s="82"/>
      <c r="B1837" s="65" t="s">
        <v>495</v>
      </c>
      <c r="C1837" s="65" t="s">
        <v>92</v>
      </c>
      <c r="D1837" s="65" t="str">
        <f>vlookup(C1837,'Classificação p pessoal'!F:G,2,false)</f>
        <v/>
      </c>
      <c r="E1837" s="65" t="s">
        <v>1125</v>
      </c>
      <c r="F1837" s="83">
        <v>0.6493055555555556</v>
      </c>
      <c r="G1837" s="83">
        <v>0.7222222222222222</v>
      </c>
      <c r="H1837" s="83">
        <v>0.07291666666666667</v>
      </c>
      <c r="I1837" s="84">
        <v>44386.0</v>
      </c>
      <c r="J1837" s="65" t="b">
        <v>1</v>
      </c>
      <c r="K1837" s="65"/>
      <c r="L1837" s="85" t="b">
        <f>IF(VLOOKUP(C1837,Projetos!A:L,12,false)=TRUE,TRUE,FALSE)</f>
        <v>1</v>
      </c>
      <c r="M1837" s="74">
        <v>73.7079846079846</v>
      </c>
      <c r="N1837" s="74">
        <f t="shared" si="1"/>
        <v>128.9889731</v>
      </c>
      <c r="O1837" s="74" t="b">
        <v>1</v>
      </c>
    </row>
    <row r="1838" hidden="1">
      <c r="A1838" s="82"/>
      <c r="B1838" s="65" t="s">
        <v>495</v>
      </c>
      <c r="C1838" s="65" t="s">
        <v>117</v>
      </c>
      <c r="D1838" s="65" t="str">
        <f>vlookup(C1838,'Classificação p pessoal'!F:G,2,false)</f>
        <v>NP</v>
      </c>
      <c r="E1838" s="65" t="s">
        <v>832</v>
      </c>
      <c r="F1838" s="83">
        <v>0.7222222222222222</v>
      </c>
      <c r="G1838" s="83">
        <v>0.75</v>
      </c>
      <c r="H1838" s="83">
        <v>0.027777777777777776</v>
      </c>
      <c r="I1838" s="84">
        <v>44386.0</v>
      </c>
      <c r="J1838" s="65" t="b">
        <v>1</v>
      </c>
      <c r="K1838" s="65"/>
      <c r="L1838" s="85" t="b">
        <f>IF(VLOOKUP(C1838,Projetos!A:L,12,false)=TRUE,TRUE,FALSE)</f>
        <v>1</v>
      </c>
      <c r="M1838" s="74">
        <v>73.7079846079846</v>
      </c>
      <c r="N1838" s="74">
        <f t="shared" si="1"/>
        <v>49.13865641</v>
      </c>
      <c r="O1838" s="74" t="b">
        <v>1</v>
      </c>
    </row>
    <row r="1839" hidden="1">
      <c r="A1839" s="82"/>
      <c r="B1839" s="65" t="s">
        <v>495</v>
      </c>
      <c r="C1839" s="65" t="s">
        <v>92</v>
      </c>
      <c r="D1839" s="65" t="str">
        <f>vlookup(C1839,'Classificação p pessoal'!F:G,2,false)</f>
        <v/>
      </c>
      <c r="E1839" s="65" t="s">
        <v>1126</v>
      </c>
      <c r="F1839" s="83">
        <v>0.34375</v>
      </c>
      <c r="G1839" s="83">
        <v>0.4375</v>
      </c>
      <c r="H1839" s="83">
        <v>0.09375</v>
      </c>
      <c r="I1839" s="84">
        <v>44389.0</v>
      </c>
      <c r="J1839" s="65" t="b">
        <v>1</v>
      </c>
      <c r="K1839" s="65"/>
      <c r="L1839" s="85" t="b">
        <f>IF(VLOOKUP(C1839,Projetos!A:L,12,false)=TRUE,TRUE,FALSE)</f>
        <v>1</v>
      </c>
      <c r="M1839" s="74">
        <v>73.7079846079846</v>
      </c>
      <c r="N1839" s="74">
        <f t="shared" si="1"/>
        <v>165.8429654</v>
      </c>
      <c r="O1839" s="74" t="b">
        <v>1</v>
      </c>
    </row>
    <row r="1840" hidden="1">
      <c r="A1840" s="82"/>
      <c r="B1840" s="65" t="s">
        <v>495</v>
      </c>
      <c r="C1840" s="65" t="s">
        <v>130</v>
      </c>
      <c r="D1840" s="65"/>
      <c r="E1840" s="65" t="s">
        <v>1127</v>
      </c>
      <c r="F1840" s="83">
        <v>0.4375</v>
      </c>
      <c r="G1840" s="83">
        <v>0.4583333333333333</v>
      </c>
      <c r="H1840" s="83">
        <v>0.020833333333333332</v>
      </c>
      <c r="I1840" s="84">
        <v>44389.0</v>
      </c>
      <c r="J1840" s="65" t="b">
        <v>0</v>
      </c>
      <c r="K1840" s="65" t="s">
        <v>150</v>
      </c>
      <c r="L1840" s="85" t="b">
        <f>IF(VLOOKUP(C1840,Projetos!A:L,12,false)=TRUE,TRUE,FALSE)</f>
        <v>1</v>
      </c>
      <c r="M1840" s="74">
        <v>73.7079846079846</v>
      </c>
      <c r="N1840" s="74">
        <f t="shared" si="1"/>
        <v>0</v>
      </c>
      <c r="O1840" s="74" t="b">
        <v>1</v>
      </c>
    </row>
    <row r="1841" hidden="1">
      <c r="A1841" s="82"/>
      <c r="B1841" s="65" t="s">
        <v>495</v>
      </c>
      <c r="C1841" s="65" t="s">
        <v>117</v>
      </c>
      <c r="D1841" s="65" t="str">
        <f>vlookup(C1841,'Classificação p pessoal'!F:G,2,false)</f>
        <v>NP</v>
      </c>
      <c r="E1841" s="65" t="s">
        <v>1128</v>
      </c>
      <c r="F1841" s="83">
        <v>0.4583333333333333</v>
      </c>
      <c r="G1841" s="83">
        <v>0.5694444444444444</v>
      </c>
      <c r="H1841" s="83">
        <v>0.1111111111111111</v>
      </c>
      <c r="I1841" s="84">
        <v>44389.0</v>
      </c>
      <c r="J1841" s="65" t="b">
        <v>1</v>
      </c>
      <c r="K1841" s="65"/>
      <c r="L1841" s="85" t="b">
        <f>IF(VLOOKUP(C1841,Projetos!A:L,12,false)=TRUE,TRUE,FALSE)</f>
        <v>1</v>
      </c>
      <c r="M1841" s="74">
        <v>73.7079846079846</v>
      </c>
      <c r="N1841" s="74">
        <f t="shared" si="1"/>
        <v>196.5546256</v>
      </c>
      <c r="O1841" s="74" t="b">
        <v>1</v>
      </c>
    </row>
    <row r="1842" hidden="1">
      <c r="A1842" s="82"/>
      <c r="B1842" s="65" t="s">
        <v>495</v>
      </c>
      <c r="C1842" s="65" t="s">
        <v>92</v>
      </c>
      <c r="D1842" s="65" t="str">
        <f>vlookup(C1842,'Classificação p pessoal'!F:G,2,false)</f>
        <v/>
      </c>
      <c r="E1842" s="65" t="s">
        <v>1129</v>
      </c>
      <c r="F1842" s="83">
        <v>0.5694444444444444</v>
      </c>
      <c r="G1842" s="83">
        <v>0.5868055555555556</v>
      </c>
      <c r="H1842" s="83">
        <v>0.017361111111111112</v>
      </c>
      <c r="I1842" s="84">
        <v>44389.0</v>
      </c>
      <c r="J1842" s="65" t="b">
        <v>1</v>
      </c>
      <c r="K1842" s="65"/>
      <c r="L1842" s="85" t="b">
        <f>IF(VLOOKUP(C1842,Projetos!A:L,12,false)=TRUE,TRUE,FALSE)</f>
        <v>1</v>
      </c>
      <c r="M1842" s="74">
        <v>73.7079846079846</v>
      </c>
      <c r="N1842" s="74">
        <f t="shared" si="1"/>
        <v>30.71166025</v>
      </c>
      <c r="O1842" s="74" t="b">
        <v>1</v>
      </c>
    </row>
    <row r="1843" hidden="1">
      <c r="A1843" s="82"/>
      <c r="B1843" s="65" t="s">
        <v>495</v>
      </c>
      <c r="C1843" s="65" t="s">
        <v>92</v>
      </c>
      <c r="D1843" s="65" t="str">
        <f>vlookup(C1843,'Classificação p pessoal'!F:G,2,false)</f>
        <v/>
      </c>
      <c r="E1843" s="65" t="s">
        <v>1130</v>
      </c>
      <c r="F1843" s="83">
        <v>0.6284722222222222</v>
      </c>
      <c r="G1843" s="83">
        <v>0.75</v>
      </c>
      <c r="H1843" s="83">
        <v>0.12152777777777778</v>
      </c>
      <c r="I1843" s="84">
        <v>44389.0</v>
      </c>
      <c r="J1843" s="65" t="b">
        <v>1</v>
      </c>
      <c r="K1843" s="65"/>
      <c r="L1843" s="85" t="b">
        <f>IF(VLOOKUP(C1843,Projetos!A:L,12,false)=TRUE,TRUE,FALSE)</f>
        <v>1</v>
      </c>
      <c r="M1843" s="74">
        <v>73.7079846079846</v>
      </c>
      <c r="N1843" s="74">
        <f t="shared" si="1"/>
        <v>214.9816218</v>
      </c>
      <c r="O1843" s="74" t="b">
        <v>1</v>
      </c>
    </row>
    <row r="1844" hidden="1">
      <c r="A1844" s="82"/>
      <c r="B1844" s="65" t="s">
        <v>495</v>
      </c>
      <c r="C1844" s="65" t="s">
        <v>100</v>
      </c>
      <c r="D1844" s="65" t="str">
        <f>vlookup(C1844,'Classificação p pessoal'!F:G,2,false)</f>
        <v>NP</v>
      </c>
      <c r="E1844" s="65" t="s">
        <v>1131</v>
      </c>
      <c r="F1844" s="83">
        <v>0.3472222222222222</v>
      </c>
      <c r="G1844" s="83">
        <v>0.4930555555555556</v>
      </c>
      <c r="H1844" s="83">
        <v>0.14583333333333334</v>
      </c>
      <c r="I1844" s="84">
        <v>44390.0</v>
      </c>
      <c r="J1844" s="65" t="b">
        <v>1</v>
      </c>
      <c r="K1844" s="65"/>
      <c r="L1844" s="85" t="b">
        <f>IF(VLOOKUP(C1844,Projetos!A:L,12,false)=TRUE,TRUE,FALSE)</f>
        <v>1</v>
      </c>
      <c r="M1844" s="74">
        <v>73.7079846079846</v>
      </c>
      <c r="N1844" s="74">
        <f t="shared" si="1"/>
        <v>257.9779461</v>
      </c>
      <c r="O1844" s="74" t="b">
        <v>1</v>
      </c>
    </row>
    <row r="1845" hidden="1">
      <c r="A1845" s="82"/>
      <c r="B1845" s="65" t="s">
        <v>495</v>
      </c>
      <c r="C1845" s="65" t="s">
        <v>92</v>
      </c>
      <c r="D1845" s="65" t="str">
        <f>vlookup(C1845,'Classificação p pessoal'!F:G,2,false)</f>
        <v/>
      </c>
      <c r="E1845" s="65" t="s">
        <v>1130</v>
      </c>
      <c r="F1845" s="83">
        <v>0.4930555555555556</v>
      </c>
      <c r="G1845" s="83">
        <v>0.5798611111111112</v>
      </c>
      <c r="H1845" s="83">
        <v>0.08680555555555555</v>
      </c>
      <c r="I1845" s="84">
        <v>44390.0</v>
      </c>
      <c r="J1845" s="65" t="b">
        <v>1</v>
      </c>
      <c r="K1845" s="65"/>
      <c r="L1845" s="85" t="b">
        <f>IF(VLOOKUP(C1845,Projetos!A:L,12,false)=TRUE,TRUE,FALSE)</f>
        <v>1</v>
      </c>
      <c r="M1845" s="74">
        <v>73.7079846079846</v>
      </c>
      <c r="N1845" s="74">
        <f t="shared" si="1"/>
        <v>153.5583013</v>
      </c>
      <c r="O1845" s="74" t="b">
        <v>1</v>
      </c>
    </row>
    <row r="1846" hidden="1">
      <c r="A1846" s="82"/>
      <c r="B1846" s="65" t="s">
        <v>495</v>
      </c>
      <c r="C1846" s="65" t="s">
        <v>92</v>
      </c>
      <c r="D1846" s="65" t="str">
        <f>vlookup(C1846,'Classificação p pessoal'!F:G,2,false)</f>
        <v/>
      </c>
      <c r="E1846" s="65" t="s">
        <v>1126</v>
      </c>
      <c r="F1846" s="83">
        <v>0.6215277777777778</v>
      </c>
      <c r="G1846" s="83">
        <v>0.71875</v>
      </c>
      <c r="H1846" s="83">
        <v>0.09722222222222222</v>
      </c>
      <c r="I1846" s="84">
        <v>44390.0</v>
      </c>
      <c r="J1846" s="65" t="b">
        <v>1</v>
      </c>
      <c r="K1846" s="65"/>
      <c r="L1846" s="85" t="b">
        <f>IF(VLOOKUP(C1846,Projetos!A:L,12,false)=TRUE,TRUE,FALSE)</f>
        <v>1</v>
      </c>
      <c r="M1846" s="74">
        <v>73.7079846079846</v>
      </c>
      <c r="N1846" s="74">
        <f t="shared" si="1"/>
        <v>171.9852974</v>
      </c>
      <c r="O1846" s="74" t="b">
        <v>1</v>
      </c>
    </row>
    <row r="1847" hidden="1">
      <c r="A1847" s="82"/>
      <c r="B1847" s="65" t="s">
        <v>495</v>
      </c>
      <c r="C1847" s="65" t="s">
        <v>92</v>
      </c>
      <c r="D1847" s="65" t="str">
        <f>vlookup(C1847,'Classificação p pessoal'!F:G,2,false)</f>
        <v/>
      </c>
      <c r="E1847" s="65" t="s">
        <v>906</v>
      </c>
      <c r="F1847" s="83">
        <v>0.71875</v>
      </c>
      <c r="G1847" s="83">
        <v>0.75</v>
      </c>
      <c r="H1847" s="83">
        <v>0.03125</v>
      </c>
      <c r="I1847" s="84">
        <v>44390.0</v>
      </c>
      <c r="J1847" s="65" t="b">
        <v>1</v>
      </c>
      <c r="K1847" s="65"/>
      <c r="L1847" s="85" t="b">
        <f>IF(VLOOKUP(C1847,Projetos!A:L,12,false)=TRUE,TRUE,FALSE)</f>
        <v>1</v>
      </c>
      <c r="M1847" s="74">
        <v>73.7079846079846</v>
      </c>
      <c r="N1847" s="74">
        <f t="shared" si="1"/>
        <v>55.28098846</v>
      </c>
      <c r="O1847" s="74" t="b">
        <v>1</v>
      </c>
    </row>
    <row r="1848" hidden="1">
      <c r="A1848" s="82"/>
      <c r="B1848" s="65" t="s">
        <v>495</v>
      </c>
      <c r="C1848" s="65" t="s">
        <v>92</v>
      </c>
      <c r="D1848" s="65" t="str">
        <f>vlookup(C1848,'Classificação p pessoal'!F:G,2,false)</f>
        <v/>
      </c>
      <c r="E1848" s="65" t="s">
        <v>1126</v>
      </c>
      <c r="F1848" s="83">
        <v>0.3472222222222222</v>
      </c>
      <c r="G1848" s="83">
        <v>0.4097222222222222</v>
      </c>
      <c r="H1848" s="83">
        <v>0.0625</v>
      </c>
      <c r="I1848" s="84">
        <v>44391.0</v>
      </c>
      <c r="J1848" s="65" t="b">
        <v>1</v>
      </c>
      <c r="K1848" s="65"/>
      <c r="L1848" s="85" t="b">
        <f>IF(VLOOKUP(C1848,Projetos!A:L,12,false)=TRUE,TRUE,FALSE)</f>
        <v>1</v>
      </c>
      <c r="M1848" s="74">
        <v>73.7079846079846</v>
      </c>
      <c r="N1848" s="74">
        <f t="shared" si="1"/>
        <v>110.5619769</v>
      </c>
      <c r="O1848" s="74" t="b">
        <v>1</v>
      </c>
    </row>
    <row r="1849" hidden="1">
      <c r="A1849" s="82"/>
      <c r="B1849" s="65" t="s">
        <v>495</v>
      </c>
      <c r="C1849" s="65" t="s">
        <v>92</v>
      </c>
      <c r="D1849" s="65" t="str">
        <f>vlookup(C1849,'Classificação p pessoal'!F:G,2,false)</f>
        <v/>
      </c>
      <c r="E1849" s="65" t="s">
        <v>1132</v>
      </c>
      <c r="F1849" s="83">
        <v>0.4791666666666667</v>
      </c>
      <c r="G1849" s="83">
        <v>0.5625</v>
      </c>
      <c r="H1849" s="83">
        <v>0.08333333333333333</v>
      </c>
      <c r="I1849" s="84">
        <v>44391.0</v>
      </c>
      <c r="J1849" s="65" t="b">
        <v>1</v>
      </c>
      <c r="K1849" s="65"/>
      <c r="L1849" s="85" t="b">
        <f>IF(VLOOKUP(C1849,Projetos!A:L,12,false)=TRUE,TRUE,FALSE)</f>
        <v>1</v>
      </c>
      <c r="M1849" s="74">
        <v>73.7079846079846</v>
      </c>
      <c r="N1849" s="74">
        <f t="shared" si="1"/>
        <v>147.4159692</v>
      </c>
      <c r="O1849" s="74" t="b">
        <v>1</v>
      </c>
    </row>
    <row r="1850" hidden="1">
      <c r="A1850" s="82"/>
      <c r="B1850" s="65" t="s">
        <v>495</v>
      </c>
      <c r="C1850" s="65" t="s">
        <v>100</v>
      </c>
      <c r="D1850" s="65" t="str">
        <f>vlookup(C1850,'Classificação p pessoal'!F:G,2,false)</f>
        <v>NP</v>
      </c>
      <c r="E1850" s="65" t="s">
        <v>1133</v>
      </c>
      <c r="F1850" s="83">
        <v>0.625</v>
      </c>
      <c r="G1850" s="83">
        <v>0.6875</v>
      </c>
      <c r="H1850" s="83">
        <v>0.0625</v>
      </c>
      <c r="I1850" s="84">
        <v>44391.0</v>
      </c>
      <c r="J1850" s="65" t="b">
        <v>1</v>
      </c>
      <c r="K1850" s="65"/>
      <c r="L1850" s="85" t="b">
        <f>IF(VLOOKUP(C1850,Projetos!A:L,12,false)=TRUE,TRUE,FALSE)</f>
        <v>1</v>
      </c>
      <c r="M1850" s="74">
        <v>73.7079846079846</v>
      </c>
      <c r="N1850" s="74">
        <f t="shared" si="1"/>
        <v>110.5619769</v>
      </c>
      <c r="O1850" s="74" t="b">
        <v>1</v>
      </c>
    </row>
    <row r="1851" hidden="1">
      <c r="A1851" s="82"/>
      <c r="B1851" s="65" t="s">
        <v>495</v>
      </c>
      <c r="C1851" s="65" t="s">
        <v>92</v>
      </c>
      <c r="D1851" s="65" t="str">
        <f>vlookup(C1851,'Classificação p pessoal'!F:G,2,false)</f>
        <v/>
      </c>
      <c r="E1851" s="65" t="s">
        <v>1134</v>
      </c>
      <c r="F1851" s="83">
        <v>0.6875</v>
      </c>
      <c r="G1851" s="83">
        <v>0.75</v>
      </c>
      <c r="H1851" s="83">
        <v>0.0625</v>
      </c>
      <c r="I1851" s="84">
        <v>44391.0</v>
      </c>
      <c r="J1851" s="65" t="b">
        <v>1</v>
      </c>
      <c r="K1851" s="65"/>
      <c r="L1851" s="85" t="b">
        <f>IF(VLOOKUP(C1851,Projetos!A:L,12,false)=TRUE,TRUE,FALSE)</f>
        <v>1</v>
      </c>
      <c r="M1851" s="74">
        <v>73.7079846079846</v>
      </c>
      <c r="N1851" s="74">
        <f t="shared" si="1"/>
        <v>110.5619769</v>
      </c>
      <c r="O1851" s="74" t="b">
        <v>1</v>
      </c>
    </row>
    <row r="1852" hidden="1">
      <c r="A1852" s="82"/>
      <c r="B1852" s="65" t="s">
        <v>495</v>
      </c>
      <c r="C1852" s="65" t="s">
        <v>92</v>
      </c>
      <c r="D1852" s="65" t="str">
        <f>vlookup(C1852,'Classificação p pessoal'!F:G,2,false)</f>
        <v/>
      </c>
      <c r="E1852" s="65" t="s">
        <v>1134</v>
      </c>
      <c r="F1852" s="83">
        <v>0.3472222222222222</v>
      </c>
      <c r="G1852" s="83">
        <v>0.4166666666666667</v>
      </c>
      <c r="H1852" s="83">
        <v>0.06944444444444445</v>
      </c>
      <c r="I1852" s="84">
        <v>44392.0</v>
      </c>
      <c r="J1852" s="65" t="b">
        <v>1</v>
      </c>
      <c r="K1852" s="65"/>
      <c r="L1852" s="85" t="b">
        <f>IF(VLOOKUP(C1852,Projetos!A:L,12,false)=TRUE,TRUE,FALSE)</f>
        <v>1</v>
      </c>
      <c r="M1852" s="74">
        <v>73.7079846079846</v>
      </c>
      <c r="N1852" s="74">
        <f t="shared" si="1"/>
        <v>122.846641</v>
      </c>
      <c r="O1852" s="74" t="b">
        <v>1</v>
      </c>
    </row>
    <row r="1853" hidden="1">
      <c r="A1853" s="82"/>
      <c r="B1853" s="65" t="s">
        <v>495</v>
      </c>
      <c r="C1853" s="65" t="s">
        <v>108</v>
      </c>
      <c r="D1853" s="65" t="str">
        <f>vlookup(C1853,'Classificação p pessoal'!F:G,2,false)</f>
        <v>NP</v>
      </c>
      <c r="E1853" s="65" t="s">
        <v>1135</v>
      </c>
      <c r="F1853" s="83">
        <v>0.4166666666666667</v>
      </c>
      <c r="G1853" s="83">
        <v>0.5729166666666666</v>
      </c>
      <c r="H1853" s="83">
        <v>0.15625</v>
      </c>
      <c r="I1853" s="84">
        <v>44392.0</v>
      </c>
      <c r="J1853" s="65" t="b">
        <v>1</v>
      </c>
      <c r="K1853" s="65"/>
      <c r="L1853" s="85" t="b">
        <f>IF(VLOOKUP(C1853,Projetos!A:L,12,false)=TRUE,TRUE,FALSE)</f>
        <v>1</v>
      </c>
      <c r="M1853" s="74">
        <v>73.7079846079846</v>
      </c>
      <c r="N1853" s="74">
        <f t="shared" si="1"/>
        <v>276.4049423</v>
      </c>
      <c r="O1853" s="74" t="b">
        <v>1</v>
      </c>
    </row>
    <row r="1854" hidden="1">
      <c r="A1854" s="82"/>
      <c r="B1854" s="65" t="s">
        <v>495</v>
      </c>
      <c r="C1854" s="65" t="s">
        <v>108</v>
      </c>
      <c r="D1854" s="65" t="str">
        <f>vlookup(C1854,'Classificação p pessoal'!F:G,2,false)</f>
        <v>NP</v>
      </c>
      <c r="E1854" s="65" t="s">
        <v>1135</v>
      </c>
      <c r="F1854" s="83">
        <v>0.6145833333333334</v>
      </c>
      <c r="G1854" s="83">
        <v>0.75</v>
      </c>
      <c r="H1854" s="83">
        <v>0.13541666666666666</v>
      </c>
      <c r="I1854" s="84">
        <v>44392.0</v>
      </c>
      <c r="J1854" s="65" t="b">
        <v>1</v>
      </c>
      <c r="K1854" s="65"/>
      <c r="L1854" s="85" t="b">
        <f>IF(VLOOKUP(C1854,Projetos!A:L,12,false)=TRUE,TRUE,FALSE)</f>
        <v>1</v>
      </c>
      <c r="M1854" s="74">
        <v>73.7079846079846</v>
      </c>
      <c r="N1854" s="74">
        <f t="shared" si="1"/>
        <v>239.55095</v>
      </c>
      <c r="O1854" s="74" t="b">
        <v>1</v>
      </c>
    </row>
    <row r="1855" hidden="1">
      <c r="A1855" s="82"/>
      <c r="B1855" s="65" t="s">
        <v>495</v>
      </c>
      <c r="C1855" s="65" t="s">
        <v>106</v>
      </c>
      <c r="D1855" s="65"/>
      <c r="E1855" s="65" t="s">
        <v>1136</v>
      </c>
      <c r="F1855" s="83">
        <v>0.3472222222222222</v>
      </c>
      <c r="G1855" s="83">
        <v>0.4583333333333333</v>
      </c>
      <c r="H1855" s="83">
        <v>0.1111111111111111</v>
      </c>
      <c r="I1855" s="84">
        <v>44393.0</v>
      </c>
      <c r="J1855" s="65" t="b">
        <v>0</v>
      </c>
      <c r="K1855" s="65" t="s">
        <v>150</v>
      </c>
      <c r="L1855" s="85" t="b">
        <f>IF(VLOOKUP(C1855,Projetos!A:L,12,false)=TRUE,TRUE,FALSE)</f>
        <v>1</v>
      </c>
      <c r="M1855" s="74">
        <v>73.7079846079846</v>
      </c>
      <c r="N1855" s="74">
        <f t="shared" si="1"/>
        <v>0</v>
      </c>
      <c r="O1855" s="74" t="b">
        <v>1</v>
      </c>
    </row>
    <row r="1856" hidden="1">
      <c r="A1856" s="82"/>
      <c r="B1856" s="65" t="s">
        <v>495</v>
      </c>
      <c r="C1856" s="65" t="s">
        <v>114</v>
      </c>
      <c r="D1856" s="65"/>
      <c r="E1856" s="65" t="s">
        <v>1137</v>
      </c>
      <c r="F1856" s="83">
        <v>0.4583333333333333</v>
      </c>
      <c r="G1856" s="83">
        <v>0.5729166666666666</v>
      </c>
      <c r="H1856" s="83">
        <v>0.11458333333333333</v>
      </c>
      <c r="I1856" s="84">
        <v>44393.0</v>
      </c>
      <c r="J1856" s="65" t="b">
        <v>0</v>
      </c>
      <c r="K1856" s="65" t="s">
        <v>150</v>
      </c>
      <c r="L1856" s="85" t="b">
        <f>IF(VLOOKUP(C1856,Projetos!A:L,12,false)=TRUE,TRUE,FALSE)</f>
        <v>1</v>
      </c>
      <c r="M1856" s="74">
        <v>73.7079846079846</v>
      </c>
      <c r="N1856" s="74">
        <f t="shared" si="1"/>
        <v>0</v>
      </c>
      <c r="O1856" s="74" t="b">
        <v>1</v>
      </c>
    </row>
    <row r="1857" hidden="1">
      <c r="A1857" s="82"/>
      <c r="B1857" s="65" t="s">
        <v>495</v>
      </c>
      <c r="C1857" s="65" t="s">
        <v>108</v>
      </c>
      <c r="D1857" s="65" t="str">
        <f>vlookup(C1857,'Classificação p pessoal'!F:G,2,false)</f>
        <v>NP</v>
      </c>
      <c r="E1857" s="65" t="s">
        <v>1135</v>
      </c>
      <c r="F1857" s="83">
        <v>0.6145833333333334</v>
      </c>
      <c r="G1857" s="83">
        <v>0.7083333333333334</v>
      </c>
      <c r="H1857" s="83">
        <v>0.09375</v>
      </c>
      <c r="I1857" s="84">
        <v>44393.0</v>
      </c>
      <c r="J1857" s="65" t="b">
        <v>1</v>
      </c>
      <c r="K1857" s="65"/>
      <c r="L1857" s="85" t="b">
        <f>IF(VLOOKUP(C1857,Projetos!A:L,12,false)=TRUE,TRUE,FALSE)</f>
        <v>1</v>
      </c>
      <c r="M1857" s="74">
        <v>73.7079846079846</v>
      </c>
      <c r="N1857" s="74">
        <f t="shared" si="1"/>
        <v>165.8429654</v>
      </c>
      <c r="O1857" s="74" t="b">
        <v>1</v>
      </c>
    </row>
    <row r="1858" hidden="1">
      <c r="A1858" s="82"/>
      <c r="B1858" s="65" t="s">
        <v>495</v>
      </c>
      <c r="C1858" s="65" t="s">
        <v>92</v>
      </c>
      <c r="D1858" s="65" t="str">
        <f>vlookup(C1858,'Classificação p pessoal'!F:G,2,false)</f>
        <v/>
      </c>
      <c r="E1858" s="65" t="s">
        <v>865</v>
      </c>
      <c r="F1858" s="83">
        <v>0.7083333333333334</v>
      </c>
      <c r="G1858" s="83">
        <v>0.75</v>
      </c>
      <c r="H1858" s="83">
        <v>0.041666666666666664</v>
      </c>
      <c r="I1858" s="84">
        <v>44393.0</v>
      </c>
      <c r="J1858" s="65" t="b">
        <v>1</v>
      </c>
      <c r="K1858" s="65"/>
      <c r="L1858" s="85" t="b">
        <f>IF(VLOOKUP(C1858,Projetos!A:L,12,false)=TRUE,TRUE,FALSE)</f>
        <v>1</v>
      </c>
      <c r="M1858" s="74">
        <v>73.7079846079846</v>
      </c>
      <c r="N1858" s="74">
        <f t="shared" si="1"/>
        <v>73.70798461</v>
      </c>
      <c r="O1858" s="74" t="b">
        <v>1</v>
      </c>
    </row>
    <row r="1859" hidden="1">
      <c r="A1859" s="82"/>
      <c r="B1859" s="65" t="s">
        <v>495</v>
      </c>
      <c r="C1859" s="65" t="s">
        <v>117</v>
      </c>
      <c r="D1859" s="65"/>
      <c r="E1859" s="65" t="s">
        <v>1138</v>
      </c>
      <c r="F1859" s="83">
        <v>0.3472222222222222</v>
      </c>
      <c r="G1859" s="83">
        <v>0.3958333333333333</v>
      </c>
      <c r="H1859" s="83">
        <v>0.04861111111111111</v>
      </c>
      <c r="I1859" s="84">
        <v>44396.0</v>
      </c>
      <c r="J1859" s="65" t="b">
        <v>0</v>
      </c>
      <c r="K1859" s="65" t="s">
        <v>150</v>
      </c>
      <c r="L1859" s="85" t="b">
        <f>IF(VLOOKUP(C1859,Projetos!A:L,12,false)=TRUE,TRUE,FALSE)</f>
        <v>1</v>
      </c>
      <c r="M1859" s="74">
        <v>73.7079846079846</v>
      </c>
      <c r="N1859" s="74">
        <f t="shared" si="1"/>
        <v>0</v>
      </c>
      <c r="O1859" s="74" t="b">
        <v>1</v>
      </c>
    </row>
    <row r="1860" hidden="1">
      <c r="A1860" s="82"/>
      <c r="B1860" s="65" t="s">
        <v>495</v>
      </c>
      <c r="C1860" s="65" t="s">
        <v>92</v>
      </c>
      <c r="D1860" s="65" t="str">
        <f>vlookup(C1860,'Classificação p pessoal'!F:G,2,false)</f>
        <v/>
      </c>
      <c r="E1860" s="65" t="s">
        <v>1139</v>
      </c>
      <c r="F1860" s="83">
        <v>0.3958333333333333</v>
      </c>
      <c r="G1860" s="83">
        <v>0.4583333333333333</v>
      </c>
      <c r="H1860" s="83">
        <v>0.0625</v>
      </c>
      <c r="I1860" s="84">
        <v>44396.0</v>
      </c>
      <c r="J1860" s="65" t="b">
        <v>1</v>
      </c>
      <c r="K1860" s="65"/>
      <c r="L1860" s="85" t="b">
        <f>IF(VLOOKUP(C1860,Projetos!A:L,12,false)=TRUE,TRUE,FALSE)</f>
        <v>1</v>
      </c>
      <c r="M1860" s="74">
        <v>73.7079846079846</v>
      </c>
      <c r="N1860" s="74">
        <f t="shared" si="1"/>
        <v>110.5619769</v>
      </c>
      <c r="O1860" s="74" t="b">
        <v>1</v>
      </c>
    </row>
    <row r="1861" hidden="1">
      <c r="A1861" s="82"/>
      <c r="B1861" s="65" t="s">
        <v>495</v>
      </c>
      <c r="C1861" s="65" t="s">
        <v>92</v>
      </c>
      <c r="D1861" s="65" t="str">
        <f>vlookup(C1861,'Classificação p pessoal'!F:G,2,false)</f>
        <v/>
      </c>
      <c r="E1861" s="65" t="s">
        <v>1140</v>
      </c>
      <c r="F1861" s="83">
        <v>0.4583333333333333</v>
      </c>
      <c r="G1861" s="83">
        <v>0.5</v>
      </c>
      <c r="H1861" s="83">
        <v>0.041666666666666664</v>
      </c>
      <c r="I1861" s="84">
        <v>44396.0</v>
      </c>
      <c r="J1861" s="65" t="b">
        <v>1</v>
      </c>
      <c r="K1861" s="65"/>
      <c r="L1861" s="85" t="b">
        <f>IF(VLOOKUP(C1861,Projetos!A:L,12,false)=TRUE,TRUE,FALSE)</f>
        <v>1</v>
      </c>
      <c r="M1861" s="74">
        <v>73.7079846079846</v>
      </c>
      <c r="N1861" s="74">
        <f t="shared" si="1"/>
        <v>73.70798461</v>
      </c>
      <c r="O1861" s="74" t="b">
        <v>1</v>
      </c>
    </row>
    <row r="1862" hidden="1">
      <c r="A1862" s="82"/>
      <c r="B1862" s="65" t="s">
        <v>495</v>
      </c>
      <c r="C1862" s="65" t="s">
        <v>100</v>
      </c>
      <c r="D1862" s="65" t="str">
        <f>vlookup(C1862,'Classificação p pessoal'!F:G,2,false)</f>
        <v>NP</v>
      </c>
      <c r="E1862" s="65" t="s">
        <v>1141</v>
      </c>
      <c r="F1862" s="83">
        <v>0.5</v>
      </c>
      <c r="G1862" s="83">
        <v>0.5729166666666666</v>
      </c>
      <c r="H1862" s="83">
        <v>0.07291666666666667</v>
      </c>
      <c r="I1862" s="84">
        <v>44396.0</v>
      </c>
      <c r="J1862" s="65" t="b">
        <v>1</v>
      </c>
      <c r="K1862" s="65"/>
      <c r="L1862" s="85" t="b">
        <f>IF(VLOOKUP(C1862,Projetos!A:L,12,false)=TRUE,TRUE,FALSE)</f>
        <v>1</v>
      </c>
      <c r="M1862" s="74">
        <v>73.7079846079846</v>
      </c>
      <c r="N1862" s="74">
        <f t="shared" si="1"/>
        <v>128.9889731</v>
      </c>
      <c r="O1862" s="74" t="b">
        <v>1</v>
      </c>
    </row>
    <row r="1863" hidden="1">
      <c r="A1863" s="82"/>
      <c r="B1863" s="65" t="s">
        <v>495</v>
      </c>
      <c r="C1863" s="65" t="s">
        <v>108</v>
      </c>
      <c r="D1863" s="65" t="str">
        <f>vlookup(C1863,'Classificação p pessoal'!F:G,2,false)</f>
        <v>NP</v>
      </c>
      <c r="E1863" s="65" t="s">
        <v>1142</v>
      </c>
      <c r="F1863" s="83">
        <v>0.625</v>
      </c>
      <c r="G1863" s="83">
        <v>0.75</v>
      </c>
      <c r="H1863" s="83">
        <v>0.125</v>
      </c>
      <c r="I1863" s="84">
        <v>44396.0</v>
      </c>
      <c r="J1863" s="65" t="b">
        <v>1</v>
      </c>
      <c r="K1863" s="65"/>
      <c r="L1863" s="85" t="b">
        <f>IF(VLOOKUP(C1863,Projetos!A:L,12,false)=TRUE,TRUE,FALSE)</f>
        <v>1</v>
      </c>
      <c r="M1863" s="74">
        <v>73.7079846079846</v>
      </c>
      <c r="N1863" s="74">
        <f t="shared" si="1"/>
        <v>221.1239538</v>
      </c>
      <c r="O1863" s="74" t="b">
        <v>1</v>
      </c>
    </row>
    <row r="1864" hidden="1">
      <c r="A1864" s="82"/>
      <c r="B1864" s="65" t="s">
        <v>495</v>
      </c>
      <c r="C1864" s="65" t="s">
        <v>100</v>
      </c>
      <c r="D1864" s="65" t="str">
        <f>vlookup(C1864,'Classificação p pessoal'!F:G,2,false)</f>
        <v>NP</v>
      </c>
      <c r="E1864" s="65" t="s">
        <v>1143</v>
      </c>
      <c r="F1864" s="83">
        <v>0.375</v>
      </c>
      <c r="G1864" s="83">
        <v>0.4166666666666667</v>
      </c>
      <c r="H1864" s="83">
        <v>0.041666666666666664</v>
      </c>
      <c r="I1864" s="84">
        <v>44397.0</v>
      </c>
      <c r="J1864" s="65" t="b">
        <v>1</v>
      </c>
      <c r="K1864" s="65"/>
      <c r="L1864" s="85" t="b">
        <f>IF(VLOOKUP(C1864,Projetos!A:L,12,false)=TRUE,TRUE,FALSE)</f>
        <v>1</v>
      </c>
      <c r="M1864" s="74">
        <v>73.7079846079846</v>
      </c>
      <c r="N1864" s="74">
        <f t="shared" si="1"/>
        <v>73.70798461</v>
      </c>
      <c r="O1864" s="74" t="b">
        <v>1</v>
      </c>
    </row>
    <row r="1865" hidden="1">
      <c r="A1865" s="82"/>
      <c r="B1865" s="65" t="s">
        <v>495</v>
      </c>
      <c r="C1865" s="65" t="s">
        <v>117</v>
      </c>
      <c r="D1865" s="65" t="str">
        <f>vlookup(C1865,'Classificação p pessoal'!F:G,2,false)</f>
        <v>NP</v>
      </c>
      <c r="E1865" s="65" t="s">
        <v>1144</v>
      </c>
      <c r="F1865" s="83">
        <v>0.4166666666666667</v>
      </c>
      <c r="G1865" s="83">
        <v>0.4375</v>
      </c>
      <c r="H1865" s="83">
        <v>0.020833333333333332</v>
      </c>
      <c r="I1865" s="84">
        <v>44397.0</v>
      </c>
      <c r="J1865" s="65" t="b">
        <v>1</v>
      </c>
      <c r="K1865" s="65"/>
      <c r="L1865" s="85" t="b">
        <f>IF(VLOOKUP(C1865,Projetos!A:L,12,false)=TRUE,TRUE,FALSE)</f>
        <v>1</v>
      </c>
      <c r="M1865" s="74">
        <v>73.7079846079846</v>
      </c>
      <c r="N1865" s="74">
        <f t="shared" si="1"/>
        <v>36.8539923</v>
      </c>
      <c r="O1865" s="74" t="b">
        <v>1</v>
      </c>
    </row>
    <row r="1866" hidden="1">
      <c r="A1866" s="82"/>
      <c r="B1866" s="65" t="s">
        <v>495</v>
      </c>
      <c r="C1866" s="65" t="s">
        <v>100</v>
      </c>
      <c r="D1866" s="65" t="str">
        <f>vlookup(C1866,'Classificação p pessoal'!F:G,2,false)</f>
        <v>NP</v>
      </c>
      <c r="E1866" s="65" t="s">
        <v>832</v>
      </c>
      <c r="F1866" s="83">
        <v>0.5</v>
      </c>
      <c r="G1866" s="83">
        <v>0.5763888888888888</v>
      </c>
      <c r="H1866" s="83">
        <v>0.0763888888888889</v>
      </c>
      <c r="I1866" s="84">
        <v>44397.0</v>
      </c>
      <c r="J1866" s="65" t="b">
        <v>1</v>
      </c>
      <c r="K1866" s="65"/>
      <c r="L1866" s="85" t="b">
        <f>IF(VLOOKUP(C1866,Projetos!A:L,12,false)=TRUE,TRUE,FALSE)</f>
        <v>1</v>
      </c>
      <c r="M1866" s="74">
        <v>73.7079846079846</v>
      </c>
      <c r="N1866" s="74">
        <f t="shared" si="1"/>
        <v>135.1313051</v>
      </c>
      <c r="O1866" s="74" t="b">
        <v>1</v>
      </c>
    </row>
    <row r="1867" hidden="1">
      <c r="A1867" s="82"/>
      <c r="B1867" s="65" t="s">
        <v>495</v>
      </c>
      <c r="C1867" s="65" t="s">
        <v>117</v>
      </c>
      <c r="D1867" s="65" t="str">
        <f>vlookup(C1867,'Classificação p pessoal'!F:G,2,false)</f>
        <v>NP</v>
      </c>
      <c r="E1867" s="65" t="s">
        <v>1145</v>
      </c>
      <c r="F1867" s="83">
        <v>0.6180555555555556</v>
      </c>
      <c r="G1867" s="83">
        <v>0.75</v>
      </c>
      <c r="H1867" s="83">
        <v>0.13194444444444445</v>
      </c>
      <c r="I1867" s="84">
        <v>44397.0</v>
      </c>
      <c r="J1867" s="65" t="b">
        <v>1</v>
      </c>
      <c r="K1867" s="65"/>
      <c r="L1867" s="85" t="b">
        <f>IF(VLOOKUP(C1867,Projetos!A:L,12,false)=TRUE,TRUE,FALSE)</f>
        <v>1</v>
      </c>
      <c r="M1867" s="74">
        <v>73.7079846079846</v>
      </c>
      <c r="N1867" s="74">
        <f t="shared" si="1"/>
        <v>233.4086179</v>
      </c>
      <c r="O1867" s="74" t="b">
        <v>1</v>
      </c>
    </row>
    <row r="1868" hidden="1">
      <c r="A1868" s="82"/>
      <c r="B1868" s="65" t="s">
        <v>495</v>
      </c>
      <c r="C1868" s="65" t="s">
        <v>117</v>
      </c>
      <c r="D1868" s="65" t="str">
        <f>vlookup(C1868,'Classificação p pessoal'!F:G,2,false)</f>
        <v>NP</v>
      </c>
      <c r="E1868" s="65" t="s">
        <v>946</v>
      </c>
      <c r="F1868" s="83">
        <v>0.3541666666666667</v>
      </c>
      <c r="G1868" s="83">
        <v>0.3958333333333333</v>
      </c>
      <c r="H1868" s="83">
        <v>0.041666666666666664</v>
      </c>
      <c r="I1868" s="84">
        <v>44398.0</v>
      </c>
      <c r="J1868" s="65" t="b">
        <v>1</v>
      </c>
      <c r="K1868" s="65"/>
      <c r="L1868" s="85" t="b">
        <f>IF(VLOOKUP(C1868,Projetos!A:L,12,false)=TRUE,TRUE,FALSE)</f>
        <v>1</v>
      </c>
      <c r="M1868" s="74">
        <v>73.7079846079846</v>
      </c>
      <c r="N1868" s="74">
        <f t="shared" si="1"/>
        <v>73.70798461</v>
      </c>
      <c r="O1868" s="74" t="b">
        <v>1</v>
      </c>
    </row>
    <row r="1869" hidden="1">
      <c r="A1869" s="82"/>
      <c r="B1869" s="65" t="s">
        <v>495</v>
      </c>
      <c r="C1869" s="65" t="s">
        <v>117</v>
      </c>
      <c r="D1869" s="65"/>
      <c r="E1869" s="65" t="s">
        <v>1146</v>
      </c>
      <c r="F1869" s="83">
        <v>0.3958333333333333</v>
      </c>
      <c r="G1869" s="83">
        <v>0.4166666666666667</v>
      </c>
      <c r="H1869" s="83">
        <v>0.020833333333333332</v>
      </c>
      <c r="I1869" s="84">
        <v>44398.0</v>
      </c>
      <c r="J1869" s="65" t="b">
        <v>0</v>
      </c>
      <c r="K1869" s="65" t="s">
        <v>150</v>
      </c>
      <c r="L1869" s="85" t="b">
        <f>IF(VLOOKUP(C1869,Projetos!A:L,12,false)=TRUE,TRUE,FALSE)</f>
        <v>1</v>
      </c>
      <c r="M1869" s="74">
        <v>73.7079846079846</v>
      </c>
      <c r="N1869" s="74">
        <f t="shared" si="1"/>
        <v>0</v>
      </c>
      <c r="O1869" s="74" t="b">
        <v>1</v>
      </c>
    </row>
    <row r="1870" hidden="1">
      <c r="A1870" s="82"/>
      <c r="B1870" s="65" t="s">
        <v>495</v>
      </c>
      <c r="C1870" s="65" t="s">
        <v>117</v>
      </c>
      <c r="D1870" s="65" t="str">
        <f>vlookup(C1870,'Classificação p pessoal'!F:G,2,false)</f>
        <v>NP</v>
      </c>
      <c r="E1870" s="65" t="s">
        <v>1145</v>
      </c>
      <c r="F1870" s="83">
        <v>0.4375</v>
      </c>
      <c r="G1870" s="83">
        <v>0.5</v>
      </c>
      <c r="H1870" s="83">
        <v>0.0625</v>
      </c>
      <c r="I1870" s="84">
        <v>44398.0</v>
      </c>
      <c r="J1870" s="65" t="b">
        <v>1</v>
      </c>
      <c r="K1870" s="65"/>
      <c r="L1870" s="85" t="b">
        <f>IF(VLOOKUP(C1870,Projetos!A:L,12,false)=TRUE,TRUE,FALSE)</f>
        <v>1</v>
      </c>
      <c r="M1870" s="74">
        <v>73.7079846079846</v>
      </c>
      <c r="N1870" s="74">
        <f t="shared" si="1"/>
        <v>110.5619769</v>
      </c>
      <c r="O1870" s="74" t="b">
        <v>1</v>
      </c>
    </row>
    <row r="1871" hidden="1">
      <c r="A1871" s="82"/>
      <c r="B1871" s="65" t="s">
        <v>495</v>
      </c>
      <c r="C1871" s="65" t="s">
        <v>92</v>
      </c>
      <c r="D1871" s="65" t="str">
        <f>vlookup(C1871,'Classificação p pessoal'!F:G,2,false)</f>
        <v/>
      </c>
      <c r="E1871" s="65" t="s">
        <v>1147</v>
      </c>
      <c r="F1871" s="83">
        <v>0.5</v>
      </c>
      <c r="G1871" s="83">
        <v>0.5486111111111112</v>
      </c>
      <c r="H1871" s="83">
        <v>0.04861111111111111</v>
      </c>
      <c r="I1871" s="84">
        <v>44398.0</v>
      </c>
      <c r="J1871" s="65" t="b">
        <v>1</v>
      </c>
      <c r="K1871" s="65"/>
      <c r="L1871" s="85" t="b">
        <f>IF(VLOOKUP(C1871,Projetos!A:L,12,false)=TRUE,TRUE,FALSE)</f>
        <v>1</v>
      </c>
      <c r="M1871" s="74">
        <v>73.7079846079846</v>
      </c>
      <c r="N1871" s="74">
        <f t="shared" si="1"/>
        <v>85.99264871</v>
      </c>
      <c r="O1871" s="74" t="b">
        <v>1</v>
      </c>
    </row>
    <row r="1872" hidden="1">
      <c r="A1872" s="82"/>
      <c r="B1872" s="65" t="s">
        <v>495</v>
      </c>
      <c r="C1872" s="65" t="s">
        <v>117</v>
      </c>
      <c r="D1872" s="65" t="str">
        <f>vlookup(C1872,'Classificação p pessoal'!F:G,2,false)</f>
        <v>NP</v>
      </c>
      <c r="E1872" s="65" t="s">
        <v>1043</v>
      </c>
      <c r="F1872" s="83">
        <v>0.5486111111111112</v>
      </c>
      <c r="G1872" s="83">
        <v>0.5798611111111112</v>
      </c>
      <c r="H1872" s="83">
        <v>0.03125</v>
      </c>
      <c r="I1872" s="84">
        <v>44398.0</v>
      </c>
      <c r="J1872" s="65" t="b">
        <v>1</v>
      </c>
      <c r="K1872" s="65"/>
      <c r="L1872" s="85" t="b">
        <f>IF(VLOOKUP(C1872,Projetos!A:L,12,false)=TRUE,TRUE,FALSE)</f>
        <v>1</v>
      </c>
      <c r="M1872" s="74">
        <v>73.7079846079846</v>
      </c>
      <c r="N1872" s="74">
        <f t="shared" si="1"/>
        <v>55.28098846</v>
      </c>
      <c r="O1872" s="74" t="b">
        <v>1</v>
      </c>
    </row>
    <row r="1873" hidden="1">
      <c r="A1873" s="82"/>
      <c r="B1873" s="65" t="s">
        <v>495</v>
      </c>
      <c r="C1873" s="65" t="s">
        <v>117</v>
      </c>
      <c r="D1873" s="65" t="str">
        <f>vlookup(C1873,'Classificação p pessoal'!F:G,2,false)</f>
        <v>NP</v>
      </c>
      <c r="E1873" s="65" t="s">
        <v>1043</v>
      </c>
      <c r="F1873" s="83">
        <v>0.6215277777777778</v>
      </c>
      <c r="G1873" s="83">
        <v>0.6527777777777778</v>
      </c>
      <c r="H1873" s="83">
        <v>0.03125</v>
      </c>
      <c r="I1873" s="84">
        <v>44398.0</v>
      </c>
      <c r="J1873" s="65" t="b">
        <v>1</v>
      </c>
      <c r="K1873" s="65"/>
      <c r="L1873" s="85" t="b">
        <f>IF(VLOOKUP(C1873,Projetos!A:L,12,false)=TRUE,TRUE,FALSE)</f>
        <v>1</v>
      </c>
      <c r="M1873" s="74">
        <v>73.7079846079846</v>
      </c>
      <c r="N1873" s="74">
        <f t="shared" si="1"/>
        <v>55.28098846</v>
      </c>
      <c r="O1873" s="74" t="b">
        <v>1</v>
      </c>
    </row>
    <row r="1874" hidden="1">
      <c r="A1874" s="82"/>
      <c r="B1874" s="65" t="s">
        <v>495</v>
      </c>
      <c r="C1874" s="65" t="s">
        <v>108</v>
      </c>
      <c r="D1874" s="65" t="str">
        <f>vlookup(C1874,'Classificação p pessoal'!F:G,2,false)</f>
        <v>NP</v>
      </c>
      <c r="E1874" s="65" t="s">
        <v>945</v>
      </c>
      <c r="F1874" s="83">
        <v>0.6527777777777778</v>
      </c>
      <c r="G1874" s="83">
        <v>0.75</v>
      </c>
      <c r="H1874" s="83">
        <v>0.09722222222222222</v>
      </c>
      <c r="I1874" s="84">
        <v>44398.0</v>
      </c>
      <c r="J1874" s="65" t="b">
        <v>1</v>
      </c>
      <c r="K1874" s="65"/>
      <c r="L1874" s="85" t="b">
        <f>IF(VLOOKUP(C1874,Projetos!A:L,12,false)=TRUE,TRUE,FALSE)</f>
        <v>1</v>
      </c>
      <c r="M1874" s="74">
        <v>73.7079846079846</v>
      </c>
      <c r="N1874" s="74">
        <f t="shared" si="1"/>
        <v>171.9852974</v>
      </c>
      <c r="O1874" s="74" t="b">
        <v>1</v>
      </c>
    </row>
    <row r="1875" hidden="1">
      <c r="A1875" s="82"/>
      <c r="B1875" s="65" t="s">
        <v>495</v>
      </c>
      <c r="C1875" s="65" t="s">
        <v>92</v>
      </c>
      <c r="D1875" s="65"/>
      <c r="E1875" s="65" t="s">
        <v>1148</v>
      </c>
      <c r="F1875" s="83">
        <v>0.625</v>
      </c>
      <c r="G1875" s="83">
        <v>0.6944444444444444</v>
      </c>
      <c r="H1875" s="83">
        <v>0.06944444444444445</v>
      </c>
      <c r="I1875" s="84">
        <v>44523.0</v>
      </c>
      <c r="J1875" s="65" t="b">
        <v>0</v>
      </c>
      <c r="K1875" s="65" t="s">
        <v>150</v>
      </c>
      <c r="L1875" s="85" t="b">
        <f>IF(VLOOKUP(C1875,Projetos!A:L,12,false)=TRUE,TRUE,FALSE)</f>
        <v>1</v>
      </c>
      <c r="M1875" s="74">
        <v>73.7079846079846</v>
      </c>
      <c r="N1875" s="74">
        <f t="shared" si="1"/>
        <v>0</v>
      </c>
      <c r="O1875" s="74" t="b">
        <v>1</v>
      </c>
    </row>
    <row r="1876" hidden="1">
      <c r="A1876" s="82"/>
      <c r="B1876" s="65" t="s">
        <v>495</v>
      </c>
      <c r="C1876" s="65" t="s">
        <v>117</v>
      </c>
      <c r="D1876" s="65" t="str">
        <f>vlookup(C1876,'Classificação p pessoal'!F:G,2,false)</f>
        <v>NP</v>
      </c>
      <c r="E1876" s="65" t="s">
        <v>1149</v>
      </c>
      <c r="F1876" s="83">
        <v>0.4166666666666667</v>
      </c>
      <c r="G1876" s="83">
        <v>0.5694444444444444</v>
      </c>
      <c r="H1876" s="83">
        <v>0.1527777777777778</v>
      </c>
      <c r="I1876" s="84">
        <v>44399.0</v>
      </c>
      <c r="J1876" s="65" t="b">
        <v>1</v>
      </c>
      <c r="K1876" s="65"/>
      <c r="L1876" s="85" t="b">
        <f>IF(VLOOKUP(C1876,Projetos!A:L,12,false)=TRUE,TRUE,FALSE)</f>
        <v>1</v>
      </c>
      <c r="M1876" s="74">
        <v>73.7079846079846</v>
      </c>
      <c r="N1876" s="74">
        <f t="shared" si="1"/>
        <v>270.2626102</v>
      </c>
      <c r="O1876" s="74" t="b">
        <v>1</v>
      </c>
    </row>
    <row r="1877" hidden="1">
      <c r="A1877" s="82"/>
      <c r="B1877" s="65" t="s">
        <v>495</v>
      </c>
      <c r="C1877" s="65" t="s">
        <v>108</v>
      </c>
      <c r="D1877" s="65" t="str">
        <f>vlookup(C1877,'Classificação p pessoal'!F:G,2,false)</f>
        <v>NP</v>
      </c>
      <c r="E1877" s="65" t="s">
        <v>832</v>
      </c>
      <c r="F1877" s="83">
        <v>0.6111111111111112</v>
      </c>
      <c r="G1877" s="83">
        <v>0.75</v>
      </c>
      <c r="H1877" s="83">
        <v>0.1388888888888889</v>
      </c>
      <c r="I1877" s="84">
        <v>44399.0</v>
      </c>
      <c r="J1877" s="65" t="b">
        <v>1</v>
      </c>
      <c r="K1877" s="65"/>
      <c r="L1877" s="85" t="b">
        <f>IF(VLOOKUP(C1877,Projetos!A:L,12,false)=TRUE,TRUE,FALSE)</f>
        <v>1</v>
      </c>
      <c r="M1877" s="74">
        <v>73.7079846079846</v>
      </c>
      <c r="N1877" s="74">
        <f t="shared" si="1"/>
        <v>245.693282</v>
      </c>
      <c r="O1877" s="74" t="b">
        <v>1</v>
      </c>
    </row>
    <row r="1878" hidden="1">
      <c r="A1878" s="82"/>
      <c r="B1878" s="65" t="s">
        <v>495</v>
      </c>
      <c r="C1878" s="65" t="s">
        <v>100</v>
      </c>
      <c r="D1878" s="65"/>
      <c r="E1878" s="65" t="s">
        <v>1150</v>
      </c>
      <c r="F1878" s="83">
        <v>0.3472222222222222</v>
      </c>
      <c r="G1878" s="83">
        <v>0.4305555555555556</v>
      </c>
      <c r="H1878" s="83">
        <v>0.08333333333333333</v>
      </c>
      <c r="I1878" s="84">
        <v>44400.0</v>
      </c>
      <c r="J1878" s="65" t="b">
        <v>0</v>
      </c>
      <c r="K1878" s="65" t="s">
        <v>150</v>
      </c>
      <c r="L1878" s="85" t="b">
        <f>IF(VLOOKUP(C1878,Projetos!A:L,12,false)=TRUE,TRUE,FALSE)</f>
        <v>1</v>
      </c>
      <c r="M1878" s="74">
        <v>73.7079846079846</v>
      </c>
      <c r="N1878" s="74">
        <f t="shared" si="1"/>
        <v>0</v>
      </c>
      <c r="O1878" s="74" t="b">
        <v>1</v>
      </c>
    </row>
    <row r="1879" hidden="1">
      <c r="A1879" s="82"/>
      <c r="B1879" s="65" t="s">
        <v>495</v>
      </c>
      <c r="C1879" s="65" t="s">
        <v>92</v>
      </c>
      <c r="D1879" s="65" t="str">
        <f>vlookup(C1879,'Classificação p pessoal'!F:G,2,false)</f>
        <v/>
      </c>
      <c r="E1879" s="65" t="s">
        <v>1151</v>
      </c>
      <c r="F1879" s="83">
        <v>0.4444444444444444</v>
      </c>
      <c r="G1879" s="83">
        <v>0.5625</v>
      </c>
      <c r="H1879" s="83">
        <v>0.11805555555555555</v>
      </c>
      <c r="I1879" s="84">
        <v>44400.0</v>
      </c>
      <c r="J1879" s="65" t="b">
        <v>1</v>
      </c>
      <c r="K1879" s="65"/>
      <c r="L1879" s="85" t="b">
        <f>IF(VLOOKUP(C1879,Projetos!A:L,12,false)=TRUE,TRUE,FALSE)</f>
        <v>1</v>
      </c>
      <c r="M1879" s="74">
        <v>73.7079846079846</v>
      </c>
      <c r="N1879" s="74">
        <f t="shared" si="1"/>
        <v>208.8392897</v>
      </c>
      <c r="O1879" s="74" t="b">
        <v>1</v>
      </c>
    </row>
    <row r="1880" hidden="1">
      <c r="A1880" s="82"/>
      <c r="B1880" s="65" t="s">
        <v>495</v>
      </c>
      <c r="C1880" s="65" t="s">
        <v>100</v>
      </c>
      <c r="D1880" s="65" t="str">
        <f>vlookup(C1880,'Classificação p pessoal'!F:G,2,false)</f>
        <v>NP</v>
      </c>
      <c r="E1880" s="65" t="s">
        <v>1152</v>
      </c>
      <c r="F1880" s="83">
        <v>0.5833333333333334</v>
      </c>
      <c r="G1880" s="83">
        <v>0.6666666666666666</v>
      </c>
      <c r="H1880" s="83">
        <v>0.08333333333333333</v>
      </c>
      <c r="I1880" s="84">
        <v>44400.0</v>
      </c>
      <c r="J1880" s="65" t="b">
        <v>1</v>
      </c>
      <c r="K1880" s="65"/>
      <c r="L1880" s="85" t="b">
        <f>IF(VLOOKUP(C1880,Projetos!A:L,12,false)=TRUE,TRUE,FALSE)</f>
        <v>1</v>
      </c>
      <c r="M1880" s="74">
        <v>73.7079846079846</v>
      </c>
      <c r="N1880" s="74">
        <f t="shared" si="1"/>
        <v>147.4159692</v>
      </c>
      <c r="O1880" s="74" t="b">
        <v>1</v>
      </c>
    </row>
    <row r="1881" hidden="1">
      <c r="A1881" s="82"/>
      <c r="B1881" s="65" t="s">
        <v>495</v>
      </c>
      <c r="C1881" s="65" t="s">
        <v>117</v>
      </c>
      <c r="D1881" s="65" t="str">
        <f>vlookup(C1881,'Classificação p pessoal'!F:G,2,false)</f>
        <v>NP</v>
      </c>
      <c r="E1881" s="65" t="s">
        <v>1153</v>
      </c>
      <c r="F1881" s="83">
        <v>0.6666666666666666</v>
      </c>
      <c r="G1881" s="83">
        <v>0.75</v>
      </c>
      <c r="H1881" s="83">
        <v>0.08333333333333333</v>
      </c>
      <c r="I1881" s="84">
        <v>44400.0</v>
      </c>
      <c r="J1881" s="65" t="b">
        <v>1</v>
      </c>
      <c r="K1881" s="65"/>
      <c r="L1881" s="85" t="b">
        <f>IF(VLOOKUP(C1881,Projetos!A:L,12,false)=TRUE,TRUE,FALSE)</f>
        <v>1</v>
      </c>
      <c r="M1881" s="74">
        <v>73.7079846079846</v>
      </c>
      <c r="N1881" s="74">
        <f t="shared" si="1"/>
        <v>147.4159692</v>
      </c>
      <c r="O1881" s="74" t="b">
        <v>1</v>
      </c>
    </row>
    <row r="1882" hidden="1">
      <c r="A1882" s="82"/>
      <c r="B1882" s="65" t="s">
        <v>495</v>
      </c>
      <c r="C1882" s="65" t="s">
        <v>117</v>
      </c>
      <c r="D1882" s="65" t="str">
        <f>vlookup(C1882,'Classificação p pessoal'!F:G,2,false)</f>
        <v>NP</v>
      </c>
      <c r="E1882" s="65" t="s">
        <v>1154</v>
      </c>
      <c r="F1882" s="83">
        <v>0.3541666666666667</v>
      </c>
      <c r="G1882" s="83">
        <v>0.4583333333333333</v>
      </c>
      <c r="H1882" s="83">
        <v>0.10416666666666667</v>
      </c>
      <c r="I1882" s="84">
        <v>44403.0</v>
      </c>
      <c r="J1882" s="65" t="b">
        <v>1</v>
      </c>
      <c r="K1882" s="65"/>
      <c r="L1882" s="85" t="b">
        <f>IF(VLOOKUP(C1882,Projetos!A:L,12,false)=TRUE,TRUE,FALSE)</f>
        <v>1</v>
      </c>
      <c r="M1882" s="74">
        <v>73.7079846079846</v>
      </c>
      <c r="N1882" s="74">
        <f t="shared" si="1"/>
        <v>184.2699615</v>
      </c>
      <c r="O1882" s="74" t="b">
        <v>1</v>
      </c>
    </row>
    <row r="1883" hidden="1">
      <c r="A1883" s="82"/>
      <c r="B1883" s="65" t="s">
        <v>495</v>
      </c>
      <c r="C1883" s="65" t="s">
        <v>92</v>
      </c>
      <c r="D1883" s="65" t="str">
        <f>vlookup(C1883,'Classificação p pessoal'!F:G,2,false)</f>
        <v/>
      </c>
      <c r="E1883" s="65" t="s">
        <v>1155</v>
      </c>
      <c r="F1883" s="83">
        <v>0.4583333333333333</v>
      </c>
      <c r="G1883" s="83">
        <v>0.5694444444444444</v>
      </c>
      <c r="H1883" s="83">
        <v>0.1111111111111111</v>
      </c>
      <c r="I1883" s="84">
        <v>44403.0</v>
      </c>
      <c r="J1883" s="65" t="b">
        <v>1</v>
      </c>
      <c r="K1883" s="65"/>
      <c r="L1883" s="85" t="b">
        <f>IF(VLOOKUP(C1883,Projetos!A:L,12,false)=TRUE,TRUE,FALSE)</f>
        <v>1</v>
      </c>
      <c r="M1883" s="74">
        <v>73.7079846079846</v>
      </c>
      <c r="N1883" s="74">
        <f t="shared" si="1"/>
        <v>196.5546256</v>
      </c>
      <c r="O1883" s="74" t="b">
        <v>1</v>
      </c>
    </row>
    <row r="1884" hidden="1">
      <c r="A1884" s="82"/>
      <c r="B1884" s="65" t="s">
        <v>495</v>
      </c>
      <c r="C1884" s="65" t="s">
        <v>108</v>
      </c>
      <c r="D1884" s="65" t="str">
        <f>vlookup(C1884,'Classificação p pessoal'!F:G,2,false)</f>
        <v>NP</v>
      </c>
      <c r="E1884" s="65" t="s">
        <v>832</v>
      </c>
      <c r="F1884" s="83">
        <v>0.6111111111111112</v>
      </c>
      <c r="G1884" s="83">
        <v>0.75</v>
      </c>
      <c r="H1884" s="83">
        <v>0.1388888888888889</v>
      </c>
      <c r="I1884" s="84">
        <v>44403.0</v>
      </c>
      <c r="J1884" s="65" t="b">
        <v>1</v>
      </c>
      <c r="K1884" s="65"/>
      <c r="L1884" s="85" t="b">
        <f>IF(VLOOKUP(C1884,Projetos!A:L,12,false)=TRUE,TRUE,FALSE)</f>
        <v>1</v>
      </c>
      <c r="M1884" s="74">
        <v>73.7079846079846</v>
      </c>
      <c r="N1884" s="74">
        <f t="shared" si="1"/>
        <v>245.693282</v>
      </c>
      <c r="O1884" s="74" t="b">
        <v>1</v>
      </c>
    </row>
    <row r="1885" hidden="1">
      <c r="A1885" s="82"/>
      <c r="B1885" s="65" t="s">
        <v>495</v>
      </c>
      <c r="C1885" s="65" t="s">
        <v>106</v>
      </c>
      <c r="D1885" s="65" t="str">
        <f>vlookup(C1885,'Classificação p pessoal'!F:G,2,false)</f>
        <v>MProcesso</v>
      </c>
      <c r="E1885" s="65" t="s">
        <v>1156</v>
      </c>
      <c r="F1885" s="83">
        <v>0.3472222222222222</v>
      </c>
      <c r="G1885" s="83">
        <v>0.4166666666666667</v>
      </c>
      <c r="H1885" s="83">
        <v>0.06944444444444445</v>
      </c>
      <c r="I1885" s="84">
        <v>44404.0</v>
      </c>
      <c r="J1885" s="65" t="b">
        <v>1</v>
      </c>
      <c r="K1885" s="65"/>
      <c r="L1885" s="85" t="b">
        <f>IF(VLOOKUP(C1885,Projetos!A:L,12,false)=TRUE,TRUE,FALSE)</f>
        <v>1</v>
      </c>
      <c r="M1885" s="74">
        <v>73.7079846079846</v>
      </c>
      <c r="N1885" s="74">
        <f t="shared" si="1"/>
        <v>122.846641</v>
      </c>
      <c r="O1885" s="74" t="b">
        <v>1</v>
      </c>
    </row>
    <row r="1886" hidden="1">
      <c r="A1886" s="82"/>
      <c r="B1886" s="65" t="s">
        <v>495</v>
      </c>
      <c r="C1886" s="65" t="s">
        <v>92</v>
      </c>
      <c r="D1886" s="65" t="str">
        <f>vlookup(C1886,'Classificação p pessoal'!F:G,2,false)</f>
        <v/>
      </c>
      <c r="E1886" s="65" t="s">
        <v>1157</v>
      </c>
      <c r="F1886" s="83">
        <v>0.4305555555555556</v>
      </c>
      <c r="G1886" s="83">
        <v>0.5</v>
      </c>
      <c r="H1886" s="83">
        <v>0.06944444444444445</v>
      </c>
      <c r="I1886" s="84">
        <v>44404.0</v>
      </c>
      <c r="J1886" s="65" t="b">
        <v>1</v>
      </c>
      <c r="K1886" s="65"/>
      <c r="L1886" s="85" t="b">
        <f>IF(VLOOKUP(C1886,Projetos!A:L,12,false)=TRUE,TRUE,FALSE)</f>
        <v>1</v>
      </c>
      <c r="M1886" s="74">
        <v>73.7079846079846</v>
      </c>
      <c r="N1886" s="74">
        <f t="shared" si="1"/>
        <v>122.846641</v>
      </c>
      <c r="O1886" s="74" t="b">
        <v>1</v>
      </c>
    </row>
    <row r="1887" hidden="1">
      <c r="A1887" s="82"/>
      <c r="B1887" s="65" t="s">
        <v>495</v>
      </c>
      <c r="C1887" s="65" t="s">
        <v>92</v>
      </c>
      <c r="D1887" s="65" t="str">
        <f>vlookup(C1887,'Classificação p pessoal'!F:G,2,false)</f>
        <v/>
      </c>
      <c r="E1887" s="65" t="s">
        <v>834</v>
      </c>
      <c r="F1887" s="83">
        <v>0.5</v>
      </c>
      <c r="G1887" s="83">
        <v>0.5736111111111111</v>
      </c>
      <c r="H1887" s="83">
        <v>0.07361111111111111</v>
      </c>
      <c r="I1887" s="84">
        <v>44404.0</v>
      </c>
      <c r="J1887" s="65" t="b">
        <v>1</v>
      </c>
      <c r="K1887" s="65"/>
      <c r="L1887" s="85" t="b">
        <f>IF(VLOOKUP(C1887,Projetos!A:L,12,false)=TRUE,TRUE,FALSE)</f>
        <v>1</v>
      </c>
      <c r="M1887" s="74">
        <v>73.7079846079846</v>
      </c>
      <c r="N1887" s="74">
        <f t="shared" si="1"/>
        <v>130.2174395</v>
      </c>
      <c r="O1887" s="74" t="b">
        <v>1</v>
      </c>
    </row>
    <row r="1888" hidden="1">
      <c r="A1888" s="82"/>
      <c r="B1888" s="65" t="s">
        <v>495</v>
      </c>
      <c r="C1888" s="65" t="s">
        <v>108</v>
      </c>
      <c r="D1888" s="65" t="str">
        <f>vlookup(C1888,'Classificação p pessoal'!F:G,2,false)</f>
        <v>NP</v>
      </c>
      <c r="E1888" s="65" t="s">
        <v>832</v>
      </c>
      <c r="F1888" s="83">
        <v>0.6180555555555556</v>
      </c>
      <c r="G1888" s="83">
        <v>0.7083333333333334</v>
      </c>
      <c r="H1888" s="83">
        <v>0.09027777777777778</v>
      </c>
      <c r="I1888" s="84">
        <v>44404.0</v>
      </c>
      <c r="J1888" s="65" t="b">
        <v>1</v>
      </c>
      <c r="K1888" s="65"/>
      <c r="L1888" s="85" t="b">
        <f>IF(VLOOKUP(C1888,Projetos!A:L,12,false)=TRUE,TRUE,FALSE)</f>
        <v>1</v>
      </c>
      <c r="M1888" s="74">
        <v>73.7079846079846</v>
      </c>
      <c r="N1888" s="74">
        <f t="shared" si="1"/>
        <v>159.7006333</v>
      </c>
      <c r="O1888" s="74" t="b">
        <v>1</v>
      </c>
    </row>
    <row r="1889" hidden="1">
      <c r="A1889" s="82"/>
      <c r="B1889" s="65" t="s">
        <v>495</v>
      </c>
      <c r="C1889" s="65" t="s">
        <v>130</v>
      </c>
      <c r="D1889" s="65" t="str">
        <f>vlookup(C1889,'Classificação p pessoal'!F:G,2,false)</f>
        <v>NP</v>
      </c>
      <c r="E1889" s="65" t="s">
        <v>1158</v>
      </c>
      <c r="F1889" s="83">
        <v>0.7083333333333334</v>
      </c>
      <c r="G1889" s="83">
        <v>0.75</v>
      </c>
      <c r="H1889" s="83">
        <v>0.041666666666666664</v>
      </c>
      <c r="I1889" s="84">
        <v>44404.0</v>
      </c>
      <c r="J1889" s="65" t="b">
        <v>1</v>
      </c>
      <c r="K1889" s="65"/>
      <c r="L1889" s="85" t="b">
        <f>IF(VLOOKUP(C1889,Projetos!A:L,12,false)=TRUE,TRUE,FALSE)</f>
        <v>1</v>
      </c>
      <c r="M1889" s="74">
        <v>73.7079846079846</v>
      </c>
      <c r="N1889" s="74">
        <f t="shared" si="1"/>
        <v>73.70798461</v>
      </c>
      <c r="O1889" s="74" t="b">
        <v>1</v>
      </c>
    </row>
    <row r="1890" hidden="1">
      <c r="A1890" s="82"/>
      <c r="B1890" s="65" t="s">
        <v>495</v>
      </c>
      <c r="C1890" s="65" t="s">
        <v>130</v>
      </c>
      <c r="D1890" s="65" t="str">
        <f>vlookup(C1890,'Classificação p pessoal'!F:G,2,false)</f>
        <v>NP</v>
      </c>
      <c r="E1890" s="65" t="s">
        <v>1158</v>
      </c>
      <c r="F1890" s="83">
        <v>0.3541666666666667</v>
      </c>
      <c r="G1890" s="83">
        <v>0.375</v>
      </c>
      <c r="H1890" s="83">
        <v>0.020833333333333332</v>
      </c>
      <c r="I1890" s="84">
        <v>44405.0</v>
      </c>
      <c r="J1890" s="65" t="b">
        <v>1</v>
      </c>
      <c r="K1890" s="65"/>
      <c r="L1890" s="85" t="b">
        <f>IF(VLOOKUP(C1890,Projetos!A:L,12,false)=TRUE,TRUE,FALSE)</f>
        <v>1</v>
      </c>
      <c r="M1890" s="74">
        <v>73.7079846079846</v>
      </c>
      <c r="N1890" s="74">
        <f t="shared" si="1"/>
        <v>36.8539923</v>
      </c>
      <c r="O1890" s="74" t="b">
        <v>1</v>
      </c>
    </row>
    <row r="1891" hidden="1">
      <c r="A1891" s="82"/>
      <c r="B1891" s="65" t="s">
        <v>495</v>
      </c>
      <c r="C1891" s="65" t="s">
        <v>108</v>
      </c>
      <c r="D1891" s="65" t="str">
        <f>vlookup(C1891,'Classificação p pessoal'!F:G,2,false)</f>
        <v>NP</v>
      </c>
      <c r="E1891" s="65" t="s">
        <v>832</v>
      </c>
      <c r="F1891" s="83">
        <v>0.375</v>
      </c>
      <c r="G1891" s="83">
        <v>0.4444444444444444</v>
      </c>
      <c r="H1891" s="83">
        <v>0.06944444444444445</v>
      </c>
      <c r="I1891" s="84">
        <v>44405.0</v>
      </c>
      <c r="J1891" s="65" t="b">
        <v>1</v>
      </c>
      <c r="K1891" s="65"/>
      <c r="L1891" s="85" t="b">
        <f>IF(VLOOKUP(C1891,Projetos!A:L,12,false)=TRUE,TRUE,FALSE)</f>
        <v>1</v>
      </c>
      <c r="M1891" s="74">
        <v>73.7079846079846</v>
      </c>
      <c r="N1891" s="74">
        <f t="shared" si="1"/>
        <v>122.846641</v>
      </c>
      <c r="O1891" s="74" t="b">
        <v>1</v>
      </c>
    </row>
    <row r="1892" hidden="1">
      <c r="A1892" s="82"/>
      <c r="B1892" s="65" t="s">
        <v>495</v>
      </c>
      <c r="C1892" s="65" t="s">
        <v>92</v>
      </c>
      <c r="D1892" s="65" t="str">
        <f>vlookup(C1892,'Classificação p pessoal'!F:G,2,false)</f>
        <v/>
      </c>
      <c r="E1892" s="65" t="s">
        <v>1159</v>
      </c>
      <c r="F1892" s="83">
        <v>0.4444444444444444</v>
      </c>
      <c r="G1892" s="83">
        <v>0.4722222222222222</v>
      </c>
      <c r="H1892" s="83">
        <v>0.027777777777777776</v>
      </c>
      <c r="I1892" s="84">
        <v>44405.0</v>
      </c>
      <c r="J1892" s="65" t="b">
        <v>1</v>
      </c>
      <c r="K1892" s="65"/>
      <c r="L1892" s="85" t="b">
        <f>IF(VLOOKUP(C1892,Projetos!A:L,12,false)=TRUE,TRUE,FALSE)</f>
        <v>1</v>
      </c>
      <c r="M1892" s="74">
        <v>73.7079846079846</v>
      </c>
      <c r="N1892" s="74">
        <f t="shared" si="1"/>
        <v>49.13865641</v>
      </c>
      <c r="O1892" s="74" t="b">
        <v>1</v>
      </c>
    </row>
    <row r="1893" hidden="1">
      <c r="A1893" s="82"/>
      <c r="B1893" s="65" t="s">
        <v>495</v>
      </c>
      <c r="C1893" s="65" t="s">
        <v>130</v>
      </c>
      <c r="D1893" s="65"/>
      <c r="E1893" s="65" t="s">
        <v>1160</v>
      </c>
      <c r="F1893" s="83">
        <v>0.5</v>
      </c>
      <c r="G1893" s="83">
        <v>0.5729166666666666</v>
      </c>
      <c r="H1893" s="83">
        <v>0.07291666666666667</v>
      </c>
      <c r="I1893" s="84">
        <v>44405.0</v>
      </c>
      <c r="J1893" s="65" t="b">
        <v>0</v>
      </c>
      <c r="K1893" s="65" t="s">
        <v>150</v>
      </c>
      <c r="L1893" s="85" t="b">
        <f>IF(VLOOKUP(C1893,Projetos!A:L,12,false)=TRUE,TRUE,FALSE)</f>
        <v>1</v>
      </c>
      <c r="M1893" s="74">
        <v>73.7079846079846</v>
      </c>
      <c r="N1893" s="74">
        <f t="shared" si="1"/>
        <v>0</v>
      </c>
      <c r="O1893" s="74" t="b">
        <v>1</v>
      </c>
    </row>
    <row r="1894" hidden="1">
      <c r="A1894" s="82"/>
      <c r="B1894" s="65" t="s">
        <v>495</v>
      </c>
      <c r="C1894" s="65" t="s">
        <v>130</v>
      </c>
      <c r="D1894" s="65"/>
      <c r="E1894" s="65" t="s">
        <v>1160</v>
      </c>
      <c r="F1894" s="83">
        <v>0.6145833333333334</v>
      </c>
      <c r="G1894" s="83">
        <v>0.6666666666666666</v>
      </c>
      <c r="H1894" s="83">
        <v>0.052083333333333336</v>
      </c>
      <c r="I1894" s="84">
        <v>44405.0</v>
      </c>
      <c r="J1894" s="65" t="b">
        <v>0</v>
      </c>
      <c r="K1894" s="65" t="s">
        <v>150</v>
      </c>
      <c r="L1894" s="85" t="b">
        <f>IF(VLOOKUP(C1894,Projetos!A:L,12,false)=TRUE,TRUE,FALSE)</f>
        <v>1</v>
      </c>
      <c r="M1894" s="74">
        <v>73.7079846079846</v>
      </c>
      <c r="N1894" s="74">
        <f t="shared" si="1"/>
        <v>0</v>
      </c>
      <c r="O1894" s="74" t="b">
        <v>1</v>
      </c>
    </row>
    <row r="1895" hidden="1">
      <c r="A1895" s="82"/>
      <c r="B1895" s="65" t="s">
        <v>495</v>
      </c>
      <c r="C1895" s="65" t="s">
        <v>114</v>
      </c>
      <c r="D1895" s="65" t="str">
        <f>vlookup(C1895,'Classificação p pessoal'!F:G,2,false)</f>
        <v>NP</v>
      </c>
      <c r="E1895" s="65" t="s">
        <v>1161</v>
      </c>
      <c r="F1895" s="83">
        <v>0.6666666666666666</v>
      </c>
      <c r="G1895" s="83">
        <v>0.75</v>
      </c>
      <c r="H1895" s="83">
        <v>0.08333333333333333</v>
      </c>
      <c r="I1895" s="84">
        <v>44405.0</v>
      </c>
      <c r="J1895" s="65" t="b">
        <v>1</v>
      </c>
      <c r="K1895" s="65"/>
      <c r="L1895" s="85" t="b">
        <f>IF(VLOOKUP(C1895,Projetos!A:L,12,false)=TRUE,TRUE,FALSE)</f>
        <v>1</v>
      </c>
      <c r="M1895" s="74">
        <v>73.7079846079846</v>
      </c>
      <c r="N1895" s="74">
        <f t="shared" si="1"/>
        <v>147.4159692</v>
      </c>
      <c r="O1895" s="74" t="b">
        <v>1</v>
      </c>
    </row>
    <row r="1896" hidden="1">
      <c r="A1896" s="82"/>
      <c r="B1896" s="65" t="s">
        <v>495</v>
      </c>
      <c r="C1896" s="65" t="s">
        <v>92</v>
      </c>
      <c r="D1896" s="65" t="str">
        <f>vlookup(C1896,'Classificação p pessoal'!F:G,2,false)</f>
        <v/>
      </c>
      <c r="E1896" s="65" t="s">
        <v>1162</v>
      </c>
      <c r="F1896" s="83">
        <v>0.3541666666666667</v>
      </c>
      <c r="G1896" s="83">
        <v>0.3958333333333333</v>
      </c>
      <c r="H1896" s="83">
        <v>0.041666666666666664</v>
      </c>
      <c r="I1896" s="84">
        <v>44406.0</v>
      </c>
      <c r="J1896" s="65" t="b">
        <v>1</v>
      </c>
      <c r="K1896" s="65"/>
      <c r="L1896" s="85" t="b">
        <f>IF(VLOOKUP(C1896,Projetos!A:L,12,false)=TRUE,TRUE,FALSE)</f>
        <v>1</v>
      </c>
      <c r="M1896" s="74">
        <v>73.7079846079846</v>
      </c>
      <c r="N1896" s="74">
        <f t="shared" si="1"/>
        <v>73.70798461</v>
      </c>
      <c r="O1896" s="74" t="b">
        <v>1</v>
      </c>
    </row>
    <row r="1897" hidden="1">
      <c r="A1897" s="82"/>
      <c r="B1897" s="65" t="s">
        <v>495</v>
      </c>
      <c r="C1897" s="65" t="s">
        <v>114</v>
      </c>
      <c r="D1897" s="65" t="str">
        <f>vlookup(C1897,'Classificação p pessoal'!F:G,2,false)</f>
        <v>NP</v>
      </c>
      <c r="E1897" s="65" t="s">
        <v>1161</v>
      </c>
      <c r="F1897" s="83">
        <v>0.4166666666666667</v>
      </c>
      <c r="G1897" s="83">
        <v>0.5</v>
      </c>
      <c r="H1897" s="83">
        <v>0.08333333333333333</v>
      </c>
      <c r="I1897" s="84">
        <v>44406.0</v>
      </c>
      <c r="J1897" s="65" t="b">
        <v>1</v>
      </c>
      <c r="K1897" s="65"/>
      <c r="L1897" s="85" t="b">
        <f>IF(VLOOKUP(C1897,Projetos!A:L,12,false)=TRUE,TRUE,FALSE)</f>
        <v>1</v>
      </c>
      <c r="M1897" s="74">
        <v>73.7079846079846</v>
      </c>
      <c r="N1897" s="74">
        <f t="shared" si="1"/>
        <v>147.4159692</v>
      </c>
      <c r="O1897" s="74" t="b">
        <v>1</v>
      </c>
    </row>
    <row r="1898" hidden="1">
      <c r="A1898" s="82"/>
      <c r="B1898" s="65" t="s">
        <v>495</v>
      </c>
      <c r="C1898" s="65" t="s">
        <v>114</v>
      </c>
      <c r="D1898" s="65" t="str">
        <f>vlookup(C1898,'Classificação p pessoal'!F:G,2,false)</f>
        <v>NP</v>
      </c>
      <c r="E1898" s="65" t="s">
        <v>1163</v>
      </c>
      <c r="F1898" s="83">
        <v>0.5</v>
      </c>
      <c r="G1898" s="83">
        <v>0.5729166666666666</v>
      </c>
      <c r="H1898" s="83">
        <v>0.07291666666666667</v>
      </c>
      <c r="I1898" s="84">
        <v>44406.0</v>
      </c>
      <c r="J1898" s="65" t="b">
        <v>1</v>
      </c>
      <c r="K1898" s="65"/>
      <c r="L1898" s="85" t="b">
        <f>IF(VLOOKUP(C1898,Projetos!A:L,12,false)=TRUE,TRUE,FALSE)</f>
        <v>1</v>
      </c>
      <c r="M1898" s="74">
        <v>73.7079846079846</v>
      </c>
      <c r="N1898" s="74">
        <f t="shared" si="1"/>
        <v>128.9889731</v>
      </c>
      <c r="O1898" s="74" t="b">
        <v>1</v>
      </c>
    </row>
    <row r="1899" hidden="1">
      <c r="A1899" s="82"/>
      <c r="B1899" s="65" t="s">
        <v>495</v>
      </c>
      <c r="C1899" s="65" t="s">
        <v>92</v>
      </c>
      <c r="D1899" s="65" t="str">
        <f>vlookup(C1899,'Classificação p pessoal'!F:G,2,false)</f>
        <v/>
      </c>
      <c r="E1899" s="65" t="s">
        <v>1164</v>
      </c>
      <c r="F1899" s="83">
        <v>0.6180555555555556</v>
      </c>
      <c r="G1899" s="83">
        <v>0.6666666666666666</v>
      </c>
      <c r="H1899" s="83">
        <v>0.04861111111111111</v>
      </c>
      <c r="I1899" s="84">
        <v>44406.0</v>
      </c>
      <c r="J1899" s="65" t="b">
        <v>1</v>
      </c>
      <c r="K1899" s="65"/>
      <c r="L1899" s="85" t="b">
        <f>IF(VLOOKUP(C1899,Projetos!A:L,12,false)=TRUE,TRUE,FALSE)</f>
        <v>1</v>
      </c>
      <c r="M1899" s="74">
        <v>73.7079846079846</v>
      </c>
      <c r="N1899" s="74">
        <f t="shared" si="1"/>
        <v>85.99264871</v>
      </c>
      <c r="O1899" s="74" t="b">
        <v>1</v>
      </c>
    </row>
    <row r="1900" hidden="1">
      <c r="A1900" s="82"/>
      <c r="B1900" s="65" t="s">
        <v>495</v>
      </c>
      <c r="C1900" s="65" t="s">
        <v>108</v>
      </c>
      <c r="D1900" s="65" t="str">
        <f>vlookup(C1900,'Classificação p pessoal'!F:G,2,false)</f>
        <v>NP</v>
      </c>
      <c r="E1900" s="65" t="s">
        <v>1165</v>
      </c>
      <c r="F1900" s="83">
        <v>0.6666666666666666</v>
      </c>
      <c r="G1900" s="83">
        <v>0.7291666666666666</v>
      </c>
      <c r="H1900" s="83">
        <v>0.0625</v>
      </c>
      <c r="I1900" s="84">
        <v>44406.0</v>
      </c>
      <c r="J1900" s="65" t="b">
        <v>1</v>
      </c>
      <c r="K1900" s="65"/>
      <c r="L1900" s="85" t="b">
        <f>IF(VLOOKUP(C1900,Projetos!A:L,12,false)=TRUE,TRUE,FALSE)</f>
        <v>1</v>
      </c>
      <c r="M1900" s="74">
        <v>73.7079846079846</v>
      </c>
      <c r="N1900" s="74">
        <f t="shared" si="1"/>
        <v>110.5619769</v>
      </c>
      <c r="O1900" s="74" t="b">
        <v>1</v>
      </c>
    </row>
    <row r="1901" hidden="1">
      <c r="A1901" s="82"/>
      <c r="B1901" s="65" t="s">
        <v>495</v>
      </c>
      <c r="C1901" s="65" t="s">
        <v>92</v>
      </c>
      <c r="D1901" s="65" t="str">
        <f>vlookup(C1901,'Classificação p pessoal'!F:G,2,false)</f>
        <v/>
      </c>
      <c r="E1901" s="65" t="s">
        <v>1164</v>
      </c>
      <c r="F1901" s="83">
        <v>0.7291666666666666</v>
      </c>
      <c r="G1901" s="83">
        <v>0.75</v>
      </c>
      <c r="H1901" s="83">
        <v>0.020833333333333332</v>
      </c>
      <c r="I1901" s="84">
        <v>44406.0</v>
      </c>
      <c r="J1901" s="65" t="b">
        <v>1</v>
      </c>
      <c r="K1901" s="65"/>
      <c r="L1901" s="85" t="b">
        <f>IF(VLOOKUP(C1901,Projetos!A:L,12,false)=TRUE,TRUE,FALSE)</f>
        <v>1</v>
      </c>
      <c r="M1901" s="74">
        <v>73.7079846079846</v>
      </c>
      <c r="N1901" s="74">
        <f t="shared" si="1"/>
        <v>36.8539923</v>
      </c>
      <c r="O1901" s="74" t="b">
        <v>1</v>
      </c>
    </row>
    <row r="1902" hidden="1">
      <c r="A1902" s="82"/>
      <c r="B1902" s="65" t="s">
        <v>495</v>
      </c>
      <c r="C1902" s="65" t="s">
        <v>92</v>
      </c>
      <c r="D1902" s="65" t="str">
        <f>vlookup(C1902,'Classificação p pessoal'!F:G,2,false)</f>
        <v/>
      </c>
      <c r="E1902" s="65" t="s">
        <v>1166</v>
      </c>
      <c r="F1902" s="83">
        <v>0.3645833333333333</v>
      </c>
      <c r="G1902" s="83">
        <v>0.3958333333333333</v>
      </c>
      <c r="H1902" s="83">
        <v>0.03125</v>
      </c>
      <c r="I1902" s="84">
        <v>44407.0</v>
      </c>
      <c r="J1902" s="65" t="b">
        <v>1</v>
      </c>
      <c r="K1902" s="65"/>
      <c r="L1902" s="85" t="b">
        <f>IF(VLOOKUP(C1902,Projetos!A:L,12,false)=TRUE,TRUE,FALSE)</f>
        <v>1</v>
      </c>
      <c r="M1902" s="74">
        <v>73.7079846079846</v>
      </c>
      <c r="N1902" s="74">
        <f t="shared" si="1"/>
        <v>55.28098846</v>
      </c>
      <c r="O1902" s="74" t="b">
        <v>1</v>
      </c>
    </row>
    <row r="1903" hidden="1">
      <c r="A1903" s="82"/>
      <c r="B1903" s="65" t="s">
        <v>495</v>
      </c>
      <c r="C1903" s="65" t="s">
        <v>92</v>
      </c>
      <c r="D1903" s="65" t="str">
        <f>vlookup(C1903,'Classificação p pessoal'!F:G,2,false)</f>
        <v/>
      </c>
      <c r="E1903" s="65" t="s">
        <v>1164</v>
      </c>
      <c r="F1903" s="83">
        <v>0.3958333333333333</v>
      </c>
      <c r="G1903" s="83">
        <v>0.4583333333333333</v>
      </c>
      <c r="H1903" s="83">
        <v>0.0625</v>
      </c>
      <c r="I1903" s="84">
        <v>44407.0</v>
      </c>
      <c r="J1903" s="65" t="b">
        <v>1</v>
      </c>
      <c r="K1903" s="65"/>
      <c r="L1903" s="85" t="b">
        <f>IF(VLOOKUP(C1903,Projetos!A:L,12,false)=TRUE,TRUE,FALSE)</f>
        <v>1</v>
      </c>
      <c r="M1903" s="74">
        <v>73.7079846079846</v>
      </c>
      <c r="N1903" s="74">
        <f t="shared" si="1"/>
        <v>110.5619769</v>
      </c>
      <c r="O1903" s="74" t="b">
        <v>1</v>
      </c>
    </row>
    <row r="1904" hidden="1">
      <c r="A1904" s="82"/>
      <c r="B1904" s="65" t="s">
        <v>495</v>
      </c>
      <c r="C1904" s="65" t="s">
        <v>92</v>
      </c>
      <c r="D1904" s="65" t="str">
        <f>vlookup(C1904,'Classificação p pessoal'!F:G,2,false)</f>
        <v/>
      </c>
      <c r="E1904" s="65" t="s">
        <v>1167</v>
      </c>
      <c r="F1904" s="83">
        <v>0.4583333333333333</v>
      </c>
      <c r="G1904" s="83">
        <v>0.4791666666666667</v>
      </c>
      <c r="H1904" s="83">
        <v>0.020833333333333332</v>
      </c>
      <c r="I1904" s="84">
        <v>44407.0</v>
      </c>
      <c r="J1904" s="65" t="b">
        <v>1</v>
      </c>
      <c r="K1904" s="65"/>
      <c r="L1904" s="85" t="b">
        <f>IF(VLOOKUP(C1904,Projetos!A:L,12,false)=TRUE,TRUE,FALSE)</f>
        <v>1</v>
      </c>
      <c r="M1904" s="74">
        <v>73.7079846079846</v>
      </c>
      <c r="N1904" s="74">
        <f t="shared" si="1"/>
        <v>36.8539923</v>
      </c>
      <c r="O1904" s="74" t="b">
        <v>1</v>
      </c>
    </row>
    <row r="1905" hidden="1">
      <c r="A1905" s="82"/>
      <c r="B1905" s="65" t="s">
        <v>495</v>
      </c>
      <c r="C1905" s="65" t="s">
        <v>92</v>
      </c>
      <c r="D1905" s="65" t="str">
        <f>vlookup(C1905,'Classificação p pessoal'!F:G,2,false)</f>
        <v/>
      </c>
      <c r="E1905" s="65" t="s">
        <v>1164</v>
      </c>
      <c r="F1905" s="83">
        <v>0.4861111111111111</v>
      </c>
      <c r="G1905" s="83">
        <v>0.5729166666666666</v>
      </c>
      <c r="H1905" s="83">
        <v>0.08680555555555555</v>
      </c>
      <c r="I1905" s="84">
        <v>44407.0</v>
      </c>
      <c r="J1905" s="65" t="b">
        <v>1</v>
      </c>
      <c r="K1905" s="65"/>
      <c r="L1905" s="85" t="b">
        <f>IF(VLOOKUP(C1905,Projetos!A:L,12,false)=TRUE,TRUE,FALSE)</f>
        <v>1</v>
      </c>
      <c r="M1905" s="74">
        <v>73.7079846079846</v>
      </c>
      <c r="N1905" s="74">
        <f t="shared" si="1"/>
        <v>153.5583013</v>
      </c>
      <c r="O1905" s="74" t="b">
        <v>1</v>
      </c>
    </row>
    <row r="1906" hidden="1">
      <c r="A1906" s="82"/>
      <c r="B1906" s="65" t="s">
        <v>495</v>
      </c>
      <c r="C1906" s="65" t="s">
        <v>92</v>
      </c>
      <c r="D1906" s="65" t="str">
        <f>vlookup(C1906,'Classificação p pessoal'!F:G,2,false)</f>
        <v/>
      </c>
      <c r="E1906" s="65" t="s">
        <v>1164</v>
      </c>
      <c r="F1906" s="83">
        <v>0.6145833333333334</v>
      </c>
      <c r="G1906" s="83">
        <v>0.6666666666666666</v>
      </c>
      <c r="H1906" s="83">
        <v>0.052083333333333336</v>
      </c>
      <c r="I1906" s="84">
        <v>44407.0</v>
      </c>
      <c r="J1906" s="65" t="b">
        <v>1</v>
      </c>
      <c r="K1906" s="65"/>
      <c r="L1906" s="85" t="b">
        <f>IF(VLOOKUP(C1906,Projetos!A:L,12,false)=TRUE,TRUE,FALSE)</f>
        <v>1</v>
      </c>
      <c r="M1906" s="74">
        <v>73.7079846079846</v>
      </c>
      <c r="N1906" s="74">
        <f t="shared" si="1"/>
        <v>92.13498076</v>
      </c>
      <c r="O1906" s="74" t="b">
        <v>1</v>
      </c>
    </row>
    <row r="1907" hidden="1">
      <c r="A1907" s="82"/>
      <c r="B1907" s="65" t="s">
        <v>495</v>
      </c>
      <c r="C1907" s="65" t="s">
        <v>92</v>
      </c>
      <c r="D1907" s="65" t="str">
        <f>vlookup(C1907,'Classificação p pessoal'!F:G,2,false)</f>
        <v/>
      </c>
      <c r="E1907" s="65" t="s">
        <v>1168</v>
      </c>
      <c r="F1907" s="83">
        <v>0.6666666666666666</v>
      </c>
      <c r="G1907" s="83">
        <v>0.75</v>
      </c>
      <c r="H1907" s="83">
        <v>0.08333333333333333</v>
      </c>
      <c r="I1907" s="84">
        <v>44407.0</v>
      </c>
      <c r="J1907" s="65" t="b">
        <v>1</v>
      </c>
      <c r="K1907" s="65"/>
      <c r="L1907" s="85" t="b">
        <f>IF(VLOOKUP(C1907,Projetos!A:L,12,false)=TRUE,TRUE,FALSE)</f>
        <v>1</v>
      </c>
      <c r="M1907" s="74">
        <v>73.7079846079846</v>
      </c>
      <c r="N1907" s="74">
        <f t="shared" si="1"/>
        <v>147.4159692</v>
      </c>
      <c r="O1907" s="74" t="b">
        <v>1</v>
      </c>
    </row>
    <row r="1908" hidden="1">
      <c r="A1908" s="82"/>
      <c r="B1908" s="65" t="s">
        <v>495</v>
      </c>
      <c r="C1908" s="65" t="s">
        <v>92</v>
      </c>
      <c r="D1908" s="65" t="str">
        <f>vlookup(C1908,'Classificação p pessoal'!F:G,2,false)</f>
        <v/>
      </c>
      <c r="E1908" s="65" t="s">
        <v>1169</v>
      </c>
      <c r="F1908" s="83">
        <v>0.3541666666666667</v>
      </c>
      <c r="G1908" s="83">
        <v>0.4375</v>
      </c>
      <c r="H1908" s="83">
        <v>0.08333333333333333</v>
      </c>
      <c r="I1908" s="84">
        <v>44410.0</v>
      </c>
      <c r="J1908" s="65" t="b">
        <v>1</v>
      </c>
      <c r="K1908" s="65"/>
      <c r="L1908" s="85" t="b">
        <f>IF(VLOOKUP(C1908,Projetos!A:L,12,false)=TRUE,TRUE,FALSE)</f>
        <v>1</v>
      </c>
      <c r="M1908" s="74">
        <v>73.7079846079846</v>
      </c>
      <c r="N1908" s="74">
        <f t="shared" si="1"/>
        <v>147.4159692</v>
      </c>
      <c r="O1908" s="74" t="b">
        <v>1</v>
      </c>
    </row>
    <row r="1909" hidden="1">
      <c r="A1909" s="82"/>
      <c r="B1909" s="65" t="s">
        <v>495</v>
      </c>
      <c r="C1909" s="65" t="s">
        <v>92</v>
      </c>
      <c r="D1909" s="65" t="str">
        <f>vlookup(C1909,'Classificação p pessoal'!F:G,2,false)</f>
        <v/>
      </c>
      <c r="E1909" s="65" t="s">
        <v>1170</v>
      </c>
      <c r="F1909" s="83">
        <v>0.4375</v>
      </c>
      <c r="G1909" s="83">
        <v>0.5</v>
      </c>
      <c r="H1909" s="83">
        <v>0.0625</v>
      </c>
      <c r="I1909" s="84">
        <v>44410.0</v>
      </c>
      <c r="J1909" s="65" t="b">
        <v>1</v>
      </c>
      <c r="K1909" s="65"/>
      <c r="L1909" s="85" t="b">
        <f>IF(VLOOKUP(C1909,Projetos!A:L,12,false)=TRUE,TRUE,FALSE)</f>
        <v>1</v>
      </c>
      <c r="M1909" s="74">
        <v>73.7079846079846</v>
      </c>
      <c r="N1909" s="74">
        <f t="shared" si="1"/>
        <v>110.5619769</v>
      </c>
      <c r="O1909" s="74" t="b">
        <v>1</v>
      </c>
    </row>
    <row r="1910" hidden="1">
      <c r="A1910" s="82"/>
      <c r="B1910" s="65" t="s">
        <v>495</v>
      </c>
      <c r="C1910" s="65" t="s">
        <v>92</v>
      </c>
      <c r="D1910" s="65" t="str">
        <f>vlookup(C1910,'Classificação p pessoal'!F:G,2,false)</f>
        <v/>
      </c>
      <c r="E1910" s="65" t="s">
        <v>1169</v>
      </c>
      <c r="F1910" s="83">
        <v>0.5104166666666666</v>
      </c>
      <c r="G1910" s="83">
        <v>0.5777777777777777</v>
      </c>
      <c r="H1910" s="83">
        <v>0.06736111111111111</v>
      </c>
      <c r="I1910" s="84">
        <v>44410.0</v>
      </c>
      <c r="J1910" s="65" t="b">
        <v>1</v>
      </c>
      <c r="K1910" s="65"/>
      <c r="L1910" s="85" t="b">
        <f>IF(VLOOKUP(C1910,Projetos!A:L,12,false)=TRUE,TRUE,FALSE)</f>
        <v>1</v>
      </c>
      <c r="M1910" s="74">
        <v>73.7079846079846</v>
      </c>
      <c r="N1910" s="74">
        <f t="shared" si="1"/>
        <v>119.1612418</v>
      </c>
      <c r="O1910" s="74" t="b">
        <v>1</v>
      </c>
    </row>
    <row r="1911" hidden="1">
      <c r="A1911" s="82"/>
      <c r="B1911" s="65" t="s">
        <v>495</v>
      </c>
      <c r="C1911" s="65" t="s">
        <v>92</v>
      </c>
      <c r="D1911" s="65" t="str">
        <f>vlookup(C1911,'Classificação p pessoal'!F:G,2,false)</f>
        <v/>
      </c>
      <c r="E1911" s="65" t="s">
        <v>1169</v>
      </c>
      <c r="F1911" s="83">
        <v>0.625</v>
      </c>
      <c r="G1911" s="83">
        <v>0.6666666666666666</v>
      </c>
      <c r="H1911" s="83">
        <v>0.041666666666666664</v>
      </c>
      <c r="I1911" s="84">
        <v>44410.0</v>
      </c>
      <c r="J1911" s="65" t="b">
        <v>1</v>
      </c>
      <c r="K1911" s="65"/>
      <c r="L1911" s="85" t="b">
        <f>IF(VLOOKUP(C1911,Projetos!A:L,12,false)=TRUE,TRUE,FALSE)</f>
        <v>1</v>
      </c>
      <c r="M1911" s="74">
        <v>73.7079846079846</v>
      </c>
      <c r="N1911" s="74">
        <f t="shared" si="1"/>
        <v>73.70798461</v>
      </c>
      <c r="O1911" s="74" t="b">
        <v>1</v>
      </c>
    </row>
    <row r="1912" hidden="1">
      <c r="A1912" s="82"/>
      <c r="B1912" s="65" t="s">
        <v>495</v>
      </c>
      <c r="C1912" s="65" t="s">
        <v>92</v>
      </c>
      <c r="D1912" s="65" t="str">
        <f>vlookup(C1912,'Classificação p pessoal'!F:G,2,false)</f>
        <v/>
      </c>
      <c r="E1912" s="65" t="s">
        <v>1171</v>
      </c>
      <c r="F1912" s="83">
        <v>0.6805555555555556</v>
      </c>
      <c r="G1912" s="83">
        <v>0.75</v>
      </c>
      <c r="H1912" s="83">
        <v>0.06944444444444445</v>
      </c>
      <c r="I1912" s="84">
        <v>44410.0</v>
      </c>
      <c r="J1912" s="65" t="b">
        <v>1</v>
      </c>
      <c r="K1912" s="65"/>
      <c r="L1912" s="85" t="b">
        <f>IF(VLOOKUP(C1912,Projetos!A:L,12,false)=TRUE,TRUE,FALSE)</f>
        <v>1</v>
      </c>
      <c r="M1912" s="74">
        <v>73.7079846079846</v>
      </c>
      <c r="N1912" s="74">
        <f t="shared" si="1"/>
        <v>122.846641</v>
      </c>
      <c r="O1912" s="74" t="b">
        <v>1</v>
      </c>
    </row>
    <row r="1913" hidden="1">
      <c r="A1913" s="82"/>
      <c r="B1913" s="65" t="s">
        <v>495</v>
      </c>
      <c r="C1913" s="65" t="s">
        <v>92</v>
      </c>
      <c r="D1913" s="65" t="str">
        <f>vlookup(C1913,'Classificação p pessoal'!F:G,2,false)</f>
        <v/>
      </c>
      <c r="E1913" s="65" t="s">
        <v>1172</v>
      </c>
      <c r="F1913" s="83">
        <v>0.3472222222222222</v>
      </c>
      <c r="G1913" s="83">
        <v>0.375</v>
      </c>
      <c r="H1913" s="83">
        <v>0.027777777777777776</v>
      </c>
      <c r="I1913" s="84">
        <v>44411.0</v>
      </c>
      <c r="J1913" s="65" t="b">
        <v>1</v>
      </c>
      <c r="K1913" s="65"/>
      <c r="L1913" s="85" t="b">
        <f>IF(VLOOKUP(C1913,Projetos!A:L,12,false)=TRUE,TRUE,FALSE)</f>
        <v>1</v>
      </c>
      <c r="M1913" s="74">
        <v>73.7079846079846</v>
      </c>
      <c r="N1913" s="74">
        <f t="shared" si="1"/>
        <v>49.13865641</v>
      </c>
      <c r="O1913" s="74" t="b">
        <v>1</v>
      </c>
    </row>
    <row r="1914" hidden="1">
      <c r="A1914" s="82"/>
      <c r="B1914" s="65" t="s">
        <v>495</v>
      </c>
      <c r="C1914" s="65" t="s">
        <v>92</v>
      </c>
      <c r="D1914" s="65" t="str">
        <f>vlookup(C1914,'Classificação p pessoal'!F:G,2,false)</f>
        <v/>
      </c>
      <c r="E1914" s="65" t="s">
        <v>1173</v>
      </c>
      <c r="F1914" s="83">
        <v>0.375</v>
      </c>
      <c r="G1914" s="83">
        <v>0.3958333333333333</v>
      </c>
      <c r="H1914" s="83">
        <v>0.020833333333333332</v>
      </c>
      <c r="I1914" s="84">
        <v>44411.0</v>
      </c>
      <c r="J1914" s="65" t="b">
        <v>1</v>
      </c>
      <c r="K1914" s="65"/>
      <c r="L1914" s="85" t="b">
        <f>IF(VLOOKUP(C1914,Projetos!A:L,12,false)=TRUE,TRUE,FALSE)</f>
        <v>1</v>
      </c>
      <c r="M1914" s="74">
        <v>73.7079846079846</v>
      </c>
      <c r="N1914" s="74">
        <f t="shared" si="1"/>
        <v>36.8539923</v>
      </c>
      <c r="O1914" s="74" t="b">
        <v>1</v>
      </c>
    </row>
    <row r="1915" hidden="1">
      <c r="A1915" s="82"/>
      <c r="B1915" s="65" t="s">
        <v>495</v>
      </c>
      <c r="C1915" s="65" t="s">
        <v>117</v>
      </c>
      <c r="D1915" s="65" t="str">
        <f>vlookup(C1915,'Classificação p pessoal'!F:G,2,false)</f>
        <v>NP</v>
      </c>
      <c r="E1915" s="65" t="s">
        <v>1174</v>
      </c>
      <c r="F1915" s="83">
        <v>0.4166666666666667</v>
      </c>
      <c r="G1915" s="83">
        <v>0.5</v>
      </c>
      <c r="H1915" s="83">
        <v>0.08333333333333333</v>
      </c>
      <c r="I1915" s="84">
        <v>44411.0</v>
      </c>
      <c r="J1915" s="65" t="b">
        <v>1</v>
      </c>
      <c r="K1915" s="65"/>
      <c r="L1915" s="85" t="b">
        <f>IF(VLOOKUP(C1915,Projetos!A:L,12,false)=TRUE,TRUE,FALSE)</f>
        <v>1</v>
      </c>
      <c r="M1915" s="74">
        <v>73.7079846079846</v>
      </c>
      <c r="N1915" s="74">
        <f t="shared" si="1"/>
        <v>147.4159692</v>
      </c>
      <c r="O1915" s="74" t="b">
        <v>1</v>
      </c>
    </row>
    <row r="1916" hidden="1">
      <c r="A1916" s="82"/>
      <c r="B1916" s="65" t="s">
        <v>495</v>
      </c>
      <c r="C1916" s="65" t="s">
        <v>92</v>
      </c>
      <c r="D1916" s="65" t="str">
        <f>vlookup(C1916,'Classificação p pessoal'!F:G,2,false)</f>
        <v/>
      </c>
      <c r="E1916" s="65" t="s">
        <v>1169</v>
      </c>
      <c r="F1916" s="83">
        <v>0.5104166666666666</v>
      </c>
      <c r="G1916" s="83">
        <v>0.5694444444444444</v>
      </c>
      <c r="H1916" s="83">
        <v>0.059027777777777776</v>
      </c>
      <c r="I1916" s="84">
        <v>44411.0</v>
      </c>
      <c r="J1916" s="65" t="b">
        <v>1</v>
      </c>
      <c r="K1916" s="65"/>
      <c r="L1916" s="85" t="b">
        <f>IF(VLOOKUP(C1916,Projetos!A:L,12,false)=TRUE,TRUE,FALSE)</f>
        <v>1</v>
      </c>
      <c r="M1916" s="74">
        <v>73.7079846079846</v>
      </c>
      <c r="N1916" s="74">
        <f t="shared" si="1"/>
        <v>104.4196449</v>
      </c>
      <c r="O1916" s="74" t="b">
        <v>1</v>
      </c>
    </row>
    <row r="1917" hidden="1">
      <c r="A1917" s="82"/>
      <c r="B1917" s="65" t="s">
        <v>495</v>
      </c>
      <c r="C1917" s="65" t="s">
        <v>92</v>
      </c>
      <c r="D1917" s="65" t="str">
        <f>vlookup(C1917,'Classificação p pessoal'!F:G,2,false)</f>
        <v/>
      </c>
      <c r="E1917" s="65" t="s">
        <v>1175</v>
      </c>
      <c r="F1917" s="83">
        <v>0.6180555555555556</v>
      </c>
      <c r="G1917" s="83">
        <v>0.6979166666666666</v>
      </c>
      <c r="H1917" s="83">
        <v>0.0798611111111111</v>
      </c>
      <c r="I1917" s="84">
        <v>44411.0</v>
      </c>
      <c r="J1917" s="65" t="b">
        <v>1</v>
      </c>
      <c r="K1917" s="65"/>
      <c r="L1917" s="85" t="b">
        <f>IF(VLOOKUP(C1917,Projetos!A:L,12,false)=TRUE,TRUE,FALSE)</f>
        <v>1</v>
      </c>
      <c r="M1917" s="74">
        <v>73.7079846079846</v>
      </c>
      <c r="N1917" s="74">
        <f t="shared" si="1"/>
        <v>141.2736372</v>
      </c>
      <c r="O1917" s="74" t="b">
        <v>1</v>
      </c>
    </row>
    <row r="1918" hidden="1">
      <c r="A1918" s="82"/>
      <c r="B1918" s="65" t="s">
        <v>495</v>
      </c>
      <c r="C1918" s="65" t="s">
        <v>92</v>
      </c>
      <c r="D1918" s="65" t="str">
        <f>vlookup(C1918,'Classificação p pessoal'!F:G,2,false)</f>
        <v/>
      </c>
      <c r="E1918" s="65" t="s">
        <v>1176</v>
      </c>
      <c r="F1918" s="83">
        <v>0.6979166666666666</v>
      </c>
      <c r="G1918" s="83">
        <v>0.7152777777777778</v>
      </c>
      <c r="H1918" s="83">
        <v>0.017361111111111112</v>
      </c>
      <c r="I1918" s="84">
        <v>44411.0</v>
      </c>
      <c r="J1918" s="65" t="b">
        <v>1</v>
      </c>
      <c r="K1918" s="65"/>
      <c r="L1918" s="85" t="b">
        <f>IF(VLOOKUP(C1918,Projetos!A:L,12,false)=TRUE,TRUE,FALSE)</f>
        <v>1</v>
      </c>
      <c r="M1918" s="74">
        <v>73.7079846079846</v>
      </c>
      <c r="N1918" s="74">
        <f t="shared" si="1"/>
        <v>30.71166025</v>
      </c>
      <c r="O1918" s="74" t="b">
        <v>1</v>
      </c>
    </row>
    <row r="1919" hidden="1">
      <c r="A1919" s="82"/>
      <c r="B1919" s="65" t="s">
        <v>495</v>
      </c>
      <c r="C1919" s="65" t="s">
        <v>92</v>
      </c>
      <c r="D1919" s="65" t="str">
        <f>vlookup(C1919,'Classificação p pessoal'!F:G,2,false)</f>
        <v/>
      </c>
      <c r="E1919" s="65" t="s">
        <v>1169</v>
      </c>
      <c r="F1919" s="83">
        <v>0.7152777777777778</v>
      </c>
      <c r="G1919" s="83">
        <v>0.75</v>
      </c>
      <c r="H1919" s="83">
        <v>0.034722222222222224</v>
      </c>
      <c r="I1919" s="84">
        <v>44411.0</v>
      </c>
      <c r="J1919" s="65" t="b">
        <v>1</v>
      </c>
      <c r="K1919" s="65"/>
      <c r="L1919" s="85" t="b">
        <f>IF(VLOOKUP(C1919,Projetos!A:L,12,false)=TRUE,TRUE,FALSE)</f>
        <v>1</v>
      </c>
      <c r="M1919" s="74">
        <v>73.7079846079846</v>
      </c>
      <c r="N1919" s="74">
        <f t="shared" si="1"/>
        <v>61.42332051</v>
      </c>
      <c r="O1919" s="74" t="b">
        <v>1</v>
      </c>
    </row>
    <row r="1920" hidden="1">
      <c r="A1920" s="82"/>
      <c r="B1920" s="65" t="s">
        <v>495</v>
      </c>
      <c r="C1920" s="65" t="s">
        <v>92</v>
      </c>
      <c r="D1920" s="65" t="str">
        <f>vlookup(C1920,'Classificação p pessoal'!F:G,2,false)</f>
        <v/>
      </c>
      <c r="E1920" s="65" t="s">
        <v>1177</v>
      </c>
      <c r="F1920" s="83">
        <v>0.3541666666666667</v>
      </c>
      <c r="G1920" s="83">
        <v>0.4166666666666667</v>
      </c>
      <c r="H1920" s="83">
        <v>0.0625</v>
      </c>
      <c r="I1920" s="84">
        <v>44412.0</v>
      </c>
      <c r="J1920" s="65" t="b">
        <v>1</v>
      </c>
      <c r="K1920" s="65"/>
      <c r="L1920" s="85" t="b">
        <f>IF(VLOOKUP(C1920,Projetos!A:L,12,false)=TRUE,TRUE,FALSE)</f>
        <v>1</v>
      </c>
      <c r="M1920" s="74">
        <v>73.7079846079846</v>
      </c>
      <c r="N1920" s="74">
        <f t="shared" si="1"/>
        <v>110.5619769</v>
      </c>
      <c r="O1920" s="74" t="b">
        <v>1</v>
      </c>
    </row>
    <row r="1921" hidden="1">
      <c r="A1921" s="82"/>
      <c r="B1921" s="65" t="s">
        <v>495</v>
      </c>
      <c r="C1921" s="65" t="s">
        <v>92</v>
      </c>
      <c r="D1921" s="65" t="str">
        <f>vlookup(C1921,'Classificação p pessoal'!F:G,2,false)</f>
        <v/>
      </c>
      <c r="E1921" s="65" t="s">
        <v>1178</v>
      </c>
      <c r="F1921" s="83">
        <v>0.4166666666666667</v>
      </c>
      <c r="G1921" s="83">
        <v>0.4583333333333333</v>
      </c>
      <c r="H1921" s="83">
        <v>0.041666666666666664</v>
      </c>
      <c r="I1921" s="84">
        <v>44412.0</v>
      </c>
      <c r="J1921" s="65" t="b">
        <v>1</v>
      </c>
      <c r="K1921" s="65"/>
      <c r="L1921" s="85" t="b">
        <f>IF(VLOOKUP(C1921,Projetos!A:L,12,false)=TRUE,TRUE,FALSE)</f>
        <v>1</v>
      </c>
      <c r="M1921" s="74">
        <v>73.7079846079846</v>
      </c>
      <c r="N1921" s="74">
        <f t="shared" si="1"/>
        <v>73.70798461</v>
      </c>
      <c r="O1921" s="74" t="b">
        <v>1</v>
      </c>
    </row>
    <row r="1922" hidden="1">
      <c r="A1922" s="82"/>
      <c r="B1922" s="65" t="s">
        <v>495</v>
      </c>
      <c r="C1922" s="65" t="s">
        <v>92</v>
      </c>
      <c r="D1922" s="65" t="str">
        <f>vlookup(C1922,'Classificação p pessoal'!F:G,2,false)</f>
        <v/>
      </c>
      <c r="E1922" s="65" t="s">
        <v>1175</v>
      </c>
      <c r="F1922" s="83">
        <v>0.4583333333333333</v>
      </c>
      <c r="G1922" s="83">
        <v>0.5729166666666666</v>
      </c>
      <c r="H1922" s="83">
        <v>0.11458333333333333</v>
      </c>
      <c r="I1922" s="84">
        <v>44412.0</v>
      </c>
      <c r="J1922" s="65" t="b">
        <v>1</v>
      </c>
      <c r="K1922" s="65"/>
      <c r="L1922" s="85" t="b">
        <f>IF(VLOOKUP(C1922,Projetos!A:L,12,false)=TRUE,TRUE,FALSE)</f>
        <v>1</v>
      </c>
      <c r="M1922" s="74">
        <v>73.7079846079846</v>
      </c>
      <c r="N1922" s="74">
        <f t="shared" si="1"/>
        <v>202.6969577</v>
      </c>
      <c r="O1922" s="74" t="b">
        <v>1</v>
      </c>
    </row>
    <row r="1923" hidden="1">
      <c r="A1923" s="82"/>
      <c r="B1923" s="65" t="s">
        <v>495</v>
      </c>
      <c r="C1923" s="65" t="s">
        <v>92</v>
      </c>
      <c r="D1923" s="65" t="str">
        <f>vlookup(C1923,'Classificação p pessoal'!F:G,2,false)</f>
        <v/>
      </c>
      <c r="E1923" s="65" t="s">
        <v>1177</v>
      </c>
      <c r="F1923" s="83">
        <v>0.6145833333333334</v>
      </c>
      <c r="G1923" s="83">
        <v>0.7083333333333334</v>
      </c>
      <c r="H1923" s="83">
        <v>0.09375</v>
      </c>
      <c r="I1923" s="84">
        <v>44412.0</v>
      </c>
      <c r="J1923" s="65" t="b">
        <v>1</v>
      </c>
      <c r="K1923" s="65"/>
      <c r="L1923" s="85" t="b">
        <f>IF(VLOOKUP(C1923,Projetos!A:L,12,false)=TRUE,TRUE,FALSE)</f>
        <v>1</v>
      </c>
      <c r="M1923" s="74">
        <v>73.7079846079846</v>
      </c>
      <c r="N1923" s="74">
        <f t="shared" si="1"/>
        <v>165.8429654</v>
      </c>
      <c r="O1923" s="74" t="b">
        <v>1</v>
      </c>
    </row>
    <row r="1924" hidden="1">
      <c r="A1924" s="82"/>
      <c r="B1924" s="65" t="s">
        <v>495</v>
      </c>
      <c r="C1924" s="65" t="s">
        <v>117</v>
      </c>
      <c r="D1924" s="65" t="str">
        <f>vlookup(C1924,'Classificação p pessoal'!F:G,2,false)</f>
        <v>NP</v>
      </c>
      <c r="E1924" s="65" t="s">
        <v>1179</v>
      </c>
      <c r="F1924" s="83">
        <v>0.7083333333333334</v>
      </c>
      <c r="G1924" s="83">
        <v>0.75</v>
      </c>
      <c r="H1924" s="83">
        <v>0.041666666666666664</v>
      </c>
      <c r="I1924" s="84">
        <v>44412.0</v>
      </c>
      <c r="J1924" s="65" t="b">
        <v>1</v>
      </c>
      <c r="K1924" s="65"/>
      <c r="L1924" s="85" t="b">
        <f>IF(VLOOKUP(C1924,Projetos!A:L,12,false)=TRUE,TRUE,FALSE)</f>
        <v>1</v>
      </c>
      <c r="M1924" s="74">
        <v>73.7079846079846</v>
      </c>
      <c r="N1924" s="74">
        <f t="shared" si="1"/>
        <v>73.70798461</v>
      </c>
      <c r="O1924" s="74" t="b">
        <v>1</v>
      </c>
    </row>
    <row r="1925" hidden="1">
      <c r="A1925" s="82"/>
      <c r="B1925" s="65" t="s">
        <v>495</v>
      </c>
      <c r="C1925" s="65" t="s">
        <v>117</v>
      </c>
      <c r="D1925" s="65" t="str">
        <f>vlookup(C1925,'Classificação p pessoal'!F:G,2,false)</f>
        <v>NP</v>
      </c>
      <c r="E1925" s="65" t="s">
        <v>1180</v>
      </c>
      <c r="F1925" s="83">
        <v>0.3541666666666667</v>
      </c>
      <c r="G1925" s="83">
        <v>0.375</v>
      </c>
      <c r="H1925" s="83">
        <v>0.020833333333333332</v>
      </c>
      <c r="I1925" s="84">
        <v>44413.0</v>
      </c>
      <c r="J1925" s="65" t="b">
        <v>1</v>
      </c>
      <c r="K1925" s="65"/>
      <c r="L1925" s="85" t="b">
        <f>IF(VLOOKUP(C1925,Projetos!A:L,12,false)=TRUE,TRUE,FALSE)</f>
        <v>1</v>
      </c>
      <c r="M1925" s="74">
        <v>73.7079846079846</v>
      </c>
      <c r="N1925" s="74">
        <f t="shared" si="1"/>
        <v>36.8539923</v>
      </c>
      <c r="O1925" s="74" t="b">
        <v>1</v>
      </c>
    </row>
    <row r="1926" hidden="1">
      <c r="A1926" s="82"/>
      <c r="B1926" s="65" t="s">
        <v>495</v>
      </c>
      <c r="C1926" s="65" t="s">
        <v>92</v>
      </c>
      <c r="D1926" s="65" t="str">
        <f>vlookup(C1926,'Classificação p pessoal'!F:G,2,false)</f>
        <v/>
      </c>
      <c r="E1926" s="65" t="s">
        <v>1177</v>
      </c>
      <c r="F1926" s="83">
        <v>0.375</v>
      </c>
      <c r="G1926" s="83">
        <v>0.4375</v>
      </c>
      <c r="H1926" s="83">
        <v>0.0625</v>
      </c>
      <c r="I1926" s="84">
        <v>44413.0</v>
      </c>
      <c r="J1926" s="65" t="b">
        <v>1</v>
      </c>
      <c r="K1926" s="65"/>
      <c r="L1926" s="85" t="b">
        <f>IF(VLOOKUP(C1926,Projetos!A:L,12,false)=TRUE,TRUE,FALSE)</f>
        <v>1</v>
      </c>
      <c r="M1926" s="74">
        <v>73.7079846079846</v>
      </c>
      <c r="N1926" s="74">
        <f t="shared" si="1"/>
        <v>110.5619769</v>
      </c>
      <c r="O1926" s="74" t="b">
        <v>1</v>
      </c>
    </row>
    <row r="1927" hidden="1">
      <c r="A1927" s="82"/>
      <c r="B1927" s="65" t="s">
        <v>495</v>
      </c>
      <c r="C1927" s="65" t="s">
        <v>92</v>
      </c>
      <c r="D1927" s="65" t="str">
        <f>vlookup(C1927,'Classificação p pessoal'!F:G,2,false)</f>
        <v/>
      </c>
      <c r="E1927" s="65" t="s">
        <v>1181</v>
      </c>
      <c r="F1927" s="83">
        <v>0.4375</v>
      </c>
      <c r="G1927" s="83">
        <v>0.4652777777777778</v>
      </c>
      <c r="H1927" s="83">
        <v>0.027777777777777776</v>
      </c>
      <c r="I1927" s="84">
        <v>44413.0</v>
      </c>
      <c r="J1927" s="65" t="b">
        <v>1</v>
      </c>
      <c r="K1927" s="65"/>
      <c r="L1927" s="85" t="b">
        <f>IF(VLOOKUP(C1927,Projetos!A:L,12,false)=TRUE,TRUE,FALSE)</f>
        <v>1</v>
      </c>
      <c r="M1927" s="74">
        <v>73.7079846079846</v>
      </c>
      <c r="N1927" s="74">
        <f t="shared" si="1"/>
        <v>49.13865641</v>
      </c>
      <c r="O1927" s="74" t="b">
        <v>1</v>
      </c>
    </row>
    <row r="1928" hidden="1">
      <c r="A1928" s="82"/>
      <c r="B1928" s="65" t="s">
        <v>495</v>
      </c>
      <c r="C1928" s="65" t="s">
        <v>92</v>
      </c>
      <c r="D1928" s="65" t="str">
        <f>vlookup(C1928,'Classificação p pessoal'!F:G,2,false)</f>
        <v/>
      </c>
      <c r="E1928" s="65" t="s">
        <v>1182</v>
      </c>
      <c r="F1928" s="83">
        <v>0.4861111111111111</v>
      </c>
      <c r="G1928" s="83">
        <v>0.5347222222222222</v>
      </c>
      <c r="H1928" s="83">
        <v>0.04861111111111111</v>
      </c>
      <c r="I1928" s="84">
        <v>44413.0</v>
      </c>
      <c r="J1928" s="65" t="b">
        <v>1</v>
      </c>
      <c r="K1928" s="65"/>
      <c r="L1928" s="85" t="b">
        <f>IF(VLOOKUP(C1928,Projetos!A:L,12,false)=TRUE,TRUE,FALSE)</f>
        <v>1</v>
      </c>
      <c r="M1928" s="74">
        <v>73.7079846079846</v>
      </c>
      <c r="N1928" s="74">
        <f t="shared" si="1"/>
        <v>85.99264871</v>
      </c>
      <c r="O1928" s="74" t="b">
        <v>1</v>
      </c>
    </row>
    <row r="1929" hidden="1">
      <c r="A1929" s="82"/>
      <c r="B1929" s="65" t="s">
        <v>495</v>
      </c>
      <c r="C1929" s="65" t="s">
        <v>92</v>
      </c>
      <c r="D1929" s="65" t="str">
        <f>vlookup(C1929,'Classificação p pessoal'!F:G,2,false)</f>
        <v/>
      </c>
      <c r="E1929" s="65" t="s">
        <v>1182</v>
      </c>
      <c r="F1929" s="83">
        <v>0.625</v>
      </c>
      <c r="G1929" s="83">
        <v>0.7083333333333334</v>
      </c>
      <c r="H1929" s="83">
        <v>0.08333333333333333</v>
      </c>
      <c r="I1929" s="84">
        <v>44413.0</v>
      </c>
      <c r="J1929" s="65" t="b">
        <v>1</v>
      </c>
      <c r="K1929" s="65"/>
      <c r="L1929" s="85" t="b">
        <f>IF(VLOOKUP(C1929,Projetos!A:L,12,false)=TRUE,TRUE,FALSE)</f>
        <v>1</v>
      </c>
      <c r="M1929" s="74">
        <v>73.7079846079846</v>
      </c>
      <c r="N1929" s="74">
        <f t="shared" si="1"/>
        <v>147.4159692</v>
      </c>
      <c r="O1929" s="74" t="b">
        <v>1</v>
      </c>
    </row>
    <row r="1930" hidden="1">
      <c r="A1930" s="82"/>
      <c r="B1930" s="65" t="s">
        <v>495</v>
      </c>
      <c r="C1930" s="65" t="s">
        <v>130</v>
      </c>
      <c r="D1930" s="65" t="str">
        <f>vlookup(C1930,'Classificação p pessoal'!F:G,2,false)</f>
        <v>NP</v>
      </c>
      <c r="E1930" s="65" t="s">
        <v>1183</v>
      </c>
      <c r="F1930" s="83">
        <v>0.7083333333333334</v>
      </c>
      <c r="G1930" s="83">
        <v>0.75</v>
      </c>
      <c r="H1930" s="83">
        <v>0.041666666666666664</v>
      </c>
      <c r="I1930" s="84">
        <v>44413.0</v>
      </c>
      <c r="J1930" s="65" t="b">
        <v>1</v>
      </c>
      <c r="K1930" s="65"/>
      <c r="L1930" s="85" t="b">
        <f>IF(VLOOKUP(C1930,Projetos!A:L,12,false)=TRUE,TRUE,FALSE)</f>
        <v>1</v>
      </c>
      <c r="M1930" s="74">
        <v>73.7079846079846</v>
      </c>
      <c r="N1930" s="74">
        <f t="shared" si="1"/>
        <v>73.70798461</v>
      </c>
      <c r="O1930" s="74" t="b">
        <v>1</v>
      </c>
    </row>
    <row r="1931" hidden="1">
      <c r="A1931" s="82"/>
      <c r="B1931" s="65" t="s">
        <v>495</v>
      </c>
      <c r="C1931" s="65" t="s">
        <v>130</v>
      </c>
      <c r="D1931" s="65" t="str">
        <f>vlookup(C1931,'Classificação p pessoal'!F:G,2,false)</f>
        <v>NP</v>
      </c>
      <c r="E1931" s="65" t="s">
        <v>1184</v>
      </c>
      <c r="F1931" s="83">
        <v>0.4166666666666667</v>
      </c>
      <c r="G1931" s="83">
        <v>0.5208333333333334</v>
      </c>
      <c r="H1931" s="83">
        <v>0.10416666666666667</v>
      </c>
      <c r="I1931" s="84">
        <v>44414.0</v>
      </c>
      <c r="J1931" s="65" t="b">
        <v>1</v>
      </c>
      <c r="K1931" s="65"/>
      <c r="L1931" s="85" t="b">
        <f>IF(VLOOKUP(C1931,Projetos!A:L,12,false)=TRUE,TRUE,FALSE)</f>
        <v>1</v>
      </c>
      <c r="M1931" s="74">
        <v>73.7079846079846</v>
      </c>
      <c r="N1931" s="74">
        <f t="shared" si="1"/>
        <v>184.2699615</v>
      </c>
      <c r="O1931" s="74" t="b">
        <v>1</v>
      </c>
    </row>
    <row r="1932" hidden="1">
      <c r="A1932" s="82"/>
      <c r="B1932" s="65" t="s">
        <v>495</v>
      </c>
      <c r="C1932" s="65" t="s">
        <v>92</v>
      </c>
      <c r="D1932" s="65" t="str">
        <f>vlookup(C1932,'Classificação p pessoal'!F:G,2,false)</f>
        <v/>
      </c>
      <c r="E1932" s="65" t="s">
        <v>1185</v>
      </c>
      <c r="F1932" s="83">
        <v>0.5208333333333334</v>
      </c>
      <c r="G1932" s="83">
        <v>0.5729166666666666</v>
      </c>
      <c r="H1932" s="83">
        <v>0.052083333333333336</v>
      </c>
      <c r="I1932" s="84">
        <v>44414.0</v>
      </c>
      <c r="J1932" s="65" t="b">
        <v>1</v>
      </c>
      <c r="K1932" s="65"/>
      <c r="L1932" s="85" t="b">
        <f>IF(VLOOKUP(C1932,Projetos!A:L,12,false)=TRUE,TRUE,FALSE)</f>
        <v>1</v>
      </c>
      <c r="M1932" s="74">
        <v>73.7079846079846</v>
      </c>
      <c r="N1932" s="74">
        <f t="shared" si="1"/>
        <v>92.13498076</v>
      </c>
      <c r="O1932" s="74" t="b">
        <v>1</v>
      </c>
    </row>
    <row r="1933" hidden="1">
      <c r="A1933" s="82"/>
      <c r="B1933" s="65" t="s">
        <v>495</v>
      </c>
      <c r="C1933" s="65" t="s">
        <v>92</v>
      </c>
      <c r="D1933" s="65" t="str">
        <f>vlookup(C1933,'Classificação p pessoal'!F:G,2,false)</f>
        <v/>
      </c>
      <c r="E1933" s="65" t="s">
        <v>1182</v>
      </c>
      <c r="F1933" s="83">
        <v>0.6145833333333334</v>
      </c>
      <c r="G1933" s="83">
        <v>0.6875</v>
      </c>
      <c r="H1933" s="83">
        <v>0.07291666666666667</v>
      </c>
      <c r="I1933" s="84">
        <v>44414.0</v>
      </c>
      <c r="J1933" s="65" t="b">
        <v>1</v>
      </c>
      <c r="K1933" s="65"/>
      <c r="L1933" s="85" t="b">
        <f>IF(VLOOKUP(C1933,Projetos!A:L,12,false)=TRUE,TRUE,FALSE)</f>
        <v>1</v>
      </c>
      <c r="M1933" s="74">
        <v>73.7079846079846</v>
      </c>
      <c r="N1933" s="74">
        <f t="shared" si="1"/>
        <v>128.9889731</v>
      </c>
      <c r="O1933" s="74" t="b">
        <v>1</v>
      </c>
    </row>
    <row r="1934" hidden="1">
      <c r="A1934" s="82"/>
      <c r="B1934" s="65" t="s">
        <v>495</v>
      </c>
      <c r="C1934" s="65" t="s">
        <v>92</v>
      </c>
      <c r="D1934" s="65" t="str">
        <f>vlookup(C1934,'Classificação p pessoal'!F:G,2,false)</f>
        <v/>
      </c>
      <c r="E1934" s="65" t="s">
        <v>1186</v>
      </c>
      <c r="F1934" s="83">
        <v>0.6979166666666666</v>
      </c>
      <c r="G1934" s="83">
        <v>0.75</v>
      </c>
      <c r="H1934" s="83">
        <v>0.052083333333333336</v>
      </c>
      <c r="I1934" s="84">
        <v>44414.0</v>
      </c>
      <c r="J1934" s="65" t="b">
        <v>1</v>
      </c>
      <c r="K1934" s="65"/>
      <c r="L1934" s="85" t="b">
        <f>IF(VLOOKUP(C1934,Projetos!A:L,12,false)=TRUE,TRUE,FALSE)</f>
        <v>1</v>
      </c>
      <c r="M1934" s="74">
        <v>73.7079846079846</v>
      </c>
      <c r="N1934" s="74">
        <f t="shared" si="1"/>
        <v>92.13498076</v>
      </c>
      <c r="O1934" s="74" t="b">
        <v>1</v>
      </c>
    </row>
    <row r="1935" hidden="1">
      <c r="A1935" s="82"/>
      <c r="B1935" s="65" t="s">
        <v>495</v>
      </c>
      <c r="C1935" s="65" t="s">
        <v>108</v>
      </c>
      <c r="D1935" s="65" t="str">
        <f>vlookup(C1935,'Classificação p pessoal'!F:G,2,false)</f>
        <v>NP</v>
      </c>
      <c r="E1935" s="65" t="s">
        <v>1187</v>
      </c>
      <c r="F1935" s="83">
        <v>0.3541666666666667</v>
      </c>
      <c r="G1935" s="83">
        <v>0.3958333333333333</v>
      </c>
      <c r="H1935" s="83">
        <v>0.041666666666666664</v>
      </c>
      <c r="I1935" s="84">
        <v>44417.0</v>
      </c>
      <c r="J1935" s="65" t="b">
        <v>1</v>
      </c>
      <c r="K1935" s="65"/>
      <c r="L1935" s="85" t="b">
        <f>IF(VLOOKUP(C1935,Projetos!A:L,12,false)=TRUE,TRUE,FALSE)</f>
        <v>1</v>
      </c>
      <c r="M1935" s="74">
        <v>73.7079846079846</v>
      </c>
      <c r="N1935" s="74">
        <f t="shared" si="1"/>
        <v>73.70798461</v>
      </c>
      <c r="O1935" s="74" t="b">
        <v>1</v>
      </c>
    </row>
    <row r="1936" hidden="1">
      <c r="A1936" s="82"/>
      <c r="B1936" s="65" t="s">
        <v>495</v>
      </c>
      <c r="C1936" s="65" t="s">
        <v>92</v>
      </c>
      <c r="D1936" s="65" t="str">
        <f>vlookup(C1936,'Classificação p pessoal'!F:G,2,false)</f>
        <v/>
      </c>
      <c r="E1936" s="65" t="s">
        <v>1182</v>
      </c>
      <c r="F1936" s="83">
        <v>0.3958333333333333</v>
      </c>
      <c r="G1936" s="83">
        <v>0.5763888888888888</v>
      </c>
      <c r="H1936" s="83">
        <v>0.18055555555555555</v>
      </c>
      <c r="I1936" s="84">
        <v>44417.0</v>
      </c>
      <c r="J1936" s="65" t="b">
        <v>1</v>
      </c>
      <c r="K1936" s="65"/>
      <c r="L1936" s="85" t="b">
        <f>IF(VLOOKUP(C1936,Projetos!A:L,12,false)=TRUE,TRUE,FALSE)</f>
        <v>1</v>
      </c>
      <c r="M1936" s="74">
        <v>73.7079846079846</v>
      </c>
      <c r="N1936" s="74">
        <f t="shared" si="1"/>
        <v>319.4012666</v>
      </c>
      <c r="O1936" s="74" t="b">
        <v>1</v>
      </c>
    </row>
    <row r="1937" hidden="1">
      <c r="A1937" s="82"/>
      <c r="B1937" s="65" t="s">
        <v>495</v>
      </c>
      <c r="C1937" s="65" t="s">
        <v>92</v>
      </c>
      <c r="D1937" s="65" t="str">
        <f>vlookup(C1937,'Classificação p pessoal'!F:G,2,false)</f>
        <v/>
      </c>
      <c r="E1937" s="65" t="s">
        <v>1188</v>
      </c>
      <c r="F1937" s="83">
        <v>0.625</v>
      </c>
      <c r="G1937" s="83">
        <v>0.6458333333333334</v>
      </c>
      <c r="H1937" s="83">
        <v>0.020833333333333332</v>
      </c>
      <c r="I1937" s="84">
        <v>44417.0</v>
      </c>
      <c r="J1937" s="65" t="b">
        <v>1</v>
      </c>
      <c r="K1937" s="65"/>
      <c r="L1937" s="85" t="b">
        <f>IF(VLOOKUP(C1937,Projetos!A:L,12,false)=TRUE,TRUE,FALSE)</f>
        <v>1</v>
      </c>
      <c r="M1937" s="74">
        <v>73.7079846079846</v>
      </c>
      <c r="N1937" s="74">
        <f t="shared" si="1"/>
        <v>36.8539923</v>
      </c>
      <c r="O1937" s="74" t="b">
        <v>1</v>
      </c>
    </row>
    <row r="1938" hidden="1">
      <c r="A1938" s="82"/>
      <c r="B1938" s="65" t="s">
        <v>495</v>
      </c>
      <c r="C1938" s="65" t="s">
        <v>92</v>
      </c>
      <c r="D1938" s="65" t="str">
        <f>vlookup(C1938,'Classificação p pessoal'!F:G,2,false)</f>
        <v/>
      </c>
      <c r="E1938" s="65" t="s">
        <v>1182</v>
      </c>
      <c r="F1938" s="83">
        <v>0.6458333333333334</v>
      </c>
      <c r="G1938" s="83">
        <v>0.6875</v>
      </c>
      <c r="H1938" s="83">
        <v>0.041666666666666664</v>
      </c>
      <c r="I1938" s="84">
        <v>44417.0</v>
      </c>
      <c r="J1938" s="65" t="b">
        <v>1</v>
      </c>
      <c r="K1938" s="65"/>
      <c r="L1938" s="85" t="b">
        <f>IF(VLOOKUP(C1938,Projetos!A:L,12,false)=TRUE,TRUE,FALSE)</f>
        <v>1</v>
      </c>
      <c r="M1938" s="74">
        <v>73.7079846079846</v>
      </c>
      <c r="N1938" s="74">
        <f t="shared" si="1"/>
        <v>73.70798461</v>
      </c>
      <c r="O1938" s="74" t="b">
        <v>1</v>
      </c>
    </row>
    <row r="1939" hidden="1">
      <c r="A1939" s="82"/>
      <c r="B1939" s="65" t="s">
        <v>495</v>
      </c>
      <c r="C1939" s="65" t="s">
        <v>92</v>
      </c>
      <c r="D1939" s="65" t="str">
        <f>vlookup(C1939,'Classificação p pessoal'!F:G,2,false)</f>
        <v/>
      </c>
      <c r="E1939" s="65" t="s">
        <v>1189</v>
      </c>
      <c r="F1939" s="83">
        <v>0.6875</v>
      </c>
      <c r="G1939" s="83">
        <v>0.75</v>
      </c>
      <c r="H1939" s="83">
        <v>0.0625</v>
      </c>
      <c r="I1939" s="84">
        <v>44417.0</v>
      </c>
      <c r="J1939" s="65" t="b">
        <v>1</v>
      </c>
      <c r="K1939" s="65"/>
      <c r="L1939" s="85" t="b">
        <f>IF(VLOOKUP(C1939,Projetos!A:L,12,false)=TRUE,TRUE,FALSE)</f>
        <v>1</v>
      </c>
      <c r="M1939" s="74">
        <v>73.7079846079846</v>
      </c>
      <c r="N1939" s="74">
        <f t="shared" si="1"/>
        <v>110.5619769</v>
      </c>
      <c r="O1939" s="74" t="b">
        <v>1</v>
      </c>
    </row>
    <row r="1940" hidden="1">
      <c r="A1940" s="82"/>
      <c r="B1940" s="65" t="s">
        <v>495</v>
      </c>
      <c r="C1940" s="65" t="s">
        <v>117</v>
      </c>
      <c r="D1940" s="65" t="str">
        <f>vlookup(C1940,'Classificação p pessoal'!F:G,2,false)</f>
        <v>NP</v>
      </c>
      <c r="E1940" s="65" t="s">
        <v>1190</v>
      </c>
      <c r="F1940" s="83">
        <v>0.3541666666666667</v>
      </c>
      <c r="G1940" s="83">
        <v>0.4166666666666667</v>
      </c>
      <c r="H1940" s="83">
        <v>0.0625</v>
      </c>
      <c r="I1940" s="84">
        <v>44418.0</v>
      </c>
      <c r="J1940" s="65" t="b">
        <v>1</v>
      </c>
      <c r="K1940" s="65"/>
      <c r="L1940" s="85" t="b">
        <f>IF(VLOOKUP(C1940,Projetos!A:L,12,false)=TRUE,TRUE,FALSE)</f>
        <v>1</v>
      </c>
      <c r="M1940" s="74">
        <v>73.7079846079846</v>
      </c>
      <c r="N1940" s="74">
        <f t="shared" si="1"/>
        <v>110.5619769</v>
      </c>
      <c r="O1940" s="74" t="b">
        <v>1</v>
      </c>
    </row>
    <row r="1941" hidden="1">
      <c r="A1941" s="82"/>
      <c r="B1941" s="65" t="s">
        <v>495</v>
      </c>
      <c r="C1941" s="65" t="s">
        <v>117</v>
      </c>
      <c r="D1941" s="65" t="str">
        <f>vlookup(C1941,'Classificação p pessoal'!F:G,2,false)</f>
        <v>NP</v>
      </c>
      <c r="E1941" s="65" t="s">
        <v>1191</v>
      </c>
      <c r="F1941" s="83">
        <v>0.4166666666666667</v>
      </c>
      <c r="G1941" s="83">
        <v>0.5</v>
      </c>
      <c r="H1941" s="83">
        <v>0.08333333333333333</v>
      </c>
      <c r="I1941" s="84">
        <v>44418.0</v>
      </c>
      <c r="J1941" s="65" t="b">
        <v>1</v>
      </c>
      <c r="K1941" s="65"/>
      <c r="L1941" s="85" t="b">
        <f>IF(VLOOKUP(C1941,Projetos!A:L,12,false)=TRUE,TRUE,FALSE)</f>
        <v>1</v>
      </c>
      <c r="M1941" s="74">
        <v>73.7079846079846</v>
      </c>
      <c r="N1941" s="74">
        <f t="shared" si="1"/>
        <v>147.4159692</v>
      </c>
      <c r="O1941" s="74" t="b">
        <v>1</v>
      </c>
    </row>
    <row r="1942" hidden="1">
      <c r="A1942" s="82"/>
      <c r="B1942" s="65" t="s">
        <v>495</v>
      </c>
      <c r="C1942" s="65" t="s">
        <v>92</v>
      </c>
      <c r="D1942" s="65" t="str">
        <f>vlookup(C1942,'Classificação p pessoal'!F:G,2,false)</f>
        <v/>
      </c>
      <c r="E1942" s="65" t="s">
        <v>1182</v>
      </c>
      <c r="F1942" s="83">
        <v>0.5</v>
      </c>
      <c r="G1942" s="83">
        <v>0.5729166666666666</v>
      </c>
      <c r="H1942" s="83">
        <v>0.07291666666666667</v>
      </c>
      <c r="I1942" s="84">
        <v>44418.0</v>
      </c>
      <c r="J1942" s="65" t="b">
        <v>1</v>
      </c>
      <c r="K1942" s="65"/>
      <c r="L1942" s="85" t="b">
        <f>IF(VLOOKUP(C1942,Projetos!A:L,12,false)=TRUE,TRUE,FALSE)</f>
        <v>1</v>
      </c>
      <c r="M1942" s="74">
        <v>73.7079846079846</v>
      </c>
      <c r="N1942" s="74">
        <f t="shared" si="1"/>
        <v>128.9889731</v>
      </c>
      <c r="O1942" s="74" t="b">
        <v>1</v>
      </c>
    </row>
    <row r="1943" hidden="1">
      <c r="A1943" s="82"/>
      <c r="B1943" s="65" t="s">
        <v>495</v>
      </c>
      <c r="C1943" s="65" t="s">
        <v>92</v>
      </c>
      <c r="D1943" s="65" t="str">
        <f>vlookup(C1943,'Classificação p pessoal'!F:G,2,false)</f>
        <v/>
      </c>
      <c r="E1943" s="65" t="s">
        <v>1192</v>
      </c>
      <c r="F1943" s="83">
        <v>0.625</v>
      </c>
      <c r="G1943" s="83">
        <v>0.6875</v>
      </c>
      <c r="H1943" s="83">
        <v>0.0625</v>
      </c>
      <c r="I1943" s="84">
        <v>44418.0</v>
      </c>
      <c r="J1943" s="65" t="b">
        <v>1</v>
      </c>
      <c r="K1943" s="65"/>
      <c r="L1943" s="85" t="b">
        <f>IF(VLOOKUP(C1943,Projetos!A:L,12,false)=TRUE,TRUE,FALSE)</f>
        <v>1</v>
      </c>
      <c r="M1943" s="74">
        <v>73.7079846079846</v>
      </c>
      <c r="N1943" s="74">
        <f t="shared" si="1"/>
        <v>110.5619769</v>
      </c>
      <c r="O1943" s="74" t="b">
        <v>1</v>
      </c>
    </row>
    <row r="1944" hidden="1">
      <c r="A1944" s="82"/>
      <c r="B1944" s="65" t="s">
        <v>495</v>
      </c>
      <c r="C1944" s="65" t="s">
        <v>92</v>
      </c>
      <c r="D1944" s="65" t="str">
        <f>vlookup(C1944,'Classificação p pessoal'!F:G,2,false)</f>
        <v/>
      </c>
      <c r="E1944" s="65" t="s">
        <v>1182</v>
      </c>
      <c r="F1944" s="83">
        <v>0.7083333333333334</v>
      </c>
      <c r="G1944" s="83">
        <v>0.75</v>
      </c>
      <c r="H1944" s="83">
        <v>0.041666666666666664</v>
      </c>
      <c r="I1944" s="84">
        <v>44418.0</v>
      </c>
      <c r="J1944" s="65" t="b">
        <v>1</v>
      </c>
      <c r="K1944" s="65"/>
      <c r="L1944" s="85" t="b">
        <f>IF(VLOOKUP(C1944,Projetos!A:L,12,false)=TRUE,TRUE,FALSE)</f>
        <v>1</v>
      </c>
      <c r="M1944" s="74">
        <v>73.7079846079846</v>
      </c>
      <c r="N1944" s="74">
        <f t="shared" si="1"/>
        <v>73.70798461</v>
      </c>
      <c r="O1944" s="74" t="b">
        <v>1</v>
      </c>
    </row>
    <row r="1945" hidden="1">
      <c r="A1945" s="82"/>
      <c r="B1945" s="65" t="s">
        <v>495</v>
      </c>
      <c r="C1945" s="65" t="s">
        <v>92</v>
      </c>
      <c r="D1945" s="65" t="str">
        <f>vlookup(C1945,'Classificação p pessoal'!F:G,2,false)</f>
        <v/>
      </c>
      <c r="E1945" s="65" t="s">
        <v>1193</v>
      </c>
      <c r="F1945" s="83">
        <v>0.34375</v>
      </c>
      <c r="G1945" s="83">
        <v>0.4166666666666667</v>
      </c>
      <c r="H1945" s="83">
        <v>0.07291666666666667</v>
      </c>
      <c r="I1945" s="84">
        <v>44419.0</v>
      </c>
      <c r="J1945" s="65" t="b">
        <v>1</v>
      </c>
      <c r="K1945" s="65"/>
      <c r="L1945" s="85" t="b">
        <f>IF(VLOOKUP(C1945,Projetos!A:L,12,false)=TRUE,TRUE,FALSE)</f>
        <v>1</v>
      </c>
      <c r="M1945" s="74">
        <v>73.7079846079846</v>
      </c>
      <c r="N1945" s="74">
        <f t="shared" si="1"/>
        <v>128.9889731</v>
      </c>
      <c r="O1945" s="74" t="b">
        <v>1</v>
      </c>
    </row>
    <row r="1946" hidden="1">
      <c r="A1946" s="82"/>
      <c r="B1946" s="65" t="s">
        <v>495</v>
      </c>
      <c r="C1946" s="65" t="s">
        <v>92</v>
      </c>
      <c r="D1946" s="65" t="str">
        <f>vlookup(C1946,'Classificação p pessoal'!F:G,2,false)</f>
        <v/>
      </c>
      <c r="E1946" s="65" t="s">
        <v>1182</v>
      </c>
      <c r="F1946" s="83">
        <v>0.4791666666666667</v>
      </c>
      <c r="G1946" s="83">
        <v>0.5763888888888888</v>
      </c>
      <c r="H1946" s="83">
        <v>0.09722222222222222</v>
      </c>
      <c r="I1946" s="84">
        <v>44419.0</v>
      </c>
      <c r="J1946" s="65" t="b">
        <v>1</v>
      </c>
      <c r="K1946" s="65"/>
      <c r="L1946" s="85" t="b">
        <f>IF(VLOOKUP(C1946,Projetos!A:L,12,false)=TRUE,TRUE,FALSE)</f>
        <v>1</v>
      </c>
      <c r="M1946" s="74">
        <v>73.7079846079846</v>
      </c>
      <c r="N1946" s="74">
        <f t="shared" si="1"/>
        <v>171.9852974</v>
      </c>
      <c r="O1946" s="74" t="b">
        <v>1</v>
      </c>
    </row>
    <row r="1947" hidden="1">
      <c r="A1947" s="82"/>
      <c r="B1947" s="65" t="s">
        <v>495</v>
      </c>
      <c r="C1947" s="65" t="s">
        <v>92</v>
      </c>
      <c r="D1947" s="65" t="str">
        <f>vlookup(C1947,'Classificação p pessoal'!F:G,2,false)</f>
        <v/>
      </c>
      <c r="E1947" s="65" t="s">
        <v>1182</v>
      </c>
      <c r="F1947" s="83">
        <v>0.6180555555555556</v>
      </c>
      <c r="G1947" s="83">
        <v>0.75</v>
      </c>
      <c r="H1947" s="83">
        <v>0.13194444444444445</v>
      </c>
      <c r="I1947" s="84">
        <v>44419.0</v>
      </c>
      <c r="J1947" s="65" t="b">
        <v>1</v>
      </c>
      <c r="K1947" s="65"/>
      <c r="L1947" s="85" t="b">
        <f>IF(VLOOKUP(C1947,Projetos!A:L,12,false)=TRUE,TRUE,FALSE)</f>
        <v>1</v>
      </c>
      <c r="M1947" s="74">
        <v>73.7079846079846</v>
      </c>
      <c r="N1947" s="74">
        <f t="shared" si="1"/>
        <v>233.4086179</v>
      </c>
      <c r="O1947" s="74" t="b">
        <v>1</v>
      </c>
    </row>
    <row r="1948" hidden="1">
      <c r="A1948" s="82"/>
      <c r="B1948" s="65" t="s">
        <v>495</v>
      </c>
      <c r="C1948" s="65" t="s">
        <v>117</v>
      </c>
      <c r="D1948" s="65" t="str">
        <f>vlookup(C1948,'Classificação p pessoal'!F:G,2,false)</f>
        <v>NP</v>
      </c>
      <c r="E1948" s="65" t="s">
        <v>1194</v>
      </c>
      <c r="F1948" s="83">
        <v>0.3541666666666667</v>
      </c>
      <c r="G1948" s="83">
        <v>0.4583333333333333</v>
      </c>
      <c r="H1948" s="83">
        <v>0.10416666666666667</v>
      </c>
      <c r="I1948" s="84">
        <v>44420.0</v>
      </c>
      <c r="J1948" s="65" t="b">
        <v>1</v>
      </c>
      <c r="K1948" s="65"/>
      <c r="L1948" s="85" t="b">
        <f>IF(VLOOKUP(C1948,Projetos!A:L,12,false)=TRUE,TRUE,FALSE)</f>
        <v>1</v>
      </c>
      <c r="M1948" s="74">
        <v>73.7079846079846</v>
      </c>
      <c r="N1948" s="74">
        <f t="shared" si="1"/>
        <v>184.2699615</v>
      </c>
      <c r="O1948" s="74" t="b">
        <v>1</v>
      </c>
    </row>
    <row r="1949" hidden="1">
      <c r="A1949" s="82"/>
      <c r="B1949" s="65" t="s">
        <v>495</v>
      </c>
      <c r="C1949" s="65" t="s">
        <v>92</v>
      </c>
      <c r="D1949" s="65" t="str">
        <f>vlookup(C1949,'Classificação p pessoal'!F:G,2,false)</f>
        <v/>
      </c>
      <c r="E1949" s="65" t="s">
        <v>1182</v>
      </c>
      <c r="F1949" s="83">
        <v>0.4583333333333333</v>
      </c>
      <c r="G1949" s="83">
        <v>0.5729166666666666</v>
      </c>
      <c r="H1949" s="83">
        <v>0.11458333333333333</v>
      </c>
      <c r="I1949" s="84">
        <v>44420.0</v>
      </c>
      <c r="J1949" s="65" t="b">
        <v>1</v>
      </c>
      <c r="K1949" s="65"/>
      <c r="L1949" s="85" t="b">
        <f>IF(VLOOKUP(C1949,Projetos!A:L,12,false)=TRUE,TRUE,FALSE)</f>
        <v>1</v>
      </c>
      <c r="M1949" s="74">
        <v>73.7079846079846</v>
      </c>
      <c r="N1949" s="74">
        <f t="shared" si="1"/>
        <v>202.6969577</v>
      </c>
      <c r="O1949" s="74" t="b">
        <v>1</v>
      </c>
    </row>
    <row r="1950" hidden="1">
      <c r="A1950" s="82"/>
      <c r="B1950" s="65" t="s">
        <v>495</v>
      </c>
      <c r="C1950" s="65" t="s">
        <v>92</v>
      </c>
      <c r="D1950" s="65" t="str">
        <f>vlookup(C1950,'Classificação p pessoal'!F:G,2,false)</f>
        <v/>
      </c>
      <c r="E1950" s="65" t="s">
        <v>1182</v>
      </c>
      <c r="F1950" s="83">
        <v>0.625</v>
      </c>
      <c r="G1950" s="83">
        <v>0.75</v>
      </c>
      <c r="H1950" s="83">
        <v>0.125</v>
      </c>
      <c r="I1950" s="84">
        <v>44420.0</v>
      </c>
      <c r="J1950" s="65" t="b">
        <v>1</v>
      </c>
      <c r="K1950" s="65"/>
      <c r="L1950" s="85" t="b">
        <f>IF(VLOOKUP(C1950,Projetos!A:L,12,false)=TRUE,TRUE,FALSE)</f>
        <v>1</v>
      </c>
      <c r="M1950" s="74">
        <v>73.7079846079846</v>
      </c>
      <c r="N1950" s="74">
        <f t="shared" si="1"/>
        <v>221.1239538</v>
      </c>
      <c r="O1950" s="74" t="b">
        <v>1</v>
      </c>
    </row>
    <row r="1951" hidden="1">
      <c r="A1951" s="82"/>
      <c r="B1951" s="65" t="s">
        <v>495</v>
      </c>
      <c r="C1951" s="65" t="s">
        <v>84</v>
      </c>
      <c r="D1951" s="65"/>
      <c r="E1951" s="65" t="s">
        <v>1195</v>
      </c>
      <c r="F1951" s="83">
        <v>0.3541666666666667</v>
      </c>
      <c r="G1951" s="83">
        <v>0.3854166666666667</v>
      </c>
      <c r="H1951" s="83">
        <v>0.03125</v>
      </c>
      <c r="I1951" s="84">
        <v>44421.0</v>
      </c>
      <c r="J1951" s="65" t="b">
        <v>0</v>
      </c>
      <c r="K1951" s="65"/>
      <c r="L1951" s="85" t="b">
        <f>IF(VLOOKUP(C1951,Projetos!A:L,12,false)=TRUE,TRUE,FALSE)</f>
        <v>0</v>
      </c>
      <c r="M1951" s="74">
        <v>73.7079846079846</v>
      </c>
      <c r="N1951" s="74">
        <f t="shared" si="1"/>
        <v>0</v>
      </c>
      <c r="O1951" s="74" t="b">
        <v>0</v>
      </c>
    </row>
    <row r="1952" hidden="1">
      <c r="A1952" s="82"/>
      <c r="B1952" s="65" t="s">
        <v>495</v>
      </c>
      <c r="C1952" s="65" t="s">
        <v>92</v>
      </c>
      <c r="D1952" s="65" t="str">
        <f>vlookup(C1952,'Classificação p pessoal'!F:G,2,false)</f>
        <v/>
      </c>
      <c r="E1952" s="65" t="s">
        <v>1196</v>
      </c>
      <c r="F1952" s="83">
        <v>0.3854166666666667</v>
      </c>
      <c r="G1952" s="83">
        <v>0.4583333333333333</v>
      </c>
      <c r="H1952" s="83">
        <v>0.07291666666666667</v>
      </c>
      <c r="I1952" s="84">
        <v>44421.0</v>
      </c>
      <c r="J1952" s="65" t="b">
        <v>1</v>
      </c>
      <c r="K1952" s="65"/>
      <c r="L1952" s="85" t="b">
        <f>IF(VLOOKUP(C1952,Projetos!A:L,12,false)=TRUE,TRUE,FALSE)</f>
        <v>1</v>
      </c>
      <c r="M1952" s="74">
        <v>73.7079846079846</v>
      </c>
      <c r="N1952" s="74">
        <f t="shared" si="1"/>
        <v>128.9889731</v>
      </c>
      <c r="O1952" s="74" t="b">
        <v>1</v>
      </c>
    </row>
    <row r="1953" hidden="1">
      <c r="A1953" s="82"/>
      <c r="B1953" s="65" t="s">
        <v>495</v>
      </c>
      <c r="C1953" s="65" t="s">
        <v>92</v>
      </c>
      <c r="D1953" s="65" t="str">
        <f>vlookup(C1953,'Classificação p pessoal'!F:G,2,false)</f>
        <v/>
      </c>
      <c r="E1953" s="65" t="s">
        <v>1197</v>
      </c>
      <c r="F1953" s="83">
        <v>0.4583333333333333</v>
      </c>
      <c r="G1953" s="83">
        <v>0.5416666666666666</v>
      </c>
      <c r="H1953" s="83">
        <v>0.08333333333333333</v>
      </c>
      <c r="I1953" s="84">
        <v>44421.0</v>
      </c>
      <c r="J1953" s="65" t="b">
        <v>1</v>
      </c>
      <c r="K1953" s="65"/>
      <c r="L1953" s="85" t="b">
        <f>IF(VLOOKUP(C1953,Projetos!A:L,12,false)=TRUE,TRUE,FALSE)</f>
        <v>1</v>
      </c>
      <c r="M1953" s="74">
        <v>73.7079846079846</v>
      </c>
      <c r="N1953" s="74">
        <f t="shared" si="1"/>
        <v>147.4159692</v>
      </c>
      <c r="O1953" s="74" t="b">
        <v>1</v>
      </c>
    </row>
    <row r="1954" hidden="1">
      <c r="A1954" s="82"/>
      <c r="B1954" s="65" t="s">
        <v>495</v>
      </c>
      <c r="C1954" s="65" t="s">
        <v>100</v>
      </c>
      <c r="D1954" s="65"/>
      <c r="E1954" s="65" t="s">
        <v>1198</v>
      </c>
      <c r="F1954" s="83">
        <v>0.5416666666666666</v>
      </c>
      <c r="G1954" s="83">
        <v>0.5833333333333334</v>
      </c>
      <c r="H1954" s="83">
        <v>0.041666666666666664</v>
      </c>
      <c r="I1954" s="84">
        <v>44421.0</v>
      </c>
      <c r="J1954" s="65" t="b">
        <v>0</v>
      </c>
      <c r="K1954" s="65" t="s">
        <v>150</v>
      </c>
      <c r="L1954" s="85" t="b">
        <f>IF(VLOOKUP(C1954,Projetos!A:L,12,false)=TRUE,TRUE,FALSE)</f>
        <v>1</v>
      </c>
      <c r="M1954" s="74">
        <v>73.7079846079846</v>
      </c>
      <c r="N1954" s="74">
        <f t="shared" si="1"/>
        <v>0</v>
      </c>
      <c r="O1954" s="74" t="b">
        <v>1</v>
      </c>
    </row>
    <row r="1955" hidden="1">
      <c r="A1955" s="82"/>
      <c r="B1955" s="65" t="s">
        <v>495</v>
      </c>
      <c r="C1955" s="65" t="s">
        <v>130</v>
      </c>
      <c r="D1955" s="65" t="str">
        <f>vlookup(C1955,'Classificação p pessoal'!F:G,2,false)</f>
        <v>NP</v>
      </c>
      <c r="E1955" s="65" t="s">
        <v>1199</v>
      </c>
      <c r="F1955" s="83">
        <v>0.625</v>
      </c>
      <c r="G1955" s="83">
        <v>0.7083333333333334</v>
      </c>
      <c r="H1955" s="83">
        <v>0.08333333333333333</v>
      </c>
      <c r="I1955" s="84">
        <v>44421.0</v>
      </c>
      <c r="J1955" s="65" t="b">
        <v>1</v>
      </c>
      <c r="K1955" s="65"/>
      <c r="L1955" s="85" t="b">
        <f>IF(VLOOKUP(C1955,Projetos!A:L,12,false)=TRUE,TRUE,FALSE)</f>
        <v>1</v>
      </c>
      <c r="M1955" s="74">
        <v>73.7079846079846</v>
      </c>
      <c r="N1955" s="74">
        <f t="shared" si="1"/>
        <v>147.4159692</v>
      </c>
      <c r="O1955" s="74" t="b">
        <v>1</v>
      </c>
    </row>
    <row r="1956" hidden="1">
      <c r="A1956" s="82"/>
      <c r="B1956" s="65" t="s">
        <v>495</v>
      </c>
      <c r="C1956" s="65" t="s">
        <v>92</v>
      </c>
      <c r="D1956" s="65" t="str">
        <f>vlookup(C1956,'Classificação p pessoal'!F:G,2,false)</f>
        <v/>
      </c>
      <c r="E1956" s="65" t="s">
        <v>1200</v>
      </c>
      <c r="F1956" s="83">
        <v>0.7083333333333334</v>
      </c>
      <c r="G1956" s="83">
        <v>0.75</v>
      </c>
      <c r="H1956" s="83">
        <v>0.041666666666666664</v>
      </c>
      <c r="I1956" s="84">
        <v>44421.0</v>
      </c>
      <c r="J1956" s="65" t="b">
        <v>1</v>
      </c>
      <c r="K1956" s="65"/>
      <c r="L1956" s="85" t="b">
        <f>IF(VLOOKUP(C1956,Projetos!A:L,12,false)=TRUE,TRUE,FALSE)</f>
        <v>1</v>
      </c>
      <c r="M1956" s="74">
        <v>73.7079846079846</v>
      </c>
      <c r="N1956" s="74">
        <f t="shared" si="1"/>
        <v>73.70798461</v>
      </c>
      <c r="O1956" s="74" t="b">
        <v>1</v>
      </c>
    </row>
    <row r="1957" hidden="1">
      <c r="A1957" s="82"/>
      <c r="B1957" s="65" t="s">
        <v>495</v>
      </c>
      <c r="C1957" s="65" t="s">
        <v>84</v>
      </c>
      <c r="D1957" s="65"/>
      <c r="E1957" s="65" t="s">
        <v>1201</v>
      </c>
      <c r="F1957" s="83">
        <v>0.3541666666666667</v>
      </c>
      <c r="G1957" s="83">
        <v>0.4375</v>
      </c>
      <c r="H1957" s="83">
        <v>0.08333333333333333</v>
      </c>
      <c r="I1957" s="84">
        <v>44424.0</v>
      </c>
      <c r="J1957" s="65" t="b">
        <v>0</v>
      </c>
      <c r="K1957" s="65" t="s">
        <v>150</v>
      </c>
      <c r="L1957" s="85" t="b">
        <f>IF(VLOOKUP(C1957,Projetos!A:L,12,false)=TRUE,TRUE,FALSE)</f>
        <v>0</v>
      </c>
      <c r="M1957" s="74">
        <v>73.7079846079846</v>
      </c>
      <c r="N1957" s="74">
        <f t="shared" si="1"/>
        <v>0</v>
      </c>
      <c r="O1957" s="74" t="b">
        <v>0</v>
      </c>
    </row>
    <row r="1958" hidden="1">
      <c r="A1958" s="82"/>
      <c r="B1958" s="65" t="s">
        <v>495</v>
      </c>
      <c r="C1958" s="65" t="s">
        <v>92</v>
      </c>
      <c r="D1958" s="65"/>
      <c r="E1958" s="65" t="s">
        <v>1202</v>
      </c>
      <c r="F1958" s="83">
        <v>0.4583333333333333</v>
      </c>
      <c r="G1958" s="83">
        <v>0.4791666666666667</v>
      </c>
      <c r="H1958" s="83">
        <v>0.020833333333333332</v>
      </c>
      <c r="I1958" s="84">
        <v>44552.0</v>
      </c>
      <c r="J1958" s="65" t="b">
        <v>0</v>
      </c>
      <c r="K1958" s="65" t="s">
        <v>150</v>
      </c>
      <c r="L1958" s="85" t="b">
        <f>IF(VLOOKUP(C1958,Projetos!A:L,12,false)=TRUE,TRUE,FALSE)</f>
        <v>1</v>
      </c>
      <c r="M1958" s="74">
        <v>73.7079846079846</v>
      </c>
      <c r="N1958" s="74">
        <f t="shared" si="1"/>
        <v>0</v>
      </c>
      <c r="O1958" s="74" t="b">
        <v>1</v>
      </c>
    </row>
    <row r="1959" hidden="1">
      <c r="A1959" s="82"/>
      <c r="B1959" s="65" t="s">
        <v>495</v>
      </c>
      <c r="C1959" s="65" t="s">
        <v>92</v>
      </c>
      <c r="D1959" s="65" t="str">
        <f>vlookup(C1959,'Classificação p pessoal'!F:G,2,false)</f>
        <v/>
      </c>
      <c r="E1959" s="65" t="s">
        <v>1178</v>
      </c>
      <c r="F1959" s="83">
        <v>0.4583333333333333</v>
      </c>
      <c r="G1959" s="83">
        <v>0.4895833333333333</v>
      </c>
      <c r="H1959" s="83">
        <v>0.03125</v>
      </c>
      <c r="I1959" s="84">
        <v>44424.0</v>
      </c>
      <c r="J1959" s="65" t="b">
        <v>1</v>
      </c>
      <c r="K1959" s="65"/>
      <c r="L1959" s="85" t="b">
        <f>IF(VLOOKUP(C1959,Projetos!A:L,12,false)=TRUE,TRUE,FALSE)</f>
        <v>1</v>
      </c>
      <c r="M1959" s="74">
        <v>73.7079846079846</v>
      </c>
      <c r="N1959" s="74">
        <f t="shared" si="1"/>
        <v>55.28098846</v>
      </c>
      <c r="O1959" s="74" t="b">
        <v>1</v>
      </c>
    </row>
    <row r="1960" hidden="1">
      <c r="A1960" s="82"/>
      <c r="B1960" s="65" t="s">
        <v>495</v>
      </c>
      <c r="C1960" s="65" t="s">
        <v>92</v>
      </c>
      <c r="D1960" s="65" t="str">
        <f>vlookup(C1960,'Classificação p pessoal'!F:G,2,false)</f>
        <v/>
      </c>
      <c r="E1960" s="65" t="s">
        <v>1203</v>
      </c>
      <c r="F1960" s="83">
        <v>0.5</v>
      </c>
      <c r="G1960" s="83">
        <v>0.5729166666666666</v>
      </c>
      <c r="H1960" s="83">
        <v>0.07291666666666667</v>
      </c>
      <c r="I1960" s="84">
        <v>44424.0</v>
      </c>
      <c r="J1960" s="65" t="b">
        <v>1</v>
      </c>
      <c r="K1960" s="65"/>
      <c r="L1960" s="85" t="b">
        <f>IF(VLOOKUP(C1960,Projetos!A:L,12,false)=TRUE,TRUE,FALSE)</f>
        <v>1</v>
      </c>
      <c r="M1960" s="74">
        <v>73.7079846079846</v>
      </c>
      <c r="N1960" s="74">
        <f t="shared" si="1"/>
        <v>128.9889731</v>
      </c>
      <c r="O1960" s="74" t="b">
        <v>1</v>
      </c>
    </row>
    <row r="1961" hidden="1">
      <c r="A1961" s="82"/>
      <c r="B1961" s="65" t="s">
        <v>495</v>
      </c>
      <c r="C1961" s="65" t="s">
        <v>92</v>
      </c>
      <c r="D1961" s="65" t="str">
        <f>vlookup(C1961,'Classificação p pessoal'!F:G,2,false)</f>
        <v/>
      </c>
      <c r="E1961" s="65" t="s">
        <v>1204</v>
      </c>
      <c r="F1961" s="83">
        <v>0.625</v>
      </c>
      <c r="G1961" s="83">
        <v>0.7083333333333334</v>
      </c>
      <c r="H1961" s="83">
        <v>0.08333333333333333</v>
      </c>
      <c r="I1961" s="84">
        <v>44424.0</v>
      </c>
      <c r="J1961" s="65" t="b">
        <v>1</v>
      </c>
      <c r="K1961" s="65"/>
      <c r="L1961" s="85" t="b">
        <f>IF(VLOOKUP(C1961,Projetos!A:L,12,false)=TRUE,TRUE,FALSE)</f>
        <v>1</v>
      </c>
      <c r="M1961" s="74">
        <v>73.7079846079846</v>
      </c>
      <c r="N1961" s="74">
        <f t="shared" si="1"/>
        <v>147.4159692</v>
      </c>
      <c r="O1961" s="74" t="b">
        <v>1</v>
      </c>
    </row>
    <row r="1962" hidden="1">
      <c r="A1962" s="82"/>
      <c r="B1962" s="65" t="s">
        <v>495</v>
      </c>
      <c r="C1962" s="65" t="s">
        <v>100</v>
      </c>
      <c r="D1962" s="65" t="str">
        <f>vlookup(C1962,'Classificação p pessoal'!F:G,2,false)</f>
        <v>NP</v>
      </c>
      <c r="E1962" s="65" t="s">
        <v>1205</v>
      </c>
      <c r="F1962" s="83">
        <v>0.7083333333333334</v>
      </c>
      <c r="G1962" s="83">
        <v>0.75</v>
      </c>
      <c r="H1962" s="83">
        <v>0.041666666666666664</v>
      </c>
      <c r="I1962" s="84">
        <v>44424.0</v>
      </c>
      <c r="J1962" s="65" t="b">
        <v>1</v>
      </c>
      <c r="K1962" s="65"/>
      <c r="L1962" s="85" t="b">
        <f>IF(VLOOKUP(C1962,Projetos!A:L,12,false)=TRUE,TRUE,FALSE)</f>
        <v>1</v>
      </c>
      <c r="M1962" s="74">
        <v>73.7079846079846</v>
      </c>
      <c r="N1962" s="74">
        <f t="shared" si="1"/>
        <v>73.70798461</v>
      </c>
      <c r="O1962" s="74" t="b">
        <v>1</v>
      </c>
    </row>
    <row r="1963" hidden="1">
      <c r="A1963" s="82"/>
      <c r="B1963" s="65" t="s">
        <v>495</v>
      </c>
      <c r="C1963" s="65" t="s">
        <v>84</v>
      </c>
      <c r="D1963" s="65"/>
      <c r="E1963" s="65" t="s">
        <v>1201</v>
      </c>
      <c r="F1963" s="83">
        <v>0.3541666666666667</v>
      </c>
      <c r="G1963" s="83">
        <v>0.4166666666666667</v>
      </c>
      <c r="H1963" s="83">
        <v>0.0625</v>
      </c>
      <c r="I1963" s="84">
        <v>44425.0</v>
      </c>
      <c r="J1963" s="65" t="b">
        <v>0</v>
      </c>
      <c r="K1963" s="65" t="s">
        <v>150</v>
      </c>
      <c r="L1963" s="85" t="b">
        <f>IF(VLOOKUP(C1963,Projetos!A:L,12,false)=TRUE,TRUE,FALSE)</f>
        <v>0</v>
      </c>
      <c r="M1963" s="74">
        <v>73.7079846079846</v>
      </c>
      <c r="N1963" s="74">
        <f t="shared" si="1"/>
        <v>0</v>
      </c>
      <c r="O1963" s="74" t="b">
        <v>0</v>
      </c>
    </row>
    <row r="1964" hidden="1">
      <c r="A1964" s="82"/>
      <c r="B1964" s="65" t="s">
        <v>495</v>
      </c>
      <c r="C1964" s="65" t="s">
        <v>92</v>
      </c>
      <c r="D1964" s="65" t="str">
        <f>vlookup(C1964,'Classificação p pessoal'!F:G,2,false)</f>
        <v/>
      </c>
      <c r="E1964" s="65" t="s">
        <v>1204</v>
      </c>
      <c r="F1964" s="83">
        <v>0.4166666666666667</v>
      </c>
      <c r="G1964" s="83">
        <v>0.5729166666666666</v>
      </c>
      <c r="H1964" s="83">
        <v>0.15625</v>
      </c>
      <c r="I1964" s="84">
        <v>44425.0</v>
      </c>
      <c r="J1964" s="65" t="b">
        <v>1</v>
      </c>
      <c r="K1964" s="65"/>
      <c r="L1964" s="85" t="b">
        <f>IF(VLOOKUP(C1964,Projetos!A:L,12,false)=TRUE,TRUE,FALSE)</f>
        <v>1</v>
      </c>
      <c r="M1964" s="74">
        <v>73.7079846079846</v>
      </c>
      <c r="N1964" s="74">
        <f t="shared" si="1"/>
        <v>276.4049423</v>
      </c>
      <c r="O1964" s="74" t="b">
        <v>1</v>
      </c>
    </row>
    <row r="1965" hidden="1">
      <c r="A1965" s="82"/>
      <c r="B1965" s="65" t="s">
        <v>495</v>
      </c>
      <c r="C1965" s="65" t="s">
        <v>92</v>
      </c>
      <c r="D1965" s="65"/>
      <c r="E1965" s="65" t="s">
        <v>1206</v>
      </c>
      <c r="F1965" s="83">
        <v>0.7083333333333334</v>
      </c>
      <c r="G1965" s="83">
        <v>0.75</v>
      </c>
      <c r="H1965" s="83">
        <v>0.041666666666666664</v>
      </c>
      <c r="I1965" s="84">
        <v>44473.0</v>
      </c>
      <c r="J1965" s="65" t="b">
        <v>0</v>
      </c>
      <c r="K1965" s="65" t="s">
        <v>150</v>
      </c>
      <c r="L1965" s="85" t="b">
        <f>IF(VLOOKUP(C1965,Projetos!A:L,12,false)=TRUE,TRUE,FALSE)</f>
        <v>1</v>
      </c>
      <c r="M1965" s="74">
        <v>73.7079846079846</v>
      </c>
      <c r="N1965" s="74">
        <f t="shared" si="1"/>
        <v>0</v>
      </c>
      <c r="O1965" s="74" t="b">
        <v>1</v>
      </c>
    </row>
    <row r="1966" hidden="1">
      <c r="A1966" s="82"/>
      <c r="B1966" s="65" t="s">
        <v>495</v>
      </c>
      <c r="C1966" s="65" t="s">
        <v>92</v>
      </c>
      <c r="D1966" s="65" t="str">
        <f>vlookup(C1966,'Classificação p pessoal'!F:G,2,false)</f>
        <v/>
      </c>
      <c r="E1966" s="65" t="s">
        <v>1207</v>
      </c>
      <c r="F1966" s="83">
        <v>0.6354166666666666</v>
      </c>
      <c r="G1966" s="83">
        <v>0.75</v>
      </c>
      <c r="H1966" s="83">
        <v>0.11458333333333333</v>
      </c>
      <c r="I1966" s="84">
        <v>44425.0</v>
      </c>
      <c r="J1966" s="65" t="b">
        <v>1</v>
      </c>
      <c r="K1966" s="65"/>
      <c r="L1966" s="85" t="b">
        <f>IF(VLOOKUP(C1966,Projetos!A:L,12,false)=TRUE,TRUE,FALSE)</f>
        <v>1</v>
      </c>
      <c r="M1966" s="74">
        <v>73.7079846079846</v>
      </c>
      <c r="N1966" s="74">
        <f t="shared" si="1"/>
        <v>202.6969577</v>
      </c>
      <c r="O1966" s="74" t="b">
        <v>1</v>
      </c>
    </row>
    <row r="1967" hidden="1">
      <c r="A1967" s="82"/>
      <c r="B1967" s="65" t="s">
        <v>495</v>
      </c>
      <c r="C1967" s="65" t="s">
        <v>92</v>
      </c>
      <c r="D1967" s="65" t="str">
        <f>vlookup(C1967,'Classificação p pessoal'!F:G,2,false)</f>
        <v/>
      </c>
      <c r="E1967" s="65" t="s">
        <v>834</v>
      </c>
      <c r="F1967" s="83">
        <v>0.3541666666666667</v>
      </c>
      <c r="G1967" s="83">
        <v>0.4375</v>
      </c>
      <c r="H1967" s="83">
        <v>0.08333333333333333</v>
      </c>
      <c r="I1967" s="84">
        <v>44426.0</v>
      </c>
      <c r="J1967" s="65" t="b">
        <v>1</v>
      </c>
      <c r="K1967" s="65"/>
      <c r="L1967" s="85" t="b">
        <f>IF(VLOOKUP(C1967,Projetos!A:L,12,false)=TRUE,TRUE,FALSE)</f>
        <v>1</v>
      </c>
      <c r="M1967" s="74">
        <v>73.7079846079846</v>
      </c>
      <c r="N1967" s="74">
        <f t="shared" si="1"/>
        <v>147.4159692</v>
      </c>
      <c r="O1967" s="74" t="b">
        <v>1</v>
      </c>
    </row>
    <row r="1968" hidden="1">
      <c r="A1968" s="82"/>
      <c r="B1968" s="65" t="s">
        <v>495</v>
      </c>
      <c r="C1968" s="65" t="s">
        <v>84</v>
      </c>
      <c r="D1968" s="65"/>
      <c r="E1968" s="65" t="s">
        <v>1201</v>
      </c>
      <c r="F1968" s="83">
        <v>0.4444444444444444</v>
      </c>
      <c r="G1968" s="83">
        <v>0.5277777777777778</v>
      </c>
      <c r="H1968" s="83">
        <v>0.08333333333333333</v>
      </c>
      <c r="I1968" s="84">
        <v>44426.0</v>
      </c>
      <c r="J1968" s="65" t="b">
        <v>0</v>
      </c>
      <c r="K1968" s="65" t="s">
        <v>150</v>
      </c>
      <c r="L1968" s="85" t="b">
        <f>IF(VLOOKUP(C1968,Projetos!A:L,12,false)=TRUE,TRUE,FALSE)</f>
        <v>0</v>
      </c>
      <c r="M1968" s="74">
        <v>73.7079846079846</v>
      </c>
      <c r="N1968" s="74">
        <f t="shared" si="1"/>
        <v>0</v>
      </c>
      <c r="O1968" s="74" t="b">
        <v>0</v>
      </c>
    </row>
    <row r="1969" hidden="1">
      <c r="A1969" s="82"/>
      <c r="B1969" s="65" t="s">
        <v>495</v>
      </c>
      <c r="C1969" s="65" t="s">
        <v>108</v>
      </c>
      <c r="D1969" s="65" t="str">
        <f>vlookup(C1969,'Classificação p pessoal'!F:G,2,false)</f>
        <v>NP</v>
      </c>
      <c r="E1969" s="65" t="s">
        <v>1208</v>
      </c>
      <c r="F1969" s="83">
        <v>0.5277777777777778</v>
      </c>
      <c r="G1969" s="83">
        <v>0.5625</v>
      </c>
      <c r="H1969" s="83">
        <v>0.034722222222222224</v>
      </c>
      <c r="I1969" s="84">
        <v>44426.0</v>
      </c>
      <c r="J1969" s="65" t="b">
        <v>1</v>
      </c>
      <c r="K1969" s="65"/>
      <c r="L1969" s="85" t="b">
        <f>IF(VLOOKUP(C1969,Projetos!A:L,12,false)=TRUE,TRUE,FALSE)</f>
        <v>1</v>
      </c>
      <c r="M1969" s="74">
        <v>73.7079846079846</v>
      </c>
      <c r="N1969" s="74">
        <f t="shared" si="1"/>
        <v>61.42332051</v>
      </c>
      <c r="O1969" s="74" t="b">
        <v>1</v>
      </c>
    </row>
    <row r="1970" hidden="1">
      <c r="A1970" s="82"/>
      <c r="B1970" s="65" t="s">
        <v>495</v>
      </c>
      <c r="C1970" s="65" t="s">
        <v>108</v>
      </c>
      <c r="D1970" s="65" t="str">
        <f>vlookup(C1970,'Classificação p pessoal'!F:G,2,false)</f>
        <v>NP</v>
      </c>
      <c r="E1970" s="65" t="s">
        <v>1208</v>
      </c>
      <c r="F1970" s="83">
        <v>0.6111111111111112</v>
      </c>
      <c r="G1970" s="83">
        <v>0.7083333333333334</v>
      </c>
      <c r="H1970" s="83">
        <v>0.09722222222222222</v>
      </c>
      <c r="I1970" s="84">
        <v>44426.0</v>
      </c>
      <c r="J1970" s="65" t="b">
        <v>1</v>
      </c>
      <c r="K1970" s="65"/>
      <c r="L1970" s="85" t="b">
        <f>IF(VLOOKUP(C1970,Projetos!A:L,12,false)=TRUE,TRUE,FALSE)</f>
        <v>1</v>
      </c>
      <c r="M1970" s="74">
        <v>73.7079846079846</v>
      </c>
      <c r="N1970" s="74">
        <f t="shared" si="1"/>
        <v>171.9852974</v>
      </c>
      <c r="O1970" s="74" t="b">
        <v>1</v>
      </c>
    </row>
    <row r="1971" hidden="1">
      <c r="A1971" s="82"/>
      <c r="B1971" s="65" t="s">
        <v>495</v>
      </c>
      <c r="C1971" s="65" t="s">
        <v>92</v>
      </c>
      <c r="D1971" s="65" t="str">
        <f>vlookup(C1971,'Classificação p pessoal'!F:G,2,false)</f>
        <v/>
      </c>
      <c r="E1971" s="65" t="s">
        <v>1209</v>
      </c>
      <c r="F1971" s="83">
        <v>0.7083333333333334</v>
      </c>
      <c r="G1971" s="83">
        <v>0.75</v>
      </c>
      <c r="H1971" s="83">
        <v>0.041666666666666664</v>
      </c>
      <c r="I1971" s="84">
        <v>44426.0</v>
      </c>
      <c r="J1971" s="65" t="b">
        <v>1</v>
      </c>
      <c r="K1971" s="65"/>
      <c r="L1971" s="85" t="b">
        <f>IF(VLOOKUP(C1971,Projetos!A:L,12,false)=TRUE,TRUE,FALSE)</f>
        <v>1</v>
      </c>
      <c r="M1971" s="74">
        <v>73.7079846079846</v>
      </c>
      <c r="N1971" s="74">
        <f t="shared" si="1"/>
        <v>73.70798461</v>
      </c>
      <c r="O1971" s="74" t="b">
        <v>1</v>
      </c>
    </row>
    <row r="1972" hidden="1">
      <c r="A1972" s="82"/>
      <c r="B1972" s="65" t="s">
        <v>469</v>
      </c>
      <c r="C1972" s="65" t="s">
        <v>118</v>
      </c>
      <c r="D1972" s="65"/>
      <c r="E1972" s="65" t="s">
        <v>1210</v>
      </c>
      <c r="F1972" s="83">
        <v>0.4166666666666667</v>
      </c>
      <c r="G1972" s="83">
        <v>0.6666666666666666</v>
      </c>
      <c r="H1972" s="83">
        <v>0.25</v>
      </c>
      <c r="I1972" s="84">
        <v>44279.0</v>
      </c>
      <c r="J1972" s="65" t="b">
        <v>0</v>
      </c>
      <c r="K1972" s="65" t="s">
        <v>150</v>
      </c>
      <c r="L1972" s="85" t="b">
        <f>IF(VLOOKUP(C1972,Projetos!A:L,12,false)=TRUE,TRUE,FALSE)</f>
        <v>1</v>
      </c>
      <c r="M1972" s="74">
        <v>37.50928062469937</v>
      </c>
      <c r="N1972" s="74">
        <f t="shared" si="1"/>
        <v>0</v>
      </c>
      <c r="O1972" s="74" t="b">
        <v>1</v>
      </c>
    </row>
    <row r="1973" hidden="1">
      <c r="A1973" s="82"/>
      <c r="B1973" s="65" t="s">
        <v>495</v>
      </c>
      <c r="C1973" s="65" t="s">
        <v>84</v>
      </c>
      <c r="D1973" s="65"/>
      <c r="E1973" s="65" t="s">
        <v>1201</v>
      </c>
      <c r="F1973" s="83">
        <v>0.3611111111111111</v>
      </c>
      <c r="G1973" s="83">
        <v>0.3958333333333333</v>
      </c>
      <c r="H1973" s="83">
        <v>0.034722222222222224</v>
      </c>
      <c r="I1973" s="84">
        <v>44427.0</v>
      </c>
      <c r="J1973" s="65" t="b">
        <v>0</v>
      </c>
      <c r="K1973" s="65" t="s">
        <v>150</v>
      </c>
      <c r="L1973" s="85" t="b">
        <f>IF(VLOOKUP(C1973,Projetos!A:L,12,false)=TRUE,TRUE,FALSE)</f>
        <v>0</v>
      </c>
      <c r="M1973" s="74">
        <v>73.7079846079846</v>
      </c>
      <c r="N1973" s="74">
        <f t="shared" si="1"/>
        <v>0</v>
      </c>
      <c r="O1973" s="74" t="b">
        <v>0</v>
      </c>
    </row>
    <row r="1974" hidden="1">
      <c r="A1974" s="82"/>
      <c r="B1974" s="65" t="s">
        <v>495</v>
      </c>
      <c r="C1974" s="65" t="s">
        <v>100</v>
      </c>
      <c r="D1974" s="65" t="str">
        <f>vlookup(C1974,'Classificação p pessoal'!F:G,2,false)</f>
        <v>NP</v>
      </c>
      <c r="E1974" s="65" t="s">
        <v>1211</v>
      </c>
      <c r="F1974" s="83">
        <v>0.5347222222222222</v>
      </c>
      <c r="G1974" s="83">
        <v>0.5625</v>
      </c>
      <c r="H1974" s="83">
        <v>0.027777777777777776</v>
      </c>
      <c r="I1974" s="84">
        <v>44427.0</v>
      </c>
      <c r="J1974" s="65" t="b">
        <v>1</v>
      </c>
      <c r="K1974" s="65"/>
      <c r="L1974" s="85" t="b">
        <f>IF(VLOOKUP(C1974,Projetos!A:L,12,false)=TRUE,TRUE,FALSE)</f>
        <v>1</v>
      </c>
      <c r="M1974" s="74">
        <v>73.7079846079846</v>
      </c>
      <c r="N1974" s="74">
        <f t="shared" si="1"/>
        <v>49.13865641</v>
      </c>
      <c r="O1974" s="74" t="b">
        <v>1</v>
      </c>
    </row>
    <row r="1975" hidden="1">
      <c r="A1975" s="82"/>
      <c r="B1975" s="65" t="s">
        <v>495</v>
      </c>
      <c r="C1975" s="65" t="s">
        <v>84</v>
      </c>
      <c r="D1975" s="65"/>
      <c r="E1975" s="65" t="s">
        <v>1212</v>
      </c>
      <c r="F1975" s="83">
        <v>0.6458333333333334</v>
      </c>
      <c r="G1975" s="83">
        <v>0.6979166666666666</v>
      </c>
      <c r="H1975" s="83">
        <v>0.052083333333333336</v>
      </c>
      <c r="I1975" s="84">
        <v>44427.0</v>
      </c>
      <c r="J1975" s="65" t="b">
        <v>0</v>
      </c>
      <c r="K1975" s="65" t="s">
        <v>150</v>
      </c>
      <c r="L1975" s="85" t="b">
        <f>IF(VLOOKUP(C1975,Projetos!A:L,12,false)=TRUE,TRUE,FALSE)</f>
        <v>0</v>
      </c>
      <c r="M1975" s="74">
        <v>73.7079846079846</v>
      </c>
      <c r="N1975" s="74">
        <f t="shared" si="1"/>
        <v>0</v>
      </c>
      <c r="O1975" s="74" t="b">
        <v>0</v>
      </c>
    </row>
    <row r="1976" hidden="1">
      <c r="A1976" s="82"/>
      <c r="B1976" s="65" t="s">
        <v>495</v>
      </c>
      <c r="C1976" s="65" t="s">
        <v>92</v>
      </c>
      <c r="D1976" s="65" t="str">
        <f>vlookup(C1976,'Classificação p pessoal'!F:G,2,false)</f>
        <v/>
      </c>
      <c r="E1976" s="65" t="s">
        <v>1213</v>
      </c>
      <c r="F1976" s="83">
        <v>0.6979166666666666</v>
      </c>
      <c r="G1976" s="83">
        <v>0.75</v>
      </c>
      <c r="H1976" s="83">
        <v>0.052083333333333336</v>
      </c>
      <c r="I1976" s="84">
        <v>44427.0</v>
      </c>
      <c r="J1976" s="65" t="b">
        <v>1</v>
      </c>
      <c r="K1976" s="65"/>
      <c r="L1976" s="85" t="b">
        <f>IF(VLOOKUP(C1976,Projetos!A:L,12,false)=TRUE,TRUE,FALSE)</f>
        <v>1</v>
      </c>
      <c r="M1976" s="74">
        <v>73.7079846079846</v>
      </c>
      <c r="N1976" s="74">
        <f t="shared" si="1"/>
        <v>92.13498076</v>
      </c>
      <c r="O1976" s="74" t="b">
        <v>1</v>
      </c>
    </row>
    <row r="1977" hidden="1">
      <c r="A1977" s="82"/>
      <c r="B1977" s="65" t="s">
        <v>495</v>
      </c>
      <c r="C1977" s="65" t="s">
        <v>92</v>
      </c>
      <c r="D1977" s="65" t="str">
        <f>vlookup(C1977,'Classificação p pessoal'!F:G,2,false)</f>
        <v/>
      </c>
      <c r="E1977" s="65" t="s">
        <v>1214</v>
      </c>
      <c r="F1977" s="83">
        <v>0.3541666666666667</v>
      </c>
      <c r="G1977" s="83">
        <v>0.4583333333333333</v>
      </c>
      <c r="H1977" s="83">
        <v>0.10416666666666667</v>
      </c>
      <c r="I1977" s="84">
        <v>44428.0</v>
      </c>
      <c r="J1977" s="65" t="b">
        <v>1</v>
      </c>
      <c r="K1977" s="65"/>
      <c r="L1977" s="85" t="b">
        <f>IF(VLOOKUP(C1977,Projetos!A:L,12,false)=TRUE,TRUE,FALSE)</f>
        <v>1</v>
      </c>
      <c r="M1977" s="74">
        <v>73.7079846079846</v>
      </c>
      <c r="N1977" s="74">
        <f t="shared" si="1"/>
        <v>184.2699615</v>
      </c>
      <c r="O1977" s="74" t="b">
        <v>1</v>
      </c>
    </row>
    <row r="1978" hidden="1">
      <c r="A1978" s="82"/>
      <c r="B1978" s="65" t="s">
        <v>495</v>
      </c>
      <c r="C1978" s="65" t="s">
        <v>84</v>
      </c>
      <c r="D1978" s="65"/>
      <c r="E1978" s="65" t="s">
        <v>1215</v>
      </c>
      <c r="F1978" s="83">
        <v>0.4583333333333333</v>
      </c>
      <c r="G1978" s="83">
        <v>0.5833333333333334</v>
      </c>
      <c r="H1978" s="83">
        <v>0.125</v>
      </c>
      <c r="I1978" s="84">
        <v>44428.0</v>
      </c>
      <c r="J1978" s="65" t="b">
        <v>0</v>
      </c>
      <c r="K1978" s="65"/>
      <c r="L1978" s="85" t="b">
        <f>IF(VLOOKUP(C1978,Projetos!A:L,12,false)=TRUE,TRUE,FALSE)</f>
        <v>0</v>
      </c>
      <c r="M1978" s="74">
        <v>73.7079846079846</v>
      </c>
      <c r="N1978" s="74">
        <f t="shared" si="1"/>
        <v>0</v>
      </c>
      <c r="O1978" s="74" t="b">
        <v>0</v>
      </c>
    </row>
    <row r="1979" hidden="1">
      <c r="A1979" s="82"/>
      <c r="B1979" s="65" t="s">
        <v>495</v>
      </c>
      <c r="C1979" s="65" t="s">
        <v>92</v>
      </c>
      <c r="D1979" s="65" t="str">
        <f>vlookup(C1979,'Classificação p pessoal'!F:G,2,false)</f>
        <v/>
      </c>
      <c r="E1979" s="65" t="s">
        <v>1216</v>
      </c>
      <c r="F1979" s="83">
        <v>0.625</v>
      </c>
      <c r="G1979" s="83">
        <v>0.6666666666666666</v>
      </c>
      <c r="H1979" s="83">
        <v>0.041666666666666664</v>
      </c>
      <c r="I1979" s="84">
        <v>44428.0</v>
      </c>
      <c r="J1979" s="65" t="b">
        <v>1</v>
      </c>
      <c r="K1979" s="65"/>
      <c r="L1979" s="85" t="b">
        <f>IF(VLOOKUP(C1979,Projetos!A:L,12,false)=TRUE,TRUE,FALSE)</f>
        <v>1</v>
      </c>
      <c r="M1979" s="74">
        <v>73.7079846079846</v>
      </c>
      <c r="N1979" s="74">
        <f t="shared" si="1"/>
        <v>73.70798461</v>
      </c>
      <c r="O1979" s="74" t="b">
        <v>1</v>
      </c>
    </row>
    <row r="1980" hidden="1">
      <c r="A1980" s="82"/>
      <c r="B1980" s="65" t="s">
        <v>495</v>
      </c>
      <c r="C1980" s="65" t="s">
        <v>92</v>
      </c>
      <c r="D1980" s="65" t="str">
        <f>vlookup(C1980,'Classificação p pessoal'!F:G,2,false)</f>
        <v/>
      </c>
      <c r="E1980" s="65" t="s">
        <v>1217</v>
      </c>
      <c r="F1980" s="83">
        <v>0.6666666666666666</v>
      </c>
      <c r="G1980" s="83">
        <v>0.75</v>
      </c>
      <c r="H1980" s="83">
        <v>0.08333333333333333</v>
      </c>
      <c r="I1980" s="84">
        <v>44428.0</v>
      </c>
      <c r="J1980" s="65" t="b">
        <v>1</v>
      </c>
      <c r="K1980" s="65"/>
      <c r="L1980" s="85" t="b">
        <f>IF(VLOOKUP(C1980,Projetos!A:L,12,false)=TRUE,TRUE,FALSE)</f>
        <v>1</v>
      </c>
      <c r="M1980" s="74">
        <v>73.7079846079846</v>
      </c>
      <c r="N1980" s="74">
        <f t="shared" si="1"/>
        <v>147.4159692</v>
      </c>
      <c r="O1980" s="74" t="b">
        <v>1</v>
      </c>
    </row>
    <row r="1981" hidden="1">
      <c r="A1981" s="82"/>
      <c r="B1981" s="65" t="s">
        <v>495</v>
      </c>
      <c r="C1981" s="65" t="s">
        <v>92</v>
      </c>
      <c r="D1981" s="65" t="str">
        <f>vlookup(C1981,'Classificação p pessoal'!F:G,2,false)</f>
        <v/>
      </c>
      <c r="E1981" s="65" t="s">
        <v>1218</v>
      </c>
      <c r="F1981" s="83">
        <v>0.34375</v>
      </c>
      <c r="G1981" s="83">
        <v>0.4375</v>
      </c>
      <c r="H1981" s="83">
        <v>0.09375</v>
      </c>
      <c r="I1981" s="84">
        <v>44278.0</v>
      </c>
      <c r="J1981" s="65" t="b">
        <v>1</v>
      </c>
      <c r="K1981" s="65"/>
      <c r="L1981" s="85" t="b">
        <f>IF(VLOOKUP(C1981,Projetos!A:L,12,false)=TRUE,TRUE,FALSE)</f>
        <v>1</v>
      </c>
      <c r="M1981" s="74">
        <v>73.7079846079846</v>
      </c>
      <c r="N1981" s="74">
        <f t="shared" si="1"/>
        <v>165.8429654</v>
      </c>
      <c r="O1981" s="74" t="b">
        <v>1</v>
      </c>
    </row>
    <row r="1982" hidden="1">
      <c r="A1982" s="82"/>
      <c r="B1982" s="65" t="s">
        <v>495</v>
      </c>
      <c r="C1982" s="65" t="s">
        <v>92</v>
      </c>
      <c r="D1982" s="65" t="str">
        <f>vlookup(C1982,'Classificação p pessoal'!F:G,2,false)</f>
        <v/>
      </c>
      <c r="E1982" s="65" t="s">
        <v>1219</v>
      </c>
      <c r="F1982" s="83">
        <v>0.4791666666666667</v>
      </c>
      <c r="G1982" s="83">
        <v>0.5763888888888888</v>
      </c>
      <c r="H1982" s="83">
        <v>0.09722222222222222</v>
      </c>
      <c r="I1982" s="84">
        <v>44278.0</v>
      </c>
      <c r="J1982" s="65" t="b">
        <v>1</v>
      </c>
      <c r="K1982" s="65"/>
      <c r="L1982" s="85" t="b">
        <f>IF(VLOOKUP(C1982,Projetos!A:L,12,false)=TRUE,TRUE,FALSE)</f>
        <v>1</v>
      </c>
      <c r="M1982" s="74">
        <v>73.7079846079846</v>
      </c>
      <c r="N1982" s="74">
        <f t="shared" si="1"/>
        <v>171.9852974</v>
      </c>
      <c r="O1982" s="74" t="b">
        <v>1</v>
      </c>
    </row>
    <row r="1983" hidden="1">
      <c r="A1983" s="82"/>
      <c r="B1983" s="65" t="s">
        <v>495</v>
      </c>
      <c r="C1983" s="65" t="s">
        <v>92</v>
      </c>
      <c r="D1983" s="65" t="str">
        <f>vlookup(C1983,'Classificação p pessoal'!F:G,2,false)</f>
        <v/>
      </c>
      <c r="E1983" s="65" t="s">
        <v>834</v>
      </c>
      <c r="F1983" s="83">
        <v>0.6180555555555556</v>
      </c>
      <c r="G1983" s="83">
        <v>0.6597222222222222</v>
      </c>
      <c r="H1983" s="83">
        <v>0.041666666666666664</v>
      </c>
      <c r="I1983" s="84">
        <v>44278.0</v>
      </c>
      <c r="J1983" s="65" t="b">
        <v>1</v>
      </c>
      <c r="K1983" s="65"/>
      <c r="L1983" s="85" t="b">
        <f>IF(VLOOKUP(C1983,Projetos!A:L,12,false)=TRUE,TRUE,FALSE)</f>
        <v>1</v>
      </c>
      <c r="M1983" s="74">
        <v>73.7079846079846</v>
      </c>
      <c r="N1983" s="74">
        <f t="shared" si="1"/>
        <v>73.70798461</v>
      </c>
      <c r="O1983" s="74" t="b">
        <v>1</v>
      </c>
    </row>
    <row r="1984" hidden="1">
      <c r="A1984" s="82"/>
      <c r="B1984" s="65" t="s">
        <v>495</v>
      </c>
      <c r="C1984" s="65" t="s">
        <v>92</v>
      </c>
      <c r="D1984" s="65" t="str">
        <f>vlookup(C1984,'Classificação p pessoal'!F:G,2,false)</f>
        <v/>
      </c>
      <c r="E1984" s="65" t="s">
        <v>1220</v>
      </c>
      <c r="F1984" s="83">
        <v>0.6597222222222222</v>
      </c>
      <c r="G1984" s="83">
        <v>0.75</v>
      </c>
      <c r="H1984" s="83">
        <v>0.09027777777777778</v>
      </c>
      <c r="I1984" s="84">
        <v>44278.0</v>
      </c>
      <c r="J1984" s="65" t="b">
        <v>1</v>
      </c>
      <c r="K1984" s="65"/>
      <c r="L1984" s="85" t="b">
        <f>IF(VLOOKUP(C1984,Projetos!A:L,12,false)=TRUE,TRUE,FALSE)</f>
        <v>1</v>
      </c>
      <c r="M1984" s="74">
        <v>73.7079846079846</v>
      </c>
      <c r="N1984" s="74">
        <f t="shared" si="1"/>
        <v>159.7006333</v>
      </c>
      <c r="O1984" s="74" t="b">
        <v>1</v>
      </c>
    </row>
    <row r="1985" hidden="1">
      <c r="A1985" s="82"/>
      <c r="B1985" s="65" t="s">
        <v>495</v>
      </c>
      <c r="C1985" s="65" t="s">
        <v>84</v>
      </c>
      <c r="D1985" s="65"/>
      <c r="E1985" s="65" t="s">
        <v>1221</v>
      </c>
      <c r="F1985" s="83">
        <v>0.3541666666666667</v>
      </c>
      <c r="G1985" s="83">
        <v>0.375</v>
      </c>
      <c r="H1985" s="83">
        <v>0.020833333333333332</v>
      </c>
      <c r="I1985" s="84">
        <v>44279.0</v>
      </c>
      <c r="J1985" s="65" t="b">
        <v>0</v>
      </c>
      <c r="K1985" s="65" t="s">
        <v>150</v>
      </c>
      <c r="L1985" s="85" t="b">
        <f>IF(VLOOKUP(C1985,Projetos!A:L,12,false)=TRUE,TRUE,FALSE)</f>
        <v>0</v>
      </c>
      <c r="M1985" s="74">
        <v>73.7079846079846</v>
      </c>
      <c r="N1985" s="74">
        <f t="shared" si="1"/>
        <v>0</v>
      </c>
      <c r="O1985" s="74" t="b">
        <v>0</v>
      </c>
    </row>
    <row r="1986" hidden="1">
      <c r="A1986" s="82"/>
      <c r="B1986" s="65" t="s">
        <v>495</v>
      </c>
      <c r="C1986" s="65" t="s">
        <v>84</v>
      </c>
      <c r="D1986" s="65"/>
      <c r="E1986" s="65" t="s">
        <v>1222</v>
      </c>
      <c r="F1986" s="83">
        <v>0.375</v>
      </c>
      <c r="G1986" s="83">
        <v>0.4375</v>
      </c>
      <c r="H1986" s="83">
        <v>0.0625</v>
      </c>
      <c r="I1986" s="84">
        <v>44279.0</v>
      </c>
      <c r="J1986" s="65" t="b">
        <v>0</v>
      </c>
      <c r="K1986" s="65"/>
      <c r="L1986" s="85" t="b">
        <f>IF(VLOOKUP(C1986,Projetos!A:L,12,false)=TRUE,TRUE,FALSE)</f>
        <v>0</v>
      </c>
      <c r="M1986" s="74">
        <v>73.7079846079846</v>
      </c>
      <c r="N1986" s="74">
        <f t="shared" si="1"/>
        <v>0</v>
      </c>
      <c r="O1986" s="74" t="b">
        <v>0</v>
      </c>
    </row>
    <row r="1987" hidden="1">
      <c r="A1987" s="82"/>
      <c r="B1987" s="65" t="s">
        <v>495</v>
      </c>
      <c r="C1987" s="65" t="s">
        <v>92</v>
      </c>
      <c r="D1987" s="65" t="str">
        <f>vlookup(C1987,'Classificação p pessoal'!F:G,2,false)</f>
        <v/>
      </c>
      <c r="E1987" s="65" t="s">
        <v>1219</v>
      </c>
      <c r="F1987" s="83">
        <v>0.4583333333333333</v>
      </c>
      <c r="G1987" s="83">
        <v>0.5729166666666666</v>
      </c>
      <c r="H1987" s="83">
        <v>0.11458333333333333</v>
      </c>
      <c r="I1987" s="84">
        <v>44279.0</v>
      </c>
      <c r="J1987" s="65" t="b">
        <v>1</v>
      </c>
      <c r="K1987" s="65"/>
      <c r="L1987" s="85" t="b">
        <f>IF(VLOOKUP(C1987,Projetos!A:L,12,false)=TRUE,TRUE,FALSE)</f>
        <v>1</v>
      </c>
      <c r="M1987" s="74">
        <v>73.7079846079846</v>
      </c>
      <c r="N1987" s="74">
        <f t="shared" si="1"/>
        <v>202.6969577</v>
      </c>
      <c r="O1987" s="74" t="b">
        <v>1</v>
      </c>
    </row>
    <row r="1988" hidden="1">
      <c r="A1988" s="82"/>
      <c r="B1988" s="65" t="s">
        <v>495</v>
      </c>
      <c r="C1988" s="65" t="s">
        <v>100</v>
      </c>
      <c r="D1988" s="65" t="str">
        <f>vlookup(C1988,'Classificação p pessoal'!F:G,2,false)</f>
        <v>NP</v>
      </c>
      <c r="E1988" s="65" t="s">
        <v>1223</v>
      </c>
      <c r="F1988" s="83">
        <v>0.6145833333333334</v>
      </c>
      <c r="G1988" s="83">
        <v>0.6458333333333334</v>
      </c>
      <c r="H1988" s="83">
        <v>0.03125</v>
      </c>
      <c r="I1988" s="84">
        <v>44279.0</v>
      </c>
      <c r="J1988" s="65" t="b">
        <v>1</v>
      </c>
      <c r="K1988" s="65"/>
      <c r="L1988" s="85" t="b">
        <f>IF(VLOOKUP(C1988,Projetos!A:L,12,false)=TRUE,TRUE,FALSE)</f>
        <v>1</v>
      </c>
      <c r="M1988" s="74">
        <v>73.7079846079846</v>
      </c>
      <c r="N1988" s="74">
        <f t="shared" si="1"/>
        <v>55.28098846</v>
      </c>
      <c r="O1988" s="74" t="b">
        <v>1</v>
      </c>
    </row>
    <row r="1989" hidden="1">
      <c r="A1989" s="82"/>
      <c r="B1989" s="65" t="s">
        <v>495</v>
      </c>
      <c r="C1989" s="65" t="s">
        <v>92</v>
      </c>
      <c r="D1989" s="65" t="str">
        <f>vlookup(C1989,'Classificação p pessoal'!F:G,2,false)</f>
        <v/>
      </c>
      <c r="E1989" s="65" t="s">
        <v>1224</v>
      </c>
      <c r="F1989" s="83">
        <v>0.6458333333333334</v>
      </c>
      <c r="G1989" s="83">
        <v>0.6875</v>
      </c>
      <c r="H1989" s="83">
        <v>0.041666666666666664</v>
      </c>
      <c r="I1989" s="84">
        <v>44279.0</v>
      </c>
      <c r="J1989" s="65" t="b">
        <v>1</v>
      </c>
      <c r="K1989" s="65"/>
      <c r="L1989" s="85" t="b">
        <f>IF(VLOOKUP(C1989,Projetos!A:L,12,false)=TRUE,TRUE,FALSE)</f>
        <v>1</v>
      </c>
      <c r="M1989" s="74">
        <v>73.7079846079846</v>
      </c>
      <c r="N1989" s="74">
        <f t="shared" si="1"/>
        <v>73.70798461</v>
      </c>
      <c r="O1989" s="74" t="b">
        <v>1</v>
      </c>
    </row>
    <row r="1990" hidden="1">
      <c r="A1990" s="82"/>
      <c r="B1990" s="65" t="s">
        <v>495</v>
      </c>
      <c r="C1990" s="65" t="s">
        <v>92</v>
      </c>
      <c r="D1990" s="65" t="str">
        <f>vlookup(C1990,'Classificação p pessoal'!F:G,2,false)</f>
        <v/>
      </c>
      <c r="E1990" s="65" t="s">
        <v>1219</v>
      </c>
      <c r="F1990" s="83">
        <v>0.6979166666666666</v>
      </c>
      <c r="G1990" s="83">
        <v>0.75</v>
      </c>
      <c r="H1990" s="83">
        <v>0.052083333333333336</v>
      </c>
      <c r="I1990" s="84">
        <v>44279.0</v>
      </c>
      <c r="J1990" s="65" t="b">
        <v>1</v>
      </c>
      <c r="K1990" s="65"/>
      <c r="L1990" s="85" t="b">
        <f>IF(VLOOKUP(C1990,Projetos!A:L,12,false)=TRUE,TRUE,FALSE)</f>
        <v>1</v>
      </c>
      <c r="M1990" s="74">
        <v>73.7079846079846</v>
      </c>
      <c r="N1990" s="74">
        <f t="shared" si="1"/>
        <v>92.13498076</v>
      </c>
      <c r="O1990" s="74" t="b">
        <v>1</v>
      </c>
    </row>
    <row r="1991" hidden="1">
      <c r="A1991" s="82"/>
      <c r="B1991" s="65" t="s">
        <v>495</v>
      </c>
      <c r="C1991" s="65" t="s">
        <v>92</v>
      </c>
      <c r="D1991" s="65" t="str">
        <f>vlookup(C1991,'Classificação p pessoal'!F:G,2,false)</f>
        <v/>
      </c>
      <c r="E1991" s="65" t="s">
        <v>1225</v>
      </c>
      <c r="F1991" s="83">
        <v>0.375</v>
      </c>
      <c r="G1991" s="83">
        <v>0.4791666666666667</v>
      </c>
      <c r="H1991" s="83">
        <v>0.10416666666666667</v>
      </c>
      <c r="I1991" s="84">
        <v>44433.0</v>
      </c>
      <c r="J1991" s="65" t="b">
        <v>1</v>
      </c>
      <c r="K1991" s="65"/>
      <c r="L1991" s="85" t="b">
        <f>IF(VLOOKUP(C1991,Projetos!A:L,12,false)=TRUE,TRUE,FALSE)</f>
        <v>1</v>
      </c>
      <c r="M1991" s="74">
        <v>73.7079846079846</v>
      </c>
      <c r="N1991" s="74">
        <f t="shared" si="1"/>
        <v>184.2699615</v>
      </c>
      <c r="O1991" s="74" t="b">
        <v>1</v>
      </c>
    </row>
    <row r="1992" hidden="1">
      <c r="A1992" s="82"/>
      <c r="B1992" s="65" t="s">
        <v>495</v>
      </c>
      <c r="C1992" s="65" t="s">
        <v>92</v>
      </c>
      <c r="D1992" s="65" t="str">
        <f>vlookup(C1992,'Classificação p pessoal'!F:G,2,false)</f>
        <v/>
      </c>
      <c r="E1992" s="65" t="s">
        <v>1226</v>
      </c>
      <c r="F1992" s="83">
        <v>0.4791666666666667</v>
      </c>
      <c r="G1992" s="83">
        <v>0.5416666666666666</v>
      </c>
      <c r="H1992" s="83">
        <v>0.0625</v>
      </c>
      <c r="I1992" s="84">
        <v>44433.0</v>
      </c>
      <c r="J1992" s="65" t="b">
        <v>1</v>
      </c>
      <c r="K1992" s="65"/>
      <c r="L1992" s="85" t="b">
        <f>IF(VLOOKUP(C1992,Projetos!A:L,12,false)=TRUE,TRUE,FALSE)</f>
        <v>1</v>
      </c>
      <c r="M1992" s="74">
        <v>73.7079846079846</v>
      </c>
      <c r="N1992" s="74">
        <f t="shared" si="1"/>
        <v>110.5619769</v>
      </c>
      <c r="O1992" s="74" t="b">
        <v>1</v>
      </c>
    </row>
    <row r="1993" hidden="1">
      <c r="A1993" s="82"/>
      <c r="B1993" s="65" t="s">
        <v>495</v>
      </c>
      <c r="C1993" s="65" t="s">
        <v>92</v>
      </c>
      <c r="D1993" s="65" t="str">
        <f>vlookup(C1993,'Classificação p pessoal'!F:G,2,false)</f>
        <v/>
      </c>
      <c r="E1993" s="65" t="s">
        <v>1227</v>
      </c>
      <c r="F1993" s="83">
        <v>0.5833333333333334</v>
      </c>
      <c r="G1993" s="83">
        <v>0.625</v>
      </c>
      <c r="H1993" s="83">
        <v>0.041666666666666664</v>
      </c>
      <c r="I1993" s="84">
        <v>44433.0</v>
      </c>
      <c r="J1993" s="65" t="b">
        <v>1</v>
      </c>
      <c r="K1993" s="65"/>
      <c r="L1993" s="85" t="b">
        <f>IF(VLOOKUP(C1993,Projetos!A:L,12,false)=TRUE,TRUE,FALSE)</f>
        <v>1</v>
      </c>
      <c r="M1993" s="74">
        <v>73.7079846079846</v>
      </c>
      <c r="N1993" s="74">
        <f t="shared" si="1"/>
        <v>73.70798461</v>
      </c>
      <c r="O1993" s="74" t="b">
        <v>1</v>
      </c>
    </row>
    <row r="1994" hidden="1">
      <c r="A1994" s="82"/>
      <c r="B1994" s="65" t="s">
        <v>495</v>
      </c>
      <c r="C1994" s="65" t="s">
        <v>92</v>
      </c>
      <c r="D1994" s="65" t="str">
        <f>vlookup(C1994,'Classificação p pessoal'!F:G,2,false)</f>
        <v/>
      </c>
      <c r="E1994" s="65" t="s">
        <v>1219</v>
      </c>
      <c r="F1994" s="83">
        <v>0.625</v>
      </c>
      <c r="G1994" s="83">
        <v>0.6875</v>
      </c>
      <c r="H1994" s="83">
        <v>0.0625</v>
      </c>
      <c r="I1994" s="84">
        <v>44433.0</v>
      </c>
      <c r="J1994" s="65" t="b">
        <v>1</v>
      </c>
      <c r="K1994" s="65"/>
      <c r="L1994" s="85" t="b">
        <f>IF(VLOOKUP(C1994,Projetos!A:L,12,false)=TRUE,TRUE,FALSE)</f>
        <v>1</v>
      </c>
      <c r="M1994" s="74">
        <v>73.7079846079846</v>
      </c>
      <c r="N1994" s="74">
        <f t="shared" si="1"/>
        <v>110.5619769</v>
      </c>
      <c r="O1994" s="74" t="b">
        <v>1</v>
      </c>
    </row>
    <row r="1995" hidden="1">
      <c r="A1995" s="82"/>
      <c r="B1995" s="65" t="s">
        <v>495</v>
      </c>
      <c r="C1995" s="65" t="s">
        <v>117</v>
      </c>
      <c r="D1995" s="65" t="str">
        <f>vlookup(C1995,'Classificação p pessoal'!F:G,2,false)</f>
        <v>NP</v>
      </c>
      <c r="E1995" s="65" t="s">
        <v>1228</v>
      </c>
      <c r="F1995" s="83">
        <v>0.6875</v>
      </c>
      <c r="G1995" s="83">
        <v>0.7291666666666666</v>
      </c>
      <c r="H1995" s="83">
        <v>0.041666666666666664</v>
      </c>
      <c r="I1995" s="84">
        <v>44433.0</v>
      </c>
      <c r="J1995" s="65" t="b">
        <v>1</v>
      </c>
      <c r="K1995" s="65"/>
      <c r="L1995" s="85" t="b">
        <f>IF(VLOOKUP(C1995,Projetos!A:L,12,false)=TRUE,TRUE,FALSE)</f>
        <v>1</v>
      </c>
      <c r="M1995" s="74">
        <v>73.7079846079846</v>
      </c>
      <c r="N1995" s="74">
        <f t="shared" si="1"/>
        <v>73.70798461</v>
      </c>
      <c r="O1995" s="74" t="b">
        <v>1</v>
      </c>
    </row>
    <row r="1996" hidden="1">
      <c r="A1996" s="82"/>
      <c r="B1996" s="65" t="s">
        <v>495</v>
      </c>
      <c r="C1996" s="65" t="s">
        <v>100</v>
      </c>
      <c r="D1996" s="65" t="str">
        <f>vlookup(C1996,'Classificação p pessoal'!F:G,2,false)</f>
        <v>NP</v>
      </c>
      <c r="E1996" s="65" t="s">
        <v>1229</v>
      </c>
      <c r="F1996" s="83">
        <v>0.3541666666666667</v>
      </c>
      <c r="G1996" s="83">
        <v>0.40625</v>
      </c>
      <c r="H1996" s="83">
        <v>0.052083333333333336</v>
      </c>
      <c r="I1996" s="84">
        <v>44434.0</v>
      </c>
      <c r="J1996" s="65" t="b">
        <v>1</v>
      </c>
      <c r="K1996" s="65"/>
      <c r="L1996" s="85" t="b">
        <f>IF(VLOOKUP(C1996,Projetos!A:L,12,false)=TRUE,TRUE,FALSE)</f>
        <v>1</v>
      </c>
      <c r="M1996" s="74">
        <v>73.7079846079846</v>
      </c>
      <c r="N1996" s="74">
        <f t="shared" si="1"/>
        <v>92.13498076</v>
      </c>
      <c r="O1996" s="74" t="b">
        <v>1</v>
      </c>
    </row>
    <row r="1997" hidden="1">
      <c r="A1997" s="82"/>
      <c r="B1997" s="65" t="s">
        <v>495</v>
      </c>
      <c r="C1997" s="65" t="s">
        <v>92</v>
      </c>
      <c r="D1997" s="65" t="str">
        <f>vlookup(C1997,'Classificação p pessoal'!F:G,2,false)</f>
        <v/>
      </c>
      <c r="E1997" s="65" t="s">
        <v>1230</v>
      </c>
      <c r="F1997" s="83">
        <v>0.40625</v>
      </c>
      <c r="G1997" s="83">
        <v>0.4375</v>
      </c>
      <c r="H1997" s="83">
        <v>0.03125</v>
      </c>
      <c r="I1997" s="84">
        <v>44434.0</v>
      </c>
      <c r="J1997" s="65" t="b">
        <v>1</v>
      </c>
      <c r="K1997" s="65"/>
      <c r="L1997" s="85" t="b">
        <f>IF(VLOOKUP(C1997,Projetos!A:L,12,false)=TRUE,TRUE,FALSE)</f>
        <v>1</v>
      </c>
      <c r="M1997" s="74">
        <v>73.7079846079846</v>
      </c>
      <c r="N1997" s="74">
        <f t="shared" si="1"/>
        <v>55.28098846</v>
      </c>
      <c r="O1997" s="74" t="b">
        <v>1</v>
      </c>
    </row>
    <row r="1998" hidden="1">
      <c r="A1998" s="82"/>
      <c r="B1998" s="65" t="s">
        <v>495</v>
      </c>
      <c r="C1998" s="65" t="s">
        <v>92</v>
      </c>
      <c r="D1998" s="65" t="str">
        <f>vlookup(C1998,'Classificação p pessoal'!F:G,2,false)</f>
        <v/>
      </c>
      <c r="E1998" s="65" t="s">
        <v>1219</v>
      </c>
      <c r="F1998" s="83">
        <v>0.4583333333333333</v>
      </c>
      <c r="G1998" s="83">
        <v>0.5805555555555556</v>
      </c>
      <c r="H1998" s="83">
        <v>0.12222222222222222</v>
      </c>
      <c r="I1998" s="84">
        <v>44434.0</v>
      </c>
      <c r="J1998" s="65" t="b">
        <v>1</v>
      </c>
      <c r="K1998" s="65"/>
      <c r="L1998" s="85" t="b">
        <f>IF(VLOOKUP(C1998,Projetos!A:L,12,false)=TRUE,TRUE,FALSE)</f>
        <v>1</v>
      </c>
      <c r="M1998" s="74">
        <v>73.7079846079846</v>
      </c>
      <c r="N1998" s="74">
        <f t="shared" si="1"/>
        <v>216.2100882</v>
      </c>
      <c r="O1998" s="74" t="b">
        <v>1</v>
      </c>
    </row>
    <row r="1999" hidden="1">
      <c r="A1999" s="82"/>
      <c r="B1999" s="65" t="s">
        <v>495</v>
      </c>
      <c r="C1999" s="65" t="s">
        <v>92</v>
      </c>
      <c r="D1999" s="65" t="str">
        <f>vlookup(C1999,'Classificação p pessoal'!F:G,2,false)</f>
        <v/>
      </c>
      <c r="E1999" s="65" t="s">
        <v>1231</v>
      </c>
      <c r="F1999" s="83">
        <v>0.625</v>
      </c>
      <c r="G1999" s="83">
        <v>0.7083333333333334</v>
      </c>
      <c r="H1999" s="83">
        <v>0.08333333333333333</v>
      </c>
      <c r="I1999" s="84">
        <v>44434.0</v>
      </c>
      <c r="J1999" s="65" t="b">
        <v>1</v>
      </c>
      <c r="K1999" s="65"/>
      <c r="L1999" s="85" t="b">
        <f>IF(VLOOKUP(C1999,Projetos!A:L,12,false)=TRUE,TRUE,FALSE)</f>
        <v>1</v>
      </c>
      <c r="M1999" s="74">
        <v>73.7079846079846</v>
      </c>
      <c r="N1999" s="74">
        <f t="shared" si="1"/>
        <v>147.4159692</v>
      </c>
      <c r="O1999" s="74" t="b">
        <v>1</v>
      </c>
    </row>
    <row r="2000" hidden="1">
      <c r="A2000" s="82"/>
      <c r="B2000" s="65" t="s">
        <v>495</v>
      </c>
      <c r="C2000" s="65" t="s">
        <v>92</v>
      </c>
      <c r="D2000" s="65"/>
      <c r="E2000" s="65" t="s">
        <v>1232</v>
      </c>
      <c r="F2000" s="83">
        <v>0.4791666666666667</v>
      </c>
      <c r="G2000" s="83">
        <v>0.5</v>
      </c>
      <c r="H2000" s="83">
        <v>0.020833333333333332</v>
      </c>
      <c r="I2000" s="84">
        <v>44537.0</v>
      </c>
      <c r="J2000" s="65" t="b">
        <v>0</v>
      </c>
      <c r="K2000" s="65" t="s">
        <v>150</v>
      </c>
      <c r="L2000" s="85" t="b">
        <f>IF(VLOOKUP(C2000,Projetos!A:L,12,false)=TRUE,TRUE,FALSE)</f>
        <v>1</v>
      </c>
      <c r="M2000" s="74">
        <v>73.7079846079846</v>
      </c>
      <c r="N2000" s="74">
        <f t="shared" si="1"/>
        <v>0</v>
      </c>
      <c r="O2000" s="74" t="b">
        <v>1</v>
      </c>
    </row>
    <row r="2001" hidden="1">
      <c r="A2001" s="82"/>
      <c r="B2001" s="65" t="s">
        <v>495</v>
      </c>
      <c r="C2001" s="65" t="s">
        <v>92</v>
      </c>
      <c r="D2001" s="65" t="str">
        <f>vlookup(C2001,'Classificação p pessoal'!F:G,2,false)</f>
        <v/>
      </c>
      <c r="E2001" s="65" t="s">
        <v>1233</v>
      </c>
      <c r="F2001" s="83">
        <v>0.3541666666666667</v>
      </c>
      <c r="G2001" s="83">
        <v>0.4166666666666667</v>
      </c>
      <c r="H2001" s="83">
        <v>0.0625</v>
      </c>
      <c r="I2001" s="84">
        <v>44435.0</v>
      </c>
      <c r="J2001" s="65" t="b">
        <v>1</v>
      </c>
      <c r="K2001" s="65"/>
      <c r="L2001" s="85" t="b">
        <f>IF(VLOOKUP(C2001,Projetos!A:L,12,false)=TRUE,TRUE,FALSE)</f>
        <v>1</v>
      </c>
      <c r="M2001" s="74">
        <v>73.7079846079846</v>
      </c>
      <c r="N2001" s="74">
        <f t="shared" si="1"/>
        <v>110.5619769</v>
      </c>
      <c r="O2001" s="74" t="b">
        <v>1</v>
      </c>
    </row>
    <row r="2002" hidden="1">
      <c r="A2002" s="82"/>
      <c r="B2002" s="65" t="s">
        <v>495</v>
      </c>
      <c r="C2002" s="65" t="s">
        <v>92</v>
      </c>
      <c r="D2002" s="65" t="str">
        <f>vlookup(C2002,'Classificação p pessoal'!F:G,2,false)</f>
        <v/>
      </c>
      <c r="E2002" s="65" t="s">
        <v>1234</v>
      </c>
      <c r="F2002" s="83">
        <v>0.4583333333333333</v>
      </c>
      <c r="G2002" s="83">
        <v>0.5208333333333334</v>
      </c>
      <c r="H2002" s="83">
        <v>0.0625</v>
      </c>
      <c r="I2002" s="84">
        <v>44435.0</v>
      </c>
      <c r="J2002" s="65" t="b">
        <v>1</v>
      </c>
      <c r="K2002" s="65"/>
      <c r="L2002" s="85" t="b">
        <f>IF(VLOOKUP(C2002,Projetos!A:L,12,false)=TRUE,TRUE,FALSE)</f>
        <v>1</v>
      </c>
      <c r="M2002" s="74">
        <v>73.7079846079846</v>
      </c>
      <c r="N2002" s="74">
        <f t="shared" si="1"/>
        <v>110.5619769</v>
      </c>
      <c r="O2002" s="74" t="b">
        <v>1</v>
      </c>
    </row>
    <row r="2003" hidden="1">
      <c r="A2003" s="82"/>
      <c r="B2003" s="65" t="s">
        <v>495</v>
      </c>
      <c r="C2003" s="65" t="s">
        <v>92</v>
      </c>
      <c r="D2003" s="65"/>
      <c r="E2003" s="65" t="s">
        <v>1235</v>
      </c>
      <c r="F2003" s="83">
        <v>0.5208333333333334</v>
      </c>
      <c r="G2003" s="83">
        <v>0.5729166666666666</v>
      </c>
      <c r="H2003" s="83">
        <v>0.052083333333333336</v>
      </c>
      <c r="I2003" s="84">
        <v>44435.0</v>
      </c>
      <c r="J2003" s="65" t="b">
        <v>0</v>
      </c>
      <c r="K2003" s="65" t="s">
        <v>150</v>
      </c>
      <c r="L2003" s="85" t="b">
        <f>IF(VLOOKUP(C2003,Projetos!A:L,12,false)=TRUE,TRUE,FALSE)</f>
        <v>1</v>
      </c>
      <c r="M2003" s="74">
        <v>73.7079846079846</v>
      </c>
      <c r="N2003" s="74">
        <f t="shared" si="1"/>
        <v>0</v>
      </c>
      <c r="O2003" s="74" t="b">
        <v>1</v>
      </c>
    </row>
    <row r="2004" hidden="1">
      <c r="A2004" s="82"/>
      <c r="B2004" s="65" t="s">
        <v>495</v>
      </c>
      <c r="C2004" s="65" t="s">
        <v>92</v>
      </c>
      <c r="D2004" s="65"/>
      <c r="E2004" s="65" t="s">
        <v>1236</v>
      </c>
      <c r="F2004" s="83">
        <v>0.4166666666666667</v>
      </c>
      <c r="G2004" s="83">
        <v>0.4375</v>
      </c>
      <c r="H2004" s="83">
        <v>0.020833333333333332</v>
      </c>
      <c r="I2004" s="84">
        <v>44546.0</v>
      </c>
      <c r="J2004" s="65" t="b">
        <v>0</v>
      </c>
      <c r="K2004" s="65" t="s">
        <v>150</v>
      </c>
      <c r="L2004" s="85" t="b">
        <f>IF(VLOOKUP(C2004,Projetos!A:L,12,false)=TRUE,TRUE,FALSE)</f>
        <v>1</v>
      </c>
      <c r="M2004" s="74">
        <v>73.7079846079846</v>
      </c>
      <c r="N2004" s="74">
        <f t="shared" si="1"/>
        <v>0</v>
      </c>
      <c r="O2004" s="74" t="b">
        <v>1</v>
      </c>
    </row>
    <row r="2005" hidden="1">
      <c r="A2005" s="82"/>
      <c r="B2005" s="65" t="s">
        <v>495</v>
      </c>
      <c r="C2005" s="65" t="s">
        <v>92</v>
      </c>
      <c r="D2005" s="65" t="str">
        <f>vlookup(C2005,'Classificação p pessoal'!F:G,2,false)</f>
        <v/>
      </c>
      <c r="E2005" s="65" t="s">
        <v>1237</v>
      </c>
      <c r="F2005" s="83">
        <v>0.6770833333333334</v>
      </c>
      <c r="G2005" s="83">
        <v>0.75</v>
      </c>
      <c r="H2005" s="83">
        <v>0.07291666666666667</v>
      </c>
      <c r="I2005" s="84">
        <v>44435.0</v>
      </c>
      <c r="J2005" s="65" t="b">
        <v>1</v>
      </c>
      <c r="K2005" s="65"/>
      <c r="L2005" s="85" t="b">
        <f>IF(VLOOKUP(C2005,Projetos!A:L,12,false)=TRUE,TRUE,FALSE)</f>
        <v>1</v>
      </c>
      <c r="M2005" s="74">
        <v>73.7079846079846</v>
      </c>
      <c r="N2005" s="74">
        <f t="shared" si="1"/>
        <v>128.9889731</v>
      </c>
      <c r="O2005" s="74" t="b">
        <v>1</v>
      </c>
    </row>
    <row r="2006" hidden="1">
      <c r="A2006" s="82"/>
      <c r="B2006" s="65" t="s">
        <v>495</v>
      </c>
      <c r="C2006" s="65" t="s">
        <v>92</v>
      </c>
      <c r="D2006" s="65" t="str">
        <f>vlookup(C2006,'Classificação p pessoal'!F:G,2,false)</f>
        <v/>
      </c>
      <c r="E2006" s="65" t="s">
        <v>1238</v>
      </c>
      <c r="F2006" s="83">
        <v>0.3645833333333333</v>
      </c>
      <c r="G2006" s="83">
        <v>0.4583333333333333</v>
      </c>
      <c r="H2006" s="83">
        <v>0.09375</v>
      </c>
      <c r="I2006" s="84">
        <v>44438.0</v>
      </c>
      <c r="J2006" s="65" t="b">
        <v>1</v>
      </c>
      <c r="K2006" s="65"/>
      <c r="L2006" s="85" t="b">
        <f>IF(VLOOKUP(C2006,Projetos!A:L,12,false)=TRUE,TRUE,FALSE)</f>
        <v>1</v>
      </c>
      <c r="M2006" s="74">
        <v>73.7079846079846</v>
      </c>
      <c r="N2006" s="74">
        <f t="shared" si="1"/>
        <v>165.8429654</v>
      </c>
      <c r="O2006" s="74" t="b">
        <v>1</v>
      </c>
    </row>
    <row r="2007" hidden="1">
      <c r="A2007" s="82"/>
      <c r="B2007" s="65" t="s">
        <v>495</v>
      </c>
      <c r="C2007" s="65" t="s">
        <v>92</v>
      </c>
      <c r="D2007" s="65" t="str">
        <f>vlookup(C2007,'Classificação p pessoal'!F:G,2,false)</f>
        <v/>
      </c>
      <c r="E2007" s="65" t="s">
        <v>1239</v>
      </c>
      <c r="F2007" s="83">
        <v>0.4583333333333333</v>
      </c>
      <c r="G2007" s="83">
        <v>0.5416666666666666</v>
      </c>
      <c r="H2007" s="83">
        <v>0.08333333333333333</v>
      </c>
      <c r="I2007" s="84">
        <v>44438.0</v>
      </c>
      <c r="J2007" s="65" t="b">
        <v>1</v>
      </c>
      <c r="K2007" s="65"/>
      <c r="L2007" s="85" t="b">
        <f>IF(VLOOKUP(C2007,Projetos!A:L,12,false)=TRUE,TRUE,FALSE)</f>
        <v>1</v>
      </c>
      <c r="M2007" s="74">
        <v>73.7079846079846</v>
      </c>
      <c r="N2007" s="74">
        <f t="shared" si="1"/>
        <v>147.4159692</v>
      </c>
      <c r="O2007" s="74" t="b">
        <v>1</v>
      </c>
    </row>
    <row r="2008" hidden="1">
      <c r="A2008" s="82"/>
      <c r="B2008" s="65" t="s">
        <v>495</v>
      </c>
      <c r="C2008" s="65" t="s">
        <v>92</v>
      </c>
      <c r="D2008" s="65"/>
      <c r="E2008" s="65" t="s">
        <v>1240</v>
      </c>
      <c r="F2008" s="83">
        <v>0.5833333333333334</v>
      </c>
      <c r="G2008" s="83">
        <v>0.6458333333333334</v>
      </c>
      <c r="H2008" s="83">
        <v>0.0625</v>
      </c>
      <c r="I2008" s="84">
        <v>44438.0</v>
      </c>
      <c r="J2008" s="65" t="b">
        <v>0</v>
      </c>
      <c r="K2008" s="65" t="s">
        <v>150</v>
      </c>
      <c r="L2008" s="85" t="b">
        <f>IF(VLOOKUP(C2008,Projetos!A:L,12,false)=TRUE,TRUE,FALSE)</f>
        <v>1</v>
      </c>
      <c r="M2008" s="74">
        <v>73.7079846079846</v>
      </c>
      <c r="N2008" s="74">
        <f t="shared" si="1"/>
        <v>0</v>
      </c>
      <c r="O2008" s="74" t="b">
        <v>1</v>
      </c>
    </row>
    <row r="2009" hidden="1">
      <c r="A2009" s="82"/>
      <c r="B2009" s="65" t="s">
        <v>495</v>
      </c>
      <c r="C2009" s="65" t="s">
        <v>92</v>
      </c>
      <c r="D2009" s="65"/>
      <c r="E2009" s="65" t="s">
        <v>1241</v>
      </c>
      <c r="F2009" s="83">
        <v>0.71875</v>
      </c>
      <c r="G2009" s="83">
        <v>0.75</v>
      </c>
      <c r="H2009" s="83">
        <v>0.03125</v>
      </c>
      <c r="I2009" s="84">
        <v>44530.0</v>
      </c>
      <c r="J2009" s="65" t="b">
        <v>0</v>
      </c>
      <c r="K2009" s="65" t="s">
        <v>150</v>
      </c>
      <c r="L2009" s="85" t="b">
        <f>IF(VLOOKUP(C2009,Projetos!A:L,12,false)=TRUE,TRUE,FALSE)</f>
        <v>1</v>
      </c>
      <c r="M2009" s="74">
        <v>73.7079846079846</v>
      </c>
      <c r="N2009" s="74">
        <f t="shared" si="1"/>
        <v>0</v>
      </c>
      <c r="O2009" s="74" t="b">
        <v>1</v>
      </c>
    </row>
    <row r="2010" hidden="1">
      <c r="A2010" s="82"/>
      <c r="B2010" s="65" t="s">
        <v>495</v>
      </c>
      <c r="C2010" s="65" t="s">
        <v>92</v>
      </c>
      <c r="D2010" s="65" t="str">
        <f>vlookup(C2010,'Classificação p pessoal'!F:G,2,false)</f>
        <v/>
      </c>
      <c r="E2010" s="65" t="s">
        <v>1242</v>
      </c>
      <c r="F2010" s="83">
        <v>0.6979166666666666</v>
      </c>
      <c r="G2010" s="83">
        <v>0.75</v>
      </c>
      <c r="H2010" s="83">
        <v>0.052083333333333336</v>
      </c>
      <c r="I2010" s="84">
        <v>44438.0</v>
      </c>
      <c r="J2010" s="65" t="b">
        <v>1</v>
      </c>
      <c r="K2010" s="65"/>
      <c r="L2010" s="85" t="b">
        <f>IF(VLOOKUP(C2010,Projetos!A:L,12,false)=TRUE,TRUE,FALSE)</f>
        <v>1</v>
      </c>
      <c r="M2010" s="74">
        <v>73.7079846079846</v>
      </c>
      <c r="N2010" s="74">
        <f t="shared" si="1"/>
        <v>92.13498076</v>
      </c>
      <c r="O2010" s="74" t="b">
        <v>1</v>
      </c>
    </row>
    <row r="2011" hidden="1">
      <c r="A2011" s="82"/>
      <c r="B2011" s="65" t="s">
        <v>495</v>
      </c>
      <c r="C2011" s="65" t="s">
        <v>84</v>
      </c>
      <c r="D2011" s="65"/>
      <c r="E2011" s="65" t="s">
        <v>1243</v>
      </c>
      <c r="F2011" s="83">
        <v>0.3541666666666667</v>
      </c>
      <c r="G2011" s="83">
        <v>0.3958333333333333</v>
      </c>
      <c r="H2011" s="83">
        <v>0.041666666666666664</v>
      </c>
      <c r="I2011" s="84">
        <v>44439.0</v>
      </c>
      <c r="J2011" s="65" t="b">
        <v>0</v>
      </c>
      <c r="K2011" s="65"/>
      <c r="L2011" s="85" t="b">
        <f>IF(VLOOKUP(C2011,Projetos!A:L,12,false)=TRUE,TRUE,FALSE)</f>
        <v>0</v>
      </c>
      <c r="M2011" s="74">
        <v>73.7079846079846</v>
      </c>
      <c r="N2011" s="74">
        <f t="shared" si="1"/>
        <v>0</v>
      </c>
      <c r="O2011" s="74" t="b">
        <v>0</v>
      </c>
    </row>
    <row r="2012" hidden="1">
      <c r="A2012" s="82"/>
      <c r="B2012" s="65" t="s">
        <v>495</v>
      </c>
      <c r="C2012" s="65" t="s">
        <v>84</v>
      </c>
      <c r="D2012" s="65"/>
      <c r="E2012" s="65" t="s">
        <v>1244</v>
      </c>
      <c r="F2012" s="83">
        <v>0.7083333333333334</v>
      </c>
      <c r="G2012" s="83">
        <v>0.75</v>
      </c>
      <c r="H2012" s="83">
        <v>0.041666666666666664</v>
      </c>
      <c r="I2012" s="84">
        <v>44434.0</v>
      </c>
      <c r="J2012" s="65" t="b">
        <v>0</v>
      </c>
      <c r="K2012" s="65" t="s">
        <v>150</v>
      </c>
      <c r="L2012" s="85" t="b">
        <f>IF(VLOOKUP(C2012,Projetos!A:L,12,false)=TRUE,TRUE,FALSE)</f>
        <v>0</v>
      </c>
      <c r="M2012" s="74">
        <v>73.7079846079846</v>
      </c>
      <c r="N2012" s="74">
        <f t="shared" si="1"/>
        <v>0</v>
      </c>
      <c r="O2012" s="74" t="b">
        <v>0</v>
      </c>
    </row>
    <row r="2013" hidden="1">
      <c r="A2013" s="82"/>
      <c r="B2013" s="65" t="s">
        <v>495</v>
      </c>
      <c r="C2013" s="65" t="s">
        <v>117</v>
      </c>
      <c r="D2013" s="65" t="str">
        <f>vlookup(C2013,'Classificação p pessoal'!F:G,2,false)</f>
        <v>NP</v>
      </c>
      <c r="E2013" s="65" t="s">
        <v>1245</v>
      </c>
      <c r="F2013" s="83">
        <v>0.4513888888888889</v>
      </c>
      <c r="G2013" s="83">
        <v>0.5</v>
      </c>
      <c r="H2013" s="83">
        <v>0.04861111111111111</v>
      </c>
      <c r="I2013" s="84">
        <v>44439.0</v>
      </c>
      <c r="J2013" s="65" t="b">
        <v>1</v>
      </c>
      <c r="K2013" s="65"/>
      <c r="L2013" s="85" t="b">
        <f>IF(VLOOKUP(C2013,Projetos!A:L,12,false)=TRUE,TRUE,FALSE)</f>
        <v>1</v>
      </c>
      <c r="M2013" s="74">
        <v>73.7079846079846</v>
      </c>
      <c r="N2013" s="74">
        <f t="shared" si="1"/>
        <v>85.99264871</v>
      </c>
      <c r="O2013" s="74" t="b">
        <v>1</v>
      </c>
    </row>
    <row r="2014" hidden="1">
      <c r="A2014" s="82"/>
      <c r="B2014" s="65" t="s">
        <v>495</v>
      </c>
      <c r="C2014" s="65" t="s">
        <v>92</v>
      </c>
      <c r="D2014" s="65" t="str">
        <f>vlookup(C2014,'Classificação p pessoal'!F:G,2,false)</f>
        <v/>
      </c>
      <c r="E2014" s="65" t="s">
        <v>1246</v>
      </c>
      <c r="F2014" s="83">
        <v>0.5</v>
      </c>
      <c r="G2014" s="83">
        <v>0.5729166666666666</v>
      </c>
      <c r="H2014" s="83">
        <v>0.07291666666666667</v>
      </c>
      <c r="I2014" s="84">
        <v>44439.0</v>
      </c>
      <c r="J2014" s="65" t="b">
        <v>1</v>
      </c>
      <c r="K2014" s="65"/>
      <c r="L2014" s="85" t="b">
        <f>IF(VLOOKUP(C2014,Projetos!A:L,12,false)=TRUE,TRUE,FALSE)</f>
        <v>1</v>
      </c>
      <c r="M2014" s="74">
        <v>73.7079846079846</v>
      </c>
      <c r="N2014" s="74">
        <f t="shared" si="1"/>
        <v>128.9889731</v>
      </c>
      <c r="O2014" s="74" t="b">
        <v>1</v>
      </c>
    </row>
    <row r="2015" hidden="1">
      <c r="A2015" s="82"/>
      <c r="B2015" s="65" t="s">
        <v>495</v>
      </c>
      <c r="C2015" s="65" t="s">
        <v>92</v>
      </c>
      <c r="D2015" s="65" t="str">
        <f>vlookup(C2015,'Classificação p pessoal'!F:G,2,false)</f>
        <v/>
      </c>
      <c r="E2015" s="65" t="s">
        <v>1247</v>
      </c>
      <c r="F2015" s="83">
        <v>0.6145833333333334</v>
      </c>
      <c r="G2015" s="83">
        <v>0.75</v>
      </c>
      <c r="H2015" s="83">
        <v>0.13541666666666666</v>
      </c>
      <c r="I2015" s="84">
        <v>44439.0</v>
      </c>
      <c r="J2015" s="65" t="b">
        <v>1</v>
      </c>
      <c r="K2015" s="65"/>
      <c r="L2015" s="85" t="b">
        <f>IF(VLOOKUP(C2015,Projetos!A:L,12,false)=TRUE,TRUE,FALSE)</f>
        <v>1</v>
      </c>
      <c r="M2015" s="74">
        <v>73.7079846079846</v>
      </c>
      <c r="N2015" s="74">
        <f t="shared" si="1"/>
        <v>239.55095</v>
      </c>
      <c r="O2015" s="74" t="b">
        <v>1</v>
      </c>
    </row>
    <row r="2016" hidden="1">
      <c r="A2016" s="82"/>
      <c r="B2016" s="65" t="s">
        <v>495</v>
      </c>
      <c r="C2016" s="65" t="s">
        <v>92</v>
      </c>
      <c r="D2016" s="65"/>
      <c r="E2016" s="65" t="s">
        <v>1248</v>
      </c>
      <c r="F2016" s="83">
        <v>0.7291666666666666</v>
      </c>
      <c r="G2016" s="83">
        <v>0.75</v>
      </c>
      <c r="H2016" s="83">
        <v>0.020833333333333332</v>
      </c>
      <c r="I2016" s="84">
        <v>44495.0</v>
      </c>
      <c r="J2016" s="65" t="b">
        <v>0</v>
      </c>
      <c r="K2016" s="65" t="s">
        <v>150</v>
      </c>
      <c r="L2016" s="85" t="b">
        <f>IF(VLOOKUP(C2016,Projetos!A:L,12,false)=TRUE,TRUE,FALSE)</f>
        <v>1</v>
      </c>
      <c r="M2016" s="74">
        <v>73.7079846079846</v>
      </c>
      <c r="N2016" s="74">
        <f t="shared" si="1"/>
        <v>0</v>
      </c>
      <c r="O2016" s="74" t="b">
        <v>1</v>
      </c>
    </row>
    <row r="2017" hidden="1">
      <c r="A2017" s="82"/>
      <c r="B2017" s="65" t="s">
        <v>495</v>
      </c>
      <c r="C2017" s="65" t="s">
        <v>92</v>
      </c>
      <c r="D2017" s="65" t="str">
        <f>vlookup(C2017,'Classificação p pessoal'!F:G,2,false)</f>
        <v/>
      </c>
      <c r="E2017" s="65" t="s">
        <v>1249</v>
      </c>
      <c r="F2017" s="83">
        <v>0.4791666666666667</v>
      </c>
      <c r="G2017" s="83">
        <v>0.5416666666666666</v>
      </c>
      <c r="H2017" s="83">
        <v>0.0625</v>
      </c>
      <c r="I2017" s="84">
        <v>44440.0</v>
      </c>
      <c r="J2017" s="65" t="b">
        <v>1</v>
      </c>
      <c r="K2017" s="65"/>
      <c r="L2017" s="85" t="b">
        <f>IF(VLOOKUP(C2017,Projetos!A:L,12,false)=TRUE,TRUE,FALSE)</f>
        <v>1</v>
      </c>
      <c r="M2017" s="74">
        <v>73.7079846079846</v>
      </c>
      <c r="N2017" s="74">
        <f t="shared" si="1"/>
        <v>110.5619769</v>
      </c>
      <c r="O2017" s="74" t="b">
        <v>1</v>
      </c>
    </row>
    <row r="2018" hidden="1">
      <c r="A2018" s="82"/>
      <c r="B2018" s="65" t="s">
        <v>495</v>
      </c>
      <c r="C2018" s="65" t="s">
        <v>121</v>
      </c>
      <c r="D2018" s="65" t="str">
        <f>vlookup(C2018,'Classificação p pessoal'!F:G,2,false)</f>
        <v>NP</v>
      </c>
      <c r="E2018" s="65" t="s">
        <v>1250</v>
      </c>
      <c r="F2018" s="83">
        <v>0.5833333333333334</v>
      </c>
      <c r="G2018" s="83">
        <v>0.625</v>
      </c>
      <c r="H2018" s="83">
        <v>0.041666666666666664</v>
      </c>
      <c r="I2018" s="84">
        <v>44440.0</v>
      </c>
      <c r="J2018" s="65" t="b">
        <v>1</v>
      </c>
      <c r="K2018" s="65"/>
      <c r="L2018" s="85" t="b">
        <f>IF(VLOOKUP(C2018,Projetos!A:L,12,false)=TRUE,TRUE,FALSE)</f>
        <v>1</v>
      </c>
      <c r="M2018" s="74">
        <v>73.7079846079846</v>
      </c>
      <c r="N2018" s="74">
        <f t="shared" si="1"/>
        <v>73.70798461</v>
      </c>
      <c r="O2018" s="74" t="b">
        <v>1</v>
      </c>
    </row>
    <row r="2019" hidden="1">
      <c r="A2019" s="82"/>
      <c r="B2019" s="65" t="s">
        <v>495</v>
      </c>
      <c r="C2019" s="65" t="s">
        <v>108</v>
      </c>
      <c r="D2019" s="65" t="str">
        <f>vlookup(C2019,'Classificação p pessoal'!F:G,2,false)</f>
        <v>NP</v>
      </c>
      <c r="E2019" s="65" t="s">
        <v>1251</v>
      </c>
      <c r="F2019" s="83">
        <v>0.6666666666666666</v>
      </c>
      <c r="G2019" s="83">
        <v>0.75</v>
      </c>
      <c r="H2019" s="83">
        <v>0.08333333333333333</v>
      </c>
      <c r="I2019" s="84">
        <v>44440.0</v>
      </c>
      <c r="J2019" s="65" t="b">
        <v>1</v>
      </c>
      <c r="K2019" s="65"/>
      <c r="L2019" s="85" t="b">
        <f>IF(VLOOKUP(C2019,Projetos!A:L,12,false)=TRUE,TRUE,FALSE)</f>
        <v>1</v>
      </c>
      <c r="M2019" s="74">
        <v>73.7079846079846</v>
      </c>
      <c r="N2019" s="74">
        <f t="shared" si="1"/>
        <v>147.4159692</v>
      </c>
      <c r="O2019" s="74" t="b">
        <v>1</v>
      </c>
    </row>
    <row r="2020" hidden="1">
      <c r="A2020" s="82"/>
      <c r="B2020" s="65" t="s">
        <v>495</v>
      </c>
      <c r="C2020" s="65" t="s">
        <v>92</v>
      </c>
      <c r="D2020" s="65" t="str">
        <f>vlookup(C2020,'Classificação p pessoal'!F:G,2,false)</f>
        <v/>
      </c>
      <c r="E2020" s="65" t="s">
        <v>1252</v>
      </c>
      <c r="F2020" s="83">
        <v>0.3541666666666667</v>
      </c>
      <c r="G2020" s="83">
        <v>0.40625</v>
      </c>
      <c r="H2020" s="83">
        <v>0.052083333333333336</v>
      </c>
      <c r="I2020" s="84">
        <v>44441.0</v>
      </c>
      <c r="J2020" s="65" t="b">
        <v>1</v>
      </c>
      <c r="K2020" s="65"/>
      <c r="L2020" s="85" t="b">
        <f>IF(VLOOKUP(C2020,Projetos!A:L,12,false)=TRUE,TRUE,FALSE)</f>
        <v>1</v>
      </c>
      <c r="M2020" s="74">
        <v>73.7079846079846</v>
      </c>
      <c r="N2020" s="74">
        <f t="shared" si="1"/>
        <v>92.13498076</v>
      </c>
      <c r="O2020" s="74" t="b">
        <v>1</v>
      </c>
    </row>
    <row r="2021" hidden="1">
      <c r="A2021" s="82"/>
      <c r="B2021" s="65" t="s">
        <v>495</v>
      </c>
      <c r="C2021" s="65" t="s">
        <v>84</v>
      </c>
      <c r="D2021" s="65"/>
      <c r="E2021" s="65" t="s">
        <v>1253</v>
      </c>
      <c r="F2021" s="83">
        <v>0.40625</v>
      </c>
      <c r="G2021" s="83">
        <v>0.5</v>
      </c>
      <c r="H2021" s="83">
        <v>0.09375</v>
      </c>
      <c r="I2021" s="84">
        <v>44441.0</v>
      </c>
      <c r="J2021" s="65" t="b">
        <v>0</v>
      </c>
      <c r="K2021" s="65"/>
      <c r="L2021" s="85" t="b">
        <f>IF(VLOOKUP(C2021,Projetos!A:L,12,false)=TRUE,TRUE,FALSE)</f>
        <v>0</v>
      </c>
      <c r="M2021" s="74">
        <v>73.7079846079846</v>
      </c>
      <c r="N2021" s="74">
        <f t="shared" si="1"/>
        <v>0</v>
      </c>
      <c r="O2021" s="74" t="b">
        <v>0</v>
      </c>
    </row>
    <row r="2022" hidden="1">
      <c r="A2022" s="82"/>
      <c r="B2022" s="65" t="s">
        <v>495</v>
      </c>
      <c r="C2022" s="65" t="s">
        <v>92</v>
      </c>
      <c r="D2022" s="65" t="str">
        <f>vlookup(C2022,'Classificação p pessoal'!F:G,2,false)</f>
        <v/>
      </c>
      <c r="E2022" s="65" t="s">
        <v>1254</v>
      </c>
      <c r="F2022" s="83">
        <v>0.5</v>
      </c>
      <c r="G2022" s="83">
        <v>0.5763888888888888</v>
      </c>
      <c r="H2022" s="83">
        <v>0.0763888888888889</v>
      </c>
      <c r="I2022" s="84">
        <v>44441.0</v>
      </c>
      <c r="J2022" s="65" t="b">
        <v>1</v>
      </c>
      <c r="K2022" s="65"/>
      <c r="L2022" s="85" t="b">
        <f>IF(VLOOKUP(C2022,Projetos!A:L,12,false)=TRUE,TRUE,FALSE)</f>
        <v>1</v>
      </c>
      <c r="M2022" s="74">
        <v>73.7079846079846</v>
      </c>
      <c r="N2022" s="74">
        <f t="shared" si="1"/>
        <v>135.1313051</v>
      </c>
      <c r="O2022" s="74" t="b">
        <v>1</v>
      </c>
    </row>
    <row r="2023" hidden="1">
      <c r="A2023" s="82"/>
      <c r="B2023" s="65" t="s">
        <v>495</v>
      </c>
      <c r="C2023" s="65" t="s">
        <v>92</v>
      </c>
      <c r="D2023" s="65" t="str">
        <f>vlookup(C2023,'Classificação p pessoal'!F:G,2,false)</f>
        <v/>
      </c>
      <c r="E2023" s="65" t="s">
        <v>834</v>
      </c>
      <c r="F2023" s="83">
        <v>0.6180555555555556</v>
      </c>
      <c r="G2023" s="83">
        <v>0.6527777777777778</v>
      </c>
      <c r="H2023" s="83">
        <v>0.034722222222222224</v>
      </c>
      <c r="I2023" s="84">
        <v>44441.0</v>
      </c>
      <c r="J2023" s="65" t="b">
        <v>1</v>
      </c>
      <c r="K2023" s="65"/>
      <c r="L2023" s="85" t="b">
        <f>IF(VLOOKUP(C2023,Projetos!A:L,12,false)=TRUE,TRUE,FALSE)</f>
        <v>1</v>
      </c>
      <c r="M2023" s="74">
        <v>73.7079846079846</v>
      </c>
      <c r="N2023" s="74">
        <f t="shared" si="1"/>
        <v>61.42332051</v>
      </c>
      <c r="O2023" s="74" t="b">
        <v>1</v>
      </c>
    </row>
    <row r="2024" hidden="1">
      <c r="A2024" s="82"/>
      <c r="B2024" s="65" t="s">
        <v>495</v>
      </c>
      <c r="C2024" s="65" t="s">
        <v>117</v>
      </c>
      <c r="D2024" s="65" t="str">
        <f>vlookup(C2024,'Classificação p pessoal'!F:G,2,false)</f>
        <v>NP</v>
      </c>
      <c r="E2024" s="65" t="s">
        <v>1255</v>
      </c>
      <c r="F2024" s="83">
        <v>0.6527777777777778</v>
      </c>
      <c r="G2024" s="83">
        <v>0.75</v>
      </c>
      <c r="H2024" s="83">
        <v>0.09722222222222222</v>
      </c>
      <c r="I2024" s="84">
        <v>44441.0</v>
      </c>
      <c r="J2024" s="65" t="b">
        <v>1</v>
      </c>
      <c r="K2024" s="65"/>
      <c r="L2024" s="85" t="b">
        <f>IF(VLOOKUP(C2024,Projetos!A:L,12,false)=TRUE,TRUE,FALSE)</f>
        <v>1</v>
      </c>
      <c r="M2024" s="74">
        <v>73.7079846079846</v>
      </c>
      <c r="N2024" s="74">
        <f t="shared" si="1"/>
        <v>171.9852974</v>
      </c>
      <c r="O2024" s="74" t="b">
        <v>1</v>
      </c>
    </row>
    <row r="2025" hidden="1">
      <c r="A2025" s="82"/>
      <c r="B2025" s="65" t="s">
        <v>495</v>
      </c>
      <c r="C2025" s="65" t="s">
        <v>117</v>
      </c>
      <c r="D2025" s="65" t="str">
        <f>vlookup(C2025,'Classificação p pessoal'!F:G,2,false)</f>
        <v>NP</v>
      </c>
      <c r="E2025" s="65" t="s">
        <v>1256</v>
      </c>
      <c r="F2025" s="83">
        <v>0.3576388888888889</v>
      </c>
      <c r="G2025" s="83">
        <v>0.375</v>
      </c>
      <c r="H2025" s="83">
        <v>0.017361111111111112</v>
      </c>
      <c r="I2025" s="84">
        <v>44442.0</v>
      </c>
      <c r="J2025" s="65" t="b">
        <v>1</v>
      </c>
      <c r="K2025" s="65"/>
      <c r="L2025" s="85" t="b">
        <f>IF(VLOOKUP(C2025,Projetos!A:L,12,false)=TRUE,TRUE,FALSE)</f>
        <v>1</v>
      </c>
      <c r="M2025" s="74">
        <v>73.7079846079846</v>
      </c>
      <c r="N2025" s="74">
        <f t="shared" si="1"/>
        <v>30.71166025</v>
      </c>
      <c r="O2025" s="74" t="b">
        <v>1</v>
      </c>
    </row>
    <row r="2026" hidden="1">
      <c r="A2026" s="82"/>
      <c r="B2026" s="65" t="s">
        <v>495</v>
      </c>
      <c r="C2026" s="65" t="s">
        <v>117</v>
      </c>
      <c r="D2026" s="65"/>
      <c r="E2026" s="65" t="s">
        <v>1257</v>
      </c>
      <c r="F2026" s="83">
        <v>0.4375</v>
      </c>
      <c r="G2026" s="83">
        <v>0.4583333333333333</v>
      </c>
      <c r="H2026" s="83">
        <v>0.020833333333333332</v>
      </c>
      <c r="I2026" s="84">
        <v>44474.0</v>
      </c>
      <c r="J2026" s="65" t="b">
        <v>0</v>
      </c>
      <c r="K2026" s="65" t="s">
        <v>150</v>
      </c>
      <c r="L2026" s="85" t="b">
        <f>IF(VLOOKUP(C2026,Projetos!A:L,12,false)=TRUE,TRUE,FALSE)</f>
        <v>1</v>
      </c>
      <c r="M2026" s="74">
        <v>73.7079846079846</v>
      </c>
      <c r="N2026" s="74">
        <f t="shared" si="1"/>
        <v>0</v>
      </c>
      <c r="O2026" s="74" t="b">
        <v>1</v>
      </c>
    </row>
    <row r="2027" hidden="1">
      <c r="A2027" s="82"/>
      <c r="B2027" s="65" t="s">
        <v>495</v>
      </c>
      <c r="C2027" s="65" t="s">
        <v>100</v>
      </c>
      <c r="D2027" s="65" t="str">
        <f>vlookup(C2027,'Classificação p pessoal'!F:G,2,false)</f>
        <v>NP</v>
      </c>
      <c r="E2027" s="65" t="s">
        <v>1258</v>
      </c>
      <c r="F2027" s="83">
        <v>0.4583333333333333</v>
      </c>
      <c r="G2027" s="83">
        <v>0.5416666666666666</v>
      </c>
      <c r="H2027" s="83">
        <v>0.08333333333333333</v>
      </c>
      <c r="I2027" s="84">
        <v>44442.0</v>
      </c>
      <c r="J2027" s="65" t="b">
        <v>1</v>
      </c>
      <c r="K2027" s="65"/>
      <c r="L2027" s="85" t="b">
        <f>IF(VLOOKUP(C2027,Projetos!A:L,12,false)=TRUE,TRUE,FALSE)</f>
        <v>1</v>
      </c>
      <c r="M2027" s="74">
        <v>73.7079846079846</v>
      </c>
      <c r="N2027" s="74">
        <f t="shared" si="1"/>
        <v>147.4159692</v>
      </c>
      <c r="O2027" s="74" t="b">
        <v>1</v>
      </c>
    </row>
    <row r="2028" hidden="1">
      <c r="A2028" s="82"/>
      <c r="B2028" s="65" t="s">
        <v>495</v>
      </c>
      <c r="C2028" s="65" t="s">
        <v>92</v>
      </c>
      <c r="D2028" s="65" t="str">
        <f>vlookup(C2028,'Classificação p pessoal'!F:G,2,false)</f>
        <v/>
      </c>
      <c r="E2028" s="65" t="s">
        <v>1259</v>
      </c>
      <c r="F2028" s="83">
        <v>0.5416666666666666</v>
      </c>
      <c r="G2028" s="83">
        <v>0.5833333333333334</v>
      </c>
      <c r="H2028" s="83">
        <v>0.041666666666666664</v>
      </c>
      <c r="I2028" s="84">
        <v>44442.0</v>
      </c>
      <c r="J2028" s="65" t="b">
        <v>1</v>
      </c>
      <c r="K2028" s="65"/>
      <c r="L2028" s="85" t="b">
        <f>IF(VLOOKUP(C2028,Projetos!A:L,12,false)=TRUE,TRUE,FALSE)</f>
        <v>1</v>
      </c>
      <c r="M2028" s="74">
        <v>73.7079846079846</v>
      </c>
      <c r="N2028" s="74">
        <f t="shared" si="1"/>
        <v>73.70798461</v>
      </c>
      <c r="O2028" s="74" t="b">
        <v>1</v>
      </c>
    </row>
    <row r="2029" hidden="1">
      <c r="A2029" s="82"/>
      <c r="B2029" s="65" t="s">
        <v>495</v>
      </c>
      <c r="C2029" s="65" t="s">
        <v>92</v>
      </c>
      <c r="D2029" s="65" t="str">
        <f>vlookup(C2029,'Classificação p pessoal'!F:G,2,false)</f>
        <v/>
      </c>
      <c r="E2029" s="65" t="s">
        <v>1260</v>
      </c>
      <c r="F2029" s="83">
        <v>0.625</v>
      </c>
      <c r="G2029" s="83">
        <v>0.75</v>
      </c>
      <c r="H2029" s="83">
        <v>0.125</v>
      </c>
      <c r="I2029" s="84">
        <v>44442.0</v>
      </c>
      <c r="J2029" s="65" t="b">
        <v>1</v>
      </c>
      <c r="K2029" s="65"/>
      <c r="L2029" s="85" t="b">
        <f>IF(VLOOKUP(C2029,Projetos!A:L,12,false)=TRUE,TRUE,FALSE)</f>
        <v>1</v>
      </c>
      <c r="M2029" s="74">
        <v>73.7079846079846</v>
      </c>
      <c r="N2029" s="74">
        <f t="shared" si="1"/>
        <v>221.1239538</v>
      </c>
      <c r="O2029" s="74" t="b">
        <v>1</v>
      </c>
    </row>
    <row r="2030" hidden="1">
      <c r="A2030" s="82"/>
      <c r="B2030" s="65" t="s">
        <v>495</v>
      </c>
      <c r="C2030" s="65" t="s">
        <v>92</v>
      </c>
      <c r="D2030" s="65" t="str">
        <f>vlookup(C2030,'Classificação p pessoal'!F:G,2,false)</f>
        <v/>
      </c>
      <c r="E2030" s="65" t="s">
        <v>1261</v>
      </c>
      <c r="F2030" s="83">
        <v>0.3541666666666667</v>
      </c>
      <c r="G2030" s="83">
        <v>0.375</v>
      </c>
      <c r="H2030" s="83">
        <v>0.020833333333333332</v>
      </c>
      <c r="I2030" s="84">
        <v>44445.0</v>
      </c>
      <c r="J2030" s="65" t="b">
        <v>1</v>
      </c>
      <c r="K2030" s="65"/>
      <c r="L2030" s="85" t="b">
        <f>IF(VLOOKUP(C2030,Projetos!A:L,12,false)=TRUE,TRUE,FALSE)</f>
        <v>1</v>
      </c>
      <c r="M2030" s="74">
        <v>73.7079846079846</v>
      </c>
      <c r="N2030" s="74">
        <f t="shared" si="1"/>
        <v>36.8539923</v>
      </c>
      <c r="O2030" s="74" t="b">
        <v>1</v>
      </c>
    </row>
    <row r="2031" hidden="1">
      <c r="A2031" s="82"/>
      <c r="B2031" s="65" t="s">
        <v>495</v>
      </c>
      <c r="C2031" s="65" t="s">
        <v>92</v>
      </c>
      <c r="D2031" s="65" t="str">
        <f>vlookup(C2031,'Classificação p pessoal'!F:G,2,false)</f>
        <v/>
      </c>
      <c r="E2031" s="65" t="s">
        <v>1262</v>
      </c>
      <c r="F2031" s="83">
        <v>0.375</v>
      </c>
      <c r="G2031" s="83">
        <v>0.5</v>
      </c>
      <c r="H2031" s="83">
        <v>0.125</v>
      </c>
      <c r="I2031" s="84">
        <v>44445.0</v>
      </c>
      <c r="J2031" s="65" t="b">
        <v>1</v>
      </c>
      <c r="K2031" s="65"/>
      <c r="L2031" s="85" t="b">
        <f>IF(VLOOKUP(C2031,Projetos!A:L,12,false)=TRUE,TRUE,FALSE)</f>
        <v>1</v>
      </c>
      <c r="M2031" s="74">
        <v>73.7079846079846</v>
      </c>
      <c r="N2031" s="74">
        <f t="shared" si="1"/>
        <v>221.1239538</v>
      </c>
      <c r="O2031" s="74" t="b">
        <v>1</v>
      </c>
    </row>
    <row r="2032" hidden="1">
      <c r="A2032" s="82"/>
      <c r="B2032" s="65" t="s">
        <v>495</v>
      </c>
      <c r="C2032" s="65" t="s">
        <v>92</v>
      </c>
      <c r="D2032" s="65" t="str">
        <f>vlookup(C2032,'Classificação p pessoal'!F:G,2,false)</f>
        <v/>
      </c>
      <c r="E2032" s="65" t="s">
        <v>1263</v>
      </c>
      <c r="F2032" s="83">
        <v>0.5</v>
      </c>
      <c r="G2032" s="83">
        <v>0.5729166666666666</v>
      </c>
      <c r="H2032" s="83">
        <v>0.07291666666666667</v>
      </c>
      <c r="I2032" s="84">
        <v>44445.0</v>
      </c>
      <c r="J2032" s="65" t="b">
        <v>1</v>
      </c>
      <c r="K2032" s="65"/>
      <c r="L2032" s="85" t="b">
        <f>IF(VLOOKUP(C2032,Projetos!A:L,12,false)=TRUE,TRUE,FALSE)</f>
        <v>1</v>
      </c>
      <c r="M2032" s="74">
        <v>73.7079846079846</v>
      </c>
      <c r="N2032" s="74">
        <f t="shared" si="1"/>
        <v>128.9889731</v>
      </c>
      <c r="O2032" s="74" t="b">
        <v>1</v>
      </c>
    </row>
    <row r="2033" hidden="1">
      <c r="A2033" s="82"/>
      <c r="B2033" s="65" t="s">
        <v>495</v>
      </c>
      <c r="C2033" s="65" t="s">
        <v>92</v>
      </c>
      <c r="D2033" s="65" t="str">
        <f>vlookup(C2033,'Classificação p pessoal'!F:G,2,false)</f>
        <v/>
      </c>
      <c r="E2033" s="65" t="s">
        <v>1263</v>
      </c>
      <c r="F2033" s="83">
        <v>0.6145833333333334</v>
      </c>
      <c r="G2033" s="83">
        <v>0.7083333333333334</v>
      </c>
      <c r="H2033" s="83">
        <v>0.09375</v>
      </c>
      <c r="I2033" s="84">
        <v>44445.0</v>
      </c>
      <c r="J2033" s="65" t="b">
        <v>1</v>
      </c>
      <c r="K2033" s="65"/>
      <c r="L2033" s="85" t="b">
        <f>IF(VLOOKUP(C2033,Projetos!A:L,12,false)=TRUE,TRUE,FALSE)</f>
        <v>1</v>
      </c>
      <c r="M2033" s="74">
        <v>73.7079846079846</v>
      </c>
      <c r="N2033" s="74">
        <f t="shared" si="1"/>
        <v>165.8429654</v>
      </c>
      <c r="O2033" s="74" t="b">
        <v>1</v>
      </c>
    </row>
    <row r="2034" hidden="1">
      <c r="A2034" s="82"/>
      <c r="B2034" s="65" t="s">
        <v>495</v>
      </c>
      <c r="C2034" s="65" t="s">
        <v>92</v>
      </c>
      <c r="D2034" s="65"/>
      <c r="E2034" s="65" t="s">
        <v>1257</v>
      </c>
      <c r="F2034" s="83">
        <v>0.7256944444444444</v>
      </c>
      <c r="G2034" s="83">
        <v>0.75</v>
      </c>
      <c r="H2034" s="83">
        <v>0.024305555555555556</v>
      </c>
      <c r="I2034" s="84">
        <v>44488.0</v>
      </c>
      <c r="J2034" s="65" t="b">
        <v>0</v>
      </c>
      <c r="K2034" s="65" t="s">
        <v>150</v>
      </c>
      <c r="L2034" s="85" t="b">
        <f>IF(VLOOKUP(C2034,Projetos!A:L,12,false)=TRUE,TRUE,FALSE)</f>
        <v>1</v>
      </c>
      <c r="M2034" s="74">
        <v>73.7079846079846</v>
      </c>
      <c r="N2034" s="74">
        <f t="shared" si="1"/>
        <v>0</v>
      </c>
      <c r="O2034" s="74" t="b">
        <v>1</v>
      </c>
    </row>
    <row r="2035" hidden="1">
      <c r="A2035" s="82"/>
      <c r="B2035" s="65" t="s">
        <v>495</v>
      </c>
      <c r="C2035" s="65" t="s">
        <v>92</v>
      </c>
      <c r="D2035" s="65" t="str">
        <f>vlookup(C2035,'Classificação p pessoal'!F:G,2,false)</f>
        <v/>
      </c>
      <c r="E2035" s="65" t="s">
        <v>1261</v>
      </c>
      <c r="F2035" s="83">
        <v>0.3541666666666667</v>
      </c>
      <c r="G2035" s="83">
        <v>0.3819444444444444</v>
      </c>
      <c r="H2035" s="83">
        <v>0.027777777777777776</v>
      </c>
      <c r="I2035" s="84">
        <v>44448.0</v>
      </c>
      <c r="J2035" s="65" t="b">
        <v>1</v>
      </c>
      <c r="K2035" s="65"/>
      <c r="L2035" s="85" t="b">
        <f>IF(VLOOKUP(C2035,Projetos!A:L,12,false)=TRUE,TRUE,FALSE)</f>
        <v>1</v>
      </c>
      <c r="M2035" s="74">
        <v>73.7079846079846</v>
      </c>
      <c r="N2035" s="74">
        <f t="shared" si="1"/>
        <v>49.13865641</v>
      </c>
      <c r="O2035" s="74" t="b">
        <v>1</v>
      </c>
    </row>
    <row r="2036" hidden="1">
      <c r="A2036" s="82"/>
      <c r="B2036" s="65" t="s">
        <v>495</v>
      </c>
      <c r="C2036" s="65" t="s">
        <v>92</v>
      </c>
      <c r="D2036" s="65" t="str">
        <f>vlookup(C2036,'Classificação p pessoal'!F:G,2,false)</f>
        <v/>
      </c>
      <c r="E2036" s="65" t="s">
        <v>1264</v>
      </c>
      <c r="F2036" s="83">
        <v>0.3819444444444444</v>
      </c>
      <c r="G2036" s="83">
        <v>0.4166666666666667</v>
      </c>
      <c r="H2036" s="83">
        <v>0.034722222222222224</v>
      </c>
      <c r="I2036" s="84">
        <v>44448.0</v>
      </c>
      <c r="J2036" s="65" t="b">
        <v>1</v>
      </c>
      <c r="K2036" s="65"/>
      <c r="L2036" s="85" t="b">
        <f>IF(VLOOKUP(C2036,Projetos!A:L,12,false)=TRUE,TRUE,FALSE)</f>
        <v>1</v>
      </c>
      <c r="M2036" s="74">
        <v>73.7079846079846</v>
      </c>
      <c r="N2036" s="74">
        <f t="shared" si="1"/>
        <v>61.42332051</v>
      </c>
      <c r="O2036" s="74" t="b">
        <v>1</v>
      </c>
    </row>
    <row r="2037" hidden="1">
      <c r="A2037" s="82"/>
      <c r="B2037" s="65" t="s">
        <v>495</v>
      </c>
      <c r="C2037" s="65" t="s">
        <v>92</v>
      </c>
      <c r="D2037" s="65"/>
      <c r="E2037" s="65" t="s">
        <v>1265</v>
      </c>
      <c r="F2037" s="83">
        <v>0.5972222222222222</v>
      </c>
      <c r="G2037" s="83">
        <v>0.625</v>
      </c>
      <c r="H2037" s="83">
        <v>0.027777777777777776</v>
      </c>
      <c r="I2037" s="84">
        <v>44498.0</v>
      </c>
      <c r="J2037" s="65" t="b">
        <v>0</v>
      </c>
      <c r="K2037" s="65" t="s">
        <v>150</v>
      </c>
      <c r="L2037" s="85" t="b">
        <f>IF(VLOOKUP(C2037,Projetos!A:L,12,false)=TRUE,TRUE,FALSE)</f>
        <v>1</v>
      </c>
      <c r="M2037" s="74">
        <v>73.7079846079846</v>
      </c>
      <c r="N2037" s="74">
        <f t="shared" si="1"/>
        <v>0</v>
      </c>
      <c r="O2037" s="74" t="b">
        <v>1</v>
      </c>
    </row>
    <row r="2038" hidden="1">
      <c r="A2038" s="82"/>
      <c r="B2038" s="65" t="s">
        <v>495</v>
      </c>
      <c r="C2038" s="65" t="s">
        <v>92</v>
      </c>
      <c r="D2038" s="65" t="str">
        <f>vlookup(C2038,'Classificação p pessoal'!F:G,2,false)</f>
        <v/>
      </c>
      <c r="E2038" s="65" t="s">
        <v>1266</v>
      </c>
      <c r="F2038" s="83">
        <v>0.4583333333333333</v>
      </c>
      <c r="G2038" s="83">
        <v>0.5208333333333334</v>
      </c>
      <c r="H2038" s="83">
        <v>0.0625</v>
      </c>
      <c r="I2038" s="84">
        <v>44448.0</v>
      </c>
      <c r="J2038" s="65" t="b">
        <v>1</v>
      </c>
      <c r="K2038" s="65"/>
      <c r="L2038" s="85" t="b">
        <f>IF(VLOOKUP(C2038,Projetos!A:L,12,false)=TRUE,TRUE,FALSE)</f>
        <v>1</v>
      </c>
      <c r="M2038" s="74">
        <v>73.7079846079846</v>
      </c>
      <c r="N2038" s="74">
        <f t="shared" si="1"/>
        <v>110.5619769</v>
      </c>
      <c r="O2038" s="74" t="b">
        <v>1</v>
      </c>
    </row>
    <row r="2039" hidden="1">
      <c r="A2039" s="82"/>
      <c r="B2039" s="65" t="s">
        <v>495</v>
      </c>
      <c r="C2039" s="65" t="s">
        <v>92</v>
      </c>
      <c r="D2039" s="65"/>
      <c r="E2039" s="65" t="s">
        <v>1267</v>
      </c>
      <c r="F2039" s="83">
        <v>0.5208333333333334</v>
      </c>
      <c r="G2039" s="83">
        <v>0.5694444444444444</v>
      </c>
      <c r="H2039" s="83">
        <v>0.04861111111111111</v>
      </c>
      <c r="I2039" s="84">
        <v>44448.0</v>
      </c>
      <c r="J2039" s="65" t="b">
        <v>0</v>
      </c>
      <c r="K2039" s="65" t="s">
        <v>150</v>
      </c>
      <c r="L2039" s="85" t="b">
        <f>IF(VLOOKUP(C2039,Projetos!A:L,12,false)=TRUE,TRUE,FALSE)</f>
        <v>1</v>
      </c>
      <c r="M2039" s="74">
        <v>73.7079846079846</v>
      </c>
      <c r="N2039" s="74">
        <f t="shared" si="1"/>
        <v>0</v>
      </c>
      <c r="O2039" s="74" t="b">
        <v>1</v>
      </c>
    </row>
    <row r="2040" hidden="1">
      <c r="A2040" s="82"/>
      <c r="B2040" s="65" t="s">
        <v>495</v>
      </c>
      <c r="C2040" s="65" t="s">
        <v>92</v>
      </c>
      <c r="D2040" s="65"/>
      <c r="E2040" s="65" t="s">
        <v>1268</v>
      </c>
      <c r="F2040" s="83">
        <v>0.3541666666666667</v>
      </c>
      <c r="G2040" s="83">
        <v>0.375</v>
      </c>
      <c r="H2040" s="83">
        <v>0.020833333333333332</v>
      </c>
      <c r="I2040" s="84">
        <v>44466.0</v>
      </c>
      <c r="J2040" s="65" t="b">
        <v>0</v>
      </c>
      <c r="K2040" s="65" t="s">
        <v>150</v>
      </c>
      <c r="L2040" s="85" t="b">
        <f>IF(VLOOKUP(C2040,Projetos!A:L,12,false)=TRUE,TRUE,FALSE)</f>
        <v>1</v>
      </c>
      <c r="M2040" s="74">
        <v>73.7079846079846</v>
      </c>
      <c r="N2040" s="74">
        <f t="shared" si="1"/>
        <v>0</v>
      </c>
      <c r="O2040" s="74" t="b">
        <v>1</v>
      </c>
    </row>
    <row r="2041" hidden="1">
      <c r="A2041" s="82"/>
      <c r="B2041" s="65" t="s">
        <v>495</v>
      </c>
      <c r="C2041" s="65" t="s">
        <v>84</v>
      </c>
      <c r="D2041" s="65"/>
      <c r="E2041" s="65" t="s">
        <v>1269</v>
      </c>
      <c r="F2041" s="83">
        <v>0.7013888888888888</v>
      </c>
      <c r="G2041" s="83">
        <v>0.75</v>
      </c>
      <c r="H2041" s="83">
        <v>0.04861111111111111</v>
      </c>
      <c r="I2041" s="84">
        <v>44448.0</v>
      </c>
      <c r="J2041" s="65" t="b">
        <v>0</v>
      </c>
      <c r="K2041" s="65"/>
      <c r="L2041" s="85" t="b">
        <f>IF(VLOOKUP(C2041,Projetos!A:L,12,false)=TRUE,TRUE,FALSE)</f>
        <v>0</v>
      </c>
      <c r="M2041" s="74">
        <v>73.7079846079846</v>
      </c>
      <c r="N2041" s="74">
        <f t="shared" si="1"/>
        <v>0</v>
      </c>
      <c r="O2041" s="74" t="b">
        <v>0</v>
      </c>
    </row>
    <row r="2042" hidden="1">
      <c r="A2042" s="82"/>
      <c r="B2042" s="65" t="s">
        <v>495</v>
      </c>
      <c r="C2042" s="65" t="s">
        <v>108</v>
      </c>
      <c r="D2042" s="65" t="str">
        <f>vlookup(C2042,'Classificação p pessoal'!F:G,2,false)</f>
        <v>NP</v>
      </c>
      <c r="E2042" s="65" t="s">
        <v>1270</v>
      </c>
      <c r="F2042" s="83">
        <v>0.3541666666666667</v>
      </c>
      <c r="G2042" s="83">
        <v>0.4166666666666667</v>
      </c>
      <c r="H2042" s="83">
        <v>0.0625</v>
      </c>
      <c r="I2042" s="84">
        <v>44449.0</v>
      </c>
      <c r="J2042" s="65" t="b">
        <v>1</v>
      </c>
      <c r="K2042" s="65"/>
      <c r="L2042" s="85" t="b">
        <f>IF(VLOOKUP(C2042,Projetos!A:L,12,false)=TRUE,TRUE,FALSE)</f>
        <v>1</v>
      </c>
      <c r="M2042" s="74">
        <v>73.7079846079846</v>
      </c>
      <c r="N2042" s="74">
        <f t="shared" si="1"/>
        <v>110.5619769</v>
      </c>
      <c r="O2042" s="74" t="b">
        <v>1</v>
      </c>
    </row>
    <row r="2043" hidden="1">
      <c r="A2043" s="82"/>
      <c r="B2043" s="65" t="s">
        <v>495</v>
      </c>
      <c r="C2043" s="65" t="s">
        <v>117</v>
      </c>
      <c r="D2043" s="65" t="str">
        <f>vlookup(C2043,'Classificação p pessoal'!F:G,2,false)</f>
        <v>NP</v>
      </c>
      <c r="E2043" s="65" t="s">
        <v>1271</v>
      </c>
      <c r="F2043" s="83">
        <v>0.4166666666666667</v>
      </c>
      <c r="G2043" s="83">
        <v>0.5416666666666666</v>
      </c>
      <c r="H2043" s="83">
        <v>0.125</v>
      </c>
      <c r="I2043" s="84">
        <v>44449.0</v>
      </c>
      <c r="J2043" s="65" t="b">
        <v>1</v>
      </c>
      <c r="K2043" s="65"/>
      <c r="L2043" s="85" t="b">
        <f>IF(VLOOKUP(C2043,Projetos!A:L,12,false)=TRUE,TRUE,FALSE)</f>
        <v>1</v>
      </c>
      <c r="M2043" s="74">
        <v>73.7079846079846</v>
      </c>
      <c r="N2043" s="74">
        <f t="shared" si="1"/>
        <v>221.1239538</v>
      </c>
      <c r="O2043" s="74" t="b">
        <v>1</v>
      </c>
    </row>
    <row r="2044" hidden="1">
      <c r="A2044" s="82"/>
      <c r="B2044" s="65" t="s">
        <v>495</v>
      </c>
      <c r="C2044" s="65" t="s">
        <v>92</v>
      </c>
      <c r="D2044" s="65" t="str">
        <f>vlookup(C2044,'Classificação p pessoal'!F:G,2,false)</f>
        <v/>
      </c>
      <c r="E2044" s="65" t="s">
        <v>834</v>
      </c>
      <c r="F2044" s="83">
        <v>0.5416666666666666</v>
      </c>
      <c r="G2044" s="83">
        <v>0.5763888888888888</v>
      </c>
      <c r="H2044" s="83">
        <v>0.034722222222222224</v>
      </c>
      <c r="I2044" s="84">
        <v>44449.0</v>
      </c>
      <c r="J2044" s="65" t="b">
        <v>1</v>
      </c>
      <c r="K2044" s="65"/>
      <c r="L2044" s="85" t="b">
        <f>IF(VLOOKUP(C2044,Projetos!A:L,12,false)=TRUE,TRUE,FALSE)</f>
        <v>1</v>
      </c>
      <c r="M2044" s="74">
        <v>73.7079846079846</v>
      </c>
      <c r="N2044" s="74">
        <f t="shared" si="1"/>
        <v>61.42332051</v>
      </c>
      <c r="O2044" s="74" t="b">
        <v>1</v>
      </c>
    </row>
    <row r="2045" hidden="1">
      <c r="A2045" s="82"/>
      <c r="B2045" s="65" t="s">
        <v>495</v>
      </c>
      <c r="C2045" s="65" t="s">
        <v>108</v>
      </c>
      <c r="D2045" s="65" t="str">
        <f>vlookup(C2045,'Classificação p pessoal'!F:G,2,false)</f>
        <v>NP</v>
      </c>
      <c r="E2045" s="65" t="s">
        <v>1272</v>
      </c>
      <c r="F2045" s="83">
        <v>0.6666666666666666</v>
      </c>
      <c r="G2045" s="83">
        <v>0.75</v>
      </c>
      <c r="H2045" s="83">
        <v>0.08333333333333333</v>
      </c>
      <c r="I2045" s="84">
        <v>44449.0</v>
      </c>
      <c r="J2045" s="65" t="b">
        <v>1</v>
      </c>
      <c r="K2045" s="65"/>
      <c r="L2045" s="85" t="b">
        <f>IF(VLOOKUP(C2045,Projetos!A:L,12,false)=TRUE,TRUE,FALSE)</f>
        <v>1</v>
      </c>
      <c r="M2045" s="74">
        <v>73.7079846079846</v>
      </c>
      <c r="N2045" s="74">
        <f t="shared" si="1"/>
        <v>147.4159692</v>
      </c>
      <c r="O2045" s="74" t="b">
        <v>1</v>
      </c>
    </row>
    <row r="2046" hidden="1">
      <c r="A2046" s="82"/>
      <c r="B2046" s="65" t="s">
        <v>495</v>
      </c>
      <c r="C2046" s="65" t="s">
        <v>92</v>
      </c>
      <c r="D2046" s="65" t="str">
        <f>vlookup(C2046,'Classificação p pessoal'!F:G,2,false)</f>
        <v/>
      </c>
      <c r="E2046" s="65" t="s">
        <v>1261</v>
      </c>
      <c r="F2046" s="83">
        <v>0.3541666666666667</v>
      </c>
      <c r="G2046" s="83">
        <v>0.3854166666666667</v>
      </c>
      <c r="H2046" s="83">
        <v>0.03125</v>
      </c>
      <c r="I2046" s="84">
        <v>44452.0</v>
      </c>
      <c r="J2046" s="65" t="b">
        <v>1</v>
      </c>
      <c r="K2046" s="65"/>
      <c r="L2046" s="85" t="b">
        <f>IF(VLOOKUP(C2046,Projetos!A:L,12,false)=TRUE,TRUE,FALSE)</f>
        <v>1</v>
      </c>
      <c r="M2046" s="74">
        <v>73.7079846079846</v>
      </c>
      <c r="N2046" s="74">
        <f t="shared" si="1"/>
        <v>55.28098846</v>
      </c>
      <c r="O2046" s="74" t="b">
        <v>1</v>
      </c>
    </row>
    <row r="2047" hidden="1">
      <c r="A2047" s="82"/>
      <c r="B2047" s="65" t="s">
        <v>495</v>
      </c>
      <c r="C2047" s="65" t="s">
        <v>92</v>
      </c>
      <c r="D2047" s="65" t="str">
        <f>vlookup(C2047,'Classificação p pessoal'!F:G,2,false)</f>
        <v/>
      </c>
      <c r="E2047" s="65" t="s">
        <v>1273</v>
      </c>
      <c r="F2047" s="83">
        <v>0.3854166666666667</v>
      </c>
      <c r="G2047" s="83">
        <v>0.4270833333333333</v>
      </c>
      <c r="H2047" s="83">
        <v>0.041666666666666664</v>
      </c>
      <c r="I2047" s="84">
        <v>44452.0</v>
      </c>
      <c r="J2047" s="65" t="b">
        <v>1</v>
      </c>
      <c r="K2047" s="65"/>
      <c r="L2047" s="85" t="b">
        <f>IF(VLOOKUP(C2047,Projetos!A:L,12,false)=TRUE,TRUE,FALSE)</f>
        <v>1</v>
      </c>
      <c r="M2047" s="74">
        <v>73.7079846079846</v>
      </c>
      <c r="N2047" s="74">
        <f t="shared" si="1"/>
        <v>73.70798461</v>
      </c>
      <c r="O2047" s="74" t="b">
        <v>1</v>
      </c>
    </row>
    <row r="2048" hidden="1">
      <c r="A2048" s="82"/>
      <c r="B2048" s="65" t="s">
        <v>495</v>
      </c>
      <c r="C2048" s="65" t="s">
        <v>92</v>
      </c>
      <c r="D2048" s="65"/>
      <c r="E2048" s="65" t="s">
        <v>1274</v>
      </c>
      <c r="F2048" s="83">
        <v>0.3472222222222222</v>
      </c>
      <c r="G2048" s="83">
        <v>0.3819444444444444</v>
      </c>
      <c r="H2048" s="83">
        <v>0.034722222222222224</v>
      </c>
      <c r="I2048" s="84">
        <v>44559.0</v>
      </c>
      <c r="J2048" s="65" t="b">
        <v>0</v>
      </c>
      <c r="K2048" s="65" t="s">
        <v>150</v>
      </c>
      <c r="L2048" s="85" t="b">
        <f>IF(VLOOKUP(C2048,Projetos!A:L,12,false)=TRUE,TRUE,FALSE)</f>
        <v>1</v>
      </c>
      <c r="M2048" s="74">
        <v>73.7079846079846</v>
      </c>
      <c r="N2048" s="74">
        <f t="shared" si="1"/>
        <v>0</v>
      </c>
      <c r="O2048" s="74" t="b">
        <v>1</v>
      </c>
    </row>
    <row r="2049" hidden="1">
      <c r="A2049" s="82"/>
      <c r="B2049" s="65" t="s">
        <v>495</v>
      </c>
      <c r="C2049" s="65" t="s">
        <v>92</v>
      </c>
      <c r="D2049" s="65" t="str">
        <f>vlookup(C2049,'Classificação p pessoal'!F:G,2,false)</f>
        <v/>
      </c>
      <c r="E2049" s="65" t="s">
        <v>1261</v>
      </c>
      <c r="F2049" s="83">
        <v>0.4826388888888889</v>
      </c>
      <c r="G2049" s="83">
        <v>0.4930555555555556</v>
      </c>
      <c r="H2049" s="83">
        <v>0.010416666666666666</v>
      </c>
      <c r="I2049" s="84">
        <v>44452.0</v>
      </c>
      <c r="J2049" s="65" t="b">
        <v>1</v>
      </c>
      <c r="K2049" s="65"/>
      <c r="L2049" s="85" t="b">
        <f>IF(VLOOKUP(C2049,Projetos!A:L,12,false)=TRUE,TRUE,FALSE)</f>
        <v>1</v>
      </c>
      <c r="M2049" s="74">
        <v>73.7079846079846</v>
      </c>
      <c r="N2049" s="74">
        <f t="shared" si="1"/>
        <v>18.42699615</v>
      </c>
      <c r="O2049" s="74" t="b">
        <v>1</v>
      </c>
    </row>
    <row r="2050" hidden="1">
      <c r="A2050" s="82"/>
      <c r="B2050" s="65" t="s">
        <v>495</v>
      </c>
      <c r="C2050" s="65" t="s">
        <v>92</v>
      </c>
      <c r="D2050" s="65" t="str">
        <f>vlookup(C2050,'Classificação p pessoal'!F:G,2,false)</f>
        <v/>
      </c>
      <c r="E2050" s="65" t="s">
        <v>1254</v>
      </c>
      <c r="F2050" s="83">
        <v>0.4930555555555556</v>
      </c>
      <c r="G2050" s="83">
        <v>0.5729166666666666</v>
      </c>
      <c r="H2050" s="83">
        <v>0.0798611111111111</v>
      </c>
      <c r="I2050" s="84">
        <v>44452.0</v>
      </c>
      <c r="J2050" s="65" t="b">
        <v>1</v>
      </c>
      <c r="K2050" s="65"/>
      <c r="L2050" s="85" t="b">
        <f>IF(VLOOKUP(C2050,Projetos!A:L,12,false)=TRUE,TRUE,FALSE)</f>
        <v>1</v>
      </c>
      <c r="M2050" s="74">
        <v>73.7079846079846</v>
      </c>
      <c r="N2050" s="74">
        <f t="shared" si="1"/>
        <v>141.2736372</v>
      </c>
      <c r="O2050" s="74" t="b">
        <v>1</v>
      </c>
    </row>
    <row r="2051" hidden="1">
      <c r="A2051" s="82"/>
      <c r="B2051" s="65" t="s">
        <v>495</v>
      </c>
      <c r="C2051" s="65" t="s">
        <v>92</v>
      </c>
      <c r="D2051" s="65" t="str">
        <f>vlookup(C2051,'Classificação p pessoal'!F:G,2,false)</f>
        <v/>
      </c>
      <c r="E2051" s="65" t="s">
        <v>1275</v>
      </c>
      <c r="F2051" s="83">
        <v>0.6145833333333334</v>
      </c>
      <c r="G2051" s="83">
        <v>0.75</v>
      </c>
      <c r="H2051" s="83">
        <v>0.13541666666666666</v>
      </c>
      <c r="I2051" s="84">
        <v>44452.0</v>
      </c>
      <c r="J2051" s="65" t="b">
        <v>1</v>
      </c>
      <c r="K2051" s="65"/>
      <c r="L2051" s="85" t="b">
        <f>IF(VLOOKUP(C2051,Projetos!A:L,12,false)=TRUE,TRUE,FALSE)</f>
        <v>1</v>
      </c>
      <c r="M2051" s="74">
        <v>73.7079846079846</v>
      </c>
      <c r="N2051" s="74">
        <f t="shared" si="1"/>
        <v>239.55095</v>
      </c>
      <c r="O2051" s="74" t="b">
        <v>1</v>
      </c>
    </row>
    <row r="2052" hidden="1">
      <c r="A2052" s="82"/>
      <c r="B2052" s="65" t="s">
        <v>495</v>
      </c>
      <c r="C2052" s="65" t="s">
        <v>92</v>
      </c>
      <c r="D2052" s="65" t="str">
        <f>vlookup(C2052,'Classificação p pessoal'!F:G,2,false)</f>
        <v/>
      </c>
      <c r="E2052" s="65" t="s">
        <v>1276</v>
      </c>
      <c r="F2052" s="83">
        <v>0.3541666666666667</v>
      </c>
      <c r="G2052" s="83">
        <v>0.4583333333333333</v>
      </c>
      <c r="H2052" s="83">
        <v>0.10416666666666667</v>
      </c>
      <c r="I2052" s="84">
        <v>44453.0</v>
      </c>
      <c r="J2052" s="65" t="b">
        <v>1</v>
      </c>
      <c r="K2052" s="65"/>
      <c r="L2052" s="85" t="b">
        <f>IF(VLOOKUP(C2052,Projetos!A:L,12,false)=TRUE,TRUE,FALSE)</f>
        <v>1</v>
      </c>
      <c r="M2052" s="74">
        <v>73.7079846079846</v>
      </c>
      <c r="N2052" s="74">
        <f t="shared" si="1"/>
        <v>184.2699615</v>
      </c>
      <c r="O2052" s="74" t="b">
        <v>1</v>
      </c>
    </row>
    <row r="2053" hidden="1">
      <c r="A2053" s="82"/>
      <c r="B2053" s="65" t="s">
        <v>469</v>
      </c>
      <c r="C2053" s="65" t="s">
        <v>106</v>
      </c>
      <c r="D2053" s="65"/>
      <c r="E2053" s="65" t="s">
        <v>1277</v>
      </c>
      <c r="F2053" s="83">
        <v>0.34375</v>
      </c>
      <c r="G2053" s="83">
        <v>0.75</v>
      </c>
      <c r="H2053" s="83">
        <v>0.40625</v>
      </c>
      <c r="I2053" s="84">
        <v>44331.0</v>
      </c>
      <c r="J2053" s="65" t="b">
        <v>0</v>
      </c>
      <c r="K2053" s="65" t="s">
        <v>150</v>
      </c>
      <c r="L2053" s="85" t="b">
        <f>IF(VLOOKUP(C2053,Projetos!A:L,12,false)=TRUE,TRUE,FALSE)</f>
        <v>1</v>
      </c>
      <c r="M2053" s="74">
        <v>37.50928062469937</v>
      </c>
      <c r="N2053" s="74">
        <f t="shared" si="1"/>
        <v>0</v>
      </c>
      <c r="O2053" s="74" t="b">
        <v>1</v>
      </c>
    </row>
    <row r="2054" hidden="1">
      <c r="A2054" s="82"/>
      <c r="B2054" s="65" t="s">
        <v>495</v>
      </c>
      <c r="C2054" s="65" t="s">
        <v>92</v>
      </c>
      <c r="D2054" s="65" t="str">
        <f>vlookup(C2054,'Classificação p pessoal'!F:G,2,false)</f>
        <v/>
      </c>
      <c r="E2054" s="65" t="s">
        <v>1275</v>
      </c>
      <c r="F2054" s="83">
        <v>0.59375</v>
      </c>
      <c r="G2054" s="83">
        <v>0.7083333333333334</v>
      </c>
      <c r="H2054" s="83">
        <v>0.11458333333333333</v>
      </c>
      <c r="I2054" s="84">
        <v>44453.0</v>
      </c>
      <c r="J2054" s="65" t="b">
        <v>1</v>
      </c>
      <c r="K2054" s="65"/>
      <c r="L2054" s="85" t="b">
        <f>IF(VLOOKUP(C2054,Projetos!A:L,12,false)=TRUE,TRUE,FALSE)</f>
        <v>1</v>
      </c>
      <c r="M2054" s="74">
        <v>73.7079846079846</v>
      </c>
      <c r="N2054" s="74">
        <f t="shared" si="1"/>
        <v>202.6969577</v>
      </c>
      <c r="O2054" s="74" t="b">
        <v>1</v>
      </c>
    </row>
    <row r="2055" hidden="1">
      <c r="A2055" s="82"/>
      <c r="B2055" s="65" t="s">
        <v>495</v>
      </c>
      <c r="C2055" s="65" t="s">
        <v>92</v>
      </c>
      <c r="D2055" s="65" t="str">
        <f>vlookup(C2055,'Classificação p pessoal'!F:G,2,false)</f>
        <v/>
      </c>
      <c r="E2055" s="65" t="s">
        <v>1278</v>
      </c>
      <c r="F2055" s="83">
        <v>0.7083333333333334</v>
      </c>
      <c r="G2055" s="83">
        <v>0.75</v>
      </c>
      <c r="H2055" s="83">
        <v>0.041666666666666664</v>
      </c>
      <c r="I2055" s="84">
        <v>44453.0</v>
      </c>
      <c r="J2055" s="65" t="b">
        <v>1</v>
      </c>
      <c r="K2055" s="65"/>
      <c r="L2055" s="85" t="b">
        <f>IF(VLOOKUP(C2055,Projetos!A:L,12,false)=TRUE,TRUE,FALSE)</f>
        <v>1</v>
      </c>
      <c r="M2055" s="74">
        <v>73.7079846079846</v>
      </c>
      <c r="N2055" s="74">
        <f t="shared" si="1"/>
        <v>73.70798461</v>
      </c>
      <c r="O2055" s="74" t="b">
        <v>1</v>
      </c>
    </row>
    <row r="2056" hidden="1">
      <c r="A2056" s="82"/>
      <c r="B2056" s="65" t="s">
        <v>495</v>
      </c>
      <c r="C2056" s="65" t="s">
        <v>92</v>
      </c>
      <c r="D2056" s="65" t="str">
        <f>vlookup(C2056,'Classificação p pessoal'!F:G,2,false)</f>
        <v/>
      </c>
      <c r="E2056" s="65" t="s">
        <v>1279</v>
      </c>
      <c r="F2056" s="83">
        <v>0.3541666666666667</v>
      </c>
      <c r="G2056" s="83">
        <v>0.4583333333333333</v>
      </c>
      <c r="H2056" s="83">
        <v>0.10416666666666667</v>
      </c>
      <c r="I2056" s="84">
        <v>44454.0</v>
      </c>
      <c r="J2056" s="65" t="b">
        <v>1</v>
      </c>
      <c r="K2056" s="65"/>
      <c r="L2056" s="85" t="b">
        <f>IF(VLOOKUP(C2056,Projetos!A:L,12,false)=TRUE,TRUE,FALSE)</f>
        <v>1</v>
      </c>
      <c r="M2056" s="74">
        <v>73.7079846079846</v>
      </c>
      <c r="N2056" s="74">
        <f t="shared" si="1"/>
        <v>184.2699615</v>
      </c>
      <c r="O2056" s="74" t="b">
        <v>1</v>
      </c>
    </row>
    <row r="2057" hidden="1">
      <c r="A2057" s="82"/>
      <c r="B2057" s="65" t="s">
        <v>495</v>
      </c>
      <c r="C2057" s="65" t="s">
        <v>92</v>
      </c>
      <c r="D2057" s="65" t="str">
        <f>vlookup(C2057,'Classificação p pessoal'!F:G,2,false)</f>
        <v/>
      </c>
      <c r="E2057" s="65" t="s">
        <v>1278</v>
      </c>
      <c r="F2057" s="83">
        <v>0.4583333333333333</v>
      </c>
      <c r="G2057" s="83">
        <v>0.5729166666666666</v>
      </c>
      <c r="H2057" s="83">
        <v>0.11458333333333333</v>
      </c>
      <c r="I2057" s="84">
        <v>44454.0</v>
      </c>
      <c r="J2057" s="65" t="b">
        <v>1</v>
      </c>
      <c r="K2057" s="65"/>
      <c r="L2057" s="85" t="b">
        <f>IF(VLOOKUP(C2057,Projetos!A:L,12,false)=TRUE,TRUE,FALSE)</f>
        <v>1</v>
      </c>
      <c r="M2057" s="74">
        <v>73.7079846079846</v>
      </c>
      <c r="N2057" s="74">
        <f t="shared" si="1"/>
        <v>202.6969577</v>
      </c>
      <c r="O2057" s="74" t="b">
        <v>1</v>
      </c>
    </row>
    <row r="2058" hidden="1">
      <c r="A2058" s="82"/>
      <c r="B2058" s="65" t="s">
        <v>495</v>
      </c>
      <c r="C2058" s="65" t="s">
        <v>92</v>
      </c>
      <c r="D2058" s="65" t="str">
        <f>vlookup(C2058,'Classificação p pessoal'!F:G,2,false)</f>
        <v/>
      </c>
      <c r="E2058" s="65" t="s">
        <v>1280</v>
      </c>
      <c r="F2058" s="83">
        <v>0.6458333333333334</v>
      </c>
      <c r="G2058" s="83">
        <v>0.75</v>
      </c>
      <c r="H2058" s="83">
        <v>0.10416666666666667</v>
      </c>
      <c r="I2058" s="84">
        <v>44454.0</v>
      </c>
      <c r="J2058" s="65" t="b">
        <v>1</v>
      </c>
      <c r="K2058" s="65"/>
      <c r="L2058" s="85" t="b">
        <f>IF(VLOOKUP(C2058,Projetos!A:L,12,false)=TRUE,TRUE,FALSE)</f>
        <v>1</v>
      </c>
      <c r="M2058" s="74">
        <v>73.7079846079846</v>
      </c>
      <c r="N2058" s="74">
        <f t="shared" si="1"/>
        <v>184.2699615</v>
      </c>
      <c r="O2058" s="74" t="b">
        <v>1</v>
      </c>
    </row>
    <row r="2059" hidden="1">
      <c r="A2059" s="82"/>
      <c r="B2059" s="65" t="s">
        <v>495</v>
      </c>
      <c r="C2059" s="65" t="s">
        <v>92</v>
      </c>
      <c r="D2059" s="65" t="str">
        <f>vlookup(C2059,'Classificação p pessoal'!F:G,2,false)</f>
        <v/>
      </c>
      <c r="E2059" s="65" t="s">
        <v>1281</v>
      </c>
      <c r="F2059" s="83">
        <v>0.3541666666666667</v>
      </c>
      <c r="G2059" s="83">
        <v>0.4166666666666667</v>
      </c>
      <c r="H2059" s="83">
        <v>0.0625</v>
      </c>
      <c r="I2059" s="84">
        <v>44455.0</v>
      </c>
      <c r="J2059" s="65" t="b">
        <v>1</v>
      </c>
      <c r="K2059" s="65"/>
      <c r="L2059" s="85" t="b">
        <f>IF(VLOOKUP(C2059,Projetos!A:L,12,false)=TRUE,TRUE,FALSE)</f>
        <v>1</v>
      </c>
      <c r="M2059" s="74">
        <v>73.7079846079846</v>
      </c>
      <c r="N2059" s="74">
        <f t="shared" si="1"/>
        <v>110.5619769</v>
      </c>
      <c r="O2059" s="74" t="b">
        <v>1</v>
      </c>
    </row>
    <row r="2060" hidden="1">
      <c r="A2060" s="82"/>
      <c r="B2060" s="65" t="s">
        <v>495</v>
      </c>
      <c r="C2060" s="65" t="s">
        <v>92</v>
      </c>
      <c r="D2060" s="65" t="str">
        <f>vlookup(C2060,'Classificação p pessoal'!F:G,2,false)</f>
        <v/>
      </c>
      <c r="E2060" s="65" t="s">
        <v>1282</v>
      </c>
      <c r="F2060" s="83">
        <v>0.4166666666666667</v>
      </c>
      <c r="G2060" s="83">
        <v>0.5763888888888888</v>
      </c>
      <c r="H2060" s="83">
        <v>0.1597222222222222</v>
      </c>
      <c r="I2060" s="84">
        <v>44455.0</v>
      </c>
      <c r="J2060" s="65" t="b">
        <v>1</v>
      </c>
      <c r="K2060" s="65"/>
      <c r="L2060" s="85" t="b">
        <f>IF(VLOOKUP(C2060,Projetos!A:L,12,false)=TRUE,TRUE,FALSE)</f>
        <v>1</v>
      </c>
      <c r="M2060" s="74">
        <v>73.7079846079846</v>
      </c>
      <c r="N2060" s="74">
        <f t="shared" si="1"/>
        <v>282.5472743</v>
      </c>
      <c r="O2060" s="74" t="b">
        <v>1</v>
      </c>
    </row>
    <row r="2061" hidden="1">
      <c r="A2061" s="82"/>
      <c r="B2061" s="65" t="s">
        <v>495</v>
      </c>
      <c r="C2061" s="65" t="s">
        <v>92</v>
      </c>
      <c r="D2061" s="65" t="str">
        <f>vlookup(C2061,'Classificação p pessoal'!F:G,2,false)</f>
        <v/>
      </c>
      <c r="E2061" s="65" t="s">
        <v>1283</v>
      </c>
      <c r="F2061" s="83">
        <v>0.6354166666666666</v>
      </c>
      <c r="G2061" s="83">
        <v>0.75</v>
      </c>
      <c r="H2061" s="83">
        <v>0.11458333333333333</v>
      </c>
      <c r="I2061" s="84">
        <v>44455.0</v>
      </c>
      <c r="J2061" s="65" t="b">
        <v>1</v>
      </c>
      <c r="K2061" s="65"/>
      <c r="L2061" s="85" t="b">
        <f>IF(VLOOKUP(C2061,Projetos!A:L,12,false)=TRUE,TRUE,FALSE)</f>
        <v>1</v>
      </c>
      <c r="M2061" s="74">
        <v>73.7079846079846</v>
      </c>
      <c r="N2061" s="74">
        <f t="shared" si="1"/>
        <v>202.6969577</v>
      </c>
      <c r="O2061" s="74" t="b">
        <v>1</v>
      </c>
    </row>
    <row r="2062" hidden="1">
      <c r="A2062" s="82"/>
      <c r="B2062" s="65" t="s">
        <v>495</v>
      </c>
      <c r="C2062" s="65" t="s">
        <v>92</v>
      </c>
      <c r="D2062" s="65" t="str">
        <f>vlookup(C2062,'Classificação p pessoal'!F:G,2,false)</f>
        <v/>
      </c>
      <c r="E2062" s="65" t="s">
        <v>1284</v>
      </c>
      <c r="F2062" s="83">
        <v>0.3541666666666667</v>
      </c>
      <c r="G2062" s="83">
        <v>0.4375</v>
      </c>
      <c r="H2062" s="83">
        <v>0.08333333333333333</v>
      </c>
      <c r="I2062" s="84">
        <v>44456.0</v>
      </c>
      <c r="J2062" s="65" t="b">
        <v>1</v>
      </c>
      <c r="K2062" s="65"/>
      <c r="L2062" s="85" t="b">
        <f>IF(VLOOKUP(C2062,Projetos!A:L,12,false)=TRUE,TRUE,FALSE)</f>
        <v>1</v>
      </c>
      <c r="M2062" s="74">
        <v>73.7079846079846</v>
      </c>
      <c r="N2062" s="74">
        <f t="shared" si="1"/>
        <v>147.4159692</v>
      </c>
      <c r="O2062" s="74" t="b">
        <v>1</v>
      </c>
    </row>
    <row r="2063" hidden="1">
      <c r="A2063" s="82"/>
      <c r="B2063" s="65" t="s">
        <v>495</v>
      </c>
      <c r="C2063" s="65" t="s">
        <v>92</v>
      </c>
      <c r="D2063" s="65" t="str">
        <f>vlookup(C2063,'Classificação p pessoal'!F:G,2,false)</f>
        <v/>
      </c>
      <c r="E2063" s="65" t="s">
        <v>1285</v>
      </c>
      <c r="F2063" s="83">
        <v>0.4479166666666667</v>
      </c>
      <c r="G2063" s="83">
        <v>0.5416666666666666</v>
      </c>
      <c r="H2063" s="83">
        <v>0.09375</v>
      </c>
      <c r="I2063" s="84">
        <v>44456.0</v>
      </c>
      <c r="J2063" s="65" t="b">
        <v>1</v>
      </c>
      <c r="K2063" s="65"/>
      <c r="L2063" s="85" t="b">
        <f>IF(VLOOKUP(C2063,Projetos!A:L,12,false)=TRUE,TRUE,FALSE)</f>
        <v>1</v>
      </c>
      <c r="M2063" s="74">
        <v>73.7079846079846</v>
      </c>
      <c r="N2063" s="74">
        <f t="shared" si="1"/>
        <v>165.8429654</v>
      </c>
      <c r="O2063" s="74" t="b">
        <v>1</v>
      </c>
    </row>
    <row r="2064" hidden="1">
      <c r="A2064" s="82"/>
      <c r="B2064" s="65" t="s">
        <v>495</v>
      </c>
      <c r="C2064" s="65" t="s">
        <v>108</v>
      </c>
      <c r="D2064" s="65" t="str">
        <f>vlookup(C2064,'Classificação p pessoal'!F:G,2,false)</f>
        <v>NP</v>
      </c>
      <c r="E2064" s="65" t="s">
        <v>1286</v>
      </c>
      <c r="F2064" s="83">
        <v>0.5833333333333334</v>
      </c>
      <c r="G2064" s="83">
        <v>0.6111111111111112</v>
      </c>
      <c r="H2064" s="83">
        <v>0.027777777777777776</v>
      </c>
      <c r="I2064" s="84">
        <v>44456.0</v>
      </c>
      <c r="J2064" s="65" t="b">
        <v>1</v>
      </c>
      <c r="K2064" s="65"/>
      <c r="L2064" s="85" t="b">
        <f>IF(VLOOKUP(C2064,Projetos!A:L,12,false)=TRUE,TRUE,FALSE)</f>
        <v>1</v>
      </c>
      <c r="M2064" s="74">
        <v>73.7079846079846</v>
      </c>
      <c r="N2064" s="74">
        <f t="shared" si="1"/>
        <v>49.13865641</v>
      </c>
      <c r="O2064" s="74" t="b">
        <v>1</v>
      </c>
    </row>
    <row r="2065" hidden="1">
      <c r="A2065" s="82"/>
      <c r="B2065" s="65" t="s">
        <v>495</v>
      </c>
      <c r="C2065" s="65" t="s">
        <v>108</v>
      </c>
      <c r="D2065" s="65" t="str">
        <f>vlookup(C2065,'Classificação p pessoal'!F:G,2,false)</f>
        <v>NP</v>
      </c>
      <c r="E2065" s="65" t="s">
        <v>1287</v>
      </c>
      <c r="F2065" s="83">
        <v>0.6111111111111112</v>
      </c>
      <c r="G2065" s="83">
        <v>0.75</v>
      </c>
      <c r="H2065" s="83">
        <v>0.1388888888888889</v>
      </c>
      <c r="I2065" s="84">
        <v>44456.0</v>
      </c>
      <c r="J2065" s="65" t="b">
        <v>1</v>
      </c>
      <c r="K2065" s="65"/>
      <c r="L2065" s="85" t="b">
        <f>IF(VLOOKUP(C2065,Projetos!A:L,12,false)=TRUE,TRUE,FALSE)</f>
        <v>1</v>
      </c>
      <c r="M2065" s="74">
        <v>73.7079846079846</v>
      </c>
      <c r="N2065" s="74">
        <f t="shared" si="1"/>
        <v>245.693282</v>
      </c>
      <c r="O2065" s="74" t="b">
        <v>1</v>
      </c>
    </row>
    <row r="2066" hidden="1">
      <c r="A2066" s="82"/>
      <c r="B2066" s="65" t="s">
        <v>495</v>
      </c>
      <c r="C2066" s="65" t="s">
        <v>92</v>
      </c>
      <c r="D2066" s="65" t="str">
        <f>vlookup(C2066,'Classificação p pessoal'!F:G,2,false)</f>
        <v/>
      </c>
      <c r="E2066" s="65" t="s">
        <v>1261</v>
      </c>
      <c r="F2066" s="83">
        <v>0.34375</v>
      </c>
      <c r="G2066" s="83">
        <v>0.3541666666666667</v>
      </c>
      <c r="H2066" s="83">
        <v>0.010416666666666666</v>
      </c>
      <c r="I2066" s="84">
        <v>44459.0</v>
      </c>
      <c r="J2066" s="65" t="b">
        <v>1</v>
      </c>
      <c r="K2066" s="65"/>
      <c r="L2066" s="85" t="b">
        <f>IF(VLOOKUP(C2066,Projetos!A:L,12,false)=TRUE,TRUE,FALSE)</f>
        <v>1</v>
      </c>
      <c r="M2066" s="74">
        <v>73.7079846079846</v>
      </c>
      <c r="N2066" s="74">
        <f t="shared" si="1"/>
        <v>18.42699615</v>
      </c>
      <c r="O2066" s="74" t="b">
        <v>1</v>
      </c>
    </row>
    <row r="2067" hidden="1">
      <c r="A2067" s="82"/>
      <c r="B2067" s="65" t="s">
        <v>495</v>
      </c>
      <c r="C2067" s="65" t="s">
        <v>92</v>
      </c>
      <c r="D2067" s="65" t="str">
        <f>vlookup(C2067,'Classificação p pessoal'!F:G,2,false)</f>
        <v/>
      </c>
      <c r="E2067" s="65" t="s">
        <v>1288</v>
      </c>
      <c r="F2067" s="83">
        <v>0.3541666666666667</v>
      </c>
      <c r="G2067" s="83">
        <v>0.40625</v>
      </c>
      <c r="H2067" s="83">
        <v>0.052083333333333336</v>
      </c>
      <c r="I2067" s="84">
        <v>44459.0</v>
      </c>
      <c r="J2067" s="65" t="b">
        <v>1</v>
      </c>
      <c r="K2067" s="65"/>
      <c r="L2067" s="85" t="b">
        <f>IF(VLOOKUP(C2067,Projetos!A:L,12,false)=TRUE,TRUE,FALSE)</f>
        <v>1</v>
      </c>
      <c r="M2067" s="74">
        <v>73.7079846079846</v>
      </c>
      <c r="N2067" s="74">
        <f t="shared" si="1"/>
        <v>92.13498076</v>
      </c>
      <c r="O2067" s="74" t="b">
        <v>1</v>
      </c>
    </row>
    <row r="2068" hidden="1">
      <c r="A2068" s="82"/>
      <c r="B2068" s="65" t="s">
        <v>495</v>
      </c>
      <c r="C2068" s="65" t="s">
        <v>92</v>
      </c>
      <c r="D2068" s="65" t="str">
        <f>vlookup(C2068,'Classificação p pessoal'!F:G,2,false)</f>
        <v/>
      </c>
      <c r="E2068" s="65" t="s">
        <v>1289</v>
      </c>
      <c r="F2068" s="83">
        <v>0.40625</v>
      </c>
      <c r="G2068" s="83">
        <v>0.46875</v>
      </c>
      <c r="H2068" s="83">
        <v>0.0625</v>
      </c>
      <c r="I2068" s="84">
        <v>44459.0</v>
      </c>
      <c r="J2068" s="65" t="b">
        <v>1</v>
      </c>
      <c r="K2068" s="65"/>
      <c r="L2068" s="85" t="b">
        <f>IF(VLOOKUP(C2068,Projetos!A:L,12,false)=TRUE,TRUE,FALSE)</f>
        <v>1</v>
      </c>
      <c r="M2068" s="74">
        <v>73.7079846079846</v>
      </c>
      <c r="N2068" s="74">
        <f t="shared" si="1"/>
        <v>110.5619769</v>
      </c>
      <c r="O2068" s="74" t="b">
        <v>1</v>
      </c>
    </row>
    <row r="2069" hidden="1">
      <c r="A2069" s="82"/>
      <c r="B2069" s="65" t="s">
        <v>495</v>
      </c>
      <c r="C2069" s="65" t="s">
        <v>108</v>
      </c>
      <c r="D2069" s="65" t="str">
        <f>vlookup(C2069,'Classificação p pessoal'!F:G,2,false)</f>
        <v>NP</v>
      </c>
      <c r="E2069" s="65" t="s">
        <v>1290</v>
      </c>
      <c r="F2069" s="83">
        <v>0.46875</v>
      </c>
      <c r="G2069" s="83">
        <v>0.5625</v>
      </c>
      <c r="H2069" s="83">
        <v>0.09375</v>
      </c>
      <c r="I2069" s="84">
        <v>44459.0</v>
      </c>
      <c r="J2069" s="65" t="b">
        <v>1</v>
      </c>
      <c r="K2069" s="65"/>
      <c r="L2069" s="85" t="b">
        <f>IF(VLOOKUP(C2069,Projetos!A:L,12,false)=TRUE,TRUE,FALSE)</f>
        <v>1</v>
      </c>
      <c r="M2069" s="74">
        <v>73.7079846079846</v>
      </c>
      <c r="N2069" s="74">
        <f t="shared" si="1"/>
        <v>165.8429654</v>
      </c>
      <c r="O2069" s="74" t="b">
        <v>1</v>
      </c>
    </row>
    <row r="2070" hidden="1">
      <c r="A2070" s="82"/>
      <c r="B2070" s="65" t="s">
        <v>495</v>
      </c>
      <c r="C2070" s="65" t="s">
        <v>108</v>
      </c>
      <c r="D2070" s="65" t="str">
        <f>vlookup(C2070,'Classificação p pessoal'!F:G,2,false)</f>
        <v>NP</v>
      </c>
      <c r="E2070" s="65" t="s">
        <v>1291</v>
      </c>
      <c r="F2070" s="83">
        <v>0.6145833333333334</v>
      </c>
      <c r="G2070" s="83">
        <v>0.75</v>
      </c>
      <c r="H2070" s="83">
        <v>0.13541666666666666</v>
      </c>
      <c r="I2070" s="84">
        <v>44459.0</v>
      </c>
      <c r="J2070" s="65" t="b">
        <v>1</v>
      </c>
      <c r="K2070" s="65"/>
      <c r="L2070" s="85" t="b">
        <f>IF(VLOOKUP(C2070,Projetos!A:L,12,false)=TRUE,TRUE,FALSE)</f>
        <v>1</v>
      </c>
      <c r="M2070" s="74">
        <v>73.7079846079846</v>
      </c>
      <c r="N2070" s="74">
        <f t="shared" si="1"/>
        <v>239.55095</v>
      </c>
      <c r="O2070" s="74" t="b">
        <v>1</v>
      </c>
    </row>
    <row r="2071" hidden="1">
      <c r="A2071" s="82"/>
      <c r="B2071" s="65" t="s">
        <v>495</v>
      </c>
      <c r="C2071" s="65" t="s">
        <v>108</v>
      </c>
      <c r="D2071" s="65" t="str">
        <f>vlookup(C2071,'Classificação p pessoal'!F:G,2,false)</f>
        <v>NP</v>
      </c>
      <c r="E2071" s="65" t="s">
        <v>1290</v>
      </c>
      <c r="F2071" s="83">
        <v>0.3541666666666667</v>
      </c>
      <c r="G2071" s="83">
        <v>0.4375</v>
      </c>
      <c r="H2071" s="83">
        <v>0.08333333333333333</v>
      </c>
      <c r="I2071" s="84">
        <v>44460.0</v>
      </c>
      <c r="J2071" s="65" t="b">
        <v>1</v>
      </c>
      <c r="K2071" s="65"/>
      <c r="L2071" s="85" t="b">
        <f>IF(VLOOKUP(C2071,Projetos!A:L,12,false)=TRUE,TRUE,FALSE)</f>
        <v>1</v>
      </c>
      <c r="M2071" s="74">
        <v>73.7079846079846</v>
      </c>
      <c r="N2071" s="74">
        <f t="shared" si="1"/>
        <v>147.4159692</v>
      </c>
      <c r="O2071" s="74" t="b">
        <v>1</v>
      </c>
    </row>
    <row r="2072" hidden="1">
      <c r="A2072" s="82"/>
      <c r="B2072" s="65" t="s">
        <v>495</v>
      </c>
      <c r="C2072" s="65" t="s">
        <v>92</v>
      </c>
      <c r="D2072" s="65" t="str">
        <f>vlookup(C2072,'Classificação p pessoal'!F:G,2,false)</f>
        <v/>
      </c>
      <c r="E2072" s="65" t="s">
        <v>1292</v>
      </c>
      <c r="F2072" s="83">
        <v>0.4375</v>
      </c>
      <c r="G2072" s="83">
        <v>0.5208333333333334</v>
      </c>
      <c r="H2072" s="83">
        <v>0.08333333333333333</v>
      </c>
      <c r="I2072" s="84">
        <v>44460.0</v>
      </c>
      <c r="J2072" s="65" t="b">
        <v>1</v>
      </c>
      <c r="K2072" s="65"/>
      <c r="L2072" s="85" t="b">
        <f>IF(VLOOKUP(C2072,Projetos!A:L,12,false)=TRUE,TRUE,FALSE)</f>
        <v>1</v>
      </c>
      <c r="M2072" s="74">
        <v>73.7079846079846</v>
      </c>
      <c r="N2072" s="74">
        <f t="shared" si="1"/>
        <v>147.4159692</v>
      </c>
      <c r="O2072" s="74" t="b">
        <v>1</v>
      </c>
    </row>
    <row r="2073" hidden="1">
      <c r="A2073" s="82"/>
      <c r="B2073" s="65" t="s">
        <v>495</v>
      </c>
      <c r="C2073" s="65" t="s">
        <v>92</v>
      </c>
      <c r="D2073" s="65" t="str">
        <f>vlookup(C2073,'Classificação p pessoal'!F:G,2,false)</f>
        <v/>
      </c>
      <c r="E2073" s="65" t="s">
        <v>1283</v>
      </c>
      <c r="F2073" s="83">
        <v>0.5208333333333334</v>
      </c>
      <c r="G2073" s="83">
        <v>0.5694444444444444</v>
      </c>
      <c r="H2073" s="83">
        <v>0.04861111111111111</v>
      </c>
      <c r="I2073" s="84">
        <v>44460.0</v>
      </c>
      <c r="J2073" s="65" t="b">
        <v>1</v>
      </c>
      <c r="K2073" s="65"/>
      <c r="L2073" s="85" t="b">
        <f>IF(VLOOKUP(C2073,Projetos!A:L,12,false)=TRUE,TRUE,FALSE)</f>
        <v>1</v>
      </c>
      <c r="M2073" s="74">
        <v>73.7079846079846</v>
      </c>
      <c r="N2073" s="74">
        <f t="shared" si="1"/>
        <v>85.99264871</v>
      </c>
      <c r="O2073" s="74" t="b">
        <v>1</v>
      </c>
    </row>
    <row r="2074" hidden="1">
      <c r="A2074" s="82"/>
      <c r="B2074" s="65" t="s">
        <v>495</v>
      </c>
      <c r="C2074" s="65" t="s">
        <v>92</v>
      </c>
      <c r="D2074" s="65" t="str">
        <f>vlookup(C2074,'Classificação p pessoal'!F:G,2,false)</f>
        <v/>
      </c>
      <c r="E2074" s="65" t="s">
        <v>1293</v>
      </c>
      <c r="F2074" s="83">
        <v>0.6111111111111112</v>
      </c>
      <c r="G2074" s="83">
        <v>0.6666666666666666</v>
      </c>
      <c r="H2074" s="83">
        <v>0.05555555555555555</v>
      </c>
      <c r="I2074" s="84">
        <v>44460.0</v>
      </c>
      <c r="J2074" s="65" t="b">
        <v>1</v>
      </c>
      <c r="K2074" s="65"/>
      <c r="L2074" s="85" t="b">
        <f>IF(VLOOKUP(C2074,Projetos!A:L,12,false)=TRUE,TRUE,FALSE)</f>
        <v>1</v>
      </c>
      <c r="M2074" s="74">
        <v>73.7079846079846</v>
      </c>
      <c r="N2074" s="74">
        <f t="shared" si="1"/>
        <v>98.27731281</v>
      </c>
      <c r="O2074" s="74" t="b">
        <v>1</v>
      </c>
    </row>
    <row r="2075" hidden="1">
      <c r="A2075" s="82"/>
      <c r="B2075" s="65" t="s">
        <v>495</v>
      </c>
      <c r="C2075" s="65" t="s">
        <v>92</v>
      </c>
      <c r="D2075" s="65" t="str">
        <f>vlookup(C2075,'Classificação p pessoal'!F:G,2,false)</f>
        <v/>
      </c>
      <c r="E2075" s="65" t="s">
        <v>1285</v>
      </c>
      <c r="F2075" s="83">
        <v>0.6875</v>
      </c>
      <c r="G2075" s="83">
        <v>0.75</v>
      </c>
      <c r="H2075" s="83">
        <v>0.0625</v>
      </c>
      <c r="I2075" s="84">
        <v>44460.0</v>
      </c>
      <c r="J2075" s="65" t="b">
        <v>1</v>
      </c>
      <c r="K2075" s="65"/>
      <c r="L2075" s="85" t="b">
        <f>IF(VLOOKUP(C2075,Projetos!A:L,12,false)=TRUE,TRUE,FALSE)</f>
        <v>1</v>
      </c>
      <c r="M2075" s="74">
        <v>73.7079846079846</v>
      </c>
      <c r="N2075" s="74">
        <f t="shared" si="1"/>
        <v>110.5619769</v>
      </c>
      <c r="O2075" s="74" t="b">
        <v>1</v>
      </c>
    </row>
    <row r="2076" hidden="1">
      <c r="A2076" s="82"/>
      <c r="B2076" s="65" t="s">
        <v>469</v>
      </c>
      <c r="C2076" s="65" t="s">
        <v>106</v>
      </c>
      <c r="D2076" s="65"/>
      <c r="E2076" s="65" t="s">
        <v>1277</v>
      </c>
      <c r="F2076" s="83">
        <v>0.34375</v>
      </c>
      <c r="G2076" s="83">
        <v>0.75</v>
      </c>
      <c r="H2076" s="83">
        <v>0.40625</v>
      </c>
      <c r="I2076" s="84">
        <v>44332.0</v>
      </c>
      <c r="J2076" s="65" t="b">
        <v>0</v>
      </c>
      <c r="K2076" s="65" t="s">
        <v>150</v>
      </c>
      <c r="L2076" s="85" t="b">
        <f>IF(VLOOKUP(C2076,Projetos!A:L,12,false)=TRUE,TRUE,FALSE)</f>
        <v>1</v>
      </c>
      <c r="M2076" s="74">
        <v>37.50928062469937</v>
      </c>
      <c r="N2076" s="74">
        <f t="shared" si="1"/>
        <v>0</v>
      </c>
      <c r="O2076" s="74" t="b">
        <v>1</v>
      </c>
    </row>
    <row r="2077" hidden="1">
      <c r="A2077" s="82"/>
      <c r="B2077" s="65" t="s">
        <v>495</v>
      </c>
      <c r="C2077" s="65" t="s">
        <v>92</v>
      </c>
      <c r="D2077" s="65" t="str">
        <f>vlookup(C2077,'Classificação p pessoal'!F:G,2,false)</f>
        <v/>
      </c>
      <c r="E2077" s="65" t="s">
        <v>1294</v>
      </c>
      <c r="F2077" s="83">
        <v>0.4166666666666667</v>
      </c>
      <c r="G2077" s="83">
        <v>0.4583333333333333</v>
      </c>
      <c r="H2077" s="83">
        <v>0.041666666666666664</v>
      </c>
      <c r="I2077" s="84">
        <v>44461.0</v>
      </c>
      <c r="J2077" s="65" t="b">
        <v>1</v>
      </c>
      <c r="K2077" s="65"/>
      <c r="L2077" s="85" t="b">
        <f>IF(VLOOKUP(C2077,Projetos!A:L,12,false)=TRUE,TRUE,FALSE)</f>
        <v>1</v>
      </c>
      <c r="M2077" s="74">
        <v>73.7079846079846</v>
      </c>
      <c r="N2077" s="74">
        <f t="shared" si="1"/>
        <v>73.70798461</v>
      </c>
      <c r="O2077" s="74" t="b">
        <v>1</v>
      </c>
    </row>
    <row r="2078" hidden="1">
      <c r="A2078" s="82"/>
      <c r="B2078" s="65" t="s">
        <v>495</v>
      </c>
      <c r="C2078" s="65" t="s">
        <v>92</v>
      </c>
      <c r="D2078" s="65" t="str">
        <f>vlookup(C2078,'Classificação p pessoal'!F:G,2,false)</f>
        <v/>
      </c>
      <c r="E2078" s="65" t="s">
        <v>1295</v>
      </c>
      <c r="F2078" s="83">
        <v>0.4791666666666667</v>
      </c>
      <c r="G2078" s="83">
        <v>0.5833333333333334</v>
      </c>
      <c r="H2078" s="83">
        <v>0.10416666666666667</v>
      </c>
      <c r="I2078" s="84">
        <v>44461.0</v>
      </c>
      <c r="J2078" s="65" t="b">
        <v>1</v>
      </c>
      <c r="K2078" s="65"/>
      <c r="L2078" s="85" t="b">
        <f>IF(VLOOKUP(C2078,Projetos!A:L,12,false)=TRUE,TRUE,FALSE)</f>
        <v>1</v>
      </c>
      <c r="M2078" s="74">
        <v>73.7079846079846</v>
      </c>
      <c r="N2078" s="74">
        <f t="shared" si="1"/>
        <v>184.2699615</v>
      </c>
      <c r="O2078" s="74" t="b">
        <v>1</v>
      </c>
    </row>
    <row r="2079" hidden="1">
      <c r="A2079" s="82"/>
      <c r="B2079" s="65" t="s">
        <v>495</v>
      </c>
      <c r="C2079" s="65" t="s">
        <v>92</v>
      </c>
      <c r="D2079" s="65" t="str">
        <f>vlookup(C2079,'Classificação p pessoal'!F:G,2,false)</f>
        <v/>
      </c>
      <c r="E2079" s="65" t="s">
        <v>1271</v>
      </c>
      <c r="F2079" s="83">
        <v>0.625</v>
      </c>
      <c r="G2079" s="83">
        <v>0.75</v>
      </c>
      <c r="H2079" s="83">
        <v>0.125</v>
      </c>
      <c r="I2079" s="84">
        <v>44461.0</v>
      </c>
      <c r="J2079" s="65" t="b">
        <v>1</v>
      </c>
      <c r="K2079" s="65"/>
      <c r="L2079" s="85" t="b">
        <f>IF(VLOOKUP(C2079,Projetos!A:L,12,false)=TRUE,TRUE,FALSE)</f>
        <v>1</v>
      </c>
      <c r="M2079" s="74">
        <v>73.7079846079846</v>
      </c>
      <c r="N2079" s="74">
        <f t="shared" si="1"/>
        <v>221.1239538</v>
      </c>
      <c r="O2079" s="74" t="b">
        <v>1</v>
      </c>
    </row>
    <row r="2080" hidden="1">
      <c r="A2080" s="82"/>
      <c r="B2080" s="65" t="s">
        <v>495</v>
      </c>
      <c r="C2080" s="65" t="s">
        <v>108</v>
      </c>
      <c r="D2080" s="65" t="str">
        <f>vlookup(C2080,'Classificação p pessoal'!F:G,2,false)</f>
        <v>NP</v>
      </c>
      <c r="E2080" s="65" t="s">
        <v>1296</v>
      </c>
      <c r="F2080" s="83">
        <v>0.3472222222222222</v>
      </c>
      <c r="G2080" s="83">
        <v>0.3645833333333333</v>
      </c>
      <c r="H2080" s="83">
        <v>0.017361111111111112</v>
      </c>
      <c r="I2080" s="84">
        <v>44462.0</v>
      </c>
      <c r="J2080" s="65" t="b">
        <v>1</v>
      </c>
      <c r="K2080" s="65"/>
      <c r="L2080" s="85" t="b">
        <f>IF(VLOOKUP(C2080,Projetos!A:L,12,false)=TRUE,TRUE,FALSE)</f>
        <v>1</v>
      </c>
      <c r="M2080" s="74">
        <v>73.7079846079846</v>
      </c>
      <c r="N2080" s="74">
        <f t="shared" si="1"/>
        <v>30.71166025</v>
      </c>
      <c r="O2080" s="74" t="b">
        <v>1</v>
      </c>
    </row>
    <row r="2081" hidden="1">
      <c r="A2081" s="82"/>
      <c r="B2081" s="65" t="s">
        <v>495</v>
      </c>
      <c r="C2081" s="65" t="s">
        <v>92</v>
      </c>
      <c r="D2081" s="65" t="str">
        <f>vlookup(C2081,'Classificação p pessoal'!F:G,2,false)</f>
        <v/>
      </c>
      <c r="E2081" s="65" t="s">
        <v>1297</v>
      </c>
      <c r="F2081" s="83">
        <v>0.3645833333333333</v>
      </c>
      <c r="G2081" s="83">
        <v>0.3888888888888889</v>
      </c>
      <c r="H2081" s="83">
        <v>0.024305555555555556</v>
      </c>
      <c r="I2081" s="84">
        <v>44462.0</v>
      </c>
      <c r="J2081" s="65" t="b">
        <v>1</v>
      </c>
      <c r="K2081" s="65"/>
      <c r="L2081" s="85" t="b">
        <f>IF(VLOOKUP(C2081,Projetos!A:L,12,false)=TRUE,TRUE,FALSE)</f>
        <v>1</v>
      </c>
      <c r="M2081" s="74">
        <v>73.7079846079846</v>
      </c>
      <c r="N2081" s="74">
        <f t="shared" si="1"/>
        <v>42.99632435</v>
      </c>
      <c r="O2081" s="74" t="b">
        <v>1</v>
      </c>
    </row>
    <row r="2082" hidden="1">
      <c r="A2082" s="82"/>
      <c r="B2082" s="65" t="s">
        <v>495</v>
      </c>
      <c r="C2082" s="65" t="s">
        <v>92</v>
      </c>
      <c r="D2082" s="65" t="str">
        <f>vlookup(C2082,'Classificação p pessoal'!F:G,2,false)</f>
        <v/>
      </c>
      <c r="E2082" s="65" t="s">
        <v>1298</v>
      </c>
      <c r="F2082" s="83">
        <v>0.4166666666666667</v>
      </c>
      <c r="G2082" s="83">
        <v>0.5763888888888888</v>
      </c>
      <c r="H2082" s="83">
        <v>0.1597222222222222</v>
      </c>
      <c r="I2082" s="84">
        <v>44462.0</v>
      </c>
      <c r="J2082" s="65" t="b">
        <v>1</v>
      </c>
      <c r="K2082" s="65"/>
      <c r="L2082" s="85" t="b">
        <f>IF(VLOOKUP(C2082,Projetos!A:L,12,false)=TRUE,TRUE,FALSE)</f>
        <v>1</v>
      </c>
      <c r="M2082" s="74">
        <v>73.7079846079846</v>
      </c>
      <c r="N2082" s="74">
        <f t="shared" si="1"/>
        <v>282.5472743</v>
      </c>
      <c r="O2082" s="74" t="b">
        <v>1</v>
      </c>
    </row>
    <row r="2083" hidden="1">
      <c r="A2083" s="82"/>
      <c r="B2083" s="65" t="s">
        <v>495</v>
      </c>
      <c r="C2083" s="65" t="s">
        <v>92</v>
      </c>
      <c r="D2083" s="65" t="str">
        <f>vlookup(C2083,'Classificação p pessoal'!F:G,2,false)</f>
        <v/>
      </c>
      <c r="E2083" s="65" t="s">
        <v>1298</v>
      </c>
      <c r="F2083" s="83">
        <v>0.625</v>
      </c>
      <c r="G2083" s="83">
        <v>0.75</v>
      </c>
      <c r="H2083" s="83">
        <v>0.125</v>
      </c>
      <c r="I2083" s="84">
        <v>44462.0</v>
      </c>
      <c r="J2083" s="65" t="b">
        <v>1</v>
      </c>
      <c r="K2083" s="65"/>
      <c r="L2083" s="85" t="b">
        <f>IF(VLOOKUP(C2083,Projetos!A:L,12,false)=TRUE,TRUE,FALSE)</f>
        <v>1</v>
      </c>
      <c r="M2083" s="74">
        <v>73.7079846079846</v>
      </c>
      <c r="N2083" s="74">
        <f t="shared" si="1"/>
        <v>221.1239538</v>
      </c>
      <c r="O2083" s="74" t="b">
        <v>1</v>
      </c>
    </row>
    <row r="2084" hidden="1">
      <c r="A2084" s="82"/>
      <c r="B2084" s="65" t="s">
        <v>495</v>
      </c>
      <c r="C2084" s="65" t="s">
        <v>92</v>
      </c>
      <c r="D2084" s="65" t="str">
        <f>vlookup(C2084,'Classificação p pessoal'!F:G,2,false)</f>
        <v/>
      </c>
      <c r="E2084" s="65" t="s">
        <v>1299</v>
      </c>
      <c r="F2084" s="83">
        <v>0.3541666666666667</v>
      </c>
      <c r="G2084" s="83">
        <v>0.4583333333333333</v>
      </c>
      <c r="H2084" s="83">
        <v>0.10416666666666667</v>
      </c>
      <c r="I2084" s="84">
        <v>44463.0</v>
      </c>
      <c r="J2084" s="65" t="b">
        <v>1</v>
      </c>
      <c r="K2084" s="65"/>
      <c r="L2084" s="85" t="b">
        <f>IF(VLOOKUP(C2084,Projetos!A:L,12,false)=TRUE,TRUE,FALSE)</f>
        <v>1</v>
      </c>
      <c r="M2084" s="74">
        <v>73.7079846079846</v>
      </c>
      <c r="N2084" s="74">
        <f t="shared" si="1"/>
        <v>184.2699615</v>
      </c>
      <c r="O2084" s="74" t="b">
        <v>1</v>
      </c>
    </row>
    <row r="2085" hidden="1">
      <c r="A2085" s="82"/>
      <c r="B2085" s="65" t="s">
        <v>495</v>
      </c>
      <c r="C2085" s="65" t="s">
        <v>92</v>
      </c>
      <c r="D2085" s="65"/>
      <c r="E2085" s="65" t="s">
        <v>1300</v>
      </c>
      <c r="F2085" s="83">
        <v>0.46875</v>
      </c>
      <c r="G2085" s="83">
        <v>0.5763888888888888</v>
      </c>
      <c r="H2085" s="83">
        <v>0.1076388888888889</v>
      </c>
      <c r="I2085" s="84">
        <v>44463.0</v>
      </c>
      <c r="J2085" s="65" t="b">
        <v>0</v>
      </c>
      <c r="K2085" s="65" t="s">
        <v>150</v>
      </c>
      <c r="L2085" s="85" t="b">
        <f>IF(VLOOKUP(C2085,Projetos!A:L,12,false)=TRUE,TRUE,FALSE)</f>
        <v>1</v>
      </c>
      <c r="M2085" s="74">
        <v>73.7079846079846</v>
      </c>
      <c r="N2085" s="74">
        <f t="shared" si="1"/>
        <v>0</v>
      </c>
      <c r="O2085" s="74" t="b">
        <v>1</v>
      </c>
    </row>
    <row r="2086" hidden="1">
      <c r="A2086" s="82"/>
      <c r="B2086" s="65" t="s">
        <v>495</v>
      </c>
      <c r="C2086" s="65" t="s">
        <v>92</v>
      </c>
      <c r="D2086" s="65" t="str">
        <f>vlookup(C2086,'Classificação p pessoal'!F:G,2,false)</f>
        <v/>
      </c>
      <c r="E2086" s="65" t="s">
        <v>1301</v>
      </c>
      <c r="F2086" s="83">
        <v>0.625</v>
      </c>
      <c r="G2086" s="83">
        <v>0.71875</v>
      </c>
      <c r="H2086" s="83">
        <v>0.09375</v>
      </c>
      <c r="I2086" s="84">
        <v>44463.0</v>
      </c>
      <c r="J2086" s="65" t="b">
        <v>1</v>
      </c>
      <c r="K2086" s="65"/>
      <c r="L2086" s="85" t="b">
        <f>IF(VLOOKUP(C2086,Projetos!A:L,12,false)=TRUE,TRUE,FALSE)</f>
        <v>1</v>
      </c>
      <c r="M2086" s="74">
        <v>73.7079846079846</v>
      </c>
      <c r="N2086" s="74">
        <f t="shared" si="1"/>
        <v>165.8429654</v>
      </c>
      <c r="O2086" s="74" t="b">
        <v>1</v>
      </c>
    </row>
    <row r="2087" hidden="1">
      <c r="A2087" s="82"/>
      <c r="B2087" s="65" t="s">
        <v>495</v>
      </c>
      <c r="C2087" s="65" t="s">
        <v>92</v>
      </c>
      <c r="D2087" s="65" t="str">
        <f>vlookup(C2087,'Classificação p pessoal'!F:G,2,false)</f>
        <v/>
      </c>
      <c r="E2087" s="65" t="s">
        <v>1302</v>
      </c>
      <c r="F2087" s="83">
        <v>0.71875</v>
      </c>
      <c r="G2087" s="83">
        <v>0.7361111111111112</v>
      </c>
      <c r="H2087" s="83">
        <v>0.017361111111111112</v>
      </c>
      <c r="I2087" s="84">
        <v>44463.0</v>
      </c>
      <c r="J2087" s="65" t="b">
        <v>1</v>
      </c>
      <c r="K2087" s="65"/>
      <c r="L2087" s="85" t="b">
        <f>IF(VLOOKUP(C2087,Projetos!A:L,12,false)=TRUE,TRUE,FALSE)</f>
        <v>1</v>
      </c>
      <c r="M2087" s="74">
        <v>73.7079846079846</v>
      </c>
      <c r="N2087" s="74">
        <f t="shared" si="1"/>
        <v>30.71166025</v>
      </c>
      <c r="O2087" s="74" t="b">
        <v>1</v>
      </c>
    </row>
    <row r="2088" hidden="1">
      <c r="A2088" s="82"/>
      <c r="B2088" s="65" t="s">
        <v>495</v>
      </c>
      <c r="C2088" s="65" t="s">
        <v>117</v>
      </c>
      <c r="D2088" s="65"/>
      <c r="E2088" s="65" t="s">
        <v>1303</v>
      </c>
      <c r="F2088" s="83">
        <v>0.3472222222222222</v>
      </c>
      <c r="G2088" s="83">
        <v>0.4166666666666667</v>
      </c>
      <c r="H2088" s="83">
        <v>0.06944444444444445</v>
      </c>
      <c r="I2088" s="84">
        <v>44399.0</v>
      </c>
      <c r="J2088" s="65" t="b">
        <v>0</v>
      </c>
      <c r="K2088" s="65"/>
      <c r="L2088" s="85" t="b">
        <f>IF(VLOOKUP(C2088,Projetos!A:L,12,false)=TRUE,TRUE,FALSE)</f>
        <v>1</v>
      </c>
      <c r="M2088" s="74">
        <v>73.7079846079846</v>
      </c>
      <c r="N2088" s="74">
        <f t="shared" si="1"/>
        <v>0</v>
      </c>
      <c r="O2088" s="74" t="b">
        <v>1</v>
      </c>
    </row>
    <row r="2089" hidden="1">
      <c r="A2089" s="82"/>
      <c r="B2089" s="65" t="s">
        <v>495</v>
      </c>
      <c r="C2089" s="65" t="s">
        <v>108</v>
      </c>
      <c r="D2089" s="65" t="str">
        <f>vlookup(C2089,'Classificação p pessoal'!F:G,2,false)</f>
        <v>NP</v>
      </c>
      <c r="E2089" s="65" t="s">
        <v>1304</v>
      </c>
      <c r="F2089" s="83">
        <v>0.375</v>
      </c>
      <c r="G2089" s="83">
        <v>0.3958333333333333</v>
      </c>
      <c r="H2089" s="83">
        <v>0.020833333333333332</v>
      </c>
      <c r="I2089" s="84">
        <v>44466.0</v>
      </c>
      <c r="J2089" s="65" t="b">
        <v>1</v>
      </c>
      <c r="K2089" s="65"/>
      <c r="L2089" s="85" t="b">
        <f>IF(VLOOKUP(C2089,Projetos!A:L,12,false)=TRUE,TRUE,FALSE)</f>
        <v>1</v>
      </c>
      <c r="M2089" s="74">
        <v>73.7079846079846</v>
      </c>
      <c r="N2089" s="74">
        <f t="shared" si="1"/>
        <v>36.8539923</v>
      </c>
      <c r="O2089" s="74" t="b">
        <v>1</v>
      </c>
    </row>
    <row r="2090" hidden="1">
      <c r="A2090" s="82"/>
      <c r="B2090" s="65" t="s">
        <v>495</v>
      </c>
      <c r="C2090" s="65" t="s">
        <v>92</v>
      </c>
      <c r="D2090" s="65" t="str">
        <f>vlookup(C2090,'Classificação p pessoal'!F:G,2,false)</f>
        <v/>
      </c>
      <c r="E2090" s="65" t="s">
        <v>1305</v>
      </c>
      <c r="F2090" s="83">
        <v>0.3958333333333333</v>
      </c>
      <c r="G2090" s="83">
        <v>0.4583333333333333</v>
      </c>
      <c r="H2090" s="83">
        <v>0.0625</v>
      </c>
      <c r="I2090" s="84">
        <v>44466.0</v>
      </c>
      <c r="J2090" s="65" t="b">
        <v>1</v>
      </c>
      <c r="K2090" s="65"/>
      <c r="L2090" s="85" t="b">
        <f>IF(VLOOKUP(C2090,Projetos!A:L,12,false)=TRUE,TRUE,FALSE)</f>
        <v>1</v>
      </c>
      <c r="M2090" s="74">
        <v>73.7079846079846</v>
      </c>
      <c r="N2090" s="74">
        <f t="shared" si="1"/>
        <v>110.5619769</v>
      </c>
      <c r="O2090" s="74" t="b">
        <v>1</v>
      </c>
    </row>
    <row r="2091" hidden="1">
      <c r="A2091" s="82"/>
      <c r="B2091" s="65" t="s">
        <v>495</v>
      </c>
      <c r="C2091" s="65" t="s">
        <v>92</v>
      </c>
      <c r="D2091" s="65" t="str">
        <f>vlookup(C2091,'Classificação p pessoal'!F:G,2,false)</f>
        <v/>
      </c>
      <c r="E2091" s="65" t="s">
        <v>1305</v>
      </c>
      <c r="F2091" s="83">
        <v>0.4791666666666667</v>
      </c>
      <c r="G2091" s="83">
        <v>0.5763888888888888</v>
      </c>
      <c r="H2091" s="83">
        <v>0.09722222222222222</v>
      </c>
      <c r="I2091" s="84">
        <v>44466.0</v>
      </c>
      <c r="J2091" s="65" t="b">
        <v>1</v>
      </c>
      <c r="K2091" s="65"/>
      <c r="L2091" s="85" t="b">
        <f>IF(VLOOKUP(C2091,Projetos!A:L,12,false)=TRUE,TRUE,FALSE)</f>
        <v>1</v>
      </c>
      <c r="M2091" s="74">
        <v>73.7079846079846</v>
      </c>
      <c r="N2091" s="74">
        <f t="shared" si="1"/>
        <v>171.9852974</v>
      </c>
      <c r="O2091" s="74" t="b">
        <v>1</v>
      </c>
    </row>
    <row r="2092" hidden="1">
      <c r="A2092" s="82"/>
      <c r="B2092" s="65" t="s">
        <v>495</v>
      </c>
      <c r="C2092" s="65" t="s">
        <v>92</v>
      </c>
      <c r="D2092" s="65" t="str">
        <f>vlookup(C2092,'Classificação p pessoal'!F:G,2,false)</f>
        <v/>
      </c>
      <c r="E2092" s="65" t="s">
        <v>1305</v>
      </c>
      <c r="F2092" s="83">
        <v>0.625</v>
      </c>
      <c r="G2092" s="83">
        <v>0.6944444444444444</v>
      </c>
      <c r="H2092" s="83">
        <v>0.06944444444444445</v>
      </c>
      <c r="I2092" s="84">
        <v>44466.0</v>
      </c>
      <c r="J2092" s="65" t="b">
        <v>1</v>
      </c>
      <c r="K2092" s="65"/>
      <c r="L2092" s="85" t="b">
        <f>IF(VLOOKUP(C2092,Projetos!A:L,12,false)=TRUE,TRUE,FALSE)</f>
        <v>1</v>
      </c>
      <c r="M2092" s="74">
        <v>73.7079846079846</v>
      </c>
      <c r="N2092" s="74">
        <f t="shared" si="1"/>
        <v>122.846641</v>
      </c>
      <c r="O2092" s="74" t="b">
        <v>1</v>
      </c>
    </row>
    <row r="2093" hidden="1">
      <c r="A2093" s="82"/>
      <c r="B2093" s="65" t="s">
        <v>495</v>
      </c>
      <c r="C2093" s="65" t="s">
        <v>92</v>
      </c>
      <c r="D2093" s="65" t="str">
        <f>vlookup(C2093,'Classificação p pessoal'!F:G,2,false)</f>
        <v/>
      </c>
      <c r="E2093" s="65" t="s">
        <v>1306</v>
      </c>
      <c r="F2093" s="83">
        <v>0.6354166666666666</v>
      </c>
      <c r="G2093" s="83">
        <v>0.7638888888888888</v>
      </c>
      <c r="H2093" s="83">
        <v>0.1284722222222222</v>
      </c>
      <c r="I2093" s="84">
        <v>44466.0</v>
      </c>
      <c r="J2093" s="65" t="b">
        <v>1</v>
      </c>
      <c r="K2093" s="65"/>
      <c r="L2093" s="85" t="b">
        <f>IF(VLOOKUP(C2093,Projetos!A:L,12,false)=TRUE,TRUE,FALSE)</f>
        <v>1</v>
      </c>
      <c r="M2093" s="74">
        <v>73.7079846079846</v>
      </c>
      <c r="N2093" s="74">
        <f t="shared" si="1"/>
        <v>227.2662859</v>
      </c>
      <c r="O2093" s="74" t="b">
        <v>1</v>
      </c>
    </row>
    <row r="2094" hidden="1">
      <c r="A2094" s="82"/>
      <c r="B2094" s="65" t="s">
        <v>495</v>
      </c>
      <c r="C2094" s="65" t="s">
        <v>92</v>
      </c>
      <c r="D2094" s="65" t="str">
        <f>vlookup(C2094,'Classificação p pessoal'!F:G,2,false)</f>
        <v/>
      </c>
      <c r="E2094" s="65" t="s">
        <v>1306</v>
      </c>
      <c r="F2094" s="83">
        <v>0.3541666666666667</v>
      </c>
      <c r="G2094" s="83">
        <v>0.4166666666666667</v>
      </c>
      <c r="H2094" s="83">
        <v>0.0625</v>
      </c>
      <c r="I2094" s="84">
        <v>44467.0</v>
      </c>
      <c r="J2094" s="65" t="b">
        <v>1</v>
      </c>
      <c r="K2094" s="65"/>
      <c r="L2094" s="85" t="b">
        <f>IF(VLOOKUP(C2094,Projetos!A:L,12,false)=TRUE,TRUE,FALSE)</f>
        <v>1</v>
      </c>
      <c r="M2094" s="74">
        <v>73.7079846079846</v>
      </c>
      <c r="N2094" s="74">
        <f t="shared" si="1"/>
        <v>110.5619769</v>
      </c>
      <c r="O2094" s="74" t="b">
        <v>1</v>
      </c>
    </row>
    <row r="2095" hidden="1">
      <c r="A2095" s="82"/>
      <c r="B2095" s="65" t="s">
        <v>495</v>
      </c>
      <c r="C2095" s="65" t="s">
        <v>92</v>
      </c>
      <c r="D2095" s="65" t="str">
        <f>vlookup(C2095,'Classificação p pessoal'!F:G,2,false)</f>
        <v/>
      </c>
      <c r="E2095" s="65" t="s">
        <v>1307</v>
      </c>
      <c r="F2095" s="83">
        <v>0.4166666666666667</v>
      </c>
      <c r="G2095" s="83">
        <v>0.4618055555555556</v>
      </c>
      <c r="H2095" s="83">
        <v>0.04513888888888889</v>
      </c>
      <c r="I2095" s="84">
        <v>44467.0</v>
      </c>
      <c r="J2095" s="65" t="b">
        <v>1</v>
      </c>
      <c r="K2095" s="65"/>
      <c r="L2095" s="85" t="b">
        <f>IF(VLOOKUP(C2095,Projetos!A:L,12,false)=TRUE,TRUE,FALSE)</f>
        <v>1</v>
      </c>
      <c r="M2095" s="74">
        <v>73.7079846079846</v>
      </c>
      <c r="N2095" s="74">
        <f t="shared" si="1"/>
        <v>79.85031666</v>
      </c>
      <c r="O2095" s="74" t="b">
        <v>1</v>
      </c>
    </row>
    <row r="2096" hidden="1">
      <c r="A2096" s="82"/>
      <c r="B2096" s="65" t="s">
        <v>495</v>
      </c>
      <c r="C2096" s="65" t="s">
        <v>117</v>
      </c>
      <c r="D2096" s="65" t="str">
        <f>vlookup(C2096,'Classificação p pessoal'!F:G,2,false)</f>
        <v>NP</v>
      </c>
      <c r="E2096" s="65" t="s">
        <v>1308</v>
      </c>
      <c r="F2096" s="83">
        <v>0.4722222222222222</v>
      </c>
      <c r="G2096" s="83">
        <v>0.5</v>
      </c>
      <c r="H2096" s="83">
        <v>0.027777777777777776</v>
      </c>
      <c r="I2096" s="84">
        <v>44467.0</v>
      </c>
      <c r="J2096" s="65" t="b">
        <v>1</v>
      </c>
      <c r="K2096" s="65"/>
      <c r="L2096" s="85" t="b">
        <f>IF(VLOOKUP(C2096,Projetos!A:L,12,false)=TRUE,TRUE,FALSE)</f>
        <v>1</v>
      </c>
      <c r="M2096" s="74">
        <v>73.7079846079846</v>
      </c>
      <c r="N2096" s="74">
        <f t="shared" si="1"/>
        <v>49.13865641</v>
      </c>
      <c r="O2096" s="74" t="b">
        <v>1</v>
      </c>
    </row>
    <row r="2097" hidden="1">
      <c r="A2097" s="82"/>
      <c r="B2097" s="65" t="s">
        <v>495</v>
      </c>
      <c r="C2097" s="65" t="s">
        <v>92</v>
      </c>
      <c r="D2097" s="65" t="str">
        <f>vlookup(C2097,'Classificação p pessoal'!F:G,2,false)</f>
        <v/>
      </c>
      <c r="E2097" s="65" t="s">
        <v>1306</v>
      </c>
      <c r="F2097" s="83">
        <v>0.5</v>
      </c>
      <c r="G2097" s="83">
        <v>0.5763888888888888</v>
      </c>
      <c r="H2097" s="83">
        <v>0.0763888888888889</v>
      </c>
      <c r="I2097" s="84">
        <v>44467.0</v>
      </c>
      <c r="J2097" s="65" t="b">
        <v>1</v>
      </c>
      <c r="K2097" s="65"/>
      <c r="L2097" s="85" t="b">
        <f>IF(VLOOKUP(C2097,Projetos!A:L,12,false)=TRUE,TRUE,FALSE)</f>
        <v>1</v>
      </c>
      <c r="M2097" s="74">
        <v>73.7079846079846</v>
      </c>
      <c r="N2097" s="74">
        <f t="shared" si="1"/>
        <v>135.1313051</v>
      </c>
      <c r="O2097" s="74" t="b">
        <v>1</v>
      </c>
    </row>
    <row r="2098" hidden="1">
      <c r="A2098" s="82"/>
      <c r="B2098" s="65" t="s">
        <v>495</v>
      </c>
      <c r="C2098" s="65" t="s">
        <v>108</v>
      </c>
      <c r="D2098" s="65"/>
      <c r="E2098" s="65" t="s">
        <v>1309</v>
      </c>
      <c r="F2098" s="83">
        <v>0.4375</v>
      </c>
      <c r="G2098" s="83">
        <v>0.46875</v>
      </c>
      <c r="H2098" s="83">
        <v>0.03125</v>
      </c>
      <c r="I2098" s="84">
        <v>44452.0</v>
      </c>
      <c r="J2098" s="65" t="b">
        <v>0</v>
      </c>
      <c r="K2098" s="65"/>
      <c r="L2098" s="85" t="b">
        <f>IF(VLOOKUP(C2098,Projetos!A:L,12,false)=TRUE,TRUE,FALSE)</f>
        <v>1</v>
      </c>
      <c r="M2098" s="74">
        <v>73.7079846079846</v>
      </c>
      <c r="N2098" s="74">
        <f t="shared" si="1"/>
        <v>0</v>
      </c>
      <c r="O2098" s="74" t="b">
        <v>1</v>
      </c>
    </row>
    <row r="2099" hidden="1">
      <c r="A2099" s="82"/>
      <c r="B2099" s="65" t="s">
        <v>495</v>
      </c>
      <c r="C2099" s="65" t="s">
        <v>92</v>
      </c>
      <c r="D2099" s="65"/>
      <c r="E2099" s="65" t="s">
        <v>1310</v>
      </c>
      <c r="F2099" s="83">
        <v>0.6458333333333334</v>
      </c>
      <c r="G2099" s="83">
        <v>0.6736111111111112</v>
      </c>
      <c r="H2099" s="83">
        <v>0.027777777777777776</v>
      </c>
      <c r="I2099" s="84">
        <v>44467.0</v>
      </c>
      <c r="J2099" s="65" t="b">
        <v>0</v>
      </c>
      <c r="K2099" s="65" t="s">
        <v>150</v>
      </c>
      <c r="L2099" s="85" t="b">
        <f>IF(VLOOKUP(C2099,Projetos!A:L,12,false)=TRUE,TRUE,FALSE)</f>
        <v>1</v>
      </c>
      <c r="M2099" s="74">
        <v>73.7079846079846</v>
      </c>
      <c r="N2099" s="74">
        <f t="shared" si="1"/>
        <v>0</v>
      </c>
      <c r="O2099" s="74" t="b">
        <v>1</v>
      </c>
    </row>
    <row r="2100" hidden="1">
      <c r="A2100" s="82"/>
      <c r="B2100" s="65" t="s">
        <v>495</v>
      </c>
      <c r="C2100" s="65" t="s">
        <v>92</v>
      </c>
      <c r="D2100" s="65" t="str">
        <f>vlookup(C2100,'Classificação p pessoal'!F:G,2,false)</f>
        <v/>
      </c>
      <c r="E2100" s="65" t="s">
        <v>1306</v>
      </c>
      <c r="F2100" s="83">
        <v>0.6736111111111112</v>
      </c>
      <c r="G2100" s="83">
        <v>0.6944444444444444</v>
      </c>
      <c r="H2100" s="83">
        <v>0.020833333333333332</v>
      </c>
      <c r="I2100" s="84">
        <v>44467.0</v>
      </c>
      <c r="J2100" s="65" t="b">
        <v>1</v>
      </c>
      <c r="K2100" s="65"/>
      <c r="L2100" s="85" t="b">
        <f>IF(VLOOKUP(C2100,Projetos!A:L,12,false)=TRUE,TRUE,FALSE)</f>
        <v>1</v>
      </c>
      <c r="M2100" s="74">
        <v>73.7079846079846</v>
      </c>
      <c r="N2100" s="74">
        <f t="shared" si="1"/>
        <v>36.8539923</v>
      </c>
      <c r="O2100" s="74" t="b">
        <v>1</v>
      </c>
    </row>
    <row r="2101" hidden="1">
      <c r="A2101" s="82"/>
      <c r="B2101" s="65" t="s">
        <v>495</v>
      </c>
      <c r="C2101" s="65" t="s">
        <v>92</v>
      </c>
      <c r="D2101" s="65" t="str">
        <f>vlookup(C2101,'Classificação p pessoal'!F:G,2,false)</f>
        <v/>
      </c>
      <c r="E2101" s="65" t="s">
        <v>1306</v>
      </c>
      <c r="F2101" s="83">
        <v>0.7152777777777778</v>
      </c>
      <c r="G2101" s="83">
        <v>0.7638888888888888</v>
      </c>
      <c r="H2101" s="83">
        <v>0.04861111111111111</v>
      </c>
      <c r="I2101" s="84">
        <v>44467.0</v>
      </c>
      <c r="J2101" s="65" t="b">
        <v>1</v>
      </c>
      <c r="K2101" s="65"/>
      <c r="L2101" s="85" t="b">
        <f>IF(VLOOKUP(C2101,Projetos!A:L,12,false)=TRUE,TRUE,FALSE)</f>
        <v>1</v>
      </c>
      <c r="M2101" s="74">
        <v>73.7079846079846</v>
      </c>
      <c r="N2101" s="74">
        <f t="shared" si="1"/>
        <v>85.99264871</v>
      </c>
      <c r="O2101" s="74" t="b">
        <v>1</v>
      </c>
    </row>
    <row r="2102" hidden="1">
      <c r="A2102" s="82"/>
      <c r="B2102" s="65" t="s">
        <v>495</v>
      </c>
      <c r="C2102" s="65" t="s">
        <v>117</v>
      </c>
      <c r="D2102" s="65" t="str">
        <f>vlookup(C2102,'Classificação p pessoal'!F:G,2,false)</f>
        <v>NP</v>
      </c>
      <c r="E2102" s="65" t="s">
        <v>1311</v>
      </c>
      <c r="F2102" s="83">
        <v>0.3541666666666667</v>
      </c>
      <c r="G2102" s="83">
        <v>0.3854166666666667</v>
      </c>
      <c r="H2102" s="83">
        <v>0.03125</v>
      </c>
      <c r="I2102" s="84">
        <v>44468.0</v>
      </c>
      <c r="J2102" s="65" t="b">
        <v>1</v>
      </c>
      <c r="K2102" s="65"/>
      <c r="L2102" s="85" t="b">
        <f>IF(VLOOKUP(C2102,Projetos!A:L,12,false)=TRUE,TRUE,FALSE)</f>
        <v>1</v>
      </c>
      <c r="M2102" s="74">
        <v>73.7079846079846</v>
      </c>
      <c r="N2102" s="74">
        <f t="shared" si="1"/>
        <v>55.28098846</v>
      </c>
      <c r="O2102" s="74" t="b">
        <v>1</v>
      </c>
    </row>
    <row r="2103" hidden="1">
      <c r="A2103" s="82"/>
      <c r="B2103" s="65" t="s">
        <v>495</v>
      </c>
      <c r="C2103" s="65" t="s">
        <v>92</v>
      </c>
      <c r="D2103" s="65" t="str">
        <f>vlookup(C2103,'Classificação p pessoal'!F:G,2,false)</f>
        <v/>
      </c>
      <c r="E2103" s="65" t="s">
        <v>1312</v>
      </c>
      <c r="F2103" s="83">
        <v>0.3854166666666667</v>
      </c>
      <c r="G2103" s="83">
        <v>0.4270833333333333</v>
      </c>
      <c r="H2103" s="83">
        <v>0.041666666666666664</v>
      </c>
      <c r="I2103" s="84">
        <v>44468.0</v>
      </c>
      <c r="J2103" s="65" t="b">
        <v>1</v>
      </c>
      <c r="K2103" s="65"/>
      <c r="L2103" s="85" t="b">
        <f>IF(VLOOKUP(C2103,Projetos!A:L,12,false)=TRUE,TRUE,FALSE)</f>
        <v>1</v>
      </c>
      <c r="M2103" s="74">
        <v>73.7079846079846</v>
      </c>
      <c r="N2103" s="74">
        <f t="shared" si="1"/>
        <v>73.70798461</v>
      </c>
      <c r="O2103" s="74" t="b">
        <v>1</v>
      </c>
    </row>
    <row r="2104" hidden="1">
      <c r="A2104" s="82"/>
      <c r="B2104" s="65" t="s">
        <v>495</v>
      </c>
      <c r="C2104" s="65" t="s">
        <v>117</v>
      </c>
      <c r="D2104" s="65" t="str">
        <f>vlookup(C2104,'Classificação p pessoal'!F:G,2,false)</f>
        <v>NP</v>
      </c>
      <c r="E2104" s="65" t="s">
        <v>1313</v>
      </c>
      <c r="F2104" s="83">
        <v>0.4270833333333333</v>
      </c>
      <c r="G2104" s="83">
        <v>0.4479166666666667</v>
      </c>
      <c r="H2104" s="83">
        <v>0.020833333333333332</v>
      </c>
      <c r="I2104" s="84">
        <v>44468.0</v>
      </c>
      <c r="J2104" s="65" t="b">
        <v>1</v>
      </c>
      <c r="K2104" s="65"/>
      <c r="L2104" s="85" t="b">
        <f>IF(VLOOKUP(C2104,Projetos!A:L,12,false)=TRUE,TRUE,FALSE)</f>
        <v>1</v>
      </c>
      <c r="M2104" s="74">
        <v>73.7079846079846</v>
      </c>
      <c r="N2104" s="74">
        <f t="shared" si="1"/>
        <v>36.8539923</v>
      </c>
      <c r="O2104" s="74" t="b">
        <v>1</v>
      </c>
    </row>
    <row r="2105" hidden="1">
      <c r="A2105" s="82"/>
      <c r="B2105" s="65" t="s">
        <v>495</v>
      </c>
      <c r="C2105" s="65" t="s">
        <v>92</v>
      </c>
      <c r="D2105" s="65" t="str">
        <f>vlookup(C2105,'Classificação p pessoal'!F:G,2,false)</f>
        <v/>
      </c>
      <c r="E2105" s="65" t="s">
        <v>1306</v>
      </c>
      <c r="F2105" s="83">
        <v>0.4583333333333333</v>
      </c>
      <c r="G2105" s="83">
        <v>0.5729166666666666</v>
      </c>
      <c r="H2105" s="83">
        <v>0.11458333333333333</v>
      </c>
      <c r="I2105" s="84">
        <v>44468.0</v>
      </c>
      <c r="J2105" s="65" t="b">
        <v>1</v>
      </c>
      <c r="K2105" s="65"/>
      <c r="L2105" s="85" t="b">
        <f>IF(VLOOKUP(C2105,Projetos!A:L,12,false)=TRUE,TRUE,FALSE)</f>
        <v>1</v>
      </c>
      <c r="M2105" s="74">
        <v>73.7079846079846</v>
      </c>
      <c r="N2105" s="74">
        <f t="shared" si="1"/>
        <v>202.6969577</v>
      </c>
      <c r="O2105" s="74" t="b">
        <v>1</v>
      </c>
    </row>
    <row r="2106" hidden="1">
      <c r="A2106" s="82"/>
      <c r="B2106" s="65" t="s">
        <v>495</v>
      </c>
      <c r="C2106" s="65" t="s">
        <v>92</v>
      </c>
      <c r="D2106" s="65" t="str">
        <f>vlookup(C2106,'Classificação p pessoal'!F:G,2,false)</f>
        <v/>
      </c>
      <c r="E2106" s="65" t="s">
        <v>1306</v>
      </c>
      <c r="F2106" s="83">
        <v>0.6145833333333334</v>
      </c>
      <c r="G2106" s="83">
        <v>0.6944444444444444</v>
      </c>
      <c r="H2106" s="83">
        <v>0.0798611111111111</v>
      </c>
      <c r="I2106" s="84">
        <v>44468.0</v>
      </c>
      <c r="J2106" s="65" t="b">
        <v>1</v>
      </c>
      <c r="K2106" s="65"/>
      <c r="L2106" s="85" t="b">
        <f>IF(VLOOKUP(C2106,Projetos!A:L,12,false)=TRUE,TRUE,FALSE)</f>
        <v>1</v>
      </c>
      <c r="M2106" s="74">
        <v>73.7079846079846</v>
      </c>
      <c r="N2106" s="74">
        <f t="shared" si="1"/>
        <v>141.2736372</v>
      </c>
      <c r="O2106" s="74" t="b">
        <v>1</v>
      </c>
    </row>
    <row r="2107" hidden="1">
      <c r="A2107" s="82"/>
      <c r="B2107" s="65" t="s">
        <v>495</v>
      </c>
      <c r="C2107" s="65" t="s">
        <v>92</v>
      </c>
      <c r="D2107" s="65" t="str">
        <f>vlookup(C2107,'Classificação p pessoal'!F:G,2,false)</f>
        <v/>
      </c>
      <c r="E2107" s="65" t="s">
        <v>1306</v>
      </c>
      <c r="F2107" s="83">
        <v>0.6319444444444444</v>
      </c>
      <c r="G2107" s="83">
        <v>0.7638888888888888</v>
      </c>
      <c r="H2107" s="83">
        <v>0.13194444444444445</v>
      </c>
      <c r="I2107" s="84">
        <v>44468.0</v>
      </c>
      <c r="J2107" s="65" t="b">
        <v>1</v>
      </c>
      <c r="K2107" s="65"/>
      <c r="L2107" s="85" t="b">
        <f>IF(VLOOKUP(C2107,Projetos!A:L,12,false)=TRUE,TRUE,FALSE)</f>
        <v>1</v>
      </c>
      <c r="M2107" s="74">
        <v>73.7079846079846</v>
      </c>
      <c r="N2107" s="74">
        <f t="shared" si="1"/>
        <v>233.4086179</v>
      </c>
      <c r="O2107" s="74" t="b">
        <v>1</v>
      </c>
    </row>
    <row r="2108" hidden="1">
      <c r="A2108" s="82"/>
      <c r="B2108" s="65" t="s">
        <v>495</v>
      </c>
      <c r="C2108" s="65" t="s">
        <v>92</v>
      </c>
      <c r="D2108" s="65" t="str">
        <f>vlookup(C2108,'Classificação p pessoal'!F:G,2,false)</f>
        <v/>
      </c>
      <c r="E2108" s="65" t="s">
        <v>1306</v>
      </c>
      <c r="F2108" s="83">
        <v>0.3541666666666667</v>
      </c>
      <c r="G2108" s="83">
        <v>0.5</v>
      </c>
      <c r="H2108" s="83">
        <v>0.14583333333333334</v>
      </c>
      <c r="I2108" s="84">
        <v>44469.0</v>
      </c>
      <c r="J2108" s="65" t="b">
        <v>1</v>
      </c>
      <c r="K2108" s="65"/>
      <c r="L2108" s="85" t="b">
        <f>IF(VLOOKUP(C2108,Projetos!A:L,12,false)=TRUE,TRUE,FALSE)</f>
        <v>1</v>
      </c>
      <c r="M2108" s="74">
        <v>73.7079846079846</v>
      </c>
      <c r="N2108" s="74">
        <f t="shared" si="1"/>
        <v>257.9779461</v>
      </c>
      <c r="O2108" s="74" t="b">
        <v>1</v>
      </c>
    </row>
    <row r="2109" hidden="1">
      <c r="A2109" s="82"/>
      <c r="B2109" s="65" t="s">
        <v>495</v>
      </c>
      <c r="C2109" s="65" t="s">
        <v>92</v>
      </c>
      <c r="D2109" s="65" t="str">
        <f>vlookup(C2109,'Classificação p pessoal'!F:G,2,false)</f>
        <v/>
      </c>
      <c r="E2109" s="65" t="s">
        <v>1314</v>
      </c>
      <c r="F2109" s="83">
        <v>0.5138888888888888</v>
      </c>
      <c r="G2109" s="83">
        <v>0.5763888888888888</v>
      </c>
      <c r="H2109" s="83">
        <v>0.0625</v>
      </c>
      <c r="I2109" s="84">
        <v>44469.0</v>
      </c>
      <c r="J2109" s="65" t="b">
        <v>1</v>
      </c>
      <c r="K2109" s="65"/>
      <c r="L2109" s="85" t="b">
        <f>IF(VLOOKUP(C2109,Projetos!A:L,12,false)=TRUE,TRUE,FALSE)</f>
        <v>1</v>
      </c>
      <c r="M2109" s="74">
        <v>73.7079846079846</v>
      </c>
      <c r="N2109" s="74">
        <f t="shared" si="1"/>
        <v>110.5619769</v>
      </c>
      <c r="O2109" s="74" t="b">
        <v>1</v>
      </c>
    </row>
    <row r="2110" hidden="1">
      <c r="A2110" s="82"/>
      <c r="B2110" s="65" t="s">
        <v>495</v>
      </c>
      <c r="C2110" s="65" t="s">
        <v>92</v>
      </c>
      <c r="D2110" s="65" t="str">
        <f>vlookup(C2110,'Classificação p pessoal'!F:G,2,false)</f>
        <v/>
      </c>
      <c r="E2110" s="65" t="s">
        <v>1315</v>
      </c>
      <c r="F2110" s="83">
        <v>0.6180555555555556</v>
      </c>
      <c r="G2110" s="83">
        <v>0.6527777777777778</v>
      </c>
      <c r="H2110" s="83">
        <v>0.034722222222222224</v>
      </c>
      <c r="I2110" s="84">
        <v>44469.0</v>
      </c>
      <c r="J2110" s="65" t="b">
        <v>1</v>
      </c>
      <c r="K2110" s="65"/>
      <c r="L2110" s="85" t="b">
        <f>IF(VLOOKUP(C2110,Projetos!A:L,12,false)=TRUE,TRUE,FALSE)</f>
        <v>1</v>
      </c>
      <c r="M2110" s="74">
        <v>73.7079846079846</v>
      </c>
      <c r="N2110" s="74">
        <f t="shared" si="1"/>
        <v>61.42332051</v>
      </c>
      <c r="O2110" s="74" t="b">
        <v>1</v>
      </c>
    </row>
    <row r="2111" hidden="1">
      <c r="A2111" s="82"/>
      <c r="B2111" s="65" t="s">
        <v>495</v>
      </c>
      <c r="C2111" s="65" t="s">
        <v>92</v>
      </c>
      <c r="D2111" s="65" t="str">
        <f>vlookup(C2111,'Classificação p pessoal'!F:G,2,false)</f>
        <v/>
      </c>
      <c r="E2111" s="65" t="s">
        <v>1316</v>
      </c>
      <c r="F2111" s="83">
        <v>0.6527777777777778</v>
      </c>
      <c r="G2111" s="83">
        <v>0.6944444444444444</v>
      </c>
      <c r="H2111" s="83">
        <v>0.041666666666666664</v>
      </c>
      <c r="I2111" s="84">
        <v>44469.0</v>
      </c>
      <c r="J2111" s="65" t="b">
        <v>1</v>
      </c>
      <c r="K2111" s="65"/>
      <c r="L2111" s="85" t="b">
        <f>IF(VLOOKUP(C2111,Projetos!A:L,12,false)=TRUE,TRUE,FALSE)</f>
        <v>1</v>
      </c>
      <c r="M2111" s="74">
        <v>73.7079846079846</v>
      </c>
      <c r="N2111" s="74">
        <f t="shared" si="1"/>
        <v>73.70798461</v>
      </c>
      <c r="O2111" s="74" t="b">
        <v>1</v>
      </c>
    </row>
    <row r="2112" hidden="1">
      <c r="A2112" s="82"/>
      <c r="B2112" s="65" t="s">
        <v>495</v>
      </c>
      <c r="C2112" s="65" t="s">
        <v>92</v>
      </c>
      <c r="D2112" s="65" t="str">
        <f>vlookup(C2112,'Classificação p pessoal'!F:G,2,false)</f>
        <v/>
      </c>
      <c r="E2112" s="65" t="s">
        <v>1317</v>
      </c>
      <c r="F2112" s="83">
        <v>0.71875</v>
      </c>
      <c r="G2112" s="83">
        <v>0.7638888888888888</v>
      </c>
      <c r="H2112" s="83">
        <v>0.04513888888888889</v>
      </c>
      <c r="I2112" s="84">
        <v>44469.0</v>
      </c>
      <c r="J2112" s="65" t="b">
        <v>1</v>
      </c>
      <c r="K2112" s="65"/>
      <c r="L2112" s="85" t="b">
        <f>IF(VLOOKUP(C2112,Projetos!A:L,12,false)=TRUE,TRUE,FALSE)</f>
        <v>1</v>
      </c>
      <c r="M2112" s="74">
        <v>73.7079846079846</v>
      </c>
      <c r="N2112" s="74">
        <f t="shared" si="1"/>
        <v>79.85031666</v>
      </c>
      <c r="O2112" s="74" t="b">
        <v>1</v>
      </c>
    </row>
    <row r="2113" hidden="1">
      <c r="A2113" s="82"/>
      <c r="B2113" s="65" t="s">
        <v>495</v>
      </c>
      <c r="C2113" s="65" t="s">
        <v>117</v>
      </c>
      <c r="D2113" s="65" t="str">
        <f>vlookup(C2113,'Classificação p pessoal'!F:G,2,false)</f>
        <v>NP</v>
      </c>
      <c r="E2113" s="65" t="s">
        <v>1318</v>
      </c>
      <c r="F2113" s="83">
        <v>0.4375</v>
      </c>
      <c r="G2113" s="83">
        <v>0.5</v>
      </c>
      <c r="H2113" s="83">
        <v>0.0625</v>
      </c>
      <c r="I2113" s="84">
        <v>44470.0</v>
      </c>
      <c r="J2113" s="65" t="b">
        <v>1</v>
      </c>
      <c r="K2113" s="65"/>
      <c r="L2113" s="85" t="b">
        <f>IF(VLOOKUP(C2113,Projetos!A:L,12,false)=TRUE,TRUE,FALSE)</f>
        <v>1</v>
      </c>
      <c r="M2113" s="74">
        <v>73.7079846079846</v>
      </c>
      <c r="N2113" s="74">
        <f t="shared" si="1"/>
        <v>110.5619769</v>
      </c>
      <c r="O2113" s="74" t="b">
        <v>1</v>
      </c>
    </row>
    <row r="2114" hidden="1">
      <c r="A2114" s="82"/>
      <c r="B2114" s="65" t="s">
        <v>495</v>
      </c>
      <c r="C2114" s="65" t="s">
        <v>117</v>
      </c>
      <c r="D2114" s="65" t="str">
        <f>vlookup(C2114,'Classificação p pessoal'!F:G,2,false)</f>
        <v>NP</v>
      </c>
      <c r="E2114" s="65" t="s">
        <v>1319</v>
      </c>
      <c r="F2114" s="83">
        <v>0.5</v>
      </c>
      <c r="G2114" s="83">
        <v>0.5694444444444444</v>
      </c>
      <c r="H2114" s="83">
        <v>0.06944444444444445</v>
      </c>
      <c r="I2114" s="84">
        <v>44470.0</v>
      </c>
      <c r="J2114" s="65" t="b">
        <v>1</v>
      </c>
      <c r="K2114" s="65"/>
      <c r="L2114" s="85" t="b">
        <f>IF(VLOOKUP(C2114,Projetos!A:L,12,false)=TRUE,TRUE,FALSE)</f>
        <v>1</v>
      </c>
      <c r="M2114" s="74">
        <v>73.7079846079846</v>
      </c>
      <c r="N2114" s="74">
        <f t="shared" si="1"/>
        <v>122.846641</v>
      </c>
      <c r="O2114" s="74" t="b">
        <v>1</v>
      </c>
    </row>
    <row r="2115" hidden="1">
      <c r="A2115" s="82"/>
      <c r="B2115" s="65" t="s">
        <v>495</v>
      </c>
      <c r="C2115" s="65" t="s">
        <v>92</v>
      </c>
      <c r="D2115" s="65" t="str">
        <f>vlookup(C2115,'Classificação p pessoal'!F:G,2,false)</f>
        <v/>
      </c>
      <c r="E2115" s="65" t="s">
        <v>1320</v>
      </c>
      <c r="F2115" s="83">
        <v>0.6111111111111112</v>
      </c>
      <c r="G2115" s="83">
        <v>0.6354166666666666</v>
      </c>
      <c r="H2115" s="83">
        <v>0.024305555555555556</v>
      </c>
      <c r="I2115" s="84">
        <v>44470.0</v>
      </c>
      <c r="J2115" s="65" t="b">
        <v>1</v>
      </c>
      <c r="K2115" s="65"/>
      <c r="L2115" s="85" t="b">
        <f>IF(VLOOKUP(C2115,Projetos!A:L,12,false)=TRUE,TRUE,FALSE)</f>
        <v>1</v>
      </c>
      <c r="M2115" s="74">
        <v>73.7079846079846</v>
      </c>
      <c r="N2115" s="74">
        <f t="shared" si="1"/>
        <v>42.99632435</v>
      </c>
      <c r="O2115" s="74" t="b">
        <v>1</v>
      </c>
    </row>
    <row r="2116" hidden="1">
      <c r="A2116" s="82"/>
      <c r="B2116" s="65" t="s">
        <v>495</v>
      </c>
      <c r="C2116" s="65" t="s">
        <v>92</v>
      </c>
      <c r="D2116" s="65" t="str">
        <f>vlookup(C2116,'Classificação p pessoal'!F:G,2,false)</f>
        <v/>
      </c>
      <c r="E2116" s="65" t="s">
        <v>1321</v>
      </c>
      <c r="F2116" s="83">
        <v>0.6354166666666666</v>
      </c>
      <c r="G2116" s="83">
        <v>0.7083333333333334</v>
      </c>
      <c r="H2116" s="83">
        <v>0.07291666666666667</v>
      </c>
      <c r="I2116" s="84">
        <v>44470.0</v>
      </c>
      <c r="J2116" s="65" t="b">
        <v>1</v>
      </c>
      <c r="K2116" s="65"/>
      <c r="L2116" s="85" t="b">
        <f>IF(VLOOKUP(C2116,Projetos!A:L,12,false)=TRUE,TRUE,FALSE)</f>
        <v>1</v>
      </c>
      <c r="M2116" s="74">
        <v>73.7079846079846</v>
      </c>
      <c r="N2116" s="74">
        <f t="shared" si="1"/>
        <v>128.9889731</v>
      </c>
      <c r="O2116" s="74" t="b">
        <v>1</v>
      </c>
    </row>
    <row r="2117" hidden="1">
      <c r="A2117" s="82"/>
      <c r="B2117" s="65" t="s">
        <v>495</v>
      </c>
      <c r="C2117" s="65" t="s">
        <v>117</v>
      </c>
      <c r="D2117" s="65" t="str">
        <f>vlookup(C2117,'Classificação p pessoal'!F:G,2,false)</f>
        <v>NP</v>
      </c>
      <c r="E2117" s="65" t="s">
        <v>1322</v>
      </c>
      <c r="F2117" s="83">
        <v>0.7083333333333334</v>
      </c>
      <c r="G2117" s="83">
        <v>0.75</v>
      </c>
      <c r="H2117" s="83">
        <v>0.041666666666666664</v>
      </c>
      <c r="I2117" s="84">
        <v>44470.0</v>
      </c>
      <c r="J2117" s="65" t="b">
        <v>1</v>
      </c>
      <c r="K2117" s="65"/>
      <c r="L2117" s="85" t="b">
        <f>IF(VLOOKUP(C2117,Projetos!A:L,12,false)=TRUE,TRUE,FALSE)</f>
        <v>1</v>
      </c>
      <c r="M2117" s="74">
        <v>73.7079846079846</v>
      </c>
      <c r="N2117" s="74">
        <f t="shared" si="1"/>
        <v>73.70798461</v>
      </c>
      <c r="O2117" s="74" t="b">
        <v>1</v>
      </c>
    </row>
    <row r="2118" hidden="1">
      <c r="A2118" s="82"/>
      <c r="B2118" s="65" t="s">
        <v>495</v>
      </c>
      <c r="C2118" s="65" t="s">
        <v>92</v>
      </c>
      <c r="D2118" s="65" t="str">
        <f>vlookup(C2118,'Classificação p pessoal'!F:G,2,false)</f>
        <v/>
      </c>
      <c r="E2118" s="65" t="s">
        <v>1323</v>
      </c>
      <c r="F2118" s="83">
        <v>0.3541666666666667</v>
      </c>
      <c r="G2118" s="83">
        <v>0.3819444444444444</v>
      </c>
      <c r="H2118" s="83">
        <v>0.027777777777777776</v>
      </c>
      <c r="I2118" s="84">
        <v>44473.0</v>
      </c>
      <c r="J2118" s="65" t="b">
        <v>1</v>
      </c>
      <c r="K2118" s="65"/>
      <c r="L2118" s="85" t="b">
        <f>IF(VLOOKUP(C2118,Projetos!A:L,12,false)=TRUE,TRUE,FALSE)</f>
        <v>1</v>
      </c>
      <c r="M2118" s="74">
        <v>73.7079846079846</v>
      </c>
      <c r="N2118" s="74">
        <f t="shared" si="1"/>
        <v>49.13865641</v>
      </c>
      <c r="O2118" s="74" t="b">
        <v>1</v>
      </c>
    </row>
    <row r="2119" hidden="1">
      <c r="A2119" s="82"/>
      <c r="B2119" s="65" t="s">
        <v>495</v>
      </c>
      <c r="C2119" s="65" t="s">
        <v>92</v>
      </c>
      <c r="D2119" s="65" t="str">
        <f>vlookup(C2119,'Classificação p pessoal'!F:G,2,false)</f>
        <v/>
      </c>
      <c r="E2119" s="65" t="s">
        <v>1324</v>
      </c>
      <c r="F2119" s="83">
        <v>0.3958333333333333</v>
      </c>
      <c r="G2119" s="83">
        <v>0.4166666666666667</v>
      </c>
      <c r="H2119" s="83">
        <v>0.020833333333333332</v>
      </c>
      <c r="I2119" s="84">
        <v>44473.0</v>
      </c>
      <c r="J2119" s="65" t="b">
        <v>1</v>
      </c>
      <c r="K2119" s="65"/>
      <c r="L2119" s="85" t="b">
        <f>IF(VLOOKUP(C2119,Projetos!A:L,12,false)=TRUE,TRUE,FALSE)</f>
        <v>1</v>
      </c>
      <c r="M2119" s="74">
        <v>73.7079846079846</v>
      </c>
      <c r="N2119" s="74">
        <f t="shared" si="1"/>
        <v>36.8539923</v>
      </c>
      <c r="O2119" s="74" t="b">
        <v>1</v>
      </c>
    </row>
    <row r="2120" hidden="1">
      <c r="A2120" s="82"/>
      <c r="B2120" s="65" t="s">
        <v>495</v>
      </c>
      <c r="C2120" s="65" t="s">
        <v>92</v>
      </c>
      <c r="D2120" s="65" t="str">
        <f>vlookup(C2120,'Classificação p pessoal'!F:G,2,false)</f>
        <v/>
      </c>
      <c r="E2120" s="65" t="s">
        <v>1325</v>
      </c>
      <c r="F2120" s="83">
        <v>0.4166666666666667</v>
      </c>
      <c r="G2120" s="83">
        <v>0.4583333333333333</v>
      </c>
      <c r="H2120" s="83">
        <v>0.041666666666666664</v>
      </c>
      <c r="I2120" s="84">
        <v>44473.0</v>
      </c>
      <c r="J2120" s="65" t="b">
        <v>1</v>
      </c>
      <c r="K2120" s="65"/>
      <c r="L2120" s="85" t="b">
        <f>IF(VLOOKUP(C2120,Projetos!A:L,12,false)=TRUE,TRUE,FALSE)</f>
        <v>1</v>
      </c>
      <c r="M2120" s="74">
        <v>73.7079846079846</v>
      </c>
      <c r="N2120" s="74">
        <f t="shared" si="1"/>
        <v>73.70798461</v>
      </c>
      <c r="O2120" s="74" t="b">
        <v>1</v>
      </c>
    </row>
    <row r="2121" hidden="1">
      <c r="A2121" s="82"/>
      <c r="B2121" s="65" t="s">
        <v>495</v>
      </c>
      <c r="C2121" s="65" t="s">
        <v>92</v>
      </c>
      <c r="D2121" s="65" t="str">
        <f>vlookup(C2121,'Classificação p pessoal'!F:G,2,false)</f>
        <v/>
      </c>
      <c r="E2121" s="65" t="s">
        <v>1326</v>
      </c>
      <c r="F2121" s="83">
        <v>0.4583333333333333</v>
      </c>
      <c r="G2121" s="83">
        <v>0.5833333333333334</v>
      </c>
      <c r="H2121" s="83">
        <v>0.125</v>
      </c>
      <c r="I2121" s="84">
        <v>44473.0</v>
      </c>
      <c r="J2121" s="65" t="b">
        <v>1</v>
      </c>
      <c r="K2121" s="65"/>
      <c r="L2121" s="85" t="b">
        <f>IF(VLOOKUP(C2121,Projetos!A:L,12,false)=TRUE,TRUE,FALSE)</f>
        <v>1</v>
      </c>
      <c r="M2121" s="74">
        <v>73.7079846079846</v>
      </c>
      <c r="N2121" s="74">
        <f t="shared" si="1"/>
        <v>221.1239538</v>
      </c>
      <c r="O2121" s="74" t="b">
        <v>1</v>
      </c>
    </row>
    <row r="2122" hidden="1">
      <c r="A2122" s="82"/>
      <c r="B2122" s="65" t="s">
        <v>495</v>
      </c>
      <c r="C2122" s="65" t="s">
        <v>92</v>
      </c>
      <c r="D2122" s="65" t="str">
        <f>vlookup(C2122,'Classificação p pessoal'!F:G,2,false)</f>
        <v/>
      </c>
      <c r="E2122" s="65" t="s">
        <v>1327</v>
      </c>
      <c r="F2122" s="83">
        <v>0.6354166666666666</v>
      </c>
      <c r="G2122" s="83">
        <v>0.6527777777777778</v>
      </c>
      <c r="H2122" s="83">
        <v>0.017361111111111112</v>
      </c>
      <c r="I2122" s="84">
        <v>44473.0</v>
      </c>
      <c r="J2122" s="65" t="b">
        <v>1</v>
      </c>
      <c r="K2122" s="65"/>
      <c r="L2122" s="85" t="b">
        <f>IF(VLOOKUP(C2122,Projetos!A:L,12,false)=TRUE,TRUE,FALSE)</f>
        <v>1</v>
      </c>
      <c r="M2122" s="74">
        <v>73.7079846079846</v>
      </c>
      <c r="N2122" s="74">
        <f t="shared" si="1"/>
        <v>30.71166025</v>
      </c>
      <c r="O2122" s="74" t="b">
        <v>1</v>
      </c>
    </row>
    <row r="2123" hidden="1">
      <c r="A2123" s="82"/>
      <c r="B2123" s="65" t="s">
        <v>495</v>
      </c>
      <c r="C2123" s="65" t="s">
        <v>92</v>
      </c>
      <c r="D2123" s="65" t="str">
        <f>vlookup(C2123,'Classificação p pessoal'!F:G,2,false)</f>
        <v/>
      </c>
      <c r="E2123" s="65" t="s">
        <v>1328</v>
      </c>
      <c r="F2123" s="83">
        <v>0.6527777777777778</v>
      </c>
      <c r="G2123" s="83">
        <v>0.7083333333333334</v>
      </c>
      <c r="H2123" s="83">
        <v>0.05555555555555555</v>
      </c>
      <c r="I2123" s="84">
        <v>44473.0</v>
      </c>
      <c r="J2123" s="65" t="b">
        <v>1</v>
      </c>
      <c r="K2123" s="65"/>
      <c r="L2123" s="85" t="b">
        <f>IF(VLOOKUP(C2123,Projetos!A:L,12,false)=TRUE,TRUE,FALSE)</f>
        <v>1</v>
      </c>
      <c r="M2123" s="74">
        <v>73.7079846079846</v>
      </c>
      <c r="N2123" s="74">
        <f t="shared" si="1"/>
        <v>98.27731281</v>
      </c>
      <c r="O2123" s="74" t="b">
        <v>1</v>
      </c>
    </row>
    <row r="2124" hidden="1">
      <c r="A2124" s="82"/>
      <c r="B2124" s="65" t="s">
        <v>495</v>
      </c>
      <c r="C2124" s="65" t="s">
        <v>92</v>
      </c>
      <c r="D2124" s="65" t="str">
        <f>vlookup(C2124,'Classificação p pessoal'!F:G,2,false)</f>
        <v/>
      </c>
      <c r="E2124" s="65" t="s">
        <v>1297</v>
      </c>
      <c r="F2124" s="83">
        <v>0.34375</v>
      </c>
      <c r="G2124" s="83">
        <v>0.375</v>
      </c>
      <c r="H2124" s="83">
        <v>0.03125</v>
      </c>
      <c r="I2124" s="84">
        <v>44474.0</v>
      </c>
      <c r="J2124" s="65" t="b">
        <v>1</v>
      </c>
      <c r="K2124" s="65"/>
      <c r="L2124" s="85" t="b">
        <f>IF(VLOOKUP(C2124,Projetos!A:L,12,false)=TRUE,TRUE,FALSE)</f>
        <v>1</v>
      </c>
      <c r="M2124" s="74">
        <v>73.7079846079846</v>
      </c>
      <c r="N2124" s="74">
        <f t="shared" si="1"/>
        <v>55.28098846</v>
      </c>
      <c r="O2124" s="74" t="b">
        <v>1</v>
      </c>
    </row>
    <row r="2125" hidden="1">
      <c r="A2125" s="82"/>
      <c r="B2125" s="65" t="s">
        <v>495</v>
      </c>
      <c r="C2125" s="65" t="s">
        <v>92</v>
      </c>
      <c r="D2125" s="65"/>
      <c r="E2125" s="65" t="s">
        <v>1329</v>
      </c>
      <c r="F2125" s="83">
        <v>0.375</v>
      </c>
      <c r="G2125" s="83">
        <v>0.4375</v>
      </c>
      <c r="H2125" s="83">
        <v>0.0625</v>
      </c>
      <c r="I2125" s="84">
        <v>44474.0</v>
      </c>
      <c r="J2125" s="65" t="b">
        <v>0</v>
      </c>
      <c r="K2125" s="65" t="s">
        <v>150</v>
      </c>
      <c r="L2125" s="85" t="b">
        <f>IF(VLOOKUP(C2125,Projetos!A:L,12,false)=TRUE,TRUE,FALSE)</f>
        <v>1</v>
      </c>
      <c r="M2125" s="74">
        <v>73.7079846079846</v>
      </c>
      <c r="N2125" s="74">
        <f t="shared" si="1"/>
        <v>0</v>
      </c>
      <c r="O2125" s="74" t="b">
        <v>1</v>
      </c>
    </row>
    <row r="2126" hidden="1">
      <c r="A2126" s="82"/>
      <c r="B2126" s="65" t="s">
        <v>495</v>
      </c>
      <c r="C2126" s="65" t="s">
        <v>92</v>
      </c>
      <c r="D2126" s="65"/>
      <c r="E2126" s="65" t="s">
        <v>1330</v>
      </c>
      <c r="F2126" s="83">
        <v>0.6666666666666666</v>
      </c>
      <c r="G2126" s="83">
        <v>0.6979166666666666</v>
      </c>
      <c r="H2126" s="83">
        <v>0.03125</v>
      </c>
      <c r="I2126" s="84">
        <v>44438.0</v>
      </c>
      <c r="J2126" s="65" t="b">
        <v>0</v>
      </c>
      <c r="K2126" s="65"/>
      <c r="L2126" s="85" t="b">
        <f>IF(VLOOKUP(C2126,Projetos!A:L,12,false)=TRUE,TRUE,FALSE)</f>
        <v>1</v>
      </c>
      <c r="M2126" s="74">
        <v>73.7079846079846</v>
      </c>
      <c r="N2126" s="74">
        <f t="shared" si="1"/>
        <v>0</v>
      </c>
      <c r="O2126" s="74" t="b">
        <v>1</v>
      </c>
    </row>
    <row r="2127" hidden="1">
      <c r="A2127" s="82"/>
      <c r="B2127" s="65" t="s">
        <v>495</v>
      </c>
      <c r="C2127" s="65" t="s">
        <v>92</v>
      </c>
      <c r="D2127" s="65" t="str">
        <f>vlookup(C2127,'Classificação p pessoal'!F:G,2,false)</f>
        <v/>
      </c>
      <c r="E2127" s="65" t="s">
        <v>1331</v>
      </c>
      <c r="F2127" s="83">
        <v>0.4583333333333333</v>
      </c>
      <c r="G2127" s="83">
        <v>0.5</v>
      </c>
      <c r="H2127" s="83">
        <v>0.041666666666666664</v>
      </c>
      <c r="I2127" s="84">
        <v>44474.0</v>
      </c>
      <c r="J2127" s="65" t="b">
        <v>1</v>
      </c>
      <c r="K2127" s="65"/>
      <c r="L2127" s="85" t="b">
        <f>IF(VLOOKUP(C2127,Projetos!A:L,12,false)=TRUE,TRUE,FALSE)</f>
        <v>1</v>
      </c>
      <c r="M2127" s="74">
        <v>73.7079846079846</v>
      </c>
      <c r="N2127" s="74">
        <f t="shared" si="1"/>
        <v>73.70798461</v>
      </c>
      <c r="O2127" s="74" t="b">
        <v>1</v>
      </c>
    </row>
    <row r="2128" hidden="1">
      <c r="A2128" s="82"/>
      <c r="B2128" s="65" t="s">
        <v>495</v>
      </c>
      <c r="C2128" s="65" t="s">
        <v>92</v>
      </c>
      <c r="D2128" s="65" t="str">
        <f>vlookup(C2128,'Classificação p pessoal'!F:G,2,false)</f>
        <v/>
      </c>
      <c r="E2128" s="65" t="s">
        <v>1332</v>
      </c>
      <c r="F2128" s="83">
        <v>0.5104166666666666</v>
      </c>
      <c r="G2128" s="83">
        <v>0.5763888888888888</v>
      </c>
      <c r="H2128" s="83">
        <v>0.06597222222222222</v>
      </c>
      <c r="I2128" s="84">
        <v>44474.0</v>
      </c>
      <c r="J2128" s="65" t="b">
        <v>1</v>
      </c>
      <c r="K2128" s="65"/>
      <c r="L2128" s="85" t="b">
        <f>IF(VLOOKUP(C2128,Projetos!A:L,12,false)=TRUE,TRUE,FALSE)</f>
        <v>1</v>
      </c>
      <c r="M2128" s="74">
        <v>73.7079846079846</v>
      </c>
      <c r="N2128" s="74">
        <f t="shared" si="1"/>
        <v>116.704309</v>
      </c>
      <c r="O2128" s="74" t="b">
        <v>1</v>
      </c>
    </row>
    <row r="2129" hidden="1">
      <c r="A2129" s="82"/>
      <c r="B2129" s="65" t="s">
        <v>495</v>
      </c>
      <c r="C2129" s="65" t="s">
        <v>92</v>
      </c>
      <c r="D2129" s="65"/>
      <c r="E2129" s="65" t="s">
        <v>1333</v>
      </c>
      <c r="F2129" s="83">
        <v>0.375</v>
      </c>
      <c r="G2129" s="83">
        <v>0.3854166666666667</v>
      </c>
      <c r="H2129" s="83">
        <v>0.010416666666666666</v>
      </c>
      <c r="I2129" s="84">
        <v>44369.0</v>
      </c>
      <c r="J2129" s="65" t="b">
        <v>0</v>
      </c>
      <c r="K2129" s="65"/>
      <c r="L2129" s="85" t="b">
        <f>IF(VLOOKUP(C2129,Projetos!A:L,12,false)=TRUE,TRUE,FALSE)</f>
        <v>1</v>
      </c>
      <c r="M2129" s="74">
        <v>73.7079846079846</v>
      </c>
      <c r="N2129" s="74">
        <f t="shared" si="1"/>
        <v>0</v>
      </c>
      <c r="O2129" s="74" t="b">
        <v>1</v>
      </c>
    </row>
    <row r="2130" hidden="1">
      <c r="A2130" s="82"/>
      <c r="B2130" s="65" t="s">
        <v>495</v>
      </c>
      <c r="C2130" s="65" t="s">
        <v>92</v>
      </c>
      <c r="D2130" s="65" t="str">
        <f>vlookup(C2130,'Classificação p pessoal'!F:G,2,false)</f>
        <v/>
      </c>
      <c r="E2130" s="65" t="s">
        <v>1334</v>
      </c>
      <c r="F2130" s="83">
        <v>0.7083333333333334</v>
      </c>
      <c r="G2130" s="83">
        <v>0.7291666666666666</v>
      </c>
      <c r="H2130" s="83">
        <v>0.020833333333333332</v>
      </c>
      <c r="I2130" s="84">
        <v>44474.0</v>
      </c>
      <c r="J2130" s="65" t="b">
        <v>1</v>
      </c>
      <c r="K2130" s="65"/>
      <c r="L2130" s="85" t="b">
        <f>IF(VLOOKUP(C2130,Projetos!A:L,12,false)=TRUE,TRUE,FALSE)</f>
        <v>1</v>
      </c>
      <c r="M2130" s="74">
        <v>73.7079846079846</v>
      </c>
      <c r="N2130" s="74">
        <f t="shared" si="1"/>
        <v>36.8539923</v>
      </c>
      <c r="O2130" s="74" t="b">
        <v>1</v>
      </c>
    </row>
    <row r="2131" hidden="1">
      <c r="A2131" s="82"/>
      <c r="B2131" s="65" t="s">
        <v>495</v>
      </c>
      <c r="C2131" s="65" t="s">
        <v>92</v>
      </c>
      <c r="D2131" s="65" t="str">
        <f>vlookup(C2131,'Classificação p pessoal'!F:G,2,false)</f>
        <v/>
      </c>
      <c r="E2131" s="65" t="s">
        <v>1335</v>
      </c>
      <c r="F2131" s="83">
        <v>0.7291666666666666</v>
      </c>
      <c r="G2131" s="83">
        <v>0.75</v>
      </c>
      <c r="H2131" s="83">
        <v>0.020833333333333332</v>
      </c>
      <c r="I2131" s="84">
        <v>44474.0</v>
      </c>
      <c r="J2131" s="65" t="b">
        <v>1</v>
      </c>
      <c r="K2131" s="65"/>
      <c r="L2131" s="85" t="b">
        <f>IF(VLOOKUP(C2131,Projetos!A:L,12,false)=TRUE,TRUE,FALSE)</f>
        <v>1</v>
      </c>
      <c r="M2131" s="74">
        <v>73.7079846079846</v>
      </c>
      <c r="N2131" s="74">
        <f t="shared" si="1"/>
        <v>36.8539923</v>
      </c>
      <c r="O2131" s="74" t="b">
        <v>1</v>
      </c>
    </row>
    <row r="2132" hidden="1">
      <c r="A2132" s="82"/>
      <c r="B2132" s="65" t="s">
        <v>495</v>
      </c>
      <c r="C2132" s="65" t="s">
        <v>117</v>
      </c>
      <c r="D2132" s="65" t="str">
        <f>vlookup(C2132,'Classificação p pessoal'!F:G,2,false)</f>
        <v>NP</v>
      </c>
      <c r="E2132" s="65" t="s">
        <v>1336</v>
      </c>
      <c r="F2132" s="83">
        <v>0.3541666666666667</v>
      </c>
      <c r="G2132" s="83">
        <v>0.4583333333333333</v>
      </c>
      <c r="H2132" s="83">
        <v>0.10416666666666667</v>
      </c>
      <c r="I2132" s="84">
        <v>44475.0</v>
      </c>
      <c r="J2132" s="65" t="b">
        <v>1</v>
      </c>
      <c r="K2132" s="65"/>
      <c r="L2132" s="85" t="b">
        <f>IF(VLOOKUP(C2132,Projetos!A:L,12,false)=TRUE,TRUE,FALSE)</f>
        <v>1</v>
      </c>
      <c r="M2132" s="74">
        <v>73.7079846079846</v>
      </c>
      <c r="N2132" s="74">
        <f t="shared" si="1"/>
        <v>184.2699615</v>
      </c>
      <c r="O2132" s="74" t="b">
        <v>1</v>
      </c>
    </row>
    <row r="2133" hidden="1">
      <c r="A2133" s="82"/>
      <c r="B2133" s="65" t="s">
        <v>495</v>
      </c>
      <c r="C2133" s="65" t="s">
        <v>92</v>
      </c>
      <c r="D2133" s="65" t="str">
        <f>vlookup(C2133,'Classificação p pessoal'!F:G,2,false)</f>
        <v/>
      </c>
      <c r="E2133" s="65" t="s">
        <v>1327</v>
      </c>
      <c r="F2133" s="83">
        <v>0.4583333333333333</v>
      </c>
      <c r="G2133" s="83">
        <v>0.5</v>
      </c>
      <c r="H2133" s="83">
        <v>0.041666666666666664</v>
      </c>
      <c r="I2133" s="84">
        <v>44475.0</v>
      </c>
      <c r="J2133" s="65" t="b">
        <v>1</v>
      </c>
      <c r="K2133" s="65"/>
      <c r="L2133" s="85" t="b">
        <f>IF(VLOOKUP(C2133,Projetos!A:L,12,false)=TRUE,TRUE,FALSE)</f>
        <v>1</v>
      </c>
      <c r="M2133" s="74">
        <v>73.7079846079846</v>
      </c>
      <c r="N2133" s="74">
        <f t="shared" si="1"/>
        <v>73.70798461</v>
      </c>
      <c r="O2133" s="74" t="b">
        <v>1</v>
      </c>
    </row>
    <row r="2134" hidden="1">
      <c r="A2134" s="82"/>
      <c r="B2134" s="65" t="s">
        <v>495</v>
      </c>
      <c r="C2134" s="65" t="s">
        <v>117</v>
      </c>
      <c r="D2134" s="65" t="str">
        <f>vlookup(C2134,'Classificação p pessoal'!F:G,2,false)</f>
        <v>NP</v>
      </c>
      <c r="E2134" s="65" t="s">
        <v>1337</v>
      </c>
      <c r="F2134" s="83">
        <v>0.5</v>
      </c>
      <c r="G2134" s="83">
        <v>0.5694444444444444</v>
      </c>
      <c r="H2134" s="83">
        <v>0.06944444444444445</v>
      </c>
      <c r="I2134" s="84">
        <v>44475.0</v>
      </c>
      <c r="J2134" s="65" t="b">
        <v>1</v>
      </c>
      <c r="K2134" s="65"/>
      <c r="L2134" s="85" t="b">
        <f>IF(VLOOKUP(C2134,Projetos!A:L,12,false)=TRUE,TRUE,FALSE)</f>
        <v>1</v>
      </c>
      <c r="M2134" s="74">
        <v>73.7079846079846</v>
      </c>
      <c r="N2134" s="74">
        <f t="shared" si="1"/>
        <v>122.846641</v>
      </c>
      <c r="O2134" s="74" t="b">
        <v>1</v>
      </c>
    </row>
    <row r="2135" hidden="1">
      <c r="A2135" s="82"/>
      <c r="B2135" s="65" t="s">
        <v>495</v>
      </c>
      <c r="C2135" s="65" t="s">
        <v>117</v>
      </c>
      <c r="D2135" s="65" t="str">
        <f>vlookup(C2135,'Classificação p pessoal'!F:G,2,false)</f>
        <v>NP</v>
      </c>
      <c r="E2135" s="65" t="s">
        <v>1337</v>
      </c>
      <c r="F2135" s="83">
        <v>0.6111111111111112</v>
      </c>
      <c r="G2135" s="83">
        <v>0.6666666666666666</v>
      </c>
      <c r="H2135" s="83">
        <v>0.05555555555555555</v>
      </c>
      <c r="I2135" s="84">
        <v>44475.0</v>
      </c>
      <c r="J2135" s="65" t="b">
        <v>1</v>
      </c>
      <c r="K2135" s="65"/>
      <c r="L2135" s="85" t="b">
        <f>IF(VLOOKUP(C2135,Projetos!A:L,12,false)=TRUE,TRUE,FALSE)</f>
        <v>1</v>
      </c>
      <c r="M2135" s="74">
        <v>73.7079846079846</v>
      </c>
      <c r="N2135" s="74">
        <f t="shared" si="1"/>
        <v>98.27731281</v>
      </c>
      <c r="O2135" s="74" t="b">
        <v>1</v>
      </c>
    </row>
    <row r="2136" hidden="1">
      <c r="A2136" s="82"/>
      <c r="B2136" s="65" t="s">
        <v>495</v>
      </c>
      <c r="C2136" s="65" t="s">
        <v>92</v>
      </c>
      <c r="D2136" s="65" t="str">
        <f>vlookup(C2136,'Classificação p pessoal'!F:G,2,false)</f>
        <v/>
      </c>
      <c r="E2136" s="65" t="s">
        <v>1338</v>
      </c>
      <c r="F2136" s="83">
        <v>0.6805555555555556</v>
      </c>
      <c r="G2136" s="83">
        <v>0.75</v>
      </c>
      <c r="H2136" s="83">
        <v>0.06944444444444445</v>
      </c>
      <c r="I2136" s="84">
        <v>44475.0</v>
      </c>
      <c r="J2136" s="65" t="b">
        <v>1</v>
      </c>
      <c r="K2136" s="65"/>
      <c r="L2136" s="85" t="b">
        <f>IF(VLOOKUP(C2136,Projetos!A:L,12,false)=TRUE,TRUE,FALSE)</f>
        <v>1</v>
      </c>
      <c r="M2136" s="74">
        <v>73.7079846079846</v>
      </c>
      <c r="N2136" s="74">
        <f t="shared" si="1"/>
        <v>122.846641</v>
      </c>
      <c r="O2136" s="74" t="b">
        <v>1</v>
      </c>
    </row>
    <row r="2137" hidden="1">
      <c r="A2137" s="82"/>
      <c r="B2137" s="65" t="s">
        <v>495</v>
      </c>
      <c r="C2137" s="65" t="s">
        <v>92</v>
      </c>
      <c r="D2137" s="65" t="str">
        <f>vlookup(C2137,'Classificação p pessoal'!F:G,2,false)</f>
        <v/>
      </c>
      <c r="E2137" s="65" t="s">
        <v>1339</v>
      </c>
      <c r="F2137" s="83">
        <v>0.3541666666666667</v>
      </c>
      <c r="G2137" s="83">
        <v>0.4791666666666667</v>
      </c>
      <c r="H2137" s="83">
        <v>0.125</v>
      </c>
      <c r="I2137" s="84">
        <v>44476.0</v>
      </c>
      <c r="J2137" s="65" t="b">
        <v>1</v>
      </c>
      <c r="K2137" s="65"/>
      <c r="L2137" s="85" t="b">
        <f>IF(VLOOKUP(C2137,Projetos!A:L,12,false)=TRUE,TRUE,FALSE)</f>
        <v>1</v>
      </c>
      <c r="M2137" s="74">
        <v>73.7079846079846</v>
      </c>
      <c r="N2137" s="74">
        <f t="shared" si="1"/>
        <v>221.1239538</v>
      </c>
      <c r="O2137" s="74" t="b">
        <v>1</v>
      </c>
    </row>
    <row r="2138" hidden="1">
      <c r="A2138" s="82"/>
      <c r="B2138" s="65" t="s">
        <v>495</v>
      </c>
      <c r="C2138" s="65" t="s">
        <v>92</v>
      </c>
      <c r="D2138" s="65" t="str">
        <f>vlookup(C2138,'Classificação p pessoal'!F:G,2,false)</f>
        <v/>
      </c>
      <c r="E2138" s="65" t="s">
        <v>1340</v>
      </c>
      <c r="F2138" s="83">
        <v>0.5</v>
      </c>
      <c r="G2138" s="83">
        <v>0.5833333333333334</v>
      </c>
      <c r="H2138" s="83">
        <v>0.08333333333333333</v>
      </c>
      <c r="I2138" s="84">
        <v>44476.0</v>
      </c>
      <c r="J2138" s="65" t="b">
        <v>1</v>
      </c>
      <c r="K2138" s="65"/>
      <c r="L2138" s="85" t="b">
        <f>IF(VLOOKUP(C2138,Projetos!A:L,12,false)=TRUE,TRUE,FALSE)</f>
        <v>1</v>
      </c>
      <c r="M2138" s="74">
        <v>73.7079846079846</v>
      </c>
      <c r="N2138" s="74">
        <f t="shared" si="1"/>
        <v>147.4159692</v>
      </c>
      <c r="O2138" s="74" t="b">
        <v>1</v>
      </c>
    </row>
    <row r="2139" hidden="1">
      <c r="A2139" s="82"/>
      <c r="B2139" s="65" t="s">
        <v>495</v>
      </c>
      <c r="C2139" s="65" t="s">
        <v>117</v>
      </c>
      <c r="D2139" s="65" t="str">
        <f>vlookup(C2139,'Classificação p pessoal'!F:G,2,false)</f>
        <v>NP</v>
      </c>
      <c r="E2139" s="65" t="s">
        <v>1341</v>
      </c>
      <c r="F2139" s="83">
        <v>0.625</v>
      </c>
      <c r="G2139" s="83">
        <v>0.75</v>
      </c>
      <c r="H2139" s="83">
        <v>0.125</v>
      </c>
      <c r="I2139" s="84">
        <v>44476.0</v>
      </c>
      <c r="J2139" s="65" t="b">
        <v>1</v>
      </c>
      <c r="K2139" s="65"/>
      <c r="L2139" s="85" t="b">
        <f>IF(VLOOKUP(C2139,Projetos!A:L,12,false)=TRUE,TRUE,FALSE)</f>
        <v>1</v>
      </c>
      <c r="M2139" s="74">
        <v>73.7079846079846</v>
      </c>
      <c r="N2139" s="74">
        <f t="shared" si="1"/>
        <v>221.1239538</v>
      </c>
      <c r="O2139" s="74" t="b">
        <v>1</v>
      </c>
    </row>
    <row r="2140" hidden="1">
      <c r="A2140" s="82"/>
      <c r="B2140" s="65" t="s">
        <v>495</v>
      </c>
      <c r="C2140" s="65" t="s">
        <v>117</v>
      </c>
      <c r="D2140" s="65" t="str">
        <f>vlookup(C2140,'Classificação p pessoal'!F:G,2,false)</f>
        <v>NP</v>
      </c>
      <c r="E2140" s="65" t="s">
        <v>1342</v>
      </c>
      <c r="F2140" s="83">
        <v>0.3541666666666667</v>
      </c>
      <c r="G2140" s="83">
        <v>0.375</v>
      </c>
      <c r="H2140" s="83">
        <v>0.020833333333333332</v>
      </c>
      <c r="I2140" s="84">
        <v>44477.0</v>
      </c>
      <c r="J2140" s="65" t="b">
        <v>1</v>
      </c>
      <c r="K2140" s="65"/>
      <c r="L2140" s="85" t="b">
        <f>IF(VLOOKUP(C2140,Projetos!A:L,12,false)=TRUE,TRUE,FALSE)</f>
        <v>1</v>
      </c>
      <c r="M2140" s="74">
        <v>73.7079846079846</v>
      </c>
      <c r="N2140" s="74">
        <f t="shared" si="1"/>
        <v>36.8539923</v>
      </c>
      <c r="O2140" s="74" t="b">
        <v>1</v>
      </c>
    </row>
    <row r="2141" hidden="1">
      <c r="A2141" s="82"/>
      <c r="B2141" s="65" t="s">
        <v>495</v>
      </c>
      <c r="C2141" s="65" t="s">
        <v>92</v>
      </c>
      <c r="D2141" s="65" t="str">
        <f>vlookup(C2141,'Classificação p pessoal'!F:G,2,false)</f>
        <v/>
      </c>
      <c r="E2141" s="65" t="s">
        <v>1343</v>
      </c>
      <c r="F2141" s="83">
        <v>0.375</v>
      </c>
      <c r="G2141" s="83">
        <v>0.4791666666666667</v>
      </c>
      <c r="H2141" s="83">
        <v>0.10416666666666667</v>
      </c>
      <c r="I2141" s="84">
        <v>44477.0</v>
      </c>
      <c r="J2141" s="65" t="b">
        <v>1</v>
      </c>
      <c r="K2141" s="65"/>
      <c r="L2141" s="85" t="b">
        <f>IF(VLOOKUP(C2141,Projetos!A:L,12,false)=TRUE,TRUE,FALSE)</f>
        <v>1</v>
      </c>
      <c r="M2141" s="74">
        <v>73.7079846079846</v>
      </c>
      <c r="N2141" s="74">
        <f t="shared" si="1"/>
        <v>184.2699615</v>
      </c>
      <c r="O2141" s="74" t="b">
        <v>1</v>
      </c>
    </row>
    <row r="2142" hidden="1">
      <c r="A2142" s="82"/>
      <c r="B2142" s="65" t="s">
        <v>495</v>
      </c>
      <c r="C2142" s="65" t="s">
        <v>117</v>
      </c>
      <c r="D2142" s="65" t="str">
        <f>vlookup(C2142,'Classificação p pessoal'!F:G,2,false)</f>
        <v>NP</v>
      </c>
      <c r="E2142" s="65" t="s">
        <v>1344</v>
      </c>
      <c r="F2142" s="83">
        <v>0.5</v>
      </c>
      <c r="G2142" s="83">
        <v>0.53125</v>
      </c>
      <c r="H2142" s="83">
        <v>0.03125</v>
      </c>
      <c r="I2142" s="84">
        <v>44477.0</v>
      </c>
      <c r="J2142" s="65" t="b">
        <v>1</v>
      </c>
      <c r="K2142" s="65"/>
      <c r="L2142" s="85" t="b">
        <f>IF(VLOOKUP(C2142,Projetos!A:L,12,false)=TRUE,TRUE,FALSE)</f>
        <v>1</v>
      </c>
      <c r="M2142" s="74">
        <v>73.7079846079846</v>
      </c>
      <c r="N2142" s="74">
        <f t="shared" si="1"/>
        <v>55.28098846</v>
      </c>
      <c r="O2142" s="74" t="b">
        <v>1</v>
      </c>
    </row>
    <row r="2143" hidden="1">
      <c r="A2143" s="82"/>
      <c r="B2143" s="65" t="s">
        <v>495</v>
      </c>
      <c r="C2143" s="65" t="s">
        <v>92</v>
      </c>
      <c r="D2143" s="65" t="str">
        <f>vlookup(C2143,'Classificação p pessoal'!F:G,2,false)</f>
        <v/>
      </c>
      <c r="E2143" s="65" t="s">
        <v>1345</v>
      </c>
      <c r="F2143" s="83">
        <v>0.53125</v>
      </c>
      <c r="G2143" s="83">
        <v>0.5729166666666666</v>
      </c>
      <c r="H2143" s="83">
        <v>0.041666666666666664</v>
      </c>
      <c r="I2143" s="84">
        <v>44477.0</v>
      </c>
      <c r="J2143" s="65" t="b">
        <v>1</v>
      </c>
      <c r="K2143" s="65"/>
      <c r="L2143" s="85" t="b">
        <f>IF(VLOOKUP(C2143,Projetos!A:L,12,false)=TRUE,TRUE,FALSE)</f>
        <v>1</v>
      </c>
      <c r="M2143" s="74">
        <v>73.7079846079846</v>
      </c>
      <c r="N2143" s="74">
        <f t="shared" si="1"/>
        <v>73.70798461</v>
      </c>
      <c r="O2143" s="74" t="b">
        <v>1</v>
      </c>
    </row>
    <row r="2144" hidden="1">
      <c r="A2144" s="82"/>
      <c r="B2144" s="65" t="s">
        <v>495</v>
      </c>
      <c r="C2144" s="65" t="s">
        <v>92</v>
      </c>
      <c r="D2144" s="65" t="str">
        <f>vlookup(C2144,'Classificação p pessoal'!F:G,2,false)</f>
        <v/>
      </c>
      <c r="E2144" s="65" t="s">
        <v>1345</v>
      </c>
      <c r="F2144" s="83">
        <v>0.625</v>
      </c>
      <c r="G2144" s="83">
        <v>0.75</v>
      </c>
      <c r="H2144" s="83">
        <v>0.125</v>
      </c>
      <c r="I2144" s="84">
        <v>44477.0</v>
      </c>
      <c r="J2144" s="65" t="b">
        <v>1</v>
      </c>
      <c r="K2144" s="65"/>
      <c r="L2144" s="85" t="b">
        <f>IF(VLOOKUP(C2144,Projetos!A:L,12,false)=TRUE,TRUE,FALSE)</f>
        <v>1</v>
      </c>
      <c r="M2144" s="74">
        <v>73.7079846079846</v>
      </c>
      <c r="N2144" s="74">
        <f t="shared" si="1"/>
        <v>221.1239538</v>
      </c>
      <c r="O2144" s="74" t="b">
        <v>1</v>
      </c>
    </row>
    <row r="2145" hidden="1">
      <c r="A2145" s="82"/>
      <c r="B2145" s="65" t="s">
        <v>495</v>
      </c>
      <c r="C2145" s="65" t="s">
        <v>92</v>
      </c>
      <c r="D2145" s="65" t="str">
        <f>vlookup(C2145,'Classificação p pessoal'!F:G,2,false)</f>
        <v/>
      </c>
      <c r="E2145" s="65" t="s">
        <v>1346</v>
      </c>
      <c r="F2145" s="83">
        <v>0.3541666666666667</v>
      </c>
      <c r="G2145" s="83">
        <v>0.5</v>
      </c>
      <c r="H2145" s="83">
        <v>0.14583333333333334</v>
      </c>
      <c r="I2145" s="84">
        <v>44480.0</v>
      </c>
      <c r="J2145" s="65" t="b">
        <v>1</v>
      </c>
      <c r="K2145" s="65"/>
      <c r="L2145" s="85" t="b">
        <f>IF(VLOOKUP(C2145,Projetos!A:L,12,false)=TRUE,TRUE,FALSE)</f>
        <v>1</v>
      </c>
      <c r="M2145" s="74">
        <v>73.7079846079846</v>
      </c>
      <c r="N2145" s="74">
        <f t="shared" si="1"/>
        <v>257.9779461</v>
      </c>
      <c r="O2145" s="74" t="b">
        <v>1</v>
      </c>
    </row>
    <row r="2146" hidden="1">
      <c r="A2146" s="82"/>
      <c r="B2146" s="65" t="s">
        <v>495</v>
      </c>
      <c r="C2146" s="65" t="s">
        <v>92</v>
      </c>
      <c r="D2146" s="65" t="str">
        <f>vlookup(C2146,'Classificação p pessoal'!F:G,2,false)</f>
        <v/>
      </c>
      <c r="E2146" s="65" t="s">
        <v>1347</v>
      </c>
      <c r="F2146" s="83">
        <v>0.5</v>
      </c>
      <c r="G2146" s="83">
        <v>0.5694444444444444</v>
      </c>
      <c r="H2146" s="83">
        <v>0.06944444444444445</v>
      </c>
      <c r="I2146" s="84">
        <v>44480.0</v>
      </c>
      <c r="J2146" s="65" t="b">
        <v>1</v>
      </c>
      <c r="K2146" s="65"/>
      <c r="L2146" s="85" t="b">
        <f>IF(VLOOKUP(C2146,Projetos!A:L,12,false)=TRUE,TRUE,FALSE)</f>
        <v>1</v>
      </c>
      <c r="M2146" s="74">
        <v>73.7079846079846</v>
      </c>
      <c r="N2146" s="74">
        <f t="shared" si="1"/>
        <v>122.846641</v>
      </c>
      <c r="O2146" s="74" t="b">
        <v>1</v>
      </c>
    </row>
    <row r="2147" hidden="1">
      <c r="A2147" s="82"/>
      <c r="B2147" s="65" t="s">
        <v>495</v>
      </c>
      <c r="C2147" s="65" t="s">
        <v>92</v>
      </c>
      <c r="D2147" s="65" t="str">
        <f>vlookup(C2147,'Classificação p pessoal'!F:G,2,false)</f>
        <v/>
      </c>
      <c r="E2147" s="65" t="s">
        <v>1347</v>
      </c>
      <c r="F2147" s="83">
        <v>0.6111111111111112</v>
      </c>
      <c r="G2147" s="83">
        <v>0.6458333333333334</v>
      </c>
      <c r="H2147" s="83">
        <v>0.034722222222222224</v>
      </c>
      <c r="I2147" s="84">
        <v>44480.0</v>
      </c>
      <c r="J2147" s="65" t="b">
        <v>1</v>
      </c>
      <c r="K2147" s="65"/>
      <c r="L2147" s="85" t="b">
        <f>IF(VLOOKUP(C2147,Projetos!A:L,12,false)=TRUE,TRUE,FALSE)</f>
        <v>1</v>
      </c>
      <c r="M2147" s="74">
        <v>73.7079846079846</v>
      </c>
      <c r="N2147" s="74">
        <f t="shared" si="1"/>
        <v>61.42332051</v>
      </c>
      <c r="O2147" s="74" t="b">
        <v>1</v>
      </c>
    </row>
    <row r="2148" hidden="1">
      <c r="A2148" s="82"/>
      <c r="B2148" s="65" t="s">
        <v>495</v>
      </c>
      <c r="C2148" s="65" t="s">
        <v>92</v>
      </c>
      <c r="D2148" s="65" t="str">
        <f>vlookup(C2148,'Classificação p pessoal'!F:G,2,false)</f>
        <v/>
      </c>
      <c r="E2148" s="65" t="s">
        <v>1348</v>
      </c>
      <c r="F2148" s="83">
        <v>0.6666666666666666</v>
      </c>
      <c r="G2148" s="83">
        <v>0.75</v>
      </c>
      <c r="H2148" s="83">
        <v>0.08333333333333333</v>
      </c>
      <c r="I2148" s="84">
        <v>44480.0</v>
      </c>
      <c r="J2148" s="65" t="b">
        <v>1</v>
      </c>
      <c r="K2148" s="65"/>
      <c r="L2148" s="85" t="b">
        <f>IF(VLOOKUP(C2148,Projetos!A:L,12,false)=TRUE,TRUE,FALSE)</f>
        <v>1</v>
      </c>
      <c r="M2148" s="74">
        <v>73.7079846079846</v>
      </c>
      <c r="N2148" s="74">
        <f t="shared" si="1"/>
        <v>147.4159692</v>
      </c>
      <c r="O2148" s="74" t="b">
        <v>1</v>
      </c>
    </row>
    <row r="2149" hidden="1">
      <c r="A2149" s="82"/>
      <c r="B2149" s="65" t="s">
        <v>495</v>
      </c>
      <c r="C2149" s="65" t="s">
        <v>92</v>
      </c>
      <c r="D2149" s="65" t="str">
        <f>vlookup(C2149,'Classificação p pessoal'!F:G,2,false)</f>
        <v/>
      </c>
      <c r="E2149" s="65" t="s">
        <v>1349</v>
      </c>
      <c r="F2149" s="83">
        <v>0.3541666666666667</v>
      </c>
      <c r="G2149" s="83">
        <v>0.4583333333333333</v>
      </c>
      <c r="H2149" s="83">
        <v>0.10416666666666667</v>
      </c>
      <c r="I2149" s="84">
        <v>44482.0</v>
      </c>
      <c r="J2149" s="65" t="b">
        <v>1</v>
      </c>
      <c r="K2149" s="65"/>
      <c r="L2149" s="85" t="b">
        <f>IF(VLOOKUP(C2149,Projetos!A:L,12,false)=TRUE,TRUE,FALSE)</f>
        <v>1</v>
      </c>
      <c r="M2149" s="74">
        <v>73.7079846079846</v>
      </c>
      <c r="N2149" s="74">
        <f t="shared" si="1"/>
        <v>184.2699615</v>
      </c>
      <c r="O2149" s="74" t="b">
        <v>1</v>
      </c>
    </row>
    <row r="2150" hidden="1">
      <c r="A2150" s="82"/>
      <c r="B2150" s="65" t="s">
        <v>495</v>
      </c>
      <c r="C2150" s="65" t="s">
        <v>108</v>
      </c>
      <c r="D2150" s="65" t="str">
        <f>vlookup(C2150,'Classificação p pessoal'!F:G,2,false)</f>
        <v>NP</v>
      </c>
      <c r="E2150" s="65" t="s">
        <v>837</v>
      </c>
      <c r="F2150" s="83">
        <v>0.46875</v>
      </c>
      <c r="G2150" s="83">
        <v>0.5104166666666666</v>
      </c>
      <c r="H2150" s="83">
        <v>0.041666666666666664</v>
      </c>
      <c r="I2150" s="84">
        <v>44482.0</v>
      </c>
      <c r="J2150" s="65" t="b">
        <v>1</v>
      </c>
      <c r="K2150" s="65"/>
      <c r="L2150" s="85" t="b">
        <f>IF(VLOOKUP(C2150,Projetos!A:L,12,false)=TRUE,TRUE,FALSE)</f>
        <v>1</v>
      </c>
      <c r="M2150" s="74">
        <v>73.7079846079846</v>
      </c>
      <c r="N2150" s="74">
        <f t="shared" si="1"/>
        <v>73.70798461</v>
      </c>
      <c r="O2150" s="74" t="b">
        <v>1</v>
      </c>
    </row>
    <row r="2151" hidden="1">
      <c r="A2151" s="82"/>
      <c r="B2151" s="65" t="s">
        <v>495</v>
      </c>
      <c r="C2151" s="65" t="s">
        <v>92</v>
      </c>
      <c r="D2151" s="65"/>
      <c r="E2151" s="65" t="s">
        <v>1350</v>
      </c>
      <c r="F2151" s="83">
        <v>0.5104166666666666</v>
      </c>
      <c r="G2151" s="83">
        <v>0.5763888888888888</v>
      </c>
      <c r="H2151" s="83">
        <v>0.06597222222222222</v>
      </c>
      <c r="I2151" s="84">
        <v>44482.0</v>
      </c>
      <c r="J2151" s="65" t="b">
        <v>0</v>
      </c>
      <c r="K2151" s="65" t="s">
        <v>150</v>
      </c>
      <c r="L2151" s="85" t="b">
        <f>IF(VLOOKUP(C2151,Projetos!A:L,12,false)=TRUE,TRUE,FALSE)</f>
        <v>1</v>
      </c>
      <c r="M2151" s="74">
        <v>73.7079846079846</v>
      </c>
      <c r="N2151" s="74">
        <f t="shared" si="1"/>
        <v>0</v>
      </c>
      <c r="O2151" s="74" t="b">
        <v>1</v>
      </c>
    </row>
    <row r="2152" hidden="1">
      <c r="A2152" s="82"/>
      <c r="B2152" s="65" t="s">
        <v>495</v>
      </c>
      <c r="C2152" s="65" t="s">
        <v>100</v>
      </c>
      <c r="D2152" s="65" t="str">
        <f>vlookup(C2152,'Classificação p pessoal'!F:G,2,false)</f>
        <v>NP</v>
      </c>
      <c r="E2152" s="65" t="s">
        <v>1351</v>
      </c>
      <c r="F2152" s="83">
        <v>0.625</v>
      </c>
      <c r="G2152" s="83">
        <v>0.6458333333333334</v>
      </c>
      <c r="H2152" s="83">
        <v>0.020833333333333332</v>
      </c>
      <c r="I2152" s="84">
        <v>44482.0</v>
      </c>
      <c r="J2152" s="65" t="b">
        <v>1</v>
      </c>
      <c r="K2152" s="65"/>
      <c r="L2152" s="85" t="b">
        <f>IF(VLOOKUP(C2152,Projetos!A:L,12,false)=TRUE,TRUE,FALSE)</f>
        <v>1</v>
      </c>
      <c r="M2152" s="74">
        <v>73.7079846079846</v>
      </c>
      <c r="N2152" s="74">
        <f t="shared" si="1"/>
        <v>36.8539923</v>
      </c>
      <c r="O2152" s="74" t="b">
        <v>1</v>
      </c>
    </row>
    <row r="2153" hidden="1">
      <c r="A2153" s="82"/>
      <c r="B2153" s="65" t="s">
        <v>495</v>
      </c>
      <c r="C2153" s="65" t="s">
        <v>130</v>
      </c>
      <c r="D2153" s="65" t="str">
        <f>vlookup(C2153,'Classificação p pessoal'!F:G,2,false)</f>
        <v>NP</v>
      </c>
      <c r="E2153" s="65" t="s">
        <v>1351</v>
      </c>
      <c r="F2153" s="83">
        <v>0.6458333333333334</v>
      </c>
      <c r="G2153" s="83">
        <v>0.6666666666666666</v>
      </c>
      <c r="H2153" s="83">
        <v>0.020833333333333332</v>
      </c>
      <c r="I2153" s="84">
        <v>44482.0</v>
      </c>
      <c r="J2153" s="65" t="b">
        <v>1</v>
      </c>
      <c r="K2153" s="65"/>
      <c r="L2153" s="85" t="b">
        <f>IF(VLOOKUP(C2153,Projetos!A:L,12,false)=TRUE,TRUE,FALSE)</f>
        <v>1</v>
      </c>
      <c r="M2153" s="74">
        <v>73.7079846079846</v>
      </c>
      <c r="N2153" s="74">
        <f t="shared" si="1"/>
        <v>36.8539923</v>
      </c>
      <c r="O2153" s="74" t="b">
        <v>1</v>
      </c>
    </row>
    <row r="2154" hidden="1">
      <c r="A2154" s="82"/>
      <c r="B2154" s="65" t="s">
        <v>495</v>
      </c>
      <c r="C2154" s="65" t="s">
        <v>92</v>
      </c>
      <c r="D2154" s="65" t="str">
        <f>vlookup(C2154,'Classificação p pessoal'!F:G,2,false)</f>
        <v/>
      </c>
      <c r="E2154" s="65" t="s">
        <v>1352</v>
      </c>
      <c r="F2154" s="83">
        <v>0.6666666666666666</v>
      </c>
      <c r="G2154" s="83">
        <v>0.6875</v>
      </c>
      <c r="H2154" s="83">
        <v>0.020833333333333332</v>
      </c>
      <c r="I2154" s="84">
        <v>44482.0</v>
      </c>
      <c r="J2154" s="65" t="b">
        <v>1</v>
      </c>
      <c r="K2154" s="65"/>
      <c r="L2154" s="85" t="b">
        <f>IF(VLOOKUP(C2154,Projetos!A:L,12,false)=TRUE,TRUE,FALSE)</f>
        <v>1</v>
      </c>
      <c r="M2154" s="74">
        <v>73.7079846079846</v>
      </c>
      <c r="N2154" s="74">
        <f t="shared" si="1"/>
        <v>36.8539923</v>
      </c>
      <c r="O2154" s="74" t="b">
        <v>1</v>
      </c>
    </row>
    <row r="2155" hidden="1">
      <c r="A2155" s="82"/>
      <c r="B2155" s="65" t="s">
        <v>495</v>
      </c>
      <c r="C2155" s="65" t="s">
        <v>92</v>
      </c>
      <c r="D2155" s="65" t="str">
        <f>vlookup(C2155,'Classificação p pessoal'!F:G,2,false)</f>
        <v/>
      </c>
      <c r="E2155" s="65" t="s">
        <v>1353</v>
      </c>
      <c r="F2155" s="83">
        <v>0.6875</v>
      </c>
      <c r="G2155" s="83">
        <v>0.7291666666666666</v>
      </c>
      <c r="H2155" s="83">
        <v>0.041666666666666664</v>
      </c>
      <c r="I2155" s="84">
        <v>44482.0</v>
      </c>
      <c r="J2155" s="65" t="b">
        <v>1</v>
      </c>
      <c r="K2155" s="65"/>
      <c r="L2155" s="85" t="b">
        <f>IF(VLOOKUP(C2155,Projetos!A:L,12,false)=TRUE,TRUE,FALSE)</f>
        <v>1</v>
      </c>
      <c r="M2155" s="74">
        <v>73.7079846079846</v>
      </c>
      <c r="N2155" s="74">
        <f t="shared" si="1"/>
        <v>73.70798461</v>
      </c>
      <c r="O2155" s="74" t="b">
        <v>1</v>
      </c>
    </row>
    <row r="2156" hidden="1">
      <c r="A2156" s="82"/>
      <c r="B2156" s="65" t="s">
        <v>495</v>
      </c>
      <c r="C2156" s="65" t="s">
        <v>92</v>
      </c>
      <c r="D2156" s="65" t="str">
        <f>vlookup(C2156,'Classificação p pessoal'!F:G,2,false)</f>
        <v/>
      </c>
      <c r="E2156" s="65" t="s">
        <v>1354</v>
      </c>
      <c r="F2156" s="83">
        <v>0.7291666666666666</v>
      </c>
      <c r="G2156" s="83">
        <v>0.75</v>
      </c>
      <c r="H2156" s="83">
        <v>0.020833333333333332</v>
      </c>
      <c r="I2156" s="84">
        <v>44482.0</v>
      </c>
      <c r="J2156" s="65" t="b">
        <v>1</v>
      </c>
      <c r="K2156" s="65"/>
      <c r="L2156" s="85" t="b">
        <f>IF(VLOOKUP(C2156,Projetos!A:L,12,false)=TRUE,TRUE,FALSE)</f>
        <v>1</v>
      </c>
      <c r="M2156" s="74">
        <v>73.7079846079846</v>
      </c>
      <c r="N2156" s="74">
        <f t="shared" si="1"/>
        <v>36.8539923</v>
      </c>
      <c r="O2156" s="74" t="b">
        <v>1</v>
      </c>
    </row>
    <row r="2157" hidden="1">
      <c r="A2157" s="82"/>
      <c r="B2157" s="65" t="s">
        <v>495</v>
      </c>
      <c r="C2157" s="65" t="s">
        <v>92</v>
      </c>
      <c r="D2157" s="65" t="str">
        <f>vlookup(C2157,'Classificação p pessoal'!F:G,2,false)</f>
        <v/>
      </c>
      <c r="E2157" s="65" t="s">
        <v>1355</v>
      </c>
      <c r="F2157" s="83">
        <v>0.3541666666666667</v>
      </c>
      <c r="G2157" s="83">
        <v>0.375</v>
      </c>
      <c r="H2157" s="83">
        <v>0.020833333333333332</v>
      </c>
      <c r="I2157" s="84">
        <v>44483.0</v>
      </c>
      <c r="J2157" s="65" t="b">
        <v>1</v>
      </c>
      <c r="K2157" s="65"/>
      <c r="L2157" s="85" t="b">
        <f>IF(VLOOKUP(C2157,Projetos!A:L,12,false)=TRUE,TRUE,FALSE)</f>
        <v>1</v>
      </c>
      <c r="M2157" s="74">
        <v>73.7079846079846</v>
      </c>
      <c r="N2157" s="74">
        <f t="shared" si="1"/>
        <v>36.8539923</v>
      </c>
      <c r="O2157" s="74" t="b">
        <v>1</v>
      </c>
    </row>
    <row r="2158" hidden="1">
      <c r="A2158" s="82"/>
      <c r="B2158" s="65" t="s">
        <v>495</v>
      </c>
      <c r="C2158" s="65" t="s">
        <v>108</v>
      </c>
      <c r="D2158" s="65" t="str">
        <f>vlookup(C2158,'Classificação p pessoal'!F:G,2,false)</f>
        <v>NP</v>
      </c>
      <c r="E2158" s="65" t="s">
        <v>1356</v>
      </c>
      <c r="F2158" s="83">
        <v>0.375</v>
      </c>
      <c r="G2158" s="83">
        <v>0.3958333333333333</v>
      </c>
      <c r="H2158" s="83">
        <v>0.020833333333333332</v>
      </c>
      <c r="I2158" s="84">
        <v>44483.0</v>
      </c>
      <c r="J2158" s="65" t="b">
        <v>1</v>
      </c>
      <c r="K2158" s="65"/>
      <c r="L2158" s="85" t="b">
        <f>IF(VLOOKUP(C2158,Projetos!A:L,12,false)=TRUE,TRUE,FALSE)</f>
        <v>1</v>
      </c>
      <c r="M2158" s="74">
        <v>73.7079846079846</v>
      </c>
      <c r="N2158" s="74">
        <f t="shared" si="1"/>
        <v>36.8539923</v>
      </c>
      <c r="O2158" s="74" t="b">
        <v>1</v>
      </c>
    </row>
    <row r="2159" hidden="1">
      <c r="A2159" s="82"/>
      <c r="B2159" s="65" t="s">
        <v>495</v>
      </c>
      <c r="C2159" s="65" t="s">
        <v>92</v>
      </c>
      <c r="D2159" s="65"/>
      <c r="E2159" s="65" t="s">
        <v>1357</v>
      </c>
      <c r="F2159" s="83">
        <v>0.6875</v>
      </c>
      <c r="G2159" s="83">
        <v>0.7361111111111112</v>
      </c>
      <c r="H2159" s="83">
        <v>0.04861111111111111</v>
      </c>
      <c r="I2159" s="84">
        <v>44258.0</v>
      </c>
      <c r="J2159" s="65" t="b">
        <v>0</v>
      </c>
      <c r="K2159" s="65" t="s">
        <v>150</v>
      </c>
      <c r="L2159" s="85" t="b">
        <f>IF(VLOOKUP(C2159,Projetos!A:L,12,false)=TRUE,TRUE,FALSE)</f>
        <v>1</v>
      </c>
      <c r="M2159" s="74">
        <v>73.7079846079846</v>
      </c>
      <c r="N2159" s="74">
        <f t="shared" si="1"/>
        <v>0</v>
      </c>
      <c r="O2159" s="74" t="b">
        <v>1</v>
      </c>
    </row>
    <row r="2160" hidden="1">
      <c r="A2160" s="82"/>
      <c r="B2160" s="65" t="s">
        <v>495</v>
      </c>
      <c r="C2160" s="65" t="s">
        <v>92</v>
      </c>
      <c r="D2160" s="65" t="str">
        <f>vlookup(C2160,'Classificação p pessoal'!F:G,2,false)</f>
        <v/>
      </c>
      <c r="E2160" s="65" t="s">
        <v>1358</v>
      </c>
      <c r="F2160" s="83">
        <v>0.4166666666666667</v>
      </c>
      <c r="G2160" s="83">
        <v>0.4791666666666667</v>
      </c>
      <c r="H2160" s="83">
        <v>0.0625</v>
      </c>
      <c r="I2160" s="84">
        <v>44483.0</v>
      </c>
      <c r="J2160" s="65" t="b">
        <v>1</v>
      </c>
      <c r="K2160" s="65"/>
      <c r="L2160" s="85" t="b">
        <f>IF(VLOOKUP(C2160,Projetos!A:L,12,false)=TRUE,TRUE,FALSE)</f>
        <v>1</v>
      </c>
      <c r="M2160" s="74">
        <v>73.7079846079846</v>
      </c>
      <c r="N2160" s="74">
        <f t="shared" si="1"/>
        <v>110.5619769</v>
      </c>
      <c r="O2160" s="74" t="b">
        <v>1</v>
      </c>
    </row>
    <row r="2161" hidden="1">
      <c r="A2161" s="82"/>
      <c r="B2161" s="65" t="s">
        <v>495</v>
      </c>
      <c r="C2161" s="65" t="s">
        <v>92</v>
      </c>
      <c r="D2161" s="65" t="str">
        <f>vlookup(C2161,'Classificação p pessoal'!F:G,2,false)</f>
        <v/>
      </c>
      <c r="E2161" s="65" t="s">
        <v>1359</v>
      </c>
      <c r="F2161" s="83">
        <v>0.5</v>
      </c>
      <c r="G2161" s="83">
        <v>0.5763888888888888</v>
      </c>
      <c r="H2161" s="83">
        <v>0.0763888888888889</v>
      </c>
      <c r="I2161" s="84">
        <v>44483.0</v>
      </c>
      <c r="J2161" s="65" t="b">
        <v>1</v>
      </c>
      <c r="K2161" s="65"/>
      <c r="L2161" s="85" t="b">
        <f>IF(VLOOKUP(C2161,Projetos!A:L,12,false)=TRUE,TRUE,FALSE)</f>
        <v>1</v>
      </c>
      <c r="M2161" s="74">
        <v>73.7079846079846</v>
      </c>
      <c r="N2161" s="74">
        <f t="shared" si="1"/>
        <v>135.1313051</v>
      </c>
      <c r="O2161" s="74" t="b">
        <v>1</v>
      </c>
    </row>
    <row r="2162" hidden="1">
      <c r="A2162" s="82"/>
      <c r="B2162" s="65" t="s">
        <v>495</v>
      </c>
      <c r="C2162" s="65" t="s">
        <v>92</v>
      </c>
      <c r="D2162" s="65" t="str">
        <f>vlookup(C2162,'Classificação p pessoal'!F:G,2,false)</f>
        <v/>
      </c>
      <c r="E2162" s="65" t="s">
        <v>1360</v>
      </c>
      <c r="F2162" s="83">
        <v>0.6180555555555556</v>
      </c>
      <c r="G2162" s="83">
        <v>0.6458333333333334</v>
      </c>
      <c r="H2162" s="83">
        <v>0.027777777777777776</v>
      </c>
      <c r="I2162" s="84">
        <v>44483.0</v>
      </c>
      <c r="J2162" s="65" t="b">
        <v>1</v>
      </c>
      <c r="K2162" s="65"/>
      <c r="L2162" s="85" t="b">
        <f>IF(VLOOKUP(C2162,Projetos!A:L,12,false)=TRUE,TRUE,FALSE)</f>
        <v>1</v>
      </c>
      <c r="M2162" s="74">
        <v>73.7079846079846</v>
      </c>
      <c r="N2162" s="74">
        <f t="shared" si="1"/>
        <v>49.13865641</v>
      </c>
      <c r="O2162" s="74" t="b">
        <v>1</v>
      </c>
    </row>
    <row r="2163" hidden="1">
      <c r="A2163" s="82"/>
      <c r="B2163" s="65" t="s">
        <v>495</v>
      </c>
      <c r="C2163" s="65" t="s">
        <v>100</v>
      </c>
      <c r="D2163" s="65" t="str">
        <f>vlookup(C2163,'Classificação p pessoal'!F:G,2,false)</f>
        <v>NP</v>
      </c>
      <c r="E2163" s="65" t="s">
        <v>1361</v>
      </c>
      <c r="F2163" s="83">
        <v>0.6458333333333334</v>
      </c>
      <c r="G2163" s="83">
        <v>0.6666666666666666</v>
      </c>
      <c r="H2163" s="83">
        <v>0.020833333333333332</v>
      </c>
      <c r="I2163" s="84">
        <v>44483.0</v>
      </c>
      <c r="J2163" s="65" t="b">
        <v>1</v>
      </c>
      <c r="K2163" s="65"/>
      <c r="L2163" s="85" t="b">
        <f>IF(VLOOKUP(C2163,Projetos!A:L,12,false)=TRUE,TRUE,FALSE)</f>
        <v>1</v>
      </c>
      <c r="M2163" s="74">
        <v>73.7079846079846</v>
      </c>
      <c r="N2163" s="74">
        <f t="shared" si="1"/>
        <v>36.8539923</v>
      </c>
      <c r="O2163" s="74" t="b">
        <v>1</v>
      </c>
    </row>
    <row r="2164" hidden="1">
      <c r="A2164" s="82"/>
      <c r="B2164" s="65" t="s">
        <v>495</v>
      </c>
      <c r="C2164" s="65" t="s">
        <v>84</v>
      </c>
      <c r="D2164" s="65"/>
      <c r="E2164" s="65" t="s">
        <v>1362</v>
      </c>
      <c r="F2164" s="83">
        <v>0.6666666666666666</v>
      </c>
      <c r="G2164" s="83">
        <v>0.7083333333333334</v>
      </c>
      <c r="H2164" s="83">
        <v>0.041666666666666664</v>
      </c>
      <c r="I2164" s="84">
        <v>44483.0</v>
      </c>
      <c r="J2164" s="65" t="b">
        <v>0</v>
      </c>
      <c r="K2164" s="65"/>
      <c r="L2164" s="85" t="b">
        <f>IF(VLOOKUP(C2164,Projetos!A:L,12,false)=TRUE,TRUE,FALSE)</f>
        <v>0</v>
      </c>
      <c r="M2164" s="74">
        <v>73.7079846079846</v>
      </c>
      <c r="N2164" s="74">
        <f t="shared" si="1"/>
        <v>0</v>
      </c>
      <c r="O2164" s="74" t="b">
        <v>0</v>
      </c>
    </row>
    <row r="2165" hidden="1">
      <c r="A2165" s="82"/>
      <c r="B2165" s="65" t="s">
        <v>495</v>
      </c>
      <c r="C2165" s="65" t="s">
        <v>117</v>
      </c>
      <c r="D2165" s="65" t="str">
        <f>vlookup(C2165,'Classificação p pessoal'!F:G,2,false)</f>
        <v>NP</v>
      </c>
      <c r="E2165" s="65" t="s">
        <v>1363</v>
      </c>
      <c r="F2165" s="83">
        <v>0.7083333333333334</v>
      </c>
      <c r="G2165" s="83">
        <v>0.75</v>
      </c>
      <c r="H2165" s="83">
        <v>0.041666666666666664</v>
      </c>
      <c r="I2165" s="84">
        <v>44483.0</v>
      </c>
      <c r="J2165" s="65" t="b">
        <v>1</v>
      </c>
      <c r="K2165" s="65"/>
      <c r="L2165" s="85" t="b">
        <f>IF(VLOOKUP(C2165,Projetos!A:L,12,false)=TRUE,TRUE,FALSE)</f>
        <v>1</v>
      </c>
      <c r="M2165" s="74">
        <v>73.7079846079846</v>
      </c>
      <c r="N2165" s="74">
        <f t="shared" si="1"/>
        <v>73.70798461</v>
      </c>
      <c r="O2165" s="74" t="b">
        <v>1</v>
      </c>
    </row>
    <row r="2166" hidden="1">
      <c r="A2166" s="82"/>
      <c r="B2166" s="65" t="s">
        <v>495</v>
      </c>
      <c r="C2166" s="65" t="s">
        <v>92</v>
      </c>
      <c r="D2166" s="65" t="str">
        <f>vlookup(C2166,'Classificação p pessoal'!F:G,2,false)</f>
        <v/>
      </c>
      <c r="E2166" s="65" t="s">
        <v>1364</v>
      </c>
      <c r="F2166" s="83">
        <v>0.3541666666666667</v>
      </c>
      <c r="G2166" s="83">
        <v>0.3819444444444444</v>
      </c>
      <c r="H2166" s="83">
        <v>0.027777777777777776</v>
      </c>
      <c r="I2166" s="84">
        <v>44484.0</v>
      </c>
      <c r="J2166" s="65" t="b">
        <v>1</v>
      </c>
      <c r="K2166" s="65"/>
      <c r="L2166" s="85" t="b">
        <f>IF(VLOOKUP(C2166,Projetos!A:L,12,false)=TRUE,TRUE,FALSE)</f>
        <v>1</v>
      </c>
      <c r="M2166" s="74">
        <v>73.7079846079846</v>
      </c>
      <c r="N2166" s="74">
        <f t="shared" si="1"/>
        <v>49.13865641</v>
      </c>
      <c r="O2166" s="74" t="b">
        <v>1</v>
      </c>
    </row>
    <row r="2167" hidden="1">
      <c r="A2167" s="82"/>
      <c r="B2167" s="65" t="s">
        <v>495</v>
      </c>
      <c r="C2167" s="65" t="s">
        <v>117</v>
      </c>
      <c r="D2167" s="65" t="str">
        <f>vlookup(C2167,'Classificação p pessoal'!F:G,2,false)</f>
        <v>NP</v>
      </c>
      <c r="E2167" s="65" t="s">
        <v>1365</v>
      </c>
      <c r="F2167" s="83">
        <v>0.3888888888888889</v>
      </c>
      <c r="G2167" s="83">
        <v>0.5</v>
      </c>
      <c r="H2167" s="83">
        <v>0.1111111111111111</v>
      </c>
      <c r="I2167" s="84">
        <v>44484.0</v>
      </c>
      <c r="J2167" s="65" t="b">
        <v>1</v>
      </c>
      <c r="K2167" s="65"/>
      <c r="L2167" s="85" t="b">
        <f>IF(VLOOKUP(C2167,Projetos!A:L,12,false)=TRUE,TRUE,FALSE)</f>
        <v>1</v>
      </c>
      <c r="M2167" s="74">
        <v>73.7079846079846</v>
      </c>
      <c r="N2167" s="74">
        <f t="shared" si="1"/>
        <v>196.5546256</v>
      </c>
      <c r="O2167" s="74" t="b">
        <v>1</v>
      </c>
    </row>
    <row r="2168" hidden="1">
      <c r="A2168" s="82"/>
      <c r="B2168" s="65" t="s">
        <v>495</v>
      </c>
      <c r="C2168" s="65" t="s">
        <v>117</v>
      </c>
      <c r="D2168" s="65" t="str">
        <f>vlookup(C2168,'Classificação p pessoal'!F:G,2,false)</f>
        <v>NP</v>
      </c>
      <c r="E2168" s="65" t="s">
        <v>1366</v>
      </c>
      <c r="F2168" s="83">
        <v>0.5104166666666666</v>
      </c>
      <c r="G2168" s="83">
        <v>0.53125</v>
      </c>
      <c r="H2168" s="83">
        <v>0.020833333333333332</v>
      </c>
      <c r="I2168" s="84">
        <v>44484.0</v>
      </c>
      <c r="J2168" s="65" t="b">
        <v>1</v>
      </c>
      <c r="K2168" s="65"/>
      <c r="L2168" s="85" t="b">
        <f>IF(VLOOKUP(C2168,Projetos!A:L,12,false)=TRUE,TRUE,FALSE)</f>
        <v>1</v>
      </c>
      <c r="M2168" s="74">
        <v>73.7079846079846</v>
      </c>
      <c r="N2168" s="74">
        <f t="shared" si="1"/>
        <v>36.8539923</v>
      </c>
      <c r="O2168" s="74" t="b">
        <v>1</v>
      </c>
    </row>
    <row r="2169" hidden="1">
      <c r="A2169" s="82"/>
      <c r="B2169" s="65" t="s">
        <v>495</v>
      </c>
      <c r="C2169" s="65" t="s">
        <v>92</v>
      </c>
      <c r="D2169" s="65" t="str">
        <f>vlookup(C2169,'Classificação p pessoal'!F:G,2,false)</f>
        <v/>
      </c>
      <c r="E2169" s="65" t="s">
        <v>1367</v>
      </c>
      <c r="F2169" s="83">
        <v>0.53125</v>
      </c>
      <c r="G2169" s="83">
        <v>0.5763888888888888</v>
      </c>
      <c r="H2169" s="83">
        <v>0.04513888888888889</v>
      </c>
      <c r="I2169" s="84">
        <v>44484.0</v>
      </c>
      <c r="J2169" s="65" t="b">
        <v>1</v>
      </c>
      <c r="K2169" s="65"/>
      <c r="L2169" s="85" t="b">
        <f>IF(VLOOKUP(C2169,Projetos!A:L,12,false)=TRUE,TRUE,FALSE)</f>
        <v>1</v>
      </c>
      <c r="M2169" s="74">
        <v>73.7079846079846</v>
      </c>
      <c r="N2169" s="74">
        <f t="shared" si="1"/>
        <v>79.85031666</v>
      </c>
      <c r="O2169" s="74" t="b">
        <v>1</v>
      </c>
    </row>
    <row r="2170" hidden="1">
      <c r="A2170" s="82"/>
      <c r="B2170" s="65" t="s">
        <v>495</v>
      </c>
      <c r="C2170" s="65" t="s">
        <v>92</v>
      </c>
      <c r="D2170" s="65"/>
      <c r="E2170" s="65" t="s">
        <v>1368</v>
      </c>
      <c r="F2170" s="83">
        <v>0.625</v>
      </c>
      <c r="G2170" s="83">
        <v>0.6666666666666666</v>
      </c>
      <c r="H2170" s="83">
        <v>0.041666666666666664</v>
      </c>
      <c r="I2170" s="84">
        <v>44484.0</v>
      </c>
      <c r="J2170" s="65" t="b">
        <v>0</v>
      </c>
      <c r="K2170" s="65" t="s">
        <v>150</v>
      </c>
      <c r="L2170" s="85" t="b">
        <f>IF(VLOOKUP(C2170,Projetos!A:L,12,false)=TRUE,TRUE,FALSE)</f>
        <v>1</v>
      </c>
      <c r="M2170" s="74">
        <v>73.7079846079846</v>
      </c>
      <c r="N2170" s="74">
        <f t="shared" si="1"/>
        <v>0</v>
      </c>
      <c r="O2170" s="74" t="b">
        <v>1</v>
      </c>
    </row>
    <row r="2171" hidden="1">
      <c r="A2171" s="82"/>
      <c r="B2171" s="65" t="s">
        <v>495</v>
      </c>
      <c r="C2171" s="65" t="s">
        <v>92</v>
      </c>
      <c r="D2171" s="65" t="str">
        <f>vlookup(C2171,'Classificação p pessoal'!F:G,2,false)</f>
        <v/>
      </c>
      <c r="E2171" s="65" t="s">
        <v>1367</v>
      </c>
      <c r="F2171" s="83">
        <v>0.6666666666666666</v>
      </c>
      <c r="G2171" s="83">
        <v>0.75</v>
      </c>
      <c r="H2171" s="83">
        <v>0.08333333333333333</v>
      </c>
      <c r="I2171" s="84">
        <v>44484.0</v>
      </c>
      <c r="J2171" s="65" t="b">
        <v>1</v>
      </c>
      <c r="K2171" s="65"/>
      <c r="L2171" s="85" t="b">
        <f>IF(VLOOKUP(C2171,Projetos!A:L,12,false)=TRUE,TRUE,FALSE)</f>
        <v>1</v>
      </c>
      <c r="M2171" s="74">
        <v>73.7079846079846</v>
      </c>
      <c r="N2171" s="74">
        <f t="shared" si="1"/>
        <v>147.4159692</v>
      </c>
      <c r="O2171" s="74" t="b">
        <v>1</v>
      </c>
    </row>
    <row r="2172" hidden="1">
      <c r="A2172" s="82"/>
      <c r="B2172" s="65" t="s">
        <v>495</v>
      </c>
      <c r="C2172" s="65" t="s">
        <v>108</v>
      </c>
      <c r="D2172" s="65" t="str">
        <f>vlookup(C2172,'Classificação p pessoal'!F:G,2,false)</f>
        <v>NP</v>
      </c>
      <c r="E2172" s="65" t="s">
        <v>1369</v>
      </c>
      <c r="F2172" s="83">
        <v>0.3472222222222222</v>
      </c>
      <c r="G2172" s="83">
        <v>0.4166666666666667</v>
      </c>
      <c r="H2172" s="83">
        <v>0.06944444444444445</v>
      </c>
      <c r="I2172" s="84">
        <v>44487.0</v>
      </c>
      <c r="J2172" s="65" t="b">
        <v>1</v>
      </c>
      <c r="K2172" s="65"/>
      <c r="L2172" s="85" t="b">
        <f>IF(VLOOKUP(C2172,Projetos!A:L,12,false)=TRUE,TRUE,FALSE)</f>
        <v>1</v>
      </c>
      <c r="M2172" s="74">
        <v>73.7079846079846</v>
      </c>
      <c r="N2172" s="74">
        <f t="shared" si="1"/>
        <v>122.846641</v>
      </c>
      <c r="O2172" s="74" t="b">
        <v>1</v>
      </c>
    </row>
    <row r="2173" hidden="1">
      <c r="A2173" s="82"/>
      <c r="B2173" s="65" t="s">
        <v>495</v>
      </c>
      <c r="C2173" s="65" t="s">
        <v>108</v>
      </c>
      <c r="D2173" s="65" t="str">
        <f>vlookup(C2173,'Classificação p pessoal'!F:G,2,false)</f>
        <v>NP</v>
      </c>
      <c r="E2173" s="65" t="s">
        <v>1370</v>
      </c>
      <c r="F2173" s="83">
        <v>0.4583333333333333</v>
      </c>
      <c r="G2173" s="83">
        <v>0.5625</v>
      </c>
      <c r="H2173" s="83">
        <v>0.10416666666666667</v>
      </c>
      <c r="I2173" s="84">
        <v>44487.0</v>
      </c>
      <c r="J2173" s="65" t="b">
        <v>1</v>
      </c>
      <c r="K2173" s="65"/>
      <c r="L2173" s="85" t="b">
        <f>IF(VLOOKUP(C2173,Projetos!A:L,12,false)=TRUE,TRUE,FALSE)</f>
        <v>1</v>
      </c>
      <c r="M2173" s="74">
        <v>73.7079846079846</v>
      </c>
      <c r="N2173" s="74">
        <f t="shared" si="1"/>
        <v>184.2699615</v>
      </c>
      <c r="O2173" s="74" t="b">
        <v>1</v>
      </c>
    </row>
    <row r="2174" hidden="1">
      <c r="A2174" s="82"/>
      <c r="B2174" s="65" t="s">
        <v>495</v>
      </c>
      <c r="C2174" s="65" t="s">
        <v>108</v>
      </c>
      <c r="D2174" s="65" t="str">
        <f>vlookup(C2174,'Classificação p pessoal'!F:G,2,false)</f>
        <v>NP</v>
      </c>
      <c r="E2174" s="65" t="s">
        <v>853</v>
      </c>
      <c r="F2174" s="83">
        <v>0.6041666666666666</v>
      </c>
      <c r="G2174" s="83">
        <v>0.6458333333333334</v>
      </c>
      <c r="H2174" s="83">
        <v>0.041666666666666664</v>
      </c>
      <c r="I2174" s="84">
        <v>44487.0</v>
      </c>
      <c r="J2174" s="65" t="b">
        <v>1</v>
      </c>
      <c r="K2174" s="65"/>
      <c r="L2174" s="85" t="b">
        <f>IF(VLOOKUP(C2174,Projetos!A:L,12,false)=TRUE,TRUE,FALSE)</f>
        <v>1</v>
      </c>
      <c r="M2174" s="74">
        <v>73.7079846079846</v>
      </c>
      <c r="N2174" s="74">
        <f t="shared" si="1"/>
        <v>73.70798461</v>
      </c>
      <c r="O2174" s="74" t="b">
        <v>1</v>
      </c>
    </row>
    <row r="2175" hidden="1">
      <c r="A2175" s="82"/>
      <c r="B2175" s="65" t="s">
        <v>495</v>
      </c>
      <c r="C2175" s="65" t="s">
        <v>92</v>
      </c>
      <c r="D2175" s="65" t="str">
        <f>vlookup(C2175,'Classificação p pessoal'!F:G,2,false)</f>
        <v/>
      </c>
      <c r="E2175" s="65" t="s">
        <v>1371</v>
      </c>
      <c r="F2175" s="83">
        <v>0.65625</v>
      </c>
      <c r="G2175" s="83">
        <v>0.6944444444444444</v>
      </c>
      <c r="H2175" s="83">
        <v>0.03819444444444445</v>
      </c>
      <c r="I2175" s="84">
        <v>44487.0</v>
      </c>
      <c r="J2175" s="65" t="b">
        <v>1</v>
      </c>
      <c r="K2175" s="65"/>
      <c r="L2175" s="85" t="b">
        <f>IF(VLOOKUP(C2175,Projetos!A:L,12,false)=TRUE,TRUE,FALSE)</f>
        <v>1</v>
      </c>
      <c r="M2175" s="74">
        <v>73.7079846079846</v>
      </c>
      <c r="N2175" s="74">
        <f t="shared" si="1"/>
        <v>67.56565256</v>
      </c>
      <c r="O2175" s="74" t="b">
        <v>1</v>
      </c>
    </row>
    <row r="2176" hidden="1">
      <c r="A2176" s="82"/>
      <c r="B2176" s="65" t="s">
        <v>495</v>
      </c>
      <c r="C2176" s="65" t="s">
        <v>92</v>
      </c>
      <c r="D2176" s="65" t="str">
        <f>vlookup(C2176,'Classificação p pessoal'!F:G,2,false)</f>
        <v/>
      </c>
      <c r="E2176" s="65" t="s">
        <v>837</v>
      </c>
      <c r="F2176" s="83">
        <v>0.7125</v>
      </c>
      <c r="G2176" s="83">
        <v>0.7604166666666666</v>
      </c>
      <c r="H2176" s="83">
        <v>0.04791666666666667</v>
      </c>
      <c r="I2176" s="84">
        <v>44487.0</v>
      </c>
      <c r="J2176" s="65" t="b">
        <v>1</v>
      </c>
      <c r="K2176" s="65"/>
      <c r="L2176" s="85" t="b">
        <f>IF(VLOOKUP(C2176,Projetos!A:L,12,false)=TRUE,TRUE,FALSE)</f>
        <v>1</v>
      </c>
      <c r="M2176" s="74">
        <v>73.7079846079846</v>
      </c>
      <c r="N2176" s="74">
        <f t="shared" si="1"/>
        <v>84.7641823</v>
      </c>
      <c r="O2176" s="74" t="b">
        <v>1</v>
      </c>
    </row>
    <row r="2177" hidden="1">
      <c r="A2177" s="82"/>
      <c r="B2177" s="65" t="s">
        <v>495</v>
      </c>
      <c r="C2177" s="65" t="s">
        <v>84</v>
      </c>
      <c r="D2177" s="65"/>
      <c r="E2177" s="65" t="s">
        <v>1372</v>
      </c>
      <c r="F2177" s="83">
        <v>0.3263888888888889</v>
      </c>
      <c r="G2177" s="83">
        <v>0.3541666666666667</v>
      </c>
      <c r="H2177" s="83">
        <v>0.027777777777777776</v>
      </c>
      <c r="I2177" s="84">
        <v>44488.0</v>
      </c>
      <c r="J2177" s="65" t="b">
        <v>0</v>
      </c>
      <c r="K2177" s="65" t="s">
        <v>150</v>
      </c>
      <c r="L2177" s="85" t="b">
        <f>IF(VLOOKUP(C2177,Projetos!A:L,12,false)=TRUE,TRUE,FALSE)</f>
        <v>0</v>
      </c>
      <c r="M2177" s="74">
        <v>73.7079846079846</v>
      </c>
      <c r="N2177" s="74">
        <f t="shared" si="1"/>
        <v>0</v>
      </c>
      <c r="O2177" s="74" t="b">
        <v>0</v>
      </c>
    </row>
    <row r="2178" hidden="1">
      <c r="A2178" s="82"/>
      <c r="B2178" s="65" t="s">
        <v>495</v>
      </c>
      <c r="C2178" s="65" t="s">
        <v>92</v>
      </c>
      <c r="D2178" s="65" t="str">
        <f>vlookup(C2178,'Classificação p pessoal'!F:G,2,false)</f>
        <v/>
      </c>
      <c r="E2178" s="65" t="s">
        <v>929</v>
      </c>
      <c r="F2178" s="83">
        <v>0.3541666666666667</v>
      </c>
      <c r="G2178" s="83">
        <v>0.3715277777777778</v>
      </c>
      <c r="H2178" s="83">
        <v>0.017361111111111112</v>
      </c>
      <c r="I2178" s="84">
        <v>44488.0</v>
      </c>
      <c r="J2178" s="65" t="b">
        <v>1</v>
      </c>
      <c r="K2178" s="65"/>
      <c r="L2178" s="85" t="b">
        <f>IF(VLOOKUP(C2178,Projetos!A:L,12,false)=TRUE,TRUE,FALSE)</f>
        <v>1</v>
      </c>
      <c r="M2178" s="74">
        <v>73.7079846079846</v>
      </c>
      <c r="N2178" s="74">
        <f t="shared" si="1"/>
        <v>30.71166025</v>
      </c>
      <c r="O2178" s="74" t="b">
        <v>1</v>
      </c>
    </row>
    <row r="2179" hidden="1">
      <c r="A2179" s="82"/>
      <c r="B2179" s="65" t="s">
        <v>495</v>
      </c>
      <c r="C2179" s="65" t="s">
        <v>92</v>
      </c>
      <c r="D2179" s="65"/>
      <c r="E2179" s="65" t="s">
        <v>1373</v>
      </c>
      <c r="F2179" s="83">
        <v>0.3715277777777778</v>
      </c>
      <c r="G2179" s="83">
        <v>0.4583333333333333</v>
      </c>
      <c r="H2179" s="83">
        <v>0.08680555555555555</v>
      </c>
      <c r="I2179" s="84">
        <v>44488.0</v>
      </c>
      <c r="J2179" s="65" t="b">
        <v>0</v>
      </c>
      <c r="K2179" s="65" t="s">
        <v>150</v>
      </c>
      <c r="L2179" s="85" t="b">
        <f>IF(VLOOKUP(C2179,Projetos!A:L,12,false)=TRUE,TRUE,FALSE)</f>
        <v>1</v>
      </c>
      <c r="M2179" s="74">
        <v>73.7079846079846</v>
      </c>
      <c r="N2179" s="74">
        <f t="shared" si="1"/>
        <v>0</v>
      </c>
      <c r="O2179" s="74" t="b">
        <v>1</v>
      </c>
    </row>
    <row r="2180" hidden="1">
      <c r="A2180" s="82"/>
      <c r="B2180" s="65" t="s">
        <v>495</v>
      </c>
      <c r="C2180" s="65" t="s">
        <v>92</v>
      </c>
      <c r="D2180" s="65" t="str">
        <f>vlookup(C2180,'Classificação p pessoal'!F:G,2,false)</f>
        <v/>
      </c>
      <c r="E2180" s="65" t="s">
        <v>1374</v>
      </c>
      <c r="F2180" s="83">
        <v>0.4583333333333333</v>
      </c>
      <c r="G2180" s="83">
        <v>0.5729166666666666</v>
      </c>
      <c r="H2180" s="83">
        <v>0.11458333333333333</v>
      </c>
      <c r="I2180" s="84">
        <v>44488.0</v>
      </c>
      <c r="J2180" s="65" t="b">
        <v>1</v>
      </c>
      <c r="K2180" s="65"/>
      <c r="L2180" s="85" t="b">
        <f>IF(VLOOKUP(C2180,Projetos!A:L,12,false)=TRUE,TRUE,FALSE)</f>
        <v>1</v>
      </c>
      <c r="M2180" s="74">
        <v>73.7079846079846</v>
      </c>
      <c r="N2180" s="74">
        <f t="shared" si="1"/>
        <v>202.6969577</v>
      </c>
      <c r="O2180" s="74" t="b">
        <v>1</v>
      </c>
    </row>
    <row r="2181" hidden="1">
      <c r="A2181" s="82"/>
      <c r="B2181" s="65" t="s">
        <v>495</v>
      </c>
      <c r="C2181" s="65" t="s">
        <v>92</v>
      </c>
      <c r="D2181" s="65" t="str">
        <f>vlookup(C2181,'Classificação p pessoal'!F:G,2,false)</f>
        <v/>
      </c>
      <c r="E2181" s="65" t="s">
        <v>1375</v>
      </c>
      <c r="F2181" s="83">
        <v>0.6180555555555556</v>
      </c>
      <c r="G2181" s="83">
        <v>0.6458333333333334</v>
      </c>
      <c r="H2181" s="83">
        <v>0.027777777777777776</v>
      </c>
      <c r="I2181" s="84">
        <v>44488.0</v>
      </c>
      <c r="J2181" s="65" t="b">
        <v>1</v>
      </c>
      <c r="K2181" s="65"/>
      <c r="L2181" s="85" t="b">
        <f>IF(VLOOKUP(C2181,Projetos!A:L,12,false)=TRUE,TRUE,FALSE)</f>
        <v>1</v>
      </c>
      <c r="M2181" s="74">
        <v>73.7079846079846</v>
      </c>
      <c r="N2181" s="74">
        <f t="shared" si="1"/>
        <v>49.13865641</v>
      </c>
      <c r="O2181" s="74" t="b">
        <v>1</v>
      </c>
    </row>
    <row r="2182" hidden="1">
      <c r="A2182" s="82"/>
      <c r="B2182" s="65" t="s">
        <v>495</v>
      </c>
      <c r="C2182" s="65" t="s">
        <v>92</v>
      </c>
      <c r="D2182" s="65" t="str">
        <f>vlookup(C2182,'Classificação p pessoal'!F:G,2,false)</f>
        <v/>
      </c>
      <c r="E2182" s="65" t="s">
        <v>1297</v>
      </c>
      <c r="F2182" s="83">
        <v>0.6458333333333334</v>
      </c>
      <c r="G2182" s="83">
        <v>0.7013888888888888</v>
      </c>
      <c r="H2182" s="83">
        <v>0.05555555555555555</v>
      </c>
      <c r="I2182" s="84">
        <v>44488.0</v>
      </c>
      <c r="J2182" s="65" t="b">
        <v>1</v>
      </c>
      <c r="K2182" s="65"/>
      <c r="L2182" s="85" t="b">
        <f>IF(VLOOKUP(C2182,Projetos!A:L,12,false)=TRUE,TRUE,FALSE)</f>
        <v>1</v>
      </c>
      <c r="M2182" s="74">
        <v>73.7079846079846</v>
      </c>
      <c r="N2182" s="74">
        <f t="shared" si="1"/>
        <v>98.27731281</v>
      </c>
      <c r="O2182" s="74" t="b">
        <v>1</v>
      </c>
    </row>
    <row r="2183" hidden="1">
      <c r="A2183" s="82"/>
      <c r="B2183" s="65" t="s">
        <v>495</v>
      </c>
      <c r="C2183" s="65" t="s">
        <v>108</v>
      </c>
      <c r="D2183" s="65"/>
      <c r="E2183" s="65" t="s">
        <v>1376</v>
      </c>
      <c r="F2183" s="83">
        <v>0.3541666666666667</v>
      </c>
      <c r="G2183" s="83">
        <v>0.4791666666666667</v>
      </c>
      <c r="H2183" s="83">
        <v>0.125</v>
      </c>
      <c r="I2183" s="84">
        <v>44440.0</v>
      </c>
      <c r="J2183" s="65" t="b">
        <v>0</v>
      </c>
      <c r="K2183" s="65"/>
      <c r="L2183" s="85" t="b">
        <f>IF(VLOOKUP(C2183,Projetos!A:L,12,false)=TRUE,TRUE,FALSE)</f>
        <v>1</v>
      </c>
      <c r="M2183" s="74">
        <v>73.7079846079846</v>
      </c>
      <c r="N2183" s="74">
        <f t="shared" si="1"/>
        <v>0</v>
      </c>
      <c r="O2183" s="74" t="b">
        <v>1</v>
      </c>
    </row>
    <row r="2184" hidden="1">
      <c r="A2184" s="82"/>
      <c r="B2184" s="65" t="s">
        <v>495</v>
      </c>
      <c r="C2184" s="65" t="s">
        <v>92</v>
      </c>
      <c r="D2184" s="65" t="str">
        <f>vlookup(C2184,'Classificação p pessoal'!F:G,2,false)</f>
        <v/>
      </c>
      <c r="E2184" s="65" t="s">
        <v>1377</v>
      </c>
      <c r="F2184" s="83">
        <v>0.3298611111111111</v>
      </c>
      <c r="G2184" s="83">
        <v>0.3541666666666667</v>
      </c>
      <c r="H2184" s="83">
        <v>0.024305555555555556</v>
      </c>
      <c r="I2184" s="84">
        <v>44489.0</v>
      </c>
      <c r="J2184" s="65" t="b">
        <v>1</v>
      </c>
      <c r="K2184" s="65"/>
      <c r="L2184" s="85" t="b">
        <f>IF(VLOOKUP(C2184,Projetos!A:L,12,false)=TRUE,TRUE,FALSE)</f>
        <v>1</v>
      </c>
      <c r="M2184" s="74">
        <v>73.7079846079846</v>
      </c>
      <c r="N2184" s="74">
        <f t="shared" si="1"/>
        <v>42.99632435</v>
      </c>
      <c r="O2184" s="74" t="b">
        <v>1</v>
      </c>
    </row>
    <row r="2185" hidden="1">
      <c r="A2185" s="82"/>
      <c r="B2185" s="65" t="s">
        <v>495</v>
      </c>
      <c r="C2185" s="65" t="s">
        <v>92</v>
      </c>
      <c r="D2185" s="65" t="str">
        <f>vlookup(C2185,'Classificação p pessoal'!F:G,2,false)</f>
        <v/>
      </c>
      <c r="E2185" s="65" t="s">
        <v>929</v>
      </c>
      <c r="F2185" s="83">
        <v>0.3541666666666667</v>
      </c>
      <c r="G2185" s="83">
        <v>0.375</v>
      </c>
      <c r="H2185" s="83">
        <v>0.020833333333333332</v>
      </c>
      <c r="I2185" s="84">
        <v>44489.0</v>
      </c>
      <c r="J2185" s="65" t="b">
        <v>1</v>
      </c>
      <c r="K2185" s="65"/>
      <c r="L2185" s="85" t="b">
        <f>IF(VLOOKUP(C2185,Projetos!A:L,12,false)=TRUE,TRUE,FALSE)</f>
        <v>1</v>
      </c>
      <c r="M2185" s="74">
        <v>73.7079846079846</v>
      </c>
      <c r="N2185" s="74">
        <f t="shared" si="1"/>
        <v>36.8539923</v>
      </c>
      <c r="O2185" s="74" t="b">
        <v>1</v>
      </c>
    </row>
    <row r="2186" hidden="1">
      <c r="A2186" s="82"/>
      <c r="B2186" s="65" t="s">
        <v>495</v>
      </c>
      <c r="C2186" s="65" t="s">
        <v>108</v>
      </c>
      <c r="D2186" s="65" t="str">
        <f>vlookup(C2186,'Classificação p pessoal'!F:G,2,false)</f>
        <v>NP</v>
      </c>
      <c r="E2186" s="65" t="s">
        <v>1378</v>
      </c>
      <c r="F2186" s="83">
        <v>0.375</v>
      </c>
      <c r="G2186" s="83">
        <v>0.4166666666666667</v>
      </c>
      <c r="H2186" s="83">
        <v>0.041666666666666664</v>
      </c>
      <c r="I2186" s="84">
        <v>44489.0</v>
      </c>
      <c r="J2186" s="65" t="b">
        <v>1</v>
      </c>
      <c r="K2186" s="65"/>
      <c r="L2186" s="85" t="b">
        <f>IF(VLOOKUP(C2186,Projetos!A:L,12,false)=TRUE,TRUE,FALSE)</f>
        <v>1</v>
      </c>
      <c r="M2186" s="74">
        <v>73.7079846079846</v>
      </c>
      <c r="N2186" s="74">
        <f t="shared" si="1"/>
        <v>73.70798461</v>
      </c>
      <c r="O2186" s="74" t="b">
        <v>1</v>
      </c>
    </row>
    <row r="2187" hidden="1">
      <c r="A2187" s="82"/>
      <c r="B2187" s="65" t="s">
        <v>495</v>
      </c>
      <c r="C2187" s="65" t="s">
        <v>92</v>
      </c>
      <c r="D2187" s="65" t="str">
        <f>vlookup(C2187,'Classificação p pessoal'!F:G,2,false)</f>
        <v/>
      </c>
      <c r="E2187" s="65" t="s">
        <v>1375</v>
      </c>
      <c r="F2187" s="83">
        <v>0.4166666666666667</v>
      </c>
      <c r="G2187" s="83">
        <v>0.4791666666666667</v>
      </c>
      <c r="H2187" s="83">
        <v>0.0625</v>
      </c>
      <c r="I2187" s="84">
        <v>44489.0</v>
      </c>
      <c r="J2187" s="65" t="b">
        <v>1</v>
      </c>
      <c r="K2187" s="65"/>
      <c r="L2187" s="85" t="b">
        <f>IF(VLOOKUP(C2187,Projetos!A:L,12,false)=TRUE,TRUE,FALSE)</f>
        <v>1</v>
      </c>
      <c r="M2187" s="74">
        <v>73.7079846079846</v>
      </c>
      <c r="N2187" s="74">
        <f t="shared" si="1"/>
        <v>110.5619769</v>
      </c>
      <c r="O2187" s="74" t="b">
        <v>1</v>
      </c>
    </row>
    <row r="2188" hidden="1">
      <c r="A2188" s="82"/>
      <c r="B2188" s="65" t="s">
        <v>495</v>
      </c>
      <c r="C2188" s="65" t="s">
        <v>92</v>
      </c>
      <c r="D2188" s="65" t="str">
        <f>vlookup(C2188,'Classificação p pessoal'!F:G,2,false)</f>
        <v/>
      </c>
      <c r="E2188" s="65" t="s">
        <v>1379</v>
      </c>
      <c r="F2188" s="83">
        <v>0.4930555555555556</v>
      </c>
      <c r="G2188" s="83">
        <v>0.5729166666666666</v>
      </c>
      <c r="H2188" s="83">
        <v>0.0798611111111111</v>
      </c>
      <c r="I2188" s="84">
        <v>44489.0</v>
      </c>
      <c r="J2188" s="65" t="b">
        <v>1</v>
      </c>
      <c r="K2188" s="65"/>
      <c r="L2188" s="85" t="b">
        <f>IF(VLOOKUP(C2188,Projetos!A:L,12,false)=TRUE,TRUE,FALSE)</f>
        <v>1</v>
      </c>
      <c r="M2188" s="74">
        <v>73.7079846079846</v>
      </c>
      <c r="N2188" s="74">
        <f t="shared" si="1"/>
        <v>141.2736372</v>
      </c>
      <c r="O2188" s="74" t="b">
        <v>1</v>
      </c>
    </row>
    <row r="2189" hidden="1">
      <c r="A2189" s="82"/>
      <c r="B2189" s="65" t="s">
        <v>495</v>
      </c>
      <c r="C2189" s="65" t="s">
        <v>92</v>
      </c>
      <c r="D2189" s="65" t="str">
        <f>vlookup(C2189,'Classificação p pessoal'!F:G,2,false)</f>
        <v/>
      </c>
      <c r="E2189" s="65" t="s">
        <v>1380</v>
      </c>
      <c r="F2189" s="83">
        <v>0.6145833333333334</v>
      </c>
      <c r="G2189" s="83">
        <v>0.65625</v>
      </c>
      <c r="H2189" s="83">
        <v>0.041666666666666664</v>
      </c>
      <c r="I2189" s="84">
        <v>44489.0</v>
      </c>
      <c r="J2189" s="65" t="b">
        <v>1</v>
      </c>
      <c r="K2189" s="65"/>
      <c r="L2189" s="85" t="b">
        <f>IF(VLOOKUP(C2189,Projetos!A:L,12,false)=TRUE,TRUE,FALSE)</f>
        <v>1</v>
      </c>
      <c r="M2189" s="74">
        <v>73.7079846079846</v>
      </c>
      <c r="N2189" s="74">
        <f t="shared" si="1"/>
        <v>73.70798461</v>
      </c>
      <c r="O2189" s="74" t="b">
        <v>1</v>
      </c>
    </row>
    <row r="2190" hidden="1">
      <c r="A2190" s="82"/>
      <c r="B2190" s="65" t="s">
        <v>495</v>
      </c>
      <c r="C2190" s="65" t="s">
        <v>92</v>
      </c>
      <c r="D2190" s="65" t="str">
        <f>vlookup(C2190,'Classificação p pessoal'!F:G,2,false)</f>
        <v/>
      </c>
      <c r="E2190" s="65" t="s">
        <v>1381</v>
      </c>
      <c r="F2190" s="83">
        <v>0.65625</v>
      </c>
      <c r="G2190" s="83">
        <v>0.6875</v>
      </c>
      <c r="H2190" s="83">
        <v>0.03125</v>
      </c>
      <c r="I2190" s="84">
        <v>44489.0</v>
      </c>
      <c r="J2190" s="65" t="b">
        <v>1</v>
      </c>
      <c r="K2190" s="65"/>
      <c r="L2190" s="85" t="b">
        <f>IF(VLOOKUP(C2190,Projetos!A:L,12,false)=TRUE,TRUE,FALSE)</f>
        <v>1</v>
      </c>
      <c r="M2190" s="74">
        <v>73.7079846079846</v>
      </c>
      <c r="N2190" s="74">
        <f t="shared" si="1"/>
        <v>55.28098846</v>
      </c>
      <c r="O2190" s="74" t="b">
        <v>1</v>
      </c>
    </row>
    <row r="2191" hidden="1">
      <c r="A2191" s="82"/>
      <c r="B2191" s="65" t="s">
        <v>495</v>
      </c>
      <c r="C2191" s="65" t="s">
        <v>92</v>
      </c>
      <c r="D2191" s="65" t="str">
        <f>vlookup(C2191,'Classificação p pessoal'!F:G,2,false)</f>
        <v/>
      </c>
      <c r="E2191" s="65" t="s">
        <v>1382</v>
      </c>
      <c r="F2191" s="83">
        <v>0.71875</v>
      </c>
      <c r="G2191" s="83">
        <v>0.75</v>
      </c>
      <c r="H2191" s="83">
        <v>0.03125</v>
      </c>
      <c r="I2191" s="84">
        <v>44489.0</v>
      </c>
      <c r="J2191" s="65" t="b">
        <v>1</v>
      </c>
      <c r="K2191" s="65"/>
      <c r="L2191" s="85" t="b">
        <f>IF(VLOOKUP(C2191,Projetos!A:L,12,false)=TRUE,TRUE,FALSE)</f>
        <v>1</v>
      </c>
      <c r="M2191" s="74">
        <v>73.7079846079846</v>
      </c>
      <c r="N2191" s="74">
        <f t="shared" si="1"/>
        <v>55.28098846</v>
      </c>
      <c r="O2191" s="74" t="b">
        <v>1</v>
      </c>
    </row>
    <row r="2192" hidden="1">
      <c r="A2192" s="82"/>
      <c r="B2192" s="65" t="s">
        <v>495</v>
      </c>
      <c r="C2192" s="65" t="s">
        <v>92</v>
      </c>
      <c r="D2192" s="65" t="str">
        <f>vlookup(C2192,'Classificação p pessoal'!F:G,2,false)</f>
        <v/>
      </c>
      <c r="E2192" s="65" t="s">
        <v>1382</v>
      </c>
      <c r="F2192" s="83">
        <v>0.3298611111111111</v>
      </c>
      <c r="G2192" s="83">
        <v>0.3680555555555556</v>
      </c>
      <c r="H2192" s="83">
        <v>0.03819444444444445</v>
      </c>
      <c r="I2192" s="84">
        <v>44490.0</v>
      </c>
      <c r="J2192" s="65" t="b">
        <v>1</v>
      </c>
      <c r="K2192" s="65"/>
      <c r="L2192" s="85" t="b">
        <f>IF(VLOOKUP(C2192,Projetos!A:L,12,false)=TRUE,TRUE,FALSE)</f>
        <v>1</v>
      </c>
      <c r="M2192" s="74">
        <v>73.7079846079846</v>
      </c>
      <c r="N2192" s="74">
        <f t="shared" si="1"/>
        <v>67.56565256</v>
      </c>
      <c r="O2192" s="74" t="b">
        <v>1</v>
      </c>
    </row>
    <row r="2193" hidden="1">
      <c r="A2193" s="82"/>
      <c r="B2193" s="65" t="s">
        <v>495</v>
      </c>
      <c r="C2193" s="65" t="s">
        <v>92</v>
      </c>
      <c r="D2193" s="65" t="str">
        <f>vlookup(C2193,'Classificação p pessoal'!F:G,2,false)</f>
        <v/>
      </c>
      <c r="E2193" s="65" t="s">
        <v>1383</v>
      </c>
      <c r="F2193" s="83">
        <v>0.3680555555555556</v>
      </c>
      <c r="G2193" s="83">
        <v>0.4166666666666667</v>
      </c>
      <c r="H2193" s="83">
        <v>0.04861111111111111</v>
      </c>
      <c r="I2193" s="84">
        <v>44490.0</v>
      </c>
      <c r="J2193" s="65" t="b">
        <v>1</v>
      </c>
      <c r="K2193" s="65"/>
      <c r="L2193" s="85" t="b">
        <f>IF(VLOOKUP(C2193,Projetos!A:L,12,false)=TRUE,TRUE,FALSE)</f>
        <v>1</v>
      </c>
      <c r="M2193" s="74">
        <v>73.7079846079846</v>
      </c>
      <c r="N2193" s="74">
        <f t="shared" si="1"/>
        <v>85.99264871</v>
      </c>
      <c r="O2193" s="74" t="b">
        <v>1</v>
      </c>
    </row>
    <row r="2194" hidden="1">
      <c r="A2194" s="82"/>
      <c r="B2194" s="65" t="s">
        <v>495</v>
      </c>
      <c r="C2194" s="65" t="s">
        <v>92</v>
      </c>
      <c r="D2194" s="65" t="str">
        <f>vlookup(C2194,'Classificação p pessoal'!F:G,2,false)</f>
        <v/>
      </c>
      <c r="E2194" s="65" t="s">
        <v>1384</v>
      </c>
      <c r="F2194" s="83">
        <v>0.4270833333333333</v>
      </c>
      <c r="G2194" s="83">
        <v>0.5208333333333334</v>
      </c>
      <c r="H2194" s="83">
        <v>0.09375</v>
      </c>
      <c r="I2194" s="84">
        <v>44490.0</v>
      </c>
      <c r="J2194" s="65" t="b">
        <v>1</v>
      </c>
      <c r="K2194" s="65"/>
      <c r="L2194" s="85" t="b">
        <f>IF(VLOOKUP(C2194,Projetos!A:L,12,false)=TRUE,TRUE,FALSE)</f>
        <v>1</v>
      </c>
      <c r="M2194" s="74">
        <v>73.7079846079846</v>
      </c>
      <c r="N2194" s="74">
        <f t="shared" si="1"/>
        <v>165.8429654</v>
      </c>
      <c r="O2194" s="74" t="b">
        <v>1</v>
      </c>
    </row>
    <row r="2195" hidden="1">
      <c r="A2195" s="82"/>
      <c r="B2195" s="65" t="s">
        <v>495</v>
      </c>
      <c r="C2195" s="65" t="s">
        <v>92</v>
      </c>
      <c r="D2195" s="65"/>
      <c r="E2195" s="65" t="s">
        <v>1385</v>
      </c>
      <c r="F2195" s="83">
        <v>0.5208333333333334</v>
      </c>
      <c r="G2195" s="83">
        <v>0.5694444444444444</v>
      </c>
      <c r="H2195" s="83">
        <v>0.04861111111111111</v>
      </c>
      <c r="I2195" s="84">
        <v>44490.0</v>
      </c>
      <c r="J2195" s="65" t="b">
        <v>0</v>
      </c>
      <c r="K2195" s="65" t="s">
        <v>150</v>
      </c>
      <c r="L2195" s="85" t="b">
        <f>IF(VLOOKUP(C2195,Projetos!A:L,12,false)=TRUE,TRUE,FALSE)</f>
        <v>1</v>
      </c>
      <c r="M2195" s="74">
        <v>73.7079846079846</v>
      </c>
      <c r="N2195" s="74">
        <f t="shared" si="1"/>
        <v>0</v>
      </c>
      <c r="O2195" s="74" t="b">
        <v>1</v>
      </c>
    </row>
    <row r="2196" hidden="1">
      <c r="A2196" s="82"/>
      <c r="B2196" s="65" t="s">
        <v>495</v>
      </c>
      <c r="C2196" s="65" t="s">
        <v>92</v>
      </c>
      <c r="D2196" s="65" t="str">
        <f>vlookup(C2196,'Classificação p pessoal'!F:G,2,false)</f>
        <v/>
      </c>
      <c r="E2196" s="65" t="s">
        <v>832</v>
      </c>
      <c r="F2196" s="83">
        <v>0.6111111111111112</v>
      </c>
      <c r="G2196" s="83">
        <v>0.6979166666666666</v>
      </c>
      <c r="H2196" s="83">
        <v>0.08680555555555555</v>
      </c>
      <c r="I2196" s="84">
        <v>44490.0</v>
      </c>
      <c r="J2196" s="65" t="b">
        <v>1</v>
      </c>
      <c r="K2196" s="65"/>
      <c r="L2196" s="85" t="b">
        <f>IF(VLOOKUP(C2196,Projetos!A:L,12,false)=TRUE,TRUE,FALSE)</f>
        <v>1</v>
      </c>
      <c r="M2196" s="74">
        <v>73.7079846079846</v>
      </c>
      <c r="N2196" s="74">
        <f t="shared" si="1"/>
        <v>153.5583013</v>
      </c>
      <c r="O2196" s="74" t="b">
        <v>1</v>
      </c>
    </row>
    <row r="2197" hidden="1">
      <c r="A2197" s="82"/>
      <c r="B2197" s="65" t="s">
        <v>495</v>
      </c>
      <c r="C2197" s="65" t="s">
        <v>92</v>
      </c>
      <c r="D2197" s="65" t="str">
        <f>vlookup(C2197,'Classificação p pessoal'!F:G,2,false)</f>
        <v/>
      </c>
      <c r="E2197" s="65" t="s">
        <v>1386</v>
      </c>
      <c r="F2197" s="83">
        <v>0.71875</v>
      </c>
      <c r="G2197" s="83">
        <v>0.75</v>
      </c>
      <c r="H2197" s="83">
        <v>0.03125</v>
      </c>
      <c r="I2197" s="84">
        <v>44490.0</v>
      </c>
      <c r="J2197" s="65" t="b">
        <v>1</v>
      </c>
      <c r="K2197" s="65"/>
      <c r="L2197" s="85" t="b">
        <f>IF(VLOOKUP(C2197,Projetos!A:L,12,false)=TRUE,TRUE,FALSE)</f>
        <v>1</v>
      </c>
      <c r="M2197" s="74">
        <v>73.7079846079846</v>
      </c>
      <c r="N2197" s="74">
        <f t="shared" si="1"/>
        <v>55.28098846</v>
      </c>
      <c r="O2197" s="74" t="b">
        <v>1</v>
      </c>
    </row>
    <row r="2198" hidden="1">
      <c r="A2198" s="82"/>
      <c r="B2198" s="65" t="s">
        <v>495</v>
      </c>
      <c r="C2198" s="65" t="s">
        <v>92</v>
      </c>
      <c r="D2198" s="65" t="str">
        <f>vlookup(C2198,'Classificação p pessoal'!F:G,2,false)</f>
        <v/>
      </c>
      <c r="E2198" s="65" t="s">
        <v>1387</v>
      </c>
      <c r="F2198" s="83">
        <v>0.3298611111111111</v>
      </c>
      <c r="G2198" s="83">
        <v>0.375</v>
      </c>
      <c r="H2198" s="83">
        <v>0.04513888888888889</v>
      </c>
      <c r="I2198" s="84">
        <v>44491.0</v>
      </c>
      <c r="J2198" s="65" t="b">
        <v>1</v>
      </c>
      <c r="K2198" s="65"/>
      <c r="L2198" s="85" t="b">
        <f>IF(VLOOKUP(C2198,Projetos!A:L,12,false)=TRUE,TRUE,FALSE)</f>
        <v>1</v>
      </c>
      <c r="M2198" s="74">
        <v>73.7079846079846</v>
      </c>
      <c r="N2198" s="74">
        <f t="shared" si="1"/>
        <v>79.85031666</v>
      </c>
      <c r="O2198" s="74" t="b">
        <v>1</v>
      </c>
    </row>
    <row r="2199" hidden="1">
      <c r="A2199" s="82"/>
      <c r="B2199" s="65" t="s">
        <v>495</v>
      </c>
      <c r="C2199" s="65" t="s">
        <v>92</v>
      </c>
      <c r="D2199" s="65" t="str">
        <f>vlookup(C2199,'Classificação p pessoal'!F:G,2,false)</f>
        <v/>
      </c>
      <c r="E2199" s="65" t="s">
        <v>1388</v>
      </c>
      <c r="F2199" s="83">
        <v>0.375</v>
      </c>
      <c r="G2199" s="83">
        <v>0.4444444444444444</v>
      </c>
      <c r="H2199" s="83">
        <v>0.06944444444444445</v>
      </c>
      <c r="I2199" s="84">
        <v>44491.0</v>
      </c>
      <c r="J2199" s="65" t="b">
        <v>1</v>
      </c>
      <c r="K2199" s="65"/>
      <c r="L2199" s="85" t="b">
        <f>IF(VLOOKUP(C2199,Projetos!A:L,12,false)=TRUE,TRUE,FALSE)</f>
        <v>1</v>
      </c>
      <c r="M2199" s="74">
        <v>73.7079846079846</v>
      </c>
      <c r="N2199" s="74">
        <f t="shared" si="1"/>
        <v>122.846641</v>
      </c>
      <c r="O2199" s="74" t="b">
        <v>1</v>
      </c>
    </row>
    <row r="2200" hidden="1">
      <c r="A2200" s="82"/>
      <c r="B2200" s="65" t="s">
        <v>495</v>
      </c>
      <c r="C2200" s="65" t="s">
        <v>92</v>
      </c>
      <c r="D2200" s="65" t="str">
        <f>vlookup(C2200,'Classificação p pessoal'!F:G,2,false)</f>
        <v/>
      </c>
      <c r="E2200" s="65" t="s">
        <v>1389</v>
      </c>
      <c r="F2200" s="83">
        <v>0.4444444444444444</v>
      </c>
      <c r="G2200" s="83">
        <v>0.5416666666666666</v>
      </c>
      <c r="H2200" s="83">
        <v>0.09722222222222222</v>
      </c>
      <c r="I2200" s="84">
        <v>44491.0</v>
      </c>
      <c r="J2200" s="65" t="b">
        <v>1</v>
      </c>
      <c r="K2200" s="65"/>
      <c r="L2200" s="85" t="b">
        <f>IF(VLOOKUP(C2200,Projetos!A:L,12,false)=TRUE,TRUE,FALSE)</f>
        <v>1</v>
      </c>
      <c r="M2200" s="74">
        <v>73.7079846079846</v>
      </c>
      <c r="N2200" s="74">
        <f t="shared" si="1"/>
        <v>171.9852974</v>
      </c>
      <c r="O2200" s="74" t="b">
        <v>1</v>
      </c>
    </row>
    <row r="2201" hidden="1">
      <c r="A2201" s="82"/>
      <c r="B2201" s="65" t="s">
        <v>495</v>
      </c>
      <c r="C2201" s="65" t="s">
        <v>92</v>
      </c>
      <c r="D2201" s="65" t="str">
        <f>vlookup(C2201,'Classificação p pessoal'!F:G,2,false)</f>
        <v/>
      </c>
      <c r="E2201" s="65" t="s">
        <v>1390</v>
      </c>
      <c r="F2201" s="83">
        <v>0.625</v>
      </c>
      <c r="G2201" s="83">
        <v>0.6979166666666666</v>
      </c>
      <c r="H2201" s="83">
        <v>0.07291666666666667</v>
      </c>
      <c r="I2201" s="84">
        <v>44491.0</v>
      </c>
      <c r="J2201" s="65" t="b">
        <v>1</v>
      </c>
      <c r="K2201" s="65"/>
      <c r="L2201" s="85" t="b">
        <f>IF(VLOOKUP(C2201,Projetos!A:L,12,false)=TRUE,TRUE,FALSE)</f>
        <v>1</v>
      </c>
      <c r="M2201" s="74">
        <v>73.7079846079846</v>
      </c>
      <c r="N2201" s="74">
        <f t="shared" si="1"/>
        <v>128.9889731</v>
      </c>
      <c r="O2201" s="74" t="b">
        <v>1</v>
      </c>
    </row>
    <row r="2202" hidden="1">
      <c r="A2202" s="82"/>
      <c r="B2202" s="65" t="s">
        <v>495</v>
      </c>
      <c r="C2202" s="65" t="s">
        <v>84</v>
      </c>
      <c r="D2202" s="65"/>
      <c r="E2202" s="65" t="s">
        <v>1362</v>
      </c>
      <c r="F2202" s="83">
        <v>0.7222222222222222</v>
      </c>
      <c r="G2202" s="83">
        <v>0.7708333333333334</v>
      </c>
      <c r="H2202" s="83">
        <v>0.04861111111111111</v>
      </c>
      <c r="I2202" s="84">
        <v>44491.0</v>
      </c>
      <c r="J2202" s="65" t="b">
        <v>0</v>
      </c>
      <c r="K2202" s="65"/>
      <c r="L2202" s="85" t="b">
        <f>IF(VLOOKUP(C2202,Projetos!A:L,12,false)=TRUE,TRUE,FALSE)</f>
        <v>0</v>
      </c>
      <c r="M2202" s="74">
        <v>73.7079846079846</v>
      </c>
      <c r="N2202" s="74">
        <f t="shared" si="1"/>
        <v>0</v>
      </c>
      <c r="O2202" s="74" t="b">
        <v>0</v>
      </c>
    </row>
    <row r="2203" hidden="1">
      <c r="A2203" s="82"/>
      <c r="B2203" s="65" t="s">
        <v>495</v>
      </c>
      <c r="C2203" s="65" t="s">
        <v>92</v>
      </c>
      <c r="D2203" s="65" t="str">
        <f>vlookup(C2203,'Classificação p pessoal'!F:G,2,false)</f>
        <v/>
      </c>
      <c r="E2203" s="65" t="s">
        <v>1391</v>
      </c>
      <c r="F2203" s="83">
        <v>0.3298611111111111</v>
      </c>
      <c r="G2203" s="83">
        <v>0.3958333333333333</v>
      </c>
      <c r="H2203" s="83">
        <v>0.06597222222222222</v>
      </c>
      <c r="I2203" s="84">
        <v>44494.0</v>
      </c>
      <c r="J2203" s="65" t="b">
        <v>1</v>
      </c>
      <c r="K2203" s="65"/>
      <c r="L2203" s="85" t="b">
        <f>IF(VLOOKUP(C2203,Projetos!A:L,12,false)=TRUE,TRUE,FALSE)</f>
        <v>1</v>
      </c>
      <c r="M2203" s="74">
        <v>73.7079846079846</v>
      </c>
      <c r="N2203" s="74">
        <f t="shared" si="1"/>
        <v>116.704309</v>
      </c>
      <c r="O2203" s="74" t="b">
        <v>1</v>
      </c>
    </row>
    <row r="2204" hidden="1">
      <c r="A2204" s="82"/>
      <c r="B2204" s="65" t="s">
        <v>495</v>
      </c>
      <c r="C2204" s="65" t="s">
        <v>130</v>
      </c>
      <c r="D2204" s="65" t="str">
        <f>vlookup(C2204,'Classificação p pessoal'!F:G,2,false)</f>
        <v>NP</v>
      </c>
      <c r="E2204" s="65" t="s">
        <v>1392</v>
      </c>
      <c r="F2204" s="83">
        <v>0.3958333333333333</v>
      </c>
      <c r="G2204" s="83">
        <v>0.4375</v>
      </c>
      <c r="H2204" s="83">
        <v>0.041666666666666664</v>
      </c>
      <c r="I2204" s="84">
        <v>44494.0</v>
      </c>
      <c r="J2204" s="65" t="b">
        <v>1</v>
      </c>
      <c r="K2204" s="65"/>
      <c r="L2204" s="85" t="b">
        <f>IF(VLOOKUP(C2204,Projetos!A:L,12,false)=TRUE,TRUE,FALSE)</f>
        <v>1</v>
      </c>
      <c r="M2204" s="74">
        <v>73.7079846079846</v>
      </c>
      <c r="N2204" s="74">
        <f t="shared" si="1"/>
        <v>73.70798461</v>
      </c>
      <c r="O2204" s="74" t="b">
        <v>1</v>
      </c>
    </row>
    <row r="2205" hidden="1">
      <c r="A2205" s="82"/>
      <c r="B2205" s="65" t="s">
        <v>411</v>
      </c>
      <c r="C2205" s="65" t="s">
        <v>117</v>
      </c>
      <c r="D2205" s="65"/>
      <c r="E2205" s="65" t="s">
        <v>1393</v>
      </c>
      <c r="F2205" s="83">
        <v>0.6041666666666666</v>
      </c>
      <c r="G2205" s="83">
        <v>0.625</v>
      </c>
      <c r="H2205" s="83">
        <v>0.020833333333333332</v>
      </c>
      <c r="I2205" s="84">
        <v>44378.0</v>
      </c>
      <c r="J2205" s="65" t="b">
        <v>0</v>
      </c>
      <c r="K2205" s="65" t="s">
        <v>150</v>
      </c>
      <c r="L2205" s="85" t="b">
        <f>IF(VLOOKUP(C2205,Projetos!A:L,12,false)=TRUE,TRUE,FALSE)</f>
        <v>1</v>
      </c>
      <c r="M2205" s="74">
        <v>52.48434411075036</v>
      </c>
      <c r="N2205" s="74">
        <f t="shared" si="1"/>
        <v>0</v>
      </c>
      <c r="O2205" s="74" t="b">
        <v>1</v>
      </c>
    </row>
    <row r="2206" hidden="1">
      <c r="A2206" s="82"/>
      <c r="B2206" s="65" t="s">
        <v>495</v>
      </c>
      <c r="C2206" s="65" t="s">
        <v>92</v>
      </c>
      <c r="D2206" s="65" t="str">
        <f>vlookup(C2206,'Classificação p pessoal'!F:G,2,false)</f>
        <v/>
      </c>
      <c r="E2206" s="65" t="s">
        <v>1394</v>
      </c>
      <c r="F2206" s="83">
        <v>0.4722222222222222</v>
      </c>
      <c r="G2206" s="83">
        <v>0.5</v>
      </c>
      <c r="H2206" s="83">
        <v>0.027777777777777776</v>
      </c>
      <c r="I2206" s="84">
        <v>44494.0</v>
      </c>
      <c r="J2206" s="65" t="b">
        <v>1</v>
      </c>
      <c r="K2206" s="65"/>
      <c r="L2206" s="85" t="b">
        <f>IF(VLOOKUP(C2206,Projetos!A:L,12,false)=TRUE,TRUE,FALSE)</f>
        <v>1</v>
      </c>
      <c r="M2206" s="74">
        <v>73.7079846079846</v>
      </c>
      <c r="N2206" s="74">
        <f t="shared" si="1"/>
        <v>49.13865641</v>
      </c>
      <c r="O2206" s="74" t="b">
        <v>1</v>
      </c>
    </row>
    <row r="2207" hidden="1">
      <c r="A2207" s="82"/>
      <c r="B2207" s="65" t="s">
        <v>495</v>
      </c>
      <c r="C2207" s="65" t="s">
        <v>117</v>
      </c>
      <c r="D2207" s="65" t="str">
        <f>vlookup(C2207,'Classificação p pessoal'!F:G,2,false)</f>
        <v>NP</v>
      </c>
      <c r="E2207" s="65" t="s">
        <v>1395</v>
      </c>
      <c r="F2207" s="83">
        <v>0.5</v>
      </c>
      <c r="G2207" s="83">
        <v>0.5486111111111112</v>
      </c>
      <c r="H2207" s="83">
        <v>0.04861111111111111</v>
      </c>
      <c r="I2207" s="84">
        <v>44494.0</v>
      </c>
      <c r="J2207" s="65" t="b">
        <v>1</v>
      </c>
      <c r="K2207" s="65"/>
      <c r="L2207" s="85" t="b">
        <f>IF(VLOOKUP(C2207,Projetos!A:L,12,false)=TRUE,TRUE,FALSE)</f>
        <v>1</v>
      </c>
      <c r="M2207" s="74">
        <v>73.7079846079846</v>
      </c>
      <c r="N2207" s="74">
        <f t="shared" si="1"/>
        <v>85.99264871</v>
      </c>
      <c r="O2207" s="74" t="b">
        <v>1</v>
      </c>
    </row>
    <row r="2208" hidden="1">
      <c r="A2208" s="82"/>
      <c r="B2208" s="65" t="s">
        <v>495</v>
      </c>
      <c r="C2208" s="65" t="s">
        <v>92</v>
      </c>
      <c r="D2208" s="65" t="str">
        <f>vlookup(C2208,'Classificação p pessoal'!F:G,2,false)</f>
        <v/>
      </c>
      <c r="E2208" s="65" t="s">
        <v>1396</v>
      </c>
      <c r="F2208" s="83">
        <v>0.5486111111111112</v>
      </c>
      <c r="G2208" s="83">
        <v>0.5694444444444444</v>
      </c>
      <c r="H2208" s="83">
        <v>0.020833333333333332</v>
      </c>
      <c r="I2208" s="84">
        <v>44494.0</v>
      </c>
      <c r="J2208" s="65" t="b">
        <v>1</v>
      </c>
      <c r="K2208" s="65"/>
      <c r="L2208" s="85" t="b">
        <f>IF(VLOOKUP(C2208,Projetos!A:L,12,false)=TRUE,TRUE,FALSE)</f>
        <v>1</v>
      </c>
      <c r="M2208" s="74">
        <v>73.7079846079846</v>
      </c>
      <c r="N2208" s="74">
        <f t="shared" si="1"/>
        <v>36.8539923</v>
      </c>
      <c r="O2208" s="74" t="b">
        <v>1</v>
      </c>
    </row>
    <row r="2209" hidden="1">
      <c r="A2209" s="82"/>
      <c r="B2209" s="65" t="s">
        <v>495</v>
      </c>
      <c r="C2209" s="65" t="s">
        <v>130</v>
      </c>
      <c r="D2209" s="65" t="str">
        <f>vlookup(C2209,'Classificação p pessoal'!F:G,2,false)</f>
        <v>NP</v>
      </c>
      <c r="E2209" s="65" t="s">
        <v>1397</v>
      </c>
      <c r="F2209" s="83">
        <v>0.6180555555555556</v>
      </c>
      <c r="G2209" s="83">
        <v>0.6875</v>
      </c>
      <c r="H2209" s="83">
        <v>0.06944444444444445</v>
      </c>
      <c r="I2209" s="84">
        <v>44494.0</v>
      </c>
      <c r="J2209" s="65" t="b">
        <v>1</v>
      </c>
      <c r="K2209" s="65"/>
      <c r="L2209" s="85" t="b">
        <f>IF(VLOOKUP(C2209,Projetos!A:L,12,false)=TRUE,TRUE,FALSE)</f>
        <v>1</v>
      </c>
      <c r="M2209" s="74">
        <v>73.7079846079846</v>
      </c>
      <c r="N2209" s="74">
        <f t="shared" si="1"/>
        <v>122.846641</v>
      </c>
      <c r="O2209" s="74" t="b">
        <v>1</v>
      </c>
    </row>
    <row r="2210" hidden="1">
      <c r="A2210" s="82"/>
      <c r="B2210" s="65" t="s">
        <v>411</v>
      </c>
      <c r="C2210" s="65" t="s">
        <v>88</v>
      </c>
      <c r="D2210" s="65"/>
      <c r="E2210" s="65" t="s">
        <v>1398</v>
      </c>
      <c r="F2210" s="83">
        <v>0.375</v>
      </c>
      <c r="G2210" s="83">
        <v>0.3958333333333333</v>
      </c>
      <c r="H2210" s="83">
        <v>0.020833333333333332</v>
      </c>
      <c r="I2210" s="84">
        <v>44271.0</v>
      </c>
      <c r="J2210" s="65" t="b">
        <v>0</v>
      </c>
      <c r="K2210" s="65" t="s">
        <v>150</v>
      </c>
      <c r="L2210" s="85" t="b">
        <f>IF(VLOOKUP(C2210,Projetos!A:L,12,false)=TRUE,TRUE,FALSE)</f>
        <v>1</v>
      </c>
      <c r="M2210" s="74">
        <v>52.48434411075036</v>
      </c>
      <c r="N2210" s="74">
        <f t="shared" si="1"/>
        <v>0</v>
      </c>
      <c r="O2210" s="74" t="b">
        <v>1</v>
      </c>
    </row>
    <row r="2211" hidden="1">
      <c r="A2211" s="82"/>
      <c r="B2211" s="65" t="s">
        <v>177</v>
      </c>
      <c r="C2211" s="65" t="s">
        <v>100</v>
      </c>
      <c r="D2211" s="65"/>
      <c r="E2211" s="65" t="s">
        <v>1399</v>
      </c>
      <c r="F2211" s="83">
        <v>0.5416666666666666</v>
      </c>
      <c r="G2211" s="83">
        <v>0.5625</v>
      </c>
      <c r="H2211" s="83">
        <v>0.020833333333333332</v>
      </c>
      <c r="I2211" s="84">
        <v>44431.0</v>
      </c>
      <c r="J2211" s="65" t="b">
        <v>0</v>
      </c>
      <c r="K2211" s="65" t="s">
        <v>150</v>
      </c>
      <c r="L2211" s="85" t="b">
        <f>IF(VLOOKUP(C2211,Projetos!A:L,12,false)=TRUE,TRUE,FALSE)</f>
        <v>1</v>
      </c>
      <c r="M2211" s="74">
        <v>31.02923620430495</v>
      </c>
      <c r="N2211" s="74">
        <f t="shared" si="1"/>
        <v>0</v>
      </c>
      <c r="O2211" s="74" t="b">
        <v>1</v>
      </c>
    </row>
    <row r="2212" hidden="1">
      <c r="A2212" s="82"/>
      <c r="B2212" s="65" t="s">
        <v>495</v>
      </c>
      <c r="C2212" s="65" t="s">
        <v>92</v>
      </c>
      <c r="D2212" s="65" t="str">
        <f>vlookup(C2212,'Classificação p pessoal'!F:G,2,false)</f>
        <v/>
      </c>
      <c r="E2212" s="65" t="s">
        <v>1400</v>
      </c>
      <c r="F2212" s="83">
        <v>0.3958333333333333</v>
      </c>
      <c r="G2212" s="83">
        <v>0.4166666666666667</v>
      </c>
      <c r="H2212" s="83">
        <v>0.020833333333333332</v>
      </c>
      <c r="I2212" s="84">
        <v>44495.0</v>
      </c>
      <c r="J2212" s="65" t="b">
        <v>1</v>
      </c>
      <c r="K2212" s="65"/>
      <c r="L2212" s="85" t="b">
        <f>IF(VLOOKUP(C2212,Projetos!A:L,12,false)=TRUE,TRUE,FALSE)</f>
        <v>1</v>
      </c>
      <c r="M2212" s="74">
        <v>73.7079846079846</v>
      </c>
      <c r="N2212" s="74">
        <f t="shared" si="1"/>
        <v>36.8539923</v>
      </c>
      <c r="O2212" s="74" t="b">
        <v>1</v>
      </c>
    </row>
    <row r="2213" hidden="1">
      <c r="A2213" s="82"/>
      <c r="B2213" s="65" t="s">
        <v>495</v>
      </c>
      <c r="C2213" s="65" t="s">
        <v>117</v>
      </c>
      <c r="D2213" s="65" t="str">
        <f>vlookup(C2213,'Classificação p pessoal'!F:G,2,false)</f>
        <v>NP</v>
      </c>
      <c r="E2213" s="65" t="s">
        <v>1401</v>
      </c>
      <c r="F2213" s="83">
        <v>0.4166666666666667</v>
      </c>
      <c r="G2213" s="83">
        <v>0.4444444444444444</v>
      </c>
      <c r="H2213" s="83">
        <v>0.027777777777777776</v>
      </c>
      <c r="I2213" s="84">
        <v>44495.0</v>
      </c>
      <c r="J2213" s="65" t="b">
        <v>1</v>
      </c>
      <c r="K2213" s="65"/>
      <c r="L2213" s="85" t="b">
        <f>IF(VLOOKUP(C2213,Projetos!A:L,12,false)=TRUE,TRUE,FALSE)</f>
        <v>1</v>
      </c>
      <c r="M2213" s="74">
        <v>73.7079846079846</v>
      </c>
      <c r="N2213" s="74">
        <f t="shared" si="1"/>
        <v>49.13865641</v>
      </c>
      <c r="O2213" s="74" t="b">
        <v>1</v>
      </c>
    </row>
    <row r="2214" hidden="1">
      <c r="A2214" s="82"/>
      <c r="B2214" s="65" t="s">
        <v>495</v>
      </c>
      <c r="C2214" s="65" t="s">
        <v>92</v>
      </c>
      <c r="D2214" s="65" t="str">
        <f>vlookup(C2214,'Classificação p pessoal'!F:G,2,false)</f>
        <v/>
      </c>
      <c r="E2214" s="65" t="s">
        <v>1402</v>
      </c>
      <c r="F2214" s="83">
        <v>0.4583333333333333</v>
      </c>
      <c r="G2214" s="83">
        <v>0.5659722222222222</v>
      </c>
      <c r="H2214" s="83">
        <v>0.1076388888888889</v>
      </c>
      <c r="I2214" s="84">
        <v>44495.0</v>
      </c>
      <c r="J2214" s="65" t="b">
        <v>1</v>
      </c>
      <c r="K2214" s="65"/>
      <c r="L2214" s="85" t="b">
        <f>IF(VLOOKUP(C2214,Projetos!A:L,12,false)=TRUE,TRUE,FALSE)</f>
        <v>1</v>
      </c>
      <c r="M2214" s="74">
        <v>73.7079846079846</v>
      </c>
      <c r="N2214" s="74">
        <f t="shared" si="1"/>
        <v>190.4122936</v>
      </c>
      <c r="O2214" s="74" t="b">
        <v>1</v>
      </c>
    </row>
    <row r="2215" hidden="1">
      <c r="A2215" s="82"/>
      <c r="B2215" s="65" t="s">
        <v>495</v>
      </c>
      <c r="C2215" s="65" t="s">
        <v>117</v>
      </c>
      <c r="D2215" s="65" t="str">
        <f>vlookup(C2215,'Classificação p pessoal'!F:G,2,false)</f>
        <v>NP</v>
      </c>
      <c r="E2215" s="65" t="s">
        <v>1403</v>
      </c>
      <c r="F2215" s="83">
        <v>0.6145833333333334</v>
      </c>
      <c r="G2215" s="83">
        <v>0.7291666666666666</v>
      </c>
      <c r="H2215" s="83">
        <v>0.11458333333333333</v>
      </c>
      <c r="I2215" s="84">
        <v>44495.0</v>
      </c>
      <c r="J2215" s="65" t="b">
        <v>1</v>
      </c>
      <c r="K2215" s="65"/>
      <c r="L2215" s="85" t="b">
        <f>IF(VLOOKUP(C2215,Projetos!A:L,12,false)=TRUE,TRUE,FALSE)</f>
        <v>1</v>
      </c>
      <c r="M2215" s="74">
        <v>73.7079846079846</v>
      </c>
      <c r="N2215" s="74">
        <f t="shared" si="1"/>
        <v>202.6969577</v>
      </c>
      <c r="O2215" s="74" t="b">
        <v>1</v>
      </c>
    </row>
    <row r="2216" hidden="1">
      <c r="A2216" s="82"/>
      <c r="B2216" s="65" t="s">
        <v>495</v>
      </c>
      <c r="C2216" s="65" t="s">
        <v>108</v>
      </c>
      <c r="D2216" s="65"/>
      <c r="E2216" s="65" t="s">
        <v>1404</v>
      </c>
      <c r="F2216" s="83">
        <v>0.4166666666666667</v>
      </c>
      <c r="G2216" s="83">
        <v>0.4583333333333333</v>
      </c>
      <c r="H2216" s="83">
        <v>0.041666666666666664</v>
      </c>
      <c r="I2216" s="84">
        <v>44448.0</v>
      </c>
      <c r="J2216" s="65" t="b">
        <v>0</v>
      </c>
      <c r="K2216" s="65"/>
      <c r="L2216" s="85" t="b">
        <f>IF(VLOOKUP(C2216,Projetos!A:L,12,false)=TRUE,TRUE,FALSE)</f>
        <v>1</v>
      </c>
      <c r="M2216" s="74">
        <v>73.7079846079846</v>
      </c>
      <c r="N2216" s="74">
        <f t="shared" si="1"/>
        <v>0</v>
      </c>
      <c r="O2216" s="74" t="b">
        <v>1</v>
      </c>
    </row>
    <row r="2217" hidden="1">
      <c r="A2217" s="82"/>
      <c r="B2217" s="65" t="s">
        <v>495</v>
      </c>
      <c r="C2217" s="65" t="s">
        <v>117</v>
      </c>
      <c r="D2217" s="65" t="str">
        <f>vlookup(C2217,'Classificação p pessoal'!F:G,2,false)</f>
        <v>NP</v>
      </c>
      <c r="E2217" s="65" t="s">
        <v>1403</v>
      </c>
      <c r="F2217" s="83">
        <v>0.3541666666666667</v>
      </c>
      <c r="G2217" s="83">
        <v>0.4375</v>
      </c>
      <c r="H2217" s="83">
        <v>0.08333333333333333</v>
      </c>
      <c r="I2217" s="84">
        <v>44496.0</v>
      </c>
      <c r="J2217" s="65" t="b">
        <v>1</v>
      </c>
      <c r="K2217" s="65"/>
      <c r="L2217" s="85" t="b">
        <f>IF(VLOOKUP(C2217,Projetos!A:L,12,false)=TRUE,TRUE,FALSE)</f>
        <v>1</v>
      </c>
      <c r="M2217" s="74">
        <v>73.7079846079846</v>
      </c>
      <c r="N2217" s="74">
        <f t="shared" si="1"/>
        <v>147.4159692</v>
      </c>
      <c r="O2217" s="74" t="b">
        <v>1</v>
      </c>
    </row>
    <row r="2218" hidden="1">
      <c r="A2218" s="82"/>
      <c r="B2218" s="65" t="s">
        <v>495</v>
      </c>
      <c r="C2218" s="65" t="s">
        <v>92</v>
      </c>
      <c r="D2218" s="65" t="str">
        <f>vlookup(C2218,'Classificação p pessoal'!F:G,2,false)</f>
        <v/>
      </c>
      <c r="E2218" s="65" t="s">
        <v>1405</v>
      </c>
      <c r="F2218" s="83">
        <v>0.4375</v>
      </c>
      <c r="G2218" s="83">
        <v>0.4583333333333333</v>
      </c>
      <c r="H2218" s="83">
        <v>0.020833333333333332</v>
      </c>
      <c r="I2218" s="84">
        <v>44496.0</v>
      </c>
      <c r="J2218" s="65" t="b">
        <v>1</v>
      </c>
      <c r="K2218" s="65"/>
      <c r="L2218" s="85" t="b">
        <f>IF(VLOOKUP(C2218,Projetos!A:L,12,false)=TRUE,TRUE,FALSE)</f>
        <v>1</v>
      </c>
      <c r="M2218" s="74">
        <v>73.7079846079846</v>
      </c>
      <c r="N2218" s="74">
        <f t="shared" si="1"/>
        <v>36.8539923</v>
      </c>
      <c r="O2218" s="74" t="b">
        <v>1</v>
      </c>
    </row>
    <row r="2219" hidden="1">
      <c r="A2219" s="82"/>
      <c r="B2219" s="65" t="s">
        <v>495</v>
      </c>
      <c r="C2219" s="65" t="s">
        <v>92</v>
      </c>
      <c r="D2219" s="65" t="str">
        <f>vlookup(C2219,'Classificação p pessoal'!F:G,2,false)</f>
        <v/>
      </c>
      <c r="E2219" s="65" t="s">
        <v>837</v>
      </c>
      <c r="F2219" s="83">
        <v>0.46875</v>
      </c>
      <c r="G2219" s="83">
        <v>0.5</v>
      </c>
      <c r="H2219" s="83">
        <v>0.03125</v>
      </c>
      <c r="I2219" s="84">
        <v>44496.0</v>
      </c>
      <c r="J2219" s="65" t="b">
        <v>1</v>
      </c>
      <c r="K2219" s="65"/>
      <c r="L2219" s="85" t="b">
        <f>IF(VLOOKUP(C2219,Projetos!A:L,12,false)=TRUE,TRUE,FALSE)</f>
        <v>1</v>
      </c>
      <c r="M2219" s="74">
        <v>73.7079846079846</v>
      </c>
      <c r="N2219" s="74">
        <f t="shared" si="1"/>
        <v>55.28098846</v>
      </c>
      <c r="O2219" s="74" t="b">
        <v>1</v>
      </c>
    </row>
    <row r="2220" hidden="1">
      <c r="A2220" s="82"/>
      <c r="B2220" s="65" t="s">
        <v>495</v>
      </c>
      <c r="C2220" s="65" t="s">
        <v>92</v>
      </c>
      <c r="D2220" s="65"/>
      <c r="E2220" s="65" t="s">
        <v>1406</v>
      </c>
      <c r="F2220" s="83">
        <v>0.5</v>
      </c>
      <c r="G2220" s="83">
        <v>0.5694444444444444</v>
      </c>
      <c r="H2220" s="83">
        <v>0.06944444444444445</v>
      </c>
      <c r="I2220" s="84">
        <v>44496.0</v>
      </c>
      <c r="J2220" s="65" t="b">
        <v>0</v>
      </c>
      <c r="K2220" s="65" t="s">
        <v>150</v>
      </c>
      <c r="L2220" s="85" t="b">
        <f>IF(VLOOKUP(C2220,Projetos!A:L,12,false)=TRUE,TRUE,FALSE)</f>
        <v>1</v>
      </c>
      <c r="M2220" s="74">
        <v>73.7079846079846</v>
      </c>
      <c r="N2220" s="74">
        <f t="shared" si="1"/>
        <v>0</v>
      </c>
      <c r="O2220" s="74" t="b">
        <v>1</v>
      </c>
    </row>
    <row r="2221" hidden="1">
      <c r="A2221" s="82"/>
      <c r="B2221" s="65" t="s">
        <v>495</v>
      </c>
      <c r="C2221" s="65" t="s">
        <v>130</v>
      </c>
      <c r="D2221" s="65" t="str">
        <f>vlookup(C2221,'Classificação p pessoal'!F:G,2,false)</f>
        <v>NP</v>
      </c>
      <c r="E2221" s="65" t="s">
        <v>1407</v>
      </c>
      <c r="F2221" s="83">
        <v>0.6111111111111112</v>
      </c>
      <c r="G2221" s="83">
        <v>0.6388888888888888</v>
      </c>
      <c r="H2221" s="83">
        <v>0.027777777777777776</v>
      </c>
      <c r="I2221" s="84">
        <v>44496.0</v>
      </c>
      <c r="J2221" s="65" t="b">
        <v>1</v>
      </c>
      <c r="K2221" s="65"/>
      <c r="L2221" s="85" t="b">
        <f>IF(VLOOKUP(C2221,Projetos!A:L,12,false)=TRUE,TRUE,FALSE)</f>
        <v>1</v>
      </c>
      <c r="M2221" s="74">
        <v>73.7079846079846</v>
      </c>
      <c r="N2221" s="74">
        <f t="shared" si="1"/>
        <v>49.13865641</v>
      </c>
      <c r="O2221" s="74" t="b">
        <v>1</v>
      </c>
    </row>
    <row r="2222" hidden="1">
      <c r="A2222" s="82"/>
      <c r="B2222" s="65" t="s">
        <v>495</v>
      </c>
      <c r="C2222" s="65" t="s">
        <v>92</v>
      </c>
      <c r="D2222" s="65" t="str">
        <f>vlookup(C2222,'Classificação p pessoal'!F:G,2,false)</f>
        <v/>
      </c>
      <c r="E2222" s="65" t="s">
        <v>1408</v>
      </c>
      <c r="F2222" s="83">
        <v>0.6527777777777778</v>
      </c>
      <c r="G2222" s="83">
        <v>0.7083333333333334</v>
      </c>
      <c r="H2222" s="83">
        <v>0.05555555555555555</v>
      </c>
      <c r="I2222" s="84">
        <v>44496.0</v>
      </c>
      <c r="J2222" s="65" t="b">
        <v>1</v>
      </c>
      <c r="K2222" s="65"/>
      <c r="L2222" s="85" t="b">
        <f>IF(VLOOKUP(C2222,Projetos!A:L,12,false)=TRUE,TRUE,FALSE)</f>
        <v>1</v>
      </c>
      <c r="M2222" s="74">
        <v>73.7079846079846</v>
      </c>
      <c r="N2222" s="74">
        <f t="shared" si="1"/>
        <v>98.27731281</v>
      </c>
      <c r="O2222" s="74" t="b">
        <v>1</v>
      </c>
    </row>
    <row r="2223" hidden="1">
      <c r="A2223" s="82"/>
      <c r="B2223" s="65" t="s">
        <v>495</v>
      </c>
      <c r="C2223" s="65" t="s">
        <v>92</v>
      </c>
      <c r="D2223" s="65" t="str">
        <f>vlookup(C2223,'Classificação p pessoal'!F:G,2,false)</f>
        <v/>
      </c>
      <c r="E2223" s="65" t="s">
        <v>837</v>
      </c>
      <c r="F2223" s="83">
        <v>0.7083333333333334</v>
      </c>
      <c r="G2223" s="83">
        <v>0.75</v>
      </c>
      <c r="H2223" s="83">
        <v>0.041666666666666664</v>
      </c>
      <c r="I2223" s="84">
        <v>44496.0</v>
      </c>
      <c r="J2223" s="65" t="b">
        <v>1</v>
      </c>
      <c r="K2223" s="65"/>
      <c r="L2223" s="85" t="b">
        <f>IF(VLOOKUP(C2223,Projetos!A:L,12,false)=TRUE,TRUE,FALSE)</f>
        <v>1</v>
      </c>
      <c r="M2223" s="74">
        <v>73.7079846079846</v>
      </c>
      <c r="N2223" s="74">
        <f t="shared" si="1"/>
        <v>73.70798461</v>
      </c>
      <c r="O2223" s="74" t="b">
        <v>1</v>
      </c>
    </row>
    <row r="2224" hidden="1">
      <c r="A2224" s="82"/>
      <c r="B2224" s="65" t="s">
        <v>495</v>
      </c>
      <c r="C2224" s="65" t="s">
        <v>92</v>
      </c>
      <c r="D2224" s="65" t="str">
        <f>vlookup(C2224,'Classificação p pessoal'!F:G,2,false)</f>
        <v/>
      </c>
      <c r="E2224" s="65" t="s">
        <v>1409</v>
      </c>
      <c r="F2224" s="83">
        <v>0.3541666666666667</v>
      </c>
      <c r="G2224" s="83">
        <v>0.4166666666666667</v>
      </c>
      <c r="H2224" s="83">
        <v>0.0625</v>
      </c>
      <c r="I2224" s="84">
        <v>44497.0</v>
      </c>
      <c r="J2224" s="65" t="b">
        <v>1</v>
      </c>
      <c r="K2224" s="65"/>
      <c r="L2224" s="85" t="b">
        <f>IF(VLOOKUP(C2224,Projetos!A:L,12,false)=TRUE,TRUE,FALSE)</f>
        <v>1</v>
      </c>
      <c r="M2224" s="74">
        <v>73.7079846079846</v>
      </c>
      <c r="N2224" s="74">
        <f t="shared" si="1"/>
        <v>110.5619769</v>
      </c>
      <c r="O2224" s="74" t="b">
        <v>1</v>
      </c>
    </row>
    <row r="2225" hidden="1">
      <c r="A2225" s="82"/>
      <c r="B2225" s="65" t="s">
        <v>495</v>
      </c>
      <c r="C2225" s="65" t="s">
        <v>92</v>
      </c>
      <c r="D2225" s="65" t="str">
        <f>vlookup(C2225,'Classificação p pessoal'!F:G,2,false)</f>
        <v/>
      </c>
      <c r="E2225" s="65" t="s">
        <v>1410</v>
      </c>
      <c r="F2225" s="83">
        <v>0.4305555555555556</v>
      </c>
      <c r="G2225" s="83">
        <v>0.5138888888888888</v>
      </c>
      <c r="H2225" s="83">
        <v>0.08333333333333333</v>
      </c>
      <c r="I2225" s="84">
        <v>44497.0</v>
      </c>
      <c r="J2225" s="65" t="b">
        <v>1</v>
      </c>
      <c r="K2225" s="65"/>
      <c r="L2225" s="85" t="b">
        <f>IF(VLOOKUP(C2225,Projetos!A:L,12,false)=TRUE,TRUE,FALSE)</f>
        <v>1</v>
      </c>
      <c r="M2225" s="74">
        <v>73.7079846079846</v>
      </c>
      <c r="N2225" s="74">
        <f t="shared" si="1"/>
        <v>147.4159692</v>
      </c>
      <c r="O2225" s="74" t="b">
        <v>1</v>
      </c>
    </row>
    <row r="2226" hidden="1">
      <c r="A2226" s="82"/>
      <c r="B2226" s="65" t="s">
        <v>495</v>
      </c>
      <c r="C2226" s="65" t="s">
        <v>117</v>
      </c>
      <c r="D2226" s="65"/>
      <c r="E2226" s="65" t="s">
        <v>1411</v>
      </c>
      <c r="F2226" s="83">
        <v>0.7083333333333334</v>
      </c>
      <c r="G2226" s="83">
        <v>0.75</v>
      </c>
      <c r="H2226" s="83">
        <v>0.041666666666666664</v>
      </c>
      <c r="I2226" s="84">
        <v>44382.0</v>
      </c>
      <c r="J2226" s="65" t="b">
        <v>0</v>
      </c>
      <c r="K2226" s="65"/>
      <c r="L2226" s="85" t="b">
        <f>IF(VLOOKUP(C2226,Projetos!A:L,12,false)=TRUE,TRUE,FALSE)</f>
        <v>1</v>
      </c>
      <c r="M2226" s="74">
        <v>73.7079846079846</v>
      </c>
      <c r="N2226" s="74">
        <f t="shared" si="1"/>
        <v>0</v>
      </c>
      <c r="O2226" s="74" t="b">
        <v>1</v>
      </c>
    </row>
    <row r="2227" hidden="1">
      <c r="A2227" s="82"/>
      <c r="B2227" s="65" t="s">
        <v>495</v>
      </c>
      <c r="C2227" s="65" t="s">
        <v>92</v>
      </c>
      <c r="D2227" s="65" t="str">
        <f>vlookup(C2227,'Classificação p pessoal'!F:G,2,false)</f>
        <v/>
      </c>
      <c r="E2227" s="65" t="s">
        <v>1412</v>
      </c>
      <c r="F2227" s="83">
        <v>0.5833333333333334</v>
      </c>
      <c r="G2227" s="83">
        <v>0.6041666666666666</v>
      </c>
      <c r="H2227" s="83">
        <v>0.020833333333333332</v>
      </c>
      <c r="I2227" s="84">
        <v>44497.0</v>
      </c>
      <c r="J2227" s="65" t="b">
        <v>1</v>
      </c>
      <c r="K2227" s="65"/>
      <c r="L2227" s="85" t="b">
        <f>IF(VLOOKUP(C2227,Projetos!A:L,12,false)=TRUE,TRUE,FALSE)</f>
        <v>1</v>
      </c>
      <c r="M2227" s="74">
        <v>73.7079846079846</v>
      </c>
      <c r="N2227" s="74">
        <f t="shared" si="1"/>
        <v>36.8539923</v>
      </c>
      <c r="O2227" s="74" t="b">
        <v>1</v>
      </c>
    </row>
    <row r="2228" hidden="1">
      <c r="A2228" s="82"/>
      <c r="B2228" s="65" t="s">
        <v>495</v>
      </c>
      <c r="C2228" s="65" t="s">
        <v>92</v>
      </c>
      <c r="D2228" s="65" t="str">
        <f>vlookup(C2228,'Classificação p pessoal'!F:G,2,false)</f>
        <v/>
      </c>
      <c r="E2228" s="65" t="s">
        <v>837</v>
      </c>
      <c r="F2228" s="83">
        <v>0.6458333333333334</v>
      </c>
      <c r="G2228" s="83">
        <v>0.7083333333333334</v>
      </c>
      <c r="H2228" s="83">
        <v>0.0625</v>
      </c>
      <c r="I2228" s="84">
        <v>44497.0</v>
      </c>
      <c r="J2228" s="65" t="b">
        <v>1</v>
      </c>
      <c r="K2228" s="65"/>
      <c r="L2228" s="85" t="b">
        <f>IF(VLOOKUP(C2228,Projetos!A:L,12,false)=TRUE,TRUE,FALSE)</f>
        <v>1</v>
      </c>
      <c r="M2228" s="74">
        <v>73.7079846079846</v>
      </c>
      <c r="N2228" s="74">
        <f t="shared" si="1"/>
        <v>110.5619769</v>
      </c>
      <c r="O2228" s="74" t="b">
        <v>1</v>
      </c>
    </row>
    <row r="2229" hidden="1">
      <c r="A2229" s="82"/>
      <c r="B2229" s="65" t="s">
        <v>495</v>
      </c>
      <c r="C2229" s="65" t="s">
        <v>92</v>
      </c>
      <c r="D2229" s="65" t="str">
        <f>vlookup(C2229,'Classificação p pessoal'!F:G,2,false)</f>
        <v/>
      </c>
      <c r="E2229" s="65" t="s">
        <v>1413</v>
      </c>
      <c r="F2229" s="83">
        <v>0.7083333333333334</v>
      </c>
      <c r="G2229" s="83">
        <v>0.75</v>
      </c>
      <c r="H2229" s="83">
        <v>0.041666666666666664</v>
      </c>
      <c r="I2229" s="84">
        <v>44497.0</v>
      </c>
      <c r="J2229" s="65" t="b">
        <v>1</v>
      </c>
      <c r="K2229" s="65"/>
      <c r="L2229" s="85" t="b">
        <f>IF(VLOOKUP(C2229,Projetos!A:L,12,false)=TRUE,TRUE,FALSE)</f>
        <v>1</v>
      </c>
      <c r="M2229" s="74">
        <v>73.7079846079846</v>
      </c>
      <c r="N2229" s="74">
        <f t="shared" si="1"/>
        <v>73.70798461</v>
      </c>
      <c r="O2229" s="74" t="b">
        <v>1</v>
      </c>
    </row>
    <row r="2230" hidden="1">
      <c r="A2230" s="82"/>
      <c r="B2230" s="65" t="s">
        <v>495</v>
      </c>
      <c r="C2230" s="65" t="s">
        <v>92</v>
      </c>
      <c r="D2230" s="65" t="str">
        <f>vlookup(C2230,'Classificação p pessoal'!F:G,2,false)</f>
        <v/>
      </c>
      <c r="E2230" s="65" t="s">
        <v>1414</v>
      </c>
      <c r="F2230" s="83">
        <v>0.3541666666666667</v>
      </c>
      <c r="G2230" s="83">
        <v>0.4375</v>
      </c>
      <c r="H2230" s="83">
        <v>0.08333333333333333</v>
      </c>
      <c r="I2230" s="84">
        <v>44498.0</v>
      </c>
      <c r="J2230" s="65" t="b">
        <v>1</v>
      </c>
      <c r="K2230" s="65"/>
      <c r="L2230" s="85" t="b">
        <f>IF(VLOOKUP(C2230,Projetos!A:L,12,false)=TRUE,TRUE,FALSE)</f>
        <v>1</v>
      </c>
      <c r="M2230" s="74">
        <v>73.7079846079846</v>
      </c>
      <c r="N2230" s="74">
        <f t="shared" si="1"/>
        <v>147.4159692</v>
      </c>
      <c r="O2230" s="74" t="b">
        <v>1</v>
      </c>
    </row>
    <row r="2231" hidden="1">
      <c r="A2231" s="82"/>
      <c r="B2231" s="65" t="s">
        <v>495</v>
      </c>
      <c r="C2231" s="65" t="s">
        <v>92</v>
      </c>
      <c r="D2231" s="65"/>
      <c r="E2231" s="65" t="s">
        <v>1415</v>
      </c>
      <c r="F2231" s="83">
        <v>0.4375</v>
      </c>
      <c r="G2231" s="83">
        <v>0.5208333333333334</v>
      </c>
      <c r="H2231" s="83">
        <v>0.08333333333333333</v>
      </c>
      <c r="I2231" s="84">
        <v>44498.0</v>
      </c>
      <c r="J2231" s="65" t="b">
        <v>0</v>
      </c>
      <c r="K2231" s="65" t="s">
        <v>150</v>
      </c>
      <c r="L2231" s="85" t="b">
        <f>IF(VLOOKUP(C2231,Projetos!A:L,12,false)=TRUE,TRUE,FALSE)</f>
        <v>1</v>
      </c>
      <c r="M2231" s="74">
        <v>73.7079846079846</v>
      </c>
      <c r="N2231" s="74">
        <f t="shared" si="1"/>
        <v>0</v>
      </c>
      <c r="O2231" s="74" t="b">
        <v>1</v>
      </c>
    </row>
    <row r="2232" hidden="1">
      <c r="A2232" s="82"/>
      <c r="B2232" s="65" t="s">
        <v>495</v>
      </c>
      <c r="C2232" s="65" t="s">
        <v>92</v>
      </c>
      <c r="D2232" s="65" t="str">
        <f>vlookup(C2232,'Classificação p pessoal'!F:G,2,false)</f>
        <v/>
      </c>
      <c r="E2232" s="65" t="s">
        <v>1416</v>
      </c>
      <c r="F2232" s="83">
        <v>0.5208333333333334</v>
      </c>
      <c r="G2232" s="83">
        <v>0.5416666666666666</v>
      </c>
      <c r="H2232" s="83">
        <v>0.020833333333333332</v>
      </c>
      <c r="I2232" s="84">
        <v>44498.0</v>
      </c>
      <c r="J2232" s="65" t="b">
        <v>1</v>
      </c>
      <c r="K2232" s="65"/>
      <c r="L2232" s="85" t="b">
        <f>IF(VLOOKUP(C2232,Projetos!A:L,12,false)=TRUE,TRUE,FALSE)</f>
        <v>1</v>
      </c>
      <c r="M2232" s="74">
        <v>73.7079846079846</v>
      </c>
      <c r="N2232" s="74">
        <f t="shared" si="1"/>
        <v>36.8539923</v>
      </c>
      <c r="O2232" s="74" t="b">
        <v>1</v>
      </c>
    </row>
    <row r="2233" hidden="1">
      <c r="A2233" s="82"/>
      <c r="B2233" s="65" t="s">
        <v>495</v>
      </c>
      <c r="C2233" s="65" t="s">
        <v>117</v>
      </c>
      <c r="D2233" s="65"/>
      <c r="E2233" s="65" t="s">
        <v>1411</v>
      </c>
      <c r="F2233" s="83">
        <v>0.4722222222222222</v>
      </c>
      <c r="G2233" s="83">
        <v>0.5520833333333334</v>
      </c>
      <c r="H2233" s="83">
        <v>0.0798611111111111</v>
      </c>
      <c r="I2233" s="84">
        <v>44383.0</v>
      </c>
      <c r="J2233" s="65" t="b">
        <v>0</v>
      </c>
      <c r="K2233" s="65"/>
      <c r="L2233" s="85" t="b">
        <f>IF(VLOOKUP(C2233,Projetos!A:L,12,false)=TRUE,TRUE,FALSE)</f>
        <v>1</v>
      </c>
      <c r="M2233" s="74">
        <v>73.7079846079846</v>
      </c>
      <c r="N2233" s="74">
        <f t="shared" si="1"/>
        <v>0</v>
      </c>
      <c r="O2233" s="74" t="b">
        <v>1</v>
      </c>
    </row>
    <row r="2234" hidden="1">
      <c r="A2234" s="82"/>
      <c r="B2234" s="65" t="s">
        <v>495</v>
      </c>
      <c r="C2234" s="65" t="s">
        <v>92</v>
      </c>
      <c r="D2234" s="65" t="str">
        <f>vlookup(C2234,'Classificação p pessoal'!F:G,2,false)</f>
        <v/>
      </c>
      <c r="E2234" s="65" t="s">
        <v>1005</v>
      </c>
      <c r="F2234" s="83">
        <v>0.6458333333333334</v>
      </c>
      <c r="G2234" s="83">
        <v>0.75</v>
      </c>
      <c r="H2234" s="83">
        <v>0.10416666666666667</v>
      </c>
      <c r="I2234" s="84">
        <v>44498.0</v>
      </c>
      <c r="J2234" s="65" t="b">
        <v>1</v>
      </c>
      <c r="K2234" s="65"/>
      <c r="L2234" s="85" t="b">
        <f>IF(VLOOKUP(C2234,Projetos!A:L,12,false)=TRUE,TRUE,FALSE)</f>
        <v>1</v>
      </c>
      <c r="M2234" s="74">
        <v>73.7079846079846</v>
      </c>
      <c r="N2234" s="74">
        <f t="shared" si="1"/>
        <v>184.2699615</v>
      </c>
      <c r="O2234" s="74" t="b">
        <v>1</v>
      </c>
    </row>
    <row r="2235" hidden="1">
      <c r="A2235" s="82"/>
      <c r="B2235" s="65" t="s">
        <v>411</v>
      </c>
      <c r="C2235" s="65" t="s">
        <v>132</v>
      </c>
      <c r="D2235" s="65"/>
      <c r="E2235" s="65" t="s">
        <v>1417</v>
      </c>
      <c r="F2235" s="83">
        <v>0.3541666666666667</v>
      </c>
      <c r="G2235" s="83">
        <v>0.4375</v>
      </c>
      <c r="H2235" s="83">
        <v>0.08333333333333333</v>
      </c>
      <c r="I2235" s="84">
        <v>44364.0</v>
      </c>
      <c r="J2235" s="65" t="b">
        <v>1</v>
      </c>
      <c r="K2235" s="65"/>
      <c r="L2235" s="85" t="b">
        <f>IF(VLOOKUP(C2235,Projetos!A:L,12,false)=TRUE,TRUE,FALSE)</f>
        <v>0</v>
      </c>
      <c r="M2235" s="74">
        <v>52.48434411075036</v>
      </c>
      <c r="N2235" s="74">
        <f t="shared" si="1"/>
        <v>0</v>
      </c>
      <c r="O2235" s="74" t="b">
        <v>0</v>
      </c>
    </row>
    <row r="2236" hidden="1">
      <c r="A2236" s="82"/>
      <c r="B2236" s="65" t="s">
        <v>495</v>
      </c>
      <c r="C2236" s="65" t="s">
        <v>92</v>
      </c>
      <c r="D2236" s="65" t="str">
        <f>vlookup(C2236,'Classificação p pessoal'!F:G,2,false)</f>
        <v/>
      </c>
      <c r="E2236" s="65" t="s">
        <v>1418</v>
      </c>
      <c r="F2236" s="83">
        <v>0.5208333333333334</v>
      </c>
      <c r="G2236" s="83">
        <v>0.5416666666666666</v>
      </c>
      <c r="H2236" s="83">
        <v>0.020833333333333332</v>
      </c>
      <c r="I2236" s="84">
        <v>44501.0</v>
      </c>
      <c r="J2236" s="65" t="b">
        <v>1</v>
      </c>
      <c r="K2236" s="65"/>
      <c r="L2236" s="85" t="b">
        <f>IF(VLOOKUP(C2236,Projetos!A:L,12,false)=TRUE,TRUE,FALSE)</f>
        <v>1</v>
      </c>
      <c r="M2236" s="74">
        <v>73.7079846079846</v>
      </c>
      <c r="N2236" s="74">
        <f t="shared" si="1"/>
        <v>36.8539923</v>
      </c>
      <c r="O2236" s="74" t="b">
        <v>1</v>
      </c>
    </row>
    <row r="2237" hidden="1">
      <c r="A2237" s="82"/>
      <c r="B2237" s="65" t="s">
        <v>495</v>
      </c>
      <c r="C2237" s="65" t="s">
        <v>92</v>
      </c>
      <c r="D2237" s="65" t="str">
        <f>vlookup(C2237,'Classificação p pessoal'!F:G,2,false)</f>
        <v/>
      </c>
      <c r="E2237" s="65" t="s">
        <v>1419</v>
      </c>
      <c r="F2237" s="83">
        <v>0.5833333333333334</v>
      </c>
      <c r="G2237" s="83">
        <v>0.6041666666666666</v>
      </c>
      <c r="H2237" s="83">
        <v>0.020833333333333332</v>
      </c>
      <c r="I2237" s="84">
        <v>44501.0</v>
      </c>
      <c r="J2237" s="65" t="b">
        <v>1</v>
      </c>
      <c r="K2237" s="65"/>
      <c r="L2237" s="85" t="b">
        <f>IF(VLOOKUP(C2237,Projetos!A:L,12,false)=TRUE,TRUE,FALSE)</f>
        <v>1</v>
      </c>
      <c r="M2237" s="74">
        <v>73.7079846079846</v>
      </c>
      <c r="N2237" s="74">
        <f t="shared" si="1"/>
        <v>36.8539923</v>
      </c>
      <c r="O2237" s="74" t="b">
        <v>1</v>
      </c>
    </row>
    <row r="2238" hidden="1">
      <c r="A2238" s="82"/>
      <c r="B2238" s="65" t="s">
        <v>495</v>
      </c>
      <c r="C2238" s="65" t="s">
        <v>92</v>
      </c>
      <c r="D2238" s="65" t="str">
        <f>vlookup(C2238,'Classificação p pessoal'!F:G,2,false)</f>
        <v/>
      </c>
      <c r="E2238" s="65" t="s">
        <v>1420</v>
      </c>
      <c r="F2238" s="83">
        <v>0.6041666666666666</v>
      </c>
      <c r="G2238" s="83">
        <v>0.6458333333333334</v>
      </c>
      <c r="H2238" s="83">
        <v>0.041666666666666664</v>
      </c>
      <c r="I2238" s="84">
        <v>44501.0</v>
      </c>
      <c r="J2238" s="65" t="b">
        <v>1</v>
      </c>
      <c r="K2238" s="65"/>
      <c r="L2238" s="85" t="b">
        <f>IF(VLOOKUP(C2238,Projetos!A:L,12,false)=TRUE,TRUE,FALSE)</f>
        <v>1</v>
      </c>
      <c r="M2238" s="74">
        <v>73.7079846079846</v>
      </c>
      <c r="N2238" s="74">
        <f t="shared" si="1"/>
        <v>73.70798461</v>
      </c>
      <c r="O2238" s="74" t="b">
        <v>1</v>
      </c>
    </row>
    <row r="2239" hidden="1">
      <c r="A2239" s="82"/>
      <c r="B2239" s="65" t="s">
        <v>495</v>
      </c>
      <c r="C2239" s="65" t="s">
        <v>100</v>
      </c>
      <c r="D2239" s="65" t="str">
        <f>vlookup(C2239,'Classificação p pessoal'!F:G,2,false)</f>
        <v>NP</v>
      </c>
      <c r="E2239" s="65" t="s">
        <v>1421</v>
      </c>
      <c r="F2239" s="83">
        <v>0.6458333333333334</v>
      </c>
      <c r="G2239" s="83">
        <v>0.6770833333333334</v>
      </c>
      <c r="H2239" s="83">
        <v>0.03125</v>
      </c>
      <c r="I2239" s="84">
        <v>44501.0</v>
      </c>
      <c r="J2239" s="65" t="b">
        <v>1</v>
      </c>
      <c r="K2239" s="65"/>
      <c r="L2239" s="85" t="b">
        <f>IF(VLOOKUP(C2239,Projetos!A:L,12,false)=TRUE,TRUE,FALSE)</f>
        <v>1</v>
      </c>
      <c r="M2239" s="74">
        <v>73.7079846079846</v>
      </c>
      <c r="N2239" s="74">
        <f t="shared" si="1"/>
        <v>55.28098846</v>
      </c>
      <c r="O2239" s="74" t="b">
        <v>1</v>
      </c>
    </row>
    <row r="2240" hidden="1">
      <c r="A2240" s="82"/>
      <c r="B2240" s="65" t="s">
        <v>495</v>
      </c>
      <c r="C2240" s="65" t="s">
        <v>92</v>
      </c>
      <c r="D2240" s="65" t="str">
        <f>vlookup(C2240,'Classificação p pessoal'!F:G,2,false)</f>
        <v/>
      </c>
      <c r="E2240" s="65" t="s">
        <v>1422</v>
      </c>
      <c r="F2240" s="83">
        <v>0.6875</v>
      </c>
      <c r="G2240" s="83">
        <v>0.75</v>
      </c>
      <c r="H2240" s="83">
        <v>0.0625</v>
      </c>
      <c r="I2240" s="84">
        <v>44501.0</v>
      </c>
      <c r="J2240" s="65" t="b">
        <v>1</v>
      </c>
      <c r="K2240" s="65"/>
      <c r="L2240" s="85" t="b">
        <f>IF(VLOOKUP(C2240,Projetos!A:L,12,false)=TRUE,TRUE,FALSE)</f>
        <v>1</v>
      </c>
      <c r="M2240" s="74">
        <v>73.7079846079846</v>
      </c>
      <c r="N2240" s="74">
        <f t="shared" si="1"/>
        <v>110.5619769</v>
      </c>
      <c r="O2240" s="74" t="b">
        <v>1</v>
      </c>
    </row>
    <row r="2241" hidden="1">
      <c r="A2241" s="82"/>
      <c r="B2241" s="65" t="s">
        <v>495</v>
      </c>
      <c r="C2241" s="65" t="s">
        <v>108</v>
      </c>
      <c r="D2241" s="65" t="str">
        <f>vlookup(C2241,'Classificação p pessoal'!F:G,2,false)</f>
        <v>NP</v>
      </c>
      <c r="E2241" s="65" t="s">
        <v>1423</v>
      </c>
      <c r="F2241" s="83">
        <v>0.3541666666666667</v>
      </c>
      <c r="G2241" s="83">
        <v>0.4375</v>
      </c>
      <c r="H2241" s="83">
        <v>0.08333333333333333</v>
      </c>
      <c r="I2241" s="84">
        <v>44199.0</v>
      </c>
      <c r="J2241" s="65" t="b">
        <v>1</v>
      </c>
      <c r="K2241" s="65"/>
      <c r="L2241" s="85" t="b">
        <f>IF(VLOOKUP(C2241,Projetos!A:L,12,false)=TRUE,TRUE,FALSE)</f>
        <v>1</v>
      </c>
      <c r="M2241" s="74">
        <v>73.7079846079846</v>
      </c>
      <c r="N2241" s="74">
        <f t="shared" si="1"/>
        <v>147.4159692</v>
      </c>
      <c r="O2241" s="74" t="b">
        <v>1</v>
      </c>
    </row>
    <row r="2242" hidden="1">
      <c r="A2242" s="82"/>
      <c r="B2242" s="65" t="s">
        <v>495</v>
      </c>
      <c r="C2242" s="65" t="s">
        <v>117</v>
      </c>
      <c r="D2242" s="65" t="str">
        <f>vlookup(C2242,'Classificação p pessoal'!F:G,2,false)</f>
        <v>NP</v>
      </c>
      <c r="E2242" s="65" t="s">
        <v>1424</v>
      </c>
      <c r="F2242" s="83">
        <v>0.4479166666666667</v>
      </c>
      <c r="G2242" s="83">
        <v>0.5729166666666666</v>
      </c>
      <c r="H2242" s="83">
        <v>0.125</v>
      </c>
      <c r="I2242" s="84">
        <v>44199.0</v>
      </c>
      <c r="J2242" s="65" t="b">
        <v>1</v>
      </c>
      <c r="K2242" s="65"/>
      <c r="L2242" s="85" t="b">
        <f>IF(VLOOKUP(C2242,Projetos!A:L,12,false)=TRUE,TRUE,FALSE)</f>
        <v>1</v>
      </c>
      <c r="M2242" s="74">
        <v>73.7079846079846</v>
      </c>
      <c r="N2242" s="74">
        <f t="shared" si="1"/>
        <v>221.1239538</v>
      </c>
      <c r="O2242" s="74" t="b">
        <v>1</v>
      </c>
    </row>
    <row r="2243" hidden="1">
      <c r="A2243" s="82"/>
      <c r="B2243" s="65" t="s">
        <v>495</v>
      </c>
      <c r="C2243" s="65" t="s">
        <v>117</v>
      </c>
      <c r="D2243" s="65" t="str">
        <f>vlookup(C2243,'Classificação p pessoal'!F:G,2,false)</f>
        <v>NP</v>
      </c>
      <c r="E2243" s="65" t="s">
        <v>1425</v>
      </c>
      <c r="F2243" s="83">
        <v>0.6145833333333334</v>
      </c>
      <c r="G2243" s="83">
        <v>0.6979166666666666</v>
      </c>
      <c r="H2243" s="83">
        <v>0.08333333333333333</v>
      </c>
      <c r="I2243" s="84">
        <v>44199.0</v>
      </c>
      <c r="J2243" s="65" t="b">
        <v>1</v>
      </c>
      <c r="K2243" s="65"/>
      <c r="L2243" s="85" t="b">
        <f>IF(VLOOKUP(C2243,Projetos!A:L,12,false)=TRUE,TRUE,FALSE)</f>
        <v>1</v>
      </c>
      <c r="M2243" s="74">
        <v>73.7079846079846</v>
      </c>
      <c r="N2243" s="74">
        <f t="shared" si="1"/>
        <v>147.4159692</v>
      </c>
      <c r="O2243" s="74" t="b">
        <v>1</v>
      </c>
    </row>
    <row r="2244" hidden="1">
      <c r="A2244" s="82"/>
      <c r="B2244" s="65" t="s">
        <v>495</v>
      </c>
      <c r="C2244" s="65" t="s">
        <v>130</v>
      </c>
      <c r="D2244" s="65" t="str">
        <f>vlookup(C2244,'Classificação p pessoal'!F:G,2,false)</f>
        <v>NP</v>
      </c>
      <c r="E2244" s="65" t="s">
        <v>1426</v>
      </c>
      <c r="F2244" s="83">
        <v>0.7152777777777778</v>
      </c>
      <c r="G2244" s="83">
        <v>0.7638888888888888</v>
      </c>
      <c r="H2244" s="83">
        <v>0.04861111111111111</v>
      </c>
      <c r="I2244" s="84">
        <v>44199.0</v>
      </c>
      <c r="J2244" s="65" t="b">
        <v>1</v>
      </c>
      <c r="K2244" s="65"/>
      <c r="L2244" s="85" t="b">
        <f>IF(VLOOKUP(C2244,Projetos!A:L,12,false)=TRUE,TRUE,FALSE)</f>
        <v>1</v>
      </c>
      <c r="M2244" s="74">
        <v>73.7079846079846</v>
      </c>
      <c r="N2244" s="74">
        <f t="shared" si="1"/>
        <v>85.99264871</v>
      </c>
      <c r="O2244" s="74" t="b">
        <v>1</v>
      </c>
    </row>
    <row r="2245" hidden="1">
      <c r="A2245" s="82"/>
      <c r="B2245" s="65" t="s">
        <v>495</v>
      </c>
      <c r="C2245" s="65" t="s">
        <v>117</v>
      </c>
      <c r="D2245" s="65" t="str">
        <f>vlookup(C2245,'Classificação p pessoal'!F:G,2,false)</f>
        <v>NP</v>
      </c>
      <c r="E2245" s="65" t="s">
        <v>929</v>
      </c>
      <c r="F2245" s="83">
        <v>0.3541666666666667</v>
      </c>
      <c r="G2245" s="83">
        <v>0.3645833333333333</v>
      </c>
      <c r="H2245" s="83">
        <v>0.010416666666666666</v>
      </c>
      <c r="I2245" s="84">
        <v>44504.0</v>
      </c>
      <c r="J2245" s="65" t="b">
        <v>1</v>
      </c>
      <c r="K2245" s="65"/>
      <c r="L2245" s="85" t="b">
        <f>IF(VLOOKUP(C2245,Projetos!A:L,12,false)=TRUE,TRUE,FALSE)</f>
        <v>1</v>
      </c>
      <c r="M2245" s="74">
        <v>73.7079846079846</v>
      </c>
      <c r="N2245" s="74">
        <f t="shared" si="1"/>
        <v>18.42699615</v>
      </c>
      <c r="O2245" s="74" t="b">
        <v>1</v>
      </c>
    </row>
    <row r="2246" hidden="1">
      <c r="A2246" s="82"/>
      <c r="B2246" s="65" t="s">
        <v>495</v>
      </c>
      <c r="C2246" s="65" t="s">
        <v>92</v>
      </c>
      <c r="D2246" s="65" t="str">
        <f>vlookup(C2246,'Classificação p pessoal'!F:G,2,false)</f>
        <v/>
      </c>
      <c r="E2246" s="65" t="s">
        <v>1427</v>
      </c>
      <c r="F2246" s="83">
        <v>0.3645833333333333</v>
      </c>
      <c r="G2246" s="83">
        <v>0.4097222222222222</v>
      </c>
      <c r="H2246" s="83">
        <v>0.04513888888888889</v>
      </c>
      <c r="I2246" s="84">
        <v>44504.0</v>
      </c>
      <c r="J2246" s="65" t="b">
        <v>1</v>
      </c>
      <c r="K2246" s="65"/>
      <c r="L2246" s="85" t="b">
        <f>IF(VLOOKUP(C2246,Projetos!A:L,12,false)=TRUE,TRUE,FALSE)</f>
        <v>1</v>
      </c>
      <c r="M2246" s="74">
        <v>73.7079846079846</v>
      </c>
      <c r="N2246" s="74">
        <f t="shared" si="1"/>
        <v>79.85031666</v>
      </c>
      <c r="O2246" s="74" t="b">
        <v>1</v>
      </c>
    </row>
    <row r="2247" hidden="1">
      <c r="A2247" s="82"/>
      <c r="B2247" s="65" t="s">
        <v>495</v>
      </c>
      <c r="C2247" s="65" t="s">
        <v>117</v>
      </c>
      <c r="D2247" s="65"/>
      <c r="E2247" s="65" t="s">
        <v>1428</v>
      </c>
      <c r="F2247" s="83">
        <v>0.4097222222222222</v>
      </c>
      <c r="G2247" s="83">
        <v>0.5416666666666666</v>
      </c>
      <c r="H2247" s="83">
        <v>0.13194444444444445</v>
      </c>
      <c r="I2247" s="84">
        <v>44504.0</v>
      </c>
      <c r="J2247" s="65" t="b">
        <v>0</v>
      </c>
      <c r="K2247" s="65" t="s">
        <v>150</v>
      </c>
      <c r="L2247" s="85" t="b">
        <f>IF(VLOOKUP(C2247,Projetos!A:L,12,false)=TRUE,TRUE,FALSE)</f>
        <v>1</v>
      </c>
      <c r="M2247" s="74">
        <v>73.7079846079846</v>
      </c>
      <c r="N2247" s="74">
        <f t="shared" si="1"/>
        <v>0</v>
      </c>
      <c r="O2247" s="74" t="b">
        <v>1</v>
      </c>
    </row>
    <row r="2248" hidden="1">
      <c r="A2248" s="82"/>
      <c r="B2248" s="65" t="s">
        <v>495</v>
      </c>
      <c r="C2248" s="65" t="s">
        <v>92</v>
      </c>
      <c r="D2248" s="65" t="str">
        <f>vlookup(C2248,'Classificação p pessoal'!F:G,2,false)</f>
        <v/>
      </c>
      <c r="E2248" s="65" t="s">
        <v>1429</v>
      </c>
      <c r="F2248" s="83">
        <v>0.5416666666666666</v>
      </c>
      <c r="G2248" s="83">
        <v>0.5729166666666666</v>
      </c>
      <c r="H2248" s="83">
        <v>0.03125</v>
      </c>
      <c r="I2248" s="84">
        <v>44504.0</v>
      </c>
      <c r="J2248" s="65" t="b">
        <v>1</v>
      </c>
      <c r="K2248" s="65"/>
      <c r="L2248" s="85" t="b">
        <f>IF(VLOOKUP(C2248,Projetos!A:L,12,false)=TRUE,TRUE,FALSE)</f>
        <v>1</v>
      </c>
      <c r="M2248" s="74">
        <v>73.7079846079846</v>
      </c>
      <c r="N2248" s="74">
        <f t="shared" si="1"/>
        <v>55.28098846</v>
      </c>
      <c r="O2248" s="74" t="b">
        <v>1</v>
      </c>
    </row>
    <row r="2249" hidden="1">
      <c r="A2249" s="82"/>
      <c r="B2249" s="65" t="s">
        <v>495</v>
      </c>
      <c r="C2249" s="65" t="s">
        <v>130</v>
      </c>
      <c r="D2249" s="65" t="str">
        <f>vlookup(C2249,'Classificação p pessoal'!F:G,2,false)</f>
        <v>NP</v>
      </c>
      <c r="E2249" s="65" t="s">
        <v>1426</v>
      </c>
      <c r="F2249" s="83">
        <v>0.6666666666666666</v>
      </c>
      <c r="G2249" s="83">
        <v>0.75</v>
      </c>
      <c r="H2249" s="83">
        <v>0.08333333333333333</v>
      </c>
      <c r="I2249" s="84">
        <v>44504.0</v>
      </c>
      <c r="J2249" s="65" t="b">
        <v>1</v>
      </c>
      <c r="K2249" s="65"/>
      <c r="L2249" s="85" t="b">
        <f>IF(VLOOKUP(C2249,Projetos!A:L,12,false)=TRUE,TRUE,FALSE)</f>
        <v>1</v>
      </c>
      <c r="M2249" s="74">
        <v>73.7079846079846</v>
      </c>
      <c r="N2249" s="74">
        <f t="shared" si="1"/>
        <v>147.4159692</v>
      </c>
      <c r="O2249" s="74" t="b">
        <v>1</v>
      </c>
    </row>
    <row r="2250" hidden="1">
      <c r="A2250" s="82"/>
      <c r="B2250" s="65" t="s">
        <v>495</v>
      </c>
      <c r="C2250" s="65" t="s">
        <v>92</v>
      </c>
      <c r="D2250" s="65"/>
      <c r="E2250" s="65" t="s">
        <v>1430</v>
      </c>
      <c r="F2250" s="83">
        <v>0.3263888888888889</v>
      </c>
      <c r="G2250" s="83">
        <v>0.34375</v>
      </c>
      <c r="H2250" s="83">
        <v>0.017361111111111112</v>
      </c>
      <c r="I2250" s="84">
        <v>44505.0</v>
      </c>
      <c r="J2250" s="65" t="b">
        <v>0</v>
      </c>
      <c r="K2250" s="65" t="s">
        <v>150</v>
      </c>
      <c r="L2250" s="85" t="b">
        <f>IF(VLOOKUP(C2250,Projetos!A:L,12,false)=TRUE,TRUE,FALSE)</f>
        <v>1</v>
      </c>
      <c r="M2250" s="74">
        <v>73.7079846079846</v>
      </c>
      <c r="N2250" s="74">
        <f t="shared" si="1"/>
        <v>0</v>
      </c>
      <c r="O2250" s="74" t="b">
        <v>1</v>
      </c>
    </row>
    <row r="2251" hidden="1">
      <c r="A2251" s="82"/>
      <c r="B2251" s="65" t="s">
        <v>495</v>
      </c>
      <c r="C2251" s="65" t="s">
        <v>117</v>
      </c>
      <c r="D2251" s="65" t="str">
        <f>vlookup(C2251,'Classificação p pessoal'!F:G,2,false)</f>
        <v>NP</v>
      </c>
      <c r="E2251" s="65" t="s">
        <v>1431</v>
      </c>
      <c r="F2251" s="83">
        <v>0.34375</v>
      </c>
      <c r="G2251" s="83">
        <v>0.375</v>
      </c>
      <c r="H2251" s="83">
        <v>0.03125</v>
      </c>
      <c r="I2251" s="84">
        <v>44505.0</v>
      </c>
      <c r="J2251" s="65" t="b">
        <v>1</v>
      </c>
      <c r="K2251" s="65"/>
      <c r="L2251" s="85" t="b">
        <f>IF(VLOOKUP(C2251,Projetos!A:L,12,false)=TRUE,TRUE,FALSE)</f>
        <v>1</v>
      </c>
      <c r="M2251" s="74">
        <v>73.7079846079846</v>
      </c>
      <c r="N2251" s="74">
        <f t="shared" si="1"/>
        <v>55.28098846</v>
      </c>
      <c r="O2251" s="74" t="b">
        <v>1</v>
      </c>
    </row>
    <row r="2252" hidden="1">
      <c r="A2252" s="82"/>
      <c r="B2252" s="65" t="s">
        <v>495</v>
      </c>
      <c r="C2252" s="65" t="s">
        <v>92</v>
      </c>
      <c r="D2252" s="65" t="str">
        <f>vlookup(C2252,'Classificação p pessoal'!F:G,2,false)</f>
        <v/>
      </c>
      <c r="E2252" s="65" t="s">
        <v>1426</v>
      </c>
      <c r="F2252" s="83">
        <v>0.3958333333333333</v>
      </c>
      <c r="G2252" s="83">
        <v>0.4791666666666667</v>
      </c>
      <c r="H2252" s="83">
        <v>0.08333333333333333</v>
      </c>
      <c r="I2252" s="84">
        <v>44505.0</v>
      </c>
      <c r="J2252" s="65" t="b">
        <v>1</v>
      </c>
      <c r="K2252" s="65"/>
      <c r="L2252" s="85" t="b">
        <f>IF(VLOOKUP(C2252,Projetos!A:L,12,false)=TRUE,TRUE,FALSE)</f>
        <v>1</v>
      </c>
      <c r="M2252" s="74">
        <v>73.7079846079846</v>
      </c>
      <c r="N2252" s="74">
        <f t="shared" si="1"/>
        <v>147.4159692</v>
      </c>
      <c r="O2252" s="74" t="b">
        <v>1</v>
      </c>
    </row>
    <row r="2253" hidden="1">
      <c r="A2253" s="82"/>
      <c r="B2253" s="65" t="s">
        <v>495</v>
      </c>
      <c r="C2253" s="65" t="s">
        <v>92</v>
      </c>
      <c r="D2253" s="65" t="str">
        <f>vlookup(C2253,'Classificação p pessoal'!F:G,2,false)</f>
        <v/>
      </c>
      <c r="E2253" s="65" t="s">
        <v>1432</v>
      </c>
      <c r="F2253" s="83">
        <v>0.4861111111111111</v>
      </c>
      <c r="G2253" s="83">
        <v>0.5694444444444444</v>
      </c>
      <c r="H2253" s="83">
        <v>0.08333333333333333</v>
      </c>
      <c r="I2253" s="84">
        <v>44505.0</v>
      </c>
      <c r="J2253" s="65" t="b">
        <v>1</v>
      </c>
      <c r="K2253" s="65"/>
      <c r="L2253" s="85" t="b">
        <f>IF(VLOOKUP(C2253,Projetos!A:L,12,false)=TRUE,TRUE,FALSE)</f>
        <v>1</v>
      </c>
      <c r="M2253" s="74">
        <v>73.7079846079846</v>
      </c>
      <c r="N2253" s="74">
        <f t="shared" si="1"/>
        <v>147.4159692</v>
      </c>
      <c r="O2253" s="74" t="b">
        <v>1</v>
      </c>
    </row>
    <row r="2254" hidden="1">
      <c r="A2254" s="82"/>
      <c r="B2254" s="65" t="s">
        <v>495</v>
      </c>
      <c r="C2254" s="65" t="s">
        <v>92</v>
      </c>
      <c r="D2254" s="65" t="str">
        <f>vlookup(C2254,'Classificação p pessoal'!F:G,2,false)</f>
        <v/>
      </c>
      <c r="E2254" s="65" t="s">
        <v>834</v>
      </c>
      <c r="F2254" s="83">
        <v>0.6111111111111112</v>
      </c>
      <c r="G2254" s="83">
        <v>0.6666666666666666</v>
      </c>
      <c r="H2254" s="83">
        <v>0.05555555555555555</v>
      </c>
      <c r="I2254" s="84">
        <v>44505.0</v>
      </c>
      <c r="J2254" s="65" t="b">
        <v>1</v>
      </c>
      <c r="K2254" s="65"/>
      <c r="L2254" s="85" t="b">
        <f>IF(VLOOKUP(C2254,Projetos!A:L,12,false)=TRUE,TRUE,FALSE)</f>
        <v>1</v>
      </c>
      <c r="M2254" s="74">
        <v>73.7079846079846</v>
      </c>
      <c r="N2254" s="74">
        <f t="shared" si="1"/>
        <v>98.27731281</v>
      </c>
      <c r="O2254" s="74" t="b">
        <v>1</v>
      </c>
    </row>
    <row r="2255" hidden="1">
      <c r="A2255" s="82"/>
      <c r="B2255" s="65" t="s">
        <v>495</v>
      </c>
      <c r="C2255" s="65" t="s">
        <v>117</v>
      </c>
      <c r="D2255" s="65" t="str">
        <f>vlookup(C2255,'Classificação p pessoal'!F:G,2,false)</f>
        <v>NP</v>
      </c>
      <c r="E2255" s="65" t="s">
        <v>1433</v>
      </c>
      <c r="F2255" s="83">
        <v>0.6666666666666666</v>
      </c>
      <c r="G2255" s="83">
        <v>0.7083333333333334</v>
      </c>
      <c r="H2255" s="83">
        <v>0.041666666666666664</v>
      </c>
      <c r="I2255" s="84">
        <v>44505.0</v>
      </c>
      <c r="J2255" s="65" t="b">
        <v>1</v>
      </c>
      <c r="K2255" s="65"/>
      <c r="L2255" s="85" t="b">
        <f>IF(VLOOKUP(C2255,Projetos!A:L,12,false)=TRUE,TRUE,FALSE)</f>
        <v>1</v>
      </c>
      <c r="M2255" s="74">
        <v>73.7079846079846</v>
      </c>
      <c r="N2255" s="74">
        <f t="shared" si="1"/>
        <v>73.70798461</v>
      </c>
      <c r="O2255" s="74" t="b">
        <v>1</v>
      </c>
    </row>
    <row r="2256" hidden="1">
      <c r="A2256" s="82"/>
      <c r="B2256" s="65" t="s">
        <v>495</v>
      </c>
      <c r="C2256" s="65" t="s">
        <v>117</v>
      </c>
      <c r="D2256" s="65" t="str">
        <f>vlookup(C2256,'Classificação p pessoal'!F:G,2,false)</f>
        <v>NP</v>
      </c>
      <c r="E2256" s="65" t="s">
        <v>865</v>
      </c>
      <c r="F2256" s="83">
        <v>0.7291666666666666</v>
      </c>
      <c r="G2256" s="83">
        <v>0.75</v>
      </c>
      <c r="H2256" s="83">
        <v>0.020833333333333332</v>
      </c>
      <c r="I2256" s="84">
        <v>44505.0</v>
      </c>
      <c r="J2256" s="65" t="b">
        <v>1</v>
      </c>
      <c r="K2256" s="65"/>
      <c r="L2256" s="85" t="b">
        <f>IF(VLOOKUP(C2256,Projetos!A:L,12,false)=TRUE,TRUE,FALSE)</f>
        <v>1</v>
      </c>
      <c r="M2256" s="74">
        <v>73.7079846079846</v>
      </c>
      <c r="N2256" s="74">
        <f t="shared" si="1"/>
        <v>36.8539923</v>
      </c>
      <c r="O2256" s="74" t="b">
        <v>1</v>
      </c>
    </row>
    <row r="2257" hidden="1">
      <c r="A2257" s="82"/>
      <c r="B2257" s="65" t="s">
        <v>495</v>
      </c>
      <c r="C2257" s="65" t="s">
        <v>92</v>
      </c>
      <c r="D2257" s="65" t="str">
        <f>vlookup(C2257,'Classificação p pessoal'!F:G,2,false)</f>
        <v/>
      </c>
      <c r="E2257" s="65" t="s">
        <v>1434</v>
      </c>
      <c r="F2257" s="83">
        <v>0.3541666666666667</v>
      </c>
      <c r="G2257" s="83">
        <v>0.3958333333333333</v>
      </c>
      <c r="H2257" s="83">
        <v>0.041666666666666664</v>
      </c>
      <c r="I2257" s="84">
        <v>44508.0</v>
      </c>
      <c r="J2257" s="65" t="b">
        <v>1</v>
      </c>
      <c r="K2257" s="65"/>
      <c r="L2257" s="85" t="b">
        <f>IF(VLOOKUP(C2257,Projetos!A:L,12,false)=TRUE,TRUE,FALSE)</f>
        <v>1</v>
      </c>
      <c r="M2257" s="74">
        <v>73.7079846079846</v>
      </c>
      <c r="N2257" s="74">
        <f t="shared" si="1"/>
        <v>73.70798461</v>
      </c>
      <c r="O2257" s="74" t="b">
        <v>1</v>
      </c>
    </row>
    <row r="2258" hidden="1">
      <c r="A2258" s="82"/>
      <c r="B2258" s="65" t="s">
        <v>495</v>
      </c>
      <c r="C2258" s="65" t="s">
        <v>92</v>
      </c>
      <c r="D2258" s="65" t="str">
        <f>vlookup(C2258,'Classificação p pessoal'!F:G,2,false)</f>
        <v/>
      </c>
      <c r="E2258" s="65" t="s">
        <v>1435</v>
      </c>
      <c r="F2258" s="83">
        <v>0.4027777777777778</v>
      </c>
      <c r="G2258" s="83">
        <v>0.4583333333333333</v>
      </c>
      <c r="H2258" s="83">
        <v>0.05555555555555555</v>
      </c>
      <c r="I2258" s="84">
        <v>44508.0</v>
      </c>
      <c r="J2258" s="65" t="b">
        <v>1</v>
      </c>
      <c r="K2258" s="65"/>
      <c r="L2258" s="85" t="b">
        <f>IF(VLOOKUP(C2258,Projetos!A:L,12,false)=TRUE,TRUE,FALSE)</f>
        <v>1</v>
      </c>
      <c r="M2258" s="74">
        <v>73.7079846079846</v>
      </c>
      <c r="N2258" s="74">
        <f t="shared" si="1"/>
        <v>98.27731281</v>
      </c>
      <c r="O2258" s="74" t="b">
        <v>1</v>
      </c>
    </row>
    <row r="2259" hidden="1">
      <c r="A2259" s="82"/>
      <c r="B2259" s="65" t="s">
        <v>495</v>
      </c>
      <c r="C2259" s="65" t="s">
        <v>92</v>
      </c>
      <c r="D2259" s="65" t="str">
        <f>vlookup(C2259,'Classificação p pessoal'!F:G,2,false)</f>
        <v/>
      </c>
      <c r="E2259" s="65" t="s">
        <v>1436</v>
      </c>
      <c r="F2259" s="83">
        <v>0.4583333333333333</v>
      </c>
      <c r="G2259" s="83">
        <v>0.4791666666666667</v>
      </c>
      <c r="H2259" s="83">
        <v>0.020833333333333332</v>
      </c>
      <c r="I2259" s="84">
        <v>44508.0</v>
      </c>
      <c r="J2259" s="65" t="b">
        <v>1</v>
      </c>
      <c r="K2259" s="65"/>
      <c r="L2259" s="85" t="b">
        <f>IF(VLOOKUP(C2259,Projetos!A:L,12,false)=TRUE,TRUE,FALSE)</f>
        <v>1</v>
      </c>
      <c r="M2259" s="74">
        <v>73.7079846079846</v>
      </c>
      <c r="N2259" s="74">
        <f t="shared" si="1"/>
        <v>36.8539923</v>
      </c>
      <c r="O2259" s="74" t="b">
        <v>1</v>
      </c>
    </row>
    <row r="2260" hidden="1">
      <c r="A2260" s="82"/>
      <c r="B2260" s="65" t="s">
        <v>495</v>
      </c>
      <c r="C2260" s="65" t="s">
        <v>92</v>
      </c>
      <c r="D2260" s="65" t="str">
        <f>vlookup(C2260,'Classificação p pessoal'!F:G,2,false)</f>
        <v/>
      </c>
      <c r="E2260" s="65" t="s">
        <v>1437</v>
      </c>
      <c r="F2260" s="83">
        <v>0.4791666666666667</v>
      </c>
      <c r="G2260" s="83">
        <v>0.5208333333333334</v>
      </c>
      <c r="H2260" s="83">
        <v>0.041666666666666664</v>
      </c>
      <c r="I2260" s="84">
        <v>44508.0</v>
      </c>
      <c r="J2260" s="65" t="b">
        <v>1</v>
      </c>
      <c r="K2260" s="65"/>
      <c r="L2260" s="85" t="b">
        <f>IF(VLOOKUP(C2260,Projetos!A:L,12,false)=TRUE,TRUE,FALSE)</f>
        <v>1</v>
      </c>
      <c r="M2260" s="74">
        <v>73.7079846079846</v>
      </c>
      <c r="N2260" s="74">
        <f t="shared" si="1"/>
        <v>73.70798461</v>
      </c>
      <c r="O2260" s="74" t="b">
        <v>1</v>
      </c>
    </row>
    <row r="2261" hidden="1">
      <c r="A2261" s="82"/>
      <c r="B2261" s="65" t="s">
        <v>495</v>
      </c>
      <c r="C2261" s="65" t="s">
        <v>117</v>
      </c>
      <c r="D2261" s="65" t="str">
        <f>vlookup(C2261,'Classificação p pessoal'!F:G,2,false)</f>
        <v>NP</v>
      </c>
      <c r="E2261" s="65" t="s">
        <v>865</v>
      </c>
      <c r="F2261" s="83">
        <v>0.5208333333333334</v>
      </c>
      <c r="G2261" s="83">
        <v>0.5763888888888888</v>
      </c>
      <c r="H2261" s="83">
        <v>0.05555555555555555</v>
      </c>
      <c r="I2261" s="84">
        <v>44508.0</v>
      </c>
      <c r="J2261" s="65" t="b">
        <v>1</v>
      </c>
      <c r="K2261" s="65"/>
      <c r="L2261" s="85" t="b">
        <f>IF(VLOOKUP(C2261,Projetos!A:L,12,false)=TRUE,TRUE,FALSE)</f>
        <v>1</v>
      </c>
      <c r="M2261" s="74">
        <v>73.7079846079846</v>
      </c>
      <c r="N2261" s="74">
        <f t="shared" si="1"/>
        <v>98.27731281</v>
      </c>
      <c r="O2261" s="74" t="b">
        <v>1</v>
      </c>
    </row>
    <row r="2262" hidden="1">
      <c r="A2262" s="82"/>
      <c r="B2262" s="65" t="s">
        <v>495</v>
      </c>
      <c r="C2262" s="65" t="s">
        <v>117</v>
      </c>
      <c r="D2262" s="65" t="str">
        <f>vlookup(C2262,'Classificação p pessoal'!F:G,2,false)</f>
        <v>NP</v>
      </c>
      <c r="E2262" s="65" t="s">
        <v>1438</v>
      </c>
      <c r="F2262" s="83">
        <v>0.625</v>
      </c>
      <c r="G2262" s="83">
        <v>0.6979166666666666</v>
      </c>
      <c r="H2262" s="83">
        <v>0.07291666666666667</v>
      </c>
      <c r="I2262" s="84">
        <v>44508.0</v>
      </c>
      <c r="J2262" s="65" t="b">
        <v>1</v>
      </c>
      <c r="K2262" s="65"/>
      <c r="L2262" s="85" t="b">
        <f>IF(VLOOKUP(C2262,Projetos!A:L,12,false)=TRUE,TRUE,FALSE)</f>
        <v>1</v>
      </c>
      <c r="M2262" s="74">
        <v>73.7079846079846</v>
      </c>
      <c r="N2262" s="74">
        <f t="shared" si="1"/>
        <v>128.9889731</v>
      </c>
      <c r="O2262" s="74" t="b">
        <v>1</v>
      </c>
    </row>
    <row r="2263" hidden="1">
      <c r="A2263" s="82"/>
      <c r="B2263" s="65" t="s">
        <v>495</v>
      </c>
      <c r="C2263" s="65" t="s">
        <v>92</v>
      </c>
      <c r="D2263" s="65" t="str">
        <f>vlookup(C2263,'Classificação p pessoal'!F:G,2,false)</f>
        <v/>
      </c>
      <c r="E2263" s="65" t="s">
        <v>1439</v>
      </c>
      <c r="F2263" s="83">
        <v>0.71875</v>
      </c>
      <c r="G2263" s="83">
        <v>0.75</v>
      </c>
      <c r="H2263" s="83">
        <v>0.03125</v>
      </c>
      <c r="I2263" s="84">
        <v>44508.0</v>
      </c>
      <c r="J2263" s="65" t="b">
        <v>1</v>
      </c>
      <c r="K2263" s="65"/>
      <c r="L2263" s="85" t="b">
        <f>IF(VLOOKUP(C2263,Projetos!A:L,12,false)=TRUE,TRUE,FALSE)</f>
        <v>1</v>
      </c>
      <c r="M2263" s="74">
        <v>73.7079846079846</v>
      </c>
      <c r="N2263" s="74">
        <f t="shared" si="1"/>
        <v>55.28098846</v>
      </c>
      <c r="O2263" s="74" t="b">
        <v>1</v>
      </c>
    </row>
    <row r="2264" hidden="1">
      <c r="A2264" s="82"/>
      <c r="B2264" s="65" t="s">
        <v>495</v>
      </c>
      <c r="C2264" s="65" t="s">
        <v>117</v>
      </c>
      <c r="D2264" s="65" t="str">
        <f>vlookup(C2264,'Classificação p pessoal'!F:G,2,false)</f>
        <v>NP</v>
      </c>
      <c r="E2264" s="65" t="s">
        <v>1438</v>
      </c>
      <c r="F2264" s="83">
        <v>0.3333333333333333</v>
      </c>
      <c r="G2264" s="83">
        <v>0.4166666666666667</v>
      </c>
      <c r="H2264" s="83">
        <v>0.08333333333333333</v>
      </c>
      <c r="I2264" s="84">
        <v>44509.0</v>
      </c>
      <c r="J2264" s="65" t="b">
        <v>1</v>
      </c>
      <c r="K2264" s="65"/>
      <c r="L2264" s="85" t="b">
        <f>IF(VLOOKUP(C2264,Projetos!A:L,12,false)=TRUE,TRUE,FALSE)</f>
        <v>1</v>
      </c>
      <c r="M2264" s="74">
        <v>73.7079846079846</v>
      </c>
      <c r="N2264" s="74">
        <f t="shared" si="1"/>
        <v>147.4159692</v>
      </c>
      <c r="O2264" s="74" t="b">
        <v>1</v>
      </c>
    </row>
    <row r="2265" hidden="1">
      <c r="A2265" s="82"/>
      <c r="B2265" s="65" t="s">
        <v>495</v>
      </c>
      <c r="C2265" s="65" t="s">
        <v>130</v>
      </c>
      <c r="D2265" s="65" t="str">
        <f>vlookup(C2265,'Classificação p pessoal'!F:G,2,false)</f>
        <v>NP</v>
      </c>
      <c r="E2265" s="65" t="s">
        <v>1440</v>
      </c>
      <c r="F2265" s="83">
        <v>0.4166666666666667</v>
      </c>
      <c r="G2265" s="83">
        <v>0.4375</v>
      </c>
      <c r="H2265" s="83">
        <v>0.020833333333333332</v>
      </c>
      <c r="I2265" s="84">
        <v>44509.0</v>
      </c>
      <c r="J2265" s="65" t="b">
        <v>1</v>
      </c>
      <c r="K2265" s="65"/>
      <c r="L2265" s="85" t="b">
        <f>IF(VLOOKUP(C2265,Projetos!A:L,12,false)=TRUE,TRUE,FALSE)</f>
        <v>1</v>
      </c>
      <c r="M2265" s="74">
        <v>73.7079846079846</v>
      </c>
      <c r="N2265" s="74">
        <f t="shared" si="1"/>
        <v>36.8539923</v>
      </c>
      <c r="O2265" s="74" t="b">
        <v>1</v>
      </c>
    </row>
    <row r="2266" hidden="1">
      <c r="A2266" s="82"/>
      <c r="B2266" s="65" t="s">
        <v>495</v>
      </c>
      <c r="C2266" s="65" t="s">
        <v>130</v>
      </c>
      <c r="D2266" s="65" t="str">
        <f>vlookup(C2266,'Classificação p pessoal'!F:G,2,false)</f>
        <v>NP</v>
      </c>
      <c r="E2266" s="65" t="s">
        <v>1441</v>
      </c>
      <c r="F2266" s="83">
        <v>0.4375</v>
      </c>
      <c r="G2266" s="83">
        <v>0.5</v>
      </c>
      <c r="H2266" s="83">
        <v>0.0625</v>
      </c>
      <c r="I2266" s="84">
        <v>44509.0</v>
      </c>
      <c r="J2266" s="65" t="b">
        <v>1</v>
      </c>
      <c r="K2266" s="65"/>
      <c r="L2266" s="85" t="b">
        <f>IF(VLOOKUP(C2266,Projetos!A:L,12,false)=TRUE,TRUE,FALSE)</f>
        <v>1</v>
      </c>
      <c r="M2266" s="74">
        <v>73.7079846079846</v>
      </c>
      <c r="N2266" s="74">
        <f t="shared" si="1"/>
        <v>110.5619769</v>
      </c>
      <c r="O2266" s="74" t="b">
        <v>1</v>
      </c>
    </row>
    <row r="2267" hidden="1">
      <c r="A2267" s="82"/>
      <c r="B2267" s="65" t="s">
        <v>495</v>
      </c>
      <c r="C2267" s="65" t="s">
        <v>117</v>
      </c>
      <c r="D2267" s="65" t="str">
        <f>vlookup(C2267,'Classificação p pessoal'!F:G,2,false)</f>
        <v>NP</v>
      </c>
      <c r="E2267" s="65" t="s">
        <v>1442</v>
      </c>
      <c r="F2267" s="83">
        <v>0.5</v>
      </c>
      <c r="G2267" s="83">
        <v>0.5833333333333334</v>
      </c>
      <c r="H2267" s="83">
        <v>0.08333333333333333</v>
      </c>
      <c r="I2267" s="84">
        <v>44509.0</v>
      </c>
      <c r="J2267" s="65" t="b">
        <v>1</v>
      </c>
      <c r="K2267" s="65"/>
      <c r="L2267" s="85" t="b">
        <f>IF(VLOOKUP(C2267,Projetos!A:L,12,false)=TRUE,TRUE,FALSE)</f>
        <v>1</v>
      </c>
      <c r="M2267" s="74">
        <v>73.7079846079846</v>
      </c>
      <c r="N2267" s="74">
        <f t="shared" si="1"/>
        <v>147.4159692</v>
      </c>
      <c r="O2267" s="74" t="b">
        <v>1</v>
      </c>
    </row>
    <row r="2268" hidden="1">
      <c r="A2268" s="82"/>
      <c r="B2268" s="65" t="s">
        <v>495</v>
      </c>
      <c r="C2268" s="65" t="s">
        <v>117</v>
      </c>
      <c r="D2268" s="65" t="str">
        <f>vlookup(C2268,'Classificação p pessoal'!F:G,2,false)</f>
        <v>NP</v>
      </c>
      <c r="E2268" s="65" t="s">
        <v>1443</v>
      </c>
      <c r="F2268" s="83">
        <v>0.625</v>
      </c>
      <c r="G2268" s="83">
        <v>0.65625</v>
      </c>
      <c r="H2268" s="83">
        <v>0.03125</v>
      </c>
      <c r="I2268" s="84">
        <v>44509.0</v>
      </c>
      <c r="J2268" s="65" t="b">
        <v>1</v>
      </c>
      <c r="K2268" s="65"/>
      <c r="L2268" s="85" t="b">
        <f>IF(VLOOKUP(C2268,Projetos!A:L,12,false)=TRUE,TRUE,FALSE)</f>
        <v>1</v>
      </c>
      <c r="M2268" s="74">
        <v>73.7079846079846</v>
      </c>
      <c r="N2268" s="74">
        <f t="shared" si="1"/>
        <v>55.28098846</v>
      </c>
      <c r="O2268" s="74" t="b">
        <v>1</v>
      </c>
    </row>
    <row r="2269" hidden="1">
      <c r="A2269" s="82"/>
      <c r="B2269" s="65" t="s">
        <v>495</v>
      </c>
      <c r="C2269" s="65" t="s">
        <v>92</v>
      </c>
      <c r="D2269" s="65" t="str">
        <f>vlookup(C2269,'Classificação p pessoal'!F:G,2,false)</f>
        <v/>
      </c>
      <c r="E2269" s="65" t="s">
        <v>1444</v>
      </c>
      <c r="F2269" s="83">
        <v>0.6666666666666666</v>
      </c>
      <c r="G2269" s="83">
        <v>0.6979166666666666</v>
      </c>
      <c r="H2269" s="83">
        <v>0.03125</v>
      </c>
      <c r="I2269" s="84">
        <v>44509.0</v>
      </c>
      <c r="J2269" s="65" t="b">
        <v>1</v>
      </c>
      <c r="K2269" s="65"/>
      <c r="L2269" s="85" t="b">
        <f>IF(VLOOKUP(C2269,Projetos!A:L,12,false)=TRUE,TRUE,FALSE)</f>
        <v>1</v>
      </c>
      <c r="M2269" s="74">
        <v>73.7079846079846</v>
      </c>
      <c r="N2269" s="74">
        <f t="shared" si="1"/>
        <v>55.28098846</v>
      </c>
      <c r="O2269" s="74" t="b">
        <v>1</v>
      </c>
    </row>
    <row r="2270" hidden="1">
      <c r="A2270" s="82"/>
      <c r="B2270" s="65" t="s">
        <v>495</v>
      </c>
      <c r="C2270" s="65" t="s">
        <v>92</v>
      </c>
      <c r="D2270" s="65" t="str">
        <f>vlookup(C2270,'Classificação p pessoal'!F:G,2,false)</f>
        <v/>
      </c>
      <c r="E2270" s="65" t="s">
        <v>1439</v>
      </c>
      <c r="F2270" s="83">
        <v>0.71875</v>
      </c>
      <c r="G2270" s="83">
        <v>0.75</v>
      </c>
      <c r="H2270" s="83">
        <v>0.03125</v>
      </c>
      <c r="I2270" s="84">
        <v>44509.0</v>
      </c>
      <c r="J2270" s="65" t="b">
        <v>1</v>
      </c>
      <c r="K2270" s="65"/>
      <c r="L2270" s="85" t="b">
        <f>IF(VLOOKUP(C2270,Projetos!A:L,12,false)=TRUE,TRUE,FALSE)</f>
        <v>1</v>
      </c>
      <c r="M2270" s="74">
        <v>73.7079846079846</v>
      </c>
      <c r="N2270" s="74">
        <f t="shared" si="1"/>
        <v>55.28098846</v>
      </c>
      <c r="O2270" s="74" t="b">
        <v>1</v>
      </c>
    </row>
    <row r="2271" hidden="1">
      <c r="A2271" s="82"/>
      <c r="B2271" s="65" t="s">
        <v>495</v>
      </c>
      <c r="C2271" s="65" t="s">
        <v>92</v>
      </c>
      <c r="D2271" s="65" t="str">
        <f>vlookup(C2271,'Classificação p pessoal'!F:G,2,false)</f>
        <v/>
      </c>
      <c r="E2271" s="65" t="s">
        <v>1442</v>
      </c>
      <c r="F2271" s="83">
        <v>0.34375</v>
      </c>
      <c r="G2271" s="83">
        <v>0.4375</v>
      </c>
      <c r="H2271" s="83">
        <v>0.09375</v>
      </c>
      <c r="I2271" s="84">
        <v>44510.0</v>
      </c>
      <c r="J2271" s="65" t="b">
        <v>1</v>
      </c>
      <c r="K2271" s="65"/>
      <c r="L2271" s="85" t="b">
        <f>IF(VLOOKUP(C2271,Projetos!A:L,12,false)=TRUE,TRUE,FALSE)</f>
        <v>1</v>
      </c>
      <c r="M2271" s="74">
        <v>73.7079846079846</v>
      </c>
      <c r="N2271" s="74">
        <f t="shared" si="1"/>
        <v>165.8429654</v>
      </c>
      <c r="O2271" s="74" t="b">
        <v>1</v>
      </c>
    </row>
    <row r="2272" hidden="1">
      <c r="A2272" s="82"/>
      <c r="B2272" s="65" t="s">
        <v>411</v>
      </c>
      <c r="C2272" s="65" t="s">
        <v>117</v>
      </c>
      <c r="D2272" s="65" t="str">
        <f>vlookup(C2272,'Classificação p pessoal'!F:G,2,false)</f>
        <v>NP</v>
      </c>
      <c r="E2272" s="65" t="s">
        <v>1445</v>
      </c>
      <c r="F2272" s="83">
        <v>0.6875</v>
      </c>
      <c r="G2272" s="83">
        <v>0.75</v>
      </c>
      <c r="H2272" s="83">
        <v>0.0625</v>
      </c>
      <c r="I2272" s="84">
        <v>44503.0</v>
      </c>
      <c r="J2272" s="65" t="b">
        <v>1</v>
      </c>
      <c r="K2272" s="65"/>
      <c r="L2272" s="85" t="b">
        <f>IF(VLOOKUP(C2272,Projetos!A:L,12,false)=TRUE,TRUE,FALSE)</f>
        <v>1</v>
      </c>
      <c r="M2272" s="74">
        <v>52.48434411075036</v>
      </c>
      <c r="N2272" s="74">
        <f t="shared" si="1"/>
        <v>78.72651617</v>
      </c>
      <c r="O2272" s="74" t="b">
        <v>1</v>
      </c>
    </row>
    <row r="2273" hidden="1">
      <c r="A2273" s="82"/>
      <c r="B2273" s="65" t="s">
        <v>495</v>
      </c>
      <c r="C2273" s="65" t="s">
        <v>92</v>
      </c>
      <c r="D2273" s="65" t="str">
        <f>vlookup(C2273,'Classificação p pessoal'!F:G,2,false)</f>
        <v/>
      </c>
      <c r="E2273" s="65" t="s">
        <v>1446</v>
      </c>
      <c r="F2273" s="83">
        <v>0.34375</v>
      </c>
      <c r="G2273" s="83">
        <v>0.5</v>
      </c>
      <c r="H2273" s="83">
        <v>0.15625</v>
      </c>
      <c r="I2273" s="84">
        <v>44511.0</v>
      </c>
      <c r="J2273" s="65" t="b">
        <v>1</v>
      </c>
      <c r="K2273" s="65"/>
      <c r="L2273" s="85" t="b">
        <f>IF(VLOOKUP(C2273,Projetos!A:L,12,false)=TRUE,TRUE,FALSE)</f>
        <v>1</v>
      </c>
      <c r="M2273" s="74">
        <v>73.7079846079846</v>
      </c>
      <c r="N2273" s="74">
        <f t="shared" si="1"/>
        <v>276.4049423</v>
      </c>
      <c r="O2273" s="74" t="b">
        <v>1</v>
      </c>
    </row>
    <row r="2274" hidden="1">
      <c r="A2274" s="82"/>
      <c r="B2274" s="65" t="s">
        <v>495</v>
      </c>
      <c r="C2274" s="65" t="s">
        <v>92</v>
      </c>
      <c r="D2274" s="65"/>
      <c r="E2274" s="65" t="s">
        <v>1447</v>
      </c>
      <c r="F2274" s="83">
        <v>0.5625</v>
      </c>
      <c r="G2274" s="83">
        <v>0.8125</v>
      </c>
      <c r="H2274" s="83">
        <v>0.25</v>
      </c>
      <c r="I2274" s="84">
        <v>44511.0</v>
      </c>
      <c r="J2274" s="65" t="b">
        <v>0</v>
      </c>
      <c r="K2274" s="65" t="s">
        <v>150</v>
      </c>
      <c r="L2274" s="85" t="b">
        <f>IF(VLOOKUP(C2274,Projetos!A:L,12,false)=TRUE,TRUE,FALSE)</f>
        <v>1</v>
      </c>
      <c r="M2274" s="74">
        <v>73.7079846079846</v>
      </c>
      <c r="N2274" s="74">
        <f t="shared" si="1"/>
        <v>0</v>
      </c>
      <c r="O2274" s="74" t="b">
        <v>1</v>
      </c>
    </row>
    <row r="2275" hidden="1">
      <c r="A2275" s="82"/>
      <c r="B2275" s="65" t="s">
        <v>495</v>
      </c>
      <c r="C2275" s="65" t="s">
        <v>92</v>
      </c>
      <c r="D2275" s="65" t="str">
        <f>vlookup(C2275,'Classificação p pessoal'!F:G,2,false)</f>
        <v/>
      </c>
      <c r="E2275" s="65" t="s">
        <v>1448</v>
      </c>
      <c r="F2275" s="83">
        <v>0.53125</v>
      </c>
      <c r="G2275" s="83">
        <v>0.65625</v>
      </c>
      <c r="H2275" s="83">
        <v>0.125</v>
      </c>
      <c r="I2275" s="84">
        <v>44512.0</v>
      </c>
      <c r="J2275" s="65" t="b">
        <v>1</v>
      </c>
      <c r="K2275" s="65"/>
      <c r="L2275" s="85" t="b">
        <f>IF(VLOOKUP(C2275,Projetos!A:L,12,false)=TRUE,TRUE,FALSE)</f>
        <v>1</v>
      </c>
      <c r="M2275" s="74">
        <v>73.7079846079846</v>
      </c>
      <c r="N2275" s="74">
        <f t="shared" si="1"/>
        <v>221.1239538</v>
      </c>
      <c r="O2275" s="74" t="b">
        <v>1</v>
      </c>
    </row>
    <row r="2276" hidden="1">
      <c r="A2276" s="82"/>
      <c r="B2276" s="65" t="s">
        <v>495</v>
      </c>
      <c r="C2276" s="65" t="s">
        <v>117</v>
      </c>
      <c r="D2276" s="65" t="str">
        <f>vlookup(C2276,'Classificação p pessoal'!F:G,2,false)</f>
        <v>NP</v>
      </c>
      <c r="E2276" s="65" t="s">
        <v>1449</v>
      </c>
      <c r="F2276" s="83">
        <v>0.65625</v>
      </c>
      <c r="G2276" s="83">
        <v>0.6770833333333334</v>
      </c>
      <c r="H2276" s="83">
        <v>0.020833333333333332</v>
      </c>
      <c r="I2276" s="84">
        <v>44512.0</v>
      </c>
      <c r="J2276" s="65" t="b">
        <v>1</v>
      </c>
      <c r="K2276" s="65"/>
      <c r="L2276" s="85" t="b">
        <f>IF(VLOOKUP(C2276,Projetos!A:L,12,false)=TRUE,TRUE,FALSE)</f>
        <v>1</v>
      </c>
      <c r="M2276" s="74">
        <v>73.7079846079846</v>
      </c>
      <c r="N2276" s="74">
        <f t="shared" si="1"/>
        <v>36.8539923</v>
      </c>
      <c r="O2276" s="74" t="b">
        <v>1</v>
      </c>
    </row>
    <row r="2277" hidden="1">
      <c r="A2277" s="82"/>
      <c r="B2277" s="65" t="s">
        <v>495</v>
      </c>
      <c r="C2277" s="65" t="s">
        <v>117</v>
      </c>
      <c r="D2277" s="65" t="str">
        <f>vlookup(C2277,'Classificação p pessoal'!F:G,2,false)</f>
        <v>NP</v>
      </c>
      <c r="E2277" s="65" t="s">
        <v>1442</v>
      </c>
      <c r="F2277" s="83">
        <v>0.6770833333333334</v>
      </c>
      <c r="G2277" s="83">
        <v>0.75</v>
      </c>
      <c r="H2277" s="83">
        <v>0.07291666666666667</v>
      </c>
      <c r="I2277" s="84">
        <v>44512.0</v>
      </c>
      <c r="J2277" s="65" t="b">
        <v>1</v>
      </c>
      <c r="K2277" s="65"/>
      <c r="L2277" s="85" t="b">
        <f>IF(VLOOKUP(C2277,Projetos!A:L,12,false)=TRUE,TRUE,FALSE)</f>
        <v>1</v>
      </c>
      <c r="M2277" s="74">
        <v>73.7079846079846</v>
      </c>
      <c r="N2277" s="74">
        <f t="shared" si="1"/>
        <v>128.9889731</v>
      </c>
      <c r="O2277" s="74" t="b">
        <v>1</v>
      </c>
    </row>
    <row r="2278" hidden="1">
      <c r="A2278" s="82"/>
      <c r="B2278" s="65" t="s">
        <v>495</v>
      </c>
      <c r="C2278" s="65" t="s">
        <v>117</v>
      </c>
      <c r="D2278" s="65" t="str">
        <f>vlookup(C2278,'Classificação p pessoal'!F:G,2,false)</f>
        <v>NP</v>
      </c>
      <c r="E2278" s="65" t="s">
        <v>1442</v>
      </c>
      <c r="F2278" s="83">
        <v>0.3263888888888889</v>
      </c>
      <c r="G2278" s="83">
        <v>0.4444444444444444</v>
      </c>
      <c r="H2278" s="83">
        <v>0.11805555555555555</v>
      </c>
      <c r="I2278" s="84">
        <v>44516.0</v>
      </c>
      <c r="J2278" s="65" t="b">
        <v>1</v>
      </c>
      <c r="K2278" s="65"/>
      <c r="L2278" s="85" t="b">
        <f>IF(VLOOKUP(C2278,Projetos!A:L,12,false)=TRUE,TRUE,FALSE)</f>
        <v>1</v>
      </c>
      <c r="M2278" s="74">
        <v>73.7079846079846</v>
      </c>
      <c r="N2278" s="74">
        <f t="shared" si="1"/>
        <v>208.8392897</v>
      </c>
      <c r="O2278" s="74" t="b">
        <v>1</v>
      </c>
    </row>
    <row r="2279" hidden="1">
      <c r="A2279" s="82"/>
      <c r="B2279" s="65" t="s">
        <v>495</v>
      </c>
      <c r="C2279" s="65" t="s">
        <v>92</v>
      </c>
      <c r="D2279" s="65" t="str">
        <f>vlookup(C2279,'Classificação p pessoal'!F:G,2,false)</f>
        <v/>
      </c>
      <c r="E2279" s="65" t="s">
        <v>1450</v>
      </c>
      <c r="F2279" s="83">
        <v>0.4513888888888889</v>
      </c>
      <c r="G2279" s="83">
        <v>0.5729166666666666</v>
      </c>
      <c r="H2279" s="83">
        <v>0.12152777777777778</v>
      </c>
      <c r="I2279" s="84">
        <v>44516.0</v>
      </c>
      <c r="J2279" s="65" t="b">
        <v>1</v>
      </c>
      <c r="K2279" s="65"/>
      <c r="L2279" s="85" t="b">
        <f>IF(VLOOKUP(C2279,Projetos!A:L,12,false)=TRUE,TRUE,FALSE)</f>
        <v>1</v>
      </c>
      <c r="M2279" s="74">
        <v>73.7079846079846</v>
      </c>
      <c r="N2279" s="74">
        <f t="shared" si="1"/>
        <v>214.9816218</v>
      </c>
      <c r="O2279" s="74" t="b">
        <v>1</v>
      </c>
    </row>
    <row r="2280" hidden="1">
      <c r="A2280" s="82"/>
      <c r="B2280" s="65" t="s">
        <v>495</v>
      </c>
      <c r="C2280" s="65" t="s">
        <v>92</v>
      </c>
      <c r="D2280" s="65"/>
      <c r="E2280" s="65" t="s">
        <v>1451</v>
      </c>
      <c r="F2280" s="83">
        <v>0.625</v>
      </c>
      <c r="G2280" s="83">
        <v>0.6944444444444444</v>
      </c>
      <c r="H2280" s="83">
        <v>0.06944444444444445</v>
      </c>
      <c r="I2280" s="84">
        <v>44516.0</v>
      </c>
      <c r="J2280" s="65" t="b">
        <v>0</v>
      </c>
      <c r="K2280" s="65" t="s">
        <v>150</v>
      </c>
      <c r="L2280" s="85" t="b">
        <f>IF(VLOOKUP(C2280,Projetos!A:L,12,false)=TRUE,TRUE,FALSE)</f>
        <v>1</v>
      </c>
      <c r="M2280" s="74">
        <v>73.7079846079846</v>
      </c>
      <c r="N2280" s="74">
        <f t="shared" si="1"/>
        <v>0</v>
      </c>
      <c r="O2280" s="74" t="b">
        <v>1</v>
      </c>
    </row>
    <row r="2281" hidden="1">
      <c r="A2281" s="82"/>
      <c r="B2281" s="65" t="s">
        <v>495</v>
      </c>
      <c r="C2281" s="65" t="s">
        <v>92</v>
      </c>
      <c r="D2281" s="65"/>
      <c r="E2281" s="65" t="s">
        <v>1452</v>
      </c>
      <c r="F2281" s="83">
        <v>0.7152777777777778</v>
      </c>
      <c r="G2281" s="83">
        <v>0.75</v>
      </c>
      <c r="H2281" s="83">
        <v>0.034722222222222224</v>
      </c>
      <c r="I2281" s="84">
        <v>44516.0</v>
      </c>
      <c r="J2281" s="65" t="b">
        <v>0</v>
      </c>
      <c r="K2281" s="65" t="s">
        <v>150</v>
      </c>
      <c r="L2281" s="85" t="b">
        <f>IF(VLOOKUP(C2281,Projetos!A:L,12,false)=TRUE,TRUE,FALSE)</f>
        <v>1</v>
      </c>
      <c r="M2281" s="74">
        <v>73.7079846079846</v>
      </c>
      <c r="N2281" s="74">
        <f t="shared" si="1"/>
        <v>0</v>
      </c>
      <c r="O2281" s="74" t="b">
        <v>1</v>
      </c>
    </row>
    <row r="2282" hidden="1">
      <c r="A2282" s="82"/>
      <c r="B2282" s="65" t="s">
        <v>495</v>
      </c>
      <c r="C2282" s="65" t="s">
        <v>92</v>
      </c>
      <c r="D2282" s="65" t="str">
        <f>vlookup(C2282,'Classificação p pessoal'!F:G,2,false)</f>
        <v/>
      </c>
      <c r="E2282" s="65" t="s">
        <v>1453</v>
      </c>
      <c r="F2282" s="83">
        <v>0.3506944444444444</v>
      </c>
      <c r="G2282" s="83">
        <v>0.4583333333333333</v>
      </c>
      <c r="H2282" s="83">
        <v>0.1076388888888889</v>
      </c>
      <c r="I2282" s="84">
        <v>44517.0</v>
      </c>
      <c r="J2282" s="65" t="b">
        <v>1</v>
      </c>
      <c r="K2282" s="65"/>
      <c r="L2282" s="85" t="b">
        <f>IF(VLOOKUP(C2282,Projetos!A:L,12,false)=TRUE,TRUE,FALSE)</f>
        <v>1</v>
      </c>
      <c r="M2282" s="74">
        <v>73.7079846079846</v>
      </c>
      <c r="N2282" s="74">
        <f t="shared" si="1"/>
        <v>190.4122936</v>
      </c>
      <c r="O2282" s="74" t="b">
        <v>1</v>
      </c>
    </row>
    <row r="2283" hidden="1">
      <c r="A2283" s="82"/>
      <c r="B2283" s="65" t="s">
        <v>495</v>
      </c>
      <c r="C2283" s="65" t="s">
        <v>117</v>
      </c>
      <c r="D2283" s="65" t="str">
        <f>vlookup(C2283,'Classificação p pessoal'!F:G,2,false)</f>
        <v>NP</v>
      </c>
      <c r="E2283" s="65" t="s">
        <v>1454</v>
      </c>
      <c r="F2283" s="83">
        <v>0.4583333333333333</v>
      </c>
      <c r="G2283" s="83">
        <v>0.5208333333333334</v>
      </c>
      <c r="H2283" s="83">
        <v>0.0625</v>
      </c>
      <c r="I2283" s="84">
        <v>44517.0</v>
      </c>
      <c r="J2283" s="65" t="b">
        <v>1</v>
      </c>
      <c r="K2283" s="65"/>
      <c r="L2283" s="85" t="b">
        <f>IF(VLOOKUP(C2283,Projetos!A:L,12,false)=TRUE,TRUE,FALSE)</f>
        <v>1</v>
      </c>
      <c r="M2283" s="74">
        <v>73.7079846079846</v>
      </c>
      <c r="N2283" s="74">
        <f t="shared" si="1"/>
        <v>110.5619769</v>
      </c>
      <c r="O2283" s="74" t="b">
        <v>1</v>
      </c>
    </row>
    <row r="2284" hidden="1">
      <c r="A2284" s="82"/>
      <c r="B2284" s="65" t="s">
        <v>495</v>
      </c>
      <c r="C2284" s="65" t="s">
        <v>92</v>
      </c>
      <c r="D2284" s="65" t="str">
        <f>vlookup(C2284,'Classificação p pessoal'!F:G,2,false)</f>
        <v/>
      </c>
      <c r="E2284" s="65" t="s">
        <v>1455</v>
      </c>
      <c r="F2284" s="83">
        <v>0.5798611111111112</v>
      </c>
      <c r="G2284" s="83">
        <v>0.6215277777777778</v>
      </c>
      <c r="H2284" s="83">
        <v>0.041666666666666664</v>
      </c>
      <c r="I2284" s="84">
        <v>44517.0</v>
      </c>
      <c r="J2284" s="65" t="b">
        <v>1</v>
      </c>
      <c r="K2284" s="65"/>
      <c r="L2284" s="85" t="b">
        <f>IF(VLOOKUP(C2284,Projetos!A:L,12,false)=TRUE,TRUE,FALSE)</f>
        <v>1</v>
      </c>
      <c r="M2284" s="74">
        <v>73.7079846079846</v>
      </c>
      <c r="N2284" s="74">
        <f t="shared" si="1"/>
        <v>73.70798461</v>
      </c>
      <c r="O2284" s="74" t="b">
        <v>1</v>
      </c>
    </row>
    <row r="2285" hidden="1">
      <c r="A2285" s="82"/>
      <c r="B2285" s="65" t="s">
        <v>495</v>
      </c>
      <c r="C2285" s="65" t="s">
        <v>92</v>
      </c>
      <c r="D2285" s="65" t="str">
        <f>vlookup(C2285,'Classificação p pessoal'!F:G,2,false)</f>
        <v/>
      </c>
      <c r="E2285" s="65" t="s">
        <v>1043</v>
      </c>
      <c r="F2285" s="83">
        <v>0.6215277777777778</v>
      </c>
      <c r="G2285" s="83">
        <v>0.6944444444444444</v>
      </c>
      <c r="H2285" s="83">
        <v>0.07291666666666667</v>
      </c>
      <c r="I2285" s="84">
        <v>44517.0</v>
      </c>
      <c r="J2285" s="65" t="b">
        <v>1</v>
      </c>
      <c r="K2285" s="65"/>
      <c r="L2285" s="85" t="b">
        <f>IF(VLOOKUP(C2285,Projetos!A:L,12,false)=TRUE,TRUE,FALSE)</f>
        <v>1</v>
      </c>
      <c r="M2285" s="74">
        <v>73.7079846079846</v>
      </c>
      <c r="N2285" s="74">
        <f t="shared" si="1"/>
        <v>128.9889731</v>
      </c>
      <c r="O2285" s="74" t="b">
        <v>1</v>
      </c>
    </row>
    <row r="2286" hidden="1">
      <c r="A2286" s="82"/>
      <c r="B2286" s="65" t="s">
        <v>495</v>
      </c>
      <c r="C2286" s="65" t="s">
        <v>117</v>
      </c>
      <c r="D2286" s="65" t="str">
        <f>vlookup(C2286,'Classificação p pessoal'!F:G,2,false)</f>
        <v>NP</v>
      </c>
      <c r="E2286" s="65" t="s">
        <v>1456</v>
      </c>
      <c r="F2286" s="83">
        <v>0.71875</v>
      </c>
      <c r="G2286" s="83">
        <v>0.7395833333333334</v>
      </c>
      <c r="H2286" s="83">
        <v>0.020833333333333332</v>
      </c>
      <c r="I2286" s="84">
        <v>44517.0</v>
      </c>
      <c r="J2286" s="65" t="b">
        <v>1</v>
      </c>
      <c r="K2286" s="65"/>
      <c r="L2286" s="85" t="b">
        <f>IF(VLOOKUP(C2286,Projetos!A:L,12,false)=TRUE,TRUE,FALSE)</f>
        <v>1</v>
      </c>
      <c r="M2286" s="74">
        <v>73.7079846079846</v>
      </c>
      <c r="N2286" s="74">
        <f t="shared" si="1"/>
        <v>36.8539923</v>
      </c>
      <c r="O2286" s="74" t="b">
        <v>1</v>
      </c>
    </row>
    <row r="2287" hidden="1">
      <c r="A2287" s="82"/>
      <c r="B2287" s="65" t="s">
        <v>495</v>
      </c>
      <c r="C2287" s="65" t="s">
        <v>117</v>
      </c>
      <c r="D2287" s="65" t="str">
        <f>vlookup(C2287,'Classificação p pessoal'!F:G,2,false)</f>
        <v>NP</v>
      </c>
      <c r="E2287" s="65" t="s">
        <v>1457</v>
      </c>
      <c r="F2287" s="83">
        <v>0.7395833333333334</v>
      </c>
      <c r="G2287" s="83">
        <v>0.75</v>
      </c>
      <c r="H2287" s="83">
        <v>0.010416666666666666</v>
      </c>
      <c r="I2287" s="84">
        <v>44517.0</v>
      </c>
      <c r="J2287" s="65" t="b">
        <v>1</v>
      </c>
      <c r="K2287" s="65"/>
      <c r="L2287" s="85" t="b">
        <f>IF(VLOOKUP(C2287,Projetos!A:L,12,false)=TRUE,TRUE,FALSE)</f>
        <v>1</v>
      </c>
      <c r="M2287" s="74">
        <v>73.7079846079846</v>
      </c>
      <c r="N2287" s="74">
        <f t="shared" si="1"/>
        <v>18.42699615</v>
      </c>
      <c r="O2287" s="74" t="b">
        <v>1</v>
      </c>
    </row>
    <row r="2288" hidden="1">
      <c r="A2288" s="82"/>
      <c r="B2288" s="65" t="s">
        <v>495</v>
      </c>
      <c r="C2288" s="65" t="s">
        <v>92</v>
      </c>
      <c r="D2288" s="65"/>
      <c r="E2288" s="65" t="s">
        <v>1458</v>
      </c>
      <c r="F2288" s="83">
        <v>0.5138888888888888</v>
      </c>
      <c r="G2288" s="83">
        <v>0.5833333333333334</v>
      </c>
      <c r="H2288" s="83">
        <v>0.06944444444444445</v>
      </c>
      <c r="I2288" s="84">
        <v>44497.0</v>
      </c>
      <c r="J2288" s="65" t="b">
        <v>0</v>
      </c>
      <c r="K2288" s="65"/>
      <c r="L2288" s="85" t="b">
        <f>IF(VLOOKUP(C2288,Projetos!A:L,12,false)=TRUE,TRUE,FALSE)</f>
        <v>1</v>
      </c>
      <c r="M2288" s="74">
        <v>73.7079846079846</v>
      </c>
      <c r="N2288" s="74">
        <f t="shared" si="1"/>
        <v>0</v>
      </c>
      <c r="O2288" s="74" t="b">
        <v>1</v>
      </c>
    </row>
    <row r="2289" hidden="1">
      <c r="A2289" s="82"/>
      <c r="B2289" s="65" t="s">
        <v>495</v>
      </c>
      <c r="C2289" s="65" t="s">
        <v>92</v>
      </c>
      <c r="D2289" s="65" t="str">
        <f>vlookup(C2289,'Classificação p pessoal'!F:G,2,false)</f>
        <v/>
      </c>
      <c r="E2289" s="65" t="s">
        <v>1459</v>
      </c>
      <c r="F2289" s="83">
        <v>0.4375</v>
      </c>
      <c r="G2289" s="83">
        <v>0.4895833333333333</v>
      </c>
      <c r="H2289" s="83">
        <v>0.052083333333333336</v>
      </c>
      <c r="I2289" s="84">
        <v>44518.0</v>
      </c>
      <c r="J2289" s="65" t="b">
        <v>1</v>
      </c>
      <c r="K2289" s="65"/>
      <c r="L2289" s="85" t="b">
        <f>IF(VLOOKUP(C2289,Projetos!A:L,12,false)=TRUE,TRUE,FALSE)</f>
        <v>1</v>
      </c>
      <c r="M2289" s="74">
        <v>73.7079846079846</v>
      </c>
      <c r="N2289" s="74">
        <f t="shared" si="1"/>
        <v>92.13498076</v>
      </c>
      <c r="O2289" s="74" t="b">
        <v>1</v>
      </c>
    </row>
    <row r="2290" hidden="1">
      <c r="A2290" s="82"/>
      <c r="B2290" s="65" t="s">
        <v>495</v>
      </c>
      <c r="C2290" s="65" t="s">
        <v>92</v>
      </c>
      <c r="D2290" s="65"/>
      <c r="E2290" s="65" t="s">
        <v>1460</v>
      </c>
      <c r="F2290" s="83">
        <v>0.4895833333333333</v>
      </c>
      <c r="G2290" s="83">
        <v>0.5798611111111112</v>
      </c>
      <c r="H2290" s="83">
        <v>0.09027777777777778</v>
      </c>
      <c r="I2290" s="84">
        <v>44518.0</v>
      </c>
      <c r="J2290" s="65" t="b">
        <v>0</v>
      </c>
      <c r="K2290" s="65" t="s">
        <v>150</v>
      </c>
      <c r="L2290" s="85" t="b">
        <f>IF(VLOOKUP(C2290,Projetos!A:L,12,false)=TRUE,TRUE,FALSE)</f>
        <v>1</v>
      </c>
      <c r="M2290" s="74">
        <v>73.7079846079846</v>
      </c>
      <c r="N2290" s="74">
        <f t="shared" si="1"/>
        <v>0</v>
      </c>
      <c r="O2290" s="74" t="b">
        <v>1</v>
      </c>
    </row>
    <row r="2291" hidden="1">
      <c r="A2291" s="82"/>
      <c r="B2291" s="65" t="s">
        <v>495</v>
      </c>
      <c r="C2291" s="65" t="s">
        <v>92</v>
      </c>
      <c r="D2291" s="65" t="str">
        <f>vlookup(C2291,'Classificação p pessoal'!F:G,2,false)</f>
        <v/>
      </c>
      <c r="E2291" s="65" t="s">
        <v>1461</v>
      </c>
      <c r="F2291" s="83">
        <v>0.625</v>
      </c>
      <c r="G2291" s="83">
        <v>0.6666666666666666</v>
      </c>
      <c r="H2291" s="83">
        <v>0.041666666666666664</v>
      </c>
      <c r="I2291" s="84">
        <v>44518.0</v>
      </c>
      <c r="J2291" s="65" t="b">
        <v>1</v>
      </c>
      <c r="K2291" s="65"/>
      <c r="L2291" s="85" t="b">
        <f>IF(VLOOKUP(C2291,Projetos!A:L,12,false)=TRUE,TRUE,FALSE)</f>
        <v>1</v>
      </c>
      <c r="M2291" s="74">
        <v>73.7079846079846</v>
      </c>
      <c r="N2291" s="74">
        <f t="shared" si="1"/>
        <v>73.70798461</v>
      </c>
      <c r="O2291" s="74" t="b">
        <v>1</v>
      </c>
    </row>
    <row r="2292" hidden="1">
      <c r="A2292" s="82"/>
      <c r="B2292" s="65" t="s">
        <v>495</v>
      </c>
      <c r="C2292" s="65" t="s">
        <v>117</v>
      </c>
      <c r="D2292" s="65" t="str">
        <f>vlookup(C2292,'Classificação p pessoal'!F:G,2,false)</f>
        <v>NP</v>
      </c>
      <c r="E2292" s="65" t="s">
        <v>865</v>
      </c>
      <c r="F2292" s="83">
        <v>0.6666666666666666</v>
      </c>
      <c r="G2292" s="83">
        <v>0.6979166666666666</v>
      </c>
      <c r="H2292" s="83">
        <v>0.03125</v>
      </c>
      <c r="I2292" s="84">
        <v>44518.0</v>
      </c>
      <c r="J2292" s="65" t="b">
        <v>1</v>
      </c>
      <c r="K2292" s="65"/>
      <c r="L2292" s="85" t="b">
        <f>IF(VLOOKUP(C2292,Projetos!A:L,12,false)=TRUE,TRUE,FALSE)</f>
        <v>1</v>
      </c>
      <c r="M2292" s="74">
        <v>73.7079846079846</v>
      </c>
      <c r="N2292" s="74">
        <f t="shared" si="1"/>
        <v>55.28098846</v>
      </c>
      <c r="O2292" s="74" t="b">
        <v>1</v>
      </c>
    </row>
    <row r="2293" hidden="1">
      <c r="A2293" s="82"/>
      <c r="B2293" s="65" t="s">
        <v>495</v>
      </c>
      <c r="C2293" s="65" t="s">
        <v>117</v>
      </c>
      <c r="D2293" s="65" t="str">
        <f>vlookup(C2293,'Classificação p pessoal'!F:G,2,false)</f>
        <v>NP</v>
      </c>
      <c r="E2293" s="65" t="s">
        <v>865</v>
      </c>
      <c r="F2293" s="83">
        <v>0.6388888888888888</v>
      </c>
      <c r="G2293" s="83">
        <v>0.75</v>
      </c>
      <c r="H2293" s="83">
        <v>0.1111111111111111</v>
      </c>
      <c r="I2293" s="84">
        <v>44518.0</v>
      </c>
      <c r="J2293" s="65" t="b">
        <v>1</v>
      </c>
      <c r="K2293" s="65"/>
      <c r="L2293" s="85" t="b">
        <f>IF(VLOOKUP(C2293,Projetos!A:L,12,false)=TRUE,TRUE,FALSE)</f>
        <v>1</v>
      </c>
      <c r="M2293" s="74">
        <v>73.7079846079846</v>
      </c>
      <c r="N2293" s="74">
        <f t="shared" si="1"/>
        <v>196.5546256</v>
      </c>
      <c r="O2293" s="74" t="b">
        <v>1</v>
      </c>
    </row>
    <row r="2294" hidden="1">
      <c r="A2294" s="82"/>
      <c r="B2294" s="65" t="s">
        <v>495</v>
      </c>
      <c r="C2294" s="65" t="s">
        <v>117</v>
      </c>
      <c r="D2294" s="65" t="str">
        <f>vlookup(C2294,'Classificação p pessoal'!F:G,2,false)</f>
        <v>NP</v>
      </c>
      <c r="E2294" s="65" t="s">
        <v>865</v>
      </c>
      <c r="F2294" s="83">
        <v>0.3472222222222222</v>
      </c>
      <c r="G2294" s="83">
        <v>0.4166666666666667</v>
      </c>
      <c r="H2294" s="83">
        <v>0.06944444444444445</v>
      </c>
      <c r="I2294" s="84">
        <v>44519.0</v>
      </c>
      <c r="J2294" s="65" t="b">
        <v>1</v>
      </c>
      <c r="K2294" s="65"/>
      <c r="L2294" s="85" t="b">
        <f>IF(VLOOKUP(C2294,Projetos!A:L,12,false)=TRUE,TRUE,FALSE)</f>
        <v>1</v>
      </c>
      <c r="M2294" s="74">
        <v>73.7079846079846</v>
      </c>
      <c r="N2294" s="74">
        <f t="shared" si="1"/>
        <v>122.846641</v>
      </c>
      <c r="O2294" s="74" t="b">
        <v>1</v>
      </c>
    </row>
    <row r="2295" hidden="1">
      <c r="A2295" s="82"/>
      <c r="B2295" s="65" t="s">
        <v>495</v>
      </c>
      <c r="C2295" s="65" t="s">
        <v>117</v>
      </c>
      <c r="D2295" s="65" t="str">
        <f>vlookup(C2295,'Classificação p pessoal'!F:G,2,false)</f>
        <v>NP</v>
      </c>
      <c r="E2295" s="65" t="s">
        <v>1462</v>
      </c>
      <c r="F2295" s="83">
        <v>0.4166666666666667</v>
      </c>
      <c r="G2295" s="83">
        <v>0.4583333333333333</v>
      </c>
      <c r="H2295" s="83">
        <v>0.041666666666666664</v>
      </c>
      <c r="I2295" s="84">
        <v>44519.0</v>
      </c>
      <c r="J2295" s="65" t="b">
        <v>1</v>
      </c>
      <c r="K2295" s="65"/>
      <c r="L2295" s="85" t="b">
        <f>IF(VLOOKUP(C2295,Projetos!A:L,12,false)=TRUE,TRUE,FALSE)</f>
        <v>1</v>
      </c>
      <c r="M2295" s="74">
        <v>73.7079846079846</v>
      </c>
      <c r="N2295" s="74">
        <f t="shared" si="1"/>
        <v>73.70798461</v>
      </c>
      <c r="O2295" s="74" t="b">
        <v>1</v>
      </c>
    </row>
    <row r="2296" hidden="1">
      <c r="A2296" s="82"/>
      <c r="B2296" s="65" t="s">
        <v>495</v>
      </c>
      <c r="C2296" s="65" t="s">
        <v>117</v>
      </c>
      <c r="D2296" s="65" t="str">
        <f>vlookup(C2296,'Classificação p pessoal'!F:G,2,false)</f>
        <v>NP</v>
      </c>
      <c r="E2296" s="65" t="s">
        <v>1442</v>
      </c>
      <c r="F2296" s="83">
        <v>0.4583333333333333</v>
      </c>
      <c r="G2296" s="83">
        <v>0.5763888888888888</v>
      </c>
      <c r="H2296" s="83">
        <v>0.11805555555555555</v>
      </c>
      <c r="I2296" s="84">
        <v>44519.0</v>
      </c>
      <c r="J2296" s="65" t="b">
        <v>1</v>
      </c>
      <c r="K2296" s="65"/>
      <c r="L2296" s="85" t="b">
        <f>IF(VLOOKUP(C2296,Projetos!A:L,12,false)=TRUE,TRUE,FALSE)</f>
        <v>1</v>
      </c>
      <c r="M2296" s="74">
        <v>73.7079846079846</v>
      </c>
      <c r="N2296" s="74">
        <f t="shared" si="1"/>
        <v>208.8392897</v>
      </c>
      <c r="O2296" s="74" t="b">
        <v>1</v>
      </c>
    </row>
    <row r="2297" hidden="1">
      <c r="A2297" s="82"/>
      <c r="B2297" s="65" t="s">
        <v>495</v>
      </c>
      <c r="C2297" s="65" t="s">
        <v>117</v>
      </c>
      <c r="D2297" s="65" t="str">
        <f>vlookup(C2297,'Classificação p pessoal'!F:G,2,false)</f>
        <v>NP</v>
      </c>
      <c r="E2297" s="65" t="s">
        <v>1462</v>
      </c>
      <c r="F2297" s="83">
        <v>0.625</v>
      </c>
      <c r="G2297" s="83">
        <v>0.6666666666666666</v>
      </c>
      <c r="H2297" s="83">
        <v>0.041666666666666664</v>
      </c>
      <c r="I2297" s="84">
        <v>44519.0</v>
      </c>
      <c r="J2297" s="65" t="b">
        <v>1</v>
      </c>
      <c r="K2297" s="65"/>
      <c r="L2297" s="85" t="b">
        <f>IF(VLOOKUP(C2297,Projetos!A:L,12,false)=TRUE,TRUE,FALSE)</f>
        <v>1</v>
      </c>
      <c r="M2297" s="74">
        <v>73.7079846079846</v>
      </c>
      <c r="N2297" s="74">
        <f t="shared" si="1"/>
        <v>73.70798461</v>
      </c>
      <c r="O2297" s="74" t="b">
        <v>1</v>
      </c>
    </row>
    <row r="2298" hidden="1">
      <c r="A2298" s="82"/>
      <c r="B2298" s="65" t="s">
        <v>495</v>
      </c>
      <c r="C2298" s="65" t="s">
        <v>108</v>
      </c>
      <c r="D2298" s="65"/>
      <c r="E2298" s="65" t="s">
        <v>1463</v>
      </c>
      <c r="F2298" s="83">
        <v>0.7222222222222222</v>
      </c>
      <c r="G2298" s="83">
        <v>0.75</v>
      </c>
      <c r="H2298" s="83">
        <v>0.027777777777777776</v>
      </c>
      <c r="I2298" s="84">
        <v>44445.0</v>
      </c>
      <c r="J2298" s="65" t="b">
        <v>0</v>
      </c>
      <c r="K2298" s="65"/>
      <c r="L2298" s="85" t="b">
        <f>IF(VLOOKUP(C2298,Projetos!A:L,12,false)=TRUE,TRUE,FALSE)</f>
        <v>1</v>
      </c>
      <c r="M2298" s="74">
        <v>73.7079846079846</v>
      </c>
      <c r="N2298" s="74">
        <f t="shared" si="1"/>
        <v>0</v>
      </c>
      <c r="O2298" s="74" t="b">
        <v>1</v>
      </c>
    </row>
    <row r="2299" hidden="1">
      <c r="A2299" s="82"/>
      <c r="B2299" s="65" t="s">
        <v>495</v>
      </c>
      <c r="C2299" s="65" t="s">
        <v>117</v>
      </c>
      <c r="D2299" s="65" t="str">
        <f>vlookup(C2299,'Classificação p pessoal'!F:G,2,false)</f>
        <v>NP</v>
      </c>
      <c r="E2299" s="65" t="s">
        <v>1464</v>
      </c>
      <c r="F2299" s="83">
        <v>0.7083333333333334</v>
      </c>
      <c r="G2299" s="83">
        <v>0.75</v>
      </c>
      <c r="H2299" s="83">
        <v>0.041666666666666664</v>
      </c>
      <c r="I2299" s="84">
        <v>44519.0</v>
      </c>
      <c r="J2299" s="65" t="b">
        <v>1</v>
      </c>
      <c r="K2299" s="65"/>
      <c r="L2299" s="85" t="b">
        <f>IF(VLOOKUP(C2299,Projetos!A:L,12,false)=TRUE,TRUE,FALSE)</f>
        <v>1</v>
      </c>
      <c r="M2299" s="74">
        <v>73.7079846079846</v>
      </c>
      <c r="N2299" s="74">
        <f t="shared" si="1"/>
        <v>73.70798461</v>
      </c>
      <c r="O2299" s="74" t="b">
        <v>1</v>
      </c>
    </row>
    <row r="2300" hidden="1">
      <c r="A2300" s="82"/>
      <c r="B2300" s="65" t="s">
        <v>495</v>
      </c>
      <c r="C2300" s="65" t="s">
        <v>92</v>
      </c>
      <c r="D2300" s="65" t="str">
        <f>vlookup(C2300,'Classificação p pessoal'!F:G,2,false)</f>
        <v/>
      </c>
      <c r="E2300" s="65" t="s">
        <v>929</v>
      </c>
      <c r="F2300" s="83">
        <v>0.3541666666666667</v>
      </c>
      <c r="G2300" s="83">
        <v>0.375</v>
      </c>
      <c r="H2300" s="83">
        <v>0.020833333333333332</v>
      </c>
      <c r="I2300" s="84">
        <v>44522.0</v>
      </c>
      <c r="J2300" s="65" t="b">
        <v>1</v>
      </c>
      <c r="K2300" s="65"/>
      <c r="L2300" s="85" t="b">
        <f>IF(VLOOKUP(C2300,Projetos!A:L,12,false)=TRUE,TRUE,FALSE)</f>
        <v>1</v>
      </c>
      <c r="M2300" s="74">
        <v>73.7079846079846</v>
      </c>
      <c r="N2300" s="74">
        <f t="shared" si="1"/>
        <v>36.8539923</v>
      </c>
      <c r="O2300" s="74" t="b">
        <v>1</v>
      </c>
    </row>
    <row r="2301" hidden="1">
      <c r="A2301" s="82"/>
      <c r="B2301" s="65" t="s">
        <v>495</v>
      </c>
      <c r="C2301" s="65" t="s">
        <v>117</v>
      </c>
      <c r="D2301" s="65" t="str">
        <f>vlookup(C2301,'Classificação p pessoal'!F:G,2,false)</f>
        <v>NP</v>
      </c>
      <c r="E2301" s="65" t="s">
        <v>1465</v>
      </c>
      <c r="F2301" s="83">
        <v>0.375</v>
      </c>
      <c r="G2301" s="83">
        <v>0.4166666666666667</v>
      </c>
      <c r="H2301" s="83">
        <v>0.041666666666666664</v>
      </c>
      <c r="I2301" s="84">
        <v>44522.0</v>
      </c>
      <c r="J2301" s="65" t="b">
        <v>1</v>
      </c>
      <c r="K2301" s="65"/>
      <c r="L2301" s="85" t="b">
        <f>IF(VLOOKUP(C2301,Projetos!A:L,12,false)=TRUE,TRUE,FALSE)</f>
        <v>1</v>
      </c>
      <c r="M2301" s="74">
        <v>73.7079846079846</v>
      </c>
      <c r="N2301" s="74">
        <f t="shared" si="1"/>
        <v>73.70798461</v>
      </c>
      <c r="O2301" s="74" t="b">
        <v>1</v>
      </c>
    </row>
    <row r="2302" hidden="1">
      <c r="A2302" s="82"/>
      <c r="B2302" s="65" t="s">
        <v>495</v>
      </c>
      <c r="C2302" s="65" t="s">
        <v>92</v>
      </c>
      <c r="D2302" s="65" t="str">
        <f>vlookup(C2302,'Classificação p pessoal'!F:G,2,false)</f>
        <v/>
      </c>
      <c r="E2302" s="65" t="s">
        <v>1466</v>
      </c>
      <c r="F2302" s="83">
        <v>0.4166666666666667</v>
      </c>
      <c r="G2302" s="83">
        <v>0.4583333333333333</v>
      </c>
      <c r="H2302" s="83">
        <v>0.041666666666666664</v>
      </c>
      <c r="I2302" s="84">
        <v>44522.0</v>
      </c>
      <c r="J2302" s="65" t="b">
        <v>1</v>
      </c>
      <c r="K2302" s="65"/>
      <c r="L2302" s="85" t="b">
        <f>IF(VLOOKUP(C2302,Projetos!A:L,12,false)=TRUE,TRUE,FALSE)</f>
        <v>1</v>
      </c>
      <c r="M2302" s="74">
        <v>73.7079846079846</v>
      </c>
      <c r="N2302" s="74">
        <f t="shared" si="1"/>
        <v>73.70798461</v>
      </c>
      <c r="O2302" s="74" t="b">
        <v>1</v>
      </c>
    </row>
    <row r="2303" hidden="1">
      <c r="A2303" s="82"/>
      <c r="B2303" s="65" t="s">
        <v>495</v>
      </c>
      <c r="C2303" s="65" t="s">
        <v>117</v>
      </c>
      <c r="D2303" s="65" t="str">
        <f>vlookup(C2303,'Classificação p pessoal'!F:G,2,false)</f>
        <v>NP</v>
      </c>
      <c r="E2303" s="65" t="s">
        <v>1465</v>
      </c>
      <c r="F2303" s="83">
        <v>0.4722222222222222</v>
      </c>
      <c r="G2303" s="83">
        <v>0.5729166666666666</v>
      </c>
      <c r="H2303" s="83">
        <v>0.10069444444444445</v>
      </c>
      <c r="I2303" s="84">
        <v>44522.0</v>
      </c>
      <c r="J2303" s="65" t="b">
        <v>1</v>
      </c>
      <c r="K2303" s="65"/>
      <c r="L2303" s="85" t="b">
        <f>IF(VLOOKUP(C2303,Projetos!A:L,12,false)=TRUE,TRUE,FALSE)</f>
        <v>1</v>
      </c>
      <c r="M2303" s="74">
        <v>73.7079846079846</v>
      </c>
      <c r="N2303" s="74">
        <f t="shared" si="1"/>
        <v>178.1276295</v>
      </c>
      <c r="O2303" s="74" t="b">
        <v>1</v>
      </c>
    </row>
    <row r="2304" hidden="1">
      <c r="A2304" s="82"/>
      <c r="B2304" s="65" t="s">
        <v>495</v>
      </c>
      <c r="C2304" s="65" t="s">
        <v>117</v>
      </c>
      <c r="D2304" s="65" t="str">
        <f>vlookup(C2304,'Classificação p pessoal'!F:G,2,false)</f>
        <v>NP</v>
      </c>
      <c r="E2304" s="65" t="s">
        <v>1467</v>
      </c>
      <c r="F2304" s="83">
        <v>0.6180555555555556</v>
      </c>
      <c r="G2304" s="83">
        <v>0.6666666666666666</v>
      </c>
      <c r="H2304" s="83">
        <v>0.04861111111111111</v>
      </c>
      <c r="I2304" s="84">
        <v>44522.0</v>
      </c>
      <c r="J2304" s="65" t="b">
        <v>1</v>
      </c>
      <c r="K2304" s="65"/>
      <c r="L2304" s="85" t="b">
        <f>IF(VLOOKUP(C2304,Projetos!A:L,12,false)=TRUE,TRUE,FALSE)</f>
        <v>1</v>
      </c>
      <c r="M2304" s="74">
        <v>73.7079846079846</v>
      </c>
      <c r="N2304" s="74">
        <f t="shared" si="1"/>
        <v>85.99264871</v>
      </c>
      <c r="O2304" s="74" t="b">
        <v>1</v>
      </c>
    </row>
    <row r="2305" hidden="1">
      <c r="A2305" s="82"/>
      <c r="B2305" s="65" t="s">
        <v>495</v>
      </c>
      <c r="C2305" s="65" t="s">
        <v>117</v>
      </c>
      <c r="D2305" s="65" t="str">
        <f>vlookup(C2305,'Classificação p pessoal'!F:G,2,false)</f>
        <v>NP</v>
      </c>
      <c r="E2305" s="65" t="s">
        <v>1468</v>
      </c>
      <c r="F2305" s="83">
        <v>0.6666666666666666</v>
      </c>
      <c r="G2305" s="83">
        <v>0.6944444444444444</v>
      </c>
      <c r="H2305" s="83">
        <v>0.027777777777777776</v>
      </c>
      <c r="I2305" s="84">
        <v>44522.0</v>
      </c>
      <c r="J2305" s="65" t="b">
        <v>1</v>
      </c>
      <c r="K2305" s="65"/>
      <c r="L2305" s="85" t="b">
        <f>IF(VLOOKUP(C2305,Projetos!A:L,12,false)=TRUE,TRUE,FALSE)</f>
        <v>1</v>
      </c>
      <c r="M2305" s="74">
        <v>73.7079846079846</v>
      </c>
      <c r="N2305" s="74">
        <f t="shared" si="1"/>
        <v>49.13865641</v>
      </c>
      <c r="O2305" s="74" t="b">
        <v>1</v>
      </c>
    </row>
    <row r="2306" hidden="1">
      <c r="A2306" s="82"/>
      <c r="B2306" s="65" t="s">
        <v>495</v>
      </c>
      <c r="C2306" s="65" t="s">
        <v>117</v>
      </c>
      <c r="D2306" s="65" t="str">
        <f>vlookup(C2306,'Classificação p pessoal'!F:G,2,false)</f>
        <v>NP</v>
      </c>
      <c r="E2306" s="65" t="s">
        <v>1469</v>
      </c>
      <c r="F2306" s="83">
        <v>0.71875</v>
      </c>
      <c r="G2306" s="83">
        <v>0.75</v>
      </c>
      <c r="H2306" s="83">
        <v>0.03125</v>
      </c>
      <c r="I2306" s="84">
        <v>44522.0</v>
      </c>
      <c r="J2306" s="65" t="b">
        <v>1</v>
      </c>
      <c r="K2306" s="65"/>
      <c r="L2306" s="85" t="b">
        <f>IF(VLOOKUP(C2306,Projetos!A:L,12,false)=TRUE,TRUE,FALSE)</f>
        <v>1</v>
      </c>
      <c r="M2306" s="74">
        <v>73.7079846079846</v>
      </c>
      <c r="N2306" s="74">
        <f t="shared" si="1"/>
        <v>55.28098846</v>
      </c>
      <c r="O2306" s="74" t="b">
        <v>1</v>
      </c>
    </row>
    <row r="2307" hidden="1">
      <c r="A2307" s="82"/>
      <c r="B2307" s="65" t="s">
        <v>411</v>
      </c>
      <c r="C2307" s="65" t="s">
        <v>92</v>
      </c>
      <c r="D2307" s="65" t="str">
        <f>vlookup(C2307,'Classificação p pessoal'!F:G,2,false)</f>
        <v/>
      </c>
      <c r="E2307" s="65" t="s">
        <v>1470</v>
      </c>
      <c r="F2307" s="83">
        <v>0.4270833333333333</v>
      </c>
      <c r="G2307" s="83">
        <v>0.4583333333333333</v>
      </c>
      <c r="H2307" s="83">
        <v>0.03125</v>
      </c>
      <c r="I2307" s="84">
        <v>44347.0</v>
      </c>
      <c r="J2307" s="65" t="b">
        <v>1</v>
      </c>
      <c r="K2307" s="65"/>
      <c r="L2307" s="85" t="b">
        <f>IF(VLOOKUP(C2307,Projetos!A:L,12,false)=TRUE,TRUE,FALSE)</f>
        <v>1</v>
      </c>
      <c r="M2307" s="74">
        <v>52.48434411075036</v>
      </c>
      <c r="N2307" s="74">
        <f t="shared" si="1"/>
        <v>39.36325808</v>
      </c>
      <c r="O2307" s="74" t="b">
        <v>1</v>
      </c>
    </row>
    <row r="2308" hidden="1">
      <c r="A2308" s="82"/>
      <c r="B2308" s="65" t="s">
        <v>495</v>
      </c>
      <c r="C2308" s="65" t="s">
        <v>92</v>
      </c>
      <c r="D2308" s="65"/>
      <c r="E2308" s="65" t="s">
        <v>1471</v>
      </c>
      <c r="F2308" s="83">
        <v>0.4166666666666667</v>
      </c>
      <c r="G2308" s="83">
        <v>0.5798611111111112</v>
      </c>
      <c r="H2308" s="83">
        <v>0.16319444444444445</v>
      </c>
      <c r="I2308" s="84">
        <v>44523.0</v>
      </c>
      <c r="J2308" s="65" t="b">
        <v>0</v>
      </c>
      <c r="K2308" s="65" t="s">
        <v>150</v>
      </c>
      <c r="L2308" s="85" t="b">
        <f>IF(VLOOKUP(C2308,Projetos!A:L,12,false)=TRUE,TRUE,FALSE)</f>
        <v>1</v>
      </c>
      <c r="M2308" s="74">
        <v>73.7079846079846</v>
      </c>
      <c r="N2308" s="74">
        <f t="shared" si="1"/>
        <v>0</v>
      </c>
      <c r="O2308" s="74" t="b">
        <v>1</v>
      </c>
    </row>
    <row r="2309" hidden="1">
      <c r="A2309" s="82"/>
      <c r="B2309" s="65" t="s">
        <v>495</v>
      </c>
      <c r="C2309" s="65" t="s">
        <v>92</v>
      </c>
      <c r="D2309" s="65"/>
      <c r="E2309" s="65" t="s">
        <v>1472</v>
      </c>
      <c r="F2309" s="83">
        <v>0.6180555555555556</v>
      </c>
      <c r="G2309" s="83">
        <v>0.6666666666666666</v>
      </c>
      <c r="H2309" s="83">
        <v>0.04861111111111111</v>
      </c>
      <c r="I2309" s="84">
        <v>44474.0</v>
      </c>
      <c r="J2309" s="65" t="b">
        <v>0</v>
      </c>
      <c r="K2309" s="65"/>
      <c r="L2309" s="85" t="b">
        <f>IF(VLOOKUP(C2309,Projetos!A:L,12,false)=TRUE,TRUE,FALSE)</f>
        <v>1</v>
      </c>
      <c r="M2309" s="74">
        <v>73.7079846079846</v>
      </c>
      <c r="N2309" s="74">
        <f t="shared" si="1"/>
        <v>0</v>
      </c>
      <c r="O2309" s="74" t="b">
        <v>1</v>
      </c>
    </row>
    <row r="2310" hidden="1">
      <c r="A2310" s="82"/>
      <c r="B2310" s="65" t="s">
        <v>495</v>
      </c>
      <c r="C2310" s="65" t="s">
        <v>117</v>
      </c>
      <c r="D2310" s="65" t="str">
        <f>vlookup(C2310,'Classificação p pessoal'!F:G,2,false)</f>
        <v>NP</v>
      </c>
      <c r="E2310" s="65" t="s">
        <v>1473</v>
      </c>
      <c r="F2310" s="83">
        <v>0.71875</v>
      </c>
      <c r="G2310" s="83">
        <v>0.75</v>
      </c>
      <c r="H2310" s="83">
        <v>0.03125</v>
      </c>
      <c r="I2310" s="84">
        <v>44523.0</v>
      </c>
      <c r="J2310" s="65" t="b">
        <v>1</v>
      </c>
      <c r="K2310" s="65"/>
      <c r="L2310" s="85" t="b">
        <f>IF(VLOOKUP(C2310,Projetos!A:L,12,false)=TRUE,TRUE,FALSE)</f>
        <v>1</v>
      </c>
      <c r="M2310" s="74">
        <v>73.7079846079846</v>
      </c>
      <c r="N2310" s="74">
        <f t="shared" si="1"/>
        <v>55.28098846</v>
      </c>
      <c r="O2310" s="74" t="b">
        <v>1</v>
      </c>
    </row>
    <row r="2311" hidden="1">
      <c r="A2311" s="82"/>
      <c r="B2311" s="65" t="s">
        <v>411</v>
      </c>
      <c r="C2311" s="65" t="s">
        <v>88</v>
      </c>
      <c r="D2311" s="65" t="str">
        <f>vlookup(C2311,'Classificação p pessoal'!F:G,2,false)</f>
        <v>MProduto</v>
      </c>
      <c r="E2311" s="65" t="s">
        <v>1474</v>
      </c>
      <c r="F2311" s="83">
        <v>0.34375</v>
      </c>
      <c r="G2311" s="83">
        <v>0.4166666666666667</v>
      </c>
      <c r="H2311" s="83">
        <v>0.07291666666666667</v>
      </c>
      <c r="I2311" s="84">
        <v>44323.0</v>
      </c>
      <c r="J2311" s="65" t="b">
        <v>1</v>
      </c>
      <c r="K2311" s="65"/>
      <c r="L2311" s="85" t="b">
        <f>IF(VLOOKUP(C2311,Projetos!A:L,12,false)=TRUE,TRUE,FALSE)</f>
        <v>1</v>
      </c>
      <c r="M2311" s="74">
        <v>52.48434411075036</v>
      </c>
      <c r="N2311" s="74">
        <f t="shared" si="1"/>
        <v>91.84760219</v>
      </c>
      <c r="O2311" s="74" t="b">
        <v>1</v>
      </c>
    </row>
    <row r="2312" hidden="1">
      <c r="A2312" s="82"/>
      <c r="B2312" s="65" t="s">
        <v>495</v>
      </c>
      <c r="C2312" s="65" t="s">
        <v>117</v>
      </c>
      <c r="D2312" s="65" t="str">
        <f>vlookup(C2312,'Classificação p pessoal'!F:G,2,false)</f>
        <v>NP</v>
      </c>
      <c r="E2312" s="65" t="s">
        <v>1473</v>
      </c>
      <c r="F2312" s="83">
        <v>0.6215277777777778</v>
      </c>
      <c r="G2312" s="83">
        <v>0.6666666666666666</v>
      </c>
      <c r="H2312" s="83">
        <v>0.04513888888888889</v>
      </c>
      <c r="I2312" s="84">
        <v>44524.0</v>
      </c>
      <c r="J2312" s="65" t="b">
        <v>1</v>
      </c>
      <c r="K2312" s="65"/>
      <c r="L2312" s="85" t="b">
        <f>IF(VLOOKUP(C2312,Projetos!A:L,12,false)=TRUE,TRUE,FALSE)</f>
        <v>1</v>
      </c>
      <c r="M2312" s="74">
        <v>73.7079846079846</v>
      </c>
      <c r="N2312" s="74">
        <f t="shared" si="1"/>
        <v>79.85031666</v>
      </c>
      <c r="O2312" s="74" t="b">
        <v>1</v>
      </c>
    </row>
    <row r="2313" hidden="1">
      <c r="A2313" s="82"/>
      <c r="B2313" s="65" t="s">
        <v>495</v>
      </c>
      <c r="C2313" s="65" t="s">
        <v>117</v>
      </c>
      <c r="D2313" s="65" t="str">
        <f>vlookup(C2313,'Classificação p pessoal'!F:G,2,false)</f>
        <v>NP</v>
      </c>
      <c r="E2313" s="65" t="s">
        <v>1475</v>
      </c>
      <c r="F2313" s="83">
        <v>0.6666666666666666</v>
      </c>
      <c r="G2313" s="83">
        <v>0.7013888888888888</v>
      </c>
      <c r="H2313" s="83">
        <v>0.034722222222222224</v>
      </c>
      <c r="I2313" s="84">
        <v>44524.0</v>
      </c>
      <c r="J2313" s="65" t="b">
        <v>1</v>
      </c>
      <c r="K2313" s="65"/>
      <c r="L2313" s="85" t="b">
        <f>IF(VLOOKUP(C2313,Projetos!A:L,12,false)=TRUE,TRUE,FALSE)</f>
        <v>1</v>
      </c>
      <c r="M2313" s="74">
        <v>73.7079846079846</v>
      </c>
      <c r="N2313" s="74">
        <f t="shared" si="1"/>
        <v>61.42332051</v>
      </c>
      <c r="O2313" s="74" t="b">
        <v>1</v>
      </c>
    </row>
    <row r="2314" hidden="1">
      <c r="A2314" s="82"/>
      <c r="B2314" s="65" t="s">
        <v>495</v>
      </c>
      <c r="C2314" s="65" t="s">
        <v>92</v>
      </c>
      <c r="D2314" s="65" t="str">
        <f>vlookup(C2314,'Classificação p pessoal'!F:G,2,false)</f>
        <v/>
      </c>
      <c r="E2314" s="65" t="s">
        <v>1476</v>
      </c>
      <c r="F2314" s="83">
        <v>0.3263888888888889</v>
      </c>
      <c r="G2314" s="83">
        <v>0.3958333333333333</v>
      </c>
      <c r="H2314" s="83">
        <v>0.06944444444444445</v>
      </c>
      <c r="I2314" s="84">
        <v>44525.0</v>
      </c>
      <c r="J2314" s="65" t="b">
        <v>1</v>
      </c>
      <c r="K2314" s="65"/>
      <c r="L2314" s="85" t="b">
        <f>IF(VLOOKUP(C2314,Projetos!A:L,12,false)=TRUE,TRUE,FALSE)</f>
        <v>1</v>
      </c>
      <c r="M2314" s="74">
        <v>73.7079846079846</v>
      </c>
      <c r="N2314" s="74">
        <f t="shared" si="1"/>
        <v>122.846641</v>
      </c>
      <c r="O2314" s="74" t="b">
        <v>1</v>
      </c>
    </row>
    <row r="2315" hidden="1">
      <c r="A2315" s="82"/>
      <c r="B2315" s="65" t="s">
        <v>495</v>
      </c>
      <c r="C2315" s="65" t="s">
        <v>89</v>
      </c>
      <c r="D2315" s="65" t="str">
        <f>vlookup(C2315,'Classificação p pessoal'!F:G,2,false)</f>
        <v>NP</v>
      </c>
      <c r="E2315" s="65" t="s">
        <v>856</v>
      </c>
      <c r="F2315" s="83">
        <v>0.40625</v>
      </c>
      <c r="G2315" s="83">
        <v>0.5</v>
      </c>
      <c r="H2315" s="83">
        <v>0.09375</v>
      </c>
      <c r="I2315" s="84">
        <v>44525.0</v>
      </c>
      <c r="J2315" s="65" t="b">
        <v>1</v>
      </c>
      <c r="K2315" s="65"/>
      <c r="L2315" s="85" t="b">
        <f>IF(VLOOKUP(C2315,Projetos!A:L,12,false)=TRUE,TRUE,FALSE)</f>
        <v>1</v>
      </c>
      <c r="M2315" s="74">
        <v>73.7079846079846</v>
      </c>
      <c r="N2315" s="74">
        <f t="shared" si="1"/>
        <v>165.8429654</v>
      </c>
      <c r="O2315" s="74" t="b">
        <v>1</v>
      </c>
    </row>
    <row r="2316" hidden="1">
      <c r="A2316" s="82"/>
      <c r="B2316" s="65" t="s">
        <v>495</v>
      </c>
      <c r="C2316" s="65" t="s">
        <v>92</v>
      </c>
      <c r="D2316" s="65" t="str">
        <f>vlookup(C2316,'Classificação p pessoal'!F:G,2,false)</f>
        <v/>
      </c>
      <c r="E2316" s="65" t="s">
        <v>1477</v>
      </c>
      <c r="F2316" s="83">
        <v>0.5</v>
      </c>
      <c r="G2316" s="83">
        <v>0.5763888888888888</v>
      </c>
      <c r="H2316" s="83">
        <v>0.0763888888888889</v>
      </c>
      <c r="I2316" s="84">
        <v>44525.0</v>
      </c>
      <c r="J2316" s="65" t="b">
        <v>1</v>
      </c>
      <c r="K2316" s="65"/>
      <c r="L2316" s="85" t="b">
        <f>IF(VLOOKUP(C2316,Projetos!A:L,12,false)=TRUE,TRUE,FALSE)</f>
        <v>1</v>
      </c>
      <c r="M2316" s="74">
        <v>73.7079846079846</v>
      </c>
      <c r="N2316" s="74">
        <f t="shared" si="1"/>
        <v>135.1313051</v>
      </c>
      <c r="O2316" s="74" t="b">
        <v>1</v>
      </c>
    </row>
    <row r="2317" hidden="1">
      <c r="A2317" s="82"/>
      <c r="B2317" s="65" t="s">
        <v>495</v>
      </c>
      <c r="C2317" s="65" t="s">
        <v>98</v>
      </c>
      <c r="D2317" s="65" t="str">
        <f>vlookup(C2317,'Classificação p pessoal'!F:G,2,false)</f>
        <v>NP</v>
      </c>
      <c r="E2317" s="65" t="s">
        <v>856</v>
      </c>
      <c r="F2317" s="83">
        <v>0.6180555555555556</v>
      </c>
      <c r="G2317" s="83">
        <v>0.6958333333333333</v>
      </c>
      <c r="H2317" s="83">
        <v>0.07777777777777778</v>
      </c>
      <c r="I2317" s="84">
        <v>44525.0</v>
      </c>
      <c r="J2317" s="65" t="b">
        <v>1</v>
      </c>
      <c r="K2317" s="65"/>
      <c r="L2317" s="85" t="b">
        <f>IF(VLOOKUP(C2317,Projetos!A:L,12,false)=TRUE,TRUE,FALSE)</f>
        <v>1</v>
      </c>
      <c r="M2317" s="74">
        <v>73.7079846079846</v>
      </c>
      <c r="N2317" s="74">
        <f t="shared" si="1"/>
        <v>137.5882379</v>
      </c>
      <c r="O2317" s="74" t="b">
        <v>1</v>
      </c>
    </row>
    <row r="2318" hidden="1">
      <c r="A2318" s="82"/>
      <c r="B2318" s="65" t="s">
        <v>495</v>
      </c>
      <c r="C2318" s="65" t="s">
        <v>92</v>
      </c>
      <c r="D2318" s="65"/>
      <c r="E2318" s="65" t="s">
        <v>1478</v>
      </c>
      <c r="F2318" s="83">
        <v>0.71875</v>
      </c>
      <c r="G2318" s="83">
        <v>0.75</v>
      </c>
      <c r="H2318" s="83">
        <v>0.03125</v>
      </c>
      <c r="I2318" s="84">
        <v>44525.0</v>
      </c>
      <c r="J2318" s="65" t="b">
        <v>0</v>
      </c>
      <c r="K2318" s="65" t="s">
        <v>150</v>
      </c>
      <c r="L2318" s="85" t="b">
        <f>IF(VLOOKUP(C2318,Projetos!A:L,12,false)=TRUE,TRUE,FALSE)</f>
        <v>1</v>
      </c>
      <c r="M2318" s="74">
        <v>73.7079846079846</v>
      </c>
      <c r="N2318" s="74">
        <f t="shared" si="1"/>
        <v>0</v>
      </c>
      <c r="O2318" s="74" t="b">
        <v>1</v>
      </c>
    </row>
    <row r="2319" hidden="1">
      <c r="A2319" s="82"/>
      <c r="B2319" s="65" t="s">
        <v>495</v>
      </c>
      <c r="C2319" s="65" t="s">
        <v>92</v>
      </c>
      <c r="D2319" s="65" t="str">
        <f>vlookup(C2319,'Classificação p pessoal'!F:G,2,false)</f>
        <v/>
      </c>
      <c r="E2319" s="65" t="s">
        <v>1477</v>
      </c>
      <c r="F2319" s="83">
        <v>0.3298611111111111</v>
      </c>
      <c r="G2319" s="83">
        <v>0.4166666666666667</v>
      </c>
      <c r="H2319" s="83">
        <v>0.08680555555555555</v>
      </c>
      <c r="I2319" s="84">
        <v>44526.0</v>
      </c>
      <c r="J2319" s="65" t="b">
        <v>1</v>
      </c>
      <c r="K2319" s="65"/>
      <c r="L2319" s="85" t="b">
        <f>IF(VLOOKUP(C2319,Projetos!A:L,12,false)=TRUE,TRUE,FALSE)</f>
        <v>1</v>
      </c>
      <c r="M2319" s="74">
        <v>73.7079846079846</v>
      </c>
      <c r="N2319" s="74">
        <f t="shared" si="1"/>
        <v>153.5583013</v>
      </c>
      <c r="O2319" s="74" t="b">
        <v>1</v>
      </c>
    </row>
    <row r="2320" hidden="1">
      <c r="A2320" s="82"/>
      <c r="B2320" s="65" t="s">
        <v>495</v>
      </c>
      <c r="C2320" s="65" t="s">
        <v>89</v>
      </c>
      <c r="D2320" s="65" t="str">
        <f>vlookup(C2320,'Classificação p pessoal'!F:G,2,false)</f>
        <v>NP</v>
      </c>
      <c r="E2320" s="65" t="s">
        <v>856</v>
      </c>
      <c r="F2320" s="83">
        <v>0.4166666666666667</v>
      </c>
      <c r="G2320" s="83">
        <v>0.5416666666666666</v>
      </c>
      <c r="H2320" s="83">
        <v>0.125</v>
      </c>
      <c r="I2320" s="84">
        <v>44526.0</v>
      </c>
      <c r="J2320" s="65" t="b">
        <v>1</v>
      </c>
      <c r="K2320" s="65"/>
      <c r="L2320" s="85" t="b">
        <f>IF(VLOOKUP(C2320,Projetos!A:L,12,false)=TRUE,TRUE,FALSE)</f>
        <v>1</v>
      </c>
      <c r="M2320" s="74">
        <v>73.7079846079846</v>
      </c>
      <c r="N2320" s="74">
        <f t="shared" si="1"/>
        <v>221.1239538</v>
      </c>
      <c r="O2320" s="74" t="b">
        <v>1</v>
      </c>
    </row>
    <row r="2321" hidden="1">
      <c r="A2321" s="82"/>
      <c r="B2321" s="65" t="s">
        <v>495</v>
      </c>
      <c r="C2321" s="65" t="s">
        <v>92</v>
      </c>
      <c r="D2321" s="65" t="str">
        <f>vlookup(C2321,'Classificação p pessoal'!F:G,2,false)</f>
        <v/>
      </c>
      <c r="E2321" s="65" t="s">
        <v>1479</v>
      </c>
      <c r="F2321" s="83">
        <v>0.5833333333333334</v>
      </c>
      <c r="G2321" s="83">
        <v>0.6041666666666666</v>
      </c>
      <c r="H2321" s="83">
        <v>0.020833333333333332</v>
      </c>
      <c r="I2321" s="84">
        <v>44526.0</v>
      </c>
      <c r="J2321" s="65" t="b">
        <v>1</v>
      </c>
      <c r="K2321" s="65"/>
      <c r="L2321" s="85" t="b">
        <f>IF(VLOOKUP(C2321,Projetos!A:L,12,false)=TRUE,TRUE,FALSE)</f>
        <v>1</v>
      </c>
      <c r="M2321" s="74">
        <v>73.7079846079846</v>
      </c>
      <c r="N2321" s="74">
        <f t="shared" si="1"/>
        <v>36.8539923</v>
      </c>
      <c r="O2321" s="74" t="b">
        <v>1</v>
      </c>
    </row>
    <row r="2322" hidden="1">
      <c r="A2322" s="82"/>
      <c r="B2322" s="65" t="s">
        <v>495</v>
      </c>
      <c r="C2322" s="65" t="s">
        <v>92</v>
      </c>
      <c r="D2322" s="65" t="str">
        <f>vlookup(C2322,'Classificação p pessoal'!F:G,2,false)</f>
        <v/>
      </c>
      <c r="E2322" s="65" t="s">
        <v>1480</v>
      </c>
      <c r="F2322" s="83">
        <v>0.7291666666666666</v>
      </c>
      <c r="G2322" s="83">
        <v>0.75</v>
      </c>
      <c r="H2322" s="83">
        <v>0.020833333333333332</v>
      </c>
      <c r="I2322" s="84">
        <v>44526.0</v>
      </c>
      <c r="J2322" s="65" t="b">
        <v>1</v>
      </c>
      <c r="K2322" s="65"/>
      <c r="L2322" s="85" t="b">
        <f>IF(VLOOKUP(C2322,Projetos!A:L,12,false)=TRUE,TRUE,FALSE)</f>
        <v>1</v>
      </c>
      <c r="M2322" s="74">
        <v>73.7079846079846</v>
      </c>
      <c r="N2322" s="74">
        <f t="shared" si="1"/>
        <v>36.8539923</v>
      </c>
      <c r="O2322" s="74" t="b">
        <v>1</v>
      </c>
    </row>
    <row r="2323" hidden="1">
      <c r="A2323" s="82"/>
      <c r="B2323" s="65" t="s">
        <v>495</v>
      </c>
      <c r="C2323" s="65" t="s">
        <v>92</v>
      </c>
      <c r="D2323" s="65"/>
      <c r="E2323" s="65" t="s">
        <v>1481</v>
      </c>
      <c r="F2323" s="83">
        <v>0.3263888888888889</v>
      </c>
      <c r="G2323" s="83">
        <v>0.375</v>
      </c>
      <c r="H2323" s="83">
        <v>0.04861111111111111</v>
      </c>
      <c r="I2323" s="84">
        <v>44529.0</v>
      </c>
      <c r="J2323" s="65" t="b">
        <v>0</v>
      </c>
      <c r="K2323" s="65" t="s">
        <v>150</v>
      </c>
      <c r="L2323" s="85" t="b">
        <f>IF(VLOOKUP(C2323,Projetos!A:L,12,false)=TRUE,TRUE,FALSE)</f>
        <v>1</v>
      </c>
      <c r="M2323" s="74">
        <v>73.7079846079846</v>
      </c>
      <c r="N2323" s="74">
        <f t="shared" si="1"/>
        <v>0</v>
      </c>
      <c r="O2323" s="74" t="b">
        <v>1</v>
      </c>
    </row>
    <row r="2324" hidden="1">
      <c r="A2324" s="82"/>
      <c r="B2324" s="65" t="s">
        <v>495</v>
      </c>
      <c r="C2324" s="65" t="s">
        <v>92</v>
      </c>
      <c r="D2324" s="65" t="str">
        <f>vlookup(C2324,'Classificação p pessoal'!F:G,2,false)</f>
        <v/>
      </c>
      <c r="E2324" s="65" t="s">
        <v>1482</v>
      </c>
      <c r="F2324" s="83">
        <v>0.375</v>
      </c>
      <c r="G2324" s="83">
        <v>0.4166666666666667</v>
      </c>
      <c r="H2324" s="83">
        <v>0.041666666666666664</v>
      </c>
      <c r="I2324" s="84">
        <v>44529.0</v>
      </c>
      <c r="J2324" s="65" t="b">
        <v>1</v>
      </c>
      <c r="K2324" s="65"/>
      <c r="L2324" s="85" t="b">
        <f>IF(VLOOKUP(C2324,Projetos!A:L,12,false)=TRUE,TRUE,FALSE)</f>
        <v>1</v>
      </c>
      <c r="M2324" s="74">
        <v>73.7079846079846</v>
      </c>
      <c r="N2324" s="74">
        <f t="shared" si="1"/>
        <v>73.70798461</v>
      </c>
      <c r="O2324" s="74" t="b">
        <v>1</v>
      </c>
    </row>
    <row r="2325" hidden="1">
      <c r="A2325" s="82"/>
      <c r="B2325" s="65" t="s">
        <v>495</v>
      </c>
      <c r="C2325" s="65" t="s">
        <v>117</v>
      </c>
      <c r="D2325" s="65" t="str">
        <f>vlookup(C2325,'Classificação p pessoal'!F:G,2,false)</f>
        <v>NP</v>
      </c>
      <c r="E2325" s="65" t="s">
        <v>1483</v>
      </c>
      <c r="F2325" s="83">
        <v>0.4305555555555556</v>
      </c>
      <c r="G2325" s="83">
        <v>0.5729166666666666</v>
      </c>
      <c r="H2325" s="83">
        <v>0.1423611111111111</v>
      </c>
      <c r="I2325" s="84">
        <v>44529.0</v>
      </c>
      <c r="J2325" s="65" t="b">
        <v>1</v>
      </c>
      <c r="K2325" s="65"/>
      <c r="L2325" s="85" t="b">
        <f>IF(VLOOKUP(C2325,Projetos!A:L,12,false)=TRUE,TRUE,FALSE)</f>
        <v>1</v>
      </c>
      <c r="M2325" s="74">
        <v>73.7079846079846</v>
      </c>
      <c r="N2325" s="74">
        <f t="shared" si="1"/>
        <v>251.8356141</v>
      </c>
      <c r="O2325" s="74" t="b">
        <v>1</v>
      </c>
    </row>
    <row r="2326" hidden="1">
      <c r="A2326" s="82"/>
      <c r="B2326" s="65" t="s">
        <v>495</v>
      </c>
      <c r="C2326" s="65" t="s">
        <v>92</v>
      </c>
      <c r="D2326" s="65" t="str">
        <f>vlookup(C2326,'Classificação p pessoal'!F:G,2,false)</f>
        <v/>
      </c>
      <c r="E2326" s="65" t="s">
        <v>1484</v>
      </c>
      <c r="F2326" s="83">
        <v>0.6458333333333334</v>
      </c>
      <c r="G2326" s="83">
        <v>0.6979166666666666</v>
      </c>
      <c r="H2326" s="83">
        <v>0.052083333333333336</v>
      </c>
      <c r="I2326" s="84">
        <v>44529.0</v>
      </c>
      <c r="J2326" s="65" t="b">
        <v>1</v>
      </c>
      <c r="K2326" s="65"/>
      <c r="L2326" s="85" t="b">
        <f>IF(VLOOKUP(C2326,Projetos!A:L,12,false)=TRUE,TRUE,FALSE)</f>
        <v>1</v>
      </c>
      <c r="M2326" s="74">
        <v>73.7079846079846</v>
      </c>
      <c r="N2326" s="74">
        <f t="shared" si="1"/>
        <v>92.13498076</v>
      </c>
      <c r="O2326" s="74" t="b">
        <v>1</v>
      </c>
    </row>
    <row r="2327" hidden="1">
      <c r="A2327" s="82"/>
      <c r="B2327" s="65" t="s">
        <v>495</v>
      </c>
      <c r="C2327" s="65" t="s">
        <v>92</v>
      </c>
      <c r="D2327" s="65" t="str">
        <f>vlookup(C2327,'Classificação p pessoal'!F:G,2,false)</f>
        <v/>
      </c>
      <c r="E2327" s="65" t="s">
        <v>1484</v>
      </c>
      <c r="F2327" s="83">
        <v>0.71875</v>
      </c>
      <c r="G2327" s="83">
        <v>0.75</v>
      </c>
      <c r="H2327" s="83">
        <v>0.03125</v>
      </c>
      <c r="I2327" s="84">
        <v>44529.0</v>
      </c>
      <c r="J2327" s="65" t="b">
        <v>1</v>
      </c>
      <c r="K2327" s="65"/>
      <c r="L2327" s="85" t="b">
        <f>IF(VLOOKUP(C2327,Projetos!A:L,12,false)=TRUE,TRUE,FALSE)</f>
        <v>1</v>
      </c>
      <c r="M2327" s="74">
        <v>73.7079846079846</v>
      </c>
      <c r="N2327" s="74">
        <f t="shared" si="1"/>
        <v>55.28098846</v>
      </c>
      <c r="O2327" s="74" t="b">
        <v>1</v>
      </c>
    </row>
    <row r="2328" hidden="1">
      <c r="A2328" s="82"/>
      <c r="B2328" s="65" t="s">
        <v>495</v>
      </c>
      <c r="C2328" s="65" t="s">
        <v>117</v>
      </c>
      <c r="D2328" s="65"/>
      <c r="E2328" s="65" t="s">
        <v>1485</v>
      </c>
      <c r="F2328" s="83">
        <v>0.3263888888888889</v>
      </c>
      <c r="G2328" s="83">
        <v>0.3958333333333333</v>
      </c>
      <c r="H2328" s="83">
        <v>0.06944444444444445</v>
      </c>
      <c r="I2328" s="84">
        <v>44530.0</v>
      </c>
      <c r="J2328" s="65" t="b">
        <v>0</v>
      </c>
      <c r="K2328" s="65" t="s">
        <v>150</v>
      </c>
      <c r="L2328" s="85" t="b">
        <f>IF(VLOOKUP(C2328,Projetos!A:L,12,false)=TRUE,TRUE,FALSE)</f>
        <v>1</v>
      </c>
      <c r="M2328" s="74">
        <v>73.7079846079846</v>
      </c>
      <c r="N2328" s="74">
        <f t="shared" si="1"/>
        <v>0</v>
      </c>
      <c r="O2328" s="74" t="b">
        <v>1</v>
      </c>
    </row>
    <row r="2329" hidden="1">
      <c r="A2329" s="82"/>
      <c r="B2329" s="65" t="s">
        <v>495</v>
      </c>
      <c r="C2329" s="65" t="s">
        <v>92</v>
      </c>
      <c r="D2329" s="65"/>
      <c r="E2329" s="65" t="s">
        <v>1486</v>
      </c>
      <c r="F2329" s="83">
        <v>0.3958333333333333</v>
      </c>
      <c r="G2329" s="83">
        <v>0.4375</v>
      </c>
      <c r="H2329" s="83">
        <v>0.041666666666666664</v>
      </c>
      <c r="I2329" s="84">
        <v>44530.0</v>
      </c>
      <c r="J2329" s="65" t="b">
        <v>0</v>
      </c>
      <c r="K2329" s="65" t="s">
        <v>150</v>
      </c>
      <c r="L2329" s="85" t="b">
        <f>IF(VLOOKUP(C2329,Projetos!A:L,12,false)=TRUE,TRUE,FALSE)</f>
        <v>1</v>
      </c>
      <c r="M2329" s="74">
        <v>73.7079846079846</v>
      </c>
      <c r="N2329" s="74">
        <f t="shared" si="1"/>
        <v>0</v>
      </c>
      <c r="O2329" s="74" t="b">
        <v>1</v>
      </c>
    </row>
    <row r="2330" hidden="1">
      <c r="A2330" s="82"/>
      <c r="B2330" s="65" t="s">
        <v>495</v>
      </c>
      <c r="C2330" s="65" t="s">
        <v>98</v>
      </c>
      <c r="D2330" s="65" t="str">
        <f>vlookup(C2330,'Classificação p pessoal'!F:G,2,false)</f>
        <v>NP</v>
      </c>
      <c r="E2330" s="65" t="s">
        <v>856</v>
      </c>
      <c r="F2330" s="83">
        <v>0.4375</v>
      </c>
      <c r="G2330" s="83">
        <v>0.5833333333333334</v>
      </c>
      <c r="H2330" s="83">
        <v>0.14583333333333334</v>
      </c>
      <c r="I2330" s="84">
        <v>44530.0</v>
      </c>
      <c r="J2330" s="65" t="b">
        <v>1</v>
      </c>
      <c r="K2330" s="65"/>
      <c r="L2330" s="85" t="b">
        <f>IF(VLOOKUP(C2330,Projetos!A:L,12,false)=TRUE,TRUE,FALSE)</f>
        <v>1</v>
      </c>
      <c r="M2330" s="74">
        <v>73.7079846079846</v>
      </c>
      <c r="N2330" s="74">
        <f t="shared" si="1"/>
        <v>257.9779461</v>
      </c>
      <c r="O2330" s="74" t="b">
        <v>1</v>
      </c>
    </row>
    <row r="2331" hidden="1">
      <c r="A2331" s="82"/>
      <c r="B2331" s="65" t="s">
        <v>495</v>
      </c>
      <c r="C2331" s="65" t="s">
        <v>92</v>
      </c>
      <c r="D2331" s="65" t="str">
        <f>vlookup(C2331,'Classificação p pessoal'!F:G,2,false)</f>
        <v/>
      </c>
      <c r="E2331" s="65" t="s">
        <v>1487</v>
      </c>
      <c r="F2331" s="83">
        <v>0.625</v>
      </c>
      <c r="G2331" s="83">
        <v>0.6666666666666666</v>
      </c>
      <c r="H2331" s="83">
        <v>0.041666666666666664</v>
      </c>
      <c r="I2331" s="84">
        <v>44530.0</v>
      </c>
      <c r="J2331" s="65" t="b">
        <v>1</v>
      </c>
      <c r="K2331" s="65"/>
      <c r="L2331" s="85" t="b">
        <f>IF(VLOOKUP(C2331,Projetos!A:L,12,false)=TRUE,TRUE,FALSE)</f>
        <v>1</v>
      </c>
      <c r="M2331" s="74">
        <v>73.7079846079846</v>
      </c>
      <c r="N2331" s="74">
        <f t="shared" si="1"/>
        <v>73.70798461</v>
      </c>
      <c r="O2331" s="74" t="b">
        <v>1</v>
      </c>
    </row>
    <row r="2332" hidden="1">
      <c r="A2332" s="82"/>
      <c r="B2332" s="65" t="s">
        <v>495</v>
      </c>
      <c r="C2332" s="65" t="s">
        <v>92</v>
      </c>
      <c r="D2332" s="65" t="str">
        <f>vlookup(C2332,'Classificação p pessoal'!F:G,2,false)</f>
        <v/>
      </c>
      <c r="E2332" s="65" t="s">
        <v>1488</v>
      </c>
      <c r="F2332" s="83">
        <v>0.6666666666666666</v>
      </c>
      <c r="G2332" s="83">
        <v>0.6979166666666666</v>
      </c>
      <c r="H2332" s="83">
        <v>0.03125</v>
      </c>
      <c r="I2332" s="84">
        <v>44530.0</v>
      </c>
      <c r="J2332" s="65" t="b">
        <v>1</v>
      </c>
      <c r="K2332" s="65"/>
      <c r="L2332" s="85" t="b">
        <f>IF(VLOOKUP(C2332,Projetos!A:L,12,false)=TRUE,TRUE,FALSE)</f>
        <v>1</v>
      </c>
      <c r="M2332" s="74">
        <v>73.7079846079846</v>
      </c>
      <c r="N2332" s="74">
        <f t="shared" si="1"/>
        <v>55.28098846</v>
      </c>
      <c r="O2332" s="74" t="b">
        <v>1</v>
      </c>
    </row>
    <row r="2333" hidden="1">
      <c r="A2333" s="82"/>
      <c r="B2333" s="65" t="s">
        <v>495</v>
      </c>
      <c r="C2333" s="65" t="s">
        <v>92</v>
      </c>
      <c r="D2333" s="65" t="str">
        <f>vlookup(C2333,'Classificação p pessoal'!F:G,2,false)</f>
        <v/>
      </c>
      <c r="E2333" s="65" t="s">
        <v>1489</v>
      </c>
      <c r="F2333" s="83">
        <v>0.3298611111111111</v>
      </c>
      <c r="G2333" s="83">
        <v>0.3958333333333333</v>
      </c>
      <c r="H2333" s="83">
        <v>0.06597222222222222</v>
      </c>
      <c r="I2333" s="84">
        <v>44531.0</v>
      </c>
      <c r="J2333" s="65" t="b">
        <v>1</v>
      </c>
      <c r="K2333" s="65"/>
      <c r="L2333" s="85" t="b">
        <f>IF(VLOOKUP(C2333,Projetos!A:L,12,false)=TRUE,TRUE,FALSE)</f>
        <v>1</v>
      </c>
      <c r="M2333" s="74">
        <v>73.7079846079846</v>
      </c>
      <c r="N2333" s="74">
        <f t="shared" si="1"/>
        <v>116.704309</v>
      </c>
      <c r="O2333" s="74" t="b">
        <v>1</v>
      </c>
    </row>
    <row r="2334" hidden="1">
      <c r="A2334" s="82"/>
      <c r="B2334" s="65" t="s">
        <v>495</v>
      </c>
      <c r="C2334" s="65" t="s">
        <v>117</v>
      </c>
      <c r="D2334" s="65" t="str">
        <f>vlookup(C2334,'Classificação p pessoal'!F:G,2,false)</f>
        <v>NP</v>
      </c>
      <c r="E2334" s="65" t="s">
        <v>1490</v>
      </c>
      <c r="F2334" s="83">
        <v>0.3958333333333333</v>
      </c>
      <c r="G2334" s="83">
        <v>0.4375</v>
      </c>
      <c r="H2334" s="83">
        <v>0.041666666666666664</v>
      </c>
      <c r="I2334" s="84">
        <v>44531.0</v>
      </c>
      <c r="J2334" s="65" t="b">
        <v>1</v>
      </c>
      <c r="K2334" s="65"/>
      <c r="L2334" s="85" t="b">
        <f>IF(VLOOKUP(C2334,Projetos!A:L,12,false)=TRUE,TRUE,FALSE)</f>
        <v>1</v>
      </c>
      <c r="M2334" s="74">
        <v>73.7079846079846</v>
      </c>
      <c r="N2334" s="74">
        <f t="shared" si="1"/>
        <v>73.70798461</v>
      </c>
      <c r="O2334" s="74" t="b">
        <v>1</v>
      </c>
    </row>
    <row r="2335" hidden="1">
      <c r="A2335" s="82"/>
      <c r="B2335" s="65" t="s">
        <v>495</v>
      </c>
      <c r="C2335" s="65" t="s">
        <v>130</v>
      </c>
      <c r="D2335" s="65" t="str">
        <f>vlookup(C2335,'Classificação p pessoal'!F:G,2,false)</f>
        <v>NP</v>
      </c>
      <c r="E2335" s="65" t="s">
        <v>1491</v>
      </c>
      <c r="F2335" s="83">
        <v>0.4375</v>
      </c>
      <c r="G2335" s="83">
        <v>0.5</v>
      </c>
      <c r="H2335" s="83">
        <v>0.0625</v>
      </c>
      <c r="I2335" s="84">
        <v>44531.0</v>
      </c>
      <c r="J2335" s="65" t="b">
        <v>1</v>
      </c>
      <c r="K2335" s="65"/>
      <c r="L2335" s="85" t="b">
        <f>IF(VLOOKUP(C2335,Projetos!A:L,12,false)=TRUE,TRUE,FALSE)</f>
        <v>1</v>
      </c>
      <c r="M2335" s="74">
        <v>73.7079846079846</v>
      </c>
      <c r="N2335" s="74">
        <f t="shared" si="1"/>
        <v>110.5619769</v>
      </c>
      <c r="O2335" s="74" t="b">
        <v>1</v>
      </c>
    </row>
    <row r="2336" hidden="1">
      <c r="A2336" s="82"/>
      <c r="B2336" s="65" t="s">
        <v>495</v>
      </c>
      <c r="C2336" s="65" t="s">
        <v>92</v>
      </c>
      <c r="D2336" s="65"/>
      <c r="E2336" s="65" t="s">
        <v>1492</v>
      </c>
      <c r="F2336" s="83">
        <v>0.5069444444444444</v>
      </c>
      <c r="G2336" s="83">
        <v>0.5701388888888889</v>
      </c>
      <c r="H2336" s="83">
        <v>0.06319444444444444</v>
      </c>
      <c r="I2336" s="84">
        <v>44531.0</v>
      </c>
      <c r="J2336" s="65" t="b">
        <v>0</v>
      </c>
      <c r="K2336" s="65" t="s">
        <v>150</v>
      </c>
      <c r="L2336" s="85" t="b">
        <f>IF(VLOOKUP(C2336,Projetos!A:L,12,false)=TRUE,TRUE,FALSE)</f>
        <v>1</v>
      </c>
      <c r="M2336" s="74">
        <v>73.7079846079846</v>
      </c>
      <c r="N2336" s="74">
        <f t="shared" si="1"/>
        <v>0</v>
      </c>
      <c r="O2336" s="74" t="b">
        <v>1</v>
      </c>
    </row>
    <row r="2337" hidden="1">
      <c r="A2337" s="82"/>
      <c r="B2337" s="65" t="s">
        <v>495</v>
      </c>
      <c r="C2337" s="65" t="s">
        <v>92</v>
      </c>
      <c r="D2337" s="65" t="str">
        <f>vlookup(C2337,'Classificação p pessoal'!F:G,2,false)</f>
        <v/>
      </c>
      <c r="E2337" s="65" t="s">
        <v>1493</v>
      </c>
      <c r="F2337" s="83">
        <v>0.625</v>
      </c>
      <c r="G2337" s="83">
        <v>0.6979166666666666</v>
      </c>
      <c r="H2337" s="83">
        <v>0.07291666666666667</v>
      </c>
      <c r="I2337" s="84">
        <v>44531.0</v>
      </c>
      <c r="J2337" s="65" t="b">
        <v>1</v>
      </c>
      <c r="K2337" s="65"/>
      <c r="L2337" s="85" t="b">
        <f>IF(VLOOKUP(C2337,Projetos!A:L,12,false)=TRUE,TRUE,FALSE)</f>
        <v>1</v>
      </c>
      <c r="M2337" s="74">
        <v>73.7079846079846</v>
      </c>
      <c r="N2337" s="74">
        <f t="shared" si="1"/>
        <v>128.9889731</v>
      </c>
      <c r="O2337" s="74" t="b">
        <v>1</v>
      </c>
    </row>
    <row r="2338" hidden="1">
      <c r="A2338" s="82"/>
      <c r="B2338" s="65" t="s">
        <v>495</v>
      </c>
      <c r="C2338" s="65" t="s">
        <v>92</v>
      </c>
      <c r="D2338" s="65" t="str">
        <f>vlookup(C2338,'Classificação p pessoal'!F:G,2,false)</f>
        <v/>
      </c>
      <c r="E2338" s="65" t="s">
        <v>1494</v>
      </c>
      <c r="F2338" s="83">
        <v>0.71875</v>
      </c>
      <c r="G2338" s="83">
        <v>0.75</v>
      </c>
      <c r="H2338" s="83">
        <v>0.03125</v>
      </c>
      <c r="I2338" s="84">
        <v>44531.0</v>
      </c>
      <c r="J2338" s="65" t="b">
        <v>1</v>
      </c>
      <c r="K2338" s="65"/>
      <c r="L2338" s="85" t="b">
        <f>IF(VLOOKUP(C2338,Projetos!A:L,12,false)=TRUE,TRUE,FALSE)</f>
        <v>1</v>
      </c>
      <c r="M2338" s="74">
        <v>73.7079846079846</v>
      </c>
      <c r="N2338" s="74">
        <f t="shared" si="1"/>
        <v>55.28098846</v>
      </c>
      <c r="O2338" s="74" t="b">
        <v>1</v>
      </c>
    </row>
    <row r="2339" hidden="1">
      <c r="A2339" s="82"/>
      <c r="B2339" s="65" t="s">
        <v>495</v>
      </c>
      <c r="C2339" s="65" t="s">
        <v>92</v>
      </c>
      <c r="D2339" s="65" t="str">
        <f>vlookup(C2339,'Classificação p pessoal'!F:G,2,false)</f>
        <v/>
      </c>
      <c r="E2339" s="65" t="s">
        <v>1495</v>
      </c>
      <c r="F2339" s="83">
        <v>0.3263888888888889</v>
      </c>
      <c r="G2339" s="83">
        <v>0.4375</v>
      </c>
      <c r="H2339" s="83">
        <v>0.1111111111111111</v>
      </c>
      <c r="I2339" s="84">
        <v>44532.0</v>
      </c>
      <c r="J2339" s="65" t="b">
        <v>1</v>
      </c>
      <c r="K2339" s="65"/>
      <c r="L2339" s="85" t="b">
        <f>IF(VLOOKUP(C2339,Projetos!A:L,12,false)=TRUE,TRUE,FALSE)</f>
        <v>1</v>
      </c>
      <c r="M2339" s="74">
        <v>73.7079846079846</v>
      </c>
      <c r="N2339" s="74">
        <f t="shared" si="1"/>
        <v>196.5546256</v>
      </c>
      <c r="O2339" s="74" t="b">
        <v>1</v>
      </c>
    </row>
    <row r="2340" hidden="1">
      <c r="A2340" s="82"/>
      <c r="B2340" s="65" t="s">
        <v>495</v>
      </c>
      <c r="C2340" s="65" t="s">
        <v>92</v>
      </c>
      <c r="D2340" s="65" t="str">
        <f>vlookup(C2340,'Classificação p pessoal'!F:G,2,false)</f>
        <v/>
      </c>
      <c r="E2340" s="65" t="s">
        <v>1496</v>
      </c>
      <c r="F2340" s="83">
        <v>0.4375</v>
      </c>
      <c r="G2340" s="83">
        <v>0.5347222222222222</v>
      </c>
      <c r="H2340" s="83">
        <v>0.09722222222222222</v>
      </c>
      <c r="I2340" s="84">
        <v>44532.0</v>
      </c>
      <c r="J2340" s="65" t="b">
        <v>1</v>
      </c>
      <c r="K2340" s="65"/>
      <c r="L2340" s="85" t="b">
        <f>IF(VLOOKUP(C2340,Projetos!A:L,12,false)=TRUE,TRUE,FALSE)</f>
        <v>1</v>
      </c>
      <c r="M2340" s="74">
        <v>73.7079846079846</v>
      </c>
      <c r="N2340" s="74">
        <f t="shared" si="1"/>
        <v>171.9852974</v>
      </c>
      <c r="O2340" s="74" t="b">
        <v>1</v>
      </c>
    </row>
    <row r="2341" hidden="1">
      <c r="A2341" s="82"/>
      <c r="B2341" s="65" t="s">
        <v>495</v>
      </c>
      <c r="C2341" s="65" t="s">
        <v>117</v>
      </c>
      <c r="D2341" s="65" t="str">
        <f>vlookup(C2341,'Classificação p pessoal'!F:G,2,false)</f>
        <v>NP</v>
      </c>
      <c r="E2341" s="65" t="s">
        <v>1497</v>
      </c>
      <c r="F2341" s="83">
        <v>0.5833333333333334</v>
      </c>
      <c r="G2341" s="83">
        <v>0.625</v>
      </c>
      <c r="H2341" s="83">
        <v>0.041666666666666664</v>
      </c>
      <c r="I2341" s="84">
        <v>44532.0</v>
      </c>
      <c r="J2341" s="65" t="b">
        <v>1</v>
      </c>
      <c r="K2341" s="65"/>
      <c r="L2341" s="85" t="b">
        <f>IF(VLOOKUP(C2341,Projetos!A:L,12,false)=TRUE,TRUE,FALSE)</f>
        <v>1</v>
      </c>
      <c r="M2341" s="74">
        <v>73.7079846079846</v>
      </c>
      <c r="N2341" s="74">
        <f t="shared" si="1"/>
        <v>73.70798461</v>
      </c>
      <c r="O2341" s="74" t="b">
        <v>1</v>
      </c>
    </row>
    <row r="2342" hidden="1">
      <c r="A2342" s="82"/>
      <c r="B2342" s="65" t="s">
        <v>495</v>
      </c>
      <c r="C2342" s="65" t="s">
        <v>92</v>
      </c>
      <c r="D2342" s="65" t="str">
        <f>vlookup(C2342,'Classificação p pessoal'!F:G,2,false)</f>
        <v/>
      </c>
      <c r="E2342" s="65" t="s">
        <v>1498</v>
      </c>
      <c r="F2342" s="83">
        <v>0.625</v>
      </c>
      <c r="G2342" s="83">
        <v>0.6979166666666666</v>
      </c>
      <c r="H2342" s="83">
        <v>0.07291666666666667</v>
      </c>
      <c r="I2342" s="84">
        <v>44532.0</v>
      </c>
      <c r="J2342" s="65" t="b">
        <v>1</v>
      </c>
      <c r="K2342" s="65"/>
      <c r="L2342" s="85" t="b">
        <f>IF(VLOOKUP(C2342,Projetos!A:L,12,false)=TRUE,TRUE,FALSE)</f>
        <v>1</v>
      </c>
      <c r="M2342" s="74">
        <v>73.7079846079846</v>
      </c>
      <c r="N2342" s="74">
        <f t="shared" si="1"/>
        <v>128.9889731</v>
      </c>
      <c r="O2342" s="74" t="b">
        <v>1</v>
      </c>
    </row>
    <row r="2343" hidden="1">
      <c r="A2343" s="82"/>
      <c r="B2343" s="65" t="s">
        <v>495</v>
      </c>
      <c r="C2343" s="65" t="s">
        <v>92</v>
      </c>
      <c r="D2343" s="65" t="str">
        <f>vlookup(C2343,'Classificação p pessoal'!F:G,2,false)</f>
        <v/>
      </c>
      <c r="E2343" s="65" t="s">
        <v>1499</v>
      </c>
      <c r="F2343" s="83">
        <v>0.71875</v>
      </c>
      <c r="G2343" s="83">
        <v>0.75</v>
      </c>
      <c r="H2343" s="83">
        <v>0.03125</v>
      </c>
      <c r="I2343" s="84">
        <v>44532.0</v>
      </c>
      <c r="J2343" s="65" t="b">
        <v>1</v>
      </c>
      <c r="K2343" s="65"/>
      <c r="L2343" s="85" t="b">
        <f>IF(VLOOKUP(C2343,Projetos!A:L,12,false)=TRUE,TRUE,FALSE)</f>
        <v>1</v>
      </c>
      <c r="M2343" s="74">
        <v>73.7079846079846</v>
      </c>
      <c r="N2343" s="74">
        <f t="shared" si="1"/>
        <v>55.28098846</v>
      </c>
      <c r="O2343" s="74" t="b">
        <v>1</v>
      </c>
    </row>
    <row r="2344" hidden="1">
      <c r="A2344" s="82"/>
      <c r="B2344" s="65" t="s">
        <v>495</v>
      </c>
      <c r="C2344" s="65" t="s">
        <v>117</v>
      </c>
      <c r="D2344" s="65" t="str">
        <f>vlookup(C2344,'Classificação p pessoal'!F:G,2,false)</f>
        <v>NP</v>
      </c>
      <c r="E2344" s="65" t="s">
        <v>1500</v>
      </c>
      <c r="F2344" s="83">
        <v>0.3263888888888889</v>
      </c>
      <c r="G2344" s="83">
        <v>0.4583333333333333</v>
      </c>
      <c r="H2344" s="83">
        <v>0.13194444444444445</v>
      </c>
      <c r="I2344" s="84">
        <v>44533.0</v>
      </c>
      <c r="J2344" s="65" t="b">
        <v>1</v>
      </c>
      <c r="K2344" s="65"/>
      <c r="L2344" s="85" t="b">
        <f>IF(VLOOKUP(C2344,Projetos!A:L,12,false)=TRUE,TRUE,FALSE)</f>
        <v>1</v>
      </c>
      <c r="M2344" s="74">
        <v>73.7079846079846</v>
      </c>
      <c r="N2344" s="74">
        <f t="shared" si="1"/>
        <v>233.4086179</v>
      </c>
      <c r="O2344" s="74" t="b">
        <v>1</v>
      </c>
    </row>
    <row r="2345" hidden="1">
      <c r="A2345" s="82"/>
      <c r="B2345" s="65" t="s">
        <v>495</v>
      </c>
      <c r="C2345" s="65" t="s">
        <v>92</v>
      </c>
      <c r="D2345" s="65" t="str">
        <f>vlookup(C2345,'Classificação p pessoal'!F:G,2,false)</f>
        <v/>
      </c>
      <c r="E2345" s="65" t="s">
        <v>1501</v>
      </c>
      <c r="F2345" s="83">
        <v>0.4583333333333333</v>
      </c>
      <c r="G2345" s="83">
        <v>0.4791666666666667</v>
      </c>
      <c r="H2345" s="83">
        <v>0.020833333333333332</v>
      </c>
      <c r="I2345" s="84">
        <v>44533.0</v>
      </c>
      <c r="J2345" s="65" t="b">
        <v>1</v>
      </c>
      <c r="K2345" s="65"/>
      <c r="L2345" s="85" t="b">
        <f>IF(VLOOKUP(C2345,Projetos!A:L,12,false)=TRUE,TRUE,FALSE)</f>
        <v>1</v>
      </c>
      <c r="M2345" s="74">
        <v>73.7079846079846</v>
      </c>
      <c r="N2345" s="74">
        <f t="shared" si="1"/>
        <v>36.8539923</v>
      </c>
      <c r="O2345" s="74" t="b">
        <v>1</v>
      </c>
    </row>
    <row r="2346" hidden="1">
      <c r="A2346" s="82"/>
      <c r="B2346" s="65" t="s">
        <v>495</v>
      </c>
      <c r="C2346" s="65" t="s">
        <v>92</v>
      </c>
      <c r="D2346" s="65" t="str">
        <f>vlookup(C2346,'Classificação p pessoal'!F:G,2,false)</f>
        <v/>
      </c>
      <c r="E2346" s="65" t="s">
        <v>1495</v>
      </c>
      <c r="F2346" s="83">
        <v>0.4895833333333333</v>
      </c>
      <c r="G2346" s="83">
        <v>0.5833333333333334</v>
      </c>
      <c r="H2346" s="83">
        <v>0.09375</v>
      </c>
      <c r="I2346" s="84">
        <v>44533.0</v>
      </c>
      <c r="J2346" s="65" t="b">
        <v>1</v>
      </c>
      <c r="K2346" s="65"/>
      <c r="L2346" s="85" t="b">
        <f>IF(VLOOKUP(C2346,Projetos!A:L,12,false)=TRUE,TRUE,FALSE)</f>
        <v>1</v>
      </c>
      <c r="M2346" s="74">
        <v>73.7079846079846</v>
      </c>
      <c r="N2346" s="74">
        <f t="shared" si="1"/>
        <v>165.8429654</v>
      </c>
      <c r="O2346" s="74" t="b">
        <v>1</v>
      </c>
    </row>
    <row r="2347" hidden="1">
      <c r="A2347" s="82"/>
      <c r="B2347" s="65" t="s">
        <v>495</v>
      </c>
      <c r="C2347" s="65" t="s">
        <v>117</v>
      </c>
      <c r="D2347" s="65" t="str">
        <f>vlookup(C2347,'Classificação p pessoal'!F:G,2,false)</f>
        <v>NP</v>
      </c>
      <c r="E2347" s="65" t="s">
        <v>1502</v>
      </c>
      <c r="F2347" s="83">
        <v>0.625</v>
      </c>
      <c r="G2347" s="83">
        <v>0.6979166666666666</v>
      </c>
      <c r="H2347" s="83">
        <v>0.07291666666666667</v>
      </c>
      <c r="I2347" s="84">
        <v>44533.0</v>
      </c>
      <c r="J2347" s="65" t="b">
        <v>1</v>
      </c>
      <c r="K2347" s="65"/>
      <c r="L2347" s="85" t="b">
        <f>IF(VLOOKUP(C2347,Projetos!A:L,12,false)=TRUE,TRUE,FALSE)</f>
        <v>1</v>
      </c>
      <c r="M2347" s="74">
        <v>73.7079846079846</v>
      </c>
      <c r="N2347" s="74">
        <f t="shared" si="1"/>
        <v>128.9889731</v>
      </c>
      <c r="O2347" s="74" t="b">
        <v>1</v>
      </c>
    </row>
    <row r="2348" hidden="1">
      <c r="A2348" s="82"/>
      <c r="B2348" s="65" t="s">
        <v>495</v>
      </c>
      <c r="C2348" s="65" t="s">
        <v>92</v>
      </c>
      <c r="D2348" s="65" t="str">
        <f>vlookup(C2348,'Classificação p pessoal'!F:G,2,false)</f>
        <v/>
      </c>
      <c r="E2348" s="65" t="s">
        <v>1503</v>
      </c>
      <c r="F2348" s="83">
        <v>0.71875</v>
      </c>
      <c r="G2348" s="83">
        <v>0.75</v>
      </c>
      <c r="H2348" s="83">
        <v>0.03125</v>
      </c>
      <c r="I2348" s="84">
        <v>44533.0</v>
      </c>
      <c r="J2348" s="65" t="b">
        <v>1</v>
      </c>
      <c r="K2348" s="65"/>
      <c r="L2348" s="85" t="b">
        <f>IF(VLOOKUP(C2348,Projetos!A:L,12,false)=TRUE,TRUE,FALSE)</f>
        <v>1</v>
      </c>
      <c r="M2348" s="74">
        <v>73.7079846079846</v>
      </c>
      <c r="N2348" s="74">
        <f t="shared" si="1"/>
        <v>55.28098846</v>
      </c>
      <c r="O2348" s="74" t="b">
        <v>1</v>
      </c>
    </row>
    <row r="2349" hidden="1">
      <c r="A2349" s="82"/>
      <c r="B2349" s="65" t="s">
        <v>495</v>
      </c>
      <c r="C2349" s="65" t="s">
        <v>92</v>
      </c>
      <c r="D2349" s="65" t="str">
        <f>vlookup(C2349,'Classificação p pessoal'!F:G,2,false)</f>
        <v/>
      </c>
      <c r="E2349" s="65" t="s">
        <v>1504</v>
      </c>
      <c r="F2349" s="83">
        <v>0.3194444444444444</v>
      </c>
      <c r="G2349" s="83">
        <v>0.4166666666666667</v>
      </c>
      <c r="H2349" s="83">
        <v>0.09722222222222222</v>
      </c>
      <c r="I2349" s="84">
        <v>44536.0</v>
      </c>
      <c r="J2349" s="65" t="b">
        <v>1</v>
      </c>
      <c r="K2349" s="65"/>
      <c r="L2349" s="85" t="b">
        <f>IF(VLOOKUP(C2349,Projetos!A:L,12,false)=TRUE,TRUE,FALSE)</f>
        <v>1</v>
      </c>
      <c r="M2349" s="74">
        <v>73.7079846079846</v>
      </c>
      <c r="N2349" s="74">
        <f t="shared" si="1"/>
        <v>171.9852974</v>
      </c>
      <c r="O2349" s="74" t="b">
        <v>1</v>
      </c>
    </row>
    <row r="2350" hidden="1">
      <c r="A2350" s="82"/>
      <c r="B2350" s="65" t="s">
        <v>495</v>
      </c>
      <c r="C2350" s="65" t="s">
        <v>92</v>
      </c>
      <c r="D2350" s="65" t="str">
        <f>vlookup(C2350,'Classificação p pessoal'!F:G,2,false)</f>
        <v/>
      </c>
      <c r="E2350" s="65" t="s">
        <v>1505</v>
      </c>
      <c r="F2350" s="83">
        <v>0.4166666666666667</v>
      </c>
      <c r="G2350" s="83">
        <v>0.4583333333333333</v>
      </c>
      <c r="H2350" s="83">
        <v>0.041666666666666664</v>
      </c>
      <c r="I2350" s="84">
        <v>44536.0</v>
      </c>
      <c r="J2350" s="65" t="b">
        <v>1</v>
      </c>
      <c r="K2350" s="65"/>
      <c r="L2350" s="85" t="b">
        <f>IF(VLOOKUP(C2350,Projetos!A:L,12,false)=TRUE,TRUE,FALSE)</f>
        <v>1</v>
      </c>
      <c r="M2350" s="74">
        <v>73.7079846079846</v>
      </c>
      <c r="N2350" s="74">
        <f t="shared" si="1"/>
        <v>73.70798461</v>
      </c>
      <c r="O2350" s="74" t="b">
        <v>1</v>
      </c>
    </row>
    <row r="2351" hidden="1">
      <c r="A2351" s="82"/>
      <c r="B2351" s="65" t="s">
        <v>495</v>
      </c>
      <c r="C2351" s="65" t="s">
        <v>92</v>
      </c>
      <c r="D2351" s="65" t="str">
        <f>vlookup(C2351,'Classificação p pessoal'!F:G,2,false)</f>
        <v/>
      </c>
      <c r="E2351" s="65" t="s">
        <v>1496</v>
      </c>
      <c r="F2351" s="83">
        <v>0.4583333333333333</v>
      </c>
      <c r="G2351" s="83">
        <v>0.5416666666666666</v>
      </c>
      <c r="H2351" s="83">
        <v>0.08333333333333333</v>
      </c>
      <c r="I2351" s="84">
        <v>44536.0</v>
      </c>
      <c r="J2351" s="65" t="b">
        <v>1</v>
      </c>
      <c r="K2351" s="65"/>
      <c r="L2351" s="85" t="b">
        <f>IF(VLOOKUP(C2351,Projetos!A:L,12,false)=TRUE,TRUE,FALSE)</f>
        <v>1</v>
      </c>
      <c r="M2351" s="74">
        <v>73.7079846079846</v>
      </c>
      <c r="N2351" s="74">
        <f t="shared" si="1"/>
        <v>147.4159692</v>
      </c>
      <c r="O2351" s="74" t="b">
        <v>1</v>
      </c>
    </row>
    <row r="2352" hidden="1">
      <c r="A2352" s="82"/>
      <c r="B2352" s="65" t="s">
        <v>495</v>
      </c>
      <c r="C2352" s="65" t="s">
        <v>92</v>
      </c>
      <c r="D2352" s="65" t="str">
        <f>vlookup(C2352,'Classificação p pessoal'!F:G,2,false)</f>
        <v/>
      </c>
      <c r="E2352" s="65" t="s">
        <v>1506</v>
      </c>
      <c r="F2352" s="83">
        <v>0.5416666666666666</v>
      </c>
      <c r="G2352" s="83">
        <v>0.5763888888888888</v>
      </c>
      <c r="H2352" s="83">
        <v>0.034722222222222224</v>
      </c>
      <c r="I2352" s="84">
        <v>44536.0</v>
      </c>
      <c r="J2352" s="65" t="b">
        <v>1</v>
      </c>
      <c r="K2352" s="65"/>
      <c r="L2352" s="85" t="b">
        <f>IF(VLOOKUP(C2352,Projetos!A:L,12,false)=TRUE,TRUE,FALSE)</f>
        <v>1</v>
      </c>
      <c r="M2352" s="74">
        <v>73.7079846079846</v>
      </c>
      <c r="N2352" s="74">
        <f t="shared" si="1"/>
        <v>61.42332051</v>
      </c>
      <c r="O2352" s="74" t="b">
        <v>1</v>
      </c>
    </row>
    <row r="2353" hidden="1">
      <c r="A2353" s="82"/>
      <c r="B2353" s="65" t="s">
        <v>495</v>
      </c>
      <c r="C2353" s="65" t="s">
        <v>92</v>
      </c>
      <c r="D2353" s="65" t="str">
        <f>vlookup(C2353,'Classificação p pessoal'!F:G,2,false)</f>
        <v/>
      </c>
      <c r="E2353" s="65" t="s">
        <v>1507</v>
      </c>
      <c r="F2353" s="83">
        <v>0.6215277777777778</v>
      </c>
      <c r="G2353" s="83">
        <v>0.6979166666666666</v>
      </c>
      <c r="H2353" s="83">
        <v>0.0763888888888889</v>
      </c>
      <c r="I2353" s="84">
        <v>44536.0</v>
      </c>
      <c r="J2353" s="65" t="b">
        <v>1</v>
      </c>
      <c r="K2353" s="65"/>
      <c r="L2353" s="85" t="b">
        <f>IF(VLOOKUP(C2353,Projetos!A:L,12,false)=TRUE,TRUE,FALSE)</f>
        <v>1</v>
      </c>
      <c r="M2353" s="74">
        <v>73.7079846079846</v>
      </c>
      <c r="N2353" s="74">
        <f t="shared" si="1"/>
        <v>135.1313051</v>
      </c>
      <c r="O2353" s="74" t="b">
        <v>1</v>
      </c>
    </row>
    <row r="2354" hidden="1">
      <c r="A2354" s="82"/>
      <c r="B2354" s="65" t="s">
        <v>495</v>
      </c>
      <c r="C2354" s="65" t="s">
        <v>92</v>
      </c>
      <c r="D2354" s="65" t="str">
        <f>vlookup(C2354,'Classificação p pessoal'!F:G,2,false)</f>
        <v/>
      </c>
      <c r="E2354" s="65" t="s">
        <v>1507</v>
      </c>
      <c r="F2354" s="83">
        <v>0.71875</v>
      </c>
      <c r="G2354" s="83">
        <v>0.75</v>
      </c>
      <c r="H2354" s="83">
        <v>0.03125</v>
      </c>
      <c r="I2354" s="84">
        <v>44536.0</v>
      </c>
      <c r="J2354" s="65" t="b">
        <v>1</v>
      </c>
      <c r="K2354" s="65"/>
      <c r="L2354" s="85" t="b">
        <f>IF(VLOOKUP(C2354,Projetos!A:L,12,false)=TRUE,TRUE,FALSE)</f>
        <v>1</v>
      </c>
      <c r="M2354" s="74">
        <v>73.7079846079846</v>
      </c>
      <c r="N2354" s="74">
        <f t="shared" si="1"/>
        <v>55.28098846</v>
      </c>
      <c r="O2354" s="74" t="b">
        <v>1</v>
      </c>
    </row>
    <row r="2355" hidden="1">
      <c r="A2355" s="82"/>
      <c r="B2355" s="65" t="s">
        <v>495</v>
      </c>
      <c r="C2355" s="65" t="s">
        <v>108</v>
      </c>
      <c r="D2355" s="65" t="str">
        <f>vlookup(C2355,'Classificação p pessoal'!F:G,2,false)</f>
        <v>NP</v>
      </c>
      <c r="E2355" s="65" t="s">
        <v>1508</v>
      </c>
      <c r="F2355" s="83">
        <v>0.3229166666666667</v>
      </c>
      <c r="G2355" s="83">
        <v>0.4166666666666667</v>
      </c>
      <c r="H2355" s="83">
        <v>0.09375</v>
      </c>
      <c r="I2355" s="84">
        <v>44537.0</v>
      </c>
      <c r="J2355" s="65" t="b">
        <v>1</v>
      </c>
      <c r="K2355" s="65"/>
      <c r="L2355" s="85" t="b">
        <f>IF(VLOOKUP(C2355,Projetos!A:L,12,false)=TRUE,TRUE,FALSE)</f>
        <v>1</v>
      </c>
      <c r="M2355" s="74">
        <v>73.7079846079846</v>
      </c>
      <c r="N2355" s="74">
        <f t="shared" si="1"/>
        <v>165.8429654</v>
      </c>
      <c r="O2355" s="74" t="b">
        <v>1</v>
      </c>
    </row>
    <row r="2356" hidden="1">
      <c r="A2356" s="82"/>
      <c r="B2356" s="65" t="s">
        <v>495</v>
      </c>
      <c r="C2356" s="65" t="s">
        <v>92</v>
      </c>
      <c r="D2356" s="65" t="str">
        <f>vlookup(C2356,'Classificação p pessoal'!F:G,2,false)</f>
        <v/>
      </c>
      <c r="E2356" s="65" t="s">
        <v>1509</v>
      </c>
      <c r="F2356" s="83">
        <v>0.4166666666666667</v>
      </c>
      <c r="G2356" s="83">
        <v>0.4791666666666667</v>
      </c>
      <c r="H2356" s="83">
        <v>0.0625</v>
      </c>
      <c r="I2356" s="84">
        <v>44537.0</v>
      </c>
      <c r="J2356" s="65" t="b">
        <v>1</v>
      </c>
      <c r="K2356" s="65"/>
      <c r="L2356" s="85" t="b">
        <f>IF(VLOOKUP(C2356,Projetos!A:L,12,false)=TRUE,TRUE,FALSE)</f>
        <v>1</v>
      </c>
      <c r="M2356" s="74">
        <v>73.7079846079846</v>
      </c>
      <c r="N2356" s="74">
        <f t="shared" si="1"/>
        <v>110.5619769</v>
      </c>
      <c r="O2356" s="74" t="b">
        <v>1</v>
      </c>
    </row>
    <row r="2357" hidden="1">
      <c r="A2357" s="82"/>
      <c r="B2357" s="65" t="s">
        <v>495</v>
      </c>
      <c r="C2357" s="65" t="s">
        <v>92</v>
      </c>
      <c r="D2357" s="65" t="str">
        <f>vlookup(C2357,'Classificação p pessoal'!F:G,2,false)</f>
        <v/>
      </c>
      <c r="E2357" s="65" t="s">
        <v>1510</v>
      </c>
      <c r="F2357" s="83">
        <v>0.5104166666666666</v>
      </c>
      <c r="G2357" s="83">
        <v>0.5763888888888888</v>
      </c>
      <c r="H2357" s="83">
        <v>0.06597222222222222</v>
      </c>
      <c r="I2357" s="84">
        <v>44537.0</v>
      </c>
      <c r="J2357" s="65" t="b">
        <v>1</v>
      </c>
      <c r="K2357" s="65"/>
      <c r="L2357" s="85" t="b">
        <f>IF(VLOOKUP(C2357,Projetos!A:L,12,false)=TRUE,TRUE,FALSE)</f>
        <v>1</v>
      </c>
      <c r="M2357" s="74">
        <v>73.7079846079846</v>
      </c>
      <c r="N2357" s="74">
        <f t="shared" si="1"/>
        <v>116.704309</v>
      </c>
      <c r="O2357" s="74" t="b">
        <v>1</v>
      </c>
    </row>
    <row r="2358" hidden="1">
      <c r="A2358" s="82"/>
      <c r="B2358" s="65" t="s">
        <v>495</v>
      </c>
      <c r="C2358" s="65" t="s">
        <v>92</v>
      </c>
      <c r="D2358" s="65" t="str">
        <f>vlookup(C2358,'Classificação p pessoal'!F:G,2,false)</f>
        <v/>
      </c>
      <c r="E2358" s="65" t="s">
        <v>1511</v>
      </c>
      <c r="F2358" s="83">
        <v>0.625</v>
      </c>
      <c r="G2358" s="83">
        <v>0.65625</v>
      </c>
      <c r="H2358" s="83">
        <v>0.03125</v>
      </c>
      <c r="I2358" s="84">
        <v>44537.0</v>
      </c>
      <c r="J2358" s="65" t="b">
        <v>1</v>
      </c>
      <c r="K2358" s="65"/>
      <c r="L2358" s="85" t="b">
        <f>IF(VLOOKUP(C2358,Projetos!A:L,12,false)=TRUE,TRUE,FALSE)</f>
        <v>1</v>
      </c>
      <c r="M2358" s="74">
        <v>73.7079846079846</v>
      </c>
      <c r="N2358" s="74">
        <f t="shared" si="1"/>
        <v>55.28098846</v>
      </c>
      <c r="O2358" s="74" t="b">
        <v>1</v>
      </c>
    </row>
    <row r="2359" hidden="1">
      <c r="A2359" s="82"/>
      <c r="B2359" s="65" t="s">
        <v>495</v>
      </c>
      <c r="C2359" s="65" t="s">
        <v>92</v>
      </c>
      <c r="D2359" s="65" t="str">
        <f>vlookup(C2359,'Classificação p pessoal'!F:G,2,false)</f>
        <v/>
      </c>
      <c r="E2359" s="65" t="s">
        <v>1512</v>
      </c>
      <c r="F2359" s="83">
        <v>0.65625</v>
      </c>
      <c r="G2359" s="83">
        <v>0.6979166666666666</v>
      </c>
      <c r="H2359" s="83">
        <v>0.041666666666666664</v>
      </c>
      <c r="I2359" s="84">
        <v>44537.0</v>
      </c>
      <c r="J2359" s="65" t="b">
        <v>1</v>
      </c>
      <c r="K2359" s="65"/>
      <c r="L2359" s="85" t="b">
        <f>IF(VLOOKUP(C2359,Projetos!A:L,12,false)=TRUE,TRUE,FALSE)</f>
        <v>1</v>
      </c>
      <c r="M2359" s="74">
        <v>73.7079846079846</v>
      </c>
      <c r="N2359" s="74">
        <f t="shared" si="1"/>
        <v>73.70798461</v>
      </c>
      <c r="O2359" s="74" t="b">
        <v>1</v>
      </c>
    </row>
    <row r="2360" hidden="1">
      <c r="A2360" s="82"/>
      <c r="B2360" s="65" t="s">
        <v>495</v>
      </c>
      <c r="C2360" s="65" t="s">
        <v>92</v>
      </c>
      <c r="D2360" s="65" t="str">
        <f>vlookup(C2360,'Classificação p pessoal'!F:G,2,false)</f>
        <v/>
      </c>
      <c r="E2360" s="65" t="s">
        <v>1513</v>
      </c>
      <c r="F2360" s="83">
        <v>0.7152777777777778</v>
      </c>
      <c r="G2360" s="83">
        <v>0.75</v>
      </c>
      <c r="H2360" s="83">
        <v>0.034722222222222224</v>
      </c>
      <c r="I2360" s="84">
        <v>44537.0</v>
      </c>
      <c r="J2360" s="65" t="b">
        <v>1</v>
      </c>
      <c r="K2360" s="65"/>
      <c r="L2360" s="85" t="b">
        <f>IF(VLOOKUP(C2360,Projetos!A:L,12,false)=TRUE,TRUE,FALSE)</f>
        <v>1</v>
      </c>
      <c r="M2360" s="74">
        <v>73.7079846079846</v>
      </c>
      <c r="N2360" s="74">
        <f t="shared" si="1"/>
        <v>61.42332051</v>
      </c>
      <c r="O2360" s="74" t="b">
        <v>1</v>
      </c>
    </row>
    <row r="2361" hidden="1">
      <c r="A2361" s="82"/>
      <c r="B2361" s="65" t="s">
        <v>495</v>
      </c>
      <c r="C2361" s="65" t="s">
        <v>92</v>
      </c>
      <c r="D2361" s="65" t="str">
        <f>vlookup(C2361,'Classificação p pessoal'!F:G,2,false)</f>
        <v/>
      </c>
      <c r="E2361" s="65" t="s">
        <v>1514</v>
      </c>
      <c r="F2361" s="83">
        <v>0.3298611111111111</v>
      </c>
      <c r="G2361" s="83">
        <v>0.4583333333333333</v>
      </c>
      <c r="H2361" s="83">
        <v>0.1284722222222222</v>
      </c>
      <c r="I2361" s="84">
        <v>44538.0</v>
      </c>
      <c r="J2361" s="65" t="b">
        <v>1</v>
      </c>
      <c r="K2361" s="65"/>
      <c r="L2361" s="85" t="b">
        <f>IF(VLOOKUP(C2361,Projetos!A:L,12,false)=TRUE,TRUE,FALSE)</f>
        <v>1</v>
      </c>
      <c r="M2361" s="74">
        <v>73.7079846079846</v>
      </c>
      <c r="N2361" s="74">
        <f t="shared" si="1"/>
        <v>227.2662859</v>
      </c>
      <c r="O2361" s="74" t="b">
        <v>1</v>
      </c>
    </row>
    <row r="2362" hidden="1">
      <c r="A2362" s="82"/>
      <c r="B2362" s="65" t="s">
        <v>411</v>
      </c>
      <c r="C2362" s="65" t="s">
        <v>117</v>
      </c>
      <c r="D2362" s="65" t="str">
        <f>vlookup(C2362,'Classificação p pessoal'!F:G,2,false)</f>
        <v>NP</v>
      </c>
      <c r="E2362" s="65" t="s">
        <v>1515</v>
      </c>
      <c r="F2362" s="83">
        <v>0.375</v>
      </c>
      <c r="G2362" s="83">
        <v>0.4583333333333333</v>
      </c>
      <c r="H2362" s="83">
        <v>0.08333333333333333</v>
      </c>
      <c r="I2362" s="84">
        <v>44544.0</v>
      </c>
      <c r="J2362" s="65" t="b">
        <v>1</v>
      </c>
      <c r="K2362" s="65"/>
      <c r="L2362" s="85" t="b">
        <f>IF(VLOOKUP(C2362,Projetos!A:L,12,false)=TRUE,TRUE,FALSE)</f>
        <v>1</v>
      </c>
      <c r="M2362" s="74">
        <v>52.48434411075036</v>
      </c>
      <c r="N2362" s="74">
        <f t="shared" si="1"/>
        <v>104.9686882</v>
      </c>
      <c r="O2362" s="74" t="b">
        <v>1</v>
      </c>
    </row>
    <row r="2363" hidden="1">
      <c r="A2363" s="82"/>
      <c r="B2363" s="65" t="s">
        <v>495</v>
      </c>
      <c r="C2363" s="65" t="s">
        <v>92</v>
      </c>
      <c r="D2363" s="65" t="str">
        <f>vlookup(C2363,'Classificação p pessoal'!F:G,2,false)</f>
        <v/>
      </c>
      <c r="E2363" s="65" t="s">
        <v>1516</v>
      </c>
      <c r="F2363" s="83">
        <v>0.5</v>
      </c>
      <c r="G2363" s="83">
        <v>0.5798611111111112</v>
      </c>
      <c r="H2363" s="83">
        <v>0.0798611111111111</v>
      </c>
      <c r="I2363" s="84">
        <v>44538.0</v>
      </c>
      <c r="J2363" s="65" t="b">
        <v>1</v>
      </c>
      <c r="K2363" s="65"/>
      <c r="L2363" s="85" t="b">
        <f>IF(VLOOKUP(C2363,Projetos!A:L,12,false)=TRUE,TRUE,FALSE)</f>
        <v>1</v>
      </c>
      <c r="M2363" s="74">
        <v>73.7079846079846</v>
      </c>
      <c r="N2363" s="74">
        <f t="shared" si="1"/>
        <v>141.2736372</v>
      </c>
      <c r="O2363" s="74" t="b">
        <v>1</v>
      </c>
    </row>
    <row r="2364" hidden="1">
      <c r="A2364" s="82"/>
      <c r="B2364" s="65" t="s">
        <v>495</v>
      </c>
      <c r="C2364" s="65" t="s">
        <v>92</v>
      </c>
      <c r="D2364" s="65" t="str">
        <f>vlookup(C2364,'Classificação p pessoal'!F:G,2,false)</f>
        <v/>
      </c>
      <c r="E2364" s="65" t="s">
        <v>1517</v>
      </c>
      <c r="F2364" s="83">
        <v>0.625</v>
      </c>
      <c r="G2364" s="83">
        <v>0.6527777777777778</v>
      </c>
      <c r="H2364" s="83">
        <v>0.027777777777777776</v>
      </c>
      <c r="I2364" s="84">
        <v>44538.0</v>
      </c>
      <c r="J2364" s="65" t="b">
        <v>1</v>
      </c>
      <c r="K2364" s="65"/>
      <c r="L2364" s="85" t="b">
        <f>IF(VLOOKUP(C2364,Projetos!A:L,12,false)=TRUE,TRUE,FALSE)</f>
        <v>1</v>
      </c>
      <c r="M2364" s="74">
        <v>73.7079846079846</v>
      </c>
      <c r="N2364" s="74">
        <f t="shared" si="1"/>
        <v>49.13865641</v>
      </c>
      <c r="O2364" s="74" t="b">
        <v>1</v>
      </c>
    </row>
    <row r="2365" hidden="1">
      <c r="A2365" s="82"/>
      <c r="B2365" s="65" t="s">
        <v>495</v>
      </c>
      <c r="C2365" s="65" t="s">
        <v>92</v>
      </c>
      <c r="D2365" s="65" t="str">
        <f>vlookup(C2365,'Classificação p pessoal'!F:G,2,false)</f>
        <v/>
      </c>
      <c r="E2365" s="65" t="s">
        <v>1516</v>
      </c>
      <c r="F2365" s="83">
        <v>0.6527777777777778</v>
      </c>
      <c r="G2365" s="83">
        <v>0.7395833333333334</v>
      </c>
      <c r="H2365" s="83">
        <v>0.08680555555555555</v>
      </c>
      <c r="I2365" s="84">
        <v>44538.0</v>
      </c>
      <c r="J2365" s="65" t="b">
        <v>1</v>
      </c>
      <c r="K2365" s="65"/>
      <c r="L2365" s="85" t="b">
        <f>IF(VLOOKUP(C2365,Projetos!A:L,12,false)=TRUE,TRUE,FALSE)</f>
        <v>1</v>
      </c>
      <c r="M2365" s="74">
        <v>73.7079846079846</v>
      </c>
      <c r="N2365" s="74">
        <f t="shared" si="1"/>
        <v>153.5583013</v>
      </c>
      <c r="O2365" s="74" t="b">
        <v>1</v>
      </c>
    </row>
    <row r="2366" hidden="1">
      <c r="A2366" s="82"/>
      <c r="B2366" s="65" t="s">
        <v>495</v>
      </c>
      <c r="C2366" s="65" t="s">
        <v>92</v>
      </c>
      <c r="D2366" s="65"/>
      <c r="E2366" s="65" t="s">
        <v>1518</v>
      </c>
      <c r="F2366" s="83">
        <v>0.3229166666666667</v>
      </c>
      <c r="G2366" s="83">
        <v>0.4166666666666667</v>
      </c>
      <c r="H2366" s="83">
        <v>0.09375</v>
      </c>
      <c r="I2366" s="84">
        <v>44539.0</v>
      </c>
      <c r="J2366" s="65" t="b">
        <v>0</v>
      </c>
      <c r="K2366" s="65" t="s">
        <v>150</v>
      </c>
      <c r="L2366" s="85" t="b">
        <f>IF(VLOOKUP(C2366,Projetos!A:L,12,false)=TRUE,TRUE,FALSE)</f>
        <v>1</v>
      </c>
      <c r="M2366" s="74">
        <v>73.7079846079846</v>
      </c>
      <c r="N2366" s="74">
        <f t="shared" si="1"/>
        <v>0</v>
      </c>
      <c r="O2366" s="74" t="b">
        <v>1</v>
      </c>
    </row>
    <row r="2367" hidden="1">
      <c r="A2367" s="82"/>
      <c r="B2367" s="65" t="s">
        <v>495</v>
      </c>
      <c r="C2367" s="65" t="s">
        <v>92</v>
      </c>
      <c r="D2367" s="65" t="str">
        <f>vlookup(C2367,'Classificação p pessoal'!F:G,2,false)</f>
        <v/>
      </c>
      <c r="E2367" s="65" t="s">
        <v>1519</v>
      </c>
      <c r="F2367" s="83">
        <v>0.5</v>
      </c>
      <c r="G2367" s="83">
        <v>0.5833333333333334</v>
      </c>
      <c r="H2367" s="83">
        <v>0.08333333333333333</v>
      </c>
      <c r="I2367" s="84">
        <v>44539.0</v>
      </c>
      <c r="J2367" s="65" t="b">
        <v>1</v>
      </c>
      <c r="K2367" s="65"/>
      <c r="L2367" s="85" t="b">
        <f>IF(VLOOKUP(C2367,Projetos!A:L,12,false)=TRUE,TRUE,FALSE)</f>
        <v>1</v>
      </c>
      <c r="M2367" s="74">
        <v>73.7079846079846</v>
      </c>
      <c r="N2367" s="74">
        <f t="shared" si="1"/>
        <v>147.4159692</v>
      </c>
      <c r="O2367" s="74" t="b">
        <v>1</v>
      </c>
    </row>
    <row r="2368" hidden="1">
      <c r="A2368" s="82"/>
      <c r="B2368" s="65" t="s">
        <v>495</v>
      </c>
      <c r="C2368" s="65" t="s">
        <v>92</v>
      </c>
      <c r="D2368" s="65" t="str">
        <f>vlookup(C2368,'Classificação p pessoal'!F:G,2,false)</f>
        <v/>
      </c>
      <c r="E2368" s="65" t="s">
        <v>1060</v>
      </c>
      <c r="F2368" s="83">
        <v>0.625</v>
      </c>
      <c r="G2368" s="83">
        <v>0.6458333333333334</v>
      </c>
      <c r="H2368" s="83">
        <v>0.020833333333333332</v>
      </c>
      <c r="I2368" s="84">
        <v>44539.0</v>
      </c>
      <c r="J2368" s="65" t="b">
        <v>1</v>
      </c>
      <c r="K2368" s="65"/>
      <c r="L2368" s="85" t="b">
        <f>IF(VLOOKUP(C2368,Projetos!A:L,12,false)=TRUE,TRUE,FALSE)</f>
        <v>1</v>
      </c>
      <c r="M2368" s="74">
        <v>73.7079846079846</v>
      </c>
      <c r="N2368" s="74">
        <f t="shared" si="1"/>
        <v>36.8539923</v>
      </c>
      <c r="O2368" s="74" t="b">
        <v>1</v>
      </c>
    </row>
    <row r="2369" hidden="1">
      <c r="A2369" s="82"/>
      <c r="B2369" s="65" t="s">
        <v>495</v>
      </c>
      <c r="C2369" s="65" t="s">
        <v>92</v>
      </c>
      <c r="D2369" s="65" t="str">
        <f>vlookup(C2369,'Classificação p pessoal'!F:G,2,false)</f>
        <v/>
      </c>
      <c r="E2369" s="65" t="s">
        <v>1520</v>
      </c>
      <c r="F2369" s="83">
        <v>0.65625</v>
      </c>
      <c r="G2369" s="83">
        <v>0.6979166666666666</v>
      </c>
      <c r="H2369" s="83">
        <v>0.041666666666666664</v>
      </c>
      <c r="I2369" s="84">
        <v>44539.0</v>
      </c>
      <c r="J2369" s="65" t="b">
        <v>1</v>
      </c>
      <c r="K2369" s="65"/>
      <c r="L2369" s="85" t="b">
        <f>IF(VLOOKUP(C2369,Projetos!A:L,12,false)=TRUE,TRUE,FALSE)</f>
        <v>1</v>
      </c>
      <c r="M2369" s="74">
        <v>73.7079846079846</v>
      </c>
      <c r="N2369" s="74">
        <f t="shared" si="1"/>
        <v>73.70798461</v>
      </c>
      <c r="O2369" s="74" t="b">
        <v>1</v>
      </c>
    </row>
    <row r="2370" hidden="1">
      <c r="A2370" s="82"/>
      <c r="B2370" s="65" t="s">
        <v>495</v>
      </c>
      <c r="C2370" s="65" t="s">
        <v>92</v>
      </c>
      <c r="D2370" s="65" t="str">
        <f>vlookup(C2370,'Classificação p pessoal'!F:G,2,false)</f>
        <v/>
      </c>
      <c r="E2370" s="65" t="s">
        <v>837</v>
      </c>
      <c r="F2370" s="83">
        <v>0.7152777777777778</v>
      </c>
      <c r="G2370" s="83">
        <v>0.75</v>
      </c>
      <c r="H2370" s="83">
        <v>0.034722222222222224</v>
      </c>
      <c r="I2370" s="84">
        <v>44539.0</v>
      </c>
      <c r="J2370" s="65" t="b">
        <v>1</v>
      </c>
      <c r="K2370" s="65"/>
      <c r="L2370" s="85" t="b">
        <f>IF(VLOOKUP(C2370,Projetos!A:L,12,false)=TRUE,TRUE,FALSE)</f>
        <v>1</v>
      </c>
      <c r="M2370" s="74">
        <v>73.7079846079846</v>
      </c>
      <c r="N2370" s="74">
        <f t="shared" si="1"/>
        <v>61.42332051</v>
      </c>
      <c r="O2370" s="74" t="b">
        <v>1</v>
      </c>
    </row>
    <row r="2371" hidden="1">
      <c r="A2371" s="82"/>
      <c r="B2371" s="65" t="s">
        <v>495</v>
      </c>
      <c r="C2371" s="65" t="s">
        <v>92</v>
      </c>
      <c r="D2371" s="65" t="str">
        <f>vlookup(C2371,'Classificação p pessoal'!F:G,2,false)</f>
        <v/>
      </c>
      <c r="E2371" s="65" t="s">
        <v>1521</v>
      </c>
      <c r="F2371" s="83">
        <v>0.3298611111111111</v>
      </c>
      <c r="G2371" s="83">
        <v>0.375</v>
      </c>
      <c r="H2371" s="83">
        <v>0.04513888888888889</v>
      </c>
      <c r="I2371" s="84">
        <v>44540.0</v>
      </c>
      <c r="J2371" s="65" t="b">
        <v>1</v>
      </c>
      <c r="K2371" s="65"/>
      <c r="L2371" s="85" t="b">
        <f>IF(VLOOKUP(C2371,Projetos!A:L,12,false)=TRUE,TRUE,FALSE)</f>
        <v>1</v>
      </c>
      <c r="M2371" s="74">
        <v>73.7079846079846</v>
      </c>
      <c r="N2371" s="74">
        <f t="shared" si="1"/>
        <v>79.85031666</v>
      </c>
      <c r="O2371" s="74" t="b">
        <v>1</v>
      </c>
    </row>
    <row r="2372" hidden="1">
      <c r="A2372" s="82"/>
      <c r="B2372" s="65" t="s">
        <v>495</v>
      </c>
      <c r="C2372" s="65" t="s">
        <v>92</v>
      </c>
      <c r="D2372" s="65" t="str">
        <f>vlookup(C2372,'Classificação p pessoal'!F:G,2,false)</f>
        <v/>
      </c>
      <c r="E2372" s="65" t="s">
        <v>1522</v>
      </c>
      <c r="F2372" s="83">
        <v>0.3819444444444444</v>
      </c>
      <c r="G2372" s="83">
        <v>0.4791666666666667</v>
      </c>
      <c r="H2372" s="83">
        <v>0.09722222222222222</v>
      </c>
      <c r="I2372" s="84">
        <v>44540.0</v>
      </c>
      <c r="J2372" s="65" t="b">
        <v>1</v>
      </c>
      <c r="K2372" s="65"/>
      <c r="L2372" s="85" t="b">
        <f>IF(VLOOKUP(C2372,Projetos!A:L,12,false)=TRUE,TRUE,FALSE)</f>
        <v>1</v>
      </c>
      <c r="M2372" s="74">
        <v>73.7079846079846</v>
      </c>
      <c r="N2372" s="74">
        <f t="shared" si="1"/>
        <v>171.9852974</v>
      </c>
      <c r="O2372" s="74" t="b">
        <v>1</v>
      </c>
    </row>
    <row r="2373" hidden="1">
      <c r="A2373" s="82"/>
      <c r="B2373" s="65" t="s">
        <v>495</v>
      </c>
      <c r="C2373" s="65" t="s">
        <v>117</v>
      </c>
      <c r="D2373" s="65" t="str">
        <f>vlookup(C2373,'Classificação p pessoal'!F:G,2,false)</f>
        <v>NP</v>
      </c>
      <c r="E2373" s="65" t="s">
        <v>1523</v>
      </c>
      <c r="F2373" s="83">
        <v>0.4791666666666667</v>
      </c>
      <c r="G2373" s="83">
        <v>0.5763888888888888</v>
      </c>
      <c r="H2373" s="83">
        <v>0.09722222222222222</v>
      </c>
      <c r="I2373" s="84">
        <v>44540.0</v>
      </c>
      <c r="J2373" s="65" t="b">
        <v>1</v>
      </c>
      <c r="K2373" s="65"/>
      <c r="L2373" s="85" t="b">
        <f>IF(VLOOKUP(C2373,Projetos!A:L,12,false)=TRUE,TRUE,FALSE)</f>
        <v>1</v>
      </c>
      <c r="M2373" s="74">
        <v>73.7079846079846</v>
      </c>
      <c r="N2373" s="74">
        <f t="shared" si="1"/>
        <v>171.9852974</v>
      </c>
      <c r="O2373" s="74" t="b">
        <v>1</v>
      </c>
    </row>
    <row r="2374" hidden="1">
      <c r="A2374" s="82"/>
      <c r="B2374" s="65" t="s">
        <v>495</v>
      </c>
      <c r="C2374" s="65" t="s">
        <v>117</v>
      </c>
      <c r="D2374" s="65" t="str">
        <f>vlookup(C2374,'Classificação p pessoal'!F:G,2,false)</f>
        <v>NP</v>
      </c>
      <c r="E2374" s="65" t="s">
        <v>1524</v>
      </c>
      <c r="F2374" s="83">
        <v>0.3472222222222222</v>
      </c>
      <c r="G2374" s="83">
        <v>0.3958333333333333</v>
      </c>
      <c r="H2374" s="83">
        <v>0.04861111111111111</v>
      </c>
      <c r="I2374" s="84">
        <v>44543.0</v>
      </c>
      <c r="J2374" s="65" t="b">
        <v>1</v>
      </c>
      <c r="K2374" s="65"/>
      <c r="L2374" s="85" t="b">
        <f>IF(VLOOKUP(C2374,Projetos!A:L,12,false)=TRUE,TRUE,FALSE)</f>
        <v>1</v>
      </c>
      <c r="M2374" s="74">
        <v>73.7079846079846</v>
      </c>
      <c r="N2374" s="74">
        <f t="shared" si="1"/>
        <v>85.99264871</v>
      </c>
      <c r="O2374" s="74" t="b">
        <v>1</v>
      </c>
    </row>
    <row r="2375" hidden="1">
      <c r="A2375" s="82"/>
      <c r="B2375" s="65" t="s">
        <v>495</v>
      </c>
      <c r="C2375" s="65" t="s">
        <v>117</v>
      </c>
      <c r="D2375" s="65" t="str">
        <f>vlookup(C2375,'Classificação p pessoal'!F:G,2,false)</f>
        <v>NP</v>
      </c>
      <c r="E2375" s="65" t="s">
        <v>1525</v>
      </c>
      <c r="F2375" s="83">
        <v>0.4479166666666667</v>
      </c>
      <c r="G2375" s="83">
        <v>0.4583333333333333</v>
      </c>
      <c r="H2375" s="83">
        <v>0.010416666666666666</v>
      </c>
      <c r="I2375" s="84">
        <v>44543.0</v>
      </c>
      <c r="J2375" s="65" t="b">
        <v>1</v>
      </c>
      <c r="K2375" s="65"/>
      <c r="L2375" s="85" t="b">
        <f>IF(VLOOKUP(C2375,Projetos!A:L,12,false)=TRUE,TRUE,FALSE)</f>
        <v>1</v>
      </c>
      <c r="M2375" s="74">
        <v>73.7079846079846</v>
      </c>
      <c r="N2375" s="74">
        <f t="shared" si="1"/>
        <v>18.42699615</v>
      </c>
      <c r="O2375" s="74" t="b">
        <v>1</v>
      </c>
    </row>
    <row r="2376" hidden="1">
      <c r="A2376" s="82"/>
      <c r="B2376" s="65" t="s">
        <v>495</v>
      </c>
      <c r="C2376" s="65" t="s">
        <v>92</v>
      </c>
      <c r="D2376" s="65" t="str">
        <f>vlookup(C2376,'Classificação p pessoal'!F:G,2,false)</f>
        <v/>
      </c>
      <c r="E2376" s="65" t="s">
        <v>1526</v>
      </c>
      <c r="F2376" s="83">
        <v>0.4583333333333333</v>
      </c>
      <c r="G2376" s="83">
        <v>0.5416666666666666</v>
      </c>
      <c r="H2376" s="83">
        <v>0.08333333333333333</v>
      </c>
      <c r="I2376" s="84">
        <v>44543.0</v>
      </c>
      <c r="J2376" s="65" t="b">
        <v>1</v>
      </c>
      <c r="K2376" s="65"/>
      <c r="L2376" s="85" t="b">
        <f>IF(VLOOKUP(C2376,Projetos!A:L,12,false)=TRUE,TRUE,FALSE)</f>
        <v>1</v>
      </c>
      <c r="M2376" s="74">
        <v>73.7079846079846</v>
      </c>
      <c r="N2376" s="74">
        <f t="shared" si="1"/>
        <v>147.4159692</v>
      </c>
      <c r="O2376" s="74" t="b">
        <v>1</v>
      </c>
    </row>
    <row r="2377" hidden="1">
      <c r="A2377" s="82"/>
      <c r="B2377" s="65" t="s">
        <v>495</v>
      </c>
      <c r="C2377" s="65" t="s">
        <v>92</v>
      </c>
      <c r="D2377" s="65" t="str">
        <f>vlookup(C2377,'Classificação p pessoal'!F:G,2,false)</f>
        <v/>
      </c>
      <c r="E2377" s="65" t="s">
        <v>1527</v>
      </c>
      <c r="F2377" s="83">
        <v>0.5833333333333334</v>
      </c>
      <c r="G2377" s="83">
        <v>0.625</v>
      </c>
      <c r="H2377" s="83">
        <v>0.041666666666666664</v>
      </c>
      <c r="I2377" s="84">
        <v>44543.0</v>
      </c>
      <c r="J2377" s="65" t="b">
        <v>1</v>
      </c>
      <c r="K2377" s="65"/>
      <c r="L2377" s="85" t="b">
        <f>IF(VLOOKUP(C2377,Projetos!A:L,12,false)=TRUE,TRUE,FALSE)</f>
        <v>1</v>
      </c>
      <c r="M2377" s="74">
        <v>73.7079846079846</v>
      </c>
      <c r="N2377" s="74">
        <f t="shared" si="1"/>
        <v>73.70798461</v>
      </c>
      <c r="O2377" s="74" t="b">
        <v>1</v>
      </c>
    </row>
    <row r="2378" hidden="1">
      <c r="A2378" s="82"/>
      <c r="B2378" s="65" t="s">
        <v>495</v>
      </c>
      <c r="C2378" s="65" t="s">
        <v>117</v>
      </c>
      <c r="D2378" s="65" t="str">
        <f>vlookup(C2378,'Classificação p pessoal'!F:G,2,false)</f>
        <v>NP</v>
      </c>
      <c r="E2378" s="65" t="s">
        <v>1528</v>
      </c>
      <c r="F2378" s="83">
        <v>0.625</v>
      </c>
      <c r="G2378" s="83">
        <v>0.75</v>
      </c>
      <c r="H2378" s="83">
        <v>0.125</v>
      </c>
      <c r="I2378" s="84">
        <v>44543.0</v>
      </c>
      <c r="J2378" s="65" t="b">
        <v>1</v>
      </c>
      <c r="K2378" s="65"/>
      <c r="L2378" s="85" t="b">
        <f>IF(VLOOKUP(C2378,Projetos!A:L,12,false)=TRUE,TRUE,FALSE)</f>
        <v>1</v>
      </c>
      <c r="M2378" s="74">
        <v>73.7079846079846</v>
      </c>
      <c r="N2378" s="74">
        <f t="shared" si="1"/>
        <v>221.1239538</v>
      </c>
      <c r="O2378" s="74" t="b">
        <v>1</v>
      </c>
    </row>
    <row r="2379" hidden="1">
      <c r="A2379" s="82"/>
      <c r="B2379" s="65" t="s">
        <v>495</v>
      </c>
      <c r="C2379" s="65" t="s">
        <v>92</v>
      </c>
      <c r="D2379" s="65" t="str">
        <f>vlookup(C2379,'Classificação p pessoal'!F:G,2,false)</f>
        <v/>
      </c>
      <c r="E2379" s="65" t="s">
        <v>834</v>
      </c>
      <c r="F2379" s="83">
        <v>0.3472222222222222</v>
      </c>
      <c r="G2379" s="83">
        <v>0.3958333333333333</v>
      </c>
      <c r="H2379" s="83">
        <v>0.04861111111111111</v>
      </c>
      <c r="I2379" s="84">
        <v>44544.0</v>
      </c>
      <c r="J2379" s="65" t="b">
        <v>1</v>
      </c>
      <c r="K2379" s="65"/>
      <c r="L2379" s="85" t="b">
        <f>IF(VLOOKUP(C2379,Projetos!A:L,12,false)=TRUE,TRUE,FALSE)</f>
        <v>1</v>
      </c>
      <c r="M2379" s="74">
        <v>73.7079846079846</v>
      </c>
      <c r="N2379" s="74">
        <f t="shared" si="1"/>
        <v>85.99264871</v>
      </c>
      <c r="O2379" s="74" t="b">
        <v>1</v>
      </c>
    </row>
    <row r="2380" hidden="1">
      <c r="A2380" s="82"/>
      <c r="B2380" s="65" t="s">
        <v>495</v>
      </c>
      <c r="C2380" s="65" t="s">
        <v>92</v>
      </c>
      <c r="D2380" s="65" t="str">
        <f>vlookup(C2380,'Classificação p pessoal'!F:G,2,false)</f>
        <v/>
      </c>
      <c r="E2380" s="65" t="s">
        <v>1529</v>
      </c>
      <c r="F2380" s="83">
        <v>0.3958333333333333</v>
      </c>
      <c r="G2380" s="83">
        <v>0.4375</v>
      </c>
      <c r="H2380" s="83">
        <v>0.041666666666666664</v>
      </c>
      <c r="I2380" s="84">
        <v>44544.0</v>
      </c>
      <c r="J2380" s="65" t="b">
        <v>1</v>
      </c>
      <c r="K2380" s="65"/>
      <c r="L2380" s="85" t="b">
        <f>IF(VLOOKUP(C2380,Projetos!A:L,12,false)=TRUE,TRUE,FALSE)</f>
        <v>1</v>
      </c>
      <c r="M2380" s="74">
        <v>73.7079846079846</v>
      </c>
      <c r="N2380" s="74">
        <f t="shared" si="1"/>
        <v>73.70798461</v>
      </c>
      <c r="O2380" s="74" t="b">
        <v>1</v>
      </c>
    </row>
    <row r="2381" hidden="1">
      <c r="A2381" s="82"/>
      <c r="B2381" s="65" t="s">
        <v>495</v>
      </c>
      <c r="C2381" s="65" t="s">
        <v>92</v>
      </c>
      <c r="D2381" s="65"/>
      <c r="E2381" s="65" t="s">
        <v>1530</v>
      </c>
      <c r="F2381" s="83">
        <v>0.4375</v>
      </c>
      <c r="G2381" s="83">
        <v>0.4583333333333333</v>
      </c>
      <c r="H2381" s="83">
        <v>0.020833333333333332</v>
      </c>
      <c r="I2381" s="84">
        <v>44544.0</v>
      </c>
      <c r="J2381" s="65" t="b">
        <v>0</v>
      </c>
      <c r="K2381" s="65" t="s">
        <v>150</v>
      </c>
      <c r="L2381" s="85" t="b">
        <f>IF(VLOOKUP(C2381,Projetos!A:L,12,false)=TRUE,TRUE,FALSE)</f>
        <v>1</v>
      </c>
      <c r="M2381" s="74">
        <v>73.7079846079846</v>
      </c>
      <c r="N2381" s="74">
        <f t="shared" si="1"/>
        <v>0</v>
      </c>
      <c r="O2381" s="74" t="b">
        <v>1</v>
      </c>
    </row>
    <row r="2382" hidden="1">
      <c r="A2382" s="82"/>
      <c r="B2382" s="65" t="s">
        <v>495</v>
      </c>
      <c r="C2382" s="65" t="s">
        <v>92</v>
      </c>
      <c r="D2382" s="65" t="str">
        <f>vlookup(C2382,'Classificação p pessoal'!F:G,2,false)</f>
        <v/>
      </c>
      <c r="E2382" s="65" t="s">
        <v>1531</v>
      </c>
      <c r="F2382" s="83">
        <v>0.4583333333333333</v>
      </c>
      <c r="G2382" s="83">
        <v>0.5</v>
      </c>
      <c r="H2382" s="83">
        <v>0.041666666666666664</v>
      </c>
      <c r="I2382" s="84">
        <v>44544.0</v>
      </c>
      <c r="J2382" s="65" t="b">
        <v>1</v>
      </c>
      <c r="K2382" s="65"/>
      <c r="L2382" s="85" t="b">
        <f>IF(VLOOKUP(C2382,Projetos!A:L,12,false)=TRUE,TRUE,FALSE)</f>
        <v>1</v>
      </c>
      <c r="M2382" s="74">
        <v>73.7079846079846</v>
      </c>
      <c r="N2382" s="74">
        <f t="shared" si="1"/>
        <v>73.70798461</v>
      </c>
      <c r="O2382" s="74" t="b">
        <v>1</v>
      </c>
    </row>
    <row r="2383" hidden="1">
      <c r="A2383" s="82"/>
      <c r="B2383" s="65" t="s">
        <v>495</v>
      </c>
      <c r="C2383" s="65" t="s">
        <v>92</v>
      </c>
      <c r="D2383" s="65" t="str">
        <f>vlookup(C2383,'Classificação p pessoal'!F:G,2,false)</f>
        <v/>
      </c>
      <c r="E2383" s="65" t="s">
        <v>1532</v>
      </c>
      <c r="F2383" s="83">
        <v>0.5</v>
      </c>
      <c r="G2383" s="83">
        <v>0.5555555555555556</v>
      </c>
      <c r="H2383" s="83">
        <v>0.05555555555555555</v>
      </c>
      <c r="I2383" s="84">
        <v>44544.0</v>
      </c>
      <c r="J2383" s="65" t="b">
        <v>1</v>
      </c>
      <c r="K2383" s="65"/>
      <c r="L2383" s="85" t="b">
        <f>IF(VLOOKUP(C2383,Projetos!A:L,12,false)=TRUE,TRUE,FALSE)</f>
        <v>1</v>
      </c>
      <c r="M2383" s="74">
        <v>73.7079846079846</v>
      </c>
      <c r="N2383" s="74">
        <f t="shared" si="1"/>
        <v>98.27731281</v>
      </c>
      <c r="O2383" s="74" t="b">
        <v>1</v>
      </c>
    </row>
    <row r="2384" hidden="1">
      <c r="A2384" s="82"/>
      <c r="B2384" s="65" t="s">
        <v>495</v>
      </c>
      <c r="C2384" s="65" t="s">
        <v>92</v>
      </c>
      <c r="D2384" s="65" t="str">
        <f>vlookup(C2384,'Classificação p pessoal'!F:G,2,false)</f>
        <v/>
      </c>
      <c r="E2384" s="65" t="s">
        <v>1059</v>
      </c>
      <c r="F2384" s="83">
        <v>0.5555555555555556</v>
      </c>
      <c r="G2384" s="83">
        <v>0.5763888888888888</v>
      </c>
      <c r="H2384" s="83">
        <v>0.020833333333333332</v>
      </c>
      <c r="I2384" s="84">
        <v>44544.0</v>
      </c>
      <c r="J2384" s="65" t="b">
        <v>1</v>
      </c>
      <c r="K2384" s="65"/>
      <c r="L2384" s="85" t="b">
        <f>IF(VLOOKUP(C2384,Projetos!A:L,12,false)=TRUE,TRUE,FALSE)</f>
        <v>1</v>
      </c>
      <c r="M2384" s="74">
        <v>73.7079846079846</v>
      </c>
      <c r="N2384" s="74">
        <f t="shared" si="1"/>
        <v>36.8539923</v>
      </c>
      <c r="O2384" s="74" t="b">
        <v>1</v>
      </c>
    </row>
    <row r="2385" hidden="1">
      <c r="A2385" s="82"/>
      <c r="B2385" s="65" t="s">
        <v>495</v>
      </c>
      <c r="C2385" s="65" t="s">
        <v>92</v>
      </c>
      <c r="D2385" s="65" t="str">
        <f>vlookup(C2385,'Classificação p pessoal'!F:G,2,false)</f>
        <v/>
      </c>
      <c r="E2385" s="65" t="s">
        <v>1059</v>
      </c>
      <c r="F2385" s="83">
        <v>0.6180555555555556</v>
      </c>
      <c r="G2385" s="83">
        <v>0.6666666666666666</v>
      </c>
      <c r="H2385" s="83">
        <v>0.04861111111111111</v>
      </c>
      <c r="I2385" s="84">
        <v>44544.0</v>
      </c>
      <c r="J2385" s="65" t="b">
        <v>1</v>
      </c>
      <c r="K2385" s="65"/>
      <c r="L2385" s="85" t="b">
        <f>IF(VLOOKUP(C2385,Projetos!A:L,12,false)=TRUE,TRUE,FALSE)</f>
        <v>1</v>
      </c>
      <c r="M2385" s="74">
        <v>73.7079846079846</v>
      </c>
      <c r="N2385" s="74">
        <f t="shared" si="1"/>
        <v>85.99264871</v>
      </c>
      <c r="O2385" s="74" t="b">
        <v>1</v>
      </c>
    </row>
    <row r="2386" hidden="1">
      <c r="A2386" s="82"/>
      <c r="B2386" s="65" t="s">
        <v>495</v>
      </c>
      <c r="C2386" s="65" t="s">
        <v>100</v>
      </c>
      <c r="D2386" s="65" t="str">
        <f>vlookup(C2386,'Classificação p pessoal'!F:G,2,false)</f>
        <v>NP</v>
      </c>
      <c r="E2386" s="65" t="s">
        <v>1533</v>
      </c>
      <c r="F2386" s="83">
        <v>0.6666666666666666</v>
      </c>
      <c r="G2386" s="83">
        <v>0.75</v>
      </c>
      <c r="H2386" s="83">
        <v>0.08333333333333333</v>
      </c>
      <c r="I2386" s="84">
        <v>44544.0</v>
      </c>
      <c r="J2386" s="65" t="b">
        <v>1</v>
      </c>
      <c r="K2386" s="65"/>
      <c r="L2386" s="85" t="b">
        <f>IF(VLOOKUP(C2386,Projetos!A:L,12,false)=TRUE,TRUE,FALSE)</f>
        <v>1</v>
      </c>
      <c r="M2386" s="74">
        <v>73.7079846079846</v>
      </c>
      <c r="N2386" s="74">
        <f t="shared" si="1"/>
        <v>147.4159692</v>
      </c>
      <c r="O2386" s="74" t="b">
        <v>1</v>
      </c>
    </row>
    <row r="2387" hidden="1">
      <c r="A2387" s="82"/>
      <c r="B2387" s="65" t="s">
        <v>495</v>
      </c>
      <c r="C2387" s="65" t="s">
        <v>92</v>
      </c>
      <c r="D2387" s="65"/>
      <c r="E2387" s="65" t="s">
        <v>1534</v>
      </c>
      <c r="F2387" s="83">
        <v>0.4166666666666667</v>
      </c>
      <c r="G2387" s="83">
        <v>0.4583333333333333</v>
      </c>
      <c r="H2387" s="83">
        <v>0.041666666666666664</v>
      </c>
      <c r="I2387" s="84">
        <v>44545.0</v>
      </c>
      <c r="J2387" s="65" t="b">
        <v>0</v>
      </c>
      <c r="K2387" s="65" t="s">
        <v>150</v>
      </c>
      <c r="L2387" s="85" t="b">
        <f>IF(VLOOKUP(C2387,Projetos!A:L,12,false)=TRUE,TRUE,FALSE)</f>
        <v>1</v>
      </c>
      <c r="M2387" s="74">
        <v>73.7079846079846</v>
      </c>
      <c r="N2387" s="74">
        <f t="shared" si="1"/>
        <v>0</v>
      </c>
      <c r="O2387" s="74" t="b">
        <v>1</v>
      </c>
    </row>
    <row r="2388" hidden="1">
      <c r="A2388" s="82"/>
      <c r="B2388" s="65" t="s">
        <v>495</v>
      </c>
      <c r="C2388" s="65" t="s">
        <v>92</v>
      </c>
      <c r="D2388" s="65" t="str">
        <f>vlookup(C2388,'Classificação p pessoal'!F:G,2,false)</f>
        <v/>
      </c>
      <c r="E2388" s="65" t="s">
        <v>1529</v>
      </c>
      <c r="F2388" s="83">
        <v>0.4583333333333333</v>
      </c>
      <c r="G2388" s="83">
        <v>0.5833333333333334</v>
      </c>
      <c r="H2388" s="83">
        <v>0.125</v>
      </c>
      <c r="I2388" s="84">
        <v>44545.0</v>
      </c>
      <c r="J2388" s="65" t="b">
        <v>1</v>
      </c>
      <c r="K2388" s="65"/>
      <c r="L2388" s="85" t="b">
        <f>IF(VLOOKUP(C2388,Projetos!A:L,12,false)=TRUE,TRUE,FALSE)</f>
        <v>1</v>
      </c>
      <c r="M2388" s="74">
        <v>73.7079846079846</v>
      </c>
      <c r="N2388" s="74">
        <f t="shared" si="1"/>
        <v>221.1239538</v>
      </c>
      <c r="O2388" s="74" t="b">
        <v>1</v>
      </c>
    </row>
    <row r="2389" hidden="1">
      <c r="A2389" s="82"/>
      <c r="B2389" s="65" t="s">
        <v>495</v>
      </c>
      <c r="C2389" s="65" t="s">
        <v>92</v>
      </c>
      <c r="D2389" s="65" t="str">
        <f>vlookup(C2389,'Classificação p pessoal'!F:G,2,false)</f>
        <v/>
      </c>
      <c r="E2389" s="65" t="s">
        <v>1535</v>
      </c>
      <c r="F2389" s="83">
        <v>0.625</v>
      </c>
      <c r="G2389" s="83">
        <v>0.6979166666666666</v>
      </c>
      <c r="H2389" s="83">
        <v>0.07291666666666667</v>
      </c>
      <c r="I2389" s="84">
        <v>44545.0</v>
      </c>
      <c r="J2389" s="65" t="b">
        <v>1</v>
      </c>
      <c r="K2389" s="65"/>
      <c r="L2389" s="85" t="b">
        <f>IF(VLOOKUP(C2389,Projetos!A:L,12,false)=TRUE,TRUE,FALSE)</f>
        <v>1</v>
      </c>
      <c r="M2389" s="74">
        <v>73.7079846079846</v>
      </c>
      <c r="N2389" s="74">
        <f t="shared" si="1"/>
        <v>128.9889731</v>
      </c>
      <c r="O2389" s="74" t="b">
        <v>1</v>
      </c>
    </row>
    <row r="2390" hidden="1">
      <c r="A2390" s="82"/>
      <c r="B2390" s="65" t="s">
        <v>495</v>
      </c>
      <c r="C2390" s="65" t="s">
        <v>92</v>
      </c>
      <c r="D2390" s="65" t="str">
        <f>vlookup(C2390,'Classificação p pessoal'!F:G,2,false)</f>
        <v/>
      </c>
      <c r="E2390" s="65" t="s">
        <v>1536</v>
      </c>
      <c r="F2390" s="83">
        <v>0.71875</v>
      </c>
      <c r="G2390" s="83">
        <v>0.7638888888888888</v>
      </c>
      <c r="H2390" s="83">
        <v>0.04513888888888889</v>
      </c>
      <c r="I2390" s="84">
        <v>44545.0</v>
      </c>
      <c r="J2390" s="65" t="b">
        <v>1</v>
      </c>
      <c r="K2390" s="65"/>
      <c r="L2390" s="85" t="b">
        <f>IF(VLOOKUP(C2390,Projetos!A:L,12,false)=TRUE,TRUE,FALSE)</f>
        <v>1</v>
      </c>
      <c r="M2390" s="74">
        <v>73.7079846079846</v>
      </c>
      <c r="N2390" s="74">
        <f t="shared" si="1"/>
        <v>79.85031666</v>
      </c>
      <c r="O2390" s="74" t="b">
        <v>1</v>
      </c>
    </row>
    <row r="2391" hidden="1">
      <c r="A2391" s="82"/>
      <c r="B2391" s="65" t="s">
        <v>495</v>
      </c>
      <c r="C2391" s="65" t="s">
        <v>108</v>
      </c>
      <c r="D2391" s="65" t="str">
        <f>vlookup(C2391,'Classificação p pessoal'!F:G,2,false)</f>
        <v>NP</v>
      </c>
      <c r="E2391" s="65" t="s">
        <v>1537</v>
      </c>
      <c r="F2391" s="83">
        <v>0.3472222222222222</v>
      </c>
      <c r="G2391" s="83">
        <v>0.4166666666666667</v>
      </c>
      <c r="H2391" s="83">
        <v>0.06944444444444445</v>
      </c>
      <c r="I2391" s="84">
        <v>44546.0</v>
      </c>
      <c r="J2391" s="65" t="b">
        <v>1</v>
      </c>
      <c r="K2391" s="65"/>
      <c r="L2391" s="85" t="b">
        <f>IF(VLOOKUP(C2391,Projetos!A:L,12,false)=TRUE,TRUE,FALSE)</f>
        <v>1</v>
      </c>
      <c r="M2391" s="74">
        <v>73.7079846079846</v>
      </c>
      <c r="N2391" s="74">
        <f t="shared" si="1"/>
        <v>122.846641</v>
      </c>
      <c r="O2391" s="74" t="b">
        <v>1</v>
      </c>
    </row>
    <row r="2392" hidden="1">
      <c r="A2392" s="82"/>
      <c r="B2392" s="65" t="s">
        <v>495</v>
      </c>
      <c r="C2392" s="65" t="s">
        <v>92</v>
      </c>
      <c r="D2392" s="65" t="str">
        <f>vlookup(C2392,'Classificação p pessoal'!F:G,2,false)</f>
        <v/>
      </c>
      <c r="E2392" s="65" t="s">
        <v>1538</v>
      </c>
      <c r="F2392" s="83">
        <v>0.4375</v>
      </c>
      <c r="G2392" s="83">
        <v>0.5416666666666666</v>
      </c>
      <c r="H2392" s="83">
        <v>0.10416666666666667</v>
      </c>
      <c r="I2392" s="84">
        <v>44546.0</v>
      </c>
      <c r="J2392" s="65" t="b">
        <v>1</v>
      </c>
      <c r="K2392" s="65"/>
      <c r="L2392" s="85" t="b">
        <f>IF(VLOOKUP(C2392,Projetos!A:L,12,false)=TRUE,TRUE,FALSE)</f>
        <v>1</v>
      </c>
      <c r="M2392" s="74">
        <v>73.7079846079846</v>
      </c>
      <c r="N2392" s="74">
        <f t="shared" si="1"/>
        <v>184.2699615</v>
      </c>
      <c r="O2392" s="74" t="b">
        <v>1</v>
      </c>
    </row>
    <row r="2393" hidden="1">
      <c r="A2393" s="82"/>
      <c r="B2393" s="65" t="s">
        <v>495</v>
      </c>
      <c r="C2393" s="65" t="s">
        <v>92</v>
      </c>
      <c r="D2393" s="65" t="str">
        <f>vlookup(C2393,'Classificação p pessoal'!F:G,2,false)</f>
        <v/>
      </c>
      <c r="E2393" s="65" t="s">
        <v>1539</v>
      </c>
      <c r="F2393" s="83">
        <v>0.5833333333333334</v>
      </c>
      <c r="G2393" s="83">
        <v>0.625</v>
      </c>
      <c r="H2393" s="83">
        <v>0.041666666666666664</v>
      </c>
      <c r="I2393" s="84">
        <v>44546.0</v>
      </c>
      <c r="J2393" s="65" t="b">
        <v>1</v>
      </c>
      <c r="K2393" s="65"/>
      <c r="L2393" s="85" t="b">
        <f>IF(VLOOKUP(C2393,Projetos!A:L,12,false)=TRUE,TRUE,FALSE)</f>
        <v>1</v>
      </c>
      <c r="M2393" s="74">
        <v>73.7079846079846</v>
      </c>
      <c r="N2393" s="74">
        <f t="shared" si="1"/>
        <v>73.70798461</v>
      </c>
      <c r="O2393" s="74" t="b">
        <v>1</v>
      </c>
    </row>
    <row r="2394" hidden="1">
      <c r="A2394" s="82"/>
      <c r="B2394" s="65" t="s">
        <v>495</v>
      </c>
      <c r="C2394" s="65" t="s">
        <v>92</v>
      </c>
      <c r="D2394" s="65"/>
      <c r="E2394" s="65" t="s">
        <v>1118</v>
      </c>
      <c r="F2394" s="83">
        <v>0.625</v>
      </c>
      <c r="G2394" s="83">
        <v>0.6875</v>
      </c>
      <c r="H2394" s="83">
        <v>0.0625</v>
      </c>
      <c r="I2394" s="84">
        <v>44546.0</v>
      </c>
      <c r="J2394" s="65" t="b">
        <v>0</v>
      </c>
      <c r="K2394" s="65" t="s">
        <v>150</v>
      </c>
      <c r="L2394" s="85" t="b">
        <f>IF(VLOOKUP(C2394,Projetos!A:L,12,false)=TRUE,TRUE,FALSE)</f>
        <v>1</v>
      </c>
      <c r="M2394" s="74">
        <v>73.7079846079846</v>
      </c>
      <c r="N2394" s="74">
        <f t="shared" si="1"/>
        <v>0</v>
      </c>
      <c r="O2394" s="74" t="b">
        <v>1</v>
      </c>
    </row>
    <row r="2395" hidden="1">
      <c r="A2395" s="82"/>
      <c r="B2395" s="65" t="s">
        <v>495</v>
      </c>
      <c r="C2395" s="65" t="s">
        <v>108</v>
      </c>
      <c r="D2395" s="65" t="str">
        <f>vlookup(C2395,'Classificação p pessoal'!F:G,2,false)</f>
        <v>NP</v>
      </c>
      <c r="E2395" s="65" t="s">
        <v>1540</v>
      </c>
      <c r="F2395" s="83">
        <v>0.6944444444444444</v>
      </c>
      <c r="G2395" s="83">
        <v>0.7083333333333334</v>
      </c>
      <c r="H2395" s="83">
        <v>0.013888888888888888</v>
      </c>
      <c r="I2395" s="84">
        <v>44546.0</v>
      </c>
      <c r="J2395" s="65" t="b">
        <v>1</v>
      </c>
      <c r="K2395" s="65"/>
      <c r="L2395" s="85" t="b">
        <f>IF(VLOOKUP(C2395,Projetos!A:L,12,false)=TRUE,TRUE,FALSE)</f>
        <v>1</v>
      </c>
      <c r="M2395" s="74">
        <v>73.7079846079846</v>
      </c>
      <c r="N2395" s="74">
        <f t="shared" si="1"/>
        <v>24.5693282</v>
      </c>
      <c r="O2395" s="74" t="b">
        <v>1</v>
      </c>
    </row>
    <row r="2396" hidden="1">
      <c r="A2396" s="82"/>
      <c r="B2396" s="65" t="s">
        <v>495</v>
      </c>
      <c r="C2396" s="65" t="s">
        <v>92</v>
      </c>
      <c r="D2396" s="65" t="str">
        <f>vlookup(C2396,'Classificação p pessoal'!F:G,2,false)</f>
        <v/>
      </c>
      <c r="E2396" s="65" t="s">
        <v>1541</v>
      </c>
      <c r="F2396" s="83">
        <v>0.7083333333333334</v>
      </c>
      <c r="G2396" s="83">
        <v>0.75</v>
      </c>
      <c r="H2396" s="83">
        <v>0.041666666666666664</v>
      </c>
      <c r="I2396" s="84">
        <v>44546.0</v>
      </c>
      <c r="J2396" s="65" t="b">
        <v>1</v>
      </c>
      <c r="K2396" s="65"/>
      <c r="L2396" s="85" t="b">
        <f>IF(VLOOKUP(C2396,Projetos!A:L,12,false)=TRUE,TRUE,FALSE)</f>
        <v>1</v>
      </c>
      <c r="M2396" s="74">
        <v>73.7079846079846</v>
      </c>
      <c r="N2396" s="74">
        <f t="shared" si="1"/>
        <v>73.70798461</v>
      </c>
      <c r="O2396" s="74" t="b">
        <v>1</v>
      </c>
    </row>
    <row r="2397" hidden="1">
      <c r="A2397" s="82"/>
      <c r="B2397" s="65" t="s">
        <v>495</v>
      </c>
      <c r="C2397" s="65" t="s">
        <v>92</v>
      </c>
      <c r="D2397" s="65" t="str">
        <f>vlookup(C2397,'Classificação p pessoal'!F:G,2,false)</f>
        <v/>
      </c>
      <c r="E2397" s="65" t="s">
        <v>1489</v>
      </c>
      <c r="F2397" s="83">
        <v>0.3472222222222222</v>
      </c>
      <c r="G2397" s="83">
        <v>0.4583333333333333</v>
      </c>
      <c r="H2397" s="83">
        <v>0.1111111111111111</v>
      </c>
      <c r="I2397" s="84">
        <v>44550.0</v>
      </c>
      <c r="J2397" s="65" t="b">
        <v>1</v>
      </c>
      <c r="K2397" s="65"/>
      <c r="L2397" s="85" t="b">
        <f>IF(VLOOKUP(C2397,Projetos!A:L,12,false)=TRUE,TRUE,FALSE)</f>
        <v>1</v>
      </c>
      <c r="M2397" s="74">
        <v>73.7079846079846</v>
      </c>
      <c r="N2397" s="74">
        <f t="shared" si="1"/>
        <v>196.5546256</v>
      </c>
      <c r="O2397" s="74" t="b">
        <v>1</v>
      </c>
    </row>
    <row r="2398" hidden="1">
      <c r="A2398" s="82"/>
      <c r="B2398" s="65" t="s">
        <v>495</v>
      </c>
      <c r="C2398" s="65" t="s">
        <v>92</v>
      </c>
      <c r="D2398" s="65" t="str">
        <f>vlookup(C2398,'Classificação p pessoal'!F:G,2,false)</f>
        <v/>
      </c>
      <c r="E2398" s="65" t="s">
        <v>1542</v>
      </c>
      <c r="F2398" s="83">
        <v>0.4722222222222222</v>
      </c>
      <c r="G2398" s="83">
        <v>0.5763888888888888</v>
      </c>
      <c r="H2398" s="83">
        <v>0.10416666666666667</v>
      </c>
      <c r="I2398" s="84">
        <v>44550.0</v>
      </c>
      <c r="J2398" s="65" t="b">
        <v>1</v>
      </c>
      <c r="K2398" s="65"/>
      <c r="L2398" s="85" t="b">
        <f>IF(VLOOKUP(C2398,Projetos!A:L,12,false)=TRUE,TRUE,FALSE)</f>
        <v>1</v>
      </c>
      <c r="M2398" s="74">
        <v>73.7079846079846</v>
      </c>
      <c r="N2398" s="74">
        <f t="shared" si="1"/>
        <v>184.2699615</v>
      </c>
      <c r="O2398" s="74" t="b">
        <v>1</v>
      </c>
    </row>
    <row r="2399" hidden="1">
      <c r="A2399" s="82"/>
      <c r="B2399" s="65" t="s">
        <v>495</v>
      </c>
      <c r="C2399" s="65" t="s">
        <v>130</v>
      </c>
      <c r="D2399" s="65" t="str">
        <f>vlookup(C2399,'Classificação p pessoal'!F:G,2,false)</f>
        <v>NP</v>
      </c>
      <c r="E2399" s="65" t="s">
        <v>1543</v>
      </c>
      <c r="F2399" s="83">
        <v>0.6180555555555556</v>
      </c>
      <c r="G2399" s="83">
        <v>0.75</v>
      </c>
      <c r="H2399" s="83">
        <v>0.13194444444444445</v>
      </c>
      <c r="I2399" s="84">
        <v>44550.0</v>
      </c>
      <c r="J2399" s="65" t="b">
        <v>1</v>
      </c>
      <c r="K2399" s="65"/>
      <c r="L2399" s="85" t="b">
        <f>IF(VLOOKUP(C2399,Projetos!A:L,12,false)=TRUE,TRUE,FALSE)</f>
        <v>1</v>
      </c>
      <c r="M2399" s="74">
        <v>73.7079846079846</v>
      </c>
      <c r="N2399" s="74">
        <f t="shared" si="1"/>
        <v>233.4086179</v>
      </c>
      <c r="O2399" s="74" t="b">
        <v>1</v>
      </c>
    </row>
    <row r="2400" hidden="1">
      <c r="A2400" s="82"/>
      <c r="B2400" s="65" t="s">
        <v>495</v>
      </c>
      <c r="C2400" s="65" t="s">
        <v>130</v>
      </c>
      <c r="D2400" s="65" t="str">
        <f>vlookup(C2400,'Classificação p pessoal'!F:G,2,false)</f>
        <v>NP</v>
      </c>
      <c r="E2400" s="65" t="s">
        <v>1544</v>
      </c>
      <c r="F2400" s="83">
        <v>0.3541666666666667</v>
      </c>
      <c r="G2400" s="83">
        <v>0.4583333333333333</v>
      </c>
      <c r="H2400" s="83">
        <v>0.10416666666666667</v>
      </c>
      <c r="I2400" s="84">
        <v>44551.0</v>
      </c>
      <c r="J2400" s="65" t="b">
        <v>1</v>
      </c>
      <c r="K2400" s="65"/>
      <c r="L2400" s="85" t="b">
        <f>IF(VLOOKUP(C2400,Projetos!A:L,12,false)=TRUE,TRUE,FALSE)</f>
        <v>1</v>
      </c>
      <c r="M2400" s="74">
        <v>73.7079846079846</v>
      </c>
      <c r="N2400" s="74">
        <f t="shared" si="1"/>
        <v>184.2699615</v>
      </c>
      <c r="O2400" s="74" t="b">
        <v>1</v>
      </c>
    </row>
    <row r="2401" hidden="1">
      <c r="A2401" s="82"/>
      <c r="B2401" s="65" t="s">
        <v>495</v>
      </c>
      <c r="C2401" s="65" t="s">
        <v>130</v>
      </c>
      <c r="D2401" s="65" t="str">
        <f>vlookup(C2401,'Classificação p pessoal'!F:G,2,false)</f>
        <v>NP</v>
      </c>
      <c r="E2401" s="65" t="s">
        <v>1528</v>
      </c>
      <c r="F2401" s="83">
        <v>0.4722222222222222</v>
      </c>
      <c r="G2401" s="83">
        <v>0.5833333333333334</v>
      </c>
      <c r="H2401" s="83">
        <v>0.1111111111111111</v>
      </c>
      <c r="I2401" s="84">
        <v>44551.0</v>
      </c>
      <c r="J2401" s="65" t="b">
        <v>1</v>
      </c>
      <c r="K2401" s="65"/>
      <c r="L2401" s="85" t="b">
        <f>IF(VLOOKUP(C2401,Projetos!A:L,12,false)=TRUE,TRUE,FALSE)</f>
        <v>1</v>
      </c>
      <c r="M2401" s="74">
        <v>73.7079846079846</v>
      </c>
      <c r="N2401" s="74">
        <f t="shared" si="1"/>
        <v>196.5546256</v>
      </c>
      <c r="O2401" s="74" t="b">
        <v>1</v>
      </c>
    </row>
    <row r="2402" hidden="1">
      <c r="A2402" s="82"/>
      <c r="B2402" s="65" t="s">
        <v>495</v>
      </c>
      <c r="C2402" s="65" t="s">
        <v>92</v>
      </c>
      <c r="D2402" s="65" t="str">
        <f>vlookup(C2402,'Classificação p pessoal'!F:G,2,false)</f>
        <v/>
      </c>
      <c r="E2402" s="65" t="s">
        <v>1528</v>
      </c>
      <c r="F2402" s="83">
        <v>0.625</v>
      </c>
      <c r="G2402" s="83">
        <v>0.6458333333333334</v>
      </c>
      <c r="H2402" s="83">
        <v>0.020833333333333332</v>
      </c>
      <c r="I2402" s="84">
        <v>44551.0</v>
      </c>
      <c r="J2402" s="65" t="b">
        <v>1</v>
      </c>
      <c r="K2402" s="65"/>
      <c r="L2402" s="85" t="b">
        <f>IF(VLOOKUP(C2402,Projetos!A:L,12,false)=TRUE,TRUE,FALSE)</f>
        <v>1</v>
      </c>
      <c r="M2402" s="74">
        <v>73.7079846079846</v>
      </c>
      <c r="N2402" s="74">
        <f t="shared" si="1"/>
        <v>36.8539923</v>
      </c>
      <c r="O2402" s="74" t="b">
        <v>1</v>
      </c>
    </row>
    <row r="2403" hidden="1">
      <c r="A2403" s="82"/>
      <c r="B2403" s="65" t="s">
        <v>495</v>
      </c>
      <c r="C2403" s="65" t="s">
        <v>92</v>
      </c>
      <c r="D2403" s="65"/>
      <c r="E2403" s="65" t="s">
        <v>1118</v>
      </c>
      <c r="F2403" s="83">
        <v>0.6458333333333334</v>
      </c>
      <c r="G2403" s="83">
        <v>0.6666666666666666</v>
      </c>
      <c r="H2403" s="83">
        <v>0.020833333333333332</v>
      </c>
      <c r="I2403" s="84">
        <v>44551.0</v>
      </c>
      <c r="J2403" s="65" t="b">
        <v>0</v>
      </c>
      <c r="K2403" s="65" t="s">
        <v>150</v>
      </c>
      <c r="L2403" s="85" t="b">
        <f>IF(VLOOKUP(C2403,Projetos!A:L,12,false)=TRUE,TRUE,FALSE)</f>
        <v>1</v>
      </c>
      <c r="M2403" s="74">
        <v>73.7079846079846</v>
      </c>
      <c r="N2403" s="74">
        <f t="shared" si="1"/>
        <v>0</v>
      </c>
      <c r="O2403" s="74" t="b">
        <v>1</v>
      </c>
    </row>
    <row r="2404" hidden="1">
      <c r="A2404" s="82"/>
      <c r="B2404" s="65" t="s">
        <v>495</v>
      </c>
      <c r="C2404" s="65" t="s">
        <v>92</v>
      </c>
      <c r="D2404" s="65"/>
      <c r="E2404" s="65" t="s">
        <v>1545</v>
      </c>
      <c r="F2404" s="83">
        <v>0.6666666666666666</v>
      </c>
      <c r="G2404" s="83">
        <v>0.7291666666666666</v>
      </c>
      <c r="H2404" s="83">
        <v>0.0625</v>
      </c>
      <c r="I2404" s="84">
        <v>44551.0</v>
      </c>
      <c r="J2404" s="65" t="b">
        <v>0</v>
      </c>
      <c r="K2404" s="65" t="s">
        <v>150</v>
      </c>
      <c r="L2404" s="85" t="b">
        <f>IF(VLOOKUP(C2404,Projetos!A:L,12,false)=TRUE,TRUE,FALSE)</f>
        <v>1</v>
      </c>
      <c r="M2404" s="74">
        <v>73.7079846079846</v>
      </c>
      <c r="N2404" s="74">
        <f t="shared" si="1"/>
        <v>0</v>
      </c>
      <c r="O2404" s="74" t="b">
        <v>1</v>
      </c>
    </row>
    <row r="2405" hidden="1">
      <c r="A2405" s="82"/>
      <c r="B2405" s="65" t="s">
        <v>495</v>
      </c>
      <c r="C2405" s="65" t="s">
        <v>92</v>
      </c>
      <c r="D2405" s="65"/>
      <c r="E2405" s="65" t="s">
        <v>1118</v>
      </c>
      <c r="F2405" s="83">
        <v>0.7291666666666666</v>
      </c>
      <c r="G2405" s="83">
        <v>0.75</v>
      </c>
      <c r="H2405" s="83">
        <v>0.020833333333333332</v>
      </c>
      <c r="I2405" s="84">
        <v>44551.0</v>
      </c>
      <c r="J2405" s="65" t="b">
        <v>0</v>
      </c>
      <c r="K2405" s="65" t="s">
        <v>150</v>
      </c>
      <c r="L2405" s="85" t="b">
        <f>IF(VLOOKUP(C2405,Projetos!A:L,12,false)=TRUE,TRUE,FALSE)</f>
        <v>1</v>
      </c>
      <c r="M2405" s="74">
        <v>73.7079846079846</v>
      </c>
      <c r="N2405" s="74">
        <f t="shared" si="1"/>
        <v>0</v>
      </c>
      <c r="O2405" s="74" t="b">
        <v>1</v>
      </c>
    </row>
    <row r="2406" hidden="1">
      <c r="A2406" s="82"/>
      <c r="B2406" s="65" t="s">
        <v>495</v>
      </c>
      <c r="C2406" s="65" t="s">
        <v>92</v>
      </c>
      <c r="D2406" s="65" t="str">
        <f>vlookup(C2406,'Classificação p pessoal'!F:G,2,false)</f>
        <v/>
      </c>
      <c r="E2406" s="65" t="s">
        <v>1546</v>
      </c>
      <c r="F2406" s="83">
        <v>0.3472222222222222</v>
      </c>
      <c r="G2406" s="83">
        <v>0.40625</v>
      </c>
      <c r="H2406" s="83">
        <v>0.059027777777777776</v>
      </c>
      <c r="I2406" s="84">
        <v>44552.0</v>
      </c>
      <c r="J2406" s="65" t="b">
        <v>1</v>
      </c>
      <c r="K2406" s="65"/>
      <c r="L2406" s="85" t="b">
        <f>IF(VLOOKUP(C2406,Projetos!A:L,12,false)=TRUE,TRUE,FALSE)</f>
        <v>1</v>
      </c>
      <c r="M2406" s="74">
        <v>73.7079846079846</v>
      </c>
      <c r="N2406" s="74">
        <f t="shared" si="1"/>
        <v>104.4196449</v>
      </c>
      <c r="O2406" s="74" t="b">
        <v>1</v>
      </c>
    </row>
    <row r="2407" hidden="1">
      <c r="A2407" s="82"/>
      <c r="B2407" s="65" t="s">
        <v>495</v>
      </c>
      <c r="C2407" s="65" t="s">
        <v>130</v>
      </c>
      <c r="D2407" s="65" t="str">
        <f>vlookup(C2407,'Classificação p pessoal'!F:G,2,false)</f>
        <v>NP</v>
      </c>
      <c r="E2407" s="65" t="s">
        <v>1547</v>
      </c>
      <c r="F2407" s="83">
        <v>0.40625</v>
      </c>
      <c r="G2407" s="83">
        <v>0.4583333333333333</v>
      </c>
      <c r="H2407" s="83">
        <v>0.052083333333333336</v>
      </c>
      <c r="I2407" s="84">
        <v>44552.0</v>
      </c>
      <c r="J2407" s="65" t="b">
        <v>1</v>
      </c>
      <c r="K2407" s="65"/>
      <c r="L2407" s="85" t="b">
        <f>IF(VLOOKUP(C2407,Projetos!A:L,12,false)=TRUE,TRUE,FALSE)</f>
        <v>1</v>
      </c>
      <c r="M2407" s="74">
        <v>73.7079846079846</v>
      </c>
      <c r="N2407" s="74">
        <f t="shared" si="1"/>
        <v>92.13498076</v>
      </c>
      <c r="O2407" s="74" t="b">
        <v>1</v>
      </c>
    </row>
    <row r="2408" hidden="1">
      <c r="A2408" s="82"/>
      <c r="B2408" s="65" t="s">
        <v>495</v>
      </c>
      <c r="C2408" s="65" t="s">
        <v>108</v>
      </c>
      <c r="D2408" s="65"/>
      <c r="E2408" s="65" t="s">
        <v>1548</v>
      </c>
      <c r="F2408" s="83">
        <v>0.6145833333333334</v>
      </c>
      <c r="G2408" s="83">
        <v>0.6458333333333334</v>
      </c>
      <c r="H2408" s="83">
        <v>0.03125</v>
      </c>
      <c r="I2408" s="84">
        <v>44454.0</v>
      </c>
      <c r="J2408" s="65" t="b">
        <v>0</v>
      </c>
      <c r="K2408" s="65" t="s">
        <v>150</v>
      </c>
      <c r="L2408" s="85" t="b">
        <f>IF(VLOOKUP(C2408,Projetos!A:L,12,false)=TRUE,TRUE,FALSE)</f>
        <v>1</v>
      </c>
      <c r="M2408" s="74">
        <v>73.7079846079846</v>
      </c>
      <c r="N2408" s="74">
        <f t="shared" si="1"/>
        <v>0</v>
      </c>
      <c r="O2408" s="74" t="b">
        <v>1</v>
      </c>
    </row>
    <row r="2409" hidden="1">
      <c r="A2409" s="82"/>
      <c r="B2409" s="65" t="s">
        <v>495</v>
      </c>
      <c r="C2409" s="65" t="s">
        <v>92</v>
      </c>
      <c r="D2409" s="65" t="str">
        <f>vlookup(C2409,'Classificação p pessoal'!F:G,2,false)</f>
        <v/>
      </c>
      <c r="E2409" s="65" t="s">
        <v>1549</v>
      </c>
      <c r="F2409" s="83">
        <v>0.4791666666666667</v>
      </c>
      <c r="G2409" s="83">
        <v>0.5520833333333334</v>
      </c>
      <c r="H2409" s="83">
        <v>0.07291666666666667</v>
      </c>
      <c r="I2409" s="84">
        <v>44552.0</v>
      </c>
      <c r="J2409" s="65" t="b">
        <v>1</v>
      </c>
      <c r="K2409" s="65"/>
      <c r="L2409" s="85" t="b">
        <f>IF(VLOOKUP(C2409,Projetos!A:L,12,false)=TRUE,TRUE,FALSE)</f>
        <v>1</v>
      </c>
      <c r="M2409" s="74">
        <v>73.7079846079846</v>
      </c>
      <c r="N2409" s="74">
        <f t="shared" si="1"/>
        <v>128.9889731</v>
      </c>
      <c r="O2409" s="74" t="b">
        <v>1</v>
      </c>
    </row>
    <row r="2410" hidden="1">
      <c r="A2410" s="82"/>
      <c r="B2410" s="65" t="s">
        <v>495</v>
      </c>
      <c r="C2410" s="65" t="s">
        <v>130</v>
      </c>
      <c r="D2410" s="65" t="str">
        <f>vlookup(C2410,'Classificação p pessoal'!F:G,2,false)</f>
        <v>NP</v>
      </c>
      <c r="E2410" s="65" t="s">
        <v>1550</v>
      </c>
      <c r="F2410" s="83">
        <v>0.5520833333333334</v>
      </c>
      <c r="G2410" s="83">
        <v>0.5763888888888888</v>
      </c>
      <c r="H2410" s="83">
        <v>0.024305555555555556</v>
      </c>
      <c r="I2410" s="84">
        <v>44552.0</v>
      </c>
      <c r="J2410" s="65" t="b">
        <v>1</v>
      </c>
      <c r="K2410" s="65"/>
      <c r="L2410" s="85" t="b">
        <f>IF(VLOOKUP(C2410,Projetos!A:L,12,false)=TRUE,TRUE,FALSE)</f>
        <v>1</v>
      </c>
      <c r="M2410" s="74">
        <v>73.7079846079846</v>
      </c>
      <c r="N2410" s="74">
        <f t="shared" si="1"/>
        <v>42.99632435</v>
      </c>
      <c r="O2410" s="74" t="b">
        <v>1</v>
      </c>
    </row>
    <row r="2411" hidden="1">
      <c r="A2411" s="82"/>
      <c r="B2411" s="65" t="s">
        <v>495</v>
      </c>
      <c r="C2411" s="65" t="s">
        <v>92</v>
      </c>
      <c r="D2411" s="65" t="str">
        <f>vlookup(C2411,'Classificação p pessoal'!F:G,2,false)</f>
        <v/>
      </c>
      <c r="E2411" s="65" t="s">
        <v>1551</v>
      </c>
      <c r="F2411" s="83">
        <v>0.6180555555555556</v>
      </c>
      <c r="G2411" s="83">
        <v>0.6875</v>
      </c>
      <c r="H2411" s="83">
        <v>0.06944444444444445</v>
      </c>
      <c r="I2411" s="84">
        <v>44552.0</v>
      </c>
      <c r="J2411" s="65" t="b">
        <v>1</v>
      </c>
      <c r="K2411" s="65"/>
      <c r="L2411" s="85" t="b">
        <f>IF(VLOOKUP(C2411,Projetos!A:L,12,false)=TRUE,TRUE,FALSE)</f>
        <v>1</v>
      </c>
      <c r="M2411" s="74">
        <v>73.7079846079846</v>
      </c>
      <c r="N2411" s="74">
        <f t="shared" si="1"/>
        <v>122.846641</v>
      </c>
      <c r="O2411" s="74" t="b">
        <v>1</v>
      </c>
    </row>
    <row r="2412" hidden="1">
      <c r="A2412" s="82"/>
      <c r="B2412" s="65" t="s">
        <v>495</v>
      </c>
      <c r="C2412" s="65" t="s">
        <v>130</v>
      </c>
      <c r="D2412" s="65" t="str">
        <f>vlookup(C2412,'Classificação p pessoal'!F:G,2,false)</f>
        <v>NP</v>
      </c>
      <c r="E2412" s="65" t="s">
        <v>1552</v>
      </c>
      <c r="F2412" s="83">
        <v>0.6875</v>
      </c>
      <c r="G2412" s="83">
        <v>0.75</v>
      </c>
      <c r="H2412" s="83">
        <v>0.0625</v>
      </c>
      <c r="I2412" s="84">
        <v>44552.0</v>
      </c>
      <c r="J2412" s="65" t="b">
        <v>1</v>
      </c>
      <c r="K2412" s="65"/>
      <c r="L2412" s="85" t="b">
        <f>IF(VLOOKUP(C2412,Projetos!A:L,12,false)=TRUE,TRUE,FALSE)</f>
        <v>1</v>
      </c>
      <c r="M2412" s="74">
        <v>73.7079846079846</v>
      </c>
      <c r="N2412" s="74">
        <f t="shared" si="1"/>
        <v>110.5619769</v>
      </c>
      <c r="O2412" s="74" t="b">
        <v>1</v>
      </c>
    </row>
    <row r="2413" hidden="1">
      <c r="A2413" s="82"/>
      <c r="B2413" s="65" t="s">
        <v>495</v>
      </c>
      <c r="C2413" s="65" t="s">
        <v>117</v>
      </c>
      <c r="D2413" s="65" t="str">
        <f>vlookup(C2413,'Classificação p pessoal'!F:G,2,false)</f>
        <v>NP</v>
      </c>
      <c r="E2413" s="65" t="s">
        <v>1553</v>
      </c>
      <c r="F2413" s="83">
        <v>0.3472222222222222</v>
      </c>
      <c r="G2413" s="83">
        <v>0.375</v>
      </c>
      <c r="H2413" s="83">
        <v>0.027777777777777776</v>
      </c>
      <c r="I2413" s="84">
        <v>44553.0</v>
      </c>
      <c r="J2413" s="65" t="b">
        <v>1</v>
      </c>
      <c r="K2413" s="65"/>
      <c r="L2413" s="85" t="b">
        <f>IF(VLOOKUP(C2413,Projetos!A:L,12,false)=TRUE,TRUE,FALSE)</f>
        <v>1</v>
      </c>
      <c r="M2413" s="74">
        <v>73.7079846079846</v>
      </c>
      <c r="N2413" s="74">
        <f t="shared" si="1"/>
        <v>49.13865641</v>
      </c>
      <c r="O2413" s="74" t="b">
        <v>1</v>
      </c>
    </row>
    <row r="2414" hidden="1">
      <c r="A2414" s="82"/>
      <c r="B2414" s="65" t="s">
        <v>495</v>
      </c>
      <c r="C2414" s="65" t="s">
        <v>117</v>
      </c>
      <c r="D2414" s="65" t="str">
        <f>vlookup(C2414,'Classificação p pessoal'!F:G,2,false)</f>
        <v>NP</v>
      </c>
      <c r="E2414" s="65" t="s">
        <v>1554</v>
      </c>
      <c r="F2414" s="83">
        <v>0.375</v>
      </c>
      <c r="G2414" s="83">
        <v>0.40625</v>
      </c>
      <c r="H2414" s="83">
        <v>0.03125</v>
      </c>
      <c r="I2414" s="84">
        <v>44553.0</v>
      </c>
      <c r="J2414" s="65" t="b">
        <v>1</v>
      </c>
      <c r="K2414" s="65"/>
      <c r="L2414" s="85" t="b">
        <f>IF(VLOOKUP(C2414,Projetos!A:L,12,false)=TRUE,TRUE,FALSE)</f>
        <v>1</v>
      </c>
      <c r="M2414" s="74">
        <v>73.7079846079846</v>
      </c>
      <c r="N2414" s="74">
        <f t="shared" si="1"/>
        <v>55.28098846</v>
      </c>
      <c r="O2414" s="74" t="b">
        <v>1</v>
      </c>
    </row>
    <row r="2415" hidden="1">
      <c r="A2415" s="82"/>
      <c r="B2415" s="65" t="s">
        <v>495</v>
      </c>
      <c r="C2415" s="65" t="s">
        <v>92</v>
      </c>
      <c r="D2415" s="65" t="str">
        <f>vlookup(C2415,'Classificação p pessoal'!F:G,2,false)</f>
        <v/>
      </c>
      <c r="E2415" s="65" t="s">
        <v>1555</v>
      </c>
      <c r="F2415" s="83">
        <v>0.4166666666666667</v>
      </c>
      <c r="G2415" s="83">
        <v>0.5833333333333334</v>
      </c>
      <c r="H2415" s="83">
        <v>0.16666666666666666</v>
      </c>
      <c r="I2415" s="84">
        <v>44553.0</v>
      </c>
      <c r="J2415" s="65" t="b">
        <v>1</v>
      </c>
      <c r="K2415" s="65"/>
      <c r="L2415" s="85" t="b">
        <f>IF(VLOOKUP(C2415,Projetos!A:L,12,false)=TRUE,TRUE,FALSE)</f>
        <v>1</v>
      </c>
      <c r="M2415" s="74">
        <v>73.7079846079846</v>
      </c>
      <c r="N2415" s="74">
        <f t="shared" si="1"/>
        <v>294.8319384</v>
      </c>
      <c r="O2415" s="74" t="b">
        <v>1</v>
      </c>
    </row>
    <row r="2416" hidden="1">
      <c r="A2416" s="82"/>
      <c r="B2416" s="65" t="s">
        <v>495</v>
      </c>
      <c r="C2416" s="65" t="s">
        <v>92</v>
      </c>
      <c r="D2416" s="65" t="str">
        <f>vlookup(C2416,'Classificação p pessoal'!F:G,2,false)</f>
        <v/>
      </c>
      <c r="E2416" s="65" t="s">
        <v>1556</v>
      </c>
      <c r="F2416" s="83">
        <v>0.625</v>
      </c>
      <c r="G2416" s="83">
        <v>0.6666666666666666</v>
      </c>
      <c r="H2416" s="83">
        <v>0.041666666666666664</v>
      </c>
      <c r="I2416" s="84">
        <v>44553.0</v>
      </c>
      <c r="J2416" s="65" t="b">
        <v>1</v>
      </c>
      <c r="K2416" s="65"/>
      <c r="L2416" s="85" t="b">
        <f>IF(VLOOKUP(C2416,Projetos!A:L,12,false)=TRUE,TRUE,FALSE)</f>
        <v>1</v>
      </c>
      <c r="M2416" s="74">
        <v>73.7079846079846</v>
      </c>
      <c r="N2416" s="74">
        <f t="shared" si="1"/>
        <v>73.70798461</v>
      </c>
      <c r="O2416" s="74" t="b">
        <v>1</v>
      </c>
    </row>
    <row r="2417" hidden="1">
      <c r="A2417" s="82"/>
      <c r="B2417" s="65" t="s">
        <v>495</v>
      </c>
      <c r="C2417" s="65" t="s">
        <v>92</v>
      </c>
      <c r="D2417" s="65" t="str">
        <f>vlookup(C2417,'Classificação p pessoal'!F:G,2,false)</f>
        <v/>
      </c>
      <c r="E2417" s="65" t="s">
        <v>1557</v>
      </c>
      <c r="F2417" s="83">
        <v>0.6666666666666666</v>
      </c>
      <c r="G2417" s="83">
        <v>0.75</v>
      </c>
      <c r="H2417" s="83">
        <v>0.08333333333333333</v>
      </c>
      <c r="I2417" s="84">
        <v>44553.0</v>
      </c>
      <c r="J2417" s="65" t="b">
        <v>1</v>
      </c>
      <c r="K2417" s="65"/>
      <c r="L2417" s="85" t="b">
        <f>IF(VLOOKUP(C2417,Projetos!A:L,12,false)=TRUE,TRUE,FALSE)</f>
        <v>1</v>
      </c>
      <c r="M2417" s="74">
        <v>73.7079846079846</v>
      </c>
      <c r="N2417" s="74">
        <f t="shared" si="1"/>
        <v>147.4159692</v>
      </c>
      <c r="O2417" s="74" t="b">
        <v>1</v>
      </c>
    </row>
    <row r="2418" hidden="1">
      <c r="A2418" s="82"/>
      <c r="B2418" s="65" t="s">
        <v>495</v>
      </c>
      <c r="C2418" s="65" t="s">
        <v>92</v>
      </c>
      <c r="D2418" s="65" t="str">
        <f>vlookup(C2418,'Classificação p pessoal'!F:G,2,false)</f>
        <v/>
      </c>
      <c r="E2418" s="65" t="s">
        <v>1557</v>
      </c>
      <c r="F2418" s="83">
        <v>0.3472222222222222</v>
      </c>
      <c r="G2418" s="83">
        <v>0.3888888888888889</v>
      </c>
      <c r="H2418" s="83">
        <v>0.041666666666666664</v>
      </c>
      <c r="I2418" s="84">
        <v>44557.0</v>
      </c>
      <c r="J2418" s="65" t="b">
        <v>1</v>
      </c>
      <c r="K2418" s="65"/>
      <c r="L2418" s="85" t="b">
        <f>IF(VLOOKUP(C2418,Projetos!A:L,12,false)=TRUE,TRUE,FALSE)</f>
        <v>1</v>
      </c>
      <c r="M2418" s="74">
        <v>73.7079846079846</v>
      </c>
      <c r="N2418" s="74">
        <f t="shared" si="1"/>
        <v>73.70798461</v>
      </c>
      <c r="O2418" s="74" t="b">
        <v>1</v>
      </c>
    </row>
    <row r="2419" hidden="1">
      <c r="A2419" s="82"/>
      <c r="B2419" s="65" t="s">
        <v>495</v>
      </c>
      <c r="C2419" s="65" t="s">
        <v>117</v>
      </c>
      <c r="D2419" s="65" t="str">
        <f>vlookup(C2419,'Classificação p pessoal'!F:G,2,false)</f>
        <v>NP</v>
      </c>
      <c r="E2419" s="65" t="s">
        <v>1558</v>
      </c>
      <c r="F2419" s="83">
        <v>0.3888888888888889</v>
      </c>
      <c r="G2419" s="83">
        <v>0.4583333333333333</v>
      </c>
      <c r="H2419" s="83">
        <v>0.06944444444444445</v>
      </c>
      <c r="I2419" s="84">
        <v>44557.0</v>
      </c>
      <c r="J2419" s="65" t="b">
        <v>1</v>
      </c>
      <c r="K2419" s="65"/>
      <c r="L2419" s="85" t="b">
        <f>IF(VLOOKUP(C2419,Projetos!A:L,12,false)=TRUE,TRUE,FALSE)</f>
        <v>1</v>
      </c>
      <c r="M2419" s="74">
        <v>73.7079846079846</v>
      </c>
      <c r="N2419" s="74">
        <f t="shared" si="1"/>
        <v>122.846641</v>
      </c>
      <c r="O2419" s="74" t="b">
        <v>1</v>
      </c>
    </row>
    <row r="2420" hidden="1">
      <c r="A2420" s="82"/>
      <c r="B2420" s="65" t="s">
        <v>495</v>
      </c>
      <c r="C2420" s="65" t="s">
        <v>117</v>
      </c>
      <c r="D2420" s="65"/>
      <c r="E2420" s="65" t="s">
        <v>1559</v>
      </c>
      <c r="F2420" s="83">
        <v>0.4583333333333333</v>
      </c>
      <c r="G2420" s="83">
        <v>0.5416666666666666</v>
      </c>
      <c r="H2420" s="83">
        <v>0.08333333333333333</v>
      </c>
      <c r="I2420" s="84">
        <v>44557.0</v>
      </c>
      <c r="J2420" s="65" t="b">
        <v>0</v>
      </c>
      <c r="K2420" s="65" t="s">
        <v>150</v>
      </c>
      <c r="L2420" s="85" t="b">
        <f>IF(VLOOKUP(C2420,Projetos!A:L,12,false)=TRUE,TRUE,FALSE)</f>
        <v>1</v>
      </c>
      <c r="M2420" s="74">
        <v>73.7079846079846</v>
      </c>
      <c r="N2420" s="74">
        <f t="shared" si="1"/>
        <v>0</v>
      </c>
      <c r="O2420" s="74" t="b">
        <v>1</v>
      </c>
    </row>
    <row r="2421" hidden="1">
      <c r="A2421" s="82"/>
      <c r="B2421" s="65" t="s">
        <v>495</v>
      </c>
      <c r="C2421" s="65" t="s">
        <v>92</v>
      </c>
      <c r="D2421" s="65" t="str">
        <f>vlookup(C2421,'Classificação p pessoal'!F:G,2,false)</f>
        <v/>
      </c>
      <c r="E2421" s="65" t="s">
        <v>1560</v>
      </c>
      <c r="F2421" s="83">
        <v>0.5833333333333334</v>
      </c>
      <c r="G2421" s="83">
        <v>0.625</v>
      </c>
      <c r="H2421" s="83">
        <v>0.041666666666666664</v>
      </c>
      <c r="I2421" s="84">
        <v>44557.0</v>
      </c>
      <c r="J2421" s="65" t="b">
        <v>1</v>
      </c>
      <c r="K2421" s="65"/>
      <c r="L2421" s="85" t="b">
        <f>IF(VLOOKUP(C2421,Projetos!A:L,12,false)=TRUE,TRUE,FALSE)</f>
        <v>1</v>
      </c>
      <c r="M2421" s="74">
        <v>73.7079846079846</v>
      </c>
      <c r="N2421" s="74">
        <f t="shared" si="1"/>
        <v>73.70798461</v>
      </c>
      <c r="O2421" s="74" t="b">
        <v>1</v>
      </c>
    </row>
    <row r="2422" hidden="1">
      <c r="A2422" s="82"/>
      <c r="B2422" s="65" t="s">
        <v>495</v>
      </c>
      <c r="C2422" s="65" t="s">
        <v>117</v>
      </c>
      <c r="D2422" s="65"/>
      <c r="E2422" s="65" t="s">
        <v>1561</v>
      </c>
      <c r="F2422" s="83">
        <v>0.625</v>
      </c>
      <c r="G2422" s="83">
        <v>0.7083333333333334</v>
      </c>
      <c r="H2422" s="83">
        <v>0.08333333333333333</v>
      </c>
      <c r="I2422" s="84">
        <v>44557.0</v>
      </c>
      <c r="J2422" s="65" t="b">
        <v>0</v>
      </c>
      <c r="K2422" s="65" t="s">
        <v>150</v>
      </c>
      <c r="L2422" s="85" t="b">
        <f>IF(VLOOKUP(C2422,Projetos!A:L,12,false)=TRUE,TRUE,FALSE)</f>
        <v>1</v>
      </c>
      <c r="M2422" s="74">
        <v>73.7079846079846</v>
      </c>
      <c r="N2422" s="74">
        <f t="shared" si="1"/>
        <v>0</v>
      </c>
      <c r="O2422" s="74" t="b">
        <v>1</v>
      </c>
    </row>
    <row r="2423" hidden="1">
      <c r="A2423" s="82"/>
      <c r="B2423" s="65" t="s">
        <v>495</v>
      </c>
      <c r="C2423" s="65" t="s">
        <v>92</v>
      </c>
      <c r="D2423" s="65" t="str">
        <f>vlookup(C2423,'Classificação p pessoal'!F:G,2,false)</f>
        <v/>
      </c>
      <c r="E2423" s="65" t="s">
        <v>1555</v>
      </c>
      <c r="F2423" s="83">
        <v>0.7222222222222222</v>
      </c>
      <c r="G2423" s="83">
        <v>0.75</v>
      </c>
      <c r="H2423" s="83">
        <v>0.027777777777777776</v>
      </c>
      <c r="I2423" s="84">
        <v>44557.0</v>
      </c>
      <c r="J2423" s="65" t="b">
        <v>1</v>
      </c>
      <c r="K2423" s="65"/>
      <c r="L2423" s="85" t="b">
        <f>IF(VLOOKUP(C2423,Projetos!A:L,12,false)=TRUE,TRUE,FALSE)</f>
        <v>1</v>
      </c>
      <c r="M2423" s="74">
        <v>73.7079846079846</v>
      </c>
      <c r="N2423" s="74">
        <f t="shared" si="1"/>
        <v>49.13865641</v>
      </c>
      <c r="O2423" s="74" t="b">
        <v>1</v>
      </c>
    </row>
    <row r="2424" hidden="1">
      <c r="A2424" s="82"/>
      <c r="B2424" s="65" t="s">
        <v>495</v>
      </c>
      <c r="C2424" s="65" t="s">
        <v>92</v>
      </c>
      <c r="D2424" s="65" t="str">
        <f>vlookup(C2424,'Classificação p pessoal'!F:G,2,false)</f>
        <v/>
      </c>
      <c r="E2424" s="65" t="s">
        <v>1555</v>
      </c>
      <c r="F2424" s="83">
        <v>0.3506944444444444</v>
      </c>
      <c r="G2424" s="83">
        <v>0.4375</v>
      </c>
      <c r="H2424" s="83">
        <v>0.08680555555555555</v>
      </c>
      <c r="I2424" s="84">
        <v>44558.0</v>
      </c>
      <c r="J2424" s="65" t="b">
        <v>1</v>
      </c>
      <c r="K2424" s="65"/>
      <c r="L2424" s="85" t="b">
        <f>IF(VLOOKUP(C2424,Projetos!A:L,12,false)=TRUE,TRUE,FALSE)</f>
        <v>1</v>
      </c>
      <c r="M2424" s="74">
        <v>73.7079846079846</v>
      </c>
      <c r="N2424" s="74">
        <f t="shared" si="1"/>
        <v>153.5583013</v>
      </c>
      <c r="O2424" s="74" t="b">
        <v>1</v>
      </c>
    </row>
    <row r="2425" hidden="1">
      <c r="A2425" s="82"/>
      <c r="B2425" s="65" t="s">
        <v>495</v>
      </c>
      <c r="C2425" s="65" t="s">
        <v>92</v>
      </c>
      <c r="D2425" s="65" t="str">
        <f>vlookup(C2425,'Classificação p pessoal'!F:G,2,false)</f>
        <v/>
      </c>
      <c r="E2425" s="65" t="s">
        <v>1562</v>
      </c>
      <c r="F2425" s="83">
        <v>0.4375</v>
      </c>
      <c r="G2425" s="83">
        <v>0.4583333333333333</v>
      </c>
      <c r="H2425" s="83">
        <v>0.020833333333333332</v>
      </c>
      <c r="I2425" s="84">
        <v>44558.0</v>
      </c>
      <c r="J2425" s="65" t="b">
        <v>1</v>
      </c>
      <c r="K2425" s="65"/>
      <c r="L2425" s="85" t="b">
        <f>IF(VLOOKUP(C2425,Projetos!A:L,12,false)=TRUE,TRUE,FALSE)</f>
        <v>1</v>
      </c>
      <c r="M2425" s="74">
        <v>73.7079846079846</v>
      </c>
      <c r="N2425" s="74">
        <f t="shared" si="1"/>
        <v>36.8539923</v>
      </c>
      <c r="O2425" s="74" t="b">
        <v>1</v>
      </c>
    </row>
    <row r="2426" hidden="1">
      <c r="A2426" s="82"/>
      <c r="B2426" s="65" t="s">
        <v>495</v>
      </c>
      <c r="C2426" s="65" t="s">
        <v>92</v>
      </c>
      <c r="D2426" s="65" t="str">
        <f>vlookup(C2426,'Classificação p pessoal'!F:G,2,false)</f>
        <v/>
      </c>
      <c r="E2426" s="65" t="s">
        <v>1563</v>
      </c>
      <c r="F2426" s="83">
        <v>0.4583333333333333</v>
      </c>
      <c r="G2426" s="83">
        <v>0.4895833333333333</v>
      </c>
      <c r="H2426" s="83">
        <v>0.03125</v>
      </c>
      <c r="I2426" s="84">
        <v>44558.0</v>
      </c>
      <c r="J2426" s="65" t="b">
        <v>1</v>
      </c>
      <c r="K2426" s="65"/>
      <c r="L2426" s="85" t="b">
        <f>IF(VLOOKUP(C2426,Projetos!A:L,12,false)=TRUE,TRUE,FALSE)</f>
        <v>1</v>
      </c>
      <c r="M2426" s="74">
        <v>73.7079846079846</v>
      </c>
      <c r="N2426" s="74">
        <f t="shared" si="1"/>
        <v>55.28098846</v>
      </c>
      <c r="O2426" s="74" t="b">
        <v>1</v>
      </c>
    </row>
    <row r="2427" hidden="1">
      <c r="A2427" s="82"/>
      <c r="B2427" s="65" t="s">
        <v>495</v>
      </c>
      <c r="C2427" s="65" t="s">
        <v>92</v>
      </c>
      <c r="D2427" s="65" t="str">
        <f>vlookup(C2427,'Classificação p pessoal'!F:G,2,false)</f>
        <v/>
      </c>
      <c r="E2427" s="65" t="s">
        <v>1564</v>
      </c>
      <c r="F2427" s="83">
        <v>0.5</v>
      </c>
      <c r="G2427" s="83">
        <v>0.5659722222222222</v>
      </c>
      <c r="H2427" s="83">
        <v>0.06597222222222222</v>
      </c>
      <c r="I2427" s="84">
        <v>44558.0</v>
      </c>
      <c r="J2427" s="65" t="b">
        <v>1</v>
      </c>
      <c r="K2427" s="65"/>
      <c r="L2427" s="85" t="b">
        <f>IF(VLOOKUP(C2427,Projetos!A:L,12,false)=TRUE,TRUE,FALSE)</f>
        <v>1</v>
      </c>
      <c r="M2427" s="74">
        <v>73.7079846079846</v>
      </c>
      <c r="N2427" s="74">
        <f t="shared" si="1"/>
        <v>116.704309</v>
      </c>
      <c r="O2427" s="74" t="b">
        <v>1</v>
      </c>
    </row>
    <row r="2428" hidden="1">
      <c r="A2428" s="82"/>
      <c r="B2428" s="65" t="s">
        <v>495</v>
      </c>
      <c r="C2428" s="65" t="s">
        <v>92</v>
      </c>
      <c r="D2428" s="65" t="str">
        <f>vlookup(C2428,'Classificação p pessoal'!F:G,2,false)</f>
        <v/>
      </c>
      <c r="E2428" s="65" t="s">
        <v>1564</v>
      </c>
      <c r="F2428" s="83">
        <v>0.6215277777777778</v>
      </c>
      <c r="G2428" s="83">
        <v>0.6944444444444444</v>
      </c>
      <c r="H2428" s="83">
        <v>0.07291666666666667</v>
      </c>
      <c r="I2428" s="84">
        <v>44558.0</v>
      </c>
      <c r="J2428" s="65" t="b">
        <v>1</v>
      </c>
      <c r="K2428" s="65"/>
      <c r="L2428" s="85" t="b">
        <f>IF(VLOOKUP(C2428,Projetos!A:L,12,false)=TRUE,TRUE,FALSE)</f>
        <v>1</v>
      </c>
      <c r="M2428" s="74">
        <v>73.7079846079846</v>
      </c>
      <c r="N2428" s="74">
        <f t="shared" si="1"/>
        <v>128.9889731</v>
      </c>
      <c r="O2428" s="74" t="b">
        <v>1</v>
      </c>
    </row>
    <row r="2429" hidden="1">
      <c r="A2429" s="82"/>
      <c r="B2429" s="65" t="s">
        <v>495</v>
      </c>
      <c r="C2429" s="65" t="s">
        <v>98</v>
      </c>
      <c r="D2429" s="65" t="str">
        <f>vlookup(C2429,'Classificação p pessoal'!F:G,2,false)</f>
        <v>NP</v>
      </c>
      <c r="E2429" s="65" t="s">
        <v>1565</v>
      </c>
      <c r="F2429" s="83">
        <v>0.6944444444444444</v>
      </c>
      <c r="G2429" s="83">
        <v>0.75</v>
      </c>
      <c r="H2429" s="83">
        <v>0.05555555555555555</v>
      </c>
      <c r="I2429" s="84">
        <v>44558.0</v>
      </c>
      <c r="J2429" s="65" t="b">
        <v>1</v>
      </c>
      <c r="K2429" s="65"/>
      <c r="L2429" s="85" t="b">
        <f>IF(VLOOKUP(C2429,Projetos!A:L,12,false)=TRUE,TRUE,FALSE)</f>
        <v>1</v>
      </c>
      <c r="M2429" s="74">
        <v>73.7079846079846</v>
      </c>
      <c r="N2429" s="74">
        <f t="shared" si="1"/>
        <v>98.27731281</v>
      </c>
      <c r="O2429" s="74" t="b">
        <v>1</v>
      </c>
    </row>
    <row r="2430" hidden="1">
      <c r="A2430" s="82"/>
      <c r="B2430" s="65" t="s">
        <v>495</v>
      </c>
      <c r="C2430" s="65" t="s">
        <v>92</v>
      </c>
      <c r="D2430" s="65"/>
      <c r="E2430" s="65" t="s">
        <v>1566</v>
      </c>
      <c r="F2430" s="83">
        <v>0.3472222222222222</v>
      </c>
      <c r="G2430" s="83">
        <v>0.4166666666666667</v>
      </c>
      <c r="H2430" s="83">
        <v>0.06944444444444445</v>
      </c>
      <c r="I2430" s="84">
        <v>44545.0</v>
      </c>
      <c r="J2430" s="65" t="b">
        <v>0</v>
      </c>
      <c r="K2430" s="65" t="s">
        <v>150</v>
      </c>
      <c r="L2430" s="85" t="b">
        <f>IF(VLOOKUP(C2430,Projetos!A:L,12,false)=TRUE,TRUE,FALSE)</f>
        <v>1</v>
      </c>
      <c r="M2430" s="74">
        <v>73.7079846079846</v>
      </c>
      <c r="N2430" s="74">
        <f t="shared" si="1"/>
        <v>0</v>
      </c>
      <c r="O2430" s="74" t="b">
        <v>1</v>
      </c>
    </row>
    <row r="2431" hidden="1">
      <c r="A2431" s="82"/>
      <c r="B2431" s="65" t="s">
        <v>495</v>
      </c>
      <c r="C2431" s="65" t="s">
        <v>92</v>
      </c>
      <c r="D2431" s="65" t="str">
        <f>vlookup(C2431,'Classificação p pessoal'!F:G,2,false)</f>
        <v/>
      </c>
      <c r="E2431" s="65" t="s">
        <v>1567</v>
      </c>
      <c r="F2431" s="83">
        <v>0.3819444444444444</v>
      </c>
      <c r="G2431" s="83">
        <v>0.4583333333333333</v>
      </c>
      <c r="H2431" s="83">
        <v>0.0763888888888889</v>
      </c>
      <c r="I2431" s="84">
        <v>44559.0</v>
      </c>
      <c r="J2431" s="65" t="b">
        <v>1</v>
      </c>
      <c r="K2431" s="65"/>
      <c r="L2431" s="85" t="b">
        <f>IF(VLOOKUP(C2431,Projetos!A:L,12,false)=TRUE,TRUE,FALSE)</f>
        <v>1</v>
      </c>
      <c r="M2431" s="74">
        <v>73.7079846079846</v>
      </c>
      <c r="N2431" s="74">
        <f t="shared" si="1"/>
        <v>135.1313051</v>
      </c>
      <c r="O2431" s="74" t="b">
        <v>1</v>
      </c>
    </row>
    <row r="2432" hidden="1">
      <c r="A2432" s="82"/>
      <c r="B2432" s="65" t="s">
        <v>495</v>
      </c>
      <c r="C2432" s="65" t="s">
        <v>98</v>
      </c>
      <c r="D2432" s="65" t="str">
        <f>vlookup(C2432,'Classificação p pessoal'!F:G,2,false)</f>
        <v>NP</v>
      </c>
      <c r="E2432" s="65" t="s">
        <v>1568</v>
      </c>
      <c r="F2432" s="83">
        <v>0.4722222222222222</v>
      </c>
      <c r="G2432" s="83">
        <v>0.5625</v>
      </c>
      <c r="H2432" s="83">
        <v>0.09027777777777778</v>
      </c>
      <c r="I2432" s="84">
        <v>44559.0</v>
      </c>
      <c r="J2432" s="65" t="b">
        <v>1</v>
      </c>
      <c r="K2432" s="65"/>
      <c r="L2432" s="85" t="b">
        <f>IF(VLOOKUP(C2432,Projetos!A:L,12,false)=TRUE,TRUE,FALSE)</f>
        <v>1</v>
      </c>
      <c r="M2432" s="74">
        <v>73.7079846079846</v>
      </c>
      <c r="N2432" s="74">
        <f t="shared" si="1"/>
        <v>159.7006333</v>
      </c>
      <c r="O2432" s="74" t="b">
        <v>1</v>
      </c>
    </row>
    <row r="2433" hidden="1">
      <c r="A2433" s="82"/>
      <c r="B2433" s="65" t="s">
        <v>495</v>
      </c>
      <c r="C2433" s="65" t="s">
        <v>98</v>
      </c>
      <c r="D2433" s="65" t="str">
        <f>vlookup(C2433,'Classificação p pessoal'!F:G,2,false)</f>
        <v>NP</v>
      </c>
      <c r="E2433" s="65" t="s">
        <v>1568</v>
      </c>
      <c r="F2433" s="83">
        <v>0.6041666666666666</v>
      </c>
      <c r="G2433" s="83">
        <v>0.6666666666666666</v>
      </c>
      <c r="H2433" s="83">
        <v>0.0625</v>
      </c>
      <c r="I2433" s="84">
        <v>44559.0</v>
      </c>
      <c r="J2433" s="65" t="b">
        <v>1</v>
      </c>
      <c r="K2433" s="65"/>
      <c r="L2433" s="85" t="b">
        <f>IF(VLOOKUP(C2433,Projetos!A:L,12,false)=TRUE,TRUE,FALSE)</f>
        <v>1</v>
      </c>
      <c r="M2433" s="74">
        <v>73.7079846079846</v>
      </c>
      <c r="N2433" s="74">
        <f t="shared" si="1"/>
        <v>110.5619769</v>
      </c>
      <c r="O2433" s="74" t="b">
        <v>1</v>
      </c>
    </row>
    <row r="2434" hidden="1">
      <c r="A2434" s="82"/>
      <c r="B2434" s="65" t="s">
        <v>495</v>
      </c>
      <c r="C2434" s="65" t="s">
        <v>92</v>
      </c>
      <c r="D2434" s="65" t="str">
        <f>vlookup(C2434,'Classificação p pessoal'!F:G,2,false)</f>
        <v/>
      </c>
      <c r="E2434" s="65" t="s">
        <v>1569</v>
      </c>
      <c r="F2434" s="83">
        <v>0.6666666666666666</v>
      </c>
      <c r="G2434" s="83">
        <v>0.7083333333333334</v>
      </c>
      <c r="H2434" s="83">
        <v>0.041666666666666664</v>
      </c>
      <c r="I2434" s="84">
        <v>44559.0</v>
      </c>
      <c r="J2434" s="65" t="b">
        <v>1</v>
      </c>
      <c r="K2434" s="65"/>
      <c r="L2434" s="85" t="b">
        <f>IF(VLOOKUP(C2434,Projetos!A:L,12,false)=TRUE,TRUE,FALSE)</f>
        <v>1</v>
      </c>
      <c r="M2434" s="74">
        <v>73.7079846079846</v>
      </c>
      <c r="N2434" s="74">
        <f t="shared" si="1"/>
        <v>73.70798461</v>
      </c>
      <c r="O2434" s="74" t="b">
        <v>1</v>
      </c>
    </row>
    <row r="2435" hidden="1">
      <c r="A2435" s="82"/>
      <c r="B2435" s="65" t="s">
        <v>495</v>
      </c>
      <c r="C2435" s="65" t="s">
        <v>92</v>
      </c>
      <c r="D2435" s="65" t="str">
        <f>vlookup(C2435,'Classificação p pessoal'!F:G,2,false)</f>
        <v/>
      </c>
      <c r="E2435" s="65" t="s">
        <v>1570</v>
      </c>
      <c r="F2435" s="83">
        <v>0.7083333333333334</v>
      </c>
      <c r="G2435" s="83">
        <v>0.75</v>
      </c>
      <c r="H2435" s="83">
        <v>0.041666666666666664</v>
      </c>
      <c r="I2435" s="84">
        <v>44559.0</v>
      </c>
      <c r="J2435" s="65" t="b">
        <v>1</v>
      </c>
      <c r="K2435" s="65"/>
      <c r="L2435" s="85" t="b">
        <f>IF(VLOOKUP(C2435,Projetos!A:L,12,false)=TRUE,TRUE,FALSE)</f>
        <v>1</v>
      </c>
      <c r="M2435" s="74">
        <v>73.7079846079846</v>
      </c>
      <c r="N2435" s="74">
        <f t="shared" si="1"/>
        <v>73.70798461</v>
      </c>
      <c r="O2435" s="74" t="b">
        <v>1</v>
      </c>
    </row>
    <row r="2436" hidden="1">
      <c r="A2436" s="82"/>
      <c r="B2436" s="65" t="s">
        <v>495</v>
      </c>
      <c r="C2436" s="65" t="s">
        <v>92</v>
      </c>
      <c r="D2436" s="65" t="str">
        <f>vlookup(C2436,'Classificação p pessoal'!F:G,2,false)</f>
        <v/>
      </c>
      <c r="E2436" s="65" t="s">
        <v>1571</v>
      </c>
      <c r="F2436" s="83">
        <v>0.34375</v>
      </c>
      <c r="G2436" s="83">
        <v>0.3888888888888889</v>
      </c>
      <c r="H2436" s="83">
        <v>0.04513888888888889</v>
      </c>
      <c r="I2436" s="84">
        <v>44560.0</v>
      </c>
      <c r="J2436" s="65" t="b">
        <v>1</v>
      </c>
      <c r="K2436" s="65"/>
      <c r="L2436" s="85" t="b">
        <f>IF(VLOOKUP(C2436,Projetos!A:L,12,false)=TRUE,TRUE,FALSE)</f>
        <v>1</v>
      </c>
      <c r="M2436" s="74">
        <v>73.7079846079846</v>
      </c>
      <c r="N2436" s="74">
        <f t="shared" si="1"/>
        <v>79.85031666</v>
      </c>
      <c r="O2436" s="74" t="b">
        <v>1</v>
      </c>
    </row>
    <row r="2437" hidden="1">
      <c r="A2437" s="82"/>
      <c r="B2437" s="65" t="s">
        <v>495</v>
      </c>
      <c r="C2437" s="65" t="s">
        <v>92</v>
      </c>
      <c r="D2437" s="65" t="str">
        <f>vlookup(C2437,'Classificação p pessoal'!F:G,2,false)</f>
        <v/>
      </c>
      <c r="E2437" s="65" t="s">
        <v>1572</v>
      </c>
      <c r="F2437" s="83">
        <v>0.3888888888888889</v>
      </c>
      <c r="G2437" s="83">
        <v>0.5</v>
      </c>
      <c r="H2437" s="83">
        <v>0.1111111111111111</v>
      </c>
      <c r="I2437" s="84">
        <v>44560.0</v>
      </c>
      <c r="J2437" s="65" t="b">
        <v>1</v>
      </c>
      <c r="K2437" s="65"/>
      <c r="L2437" s="85" t="b">
        <f>IF(VLOOKUP(C2437,Projetos!A:L,12,false)=TRUE,TRUE,FALSE)</f>
        <v>1</v>
      </c>
      <c r="M2437" s="74">
        <v>73.7079846079846</v>
      </c>
      <c r="N2437" s="74">
        <f t="shared" si="1"/>
        <v>196.5546256</v>
      </c>
      <c r="O2437" s="74" t="b">
        <v>1</v>
      </c>
    </row>
    <row r="2438" hidden="1">
      <c r="A2438" s="82"/>
      <c r="B2438" s="65" t="s">
        <v>495</v>
      </c>
      <c r="C2438" s="65" t="s">
        <v>92</v>
      </c>
      <c r="D2438" s="65" t="str">
        <f>vlookup(C2438,'Classificação p pessoal'!F:G,2,false)</f>
        <v/>
      </c>
      <c r="E2438" s="65" t="s">
        <v>1573</v>
      </c>
      <c r="F2438" s="83">
        <v>0.5</v>
      </c>
      <c r="G2438" s="83">
        <v>0.5520833333333334</v>
      </c>
      <c r="H2438" s="83">
        <v>0.052083333333333336</v>
      </c>
      <c r="I2438" s="84">
        <v>44560.0</v>
      </c>
      <c r="J2438" s="65" t="b">
        <v>1</v>
      </c>
      <c r="K2438" s="65"/>
      <c r="L2438" s="85" t="b">
        <f>IF(VLOOKUP(C2438,Projetos!A:L,12,false)=TRUE,TRUE,FALSE)</f>
        <v>1</v>
      </c>
      <c r="M2438" s="74">
        <v>73.7079846079846</v>
      </c>
      <c r="N2438" s="74">
        <f t="shared" si="1"/>
        <v>92.13498076</v>
      </c>
      <c r="O2438" s="74" t="b">
        <v>1</v>
      </c>
    </row>
    <row r="2439" hidden="1">
      <c r="A2439" s="82"/>
      <c r="B2439" s="65" t="s">
        <v>495</v>
      </c>
      <c r="C2439" s="65" t="s">
        <v>92</v>
      </c>
      <c r="D2439" s="65" t="str">
        <f>vlookup(C2439,'Classificação p pessoal'!F:G,2,false)</f>
        <v/>
      </c>
      <c r="E2439" s="65" t="s">
        <v>1574</v>
      </c>
      <c r="F2439" s="83">
        <v>0.5520833333333334</v>
      </c>
      <c r="G2439" s="83">
        <v>0.5763888888888888</v>
      </c>
      <c r="H2439" s="83">
        <v>0.024305555555555556</v>
      </c>
      <c r="I2439" s="84">
        <v>44560.0</v>
      </c>
      <c r="J2439" s="65" t="b">
        <v>1</v>
      </c>
      <c r="K2439" s="65"/>
      <c r="L2439" s="85" t="b">
        <f>IF(VLOOKUP(C2439,Projetos!A:L,12,false)=TRUE,TRUE,FALSE)</f>
        <v>1</v>
      </c>
      <c r="M2439" s="74">
        <v>73.7079846079846</v>
      </c>
      <c r="N2439" s="74">
        <f t="shared" si="1"/>
        <v>42.99632435</v>
      </c>
      <c r="O2439" s="74" t="b">
        <v>1</v>
      </c>
    </row>
    <row r="2440" hidden="1">
      <c r="A2440" s="82"/>
      <c r="B2440" s="65" t="s">
        <v>495</v>
      </c>
      <c r="C2440" s="65" t="s">
        <v>92</v>
      </c>
      <c r="D2440" s="65" t="str">
        <f>vlookup(C2440,'Classificação p pessoal'!F:G,2,false)</f>
        <v/>
      </c>
      <c r="E2440" s="65" t="s">
        <v>1575</v>
      </c>
      <c r="F2440" s="83">
        <v>0.625</v>
      </c>
      <c r="G2440" s="83">
        <v>0.71875</v>
      </c>
      <c r="H2440" s="83">
        <v>0.09375</v>
      </c>
      <c r="I2440" s="84">
        <v>44560.0</v>
      </c>
      <c r="J2440" s="65" t="b">
        <v>1</v>
      </c>
      <c r="K2440" s="65"/>
      <c r="L2440" s="85" t="b">
        <f>IF(VLOOKUP(C2440,Projetos!A:L,12,false)=TRUE,TRUE,FALSE)</f>
        <v>1</v>
      </c>
      <c r="M2440" s="74">
        <v>73.7079846079846</v>
      </c>
      <c r="N2440" s="74">
        <f t="shared" si="1"/>
        <v>165.8429654</v>
      </c>
      <c r="O2440" s="74" t="b">
        <v>1</v>
      </c>
    </row>
    <row r="2441" hidden="1">
      <c r="A2441" s="82"/>
      <c r="B2441" s="65" t="s">
        <v>495</v>
      </c>
      <c r="C2441" s="65" t="s">
        <v>108</v>
      </c>
      <c r="D2441" s="65" t="str">
        <f>vlookup(C2441,'Classificação p pessoal'!F:G,2,false)</f>
        <v>NP</v>
      </c>
      <c r="E2441" s="65" t="s">
        <v>1576</v>
      </c>
      <c r="F2441" s="83">
        <v>0.71875</v>
      </c>
      <c r="G2441" s="83">
        <v>0.75</v>
      </c>
      <c r="H2441" s="83">
        <v>0.03125</v>
      </c>
      <c r="I2441" s="84">
        <v>44560.0</v>
      </c>
      <c r="J2441" s="65" t="b">
        <v>1</v>
      </c>
      <c r="K2441" s="65"/>
      <c r="L2441" s="85" t="b">
        <f>IF(VLOOKUP(C2441,Projetos!A:L,12,false)=TRUE,TRUE,FALSE)</f>
        <v>1</v>
      </c>
      <c r="M2441" s="74">
        <v>73.7079846079846</v>
      </c>
      <c r="N2441" s="74">
        <f t="shared" si="1"/>
        <v>55.28098846</v>
      </c>
      <c r="O2441" s="74" t="b">
        <v>1</v>
      </c>
    </row>
    <row r="2442" hidden="1">
      <c r="A2442" s="82"/>
      <c r="B2442" s="65" t="s">
        <v>495</v>
      </c>
      <c r="C2442" s="65" t="s">
        <v>89</v>
      </c>
      <c r="D2442" s="65"/>
      <c r="E2442" s="65" t="s">
        <v>1577</v>
      </c>
      <c r="F2442" s="83">
        <v>0.3472222222222222</v>
      </c>
      <c r="G2442" s="83">
        <v>0.4375</v>
      </c>
      <c r="H2442" s="83">
        <v>0.09027777777777778</v>
      </c>
      <c r="I2442" s="84">
        <v>44518.0</v>
      </c>
      <c r="J2442" s="65" t="b">
        <v>0</v>
      </c>
      <c r="K2442" s="65"/>
      <c r="L2442" s="85" t="b">
        <f>IF(VLOOKUP(C2442,Projetos!A:L,12,false)=TRUE,TRUE,FALSE)</f>
        <v>1</v>
      </c>
      <c r="M2442" s="74">
        <v>73.7079846079846</v>
      </c>
      <c r="N2442" s="74">
        <f t="shared" si="1"/>
        <v>0</v>
      </c>
      <c r="O2442" s="74" t="b">
        <v>1</v>
      </c>
    </row>
    <row r="2443" hidden="1">
      <c r="A2443" s="82"/>
      <c r="B2443" s="65" t="s">
        <v>495</v>
      </c>
      <c r="C2443" s="65" t="s">
        <v>108</v>
      </c>
      <c r="D2443" s="65"/>
      <c r="E2443" s="65" t="s">
        <v>1578</v>
      </c>
      <c r="F2443" s="83">
        <v>0.6145833333333334</v>
      </c>
      <c r="G2443" s="83">
        <v>0.6458333333333334</v>
      </c>
      <c r="H2443" s="83">
        <v>0.03125</v>
      </c>
      <c r="I2443" s="84">
        <v>44529.0</v>
      </c>
      <c r="J2443" s="65" t="b">
        <v>0</v>
      </c>
      <c r="K2443" s="65"/>
      <c r="L2443" s="85" t="b">
        <f>IF(VLOOKUP(C2443,Projetos!A:L,12,false)=TRUE,TRUE,FALSE)</f>
        <v>1</v>
      </c>
      <c r="M2443" s="74">
        <v>73.7079846079846</v>
      </c>
      <c r="N2443" s="74">
        <f t="shared" si="1"/>
        <v>0</v>
      </c>
      <c r="O2443" s="74" t="b">
        <v>1</v>
      </c>
    </row>
    <row r="2444" hidden="1">
      <c r="A2444" s="82"/>
      <c r="B2444" s="65" t="s">
        <v>495</v>
      </c>
      <c r="C2444" s="65" t="s">
        <v>117</v>
      </c>
      <c r="D2444" s="65"/>
      <c r="E2444" s="65" t="s">
        <v>1579</v>
      </c>
      <c r="F2444" s="83">
        <v>0.6041666666666666</v>
      </c>
      <c r="G2444" s="83">
        <v>0.6666666666666666</v>
      </c>
      <c r="H2444" s="83">
        <v>0.0625</v>
      </c>
      <c r="I2444" s="84">
        <v>44526.0</v>
      </c>
      <c r="J2444" s="65" t="b">
        <v>0</v>
      </c>
      <c r="K2444" s="65"/>
      <c r="L2444" s="85" t="b">
        <f>IF(VLOOKUP(C2444,Projetos!A:L,12,false)=TRUE,TRUE,FALSE)</f>
        <v>1</v>
      </c>
      <c r="M2444" s="74">
        <v>73.7079846079846</v>
      </c>
      <c r="N2444" s="74">
        <f t="shared" si="1"/>
        <v>0</v>
      </c>
      <c r="O2444" s="74" t="b">
        <v>1</v>
      </c>
    </row>
    <row r="2445" hidden="1">
      <c r="A2445" s="82"/>
      <c r="B2445" s="65" t="s">
        <v>495</v>
      </c>
      <c r="C2445" s="65" t="s">
        <v>92</v>
      </c>
      <c r="D2445" s="65" t="str">
        <f>vlookup(C2445,'Classificação p pessoal'!F:G,2,false)</f>
        <v/>
      </c>
      <c r="E2445" s="65" t="s">
        <v>1580</v>
      </c>
      <c r="F2445" s="83">
        <v>0.4166666666666667</v>
      </c>
      <c r="G2445" s="83">
        <v>0.5</v>
      </c>
      <c r="H2445" s="83">
        <v>0.08333333333333333</v>
      </c>
      <c r="I2445" s="84">
        <v>44539.0</v>
      </c>
      <c r="J2445" s="65" t="b">
        <v>1</v>
      </c>
      <c r="K2445" s="65"/>
      <c r="L2445" s="85" t="b">
        <f>IF(VLOOKUP(C2445,Projetos!A:L,12,false)=TRUE,TRUE,FALSE)</f>
        <v>1</v>
      </c>
      <c r="M2445" s="74">
        <v>73.7079846079846</v>
      </c>
      <c r="N2445" s="74">
        <f t="shared" si="1"/>
        <v>147.4159692</v>
      </c>
      <c r="O2445" s="74" t="b">
        <v>1</v>
      </c>
    </row>
    <row r="2446" hidden="1">
      <c r="A2446" s="82"/>
      <c r="B2446" s="65" t="s">
        <v>495</v>
      </c>
      <c r="C2446" s="65" t="s">
        <v>92</v>
      </c>
      <c r="D2446" s="65" t="str">
        <f>vlookup(C2446,'Classificação p pessoal'!F:G,2,false)</f>
        <v/>
      </c>
      <c r="E2446" s="65" t="s">
        <v>1581</v>
      </c>
      <c r="F2446" s="83">
        <v>0.625</v>
      </c>
      <c r="G2446" s="83">
        <v>0.6770833333333334</v>
      </c>
      <c r="H2446" s="83">
        <v>0.052083333333333336</v>
      </c>
      <c r="I2446" s="84">
        <v>44435.0</v>
      </c>
      <c r="J2446" s="65" t="b">
        <v>1</v>
      </c>
      <c r="K2446" s="65"/>
      <c r="L2446" s="85" t="b">
        <f>IF(VLOOKUP(C2446,Projetos!A:L,12,false)=TRUE,TRUE,FALSE)</f>
        <v>1</v>
      </c>
      <c r="M2446" s="74">
        <v>73.7079846079846</v>
      </c>
      <c r="N2446" s="74">
        <f t="shared" si="1"/>
        <v>92.13498076</v>
      </c>
      <c r="O2446" s="74" t="b">
        <v>1</v>
      </c>
    </row>
    <row r="2447">
      <c r="A2447" s="82"/>
      <c r="B2447" s="65" t="s">
        <v>495</v>
      </c>
      <c r="C2447" s="65" t="s">
        <v>92</v>
      </c>
      <c r="D2447" s="65"/>
      <c r="E2447" s="65" t="s">
        <v>1582</v>
      </c>
      <c r="F2447" s="83">
        <v>0.625</v>
      </c>
      <c r="G2447" s="83">
        <v>0.6979166666666666</v>
      </c>
      <c r="H2447" s="83">
        <v>0.07291666666666667</v>
      </c>
      <c r="I2447" s="84">
        <v>44540.0</v>
      </c>
      <c r="J2447" s="65" t="b">
        <v>0</v>
      </c>
      <c r="K2447" s="65" t="s">
        <v>150</v>
      </c>
      <c r="L2447" s="85" t="b">
        <f>IF(VLOOKUP(C2447,Projetos!A:L,12,false)=TRUE,TRUE,FALSE)</f>
        <v>1</v>
      </c>
      <c r="M2447" s="74">
        <v>73.7079846079846</v>
      </c>
      <c r="N2447" s="74">
        <f t="shared" si="1"/>
        <v>0</v>
      </c>
      <c r="O2447" s="74" t="b">
        <v>1</v>
      </c>
    </row>
    <row r="2448">
      <c r="A2448" s="82"/>
      <c r="B2448" s="65" t="s">
        <v>495</v>
      </c>
      <c r="C2448" s="65" t="s">
        <v>92</v>
      </c>
      <c r="D2448" s="65"/>
      <c r="E2448" s="65" t="s">
        <v>1582</v>
      </c>
      <c r="F2448" s="83">
        <v>0.71875</v>
      </c>
      <c r="G2448" s="83">
        <v>0.75</v>
      </c>
      <c r="H2448" s="83">
        <v>0.03125</v>
      </c>
      <c r="I2448" s="84">
        <v>44540.0</v>
      </c>
      <c r="J2448" s="65" t="b">
        <v>0</v>
      </c>
      <c r="K2448" s="65" t="s">
        <v>150</v>
      </c>
      <c r="L2448" s="85" t="b">
        <f>IF(VLOOKUP(C2448,Projetos!A:L,12,false)=TRUE,TRUE,FALSE)</f>
        <v>1</v>
      </c>
      <c r="M2448" s="74">
        <v>73.7079846079846</v>
      </c>
      <c r="N2448" s="74">
        <f t="shared" si="1"/>
        <v>0</v>
      </c>
      <c r="O2448" s="74" t="b">
        <v>1</v>
      </c>
    </row>
    <row r="2449" hidden="1">
      <c r="A2449" s="82"/>
      <c r="B2449" s="65" t="s">
        <v>495</v>
      </c>
      <c r="C2449" s="65" t="s">
        <v>92</v>
      </c>
      <c r="D2449" s="65"/>
      <c r="E2449" s="65" t="s">
        <v>1583</v>
      </c>
      <c r="F2449" s="83">
        <v>0.4791666666666667</v>
      </c>
      <c r="G2449" s="83">
        <v>0.5729166666666666</v>
      </c>
      <c r="H2449" s="83">
        <v>0.09375</v>
      </c>
      <c r="I2449" s="84">
        <v>44524.0</v>
      </c>
      <c r="J2449" s="65" t="b">
        <v>0</v>
      </c>
      <c r="K2449" s="65" t="s">
        <v>150</v>
      </c>
      <c r="L2449" s="85" t="b">
        <f>IF(VLOOKUP(C2449,Projetos!A:L,12,false)=TRUE,TRUE,FALSE)</f>
        <v>1</v>
      </c>
      <c r="M2449" s="74">
        <v>73.7079846079846</v>
      </c>
      <c r="N2449" s="74">
        <f t="shared" si="1"/>
        <v>0</v>
      </c>
      <c r="O2449" s="74" t="b">
        <v>1</v>
      </c>
    </row>
    <row r="2450" hidden="1">
      <c r="A2450" s="82"/>
      <c r="B2450" s="65" t="s">
        <v>495</v>
      </c>
      <c r="C2450" s="65" t="s">
        <v>92</v>
      </c>
      <c r="D2450" s="65"/>
      <c r="E2450" s="65" t="s">
        <v>1583</v>
      </c>
      <c r="F2450" s="83">
        <v>0.71875</v>
      </c>
      <c r="G2450" s="83">
        <v>0.75</v>
      </c>
      <c r="H2450" s="83">
        <v>0.03125</v>
      </c>
      <c r="I2450" s="84">
        <v>44524.0</v>
      </c>
      <c r="J2450" s="65" t="b">
        <v>0</v>
      </c>
      <c r="K2450" s="65" t="s">
        <v>150</v>
      </c>
      <c r="L2450" s="85" t="b">
        <f>IF(VLOOKUP(C2450,Projetos!A:L,12,false)=TRUE,TRUE,FALSE)</f>
        <v>1</v>
      </c>
      <c r="M2450" s="74">
        <v>73.7079846079846</v>
      </c>
      <c r="N2450" s="74">
        <f t="shared" si="1"/>
        <v>0</v>
      </c>
      <c r="O2450" s="74" t="b">
        <v>1</v>
      </c>
    </row>
    <row r="2451" hidden="1">
      <c r="A2451" s="82"/>
      <c r="B2451" s="65" t="s">
        <v>469</v>
      </c>
      <c r="C2451" s="65" t="s">
        <v>101</v>
      </c>
      <c r="D2451" s="65" t="str">
        <f>vlookup(C2451,'Classificação p pessoal'!F:G,2,false)</f>
        <v>NP</v>
      </c>
      <c r="E2451" s="65" t="s">
        <v>1584</v>
      </c>
      <c r="F2451" s="83">
        <v>0.6666666666666666</v>
      </c>
      <c r="G2451" s="83">
        <v>0.7083333333333334</v>
      </c>
      <c r="H2451" s="83">
        <v>0.041666666666666664</v>
      </c>
      <c r="I2451" s="84">
        <v>44405.0</v>
      </c>
      <c r="J2451" s="65" t="b">
        <v>1</v>
      </c>
      <c r="K2451" s="65"/>
      <c r="L2451" s="85" t="b">
        <f>IF(VLOOKUP(C2451,Projetos!A:L,12,false)=TRUE,TRUE,FALSE)</f>
        <v>1</v>
      </c>
      <c r="M2451" s="74">
        <v>37.50928062469937</v>
      </c>
      <c r="N2451" s="74">
        <f t="shared" si="1"/>
        <v>37.50928062</v>
      </c>
      <c r="O2451" s="74" t="b">
        <v>1</v>
      </c>
    </row>
    <row r="2452" hidden="1">
      <c r="A2452" s="82"/>
      <c r="B2452" s="65" t="s">
        <v>469</v>
      </c>
      <c r="C2452" s="65" t="s">
        <v>117</v>
      </c>
      <c r="D2452" s="65"/>
      <c r="E2452" s="65" t="s">
        <v>1585</v>
      </c>
      <c r="F2452" s="83">
        <v>0.375</v>
      </c>
      <c r="G2452" s="83">
        <v>0.5</v>
      </c>
      <c r="H2452" s="83">
        <v>0.125</v>
      </c>
      <c r="I2452" s="84">
        <v>44235.0</v>
      </c>
      <c r="J2452" s="65" t="b">
        <v>0</v>
      </c>
      <c r="K2452" s="65"/>
      <c r="L2452" s="85" t="b">
        <f>IF(VLOOKUP(C2452,Projetos!A:L,12,false)=TRUE,TRUE,FALSE)</f>
        <v>1</v>
      </c>
      <c r="M2452" s="74">
        <v>37.50928062469937</v>
      </c>
      <c r="N2452" s="74">
        <f t="shared" si="1"/>
        <v>0</v>
      </c>
      <c r="O2452" s="74" t="b">
        <v>1</v>
      </c>
    </row>
    <row r="2453" hidden="1">
      <c r="A2453" s="82"/>
      <c r="B2453" s="65" t="s">
        <v>469</v>
      </c>
      <c r="C2453" s="65" t="s">
        <v>118</v>
      </c>
      <c r="D2453" s="65" t="str">
        <f>vlookup(C2453,'Classificação p pessoal'!F:G,2,false)</f>
        <v>MProduto</v>
      </c>
      <c r="E2453" s="65" t="s">
        <v>1586</v>
      </c>
      <c r="F2453" s="83">
        <v>0.4583333333333333</v>
      </c>
      <c r="G2453" s="83">
        <v>0.5</v>
      </c>
      <c r="H2453" s="83">
        <v>0.041666666666666664</v>
      </c>
      <c r="I2453" s="84">
        <v>44392.0</v>
      </c>
      <c r="J2453" s="65" t="b">
        <v>1</v>
      </c>
      <c r="K2453" s="65"/>
      <c r="L2453" s="85" t="b">
        <f>IF(VLOOKUP(C2453,Projetos!A:L,12,false)=TRUE,TRUE,FALSE)</f>
        <v>1</v>
      </c>
      <c r="M2453" s="74">
        <v>37.50928062469937</v>
      </c>
      <c r="N2453" s="74">
        <f t="shared" si="1"/>
        <v>37.50928062</v>
      </c>
      <c r="O2453" s="74" t="b">
        <v>1</v>
      </c>
    </row>
    <row r="2454" hidden="1">
      <c r="A2454" s="82"/>
      <c r="B2454" s="65" t="s">
        <v>469</v>
      </c>
      <c r="C2454" s="65" t="s">
        <v>106</v>
      </c>
      <c r="D2454" s="65" t="str">
        <f>vlookup(C2454,'Classificação p pessoal'!F:G,2,false)</f>
        <v>MProcesso</v>
      </c>
      <c r="E2454" s="65" t="s">
        <v>1587</v>
      </c>
      <c r="F2454" s="83">
        <v>0.4166666666666667</v>
      </c>
      <c r="G2454" s="83">
        <v>0.4583333333333333</v>
      </c>
      <c r="H2454" s="83">
        <v>0.041666666666666664</v>
      </c>
      <c r="I2454" s="84">
        <v>44404.0</v>
      </c>
      <c r="J2454" s="65" t="b">
        <v>1</v>
      </c>
      <c r="K2454" s="65"/>
      <c r="L2454" s="85" t="b">
        <f>IF(VLOOKUP(C2454,Projetos!A:L,12,false)=TRUE,TRUE,FALSE)</f>
        <v>1</v>
      </c>
      <c r="M2454" s="74">
        <v>37.50928062469937</v>
      </c>
      <c r="N2454" s="74">
        <f t="shared" si="1"/>
        <v>37.50928062</v>
      </c>
      <c r="O2454" s="74" t="b">
        <v>1</v>
      </c>
    </row>
    <row r="2455" hidden="1">
      <c r="A2455" s="82"/>
      <c r="B2455" s="65" t="s">
        <v>469</v>
      </c>
      <c r="C2455" s="65" t="s">
        <v>100</v>
      </c>
      <c r="D2455" s="65" t="str">
        <f>vlookup(C2455,'Classificação p pessoal'!F:G,2,false)</f>
        <v>NP</v>
      </c>
      <c r="E2455" s="65" t="s">
        <v>1588</v>
      </c>
      <c r="F2455" s="83">
        <v>0.6458333333333334</v>
      </c>
      <c r="G2455" s="83">
        <v>0.6875</v>
      </c>
      <c r="H2455" s="83">
        <v>0.041666666666666664</v>
      </c>
      <c r="I2455" s="84">
        <v>44312.0</v>
      </c>
      <c r="J2455" s="65" t="b">
        <v>1</v>
      </c>
      <c r="K2455" s="65"/>
      <c r="L2455" s="85" t="b">
        <f>IF(VLOOKUP(C2455,Projetos!A:L,12,false)=TRUE,TRUE,FALSE)</f>
        <v>1</v>
      </c>
      <c r="M2455" s="74">
        <v>37.50928062469937</v>
      </c>
      <c r="N2455" s="74">
        <f t="shared" si="1"/>
        <v>37.50928062</v>
      </c>
      <c r="O2455" s="74" t="b">
        <v>1</v>
      </c>
    </row>
    <row r="2456" hidden="1">
      <c r="A2456" s="82"/>
      <c r="B2456" s="65" t="s">
        <v>411</v>
      </c>
      <c r="C2456" s="65" t="s">
        <v>108</v>
      </c>
      <c r="D2456" s="65" t="str">
        <f>vlookup(C2456,'Classificação p pessoal'!F:G,2,false)</f>
        <v>NP</v>
      </c>
      <c r="E2456" s="65" t="s">
        <v>1589</v>
      </c>
      <c r="F2456" s="83">
        <v>0.4270833333333333</v>
      </c>
      <c r="G2456" s="83">
        <v>0.46875</v>
      </c>
      <c r="H2456" s="83">
        <v>0.041666666666666664</v>
      </c>
      <c r="I2456" s="84">
        <v>44336.0</v>
      </c>
      <c r="J2456" s="65" t="b">
        <v>1</v>
      </c>
      <c r="K2456" s="65"/>
      <c r="L2456" s="85" t="b">
        <f>IF(VLOOKUP(C2456,Projetos!A:L,12,false)=TRUE,TRUE,FALSE)</f>
        <v>1</v>
      </c>
      <c r="M2456" s="74">
        <v>52.48434411075036</v>
      </c>
      <c r="N2456" s="74">
        <f t="shared" si="1"/>
        <v>52.48434411</v>
      </c>
      <c r="O2456" s="74" t="b">
        <v>1</v>
      </c>
    </row>
    <row r="2457" hidden="1">
      <c r="A2457" s="82"/>
      <c r="B2457" s="65" t="s">
        <v>411</v>
      </c>
      <c r="C2457" s="65" t="s">
        <v>108</v>
      </c>
      <c r="D2457" s="65" t="str">
        <f>vlookup(C2457,'Classificação p pessoal'!F:G,2,false)</f>
        <v>NP</v>
      </c>
      <c r="E2457" s="65" t="s">
        <v>1590</v>
      </c>
      <c r="F2457" s="83">
        <v>0.4166666666666667</v>
      </c>
      <c r="G2457" s="83">
        <v>0.4583333333333333</v>
      </c>
      <c r="H2457" s="83">
        <v>0.041666666666666664</v>
      </c>
      <c r="I2457" s="84">
        <v>44329.0</v>
      </c>
      <c r="J2457" s="65" t="b">
        <v>1</v>
      </c>
      <c r="K2457" s="65"/>
      <c r="L2457" s="85" t="b">
        <f>IF(VLOOKUP(C2457,Projetos!A:L,12,false)=TRUE,TRUE,FALSE)</f>
        <v>1</v>
      </c>
      <c r="M2457" s="74">
        <v>52.48434411075036</v>
      </c>
      <c r="N2457" s="74">
        <f t="shared" si="1"/>
        <v>52.48434411</v>
      </c>
      <c r="O2457" s="74" t="b">
        <v>1</v>
      </c>
    </row>
    <row r="2458" hidden="1">
      <c r="A2458" s="82"/>
      <c r="B2458" s="65" t="s">
        <v>469</v>
      </c>
      <c r="C2458" s="65" t="s">
        <v>108</v>
      </c>
      <c r="D2458" s="65" t="str">
        <f>vlookup(C2458,'Classificação p pessoal'!F:G,2,false)</f>
        <v>NP</v>
      </c>
      <c r="E2458" s="65" t="s">
        <v>1591</v>
      </c>
      <c r="F2458" s="83">
        <v>0.34375</v>
      </c>
      <c r="G2458" s="83">
        <v>0.75</v>
      </c>
      <c r="H2458" s="83">
        <v>0.40625</v>
      </c>
      <c r="I2458" s="84">
        <v>44207.0</v>
      </c>
      <c r="J2458" s="65" t="b">
        <v>1</v>
      </c>
      <c r="K2458" s="65"/>
      <c r="L2458" s="85" t="b">
        <f>IF(VLOOKUP(C2458,Projetos!A:L,12,false)=TRUE,TRUE,FALSE)</f>
        <v>1</v>
      </c>
      <c r="M2458" s="74">
        <v>37.50928062469937</v>
      </c>
      <c r="N2458" s="74">
        <f t="shared" si="1"/>
        <v>365.7154861</v>
      </c>
      <c r="O2458" s="74" t="b">
        <v>1</v>
      </c>
    </row>
    <row r="2459" hidden="1">
      <c r="A2459" s="82"/>
      <c r="B2459" s="65" t="s">
        <v>469</v>
      </c>
      <c r="C2459" s="65" t="s">
        <v>108</v>
      </c>
      <c r="D2459" s="65" t="str">
        <f>vlookup(C2459,'Classificação p pessoal'!F:G,2,false)</f>
        <v>NP</v>
      </c>
      <c r="E2459" s="65" t="s">
        <v>1591</v>
      </c>
      <c r="F2459" s="83">
        <v>0.34375</v>
      </c>
      <c r="G2459" s="83">
        <v>0.75</v>
      </c>
      <c r="H2459" s="83">
        <v>0.40625</v>
      </c>
      <c r="I2459" s="84">
        <v>44208.0</v>
      </c>
      <c r="J2459" s="65" t="b">
        <v>1</v>
      </c>
      <c r="K2459" s="65"/>
      <c r="L2459" s="85" t="b">
        <f>IF(VLOOKUP(C2459,Projetos!A:L,12,false)=TRUE,TRUE,FALSE)</f>
        <v>1</v>
      </c>
      <c r="M2459" s="74">
        <v>37.50928062469937</v>
      </c>
      <c r="N2459" s="74">
        <f t="shared" si="1"/>
        <v>365.7154861</v>
      </c>
      <c r="O2459" s="74" t="b">
        <v>1</v>
      </c>
    </row>
    <row r="2460" hidden="1">
      <c r="A2460" s="82"/>
      <c r="B2460" s="65" t="s">
        <v>469</v>
      </c>
      <c r="C2460" s="65" t="s">
        <v>107</v>
      </c>
      <c r="D2460" s="65" t="str">
        <f>vlookup(C2460,'Classificação p pessoal'!F:G,2,false)</f>
        <v>NP</v>
      </c>
      <c r="E2460" s="65" t="s">
        <v>1592</v>
      </c>
      <c r="F2460" s="83">
        <v>0.34375</v>
      </c>
      <c r="G2460" s="83">
        <v>0.5833333333333334</v>
      </c>
      <c r="H2460" s="83">
        <v>0.23958333333333334</v>
      </c>
      <c r="I2460" s="84">
        <v>44207.0</v>
      </c>
      <c r="J2460" s="65" t="b">
        <v>1</v>
      </c>
      <c r="K2460" s="65"/>
      <c r="L2460" s="85" t="b">
        <f>IF(VLOOKUP(C2460,Projetos!A:L,12,false)=TRUE,TRUE,FALSE)</f>
        <v>1</v>
      </c>
      <c r="M2460" s="74">
        <v>37.50928062469937</v>
      </c>
      <c r="N2460" s="74">
        <f t="shared" si="1"/>
        <v>215.6783636</v>
      </c>
      <c r="O2460" s="74" t="b">
        <v>1</v>
      </c>
    </row>
    <row r="2461" hidden="1">
      <c r="A2461" s="82"/>
      <c r="B2461" s="65" t="s">
        <v>469</v>
      </c>
      <c r="C2461" s="65" t="s">
        <v>105</v>
      </c>
      <c r="D2461" s="65" t="str">
        <f>vlookup(C2461,'Classificação p pessoal'!F:G,2,false)</f>
        <v>NP</v>
      </c>
      <c r="E2461" s="65" t="s">
        <v>1593</v>
      </c>
      <c r="F2461" s="83">
        <v>0.34375</v>
      </c>
      <c r="G2461" s="83">
        <v>0.6875</v>
      </c>
      <c r="H2461" s="83">
        <v>0.34375</v>
      </c>
      <c r="I2461" s="84">
        <v>44208.0</v>
      </c>
      <c r="J2461" s="65" t="b">
        <v>1</v>
      </c>
      <c r="K2461" s="65"/>
      <c r="L2461" s="85" t="b">
        <f>IF(VLOOKUP(C2461,Projetos!A:L,12,false)=TRUE,TRUE,FALSE)</f>
        <v>1</v>
      </c>
      <c r="M2461" s="74">
        <v>37.50928062469937</v>
      </c>
      <c r="N2461" s="74">
        <f t="shared" si="1"/>
        <v>309.4515652</v>
      </c>
      <c r="O2461" s="74" t="b">
        <v>1</v>
      </c>
    </row>
    <row r="2462" hidden="1">
      <c r="A2462" s="82"/>
      <c r="B2462" s="65" t="s">
        <v>469</v>
      </c>
      <c r="C2462" s="65" t="s">
        <v>132</v>
      </c>
      <c r="D2462" s="65"/>
      <c r="E2462" s="65" t="s">
        <v>1594</v>
      </c>
      <c r="F2462" s="83">
        <v>0.6875</v>
      </c>
      <c r="G2462" s="83">
        <v>0.7291666666666666</v>
      </c>
      <c r="H2462" s="83">
        <v>0.041666666666666664</v>
      </c>
      <c r="I2462" s="84">
        <v>44208.0</v>
      </c>
      <c r="J2462" s="65" t="b">
        <v>0</v>
      </c>
      <c r="K2462" s="65" t="s">
        <v>150</v>
      </c>
      <c r="L2462" s="85" t="b">
        <f>IF(VLOOKUP(C2462,Projetos!A:L,12,false)=TRUE,TRUE,FALSE)</f>
        <v>0</v>
      </c>
      <c r="M2462" s="74">
        <v>37.50928062469937</v>
      </c>
      <c r="N2462" s="74">
        <f t="shared" si="1"/>
        <v>0</v>
      </c>
      <c r="O2462" s="74" t="b">
        <v>0</v>
      </c>
    </row>
    <row r="2463" hidden="1">
      <c r="A2463" s="82"/>
      <c r="B2463" s="65" t="s">
        <v>411</v>
      </c>
      <c r="C2463" s="65" t="s">
        <v>117</v>
      </c>
      <c r="D2463" s="65" t="str">
        <f>vlookup(C2463,'Classificação p pessoal'!F:G,2,false)</f>
        <v>NP</v>
      </c>
      <c r="E2463" s="65" t="s">
        <v>1595</v>
      </c>
      <c r="F2463" s="83">
        <v>0.5833333333333334</v>
      </c>
      <c r="G2463" s="83">
        <v>0.75</v>
      </c>
      <c r="H2463" s="83">
        <v>0.16666666666666666</v>
      </c>
      <c r="I2463" s="84">
        <v>44557.0</v>
      </c>
      <c r="J2463" s="65" t="b">
        <v>1</v>
      </c>
      <c r="K2463" s="65"/>
      <c r="L2463" s="85" t="b">
        <f>IF(VLOOKUP(C2463,Projetos!A:L,12,false)=TRUE,TRUE,FALSE)</f>
        <v>1</v>
      </c>
      <c r="M2463" s="74">
        <v>52.48434411075036</v>
      </c>
      <c r="N2463" s="74">
        <f t="shared" si="1"/>
        <v>209.9373764</v>
      </c>
      <c r="O2463" s="74" t="b">
        <v>1</v>
      </c>
    </row>
    <row r="2464" hidden="1">
      <c r="A2464" s="82"/>
      <c r="B2464" s="65" t="s">
        <v>411</v>
      </c>
      <c r="C2464" s="65" t="s">
        <v>152</v>
      </c>
      <c r="D2464" s="65" t="str">
        <f>vlookup(C2464,'Classificação p pessoal'!F:G,2,false)</f>
        <v>MProduto</v>
      </c>
      <c r="E2464" s="65" t="s">
        <v>1596</v>
      </c>
      <c r="F2464" s="83">
        <v>0.6041666666666666</v>
      </c>
      <c r="G2464" s="83">
        <v>0.6458333333333334</v>
      </c>
      <c r="H2464" s="83">
        <v>0.041666666666666664</v>
      </c>
      <c r="I2464" s="84">
        <v>44329.0</v>
      </c>
      <c r="J2464" s="65" t="b">
        <v>1</v>
      </c>
      <c r="K2464" s="65"/>
      <c r="L2464" s="85" t="b">
        <f>IF(VLOOKUP(C2464,Projetos!A:L,12,false)=TRUE,TRUE,FALSE)</f>
        <v>1</v>
      </c>
      <c r="M2464" s="74">
        <v>52.48434411075036</v>
      </c>
      <c r="N2464" s="74">
        <f t="shared" si="1"/>
        <v>52.48434411</v>
      </c>
      <c r="O2464" s="74" t="b">
        <v>1</v>
      </c>
    </row>
    <row r="2465" hidden="1">
      <c r="A2465" s="82"/>
      <c r="B2465" s="65" t="s">
        <v>469</v>
      </c>
      <c r="C2465" s="65" t="s">
        <v>118</v>
      </c>
      <c r="D2465" s="65" t="str">
        <f>vlookup(C2465,'Classificação p pessoal'!F:G,2,false)</f>
        <v>MProduto</v>
      </c>
      <c r="E2465" s="65" t="s">
        <v>1597</v>
      </c>
      <c r="F2465" s="83">
        <v>0.34375</v>
      </c>
      <c r="G2465" s="83">
        <v>0.75</v>
      </c>
      <c r="H2465" s="83">
        <v>0.40625</v>
      </c>
      <c r="I2465" s="84">
        <v>44210.0</v>
      </c>
      <c r="J2465" s="65" t="b">
        <v>1</v>
      </c>
      <c r="K2465" s="65"/>
      <c r="L2465" s="85" t="b">
        <f>IF(VLOOKUP(C2465,Projetos!A:L,12,false)=TRUE,TRUE,FALSE)</f>
        <v>1</v>
      </c>
      <c r="M2465" s="74">
        <v>37.50928062469937</v>
      </c>
      <c r="N2465" s="74">
        <f t="shared" si="1"/>
        <v>365.7154861</v>
      </c>
      <c r="O2465" s="74" t="b">
        <v>1</v>
      </c>
    </row>
    <row r="2466" hidden="1">
      <c r="A2466" s="82"/>
      <c r="B2466" s="65" t="s">
        <v>469</v>
      </c>
      <c r="C2466" s="65" t="s">
        <v>118</v>
      </c>
      <c r="D2466" s="65" t="str">
        <f>vlookup(C2466,'Classificação p pessoal'!F:G,2,false)</f>
        <v>MProduto</v>
      </c>
      <c r="E2466" s="65" t="s">
        <v>1598</v>
      </c>
      <c r="F2466" s="83">
        <v>0.34375</v>
      </c>
      <c r="G2466" s="83">
        <v>0.75</v>
      </c>
      <c r="H2466" s="83">
        <v>0.40625</v>
      </c>
      <c r="I2466" s="84">
        <v>44235.0</v>
      </c>
      <c r="J2466" s="65" t="b">
        <v>1</v>
      </c>
      <c r="K2466" s="65"/>
      <c r="L2466" s="85" t="b">
        <f>IF(VLOOKUP(C2466,Projetos!A:L,12,false)=TRUE,TRUE,FALSE)</f>
        <v>1</v>
      </c>
      <c r="M2466" s="74">
        <v>37.50928062469937</v>
      </c>
      <c r="N2466" s="74">
        <f t="shared" si="1"/>
        <v>365.7154861</v>
      </c>
      <c r="O2466" s="74" t="b">
        <v>1</v>
      </c>
    </row>
    <row r="2467" hidden="1">
      <c r="A2467" s="82"/>
      <c r="B2467" s="65" t="s">
        <v>469</v>
      </c>
      <c r="C2467" s="65" t="s">
        <v>118</v>
      </c>
      <c r="D2467" s="65" t="str">
        <f>vlookup(C2467,'Classificação p pessoal'!F:G,2,false)</f>
        <v>MProduto</v>
      </c>
      <c r="E2467" s="65" t="s">
        <v>1598</v>
      </c>
      <c r="F2467" s="83">
        <v>0.34375</v>
      </c>
      <c r="G2467" s="83">
        <v>0.75</v>
      </c>
      <c r="H2467" s="83">
        <v>0.40625</v>
      </c>
      <c r="I2467" s="84">
        <v>44236.0</v>
      </c>
      <c r="J2467" s="65" t="b">
        <v>1</v>
      </c>
      <c r="K2467" s="65"/>
      <c r="L2467" s="85" t="b">
        <f>IF(VLOOKUP(C2467,Projetos!A:L,12,false)=TRUE,TRUE,FALSE)</f>
        <v>1</v>
      </c>
      <c r="M2467" s="74">
        <v>37.50928062469937</v>
      </c>
      <c r="N2467" s="74">
        <f t="shared" si="1"/>
        <v>365.7154861</v>
      </c>
      <c r="O2467" s="74" t="b">
        <v>1</v>
      </c>
    </row>
    <row r="2468" hidden="1">
      <c r="A2468" s="82"/>
      <c r="B2468" s="65" t="s">
        <v>469</v>
      </c>
      <c r="C2468" s="65" t="s">
        <v>118</v>
      </c>
      <c r="D2468" s="65" t="str">
        <f>vlookup(C2468,'Classificação p pessoal'!F:G,2,false)</f>
        <v>MProduto</v>
      </c>
      <c r="E2468" s="65" t="s">
        <v>1598</v>
      </c>
      <c r="F2468" s="83">
        <v>0.34375</v>
      </c>
      <c r="G2468" s="83">
        <v>0.75</v>
      </c>
      <c r="H2468" s="83">
        <v>0.40625</v>
      </c>
      <c r="I2468" s="84">
        <v>44237.0</v>
      </c>
      <c r="J2468" s="65" t="b">
        <v>1</v>
      </c>
      <c r="K2468" s="65"/>
      <c r="L2468" s="85" t="b">
        <f>IF(VLOOKUP(C2468,Projetos!A:L,12,false)=TRUE,TRUE,FALSE)</f>
        <v>1</v>
      </c>
      <c r="M2468" s="74">
        <v>37.50928062469937</v>
      </c>
      <c r="N2468" s="74">
        <f t="shared" si="1"/>
        <v>365.7154861</v>
      </c>
      <c r="O2468" s="74" t="b">
        <v>1</v>
      </c>
    </row>
    <row r="2469" hidden="1">
      <c r="A2469" s="82"/>
      <c r="B2469" s="65" t="s">
        <v>469</v>
      </c>
      <c r="C2469" s="65" t="s">
        <v>118</v>
      </c>
      <c r="D2469" s="65" t="str">
        <f>vlookup(C2469,'Classificação p pessoal'!F:G,2,false)</f>
        <v>MProduto</v>
      </c>
      <c r="E2469" s="65" t="s">
        <v>1599</v>
      </c>
      <c r="F2469" s="83">
        <v>0.34375</v>
      </c>
      <c r="G2469" s="83">
        <v>0.625</v>
      </c>
      <c r="H2469" s="83">
        <v>0.28125</v>
      </c>
      <c r="I2469" s="84">
        <v>44238.0</v>
      </c>
      <c r="J2469" s="65" t="b">
        <v>1</v>
      </c>
      <c r="K2469" s="65"/>
      <c r="L2469" s="85" t="b">
        <f>IF(VLOOKUP(C2469,Projetos!A:L,12,false)=TRUE,TRUE,FALSE)</f>
        <v>1</v>
      </c>
      <c r="M2469" s="74">
        <v>37.50928062469937</v>
      </c>
      <c r="N2469" s="74">
        <f t="shared" si="1"/>
        <v>253.1876442</v>
      </c>
      <c r="O2469" s="74" t="b">
        <v>1</v>
      </c>
    </row>
    <row r="2470" hidden="1">
      <c r="A2470" s="82"/>
      <c r="B2470" s="65" t="s">
        <v>469</v>
      </c>
      <c r="C2470" s="65" t="s">
        <v>106</v>
      </c>
      <c r="D2470" s="65" t="str">
        <f>vlookup(C2470,'Classificação p pessoal'!F:G,2,false)</f>
        <v>MProcesso</v>
      </c>
      <c r="E2470" s="65" t="s">
        <v>1600</v>
      </c>
      <c r="F2470" s="83">
        <v>0.625</v>
      </c>
      <c r="G2470" s="83">
        <v>0.6666666666666666</v>
      </c>
      <c r="H2470" s="83">
        <v>0.041666666666666664</v>
      </c>
      <c r="I2470" s="84">
        <v>44238.0</v>
      </c>
      <c r="J2470" s="65" t="b">
        <v>1</v>
      </c>
      <c r="K2470" s="65"/>
      <c r="L2470" s="85" t="b">
        <f>IF(VLOOKUP(C2470,Projetos!A:L,12,false)=TRUE,TRUE,FALSE)</f>
        <v>1</v>
      </c>
      <c r="M2470" s="74">
        <v>37.50928062469937</v>
      </c>
      <c r="N2470" s="74">
        <f t="shared" si="1"/>
        <v>37.50928062</v>
      </c>
      <c r="O2470" s="74" t="b">
        <v>1</v>
      </c>
    </row>
    <row r="2471" hidden="1">
      <c r="A2471" s="82"/>
      <c r="B2471" s="65" t="s">
        <v>469</v>
      </c>
      <c r="C2471" s="65" t="s">
        <v>132</v>
      </c>
      <c r="D2471" s="65"/>
      <c r="E2471" s="65" t="s">
        <v>1601</v>
      </c>
      <c r="F2471" s="83">
        <v>0.375</v>
      </c>
      <c r="G2471" s="83">
        <v>0.3958333333333333</v>
      </c>
      <c r="H2471" s="83">
        <v>0.020833333333333332</v>
      </c>
      <c r="I2471" s="84">
        <v>44236.0</v>
      </c>
      <c r="J2471" s="65" t="b">
        <v>1</v>
      </c>
      <c r="K2471" s="65"/>
      <c r="L2471" s="85" t="b">
        <f>IF(VLOOKUP(C2471,Projetos!A:L,12,false)=TRUE,TRUE,FALSE)</f>
        <v>0</v>
      </c>
      <c r="M2471" s="74">
        <v>37.50928062469937</v>
      </c>
      <c r="N2471" s="74">
        <f t="shared" si="1"/>
        <v>0</v>
      </c>
      <c r="O2471" s="74" t="b">
        <v>0</v>
      </c>
    </row>
    <row r="2472" hidden="1">
      <c r="A2472" s="82"/>
      <c r="B2472" s="65" t="s">
        <v>469</v>
      </c>
      <c r="C2472" s="65" t="s">
        <v>132</v>
      </c>
      <c r="D2472" s="65"/>
      <c r="E2472" s="65" t="s">
        <v>1602</v>
      </c>
      <c r="F2472" s="83">
        <v>0.34375</v>
      </c>
      <c r="G2472" s="83">
        <v>0.5</v>
      </c>
      <c r="H2472" s="83">
        <v>0.15625</v>
      </c>
      <c r="I2472" s="84">
        <v>44237.0</v>
      </c>
      <c r="J2472" s="65" t="b">
        <v>1</v>
      </c>
      <c r="K2472" s="65"/>
      <c r="L2472" s="85" t="b">
        <f>IF(VLOOKUP(C2472,Projetos!A:L,12,false)=TRUE,TRUE,FALSE)</f>
        <v>0</v>
      </c>
      <c r="M2472" s="74">
        <v>37.50928062469937</v>
      </c>
      <c r="N2472" s="74">
        <f t="shared" si="1"/>
        <v>0</v>
      </c>
      <c r="O2472" s="74" t="b">
        <v>0</v>
      </c>
    </row>
    <row r="2473" hidden="1">
      <c r="A2473" s="82"/>
      <c r="B2473" s="65" t="s">
        <v>469</v>
      </c>
      <c r="C2473" s="65" t="s">
        <v>117</v>
      </c>
      <c r="D2473" s="65"/>
      <c r="E2473" s="65" t="s">
        <v>1603</v>
      </c>
      <c r="F2473" s="83">
        <v>0.3541666666666667</v>
      </c>
      <c r="G2473" s="83">
        <v>0.7083333333333334</v>
      </c>
      <c r="H2473" s="83">
        <v>0.3541666666666667</v>
      </c>
      <c r="I2473" s="84">
        <v>43870.0</v>
      </c>
      <c r="J2473" s="65" t="b">
        <v>0</v>
      </c>
      <c r="K2473" s="65" t="s">
        <v>150</v>
      </c>
      <c r="L2473" s="85" t="b">
        <f>IF(VLOOKUP(C2473,Projetos!A:L,12,false)=TRUE,TRUE,FALSE)</f>
        <v>1</v>
      </c>
      <c r="M2473" s="74">
        <v>37.50928062469937</v>
      </c>
      <c r="N2473" s="74">
        <f t="shared" si="1"/>
        <v>0</v>
      </c>
      <c r="O2473" s="74" t="b">
        <v>1</v>
      </c>
    </row>
    <row r="2474" hidden="1">
      <c r="A2474" s="82"/>
      <c r="B2474" s="65" t="s">
        <v>411</v>
      </c>
      <c r="C2474" s="65" t="s">
        <v>121</v>
      </c>
      <c r="D2474" s="65"/>
      <c r="E2474" s="65" t="s">
        <v>1604</v>
      </c>
      <c r="F2474" s="83">
        <v>0.4583333333333333</v>
      </c>
      <c r="G2474" s="83">
        <v>0.5</v>
      </c>
      <c r="H2474" s="83">
        <v>0.041666666666666664</v>
      </c>
      <c r="I2474" s="84">
        <v>44342.0</v>
      </c>
      <c r="J2474" s="65" t="b">
        <v>0</v>
      </c>
      <c r="K2474" s="65" t="s">
        <v>150</v>
      </c>
      <c r="L2474" s="85" t="b">
        <f>IF(VLOOKUP(C2474,Projetos!A:L,12,false)=TRUE,TRUE,FALSE)</f>
        <v>1</v>
      </c>
      <c r="M2474" s="74">
        <v>52.48434411075036</v>
      </c>
      <c r="N2474" s="74">
        <f t="shared" si="1"/>
        <v>0</v>
      </c>
      <c r="O2474" s="74" t="b">
        <v>1</v>
      </c>
    </row>
    <row r="2475" hidden="1">
      <c r="A2475" s="82"/>
      <c r="B2475" s="65" t="s">
        <v>495</v>
      </c>
      <c r="C2475" s="65" t="s">
        <v>117</v>
      </c>
      <c r="D2475" s="65"/>
      <c r="E2475" s="65" t="s">
        <v>1605</v>
      </c>
      <c r="F2475" s="83">
        <v>0.4375</v>
      </c>
      <c r="G2475" s="83">
        <v>0.4791666666666667</v>
      </c>
      <c r="H2475" s="83">
        <v>0.041666666666666664</v>
      </c>
      <c r="I2475" s="84">
        <v>44510.0</v>
      </c>
      <c r="J2475" s="65" t="b">
        <v>0</v>
      </c>
      <c r="K2475" s="65" t="s">
        <v>150</v>
      </c>
      <c r="L2475" s="85" t="b">
        <f>IF(VLOOKUP(C2475,Projetos!A:L,12,false)=TRUE,TRUE,FALSE)</f>
        <v>1</v>
      </c>
      <c r="M2475" s="74">
        <v>73.7079846079846</v>
      </c>
      <c r="N2475" s="74">
        <f t="shared" si="1"/>
        <v>0</v>
      </c>
      <c r="O2475" s="74" t="b">
        <v>1</v>
      </c>
    </row>
    <row r="2476" hidden="1">
      <c r="A2476" s="82"/>
      <c r="B2476" s="65" t="s">
        <v>469</v>
      </c>
      <c r="C2476" s="65" t="s">
        <v>106</v>
      </c>
      <c r="D2476" s="65"/>
      <c r="E2476" s="65" t="s">
        <v>1594</v>
      </c>
      <c r="F2476" s="83">
        <v>0.4583333333333333</v>
      </c>
      <c r="G2476" s="83">
        <v>0.5</v>
      </c>
      <c r="H2476" s="83">
        <v>0.041666666666666664</v>
      </c>
      <c r="I2476" s="84">
        <v>44239.0</v>
      </c>
      <c r="J2476" s="65" t="b">
        <v>0</v>
      </c>
      <c r="K2476" s="65" t="s">
        <v>150</v>
      </c>
      <c r="L2476" s="85" t="b">
        <f>IF(VLOOKUP(C2476,Projetos!A:L,12,false)=TRUE,TRUE,FALSE)</f>
        <v>1</v>
      </c>
      <c r="M2476" s="74">
        <v>37.50928062469937</v>
      </c>
      <c r="N2476" s="74">
        <f t="shared" si="1"/>
        <v>0</v>
      </c>
      <c r="O2476" s="74" t="b">
        <v>1</v>
      </c>
    </row>
    <row r="2477" hidden="1">
      <c r="A2477" s="82"/>
      <c r="B2477" s="65" t="s">
        <v>411</v>
      </c>
      <c r="C2477" s="65" t="s">
        <v>88</v>
      </c>
      <c r="D2477" s="65"/>
      <c r="E2477" s="65" t="s">
        <v>1606</v>
      </c>
      <c r="F2477" s="83">
        <v>0.375</v>
      </c>
      <c r="G2477" s="83">
        <v>0.4583333333333333</v>
      </c>
      <c r="H2477" s="83">
        <v>0.08333333333333333</v>
      </c>
      <c r="I2477" s="84">
        <v>44378.0</v>
      </c>
      <c r="J2477" s="65" t="b">
        <v>0</v>
      </c>
      <c r="K2477" s="65" t="s">
        <v>150</v>
      </c>
      <c r="L2477" s="85" t="b">
        <f>IF(VLOOKUP(C2477,Projetos!A:L,12,false)=TRUE,TRUE,FALSE)</f>
        <v>1</v>
      </c>
      <c r="M2477" s="74">
        <v>52.48434411075036</v>
      </c>
      <c r="N2477" s="74">
        <f t="shared" si="1"/>
        <v>0</v>
      </c>
      <c r="O2477" s="74" t="b">
        <v>1</v>
      </c>
    </row>
    <row r="2478" hidden="1">
      <c r="A2478" s="82"/>
      <c r="B2478" s="65" t="s">
        <v>467</v>
      </c>
      <c r="C2478" s="65" t="s">
        <v>122</v>
      </c>
      <c r="D2478" s="65"/>
      <c r="E2478" s="65" t="s">
        <v>1607</v>
      </c>
      <c r="F2478" s="83">
        <v>0.3958333333333333</v>
      </c>
      <c r="G2478" s="83">
        <v>0.4583333333333333</v>
      </c>
      <c r="H2478" s="83">
        <v>0.0625</v>
      </c>
      <c r="I2478" s="84">
        <v>44505.0</v>
      </c>
      <c r="J2478" s="65" t="b">
        <v>0</v>
      </c>
      <c r="K2478" s="65" t="s">
        <v>150</v>
      </c>
      <c r="L2478" s="85" t="b">
        <f>IF(VLOOKUP(C2478,Projetos!A:L,12,false)=TRUE,TRUE,FALSE)</f>
        <v>1</v>
      </c>
      <c r="M2478" s="74">
        <v>52.1518759018759</v>
      </c>
      <c r="N2478" s="74">
        <f t="shared" si="1"/>
        <v>0</v>
      </c>
      <c r="O2478" s="74" t="b">
        <v>1</v>
      </c>
    </row>
    <row r="2479" hidden="1">
      <c r="A2479" s="82"/>
      <c r="B2479" s="65" t="s">
        <v>469</v>
      </c>
      <c r="C2479" s="65" t="s">
        <v>132</v>
      </c>
      <c r="D2479" s="65"/>
      <c r="E2479" s="65" t="s">
        <v>1594</v>
      </c>
      <c r="F2479" s="83">
        <v>0.4583333333333333</v>
      </c>
      <c r="G2479" s="83">
        <v>0.5</v>
      </c>
      <c r="H2479" s="83">
        <v>0.041666666666666664</v>
      </c>
      <c r="I2479" s="84">
        <v>44250.0</v>
      </c>
      <c r="J2479" s="65" t="b">
        <v>0</v>
      </c>
      <c r="K2479" s="65" t="s">
        <v>150</v>
      </c>
      <c r="L2479" s="85" t="b">
        <f>IF(VLOOKUP(C2479,Projetos!A:L,12,false)=TRUE,TRUE,FALSE)</f>
        <v>0</v>
      </c>
      <c r="M2479" s="74">
        <v>37.50928062469937</v>
      </c>
      <c r="N2479" s="74">
        <f t="shared" si="1"/>
        <v>0</v>
      </c>
      <c r="O2479" s="74" t="b">
        <v>0</v>
      </c>
    </row>
    <row r="2480" hidden="1">
      <c r="A2480" s="82"/>
      <c r="B2480" s="65" t="s">
        <v>469</v>
      </c>
      <c r="C2480" s="65" t="s">
        <v>118</v>
      </c>
      <c r="D2480" s="65" t="str">
        <f>vlookup(C2480,'Classificação p pessoal'!F:G,2,false)</f>
        <v>MProduto</v>
      </c>
      <c r="E2480" s="65" t="s">
        <v>1598</v>
      </c>
      <c r="F2480" s="83">
        <v>0.5416666666666666</v>
      </c>
      <c r="G2480" s="83">
        <v>0.7291666666666666</v>
      </c>
      <c r="H2480" s="83">
        <v>0.1875</v>
      </c>
      <c r="I2480" s="84">
        <v>44250.0</v>
      </c>
      <c r="J2480" s="65" t="b">
        <v>1</v>
      </c>
      <c r="K2480" s="65"/>
      <c r="L2480" s="85" t="b">
        <f>IF(VLOOKUP(C2480,Projetos!A:L,12,false)=TRUE,TRUE,FALSE)</f>
        <v>1</v>
      </c>
      <c r="M2480" s="74">
        <v>37.50928062469937</v>
      </c>
      <c r="N2480" s="74">
        <f t="shared" si="1"/>
        <v>168.7917628</v>
      </c>
      <c r="O2480" s="74" t="b">
        <v>1</v>
      </c>
    </row>
    <row r="2481" hidden="1">
      <c r="A2481" s="82"/>
      <c r="B2481" s="65" t="s">
        <v>469</v>
      </c>
      <c r="C2481" s="65" t="s">
        <v>118</v>
      </c>
      <c r="D2481" s="65" t="str">
        <f>vlookup(C2481,'Classificação p pessoal'!F:G,2,false)</f>
        <v>MProduto</v>
      </c>
      <c r="E2481" s="65" t="s">
        <v>1598</v>
      </c>
      <c r="F2481" s="83">
        <v>0.3541666666666667</v>
      </c>
      <c r="G2481" s="83">
        <v>0.7291666666666666</v>
      </c>
      <c r="H2481" s="83">
        <v>0.375</v>
      </c>
      <c r="I2481" s="84">
        <v>44251.0</v>
      </c>
      <c r="J2481" s="65" t="b">
        <v>1</v>
      </c>
      <c r="K2481" s="65"/>
      <c r="L2481" s="85" t="b">
        <f>IF(VLOOKUP(C2481,Projetos!A:L,12,false)=TRUE,TRUE,FALSE)</f>
        <v>1</v>
      </c>
      <c r="M2481" s="74">
        <v>37.50928062469937</v>
      </c>
      <c r="N2481" s="74">
        <f t="shared" si="1"/>
        <v>337.5835256</v>
      </c>
      <c r="O2481" s="74" t="b">
        <v>1</v>
      </c>
    </row>
    <row r="2482" hidden="1">
      <c r="A2482" s="82"/>
      <c r="B2482" s="65" t="s">
        <v>469</v>
      </c>
      <c r="C2482" s="65" t="s">
        <v>118</v>
      </c>
      <c r="D2482" s="65" t="str">
        <f>vlookup(C2482,'Classificação p pessoal'!F:G,2,false)</f>
        <v>MProduto</v>
      </c>
      <c r="E2482" s="65" t="s">
        <v>1598</v>
      </c>
      <c r="F2482" s="83">
        <v>0.3541666666666667</v>
      </c>
      <c r="G2482" s="83">
        <v>0.7291666666666666</v>
      </c>
      <c r="H2482" s="83">
        <v>0.375</v>
      </c>
      <c r="I2482" s="84">
        <v>44252.0</v>
      </c>
      <c r="J2482" s="65" t="b">
        <v>1</v>
      </c>
      <c r="K2482" s="65"/>
      <c r="L2482" s="85" t="b">
        <f>IF(VLOOKUP(C2482,Projetos!A:L,12,false)=TRUE,TRUE,FALSE)</f>
        <v>1</v>
      </c>
      <c r="M2482" s="74">
        <v>37.50928062469937</v>
      </c>
      <c r="N2482" s="74">
        <f t="shared" si="1"/>
        <v>337.5835256</v>
      </c>
      <c r="O2482" s="74" t="b">
        <v>1</v>
      </c>
    </row>
    <row r="2483" hidden="1">
      <c r="A2483" s="82"/>
      <c r="B2483" s="65" t="s">
        <v>469</v>
      </c>
      <c r="C2483" s="65" t="s">
        <v>118</v>
      </c>
      <c r="D2483" s="65" t="str">
        <f>vlookup(C2483,'Classificação p pessoal'!F:G,2,false)</f>
        <v>MProduto</v>
      </c>
      <c r="E2483" s="65" t="s">
        <v>1598</v>
      </c>
      <c r="F2483" s="83">
        <v>0.3541666666666667</v>
      </c>
      <c r="G2483" s="83">
        <v>0.7291666666666666</v>
      </c>
      <c r="H2483" s="83">
        <v>0.375</v>
      </c>
      <c r="I2483" s="84">
        <v>44253.0</v>
      </c>
      <c r="J2483" s="65" t="b">
        <v>1</v>
      </c>
      <c r="K2483" s="65"/>
      <c r="L2483" s="85" t="b">
        <f>IF(VLOOKUP(C2483,Projetos!A:L,12,false)=TRUE,TRUE,FALSE)</f>
        <v>1</v>
      </c>
      <c r="M2483" s="74">
        <v>37.50928062469937</v>
      </c>
      <c r="N2483" s="74">
        <f t="shared" si="1"/>
        <v>337.5835256</v>
      </c>
      <c r="O2483" s="74" t="b">
        <v>1</v>
      </c>
    </row>
    <row r="2484" hidden="1">
      <c r="A2484" s="82"/>
      <c r="B2484" s="65" t="s">
        <v>177</v>
      </c>
      <c r="C2484" s="65" t="s">
        <v>122</v>
      </c>
      <c r="D2484" s="65"/>
      <c r="E2484" s="65" t="s">
        <v>1608</v>
      </c>
      <c r="F2484" s="83">
        <v>0.4583333333333333</v>
      </c>
      <c r="G2484" s="83">
        <v>0.5</v>
      </c>
      <c r="H2484" s="83">
        <v>0.041666666666666664</v>
      </c>
      <c r="I2484" s="84">
        <v>44505.0</v>
      </c>
      <c r="J2484" s="65" t="b">
        <v>0</v>
      </c>
      <c r="K2484" s="65" t="s">
        <v>150</v>
      </c>
      <c r="L2484" s="85" t="b">
        <f>IF(VLOOKUP(C2484,Projetos!A:L,12,false)=TRUE,TRUE,FALSE)</f>
        <v>1</v>
      </c>
      <c r="M2484" s="74">
        <v>31.02923620430495</v>
      </c>
      <c r="N2484" s="74">
        <f t="shared" si="1"/>
        <v>0</v>
      </c>
      <c r="O2484" s="74" t="b">
        <v>1</v>
      </c>
    </row>
    <row r="2485" hidden="1">
      <c r="A2485" s="82"/>
      <c r="B2485" s="65" t="s">
        <v>469</v>
      </c>
      <c r="C2485" s="65" t="s">
        <v>118</v>
      </c>
      <c r="D2485" s="65" t="str">
        <f>vlookup(C2485,'Classificação p pessoal'!F:G,2,false)</f>
        <v>MProduto</v>
      </c>
      <c r="E2485" s="65" t="s">
        <v>1609</v>
      </c>
      <c r="F2485" s="83">
        <v>0.3541666666666667</v>
      </c>
      <c r="G2485" s="83">
        <v>0.75</v>
      </c>
      <c r="H2485" s="83">
        <v>0.3958333333333333</v>
      </c>
      <c r="I2485" s="84">
        <v>44257.0</v>
      </c>
      <c r="J2485" s="65" t="b">
        <v>1</v>
      </c>
      <c r="K2485" s="65"/>
      <c r="L2485" s="85" t="b">
        <f>IF(VLOOKUP(C2485,Projetos!A:L,12,false)=TRUE,TRUE,FALSE)</f>
        <v>1</v>
      </c>
      <c r="M2485" s="74">
        <v>37.50928062469937</v>
      </c>
      <c r="N2485" s="74">
        <f t="shared" si="1"/>
        <v>356.3381659</v>
      </c>
      <c r="O2485" s="74" t="b">
        <v>1</v>
      </c>
    </row>
    <row r="2486" hidden="1">
      <c r="A2486" s="82"/>
      <c r="B2486" s="65" t="s">
        <v>469</v>
      </c>
      <c r="C2486" s="65" t="s">
        <v>118</v>
      </c>
      <c r="D2486" s="65" t="str">
        <f>vlookup(C2486,'Classificação p pessoal'!F:G,2,false)</f>
        <v>MProduto</v>
      </c>
      <c r="E2486" s="65" t="s">
        <v>1598</v>
      </c>
      <c r="F2486" s="83">
        <v>0.3541666666666667</v>
      </c>
      <c r="G2486" s="83">
        <v>0.7291666666666666</v>
      </c>
      <c r="H2486" s="83">
        <v>0.375</v>
      </c>
      <c r="I2486" s="84">
        <v>44258.0</v>
      </c>
      <c r="J2486" s="65" t="b">
        <v>1</v>
      </c>
      <c r="K2486" s="65"/>
      <c r="L2486" s="85" t="b">
        <f>IF(VLOOKUP(C2486,Projetos!A:L,12,false)=TRUE,TRUE,FALSE)</f>
        <v>1</v>
      </c>
      <c r="M2486" s="74">
        <v>37.50928062469937</v>
      </c>
      <c r="N2486" s="74">
        <f t="shared" si="1"/>
        <v>337.5835256</v>
      </c>
      <c r="O2486" s="74" t="b">
        <v>1</v>
      </c>
    </row>
    <row r="2487" hidden="1">
      <c r="A2487" s="82"/>
      <c r="B2487" s="65" t="s">
        <v>469</v>
      </c>
      <c r="C2487" s="65" t="s">
        <v>118</v>
      </c>
      <c r="D2487" s="65" t="str">
        <f>vlookup(C2487,'Classificação p pessoal'!F:G,2,false)</f>
        <v>MProduto</v>
      </c>
      <c r="E2487" s="65" t="s">
        <v>1598</v>
      </c>
      <c r="F2487" s="83">
        <v>0.3541666666666667</v>
      </c>
      <c r="G2487" s="83">
        <v>0.7291666666666666</v>
      </c>
      <c r="H2487" s="83">
        <v>0.375</v>
      </c>
      <c r="I2487" s="84">
        <v>44259.0</v>
      </c>
      <c r="J2487" s="65" t="b">
        <v>1</v>
      </c>
      <c r="K2487" s="65"/>
      <c r="L2487" s="85" t="b">
        <f>IF(VLOOKUP(C2487,Projetos!A:L,12,false)=TRUE,TRUE,FALSE)</f>
        <v>1</v>
      </c>
      <c r="M2487" s="74">
        <v>37.50928062469937</v>
      </c>
      <c r="N2487" s="74">
        <f t="shared" si="1"/>
        <v>337.5835256</v>
      </c>
      <c r="O2487" s="74" t="b">
        <v>1</v>
      </c>
    </row>
    <row r="2488" hidden="1">
      <c r="A2488" s="82"/>
      <c r="B2488" s="65" t="s">
        <v>469</v>
      </c>
      <c r="C2488" s="65" t="s">
        <v>106</v>
      </c>
      <c r="D2488" s="65"/>
      <c r="E2488" s="65" t="s">
        <v>1610</v>
      </c>
      <c r="F2488" s="83">
        <v>0.3541666666666667</v>
      </c>
      <c r="G2488" s="83">
        <v>0.3819444444444444</v>
      </c>
      <c r="H2488" s="83">
        <v>0.027777777777777776</v>
      </c>
      <c r="I2488" s="84">
        <v>44259.0</v>
      </c>
      <c r="J2488" s="65" t="b">
        <v>0</v>
      </c>
      <c r="K2488" s="65" t="s">
        <v>150</v>
      </c>
      <c r="L2488" s="85" t="b">
        <f>IF(VLOOKUP(C2488,Projetos!A:L,12,false)=TRUE,TRUE,FALSE)</f>
        <v>1</v>
      </c>
      <c r="M2488" s="74">
        <v>37.50928062469937</v>
      </c>
      <c r="N2488" s="74">
        <f t="shared" si="1"/>
        <v>0</v>
      </c>
      <c r="O2488" s="74" t="b">
        <v>1</v>
      </c>
    </row>
    <row r="2489" hidden="1">
      <c r="A2489" s="82"/>
      <c r="B2489" s="65" t="s">
        <v>469</v>
      </c>
      <c r="C2489" s="65" t="s">
        <v>118</v>
      </c>
      <c r="D2489" s="65" t="str">
        <f>vlookup(C2489,'Classificação p pessoal'!F:G,2,false)</f>
        <v>MProduto</v>
      </c>
      <c r="E2489" s="65" t="s">
        <v>1598</v>
      </c>
      <c r="F2489" s="83">
        <v>0.4166666666666667</v>
      </c>
      <c r="G2489" s="83">
        <v>0.7291666666666666</v>
      </c>
      <c r="H2489" s="83">
        <v>0.3125</v>
      </c>
      <c r="I2489" s="84">
        <v>44260.0</v>
      </c>
      <c r="J2489" s="65" t="b">
        <v>1</v>
      </c>
      <c r="K2489" s="65"/>
      <c r="L2489" s="85" t="b">
        <f>IF(VLOOKUP(C2489,Projetos!A:L,12,false)=TRUE,TRUE,FALSE)</f>
        <v>1</v>
      </c>
      <c r="M2489" s="74">
        <v>37.50928062469937</v>
      </c>
      <c r="N2489" s="74">
        <f t="shared" si="1"/>
        <v>281.3196047</v>
      </c>
      <c r="O2489" s="74" t="b">
        <v>1</v>
      </c>
    </row>
    <row r="2490" hidden="1">
      <c r="A2490" s="82"/>
      <c r="B2490" s="65" t="s">
        <v>469</v>
      </c>
      <c r="C2490" s="65" t="s">
        <v>132</v>
      </c>
      <c r="D2490" s="65"/>
      <c r="E2490" s="65" t="s">
        <v>1611</v>
      </c>
      <c r="F2490" s="83">
        <v>0.34375</v>
      </c>
      <c r="G2490" s="83">
        <v>0.7083333333333334</v>
      </c>
      <c r="H2490" s="83">
        <v>0.3645833333333333</v>
      </c>
      <c r="I2490" s="84">
        <v>44263.0</v>
      </c>
      <c r="J2490" s="65" t="b">
        <v>1</v>
      </c>
      <c r="K2490" s="65"/>
      <c r="L2490" s="85" t="b">
        <f>IF(VLOOKUP(C2490,Projetos!A:L,12,false)=TRUE,TRUE,FALSE)</f>
        <v>0</v>
      </c>
      <c r="M2490" s="74">
        <v>37.50928062469937</v>
      </c>
      <c r="N2490" s="74">
        <f t="shared" si="1"/>
        <v>0</v>
      </c>
      <c r="O2490" s="74" t="b">
        <v>0</v>
      </c>
    </row>
    <row r="2491" hidden="1">
      <c r="A2491" s="82"/>
      <c r="B2491" s="65" t="s">
        <v>469</v>
      </c>
      <c r="C2491" s="65" t="s">
        <v>132</v>
      </c>
      <c r="D2491" s="65"/>
      <c r="E2491" s="65" t="s">
        <v>1611</v>
      </c>
      <c r="F2491" s="83">
        <v>0.34375</v>
      </c>
      <c r="G2491" s="83">
        <v>0.7083333333333334</v>
      </c>
      <c r="H2491" s="83">
        <v>0.3645833333333333</v>
      </c>
      <c r="I2491" s="84">
        <v>44264.0</v>
      </c>
      <c r="J2491" s="65" t="b">
        <v>1</v>
      </c>
      <c r="K2491" s="65"/>
      <c r="L2491" s="85" t="b">
        <f>IF(VLOOKUP(C2491,Projetos!A:L,12,false)=TRUE,TRUE,FALSE)</f>
        <v>0</v>
      </c>
      <c r="M2491" s="74">
        <v>37.50928062469937</v>
      </c>
      <c r="N2491" s="74">
        <f t="shared" si="1"/>
        <v>0</v>
      </c>
      <c r="O2491" s="74" t="b">
        <v>0</v>
      </c>
    </row>
    <row r="2492" hidden="1">
      <c r="A2492" s="82"/>
      <c r="B2492" s="65" t="s">
        <v>469</v>
      </c>
      <c r="C2492" s="65" t="s">
        <v>132</v>
      </c>
      <c r="D2492" s="65"/>
      <c r="E2492" s="65" t="s">
        <v>1611</v>
      </c>
      <c r="F2492" s="83">
        <v>0.34375</v>
      </c>
      <c r="G2492" s="83">
        <v>0.7083333333333334</v>
      </c>
      <c r="H2492" s="83">
        <v>0.3645833333333333</v>
      </c>
      <c r="I2492" s="84">
        <v>44265.0</v>
      </c>
      <c r="J2492" s="65" t="b">
        <v>1</v>
      </c>
      <c r="K2492" s="65"/>
      <c r="L2492" s="85" t="b">
        <f>IF(VLOOKUP(C2492,Projetos!A:L,12,false)=TRUE,TRUE,FALSE)</f>
        <v>0</v>
      </c>
      <c r="M2492" s="74">
        <v>37.50928062469937</v>
      </c>
      <c r="N2492" s="74">
        <f t="shared" si="1"/>
        <v>0</v>
      </c>
      <c r="O2492" s="74" t="b">
        <v>0</v>
      </c>
    </row>
    <row r="2493" hidden="1">
      <c r="A2493" s="82"/>
      <c r="B2493" s="65" t="s">
        <v>469</v>
      </c>
      <c r="C2493" s="65" t="s">
        <v>132</v>
      </c>
      <c r="D2493" s="65"/>
      <c r="E2493" s="65" t="s">
        <v>1612</v>
      </c>
      <c r="F2493" s="83">
        <v>0.34375</v>
      </c>
      <c r="G2493" s="83">
        <v>0.7083333333333334</v>
      </c>
      <c r="H2493" s="83">
        <v>0.3645833333333333</v>
      </c>
      <c r="I2493" s="84">
        <v>44266.0</v>
      </c>
      <c r="J2493" s="65" t="b">
        <v>1</v>
      </c>
      <c r="K2493" s="65"/>
      <c r="L2493" s="85" t="b">
        <f>IF(VLOOKUP(C2493,Projetos!A:L,12,false)=TRUE,TRUE,FALSE)</f>
        <v>0</v>
      </c>
      <c r="M2493" s="74">
        <v>37.50928062469937</v>
      </c>
      <c r="N2493" s="74">
        <f t="shared" si="1"/>
        <v>0</v>
      </c>
      <c r="O2493" s="74" t="b">
        <v>0</v>
      </c>
    </row>
    <row r="2494" hidden="1">
      <c r="A2494" s="82"/>
      <c r="B2494" s="65" t="s">
        <v>469</v>
      </c>
      <c r="C2494" s="65" t="s">
        <v>132</v>
      </c>
      <c r="D2494" s="65"/>
      <c r="E2494" s="65" t="s">
        <v>1612</v>
      </c>
      <c r="F2494" s="83">
        <v>0.34375</v>
      </c>
      <c r="G2494" s="83">
        <v>0.7083333333333334</v>
      </c>
      <c r="H2494" s="83">
        <v>0.3645833333333333</v>
      </c>
      <c r="I2494" s="84">
        <v>44267.0</v>
      </c>
      <c r="J2494" s="65" t="b">
        <v>1</v>
      </c>
      <c r="K2494" s="65"/>
      <c r="L2494" s="85" t="b">
        <f>IF(VLOOKUP(C2494,Projetos!A:L,12,false)=TRUE,TRUE,FALSE)</f>
        <v>0</v>
      </c>
      <c r="M2494" s="74">
        <v>37.50928062469937</v>
      </c>
      <c r="N2494" s="74">
        <f t="shared" si="1"/>
        <v>0</v>
      </c>
      <c r="O2494" s="74" t="b">
        <v>0</v>
      </c>
    </row>
    <row r="2495" hidden="1">
      <c r="A2495" s="82"/>
      <c r="B2495" s="65" t="s">
        <v>411</v>
      </c>
      <c r="C2495" s="65" t="s">
        <v>125</v>
      </c>
      <c r="D2495" s="65"/>
      <c r="E2495" s="65" t="s">
        <v>1613</v>
      </c>
      <c r="F2495" s="83">
        <v>0.3958333333333333</v>
      </c>
      <c r="G2495" s="83">
        <v>0.4375</v>
      </c>
      <c r="H2495" s="83">
        <v>0.041666666666666664</v>
      </c>
      <c r="I2495" s="84">
        <v>44505.0</v>
      </c>
      <c r="J2495" s="65" t="b">
        <v>0</v>
      </c>
      <c r="K2495" s="65" t="s">
        <v>150</v>
      </c>
      <c r="L2495" s="85" t="b">
        <f>IF(VLOOKUP(C2495,Projetos!A:L,12,false)=TRUE,TRUE,FALSE)</f>
        <v>1</v>
      </c>
      <c r="M2495" s="74">
        <v>52.48434411075036</v>
      </c>
      <c r="N2495" s="74">
        <f t="shared" si="1"/>
        <v>0</v>
      </c>
      <c r="O2495" s="74" t="b">
        <v>1</v>
      </c>
    </row>
    <row r="2496" hidden="1">
      <c r="A2496" s="82"/>
      <c r="B2496" s="65" t="s">
        <v>177</v>
      </c>
      <c r="C2496" s="65" t="s">
        <v>118</v>
      </c>
      <c r="D2496" s="65"/>
      <c r="E2496" s="65" t="s">
        <v>1614</v>
      </c>
      <c r="F2496" s="83">
        <v>0.5833333333333334</v>
      </c>
      <c r="G2496" s="83">
        <v>0.6041666666666666</v>
      </c>
      <c r="H2496" s="83">
        <v>0.020833333333333332</v>
      </c>
      <c r="I2496" s="84">
        <v>44425.0</v>
      </c>
      <c r="J2496" s="65" t="b">
        <v>0</v>
      </c>
      <c r="K2496" s="65" t="s">
        <v>150</v>
      </c>
      <c r="L2496" s="85" t="b">
        <f>IF(VLOOKUP(C2496,Projetos!A:L,12,false)=TRUE,TRUE,FALSE)</f>
        <v>1</v>
      </c>
      <c r="M2496" s="74">
        <v>31.02923620430495</v>
      </c>
      <c r="N2496" s="74">
        <f t="shared" si="1"/>
        <v>0</v>
      </c>
      <c r="O2496" s="74" t="b">
        <v>1</v>
      </c>
    </row>
    <row r="2497">
      <c r="A2497" s="82"/>
      <c r="B2497" s="65" t="s">
        <v>469</v>
      </c>
      <c r="C2497" s="65" t="s">
        <v>118</v>
      </c>
      <c r="D2497" s="65" t="str">
        <f>vlookup(C2497,'Classificação p pessoal'!F:G,2,false)</f>
        <v>MProduto</v>
      </c>
      <c r="E2497" s="65" t="s">
        <v>1615</v>
      </c>
      <c r="F2497" s="83">
        <v>0.5416666666666666</v>
      </c>
      <c r="G2497" s="83">
        <v>0.6875</v>
      </c>
      <c r="H2497" s="83">
        <v>0.14583333333333334</v>
      </c>
      <c r="I2497" s="84">
        <v>44280.0</v>
      </c>
      <c r="J2497" s="65" t="b">
        <v>1</v>
      </c>
      <c r="K2497" s="65"/>
      <c r="L2497" s="85" t="b">
        <f>IF(VLOOKUP(C2497,Projetos!A:L,12,false)=TRUE,TRUE,FALSE)</f>
        <v>1</v>
      </c>
      <c r="M2497" s="74">
        <v>37.50928062469937</v>
      </c>
      <c r="N2497" s="74">
        <f t="shared" si="1"/>
        <v>131.2824822</v>
      </c>
      <c r="O2497" s="74" t="b">
        <v>1</v>
      </c>
    </row>
    <row r="2498" hidden="1">
      <c r="A2498" s="82"/>
      <c r="B2498" s="65" t="s">
        <v>469</v>
      </c>
      <c r="C2498" s="65" t="s">
        <v>118</v>
      </c>
      <c r="D2498" s="65" t="str">
        <f>vlookup(C2498,'Classificação p pessoal'!F:G,2,false)</f>
        <v>MProduto</v>
      </c>
      <c r="E2498" s="65" t="s">
        <v>1616</v>
      </c>
      <c r="F2498" s="83">
        <v>0.3541666666666667</v>
      </c>
      <c r="G2498" s="83">
        <v>0.5</v>
      </c>
      <c r="H2498" s="83">
        <v>0.14583333333333334</v>
      </c>
      <c r="I2498" s="84">
        <v>44281.0</v>
      </c>
      <c r="J2498" s="65" t="b">
        <v>1</v>
      </c>
      <c r="K2498" s="65"/>
      <c r="L2498" s="85" t="b">
        <f>IF(VLOOKUP(C2498,Projetos!A:L,12,false)=TRUE,TRUE,FALSE)</f>
        <v>1</v>
      </c>
      <c r="M2498" s="74">
        <v>37.50928062469937</v>
      </c>
      <c r="N2498" s="74">
        <f t="shared" si="1"/>
        <v>131.2824822</v>
      </c>
      <c r="O2498" s="74" t="b">
        <v>1</v>
      </c>
    </row>
    <row r="2499" hidden="1">
      <c r="A2499" s="82"/>
      <c r="B2499" s="65" t="s">
        <v>469</v>
      </c>
      <c r="C2499" s="65" t="s">
        <v>92</v>
      </c>
      <c r="D2499" s="65" t="str">
        <f>vlookup(C2499,'Classificação p pessoal'!F:G,2,false)</f>
        <v/>
      </c>
      <c r="E2499" s="65" t="s">
        <v>1617</v>
      </c>
      <c r="F2499" s="83">
        <v>0.375</v>
      </c>
      <c r="G2499" s="83">
        <v>0.4166666666666667</v>
      </c>
      <c r="H2499" s="83">
        <v>0.041666666666666664</v>
      </c>
      <c r="I2499" s="84">
        <v>44281.0</v>
      </c>
      <c r="J2499" s="65" t="b">
        <v>1</v>
      </c>
      <c r="K2499" s="65"/>
      <c r="L2499" s="85" t="b">
        <f>IF(VLOOKUP(C2499,Projetos!A:L,12,false)=TRUE,TRUE,FALSE)</f>
        <v>1</v>
      </c>
      <c r="M2499" s="74">
        <v>37.50928062469937</v>
      </c>
      <c r="N2499" s="74">
        <f t="shared" si="1"/>
        <v>37.50928062</v>
      </c>
      <c r="O2499" s="74" t="b">
        <v>1</v>
      </c>
    </row>
    <row r="2500" hidden="1">
      <c r="A2500" s="82"/>
      <c r="B2500" s="65" t="s">
        <v>469</v>
      </c>
      <c r="C2500" s="65" t="s">
        <v>105</v>
      </c>
      <c r="D2500" s="65" t="str">
        <f>vlookup(C2500,'Classificação p pessoal'!F:G,2,false)</f>
        <v>NP</v>
      </c>
      <c r="E2500" s="65" t="s">
        <v>1618</v>
      </c>
      <c r="F2500" s="83">
        <v>0.4166666666666667</v>
      </c>
      <c r="G2500" s="83">
        <v>0.4583333333333333</v>
      </c>
      <c r="H2500" s="83">
        <v>0.041666666666666664</v>
      </c>
      <c r="I2500" s="84">
        <v>44281.0</v>
      </c>
      <c r="J2500" s="65" t="b">
        <v>1</v>
      </c>
      <c r="K2500" s="65"/>
      <c r="L2500" s="85" t="b">
        <f>IF(VLOOKUP(C2500,Projetos!A:L,12,false)=TRUE,TRUE,FALSE)</f>
        <v>1</v>
      </c>
      <c r="M2500" s="74">
        <v>37.50928062469937</v>
      </c>
      <c r="N2500" s="74">
        <f t="shared" si="1"/>
        <v>37.50928062</v>
      </c>
      <c r="O2500" s="74" t="b">
        <v>1</v>
      </c>
    </row>
    <row r="2501" hidden="1">
      <c r="A2501" s="82"/>
      <c r="B2501" s="65" t="s">
        <v>469</v>
      </c>
      <c r="C2501" s="65" t="s">
        <v>108</v>
      </c>
      <c r="D2501" s="65" t="str">
        <f>vlookup(C2501,'Classificação p pessoal'!F:G,2,false)</f>
        <v>NP</v>
      </c>
      <c r="E2501" s="65" t="s">
        <v>1619</v>
      </c>
      <c r="F2501" s="83">
        <v>0.375</v>
      </c>
      <c r="G2501" s="83">
        <v>0.625</v>
      </c>
      <c r="H2501" s="83">
        <v>0.25</v>
      </c>
      <c r="I2501" s="84">
        <v>44285.0</v>
      </c>
      <c r="J2501" s="65" t="b">
        <v>1</v>
      </c>
      <c r="K2501" s="65"/>
      <c r="L2501" s="85" t="b">
        <f>IF(VLOOKUP(C2501,Projetos!A:L,12,false)=TRUE,TRUE,FALSE)</f>
        <v>1</v>
      </c>
      <c r="M2501" s="74">
        <v>37.50928062469937</v>
      </c>
      <c r="N2501" s="74">
        <f t="shared" si="1"/>
        <v>225.0556837</v>
      </c>
      <c r="O2501" s="74" t="b">
        <v>1</v>
      </c>
    </row>
    <row r="2502" hidden="1">
      <c r="A2502" s="82"/>
      <c r="B2502" s="65" t="s">
        <v>469</v>
      </c>
      <c r="C2502" s="65" t="s">
        <v>118</v>
      </c>
      <c r="D2502" s="65" t="str">
        <f>vlookup(C2502,'Classificação p pessoal'!F:G,2,false)</f>
        <v>MProduto</v>
      </c>
      <c r="E2502" s="65" t="s">
        <v>1620</v>
      </c>
      <c r="F2502" s="83">
        <v>0.625</v>
      </c>
      <c r="G2502" s="83">
        <v>0.75</v>
      </c>
      <c r="H2502" s="83">
        <v>0.125</v>
      </c>
      <c r="I2502" s="84">
        <v>44285.0</v>
      </c>
      <c r="J2502" s="65" t="b">
        <v>1</v>
      </c>
      <c r="K2502" s="65"/>
      <c r="L2502" s="85" t="b">
        <f>IF(VLOOKUP(C2502,Projetos!A:L,12,false)=TRUE,TRUE,FALSE)</f>
        <v>1</v>
      </c>
      <c r="M2502" s="74">
        <v>37.50928062469937</v>
      </c>
      <c r="N2502" s="74">
        <f t="shared" si="1"/>
        <v>112.5278419</v>
      </c>
      <c r="O2502" s="74" t="b">
        <v>1</v>
      </c>
    </row>
    <row r="2503" hidden="1">
      <c r="A2503" s="82"/>
      <c r="B2503" s="65" t="s">
        <v>469</v>
      </c>
      <c r="C2503" s="65" t="s">
        <v>101</v>
      </c>
      <c r="D2503" s="65" t="str">
        <f>vlookup(C2503,'Classificação p pessoal'!F:G,2,false)</f>
        <v>NP</v>
      </c>
      <c r="E2503" s="65" t="s">
        <v>1621</v>
      </c>
      <c r="F2503" s="83">
        <v>0.3541666666666667</v>
      </c>
      <c r="G2503" s="83">
        <v>0.4166666666666667</v>
      </c>
      <c r="H2503" s="83">
        <v>0.0625</v>
      </c>
      <c r="I2503" s="84">
        <v>44286.0</v>
      </c>
      <c r="J2503" s="65" t="b">
        <v>1</v>
      </c>
      <c r="K2503" s="65"/>
      <c r="L2503" s="85" t="b">
        <f>IF(VLOOKUP(C2503,Projetos!A:L,12,false)=TRUE,TRUE,FALSE)</f>
        <v>1</v>
      </c>
      <c r="M2503" s="74">
        <v>37.50928062469937</v>
      </c>
      <c r="N2503" s="74">
        <f t="shared" si="1"/>
        <v>56.26392094</v>
      </c>
      <c r="O2503" s="74" t="b">
        <v>1</v>
      </c>
    </row>
    <row r="2504" hidden="1">
      <c r="A2504" s="82"/>
      <c r="B2504" s="65" t="s">
        <v>469</v>
      </c>
      <c r="C2504" s="65" t="s">
        <v>118</v>
      </c>
      <c r="D2504" s="65" t="str">
        <f>vlookup(C2504,'Classificação p pessoal'!F:G,2,false)</f>
        <v>MProduto</v>
      </c>
      <c r="E2504" s="65" t="s">
        <v>1622</v>
      </c>
      <c r="F2504" s="83">
        <v>0.4166666666666667</v>
      </c>
      <c r="G2504" s="83">
        <v>0.5416666666666666</v>
      </c>
      <c r="H2504" s="83">
        <v>0.125</v>
      </c>
      <c r="I2504" s="84">
        <v>44286.0</v>
      </c>
      <c r="J2504" s="65" t="b">
        <v>1</v>
      </c>
      <c r="K2504" s="65"/>
      <c r="L2504" s="85" t="b">
        <f>IF(VLOOKUP(C2504,Projetos!A:L,12,false)=TRUE,TRUE,FALSE)</f>
        <v>1</v>
      </c>
      <c r="M2504" s="74">
        <v>37.50928062469937</v>
      </c>
      <c r="N2504" s="74">
        <f t="shared" si="1"/>
        <v>112.5278419</v>
      </c>
      <c r="O2504" s="74" t="b">
        <v>1</v>
      </c>
    </row>
    <row r="2505" hidden="1">
      <c r="A2505" s="82"/>
      <c r="B2505" s="65" t="s">
        <v>469</v>
      </c>
      <c r="C2505" s="65" t="s">
        <v>105</v>
      </c>
      <c r="D2505" s="65" t="str">
        <f>vlookup(C2505,'Classificação p pessoal'!F:G,2,false)</f>
        <v>NP</v>
      </c>
      <c r="E2505" s="65" t="s">
        <v>1623</v>
      </c>
      <c r="F2505" s="83">
        <v>0.4166666666666667</v>
      </c>
      <c r="G2505" s="83">
        <v>0.5</v>
      </c>
      <c r="H2505" s="83">
        <v>0.08333333333333333</v>
      </c>
      <c r="I2505" s="84">
        <v>44287.0</v>
      </c>
      <c r="J2505" s="65" t="b">
        <v>1</v>
      </c>
      <c r="K2505" s="65"/>
      <c r="L2505" s="85" t="b">
        <f>IF(VLOOKUP(C2505,Projetos!A:L,12,false)=TRUE,TRUE,FALSE)</f>
        <v>1</v>
      </c>
      <c r="M2505" s="74">
        <v>37.50928062469937</v>
      </c>
      <c r="N2505" s="74">
        <f t="shared" si="1"/>
        <v>75.01856125</v>
      </c>
      <c r="O2505" s="74" t="b">
        <v>1</v>
      </c>
    </row>
    <row r="2506" hidden="1">
      <c r="A2506" s="82"/>
      <c r="B2506" s="65" t="s">
        <v>469</v>
      </c>
      <c r="C2506" s="65" t="s">
        <v>118</v>
      </c>
      <c r="D2506" s="65" t="str">
        <f>vlookup(C2506,'Classificação p pessoal'!F:G,2,false)</f>
        <v>MProduto</v>
      </c>
      <c r="E2506" s="65" t="s">
        <v>1624</v>
      </c>
      <c r="F2506" s="83">
        <v>0.375</v>
      </c>
      <c r="G2506" s="83">
        <v>0.4375</v>
      </c>
      <c r="H2506" s="83">
        <v>0.0625</v>
      </c>
      <c r="I2506" s="84">
        <v>44287.0</v>
      </c>
      <c r="J2506" s="65" t="b">
        <v>1</v>
      </c>
      <c r="K2506" s="65"/>
      <c r="L2506" s="85" t="b">
        <f>IF(VLOOKUP(C2506,Projetos!A:L,12,false)=TRUE,TRUE,FALSE)</f>
        <v>1</v>
      </c>
      <c r="M2506" s="74">
        <v>37.50928062469937</v>
      </c>
      <c r="N2506" s="74">
        <f t="shared" si="1"/>
        <v>56.26392094</v>
      </c>
      <c r="O2506" s="74" t="b">
        <v>1</v>
      </c>
    </row>
    <row r="2507" hidden="1">
      <c r="A2507" s="82"/>
      <c r="B2507" s="65" t="s">
        <v>469</v>
      </c>
      <c r="C2507" s="65" t="s">
        <v>118</v>
      </c>
      <c r="D2507" s="65" t="str">
        <f>vlookup(C2507,'Classificação p pessoal'!F:G,2,false)</f>
        <v>MProduto</v>
      </c>
      <c r="E2507" s="65" t="s">
        <v>1625</v>
      </c>
      <c r="F2507" s="83">
        <v>0.4027777777777778</v>
      </c>
      <c r="G2507" s="83">
        <v>0.4722222222222222</v>
      </c>
      <c r="H2507" s="83">
        <v>0.06944444444444445</v>
      </c>
      <c r="I2507" s="84">
        <v>44288.0</v>
      </c>
      <c r="J2507" s="65" t="b">
        <v>1</v>
      </c>
      <c r="K2507" s="65"/>
      <c r="L2507" s="85" t="b">
        <f>IF(VLOOKUP(C2507,Projetos!A:L,12,false)=TRUE,TRUE,FALSE)</f>
        <v>1</v>
      </c>
      <c r="M2507" s="74">
        <v>37.50928062469937</v>
      </c>
      <c r="N2507" s="74">
        <f t="shared" si="1"/>
        <v>62.51546771</v>
      </c>
      <c r="O2507" s="74" t="b">
        <v>1</v>
      </c>
    </row>
    <row r="2508" hidden="1">
      <c r="A2508" s="82"/>
      <c r="B2508" s="65" t="s">
        <v>469</v>
      </c>
      <c r="C2508" s="65" t="s">
        <v>105</v>
      </c>
      <c r="D2508" s="65" t="str">
        <f>vlookup(C2508,'Classificação p pessoal'!F:G,2,false)</f>
        <v>NP</v>
      </c>
      <c r="E2508" s="65" t="s">
        <v>1626</v>
      </c>
      <c r="F2508" s="83">
        <v>0.34375</v>
      </c>
      <c r="G2508" s="83">
        <v>0.5833333333333334</v>
      </c>
      <c r="H2508" s="83">
        <v>0.23958333333333334</v>
      </c>
      <c r="I2508" s="84">
        <v>44291.0</v>
      </c>
      <c r="J2508" s="65" t="b">
        <v>1</v>
      </c>
      <c r="K2508" s="65"/>
      <c r="L2508" s="85" t="b">
        <f>IF(VLOOKUP(C2508,Projetos!A:L,12,false)=TRUE,TRUE,FALSE)</f>
        <v>1</v>
      </c>
      <c r="M2508" s="74">
        <v>37.50928062469937</v>
      </c>
      <c r="N2508" s="74">
        <f t="shared" si="1"/>
        <v>215.6783636</v>
      </c>
      <c r="O2508" s="74" t="b">
        <v>1</v>
      </c>
    </row>
    <row r="2509" hidden="1">
      <c r="A2509" s="82"/>
      <c r="B2509" s="65" t="s">
        <v>469</v>
      </c>
      <c r="C2509" s="65" t="s">
        <v>118</v>
      </c>
      <c r="D2509" s="65" t="str">
        <f>vlookup(C2509,'Classificação p pessoal'!F:G,2,false)</f>
        <v>MProduto</v>
      </c>
      <c r="E2509" s="65" t="s">
        <v>1627</v>
      </c>
      <c r="F2509" s="83">
        <v>0.375</v>
      </c>
      <c r="G2509" s="83">
        <v>0.4791666666666667</v>
      </c>
      <c r="H2509" s="83">
        <v>0.10416666666666667</v>
      </c>
      <c r="I2509" s="84">
        <v>44291.0</v>
      </c>
      <c r="J2509" s="65" t="b">
        <v>1</v>
      </c>
      <c r="K2509" s="65"/>
      <c r="L2509" s="85" t="b">
        <f>IF(VLOOKUP(C2509,Projetos!A:L,12,false)=TRUE,TRUE,FALSE)</f>
        <v>1</v>
      </c>
      <c r="M2509" s="74">
        <v>37.50928062469937</v>
      </c>
      <c r="N2509" s="74">
        <f t="shared" si="1"/>
        <v>93.77320156</v>
      </c>
      <c r="O2509" s="74" t="b">
        <v>1</v>
      </c>
    </row>
    <row r="2510" hidden="1">
      <c r="A2510" s="82"/>
      <c r="B2510" s="65" t="s">
        <v>469</v>
      </c>
      <c r="C2510" s="65" t="s">
        <v>118</v>
      </c>
      <c r="D2510" s="65" t="str">
        <f>vlookup(C2510,'Classificação p pessoal'!F:G,2,false)</f>
        <v>MProduto</v>
      </c>
      <c r="E2510" s="65" t="s">
        <v>1628</v>
      </c>
      <c r="F2510" s="83">
        <v>0.3333333333333333</v>
      </c>
      <c r="G2510" s="83">
        <v>0.6458333333333334</v>
      </c>
      <c r="H2510" s="83">
        <v>0.3125</v>
      </c>
      <c r="I2510" s="84">
        <v>44292.0</v>
      </c>
      <c r="J2510" s="65" t="b">
        <v>1</v>
      </c>
      <c r="K2510" s="65"/>
      <c r="L2510" s="85" t="b">
        <f>IF(VLOOKUP(C2510,Projetos!A:L,12,false)=TRUE,TRUE,FALSE)</f>
        <v>1</v>
      </c>
      <c r="M2510" s="74">
        <v>37.50928062469937</v>
      </c>
      <c r="N2510" s="74">
        <f t="shared" si="1"/>
        <v>281.3196047</v>
      </c>
      <c r="O2510" s="74" t="b">
        <v>1</v>
      </c>
    </row>
    <row r="2511" hidden="1">
      <c r="A2511" s="82"/>
      <c r="B2511" s="65" t="s">
        <v>469</v>
      </c>
      <c r="C2511" s="65" t="s">
        <v>106</v>
      </c>
      <c r="D2511" s="65" t="str">
        <f>vlookup(C2511,'Classificação p pessoal'!F:G,2,false)</f>
        <v>MProcesso</v>
      </c>
      <c r="E2511" s="65" t="s">
        <v>1629</v>
      </c>
      <c r="F2511" s="83">
        <v>0.5833333333333334</v>
      </c>
      <c r="G2511" s="83">
        <v>0.625</v>
      </c>
      <c r="H2511" s="83">
        <v>0.041666666666666664</v>
      </c>
      <c r="I2511" s="84">
        <v>44292.0</v>
      </c>
      <c r="J2511" s="65" t="b">
        <v>1</v>
      </c>
      <c r="K2511" s="65"/>
      <c r="L2511" s="85" t="b">
        <f>IF(VLOOKUP(C2511,Projetos!A:L,12,false)=TRUE,TRUE,FALSE)</f>
        <v>1</v>
      </c>
      <c r="M2511" s="74">
        <v>37.50928062469937</v>
      </c>
      <c r="N2511" s="74">
        <f t="shared" si="1"/>
        <v>37.50928062</v>
      </c>
      <c r="O2511" s="74" t="b">
        <v>1</v>
      </c>
    </row>
    <row r="2512" hidden="1">
      <c r="A2512" s="82"/>
      <c r="B2512" s="65" t="s">
        <v>469</v>
      </c>
      <c r="C2512" s="65" t="s">
        <v>118</v>
      </c>
      <c r="D2512" s="65" t="str">
        <f>vlookup(C2512,'Classificação p pessoal'!F:G,2,false)</f>
        <v>MProduto</v>
      </c>
      <c r="E2512" s="65" t="s">
        <v>1628</v>
      </c>
      <c r="F2512" s="83">
        <v>0.3958333333333333</v>
      </c>
      <c r="G2512" s="83">
        <v>0.625</v>
      </c>
      <c r="H2512" s="83">
        <v>0.22916666666666666</v>
      </c>
      <c r="I2512" s="84">
        <v>44293.0</v>
      </c>
      <c r="J2512" s="65" t="b">
        <v>1</v>
      </c>
      <c r="K2512" s="65"/>
      <c r="L2512" s="85" t="b">
        <f>IF(VLOOKUP(C2512,Projetos!A:L,12,false)=TRUE,TRUE,FALSE)</f>
        <v>1</v>
      </c>
      <c r="M2512" s="74">
        <v>37.50928062469937</v>
      </c>
      <c r="N2512" s="74">
        <f t="shared" si="1"/>
        <v>206.3010434</v>
      </c>
      <c r="O2512" s="74" t="b">
        <v>1</v>
      </c>
    </row>
    <row r="2513" hidden="1">
      <c r="A2513" s="82"/>
      <c r="B2513" s="65" t="s">
        <v>469</v>
      </c>
      <c r="C2513" s="65" t="s">
        <v>118</v>
      </c>
      <c r="D2513" s="65" t="str">
        <f>vlookup(C2513,'Classificação p pessoal'!F:G,2,false)</f>
        <v>MProduto</v>
      </c>
      <c r="E2513" s="65" t="s">
        <v>1628</v>
      </c>
      <c r="F2513" s="83">
        <v>0.3333333333333333</v>
      </c>
      <c r="G2513" s="83">
        <v>0.6111111111111112</v>
      </c>
      <c r="H2513" s="83">
        <v>0.2777777777777778</v>
      </c>
      <c r="I2513" s="84">
        <v>44294.0</v>
      </c>
      <c r="J2513" s="65" t="b">
        <v>1</v>
      </c>
      <c r="K2513" s="65"/>
      <c r="L2513" s="85" t="b">
        <f>IF(VLOOKUP(C2513,Projetos!A:L,12,false)=TRUE,TRUE,FALSE)</f>
        <v>1</v>
      </c>
      <c r="M2513" s="74">
        <v>37.50928062469937</v>
      </c>
      <c r="N2513" s="74">
        <f t="shared" si="1"/>
        <v>250.0618708</v>
      </c>
      <c r="O2513" s="74" t="b">
        <v>1</v>
      </c>
    </row>
    <row r="2514" hidden="1">
      <c r="A2514" s="82"/>
      <c r="B2514" s="65" t="s">
        <v>469</v>
      </c>
      <c r="C2514" s="65" t="s">
        <v>118</v>
      </c>
      <c r="D2514" s="65" t="str">
        <f>vlookup(C2514,'Classificação p pessoal'!F:G,2,false)</f>
        <v>MProduto</v>
      </c>
      <c r="E2514" s="65" t="s">
        <v>1628</v>
      </c>
      <c r="F2514" s="83">
        <v>0.3888888888888889</v>
      </c>
      <c r="G2514" s="83">
        <v>0.7083333333333334</v>
      </c>
      <c r="H2514" s="83">
        <v>0.3194444444444444</v>
      </c>
      <c r="I2514" s="84">
        <v>44295.0</v>
      </c>
      <c r="J2514" s="65" t="b">
        <v>1</v>
      </c>
      <c r="K2514" s="65"/>
      <c r="L2514" s="85" t="b">
        <f>IF(VLOOKUP(C2514,Projetos!A:L,12,false)=TRUE,TRUE,FALSE)</f>
        <v>1</v>
      </c>
      <c r="M2514" s="74">
        <v>37.50928062469937</v>
      </c>
      <c r="N2514" s="74">
        <f t="shared" si="1"/>
        <v>287.5711515</v>
      </c>
      <c r="O2514" s="74" t="b">
        <v>1</v>
      </c>
    </row>
    <row r="2515" hidden="1">
      <c r="A2515" s="82"/>
      <c r="B2515" s="65" t="s">
        <v>469</v>
      </c>
      <c r="C2515" s="65" t="s">
        <v>107</v>
      </c>
      <c r="D2515" s="65" t="str">
        <f>vlookup(C2515,'Classificação p pessoal'!F:G,2,false)</f>
        <v>NP</v>
      </c>
      <c r="E2515" s="65" t="s">
        <v>1630</v>
      </c>
      <c r="F2515" s="83">
        <v>0.34375</v>
      </c>
      <c r="G2515" s="83">
        <v>0.5833333333333334</v>
      </c>
      <c r="H2515" s="83">
        <v>0.23958333333333334</v>
      </c>
      <c r="I2515" s="84">
        <v>44298.0</v>
      </c>
      <c r="J2515" s="65" t="b">
        <v>1</v>
      </c>
      <c r="K2515" s="65"/>
      <c r="L2515" s="85" t="b">
        <f>IF(VLOOKUP(C2515,Projetos!A:L,12,false)=TRUE,TRUE,FALSE)</f>
        <v>1</v>
      </c>
      <c r="M2515" s="74">
        <v>37.50928062469937</v>
      </c>
      <c r="N2515" s="74">
        <f t="shared" si="1"/>
        <v>215.6783636</v>
      </c>
      <c r="O2515" s="74" t="b">
        <v>1</v>
      </c>
    </row>
    <row r="2516" hidden="1">
      <c r="A2516" s="82"/>
      <c r="B2516" s="65" t="s">
        <v>469</v>
      </c>
      <c r="C2516" s="65" t="s">
        <v>132</v>
      </c>
      <c r="D2516" s="65"/>
      <c r="E2516" s="65" t="s">
        <v>1631</v>
      </c>
      <c r="F2516" s="83">
        <v>0.34375</v>
      </c>
      <c r="G2516" s="83">
        <v>0.75</v>
      </c>
      <c r="H2516" s="83">
        <v>0.40625</v>
      </c>
      <c r="I2516" s="84">
        <v>44299.0</v>
      </c>
      <c r="J2516" s="65" t="b">
        <v>1</v>
      </c>
      <c r="K2516" s="65"/>
      <c r="L2516" s="85" t="b">
        <f>IF(VLOOKUP(C2516,Projetos!A:L,12,false)=TRUE,TRUE,FALSE)</f>
        <v>0</v>
      </c>
      <c r="M2516" s="74">
        <v>37.50928062469937</v>
      </c>
      <c r="N2516" s="74">
        <f t="shared" si="1"/>
        <v>0</v>
      </c>
      <c r="O2516" s="74" t="b">
        <v>0</v>
      </c>
    </row>
    <row r="2517" hidden="1">
      <c r="A2517" s="82"/>
      <c r="B2517" s="65" t="s">
        <v>469</v>
      </c>
      <c r="C2517" s="65" t="s">
        <v>132</v>
      </c>
      <c r="D2517" s="65"/>
      <c r="E2517" s="65" t="s">
        <v>1631</v>
      </c>
      <c r="F2517" s="83">
        <v>0.34375</v>
      </c>
      <c r="G2517" s="83">
        <v>0.75</v>
      </c>
      <c r="H2517" s="83">
        <v>0.40625</v>
      </c>
      <c r="I2517" s="84">
        <v>44300.0</v>
      </c>
      <c r="J2517" s="65" t="b">
        <v>1</v>
      </c>
      <c r="K2517" s="65"/>
      <c r="L2517" s="85" t="b">
        <f>IF(VLOOKUP(C2517,Projetos!A:L,12,false)=TRUE,TRUE,FALSE)</f>
        <v>0</v>
      </c>
      <c r="M2517" s="74">
        <v>37.50928062469937</v>
      </c>
      <c r="N2517" s="74">
        <f t="shared" si="1"/>
        <v>0</v>
      </c>
      <c r="O2517" s="74" t="b">
        <v>0</v>
      </c>
    </row>
    <row r="2518" hidden="1">
      <c r="A2518" s="82"/>
      <c r="B2518" s="65" t="s">
        <v>469</v>
      </c>
      <c r="C2518" s="65" t="s">
        <v>118</v>
      </c>
      <c r="D2518" s="65" t="str">
        <f>vlookup(C2518,'Classificação p pessoal'!F:G,2,false)</f>
        <v>MProduto</v>
      </c>
      <c r="E2518" s="65" t="s">
        <v>1632</v>
      </c>
      <c r="F2518" s="83">
        <v>0.34375</v>
      </c>
      <c r="G2518" s="83">
        <v>0.75</v>
      </c>
      <c r="H2518" s="83">
        <v>0.40625</v>
      </c>
      <c r="I2518" s="84">
        <v>44300.0</v>
      </c>
      <c r="J2518" s="65" t="b">
        <v>1</v>
      </c>
      <c r="K2518" s="65"/>
      <c r="L2518" s="85" t="b">
        <f>IF(VLOOKUP(C2518,Projetos!A:L,12,false)=TRUE,TRUE,FALSE)</f>
        <v>1</v>
      </c>
      <c r="M2518" s="74">
        <v>37.50928062469937</v>
      </c>
      <c r="N2518" s="74">
        <f t="shared" si="1"/>
        <v>365.7154861</v>
      </c>
      <c r="O2518" s="74" t="b">
        <v>1</v>
      </c>
    </row>
    <row r="2519" hidden="1">
      <c r="A2519" s="82"/>
      <c r="B2519" s="65" t="s">
        <v>469</v>
      </c>
      <c r="C2519" s="65" t="s">
        <v>132</v>
      </c>
      <c r="D2519" s="65"/>
      <c r="E2519" s="65" t="s">
        <v>1631</v>
      </c>
      <c r="F2519" s="83">
        <v>0.34375</v>
      </c>
      <c r="G2519" s="83">
        <v>0.75</v>
      </c>
      <c r="H2519" s="83">
        <v>0.40625</v>
      </c>
      <c r="I2519" s="84">
        <v>44301.0</v>
      </c>
      <c r="J2519" s="65" t="b">
        <v>1</v>
      </c>
      <c r="K2519" s="65"/>
      <c r="L2519" s="85" t="b">
        <f>IF(VLOOKUP(C2519,Projetos!A:L,12,false)=TRUE,TRUE,FALSE)</f>
        <v>0</v>
      </c>
      <c r="M2519" s="74">
        <v>37.50928062469937</v>
      </c>
      <c r="N2519" s="74">
        <f t="shared" si="1"/>
        <v>0</v>
      </c>
      <c r="O2519" s="74" t="b">
        <v>0</v>
      </c>
    </row>
    <row r="2520" hidden="1">
      <c r="A2520" s="82"/>
      <c r="B2520" s="65" t="s">
        <v>469</v>
      </c>
      <c r="C2520" s="65" t="s">
        <v>118</v>
      </c>
      <c r="D2520" s="65" t="str">
        <f>vlookup(C2520,'Classificação p pessoal'!F:G,2,false)</f>
        <v>MProduto</v>
      </c>
      <c r="E2520" s="65" t="s">
        <v>1632</v>
      </c>
      <c r="F2520" s="83">
        <v>0.34375</v>
      </c>
      <c r="G2520" s="83">
        <v>0.75</v>
      </c>
      <c r="H2520" s="83">
        <v>0.40625</v>
      </c>
      <c r="I2520" s="84">
        <v>44301.0</v>
      </c>
      <c r="J2520" s="65" t="b">
        <v>1</v>
      </c>
      <c r="K2520" s="65"/>
      <c r="L2520" s="85" t="b">
        <f>IF(VLOOKUP(C2520,Projetos!A:L,12,false)=TRUE,TRUE,FALSE)</f>
        <v>1</v>
      </c>
      <c r="M2520" s="74">
        <v>37.50928062469937</v>
      </c>
      <c r="N2520" s="74">
        <f t="shared" si="1"/>
        <v>365.7154861</v>
      </c>
      <c r="O2520" s="74" t="b">
        <v>1</v>
      </c>
    </row>
    <row r="2521" hidden="1">
      <c r="A2521" s="82"/>
      <c r="B2521" s="65" t="s">
        <v>469</v>
      </c>
      <c r="C2521" s="65" t="s">
        <v>132</v>
      </c>
      <c r="D2521" s="65"/>
      <c r="E2521" s="65" t="s">
        <v>1631</v>
      </c>
      <c r="F2521" s="83">
        <v>0.34375</v>
      </c>
      <c r="G2521" s="83">
        <v>0.75</v>
      </c>
      <c r="H2521" s="83">
        <v>0.40625</v>
      </c>
      <c r="I2521" s="84">
        <v>44302.0</v>
      </c>
      <c r="J2521" s="65" t="b">
        <v>1</v>
      </c>
      <c r="K2521" s="65"/>
      <c r="L2521" s="85" t="b">
        <f>IF(VLOOKUP(C2521,Projetos!A:L,12,false)=TRUE,TRUE,FALSE)</f>
        <v>0</v>
      </c>
      <c r="M2521" s="74">
        <v>37.50928062469937</v>
      </c>
      <c r="N2521" s="74">
        <f t="shared" si="1"/>
        <v>0</v>
      </c>
      <c r="O2521" s="74" t="b">
        <v>0</v>
      </c>
    </row>
    <row r="2522" hidden="1">
      <c r="A2522" s="82"/>
      <c r="B2522" s="65" t="s">
        <v>469</v>
      </c>
      <c r="C2522" s="65" t="s">
        <v>118</v>
      </c>
      <c r="D2522" s="65" t="str">
        <f>vlookup(C2522,'Classificação p pessoal'!F:G,2,false)</f>
        <v>MProduto</v>
      </c>
      <c r="E2522" s="65" t="s">
        <v>1632</v>
      </c>
      <c r="F2522" s="83">
        <v>0.34375</v>
      </c>
      <c r="G2522" s="83">
        <v>0.75</v>
      </c>
      <c r="H2522" s="83">
        <v>0.40625</v>
      </c>
      <c r="I2522" s="84">
        <v>44302.0</v>
      </c>
      <c r="J2522" s="65" t="b">
        <v>1</v>
      </c>
      <c r="K2522" s="65"/>
      <c r="L2522" s="85" t="b">
        <f>IF(VLOOKUP(C2522,Projetos!A:L,12,false)=TRUE,TRUE,FALSE)</f>
        <v>1</v>
      </c>
      <c r="M2522" s="74">
        <v>37.50928062469937</v>
      </c>
      <c r="N2522" s="74">
        <f t="shared" si="1"/>
        <v>365.7154861</v>
      </c>
      <c r="O2522" s="74" t="b">
        <v>1</v>
      </c>
    </row>
    <row r="2523" hidden="1">
      <c r="A2523" s="82"/>
      <c r="B2523" s="65" t="s">
        <v>469</v>
      </c>
      <c r="C2523" s="65" t="s">
        <v>118</v>
      </c>
      <c r="D2523" s="65" t="str">
        <f>vlookup(C2523,'Classificação p pessoal'!F:G,2,false)</f>
        <v>MProduto</v>
      </c>
      <c r="E2523" s="65" t="s">
        <v>1632</v>
      </c>
      <c r="F2523" s="83">
        <v>0.34375</v>
      </c>
      <c r="G2523" s="83">
        <v>0.75</v>
      </c>
      <c r="H2523" s="83">
        <v>0.40625</v>
      </c>
      <c r="I2523" s="84">
        <v>44305.0</v>
      </c>
      <c r="J2523" s="65" t="b">
        <v>1</v>
      </c>
      <c r="K2523" s="65"/>
      <c r="L2523" s="85" t="b">
        <f>IF(VLOOKUP(C2523,Projetos!A:L,12,false)=TRUE,TRUE,FALSE)</f>
        <v>1</v>
      </c>
      <c r="M2523" s="74">
        <v>37.50928062469937</v>
      </c>
      <c r="N2523" s="74">
        <f t="shared" si="1"/>
        <v>365.7154861</v>
      </c>
      <c r="O2523" s="74" t="b">
        <v>1</v>
      </c>
    </row>
    <row r="2524" hidden="1">
      <c r="A2524" s="82"/>
      <c r="B2524" s="65" t="s">
        <v>469</v>
      </c>
      <c r="C2524" s="65" t="s">
        <v>106</v>
      </c>
      <c r="D2524" s="65"/>
      <c r="E2524" s="65" t="s">
        <v>1633</v>
      </c>
      <c r="F2524" s="83">
        <v>0.5833333333333334</v>
      </c>
      <c r="G2524" s="83">
        <v>0.6388888888888888</v>
      </c>
      <c r="H2524" s="83">
        <v>0.05555555555555555</v>
      </c>
      <c r="I2524" s="84">
        <v>44306.0</v>
      </c>
      <c r="J2524" s="65" t="b">
        <v>0</v>
      </c>
      <c r="K2524" s="65" t="s">
        <v>150</v>
      </c>
      <c r="L2524" s="85" t="b">
        <f>IF(VLOOKUP(C2524,Projetos!A:L,12,false)=TRUE,TRUE,FALSE)</f>
        <v>1</v>
      </c>
      <c r="M2524" s="74">
        <v>37.50928062469937</v>
      </c>
      <c r="N2524" s="74">
        <f t="shared" si="1"/>
        <v>0</v>
      </c>
      <c r="O2524" s="74" t="b">
        <v>1</v>
      </c>
    </row>
    <row r="2525" hidden="1">
      <c r="A2525" s="82"/>
      <c r="B2525" s="65" t="s">
        <v>469</v>
      </c>
      <c r="C2525" s="65" t="s">
        <v>118</v>
      </c>
      <c r="D2525" s="65" t="str">
        <f>vlookup(C2525,'Classificação p pessoal'!F:G,2,false)</f>
        <v>MProduto</v>
      </c>
      <c r="E2525" s="65" t="s">
        <v>1632</v>
      </c>
      <c r="F2525" s="83">
        <v>0.34375</v>
      </c>
      <c r="G2525" s="83">
        <v>0.75</v>
      </c>
      <c r="H2525" s="83">
        <v>0.40625</v>
      </c>
      <c r="I2525" s="84">
        <v>44308.0</v>
      </c>
      <c r="J2525" s="65" t="b">
        <v>1</v>
      </c>
      <c r="K2525" s="65"/>
      <c r="L2525" s="85" t="b">
        <f>IF(VLOOKUP(C2525,Projetos!A:L,12,false)=TRUE,TRUE,FALSE)</f>
        <v>1</v>
      </c>
      <c r="M2525" s="74">
        <v>37.50928062469937</v>
      </c>
      <c r="N2525" s="74">
        <f t="shared" si="1"/>
        <v>365.7154861</v>
      </c>
      <c r="O2525" s="74" t="b">
        <v>1</v>
      </c>
    </row>
    <row r="2526" hidden="1">
      <c r="A2526" s="82"/>
      <c r="B2526" s="65" t="s">
        <v>469</v>
      </c>
      <c r="C2526" s="65" t="s">
        <v>118</v>
      </c>
      <c r="D2526" s="65" t="str">
        <f>vlookup(C2526,'Classificação p pessoal'!F:G,2,false)</f>
        <v>MProduto</v>
      </c>
      <c r="E2526" s="65" t="s">
        <v>1632</v>
      </c>
      <c r="F2526" s="83">
        <v>0.34375</v>
      </c>
      <c r="G2526" s="83">
        <v>0.75</v>
      </c>
      <c r="H2526" s="83">
        <v>0.40625</v>
      </c>
      <c r="I2526" s="84">
        <v>44309.0</v>
      </c>
      <c r="J2526" s="65" t="b">
        <v>1</v>
      </c>
      <c r="K2526" s="65"/>
      <c r="L2526" s="85" t="b">
        <f>IF(VLOOKUP(C2526,Projetos!A:L,12,false)=TRUE,TRUE,FALSE)</f>
        <v>1</v>
      </c>
      <c r="M2526" s="74">
        <v>37.50928062469937</v>
      </c>
      <c r="N2526" s="74">
        <f t="shared" si="1"/>
        <v>365.7154861</v>
      </c>
      <c r="O2526" s="74" t="b">
        <v>1</v>
      </c>
    </row>
    <row r="2527" hidden="1">
      <c r="A2527" s="82"/>
      <c r="B2527" s="65" t="s">
        <v>469</v>
      </c>
      <c r="C2527" s="65" t="s">
        <v>118</v>
      </c>
      <c r="D2527" s="65" t="str">
        <f>vlookup(C2527,'Classificação p pessoal'!F:G,2,false)</f>
        <v>MProduto</v>
      </c>
      <c r="E2527" s="65" t="s">
        <v>1634</v>
      </c>
      <c r="F2527" s="83">
        <v>0.34375</v>
      </c>
      <c r="G2527" s="83">
        <v>0.75</v>
      </c>
      <c r="H2527" s="83">
        <v>0.40625</v>
      </c>
      <c r="I2527" s="84">
        <v>44313.0</v>
      </c>
      <c r="J2527" s="65" t="b">
        <v>1</v>
      </c>
      <c r="K2527" s="65"/>
      <c r="L2527" s="85" t="b">
        <f>IF(VLOOKUP(C2527,Projetos!A:L,12,false)=TRUE,TRUE,FALSE)</f>
        <v>1</v>
      </c>
      <c r="M2527" s="74">
        <v>37.50928062469937</v>
      </c>
      <c r="N2527" s="74">
        <f t="shared" si="1"/>
        <v>365.7154861</v>
      </c>
      <c r="O2527" s="74" t="b">
        <v>1</v>
      </c>
    </row>
    <row r="2528" hidden="1">
      <c r="A2528" s="82"/>
      <c r="B2528" s="65" t="s">
        <v>469</v>
      </c>
      <c r="C2528" s="65" t="s">
        <v>106</v>
      </c>
      <c r="D2528" s="65"/>
      <c r="E2528" s="65" t="s">
        <v>1635</v>
      </c>
      <c r="F2528" s="83">
        <v>0.375</v>
      </c>
      <c r="G2528" s="83">
        <v>0.4166666666666667</v>
      </c>
      <c r="H2528" s="83">
        <v>0.041666666666666664</v>
      </c>
      <c r="I2528" s="84">
        <v>44314.0</v>
      </c>
      <c r="J2528" s="65" t="b">
        <v>0</v>
      </c>
      <c r="K2528" s="65" t="s">
        <v>150</v>
      </c>
      <c r="L2528" s="85" t="b">
        <f>IF(VLOOKUP(C2528,Projetos!A:L,12,false)=TRUE,TRUE,FALSE)</f>
        <v>1</v>
      </c>
      <c r="M2528" s="74">
        <v>37.50928062469937</v>
      </c>
      <c r="N2528" s="74">
        <f t="shared" si="1"/>
        <v>0</v>
      </c>
      <c r="O2528" s="74" t="b">
        <v>1</v>
      </c>
    </row>
    <row r="2529" hidden="1">
      <c r="A2529" s="82"/>
      <c r="B2529" s="65" t="s">
        <v>469</v>
      </c>
      <c r="C2529" s="65" t="s">
        <v>106</v>
      </c>
      <c r="D2529" s="65"/>
      <c r="E2529" s="65" t="s">
        <v>1636</v>
      </c>
      <c r="F2529" s="83">
        <v>0.5833333333333334</v>
      </c>
      <c r="G2529" s="83">
        <v>0.625</v>
      </c>
      <c r="H2529" s="83">
        <v>0.041666666666666664</v>
      </c>
      <c r="I2529" s="84">
        <v>44315.0</v>
      </c>
      <c r="J2529" s="65" t="b">
        <v>0</v>
      </c>
      <c r="K2529" s="65" t="s">
        <v>150</v>
      </c>
      <c r="L2529" s="85" t="b">
        <f>IF(VLOOKUP(C2529,Projetos!A:L,12,false)=TRUE,TRUE,FALSE)</f>
        <v>1</v>
      </c>
      <c r="M2529" s="74">
        <v>37.50928062469937</v>
      </c>
      <c r="N2529" s="74">
        <f t="shared" si="1"/>
        <v>0</v>
      </c>
      <c r="O2529" s="74" t="b">
        <v>1</v>
      </c>
    </row>
    <row r="2530" hidden="1">
      <c r="A2530" s="82"/>
      <c r="B2530" s="65" t="s">
        <v>469</v>
      </c>
      <c r="C2530" s="65" t="s">
        <v>118</v>
      </c>
      <c r="D2530" s="65" t="str">
        <f>vlookup(C2530,'Classificação p pessoal'!F:G,2,false)</f>
        <v>MProduto</v>
      </c>
      <c r="E2530" s="65" t="s">
        <v>1634</v>
      </c>
      <c r="F2530" s="83">
        <v>0.34375</v>
      </c>
      <c r="G2530" s="83">
        <v>0.75</v>
      </c>
      <c r="H2530" s="83">
        <v>0.40625</v>
      </c>
      <c r="I2530" s="84">
        <v>44314.0</v>
      </c>
      <c r="J2530" s="65" t="b">
        <v>1</v>
      </c>
      <c r="K2530" s="65"/>
      <c r="L2530" s="85" t="b">
        <f>IF(VLOOKUP(C2530,Projetos!A:L,12,false)=TRUE,TRUE,FALSE)</f>
        <v>1</v>
      </c>
      <c r="M2530" s="74">
        <v>37.50928062469937</v>
      </c>
      <c r="N2530" s="74">
        <f t="shared" si="1"/>
        <v>365.7154861</v>
      </c>
      <c r="O2530" s="74" t="b">
        <v>1</v>
      </c>
    </row>
    <row r="2531" hidden="1">
      <c r="A2531" s="82"/>
      <c r="B2531" s="65" t="s">
        <v>469</v>
      </c>
      <c r="C2531" s="65" t="s">
        <v>118</v>
      </c>
      <c r="D2531" s="65" t="str">
        <f>vlookup(C2531,'Classificação p pessoal'!F:G,2,false)</f>
        <v>MProduto</v>
      </c>
      <c r="E2531" s="65" t="s">
        <v>1634</v>
      </c>
      <c r="F2531" s="83">
        <v>0.34375</v>
      </c>
      <c r="G2531" s="83">
        <v>0.75</v>
      </c>
      <c r="H2531" s="83">
        <v>0.40625</v>
      </c>
      <c r="I2531" s="84">
        <v>44315.0</v>
      </c>
      <c r="J2531" s="65" t="b">
        <v>1</v>
      </c>
      <c r="K2531" s="65"/>
      <c r="L2531" s="85" t="b">
        <f>IF(VLOOKUP(C2531,Projetos!A:L,12,false)=TRUE,TRUE,FALSE)</f>
        <v>1</v>
      </c>
      <c r="M2531" s="74">
        <v>37.50928062469937</v>
      </c>
      <c r="N2531" s="74">
        <f t="shared" si="1"/>
        <v>365.7154861</v>
      </c>
      <c r="O2531" s="74" t="b">
        <v>1</v>
      </c>
    </row>
    <row r="2532" hidden="1">
      <c r="A2532" s="82"/>
      <c r="B2532" s="65" t="s">
        <v>469</v>
      </c>
      <c r="C2532" s="65" t="s">
        <v>118</v>
      </c>
      <c r="D2532" s="65" t="str">
        <f>vlookup(C2532,'Classificação p pessoal'!F:G,2,false)</f>
        <v>MProduto</v>
      </c>
      <c r="E2532" s="65" t="s">
        <v>1634</v>
      </c>
      <c r="F2532" s="83">
        <v>0.34375</v>
      </c>
      <c r="G2532" s="83">
        <v>0.75</v>
      </c>
      <c r="H2532" s="83">
        <v>0.40625</v>
      </c>
      <c r="I2532" s="84">
        <v>44316.0</v>
      </c>
      <c r="J2532" s="65" t="b">
        <v>1</v>
      </c>
      <c r="K2532" s="65"/>
      <c r="L2532" s="85" t="b">
        <f>IF(VLOOKUP(C2532,Projetos!A:L,12,false)=TRUE,TRUE,FALSE)</f>
        <v>1</v>
      </c>
      <c r="M2532" s="74">
        <v>37.50928062469937</v>
      </c>
      <c r="N2532" s="74">
        <f t="shared" si="1"/>
        <v>365.7154861</v>
      </c>
      <c r="O2532" s="74" t="b">
        <v>1</v>
      </c>
    </row>
    <row r="2533" hidden="1">
      <c r="A2533" s="82"/>
      <c r="B2533" s="65" t="s">
        <v>469</v>
      </c>
      <c r="C2533" s="65" t="s">
        <v>118</v>
      </c>
      <c r="D2533" s="65" t="str">
        <f>vlookup(C2533,'Classificação p pessoal'!F:G,2,false)</f>
        <v>MProduto</v>
      </c>
      <c r="E2533" s="65" t="s">
        <v>1634</v>
      </c>
      <c r="F2533" s="83">
        <v>0.34375</v>
      </c>
      <c r="G2533" s="83">
        <v>0.75</v>
      </c>
      <c r="H2533" s="83">
        <v>0.40625</v>
      </c>
      <c r="I2533" s="84">
        <v>44319.0</v>
      </c>
      <c r="J2533" s="65" t="b">
        <v>1</v>
      </c>
      <c r="K2533" s="65"/>
      <c r="L2533" s="85" t="b">
        <f>IF(VLOOKUP(C2533,Projetos!A:L,12,false)=TRUE,TRUE,FALSE)</f>
        <v>1</v>
      </c>
      <c r="M2533" s="74">
        <v>37.50928062469937</v>
      </c>
      <c r="N2533" s="74">
        <f t="shared" si="1"/>
        <v>365.7154861</v>
      </c>
      <c r="O2533" s="74" t="b">
        <v>1</v>
      </c>
    </row>
    <row r="2534" hidden="1">
      <c r="A2534" s="82"/>
      <c r="B2534" s="65" t="s">
        <v>469</v>
      </c>
      <c r="C2534" s="65" t="s">
        <v>118</v>
      </c>
      <c r="D2534" s="65" t="str">
        <f>vlookup(C2534,'Classificação p pessoal'!F:G,2,false)</f>
        <v>MProduto</v>
      </c>
      <c r="E2534" s="65" t="s">
        <v>1634</v>
      </c>
      <c r="F2534" s="83">
        <v>0.34375</v>
      </c>
      <c r="G2534" s="83">
        <v>0.75</v>
      </c>
      <c r="H2534" s="83">
        <v>0.40625</v>
      </c>
      <c r="I2534" s="84">
        <v>44320.0</v>
      </c>
      <c r="J2534" s="65" t="b">
        <v>1</v>
      </c>
      <c r="K2534" s="65"/>
      <c r="L2534" s="85" t="b">
        <f>IF(VLOOKUP(C2534,Projetos!A:L,12,false)=TRUE,TRUE,FALSE)</f>
        <v>1</v>
      </c>
      <c r="M2534" s="74">
        <v>37.50928062469937</v>
      </c>
      <c r="N2534" s="74">
        <f t="shared" si="1"/>
        <v>365.7154861</v>
      </c>
      <c r="O2534" s="74" t="b">
        <v>1</v>
      </c>
    </row>
    <row r="2535" hidden="1">
      <c r="A2535" s="82"/>
      <c r="B2535" s="65" t="s">
        <v>469</v>
      </c>
      <c r="C2535" s="65" t="s">
        <v>118</v>
      </c>
      <c r="D2535" s="65" t="str">
        <f>vlookup(C2535,'Classificação p pessoal'!F:G,2,false)</f>
        <v>MProduto</v>
      </c>
      <c r="E2535" s="65" t="s">
        <v>1634</v>
      </c>
      <c r="F2535" s="83">
        <v>0.34375</v>
      </c>
      <c r="G2535" s="83">
        <v>0.75</v>
      </c>
      <c r="H2535" s="83">
        <v>0.40625</v>
      </c>
      <c r="I2535" s="84">
        <v>44321.0</v>
      </c>
      <c r="J2535" s="65" t="b">
        <v>1</v>
      </c>
      <c r="K2535" s="65"/>
      <c r="L2535" s="85" t="b">
        <f>IF(VLOOKUP(C2535,Projetos!A:L,12,false)=TRUE,TRUE,FALSE)</f>
        <v>1</v>
      </c>
      <c r="M2535" s="74">
        <v>37.50928062469937</v>
      </c>
      <c r="N2535" s="74">
        <f t="shared" si="1"/>
        <v>365.7154861</v>
      </c>
      <c r="O2535" s="74" t="b">
        <v>1</v>
      </c>
    </row>
    <row r="2536" hidden="1">
      <c r="A2536" s="82"/>
      <c r="B2536" s="65" t="s">
        <v>469</v>
      </c>
      <c r="C2536" s="65" t="s">
        <v>118</v>
      </c>
      <c r="D2536" s="65" t="str">
        <f>vlookup(C2536,'Classificação p pessoal'!F:G,2,false)</f>
        <v>MProduto</v>
      </c>
      <c r="E2536" s="65" t="s">
        <v>1634</v>
      </c>
      <c r="F2536" s="83">
        <v>0.34375</v>
      </c>
      <c r="G2536" s="83">
        <v>0.75</v>
      </c>
      <c r="H2536" s="83">
        <v>0.40625</v>
      </c>
      <c r="I2536" s="84">
        <v>44322.0</v>
      </c>
      <c r="J2536" s="65" t="b">
        <v>1</v>
      </c>
      <c r="K2536" s="65"/>
      <c r="L2536" s="85" t="b">
        <f>IF(VLOOKUP(C2536,Projetos!A:L,12,false)=TRUE,TRUE,FALSE)</f>
        <v>1</v>
      </c>
      <c r="M2536" s="74">
        <v>37.50928062469937</v>
      </c>
      <c r="N2536" s="74">
        <f t="shared" si="1"/>
        <v>365.7154861</v>
      </c>
      <c r="O2536" s="74" t="b">
        <v>1</v>
      </c>
    </row>
    <row r="2537" hidden="1">
      <c r="A2537" s="82"/>
      <c r="B2537" s="65" t="s">
        <v>469</v>
      </c>
      <c r="C2537" s="65" t="s">
        <v>132</v>
      </c>
      <c r="D2537" s="65"/>
      <c r="E2537" s="65" t="s">
        <v>1637</v>
      </c>
      <c r="F2537" s="83">
        <v>0.34375</v>
      </c>
      <c r="G2537" s="83">
        <v>0.75</v>
      </c>
      <c r="H2537" s="83">
        <v>0.40625</v>
      </c>
      <c r="I2537" s="84">
        <v>44322.0</v>
      </c>
      <c r="J2537" s="65" t="b">
        <v>1</v>
      </c>
      <c r="K2537" s="65"/>
      <c r="L2537" s="85" t="b">
        <f>IF(VLOOKUP(C2537,Projetos!A:L,12,false)=TRUE,TRUE,FALSE)</f>
        <v>0</v>
      </c>
      <c r="M2537" s="74">
        <v>37.50928062469937</v>
      </c>
      <c r="N2537" s="74">
        <f t="shared" si="1"/>
        <v>0</v>
      </c>
      <c r="O2537" s="74" t="b">
        <v>0</v>
      </c>
    </row>
    <row r="2538" hidden="1">
      <c r="A2538" s="82"/>
      <c r="B2538" s="65" t="s">
        <v>469</v>
      </c>
      <c r="C2538" s="65" t="s">
        <v>118</v>
      </c>
      <c r="D2538" s="65" t="str">
        <f>vlookup(C2538,'Classificação p pessoal'!F:G,2,false)</f>
        <v>MProduto</v>
      </c>
      <c r="E2538" s="65" t="s">
        <v>1634</v>
      </c>
      <c r="F2538" s="83">
        <v>0.34375</v>
      </c>
      <c r="G2538" s="83">
        <v>0.75</v>
      </c>
      <c r="H2538" s="83">
        <v>0.40625</v>
      </c>
      <c r="I2538" s="84">
        <v>44323.0</v>
      </c>
      <c r="J2538" s="65" t="b">
        <v>1</v>
      </c>
      <c r="K2538" s="65"/>
      <c r="L2538" s="85" t="b">
        <f>IF(VLOOKUP(C2538,Projetos!A:L,12,false)=TRUE,TRUE,FALSE)</f>
        <v>1</v>
      </c>
      <c r="M2538" s="74">
        <v>37.50928062469937</v>
      </c>
      <c r="N2538" s="74">
        <f t="shared" si="1"/>
        <v>365.7154861</v>
      </c>
      <c r="O2538" s="74" t="b">
        <v>1</v>
      </c>
    </row>
    <row r="2539" hidden="1">
      <c r="A2539" s="82"/>
      <c r="B2539" s="65" t="s">
        <v>469</v>
      </c>
      <c r="C2539" s="65" t="s">
        <v>132</v>
      </c>
      <c r="D2539" s="65"/>
      <c r="E2539" s="65" t="s">
        <v>1637</v>
      </c>
      <c r="F2539" s="83">
        <v>0.34375</v>
      </c>
      <c r="G2539" s="83">
        <v>0.75</v>
      </c>
      <c r="H2539" s="83">
        <v>0.40625</v>
      </c>
      <c r="I2539" s="84">
        <v>44323.0</v>
      </c>
      <c r="J2539" s="65" t="b">
        <v>1</v>
      </c>
      <c r="K2539" s="65"/>
      <c r="L2539" s="85" t="b">
        <f>IF(VLOOKUP(C2539,Projetos!A:L,12,false)=TRUE,TRUE,FALSE)</f>
        <v>0</v>
      </c>
      <c r="M2539" s="74">
        <v>37.50928062469937</v>
      </c>
      <c r="N2539" s="74">
        <f t="shared" si="1"/>
        <v>0</v>
      </c>
      <c r="O2539" s="74" t="b">
        <v>0</v>
      </c>
    </row>
    <row r="2540" hidden="1">
      <c r="A2540" s="82"/>
      <c r="B2540" s="65" t="s">
        <v>469</v>
      </c>
      <c r="C2540" s="65" t="s">
        <v>132</v>
      </c>
      <c r="D2540" s="65"/>
      <c r="E2540" s="65" t="s">
        <v>1638</v>
      </c>
      <c r="F2540" s="83">
        <v>0.3020833333333333</v>
      </c>
      <c r="G2540" s="83">
        <v>0.5</v>
      </c>
      <c r="H2540" s="83">
        <v>0.19791666666666666</v>
      </c>
      <c r="I2540" s="84">
        <v>44324.0</v>
      </c>
      <c r="J2540" s="65" t="b">
        <v>1</v>
      </c>
      <c r="K2540" s="65"/>
      <c r="L2540" s="85" t="b">
        <f>IF(VLOOKUP(C2540,Projetos!A:L,12,false)=TRUE,TRUE,FALSE)</f>
        <v>0</v>
      </c>
      <c r="M2540" s="74">
        <v>37.50928062469937</v>
      </c>
      <c r="N2540" s="74">
        <f t="shared" si="1"/>
        <v>0</v>
      </c>
      <c r="O2540" s="74" t="b">
        <v>0</v>
      </c>
    </row>
    <row r="2541" hidden="1">
      <c r="A2541" s="82"/>
      <c r="B2541" s="65" t="s">
        <v>469</v>
      </c>
      <c r="C2541" s="65" t="s">
        <v>132</v>
      </c>
      <c r="D2541" s="65"/>
      <c r="E2541" s="65" t="s">
        <v>1638</v>
      </c>
      <c r="F2541" s="83">
        <v>0.34375</v>
      </c>
      <c r="G2541" s="83">
        <v>0.6666666666666666</v>
      </c>
      <c r="H2541" s="83">
        <v>0.3229166666666667</v>
      </c>
      <c r="I2541" s="84">
        <v>44326.0</v>
      </c>
      <c r="J2541" s="65" t="b">
        <v>1</v>
      </c>
      <c r="K2541" s="65"/>
      <c r="L2541" s="85" t="b">
        <f>IF(VLOOKUP(C2541,Projetos!A:L,12,false)=TRUE,TRUE,FALSE)</f>
        <v>0</v>
      </c>
      <c r="M2541" s="74">
        <v>37.50928062469937</v>
      </c>
      <c r="N2541" s="74">
        <f t="shared" si="1"/>
        <v>0</v>
      </c>
      <c r="O2541" s="74" t="b">
        <v>0</v>
      </c>
    </row>
    <row r="2542" hidden="1">
      <c r="A2542" s="82"/>
      <c r="B2542" s="65" t="s">
        <v>469</v>
      </c>
      <c r="C2542" s="65" t="s">
        <v>132</v>
      </c>
      <c r="D2542" s="65"/>
      <c r="E2542" s="65" t="s">
        <v>1639</v>
      </c>
      <c r="F2542" s="83">
        <v>0.6666666666666666</v>
      </c>
      <c r="G2542" s="83">
        <v>0.75</v>
      </c>
      <c r="H2542" s="83">
        <v>0.08333333333333333</v>
      </c>
      <c r="I2542" s="84">
        <v>44326.0</v>
      </c>
      <c r="J2542" s="65" t="b">
        <v>1</v>
      </c>
      <c r="K2542" s="65"/>
      <c r="L2542" s="85" t="b">
        <f>IF(VLOOKUP(C2542,Projetos!A:L,12,false)=TRUE,TRUE,FALSE)</f>
        <v>0</v>
      </c>
      <c r="M2542" s="74">
        <v>37.50928062469937</v>
      </c>
      <c r="N2542" s="74">
        <f t="shared" si="1"/>
        <v>0</v>
      </c>
      <c r="O2542" s="74" t="b">
        <v>0</v>
      </c>
    </row>
    <row r="2543" hidden="1">
      <c r="A2543" s="82"/>
      <c r="B2543" s="65" t="s">
        <v>469</v>
      </c>
      <c r="C2543" s="65" t="s">
        <v>132</v>
      </c>
      <c r="D2543" s="65"/>
      <c r="E2543" s="65" t="s">
        <v>1639</v>
      </c>
      <c r="F2543" s="83">
        <v>0.34375</v>
      </c>
      <c r="G2543" s="83">
        <v>0.75</v>
      </c>
      <c r="H2543" s="83">
        <v>0.40625</v>
      </c>
      <c r="I2543" s="84">
        <v>44327.0</v>
      </c>
      <c r="J2543" s="65" t="b">
        <v>1</v>
      </c>
      <c r="K2543" s="65"/>
      <c r="L2543" s="85" t="b">
        <f>IF(VLOOKUP(C2543,Projetos!A:L,12,false)=TRUE,TRUE,FALSE)</f>
        <v>0</v>
      </c>
      <c r="M2543" s="74">
        <v>37.50928062469937</v>
      </c>
      <c r="N2543" s="74">
        <f t="shared" si="1"/>
        <v>0</v>
      </c>
      <c r="O2543" s="74" t="b">
        <v>0</v>
      </c>
    </row>
    <row r="2544" hidden="1">
      <c r="A2544" s="82"/>
      <c r="B2544" s="65" t="s">
        <v>469</v>
      </c>
      <c r="C2544" s="65" t="s">
        <v>132</v>
      </c>
      <c r="D2544" s="65"/>
      <c r="E2544" s="65" t="s">
        <v>1639</v>
      </c>
      <c r="F2544" s="83">
        <v>0.34375</v>
      </c>
      <c r="G2544" s="83">
        <v>0.75</v>
      </c>
      <c r="H2544" s="83">
        <v>0.40625</v>
      </c>
      <c r="I2544" s="84">
        <v>44328.0</v>
      </c>
      <c r="J2544" s="65" t="b">
        <v>1</v>
      </c>
      <c r="K2544" s="65"/>
      <c r="L2544" s="85" t="b">
        <f>IF(VLOOKUP(C2544,Projetos!A:L,12,false)=TRUE,TRUE,FALSE)</f>
        <v>0</v>
      </c>
      <c r="M2544" s="74">
        <v>37.50928062469937</v>
      </c>
      <c r="N2544" s="74">
        <f t="shared" si="1"/>
        <v>0</v>
      </c>
      <c r="O2544" s="74" t="b">
        <v>0</v>
      </c>
    </row>
    <row r="2545" hidden="1">
      <c r="A2545" s="82"/>
      <c r="B2545" s="65" t="s">
        <v>469</v>
      </c>
      <c r="C2545" s="65" t="s">
        <v>132</v>
      </c>
      <c r="D2545" s="65"/>
      <c r="E2545" s="65" t="s">
        <v>1639</v>
      </c>
      <c r="F2545" s="83">
        <v>0.34375</v>
      </c>
      <c r="G2545" s="83">
        <v>0.75</v>
      </c>
      <c r="H2545" s="83">
        <v>0.40625</v>
      </c>
      <c r="I2545" s="84">
        <v>44329.0</v>
      </c>
      <c r="J2545" s="65" t="b">
        <v>1</v>
      </c>
      <c r="K2545" s="65"/>
      <c r="L2545" s="85" t="b">
        <f>IF(VLOOKUP(C2545,Projetos!A:L,12,false)=TRUE,TRUE,FALSE)</f>
        <v>0</v>
      </c>
      <c r="M2545" s="74">
        <v>37.50928062469937</v>
      </c>
      <c r="N2545" s="74">
        <f t="shared" si="1"/>
        <v>0</v>
      </c>
      <c r="O2545" s="74" t="b">
        <v>0</v>
      </c>
    </row>
    <row r="2546" hidden="1">
      <c r="A2546" s="82"/>
      <c r="B2546" s="65" t="s">
        <v>469</v>
      </c>
      <c r="C2546" s="65" t="s">
        <v>100</v>
      </c>
      <c r="D2546" s="65" t="str">
        <f>vlookup(C2546,'Classificação p pessoal'!F:G,2,false)</f>
        <v>NP</v>
      </c>
      <c r="E2546" s="65" t="s">
        <v>1640</v>
      </c>
      <c r="F2546" s="83">
        <v>0.6666666666666666</v>
      </c>
      <c r="G2546" s="83">
        <v>0.75</v>
      </c>
      <c r="H2546" s="83">
        <v>0.08333333333333333</v>
      </c>
      <c r="I2546" s="84">
        <v>44330.0</v>
      </c>
      <c r="J2546" s="65" t="b">
        <v>1</v>
      </c>
      <c r="K2546" s="65"/>
      <c r="L2546" s="85" t="b">
        <f>IF(VLOOKUP(C2546,Projetos!A:L,12,false)=TRUE,TRUE,FALSE)</f>
        <v>1</v>
      </c>
      <c r="M2546" s="74">
        <v>37.50928062469937</v>
      </c>
      <c r="N2546" s="74">
        <f t="shared" si="1"/>
        <v>75.01856125</v>
      </c>
      <c r="O2546" s="74" t="b">
        <v>1</v>
      </c>
    </row>
    <row r="2547" hidden="1">
      <c r="A2547" s="82"/>
      <c r="B2547" s="65" t="s">
        <v>469</v>
      </c>
      <c r="C2547" s="65" t="s">
        <v>105</v>
      </c>
      <c r="D2547" s="65" t="str">
        <f>vlookup(C2547,'Classificação p pessoal'!F:G,2,false)</f>
        <v>NP</v>
      </c>
      <c r="E2547" s="65" t="s">
        <v>1641</v>
      </c>
      <c r="F2547" s="83">
        <v>0.6666666666666666</v>
      </c>
      <c r="G2547" s="83">
        <v>0.75</v>
      </c>
      <c r="H2547" s="83">
        <v>0.08333333333333333</v>
      </c>
      <c r="I2547" s="84">
        <v>44330.0</v>
      </c>
      <c r="J2547" s="65" t="b">
        <v>1</v>
      </c>
      <c r="K2547" s="65"/>
      <c r="L2547" s="85" t="b">
        <f>IF(VLOOKUP(C2547,Projetos!A:L,12,false)=TRUE,TRUE,FALSE)</f>
        <v>1</v>
      </c>
      <c r="M2547" s="74">
        <v>37.50928062469937</v>
      </c>
      <c r="N2547" s="74">
        <f t="shared" si="1"/>
        <v>75.01856125</v>
      </c>
      <c r="O2547" s="74" t="b">
        <v>1</v>
      </c>
    </row>
    <row r="2548" hidden="1">
      <c r="A2548" s="82"/>
      <c r="B2548" s="65" t="s">
        <v>411</v>
      </c>
      <c r="C2548" s="65" t="s">
        <v>105</v>
      </c>
      <c r="D2548" s="65"/>
      <c r="E2548" s="65" t="s">
        <v>1642</v>
      </c>
      <c r="F2548" s="83">
        <v>0.6875</v>
      </c>
      <c r="G2548" s="83">
        <v>0.75</v>
      </c>
      <c r="H2548" s="83">
        <v>0.0625</v>
      </c>
      <c r="I2548" s="84">
        <v>44384.0</v>
      </c>
      <c r="J2548" s="65" t="b">
        <v>0</v>
      </c>
      <c r="K2548" s="65" t="s">
        <v>150</v>
      </c>
      <c r="L2548" s="85" t="b">
        <f>IF(VLOOKUP(C2548,Projetos!A:L,12,false)=TRUE,TRUE,FALSE)</f>
        <v>1</v>
      </c>
      <c r="M2548" s="74">
        <v>52.48434411075036</v>
      </c>
      <c r="N2548" s="74">
        <f t="shared" si="1"/>
        <v>0</v>
      </c>
      <c r="O2548" s="74" t="b">
        <v>1</v>
      </c>
    </row>
    <row r="2549" hidden="1">
      <c r="A2549" s="82"/>
      <c r="B2549" s="65" t="s">
        <v>469</v>
      </c>
      <c r="C2549" s="65" t="s">
        <v>118</v>
      </c>
      <c r="D2549" s="65"/>
      <c r="E2549" s="65" t="s">
        <v>1643</v>
      </c>
      <c r="F2549" s="83">
        <v>0.375</v>
      </c>
      <c r="G2549" s="83">
        <v>0.6875</v>
      </c>
      <c r="H2549" s="83">
        <v>0.3125</v>
      </c>
      <c r="I2549" s="84">
        <v>44249.0</v>
      </c>
      <c r="J2549" s="65" t="b">
        <v>0</v>
      </c>
      <c r="K2549" s="65" t="s">
        <v>150</v>
      </c>
      <c r="L2549" s="85" t="b">
        <f>IF(VLOOKUP(C2549,Projetos!A:L,12,false)=TRUE,TRUE,FALSE)</f>
        <v>1</v>
      </c>
      <c r="M2549" s="74">
        <v>37.50928062469937</v>
      </c>
      <c r="N2549" s="74">
        <f t="shared" si="1"/>
        <v>0</v>
      </c>
      <c r="O2549" s="74" t="b">
        <v>1</v>
      </c>
    </row>
    <row r="2550" hidden="1">
      <c r="A2550" s="82"/>
      <c r="B2550" s="65" t="s">
        <v>469</v>
      </c>
      <c r="C2550" s="65" t="s">
        <v>118</v>
      </c>
      <c r="D2550" s="65"/>
      <c r="E2550" s="65" t="s">
        <v>1644</v>
      </c>
      <c r="F2550" s="83">
        <v>0.3541666666666667</v>
      </c>
      <c r="G2550" s="83">
        <v>0.7361111111111112</v>
      </c>
      <c r="H2550" s="83">
        <v>0.3819444444444444</v>
      </c>
      <c r="I2550" s="84">
        <v>44256.0</v>
      </c>
      <c r="J2550" s="65" t="b">
        <v>0</v>
      </c>
      <c r="K2550" s="65" t="s">
        <v>150</v>
      </c>
      <c r="L2550" s="85" t="b">
        <f>IF(VLOOKUP(C2550,Projetos!A:L,12,false)=TRUE,TRUE,FALSE)</f>
        <v>1</v>
      </c>
      <c r="M2550" s="74">
        <v>37.50928062469937</v>
      </c>
      <c r="N2550" s="74">
        <f t="shared" si="1"/>
        <v>0</v>
      </c>
      <c r="O2550" s="74" t="b">
        <v>1</v>
      </c>
    </row>
    <row r="2551" hidden="1">
      <c r="A2551" s="82"/>
      <c r="B2551" s="65" t="s">
        <v>177</v>
      </c>
      <c r="C2551" s="65" t="s">
        <v>108</v>
      </c>
      <c r="D2551" s="65" t="str">
        <f>vlookup(C2551,'Classificação p pessoal'!F:G,2,false)</f>
        <v>NP</v>
      </c>
      <c r="E2551" s="65" t="s">
        <v>1645</v>
      </c>
      <c r="F2551" s="83">
        <v>0.5</v>
      </c>
      <c r="G2551" s="83">
        <v>0.5416666666666666</v>
      </c>
      <c r="H2551" s="83">
        <v>0.041666666666666664</v>
      </c>
      <c r="I2551" s="84">
        <v>44448.0</v>
      </c>
      <c r="J2551" s="65" t="b">
        <v>1</v>
      </c>
      <c r="K2551" s="65"/>
      <c r="L2551" s="85" t="b">
        <f>IF(VLOOKUP(C2551,Projetos!A:L,12,false)=TRUE,TRUE,FALSE)</f>
        <v>1</v>
      </c>
      <c r="M2551" s="74">
        <v>31.02923620430495</v>
      </c>
      <c r="N2551" s="74">
        <f t="shared" si="1"/>
        <v>31.0292362</v>
      </c>
      <c r="O2551" s="74" t="b">
        <v>1</v>
      </c>
    </row>
    <row r="2552" hidden="1">
      <c r="A2552" s="82"/>
      <c r="B2552" s="65" t="s">
        <v>469</v>
      </c>
      <c r="C2552" s="65" t="s">
        <v>106</v>
      </c>
      <c r="D2552" s="65" t="str">
        <f>vlookup(C2552,'Classificação p pessoal'!F:G,2,false)</f>
        <v>MProcesso</v>
      </c>
      <c r="E2552" s="65" t="s">
        <v>1646</v>
      </c>
      <c r="F2552" s="83">
        <v>0.34375</v>
      </c>
      <c r="G2552" s="83">
        <v>0.5</v>
      </c>
      <c r="H2552" s="83">
        <v>0.15625</v>
      </c>
      <c r="I2552" s="84">
        <v>44340.0</v>
      </c>
      <c r="J2552" s="65" t="b">
        <v>1</v>
      </c>
      <c r="K2552" s="65"/>
      <c r="L2552" s="85" t="b">
        <f>IF(VLOOKUP(C2552,Projetos!A:L,12,false)=TRUE,TRUE,FALSE)</f>
        <v>1</v>
      </c>
      <c r="M2552" s="74">
        <v>37.50928062469937</v>
      </c>
      <c r="N2552" s="74">
        <f t="shared" si="1"/>
        <v>140.6598023</v>
      </c>
      <c r="O2552" s="74" t="b">
        <v>1</v>
      </c>
    </row>
    <row r="2553" hidden="1">
      <c r="A2553" s="82"/>
      <c r="B2553" s="65" t="s">
        <v>469</v>
      </c>
      <c r="C2553" s="65" t="s">
        <v>106</v>
      </c>
      <c r="D2553" s="65" t="str">
        <f>vlookup(C2553,'Classificação p pessoal'!F:G,2,false)</f>
        <v>MProcesso</v>
      </c>
      <c r="E2553" s="65" t="s">
        <v>1646</v>
      </c>
      <c r="F2553" s="83">
        <v>0.375</v>
      </c>
      <c r="G2553" s="83">
        <v>0.6666666666666666</v>
      </c>
      <c r="H2553" s="83">
        <v>0.2916666666666667</v>
      </c>
      <c r="I2553" s="84">
        <v>44341.0</v>
      </c>
      <c r="J2553" s="65" t="b">
        <v>1</v>
      </c>
      <c r="K2553" s="65"/>
      <c r="L2553" s="85" t="b">
        <f>IF(VLOOKUP(C2553,Projetos!A:L,12,false)=TRUE,TRUE,FALSE)</f>
        <v>1</v>
      </c>
      <c r="M2553" s="74">
        <v>37.50928062469937</v>
      </c>
      <c r="N2553" s="74">
        <f t="shared" si="1"/>
        <v>262.5649644</v>
      </c>
      <c r="O2553" s="74" t="b">
        <v>1</v>
      </c>
    </row>
    <row r="2554" hidden="1">
      <c r="A2554" s="82"/>
      <c r="B2554" s="65" t="s">
        <v>469</v>
      </c>
      <c r="C2554" s="65" t="s">
        <v>106</v>
      </c>
      <c r="D2554" s="65" t="str">
        <f>vlookup(C2554,'Classificação p pessoal'!F:G,2,false)</f>
        <v>MProcesso</v>
      </c>
      <c r="E2554" s="65" t="s">
        <v>1646</v>
      </c>
      <c r="F2554" s="83">
        <v>0.375</v>
      </c>
      <c r="G2554" s="83">
        <v>0.5833333333333334</v>
      </c>
      <c r="H2554" s="83">
        <v>0.20833333333333334</v>
      </c>
      <c r="I2554" s="84">
        <v>44342.0</v>
      </c>
      <c r="J2554" s="65" t="b">
        <v>1</v>
      </c>
      <c r="K2554" s="65"/>
      <c r="L2554" s="85" t="b">
        <f>IF(VLOOKUP(C2554,Projetos!A:L,12,false)=TRUE,TRUE,FALSE)</f>
        <v>1</v>
      </c>
      <c r="M2554" s="74">
        <v>37.50928062469937</v>
      </c>
      <c r="N2554" s="74">
        <f t="shared" si="1"/>
        <v>187.5464031</v>
      </c>
      <c r="O2554" s="74" t="b">
        <v>1</v>
      </c>
    </row>
    <row r="2555" hidden="1">
      <c r="A2555" s="82"/>
      <c r="B2555" s="65" t="s">
        <v>411</v>
      </c>
      <c r="C2555" s="65" t="s">
        <v>88</v>
      </c>
      <c r="D2555" s="65" t="str">
        <f>vlookup(C2555,'Classificação p pessoal'!F:G,2,false)</f>
        <v>MProduto</v>
      </c>
      <c r="E2555" s="65" t="s">
        <v>1647</v>
      </c>
      <c r="F2555" s="83">
        <v>0.375</v>
      </c>
      <c r="G2555" s="83">
        <v>0.3958333333333333</v>
      </c>
      <c r="H2555" s="83">
        <v>0.020833333333333332</v>
      </c>
      <c r="I2555" s="84">
        <v>44221.0</v>
      </c>
      <c r="J2555" s="65" t="b">
        <v>1</v>
      </c>
      <c r="K2555" s="65"/>
      <c r="L2555" s="85" t="b">
        <f>IF(VLOOKUP(C2555,Projetos!A:L,12,false)=TRUE,TRUE,FALSE)</f>
        <v>1</v>
      </c>
      <c r="M2555" s="74">
        <v>52.48434411075036</v>
      </c>
      <c r="N2555" s="74">
        <f t="shared" si="1"/>
        <v>26.24217206</v>
      </c>
      <c r="O2555" s="74" t="b">
        <v>1</v>
      </c>
    </row>
    <row r="2556" hidden="1">
      <c r="A2556" s="82"/>
      <c r="B2556" s="65" t="s">
        <v>469</v>
      </c>
      <c r="C2556" s="65" t="s">
        <v>118</v>
      </c>
      <c r="D2556" s="65" t="str">
        <f>vlookup(C2556,'Classificação p pessoal'!F:G,2,false)</f>
        <v>MProduto</v>
      </c>
      <c r="E2556" s="65" t="s">
        <v>1648</v>
      </c>
      <c r="F2556" s="83">
        <v>0.3611111111111111</v>
      </c>
      <c r="G2556" s="83">
        <v>0.75</v>
      </c>
      <c r="H2556" s="83">
        <v>0.3888888888888889</v>
      </c>
      <c r="I2556" s="84">
        <v>44359.0</v>
      </c>
      <c r="J2556" s="65" t="b">
        <v>1</v>
      </c>
      <c r="K2556" s="65"/>
      <c r="L2556" s="85" t="b">
        <f>IF(VLOOKUP(C2556,Projetos!A:L,12,false)=TRUE,TRUE,FALSE)</f>
        <v>1</v>
      </c>
      <c r="M2556" s="74">
        <v>37.50928062469937</v>
      </c>
      <c r="N2556" s="74">
        <f t="shared" si="1"/>
        <v>350.0866192</v>
      </c>
      <c r="O2556" s="74" t="b">
        <v>1</v>
      </c>
    </row>
    <row r="2557" hidden="1">
      <c r="A2557" s="82"/>
      <c r="B2557" s="65" t="s">
        <v>469</v>
      </c>
      <c r="C2557" s="65" t="s">
        <v>118</v>
      </c>
      <c r="D2557" s="65" t="str">
        <f>vlookup(C2557,'Classificação p pessoal'!F:G,2,false)</f>
        <v>MProduto</v>
      </c>
      <c r="E2557" s="65" t="s">
        <v>1648</v>
      </c>
      <c r="F2557" s="83">
        <v>0.3541666666666667</v>
      </c>
      <c r="G2557" s="83">
        <v>0.75</v>
      </c>
      <c r="H2557" s="83">
        <v>0.3958333333333333</v>
      </c>
      <c r="I2557" s="84">
        <v>44361.0</v>
      </c>
      <c r="J2557" s="65" t="b">
        <v>1</v>
      </c>
      <c r="K2557" s="65"/>
      <c r="L2557" s="85" t="b">
        <f>IF(VLOOKUP(C2557,Projetos!A:L,12,false)=TRUE,TRUE,FALSE)</f>
        <v>1</v>
      </c>
      <c r="M2557" s="74">
        <v>37.50928062469937</v>
      </c>
      <c r="N2557" s="74">
        <f t="shared" si="1"/>
        <v>356.3381659</v>
      </c>
      <c r="O2557" s="74" t="b">
        <v>1</v>
      </c>
    </row>
    <row r="2558" hidden="1">
      <c r="A2558" s="82"/>
      <c r="B2558" s="65" t="s">
        <v>469</v>
      </c>
      <c r="C2558" s="65" t="s">
        <v>118</v>
      </c>
      <c r="D2558" s="65" t="str">
        <f>vlookup(C2558,'Classificação p pessoal'!F:G,2,false)</f>
        <v>MProduto</v>
      </c>
      <c r="E2558" s="65" t="s">
        <v>1648</v>
      </c>
      <c r="F2558" s="83">
        <v>0.3020833333333333</v>
      </c>
      <c r="G2558" s="83">
        <v>0.7083333333333334</v>
      </c>
      <c r="H2558" s="83">
        <v>0.40625</v>
      </c>
      <c r="I2558" s="84">
        <v>44362.0</v>
      </c>
      <c r="J2558" s="65" t="b">
        <v>1</v>
      </c>
      <c r="K2558" s="65"/>
      <c r="L2558" s="85" t="b">
        <f>IF(VLOOKUP(C2558,Projetos!A:L,12,false)=TRUE,TRUE,FALSE)</f>
        <v>1</v>
      </c>
      <c r="M2558" s="74">
        <v>37.50928062469937</v>
      </c>
      <c r="N2558" s="74">
        <f t="shared" si="1"/>
        <v>365.7154861</v>
      </c>
      <c r="O2558" s="74" t="b">
        <v>1</v>
      </c>
    </row>
    <row r="2559" hidden="1">
      <c r="A2559" s="82"/>
      <c r="B2559" s="65" t="s">
        <v>469</v>
      </c>
      <c r="C2559" s="65" t="s">
        <v>118</v>
      </c>
      <c r="D2559" s="65" t="str">
        <f>vlookup(C2559,'Classificação p pessoal'!F:G,2,false)</f>
        <v>MProduto</v>
      </c>
      <c r="E2559" s="65" t="s">
        <v>1648</v>
      </c>
      <c r="F2559" s="83">
        <v>0.3020833333333333</v>
      </c>
      <c r="G2559" s="83">
        <v>0.7083333333333334</v>
      </c>
      <c r="H2559" s="83">
        <v>0.40625</v>
      </c>
      <c r="I2559" s="84">
        <v>44363.0</v>
      </c>
      <c r="J2559" s="65" t="b">
        <v>1</v>
      </c>
      <c r="K2559" s="65"/>
      <c r="L2559" s="85" t="b">
        <f>IF(VLOOKUP(C2559,Projetos!A:L,12,false)=TRUE,TRUE,FALSE)</f>
        <v>1</v>
      </c>
      <c r="M2559" s="74">
        <v>37.50928062469937</v>
      </c>
      <c r="N2559" s="74">
        <f t="shared" si="1"/>
        <v>365.7154861</v>
      </c>
      <c r="O2559" s="74" t="b">
        <v>1</v>
      </c>
    </row>
    <row r="2560" hidden="1">
      <c r="A2560" s="82"/>
      <c r="B2560" s="65" t="s">
        <v>469</v>
      </c>
      <c r="C2560" s="65" t="s">
        <v>118</v>
      </c>
      <c r="D2560" s="65" t="str">
        <f>vlookup(C2560,'Classificação p pessoal'!F:G,2,false)</f>
        <v>MProduto</v>
      </c>
      <c r="E2560" s="65" t="s">
        <v>1648</v>
      </c>
      <c r="F2560" s="83">
        <v>0.3020833333333333</v>
      </c>
      <c r="G2560" s="83">
        <v>0.7083333333333334</v>
      </c>
      <c r="H2560" s="83">
        <v>0.40625</v>
      </c>
      <c r="I2560" s="84">
        <v>44364.0</v>
      </c>
      <c r="J2560" s="65" t="b">
        <v>1</v>
      </c>
      <c r="K2560" s="65"/>
      <c r="L2560" s="85" t="b">
        <f>IF(VLOOKUP(C2560,Projetos!A:L,12,false)=TRUE,TRUE,FALSE)</f>
        <v>1</v>
      </c>
      <c r="M2560" s="74">
        <v>37.50928062469937</v>
      </c>
      <c r="N2560" s="74">
        <f t="shared" si="1"/>
        <v>365.7154861</v>
      </c>
      <c r="O2560" s="74" t="b">
        <v>1</v>
      </c>
    </row>
    <row r="2561" hidden="1">
      <c r="A2561" s="82"/>
      <c r="B2561" s="65" t="s">
        <v>469</v>
      </c>
      <c r="C2561" s="65" t="s">
        <v>101</v>
      </c>
      <c r="D2561" s="65"/>
      <c r="E2561" s="65" t="s">
        <v>1649</v>
      </c>
      <c r="F2561" s="83">
        <v>0.5</v>
      </c>
      <c r="G2561" s="83">
        <v>0.6041666666666666</v>
      </c>
      <c r="H2561" s="83">
        <v>0.10416666666666667</v>
      </c>
      <c r="I2561" s="84">
        <v>44364.0</v>
      </c>
      <c r="J2561" s="65" t="b">
        <v>0</v>
      </c>
      <c r="K2561" s="65" t="s">
        <v>150</v>
      </c>
      <c r="L2561" s="85" t="b">
        <f>IF(VLOOKUP(C2561,Projetos!A:L,12,false)=TRUE,TRUE,FALSE)</f>
        <v>1</v>
      </c>
      <c r="M2561" s="74">
        <v>37.50928062469937</v>
      </c>
      <c r="N2561" s="74">
        <f t="shared" si="1"/>
        <v>0</v>
      </c>
      <c r="O2561" s="74" t="b">
        <v>1</v>
      </c>
    </row>
    <row r="2562" hidden="1">
      <c r="A2562" s="82"/>
      <c r="B2562" s="65" t="s">
        <v>469</v>
      </c>
      <c r="C2562" s="65" t="s">
        <v>118</v>
      </c>
      <c r="D2562" s="65" t="str">
        <f>vlookup(C2562,'Classificação p pessoal'!F:G,2,false)</f>
        <v>MProduto</v>
      </c>
      <c r="E2562" s="65" t="s">
        <v>1648</v>
      </c>
      <c r="F2562" s="83">
        <v>0.3125</v>
      </c>
      <c r="G2562" s="83">
        <v>0.4583333333333333</v>
      </c>
      <c r="H2562" s="83">
        <v>0.14583333333333334</v>
      </c>
      <c r="I2562" s="84">
        <v>44368.0</v>
      </c>
      <c r="J2562" s="65" t="b">
        <v>1</v>
      </c>
      <c r="K2562" s="65"/>
      <c r="L2562" s="85" t="b">
        <f>IF(VLOOKUP(C2562,Projetos!A:L,12,false)=TRUE,TRUE,FALSE)</f>
        <v>1</v>
      </c>
      <c r="M2562" s="74">
        <v>37.50928062469937</v>
      </c>
      <c r="N2562" s="74">
        <f t="shared" si="1"/>
        <v>131.2824822</v>
      </c>
      <c r="O2562" s="74" t="b">
        <v>1</v>
      </c>
    </row>
    <row r="2563" hidden="1">
      <c r="A2563" s="82"/>
      <c r="B2563" s="65" t="s">
        <v>469</v>
      </c>
      <c r="C2563" s="65" t="s">
        <v>106</v>
      </c>
      <c r="D2563" s="65"/>
      <c r="E2563" s="65" t="s">
        <v>1650</v>
      </c>
      <c r="F2563" s="83">
        <v>0.3541666666666667</v>
      </c>
      <c r="G2563" s="83">
        <v>0.7083333333333334</v>
      </c>
      <c r="H2563" s="83">
        <v>0.3541666666666667</v>
      </c>
      <c r="I2563" s="84">
        <v>44368.0</v>
      </c>
      <c r="J2563" s="65" t="b">
        <v>0</v>
      </c>
      <c r="K2563" s="65" t="s">
        <v>150</v>
      </c>
      <c r="L2563" s="85" t="b">
        <f>IF(VLOOKUP(C2563,Projetos!A:L,12,false)=TRUE,TRUE,FALSE)</f>
        <v>1</v>
      </c>
      <c r="M2563" s="74">
        <v>37.50928062469937</v>
      </c>
      <c r="N2563" s="74">
        <f t="shared" si="1"/>
        <v>0</v>
      </c>
      <c r="O2563" s="74" t="b">
        <v>1</v>
      </c>
    </row>
    <row r="2564" hidden="1">
      <c r="A2564" s="82"/>
      <c r="B2564" s="65" t="s">
        <v>469</v>
      </c>
      <c r="C2564" s="65" t="s">
        <v>106</v>
      </c>
      <c r="D2564" s="65"/>
      <c r="E2564" s="65" t="s">
        <v>1650</v>
      </c>
      <c r="F2564" s="83">
        <v>0.375</v>
      </c>
      <c r="G2564" s="83">
        <v>0.7083333333333334</v>
      </c>
      <c r="H2564" s="83">
        <v>0.3333333333333333</v>
      </c>
      <c r="I2564" s="84">
        <v>44369.0</v>
      </c>
      <c r="J2564" s="65" t="b">
        <v>0</v>
      </c>
      <c r="K2564" s="65" t="s">
        <v>150</v>
      </c>
      <c r="L2564" s="85" t="b">
        <f>IF(VLOOKUP(C2564,Projetos!A:L,12,false)=TRUE,TRUE,FALSE)</f>
        <v>1</v>
      </c>
      <c r="M2564" s="74">
        <v>37.50928062469937</v>
      </c>
      <c r="N2564" s="74">
        <f t="shared" si="1"/>
        <v>0</v>
      </c>
      <c r="O2564" s="74" t="b">
        <v>1</v>
      </c>
    </row>
    <row r="2565" hidden="1">
      <c r="A2565" s="82"/>
      <c r="B2565" s="65" t="s">
        <v>469</v>
      </c>
      <c r="C2565" s="65" t="s">
        <v>106</v>
      </c>
      <c r="D2565" s="65"/>
      <c r="E2565" s="65" t="s">
        <v>1651</v>
      </c>
      <c r="F2565" s="83">
        <v>0.375</v>
      </c>
      <c r="G2565" s="83">
        <v>0.5</v>
      </c>
      <c r="H2565" s="83">
        <v>0.125</v>
      </c>
      <c r="I2565" s="84">
        <v>44371.0</v>
      </c>
      <c r="J2565" s="65" t="b">
        <v>0</v>
      </c>
      <c r="K2565" s="65" t="s">
        <v>150</v>
      </c>
      <c r="L2565" s="85" t="b">
        <f>IF(VLOOKUP(C2565,Projetos!A:L,12,false)=TRUE,TRUE,FALSE)</f>
        <v>1</v>
      </c>
      <c r="M2565" s="74">
        <v>37.50928062469937</v>
      </c>
      <c r="N2565" s="74">
        <f t="shared" si="1"/>
        <v>0</v>
      </c>
      <c r="O2565" s="74" t="b">
        <v>1</v>
      </c>
    </row>
    <row r="2566" hidden="1">
      <c r="A2566" s="82"/>
      <c r="B2566" s="65" t="s">
        <v>469</v>
      </c>
      <c r="C2566" s="65" t="s">
        <v>106</v>
      </c>
      <c r="D2566" s="65" t="str">
        <f>vlookup(C2566,'Classificação p pessoal'!F:G,2,false)</f>
        <v>MProcesso</v>
      </c>
      <c r="E2566" s="65" t="s">
        <v>1652</v>
      </c>
      <c r="F2566" s="83">
        <v>0.2916666666666667</v>
      </c>
      <c r="G2566" s="83">
        <v>0.3229166666666667</v>
      </c>
      <c r="H2566" s="83">
        <v>0.03125</v>
      </c>
      <c r="I2566" s="84">
        <v>44372.0</v>
      </c>
      <c r="J2566" s="65" t="b">
        <v>1</v>
      </c>
      <c r="K2566" s="65"/>
      <c r="L2566" s="85" t="b">
        <f>IF(VLOOKUP(C2566,Projetos!A:L,12,false)=TRUE,TRUE,FALSE)</f>
        <v>1</v>
      </c>
      <c r="M2566" s="74">
        <v>37.50928062469937</v>
      </c>
      <c r="N2566" s="74">
        <f t="shared" si="1"/>
        <v>28.13196047</v>
      </c>
      <c r="O2566" s="74" t="b">
        <v>1</v>
      </c>
    </row>
    <row r="2567" hidden="1">
      <c r="A2567" s="82"/>
      <c r="B2567" s="65" t="s">
        <v>469</v>
      </c>
      <c r="C2567" s="65" t="s">
        <v>101</v>
      </c>
      <c r="D2567" s="65" t="str">
        <f>vlookup(C2567,'Classificação p pessoal'!F:G,2,false)</f>
        <v>NP</v>
      </c>
      <c r="E2567" s="65" t="s">
        <v>1653</v>
      </c>
      <c r="F2567" s="83">
        <v>0.5</v>
      </c>
      <c r="G2567" s="83">
        <v>0.625</v>
      </c>
      <c r="H2567" s="83">
        <v>0.125</v>
      </c>
      <c r="I2567" s="84">
        <v>44372.0</v>
      </c>
      <c r="J2567" s="65" t="b">
        <v>1</v>
      </c>
      <c r="K2567" s="65"/>
      <c r="L2567" s="85" t="b">
        <f>IF(VLOOKUP(C2567,Projetos!A:L,12,false)=TRUE,TRUE,FALSE)</f>
        <v>1</v>
      </c>
      <c r="M2567" s="74">
        <v>37.50928062469937</v>
      </c>
      <c r="N2567" s="74">
        <f t="shared" si="1"/>
        <v>112.5278419</v>
      </c>
      <c r="O2567" s="74" t="b">
        <v>1</v>
      </c>
    </row>
    <row r="2568" hidden="1">
      <c r="A2568" s="82"/>
      <c r="B2568" s="65" t="s">
        <v>469</v>
      </c>
      <c r="C2568" s="65" t="s">
        <v>118</v>
      </c>
      <c r="D2568" s="65"/>
      <c r="E2568" s="65" t="s">
        <v>1654</v>
      </c>
      <c r="F2568" s="83">
        <v>0.3125</v>
      </c>
      <c r="G2568" s="83">
        <v>0.3958333333333333</v>
      </c>
      <c r="H2568" s="83">
        <v>0.08333333333333333</v>
      </c>
      <c r="I2568" s="84">
        <v>44375.0</v>
      </c>
      <c r="J2568" s="65" t="b">
        <v>0</v>
      </c>
      <c r="K2568" s="65" t="s">
        <v>150</v>
      </c>
      <c r="L2568" s="85" t="b">
        <f>IF(VLOOKUP(C2568,Projetos!A:L,12,false)=TRUE,TRUE,FALSE)</f>
        <v>1</v>
      </c>
      <c r="M2568" s="74">
        <v>37.50928062469937</v>
      </c>
      <c r="N2568" s="74">
        <f t="shared" si="1"/>
        <v>0</v>
      </c>
      <c r="O2568" s="74" t="b">
        <v>1</v>
      </c>
    </row>
    <row r="2569" hidden="1">
      <c r="A2569" s="82"/>
      <c r="B2569" s="65" t="s">
        <v>469</v>
      </c>
      <c r="C2569" s="65" t="s">
        <v>106</v>
      </c>
      <c r="D2569" s="65" t="str">
        <f>vlookup(C2569,'Classificação p pessoal'!F:G,2,false)</f>
        <v>MProcesso</v>
      </c>
      <c r="E2569" s="65" t="s">
        <v>1655</v>
      </c>
      <c r="F2569" s="83">
        <v>0.3958333333333333</v>
      </c>
      <c r="G2569" s="83">
        <v>0.4166666666666667</v>
      </c>
      <c r="H2569" s="83">
        <v>0.020833333333333332</v>
      </c>
      <c r="I2569" s="84">
        <v>44375.0</v>
      </c>
      <c r="J2569" s="65" t="b">
        <v>1</v>
      </c>
      <c r="K2569" s="65"/>
      <c r="L2569" s="85" t="b">
        <f>IF(VLOOKUP(C2569,Projetos!A:L,12,false)=TRUE,TRUE,FALSE)</f>
        <v>1</v>
      </c>
      <c r="M2569" s="74">
        <v>37.50928062469937</v>
      </c>
      <c r="N2569" s="74">
        <f t="shared" si="1"/>
        <v>18.75464031</v>
      </c>
      <c r="O2569" s="74" t="b">
        <v>1</v>
      </c>
    </row>
    <row r="2570" hidden="1">
      <c r="A2570" s="82"/>
      <c r="B2570" s="65" t="s">
        <v>469</v>
      </c>
      <c r="C2570" s="65" t="s">
        <v>118</v>
      </c>
      <c r="D2570" s="65"/>
      <c r="E2570" s="65" t="s">
        <v>1656</v>
      </c>
      <c r="F2570" s="83">
        <v>0.4583333333333333</v>
      </c>
      <c r="G2570" s="83">
        <v>0.5833333333333334</v>
      </c>
      <c r="H2570" s="83">
        <v>0.125</v>
      </c>
      <c r="I2570" s="84">
        <v>44376.0</v>
      </c>
      <c r="J2570" s="65" t="b">
        <v>0</v>
      </c>
      <c r="K2570" s="65" t="s">
        <v>150</v>
      </c>
      <c r="L2570" s="85" t="b">
        <f>IF(VLOOKUP(C2570,Projetos!A:L,12,false)=TRUE,TRUE,FALSE)</f>
        <v>1</v>
      </c>
      <c r="M2570" s="74">
        <v>37.50928062469937</v>
      </c>
      <c r="N2570" s="74">
        <f t="shared" si="1"/>
        <v>0</v>
      </c>
      <c r="O2570" s="74" t="b">
        <v>1</v>
      </c>
    </row>
    <row r="2571" hidden="1">
      <c r="A2571" s="82"/>
      <c r="B2571" s="65" t="s">
        <v>469</v>
      </c>
      <c r="C2571" s="65" t="s">
        <v>118</v>
      </c>
      <c r="D2571" s="65"/>
      <c r="E2571" s="65" t="s">
        <v>1657</v>
      </c>
      <c r="F2571" s="83">
        <v>0.5833333333333334</v>
      </c>
      <c r="G2571" s="83">
        <v>0.6666666666666666</v>
      </c>
      <c r="H2571" s="83">
        <v>0.08333333333333333</v>
      </c>
      <c r="I2571" s="84">
        <v>44377.0</v>
      </c>
      <c r="J2571" s="65" t="b">
        <v>0</v>
      </c>
      <c r="K2571" s="65" t="s">
        <v>150</v>
      </c>
      <c r="L2571" s="85" t="b">
        <f>IF(VLOOKUP(C2571,Projetos!A:L,12,false)=TRUE,TRUE,FALSE)</f>
        <v>1</v>
      </c>
      <c r="M2571" s="74">
        <v>37.50928062469937</v>
      </c>
      <c r="N2571" s="74">
        <f t="shared" si="1"/>
        <v>0</v>
      </c>
      <c r="O2571" s="74" t="b">
        <v>1</v>
      </c>
    </row>
    <row r="2572" hidden="1">
      <c r="A2572" s="82"/>
      <c r="B2572" s="65" t="s">
        <v>469</v>
      </c>
      <c r="C2572" s="65" t="s">
        <v>108</v>
      </c>
      <c r="D2572" s="65"/>
      <c r="E2572" s="65" t="s">
        <v>1658</v>
      </c>
      <c r="F2572" s="83">
        <v>0.5</v>
      </c>
      <c r="G2572" s="83">
        <v>0.7083333333333334</v>
      </c>
      <c r="H2572" s="83">
        <v>0.20833333333333334</v>
      </c>
      <c r="I2572" s="84">
        <v>44378.0</v>
      </c>
      <c r="J2572" s="65" t="b">
        <v>0</v>
      </c>
      <c r="K2572" s="65" t="s">
        <v>150</v>
      </c>
      <c r="L2572" s="85" t="b">
        <f>IF(VLOOKUP(C2572,Projetos!A:L,12,false)=TRUE,TRUE,FALSE)</f>
        <v>1</v>
      </c>
      <c r="M2572" s="74">
        <v>37.50928062469937</v>
      </c>
      <c r="N2572" s="74">
        <f t="shared" si="1"/>
        <v>0</v>
      </c>
      <c r="O2572" s="74" t="b">
        <v>1</v>
      </c>
    </row>
    <row r="2573" hidden="1">
      <c r="A2573" s="82"/>
      <c r="B2573" s="65" t="s">
        <v>469</v>
      </c>
      <c r="C2573" s="65" t="s">
        <v>108</v>
      </c>
      <c r="D2573" s="65"/>
      <c r="E2573" s="65" t="s">
        <v>1659</v>
      </c>
      <c r="F2573" s="83">
        <v>0.5833333333333334</v>
      </c>
      <c r="G2573" s="83">
        <v>0.6666666666666666</v>
      </c>
      <c r="H2573" s="83">
        <v>0.08333333333333333</v>
      </c>
      <c r="I2573" s="84">
        <v>44379.0</v>
      </c>
      <c r="J2573" s="65" t="b">
        <v>0</v>
      </c>
      <c r="K2573" s="65" t="s">
        <v>150</v>
      </c>
      <c r="L2573" s="85" t="b">
        <f>IF(VLOOKUP(C2573,Projetos!A:L,12,false)=TRUE,TRUE,FALSE)</f>
        <v>1</v>
      </c>
      <c r="M2573" s="74">
        <v>37.50928062469937</v>
      </c>
      <c r="N2573" s="74">
        <f t="shared" si="1"/>
        <v>0</v>
      </c>
      <c r="O2573" s="74" t="b">
        <v>1</v>
      </c>
    </row>
    <row r="2574" hidden="1">
      <c r="A2574" s="82"/>
      <c r="B2574" s="65" t="s">
        <v>469</v>
      </c>
      <c r="C2574" s="65" t="s">
        <v>132</v>
      </c>
      <c r="D2574" s="65"/>
      <c r="E2574" s="65" t="s">
        <v>1660</v>
      </c>
      <c r="F2574" s="83">
        <v>0.3333333333333333</v>
      </c>
      <c r="G2574" s="83">
        <v>0.7083333333333334</v>
      </c>
      <c r="H2574" s="83">
        <v>0.375</v>
      </c>
      <c r="I2574" s="84">
        <v>44379.0</v>
      </c>
      <c r="J2574" s="65" t="b">
        <v>0</v>
      </c>
      <c r="K2574" s="65" t="s">
        <v>150</v>
      </c>
      <c r="L2574" s="85" t="b">
        <f>IF(VLOOKUP(C2574,Projetos!A:L,12,false)=TRUE,TRUE,FALSE)</f>
        <v>0</v>
      </c>
      <c r="M2574" s="74">
        <v>37.50928062469937</v>
      </c>
      <c r="N2574" s="74">
        <f t="shared" si="1"/>
        <v>0</v>
      </c>
      <c r="O2574" s="74" t="b">
        <v>0</v>
      </c>
    </row>
    <row r="2575" hidden="1">
      <c r="A2575" s="82"/>
      <c r="B2575" s="65" t="s">
        <v>469</v>
      </c>
      <c r="C2575" s="65" t="s">
        <v>132</v>
      </c>
      <c r="D2575" s="65"/>
      <c r="E2575" s="65" t="s">
        <v>1661</v>
      </c>
      <c r="F2575" s="83">
        <v>0.3020833333333333</v>
      </c>
      <c r="G2575" s="83">
        <v>0.6875</v>
      </c>
      <c r="H2575" s="83">
        <v>0.3854166666666667</v>
      </c>
      <c r="I2575" s="84">
        <v>44382.0</v>
      </c>
      <c r="J2575" s="65" t="b">
        <v>0</v>
      </c>
      <c r="K2575" s="65" t="s">
        <v>150</v>
      </c>
      <c r="L2575" s="85" t="b">
        <f>IF(VLOOKUP(C2575,Projetos!A:L,12,false)=TRUE,TRUE,FALSE)</f>
        <v>0</v>
      </c>
      <c r="M2575" s="74">
        <v>37.50928062469937</v>
      </c>
      <c r="N2575" s="74">
        <f t="shared" si="1"/>
        <v>0</v>
      </c>
      <c r="O2575" s="74" t="b">
        <v>0</v>
      </c>
    </row>
    <row r="2576" hidden="1">
      <c r="A2576" s="82"/>
      <c r="B2576" s="65" t="s">
        <v>177</v>
      </c>
      <c r="C2576" s="65" t="s">
        <v>100</v>
      </c>
      <c r="D2576" s="65" t="str">
        <f>vlookup(C2576,'Classificação p pessoal'!F:G,2,false)</f>
        <v>NP</v>
      </c>
      <c r="E2576" s="65" t="s">
        <v>1662</v>
      </c>
      <c r="F2576" s="83">
        <v>0.4166666666666667</v>
      </c>
      <c r="G2576" s="83">
        <v>0.5416666666666666</v>
      </c>
      <c r="H2576" s="83">
        <v>0.125</v>
      </c>
      <c r="I2576" s="84">
        <v>44376.0</v>
      </c>
      <c r="J2576" s="65" t="b">
        <v>1</v>
      </c>
      <c r="K2576" s="65"/>
      <c r="L2576" s="85" t="b">
        <f>IF(VLOOKUP(C2576,Projetos!A:L,12,false)=TRUE,TRUE,FALSE)</f>
        <v>1</v>
      </c>
      <c r="M2576" s="74">
        <v>31.02923620430495</v>
      </c>
      <c r="N2576" s="74">
        <f t="shared" si="1"/>
        <v>93.08770861</v>
      </c>
      <c r="O2576" s="74" t="b">
        <v>1</v>
      </c>
    </row>
    <row r="2577" hidden="1">
      <c r="A2577" s="82"/>
      <c r="B2577" s="65" t="s">
        <v>469</v>
      </c>
      <c r="C2577" s="65" t="s">
        <v>132</v>
      </c>
      <c r="D2577" s="65"/>
      <c r="E2577" s="65" t="s">
        <v>1661</v>
      </c>
      <c r="F2577" s="83">
        <v>0.3020833333333333</v>
      </c>
      <c r="G2577" s="83">
        <v>0.7083333333333334</v>
      </c>
      <c r="H2577" s="83">
        <v>0.40625</v>
      </c>
      <c r="I2577" s="84">
        <v>44383.0</v>
      </c>
      <c r="J2577" s="65" t="b">
        <v>0</v>
      </c>
      <c r="K2577" s="65" t="s">
        <v>150</v>
      </c>
      <c r="L2577" s="85" t="b">
        <f>IF(VLOOKUP(C2577,Projetos!A:L,12,false)=TRUE,TRUE,FALSE)</f>
        <v>0</v>
      </c>
      <c r="M2577" s="74">
        <v>37.50928062469937</v>
      </c>
      <c r="N2577" s="74">
        <f t="shared" si="1"/>
        <v>0</v>
      </c>
      <c r="O2577" s="74" t="b">
        <v>0</v>
      </c>
    </row>
    <row r="2578" hidden="1">
      <c r="A2578" s="82"/>
      <c r="B2578" s="65" t="s">
        <v>469</v>
      </c>
      <c r="C2578" s="65" t="s">
        <v>105</v>
      </c>
      <c r="D2578" s="65"/>
      <c r="E2578" s="65" t="s">
        <v>1663</v>
      </c>
      <c r="F2578" s="83">
        <v>0.4583333333333333</v>
      </c>
      <c r="G2578" s="83">
        <v>0.625</v>
      </c>
      <c r="H2578" s="83">
        <v>0.16666666666666666</v>
      </c>
      <c r="I2578" s="84">
        <v>44384.0</v>
      </c>
      <c r="J2578" s="65" t="b">
        <v>0</v>
      </c>
      <c r="K2578" s="65" t="s">
        <v>150</v>
      </c>
      <c r="L2578" s="85" t="b">
        <f>IF(VLOOKUP(C2578,Projetos!A:L,12,false)=TRUE,TRUE,FALSE)</f>
        <v>1</v>
      </c>
      <c r="M2578" s="74">
        <v>37.50928062469937</v>
      </c>
      <c r="N2578" s="74">
        <f t="shared" si="1"/>
        <v>0</v>
      </c>
      <c r="O2578" s="74" t="b">
        <v>1</v>
      </c>
    </row>
    <row r="2579" hidden="1">
      <c r="A2579" s="82"/>
      <c r="B2579" s="65" t="s">
        <v>469</v>
      </c>
      <c r="C2579" s="65" t="s">
        <v>107</v>
      </c>
      <c r="D2579" s="65"/>
      <c r="E2579" s="65" t="s">
        <v>1664</v>
      </c>
      <c r="F2579" s="83">
        <v>0.625</v>
      </c>
      <c r="G2579" s="83">
        <v>0.7083333333333334</v>
      </c>
      <c r="H2579" s="83">
        <v>0.08333333333333333</v>
      </c>
      <c r="I2579" s="84">
        <v>44384.0</v>
      </c>
      <c r="J2579" s="65" t="b">
        <v>0</v>
      </c>
      <c r="K2579" s="65" t="s">
        <v>150</v>
      </c>
      <c r="L2579" s="85" t="b">
        <f>IF(VLOOKUP(C2579,Projetos!A:L,12,false)=TRUE,TRUE,FALSE)</f>
        <v>1</v>
      </c>
      <c r="M2579" s="74">
        <v>37.50928062469937</v>
      </c>
      <c r="N2579" s="74">
        <f t="shared" si="1"/>
        <v>0</v>
      </c>
      <c r="O2579" s="74" t="b">
        <v>1</v>
      </c>
    </row>
    <row r="2580" hidden="1">
      <c r="A2580" s="82"/>
      <c r="B2580" s="65" t="s">
        <v>469</v>
      </c>
      <c r="C2580" s="65" t="s">
        <v>106</v>
      </c>
      <c r="D2580" s="65" t="str">
        <f>vlookup(C2580,'Classificação p pessoal'!F:G,2,false)</f>
        <v>MProcesso</v>
      </c>
      <c r="E2580" s="65" t="s">
        <v>1665</v>
      </c>
      <c r="F2580" s="83">
        <v>0.5833333333333334</v>
      </c>
      <c r="G2580" s="83">
        <v>0.6458333333333334</v>
      </c>
      <c r="H2580" s="83">
        <v>0.0625</v>
      </c>
      <c r="I2580" s="84">
        <v>44385.0</v>
      </c>
      <c r="J2580" s="65" t="b">
        <v>1</v>
      </c>
      <c r="K2580" s="65"/>
      <c r="L2580" s="85" t="b">
        <f>IF(VLOOKUP(C2580,Projetos!A:L,12,false)=TRUE,TRUE,FALSE)</f>
        <v>1</v>
      </c>
      <c r="M2580" s="74">
        <v>37.50928062469937</v>
      </c>
      <c r="N2580" s="74">
        <f t="shared" si="1"/>
        <v>56.26392094</v>
      </c>
      <c r="O2580" s="74" t="b">
        <v>1</v>
      </c>
    </row>
    <row r="2581" hidden="1">
      <c r="A2581" s="82"/>
      <c r="B2581" s="65" t="s">
        <v>469</v>
      </c>
      <c r="C2581" s="65" t="s">
        <v>118</v>
      </c>
      <c r="D2581" s="65" t="str">
        <f>vlookup(C2581,'Classificação p pessoal'!F:G,2,false)</f>
        <v>MProduto</v>
      </c>
      <c r="E2581" s="65" t="s">
        <v>1666</v>
      </c>
      <c r="F2581" s="83">
        <v>0.3333333333333333</v>
      </c>
      <c r="G2581" s="83">
        <v>0.6458333333333334</v>
      </c>
      <c r="H2581" s="83">
        <v>0.3125</v>
      </c>
      <c r="I2581" s="84">
        <v>44384.0</v>
      </c>
      <c r="J2581" s="65" t="b">
        <v>1</v>
      </c>
      <c r="K2581" s="65"/>
      <c r="L2581" s="85" t="b">
        <f>IF(VLOOKUP(C2581,Projetos!A:L,12,false)=TRUE,TRUE,FALSE)</f>
        <v>1</v>
      </c>
      <c r="M2581" s="74">
        <v>37.50928062469937</v>
      </c>
      <c r="N2581" s="74">
        <f t="shared" si="1"/>
        <v>281.3196047</v>
      </c>
      <c r="O2581" s="74" t="b">
        <v>1</v>
      </c>
    </row>
    <row r="2582" hidden="1">
      <c r="A2582" s="82"/>
      <c r="B2582" s="65" t="s">
        <v>469</v>
      </c>
      <c r="C2582" s="65" t="s">
        <v>118</v>
      </c>
      <c r="D2582" s="65" t="str">
        <f>vlookup(C2582,'Classificação p pessoal'!F:G,2,false)</f>
        <v>MProduto</v>
      </c>
      <c r="E2582" s="65" t="s">
        <v>1666</v>
      </c>
      <c r="F2582" s="83">
        <v>0.3333333333333333</v>
      </c>
      <c r="G2582" s="83">
        <v>0.6458333333333334</v>
      </c>
      <c r="H2582" s="83">
        <v>0.3125</v>
      </c>
      <c r="I2582" s="84">
        <v>44385.0</v>
      </c>
      <c r="J2582" s="65" t="b">
        <v>1</v>
      </c>
      <c r="K2582" s="65"/>
      <c r="L2582" s="85" t="b">
        <f>IF(VLOOKUP(C2582,Projetos!A:L,12,false)=TRUE,TRUE,FALSE)</f>
        <v>1</v>
      </c>
      <c r="M2582" s="74">
        <v>37.50928062469937</v>
      </c>
      <c r="N2582" s="74">
        <f t="shared" si="1"/>
        <v>281.3196047</v>
      </c>
      <c r="O2582" s="74" t="b">
        <v>1</v>
      </c>
    </row>
    <row r="2583" hidden="1">
      <c r="A2583" s="82"/>
      <c r="B2583" s="65" t="s">
        <v>469</v>
      </c>
      <c r="C2583" s="65" t="s">
        <v>118</v>
      </c>
      <c r="D2583" s="65" t="str">
        <f>vlookup(C2583,'Classificação p pessoal'!F:G,2,false)</f>
        <v>MProduto</v>
      </c>
      <c r="E2583" s="65" t="s">
        <v>1666</v>
      </c>
      <c r="F2583" s="83">
        <v>0.3333333333333333</v>
      </c>
      <c r="G2583" s="83">
        <v>0.7083333333333334</v>
      </c>
      <c r="H2583" s="83">
        <v>0.375</v>
      </c>
      <c r="I2583" s="84">
        <v>44386.0</v>
      </c>
      <c r="J2583" s="65" t="b">
        <v>1</v>
      </c>
      <c r="K2583" s="65"/>
      <c r="L2583" s="85" t="b">
        <f>IF(VLOOKUP(C2583,Projetos!A:L,12,false)=TRUE,TRUE,FALSE)</f>
        <v>1</v>
      </c>
      <c r="M2583" s="74">
        <v>37.50928062469937</v>
      </c>
      <c r="N2583" s="74">
        <f t="shared" si="1"/>
        <v>337.5835256</v>
      </c>
      <c r="O2583" s="74" t="b">
        <v>1</v>
      </c>
    </row>
    <row r="2584" hidden="1">
      <c r="A2584" s="82"/>
      <c r="B2584" s="65" t="s">
        <v>469</v>
      </c>
      <c r="C2584" s="65" t="s">
        <v>118</v>
      </c>
      <c r="D2584" s="65" t="str">
        <f>vlookup(C2584,'Classificação p pessoal'!F:G,2,false)</f>
        <v>MProduto</v>
      </c>
      <c r="E2584" s="65" t="s">
        <v>1666</v>
      </c>
      <c r="F2584" s="83">
        <v>0.3333333333333333</v>
      </c>
      <c r="G2584" s="83">
        <v>0.7083333333333334</v>
      </c>
      <c r="H2584" s="83">
        <v>0.375</v>
      </c>
      <c r="I2584" s="84">
        <v>44387.0</v>
      </c>
      <c r="J2584" s="65" t="b">
        <v>1</v>
      </c>
      <c r="K2584" s="65"/>
      <c r="L2584" s="85" t="b">
        <f>IF(VLOOKUP(C2584,Projetos!A:L,12,false)=TRUE,TRUE,FALSE)</f>
        <v>1</v>
      </c>
      <c r="M2584" s="74">
        <v>37.50928062469937</v>
      </c>
      <c r="N2584" s="74">
        <f t="shared" si="1"/>
        <v>337.5835256</v>
      </c>
      <c r="O2584" s="74" t="b">
        <v>1</v>
      </c>
    </row>
    <row r="2585" hidden="1">
      <c r="A2585" s="82"/>
      <c r="B2585" s="65" t="s">
        <v>411</v>
      </c>
      <c r="C2585" s="65" t="s">
        <v>114</v>
      </c>
      <c r="D2585" s="65" t="str">
        <f>vlookup(C2585,'Classificação p pessoal'!F:G,2,false)</f>
        <v>NP</v>
      </c>
      <c r="E2585" s="65" t="s">
        <v>1667</v>
      </c>
      <c r="F2585" s="83">
        <v>0.4791666666666667</v>
      </c>
      <c r="G2585" s="83">
        <v>0.5416666666666666</v>
      </c>
      <c r="H2585" s="83">
        <v>0.0625</v>
      </c>
      <c r="I2585" s="84">
        <v>44400.0</v>
      </c>
      <c r="J2585" s="65" t="b">
        <v>1</v>
      </c>
      <c r="K2585" s="65"/>
      <c r="L2585" s="85" t="b">
        <f>IF(VLOOKUP(C2585,Projetos!A:L,12,false)=TRUE,TRUE,FALSE)</f>
        <v>1</v>
      </c>
      <c r="M2585" s="74">
        <v>52.48434411075036</v>
      </c>
      <c r="N2585" s="74">
        <f t="shared" si="1"/>
        <v>78.72651617</v>
      </c>
      <c r="O2585" s="74" t="b">
        <v>1</v>
      </c>
    </row>
    <row r="2586" hidden="1">
      <c r="A2586" s="82"/>
      <c r="B2586" s="65" t="s">
        <v>469</v>
      </c>
      <c r="C2586" s="65" t="s">
        <v>118</v>
      </c>
      <c r="D2586" s="65" t="str">
        <f>vlookup(C2586,'Classificação p pessoal'!F:G,2,false)</f>
        <v>MProduto</v>
      </c>
      <c r="E2586" s="65" t="s">
        <v>1668</v>
      </c>
      <c r="F2586" s="83">
        <v>0.3125</v>
      </c>
      <c r="G2586" s="83">
        <v>0.7083333333333334</v>
      </c>
      <c r="H2586" s="83">
        <v>0.3958333333333333</v>
      </c>
      <c r="I2586" s="84">
        <v>44398.0</v>
      </c>
      <c r="J2586" s="65" t="b">
        <v>1</v>
      </c>
      <c r="K2586" s="65"/>
      <c r="L2586" s="85" t="b">
        <f>IF(VLOOKUP(C2586,Projetos!A:L,12,false)=TRUE,TRUE,FALSE)</f>
        <v>1</v>
      </c>
      <c r="M2586" s="74">
        <v>37.50928062469937</v>
      </c>
      <c r="N2586" s="74">
        <f t="shared" si="1"/>
        <v>356.3381659</v>
      </c>
      <c r="O2586" s="74" t="b">
        <v>1</v>
      </c>
    </row>
    <row r="2587" hidden="1">
      <c r="A2587" s="82"/>
      <c r="B2587" s="65" t="s">
        <v>469</v>
      </c>
      <c r="C2587" s="65" t="s">
        <v>117</v>
      </c>
      <c r="D2587" s="65"/>
      <c r="E2587" s="65" t="s">
        <v>1669</v>
      </c>
      <c r="F2587" s="83">
        <v>0.4166666666666667</v>
      </c>
      <c r="G2587" s="83">
        <v>0.6666666666666666</v>
      </c>
      <c r="H2587" s="83">
        <v>0.25</v>
      </c>
      <c r="I2587" s="84">
        <v>44398.0</v>
      </c>
      <c r="J2587" s="65" t="b">
        <v>0</v>
      </c>
      <c r="K2587" s="65" t="s">
        <v>150</v>
      </c>
      <c r="L2587" s="85" t="b">
        <f>IF(VLOOKUP(C2587,Projetos!A:L,12,false)=TRUE,TRUE,FALSE)</f>
        <v>1</v>
      </c>
      <c r="M2587" s="74">
        <v>37.50928062469937</v>
      </c>
      <c r="N2587" s="74">
        <f t="shared" si="1"/>
        <v>0</v>
      </c>
      <c r="O2587" s="74" t="b">
        <v>1</v>
      </c>
    </row>
    <row r="2588" hidden="1">
      <c r="A2588" s="82"/>
      <c r="B2588" s="65" t="s">
        <v>469</v>
      </c>
      <c r="C2588" s="65" t="s">
        <v>117</v>
      </c>
      <c r="D2588" s="65"/>
      <c r="E2588" s="65" t="s">
        <v>1669</v>
      </c>
      <c r="F2588" s="83">
        <v>0.3333333333333333</v>
      </c>
      <c r="G2588" s="83">
        <v>0.7083333333333334</v>
      </c>
      <c r="H2588" s="83">
        <v>0.375</v>
      </c>
      <c r="I2588" s="84">
        <v>44399.0</v>
      </c>
      <c r="J2588" s="65" t="b">
        <v>0</v>
      </c>
      <c r="K2588" s="65" t="s">
        <v>150</v>
      </c>
      <c r="L2588" s="85" t="b">
        <f>IF(VLOOKUP(C2588,Projetos!A:L,12,false)=TRUE,TRUE,FALSE)</f>
        <v>1</v>
      </c>
      <c r="M2588" s="74">
        <v>37.50928062469937</v>
      </c>
      <c r="N2588" s="74">
        <f t="shared" si="1"/>
        <v>0</v>
      </c>
      <c r="O2588" s="74" t="b">
        <v>1</v>
      </c>
    </row>
    <row r="2589" hidden="1">
      <c r="A2589" s="82"/>
      <c r="B2589" s="65" t="s">
        <v>469</v>
      </c>
      <c r="C2589" s="65" t="s">
        <v>106</v>
      </c>
      <c r="D2589" s="65"/>
      <c r="E2589" s="65" t="s">
        <v>1670</v>
      </c>
      <c r="F2589" s="83">
        <v>0.5208333333333334</v>
      </c>
      <c r="G2589" s="83">
        <v>0.6666666666666666</v>
      </c>
      <c r="H2589" s="83">
        <v>0.14583333333333334</v>
      </c>
      <c r="I2589" s="84">
        <v>44403.0</v>
      </c>
      <c r="J2589" s="65" t="b">
        <v>0</v>
      </c>
      <c r="K2589" s="65" t="s">
        <v>150</v>
      </c>
      <c r="L2589" s="85" t="b">
        <f>IF(VLOOKUP(C2589,Projetos!A:L,12,false)=TRUE,TRUE,FALSE)</f>
        <v>1</v>
      </c>
      <c r="M2589" s="74">
        <v>37.50928062469937</v>
      </c>
      <c r="N2589" s="74">
        <f t="shared" si="1"/>
        <v>0</v>
      </c>
      <c r="O2589" s="74" t="b">
        <v>1</v>
      </c>
    </row>
    <row r="2590" hidden="1">
      <c r="A2590" s="82"/>
      <c r="B2590" s="65" t="s">
        <v>469</v>
      </c>
      <c r="C2590" s="65" t="s">
        <v>117</v>
      </c>
      <c r="D2590" s="65" t="str">
        <f>vlookup(C2590,'Classificação p pessoal'!F:G,2,false)</f>
        <v>NP</v>
      </c>
      <c r="E2590" s="65" t="s">
        <v>1671</v>
      </c>
      <c r="F2590" s="83">
        <v>0.5833333333333334</v>
      </c>
      <c r="G2590" s="83">
        <v>0.7083333333333334</v>
      </c>
      <c r="H2590" s="83">
        <v>0.125</v>
      </c>
      <c r="I2590" s="84">
        <v>44406.0</v>
      </c>
      <c r="J2590" s="65" t="b">
        <v>1</v>
      </c>
      <c r="K2590" s="65"/>
      <c r="L2590" s="85" t="b">
        <f>IF(VLOOKUP(C2590,Projetos!A:L,12,false)=TRUE,TRUE,FALSE)</f>
        <v>1</v>
      </c>
      <c r="M2590" s="74">
        <v>37.50928062469937</v>
      </c>
      <c r="N2590" s="74">
        <f t="shared" si="1"/>
        <v>112.5278419</v>
      </c>
      <c r="O2590" s="74" t="b">
        <v>1</v>
      </c>
    </row>
    <row r="2591" hidden="1">
      <c r="A2591" s="82"/>
      <c r="B2591" s="65" t="s">
        <v>177</v>
      </c>
      <c r="C2591" s="65" t="s">
        <v>99</v>
      </c>
      <c r="D2591" s="65" t="str">
        <f>vlookup(C2591,'Classificação p pessoal'!F:G,2,false)</f>
        <v>NP</v>
      </c>
      <c r="E2591" s="65" t="s">
        <v>1672</v>
      </c>
      <c r="F2591" s="83">
        <v>0.5416666666666666</v>
      </c>
      <c r="G2591" s="83">
        <v>0.75</v>
      </c>
      <c r="H2591" s="83">
        <v>0.20833333333333334</v>
      </c>
      <c r="I2591" s="84">
        <v>44523.0</v>
      </c>
      <c r="J2591" s="65" t="b">
        <v>1</v>
      </c>
      <c r="K2591" s="65"/>
      <c r="L2591" s="85" t="b">
        <f>IF(VLOOKUP(C2591,Projetos!A:L,12,false)=TRUE,TRUE,FALSE)</f>
        <v>1</v>
      </c>
      <c r="M2591" s="74">
        <v>31.02923620430495</v>
      </c>
      <c r="N2591" s="74">
        <f t="shared" si="1"/>
        <v>155.146181</v>
      </c>
      <c r="O2591" s="74" t="b">
        <v>1</v>
      </c>
    </row>
    <row r="2592" hidden="1">
      <c r="A2592" s="82"/>
      <c r="B2592" s="65" t="s">
        <v>469</v>
      </c>
      <c r="C2592" s="65" t="s">
        <v>118</v>
      </c>
      <c r="D2592" s="65"/>
      <c r="E2592" s="65" t="s">
        <v>1673</v>
      </c>
      <c r="F2592" s="83">
        <v>0.3333333333333333</v>
      </c>
      <c r="G2592" s="83">
        <v>0.625</v>
      </c>
      <c r="H2592" s="83">
        <v>0.2916666666666667</v>
      </c>
      <c r="I2592" s="84">
        <v>44410.0</v>
      </c>
      <c r="J2592" s="65" t="b">
        <v>0</v>
      </c>
      <c r="K2592" s="65" t="s">
        <v>150</v>
      </c>
      <c r="L2592" s="85" t="b">
        <f>IF(VLOOKUP(C2592,Projetos!A:L,12,false)=TRUE,TRUE,FALSE)</f>
        <v>1</v>
      </c>
      <c r="M2592" s="74">
        <v>37.50928062469937</v>
      </c>
      <c r="N2592" s="74">
        <f t="shared" si="1"/>
        <v>0</v>
      </c>
      <c r="O2592" s="74" t="b">
        <v>1</v>
      </c>
    </row>
    <row r="2593" hidden="1">
      <c r="A2593" s="82"/>
      <c r="B2593" s="65" t="s">
        <v>469</v>
      </c>
      <c r="C2593" s="65" t="s">
        <v>118</v>
      </c>
      <c r="D2593" s="65"/>
      <c r="E2593" s="65" t="s">
        <v>1673</v>
      </c>
      <c r="F2593" s="83">
        <v>0.2916666666666667</v>
      </c>
      <c r="G2593" s="83">
        <v>0.625</v>
      </c>
      <c r="H2593" s="83">
        <v>0.3333333333333333</v>
      </c>
      <c r="I2593" s="84">
        <v>44411.0</v>
      </c>
      <c r="J2593" s="65" t="b">
        <v>0</v>
      </c>
      <c r="K2593" s="65" t="s">
        <v>150</v>
      </c>
      <c r="L2593" s="85" t="b">
        <f>IF(VLOOKUP(C2593,Projetos!A:L,12,false)=TRUE,TRUE,FALSE)</f>
        <v>1</v>
      </c>
      <c r="M2593" s="74">
        <v>37.50928062469937</v>
      </c>
      <c r="N2593" s="74">
        <f t="shared" si="1"/>
        <v>0</v>
      </c>
      <c r="O2593" s="74" t="b">
        <v>1</v>
      </c>
    </row>
    <row r="2594" hidden="1">
      <c r="A2594" s="82"/>
      <c r="B2594" s="65" t="s">
        <v>469</v>
      </c>
      <c r="C2594" s="65" t="s">
        <v>117</v>
      </c>
      <c r="D2594" s="65"/>
      <c r="E2594" s="65" t="s">
        <v>1674</v>
      </c>
      <c r="F2594" s="83">
        <v>0.3020833333333333</v>
      </c>
      <c r="G2594" s="83">
        <v>0.7083333333333334</v>
      </c>
      <c r="H2594" s="83">
        <v>0.40625</v>
      </c>
      <c r="I2594" s="84">
        <v>44411.0</v>
      </c>
      <c r="J2594" s="65" t="b">
        <v>0</v>
      </c>
      <c r="K2594" s="65" t="s">
        <v>150</v>
      </c>
      <c r="L2594" s="85" t="b">
        <f>IF(VLOOKUP(C2594,Projetos!A:L,12,false)=TRUE,TRUE,FALSE)</f>
        <v>1</v>
      </c>
      <c r="M2594" s="74">
        <v>37.50928062469937</v>
      </c>
      <c r="N2594" s="74">
        <f t="shared" si="1"/>
        <v>0</v>
      </c>
      <c r="O2594" s="74" t="b">
        <v>1</v>
      </c>
    </row>
    <row r="2595" hidden="1">
      <c r="A2595" s="82"/>
      <c r="B2595" s="65" t="s">
        <v>469</v>
      </c>
      <c r="C2595" s="65" t="s">
        <v>118</v>
      </c>
      <c r="D2595" s="65"/>
      <c r="E2595" s="65" t="s">
        <v>1673</v>
      </c>
      <c r="F2595" s="83">
        <v>0.2916666666666667</v>
      </c>
      <c r="G2595" s="83">
        <v>0.625</v>
      </c>
      <c r="H2595" s="83">
        <v>0.3333333333333333</v>
      </c>
      <c r="I2595" s="84">
        <v>44411.0</v>
      </c>
      <c r="J2595" s="65" t="b">
        <v>0</v>
      </c>
      <c r="K2595" s="65" t="s">
        <v>150</v>
      </c>
      <c r="L2595" s="85" t="b">
        <f>IF(VLOOKUP(C2595,Projetos!A:L,12,false)=TRUE,TRUE,FALSE)</f>
        <v>1</v>
      </c>
      <c r="M2595" s="74">
        <v>37.50928062469937</v>
      </c>
      <c r="N2595" s="74">
        <f t="shared" si="1"/>
        <v>0</v>
      </c>
      <c r="O2595" s="74" t="b">
        <v>1</v>
      </c>
    </row>
    <row r="2596" hidden="1">
      <c r="A2596" s="82"/>
      <c r="B2596" s="65" t="s">
        <v>469</v>
      </c>
      <c r="C2596" s="65" t="s">
        <v>132</v>
      </c>
      <c r="D2596" s="65"/>
      <c r="E2596" s="65" t="s">
        <v>1675</v>
      </c>
      <c r="F2596" s="83">
        <v>0.3020833333333333</v>
      </c>
      <c r="G2596" s="83">
        <v>0.7083333333333334</v>
      </c>
      <c r="H2596" s="83">
        <v>0.40625</v>
      </c>
      <c r="I2596" s="84">
        <v>44412.0</v>
      </c>
      <c r="J2596" s="65" t="b">
        <v>1</v>
      </c>
      <c r="K2596" s="65"/>
      <c r="L2596" s="85" t="b">
        <f>IF(VLOOKUP(C2596,Projetos!A:L,12,false)=TRUE,TRUE,FALSE)</f>
        <v>0</v>
      </c>
      <c r="M2596" s="74">
        <v>37.50928062469937</v>
      </c>
      <c r="N2596" s="74">
        <f t="shared" si="1"/>
        <v>0</v>
      </c>
      <c r="O2596" s="74" t="b">
        <v>0</v>
      </c>
    </row>
    <row r="2597" hidden="1">
      <c r="A2597" s="82"/>
      <c r="B2597" s="65" t="s">
        <v>469</v>
      </c>
      <c r="C2597" s="65" t="s">
        <v>132</v>
      </c>
      <c r="D2597" s="65"/>
      <c r="E2597" s="65" t="s">
        <v>1675</v>
      </c>
      <c r="F2597" s="83">
        <v>0.3020833333333333</v>
      </c>
      <c r="G2597" s="83">
        <v>0.7083333333333334</v>
      </c>
      <c r="H2597" s="83">
        <v>0.40625</v>
      </c>
      <c r="I2597" s="84">
        <v>44413.0</v>
      </c>
      <c r="J2597" s="65" t="b">
        <v>1</v>
      </c>
      <c r="K2597" s="65"/>
      <c r="L2597" s="85" t="b">
        <f>IF(VLOOKUP(C2597,Projetos!A:L,12,false)=TRUE,TRUE,FALSE)</f>
        <v>0</v>
      </c>
      <c r="M2597" s="74">
        <v>37.50928062469937</v>
      </c>
      <c r="N2597" s="74">
        <f t="shared" si="1"/>
        <v>0</v>
      </c>
      <c r="O2597" s="74" t="b">
        <v>0</v>
      </c>
    </row>
    <row r="2598" hidden="1">
      <c r="A2598" s="82"/>
      <c r="B2598" s="65" t="s">
        <v>469</v>
      </c>
      <c r="C2598" s="65" t="s">
        <v>132</v>
      </c>
      <c r="D2598" s="65"/>
      <c r="E2598" s="65" t="s">
        <v>1675</v>
      </c>
      <c r="F2598" s="83">
        <v>0.3020833333333333</v>
      </c>
      <c r="G2598" s="83">
        <v>0.625</v>
      </c>
      <c r="H2598" s="83">
        <v>0.3229166666666667</v>
      </c>
      <c r="I2598" s="84">
        <v>44414.0</v>
      </c>
      <c r="J2598" s="65" t="b">
        <v>1</v>
      </c>
      <c r="K2598" s="65"/>
      <c r="L2598" s="85" t="b">
        <f>IF(VLOOKUP(C2598,Projetos!A:L,12,false)=TRUE,TRUE,FALSE)</f>
        <v>0</v>
      </c>
      <c r="M2598" s="74">
        <v>37.50928062469937</v>
      </c>
      <c r="N2598" s="74">
        <f t="shared" si="1"/>
        <v>0</v>
      </c>
      <c r="O2598" s="74" t="b">
        <v>0</v>
      </c>
    </row>
    <row r="2599" hidden="1">
      <c r="A2599" s="82"/>
      <c r="B2599" s="65" t="s">
        <v>469</v>
      </c>
      <c r="C2599" s="65" t="s">
        <v>117</v>
      </c>
      <c r="D2599" s="65"/>
      <c r="E2599" s="65" t="s">
        <v>1676</v>
      </c>
      <c r="F2599" s="83">
        <v>0.4166666666666667</v>
      </c>
      <c r="G2599" s="83">
        <v>0.5</v>
      </c>
      <c r="H2599" s="83">
        <v>0.08333333333333333</v>
      </c>
      <c r="I2599" s="84">
        <v>44414.0</v>
      </c>
      <c r="J2599" s="65" t="b">
        <v>0</v>
      </c>
      <c r="K2599" s="65" t="s">
        <v>150</v>
      </c>
      <c r="L2599" s="85" t="b">
        <f>IF(VLOOKUP(C2599,Projetos!A:L,12,false)=TRUE,TRUE,FALSE)</f>
        <v>1</v>
      </c>
      <c r="M2599" s="74">
        <v>37.50928062469937</v>
      </c>
      <c r="N2599" s="74">
        <f t="shared" si="1"/>
        <v>0</v>
      </c>
      <c r="O2599" s="74" t="b">
        <v>1</v>
      </c>
    </row>
    <row r="2600" hidden="1">
      <c r="A2600" s="82"/>
      <c r="B2600" s="65" t="s">
        <v>469</v>
      </c>
      <c r="C2600" s="65" t="s">
        <v>107</v>
      </c>
      <c r="D2600" s="65" t="str">
        <f>vlookup(C2600,'Classificação p pessoal'!F:G,2,false)</f>
        <v>NP</v>
      </c>
      <c r="E2600" s="65" t="s">
        <v>1677</v>
      </c>
      <c r="F2600" s="83">
        <v>0.625</v>
      </c>
      <c r="G2600" s="83">
        <v>0.7083333333333334</v>
      </c>
      <c r="H2600" s="83">
        <v>0.08333333333333333</v>
      </c>
      <c r="I2600" s="84">
        <v>44414.0</v>
      </c>
      <c r="J2600" s="65" t="b">
        <v>1</v>
      </c>
      <c r="K2600" s="65"/>
      <c r="L2600" s="85" t="b">
        <f>IF(VLOOKUP(C2600,Projetos!A:L,12,false)=TRUE,TRUE,FALSE)</f>
        <v>1</v>
      </c>
      <c r="M2600" s="74">
        <v>37.50928062469937</v>
      </c>
      <c r="N2600" s="74">
        <f t="shared" si="1"/>
        <v>75.01856125</v>
      </c>
      <c r="O2600" s="74" t="b">
        <v>1</v>
      </c>
    </row>
    <row r="2601" hidden="1">
      <c r="A2601" s="82"/>
      <c r="B2601" s="65" t="s">
        <v>467</v>
      </c>
      <c r="C2601" s="65" t="s">
        <v>92</v>
      </c>
      <c r="D2601" s="65" t="str">
        <f>vlookup(C2601,'Classificação p pessoal'!F:G,2,false)</f>
        <v/>
      </c>
      <c r="E2601" s="65" t="s">
        <v>1678</v>
      </c>
      <c r="F2601" s="83">
        <v>0.5625</v>
      </c>
      <c r="G2601" s="83">
        <v>0.625</v>
      </c>
      <c r="H2601" s="83">
        <v>0.0625</v>
      </c>
      <c r="I2601" s="84">
        <v>44552.0</v>
      </c>
      <c r="J2601" s="65" t="b">
        <v>1</v>
      </c>
      <c r="K2601" s="65"/>
      <c r="L2601" s="85" t="b">
        <f>IF(VLOOKUP(C2601,Projetos!A:L,12,false)=TRUE,TRUE,FALSE)</f>
        <v>1</v>
      </c>
      <c r="M2601" s="74">
        <v>52.1518759018759</v>
      </c>
      <c r="N2601" s="74">
        <f t="shared" si="1"/>
        <v>78.22781385</v>
      </c>
      <c r="O2601" s="74" t="b">
        <v>1</v>
      </c>
    </row>
    <row r="2602" hidden="1">
      <c r="A2602" s="82"/>
      <c r="B2602" s="65" t="s">
        <v>469</v>
      </c>
      <c r="C2602" s="65" t="s">
        <v>118</v>
      </c>
      <c r="D2602" s="65"/>
      <c r="E2602" s="65" t="s">
        <v>1679</v>
      </c>
      <c r="F2602" s="83">
        <v>0.3333333333333333</v>
      </c>
      <c r="G2602" s="83">
        <v>0.7083333333333334</v>
      </c>
      <c r="H2602" s="83">
        <v>0.375</v>
      </c>
      <c r="I2602" s="84">
        <v>44414.0</v>
      </c>
      <c r="J2602" s="65" t="b">
        <v>0</v>
      </c>
      <c r="K2602" s="65"/>
      <c r="L2602" s="85" t="b">
        <f>IF(VLOOKUP(C2602,Projetos!A:L,12,false)=TRUE,TRUE,FALSE)</f>
        <v>1</v>
      </c>
      <c r="M2602" s="74">
        <v>37.50928062469937</v>
      </c>
      <c r="N2602" s="74">
        <f t="shared" si="1"/>
        <v>0</v>
      </c>
      <c r="O2602" s="74" t="b">
        <v>1</v>
      </c>
    </row>
    <row r="2603" hidden="1">
      <c r="A2603" s="82"/>
      <c r="B2603" s="65" t="s">
        <v>469</v>
      </c>
      <c r="C2603" s="65" t="s">
        <v>118</v>
      </c>
      <c r="D2603" s="65"/>
      <c r="E2603" s="65" t="s">
        <v>1680</v>
      </c>
      <c r="F2603" s="83">
        <v>0.3333333333333333</v>
      </c>
      <c r="G2603" s="83">
        <v>0.7083333333333334</v>
      </c>
      <c r="H2603" s="83">
        <v>0.375</v>
      </c>
      <c r="I2603" s="84">
        <v>44417.0</v>
      </c>
      <c r="J2603" s="65" t="b">
        <v>0</v>
      </c>
      <c r="K2603" s="65" t="s">
        <v>150</v>
      </c>
      <c r="L2603" s="85" t="b">
        <f>IF(VLOOKUP(C2603,Projetos!A:L,12,false)=TRUE,TRUE,FALSE)</f>
        <v>1</v>
      </c>
      <c r="M2603" s="74">
        <v>37.50928062469937</v>
      </c>
      <c r="N2603" s="74">
        <f t="shared" si="1"/>
        <v>0</v>
      </c>
      <c r="O2603" s="74" t="b">
        <v>1</v>
      </c>
    </row>
    <row r="2604" hidden="1">
      <c r="A2604" s="82"/>
      <c r="B2604" s="65" t="s">
        <v>469</v>
      </c>
      <c r="C2604" s="65" t="s">
        <v>118</v>
      </c>
      <c r="D2604" s="65" t="str">
        <f>vlookup(C2604,'Classificação p pessoal'!F:G,2,false)</f>
        <v>MProduto</v>
      </c>
      <c r="E2604" s="65" t="s">
        <v>1681</v>
      </c>
      <c r="F2604" s="83">
        <v>0.3020833333333333</v>
      </c>
      <c r="G2604" s="83">
        <v>0.625</v>
      </c>
      <c r="H2604" s="83">
        <v>0.3229166666666667</v>
      </c>
      <c r="I2604" s="84">
        <v>44418.0</v>
      </c>
      <c r="J2604" s="65" t="b">
        <v>1</v>
      </c>
      <c r="K2604" s="65"/>
      <c r="L2604" s="85" t="b">
        <f>IF(VLOOKUP(C2604,Projetos!A:L,12,false)=TRUE,TRUE,FALSE)</f>
        <v>1</v>
      </c>
      <c r="M2604" s="74">
        <v>37.50928062469937</v>
      </c>
      <c r="N2604" s="74">
        <f t="shared" si="1"/>
        <v>290.6969248</v>
      </c>
      <c r="O2604" s="74" t="b">
        <v>1</v>
      </c>
    </row>
    <row r="2605" hidden="1">
      <c r="A2605" s="82"/>
      <c r="B2605" s="65" t="s">
        <v>469</v>
      </c>
      <c r="C2605" s="65" t="s">
        <v>132</v>
      </c>
      <c r="D2605" s="65"/>
      <c r="E2605" s="65" t="s">
        <v>1682</v>
      </c>
      <c r="F2605" s="83">
        <v>0.3020833333333333</v>
      </c>
      <c r="G2605" s="83">
        <v>0.7083333333333334</v>
      </c>
      <c r="H2605" s="83">
        <v>0.40625</v>
      </c>
      <c r="I2605" s="84">
        <v>44418.0</v>
      </c>
      <c r="J2605" s="65" t="b">
        <v>1</v>
      </c>
      <c r="K2605" s="65"/>
      <c r="L2605" s="85" t="b">
        <f>IF(VLOOKUP(C2605,Projetos!A:L,12,false)=TRUE,TRUE,FALSE)</f>
        <v>0</v>
      </c>
      <c r="M2605" s="74">
        <v>37.50928062469937</v>
      </c>
      <c r="N2605" s="74">
        <f t="shared" si="1"/>
        <v>0</v>
      </c>
      <c r="O2605" s="74" t="b">
        <v>0</v>
      </c>
    </row>
    <row r="2606" hidden="1">
      <c r="A2606" s="82"/>
      <c r="B2606" s="65" t="s">
        <v>469</v>
      </c>
      <c r="C2606" s="65" t="s">
        <v>132</v>
      </c>
      <c r="D2606" s="65"/>
      <c r="E2606" s="65" t="s">
        <v>1682</v>
      </c>
      <c r="F2606" s="83">
        <v>0.3020833333333333</v>
      </c>
      <c r="G2606" s="83">
        <v>0.7083333333333334</v>
      </c>
      <c r="H2606" s="83">
        <v>0.40625</v>
      </c>
      <c r="I2606" s="84">
        <v>44419.0</v>
      </c>
      <c r="J2606" s="65" t="b">
        <v>1</v>
      </c>
      <c r="K2606" s="65"/>
      <c r="L2606" s="85" t="b">
        <f>IF(VLOOKUP(C2606,Projetos!A:L,12,false)=TRUE,TRUE,FALSE)</f>
        <v>0</v>
      </c>
      <c r="M2606" s="74">
        <v>37.50928062469937</v>
      </c>
      <c r="N2606" s="74">
        <f t="shared" si="1"/>
        <v>0</v>
      </c>
      <c r="O2606" s="74" t="b">
        <v>0</v>
      </c>
    </row>
    <row r="2607" hidden="1">
      <c r="A2607" s="82"/>
      <c r="B2607" s="65" t="s">
        <v>469</v>
      </c>
      <c r="C2607" s="65" t="s">
        <v>118</v>
      </c>
      <c r="D2607" s="65" t="str">
        <f>vlookup(C2607,'Classificação p pessoal'!F:G,2,false)</f>
        <v>MProduto</v>
      </c>
      <c r="E2607" s="65" t="s">
        <v>1683</v>
      </c>
      <c r="F2607" s="83">
        <v>0.3020833333333333</v>
      </c>
      <c r="G2607" s="83">
        <v>0.7083333333333334</v>
      </c>
      <c r="H2607" s="83">
        <v>0.40625</v>
      </c>
      <c r="I2607" s="84">
        <v>44419.0</v>
      </c>
      <c r="J2607" s="65" t="b">
        <v>1</v>
      </c>
      <c r="K2607" s="65"/>
      <c r="L2607" s="85" t="b">
        <f>IF(VLOOKUP(C2607,Projetos!A:L,12,false)=TRUE,TRUE,FALSE)</f>
        <v>1</v>
      </c>
      <c r="M2607" s="74">
        <v>37.50928062469937</v>
      </c>
      <c r="N2607" s="74">
        <f t="shared" si="1"/>
        <v>365.7154861</v>
      </c>
      <c r="O2607" s="74" t="b">
        <v>1</v>
      </c>
    </row>
    <row r="2608" hidden="1">
      <c r="A2608" s="82"/>
      <c r="B2608" s="65" t="s">
        <v>469</v>
      </c>
      <c r="C2608" s="65" t="s">
        <v>118</v>
      </c>
      <c r="D2608" s="65"/>
      <c r="E2608" s="65" t="s">
        <v>1684</v>
      </c>
      <c r="F2608" s="83">
        <v>0.3020833333333333</v>
      </c>
      <c r="G2608" s="83">
        <v>0.7083333333333334</v>
      </c>
      <c r="H2608" s="83">
        <v>0.40625</v>
      </c>
      <c r="I2608" s="84">
        <v>44420.0</v>
      </c>
      <c r="J2608" s="65" t="b">
        <v>0</v>
      </c>
      <c r="K2608" s="65" t="s">
        <v>150</v>
      </c>
      <c r="L2608" s="85" t="b">
        <f>IF(VLOOKUP(C2608,Projetos!A:L,12,false)=TRUE,TRUE,FALSE)</f>
        <v>1</v>
      </c>
      <c r="M2608" s="74">
        <v>37.50928062469937</v>
      </c>
      <c r="N2608" s="74">
        <f t="shared" si="1"/>
        <v>0</v>
      </c>
      <c r="O2608" s="74" t="b">
        <v>1</v>
      </c>
    </row>
    <row r="2609" hidden="1">
      <c r="A2609" s="82"/>
      <c r="B2609" s="65" t="s">
        <v>469</v>
      </c>
      <c r="C2609" s="65" t="s">
        <v>118</v>
      </c>
      <c r="D2609" s="65"/>
      <c r="E2609" s="65" t="s">
        <v>1684</v>
      </c>
      <c r="F2609" s="83">
        <v>0.3020833333333333</v>
      </c>
      <c r="G2609" s="83">
        <v>0.7083333333333334</v>
      </c>
      <c r="H2609" s="83">
        <v>0.40625</v>
      </c>
      <c r="I2609" s="84">
        <v>44421.0</v>
      </c>
      <c r="J2609" s="65" t="b">
        <v>0</v>
      </c>
      <c r="K2609" s="65" t="s">
        <v>150</v>
      </c>
      <c r="L2609" s="85" t="b">
        <f>IF(VLOOKUP(C2609,Projetos!A:L,12,false)=TRUE,TRUE,FALSE)</f>
        <v>1</v>
      </c>
      <c r="M2609" s="74">
        <v>37.50928062469937</v>
      </c>
      <c r="N2609" s="74">
        <f t="shared" si="1"/>
        <v>0</v>
      </c>
      <c r="O2609" s="74" t="b">
        <v>1</v>
      </c>
    </row>
    <row r="2610" hidden="1">
      <c r="A2610" s="82"/>
      <c r="B2610" s="65" t="s">
        <v>469</v>
      </c>
      <c r="C2610" s="65" t="s">
        <v>118</v>
      </c>
      <c r="D2610" s="65" t="str">
        <f>vlookup(C2610,'Classificação p pessoal'!F:G,2,false)</f>
        <v>MProduto</v>
      </c>
      <c r="E2610" s="65" t="s">
        <v>1683</v>
      </c>
      <c r="F2610" s="83">
        <v>0.3020833333333333</v>
      </c>
      <c r="G2610" s="83">
        <v>0.7083333333333334</v>
      </c>
      <c r="H2610" s="83">
        <v>0.40625</v>
      </c>
      <c r="I2610" s="84">
        <v>44424.0</v>
      </c>
      <c r="J2610" s="65" t="b">
        <v>1</v>
      </c>
      <c r="K2610" s="65"/>
      <c r="L2610" s="85" t="b">
        <f>IF(VLOOKUP(C2610,Projetos!A:L,12,false)=TRUE,TRUE,FALSE)</f>
        <v>1</v>
      </c>
      <c r="M2610" s="74">
        <v>37.50928062469937</v>
      </c>
      <c r="N2610" s="74">
        <f t="shared" si="1"/>
        <v>365.7154861</v>
      </c>
      <c r="O2610" s="74" t="b">
        <v>1</v>
      </c>
    </row>
    <row r="2611" hidden="1">
      <c r="A2611" s="82"/>
      <c r="B2611" s="65" t="s">
        <v>469</v>
      </c>
      <c r="C2611" s="65" t="s">
        <v>118</v>
      </c>
      <c r="D2611" s="65"/>
      <c r="E2611" s="65" t="s">
        <v>1685</v>
      </c>
      <c r="F2611" s="83">
        <v>0.3020833333333333</v>
      </c>
      <c r="G2611" s="83">
        <v>0.7083333333333334</v>
      </c>
      <c r="H2611" s="83">
        <v>0.40625</v>
      </c>
      <c r="I2611" s="84">
        <v>44427.0</v>
      </c>
      <c r="J2611" s="65" t="b">
        <v>0</v>
      </c>
      <c r="K2611" s="65" t="s">
        <v>150</v>
      </c>
      <c r="L2611" s="85" t="b">
        <f>IF(VLOOKUP(C2611,Projetos!A:L,12,false)=TRUE,TRUE,FALSE)</f>
        <v>1</v>
      </c>
      <c r="M2611" s="74">
        <v>37.50928062469937</v>
      </c>
      <c r="N2611" s="74">
        <f t="shared" si="1"/>
        <v>0</v>
      </c>
      <c r="O2611" s="74" t="b">
        <v>1</v>
      </c>
    </row>
    <row r="2612" hidden="1">
      <c r="A2612" s="82"/>
      <c r="B2612" s="65" t="s">
        <v>469</v>
      </c>
      <c r="C2612" s="65" t="s">
        <v>118</v>
      </c>
      <c r="D2612" s="65"/>
      <c r="E2612" s="65" t="s">
        <v>1685</v>
      </c>
      <c r="F2612" s="83">
        <v>0.3020833333333333</v>
      </c>
      <c r="G2612" s="83">
        <v>0.7083333333333334</v>
      </c>
      <c r="H2612" s="83">
        <v>0.40625</v>
      </c>
      <c r="I2612" s="84">
        <v>44428.0</v>
      </c>
      <c r="J2612" s="65" t="b">
        <v>0</v>
      </c>
      <c r="K2612" s="65" t="s">
        <v>150</v>
      </c>
      <c r="L2612" s="85" t="b">
        <f>IF(VLOOKUP(C2612,Projetos!A:L,12,false)=TRUE,TRUE,FALSE)</f>
        <v>1</v>
      </c>
      <c r="M2612" s="74">
        <v>37.50928062469937</v>
      </c>
      <c r="N2612" s="74">
        <f t="shared" si="1"/>
        <v>0</v>
      </c>
      <c r="O2612" s="74" t="b">
        <v>1</v>
      </c>
    </row>
    <row r="2613" hidden="1">
      <c r="A2613" s="82"/>
      <c r="B2613" s="65" t="s">
        <v>469</v>
      </c>
      <c r="C2613" s="65" t="s">
        <v>118</v>
      </c>
      <c r="D2613" s="65"/>
      <c r="E2613" s="65" t="s">
        <v>1685</v>
      </c>
      <c r="F2613" s="83">
        <v>0.3020833333333333</v>
      </c>
      <c r="G2613" s="83">
        <v>0.7083333333333334</v>
      </c>
      <c r="H2613" s="83">
        <v>0.40625</v>
      </c>
      <c r="I2613" s="84">
        <v>44431.0</v>
      </c>
      <c r="J2613" s="65" t="b">
        <v>0</v>
      </c>
      <c r="K2613" s="65" t="s">
        <v>150</v>
      </c>
      <c r="L2613" s="85" t="b">
        <f>IF(VLOOKUP(C2613,Projetos!A:L,12,false)=TRUE,TRUE,FALSE)</f>
        <v>1</v>
      </c>
      <c r="M2613" s="74">
        <v>37.50928062469937</v>
      </c>
      <c r="N2613" s="74">
        <f t="shared" si="1"/>
        <v>0</v>
      </c>
      <c r="O2613" s="74" t="b">
        <v>1</v>
      </c>
    </row>
    <row r="2614" hidden="1">
      <c r="A2614" s="82"/>
      <c r="B2614" s="65" t="s">
        <v>469</v>
      </c>
      <c r="C2614" s="65" t="s">
        <v>118</v>
      </c>
      <c r="D2614" s="65"/>
      <c r="E2614" s="65" t="s">
        <v>1685</v>
      </c>
      <c r="F2614" s="83">
        <v>0.3020833333333333</v>
      </c>
      <c r="G2614" s="83">
        <v>0.7083333333333334</v>
      </c>
      <c r="H2614" s="83">
        <v>0.40625</v>
      </c>
      <c r="I2614" s="84">
        <v>44432.0</v>
      </c>
      <c r="J2614" s="65" t="b">
        <v>0</v>
      </c>
      <c r="K2614" s="65" t="s">
        <v>150</v>
      </c>
      <c r="L2614" s="85" t="b">
        <f>IF(VLOOKUP(C2614,Projetos!A:L,12,false)=TRUE,TRUE,FALSE)</f>
        <v>1</v>
      </c>
      <c r="M2614" s="74">
        <v>37.50928062469937</v>
      </c>
      <c r="N2614" s="74">
        <f t="shared" si="1"/>
        <v>0</v>
      </c>
      <c r="O2614" s="74" t="b">
        <v>1</v>
      </c>
    </row>
    <row r="2615" hidden="1">
      <c r="A2615" s="82"/>
      <c r="B2615" s="65" t="s">
        <v>469</v>
      </c>
      <c r="C2615" s="65" t="s">
        <v>101</v>
      </c>
      <c r="D2615" s="65"/>
      <c r="E2615" s="65" t="s">
        <v>1686</v>
      </c>
      <c r="F2615" s="83">
        <v>0.5833333333333334</v>
      </c>
      <c r="G2615" s="83">
        <v>0.7083333333333334</v>
      </c>
      <c r="H2615" s="83">
        <v>0.125</v>
      </c>
      <c r="I2615" s="84">
        <v>44435.0</v>
      </c>
      <c r="J2615" s="65" t="b">
        <v>0</v>
      </c>
      <c r="K2615" s="65" t="s">
        <v>150</v>
      </c>
      <c r="L2615" s="85" t="b">
        <f>IF(VLOOKUP(C2615,Projetos!A:L,12,false)=TRUE,TRUE,FALSE)</f>
        <v>1</v>
      </c>
      <c r="M2615" s="74">
        <v>37.50928062469937</v>
      </c>
      <c r="N2615" s="74">
        <f t="shared" si="1"/>
        <v>0</v>
      </c>
      <c r="O2615" s="74" t="b">
        <v>1</v>
      </c>
    </row>
    <row r="2616" hidden="1">
      <c r="A2616" s="82"/>
      <c r="B2616" s="65" t="s">
        <v>469</v>
      </c>
      <c r="C2616" s="65" t="s">
        <v>108</v>
      </c>
      <c r="D2616" s="65"/>
      <c r="E2616" s="65" t="s">
        <v>1687</v>
      </c>
      <c r="F2616" s="83">
        <v>0.3020833333333333</v>
      </c>
      <c r="G2616" s="83">
        <v>0.7083333333333334</v>
      </c>
      <c r="H2616" s="83">
        <v>0.40625</v>
      </c>
      <c r="I2616" s="84">
        <v>44438.0</v>
      </c>
      <c r="J2616" s="65" t="b">
        <v>0</v>
      </c>
      <c r="K2616" s="65" t="s">
        <v>150</v>
      </c>
      <c r="L2616" s="85" t="b">
        <f>IF(VLOOKUP(C2616,Projetos!A:L,12,false)=TRUE,TRUE,FALSE)</f>
        <v>1</v>
      </c>
      <c r="M2616" s="74">
        <v>37.50928062469937</v>
      </c>
      <c r="N2616" s="74">
        <f t="shared" si="1"/>
        <v>0</v>
      </c>
      <c r="O2616" s="74" t="b">
        <v>1</v>
      </c>
    </row>
    <row r="2617" hidden="1">
      <c r="A2617" s="82"/>
      <c r="B2617" s="65" t="s">
        <v>469</v>
      </c>
      <c r="C2617" s="65" t="s">
        <v>108</v>
      </c>
      <c r="D2617" s="65"/>
      <c r="E2617" s="65" t="s">
        <v>1688</v>
      </c>
      <c r="F2617" s="83">
        <v>0.3020833333333333</v>
      </c>
      <c r="G2617" s="83">
        <v>0.7083333333333334</v>
      </c>
      <c r="H2617" s="83">
        <v>0.40625</v>
      </c>
      <c r="I2617" s="84">
        <v>44439.0</v>
      </c>
      <c r="J2617" s="65" t="b">
        <v>0</v>
      </c>
      <c r="K2617" s="65" t="s">
        <v>150</v>
      </c>
      <c r="L2617" s="85" t="b">
        <f>IF(VLOOKUP(C2617,Projetos!A:L,12,false)=TRUE,TRUE,FALSE)</f>
        <v>1</v>
      </c>
      <c r="M2617" s="74">
        <v>37.50928062469937</v>
      </c>
      <c r="N2617" s="74">
        <f t="shared" si="1"/>
        <v>0</v>
      </c>
      <c r="O2617" s="74" t="b">
        <v>1</v>
      </c>
    </row>
    <row r="2618" hidden="1">
      <c r="A2618" s="82"/>
      <c r="B2618" s="65" t="s">
        <v>469</v>
      </c>
      <c r="C2618" s="65" t="s">
        <v>118</v>
      </c>
      <c r="D2618" s="65" t="str">
        <f>vlookup(C2618,'Classificação p pessoal'!F:G,2,false)</f>
        <v>MProduto</v>
      </c>
      <c r="E2618" s="65" t="s">
        <v>1689</v>
      </c>
      <c r="F2618" s="83">
        <v>0.3020833333333333</v>
      </c>
      <c r="G2618" s="83">
        <v>0.7083333333333334</v>
      </c>
      <c r="H2618" s="83">
        <v>0.40625</v>
      </c>
      <c r="I2618" s="84">
        <v>44440.0</v>
      </c>
      <c r="J2618" s="65" t="b">
        <v>1</v>
      </c>
      <c r="K2618" s="65"/>
      <c r="L2618" s="85" t="b">
        <f>IF(VLOOKUP(C2618,Projetos!A:L,12,false)=TRUE,TRUE,FALSE)</f>
        <v>1</v>
      </c>
      <c r="M2618" s="74">
        <v>37.50928062469937</v>
      </c>
      <c r="N2618" s="74">
        <f t="shared" si="1"/>
        <v>365.7154861</v>
      </c>
      <c r="O2618" s="74" t="b">
        <v>1</v>
      </c>
    </row>
    <row r="2619" hidden="1">
      <c r="A2619" s="82"/>
      <c r="B2619" s="65" t="s">
        <v>469</v>
      </c>
      <c r="C2619" s="65" t="s">
        <v>106</v>
      </c>
      <c r="D2619" s="65" t="str">
        <f>vlookup(C2619,'Classificação p pessoal'!F:G,2,false)</f>
        <v>MProcesso</v>
      </c>
      <c r="E2619" s="65" t="s">
        <v>1690</v>
      </c>
      <c r="F2619" s="83">
        <v>0.625</v>
      </c>
      <c r="G2619" s="83">
        <v>0.6458333333333334</v>
      </c>
      <c r="H2619" s="83">
        <v>0.020833333333333332</v>
      </c>
      <c r="I2619" s="84">
        <v>44440.0</v>
      </c>
      <c r="J2619" s="65" t="b">
        <v>1</v>
      </c>
      <c r="K2619" s="65"/>
      <c r="L2619" s="85" t="b">
        <f>IF(VLOOKUP(C2619,Projetos!A:L,12,false)=TRUE,TRUE,FALSE)</f>
        <v>1</v>
      </c>
      <c r="M2619" s="74">
        <v>37.50928062469937</v>
      </c>
      <c r="N2619" s="74">
        <f t="shared" si="1"/>
        <v>18.75464031</v>
      </c>
      <c r="O2619" s="74" t="b">
        <v>1</v>
      </c>
    </row>
    <row r="2620" hidden="1">
      <c r="A2620" s="82"/>
      <c r="B2620" s="65" t="s">
        <v>177</v>
      </c>
      <c r="C2620" s="65" t="s">
        <v>100</v>
      </c>
      <c r="D2620" s="65"/>
      <c r="E2620" s="65" t="s">
        <v>1691</v>
      </c>
      <c r="F2620" s="83">
        <v>0.375</v>
      </c>
      <c r="G2620" s="83">
        <v>0.3854166666666667</v>
      </c>
      <c r="H2620" s="83">
        <v>0.010416666666666666</v>
      </c>
      <c r="I2620" s="84">
        <v>44434.0</v>
      </c>
      <c r="J2620" s="65" t="b">
        <v>0</v>
      </c>
      <c r="K2620" s="65" t="s">
        <v>150</v>
      </c>
      <c r="L2620" s="85" t="b">
        <f>IF(VLOOKUP(C2620,Projetos!A:L,12,false)=TRUE,TRUE,FALSE)</f>
        <v>1</v>
      </c>
      <c r="M2620" s="74">
        <v>31.02923620430495</v>
      </c>
      <c r="N2620" s="74">
        <f t="shared" si="1"/>
        <v>0</v>
      </c>
      <c r="O2620" s="74" t="b">
        <v>1</v>
      </c>
    </row>
    <row r="2621" hidden="1">
      <c r="A2621" s="82"/>
      <c r="B2621" s="65" t="s">
        <v>469</v>
      </c>
      <c r="C2621" s="65" t="s">
        <v>101</v>
      </c>
      <c r="D2621" s="65"/>
      <c r="E2621" s="65" t="s">
        <v>1692</v>
      </c>
      <c r="F2621" s="83">
        <v>0.3020833333333333</v>
      </c>
      <c r="G2621" s="83">
        <v>0.3680555555555556</v>
      </c>
      <c r="H2621" s="83">
        <v>0.06597222222222222</v>
      </c>
      <c r="I2621" s="84">
        <v>44441.0</v>
      </c>
      <c r="J2621" s="65" t="b">
        <v>0</v>
      </c>
      <c r="K2621" s="65" t="s">
        <v>150</v>
      </c>
      <c r="L2621" s="85" t="b">
        <f>IF(VLOOKUP(C2621,Projetos!A:L,12,false)=TRUE,TRUE,FALSE)</f>
        <v>1</v>
      </c>
      <c r="M2621" s="74">
        <v>37.50928062469937</v>
      </c>
      <c r="N2621" s="74">
        <f t="shared" si="1"/>
        <v>0</v>
      </c>
      <c r="O2621" s="74" t="b">
        <v>1</v>
      </c>
    </row>
    <row r="2622" hidden="1">
      <c r="A2622" s="82"/>
      <c r="B2622" s="65" t="s">
        <v>469</v>
      </c>
      <c r="C2622" s="65" t="s">
        <v>101</v>
      </c>
      <c r="D2622" s="65" t="str">
        <f>vlookup(C2622,'Classificação p pessoal'!F:G,2,false)</f>
        <v>NP</v>
      </c>
      <c r="E2622" s="65" t="s">
        <v>1693</v>
      </c>
      <c r="F2622" s="83">
        <v>0.375</v>
      </c>
      <c r="G2622" s="83">
        <v>0.4166666666666667</v>
      </c>
      <c r="H2622" s="83">
        <v>0.041666666666666664</v>
      </c>
      <c r="I2622" s="84">
        <v>44441.0</v>
      </c>
      <c r="J2622" s="65" t="b">
        <v>1</v>
      </c>
      <c r="K2622" s="65"/>
      <c r="L2622" s="85" t="b">
        <f>IF(VLOOKUP(C2622,Projetos!A:L,12,false)=TRUE,TRUE,FALSE)</f>
        <v>1</v>
      </c>
      <c r="M2622" s="74">
        <v>37.50928062469937</v>
      </c>
      <c r="N2622" s="74">
        <f t="shared" si="1"/>
        <v>37.50928062</v>
      </c>
      <c r="O2622" s="74" t="b">
        <v>1</v>
      </c>
    </row>
    <row r="2623" hidden="1">
      <c r="A2623" s="82"/>
      <c r="B2623" s="65" t="s">
        <v>469</v>
      </c>
      <c r="C2623" s="65" t="s">
        <v>106</v>
      </c>
      <c r="D2623" s="65" t="str">
        <f>vlookup(C2623,'Classificação p pessoal'!F:G,2,false)</f>
        <v>MProcesso</v>
      </c>
      <c r="E2623" s="65" t="s">
        <v>1694</v>
      </c>
      <c r="F2623" s="83">
        <v>0.3680555555555556</v>
      </c>
      <c r="G2623" s="83">
        <v>0.375</v>
      </c>
      <c r="H2623" s="83">
        <v>0.006944444444444444</v>
      </c>
      <c r="I2623" s="84">
        <v>44441.0</v>
      </c>
      <c r="J2623" s="65" t="b">
        <v>1</v>
      </c>
      <c r="K2623" s="65"/>
      <c r="L2623" s="85" t="b">
        <f>IF(VLOOKUP(C2623,Projetos!A:L,12,false)=TRUE,TRUE,FALSE)</f>
        <v>1</v>
      </c>
      <c r="M2623" s="74">
        <v>37.50928062469937</v>
      </c>
      <c r="N2623" s="74">
        <f t="shared" si="1"/>
        <v>6.251546771</v>
      </c>
      <c r="O2623" s="74" t="b">
        <v>1</v>
      </c>
    </row>
    <row r="2624" hidden="1">
      <c r="A2624" s="82"/>
      <c r="B2624" s="65" t="s">
        <v>469</v>
      </c>
      <c r="C2624" s="65" t="s">
        <v>108</v>
      </c>
      <c r="D2624" s="65" t="str">
        <f>vlookup(C2624,'Classificação p pessoal'!F:G,2,false)</f>
        <v>NP</v>
      </c>
      <c r="E2624" s="65" t="s">
        <v>1695</v>
      </c>
      <c r="F2624" s="83">
        <v>0.3333333333333333</v>
      </c>
      <c r="G2624" s="83">
        <v>0.7083333333333334</v>
      </c>
      <c r="H2624" s="83">
        <v>0.375</v>
      </c>
      <c r="I2624" s="84">
        <v>44448.0</v>
      </c>
      <c r="J2624" s="65" t="b">
        <v>1</v>
      </c>
      <c r="K2624" s="65"/>
      <c r="L2624" s="85" t="b">
        <f>IF(VLOOKUP(C2624,Projetos!A:L,12,false)=TRUE,TRUE,FALSE)</f>
        <v>1</v>
      </c>
      <c r="M2624" s="74">
        <v>37.50928062469937</v>
      </c>
      <c r="N2624" s="74">
        <f t="shared" si="1"/>
        <v>337.5835256</v>
      </c>
      <c r="O2624" s="74" t="b">
        <v>1</v>
      </c>
    </row>
    <row r="2625" hidden="1">
      <c r="A2625" s="82"/>
      <c r="B2625" s="65" t="s">
        <v>469</v>
      </c>
      <c r="C2625" s="65" t="s">
        <v>108</v>
      </c>
      <c r="D2625" s="65" t="str">
        <f>vlookup(C2625,'Classificação p pessoal'!F:G,2,false)</f>
        <v>NP</v>
      </c>
      <c r="E2625" s="65" t="s">
        <v>1695</v>
      </c>
      <c r="F2625" s="83">
        <v>0.3125</v>
      </c>
      <c r="G2625" s="83">
        <v>0.7083333333333334</v>
      </c>
      <c r="H2625" s="83">
        <v>0.3958333333333333</v>
      </c>
      <c r="I2625" s="84">
        <v>44449.0</v>
      </c>
      <c r="J2625" s="65" t="b">
        <v>1</v>
      </c>
      <c r="K2625" s="65"/>
      <c r="L2625" s="85" t="b">
        <f>IF(VLOOKUP(C2625,Projetos!A:L,12,false)=TRUE,TRUE,FALSE)</f>
        <v>1</v>
      </c>
      <c r="M2625" s="74">
        <v>37.50928062469937</v>
      </c>
      <c r="N2625" s="74">
        <f t="shared" si="1"/>
        <v>356.3381659</v>
      </c>
      <c r="O2625" s="74" t="b">
        <v>1</v>
      </c>
    </row>
    <row r="2626" hidden="1">
      <c r="A2626" s="82"/>
      <c r="B2626" s="65" t="s">
        <v>469</v>
      </c>
      <c r="C2626" s="65" t="s">
        <v>108</v>
      </c>
      <c r="D2626" s="65" t="str">
        <f>vlookup(C2626,'Classificação p pessoal'!F:G,2,false)</f>
        <v>NP</v>
      </c>
      <c r="E2626" s="65" t="s">
        <v>1695</v>
      </c>
      <c r="F2626" s="83">
        <v>0.4166666666666667</v>
      </c>
      <c r="G2626" s="83">
        <v>0.625</v>
      </c>
      <c r="H2626" s="83">
        <v>0.20833333333333334</v>
      </c>
      <c r="I2626" s="84">
        <v>44452.0</v>
      </c>
      <c r="J2626" s="65" t="b">
        <v>1</v>
      </c>
      <c r="K2626" s="65"/>
      <c r="L2626" s="85" t="b">
        <f>IF(VLOOKUP(C2626,Projetos!A:L,12,false)=TRUE,TRUE,FALSE)</f>
        <v>1</v>
      </c>
      <c r="M2626" s="74">
        <v>37.50928062469937</v>
      </c>
      <c r="N2626" s="74">
        <f t="shared" si="1"/>
        <v>187.5464031</v>
      </c>
      <c r="O2626" s="74" t="b">
        <v>1</v>
      </c>
    </row>
    <row r="2627" hidden="1">
      <c r="A2627" s="82"/>
      <c r="B2627" s="65" t="s">
        <v>469</v>
      </c>
      <c r="C2627" s="65" t="s">
        <v>107</v>
      </c>
      <c r="D2627" s="65" t="str">
        <f>vlookup(C2627,'Classificação p pessoal'!F:G,2,false)</f>
        <v>NP</v>
      </c>
      <c r="E2627" s="65" t="s">
        <v>1695</v>
      </c>
      <c r="F2627" s="83">
        <v>0.625</v>
      </c>
      <c r="G2627" s="83">
        <v>0.7083333333333334</v>
      </c>
      <c r="H2627" s="83">
        <v>0.08333333333333333</v>
      </c>
      <c r="I2627" s="84">
        <v>44452.0</v>
      </c>
      <c r="J2627" s="65" t="b">
        <v>1</v>
      </c>
      <c r="K2627" s="65"/>
      <c r="L2627" s="85" t="b">
        <f>IF(VLOOKUP(C2627,Projetos!A:L,12,false)=TRUE,TRUE,FALSE)</f>
        <v>1</v>
      </c>
      <c r="M2627" s="74">
        <v>37.50928062469937</v>
      </c>
      <c r="N2627" s="74">
        <f t="shared" si="1"/>
        <v>75.01856125</v>
      </c>
      <c r="O2627" s="74" t="b">
        <v>1</v>
      </c>
    </row>
    <row r="2628" hidden="1">
      <c r="A2628" s="82"/>
      <c r="B2628" s="65" t="s">
        <v>469</v>
      </c>
      <c r="C2628" s="65" t="s">
        <v>107</v>
      </c>
      <c r="D2628" s="65" t="str">
        <f>vlookup(C2628,'Classificação p pessoal'!F:G,2,false)</f>
        <v>NP</v>
      </c>
      <c r="E2628" s="65" t="s">
        <v>1695</v>
      </c>
      <c r="F2628" s="83">
        <v>0.3020833333333333</v>
      </c>
      <c r="G2628" s="83">
        <v>0.5</v>
      </c>
      <c r="H2628" s="83">
        <v>0.19791666666666666</v>
      </c>
      <c r="I2628" s="84">
        <v>44453.0</v>
      </c>
      <c r="J2628" s="65" t="b">
        <v>1</v>
      </c>
      <c r="K2628" s="65"/>
      <c r="L2628" s="85" t="b">
        <f>IF(VLOOKUP(C2628,Projetos!A:L,12,false)=TRUE,TRUE,FALSE)</f>
        <v>1</v>
      </c>
      <c r="M2628" s="74">
        <v>37.50928062469937</v>
      </c>
      <c r="N2628" s="74">
        <f t="shared" si="1"/>
        <v>178.169083</v>
      </c>
      <c r="O2628" s="74" t="b">
        <v>1</v>
      </c>
    </row>
    <row r="2629" hidden="1">
      <c r="A2629" s="82"/>
      <c r="B2629" s="65" t="s">
        <v>469</v>
      </c>
      <c r="C2629" s="65" t="s">
        <v>108</v>
      </c>
      <c r="D2629" s="65" t="str">
        <f>vlookup(C2629,'Classificação p pessoal'!F:G,2,false)</f>
        <v>NP</v>
      </c>
      <c r="E2629" s="65" t="s">
        <v>1695</v>
      </c>
      <c r="F2629" s="83">
        <v>0.4166666666666667</v>
      </c>
      <c r="G2629" s="83">
        <v>0.7083333333333334</v>
      </c>
      <c r="H2629" s="83">
        <v>0.2916666666666667</v>
      </c>
      <c r="I2629" s="84">
        <v>44453.0</v>
      </c>
      <c r="J2629" s="65" t="b">
        <v>1</v>
      </c>
      <c r="K2629" s="65"/>
      <c r="L2629" s="85" t="b">
        <f>IF(VLOOKUP(C2629,Projetos!A:L,12,false)=TRUE,TRUE,FALSE)</f>
        <v>1</v>
      </c>
      <c r="M2629" s="74">
        <v>37.50928062469937</v>
      </c>
      <c r="N2629" s="74">
        <f t="shared" si="1"/>
        <v>262.5649644</v>
      </c>
      <c r="O2629" s="74" t="b">
        <v>1</v>
      </c>
    </row>
    <row r="2630" hidden="1">
      <c r="A2630" s="82"/>
      <c r="B2630" s="65" t="s">
        <v>469</v>
      </c>
      <c r="C2630" s="65" t="s">
        <v>117</v>
      </c>
      <c r="D2630" s="65"/>
      <c r="E2630" s="65" t="s">
        <v>1696</v>
      </c>
      <c r="F2630" s="83">
        <v>0.625</v>
      </c>
      <c r="G2630" s="83">
        <v>0.7083333333333334</v>
      </c>
      <c r="H2630" s="83">
        <v>0.08333333333333333</v>
      </c>
      <c r="I2630" s="84">
        <v>44454.0</v>
      </c>
      <c r="J2630" s="65" t="b">
        <v>0</v>
      </c>
      <c r="K2630" s="65" t="s">
        <v>150</v>
      </c>
      <c r="L2630" s="85" t="b">
        <f>IF(VLOOKUP(C2630,Projetos!A:L,12,false)=TRUE,TRUE,FALSE)</f>
        <v>1</v>
      </c>
      <c r="M2630" s="74">
        <v>37.50928062469937</v>
      </c>
      <c r="N2630" s="74">
        <f t="shared" si="1"/>
        <v>0</v>
      </c>
      <c r="O2630" s="74" t="b">
        <v>1</v>
      </c>
    </row>
    <row r="2631" hidden="1">
      <c r="A2631" s="82"/>
      <c r="B2631" s="65" t="s">
        <v>469</v>
      </c>
      <c r="C2631" s="65" t="s">
        <v>123</v>
      </c>
      <c r="D2631" s="65" t="str">
        <f>vlookup(C2631,'Classificação p pessoal'!F:G,2,false)</f>
        <v>NP</v>
      </c>
      <c r="E2631" s="65" t="s">
        <v>1697</v>
      </c>
      <c r="F2631" s="83">
        <v>0.3333333333333333</v>
      </c>
      <c r="G2631" s="83">
        <v>0.7083333333333334</v>
      </c>
      <c r="H2631" s="83">
        <v>0.375</v>
      </c>
      <c r="I2631" s="84">
        <v>44456.0</v>
      </c>
      <c r="J2631" s="65" t="b">
        <v>1</v>
      </c>
      <c r="K2631" s="65"/>
      <c r="L2631" s="85" t="b">
        <f>IF(VLOOKUP(C2631,Projetos!A:L,12,false)=TRUE,TRUE,FALSE)</f>
        <v>1</v>
      </c>
      <c r="M2631" s="74">
        <v>37.50928062469937</v>
      </c>
      <c r="N2631" s="74">
        <f t="shared" si="1"/>
        <v>337.5835256</v>
      </c>
      <c r="O2631" s="74" t="b">
        <v>1</v>
      </c>
    </row>
    <row r="2632" hidden="1">
      <c r="A2632" s="82"/>
      <c r="B2632" s="65" t="s">
        <v>469</v>
      </c>
      <c r="C2632" s="65" t="s">
        <v>123</v>
      </c>
      <c r="D2632" s="65"/>
      <c r="E2632" s="65" t="s">
        <v>1698</v>
      </c>
      <c r="F2632" s="83">
        <v>0.3333333333333333</v>
      </c>
      <c r="G2632" s="83">
        <v>0.7083333333333334</v>
      </c>
      <c r="H2632" s="83">
        <v>0.375</v>
      </c>
      <c r="I2632" s="84">
        <v>44459.0</v>
      </c>
      <c r="J2632" s="65" t="b">
        <v>0</v>
      </c>
      <c r="K2632" s="65" t="s">
        <v>150</v>
      </c>
      <c r="L2632" s="85" t="b">
        <f>IF(VLOOKUP(C2632,Projetos!A:L,12,false)=TRUE,TRUE,FALSE)</f>
        <v>1</v>
      </c>
      <c r="M2632" s="74">
        <v>37.50928062469937</v>
      </c>
      <c r="N2632" s="74">
        <f t="shared" si="1"/>
        <v>0</v>
      </c>
      <c r="O2632" s="74" t="b">
        <v>1</v>
      </c>
    </row>
    <row r="2633" hidden="1">
      <c r="A2633" s="82"/>
      <c r="B2633" s="65" t="s">
        <v>469</v>
      </c>
      <c r="C2633" s="65" t="s">
        <v>108</v>
      </c>
      <c r="D2633" s="65" t="str">
        <f>vlookup(C2633,'Classificação p pessoal'!F:G,2,false)</f>
        <v>NP</v>
      </c>
      <c r="E2633" s="65" t="s">
        <v>1695</v>
      </c>
      <c r="F2633" s="83">
        <v>0.4166666666666667</v>
      </c>
      <c r="G2633" s="83">
        <v>0.625</v>
      </c>
      <c r="H2633" s="83">
        <v>0.20833333333333334</v>
      </c>
      <c r="I2633" s="84">
        <v>44461.0</v>
      </c>
      <c r="J2633" s="65" t="b">
        <v>1</v>
      </c>
      <c r="K2633" s="65"/>
      <c r="L2633" s="85" t="b">
        <f>IF(VLOOKUP(C2633,Projetos!A:L,12,false)=TRUE,TRUE,FALSE)</f>
        <v>1</v>
      </c>
      <c r="M2633" s="74">
        <v>37.50928062469937</v>
      </c>
      <c r="N2633" s="74">
        <f t="shared" si="1"/>
        <v>187.5464031</v>
      </c>
      <c r="O2633" s="74" t="b">
        <v>1</v>
      </c>
    </row>
    <row r="2634" hidden="1">
      <c r="A2634" s="82"/>
      <c r="B2634" s="65" t="s">
        <v>469</v>
      </c>
      <c r="C2634" s="65" t="s">
        <v>108</v>
      </c>
      <c r="D2634" s="65" t="str">
        <f>vlookup(C2634,'Classificação p pessoal'!F:G,2,false)</f>
        <v>NP</v>
      </c>
      <c r="E2634" s="65" t="s">
        <v>1695</v>
      </c>
      <c r="F2634" s="83">
        <v>0.3020833333333333</v>
      </c>
      <c r="G2634" s="83">
        <v>0.625</v>
      </c>
      <c r="H2634" s="83">
        <v>0.3229166666666667</v>
      </c>
      <c r="I2634" s="84">
        <v>44462.0</v>
      </c>
      <c r="J2634" s="65" t="b">
        <v>1</v>
      </c>
      <c r="K2634" s="65"/>
      <c r="L2634" s="85" t="b">
        <f>IF(VLOOKUP(C2634,Projetos!A:L,12,false)=TRUE,TRUE,FALSE)</f>
        <v>1</v>
      </c>
      <c r="M2634" s="74">
        <v>37.50928062469937</v>
      </c>
      <c r="N2634" s="74">
        <f t="shared" si="1"/>
        <v>290.6969248</v>
      </c>
      <c r="O2634" s="74" t="b">
        <v>1</v>
      </c>
    </row>
    <row r="2635" hidden="1">
      <c r="A2635" s="82"/>
      <c r="B2635" s="65" t="s">
        <v>469</v>
      </c>
      <c r="C2635" s="65" t="s">
        <v>108</v>
      </c>
      <c r="D2635" s="65" t="str">
        <f>vlookup(C2635,'Classificação p pessoal'!F:G,2,false)</f>
        <v>NP</v>
      </c>
      <c r="E2635" s="65" t="s">
        <v>1695</v>
      </c>
      <c r="F2635" s="83">
        <v>0.3020833333333333</v>
      </c>
      <c r="G2635" s="83">
        <v>0.625</v>
      </c>
      <c r="H2635" s="83">
        <v>0.3229166666666667</v>
      </c>
      <c r="I2635" s="84">
        <v>44463.0</v>
      </c>
      <c r="J2635" s="65" t="b">
        <v>1</v>
      </c>
      <c r="K2635" s="65"/>
      <c r="L2635" s="85" t="b">
        <f>IF(VLOOKUP(C2635,Projetos!A:L,12,false)=TRUE,TRUE,FALSE)</f>
        <v>1</v>
      </c>
      <c r="M2635" s="74">
        <v>37.50928062469937</v>
      </c>
      <c r="N2635" s="74">
        <f t="shared" si="1"/>
        <v>290.6969248</v>
      </c>
      <c r="O2635" s="74" t="b">
        <v>1</v>
      </c>
    </row>
    <row r="2636" hidden="1">
      <c r="A2636" s="82"/>
      <c r="B2636" s="65" t="s">
        <v>469</v>
      </c>
      <c r="C2636" s="65" t="s">
        <v>118</v>
      </c>
      <c r="D2636" s="65" t="str">
        <f>vlookup(C2636,'Classificação p pessoal'!F:G,2,false)</f>
        <v>MProduto</v>
      </c>
      <c r="E2636" s="65" t="s">
        <v>1699</v>
      </c>
      <c r="F2636" s="83">
        <v>0.3020833333333333</v>
      </c>
      <c r="G2636" s="83">
        <v>0.7083333333333334</v>
      </c>
      <c r="H2636" s="83">
        <v>0.40625</v>
      </c>
      <c r="I2636" s="84">
        <v>44469.0</v>
      </c>
      <c r="J2636" s="65" t="b">
        <v>1</v>
      </c>
      <c r="K2636" s="65"/>
      <c r="L2636" s="85" t="b">
        <f>IF(VLOOKUP(C2636,Projetos!A:L,12,false)=TRUE,TRUE,FALSE)</f>
        <v>1</v>
      </c>
      <c r="M2636" s="74">
        <v>37.50928062469937</v>
      </c>
      <c r="N2636" s="74">
        <f t="shared" si="1"/>
        <v>365.7154861</v>
      </c>
      <c r="O2636" s="74" t="b">
        <v>1</v>
      </c>
    </row>
    <row r="2637" hidden="1">
      <c r="A2637" s="82"/>
      <c r="B2637" s="65" t="s">
        <v>469</v>
      </c>
      <c r="C2637" s="65" t="s">
        <v>106</v>
      </c>
      <c r="D2637" s="65" t="str">
        <f>vlookup(C2637,'Classificação p pessoal'!F:G,2,false)</f>
        <v>MProcesso</v>
      </c>
      <c r="E2637" s="65" t="s">
        <v>1700</v>
      </c>
      <c r="F2637" s="83">
        <v>0.5833333333333334</v>
      </c>
      <c r="G2637" s="83">
        <v>0.625</v>
      </c>
      <c r="H2637" s="83">
        <v>0.041666666666666664</v>
      </c>
      <c r="I2637" s="84">
        <v>44470.0</v>
      </c>
      <c r="J2637" s="65" t="b">
        <v>1</v>
      </c>
      <c r="K2637" s="65"/>
      <c r="L2637" s="85" t="b">
        <f>IF(VLOOKUP(C2637,Projetos!A:L,12,false)=TRUE,TRUE,FALSE)</f>
        <v>1</v>
      </c>
      <c r="M2637" s="74">
        <v>37.50928062469937</v>
      </c>
      <c r="N2637" s="74">
        <f t="shared" si="1"/>
        <v>37.50928062</v>
      </c>
      <c r="O2637" s="74" t="b">
        <v>1</v>
      </c>
    </row>
    <row r="2638" hidden="1">
      <c r="A2638" s="82"/>
      <c r="B2638" s="65" t="s">
        <v>469</v>
      </c>
      <c r="C2638" s="65" t="s">
        <v>118</v>
      </c>
      <c r="D2638" s="65" t="str">
        <f>vlookup(C2638,'Classificação p pessoal'!F:G,2,false)</f>
        <v>MProduto</v>
      </c>
      <c r="E2638" s="65" t="s">
        <v>1699</v>
      </c>
      <c r="F2638" s="83">
        <v>0.3333333333333333</v>
      </c>
      <c r="G2638" s="83">
        <v>0.7083333333333334</v>
      </c>
      <c r="H2638" s="83">
        <v>0.375</v>
      </c>
      <c r="I2638" s="84">
        <v>44473.0</v>
      </c>
      <c r="J2638" s="65" t="b">
        <v>1</v>
      </c>
      <c r="K2638" s="65"/>
      <c r="L2638" s="85" t="b">
        <f>IF(VLOOKUP(C2638,Projetos!A:L,12,false)=TRUE,TRUE,FALSE)</f>
        <v>1</v>
      </c>
      <c r="M2638" s="74">
        <v>37.50928062469937</v>
      </c>
      <c r="N2638" s="74">
        <f t="shared" si="1"/>
        <v>337.5835256</v>
      </c>
      <c r="O2638" s="74" t="b">
        <v>1</v>
      </c>
    </row>
    <row r="2639" hidden="1">
      <c r="A2639" s="82"/>
      <c r="B2639" s="65" t="s">
        <v>469</v>
      </c>
      <c r="C2639" s="65" t="s">
        <v>118</v>
      </c>
      <c r="D2639" s="65" t="str">
        <f>vlookup(C2639,'Classificação p pessoal'!F:G,2,false)</f>
        <v>MProduto</v>
      </c>
      <c r="E2639" s="65" t="s">
        <v>1701</v>
      </c>
      <c r="F2639" s="83">
        <v>0.3333333333333333</v>
      </c>
      <c r="G2639" s="83">
        <v>0.7083333333333334</v>
      </c>
      <c r="H2639" s="83">
        <v>0.375</v>
      </c>
      <c r="I2639" s="84">
        <v>44474.0</v>
      </c>
      <c r="J2639" s="65" t="b">
        <v>1</v>
      </c>
      <c r="K2639" s="65"/>
      <c r="L2639" s="85" t="b">
        <f>IF(VLOOKUP(C2639,Projetos!A:L,12,false)=TRUE,TRUE,FALSE)</f>
        <v>1</v>
      </c>
      <c r="M2639" s="74">
        <v>37.50928062469937</v>
      </c>
      <c r="N2639" s="74">
        <f t="shared" si="1"/>
        <v>337.5835256</v>
      </c>
      <c r="O2639" s="74" t="b">
        <v>1</v>
      </c>
    </row>
    <row r="2640" hidden="1">
      <c r="A2640" s="82"/>
      <c r="B2640" s="65" t="s">
        <v>469</v>
      </c>
      <c r="C2640" s="65" t="s">
        <v>118</v>
      </c>
      <c r="D2640" s="65" t="str">
        <f>vlookup(C2640,'Classificação p pessoal'!F:G,2,false)</f>
        <v>MProduto</v>
      </c>
      <c r="E2640" s="65" t="s">
        <v>1701</v>
      </c>
      <c r="F2640" s="83">
        <v>0.3333333333333333</v>
      </c>
      <c r="G2640" s="83">
        <v>0.7083333333333334</v>
      </c>
      <c r="H2640" s="83">
        <v>0.375</v>
      </c>
      <c r="I2640" s="84">
        <v>44475.0</v>
      </c>
      <c r="J2640" s="65" t="b">
        <v>1</v>
      </c>
      <c r="K2640" s="65"/>
      <c r="L2640" s="85" t="b">
        <f>IF(VLOOKUP(C2640,Projetos!A:L,12,false)=TRUE,TRUE,FALSE)</f>
        <v>1</v>
      </c>
      <c r="M2640" s="74">
        <v>37.50928062469937</v>
      </c>
      <c r="N2640" s="74">
        <f t="shared" si="1"/>
        <v>337.5835256</v>
      </c>
      <c r="O2640" s="74" t="b">
        <v>1</v>
      </c>
    </row>
    <row r="2641" hidden="1">
      <c r="A2641" s="82"/>
      <c r="B2641" s="65" t="s">
        <v>469</v>
      </c>
      <c r="C2641" s="65" t="s">
        <v>123</v>
      </c>
      <c r="D2641" s="65" t="str">
        <f>vlookup(C2641,'Classificação p pessoal'!F:G,2,false)</f>
        <v>NP</v>
      </c>
      <c r="E2641" s="65" t="s">
        <v>1702</v>
      </c>
      <c r="F2641" s="83">
        <v>0.3333333333333333</v>
      </c>
      <c r="G2641" s="83">
        <v>0.7083333333333334</v>
      </c>
      <c r="H2641" s="83">
        <v>0.375</v>
      </c>
      <c r="I2641" s="84">
        <v>44477.0</v>
      </c>
      <c r="J2641" s="65" t="b">
        <v>1</v>
      </c>
      <c r="K2641" s="65"/>
      <c r="L2641" s="85" t="b">
        <f>IF(VLOOKUP(C2641,Projetos!A:L,12,false)=TRUE,TRUE,FALSE)</f>
        <v>1</v>
      </c>
      <c r="M2641" s="74">
        <v>37.50928062469937</v>
      </c>
      <c r="N2641" s="74">
        <f t="shared" si="1"/>
        <v>337.5835256</v>
      </c>
      <c r="O2641" s="74" t="b">
        <v>1</v>
      </c>
    </row>
    <row r="2642" hidden="1">
      <c r="A2642" s="82"/>
      <c r="B2642" s="65" t="s">
        <v>469</v>
      </c>
      <c r="C2642" s="65" t="s">
        <v>117</v>
      </c>
      <c r="D2642" s="65"/>
      <c r="E2642" s="65" t="s">
        <v>1703</v>
      </c>
      <c r="F2642" s="83">
        <v>0.3020833333333333</v>
      </c>
      <c r="G2642" s="83">
        <v>0.4166666666666667</v>
      </c>
      <c r="H2642" s="83">
        <v>0.11458333333333333</v>
      </c>
      <c r="I2642" s="84">
        <v>44482.0</v>
      </c>
      <c r="J2642" s="65" t="b">
        <v>0</v>
      </c>
      <c r="K2642" s="65" t="s">
        <v>150</v>
      </c>
      <c r="L2642" s="85" t="b">
        <f>IF(VLOOKUP(C2642,Projetos!A:L,12,false)=TRUE,TRUE,FALSE)</f>
        <v>1</v>
      </c>
      <c r="M2642" s="74">
        <v>37.50928062469937</v>
      </c>
      <c r="N2642" s="74">
        <f t="shared" si="1"/>
        <v>0</v>
      </c>
      <c r="O2642" s="74" t="b">
        <v>1</v>
      </c>
    </row>
    <row r="2643" hidden="1">
      <c r="A2643" s="82"/>
      <c r="B2643" s="65" t="s">
        <v>469</v>
      </c>
      <c r="C2643" s="65" t="s">
        <v>123</v>
      </c>
      <c r="D2643" s="65" t="str">
        <f>vlookup(C2643,'Classificação p pessoal'!F:G,2,false)</f>
        <v>NP</v>
      </c>
      <c r="E2643" s="65" t="s">
        <v>1702</v>
      </c>
      <c r="F2643" s="83">
        <v>0.3333333333333333</v>
      </c>
      <c r="G2643" s="83">
        <v>0.7083333333333334</v>
      </c>
      <c r="H2643" s="83">
        <v>0.375</v>
      </c>
      <c r="I2643" s="84">
        <v>44482.0</v>
      </c>
      <c r="J2643" s="65" t="b">
        <v>1</v>
      </c>
      <c r="K2643" s="65"/>
      <c r="L2643" s="85" t="b">
        <f>IF(VLOOKUP(C2643,Projetos!A:L,12,false)=TRUE,TRUE,FALSE)</f>
        <v>1</v>
      </c>
      <c r="M2643" s="74">
        <v>37.50928062469937</v>
      </c>
      <c r="N2643" s="74">
        <f t="shared" si="1"/>
        <v>337.5835256</v>
      </c>
      <c r="O2643" s="74" t="b">
        <v>1</v>
      </c>
    </row>
    <row r="2644" hidden="1">
      <c r="A2644" s="82"/>
      <c r="B2644" s="65" t="s">
        <v>469</v>
      </c>
      <c r="C2644" s="65" t="s">
        <v>123</v>
      </c>
      <c r="D2644" s="65" t="str">
        <f>vlookup(C2644,'Classificação p pessoal'!F:G,2,false)</f>
        <v>NP</v>
      </c>
      <c r="E2644" s="65" t="s">
        <v>1702</v>
      </c>
      <c r="F2644" s="83">
        <v>0.3333333333333333</v>
      </c>
      <c r="G2644" s="83">
        <v>0.7083333333333334</v>
      </c>
      <c r="H2644" s="83">
        <v>0.375</v>
      </c>
      <c r="I2644" s="84">
        <v>44483.0</v>
      </c>
      <c r="J2644" s="65" t="b">
        <v>1</v>
      </c>
      <c r="K2644" s="65"/>
      <c r="L2644" s="85" t="b">
        <f>IF(VLOOKUP(C2644,Projetos!A:L,12,false)=TRUE,TRUE,FALSE)</f>
        <v>1</v>
      </c>
      <c r="M2644" s="74">
        <v>37.50928062469937</v>
      </c>
      <c r="N2644" s="74">
        <f t="shared" si="1"/>
        <v>337.5835256</v>
      </c>
      <c r="O2644" s="74" t="b">
        <v>1</v>
      </c>
    </row>
    <row r="2645" hidden="1">
      <c r="A2645" s="82"/>
      <c r="B2645" s="65" t="s">
        <v>469</v>
      </c>
      <c r="C2645" s="65" t="s">
        <v>123</v>
      </c>
      <c r="D2645" s="65" t="str">
        <f>vlookup(C2645,'Classificação p pessoal'!F:G,2,false)</f>
        <v>NP</v>
      </c>
      <c r="E2645" s="65" t="s">
        <v>1702</v>
      </c>
      <c r="F2645" s="83">
        <v>0.3333333333333333</v>
      </c>
      <c r="G2645" s="83">
        <v>0.7083333333333334</v>
      </c>
      <c r="H2645" s="83">
        <v>0.375</v>
      </c>
      <c r="I2645" s="84">
        <v>44484.0</v>
      </c>
      <c r="J2645" s="65" t="b">
        <v>1</v>
      </c>
      <c r="K2645" s="65"/>
      <c r="L2645" s="85" t="b">
        <f>IF(VLOOKUP(C2645,Projetos!A:L,12,false)=TRUE,TRUE,FALSE)</f>
        <v>1</v>
      </c>
      <c r="M2645" s="74">
        <v>37.50928062469937</v>
      </c>
      <c r="N2645" s="74">
        <f t="shared" si="1"/>
        <v>337.5835256</v>
      </c>
      <c r="O2645" s="74" t="b">
        <v>1</v>
      </c>
    </row>
    <row r="2646" hidden="1">
      <c r="A2646" s="82"/>
      <c r="B2646" s="65" t="s">
        <v>467</v>
      </c>
      <c r="C2646" s="65" t="s">
        <v>84</v>
      </c>
      <c r="D2646" s="65"/>
      <c r="E2646" s="65" t="s">
        <v>1704</v>
      </c>
      <c r="F2646" s="83">
        <v>0.3229166666666667</v>
      </c>
      <c r="G2646" s="83">
        <v>0.5069444444444444</v>
      </c>
      <c r="H2646" s="83">
        <v>0.1840277777777778</v>
      </c>
      <c r="I2646" s="84">
        <v>44469.0</v>
      </c>
      <c r="J2646" s="65" t="b">
        <v>0</v>
      </c>
      <c r="K2646" s="65" t="s">
        <v>150</v>
      </c>
      <c r="L2646" s="85" t="b">
        <f>IF(VLOOKUP(C2646,Projetos!A:L,12,false)=TRUE,TRUE,FALSE)</f>
        <v>0</v>
      </c>
      <c r="M2646" s="74">
        <v>52.1518759018759</v>
      </c>
      <c r="N2646" s="74">
        <f t="shared" si="1"/>
        <v>0</v>
      </c>
      <c r="O2646" s="74" t="b">
        <v>0</v>
      </c>
    </row>
    <row r="2647" hidden="1">
      <c r="A2647" s="82"/>
      <c r="B2647" s="65" t="s">
        <v>469</v>
      </c>
      <c r="C2647" s="65" t="s">
        <v>108</v>
      </c>
      <c r="D2647" s="65" t="str">
        <f>vlookup(C2647,'Classificação p pessoal'!F:G,2,false)</f>
        <v>NP</v>
      </c>
      <c r="E2647" s="65" t="s">
        <v>1705</v>
      </c>
      <c r="F2647" s="83">
        <v>0.3333333333333333</v>
      </c>
      <c r="G2647" s="83">
        <v>0.7083333333333334</v>
      </c>
      <c r="H2647" s="83">
        <v>0.375</v>
      </c>
      <c r="I2647" s="84">
        <v>44484.0</v>
      </c>
      <c r="J2647" s="65" t="b">
        <v>1</v>
      </c>
      <c r="K2647" s="65"/>
      <c r="L2647" s="85" t="b">
        <f>IF(VLOOKUP(C2647,Projetos!A:L,12,false)=TRUE,TRUE,FALSE)</f>
        <v>1</v>
      </c>
      <c r="M2647" s="74">
        <v>37.50928062469937</v>
      </c>
      <c r="N2647" s="74">
        <f t="shared" si="1"/>
        <v>337.5835256</v>
      </c>
      <c r="O2647" s="74" t="b">
        <v>1</v>
      </c>
    </row>
    <row r="2648" hidden="1">
      <c r="A2648" s="82"/>
      <c r="B2648" s="65" t="s">
        <v>469</v>
      </c>
      <c r="C2648" s="65" t="s">
        <v>100</v>
      </c>
      <c r="D2648" s="65" t="str">
        <f>vlookup(C2648,'Classificação p pessoal'!F:G,2,false)</f>
        <v>NP</v>
      </c>
      <c r="E2648" s="65" t="s">
        <v>1706</v>
      </c>
      <c r="F2648" s="83">
        <v>0.4583333333333333</v>
      </c>
      <c r="G2648" s="83">
        <v>0.4791666666666667</v>
      </c>
      <c r="H2648" s="83">
        <v>0.020833333333333332</v>
      </c>
      <c r="I2648" s="84">
        <v>44484.0</v>
      </c>
      <c r="J2648" s="65" t="b">
        <v>1</v>
      </c>
      <c r="K2648" s="65"/>
      <c r="L2648" s="85" t="b">
        <f>IF(VLOOKUP(C2648,Projetos!A:L,12,false)=TRUE,TRUE,FALSE)</f>
        <v>1</v>
      </c>
      <c r="M2648" s="74">
        <v>37.50928062469937</v>
      </c>
      <c r="N2648" s="74">
        <f t="shared" si="1"/>
        <v>18.75464031</v>
      </c>
      <c r="O2648" s="74" t="b">
        <v>1</v>
      </c>
    </row>
    <row r="2649" hidden="1">
      <c r="A2649" s="82"/>
      <c r="B2649" s="65" t="s">
        <v>469</v>
      </c>
      <c r="C2649" s="65" t="s">
        <v>152</v>
      </c>
      <c r="D2649" s="65" t="str">
        <f>vlookup(C2649,'Classificação p pessoal'!F:G,2,false)</f>
        <v>MProduto</v>
      </c>
      <c r="E2649" s="65" t="s">
        <v>1707</v>
      </c>
      <c r="F2649" s="83">
        <v>0.4791666666666667</v>
      </c>
      <c r="G2649" s="83">
        <v>0.4930555555555556</v>
      </c>
      <c r="H2649" s="83">
        <v>0.013888888888888888</v>
      </c>
      <c r="I2649" s="84">
        <v>44484.0</v>
      </c>
      <c r="J2649" s="65" t="b">
        <v>1</v>
      </c>
      <c r="K2649" s="65"/>
      <c r="L2649" s="85" t="b">
        <f>IF(VLOOKUP(C2649,Projetos!A:L,12,false)=TRUE,TRUE,FALSE)</f>
        <v>1</v>
      </c>
      <c r="M2649" s="74">
        <v>37.50928062469937</v>
      </c>
      <c r="N2649" s="74">
        <f t="shared" si="1"/>
        <v>12.50309354</v>
      </c>
      <c r="O2649" s="74" t="b">
        <v>1</v>
      </c>
    </row>
    <row r="2650" hidden="1">
      <c r="A2650" s="82"/>
      <c r="B2650" s="65" t="s">
        <v>469</v>
      </c>
      <c r="C2650" s="65" t="s">
        <v>105</v>
      </c>
      <c r="D2650" s="65" t="str">
        <f>vlookup(C2650,'Classificação p pessoal'!F:G,2,false)</f>
        <v>NP</v>
      </c>
      <c r="E2650" s="65" t="s">
        <v>1708</v>
      </c>
      <c r="F2650" s="83">
        <v>0.4930555555555556</v>
      </c>
      <c r="G2650" s="83">
        <v>0.5138888888888888</v>
      </c>
      <c r="H2650" s="83">
        <v>0.020833333333333332</v>
      </c>
      <c r="I2650" s="84">
        <v>44484.0</v>
      </c>
      <c r="J2650" s="65" t="b">
        <v>1</v>
      </c>
      <c r="K2650" s="65"/>
      <c r="L2650" s="85" t="b">
        <f>IF(VLOOKUP(C2650,Projetos!A:L,12,false)=TRUE,TRUE,FALSE)</f>
        <v>1</v>
      </c>
      <c r="M2650" s="74">
        <v>37.50928062469937</v>
      </c>
      <c r="N2650" s="74">
        <f t="shared" si="1"/>
        <v>18.75464031</v>
      </c>
      <c r="O2650" s="74" t="b">
        <v>1</v>
      </c>
    </row>
    <row r="2651" hidden="1">
      <c r="A2651" s="82"/>
      <c r="B2651" s="65" t="s">
        <v>469</v>
      </c>
      <c r="C2651" s="65" t="s">
        <v>106</v>
      </c>
      <c r="D2651" s="65" t="str">
        <f>vlookup(C2651,'Classificação p pessoal'!F:G,2,false)</f>
        <v>MProcesso</v>
      </c>
      <c r="E2651" s="65" t="s">
        <v>1709</v>
      </c>
      <c r="F2651" s="83">
        <v>0.5138888888888888</v>
      </c>
      <c r="G2651" s="83">
        <v>0.5347222222222222</v>
      </c>
      <c r="H2651" s="83">
        <v>0.020833333333333332</v>
      </c>
      <c r="I2651" s="84">
        <v>44484.0</v>
      </c>
      <c r="J2651" s="65" t="b">
        <v>1</v>
      </c>
      <c r="K2651" s="65"/>
      <c r="L2651" s="85" t="b">
        <f>IF(VLOOKUP(C2651,Projetos!A:L,12,false)=TRUE,TRUE,FALSE)</f>
        <v>1</v>
      </c>
      <c r="M2651" s="74">
        <v>37.50928062469937</v>
      </c>
      <c r="N2651" s="74">
        <f t="shared" si="1"/>
        <v>18.75464031</v>
      </c>
      <c r="O2651" s="74" t="b">
        <v>1</v>
      </c>
    </row>
    <row r="2652" hidden="1">
      <c r="A2652" s="82"/>
      <c r="B2652" s="65" t="s">
        <v>177</v>
      </c>
      <c r="C2652" s="65" t="s">
        <v>84</v>
      </c>
      <c r="D2652" s="65"/>
      <c r="E2652" s="65" t="s">
        <v>1710</v>
      </c>
      <c r="F2652" s="83">
        <v>0.3333333333333333</v>
      </c>
      <c r="G2652" s="83">
        <v>0.4583333333333333</v>
      </c>
      <c r="H2652" s="83">
        <v>0.125</v>
      </c>
      <c r="I2652" s="84">
        <v>44468.0</v>
      </c>
      <c r="J2652" s="65" t="b">
        <v>0</v>
      </c>
      <c r="K2652" s="65" t="s">
        <v>150</v>
      </c>
      <c r="L2652" s="85" t="b">
        <f>IF(VLOOKUP(C2652,Projetos!A:L,12,false)=TRUE,TRUE,FALSE)</f>
        <v>0</v>
      </c>
      <c r="M2652" s="74">
        <v>31.02923620430495</v>
      </c>
      <c r="N2652" s="74">
        <f t="shared" si="1"/>
        <v>0</v>
      </c>
      <c r="O2652" s="74" t="b">
        <v>0</v>
      </c>
    </row>
    <row r="2653" hidden="1">
      <c r="A2653" s="82"/>
      <c r="B2653" s="65" t="s">
        <v>469</v>
      </c>
      <c r="C2653" s="65" t="s">
        <v>123</v>
      </c>
      <c r="D2653" s="65" t="str">
        <f>vlookup(C2653,'Classificação p pessoal'!F:G,2,false)</f>
        <v>NP</v>
      </c>
      <c r="E2653" s="65" t="s">
        <v>1711</v>
      </c>
      <c r="F2653" s="83">
        <v>0.3020833333333333</v>
      </c>
      <c r="G2653" s="83">
        <v>0.7083333333333334</v>
      </c>
      <c r="H2653" s="83">
        <v>0.40625</v>
      </c>
      <c r="I2653" s="84">
        <v>44503.0</v>
      </c>
      <c r="J2653" s="65" t="b">
        <v>1</v>
      </c>
      <c r="K2653" s="65"/>
      <c r="L2653" s="85" t="b">
        <f>IF(VLOOKUP(C2653,Projetos!A:L,12,false)=TRUE,TRUE,FALSE)</f>
        <v>1</v>
      </c>
      <c r="M2653" s="74">
        <v>37.50928062469937</v>
      </c>
      <c r="N2653" s="74">
        <f t="shared" si="1"/>
        <v>365.7154861</v>
      </c>
      <c r="O2653" s="74" t="b">
        <v>1</v>
      </c>
    </row>
    <row r="2654" hidden="1">
      <c r="A2654" s="82"/>
      <c r="B2654" s="65" t="s">
        <v>469</v>
      </c>
      <c r="C2654" s="65" t="s">
        <v>152</v>
      </c>
      <c r="D2654" s="65"/>
      <c r="E2654" s="65" t="s">
        <v>1712</v>
      </c>
      <c r="F2654" s="83">
        <v>0.4166666666666667</v>
      </c>
      <c r="G2654" s="83">
        <v>0.5</v>
      </c>
      <c r="H2654" s="83">
        <v>0.08333333333333333</v>
      </c>
      <c r="I2654" s="84">
        <v>44513.0</v>
      </c>
      <c r="J2654" s="65" t="b">
        <v>0</v>
      </c>
      <c r="K2654" s="65" t="s">
        <v>150</v>
      </c>
      <c r="L2654" s="85" t="b">
        <f>IF(VLOOKUP(C2654,Projetos!A:L,12,false)=TRUE,TRUE,FALSE)</f>
        <v>1</v>
      </c>
      <c r="M2654" s="74">
        <v>37.50928062469937</v>
      </c>
      <c r="N2654" s="74">
        <f t="shared" si="1"/>
        <v>0</v>
      </c>
      <c r="O2654" s="74" t="b">
        <v>1</v>
      </c>
    </row>
    <row r="2655" hidden="1">
      <c r="A2655" s="82"/>
      <c r="B2655" s="65" t="s">
        <v>469</v>
      </c>
      <c r="C2655" s="65" t="s">
        <v>123</v>
      </c>
      <c r="D2655" s="65"/>
      <c r="E2655" s="65" t="s">
        <v>1713</v>
      </c>
      <c r="F2655" s="83">
        <v>0.5</v>
      </c>
      <c r="G2655" s="83">
        <v>0.75</v>
      </c>
      <c r="H2655" s="83">
        <v>0.25</v>
      </c>
      <c r="I2655" s="84">
        <v>44517.0</v>
      </c>
      <c r="J2655" s="65" t="b">
        <v>0</v>
      </c>
      <c r="K2655" s="65" t="s">
        <v>150</v>
      </c>
      <c r="L2655" s="85" t="b">
        <f>IF(VLOOKUP(C2655,Projetos!A:L,12,false)=TRUE,TRUE,FALSE)</f>
        <v>1</v>
      </c>
      <c r="M2655" s="74">
        <v>37.50928062469937</v>
      </c>
      <c r="N2655" s="74">
        <f t="shared" si="1"/>
        <v>0</v>
      </c>
      <c r="O2655" s="74" t="b">
        <v>1</v>
      </c>
    </row>
    <row r="2656" hidden="1">
      <c r="A2656" s="82"/>
      <c r="B2656" s="65" t="s">
        <v>469</v>
      </c>
      <c r="C2656" s="65" t="s">
        <v>106</v>
      </c>
      <c r="D2656" s="65"/>
      <c r="E2656" s="65" t="s">
        <v>1714</v>
      </c>
      <c r="F2656" s="83">
        <v>0.3333333333333333</v>
      </c>
      <c r="G2656" s="83">
        <v>0.6666666666666666</v>
      </c>
      <c r="H2656" s="83">
        <v>0.3333333333333333</v>
      </c>
      <c r="I2656" s="84">
        <v>44518.0</v>
      </c>
      <c r="J2656" s="65" t="b">
        <v>0</v>
      </c>
      <c r="K2656" s="65" t="s">
        <v>150</v>
      </c>
      <c r="L2656" s="85" t="b">
        <f>IF(VLOOKUP(C2656,Projetos!A:L,12,false)=TRUE,TRUE,FALSE)</f>
        <v>1</v>
      </c>
      <c r="M2656" s="74">
        <v>37.50928062469937</v>
      </c>
      <c r="N2656" s="74">
        <f t="shared" si="1"/>
        <v>0</v>
      </c>
      <c r="O2656" s="74" t="b">
        <v>1</v>
      </c>
    </row>
    <row r="2657" hidden="1">
      <c r="A2657" s="82"/>
      <c r="B2657" s="65" t="s">
        <v>469</v>
      </c>
      <c r="C2657" s="65" t="s">
        <v>100</v>
      </c>
      <c r="D2657" s="65" t="str">
        <f>vlookup(C2657,'Classificação p pessoal'!F:G,2,false)</f>
        <v>NP</v>
      </c>
      <c r="E2657" s="65" t="s">
        <v>1715</v>
      </c>
      <c r="F2657" s="83">
        <v>0.5</v>
      </c>
      <c r="G2657" s="83">
        <v>0.5416666666666666</v>
      </c>
      <c r="H2657" s="83">
        <v>0.041666666666666664</v>
      </c>
      <c r="I2657" s="84">
        <v>44522.0</v>
      </c>
      <c r="J2657" s="65" t="b">
        <v>1</v>
      </c>
      <c r="K2657" s="65"/>
      <c r="L2657" s="85" t="b">
        <f>IF(VLOOKUP(C2657,Projetos!A:L,12,false)=TRUE,TRUE,FALSE)</f>
        <v>1</v>
      </c>
      <c r="M2657" s="74">
        <v>37.50928062469937</v>
      </c>
      <c r="N2657" s="74">
        <f t="shared" si="1"/>
        <v>37.50928062</v>
      </c>
      <c r="O2657" s="74" t="b">
        <v>1</v>
      </c>
    </row>
    <row r="2658" hidden="1">
      <c r="A2658" s="82"/>
      <c r="B2658" s="65" t="s">
        <v>469</v>
      </c>
      <c r="C2658" s="65" t="s">
        <v>118</v>
      </c>
      <c r="D2658" s="65"/>
      <c r="E2658" s="65" t="s">
        <v>1716</v>
      </c>
      <c r="F2658" s="83">
        <v>0.375</v>
      </c>
      <c r="G2658" s="83">
        <v>0.7083333333333334</v>
      </c>
      <c r="H2658" s="83">
        <v>0.3333333333333333</v>
      </c>
      <c r="I2658" s="84">
        <v>44536.0</v>
      </c>
      <c r="J2658" s="65" t="b">
        <v>0</v>
      </c>
      <c r="K2658" s="65" t="s">
        <v>150</v>
      </c>
      <c r="L2658" s="85" t="b">
        <f>IF(VLOOKUP(C2658,Projetos!A:L,12,false)=TRUE,TRUE,FALSE)</f>
        <v>1</v>
      </c>
      <c r="M2658" s="74">
        <v>37.50928062469937</v>
      </c>
      <c r="N2658" s="74">
        <f t="shared" si="1"/>
        <v>0</v>
      </c>
      <c r="O2658" s="74" t="b">
        <v>1</v>
      </c>
    </row>
    <row r="2659" hidden="1">
      <c r="A2659" s="82"/>
      <c r="B2659" s="65" t="s">
        <v>469</v>
      </c>
      <c r="C2659" s="65" t="s">
        <v>105</v>
      </c>
      <c r="D2659" s="65"/>
      <c r="E2659" s="65" t="s">
        <v>1717</v>
      </c>
      <c r="F2659" s="83">
        <v>0.34375</v>
      </c>
      <c r="G2659" s="83">
        <v>0.75</v>
      </c>
      <c r="H2659" s="83">
        <v>0.40625</v>
      </c>
      <c r="I2659" s="84">
        <v>44537.0</v>
      </c>
      <c r="J2659" s="65" t="b">
        <v>0</v>
      </c>
      <c r="K2659" s="65" t="s">
        <v>150</v>
      </c>
      <c r="L2659" s="85" t="b">
        <f>IF(VLOOKUP(C2659,Projetos!A:L,12,false)=TRUE,TRUE,FALSE)</f>
        <v>1</v>
      </c>
      <c r="M2659" s="74">
        <v>37.50928062469937</v>
      </c>
      <c r="N2659" s="74">
        <f t="shared" si="1"/>
        <v>0</v>
      </c>
      <c r="O2659" s="74" t="b">
        <v>1</v>
      </c>
    </row>
    <row r="2660" hidden="1">
      <c r="A2660" s="82"/>
      <c r="B2660" s="65" t="s">
        <v>469</v>
      </c>
      <c r="C2660" s="65" t="s">
        <v>107</v>
      </c>
      <c r="D2660" s="65"/>
      <c r="E2660" s="65" t="s">
        <v>1664</v>
      </c>
      <c r="F2660" s="83">
        <v>0.5833333333333334</v>
      </c>
      <c r="G2660" s="83">
        <v>0.75</v>
      </c>
      <c r="H2660" s="83">
        <v>0.16666666666666666</v>
      </c>
      <c r="I2660" s="84">
        <v>44539.0</v>
      </c>
      <c r="J2660" s="65" t="b">
        <v>0</v>
      </c>
      <c r="K2660" s="65" t="s">
        <v>150</v>
      </c>
      <c r="L2660" s="85" t="b">
        <f>IF(VLOOKUP(C2660,Projetos!A:L,12,false)=TRUE,TRUE,FALSE)</f>
        <v>1</v>
      </c>
      <c r="M2660" s="74">
        <v>37.50928062469937</v>
      </c>
      <c r="N2660" s="74">
        <f t="shared" si="1"/>
        <v>0</v>
      </c>
      <c r="O2660" s="74" t="b">
        <v>1</v>
      </c>
    </row>
    <row r="2661" hidden="1">
      <c r="A2661" s="82"/>
      <c r="B2661" s="65" t="s">
        <v>469</v>
      </c>
      <c r="C2661" s="65" t="s">
        <v>101</v>
      </c>
      <c r="D2661" s="65"/>
      <c r="E2661" s="65" t="s">
        <v>1718</v>
      </c>
      <c r="F2661" s="83">
        <v>0.34375</v>
      </c>
      <c r="G2661" s="83">
        <v>0.75</v>
      </c>
      <c r="H2661" s="83">
        <v>0.40625</v>
      </c>
      <c r="I2661" s="84">
        <v>44543.0</v>
      </c>
      <c r="J2661" s="65" t="b">
        <v>0</v>
      </c>
      <c r="K2661" s="65" t="s">
        <v>150</v>
      </c>
      <c r="L2661" s="85" t="b">
        <f>IF(VLOOKUP(C2661,Projetos!A:L,12,false)=TRUE,TRUE,FALSE)</f>
        <v>1</v>
      </c>
      <c r="M2661" s="74">
        <v>37.50928062469937</v>
      </c>
      <c r="N2661" s="74">
        <f t="shared" si="1"/>
        <v>0</v>
      </c>
      <c r="O2661" s="74" t="b">
        <v>1</v>
      </c>
    </row>
    <row r="2662" hidden="1">
      <c r="A2662" s="82"/>
      <c r="B2662" s="65" t="s">
        <v>469</v>
      </c>
      <c r="C2662" s="65" t="s">
        <v>105</v>
      </c>
      <c r="D2662" s="65"/>
      <c r="E2662" s="65" t="s">
        <v>1719</v>
      </c>
      <c r="F2662" s="83">
        <v>0.34375</v>
      </c>
      <c r="G2662" s="83">
        <v>0.75</v>
      </c>
      <c r="H2662" s="83">
        <v>0.40625</v>
      </c>
      <c r="I2662" s="84">
        <v>44544.0</v>
      </c>
      <c r="J2662" s="65" t="b">
        <v>0</v>
      </c>
      <c r="K2662" s="65" t="s">
        <v>150</v>
      </c>
      <c r="L2662" s="85" t="b">
        <f>IF(VLOOKUP(C2662,Projetos!A:L,12,false)=TRUE,TRUE,FALSE)</f>
        <v>1</v>
      </c>
      <c r="M2662" s="74">
        <v>37.50928062469937</v>
      </c>
      <c r="N2662" s="74">
        <f t="shared" si="1"/>
        <v>0</v>
      </c>
      <c r="O2662" s="74" t="b">
        <v>1</v>
      </c>
    </row>
    <row r="2663" hidden="1">
      <c r="A2663" s="82"/>
      <c r="B2663" s="65" t="s">
        <v>469</v>
      </c>
      <c r="C2663" s="65" t="s">
        <v>118</v>
      </c>
      <c r="D2663" s="65"/>
      <c r="E2663" s="65" t="s">
        <v>1720</v>
      </c>
      <c r="F2663" s="83">
        <v>0.3020833333333333</v>
      </c>
      <c r="G2663" s="83">
        <v>0.7083333333333334</v>
      </c>
      <c r="H2663" s="83">
        <v>0.40625</v>
      </c>
      <c r="I2663" s="84">
        <v>44426.0</v>
      </c>
      <c r="J2663" s="65" t="b">
        <v>0</v>
      </c>
      <c r="K2663" s="65"/>
      <c r="L2663" s="85" t="b">
        <f>IF(VLOOKUP(C2663,Projetos!A:L,12,false)=TRUE,TRUE,FALSE)</f>
        <v>1</v>
      </c>
      <c r="M2663" s="74">
        <v>37.50928062469937</v>
      </c>
      <c r="N2663" s="74">
        <f t="shared" si="1"/>
        <v>0</v>
      </c>
      <c r="O2663" s="74" t="b">
        <v>1</v>
      </c>
    </row>
    <row r="2664" hidden="1">
      <c r="A2664" s="82"/>
      <c r="B2664" s="65" t="s">
        <v>469</v>
      </c>
      <c r="C2664" s="65" t="s">
        <v>108</v>
      </c>
      <c r="D2664" s="65"/>
      <c r="E2664" s="65" t="s">
        <v>1721</v>
      </c>
      <c r="F2664" s="83">
        <v>0.3333333333333333</v>
      </c>
      <c r="G2664" s="83">
        <v>0.7083333333333334</v>
      </c>
      <c r="H2664" s="83">
        <v>0.375</v>
      </c>
      <c r="I2664" s="84">
        <v>44482.0</v>
      </c>
      <c r="J2664" s="65" t="b">
        <v>0</v>
      </c>
      <c r="K2664" s="65"/>
      <c r="L2664" s="85" t="b">
        <f>IF(VLOOKUP(C2664,Projetos!A:L,12,false)=TRUE,TRUE,FALSE)</f>
        <v>1</v>
      </c>
      <c r="M2664" s="74">
        <v>37.50928062469937</v>
      </c>
      <c r="N2664" s="74">
        <f t="shared" si="1"/>
        <v>0</v>
      </c>
      <c r="O2664" s="74" t="b">
        <v>1</v>
      </c>
    </row>
    <row r="2665" hidden="1">
      <c r="A2665" s="82"/>
      <c r="B2665" s="65" t="s">
        <v>469</v>
      </c>
      <c r="C2665" s="65" t="s">
        <v>132</v>
      </c>
      <c r="D2665" s="65"/>
      <c r="E2665" s="65" t="s">
        <v>1722</v>
      </c>
      <c r="F2665" s="83">
        <v>0.6875</v>
      </c>
      <c r="G2665" s="83">
        <v>0.75</v>
      </c>
      <c r="H2665" s="83">
        <v>0.0625</v>
      </c>
      <c r="I2665" s="84">
        <v>44236.0</v>
      </c>
      <c r="J2665" s="65" t="b">
        <v>0</v>
      </c>
      <c r="K2665" s="65"/>
      <c r="L2665" s="85" t="b">
        <f>IF(VLOOKUP(C2665,Projetos!A:L,12,false)=TRUE,TRUE,FALSE)</f>
        <v>0</v>
      </c>
      <c r="M2665" s="74">
        <v>37.50928062469937</v>
      </c>
      <c r="N2665" s="74">
        <f t="shared" si="1"/>
        <v>0</v>
      </c>
      <c r="O2665" s="74" t="b">
        <v>0</v>
      </c>
    </row>
    <row r="2666" hidden="1">
      <c r="A2666" s="82"/>
      <c r="B2666" s="65" t="s">
        <v>469</v>
      </c>
      <c r="C2666" s="65" t="s">
        <v>108</v>
      </c>
      <c r="D2666" s="65"/>
      <c r="E2666" s="65" t="s">
        <v>1723</v>
      </c>
      <c r="F2666" s="83">
        <v>0.4166666666666667</v>
      </c>
      <c r="G2666" s="83">
        <v>0.7083333333333334</v>
      </c>
      <c r="H2666" s="83">
        <v>0.2916666666666667</v>
      </c>
      <c r="I2666" s="84">
        <v>44441.0</v>
      </c>
      <c r="J2666" s="65" t="b">
        <v>0</v>
      </c>
      <c r="K2666" s="65"/>
      <c r="L2666" s="85" t="b">
        <f>IF(VLOOKUP(C2666,Projetos!A:L,12,false)=TRUE,TRUE,FALSE)</f>
        <v>1</v>
      </c>
      <c r="M2666" s="74">
        <v>37.50928062469937</v>
      </c>
      <c r="N2666" s="74">
        <f t="shared" si="1"/>
        <v>0</v>
      </c>
      <c r="O2666" s="74" t="b">
        <v>1</v>
      </c>
    </row>
    <row r="2667" hidden="1">
      <c r="A2667" s="82"/>
      <c r="B2667" s="65" t="s">
        <v>469</v>
      </c>
      <c r="C2667" s="65" t="s">
        <v>118</v>
      </c>
      <c r="D2667" s="65"/>
      <c r="E2667" s="65" t="s">
        <v>1724</v>
      </c>
      <c r="F2667" s="83">
        <v>0.3020833333333333</v>
      </c>
      <c r="G2667" s="83">
        <v>0.7083333333333334</v>
      </c>
      <c r="H2667" s="83">
        <v>0.40625</v>
      </c>
      <c r="I2667" s="84">
        <v>44468.0</v>
      </c>
      <c r="J2667" s="65" t="b">
        <v>0</v>
      </c>
      <c r="K2667" s="65"/>
      <c r="L2667" s="85" t="b">
        <f>IF(VLOOKUP(C2667,Projetos!A:L,12,false)=TRUE,TRUE,FALSE)</f>
        <v>1</v>
      </c>
      <c r="M2667" s="74">
        <v>37.50928062469937</v>
      </c>
      <c r="N2667" s="74">
        <f t="shared" si="1"/>
        <v>0</v>
      </c>
      <c r="O2667" s="74" t="b">
        <v>1</v>
      </c>
    </row>
    <row r="2668" hidden="1">
      <c r="A2668" s="82"/>
      <c r="B2668" s="65" t="s">
        <v>469</v>
      </c>
      <c r="C2668" s="65" t="s">
        <v>118</v>
      </c>
      <c r="D2668" s="65"/>
      <c r="E2668" s="65" t="s">
        <v>1725</v>
      </c>
      <c r="F2668" s="83">
        <v>0.3333333333333333</v>
      </c>
      <c r="G2668" s="83">
        <v>0.5</v>
      </c>
      <c r="H2668" s="83">
        <v>0.16666666666666666</v>
      </c>
      <c r="I2668" s="84">
        <v>44517.0</v>
      </c>
      <c r="J2668" s="65" t="b">
        <v>0</v>
      </c>
      <c r="K2668" s="65"/>
      <c r="L2668" s="85" t="b">
        <f>IF(VLOOKUP(C2668,Projetos!A:L,12,false)=TRUE,TRUE,FALSE)</f>
        <v>1</v>
      </c>
      <c r="M2668" s="74">
        <v>37.50928062469937</v>
      </c>
      <c r="N2668" s="74">
        <f t="shared" si="1"/>
        <v>0</v>
      </c>
      <c r="O2668" s="74" t="b">
        <v>1</v>
      </c>
    </row>
    <row r="2669" hidden="1">
      <c r="A2669" s="82"/>
      <c r="B2669" s="65" t="s">
        <v>469</v>
      </c>
      <c r="C2669" s="65" t="s">
        <v>132</v>
      </c>
      <c r="D2669" s="65"/>
      <c r="E2669" s="65" t="s">
        <v>1726</v>
      </c>
      <c r="F2669" s="83">
        <v>0.34375</v>
      </c>
      <c r="G2669" s="83">
        <v>0.75</v>
      </c>
      <c r="H2669" s="83">
        <v>0.40625</v>
      </c>
      <c r="I2669" s="84">
        <v>44533.0</v>
      </c>
      <c r="J2669" s="65" t="b">
        <v>0</v>
      </c>
      <c r="K2669" s="65"/>
      <c r="L2669" s="85" t="b">
        <f>IF(VLOOKUP(C2669,Projetos!A:L,12,false)=TRUE,TRUE,FALSE)</f>
        <v>0</v>
      </c>
      <c r="M2669" s="74">
        <v>37.50928062469937</v>
      </c>
      <c r="N2669" s="74">
        <f t="shared" si="1"/>
        <v>0</v>
      </c>
      <c r="O2669" s="74" t="b">
        <v>0</v>
      </c>
    </row>
    <row r="2670" hidden="1">
      <c r="A2670" s="82"/>
      <c r="B2670" s="65" t="s">
        <v>469</v>
      </c>
      <c r="C2670" s="65" t="s">
        <v>123</v>
      </c>
      <c r="D2670" s="65"/>
      <c r="E2670" s="65" t="s">
        <v>1727</v>
      </c>
      <c r="F2670" s="83">
        <v>0.3333333333333333</v>
      </c>
      <c r="G2670" s="83">
        <v>0.7083333333333334</v>
      </c>
      <c r="H2670" s="83">
        <v>0.375</v>
      </c>
      <c r="I2670" s="84">
        <v>44455.0</v>
      </c>
      <c r="J2670" s="65" t="b">
        <v>0</v>
      </c>
      <c r="K2670" s="65"/>
      <c r="L2670" s="85" t="b">
        <f>IF(VLOOKUP(C2670,Projetos!A:L,12,false)=TRUE,TRUE,FALSE)</f>
        <v>1</v>
      </c>
      <c r="M2670" s="74">
        <v>37.50928062469937</v>
      </c>
      <c r="N2670" s="74">
        <f t="shared" si="1"/>
        <v>0</v>
      </c>
      <c r="O2670" s="74" t="b">
        <v>1</v>
      </c>
    </row>
    <row r="2671" hidden="1">
      <c r="A2671" s="82"/>
      <c r="B2671" s="65" t="s">
        <v>469</v>
      </c>
      <c r="C2671" s="65" t="s">
        <v>106</v>
      </c>
      <c r="D2671" s="65"/>
      <c r="E2671" s="65" t="s">
        <v>1728</v>
      </c>
      <c r="F2671" s="83">
        <v>0.5</v>
      </c>
      <c r="G2671" s="83">
        <v>0.7083333333333334</v>
      </c>
      <c r="H2671" s="83">
        <v>0.20833333333333334</v>
      </c>
      <c r="I2671" s="84">
        <v>44461.0</v>
      </c>
      <c r="J2671" s="65" t="b">
        <v>0</v>
      </c>
      <c r="K2671" s="65"/>
      <c r="L2671" s="85" t="b">
        <f>IF(VLOOKUP(C2671,Projetos!A:L,12,false)=TRUE,TRUE,FALSE)</f>
        <v>1</v>
      </c>
      <c r="M2671" s="74">
        <v>37.50928062469937</v>
      </c>
      <c r="N2671" s="74">
        <f t="shared" si="1"/>
        <v>0</v>
      </c>
      <c r="O2671" s="74" t="b">
        <v>1</v>
      </c>
    </row>
    <row r="2672" hidden="1">
      <c r="A2672" s="82"/>
      <c r="B2672" s="65" t="s">
        <v>469</v>
      </c>
      <c r="C2672" s="65" t="s">
        <v>107</v>
      </c>
      <c r="D2672" s="65"/>
      <c r="E2672" s="65" t="s">
        <v>1729</v>
      </c>
      <c r="F2672" s="83">
        <v>0.34375</v>
      </c>
      <c r="G2672" s="83">
        <v>0.5</v>
      </c>
      <c r="H2672" s="83">
        <v>0.15625</v>
      </c>
      <c r="I2672" s="84">
        <v>44277.0</v>
      </c>
      <c r="J2672" s="65" t="b">
        <v>0</v>
      </c>
      <c r="K2672" s="65"/>
      <c r="L2672" s="85" t="b">
        <f>IF(VLOOKUP(C2672,Projetos!A:L,12,false)=TRUE,TRUE,FALSE)</f>
        <v>1</v>
      </c>
      <c r="M2672" s="74">
        <v>37.50928062469937</v>
      </c>
      <c r="N2672" s="74">
        <f t="shared" si="1"/>
        <v>0</v>
      </c>
      <c r="O2672" s="74" t="b">
        <v>1</v>
      </c>
    </row>
    <row r="2673" hidden="1">
      <c r="A2673" s="82"/>
      <c r="B2673" s="65" t="s">
        <v>469</v>
      </c>
      <c r="C2673" s="65" t="s">
        <v>132</v>
      </c>
      <c r="D2673" s="65"/>
      <c r="E2673" s="65" t="s">
        <v>1730</v>
      </c>
      <c r="F2673" s="83">
        <v>0.3020833333333333</v>
      </c>
      <c r="G2673" s="83">
        <v>0.5</v>
      </c>
      <c r="H2673" s="83">
        <v>0.19791666666666666</v>
      </c>
      <c r="I2673" s="84">
        <v>44461.0</v>
      </c>
      <c r="J2673" s="65" t="b">
        <v>0</v>
      </c>
      <c r="K2673" s="65"/>
      <c r="L2673" s="85" t="b">
        <f>IF(VLOOKUP(C2673,Projetos!A:L,12,false)=TRUE,TRUE,FALSE)</f>
        <v>0</v>
      </c>
      <c r="M2673" s="74">
        <v>37.50928062469937</v>
      </c>
      <c r="N2673" s="74">
        <f t="shared" si="1"/>
        <v>0</v>
      </c>
      <c r="O2673" s="74" t="b">
        <v>0</v>
      </c>
    </row>
    <row r="2674" hidden="1">
      <c r="A2674" s="82"/>
      <c r="B2674" s="65" t="s">
        <v>469</v>
      </c>
      <c r="C2674" s="65" t="s">
        <v>132</v>
      </c>
      <c r="D2674" s="65"/>
      <c r="E2674" s="65" t="s">
        <v>1730</v>
      </c>
      <c r="F2674" s="83">
        <v>0.3020833333333333</v>
      </c>
      <c r="G2674" s="83">
        <v>0.7083333333333334</v>
      </c>
      <c r="H2674" s="83">
        <v>0.40625</v>
      </c>
      <c r="I2674" s="84">
        <v>44462.0</v>
      </c>
      <c r="J2674" s="65" t="b">
        <v>0</v>
      </c>
      <c r="K2674" s="65"/>
      <c r="L2674" s="85" t="b">
        <f>IF(VLOOKUP(C2674,Projetos!A:L,12,false)=TRUE,TRUE,FALSE)</f>
        <v>0</v>
      </c>
      <c r="M2674" s="74">
        <v>37.50928062469937</v>
      </c>
      <c r="N2674" s="74">
        <f t="shared" si="1"/>
        <v>0</v>
      </c>
      <c r="O2674" s="74" t="b">
        <v>0</v>
      </c>
    </row>
    <row r="2675" hidden="1">
      <c r="A2675" s="82"/>
      <c r="B2675" s="65" t="s">
        <v>469</v>
      </c>
      <c r="C2675" s="65" t="s">
        <v>132</v>
      </c>
      <c r="D2675" s="65"/>
      <c r="E2675" s="65" t="s">
        <v>1730</v>
      </c>
      <c r="F2675" s="83">
        <v>0.3020833333333333</v>
      </c>
      <c r="G2675" s="83">
        <v>0.7083333333333334</v>
      </c>
      <c r="H2675" s="83">
        <v>0.40625</v>
      </c>
      <c r="I2675" s="84">
        <v>44466.0</v>
      </c>
      <c r="J2675" s="65" t="b">
        <v>0</v>
      </c>
      <c r="K2675" s="65"/>
      <c r="L2675" s="85" t="b">
        <f>IF(VLOOKUP(C2675,Projetos!A:L,12,false)=TRUE,TRUE,FALSE)</f>
        <v>0</v>
      </c>
      <c r="M2675" s="74">
        <v>37.50928062469937</v>
      </c>
      <c r="N2675" s="74">
        <f t="shared" si="1"/>
        <v>0</v>
      </c>
      <c r="O2675" s="74" t="b">
        <v>0</v>
      </c>
    </row>
    <row r="2676" hidden="1">
      <c r="A2676" s="82"/>
      <c r="B2676" s="65" t="s">
        <v>469</v>
      </c>
      <c r="C2676" s="65" t="s">
        <v>132</v>
      </c>
      <c r="D2676" s="65"/>
      <c r="E2676" s="65" t="s">
        <v>1730</v>
      </c>
      <c r="F2676" s="83">
        <v>0.3020833333333333</v>
      </c>
      <c r="G2676" s="83">
        <v>0.4166666666666667</v>
      </c>
      <c r="H2676" s="83">
        <v>0.11458333333333333</v>
      </c>
      <c r="I2676" s="84">
        <v>44467.0</v>
      </c>
      <c r="J2676" s="65" t="b">
        <v>0</v>
      </c>
      <c r="K2676" s="65"/>
      <c r="L2676" s="85" t="b">
        <f>IF(VLOOKUP(C2676,Projetos!A:L,12,false)=TRUE,TRUE,FALSE)</f>
        <v>0</v>
      </c>
      <c r="M2676" s="74">
        <v>37.50928062469937</v>
      </c>
      <c r="N2676" s="74">
        <f t="shared" si="1"/>
        <v>0</v>
      </c>
      <c r="O2676" s="74" t="b">
        <v>0</v>
      </c>
    </row>
    <row r="2677" hidden="1">
      <c r="A2677" s="82"/>
      <c r="B2677" s="65" t="s">
        <v>469</v>
      </c>
      <c r="C2677" s="65" t="s">
        <v>132</v>
      </c>
      <c r="D2677" s="65"/>
      <c r="E2677" s="65" t="s">
        <v>1731</v>
      </c>
      <c r="F2677" s="83">
        <v>0.3020833333333333</v>
      </c>
      <c r="G2677" s="83">
        <v>0.7083333333333334</v>
      </c>
      <c r="H2677" s="83">
        <v>0.40625</v>
      </c>
      <c r="I2677" s="84">
        <v>44411.0</v>
      </c>
      <c r="J2677" s="65" t="b">
        <v>0</v>
      </c>
      <c r="K2677" s="65"/>
      <c r="L2677" s="85" t="b">
        <f>IF(VLOOKUP(C2677,Projetos!A:L,12,false)=TRUE,TRUE,FALSE)</f>
        <v>0</v>
      </c>
      <c r="M2677" s="74">
        <v>37.50928062469937</v>
      </c>
      <c r="N2677" s="74">
        <f t="shared" si="1"/>
        <v>0</v>
      </c>
      <c r="O2677" s="74" t="b">
        <v>0</v>
      </c>
    </row>
    <row r="2678" hidden="1">
      <c r="A2678" s="82"/>
      <c r="B2678" s="65" t="s">
        <v>469</v>
      </c>
      <c r="C2678" s="65" t="s">
        <v>106</v>
      </c>
      <c r="D2678" s="65"/>
      <c r="E2678" s="65" t="s">
        <v>1732</v>
      </c>
      <c r="F2678" s="83">
        <v>0.3020833333333333</v>
      </c>
      <c r="G2678" s="83">
        <v>0.5</v>
      </c>
      <c r="H2678" s="83">
        <v>0.19791666666666666</v>
      </c>
      <c r="I2678" s="84">
        <v>44468.0</v>
      </c>
      <c r="J2678" s="65" t="b">
        <v>0</v>
      </c>
      <c r="K2678" s="65"/>
      <c r="L2678" s="85" t="b">
        <f>IF(VLOOKUP(C2678,Projetos!A:L,12,false)=TRUE,TRUE,FALSE)</f>
        <v>1</v>
      </c>
      <c r="M2678" s="74">
        <v>37.50928062469937</v>
      </c>
      <c r="N2678" s="74">
        <f t="shared" si="1"/>
        <v>0</v>
      </c>
      <c r="O2678" s="74" t="b">
        <v>1</v>
      </c>
    </row>
    <row r="2679" hidden="1">
      <c r="A2679" s="82"/>
      <c r="B2679" s="65" t="s">
        <v>469</v>
      </c>
      <c r="C2679" s="65" t="s">
        <v>108</v>
      </c>
      <c r="D2679" s="65"/>
      <c r="E2679" s="65" t="s">
        <v>1733</v>
      </c>
      <c r="F2679" s="83">
        <v>0.34375</v>
      </c>
      <c r="G2679" s="83">
        <v>0.75</v>
      </c>
      <c r="H2679" s="83">
        <v>0.40625</v>
      </c>
      <c r="I2679" s="84">
        <v>44203.0</v>
      </c>
      <c r="J2679" s="65" t="b">
        <v>0</v>
      </c>
      <c r="K2679" s="65"/>
      <c r="L2679" s="85" t="b">
        <f>IF(VLOOKUP(C2679,Projetos!A:L,12,false)=TRUE,TRUE,FALSE)</f>
        <v>1</v>
      </c>
      <c r="M2679" s="74">
        <v>37.50928062469937</v>
      </c>
      <c r="N2679" s="74">
        <f t="shared" si="1"/>
        <v>0</v>
      </c>
      <c r="O2679" s="74" t="b">
        <v>1</v>
      </c>
    </row>
    <row r="2680" hidden="1">
      <c r="A2680" s="82"/>
      <c r="B2680" s="65" t="s">
        <v>469</v>
      </c>
      <c r="C2680" s="65" t="s">
        <v>118</v>
      </c>
      <c r="D2680" s="65"/>
      <c r="E2680" s="65" t="s">
        <v>1734</v>
      </c>
      <c r="F2680" s="83">
        <v>0.34375</v>
      </c>
      <c r="G2680" s="83">
        <v>0.75</v>
      </c>
      <c r="H2680" s="83">
        <v>0.40625</v>
      </c>
      <c r="I2680" s="84">
        <v>44201.0</v>
      </c>
      <c r="J2680" s="65" t="b">
        <v>0</v>
      </c>
      <c r="K2680" s="65"/>
      <c r="L2680" s="85" t="b">
        <f>IF(VLOOKUP(C2680,Projetos!A:L,12,false)=TRUE,TRUE,FALSE)</f>
        <v>1</v>
      </c>
      <c r="M2680" s="74">
        <v>37.50928062469937</v>
      </c>
      <c r="N2680" s="74">
        <f t="shared" si="1"/>
        <v>0</v>
      </c>
      <c r="O2680" s="74" t="b">
        <v>1</v>
      </c>
    </row>
    <row r="2681" hidden="1">
      <c r="A2681" s="82"/>
      <c r="B2681" s="65" t="s">
        <v>469</v>
      </c>
      <c r="C2681" s="65" t="s">
        <v>108</v>
      </c>
      <c r="D2681" s="65"/>
      <c r="E2681" s="65" t="s">
        <v>1734</v>
      </c>
      <c r="F2681" s="83">
        <v>0.34375</v>
      </c>
      <c r="G2681" s="83">
        <v>0.75</v>
      </c>
      <c r="H2681" s="83">
        <v>0.40625</v>
      </c>
      <c r="I2681" s="84">
        <v>44202.0</v>
      </c>
      <c r="J2681" s="65" t="b">
        <v>0</v>
      </c>
      <c r="K2681" s="65"/>
      <c r="L2681" s="85" t="b">
        <f>IF(VLOOKUP(C2681,Projetos!A:L,12,false)=TRUE,TRUE,FALSE)</f>
        <v>1</v>
      </c>
      <c r="M2681" s="74">
        <v>37.50928062469937</v>
      </c>
      <c r="N2681" s="74">
        <f t="shared" si="1"/>
        <v>0</v>
      </c>
      <c r="O2681" s="74" t="b">
        <v>1</v>
      </c>
    </row>
    <row r="2682" hidden="1">
      <c r="A2682" s="82"/>
      <c r="B2682" s="65" t="s">
        <v>469</v>
      </c>
      <c r="C2682" s="65" t="s">
        <v>118</v>
      </c>
      <c r="D2682" s="65"/>
      <c r="E2682" s="65" t="s">
        <v>1735</v>
      </c>
      <c r="F2682" s="83">
        <v>0.625</v>
      </c>
      <c r="G2682" s="83">
        <v>0.6666666666666666</v>
      </c>
      <c r="H2682" s="83">
        <v>0.041666666666666664</v>
      </c>
      <c r="I2682" s="84">
        <v>44397.0</v>
      </c>
      <c r="J2682" s="65" t="b">
        <v>0</v>
      </c>
      <c r="K2682" s="65"/>
      <c r="L2682" s="85" t="b">
        <f>IF(VLOOKUP(C2682,Projetos!A:L,12,false)=TRUE,TRUE,FALSE)</f>
        <v>1</v>
      </c>
      <c r="M2682" s="74">
        <v>37.50928062469937</v>
      </c>
      <c r="N2682" s="74">
        <f t="shared" si="1"/>
        <v>0</v>
      </c>
      <c r="O2682" s="74" t="b">
        <v>1</v>
      </c>
    </row>
    <row r="2683" hidden="1">
      <c r="A2683" s="82"/>
      <c r="B2683" s="65" t="s">
        <v>469</v>
      </c>
      <c r="C2683" s="65" t="s">
        <v>105</v>
      </c>
      <c r="D2683" s="65"/>
      <c r="E2683" s="65" t="s">
        <v>1736</v>
      </c>
      <c r="F2683" s="83">
        <v>0.4375</v>
      </c>
      <c r="G2683" s="83">
        <v>0.7083333333333334</v>
      </c>
      <c r="H2683" s="83">
        <v>0.2708333333333333</v>
      </c>
      <c r="I2683" s="84">
        <v>44467.0</v>
      </c>
      <c r="J2683" s="65" t="b">
        <v>0</v>
      </c>
      <c r="K2683" s="65"/>
      <c r="L2683" s="85" t="b">
        <f>IF(VLOOKUP(C2683,Projetos!A:L,12,false)=TRUE,TRUE,FALSE)</f>
        <v>1</v>
      </c>
      <c r="M2683" s="74">
        <v>37.50928062469937</v>
      </c>
      <c r="N2683" s="74">
        <f t="shared" si="1"/>
        <v>0</v>
      </c>
      <c r="O2683" s="74" t="b">
        <v>1</v>
      </c>
    </row>
    <row r="2684" hidden="1">
      <c r="A2684" s="82"/>
      <c r="B2684" s="65" t="s">
        <v>411</v>
      </c>
      <c r="C2684" s="65" t="s">
        <v>84</v>
      </c>
      <c r="D2684" s="65"/>
      <c r="E2684" s="65" t="s">
        <v>1737</v>
      </c>
      <c r="F2684" s="83">
        <v>0.5625</v>
      </c>
      <c r="G2684" s="83">
        <v>0.8125</v>
      </c>
      <c r="H2684" s="83">
        <v>0.25</v>
      </c>
      <c r="I2684" s="84">
        <v>44511.0</v>
      </c>
      <c r="J2684" s="65" t="b">
        <v>0</v>
      </c>
      <c r="K2684" s="65"/>
      <c r="L2684" s="85" t="b">
        <f>IF(VLOOKUP(C2684,Projetos!A:L,12,false)=TRUE,TRUE,FALSE)</f>
        <v>0</v>
      </c>
      <c r="M2684" s="74">
        <v>52.48434411075036</v>
      </c>
      <c r="N2684" s="74">
        <f t="shared" si="1"/>
        <v>0</v>
      </c>
      <c r="O2684" s="74" t="b">
        <v>0</v>
      </c>
    </row>
    <row r="2685" hidden="1">
      <c r="A2685" s="82"/>
      <c r="B2685" s="65" t="s">
        <v>411</v>
      </c>
      <c r="C2685" s="65" t="s">
        <v>92</v>
      </c>
      <c r="D2685" s="65"/>
      <c r="E2685" s="65" t="s">
        <v>1738</v>
      </c>
      <c r="F2685" s="83">
        <v>0.5833333333333334</v>
      </c>
      <c r="G2685" s="83">
        <v>0.625</v>
      </c>
      <c r="H2685" s="83">
        <v>0.041666666666666664</v>
      </c>
      <c r="I2685" s="84">
        <v>44337.0</v>
      </c>
      <c r="J2685" s="65" t="b">
        <v>0</v>
      </c>
      <c r="K2685" s="65"/>
      <c r="L2685" s="85" t="b">
        <f>IF(VLOOKUP(C2685,Projetos!A:L,12,false)=TRUE,TRUE,FALSE)</f>
        <v>1</v>
      </c>
      <c r="M2685" s="74">
        <v>52.48434411075036</v>
      </c>
      <c r="N2685" s="74">
        <f t="shared" si="1"/>
        <v>0</v>
      </c>
      <c r="O2685" s="74" t="b">
        <v>1</v>
      </c>
    </row>
    <row r="2686" hidden="1">
      <c r="A2686" s="82"/>
      <c r="B2686" s="65" t="s">
        <v>411</v>
      </c>
      <c r="C2686" s="65" t="s">
        <v>117</v>
      </c>
      <c r="D2686" s="65"/>
      <c r="E2686" s="65" t="s">
        <v>1739</v>
      </c>
      <c r="F2686" s="83">
        <v>0.34375</v>
      </c>
      <c r="G2686" s="83">
        <v>0.375</v>
      </c>
      <c r="H2686" s="83">
        <v>0.03125</v>
      </c>
      <c r="I2686" s="84">
        <v>44560.0</v>
      </c>
      <c r="J2686" s="65" t="b">
        <v>0</v>
      </c>
      <c r="K2686" s="65"/>
      <c r="L2686" s="85" t="b">
        <f>IF(VLOOKUP(C2686,Projetos!A:L,12,false)=TRUE,TRUE,FALSE)</f>
        <v>1</v>
      </c>
      <c r="M2686" s="74">
        <v>52.48434411075036</v>
      </c>
      <c r="N2686" s="74">
        <f t="shared" si="1"/>
        <v>0</v>
      </c>
      <c r="O2686" s="74" t="b">
        <v>1</v>
      </c>
    </row>
    <row r="2687" hidden="1">
      <c r="A2687" s="82"/>
      <c r="B2687" s="65" t="s">
        <v>411</v>
      </c>
      <c r="C2687" s="65" t="s">
        <v>92</v>
      </c>
      <c r="D2687" s="65"/>
      <c r="E2687" s="65" t="s">
        <v>1740</v>
      </c>
      <c r="F2687" s="83">
        <v>0.5833333333333334</v>
      </c>
      <c r="G2687" s="83">
        <v>0.6041666666666666</v>
      </c>
      <c r="H2687" s="83">
        <v>0.020833333333333332</v>
      </c>
      <c r="I2687" s="84">
        <v>44497.0</v>
      </c>
      <c r="J2687" s="65" t="b">
        <v>0</v>
      </c>
      <c r="K2687" s="65"/>
      <c r="L2687" s="85" t="b">
        <f>IF(VLOOKUP(C2687,Projetos!A:L,12,false)=TRUE,TRUE,FALSE)</f>
        <v>1</v>
      </c>
      <c r="M2687" s="74">
        <v>52.48434411075036</v>
      </c>
      <c r="N2687" s="74">
        <f t="shared" si="1"/>
        <v>0</v>
      </c>
      <c r="O2687" s="74" t="b">
        <v>1</v>
      </c>
    </row>
    <row r="2688" hidden="1">
      <c r="A2688" s="82"/>
      <c r="B2688" s="65" t="s">
        <v>411</v>
      </c>
      <c r="C2688" s="65" t="s">
        <v>100</v>
      </c>
      <c r="D2688" s="65" t="str">
        <f>vlookup(C2688,'Classificação p pessoal'!F:G,2,false)</f>
        <v>NP</v>
      </c>
      <c r="E2688" s="65" t="s">
        <v>1741</v>
      </c>
      <c r="F2688" s="83">
        <v>0.4583333333333333</v>
      </c>
      <c r="G2688" s="83">
        <v>0.5</v>
      </c>
      <c r="H2688" s="83">
        <v>0.041666666666666664</v>
      </c>
      <c r="I2688" s="84">
        <v>44284.0</v>
      </c>
      <c r="J2688" s="65" t="b">
        <v>1</v>
      </c>
      <c r="K2688" s="65"/>
      <c r="L2688" s="85" t="b">
        <f>IF(VLOOKUP(C2688,Projetos!A:L,12,false)=TRUE,TRUE,FALSE)</f>
        <v>1</v>
      </c>
      <c r="M2688" s="74">
        <v>52.48434411075036</v>
      </c>
      <c r="N2688" s="74">
        <f t="shared" si="1"/>
        <v>52.48434411</v>
      </c>
      <c r="O2688" s="74" t="b">
        <v>1</v>
      </c>
    </row>
    <row r="2689" hidden="1">
      <c r="A2689" s="82"/>
      <c r="B2689" s="65" t="s">
        <v>411</v>
      </c>
      <c r="C2689" s="65" t="s">
        <v>125</v>
      </c>
      <c r="D2689" s="65"/>
      <c r="E2689" s="65" t="s">
        <v>1742</v>
      </c>
      <c r="F2689" s="83">
        <v>0.6666666666666666</v>
      </c>
      <c r="G2689" s="83">
        <v>0.6875</v>
      </c>
      <c r="H2689" s="83">
        <v>0.020833333333333332</v>
      </c>
      <c r="I2689" s="84">
        <v>44407.0</v>
      </c>
      <c r="J2689" s="65" t="b">
        <v>0</v>
      </c>
      <c r="K2689" s="65" t="s">
        <v>187</v>
      </c>
      <c r="L2689" s="85" t="b">
        <f>IF(VLOOKUP(C2689,Projetos!A:L,12,false)=TRUE,TRUE,FALSE)</f>
        <v>1</v>
      </c>
      <c r="M2689" s="74">
        <v>52.48434411075036</v>
      </c>
      <c r="N2689" s="74">
        <f t="shared" si="1"/>
        <v>0</v>
      </c>
      <c r="O2689" s="74" t="b">
        <v>1</v>
      </c>
    </row>
    <row r="2690" hidden="1">
      <c r="A2690" s="82"/>
      <c r="B2690" s="65" t="s">
        <v>411</v>
      </c>
      <c r="C2690" s="65" t="s">
        <v>92</v>
      </c>
      <c r="D2690" s="65"/>
      <c r="E2690" s="65" t="s">
        <v>1743</v>
      </c>
      <c r="F2690" s="83">
        <v>0.4791666666666667</v>
      </c>
      <c r="G2690" s="83">
        <v>0.5625</v>
      </c>
      <c r="H2690" s="83">
        <v>0.08333333333333333</v>
      </c>
      <c r="I2690" s="84">
        <v>44519.0</v>
      </c>
      <c r="J2690" s="65" t="b">
        <v>0</v>
      </c>
      <c r="K2690" s="65"/>
      <c r="L2690" s="85" t="b">
        <f>IF(VLOOKUP(C2690,Projetos!A:L,12,false)=TRUE,TRUE,FALSE)</f>
        <v>1</v>
      </c>
      <c r="M2690" s="74">
        <v>52.48434411075036</v>
      </c>
      <c r="N2690" s="74">
        <f t="shared" si="1"/>
        <v>0</v>
      </c>
      <c r="O2690" s="74" t="b">
        <v>1</v>
      </c>
    </row>
    <row r="2691" hidden="1">
      <c r="A2691" s="82"/>
      <c r="B2691" s="65" t="s">
        <v>411</v>
      </c>
      <c r="C2691" s="65" t="s">
        <v>132</v>
      </c>
      <c r="D2691" s="65"/>
      <c r="E2691" s="65" t="s">
        <v>1744</v>
      </c>
      <c r="F2691" s="83">
        <v>0.6041666666666666</v>
      </c>
      <c r="G2691" s="83">
        <v>0.6458333333333334</v>
      </c>
      <c r="H2691" s="83">
        <v>0.041666666666666664</v>
      </c>
      <c r="I2691" s="84">
        <v>44281.0</v>
      </c>
      <c r="J2691" s="65" t="b">
        <v>0</v>
      </c>
      <c r="K2691" s="65" t="s">
        <v>187</v>
      </c>
      <c r="L2691" s="85" t="b">
        <f>IF(VLOOKUP(C2691,Projetos!A:L,12,false)=TRUE,TRUE,FALSE)</f>
        <v>0</v>
      </c>
      <c r="M2691" s="74">
        <v>52.48434411075036</v>
      </c>
      <c r="N2691" s="74">
        <f t="shared" si="1"/>
        <v>0</v>
      </c>
      <c r="O2691" s="74" t="b">
        <v>0</v>
      </c>
    </row>
    <row r="2692" hidden="1">
      <c r="A2692" s="82"/>
      <c r="B2692" s="65" t="s">
        <v>411</v>
      </c>
      <c r="C2692" s="65" t="s">
        <v>100</v>
      </c>
      <c r="D2692" s="65" t="str">
        <f>vlookup(C2692,'Classificação p pessoal'!F:G,2,false)</f>
        <v>NP</v>
      </c>
      <c r="E2692" s="65" t="s">
        <v>1745</v>
      </c>
      <c r="F2692" s="83">
        <v>0.3958333333333333</v>
      </c>
      <c r="G2692" s="83">
        <v>0.4166666666666667</v>
      </c>
      <c r="H2692" s="83">
        <v>0.020833333333333332</v>
      </c>
      <c r="I2692" s="84">
        <v>44455.0</v>
      </c>
      <c r="J2692" s="65" t="b">
        <v>1</v>
      </c>
      <c r="K2692" s="65"/>
      <c r="L2692" s="85" t="b">
        <f>IF(VLOOKUP(C2692,Projetos!A:L,12,false)=TRUE,TRUE,FALSE)</f>
        <v>1</v>
      </c>
      <c r="M2692" s="74">
        <v>52.48434411075036</v>
      </c>
      <c r="N2692" s="74">
        <f t="shared" si="1"/>
        <v>26.24217206</v>
      </c>
      <c r="O2692" s="74" t="b">
        <v>1</v>
      </c>
    </row>
    <row r="2693" hidden="1">
      <c r="A2693" s="82"/>
      <c r="B2693" s="65" t="s">
        <v>411</v>
      </c>
      <c r="C2693" s="65" t="s">
        <v>92</v>
      </c>
      <c r="D2693" s="65" t="str">
        <f>vlookup(C2693,'Classificação p pessoal'!F:G,2,false)</f>
        <v/>
      </c>
      <c r="E2693" s="65" t="s">
        <v>1746</v>
      </c>
      <c r="F2693" s="83">
        <v>0.5833333333333334</v>
      </c>
      <c r="G2693" s="83">
        <v>0.625</v>
      </c>
      <c r="H2693" s="83">
        <v>0.041666666666666664</v>
      </c>
      <c r="I2693" s="84">
        <v>44285.0</v>
      </c>
      <c r="J2693" s="65" t="b">
        <v>1</v>
      </c>
      <c r="K2693" s="65"/>
      <c r="L2693" s="85" t="b">
        <f>IF(VLOOKUP(C2693,Projetos!A:L,12,false)=TRUE,TRUE,FALSE)</f>
        <v>1</v>
      </c>
      <c r="M2693" s="74">
        <v>52.48434411075036</v>
      </c>
      <c r="N2693" s="74">
        <f t="shared" si="1"/>
        <v>52.48434411</v>
      </c>
      <c r="O2693" s="74" t="b">
        <v>1</v>
      </c>
    </row>
    <row r="2694" hidden="1">
      <c r="A2694" s="82"/>
      <c r="B2694" s="65" t="s">
        <v>411</v>
      </c>
      <c r="C2694" s="65" t="s">
        <v>92</v>
      </c>
      <c r="D2694" s="65" t="str">
        <f>vlookup(C2694,'Classificação p pessoal'!F:G,2,false)</f>
        <v/>
      </c>
      <c r="E2694" s="65" t="s">
        <v>1747</v>
      </c>
      <c r="F2694" s="83">
        <v>0.4583333333333333</v>
      </c>
      <c r="G2694" s="83">
        <v>0.5208333333333334</v>
      </c>
      <c r="H2694" s="83">
        <v>0.0625</v>
      </c>
      <c r="I2694" s="84">
        <v>44280.0</v>
      </c>
      <c r="J2694" s="65" t="b">
        <v>1</v>
      </c>
      <c r="K2694" s="65"/>
      <c r="L2694" s="85" t="b">
        <f>IF(VLOOKUP(C2694,Projetos!A:L,12,false)=TRUE,TRUE,FALSE)</f>
        <v>1</v>
      </c>
      <c r="M2694" s="74">
        <v>52.48434411075036</v>
      </c>
      <c r="N2694" s="74">
        <f t="shared" si="1"/>
        <v>78.72651617</v>
      </c>
      <c r="O2694" s="74" t="b">
        <v>1</v>
      </c>
    </row>
    <row r="2695" hidden="1">
      <c r="A2695" s="82"/>
      <c r="B2695" s="65" t="s">
        <v>411</v>
      </c>
      <c r="C2695" s="65" t="s">
        <v>120</v>
      </c>
      <c r="D2695" s="65"/>
      <c r="E2695" s="65" t="s">
        <v>1748</v>
      </c>
      <c r="F2695" s="83">
        <v>0.5625</v>
      </c>
      <c r="G2695" s="83">
        <v>0.5833333333333334</v>
      </c>
      <c r="H2695" s="83">
        <v>0.020833333333333332</v>
      </c>
      <c r="I2695" s="84">
        <v>44406.0</v>
      </c>
      <c r="J2695" s="65" t="b">
        <v>0</v>
      </c>
      <c r="K2695" s="65"/>
      <c r="L2695" s="85" t="b">
        <f>IF(VLOOKUP(C2695,Projetos!A:L,12,false)=TRUE,TRUE,FALSE)</f>
        <v>0</v>
      </c>
      <c r="M2695" s="74">
        <v>52.48434411075036</v>
      </c>
      <c r="N2695" s="74">
        <f t="shared" si="1"/>
        <v>0</v>
      </c>
      <c r="O2695" s="74" t="b">
        <v>0</v>
      </c>
    </row>
    <row r="2696" hidden="1">
      <c r="A2696" s="82"/>
      <c r="B2696" s="65" t="s">
        <v>411</v>
      </c>
      <c r="C2696" s="65" t="s">
        <v>120</v>
      </c>
      <c r="D2696" s="65"/>
      <c r="E2696" s="65" t="s">
        <v>1748</v>
      </c>
      <c r="F2696" s="83">
        <v>0.375</v>
      </c>
      <c r="G2696" s="83">
        <v>0.3854166666666667</v>
      </c>
      <c r="H2696" s="83">
        <v>0.010416666666666666</v>
      </c>
      <c r="I2696" s="84">
        <v>44407.0</v>
      </c>
      <c r="J2696" s="65" t="b">
        <v>0</v>
      </c>
      <c r="K2696" s="65"/>
      <c r="L2696" s="85" t="b">
        <f>IF(VLOOKUP(C2696,Projetos!A:L,12,false)=TRUE,TRUE,FALSE)</f>
        <v>0</v>
      </c>
      <c r="M2696" s="74">
        <v>52.48434411075036</v>
      </c>
      <c r="N2696" s="74">
        <f t="shared" si="1"/>
        <v>0</v>
      </c>
      <c r="O2696" s="74" t="b">
        <v>0</v>
      </c>
    </row>
    <row r="2697" hidden="1">
      <c r="A2697" s="82"/>
      <c r="B2697" s="65" t="s">
        <v>411</v>
      </c>
      <c r="C2697" s="65" t="s">
        <v>117</v>
      </c>
      <c r="D2697" s="65" t="str">
        <f>vlookup(C2697,'Classificação p pessoal'!F:G,2,false)</f>
        <v>NP</v>
      </c>
      <c r="E2697" s="65" t="s">
        <v>1749</v>
      </c>
      <c r="F2697" s="83">
        <v>0.375</v>
      </c>
      <c r="G2697" s="83">
        <v>0.3958333333333333</v>
      </c>
      <c r="H2697" s="83">
        <v>0.020833333333333332</v>
      </c>
      <c r="I2697" s="84">
        <v>44277.0</v>
      </c>
      <c r="J2697" s="65" t="b">
        <v>1</v>
      </c>
      <c r="K2697" s="65"/>
      <c r="L2697" s="85" t="b">
        <f>IF(VLOOKUP(C2697,Projetos!A:L,12,false)=TRUE,TRUE,FALSE)</f>
        <v>1</v>
      </c>
      <c r="M2697" s="74">
        <v>52.48434411075036</v>
      </c>
      <c r="N2697" s="74">
        <f t="shared" si="1"/>
        <v>26.24217206</v>
      </c>
      <c r="O2697" s="74" t="b">
        <v>1</v>
      </c>
    </row>
    <row r="2698" hidden="1">
      <c r="A2698" s="82"/>
      <c r="B2698" s="65" t="s">
        <v>411</v>
      </c>
      <c r="C2698" s="65" t="s">
        <v>117</v>
      </c>
      <c r="D2698" s="65"/>
      <c r="E2698" s="65" t="s">
        <v>1750</v>
      </c>
      <c r="F2698" s="83">
        <v>0.6875</v>
      </c>
      <c r="G2698" s="83">
        <v>0.7083333333333334</v>
      </c>
      <c r="H2698" s="83">
        <v>0.020833333333333332</v>
      </c>
      <c r="I2698" s="84">
        <v>44407.0</v>
      </c>
      <c r="J2698" s="65" t="b">
        <v>0</v>
      </c>
      <c r="K2698" s="65" t="s">
        <v>150</v>
      </c>
      <c r="L2698" s="85" t="b">
        <f>IF(VLOOKUP(C2698,Projetos!A:L,12,false)=TRUE,TRUE,FALSE)</f>
        <v>1</v>
      </c>
      <c r="M2698" s="74">
        <v>52.48434411075036</v>
      </c>
      <c r="N2698" s="74">
        <f t="shared" si="1"/>
        <v>0</v>
      </c>
      <c r="O2698" s="74" t="b">
        <v>1</v>
      </c>
    </row>
    <row r="2699" hidden="1">
      <c r="A2699" s="82"/>
      <c r="B2699" s="65" t="s">
        <v>411</v>
      </c>
      <c r="C2699" s="65" t="s">
        <v>114</v>
      </c>
      <c r="D2699" s="65"/>
      <c r="E2699" s="65" t="s">
        <v>1750</v>
      </c>
      <c r="F2699" s="83">
        <v>0.7083333333333334</v>
      </c>
      <c r="G2699" s="83">
        <v>0.7291666666666666</v>
      </c>
      <c r="H2699" s="83">
        <v>0.020833333333333332</v>
      </c>
      <c r="I2699" s="84">
        <v>44407.0</v>
      </c>
      <c r="J2699" s="65" t="b">
        <v>0</v>
      </c>
      <c r="K2699" s="65" t="s">
        <v>150</v>
      </c>
      <c r="L2699" s="85" t="b">
        <f>IF(VLOOKUP(C2699,Projetos!A:L,12,false)=TRUE,TRUE,FALSE)</f>
        <v>1</v>
      </c>
      <c r="M2699" s="74">
        <v>52.48434411075036</v>
      </c>
      <c r="N2699" s="74">
        <f t="shared" si="1"/>
        <v>0</v>
      </c>
      <c r="O2699" s="74" t="b">
        <v>1</v>
      </c>
    </row>
    <row r="2700" hidden="1">
      <c r="A2700" s="82"/>
      <c r="B2700" s="65" t="s">
        <v>411</v>
      </c>
      <c r="C2700" s="65" t="s">
        <v>120</v>
      </c>
      <c r="D2700" s="65"/>
      <c r="E2700" s="65" t="s">
        <v>1751</v>
      </c>
      <c r="F2700" s="83">
        <v>0.6770833333333334</v>
      </c>
      <c r="G2700" s="83">
        <v>0.7048611111111112</v>
      </c>
      <c r="H2700" s="83">
        <v>0.027777777777777776</v>
      </c>
      <c r="I2700" s="84">
        <v>44477.0</v>
      </c>
      <c r="J2700" s="65" t="b">
        <v>0</v>
      </c>
      <c r="K2700" s="65"/>
      <c r="L2700" s="85" t="b">
        <f>IF(VLOOKUP(C2700,Projetos!A:L,12,false)=TRUE,TRUE,FALSE)</f>
        <v>0</v>
      </c>
      <c r="M2700" s="74">
        <v>52.48434411075036</v>
      </c>
      <c r="N2700" s="74">
        <f t="shared" si="1"/>
        <v>0</v>
      </c>
      <c r="O2700" s="74" t="b">
        <v>0</v>
      </c>
    </row>
    <row r="2701" hidden="1">
      <c r="A2701" s="82"/>
      <c r="B2701" s="65" t="s">
        <v>411</v>
      </c>
      <c r="C2701" s="65" t="s">
        <v>125</v>
      </c>
      <c r="D2701" s="65" t="str">
        <f>vlookup(C2701,'Classificação p pessoal'!F:G,2,false)</f>
        <v>MProduto</v>
      </c>
      <c r="E2701" s="65" t="s">
        <v>1752</v>
      </c>
      <c r="F2701" s="83">
        <v>0.3541666666666667</v>
      </c>
      <c r="G2701" s="83">
        <v>0.4375</v>
      </c>
      <c r="H2701" s="83">
        <v>0.08333333333333333</v>
      </c>
      <c r="I2701" s="84">
        <v>44389.0</v>
      </c>
      <c r="J2701" s="65" t="b">
        <v>1</v>
      </c>
      <c r="K2701" s="65"/>
      <c r="L2701" s="85" t="b">
        <f>IF(VLOOKUP(C2701,Projetos!A:L,12,false)=TRUE,TRUE,FALSE)</f>
        <v>1</v>
      </c>
      <c r="M2701" s="74">
        <v>52.48434411075036</v>
      </c>
      <c r="N2701" s="74">
        <f t="shared" si="1"/>
        <v>104.9686882</v>
      </c>
      <c r="O2701" s="74" t="b">
        <v>1</v>
      </c>
    </row>
    <row r="2702" hidden="1">
      <c r="A2702" s="82"/>
      <c r="B2702" s="65" t="s">
        <v>411</v>
      </c>
      <c r="C2702" s="65" t="s">
        <v>120</v>
      </c>
      <c r="D2702" s="65"/>
      <c r="E2702" s="65" t="s">
        <v>1753</v>
      </c>
      <c r="F2702" s="83">
        <v>0.6041666666666666</v>
      </c>
      <c r="G2702" s="83">
        <v>0.6458333333333334</v>
      </c>
      <c r="H2702" s="83">
        <v>0.041666666666666664</v>
      </c>
      <c r="I2702" s="84">
        <v>44284.0</v>
      </c>
      <c r="J2702" s="65" t="b">
        <v>0</v>
      </c>
      <c r="K2702" s="65"/>
      <c r="L2702" s="85" t="b">
        <f>IF(VLOOKUP(C2702,Projetos!A:L,12,false)=TRUE,TRUE,FALSE)</f>
        <v>0</v>
      </c>
      <c r="M2702" s="74">
        <v>52.48434411075036</v>
      </c>
      <c r="N2702" s="74">
        <f t="shared" si="1"/>
        <v>0</v>
      </c>
      <c r="O2702" s="74" t="b">
        <v>0</v>
      </c>
    </row>
    <row r="2703" hidden="1">
      <c r="A2703" s="82"/>
      <c r="B2703" s="65" t="s">
        <v>411</v>
      </c>
      <c r="C2703" s="65" t="s">
        <v>92</v>
      </c>
      <c r="D2703" s="65" t="str">
        <f>vlookup(C2703,'Classificação p pessoal'!F:G,2,false)</f>
        <v/>
      </c>
      <c r="E2703" s="65" t="s">
        <v>1754</v>
      </c>
      <c r="F2703" s="83">
        <v>0.4791666666666667</v>
      </c>
      <c r="G2703" s="83">
        <v>0.5208333333333334</v>
      </c>
      <c r="H2703" s="83">
        <v>0.041666666666666664</v>
      </c>
      <c r="I2703" s="84">
        <v>44390.0</v>
      </c>
      <c r="J2703" s="65" t="b">
        <v>1</v>
      </c>
      <c r="K2703" s="65"/>
      <c r="L2703" s="85" t="b">
        <f>IF(VLOOKUP(C2703,Projetos!A:L,12,false)=TRUE,TRUE,FALSE)</f>
        <v>1</v>
      </c>
      <c r="M2703" s="74">
        <v>52.48434411075036</v>
      </c>
      <c r="N2703" s="74">
        <f t="shared" si="1"/>
        <v>52.48434411</v>
      </c>
      <c r="O2703" s="74" t="b">
        <v>1</v>
      </c>
    </row>
    <row r="2704" hidden="1">
      <c r="A2704" s="82"/>
      <c r="B2704" s="65" t="s">
        <v>411</v>
      </c>
      <c r="C2704" s="65" t="s">
        <v>152</v>
      </c>
      <c r="D2704" s="65" t="str">
        <f>vlookup(C2704,'Classificação p pessoal'!F:G,2,false)</f>
        <v>MProduto</v>
      </c>
      <c r="E2704" s="65" t="s">
        <v>1755</v>
      </c>
      <c r="F2704" s="83">
        <v>0.3958333333333333</v>
      </c>
      <c r="G2704" s="83">
        <v>0.4375</v>
      </c>
      <c r="H2704" s="83">
        <v>0.041666666666666664</v>
      </c>
      <c r="I2704" s="84">
        <v>44218.0</v>
      </c>
      <c r="J2704" s="65" t="b">
        <v>1</v>
      </c>
      <c r="K2704" s="65"/>
      <c r="L2704" s="85" t="b">
        <f>IF(VLOOKUP(C2704,Projetos!A:L,12,false)=TRUE,TRUE,FALSE)</f>
        <v>1</v>
      </c>
      <c r="M2704" s="74">
        <v>52.48434411075036</v>
      </c>
      <c r="N2704" s="74">
        <f t="shared" si="1"/>
        <v>52.48434411</v>
      </c>
      <c r="O2704" s="74" t="b">
        <v>1</v>
      </c>
    </row>
    <row r="2705" hidden="1">
      <c r="A2705" s="82"/>
      <c r="B2705" s="65" t="s">
        <v>411</v>
      </c>
      <c r="C2705" s="65" t="s">
        <v>117</v>
      </c>
      <c r="D2705" s="65" t="str">
        <f>vlookup(C2705,'Classificação p pessoal'!F:G,2,false)</f>
        <v>NP</v>
      </c>
      <c r="E2705" s="65" t="s">
        <v>1756</v>
      </c>
      <c r="F2705" s="83">
        <v>0.5833333333333334</v>
      </c>
      <c r="G2705" s="83">
        <v>0.6458333333333334</v>
      </c>
      <c r="H2705" s="83">
        <v>0.0625</v>
      </c>
      <c r="I2705" s="84">
        <v>44543.0</v>
      </c>
      <c r="J2705" s="65" t="b">
        <v>1</v>
      </c>
      <c r="K2705" s="65"/>
      <c r="L2705" s="85" t="b">
        <f>IF(VLOOKUP(C2705,Projetos!A:L,12,false)=TRUE,TRUE,FALSE)</f>
        <v>1</v>
      </c>
      <c r="M2705" s="74">
        <v>52.48434411075036</v>
      </c>
      <c r="N2705" s="74">
        <f t="shared" si="1"/>
        <v>78.72651617</v>
      </c>
      <c r="O2705" s="74" t="b">
        <v>1</v>
      </c>
    </row>
    <row r="2706" hidden="1">
      <c r="A2706" s="82"/>
      <c r="B2706" s="65" t="s">
        <v>411</v>
      </c>
      <c r="C2706" s="65" t="s">
        <v>127</v>
      </c>
      <c r="D2706" s="65" t="str">
        <f>vlookup(C2706,'Classificação p pessoal'!F:G,2,false)</f>
        <v>NP</v>
      </c>
      <c r="E2706" s="65" t="s">
        <v>1757</v>
      </c>
      <c r="F2706" s="83">
        <v>0.6875</v>
      </c>
      <c r="G2706" s="83">
        <v>0.7083333333333334</v>
      </c>
      <c r="H2706" s="83">
        <v>0.020833333333333332</v>
      </c>
      <c r="I2706" s="84">
        <v>44229.0</v>
      </c>
      <c r="J2706" s="65" t="b">
        <v>1</v>
      </c>
      <c r="K2706" s="65"/>
      <c r="L2706" s="85" t="b">
        <f>IF(VLOOKUP(C2706,Projetos!A:L,12,false)=TRUE,TRUE,FALSE)</f>
        <v>1</v>
      </c>
      <c r="M2706" s="74">
        <v>52.48434411075036</v>
      </c>
      <c r="N2706" s="74">
        <f t="shared" si="1"/>
        <v>26.24217206</v>
      </c>
      <c r="O2706" s="74" t="b">
        <v>1</v>
      </c>
    </row>
    <row r="2707" hidden="1">
      <c r="A2707" s="82"/>
      <c r="B2707" s="65" t="s">
        <v>411</v>
      </c>
      <c r="C2707" s="65" t="s">
        <v>92</v>
      </c>
      <c r="D2707" s="65" t="str">
        <f>vlookup(C2707,'Classificação p pessoal'!F:G,2,false)</f>
        <v/>
      </c>
      <c r="E2707" s="65" t="s">
        <v>1758</v>
      </c>
      <c r="F2707" s="83">
        <v>0.6666666666666666</v>
      </c>
      <c r="G2707" s="83">
        <v>0.6875</v>
      </c>
      <c r="H2707" s="83">
        <v>0.020833333333333332</v>
      </c>
      <c r="I2707" s="84">
        <v>44285.0</v>
      </c>
      <c r="J2707" s="65" t="b">
        <v>1</v>
      </c>
      <c r="K2707" s="65"/>
      <c r="L2707" s="85" t="b">
        <f>IF(VLOOKUP(C2707,Projetos!A:L,12,false)=TRUE,TRUE,FALSE)</f>
        <v>1</v>
      </c>
      <c r="M2707" s="74">
        <v>52.48434411075036</v>
      </c>
      <c r="N2707" s="74">
        <f t="shared" si="1"/>
        <v>26.24217206</v>
      </c>
      <c r="O2707" s="74" t="b">
        <v>1</v>
      </c>
    </row>
    <row r="2708" hidden="1">
      <c r="A2708" s="82"/>
      <c r="B2708" s="65" t="s">
        <v>411</v>
      </c>
      <c r="C2708" s="65" t="s">
        <v>108</v>
      </c>
      <c r="D2708" s="65" t="str">
        <f>vlookup(C2708,'Classificação p pessoal'!F:G,2,false)</f>
        <v>NP</v>
      </c>
      <c r="E2708" s="65" t="s">
        <v>1759</v>
      </c>
      <c r="F2708" s="83">
        <v>0.4375</v>
      </c>
      <c r="G2708" s="83">
        <v>0.4583333333333333</v>
      </c>
      <c r="H2708" s="83">
        <v>0.020833333333333332</v>
      </c>
      <c r="I2708" s="84">
        <v>44462.0</v>
      </c>
      <c r="J2708" s="65" t="b">
        <v>1</v>
      </c>
      <c r="K2708" s="65"/>
      <c r="L2708" s="85" t="b">
        <f>IF(VLOOKUP(C2708,Projetos!A:L,12,false)=TRUE,TRUE,FALSE)</f>
        <v>1</v>
      </c>
      <c r="M2708" s="74">
        <v>52.48434411075036</v>
      </c>
      <c r="N2708" s="74">
        <f t="shared" si="1"/>
        <v>26.24217206</v>
      </c>
      <c r="O2708" s="74" t="b">
        <v>1</v>
      </c>
    </row>
    <row r="2709" hidden="1">
      <c r="A2709" s="82"/>
      <c r="B2709" s="65" t="s">
        <v>411</v>
      </c>
      <c r="C2709" s="65" t="s">
        <v>88</v>
      </c>
      <c r="D2709" s="65"/>
      <c r="E2709" s="65" t="s">
        <v>1760</v>
      </c>
      <c r="F2709" s="83">
        <v>0.625</v>
      </c>
      <c r="G2709" s="83">
        <v>0.6666666666666666</v>
      </c>
      <c r="H2709" s="83">
        <v>0.041666666666666664</v>
      </c>
      <c r="I2709" s="84">
        <v>44266.0</v>
      </c>
      <c r="J2709" s="65" t="b">
        <v>0</v>
      </c>
      <c r="K2709" s="65" t="s">
        <v>187</v>
      </c>
      <c r="L2709" s="85" t="b">
        <f>IF(VLOOKUP(C2709,Projetos!A:L,12,false)=TRUE,TRUE,FALSE)</f>
        <v>1</v>
      </c>
      <c r="M2709" s="74">
        <v>52.48434411075036</v>
      </c>
      <c r="N2709" s="74">
        <f t="shared" si="1"/>
        <v>0</v>
      </c>
      <c r="O2709" s="74" t="b">
        <v>1</v>
      </c>
    </row>
    <row r="2710" hidden="1">
      <c r="A2710" s="82"/>
      <c r="B2710" s="65" t="s">
        <v>411</v>
      </c>
      <c r="C2710" s="65" t="s">
        <v>88</v>
      </c>
      <c r="D2710" s="65" t="str">
        <f>vlookup(C2710,'Classificação p pessoal'!F:G,2,false)</f>
        <v>MProduto</v>
      </c>
      <c r="E2710" s="65" t="s">
        <v>1761</v>
      </c>
      <c r="F2710" s="83">
        <v>0.4375</v>
      </c>
      <c r="G2710" s="83">
        <v>0.4583333333333333</v>
      </c>
      <c r="H2710" s="83">
        <v>0.020833333333333332</v>
      </c>
      <c r="I2710" s="84">
        <v>44218.0</v>
      </c>
      <c r="J2710" s="65" t="b">
        <v>1</v>
      </c>
      <c r="K2710" s="65"/>
      <c r="L2710" s="85" t="b">
        <f>IF(VLOOKUP(C2710,Projetos!A:L,12,false)=TRUE,TRUE,FALSE)</f>
        <v>1</v>
      </c>
      <c r="M2710" s="74">
        <v>52.48434411075036</v>
      </c>
      <c r="N2710" s="74">
        <f t="shared" si="1"/>
        <v>26.24217206</v>
      </c>
      <c r="O2710" s="74" t="b">
        <v>1</v>
      </c>
    </row>
    <row r="2711" hidden="1">
      <c r="A2711" s="82"/>
      <c r="B2711" s="65" t="s">
        <v>411</v>
      </c>
      <c r="C2711" s="65" t="s">
        <v>92</v>
      </c>
      <c r="D2711" s="65" t="str">
        <f>vlookup(C2711,'Classificação p pessoal'!F:G,2,false)</f>
        <v/>
      </c>
      <c r="E2711" s="65" t="s">
        <v>1762</v>
      </c>
      <c r="F2711" s="83">
        <v>0.4583333333333333</v>
      </c>
      <c r="G2711" s="83">
        <v>0.5</v>
      </c>
      <c r="H2711" s="83">
        <v>0.041666666666666664</v>
      </c>
      <c r="I2711" s="84">
        <v>44546.0</v>
      </c>
      <c r="J2711" s="65" t="b">
        <v>1</v>
      </c>
      <c r="K2711" s="65"/>
      <c r="L2711" s="85" t="b">
        <f>IF(VLOOKUP(C2711,Projetos!A:L,12,false)=TRUE,TRUE,FALSE)</f>
        <v>1</v>
      </c>
      <c r="M2711" s="74">
        <v>52.48434411075036</v>
      </c>
      <c r="N2711" s="74">
        <f t="shared" si="1"/>
        <v>52.48434411</v>
      </c>
      <c r="O2711" s="74" t="b">
        <v>1</v>
      </c>
    </row>
    <row r="2712" hidden="1">
      <c r="A2712" s="82"/>
      <c r="B2712" s="65" t="s">
        <v>411</v>
      </c>
      <c r="C2712" s="65" t="s">
        <v>100</v>
      </c>
      <c r="D2712" s="65" t="str">
        <f>vlookup(C2712,'Classificação p pessoal'!F:G,2,false)</f>
        <v>NP</v>
      </c>
      <c r="E2712" s="65" t="s">
        <v>1763</v>
      </c>
      <c r="F2712" s="83">
        <v>0.375</v>
      </c>
      <c r="G2712" s="83">
        <v>0.4583333333333333</v>
      </c>
      <c r="H2712" s="83">
        <v>0.08333333333333333</v>
      </c>
      <c r="I2712" s="84">
        <v>44343.0</v>
      </c>
      <c r="J2712" s="65" t="b">
        <v>1</v>
      </c>
      <c r="K2712" s="65"/>
      <c r="L2712" s="85" t="b">
        <f>IF(VLOOKUP(C2712,Projetos!A:L,12,false)=TRUE,TRUE,FALSE)</f>
        <v>1</v>
      </c>
      <c r="M2712" s="74">
        <v>52.48434411075036</v>
      </c>
      <c r="N2712" s="74">
        <f t="shared" si="1"/>
        <v>104.9686882</v>
      </c>
      <c r="O2712" s="74" t="b">
        <v>1</v>
      </c>
    </row>
    <row r="2713" hidden="1">
      <c r="A2713" s="82"/>
      <c r="B2713" s="65" t="s">
        <v>411</v>
      </c>
      <c r="C2713" s="65" t="s">
        <v>117</v>
      </c>
      <c r="D2713" s="65" t="str">
        <f>vlookup(C2713,'Classificação p pessoal'!F:G,2,false)</f>
        <v>NP</v>
      </c>
      <c r="E2713" s="65" t="s">
        <v>1764</v>
      </c>
      <c r="F2713" s="83">
        <v>0.3854166666666667</v>
      </c>
      <c r="G2713" s="83">
        <v>0.4375</v>
      </c>
      <c r="H2713" s="83">
        <v>0.052083333333333336</v>
      </c>
      <c r="I2713" s="84">
        <v>44516.0</v>
      </c>
      <c r="J2713" s="65" t="b">
        <v>1</v>
      </c>
      <c r="K2713" s="65"/>
      <c r="L2713" s="85" t="b">
        <f>IF(VLOOKUP(C2713,Projetos!A:L,12,false)=TRUE,TRUE,FALSE)</f>
        <v>1</v>
      </c>
      <c r="M2713" s="74">
        <v>52.48434411075036</v>
      </c>
      <c r="N2713" s="74">
        <f t="shared" si="1"/>
        <v>65.60543014</v>
      </c>
      <c r="O2713" s="74" t="b">
        <v>1</v>
      </c>
    </row>
    <row r="2714" hidden="1">
      <c r="A2714" s="82"/>
      <c r="B2714" s="65" t="s">
        <v>411</v>
      </c>
      <c r="C2714" s="65" t="s">
        <v>119</v>
      </c>
      <c r="D2714" s="65" t="str">
        <f>vlookup(C2714,'Classificação p pessoal'!F:G,2,false)</f>
        <v>NP</v>
      </c>
      <c r="E2714" s="65" t="s">
        <v>1765</v>
      </c>
      <c r="F2714" s="83">
        <v>0.4895833333333333</v>
      </c>
      <c r="G2714" s="83">
        <v>0.5208333333333334</v>
      </c>
      <c r="H2714" s="83">
        <v>0.03125</v>
      </c>
      <c r="I2714" s="84">
        <v>44251.0</v>
      </c>
      <c r="J2714" s="65" t="b">
        <v>1</v>
      </c>
      <c r="K2714" s="65"/>
      <c r="L2714" s="85" t="b">
        <f>IF(VLOOKUP(C2714,Projetos!A:L,12,false)=TRUE,TRUE,FALSE)</f>
        <v>1</v>
      </c>
      <c r="M2714" s="74">
        <v>52.48434411075036</v>
      </c>
      <c r="N2714" s="74">
        <f t="shared" si="1"/>
        <v>39.36325808</v>
      </c>
      <c r="O2714" s="74" t="b">
        <v>1</v>
      </c>
    </row>
    <row r="2715" hidden="1">
      <c r="A2715" s="82"/>
      <c r="B2715" s="65" t="s">
        <v>411</v>
      </c>
      <c r="C2715" s="65" t="s">
        <v>92</v>
      </c>
      <c r="D2715" s="65" t="str">
        <f>vlookup(C2715,'Classificação p pessoal'!F:G,2,false)</f>
        <v/>
      </c>
      <c r="E2715" s="65" t="s">
        <v>1766</v>
      </c>
      <c r="F2715" s="83">
        <v>0.4583333333333333</v>
      </c>
      <c r="G2715" s="83">
        <v>0.4791666666666667</v>
      </c>
      <c r="H2715" s="83">
        <v>0.020833333333333332</v>
      </c>
      <c r="I2715" s="84">
        <v>44417.0</v>
      </c>
      <c r="J2715" s="65" t="b">
        <v>1</v>
      </c>
      <c r="K2715" s="65"/>
      <c r="L2715" s="85" t="b">
        <f>IF(VLOOKUP(C2715,Projetos!A:L,12,false)=TRUE,TRUE,FALSE)</f>
        <v>1</v>
      </c>
      <c r="M2715" s="74">
        <v>52.48434411075036</v>
      </c>
      <c r="N2715" s="74">
        <f t="shared" si="1"/>
        <v>26.24217206</v>
      </c>
      <c r="O2715" s="74" t="b">
        <v>1</v>
      </c>
    </row>
    <row r="2716" hidden="1">
      <c r="A2716" s="82"/>
      <c r="B2716" s="65" t="s">
        <v>411</v>
      </c>
      <c r="C2716" s="65" t="s">
        <v>92</v>
      </c>
      <c r="D2716" s="65" t="str">
        <f>vlookup(C2716,'Classificação p pessoal'!F:G,2,false)</f>
        <v/>
      </c>
      <c r="E2716" s="65" t="s">
        <v>1767</v>
      </c>
      <c r="F2716" s="83">
        <v>0.5625</v>
      </c>
      <c r="G2716" s="83">
        <v>0.6041666666666666</v>
      </c>
      <c r="H2716" s="83">
        <v>0.041666666666666664</v>
      </c>
      <c r="I2716" s="84">
        <v>44336.0</v>
      </c>
      <c r="J2716" s="65" t="b">
        <v>1</v>
      </c>
      <c r="K2716" s="65"/>
      <c r="L2716" s="85" t="b">
        <f>IF(VLOOKUP(C2716,Projetos!A:L,12,false)=TRUE,TRUE,FALSE)</f>
        <v>1</v>
      </c>
      <c r="M2716" s="74">
        <v>52.48434411075036</v>
      </c>
      <c r="N2716" s="74">
        <f t="shared" si="1"/>
        <v>52.48434411</v>
      </c>
      <c r="O2716" s="74" t="b">
        <v>1</v>
      </c>
    </row>
    <row r="2717" hidden="1">
      <c r="A2717" s="82"/>
      <c r="B2717" s="65" t="s">
        <v>411</v>
      </c>
      <c r="C2717" s="65" t="s">
        <v>92</v>
      </c>
      <c r="D2717" s="65" t="str">
        <f>vlookup(C2717,'Classificação p pessoal'!F:G,2,false)</f>
        <v/>
      </c>
      <c r="E2717" s="65" t="s">
        <v>1768</v>
      </c>
      <c r="F2717" s="83">
        <v>0.4375</v>
      </c>
      <c r="G2717" s="83">
        <v>0.5416666666666666</v>
      </c>
      <c r="H2717" s="83">
        <v>0.10416666666666667</v>
      </c>
      <c r="I2717" s="84">
        <v>44327.0</v>
      </c>
      <c r="J2717" s="65" t="b">
        <v>1</v>
      </c>
      <c r="K2717" s="65"/>
      <c r="L2717" s="85" t="b">
        <f>IF(VLOOKUP(C2717,Projetos!A:L,12,false)=TRUE,TRUE,FALSE)</f>
        <v>1</v>
      </c>
      <c r="M2717" s="74">
        <v>52.48434411075036</v>
      </c>
      <c r="N2717" s="74">
        <f t="shared" si="1"/>
        <v>131.2108603</v>
      </c>
      <c r="O2717" s="74" t="b">
        <v>1</v>
      </c>
    </row>
    <row r="2718" hidden="1">
      <c r="A2718" s="82"/>
      <c r="B2718" s="65" t="s">
        <v>411</v>
      </c>
      <c r="C2718" s="65" t="s">
        <v>107</v>
      </c>
      <c r="D2718" s="65" t="str">
        <f>vlookup(C2718,'Classificação p pessoal'!F:G,2,false)</f>
        <v>NP</v>
      </c>
      <c r="E2718" s="65" t="s">
        <v>1769</v>
      </c>
      <c r="F2718" s="83">
        <v>0.4791666666666667</v>
      </c>
      <c r="G2718" s="83">
        <v>0.5208333333333334</v>
      </c>
      <c r="H2718" s="83">
        <v>0.041666666666666664</v>
      </c>
      <c r="I2718" s="84">
        <v>44278.0</v>
      </c>
      <c r="J2718" s="65" t="b">
        <v>1</v>
      </c>
      <c r="K2718" s="65"/>
      <c r="L2718" s="85" t="b">
        <f>IF(VLOOKUP(C2718,Projetos!A:L,12,false)=TRUE,TRUE,FALSE)</f>
        <v>1</v>
      </c>
      <c r="M2718" s="74">
        <v>52.48434411075036</v>
      </c>
      <c r="N2718" s="74">
        <f t="shared" si="1"/>
        <v>52.48434411</v>
      </c>
      <c r="O2718" s="74" t="b">
        <v>1</v>
      </c>
    </row>
    <row r="2719" hidden="1">
      <c r="A2719" s="82"/>
      <c r="B2719" s="65" t="s">
        <v>411</v>
      </c>
      <c r="C2719" s="65" t="s">
        <v>92</v>
      </c>
      <c r="D2719" s="65"/>
      <c r="E2719" s="65" t="s">
        <v>1770</v>
      </c>
      <c r="F2719" s="83">
        <v>0.5833333333333334</v>
      </c>
      <c r="G2719" s="83">
        <v>0.625</v>
      </c>
      <c r="H2719" s="83">
        <v>0.041666666666666664</v>
      </c>
      <c r="I2719" s="84">
        <v>44349.0</v>
      </c>
      <c r="J2719" s="65" t="b">
        <v>0</v>
      </c>
      <c r="K2719" s="65"/>
      <c r="L2719" s="85" t="b">
        <f>IF(VLOOKUP(C2719,Projetos!A:L,12,false)=TRUE,TRUE,FALSE)</f>
        <v>1</v>
      </c>
      <c r="M2719" s="74">
        <v>52.48434411075036</v>
      </c>
      <c r="N2719" s="74">
        <f t="shared" si="1"/>
        <v>0</v>
      </c>
      <c r="O2719" s="74" t="b">
        <v>1</v>
      </c>
    </row>
    <row r="2720" hidden="1">
      <c r="A2720" s="82"/>
      <c r="B2720" s="65" t="s">
        <v>411</v>
      </c>
      <c r="C2720" s="65" t="s">
        <v>117</v>
      </c>
      <c r="D2720" s="65"/>
      <c r="E2720" s="65" t="s">
        <v>1771</v>
      </c>
      <c r="F2720" s="83">
        <v>0.3541666666666667</v>
      </c>
      <c r="G2720" s="83">
        <v>0.375</v>
      </c>
      <c r="H2720" s="83">
        <v>0.020833333333333332</v>
      </c>
      <c r="I2720" s="84">
        <v>44260.0</v>
      </c>
      <c r="J2720" s="65" t="b">
        <v>0</v>
      </c>
      <c r="K2720" s="65" t="s">
        <v>187</v>
      </c>
      <c r="L2720" s="85" t="b">
        <f>IF(VLOOKUP(C2720,Projetos!A:L,12,false)=TRUE,TRUE,FALSE)</f>
        <v>1</v>
      </c>
      <c r="M2720" s="74">
        <v>52.48434411075036</v>
      </c>
      <c r="N2720" s="74">
        <f t="shared" si="1"/>
        <v>0</v>
      </c>
      <c r="O2720" s="74" t="b">
        <v>1</v>
      </c>
    </row>
    <row r="2721" hidden="1">
      <c r="A2721" s="82"/>
      <c r="B2721" s="65" t="s">
        <v>411</v>
      </c>
      <c r="C2721" s="65" t="s">
        <v>92</v>
      </c>
      <c r="D2721" s="65" t="str">
        <f>vlookup(C2721,'Classificação p pessoal'!F:G,2,false)</f>
        <v/>
      </c>
      <c r="E2721" s="65" t="s">
        <v>1772</v>
      </c>
      <c r="F2721" s="83">
        <v>0.7291666666666666</v>
      </c>
      <c r="G2721" s="83">
        <v>0.75</v>
      </c>
      <c r="H2721" s="83">
        <v>0.020833333333333332</v>
      </c>
      <c r="I2721" s="84">
        <v>44553.0</v>
      </c>
      <c r="J2721" s="65" t="b">
        <v>1</v>
      </c>
      <c r="K2721" s="65"/>
      <c r="L2721" s="85" t="b">
        <f>IF(VLOOKUP(C2721,Projetos!A:L,12,false)=TRUE,TRUE,FALSE)</f>
        <v>1</v>
      </c>
      <c r="M2721" s="74">
        <v>52.48434411075036</v>
      </c>
      <c r="N2721" s="74">
        <f t="shared" si="1"/>
        <v>26.24217206</v>
      </c>
      <c r="O2721" s="74" t="b">
        <v>1</v>
      </c>
    </row>
    <row r="2722" hidden="1">
      <c r="A2722" s="82"/>
      <c r="B2722" s="65" t="s">
        <v>411</v>
      </c>
      <c r="C2722" s="65" t="s">
        <v>107</v>
      </c>
      <c r="D2722" s="65" t="str">
        <f>vlookup(C2722,'Classificação p pessoal'!F:G,2,false)</f>
        <v>NP</v>
      </c>
      <c r="E2722" s="65" t="s">
        <v>1773</v>
      </c>
      <c r="F2722" s="83">
        <v>0.625</v>
      </c>
      <c r="G2722" s="83">
        <v>0.7083333333333334</v>
      </c>
      <c r="H2722" s="83">
        <v>0.08333333333333333</v>
      </c>
      <c r="I2722" s="84">
        <v>44280.0</v>
      </c>
      <c r="J2722" s="65" t="b">
        <v>1</v>
      </c>
      <c r="K2722" s="65"/>
      <c r="L2722" s="85" t="b">
        <f>IF(VLOOKUP(C2722,Projetos!A:L,12,false)=TRUE,TRUE,FALSE)</f>
        <v>1</v>
      </c>
      <c r="M2722" s="74">
        <v>52.48434411075036</v>
      </c>
      <c r="N2722" s="74">
        <f t="shared" si="1"/>
        <v>104.9686882</v>
      </c>
      <c r="O2722" s="74" t="b">
        <v>1</v>
      </c>
    </row>
    <row r="2723" hidden="1">
      <c r="A2723" s="82"/>
      <c r="B2723" s="65" t="s">
        <v>411</v>
      </c>
      <c r="C2723" s="65" t="s">
        <v>92</v>
      </c>
      <c r="D2723" s="65"/>
      <c r="E2723" s="65" t="s">
        <v>1774</v>
      </c>
      <c r="F2723" s="83">
        <v>0.625</v>
      </c>
      <c r="G2723" s="83">
        <v>0.6875</v>
      </c>
      <c r="H2723" s="83">
        <v>0.0625</v>
      </c>
      <c r="I2723" s="84">
        <v>44270.0</v>
      </c>
      <c r="J2723" s="65" t="b">
        <v>0</v>
      </c>
      <c r="K2723" s="65"/>
      <c r="L2723" s="85" t="b">
        <f>IF(VLOOKUP(C2723,Projetos!A:L,12,false)=TRUE,TRUE,FALSE)</f>
        <v>1</v>
      </c>
      <c r="M2723" s="74">
        <v>52.48434411075036</v>
      </c>
      <c r="N2723" s="74">
        <f t="shared" si="1"/>
        <v>0</v>
      </c>
      <c r="O2723" s="74" t="b">
        <v>1</v>
      </c>
    </row>
    <row r="2724" hidden="1">
      <c r="A2724" s="82"/>
      <c r="B2724" s="65" t="s">
        <v>411</v>
      </c>
      <c r="C2724" s="65" t="s">
        <v>92</v>
      </c>
      <c r="D2724" s="65" t="str">
        <f>vlookup(C2724,'Classificação p pessoal'!F:G,2,false)</f>
        <v/>
      </c>
      <c r="E2724" s="65" t="s">
        <v>1775</v>
      </c>
      <c r="F2724" s="83">
        <v>0.6666666666666666</v>
      </c>
      <c r="G2724" s="83">
        <v>0.7083333333333334</v>
      </c>
      <c r="H2724" s="83">
        <v>0.041666666666666664</v>
      </c>
      <c r="I2724" s="84">
        <v>44263.0</v>
      </c>
      <c r="J2724" s="65" t="b">
        <v>1</v>
      </c>
      <c r="K2724" s="65"/>
      <c r="L2724" s="85" t="b">
        <f>IF(VLOOKUP(C2724,Projetos!A:L,12,false)=TRUE,TRUE,FALSE)</f>
        <v>1</v>
      </c>
      <c r="M2724" s="74">
        <v>52.48434411075036</v>
      </c>
      <c r="N2724" s="74">
        <f t="shared" si="1"/>
        <v>52.48434411</v>
      </c>
      <c r="O2724" s="74" t="b">
        <v>1</v>
      </c>
    </row>
    <row r="2725" hidden="1">
      <c r="A2725" s="82"/>
      <c r="B2725" s="65" t="s">
        <v>411</v>
      </c>
      <c r="C2725" s="65" t="s">
        <v>125</v>
      </c>
      <c r="D2725" s="65"/>
      <c r="E2725" s="65" t="s">
        <v>1776</v>
      </c>
      <c r="F2725" s="83">
        <v>0.4166666666666667</v>
      </c>
      <c r="G2725" s="83">
        <v>0.4583333333333333</v>
      </c>
      <c r="H2725" s="83">
        <v>0.041666666666666664</v>
      </c>
      <c r="I2725" s="84">
        <v>44271.0</v>
      </c>
      <c r="J2725" s="65" t="b">
        <v>0</v>
      </c>
      <c r="K2725" s="65"/>
      <c r="L2725" s="85" t="b">
        <f>IF(VLOOKUP(C2725,Projetos!A:L,12,false)=TRUE,TRUE,FALSE)</f>
        <v>1</v>
      </c>
      <c r="M2725" s="74">
        <v>52.48434411075036</v>
      </c>
      <c r="N2725" s="74">
        <f t="shared" si="1"/>
        <v>0</v>
      </c>
      <c r="O2725" s="74" t="b">
        <v>1</v>
      </c>
    </row>
    <row r="2726" hidden="1">
      <c r="A2726" s="82"/>
      <c r="B2726" s="65" t="s">
        <v>411</v>
      </c>
      <c r="C2726" s="65" t="s">
        <v>125</v>
      </c>
      <c r="D2726" s="65"/>
      <c r="E2726" s="65" t="s">
        <v>1777</v>
      </c>
      <c r="F2726" s="83">
        <v>0.375</v>
      </c>
      <c r="G2726" s="83">
        <v>0.3958333333333333</v>
      </c>
      <c r="H2726" s="83">
        <v>0.020833333333333332</v>
      </c>
      <c r="I2726" s="84">
        <v>44273.0</v>
      </c>
      <c r="J2726" s="65" t="b">
        <v>0</v>
      </c>
      <c r="K2726" s="65"/>
      <c r="L2726" s="85" t="b">
        <f>IF(VLOOKUP(C2726,Projetos!A:L,12,false)=TRUE,TRUE,FALSE)</f>
        <v>1</v>
      </c>
      <c r="M2726" s="74">
        <v>52.48434411075036</v>
      </c>
      <c r="N2726" s="74">
        <f t="shared" si="1"/>
        <v>0</v>
      </c>
      <c r="O2726" s="74" t="b">
        <v>1</v>
      </c>
    </row>
    <row r="2727" hidden="1">
      <c r="A2727" s="82"/>
      <c r="B2727" s="65" t="s">
        <v>411</v>
      </c>
      <c r="C2727" s="65" t="s">
        <v>92</v>
      </c>
      <c r="D2727" s="65"/>
      <c r="E2727" s="65" t="s">
        <v>1778</v>
      </c>
      <c r="F2727" s="83">
        <v>0.625</v>
      </c>
      <c r="G2727" s="83">
        <v>0.6458333333333334</v>
      </c>
      <c r="H2727" s="83">
        <v>0.020833333333333332</v>
      </c>
      <c r="I2727" s="84">
        <v>44364.0</v>
      </c>
      <c r="J2727" s="65" t="b">
        <v>0</v>
      </c>
      <c r="K2727" s="65" t="s">
        <v>187</v>
      </c>
      <c r="L2727" s="85" t="b">
        <f>IF(VLOOKUP(C2727,Projetos!A:L,12,false)=TRUE,TRUE,FALSE)</f>
        <v>1</v>
      </c>
      <c r="M2727" s="74">
        <v>52.48434411075036</v>
      </c>
      <c r="N2727" s="74">
        <f t="shared" si="1"/>
        <v>0</v>
      </c>
      <c r="O2727" s="74" t="b">
        <v>1</v>
      </c>
    </row>
    <row r="2728" hidden="1">
      <c r="A2728" s="82"/>
      <c r="B2728" s="65" t="s">
        <v>411</v>
      </c>
      <c r="C2728" s="65" t="s">
        <v>127</v>
      </c>
      <c r="D2728" s="65"/>
      <c r="E2728" s="65" t="s">
        <v>1779</v>
      </c>
      <c r="F2728" s="83">
        <v>0.6458333333333334</v>
      </c>
      <c r="G2728" s="83">
        <v>0.7083333333333334</v>
      </c>
      <c r="H2728" s="83">
        <v>0.0625</v>
      </c>
      <c r="I2728" s="84">
        <v>44323.0</v>
      </c>
      <c r="J2728" s="65" t="b">
        <v>0</v>
      </c>
      <c r="K2728" s="65"/>
      <c r="L2728" s="85" t="b">
        <f>IF(VLOOKUP(C2728,Projetos!A:L,12,false)=TRUE,TRUE,FALSE)</f>
        <v>1</v>
      </c>
      <c r="M2728" s="74">
        <v>52.48434411075036</v>
      </c>
      <c r="N2728" s="74">
        <f t="shared" si="1"/>
        <v>0</v>
      </c>
      <c r="O2728" s="74" t="b">
        <v>1</v>
      </c>
    </row>
    <row r="2729" hidden="1">
      <c r="A2729" s="82"/>
      <c r="B2729" s="65" t="s">
        <v>411</v>
      </c>
      <c r="C2729" s="65" t="s">
        <v>125</v>
      </c>
      <c r="D2729" s="65" t="str">
        <f>vlookup(C2729,'Classificação p pessoal'!F:G,2,false)</f>
        <v>MProduto</v>
      </c>
      <c r="E2729" s="65" t="s">
        <v>1780</v>
      </c>
      <c r="F2729" s="83">
        <v>0.375</v>
      </c>
      <c r="G2729" s="83">
        <v>0.4166666666666667</v>
      </c>
      <c r="H2729" s="83">
        <v>0.041666666666666664</v>
      </c>
      <c r="I2729" s="84">
        <v>44369.0</v>
      </c>
      <c r="J2729" s="65" t="b">
        <v>1</v>
      </c>
      <c r="K2729" s="65"/>
      <c r="L2729" s="85" t="b">
        <f>IF(VLOOKUP(C2729,Projetos!A:L,12,false)=TRUE,TRUE,FALSE)</f>
        <v>1</v>
      </c>
      <c r="M2729" s="74">
        <v>52.48434411075036</v>
      </c>
      <c r="N2729" s="74">
        <f t="shared" si="1"/>
        <v>52.48434411</v>
      </c>
      <c r="O2729" s="74" t="b">
        <v>1</v>
      </c>
    </row>
    <row r="2730" hidden="1">
      <c r="A2730" s="82"/>
      <c r="B2730" s="65" t="s">
        <v>411</v>
      </c>
      <c r="C2730" s="65" t="s">
        <v>92</v>
      </c>
      <c r="D2730" s="65" t="str">
        <f>vlookup(C2730,'Classificação p pessoal'!F:G,2,false)</f>
        <v/>
      </c>
      <c r="E2730" s="65" t="s">
        <v>1781</v>
      </c>
      <c r="F2730" s="83">
        <v>0.6458333333333334</v>
      </c>
      <c r="G2730" s="83">
        <v>0.6875</v>
      </c>
      <c r="H2730" s="83">
        <v>0.041666666666666664</v>
      </c>
      <c r="I2730" s="84">
        <v>44340.0</v>
      </c>
      <c r="J2730" s="65" t="b">
        <v>1</v>
      </c>
      <c r="K2730" s="65"/>
      <c r="L2730" s="85" t="b">
        <f>IF(VLOOKUP(C2730,Projetos!A:L,12,false)=TRUE,TRUE,FALSE)</f>
        <v>1</v>
      </c>
      <c r="M2730" s="74">
        <v>52.48434411075036</v>
      </c>
      <c r="N2730" s="74">
        <f t="shared" si="1"/>
        <v>52.48434411</v>
      </c>
      <c r="O2730" s="74" t="b">
        <v>1</v>
      </c>
    </row>
    <row r="2731" hidden="1">
      <c r="A2731" s="82"/>
      <c r="B2731" s="65" t="s">
        <v>411</v>
      </c>
      <c r="C2731" s="65" t="s">
        <v>117</v>
      </c>
      <c r="D2731" s="65" t="str">
        <f>vlookup(C2731,'Classificação p pessoal'!F:G,2,false)</f>
        <v>NP</v>
      </c>
      <c r="E2731" s="65" t="s">
        <v>1782</v>
      </c>
      <c r="F2731" s="83">
        <v>0.4583333333333333</v>
      </c>
      <c r="G2731" s="83">
        <v>0.5208333333333334</v>
      </c>
      <c r="H2731" s="83">
        <v>0.0625</v>
      </c>
      <c r="I2731" s="84">
        <v>44543.0</v>
      </c>
      <c r="J2731" s="65" t="b">
        <v>1</v>
      </c>
      <c r="K2731" s="65"/>
      <c r="L2731" s="85" t="b">
        <f>IF(VLOOKUP(C2731,Projetos!A:L,12,false)=TRUE,TRUE,FALSE)</f>
        <v>1</v>
      </c>
      <c r="M2731" s="74">
        <v>52.48434411075036</v>
      </c>
      <c r="N2731" s="74">
        <f t="shared" si="1"/>
        <v>78.72651617</v>
      </c>
      <c r="O2731" s="74" t="b">
        <v>1</v>
      </c>
    </row>
    <row r="2732" hidden="1">
      <c r="A2732" s="82"/>
      <c r="B2732" s="65" t="s">
        <v>411</v>
      </c>
      <c r="C2732" s="65" t="s">
        <v>120</v>
      </c>
      <c r="D2732" s="65"/>
      <c r="E2732" s="65" t="s">
        <v>1783</v>
      </c>
      <c r="F2732" s="83">
        <v>0.34375</v>
      </c>
      <c r="G2732" s="83">
        <v>0.4166666666666667</v>
      </c>
      <c r="H2732" s="83">
        <v>0.07291666666666667</v>
      </c>
      <c r="I2732" s="84">
        <v>44497.0</v>
      </c>
      <c r="J2732" s="65" t="b">
        <v>0</v>
      </c>
      <c r="K2732" s="65"/>
      <c r="L2732" s="85" t="b">
        <f>IF(VLOOKUP(C2732,Projetos!A:L,12,false)=TRUE,TRUE,FALSE)</f>
        <v>0</v>
      </c>
      <c r="M2732" s="74">
        <v>52.48434411075036</v>
      </c>
      <c r="N2732" s="74">
        <f t="shared" si="1"/>
        <v>0</v>
      </c>
      <c r="O2732" s="74" t="b">
        <v>0</v>
      </c>
    </row>
    <row r="2733" hidden="1">
      <c r="A2733" s="82"/>
      <c r="B2733" s="65" t="s">
        <v>411</v>
      </c>
      <c r="C2733" s="65" t="s">
        <v>117</v>
      </c>
      <c r="D2733" s="65" t="str">
        <f>vlookup(C2733,'Classificação p pessoal'!F:G,2,false)</f>
        <v>NP</v>
      </c>
      <c r="E2733" s="65" t="s">
        <v>1784</v>
      </c>
      <c r="F2733" s="83">
        <v>0.34375</v>
      </c>
      <c r="G2733" s="83">
        <v>0.375</v>
      </c>
      <c r="H2733" s="83">
        <v>0.03125</v>
      </c>
      <c r="I2733" s="84">
        <v>44285.0</v>
      </c>
      <c r="J2733" s="65" t="b">
        <v>1</v>
      </c>
      <c r="K2733" s="65"/>
      <c r="L2733" s="85" t="b">
        <f>IF(VLOOKUP(C2733,Projetos!A:L,12,false)=TRUE,TRUE,FALSE)</f>
        <v>1</v>
      </c>
      <c r="M2733" s="74">
        <v>52.48434411075036</v>
      </c>
      <c r="N2733" s="74">
        <f t="shared" si="1"/>
        <v>39.36325808</v>
      </c>
      <c r="O2733" s="74" t="b">
        <v>1</v>
      </c>
    </row>
    <row r="2734" hidden="1">
      <c r="A2734" s="82"/>
      <c r="B2734" s="65" t="s">
        <v>411</v>
      </c>
      <c r="C2734" s="65" t="s">
        <v>92</v>
      </c>
      <c r="D2734" s="65" t="str">
        <f>vlookup(C2734,'Classificação p pessoal'!F:G,2,false)</f>
        <v/>
      </c>
      <c r="E2734" s="65" t="s">
        <v>1785</v>
      </c>
      <c r="F2734" s="83">
        <v>0.3541666666666667</v>
      </c>
      <c r="G2734" s="83">
        <v>0.4166666666666667</v>
      </c>
      <c r="H2734" s="83">
        <v>0.0625</v>
      </c>
      <c r="I2734" s="84">
        <v>44293.0</v>
      </c>
      <c r="J2734" s="65" t="b">
        <v>1</v>
      </c>
      <c r="K2734" s="65"/>
      <c r="L2734" s="85" t="b">
        <f>IF(VLOOKUP(C2734,Projetos!A:L,12,false)=TRUE,TRUE,FALSE)</f>
        <v>1</v>
      </c>
      <c r="M2734" s="74">
        <v>52.48434411075036</v>
      </c>
      <c r="N2734" s="74">
        <f t="shared" si="1"/>
        <v>78.72651617</v>
      </c>
      <c r="O2734" s="74" t="b">
        <v>1</v>
      </c>
    </row>
    <row r="2735" hidden="1">
      <c r="A2735" s="82"/>
      <c r="B2735" s="65" t="s">
        <v>411</v>
      </c>
      <c r="C2735" s="65" t="s">
        <v>92</v>
      </c>
      <c r="D2735" s="65" t="str">
        <f>vlookup(C2735,'Classificação p pessoal'!F:G,2,false)</f>
        <v/>
      </c>
      <c r="E2735" s="65" t="s">
        <v>1786</v>
      </c>
      <c r="F2735" s="83">
        <v>0.375</v>
      </c>
      <c r="G2735" s="83">
        <v>0.3958333333333333</v>
      </c>
      <c r="H2735" s="83">
        <v>0.020833333333333332</v>
      </c>
      <c r="I2735" s="84">
        <v>44480.0</v>
      </c>
      <c r="J2735" s="65" t="b">
        <v>1</v>
      </c>
      <c r="K2735" s="65"/>
      <c r="L2735" s="85" t="b">
        <f>IF(VLOOKUP(C2735,Projetos!A:L,12,false)=TRUE,TRUE,FALSE)</f>
        <v>1</v>
      </c>
      <c r="M2735" s="74">
        <v>52.48434411075036</v>
      </c>
      <c r="N2735" s="74">
        <f t="shared" si="1"/>
        <v>26.24217206</v>
      </c>
      <c r="O2735" s="74" t="b">
        <v>1</v>
      </c>
    </row>
    <row r="2736" hidden="1">
      <c r="A2736" s="82"/>
      <c r="B2736" s="65" t="s">
        <v>411</v>
      </c>
      <c r="C2736" s="65" t="s">
        <v>132</v>
      </c>
      <c r="D2736" s="65"/>
      <c r="E2736" s="65" t="s">
        <v>1787</v>
      </c>
      <c r="F2736" s="83">
        <v>0.7291666666666666</v>
      </c>
      <c r="G2736" s="83">
        <v>0.75</v>
      </c>
      <c r="H2736" s="83">
        <v>0.020833333333333332</v>
      </c>
      <c r="I2736" s="84">
        <v>44279.0</v>
      </c>
      <c r="J2736" s="65" t="b">
        <v>1</v>
      </c>
      <c r="K2736" s="65"/>
      <c r="L2736" s="85" t="b">
        <f>IF(VLOOKUP(C2736,Projetos!A:L,12,false)=TRUE,TRUE,FALSE)</f>
        <v>0</v>
      </c>
      <c r="M2736" s="74">
        <v>52.48434411075036</v>
      </c>
      <c r="N2736" s="74">
        <f t="shared" si="1"/>
        <v>0</v>
      </c>
      <c r="O2736" s="74" t="b">
        <v>0</v>
      </c>
    </row>
    <row r="2737" hidden="1">
      <c r="A2737" s="82"/>
      <c r="B2737" s="65" t="s">
        <v>411</v>
      </c>
      <c r="C2737" s="65" t="s">
        <v>132</v>
      </c>
      <c r="D2737" s="65"/>
      <c r="E2737" s="65" t="s">
        <v>1788</v>
      </c>
      <c r="F2737" s="83">
        <v>0.34375</v>
      </c>
      <c r="G2737" s="83">
        <v>0.3854166666666667</v>
      </c>
      <c r="H2737" s="83">
        <v>0.041666666666666664</v>
      </c>
      <c r="I2737" s="84">
        <v>44405.0</v>
      </c>
      <c r="J2737" s="65" t="b">
        <v>0</v>
      </c>
      <c r="K2737" s="65" t="s">
        <v>150</v>
      </c>
      <c r="L2737" s="85" t="b">
        <f>IF(VLOOKUP(C2737,Projetos!A:L,12,false)=TRUE,TRUE,FALSE)</f>
        <v>0</v>
      </c>
      <c r="M2737" s="74">
        <v>52.48434411075036</v>
      </c>
      <c r="N2737" s="74">
        <f t="shared" si="1"/>
        <v>0</v>
      </c>
      <c r="O2737" s="74" t="b">
        <v>0</v>
      </c>
    </row>
    <row r="2738" hidden="1">
      <c r="A2738" s="82"/>
      <c r="B2738" s="65" t="s">
        <v>411</v>
      </c>
      <c r="C2738" s="65" t="s">
        <v>117</v>
      </c>
      <c r="D2738" s="65"/>
      <c r="E2738" s="65" t="s">
        <v>1789</v>
      </c>
      <c r="F2738" s="83">
        <v>0.3854166666666667</v>
      </c>
      <c r="G2738" s="83">
        <v>0.3993055555555556</v>
      </c>
      <c r="H2738" s="83">
        <v>0.013888888888888888</v>
      </c>
      <c r="I2738" s="84">
        <v>44405.0</v>
      </c>
      <c r="J2738" s="65" t="b">
        <v>0</v>
      </c>
      <c r="K2738" s="65" t="s">
        <v>150</v>
      </c>
      <c r="L2738" s="85" t="b">
        <f>IF(VLOOKUP(C2738,Projetos!A:L,12,false)=TRUE,TRUE,FALSE)</f>
        <v>1</v>
      </c>
      <c r="M2738" s="74">
        <v>52.48434411075036</v>
      </c>
      <c r="N2738" s="74">
        <f t="shared" si="1"/>
        <v>0</v>
      </c>
      <c r="O2738" s="74" t="b">
        <v>1</v>
      </c>
    </row>
    <row r="2739" hidden="1">
      <c r="A2739" s="82"/>
      <c r="B2739" s="65" t="s">
        <v>411</v>
      </c>
      <c r="C2739" s="65" t="s">
        <v>92</v>
      </c>
      <c r="D2739" s="65" t="str">
        <f>vlookup(C2739,'Classificação p pessoal'!F:G,2,false)</f>
        <v/>
      </c>
      <c r="E2739" s="65" t="s">
        <v>1790</v>
      </c>
      <c r="F2739" s="83">
        <v>0.6875</v>
      </c>
      <c r="G2739" s="83">
        <v>0.75</v>
      </c>
      <c r="H2739" s="83">
        <v>0.0625</v>
      </c>
      <c r="I2739" s="84">
        <v>44393.0</v>
      </c>
      <c r="J2739" s="65" t="b">
        <v>1</v>
      </c>
      <c r="K2739" s="65"/>
      <c r="L2739" s="85" t="b">
        <f>IF(VLOOKUP(C2739,Projetos!A:L,12,false)=TRUE,TRUE,FALSE)</f>
        <v>1</v>
      </c>
      <c r="M2739" s="74">
        <v>52.48434411075036</v>
      </c>
      <c r="N2739" s="74">
        <f t="shared" si="1"/>
        <v>78.72651617</v>
      </c>
      <c r="O2739" s="74" t="b">
        <v>1</v>
      </c>
    </row>
    <row r="2740" hidden="1">
      <c r="A2740" s="82"/>
      <c r="B2740" s="65" t="s">
        <v>411</v>
      </c>
      <c r="C2740" s="65" t="s">
        <v>117</v>
      </c>
      <c r="D2740" s="65" t="str">
        <f>vlookup(C2740,'Classificação p pessoal'!F:G,2,false)</f>
        <v>NP</v>
      </c>
      <c r="E2740" s="65" t="s">
        <v>1791</v>
      </c>
      <c r="F2740" s="83">
        <v>0.71875</v>
      </c>
      <c r="G2740" s="83">
        <v>0.7395833333333334</v>
      </c>
      <c r="H2740" s="83">
        <v>0.020833333333333332</v>
      </c>
      <c r="I2740" s="84">
        <v>44517.0</v>
      </c>
      <c r="J2740" s="65" t="b">
        <v>1</v>
      </c>
      <c r="K2740" s="65"/>
      <c r="L2740" s="85" t="b">
        <f>IF(VLOOKUP(C2740,Projetos!A:L,12,false)=TRUE,TRUE,FALSE)</f>
        <v>1</v>
      </c>
      <c r="M2740" s="74">
        <v>52.48434411075036</v>
      </c>
      <c r="N2740" s="74">
        <f t="shared" si="1"/>
        <v>26.24217206</v>
      </c>
      <c r="O2740" s="74" t="b">
        <v>1</v>
      </c>
    </row>
    <row r="2741" hidden="1">
      <c r="A2741" s="82"/>
      <c r="B2741" s="65" t="s">
        <v>411</v>
      </c>
      <c r="C2741" s="65" t="s">
        <v>125</v>
      </c>
      <c r="D2741" s="65" t="str">
        <f>vlookup(C2741,'Classificação p pessoal'!F:G,2,false)</f>
        <v>MProduto</v>
      </c>
      <c r="E2741" s="65" t="s">
        <v>1792</v>
      </c>
      <c r="F2741" s="83">
        <v>0.4166666666666667</v>
      </c>
      <c r="G2741" s="83">
        <v>0.4583333333333333</v>
      </c>
      <c r="H2741" s="83">
        <v>0.041666666666666664</v>
      </c>
      <c r="I2741" s="84">
        <v>44266.0</v>
      </c>
      <c r="J2741" s="65" t="b">
        <v>1</v>
      </c>
      <c r="K2741" s="65"/>
      <c r="L2741" s="85" t="b">
        <f>IF(VLOOKUP(C2741,Projetos!A:L,12,false)=TRUE,TRUE,FALSE)</f>
        <v>1</v>
      </c>
      <c r="M2741" s="74">
        <v>52.48434411075036</v>
      </c>
      <c r="N2741" s="74">
        <f t="shared" si="1"/>
        <v>52.48434411</v>
      </c>
      <c r="O2741" s="74" t="b">
        <v>1</v>
      </c>
    </row>
    <row r="2742" hidden="1">
      <c r="A2742" s="82"/>
      <c r="B2742" s="65" t="s">
        <v>411</v>
      </c>
      <c r="C2742" s="65" t="s">
        <v>125</v>
      </c>
      <c r="D2742" s="65" t="str">
        <f>vlookup(C2742,'Classificação p pessoal'!F:G,2,false)</f>
        <v>MProduto</v>
      </c>
      <c r="E2742" s="65" t="s">
        <v>1793</v>
      </c>
      <c r="F2742" s="83">
        <v>0.4166666666666667</v>
      </c>
      <c r="G2742" s="83">
        <v>0.4270833333333333</v>
      </c>
      <c r="H2742" s="83">
        <v>0.010416666666666666</v>
      </c>
      <c r="I2742" s="84">
        <v>44319.0</v>
      </c>
      <c r="J2742" s="65" t="b">
        <v>1</v>
      </c>
      <c r="K2742" s="65"/>
      <c r="L2742" s="85" t="b">
        <f>IF(VLOOKUP(C2742,Projetos!A:L,12,false)=TRUE,TRUE,FALSE)</f>
        <v>1</v>
      </c>
      <c r="M2742" s="74">
        <v>52.48434411075036</v>
      </c>
      <c r="N2742" s="74">
        <f t="shared" si="1"/>
        <v>13.12108603</v>
      </c>
      <c r="O2742" s="74" t="b">
        <v>1</v>
      </c>
    </row>
    <row r="2743" hidden="1">
      <c r="A2743" s="82"/>
      <c r="B2743" s="65" t="s">
        <v>411</v>
      </c>
      <c r="C2743" s="65" t="s">
        <v>125</v>
      </c>
      <c r="D2743" s="65"/>
      <c r="E2743" s="65" t="s">
        <v>1794</v>
      </c>
      <c r="F2743" s="83">
        <v>0.7083333333333334</v>
      </c>
      <c r="G2743" s="83">
        <v>0.75</v>
      </c>
      <c r="H2743" s="83">
        <v>0.041666666666666664</v>
      </c>
      <c r="I2743" s="84">
        <v>44278.0</v>
      </c>
      <c r="J2743" s="65" t="b">
        <v>0</v>
      </c>
      <c r="K2743" s="65"/>
      <c r="L2743" s="85" t="b">
        <f>IF(VLOOKUP(C2743,Projetos!A:L,12,false)=TRUE,TRUE,FALSE)</f>
        <v>1</v>
      </c>
      <c r="M2743" s="74">
        <v>52.48434411075036</v>
      </c>
      <c r="N2743" s="74">
        <f t="shared" si="1"/>
        <v>0</v>
      </c>
      <c r="O2743" s="74" t="b">
        <v>1</v>
      </c>
    </row>
    <row r="2744" hidden="1">
      <c r="A2744" s="82"/>
      <c r="B2744" s="65" t="s">
        <v>411</v>
      </c>
      <c r="C2744" s="65" t="s">
        <v>92</v>
      </c>
      <c r="D2744" s="65"/>
      <c r="E2744" s="65" t="s">
        <v>1795</v>
      </c>
      <c r="F2744" s="83">
        <v>0.6875</v>
      </c>
      <c r="G2744" s="83">
        <v>0.7083333333333334</v>
      </c>
      <c r="H2744" s="83">
        <v>0.020833333333333332</v>
      </c>
      <c r="I2744" s="84">
        <v>44225.0</v>
      </c>
      <c r="J2744" s="65" t="b">
        <v>0</v>
      </c>
      <c r="K2744" s="65"/>
      <c r="L2744" s="85" t="b">
        <f>IF(VLOOKUP(C2744,Projetos!A:L,12,false)=TRUE,TRUE,FALSE)</f>
        <v>1</v>
      </c>
      <c r="M2744" s="74">
        <v>52.48434411075036</v>
      </c>
      <c r="N2744" s="74">
        <f t="shared" si="1"/>
        <v>0</v>
      </c>
      <c r="O2744" s="74" t="b">
        <v>1</v>
      </c>
    </row>
    <row r="2745" hidden="1">
      <c r="A2745" s="82"/>
      <c r="B2745" s="65" t="s">
        <v>411</v>
      </c>
      <c r="C2745" s="65" t="s">
        <v>106</v>
      </c>
      <c r="D2745" s="65"/>
      <c r="E2745" s="65" t="s">
        <v>1796</v>
      </c>
      <c r="F2745" s="83">
        <v>0.5416666666666666</v>
      </c>
      <c r="G2745" s="83">
        <v>0.75</v>
      </c>
      <c r="H2745" s="83">
        <v>0.20833333333333334</v>
      </c>
      <c r="I2745" s="84">
        <v>44363.0</v>
      </c>
      <c r="J2745" s="65" t="b">
        <v>0</v>
      </c>
      <c r="K2745" s="65" t="s">
        <v>150</v>
      </c>
      <c r="L2745" s="85" t="b">
        <f>IF(VLOOKUP(C2745,Projetos!A:L,12,false)=TRUE,TRUE,FALSE)</f>
        <v>1</v>
      </c>
      <c r="M2745" s="74">
        <v>52.48434411075036</v>
      </c>
      <c r="N2745" s="74">
        <f t="shared" si="1"/>
        <v>0</v>
      </c>
      <c r="O2745" s="74" t="b">
        <v>1</v>
      </c>
    </row>
    <row r="2746" hidden="1">
      <c r="A2746" s="82"/>
      <c r="B2746" s="65" t="s">
        <v>411</v>
      </c>
      <c r="C2746" s="65" t="s">
        <v>92</v>
      </c>
      <c r="D2746" s="65"/>
      <c r="E2746" s="65" t="s">
        <v>1797</v>
      </c>
      <c r="F2746" s="83">
        <v>0.34375</v>
      </c>
      <c r="G2746" s="83">
        <v>0.3958333333333333</v>
      </c>
      <c r="H2746" s="83">
        <v>0.052083333333333336</v>
      </c>
      <c r="I2746" s="84">
        <v>44231.0</v>
      </c>
      <c r="J2746" s="65" t="b">
        <v>0</v>
      </c>
      <c r="K2746" s="65"/>
      <c r="L2746" s="85" t="b">
        <f>IF(VLOOKUP(C2746,Projetos!A:L,12,false)=TRUE,TRUE,FALSE)</f>
        <v>1</v>
      </c>
      <c r="M2746" s="74">
        <v>52.48434411075036</v>
      </c>
      <c r="N2746" s="74">
        <f t="shared" si="1"/>
        <v>0</v>
      </c>
      <c r="O2746" s="74" t="b">
        <v>1</v>
      </c>
    </row>
    <row r="2747" hidden="1">
      <c r="A2747" s="82"/>
      <c r="B2747" s="65" t="s">
        <v>411</v>
      </c>
      <c r="C2747" s="65" t="s">
        <v>92</v>
      </c>
      <c r="D2747" s="65"/>
      <c r="E2747" s="65" t="s">
        <v>1798</v>
      </c>
      <c r="F2747" s="83">
        <v>0.3958333333333333</v>
      </c>
      <c r="G2747" s="83">
        <v>0.4375</v>
      </c>
      <c r="H2747" s="83">
        <v>0.041666666666666664</v>
      </c>
      <c r="I2747" s="84">
        <v>44217.0</v>
      </c>
      <c r="J2747" s="65" t="b">
        <v>0</v>
      </c>
      <c r="K2747" s="65" t="s">
        <v>150</v>
      </c>
      <c r="L2747" s="85" t="b">
        <f>IF(VLOOKUP(C2747,Projetos!A:L,12,false)=TRUE,TRUE,FALSE)</f>
        <v>1</v>
      </c>
      <c r="M2747" s="74">
        <v>52.48434411075036</v>
      </c>
      <c r="N2747" s="74">
        <f t="shared" si="1"/>
        <v>0</v>
      </c>
      <c r="O2747" s="74" t="b">
        <v>1</v>
      </c>
    </row>
    <row r="2748" hidden="1">
      <c r="A2748" s="82"/>
      <c r="B2748" s="65" t="s">
        <v>411</v>
      </c>
      <c r="C2748" s="65" t="s">
        <v>122</v>
      </c>
      <c r="D2748" s="65"/>
      <c r="E2748" s="65" t="s">
        <v>1799</v>
      </c>
      <c r="F2748" s="83">
        <v>0.5</v>
      </c>
      <c r="G2748" s="83">
        <v>0.5416666666666666</v>
      </c>
      <c r="H2748" s="83">
        <v>0.041666666666666664</v>
      </c>
      <c r="I2748" s="84">
        <v>44232.0</v>
      </c>
      <c r="J2748" s="65" t="b">
        <v>0</v>
      </c>
      <c r="K2748" s="65"/>
      <c r="L2748" s="85" t="b">
        <f>IF(VLOOKUP(C2748,Projetos!A:L,12,false)=TRUE,TRUE,FALSE)</f>
        <v>1</v>
      </c>
      <c r="M2748" s="74">
        <v>52.48434411075036</v>
      </c>
      <c r="N2748" s="74">
        <f t="shared" si="1"/>
        <v>0</v>
      </c>
      <c r="O2748" s="74" t="b">
        <v>1</v>
      </c>
    </row>
    <row r="2749" hidden="1">
      <c r="A2749" s="82"/>
      <c r="B2749" s="65" t="s">
        <v>411</v>
      </c>
      <c r="C2749" s="65" t="s">
        <v>92</v>
      </c>
      <c r="D2749" s="65"/>
      <c r="E2749" s="65" t="s">
        <v>1800</v>
      </c>
      <c r="F2749" s="83">
        <v>0.4166666666666667</v>
      </c>
      <c r="G2749" s="83">
        <v>0.4583333333333333</v>
      </c>
      <c r="H2749" s="83">
        <v>0.041666666666666664</v>
      </c>
      <c r="I2749" s="84">
        <v>44284.0</v>
      </c>
      <c r="J2749" s="65" t="b">
        <v>0</v>
      </c>
      <c r="K2749" s="65" t="s">
        <v>150</v>
      </c>
      <c r="L2749" s="85" t="b">
        <f>IF(VLOOKUP(C2749,Projetos!A:L,12,false)=TRUE,TRUE,FALSE)</f>
        <v>1</v>
      </c>
      <c r="M2749" s="74">
        <v>52.48434411075036</v>
      </c>
      <c r="N2749" s="74">
        <f t="shared" si="1"/>
        <v>0</v>
      </c>
      <c r="O2749" s="74" t="b">
        <v>1</v>
      </c>
    </row>
    <row r="2750" hidden="1">
      <c r="A2750" s="82"/>
      <c r="B2750" s="65" t="s">
        <v>411</v>
      </c>
      <c r="C2750" s="65" t="s">
        <v>125</v>
      </c>
      <c r="D2750" s="65"/>
      <c r="E2750" s="65" t="s">
        <v>1801</v>
      </c>
      <c r="F2750" s="83">
        <v>0.4166666666666667</v>
      </c>
      <c r="G2750" s="83">
        <v>0.4583333333333333</v>
      </c>
      <c r="H2750" s="83">
        <v>0.041666666666666664</v>
      </c>
      <c r="I2750" s="84">
        <v>44424.0</v>
      </c>
      <c r="J2750" s="65" t="b">
        <v>0</v>
      </c>
      <c r="K2750" s="65" t="s">
        <v>150</v>
      </c>
      <c r="L2750" s="85" t="b">
        <f>IF(VLOOKUP(C2750,Projetos!A:L,12,false)=TRUE,TRUE,FALSE)</f>
        <v>1</v>
      </c>
      <c r="M2750" s="74">
        <v>52.48434411075036</v>
      </c>
      <c r="N2750" s="74">
        <f t="shared" si="1"/>
        <v>0</v>
      </c>
      <c r="O2750" s="74" t="b">
        <v>1</v>
      </c>
    </row>
    <row r="2751" hidden="1">
      <c r="A2751" s="82"/>
      <c r="B2751" s="65" t="s">
        <v>411</v>
      </c>
      <c r="C2751" s="65" t="s">
        <v>118</v>
      </c>
      <c r="D2751" s="65" t="str">
        <f>vlookup(C2751,'Classificação p pessoal'!F:G,2,false)</f>
        <v>MProduto</v>
      </c>
      <c r="E2751" s="65" t="s">
        <v>1802</v>
      </c>
      <c r="F2751" s="83">
        <v>0.4375</v>
      </c>
      <c r="G2751" s="83">
        <v>0.5</v>
      </c>
      <c r="H2751" s="83">
        <v>0.0625</v>
      </c>
      <c r="I2751" s="84">
        <v>44456.0</v>
      </c>
      <c r="J2751" s="65" t="b">
        <v>1</v>
      </c>
      <c r="K2751" s="65"/>
      <c r="L2751" s="85" t="b">
        <f>IF(VLOOKUP(C2751,Projetos!A:L,12,false)=TRUE,TRUE,FALSE)</f>
        <v>1</v>
      </c>
      <c r="M2751" s="74">
        <v>52.48434411075036</v>
      </c>
      <c r="N2751" s="74">
        <f t="shared" si="1"/>
        <v>78.72651617</v>
      </c>
      <c r="O2751" s="74" t="b">
        <v>1</v>
      </c>
    </row>
    <row r="2752" hidden="1">
      <c r="A2752" s="82"/>
      <c r="B2752" s="65" t="s">
        <v>411</v>
      </c>
      <c r="C2752" s="65" t="s">
        <v>117</v>
      </c>
      <c r="D2752" s="65" t="str">
        <f>vlookup(C2752,'Classificação p pessoal'!F:G,2,false)</f>
        <v>NP</v>
      </c>
      <c r="E2752" s="65" t="s">
        <v>1803</v>
      </c>
      <c r="F2752" s="83">
        <v>0.5625</v>
      </c>
      <c r="G2752" s="83">
        <v>0.75</v>
      </c>
      <c r="H2752" s="83">
        <v>0.1875</v>
      </c>
      <c r="I2752" s="84">
        <v>44475.0</v>
      </c>
      <c r="J2752" s="65" t="b">
        <v>1</v>
      </c>
      <c r="K2752" s="65"/>
      <c r="L2752" s="85" t="b">
        <f>IF(VLOOKUP(C2752,Projetos!A:L,12,false)=TRUE,TRUE,FALSE)</f>
        <v>1</v>
      </c>
      <c r="M2752" s="74">
        <v>52.48434411075036</v>
      </c>
      <c r="N2752" s="74">
        <f t="shared" si="1"/>
        <v>236.1795485</v>
      </c>
      <c r="O2752" s="74" t="b">
        <v>1</v>
      </c>
    </row>
    <row r="2753" hidden="1">
      <c r="A2753" s="82"/>
      <c r="B2753" s="65" t="s">
        <v>411</v>
      </c>
      <c r="C2753" s="65" t="s">
        <v>92</v>
      </c>
      <c r="D2753" s="65" t="str">
        <f>vlookup(C2753,'Classificação p pessoal'!F:G,2,false)</f>
        <v/>
      </c>
      <c r="E2753" s="65" t="s">
        <v>1804</v>
      </c>
      <c r="F2753" s="83">
        <v>0.625</v>
      </c>
      <c r="G2753" s="83">
        <v>0.75</v>
      </c>
      <c r="H2753" s="83">
        <v>0.125</v>
      </c>
      <c r="I2753" s="84">
        <v>44293.0</v>
      </c>
      <c r="J2753" s="65" t="b">
        <v>1</v>
      </c>
      <c r="K2753" s="65"/>
      <c r="L2753" s="85" t="b">
        <f>IF(VLOOKUP(C2753,Projetos!A:L,12,false)=TRUE,TRUE,FALSE)</f>
        <v>1</v>
      </c>
      <c r="M2753" s="74">
        <v>52.48434411075036</v>
      </c>
      <c r="N2753" s="74">
        <f t="shared" si="1"/>
        <v>157.4530323</v>
      </c>
      <c r="O2753" s="74" t="b">
        <v>1</v>
      </c>
    </row>
    <row r="2754" hidden="1">
      <c r="A2754" s="82"/>
      <c r="B2754" s="65" t="s">
        <v>411</v>
      </c>
      <c r="C2754" s="65" t="s">
        <v>92</v>
      </c>
      <c r="D2754" s="65"/>
      <c r="E2754" s="65" t="s">
        <v>1805</v>
      </c>
      <c r="F2754" s="83">
        <v>0.34375</v>
      </c>
      <c r="G2754" s="83">
        <v>0.4479166666666667</v>
      </c>
      <c r="H2754" s="83">
        <v>0.10416666666666667</v>
      </c>
      <c r="I2754" s="84">
        <v>44201.0</v>
      </c>
      <c r="J2754" s="65" t="b">
        <v>0</v>
      </c>
      <c r="K2754" s="65" t="s">
        <v>150</v>
      </c>
      <c r="L2754" s="85" t="b">
        <f>IF(VLOOKUP(C2754,Projetos!A:L,12,false)=TRUE,TRUE,FALSE)</f>
        <v>1</v>
      </c>
      <c r="M2754" s="74">
        <v>52.48434411075036</v>
      </c>
      <c r="N2754" s="74">
        <f t="shared" si="1"/>
        <v>0</v>
      </c>
      <c r="O2754" s="74" t="b">
        <v>1</v>
      </c>
    </row>
    <row r="2755" hidden="1">
      <c r="A2755" s="82"/>
      <c r="B2755" s="65" t="s">
        <v>411</v>
      </c>
      <c r="C2755" s="65" t="s">
        <v>101</v>
      </c>
      <c r="D2755" s="65"/>
      <c r="E2755" s="65" t="s">
        <v>1806</v>
      </c>
      <c r="F2755" s="83">
        <v>0.34375</v>
      </c>
      <c r="G2755" s="83">
        <v>0.5416666666666666</v>
      </c>
      <c r="H2755" s="83">
        <v>0.19791666666666666</v>
      </c>
      <c r="I2755" s="84">
        <v>44427.0</v>
      </c>
      <c r="J2755" s="65" t="b">
        <v>0</v>
      </c>
      <c r="K2755" s="65" t="s">
        <v>150</v>
      </c>
      <c r="L2755" s="85" t="b">
        <f>IF(VLOOKUP(C2755,Projetos!A:L,12,false)=TRUE,TRUE,FALSE)</f>
        <v>1</v>
      </c>
      <c r="M2755" s="74">
        <v>52.48434411075036</v>
      </c>
      <c r="N2755" s="74">
        <f t="shared" si="1"/>
        <v>0</v>
      </c>
      <c r="O2755" s="74" t="b">
        <v>1</v>
      </c>
    </row>
    <row r="2756" hidden="1">
      <c r="A2756" s="82"/>
      <c r="B2756" s="65" t="s">
        <v>411</v>
      </c>
      <c r="C2756" s="65" t="s">
        <v>130</v>
      </c>
      <c r="D2756" s="65" t="str">
        <f>vlookup(C2756,'Classificação p pessoal'!F:G,2,false)</f>
        <v>NP</v>
      </c>
      <c r="E2756" s="65" t="s">
        <v>1807</v>
      </c>
      <c r="F2756" s="83">
        <v>0.4791666666666667</v>
      </c>
      <c r="G2756" s="83">
        <v>0.5416666666666666</v>
      </c>
      <c r="H2756" s="83">
        <v>0.0625</v>
      </c>
      <c r="I2756" s="84">
        <v>44201.0</v>
      </c>
      <c r="J2756" s="65" t="b">
        <v>1</v>
      </c>
      <c r="K2756" s="65"/>
      <c r="L2756" s="85" t="b">
        <f>IF(VLOOKUP(C2756,Projetos!A:L,12,false)=TRUE,TRUE,FALSE)</f>
        <v>1</v>
      </c>
      <c r="M2756" s="74">
        <v>52.48434411075036</v>
      </c>
      <c r="N2756" s="74">
        <f t="shared" si="1"/>
        <v>78.72651617</v>
      </c>
      <c r="O2756" s="74" t="b">
        <v>1</v>
      </c>
    </row>
    <row r="2757" hidden="1">
      <c r="A2757" s="82"/>
      <c r="B2757" s="65" t="s">
        <v>411</v>
      </c>
      <c r="C2757" s="65" t="s">
        <v>92</v>
      </c>
      <c r="D2757" s="65" t="str">
        <f>vlookup(C2757,'Classificação p pessoal'!F:G,2,false)</f>
        <v/>
      </c>
      <c r="E2757" s="65" t="s">
        <v>1808</v>
      </c>
      <c r="F2757" s="83">
        <v>0.5833333333333334</v>
      </c>
      <c r="G2757" s="83">
        <v>0.625</v>
      </c>
      <c r="H2757" s="83">
        <v>0.041666666666666664</v>
      </c>
      <c r="I2757" s="84">
        <v>44201.0</v>
      </c>
      <c r="J2757" s="65" t="b">
        <v>1</v>
      </c>
      <c r="K2757" s="65"/>
      <c r="L2757" s="85" t="b">
        <f>IF(VLOOKUP(C2757,Projetos!A:L,12,false)=TRUE,TRUE,FALSE)</f>
        <v>1</v>
      </c>
      <c r="M2757" s="74">
        <v>52.48434411075036</v>
      </c>
      <c r="N2757" s="74">
        <f t="shared" si="1"/>
        <v>52.48434411</v>
      </c>
      <c r="O2757" s="74" t="b">
        <v>1</v>
      </c>
    </row>
    <row r="2758" hidden="1">
      <c r="A2758" s="82"/>
      <c r="B2758" s="65" t="s">
        <v>411</v>
      </c>
      <c r="C2758" s="65" t="s">
        <v>122</v>
      </c>
      <c r="D2758" s="65" t="str">
        <f>vlookup(C2758,'Classificação p pessoal'!F:G,2,false)</f>
        <v>NP</v>
      </c>
      <c r="E2758" s="65" t="s">
        <v>1809</v>
      </c>
      <c r="F2758" s="83">
        <v>0.625</v>
      </c>
      <c r="G2758" s="83">
        <v>0.6666666666666666</v>
      </c>
      <c r="H2758" s="83">
        <v>0.041666666666666664</v>
      </c>
      <c r="I2758" s="84">
        <v>44201.0</v>
      </c>
      <c r="J2758" s="65" t="b">
        <v>1</v>
      </c>
      <c r="K2758" s="65"/>
      <c r="L2758" s="85" t="b">
        <f>IF(VLOOKUP(C2758,Projetos!A:L,12,false)=TRUE,TRUE,FALSE)</f>
        <v>1</v>
      </c>
      <c r="M2758" s="74">
        <v>52.48434411075036</v>
      </c>
      <c r="N2758" s="74">
        <f t="shared" si="1"/>
        <v>52.48434411</v>
      </c>
      <c r="O2758" s="74" t="b">
        <v>1</v>
      </c>
    </row>
    <row r="2759" hidden="1">
      <c r="A2759" s="82"/>
      <c r="B2759" s="65" t="s">
        <v>411</v>
      </c>
      <c r="C2759" s="65" t="s">
        <v>117</v>
      </c>
      <c r="D2759" s="65" t="str">
        <f>vlookup(C2759,'Classificação p pessoal'!F:G,2,false)</f>
        <v>NP</v>
      </c>
      <c r="E2759" s="65" t="s">
        <v>1810</v>
      </c>
      <c r="F2759" s="83">
        <v>0.6666666666666666</v>
      </c>
      <c r="G2759" s="83">
        <v>0.6979166666666666</v>
      </c>
      <c r="H2759" s="83">
        <v>0.03125</v>
      </c>
      <c r="I2759" s="84">
        <v>44201.0</v>
      </c>
      <c r="J2759" s="65" t="b">
        <v>1</v>
      </c>
      <c r="K2759" s="65"/>
      <c r="L2759" s="85" t="b">
        <f>IF(VLOOKUP(C2759,Projetos!A:L,12,false)=TRUE,TRUE,FALSE)</f>
        <v>1</v>
      </c>
      <c r="M2759" s="74">
        <v>52.48434411075036</v>
      </c>
      <c r="N2759" s="74">
        <f t="shared" si="1"/>
        <v>39.36325808</v>
      </c>
      <c r="O2759" s="74" t="b">
        <v>1</v>
      </c>
    </row>
    <row r="2760" hidden="1">
      <c r="A2760" s="82"/>
      <c r="B2760" s="65" t="s">
        <v>411</v>
      </c>
      <c r="C2760" s="65" t="s">
        <v>88</v>
      </c>
      <c r="D2760" s="65" t="str">
        <f>vlookup(C2760,'Classificação p pessoal'!F:G,2,false)</f>
        <v>MProduto</v>
      </c>
      <c r="E2760" s="65" t="s">
        <v>1811</v>
      </c>
      <c r="F2760" s="83">
        <v>0.6979166666666666</v>
      </c>
      <c r="G2760" s="83">
        <v>0.75</v>
      </c>
      <c r="H2760" s="83">
        <v>0.052083333333333336</v>
      </c>
      <c r="I2760" s="84">
        <v>44201.0</v>
      </c>
      <c r="J2760" s="65" t="b">
        <v>1</v>
      </c>
      <c r="K2760" s="65"/>
      <c r="L2760" s="85" t="b">
        <f>IF(VLOOKUP(C2760,Projetos!A:L,12,false)=TRUE,TRUE,FALSE)</f>
        <v>1</v>
      </c>
      <c r="M2760" s="74">
        <v>52.48434411075036</v>
      </c>
      <c r="N2760" s="74">
        <f t="shared" si="1"/>
        <v>65.60543014</v>
      </c>
      <c r="O2760" s="74" t="b">
        <v>1</v>
      </c>
    </row>
    <row r="2761" hidden="1">
      <c r="A2761" s="82"/>
      <c r="B2761" s="65" t="s">
        <v>411</v>
      </c>
      <c r="C2761" s="65" t="s">
        <v>117</v>
      </c>
      <c r="D2761" s="65" t="str">
        <f>vlookup(C2761,'Classificação p pessoal'!F:G,2,false)</f>
        <v>NP</v>
      </c>
      <c r="E2761" s="65" t="s">
        <v>1812</v>
      </c>
      <c r="F2761" s="83">
        <v>0.34375</v>
      </c>
      <c r="G2761" s="83">
        <v>0.375</v>
      </c>
      <c r="H2761" s="83">
        <v>0.03125</v>
      </c>
      <c r="I2761" s="84">
        <v>44202.0</v>
      </c>
      <c r="J2761" s="65" t="b">
        <v>1</v>
      </c>
      <c r="K2761" s="65"/>
      <c r="L2761" s="85" t="b">
        <f>IF(VLOOKUP(C2761,Projetos!A:L,12,false)=TRUE,TRUE,FALSE)</f>
        <v>1</v>
      </c>
      <c r="M2761" s="74">
        <v>52.48434411075036</v>
      </c>
      <c r="N2761" s="74">
        <f t="shared" si="1"/>
        <v>39.36325808</v>
      </c>
      <c r="O2761" s="74" t="b">
        <v>1</v>
      </c>
    </row>
    <row r="2762" hidden="1">
      <c r="A2762" s="82"/>
      <c r="B2762" s="65" t="s">
        <v>411</v>
      </c>
      <c r="C2762" s="65" t="s">
        <v>92</v>
      </c>
      <c r="D2762" s="65" t="str">
        <f>vlookup(C2762,'Classificação p pessoal'!F:G,2,false)</f>
        <v/>
      </c>
      <c r="E2762" s="65" t="s">
        <v>1813</v>
      </c>
      <c r="F2762" s="83">
        <v>0.375</v>
      </c>
      <c r="G2762" s="83">
        <v>0.3958333333333333</v>
      </c>
      <c r="H2762" s="83">
        <v>0.020833333333333332</v>
      </c>
      <c r="I2762" s="84">
        <v>44202.0</v>
      </c>
      <c r="J2762" s="65" t="b">
        <v>1</v>
      </c>
      <c r="K2762" s="65"/>
      <c r="L2762" s="85" t="b">
        <f>IF(VLOOKUP(C2762,Projetos!A:L,12,false)=TRUE,TRUE,FALSE)</f>
        <v>1</v>
      </c>
      <c r="M2762" s="74">
        <v>52.48434411075036</v>
      </c>
      <c r="N2762" s="74">
        <f t="shared" si="1"/>
        <v>26.24217206</v>
      </c>
      <c r="O2762" s="74" t="b">
        <v>1</v>
      </c>
    </row>
    <row r="2763" hidden="1">
      <c r="A2763" s="82"/>
      <c r="B2763" s="65" t="s">
        <v>411</v>
      </c>
      <c r="C2763" s="65" t="s">
        <v>127</v>
      </c>
      <c r="D2763" s="65" t="str">
        <f>vlookup(C2763,'Classificação p pessoal'!F:G,2,false)</f>
        <v>NP</v>
      </c>
      <c r="E2763" s="65" t="s">
        <v>1814</v>
      </c>
      <c r="F2763" s="83">
        <v>0.3958333333333333</v>
      </c>
      <c r="G2763" s="83">
        <v>0.5</v>
      </c>
      <c r="H2763" s="83">
        <v>0.10416666666666667</v>
      </c>
      <c r="I2763" s="84">
        <v>44202.0</v>
      </c>
      <c r="J2763" s="65" t="b">
        <v>1</v>
      </c>
      <c r="K2763" s="65"/>
      <c r="L2763" s="85" t="b">
        <f>IF(VLOOKUP(C2763,Projetos!A:L,12,false)=TRUE,TRUE,FALSE)</f>
        <v>1</v>
      </c>
      <c r="M2763" s="74">
        <v>52.48434411075036</v>
      </c>
      <c r="N2763" s="74">
        <f t="shared" si="1"/>
        <v>131.2108603</v>
      </c>
      <c r="O2763" s="74" t="b">
        <v>1</v>
      </c>
    </row>
    <row r="2764" hidden="1">
      <c r="A2764" s="82"/>
      <c r="B2764" s="65" t="s">
        <v>411</v>
      </c>
      <c r="C2764" s="65" t="s">
        <v>117</v>
      </c>
      <c r="D2764" s="65" t="str">
        <f>vlookup(C2764,'Classificação p pessoal'!F:G,2,false)</f>
        <v>NP</v>
      </c>
      <c r="E2764" s="65" t="s">
        <v>1815</v>
      </c>
      <c r="F2764" s="83">
        <v>0.5416666666666666</v>
      </c>
      <c r="G2764" s="83">
        <v>0.75</v>
      </c>
      <c r="H2764" s="83">
        <v>0.20833333333333334</v>
      </c>
      <c r="I2764" s="84">
        <v>44202.0</v>
      </c>
      <c r="J2764" s="65" t="b">
        <v>1</v>
      </c>
      <c r="K2764" s="65"/>
      <c r="L2764" s="85" t="b">
        <f>IF(VLOOKUP(C2764,Projetos!A:L,12,false)=TRUE,TRUE,FALSE)</f>
        <v>1</v>
      </c>
      <c r="M2764" s="74">
        <v>52.48434411075036</v>
      </c>
      <c r="N2764" s="74">
        <f t="shared" si="1"/>
        <v>262.4217206</v>
      </c>
      <c r="O2764" s="74" t="b">
        <v>1</v>
      </c>
    </row>
    <row r="2765" hidden="1">
      <c r="A2765" s="82"/>
      <c r="B2765" s="65" t="s">
        <v>411</v>
      </c>
      <c r="C2765" s="65" t="s">
        <v>117</v>
      </c>
      <c r="D2765" s="65" t="str">
        <f>vlookup(C2765,'Classificação p pessoal'!F:G,2,false)</f>
        <v>NP</v>
      </c>
      <c r="E2765" s="65" t="s">
        <v>1814</v>
      </c>
      <c r="F2765" s="83">
        <v>0.34375</v>
      </c>
      <c r="G2765" s="83">
        <v>0.4166666666666667</v>
      </c>
      <c r="H2765" s="83">
        <v>0.07291666666666667</v>
      </c>
      <c r="I2765" s="84">
        <v>44203.0</v>
      </c>
      <c r="J2765" s="65" t="b">
        <v>1</v>
      </c>
      <c r="K2765" s="65"/>
      <c r="L2765" s="85" t="b">
        <f>IF(VLOOKUP(C2765,Projetos!A:L,12,false)=TRUE,TRUE,FALSE)</f>
        <v>1</v>
      </c>
      <c r="M2765" s="74">
        <v>52.48434411075036</v>
      </c>
      <c r="N2765" s="74">
        <f t="shared" si="1"/>
        <v>91.84760219</v>
      </c>
      <c r="O2765" s="74" t="b">
        <v>1</v>
      </c>
    </row>
    <row r="2766" hidden="1">
      <c r="A2766" s="82"/>
      <c r="B2766" s="65" t="s">
        <v>411</v>
      </c>
      <c r="C2766" s="65" t="s">
        <v>92</v>
      </c>
      <c r="D2766" s="65" t="str">
        <f>vlookup(C2766,'Classificação p pessoal'!F:G,2,false)</f>
        <v/>
      </c>
      <c r="E2766" s="65" t="s">
        <v>1816</v>
      </c>
      <c r="F2766" s="83">
        <v>0.4166666666666667</v>
      </c>
      <c r="G2766" s="83">
        <v>0.4583333333333333</v>
      </c>
      <c r="H2766" s="83">
        <v>0.041666666666666664</v>
      </c>
      <c r="I2766" s="84">
        <v>44203.0</v>
      </c>
      <c r="J2766" s="65" t="b">
        <v>1</v>
      </c>
      <c r="K2766" s="65"/>
      <c r="L2766" s="85" t="b">
        <f>IF(VLOOKUP(C2766,Projetos!A:L,12,false)=TRUE,TRUE,FALSE)</f>
        <v>1</v>
      </c>
      <c r="M2766" s="74">
        <v>52.48434411075036</v>
      </c>
      <c r="N2766" s="74">
        <f t="shared" si="1"/>
        <v>52.48434411</v>
      </c>
      <c r="O2766" s="74" t="b">
        <v>1</v>
      </c>
    </row>
    <row r="2767" hidden="1">
      <c r="A2767" s="82"/>
      <c r="B2767" s="65" t="s">
        <v>411</v>
      </c>
      <c r="C2767" s="65" t="s">
        <v>117</v>
      </c>
      <c r="D2767" s="65" t="str">
        <f>vlookup(C2767,'Classificação p pessoal'!F:G,2,false)</f>
        <v>NP</v>
      </c>
      <c r="E2767" s="65" t="s">
        <v>1817</v>
      </c>
      <c r="F2767" s="83">
        <v>0.4583333333333333</v>
      </c>
      <c r="G2767" s="83">
        <v>0.4930555555555556</v>
      </c>
      <c r="H2767" s="83">
        <v>0.034722222222222224</v>
      </c>
      <c r="I2767" s="84">
        <v>44203.0</v>
      </c>
      <c r="J2767" s="65" t="b">
        <v>1</v>
      </c>
      <c r="K2767" s="65"/>
      <c r="L2767" s="85" t="b">
        <f>IF(VLOOKUP(C2767,Projetos!A:L,12,false)=TRUE,TRUE,FALSE)</f>
        <v>1</v>
      </c>
      <c r="M2767" s="74">
        <v>52.48434411075036</v>
      </c>
      <c r="N2767" s="74">
        <f t="shared" si="1"/>
        <v>43.73695343</v>
      </c>
      <c r="O2767" s="74" t="b">
        <v>1</v>
      </c>
    </row>
    <row r="2768" hidden="1">
      <c r="A2768" s="82"/>
      <c r="B2768" s="65" t="s">
        <v>411</v>
      </c>
      <c r="C2768" s="65" t="s">
        <v>92</v>
      </c>
      <c r="D2768" s="65"/>
      <c r="E2768" s="65" t="s">
        <v>1805</v>
      </c>
      <c r="F2768" s="83">
        <v>0.4930555555555556</v>
      </c>
      <c r="G2768" s="83">
        <v>0.5833333333333334</v>
      </c>
      <c r="H2768" s="83">
        <v>0.09027777777777778</v>
      </c>
      <c r="I2768" s="84">
        <v>44203.0</v>
      </c>
      <c r="J2768" s="65" t="b">
        <v>0</v>
      </c>
      <c r="K2768" s="65" t="s">
        <v>150</v>
      </c>
      <c r="L2768" s="85" t="b">
        <f>IF(VLOOKUP(C2768,Projetos!A:L,12,false)=TRUE,TRUE,FALSE)</f>
        <v>1</v>
      </c>
      <c r="M2768" s="74">
        <v>52.48434411075036</v>
      </c>
      <c r="N2768" s="74">
        <f t="shared" si="1"/>
        <v>0</v>
      </c>
      <c r="O2768" s="74" t="b">
        <v>1</v>
      </c>
    </row>
    <row r="2769" hidden="1">
      <c r="A2769" s="82"/>
      <c r="B2769" s="65" t="s">
        <v>411</v>
      </c>
      <c r="C2769" s="65" t="s">
        <v>132</v>
      </c>
      <c r="D2769" s="65"/>
      <c r="E2769" s="65" t="s">
        <v>1818</v>
      </c>
      <c r="F2769" s="83">
        <v>0.625</v>
      </c>
      <c r="G2769" s="83">
        <v>0.6875</v>
      </c>
      <c r="H2769" s="83">
        <v>0.0625</v>
      </c>
      <c r="I2769" s="84">
        <v>44203.0</v>
      </c>
      <c r="J2769" s="65" t="b">
        <v>1</v>
      </c>
      <c r="K2769" s="65"/>
      <c r="L2769" s="85" t="b">
        <f>IF(VLOOKUP(C2769,Projetos!A:L,12,false)=TRUE,TRUE,FALSE)</f>
        <v>0</v>
      </c>
      <c r="M2769" s="74">
        <v>52.48434411075036</v>
      </c>
      <c r="N2769" s="74">
        <f t="shared" si="1"/>
        <v>0</v>
      </c>
      <c r="O2769" s="74" t="b">
        <v>0</v>
      </c>
    </row>
    <row r="2770" hidden="1">
      <c r="A2770" s="82"/>
      <c r="B2770" s="65" t="s">
        <v>411</v>
      </c>
      <c r="C2770" s="65" t="s">
        <v>92</v>
      </c>
      <c r="D2770" s="65" t="str">
        <f>vlookup(C2770,'Classificação p pessoal'!F:G,2,false)</f>
        <v/>
      </c>
      <c r="E2770" s="65" t="s">
        <v>1808</v>
      </c>
      <c r="F2770" s="83">
        <v>0.6875</v>
      </c>
      <c r="G2770" s="83">
        <v>0.7083333333333334</v>
      </c>
      <c r="H2770" s="83">
        <v>0.020833333333333332</v>
      </c>
      <c r="I2770" s="84">
        <v>44203.0</v>
      </c>
      <c r="J2770" s="65" t="b">
        <v>1</v>
      </c>
      <c r="K2770" s="65"/>
      <c r="L2770" s="85" t="b">
        <f>IF(VLOOKUP(C2770,Projetos!A:L,12,false)=TRUE,TRUE,FALSE)</f>
        <v>1</v>
      </c>
      <c r="M2770" s="74">
        <v>52.48434411075036</v>
      </c>
      <c r="N2770" s="74">
        <f t="shared" si="1"/>
        <v>26.24217206</v>
      </c>
      <c r="O2770" s="74" t="b">
        <v>1</v>
      </c>
    </row>
    <row r="2771" hidden="1">
      <c r="A2771" s="82"/>
      <c r="B2771" s="65" t="s">
        <v>411</v>
      </c>
      <c r="C2771" s="65" t="s">
        <v>117</v>
      </c>
      <c r="D2771" s="65" t="str">
        <f>vlookup(C2771,'Classificação p pessoal'!F:G,2,false)</f>
        <v>NP</v>
      </c>
      <c r="E2771" s="65" t="s">
        <v>1815</v>
      </c>
      <c r="F2771" s="83">
        <v>0.7083333333333334</v>
      </c>
      <c r="G2771" s="83">
        <v>0.75</v>
      </c>
      <c r="H2771" s="83">
        <v>0.041666666666666664</v>
      </c>
      <c r="I2771" s="84">
        <v>44203.0</v>
      </c>
      <c r="J2771" s="65" t="b">
        <v>1</v>
      </c>
      <c r="K2771" s="65"/>
      <c r="L2771" s="85" t="b">
        <f>IF(VLOOKUP(C2771,Projetos!A:L,12,false)=TRUE,TRUE,FALSE)</f>
        <v>1</v>
      </c>
      <c r="M2771" s="74">
        <v>52.48434411075036</v>
      </c>
      <c r="N2771" s="74">
        <f t="shared" si="1"/>
        <v>52.48434411</v>
      </c>
      <c r="O2771" s="74" t="b">
        <v>1</v>
      </c>
    </row>
    <row r="2772" hidden="1">
      <c r="A2772" s="82"/>
      <c r="B2772" s="65" t="s">
        <v>411</v>
      </c>
      <c r="C2772" s="65" t="s">
        <v>92</v>
      </c>
      <c r="D2772" s="65" t="str">
        <f>vlookup(C2772,'Classificação p pessoal'!F:G,2,false)</f>
        <v/>
      </c>
      <c r="E2772" s="65" t="s">
        <v>1819</v>
      </c>
      <c r="F2772" s="83">
        <v>0.34375</v>
      </c>
      <c r="G2772" s="83">
        <v>0.4375</v>
      </c>
      <c r="H2772" s="83">
        <v>0.09375</v>
      </c>
      <c r="I2772" s="84">
        <v>44204.0</v>
      </c>
      <c r="J2772" s="65" t="b">
        <v>1</v>
      </c>
      <c r="K2772" s="65"/>
      <c r="L2772" s="85" t="b">
        <f>IF(VLOOKUP(C2772,Projetos!A:L,12,false)=TRUE,TRUE,FALSE)</f>
        <v>1</v>
      </c>
      <c r="M2772" s="74">
        <v>52.48434411075036</v>
      </c>
      <c r="N2772" s="74">
        <f t="shared" si="1"/>
        <v>118.0897742</v>
      </c>
      <c r="O2772" s="74" t="b">
        <v>1</v>
      </c>
    </row>
    <row r="2773" hidden="1">
      <c r="A2773" s="82"/>
      <c r="B2773" s="65" t="s">
        <v>411</v>
      </c>
      <c r="C2773" s="65" t="s">
        <v>117</v>
      </c>
      <c r="D2773" s="65" t="str">
        <f>vlookup(C2773,'Classificação p pessoal'!F:G,2,false)</f>
        <v>NP</v>
      </c>
      <c r="E2773" s="65" t="s">
        <v>1820</v>
      </c>
      <c r="F2773" s="83">
        <v>0.4375</v>
      </c>
      <c r="G2773" s="83">
        <v>0.4791666666666667</v>
      </c>
      <c r="H2773" s="83">
        <v>0.041666666666666664</v>
      </c>
      <c r="I2773" s="84">
        <v>44204.0</v>
      </c>
      <c r="J2773" s="65" t="b">
        <v>1</v>
      </c>
      <c r="K2773" s="65"/>
      <c r="L2773" s="85" t="b">
        <f>IF(VLOOKUP(C2773,Projetos!A:L,12,false)=TRUE,TRUE,FALSE)</f>
        <v>1</v>
      </c>
      <c r="M2773" s="74">
        <v>52.48434411075036</v>
      </c>
      <c r="N2773" s="74">
        <f t="shared" si="1"/>
        <v>52.48434411</v>
      </c>
      <c r="O2773" s="74" t="b">
        <v>1</v>
      </c>
    </row>
    <row r="2774" hidden="1">
      <c r="A2774" s="82"/>
      <c r="B2774" s="65" t="s">
        <v>411</v>
      </c>
      <c r="C2774" s="65" t="s">
        <v>130</v>
      </c>
      <c r="D2774" s="65" t="str">
        <f>vlookup(C2774,'Classificação p pessoal'!F:G,2,false)</f>
        <v>NP</v>
      </c>
      <c r="E2774" s="65" t="s">
        <v>1821</v>
      </c>
      <c r="F2774" s="83">
        <v>0.4791666666666667</v>
      </c>
      <c r="G2774" s="83">
        <v>0.5</v>
      </c>
      <c r="H2774" s="83">
        <v>0.020833333333333332</v>
      </c>
      <c r="I2774" s="84">
        <v>44204.0</v>
      </c>
      <c r="J2774" s="65" t="b">
        <v>1</v>
      </c>
      <c r="K2774" s="65"/>
      <c r="L2774" s="85" t="b">
        <f>IF(VLOOKUP(C2774,Projetos!A:L,12,false)=TRUE,TRUE,FALSE)</f>
        <v>1</v>
      </c>
      <c r="M2774" s="74">
        <v>52.48434411075036</v>
      </c>
      <c r="N2774" s="74">
        <f t="shared" si="1"/>
        <v>26.24217206</v>
      </c>
      <c r="O2774" s="74" t="b">
        <v>1</v>
      </c>
    </row>
    <row r="2775" hidden="1">
      <c r="A2775" s="82"/>
      <c r="B2775" s="65" t="s">
        <v>411</v>
      </c>
      <c r="C2775" s="65" t="s">
        <v>127</v>
      </c>
      <c r="D2775" s="65" t="str">
        <f>vlookup(C2775,'Classificação p pessoal'!F:G,2,false)</f>
        <v>NP</v>
      </c>
      <c r="E2775" s="65" t="s">
        <v>1822</v>
      </c>
      <c r="F2775" s="83">
        <v>0.5416666666666666</v>
      </c>
      <c r="G2775" s="83">
        <v>0.6041666666666666</v>
      </c>
      <c r="H2775" s="83">
        <v>0.0625</v>
      </c>
      <c r="I2775" s="84">
        <v>44204.0</v>
      </c>
      <c r="J2775" s="65" t="b">
        <v>1</v>
      </c>
      <c r="K2775" s="65"/>
      <c r="L2775" s="85" t="b">
        <f>IF(VLOOKUP(C2775,Projetos!A:L,12,false)=TRUE,TRUE,FALSE)</f>
        <v>1</v>
      </c>
      <c r="M2775" s="74">
        <v>52.48434411075036</v>
      </c>
      <c r="N2775" s="74">
        <f t="shared" si="1"/>
        <v>78.72651617</v>
      </c>
      <c r="O2775" s="74" t="b">
        <v>1</v>
      </c>
    </row>
    <row r="2776" hidden="1">
      <c r="A2776" s="82"/>
      <c r="B2776" s="65" t="s">
        <v>411</v>
      </c>
      <c r="C2776" s="65" t="s">
        <v>92</v>
      </c>
      <c r="D2776" s="65" t="str">
        <f>vlookup(C2776,'Classificação p pessoal'!F:G,2,false)</f>
        <v/>
      </c>
      <c r="E2776" s="65" t="s">
        <v>1823</v>
      </c>
      <c r="F2776" s="83">
        <v>0.6041666666666666</v>
      </c>
      <c r="G2776" s="83">
        <v>0.75</v>
      </c>
      <c r="H2776" s="83">
        <v>0.14583333333333334</v>
      </c>
      <c r="I2776" s="84">
        <v>44204.0</v>
      </c>
      <c r="J2776" s="65" t="b">
        <v>1</v>
      </c>
      <c r="K2776" s="65"/>
      <c r="L2776" s="85" t="b">
        <f>IF(VLOOKUP(C2776,Projetos!A:L,12,false)=TRUE,TRUE,FALSE)</f>
        <v>1</v>
      </c>
      <c r="M2776" s="74">
        <v>52.48434411075036</v>
      </c>
      <c r="N2776" s="74">
        <f t="shared" si="1"/>
        <v>183.6952044</v>
      </c>
      <c r="O2776" s="74" t="b">
        <v>1</v>
      </c>
    </row>
    <row r="2777" hidden="1">
      <c r="A2777" s="82"/>
      <c r="B2777" s="65" t="s">
        <v>411</v>
      </c>
      <c r="C2777" s="65" t="s">
        <v>92</v>
      </c>
      <c r="D2777" s="65" t="str">
        <f>vlookup(C2777,'Classificação p pessoal'!F:G,2,false)</f>
        <v/>
      </c>
      <c r="E2777" s="65" t="s">
        <v>1824</v>
      </c>
      <c r="F2777" s="83">
        <v>0.34375</v>
      </c>
      <c r="G2777" s="83">
        <v>0.375</v>
      </c>
      <c r="H2777" s="83">
        <v>0.03125</v>
      </c>
      <c r="I2777" s="84">
        <v>44208.0</v>
      </c>
      <c r="J2777" s="65" t="b">
        <v>1</v>
      </c>
      <c r="K2777" s="65"/>
      <c r="L2777" s="85" t="b">
        <f>IF(VLOOKUP(C2777,Projetos!A:L,12,false)=TRUE,TRUE,FALSE)</f>
        <v>1</v>
      </c>
      <c r="M2777" s="74">
        <v>52.48434411075036</v>
      </c>
      <c r="N2777" s="74">
        <f t="shared" si="1"/>
        <v>39.36325808</v>
      </c>
      <c r="O2777" s="74" t="b">
        <v>1</v>
      </c>
    </row>
    <row r="2778" hidden="1">
      <c r="A2778" s="82"/>
      <c r="B2778" s="65" t="s">
        <v>411</v>
      </c>
      <c r="C2778" s="65" t="s">
        <v>130</v>
      </c>
      <c r="D2778" s="65" t="str">
        <f>vlookup(C2778,'Classificação p pessoal'!F:G,2,false)</f>
        <v>NP</v>
      </c>
      <c r="E2778" s="65" t="s">
        <v>1821</v>
      </c>
      <c r="F2778" s="83">
        <v>0.375</v>
      </c>
      <c r="G2778" s="83">
        <v>0.3854166666666667</v>
      </c>
      <c r="H2778" s="83">
        <v>0.010416666666666666</v>
      </c>
      <c r="I2778" s="84">
        <v>44208.0</v>
      </c>
      <c r="J2778" s="65" t="b">
        <v>1</v>
      </c>
      <c r="K2778" s="65"/>
      <c r="L2778" s="85" t="b">
        <f>IF(VLOOKUP(C2778,Projetos!A:L,12,false)=TRUE,TRUE,FALSE)</f>
        <v>1</v>
      </c>
      <c r="M2778" s="74">
        <v>52.48434411075036</v>
      </c>
      <c r="N2778" s="74">
        <f t="shared" si="1"/>
        <v>13.12108603</v>
      </c>
      <c r="O2778" s="74" t="b">
        <v>1</v>
      </c>
    </row>
    <row r="2779" hidden="1">
      <c r="A2779" s="82"/>
      <c r="B2779" s="65" t="s">
        <v>411</v>
      </c>
      <c r="C2779" s="65" t="s">
        <v>152</v>
      </c>
      <c r="D2779" s="65" t="str">
        <f>vlookup(C2779,'Classificação p pessoal'!F:G,2,false)</f>
        <v>MProduto</v>
      </c>
      <c r="E2779" s="65" t="s">
        <v>1825</v>
      </c>
      <c r="F2779" s="83">
        <v>0.3854166666666667</v>
      </c>
      <c r="G2779" s="83">
        <v>0.40625</v>
      </c>
      <c r="H2779" s="83">
        <v>0.020833333333333332</v>
      </c>
      <c r="I2779" s="84">
        <v>44208.0</v>
      </c>
      <c r="J2779" s="65" t="b">
        <v>1</v>
      </c>
      <c r="K2779" s="65"/>
      <c r="L2779" s="85" t="b">
        <f>IF(VLOOKUP(C2779,Projetos!A:L,12,false)=TRUE,TRUE,FALSE)</f>
        <v>1</v>
      </c>
      <c r="M2779" s="74">
        <v>52.48434411075036</v>
      </c>
      <c r="N2779" s="74">
        <f t="shared" si="1"/>
        <v>26.24217206</v>
      </c>
      <c r="O2779" s="74" t="b">
        <v>1</v>
      </c>
    </row>
    <row r="2780" hidden="1">
      <c r="A2780" s="82"/>
      <c r="B2780" s="65" t="s">
        <v>411</v>
      </c>
      <c r="C2780" s="65" t="s">
        <v>117</v>
      </c>
      <c r="D2780" s="65" t="str">
        <f>vlookup(C2780,'Classificação p pessoal'!F:G,2,false)</f>
        <v>NP</v>
      </c>
      <c r="E2780" s="65" t="s">
        <v>1826</v>
      </c>
      <c r="F2780" s="83">
        <v>0.40625</v>
      </c>
      <c r="G2780" s="83">
        <v>0.4583333333333333</v>
      </c>
      <c r="H2780" s="83">
        <v>0.052083333333333336</v>
      </c>
      <c r="I2780" s="84">
        <v>44208.0</v>
      </c>
      <c r="J2780" s="65" t="b">
        <v>1</v>
      </c>
      <c r="K2780" s="65"/>
      <c r="L2780" s="85" t="b">
        <f>IF(VLOOKUP(C2780,Projetos!A:L,12,false)=TRUE,TRUE,FALSE)</f>
        <v>1</v>
      </c>
      <c r="M2780" s="74">
        <v>52.48434411075036</v>
      </c>
      <c r="N2780" s="74">
        <f t="shared" si="1"/>
        <v>65.60543014</v>
      </c>
      <c r="O2780" s="74" t="b">
        <v>1</v>
      </c>
    </row>
    <row r="2781" hidden="1">
      <c r="A2781" s="82"/>
      <c r="B2781" s="65" t="s">
        <v>411</v>
      </c>
      <c r="C2781" s="65" t="s">
        <v>88</v>
      </c>
      <c r="D2781" s="65" t="str">
        <f>vlookup(C2781,'Classificação p pessoal'!F:G,2,false)</f>
        <v>MProduto</v>
      </c>
      <c r="E2781" s="65" t="s">
        <v>1827</v>
      </c>
      <c r="F2781" s="83">
        <v>0.4583333333333333</v>
      </c>
      <c r="G2781" s="83">
        <v>0.5208333333333334</v>
      </c>
      <c r="H2781" s="83">
        <v>0.0625</v>
      </c>
      <c r="I2781" s="84">
        <v>44208.0</v>
      </c>
      <c r="J2781" s="65" t="b">
        <v>1</v>
      </c>
      <c r="K2781" s="65"/>
      <c r="L2781" s="85" t="b">
        <f>IF(VLOOKUP(C2781,Projetos!A:L,12,false)=TRUE,TRUE,FALSE)</f>
        <v>1</v>
      </c>
      <c r="M2781" s="74">
        <v>52.48434411075036</v>
      </c>
      <c r="N2781" s="74">
        <f t="shared" si="1"/>
        <v>78.72651617</v>
      </c>
      <c r="O2781" s="74" t="b">
        <v>1</v>
      </c>
    </row>
    <row r="2782" hidden="1">
      <c r="A2782" s="82"/>
      <c r="B2782" s="65" t="s">
        <v>411</v>
      </c>
      <c r="C2782" s="65" t="s">
        <v>92</v>
      </c>
      <c r="D2782" s="65" t="str">
        <f>vlookup(C2782,'Classificação p pessoal'!F:G,2,false)</f>
        <v/>
      </c>
      <c r="E2782" s="65" t="s">
        <v>1828</v>
      </c>
      <c r="F2782" s="83">
        <v>0.5208333333333334</v>
      </c>
      <c r="G2782" s="83">
        <v>0.5833333333333334</v>
      </c>
      <c r="H2782" s="83">
        <v>0.0625</v>
      </c>
      <c r="I2782" s="84">
        <v>44208.0</v>
      </c>
      <c r="J2782" s="65" t="b">
        <v>1</v>
      </c>
      <c r="K2782" s="65"/>
      <c r="L2782" s="85" t="b">
        <f>IF(VLOOKUP(C2782,Projetos!A:L,12,false)=TRUE,TRUE,FALSE)</f>
        <v>1</v>
      </c>
      <c r="M2782" s="74">
        <v>52.48434411075036</v>
      </c>
      <c r="N2782" s="74">
        <f t="shared" si="1"/>
        <v>78.72651617</v>
      </c>
      <c r="O2782" s="74" t="b">
        <v>1</v>
      </c>
    </row>
    <row r="2783" hidden="1">
      <c r="A2783" s="82"/>
      <c r="B2783" s="65" t="s">
        <v>411</v>
      </c>
      <c r="C2783" s="65" t="s">
        <v>119</v>
      </c>
      <c r="D2783" s="65" t="str">
        <f>vlookup(C2783,'Classificação p pessoal'!F:G,2,false)</f>
        <v>NP</v>
      </c>
      <c r="E2783" s="65" t="s">
        <v>1829</v>
      </c>
      <c r="F2783" s="83">
        <v>0.4791666666666667</v>
      </c>
      <c r="G2783" s="83">
        <v>0.5416666666666666</v>
      </c>
      <c r="H2783" s="83">
        <v>0.0625</v>
      </c>
      <c r="I2783" s="84">
        <v>44370.0</v>
      </c>
      <c r="J2783" s="65" t="b">
        <v>1</v>
      </c>
      <c r="K2783" s="65"/>
      <c r="L2783" s="85" t="b">
        <f>IF(VLOOKUP(C2783,Projetos!A:L,12,false)=TRUE,TRUE,FALSE)</f>
        <v>1</v>
      </c>
      <c r="M2783" s="74">
        <v>52.48434411075036</v>
      </c>
      <c r="N2783" s="74">
        <f t="shared" si="1"/>
        <v>78.72651617</v>
      </c>
      <c r="O2783" s="74" t="b">
        <v>1</v>
      </c>
    </row>
    <row r="2784" hidden="1">
      <c r="A2784" s="82"/>
      <c r="B2784" s="65" t="s">
        <v>411</v>
      </c>
      <c r="C2784" s="65" t="s">
        <v>132</v>
      </c>
      <c r="D2784" s="65"/>
      <c r="E2784" s="65" t="s">
        <v>1830</v>
      </c>
      <c r="F2784" s="83">
        <v>0.6875</v>
      </c>
      <c r="G2784" s="83">
        <v>0.75</v>
      </c>
      <c r="H2784" s="83">
        <v>0.0625</v>
      </c>
      <c r="I2784" s="84">
        <v>44208.0</v>
      </c>
      <c r="J2784" s="65" t="b">
        <v>1</v>
      </c>
      <c r="K2784" s="65"/>
      <c r="L2784" s="85" t="b">
        <f>IF(VLOOKUP(C2784,Projetos!A:L,12,false)=TRUE,TRUE,FALSE)</f>
        <v>0</v>
      </c>
      <c r="M2784" s="74">
        <v>52.48434411075036</v>
      </c>
      <c r="N2784" s="74">
        <f t="shared" si="1"/>
        <v>0</v>
      </c>
      <c r="O2784" s="74" t="b">
        <v>0</v>
      </c>
    </row>
    <row r="2785" hidden="1">
      <c r="A2785" s="82"/>
      <c r="B2785" s="65" t="s">
        <v>411</v>
      </c>
      <c r="C2785" s="65" t="s">
        <v>117</v>
      </c>
      <c r="D2785" s="65" t="str">
        <f>vlookup(C2785,'Classificação p pessoal'!F:G,2,false)</f>
        <v>NP</v>
      </c>
      <c r="E2785" s="65" t="s">
        <v>1831</v>
      </c>
      <c r="F2785" s="83">
        <v>0.34375</v>
      </c>
      <c r="G2785" s="83">
        <v>0.4270833333333333</v>
      </c>
      <c r="H2785" s="83">
        <v>0.08333333333333333</v>
      </c>
      <c r="I2785" s="84">
        <v>44209.0</v>
      </c>
      <c r="J2785" s="65" t="b">
        <v>1</v>
      </c>
      <c r="K2785" s="65"/>
      <c r="L2785" s="85" t="b">
        <f>IF(VLOOKUP(C2785,Projetos!A:L,12,false)=TRUE,TRUE,FALSE)</f>
        <v>1</v>
      </c>
      <c r="M2785" s="74">
        <v>52.48434411075036</v>
      </c>
      <c r="N2785" s="74">
        <f t="shared" si="1"/>
        <v>104.9686882</v>
      </c>
      <c r="O2785" s="74" t="b">
        <v>1</v>
      </c>
    </row>
    <row r="2786" hidden="1">
      <c r="A2786" s="82"/>
      <c r="B2786" s="65" t="s">
        <v>411</v>
      </c>
      <c r="C2786" s="65" t="s">
        <v>92</v>
      </c>
      <c r="D2786" s="65" t="str">
        <f>vlookup(C2786,'Classificação p pessoal'!F:G,2,false)</f>
        <v/>
      </c>
      <c r="E2786" s="65" t="s">
        <v>1832</v>
      </c>
      <c r="F2786" s="83">
        <v>0.4375</v>
      </c>
      <c r="G2786" s="83">
        <v>0.5</v>
      </c>
      <c r="H2786" s="83">
        <v>0.0625</v>
      </c>
      <c r="I2786" s="84">
        <v>44209.0</v>
      </c>
      <c r="J2786" s="65" t="b">
        <v>1</v>
      </c>
      <c r="K2786" s="65"/>
      <c r="L2786" s="85" t="b">
        <f>IF(VLOOKUP(C2786,Projetos!A:L,12,false)=TRUE,TRUE,FALSE)</f>
        <v>1</v>
      </c>
      <c r="M2786" s="74">
        <v>52.48434411075036</v>
      </c>
      <c r="N2786" s="74">
        <f t="shared" si="1"/>
        <v>78.72651617</v>
      </c>
      <c r="O2786" s="74" t="b">
        <v>1</v>
      </c>
    </row>
    <row r="2787" hidden="1">
      <c r="A2787" s="82"/>
      <c r="B2787" s="65" t="s">
        <v>411</v>
      </c>
      <c r="C2787" s="65" t="s">
        <v>132</v>
      </c>
      <c r="D2787" s="65"/>
      <c r="E2787" s="65" t="s">
        <v>1833</v>
      </c>
      <c r="F2787" s="83">
        <v>0.5</v>
      </c>
      <c r="G2787" s="83">
        <v>0.5208333333333334</v>
      </c>
      <c r="H2787" s="83">
        <v>0.020833333333333332</v>
      </c>
      <c r="I2787" s="84">
        <v>44209.0</v>
      </c>
      <c r="J2787" s="65" t="b">
        <v>1</v>
      </c>
      <c r="K2787" s="65"/>
      <c r="L2787" s="85" t="b">
        <f>IF(VLOOKUP(C2787,Projetos!A:L,12,false)=TRUE,TRUE,FALSE)</f>
        <v>0</v>
      </c>
      <c r="M2787" s="74">
        <v>52.48434411075036</v>
      </c>
      <c r="N2787" s="74">
        <f t="shared" si="1"/>
        <v>0</v>
      </c>
      <c r="O2787" s="74" t="b">
        <v>0</v>
      </c>
    </row>
    <row r="2788" hidden="1">
      <c r="A2788" s="82"/>
      <c r="B2788" s="65" t="s">
        <v>411</v>
      </c>
      <c r="C2788" s="65" t="s">
        <v>92</v>
      </c>
      <c r="D2788" s="65" t="str">
        <f>vlookup(C2788,'Classificação p pessoal'!F:G,2,false)</f>
        <v/>
      </c>
      <c r="E2788" s="65" t="s">
        <v>1834</v>
      </c>
      <c r="F2788" s="83">
        <v>0.5625</v>
      </c>
      <c r="G2788" s="83">
        <v>0.7291666666666666</v>
      </c>
      <c r="H2788" s="83">
        <v>0.16666666666666666</v>
      </c>
      <c r="I2788" s="84">
        <v>44209.0</v>
      </c>
      <c r="J2788" s="65" t="b">
        <v>1</v>
      </c>
      <c r="K2788" s="65"/>
      <c r="L2788" s="85" t="b">
        <f>IF(VLOOKUP(C2788,Projetos!A:L,12,false)=TRUE,TRUE,FALSE)</f>
        <v>1</v>
      </c>
      <c r="M2788" s="74">
        <v>52.48434411075036</v>
      </c>
      <c r="N2788" s="74">
        <f t="shared" si="1"/>
        <v>209.9373764</v>
      </c>
      <c r="O2788" s="74" t="b">
        <v>1</v>
      </c>
    </row>
    <row r="2789" hidden="1">
      <c r="A2789" s="82"/>
      <c r="B2789" s="65" t="s">
        <v>411</v>
      </c>
      <c r="C2789" s="65" t="s">
        <v>117</v>
      </c>
      <c r="D2789" s="65" t="str">
        <f>vlookup(C2789,'Classificação p pessoal'!F:G,2,false)</f>
        <v>NP</v>
      </c>
      <c r="E2789" s="65" t="s">
        <v>1835</v>
      </c>
      <c r="F2789" s="83">
        <v>0.7291666666666666</v>
      </c>
      <c r="G2789" s="83">
        <v>0.75</v>
      </c>
      <c r="H2789" s="83">
        <v>0.020833333333333332</v>
      </c>
      <c r="I2789" s="84">
        <v>44209.0</v>
      </c>
      <c r="J2789" s="65" t="b">
        <v>1</v>
      </c>
      <c r="K2789" s="65"/>
      <c r="L2789" s="85" t="b">
        <f>IF(VLOOKUP(C2789,Projetos!A:L,12,false)=TRUE,TRUE,FALSE)</f>
        <v>1</v>
      </c>
      <c r="M2789" s="74">
        <v>52.48434411075036</v>
      </c>
      <c r="N2789" s="74">
        <f t="shared" si="1"/>
        <v>26.24217206</v>
      </c>
      <c r="O2789" s="74" t="b">
        <v>1</v>
      </c>
    </row>
    <row r="2790" hidden="1">
      <c r="A2790" s="82"/>
      <c r="B2790" s="65" t="s">
        <v>411</v>
      </c>
      <c r="C2790" s="65" t="s">
        <v>88</v>
      </c>
      <c r="D2790" s="65" t="str">
        <f>vlookup(C2790,'Classificação p pessoal'!F:G,2,false)</f>
        <v>MProduto</v>
      </c>
      <c r="E2790" s="65" t="s">
        <v>1836</v>
      </c>
      <c r="F2790" s="83">
        <v>0.34375</v>
      </c>
      <c r="G2790" s="83">
        <v>0.4166666666666667</v>
      </c>
      <c r="H2790" s="83">
        <v>0.07291666666666667</v>
      </c>
      <c r="I2790" s="84">
        <v>44210.0</v>
      </c>
      <c r="J2790" s="65" t="b">
        <v>1</v>
      </c>
      <c r="K2790" s="65"/>
      <c r="L2790" s="85" t="b">
        <f>IF(VLOOKUP(C2790,Projetos!A:L,12,false)=TRUE,TRUE,FALSE)</f>
        <v>1</v>
      </c>
      <c r="M2790" s="74">
        <v>52.48434411075036</v>
      </c>
      <c r="N2790" s="74">
        <f t="shared" si="1"/>
        <v>91.84760219</v>
      </c>
      <c r="O2790" s="74" t="b">
        <v>1</v>
      </c>
    </row>
    <row r="2791" hidden="1">
      <c r="A2791" s="82"/>
      <c r="B2791" s="65" t="s">
        <v>411</v>
      </c>
      <c r="C2791" s="65" t="s">
        <v>92</v>
      </c>
      <c r="D2791" s="65"/>
      <c r="E2791" s="65" t="s">
        <v>1837</v>
      </c>
      <c r="F2791" s="83">
        <v>0.4166666666666667</v>
      </c>
      <c r="G2791" s="83">
        <v>0.4375</v>
      </c>
      <c r="H2791" s="83">
        <v>0.020833333333333332</v>
      </c>
      <c r="I2791" s="84">
        <v>44210.0</v>
      </c>
      <c r="J2791" s="65" t="b">
        <v>0</v>
      </c>
      <c r="K2791" s="65" t="s">
        <v>150</v>
      </c>
      <c r="L2791" s="85" t="b">
        <f>IF(VLOOKUP(C2791,Projetos!A:L,12,false)=TRUE,TRUE,FALSE)</f>
        <v>1</v>
      </c>
      <c r="M2791" s="74">
        <v>52.48434411075036</v>
      </c>
      <c r="N2791" s="74">
        <f t="shared" si="1"/>
        <v>0</v>
      </c>
      <c r="O2791" s="74" t="b">
        <v>1</v>
      </c>
    </row>
    <row r="2792" hidden="1">
      <c r="A2792" s="82"/>
      <c r="B2792" s="65" t="s">
        <v>411</v>
      </c>
      <c r="C2792" s="65" t="s">
        <v>132</v>
      </c>
      <c r="D2792" s="65"/>
      <c r="E2792" s="65" t="s">
        <v>1838</v>
      </c>
      <c r="F2792" s="83">
        <v>0.4375</v>
      </c>
      <c r="G2792" s="83">
        <v>0.4583333333333333</v>
      </c>
      <c r="H2792" s="83">
        <v>0.020833333333333332</v>
      </c>
      <c r="I2792" s="84">
        <v>44210.0</v>
      </c>
      <c r="J2792" s="65" t="b">
        <v>1</v>
      </c>
      <c r="K2792" s="65"/>
      <c r="L2792" s="85" t="b">
        <f>IF(VLOOKUP(C2792,Projetos!A:L,12,false)=TRUE,TRUE,FALSE)</f>
        <v>0</v>
      </c>
      <c r="M2792" s="74">
        <v>52.48434411075036</v>
      </c>
      <c r="N2792" s="74">
        <f t="shared" si="1"/>
        <v>0</v>
      </c>
      <c r="O2792" s="74" t="b">
        <v>0</v>
      </c>
    </row>
    <row r="2793" hidden="1">
      <c r="A2793" s="82"/>
      <c r="B2793" s="65" t="s">
        <v>411</v>
      </c>
      <c r="C2793" s="65" t="s">
        <v>127</v>
      </c>
      <c r="D2793" s="65" t="str">
        <f>vlookup(C2793,'Classificação p pessoal'!F:G,2,false)</f>
        <v>NP</v>
      </c>
      <c r="E2793" s="65" t="s">
        <v>1839</v>
      </c>
      <c r="F2793" s="83">
        <v>0.4583333333333333</v>
      </c>
      <c r="G2793" s="83">
        <v>0.5416666666666666</v>
      </c>
      <c r="H2793" s="83">
        <v>0.08333333333333333</v>
      </c>
      <c r="I2793" s="84">
        <v>44210.0</v>
      </c>
      <c r="J2793" s="65" t="b">
        <v>1</v>
      </c>
      <c r="K2793" s="65"/>
      <c r="L2793" s="85" t="b">
        <f>IF(VLOOKUP(C2793,Projetos!A:L,12,false)=TRUE,TRUE,FALSE)</f>
        <v>1</v>
      </c>
      <c r="M2793" s="74">
        <v>52.48434411075036</v>
      </c>
      <c r="N2793" s="74">
        <f t="shared" si="1"/>
        <v>104.9686882</v>
      </c>
      <c r="O2793" s="74" t="b">
        <v>1</v>
      </c>
    </row>
    <row r="2794" hidden="1">
      <c r="A2794" s="82"/>
      <c r="B2794" s="65" t="s">
        <v>411</v>
      </c>
      <c r="C2794" s="65" t="s">
        <v>127</v>
      </c>
      <c r="D2794" s="65" t="str">
        <f>vlookup(C2794,'Classificação p pessoal'!F:G,2,false)</f>
        <v>NP</v>
      </c>
      <c r="E2794" s="65" t="s">
        <v>1840</v>
      </c>
      <c r="F2794" s="83">
        <v>0.5833333333333334</v>
      </c>
      <c r="G2794" s="83">
        <v>0.6458333333333334</v>
      </c>
      <c r="H2794" s="83">
        <v>0.0625</v>
      </c>
      <c r="I2794" s="84">
        <v>44210.0</v>
      </c>
      <c r="J2794" s="65" t="b">
        <v>1</v>
      </c>
      <c r="K2794" s="65"/>
      <c r="L2794" s="85" t="b">
        <f>IF(VLOOKUP(C2794,Projetos!A:L,12,false)=TRUE,TRUE,FALSE)</f>
        <v>1</v>
      </c>
      <c r="M2794" s="74">
        <v>52.48434411075036</v>
      </c>
      <c r="N2794" s="74">
        <f t="shared" si="1"/>
        <v>78.72651617</v>
      </c>
      <c r="O2794" s="74" t="b">
        <v>1</v>
      </c>
    </row>
    <row r="2795" hidden="1">
      <c r="A2795" s="82"/>
      <c r="B2795" s="65" t="s">
        <v>411</v>
      </c>
      <c r="C2795" s="65" t="s">
        <v>117</v>
      </c>
      <c r="D2795" s="65" t="str">
        <f>vlookup(C2795,'Classificação p pessoal'!F:G,2,false)</f>
        <v>NP</v>
      </c>
      <c r="E2795" s="65" t="s">
        <v>1841</v>
      </c>
      <c r="F2795" s="83">
        <v>0.6458333333333334</v>
      </c>
      <c r="G2795" s="83">
        <v>0.75</v>
      </c>
      <c r="H2795" s="83">
        <v>0.10416666666666667</v>
      </c>
      <c r="I2795" s="84">
        <v>44210.0</v>
      </c>
      <c r="J2795" s="65" t="b">
        <v>1</v>
      </c>
      <c r="K2795" s="65"/>
      <c r="L2795" s="85" t="b">
        <f>IF(VLOOKUP(C2795,Projetos!A:L,12,false)=TRUE,TRUE,FALSE)</f>
        <v>1</v>
      </c>
      <c r="M2795" s="74">
        <v>52.48434411075036</v>
      </c>
      <c r="N2795" s="74">
        <f t="shared" si="1"/>
        <v>131.2108603</v>
      </c>
      <c r="O2795" s="74" t="b">
        <v>1</v>
      </c>
    </row>
    <row r="2796" hidden="1">
      <c r="A2796" s="82"/>
      <c r="B2796" s="65" t="s">
        <v>411</v>
      </c>
      <c r="C2796" s="65" t="s">
        <v>92</v>
      </c>
      <c r="D2796" s="65" t="str">
        <f>vlookup(C2796,'Classificação p pessoal'!F:G,2,false)</f>
        <v/>
      </c>
      <c r="E2796" s="65" t="s">
        <v>1842</v>
      </c>
      <c r="F2796" s="83">
        <v>0.34375</v>
      </c>
      <c r="G2796" s="83">
        <v>0.4166666666666667</v>
      </c>
      <c r="H2796" s="83">
        <v>0.07291666666666667</v>
      </c>
      <c r="I2796" s="84">
        <v>44211.0</v>
      </c>
      <c r="J2796" s="65" t="b">
        <v>1</v>
      </c>
      <c r="K2796" s="65"/>
      <c r="L2796" s="85" t="b">
        <f>IF(VLOOKUP(C2796,Projetos!A:L,12,false)=TRUE,TRUE,FALSE)</f>
        <v>1</v>
      </c>
      <c r="M2796" s="74">
        <v>52.48434411075036</v>
      </c>
      <c r="N2796" s="74">
        <f t="shared" si="1"/>
        <v>91.84760219</v>
      </c>
      <c r="O2796" s="74" t="b">
        <v>1</v>
      </c>
    </row>
    <row r="2797" hidden="1">
      <c r="A2797" s="82"/>
      <c r="B2797" s="65" t="s">
        <v>411</v>
      </c>
      <c r="C2797" s="65" t="s">
        <v>92</v>
      </c>
      <c r="D2797" s="65" t="str">
        <f>vlookup(C2797,'Classificação p pessoal'!F:G,2,false)</f>
        <v/>
      </c>
      <c r="E2797" s="65" t="s">
        <v>1843</v>
      </c>
      <c r="F2797" s="83">
        <v>0.4166666666666667</v>
      </c>
      <c r="G2797" s="83">
        <v>0.4375</v>
      </c>
      <c r="H2797" s="83">
        <v>0.020833333333333332</v>
      </c>
      <c r="I2797" s="84">
        <v>44211.0</v>
      </c>
      <c r="J2797" s="65" t="b">
        <v>1</v>
      </c>
      <c r="K2797" s="65"/>
      <c r="L2797" s="85" t="b">
        <f>IF(VLOOKUP(C2797,Projetos!A:L,12,false)=TRUE,TRUE,FALSE)</f>
        <v>1</v>
      </c>
      <c r="M2797" s="74">
        <v>52.48434411075036</v>
      </c>
      <c r="N2797" s="74">
        <f t="shared" si="1"/>
        <v>26.24217206</v>
      </c>
      <c r="O2797" s="74" t="b">
        <v>1</v>
      </c>
    </row>
    <row r="2798" hidden="1">
      <c r="A2798" s="82"/>
      <c r="B2798" s="65" t="s">
        <v>411</v>
      </c>
      <c r="C2798" s="65" t="s">
        <v>117</v>
      </c>
      <c r="D2798" s="65" t="str">
        <f>vlookup(C2798,'Classificação p pessoal'!F:G,2,false)</f>
        <v>NP</v>
      </c>
      <c r="E2798" s="65" t="s">
        <v>1844</v>
      </c>
      <c r="F2798" s="83">
        <v>0.4375</v>
      </c>
      <c r="G2798" s="83">
        <v>0.5</v>
      </c>
      <c r="H2798" s="83">
        <v>0.0625</v>
      </c>
      <c r="I2798" s="84">
        <v>44211.0</v>
      </c>
      <c r="J2798" s="65" t="b">
        <v>1</v>
      </c>
      <c r="K2798" s="65"/>
      <c r="L2798" s="85" t="b">
        <f>IF(VLOOKUP(C2798,Projetos!A:L,12,false)=TRUE,TRUE,FALSE)</f>
        <v>1</v>
      </c>
      <c r="M2798" s="74">
        <v>52.48434411075036</v>
      </c>
      <c r="N2798" s="74">
        <f t="shared" si="1"/>
        <v>78.72651617</v>
      </c>
      <c r="O2798" s="74" t="b">
        <v>1</v>
      </c>
    </row>
    <row r="2799" hidden="1">
      <c r="A2799" s="82"/>
      <c r="B2799" s="65" t="s">
        <v>411</v>
      </c>
      <c r="C2799" s="65" t="s">
        <v>132</v>
      </c>
      <c r="D2799" s="65"/>
      <c r="E2799" s="65" t="s">
        <v>1845</v>
      </c>
      <c r="F2799" s="83">
        <v>0.5</v>
      </c>
      <c r="G2799" s="83">
        <v>0.5416666666666666</v>
      </c>
      <c r="H2799" s="83">
        <v>0.041666666666666664</v>
      </c>
      <c r="I2799" s="84">
        <v>44211.0</v>
      </c>
      <c r="J2799" s="65" t="b">
        <v>1</v>
      </c>
      <c r="K2799" s="65"/>
      <c r="L2799" s="85" t="b">
        <f>IF(VLOOKUP(C2799,Projetos!A:L,12,false)=TRUE,TRUE,FALSE)</f>
        <v>0</v>
      </c>
      <c r="M2799" s="74">
        <v>52.48434411075036</v>
      </c>
      <c r="N2799" s="74">
        <f t="shared" si="1"/>
        <v>0</v>
      </c>
      <c r="O2799" s="74" t="b">
        <v>0</v>
      </c>
    </row>
    <row r="2800" hidden="1">
      <c r="A2800" s="82"/>
      <c r="B2800" s="65" t="s">
        <v>411</v>
      </c>
      <c r="C2800" s="65" t="s">
        <v>92</v>
      </c>
      <c r="D2800" s="65" t="str">
        <f>vlookup(C2800,'Classificação p pessoal'!F:G,2,false)</f>
        <v/>
      </c>
      <c r="E2800" s="65" t="s">
        <v>1846</v>
      </c>
      <c r="F2800" s="83">
        <v>0.5833333333333334</v>
      </c>
      <c r="G2800" s="83">
        <v>0.75</v>
      </c>
      <c r="H2800" s="83">
        <v>0.16666666666666666</v>
      </c>
      <c r="I2800" s="84">
        <v>44211.0</v>
      </c>
      <c r="J2800" s="65" t="b">
        <v>1</v>
      </c>
      <c r="K2800" s="65"/>
      <c r="L2800" s="85" t="b">
        <f>IF(VLOOKUP(C2800,Projetos!A:L,12,false)=TRUE,TRUE,FALSE)</f>
        <v>1</v>
      </c>
      <c r="M2800" s="74">
        <v>52.48434411075036</v>
      </c>
      <c r="N2800" s="74">
        <f t="shared" si="1"/>
        <v>209.9373764</v>
      </c>
      <c r="O2800" s="74" t="b">
        <v>1</v>
      </c>
    </row>
    <row r="2801" hidden="1">
      <c r="A2801" s="82"/>
      <c r="B2801" s="65" t="s">
        <v>411</v>
      </c>
      <c r="C2801" s="65" t="s">
        <v>127</v>
      </c>
      <c r="D2801" s="65" t="str">
        <f>vlookup(C2801,'Classificação p pessoal'!F:G,2,false)</f>
        <v>NP</v>
      </c>
      <c r="E2801" s="65" t="s">
        <v>1847</v>
      </c>
      <c r="F2801" s="83">
        <v>0.34375</v>
      </c>
      <c r="G2801" s="83">
        <v>0.3541666666666667</v>
      </c>
      <c r="H2801" s="83">
        <v>0.010416666666666666</v>
      </c>
      <c r="I2801" s="84">
        <v>44214.0</v>
      </c>
      <c r="J2801" s="65" t="b">
        <v>1</v>
      </c>
      <c r="K2801" s="65"/>
      <c r="L2801" s="85" t="b">
        <f>IF(VLOOKUP(C2801,Projetos!A:L,12,false)=TRUE,TRUE,FALSE)</f>
        <v>1</v>
      </c>
      <c r="M2801" s="74">
        <v>52.48434411075036</v>
      </c>
      <c r="N2801" s="74">
        <f t="shared" si="1"/>
        <v>13.12108603</v>
      </c>
      <c r="O2801" s="74" t="b">
        <v>1</v>
      </c>
    </row>
    <row r="2802" hidden="1">
      <c r="A2802" s="82"/>
      <c r="B2802" s="65" t="s">
        <v>411</v>
      </c>
      <c r="C2802" s="65" t="s">
        <v>92</v>
      </c>
      <c r="D2802" s="65" t="str">
        <f>vlookup(C2802,'Classificação p pessoal'!F:G,2,false)</f>
        <v/>
      </c>
      <c r="E2802" s="65" t="s">
        <v>1848</v>
      </c>
      <c r="F2802" s="83">
        <v>0.3541666666666667</v>
      </c>
      <c r="G2802" s="83">
        <v>0.4166666666666667</v>
      </c>
      <c r="H2802" s="83">
        <v>0.0625</v>
      </c>
      <c r="I2802" s="84">
        <v>44214.0</v>
      </c>
      <c r="J2802" s="65" t="b">
        <v>1</v>
      </c>
      <c r="K2802" s="65"/>
      <c r="L2802" s="85" t="b">
        <f>IF(VLOOKUP(C2802,Projetos!A:L,12,false)=TRUE,TRUE,FALSE)</f>
        <v>1</v>
      </c>
      <c r="M2802" s="74">
        <v>52.48434411075036</v>
      </c>
      <c r="N2802" s="74">
        <f t="shared" si="1"/>
        <v>78.72651617</v>
      </c>
      <c r="O2802" s="74" t="b">
        <v>1</v>
      </c>
    </row>
    <row r="2803" hidden="1">
      <c r="A2803" s="82"/>
      <c r="B2803" s="65" t="s">
        <v>411</v>
      </c>
      <c r="C2803" s="65" t="s">
        <v>117</v>
      </c>
      <c r="D2803" s="65" t="str">
        <f>vlookup(C2803,'Classificação p pessoal'!F:G,2,false)</f>
        <v>NP</v>
      </c>
      <c r="E2803" s="65" t="s">
        <v>1849</v>
      </c>
      <c r="F2803" s="83">
        <v>0.4166666666666667</v>
      </c>
      <c r="G2803" s="83">
        <v>0.4270833333333333</v>
      </c>
      <c r="H2803" s="83">
        <v>0.010416666666666666</v>
      </c>
      <c r="I2803" s="84">
        <v>44214.0</v>
      </c>
      <c r="J2803" s="65" t="b">
        <v>1</v>
      </c>
      <c r="K2803" s="65"/>
      <c r="L2803" s="85" t="b">
        <f>IF(VLOOKUP(C2803,Projetos!A:L,12,false)=TRUE,TRUE,FALSE)</f>
        <v>1</v>
      </c>
      <c r="M2803" s="74">
        <v>52.48434411075036</v>
      </c>
      <c r="N2803" s="74">
        <f t="shared" si="1"/>
        <v>13.12108603</v>
      </c>
      <c r="O2803" s="74" t="b">
        <v>1</v>
      </c>
    </row>
    <row r="2804" hidden="1">
      <c r="A2804" s="82"/>
      <c r="B2804" s="65" t="s">
        <v>411</v>
      </c>
      <c r="C2804" s="65" t="s">
        <v>127</v>
      </c>
      <c r="D2804" s="65" t="str">
        <f>vlookup(C2804,'Classificação p pessoal'!F:G,2,false)</f>
        <v>NP</v>
      </c>
      <c r="E2804" s="65" t="s">
        <v>1850</v>
      </c>
      <c r="F2804" s="83">
        <v>0.4270833333333333</v>
      </c>
      <c r="G2804" s="83">
        <v>0.4583333333333333</v>
      </c>
      <c r="H2804" s="83">
        <v>0.03125</v>
      </c>
      <c r="I2804" s="84">
        <v>44214.0</v>
      </c>
      <c r="J2804" s="65" t="b">
        <v>1</v>
      </c>
      <c r="K2804" s="65"/>
      <c r="L2804" s="85" t="b">
        <f>IF(VLOOKUP(C2804,Projetos!A:L,12,false)=TRUE,TRUE,FALSE)</f>
        <v>1</v>
      </c>
      <c r="M2804" s="74">
        <v>52.48434411075036</v>
      </c>
      <c r="N2804" s="74">
        <f t="shared" si="1"/>
        <v>39.36325808</v>
      </c>
      <c r="O2804" s="74" t="b">
        <v>1</v>
      </c>
    </row>
    <row r="2805" hidden="1">
      <c r="A2805" s="82"/>
      <c r="B2805" s="65" t="s">
        <v>411</v>
      </c>
      <c r="C2805" s="65" t="s">
        <v>119</v>
      </c>
      <c r="D2805" s="65" t="str">
        <f>vlookup(C2805,'Classificação p pessoal'!F:G,2,false)</f>
        <v>NP</v>
      </c>
      <c r="E2805" s="65" t="s">
        <v>1829</v>
      </c>
      <c r="F2805" s="83">
        <v>0.6041666666666666</v>
      </c>
      <c r="G2805" s="83">
        <v>0.6458333333333334</v>
      </c>
      <c r="H2805" s="83">
        <v>0.041666666666666664</v>
      </c>
      <c r="I2805" s="84">
        <v>44371.0</v>
      </c>
      <c r="J2805" s="65" t="b">
        <v>1</v>
      </c>
      <c r="K2805" s="65"/>
      <c r="L2805" s="85" t="b">
        <f>IF(VLOOKUP(C2805,Projetos!A:L,12,false)=TRUE,TRUE,FALSE)</f>
        <v>1</v>
      </c>
      <c r="M2805" s="74">
        <v>52.48434411075036</v>
      </c>
      <c r="N2805" s="74">
        <f t="shared" si="1"/>
        <v>52.48434411</v>
      </c>
      <c r="O2805" s="74" t="b">
        <v>1</v>
      </c>
    </row>
    <row r="2806" hidden="1">
      <c r="A2806" s="82"/>
      <c r="B2806" s="65" t="s">
        <v>411</v>
      </c>
      <c r="C2806" s="65" t="s">
        <v>92</v>
      </c>
      <c r="D2806" s="65" t="str">
        <f>vlookup(C2806,'Classificação p pessoal'!F:G,2,false)</f>
        <v/>
      </c>
      <c r="E2806" s="65" t="s">
        <v>1851</v>
      </c>
      <c r="F2806" s="83">
        <v>0.5</v>
      </c>
      <c r="G2806" s="83">
        <v>0.5416666666666666</v>
      </c>
      <c r="H2806" s="83">
        <v>0.041666666666666664</v>
      </c>
      <c r="I2806" s="84">
        <v>44214.0</v>
      </c>
      <c r="J2806" s="65" t="b">
        <v>1</v>
      </c>
      <c r="K2806" s="65"/>
      <c r="L2806" s="85" t="b">
        <f>IF(VLOOKUP(C2806,Projetos!A:L,12,false)=TRUE,TRUE,FALSE)</f>
        <v>1</v>
      </c>
      <c r="M2806" s="74">
        <v>52.48434411075036</v>
      </c>
      <c r="N2806" s="74">
        <f t="shared" si="1"/>
        <v>52.48434411</v>
      </c>
      <c r="O2806" s="74" t="b">
        <v>1</v>
      </c>
    </row>
    <row r="2807" hidden="1">
      <c r="A2807" s="82"/>
      <c r="B2807" s="65" t="s">
        <v>411</v>
      </c>
      <c r="C2807" s="65" t="s">
        <v>88</v>
      </c>
      <c r="D2807" s="65" t="str">
        <f>vlookup(C2807,'Classificação p pessoal'!F:G,2,false)</f>
        <v>MProduto</v>
      </c>
      <c r="E2807" s="65" t="s">
        <v>1852</v>
      </c>
      <c r="F2807" s="83">
        <v>0.5833333333333334</v>
      </c>
      <c r="G2807" s="83">
        <v>0.75</v>
      </c>
      <c r="H2807" s="83">
        <v>0.16666666666666666</v>
      </c>
      <c r="I2807" s="84">
        <v>44214.0</v>
      </c>
      <c r="J2807" s="65" t="b">
        <v>1</v>
      </c>
      <c r="K2807" s="65"/>
      <c r="L2807" s="85" t="b">
        <f>IF(VLOOKUP(C2807,Projetos!A:L,12,false)=TRUE,TRUE,FALSE)</f>
        <v>1</v>
      </c>
      <c r="M2807" s="74">
        <v>52.48434411075036</v>
      </c>
      <c r="N2807" s="74">
        <f t="shared" si="1"/>
        <v>209.9373764</v>
      </c>
      <c r="O2807" s="74" t="b">
        <v>1</v>
      </c>
    </row>
    <row r="2808" hidden="1">
      <c r="A2808" s="82"/>
      <c r="B2808" s="65" t="s">
        <v>411</v>
      </c>
      <c r="C2808" s="65" t="s">
        <v>127</v>
      </c>
      <c r="D2808" s="65" t="str">
        <f>vlookup(C2808,'Classificação p pessoal'!F:G,2,false)</f>
        <v>NP</v>
      </c>
      <c r="E2808" s="65" t="s">
        <v>1850</v>
      </c>
      <c r="F2808" s="83">
        <v>0.34375</v>
      </c>
      <c r="G2808" s="83">
        <v>0.375</v>
      </c>
      <c r="H2808" s="83">
        <v>0.03125</v>
      </c>
      <c r="I2808" s="84">
        <v>44215.0</v>
      </c>
      <c r="J2808" s="65" t="b">
        <v>1</v>
      </c>
      <c r="K2808" s="65"/>
      <c r="L2808" s="85" t="b">
        <f>IF(VLOOKUP(C2808,Projetos!A:L,12,false)=TRUE,TRUE,FALSE)</f>
        <v>1</v>
      </c>
      <c r="M2808" s="74">
        <v>52.48434411075036</v>
      </c>
      <c r="N2808" s="74">
        <f t="shared" si="1"/>
        <v>39.36325808</v>
      </c>
      <c r="O2808" s="74" t="b">
        <v>1</v>
      </c>
    </row>
    <row r="2809" hidden="1">
      <c r="A2809" s="82"/>
      <c r="B2809" s="65" t="s">
        <v>411</v>
      </c>
      <c r="C2809" s="65" t="s">
        <v>117</v>
      </c>
      <c r="D2809" s="65" t="str">
        <f>vlookup(C2809,'Classificação p pessoal'!F:G,2,false)</f>
        <v>NP</v>
      </c>
      <c r="E2809" s="65" t="s">
        <v>1853</v>
      </c>
      <c r="F2809" s="83">
        <v>0.625</v>
      </c>
      <c r="G2809" s="83">
        <v>0.75</v>
      </c>
      <c r="H2809" s="83">
        <v>0.125</v>
      </c>
      <c r="I2809" s="84">
        <v>44369.0</v>
      </c>
      <c r="J2809" s="65" t="b">
        <v>1</v>
      </c>
      <c r="K2809" s="65"/>
      <c r="L2809" s="85" t="b">
        <f>IF(VLOOKUP(C2809,Projetos!A:L,12,false)=TRUE,TRUE,FALSE)</f>
        <v>1</v>
      </c>
      <c r="M2809" s="74">
        <v>52.48434411075036</v>
      </c>
      <c r="N2809" s="74">
        <f t="shared" si="1"/>
        <v>157.4530323</v>
      </c>
      <c r="O2809" s="74" t="b">
        <v>1</v>
      </c>
    </row>
    <row r="2810" hidden="1">
      <c r="A2810" s="82"/>
      <c r="B2810" s="65" t="s">
        <v>411</v>
      </c>
      <c r="C2810" s="65" t="s">
        <v>119</v>
      </c>
      <c r="D2810" s="65"/>
      <c r="E2810" s="65" t="s">
        <v>1854</v>
      </c>
      <c r="F2810" s="83">
        <v>0.5</v>
      </c>
      <c r="G2810" s="83">
        <v>0.5208333333333334</v>
      </c>
      <c r="H2810" s="83">
        <v>0.020833333333333332</v>
      </c>
      <c r="I2810" s="84">
        <v>44414.0</v>
      </c>
      <c r="J2810" s="65" t="b">
        <v>0</v>
      </c>
      <c r="K2810" s="65" t="s">
        <v>150</v>
      </c>
      <c r="L2810" s="85" t="b">
        <f>IF(VLOOKUP(C2810,Projetos!A:L,12,false)=TRUE,TRUE,FALSE)</f>
        <v>1</v>
      </c>
      <c r="M2810" s="74">
        <v>52.48434411075036</v>
      </c>
      <c r="N2810" s="74">
        <f t="shared" si="1"/>
        <v>0</v>
      </c>
      <c r="O2810" s="74" t="b">
        <v>1</v>
      </c>
    </row>
    <row r="2811" hidden="1">
      <c r="A2811" s="82"/>
      <c r="B2811" s="65" t="s">
        <v>411</v>
      </c>
      <c r="C2811" s="65" t="s">
        <v>127</v>
      </c>
      <c r="D2811" s="65" t="str">
        <f>vlookup(C2811,'Classificação p pessoal'!F:G,2,false)</f>
        <v>NP</v>
      </c>
      <c r="E2811" s="65" t="s">
        <v>1850</v>
      </c>
      <c r="F2811" s="83">
        <v>0.3958333333333333</v>
      </c>
      <c r="G2811" s="83">
        <v>0.4375</v>
      </c>
      <c r="H2811" s="83">
        <v>0.041666666666666664</v>
      </c>
      <c r="I2811" s="84">
        <v>44215.0</v>
      </c>
      <c r="J2811" s="65" t="b">
        <v>1</v>
      </c>
      <c r="K2811" s="65"/>
      <c r="L2811" s="85" t="b">
        <f>IF(VLOOKUP(C2811,Projetos!A:L,12,false)=TRUE,TRUE,FALSE)</f>
        <v>1</v>
      </c>
      <c r="M2811" s="74">
        <v>52.48434411075036</v>
      </c>
      <c r="N2811" s="74">
        <f t="shared" si="1"/>
        <v>52.48434411</v>
      </c>
      <c r="O2811" s="74" t="b">
        <v>1</v>
      </c>
    </row>
    <row r="2812" hidden="1">
      <c r="A2812" s="82"/>
      <c r="B2812" s="65" t="s">
        <v>411</v>
      </c>
      <c r="C2812" s="65" t="s">
        <v>117</v>
      </c>
      <c r="D2812" s="65" t="str">
        <f>vlookup(C2812,'Classificação p pessoal'!F:G,2,false)</f>
        <v>NP</v>
      </c>
      <c r="E2812" s="65" t="s">
        <v>1855</v>
      </c>
      <c r="F2812" s="83">
        <v>0.4375</v>
      </c>
      <c r="G2812" s="83">
        <v>0.4791666666666667</v>
      </c>
      <c r="H2812" s="83">
        <v>0.041666666666666664</v>
      </c>
      <c r="I2812" s="84">
        <v>44215.0</v>
      </c>
      <c r="J2812" s="65" t="b">
        <v>1</v>
      </c>
      <c r="K2812" s="65"/>
      <c r="L2812" s="85" t="b">
        <f>IF(VLOOKUP(C2812,Projetos!A:L,12,false)=TRUE,TRUE,FALSE)</f>
        <v>1</v>
      </c>
      <c r="M2812" s="74">
        <v>52.48434411075036</v>
      </c>
      <c r="N2812" s="74">
        <f t="shared" si="1"/>
        <v>52.48434411</v>
      </c>
      <c r="O2812" s="74" t="b">
        <v>1</v>
      </c>
    </row>
    <row r="2813" hidden="1">
      <c r="A2813" s="82"/>
      <c r="B2813" s="65" t="s">
        <v>411</v>
      </c>
      <c r="C2813" s="65" t="s">
        <v>127</v>
      </c>
      <c r="D2813" s="65" t="str">
        <f>vlookup(C2813,'Classificação p pessoal'!F:G,2,false)</f>
        <v>NP</v>
      </c>
      <c r="E2813" s="65" t="s">
        <v>1856</v>
      </c>
      <c r="F2813" s="83">
        <v>0.4791666666666667</v>
      </c>
      <c r="G2813" s="83">
        <v>0.5416666666666666</v>
      </c>
      <c r="H2813" s="83">
        <v>0.0625</v>
      </c>
      <c r="I2813" s="84">
        <v>44215.0</v>
      </c>
      <c r="J2813" s="65" t="b">
        <v>1</v>
      </c>
      <c r="K2813" s="65"/>
      <c r="L2813" s="85" t="b">
        <f>IF(VLOOKUP(C2813,Projetos!A:L,12,false)=TRUE,TRUE,FALSE)</f>
        <v>1</v>
      </c>
      <c r="M2813" s="74">
        <v>52.48434411075036</v>
      </c>
      <c r="N2813" s="74">
        <f t="shared" si="1"/>
        <v>78.72651617</v>
      </c>
      <c r="O2813" s="74" t="b">
        <v>1</v>
      </c>
    </row>
    <row r="2814" hidden="1">
      <c r="A2814" s="82"/>
      <c r="B2814" s="65" t="s">
        <v>411</v>
      </c>
      <c r="C2814" s="65" t="s">
        <v>92</v>
      </c>
      <c r="D2814" s="65" t="str">
        <f>vlookup(C2814,'Classificação p pessoal'!F:G,2,false)</f>
        <v/>
      </c>
      <c r="E2814" s="65" t="s">
        <v>1857</v>
      </c>
      <c r="F2814" s="83">
        <v>0.5833333333333334</v>
      </c>
      <c r="G2814" s="83">
        <v>0.625</v>
      </c>
      <c r="H2814" s="83">
        <v>0.041666666666666664</v>
      </c>
      <c r="I2814" s="84">
        <v>44215.0</v>
      </c>
      <c r="J2814" s="65" t="b">
        <v>1</v>
      </c>
      <c r="K2814" s="65"/>
      <c r="L2814" s="85" t="b">
        <f>IF(VLOOKUP(C2814,Projetos!A:L,12,false)=TRUE,TRUE,FALSE)</f>
        <v>1</v>
      </c>
      <c r="M2814" s="74">
        <v>52.48434411075036</v>
      </c>
      <c r="N2814" s="74">
        <f t="shared" si="1"/>
        <v>52.48434411</v>
      </c>
      <c r="O2814" s="74" t="b">
        <v>1</v>
      </c>
    </row>
    <row r="2815" hidden="1">
      <c r="A2815" s="82"/>
      <c r="B2815" s="65" t="s">
        <v>411</v>
      </c>
      <c r="C2815" s="65" t="s">
        <v>117</v>
      </c>
      <c r="D2815" s="65" t="str">
        <f>vlookup(C2815,'Classificação p pessoal'!F:G,2,false)</f>
        <v>NP</v>
      </c>
      <c r="E2815" s="65" t="s">
        <v>1858</v>
      </c>
      <c r="F2815" s="83">
        <v>0.6875</v>
      </c>
      <c r="G2815" s="83">
        <v>0.75</v>
      </c>
      <c r="H2815" s="83">
        <v>0.0625</v>
      </c>
      <c r="I2815" s="84">
        <v>44215.0</v>
      </c>
      <c r="J2815" s="65" t="b">
        <v>1</v>
      </c>
      <c r="K2815" s="65"/>
      <c r="L2815" s="85" t="b">
        <f>IF(VLOOKUP(C2815,Projetos!A:L,12,false)=TRUE,TRUE,FALSE)</f>
        <v>1</v>
      </c>
      <c r="M2815" s="74">
        <v>52.48434411075036</v>
      </c>
      <c r="N2815" s="74">
        <f t="shared" si="1"/>
        <v>78.72651617</v>
      </c>
      <c r="O2815" s="74" t="b">
        <v>1</v>
      </c>
    </row>
    <row r="2816" hidden="1">
      <c r="A2816" s="82"/>
      <c r="B2816" s="65" t="s">
        <v>411</v>
      </c>
      <c r="C2816" s="65" t="s">
        <v>127</v>
      </c>
      <c r="D2816" s="65" t="str">
        <f>vlookup(C2816,'Classificação p pessoal'!F:G,2,false)</f>
        <v>NP</v>
      </c>
      <c r="E2816" s="65" t="s">
        <v>1859</v>
      </c>
      <c r="F2816" s="83">
        <v>0.34375</v>
      </c>
      <c r="G2816" s="83">
        <v>0.3645833333333333</v>
      </c>
      <c r="H2816" s="83">
        <v>0.020833333333333332</v>
      </c>
      <c r="I2816" s="84">
        <v>44216.0</v>
      </c>
      <c r="J2816" s="65" t="b">
        <v>1</v>
      </c>
      <c r="K2816" s="65"/>
      <c r="L2816" s="85" t="b">
        <f>IF(VLOOKUP(C2816,Projetos!A:L,12,false)=TRUE,TRUE,FALSE)</f>
        <v>1</v>
      </c>
      <c r="M2816" s="74">
        <v>52.48434411075036</v>
      </c>
      <c r="N2816" s="74">
        <f t="shared" si="1"/>
        <v>26.24217206</v>
      </c>
      <c r="O2816" s="74" t="b">
        <v>1</v>
      </c>
    </row>
    <row r="2817" hidden="1">
      <c r="A2817" s="82"/>
      <c r="B2817" s="65" t="s">
        <v>411</v>
      </c>
      <c r="C2817" s="65" t="s">
        <v>92</v>
      </c>
      <c r="D2817" s="65" t="str">
        <f>vlookup(C2817,'Classificação p pessoal'!F:G,2,false)</f>
        <v/>
      </c>
      <c r="E2817" s="65" t="s">
        <v>1860</v>
      </c>
      <c r="F2817" s="83">
        <v>0.3645833333333333</v>
      </c>
      <c r="G2817" s="83">
        <v>0.4375</v>
      </c>
      <c r="H2817" s="83">
        <v>0.07291666666666667</v>
      </c>
      <c r="I2817" s="84">
        <v>44216.0</v>
      </c>
      <c r="J2817" s="65" t="b">
        <v>1</v>
      </c>
      <c r="K2817" s="65"/>
      <c r="L2817" s="85" t="b">
        <f>IF(VLOOKUP(C2817,Projetos!A:L,12,false)=TRUE,TRUE,FALSE)</f>
        <v>1</v>
      </c>
      <c r="M2817" s="74">
        <v>52.48434411075036</v>
      </c>
      <c r="N2817" s="74">
        <f t="shared" si="1"/>
        <v>91.84760219</v>
      </c>
      <c r="O2817" s="74" t="b">
        <v>1</v>
      </c>
    </row>
    <row r="2818" hidden="1">
      <c r="A2818" s="82"/>
      <c r="B2818" s="65" t="s">
        <v>411</v>
      </c>
      <c r="C2818" s="65" t="s">
        <v>117</v>
      </c>
      <c r="D2818" s="65" t="str">
        <f>vlookup(C2818,'Classificação p pessoal'!F:G,2,false)</f>
        <v>NP</v>
      </c>
      <c r="E2818" s="65" t="s">
        <v>1815</v>
      </c>
      <c r="F2818" s="83">
        <v>0.4375</v>
      </c>
      <c r="G2818" s="83">
        <v>0.4791666666666667</v>
      </c>
      <c r="H2818" s="83">
        <v>0.041666666666666664</v>
      </c>
      <c r="I2818" s="84">
        <v>44216.0</v>
      </c>
      <c r="J2818" s="65" t="b">
        <v>1</v>
      </c>
      <c r="K2818" s="65"/>
      <c r="L2818" s="85" t="b">
        <f>IF(VLOOKUP(C2818,Projetos!A:L,12,false)=TRUE,TRUE,FALSE)</f>
        <v>1</v>
      </c>
      <c r="M2818" s="74">
        <v>52.48434411075036</v>
      </c>
      <c r="N2818" s="74">
        <f t="shared" si="1"/>
        <v>52.48434411</v>
      </c>
      <c r="O2818" s="74" t="b">
        <v>1</v>
      </c>
    </row>
    <row r="2819" hidden="1">
      <c r="A2819" s="82"/>
      <c r="B2819" s="65" t="s">
        <v>411</v>
      </c>
      <c r="C2819" s="65" t="s">
        <v>92</v>
      </c>
      <c r="D2819" s="65" t="str">
        <f>vlookup(C2819,'Classificação p pessoal'!F:G,2,false)</f>
        <v/>
      </c>
      <c r="E2819" s="65" t="s">
        <v>1861</v>
      </c>
      <c r="F2819" s="83">
        <v>0.4791666666666667</v>
      </c>
      <c r="G2819" s="83">
        <v>0.5208333333333334</v>
      </c>
      <c r="H2819" s="83">
        <v>0.041666666666666664</v>
      </c>
      <c r="I2819" s="84">
        <v>44216.0</v>
      </c>
      <c r="J2819" s="65" t="b">
        <v>1</v>
      </c>
      <c r="K2819" s="65"/>
      <c r="L2819" s="85" t="b">
        <f>IF(VLOOKUP(C2819,Projetos!A:L,12,false)=TRUE,TRUE,FALSE)</f>
        <v>1</v>
      </c>
      <c r="M2819" s="74">
        <v>52.48434411075036</v>
      </c>
      <c r="N2819" s="74">
        <f t="shared" si="1"/>
        <v>52.48434411</v>
      </c>
      <c r="O2819" s="74" t="b">
        <v>1</v>
      </c>
    </row>
    <row r="2820" hidden="1">
      <c r="A2820" s="82"/>
      <c r="B2820" s="65" t="s">
        <v>411</v>
      </c>
      <c r="C2820" s="65" t="s">
        <v>117</v>
      </c>
      <c r="D2820" s="65" t="str">
        <f>vlookup(C2820,'Classificação p pessoal'!F:G,2,false)</f>
        <v>NP</v>
      </c>
      <c r="E2820" s="65" t="s">
        <v>1862</v>
      </c>
      <c r="F2820" s="83">
        <v>0.5625</v>
      </c>
      <c r="G2820" s="83">
        <v>0.7083333333333334</v>
      </c>
      <c r="H2820" s="83">
        <v>0.14583333333333334</v>
      </c>
      <c r="I2820" s="84">
        <v>44216.0</v>
      </c>
      <c r="J2820" s="65" t="b">
        <v>1</v>
      </c>
      <c r="K2820" s="65"/>
      <c r="L2820" s="85" t="b">
        <f>IF(VLOOKUP(C2820,Projetos!A:L,12,false)=TRUE,TRUE,FALSE)</f>
        <v>1</v>
      </c>
      <c r="M2820" s="74">
        <v>52.48434411075036</v>
      </c>
      <c r="N2820" s="74">
        <f t="shared" si="1"/>
        <v>183.6952044</v>
      </c>
      <c r="O2820" s="74" t="b">
        <v>1</v>
      </c>
    </row>
    <row r="2821" hidden="1">
      <c r="A2821" s="82"/>
      <c r="B2821" s="65" t="s">
        <v>411</v>
      </c>
      <c r="C2821" s="65" t="s">
        <v>92</v>
      </c>
      <c r="D2821" s="65" t="str">
        <f>vlookup(C2821,'Classificação p pessoal'!F:G,2,false)</f>
        <v/>
      </c>
      <c r="E2821" s="65" t="s">
        <v>1863</v>
      </c>
      <c r="F2821" s="83">
        <v>0.7083333333333334</v>
      </c>
      <c r="G2821" s="83">
        <v>0.75</v>
      </c>
      <c r="H2821" s="83">
        <v>0.041666666666666664</v>
      </c>
      <c r="I2821" s="84">
        <v>44216.0</v>
      </c>
      <c r="J2821" s="65" t="b">
        <v>1</v>
      </c>
      <c r="K2821" s="65"/>
      <c r="L2821" s="85" t="b">
        <f>IF(VLOOKUP(C2821,Projetos!A:L,12,false)=TRUE,TRUE,FALSE)</f>
        <v>1</v>
      </c>
      <c r="M2821" s="74">
        <v>52.48434411075036</v>
      </c>
      <c r="N2821" s="74">
        <f t="shared" si="1"/>
        <v>52.48434411</v>
      </c>
      <c r="O2821" s="74" t="b">
        <v>1</v>
      </c>
    </row>
    <row r="2822" hidden="1">
      <c r="A2822" s="82"/>
      <c r="B2822" s="65" t="s">
        <v>411</v>
      </c>
      <c r="C2822" s="65" t="s">
        <v>130</v>
      </c>
      <c r="D2822" s="65" t="str">
        <f>vlookup(C2822,'Classificação p pessoal'!F:G,2,false)</f>
        <v>NP</v>
      </c>
      <c r="E2822" s="65" t="s">
        <v>1864</v>
      </c>
      <c r="F2822" s="83">
        <v>0.34375</v>
      </c>
      <c r="G2822" s="83">
        <v>0.3541666666666667</v>
      </c>
      <c r="H2822" s="83">
        <v>0.010416666666666666</v>
      </c>
      <c r="I2822" s="84">
        <v>44217.0</v>
      </c>
      <c r="J2822" s="65" t="b">
        <v>1</v>
      </c>
      <c r="K2822" s="65"/>
      <c r="L2822" s="85" t="b">
        <f>IF(VLOOKUP(C2822,Projetos!A:L,12,false)=TRUE,TRUE,FALSE)</f>
        <v>1</v>
      </c>
      <c r="M2822" s="74">
        <v>52.48434411075036</v>
      </c>
      <c r="N2822" s="74">
        <f t="shared" si="1"/>
        <v>13.12108603</v>
      </c>
      <c r="O2822" s="74" t="b">
        <v>1</v>
      </c>
    </row>
    <row r="2823" hidden="1">
      <c r="A2823" s="82"/>
      <c r="B2823" s="65" t="s">
        <v>411</v>
      </c>
      <c r="C2823" s="65" t="s">
        <v>92</v>
      </c>
      <c r="D2823" s="65" t="str">
        <f>vlookup(C2823,'Classificação p pessoal'!F:G,2,false)</f>
        <v/>
      </c>
      <c r="E2823" s="65" t="s">
        <v>1865</v>
      </c>
      <c r="F2823" s="83">
        <v>0.3541666666666667</v>
      </c>
      <c r="G2823" s="83">
        <v>0.375</v>
      </c>
      <c r="H2823" s="83">
        <v>0.020833333333333332</v>
      </c>
      <c r="I2823" s="84">
        <v>44217.0</v>
      </c>
      <c r="J2823" s="65" t="b">
        <v>1</v>
      </c>
      <c r="K2823" s="65"/>
      <c r="L2823" s="85" t="b">
        <f>IF(VLOOKUP(C2823,Projetos!A:L,12,false)=TRUE,TRUE,FALSE)</f>
        <v>1</v>
      </c>
      <c r="M2823" s="74">
        <v>52.48434411075036</v>
      </c>
      <c r="N2823" s="74">
        <f t="shared" si="1"/>
        <v>26.24217206</v>
      </c>
      <c r="O2823" s="74" t="b">
        <v>1</v>
      </c>
    </row>
    <row r="2824" hidden="1">
      <c r="A2824" s="82"/>
      <c r="B2824" s="65" t="s">
        <v>411</v>
      </c>
      <c r="C2824" s="65" t="s">
        <v>88</v>
      </c>
      <c r="D2824" s="65" t="str">
        <f>vlookup(C2824,'Classificação p pessoal'!F:G,2,false)</f>
        <v>MProduto</v>
      </c>
      <c r="E2824" s="65" t="s">
        <v>1866</v>
      </c>
      <c r="F2824" s="83">
        <v>0.4375</v>
      </c>
      <c r="G2824" s="83">
        <v>0.4583333333333333</v>
      </c>
      <c r="H2824" s="83">
        <v>0.020833333333333332</v>
      </c>
      <c r="I2824" s="84">
        <v>44319.0</v>
      </c>
      <c r="J2824" s="65" t="b">
        <v>1</v>
      </c>
      <c r="K2824" s="65"/>
      <c r="L2824" s="85" t="b">
        <f>IF(VLOOKUP(C2824,Projetos!A:L,12,false)=TRUE,TRUE,FALSE)</f>
        <v>1</v>
      </c>
      <c r="M2824" s="74">
        <v>52.48434411075036</v>
      </c>
      <c r="N2824" s="74">
        <f t="shared" si="1"/>
        <v>26.24217206</v>
      </c>
      <c r="O2824" s="74" t="b">
        <v>1</v>
      </c>
    </row>
    <row r="2825" hidden="1">
      <c r="A2825" s="82"/>
      <c r="B2825" s="65" t="s">
        <v>411</v>
      </c>
      <c r="C2825" s="65" t="s">
        <v>92</v>
      </c>
      <c r="D2825" s="65" t="str">
        <f>vlookup(C2825,'Classificação p pessoal'!F:G,2,false)</f>
        <v/>
      </c>
      <c r="E2825" s="65" t="s">
        <v>1867</v>
      </c>
      <c r="F2825" s="83">
        <v>0.4375</v>
      </c>
      <c r="G2825" s="83">
        <v>0.5</v>
      </c>
      <c r="H2825" s="83">
        <v>0.0625</v>
      </c>
      <c r="I2825" s="84">
        <v>44217.0</v>
      </c>
      <c r="J2825" s="65" t="b">
        <v>1</v>
      </c>
      <c r="K2825" s="65"/>
      <c r="L2825" s="85" t="b">
        <f>IF(VLOOKUP(C2825,Projetos!A:L,12,false)=TRUE,TRUE,FALSE)</f>
        <v>1</v>
      </c>
      <c r="M2825" s="74">
        <v>52.48434411075036</v>
      </c>
      <c r="N2825" s="74">
        <f t="shared" si="1"/>
        <v>78.72651617</v>
      </c>
      <c r="O2825" s="74" t="b">
        <v>1</v>
      </c>
    </row>
    <row r="2826" hidden="1">
      <c r="A2826" s="82"/>
      <c r="B2826" s="65" t="s">
        <v>411</v>
      </c>
      <c r="C2826" s="65" t="s">
        <v>127</v>
      </c>
      <c r="D2826" s="65" t="str">
        <f>vlookup(C2826,'Classificação p pessoal'!F:G,2,false)</f>
        <v>NP</v>
      </c>
      <c r="E2826" s="65" t="s">
        <v>1868</v>
      </c>
      <c r="F2826" s="83">
        <v>0.5</v>
      </c>
      <c r="G2826" s="83">
        <v>0.5416666666666666</v>
      </c>
      <c r="H2826" s="83">
        <v>0.041666666666666664</v>
      </c>
      <c r="I2826" s="84">
        <v>44217.0</v>
      </c>
      <c r="J2826" s="65" t="b">
        <v>1</v>
      </c>
      <c r="K2826" s="65"/>
      <c r="L2826" s="85" t="b">
        <f>IF(VLOOKUP(C2826,Projetos!A:L,12,false)=TRUE,TRUE,FALSE)</f>
        <v>1</v>
      </c>
      <c r="M2826" s="74">
        <v>52.48434411075036</v>
      </c>
      <c r="N2826" s="74">
        <f t="shared" si="1"/>
        <v>52.48434411</v>
      </c>
      <c r="O2826" s="74" t="b">
        <v>1</v>
      </c>
    </row>
    <row r="2827" hidden="1">
      <c r="A2827" s="82"/>
      <c r="B2827" s="65" t="s">
        <v>411</v>
      </c>
      <c r="C2827" s="65" t="s">
        <v>117</v>
      </c>
      <c r="D2827" s="65" t="str">
        <f>vlookup(C2827,'Classificação p pessoal'!F:G,2,false)</f>
        <v>NP</v>
      </c>
      <c r="E2827" s="65" t="s">
        <v>1869</v>
      </c>
      <c r="F2827" s="83">
        <v>0.5833333333333334</v>
      </c>
      <c r="G2827" s="83">
        <v>0.6458333333333334</v>
      </c>
      <c r="H2827" s="83">
        <v>0.0625</v>
      </c>
      <c r="I2827" s="84">
        <v>44217.0</v>
      </c>
      <c r="J2827" s="65" t="b">
        <v>1</v>
      </c>
      <c r="K2827" s="65"/>
      <c r="L2827" s="85" t="b">
        <f>IF(VLOOKUP(C2827,Projetos!A:L,12,false)=TRUE,TRUE,FALSE)</f>
        <v>1</v>
      </c>
      <c r="M2827" s="74">
        <v>52.48434411075036</v>
      </c>
      <c r="N2827" s="74">
        <f t="shared" si="1"/>
        <v>78.72651617</v>
      </c>
      <c r="O2827" s="74" t="b">
        <v>1</v>
      </c>
    </row>
    <row r="2828" hidden="1">
      <c r="A2828" s="82"/>
      <c r="B2828" s="65" t="s">
        <v>411</v>
      </c>
      <c r="C2828" s="65" t="s">
        <v>92</v>
      </c>
      <c r="D2828" s="65"/>
      <c r="E2828" s="65" t="s">
        <v>1870</v>
      </c>
      <c r="F2828" s="83">
        <v>0.6458333333333334</v>
      </c>
      <c r="G2828" s="83">
        <v>0.75</v>
      </c>
      <c r="H2828" s="83">
        <v>0.10416666666666667</v>
      </c>
      <c r="I2828" s="84">
        <v>44217.0</v>
      </c>
      <c r="J2828" s="65" t="b">
        <v>0</v>
      </c>
      <c r="K2828" s="65" t="s">
        <v>150</v>
      </c>
      <c r="L2828" s="85" t="b">
        <f>IF(VLOOKUP(C2828,Projetos!A:L,12,false)=TRUE,TRUE,FALSE)</f>
        <v>1</v>
      </c>
      <c r="M2828" s="74">
        <v>52.48434411075036</v>
      </c>
      <c r="N2828" s="74">
        <f t="shared" si="1"/>
        <v>0</v>
      </c>
      <c r="O2828" s="74" t="b">
        <v>1</v>
      </c>
    </row>
    <row r="2829" hidden="1">
      <c r="A2829" s="82"/>
      <c r="B2829" s="65" t="s">
        <v>411</v>
      </c>
      <c r="C2829" s="65" t="s">
        <v>92</v>
      </c>
      <c r="D2829" s="65" t="str">
        <f>vlookup(C2829,'Classificação p pessoal'!F:G,2,false)</f>
        <v/>
      </c>
      <c r="E2829" s="65" t="s">
        <v>1871</v>
      </c>
      <c r="F2829" s="83">
        <v>0.34375</v>
      </c>
      <c r="G2829" s="83">
        <v>0.3958333333333333</v>
      </c>
      <c r="H2829" s="83">
        <v>0.052083333333333336</v>
      </c>
      <c r="I2829" s="84">
        <v>44218.0</v>
      </c>
      <c r="J2829" s="65" t="b">
        <v>1</v>
      </c>
      <c r="K2829" s="65"/>
      <c r="L2829" s="85" t="b">
        <f>IF(VLOOKUP(C2829,Projetos!A:L,12,false)=TRUE,TRUE,FALSE)</f>
        <v>1</v>
      </c>
      <c r="M2829" s="74">
        <v>52.48434411075036</v>
      </c>
      <c r="N2829" s="74">
        <f t="shared" si="1"/>
        <v>65.60543014</v>
      </c>
      <c r="O2829" s="74" t="b">
        <v>1</v>
      </c>
    </row>
    <row r="2830" hidden="1">
      <c r="A2830" s="82"/>
      <c r="B2830" s="65" t="s">
        <v>411</v>
      </c>
      <c r="C2830" s="65" t="s">
        <v>117</v>
      </c>
      <c r="D2830" s="65" t="str">
        <f>vlookup(C2830,'Classificação p pessoal'!F:G,2,false)</f>
        <v>NP</v>
      </c>
      <c r="E2830" s="65" t="s">
        <v>1872</v>
      </c>
      <c r="F2830" s="83">
        <v>0.4583333333333333</v>
      </c>
      <c r="G2830" s="83">
        <v>0.5208333333333334</v>
      </c>
      <c r="H2830" s="83">
        <v>0.0625</v>
      </c>
      <c r="I2830" s="84">
        <v>44218.0</v>
      </c>
      <c r="J2830" s="65" t="b">
        <v>1</v>
      </c>
      <c r="K2830" s="65"/>
      <c r="L2830" s="85" t="b">
        <f>IF(VLOOKUP(C2830,Projetos!A:L,12,false)=TRUE,TRUE,FALSE)</f>
        <v>1</v>
      </c>
      <c r="M2830" s="74">
        <v>52.48434411075036</v>
      </c>
      <c r="N2830" s="74">
        <f t="shared" si="1"/>
        <v>78.72651617</v>
      </c>
      <c r="O2830" s="74" t="b">
        <v>1</v>
      </c>
    </row>
    <row r="2831" hidden="1">
      <c r="A2831" s="82"/>
      <c r="B2831" s="65" t="s">
        <v>411</v>
      </c>
      <c r="C2831" s="65" t="s">
        <v>92</v>
      </c>
      <c r="D2831" s="65" t="str">
        <f>vlookup(C2831,'Classificação p pessoal'!F:G,2,false)</f>
        <v/>
      </c>
      <c r="E2831" s="65" t="s">
        <v>1873</v>
      </c>
      <c r="F2831" s="83">
        <v>0.5625</v>
      </c>
      <c r="G2831" s="83">
        <v>0.6875</v>
      </c>
      <c r="H2831" s="83">
        <v>0.125</v>
      </c>
      <c r="I2831" s="84">
        <v>44218.0</v>
      </c>
      <c r="J2831" s="65" t="b">
        <v>1</v>
      </c>
      <c r="K2831" s="65"/>
      <c r="L2831" s="85" t="b">
        <f>IF(VLOOKUP(C2831,Projetos!A:L,12,false)=TRUE,TRUE,FALSE)</f>
        <v>1</v>
      </c>
      <c r="M2831" s="74">
        <v>52.48434411075036</v>
      </c>
      <c r="N2831" s="74">
        <f t="shared" si="1"/>
        <v>157.4530323</v>
      </c>
      <c r="O2831" s="74" t="b">
        <v>1</v>
      </c>
    </row>
    <row r="2832" hidden="1">
      <c r="A2832" s="82"/>
      <c r="B2832" s="65" t="s">
        <v>411</v>
      </c>
      <c r="C2832" s="65" t="s">
        <v>127</v>
      </c>
      <c r="D2832" s="65"/>
      <c r="E2832" s="65" t="s">
        <v>270</v>
      </c>
      <c r="F2832" s="83">
        <v>0.6875</v>
      </c>
      <c r="G2832" s="83">
        <v>0.7083333333333334</v>
      </c>
      <c r="H2832" s="83">
        <v>0.020833333333333332</v>
      </c>
      <c r="I2832" s="84">
        <v>44218.0</v>
      </c>
      <c r="J2832" s="65" t="b">
        <v>0</v>
      </c>
      <c r="K2832" s="65" t="s">
        <v>150</v>
      </c>
      <c r="L2832" s="85" t="b">
        <f>IF(VLOOKUP(C2832,Projetos!A:L,12,false)=TRUE,TRUE,FALSE)</f>
        <v>1</v>
      </c>
      <c r="M2832" s="74">
        <v>52.48434411075036</v>
      </c>
      <c r="N2832" s="74">
        <f t="shared" si="1"/>
        <v>0</v>
      </c>
      <c r="O2832" s="74" t="b">
        <v>1</v>
      </c>
    </row>
    <row r="2833" hidden="1">
      <c r="A2833" s="82"/>
      <c r="B2833" s="65" t="s">
        <v>411</v>
      </c>
      <c r="C2833" s="65" t="s">
        <v>88</v>
      </c>
      <c r="D2833" s="65"/>
      <c r="E2833" s="65" t="s">
        <v>270</v>
      </c>
      <c r="F2833" s="83">
        <v>0.7083333333333334</v>
      </c>
      <c r="G2833" s="83">
        <v>0.7291666666666666</v>
      </c>
      <c r="H2833" s="83">
        <v>0.020833333333333332</v>
      </c>
      <c r="I2833" s="84">
        <v>44218.0</v>
      </c>
      <c r="J2833" s="65" t="b">
        <v>0</v>
      </c>
      <c r="K2833" s="65" t="s">
        <v>150</v>
      </c>
      <c r="L2833" s="85" t="b">
        <f>IF(VLOOKUP(C2833,Projetos!A:L,12,false)=TRUE,TRUE,FALSE)</f>
        <v>1</v>
      </c>
      <c r="M2833" s="74">
        <v>52.48434411075036</v>
      </c>
      <c r="N2833" s="74">
        <f t="shared" si="1"/>
        <v>0</v>
      </c>
      <c r="O2833" s="74" t="b">
        <v>1</v>
      </c>
    </row>
    <row r="2834" hidden="1">
      <c r="A2834" s="82"/>
      <c r="B2834" s="65" t="s">
        <v>411</v>
      </c>
      <c r="C2834" s="65" t="s">
        <v>127</v>
      </c>
      <c r="D2834" s="65" t="str">
        <f>vlookup(C2834,'Classificação p pessoal'!F:G,2,false)</f>
        <v>NP</v>
      </c>
      <c r="E2834" s="65" t="s">
        <v>1874</v>
      </c>
      <c r="F2834" s="83">
        <v>0.7291666666666666</v>
      </c>
      <c r="G2834" s="83">
        <v>0.75</v>
      </c>
      <c r="H2834" s="83">
        <v>0.020833333333333332</v>
      </c>
      <c r="I2834" s="84">
        <v>44218.0</v>
      </c>
      <c r="J2834" s="65" t="b">
        <v>1</v>
      </c>
      <c r="K2834" s="65"/>
      <c r="L2834" s="85" t="b">
        <f>IF(VLOOKUP(C2834,Projetos!A:L,12,false)=TRUE,TRUE,FALSE)</f>
        <v>1</v>
      </c>
      <c r="M2834" s="74">
        <v>52.48434411075036</v>
      </c>
      <c r="N2834" s="74">
        <f t="shared" si="1"/>
        <v>26.24217206</v>
      </c>
      <c r="O2834" s="74" t="b">
        <v>1</v>
      </c>
    </row>
    <row r="2835" hidden="1">
      <c r="A2835" s="82"/>
      <c r="B2835" s="65" t="s">
        <v>411</v>
      </c>
      <c r="C2835" s="65" t="s">
        <v>117</v>
      </c>
      <c r="D2835" s="65"/>
      <c r="E2835" s="65" t="s">
        <v>1875</v>
      </c>
      <c r="F2835" s="83">
        <v>0.34375</v>
      </c>
      <c r="G2835" s="83">
        <v>0.375</v>
      </c>
      <c r="H2835" s="83">
        <v>0.03125</v>
      </c>
      <c r="I2835" s="84">
        <v>44221.0</v>
      </c>
      <c r="J2835" s="65" t="b">
        <v>0</v>
      </c>
      <c r="K2835" s="65" t="s">
        <v>150</v>
      </c>
      <c r="L2835" s="85" t="b">
        <f>IF(VLOOKUP(C2835,Projetos!A:L,12,false)=TRUE,TRUE,FALSE)</f>
        <v>1</v>
      </c>
      <c r="M2835" s="74">
        <v>52.48434411075036</v>
      </c>
      <c r="N2835" s="74">
        <f t="shared" si="1"/>
        <v>0</v>
      </c>
      <c r="O2835" s="74" t="b">
        <v>1</v>
      </c>
    </row>
    <row r="2836" hidden="1">
      <c r="A2836" s="82"/>
      <c r="B2836" s="65" t="s">
        <v>495</v>
      </c>
      <c r="C2836" s="65" t="s">
        <v>100</v>
      </c>
      <c r="D2836" s="65" t="str">
        <f>vlookup(C2836,'Classificação p pessoal'!F:G,2,false)</f>
        <v>NP</v>
      </c>
      <c r="E2836" s="65" t="s">
        <v>1876</v>
      </c>
      <c r="F2836" s="83">
        <v>0.4166666666666667</v>
      </c>
      <c r="G2836" s="83">
        <v>0.4583333333333333</v>
      </c>
      <c r="H2836" s="83">
        <v>0.041666666666666664</v>
      </c>
      <c r="I2836" s="84">
        <v>44218.0</v>
      </c>
      <c r="J2836" s="65" t="b">
        <v>1</v>
      </c>
      <c r="K2836" s="65"/>
      <c r="L2836" s="85" t="b">
        <f>IF(VLOOKUP(C2836,Projetos!A:L,12,false)=TRUE,TRUE,FALSE)</f>
        <v>1</v>
      </c>
      <c r="M2836" s="74">
        <v>73.7079846079846</v>
      </c>
      <c r="N2836" s="74">
        <f t="shared" si="1"/>
        <v>73.70798461</v>
      </c>
      <c r="O2836" s="74" t="b">
        <v>1</v>
      </c>
    </row>
    <row r="2837" hidden="1">
      <c r="A2837" s="82"/>
      <c r="B2837" s="65" t="s">
        <v>411</v>
      </c>
      <c r="C2837" s="65" t="s">
        <v>127</v>
      </c>
      <c r="D2837" s="65" t="str">
        <f>vlookup(C2837,'Classificação p pessoal'!F:G,2,false)</f>
        <v>NP</v>
      </c>
      <c r="E2837" s="65" t="s">
        <v>1877</v>
      </c>
      <c r="F2837" s="83">
        <v>0.3958333333333333</v>
      </c>
      <c r="G2837" s="83">
        <v>0.4375</v>
      </c>
      <c r="H2837" s="83">
        <v>0.041666666666666664</v>
      </c>
      <c r="I2837" s="84">
        <v>44221.0</v>
      </c>
      <c r="J2837" s="65" t="b">
        <v>1</v>
      </c>
      <c r="K2837" s="65"/>
      <c r="L2837" s="85" t="b">
        <f>IF(VLOOKUP(C2837,Projetos!A:L,12,false)=TRUE,TRUE,FALSE)</f>
        <v>1</v>
      </c>
      <c r="M2837" s="74">
        <v>52.48434411075036</v>
      </c>
      <c r="N2837" s="74">
        <f t="shared" si="1"/>
        <v>52.48434411</v>
      </c>
      <c r="O2837" s="74" t="b">
        <v>1</v>
      </c>
    </row>
    <row r="2838" hidden="1">
      <c r="A2838" s="82"/>
      <c r="B2838" s="65" t="s">
        <v>411</v>
      </c>
      <c r="C2838" s="65" t="s">
        <v>92</v>
      </c>
      <c r="D2838" s="65" t="str">
        <f>vlookup(C2838,'Classificação p pessoal'!F:G,2,false)</f>
        <v/>
      </c>
      <c r="E2838" s="65" t="s">
        <v>1878</v>
      </c>
      <c r="F2838" s="83">
        <v>0.4375</v>
      </c>
      <c r="G2838" s="83">
        <v>0.5</v>
      </c>
      <c r="H2838" s="83">
        <v>0.0625</v>
      </c>
      <c r="I2838" s="84">
        <v>44221.0</v>
      </c>
      <c r="J2838" s="65" t="b">
        <v>1</v>
      </c>
      <c r="K2838" s="65"/>
      <c r="L2838" s="85" t="b">
        <f>IF(VLOOKUP(C2838,Projetos!A:L,12,false)=TRUE,TRUE,FALSE)</f>
        <v>1</v>
      </c>
      <c r="M2838" s="74">
        <v>52.48434411075036</v>
      </c>
      <c r="N2838" s="74">
        <f t="shared" si="1"/>
        <v>78.72651617</v>
      </c>
      <c r="O2838" s="74" t="b">
        <v>1</v>
      </c>
    </row>
    <row r="2839" hidden="1">
      <c r="A2839" s="82"/>
      <c r="B2839" s="65" t="s">
        <v>411</v>
      </c>
      <c r="C2839" s="65" t="s">
        <v>127</v>
      </c>
      <c r="D2839" s="65" t="str">
        <f>vlookup(C2839,'Classificação p pessoal'!F:G,2,false)</f>
        <v>NP</v>
      </c>
      <c r="E2839" s="65" t="s">
        <v>1879</v>
      </c>
      <c r="F2839" s="83">
        <v>0.5</v>
      </c>
      <c r="G2839" s="83">
        <v>0.5416666666666666</v>
      </c>
      <c r="H2839" s="83">
        <v>0.041666666666666664</v>
      </c>
      <c r="I2839" s="84">
        <v>44221.0</v>
      </c>
      <c r="J2839" s="65" t="b">
        <v>1</v>
      </c>
      <c r="K2839" s="65"/>
      <c r="L2839" s="85" t="b">
        <f>IF(VLOOKUP(C2839,Projetos!A:L,12,false)=TRUE,TRUE,FALSE)</f>
        <v>1</v>
      </c>
      <c r="M2839" s="74">
        <v>52.48434411075036</v>
      </c>
      <c r="N2839" s="74">
        <f t="shared" si="1"/>
        <v>52.48434411</v>
      </c>
      <c r="O2839" s="74" t="b">
        <v>1</v>
      </c>
    </row>
    <row r="2840" hidden="1">
      <c r="A2840" s="82"/>
      <c r="B2840" s="65" t="s">
        <v>411</v>
      </c>
      <c r="C2840" s="65" t="s">
        <v>92</v>
      </c>
      <c r="D2840" s="65" t="str">
        <f>vlookup(C2840,'Classificação p pessoal'!F:G,2,false)</f>
        <v/>
      </c>
      <c r="E2840" s="65" t="s">
        <v>1880</v>
      </c>
      <c r="F2840" s="83">
        <v>0.5833333333333334</v>
      </c>
      <c r="G2840" s="83">
        <v>0.6458333333333334</v>
      </c>
      <c r="H2840" s="83">
        <v>0.0625</v>
      </c>
      <c r="I2840" s="84">
        <v>44221.0</v>
      </c>
      <c r="J2840" s="65" t="b">
        <v>1</v>
      </c>
      <c r="K2840" s="65"/>
      <c r="L2840" s="85" t="b">
        <f>IF(VLOOKUP(C2840,Projetos!A:L,12,false)=TRUE,TRUE,FALSE)</f>
        <v>1</v>
      </c>
      <c r="M2840" s="74">
        <v>52.48434411075036</v>
      </c>
      <c r="N2840" s="74">
        <f t="shared" si="1"/>
        <v>78.72651617</v>
      </c>
      <c r="O2840" s="74" t="b">
        <v>1</v>
      </c>
    </row>
    <row r="2841" hidden="1">
      <c r="A2841" s="82"/>
      <c r="B2841" s="65" t="s">
        <v>411</v>
      </c>
      <c r="C2841" s="65" t="s">
        <v>117</v>
      </c>
      <c r="D2841" s="65" t="str">
        <f>vlookup(C2841,'Classificação p pessoal'!F:G,2,false)</f>
        <v>NP</v>
      </c>
      <c r="E2841" s="65" t="s">
        <v>1881</v>
      </c>
      <c r="F2841" s="83">
        <v>0.6458333333333334</v>
      </c>
      <c r="G2841" s="83">
        <v>0.6875</v>
      </c>
      <c r="H2841" s="83">
        <v>0.041666666666666664</v>
      </c>
      <c r="I2841" s="84">
        <v>44221.0</v>
      </c>
      <c r="J2841" s="65" t="b">
        <v>1</v>
      </c>
      <c r="K2841" s="65"/>
      <c r="L2841" s="85" t="b">
        <f>IF(VLOOKUP(C2841,Projetos!A:L,12,false)=TRUE,TRUE,FALSE)</f>
        <v>1</v>
      </c>
      <c r="M2841" s="74">
        <v>52.48434411075036</v>
      </c>
      <c r="N2841" s="74">
        <f t="shared" si="1"/>
        <v>52.48434411</v>
      </c>
      <c r="O2841" s="74" t="b">
        <v>1</v>
      </c>
    </row>
    <row r="2842" hidden="1">
      <c r="A2842" s="82"/>
      <c r="B2842" s="65" t="s">
        <v>411</v>
      </c>
      <c r="C2842" s="65" t="s">
        <v>92</v>
      </c>
      <c r="D2842" s="65" t="str">
        <f>vlookup(C2842,'Classificação p pessoal'!F:G,2,false)</f>
        <v/>
      </c>
      <c r="E2842" s="65" t="s">
        <v>1882</v>
      </c>
      <c r="F2842" s="83">
        <v>0.6875</v>
      </c>
      <c r="G2842" s="83">
        <v>0.7083333333333334</v>
      </c>
      <c r="H2842" s="83">
        <v>0.020833333333333332</v>
      </c>
      <c r="I2842" s="84">
        <v>44221.0</v>
      </c>
      <c r="J2842" s="65" t="b">
        <v>1</v>
      </c>
      <c r="K2842" s="65"/>
      <c r="L2842" s="85" t="b">
        <f>IF(VLOOKUP(C2842,Projetos!A:L,12,false)=TRUE,TRUE,FALSE)</f>
        <v>1</v>
      </c>
      <c r="M2842" s="74">
        <v>52.48434411075036</v>
      </c>
      <c r="N2842" s="74">
        <f t="shared" si="1"/>
        <v>26.24217206</v>
      </c>
      <c r="O2842" s="74" t="b">
        <v>1</v>
      </c>
    </row>
    <row r="2843" hidden="1">
      <c r="A2843" s="82"/>
      <c r="B2843" s="65" t="s">
        <v>177</v>
      </c>
      <c r="C2843" s="65" t="s">
        <v>101</v>
      </c>
      <c r="D2843" s="65" t="str">
        <f>vlookup(C2843,'Classificação p pessoal'!F:G,2,false)</f>
        <v>NP</v>
      </c>
      <c r="E2843" s="65" t="s">
        <v>1883</v>
      </c>
      <c r="F2843" s="83">
        <v>0.6666666666666666</v>
      </c>
      <c r="G2843" s="83">
        <v>0.6944444444444444</v>
      </c>
      <c r="H2843" s="83">
        <v>0.027777777777777776</v>
      </c>
      <c r="I2843" s="84">
        <v>44537.0</v>
      </c>
      <c r="J2843" s="65" t="b">
        <v>1</v>
      </c>
      <c r="K2843" s="65"/>
      <c r="L2843" s="85" t="b">
        <f>IF(VLOOKUP(C2843,Projetos!A:L,12,false)=TRUE,TRUE,FALSE)</f>
        <v>1</v>
      </c>
      <c r="M2843" s="74">
        <v>31.02923620430495</v>
      </c>
      <c r="N2843" s="74">
        <f t="shared" si="1"/>
        <v>20.68615747</v>
      </c>
      <c r="O2843" s="74" t="b">
        <v>1</v>
      </c>
    </row>
    <row r="2844" hidden="1">
      <c r="A2844" s="82"/>
      <c r="B2844" s="65" t="s">
        <v>411</v>
      </c>
      <c r="C2844" s="65" t="s">
        <v>117</v>
      </c>
      <c r="D2844" s="65" t="str">
        <f>vlookup(C2844,'Classificação p pessoal'!F:G,2,false)</f>
        <v>NP</v>
      </c>
      <c r="E2844" s="65" t="s">
        <v>1884</v>
      </c>
      <c r="F2844" s="83">
        <v>0.4479166666666667</v>
      </c>
      <c r="G2844" s="83">
        <v>0.5833333333333334</v>
      </c>
      <c r="H2844" s="83">
        <v>0.13541666666666666</v>
      </c>
      <c r="I2844" s="84">
        <v>44222.0</v>
      </c>
      <c r="J2844" s="65" t="b">
        <v>1</v>
      </c>
      <c r="K2844" s="65"/>
      <c r="L2844" s="85" t="b">
        <f>IF(VLOOKUP(C2844,Projetos!A:L,12,false)=TRUE,TRUE,FALSE)</f>
        <v>1</v>
      </c>
      <c r="M2844" s="74">
        <v>52.48434411075036</v>
      </c>
      <c r="N2844" s="74">
        <f t="shared" si="1"/>
        <v>170.5741184</v>
      </c>
      <c r="O2844" s="74" t="b">
        <v>1</v>
      </c>
    </row>
    <row r="2845" hidden="1">
      <c r="A2845" s="82"/>
      <c r="B2845" s="65" t="s">
        <v>411</v>
      </c>
      <c r="C2845" s="65" t="s">
        <v>88</v>
      </c>
      <c r="D2845" s="65" t="str">
        <f>vlookup(C2845,'Classificação p pessoal'!F:G,2,false)</f>
        <v>MProduto</v>
      </c>
      <c r="E2845" s="65" t="s">
        <v>1885</v>
      </c>
      <c r="F2845" s="83">
        <v>0.625</v>
      </c>
      <c r="G2845" s="83">
        <v>0.6458333333333334</v>
      </c>
      <c r="H2845" s="83">
        <v>0.020833333333333332</v>
      </c>
      <c r="I2845" s="84">
        <v>44222.0</v>
      </c>
      <c r="J2845" s="65" t="b">
        <v>1</v>
      </c>
      <c r="K2845" s="65"/>
      <c r="L2845" s="85" t="b">
        <f>IF(VLOOKUP(C2845,Projetos!A:L,12,false)=TRUE,TRUE,FALSE)</f>
        <v>1</v>
      </c>
      <c r="M2845" s="74">
        <v>52.48434411075036</v>
      </c>
      <c r="N2845" s="74">
        <f t="shared" si="1"/>
        <v>26.24217206</v>
      </c>
      <c r="O2845" s="74" t="b">
        <v>1</v>
      </c>
    </row>
    <row r="2846" hidden="1">
      <c r="A2846" s="82"/>
      <c r="B2846" s="65" t="s">
        <v>411</v>
      </c>
      <c r="C2846" s="65" t="s">
        <v>117</v>
      </c>
      <c r="D2846" s="65"/>
      <c r="E2846" s="65" t="s">
        <v>1886</v>
      </c>
      <c r="F2846" s="83">
        <v>0.6458333333333334</v>
      </c>
      <c r="G2846" s="83">
        <v>0.6875</v>
      </c>
      <c r="H2846" s="83">
        <v>0.041666666666666664</v>
      </c>
      <c r="I2846" s="84">
        <v>44222.0</v>
      </c>
      <c r="J2846" s="65" t="b">
        <v>0</v>
      </c>
      <c r="K2846" s="65" t="s">
        <v>150</v>
      </c>
      <c r="L2846" s="85" t="b">
        <f>IF(VLOOKUP(C2846,Projetos!A:L,12,false)=TRUE,TRUE,FALSE)</f>
        <v>1</v>
      </c>
      <c r="M2846" s="74">
        <v>52.48434411075036</v>
      </c>
      <c r="N2846" s="74">
        <f t="shared" si="1"/>
        <v>0</v>
      </c>
      <c r="O2846" s="74" t="b">
        <v>1</v>
      </c>
    </row>
    <row r="2847" hidden="1">
      <c r="A2847" s="82"/>
      <c r="B2847" s="65" t="s">
        <v>411</v>
      </c>
      <c r="C2847" s="65" t="s">
        <v>92</v>
      </c>
      <c r="D2847" s="65" t="str">
        <f>vlookup(C2847,'Classificação p pessoal'!F:G,2,false)</f>
        <v/>
      </c>
      <c r="E2847" s="65" t="s">
        <v>1887</v>
      </c>
      <c r="F2847" s="83">
        <v>0.6875</v>
      </c>
      <c r="G2847" s="83">
        <v>0.7083333333333334</v>
      </c>
      <c r="H2847" s="83">
        <v>0.020833333333333332</v>
      </c>
      <c r="I2847" s="84">
        <v>44222.0</v>
      </c>
      <c r="J2847" s="65" t="b">
        <v>1</v>
      </c>
      <c r="K2847" s="65"/>
      <c r="L2847" s="85" t="b">
        <f>IF(VLOOKUP(C2847,Projetos!A:L,12,false)=TRUE,TRUE,FALSE)</f>
        <v>1</v>
      </c>
      <c r="M2847" s="74">
        <v>52.48434411075036</v>
      </c>
      <c r="N2847" s="74">
        <f t="shared" si="1"/>
        <v>26.24217206</v>
      </c>
      <c r="O2847" s="74" t="b">
        <v>1</v>
      </c>
    </row>
    <row r="2848" hidden="1">
      <c r="A2848" s="82"/>
      <c r="B2848" s="65" t="s">
        <v>411</v>
      </c>
      <c r="C2848" s="65" t="s">
        <v>117</v>
      </c>
      <c r="D2848" s="65" t="str">
        <f>vlookup(C2848,'Classificação p pessoal'!F:G,2,false)</f>
        <v>NP</v>
      </c>
      <c r="E2848" s="65" t="s">
        <v>1888</v>
      </c>
      <c r="F2848" s="83">
        <v>0.34375</v>
      </c>
      <c r="G2848" s="83">
        <v>0.375</v>
      </c>
      <c r="H2848" s="83">
        <v>0.03125</v>
      </c>
      <c r="I2848" s="84">
        <v>44223.0</v>
      </c>
      <c r="J2848" s="65" t="b">
        <v>1</v>
      </c>
      <c r="K2848" s="65"/>
      <c r="L2848" s="85" t="b">
        <f>IF(VLOOKUP(C2848,Projetos!A:L,12,false)=TRUE,TRUE,FALSE)</f>
        <v>1</v>
      </c>
      <c r="M2848" s="74">
        <v>52.48434411075036</v>
      </c>
      <c r="N2848" s="74">
        <f t="shared" si="1"/>
        <v>39.36325808</v>
      </c>
      <c r="O2848" s="74" t="b">
        <v>1</v>
      </c>
    </row>
    <row r="2849" hidden="1">
      <c r="A2849" s="82"/>
      <c r="B2849" s="65" t="s">
        <v>411</v>
      </c>
      <c r="C2849" s="65" t="s">
        <v>88</v>
      </c>
      <c r="D2849" s="65" t="str">
        <f>vlookup(C2849,'Classificação p pessoal'!F:G,2,false)</f>
        <v>MProduto</v>
      </c>
      <c r="E2849" s="65" t="s">
        <v>1889</v>
      </c>
      <c r="F2849" s="83">
        <v>0.375</v>
      </c>
      <c r="G2849" s="83">
        <v>0.4166666666666667</v>
      </c>
      <c r="H2849" s="83">
        <v>0.041666666666666664</v>
      </c>
      <c r="I2849" s="84">
        <v>44223.0</v>
      </c>
      <c r="J2849" s="65" t="b">
        <v>1</v>
      </c>
      <c r="K2849" s="65"/>
      <c r="L2849" s="85" t="b">
        <f>IF(VLOOKUP(C2849,Projetos!A:L,12,false)=TRUE,TRUE,FALSE)</f>
        <v>1</v>
      </c>
      <c r="M2849" s="74">
        <v>52.48434411075036</v>
      </c>
      <c r="N2849" s="74">
        <f t="shared" si="1"/>
        <v>52.48434411</v>
      </c>
      <c r="O2849" s="74" t="b">
        <v>1</v>
      </c>
    </row>
    <row r="2850" hidden="1">
      <c r="A2850" s="82"/>
      <c r="B2850" s="65" t="s">
        <v>411</v>
      </c>
      <c r="C2850" s="65" t="s">
        <v>127</v>
      </c>
      <c r="D2850" s="65" t="str">
        <f>vlookup(C2850,'Classificação p pessoal'!F:G,2,false)</f>
        <v>NP</v>
      </c>
      <c r="E2850" s="65" t="s">
        <v>1890</v>
      </c>
      <c r="F2850" s="83">
        <v>0.4166666666666667</v>
      </c>
      <c r="G2850" s="83">
        <v>0.4583333333333333</v>
      </c>
      <c r="H2850" s="83">
        <v>0.041666666666666664</v>
      </c>
      <c r="I2850" s="84">
        <v>44223.0</v>
      </c>
      <c r="J2850" s="65" t="b">
        <v>1</v>
      </c>
      <c r="K2850" s="65"/>
      <c r="L2850" s="85" t="b">
        <f>IF(VLOOKUP(C2850,Projetos!A:L,12,false)=TRUE,TRUE,FALSE)</f>
        <v>1</v>
      </c>
      <c r="M2850" s="74">
        <v>52.48434411075036</v>
      </c>
      <c r="N2850" s="74">
        <f t="shared" si="1"/>
        <v>52.48434411</v>
      </c>
      <c r="O2850" s="74" t="b">
        <v>1</v>
      </c>
    </row>
    <row r="2851" hidden="1">
      <c r="A2851" s="82"/>
      <c r="B2851" s="65" t="s">
        <v>411</v>
      </c>
      <c r="C2851" s="65" t="s">
        <v>117</v>
      </c>
      <c r="D2851" s="65" t="str">
        <f>vlookup(C2851,'Classificação p pessoal'!F:G,2,false)</f>
        <v>NP</v>
      </c>
      <c r="E2851" s="65" t="s">
        <v>1891</v>
      </c>
      <c r="F2851" s="83">
        <v>0.4583333333333333</v>
      </c>
      <c r="G2851" s="83">
        <v>0.5</v>
      </c>
      <c r="H2851" s="83">
        <v>0.041666666666666664</v>
      </c>
      <c r="I2851" s="84">
        <v>44223.0</v>
      </c>
      <c r="J2851" s="65" t="b">
        <v>1</v>
      </c>
      <c r="K2851" s="65"/>
      <c r="L2851" s="85" t="b">
        <f>IF(VLOOKUP(C2851,Projetos!A:L,12,false)=TRUE,TRUE,FALSE)</f>
        <v>1</v>
      </c>
      <c r="M2851" s="74">
        <v>52.48434411075036</v>
      </c>
      <c r="N2851" s="74">
        <f t="shared" si="1"/>
        <v>52.48434411</v>
      </c>
      <c r="O2851" s="74" t="b">
        <v>1</v>
      </c>
    </row>
    <row r="2852" hidden="1">
      <c r="A2852" s="82"/>
      <c r="B2852" s="65" t="s">
        <v>411</v>
      </c>
      <c r="C2852" s="65" t="s">
        <v>92</v>
      </c>
      <c r="D2852" s="65" t="str">
        <f>vlookup(C2852,'Classificação p pessoal'!F:G,2,false)</f>
        <v/>
      </c>
      <c r="E2852" s="65" t="s">
        <v>1882</v>
      </c>
      <c r="F2852" s="83">
        <v>0.5</v>
      </c>
      <c r="G2852" s="83">
        <v>0.5208333333333334</v>
      </c>
      <c r="H2852" s="83">
        <v>0.020833333333333332</v>
      </c>
      <c r="I2852" s="84">
        <v>44223.0</v>
      </c>
      <c r="J2852" s="65" t="b">
        <v>1</v>
      </c>
      <c r="K2852" s="65"/>
      <c r="L2852" s="85" t="b">
        <f>IF(VLOOKUP(C2852,Projetos!A:L,12,false)=TRUE,TRUE,FALSE)</f>
        <v>1</v>
      </c>
      <c r="M2852" s="74">
        <v>52.48434411075036</v>
      </c>
      <c r="N2852" s="74">
        <f t="shared" si="1"/>
        <v>26.24217206</v>
      </c>
      <c r="O2852" s="74" t="b">
        <v>1</v>
      </c>
    </row>
    <row r="2853" hidden="1">
      <c r="A2853" s="82"/>
      <c r="B2853" s="65" t="s">
        <v>411</v>
      </c>
      <c r="C2853" s="65" t="s">
        <v>92</v>
      </c>
      <c r="D2853" s="65" t="str">
        <f>vlookup(C2853,'Classificação p pessoal'!F:G,2,false)</f>
        <v/>
      </c>
      <c r="E2853" s="65" t="s">
        <v>1892</v>
      </c>
      <c r="F2853" s="83">
        <v>0.5625</v>
      </c>
      <c r="G2853" s="83">
        <v>0.5833333333333334</v>
      </c>
      <c r="H2853" s="83">
        <v>0.020833333333333332</v>
      </c>
      <c r="I2853" s="84">
        <v>44223.0</v>
      </c>
      <c r="J2853" s="65" t="b">
        <v>1</v>
      </c>
      <c r="K2853" s="65"/>
      <c r="L2853" s="85" t="b">
        <f>IF(VLOOKUP(C2853,Projetos!A:L,12,false)=TRUE,TRUE,FALSE)</f>
        <v>1</v>
      </c>
      <c r="M2853" s="74">
        <v>52.48434411075036</v>
      </c>
      <c r="N2853" s="74">
        <f t="shared" si="1"/>
        <v>26.24217206</v>
      </c>
      <c r="O2853" s="74" t="b">
        <v>1</v>
      </c>
    </row>
    <row r="2854" hidden="1">
      <c r="A2854" s="82"/>
      <c r="B2854" s="65" t="s">
        <v>411</v>
      </c>
      <c r="C2854" s="65" t="s">
        <v>117</v>
      </c>
      <c r="D2854" s="65" t="str">
        <f>vlookup(C2854,'Classificação p pessoal'!F:G,2,false)</f>
        <v>NP</v>
      </c>
      <c r="E2854" s="65" t="s">
        <v>1893</v>
      </c>
      <c r="F2854" s="83">
        <v>0.5833333333333334</v>
      </c>
      <c r="G2854" s="83">
        <v>0.625</v>
      </c>
      <c r="H2854" s="83">
        <v>0.041666666666666664</v>
      </c>
      <c r="I2854" s="84">
        <v>44223.0</v>
      </c>
      <c r="J2854" s="65" t="b">
        <v>1</v>
      </c>
      <c r="K2854" s="65"/>
      <c r="L2854" s="85" t="b">
        <f>IF(VLOOKUP(C2854,Projetos!A:L,12,false)=TRUE,TRUE,FALSE)</f>
        <v>1</v>
      </c>
      <c r="M2854" s="74">
        <v>52.48434411075036</v>
      </c>
      <c r="N2854" s="74">
        <f t="shared" si="1"/>
        <v>52.48434411</v>
      </c>
      <c r="O2854" s="74" t="b">
        <v>1</v>
      </c>
    </row>
    <row r="2855" hidden="1">
      <c r="A2855" s="82"/>
      <c r="B2855" s="65" t="s">
        <v>411</v>
      </c>
      <c r="C2855" s="65" t="s">
        <v>92</v>
      </c>
      <c r="D2855" s="65" t="str">
        <f>vlookup(C2855,'Classificação p pessoal'!F:G,2,false)</f>
        <v/>
      </c>
      <c r="E2855" s="65" t="s">
        <v>1894</v>
      </c>
      <c r="F2855" s="83">
        <v>0.625</v>
      </c>
      <c r="G2855" s="83">
        <v>0.75</v>
      </c>
      <c r="H2855" s="83">
        <v>0.125</v>
      </c>
      <c r="I2855" s="84">
        <v>44223.0</v>
      </c>
      <c r="J2855" s="65" t="b">
        <v>1</v>
      </c>
      <c r="K2855" s="65"/>
      <c r="L2855" s="85" t="b">
        <f>IF(VLOOKUP(C2855,Projetos!A:L,12,false)=TRUE,TRUE,FALSE)</f>
        <v>1</v>
      </c>
      <c r="M2855" s="74">
        <v>52.48434411075036</v>
      </c>
      <c r="N2855" s="74">
        <f t="shared" si="1"/>
        <v>157.4530323</v>
      </c>
      <c r="O2855" s="74" t="b">
        <v>1</v>
      </c>
    </row>
    <row r="2856" hidden="1">
      <c r="A2856" s="82"/>
      <c r="B2856" s="65" t="s">
        <v>411</v>
      </c>
      <c r="C2856" s="65" t="s">
        <v>92</v>
      </c>
      <c r="D2856" s="65" t="str">
        <f>vlookup(C2856,'Classificação p pessoal'!F:G,2,false)</f>
        <v/>
      </c>
      <c r="E2856" s="65" t="s">
        <v>1895</v>
      </c>
      <c r="F2856" s="83">
        <v>0.34375</v>
      </c>
      <c r="G2856" s="83">
        <v>0.4166666666666667</v>
      </c>
      <c r="H2856" s="83">
        <v>0.07291666666666667</v>
      </c>
      <c r="I2856" s="84">
        <v>44224.0</v>
      </c>
      <c r="J2856" s="65" t="b">
        <v>1</v>
      </c>
      <c r="K2856" s="65"/>
      <c r="L2856" s="85" t="b">
        <f>IF(VLOOKUP(C2856,Projetos!A:L,12,false)=TRUE,TRUE,FALSE)</f>
        <v>1</v>
      </c>
      <c r="M2856" s="74">
        <v>52.48434411075036</v>
      </c>
      <c r="N2856" s="74">
        <f t="shared" si="1"/>
        <v>91.84760219</v>
      </c>
      <c r="O2856" s="74" t="b">
        <v>1</v>
      </c>
    </row>
    <row r="2857" hidden="1">
      <c r="A2857" s="82"/>
      <c r="B2857" s="65" t="s">
        <v>411</v>
      </c>
      <c r="C2857" s="65" t="s">
        <v>117</v>
      </c>
      <c r="D2857" s="65" t="str">
        <f>vlookup(C2857,'Classificação p pessoal'!F:G,2,false)</f>
        <v>NP</v>
      </c>
      <c r="E2857" s="65" t="s">
        <v>1896</v>
      </c>
      <c r="F2857" s="83">
        <v>0.4166666666666667</v>
      </c>
      <c r="G2857" s="83">
        <v>0.4583333333333333</v>
      </c>
      <c r="H2857" s="83">
        <v>0.041666666666666664</v>
      </c>
      <c r="I2857" s="84">
        <v>44224.0</v>
      </c>
      <c r="J2857" s="65" t="b">
        <v>1</v>
      </c>
      <c r="K2857" s="65"/>
      <c r="L2857" s="85" t="b">
        <f>IF(VLOOKUP(C2857,Projetos!A:L,12,false)=TRUE,TRUE,FALSE)</f>
        <v>1</v>
      </c>
      <c r="M2857" s="74">
        <v>52.48434411075036</v>
      </c>
      <c r="N2857" s="74">
        <f t="shared" si="1"/>
        <v>52.48434411</v>
      </c>
      <c r="O2857" s="74" t="b">
        <v>1</v>
      </c>
    </row>
    <row r="2858" hidden="1">
      <c r="A2858" s="82"/>
      <c r="B2858" s="65" t="s">
        <v>411</v>
      </c>
      <c r="C2858" s="65" t="s">
        <v>92</v>
      </c>
      <c r="D2858" s="65" t="str">
        <f>vlookup(C2858,'Classificação p pessoal'!F:G,2,false)</f>
        <v/>
      </c>
      <c r="E2858" s="65" t="s">
        <v>1897</v>
      </c>
      <c r="F2858" s="83">
        <v>0.4583333333333333</v>
      </c>
      <c r="G2858" s="83">
        <v>0.5208333333333334</v>
      </c>
      <c r="H2858" s="83">
        <v>0.0625</v>
      </c>
      <c r="I2858" s="84">
        <v>44224.0</v>
      </c>
      <c r="J2858" s="65" t="b">
        <v>1</v>
      </c>
      <c r="K2858" s="65"/>
      <c r="L2858" s="85" t="b">
        <f>IF(VLOOKUP(C2858,Projetos!A:L,12,false)=TRUE,TRUE,FALSE)</f>
        <v>1</v>
      </c>
      <c r="M2858" s="74">
        <v>52.48434411075036</v>
      </c>
      <c r="N2858" s="74">
        <f t="shared" si="1"/>
        <v>78.72651617</v>
      </c>
      <c r="O2858" s="74" t="b">
        <v>1</v>
      </c>
    </row>
    <row r="2859" hidden="1">
      <c r="A2859" s="82"/>
      <c r="B2859" s="65" t="s">
        <v>411</v>
      </c>
      <c r="C2859" s="65" t="s">
        <v>117</v>
      </c>
      <c r="D2859" s="65" t="str">
        <f>vlookup(C2859,'Classificação p pessoal'!F:G,2,false)</f>
        <v>NP</v>
      </c>
      <c r="E2859" s="65" t="s">
        <v>1898</v>
      </c>
      <c r="F2859" s="83">
        <v>0.5208333333333334</v>
      </c>
      <c r="G2859" s="83">
        <v>0.5625</v>
      </c>
      <c r="H2859" s="83">
        <v>0.041666666666666664</v>
      </c>
      <c r="I2859" s="84">
        <v>44224.0</v>
      </c>
      <c r="J2859" s="65" t="b">
        <v>1</v>
      </c>
      <c r="K2859" s="65"/>
      <c r="L2859" s="85" t="b">
        <f>IF(VLOOKUP(C2859,Projetos!A:L,12,false)=TRUE,TRUE,FALSE)</f>
        <v>1</v>
      </c>
      <c r="M2859" s="74">
        <v>52.48434411075036</v>
      </c>
      <c r="N2859" s="74">
        <f t="shared" si="1"/>
        <v>52.48434411</v>
      </c>
      <c r="O2859" s="74" t="b">
        <v>1</v>
      </c>
    </row>
    <row r="2860" hidden="1">
      <c r="A2860" s="82"/>
      <c r="B2860" s="65" t="s">
        <v>411</v>
      </c>
      <c r="C2860" s="65" t="s">
        <v>92</v>
      </c>
      <c r="D2860" s="65" t="str">
        <f>vlookup(C2860,'Classificação p pessoal'!F:G,2,false)</f>
        <v/>
      </c>
      <c r="E2860" s="65" t="s">
        <v>1899</v>
      </c>
      <c r="F2860" s="83">
        <v>0.6041666666666666</v>
      </c>
      <c r="G2860" s="83">
        <v>0.7291666666666666</v>
      </c>
      <c r="H2860" s="83">
        <v>0.125</v>
      </c>
      <c r="I2860" s="84">
        <v>44224.0</v>
      </c>
      <c r="J2860" s="65" t="b">
        <v>1</v>
      </c>
      <c r="K2860" s="65"/>
      <c r="L2860" s="85" t="b">
        <f>IF(VLOOKUP(C2860,Projetos!A:L,12,false)=TRUE,TRUE,FALSE)</f>
        <v>1</v>
      </c>
      <c r="M2860" s="74">
        <v>52.48434411075036</v>
      </c>
      <c r="N2860" s="74">
        <f t="shared" si="1"/>
        <v>157.4530323</v>
      </c>
      <c r="O2860" s="74" t="b">
        <v>1</v>
      </c>
    </row>
    <row r="2861" hidden="1">
      <c r="A2861" s="82"/>
      <c r="B2861" s="65" t="s">
        <v>411</v>
      </c>
      <c r="C2861" s="65" t="s">
        <v>92</v>
      </c>
      <c r="D2861" s="65" t="str">
        <f>vlookup(C2861,'Classificação p pessoal'!F:G,2,false)</f>
        <v/>
      </c>
      <c r="E2861" s="65" t="s">
        <v>1900</v>
      </c>
      <c r="F2861" s="83">
        <v>0.34375</v>
      </c>
      <c r="G2861" s="83">
        <v>0.3541666666666667</v>
      </c>
      <c r="H2861" s="83">
        <v>0.010416666666666666</v>
      </c>
      <c r="I2861" s="84">
        <v>44225.0</v>
      </c>
      <c r="J2861" s="65" t="b">
        <v>1</v>
      </c>
      <c r="K2861" s="65"/>
      <c r="L2861" s="85" t="b">
        <f>IF(VLOOKUP(C2861,Projetos!A:L,12,false)=TRUE,TRUE,FALSE)</f>
        <v>1</v>
      </c>
      <c r="M2861" s="74">
        <v>52.48434411075036</v>
      </c>
      <c r="N2861" s="74">
        <f t="shared" si="1"/>
        <v>13.12108603</v>
      </c>
      <c r="O2861" s="74" t="b">
        <v>1</v>
      </c>
    </row>
    <row r="2862" hidden="1">
      <c r="A2862" s="82"/>
      <c r="B2862" s="65" t="s">
        <v>411</v>
      </c>
      <c r="C2862" s="65" t="s">
        <v>122</v>
      </c>
      <c r="D2862" s="65" t="str">
        <f>vlookup(C2862,'Classificação p pessoal'!F:G,2,false)</f>
        <v>NP</v>
      </c>
      <c r="E2862" s="65" t="s">
        <v>1901</v>
      </c>
      <c r="F2862" s="83">
        <v>0.3541666666666667</v>
      </c>
      <c r="G2862" s="83">
        <v>0.3958333333333333</v>
      </c>
      <c r="H2862" s="83">
        <v>0.041666666666666664</v>
      </c>
      <c r="I2862" s="84">
        <v>44225.0</v>
      </c>
      <c r="J2862" s="65" t="b">
        <v>1</v>
      </c>
      <c r="K2862" s="65"/>
      <c r="L2862" s="85" t="b">
        <f>IF(VLOOKUP(C2862,Projetos!A:L,12,false)=TRUE,TRUE,FALSE)</f>
        <v>1</v>
      </c>
      <c r="M2862" s="74">
        <v>52.48434411075036</v>
      </c>
      <c r="N2862" s="74">
        <f t="shared" si="1"/>
        <v>52.48434411</v>
      </c>
      <c r="O2862" s="74" t="b">
        <v>1</v>
      </c>
    </row>
    <row r="2863" hidden="1">
      <c r="A2863" s="82"/>
      <c r="B2863" s="65" t="s">
        <v>411</v>
      </c>
      <c r="C2863" s="65" t="s">
        <v>130</v>
      </c>
      <c r="D2863" s="65" t="str">
        <f>vlookup(C2863,'Classificação p pessoal'!F:G,2,false)</f>
        <v>NP</v>
      </c>
      <c r="E2863" s="65" t="s">
        <v>1902</v>
      </c>
      <c r="F2863" s="83">
        <v>0.3958333333333333</v>
      </c>
      <c r="G2863" s="83">
        <v>0.4375</v>
      </c>
      <c r="H2863" s="83">
        <v>0.041666666666666664</v>
      </c>
      <c r="I2863" s="84">
        <v>44225.0</v>
      </c>
      <c r="J2863" s="65" t="b">
        <v>1</v>
      </c>
      <c r="K2863" s="65"/>
      <c r="L2863" s="85" t="b">
        <f>IF(VLOOKUP(C2863,Projetos!A:L,12,false)=TRUE,TRUE,FALSE)</f>
        <v>1</v>
      </c>
      <c r="M2863" s="74">
        <v>52.48434411075036</v>
      </c>
      <c r="N2863" s="74">
        <f t="shared" si="1"/>
        <v>52.48434411</v>
      </c>
      <c r="O2863" s="74" t="b">
        <v>1</v>
      </c>
    </row>
    <row r="2864" hidden="1">
      <c r="A2864" s="82"/>
      <c r="B2864" s="65" t="s">
        <v>411</v>
      </c>
      <c r="C2864" s="65" t="s">
        <v>122</v>
      </c>
      <c r="D2864" s="65" t="str">
        <f>vlookup(C2864,'Classificação p pessoal'!F:G,2,false)</f>
        <v>NP</v>
      </c>
      <c r="E2864" s="65" t="s">
        <v>1903</v>
      </c>
      <c r="F2864" s="83">
        <v>0.4375</v>
      </c>
      <c r="G2864" s="83">
        <v>0.4791666666666667</v>
      </c>
      <c r="H2864" s="83">
        <v>0.041666666666666664</v>
      </c>
      <c r="I2864" s="84">
        <v>44225.0</v>
      </c>
      <c r="J2864" s="65" t="b">
        <v>1</v>
      </c>
      <c r="K2864" s="65"/>
      <c r="L2864" s="85" t="b">
        <f>IF(VLOOKUP(C2864,Projetos!A:L,12,false)=TRUE,TRUE,FALSE)</f>
        <v>1</v>
      </c>
      <c r="M2864" s="74">
        <v>52.48434411075036</v>
      </c>
      <c r="N2864" s="74">
        <f t="shared" si="1"/>
        <v>52.48434411</v>
      </c>
      <c r="O2864" s="74" t="b">
        <v>1</v>
      </c>
    </row>
    <row r="2865" hidden="1">
      <c r="A2865" s="82"/>
      <c r="B2865" s="65" t="s">
        <v>411</v>
      </c>
      <c r="C2865" s="65" t="s">
        <v>117</v>
      </c>
      <c r="D2865" s="65" t="str">
        <f>vlookup(C2865,'Classificação p pessoal'!F:G,2,false)</f>
        <v>NP</v>
      </c>
      <c r="E2865" s="65" t="s">
        <v>1904</v>
      </c>
      <c r="F2865" s="83">
        <v>0.4791666666666667</v>
      </c>
      <c r="G2865" s="83">
        <v>0.6041666666666666</v>
      </c>
      <c r="H2865" s="83">
        <v>0.125</v>
      </c>
      <c r="I2865" s="84">
        <v>44225.0</v>
      </c>
      <c r="J2865" s="65" t="b">
        <v>1</v>
      </c>
      <c r="K2865" s="65"/>
      <c r="L2865" s="85" t="b">
        <f>IF(VLOOKUP(C2865,Projetos!A:L,12,false)=TRUE,TRUE,FALSE)</f>
        <v>1</v>
      </c>
      <c r="M2865" s="74">
        <v>52.48434411075036</v>
      </c>
      <c r="N2865" s="74">
        <f t="shared" si="1"/>
        <v>157.4530323</v>
      </c>
      <c r="O2865" s="74" t="b">
        <v>1</v>
      </c>
    </row>
    <row r="2866" hidden="1">
      <c r="A2866" s="82"/>
      <c r="B2866" s="65" t="s">
        <v>411</v>
      </c>
      <c r="C2866" s="65" t="s">
        <v>117</v>
      </c>
      <c r="D2866" s="65" t="str">
        <f>vlookup(C2866,'Classificação p pessoal'!F:G,2,false)</f>
        <v>NP</v>
      </c>
      <c r="E2866" s="65" t="s">
        <v>1905</v>
      </c>
      <c r="F2866" s="83">
        <v>0.6458333333333334</v>
      </c>
      <c r="G2866" s="83">
        <v>0.6875</v>
      </c>
      <c r="H2866" s="83">
        <v>0.041666666666666664</v>
      </c>
      <c r="I2866" s="84">
        <v>44225.0</v>
      </c>
      <c r="J2866" s="65" t="b">
        <v>1</v>
      </c>
      <c r="K2866" s="65"/>
      <c r="L2866" s="85" t="b">
        <f>IF(VLOOKUP(C2866,Projetos!A:L,12,false)=TRUE,TRUE,FALSE)</f>
        <v>1</v>
      </c>
      <c r="M2866" s="74">
        <v>52.48434411075036</v>
      </c>
      <c r="N2866" s="74">
        <f t="shared" si="1"/>
        <v>52.48434411</v>
      </c>
      <c r="O2866" s="74" t="b">
        <v>1</v>
      </c>
    </row>
    <row r="2867" hidden="1">
      <c r="A2867" s="82"/>
      <c r="B2867" s="65" t="s">
        <v>411</v>
      </c>
      <c r="C2867" s="65" t="s">
        <v>132</v>
      </c>
      <c r="D2867" s="65"/>
      <c r="E2867" s="65" t="s">
        <v>1906</v>
      </c>
      <c r="F2867" s="83">
        <v>0.7083333333333334</v>
      </c>
      <c r="G2867" s="83">
        <v>0.7291666666666666</v>
      </c>
      <c r="H2867" s="83">
        <v>0.020833333333333332</v>
      </c>
      <c r="I2867" s="84">
        <v>44225.0</v>
      </c>
      <c r="J2867" s="65" t="b">
        <v>1</v>
      </c>
      <c r="K2867" s="65"/>
      <c r="L2867" s="85" t="b">
        <f>IF(VLOOKUP(C2867,Projetos!A:L,12,false)=TRUE,TRUE,FALSE)</f>
        <v>0</v>
      </c>
      <c r="M2867" s="74">
        <v>52.48434411075036</v>
      </c>
      <c r="N2867" s="74">
        <f t="shared" si="1"/>
        <v>0</v>
      </c>
      <c r="O2867" s="74" t="b">
        <v>0</v>
      </c>
    </row>
    <row r="2868" hidden="1">
      <c r="A2868" s="82"/>
      <c r="B2868" s="65" t="s">
        <v>411</v>
      </c>
      <c r="C2868" s="65" t="s">
        <v>117</v>
      </c>
      <c r="D2868" s="65" t="str">
        <f>vlookup(C2868,'Classificação p pessoal'!F:G,2,false)</f>
        <v>NP</v>
      </c>
      <c r="E2868" s="65" t="s">
        <v>1907</v>
      </c>
      <c r="F2868" s="83">
        <v>0.7291666666666666</v>
      </c>
      <c r="G2868" s="83">
        <v>0.75</v>
      </c>
      <c r="H2868" s="83">
        <v>0.020833333333333332</v>
      </c>
      <c r="I2868" s="84">
        <v>44225.0</v>
      </c>
      <c r="J2868" s="65" t="b">
        <v>1</v>
      </c>
      <c r="K2868" s="65"/>
      <c r="L2868" s="85" t="b">
        <f>IF(VLOOKUP(C2868,Projetos!A:L,12,false)=TRUE,TRUE,FALSE)</f>
        <v>1</v>
      </c>
      <c r="M2868" s="74">
        <v>52.48434411075036</v>
      </c>
      <c r="N2868" s="74">
        <f t="shared" si="1"/>
        <v>26.24217206</v>
      </c>
      <c r="O2868" s="74" t="b">
        <v>1</v>
      </c>
    </row>
    <row r="2869" hidden="1">
      <c r="A2869" s="82"/>
      <c r="B2869" s="65" t="s">
        <v>411</v>
      </c>
      <c r="C2869" s="65" t="s">
        <v>92</v>
      </c>
      <c r="D2869" s="65" t="str">
        <f>vlookup(C2869,'Classificação p pessoal'!F:G,2,false)</f>
        <v/>
      </c>
      <c r="E2869" s="65" t="s">
        <v>1908</v>
      </c>
      <c r="F2869" s="83">
        <v>0.34375</v>
      </c>
      <c r="G2869" s="83">
        <v>0.4166666666666667</v>
      </c>
      <c r="H2869" s="83">
        <v>0.07291666666666667</v>
      </c>
      <c r="I2869" s="84">
        <v>44228.0</v>
      </c>
      <c r="J2869" s="65" t="b">
        <v>1</v>
      </c>
      <c r="K2869" s="65"/>
      <c r="L2869" s="85" t="b">
        <f>IF(VLOOKUP(C2869,Projetos!A:L,12,false)=TRUE,TRUE,FALSE)</f>
        <v>1</v>
      </c>
      <c r="M2869" s="74">
        <v>52.48434411075036</v>
      </c>
      <c r="N2869" s="74">
        <f t="shared" si="1"/>
        <v>91.84760219</v>
      </c>
      <c r="O2869" s="74" t="b">
        <v>1</v>
      </c>
    </row>
    <row r="2870" hidden="1">
      <c r="A2870" s="82"/>
      <c r="B2870" s="65" t="s">
        <v>411</v>
      </c>
      <c r="C2870" s="65" t="s">
        <v>130</v>
      </c>
      <c r="D2870" s="65" t="str">
        <f>vlookup(C2870,'Classificação p pessoal'!F:G,2,false)</f>
        <v>NP</v>
      </c>
      <c r="E2870" s="65" t="s">
        <v>1909</v>
      </c>
      <c r="F2870" s="83">
        <v>0.4166666666666667</v>
      </c>
      <c r="G2870" s="83">
        <v>0.4583333333333333</v>
      </c>
      <c r="H2870" s="83">
        <v>0.041666666666666664</v>
      </c>
      <c r="I2870" s="84">
        <v>44228.0</v>
      </c>
      <c r="J2870" s="65" t="b">
        <v>1</v>
      </c>
      <c r="K2870" s="65"/>
      <c r="L2870" s="85" t="b">
        <f>IF(VLOOKUP(C2870,Projetos!A:L,12,false)=TRUE,TRUE,FALSE)</f>
        <v>1</v>
      </c>
      <c r="M2870" s="74">
        <v>52.48434411075036</v>
      </c>
      <c r="N2870" s="74">
        <f t="shared" si="1"/>
        <v>52.48434411</v>
      </c>
      <c r="O2870" s="74" t="b">
        <v>1</v>
      </c>
    </row>
    <row r="2871" hidden="1">
      <c r="A2871" s="82"/>
      <c r="B2871" s="65" t="s">
        <v>411</v>
      </c>
      <c r="C2871" s="65" t="s">
        <v>92</v>
      </c>
      <c r="D2871" s="65" t="str">
        <f>vlookup(C2871,'Classificação p pessoal'!F:G,2,false)</f>
        <v/>
      </c>
      <c r="E2871" s="65" t="s">
        <v>1910</v>
      </c>
      <c r="F2871" s="83">
        <v>0.4583333333333333</v>
      </c>
      <c r="G2871" s="83">
        <v>0.6666666666666666</v>
      </c>
      <c r="H2871" s="83">
        <v>0.20833333333333334</v>
      </c>
      <c r="I2871" s="84">
        <v>44228.0</v>
      </c>
      <c r="J2871" s="65" t="b">
        <v>1</v>
      </c>
      <c r="K2871" s="65"/>
      <c r="L2871" s="85" t="b">
        <f>IF(VLOOKUP(C2871,Projetos!A:L,12,false)=TRUE,TRUE,FALSE)</f>
        <v>1</v>
      </c>
      <c r="M2871" s="74">
        <v>52.48434411075036</v>
      </c>
      <c r="N2871" s="74">
        <f t="shared" si="1"/>
        <v>262.4217206</v>
      </c>
      <c r="O2871" s="74" t="b">
        <v>1</v>
      </c>
    </row>
    <row r="2872" hidden="1">
      <c r="A2872" s="82"/>
      <c r="B2872" s="65" t="s">
        <v>411</v>
      </c>
      <c r="C2872" s="65" t="s">
        <v>117</v>
      </c>
      <c r="D2872" s="65" t="str">
        <f>vlookup(C2872,'Classificação p pessoal'!F:G,2,false)</f>
        <v>NP</v>
      </c>
      <c r="E2872" s="65" t="s">
        <v>1911</v>
      </c>
      <c r="F2872" s="83">
        <v>0.6666666666666666</v>
      </c>
      <c r="G2872" s="83">
        <v>0.6875</v>
      </c>
      <c r="H2872" s="83">
        <v>0.020833333333333332</v>
      </c>
      <c r="I2872" s="84">
        <v>44228.0</v>
      </c>
      <c r="J2872" s="65" t="b">
        <v>1</v>
      </c>
      <c r="K2872" s="65"/>
      <c r="L2872" s="85" t="b">
        <f>IF(VLOOKUP(C2872,Projetos!A:L,12,false)=TRUE,TRUE,FALSE)</f>
        <v>1</v>
      </c>
      <c r="M2872" s="74">
        <v>52.48434411075036</v>
      </c>
      <c r="N2872" s="74">
        <f t="shared" si="1"/>
        <v>26.24217206</v>
      </c>
      <c r="O2872" s="74" t="b">
        <v>1</v>
      </c>
    </row>
    <row r="2873" hidden="1">
      <c r="A2873" s="82"/>
      <c r="B2873" s="65" t="s">
        <v>469</v>
      </c>
      <c r="C2873" s="65" t="s">
        <v>117</v>
      </c>
      <c r="D2873" s="65" t="str">
        <f>vlookup(C2873,'Classificação p pessoal'!F:G,2,false)</f>
        <v>NP</v>
      </c>
      <c r="E2873" s="65" t="s">
        <v>1912</v>
      </c>
      <c r="F2873" s="83">
        <v>0.3541666666666667</v>
      </c>
      <c r="G2873" s="83">
        <v>0.4583333333333333</v>
      </c>
      <c r="H2873" s="83">
        <v>0.10416666666666667</v>
      </c>
      <c r="I2873" s="84">
        <v>44237.0</v>
      </c>
      <c r="J2873" s="65" t="b">
        <v>1</v>
      </c>
      <c r="K2873" s="65"/>
      <c r="L2873" s="85" t="b">
        <f>IF(VLOOKUP(C2873,Projetos!A:L,12,false)=TRUE,TRUE,FALSE)</f>
        <v>1</v>
      </c>
      <c r="M2873" s="74">
        <v>37.50928062469937</v>
      </c>
      <c r="N2873" s="74">
        <f t="shared" si="1"/>
        <v>93.77320156</v>
      </c>
      <c r="O2873" s="74" t="b">
        <v>1</v>
      </c>
    </row>
    <row r="2874" hidden="1">
      <c r="A2874" s="82"/>
      <c r="B2874" s="65" t="s">
        <v>411</v>
      </c>
      <c r="C2874" s="65" t="s">
        <v>92</v>
      </c>
      <c r="D2874" s="65" t="str">
        <f>vlookup(C2874,'Classificação p pessoal'!F:G,2,false)</f>
        <v/>
      </c>
      <c r="E2874" s="65" t="s">
        <v>1913</v>
      </c>
      <c r="F2874" s="83">
        <v>0.34375</v>
      </c>
      <c r="G2874" s="83">
        <v>0.4375</v>
      </c>
      <c r="H2874" s="83">
        <v>0.09375</v>
      </c>
      <c r="I2874" s="84">
        <v>44229.0</v>
      </c>
      <c r="J2874" s="65" t="b">
        <v>1</v>
      </c>
      <c r="K2874" s="65"/>
      <c r="L2874" s="85" t="b">
        <f>IF(VLOOKUP(C2874,Projetos!A:L,12,false)=TRUE,TRUE,FALSE)</f>
        <v>1</v>
      </c>
      <c r="M2874" s="74">
        <v>52.48434411075036</v>
      </c>
      <c r="N2874" s="74">
        <f t="shared" si="1"/>
        <v>118.0897742</v>
      </c>
      <c r="O2874" s="74" t="b">
        <v>1</v>
      </c>
    </row>
    <row r="2875" hidden="1">
      <c r="A2875" s="82"/>
      <c r="B2875" s="65" t="s">
        <v>411</v>
      </c>
      <c r="C2875" s="65" t="s">
        <v>92</v>
      </c>
      <c r="D2875" s="65" t="str">
        <f>vlookup(C2875,'Classificação p pessoal'!F:G,2,false)</f>
        <v/>
      </c>
      <c r="E2875" s="65" t="s">
        <v>1914</v>
      </c>
      <c r="F2875" s="83">
        <v>0.4375</v>
      </c>
      <c r="G2875" s="83">
        <v>0.5208333333333334</v>
      </c>
      <c r="H2875" s="83">
        <v>0.08333333333333333</v>
      </c>
      <c r="I2875" s="84">
        <v>44229.0</v>
      </c>
      <c r="J2875" s="65" t="b">
        <v>1</v>
      </c>
      <c r="K2875" s="65"/>
      <c r="L2875" s="85" t="b">
        <f>IF(VLOOKUP(C2875,Projetos!A:L,12,false)=TRUE,TRUE,FALSE)</f>
        <v>1</v>
      </c>
      <c r="M2875" s="74">
        <v>52.48434411075036</v>
      </c>
      <c r="N2875" s="74">
        <f t="shared" si="1"/>
        <v>104.9686882</v>
      </c>
      <c r="O2875" s="74" t="b">
        <v>1</v>
      </c>
    </row>
    <row r="2876" hidden="1">
      <c r="A2876" s="82"/>
      <c r="B2876" s="65" t="s">
        <v>411</v>
      </c>
      <c r="C2876" s="65" t="s">
        <v>117</v>
      </c>
      <c r="D2876" s="65" t="str">
        <f>vlookup(C2876,'Classificação p pessoal'!F:G,2,false)</f>
        <v>NP</v>
      </c>
      <c r="E2876" s="65" t="s">
        <v>1915</v>
      </c>
      <c r="F2876" s="83">
        <v>0.5625</v>
      </c>
      <c r="G2876" s="83">
        <v>0.6875</v>
      </c>
      <c r="H2876" s="83">
        <v>0.125</v>
      </c>
      <c r="I2876" s="84">
        <v>44229.0</v>
      </c>
      <c r="J2876" s="65" t="b">
        <v>1</v>
      </c>
      <c r="K2876" s="65"/>
      <c r="L2876" s="85" t="b">
        <f>IF(VLOOKUP(C2876,Projetos!A:L,12,false)=TRUE,TRUE,FALSE)</f>
        <v>1</v>
      </c>
      <c r="M2876" s="74">
        <v>52.48434411075036</v>
      </c>
      <c r="N2876" s="74">
        <f t="shared" si="1"/>
        <v>157.4530323</v>
      </c>
      <c r="O2876" s="74" t="b">
        <v>1</v>
      </c>
    </row>
    <row r="2877" hidden="1">
      <c r="A2877" s="82"/>
      <c r="B2877" s="65" t="s">
        <v>411</v>
      </c>
      <c r="C2877" s="65" t="s">
        <v>117</v>
      </c>
      <c r="D2877" s="65" t="str">
        <f>vlookup(C2877,'Classificação p pessoal'!F:G,2,false)</f>
        <v>NP</v>
      </c>
      <c r="E2877" s="65" t="s">
        <v>1916</v>
      </c>
      <c r="F2877" s="83">
        <v>0.7083333333333334</v>
      </c>
      <c r="G2877" s="83">
        <v>0.7291666666666666</v>
      </c>
      <c r="H2877" s="83">
        <v>0.020833333333333332</v>
      </c>
      <c r="I2877" s="84">
        <v>44229.0</v>
      </c>
      <c r="J2877" s="65" t="b">
        <v>1</v>
      </c>
      <c r="K2877" s="65"/>
      <c r="L2877" s="85" t="b">
        <f>IF(VLOOKUP(C2877,Projetos!A:L,12,false)=TRUE,TRUE,FALSE)</f>
        <v>1</v>
      </c>
      <c r="M2877" s="74">
        <v>52.48434411075036</v>
      </c>
      <c r="N2877" s="74">
        <f t="shared" si="1"/>
        <v>26.24217206</v>
      </c>
      <c r="O2877" s="74" t="b">
        <v>1</v>
      </c>
    </row>
    <row r="2878" hidden="1">
      <c r="A2878" s="82"/>
      <c r="B2878" s="65" t="s">
        <v>411</v>
      </c>
      <c r="C2878" s="65" t="s">
        <v>92</v>
      </c>
      <c r="D2878" s="65" t="str">
        <f>vlookup(C2878,'Classificação p pessoal'!F:G,2,false)</f>
        <v/>
      </c>
      <c r="E2878" s="65" t="s">
        <v>1917</v>
      </c>
      <c r="F2878" s="83">
        <v>0.3541666666666667</v>
      </c>
      <c r="G2878" s="83">
        <v>0.375</v>
      </c>
      <c r="H2878" s="83">
        <v>0.020833333333333332</v>
      </c>
      <c r="I2878" s="84">
        <v>44230.0</v>
      </c>
      <c r="J2878" s="65" t="b">
        <v>1</v>
      </c>
      <c r="K2878" s="65"/>
      <c r="L2878" s="85" t="b">
        <f>IF(VLOOKUP(C2878,Projetos!A:L,12,false)=TRUE,TRUE,FALSE)</f>
        <v>1</v>
      </c>
      <c r="M2878" s="74">
        <v>52.48434411075036</v>
      </c>
      <c r="N2878" s="74">
        <f t="shared" si="1"/>
        <v>26.24217206</v>
      </c>
      <c r="O2878" s="74" t="b">
        <v>1</v>
      </c>
    </row>
    <row r="2879" hidden="1">
      <c r="A2879" s="82"/>
      <c r="B2879" s="65" t="s">
        <v>411</v>
      </c>
      <c r="C2879" s="65" t="s">
        <v>132</v>
      </c>
      <c r="D2879" s="65"/>
      <c r="E2879" s="65" t="s">
        <v>1918</v>
      </c>
      <c r="F2879" s="83">
        <v>0.4375</v>
      </c>
      <c r="G2879" s="83">
        <v>0.4791666666666667</v>
      </c>
      <c r="H2879" s="83">
        <v>0.041666666666666664</v>
      </c>
      <c r="I2879" s="84">
        <v>44230.0</v>
      </c>
      <c r="J2879" s="65" t="b">
        <v>1</v>
      </c>
      <c r="K2879" s="65"/>
      <c r="L2879" s="85" t="b">
        <f>IF(VLOOKUP(C2879,Projetos!A:L,12,false)=TRUE,TRUE,FALSE)</f>
        <v>0</v>
      </c>
      <c r="M2879" s="74">
        <v>52.48434411075036</v>
      </c>
      <c r="N2879" s="74">
        <f t="shared" si="1"/>
        <v>0</v>
      </c>
      <c r="O2879" s="74" t="b">
        <v>0</v>
      </c>
    </row>
    <row r="2880" hidden="1">
      <c r="A2880" s="82"/>
      <c r="B2880" s="65" t="s">
        <v>411</v>
      </c>
      <c r="C2880" s="65" t="s">
        <v>92</v>
      </c>
      <c r="D2880" s="65" t="str">
        <f>vlookup(C2880,'Classificação p pessoal'!F:G,2,false)</f>
        <v/>
      </c>
      <c r="E2880" s="65" t="s">
        <v>1919</v>
      </c>
      <c r="F2880" s="83">
        <v>0.4791666666666667</v>
      </c>
      <c r="G2880" s="83">
        <v>0.5208333333333334</v>
      </c>
      <c r="H2880" s="83">
        <v>0.041666666666666664</v>
      </c>
      <c r="I2880" s="84">
        <v>44230.0</v>
      </c>
      <c r="J2880" s="65" t="b">
        <v>1</v>
      </c>
      <c r="K2880" s="65"/>
      <c r="L2880" s="85" t="b">
        <f>IF(VLOOKUP(C2880,Projetos!A:L,12,false)=TRUE,TRUE,FALSE)</f>
        <v>1</v>
      </c>
      <c r="M2880" s="74">
        <v>52.48434411075036</v>
      </c>
      <c r="N2880" s="74">
        <f t="shared" si="1"/>
        <v>52.48434411</v>
      </c>
      <c r="O2880" s="74" t="b">
        <v>1</v>
      </c>
    </row>
    <row r="2881" hidden="1">
      <c r="A2881" s="82"/>
      <c r="B2881" s="65" t="s">
        <v>411</v>
      </c>
      <c r="C2881" s="65" t="s">
        <v>132</v>
      </c>
      <c r="D2881" s="65"/>
      <c r="E2881" s="65" t="s">
        <v>1920</v>
      </c>
      <c r="F2881" s="83">
        <v>0.5625</v>
      </c>
      <c r="G2881" s="83">
        <v>0.6458333333333334</v>
      </c>
      <c r="H2881" s="83">
        <v>0.08333333333333333</v>
      </c>
      <c r="I2881" s="84">
        <v>44230.0</v>
      </c>
      <c r="J2881" s="65" t="b">
        <v>1</v>
      </c>
      <c r="K2881" s="65"/>
      <c r="L2881" s="85" t="b">
        <f>IF(VLOOKUP(C2881,Projetos!A:L,12,false)=TRUE,TRUE,FALSE)</f>
        <v>0</v>
      </c>
      <c r="M2881" s="74">
        <v>52.48434411075036</v>
      </c>
      <c r="N2881" s="74">
        <f t="shared" si="1"/>
        <v>0</v>
      </c>
      <c r="O2881" s="74" t="b">
        <v>0</v>
      </c>
    </row>
    <row r="2882" hidden="1">
      <c r="A2882" s="82"/>
      <c r="B2882" s="65" t="s">
        <v>411</v>
      </c>
      <c r="C2882" s="65" t="s">
        <v>117</v>
      </c>
      <c r="D2882" s="65" t="str">
        <f>vlookup(C2882,'Classificação p pessoal'!F:G,2,false)</f>
        <v>NP</v>
      </c>
      <c r="E2882" s="65" t="s">
        <v>1921</v>
      </c>
      <c r="F2882" s="83">
        <v>0.6458333333333334</v>
      </c>
      <c r="G2882" s="83">
        <v>0.6875</v>
      </c>
      <c r="H2882" s="83">
        <v>0.041666666666666664</v>
      </c>
      <c r="I2882" s="84">
        <v>44230.0</v>
      </c>
      <c r="J2882" s="65" t="b">
        <v>1</v>
      </c>
      <c r="K2882" s="65"/>
      <c r="L2882" s="85" t="b">
        <f>IF(VLOOKUP(C2882,Projetos!A:L,12,false)=TRUE,TRUE,FALSE)</f>
        <v>1</v>
      </c>
      <c r="M2882" s="74">
        <v>52.48434411075036</v>
      </c>
      <c r="N2882" s="74">
        <f t="shared" si="1"/>
        <v>52.48434411</v>
      </c>
      <c r="O2882" s="74" t="b">
        <v>1</v>
      </c>
    </row>
    <row r="2883" hidden="1">
      <c r="A2883" s="82"/>
      <c r="B2883" s="65" t="s">
        <v>411</v>
      </c>
      <c r="C2883" s="65" t="s">
        <v>127</v>
      </c>
      <c r="D2883" s="65" t="str">
        <f>vlookup(C2883,'Classificação p pessoal'!F:G,2,false)</f>
        <v>NP</v>
      </c>
      <c r="E2883" s="65" t="s">
        <v>1922</v>
      </c>
      <c r="F2883" s="83">
        <v>0.6875</v>
      </c>
      <c r="G2883" s="83">
        <v>0.7083333333333334</v>
      </c>
      <c r="H2883" s="83">
        <v>0.020833333333333332</v>
      </c>
      <c r="I2883" s="84">
        <v>44230.0</v>
      </c>
      <c r="J2883" s="65" t="b">
        <v>1</v>
      </c>
      <c r="K2883" s="65"/>
      <c r="L2883" s="85" t="b">
        <f>IF(VLOOKUP(C2883,Projetos!A:L,12,false)=TRUE,TRUE,FALSE)</f>
        <v>1</v>
      </c>
      <c r="M2883" s="74">
        <v>52.48434411075036</v>
      </c>
      <c r="N2883" s="74">
        <f t="shared" si="1"/>
        <v>26.24217206</v>
      </c>
      <c r="O2883" s="74" t="b">
        <v>1</v>
      </c>
    </row>
    <row r="2884" hidden="1">
      <c r="A2884" s="82"/>
      <c r="B2884" s="65" t="s">
        <v>411</v>
      </c>
      <c r="C2884" s="65" t="s">
        <v>152</v>
      </c>
      <c r="D2884" s="65" t="str">
        <f>vlookup(C2884,'Classificação p pessoal'!F:G,2,false)</f>
        <v>MProduto</v>
      </c>
      <c r="E2884" s="65" t="s">
        <v>1923</v>
      </c>
      <c r="F2884" s="83">
        <v>0.7083333333333334</v>
      </c>
      <c r="G2884" s="83">
        <v>0.75</v>
      </c>
      <c r="H2884" s="83">
        <v>0.041666666666666664</v>
      </c>
      <c r="I2884" s="84">
        <v>44230.0</v>
      </c>
      <c r="J2884" s="65" t="b">
        <v>1</v>
      </c>
      <c r="K2884" s="65"/>
      <c r="L2884" s="85" t="b">
        <f>IF(VLOOKUP(C2884,Projetos!A:L,12,false)=TRUE,TRUE,FALSE)</f>
        <v>1</v>
      </c>
      <c r="M2884" s="74">
        <v>52.48434411075036</v>
      </c>
      <c r="N2884" s="74">
        <f t="shared" si="1"/>
        <v>52.48434411</v>
      </c>
      <c r="O2884" s="74" t="b">
        <v>1</v>
      </c>
    </row>
    <row r="2885" hidden="1">
      <c r="A2885" s="82"/>
      <c r="B2885" s="65" t="s">
        <v>411</v>
      </c>
      <c r="C2885" s="65" t="s">
        <v>127</v>
      </c>
      <c r="D2885" s="65"/>
      <c r="E2885" s="65" t="s">
        <v>1924</v>
      </c>
      <c r="F2885" s="83">
        <v>0.3958333333333333</v>
      </c>
      <c r="G2885" s="83">
        <v>0.4166666666666667</v>
      </c>
      <c r="H2885" s="83">
        <v>0.020833333333333332</v>
      </c>
      <c r="I2885" s="84">
        <v>44231.0</v>
      </c>
      <c r="J2885" s="65" t="b">
        <v>0</v>
      </c>
      <c r="K2885" s="65" t="s">
        <v>150</v>
      </c>
      <c r="L2885" s="85" t="b">
        <f>IF(VLOOKUP(C2885,Projetos!A:L,12,false)=TRUE,TRUE,FALSE)</f>
        <v>1</v>
      </c>
      <c r="M2885" s="74">
        <v>52.48434411075036</v>
      </c>
      <c r="N2885" s="74">
        <f t="shared" si="1"/>
        <v>0</v>
      </c>
      <c r="O2885" s="74" t="b">
        <v>1</v>
      </c>
    </row>
    <row r="2886" hidden="1">
      <c r="A2886" s="82"/>
      <c r="B2886" s="65" t="s">
        <v>411</v>
      </c>
      <c r="C2886" s="65" t="s">
        <v>92</v>
      </c>
      <c r="D2886" s="65" t="str">
        <f>vlookup(C2886,'Classificação p pessoal'!F:G,2,false)</f>
        <v/>
      </c>
      <c r="E2886" s="65" t="s">
        <v>1925</v>
      </c>
      <c r="F2886" s="83">
        <v>0.4166666666666667</v>
      </c>
      <c r="G2886" s="83">
        <v>0.4583333333333333</v>
      </c>
      <c r="H2886" s="83">
        <v>0.041666666666666664</v>
      </c>
      <c r="I2886" s="84">
        <v>44231.0</v>
      </c>
      <c r="J2886" s="65" t="b">
        <v>1</v>
      </c>
      <c r="K2886" s="65"/>
      <c r="L2886" s="85" t="b">
        <f>IF(VLOOKUP(C2886,Projetos!A:L,12,false)=TRUE,TRUE,FALSE)</f>
        <v>1</v>
      </c>
      <c r="M2886" s="74">
        <v>52.48434411075036</v>
      </c>
      <c r="N2886" s="74">
        <f t="shared" si="1"/>
        <v>52.48434411</v>
      </c>
      <c r="O2886" s="74" t="b">
        <v>1</v>
      </c>
    </row>
    <row r="2887" hidden="1">
      <c r="A2887" s="82"/>
      <c r="B2887" s="65" t="s">
        <v>411</v>
      </c>
      <c r="C2887" s="65" t="s">
        <v>152</v>
      </c>
      <c r="D2887" s="65" t="str">
        <f>vlookup(C2887,'Classificação p pessoal'!F:G,2,false)</f>
        <v>MProduto</v>
      </c>
      <c r="E2887" s="65" t="s">
        <v>1926</v>
      </c>
      <c r="F2887" s="83">
        <v>0.4583333333333333</v>
      </c>
      <c r="G2887" s="83">
        <v>0.5</v>
      </c>
      <c r="H2887" s="83">
        <v>0.041666666666666664</v>
      </c>
      <c r="I2887" s="84">
        <v>44231.0</v>
      </c>
      <c r="J2887" s="65" t="b">
        <v>1</v>
      </c>
      <c r="K2887" s="65"/>
      <c r="L2887" s="85" t="b">
        <f>IF(VLOOKUP(C2887,Projetos!A:L,12,false)=TRUE,TRUE,FALSE)</f>
        <v>1</v>
      </c>
      <c r="M2887" s="74">
        <v>52.48434411075036</v>
      </c>
      <c r="N2887" s="74">
        <f t="shared" si="1"/>
        <v>52.48434411</v>
      </c>
      <c r="O2887" s="74" t="b">
        <v>1</v>
      </c>
    </row>
    <row r="2888" hidden="1">
      <c r="A2888" s="82"/>
      <c r="B2888" s="65" t="s">
        <v>411</v>
      </c>
      <c r="C2888" s="65" t="s">
        <v>132</v>
      </c>
      <c r="D2888" s="65"/>
      <c r="E2888" s="65" t="s">
        <v>1920</v>
      </c>
      <c r="F2888" s="83">
        <v>0.5</v>
      </c>
      <c r="G2888" s="83">
        <v>0.6041666666666666</v>
      </c>
      <c r="H2888" s="83">
        <v>0.10416666666666667</v>
      </c>
      <c r="I2888" s="84">
        <v>44231.0</v>
      </c>
      <c r="J2888" s="65" t="b">
        <v>1</v>
      </c>
      <c r="K2888" s="65"/>
      <c r="L2888" s="85" t="b">
        <f>IF(VLOOKUP(C2888,Projetos!A:L,12,false)=TRUE,TRUE,FALSE)</f>
        <v>0</v>
      </c>
      <c r="M2888" s="74">
        <v>52.48434411075036</v>
      </c>
      <c r="N2888" s="74">
        <f t="shared" si="1"/>
        <v>0</v>
      </c>
      <c r="O2888" s="74" t="b">
        <v>0</v>
      </c>
    </row>
    <row r="2889" hidden="1">
      <c r="A2889" s="82"/>
      <c r="B2889" s="65" t="s">
        <v>411</v>
      </c>
      <c r="C2889" s="65" t="s">
        <v>130</v>
      </c>
      <c r="D2889" s="65" t="str">
        <f>vlookup(C2889,'Classificação p pessoal'!F:G,2,false)</f>
        <v>NP</v>
      </c>
      <c r="E2889" s="65" t="s">
        <v>1927</v>
      </c>
      <c r="F2889" s="83">
        <v>0.6458333333333334</v>
      </c>
      <c r="G2889" s="83">
        <v>0.6875</v>
      </c>
      <c r="H2889" s="83">
        <v>0.041666666666666664</v>
      </c>
      <c r="I2889" s="84">
        <v>44231.0</v>
      </c>
      <c r="J2889" s="65" t="b">
        <v>1</v>
      </c>
      <c r="K2889" s="65"/>
      <c r="L2889" s="85" t="b">
        <f>IF(VLOOKUP(C2889,Projetos!A:L,12,false)=TRUE,TRUE,FALSE)</f>
        <v>1</v>
      </c>
      <c r="M2889" s="74">
        <v>52.48434411075036</v>
      </c>
      <c r="N2889" s="74">
        <f t="shared" si="1"/>
        <v>52.48434411</v>
      </c>
      <c r="O2889" s="74" t="b">
        <v>1</v>
      </c>
    </row>
    <row r="2890" hidden="1">
      <c r="A2890" s="82"/>
      <c r="B2890" s="65" t="s">
        <v>411</v>
      </c>
      <c r="C2890" s="65" t="s">
        <v>104</v>
      </c>
      <c r="D2890" s="65" t="str">
        <f>vlookup(C2890,'Classificação p pessoal'!F:G,2,false)</f>
        <v>NP</v>
      </c>
      <c r="E2890" s="65" t="s">
        <v>1928</v>
      </c>
      <c r="F2890" s="83">
        <v>0.6875</v>
      </c>
      <c r="G2890" s="83">
        <v>0.7083333333333334</v>
      </c>
      <c r="H2890" s="83">
        <v>0.020833333333333332</v>
      </c>
      <c r="I2890" s="84">
        <v>44231.0</v>
      </c>
      <c r="J2890" s="65" t="b">
        <v>1</v>
      </c>
      <c r="K2890" s="65"/>
      <c r="L2890" s="85" t="b">
        <f>IF(VLOOKUP(C2890,Projetos!A:L,12,false)=TRUE,TRUE,FALSE)</f>
        <v>1</v>
      </c>
      <c r="M2890" s="74">
        <v>52.48434411075036</v>
      </c>
      <c r="N2890" s="74">
        <f t="shared" si="1"/>
        <v>26.24217206</v>
      </c>
      <c r="O2890" s="74" t="b">
        <v>1</v>
      </c>
    </row>
    <row r="2891" hidden="1">
      <c r="A2891" s="82"/>
      <c r="B2891" s="65" t="s">
        <v>411</v>
      </c>
      <c r="C2891" s="65" t="s">
        <v>117</v>
      </c>
      <c r="D2891" s="65" t="str">
        <f>vlookup(C2891,'Classificação p pessoal'!F:G,2,false)</f>
        <v>NP</v>
      </c>
      <c r="E2891" s="65" t="s">
        <v>1929</v>
      </c>
      <c r="F2891" s="83">
        <v>0.7083333333333334</v>
      </c>
      <c r="G2891" s="83">
        <v>0.75</v>
      </c>
      <c r="H2891" s="83">
        <v>0.041666666666666664</v>
      </c>
      <c r="I2891" s="84">
        <v>44231.0</v>
      </c>
      <c r="J2891" s="65" t="b">
        <v>1</v>
      </c>
      <c r="K2891" s="65"/>
      <c r="L2891" s="85" t="b">
        <f>IF(VLOOKUP(C2891,Projetos!A:L,12,false)=TRUE,TRUE,FALSE)</f>
        <v>1</v>
      </c>
      <c r="M2891" s="74">
        <v>52.48434411075036</v>
      </c>
      <c r="N2891" s="74">
        <f t="shared" si="1"/>
        <v>52.48434411</v>
      </c>
      <c r="O2891" s="74" t="b">
        <v>1</v>
      </c>
    </row>
    <row r="2892" hidden="1">
      <c r="A2892" s="82"/>
      <c r="B2892" s="65" t="s">
        <v>469</v>
      </c>
      <c r="C2892" s="65" t="s">
        <v>117</v>
      </c>
      <c r="D2892" s="65" t="str">
        <f>vlookup(C2892,'Classificação p pessoal'!F:G,2,false)</f>
        <v>NP</v>
      </c>
      <c r="E2892" s="65" t="s">
        <v>1930</v>
      </c>
      <c r="F2892" s="83">
        <v>0.34375</v>
      </c>
      <c r="G2892" s="83">
        <v>0.375</v>
      </c>
      <c r="H2892" s="83">
        <v>0.03125</v>
      </c>
      <c r="I2892" s="84">
        <v>44249.0</v>
      </c>
      <c r="J2892" s="65" t="b">
        <v>1</v>
      </c>
      <c r="K2892" s="65"/>
      <c r="L2892" s="85" t="b">
        <f>IF(VLOOKUP(C2892,Projetos!A:L,12,false)=TRUE,TRUE,FALSE)</f>
        <v>1</v>
      </c>
      <c r="M2892" s="74">
        <v>37.50928062469937</v>
      </c>
      <c r="N2892" s="74">
        <f t="shared" si="1"/>
        <v>28.13196047</v>
      </c>
      <c r="O2892" s="74" t="b">
        <v>1</v>
      </c>
    </row>
    <row r="2893" hidden="1">
      <c r="A2893" s="82"/>
      <c r="B2893" s="65" t="s">
        <v>411</v>
      </c>
      <c r="C2893" s="65" t="s">
        <v>132</v>
      </c>
      <c r="D2893" s="65"/>
      <c r="E2893" s="65" t="s">
        <v>1920</v>
      </c>
      <c r="F2893" s="83">
        <v>0.3958333333333333</v>
      </c>
      <c r="G2893" s="83">
        <v>0.4583333333333333</v>
      </c>
      <c r="H2893" s="83">
        <v>0.0625</v>
      </c>
      <c r="I2893" s="84">
        <v>44232.0</v>
      </c>
      <c r="J2893" s="65" t="b">
        <v>1</v>
      </c>
      <c r="K2893" s="65"/>
      <c r="L2893" s="85" t="b">
        <f>IF(VLOOKUP(C2893,Projetos!A:L,12,false)=TRUE,TRUE,FALSE)</f>
        <v>0</v>
      </c>
      <c r="M2893" s="74">
        <v>52.48434411075036</v>
      </c>
      <c r="N2893" s="74">
        <f t="shared" si="1"/>
        <v>0</v>
      </c>
      <c r="O2893" s="74" t="b">
        <v>0</v>
      </c>
    </row>
    <row r="2894" hidden="1">
      <c r="A2894" s="82"/>
      <c r="B2894" s="65" t="s">
        <v>411</v>
      </c>
      <c r="C2894" s="65" t="s">
        <v>117</v>
      </c>
      <c r="D2894" s="65" t="str">
        <f>vlookup(C2894,'Classificação p pessoal'!F:G,2,false)</f>
        <v>NP</v>
      </c>
      <c r="E2894" s="65" t="s">
        <v>1931</v>
      </c>
      <c r="F2894" s="83">
        <v>0.4583333333333333</v>
      </c>
      <c r="G2894" s="83">
        <v>0.5</v>
      </c>
      <c r="H2894" s="83">
        <v>0.041666666666666664</v>
      </c>
      <c r="I2894" s="84">
        <v>44232.0</v>
      </c>
      <c r="J2894" s="65" t="b">
        <v>1</v>
      </c>
      <c r="K2894" s="65"/>
      <c r="L2894" s="85" t="b">
        <f>IF(VLOOKUP(C2894,Projetos!A:L,12,false)=TRUE,TRUE,FALSE)</f>
        <v>1</v>
      </c>
      <c r="M2894" s="74">
        <v>52.48434411075036</v>
      </c>
      <c r="N2894" s="74">
        <f t="shared" si="1"/>
        <v>52.48434411</v>
      </c>
      <c r="O2894" s="74" t="b">
        <v>1</v>
      </c>
    </row>
    <row r="2895" hidden="1">
      <c r="A2895" s="82"/>
      <c r="B2895" s="65" t="s">
        <v>411</v>
      </c>
      <c r="C2895" s="65" t="s">
        <v>130</v>
      </c>
      <c r="D2895" s="65" t="str">
        <f>vlookup(C2895,'Classificação p pessoal'!F:G,2,false)</f>
        <v>NP</v>
      </c>
      <c r="E2895" s="65" t="s">
        <v>1932</v>
      </c>
      <c r="F2895" s="83">
        <v>0.5833333333333334</v>
      </c>
      <c r="G2895" s="83">
        <v>0.6458333333333334</v>
      </c>
      <c r="H2895" s="83">
        <v>0.0625</v>
      </c>
      <c r="I2895" s="84">
        <v>44232.0</v>
      </c>
      <c r="J2895" s="65" t="b">
        <v>1</v>
      </c>
      <c r="K2895" s="65"/>
      <c r="L2895" s="85" t="b">
        <f>IF(VLOOKUP(C2895,Projetos!A:L,12,false)=TRUE,TRUE,FALSE)</f>
        <v>1</v>
      </c>
      <c r="M2895" s="74">
        <v>52.48434411075036</v>
      </c>
      <c r="N2895" s="74">
        <f t="shared" si="1"/>
        <v>78.72651617</v>
      </c>
      <c r="O2895" s="74" t="b">
        <v>1</v>
      </c>
    </row>
    <row r="2896" hidden="1">
      <c r="A2896" s="82"/>
      <c r="B2896" s="65" t="s">
        <v>411</v>
      </c>
      <c r="C2896" s="65" t="s">
        <v>92</v>
      </c>
      <c r="D2896" s="65" t="str">
        <f>vlookup(C2896,'Classificação p pessoal'!F:G,2,false)</f>
        <v/>
      </c>
      <c r="E2896" s="65" t="s">
        <v>1933</v>
      </c>
      <c r="F2896" s="83">
        <v>0.6458333333333334</v>
      </c>
      <c r="G2896" s="83">
        <v>0.7083333333333334</v>
      </c>
      <c r="H2896" s="83">
        <v>0.0625</v>
      </c>
      <c r="I2896" s="84">
        <v>44232.0</v>
      </c>
      <c r="J2896" s="65" t="b">
        <v>1</v>
      </c>
      <c r="K2896" s="65"/>
      <c r="L2896" s="85" t="b">
        <f>IF(VLOOKUP(C2896,Projetos!A:L,12,false)=TRUE,TRUE,FALSE)</f>
        <v>1</v>
      </c>
      <c r="M2896" s="74">
        <v>52.48434411075036</v>
      </c>
      <c r="N2896" s="74">
        <f t="shared" si="1"/>
        <v>78.72651617</v>
      </c>
      <c r="O2896" s="74" t="b">
        <v>1</v>
      </c>
    </row>
    <row r="2897" hidden="1">
      <c r="A2897" s="82"/>
      <c r="B2897" s="65" t="s">
        <v>411</v>
      </c>
      <c r="C2897" s="65" t="s">
        <v>130</v>
      </c>
      <c r="D2897" s="65" t="str">
        <f>vlookup(C2897,'Classificação p pessoal'!F:G,2,false)</f>
        <v>NP</v>
      </c>
      <c r="E2897" s="65" t="s">
        <v>1934</v>
      </c>
      <c r="F2897" s="83">
        <v>0.7083333333333334</v>
      </c>
      <c r="G2897" s="83">
        <v>0.75</v>
      </c>
      <c r="H2897" s="83">
        <v>0.041666666666666664</v>
      </c>
      <c r="I2897" s="84">
        <v>44232.0</v>
      </c>
      <c r="J2897" s="65" t="b">
        <v>1</v>
      </c>
      <c r="K2897" s="65"/>
      <c r="L2897" s="85" t="b">
        <f>IF(VLOOKUP(C2897,Projetos!A:L,12,false)=TRUE,TRUE,FALSE)</f>
        <v>1</v>
      </c>
      <c r="M2897" s="74">
        <v>52.48434411075036</v>
      </c>
      <c r="N2897" s="74">
        <f t="shared" si="1"/>
        <v>52.48434411</v>
      </c>
      <c r="O2897" s="74" t="b">
        <v>1</v>
      </c>
    </row>
    <row r="2898" hidden="1">
      <c r="A2898" s="82"/>
      <c r="B2898" s="65" t="s">
        <v>411</v>
      </c>
      <c r="C2898" s="65" t="s">
        <v>92</v>
      </c>
      <c r="D2898" s="65" t="str">
        <f>vlookup(C2898,'Classificação p pessoal'!F:G,2,false)</f>
        <v/>
      </c>
      <c r="E2898" s="65" t="s">
        <v>1935</v>
      </c>
      <c r="F2898" s="83">
        <v>0.34375</v>
      </c>
      <c r="G2898" s="83">
        <v>0.5833333333333334</v>
      </c>
      <c r="H2898" s="83">
        <v>0.23958333333333334</v>
      </c>
      <c r="I2898" s="84">
        <v>44235.0</v>
      </c>
      <c r="J2898" s="65" t="b">
        <v>1</v>
      </c>
      <c r="K2898" s="65"/>
      <c r="L2898" s="85" t="b">
        <f>IF(VLOOKUP(C2898,Projetos!A:L,12,false)=TRUE,TRUE,FALSE)</f>
        <v>1</v>
      </c>
      <c r="M2898" s="74">
        <v>52.48434411075036</v>
      </c>
      <c r="N2898" s="74">
        <f t="shared" si="1"/>
        <v>301.7849786</v>
      </c>
      <c r="O2898" s="74" t="b">
        <v>1</v>
      </c>
    </row>
    <row r="2899" hidden="1">
      <c r="A2899" s="82"/>
      <c r="B2899" s="65" t="s">
        <v>411</v>
      </c>
      <c r="C2899" s="65" t="s">
        <v>132</v>
      </c>
      <c r="D2899" s="65"/>
      <c r="E2899" s="65" t="s">
        <v>1936</v>
      </c>
      <c r="F2899" s="83">
        <v>0.625</v>
      </c>
      <c r="G2899" s="83">
        <v>0.75</v>
      </c>
      <c r="H2899" s="83">
        <v>0.125</v>
      </c>
      <c r="I2899" s="84">
        <v>44235.0</v>
      </c>
      <c r="J2899" s="65" t="b">
        <v>1</v>
      </c>
      <c r="K2899" s="65"/>
      <c r="L2899" s="85" t="b">
        <f>IF(VLOOKUP(C2899,Projetos!A:L,12,false)=TRUE,TRUE,FALSE)</f>
        <v>0</v>
      </c>
      <c r="M2899" s="74">
        <v>52.48434411075036</v>
      </c>
      <c r="N2899" s="74">
        <f t="shared" si="1"/>
        <v>0</v>
      </c>
      <c r="O2899" s="74" t="b">
        <v>0</v>
      </c>
    </row>
    <row r="2900" hidden="1">
      <c r="A2900" s="82"/>
      <c r="B2900" s="65" t="s">
        <v>411</v>
      </c>
      <c r="C2900" s="65" t="s">
        <v>117</v>
      </c>
      <c r="D2900" s="65"/>
      <c r="E2900" s="65" t="s">
        <v>1937</v>
      </c>
      <c r="F2900" s="83">
        <v>0.34375</v>
      </c>
      <c r="G2900" s="83">
        <v>0.375</v>
      </c>
      <c r="H2900" s="83">
        <v>0.03125</v>
      </c>
      <c r="I2900" s="84">
        <v>44236.0</v>
      </c>
      <c r="J2900" s="65" t="b">
        <v>0</v>
      </c>
      <c r="K2900" s="65" t="s">
        <v>150</v>
      </c>
      <c r="L2900" s="85" t="b">
        <f>IF(VLOOKUP(C2900,Projetos!A:L,12,false)=TRUE,TRUE,FALSE)</f>
        <v>1</v>
      </c>
      <c r="M2900" s="74">
        <v>52.48434411075036</v>
      </c>
      <c r="N2900" s="74">
        <f t="shared" si="1"/>
        <v>0</v>
      </c>
      <c r="O2900" s="74" t="b">
        <v>1</v>
      </c>
    </row>
    <row r="2901" hidden="1">
      <c r="A2901" s="82"/>
      <c r="B2901" s="65" t="s">
        <v>411</v>
      </c>
      <c r="C2901" s="65" t="s">
        <v>130</v>
      </c>
      <c r="D2901" s="65" t="str">
        <f>vlookup(C2901,'Classificação p pessoal'!F:G,2,false)</f>
        <v>NP</v>
      </c>
      <c r="E2901" s="65" t="s">
        <v>1938</v>
      </c>
      <c r="F2901" s="83">
        <v>0.4166666666666667</v>
      </c>
      <c r="G2901" s="83">
        <v>0.4583333333333333</v>
      </c>
      <c r="H2901" s="83">
        <v>0.041666666666666664</v>
      </c>
      <c r="I2901" s="84">
        <v>44236.0</v>
      </c>
      <c r="J2901" s="65" t="b">
        <v>1</v>
      </c>
      <c r="K2901" s="65"/>
      <c r="L2901" s="85" t="b">
        <f>IF(VLOOKUP(C2901,Projetos!A:L,12,false)=TRUE,TRUE,FALSE)</f>
        <v>1</v>
      </c>
      <c r="M2901" s="74">
        <v>52.48434411075036</v>
      </c>
      <c r="N2901" s="74">
        <f t="shared" si="1"/>
        <v>52.48434411</v>
      </c>
      <c r="O2901" s="74" t="b">
        <v>1</v>
      </c>
    </row>
    <row r="2902" hidden="1">
      <c r="A2902" s="82"/>
      <c r="B2902" s="65" t="s">
        <v>411</v>
      </c>
      <c r="C2902" s="65" t="s">
        <v>132</v>
      </c>
      <c r="D2902" s="65"/>
      <c r="E2902" s="65" t="s">
        <v>1939</v>
      </c>
      <c r="F2902" s="83">
        <v>0.4583333333333333</v>
      </c>
      <c r="G2902" s="83">
        <v>0.6041666666666666</v>
      </c>
      <c r="H2902" s="83">
        <v>0.14583333333333334</v>
      </c>
      <c r="I2902" s="84">
        <v>44236.0</v>
      </c>
      <c r="J2902" s="65" t="b">
        <v>1</v>
      </c>
      <c r="K2902" s="65"/>
      <c r="L2902" s="85" t="b">
        <f>IF(VLOOKUP(C2902,Projetos!A:L,12,false)=TRUE,TRUE,FALSE)</f>
        <v>0</v>
      </c>
      <c r="M2902" s="74">
        <v>52.48434411075036</v>
      </c>
      <c r="N2902" s="74">
        <f t="shared" si="1"/>
        <v>0</v>
      </c>
      <c r="O2902" s="74" t="b">
        <v>0</v>
      </c>
    </row>
    <row r="2903" hidden="1">
      <c r="A2903" s="82"/>
      <c r="B2903" s="65" t="s">
        <v>411</v>
      </c>
      <c r="C2903" s="65" t="s">
        <v>117</v>
      </c>
      <c r="D2903" s="65" t="str">
        <f>vlookup(C2903,'Classificação p pessoal'!F:G,2,false)</f>
        <v>NP</v>
      </c>
      <c r="E2903" s="65" t="s">
        <v>1940</v>
      </c>
      <c r="F2903" s="83">
        <v>0.625</v>
      </c>
      <c r="G2903" s="83">
        <v>0.6666666666666666</v>
      </c>
      <c r="H2903" s="83">
        <v>0.041666666666666664</v>
      </c>
      <c r="I2903" s="84">
        <v>44236.0</v>
      </c>
      <c r="J2903" s="65" t="b">
        <v>1</v>
      </c>
      <c r="K2903" s="65"/>
      <c r="L2903" s="85" t="b">
        <f>IF(VLOOKUP(C2903,Projetos!A:L,12,false)=TRUE,TRUE,FALSE)</f>
        <v>1</v>
      </c>
      <c r="M2903" s="74">
        <v>52.48434411075036</v>
      </c>
      <c r="N2903" s="74">
        <f t="shared" si="1"/>
        <v>52.48434411</v>
      </c>
      <c r="O2903" s="74" t="b">
        <v>1</v>
      </c>
    </row>
    <row r="2904" hidden="1">
      <c r="A2904" s="82"/>
      <c r="B2904" s="65" t="s">
        <v>411</v>
      </c>
      <c r="C2904" s="65" t="s">
        <v>130</v>
      </c>
      <c r="D2904" s="65" t="str">
        <f>vlookup(C2904,'Classificação p pessoal'!F:G,2,false)</f>
        <v>NP</v>
      </c>
      <c r="E2904" s="65" t="s">
        <v>1941</v>
      </c>
      <c r="F2904" s="83">
        <v>0.6666666666666666</v>
      </c>
      <c r="G2904" s="83">
        <v>0.7083333333333334</v>
      </c>
      <c r="H2904" s="83">
        <v>0.041666666666666664</v>
      </c>
      <c r="I2904" s="84">
        <v>44236.0</v>
      </c>
      <c r="J2904" s="65" t="b">
        <v>1</v>
      </c>
      <c r="K2904" s="65"/>
      <c r="L2904" s="85" t="b">
        <f>IF(VLOOKUP(C2904,Projetos!A:L,12,false)=TRUE,TRUE,FALSE)</f>
        <v>1</v>
      </c>
      <c r="M2904" s="74">
        <v>52.48434411075036</v>
      </c>
      <c r="N2904" s="74">
        <f t="shared" si="1"/>
        <v>52.48434411</v>
      </c>
      <c r="O2904" s="74" t="b">
        <v>1</v>
      </c>
    </row>
    <row r="2905" hidden="1">
      <c r="A2905" s="82"/>
      <c r="B2905" s="65" t="s">
        <v>411</v>
      </c>
      <c r="C2905" s="65" t="s">
        <v>108</v>
      </c>
      <c r="D2905" s="65" t="str">
        <f>vlookup(C2905,'Classificação p pessoal'!F:G,2,false)</f>
        <v>NP</v>
      </c>
      <c r="E2905" s="65" t="s">
        <v>1942</v>
      </c>
      <c r="F2905" s="83">
        <v>0.7083333333333334</v>
      </c>
      <c r="G2905" s="83">
        <v>0.75</v>
      </c>
      <c r="H2905" s="83">
        <v>0.041666666666666664</v>
      </c>
      <c r="I2905" s="84">
        <v>44236.0</v>
      </c>
      <c r="J2905" s="65" t="b">
        <v>1</v>
      </c>
      <c r="K2905" s="65"/>
      <c r="L2905" s="85" t="b">
        <f>IF(VLOOKUP(C2905,Projetos!A:L,12,false)=TRUE,TRUE,FALSE)</f>
        <v>1</v>
      </c>
      <c r="M2905" s="74">
        <v>52.48434411075036</v>
      </c>
      <c r="N2905" s="74">
        <f t="shared" si="1"/>
        <v>52.48434411</v>
      </c>
      <c r="O2905" s="74" t="b">
        <v>1</v>
      </c>
    </row>
    <row r="2906" hidden="1">
      <c r="A2906" s="82"/>
      <c r="B2906" s="65" t="s">
        <v>411</v>
      </c>
      <c r="C2906" s="65" t="s">
        <v>92</v>
      </c>
      <c r="D2906" s="65" t="str">
        <f>vlookup(C2906,'Classificação p pessoal'!F:G,2,false)</f>
        <v/>
      </c>
      <c r="E2906" s="65" t="s">
        <v>1943</v>
      </c>
      <c r="F2906" s="83">
        <v>0.34375</v>
      </c>
      <c r="G2906" s="83">
        <v>0.4479166666666667</v>
      </c>
      <c r="H2906" s="83">
        <v>0.10416666666666667</v>
      </c>
      <c r="I2906" s="84">
        <v>44237.0</v>
      </c>
      <c r="J2906" s="65" t="b">
        <v>1</v>
      </c>
      <c r="K2906" s="65"/>
      <c r="L2906" s="85" t="b">
        <f>IF(VLOOKUP(C2906,Projetos!A:L,12,false)=TRUE,TRUE,FALSE)</f>
        <v>1</v>
      </c>
      <c r="M2906" s="74">
        <v>52.48434411075036</v>
      </c>
      <c r="N2906" s="74">
        <f t="shared" si="1"/>
        <v>131.2108603</v>
      </c>
      <c r="O2906" s="74" t="b">
        <v>1</v>
      </c>
    </row>
    <row r="2907" hidden="1">
      <c r="A2907" s="82"/>
      <c r="B2907" s="65" t="s">
        <v>411</v>
      </c>
      <c r="C2907" s="65" t="s">
        <v>88</v>
      </c>
      <c r="D2907" s="65" t="str">
        <f>vlookup(C2907,'Classificação p pessoal'!F:G,2,false)</f>
        <v>MProduto</v>
      </c>
      <c r="E2907" s="65" t="s">
        <v>1944</v>
      </c>
      <c r="F2907" s="83">
        <v>0.4479166666666667</v>
      </c>
      <c r="G2907" s="83">
        <v>0.5</v>
      </c>
      <c r="H2907" s="83">
        <v>0.052083333333333336</v>
      </c>
      <c r="I2907" s="84">
        <v>44237.0</v>
      </c>
      <c r="J2907" s="65" t="b">
        <v>1</v>
      </c>
      <c r="K2907" s="65"/>
      <c r="L2907" s="85" t="b">
        <f>IF(VLOOKUP(C2907,Projetos!A:L,12,false)=TRUE,TRUE,FALSE)</f>
        <v>1</v>
      </c>
      <c r="M2907" s="74">
        <v>52.48434411075036</v>
      </c>
      <c r="N2907" s="74">
        <f t="shared" si="1"/>
        <v>65.60543014</v>
      </c>
      <c r="O2907" s="74" t="b">
        <v>1</v>
      </c>
    </row>
    <row r="2908" hidden="1">
      <c r="A2908" s="82"/>
      <c r="B2908" s="65" t="s">
        <v>411</v>
      </c>
      <c r="C2908" s="65" t="s">
        <v>132</v>
      </c>
      <c r="D2908" s="65"/>
      <c r="E2908" s="65" t="s">
        <v>1945</v>
      </c>
      <c r="F2908" s="83">
        <v>0.5416666666666666</v>
      </c>
      <c r="G2908" s="83">
        <v>0.5625</v>
      </c>
      <c r="H2908" s="83">
        <v>0.020833333333333332</v>
      </c>
      <c r="I2908" s="84">
        <v>44237.0</v>
      </c>
      <c r="J2908" s="65" t="b">
        <v>1</v>
      </c>
      <c r="K2908" s="65"/>
      <c r="L2908" s="85" t="b">
        <f>IF(VLOOKUP(C2908,Projetos!A:L,12,false)=TRUE,TRUE,FALSE)</f>
        <v>0</v>
      </c>
      <c r="M2908" s="74">
        <v>52.48434411075036</v>
      </c>
      <c r="N2908" s="74">
        <f t="shared" si="1"/>
        <v>0</v>
      </c>
      <c r="O2908" s="74" t="b">
        <v>0</v>
      </c>
    </row>
    <row r="2909" hidden="1">
      <c r="A2909" s="82"/>
      <c r="B2909" s="65" t="s">
        <v>411</v>
      </c>
      <c r="C2909" s="65" t="s">
        <v>117</v>
      </c>
      <c r="D2909" s="65" t="str">
        <f>vlookup(C2909,'Classificação p pessoal'!F:G,2,false)</f>
        <v>NP</v>
      </c>
      <c r="E2909" s="65" t="s">
        <v>1946</v>
      </c>
      <c r="F2909" s="83">
        <v>0.5625</v>
      </c>
      <c r="G2909" s="83">
        <v>0.7083333333333334</v>
      </c>
      <c r="H2909" s="83">
        <v>0.14583333333333334</v>
      </c>
      <c r="I2909" s="84">
        <v>44237.0</v>
      </c>
      <c r="J2909" s="65" t="b">
        <v>1</v>
      </c>
      <c r="K2909" s="65"/>
      <c r="L2909" s="85" t="b">
        <f>IF(VLOOKUP(C2909,Projetos!A:L,12,false)=TRUE,TRUE,FALSE)</f>
        <v>1</v>
      </c>
      <c r="M2909" s="74">
        <v>52.48434411075036</v>
      </c>
      <c r="N2909" s="74">
        <f t="shared" si="1"/>
        <v>183.6952044</v>
      </c>
      <c r="O2909" s="74" t="b">
        <v>1</v>
      </c>
    </row>
    <row r="2910" hidden="1">
      <c r="A2910" s="82"/>
      <c r="B2910" s="65" t="s">
        <v>411</v>
      </c>
      <c r="C2910" s="65" t="s">
        <v>130</v>
      </c>
      <c r="D2910" s="65" t="str">
        <f>vlookup(C2910,'Classificação p pessoal'!F:G,2,false)</f>
        <v>NP</v>
      </c>
      <c r="E2910" s="65" t="s">
        <v>1947</v>
      </c>
      <c r="F2910" s="83">
        <v>0.34375</v>
      </c>
      <c r="G2910" s="83">
        <v>0.375</v>
      </c>
      <c r="H2910" s="83">
        <v>0.03125</v>
      </c>
      <c r="I2910" s="84">
        <v>44238.0</v>
      </c>
      <c r="J2910" s="65" t="b">
        <v>1</v>
      </c>
      <c r="K2910" s="65"/>
      <c r="L2910" s="85" t="b">
        <f>IF(VLOOKUP(C2910,Projetos!A:L,12,false)=TRUE,TRUE,FALSE)</f>
        <v>1</v>
      </c>
      <c r="M2910" s="74">
        <v>52.48434411075036</v>
      </c>
      <c r="N2910" s="74">
        <f t="shared" si="1"/>
        <v>39.36325808</v>
      </c>
      <c r="O2910" s="74" t="b">
        <v>1</v>
      </c>
    </row>
    <row r="2911" hidden="1">
      <c r="A2911" s="82"/>
      <c r="B2911" s="65" t="s">
        <v>411</v>
      </c>
      <c r="C2911" s="65" t="s">
        <v>117</v>
      </c>
      <c r="D2911" s="65" t="str">
        <f>vlookup(C2911,'Classificação p pessoal'!F:G,2,false)</f>
        <v>NP</v>
      </c>
      <c r="E2911" s="65" t="s">
        <v>1948</v>
      </c>
      <c r="F2911" s="83">
        <v>0.375</v>
      </c>
      <c r="G2911" s="83">
        <v>0.4375</v>
      </c>
      <c r="H2911" s="83">
        <v>0.0625</v>
      </c>
      <c r="I2911" s="84">
        <v>44238.0</v>
      </c>
      <c r="J2911" s="65" t="b">
        <v>1</v>
      </c>
      <c r="K2911" s="65"/>
      <c r="L2911" s="85" t="b">
        <f>IF(VLOOKUP(C2911,Projetos!A:L,12,false)=TRUE,TRUE,FALSE)</f>
        <v>1</v>
      </c>
      <c r="M2911" s="74">
        <v>52.48434411075036</v>
      </c>
      <c r="N2911" s="74">
        <f t="shared" si="1"/>
        <v>78.72651617</v>
      </c>
      <c r="O2911" s="74" t="b">
        <v>1</v>
      </c>
    </row>
    <row r="2912" hidden="1">
      <c r="A2912" s="82"/>
      <c r="B2912" s="65" t="s">
        <v>411</v>
      </c>
      <c r="C2912" s="65" t="s">
        <v>92</v>
      </c>
      <c r="D2912" s="65" t="str">
        <f>vlookup(C2912,'Classificação p pessoal'!F:G,2,false)</f>
        <v/>
      </c>
      <c r="E2912" s="65" t="s">
        <v>1949</v>
      </c>
      <c r="F2912" s="83">
        <v>0.4375</v>
      </c>
      <c r="G2912" s="83">
        <v>0.4791666666666667</v>
      </c>
      <c r="H2912" s="83">
        <v>0.041666666666666664</v>
      </c>
      <c r="I2912" s="84">
        <v>44238.0</v>
      </c>
      <c r="J2912" s="65" t="b">
        <v>1</v>
      </c>
      <c r="K2912" s="65"/>
      <c r="L2912" s="85" t="b">
        <f>IF(VLOOKUP(C2912,Projetos!A:L,12,false)=TRUE,TRUE,FALSE)</f>
        <v>1</v>
      </c>
      <c r="M2912" s="74">
        <v>52.48434411075036</v>
      </c>
      <c r="N2912" s="74">
        <f t="shared" si="1"/>
        <v>52.48434411</v>
      </c>
      <c r="O2912" s="74" t="b">
        <v>1</v>
      </c>
    </row>
    <row r="2913" hidden="1">
      <c r="A2913" s="82"/>
      <c r="B2913" s="65" t="s">
        <v>411</v>
      </c>
      <c r="C2913" s="65" t="s">
        <v>152</v>
      </c>
      <c r="D2913" s="65" t="str">
        <f>vlookup(C2913,'Classificação p pessoal'!F:G,2,false)</f>
        <v>MProduto</v>
      </c>
      <c r="E2913" s="65" t="s">
        <v>1923</v>
      </c>
      <c r="F2913" s="83">
        <v>0.4791666666666667</v>
      </c>
      <c r="G2913" s="83">
        <v>0.5416666666666666</v>
      </c>
      <c r="H2913" s="83">
        <v>0.0625</v>
      </c>
      <c r="I2913" s="84">
        <v>44238.0</v>
      </c>
      <c r="J2913" s="65" t="b">
        <v>1</v>
      </c>
      <c r="K2913" s="65"/>
      <c r="L2913" s="85" t="b">
        <f>IF(VLOOKUP(C2913,Projetos!A:L,12,false)=TRUE,TRUE,FALSE)</f>
        <v>1</v>
      </c>
      <c r="M2913" s="74">
        <v>52.48434411075036</v>
      </c>
      <c r="N2913" s="74">
        <f t="shared" si="1"/>
        <v>78.72651617</v>
      </c>
      <c r="O2913" s="74" t="b">
        <v>1</v>
      </c>
    </row>
    <row r="2914" hidden="1">
      <c r="A2914" s="82"/>
      <c r="B2914" s="65" t="s">
        <v>411</v>
      </c>
      <c r="C2914" s="65" t="s">
        <v>132</v>
      </c>
      <c r="D2914" s="65"/>
      <c r="E2914" s="65" t="s">
        <v>1945</v>
      </c>
      <c r="F2914" s="83">
        <v>0.5833333333333334</v>
      </c>
      <c r="G2914" s="83">
        <v>0.625</v>
      </c>
      <c r="H2914" s="83">
        <v>0.041666666666666664</v>
      </c>
      <c r="I2914" s="84">
        <v>44238.0</v>
      </c>
      <c r="J2914" s="65" t="b">
        <v>1</v>
      </c>
      <c r="K2914" s="65"/>
      <c r="L2914" s="85" t="b">
        <f>IF(VLOOKUP(C2914,Projetos!A:L,12,false)=TRUE,TRUE,FALSE)</f>
        <v>0</v>
      </c>
      <c r="M2914" s="74">
        <v>52.48434411075036</v>
      </c>
      <c r="N2914" s="74">
        <f t="shared" si="1"/>
        <v>0</v>
      </c>
      <c r="O2914" s="74" t="b">
        <v>0</v>
      </c>
    </row>
    <row r="2915" hidden="1">
      <c r="A2915" s="82"/>
      <c r="B2915" s="65" t="s">
        <v>411</v>
      </c>
      <c r="C2915" s="65" t="s">
        <v>117</v>
      </c>
      <c r="D2915" s="65"/>
      <c r="E2915" s="65" t="s">
        <v>1950</v>
      </c>
      <c r="F2915" s="83">
        <v>0.625</v>
      </c>
      <c r="G2915" s="83">
        <v>0.6458333333333334</v>
      </c>
      <c r="H2915" s="83">
        <v>0.020833333333333332</v>
      </c>
      <c r="I2915" s="84">
        <v>44238.0</v>
      </c>
      <c r="J2915" s="65" t="b">
        <v>0</v>
      </c>
      <c r="K2915" s="65" t="s">
        <v>150</v>
      </c>
      <c r="L2915" s="85" t="b">
        <f>IF(VLOOKUP(C2915,Projetos!A:L,12,false)=TRUE,TRUE,FALSE)</f>
        <v>1</v>
      </c>
      <c r="M2915" s="74">
        <v>52.48434411075036</v>
      </c>
      <c r="N2915" s="74">
        <f t="shared" si="1"/>
        <v>0</v>
      </c>
      <c r="O2915" s="74" t="b">
        <v>1</v>
      </c>
    </row>
    <row r="2916" hidden="1">
      <c r="A2916" s="82"/>
      <c r="B2916" s="65" t="s">
        <v>411</v>
      </c>
      <c r="C2916" s="65" t="s">
        <v>92</v>
      </c>
      <c r="D2916" s="65" t="str">
        <f>vlookup(C2916,'Classificação p pessoal'!F:G,2,false)</f>
        <v/>
      </c>
      <c r="E2916" s="65" t="s">
        <v>1951</v>
      </c>
      <c r="F2916" s="83">
        <v>0.6458333333333334</v>
      </c>
      <c r="G2916" s="83">
        <v>0.6875</v>
      </c>
      <c r="H2916" s="83">
        <v>0.041666666666666664</v>
      </c>
      <c r="I2916" s="84">
        <v>44238.0</v>
      </c>
      <c r="J2916" s="65" t="b">
        <v>1</v>
      </c>
      <c r="K2916" s="65"/>
      <c r="L2916" s="85" t="b">
        <f>IF(VLOOKUP(C2916,Projetos!A:L,12,false)=TRUE,TRUE,FALSE)</f>
        <v>1</v>
      </c>
      <c r="M2916" s="74">
        <v>52.48434411075036</v>
      </c>
      <c r="N2916" s="74">
        <f t="shared" si="1"/>
        <v>52.48434411</v>
      </c>
      <c r="O2916" s="74" t="b">
        <v>1</v>
      </c>
    </row>
    <row r="2917" hidden="1">
      <c r="A2917" s="82"/>
      <c r="B2917" s="65" t="s">
        <v>411</v>
      </c>
      <c r="C2917" s="65" t="s">
        <v>132</v>
      </c>
      <c r="D2917" s="65"/>
      <c r="E2917" s="65" t="s">
        <v>1920</v>
      </c>
      <c r="F2917" s="83">
        <v>0.6875</v>
      </c>
      <c r="G2917" s="83">
        <v>0.7291666666666666</v>
      </c>
      <c r="H2917" s="83">
        <v>0.041666666666666664</v>
      </c>
      <c r="I2917" s="84">
        <v>44238.0</v>
      </c>
      <c r="J2917" s="65" t="b">
        <v>1</v>
      </c>
      <c r="K2917" s="65"/>
      <c r="L2917" s="85" t="b">
        <f>IF(VLOOKUP(C2917,Projetos!A:L,12,false)=TRUE,TRUE,FALSE)</f>
        <v>0</v>
      </c>
      <c r="M2917" s="74">
        <v>52.48434411075036</v>
      </c>
      <c r="N2917" s="74">
        <f t="shared" si="1"/>
        <v>0</v>
      </c>
      <c r="O2917" s="74" t="b">
        <v>0</v>
      </c>
    </row>
    <row r="2918" hidden="1">
      <c r="A2918" s="82"/>
      <c r="B2918" s="65" t="s">
        <v>411</v>
      </c>
      <c r="C2918" s="65" t="s">
        <v>119</v>
      </c>
      <c r="D2918" s="65" t="str">
        <f>vlookup(C2918,'Classificação p pessoal'!F:G,2,false)</f>
        <v>NP</v>
      </c>
      <c r="E2918" s="65" t="s">
        <v>1952</v>
      </c>
      <c r="F2918" s="83">
        <v>0.7291666666666666</v>
      </c>
      <c r="G2918" s="83">
        <v>0.75</v>
      </c>
      <c r="H2918" s="83">
        <v>0.020833333333333332</v>
      </c>
      <c r="I2918" s="84">
        <v>44238.0</v>
      </c>
      <c r="J2918" s="65" t="b">
        <v>1</v>
      </c>
      <c r="K2918" s="65"/>
      <c r="L2918" s="85" t="b">
        <f>IF(VLOOKUP(C2918,Projetos!A:L,12,false)=TRUE,TRUE,FALSE)</f>
        <v>1</v>
      </c>
      <c r="M2918" s="74">
        <v>52.48434411075036</v>
      </c>
      <c r="N2918" s="74">
        <f t="shared" si="1"/>
        <v>26.24217206</v>
      </c>
      <c r="O2918" s="74" t="b">
        <v>1</v>
      </c>
    </row>
    <row r="2919" hidden="1">
      <c r="A2919" s="82"/>
      <c r="B2919" s="65" t="s">
        <v>411</v>
      </c>
      <c r="C2919" s="65" t="s">
        <v>118</v>
      </c>
      <c r="D2919" s="65"/>
      <c r="E2919" s="65" t="s">
        <v>1953</v>
      </c>
      <c r="F2919" s="83">
        <v>0.34375</v>
      </c>
      <c r="G2919" s="83">
        <v>0.5</v>
      </c>
      <c r="H2919" s="83">
        <v>0.15625</v>
      </c>
      <c r="I2919" s="84">
        <v>44239.0</v>
      </c>
      <c r="J2919" s="65" t="b">
        <v>0</v>
      </c>
      <c r="K2919" s="65" t="s">
        <v>150</v>
      </c>
      <c r="L2919" s="85" t="b">
        <f>IF(VLOOKUP(C2919,Projetos!A:L,12,false)=TRUE,TRUE,FALSE)</f>
        <v>1</v>
      </c>
      <c r="M2919" s="74">
        <v>52.48434411075036</v>
      </c>
      <c r="N2919" s="74">
        <f t="shared" si="1"/>
        <v>0</v>
      </c>
      <c r="O2919" s="74" t="b">
        <v>1</v>
      </c>
    </row>
    <row r="2920" hidden="1">
      <c r="A2920" s="82"/>
      <c r="B2920" s="65" t="s">
        <v>411</v>
      </c>
      <c r="C2920" s="65" t="s">
        <v>117</v>
      </c>
      <c r="D2920" s="65" t="str">
        <f>vlookup(C2920,'Classificação p pessoal'!F:G,2,false)</f>
        <v>NP</v>
      </c>
      <c r="E2920" s="65" t="s">
        <v>1954</v>
      </c>
      <c r="F2920" s="83">
        <v>0.5</v>
      </c>
      <c r="G2920" s="83">
        <v>0.5416666666666666</v>
      </c>
      <c r="H2920" s="83">
        <v>0.041666666666666664</v>
      </c>
      <c r="I2920" s="84">
        <v>44239.0</v>
      </c>
      <c r="J2920" s="65" t="b">
        <v>1</v>
      </c>
      <c r="K2920" s="65"/>
      <c r="L2920" s="85" t="b">
        <f>IF(VLOOKUP(C2920,Projetos!A:L,12,false)=TRUE,TRUE,FALSE)</f>
        <v>1</v>
      </c>
      <c r="M2920" s="74">
        <v>52.48434411075036</v>
      </c>
      <c r="N2920" s="74">
        <f t="shared" si="1"/>
        <v>52.48434411</v>
      </c>
      <c r="O2920" s="74" t="b">
        <v>1</v>
      </c>
    </row>
    <row r="2921" hidden="1">
      <c r="A2921" s="82"/>
      <c r="B2921" s="65" t="s">
        <v>411</v>
      </c>
      <c r="C2921" s="65" t="s">
        <v>132</v>
      </c>
      <c r="D2921" s="65"/>
      <c r="E2921" s="65" t="s">
        <v>1955</v>
      </c>
      <c r="F2921" s="83">
        <v>0.5833333333333334</v>
      </c>
      <c r="G2921" s="83">
        <v>0.7291666666666666</v>
      </c>
      <c r="H2921" s="83">
        <v>0.14583333333333334</v>
      </c>
      <c r="I2921" s="84">
        <v>44239.0</v>
      </c>
      <c r="J2921" s="65" t="b">
        <v>1</v>
      </c>
      <c r="K2921" s="65"/>
      <c r="L2921" s="85" t="b">
        <f>IF(VLOOKUP(C2921,Projetos!A:L,12,false)=TRUE,TRUE,FALSE)</f>
        <v>0</v>
      </c>
      <c r="M2921" s="74">
        <v>52.48434411075036</v>
      </c>
      <c r="N2921" s="74">
        <f t="shared" si="1"/>
        <v>0</v>
      </c>
      <c r="O2921" s="74" t="b">
        <v>0</v>
      </c>
    </row>
    <row r="2922" hidden="1">
      <c r="A2922" s="82"/>
      <c r="B2922" s="65" t="s">
        <v>411</v>
      </c>
      <c r="C2922" s="65" t="s">
        <v>92</v>
      </c>
      <c r="D2922" s="65"/>
      <c r="E2922" s="65" t="s">
        <v>1956</v>
      </c>
      <c r="F2922" s="83">
        <v>0.7291666666666666</v>
      </c>
      <c r="G2922" s="83">
        <v>0.7916666666666666</v>
      </c>
      <c r="H2922" s="83">
        <v>0.0625</v>
      </c>
      <c r="I2922" s="84">
        <v>44239.0</v>
      </c>
      <c r="J2922" s="65" t="b">
        <v>0</v>
      </c>
      <c r="K2922" s="65" t="s">
        <v>150</v>
      </c>
      <c r="L2922" s="85" t="b">
        <f>IF(VLOOKUP(C2922,Projetos!A:L,12,false)=TRUE,TRUE,FALSE)</f>
        <v>1</v>
      </c>
      <c r="M2922" s="74">
        <v>52.48434411075036</v>
      </c>
      <c r="N2922" s="74">
        <f t="shared" si="1"/>
        <v>0</v>
      </c>
      <c r="O2922" s="74" t="b">
        <v>1</v>
      </c>
    </row>
    <row r="2923" hidden="1">
      <c r="A2923" s="82"/>
      <c r="B2923" s="65" t="s">
        <v>411</v>
      </c>
      <c r="C2923" s="65" t="s">
        <v>92</v>
      </c>
      <c r="D2923" s="65" t="str">
        <f>vlookup(C2923,'Classificação p pessoal'!F:G,2,false)</f>
        <v/>
      </c>
      <c r="E2923" s="65" t="s">
        <v>1951</v>
      </c>
      <c r="F2923" s="83">
        <v>0.5416666666666666</v>
      </c>
      <c r="G2923" s="83">
        <v>0.625</v>
      </c>
      <c r="H2923" s="83">
        <v>0.08333333333333333</v>
      </c>
      <c r="I2923" s="84">
        <v>44244.0</v>
      </c>
      <c r="J2923" s="65" t="b">
        <v>1</v>
      </c>
      <c r="K2923" s="65"/>
      <c r="L2923" s="85" t="b">
        <f>IF(VLOOKUP(C2923,Projetos!A:L,12,false)=TRUE,TRUE,FALSE)</f>
        <v>1</v>
      </c>
      <c r="M2923" s="74">
        <v>52.48434411075036</v>
      </c>
      <c r="N2923" s="74">
        <f t="shared" si="1"/>
        <v>104.9686882</v>
      </c>
      <c r="O2923" s="74" t="b">
        <v>1</v>
      </c>
    </row>
    <row r="2924" hidden="1">
      <c r="A2924" s="82"/>
      <c r="B2924" s="65" t="s">
        <v>411</v>
      </c>
      <c r="C2924" s="65" t="s">
        <v>132</v>
      </c>
      <c r="D2924" s="65"/>
      <c r="E2924" s="65" t="s">
        <v>1939</v>
      </c>
      <c r="F2924" s="83">
        <v>0.625</v>
      </c>
      <c r="G2924" s="83">
        <v>0.7083333333333334</v>
      </c>
      <c r="H2924" s="83">
        <v>0.08333333333333333</v>
      </c>
      <c r="I2924" s="84">
        <v>44244.0</v>
      </c>
      <c r="J2924" s="65" t="b">
        <v>1</v>
      </c>
      <c r="K2924" s="65"/>
      <c r="L2924" s="85" t="b">
        <f>IF(VLOOKUP(C2924,Projetos!A:L,12,false)=TRUE,TRUE,FALSE)</f>
        <v>0</v>
      </c>
      <c r="M2924" s="74">
        <v>52.48434411075036</v>
      </c>
      <c r="N2924" s="74">
        <f t="shared" si="1"/>
        <v>0</v>
      </c>
      <c r="O2924" s="74" t="b">
        <v>0</v>
      </c>
    </row>
    <row r="2925" hidden="1">
      <c r="A2925" s="82"/>
      <c r="B2925" s="65" t="s">
        <v>411</v>
      </c>
      <c r="C2925" s="65" t="s">
        <v>92</v>
      </c>
      <c r="D2925" s="65" t="str">
        <f>vlookup(C2925,'Classificação p pessoal'!F:G,2,false)</f>
        <v/>
      </c>
      <c r="E2925" s="65" t="s">
        <v>1957</v>
      </c>
      <c r="F2925" s="83">
        <v>0.7083333333333334</v>
      </c>
      <c r="G2925" s="83">
        <v>0.75</v>
      </c>
      <c r="H2925" s="83">
        <v>0.041666666666666664</v>
      </c>
      <c r="I2925" s="84">
        <v>44244.0</v>
      </c>
      <c r="J2925" s="65" t="b">
        <v>1</v>
      </c>
      <c r="K2925" s="65"/>
      <c r="L2925" s="85" t="b">
        <f>IF(VLOOKUP(C2925,Projetos!A:L,12,false)=TRUE,TRUE,FALSE)</f>
        <v>1</v>
      </c>
      <c r="M2925" s="74">
        <v>52.48434411075036</v>
      </c>
      <c r="N2925" s="74">
        <f t="shared" si="1"/>
        <v>52.48434411</v>
      </c>
      <c r="O2925" s="74" t="b">
        <v>1</v>
      </c>
    </row>
    <row r="2926" hidden="1">
      <c r="A2926" s="82"/>
      <c r="B2926" s="65" t="s">
        <v>411</v>
      </c>
      <c r="C2926" s="65" t="s">
        <v>92</v>
      </c>
      <c r="D2926" s="65" t="str">
        <f>vlookup(C2926,'Classificação p pessoal'!F:G,2,false)</f>
        <v/>
      </c>
      <c r="E2926" s="65" t="s">
        <v>1951</v>
      </c>
      <c r="F2926" s="83">
        <v>0.34375</v>
      </c>
      <c r="G2926" s="83">
        <v>0.4166666666666667</v>
      </c>
      <c r="H2926" s="83">
        <v>0.07291666666666667</v>
      </c>
      <c r="I2926" s="84">
        <v>44245.0</v>
      </c>
      <c r="J2926" s="65" t="b">
        <v>1</v>
      </c>
      <c r="K2926" s="65"/>
      <c r="L2926" s="85" t="b">
        <f>IF(VLOOKUP(C2926,Projetos!A:L,12,false)=TRUE,TRUE,FALSE)</f>
        <v>1</v>
      </c>
      <c r="M2926" s="74">
        <v>52.48434411075036</v>
      </c>
      <c r="N2926" s="74">
        <f t="shared" si="1"/>
        <v>91.84760219</v>
      </c>
      <c r="O2926" s="74" t="b">
        <v>1</v>
      </c>
    </row>
    <row r="2927" hidden="1">
      <c r="A2927" s="82"/>
      <c r="B2927" s="65" t="s">
        <v>411</v>
      </c>
      <c r="C2927" s="65" t="s">
        <v>108</v>
      </c>
      <c r="D2927" s="65" t="str">
        <f>vlookup(C2927,'Classificação p pessoal'!F:G,2,false)</f>
        <v>NP</v>
      </c>
      <c r="E2927" s="65" t="s">
        <v>1958</v>
      </c>
      <c r="F2927" s="83">
        <v>0.4166666666666667</v>
      </c>
      <c r="G2927" s="83">
        <v>0.4583333333333333</v>
      </c>
      <c r="H2927" s="83">
        <v>0.041666666666666664</v>
      </c>
      <c r="I2927" s="84">
        <v>44245.0</v>
      </c>
      <c r="J2927" s="65" t="b">
        <v>1</v>
      </c>
      <c r="K2927" s="65"/>
      <c r="L2927" s="85" t="b">
        <f>IF(VLOOKUP(C2927,Projetos!A:L,12,false)=TRUE,TRUE,FALSE)</f>
        <v>1</v>
      </c>
      <c r="M2927" s="74">
        <v>52.48434411075036</v>
      </c>
      <c r="N2927" s="74">
        <f t="shared" si="1"/>
        <v>52.48434411</v>
      </c>
      <c r="O2927" s="74" t="b">
        <v>1</v>
      </c>
    </row>
    <row r="2928" hidden="1">
      <c r="A2928" s="82"/>
      <c r="B2928" s="65" t="s">
        <v>411</v>
      </c>
      <c r="C2928" s="65" t="s">
        <v>120</v>
      </c>
      <c r="D2928" s="65"/>
      <c r="E2928" s="65" t="s">
        <v>1959</v>
      </c>
      <c r="F2928" s="83">
        <v>0.4583333333333333</v>
      </c>
      <c r="G2928" s="83">
        <v>0.5</v>
      </c>
      <c r="H2928" s="83">
        <v>0.041666666666666664</v>
      </c>
      <c r="I2928" s="84">
        <v>44245.0</v>
      </c>
      <c r="J2928" s="65" t="b">
        <v>0</v>
      </c>
      <c r="K2928" s="65"/>
      <c r="L2928" s="85" t="b">
        <f>IF(VLOOKUP(C2928,Projetos!A:L,12,false)=TRUE,TRUE,FALSE)</f>
        <v>0</v>
      </c>
      <c r="M2928" s="74">
        <v>52.48434411075036</v>
      </c>
      <c r="N2928" s="74">
        <f t="shared" si="1"/>
        <v>0</v>
      </c>
      <c r="O2928" s="74" t="b">
        <v>0</v>
      </c>
    </row>
    <row r="2929" hidden="1">
      <c r="A2929" s="82"/>
      <c r="B2929" s="65" t="s">
        <v>411</v>
      </c>
      <c r="C2929" s="65" t="s">
        <v>117</v>
      </c>
      <c r="D2929" s="65" t="str">
        <f>vlookup(C2929,'Classificação p pessoal'!F:G,2,false)</f>
        <v>NP</v>
      </c>
      <c r="E2929" s="65" t="s">
        <v>1960</v>
      </c>
      <c r="F2929" s="83">
        <v>0.5</v>
      </c>
      <c r="G2929" s="83">
        <v>0.5833333333333334</v>
      </c>
      <c r="H2929" s="83">
        <v>0.08333333333333333</v>
      </c>
      <c r="I2929" s="84">
        <v>44245.0</v>
      </c>
      <c r="J2929" s="65" t="b">
        <v>1</v>
      </c>
      <c r="K2929" s="65"/>
      <c r="L2929" s="85" t="b">
        <f>IF(VLOOKUP(C2929,Projetos!A:L,12,false)=TRUE,TRUE,FALSE)</f>
        <v>1</v>
      </c>
      <c r="M2929" s="74">
        <v>52.48434411075036</v>
      </c>
      <c r="N2929" s="74">
        <f t="shared" si="1"/>
        <v>104.9686882</v>
      </c>
      <c r="O2929" s="74" t="b">
        <v>1</v>
      </c>
    </row>
    <row r="2930" hidden="1">
      <c r="A2930" s="82"/>
      <c r="B2930" s="65" t="s">
        <v>411</v>
      </c>
      <c r="C2930" s="65" t="s">
        <v>92</v>
      </c>
      <c r="D2930" s="65" t="str">
        <f>vlookup(C2930,'Classificação p pessoal'!F:G,2,false)</f>
        <v/>
      </c>
      <c r="E2930" s="65" t="s">
        <v>1961</v>
      </c>
      <c r="F2930" s="83">
        <v>0.625</v>
      </c>
      <c r="G2930" s="83">
        <v>0.6875</v>
      </c>
      <c r="H2930" s="83">
        <v>0.0625</v>
      </c>
      <c r="I2930" s="84">
        <v>44245.0</v>
      </c>
      <c r="J2930" s="65" t="b">
        <v>1</v>
      </c>
      <c r="K2930" s="65"/>
      <c r="L2930" s="85" t="b">
        <f>IF(VLOOKUP(C2930,Projetos!A:L,12,false)=TRUE,TRUE,FALSE)</f>
        <v>1</v>
      </c>
      <c r="M2930" s="74">
        <v>52.48434411075036</v>
      </c>
      <c r="N2930" s="74">
        <f t="shared" si="1"/>
        <v>78.72651617</v>
      </c>
      <c r="O2930" s="74" t="b">
        <v>1</v>
      </c>
    </row>
    <row r="2931" hidden="1">
      <c r="A2931" s="82"/>
      <c r="B2931" s="65" t="s">
        <v>411</v>
      </c>
      <c r="C2931" s="65" t="s">
        <v>132</v>
      </c>
      <c r="D2931" s="65"/>
      <c r="E2931" s="65" t="s">
        <v>1962</v>
      </c>
      <c r="F2931" s="83">
        <v>0.6875</v>
      </c>
      <c r="G2931" s="83">
        <v>0.75</v>
      </c>
      <c r="H2931" s="83">
        <v>0.0625</v>
      </c>
      <c r="I2931" s="84">
        <v>44245.0</v>
      </c>
      <c r="J2931" s="65" t="b">
        <v>1</v>
      </c>
      <c r="K2931" s="65"/>
      <c r="L2931" s="85" t="b">
        <f>IF(VLOOKUP(C2931,Projetos!A:L,12,false)=TRUE,TRUE,FALSE)</f>
        <v>0</v>
      </c>
      <c r="M2931" s="74">
        <v>52.48434411075036</v>
      </c>
      <c r="N2931" s="74">
        <f t="shared" si="1"/>
        <v>0</v>
      </c>
      <c r="O2931" s="74" t="b">
        <v>0</v>
      </c>
    </row>
    <row r="2932" hidden="1">
      <c r="A2932" s="82"/>
      <c r="B2932" s="65" t="s">
        <v>411</v>
      </c>
      <c r="C2932" s="65" t="s">
        <v>117</v>
      </c>
      <c r="D2932" s="65"/>
      <c r="E2932" s="65" t="s">
        <v>1963</v>
      </c>
      <c r="F2932" s="83">
        <v>0.34375</v>
      </c>
      <c r="G2932" s="83">
        <v>0.4166666666666667</v>
      </c>
      <c r="H2932" s="83">
        <v>0.07291666666666667</v>
      </c>
      <c r="I2932" s="84">
        <v>44246.0</v>
      </c>
      <c r="J2932" s="65" t="b">
        <v>0</v>
      </c>
      <c r="K2932" s="65" t="s">
        <v>150</v>
      </c>
      <c r="L2932" s="85" t="b">
        <f>IF(VLOOKUP(C2932,Projetos!A:L,12,false)=TRUE,TRUE,FALSE)</f>
        <v>1</v>
      </c>
      <c r="M2932" s="74">
        <v>52.48434411075036</v>
      </c>
      <c r="N2932" s="74">
        <f t="shared" si="1"/>
        <v>0</v>
      </c>
      <c r="O2932" s="74" t="b">
        <v>1</v>
      </c>
    </row>
    <row r="2933" hidden="1">
      <c r="A2933" s="82"/>
      <c r="B2933" s="65" t="s">
        <v>411</v>
      </c>
      <c r="C2933" s="65" t="s">
        <v>92</v>
      </c>
      <c r="D2933" s="65" t="str">
        <f>vlookup(C2933,'Classificação p pessoal'!F:G,2,false)</f>
        <v/>
      </c>
      <c r="E2933" s="65" t="s">
        <v>1951</v>
      </c>
      <c r="F2933" s="83">
        <v>0.4166666666666667</v>
      </c>
      <c r="G2933" s="83">
        <v>0.5</v>
      </c>
      <c r="H2933" s="83">
        <v>0.08333333333333333</v>
      </c>
      <c r="I2933" s="84">
        <v>44246.0</v>
      </c>
      <c r="J2933" s="65" t="b">
        <v>1</v>
      </c>
      <c r="K2933" s="65"/>
      <c r="L2933" s="85" t="b">
        <f>IF(VLOOKUP(C2933,Projetos!A:L,12,false)=TRUE,TRUE,FALSE)</f>
        <v>1</v>
      </c>
      <c r="M2933" s="74">
        <v>52.48434411075036</v>
      </c>
      <c r="N2933" s="74">
        <f t="shared" si="1"/>
        <v>104.9686882</v>
      </c>
      <c r="O2933" s="74" t="b">
        <v>1</v>
      </c>
    </row>
    <row r="2934" hidden="1">
      <c r="A2934" s="82"/>
      <c r="B2934" s="65" t="s">
        <v>411</v>
      </c>
      <c r="C2934" s="65" t="s">
        <v>152</v>
      </c>
      <c r="D2934" s="65" t="str">
        <f>vlookup(C2934,'Classificação p pessoal'!F:G,2,false)</f>
        <v>MProduto</v>
      </c>
      <c r="E2934" s="65" t="s">
        <v>1964</v>
      </c>
      <c r="F2934" s="83">
        <v>0.5416666666666666</v>
      </c>
      <c r="G2934" s="83">
        <v>0.75</v>
      </c>
      <c r="H2934" s="83">
        <v>0.20833333333333334</v>
      </c>
      <c r="I2934" s="84">
        <v>44246.0</v>
      </c>
      <c r="J2934" s="65" t="b">
        <v>1</v>
      </c>
      <c r="K2934" s="65"/>
      <c r="L2934" s="85" t="b">
        <f>IF(VLOOKUP(C2934,Projetos!A:L,12,false)=TRUE,TRUE,FALSE)</f>
        <v>1</v>
      </c>
      <c r="M2934" s="74">
        <v>52.48434411075036</v>
      </c>
      <c r="N2934" s="74">
        <f t="shared" si="1"/>
        <v>262.4217206</v>
      </c>
      <c r="O2934" s="74" t="b">
        <v>1</v>
      </c>
    </row>
    <row r="2935" hidden="1">
      <c r="A2935" s="82"/>
      <c r="B2935" s="65" t="s">
        <v>411</v>
      </c>
      <c r="C2935" s="65" t="s">
        <v>92</v>
      </c>
      <c r="D2935" s="65" t="str">
        <f>vlookup(C2935,'Classificação p pessoal'!F:G,2,false)</f>
        <v/>
      </c>
      <c r="E2935" s="65" t="s">
        <v>1951</v>
      </c>
      <c r="F2935" s="83">
        <v>0.34375</v>
      </c>
      <c r="G2935" s="83">
        <v>0.4166666666666667</v>
      </c>
      <c r="H2935" s="83">
        <v>0.07291666666666667</v>
      </c>
      <c r="I2935" s="84">
        <v>44249.0</v>
      </c>
      <c r="J2935" s="65" t="b">
        <v>1</v>
      </c>
      <c r="K2935" s="65"/>
      <c r="L2935" s="85" t="b">
        <f>IF(VLOOKUP(C2935,Projetos!A:L,12,false)=TRUE,TRUE,FALSE)</f>
        <v>1</v>
      </c>
      <c r="M2935" s="74">
        <v>52.48434411075036</v>
      </c>
      <c r="N2935" s="74">
        <f t="shared" si="1"/>
        <v>91.84760219</v>
      </c>
      <c r="O2935" s="74" t="b">
        <v>1</v>
      </c>
    </row>
    <row r="2936" hidden="1">
      <c r="A2936" s="82"/>
      <c r="B2936" s="65" t="s">
        <v>411</v>
      </c>
      <c r="C2936" s="65" t="s">
        <v>152</v>
      </c>
      <c r="D2936" s="65" t="str">
        <f>vlookup(C2936,'Classificação p pessoal'!F:G,2,false)</f>
        <v>MProduto</v>
      </c>
      <c r="E2936" s="65" t="s">
        <v>1965</v>
      </c>
      <c r="F2936" s="83">
        <v>0.4166666666666667</v>
      </c>
      <c r="G2936" s="83">
        <v>0.4583333333333333</v>
      </c>
      <c r="H2936" s="83">
        <v>0.041666666666666664</v>
      </c>
      <c r="I2936" s="84">
        <v>44249.0</v>
      </c>
      <c r="J2936" s="65" t="b">
        <v>1</v>
      </c>
      <c r="K2936" s="65"/>
      <c r="L2936" s="85" t="b">
        <f>IF(VLOOKUP(C2936,Projetos!A:L,12,false)=TRUE,TRUE,FALSE)</f>
        <v>1</v>
      </c>
      <c r="M2936" s="74">
        <v>52.48434411075036</v>
      </c>
      <c r="N2936" s="74">
        <f t="shared" si="1"/>
        <v>52.48434411</v>
      </c>
      <c r="O2936" s="74" t="b">
        <v>1</v>
      </c>
    </row>
    <row r="2937" hidden="1">
      <c r="A2937" s="82"/>
      <c r="B2937" s="65" t="s">
        <v>177</v>
      </c>
      <c r="C2937" s="65" t="s">
        <v>118</v>
      </c>
      <c r="D2937" s="65" t="str">
        <f>vlookup(C2937,'Classificação p pessoal'!F:G,2,false)</f>
        <v>MProduto</v>
      </c>
      <c r="E2937" s="65" t="s">
        <v>1966</v>
      </c>
      <c r="F2937" s="83">
        <v>0.4166666666666667</v>
      </c>
      <c r="G2937" s="83">
        <v>0.4375</v>
      </c>
      <c r="H2937" s="83">
        <v>0.020833333333333332</v>
      </c>
      <c r="I2937" s="84">
        <v>44425.0</v>
      </c>
      <c r="J2937" s="65" t="b">
        <v>1</v>
      </c>
      <c r="K2937" s="65"/>
      <c r="L2937" s="85" t="b">
        <f>IF(VLOOKUP(C2937,Projetos!A:L,12,false)=TRUE,TRUE,FALSE)</f>
        <v>1</v>
      </c>
      <c r="M2937" s="74">
        <v>31.02923620430495</v>
      </c>
      <c r="N2937" s="74">
        <f t="shared" si="1"/>
        <v>15.5146181</v>
      </c>
      <c r="O2937" s="74" t="b">
        <v>1</v>
      </c>
    </row>
    <row r="2938" hidden="1">
      <c r="A2938" s="82"/>
      <c r="B2938" s="65" t="s">
        <v>411</v>
      </c>
      <c r="C2938" s="65" t="s">
        <v>117</v>
      </c>
      <c r="D2938" s="65" t="str">
        <f>vlookup(C2938,'Classificação p pessoal'!F:G,2,false)</f>
        <v>NP</v>
      </c>
      <c r="E2938" s="65" t="s">
        <v>1967</v>
      </c>
      <c r="F2938" s="83">
        <v>0.5208333333333334</v>
      </c>
      <c r="G2938" s="83">
        <v>0.5625</v>
      </c>
      <c r="H2938" s="83">
        <v>0.041666666666666664</v>
      </c>
      <c r="I2938" s="84">
        <v>44249.0</v>
      </c>
      <c r="J2938" s="65" t="b">
        <v>1</v>
      </c>
      <c r="K2938" s="65"/>
      <c r="L2938" s="85" t="b">
        <f>IF(VLOOKUP(C2938,Projetos!A:L,12,false)=TRUE,TRUE,FALSE)</f>
        <v>1</v>
      </c>
      <c r="M2938" s="74">
        <v>52.48434411075036</v>
      </c>
      <c r="N2938" s="74">
        <f t="shared" si="1"/>
        <v>52.48434411</v>
      </c>
      <c r="O2938" s="74" t="b">
        <v>1</v>
      </c>
    </row>
    <row r="2939" hidden="1">
      <c r="A2939" s="82"/>
      <c r="B2939" s="65" t="s">
        <v>411</v>
      </c>
      <c r="C2939" s="65" t="s">
        <v>92</v>
      </c>
      <c r="D2939" s="65" t="str">
        <f>vlookup(C2939,'Classificação p pessoal'!F:G,2,false)</f>
        <v/>
      </c>
      <c r="E2939" s="65" t="s">
        <v>1961</v>
      </c>
      <c r="F2939" s="83">
        <v>0.6041666666666666</v>
      </c>
      <c r="G2939" s="83">
        <v>0.6458333333333334</v>
      </c>
      <c r="H2939" s="83">
        <v>0.041666666666666664</v>
      </c>
      <c r="I2939" s="84">
        <v>44249.0</v>
      </c>
      <c r="J2939" s="65" t="b">
        <v>1</v>
      </c>
      <c r="K2939" s="65"/>
      <c r="L2939" s="85" t="b">
        <f>IF(VLOOKUP(C2939,Projetos!A:L,12,false)=TRUE,TRUE,FALSE)</f>
        <v>1</v>
      </c>
      <c r="M2939" s="74">
        <v>52.48434411075036</v>
      </c>
      <c r="N2939" s="74">
        <f t="shared" si="1"/>
        <v>52.48434411</v>
      </c>
      <c r="O2939" s="74" t="b">
        <v>1</v>
      </c>
    </row>
    <row r="2940" hidden="1">
      <c r="A2940" s="82"/>
      <c r="B2940" s="65" t="s">
        <v>411</v>
      </c>
      <c r="C2940" s="65" t="s">
        <v>122</v>
      </c>
      <c r="D2940" s="65" t="str">
        <f>vlookup(C2940,'Classificação p pessoal'!F:G,2,false)</f>
        <v>NP</v>
      </c>
      <c r="E2940" s="65" t="s">
        <v>1968</v>
      </c>
      <c r="F2940" s="83">
        <v>0.6666666666666666</v>
      </c>
      <c r="G2940" s="83">
        <v>0.6875</v>
      </c>
      <c r="H2940" s="83">
        <v>0.020833333333333332</v>
      </c>
      <c r="I2940" s="84">
        <v>44249.0</v>
      </c>
      <c r="J2940" s="65" t="b">
        <v>1</v>
      </c>
      <c r="K2940" s="65"/>
      <c r="L2940" s="85" t="b">
        <f>IF(VLOOKUP(C2940,Projetos!A:L,12,false)=TRUE,TRUE,FALSE)</f>
        <v>1</v>
      </c>
      <c r="M2940" s="74">
        <v>52.48434411075036</v>
      </c>
      <c r="N2940" s="74">
        <f t="shared" si="1"/>
        <v>26.24217206</v>
      </c>
      <c r="O2940" s="74" t="b">
        <v>1</v>
      </c>
    </row>
    <row r="2941" hidden="1">
      <c r="A2941" s="82"/>
      <c r="B2941" s="65" t="s">
        <v>467</v>
      </c>
      <c r="C2941" s="65" t="s">
        <v>92</v>
      </c>
      <c r="D2941" s="65"/>
      <c r="E2941" s="65" t="s">
        <v>1969</v>
      </c>
      <c r="F2941" s="83">
        <v>0.3958333333333333</v>
      </c>
      <c r="G2941" s="83">
        <v>0.4375</v>
      </c>
      <c r="H2941" s="83">
        <v>0.041666666666666664</v>
      </c>
      <c r="I2941" s="84">
        <v>44414.0</v>
      </c>
      <c r="J2941" s="65" t="b">
        <v>0</v>
      </c>
      <c r="K2941" s="65"/>
      <c r="L2941" s="85" t="b">
        <f>IF(VLOOKUP(C2941,Projetos!A:L,12,false)=TRUE,TRUE,FALSE)</f>
        <v>1</v>
      </c>
      <c r="M2941" s="74">
        <v>52.1518759018759</v>
      </c>
      <c r="N2941" s="74">
        <f t="shared" si="1"/>
        <v>0</v>
      </c>
      <c r="O2941" s="74" t="b">
        <v>1</v>
      </c>
    </row>
    <row r="2942" hidden="1">
      <c r="A2942" s="82"/>
      <c r="B2942" s="65" t="s">
        <v>411</v>
      </c>
      <c r="C2942" s="65" t="s">
        <v>119</v>
      </c>
      <c r="D2942" s="65" t="str">
        <f>vlookup(C2942,'Classificação p pessoal'!F:G,2,false)</f>
        <v>NP</v>
      </c>
      <c r="E2942" s="65" t="s">
        <v>1970</v>
      </c>
      <c r="F2942" s="83">
        <v>0.7083333333333334</v>
      </c>
      <c r="G2942" s="83">
        <v>0.75</v>
      </c>
      <c r="H2942" s="83">
        <v>0.041666666666666664</v>
      </c>
      <c r="I2942" s="84">
        <v>44249.0</v>
      </c>
      <c r="J2942" s="65" t="b">
        <v>1</v>
      </c>
      <c r="K2942" s="65"/>
      <c r="L2942" s="85" t="b">
        <f>IF(VLOOKUP(C2942,Projetos!A:L,12,false)=TRUE,TRUE,FALSE)</f>
        <v>1</v>
      </c>
      <c r="M2942" s="74">
        <v>52.48434411075036</v>
      </c>
      <c r="N2942" s="74">
        <f t="shared" si="1"/>
        <v>52.48434411</v>
      </c>
      <c r="O2942" s="74" t="b">
        <v>1</v>
      </c>
    </row>
    <row r="2943" hidden="1">
      <c r="A2943" s="82"/>
      <c r="B2943" s="65" t="s">
        <v>411</v>
      </c>
      <c r="C2943" s="65" t="s">
        <v>92</v>
      </c>
      <c r="D2943" s="65" t="str">
        <f>vlookup(C2943,'Classificação p pessoal'!F:G,2,false)</f>
        <v/>
      </c>
      <c r="E2943" s="65" t="s">
        <v>1951</v>
      </c>
      <c r="F2943" s="83">
        <v>0.34375</v>
      </c>
      <c r="G2943" s="83">
        <v>0.375</v>
      </c>
      <c r="H2943" s="83">
        <v>0.03125</v>
      </c>
      <c r="I2943" s="84">
        <v>44250.0</v>
      </c>
      <c r="J2943" s="65" t="b">
        <v>1</v>
      </c>
      <c r="K2943" s="65"/>
      <c r="L2943" s="85" t="b">
        <f>IF(VLOOKUP(C2943,Projetos!A:L,12,false)=TRUE,TRUE,FALSE)</f>
        <v>1</v>
      </c>
      <c r="M2943" s="74">
        <v>52.48434411075036</v>
      </c>
      <c r="N2943" s="74">
        <f t="shared" si="1"/>
        <v>39.36325808</v>
      </c>
      <c r="O2943" s="74" t="b">
        <v>1</v>
      </c>
    </row>
    <row r="2944" hidden="1">
      <c r="A2944" s="82"/>
      <c r="B2944" s="65" t="s">
        <v>411</v>
      </c>
      <c r="C2944" s="65" t="s">
        <v>122</v>
      </c>
      <c r="D2944" s="65"/>
      <c r="E2944" s="65" t="s">
        <v>1971</v>
      </c>
      <c r="F2944" s="83">
        <v>0.375</v>
      </c>
      <c r="G2944" s="83">
        <v>0.4375</v>
      </c>
      <c r="H2944" s="83">
        <v>0.0625</v>
      </c>
      <c r="I2944" s="84">
        <v>44250.0</v>
      </c>
      <c r="J2944" s="65" t="b">
        <v>0</v>
      </c>
      <c r="K2944" s="65" t="s">
        <v>150</v>
      </c>
      <c r="L2944" s="85" t="b">
        <f>IF(VLOOKUP(C2944,Projetos!A:L,12,false)=TRUE,TRUE,FALSE)</f>
        <v>1</v>
      </c>
      <c r="M2944" s="74">
        <v>52.48434411075036</v>
      </c>
      <c r="N2944" s="74">
        <f t="shared" si="1"/>
        <v>0</v>
      </c>
      <c r="O2944" s="74" t="b">
        <v>1</v>
      </c>
    </row>
    <row r="2945" hidden="1">
      <c r="A2945" s="82"/>
      <c r="B2945" s="65" t="s">
        <v>467</v>
      </c>
      <c r="C2945" s="65" t="s">
        <v>92</v>
      </c>
      <c r="D2945" s="65"/>
      <c r="E2945" s="65" t="s">
        <v>1972</v>
      </c>
      <c r="F2945" s="83">
        <v>0.5833333333333334</v>
      </c>
      <c r="G2945" s="83">
        <v>0.625</v>
      </c>
      <c r="H2945" s="83">
        <v>0.041666666666666664</v>
      </c>
      <c r="I2945" s="84">
        <v>44320.0</v>
      </c>
      <c r="J2945" s="65" t="b">
        <v>0</v>
      </c>
      <c r="K2945" s="65"/>
      <c r="L2945" s="85" t="b">
        <f>IF(VLOOKUP(C2945,Projetos!A:L,12,false)=TRUE,TRUE,FALSE)</f>
        <v>1</v>
      </c>
      <c r="M2945" s="74">
        <v>52.1518759018759</v>
      </c>
      <c r="N2945" s="74">
        <f t="shared" si="1"/>
        <v>0</v>
      </c>
      <c r="O2945" s="74" t="b">
        <v>1</v>
      </c>
    </row>
    <row r="2946" hidden="1">
      <c r="A2946" s="82"/>
      <c r="B2946" s="65" t="s">
        <v>411</v>
      </c>
      <c r="C2946" s="65" t="s">
        <v>117</v>
      </c>
      <c r="D2946" s="65" t="str">
        <f>vlookup(C2946,'Classificação p pessoal'!F:G,2,false)</f>
        <v>NP</v>
      </c>
      <c r="E2946" s="65" t="s">
        <v>1973</v>
      </c>
      <c r="F2946" s="83">
        <v>0.4583333333333333</v>
      </c>
      <c r="G2946" s="83">
        <v>0.5208333333333334</v>
      </c>
      <c r="H2946" s="83">
        <v>0.0625</v>
      </c>
      <c r="I2946" s="84">
        <v>44250.0</v>
      </c>
      <c r="J2946" s="65" t="b">
        <v>1</v>
      </c>
      <c r="K2946" s="65"/>
      <c r="L2946" s="85" t="b">
        <f>IF(VLOOKUP(C2946,Projetos!A:L,12,false)=TRUE,TRUE,FALSE)</f>
        <v>1</v>
      </c>
      <c r="M2946" s="74">
        <v>52.48434411075036</v>
      </c>
      <c r="N2946" s="74">
        <f t="shared" si="1"/>
        <v>78.72651617</v>
      </c>
      <c r="O2946" s="74" t="b">
        <v>1</v>
      </c>
    </row>
    <row r="2947" hidden="1">
      <c r="A2947" s="82"/>
      <c r="B2947" s="65" t="s">
        <v>411</v>
      </c>
      <c r="C2947" s="65" t="s">
        <v>92</v>
      </c>
      <c r="D2947" s="65" t="str">
        <f>vlookup(C2947,'Classificação p pessoal'!F:G,2,false)</f>
        <v/>
      </c>
      <c r="E2947" s="65" t="s">
        <v>1974</v>
      </c>
      <c r="F2947" s="83">
        <v>0.5833333333333334</v>
      </c>
      <c r="G2947" s="83">
        <v>0.625</v>
      </c>
      <c r="H2947" s="83">
        <v>0.041666666666666664</v>
      </c>
      <c r="I2947" s="84">
        <v>44250.0</v>
      </c>
      <c r="J2947" s="65" t="b">
        <v>1</v>
      </c>
      <c r="K2947" s="65"/>
      <c r="L2947" s="85" t="b">
        <f>IF(VLOOKUP(C2947,Projetos!A:L,12,false)=TRUE,TRUE,FALSE)</f>
        <v>1</v>
      </c>
      <c r="M2947" s="74">
        <v>52.48434411075036</v>
      </c>
      <c r="N2947" s="74">
        <f t="shared" si="1"/>
        <v>52.48434411</v>
      </c>
      <c r="O2947" s="74" t="b">
        <v>1</v>
      </c>
    </row>
    <row r="2948" hidden="1">
      <c r="A2948" s="82"/>
      <c r="B2948" s="65" t="s">
        <v>177</v>
      </c>
      <c r="C2948" s="65" t="s">
        <v>92</v>
      </c>
      <c r="D2948" s="65" t="str">
        <f>vlookup(C2948,'Classificação p pessoal'!F:G,2,false)</f>
        <v/>
      </c>
      <c r="E2948" s="65" t="s">
        <v>1975</v>
      </c>
      <c r="F2948" s="83">
        <v>0.3958333333333333</v>
      </c>
      <c r="G2948" s="83">
        <v>0.4166666666666667</v>
      </c>
      <c r="H2948" s="83">
        <v>0.020833333333333332</v>
      </c>
      <c r="I2948" s="84">
        <v>44520.0</v>
      </c>
      <c r="J2948" s="65" t="b">
        <v>1</v>
      </c>
      <c r="K2948" s="65"/>
      <c r="L2948" s="85" t="b">
        <f>IF(VLOOKUP(C2948,Projetos!A:L,12,false)=TRUE,TRUE,FALSE)</f>
        <v>1</v>
      </c>
      <c r="M2948" s="74">
        <v>31.02923620430495</v>
      </c>
      <c r="N2948" s="74">
        <f t="shared" si="1"/>
        <v>15.5146181</v>
      </c>
      <c r="O2948" s="74" t="b">
        <v>1</v>
      </c>
    </row>
    <row r="2949" hidden="1">
      <c r="A2949" s="82"/>
      <c r="B2949" s="65" t="s">
        <v>411</v>
      </c>
      <c r="C2949" s="65" t="s">
        <v>119</v>
      </c>
      <c r="D2949" s="65" t="str">
        <f>vlookup(C2949,'Classificação p pessoal'!F:G,2,false)</f>
        <v>NP</v>
      </c>
      <c r="E2949" s="65" t="s">
        <v>1976</v>
      </c>
      <c r="F2949" s="83">
        <v>0.6458333333333334</v>
      </c>
      <c r="G2949" s="83">
        <v>0.6875</v>
      </c>
      <c r="H2949" s="83">
        <v>0.041666666666666664</v>
      </c>
      <c r="I2949" s="84">
        <v>44250.0</v>
      </c>
      <c r="J2949" s="65" t="b">
        <v>1</v>
      </c>
      <c r="K2949" s="65"/>
      <c r="L2949" s="85" t="b">
        <f>IF(VLOOKUP(C2949,Projetos!A:L,12,false)=TRUE,TRUE,FALSE)</f>
        <v>1</v>
      </c>
      <c r="M2949" s="74">
        <v>52.48434411075036</v>
      </c>
      <c r="N2949" s="74">
        <f t="shared" si="1"/>
        <v>52.48434411</v>
      </c>
      <c r="O2949" s="74" t="b">
        <v>1</v>
      </c>
    </row>
    <row r="2950" hidden="1">
      <c r="A2950" s="82"/>
      <c r="B2950" s="65" t="s">
        <v>411</v>
      </c>
      <c r="C2950" s="65" t="s">
        <v>117</v>
      </c>
      <c r="D2950" s="65" t="str">
        <f>vlookup(C2950,'Classificação p pessoal'!F:G,2,false)</f>
        <v>NP</v>
      </c>
      <c r="E2950" s="65" t="s">
        <v>1977</v>
      </c>
      <c r="F2950" s="83">
        <v>0.6875</v>
      </c>
      <c r="G2950" s="83">
        <v>0.7291666666666666</v>
      </c>
      <c r="H2950" s="83">
        <v>0.041666666666666664</v>
      </c>
      <c r="I2950" s="84">
        <v>44250.0</v>
      </c>
      <c r="J2950" s="65" t="b">
        <v>1</v>
      </c>
      <c r="K2950" s="65"/>
      <c r="L2950" s="85" t="b">
        <f>IF(VLOOKUP(C2950,Projetos!A:L,12,false)=TRUE,TRUE,FALSE)</f>
        <v>1</v>
      </c>
      <c r="M2950" s="74">
        <v>52.48434411075036</v>
      </c>
      <c r="N2950" s="74">
        <f t="shared" si="1"/>
        <v>52.48434411</v>
      </c>
      <c r="O2950" s="74" t="b">
        <v>1</v>
      </c>
    </row>
    <row r="2951" hidden="1">
      <c r="A2951" s="82"/>
      <c r="B2951" s="65" t="s">
        <v>411</v>
      </c>
      <c r="C2951" s="65" t="s">
        <v>117</v>
      </c>
      <c r="D2951" s="65" t="str">
        <f>vlookup(C2951,'Classificação p pessoal'!F:G,2,false)</f>
        <v>NP</v>
      </c>
      <c r="E2951" s="65" t="s">
        <v>1978</v>
      </c>
      <c r="F2951" s="83">
        <v>0.34375</v>
      </c>
      <c r="G2951" s="83">
        <v>0.4895833333333333</v>
      </c>
      <c r="H2951" s="83">
        <v>0.14583333333333334</v>
      </c>
      <c r="I2951" s="84">
        <v>44251.0</v>
      </c>
      <c r="J2951" s="65" t="b">
        <v>1</v>
      </c>
      <c r="K2951" s="65"/>
      <c r="L2951" s="85" t="b">
        <f>IF(VLOOKUP(C2951,Projetos!A:L,12,false)=TRUE,TRUE,FALSE)</f>
        <v>1</v>
      </c>
      <c r="M2951" s="74">
        <v>52.48434411075036</v>
      </c>
      <c r="N2951" s="74">
        <f t="shared" si="1"/>
        <v>183.6952044</v>
      </c>
      <c r="O2951" s="74" t="b">
        <v>1</v>
      </c>
    </row>
    <row r="2952" hidden="1">
      <c r="A2952" s="82"/>
      <c r="B2952" s="65" t="s">
        <v>411</v>
      </c>
      <c r="C2952" s="65" t="s">
        <v>117</v>
      </c>
      <c r="D2952" s="65" t="str">
        <f>vlookup(C2952,'Classificação p pessoal'!F:G,2,false)</f>
        <v>NP</v>
      </c>
      <c r="E2952" s="65" t="s">
        <v>1979</v>
      </c>
      <c r="F2952" s="83">
        <v>0.5625</v>
      </c>
      <c r="G2952" s="83">
        <v>0.625</v>
      </c>
      <c r="H2952" s="83">
        <v>0.0625</v>
      </c>
      <c r="I2952" s="84">
        <v>44251.0</v>
      </c>
      <c r="J2952" s="65" t="b">
        <v>1</v>
      </c>
      <c r="K2952" s="65"/>
      <c r="L2952" s="85" t="b">
        <f>IF(VLOOKUP(C2952,Projetos!A:L,12,false)=TRUE,TRUE,FALSE)</f>
        <v>1</v>
      </c>
      <c r="M2952" s="74">
        <v>52.48434411075036</v>
      </c>
      <c r="N2952" s="74">
        <f t="shared" si="1"/>
        <v>78.72651617</v>
      </c>
      <c r="O2952" s="74" t="b">
        <v>1</v>
      </c>
    </row>
    <row r="2953" hidden="1">
      <c r="A2953" s="82"/>
      <c r="B2953" s="65" t="s">
        <v>177</v>
      </c>
      <c r="C2953" s="65" t="s">
        <v>130</v>
      </c>
      <c r="D2953" s="65" t="str">
        <f>vlookup(C2953,'Classificação p pessoal'!F:G,2,false)</f>
        <v>NP</v>
      </c>
      <c r="E2953" s="65" t="s">
        <v>1980</v>
      </c>
      <c r="F2953" s="83">
        <v>0.375</v>
      </c>
      <c r="G2953" s="83">
        <v>0.5</v>
      </c>
      <c r="H2953" s="83">
        <v>0.125</v>
      </c>
      <c r="I2953" s="84">
        <v>44431.0</v>
      </c>
      <c r="J2953" s="65" t="b">
        <v>1</v>
      </c>
      <c r="K2953" s="65"/>
      <c r="L2953" s="85" t="b">
        <f>IF(VLOOKUP(C2953,Projetos!A:L,12,false)=TRUE,TRUE,FALSE)</f>
        <v>1</v>
      </c>
      <c r="M2953" s="74">
        <v>31.02923620430495</v>
      </c>
      <c r="N2953" s="74">
        <f t="shared" si="1"/>
        <v>93.08770861</v>
      </c>
      <c r="O2953" s="74" t="b">
        <v>1</v>
      </c>
    </row>
    <row r="2954" hidden="1">
      <c r="A2954" s="82"/>
      <c r="B2954" s="65" t="s">
        <v>411</v>
      </c>
      <c r="C2954" s="65" t="s">
        <v>92</v>
      </c>
      <c r="D2954" s="65" t="str">
        <f>vlookup(C2954,'Classificação p pessoal'!F:G,2,false)</f>
        <v/>
      </c>
      <c r="E2954" s="65" t="s">
        <v>1981</v>
      </c>
      <c r="F2954" s="83">
        <v>0.6666666666666666</v>
      </c>
      <c r="G2954" s="83">
        <v>0.6875</v>
      </c>
      <c r="H2954" s="83">
        <v>0.020833333333333332</v>
      </c>
      <c r="I2954" s="84">
        <v>44251.0</v>
      </c>
      <c r="J2954" s="65" t="b">
        <v>1</v>
      </c>
      <c r="K2954" s="65"/>
      <c r="L2954" s="85" t="b">
        <f>IF(VLOOKUP(C2954,Projetos!A:L,12,false)=TRUE,TRUE,FALSE)</f>
        <v>1</v>
      </c>
      <c r="M2954" s="74">
        <v>52.48434411075036</v>
      </c>
      <c r="N2954" s="74">
        <f t="shared" si="1"/>
        <v>26.24217206</v>
      </c>
      <c r="O2954" s="74" t="b">
        <v>1</v>
      </c>
    </row>
    <row r="2955" hidden="1">
      <c r="A2955" s="82"/>
      <c r="B2955" s="65" t="s">
        <v>411</v>
      </c>
      <c r="C2955" s="65" t="s">
        <v>118</v>
      </c>
      <c r="D2955" s="65" t="str">
        <f>vlookup(C2955,'Classificação p pessoal'!F:G,2,false)</f>
        <v>MProduto</v>
      </c>
      <c r="E2955" s="65" t="s">
        <v>1982</v>
      </c>
      <c r="F2955" s="83">
        <v>0.6875</v>
      </c>
      <c r="G2955" s="83">
        <v>0.7083333333333334</v>
      </c>
      <c r="H2955" s="83">
        <v>0.020833333333333332</v>
      </c>
      <c r="I2955" s="84">
        <v>44251.0</v>
      </c>
      <c r="J2955" s="65" t="b">
        <v>1</v>
      </c>
      <c r="K2955" s="65"/>
      <c r="L2955" s="85" t="b">
        <f>IF(VLOOKUP(C2955,Projetos!A:L,12,false)=TRUE,TRUE,FALSE)</f>
        <v>1</v>
      </c>
      <c r="M2955" s="74">
        <v>52.48434411075036</v>
      </c>
      <c r="N2955" s="74">
        <f t="shared" si="1"/>
        <v>26.24217206</v>
      </c>
      <c r="O2955" s="74" t="b">
        <v>1</v>
      </c>
    </row>
    <row r="2956" hidden="1">
      <c r="A2956" s="82"/>
      <c r="B2956" s="65" t="s">
        <v>411</v>
      </c>
      <c r="C2956" s="65" t="s">
        <v>122</v>
      </c>
      <c r="D2956" s="65" t="str">
        <f>vlookup(C2956,'Classificação p pessoal'!F:G,2,false)</f>
        <v>NP</v>
      </c>
      <c r="E2956" s="65" t="s">
        <v>1983</v>
      </c>
      <c r="F2956" s="83">
        <v>0.34375</v>
      </c>
      <c r="G2956" s="83">
        <v>0.4375</v>
      </c>
      <c r="H2956" s="83">
        <v>0.09375</v>
      </c>
      <c r="I2956" s="84">
        <v>44252.0</v>
      </c>
      <c r="J2956" s="65" t="b">
        <v>1</v>
      </c>
      <c r="K2956" s="65"/>
      <c r="L2956" s="85" t="b">
        <f>IF(VLOOKUP(C2956,Projetos!A:L,12,false)=TRUE,TRUE,FALSE)</f>
        <v>1</v>
      </c>
      <c r="M2956" s="74">
        <v>52.48434411075036</v>
      </c>
      <c r="N2956" s="74">
        <f t="shared" si="1"/>
        <v>118.0897742</v>
      </c>
      <c r="O2956" s="74" t="b">
        <v>1</v>
      </c>
    </row>
    <row r="2957" hidden="1">
      <c r="A2957" s="82"/>
      <c r="B2957" s="65" t="s">
        <v>411</v>
      </c>
      <c r="C2957" s="65" t="s">
        <v>92</v>
      </c>
      <c r="D2957" s="65" t="str">
        <f>vlookup(C2957,'Classificação p pessoal'!F:G,2,false)</f>
        <v/>
      </c>
      <c r="E2957" s="65" t="s">
        <v>1984</v>
      </c>
      <c r="F2957" s="83">
        <v>0.4375</v>
      </c>
      <c r="G2957" s="83">
        <v>0.4791666666666667</v>
      </c>
      <c r="H2957" s="83">
        <v>0.041666666666666664</v>
      </c>
      <c r="I2957" s="84">
        <v>44252.0</v>
      </c>
      <c r="J2957" s="65" t="b">
        <v>1</v>
      </c>
      <c r="K2957" s="65"/>
      <c r="L2957" s="85" t="b">
        <f>IF(VLOOKUP(C2957,Projetos!A:L,12,false)=TRUE,TRUE,FALSE)</f>
        <v>1</v>
      </c>
      <c r="M2957" s="74">
        <v>52.48434411075036</v>
      </c>
      <c r="N2957" s="74">
        <f t="shared" si="1"/>
        <v>52.48434411</v>
      </c>
      <c r="O2957" s="74" t="b">
        <v>1</v>
      </c>
    </row>
    <row r="2958" hidden="1">
      <c r="A2958" s="82"/>
      <c r="B2958" s="65" t="s">
        <v>411</v>
      </c>
      <c r="C2958" s="65" t="s">
        <v>92</v>
      </c>
      <c r="D2958" s="65"/>
      <c r="E2958" s="65" t="s">
        <v>1985</v>
      </c>
      <c r="F2958" s="83">
        <v>0.6666666666666666</v>
      </c>
      <c r="G2958" s="83">
        <v>0.7083333333333334</v>
      </c>
      <c r="H2958" s="83">
        <v>0.041666666666666664</v>
      </c>
      <c r="I2958" s="84">
        <v>44252.0</v>
      </c>
      <c r="J2958" s="65" t="b">
        <v>0</v>
      </c>
      <c r="K2958" s="65" t="s">
        <v>150</v>
      </c>
      <c r="L2958" s="85" t="b">
        <f>IF(VLOOKUP(C2958,Projetos!A:L,12,false)=TRUE,TRUE,FALSE)</f>
        <v>1</v>
      </c>
      <c r="M2958" s="74">
        <v>52.48434411075036</v>
      </c>
      <c r="N2958" s="74">
        <f t="shared" si="1"/>
        <v>0</v>
      </c>
      <c r="O2958" s="74" t="b">
        <v>1</v>
      </c>
    </row>
    <row r="2959" hidden="1">
      <c r="A2959" s="82"/>
      <c r="B2959" s="65" t="s">
        <v>411</v>
      </c>
      <c r="C2959" s="65" t="s">
        <v>117</v>
      </c>
      <c r="D2959" s="65" t="str">
        <f>vlookup(C2959,'Classificação p pessoal'!F:G,2,false)</f>
        <v>NP</v>
      </c>
      <c r="E2959" s="65" t="s">
        <v>1986</v>
      </c>
      <c r="F2959" s="83">
        <v>0.7083333333333334</v>
      </c>
      <c r="G2959" s="83">
        <v>0.75</v>
      </c>
      <c r="H2959" s="83">
        <v>0.041666666666666664</v>
      </c>
      <c r="I2959" s="84">
        <v>44252.0</v>
      </c>
      <c r="J2959" s="65" t="b">
        <v>1</v>
      </c>
      <c r="K2959" s="65"/>
      <c r="L2959" s="85" t="b">
        <f>IF(VLOOKUP(C2959,Projetos!A:L,12,false)=TRUE,TRUE,FALSE)</f>
        <v>1</v>
      </c>
      <c r="M2959" s="74">
        <v>52.48434411075036</v>
      </c>
      <c r="N2959" s="74">
        <f t="shared" si="1"/>
        <v>52.48434411</v>
      </c>
      <c r="O2959" s="74" t="b">
        <v>1</v>
      </c>
    </row>
    <row r="2960" hidden="1">
      <c r="A2960" s="82"/>
      <c r="B2960" s="65" t="s">
        <v>411</v>
      </c>
      <c r="C2960" s="65" t="s">
        <v>92</v>
      </c>
      <c r="D2960" s="65" t="str">
        <f>vlookup(C2960,'Classificação p pessoal'!F:G,2,false)</f>
        <v/>
      </c>
      <c r="E2960" s="65" t="s">
        <v>1987</v>
      </c>
      <c r="F2960" s="83">
        <v>0.34375</v>
      </c>
      <c r="G2960" s="83">
        <v>0.4895833333333333</v>
      </c>
      <c r="H2960" s="83">
        <v>0.14583333333333334</v>
      </c>
      <c r="I2960" s="84">
        <v>44253.0</v>
      </c>
      <c r="J2960" s="65" t="b">
        <v>1</v>
      </c>
      <c r="K2960" s="65"/>
      <c r="L2960" s="85" t="b">
        <f>IF(VLOOKUP(C2960,Projetos!A:L,12,false)=TRUE,TRUE,FALSE)</f>
        <v>1</v>
      </c>
      <c r="M2960" s="74">
        <v>52.48434411075036</v>
      </c>
      <c r="N2960" s="74">
        <f t="shared" si="1"/>
        <v>183.6952044</v>
      </c>
      <c r="O2960" s="74" t="b">
        <v>1</v>
      </c>
    </row>
    <row r="2961" hidden="1">
      <c r="A2961" s="82"/>
      <c r="B2961" s="65" t="s">
        <v>411</v>
      </c>
      <c r="C2961" s="65" t="s">
        <v>132</v>
      </c>
      <c r="D2961" s="65"/>
      <c r="E2961" s="65" t="s">
        <v>1920</v>
      </c>
      <c r="F2961" s="83">
        <v>0.4895833333333333</v>
      </c>
      <c r="G2961" s="83">
        <v>0.5208333333333334</v>
      </c>
      <c r="H2961" s="83">
        <v>0.03125</v>
      </c>
      <c r="I2961" s="84">
        <v>44253.0</v>
      </c>
      <c r="J2961" s="65" t="b">
        <v>1</v>
      </c>
      <c r="K2961" s="65"/>
      <c r="L2961" s="85" t="b">
        <f>IF(VLOOKUP(C2961,Projetos!A:L,12,false)=TRUE,TRUE,FALSE)</f>
        <v>0</v>
      </c>
      <c r="M2961" s="74">
        <v>52.48434411075036</v>
      </c>
      <c r="N2961" s="74">
        <f t="shared" si="1"/>
        <v>0</v>
      </c>
      <c r="O2961" s="74" t="b">
        <v>0</v>
      </c>
    </row>
    <row r="2962" hidden="1">
      <c r="A2962" s="82"/>
      <c r="B2962" s="65" t="s">
        <v>411</v>
      </c>
      <c r="C2962" s="65" t="s">
        <v>122</v>
      </c>
      <c r="D2962" s="65" t="str">
        <f>vlookup(C2962,'Classificação p pessoal'!F:G,2,false)</f>
        <v>NP</v>
      </c>
      <c r="E2962" s="65" t="s">
        <v>1988</v>
      </c>
      <c r="F2962" s="83">
        <v>0.5625</v>
      </c>
      <c r="G2962" s="83">
        <v>0.6458333333333334</v>
      </c>
      <c r="H2962" s="83">
        <v>0.08333333333333333</v>
      </c>
      <c r="I2962" s="84">
        <v>44253.0</v>
      </c>
      <c r="J2962" s="65" t="b">
        <v>1</v>
      </c>
      <c r="K2962" s="65"/>
      <c r="L2962" s="85" t="b">
        <f>IF(VLOOKUP(C2962,Projetos!A:L,12,false)=TRUE,TRUE,FALSE)</f>
        <v>1</v>
      </c>
      <c r="M2962" s="74">
        <v>52.48434411075036</v>
      </c>
      <c r="N2962" s="74">
        <f t="shared" si="1"/>
        <v>104.9686882</v>
      </c>
      <c r="O2962" s="74" t="b">
        <v>1</v>
      </c>
    </row>
    <row r="2963" hidden="1">
      <c r="A2963" s="82"/>
      <c r="B2963" s="65" t="s">
        <v>411</v>
      </c>
      <c r="C2963" s="65" t="s">
        <v>92</v>
      </c>
      <c r="D2963" s="65" t="str">
        <f>vlookup(C2963,'Classificação p pessoal'!F:G,2,false)</f>
        <v/>
      </c>
      <c r="E2963" s="65" t="s">
        <v>1989</v>
      </c>
      <c r="F2963" s="83">
        <v>0.6458333333333334</v>
      </c>
      <c r="G2963" s="83">
        <v>0.6875</v>
      </c>
      <c r="H2963" s="83">
        <v>0.041666666666666664</v>
      </c>
      <c r="I2963" s="84">
        <v>44253.0</v>
      </c>
      <c r="J2963" s="65" t="b">
        <v>1</v>
      </c>
      <c r="K2963" s="65"/>
      <c r="L2963" s="85" t="b">
        <f>IF(VLOOKUP(C2963,Projetos!A:L,12,false)=TRUE,TRUE,FALSE)</f>
        <v>1</v>
      </c>
      <c r="M2963" s="74">
        <v>52.48434411075036</v>
      </c>
      <c r="N2963" s="74">
        <f t="shared" si="1"/>
        <v>52.48434411</v>
      </c>
      <c r="O2963" s="74" t="b">
        <v>1</v>
      </c>
    </row>
    <row r="2964" hidden="1">
      <c r="A2964" s="82"/>
      <c r="B2964" s="65" t="s">
        <v>411</v>
      </c>
      <c r="C2964" s="65" t="s">
        <v>117</v>
      </c>
      <c r="D2964" s="65" t="str">
        <f>vlookup(C2964,'Classificação p pessoal'!F:G,2,false)</f>
        <v>NP</v>
      </c>
      <c r="E2964" s="65" t="s">
        <v>1990</v>
      </c>
      <c r="F2964" s="83">
        <v>0.6875</v>
      </c>
      <c r="G2964" s="83">
        <v>0.7083333333333334</v>
      </c>
      <c r="H2964" s="83">
        <v>0.020833333333333332</v>
      </c>
      <c r="I2964" s="84">
        <v>44253.0</v>
      </c>
      <c r="J2964" s="65" t="b">
        <v>1</v>
      </c>
      <c r="K2964" s="65"/>
      <c r="L2964" s="85" t="b">
        <f>IF(VLOOKUP(C2964,Projetos!A:L,12,false)=TRUE,TRUE,FALSE)</f>
        <v>1</v>
      </c>
      <c r="M2964" s="74">
        <v>52.48434411075036</v>
      </c>
      <c r="N2964" s="74">
        <f t="shared" si="1"/>
        <v>26.24217206</v>
      </c>
      <c r="O2964" s="74" t="b">
        <v>1</v>
      </c>
    </row>
    <row r="2965" hidden="1">
      <c r="A2965" s="82"/>
      <c r="B2965" s="65" t="s">
        <v>411</v>
      </c>
      <c r="C2965" s="65" t="s">
        <v>92</v>
      </c>
      <c r="D2965" s="65" t="str">
        <f>vlookup(C2965,'Classificação p pessoal'!F:G,2,false)</f>
        <v/>
      </c>
      <c r="E2965" s="65" t="s">
        <v>1951</v>
      </c>
      <c r="F2965" s="83">
        <v>0.7083333333333334</v>
      </c>
      <c r="G2965" s="83">
        <v>0.75</v>
      </c>
      <c r="H2965" s="83">
        <v>0.041666666666666664</v>
      </c>
      <c r="I2965" s="84">
        <v>44253.0</v>
      </c>
      <c r="J2965" s="65" t="b">
        <v>1</v>
      </c>
      <c r="K2965" s="65"/>
      <c r="L2965" s="85" t="b">
        <f>IF(VLOOKUP(C2965,Projetos!A:L,12,false)=TRUE,TRUE,FALSE)</f>
        <v>1</v>
      </c>
      <c r="M2965" s="74">
        <v>52.48434411075036</v>
      </c>
      <c r="N2965" s="74">
        <f t="shared" si="1"/>
        <v>52.48434411</v>
      </c>
      <c r="O2965" s="74" t="b">
        <v>1</v>
      </c>
    </row>
    <row r="2966" hidden="1">
      <c r="A2966" s="82"/>
      <c r="B2966" s="65" t="s">
        <v>411</v>
      </c>
      <c r="C2966" s="65" t="s">
        <v>117</v>
      </c>
      <c r="D2966" s="65" t="str">
        <f>vlookup(C2966,'Classificação p pessoal'!F:G,2,false)</f>
        <v>NP</v>
      </c>
      <c r="E2966" s="65" t="s">
        <v>1951</v>
      </c>
      <c r="F2966" s="83">
        <v>0.34375</v>
      </c>
      <c r="G2966" s="83">
        <v>0.375</v>
      </c>
      <c r="H2966" s="83">
        <v>0.03125</v>
      </c>
      <c r="I2966" s="84">
        <v>44256.0</v>
      </c>
      <c r="J2966" s="65" t="b">
        <v>1</v>
      </c>
      <c r="K2966" s="65"/>
      <c r="L2966" s="85" t="b">
        <f>IF(VLOOKUP(C2966,Projetos!A:L,12,false)=TRUE,TRUE,FALSE)</f>
        <v>1</v>
      </c>
      <c r="M2966" s="74">
        <v>52.48434411075036</v>
      </c>
      <c r="N2966" s="74">
        <f t="shared" si="1"/>
        <v>39.36325808</v>
      </c>
      <c r="O2966" s="74" t="b">
        <v>1</v>
      </c>
    </row>
    <row r="2967" hidden="1">
      <c r="A2967" s="82"/>
      <c r="B2967" s="65" t="s">
        <v>467</v>
      </c>
      <c r="C2967" s="65" t="s">
        <v>92</v>
      </c>
      <c r="D2967" s="65" t="str">
        <f>vlookup(C2967,'Classificação p pessoal'!F:G,2,false)</f>
        <v/>
      </c>
      <c r="E2967" s="65" t="s">
        <v>1991</v>
      </c>
      <c r="F2967" s="83">
        <v>0.6666666666666666</v>
      </c>
      <c r="G2967" s="83">
        <v>0.75</v>
      </c>
      <c r="H2967" s="83">
        <v>0.08333333333333333</v>
      </c>
      <c r="I2967" s="84">
        <v>44230.0</v>
      </c>
      <c r="J2967" s="65" t="b">
        <v>1</v>
      </c>
      <c r="K2967" s="65"/>
      <c r="L2967" s="85" t="b">
        <f>IF(VLOOKUP(C2967,Projetos!A:L,12,false)=TRUE,TRUE,FALSE)</f>
        <v>1</v>
      </c>
      <c r="M2967" s="74">
        <v>52.1518759018759</v>
      </c>
      <c r="N2967" s="74">
        <f t="shared" si="1"/>
        <v>104.3037518</v>
      </c>
      <c r="O2967" s="74" t="b">
        <v>1</v>
      </c>
    </row>
    <row r="2968" hidden="1">
      <c r="A2968" s="82"/>
      <c r="B2968" s="65" t="s">
        <v>411</v>
      </c>
      <c r="C2968" s="65" t="s">
        <v>91</v>
      </c>
      <c r="D2968" s="65" t="str">
        <f>vlookup(C2968,'Classificação p pessoal'!F:G,2,false)</f>
        <v>NP</v>
      </c>
      <c r="E2968" s="65" t="s">
        <v>1992</v>
      </c>
      <c r="F2968" s="83">
        <v>0.4166666666666667</v>
      </c>
      <c r="G2968" s="83">
        <v>0.4375</v>
      </c>
      <c r="H2968" s="83">
        <v>0.020833333333333332</v>
      </c>
      <c r="I2968" s="84">
        <v>44256.0</v>
      </c>
      <c r="J2968" s="65" t="b">
        <v>1</v>
      </c>
      <c r="K2968" s="65"/>
      <c r="L2968" s="85" t="b">
        <f>IF(VLOOKUP(C2968,Projetos!A:L,12,false)=TRUE,TRUE,FALSE)</f>
        <v>1</v>
      </c>
      <c r="M2968" s="74">
        <v>52.48434411075036</v>
      </c>
      <c r="N2968" s="74">
        <f t="shared" si="1"/>
        <v>26.24217206</v>
      </c>
      <c r="O2968" s="74" t="b">
        <v>1</v>
      </c>
    </row>
    <row r="2969" hidden="1">
      <c r="A2969" s="82"/>
      <c r="B2969" s="65" t="s">
        <v>177</v>
      </c>
      <c r="C2969" s="65" t="s">
        <v>92</v>
      </c>
      <c r="D2969" s="65" t="str">
        <f>vlookup(C2969,'Classificação p pessoal'!F:G,2,false)</f>
        <v/>
      </c>
      <c r="E2969" s="65" t="s">
        <v>1993</v>
      </c>
      <c r="F2969" s="83">
        <v>0.4166666666666667</v>
      </c>
      <c r="G2969" s="83">
        <v>0.4583333333333333</v>
      </c>
      <c r="H2969" s="83">
        <v>0.041666666666666664</v>
      </c>
      <c r="I2969" s="84">
        <v>44418.0</v>
      </c>
      <c r="J2969" s="65" t="b">
        <v>1</v>
      </c>
      <c r="K2969" s="65"/>
      <c r="L2969" s="85" t="b">
        <f>IF(VLOOKUP(C2969,Projetos!A:L,12,false)=TRUE,TRUE,FALSE)</f>
        <v>1</v>
      </c>
      <c r="M2969" s="74">
        <v>31.02923620430495</v>
      </c>
      <c r="N2969" s="74">
        <f t="shared" si="1"/>
        <v>31.0292362</v>
      </c>
      <c r="O2969" s="74" t="b">
        <v>1</v>
      </c>
    </row>
    <row r="2970" hidden="1">
      <c r="A2970" s="82"/>
      <c r="B2970" s="65" t="s">
        <v>411</v>
      </c>
      <c r="C2970" s="65" t="s">
        <v>117</v>
      </c>
      <c r="D2970" s="65" t="str">
        <f>vlookup(C2970,'Classificação p pessoal'!F:G,2,false)</f>
        <v>NP</v>
      </c>
      <c r="E2970" s="65" t="s">
        <v>1994</v>
      </c>
      <c r="F2970" s="83">
        <v>0.4791666666666667</v>
      </c>
      <c r="G2970" s="83">
        <v>0.5208333333333334</v>
      </c>
      <c r="H2970" s="83">
        <v>0.041666666666666664</v>
      </c>
      <c r="I2970" s="84">
        <v>44256.0</v>
      </c>
      <c r="J2970" s="65" t="b">
        <v>1</v>
      </c>
      <c r="K2970" s="65"/>
      <c r="L2970" s="85" t="b">
        <f>IF(VLOOKUP(C2970,Projetos!A:L,12,false)=TRUE,TRUE,FALSE)</f>
        <v>1</v>
      </c>
      <c r="M2970" s="74">
        <v>52.48434411075036</v>
      </c>
      <c r="N2970" s="74">
        <f t="shared" si="1"/>
        <v>52.48434411</v>
      </c>
      <c r="O2970" s="74" t="b">
        <v>1</v>
      </c>
    </row>
    <row r="2971" hidden="1">
      <c r="A2971" s="82"/>
      <c r="B2971" s="65" t="s">
        <v>411</v>
      </c>
      <c r="C2971" s="65" t="s">
        <v>132</v>
      </c>
      <c r="D2971" s="65"/>
      <c r="E2971" s="65" t="s">
        <v>1995</v>
      </c>
      <c r="F2971" s="83">
        <v>0.5208333333333334</v>
      </c>
      <c r="G2971" s="83">
        <v>0.5416666666666666</v>
      </c>
      <c r="H2971" s="83">
        <v>0.020833333333333332</v>
      </c>
      <c r="I2971" s="84">
        <v>44256.0</v>
      </c>
      <c r="J2971" s="65" t="b">
        <v>1</v>
      </c>
      <c r="K2971" s="65"/>
      <c r="L2971" s="85" t="b">
        <f>IF(VLOOKUP(C2971,Projetos!A:L,12,false)=TRUE,TRUE,FALSE)</f>
        <v>0</v>
      </c>
      <c r="M2971" s="74">
        <v>52.48434411075036</v>
      </c>
      <c r="N2971" s="74">
        <f t="shared" si="1"/>
        <v>0</v>
      </c>
      <c r="O2971" s="74" t="b">
        <v>0</v>
      </c>
    </row>
    <row r="2972" hidden="1">
      <c r="A2972" s="82"/>
      <c r="B2972" s="65" t="s">
        <v>411</v>
      </c>
      <c r="C2972" s="65" t="s">
        <v>92</v>
      </c>
      <c r="D2972" s="65" t="str">
        <f>vlookup(C2972,'Classificação p pessoal'!F:G,2,false)</f>
        <v/>
      </c>
      <c r="E2972" s="65" t="s">
        <v>1996</v>
      </c>
      <c r="F2972" s="83">
        <v>0.5</v>
      </c>
      <c r="G2972" s="83">
        <v>0.5416666666666666</v>
      </c>
      <c r="H2972" s="83">
        <v>0.041666666666666664</v>
      </c>
      <c r="I2972" s="84">
        <v>44407.0</v>
      </c>
      <c r="J2972" s="65" t="b">
        <v>1</v>
      </c>
      <c r="K2972" s="65"/>
      <c r="L2972" s="85" t="b">
        <f>IF(VLOOKUP(C2972,Projetos!A:L,12,false)=TRUE,TRUE,FALSE)</f>
        <v>1</v>
      </c>
      <c r="M2972" s="74">
        <v>52.48434411075036</v>
      </c>
      <c r="N2972" s="74">
        <f t="shared" si="1"/>
        <v>52.48434411</v>
      </c>
      <c r="O2972" s="74" t="b">
        <v>1</v>
      </c>
    </row>
    <row r="2973" hidden="1">
      <c r="A2973" s="82"/>
      <c r="B2973" s="65" t="s">
        <v>411</v>
      </c>
      <c r="C2973" s="65" t="s">
        <v>132</v>
      </c>
      <c r="D2973" s="65"/>
      <c r="E2973" s="65" t="s">
        <v>1997</v>
      </c>
      <c r="F2973" s="83">
        <v>0.625</v>
      </c>
      <c r="G2973" s="83">
        <v>0.6875</v>
      </c>
      <c r="H2973" s="83">
        <v>0.0625</v>
      </c>
      <c r="I2973" s="84">
        <v>44256.0</v>
      </c>
      <c r="J2973" s="65" t="b">
        <v>1</v>
      </c>
      <c r="K2973" s="65"/>
      <c r="L2973" s="85" t="b">
        <f>IF(VLOOKUP(C2973,Projetos!A:L,12,false)=TRUE,TRUE,FALSE)</f>
        <v>0</v>
      </c>
      <c r="M2973" s="74">
        <v>52.48434411075036</v>
      </c>
      <c r="N2973" s="74">
        <f t="shared" si="1"/>
        <v>0</v>
      </c>
      <c r="O2973" s="74" t="b">
        <v>0</v>
      </c>
    </row>
    <row r="2974" hidden="1">
      <c r="A2974" s="82"/>
      <c r="B2974" s="65" t="s">
        <v>411</v>
      </c>
      <c r="C2974" s="65" t="s">
        <v>92</v>
      </c>
      <c r="D2974" s="65" t="str">
        <f>vlookup(C2974,'Classificação p pessoal'!F:G,2,false)</f>
        <v/>
      </c>
      <c r="E2974" s="65" t="s">
        <v>1998</v>
      </c>
      <c r="F2974" s="83">
        <v>0.6875</v>
      </c>
      <c r="G2974" s="83">
        <v>0.7083333333333334</v>
      </c>
      <c r="H2974" s="83">
        <v>0.020833333333333332</v>
      </c>
      <c r="I2974" s="84">
        <v>44256.0</v>
      </c>
      <c r="J2974" s="65" t="b">
        <v>1</v>
      </c>
      <c r="K2974" s="65"/>
      <c r="L2974" s="85" t="b">
        <f>IF(VLOOKUP(C2974,Projetos!A:L,12,false)=TRUE,TRUE,FALSE)</f>
        <v>1</v>
      </c>
      <c r="M2974" s="74">
        <v>52.48434411075036</v>
      </c>
      <c r="N2974" s="74">
        <f t="shared" si="1"/>
        <v>26.24217206</v>
      </c>
      <c r="O2974" s="74" t="b">
        <v>1</v>
      </c>
    </row>
    <row r="2975" hidden="1">
      <c r="A2975" s="82"/>
      <c r="B2975" s="65" t="s">
        <v>411</v>
      </c>
      <c r="C2975" s="65" t="s">
        <v>122</v>
      </c>
      <c r="D2975" s="65" t="str">
        <f>vlookup(C2975,'Classificação p pessoal'!F:G,2,false)</f>
        <v>NP</v>
      </c>
      <c r="E2975" s="65" t="s">
        <v>1999</v>
      </c>
      <c r="F2975" s="83">
        <v>0.7083333333333334</v>
      </c>
      <c r="G2975" s="83">
        <v>0.7291666666666666</v>
      </c>
      <c r="H2975" s="83">
        <v>0.020833333333333332</v>
      </c>
      <c r="I2975" s="84">
        <v>44256.0</v>
      </c>
      <c r="J2975" s="65" t="b">
        <v>1</v>
      </c>
      <c r="K2975" s="65"/>
      <c r="L2975" s="85" t="b">
        <f>IF(VLOOKUP(C2975,Projetos!A:L,12,false)=TRUE,TRUE,FALSE)</f>
        <v>1</v>
      </c>
      <c r="M2975" s="74">
        <v>52.48434411075036</v>
      </c>
      <c r="N2975" s="74">
        <f t="shared" si="1"/>
        <v>26.24217206</v>
      </c>
      <c r="O2975" s="74" t="b">
        <v>1</v>
      </c>
    </row>
    <row r="2976" hidden="1">
      <c r="A2976" s="82"/>
      <c r="B2976" s="65" t="s">
        <v>411</v>
      </c>
      <c r="C2976" s="65" t="s">
        <v>119</v>
      </c>
      <c r="D2976" s="65"/>
      <c r="E2976" s="65" t="s">
        <v>2000</v>
      </c>
      <c r="F2976" s="83">
        <v>0.7291666666666666</v>
      </c>
      <c r="G2976" s="83">
        <v>0.75</v>
      </c>
      <c r="H2976" s="83">
        <v>0.020833333333333332</v>
      </c>
      <c r="I2976" s="84">
        <v>44256.0</v>
      </c>
      <c r="J2976" s="65" t="b">
        <v>0</v>
      </c>
      <c r="K2976" s="65" t="s">
        <v>150</v>
      </c>
      <c r="L2976" s="85" t="b">
        <f>IF(VLOOKUP(C2976,Projetos!A:L,12,false)=TRUE,TRUE,FALSE)</f>
        <v>1</v>
      </c>
      <c r="M2976" s="74">
        <v>52.48434411075036</v>
      </c>
      <c r="N2976" s="74">
        <f t="shared" si="1"/>
        <v>0</v>
      </c>
      <c r="O2976" s="74" t="b">
        <v>1</v>
      </c>
    </row>
    <row r="2977" hidden="1">
      <c r="A2977" s="82"/>
      <c r="B2977" s="65" t="s">
        <v>411</v>
      </c>
      <c r="C2977" s="65" t="s">
        <v>119</v>
      </c>
      <c r="D2977" s="65"/>
      <c r="E2977" s="65" t="s">
        <v>2001</v>
      </c>
      <c r="F2977" s="83">
        <v>0.3541666666666667</v>
      </c>
      <c r="G2977" s="83">
        <v>0.375</v>
      </c>
      <c r="H2977" s="83">
        <v>0.020833333333333332</v>
      </c>
      <c r="I2977" s="84">
        <v>44257.0</v>
      </c>
      <c r="J2977" s="65" t="b">
        <v>0</v>
      </c>
      <c r="K2977" s="65" t="s">
        <v>150</v>
      </c>
      <c r="L2977" s="85" t="b">
        <f>IF(VLOOKUP(C2977,Projetos!A:L,12,false)=TRUE,TRUE,FALSE)</f>
        <v>1</v>
      </c>
      <c r="M2977" s="74">
        <v>52.48434411075036</v>
      </c>
      <c r="N2977" s="74">
        <f t="shared" si="1"/>
        <v>0</v>
      </c>
      <c r="O2977" s="74" t="b">
        <v>1</v>
      </c>
    </row>
    <row r="2978" hidden="1">
      <c r="A2978" s="82"/>
      <c r="B2978" s="65" t="s">
        <v>411</v>
      </c>
      <c r="C2978" s="65" t="s">
        <v>127</v>
      </c>
      <c r="D2978" s="65" t="str">
        <f>vlookup(C2978,'Classificação p pessoal'!F:G,2,false)</f>
        <v>NP</v>
      </c>
      <c r="E2978" s="65" t="s">
        <v>2002</v>
      </c>
      <c r="F2978" s="83">
        <v>0.375</v>
      </c>
      <c r="G2978" s="83">
        <v>0.3958333333333333</v>
      </c>
      <c r="H2978" s="83">
        <v>0.020833333333333332</v>
      </c>
      <c r="I2978" s="84">
        <v>44257.0</v>
      </c>
      <c r="J2978" s="65" t="b">
        <v>1</v>
      </c>
      <c r="K2978" s="65"/>
      <c r="L2978" s="85" t="b">
        <f>IF(VLOOKUP(C2978,Projetos!A:L,12,false)=TRUE,TRUE,FALSE)</f>
        <v>1</v>
      </c>
      <c r="M2978" s="74">
        <v>52.48434411075036</v>
      </c>
      <c r="N2978" s="74">
        <f t="shared" si="1"/>
        <v>26.24217206</v>
      </c>
      <c r="O2978" s="74" t="b">
        <v>1</v>
      </c>
    </row>
    <row r="2979" hidden="1">
      <c r="A2979" s="82"/>
      <c r="B2979" s="65" t="s">
        <v>411</v>
      </c>
      <c r="C2979" s="65" t="s">
        <v>117</v>
      </c>
      <c r="D2979" s="65"/>
      <c r="E2979" s="65" t="s">
        <v>2003</v>
      </c>
      <c r="F2979" s="83">
        <v>0.34375</v>
      </c>
      <c r="G2979" s="83">
        <v>0.4791666666666667</v>
      </c>
      <c r="H2979" s="83">
        <v>0.13541666666666666</v>
      </c>
      <c r="I2979" s="84">
        <v>44469.0</v>
      </c>
      <c r="J2979" s="65" t="b">
        <v>0</v>
      </c>
      <c r="K2979" s="65" t="s">
        <v>150</v>
      </c>
      <c r="L2979" s="85" t="b">
        <f>IF(VLOOKUP(C2979,Projetos!A:L,12,false)=TRUE,TRUE,FALSE)</f>
        <v>1</v>
      </c>
      <c r="M2979" s="74">
        <v>52.48434411075036</v>
      </c>
      <c r="N2979" s="74">
        <f t="shared" si="1"/>
        <v>0</v>
      </c>
      <c r="O2979" s="74" t="b">
        <v>1</v>
      </c>
    </row>
    <row r="2980" hidden="1">
      <c r="A2980" s="82"/>
      <c r="B2980" s="65" t="s">
        <v>411</v>
      </c>
      <c r="C2980" s="65" t="s">
        <v>117</v>
      </c>
      <c r="D2980" s="65" t="str">
        <f>vlookup(C2980,'Classificação p pessoal'!F:G,2,false)</f>
        <v>NP</v>
      </c>
      <c r="E2980" s="65" t="s">
        <v>1986</v>
      </c>
      <c r="F2980" s="83">
        <v>0.6041666666666666</v>
      </c>
      <c r="G2980" s="83">
        <v>0.625</v>
      </c>
      <c r="H2980" s="83">
        <v>0.020833333333333332</v>
      </c>
      <c r="I2980" s="84">
        <v>44257.0</v>
      </c>
      <c r="J2980" s="65" t="b">
        <v>1</v>
      </c>
      <c r="K2980" s="65"/>
      <c r="L2980" s="85" t="b">
        <f>IF(VLOOKUP(C2980,Projetos!A:L,12,false)=TRUE,TRUE,FALSE)</f>
        <v>1</v>
      </c>
      <c r="M2980" s="74">
        <v>52.48434411075036</v>
      </c>
      <c r="N2980" s="74">
        <f t="shared" si="1"/>
        <v>26.24217206</v>
      </c>
      <c r="O2980" s="74" t="b">
        <v>1</v>
      </c>
    </row>
    <row r="2981" hidden="1">
      <c r="A2981" s="82"/>
      <c r="B2981" s="65" t="s">
        <v>411</v>
      </c>
      <c r="C2981" s="65" t="s">
        <v>92</v>
      </c>
      <c r="D2981" s="65" t="str">
        <f>vlookup(C2981,'Classificação p pessoal'!F:G,2,false)</f>
        <v/>
      </c>
      <c r="E2981" s="65" t="s">
        <v>2004</v>
      </c>
      <c r="F2981" s="83">
        <v>0.625</v>
      </c>
      <c r="G2981" s="83">
        <v>0.6666666666666666</v>
      </c>
      <c r="H2981" s="83">
        <v>0.041666666666666664</v>
      </c>
      <c r="I2981" s="84">
        <v>44257.0</v>
      </c>
      <c r="J2981" s="65" t="b">
        <v>1</v>
      </c>
      <c r="K2981" s="65"/>
      <c r="L2981" s="85" t="b">
        <f>IF(VLOOKUP(C2981,Projetos!A:L,12,false)=TRUE,TRUE,FALSE)</f>
        <v>1</v>
      </c>
      <c r="M2981" s="74">
        <v>52.48434411075036</v>
      </c>
      <c r="N2981" s="74">
        <f t="shared" si="1"/>
        <v>52.48434411</v>
      </c>
      <c r="O2981" s="74" t="b">
        <v>1</v>
      </c>
    </row>
    <row r="2982" hidden="1">
      <c r="A2982" s="82"/>
      <c r="B2982" s="65" t="s">
        <v>411</v>
      </c>
      <c r="C2982" s="65" t="s">
        <v>88</v>
      </c>
      <c r="D2982" s="65" t="str">
        <f>vlookup(C2982,'Classificação p pessoal'!F:G,2,false)</f>
        <v>MProduto</v>
      </c>
      <c r="E2982" s="65" t="s">
        <v>2005</v>
      </c>
      <c r="F2982" s="83">
        <v>0.6666666666666666</v>
      </c>
      <c r="G2982" s="83">
        <v>0.7083333333333334</v>
      </c>
      <c r="H2982" s="83">
        <v>0.041666666666666664</v>
      </c>
      <c r="I2982" s="84">
        <v>44257.0</v>
      </c>
      <c r="J2982" s="65" t="b">
        <v>1</v>
      </c>
      <c r="K2982" s="65"/>
      <c r="L2982" s="85" t="b">
        <f>IF(VLOOKUP(C2982,Projetos!A:L,12,false)=TRUE,TRUE,FALSE)</f>
        <v>1</v>
      </c>
      <c r="M2982" s="74">
        <v>52.48434411075036</v>
      </c>
      <c r="N2982" s="74">
        <f t="shared" si="1"/>
        <v>52.48434411</v>
      </c>
      <c r="O2982" s="74" t="b">
        <v>1</v>
      </c>
    </row>
    <row r="2983" hidden="1">
      <c r="A2983" s="82"/>
      <c r="B2983" s="65" t="s">
        <v>411</v>
      </c>
      <c r="C2983" s="65" t="s">
        <v>125</v>
      </c>
      <c r="D2983" s="65" t="str">
        <f>vlookup(C2983,'Classificação p pessoal'!F:G,2,false)</f>
        <v>MProduto</v>
      </c>
      <c r="E2983" s="65" t="s">
        <v>2006</v>
      </c>
      <c r="F2983" s="83">
        <v>0.34375</v>
      </c>
      <c r="G2983" s="83">
        <v>0.375</v>
      </c>
      <c r="H2983" s="83">
        <v>0.03125</v>
      </c>
      <c r="I2983" s="84">
        <v>44258.0</v>
      </c>
      <c r="J2983" s="65" t="b">
        <v>1</v>
      </c>
      <c r="K2983" s="65"/>
      <c r="L2983" s="85" t="b">
        <f>IF(VLOOKUP(C2983,Projetos!A:L,12,false)=TRUE,TRUE,FALSE)</f>
        <v>1</v>
      </c>
      <c r="M2983" s="74">
        <v>52.48434411075036</v>
      </c>
      <c r="N2983" s="74">
        <f t="shared" si="1"/>
        <v>39.36325808</v>
      </c>
      <c r="O2983" s="74" t="b">
        <v>1</v>
      </c>
    </row>
    <row r="2984" hidden="1">
      <c r="A2984" s="82"/>
      <c r="B2984" s="65" t="s">
        <v>411</v>
      </c>
      <c r="C2984" s="65" t="s">
        <v>106</v>
      </c>
      <c r="D2984" s="65" t="str">
        <f>vlookup(C2984,'Classificação p pessoal'!F:G,2,false)</f>
        <v>MProcesso</v>
      </c>
      <c r="E2984" s="65" t="s">
        <v>2007</v>
      </c>
      <c r="F2984" s="83">
        <v>0.375</v>
      </c>
      <c r="G2984" s="83">
        <v>0.4375</v>
      </c>
      <c r="H2984" s="83">
        <v>0.0625</v>
      </c>
      <c r="I2984" s="84">
        <v>44258.0</v>
      </c>
      <c r="J2984" s="65" t="b">
        <v>1</v>
      </c>
      <c r="K2984" s="65"/>
      <c r="L2984" s="85" t="b">
        <f>IF(VLOOKUP(C2984,Projetos!A:L,12,false)=TRUE,TRUE,FALSE)</f>
        <v>1</v>
      </c>
      <c r="M2984" s="74">
        <v>52.48434411075036</v>
      </c>
      <c r="N2984" s="74">
        <f t="shared" si="1"/>
        <v>78.72651617</v>
      </c>
      <c r="O2984" s="74" t="b">
        <v>1</v>
      </c>
    </row>
    <row r="2985" hidden="1">
      <c r="A2985" s="82"/>
      <c r="B2985" s="65" t="s">
        <v>467</v>
      </c>
      <c r="C2985" s="65" t="s">
        <v>113</v>
      </c>
      <c r="D2985" s="65"/>
      <c r="E2985" s="65" t="s">
        <v>2008</v>
      </c>
      <c r="F2985" s="83">
        <v>0.4583333333333333</v>
      </c>
      <c r="G2985" s="83">
        <v>0.5208333333333334</v>
      </c>
      <c r="H2985" s="83">
        <v>0.0625</v>
      </c>
      <c r="I2985" s="84">
        <v>44398.0</v>
      </c>
      <c r="J2985" s="65" t="b">
        <v>0</v>
      </c>
      <c r="K2985" s="65" t="s">
        <v>150</v>
      </c>
      <c r="L2985" s="85" t="b">
        <f>IF(VLOOKUP(C2985,Projetos!A:L,12,false)=TRUE,TRUE,FALSE)</f>
        <v>1</v>
      </c>
      <c r="M2985" s="74">
        <v>52.1518759018759</v>
      </c>
      <c r="N2985" s="74">
        <f t="shared" si="1"/>
        <v>0</v>
      </c>
      <c r="O2985" s="74" t="b">
        <v>1</v>
      </c>
    </row>
    <row r="2986" hidden="1">
      <c r="A2986" s="82"/>
      <c r="B2986" s="65" t="s">
        <v>411</v>
      </c>
      <c r="C2986" s="65" t="s">
        <v>92</v>
      </c>
      <c r="D2986" s="65" t="str">
        <f>vlookup(C2986,'Classificação p pessoal'!F:G,2,false)</f>
        <v/>
      </c>
      <c r="E2986" s="65" t="s">
        <v>2009</v>
      </c>
      <c r="F2986" s="83">
        <v>0.625</v>
      </c>
      <c r="G2986" s="83">
        <v>0.6666666666666666</v>
      </c>
      <c r="H2986" s="83">
        <v>0.041666666666666664</v>
      </c>
      <c r="I2986" s="84">
        <v>44258.0</v>
      </c>
      <c r="J2986" s="65" t="b">
        <v>1</v>
      </c>
      <c r="K2986" s="65"/>
      <c r="L2986" s="85" t="b">
        <f>IF(VLOOKUP(C2986,Projetos!A:L,12,false)=TRUE,TRUE,FALSE)</f>
        <v>1</v>
      </c>
      <c r="M2986" s="74">
        <v>52.48434411075036</v>
      </c>
      <c r="N2986" s="74">
        <f t="shared" si="1"/>
        <v>52.48434411</v>
      </c>
      <c r="O2986" s="74" t="b">
        <v>1</v>
      </c>
    </row>
    <row r="2987" hidden="1">
      <c r="A2987" s="82"/>
      <c r="B2987" s="65" t="s">
        <v>411</v>
      </c>
      <c r="C2987" s="65" t="s">
        <v>91</v>
      </c>
      <c r="D2987" s="65" t="str">
        <f>vlookup(C2987,'Classificação p pessoal'!F:G,2,false)</f>
        <v>NP</v>
      </c>
      <c r="E2987" s="65" t="s">
        <v>2010</v>
      </c>
      <c r="F2987" s="83">
        <v>0.6666666666666666</v>
      </c>
      <c r="G2987" s="83">
        <v>0.6875</v>
      </c>
      <c r="H2987" s="83">
        <v>0.020833333333333332</v>
      </c>
      <c r="I2987" s="84">
        <v>44258.0</v>
      </c>
      <c r="J2987" s="65" t="b">
        <v>1</v>
      </c>
      <c r="K2987" s="65"/>
      <c r="L2987" s="85" t="b">
        <f>IF(VLOOKUP(C2987,Projetos!A:L,12,false)=TRUE,TRUE,FALSE)</f>
        <v>1</v>
      </c>
      <c r="M2987" s="74">
        <v>52.48434411075036</v>
      </c>
      <c r="N2987" s="74">
        <f t="shared" si="1"/>
        <v>26.24217206</v>
      </c>
      <c r="O2987" s="74" t="b">
        <v>1</v>
      </c>
    </row>
    <row r="2988" hidden="1">
      <c r="A2988" s="82"/>
      <c r="B2988" s="65" t="s">
        <v>411</v>
      </c>
      <c r="C2988" s="65" t="s">
        <v>125</v>
      </c>
      <c r="D2988" s="65" t="str">
        <f>vlookup(C2988,'Classificação p pessoal'!F:G,2,false)</f>
        <v>MProduto</v>
      </c>
      <c r="E2988" s="65" t="s">
        <v>2011</v>
      </c>
      <c r="F2988" s="83">
        <v>0.6875</v>
      </c>
      <c r="G2988" s="83">
        <v>0.75</v>
      </c>
      <c r="H2988" s="83">
        <v>0.0625</v>
      </c>
      <c r="I2988" s="84">
        <v>44258.0</v>
      </c>
      <c r="J2988" s="65" t="b">
        <v>1</v>
      </c>
      <c r="K2988" s="65"/>
      <c r="L2988" s="85" t="b">
        <f>IF(VLOOKUP(C2988,Projetos!A:L,12,false)=TRUE,TRUE,FALSE)</f>
        <v>1</v>
      </c>
      <c r="M2988" s="74">
        <v>52.48434411075036</v>
      </c>
      <c r="N2988" s="74">
        <f t="shared" si="1"/>
        <v>78.72651617</v>
      </c>
      <c r="O2988" s="74" t="b">
        <v>1</v>
      </c>
    </row>
    <row r="2989" hidden="1">
      <c r="A2989" s="82"/>
      <c r="B2989" s="65" t="s">
        <v>411</v>
      </c>
      <c r="C2989" s="65" t="s">
        <v>92</v>
      </c>
      <c r="D2989" s="65" t="str">
        <f>vlookup(C2989,'Classificação p pessoal'!F:G,2,false)</f>
        <v/>
      </c>
      <c r="E2989" s="65" t="s">
        <v>2009</v>
      </c>
      <c r="F2989" s="83">
        <v>0.34375</v>
      </c>
      <c r="G2989" s="83">
        <v>0.3958333333333333</v>
      </c>
      <c r="H2989" s="83">
        <v>0.052083333333333336</v>
      </c>
      <c r="I2989" s="84">
        <v>44259.0</v>
      </c>
      <c r="J2989" s="65" t="b">
        <v>1</v>
      </c>
      <c r="K2989" s="65"/>
      <c r="L2989" s="85" t="b">
        <f>IF(VLOOKUP(C2989,Projetos!A:L,12,false)=TRUE,TRUE,FALSE)</f>
        <v>1</v>
      </c>
      <c r="M2989" s="74">
        <v>52.48434411075036</v>
      </c>
      <c r="N2989" s="74">
        <f t="shared" si="1"/>
        <v>65.60543014</v>
      </c>
      <c r="O2989" s="74" t="b">
        <v>1</v>
      </c>
    </row>
    <row r="2990" hidden="1">
      <c r="A2990" s="82"/>
      <c r="B2990" s="65" t="s">
        <v>411</v>
      </c>
      <c r="C2990" s="65" t="s">
        <v>92</v>
      </c>
      <c r="D2990" s="65" t="str">
        <f>vlookup(C2990,'Classificação p pessoal'!F:G,2,false)</f>
        <v/>
      </c>
      <c r="E2990" s="65" t="s">
        <v>2012</v>
      </c>
      <c r="F2990" s="83">
        <v>0.3958333333333333</v>
      </c>
      <c r="G2990" s="83">
        <v>0.5416666666666666</v>
      </c>
      <c r="H2990" s="83">
        <v>0.14583333333333334</v>
      </c>
      <c r="I2990" s="84">
        <v>44259.0</v>
      </c>
      <c r="J2990" s="65" t="b">
        <v>1</v>
      </c>
      <c r="K2990" s="65"/>
      <c r="L2990" s="85" t="b">
        <f>IF(VLOOKUP(C2990,Projetos!A:L,12,false)=TRUE,TRUE,FALSE)</f>
        <v>1</v>
      </c>
      <c r="M2990" s="74">
        <v>52.48434411075036</v>
      </c>
      <c r="N2990" s="74">
        <f t="shared" si="1"/>
        <v>183.6952044</v>
      </c>
      <c r="O2990" s="74" t="b">
        <v>1</v>
      </c>
    </row>
    <row r="2991" hidden="1">
      <c r="A2991" s="82"/>
      <c r="B2991" s="65" t="s">
        <v>411</v>
      </c>
      <c r="C2991" s="65" t="s">
        <v>152</v>
      </c>
      <c r="D2991" s="65"/>
      <c r="E2991" s="65" t="s">
        <v>2013</v>
      </c>
      <c r="F2991" s="83">
        <v>0.5833333333333334</v>
      </c>
      <c r="G2991" s="83">
        <v>0.6458333333333334</v>
      </c>
      <c r="H2991" s="83">
        <v>0.0625</v>
      </c>
      <c r="I2991" s="84">
        <v>44259.0</v>
      </c>
      <c r="J2991" s="65" t="b">
        <v>0</v>
      </c>
      <c r="K2991" s="65" t="s">
        <v>150</v>
      </c>
      <c r="L2991" s="85" t="b">
        <f>IF(VLOOKUP(C2991,Projetos!A:L,12,false)=TRUE,TRUE,FALSE)</f>
        <v>1</v>
      </c>
      <c r="M2991" s="74">
        <v>52.48434411075036</v>
      </c>
      <c r="N2991" s="74">
        <f t="shared" si="1"/>
        <v>0</v>
      </c>
      <c r="O2991" s="74" t="b">
        <v>1</v>
      </c>
    </row>
    <row r="2992" hidden="1">
      <c r="A2992" s="82"/>
      <c r="B2992" s="65" t="s">
        <v>411</v>
      </c>
      <c r="C2992" s="65" t="s">
        <v>92</v>
      </c>
      <c r="D2992" s="65"/>
      <c r="E2992" s="65" t="s">
        <v>2014</v>
      </c>
      <c r="F2992" s="83">
        <v>0.6458333333333334</v>
      </c>
      <c r="G2992" s="83">
        <v>0.6666666666666666</v>
      </c>
      <c r="H2992" s="83">
        <v>0.020833333333333332</v>
      </c>
      <c r="I2992" s="84">
        <v>44259.0</v>
      </c>
      <c r="J2992" s="65" t="b">
        <v>0</v>
      </c>
      <c r="K2992" s="65" t="s">
        <v>150</v>
      </c>
      <c r="L2992" s="85" t="b">
        <f>IF(VLOOKUP(C2992,Projetos!A:L,12,false)=TRUE,TRUE,FALSE)</f>
        <v>1</v>
      </c>
      <c r="M2992" s="74">
        <v>52.48434411075036</v>
      </c>
      <c r="N2992" s="74">
        <f t="shared" si="1"/>
        <v>0</v>
      </c>
      <c r="O2992" s="74" t="b">
        <v>1</v>
      </c>
    </row>
    <row r="2993" hidden="1">
      <c r="A2993" s="82"/>
      <c r="B2993" s="65" t="s">
        <v>411</v>
      </c>
      <c r="C2993" s="65" t="s">
        <v>117</v>
      </c>
      <c r="D2993" s="65" t="str">
        <f>vlookup(C2993,'Classificação p pessoal'!F:G,2,false)</f>
        <v>NP</v>
      </c>
      <c r="E2993" s="65" t="s">
        <v>2015</v>
      </c>
      <c r="F2993" s="83">
        <v>0.6666666666666666</v>
      </c>
      <c r="G2993" s="83">
        <v>0.6875</v>
      </c>
      <c r="H2993" s="83">
        <v>0.020833333333333332</v>
      </c>
      <c r="I2993" s="84">
        <v>44259.0</v>
      </c>
      <c r="J2993" s="65" t="b">
        <v>1</v>
      </c>
      <c r="K2993" s="65"/>
      <c r="L2993" s="85" t="b">
        <f>IF(VLOOKUP(C2993,Projetos!A:L,12,false)=TRUE,TRUE,FALSE)</f>
        <v>1</v>
      </c>
      <c r="M2993" s="74">
        <v>52.48434411075036</v>
      </c>
      <c r="N2993" s="74">
        <f t="shared" si="1"/>
        <v>26.24217206</v>
      </c>
      <c r="O2993" s="74" t="b">
        <v>1</v>
      </c>
    </row>
    <row r="2994" hidden="1">
      <c r="A2994" s="82"/>
      <c r="B2994" s="65" t="s">
        <v>411</v>
      </c>
      <c r="C2994" s="65" t="s">
        <v>125</v>
      </c>
      <c r="D2994" s="65" t="str">
        <f>vlookup(C2994,'Classificação p pessoal'!F:G,2,false)</f>
        <v>MProduto</v>
      </c>
      <c r="E2994" s="65" t="s">
        <v>2011</v>
      </c>
      <c r="F2994" s="83">
        <v>0.6875</v>
      </c>
      <c r="G2994" s="83">
        <v>0.75</v>
      </c>
      <c r="H2994" s="83">
        <v>0.0625</v>
      </c>
      <c r="I2994" s="84">
        <v>44259.0</v>
      </c>
      <c r="J2994" s="65" t="b">
        <v>1</v>
      </c>
      <c r="K2994" s="65"/>
      <c r="L2994" s="85" t="b">
        <f>IF(VLOOKUP(C2994,Projetos!A:L,12,false)=TRUE,TRUE,FALSE)</f>
        <v>1</v>
      </c>
      <c r="M2994" s="74">
        <v>52.48434411075036</v>
      </c>
      <c r="N2994" s="74">
        <f t="shared" si="1"/>
        <v>78.72651617</v>
      </c>
      <c r="O2994" s="74" t="b">
        <v>1</v>
      </c>
    </row>
    <row r="2995" hidden="1">
      <c r="A2995" s="82"/>
      <c r="B2995" s="65" t="s">
        <v>411</v>
      </c>
      <c r="C2995" s="65" t="s">
        <v>92</v>
      </c>
      <c r="D2995" s="65" t="str">
        <f>vlookup(C2995,'Classificação p pessoal'!F:G,2,false)</f>
        <v/>
      </c>
      <c r="E2995" s="65" t="s">
        <v>2016</v>
      </c>
      <c r="F2995" s="83">
        <v>0.375</v>
      </c>
      <c r="G2995" s="83">
        <v>0.4375</v>
      </c>
      <c r="H2995" s="83">
        <v>0.0625</v>
      </c>
      <c r="I2995" s="84">
        <v>44260.0</v>
      </c>
      <c r="J2995" s="65" t="b">
        <v>1</v>
      </c>
      <c r="K2995" s="65"/>
      <c r="L2995" s="85" t="b">
        <f>IF(VLOOKUP(C2995,Projetos!A:L,12,false)=TRUE,TRUE,FALSE)</f>
        <v>1</v>
      </c>
      <c r="M2995" s="74">
        <v>52.48434411075036</v>
      </c>
      <c r="N2995" s="74">
        <f t="shared" si="1"/>
        <v>78.72651617</v>
      </c>
      <c r="O2995" s="74" t="b">
        <v>1</v>
      </c>
    </row>
    <row r="2996" hidden="1">
      <c r="A2996" s="82"/>
      <c r="B2996" s="65" t="s">
        <v>411</v>
      </c>
      <c r="C2996" s="65" t="s">
        <v>130</v>
      </c>
      <c r="D2996" s="65"/>
      <c r="E2996" s="65" t="s">
        <v>2017</v>
      </c>
      <c r="F2996" s="83">
        <v>0.6875</v>
      </c>
      <c r="G2996" s="83">
        <v>0.7083333333333334</v>
      </c>
      <c r="H2996" s="83">
        <v>0.020833333333333332</v>
      </c>
      <c r="I2996" s="84">
        <v>44249.0</v>
      </c>
      <c r="J2996" s="65" t="b">
        <v>0</v>
      </c>
      <c r="K2996" s="65" t="s">
        <v>150</v>
      </c>
      <c r="L2996" s="85" t="b">
        <f>IF(VLOOKUP(C2996,Projetos!A:L,12,false)=TRUE,TRUE,FALSE)</f>
        <v>1</v>
      </c>
      <c r="M2996" s="74">
        <v>52.48434411075036</v>
      </c>
      <c r="N2996" s="74">
        <f t="shared" si="1"/>
        <v>0</v>
      </c>
      <c r="O2996" s="74" t="b">
        <v>1</v>
      </c>
    </row>
    <row r="2997" hidden="1">
      <c r="A2997" s="82"/>
      <c r="B2997" s="65" t="s">
        <v>411</v>
      </c>
      <c r="C2997" s="65" t="s">
        <v>132</v>
      </c>
      <c r="D2997" s="65"/>
      <c r="E2997" s="65" t="s">
        <v>2018</v>
      </c>
      <c r="F2997" s="83">
        <v>0.625</v>
      </c>
      <c r="G2997" s="83">
        <v>0.6666666666666666</v>
      </c>
      <c r="H2997" s="83">
        <v>0.041666666666666664</v>
      </c>
      <c r="I2997" s="84">
        <v>44260.0</v>
      </c>
      <c r="J2997" s="65" t="b">
        <v>1</v>
      </c>
      <c r="K2997" s="65"/>
      <c r="L2997" s="85" t="b">
        <f>IF(VLOOKUP(C2997,Projetos!A:L,12,false)=TRUE,TRUE,FALSE)</f>
        <v>0</v>
      </c>
      <c r="M2997" s="74">
        <v>52.48434411075036</v>
      </c>
      <c r="N2997" s="74">
        <f t="shared" si="1"/>
        <v>0</v>
      </c>
      <c r="O2997" s="74" t="b">
        <v>0</v>
      </c>
    </row>
    <row r="2998" hidden="1">
      <c r="A2998" s="82"/>
      <c r="B2998" s="65" t="s">
        <v>411</v>
      </c>
      <c r="C2998" s="65" t="s">
        <v>117</v>
      </c>
      <c r="D2998" s="65" t="str">
        <f>vlookup(C2998,'Classificação p pessoal'!F:G,2,false)</f>
        <v>NP</v>
      </c>
      <c r="E2998" s="65" t="s">
        <v>2019</v>
      </c>
      <c r="F2998" s="83">
        <v>0.6666666666666666</v>
      </c>
      <c r="G2998" s="83">
        <v>0.6875</v>
      </c>
      <c r="H2998" s="83">
        <v>0.020833333333333332</v>
      </c>
      <c r="I2998" s="84">
        <v>44260.0</v>
      </c>
      <c r="J2998" s="65" t="b">
        <v>1</v>
      </c>
      <c r="K2998" s="65"/>
      <c r="L2998" s="85" t="b">
        <f>IF(VLOOKUP(C2998,Projetos!A:L,12,false)=TRUE,TRUE,FALSE)</f>
        <v>1</v>
      </c>
      <c r="M2998" s="74">
        <v>52.48434411075036</v>
      </c>
      <c r="N2998" s="74">
        <f t="shared" si="1"/>
        <v>26.24217206</v>
      </c>
      <c r="O2998" s="74" t="b">
        <v>1</v>
      </c>
    </row>
    <row r="2999" hidden="1">
      <c r="A2999" s="82"/>
      <c r="B2999" s="65" t="s">
        <v>411</v>
      </c>
      <c r="C2999" s="65" t="s">
        <v>130</v>
      </c>
      <c r="D2999" s="65" t="str">
        <f>vlookup(C2999,'Classificação p pessoal'!F:G,2,false)</f>
        <v>NP</v>
      </c>
      <c r="E2999" s="65" t="s">
        <v>2020</v>
      </c>
      <c r="F2999" s="83">
        <v>0.6875</v>
      </c>
      <c r="G2999" s="83">
        <v>0.7083333333333334</v>
      </c>
      <c r="H2999" s="83">
        <v>0.020833333333333332</v>
      </c>
      <c r="I2999" s="84">
        <v>44260.0</v>
      </c>
      <c r="J2999" s="65" t="b">
        <v>1</v>
      </c>
      <c r="K2999" s="65"/>
      <c r="L2999" s="85" t="b">
        <f>IF(VLOOKUP(C2999,Projetos!A:L,12,false)=TRUE,TRUE,FALSE)</f>
        <v>1</v>
      </c>
      <c r="M2999" s="74">
        <v>52.48434411075036</v>
      </c>
      <c r="N2999" s="74">
        <f t="shared" si="1"/>
        <v>26.24217206</v>
      </c>
      <c r="O2999" s="74" t="b">
        <v>1</v>
      </c>
    </row>
    <row r="3000" hidden="1">
      <c r="A3000" s="82"/>
      <c r="B3000" s="65" t="s">
        <v>411</v>
      </c>
      <c r="C3000" s="65" t="s">
        <v>92</v>
      </c>
      <c r="D3000" s="65" t="str">
        <f>vlookup(C3000,'Classificação p pessoal'!F:G,2,false)</f>
        <v/>
      </c>
      <c r="E3000" s="65" t="s">
        <v>2021</v>
      </c>
      <c r="F3000" s="83">
        <v>0.7083333333333334</v>
      </c>
      <c r="G3000" s="83">
        <v>0.75</v>
      </c>
      <c r="H3000" s="83">
        <v>0.041666666666666664</v>
      </c>
      <c r="I3000" s="84">
        <v>44260.0</v>
      </c>
      <c r="J3000" s="65" t="b">
        <v>1</v>
      </c>
      <c r="K3000" s="65"/>
      <c r="L3000" s="85" t="b">
        <f>IF(VLOOKUP(C3000,Projetos!A:L,12,false)=TRUE,TRUE,FALSE)</f>
        <v>1</v>
      </c>
      <c r="M3000" s="74">
        <v>52.48434411075036</v>
      </c>
      <c r="N3000" s="74">
        <f t="shared" si="1"/>
        <v>52.48434411</v>
      </c>
      <c r="O3000" s="74" t="b">
        <v>1</v>
      </c>
    </row>
    <row r="3001" hidden="1">
      <c r="A3001" s="82"/>
      <c r="B3001" s="65" t="s">
        <v>411</v>
      </c>
      <c r="C3001" s="65" t="s">
        <v>84</v>
      </c>
      <c r="D3001" s="65"/>
      <c r="E3001" s="65" t="s">
        <v>2022</v>
      </c>
      <c r="F3001" s="83">
        <v>0.34375</v>
      </c>
      <c r="G3001" s="83">
        <v>0.3645833333333333</v>
      </c>
      <c r="H3001" s="83">
        <v>0.020833333333333332</v>
      </c>
      <c r="I3001" s="84">
        <v>44263.0</v>
      </c>
      <c r="J3001" s="65" t="b">
        <v>0</v>
      </c>
      <c r="K3001" s="65"/>
      <c r="L3001" s="85" t="b">
        <f>IF(VLOOKUP(C3001,Projetos!A:L,12,false)=TRUE,TRUE,FALSE)</f>
        <v>0</v>
      </c>
      <c r="M3001" s="74">
        <v>52.48434411075036</v>
      </c>
      <c r="N3001" s="74">
        <f t="shared" si="1"/>
        <v>0</v>
      </c>
      <c r="O3001" s="74" t="b">
        <v>0</v>
      </c>
    </row>
    <row r="3002" hidden="1">
      <c r="A3002" s="82"/>
      <c r="B3002" s="65" t="s">
        <v>411</v>
      </c>
      <c r="C3002" s="65" t="s">
        <v>101</v>
      </c>
      <c r="D3002" s="65" t="str">
        <f>vlookup(C3002,'Classificação p pessoal'!F:G,2,false)</f>
        <v>NP</v>
      </c>
      <c r="E3002" s="65" t="s">
        <v>2023</v>
      </c>
      <c r="F3002" s="83">
        <v>0.3645833333333333</v>
      </c>
      <c r="G3002" s="83">
        <v>0.40625</v>
      </c>
      <c r="H3002" s="83">
        <v>0.041666666666666664</v>
      </c>
      <c r="I3002" s="84">
        <v>44263.0</v>
      </c>
      <c r="J3002" s="65" t="b">
        <v>1</v>
      </c>
      <c r="K3002" s="65"/>
      <c r="L3002" s="85" t="b">
        <f>IF(VLOOKUP(C3002,Projetos!A:L,12,false)=TRUE,TRUE,FALSE)</f>
        <v>1</v>
      </c>
      <c r="M3002" s="74">
        <v>52.48434411075036</v>
      </c>
      <c r="N3002" s="74">
        <f t="shared" si="1"/>
        <v>52.48434411</v>
      </c>
      <c r="O3002" s="74" t="b">
        <v>1</v>
      </c>
    </row>
    <row r="3003" hidden="1">
      <c r="A3003" s="82"/>
      <c r="B3003" s="65" t="s">
        <v>411</v>
      </c>
      <c r="C3003" s="65" t="s">
        <v>117</v>
      </c>
      <c r="D3003" s="65" t="str">
        <f>vlookup(C3003,'Classificação p pessoal'!F:G,2,false)</f>
        <v>NP</v>
      </c>
      <c r="E3003" s="65" t="s">
        <v>2024</v>
      </c>
      <c r="F3003" s="83">
        <v>0.4166666666666667</v>
      </c>
      <c r="G3003" s="83">
        <v>0.4791666666666667</v>
      </c>
      <c r="H3003" s="83">
        <v>0.0625</v>
      </c>
      <c r="I3003" s="84">
        <v>44263.0</v>
      </c>
      <c r="J3003" s="65" t="b">
        <v>1</v>
      </c>
      <c r="K3003" s="65"/>
      <c r="L3003" s="85" t="b">
        <f>IF(VLOOKUP(C3003,Projetos!A:L,12,false)=TRUE,TRUE,FALSE)</f>
        <v>1</v>
      </c>
      <c r="M3003" s="74">
        <v>52.48434411075036</v>
      </c>
      <c r="N3003" s="74">
        <f t="shared" si="1"/>
        <v>78.72651617</v>
      </c>
      <c r="O3003" s="74" t="b">
        <v>1</v>
      </c>
    </row>
    <row r="3004" hidden="1">
      <c r="A3004" s="82"/>
      <c r="B3004" s="65" t="s">
        <v>411</v>
      </c>
      <c r="C3004" s="65" t="s">
        <v>117</v>
      </c>
      <c r="D3004" s="65" t="str">
        <f>vlookup(C3004,'Classificação p pessoal'!F:G,2,false)</f>
        <v>NP</v>
      </c>
      <c r="E3004" s="65" t="s">
        <v>2025</v>
      </c>
      <c r="F3004" s="83">
        <v>0.4791666666666667</v>
      </c>
      <c r="G3004" s="83">
        <v>0.5833333333333334</v>
      </c>
      <c r="H3004" s="83">
        <v>0.10416666666666667</v>
      </c>
      <c r="I3004" s="84">
        <v>44263.0</v>
      </c>
      <c r="J3004" s="65" t="b">
        <v>1</v>
      </c>
      <c r="K3004" s="65"/>
      <c r="L3004" s="85" t="b">
        <f>IF(VLOOKUP(C3004,Projetos!A:L,12,false)=TRUE,TRUE,FALSE)</f>
        <v>1</v>
      </c>
      <c r="M3004" s="74">
        <v>52.48434411075036</v>
      </c>
      <c r="N3004" s="74">
        <f t="shared" si="1"/>
        <v>131.2108603</v>
      </c>
      <c r="O3004" s="74" t="b">
        <v>1</v>
      </c>
    </row>
    <row r="3005" hidden="1">
      <c r="A3005" s="82"/>
      <c r="B3005" s="65" t="s">
        <v>411</v>
      </c>
      <c r="C3005" s="65" t="s">
        <v>132</v>
      </c>
      <c r="D3005" s="65"/>
      <c r="E3005" s="65" t="s">
        <v>2026</v>
      </c>
      <c r="F3005" s="83">
        <v>0.625</v>
      </c>
      <c r="G3005" s="83">
        <v>0.6458333333333334</v>
      </c>
      <c r="H3005" s="83">
        <v>0.020833333333333332</v>
      </c>
      <c r="I3005" s="84">
        <v>44263.0</v>
      </c>
      <c r="J3005" s="65" t="b">
        <v>1</v>
      </c>
      <c r="K3005" s="65"/>
      <c r="L3005" s="85" t="b">
        <f>IF(VLOOKUP(C3005,Projetos!A:L,12,false)=TRUE,TRUE,FALSE)</f>
        <v>0</v>
      </c>
      <c r="M3005" s="74">
        <v>52.48434411075036</v>
      </c>
      <c r="N3005" s="74">
        <f t="shared" si="1"/>
        <v>0</v>
      </c>
      <c r="O3005" s="74" t="b">
        <v>0</v>
      </c>
    </row>
    <row r="3006" hidden="1">
      <c r="A3006" s="82"/>
      <c r="B3006" s="65" t="s">
        <v>411</v>
      </c>
      <c r="C3006" s="65" t="s">
        <v>101</v>
      </c>
      <c r="D3006" s="65" t="str">
        <f>vlookup(C3006,'Classificação p pessoal'!F:G,2,false)</f>
        <v>NP</v>
      </c>
      <c r="E3006" s="65" t="s">
        <v>2027</v>
      </c>
      <c r="F3006" s="83">
        <v>0.7083333333333334</v>
      </c>
      <c r="G3006" s="83">
        <v>0.7361111111111112</v>
      </c>
      <c r="H3006" s="83">
        <v>0.027777777777777776</v>
      </c>
      <c r="I3006" s="84">
        <v>44263.0</v>
      </c>
      <c r="J3006" s="65" t="b">
        <v>1</v>
      </c>
      <c r="K3006" s="65"/>
      <c r="L3006" s="85" t="b">
        <f>IF(VLOOKUP(C3006,Projetos!A:L,12,false)=TRUE,TRUE,FALSE)</f>
        <v>1</v>
      </c>
      <c r="M3006" s="74">
        <v>52.48434411075036</v>
      </c>
      <c r="N3006" s="74">
        <f t="shared" si="1"/>
        <v>34.98956274</v>
      </c>
      <c r="O3006" s="74" t="b">
        <v>1</v>
      </c>
    </row>
    <row r="3007" hidden="1">
      <c r="A3007" s="82"/>
      <c r="B3007" s="65" t="s">
        <v>411</v>
      </c>
      <c r="C3007" s="65" t="s">
        <v>132</v>
      </c>
      <c r="D3007" s="65"/>
      <c r="E3007" s="65" t="s">
        <v>2028</v>
      </c>
      <c r="F3007" s="83">
        <v>0.34375</v>
      </c>
      <c r="G3007" s="83">
        <v>0.3958333333333333</v>
      </c>
      <c r="H3007" s="83">
        <v>0.052083333333333336</v>
      </c>
      <c r="I3007" s="84">
        <v>44264.0</v>
      </c>
      <c r="J3007" s="65" t="b">
        <v>1</v>
      </c>
      <c r="K3007" s="65"/>
      <c r="L3007" s="85" t="b">
        <f>IF(VLOOKUP(C3007,Projetos!A:L,12,false)=TRUE,TRUE,FALSE)</f>
        <v>0</v>
      </c>
      <c r="M3007" s="74">
        <v>52.48434411075036</v>
      </c>
      <c r="N3007" s="74">
        <f t="shared" si="1"/>
        <v>0</v>
      </c>
      <c r="O3007" s="74" t="b">
        <v>0</v>
      </c>
    </row>
    <row r="3008" hidden="1">
      <c r="A3008" s="82"/>
      <c r="B3008" s="65" t="s">
        <v>411</v>
      </c>
      <c r="C3008" s="65" t="s">
        <v>106</v>
      </c>
      <c r="D3008" s="65"/>
      <c r="E3008" s="65" t="s">
        <v>2029</v>
      </c>
      <c r="F3008" s="83">
        <v>0.3958333333333333</v>
      </c>
      <c r="G3008" s="83">
        <v>0.4791666666666667</v>
      </c>
      <c r="H3008" s="83">
        <v>0.08333333333333333</v>
      </c>
      <c r="I3008" s="84">
        <v>44264.0</v>
      </c>
      <c r="J3008" s="65" t="b">
        <v>0</v>
      </c>
      <c r="K3008" s="65" t="s">
        <v>150</v>
      </c>
      <c r="L3008" s="85" t="b">
        <f>IF(VLOOKUP(C3008,Projetos!A:L,12,false)=TRUE,TRUE,FALSE)</f>
        <v>1</v>
      </c>
      <c r="M3008" s="74">
        <v>52.48434411075036</v>
      </c>
      <c r="N3008" s="74">
        <f t="shared" si="1"/>
        <v>0</v>
      </c>
      <c r="O3008" s="74" t="b">
        <v>1</v>
      </c>
    </row>
    <row r="3009" hidden="1">
      <c r="A3009" s="82"/>
      <c r="B3009" s="65" t="s">
        <v>411</v>
      </c>
      <c r="C3009" s="65" t="s">
        <v>125</v>
      </c>
      <c r="D3009" s="65" t="str">
        <f>vlookup(C3009,'Classificação p pessoal'!F:G,2,false)</f>
        <v>MProduto</v>
      </c>
      <c r="E3009" s="65" t="s">
        <v>2030</v>
      </c>
      <c r="F3009" s="83">
        <v>0.4791666666666667</v>
      </c>
      <c r="G3009" s="83">
        <v>0.5208333333333334</v>
      </c>
      <c r="H3009" s="83">
        <v>0.041666666666666664</v>
      </c>
      <c r="I3009" s="84">
        <v>44264.0</v>
      </c>
      <c r="J3009" s="65" t="b">
        <v>1</v>
      </c>
      <c r="K3009" s="65"/>
      <c r="L3009" s="85" t="b">
        <f>IF(VLOOKUP(C3009,Projetos!A:L,12,false)=TRUE,TRUE,FALSE)</f>
        <v>1</v>
      </c>
      <c r="M3009" s="74">
        <v>52.48434411075036</v>
      </c>
      <c r="N3009" s="74">
        <f t="shared" si="1"/>
        <v>52.48434411</v>
      </c>
      <c r="O3009" s="74" t="b">
        <v>1</v>
      </c>
    </row>
    <row r="3010" hidden="1">
      <c r="A3010" s="82"/>
      <c r="B3010" s="65" t="s">
        <v>411</v>
      </c>
      <c r="C3010" s="65" t="s">
        <v>92</v>
      </c>
      <c r="D3010" s="65" t="str">
        <f>vlookup(C3010,'Classificação p pessoal'!F:G,2,false)</f>
        <v/>
      </c>
      <c r="E3010" s="65" t="s">
        <v>2031</v>
      </c>
      <c r="F3010" s="83">
        <v>0.5208333333333334</v>
      </c>
      <c r="G3010" s="83">
        <v>0.5625</v>
      </c>
      <c r="H3010" s="83">
        <v>0.041666666666666664</v>
      </c>
      <c r="I3010" s="84">
        <v>44264.0</v>
      </c>
      <c r="J3010" s="65" t="b">
        <v>1</v>
      </c>
      <c r="K3010" s="65"/>
      <c r="L3010" s="85" t="b">
        <f>IF(VLOOKUP(C3010,Projetos!A:L,12,false)=TRUE,TRUE,FALSE)</f>
        <v>1</v>
      </c>
      <c r="M3010" s="74">
        <v>52.48434411075036</v>
      </c>
      <c r="N3010" s="74">
        <f t="shared" si="1"/>
        <v>52.48434411</v>
      </c>
      <c r="O3010" s="74" t="b">
        <v>1</v>
      </c>
    </row>
    <row r="3011" hidden="1">
      <c r="A3011" s="82"/>
      <c r="B3011" s="65" t="s">
        <v>411</v>
      </c>
      <c r="C3011" s="65" t="s">
        <v>104</v>
      </c>
      <c r="D3011" s="65" t="str">
        <f>vlookup(C3011,'Classificação p pessoal'!F:G,2,false)</f>
        <v>NP</v>
      </c>
      <c r="E3011" s="65" t="s">
        <v>2032</v>
      </c>
      <c r="F3011" s="83">
        <v>0.5625</v>
      </c>
      <c r="G3011" s="83">
        <v>0.5833333333333334</v>
      </c>
      <c r="H3011" s="83">
        <v>0.020833333333333332</v>
      </c>
      <c r="I3011" s="84">
        <v>44264.0</v>
      </c>
      <c r="J3011" s="65" t="b">
        <v>1</v>
      </c>
      <c r="K3011" s="65"/>
      <c r="L3011" s="85" t="b">
        <f>IF(VLOOKUP(C3011,Projetos!A:L,12,false)=TRUE,TRUE,FALSE)</f>
        <v>1</v>
      </c>
      <c r="M3011" s="74">
        <v>52.48434411075036</v>
      </c>
      <c r="N3011" s="74">
        <f t="shared" si="1"/>
        <v>26.24217206</v>
      </c>
      <c r="O3011" s="74" t="b">
        <v>1</v>
      </c>
    </row>
    <row r="3012" hidden="1">
      <c r="A3012" s="82"/>
      <c r="B3012" s="65" t="s">
        <v>411</v>
      </c>
      <c r="C3012" s="65" t="s">
        <v>92</v>
      </c>
      <c r="D3012" s="65"/>
      <c r="E3012" s="65" t="s">
        <v>2033</v>
      </c>
      <c r="F3012" s="83">
        <v>0.6875</v>
      </c>
      <c r="G3012" s="83">
        <v>0.6979166666666666</v>
      </c>
      <c r="H3012" s="83">
        <v>0.010416666666666666</v>
      </c>
      <c r="I3012" s="84">
        <v>44378.0</v>
      </c>
      <c r="J3012" s="65" t="b">
        <v>0</v>
      </c>
      <c r="K3012" s="65" t="s">
        <v>150</v>
      </c>
      <c r="L3012" s="85" t="b">
        <f>IF(VLOOKUP(C3012,Projetos!A:L,12,false)=TRUE,TRUE,FALSE)</f>
        <v>1</v>
      </c>
      <c r="M3012" s="74">
        <v>52.48434411075036</v>
      </c>
      <c r="N3012" s="74">
        <f t="shared" si="1"/>
        <v>0</v>
      </c>
      <c r="O3012" s="74" t="b">
        <v>1</v>
      </c>
    </row>
    <row r="3013" hidden="1">
      <c r="A3013" s="82"/>
      <c r="B3013" s="65" t="s">
        <v>411</v>
      </c>
      <c r="C3013" s="65" t="s">
        <v>101</v>
      </c>
      <c r="D3013" s="65" t="str">
        <f>vlookup(C3013,'Classificação p pessoal'!F:G,2,false)</f>
        <v>NP</v>
      </c>
      <c r="E3013" s="65" t="s">
        <v>2034</v>
      </c>
      <c r="F3013" s="83">
        <v>0.7083333333333334</v>
      </c>
      <c r="G3013" s="83">
        <v>0.7291666666666666</v>
      </c>
      <c r="H3013" s="83">
        <v>0.020833333333333332</v>
      </c>
      <c r="I3013" s="84">
        <v>44264.0</v>
      </c>
      <c r="J3013" s="65" t="b">
        <v>1</v>
      </c>
      <c r="K3013" s="65"/>
      <c r="L3013" s="85" t="b">
        <f>IF(VLOOKUP(C3013,Projetos!A:L,12,false)=TRUE,TRUE,FALSE)</f>
        <v>1</v>
      </c>
      <c r="M3013" s="74">
        <v>52.48434411075036</v>
      </c>
      <c r="N3013" s="74">
        <f t="shared" si="1"/>
        <v>26.24217206</v>
      </c>
      <c r="O3013" s="74" t="b">
        <v>1</v>
      </c>
    </row>
    <row r="3014" hidden="1">
      <c r="A3014" s="82"/>
      <c r="B3014" s="65" t="s">
        <v>411</v>
      </c>
      <c r="C3014" s="65" t="s">
        <v>130</v>
      </c>
      <c r="D3014" s="65" t="str">
        <f>vlookup(C3014,'Classificação p pessoal'!F:G,2,false)</f>
        <v>NP</v>
      </c>
      <c r="E3014" s="65" t="s">
        <v>2035</v>
      </c>
      <c r="F3014" s="83">
        <v>0.7291666666666666</v>
      </c>
      <c r="G3014" s="83">
        <v>0.75</v>
      </c>
      <c r="H3014" s="83">
        <v>0.020833333333333332</v>
      </c>
      <c r="I3014" s="84">
        <v>44264.0</v>
      </c>
      <c r="J3014" s="65" t="b">
        <v>1</v>
      </c>
      <c r="K3014" s="65"/>
      <c r="L3014" s="85" t="b">
        <f>IF(VLOOKUP(C3014,Projetos!A:L,12,false)=TRUE,TRUE,FALSE)</f>
        <v>1</v>
      </c>
      <c r="M3014" s="74">
        <v>52.48434411075036</v>
      </c>
      <c r="N3014" s="74">
        <f t="shared" si="1"/>
        <v>26.24217206</v>
      </c>
      <c r="O3014" s="74" t="b">
        <v>1</v>
      </c>
    </row>
    <row r="3015" hidden="1">
      <c r="A3015" s="82"/>
      <c r="B3015" s="65" t="s">
        <v>411</v>
      </c>
      <c r="C3015" s="65" t="s">
        <v>92</v>
      </c>
      <c r="D3015" s="65" t="str">
        <f>vlookup(C3015,'Classificação p pessoal'!F:G,2,false)</f>
        <v/>
      </c>
      <c r="E3015" s="65" t="s">
        <v>2036</v>
      </c>
      <c r="F3015" s="83">
        <v>0.34375</v>
      </c>
      <c r="G3015" s="83">
        <v>0.4375</v>
      </c>
      <c r="H3015" s="83">
        <v>0.09375</v>
      </c>
      <c r="I3015" s="84">
        <v>44265.0</v>
      </c>
      <c r="J3015" s="65" t="b">
        <v>1</v>
      </c>
      <c r="K3015" s="65"/>
      <c r="L3015" s="85" t="b">
        <f>IF(VLOOKUP(C3015,Projetos!A:L,12,false)=TRUE,TRUE,FALSE)</f>
        <v>1</v>
      </c>
      <c r="M3015" s="74">
        <v>52.48434411075036</v>
      </c>
      <c r="N3015" s="74">
        <f t="shared" si="1"/>
        <v>118.0897742</v>
      </c>
      <c r="O3015" s="74" t="b">
        <v>1</v>
      </c>
    </row>
    <row r="3016" hidden="1">
      <c r="A3016" s="82"/>
      <c r="B3016" s="65" t="s">
        <v>411</v>
      </c>
      <c r="C3016" s="65" t="s">
        <v>125</v>
      </c>
      <c r="D3016" s="65" t="str">
        <f>vlookup(C3016,'Classificação p pessoal'!F:G,2,false)</f>
        <v>MProduto</v>
      </c>
      <c r="E3016" s="65" t="s">
        <v>2037</v>
      </c>
      <c r="F3016" s="83">
        <v>0.4375</v>
      </c>
      <c r="G3016" s="83">
        <v>0.4791666666666667</v>
      </c>
      <c r="H3016" s="83">
        <v>0.041666666666666664</v>
      </c>
      <c r="I3016" s="84">
        <v>44265.0</v>
      </c>
      <c r="J3016" s="65" t="b">
        <v>1</v>
      </c>
      <c r="K3016" s="65"/>
      <c r="L3016" s="85" t="b">
        <f>IF(VLOOKUP(C3016,Projetos!A:L,12,false)=TRUE,TRUE,FALSE)</f>
        <v>1</v>
      </c>
      <c r="M3016" s="74">
        <v>52.48434411075036</v>
      </c>
      <c r="N3016" s="74">
        <f t="shared" si="1"/>
        <v>52.48434411</v>
      </c>
      <c r="O3016" s="74" t="b">
        <v>1</v>
      </c>
    </row>
    <row r="3017" hidden="1">
      <c r="A3017" s="82"/>
      <c r="B3017" s="65" t="s">
        <v>411</v>
      </c>
      <c r="C3017" s="65" t="s">
        <v>152</v>
      </c>
      <c r="D3017" s="65" t="str">
        <f>vlookup(C3017,'Classificação p pessoal'!F:G,2,false)</f>
        <v>MProduto</v>
      </c>
      <c r="E3017" s="65" t="s">
        <v>2038</v>
      </c>
      <c r="F3017" s="83">
        <v>0.4791666666666667</v>
      </c>
      <c r="G3017" s="83">
        <v>0.5104166666666666</v>
      </c>
      <c r="H3017" s="83">
        <v>0.03125</v>
      </c>
      <c r="I3017" s="84">
        <v>44265.0</v>
      </c>
      <c r="J3017" s="65" t="b">
        <v>1</v>
      </c>
      <c r="K3017" s="65"/>
      <c r="L3017" s="85" t="b">
        <f>IF(VLOOKUP(C3017,Projetos!A:L,12,false)=TRUE,TRUE,FALSE)</f>
        <v>1</v>
      </c>
      <c r="M3017" s="74">
        <v>52.48434411075036</v>
      </c>
      <c r="N3017" s="74">
        <f t="shared" si="1"/>
        <v>39.36325808</v>
      </c>
      <c r="O3017" s="74" t="b">
        <v>1</v>
      </c>
    </row>
    <row r="3018" hidden="1">
      <c r="A3018" s="82"/>
      <c r="B3018" s="65" t="s">
        <v>411</v>
      </c>
      <c r="C3018" s="65" t="s">
        <v>92</v>
      </c>
      <c r="D3018" s="65" t="str">
        <f>vlookup(C3018,'Classificação p pessoal'!F:G,2,false)</f>
        <v/>
      </c>
      <c r="E3018" s="65" t="s">
        <v>2039</v>
      </c>
      <c r="F3018" s="83">
        <v>0.5520833333333334</v>
      </c>
      <c r="G3018" s="83">
        <v>0.75</v>
      </c>
      <c r="H3018" s="83">
        <v>0.19791666666666666</v>
      </c>
      <c r="I3018" s="84">
        <v>44265.0</v>
      </c>
      <c r="J3018" s="65" t="b">
        <v>1</v>
      </c>
      <c r="K3018" s="65"/>
      <c r="L3018" s="85" t="b">
        <f>IF(VLOOKUP(C3018,Projetos!A:L,12,false)=TRUE,TRUE,FALSE)</f>
        <v>1</v>
      </c>
      <c r="M3018" s="74">
        <v>52.48434411075036</v>
      </c>
      <c r="N3018" s="74">
        <f t="shared" si="1"/>
        <v>249.3006345</v>
      </c>
      <c r="O3018" s="74" t="b">
        <v>1</v>
      </c>
    </row>
    <row r="3019" hidden="1">
      <c r="A3019" s="82"/>
      <c r="B3019" s="65" t="s">
        <v>411</v>
      </c>
      <c r="C3019" s="65" t="s">
        <v>92</v>
      </c>
      <c r="D3019" s="65" t="str">
        <f>vlookup(C3019,'Classificação p pessoal'!F:G,2,false)</f>
        <v/>
      </c>
      <c r="E3019" s="65" t="s">
        <v>2040</v>
      </c>
      <c r="F3019" s="83">
        <v>0.34375</v>
      </c>
      <c r="G3019" s="83">
        <v>0.4166666666666667</v>
      </c>
      <c r="H3019" s="83">
        <v>0.07291666666666667</v>
      </c>
      <c r="I3019" s="84">
        <v>44266.0</v>
      </c>
      <c r="J3019" s="65" t="b">
        <v>1</v>
      </c>
      <c r="K3019" s="65"/>
      <c r="L3019" s="85" t="b">
        <f>IF(VLOOKUP(C3019,Projetos!A:L,12,false)=TRUE,TRUE,FALSE)</f>
        <v>1</v>
      </c>
      <c r="M3019" s="74">
        <v>52.48434411075036</v>
      </c>
      <c r="N3019" s="74">
        <f t="shared" si="1"/>
        <v>91.84760219</v>
      </c>
      <c r="O3019" s="74" t="b">
        <v>1</v>
      </c>
    </row>
    <row r="3020" hidden="1">
      <c r="A3020" s="82"/>
      <c r="B3020" s="65" t="s">
        <v>411</v>
      </c>
      <c r="C3020" s="65" t="s">
        <v>117</v>
      </c>
      <c r="D3020" s="65"/>
      <c r="E3020" s="65" t="s">
        <v>2041</v>
      </c>
      <c r="F3020" s="83">
        <v>0.4583333333333333</v>
      </c>
      <c r="G3020" s="83">
        <v>0.5833333333333334</v>
      </c>
      <c r="H3020" s="83">
        <v>0.125</v>
      </c>
      <c r="I3020" s="84">
        <v>44266.0</v>
      </c>
      <c r="J3020" s="65" t="b">
        <v>0</v>
      </c>
      <c r="K3020" s="65" t="s">
        <v>150</v>
      </c>
      <c r="L3020" s="85" t="b">
        <f>IF(VLOOKUP(C3020,Projetos!A:L,12,false)=TRUE,TRUE,FALSE)</f>
        <v>1</v>
      </c>
      <c r="M3020" s="74">
        <v>52.48434411075036</v>
      </c>
      <c r="N3020" s="74">
        <f t="shared" si="1"/>
        <v>0</v>
      </c>
      <c r="O3020" s="74" t="b">
        <v>1</v>
      </c>
    </row>
    <row r="3021" hidden="1">
      <c r="A3021" s="82"/>
      <c r="B3021" s="65" t="s">
        <v>411</v>
      </c>
      <c r="C3021" s="65" t="s">
        <v>117</v>
      </c>
      <c r="D3021" s="65" t="str">
        <f>vlookup(C3021,'Classificação p pessoal'!F:G,2,false)</f>
        <v>NP</v>
      </c>
      <c r="E3021" s="65" t="s">
        <v>2042</v>
      </c>
      <c r="F3021" s="83">
        <v>0.6666666666666666</v>
      </c>
      <c r="G3021" s="83">
        <v>0.75</v>
      </c>
      <c r="H3021" s="83">
        <v>0.08333333333333333</v>
      </c>
      <c r="I3021" s="84">
        <v>44266.0</v>
      </c>
      <c r="J3021" s="65" t="b">
        <v>1</v>
      </c>
      <c r="K3021" s="65"/>
      <c r="L3021" s="85" t="b">
        <f>IF(VLOOKUP(C3021,Projetos!A:L,12,false)=TRUE,TRUE,FALSE)</f>
        <v>1</v>
      </c>
      <c r="M3021" s="74">
        <v>52.48434411075036</v>
      </c>
      <c r="N3021" s="74">
        <f t="shared" si="1"/>
        <v>104.9686882</v>
      </c>
      <c r="O3021" s="74" t="b">
        <v>1</v>
      </c>
    </row>
    <row r="3022" hidden="1">
      <c r="A3022" s="82"/>
      <c r="B3022" s="65" t="s">
        <v>411</v>
      </c>
      <c r="C3022" s="65" t="s">
        <v>130</v>
      </c>
      <c r="D3022" s="65" t="str">
        <f>vlookup(C3022,'Classificação p pessoal'!F:G,2,false)</f>
        <v>NP</v>
      </c>
      <c r="E3022" s="65" t="s">
        <v>2043</v>
      </c>
      <c r="F3022" s="83">
        <v>0.34375</v>
      </c>
      <c r="G3022" s="83">
        <v>0.4583333333333333</v>
      </c>
      <c r="H3022" s="83">
        <v>0.11458333333333333</v>
      </c>
      <c r="I3022" s="84">
        <v>44267.0</v>
      </c>
      <c r="J3022" s="65" t="b">
        <v>1</v>
      </c>
      <c r="K3022" s="65"/>
      <c r="L3022" s="85" t="b">
        <f>IF(VLOOKUP(C3022,Projetos!A:L,12,false)=TRUE,TRUE,FALSE)</f>
        <v>1</v>
      </c>
      <c r="M3022" s="74">
        <v>52.48434411075036</v>
      </c>
      <c r="N3022" s="74">
        <f t="shared" si="1"/>
        <v>144.3319463</v>
      </c>
      <c r="O3022" s="74" t="b">
        <v>1</v>
      </c>
    </row>
    <row r="3023" hidden="1">
      <c r="A3023" s="82"/>
      <c r="B3023" s="65" t="s">
        <v>411</v>
      </c>
      <c r="C3023" s="65" t="s">
        <v>117</v>
      </c>
      <c r="D3023" s="65" t="str">
        <f>vlookup(C3023,'Classificação p pessoal'!F:G,2,false)</f>
        <v>NP</v>
      </c>
      <c r="E3023" s="65" t="s">
        <v>2044</v>
      </c>
      <c r="F3023" s="83">
        <v>0.4583333333333333</v>
      </c>
      <c r="G3023" s="83">
        <v>0.46875</v>
      </c>
      <c r="H3023" s="83">
        <v>0.010416666666666666</v>
      </c>
      <c r="I3023" s="84">
        <v>44267.0</v>
      </c>
      <c r="J3023" s="65" t="b">
        <v>1</v>
      </c>
      <c r="K3023" s="65"/>
      <c r="L3023" s="85" t="b">
        <f>IF(VLOOKUP(C3023,Projetos!A:L,12,false)=TRUE,TRUE,FALSE)</f>
        <v>1</v>
      </c>
      <c r="M3023" s="74">
        <v>52.48434411075036</v>
      </c>
      <c r="N3023" s="74">
        <f t="shared" si="1"/>
        <v>13.12108603</v>
      </c>
      <c r="O3023" s="74" t="b">
        <v>1</v>
      </c>
    </row>
    <row r="3024" hidden="1">
      <c r="A3024" s="82"/>
      <c r="B3024" s="65" t="s">
        <v>411</v>
      </c>
      <c r="C3024" s="65" t="s">
        <v>152</v>
      </c>
      <c r="D3024" s="65" t="str">
        <f>vlookup(C3024,'Classificação p pessoal'!F:G,2,false)</f>
        <v>MProduto</v>
      </c>
      <c r="E3024" s="65" t="s">
        <v>2038</v>
      </c>
      <c r="F3024" s="83">
        <v>0.46875</v>
      </c>
      <c r="G3024" s="83">
        <v>0.5</v>
      </c>
      <c r="H3024" s="83">
        <v>0.03125</v>
      </c>
      <c r="I3024" s="84">
        <v>44267.0</v>
      </c>
      <c r="J3024" s="65" t="b">
        <v>1</v>
      </c>
      <c r="K3024" s="65"/>
      <c r="L3024" s="85" t="b">
        <f>IF(VLOOKUP(C3024,Projetos!A:L,12,false)=TRUE,TRUE,FALSE)</f>
        <v>1</v>
      </c>
      <c r="M3024" s="74">
        <v>52.48434411075036</v>
      </c>
      <c r="N3024" s="74">
        <f t="shared" si="1"/>
        <v>39.36325808</v>
      </c>
      <c r="O3024" s="74" t="b">
        <v>1</v>
      </c>
    </row>
    <row r="3025" hidden="1">
      <c r="A3025" s="82"/>
      <c r="B3025" s="65" t="s">
        <v>411</v>
      </c>
      <c r="C3025" s="65" t="s">
        <v>88</v>
      </c>
      <c r="D3025" s="65" t="str">
        <f>vlookup(C3025,'Classificação p pessoal'!F:G,2,false)</f>
        <v>MProduto</v>
      </c>
      <c r="E3025" s="65" t="s">
        <v>2045</v>
      </c>
      <c r="F3025" s="83">
        <v>0.5</v>
      </c>
      <c r="G3025" s="83">
        <v>0.5208333333333334</v>
      </c>
      <c r="H3025" s="83">
        <v>0.020833333333333332</v>
      </c>
      <c r="I3025" s="84">
        <v>44267.0</v>
      </c>
      <c r="J3025" s="65" t="b">
        <v>1</v>
      </c>
      <c r="K3025" s="65"/>
      <c r="L3025" s="85" t="b">
        <f>IF(VLOOKUP(C3025,Projetos!A:L,12,false)=TRUE,TRUE,FALSE)</f>
        <v>1</v>
      </c>
      <c r="M3025" s="74">
        <v>52.48434411075036</v>
      </c>
      <c r="N3025" s="74">
        <f t="shared" si="1"/>
        <v>26.24217206</v>
      </c>
      <c r="O3025" s="74" t="b">
        <v>1</v>
      </c>
    </row>
    <row r="3026" hidden="1">
      <c r="A3026" s="82"/>
      <c r="B3026" s="65" t="s">
        <v>411</v>
      </c>
      <c r="C3026" s="65" t="s">
        <v>117</v>
      </c>
      <c r="D3026" s="65"/>
      <c r="E3026" s="65" t="s">
        <v>2046</v>
      </c>
      <c r="F3026" s="83">
        <v>0.5625</v>
      </c>
      <c r="G3026" s="83">
        <v>0.75</v>
      </c>
      <c r="H3026" s="83">
        <v>0.1875</v>
      </c>
      <c r="I3026" s="84">
        <v>44267.0</v>
      </c>
      <c r="J3026" s="65" t="b">
        <v>0</v>
      </c>
      <c r="K3026" s="65" t="s">
        <v>150</v>
      </c>
      <c r="L3026" s="85" t="b">
        <f>IF(VLOOKUP(C3026,Projetos!A:L,12,false)=TRUE,TRUE,FALSE)</f>
        <v>1</v>
      </c>
      <c r="M3026" s="74">
        <v>52.48434411075036</v>
      </c>
      <c r="N3026" s="74">
        <f t="shared" si="1"/>
        <v>0</v>
      </c>
      <c r="O3026" s="74" t="b">
        <v>1</v>
      </c>
    </row>
    <row r="3027" hidden="1">
      <c r="A3027" s="82"/>
      <c r="B3027" s="65" t="s">
        <v>411</v>
      </c>
      <c r="C3027" s="65" t="s">
        <v>92</v>
      </c>
      <c r="D3027" s="65" t="str">
        <f>vlookup(C3027,'Classificação p pessoal'!F:G,2,false)</f>
        <v/>
      </c>
      <c r="E3027" s="65" t="s">
        <v>2047</v>
      </c>
      <c r="F3027" s="83">
        <v>0.34375</v>
      </c>
      <c r="G3027" s="83">
        <v>0.3958333333333333</v>
      </c>
      <c r="H3027" s="83">
        <v>0.052083333333333336</v>
      </c>
      <c r="I3027" s="84">
        <v>44270.0</v>
      </c>
      <c r="J3027" s="65" t="b">
        <v>1</v>
      </c>
      <c r="K3027" s="65"/>
      <c r="L3027" s="85" t="b">
        <f>IF(VLOOKUP(C3027,Projetos!A:L,12,false)=TRUE,TRUE,FALSE)</f>
        <v>1</v>
      </c>
      <c r="M3027" s="74">
        <v>52.48434411075036</v>
      </c>
      <c r="N3027" s="74">
        <f t="shared" si="1"/>
        <v>65.60543014</v>
      </c>
      <c r="O3027" s="74" t="b">
        <v>1</v>
      </c>
    </row>
    <row r="3028" hidden="1">
      <c r="A3028" s="82"/>
      <c r="B3028" s="65" t="s">
        <v>411</v>
      </c>
      <c r="C3028" s="65" t="s">
        <v>117</v>
      </c>
      <c r="D3028" s="65" t="str">
        <f>vlookup(C3028,'Classificação p pessoal'!F:G,2,false)</f>
        <v>NP</v>
      </c>
      <c r="E3028" s="65" t="s">
        <v>2048</v>
      </c>
      <c r="F3028" s="83">
        <v>0.3958333333333333</v>
      </c>
      <c r="G3028" s="83">
        <v>0.4583333333333333</v>
      </c>
      <c r="H3028" s="83">
        <v>0.0625</v>
      </c>
      <c r="I3028" s="84">
        <v>44270.0</v>
      </c>
      <c r="J3028" s="65" t="b">
        <v>1</v>
      </c>
      <c r="K3028" s="65"/>
      <c r="L3028" s="85" t="b">
        <f>IF(VLOOKUP(C3028,Projetos!A:L,12,false)=TRUE,TRUE,FALSE)</f>
        <v>1</v>
      </c>
      <c r="M3028" s="74">
        <v>52.48434411075036</v>
      </c>
      <c r="N3028" s="74">
        <f t="shared" si="1"/>
        <v>78.72651617</v>
      </c>
      <c r="O3028" s="74" t="b">
        <v>1</v>
      </c>
    </row>
    <row r="3029" hidden="1">
      <c r="A3029" s="82"/>
      <c r="B3029" s="65" t="s">
        <v>411</v>
      </c>
      <c r="C3029" s="65" t="s">
        <v>92</v>
      </c>
      <c r="D3029" s="65" t="str">
        <f>vlookup(C3029,'Classificação p pessoal'!F:G,2,false)</f>
        <v/>
      </c>
      <c r="E3029" s="65" t="s">
        <v>2049</v>
      </c>
      <c r="F3029" s="83">
        <v>0.4583333333333333</v>
      </c>
      <c r="G3029" s="83">
        <v>0.4895833333333333</v>
      </c>
      <c r="H3029" s="83">
        <v>0.03125</v>
      </c>
      <c r="I3029" s="84">
        <v>44270.0</v>
      </c>
      <c r="J3029" s="65" t="b">
        <v>1</v>
      </c>
      <c r="K3029" s="65"/>
      <c r="L3029" s="85" t="b">
        <f>IF(VLOOKUP(C3029,Projetos!A:L,12,false)=TRUE,TRUE,FALSE)</f>
        <v>1</v>
      </c>
      <c r="M3029" s="74">
        <v>52.48434411075036</v>
      </c>
      <c r="N3029" s="74">
        <f t="shared" si="1"/>
        <v>39.36325808</v>
      </c>
      <c r="O3029" s="74" t="b">
        <v>1</v>
      </c>
    </row>
    <row r="3030" hidden="1">
      <c r="A3030" s="82"/>
      <c r="B3030" s="65" t="s">
        <v>411</v>
      </c>
      <c r="C3030" s="65" t="s">
        <v>117</v>
      </c>
      <c r="D3030" s="65" t="str">
        <f>vlookup(C3030,'Classificação p pessoal'!F:G,2,false)</f>
        <v>NP</v>
      </c>
      <c r="E3030" s="65" t="s">
        <v>2050</v>
      </c>
      <c r="F3030" s="83">
        <v>0.4895833333333333</v>
      </c>
      <c r="G3030" s="83">
        <v>0.5416666666666666</v>
      </c>
      <c r="H3030" s="83">
        <v>0.052083333333333336</v>
      </c>
      <c r="I3030" s="84">
        <v>44270.0</v>
      </c>
      <c r="J3030" s="65" t="b">
        <v>1</v>
      </c>
      <c r="K3030" s="65"/>
      <c r="L3030" s="85" t="b">
        <f>IF(VLOOKUP(C3030,Projetos!A:L,12,false)=TRUE,TRUE,FALSE)</f>
        <v>1</v>
      </c>
      <c r="M3030" s="74">
        <v>52.48434411075036</v>
      </c>
      <c r="N3030" s="74">
        <f t="shared" si="1"/>
        <v>65.60543014</v>
      </c>
      <c r="O3030" s="74" t="b">
        <v>1</v>
      </c>
    </row>
    <row r="3031" hidden="1">
      <c r="A3031" s="82"/>
      <c r="B3031" s="65" t="s">
        <v>177</v>
      </c>
      <c r="C3031" s="65" t="s">
        <v>117</v>
      </c>
      <c r="D3031" s="65" t="str">
        <f>vlookup(C3031,'Classificação p pessoal'!F:G,2,false)</f>
        <v>NP</v>
      </c>
      <c r="E3031" s="65" t="s">
        <v>2051</v>
      </c>
      <c r="F3031" s="83">
        <v>0.4375</v>
      </c>
      <c r="G3031" s="83">
        <v>0.4791666666666667</v>
      </c>
      <c r="H3031" s="83">
        <v>0.041666666666666664</v>
      </c>
      <c r="I3031" s="84">
        <v>44510.0</v>
      </c>
      <c r="J3031" s="65" t="b">
        <v>1</v>
      </c>
      <c r="K3031" s="65"/>
      <c r="L3031" s="85" t="b">
        <f>IF(VLOOKUP(C3031,Projetos!A:L,12,false)=TRUE,TRUE,FALSE)</f>
        <v>1</v>
      </c>
      <c r="M3031" s="74">
        <v>31.02923620430495</v>
      </c>
      <c r="N3031" s="74">
        <f t="shared" si="1"/>
        <v>31.0292362</v>
      </c>
      <c r="O3031" s="74" t="b">
        <v>1</v>
      </c>
    </row>
    <row r="3032" hidden="1">
      <c r="A3032" s="82"/>
      <c r="B3032" s="65" t="s">
        <v>411</v>
      </c>
      <c r="C3032" s="65" t="s">
        <v>117</v>
      </c>
      <c r="D3032" s="65" t="str">
        <f>vlookup(C3032,'Classificação p pessoal'!F:G,2,false)</f>
        <v>NP</v>
      </c>
      <c r="E3032" s="65" t="s">
        <v>2052</v>
      </c>
      <c r="F3032" s="83">
        <v>0.6875</v>
      </c>
      <c r="G3032" s="83">
        <v>0.75</v>
      </c>
      <c r="H3032" s="83">
        <v>0.0625</v>
      </c>
      <c r="I3032" s="84">
        <v>44270.0</v>
      </c>
      <c r="J3032" s="65" t="b">
        <v>1</v>
      </c>
      <c r="K3032" s="65"/>
      <c r="L3032" s="85" t="b">
        <f>IF(VLOOKUP(C3032,Projetos!A:L,12,false)=TRUE,TRUE,FALSE)</f>
        <v>1</v>
      </c>
      <c r="M3032" s="74">
        <v>52.48434411075036</v>
      </c>
      <c r="N3032" s="74">
        <f t="shared" si="1"/>
        <v>78.72651617</v>
      </c>
      <c r="O3032" s="74" t="b">
        <v>1</v>
      </c>
    </row>
    <row r="3033" hidden="1">
      <c r="A3033" s="82"/>
      <c r="B3033" s="65" t="s">
        <v>411</v>
      </c>
      <c r="C3033" s="65" t="s">
        <v>130</v>
      </c>
      <c r="D3033" s="65" t="str">
        <f>vlookup(C3033,'Classificação p pessoal'!F:G,2,false)</f>
        <v>NP</v>
      </c>
      <c r="E3033" s="65" t="s">
        <v>2053</v>
      </c>
      <c r="F3033" s="83">
        <v>0.34375</v>
      </c>
      <c r="G3033" s="83">
        <v>0.375</v>
      </c>
      <c r="H3033" s="83">
        <v>0.03125</v>
      </c>
      <c r="I3033" s="84">
        <v>44271.0</v>
      </c>
      <c r="J3033" s="65" t="b">
        <v>1</v>
      </c>
      <c r="K3033" s="65"/>
      <c r="L3033" s="85" t="b">
        <f>IF(VLOOKUP(C3033,Projetos!A:L,12,false)=TRUE,TRUE,FALSE)</f>
        <v>1</v>
      </c>
      <c r="M3033" s="74">
        <v>52.48434411075036</v>
      </c>
      <c r="N3033" s="74">
        <f t="shared" si="1"/>
        <v>39.36325808</v>
      </c>
      <c r="O3033" s="74" t="b">
        <v>1</v>
      </c>
    </row>
    <row r="3034" hidden="1">
      <c r="A3034" s="82"/>
      <c r="B3034" s="65" t="s">
        <v>411</v>
      </c>
      <c r="C3034" s="65" t="s">
        <v>120</v>
      </c>
      <c r="D3034" s="65"/>
      <c r="E3034" s="65" t="s">
        <v>2054</v>
      </c>
      <c r="F3034" s="83">
        <v>0.4791666666666667</v>
      </c>
      <c r="G3034" s="83">
        <v>0.5</v>
      </c>
      <c r="H3034" s="83">
        <v>0.020833333333333332</v>
      </c>
      <c r="I3034" s="84">
        <v>44509.0</v>
      </c>
      <c r="J3034" s="65" t="b">
        <v>0</v>
      </c>
      <c r="K3034" s="65" t="s">
        <v>150</v>
      </c>
      <c r="L3034" s="85" t="b">
        <f>IF(VLOOKUP(C3034,Projetos!A:L,12,false)=TRUE,TRUE,FALSE)</f>
        <v>0</v>
      </c>
      <c r="M3034" s="74">
        <v>52.48434411075036</v>
      </c>
      <c r="N3034" s="74">
        <f t="shared" si="1"/>
        <v>0</v>
      </c>
      <c r="O3034" s="74" t="b">
        <v>0</v>
      </c>
    </row>
    <row r="3035" hidden="1">
      <c r="A3035" s="82"/>
      <c r="B3035" s="65" t="s">
        <v>411</v>
      </c>
      <c r="C3035" s="65" t="s">
        <v>117</v>
      </c>
      <c r="D3035" s="65"/>
      <c r="E3035" s="65" t="s">
        <v>2055</v>
      </c>
      <c r="F3035" s="83">
        <v>0.3958333333333333</v>
      </c>
      <c r="G3035" s="83">
        <v>0.4166666666666667</v>
      </c>
      <c r="H3035" s="83">
        <v>0.020833333333333332</v>
      </c>
      <c r="I3035" s="84">
        <v>44271.0</v>
      </c>
      <c r="J3035" s="65" t="b">
        <v>0</v>
      </c>
      <c r="K3035" s="65" t="s">
        <v>150</v>
      </c>
      <c r="L3035" s="85" t="b">
        <f>IF(VLOOKUP(C3035,Projetos!A:L,12,false)=TRUE,TRUE,FALSE)</f>
        <v>1</v>
      </c>
      <c r="M3035" s="74">
        <v>52.48434411075036</v>
      </c>
      <c r="N3035" s="74">
        <f t="shared" si="1"/>
        <v>0</v>
      </c>
      <c r="O3035" s="74" t="b">
        <v>1</v>
      </c>
    </row>
    <row r="3036" hidden="1">
      <c r="A3036" s="82"/>
      <c r="B3036" s="65" t="s">
        <v>411</v>
      </c>
      <c r="C3036" s="65" t="s">
        <v>117</v>
      </c>
      <c r="D3036" s="65" t="str">
        <f>vlookup(C3036,'Classificação p pessoal'!F:G,2,false)</f>
        <v>NP</v>
      </c>
      <c r="E3036" s="65" t="s">
        <v>2056</v>
      </c>
      <c r="F3036" s="83">
        <v>0.4583333333333333</v>
      </c>
      <c r="G3036" s="83">
        <v>0.5</v>
      </c>
      <c r="H3036" s="83">
        <v>0.041666666666666664</v>
      </c>
      <c r="I3036" s="84">
        <v>44271.0</v>
      </c>
      <c r="J3036" s="65" t="b">
        <v>1</v>
      </c>
      <c r="K3036" s="65"/>
      <c r="L3036" s="85" t="b">
        <f>IF(VLOOKUP(C3036,Projetos!A:L,12,false)=TRUE,TRUE,FALSE)</f>
        <v>1</v>
      </c>
      <c r="M3036" s="74">
        <v>52.48434411075036</v>
      </c>
      <c r="N3036" s="74">
        <f t="shared" si="1"/>
        <v>52.48434411</v>
      </c>
      <c r="O3036" s="74" t="b">
        <v>1</v>
      </c>
    </row>
    <row r="3037" hidden="1">
      <c r="A3037" s="82"/>
      <c r="B3037" s="65" t="s">
        <v>411</v>
      </c>
      <c r="C3037" s="65" t="s">
        <v>117</v>
      </c>
      <c r="D3037" s="65"/>
      <c r="E3037" s="65" t="s">
        <v>2057</v>
      </c>
      <c r="F3037" s="83">
        <v>0.5416666666666666</v>
      </c>
      <c r="G3037" s="83">
        <v>0.75</v>
      </c>
      <c r="H3037" s="83">
        <v>0.20833333333333334</v>
      </c>
      <c r="I3037" s="84">
        <v>44271.0</v>
      </c>
      <c r="J3037" s="65" t="b">
        <v>0</v>
      </c>
      <c r="K3037" s="65" t="s">
        <v>150</v>
      </c>
      <c r="L3037" s="85" t="b">
        <f>IF(VLOOKUP(C3037,Projetos!A:L,12,false)=TRUE,TRUE,FALSE)</f>
        <v>1</v>
      </c>
      <c r="M3037" s="74">
        <v>52.48434411075036</v>
      </c>
      <c r="N3037" s="74">
        <f t="shared" si="1"/>
        <v>0</v>
      </c>
      <c r="O3037" s="74" t="b">
        <v>1</v>
      </c>
    </row>
    <row r="3038" hidden="1">
      <c r="A3038" s="82"/>
      <c r="B3038" s="65" t="s">
        <v>411</v>
      </c>
      <c r="C3038" s="65" t="s">
        <v>117</v>
      </c>
      <c r="D3038" s="65" t="str">
        <f>vlookup(C3038,'Classificação p pessoal'!F:G,2,false)</f>
        <v>NP</v>
      </c>
      <c r="E3038" s="65" t="s">
        <v>2056</v>
      </c>
      <c r="F3038" s="83">
        <v>0.34375</v>
      </c>
      <c r="G3038" s="83">
        <v>0.3854166666666667</v>
      </c>
      <c r="H3038" s="83">
        <v>0.041666666666666664</v>
      </c>
      <c r="I3038" s="84">
        <v>44272.0</v>
      </c>
      <c r="J3038" s="65" t="b">
        <v>1</v>
      </c>
      <c r="K3038" s="65"/>
      <c r="L3038" s="85" t="b">
        <f>IF(VLOOKUP(C3038,Projetos!A:L,12,false)=TRUE,TRUE,FALSE)</f>
        <v>1</v>
      </c>
      <c r="M3038" s="74">
        <v>52.48434411075036</v>
      </c>
      <c r="N3038" s="74">
        <f t="shared" si="1"/>
        <v>52.48434411</v>
      </c>
      <c r="O3038" s="74" t="b">
        <v>1</v>
      </c>
    </row>
    <row r="3039" hidden="1">
      <c r="A3039" s="82"/>
      <c r="B3039" s="65" t="s">
        <v>411</v>
      </c>
      <c r="C3039" s="65" t="s">
        <v>117</v>
      </c>
      <c r="D3039" s="65"/>
      <c r="E3039" s="65" t="s">
        <v>2058</v>
      </c>
      <c r="F3039" s="83">
        <v>0.3854166666666667</v>
      </c>
      <c r="G3039" s="83">
        <v>0.625</v>
      </c>
      <c r="H3039" s="83">
        <v>0.23958333333333334</v>
      </c>
      <c r="I3039" s="84">
        <v>44272.0</v>
      </c>
      <c r="J3039" s="65" t="b">
        <v>0</v>
      </c>
      <c r="K3039" s="65" t="s">
        <v>150</v>
      </c>
      <c r="L3039" s="85" t="b">
        <f>IF(VLOOKUP(C3039,Projetos!A:L,12,false)=TRUE,TRUE,FALSE)</f>
        <v>1</v>
      </c>
      <c r="M3039" s="74">
        <v>52.48434411075036</v>
      </c>
      <c r="N3039" s="74">
        <f t="shared" si="1"/>
        <v>0</v>
      </c>
      <c r="O3039" s="74" t="b">
        <v>1</v>
      </c>
    </row>
    <row r="3040" hidden="1">
      <c r="A3040" s="82"/>
      <c r="B3040" s="65" t="s">
        <v>411</v>
      </c>
      <c r="C3040" s="65" t="s">
        <v>117</v>
      </c>
      <c r="D3040" s="65" t="str">
        <f>vlookup(C3040,'Classificação p pessoal'!F:G,2,false)</f>
        <v>NP</v>
      </c>
      <c r="E3040" s="65" t="s">
        <v>2059</v>
      </c>
      <c r="F3040" s="83">
        <v>0.6666666666666666</v>
      </c>
      <c r="G3040" s="83">
        <v>0.6875</v>
      </c>
      <c r="H3040" s="83">
        <v>0.020833333333333332</v>
      </c>
      <c r="I3040" s="84">
        <v>44272.0</v>
      </c>
      <c r="J3040" s="65" t="b">
        <v>1</v>
      </c>
      <c r="K3040" s="65"/>
      <c r="L3040" s="85" t="b">
        <f>IF(VLOOKUP(C3040,Projetos!A:L,12,false)=TRUE,TRUE,FALSE)</f>
        <v>1</v>
      </c>
      <c r="M3040" s="74">
        <v>52.48434411075036</v>
      </c>
      <c r="N3040" s="74">
        <f t="shared" si="1"/>
        <v>26.24217206</v>
      </c>
      <c r="O3040" s="74" t="b">
        <v>1</v>
      </c>
    </row>
    <row r="3041" hidden="1">
      <c r="A3041" s="82"/>
      <c r="B3041" s="65" t="s">
        <v>411</v>
      </c>
      <c r="C3041" s="65" t="s">
        <v>130</v>
      </c>
      <c r="D3041" s="65" t="str">
        <f>vlookup(C3041,'Classificação p pessoal'!F:G,2,false)</f>
        <v>NP</v>
      </c>
      <c r="E3041" s="65" t="s">
        <v>2060</v>
      </c>
      <c r="F3041" s="83">
        <v>0.6875</v>
      </c>
      <c r="G3041" s="83">
        <v>0.75</v>
      </c>
      <c r="H3041" s="83">
        <v>0.0625</v>
      </c>
      <c r="I3041" s="84">
        <v>44272.0</v>
      </c>
      <c r="J3041" s="65" t="b">
        <v>1</v>
      </c>
      <c r="K3041" s="65"/>
      <c r="L3041" s="85" t="b">
        <f>IF(VLOOKUP(C3041,Projetos!A:L,12,false)=TRUE,TRUE,FALSE)</f>
        <v>1</v>
      </c>
      <c r="M3041" s="74">
        <v>52.48434411075036</v>
      </c>
      <c r="N3041" s="74">
        <f t="shared" si="1"/>
        <v>78.72651617</v>
      </c>
      <c r="O3041" s="74" t="b">
        <v>1</v>
      </c>
    </row>
    <row r="3042" hidden="1">
      <c r="A3042" s="82"/>
      <c r="B3042" s="65" t="s">
        <v>411</v>
      </c>
      <c r="C3042" s="65" t="s">
        <v>92</v>
      </c>
      <c r="D3042" s="65"/>
      <c r="E3042" s="65" t="s">
        <v>2061</v>
      </c>
      <c r="F3042" s="83">
        <v>0.34375</v>
      </c>
      <c r="G3042" s="83">
        <v>0.375</v>
      </c>
      <c r="H3042" s="83">
        <v>0.03125</v>
      </c>
      <c r="I3042" s="84">
        <v>44273.0</v>
      </c>
      <c r="J3042" s="65" t="b">
        <v>0</v>
      </c>
      <c r="K3042" s="65" t="s">
        <v>150</v>
      </c>
      <c r="L3042" s="85" t="b">
        <f>IF(VLOOKUP(C3042,Projetos!A:L,12,false)=TRUE,TRUE,FALSE)</f>
        <v>1</v>
      </c>
      <c r="M3042" s="74">
        <v>52.48434411075036</v>
      </c>
      <c r="N3042" s="74">
        <f t="shared" si="1"/>
        <v>0</v>
      </c>
      <c r="O3042" s="74" t="b">
        <v>1</v>
      </c>
    </row>
    <row r="3043" hidden="1">
      <c r="A3043" s="82"/>
      <c r="B3043" s="65" t="s">
        <v>411</v>
      </c>
      <c r="C3043" s="65" t="s">
        <v>120</v>
      </c>
      <c r="D3043" s="65"/>
      <c r="E3043" s="65" t="s">
        <v>2062</v>
      </c>
      <c r="F3043" s="83">
        <v>0.3958333333333333</v>
      </c>
      <c r="G3043" s="83">
        <v>0.4166666666666667</v>
      </c>
      <c r="H3043" s="83">
        <v>0.020833333333333332</v>
      </c>
      <c r="I3043" s="84">
        <v>44273.0</v>
      </c>
      <c r="J3043" s="65" t="b">
        <v>0</v>
      </c>
      <c r="K3043" s="65" t="s">
        <v>150</v>
      </c>
      <c r="L3043" s="85" t="b">
        <f>IF(VLOOKUP(C3043,Projetos!A:L,12,false)=TRUE,TRUE,FALSE)</f>
        <v>0</v>
      </c>
      <c r="M3043" s="74">
        <v>52.48434411075036</v>
      </c>
      <c r="N3043" s="74">
        <f t="shared" si="1"/>
        <v>0</v>
      </c>
      <c r="O3043" s="74" t="b">
        <v>0</v>
      </c>
    </row>
    <row r="3044" hidden="1">
      <c r="A3044" s="82"/>
      <c r="B3044" s="65" t="s">
        <v>411</v>
      </c>
      <c r="C3044" s="65" t="s">
        <v>117</v>
      </c>
      <c r="D3044" s="65" t="str">
        <f>vlookup(C3044,'Classificação p pessoal'!F:G,2,false)</f>
        <v>NP</v>
      </c>
      <c r="E3044" s="65" t="s">
        <v>2063</v>
      </c>
      <c r="F3044" s="83">
        <v>0.4166666666666667</v>
      </c>
      <c r="G3044" s="83">
        <v>0.4479166666666667</v>
      </c>
      <c r="H3044" s="83">
        <v>0.03125</v>
      </c>
      <c r="I3044" s="84">
        <v>44273.0</v>
      </c>
      <c r="J3044" s="65" t="b">
        <v>1</v>
      </c>
      <c r="K3044" s="65"/>
      <c r="L3044" s="85" t="b">
        <f>IF(VLOOKUP(C3044,Projetos!A:L,12,false)=TRUE,TRUE,FALSE)</f>
        <v>1</v>
      </c>
      <c r="M3044" s="74">
        <v>52.48434411075036</v>
      </c>
      <c r="N3044" s="74">
        <f t="shared" si="1"/>
        <v>39.36325808</v>
      </c>
      <c r="O3044" s="74" t="b">
        <v>1</v>
      </c>
    </row>
    <row r="3045" hidden="1">
      <c r="A3045" s="82"/>
      <c r="B3045" s="65" t="s">
        <v>411</v>
      </c>
      <c r="C3045" s="65" t="s">
        <v>117</v>
      </c>
      <c r="D3045" s="65" t="str">
        <f>vlookup(C3045,'Classificação p pessoal'!F:G,2,false)</f>
        <v>NP</v>
      </c>
      <c r="E3045" s="65" t="s">
        <v>2064</v>
      </c>
      <c r="F3045" s="83">
        <v>0.4479166666666667</v>
      </c>
      <c r="G3045" s="83">
        <v>0.5208333333333334</v>
      </c>
      <c r="H3045" s="83">
        <v>0.07291666666666667</v>
      </c>
      <c r="I3045" s="84">
        <v>44273.0</v>
      </c>
      <c r="J3045" s="65" t="b">
        <v>1</v>
      </c>
      <c r="K3045" s="65"/>
      <c r="L3045" s="85" t="b">
        <f>IF(VLOOKUP(C3045,Projetos!A:L,12,false)=TRUE,TRUE,FALSE)</f>
        <v>1</v>
      </c>
      <c r="M3045" s="74">
        <v>52.48434411075036</v>
      </c>
      <c r="N3045" s="74">
        <f t="shared" si="1"/>
        <v>91.84760219</v>
      </c>
      <c r="O3045" s="74" t="b">
        <v>1</v>
      </c>
    </row>
    <row r="3046" hidden="1">
      <c r="A3046" s="82"/>
      <c r="B3046" s="65" t="s">
        <v>411</v>
      </c>
      <c r="C3046" s="65" t="s">
        <v>117</v>
      </c>
      <c r="D3046" s="65"/>
      <c r="E3046" s="65" t="s">
        <v>2065</v>
      </c>
      <c r="F3046" s="83">
        <v>0.5625</v>
      </c>
      <c r="G3046" s="83">
        <v>0.75</v>
      </c>
      <c r="H3046" s="83">
        <v>0.1875</v>
      </c>
      <c r="I3046" s="84">
        <v>44273.0</v>
      </c>
      <c r="J3046" s="65" t="b">
        <v>0</v>
      </c>
      <c r="K3046" s="65" t="s">
        <v>150</v>
      </c>
      <c r="L3046" s="85" t="b">
        <f>IF(VLOOKUP(C3046,Projetos!A:L,12,false)=TRUE,TRUE,FALSE)</f>
        <v>1</v>
      </c>
      <c r="M3046" s="74">
        <v>52.48434411075036</v>
      </c>
      <c r="N3046" s="74">
        <f t="shared" si="1"/>
        <v>0</v>
      </c>
      <c r="O3046" s="74" t="b">
        <v>1</v>
      </c>
    </row>
    <row r="3047" hidden="1">
      <c r="A3047" s="82"/>
      <c r="B3047" s="65" t="s">
        <v>411</v>
      </c>
      <c r="C3047" s="65" t="s">
        <v>92</v>
      </c>
      <c r="D3047" s="65" t="str">
        <f>vlookup(C3047,'Classificação p pessoal'!F:G,2,false)</f>
        <v/>
      </c>
      <c r="E3047" s="65" t="s">
        <v>2066</v>
      </c>
      <c r="F3047" s="83">
        <v>0.34375</v>
      </c>
      <c r="G3047" s="83">
        <v>0.3541666666666667</v>
      </c>
      <c r="H3047" s="83">
        <v>0.010416666666666666</v>
      </c>
      <c r="I3047" s="84">
        <v>44274.0</v>
      </c>
      <c r="J3047" s="65" t="b">
        <v>1</v>
      </c>
      <c r="K3047" s="65"/>
      <c r="L3047" s="85" t="b">
        <f>IF(VLOOKUP(C3047,Projetos!A:L,12,false)=TRUE,TRUE,FALSE)</f>
        <v>1</v>
      </c>
      <c r="M3047" s="74">
        <v>52.48434411075036</v>
      </c>
      <c r="N3047" s="74">
        <f t="shared" si="1"/>
        <v>13.12108603</v>
      </c>
      <c r="O3047" s="74" t="b">
        <v>1</v>
      </c>
    </row>
    <row r="3048" hidden="1">
      <c r="A3048" s="82"/>
      <c r="B3048" s="65" t="s">
        <v>411</v>
      </c>
      <c r="C3048" s="65" t="s">
        <v>119</v>
      </c>
      <c r="D3048" s="65" t="str">
        <f>vlookup(C3048,'Classificação p pessoal'!F:G,2,false)</f>
        <v>NP</v>
      </c>
      <c r="E3048" s="65" t="s">
        <v>2067</v>
      </c>
      <c r="F3048" s="83">
        <v>0.3541666666666667</v>
      </c>
      <c r="G3048" s="83">
        <v>0.375</v>
      </c>
      <c r="H3048" s="83">
        <v>0.020833333333333332</v>
      </c>
      <c r="I3048" s="84">
        <v>44274.0</v>
      </c>
      <c r="J3048" s="65" t="b">
        <v>1</v>
      </c>
      <c r="K3048" s="65"/>
      <c r="L3048" s="85" t="b">
        <f>IF(VLOOKUP(C3048,Projetos!A:L,12,false)=TRUE,TRUE,FALSE)</f>
        <v>1</v>
      </c>
      <c r="M3048" s="74">
        <v>52.48434411075036</v>
      </c>
      <c r="N3048" s="74">
        <f t="shared" si="1"/>
        <v>26.24217206</v>
      </c>
      <c r="O3048" s="74" t="b">
        <v>1</v>
      </c>
    </row>
    <row r="3049" hidden="1">
      <c r="A3049" s="82"/>
      <c r="B3049" s="65" t="s">
        <v>411</v>
      </c>
      <c r="C3049" s="65" t="s">
        <v>101</v>
      </c>
      <c r="D3049" s="65" t="str">
        <f>vlookup(C3049,'Classificação p pessoal'!F:G,2,false)</f>
        <v>NP</v>
      </c>
      <c r="E3049" s="65" t="s">
        <v>2068</v>
      </c>
      <c r="F3049" s="83">
        <v>0.375</v>
      </c>
      <c r="G3049" s="83">
        <v>0.4166666666666667</v>
      </c>
      <c r="H3049" s="83">
        <v>0.041666666666666664</v>
      </c>
      <c r="I3049" s="84">
        <v>44274.0</v>
      </c>
      <c r="J3049" s="65" t="b">
        <v>1</v>
      </c>
      <c r="K3049" s="65"/>
      <c r="L3049" s="85" t="b">
        <f>IF(VLOOKUP(C3049,Projetos!A:L,12,false)=TRUE,TRUE,FALSE)</f>
        <v>1</v>
      </c>
      <c r="M3049" s="74">
        <v>52.48434411075036</v>
      </c>
      <c r="N3049" s="74">
        <f t="shared" si="1"/>
        <v>52.48434411</v>
      </c>
      <c r="O3049" s="74" t="b">
        <v>1</v>
      </c>
    </row>
    <row r="3050" hidden="1">
      <c r="A3050" s="82"/>
      <c r="B3050" s="65" t="s">
        <v>411</v>
      </c>
      <c r="C3050" s="65" t="s">
        <v>117</v>
      </c>
      <c r="D3050" s="65" t="str">
        <f>vlookup(C3050,'Classificação p pessoal'!F:G,2,false)</f>
        <v>NP</v>
      </c>
      <c r="E3050" s="65" t="s">
        <v>2069</v>
      </c>
      <c r="F3050" s="83">
        <v>0.4166666666666667</v>
      </c>
      <c r="G3050" s="83">
        <v>0.5208333333333334</v>
      </c>
      <c r="H3050" s="83">
        <v>0.10416666666666667</v>
      </c>
      <c r="I3050" s="84">
        <v>44274.0</v>
      </c>
      <c r="J3050" s="65" t="b">
        <v>1</v>
      </c>
      <c r="K3050" s="65"/>
      <c r="L3050" s="85" t="b">
        <f>IF(VLOOKUP(C3050,Projetos!A:L,12,false)=TRUE,TRUE,FALSE)</f>
        <v>1</v>
      </c>
      <c r="M3050" s="74">
        <v>52.48434411075036</v>
      </c>
      <c r="N3050" s="74">
        <f t="shared" si="1"/>
        <v>131.2108603</v>
      </c>
      <c r="O3050" s="74" t="b">
        <v>1</v>
      </c>
    </row>
    <row r="3051" hidden="1">
      <c r="A3051" s="82"/>
      <c r="B3051" s="65" t="s">
        <v>411</v>
      </c>
      <c r="C3051" s="65" t="s">
        <v>119</v>
      </c>
      <c r="D3051" s="65"/>
      <c r="E3051" s="65" t="s">
        <v>2070</v>
      </c>
      <c r="F3051" s="83">
        <v>0.3958333333333333</v>
      </c>
      <c r="G3051" s="83">
        <v>0.4166666666666667</v>
      </c>
      <c r="H3051" s="83">
        <v>0.020833333333333332</v>
      </c>
      <c r="I3051" s="84">
        <v>44411.0</v>
      </c>
      <c r="J3051" s="65" t="b">
        <v>0</v>
      </c>
      <c r="K3051" s="65" t="s">
        <v>150</v>
      </c>
      <c r="L3051" s="85" t="b">
        <f>IF(VLOOKUP(C3051,Projetos!A:L,12,false)=TRUE,TRUE,FALSE)</f>
        <v>1</v>
      </c>
      <c r="M3051" s="74">
        <v>52.48434411075036</v>
      </c>
      <c r="N3051" s="74">
        <f t="shared" si="1"/>
        <v>0</v>
      </c>
      <c r="O3051" s="74" t="b">
        <v>1</v>
      </c>
    </row>
    <row r="3052" hidden="1">
      <c r="A3052" s="82"/>
      <c r="B3052" s="65" t="s">
        <v>411</v>
      </c>
      <c r="C3052" s="65" t="s">
        <v>125</v>
      </c>
      <c r="D3052" s="65" t="str">
        <f>vlookup(C3052,'Classificação p pessoal'!F:G,2,false)</f>
        <v>MProduto</v>
      </c>
      <c r="E3052" s="65" t="s">
        <v>2071</v>
      </c>
      <c r="F3052" s="83">
        <v>0.625</v>
      </c>
      <c r="G3052" s="83">
        <v>0.7083333333333334</v>
      </c>
      <c r="H3052" s="83">
        <v>0.08333333333333333</v>
      </c>
      <c r="I3052" s="84">
        <v>44274.0</v>
      </c>
      <c r="J3052" s="65" t="b">
        <v>1</v>
      </c>
      <c r="K3052" s="65"/>
      <c r="L3052" s="85" t="b">
        <f>IF(VLOOKUP(C3052,Projetos!A:L,12,false)=TRUE,TRUE,FALSE)</f>
        <v>1</v>
      </c>
      <c r="M3052" s="74">
        <v>52.48434411075036</v>
      </c>
      <c r="N3052" s="74">
        <f t="shared" si="1"/>
        <v>104.9686882</v>
      </c>
      <c r="O3052" s="74" t="b">
        <v>1</v>
      </c>
    </row>
    <row r="3053" hidden="1">
      <c r="A3053" s="82"/>
      <c r="B3053" s="65" t="s">
        <v>411</v>
      </c>
      <c r="C3053" s="65" t="s">
        <v>117</v>
      </c>
      <c r="D3053" s="65" t="str">
        <f>vlookup(C3053,'Classificação p pessoal'!F:G,2,false)</f>
        <v>NP</v>
      </c>
      <c r="E3053" s="65" t="s">
        <v>2072</v>
      </c>
      <c r="F3053" s="83">
        <v>0.7083333333333334</v>
      </c>
      <c r="G3053" s="83">
        <v>0.7291666666666666</v>
      </c>
      <c r="H3053" s="83">
        <v>0.020833333333333332</v>
      </c>
      <c r="I3053" s="84">
        <v>44274.0</v>
      </c>
      <c r="J3053" s="65" t="b">
        <v>1</v>
      </c>
      <c r="K3053" s="65"/>
      <c r="L3053" s="85" t="b">
        <f>IF(VLOOKUP(C3053,Projetos!A:L,12,false)=TRUE,TRUE,FALSE)</f>
        <v>1</v>
      </c>
      <c r="M3053" s="74">
        <v>52.48434411075036</v>
      </c>
      <c r="N3053" s="74">
        <f t="shared" si="1"/>
        <v>26.24217206</v>
      </c>
      <c r="O3053" s="74" t="b">
        <v>1</v>
      </c>
    </row>
    <row r="3054" hidden="1">
      <c r="A3054" s="82"/>
      <c r="B3054" s="65" t="s">
        <v>411</v>
      </c>
      <c r="C3054" s="65" t="s">
        <v>125</v>
      </c>
      <c r="D3054" s="65" t="str">
        <f>vlookup(C3054,'Classificação p pessoal'!F:G,2,false)</f>
        <v>MProduto</v>
      </c>
      <c r="E3054" s="65" t="s">
        <v>2073</v>
      </c>
      <c r="F3054" s="83">
        <v>0.34375</v>
      </c>
      <c r="G3054" s="83">
        <v>0.375</v>
      </c>
      <c r="H3054" s="83">
        <v>0.03125</v>
      </c>
      <c r="I3054" s="84">
        <v>44277.0</v>
      </c>
      <c r="J3054" s="65" t="b">
        <v>1</v>
      </c>
      <c r="K3054" s="65"/>
      <c r="L3054" s="85" t="b">
        <f>IF(VLOOKUP(C3054,Projetos!A:L,12,false)=TRUE,TRUE,FALSE)</f>
        <v>1</v>
      </c>
      <c r="M3054" s="74">
        <v>52.48434411075036</v>
      </c>
      <c r="N3054" s="74">
        <f t="shared" si="1"/>
        <v>39.36325808</v>
      </c>
      <c r="O3054" s="74" t="b">
        <v>1</v>
      </c>
    </row>
    <row r="3055" hidden="1">
      <c r="A3055" s="82"/>
      <c r="B3055" s="65" t="s">
        <v>411</v>
      </c>
      <c r="C3055" s="65" t="s">
        <v>92</v>
      </c>
      <c r="D3055" s="65" t="str">
        <f>vlookup(C3055,'Classificação p pessoal'!F:G,2,false)</f>
        <v/>
      </c>
      <c r="E3055" s="65" t="s">
        <v>2074</v>
      </c>
      <c r="F3055" s="83">
        <v>0.3958333333333333</v>
      </c>
      <c r="G3055" s="83">
        <v>0.4166666666666667</v>
      </c>
      <c r="H3055" s="83">
        <v>0.020833333333333332</v>
      </c>
      <c r="I3055" s="84">
        <v>44277.0</v>
      </c>
      <c r="J3055" s="65" t="b">
        <v>1</v>
      </c>
      <c r="K3055" s="65"/>
      <c r="L3055" s="85" t="b">
        <f>IF(VLOOKUP(C3055,Projetos!A:L,12,false)=TRUE,TRUE,FALSE)</f>
        <v>1</v>
      </c>
      <c r="M3055" s="74">
        <v>52.48434411075036</v>
      </c>
      <c r="N3055" s="74">
        <f t="shared" si="1"/>
        <v>26.24217206</v>
      </c>
      <c r="O3055" s="74" t="b">
        <v>1</v>
      </c>
    </row>
    <row r="3056" hidden="1">
      <c r="A3056" s="82"/>
      <c r="B3056" s="65" t="s">
        <v>411</v>
      </c>
      <c r="C3056" s="65" t="s">
        <v>119</v>
      </c>
      <c r="D3056" s="65" t="str">
        <f>vlookup(C3056,'Classificação p pessoal'!F:G,2,false)</f>
        <v>NP</v>
      </c>
      <c r="E3056" s="65" t="s">
        <v>2075</v>
      </c>
      <c r="F3056" s="83">
        <v>0.4166666666666667</v>
      </c>
      <c r="G3056" s="83">
        <v>0.4583333333333333</v>
      </c>
      <c r="H3056" s="83">
        <v>0.041666666666666664</v>
      </c>
      <c r="I3056" s="84">
        <v>44277.0</v>
      </c>
      <c r="J3056" s="65" t="b">
        <v>1</v>
      </c>
      <c r="K3056" s="65"/>
      <c r="L3056" s="85" t="b">
        <f>IF(VLOOKUP(C3056,Projetos!A:L,12,false)=TRUE,TRUE,FALSE)</f>
        <v>1</v>
      </c>
      <c r="M3056" s="74">
        <v>52.48434411075036</v>
      </c>
      <c r="N3056" s="74">
        <f t="shared" si="1"/>
        <v>52.48434411</v>
      </c>
      <c r="O3056" s="74" t="b">
        <v>1</v>
      </c>
    </row>
    <row r="3057" hidden="1">
      <c r="A3057" s="82"/>
      <c r="B3057" s="65" t="s">
        <v>411</v>
      </c>
      <c r="C3057" s="65" t="s">
        <v>92</v>
      </c>
      <c r="D3057" s="65" t="str">
        <f>vlookup(C3057,'Classificação p pessoal'!F:G,2,false)</f>
        <v/>
      </c>
      <c r="E3057" s="65" t="s">
        <v>2076</v>
      </c>
      <c r="F3057" s="83">
        <v>0.4583333333333333</v>
      </c>
      <c r="G3057" s="83">
        <v>0.5208333333333334</v>
      </c>
      <c r="H3057" s="83">
        <v>0.0625</v>
      </c>
      <c r="I3057" s="84">
        <v>44277.0</v>
      </c>
      <c r="J3057" s="65" t="b">
        <v>1</v>
      </c>
      <c r="K3057" s="65"/>
      <c r="L3057" s="85" t="b">
        <f>IF(VLOOKUP(C3057,Projetos!A:L,12,false)=TRUE,TRUE,FALSE)</f>
        <v>1</v>
      </c>
      <c r="M3057" s="74">
        <v>52.48434411075036</v>
      </c>
      <c r="N3057" s="74">
        <f t="shared" si="1"/>
        <v>78.72651617</v>
      </c>
      <c r="O3057" s="74" t="b">
        <v>1</v>
      </c>
    </row>
    <row r="3058" hidden="1">
      <c r="A3058" s="82"/>
      <c r="B3058" s="65" t="s">
        <v>411</v>
      </c>
      <c r="C3058" s="65" t="s">
        <v>100</v>
      </c>
      <c r="D3058" s="65" t="str">
        <f>vlookup(C3058,'Classificação p pessoal'!F:G,2,false)</f>
        <v>NP</v>
      </c>
      <c r="E3058" s="65" t="s">
        <v>2077</v>
      </c>
      <c r="F3058" s="83">
        <v>0.5208333333333334</v>
      </c>
      <c r="G3058" s="83">
        <v>0.5833333333333334</v>
      </c>
      <c r="H3058" s="83">
        <v>0.0625</v>
      </c>
      <c r="I3058" s="84">
        <v>44277.0</v>
      </c>
      <c r="J3058" s="65" t="b">
        <v>1</v>
      </c>
      <c r="K3058" s="65"/>
      <c r="L3058" s="85" t="b">
        <f>IF(VLOOKUP(C3058,Projetos!A:L,12,false)=TRUE,TRUE,FALSE)</f>
        <v>1</v>
      </c>
      <c r="M3058" s="74">
        <v>52.48434411075036</v>
      </c>
      <c r="N3058" s="74">
        <f t="shared" si="1"/>
        <v>78.72651617</v>
      </c>
      <c r="O3058" s="74" t="b">
        <v>1</v>
      </c>
    </row>
    <row r="3059" hidden="1">
      <c r="A3059" s="82"/>
      <c r="B3059" s="65" t="s">
        <v>411</v>
      </c>
      <c r="C3059" s="65" t="s">
        <v>117</v>
      </c>
      <c r="D3059" s="65" t="str">
        <f>vlookup(C3059,'Classificação p pessoal'!F:G,2,false)</f>
        <v>NP</v>
      </c>
      <c r="E3059" s="65" t="s">
        <v>2078</v>
      </c>
      <c r="F3059" s="83">
        <v>0.625</v>
      </c>
      <c r="G3059" s="83">
        <v>0.6875</v>
      </c>
      <c r="H3059" s="83">
        <v>0.0625</v>
      </c>
      <c r="I3059" s="84">
        <v>44277.0</v>
      </c>
      <c r="J3059" s="65" t="b">
        <v>1</v>
      </c>
      <c r="K3059" s="65"/>
      <c r="L3059" s="85" t="b">
        <f>IF(VLOOKUP(C3059,Projetos!A:L,12,false)=TRUE,TRUE,FALSE)</f>
        <v>1</v>
      </c>
      <c r="M3059" s="74">
        <v>52.48434411075036</v>
      </c>
      <c r="N3059" s="74">
        <f t="shared" si="1"/>
        <v>78.72651617</v>
      </c>
      <c r="O3059" s="74" t="b">
        <v>1</v>
      </c>
    </row>
    <row r="3060" hidden="1">
      <c r="A3060" s="82"/>
      <c r="B3060" s="65" t="s">
        <v>411</v>
      </c>
      <c r="C3060" s="65" t="s">
        <v>92</v>
      </c>
      <c r="D3060" s="65" t="str">
        <f>vlookup(C3060,'Classificação p pessoal'!F:G,2,false)</f>
        <v/>
      </c>
      <c r="E3060" s="65" t="s">
        <v>2079</v>
      </c>
      <c r="F3060" s="83">
        <v>0.6875</v>
      </c>
      <c r="G3060" s="83">
        <v>0.7083333333333334</v>
      </c>
      <c r="H3060" s="83">
        <v>0.020833333333333332</v>
      </c>
      <c r="I3060" s="84">
        <v>44277.0</v>
      </c>
      <c r="J3060" s="65" t="b">
        <v>1</v>
      </c>
      <c r="K3060" s="65"/>
      <c r="L3060" s="85" t="b">
        <f>IF(VLOOKUP(C3060,Projetos!A:L,12,false)=TRUE,TRUE,FALSE)</f>
        <v>1</v>
      </c>
      <c r="M3060" s="74">
        <v>52.48434411075036</v>
      </c>
      <c r="N3060" s="74">
        <f t="shared" si="1"/>
        <v>26.24217206</v>
      </c>
      <c r="O3060" s="74" t="b">
        <v>1</v>
      </c>
    </row>
    <row r="3061" hidden="1">
      <c r="A3061" s="82"/>
      <c r="B3061" s="65" t="s">
        <v>411</v>
      </c>
      <c r="C3061" s="65" t="s">
        <v>88</v>
      </c>
      <c r="D3061" s="65" t="str">
        <f>vlookup(C3061,'Classificação p pessoal'!F:G,2,false)</f>
        <v>MProduto</v>
      </c>
      <c r="E3061" s="65" t="s">
        <v>2080</v>
      </c>
      <c r="F3061" s="83">
        <v>0.7083333333333334</v>
      </c>
      <c r="G3061" s="83">
        <v>0.75</v>
      </c>
      <c r="H3061" s="83">
        <v>0.041666666666666664</v>
      </c>
      <c r="I3061" s="84">
        <v>44277.0</v>
      </c>
      <c r="J3061" s="65" t="b">
        <v>1</v>
      </c>
      <c r="K3061" s="65"/>
      <c r="L3061" s="85" t="b">
        <f>IF(VLOOKUP(C3061,Projetos!A:L,12,false)=TRUE,TRUE,FALSE)</f>
        <v>1</v>
      </c>
      <c r="M3061" s="74">
        <v>52.48434411075036</v>
      </c>
      <c r="N3061" s="74">
        <f t="shared" si="1"/>
        <v>52.48434411</v>
      </c>
      <c r="O3061" s="74" t="b">
        <v>1</v>
      </c>
    </row>
    <row r="3062" hidden="1">
      <c r="A3062" s="82"/>
      <c r="B3062" s="65" t="s">
        <v>411</v>
      </c>
      <c r="C3062" s="65" t="s">
        <v>117</v>
      </c>
      <c r="D3062" s="65" t="str">
        <f>vlookup(C3062,'Classificação p pessoal'!F:G,2,false)</f>
        <v>NP</v>
      </c>
      <c r="E3062" s="65" t="s">
        <v>2081</v>
      </c>
      <c r="F3062" s="83">
        <v>0.34375</v>
      </c>
      <c r="G3062" s="83">
        <v>0.4166666666666667</v>
      </c>
      <c r="H3062" s="83">
        <v>0.07291666666666667</v>
      </c>
      <c r="I3062" s="84">
        <v>44278.0</v>
      </c>
      <c r="J3062" s="65" t="b">
        <v>1</v>
      </c>
      <c r="K3062" s="65"/>
      <c r="L3062" s="85" t="b">
        <f>IF(VLOOKUP(C3062,Projetos!A:L,12,false)=TRUE,TRUE,FALSE)</f>
        <v>1</v>
      </c>
      <c r="M3062" s="74">
        <v>52.48434411075036</v>
      </c>
      <c r="N3062" s="74">
        <f t="shared" si="1"/>
        <v>91.84760219</v>
      </c>
      <c r="O3062" s="74" t="b">
        <v>1</v>
      </c>
    </row>
    <row r="3063" hidden="1">
      <c r="A3063" s="82"/>
      <c r="B3063" s="65" t="s">
        <v>411</v>
      </c>
      <c r="C3063" s="65" t="s">
        <v>92</v>
      </c>
      <c r="D3063" s="65" t="str">
        <f>vlookup(C3063,'Classificação p pessoal'!F:G,2,false)</f>
        <v/>
      </c>
      <c r="E3063" s="65" t="s">
        <v>2082</v>
      </c>
      <c r="F3063" s="83">
        <v>0.4166666666666667</v>
      </c>
      <c r="G3063" s="83">
        <v>0.4791666666666667</v>
      </c>
      <c r="H3063" s="83">
        <v>0.0625</v>
      </c>
      <c r="I3063" s="84">
        <v>44278.0</v>
      </c>
      <c r="J3063" s="65" t="b">
        <v>1</v>
      </c>
      <c r="K3063" s="65"/>
      <c r="L3063" s="85" t="b">
        <f>IF(VLOOKUP(C3063,Projetos!A:L,12,false)=TRUE,TRUE,FALSE)</f>
        <v>1</v>
      </c>
      <c r="M3063" s="74">
        <v>52.48434411075036</v>
      </c>
      <c r="N3063" s="74">
        <f t="shared" si="1"/>
        <v>78.72651617</v>
      </c>
      <c r="O3063" s="74" t="b">
        <v>1</v>
      </c>
    </row>
    <row r="3064" hidden="1">
      <c r="A3064" s="82"/>
      <c r="B3064" s="65" t="s">
        <v>411</v>
      </c>
      <c r="C3064" s="65" t="s">
        <v>152</v>
      </c>
      <c r="D3064" s="65" t="str">
        <f>vlookup(C3064,'Classificação p pessoal'!F:G,2,false)</f>
        <v>MProduto</v>
      </c>
      <c r="E3064" s="65" t="s">
        <v>2083</v>
      </c>
      <c r="F3064" s="83">
        <v>0.5208333333333334</v>
      </c>
      <c r="G3064" s="83">
        <v>0.5625</v>
      </c>
      <c r="H3064" s="83">
        <v>0.041666666666666664</v>
      </c>
      <c r="I3064" s="84">
        <v>44278.0</v>
      </c>
      <c r="J3064" s="65" t="b">
        <v>1</v>
      </c>
      <c r="K3064" s="65"/>
      <c r="L3064" s="85" t="b">
        <f>IF(VLOOKUP(C3064,Projetos!A:L,12,false)=TRUE,TRUE,FALSE)</f>
        <v>1</v>
      </c>
      <c r="M3064" s="74">
        <v>52.48434411075036</v>
      </c>
      <c r="N3064" s="74">
        <f t="shared" si="1"/>
        <v>52.48434411</v>
      </c>
      <c r="O3064" s="74" t="b">
        <v>1</v>
      </c>
    </row>
    <row r="3065" hidden="1">
      <c r="A3065" s="82"/>
      <c r="B3065" s="65" t="s">
        <v>411</v>
      </c>
      <c r="C3065" s="65" t="s">
        <v>92</v>
      </c>
      <c r="D3065" s="65" t="str">
        <f>vlookup(C3065,'Classificação p pessoal'!F:G,2,false)</f>
        <v/>
      </c>
      <c r="E3065" s="65" t="s">
        <v>2084</v>
      </c>
      <c r="F3065" s="83">
        <v>0.6041666666666666</v>
      </c>
      <c r="G3065" s="83">
        <v>0.6666666666666666</v>
      </c>
      <c r="H3065" s="83">
        <v>0.0625</v>
      </c>
      <c r="I3065" s="84">
        <v>44278.0</v>
      </c>
      <c r="J3065" s="65" t="b">
        <v>1</v>
      </c>
      <c r="K3065" s="65"/>
      <c r="L3065" s="85" t="b">
        <f>IF(VLOOKUP(C3065,Projetos!A:L,12,false)=TRUE,TRUE,FALSE)</f>
        <v>1</v>
      </c>
      <c r="M3065" s="74">
        <v>52.48434411075036</v>
      </c>
      <c r="N3065" s="74">
        <f t="shared" si="1"/>
        <v>78.72651617</v>
      </c>
      <c r="O3065" s="74" t="b">
        <v>1</v>
      </c>
    </row>
    <row r="3066" hidden="1">
      <c r="A3066" s="82"/>
      <c r="B3066" s="65" t="s">
        <v>411</v>
      </c>
      <c r="C3066" s="65" t="s">
        <v>152</v>
      </c>
      <c r="D3066" s="65" t="str">
        <f>vlookup(C3066,'Classificação p pessoal'!F:G,2,false)</f>
        <v>MProduto</v>
      </c>
      <c r="E3066" s="65" t="s">
        <v>2085</v>
      </c>
      <c r="F3066" s="83">
        <v>0.6666666666666666</v>
      </c>
      <c r="G3066" s="83">
        <v>0.7083333333333334</v>
      </c>
      <c r="H3066" s="83">
        <v>0.041666666666666664</v>
      </c>
      <c r="I3066" s="84">
        <v>44278.0</v>
      </c>
      <c r="J3066" s="65" t="b">
        <v>1</v>
      </c>
      <c r="K3066" s="65"/>
      <c r="L3066" s="85" t="b">
        <f>IF(VLOOKUP(C3066,Projetos!A:L,12,false)=TRUE,TRUE,FALSE)</f>
        <v>1</v>
      </c>
      <c r="M3066" s="74">
        <v>52.48434411075036</v>
      </c>
      <c r="N3066" s="74">
        <f t="shared" si="1"/>
        <v>52.48434411</v>
      </c>
      <c r="O3066" s="74" t="b">
        <v>1</v>
      </c>
    </row>
    <row r="3067" hidden="1">
      <c r="A3067" s="82"/>
      <c r="B3067" s="65" t="s">
        <v>411</v>
      </c>
      <c r="C3067" s="65" t="s">
        <v>92</v>
      </c>
      <c r="D3067" s="65" t="str">
        <f>vlookup(C3067,'Classificação p pessoal'!F:G,2,false)</f>
        <v/>
      </c>
      <c r="E3067" s="65" t="s">
        <v>2083</v>
      </c>
      <c r="F3067" s="83">
        <v>0.34375</v>
      </c>
      <c r="G3067" s="83">
        <v>0.375</v>
      </c>
      <c r="H3067" s="83">
        <v>0.03125</v>
      </c>
      <c r="I3067" s="84">
        <v>44279.0</v>
      </c>
      <c r="J3067" s="65" t="b">
        <v>1</v>
      </c>
      <c r="K3067" s="65"/>
      <c r="L3067" s="85" t="b">
        <f>IF(VLOOKUP(C3067,Projetos!A:L,12,false)=TRUE,TRUE,FALSE)</f>
        <v>1</v>
      </c>
      <c r="M3067" s="74">
        <v>52.48434411075036</v>
      </c>
      <c r="N3067" s="74">
        <f t="shared" si="1"/>
        <v>39.36325808</v>
      </c>
      <c r="O3067" s="74" t="b">
        <v>1</v>
      </c>
    </row>
    <row r="3068" hidden="1">
      <c r="A3068" s="82"/>
      <c r="B3068" s="65" t="s">
        <v>411</v>
      </c>
      <c r="C3068" s="65" t="s">
        <v>117</v>
      </c>
      <c r="D3068" s="65" t="str">
        <f>vlookup(C3068,'Classificação p pessoal'!F:G,2,false)</f>
        <v>NP</v>
      </c>
      <c r="E3068" s="65" t="s">
        <v>2086</v>
      </c>
      <c r="F3068" s="83">
        <v>0.375</v>
      </c>
      <c r="G3068" s="83">
        <v>0.4375</v>
      </c>
      <c r="H3068" s="83">
        <v>0.0625</v>
      </c>
      <c r="I3068" s="84">
        <v>44279.0</v>
      </c>
      <c r="J3068" s="65" t="b">
        <v>1</v>
      </c>
      <c r="K3068" s="65"/>
      <c r="L3068" s="85" t="b">
        <f>IF(VLOOKUP(C3068,Projetos!A:L,12,false)=TRUE,TRUE,FALSE)</f>
        <v>1</v>
      </c>
      <c r="M3068" s="74">
        <v>52.48434411075036</v>
      </c>
      <c r="N3068" s="74">
        <f t="shared" si="1"/>
        <v>78.72651617</v>
      </c>
      <c r="O3068" s="74" t="b">
        <v>1</v>
      </c>
    </row>
    <row r="3069" hidden="1">
      <c r="A3069" s="82"/>
      <c r="B3069" s="65" t="s">
        <v>411</v>
      </c>
      <c r="C3069" s="65" t="s">
        <v>92</v>
      </c>
      <c r="D3069" s="65" t="str">
        <f>vlookup(C3069,'Classificação p pessoal'!F:G,2,false)</f>
        <v/>
      </c>
      <c r="E3069" s="65" t="s">
        <v>2087</v>
      </c>
      <c r="F3069" s="83">
        <v>0.4375</v>
      </c>
      <c r="G3069" s="83">
        <v>0.5208333333333334</v>
      </c>
      <c r="H3069" s="83">
        <v>0.08333333333333333</v>
      </c>
      <c r="I3069" s="84">
        <v>44279.0</v>
      </c>
      <c r="J3069" s="65" t="b">
        <v>1</v>
      </c>
      <c r="K3069" s="65"/>
      <c r="L3069" s="85" t="b">
        <f>IF(VLOOKUP(C3069,Projetos!A:L,12,false)=TRUE,TRUE,FALSE)</f>
        <v>1</v>
      </c>
      <c r="M3069" s="74">
        <v>52.48434411075036</v>
      </c>
      <c r="N3069" s="74">
        <f t="shared" si="1"/>
        <v>104.9686882</v>
      </c>
      <c r="O3069" s="74" t="b">
        <v>1</v>
      </c>
    </row>
    <row r="3070" hidden="1">
      <c r="A3070" s="82"/>
      <c r="B3070" s="65" t="s">
        <v>411</v>
      </c>
      <c r="C3070" s="65" t="s">
        <v>152</v>
      </c>
      <c r="D3070" s="65" t="str">
        <f>vlookup(C3070,'Classificação p pessoal'!F:G,2,false)</f>
        <v>MProduto</v>
      </c>
      <c r="E3070" s="65" t="s">
        <v>2088</v>
      </c>
      <c r="F3070" s="83">
        <v>0.5208333333333334</v>
      </c>
      <c r="G3070" s="83">
        <v>0.5625</v>
      </c>
      <c r="H3070" s="83">
        <v>0.041666666666666664</v>
      </c>
      <c r="I3070" s="84">
        <v>44279.0</v>
      </c>
      <c r="J3070" s="65" t="b">
        <v>1</v>
      </c>
      <c r="K3070" s="65"/>
      <c r="L3070" s="85" t="b">
        <f>IF(VLOOKUP(C3070,Projetos!A:L,12,false)=TRUE,TRUE,FALSE)</f>
        <v>1</v>
      </c>
      <c r="M3070" s="74">
        <v>52.48434411075036</v>
      </c>
      <c r="N3070" s="74">
        <f t="shared" si="1"/>
        <v>52.48434411</v>
      </c>
      <c r="O3070" s="74" t="b">
        <v>1</v>
      </c>
    </row>
    <row r="3071" hidden="1">
      <c r="A3071" s="82"/>
      <c r="B3071" s="65" t="s">
        <v>411</v>
      </c>
      <c r="C3071" s="65" t="s">
        <v>117</v>
      </c>
      <c r="D3071" s="65" t="str">
        <f>vlookup(C3071,'Classificação p pessoal'!F:G,2,false)</f>
        <v>NP</v>
      </c>
      <c r="E3071" s="65" t="s">
        <v>2089</v>
      </c>
      <c r="F3071" s="83">
        <v>0.6041666666666666</v>
      </c>
      <c r="G3071" s="83">
        <v>0.6458333333333334</v>
      </c>
      <c r="H3071" s="83">
        <v>0.041666666666666664</v>
      </c>
      <c r="I3071" s="84">
        <v>44279.0</v>
      </c>
      <c r="J3071" s="65" t="b">
        <v>1</v>
      </c>
      <c r="K3071" s="65"/>
      <c r="L3071" s="85" t="b">
        <f>IF(VLOOKUP(C3071,Projetos!A:L,12,false)=TRUE,TRUE,FALSE)</f>
        <v>1</v>
      </c>
      <c r="M3071" s="74">
        <v>52.48434411075036</v>
      </c>
      <c r="N3071" s="74">
        <f t="shared" si="1"/>
        <v>52.48434411</v>
      </c>
      <c r="O3071" s="74" t="b">
        <v>1</v>
      </c>
    </row>
    <row r="3072" hidden="1">
      <c r="A3072" s="82"/>
      <c r="B3072" s="65" t="s">
        <v>411</v>
      </c>
      <c r="C3072" s="65" t="s">
        <v>120</v>
      </c>
      <c r="D3072" s="65"/>
      <c r="E3072" s="65" t="s">
        <v>2090</v>
      </c>
      <c r="F3072" s="83">
        <v>0.6666666666666666</v>
      </c>
      <c r="G3072" s="83">
        <v>0.6875</v>
      </c>
      <c r="H3072" s="83">
        <v>0.020833333333333332</v>
      </c>
      <c r="I3072" s="84">
        <v>44279.0</v>
      </c>
      <c r="J3072" s="65" t="b">
        <v>0</v>
      </c>
      <c r="K3072" s="65"/>
      <c r="L3072" s="85" t="b">
        <f>IF(VLOOKUP(C3072,Projetos!A:L,12,false)=TRUE,TRUE,FALSE)</f>
        <v>0</v>
      </c>
      <c r="M3072" s="74">
        <v>52.48434411075036</v>
      </c>
      <c r="N3072" s="74">
        <f t="shared" si="1"/>
        <v>0</v>
      </c>
      <c r="O3072" s="74" t="b">
        <v>0</v>
      </c>
    </row>
    <row r="3073" hidden="1">
      <c r="A3073" s="82"/>
      <c r="B3073" s="65" t="s">
        <v>411</v>
      </c>
      <c r="C3073" s="65" t="s">
        <v>92</v>
      </c>
      <c r="D3073" s="65" t="str">
        <f>vlookup(C3073,'Classificação p pessoal'!F:G,2,false)</f>
        <v/>
      </c>
      <c r="E3073" s="65" t="s">
        <v>2091</v>
      </c>
      <c r="F3073" s="83">
        <v>0.6875</v>
      </c>
      <c r="G3073" s="83">
        <v>0.7291666666666666</v>
      </c>
      <c r="H3073" s="83">
        <v>0.041666666666666664</v>
      </c>
      <c r="I3073" s="84">
        <v>44279.0</v>
      </c>
      <c r="J3073" s="65" t="b">
        <v>1</v>
      </c>
      <c r="K3073" s="65"/>
      <c r="L3073" s="85" t="b">
        <f>IF(VLOOKUP(C3073,Projetos!A:L,12,false)=TRUE,TRUE,FALSE)</f>
        <v>1</v>
      </c>
      <c r="M3073" s="74">
        <v>52.48434411075036</v>
      </c>
      <c r="N3073" s="74">
        <f t="shared" si="1"/>
        <v>52.48434411</v>
      </c>
      <c r="O3073" s="74" t="b">
        <v>1</v>
      </c>
    </row>
    <row r="3074" hidden="1">
      <c r="A3074" s="82"/>
      <c r="B3074" s="65" t="s">
        <v>411</v>
      </c>
      <c r="C3074" s="65" t="s">
        <v>92</v>
      </c>
      <c r="D3074" s="65" t="str">
        <f>vlookup(C3074,'Classificação p pessoal'!F:G,2,false)</f>
        <v/>
      </c>
      <c r="E3074" s="65" t="s">
        <v>2092</v>
      </c>
      <c r="F3074" s="83">
        <v>0.34375</v>
      </c>
      <c r="G3074" s="83">
        <v>0.4166666666666667</v>
      </c>
      <c r="H3074" s="83">
        <v>0.07291666666666667</v>
      </c>
      <c r="I3074" s="84">
        <v>44280.0</v>
      </c>
      <c r="J3074" s="65" t="b">
        <v>1</v>
      </c>
      <c r="K3074" s="65"/>
      <c r="L3074" s="85" t="b">
        <f>IF(VLOOKUP(C3074,Projetos!A:L,12,false)=TRUE,TRUE,FALSE)</f>
        <v>1</v>
      </c>
      <c r="M3074" s="74">
        <v>52.48434411075036</v>
      </c>
      <c r="N3074" s="74">
        <f t="shared" si="1"/>
        <v>91.84760219</v>
      </c>
      <c r="O3074" s="74" t="b">
        <v>1</v>
      </c>
    </row>
    <row r="3075" hidden="1">
      <c r="A3075" s="82"/>
      <c r="B3075" s="65" t="s">
        <v>411</v>
      </c>
      <c r="C3075" s="65" t="s">
        <v>127</v>
      </c>
      <c r="D3075" s="65"/>
      <c r="E3075" s="65" t="s">
        <v>2093</v>
      </c>
      <c r="F3075" s="83">
        <v>0.4166666666666667</v>
      </c>
      <c r="G3075" s="83">
        <v>0.4375</v>
      </c>
      <c r="H3075" s="83">
        <v>0.020833333333333332</v>
      </c>
      <c r="I3075" s="84">
        <v>44280.0</v>
      </c>
      <c r="J3075" s="65" t="b">
        <v>0</v>
      </c>
      <c r="K3075" s="65" t="s">
        <v>150</v>
      </c>
      <c r="L3075" s="85" t="b">
        <f>IF(VLOOKUP(C3075,Projetos!A:L,12,false)=TRUE,TRUE,FALSE)</f>
        <v>1</v>
      </c>
      <c r="M3075" s="74">
        <v>52.48434411075036</v>
      </c>
      <c r="N3075" s="74">
        <f t="shared" si="1"/>
        <v>0</v>
      </c>
      <c r="O3075" s="74" t="b">
        <v>1</v>
      </c>
    </row>
    <row r="3076" hidden="1">
      <c r="A3076" s="82"/>
      <c r="B3076" s="65" t="s">
        <v>411</v>
      </c>
      <c r="C3076" s="65" t="s">
        <v>88</v>
      </c>
      <c r="D3076" s="65"/>
      <c r="E3076" s="65" t="s">
        <v>2094</v>
      </c>
      <c r="F3076" s="83">
        <v>0.5833333333333334</v>
      </c>
      <c r="G3076" s="83">
        <v>0.625</v>
      </c>
      <c r="H3076" s="83">
        <v>0.041666666666666664</v>
      </c>
      <c r="I3076" s="84">
        <v>44270.0</v>
      </c>
      <c r="J3076" s="65" t="b">
        <v>0</v>
      </c>
      <c r="K3076" s="65" t="s">
        <v>150</v>
      </c>
      <c r="L3076" s="85" t="b">
        <f>IF(VLOOKUP(C3076,Projetos!A:L,12,false)=TRUE,TRUE,FALSE)</f>
        <v>1</v>
      </c>
      <c r="M3076" s="74">
        <v>52.48434411075036</v>
      </c>
      <c r="N3076" s="74">
        <f t="shared" si="1"/>
        <v>0</v>
      </c>
      <c r="O3076" s="74" t="b">
        <v>1</v>
      </c>
    </row>
    <row r="3077" hidden="1">
      <c r="A3077" s="82"/>
      <c r="B3077" s="65" t="s">
        <v>411</v>
      </c>
      <c r="C3077" s="65" t="s">
        <v>120</v>
      </c>
      <c r="D3077" s="65"/>
      <c r="E3077" s="65" t="s">
        <v>2095</v>
      </c>
      <c r="F3077" s="83">
        <v>0.5625</v>
      </c>
      <c r="G3077" s="83">
        <v>0.625</v>
      </c>
      <c r="H3077" s="83">
        <v>0.0625</v>
      </c>
      <c r="I3077" s="84">
        <v>44280.0</v>
      </c>
      <c r="J3077" s="65" t="b">
        <v>0</v>
      </c>
      <c r="K3077" s="65"/>
      <c r="L3077" s="85" t="b">
        <f>IF(VLOOKUP(C3077,Projetos!A:L,12,false)=TRUE,TRUE,FALSE)</f>
        <v>0</v>
      </c>
      <c r="M3077" s="74">
        <v>52.48434411075036</v>
      </c>
      <c r="N3077" s="74">
        <f t="shared" si="1"/>
        <v>0</v>
      </c>
      <c r="O3077" s="74" t="b">
        <v>0</v>
      </c>
    </row>
    <row r="3078" hidden="1">
      <c r="A3078" s="82"/>
      <c r="B3078" s="65" t="s">
        <v>411</v>
      </c>
      <c r="C3078" s="65" t="s">
        <v>117</v>
      </c>
      <c r="D3078" s="65" t="str">
        <f>vlookup(C3078,'Classificação p pessoal'!F:G,2,false)</f>
        <v>NP</v>
      </c>
      <c r="E3078" s="65" t="s">
        <v>2096</v>
      </c>
      <c r="F3078" s="83">
        <v>0.7083333333333334</v>
      </c>
      <c r="G3078" s="83">
        <v>0.7291666666666666</v>
      </c>
      <c r="H3078" s="83">
        <v>0.020833333333333332</v>
      </c>
      <c r="I3078" s="84">
        <v>44280.0</v>
      </c>
      <c r="J3078" s="65" t="b">
        <v>1</v>
      </c>
      <c r="K3078" s="65"/>
      <c r="L3078" s="85" t="b">
        <f>IF(VLOOKUP(C3078,Projetos!A:L,12,false)=TRUE,TRUE,FALSE)</f>
        <v>1</v>
      </c>
      <c r="M3078" s="74">
        <v>52.48434411075036</v>
      </c>
      <c r="N3078" s="74">
        <f t="shared" si="1"/>
        <v>26.24217206</v>
      </c>
      <c r="O3078" s="74" t="b">
        <v>1</v>
      </c>
    </row>
    <row r="3079" hidden="1">
      <c r="A3079" s="82"/>
      <c r="B3079" s="65" t="s">
        <v>411</v>
      </c>
      <c r="C3079" s="65" t="s">
        <v>132</v>
      </c>
      <c r="D3079" s="65"/>
      <c r="E3079" s="65" t="s">
        <v>2097</v>
      </c>
      <c r="F3079" s="83">
        <v>0.34375</v>
      </c>
      <c r="G3079" s="83">
        <v>0.375</v>
      </c>
      <c r="H3079" s="83">
        <v>0.03125</v>
      </c>
      <c r="I3079" s="84">
        <v>44281.0</v>
      </c>
      <c r="J3079" s="65" t="b">
        <v>1</v>
      </c>
      <c r="K3079" s="65"/>
      <c r="L3079" s="85" t="b">
        <f>IF(VLOOKUP(C3079,Projetos!A:L,12,false)=TRUE,TRUE,FALSE)</f>
        <v>0</v>
      </c>
      <c r="M3079" s="74">
        <v>52.48434411075036</v>
      </c>
      <c r="N3079" s="74">
        <f t="shared" si="1"/>
        <v>0</v>
      </c>
      <c r="O3079" s="74" t="b">
        <v>0</v>
      </c>
    </row>
    <row r="3080" hidden="1">
      <c r="A3080" s="82"/>
      <c r="B3080" s="65" t="s">
        <v>411</v>
      </c>
      <c r="C3080" s="65" t="s">
        <v>125</v>
      </c>
      <c r="D3080" s="65" t="str">
        <f>vlookup(C3080,'Classificação p pessoal'!F:G,2,false)</f>
        <v>MProduto</v>
      </c>
      <c r="E3080" s="65" t="s">
        <v>2098</v>
      </c>
      <c r="F3080" s="83">
        <v>0.375</v>
      </c>
      <c r="G3080" s="83">
        <v>0.4375</v>
      </c>
      <c r="H3080" s="83">
        <v>0.0625</v>
      </c>
      <c r="I3080" s="84">
        <v>44281.0</v>
      </c>
      <c r="J3080" s="65" t="b">
        <v>1</v>
      </c>
      <c r="K3080" s="65"/>
      <c r="L3080" s="85" t="b">
        <f>IF(VLOOKUP(C3080,Projetos!A:L,12,false)=TRUE,TRUE,FALSE)</f>
        <v>1</v>
      </c>
      <c r="M3080" s="74">
        <v>52.48434411075036</v>
      </c>
      <c r="N3080" s="74">
        <f t="shared" si="1"/>
        <v>78.72651617</v>
      </c>
      <c r="O3080" s="74" t="b">
        <v>1</v>
      </c>
    </row>
    <row r="3081" hidden="1">
      <c r="A3081" s="82"/>
      <c r="B3081" s="65" t="s">
        <v>411</v>
      </c>
      <c r="C3081" s="65" t="s">
        <v>114</v>
      </c>
      <c r="D3081" s="65"/>
      <c r="E3081" s="65" t="s">
        <v>2099</v>
      </c>
      <c r="F3081" s="83">
        <v>0.4791666666666667</v>
      </c>
      <c r="G3081" s="83">
        <v>0.5208333333333334</v>
      </c>
      <c r="H3081" s="83">
        <v>0.041666666666666664</v>
      </c>
      <c r="I3081" s="84">
        <v>44418.0</v>
      </c>
      <c r="J3081" s="65" t="b">
        <v>0</v>
      </c>
      <c r="K3081" s="65" t="s">
        <v>150</v>
      </c>
      <c r="L3081" s="85" t="b">
        <f>IF(VLOOKUP(C3081,Projetos!A:L,12,false)=TRUE,TRUE,FALSE)</f>
        <v>1</v>
      </c>
      <c r="M3081" s="74">
        <v>52.48434411075036</v>
      </c>
      <c r="N3081" s="74">
        <f t="shared" si="1"/>
        <v>0</v>
      </c>
      <c r="O3081" s="74" t="b">
        <v>1</v>
      </c>
    </row>
    <row r="3082" hidden="1">
      <c r="A3082" s="82"/>
      <c r="B3082" s="65" t="s">
        <v>411</v>
      </c>
      <c r="C3082" s="65" t="s">
        <v>107</v>
      </c>
      <c r="D3082" s="65" t="str">
        <f>vlookup(C3082,'Classificação p pessoal'!F:G,2,false)</f>
        <v>NP</v>
      </c>
      <c r="E3082" s="65" t="s">
        <v>2100</v>
      </c>
      <c r="F3082" s="83">
        <v>0.4791666666666667</v>
      </c>
      <c r="G3082" s="83">
        <v>0.5625</v>
      </c>
      <c r="H3082" s="83">
        <v>0.08333333333333333</v>
      </c>
      <c r="I3082" s="84">
        <v>44281.0</v>
      </c>
      <c r="J3082" s="65" t="b">
        <v>1</v>
      </c>
      <c r="K3082" s="65"/>
      <c r="L3082" s="85" t="b">
        <f>IF(VLOOKUP(C3082,Projetos!A:L,12,false)=TRUE,TRUE,FALSE)</f>
        <v>1</v>
      </c>
      <c r="M3082" s="74">
        <v>52.48434411075036</v>
      </c>
      <c r="N3082" s="74">
        <f t="shared" si="1"/>
        <v>104.9686882</v>
      </c>
      <c r="O3082" s="74" t="b">
        <v>1</v>
      </c>
    </row>
    <row r="3083" hidden="1">
      <c r="A3083" s="82"/>
      <c r="B3083" s="65" t="s">
        <v>411</v>
      </c>
      <c r="C3083" s="65" t="s">
        <v>92</v>
      </c>
      <c r="D3083" s="65" t="str">
        <f>vlookup(C3083,'Classificação p pessoal'!F:G,2,false)</f>
        <v/>
      </c>
      <c r="E3083" s="65" t="s">
        <v>2101</v>
      </c>
      <c r="F3083" s="83">
        <v>0.6666666666666666</v>
      </c>
      <c r="G3083" s="83">
        <v>0.7083333333333334</v>
      </c>
      <c r="H3083" s="83">
        <v>0.041666666666666664</v>
      </c>
      <c r="I3083" s="84">
        <v>44281.0</v>
      </c>
      <c r="J3083" s="65" t="b">
        <v>1</v>
      </c>
      <c r="K3083" s="65"/>
      <c r="L3083" s="85" t="b">
        <f>IF(VLOOKUP(C3083,Projetos!A:L,12,false)=TRUE,TRUE,FALSE)</f>
        <v>1</v>
      </c>
      <c r="M3083" s="74">
        <v>52.48434411075036</v>
      </c>
      <c r="N3083" s="74">
        <f t="shared" si="1"/>
        <v>52.48434411</v>
      </c>
      <c r="O3083" s="74" t="b">
        <v>1</v>
      </c>
    </row>
    <row r="3084" hidden="1">
      <c r="A3084" s="82"/>
      <c r="B3084" s="65" t="s">
        <v>411</v>
      </c>
      <c r="C3084" s="65" t="s">
        <v>117</v>
      </c>
      <c r="D3084" s="65"/>
      <c r="E3084" s="65" t="s">
        <v>2102</v>
      </c>
      <c r="F3084" s="83">
        <v>0.7083333333333334</v>
      </c>
      <c r="G3084" s="83">
        <v>0.75</v>
      </c>
      <c r="H3084" s="83">
        <v>0.041666666666666664</v>
      </c>
      <c r="I3084" s="84">
        <v>44281.0</v>
      </c>
      <c r="J3084" s="65" t="b">
        <v>0</v>
      </c>
      <c r="K3084" s="65" t="s">
        <v>150</v>
      </c>
      <c r="L3084" s="85" t="b">
        <f>IF(VLOOKUP(C3084,Projetos!A:L,12,false)=TRUE,TRUE,FALSE)</f>
        <v>1</v>
      </c>
      <c r="M3084" s="74">
        <v>52.48434411075036</v>
      </c>
      <c r="N3084" s="74">
        <f t="shared" si="1"/>
        <v>0</v>
      </c>
      <c r="O3084" s="74" t="b">
        <v>1</v>
      </c>
    </row>
    <row r="3085" hidden="1">
      <c r="A3085" s="82"/>
      <c r="B3085" s="65" t="s">
        <v>411</v>
      </c>
      <c r="C3085" s="65" t="s">
        <v>130</v>
      </c>
      <c r="D3085" s="65" t="str">
        <f>vlookup(C3085,'Classificação p pessoal'!F:G,2,false)</f>
        <v>NP</v>
      </c>
      <c r="E3085" s="65" t="s">
        <v>2103</v>
      </c>
      <c r="F3085" s="83">
        <v>0.34375</v>
      </c>
      <c r="G3085" s="83">
        <v>0.4166666666666667</v>
      </c>
      <c r="H3085" s="83">
        <v>0.07291666666666667</v>
      </c>
      <c r="I3085" s="84">
        <v>44284.0</v>
      </c>
      <c r="J3085" s="65" t="b">
        <v>1</v>
      </c>
      <c r="K3085" s="65"/>
      <c r="L3085" s="85" t="b">
        <f>IF(VLOOKUP(C3085,Projetos!A:L,12,false)=TRUE,TRUE,FALSE)</f>
        <v>1</v>
      </c>
      <c r="M3085" s="74">
        <v>52.48434411075036</v>
      </c>
      <c r="N3085" s="74">
        <f t="shared" si="1"/>
        <v>91.84760219</v>
      </c>
      <c r="O3085" s="74" t="b">
        <v>1</v>
      </c>
    </row>
    <row r="3086" hidden="1">
      <c r="A3086" s="82"/>
      <c r="B3086" s="65" t="s">
        <v>411</v>
      </c>
      <c r="C3086" s="65" t="s">
        <v>117</v>
      </c>
      <c r="D3086" s="65" t="str">
        <f>vlookup(C3086,'Classificação p pessoal'!F:G,2,false)</f>
        <v>NP</v>
      </c>
      <c r="E3086" s="65" t="s">
        <v>2104</v>
      </c>
      <c r="F3086" s="83">
        <v>0.4583333333333333</v>
      </c>
      <c r="G3086" s="83">
        <v>0.5</v>
      </c>
      <c r="H3086" s="83">
        <v>0.041666666666666664</v>
      </c>
      <c r="I3086" s="84">
        <v>44508.0</v>
      </c>
      <c r="J3086" s="65" t="b">
        <v>1</v>
      </c>
      <c r="K3086" s="65"/>
      <c r="L3086" s="85" t="b">
        <f>IF(VLOOKUP(C3086,Projetos!A:L,12,false)=TRUE,TRUE,FALSE)</f>
        <v>1</v>
      </c>
      <c r="M3086" s="74">
        <v>52.48434411075036</v>
      </c>
      <c r="N3086" s="74">
        <f t="shared" si="1"/>
        <v>52.48434411</v>
      </c>
      <c r="O3086" s="74" t="b">
        <v>1</v>
      </c>
    </row>
    <row r="3087" hidden="1">
      <c r="A3087" s="82"/>
      <c r="B3087" s="65" t="s">
        <v>411</v>
      </c>
      <c r="C3087" s="65" t="s">
        <v>117</v>
      </c>
      <c r="D3087" s="65"/>
      <c r="E3087" s="65" t="s">
        <v>2105</v>
      </c>
      <c r="F3087" s="83">
        <v>0.5</v>
      </c>
      <c r="G3087" s="83">
        <v>0.5416666666666666</v>
      </c>
      <c r="H3087" s="83">
        <v>0.041666666666666664</v>
      </c>
      <c r="I3087" s="84">
        <v>44284.0</v>
      </c>
      <c r="J3087" s="65" t="b">
        <v>0</v>
      </c>
      <c r="K3087" s="65" t="s">
        <v>150</v>
      </c>
      <c r="L3087" s="85" t="b">
        <f>IF(VLOOKUP(C3087,Projetos!A:L,12,false)=TRUE,TRUE,FALSE)</f>
        <v>1</v>
      </c>
      <c r="M3087" s="74">
        <v>52.48434411075036</v>
      </c>
      <c r="N3087" s="74">
        <f t="shared" si="1"/>
        <v>0</v>
      </c>
      <c r="O3087" s="74" t="b">
        <v>1</v>
      </c>
    </row>
    <row r="3088" hidden="1">
      <c r="A3088" s="82"/>
      <c r="B3088" s="65" t="s">
        <v>411</v>
      </c>
      <c r="C3088" s="65" t="s">
        <v>132</v>
      </c>
      <c r="D3088" s="65"/>
      <c r="E3088" s="65" t="s">
        <v>2097</v>
      </c>
      <c r="F3088" s="83">
        <v>0.6458333333333334</v>
      </c>
      <c r="G3088" s="83">
        <v>0.6666666666666666</v>
      </c>
      <c r="H3088" s="83">
        <v>0.020833333333333332</v>
      </c>
      <c r="I3088" s="84">
        <v>44284.0</v>
      </c>
      <c r="J3088" s="65" t="b">
        <v>1</v>
      </c>
      <c r="K3088" s="65"/>
      <c r="L3088" s="85" t="b">
        <f>IF(VLOOKUP(C3088,Projetos!A:L,12,false)=TRUE,TRUE,FALSE)</f>
        <v>0</v>
      </c>
      <c r="M3088" s="74">
        <v>52.48434411075036</v>
      </c>
      <c r="N3088" s="74">
        <f t="shared" si="1"/>
        <v>0</v>
      </c>
      <c r="O3088" s="74" t="b">
        <v>0</v>
      </c>
    </row>
    <row r="3089" hidden="1">
      <c r="A3089" s="82"/>
      <c r="B3089" s="65" t="s">
        <v>411</v>
      </c>
      <c r="C3089" s="65" t="s">
        <v>117</v>
      </c>
      <c r="D3089" s="65" t="str">
        <f>vlookup(C3089,'Classificação p pessoal'!F:G,2,false)</f>
        <v>NP</v>
      </c>
      <c r="E3089" s="65" t="s">
        <v>2106</v>
      </c>
      <c r="F3089" s="83">
        <v>0.6666666666666666</v>
      </c>
      <c r="G3089" s="83">
        <v>0.7083333333333334</v>
      </c>
      <c r="H3089" s="83">
        <v>0.041666666666666664</v>
      </c>
      <c r="I3089" s="84">
        <v>44284.0</v>
      </c>
      <c r="J3089" s="65" t="b">
        <v>1</v>
      </c>
      <c r="K3089" s="65"/>
      <c r="L3089" s="85" t="b">
        <f>IF(VLOOKUP(C3089,Projetos!A:L,12,false)=TRUE,TRUE,FALSE)</f>
        <v>1</v>
      </c>
      <c r="M3089" s="74">
        <v>52.48434411075036</v>
      </c>
      <c r="N3089" s="74">
        <f t="shared" si="1"/>
        <v>52.48434411</v>
      </c>
      <c r="O3089" s="74" t="b">
        <v>1</v>
      </c>
    </row>
    <row r="3090" hidden="1">
      <c r="A3090" s="82"/>
      <c r="B3090" s="65" t="s">
        <v>411</v>
      </c>
      <c r="C3090" s="65" t="s">
        <v>92</v>
      </c>
      <c r="D3090" s="65" t="str">
        <f>vlookup(C3090,'Classificação p pessoal'!F:G,2,false)</f>
        <v/>
      </c>
      <c r="E3090" s="65" t="s">
        <v>2107</v>
      </c>
      <c r="F3090" s="83">
        <v>0.7083333333333334</v>
      </c>
      <c r="G3090" s="83">
        <v>0.75</v>
      </c>
      <c r="H3090" s="83">
        <v>0.041666666666666664</v>
      </c>
      <c r="I3090" s="84">
        <v>44284.0</v>
      </c>
      <c r="J3090" s="65" t="b">
        <v>1</v>
      </c>
      <c r="K3090" s="65"/>
      <c r="L3090" s="85" t="b">
        <f>IF(VLOOKUP(C3090,Projetos!A:L,12,false)=TRUE,TRUE,FALSE)</f>
        <v>1</v>
      </c>
      <c r="M3090" s="74">
        <v>52.48434411075036</v>
      </c>
      <c r="N3090" s="74">
        <f t="shared" si="1"/>
        <v>52.48434411</v>
      </c>
      <c r="O3090" s="74" t="b">
        <v>1</v>
      </c>
    </row>
    <row r="3091" hidden="1">
      <c r="A3091" s="82"/>
      <c r="B3091" s="65" t="s">
        <v>411</v>
      </c>
      <c r="C3091" s="65" t="s">
        <v>119</v>
      </c>
      <c r="D3091" s="65" t="str">
        <f>vlookup(C3091,'Classificação p pessoal'!F:G,2,false)</f>
        <v>NP</v>
      </c>
      <c r="E3091" s="65" t="s">
        <v>2075</v>
      </c>
      <c r="F3091" s="83">
        <v>0.375</v>
      </c>
      <c r="G3091" s="83">
        <v>0.4166666666666667</v>
      </c>
      <c r="H3091" s="83">
        <v>0.041666666666666664</v>
      </c>
      <c r="I3091" s="84">
        <v>44285.0</v>
      </c>
      <c r="J3091" s="65" t="b">
        <v>1</v>
      </c>
      <c r="K3091" s="65"/>
      <c r="L3091" s="85" t="b">
        <f>IF(VLOOKUP(C3091,Projetos!A:L,12,false)=TRUE,TRUE,FALSE)</f>
        <v>1</v>
      </c>
      <c r="M3091" s="74">
        <v>52.48434411075036</v>
      </c>
      <c r="N3091" s="74">
        <f t="shared" si="1"/>
        <v>52.48434411</v>
      </c>
      <c r="O3091" s="74" t="b">
        <v>1</v>
      </c>
    </row>
    <row r="3092" hidden="1">
      <c r="A3092" s="82"/>
      <c r="B3092" s="65" t="s">
        <v>411</v>
      </c>
      <c r="C3092" s="65" t="s">
        <v>101</v>
      </c>
      <c r="D3092" s="65" t="str">
        <f>vlookup(C3092,'Classificação p pessoal'!F:G,2,false)</f>
        <v>NP</v>
      </c>
      <c r="E3092" s="65" t="s">
        <v>2108</v>
      </c>
      <c r="F3092" s="83">
        <v>0.4166666666666667</v>
      </c>
      <c r="G3092" s="83">
        <v>0.4791666666666667</v>
      </c>
      <c r="H3092" s="83">
        <v>0.0625</v>
      </c>
      <c r="I3092" s="84">
        <v>44285.0</v>
      </c>
      <c r="J3092" s="65" t="b">
        <v>1</v>
      </c>
      <c r="K3092" s="65"/>
      <c r="L3092" s="85" t="b">
        <f>IF(VLOOKUP(C3092,Projetos!A:L,12,false)=TRUE,TRUE,FALSE)</f>
        <v>1</v>
      </c>
      <c r="M3092" s="74">
        <v>52.48434411075036</v>
      </c>
      <c r="N3092" s="74">
        <f t="shared" si="1"/>
        <v>78.72651617</v>
      </c>
      <c r="O3092" s="74" t="b">
        <v>1</v>
      </c>
    </row>
    <row r="3093" hidden="1">
      <c r="A3093" s="82"/>
      <c r="B3093" s="65" t="s">
        <v>411</v>
      </c>
      <c r="C3093" s="65" t="s">
        <v>84</v>
      </c>
      <c r="D3093" s="65"/>
      <c r="E3093" s="65" t="s">
        <v>2109</v>
      </c>
      <c r="F3093" s="83">
        <v>0.4791666666666667</v>
      </c>
      <c r="G3093" s="83">
        <v>0.5</v>
      </c>
      <c r="H3093" s="83">
        <v>0.020833333333333332</v>
      </c>
      <c r="I3093" s="84">
        <v>44285.0</v>
      </c>
      <c r="J3093" s="65" t="b">
        <v>0</v>
      </c>
      <c r="K3093" s="65"/>
      <c r="L3093" s="85" t="b">
        <f>IF(VLOOKUP(C3093,Projetos!A:L,12,false)=TRUE,TRUE,FALSE)</f>
        <v>0</v>
      </c>
      <c r="M3093" s="74">
        <v>52.48434411075036</v>
      </c>
      <c r="N3093" s="74">
        <f t="shared" si="1"/>
        <v>0</v>
      </c>
      <c r="O3093" s="74" t="b">
        <v>0</v>
      </c>
    </row>
    <row r="3094" hidden="1">
      <c r="A3094" s="82"/>
      <c r="B3094" s="65" t="s">
        <v>411</v>
      </c>
      <c r="C3094" s="65" t="s">
        <v>107</v>
      </c>
      <c r="D3094" s="65" t="str">
        <f>vlookup(C3094,'Classificação p pessoal'!F:G,2,false)</f>
        <v>NP</v>
      </c>
      <c r="E3094" s="65" t="s">
        <v>2110</v>
      </c>
      <c r="F3094" s="83">
        <v>0.5</v>
      </c>
      <c r="G3094" s="83">
        <v>0.5416666666666666</v>
      </c>
      <c r="H3094" s="83">
        <v>0.041666666666666664</v>
      </c>
      <c r="I3094" s="84">
        <v>44285.0</v>
      </c>
      <c r="J3094" s="65" t="b">
        <v>1</v>
      </c>
      <c r="K3094" s="65"/>
      <c r="L3094" s="85" t="b">
        <f>IF(VLOOKUP(C3094,Projetos!A:L,12,false)=TRUE,TRUE,FALSE)</f>
        <v>1</v>
      </c>
      <c r="M3094" s="74">
        <v>52.48434411075036</v>
      </c>
      <c r="N3094" s="74">
        <f t="shared" si="1"/>
        <v>52.48434411</v>
      </c>
      <c r="O3094" s="74" t="b">
        <v>1</v>
      </c>
    </row>
    <row r="3095" hidden="1">
      <c r="A3095" s="82"/>
      <c r="B3095" s="65" t="s">
        <v>411</v>
      </c>
      <c r="C3095" s="65" t="s">
        <v>117</v>
      </c>
      <c r="D3095" s="65" t="str">
        <f>vlookup(C3095,'Classificação p pessoal'!F:G,2,false)</f>
        <v>NP</v>
      </c>
      <c r="E3095" s="65" t="s">
        <v>2074</v>
      </c>
      <c r="F3095" s="83">
        <v>0.5416666666666666</v>
      </c>
      <c r="G3095" s="83">
        <v>0.5833333333333334</v>
      </c>
      <c r="H3095" s="83">
        <v>0.041666666666666664</v>
      </c>
      <c r="I3095" s="84">
        <v>44285.0</v>
      </c>
      <c r="J3095" s="65" t="b">
        <v>1</v>
      </c>
      <c r="K3095" s="65"/>
      <c r="L3095" s="85" t="b">
        <f>IF(VLOOKUP(C3095,Projetos!A:L,12,false)=TRUE,TRUE,FALSE)</f>
        <v>1</v>
      </c>
      <c r="M3095" s="74">
        <v>52.48434411075036</v>
      </c>
      <c r="N3095" s="74">
        <f t="shared" si="1"/>
        <v>52.48434411</v>
      </c>
      <c r="O3095" s="74" t="b">
        <v>1</v>
      </c>
    </row>
    <row r="3096" hidden="1">
      <c r="A3096" s="82"/>
      <c r="B3096" s="65" t="s">
        <v>411</v>
      </c>
      <c r="C3096" s="65" t="s">
        <v>130</v>
      </c>
      <c r="D3096" s="65" t="str">
        <f>vlookup(C3096,'Classificação p pessoal'!F:G,2,false)</f>
        <v>NP</v>
      </c>
      <c r="E3096" s="65" t="s">
        <v>2111</v>
      </c>
      <c r="F3096" s="83">
        <v>0.625</v>
      </c>
      <c r="G3096" s="83">
        <v>0.6666666666666666</v>
      </c>
      <c r="H3096" s="83">
        <v>0.041666666666666664</v>
      </c>
      <c r="I3096" s="84">
        <v>44285.0</v>
      </c>
      <c r="J3096" s="65" t="b">
        <v>1</v>
      </c>
      <c r="K3096" s="65"/>
      <c r="L3096" s="85" t="b">
        <f>IF(VLOOKUP(C3096,Projetos!A:L,12,false)=TRUE,TRUE,FALSE)</f>
        <v>1</v>
      </c>
      <c r="M3096" s="74">
        <v>52.48434411075036</v>
      </c>
      <c r="N3096" s="74">
        <f t="shared" si="1"/>
        <v>52.48434411</v>
      </c>
      <c r="O3096" s="74" t="b">
        <v>1</v>
      </c>
    </row>
    <row r="3097" hidden="1">
      <c r="A3097" s="82"/>
      <c r="B3097" s="65" t="s">
        <v>411</v>
      </c>
      <c r="C3097" s="65" t="s">
        <v>117</v>
      </c>
      <c r="D3097" s="65" t="str">
        <f>vlookup(C3097,'Classificação p pessoal'!F:G,2,false)</f>
        <v>NP</v>
      </c>
      <c r="E3097" s="65" t="s">
        <v>2112</v>
      </c>
      <c r="F3097" s="83">
        <v>0.6875</v>
      </c>
      <c r="G3097" s="83">
        <v>0.75</v>
      </c>
      <c r="H3097" s="83">
        <v>0.0625</v>
      </c>
      <c r="I3097" s="84">
        <v>44285.0</v>
      </c>
      <c r="J3097" s="65" t="b">
        <v>1</v>
      </c>
      <c r="K3097" s="65"/>
      <c r="L3097" s="85" t="b">
        <f>IF(VLOOKUP(C3097,Projetos!A:L,12,false)=TRUE,TRUE,FALSE)</f>
        <v>1</v>
      </c>
      <c r="M3097" s="74">
        <v>52.48434411075036</v>
      </c>
      <c r="N3097" s="74">
        <f t="shared" si="1"/>
        <v>78.72651617</v>
      </c>
      <c r="O3097" s="74" t="b">
        <v>1</v>
      </c>
    </row>
    <row r="3098" hidden="1">
      <c r="A3098" s="82"/>
      <c r="B3098" s="65" t="s">
        <v>411</v>
      </c>
      <c r="C3098" s="65" t="s">
        <v>92</v>
      </c>
      <c r="D3098" s="65" t="str">
        <f>vlookup(C3098,'Classificação p pessoal'!F:G,2,false)</f>
        <v/>
      </c>
      <c r="E3098" s="65" t="s">
        <v>2113</v>
      </c>
      <c r="F3098" s="83">
        <v>0.34375</v>
      </c>
      <c r="G3098" s="83">
        <v>0.3958333333333333</v>
      </c>
      <c r="H3098" s="83">
        <v>0.052083333333333336</v>
      </c>
      <c r="I3098" s="84">
        <v>44286.0</v>
      </c>
      <c r="J3098" s="65" t="b">
        <v>1</v>
      </c>
      <c r="K3098" s="65"/>
      <c r="L3098" s="85" t="b">
        <f>IF(VLOOKUP(C3098,Projetos!A:L,12,false)=TRUE,TRUE,FALSE)</f>
        <v>1</v>
      </c>
      <c r="M3098" s="74">
        <v>52.48434411075036</v>
      </c>
      <c r="N3098" s="74">
        <f t="shared" si="1"/>
        <v>65.60543014</v>
      </c>
      <c r="O3098" s="74" t="b">
        <v>1</v>
      </c>
    </row>
    <row r="3099" hidden="1">
      <c r="A3099" s="82"/>
      <c r="B3099" s="65" t="s">
        <v>411</v>
      </c>
      <c r="C3099" s="65" t="s">
        <v>117</v>
      </c>
      <c r="D3099" s="65" t="str">
        <f>vlookup(C3099,'Classificação p pessoal'!F:G,2,false)</f>
        <v>NP</v>
      </c>
      <c r="E3099" s="65" t="s">
        <v>2114</v>
      </c>
      <c r="F3099" s="83">
        <v>0.3958333333333333</v>
      </c>
      <c r="G3099" s="83">
        <v>0.5208333333333334</v>
      </c>
      <c r="H3099" s="83">
        <v>0.125</v>
      </c>
      <c r="I3099" s="84">
        <v>44286.0</v>
      </c>
      <c r="J3099" s="65" t="b">
        <v>1</v>
      </c>
      <c r="K3099" s="65"/>
      <c r="L3099" s="85" t="b">
        <f>IF(VLOOKUP(C3099,Projetos!A:L,12,false)=TRUE,TRUE,FALSE)</f>
        <v>1</v>
      </c>
      <c r="M3099" s="74">
        <v>52.48434411075036</v>
      </c>
      <c r="N3099" s="74">
        <f t="shared" si="1"/>
        <v>157.4530323</v>
      </c>
      <c r="O3099" s="74" t="b">
        <v>1</v>
      </c>
    </row>
    <row r="3100" hidden="1">
      <c r="A3100" s="82"/>
      <c r="B3100" s="65" t="s">
        <v>411</v>
      </c>
      <c r="C3100" s="65" t="s">
        <v>114</v>
      </c>
      <c r="D3100" s="65"/>
      <c r="E3100" s="65" t="s">
        <v>2115</v>
      </c>
      <c r="F3100" s="83">
        <v>0.7083333333333334</v>
      </c>
      <c r="G3100" s="83">
        <v>0.75</v>
      </c>
      <c r="H3100" s="83">
        <v>0.041666666666666664</v>
      </c>
      <c r="I3100" s="84">
        <v>44413.0</v>
      </c>
      <c r="J3100" s="65" t="b">
        <v>0</v>
      </c>
      <c r="K3100" s="65" t="s">
        <v>150</v>
      </c>
      <c r="L3100" s="85" t="b">
        <f>IF(VLOOKUP(C3100,Projetos!A:L,12,false)=TRUE,TRUE,FALSE)</f>
        <v>1</v>
      </c>
      <c r="M3100" s="74">
        <v>52.48434411075036</v>
      </c>
      <c r="N3100" s="74">
        <f t="shared" si="1"/>
        <v>0</v>
      </c>
      <c r="O3100" s="74" t="b">
        <v>1</v>
      </c>
    </row>
    <row r="3101" hidden="1">
      <c r="A3101" s="82"/>
      <c r="B3101" s="65" t="s">
        <v>411</v>
      </c>
      <c r="C3101" s="65" t="s">
        <v>119</v>
      </c>
      <c r="D3101" s="65"/>
      <c r="E3101" s="65" t="s">
        <v>2116</v>
      </c>
      <c r="F3101" s="83">
        <v>0.4270833333333333</v>
      </c>
      <c r="G3101" s="83">
        <v>0.4791666666666667</v>
      </c>
      <c r="H3101" s="83">
        <v>0.052083333333333336</v>
      </c>
      <c r="I3101" s="84">
        <v>44341.0</v>
      </c>
      <c r="J3101" s="65" t="b">
        <v>0</v>
      </c>
      <c r="K3101" s="65" t="s">
        <v>150</v>
      </c>
      <c r="L3101" s="85" t="b">
        <f>IF(VLOOKUP(C3101,Projetos!A:L,12,false)=TRUE,TRUE,FALSE)</f>
        <v>1</v>
      </c>
      <c r="M3101" s="74">
        <v>52.48434411075036</v>
      </c>
      <c r="N3101" s="74">
        <f t="shared" si="1"/>
        <v>0</v>
      </c>
      <c r="O3101" s="74" t="b">
        <v>1</v>
      </c>
    </row>
    <row r="3102" hidden="1">
      <c r="A3102" s="82"/>
      <c r="B3102" s="65" t="s">
        <v>411</v>
      </c>
      <c r="C3102" s="65" t="s">
        <v>92</v>
      </c>
      <c r="D3102" s="65" t="str">
        <f>vlookup(C3102,'Classificação p pessoal'!F:G,2,false)</f>
        <v/>
      </c>
      <c r="E3102" s="65" t="s">
        <v>2117</v>
      </c>
      <c r="F3102" s="83">
        <v>0.7083333333333334</v>
      </c>
      <c r="G3102" s="83">
        <v>0.75</v>
      </c>
      <c r="H3102" s="83">
        <v>0.041666666666666664</v>
      </c>
      <c r="I3102" s="84">
        <v>44286.0</v>
      </c>
      <c r="J3102" s="65" t="b">
        <v>1</v>
      </c>
      <c r="K3102" s="65"/>
      <c r="L3102" s="85" t="b">
        <f>IF(VLOOKUP(C3102,Projetos!A:L,12,false)=TRUE,TRUE,FALSE)</f>
        <v>1</v>
      </c>
      <c r="M3102" s="74">
        <v>52.48434411075036</v>
      </c>
      <c r="N3102" s="74">
        <f t="shared" si="1"/>
        <v>52.48434411</v>
      </c>
      <c r="O3102" s="74" t="b">
        <v>1</v>
      </c>
    </row>
    <row r="3103" hidden="1">
      <c r="A3103" s="82"/>
      <c r="B3103" s="65" t="s">
        <v>411</v>
      </c>
      <c r="C3103" s="65" t="s">
        <v>117</v>
      </c>
      <c r="D3103" s="65" t="str">
        <f>vlookup(C3103,'Classificação p pessoal'!F:G,2,false)</f>
        <v>NP</v>
      </c>
      <c r="E3103" s="65" t="s">
        <v>2114</v>
      </c>
      <c r="F3103" s="83">
        <v>0.34375</v>
      </c>
      <c r="G3103" s="83">
        <v>0.5</v>
      </c>
      <c r="H3103" s="83">
        <v>0.15625</v>
      </c>
      <c r="I3103" s="84">
        <v>44287.0</v>
      </c>
      <c r="J3103" s="65" t="b">
        <v>1</v>
      </c>
      <c r="K3103" s="65"/>
      <c r="L3103" s="85" t="b">
        <f>IF(VLOOKUP(C3103,Projetos!A:L,12,false)=TRUE,TRUE,FALSE)</f>
        <v>1</v>
      </c>
      <c r="M3103" s="74">
        <v>52.48434411075036</v>
      </c>
      <c r="N3103" s="74">
        <f t="shared" si="1"/>
        <v>196.8162904</v>
      </c>
      <c r="O3103" s="74" t="b">
        <v>1</v>
      </c>
    </row>
    <row r="3104" hidden="1">
      <c r="A3104" s="82"/>
      <c r="B3104" s="65" t="s">
        <v>411</v>
      </c>
      <c r="C3104" s="65" t="s">
        <v>152</v>
      </c>
      <c r="D3104" s="65" t="str">
        <f>vlookup(C3104,'Classificação p pessoal'!F:G,2,false)</f>
        <v>MProduto</v>
      </c>
      <c r="E3104" s="65" t="s">
        <v>2118</v>
      </c>
      <c r="F3104" s="83">
        <v>0.5</v>
      </c>
      <c r="G3104" s="83">
        <v>0.5625</v>
      </c>
      <c r="H3104" s="83">
        <v>0.0625</v>
      </c>
      <c r="I3104" s="84">
        <v>44287.0</v>
      </c>
      <c r="J3104" s="65" t="b">
        <v>1</v>
      </c>
      <c r="K3104" s="65"/>
      <c r="L3104" s="85" t="b">
        <f>IF(VLOOKUP(C3104,Projetos!A:L,12,false)=TRUE,TRUE,FALSE)</f>
        <v>1</v>
      </c>
      <c r="M3104" s="74">
        <v>52.48434411075036</v>
      </c>
      <c r="N3104" s="74">
        <f t="shared" si="1"/>
        <v>78.72651617</v>
      </c>
      <c r="O3104" s="74" t="b">
        <v>1</v>
      </c>
    </row>
    <row r="3105" hidden="1">
      <c r="A3105" s="82"/>
      <c r="B3105" s="65" t="s">
        <v>411</v>
      </c>
      <c r="C3105" s="65" t="s">
        <v>117</v>
      </c>
      <c r="D3105" s="65" t="str">
        <f>vlookup(C3105,'Classificação p pessoal'!F:G,2,false)</f>
        <v>NP</v>
      </c>
      <c r="E3105" s="65" t="s">
        <v>2119</v>
      </c>
      <c r="F3105" s="83">
        <v>0.6041666666666666</v>
      </c>
      <c r="G3105" s="83">
        <v>0.7083333333333334</v>
      </c>
      <c r="H3105" s="83">
        <v>0.10416666666666667</v>
      </c>
      <c r="I3105" s="84">
        <v>44287.0</v>
      </c>
      <c r="J3105" s="65" t="b">
        <v>1</v>
      </c>
      <c r="K3105" s="65"/>
      <c r="L3105" s="85" t="b">
        <f>IF(VLOOKUP(C3105,Projetos!A:L,12,false)=TRUE,TRUE,FALSE)</f>
        <v>1</v>
      </c>
      <c r="M3105" s="74">
        <v>52.48434411075036</v>
      </c>
      <c r="N3105" s="74">
        <f t="shared" si="1"/>
        <v>131.2108603</v>
      </c>
      <c r="O3105" s="74" t="b">
        <v>1</v>
      </c>
    </row>
    <row r="3106" hidden="1">
      <c r="A3106" s="82"/>
      <c r="B3106" s="65" t="s">
        <v>495</v>
      </c>
      <c r="C3106" s="65" t="s">
        <v>92</v>
      </c>
      <c r="D3106" s="65" t="str">
        <f>vlookup(C3106,'Classificação p pessoal'!F:G,2,false)</f>
        <v/>
      </c>
      <c r="E3106" s="65" t="s">
        <v>2120</v>
      </c>
      <c r="F3106" s="83">
        <v>0.3958333333333333</v>
      </c>
      <c r="G3106" s="83">
        <v>0.4166666666666667</v>
      </c>
      <c r="H3106" s="83">
        <v>0.020833333333333332</v>
      </c>
      <c r="I3106" s="84">
        <v>44483.0</v>
      </c>
      <c r="J3106" s="65" t="b">
        <v>1</v>
      </c>
      <c r="K3106" s="65"/>
      <c r="L3106" s="85" t="b">
        <f>IF(VLOOKUP(C3106,Projetos!A:L,12,false)=TRUE,TRUE,FALSE)</f>
        <v>1</v>
      </c>
      <c r="M3106" s="74">
        <v>73.7079846079846</v>
      </c>
      <c r="N3106" s="74">
        <f t="shared" si="1"/>
        <v>36.8539923</v>
      </c>
      <c r="O3106" s="74" t="b">
        <v>1</v>
      </c>
    </row>
    <row r="3107" hidden="1">
      <c r="A3107" s="82"/>
      <c r="B3107" s="65" t="s">
        <v>411</v>
      </c>
      <c r="C3107" s="65" t="s">
        <v>125</v>
      </c>
      <c r="D3107" s="65" t="str">
        <f>vlookup(C3107,'Classificação p pessoal'!F:G,2,false)</f>
        <v>MProduto</v>
      </c>
      <c r="E3107" s="65" t="s">
        <v>2121</v>
      </c>
      <c r="F3107" s="83">
        <v>0.34375</v>
      </c>
      <c r="G3107" s="83">
        <v>0.4375</v>
      </c>
      <c r="H3107" s="83">
        <v>0.09375</v>
      </c>
      <c r="I3107" s="84">
        <v>44291.0</v>
      </c>
      <c r="J3107" s="65" t="b">
        <v>1</v>
      </c>
      <c r="K3107" s="65"/>
      <c r="L3107" s="85" t="b">
        <f>IF(VLOOKUP(C3107,Projetos!A:L,12,false)=TRUE,TRUE,FALSE)</f>
        <v>1</v>
      </c>
      <c r="M3107" s="74">
        <v>52.48434411075036</v>
      </c>
      <c r="N3107" s="74">
        <f t="shared" si="1"/>
        <v>118.0897742</v>
      </c>
      <c r="O3107" s="74" t="b">
        <v>1</v>
      </c>
    </row>
    <row r="3108" hidden="1">
      <c r="A3108" s="82"/>
      <c r="B3108" s="65" t="s">
        <v>411</v>
      </c>
      <c r="C3108" s="65" t="s">
        <v>152</v>
      </c>
      <c r="D3108" s="65" t="str">
        <f>vlookup(C3108,'Classificação p pessoal'!F:G,2,false)</f>
        <v>MProduto</v>
      </c>
      <c r="E3108" s="65" t="s">
        <v>2122</v>
      </c>
      <c r="F3108" s="83">
        <v>0.4375</v>
      </c>
      <c r="G3108" s="83">
        <v>0.5</v>
      </c>
      <c r="H3108" s="83">
        <v>0.0625</v>
      </c>
      <c r="I3108" s="84">
        <v>44291.0</v>
      </c>
      <c r="J3108" s="65" t="b">
        <v>1</v>
      </c>
      <c r="K3108" s="65"/>
      <c r="L3108" s="85" t="b">
        <f>IF(VLOOKUP(C3108,Projetos!A:L,12,false)=TRUE,TRUE,FALSE)</f>
        <v>1</v>
      </c>
      <c r="M3108" s="74">
        <v>52.48434411075036</v>
      </c>
      <c r="N3108" s="74">
        <f t="shared" si="1"/>
        <v>78.72651617</v>
      </c>
      <c r="O3108" s="74" t="b">
        <v>1</v>
      </c>
    </row>
    <row r="3109" hidden="1">
      <c r="A3109" s="82"/>
      <c r="B3109" s="65" t="s">
        <v>411</v>
      </c>
      <c r="C3109" s="65" t="s">
        <v>117</v>
      </c>
      <c r="D3109" s="65" t="str">
        <f>vlookup(C3109,'Classificação p pessoal'!F:G,2,false)</f>
        <v>NP</v>
      </c>
      <c r="E3109" s="65" t="s">
        <v>2123</v>
      </c>
      <c r="F3109" s="83">
        <v>0.5</v>
      </c>
      <c r="G3109" s="83">
        <v>0.5208333333333334</v>
      </c>
      <c r="H3109" s="83">
        <v>0.020833333333333332</v>
      </c>
      <c r="I3109" s="84">
        <v>44291.0</v>
      </c>
      <c r="J3109" s="65" t="b">
        <v>1</v>
      </c>
      <c r="K3109" s="65"/>
      <c r="L3109" s="85" t="b">
        <f>IF(VLOOKUP(C3109,Projetos!A:L,12,false)=TRUE,TRUE,FALSE)</f>
        <v>1</v>
      </c>
      <c r="M3109" s="74">
        <v>52.48434411075036</v>
      </c>
      <c r="N3109" s="74">
        <f t="shared" si="1"/>
        <v>26.24217206</v>
      </c>
      <c r="O3109" s="74" t="b">
        <v>1</v>
      </c>
    </row>
    <row r="3110" hidden="1">
      <c r="A3110" s="82"/>
      <c r="B3110" s="65" t="s">
        <v>411</v>
      </c>
      <c r="C3110" s="65" t="s">
        <v>119</v>
      </c>
      <c r="D3110" s="65" t="str">
        <f>vlookup(C3110,'Classificação p pessoal'!F:G,2,false)</f>
        <v>NP</v>
      </c>
      <c r="E3110" s="65" t="s">
        <v>2124</v>
      </c>
      <c r="F3110" s="83">
        <v>0.5208333333333334</v>
      </c>
      <c r="G3110" s="83">
        <v>0.5625</v>
      </c>
      <c r="H3110" s="83">
        <v>0.041666666666666664</v>
      </c>
      <c r="I3110" s="84">
        <v>44291.0</v>
      </c>
      <c r="J3110" s="65" t="b">
        <v>1</v>
      </c>
      <c r="K3110" s="65"/>
      <c r="L3110" s="85" t="b">
        <f>IF(VLOOKUP(C3110,Projetos!A:L,12,false)=TRUE,TRUE,FALSE)</f>
        <v>1</v>
      </c>
      <c r="M3110" s="74">
        <v>52.48434411075036</v>
      </c>
      <c r="N3110" s="74">
        <f t="shared" si="1"/>
        <v>52.48434411</v>
      </c>
      <c r="O3110" s="74" t="b">
        <v>1</v>
      </c>
    </row>
    <row r="3111" hidden="1">
      <c r="A3111" s="82"/>
      <c r="B3111" s="65" t="s">
        <v>411</v>
      </c>
      <c r="C3111" s="65" t="s">
        <v>127</v>
      </c>
      <c r="D3111" s="65" t="str">
        <f>vlookup(C3111,'Classificação p pessoal'!F:G,2,false)</f>
        <v>NP</v>
      </c>
      <c r="E3111" s="65" t="s">
        <v>2125</v>
      </c>
      <c r="F3111" s="83">
        <v>0.5625</v>
      </c>
      <c r="G3111" s="83">
        <v>0.6041666666666666</v>
      </c>
      <c r="H3111" s="83">
        <v>0.041666666666666664</v>
      </c>
      <c r="I3111" s="84">
        <v>44291.0</v>
      </c>
      <c r="J3111" s="65" t="b">
        <v>1</v>
      </c>
      <c r="K3111" s="65"/>
      <c r="L3111" s="85" t="b">
        <f>IF(VLOOKUP(C3111,Projetos!A:L,12,false)=TRUE,TRUE,FALSE)</f>
        <v>1</v>
      </c>
      <c r="M3111" s="74">
        <v>52.48434411075036</v>
      </c>
      <c r="N3111" s="74">
        <f t="shared" si="1"/>
        <v>52.48434411</v>
      </c>
      <c r="O3111" s="74" t="b">
        <v>1</v>
      </c>
    </row>
    <row r="3112" hidden="1">
      <c r="A3112" s="82"/>
      <c r="B3112" s="65" t="s">
        <v>411</v>
      </c>
      <c r="C3112" s="65" t="s">
        <v>117</v>
      </c>
      <c r="D3112" s="65" t="str">
        <f>vlookup(C3112,'Classificação p pessoal'!F:G,2,false)</f>
        <v>NP</v>
      </c>
      <c r="E3112" s="65" t="s">
        <v>2126</v>
      </c>
      <c r="F3112" s="83">
        <v>0.625</v>
      </c>
      <c r="G3112" s="83">
        <v>0.6875</v>
      </c>
      <c r="H3112" s="83">
        <v>0.0625</v>
      </c>
      <c r="I3112" s="84">
        <v>44291.0</v>
      </c>
      <c r="J3112" s="65" t="b">
        <v>1</v>
      </c>
      <c r="K3112" s="65"/>
      <c r="L3112" s="85" t="b">
        <f>IF(VLOOKUP(C3112,Projetos!A:L,12,false)=TRUE,TRUE,FALSE)</f>
        <v>1</v>
      </c>
      <c r="M3112" s="74">
        <v>52.48434411075036</v>
      </c>
      <c r="N3112" s="74">
        <f t="shared" si="1"/>
        <v>78.72651617</v>
      </c>
      <c r="O3112" s="74" t="b">
        <v>1</v>
      </c>
    </row>
    <row r="3113" hidden="1">
      <c r="A3113" s="82"/>
      <c r="B3113" s="65" t="s">
        <v>411</v>
      </c>
      <c r="C3113" s="65" t="s">
        <v>92</v>
      </c>
      <c r="D3113" s="65" t="str">
        <f>vlookup(C3113,'Classificação p pessoal'!F:G,2,false)</f>
        <v/>
      </c>
      <c r="E3113" s="65" t="s">
        <v>2021</v>
      </c>
      <c r="F3113" s="83">
        <v>0.6875</v>
      </c>
      <c r="G3113" s="83">
        <v>0.75</v>
      </c>
      <c r="H3113" s="83">
        <v>0.0625</v>
      </c>
      <c r="I3113" s="84">
        <v>44291.0</v>
      </c>
      <c r="J3113" s="65" t="b">
        <v>1</v>
      </c>
      <c r="K3113" s="65"/>
      <c r="L3113" s="85" t="b">
        <f>IF(VLOOKUP(C3113,Projetos!A:L,12,false)=TRUE,TRUE,FALSE)</f>
        <v>1</v>
      </c>
      <c r="M3113" s="74">
        <v>52.48434411075036</v>
      </c>
      <c r="N3113" s="74">
        <f t="shared" si="1"/>
        <v>78.72651617</v>
      </c>
      <c r="O3113" s="74" t="b">
        <v>1</v>
      </c>
    </row>
    <row r="3114" hidden="1">
      <c r="A3114" s="82"/>
      <c r="B3114" s="65" t="s">
        <v>411</v>
      </c>
      <c r="C3114" s="65" t="s">
        <v>91</v>
      </c>
      <c r="D3114" s="65" t="str">
        <f>vlookup(C3114,'Classificação p pessoal'!F:G,2,false)</f>
        <v>NP</v>
      </c>
      <c r="E3114" s="65" t="s">
        <v>2127</v>
      </c>
      <c r="F3114" s="83">
        <v>0.34375</v>
      </c>
      <c r="G3114" s="83">
        <v>0.3958333333333333</v>
      </c>
      <c r="H3114" s="83">
        <v>0.052083333333333336</v>
      </c>
      <c r="I3114" s="84">
        <v>44292.0</v>
      </c>
      <c r="J3114" s="65" t="b">
        <v>1</v>
      </c>
      <c r="K3114" s="65"/>
      <c r="L3114" s="85" t="b">
        <f>IF(VLOOKUP(C3114,Projetos!A:L,12,false)=TRUE,TRUE,FALSE)</f>
        <v>1</v>
      </c>
      <c r="M3114" s="74">
        <v>52.48434411075036</v>
      </c>
      <c r="N3114" s="74">
        <f t="shared" si="1"/>
        <v>65.60543014</v>
      </c>
      <c r="O3114" s="74" t="b">
        <v>1</v>
      </c>
    </row>
    <row r="3115" hidden="1">
      <c r="A3115" s="82"/>
      <c r="B3115" s="65" t="s">
        <v>411</v>
      </c>
      <c r="C3115" s="65" t="s">
        <v>130</v>
      </c>
      <c r="D3115" s="65" t="str">
        <f>vlookup(C3115,'Classificação p pessoal'!F:G,2,false)</f>
        <v>NP</v>
      </c>
      <c r="E3115" s="65" t="s">
        <v>2128</v>
      </c>
      <c r="F3115" s="83">
        <v>0.3958333333333333</v>
      </c>
      <c r="G3115" s="83">
        <v>0.4166666666666667</v>
      </c>
      <c r="H3115" s="83">
        <v>0.020833333333333332</v>
      </c>
      <c r="I3115" s="84">
        <v>44292.0</v>
      </c>
      <c r="J3115" s="65" t="b">
        <v>1</v>
      </c>
      <c r="K3115" s="65"/>
      <c r="L3115" s="85" t="b">
        <f>IF(VLOOKUP(C3115,Projetos!A:L,12,false)=TRUE,TRUE,FALSE)</f>
        <v>1</v>
      </c>
      <c r="M3115" s="74">
        <v>52.48434411075036</v>
      </c>
      <c r="N3115" s="74">
        <f t="shared" si="1"/>
        <v>26.24217206</v>
      </c>
      <c r="O3115" s="74" t="b">
        <v>1</v>
      </c>
    </row>
    <row r="3116" hidden="1">
      <c r="A3116" s="82"/>
      <c r="B3116" s="65" t="s">
        <v>411</v>
      </c>
      <c r="C3116" s="65" t="s">
        <v>104</v>
      </c>
      <c r="D3116" s="65" t="str">
        <f>vlookup(C3116,'Classificação p pessoal'!F:G,2,false)</f>
        <v>NP</v>
      </c>
      <c r="E3116" s="65" t="s">
        <v>2129</v>
      </c>
      <c r="F3116" s="83">
        <v>0.4166666666666667</v>
      </c>
      <c r="G3116" s="83">
        <v>0.4375</v>
      </c>
      <c r="H3116" s="83">
        <v>0.020833333333333332</v>
      </c>
      <c r="I3116" s="84">
        <v>44292.0</v>
      </c>
      <c r="J3116" s="65" t="b">
        <v>1</v>
      </c>
      <c r="K3116" s="65"/>
      <c r="L3116" s="85" t="b">
        <f>IF(VLOOKUP(C3116,Projetos!A:L,12,false)=TRUE,TRUE,FALSE)</f>
        <v>1</v>
      </c>
      <c r="M3116" s="74">
        <v>52.48434411075036</v>
      </c>
      <c r="N3116" s="74">
        <f t="shared" si="1"/>
        <v>26.24217206</v>
      </c>
      <c r="O3116" s="74" t="b">
        <v>1</v>
      </c>
    </row>
    <row r="3117" hidden="1">
      <c r="A3117" s="82"/>
      <c r="B3117" s="65" t="s">
        <v>411</v>
      </c>
      <c r="C3117" s="65" t="s">
        <v>117</v>
      </c>
      <c r="D3117" s="65" t="str">
        <f>vlookup(C3117,'Classificação p pessoal'!F:G,2,false)</f>
        <v>NP</v>
      </c>
      <c r="E3117" s="65" t="s">
        <v>2130</v>
      </c>
      <c r="F3117" s="83">
        <v>0.4375</v>
      </c>
      <c r="G3117" s="83">
        <v>0.4583333333333333</v>
      </c>
      <c r="H3117" s="83">
        <v>0.020833333333333332</v>
      </c>
      <c r="I3117" s="84">
        <v>44292.0</v>
      </c>
      <c r="J3117" s="65" t="b">
        <v>1</v>
      </c>
      <c r="K3117" s="65"/>
      <c r="L3117" s="85" t="b">
        <f>IF(VLOOKUP(C3117,Projetos!A:L,12,false)=TRUE,TRUE,FALSE)</f>
        <v>1</v>
      </c>
      <c r="M3117" s="74">
        <v>52.48434411075036</v>
      </c>
      <c r="N3117" s="74">
        <f t="shared" si="1"/>
        <v>26.24217206</v>
      </c>
      <c r="O3117" s="74" t="b">
        <v>1</v>
      </c>
    </row>
    <row r="3118" hidden="1">
      <c r="A3118" s="82"/>
      <c r="B3118" s="65" t="s">
        <v>411</v>
      </c>
      <c r="C3118" s="65" t="s">
        <v>92</v>
      </c>
      <c r="D3118" s="65" t="str">
        <f>vlookup(C3118,'Classificação p pessoal'!F:G,2,false)</f>
        <v/>
      </c>
      <c r="E3118" s="65" t="s">
        <v>2131</v>
      </c>
      <c r="F3118" s="83">
        <v>0.4583333333333333</v>
      </c>
      <c r="G3118" s="83">
        <v>0.5208333333333334</v>
      </c>
      <c r="H3118" s="83">
        <v>0.0625</v>
      </c>
      <c r="I3118" s="84">
        <v>44292.0</v>
      </c>
      <c r="J3118" s="65" t="b">
        <v>1</v>
      </c>
      <c r="K3118" s="65"/>
      <c r="L3118" s="85" t="b">
        <f>IF(VLOOKUP(C3118,Projetos!A:L,12,false)=TRUE,TRUE,FALSE)</f>
        <v>1</v>
      </c>
      <c r="M3118" s="74">
        <v>52.48434411075036</v>
      </c>
      <c r="N3118" s="74">
        <f t="shared" si="1"/>
        <v>78.72651617</v>
      </c>
      <c r="O3118" s="74" t="b">
        <v>1</v>
      </c>
    </row>
    <row r="3119" hidden="1">
      <c r="A3119" s="82"/>
      <c r="B3119" s="65" t="s">
        <v>411</v>
      </c>
      <c r="C3119" s="65" t="s">
        <v>117</v>
      </c>
      <c r="D3119" s="65" t="str">
        <f>vlookup(C3119,'Classificação p pessoal'!F:G,2,false)</f>
        <v>NP</v>
      </c>
      <c r="E3119" s="65" t="s">
        <v>2132</v>
      </c>
      <c r="F3119" s="83">
        <v>0.5208333333333334</v>
      </c>
      <c r="G3119" s="83">
        <v>0.5625</v>
      </c>
      <c r="H3119" s="83">
        <v>0.041666666666666664</v>
      </c>
      <c r="I3119" s="84">
        <v>44292.0</v>
      </c>
      <c r="J3119" s="65" t="b">
        <v>1</v>
      </c>
      <c r="K3119" s="65"/>
      <c r="L3119" s="85" t="b">
        <f>IF(VLOOKUP(C3119,Projetos!A:L,12,false)=TRUE,TRUE,FALSE)</f>
        <v>1</v>
      </c>
      <c r="M3119" s="74">
        <v>52.48434411075036</v>
      </c>
      <c r="N3119" s="74">
        <f t="shared" si="1"/>
        <v>52.48434411</v>
      </c>
      <c r="O3119" s="74" t="b">
        <v>1</v>
      </c>
    </row>
    <row r="3120" hidden="1">
      <c r="A3120" s="82"/>
      <c r="B3120" s="65" t="s">
        <v>411</v>
      </c>
      <c r="C3120" s="65" t="s">
        <v>119</v>
      </c>
      <c r="D3120" s="65" t="str">
        <f>vlookup(C3120,'Classificação p pessoal'!F:G,2,false)</f>
        <v>NP</v>
      </c>
      <c r="E3120" s="65" t="s">
        <v>2124</v>
      </c>
      <c r="F3120" s="83">
        <v>0.6041666666666666</v>
      </c>
      <c r="G3120" s="83">
        <v>0.6458333333333334</v>
      </c>
      <c r="H3120" s="83">
        <v>0.041666666666666664</v>
      </c>
      <c r="I3120" s="84">
        <v>44292.0</v>
      </c>
      <c r="J3120" s="65" t="b">
        <v>1</v>
      </c>
      <c r="K3120" s="65"/>
      <c r="L3120" s="85" t="b">
        <f>IF(VLOOKUP(C3120,Projetos!A:L,12,false)=TRUE,TRUE,FALSE)</f>
        <v>1</v>
      </c>
      <c r="M3120" s="74">
        <v>52.48434411075036</v>
      </c>
      <c r="N3120" s="74">
        <f t="shared" si="1"/>
        <v>52.48434411</v>
      </c>
      <c r="O3120" s="74" t="b">
        <v>1</v>
      </c>
    </row>
    <row r="3121" hidden="1">
      <c r="A3121" s="82"/>
      <c r="B3121" s="65" t="s">
        <v>411</v>
      </c>
      <c r="C3121" s="65" t="s">
        <v>132</v>
      </c>
      <c r="D3121" s="65"/>
      <c r="E3121" s="65" t="s">
        <v>2133</v>
      </c>
      <c r="F3121" s="83">
        <v>0.6458333333333334</v>
      </c>
      <c r="G3121" s="83">
        <v>0.6666666666666666</v>
      </c>
      <c r="H3121" s="83">
        <v>0.020833333333333332</v>
      </c>
      <c r="I3121" s="84">
        <v>44292.0</v>
      </c>
      <c r="J3121" s="65" t="b">
        <v>0</v>
      </c>
      <c r="K3121" s="65" t="s">
        <v>150</v>
      </c>
      <c r="L3121" s="85" t="b">
        <f>IF(VLOOKUP(C3121,Projetos!A:L,12,false)=TRUE,TRUE,FALSE)</f>
        <v>0</v>
      </c>
      <c r="M3121" s="74">
        <v>52.48434411075036</v>
      </c>
      <c r="N3121" s="74">
        <f t="shared" si="1"/>
        <v>0</v>
      </c>
      <c r="O3121" s="74" t="b">
        <v>0</v>
      </c>
    </row>
    <row r="3122" hidden="1">
      <c r="A3122" s="82"/>
      <c r="B3122" s="65" t="s">
        <v>411</v>
      </c>
      <c r="C3122" s="65" t="s">
        <v>117</v>
      </c>
      <c r="D3122" s="65" t="str">
        <f>vlookup(C3122,'Classificação p pessoal'!F:G,2,false)</f>
        <v>NP</v>
      </c>
      <c r="E3122" s="65" t="s">
        <v>2134</v>
      </c>
      <c r="F3122" s="83">
        <v>0.6666666666666666</v>
      </c>
      <c r="G3122" s="83">
        <v>0.75</v>
      </c>
      <c r="H3122" s="83">
        <v>0.08333333333333333</v>
      </c>
      <c r="I3122" s="84">
        <v>44292.0</v>
      </c>
      <c r="J3122" s="65" t="b">
        <v>1</v>
      </c>
      <c r="K3122" s="65"/>
      <c r="L3122" s="85" t="b">
        <f>IF(VLOOKUP(C3122,Projetos!A:L,12,false)=TRUE,TRUE,FALSE)</f>
        <v>1</v>
      </c>
      <c r="M3122" s="74">
        <v>52.48434411075036</v>
      </c>
      <c r="N3122" s="74">
        <f t="shared" si="1"/>
        <v>104.9686882</v>
      </c>
      <c r="O3122" s="74" t="b">
        <v>1</v>
      </c>
    </row>
    <row r="3123" hidden="1">
      <c r="A3123" s="82"/>
      <c r="B3123" s="65" t="s">
        <v>411</v>
      </c>
      <c r="C3123" s="65" t="s">
        <v>117</v>
      </c>
      <c r="D3123" s="65" t="str">
        <f>vlookup(C3123,'Classificação p pessoal'!F:G,2,false)</f>
        <v>NP</v>
      </c>
      <c r="E3123" s="65" t="s">
        <v>2132</v>
      </c>
      <c r="F3123" s="83">
        <v>0.34375</v>
      </c>
      <c r="G3123" s="83">
        <v>0.3541666666666667</v>
      </c>
      <c r="H3123" s="83">
        <v>0.010416666666666666</v>
      </c>
      <c r="I3123" s="84">
        <v>44293.0</v>
      </c>
      <c r="J3123" s="65" t="b">
        <v>1</v>
      </c>
      <c r="K3123" s="65"/>
      <c r="L3123" s="85" t="b">
        <f>IF(VLOOKUP(C3123,Projetos!A:L,12,false)=TRUE,TRUE,FALSE)</f>
        <v>1</v>
      </c>
      <c r="M3123" s="74">
        <v>52.48434411075036</v>
      </c>
      <c r="N3123" s="74">
        <f t="shared" si="1"/>
        <v>13.12108603</v>
      </c>
      <c r="O3123" s="74" t="b">
        <v>1</v>
      </c>
    </row>
    <row r="3124" hidden="1">
      <c r="A3124" s="82"/>
      <c r="B3124" s="65" t="s">
        <v>411</v>
      </c>
      <c r="C3124" s="65" t="s">
        <v>117</v>
      </c>
      <c r="D3124" s="65" t="str">
        <f>vlookup(C3124,'Classificação p pessoal'!F:G,2,false)</f>
        <v>NP</v>
      </c>
      <c r="E3124" s="65" t="s">
        <v>2135</v>
      </c>
      <c r="F3124" s="83">
        <v>0.4166666666666667</v>
      </c>
      <c r="G3124" s="83">
        <v>0.4375</v>
      </c>
      <c r="H3124" s="83">
        <v>0.020833333333333332</v>
      </c>
      <c r="I3124" s="84">
        <v>44293.0</v>
      </c>
      <c r="J3124" s="65" t="b">
        <v>1</v>
      </c>
      <c r="K3124" s="65"/>
      <c r="L3124" s="85" t="b">
        <f>IF(VLOOKUP(C3124,Projetos!A:L,12,false)=TRUE,TRUE,FALSE)</f>
        <v>1</v>
      </c>
      <c r="M3124" s="74">
        <v>52.48434411075036</v>
      </c>
      <c r="N3124" s="74">
        <f t="shared" si="1"/>
        <v>26.24217206</v>
      </c>
      <c r="O3124" s="74" t="b">
        <v>1</v>
      </c>
    </row>
    <row r="3125" hidden="1">
      <c r="A3125" s="82"/>
      <c r="B3125" s="65" t="s">
        <v>411</v>
      </c>
      <c r="C3125" s="65" t="s">
        <v>92</v>
      </c>
      <c r="D3125" s="65" t="str">
        <f>vlookup(C3125,'Classificação p pessoal'!F:G,2,false)</f>
        <v/>
      </c>
      <c r="E3125" s="65" t="s">
        <v>2131</v>
      </c>
      <c r="F3125" s="83">
        <v>0.4375</v>
      </c>
      <c r="G3125" s="83">
        <v>0.5</v>
      </c>
      <c r="H3125" s="83">
        <v>0.0625</v>
      </c>
      <c r="I3125" s="84">
        <v>44293.0</v>
      </c>
      <c r="J3125" s="65" t="b">
        <v>1</v>
      </c>
      <c r="K3125" s="65"/>
      <c r="L3125" s="85" t="b">
        <f>IF(VLOOKUP(C3125,Projetos!A:L,12,false)=TRUE,TRUE,FALSE)</f>
        <v>1</v>
      </c>
      <c r="M3125" s="74">
        <v>52.48434411075036</v>
      </c>
      <c r="N3125" s="74">
        <f t="shared" si="1"/>
        <v>78.72651617</v>
      </c>
      <c r="O3125" s="74" t="b">
        <v>1</v>
      </c>
    </row>
    <row r="3126" hidden="1">
      <c r="A3126" s="82"/>
      <c r="B3126" s="65" t="s">
        <v>411</v>
      </c>
      <c r="C3126" s="65" t="s">
        <v>125</v>
      </c>
      <c r="D3126" s="65" t="str">
        <f>vlookup(C3126,'Classificação p pessoal'!F:G,2,false)</f>
        <v>MProduto</v>
      </c>
      <c r="E3126" s="65" t="s">
        <v>2136</v>
      </c>
      <c r="F3126" s="83">
        <v>0.5416666666666666</v>
      </c>
      <c r="G3126" s="83">
        <v>0.6041666666666666</v>
      </c>
      <c r="H3126" s="83">
        <v>0.0625</v>
      </c>
      <c r="I3126" s="84">
        <v>44293.0</v>
      </c>
      <c r="J3126" s="65" t="b">
        <v>1</v>
      </c>
      <c r="K3126" s="65"/>
      <c r="L3126" s="85" t="b">
        <f>IF(VLOOKUP(C3126,Projetos!A:L,12,false)=TRUE,TRUE,FALSE)</f>
        <v>1</v>
      </c>
      <c r="M3126" s="74">
        <v>52.48434411075036</v>
      </c>
      <c r="N3126" s="74">
        <f t="shared" si="1"/>
        <v>78.72651617</v>
      </c>
      <c r="O3126" s="74" t="b">
        <v>1</v>
      </c>
    </row>
    <row r="3127" hidden="1">
      <c r="A3127" s="82"/>
      <c r="B3127" s="65" t="s">
        <v>411</v>
      </c>
      <c r="C3127" s="65" t="s">
        <v>117</v>
      </c>
      <c r="D3127" s="65"/>
      <c r="E3127" s="65" t="s">
        <v>2137</v>
      </c>
      <c r="F3127" s="83">
        <v>0.6041666666666666</v>
      </c>
      <c r="G3127" s="83">
        <v>0.625</v>
      </c>
      <c r="H3127" s="83">
        <v>0.020833333333333332</v>
      </c>
      <c r="I3127" s="84">
        <v>44293.0</v>
      </c>
      <c r="J3127" s="65" t="b">
        <v>0</v>
      </c>
      <c r="K3127" s="65" t="s">
        <v>150</v>
      </c>
      <c r="L3127" s="85" t="b">
        <f>IF(VLOOKUP(C3127,Projetos!A:L,12,false)=TRUE,TRUE,FALSE)</f>
        <v>1</v>
      </c>
      <c r="M3127" s="74">
        <v>52.48434411075036</v>
      </c>
      <c r="N3127" s="74">
        <f t="shared" si="1"/>
        <v>0</v>
      </c>
      <c r="O3127" s="74" t="b">
        <v>1</v>
      </c>
    </row>
    <row r="3128" hidden="1">
      <c r="A3128" s="82"/>
      <c r="B3128" s="65" t="s">
        <v>411</v>
      </c>
      <c r="C3128" s="65" t="s">
        <v>92</v>
      </c>
      <c r="D3128" s="65" t="str">
        <f>vlookup(C3128,'Classificação p pessoal'!F:G,2,false)</f>
        <v/>
      </c>
      <c r="E3128" s="65" t="s">
        <v>2138</v>
      </c>
      <c r="F3128" s="83">
        <v>0.34375</v>
      </c>
      <c r="G3128" s="83">
        <v>0.5208333333333334</v>
      </c>
      <c r="H3128" s="83">
        <v>0.17708333333333334</v>
      </c>
      <c r="I3128" s="84">
        <v>44294.0</v>
      </c>
      <c r="J3128" s="65" t="b">
        <v>1</v>
      </c>
      <c r="K3128" s="65"/>
      <c r="L3128" s="85" t="b">
        <f>IF(VLOOKUP(C3128,Projetos!A:L,12,false)=TRUE,TRUE,FALSE)</f>
        <v>1</v>
      </c>
      <c r="M3128" s="74">
        <v>52.48434411075036</v>
      </c>
      <c r="N3128" s="74">
        <f t="shared" si="1"/>
        <v>223.0584625</v>
      </c>
      <c r="O3128" s="74" t="b">
        <v>1</v>
      </c>
    </row>
    <row r="3129" hidden="1">
      <c r="A3129" s="82"/>
      <c r="B3129" s="65" t="s">
        <v>411</v>
      </c>
      <c r="C3129" s="65" t="s">
        <v>117</v>
      </c>
      <c r="D3129" s="65" t="str">
        <f>vlookup(C3129,'Classificação p pessoal'!F:G,2,false)</f>
        <v>NP</v>
      </c>
      <c r="E3129" s="65" t="s">
        <v>2139</v>
      </c>
      <c r="F3129" s="83">
        <v>0.5208333333333334</v>
      </c>
      <c r="G3129" s="83">
        <v>0.5416666666666666</v>
      </c>
      <c r="H3129" s="83">
        <v>0.020833333333333332</v>
      </c>
      <c r="I3129" s="84">
        <v>44294.0</v>
      </c>
      <c r="J3129" s="65" t="b">
        <v>1</v>
      </c>
      <c r="K3129" s="65"/>
      <c r="L3129" s="85" t="b">
        <f>IF(VLOOKUP(C3129,Projetos!A:L,12,false)=TRUE,TRUE,FALSE)</f>
        <v>1</v>
      </c>
      <c r="M3129" s="74">
        <v>52.48434411075036</v>
      </c>
      <c r="N3129" s="74">
        <f t="shared" si="1"/>
        <v>26.24217206</v>
      </c>
      <c r="O3129" s="74" t="b">
        <v>1</v>
      </c>
    </row>
    <row r="3130" hidden="1">
      <c r="A3130" s="82"/>
      <c r="B3130" s="65" t="s">
        <v>411</v>
      </c>
      <c r="C3130" s="65" t="s">
        <v>117</v>
      </c>
      <c r="D3130" s="65" t="str">
        <f>vlookup(C3130,'Classificação p pessoal'!F:G,2,false)</f>
        <v>NP</v>
      </c>
      <c r="E3130" s="65" t="s">
        <v>2140</v>
      </c>
      <c r="F3130" s="83">
        <v>0.7291666666666666</v>
      </c>
      <c r="G3130" s="83">
        <v>0.8125</v>
      </c>
      <c r="H3130" s="83">
        <v>0.08333333333333333</v>
      </c>
      <c r="I3130" s="84">
        <v>44294.0</v>
      </c>
      <c r="J3130" s="65" t="b">
        <v>1</v>
      </c>
      <c r="K3130" s="65"/>
      <c r="L3130" s="85" t="b">
        <f>IF(VLOOKUP(C3130,Projetos!A:L,12,false)=TRUE,TRUE,FALSE)</f>
        <v>1</v>
      </c>
      <c r="M3130" s="74">
        <v>52.48434411075036</v>
      </c>
      <c r="N3130" s="74">
        <f t="shared" si="1"/>
        <v>104.9686882</v>
      </c>
      <c r="O3130" s="74" t="b">
        <v>1</v>
      </c>
    </row>
    <row r="3131" hidden="1">
      <c r="A3131" s="82"/>
      <c r="B3131" s="65" t="s">
        <v>411</v>
      </c>
      <c r="C3131" s="65" t="s">
        <v>117</v>
      </c>
      <c r="D3131" s="65" t="str">
        <f>vlookup(C3131,'Classificação p pessoal'!F:G,2,false)</f>
        <v>NP</v>
      </c>
      <c r="E3131" s="65" t="s">
        <v>2141</v>
      </c>
      <c r="F3131" s="83">
        <v>0.5</v>
      </c>
      <c r="G3131" s="83">
        <v>0.5208333333333334</v>
      </c>
      <c r="H3131" s="83">
        <v>0.020833333333333332</v>
      </c>
      <c r="I3131" s="84">
        <v>44295.0</v>
      </c>
      <c r="J3131" s="65" t="b">
        <v>1</v>
      </c>
      <c r="K3131" s="65"/>
      <c r="L3131" s="85" t="b">
        <f>IF(VLOOKUP(C3131,Projetos!A:L,12,false)=TRUE,TRUE,FALSE)</f>
        <v>1</v>
      </c>
      <c r="M3131" s="74">
        <v>52.48434411075036</v>
      </c>
      <c r="N3131" s="74">
        <f t="shared" si="1"/>
        <v>26.24217206</v>
      </c>
      <c r="O3131" s="74" t="b">
        <v>1</v>
      </c>
    </row>
    <row r="3132" hidden="1">
      <c r="A3132" s="82"/>
      <c r="B3132" s="65" t="s">
        <v>411</v>
      </c>
      <c r="C3132" s="65" t="s">
        <v>127</v>
      </c>
      <c r="D3132" s="65" t="str">
        <f>vlookup(C3132,'Classificação p pessoal'!F:G,2,false)</f>
        <v>NP</v>
      </c>
      <c r="E3132" s="65" t="s">
        <v>2142</v>
      </c>
      <c r="F3132" s="83">
        <v>0.5208333333333334</v>
      </c>
      <c r="G3132" s="83">
        <v>0.5416666666666666</v>
      </c>
      <c r="H3132" s="83">
        <v>0.020833333333333332</v>
      </c>
      <c r="I3132" s="84">
        <v>44295.0</v>
      </c>
      <c r="J3132" s="65" t="b">
        <v>1</v>
      </c>
      <c r="K3132" s="65"/>
      <c r="L3132" s="85" t="b">
        <f>IF(VLOOKUP(C3132,Projetos!A:L,12,false)=TRUE,TRUE,FALSE)</f>
        <v>1</v>
      </c>
      <c r="M3132" s="74">
        <v>52.48434411075036</v>
      </c>
      <c r="N3132" s="74">
        <f t="shared" si="1"/>
        <v>26.24217206</v>
      </c>
      <c r="O3132" s="74" t="b">
        <v>1</v>
      </c>
    </row>
    <row r="3133" hidden="1">
      <c r="A3133" s="82"/>
      <c r="B3133" s="65" t="s">
        <v>411</v>
      </c>
      <c r="C3133" s="65" t="s">
        <v>130</v>
      </c>
      <c r="D3133" s="65" t="str">
        <f>vlookup(C3133,'Classificação p pessoal'!F:G,2,false)</f>
        <v>NP</v>
      </c>
      <c r="E3133" s="65" t="s">
        <v>2143</v>
      </c>
      <c r="F3133" s="83">
        <v>0.4583333333333333</v>
      </c>
      <c r="G3133" s="83">
        <v>0.5208333333333334</v>
      </c>
      <c r="H3133" s="83">
        <v>0.0625</v>
      </c>
      <c r="I3133" s="84">
        <v>44249.0</v>
      </c>
      <c r="J3133" s="65" t="b">
        <v>1</v>
      </c>
      <c r="K3133" s="65"/>
      <c r="L3133" s="85" t="b">
        <f>IF(VLOOKUP(C3133,Projetos!A:L,12,false)=TRUE,TRUE,FALSE)</f>
        <v>1</v>
      </c>
      <c r="M3133" s="74">
        <v>52.48434411075036</v>
      </c>
      <c r="N3133" s="74">
        <f t="shared" si="1"/>
        <v>78.72651617</v>
      </c>
      <c r="O3133" s="74" t="b">
        <v>1</v>
      </c>
    </row>
    <row r="3134" hidden="1">
      <c r="A3134" s="82"/>
      <c r="B3134" s="65" t="s">
        <v>411</v>
      </c>
      <c r="C3134" s="65" t="s">
        <v>117</v>
      </c>
      <c r="D3134" s="65" t="str">
        <f>vlookup(C3134,'Classificação p pessoal'!F:G,2,false)</f>
        <v>NP</v>
      </c>
      <c r="E3134" s="65" t="s">
        <v>2144</v>
      </c>
      <c r="F3134" s="83">
        <v>0.7291666666666666</v>
      </c>
      <c r="G3134" s="83">
        <v>0.7708333333333334</v>
      </c>
      <c r="H3134" s="83">
        <v>0.041666666666666664</v>
      </c>
      <c r="I3134" s="84">
        <v>44295.0</v>
      </c>
      <c r="J3134" s="65" t="b">
        <v>1</v>
      </c>
      <c r="K3134" s="65"/>
      <c r="L3134" s="85" t="b">
        <f>IF(VLOOKUP(C3134,Projetos!A:L,12,false)=TRUE,TRUE,FALSE)</f>
        <v>1</v>
      </c>
      <c r="M3134" s="74">
        <v>52.48434411075036</v>
      </c>
      <c r="N3134" s="74">
        <f t="shared" si="1"/>
        <v>52.48434411</v>
      </c>
      <c r="O3134" s="74" t="b">
        <v>1</v>
      </c>
    </row>
    <row r="3135" hidden="1">
      <c r="A3135" s="82"/>
      <c r="B3135" s="65" t="s">
        <v>411</v>
      </c>
      <c r="C3135" s="65" t="s">
        <v>119</v>
      </c>
      <c r="D3135" s="65" t="str">
        <f>vlookup(C3135,'Classificação p pessoal'!F:G,2,false)</f>
        <v>NP</v>
      </c>
      <c r="E3135" s="65" t="s">
        <v>2124</v>
      </c>
      <c r="F3135" s="83">
        <v>0.7708333333333334</v>
      </c>
      <c r="G3135" s="83">
        <v>0.7916666666666666</v>
      </c>
      <c r="H3135" s="83">
        <v>0.020833333333333332</v>
      </c>
      <c r="I3135" s="84">
        <v>44295.0</v>
      </c>
      <c r="J3135" s="65" t="b">
        <v>1</v>
      </c>
      <c r="K3135" s="65"/>
      <c r="L3135" s="85" t="b">
        <f>IF(VLOOKUP(C3135,Projetos!A:L,12,false)=TRUE,TRUE,FALSE)</f>
        <v>1</v>
      </c>
      <c r="M3135" s="74">
        <v>52.48434411075036</v>
      </c>
      <c r="N3135" s="74">
        <f t="shared" si="1"/>
        <v>26.24217206</v>
      </c>
      <c r="O3135" s="74" t="b">
        <v>1</v>
      </c>
    </row>
    <row r="3136" hidden="1">
      <c r="A3136" s="82"/>
      <c r="B3136" s="65" t="s">
        <v>411</v>
      </c>
      <c r="C3136" s="65" t="s">
        <v>117</v>
      </c>
      <c r="D3136" s="65" t="str">
        <f>vlookup(C3136,'Classificação p pessoal'!F:G,2,false)</f>
        <v>NP</v>
      </c>
      <c r="E3136" s="65" t="s">
        <v>2145</v>
      </c>
      <c r="F3136" s="83">
        <v>0.34375</v>
      </c>
      <c r="G3136" s="83">
        <v>0.3854166666666667</v>
      </c>
      <c r="H3136" s="83">
        <v>0.041666666666666664</v>
      </c>
      <c r="I3136" s="84">
        <v>44308.0</v>
      </c>
      <c r="J3136" s="65" t="b">
        <v>1</v>
      </c>
      <c r="K3136" s="65"/>
      <c r="L3136" s="85" t="b">
        <f>IF(VLOOKUP(C3136,Projetos!A:L,12,false)=TRUE,TRUE,FALSE)</f>
        <v>1</v>
      </c>
      <c r="M3136" s="74">
        <v>52.48434411075036</v>
      </c>
      <c r="N3136" s="74">
        <f t="shared" si="1"/>
        <v>52.48434411</v>
      </c>
      <c r="O3136" s="74" t="b">
        <v>1</v>
      </c>
    </row>
    <row r="3137" hidden="1">
      <c r="A3137" s="82"/>
      <c r="B3137" s="65" t="s">
        <v>411</v>
      </c>
      <c r="C3137" s="65" t="s">
        <v>88</v>
      </c>
      <c r="D3137" s="65" t="str">
        <f>vlookup(C3137,'Classificação p pessoal'!F:G,2,false)</f>
        <v>MProduto</v>
      </c>
      <c r="E3137" s="65" t="s">
        <v>2146</v>
      </c>
      <c r="F3137" s="83">
        <v>0.3854166666666667</v>
      </c>
      <c r="G3137" s="83">
        <v>0.40625</v>
      </c>
      <c r="H3137" s="83">
        <v>0.020833333333333332</v>
      </c>
      <c r="I3137" s="84">
        <v>44308.0</v>
      </c>
      <c r="J3137" s="65" t="b">
        <v>1</v>
      </c>
      <c r="K3137" s="65"/>
      <c r="L3137" s="85" t="b">
        <f>IF(VLOOKUP(C3137,Projetos!A:L,12,false)=TRUE,TRUE,FALSE)</f>
        <v>1</v>
      </c>
      <c r="M3137" s="74">
        <v>52.48434411075036</v>
      </c>
      <c r="N3137" s="74">
        <f t="shared" si="1"/>
        <v>26.24217206</v>
      </c>
      <c r="O3137" s="74" t="b">
        <v>1</v>
      </c>
    </row>
    <row r="3138" hidden="1">
      <c r="A3138" s="82"/>
      <c r="B3138" s="65" t="s">
        <v>411</v>
      </c>
      <c r="C3138" s="65" t="s">
        <v>117</v>
      </c>
      <c r="D3138" s="65" t="str">
        <f>vlookup(C3138,'Classificação p pessoal'!F:G,2,false)</f>
        <v>NP</v>
      </c>
      <c r="E3138" s="65" t="s">
        <v>2147</v>
      </c>
      <c r="F3138" s="83">
        <v>0.40625</v>
      </c>
      <c r="G3138" s="83">
        <v>0.5416666666666666</v>
      </c>
      <c r="H3138" s="83">
        <v>0.13541666666666666</v>
      </c>
      <c r="I3138" s="84">
        <v>44308.0</v>
      </c>
      <c r="J3138" s="65" t="b">
        <v>1</v>
      </c>
      <c r="K3138" s="65"/>
      <c r="L3138" s="85" t="b">
        <f>IF(VLOOKUP(C3138,Projetos!A:L,12,false)=TRUE,TRUE,FALSE)</f>
        <v>1</v>
      </c>
      <c r="M3138" s="74">
        <v>52.48434411075036</v>
      </c>
      <c r="N3138" s="74">
        <f t="shared" si="1"/>
        <v>170.5741184</v>
      </c>
      <c r="O3138" s="74" t="b">
        <v>1</v>
      </c>
    </row>
    <row r="3139" hidden="1">
      <c r="A3139" s="82"/>
      <c r="B3139" s="65" t="s">
        <v>411</v>
      </c>
      <c r="C3139" s="65" t="s">
        <v>117</v>
      </c>
      <c r="D3139" s="65" t="str">
        <f>vlookup(C3139,'Classificação p pessoal'!F:G,2,false)</f>
        <v>NP</v>
      </c>
      <c r="E3139" s="65" t="s">
        <v>2148</v>
      </c>
      <c r="F3139" s="83">
        <v>0.625</v>
      </c>
      <c r="G3139" s="83">
        <v>0.75</v>
      </c>
      <c r="H3139" s="83">
        <v>0.125</v>
      </c>
      <c r="I3139" s="84">
        <v>44308.0</v>
      </c>
      <c r="J3139" s="65" t="b">
        <v>1</v>
      </c>
      <c r="K3139" s="65"/>
      <c r="L3139" s="85" t="b">
        <f>IF(VLOOKUP(C3139,Projetos!A:L,12,false)=TRUE,TRUE,FALSE)</f>
        <v>1</v>
      </c>
      <c r="M3139" s="74">
        <v>52.48434411075036</v>
      </c>
      <c r="N3139" s="74">
        <f t="shared" si="1"/>
        <v>157.4530323</v>
      </c>
      <c r="O3139" s="74" t="b">
        <v>1</v>
      </c>
    </row>
    <row r="3140" hidden="1">
      <c r="A3140" s="82"/>
      <c r="B3140" s="65" t="s">
        <v>411</v>
      </c>
      <c r="C3140" s="65" t="s">
        <v>119</v>
      </c>
      <c r="D3140" s="65" t="str">
        <f>vlookup(C3140,'Classificação p pessoal'!F:G,2,false)</f>
        <v>NP</v>
      </c>
      <c r="E3140" s="65" t="s">
        <v>2124</v>
      </c>
      <c r="F3140" s="83">
        <v>0.34375</v>
      </c>
      <c r="G3140" s="83">
        <v>0.3541666666666667</v>
      </c>
      <c r="H3140" s="83">
        <v>0.010416666666666666</v>
      </c>
      <c r="I3140" s="84">
        <v>44309.0</v>
      </c>
      <c r="J3140" s="65" t="b">
        <v>1</v>
      </c>
      <c r="K3140" s="65"/>
      <c r="L3140" s="85" t="b">
        <f>IF(VLOOKUP(C3140,Projetos!A:L,12,false)=TRUE,TRUE,FALSE)</f>
        <v>1</v>
      </c>
      <c r="M3140" s="74">
        <v>52.48434411075036</v>
      </c>
      <c r="N3140" s="74">
        <f t="shared" si="1"/>
        <v>13.12108603</v>
      </c>
      <c r="O3140" s="74" t="b">
        <v>1</v>
      </c>
    </row>
    <row r="3141" hidden="1">
      <c r="A3141" s="82"/>
      <c r="B3141" s="65" t="s">
        <v>411</v>
      </c>
      <c r="C3141" s="65" t="s">
        <v>88</v>
      </c>
      <c r="D3141" s="65" t="str">
        <f>vlookup(C3141,'Classificação p pessoal'!F:G,2,false)</f>
        <v>MProduto</v>
      </c>
      <c r="E3141" s="65" t="s">
        <v>2149</v>
      </c>
      <c r="F3141" s="83">
        <v>0.3541666666666667</v>
      </c>
      <c r="G3141" s="83">
        <v>0.3645833333333333</v>
      </c>
      <c r="H3141" s="83">
        <v>0.010416666666666666</v>
      </c>
      <c r="I3141" s="84">
        <v>44309.0</v>
      </c>
      <c r="J3141" s="65" t="b">
        <v>1</v>
      </c>
      <c r="K3141" s="65"/>
      <c r="L3141" s="85" t="b">
        <f>IF(VLOOKUP(C3141,Projetos!A:L,12,false)=TRUE,TRUE,FALSE)</f>
        <v>1</v>
      </c>
      <c r="M3141" s="74">
        <v>52.48434411075036</v>
      </c>
      <c r="N3141" s="74">
        <f t="shared" si="1"/>
        <v>13.12108603</v>
      </c>
      <c r="O3141" s="74" t="b">
        <v>1</v>
      </c>
    </row>
    <row r="3142" hidden="1">
      <c r="A3142" s="82"/>
      <c r="B3142" s="65" t="s">
        <v>411</v>
      </c>
      <c r="C3142" s="65" t="s">
        <v>117</v>
      </c>
      <c r="D3142" s="65" t="str">
        <f>vlookup(C3142,'Classificação p pessoal'!F:G,2,false)</f>
        <v>NP</v>
      </c>
      <c r="E3142" s="65" t="s">
        <v>2145</v>
      </c>
      <c r="F3142" s="83">
        <v>0.3645833333333333</v>
      </c>
      <c r="G3142" s="83">
        <v>0.5625</v>
      </c>
      <c r="H3142" s="83">
        <v>0.19791666666666666</v>
      </c>
      <c r="I3142" s="84">
        <v>44309.0</v>
      </c>
      <c r="J3142" s="65" t="b">
        <v>1</v>
      </c>
      <c r="K3142" s="65"/>
      <c r="L3142" s="85" t="b">
        <f>IF(VLOOKUP(C3142,Projetos!A:L,12,false)=TRUE,TRUE,FALSE)</f>
        <v>1</v>
      </c>
      <c r="M3142" s="74">
        <v>52.48434411075036</v>
      </c>
      <c r="N3142" s="74">
        <f t="shared" si="1"/>
        <v>249.3006345</v>
      </c>
      <c r="O3142" s="74" t="b">
        <v>1</v>
      </c>
    </row>
    <row r="3143" hidden="1">
      <c r="A3143" s="82"/>
      <c r="B3143" s="65" t="s">
        <v>411</v>
      </c>
      <c r="C3143" s="65" t="s">
        <v>125</v>
      </c>
      <c r="D3143" s="65" t="str">
        <f>vlookup(C3143,'Classificação p pessoal'!F:G,2,false)</f>
        <v>MProduto</v>
      </c>
      <c r="E3143" s="65" t="s">
        <v>2150</v>
      </c>
      <c r="F3143" s="83">
        <v>0.6041666666666666</v>
      </c>
      <c r="G3143" s="83">
        <v>0.625</v>
      </c>
      <c r="H3143" s="83">
        <v>0.020833333333333332</v>
      </c>
      <c r="I3143" s="84">
        <v>44309.0</v>
      </c>
      <c r="J3143" s="65" t="b">
        <v>1</v>
      </c>
      <c r="K3143" s="65"/>
      <c r="L3143" s="85" t="b">
        <f>IF(VLOOKUP(C3143,Projetos!A:L,12,false)=TRUE,TRUE,FALSE)</f>
        <v>1</v>
      </c>
      <c r="M3143" s="74">
        <v>52.48434411075036</v>
      </c>
      <c r="N3143" s="74">
        <f t="shared" si="1"/>
        <v>26.24217206</v>
      </c>
      <c r="O3143" s="74" t="b">
        <v>1</v>
      </c>
    </row>
    <row r="3144" hidden="1">
      <c r="A3144" s="82"/>
      <c r="B3144" s="65" t="s">
        <v>411</v>
      </c>
      <c r="C3144" s="65" t="s">
        <v>117</v>
      </c>
      <c r="D3144" s="65" t="str">
        <f>vlookup(C3144,'Classificação p pessoal'!F:G,2,false)</f>
        <v>NP</v>
      </c>
      <c r="E3144" s="65" t="s">
        <v>2151</v>
      </c>
      <c r="F3144" s="83">
        <v>0.625</v>
      </c>
      <c r="G3144" s="83">
        <v>0.7291666666666666</v>
      </c>
      <c r="H3144" s="83">
        <v>0.10416666666666667</v>
      </c>
      <c r="I3144" s="84">
        <v>44309.0</v>
      </c>
      <c r="J3144" s="65" t="b">
        <v>1</v>
      </c>
      <c r="K3144" s="65"/>
      <c r="L3144" s="85" t="b">
        <f>IF(VLOOKUP(C3144,Projetos!A:L,12,false)=TRUE,TRUE,FALSE)</f>
        <v>1</v>
      </c>
      <c r="M3144" s="74">
        <v>52.48434411075036</v>
      </c>
      <c r="N3144" s="74">
        <f t="shared" si="1"/>
        <v>131.2108603</v>
      </c>
      <c r="O3144" s="74" t="b">
        <v>1</v>
      </c>
    </row>
    <row r="3145" hidden="1">
      <c r="A3145" s="82"/>
      <c r="B3145" s="65" t="s">
        <v>411</v>
      </c>
      <c r="C3145" s="65" t="s">
        <v>127</v>
      </c>
      <c r="D3145" s="65" t="str">
        <f>vlookup(C3145,'Classificação p pessoal'!F:G,2,false)</f>
        <v>NP</v>
      </c>
      <c r="E3145" s="65" t="s">
        <v>2152</v>
      </c>
      <c r="F3145" s="83">
        <v>0.7291666666666666</v>
      </c>
      <c r="G3145" s="83">
        <v>0.75</v>
      </c>
      <c r="H3145" s="83">
        <v>0.020833333333333332</v>
      </c>
      <c r="I3145" s="84">
        <v>44309.0</v>
      </c>
      <c r="J3145" s="65" t="b">
        <v>1</v>
      </c>
      <c r="K3145" s="65"/>
      <c r="L3145" s="85" t="b">
        <f>IF(VLOOKUP(C3145,Projetos!A:L,12,false)=TRUE,TRUE,FALSE)</f>
        <v>1</v>
      </c>
      <c r="M3145" s="74">
        <v>52.48434411075036</v>
      </c>
      <c r="N3145" s="74">
        <f t="shared" si="1"/>
        <v>26.24217206</v>
      </c>
      <c r="O3145" s="74" t="b">
        <v>1</v>
      </c>
    </row>
    <row r="3146" hidden="1">
      <c r="A3146" s="82"/>
      <c r="B3146" s="65" t="s">
        <v>411</v>
      </c>
      <c r="C3146" s="65" t="s">
        <v>117</v>
      </c>
      <c r="D3146" s="65" t="str">
        <f>vlookup(C3146,'Classificação p pessoal'!F:G,2,false)</f>
        <v>NP</v>
      </c>
      <c r="E3146" s="65" t="s">
        <v>2153</v>
      </c>
      <c r="F3146" s="83">
        <v>0.34375</v>
      </c>
      <c r="G3146" s="83">
        <v>0.4583333333333333</v>
      </c>
      <c r="H3146" s="83">
        <v>0.11458333333333333</v>
      </c>
      <c r="I3146" s="84">
        <v>44312.0</v>
      </c>
      <c r="J3146" s="65" t="b">
        <v>1</v>
      </c>
      <c r="K3146" s="65"/>
      <c r="L3146" s="85" t="b">
        <f>IF(VLOOKUP(C3146,Projetos!A:L,12,false)=TRUE,TRUE,FALSE)</f>
        <v>1</v>
      </c>
      <c r="M3146" s="74">
        <v>52.48434411075036</v>
      </c>
      <c r="N3146" s="74">
        <f t="shared" si="1"/>
        <v>144.3319463</v>
      </c>
      <c r="O3146" s="74" t="b">
        <v>1</v>
      </c>
    </row>
    <row r="3147" hidden="1">
      <c r="A3147" s="82"/>
      <c r="B3147" s="65" t="s">
        <v>411</v>
      </c>
      <c r="C3147" s="65" t="s">
        <v>92</v>
      </c>
      <c r="D3147" s="65" t="str">
        <f>vlookup(C3147,'Classificação p pessoal'!F:G,2,false)</f>
        <v/>
      </c>
      <c r="E3147" s="65" t="s">
        <v>2154</v>
      </c>
      <c r="F3147" s="83">
        <v>0.4583333333333333</v>
      </c>
      <c r="G3147" s="83">
        <v>0.5</v>
      </c>
      <c r="H3147" s="83">
        <v>0.041666666666666664</v>
      </c>
      <c r="I3147" s="84">
        <v>44312.0</v>
      </c>
      <c r="J3147" s="65" t="b">
        <v>1</v>
      </c>
      <c r="K3147" s="65"/>
      <c r="L3147" s="85" t="b">
        <f>IF(VLOOKUP(C3147,Projetos!A:L,12,false)=TRUE,TRUE,FALSE)</f>
        <v>1</v>
      </c>
      <c r="M3147" s="74">
        <v>52.48434411075036</v>
      </c>
      <c r="N3147" s="74">
        <f t="shared" si="1"/>
        <v>52.48434411</v>
      </c>
      <c r="O3147" s="74" t="b">
        <v>1</v>
      </c>
    </row>
    <row r="3148" hidden="1">
      <c r="A3148" s="82"/>
      <c r="B3148" s="65" t="s">
        <v>411</v>
      </c>
      <c r="C3148" s="65" t="s">
        <v>117</v>
      </c>
      <c r="D3148" s="65" t="str">
        <f>vlookup(C3148,'Classificação p pessoal'!F:G,2,false)</f>
        <v>NP</v>
      </c>
      <c r="E3148" s="65" t="s">
        <v>2155</v>
      </c>
      <c r="F3148" s="83">
        <v>0.5416666666666666</v>
      </c>
      <c r="G3148" s="83">
        <v>0.0</v>
      </c>
      <c r="H3148" s="83">
        <v>0.4583333333333333</v>
      </c>
      <c r="I3148" s="84">
        <v>44312.0</v>
      </c>
      <c r="J3148" s="65" t="b">
        <v>1</v>
      </c>
      <c r="K3148" s="65"/>
      <c r="L3148" s="85" t="b">
        <f>IF(VLOOKUP(C3148,Projetos!A:L,12,false)=TRUE,TRUE,FALSE)</f>
        <v>1</v>
      </c>
      <c r="M3148" s="74">
        <v>52.48434411075036</v>
      </c>
      <c r="N3148" s="74">
        <f t="shared" si="1"/>
        <v>577.3277852</v>
      </c>
      <c r="O3148" s="74" t="b">
        <v>1</v>
      </c>
    </row>
    <row r="3149" hidden="1">
      <c r="A3149" s="82"/>
      <c r="B3149" s="65" t="s">
        <v>411</v>
      </c>
      <c r="C3149" s="65" t="s">
        <v>117</v>
      </c>
      <c r="D3149" s="65" t="str">
        <f>vlookup(C3149,'Classificação p pessoal'!F:G,2,false)</f>
        <v>NP</v>
      </c>
      <c r="E3149" s="65" t="s">
        <v>2156</v>
      </c>
      <c r="F3149" s="83">
        <v>0.3333333333333333</v>
      </c>
      <c r="G3149" s="83">
        <v>0.75</v>
      </c>
      <c r="H3149" s="83">
        <v>0.4166666666666667</v>
      </c>
      <c r="I3149" s="84">
        <v>44312.0</v>
      </c>
      <c r="J3149" s="65" t="b">
        <v>1</v>
      </c>
      <c r="K3149" s="65"/>
      <c r="L3149" s="85" t="b">
        <f>IF(VLOOKUP(C3149,Projetos!A:L,12,false)=TRUE,TRUE,FALSE)</f>
        <v>1</v>
      </c>
      <c r="M3149" s="74">
        <v>52.48434411075036</v>
      </c>
      <c r="N3149" s="74">
        <f t="shared" si="1"/>
        <v>524.8434411</v>
      </c>
      <c r="O3149" s="74" t="b">
        <v>1</v>
      </c>
    </row>
    <row r="3150" hidden="1">
      <c r="A3150" s="82"/>
      <c r="B3150" s="65" t="s">
        <v>411</v>
      </c>
      <c r="C3150" s="65" t="s">
        <v>117</v>
      </c>
      <c r="D3150" s="65" t="str">
        <f>vlookup(C3150,'Classificação p pessoal'!F:G,2,false)</f>
        <v>NP</v>
      </c>
      <c r="E3150" s="65" t="s">
        <v>2156</v>
      </c>
      <c r="F3150" s="83">
        <v>0.3125</v>
      </c>
      <c r="G3150" s="83">
        <v>0.75</v>
      </c>
      <c r="H3150" s="83">
        <v>0.4375</v>
      </c>
      <c r="I3150" s="84">
        <v>44313.0</v>
      </c>
      <c r="J3150" s="65" t="b">
        <v>1</v>
      </c>
      <c r="K3150" s="65"/>
      <c r="L3150" s="85" t="b">
        <f>IF(VLOOKUP(C3150,Projetos!A:L,12,false)=TRUE,TRUE,FALSE)</f>
        <v>1</v>
      </c>
      <c r="M3150" s="74">
        <v>52.48434411075036</v>
      </c>
      <c r="N3150" s="74">
        <f t="shared" si="1"/>
        <v>551.0856132</v>
      </c>
      <c r="O3150" s="74" t="b">
        <v>1</v>
      </c>
    </row>
    <row r="3151" hidden="1">
      <c r="A3151" s="82"/>
      <c r="B3151" s="65" t="s">
        <v>411</v>
      </c>
      <c r="C3151" s="65" t="s">
        <v>117</v>
      </c>
      <c r="D3151" s="65" t="str">
        <f>vlookup(C3151,'Classificação p pessoal'!F:G,2,false)</f>
        <v>NP</v>
      </c>
      <c r="E3151" s="65" t="s">
        <v>2157</v>
      </c>
      <c r="F3151" s="83">
        <v>0.34375</v>
      </c>
      <c r="G3151" s="83">
        <v>0.875</v>
      </c>
      <c r="H3151" s="83">
        <v>0.53125</v>
      </c>
      <c r="I3151" s="84">
        <v>44313.0</v>
      </c>
      <c r="J3151" s="65" t="b">
        <v>1</v>
      </c>
      <c r="K3151" s="65"/>
      <c r="L3151" s="85" t="b">
        <f>IF(VLOOKUP(C3151,Projetos!A:L,12,false)=TRUE,TRUE,FALSE)</f>
        <v>1</v>
      </c>
      <c r="M3151" s="74">
        <v>52.48434411075036</v>
      </c>
      <c r="N3151" s="74">
        <f t="shared" si="1"/>
        <v>669.1753874</v>
      </c>
      <c r="O3151" s="74" t="b">
        <v>1</v>
      </c>
    </row>
    <row r="3152" hidden="1">
      <c r="A3152" s="82"/>
      <c r="B3152" s="65" t="s">
        <v>411</v>
      </c>
      <c r="C3152" s="65" t="s">
        <v>117</v>
      </c>
      <c r="D3152" s="65" t="str">
        <f>vlookup(C3152,'Classificação p pessoal'!F:G,2,false)</f>
        <v>NP</v>
      </c>
      <c r="E3152" s="65" t="s">
        <v>2158</v>
      </c>
      <c r="F3152" s="83">
        <v>0.34375</v>
      </c>
      <c r="G3152" s="83">
        <v>0.4166666666666667</v>
      </c>
      <c r="H3152" s="83">
        <v>0.07291666666666667</v>
      </c>
      <c r="I3152" s="84">
        <v>44316.0</v>
      </c>
      <c r="J3152" s="65" t="b">
        <v>1</v>
      </c>
      <c r="K3152" s="65"/>
      <c r="L3152" s="85" t="b">
        <f>IF(VLOOKUP(C3152,Projetos!A:L,12,false)=TRUE,TRUE,FALSE)</f>
        <v>1</v>
      </c>
      <c r="M3152" s="74">
        <v>52.48434411075036</v>
      </c>
      <c r="N3152" s="74">
        <f t="shared" si="1"/>
        <v>91.84760219</v>
      </c>
      <c r="O3152" s="74" t="b">
        <v>1</v>
      </c>
    </row>
    <row r="3153" hidden="1">
      <c r="A3153" s="82"/>
      <c r="B3153" s="65" t="s">
        <v>411</v>
      </c>
      <c r="C3153" s="65" t="s">
        <v>100</v>
      </c>
      <c r="D3153" s="65" t="str">
        <f>vlookup(C3153,'Classificação p pessoal'!F:G,2,false)</f>
        <v>NP</v>
      </c>
      <c r="E3153" s="65" t="s">
        <v>2159</v>
      </c>
      <c r="F3153" s="83">
        <v>0.4166666666666667</v>
      </c>
      <c r="G3153" s="83">
        <v>0.4375</v>
      </c>
      <c r="H3153" s="83">
        <v>0.020833333333333332</v>
      </c>
      <c r="I3153" s="84">
        <v>44316.0</v>
      </c>
      <c r="J3153" s="65" t="b">
        <v>1</v>
      </c>
      <c r="K3153" s="65"/>
      <c r="L3153" s="85" t="b">
        <f>IF(VLOOKUP(C3153,Projetos!A:L,12,false)=TRUE,TRUE,FALSE)</f>
        <v>1</v>
      </c>
      <c r="M3153" s="74">
        <v>52.48434411075036</v>
      </c>
      <c r="N3153" s="74">
        <f t="shared" si="1"/>
        <v>26.24217206</v>
      </c>
      <c r="O3153" s="74" t="b">
        <v>1</v>
      </c>
    </row>
    <row r="3154" hidden="1">
      <c r="A3154" s="82"/>
      <c r="B3154" s="65" t="s">
        <v>411</v>
      </c>
      <c r="C3154" s="65" t="s">
        <v>88</v>
      </c>
      <c r="D3154" s="65" t="str">
        <f>vlookup(C3154,'Classificação p pessoal'!F:G,2,false)</f>
        <v>MProduto</v>
      </c>
      <c r="E3154" s="65" t="s">
        <v>2160</v>
      </c>
      <c r="F3154" s="83">
        <v>0.4375</v>
      </c>
      <c r="G3154" s="83">
        <v>0.4583333333333333</v>
      </c>
      <c r="H3154" s="83">
        <v>0.020833333333333332</v>
      </c>
      <c r="I3154" s="84">
        <v>44316.0</v>
      </c>
      <c r="J3154" s="65" t="b">
        <v>1</v>
      </c>
      <c r="K3154" s="65"/>
      <c r="L3154" s="85" t="b">
        <f>IF(VLOOKUP(C3154,Projetos!A:L,12,false)=TRUE,TRUE,FALSE)</f>
        <v>1</v>
      </c>
      <c r="M3154" s="74">
        <v>52.48434411075036</v>
      </c>
      <c r="N3154" s="74">
        <f t="shared" si="1"/>
        <v>26.24217206</v>
      </c>
      <c r="O3154" s="74" t="b">
        <v>1</v>
      </c>
    </row>
    <row r="3155" hidden="1">
      <c r="A3155" s="82"/>
      <c r="B3155" s="65" t="s">
        <v>411</v>
      </c>
      <c r="C3155" s="65" t="s">
        <v>125</v>
      </c>
      <c r="D3155" s="65" t="str">
        <f>vlookup(C3155,'Classificação p pessoal'!F:G,2,false)</f>
        <v>MProduto</v>
      </c>
      <c r="E3155" s="65" t="s">
        <v>2161</v>
      </c>
      <c r="F3155" s="83">
        <v>0.4583333333333333</v>
      </c>
      <c r="G3155" s="83">
        <v>0.4722222222222222</v>
      </c>
      <c r="H3155" s="83">
        <v>0.013888888888888888</v>
      </c>
      <c r="I3155" s="84">
        <v>44316.0</v>
      </c>
      <c r="J3155" s="65" t="b">
        <v>1</v>
      </c>
      <c r="K3155" s="65"/>
      <c r="L3155" s="85" t="b">
        <f>IF(VLOOKUP(C3155,Projetos!A:L,12,false)=TRUE,TRUE,FALSE)</f>
        <v>1</v>
      </c>
      <c r="M3155" s="74">
        <v>52.48434411075036</v>
      </c>
      <c r="N3155" s="74">
        <f t="shared" si="1"/>
        <v>17.49478137</v>
      </c>
      <c r="O3155" s="74" t="b">
        <v>1</v>
      </c>
    </row>
    <row r="3156" hidden="1">
      <c r="A3156" s="82"/>
      <c r="B3156" s="65" t="s">
        <v>411</v>
      </c>
      <c r="C3156" s="65" t="s">
        <v>119</v>
      </c>
      <c r="D3156" s="65" t="str">
        <f>vlookup(C3156,'Classificação p pessoal'!F:G,2,false)</f>
        <v>NP</v>
      </c>
      <c r="E3156" s="65" t="s">
        <v>2162</v>
      </c>
      <c r="F3156" s="83">
        <v>0.4791666666666667</v>
      </c>
      <c r="G3156" s="83">
        <v>0.5</v>
      </c>
      <c r="H3156" s="83">
        <v>0.020833333333333332</v>
      </c>
      <c r="I3156" s="84">
        <v>44316.0</v>
      </c>
      <c r="J3156" s="65" t="b">
        <v>1</v>
      </c>
      <c r="K3156" s="65"/>
      <c r="L3156" s="85" t="b">
        <f>IF(VLOOKUP(C3156,Projetos!A:L,12,false)=TRUE,TRUE,FALSE)</f>
        <v>1</v>
      </c>
      <c r="M3156" s="74">
        <v>52.48434411075036</v>
      </c>
      <c r="N3156" s="74">
        <f t="shared" si="1"/>
        <v>26.24217206</v>
      </c>
      <c r="O3156" s="74" t="b">
        <v>1</v>
      </c>
    </row>
    <row r="3157" hidden="1">
      <c r="A3157" s="82"/>
      <c r="B3157" s="65" t="s">
        <v>411</v>
      </c>
      <c r="C3157" s="65" t="s">
        <v>92</v>
      </c>
      <c r="D3157" s="65" t="str">
        <f>vlookup(C3157,'Classificação p pessoal'!F:G,2,false)</f>
        <v/>
      </c>
      <c r="E3157" s="65" t="s">
        <v>2163</v>
      </c>
      <c r="F3157" s="83">
        <v>0.5</v>
      </c>
      <c r="G3157" s="83">
        <v>0.5208333333333334</v>
      </c>
      <c r="H3157" s="83">
        <v>0.020833333333333332</v>
      </c>
      <c r="I3157" s="84">
        <v>44316.0</v>
      </c>
      <c r="J3157" s="65" t="b">
        <v>1</v>
      </c>
      <c r="K3157" s="65"/>
      <c r="L3157" s="85" t="b">
        <f>IF(VLOOKUP(C3157,Projetos!A:L,12,false)=TRUE,TRUE,FALSE)</f>
        <v>1</v>
      </c>
      <c r="M3157" s="74">
        <v>52.48434411075036</v>
      </c>
      <c r="N3157" s="74">
        <f t="shared" si="1"/>
        <v>26.24217206</v>
      </c>
      <c r="O3157" s="74" t="b">
        <v>1</v>
      </c>
    </row>
    <row r="3158" hidden="1">
      <c r="A3158" s="82"/>
      <c r="B3158" s="65" t="s">
        <v>411</v>
      </c>
      <c r="C3158" s="65" t="s">
        <v>117</v>
      </c>
      <c r="D3158" s="65" t="str">
        <f>vlookup(C3158,'Classificação p pessoal'!F:G,2,false)</f>
        <v>NP</v>
      </c>
      <c r="E3158" s="65" t="s">
        <v>2164</v>
      </c>
      <c r="F3158" s="83">
        <v>0.5208333333333334</v>
      </c>
      <c r="G3158" s="83">
        <v>0.5416666666666666</v>
      </c>
      <c r="H3158" s="83">
        <v>0.020833333333333332</v>
      </c>
      <c r="I3158" s="84">
        <v>44316.0</v>
      </c>
      <c r="J3158" s="65" t="b">
        <v>1</v>
      </c>
      <c r="K3158" s="65"/>
      <c r="L3158" s="85" t="b">
        <f>IF(VLOOKUP(C3158,Projetos!A:L,12,false)=TRUE,TRUE,FALSE)</f>
        <v>1</v>
      </c>
      <c r="M3158" s="74">
        <v>52.48434411075036</v>
      </c>
      <c r="N3158" s="74">
        <f t="shared" si="1"/>
        <v>26.24217206</v>
      </c>
      <c r="O3158" s="74" t="b">
        <v>1</v>
      </c>
    </row>
    <row r="3159" hidden="1">
      <c r="A3159" s="82"/>
      <c r="B3159" s="65" t="s">
        <v>411</v>
      </c>
      <c r="C3159" s="65" t="s">
        <v>117</v>
      </c>
      <c r="D3159" s="65"/>
      <c r="E3159" s="65" t="s">
        <v>2165</v>
      </c>
      <c r="F3159" s="83">
        <v>0.5833333333333334</v>
      </c>
      <c r="G3159" s="83">
        <v>0.6041666666666666</v>
      </c>
      <c r="H3159" s="83">
        <v>0.020833333333333332</v>
      </c>
      <c r="I3159" s="84">
        <v>44316.0</v>
      </c>
      <c r="J3159" s="65" t="b">
        <v>0</v>
      </c>
      <c r="K3159" s="65" t="s">
        <v>150</v>
      </c>
      <c r="L3159" s="85" t="b">
        <f>IF(VLOOKUP(C3159,Projetos!A:L,12,false)=TRUE,TRUE,FALSE)</f>
        <v>1</v>
      </c>
      <c r="M3159" s="74">
        <v>52.48434411075036</v>
      </c>
      <c r="N3159" s="74">
        <f t="shared" si="1"/>
        <v>0</v>
      </c>
      <c r="O3159" s="74" t="b">
        <v>1</v>
      </c>
    </row>
    <row r="3160" hidden="1">
      <c r="A3160" s="82"/>
      <c r="B3160" s="65" t="s">
        <v>411</v>
      </c>
      <c r="C3160" s="65" t="s">
        <v>92</v>
      </c>
      <c r="D3160" s="65"/>
      <c r="E3160" s="65" t="s">
        <v>2166</v>
      </c>
      <c r="F3160" s="83">
        <v>0.6875</v>
      </c>
      <c r="G3160" s="83">
        <v>0.7083333333333334</v>
      </c>
      <c r="H3160" s="83">
        <v>0.020833333333333332</v>
      </c>
      <c r="I3160" s="84">
        <v>44316.0</v>
      </c>
      <c r="J3160" s="65" t="b">
        <v>0</v>
      </c>
      <c r="K3160" s="65" t="s">
        <v>150</v>
      </c>
      <c r="L3160" s="85" t="b">
        <f>IF(VLOOKUP(C3160,Projetos!A:L,12,false)=TRUE,TRUE,FALSE)</f>
        <v>1</v>
      </c>
      <c r="M3160" s="74">
        <v>52.48434411075036</v>
      </c>
      <c r="N3160" s="74">
        <f t="shared" si="1"/>
        <v>0</v>
      </c>
      <c r="O3160" s="74" t="b">
        <v>1</v>
      </c>
    </row>
    <row r="3161" hidden="1">
      <c r="A3161" s="82"/>
      <c r="B3161" s="65" t="s">
        <v>411</v>
      </c>
      <c r="C3161" s="65" t="s">
        <v>117</v>
      </c>
      <c r="D3161" s="65" t="str">
        <f>vlookup(C3161,'Classificação p pessoal'!F:G,2,false)</f>
        <v>NP</v>
      </c>
      <c r="E3161" s="65" t="s">
        <v>2167</v>
      </c>
      <c r="F3161" s="83">
        <v>0.7083333333333334</v>
      </c>
      <c r="G3161" s="83">
        <v>0.75</v>
      </c>
      <c r="H3161" s="83">
        <v>0.041666666666666664</v>
      </c>
      <c r="I3161" s="84">
        <v>44316.0</v>
      </c>
      <c r="J3161" s="65" t="b">
        <v>1</v>
      </c>
      <c r="K3161" s="65"/>
      <c r="L3161" s="85" t="b">
        <f>IF(VLOOKUP(C3161,Projetos!A:L,12,false)=TRUE,TRUE,FALSE)</f>
        <v>1</v>
      </c>
      <c r="M3161" s="74">
        <v>52.48434411075036</v>
      </c>
      <c r="N3161" s="74">
        <f t="shared" si="1"/>
        <v>52.48434411</v>
      </c>
      <c r="O3161" s="74" t="b">
        <v>1</v>
      </c>
    </row>
    <row r="3162" hidden="1">
      <c r="A3162" s="82"/>
      <c r="B3162" s="65" t="s">
        <v>411</v>
      </c>
      <c r="C3162" s="65" t="s">
        <v>117</v>
      </c>
      <c r="D3162" s="65" t="str">
        <f>vlookup(C3162,'Classificação p pessoal'!F:G,2,false)</f>
        <v>NP</v>
      </c>
      <c r="E3162" s="65" t="s">
        <v>2168</v>
      </c>
      <c r="F3162" s="83">
        <v>0.34375</v>
      </c>
      <c r="G3162" s="83">
        <v>0.375</v>
      </c>
      <c r="H3162" s="83">
        <v>0.03125</v>
      </c>
      <c r="I3162" s="84">
        <v>44319.0</v>
      </c>
      <c r="J3162" s="65" t="b">
        <v>1</v>
      </c>
      <c r="K3162" s="65"/>
      <c r="L3162" s="85" t="b">
        <f>IF(VLOOKUP(C3162,Projetos!A:L,12,false)=TRUE,TRUE,FALSE)</f>
        <v>1</v>
      </c>
      <c r="M3162" s="74">
        <v>52.48434411075036</v>
      </c>
      <c r="N3162" s="74">
        <f t="shared" si="1"/>
        <v>39.36325808</v>
      </c>
      <c r="O3162" s="74" t="b">
        <v>1</v>
      </c>
    </row>
    <row r="3163" hidden="1">
      <c r="A3163" s="82"/>
      <c r="B3163" s="65" t="s">
        <v>411</v>
      </c>
      <c r="C3163" s="65" t="s">
        <v>130</v>
      </c>
      <c r="D3163" s="65" t="str">
        <f>vlookup(C3163,'Classificação p pessoal'!F:G,2,false)</f>
        <v>NP</v>
      </c>
      <c r="E3163" s="65" t="s">
        <v>2169</v>
      </c>
      <c r="F3163" s="83">
        <v>0.375</v>
      </c>
      <c r="G3163" s="83">
        <v>0.3958333333333333</v>
      </c>
      <c r="H3163" s="83">
        <v>0.020833333333333332</v>
      </c>
      <c r="I3163" s="84">
        <v>44319.0</v>
      </c>
      <c r="J3163" s="65" t="b">
        <v>1</v>
      </c>
      <c r="K3163" s="65"/>
      <c r="L3163" s="85" t="b">
        <f>IF(VLOOKUP(C3163,Projetos!A:L,12,false)=TRUE,TRUE,FALSE)</f>
        <v>1</v>
      </c>
      <c r="M3163" s="74">
        <v>52.48434411075036</v>
      </c>
      <c r="N3163" s="74">
        <f t="shared" si="1"/>
        <v>26.24217206</v>
      </c>
      <c r="O3163" s="74" t="b">
        <v>1</v>
      </c>
    </row>
    <row r="3164" hidden="1">
      <c r="A3164" s="82"/>
      <c r="B3164" s="65" t="s">
        <v>411</v>
      </c>
      <c r="C3164" s="65" t="s">
        <v>117</v>
      </c>
      <c r="D3164" s="65" t="str">
        <f>vlookup(C3164,'Classificação p pessoal'!F:G,2,false)</f>
        <v>NP</v>
      </c>
      <c r="E3164" s="65" t="s">
        <v>2170</v>
      </c>
      <c r="F3164" s="83">
        <v>0.3958333333333333</v>
      </c>
      <c r="G3164" s="83">
        <v>0.4166666666666667</v>
      </c>
      <c r="H3164" s="83">
        <v>0.020833333333333332</v>
      </c>
      <c r="I3164" s="84">
        <v>44319.0</v>
      </c>
      <c r="J3164" s="65" t="b">
        <v>1</v>
      </c>
      <c r="K3164" s="65"/>
      <c r="L3164" s="85" t="b">
        <f>IF(VLOOKUP(C3164,Projetos!A:L,12,false)=TRUE,TRUE,FALSE)</f>
        <v>1</v>
      </c>
      <c r="M3164" s="74">
        <v>52.48434411075036</v>
      </c>
      <c r="N3164" s="74">
        <f t="shared" si="1"/>
        <v>26.24217206</v>
      </c>
      <c r="O3164" s="74" t="b">
        <v>1</v>
      </c>
    </row>
    <row r="3165" hidden="1">
      <c r="A3165" s="82"/>
      <c r="B3165" s="65" t="s">
        <v>411</v>
      </c>
      <c r="C3165" s="65" t="s">
        <v>92</v>
      </c>
      <c r="D3165" s="65"/>
      <c r="E3165" s="65" t="s">
        <v>2171</v>
      </c>
      <c r="F3165" s="83">
        <v>0.4270833333333333</v>
      </c>
      <c r="G3165" s="83">
        <v>0.4375</v>
      </c>
      <c r="H3165" s="83">
        <v>0.010416666666666666</v>
      </c>
      <c r="I3165" s="84">
        <v>44319.0</v>
      </c>
      <c r="J3165" s="65" t="b">
        <v>0</v>
      </c>
      <c r="K3165" s="65" t="s">
        <v>150</v>
      </c>
      <c r="L3165" s="85" t="b">
        <f>IF(VLOOKUP(C3165,Projetos!A:L,12,false)=TRUE,TRUE,FALSE)</f>
        <v>1</v>
      </c>
      <c r="M3165" s="74">
        <v>52.48434411075036</v>
      </c>
      <c r="N3165" s="74">
        <f t="shared" si="1"/>
        <v>0</v>
      </c>
      <c r="O3165" s="74" t="b">
        <v>1</v>
      </c>
    </row>
    <row r="3166" hidden="1">
      <c r="A3166" s="82"/>
      <c r="B3166" s="65" t="s">
        <v>411</v>
      </c>
      <c r="C3166" s="65" t="s">
        <v>130</v>
      </c>
      <c r="D3166" s="65" t="str">
        <f>vlookup(C3166,'Classificação p pessoal'!F:G,2,false)</f>
        <v>NP</v>
      </c>
      <c r="E3166" s="65" t="s">
        <v>2143</v>
      </c>
      <c r="F3166" s="83">
        <v>0.4375</v>
      </c>
      <c r="G3166" s="83">
        <v>0.4583333333333333</v>
      </c>
      <c r="H3166" s="83">
        <v>0.020833333333333332</v>
      </c>
      <c r="I3166" s="84">
        <v>44250.0</v>
      </c>
      <c r="J3166" s="65" t="b">
        <v>1</v>
      </c>
      <c r="K3166" s="65"/>
      <c r="L3166" s="85" t="b">
        <f>IF(VLOOKUP(C3166,Projetos!A:L,12,false)=TRUE,TRUE,FALSE)</f>
        <v>1</v>
      </c>
      <c r="M3166" s="74">
        <v>52.48434411075036</v>
      </c>
      <c r="N3166" s="74">
        <f t="shared" si="1"/>
        <v>26.24217206</v>
      </c>
      <c r="O3166" s="74" t="b">
        <v>1</v>
      </c>
    </row>
    <row r="3167" hidden="1">
      <c r="A3167" s="82"/>
      <c r="B3167" s="65" t="s">
        <v>411</v>
      </c>
      <c r="C3167" s="65" t="s">
        <v>117</v>
      </c>
      <c r="D3167" s="65"/>
      <c r="E3167" s="65" t="s">
        <v>2172</v>
      </c>
      <c r="F3167" s="83">
        <v>0.4583333333333333</v>
      </c>
      <c r="G3167" s="83">
        <v>0.5</v>
      </c>
      <c r="H3167" s="83">
        <v>0.041666666666666664</v>
      </c>
      <c r="I3167" s="84">
        <v>44319.0</v>
      </c>
      <c r="J3167" s="65" t="b">
        <v>0</v>
      </c>
      <c r="K3167" s="65" t="s">
        <v>150</v>
      </c>
      <c r="L3167" s="85" t="b">
        <f>IF(VLOOKUP(C3167,Projetos!A:L,12,false)=TRUE,TRUE,FALSE)</f>
        <v>1</v>
      </c>
      <c r="M3167" s="74">
        <v>52.48434411075036</v>
      </c>
      <c r="N3167" s="74">
        <f t="shared" si="1"/>
        <v>0</v>
      </c>
      <c r="O3167" s="74" t="b">
        <v>1</v>
      </c>
    </row>
    <row r="3168" hidden="1">
      <c r="A3168" s="82"/>
      <c r="B3168" s="65" t="s">
        <v>411</v>
      </c>
      <c r="C3168" s="65" t="s">
        <v>132</v>
      </c>
      <c r="D3168" s="65"/>
      <c r="E3168" s="65" t="s">
        <v>2173</v>
      </c>
      <c r="F3168" s="83">
        <v>0.5</v>
      </c>
      <c r="G3168" s="83">
        <v>0.5208333333333334</v>
      </c>
      <c r="H3168" s="83">
        <v>0.020833333333333332</v>
      </c>
      <c r="I3168" s="84">
        <v>44319.0</v>
      </c>
      <c r="J3168" s="65" t="b">
        <v>0</v>
      </c>
      <c r="K3168" s="65" t="s">
        <v>150</v>
      </c>
      <c r="L3168" s="85" t="b">
        <f>IF(VLOOKUP(C3168,Projetos!A:L,12,false)=TRUE,TRUE,FALSE)</f>
        <v>0</v>
      </c>
      <c r="M3168" s="74">
        <v>52.48434411075036</v>
      </c>
      <c r="N3168" s="74">
        <f t="shared" si="1"/>
        <v>0</v>
      </c>
      <c r="O3168" s="74" t="b">
        <v>0</v>
      </c>
    </row>
    <row r="3169" hidden="1">
      <c r="A3169" s="82"/>
      <c r="B3169" s="65" t="s">
        <v>411</v>
      </c>
      <c r="C3169" s="65" t="s">
        <v>117</v>
      </c>
      <c r="D3169" s="65" t="str">
        <f>vlookup(C3169,'Classificação p pessoal'!F:G,2,false)</f>
        <v>NP</v>
      </c>
      <c r="E3169" s="65" t="s">
        <v>2174</v>
      </c>
      <c r="F3169" s="83">
        <v>0.5208333333333334</v>
      </c>
      <c r="G3169" s="83">
        <v>0.5833333333333334</v>
      </c>
      <c r="H3169" s="83">
        <v>0.0625</v>
      </c>
      <c r="I3169" s="84">
        <v>44319.0</v>
      </c>
      <c r="J3169" s="65" t="b">
        <v>1</v>
      </c>
      <c r="K3169" s="65"/>
      <c r="L3169" s="85" t="b">
        <f>IF(VLOOKUP(C3169,Projetos!A:L,12,false)=TRUE,TRUE,FALSE)</f>
        <v>1</v>
      </c>
      <c r="M3169" s="74">
        <v>52.48434411075036</v>
      </c>
      <c r="N3169" s="74">
        <f t="shared" si="1"/>
        <v>78.72651617</v>
      </c>
      <c r="O3169" s="74" t="b">
        <v>1</v>
      </c>
    </row>
    <row r="3170" hidden="1">
      <c r="A3170" s="82"/>
      <c r="B3170" s="65" t="s">
        <v>411</v>
      </c>
      <c r="C3170" s="65" t="s">
        <v>85</v>
      </c>
      <c r="D3170" s="65" t="str">
        <f>vlookup(C3170,'Classificação p pessoal'!F:G,2,false)</f>
        <v>NP</v>
      </c>
      <c r="E3170" s="65" t="s">
        <v>2175</v>
      </c>
      <c r="F3170" s="83">
        <v>0.625</v>
      </c>
      <c r="G3170" s="83">
        <v>0.6458333333333334</v>
      </c>
      <c r="H3170" s="83">
        <v>0.020833333333333332</v>
      </c>
      <c r="I3170" s="84">
        <v>44319.0</v>
      </c>
      <c r="J3170" s="65" t="b">
        <v>1</v>
      </c>
      <c r="K3170" s="65"/>
      <c r="L3170" s="85" t="b">
        <f>IF(VLOOKUP(C3170,Projetos!A:L,12,false)=TRUE,TRUE,FALSE)</f>
        <v>1</v>
      </c>
      <c r="M3170" s="74">
        <v>52.48434411075036</v>
      </c>
      <c r="N3170" s="74">
        <f t="shared" si="1"/>
        <v>26.24217206</v>
      </c>
      <c r="O3170" s="74" t="b">
        <v>1</v>
      </c>
    </row>
    <row r="3171" hidden="1">
      <c r="A3171" s="82"/>
      <c r="B3171" s="65" t="s">
        <v>411</v>
      </c>
      <c r="C3171" s="65" t="s">
        <v>117</v>
      </c>
      <c r="D3171" s="65" t="str">
        <f>vlookup(C3171,'Classificação p pessoal'!F:G,2,false)</f>
        <v>NP</v>
      </c>
      <c r="E3171" s="65" t="s">
        <v>2176</v>
      </c>
      <c r="F3171" s="83">
        <v>0.6458333333333334</v>
      </c>
      <c r="G3171" s="83">
        <v>0.7291666666666666</v>
      </c>
      <c r="H3171" s="83">
        <v>0.08333333333333333</v>
      </c>
      <c r="I3171" s="84">
        <v>44319.0</v>
      </c>
      <c r="J3171" s="65" t="b">
        <v>1</v>
      </c>
      <c r="K3171" s="65"/>
      <c r="L3171" s="85" t="b">
        <f>IF(VLOOKUP(C3171,Projetos!A:L,12,false)=TRUE,TRUE,FALSE)</f>
        <v>1</v>
      </c>
      <c r="M3171" s="74">
        <v>52.48434411075036</v>
      </c>
      <c r="N3171" s="74">
        <f t="shared" si="1"/>
        <v>104.9686882</v>
      </c>
      <c r="O3171" s="74" t="b">
        <v>1</v>
      </c>
    </row>
    <row r="3172" hidden="1">
      <c r="A3172" s="82"/>
      <c r="B3172" s="65" t="s">
        <v>411</v>
      </c>
      <c r="C3172" s="65" t="s">
        <v>117</v>
      </c>
      <c r="D3172" s="65" t="str">
        <f>vlookup(C3172,'Classificação p pessoal'!F:G,2,false)</f>
        <v>NP</v>
      </c>
      <c r="E3172" s="65" t="s">
        <v>2177</v>
      </c>
      <c r="F3172" s="83">
        <v>0.34375</v>
      </c>
      <c r="G3172" s="83">
        <v>0.375</v>
      </c>
      <c r="H3172" s="83">
        <v>0.03125</v>
      </c>
      <c r="I3172" s="84">
        <v>44320.0</v>
      </c>
      <c r="J3172" s="65" t="b">
        <v>1</v>
      </c>
      <c r="K3172" s="65"/>
      <c r="L3172" s="85" t="b">
        <f>IF(VLOOKUP(C3172,Projetos!A:L,12,false)=TRUE,TRUE,FALSE)</f>
        <v>1</v>
      </c>
      <c r="M3172" s="74">
        <v>52.48434411075036</v>
      </c>
      <c r="N3172" s="74">
        <f t="shared" si="1"/>
        <v>39.36325808</v>
      </c>
      <c r="O3172" s="74" t="b">
        <v>1</v>
      </c>
    </row>
    <row r="3173" hidden="1">
      <c r="A3173" s="82"/>
      <c r="B3173" s="65" t="s">
        <v>411</v>
      </c>
      <c r="C3173" s="65" t="s">
        <v>120</v>
      </c>
      <c r="D3173" s="65"/>
      <c r="E3173" s="65" t="s">
        <v>2178</v>
      </c>
      <c r="F3173" s="83">
        <v>0.375</v>
      </c>
      <c r="G3173" s="83">
        <v>0.3958333333333333</v>
      </c>
      <c r="H3173" s="83">
        <v>0.020833333333333332</v>
      </c>
      <c r="I3173" s="84">
        <v>44320.0</v>
      </c>
      <c r="J3173" s="65" t="b">
        <v>0</v>
      </c>
      <c r="K3173" s="65"/>
      <c r="L3173" s="85" t="b">
        <f>IF(VLOOKUP(C3173,Projetos!A:L,12,false)=TRUE,TRUE,FALSE)</f>
        <v>0</v>
      </c>
      <c r="M3173" s="74">
        <v>52.48434411075036</v>
      </c>
      <c r="N3173" s="74">
        <f t="shared" si="1"/>
        <v>0</v>
      </c>
      <c r="O3173" s="74" t="b">
        <v>0</v>
      </c>
    </row>
    <row r="3174" hidden="1">
      <c r="A3174" s="82"/>
      <c r="B3174" s="65" t="s">
        <v>411</v>
      </c>
      <c r="C3174" s="65" t="s">
        <v>130</v>
      </c>
      <c r="D3174" s="65" t="str">
        <f>vlookup(C3174,'Classificação p pessoal'!F:G,2,false)</f>
        <v>NP</v>
      </c>
      <c r="E3174" s="65" t="s">
        <v>2143</v>
      </c>
      <c r="F3174" s="83">
        <v>0.625</v>
      </c>
      <c r="G3174" s="83">
        <v>0.6666666666666666</v>
      </c>
      <c r="H3174" s="83">
        <v>0.041666666666666664</v>
      </c>
      <c r="I3174" s="84">
        <v>44251.0</v>
      </c>
      <c r="J3174" s="65" t="b">
        <v>1</v>
      </c>
      <c r="K3174" s="65"/>
      <c r="L3174" s="85" t="b">
        <f>IF(VLOOKUP(C3174,Projetos!A:L,12,false)=TRUE,TRUE,FALSE)</f>
        <v>1</v>
      </c>
      <c r="M3174" s="74">
        <v>52.48434411075036</v>
      </c>
      <c r="N3174" s="74">
        <f t="shared" si="1"/>
        <v>52.48434411</v>
      </c>
      <c r="O3174" s="74" t="b">
        <v>1</v>
      </c>
    </row>
    <row r="3175" hidden="1">
      <c r="A3175" s="82"/>
      <c r="B3175" s="65" t="s">
        <v>411</v>
      </c>
      <c r="C3175" s="65" t="s">
        <v>107</v>
      </c>
      <c r="D3175" s="65" t="str">
        <f>vlookup(C3175,'Classificação p pessoal'!F:G,2,false)</f>
        <v>NP</v>
      </c>
      <c r="E3175" s="65" t="s">
        <v>2179</v>
      </c>
      <c r="F3175" s="83">
        <v>0.4375</v>
      </c>
      <c r="G3175" s="83">
        <v>0.4583333333333333</v>
      </c>
      <c r="H3175" s="83">
        <v>0.020833333333333332</v>
      </c>
      <c r="I3175" s="84">
        <v>44320.0</v>
      </c>
      <c r="J3175" s="65" t="b">
        <v>1</v>
      </c>
      <c r="K3175" s="65"/>
      <c r="L3175" s="85" t="b">
        <f>IF(VLOOKUP(C3175,Projetos!A:L,12,false)=TRUE,TRUE,FALSE)</f>
        <v>1</v>
      </c>
      <c r="M3175" s="74">
        <v>52.48434411075036</v>
      </c>
      <c r="N3175" s="74">
        <f t="shared" si="1"/>
        <v>26.24217206</v>
      </c>
      <c r="O3175" s="74" t="b">
        <v>1</v>
      </c>
    </row>
    <row r="3176" hidden="1">
      <c r="A3176" s="82"/>
      <c r="B3176" s="65" t="s">
        <v>411</v>
      </c>
      <c r="C3176" s="65" t="s">
        <v>125</v>
      </c>
      <c r="D3176" s="65" t="str">
        <f>vlookup(C3176,'Classificação p pessoal'!F:G,2,false)</f>
        <v>MProduto</v>
      </c>
      <c r="E3176" s="65" t="s">
        <v>2180</v>
      </c>
      <c r="F3176" s="83">
        <v>0.4583333333333333</v>
      </c>
      <c r="G3176" s="83">
        <v>0.5</v>
      </c>
      <c r="H3176" s="83">
        <v>0.041666666666666664</v>
      </c>
      <c r="I3176" s="84">
        <v>44320.0</v>
      </c>
      <c r="J3176" s="65" t="b">
        <v>1</v>
      </c>
      <c r="K3176" s="65"/>
      <c r="L3176" s="85" t="b">
        <f>IF(VLOOKUP(C3176,Projetos!A:L,12,false)=TRUE,TRUE,FALSE)</f>
        <v>1</v>
      </c>
      <c r="M3176" s="74">
        <v>52.48434411075036</v>
      </c>
      <c r="N3176" s="74">
        <f t="shared" si="1"/>
        <v>52.48434411</v>
      </c>
      <c r="O3176" s="74" t="b">
        <v>1</v>
      </c>
    </row>
    <row r="3177" hidden="1">
      <c r="A3177" s="82"/>
      <c r="B3177" s="65" t="s">
        <v>411</v>
      </c>
      <c r="C3177" s="65" t="s">
        <v>117</v>
      </c>
      <c r="D3177" s="65" t="str">
        <f>vlookup(C3177,'Classificação p pessoal'!F:G,2,false)</f>
        <v>NP</v>
      </c>
      <c r="E3177" s="65" t="s">
        <v>1826</v>
      </c>
      <c r="F3177" s="83">
        <v>0.5</v>
      </c>
      <c r="G3177" s="83">
        <v>0.5833333333333334</v>
      </c>
      <c r="H3177" s="83">
        <v>0.08333333333333333</v>
      </c>
      <c r="I3177" s="84">
        <v>44320.0</v>
      </c>
      <c r="J3177" s="65" t="b">
        <v>1</v>
      </c>
      <c r="K3177" s="65"/>
      <c r="L3177" s="85" t="b">
        <f>IF(VLOOKUP(C3177,Projetos!A:L,12,false)=TRUE,TRUE,FALSE)</f>
        <v>1</v>
      </c>
      <c r="M3177" s="74">
        <v>52.48434411075036</v>
      </c>
      <c r="N3177" s="74">
        <f t="shared" si="1"/>
        <v>104.9686882</v>
      </c>
      <c r="O3177" s="74" t="b">
        <v>1</v>
      </c>
    </row>
    <row r="3178" hidden="1">
      <c r="A3178" s="82"/>
      <c r="B3178" s="65" t="s">
        <v>411</v>
      </c>
      <c r="C3178" s="65" t="s">
        <v>107</v>
      </c>
      <c r="D3178" s="65" t="str">
        <f>vlookup(C3178,'Classificação p pessoal'!F:G,2,false)</f>
        <v>NP</v>
      </c>
      <c r="E3178" s="65" t="s">
        <v>2181</v>
      </c>
      <c r="F3178" s="83">
        <v>0.625</v>
      </c>
      <c r="G3178" s="83">
        <v>0.6458333333333334</v>
      </c>
      <c r="H3178" s="83">
        <v>0.020833333333333332</v>
      </c>
      <c r="I3178" s="84">
        <v>44320.0</v>
      </c>
      <c r="J3178" s="65" t="b">
        <v>1</v>
      </c>
      <c r="K3178" s="65"/>
      <c r="L3178" s="85" t="b">
        <f>IF(VLOOKUP(C3178,Projetos!A:L,12,false)=TRUE,TRUE,FALSE)</f>
        <v>1</v>
      </c>
      <c r="M3178" s="74">
        <v>52.48434411075036</v>
      </c>
      <c r="N3178" s="74">
        <f t="shared" si="1"/>
        <v>26.24217206</v>
      </c>
      <c r="O3178" s="74" t="b">
        <v>1</v>
      </c>
    </row>
    <row r="3179" hidden="1">
      <c r="A3179" s="82"/>
      <c r="B3179" s="65" t="s">
        <v>411</v>
      </c>
      <c r="C3179" s="65" t="s">
        <v>117</v>
      </c>
      <c r="D3179" s="65" t="str">
        <f>vlookup(C3179,'Classificação p pessoal'!F:G,2,false)</f>
        <v>NP</v>
      </c>
      <c r="E3179" s="65" t="s">
        <v>2182</v>
      </c>
      <c r="F3179" s="83">
        <v>0.6458333333333334</v>
      </c>
      <c r="G3179" s="83">
        <v>0.75</v>
      </c>
      <c r="H3179" s="83">
        <v>0.10416666666666667</v>
      </c>
      <c r="I3179" s="84">
        <v>44320.0</v>
      </c>
      <c r="J3179" s="65" t="b">
        <v>1</v>
      </c>
      <c r="K3179" s="65"/>
      <c r="L3179" s="85" t="b">
        <f>IF(VLOOKUP(C3179,Projetos!A:L,12,false)=TRUE,TRUE,FALSE)</f>
        <v>1</v>
      </c>
      <c r="M3179" s="74">
        <v>52.48434411075036</v>
      </c>
      <c r="N3179" s="74">
        <f t="shared" si="1"/>
        <v>131.2108603</v>
      </c>
      <c r="O3179" s="74" t="b">
        <v>1</v>
      </c>
    </row>
    <row r="3180" hidden="1">
      <c r="A3180" s="82"/>
      <c r="B3180" s="65" t="s">
        <v>411</v>
      </c>
      <c r="C3180" s="65" t="s">
        <v>117</v>
      </c>
      <c r="D3180" s="65" t="str">
        <f>vlookup(C3180,'Classificação p pessoal'!F:G,2,false)</f>
        <v>NP</v>
      </c>
      <c r="E3180" s="65" t="s">
        <v>2183</v>
      </c>
      <c r="F3180" s="83">
        <v>0.34375</v>
      </c>
      <c r="G3180" s="83">
        <v>0.4583333333333333</v>
      </c>
      <c r="H3180" s="83">
        <v>0.11458333333333333</v>
      </c>
      <c r="I3180" s="84">
        <v>44321.0</v>
      </c>
      <c r="J3180" s="65" t="b">
        <v>1</v>
      </c>
      <c r="K3180" s="65"/>
      <c r="L3180" s="85" t="b">
        <f>IF(VLOOKUP(C3180,Projetos!A:L,12,false)=TRUE,TRUE,FALSE)</f>
        <v>1</v>
      </c>
      <c r="M3180" s="74">
        <v>52.48434411075036</v>
      </c>
      <c r="N3180" s="74">
        <f t="shared" si="1"/>
        <v>144.3319463</v>
      </c>
      <c r="O3180" s="74" t="b">
        <v>1</v>
      </c>
    </row>
    <row r="3181" hidden="1">
      <c r="A3181" s="82"/>
      <c r="B3181" s="65" t="s">
        <v>411</v>
      </c>
      <c r="C3181" s="65" t="s">
        <v>88</v>
      </c>
      <c r="D3181" s="65" t="str">
        <f>vlookup(C3181,'Classificação p pessoal'!F:G,2,false)</f>
        <v>MProduto</v>
      </c>
      <c r="E3181" s="65" t="s">
        <v>2184</v>
      </c>
      <c r="F3181" s="83">
        <v>0.4583333333333333</v>
      </c>
      <c r="G3181" s="83">
        <v>0.5</v>
      </c>
      <c r="H3181" s="83">
        <v>0.041666666666666664</v>
      </c>
      <c r="I3181" s="84">
        <v>44321.0</v>
      </c>
      <c r="J3181" s="65" t="b">
        <v>1</v>
      </c>
      <c r="K3181" s="65"/>
      <c r="L3181" s="85" t="b">
        <f>IF(VLOOKUP(C3181,Projetos!A:L,12,false)=TRUE,TRUE,FALSE)</f>
        <v>1</v>
      </c>
      <c r="M3181" s="74">
        <v>52.48434411075036</v>
      </c>
      <c r="N3181" s="74">
        <f t="shared" si="1"/>
        <v>52.48434411</v>
      </c>
      <c r="O3181" s="74" t="b">
        <v>1</v>
      </c>
    </row>
    <row r="3182" hidden="1">
      <c r="A3182" s="82"/>
      <c r="B3182" s="65" t="s">
        <v>411</v>
      </c>
      <c r="C3182" s="65" t="s">
        <v>152</v>
      </c>
      <c r="D3182" s="65" t="str">
        <f>vlookup(C3182,'Classificação p pessoal'!F:G,2,false)</f>
        <v>MProduto</v>
      </c>
      <c r="E3182" s="65" t="s">
        <v>2185</v>
      </c>
      <c r="F3182" s="83">
        <v>0.5</v>
      </c>
      <c r="G3182" s="83">
        <v>0.5833333333333334</v>
      </c>
      <c r="H3182" s="83">
        <v>0.08333333333333333</v>
      </c>
      <c r="I3182" s="84">
        <v>44321.0</v>
      </c>
      <c r="J3182" s="65" t="b">
        <v>1</v>
      </c>
      <c r="K3182" s="65"/>
      <c r="L3182" s="85" t="b">
        <f>IF(VLOOKUP(C3182,Projetos!A:L,12,false)=TRUE,TRUE,FALSE)</f>
        <v>1</v>
      </c>
      <c r="M3182" s="74">
        <v>52.48434411075036</v>
      </c>
      <c r="N3182" s="74">
        <f t="shared" si="1"/>
        <v>104.9686882</v>
      </c>
      <c r="O3182" s="74" t="b">
        <v>1</v>
      </c>
    </row>
    <row r="3183" hidden="1">
      <c r="A3183" s="82"/>
      <c r="B3183" s="65" t="s">
        <v>411</v>
      </c>
      <c r="C3183" s="65" t="s">
        <v>117</v>
      </c>
      <c r="D3183" s="65" t="str">
        <f>vlookup(C3183,'Classificação p pessoal'!F:G,2,false)</f>
        <v>NP</v>
      </c>
      <c r="E3183" s="65" t="s">
        <v>1826</v>
      </c>
      <c r="F3183" s="83">
        <v>0.625</v>
      </c>
      <c r="G3183" s="83">
        <v>0.7083333333333334</v>
      </c>
      <c r="H3183" s="83">
        <v>0.08333333333333333</v>
      </c>
      <c r="I3183" s="84">
        <v>44321.0</v>
      </c>
      <c r="J3183" s="65" t="b">
        <v>1</v>
      </c>
      <c r="K3183" s="65"/>
      <c r="L3183" s="85" t="b">
        <f>IF(VLOOKUP(C3183,Projetos!A:L,12,false)=TRUE,TRUE,FALSE)</f>
        <v>1</v>
      </c>
      <c r="M3183" s="74">
        <v>52.48434411075036</v>
      </c>
      <c r="N3183" s="74">
        <f t="shared" si="1"/>
        <v>104.9686882</v>
      </c>
      <c r="O3183" s="74" t="b">
        <v>1</v>
      </c>
    </row>
    <row r="3184" hidden="1">
      <c r="A3184" s="82"/>
      <c r="B3184" s="65" t="s">
        <v>411</v>
      </c>
      <c r="C3184" s="65" t="s">
        <v>119</v>
      </c>
      <c r="D3184" s="65" t="str">
        <f>vlookup(C3184,'Classificação p pessoal'!F:G,2,false)</f>
        <v>NP</v>
      </c>
      <c r="E3184" s="65" t="s">
        <v>2186</v>
      </c>
      <c r="F3184" s="83">
        <v>0.7083333333333334</v>
      </c>
      <c r="G3184" s="83">
        <v>0.75</v>
      </c>
      <c r="H3184" s="83">
        <v>0.041666666666666664</v>
      </c>
      <c r="I3184" s="84">
        <v>44321.0</v>
      </c>
      <c r="J3184" s="65" t="b">
        <v>1</v>
      </c>
      <c r="K3184" s="65"/>
      <c r="L3184" s="85" t="b">
        <f>IF(VLOOKUP(C3184,Projetos!A:L,12,false)=TRUE,TRUE,FALSE)</f>
        <v>1</v>
      </c>
      <c r="M3184" s="74">
        <v>52.48434411075036</v>
      </c>
      <c r="N3184" s="74">
        <f t="shared" si="1"/>
        <v>52.48434411</v>
      </c>
      <c r="O3184" s="74" t="b">
        <v>1</v>
      </c>
    </row>
    <row r="3185" hidden="1">
      <c r="A3185" s="82"/>
      <c r="B3185" s="65" t="s">
        <v>411</v>
      </c>
      <c r="C3185" s="65" t="s">
        <v>119</v>
      </c>
      <c r="D3185" s="65" t="str">
        <f>vlookup(C3185,'Classificação p pessoal'!F:G,2,false)</f>
        <v>NP</v>
      </c>
      <c r="E3185" s="65" t="s">
        <v>2186</v>
      </c>
      <c r="F3185" s="83">
        <v>0.34375</v>
      </c>
      <c r="G3185" s="83">
        <v>0.3645833333333333</v>
      </c>
      <c r="H3185" s="83">
        <v>0.020833333333333332</v>
      </c>
      <c r="I3185" s="84">
        <v>44322.0</v>
      </c>
      <c r="J3185" s="65" t="b">
        <v>1</v>
      </c>
      <c r="K3185" s="65"/>
      <c r="L3185" s="85" t="b">
        <f>IF(VLOOKUP(C3185,Projetos!A:L,12,false)=TRUE,TRUE,FALSE)</f>
        <v>1</v>
      </c>
      <c r="M3185" s="74">
        <v>52.48434411075036</v>
      </c>
      <c r="N3185" s="74">
        <f t="shared" si="1"/>
        <v>26.24217206</v>
      </c>
      <c r="O3185" s="74" t="b">
        <v>1</v>
      </c>
    </row>
    <row r="3186" hidden="1">
      <c r="A3186" s="82"/>
      <c r="B3186" s="65" t="s">
        <v>411</v>
      </c>
      <c r="C3186" s="65" t="s">
        <v>152</v>
      </c>
      <c r="D3186" s="65" t="str">
        <f>vlookup(C3186,'Classificação p pessoal'!F:G,2,false)</f>
        <v>MProduto</v>
      </c>
      <c r="E3186" s="65" t="s">
        <v>2187</v>
      </c>
      <c r="F3186" s="83">
        <v>0.3645833333333333</v>
      </c>
      <c r="G3186" s="83">
        <v>0.4166666666666667</v>
      </c>
      <c r="H3186" s="83">
        <v>0.052083333333333336</v>
      </c>
      <c r="I3186" s="84">
        <v>44322.0</v>
      </c>
      <c r="J3186" s="65" t="b">
        <v>1</v>
      </c>
      <c r="K3186" s="65"/>
      <c r="L3186" s="85" t="b">
        <f>IF(VLOOKUP(C3186,Projetos!A:L,12,false)=TRUE,TRUE,FALSE)</f>
        <v>1</v>
      </c>
      <c r="M3186" s="74">
        <v>52.48434411075036</v>
      </c>
      <c r="N3186" s="74">
        <f t="shared" si="1"/>
        <v>65.60543014</v>
      </c>
      <c r="O3186" s="74" t="b">
        <v>1</v>
      </c>
    </row>
    <row r="3187" hidden="1">
      <c r="A3187" s="82"/>
      <c r="B3187" s="65" t="s">
        <v>411</v>
      </c>
      <c r="C3187" s="65" t="s">
        <v>92</v>
      </c>
      <c r="D3187" s="65" t="str">
        <f>vlookup(C3187,'Classificação p pessoal'!F:G,2,false)</f>
        <v/>
      </c>
      <c r="E3187" s="65" t="s">
        <v>2188</v>
      </c>
      <c r="F3187" s="83">
        <v>0.4166666666666667</v>
      </c>
      <c r="G3187" s="83">
        <v>0.46875</v>
      </c>
      <c r="H3187" s="83">
        <v>0.052083333333333336</v>
      </c>
      <c r="I3187" s="84">
        <v>44322.0</v>
      </c>
      <c r="J3187" s="65" t="b">
        <v>1</v>
      </c>
      <c r="K3187" s="65"/>
      <c r="L3187" s="85" t="b">
        <f>IF(VLOOKUP(C3187,Projetos!A:L,12,false)=TRUE,TRUE,FALSE)</f>
        <v>1</v>
      </c>
      <c r="M3187" s="74">
        <v>52.48434411075036</v>
      </c>
      <c r="N3187" s="74">
        <f t="shared" si="1"/>
        <v>65.60543014</v>
      </c>
      <c r="O3187" s="74" t="b">
        <v>1</v>
      </c>
    </row>
    <row r="3188" hidden="1">
      <c r="A3188" s="82"/>
      <c r="B3188" s="65" t="s">
        <v>411</v>
      </c>
      <c r="C3188" s="65" t="s">
        <v>117</v>
      </c>
      <c r="D3188" s="65" t="str">
        <f>vlookup(C3188,'Classificação p pessoal'!F:G,2,false)</f>
        <v>NP</v>
      </c>
      <c r="E3188" s="65" t="s">
        <v>2189</v>
      </c>
      <c r="F3188" s="83">
        <v>0.46875</v>
      </c>
      <c r="G3188" s="83">
        <v>0.5104166666666666</v>
      </c>
      <c r="H3188" s="83">
        <v>0.041666666666666664</v>
      </c>
      <c r="I3188" s="84">
        <v>44322.0</v>
      </c>
      <c r="J3188" s="65" t="b">
        <v>1</v>
      </c>
      <c r="K3188" s="65"/>
      <c r="L3188" s="85" t="b">
        <f>IF(VLOOKUP(C3188,Projetos!A:L,12,false)=TRUE,TRUE,FALSE)</f>
        <v>1</v>
      </c>
      <c r="M3188" s="74">
        <v>52.48434411075036</v>
      </c>
      <c r="N3188" s="74">
        <f t="shared" si="1"/>
        <v>52.48434411</v>
      </c>
      <c r="O3188" s="74" t="b">
        <v>1</v>
      </c>
    </row>
    <row r="3189" hidden="1">
      <c r="A3189" s="82"/>
      <c r="B3189" s="65" t="s">
        <v>411</v>
      </c>
      <c r="C3189" s="65" t="s">
        <v>127</v>
      </c>
      <c r="D3189" s="65" t="str">
        <f>vlookup(C3189,'Classificação p pessoal'!F:G,2,false)</f>
        <v>NP</v>
      </c>
      <c r="E3189" s="65" t="s">
        <v>2190</v>
      </c>
      <c r="F3189" s="83">
        <v>0.5104166666666666</v>
      </c>
      <c r="G3189" s="83">
        <v>0.5833333333333334</v>
      </c>
      <c r="H3189" s="83">
        <v>0.07291666666666667</v>
      </c>
      <c r="I3189" s="84">
        <v>44322.0</v>
      </c>
      <c r="J3189" s="65" t="b">
        <v>1</v>
      </c>
      <c r="K3189" s="65"/>
      <c r="L3189" s="85" t="b">
        <f>IF(VLOOKUP(C3189,Projetos!A:L,12,false)=TRUE,TRUE,FALSE)</f>
        <v>1</v>
      </c>
      <c r="M3189" s="74">
        <v>52.48434411075036</v>
      </c>
      <c r="N3189" s="74">
        <f t="shared" si="1"/>
        <v>91.84760219</v>
      </c>
      <c r="O3189" s="74" t="b">
        <v>1</v>
      </c>
    </row>
    <row r="3190" hidden="1">
      <c r="A3190" s="82"/>
      <c r="B3190" s="65" t="s">
        <v>411</v>
      </c>
      <c r="C3190" s="65" t="s">
        <v>117</v>
      </c>
      <c r="D3190" s="65" t="str">
        <f>vlookup(C3190,'Classificação p pessoal'!F:G,2,false)</f>
        <v>NP</v>
      </c>
      <c r="E3190" s="65" t="s">
        <v>1826</v>
      </c>
      <c r="F3190" s="83">
        <v>0.625</v>
      </c>
      <c r="G3190" s="83">
        <v>0.6458333333333334</v>
      </c>
      <c r="H3190" s="83">
        <v>0.020833333333333332</v>
      </c>
      <c r="I3190" s="84">
        <v>44322.0</v>
      </c>
      <c r="J3190" s="65" t="b">
        <v>1</v>
      </c>
      <c r="K3190" s="65"/>
      <c r="L3190" s="85" t="b">
        <f>IF(VLOOKUP(C3190,Projetos!A:L,12,false)=TRUE,TRUE,FALSE)</f>
        <v>1</v>
      </c>
      <c r="M3190" s="74">
        <v>52.48434411075036</v>
      </c>
      <c r="N3190" s="74">
        <f t="shared" si="1"/>
        <v>26.24217206</v>
      </c>
      <c r="O3190" s="74" t="b">
        <v>1</v>
      </c>
    </row>
    <row r="3191" hidden="1">
      <c r="A3191" s="82"/>
      <c r="B3191" s="65" t="s">
        <v>411</v>
      </c>
      <c r="C3191" s="65" t="s">
        <v>92</v>
      </c>
      <c r="D3191" s="65" t="str">
        <f>vlookup(C3191,'Classificação p pessoal'!F:G,2,false)</f>
        <v/>
      </c>
      <c r="E3191" s="65" t="s">
        <v>2188</v>
      </c>
      <c r="F3191" s="83">
        <v>0.6458333333333334</v>
      </c>
      <c r="G3191" s="83">
        <v>0.75</v>
      </c>
      <c r="H3191" s="83">
        <v>0.10416666666666667</v>
      </c>
      <c r="I3191" s="84">
        <v>44322.0</v>
      </c>
      <c r="J3191" s="65" t="b">
        <v>1</v>
      </c>
      <c r="K3191" s="65"/>
      <c r="L3191" s="85" t="b">
        <f>IF(VLOOKUP(C3191,Projetos!A:L,12,false)=TRUE,TRUE,FALSE)</f>
        <v>1</v>
      </c>
      <c r="M3191" s="74">
        <v>52.48434411075036</v>
      </c>
      <c r="N3191" s="74">
        <f t="shared" si="1"/>
        <v>131.2108603</v>
      </c>
      <c r="O3191" s="74" t="b">
        <v>1</v>
      </c>
    </row>
    <row r="3192" hidden="1">
      <c r="A3192" s="82"/>
      <c r="B3192" s="65" t="s">
        <v>177</v>
      </c>
      <c r="C3192" s="65" t="s">
        <v>118</v>
      </c>
      <c r="D3192" s="65" t="str">
        <f>vlookup(C3192,'Classificação p pessoal'!F:G,2,false)</f>
        <v>MProduto</v>
      </c>
      <c r="E3192" s="65" t="s">
        <v>2191</v>
      </c>
      <c r="F3192" s="83">
        <v>0.5833333333333334</v>
      </c>
      <c r="G3192" s="83">
        <v>0.6041666666666666</v>
      </c>
      <c r="H3192" s="83">
        <v>0.020833333333333332</v>
      </c>
      <c r="I3192" s="84">
        <v>44512.0</v>
      </c>
      <c r="J3192" s="65" t="b">
        <v>1</v>
      </c>
      <c r="K3192" s="65"/>
      <c r="L3192" s="85" t="b">
        <f>IF(VLOOKUP(C3192,Projetos!A:L,12,false)=TRUE,TRUE,FALSE)</f>
        <v>1</v>
      </c>
      <c r="M3192" s="74">
        <v>31.02923620430495</v>
      </c>
      <c r="N3192" s="74">
        <f t="shared" si="1"/>
        <v>15.5146181</v>
      </c>
      <c r="O3192" s="74" t="b">
        <v>1</v>
      </c>
    </row>
    <row r="3193" hidden="1">
      <c r="A3193" s="82"/>
      <c r="B3193" s="65" t="s">
        <v>411</v>
      </c>
      <c r="C3193" s="65" t="s">
        <v>120</v>
      </c>
      <c r="D3193" s="65"/>
      <c r="E3193" s="65" t="s">
        <v>2178</v>
      </c>
      <c r="F3193" s="83">
        <v>0.4583333333333333</v>
      </c>
      <c r="G3193" s="83">
        <v>0.5</v>
      </c>
      <c r="H3193" s="83">
        <v>0.041666666666666664</v>
      </c>
      <c r="I3193" s="84">
        <v>44323.0</v>
      </c>
      <c r="J3193" s="65" t="b">
        <v>0</v>
      </c>
      <c r="K3193" s="65"/>
      <c r="L3193" s="85" t="b">
        <f>IF(VLOOKUP(C3193,Projetos!A:L,12,false)=TRUE,TRUE,FALSE)</f>
        <v>0</v>
      </c>
      <c r="M3193" s="74">
        <v>52.48434411075036</v>
      </c>
      <c r="N3193" s="74">
        <f t="shared" si="1"/>
        <v>0</v>
      </c>
      <c r="O3193" s="74" t="b">
        <v>0</v>
      </c>
    </row>
    <row r="3194" hidden="1">
      <c r="A3194" s="82"/>
      <c r="B3194" s="65" t="s">
        <v>411</v>
      </c>
      <c r="C3194" s="65" t="s">
        <v>117</v>
      </c>
      <c r="D3194" s="65" t="str">
        <f>vlookup(C3194,'Classificação p pessoal'!F:G,2,false)</f>
        <v>NP</v>
      </c>
      <c r="E3194" s="65" t="s">
        <v>1944</v>
      </c>
      <c r="F3194" s="83">
        <v>0.5</v>
      </c>
      <c r="G3194" s="83">
        <v>0.5208333333333334</v>
      </c>
      <c r="H3194" s="83">
        <v>0.020833333333333332</v>
      </c>
      <c r="I3194" s="84">
        <v>44323.0</v>
      </c>
      <c r="J3194" s="65" t="b">
        <v>1</v>
      </c>
      <c r="K3194" s="65"/>
      <c r="L3194" s="85" t="b">
        <f>IF(VLOOKUP(C3194,Projetos!A:L,12,false)=TRUE,TRUE,FALSE)</f>
        <v>1</v>
      </c>
      <c r="M3194" s="74">
        <v>52.48434411075036</v>
      </c>
      <c r="N3194" s="74">
        <f t="shared" si="1"/>
        <v>26.24217206</v>
      </c>
      <c r="O3194" s="74" t="b">
        <v>1</v>
      </c>
    </row>
    <row r="3195" hidden="1">
      <c r="A3195" s="82"/>
      <c r="B3195" s="65" t="s">
        <v>411</v>
      </c>
      <c r="C3195" s="65" t="s">
        <v>117</v>
      </c>
      <c r="D3195" s="65" t="str">
        <f>vlookup(C3195,'Classificação p pessoal'!F:G,2,false)</f>
        <v>NP</v>
      </c>
      <c r="E3195" s="65" t="s">
        <v>1826</v>
      </c>
      <c r="F3195" s="83">
        <v>0.5625</v>
      </c>
      <c r="G3195" s="83">
        <v>0.6458333333333334</v>
      </c>
      <c r="H3195" s="83">
        <v>0.08333333333333333</v>
      </c>
      <c r="I3195" s="84">
        <v>44323.0</v>
      </c>
      <c r="J3195" s="65" t="b">
        <v>1</v>
      </c>
      <c r="K3195" s="65"/>
      <c r="L3195" s="85" t="b">
        <f>IF(VLOOKUP(C3195,Projetos!A:L,12,false)=TRUE,TRUE,FALSE)</f>
        <v>1</v>
      </c>
      <c r="M3195" s="74">
        <v>52.48434411075036</v>
      </c>
      <c r="N3195" s="74">
        <f t="shared" si="1"/>
        <v>104.9686882</v>
      </c>
      <c r="O3195" s="74" t="b">
        <v>1</v>
      </c>
    </row>
    <row r="3196" hidden="1">
      <c r="A3196" s="82"/>
      <c r="B3196" s="65" t="s">
        <v>411</v>
      </c>
      <c r="C3196" s="65" t="s">
        <v>88</v>
      </c>
      <c r="D3196" s="65" t="str">
        <f>vlookup(C3196,'Classificação p pessoal'!F:G,2,false)</f>
        <v>MProduto</v>
      </c>
      <c r="E3196" s="65" t="s">
        <v>2192</v>
      </c>
      <c r="F3196" s="83">
        <v>0.34375</v>
      </c>
      <c r="G3196" s="83">
        <v>0.4166666666666667</v>
      </c>
      <c r="H3196" s="83">
        <v>0.07291666666666667</v>
      </c>
      <c r="I3196" s="84">
        <v>44326.0</v>
      </c>
      <c r="J3196" s="65" t="b">
        <v>1</v>
      </c>
      <c r="K3196" s="65"/>
      <c r="L3196" s="85" t="b">
        <f>IF(VLOOKUP(C3196,Projetos!A:L,12,false)=TRUE,TRUE,FALSE)</f>
        <v>1</v>
      </c>
      <c r="M3196" s="74">
        <v>52.48434411075036</v>
      </c>
      <c r="N3196" s="74">
        <f t="shared" si="1"/>
        <v>91.84760219</v>
      </c>
      <c r="O3196" s="74" t="b">
        <v>1</v>
      </c>
    </row>
    <row r="3197" hidden="1">
      <c r="A3197" s="82"/>
      <c r="B3197" s="65" t="s">
        <v>411</v>
      </c>
      <c r="C3197" s="65" t="s">
        <v>85</v>
      </c>
      <c r="D3197" s="65" t="str">
        <f>vlookup(C3197,'Classificação p pessoal'!F:G,2,false)</f>
        <v>NP</v>
      </c>
      <c r="E3197" s="65" t="s">
        <v>2193</v>
      </c>
      <c r="F3197" s="83">
        <v>0.4166666666666667</v>
      </c>
      <c r="G3197" s="83">
        <v>0.4583333333333333</v>
      </c>
      <c r="H3197" s="83">
        <v>0.041666666666666664</v>
      </c>
      <c r="I3197" s="84">
        <v>44326.0</v>
      </c>
      <c r="J3197" s="65" t="b">
        <v>1</v>
      </c>
      <c r="K3197" s="65"/>
      <c r="L3197" s="85" t="b">
        <f>IF(VLOOKUP(C3197,Projetos!A:L,12,false)=TRUE,TRUE,FALSE)</f>
        <v>1</v>
      </c>
      <c r="M3197" s="74">
        <v>52.48434411075036</v>
      </c>
      <c r="N3197" s="74">
        <f t="shared" si="1"/>
        <v>52.48434411</v>
      </c>
      <c r="O3197" s="74" t="b">
        <v>1</v>
      </c>
    </row>
    <row r="3198" hidden="1">
      <c r="A3198" s="82"/>
      <c r="B3198" s="65" t="s">
        <v>411</v>
      </c>
      <c r="C3198" s="65" t="s">
        <v>117</v>
      </c>
      <c r="D3198" s="65" t="str">
        <f>vlookup(C3198,'Classificação p pessoal'!F:G,2,false)</f>
        <v>NP</v>
      </c>
      <c r="E3198" s="65" t="s">
        <v>2194</v>
      </c>
      <c r="F3198" s="83">
        <v>0.4583333333333333</v>
      </c>
      <c r="G3198" s="83">
        <v>0.5833333333333334</v>
      </c>
      <c r="H3198" s="83">
        <v>0.125</v>
      </c>
      <c r="I3198" s="84">
        <v>44326.0</v>
      </c>
      <c r="J3198" s="65" t="b">
        <v>1</v>
      </c>
      <c r="K3198" s="65"/>
      <c r="L3198" s="85" t="b">
        <f>IF(VLOOKUP(C3198,Projetos!A:L,12,false)=TRUE,TRUE,FALSE)</f>
        <v>1</v>
      </c>
      <c r="M3198" s="74">
        <v>52.48434411075036</v>
      </c>
      <c r="N3198" s="74">
        <f t="shared" si="1"/>
        <v>157.4530323</v>
      </c>
      <c r="O3198" s="74" t="b">
        <v>1</v>
      </c>
    </row>
    <row r="3199" hidden="1">
      <c r="A3199" s="82"/>
      <c r="B3199" s="65" t="s">
        <v>411</v>
      </c>
      <c r="C3199" s="65" t="s">
        <v>92</v>
      </c>
      <c r="D3199" s="65" t="str">
        <f>vlookup(C3199,'Classificação p pessoal'!F:G,2,false)</f>
        <v/>
      </c>
      <c r="E3199" s="65" t="s">
        <v>2195</v>
      </c>
      <c r="F3199" s="83">
        <v>0.5833333333333334</v>
      </c>
      <c r="G3199" s="83">
        <v>0.625</v>
      </c>
      <c r="H3199" s="83">
        <v>0.041666666666666664</v>
      </c>
      <c r="I3199" s="84">
        <v>44326.0</v>
      </c>
      <c r="J3199" s="65" t="b">
        <v>1</v>
      </c>
      <c r="K3199" s="65"/>
      <c r="L3199" s="85" t="b">
        <f>IF(VLOOKUP(C3199,Projetos!A:L,12,false)=TRUE,TRUE,FALSE)</f>
        <v>1</v>
      </c>
      <c r="M3199" s="74">
        <v>52.48434411075036</v>
      </c>
      <c r="N3199" s="74">
        <f t="shared" si="1"/>
        <v>52.48434411</v>
      </c>
      <c r="O3199" s="74" t="b">
        <v>1</v>
      </c>
    </row>
    <row r="3200" hidden="1">
      <c r="A3200" s="82"/>
      <c r="B3200" s="65" t="s">
        <v>411</v>
      </c>
      <c r="C3200" s="65" t="s">
        <v>119</v>
      </c>
      <c r="D3200" s="65" t="str">
        <f>vlookup(C3200,'Classificação p pessoal'!F:G,2,false)</f>
        <v>NP</v>
      </c>
      <c r="E3200" s="65" t="s">
        <v>2196</v>
      </c>
      <c r="F3200" s="83">
        <v>0.6666666666666666</v>
      </c>
      <c r="G3200" s="83">
        <v>0.7083333333333334</v>
      </c>
      <c r="H3200" s="83">
        <v>0.041666666666666664</v>
      </c>
      <c r="I3200" s="84">
        <v>44326.0</v>
      </c>
      <c r="J3200" s="65" t="b">
        <v>1</v>
      </c>
      <c r="K3200" s="65"/>
      <c r="L3200" s="85" t="b">
        <f>IF(VLOOKUP(C3200,Projetos!A:L,12,false)=TRUE,TRUE,FALSE)</f>
        <v>1</v>
      </c>
      <c r="M3200" s="74">
        <v>52.48434411075036</v>
      </c>
      <c r="N3200" s="74">
        <f t="shared" si="1"/>
        <v>52.48434411</v>
      </c>
      <c r="O3200" s="74" t="b">
        <v>1</v>
      </c>
    </row>
    <row r="3201">
      <c r="A3201" s="82"/>
      <c r="B3201" s="65" t="s">
        <v>495</v>
      </c>
      <c r="C3201" s="65" t="s">
        <v>130</v>
      </c>
      <c r="D3201" s="65"/>
      <c r="E3201" s="65" t="s">
        <v>2197</v>
      </c>
      <c r="F3201" s="83">
        <v>0.7395833333333334</v>
      </c>
      <c r="G3201" s="83">
        <v>0.75</v>
      </c>
      <c r="H3201" s="83">
        <v>0.010416666666666666</v>
      </c>
      <c r="I3201" s="84">
        <v>44333.0</v>
      </c>
      <c r="J3201" s="65" t="b">
        <v>0</v>
      </c>
      <c r="K3201" s="65" t="s">
        <v>150</v>
      </c>
      <c r="L3201" s="85" t="b">
        <f>IF(VLOOKUP(C3201,Projetos!A:L,12,false)=TRUE,TRUE,FALSE)</f>
        <v>1</v>
      </c>
      <c r="M3201" s="74">
        <v>73.7079846079846</v>
      </c>
      <c r="N3201" s="74">
        <f t="shared" si="1"/>
        <v>0</v>
      </c>
      <c r="O3201" s="74" t="b">
        <v>1</v>
      </c>
    </row>
    <row r="3202" hidden="1">
      <c r="A3202" s="82"/>
      <c r="B3202" s="65" t="s">
        <v>411</v>
      </c>
      <c r="C3202" s="65" t="s">
        <v>117</v>
      </c>
      <c r="D3202" s="65" t="str">
        <f>vlookup(C3202,'Classificação p pessoal'!F:G,2,false)</f>
        <v>NP</v>
      </c>
      <c r="E3202" s="65" t="s">
        <v>2198</v>
      </c>
      <c r="F3202" s="83">
        <v>0.7291666666666666</v>
      </c>
      <c r="G3202" s="83">
        <v>0.75</v>
      </c>
      <c r="H3202" s="83">
        <v>0.020833333333333332</v>
      </c>
      <c r="I3202" s="84">
        <v>44326.0</v>
      </c>
      <c r="J3202" s="65" t="b">
        <v>1</v>
      </c>
      <c r="K3202" s="65"/>
      <c r="L3202" s="85" t="b">
        <f>IF(VLOOKUP(C3202,Projetos!A:L,12,false)=TRUE,TRUE,FALSE)</f>
        <v>1</v>
      </c>
      <c r="M3202" s="74">
        <v>52.48434411075036</v>
      </c>
      <c r="N3202" s="74">
        <f t="shared" si="1"/>
        <v>26.24217206</v>
      </c>
      <c r="O3202" s="74" t="b">
        <v>1</v>
      </c>
    </row>
    <row r="3203" hidden="1">
      <c r="A3203" s="82"/>
      <c r="B3203" s="65" t="s">
        <v>411</v>
      </c>
      <c r="C3203" s="65" t="s">
        <v>117</v>
      </c>
      <c r="D3203" s="65" t="str">
        <f>vlookup(C3203,'Classificação p pessoal'!F:G,2,false)</f>
        <v>NP</v>
      </c>
      <c r="E3203" s="65" t="s">
        <v>2199</v>
      </c>
      <c r="F3203" s="83">
        <v>0.3541666666666667</v>
      </c>
      <c r="G3203" s="83">
        <v>0.3958333333333333</v>
      </c>
      <c r="H3203" s="83">
        <v>0.041666666666666664</v>
      </c>
      <c r="I3203" s="84">
        <v>44327.0</v>
      </c>
      <c r="J3203" s="65" t="b">
        <v>1</v>
      </c>
      <c r="K3203" s="65"/>
      <c r="L3203" s="85" t="b">
        <f>IF(VLOOKUP(C3203,Projetos!A:L,12,false)=TRUE,TRUE,FALSE)</f>
        <v>1</v>
      </c>
      <c r="M3203" s="74">
        <v>52.48434411075036</v>
      </c>
      <c r="N3203" s="74">
        <f t="shared" si="1"/>
        <v>52.48434411</v>
      </c>
      <c r="O3203" s="74" t="b">
        <v>1</v>
      </c>
    </row>
    <row r="3204" hidden="1">
      <c r="A3204" s="82"/>
      <c r="B3204" s="65" t="s">
        <v>411</v>
      </c>
      <c r="C3204" s="65" t="s">
        <v>117</v>
      </c>
      <c r="D3204" s="65" t="str">
        <f>vlookup(C3204,'Classificação p pessoal'!F:G,2,false)</f>
        <v>NP</v>
      </c>
      <c r="E3204" s="65" t="s">
        <v>2200</v>
      </c>
      <c r="F3204" s="83">
        <v>0.5833333333333334</v>
      </c>
      <c r="G3204" s="83">
        <v>0.75</v>
      </c>
      <c r="H3204" s="83">
        <v>0.16666666666666666</v>
      </c>
      <c r="I3204" s="84">
        <v>44327.0</v>
      </c>
      <c r="J3204" s="65" t="b">
        <v>1</v>
      </c>
      <c r="K3204" s="65"/>
      <c r="L3204" s="85" t="b">
        <f>IF(VLOOKUP(C3204,Projetos!A:L,12,false)=TRUE,TRUE,FALSE)</f>
        <v>1</v>
      </c>
      <c r="M3204" s="74">
        <v>52.48434411075036</v>
      </c>
      <c r="N3204" s="74">
        <f t="shared" si="1"/>
        <v>209.9373764</v>
      </c>
      <c r="O3204" s="74" t="b">
        <v>1</v>
      </c>
    </row>
    <row r="3205" hidden="1">
      <c r="A3205" s="82"/>
      <c r="B3205" s="65" t="s">
        <v>411</v>
      </c>
      <c r="C3205" s="65" t="s">
        <v>127</v>
      </c>
      <c r="D3205" s="65" t="str">
        <f>vlookup(C3205,'Classificação p pessoal'!F:G,2,false)</f>
        <v>NP</v>
      </c>
      <c r="E3205" s="65" t="s">
        <v>2201</v>
      </c>
      <c r="F3205" s="83">
        <v>0.34375</v>
      </c>
      <c r="G3205" s="83">
        <v>0.3854166666666667</v>
      </c>
      <c r="H3205" s="83">
        <v>0.041666666666666664</v>
      </c>
      <c r="I3205" s="84">
        <v>44328.0</v>
      </c>
      <c r="J3205" s="65" t="b">
        <v>1</v>
      </c>
      <c r="K3205" s="65"/>
      <c r="L3205" s="85" t="b">
        <f>IF(VLOOKUP(C3205,Projetos!A:L,12,false)=TRUE,TRUE,FALSE)</f>
        <v>1</v>
      </c>
      <c r="M3205" s="74">
        <v>52.48434411075036</v>
      </c>
      <c r="N3205" s="74">
        <f t="shared" si="1"/>
        <v>52.48434411</v>
      </c>
      <c r="O3205" s="74" t="b">
        <v>1</v>
      </c>
    </row>
    <row r="3206" hidden="1">
      <c r="A3206" s="82"/>
      <c r="B3206" s="65" t="s">
        <v>411</v>
      </c>
      <c r="C3206" s="65" t="s">
        <v>117</v>
      </c>
      <c r="D3206" s="65" t="str">
        <f>vlookup(C3206,'Classificação p pessoal'!F:G,2,false)</f>
        <v>NP</v>
      </c>
      <c r="E3206" s="65" t="s">
        <v>2202</v>
      </c>
      <c r="F3206" s="83">
        <v>0.3854166666666667</v>
      </c>
      <c r="G3206" s="83">
        <v>0.5208333333333334</v>
      </c>
      <c r="H3206" s="83">
        <v>0.13541666666666666</v>
      </c>
      <c r="I3206" s="84">
        <v>44328.0</v>
      </c>
      <c r="J3206" s="65" t="b">
        <v>1</v>
      </c>
      <c r="K3206" s="65"/>
      <c r="L3206" s="85" t="b">
        <f>IF(VLOOKUP(C3206,Projetos!A:L,12,false)=TRUE,TRUE,FALSE)</f>
        <v>1</v>
      </c>
      <c r="M3206" s="74">
        <v>52.48434411075036</v>
      </c>
      <c r="N3206" s="74">
        <f t="shared" si="1"/>
        <v>170.5741184</v>
      </c>
      <c r="O3206" s="74" t="b">
        <v>1</v>
      </c>
    </row>
    <row r="3207" hidden="1">
      <c r="A3207" s="82"/>
      <c r="B3207" s="65" t="s">
        <v>411</v>
      </c>
      <c r="C3207" s="65" t="s">
        <v>127</v>
      </c>
      <c r="D3207" s="65" t="str">
        <f>vlookup(C3207,'Classificação p pessoal'!F:G,2,false)</f>
        <v>NP</v>
      </c>
      <c r="E3207" s="65" t="s">
        <v>2203</v>
      </c>
      <c r="F3207" s="83">
        <v>0.5625</v>
      </c>
      <c r="G3207" s="83">
        <v>0.7083333333333334</v>
      </c>
      <c r="H3207" s="83">
        <v>0.14583333333333334</v>
      </c>
      <c r="I3207" s="84">
        <v>44328.0</v>
      </c>
      <c r="J3207" s="65" t="b">
        <v>1</v>
      </c>
      <c r="K3207" s="65"/>
      <c r="L3207" s="85" t="b">
        <f>IF(VLOOKUP(C3207,Projetos!A:L,12,false)=TRUE,TRUE,FALSE)</f>
        <v>1</v>
      </c>
      <c r="M3207" s="74">
        <v>52.48434411075036</v>
      </c>
      <c r="N3207" s="74">
        <f t="shared" si="1"/>
        <v>183.6952044</v>
      </c>
      <c r="O3207" s="74" t="b">
        <v>1</v>
      </c>
    </row>
    <row r="3208" hidden="1">
      <c r="A3208" s="82"/>
      <c r="B3208" s="65" t="s">
        <v>411</v>
      </c>
      <c r="C3208" s="65" t="s">
        <v>108</v>
      </c>
      <c r="D3208" s="65"/>
      <c r="E3208" s="65" t="s">
        <v>2204</v>
      </c>
      <c r="F3208" s="83">
        <v>0.7083333333333334</v>
      </c>
      <c r="G3208" s="83">
        <v>0.7291666666666666</v>
      </c>
      <c r="H3208" s="83">
        <v>0.020833333333333332</v>
      </c>
      <c r="I3208" s="84">
        <v>44328.0</v>
      </c>
      <c r="J3208" s="65" t="b">
        <v>0</v>
      </c>
      <c r="K3208" s="65" t="s">
        <v>150</v>
      </c>
      <c r="L3208" s="85" t="b">
        <f>IF(VLOOKUP(C3208,Projetos!A:L,12,false)=TRUE,TRUE,FALSE)</f>
        <v>1</v>
      </c>
      <c r="M3208" s="74">
        <v>52.48434411075036</v>
      </c>
      <c r="N3208" s="74">
        <f t="shared" si="1"/>
        <v>0</v>
      </c>
      <c r="O3208" s="74" t="b">
        <v>1</v>
      </c>
    </row>
    <row r="3209" hidden="1">
      <c r="A3209" s="82"/>
      <c r="B3209" s="65" t="s">
        <v>411</v>
      </c>
      <c r="C3209" s="65" t="s">
        <v>127</v>
      </c>
      <c r="D3209" s="65" t="str">
        <f>vlookup(C3209,'Classificação p pessoal'!F:G,2,false)</f>
        <v>NP</v>
      </c>
      <c r="E3209" s="65" t="s">
        <v>2205</v>
      </c>
      <c r="F3209" s="83">
        <v>0.34375</v>
      </c>
      <c r="G3209" s="83">
        <v>0.375</v>
      </c>
      <c r="H3209" s="83">
        <v>0.03125</v>
      </c>
      <c r="I3209" s="84">
        <v>44329.0</v>
      </c>
      <c r="J3209" s="65" t="b">
        <v>1</v>
      </c>
      <c r="K3209" s="65"/>
      <c r="L3209" s="85" t="b">
        <f>IF(VLOOKUP(C3209,Projetos!A:L,12,false)=TRUE,TRUE,FALSE)</f>
        <v>1</v>
      </c>
      <c r="M3209" s="74">
        <v>52.48434411075036</v>
      </c>
      <c r="N3209" s="74">
        <f t="shared" si="1"/>
        <v>39.36325808</v>
      </c>
      <c r="O3209" s="74" t="b">
        <v>1</v>
      </c>
    </row>
    <row r="3210" hidden="1">
      <c r="A3210" s="82"/>
      <c r="B3210" s="65" t="s">
        <v>411</v>
      </c>
      <c r="C3210" s="65" t="s">
        <v>117</v>
      </c>
      <c r="D3210" s="65" t="str">
        <f>vlookup(C3210,'Classificação p pessoal'!F:G,2,false)</f>
        <v>NP</v>
      </c>
      <c r="E3210" s="65" t="s">
        <v>2206</v>
      </c>
      <c r="F3210" s="83">
        <v>0.375</v>
      </c>
      <c r="G3210" s="83">
        <v>0.4166666666666667</v>
      </c>
      <c r="H3210" s="83">
        <v>0.041666666666666664</v>
      </c>
      <c r="I3210" s="84">
        <v>44329.0</v>
      </c>
      <c r="J3210" s="65" t="b">
        <v>1</v>
      </c>
      <c r="K3210" s="65"/>
      <c r="L3210" s="85" t="b">
        <f>IF(VLOOKUP(C3210,Projetos!A:L,12,false)=TRUE,TRUE,FALSE)</f>
        <v>1</v>
      </c>
      <c r="M3210" s="74">
        <v>52.48434411075036</v>
      </c>
      <c r="N3210" s="74">
        <f t="shared" si="1"/>
        <v>52.48434411</v>
      </c>
      <c r="O3210" s="74" t="b">
        <v>1</v>
      </c>
    </row>
    <row r="3211">
      <c r="A3211" s="82"/>
      <c r="B3211" s="65" t="s">
        <v>495</v>
      </c>
      <c r="C3211" s="65" t="s">
        <v>92</v>
      </c>
      <c r="D3211" s="65" t="str">
        <f>vlookup(C3211,'Classificação p pessoal'!F:G,2,false)</f>
        <v/>
      </c>
      <c r="E3211" s="65" t="s">
        <v>2207</v>
      </c>
      <c r="F3211" s="83">
        <v>0.3472222222222222</v>
      </c>
      <c r="G3211" s="83">
        <v>0.375</v>
      </c>
      <c r="H3211" s="83">
        <v>0.027777777777777776</v>
      </c>
      <c r="I3211" s="84">
        <v>44328.0</v>
      </c>
      <c r="J3211" s="65" t="b">
        <v>1</v>
      </c>
      <c r="K3211" s="65"/>
      <c r="L3211" s="85" t="b">
        <f>IF(VLOOKUP(C3211,Projetos!A:L,12,false)=TRUE,TRUE,FALSE)</f>
        <v>1</v>
      </c>
      <c r="M3211" s="74">
        <v>73.7079846079846</v>
      </c>
      <c r="N3211" s="74">
        <f t="shared" si="1"/>
        <v>49.13865641</v>
      </c>
      <c r="O3211" s="74" t="b">
        <v>1</v>
      </c>
    </row>
    <row r="3212" hidden="1">
      <c r="A3212" s="82"/>
      <c r="B3212" s="65" t="s">
        <v>411</v>
      </c>
      <c r="C3212" s="65" t="s">
        <v>117</v>
      </c>
      <c r="D3212" s="65" t="str">
        <f>vlookup(C3212,'Classificação p pessoal'!F:G,2,false)</f>
        <v>NP</v>
      </c>
      <c r="E3212" s="65" t="s">
        <v>2208</v>
      </c>
      <c r="F3212" s="83">
        <v>0.4583333333333333</v>
      </c>
      <c r="G3212" s="83">
        <v>0.5</v>
      </c>
      <c r="H3212" s="83">
        <v>0.041666666666666664</v>
      </c>
      <c r="I3212" s="84">
        <v>44329.0</v>
      </c>
      <c r="J3212" s="65" t="b">
        <v>1</v>
      </c>
      <c r="K3212" s="65"/>
      <c r="L3212" s="85" t="b">
        <f>IF(VLOOKUP(C3212,Projetos!A:L,12,false)=TRUE,TRUE,FALSE)</f>
        <v>1</v>
      </c>
      <c r="M3212" s="74">
        <v>52.48434411075036</v>
      </c>
      <c r="N3212" s="74">
        <f t="shared" si="1"/>
        <v>52.48434411</v>
      </c>
      <c r="O3212" s="74" t="b">
        <v>1</v>
      </c>
    </row>
    <row r="3213" hidden="1">
      <c r="A3213" s="82"/>
      <c r="B3213" s="65" t="s">
        <v>411</v>
      </c>
      <c r="C3213" s="65" t="s">
        <v>92</v>
      </c>
      <c r="D3213" s="65" t="str">
        <f>vlookup(C3213,'Classificação p pessoal'!F:G,2,false)</f>
        <v/>
      </c>
      <c r="E3213" s="65" t="s">
        <v>2209</v>
      </c>
      <c r="F3213" s="83">
        <v>0.5</v>
      </c>
      <c r="G3213" s="83">
        <v>0.5416666666666666</v>
      </c>
      <c r="H3213" s="83">
        <v>0.041666666666666664</v>
      </c>
      <c r="I3213" s="84">
        <v>44329.0</v>
      </c>
      <c r="J3213" s="65" t="b">
        <v>1</v>
      </c>
      <c r="K3213" s="65"/>
      <c r="L3213" s="85" t="b">
        <f>IF(VLOOKUP(C3213,Projetos!A:L,12,false)=TRUE,TRUE,FALSE)</f>
        <v>1</v>
      </c>
      <c r="M3213" s="74">
        <v>52.48434411075036</v>
      </c>
      <c r="N3213" s="74">
        <f t="shared" si="1"/>
        <v>52.48434411</v>
      </c>
      <c r="O3213" s="74" t="b">
        <v>1</v>
      </c>
    </row>
    <row r="3214" hidden="1">
      <c r="A3214" s="82"/>
      <c r="B3214" s="65" t="s">
        <v>411</v>
      </c>
      <c r="C3214" s="65" t="s">
        <v>117</v>
      </c>
      <c r="D3214" s="65"/>
      <c r="E3214" s="65" t="s">
        <v>2210</v>
      </c>
      <c r="F3214" s="83">
        <v>0.5416666666666666</v>
      </c>
      <c r="G3214" s="83">
        <v>0.5625</v>
      </c>
      <c r="H3214" s="83">
        <v>0.020833333333333332</v>
      </c>
      <c r="I3214" s="84">
        <v>44329.0</v>
      </c>
      <c r="J3214" s="65" t="b">
        <v>0</v>
      </c>
      <c r="K3214" s="65" t="s">
        <v>150</v>
      </c>
      <c r="L3214" s="85" t="b">
        <f>IF(VLOOKUP(C3214,Projetos!A:L,12,false)=TRUE,TRUE,FALSE)</f>
        <v>1</v>
      </c>
      <c r="M3214" s="74">
        <v>52.48434411075036</v>
      </c>
      <c r="N3214" s="74">
        <f t="shared" si="1"/>
        <v>0</v>
      </c>
      <c r="O3214" s="74" t="b">
        <v>1</v>
      </c>
    </row>
    <row r="3215">
      <c r="A3215" s="82"/>
      <c r="B3215" s="65" t="s">
        <v>495</v>
      </c>
      <c r="C3215" s="65" t="s">
        <v>92</v>
      </c>
      <c r="D3215" s="65" t="str">
        <f>vlookup(C3215,'Classificação p pessoal'!F:G,2,false)</f>
        <v/>
      </c>
      <c r="E3215" s="65" t="s">
        <v>2211</v>
      </c>
      <c r="F3215" s="83">
        <v>0.3472222222222222</v>
      </c>
      <c r="G3215" s="83">
        <v>0.3819444444444444</v>
      </c>
      <c r="H3215" s="83">
        <v>0.034722222222222224</v>
      </c>
      <c r="I3215" s="84">
        <v>44340.0</v>
      </c>
      <c r="J3215" s="65" t="b">
        <v>1</v>
      </c>
      <c r="K3215" s="65"/>
      <c r="L3215" s="85" t="b">
        <f>IF(VLOOKUP(C3215,Projetos!A:L,12,false)=TRUE,TRUE,FALSE)</f>
        <v>1</v>
      </c>
      <c r="M3215" s="74">
        <v>73.7079846079846</v>
      </c>
      <c r="N3215" s="74">
        <f t="shared" si="1"/>
        <v>61.42332051</v>
      </c>
      <c r="O3215" s="74" t="b">
        <v>1</v>
      </c>
    </row>
    <row r="3216" hidden="1">
      <c r="A3216" s="82"/>
      <c r="B3216" s="65" t="s">
        <v>411</v>
      </c>
      <c r="C3216" s="65" t="s">
        <v>92</v>
      </c>
      <c r="D3216" s="65" t="str">
        <f>vlookup(C3216,'Classificação p pessoal'!F:G,2,false)</f>
        <v/>
      </c>
      <c r="E3216" s="65" t="s">
        <v>2212</v>
      </c>
      <c r="F3216" s="83">
        <v>0.6458333333333334</v>
      </c>
      <c r="G3216" s="83">
        <v>0.6875</v>
      </c>
      <c r="H3216" s="83">
        <v>0.041666666666666664</v>
      </c>
      <c r="I3216" s="84">
        <v>44329.0</v>
      </c>
      <c r="J3216" s="65" t="b">
        <v>1</v>
      </c>
      <c r="K3216" s="65"/>
      <c r="L3216" s="85" t="b">
        <f>IF(VLOOKUP(C3216,Projetos!A:L,12,false)=TRUE,TRUE,FALSE)</f>
        <v>1</v>
      </c>
      <c r="M3216" s="74">
        <v>52.48434411075036</v>
      </c>
      <c r="N3216" s="74">
        <f t="shared" si="1"/>
        <v>52.48434411</v>
      </c>
      <c r="O3216" s="74" t="b">
        <v>1</v>
      </c>
    </row>
    <row r="3217" hidden="1">
      <c r="A3217" s="82"/>
      <c r="B3217" s="65" t="s">
        <v>411</v>
      </c>
      <c r="C3217" s="65" t="s">
        <v>132</v>
      </c>
      <c r="D3217" s="65"/>
      <c r="E3217" s="65" t="s">
        <v>2213</v>
      </c>
      <c r="F3217" s="83">
        <v>0.6875</v>
      </c>
      <c r="G3217" s="83">
        <v>0.7083333333333334</v>
      </c>
      <c r="H3217" s="83">
        <v>0.020833333333333332</v>
      </c>
      <c r="I3217" s="84">
        <v>44329.0</v>
      </c>
      <c r="J3217" s="65" t="b">
        <v>1</v>
      </c>
      <c r="K3217" s="65"/>
      <c r="L3217" s="85" t="b">
        <f>IF(VLOOKUP(C3217,Projetos!A:L,12,false)=TRUE,TRUE,FALSE)</f>
        <v>0</v>
      </c>
      <c r="M3217" s="74">
        <v>52.48434411075036</v>
      </c>
      <c r="N3217" s="74">
        <f t="shared" si="1"/>
        <v>0</v>
      </c>
      <c r="O3217" s="74" t="b">
        <v>0</v>
      </c>
    </row>
    <row r="3218" hidden="1">
      <c r="A3218" s="82"/>
      <c r="B3218" s="65" t="s">
        <v>411</v>
      </c>
      <c r="C3218" s="65" t="s">
        <v>117</v>
      </c>
      <c r="D3218" s="65" t="str">
        <f>vlookup(C3218,'Classificação p pessoal'!F:G,2,false)</f>
        <v>NP</v>
      </c>
      <c r="E3218" s="65" t="s">
        <v>2214</v>
      </c>
      <c r="F3218" s="83">
        <v>0.7083333333333334</v>
      </c>
      <c r="G3218" s="83">
        <v>0.75</v>
      </c>
      <c r="H3218" s="83">
        <v>0.041666666666666664</v>
      </c>
      <c r="I3218" s="84">
        <v>44329.0</v>
      </c>
      <c r="J3218" s="65" t="b">
        <v>1</v>
      </c>
      <c r="K3218" s="65"/>
      <c r="L3218" s="85" t="b">
        <f>IF(VLOOKUP(C3218,Projetos!A:L,12,false)=TRUE,TRUE,FALSE)</f>
        <v>1</v>
      </c>
      <c r="M3218" s="74">
        <v>52.48434411075036</v>
      </c>
      <c r="N3218" s="74">
        <f t="shared" si="1"/>
        <v>52.48434411</v>
      </c>
      <c r="O3218" s="74" t="b">
        <v>1</v>
      </c>
    </row>
    <row r="3219" hidden="1">
      <c r="A3219" s="82"/>
      <c r="B3219" s="65" t="s">
        <v>411</v>
      </c>
      <c r="C3219" s="65" t="s">
        <v>117</v>
      </c>
      <c r="D3219" s="65" t="str">
        <f>vlookup(C3219,'Classificação p pessoal'!F:G,2,false)</f>
        <v>NP</v>
      </c>
      <c r="E3219" s="65" t="s">
        <v>2215</v>
      </c>
      <c r="F3219" s="83">
        <v>0.34375</v>
      </c>
      <c r="G3219" s="83">
        <v>0.4375</v>
      </c>
      <c r="H3219" s="83">
        <v>0.09375</v>
      </c>
      <c r="I3219" s="84">
        <v>44330.0</v>
      </c>
      <c r="J3219" s="65" t="b">
        <v>1</v>
      </c>
      <c r="K3219" s="65"/>
      <c r="L3219" s="85" t="b">
        <f>IF(VLOOKUP(C3219,Projetos!A:L,12,false)=TRUE,TRUE,FALSE)</f>
        <v>1</v>
      </c>
      <c r="M3219" s="74">
        <v>52.48434411075036</v>
      </c>
      <c r="N3219" s="74">
        <f t="shared" si="1"/>
        <v>118.0897742</v>
      </c>
      <c r="O3219" s="74" t="b">
        <v>1</v>
      </c>
    </row>
    <row r="3220" hidden="1">
      <c r="A3220" s="82"/>
      <c r="B3220" s="65" t="s">
        <v>411</v>
      </c>
      <c r="C3220" s="65" t="s">
        <v>107</v>
      </c>
      <c r="D3220" s="65" t="str">
        <f>vlookup(C3220,'Classificação p pessoal'!F:G,2,false)</f>
        <v>NP</v>
      </c>
      <c r="E3220" s="65" t="s">
        <v>2216</v>
      </c>
      <c r="F3220" s="83">
        <v>0.4375</v>
      </c>
      <c r="G3220" s="83">
        <v>0.46875</v>
      </c>
      <c r="H3220" s="83">
        <v>0.03125</v>
      </c>
      <c r="I3220" s="84">
        <v>44330.0</v>
      </c>
      <c r="J3220" s="65" t="b">
        <v>1</v>
      </c>
      <c r="K3220" s="65"/>
      <c r="L3220" s="85" t="b">
        <f>IF(VLOOKUP(C3220,Projetos!A:L,12,false)=TRUE,TRUE,FALSE)</f>
        <v>1</v>
      </c>
      <c r="M3220" s="74">
        <v>52.48434411075036</v>
      </c>
      <c r="N3220" s="74">
        <f t="shared" si="1"/>
        <v>39.36325808</v>
      </c>
      <c r="O3220" s="74" t="b">
        <v>1</v>
      </c>
    </row>
    <row r="3221" hidden="1">
      <c r="A3221" s="82"/>
      <c r="B3221" s="65" t="s">
        <v>411</v>
      </c>
      <c r="C3221" s="65" t="s">
        <v>125</v>
      </c>
      <c r="D3221" s="65" t="str">
        <f>vlookup(C3221,'Classificação p pessoal'!F:G,2,false)</f>
        <v>MProduto</v>
      </c>
      <c r="E3221" s="65" t="s">
        <v>2180</v>
      </c>
      <c r="F3221" s="83">
        <v>0.46875</v>
      </c>
      <c r="G3221" s="83">
        <v>0.5208333333333334</v>
      </c>
      <c r="H3221" s="83">
        <v>0.052083333333333336</v>
      </c>
      <c r="I3221" s="84">
        <v>44330.0</v>
      </c>
      <c r="J3221" s="65" t="b">
        <v>1</v>
      </c>
      <c r="K3221" s="65"/>
      <c r="L3221" s="85" t="b">
        <f>IF(VLOOKUP(C3221,Projetos!A:L,12,false)=TRUE,TRUE,FALSE)</f>
        <v>1</v>
      </c>
      <c r="M3221" s="74">
        <v>52.48434411075036</v>
      </c>
      <c r="N3221" s="74">
        <f t="shared" si="1"/>
        <v>65.60543014</v>
      </c>
      <c r="O3221" s="74" t="b">
        <v>1</v>
      </c>
    </row>
    <row r="3222" hidden="1">
      <c r="A3222" s="82"/>
      <c r="B3222" s="65" t="s">
        <v>411</v>
      </c>
      <c r="C3222" s="65" t="s">
        <v>125</v>
      </c>
      <c r="D3222" s="65" t="str">
        <f>vlookup(C3222,'Classificação p pessoal'!F:G,2,false)</f>
        <v>MProduto</v>
      </c>
      <c r="E3222" s="65" t="s">
        <v>2217</v>
      </c>
      <c r="F3222" s="83">
        <v>0.5625</v>
      </c>
      <c r="G3222" s="83">
        <v>0.7083333333333334</v>
      </c>
      <c r="H3222" s="83">
        <v>0.14583333333333334</v>
      </c>
      <c r="I3222" s="84">
        <v>44330.0</v>
      </c>
      <c r="J3222" s="65" t="b">
        <v>1</v>
      </c>
      <c r="K3222" s="65"/>
      <c r="L3222" s="85" t="b">
        <f>IF(VLOOKUP(C3222,Projetos!A:L,12,false)=TRUE,TRUE,FALSE)</f>
        <v>1</v>
      </c>
      <c r="M3222" s="74">
        <v>52.48434411075036</v>
      </c>
      <c r="N3222" s="74">
        <f t="shared" si="1"/>
        <v>183.6952044</v>
      </c>
      <c r="O3222" s="74" t="b">
        <v>1</v>
      </c>
    </row>
    <row r="3223" hidden="1">
      <c r="A3223" s="82"/>
      <c r="B3223" s="65" t="s">
        <v>411</v>
      </c>
      <c r="C3223" s="65" t="s">
        <v>117</v>
      </c>
      <c r="D3223" s="65" t="str">
        <f>vlookup(C3223,'Classificação p pessoal'!F:G,2,false)</f>
        <v>NP</v>
      </c>
      <c r="E3223" s="65" t="s">
        <v>2218</v>
      </c>
      <c r="F3223" s="83">
        <v>0.34375</v>
      </c>
      <c r="G3223" s="83">
        <v>0.3958333333333333</v>
      </c>
      <c r="H3223" s="83">
        <v>0.052083333333333336</v>
      </c>
      <c r="I3223" s="84">
        <v>44333.0</v>
      </c>
      <c r="J3223" s="65" t="b">
        <v>1</v>
      </c>
      <c r="K3223" s="65"/>
      <c r="L3223" s="85" t="b">
        <f>IF(VLOOKUP(C3223,Projetos!A:L,12,false)=TRUE,TRUE,FALSE)</f>
        <v>1</v>
      </c>
      <c r="M3223" s="74">
        <v>52.48434411075036</v>
      </c>
      <c r="N3223" s="74">
        <f t="shared" si="1"/>
        <v>65.60543014</v>
      </c>
      <c r="O3223" s="74" t="b">
        <v>1</v>
      </c>
    </row>
    <row r="3224" hidden="1">
      <c r="A3224" s="82"/>
      <c r="B3224" s="65" t="s">
        <v>411</v>
      </c>
      <c r="C3224" s="65" t="s">
        <v>125</v>
      </c>
      <c r="D3224" s="65" t="str">
        <f>vlookup(C3224,'Classificação p pessoal'!F:G,2,false)</f>
        <v>MProduto</v>
      </c>
      <c r="E3224" s="65" t="s">
        <v>2219</v>
      </c>
      <c r="F3224" s="83">
        <v>0.3958333333333333</v>
      </c>
      <c r="G3224" s="83">
        <v>0.4375</v>
      </c>
      <c r="H3224" s="83">
        <v>0.041666666666666664</v>
      </c>
      <c r="I3224" s="84">
        <v>44333.0</v>
      </c>
      <c r="J3224" s="65" t="b">
        <v>1</v>
      </c>
      <c r="K3224" s="65"/>
      <c r="L3224" s="85" t="b">
        <f>IF(VLOOKUP(C3224,Projetos!A:L,12,false)=TRUE,TRUE,FALSE)</f>
        <v>1</v>
      </c>
      <c r="M3224" s="74">
        <v>52.48434411075036</v>
      </c>
      <c r="N3224" s="74">
        <f t="shared" si="1"/>
        <v>52.48434411</v>
      </c>
      <c r="O3224" s="74" t="b">
        <v>1</v>
      </c>
    </row>
    <row r="3225" hidden="1">
      <c r="A3225" s="82"/>
      <c r="B3225" s="65" t="s">
        <v>411</v>
      </c>
      <c r="C3225" s="65" t="s">
        <v>130</v>
      </c>
      <c r="D3225" s="65" t="str">
        <f>vlookup(C3225,'Classificação p pessoal'!F:G,2,false)</f>
        <v>NP</v>
      </c>
      <c r="E3225" s="65" t="s">
        <v>2220</v>
      </c>
      <c r="F3225" s="83">
        <v>0.4375</v>
      </c>
      <c r="G3225" s="83">
        <v>0.4791666666666667</v>
      </c>
      <c r="H3225" s="83">
        <v>0.041666666666666664</v>
      </c>
      <c r="I3225" s="84">
        <v>44333.0</v>
      </c>
      <c r="J3225" s="65" t="b">
        <v>1</v>
      </c>
      <c r="K3225" s="65"/>
      <c r="L3225" s="85" t="b">
        <f>IF(VLOOKUP(C3225,Projetos!A:L,12,false)=TRUE,TRUE,FALSE)</f>
        <v>1</v>
      </c>
      <c r="M3225" s="74">
        <v>52.48434411075036</v>
      </c>
      <c r="N3225" s="74">
        <f t="shared" si="1"/>
        <v>52.48434411</v>
      </c>
      <c r="O3225" s="74" t="b">
        <v>1</v>
      </c>
    </row>
    <row r="3226" hidden="1">
      <c r="A3226" s="82"/>
      <c r="B3226" s="65" t="s">
        <v>411</v>
      </c>
      <c r="C3226" s="65" t="s">
        <v>92</v>
      </c>
      <c r="D3226" s="65" t="str">
        <f>vlookup(C3226,'Classificação p pessoal'!F:G,2,false)</f>
        <v/>
      </c>
      <c r="E3226" s="65" t="s">
        <v>2221</v>
      </c>
      <c r="F3226" s="83">
        <v>0.4791666666666667</v>
      </c>
      <c r="G3226" s="83">
        <v>0.5208333333333334</v>
      </c>
      <c r="H3226" s="83">
        <v>0.041666666666666664</v>
      </c>
      <c r="I3226" s="84">
        <v>44333.0</v>
      </c>
      <c r="J3226" s="65" t="b">
        <v>1</v>
      </c>
      <c r="K3226" s="65"/>
      <c r="L3226" s="85" t="b">
        <f>IF(VLOOKUP(C3226,Projetos!A:L,12,false)=TRUE,TRUE,FALSE)</f>
        <v>1</v>
      </c>
      <c r="M3226" s="74">
        <v>52.48434411075036</v>
      </c>
      <c r="N3226" s="74">
        <f t="shared" si="1"/>
        <v>52.48434411</v>
      </c>
      <c r="O3226" s="74" t="b">
        <v>1</v>
      </c>
    </row>
    <row r="3227" hidden="1">
      <c r="A3227" s="82"/>
      <c r="B3227" s="65" t="s">
        <v>411</v>
      </c>
      <c r="C3227" s="65" t="s">
        <v>117</v>
      </c>
      <c r="D3227" s="65" t="str">
        <f>vlookup(C3227,'Classificação p pessoal'!F:G,2,false)</f>
        <v>NP</v>
      </c>
      <c r="E3227" s="65" t="s">
        <v>2222</v>
      </c>
      <c r="F3227" s="83">
        <v>0.5625</v>
      </c>
      <c r="G3227" s="83">
        <v>0.875</v>
      </c>
      <c r="H3227" s="83">
        <v>0.3125</v>
      </c>
      <c r="I3227" s="84">
        <v>44333.0</v>
      </c>
      <c r="J3227" s="65" t="b">
        <v>1</v>
      </c>
      <c r="K3227" s="65"/>
      <c r="L3227" s="85" t="b">
        <f>IF(VLOOKUP(C3227,Projetos!A:L,12,false)=TRUE,TRUE,FALSE)</f>
        <v>1</v>
      </c>
      <c r="M3227" s="74">
        <v>52.48434411075036</v>
      </c>
      <c r="N3227" s="74">
        <f t="shared" si="1"/>
        <v>393.6325808</v>
      </c>
      <c r="O3227" s="74" t="b">
        <v>1</v>
      </c>
    </row>
    <row r="3228" hidden="1">
      <c r="A3228" s="82"/>
      <c r="B3228" s="65" t="s">
        <v>411</v>
      </c>
      <c r="C3228" s="65" t="s">
        <v>117</v>
      </c>
      <c r="D3228" s="65" t="str">
        <f>vlookup(C3228,'Classificação p pessoal'!F:G,2,false)</f>
        <v>NP</v>
      </c>
      <c r="E3228" s="65" t="s">
        <v>2223</v>
      </c>
      <c r="F3228" s="83">
        <v>0.34375</v>
      </c>
      <c r="G3228" s="83">
        <v>0.5416666666666666</v>
      </c>
      <c r="H3228" s="83">
        <v>0.19791666666666666</v>
      </c>
      <c r="I3228" s="84">
        <v>44334.0</v>
      </c>
      <c r="J3228" s="65" t="b">
        <v>1</v>
      </c>
      <c r="K3228" s="65"/>
      <c r="L3228" s="85" t="b">
        <f>IF(VLOOKUP(C3228,Projetos!A:L,12,false)=TRUE,TRUE,FALSE)</f>
        <v>1</v>
      </c>
      <c r="M3228" s="74">
        <v>52.48434411075036</v>
      </c>
      <c r="N3228" s="74">
        <f t="shared" si="1"/>
        <v>249.3006345</v>
      </c>
      <c r="O3228" s="74" t="b">
        <v>1</v>
      </c>
    </row>
    <row r="3229" hidden="1">
      <c r="A3229" s="82"/>
      <c r="B3229" s="65" t="s">
        <v>411</v>
      </c>
      <c r="C3229" s="65" t="s">
        <v>117</v>
      </c>
      <c r="D3229" s="65" t="str">
        <f>vlookup(C3229,'Classificação p pessoal'!F:G,2,false)</f>
        <v>NP</v>
      </c>
      <c r="E3229" s="65" t="s">
        <v>2223</v>
      </c>
      <c r="F3229" s="83">
        <v>0.5833333333333334</v>
      </c>
      <c r="G3229" s="83">
        <v>0.75</v>
      </c>
      <c r="H3229" s="83">
        <v>0.16666666666666666</v>
      </c>
      <c r="I3229" s="84">
        <v>44334.0</v>
      </c>
      <c r="J3229" s="65" t="b">
        <v>1</v>
      </c>
      <c r="K3229" s="65"/>
      <c r="L3229" s="85" t="b">
        <f>IF(VLOOKUP(C3229,Projetos!A:L,12,false)=TRUE,TRUE,FALSE)</f>
        <v>1</v>
      </c>
      <c r="M3229" s="74">
        <v>52.48434411075036</v>
      </c>
      <c r="N3229" s="74">
        <f t="shared" si="1"/>
        <v>209.9373764</v>
      </c>
      <c r="O3229" s="74" t="b">
        <v>1</v>
      </c>
    </row>
    <row r="3230" hidden="1">
      <c r="A3230" s="82"/>
      <c r="B3230" s="65" t="s">
        <v>411</v>
      </c>
      <c r="C3230" s="65" t="s">
        <v>117</v>
      </c>
      <c r="D3230" s="65" t="str">
        <f>vlookup(C3230,'Classificação p pessoal'!F:G,2,false)</f>
        <v>NP</v>
      </c>
      <c r="E3230" s="65" t="s">
        <v>2223</v>
      </c>
      <c r="F3230" s="83">
        <v>0.34375</v>
      </c>
      <c r="G3230" s="83">
        <v>0.5416666666666666</v>
      </c>
      <c r="H3230" s="83">
        <v>0.19791666666666666</v>
      </c>
      <c r="I3230" s="84">
        <v>44335.0</v>
      </c>
      <c r="J3230" s="65" t="b">
        <v>1</v>
      </c>
      <c r="K3230" s="65"/>
      <c r="L3230" s="85" t="b">
        <f>IF(VLOOKUP(C3230,Projetos!A:L,12,false)=TRUE,TRUE,FALSE)</f>
        <v>1</v>
      </c>
      <c r="M3230" s="74">
        <v>52.48434411075036</v>
      </c>
      <c r="N3230" s="74">
        <f t="shared" si="1"/>
        <v>249.3006345</v>
      </c>
      <c r="O3230" s="74" t="b">
        <v>1</v>
      </c>
    </row>
    <row r="3231" hidden="1">
      <c r="A3231" s="82"/>
      <c r="B3231" s="65" t="s">
        <v>411</v>
      </c>
      <c r="C3231" s="65" t="s">
        <v>117</v>
      </c>
      <c r="D3231" s="65" t="str">
        <f>vlookup(C3231,'Classificação p pessoal'!F:G,2,false)</f>
        <v>NP</v>
      </c>
      <c r="E3231" s="65" t="s">
        <v>2224</v>
      </c>
      <c r="F3231" s="83">
        <v>0.5833333333333334</v>
      </c>
      <c r="G3231" s="83">
        <v>0.9652777777777778</v>
      </c>
      <c r="H3231" s="83">
        <v>0.3819444444444444</v>
      </c>
      <c r="I3231" s="84">
        <v>44335.0</v>
      </c>
      <c r="J3231" s="65" t="b">
        <v>1</v>
      </c>
      <c r="K3231" s="65"/>
      <c r="L3231" s="85" t="b">
        <f>IF(VLOOKUP(C3231,Projetos!A:L,12,false)=TRUE,TRUE,FALSE)</f>
        <v>1</v>
      </c>
      <c r="M3231" s="74">
        <v>52.48434411075036</v>
      </c>
      <c r="N3231" s="74">
        <f t="shared" si="1"/>
        <v>481.1064877</v>
      </c>
      <c r="O3231" s="74" t="b">
        <v>1</v>
      </c>
    </row>
    <row r="3232">
      <c r="A3232" s="82"/>
      <c r="B3232" s="65" t="s">
        <v>495</v>
      </c>
      <c r="C3232" s="65" t="s">
        <v>92</v>
      </c>
      <c r="D3232" s="65" t="str">
        <f>vlookup(C3232,'Classificação p pessoal'!F:G,2,false)</f>
        <v/>
      </c>
      <c r="E3232" s="65" t="s">
        <v>2225</v>
      </c>
      <c r="F3232" s="83">
        <v>0.6111111111111112</v>
      </c>
      <c r="G3232" s="83">
        <v>0.625</v>
      </c>
      <c r="H3232" s="83">
        <v>0.013888888888888888</v>
      </c>
      <c r="I3232" s="84">
        <v>44311.0</v>
      </c>
      <c r="J3232" s="65" t="b">
        <v>1</v>
      </c>
      <c r="K3232" s="65"/>
      <c r="L3232" s="85" t="b">
        <f>IF(VLOOKUP(C3232,Projetos!A:L,12,false)=TRUE,TRUE,FALSE)</f>
        <v>1</v>
      </c>
      <c r="M3232" s="74">
        <v>73.7079846079846</v>
      </c>
      <c r="N3232" s="74">
        <f t="shared" si="1"/>
        <v>24.5693282</v>
      </c>
      <c r="O3232" s="74" t="b">
        <v>1</v>
      </c>
    </row>
    <row r="3233" hidden="1">
      <c r="A3233" s="82"/>
      <c r="B3233" s="65" t="s">
        <v>411</v>
      </c>
      <c r="C3233" s="65" t="s">
        <v>117</v>
      </c>
      <c r="D3233" s="65" t="str">
        <f>vlookup(C3233,'Classificação p pessoal'!F:G,2,false)</f>
        <v>NP</v>
      </c>
      <c r="E3233" s="65" t="s">
        <v>1826</v>
      </c>
      <c r="F3233" s="83">
        <v>0.46875</v>
      </c>
      <c r="G3233" s="83">
        <v>0.5625</v>
      </c>
      <c r="H3233" s="83">
        <v>0.09375</v>
      </c>
      <c r="I3233" s="84">
        <v>44336.0</v>
      </c>
      <c r="J3233" s="65" t="b">
        <v>1</v>
      </c>
      <c r="K3233" s="65"/>
      <c r="L3233" s="85" t="b">
        <f>IF(VLOOKUP(C3233,Projetos!A:L,12,false)=TRUE,TRUE,FALSE)</f>
        <v>1</v>
      </c>
      <c r="M3233" s="74">
        <v>52.48434411075036</v>
      </c>
      <c r="N3233" s="74">
        <f t="shared" si="1"/>
        <v>118.0897742</v>
      </c>
      <c r="O3233" s="74" t="b">
        <v>1</v>
      </c>
    </row>
    <row r="3234" hidden="1">
      <c r="A3234" s="82"/>
      <c r="B3234" s="65" t="s">
        <v>411</v>
      </c>
      <c r="C3234" s="65" t="s">
        <v>100</v>
      </c>
      <c r="D3234" s="65"/>
      <c r="E3234" s="65" t="s">
        <v>2226</v>
      </c>
      <c r="F3234" s="83">
        <v>0.6458333333333334</v>
      </c>
      <c r="G3234" s="83">
        <v>0.7083333333333334</v>
      </c>
      <c r="H3234" s="83">
        <v>0.0625</v>
      </c>
      <c r="I3234" s="84">
        <v>44336.0</v>
      </c>
      <c r="J3234" s="65" t="b">
        <v>0</v>
      </c>
      <c r="K3234" s="65" t="s">
        <v>150</v>
      </c>
      <c r="L3234" s="85" t="b">
        <f>IF(VLOOKUP(C3234,Projetos!A:L,12,false)=TRUE,TRUE,FALSE)</f>
        <v>1</v>
      </c>
      <c r="M3234" s="74">
        <v>52.48434411075036</v>
      </c>
      <c r="N3234" s="74">
        <f t="shared" si="1"/>
        <v>0</v>
      </c>
      <c r="O3234" s="74" t="b">
        <v>1</v>
      </c>
    </row>
    <row r="3235" hidden="1">
      <c r="A3235" s="82"/>
      <c r="B3235" s="65" t="s">
        <v>411</v>
      </c>
      <c r="C3235" s="65" t="s">
        <v>132</v>
      </c>
      <c r="D3235" s="65"/>
      <c r="E3235" s="65" t="s">
        <v>2227</v>
      </c>
      <c r="F3235" s="83">
        <v>0.7083333333333334</v>
      </c>
      <c r="G3235" s="83">
        <v>0.75</v>
      </c>
      <c r="H3235" s="83">
        <v>0.041666666666666664</v>
      </c>
      <c r="I3235" s="84">
        <v>44336.0</v>
      </c>
      <c r="J3235" s="65" t="b">
        <v>1</v>
      </c>
      <c r="K3235" s="65"/>
      <c r="L3235" s="85" t="b">
        <f>IF(VLOOKUP(C3235,Projetos!A:L,12,false)=TRUE,TRUE,FALSE)</f>
        <v>0</v>
      </c>
      <c r="M3235" s="74">
        <v>52.48434411075036</v>
      </c>
      <c r="N3235" s="74">
        <f t="shared" si="1"/>
        <v>0</v>
      </c>
      <c r="O3235" s="74" t="b">
        <v>0</v>
      </c>
    </row>
    <row r="3236" hidden="1">
      <c r="A3236" s="82"/>
      <c r="B3236" s="65" t="s">
        <v>411</v>
      </c>
      <c r="C3236" s="65" t="s">
        <v>117</v>
      </c>
      <c r="D3236" s="65"/>
      <c r="E3236" s="65" t="s">
        <v>2228</v>
      </c>
      <c r="F3236" s="83">
        <v>0.34375</v>
      </c>
      <c r="G3236" s="83">
        <v>0.5</v>
      </c>
      <c r="H3236" s="83">
        <v>0.15625</v>
      </c>
      <c r="I3236" s="84">
        <v>44337.0</v>
      </c>
      <c r="J3236" s="65" t="b">
        <v>0</v>
      </c>
      <c r="K3236" s="65" t="s">
        <v>150</v>
      </c>
      <c r="L3236" s="85" t="b">
        <f>IF(VLOOKUP(C3236,Projetos!A:L,12,false)=TRUE,TRUE,FALSE)</f>
        <v>1</v>
      </c>
      <c r="M3236" s="74">
        <v>52.48434411075036</v>
      </c>
      <c r="N3236" s="74">
        <f t="shared" si="1"/>
        <v>0</v>
      </c>
      <c r="O3236" s="74" t="b">
        <v>1</v>
      </c>
    </row>
    <row r="3237" hidden="1">
      <c r="A3237" s="82"/>
      <c r="B3237" s="65" t="s">
        <v>411</v>
      </c>
      <c r="C3237" s="65" t="s">
        <v>132</v>
      </c>
      <c r="D3237" s="65"/>
      <c r="E3237" s="65" t="s">
        <v>2213</v>
      </c>
      <c r="F3237" s="83">
        <v>0.5</v>
      </c>
      <c r="G3237" s="83">
        <v>0.5208333333333334</v>
      </c>
      <c r="H3237" s="83">
        <v>0.020833333333333332</v>
      </c>
      <c r="I3237" s="84">
        <v>44337.0</v>
      </c>
      <c r="J3237" s="65" t="b">
        <v>1</v>
      </c>
      <c r="K3237" s="65"/>
      <c r="L3237" s="85" t="b">
        <f>IF(VLOOKUP(C3237,Projetos!A:L,12,false)=TRUE,TRUE,FALSE)</f>
        <v>0</v>
      </c>
      <c r="M3237" s="74">
        <v>52.48434411075036</v>
      </c>
      <c r="N3237" s="74">
        <f t="shared" si="1"/>
        <v>0</v>
      </c>
      <c r="O3237" s="74" t="b">
        <v>0</v>
      </c>
    </row>
    <row r="3238" hidden="1">
      <c r="A3238" s="82"/>
      <c r="B3238" s="65" t="s">
        <v>411</v>
      </c>
      <c r="C3238" s="65" t="s">
        <v>132</v>
      </c>
      <c r="D3238" s="65"/>
      <c r="E3238" s="65" t="s">
        <v>2229</v>
      </c>
      <c r="F3238" s="83">
        <v>0.625</v>
      </c>
      <c r="G3238" s="83">
        <v>0.6666666666666666</v>
      </c>
      <c r="H3238" s="83">
        <v>0.041666666666666664</v>
      </c>
      <c r="I3238" s="84">
        <v>44337.0</v>
      </c>
      <c r="J3238" s="65" t="b">
        <v>0</v>
      </c>
      <c r="K3238" s="65" t="s">
        <v>150</v>
      </c>
      <c r="L3238" s="85" t="b">
        <f>IF(VLOOKUP(C3238,Projetos!A:L,12,false)=TRUE,TRUE,FALSE)</f>
        <v>0</v>
      </c>
      <c r="M3238" s="74">
        <v>52.48434411075036</v>
      </c>
      <c r="N3238" s="74">
        <f t="shared" si="1"/>
        <v>0</v>
      </c>
      <c r="O3238" s="74" t="b">
        <v>0</v>
      </c>
    </row>
    <row r="3239" hidden="1">
      <c r="A3239" s="82"/>
      <c r="B3239" s="65" t="s">
        <v>411</v>
      </c>
      <c r="C3239" s="65" t="s">
        <v>119</v>
      </c>
      <c r="D3239" s="65" t="str">
        <f>vlookup(C3239,'Classificação p pessoal'!F:G,2,false)</f>
        <v>NP</v>
      </c>
      <c r="E3239" s="65" t="s">
        <v>2230</v>
      </c>
      <c r="F3239" s="83">
        <v>0.6666666666666666</v>
      </c>
      <c r="G3239" s="83">
        <v>0.7291666666666666</v>
      </c>
      <c r="H3239" s="83">
        <v>0.0625</v>
      </c>
      <c r="I3239" s="84">
        <v>44337.0</v>
      </c>
      <c r="J3239" s="65" t="b">
        <v>1</v>
      </c>
      <c r="K3239" s="65"/>
      <c r="L3239" s="85" t="b">
        <f>IF(VLOOKUP(C3239,Projetos!A:L,12,false)=TRUE,TRUE,FALSE)</f>
        <v>1</v>
      </c>
      <c r="M3239" s="74">
        <v>52.48434411075036</v>
      </c>
      <c r="N3239" s="74">
        <f t="shared" si="1"/>
        <v>78.72651617</v>
      </c>
      <c r="O3239" s="74" t="b">
        <v>1</v>
      </c>
    </row>
    <row r="3240" hidden="1">
      <c r="A3240" s="82"/>
      <c r="B3240" s="65" t="s">
        <v>411</v>
      </c>
      <c r="C3240" s="65" t="s">
        <v>117</v>
      </c>
      <c r="D3240" s="65" t="str">
        <f>vlookup(C3240,'Classificação p pessoal'!F:G,2,false)</f>
        <v>NP</v>
      </c>
      <c r="E3240" s="65" t="s">
        <v>2231</v>
      </c>
      <c r="F3240" s="83">
        <v>0.34375</v>
      </c>
      <c r="G3240" s="83">
        <v>0.6041666666666666</v>
      </c>
      <c r="H3240" s="83">
        <v>0.2604166666666667</v>
      </c>
      <c r="I3240" s="84">
        <v>44340.0</v>
      </c>
      <c r="J3240" s="65" t="b">
        <v>1</v>
      </c>
      <c r="K3240" s="65"/>
      <c r="L3240" s="85" t="b">
        <f>IF(VLOOKUP(C3240,Projetos!A:L,12,false)=TRUE,TRUE,FALSE)</f>
        <v>1</v>
      </c>
      <c r="M3240" s="74">
        <v>52.48434411075036</v>
      </c>
      <c r="N3240" s="74">
        <f t="shared" si="1"/>
        <v>328.0271507</v>
      </c>
      <c r="O3240" s="74" t="b">
        <v>1</v>
      </c>
    </row>
    <row r="3241" hidden="1">
      <c r="A3241" s="82"/>
      <c r="B3241" s="65" t="s">
        <v>411</v>
      </c>
      <c r="C3241" s="65" t="s">
        <v>117</v>
      </c>
      <c r="D3241" s="65"/>
      <c r="E3241" s="65" t="s">
        <v>2232</v>
      </c>
      <c r="F3241" s="83">
        <v>0.34375</v>
      </c>
      <c r="G3241" s="83">
        <v>0.4270833333333333</v>
      </c>
      <c r="H3241" s="83">
        <v>0.08333333333333333</v>
      </c>
      <c r="I3241" s="84">
        <v>44341.0</v>
      </c>
      <c r="J3241" s="65" t="b">
        <v>0</v>
      </c>
      <c r="K3241" s="65" t="s">
        <v>150</v>
      </c>
      <c r="L3241" s="85" t="b">
        <f>IF(VLOOKUP(C3241,Projetos!A:L,12,false)=TRUE,TRUE,FALSE)</f>
        <v>1</v>
      </c>
      <c r="M3241" s="74">
        <v>52.48434411075036</v>
      </c>
      <c r="N3241" s="74">
        <f t="shared" si="1"/>
        <v>0</v>
      </c>
      <c r="O3241" s="74" t="b">
        <v>1</v>
      </c>
    </row>
    <row r="3242">
      <c r="A3242" s="82"/>
      <c r="B3242" s="65" t="s">
        <v>495</v>
      </c>
      <c r="C3242" s="65" t="s">
        <v>92</v>
      </c>
      <c r="D3242" s="65" t="str">
        <f>vlookup(C3242,'Classificação p pessoal'!F:G,2,false)</f>
        <v/>
      </c>
      <c r="E3242" s="65" t="s">
        <v>2233</v>
      </c>
      <c r="F3242" s="83">
        <v>0.7291666666666666</v>
      </c>
      <c r="G3242" s="83">
        <v>0.75</v>
      </c>
      <c r="H3242" s="83">
        <v>0.020833333333333332</v>
      </c>
      <c r="I3242" s="84">
        <v>44347.0</v>
      </c>
      <c r="J3242" s="65" t="b">
        <v>1</v>
      </c>
      <c r="K3242" s="65"/>
      <c r="L3242" s="85" t="b">
        <f>IF(VLOOKUP(C3242,Projetos!A:L,12,false)=TRUE,TRUE,FALSE)</f>
        <v>1</v>
      </c>
      <c r="M3242" s="74">
        <v>73.7079846079846</v>
      </c>
      <c r="N3242" s="74">
        <f t="shared" si="1"/>
        <v>36.8539923</v>
      </c>
      <c r="O3242" s="74" t="b">
        <v>1</v>
      </c>
    </row>
    <row r="3243" hidden="1">
      <c r="A3243" s="82"/>
      <c r="B3243" s="65" t="s">
        <v>411</v>
      </c>
      <c r="C3243" s="65" t="s">
        <v>92</v>
      </c>
      <c r="D3243" s="65" t="str">
        <f>vlookup(C3243,'Classificação p pessoal'!F:G,2,false)</f>
        <v/>
      </c>
      <c r="E3243" s="65" t="s">
        <v>2234</v>
      </c>
      <c r="F3243" s="83">
        <v>0.4791666666666667</v>
      </c>
      <c r="G3243" s="83">
        <v>0.5416666666666666</v>
      </c>
      <c r="H3243" s="83">
        <v>0.0625</v>
      </c>
      <c r="I3243" s="84">
        <v>44341.0</v>
      </c>
      <c r="J3243" s="65" t="b">
        <v>1</v>
      </c>
      <c r="K3243" s="65"/>
      <c r="L3243" s="85" t="b">
        <f>IF(VLOOKUP(C3243,Projetos!A:L,12,false)=TRUE,TRUE,FALSE)</f>
        <v>1</v>
      </c>
      <c r="M3243" s="74">
        <v>52.48434411075036</v>
      </c>
      <c r="N3243" s="74">
        <f t="shared" si="1"/>
        <v>78.72651617</v>
      </c>
      <c r="O3243" s="74" t="b">
        <v>1</v>
      </c>
    </row>
    <row r="3244" hidden="1">
      <c r="A3244" s="82"/>
      <c r="B3244" s="65" t="s">
        <v>411</v>
      </c>
      <c r="C3244" s="65" t="s">
        <v>85</v>
      </c>
      <c r="D3244" s="65" t="str">
        <f>vlookup(C3244,'Classificação p pessoal'!F:G,2,false)</f>
        <v>NP</v>
      </c>
      <c r="E3244" s="65" t="s">
        <v>2175</v>
      </c>
      <c r="F3244" s="83">
        <v>0.5833333333333334</v>
      </c>
      <c r="G3244" s="83">
        <v>0.625</v>
      </c>
      <c r="H3244" s="83">
        <v>0.041666666666666664</v>
      </c>
      <c r="I3244" s="84">
        <v>44341.0</v>
      </c>
      <c r="J3244" s="65" t="b">
        <v>1</v>
      </c>
      <c r="K3244" s="65"/>
      <c r="L3244" s="85" t="b">
        <f>IF(VLOOKUP(C3244,Projetos!A:L,12,false)=TRUE,TRUE,FALSE)</f>
        <v>1</v>
      </c>
      <c r="M3244" s="74">
        <v>52.48434411075036</v>
      </c>
      <c r="N3244" s="74">
        <f t="shared" si="1"/>
        <v>52.48434411</v>
      </c>
      <c r="O3244" s="74" t="b">
        <v>1</v>
      </c>
    </row>
    <row r="3245" hidden="1">
      <c r="A3245" s="82"/>
      <c r="B3245" s="65" t="s">
        <v>411</v>
      </c>
      <c r="C3245" s="65" t="s">
        <v>117</v>
      </c>
      <c r="D3245" s="65" t="str">
        <f>vlookup(C3245,'Classificação p pessoal'!F:G,2,false)</f>
        <v>NP</v>
      </c>
      <c r="E3245" s="65" t="s">
        <v>2235</v>
      </c>
      <c r="F3245" s="83">
        <v>0.625</v>
      </c>
      <c r="G3245" s="83">
        <v>0.75</v>
      </c>
      <c r="H3245" s="83">
        <v>0.125</v>
      </c>
      <c r="I3245" s="84">
        <v>44341.0</v>
      </c>
      <c r="J3245" s="65" t="b">
        <v>1</v>
      </c>
      <c r="K3245" s="65"/>
      <c r="L3245" s="85" t="b">
        <f>IF(VLOOKUP(C3245,Projetos!A:L,12,false)=TRUE,TRUE,FALSE)</f>
        <v>1</v>
      </c>
      <c r="M3245" s="74">
        <v>52.48434411075036</v>
      </c>
      <c r="N3245" s="74">
        <f t="shared" si="1"/>
        <v>157.4530323</v>
      </c>
      <c r="O3245" s="74" t="b">
        <v>1</v>
      </c>
    </row>
    <row r="3246" hidden="1">
      <c r="A3246" s="82"/>
      <c r="B3246" s="65" t="s">
        <v>411</v>
      </c>
      <c r="C3246" s="65" t="s">
        <v>92</v>
      </c>
      <c r="D3246" s="65" t="str">
        <f>vlookup(C3246,'Classificação p pessoal'!F:G,2,false)</f>
        <v/>
      </c>
      <c r="E3246" s="65" t="s">
        <v>2236</v>
      </c>
      <c r="F3246" s="83">
        <v>0.34375</v>
      </c>
      <c r="G3246" s="83">
        <v>0.4375</v>
      </c>
      <c r="H3246" s="83">
        <v>0.09375</v>
      </c>
      <c r="I3246" s="84">
        <v>44342.0</v>
      </c>
      <c r="J3246" s="65" t="b">
        <v>1</v>
      </c>
      <c r="K3246" s="65"/>
      <c r="L3246" s="85" t="b">
        <f>IF(VLOOKUP(C3246,Projetos!A:L,12,false)=TRUE,TRUE,FALSE)</f>
        <v>1</v>
      </c>
      <c r="M3246" s="74">
        <v>52.48434411075036</v>
      </c>
      <c r="N3246" s="74">
        <f t="shared" si="1"/>
        <v>118.0897742</v>
      </c>
      <c r="O3246" s="74" t="b">
        <v>1</v>
      </c>
    </row>
    <row r="3247">
      <c r="A3247" s="82"/>
      <c r="B3247" s="65" t="s">
        <v>469</v>
      </c>
      <c r="C3247" s="65" t="s">
        <v>118</v>
      </c>
      <c r="D3247" s="65"/>
      <c r="E3247" s="65" t="s">
        <v>2237</v>
      </c>
      <c r="F3247" s="83">
        <v>0.6458333333333334</v>
      </c>
      <c r="G3247" s="83">
        <v>0.7361111111111112</v>
      </c>
      <c r="H3247" s="83">
        <v>0.09027777777777778</v>
      </c>
      <c r="I3247" s="84">
        <v>44278.0</v>
      </c>
      <c r="J3247" s="65" t="b">
        <v>0</v>
      </c>
      <c r="K3247" s="65" t="s">
        <v>150</v>
      </c>
      <c r="L3247" s="85" t="b">
        <f>IF(VLOOKUP(C3247,Projetos!A:L,12,false)=TRUE,TRUE,FALSE)</f>
        <v>1</v>
      </c>
      <c r="M3247" s="74">
        <v>37.50928062469937</v>
      </c>
      <c r="N3247" s="74">
        <f t="shared" si="1"/>
        <v>0</v>
      </c>
      <c r="O3247" s="74" t="b">
        <v>1</v>
      </c>
    </row>
    <row r="3248" hidden="1">
      <c r="A3248" s="82"/>
      <c r="B3248" s="65" t="s">
        <v>411</v>
      </c>
      <c r="C3248" s="65" t="s">
        <v>119</v>
      </c>
      <c r="D3248" s="65" t="str">
        <f>vlookup(C3248,'Classificação p pessoal'!F:G,2,false)</f>
        <v>NP</v>
      </c>
      <c r="E3248" s="65" t="s">
        <v>2238</v>
      </c>
      <c r="F3248" s="83">
        <v>0.5</v>
      </c>
      <c r="G3248" s="83">
        <v>0.5625</v>
      </c>
      <c r="H3248" s="83">
        <v>0.0625</v>
      </c>
      <c r="I3248" s="84">
        <v>44342.0</v>
      </c>
      <c r="J3248" s="65" t="b">
        <v>1</v>
      </c>
      <c r="K3248" s="65"/>
      <c r="L3248" s="85" t="b">
        <f>IF(VLOOKUP(C3248,Projetos!A:L,12,false)=TRUE,TRUE,FALSE)</f>
        <v>1</v>
      </c>
      <c r="M3248" s="74">
        <v>52.48434411075036</v>
      </c>
      <c r="N3248" s="74">
        <f t="shared" si="1"/>
        <v>78.72651617</v>
      </c>
      <c r="O3248" s="74" t="b">
        <v>1</v>
      </c>
    </row>
    <row r="3249" hidden="1">
      <c r="A3249" s="82"/>
      <c r="B3249" s="65" t="s">
        <v>411</v>
      </c>
      <c r="C3249" s="65" t="s">
        <v>88</v>
      </c>
      <c r="D3249" s="65"/>
      <c r="E3249" s="65" t="s">
        <v>2239</v>
      </c>
      <c r="F3249" s="83">
        <v>0.5833333333333334</v>
      </c>
      <c r="G3249" s="83">
        <v>0.6458333333333334</v>
      </c>
      <c r="H3249" s="83">
        <v>0.0625</v>
      </c>
      <c r="I3249" s="84">
        <v>44342.0</v>
      </c>
      <c r="J3249" s="65" t="b">
        <v>0</v>
      </c>
      <c r="K3249" s="65" t="s">
        <v>150</v>
      </c>
      <c r="L3249" s="85" t="b">
        <f>IF(VLOOKUP(C3249,Projetos!A:L,12,false)=TRUE,TRUE,FALSE)</f>
        <v>1</v>
      </c>
      <c r="M3249" s="74">
        <v>52.48434411075036</v>
      </c>
      <c r="N3249" s="74">
        <f t="shared" si="1"/>
        <v>0</v>
      </c>
      <c r="O3249" s="74" t="b">
        <v>1</v>
      </c>
    </row>
    <row r="3250" hidden="1">
      <c r="A3250" s="82"/>
      <c r="B3250" s="65" t="s">
        <v>411</v>
      </c>
      <c r="C3250" s="65" t="s">
        <v>117</v>
      </c>
      <c r="D3250" s="65" t="str">
        <f>vlookup(C3250,'Classificação p pessoal'!F:G,2,false)</f>
        <v>NP</v>
      </c>
      <c r="E3250" s="65" t="s">
        <v>2240</v>
      </c>
      <c r="F3250" s="83">
        <v>0.6458333333333334</v>
      </c>
      <c r="G3250" s="83">
        <v>0.7083333333333334</v>
      </c>
      <c r="H3250" s="83">
        <v>0.0625</v>
      </c>
      <c r="I3250" s="84">
        <v>44342.0</v>
      </c>
      <c r="J3250" s="65" t="b">
        <v>1</v>
      </c>
      <c r="K3250" s="65"/>
      <c r="L3250" s="85" t="b">
        <f>IF(VLOOKUP(C3250,Projetos!A:L,12,false)=TRUE,TRUE,FALSE)</f>
        <v>1</v>
      </c>
      <c r="M3250" s="74">
        <v>52.48434411075036</v>
      </c>
      <c r="N3250" s="74">
        <f t="shared" si="1"/>
        <v>78.72651617</v>
      </c>
      <c r="O3250" s="74" t="b">
        <v>1</v>
      </c>
    </row>
    <row r="3251" hidden="1">
      <c r="A3251" s="82"/>
      <c r="B3251" s="65" t="s">
        <v>411</v>
      </c>
      <c r="C3251" s="65" t="s">
        <v>117</v>
      </c>
      <c r="D3251" s="65" t="str">
        <f>vlookup(C3251,'Classificação p pessoal'!F:G,2,false)</f>
        <v>NP</v>
      </c>
      <c r="E3251" s="65" t="s">
        <v>2241</v>
      </c>
      <c r="F3251" s="83">
        <v>0.34375</v>
      </c>
      <c r="G3251" s="83">
        <v>0.375</v>
      </c>
      <c r="H3251" s="83">
        <v>0.03125</v>
      </c>
      <c r="I3251" s="84">
        <v>44343.0</v>
      </c>
      <c r="J3251" s="65" t="b">
        <v>1</v>
      </c>
      <c r="K3251" s="65"/>
      <c r="L3251" s="85" t="b">
        <f>IF(VLOOKUP(C3251,Projetos!A:L,12,false)=TRUE,TRUE,FALSE)</f>
        <v>1</v>
      </c>
      <c r="M3251" s="74">
        <v>52.48434411075036</v>
      </c>
      <c r="N3251" s="74">
        <f t="shared" si="1"/>
        <v>39.36325808</v>
      </c>
      <c r="O3251" s="74" t="b">
        <v>1</v>
      </c>
    </row>
    <row r="3252" hidden="1">
      <c r="A3252" s="82"/>
      <c r="B3252" s="65" t="s">
        <v>411</v>
      </c>
      <c r="C3252" s="65" t="s">
        <v>92</v>
      </c>
      <c r="D3252" s="65" t="str">
        <f>vlookup(C3252,'Classificação p pessoal'!F:G,2,false)</f>
        <v/>
      </c>
      <c r="E3252" s="65" t="s">
        <v>2242</v>
      </c>
      <c r="F3252" s="83">
        <v>0.4583333333333333</v>
      </c>
      <c r="G3252" s="83">
        <v>0.5</v>
      </c>
      <c r="H3252" s="83">
        <v>0.041666666666666664</v>
      </c>
      <c r="I3252" s="84">
        <v>44343.0</v>
      </c>
      <c r="J3252" s="65" t="b">
        <v>1</v>
      </c>
      <c r="K3252" s="65"/>
      <c r="L3252" s="85" t="b">
        <f>IF(VLOOKUP(C3252,Projetos!A:L,12,false)=TRUE,TRUE,FALSE)</f>
        <v>1</v>
      </c>
      <c r="M3252" s="74">
        <v>52.48434411075036</v>
      </c>
      <c r="N3252" s="74">
        <f t="shared" si="1"/>
        <v>52.48434411</v>
      </c>
      <c r="O3252" s="74" t="b">
        <v>1</v>
      </c>
    </row>
    <row r="3253" hidden="1">
      <c r="A3253" s="82"/>
      <c r="B3253" s="65" t="s">
        <v>411</v>
      </c>
      <c r="C3253" s="65" t="s">
        <v>120</v>
      </c>
      <c r="D3253" s="65"/>
      <c r="E3253" s="65" t="s">
        <v>2243</v>
      </c>
      <c r="F3253" s="83">
        <v>0.5416666666666666</v>
      </c>
      <c r="G3253" s="83">
        <v>0.75</v>
      </c>
      <c r="H3253" s="83">
        <v>0.20833333333333334</v>
      </c>
      <c r="I3253" s="84">
        <v>44343.0</v>
      </c>
      <c r="J3253" s="65" t="b">
        <v>0</v>
      </c>
      <c r="K3253" s="65"/>
      <c r="L3253" s="85" t="b">
        <f>IF(VLOOKUP(C3253,Projetos!A:L,12,false)=TRUE,TRUE,FALSE)</f>
        <v>0</v>
      </c>
      <c r="M3253" s="74">
        <v>52.48434411075036</v>
      </c>
      <c r="N3253" s="74">
        <f t="shared" si="1"/>
        <v>0</v>
      </c>
      <c r="O3253" s="74" t="b">
        <v>0</v>
      </c>
    </row>
    <row r="3254" hidden="1">
      <c r="A3254" s="82"/>
      <c r="B3254" s="65" t="s">
        <v>411</v>
      </c>
      <c r="C3254" s="65" t="s">
        <v>92</v>
      </c>
      <c r="D3254" s="65" t="str">
        <f>vlookup(C3254,'Classificação p pessoal'!F:G,2,false)</f>
        <v/>
      </c>
      <c r="E3254" s="65" t="s">
        <v>2244</v>
      </c>
      <c r="F3254" s="83">
        <v>0.34375</v>
      </c>
      <c r="G3254" s="83">
        <v>0.375</v>
      </c>
      <c r="H3254" s="83">
        <v>0.03125</v>
      </c>
      <c r="I3254" s="84">
        <v>44344.0</v>
      </c>
      <c r="J3254" s="65" t="b">
        <v>1</v>
      </c>
      <c r="K3254" s="65"/>
      <c r="L3254" s="85" t="b">
        <f>IF(VLOOKUP(C3254,Projetos!A:L,12,false)=TRUE,TRUE,FALSE)</f>
        <v>1</v>
      </c>
      <c r="M3254" s="74">
        <v>52.48434411075036</v>
      </c>
      <c r="N3254" s="74">
        <f t="shared" si="1"/>
        <v>39.36325808</v>
      </c>
      <c r="O3254" s="74" t="b">
        <v>1</v>
      </c>
    </row>
    <row r="3255" hidden="1">
      <c r="A3255" s="82"/>
      <c r="B3255" s="65" t="s">
        <v>411</v>
      </c>
      <c r="C3255" s="65" t="s">
        <v>125</v>
      </c>
      <c r="D3255" s="65" t="str">
        <f>vlookup(C3255,'Classificação p pessoal'!F:G,2,false)</f>
        <v>MProduto</v>
      </c>
      <c r="E3255" s="65" t="s">
        <v>2245</v>
      </c>
      <c r="F3255" s="83">
        <v>0.375</v>
      </c>
      <c r="G3255" s="83">
        <v>0.4375</v>
      </c>
      <c r="H3255" s="83">
        <v>0.0625</v>
      </c>
      <c r="I3255" s="84">
        <v>44344.0</v>
      </c>
      <c r="J3255" s="65" t="b">
        <v>1</v>
      </c>
      <c r="K3255" s="65"/>
      <c r="L3255" s="85" t="b">
        <f>IF(VLOOKUP(C3255,Projetos!A:L,12,false)=TRUE,TRUE,FALSE)</f>
        <v>1</v>
      </c>
      <c r="M3255" s="74">
        <v>52.48434411075036</v>
      </c>
      <c r="N3255" s="74">
        <f t="shared" si="1"/>
        <v>78.72651617</v>
      </c>
      <c r="O3255" s="74" t="b">
        <v>1</v>
      </c>
    </row>
    <row r="3256" hidden="1">
      <c r="A3256" s="82"/>
      <c r="B3256" s="65" t="s">
        <v>411</v>
      </c>
      <c r="C3256" s="65" t="s">
        <v>100</v>
      </c>
      <c r="D3256" s="65"/>
      <c r="E3256" s="65" t="s">
        <v>2246</v>
      </c>
      <c r="F3256" s="83">
        <v>0.4375</v>
      </c>
      <c r="G3256" s="83">
        <v>0.5416666666666666</v>
      </c>
      <c r="H3256" s="83">
        <v>0.10416666666666667</v>
      </c>
      <c r="I3256" s="84">
        <v>44344.0</v>
      </c>
      <c r="J3256" s="65" t="b">
        <v>0</v>
      </c>
      <c r="K3256" s="65" t="s">
        <v>150</v>
      </c>
      <c r="L3256" s="85" t="b">
        <f>IF(VLOOKUP(C3256,Projetos!A:L,12,false)=TRUE,TRUE,FALSE)</f>
        <v>1</v>
      </c>
      <c r="M3256" s="74">
        <v>52.48434411075036</v>
      </c>
      <c r="N3256" s="74">
        <f t="shared" si="1"/>
        <v>0</v>
      </c>
      <c r="O3256" s="74" t="b">
        <v>1</v>
      </c>
    </row>
    <row r="3257" hidden="1">
      <c r="A3257" s="82"/>
      <c r="B3257" s="65" t="s">
        <v>411</v>
      </c>
      <c r="C3257" s="65" t="s">
        <v>117</v>
      </c>
      <c r="D3257" s="65" t="str">
        <f>vlookup(C3257,'Classificação p pessoal'!F:G,2,false)</f>
        <v>NP</v>
      </c>
      <c r="E3257" s="65" t="s">
        <v>2247</v>
      </c>
      <c r="F3257" s="83">
        <v>0.5833333333333334</v>
      </c>
      <c r="G3257" s="83">
        <v>0.7083333333333334</v>
      </c>
      <c r="H3257" s="83">
        <v>0.125</v>
      </c>
      <c r="I3257" s="84">
        <v>44344.0</v>
      </c>
      <c r="J3257" s="65" t="b">
        <v>1</v>
      </c>
      <c r="K3257" s="65"/>
      <c r="L3257" s="85" t="b">
        <f>IF(VLOOKUP(C3257,Projetos!A:L,12,false)=TRUE,TRUE,FALSE)</f>
        <v>1</v>
      </c>
      <c r="M3257" s="74">
        <v>52.48434411075036</v>
      </c>
      <c r="N3257" s="74">
        <f t="shared" si="1"/>
        <v>157.4530323</v>
      </c>
      <c r="O3257" s="74" t="b">
        <v>1</v>
      </c>
    </row>
    <row r="3258" hidden="1">
      <c r="A3258" s="82"/>
      <c r="B3258" s="65" t="s">
        <v>411</v>
      </c>
      <c r="C3258" s="65" t="s">
        <v>120</v>
      </c>
      <c r="D3258" s="65"/>
      <c r="E3258" s="65" t="s">
        <v>2248</v>
      </c>
      <c r="F3258" s="83">
        <v>0.7083333333333334</v>
      </c>
      <c r="G3258" s="83">
        <v>0.75</v>
      </c>
      <c r="H3258" s="83">
        <v>0.041666666666666664</v>
      </c>
      <c r="I3258" s="84">
        <v>44344.0</v>
      </c>
      <c r="J3258" s="65" t="b">
        <v>0</v>
      </c>
      <c r="K3258" s="65" t="s">
        <v>150</v>
      </c>
      <c r="L3258" s="85" t="b">
        <f>IF(VLOOKUP(C3258,Projetos!A:L,12,false)=TRUE,TRUE,FALSE)</f>
        <v>0</v>
      </c>
      <c r="M3258" s="74">
        <v>52.48434411075036</v>
      </c>
      <c r="N3258" s="74">
        <f t="shared" si="1"/>
        <v>0</v>
      </c>
      <c r="O3258" s="74" t="b">
        <v>0</v>
      </c>
    </row>
    <row r="3259" hidden="1">
      <c r="A3259" s="82"/>
      <c r="B3259" s="65" t="s">
        <v>411</v>
      </c>
      <c r="C3259" s="65" t="s">
        <v>92</v>
      </c>
      <c r="D3259" s="65" t="str">
        <f>vlookup(C3259,'Classificação p pessoal'!F:G,2,false)</f>
        <v/>
      </c>
      <c r="E3259" s="65" t="s">
        <v>2234</v>
      </c>
      <c r="F3259" s="83">
        <v>0.34375</v>
      </c>
      <c r="G3259" s="83">
        <v>0.4270833333333333</v>
      </c>
      <c r="H3259" s="83">
        <v>0.08333333333333333</v>
      </c>
      <c r="I3259" s="84">
        <v>44347.0</v>
      </c>
      <c r="J3259" s="65" t="b">
        <v>1</v>
      </c>
      <c r="K3259" s="65"/>
      <c r="L3259" s="85" t="b">
        <f>IF(VLOOKUP(C3259,Projetos!A:L,12,false)=TRUE,TRUE,FALSE)</f>
        <v>1</v>
      </c>
      <c r="M3259" s="74">
        <v>52.48434411075036</v>
      </c>
      <c r="N3259" s="74">
        <f t="shared" si="1"/>
        <v>104.9686882</v>
      </c>
      <c r="O3259" s="74" t="b">
        <v>1</v>
      </c>
    </row>
    <row r="3260" hidden="1">
      <c r="A3260" s="82"/>
      <c r="B3260" s="65" t="s">
        <v>411</v>
      </c>
      <c r="C3260" s="65" t="s">
        <v>119</v>
      </c>
      <c r="D3260" s="65"/>
      <c r="E3260" s="65" t="s">
        <v>2249</v>
      </c>
      <c r="F3260" s="83">
        <v>0.5833333333333334</v>
      </c>
      <c r="G3260" s="83">
        <v>0.6041666666666666</v>
      </c>
      <c r="H3260" s="83">
        <v>0.020833333333333332</v>
      </c>
      <c r="I3260" s="84">
        <v>44256.0</v>
      </c>
      <c r="J3260" s="65" t="b">
        <v>0</v>
      </c>
      <c r="K3260" s="65" t="s">
        <v>150</v>
      </c>
      <c r="L3260" s="85" t="b">
        <f>IF(VLOOKUP(C3260,Projetos!A:L,12,false)=TRUE,TRUE,FALSE)</f>
        <v>1</v>
      </c>
      <c r="M3260" s="74">
        <v>52.48434411075036</v>
      </c>
      <c r="N3260" s="74">
        <f t="shared" si="1"/>
        <v>0</v>
      </c>
      <c r="O3260" s="74" t="b">
        <v>1</v>
      </c>
    </row>
    <row r="3261" hidden="1">
      <c r="A3261" s="82"/>
      <c r="B3261" s="65" t="s">
        <v>411</v>
      </c>
      <c r="C3261" s="65" t="s">
        <v>117</v>
      </c>
      <c r="D3261" s="65" t="str">
        <f>vlookup(C3261,'Classificação p pessoal'!F:G,2,false)</f>
        <v>NP</v>
      </c>
      <c r="E3261" s="65" t="s">
        <v>2247</v>
      </c>
      <c r="F3261" s="83">
        <v>0.4583333333333333</v>
      </c>
      <c r="G3261" s="83">
        <v>0.5</v>
      </c>
      <c r="H3261" s="83">
        <v>0.041666666666666664</v>
      </c>
      <c r="I3261" s="84">
        <v>44347.0</v>
      </c>
      <c r="J3261" s="65" t="b">
        <v>1</v>
      </c>
      <c r="K3261" s="65"/>
      <c r="L3261" s="85" t="b">
        <f>IF(VLOOKUP(C3261,Projetos!A:L,12,false)=TRUE,TRUE,FALSE)</f>
        <v>1</v>
      </c>
      <c r="M3261" s="74">
        <v>52.48434411075036</v>
      </c>
      <c r="N3261" s="74">
        <f t="shared" si="1"/>
        <v>52.48434411</v>
      </c>
      <c r="O3261" s="74" t="b">
        <v>1</v>
      </c>
    </row>
    <row r="3262" hidden="1">
      <c r="A3262" s="82"/>
      <c r="B3262" s="65" t="s">
        <v>411</v>
      </c>
      <c r="C3262" s="65" t="s">
        <v>132</v>
      </c>
      <c r="D3262" s="65"/>
      <c r="E3262" s="65" t="s">
        <v>2250</v>
      </c>
      <c r="F3262" s="83">
        <v>0.5</v>
      </c>
      <c r="G3262" s="83">
        <v>0.5625</v>
      </c>
      <c r="H3262" s="83">
        <v>0.0625</v>
      </c>
      <c r="I3262" s="84">
        <v>44347.0</v>
      </c>
      <c r="J3262" s="65" t="b">
        <v>1</v>
      </c>
      <c r="K3262" s="65"/>
      <c r="L3262" s="85" t="b">
        <f>IF(VLOOKUP(C3262,Projetos!A:L,12,false)=TRUE,TRUE,FALSE)</f>
        <v>0</v>
      </c>
      <c r="M3262" s="74">
        <v>52.48434411075036</v>
      </c>
      <c r="N3262" s="74">
        <f t="shared" si="1"/>
        <v>0</v>
      </c>
      <c r="O3262" s="74" t="b">
        <v>0</v>
      </c>
    </row>
    <row r="3263" hidden="1">
      <c r="A3263" s="82"/>
      <c r="B3263" s="65" t="s">
        <v>411</v>
      </c>
      <c r="C3263" s="65" t="s">
        <v>117</v>
      </c>
      <c r="D3263" s="65" t="str">
        <f>vlookup(C3263,'Classificação p pessoal'!F:G,2,false)</f>
        <v>NP</v>
      </c>
      <c r="E3263" s="65" t="s">
        <v>2251</v>
      </c>
      <c r="F3263" s="83">
        <v>0.6041666666666666</v>
      </c>
      <c r="G3263" s="83">
        <v>0.875</v>
      </c>
      <c r="H3263" s="83">
        <v>0.2708333333333333</v>
      </c>
      <c r="I3263" s="84">
        <v>44347.0</v>
      </c>
      <c r="J3263" s="65" t="b">
        <v>1</v>
      </c>
      <c r="K3263" s="65"/>
      <c r="L3263" s="85" t="b">
        <f>IF(VLOOKUP(C3263,Projetos!A:L,12,false)=TRUE,TRUE,FALSE)</f>
        <v>1</v>
      </c>
      <c r="M3263" s="74">
        <v>52.48434411075036</v>
      </c>
      <c r="N3263" s="74">
        <f t="shared" si="1"/>
        <v>341.1482367</v>
      </c>
      <c r="O3263" s="74" t="b">
        <v>1</v>
      </c>
    </row>
    <row r="3264" hidden="1">
      <c r="A3264" s="82"/>
      <c r="B3264" s="65" t="s">
        <v>411</v>
      </c>
      <c r="C3264" s="65" t="s">
        <v>117</v>
      </c>
      <c r="D3264" s="65" t="str">
        <f>vlookup(C3264,'Classificação p pessoal'!F:G,2,false)</f>
        <v>NP</v>
      </c>
      <c r="E3264" s="65" t="s">
        <v>2223</v>
      </c>
      <c r="F3264" s="83">
        <v>0.3333333333333333</v>
      </c>
      <c r="G3264" s="83">
        <v>0.5416666666666666</v>
      </c>
      <c r="H3264" s="83">
        <v>0.20833333333333334</v>
      </c>
      <c r="I3264" s="84">
        <v>44348.0</v>
      </c>
      <c r="J3264" s="65" t="b">
        <v>1</v>
      </c>
      <c r="K3264" s="65"/>
      <c r="L3264" s="85" t="b">
        <f>IF(VLOOKUP(C3264,Projetos!A:L,12,false)=TRUE,TRUE,FALSE)</f>
        <v>1</v>
      </c>
      <c r="M3264" s="74">
        <v>52.48434411075036</v>
      </c>
      <c r="N3264" s="74">
        <f t="shared" si="1"/>
        <v>262.4217206</v>
      </c>
      <c r="O3264" s="74" t="b">
        <v>1</v>
      </c>
    </row>
    <row r="3265" hidden="1">
      <c r="A3265" s="82"/>
      <c r="B3265" s="65" t="s">
        <v>411</v>
      </c>
      <c r="C3265" s="65" t="s">
        <v>117</v>
      </c>
      <c r="D3265" s="65" t="str">
        <f>vlookup(C3265,'Classificação p pessoal'!F:G,2,false)</f>
        <v>NP</v>
      </c>
      <c r="E3265" s="65" t="s">
        <v>2224</v>
      </c>
      <c r="F3265" s="83">
        <v>0.5833333333333334</v>
      </c>
      <c r="G3265" s="83">
        <v>0.8333333333333334</v>
      </c>
      <c r="H3265" s="83">
        <v>0.25</v>
      </c>
      <c r="I3265" s="84">
        <v>44348.0</v>
      </c>
      <c r="J3265" s="65" t="b">
        <v>1</v>
      </c>
      <c r="K3265" s="65"/>
      <c r="L3265" s="85" t="b">
        <f>IF(VLOOKUP(C3265,Projetos!A:L,12,false)=TRUE,TRUE,FALSE)</f>
        <v>1</v>
      </c>
      <c r="M3265" s="74">
        <v>52.48434411075036</v>
      </c>
      <c r="N3265" s="74">
        <f t="shared" si="1"/>
        <v>314.9060647</v>
      </c>
      <c r="O3265" s="74" t="b">
        <v>1</v>
      </c>
    </row>
    <row r="3266" hidden="1">
      <c r="A3266" s="82"/>
      <c r="B3266" s="65" t="s">
        <v>411</v>
      </c>
      <c r="C3266" s="65" t="s">
        <v>117</v>
      </c>
      <c r="D3266" s="65" t="str">
        <f>vlookup(C3266,'Classificação p pessoal'!F:G,2,false)</f>
        <v>NP</v>
      </c>
      <c r="E3266" s="65" t="s">
        <v>1944</v>
      </c>
      <c r="F3266" s="83">
        <v>0.34375</v>
      </c>
      <c r="G3266" s="83">
        <v>0.3958333333333333</v>
      </c>
      <c r="H3266" s="83">
        <v>0.052083333333333336</v>
      </c>
      <c r="I3266" s="84">
        <v>44349.0</v>
      </c>
      <c r="J3266" s="65" t="b">
        <v>1</v>
      </c>
      <c r="K3266" s="65"/>
      <c r="L3266" s="85" t="b">
        <f>IF(VLOOKUP(C3266,Projetos!A:L,12,false)=TRUE,TRUE,FALSE)</f>
        <v>1</v>
      </c>
      <c r="M3266" s="74">
        <v>52.48434411075036</v>
      </c>
      <c r="N3266" s="74">
        <f t="shared" si="1"/>
        <v>65.60543014</v>
      </c>
      <c r="O3266" s="74" t="b">
        <v>1</v>
      </c>
    </row>
    <row r="3267" hidden="1">
      <c r="A3267" s="82"/>
      <c r="B3267" s="65" t="s">
        <v>411</v>
      </c>
      <c r="C3267" s="65" t="s">
        <v>108</v>
      </c>
      <c r="D3267" s="65" t="str">
        <f>vlookup(C3267,'Classificação p pessoal'!F:G,2,false)</f>
        <v>NP</v>
      </c>
      <c r="E3267" s="65" t="s">
        <v>2252</v>
      </c>
      <c r="F3267" s="83">
        <v>0.3958333333333333</v>
      </c>
      <c r="G3267" s="83">
        <v>0.4166666666666667</v>
      </c>
      <c r="H3267" s="83">
        <v>0.020833333333333332</v>
      </c>
      <c r="I3267" s="84">
        <v>44349.0</v>
      </c>
      <c r="J3267" s="65" t="b">
        <v>1</v>
      </c>
      <c r="K3267" s="65"/>
      <c r="L3267" s="85" t="b">
        <f>IF(VLOOKUP(C3267,Projetos!A:L,12,false)=TRUE,TRUE,FALSE)</f>
        <v>1</v>
      </c>
      <c r="M3267" s="74">
        <v>52.48434411075036</v>
      </c>
      <c r="N3267" s="74">
        <f t="shared" si="1"/>
        <v>26.24217206</v>
      </c>
      <c r="O3267" s="74" t="b">
        <v>1</v>
      </c>
    </row>
    <row r="3268" hidden="1">
      <c r="A3268" s="82"/>
      <c r="B3268" s="65" t="s">
        <v>177</v>
      </c>
      <c r="C3268" s="65" t="s">
        <v>101</v>
      </c>
      <c r="D3268" s="65" t="str">
        <f>vlookup(C3268,'Classificação p pessoal'!F:G,2,false)</f>
        <v>NP</v>
      </c>
      <c r="E3268" s="65" t="s">
        <v>2253</v>
      </c>
      <c r="F3268" s="83">
        <v>0.5833333333333334</v>
      </c>
      <c r="G3268" s="83">
        <v>0.6458333333333334</v>
      </c>
      <c r="H3268" s="83">
        <v>0.0625</v>
      </c>
      <c r="I3268" s="84">
        <v>44538.0</v>
      </c>
      <c r="J3268" s="65" t="b">
        <v>1</v>
      </c>
      <c r="K3268" s="65"/>
      <c r="L3268" s="85" t="b">
        <f>IF(VLOOKUP(C3268,Projetos!A:L,12,false)=TRUE,TRUE,FALSE)</f>
        <v>1</v>
      </c>
      <c r="M3268" s="74">
        <v>31.02923620430495</v>
      </c>
      <c r="N3268" s="74">
        <f t="shared" si="1"/>
        <v>46.54385431</v>
      </c>
      <c r="O3268" s="74" t="b">
        <v>1</v>
      </c>
    </row>
    <row r="3269" hidden="1">
      <c r="A3269" s="82"/>
      <c r="B3269" s="65" t="s">
        <v>411</v>
      </c>
      <c r="C3269" s="65" t="s">
        <v>108</v>
      </c>
      <c r="D3269" s="65" t="str">
        <f>vlookup(C3269,'Classificação p pessoal'!F:G,2,false)</f>
        <v>NP</v>
      </c>
      <c r="E3269" s="65" t="s">
        <v>2254</v>
      </c>
      <c r="F3269" s="83">
        <v>0.6875</v>
      </c>
      <c r="G3269" s="83">
        <v>0.75</v>
      </c>
      <c r="H3269" s="83">
        <v>0.0625</v>
      </c>
      <c r="I3269" s="84">
        <v>44349.0</v>
      </c>
      <c r="J3269" s="65" t="b">
        <v>1</v>
      </c>
      <c r="K3269" s="65"/>
      <c r="L3269" s="85" t="b">
        <f>IF(VLOOKUP(C3269,Projetos!A:L,12,false)=TRUE,TRUE,FALSE)</f>
        <v>1</v>
      </c>
      <c r="M3269" s="74">
        <v>52.48434411075036</v>
      </c>
      <c r="N3269" s="74">
        <f t="shared" si="1"/>
        <v>78.72651617</v>
      </c>
      <c r="O3269" s="74" t="b">
        <v>1</v>
      </c>
    </row>
    <row r="3270" hidden="1">
      <c r="A3270" s="82"/>
      <c r="B3270" s="65" t="s">
        <v>411</v>
      </c>
      <c r="C3270" s="65" t="s">
        <v>92</v>
      </c>
      <c r="D3270" s="65" t="str">
        <f>vlookup(C3270,'Classificação p pessoal'!F:G,2,false)</f>
        <v/>
      </c>
      <c r="E3270" s="65" t="s">
        <v>2221</v>
      </c>
      <c r="F3270" s="83">
        <v>0.34375</v>
      </c>
      <c r="G3270" s="83">
        <v>0.3541666666666667</v>
      </c>
      <c r="H3270" s="83">
        <v>0.010416666666666666</v>
      </c>
      <c r="I3270" s="84">
        <v>44355.0</v>
      </c>
      <c r="J3270" s="65" t="b">
        <v>1</v>
      </c>
      <c r="K3270" s="65"/>
      <c r="L3270" s="85" t="b">
        <f>IF(VLOOKUP(C3270,Projetos!A:L,12,false)=TRUE,TRUE,FALSE)</f>
        <v>1</v>
      </c>
      <c r="M3270" s="74">
        <v>52.48434411075036</v>
      </c>
      <c r="N3270" s="74">
        <f t="shared" si="1"/>
        <v>13.12108603</v>
      </c>
      <c r="O3270" s="74" t="b">
        <v>1</v>
      </c>
    </row>
    <row r="3271" hidden="1">
      <c r="A3271" s="82"/>
      <c r="B3271" s="65" t="s">
        <v>411</v>
      </c>
      <c r="C3271" s="65" t="s">
        <v>120</v>
      </c>
      <c r="D3271" s="65"/>
      <c r="E3271" s="65" t="s">
        <v>2255</v>
      </c>
      <c r="F3271" s="83">
        <v>0.3541666666666667</v>
      </c>
      <c r="G3271" s="83">
        <v>0.4166666666666667</v>
      </c>
      <c r="H3271" s="83">
        <v>0.0625</v>
      </c>
      <c r="I3271" s="84">
        <v>44355.0</v>
      </c>
      <c r="J3271" s="65" t="b">
        <v>0</v>
      </c>
      <c r="K3271" s="65"/>
      <c r="L3271" s="85" t="b">
        <f>IF(VLOOKUP(C3271,Projetos!A:L,12,false)=TRUE,TRUE,FALSE)</f>
        <v>0</v>
      </c>
      <c r="M3271" s="74">
        <v>52.48434411075036</v>
      </c>
      <c r="N3271" s="74">
        <f t="shared" si="1"/>
        <v>0</v>
      </c>
      <c r="O3271" s="74" t="b">
        <v>0</v>
      </c>
    </row>
    <row r="3272" hidden="1">
      <c r="A3272" s="82"/>
      <c r="B3272" s="65" t="s">
        <v>411</v>
      </c>
      <c r="C3272" s="65" t="s">
        <v>92</v>
      </c>
      <c r="D3272" s="65" t="str">
        <f>vlookup(C3272,'Classificação p pessoal'!F:G,2,false)</f>
        <v/>
      </c>
      <c r="E3272" s="65" t="s">
        <v>434</v>
      </c>
      <c r="F3272" s="83">
        <v>0.4166666666666667</v>
      </c>
      <c r="G3272" s="83">
        <v>0.4583333333333333</v>
      </c>
      <c r="H3272" s="83">
        <v>0.041666666666666664</v>
      </c>
      <c r="I3272" s="84">
        <v>44355.0</v>
      </c>
      <c r="J3272" s="65" t="b">
        <v>1</v>
      </c>
      <c r="K3272" s="65"/>
      <c r="L3272" s="85" t="b">
        <f>IF(VLOOKUP(C3272,Projetos!A:L,12,false)=TRUE,TRUE,FALSE)</f>
        <v>1</v>
      </c>
      <c r="M3272" s="74">
        <v>52.48434411075036</v>
      </c>
      <c r="N3272" s="74">
        <f t="shared" si="1"/>
        <v>52.48434411</v>
      </c>
      <c r="O3272" s="74" t="b">
        <v>1</v>
      </c>
    </row>
    <row r="3273" hidden="1">
      <c r="A3273" s="82"/>
      <c r="B3273" s="65" t="s">
        <v>411</v>
      </c>
      <c r="C3273" s="65" t="s">
        <v>125</v>
      </c>
      <c r="D3273" s="65" t="str">
        <f>vlookup(C3273,'Classificação p pessoal'!F:G,2,false)</f>
        <v>MProduto</v>
      </c>
      <c r="E3273" s="65" t="s">
        <v>1944</v>
      </c>
      <c r="F3273" s="83">
        <v>0.4583333333333333</v>
      </c>
      <c r="G3273" s="83">
        <v>0.4791666666666667</v>
      </c>
      <c r="H3273" s="83">
        <v>0.020833333333333332</v>
      </c>
      <c r="I3273" s="84">
        <v>44355.0</v>
      </c>
      <c r="J3273" s="65" t="b">
        <v>1</v>
      </c>
      <c r="K3273" s="65"/>
      <c r="L3273" s="85" t="b">
        <f>IF(VLOOKUP(C3273,Projetos!A:L,12,false)=TRUE,TRUE,FALSE)</f>
        <v>1</v>
      </c>
      <c r="M3273" s="74">
        <v>52.48434411075036</v>
      </c>
      <c r="N3273" s="74">
        <f t="shared" si="1"/>
        <v>26.24217206</v>
      </c>
      <c r="O3273" s="74" t="b">
        <v>1</v>
      </c>
    </row>
    <row r="3274" hidden="1">
      <c r="A3274" s="82"/>
      <c r="B3274" s="65" t="s">
        <v>411</v>
      </c>
      <c r="C3274" s="65" t="s">
        <v>92</v>
      </c>
      <c r="D3274" s="65" t="str">
        <f>vlookup(C3274,'Classificação p pessoal'!F:G,2,false)</f>
        <v/>
      </c>
      <c r="E3274" s="65" t="s">
        <v>2234</v>
      </c>
      <c r="F3274" s="83">
        <v>0.4791666666666667</v>
      </c>
      <c r="G3274" s="83">
        <v>0.5416666666666666</v>
      </c>
      <c r="H3274" s="83">
        <v>0.0625</v>
      </c>
      <c r="I3274" s="84">
        <v>44355.0</v>
      </c>
      <c r="J3274" s="65" t="b">
        <v>1</v>
      </c>
      <c r="K3274" s="65"/>
      <c r="L3274" s="85" t="b">
        <f>IF(VLOOKUP(C3274,Projetos!A:L,12,false)=TRUE,TRUE,FALSE)</f>
        <v>1</v>
      </c>
      <c r="M3274" s="74">
        <v>52.48434411075036</v>
      </c>
      <c r="N3274" s="74">
        <f t="shared" si="1"/>
        <v>78.72651617</v>
      </c>
      <c r="O3274" s="74" t="b">
        <v>1</v>
      </c>
    </row>
    <row r="3275" hidden="1">
      <c r="A3275" s="82"/>
      <c r="B3275" s="65" t="s">
        <v>411</v>
      </c>
      <c r="C3275" s="65" t="s">
        <v>120</v>
      </c>
      <c r="D3275" s="65"/>
      <c r="E3275" s="65" t="s">
        <v>2255</v>
      </c>
      <c r="F3275" s="83">
        <v>0.5833333333333334</v>
      </c>
      <c r="G3275" s="83">
        <v>0.75</v>
      </c>
      <c r="H3275" s="83">
        <v>0.16666666666666666</v>
      </c>
      <c r="I3275" s="84">
        <v>44355.0</v>
      </c>
      <c r="J3275" s="65" t="b">
        <v>0</v>
      </c>
      <c r="K3275" s="65"/>
      <c r="L3275" s="85" t="b">
        <f>IF(VLOOKUP(C3275,Projetos!A:L,12,false)=TRUE,TRUE,FALSE)</f>
        <v>0</v>
      </c>
      <c r="M3275" s="74">
        <v>52.48434411075036</v>
      </c>
      <c r="N3275" s="74">
        <f t="shared" si="1"/>
        <v>0</v>
      </c>
      <c r="O3275" s="74" t="b">
        <v>0</v>
      </c>
    </row>
    <row r="3276" hidden="1">
      <c r="A3276" s="82"/>
      <c r="B3276" s="65" t="s">
        <v>411</v>
      </c>
      <c r="C3276" s="65" t="s">
        <v>125</v>
      </c>
      <c r="D3276" s="65"/>
      <c r="E3276" s="65" t="s">
        <v>2256</v>
      </c>
      <c r="F3276" s="83">
        <v>0.5520833333333334</v>
      </c>
      <c r="G3276" s="83">
        <v>0.5729166666666666</v>
      </c>
      <c r="H3276" s="83">
        <v>0.020833333333333332</v>
      </c>
      <c r="I3276" s="84">
        <v>44356.0</v>
      </c>
      <c r="J3276" s="65" t="b">
        <v>0</v>
      </c>
      <c r="K3276" s="65" t="s">
        <v>150</v>
      </c>
      <c r="L3276" s="85" t="b">
        <f>IF(VLOOKUP(C3276,Projetos!A:L,12,false)=TRUE,TRUE,FALSE)</f>
        <v>1</v>
      </c>
      <c r="M3276" s="74">
        <v>52.48434411075036</v>
      </c>
      <c r="N3276" s="74">
        <f t="shared" si="1"/>
        <v>0</v>
      </c>
      <c r="O3276" s="74" t="b">
        <v>1</v>
      </c>
    </row>
    <row r="3277" hidden="1">
      <c r="A3277" s="82"/>
      <c r="B3277" s="65" t="s">
        <v>411</v>
      </c>
      <c r="C3277" s="65" t="s">
        <v>120</v>
      </c>
      <c r="D3277" s="65"/>
      <c r="E3277" s="65" t="s">
        <v>2255</v>
      </c>
      <c r="F3277" s="83">
        <v>0.5729166666666666</v>
      </c>
      <c r="G3277" s="83">
        <v>0.6666666666666666</v>
      </c>
      <c r="H3277" s="83">
        <v>0.09375</v>
      </c>
      <c r="I3277" s="84">
        <v>44356.0</v>
      </c>
      <c r="J3277" s="65" t="b">
        <v>0</v>
      </c>
      <c r="K3277" s="65"/>
      <c r="L3277" s="85" t="b">
        <f>IF(VLOOKUP(C3277,Projetos!A:L,12,false)=TRUE,TRUE,FALSE)</f>
        <v>0</v>
      </c>
      <c r="M3277" s="74">
        <v>52.48434411075036</v>
      </c>
      <c r="N3277" s="74">
        <f t="shared" si="1"/>
        <v>0</v>
      </c>
      <c r="O3277" s="74" t="b">
        <v>0</v>
      </c>
    </row>
    <row r="3278" hidden="1">
      <c r="A3278" s="82"/>
      <c r="B3278" s="65" t="s">
        <v>411</v>
      </c>
      <c r="C3278" s="65" t="s">
        <v>92</v>
      </c>
      <c r="D3278" s="65" t="str">
        <f>vlookup(C3278,'Classificação p pessoal'!F:G,2,false)</f>
        <v/>
      </c>
      <c r="E3278" s="65" t="s">
        <v>2257</v>
      </c>
      <c r="F3278" s="83">
        <v>0.6666666666666666</v>
      </c>
      <c r="G3278" s="83">
        <v>0.7083333333333334</v>
      </c>
      <c r="H3278" s="83">
        <v>0.041666666666666664</v>
      </c>
      <c r="I3278" s="84">
        <v>44356.0</v>
      </c>
      <c r="J3278" s="65" t="b">
        <v>1</v>
      </c>
      <c r="K3278" s="65"/>
      <c r="L3278" s="85" t="b">
        <f>IF(VLOOKUP(C3278,Projetos!A:L,12,false)=TRUE,TRUE,FALSE)</f>
        <v>1</v>
      </c>
      <c r="M3278" s="74">
        <v>52.48434411075036</v>
      </c>
      <c r="N3278" s="74">
        <f t="shared" si="1"/>
        <v>52.48434411</v>
      </c>
      <c r="O3278" s="74" t="b">
        <v>1</v>
      </c>
    </row>
    <row r="3279" hidden="1">
      <c r="A3279" s="82"/>
      <c r="B3279" s="65" t="s">
        <v>411</v>
      </c>
      <c r="C3279" s="65" t="s">
        <v>120</v>
      </c>
      <c r="D3279" s="65"/>
      <c r="E3279" s="65" t="s">
        <v>2258</v>
      </c>
      <c r="F3279" s="83">
        <v>0.7083333333333334</v>
      </c>
      <c r="G3279" s="83">
        <v>0.75</v>
      </c>
      <c r="H3279" s="83">
        <v>0.041666666666666664</v>
      </c>
      <c r="I3279" s="84">
        <v>44356.0</v>
      </c>
      <c r="J3279" s="65" t="b">
        <v>0</v>
      </c>
      <c r="K3279" s="65"/>
      <c r="L3279" s="85" t="b">
        <f>IF(VLOOKUP(C3279,Projetos!A:L,12,false)=TRUE,TRUE,FALSE)</f>
        <v>0</v>
      </c>
      <c r="M3279" s="74">
        <v>52.48434411075036</v>
      </c>
      <c r="N3279" s="74">
        <f t="shared" si="1"/>
        <v>0</v>
      </c>
      <c r="O3279" s="74" t="b">
        <v>0</v>
      </c>
    </row>
    <row r="3280" hidden="1">
      <c r="A3280" s="82"/>
      <c r="B3280" s="65" t="s">
        <v>411</v>
      </c>
      <c r="C3280" s="65" t="s">
        <v>92</v>
      </c>
      <c r="D3280" s="65" t="str">
        <f>vlookup(C3280,'Classificação p pessoal'!F:G,2,false)</f>
        <v/>
      </c>
      <c r="E3280" s="65" t="s">
        <v>2259</v>
      </c>
      <c r="F3280" s="83">
        <v>0.75</v>
      </c>
      <c r="G3280" s="83">
        <v>0.7916666666666666</v>
      </c>
      <c r="H3280" s="83">
        <v>0.041666666666666664</v>
      </c>
      <c r="I3280" s="84">
        <v>44356.0</v>
      </c>
      <c r="J3280" s="65" t="b">
        <v>1</v>
      </c>
      <c r="K3280" s="65"/>
      <c r="L3280" s="85" t="b">
        <f>IF(VLOOKUP(C3280,Projetos!A:L,12,false)=TRUE,TRUE,FALSE)</f>
        <v>1</v>
      </c>
      <c r="M3280" s="74">
        <v>52.48434411075036</v>
      </c>
      <c r="N3280" s="74">
        <f t="shared" si="1"/>
        <v>52.48434411</v>
      </c>
      <c r="O3280" s="74" t="b">
        <v>1</v>
      </c>
    </row>
    <row r="3281" hidden="1">
      <c r="A3281" s="82"/>
      <c r="B3281" s="65" t="s">
        <v>411</v>
      </c>
      <c r="C3281" s="65" t="s">
        <v>127</v>
      </c>
      <c r="D3281" s="65" t="str">
        <f>vlookup(C3281,'Classificação p pessoal'!F:G,2,false)</f>
        <v>NP</v>
      </c>
      <c r="E3281" s="65" t="s">
        <v>2260</v>
      </c>
      <c r="F3281" s="83">
        <v>0.7916666666666666</v>
      </c>
      <c r="G3281" s="83">
        <v>0.875</v>
      </c>
      <c r="H3281" s="83">
        <v>0.08333333333333333</v>
      </c>
      <c r="I3281" s="84">
        <v>44356.0</v>
      </c>
      <c r="J3281" s="65" t="b">
        <v>1</v>
      </c>
      <c r="K3281" s="65"/>
      <c r="L3281" s="85" t="b">
        <f>IF(VLOOKUP(C3281,Projetos!A:L,12,false)=TRUE,TRUE,FALSE)</f>
        <v>1</v>
      </c>
      <c r="M3281" s="74">
        <v>52.48434411075036</v>
      </c>
      <c r="N3281" s="74">
        <f t="shared" si="1"/>
        <v>104.9686882</v>
      </c>
      <c r="O3281" s="74" t="b">
        <v>1</v>
      </c>
    </row>
    <row r="3282" hidden="1">
      <c r="A3282" s="82"/>
      <c r="B3282" s="65" t="s">
        <v>411</v>
      </c>
      <c r="C3282" s="65" t="s">
        <v>117</v>
      </c>
      <c r="D3282" s="65" t="str">
        <f>vlookup(C3282,'Classificação p pessoal'!F:G,2,false)</f>
        <v>NP</v>
      </c>
      <c r="E3282" s="65" t="s">
        <v>2261</v>
      </c>
      <c r="F3282" s="83">
        <v>0.875</v>
      </c>
      <c r="G3282" s="83">
        <v>0.9166666666666666</v>
      </c>
      <c r="H3282" s="83">
        <v>0.041666666666666664</v>
      </c>
      <c r="I3282" s="84">
        <v>44356.0</v>
      </c>
      <c r="J3282" s="65" t="b">
        <v>1</v>
      </c>
      <c r="K3282" s="65"/>
      <c r="L3282" s="85" t="b">
        <f>IF(VLOOKUP(C3282,Projetos!A:L,12,false)=TRUE,TRUE,FALSE)</f>
        <v>1</v>
      </c>
      <c r="M3282" s="74">
        <v>52.48434411075036</v>
      </c>
      <c r="N3282" s="74">
        <f t="shared" si="1"/>
        <v>52.48434411</v>
      </c>
      <c r="O3282" s="74" t="b">
        <v>1</v>
      </c>
    </row>
    <row r="3283" hidden="1">
      <c r="A3283" s="82"/>
      <c r="B3283" s="65" t="s">
        <v>411</v>
      </c>
      <c r="C3283" s="65" t="s">
        <v>120</v>
      </c>
      <c r="D3283" s="65"/>
      <c r="E3283" s="65" t="s">
        <v>2258</v>
      </c>
      <c r="F3283" s="83">
        <v>0.375</v>
      </c>
      <c r="G3283" s="83">
        <v>0.4166666666666667</v>
      </c>
      <c r="H3283" s="83">
        <v>0.041666666666666664</v>
      </c>
      <c r="I3283" s="84">
        <v>44357.0</v>
      </c>
      <c r="J3283" s="65" t="b">
        <v>0</v>
      </c>
      <c r="K3283" s="65"/>
      <c r="L3283" s="85" t="b">
        <f>IF(VLOOKUP(C3283,Projetos!A:L,12,false)=TRUE,TRUE,FALSE)</f>
        <v>0</v>
      </c>
      <c r="M3283" s="74">
        <v>52.48434411075036</v>
      </c>
      <c r="N3283" s="74">
        <f t="shared" si="1"/>
        <v>0</v>
      </c>
      <c r="O3283" s="74" t="b">
        <v>0</v>
      </c>
    </row>
    <row r="3284" hidden="1">
      <c r="A3284" s="82"/>
      <c r="B3284" s="65" t="s">
        <v>411</v>
      </c>
      <c r="C3284" s="65" t="s">
        <v>117</v>
      </c>
      <c r="D3284" s="65" t="str">
        <f>vlookup(C3284,'Classificação p pessoal'!F:G,2,false)</f>
        <v>NP</v>
      </c>
      <c r="E3284" s="65" t="s">
        <v>2262</v>
      </c>
      <c r="F3284" s="83">
        <v>0.4166666666666667</v>
      </c>
      <c r="G3284" s="83">
        <v>0.4375</v>
      </c>
      <c r="H3284" s="83">
        <v>0.020833333333333332</v>
      </c>
      <c r="I3284" s="84">
        <v>44357.0</v>
      </c>
      <c r="J3284" s="65" t="b">
        <v>1</v>
      </c>
      <c r="K3284" s="65"/>
      <c r="L3284" s="85" t="b">
        <f>IF(VLOOKUP(C3284,Projetos!A:L,12,false)=TRUE,TRUE,FALSE)</f>
        <v>1</v>
      </c>
      <c r="M3284" s="74">
        <v>52.48434411075036</v>
      </c>
      <c r="N3284" s="74">
        <f t="shared" si="1"/>
        <v>26.24217206</v>
      </c>
      <c r="O3284" s="74" t="b">
        <v>1</v>
      </c>
    </row>
    <row r="3285" hidden="1">
      <c r="A3285" s="82"/>
      <c r="B3285" s="65" t="s">
        <v>411</v>
      </c>
      <c r="C3285" s="65" t="s">
        <v>119</v>
      </c>
      <c r="D3285" s="65" t="str">
        <f>vlookup(C3285,'Classificação p pessoal'!F:G,2,false)</f>
        <v>NP</v>
      </c>
      <c r="E3285" s="65" t="s">
        <v>2263</v>
      </c>
      <c r="F3285" s="83">
        <v>0.4375</v>
      </c>
      <c r="G3285" s="83">
        <v>0.4791666666666667</v>
      </c>
      <c r="H3285" s="83">
        <v>0.041666666666666664</v>
      </c>
      <c r="I3285" s="84">
        <v>44357.0</v>
      </c>
      <c r="J3285" s="65" t="b">
        <v>1</v>
      </c>
      <c r="K3285" s="65"/>
      <c r="L3285" s="85" t="b">
        <f>IF(VLOOKUP(C3285,Projetos!A:L,12,false)=TRUE,TRUE,FALSE)</f>
        <v>1</v>
      </c>
      <c r="M3285" s="74">
        <v>52.48434411075036</v>
      </c>
      <c r="N3285" s="74">
        <f t="shared" si="1"/>
        <v>52.48434411</v>
      </c>
      <c r="O3285" s="74" t="b">
        <v>1</v>
      </c>
    </row>
    <row r="3286" hidden="1">
      <c r="A3286" s="82"/>
      <c r="B3286" s="65" t="s">
        <v>411</v>
      </c>
      <c r="C3286" s="65" t="s">
        <v>120</v>
      </c>
      <c r="D3286" s="65"/>
      <c r="E3286" s="65" t="s">
        <v>2264</v>
      </c>
      <c r="F3286" s="83">
        <v>0.4791666666666667</v>
      </c>
      <c r="G3286" s="83">
        <v>0.5208333333333334</v>
      </c>
      <c r="H3286" s="83">
        <v>0.041666666666666664</v>
      </c>
      <c r="I3286" s="84">
        <v>44357.0</v>
      </c>
      <c r="J3286" s="65" t="b">
        <v>0</v>
      </c>
      <c r="K3286" s="65"/>
      <c r="L3286" s="85" t="b">
        <f>IF(VLOOKUP(C3286,Projetos!A:L,12,false)=TRUE,TRUE,FALSE)</f>
        <v>0</v>
      </c>
      <c r="M3286" s="74">
        <v>52.48434411075036</v>
      </c>
      <c r="N3286" s="74">
        <f t="shared" si="1"/>
        <v>0</v>
      </c>
      <c r="O3286" s="74" t="b">
        <v>0</v>
      </c>
    </row>
    <row r="3287" hidden="1">
      <c r="A3287" s="82"/>
      <c r="B3287" s="65" t="s">
        <v>411</v>
      </c>
      <c r="C3287" s="65" t="s">
        <v>117</v>
      </c>
      <c r="D3287" s="65" t="str">
        <f>vlookup(C3287,'Classificação p pessoal'!F:G,2,false)</f>
        <v>NP</v>
      </c>
      <c r="E3287" s="65" t="s">
        <v>2265</v>
      </c>
      <c r="F3287" s="83">
        <v>0.71875</v>
      </c>
      <c r="G3287" s="83">
        <v>0.75</v>
      </c>
      <c r="H3287" s="83">
        <v>0.03125</v>
      </c>
      <c r="I3287" s="84">
        <v>44357.0</v>
      </c>
      <c r="J3287" s="65" t="b">
        <v>1</v>
      </c>
      <c r="K3287" s="65"/>
      <c r="L3287" s="85" t="b">
        <f>IF(VLOOKUP(C3287,Projetos!A:L,12,false)=TRUE,TRUE,FALSE)</f>
        <v>1</v>
      </c>
      <c r="M3287" s="74">
        <v>52.48434411075036</v>
      </c>
      <c r="N3287" s="74">
        <f t="shared" si="1"/>
        <v>39.36325808</v>
      </c>
      <c r="O3287" s="74" t="b">
        <v>1</v>
      </c>
    </row>
    <row r="3288" hidden="1">
      <c r="A3288" s="82"/>
      <c r="B3288" s="65" t="s">
        <v>411</v>
      </c>
      <c r="C3288" s="65" t="s">
        <v>92</v>
      </c>
      <c r="D3288" s="65" t="str">
        <f>vlookup(C3288,'Classificação p pessoal'!F:G,2,false)</f>
        <v/>
      </c>
      <c r="E3288" s="65" t="s">
        <v>2266</v>
      </c>
      <c r="F3288" s="83">
        <v>0.75</v>
      </c>
      <c r="G3288" s="83">
        <v>0.7916666666666666</v>
      </c>
      <c r="H3288" s="83">
        <v>0.041666666666666664</v>
      </c>
      <c r="I3288" s="84">
        <v>44357.0</v>
      </c>
      <c r="J3288" s="65" t="b">
        <v>1</v>
      </c>
      <c r="K3288" s="65"/>
      <c r="L3288" s="85" t="b">
        <f>IF(VLOOKUP(C3288,Projetos!A:L,12,false)=TRUE,TRUE,FALSE)</f>
        <v>1</v>
      </c>
      <c r="M3288" s="74">
        <v>52.48434411075036</v>
      </c>
      <c r="N3288" s="74">
        <f t="shared" si="1"/>
        <v>52.48434411</v>
      </c>
      <c r="O3288" s="74" t="b">
        <v>1</v>
      </c>
    </row>
    <row r="3289" hidden="1">
      <c r="A3289" s="82"/>
      <c r="B3289" s="65" t="s">
        <v>411</v>
      </c>
      <c r="C3289" s="65" t="s">
        <v>117</v>
      </c>
      <c r="D3289" s="65" t="str">
        <f>vlookup(C3289,'Classificação p pessoal'!F:G,2,false)</f>
        <v>NP</v>
      </c>
      <c r="E3289" s="65" t="s">
        <v>2267</v>
      </c>
      <c r="F3289" s="83">
        <v>0.7916666666666666</v>
      </c>
      <c r="G3289" s="83">
        <v>0.8333333333333334</v>
      </c>
      <c r="H3289" s="83">
        <v>0.041666666666666664</v>
      </c>
      <c r="I3289" s="84">
        <v>44357.0</v>
      </c>
      <c r="J3289" s="65" t="b">
        <v>1</v>
      </c>
      <c r="K3289" s="65"/>
      <c r="L3289" s="85" t="b">
        <f>IF(VLOOKUP(C3289,Projetos!A:L,12,false)=TRUE,TRUE,FALSE)</f>
        <v>1</v>
      </c>
      <c r="M3289" s="74">
        <v>52.48434411075036</v>
      </c>
      <c r="N3289" s="74">
        <f t="shared" si="1"/>
        <v>52.48434411</v>
      </c>
      <c r="O3289" s="74" t="b">
        <v>1</v>
      </c>
    </row>
    <row r="3290" hidden="1">
      <c r="A3290" s="82"/>
      <c r="B3290" s="65" t="s">
        <v>411</v>
      </c>
      <c r="C3290" s="65" t="s">
        <v>92</v>
      </c>
      <c r="D3290" s="65" t="str">
        <f>vlookup(C3290,'Classificação p pessoal'!F:G,2,false)</f>
        <v/>
      </c>
      <c r="E3290" s="65" t="s">
        <v>2268</v>
      </c>
      <c r="F3290" s="83">
        <v>0.8333333333333334</v>
      </c>
      <c r="G3290" s="83">
        <v>0.9166666666666666</v>
      </c>
      <c r="H3290" s="83">
        <v>0.08333333333333333</v>
      </c>
      <c r="I3290" s="84">
        <v>44357.0</v>
      </c>
      <c r="J3290" s="65" t="b">
        <v>1</v>
      </c>
      <c r="K3290" s="65"/>
      <c r="L3290" s="85" t="b">
        <f>IF(VLOOKUP(C3290,Projetos!A:L,12,false)=TRUE,TRUE,FALSE)</f>
        <v>1</v>
      </c>
      <c r="M3290" s="74">
        <v>52.48434411075036</v>
      </c>
      <c r="N3290" s="74">
        <f t="shared" si="1"/>
        <v>104.9686882</v>
      </c>
      <c r="O3290" s="74" t="b">
        <v>1</v>
      </c>
    </row>
    <row r="3291" hidden="1">
      <c r="A3291" s="82"/>
      <c r="B3291" s="65" t="s">
        <v>411</v>
      </c>
      <c r="C3291" s="65" t="s">
        <v>117</v>
      </c>
      <c r="D3291" s="65" t="str">
        <f>vlookup(C3291,'Classificação p pessoal'!F:G,2,false)</f>
        <v>NP</v>
      </c>
      <c r="E3291" s="65" t="s">
        <v>2269</v>
      </c>
      <c r="F3291" s="83">
        <v>0.375</v>
      </c>
      <c r="G3291" s="83">
        <v>0.5625</v>
      </c>
      <c r="H3291" s="83">
        <v>0.1875</v>
      </c>
      <c r="I3291" s="84">
        <v>44358.0</v>
      </c>
      <c r="J3291" s="65" t="b">
        <v>1</v>
      </c>
      <c r="K3291" s="65"/>
      <c r="L3291" s="85" t="b">
        <f>IF(VLOOKUP(C3291,Projetos!A:L,12,false)=TRUE,TRUE,FALSE)</f>
        <v>1</v>
      </c>
      <c r="M3291" s="74">
        <v>52.48434411075036</v>
      </c>
      <c r="N3291" s="74">
        <f t="shared" si="1"/>
        <v>236.1795485</v>
      </c>
      <c r="O3291" s="74" t="b">
        <v>1</v>
      </c>
    </row>
    <row r="3292" hidden="1">
      <c r="A3292" s="82"/>
      <c r="B3292" s="65" t="s">
        <v>411</v>
      </c>
      <c r="C3292" s="65" t="s">
        <v>92</v>
      </c>
      <c r="D3292" s="65" t="str">
        <f>vlookup(C3292,'Classificação p pessoal'!F:G,2,false)</f>
        <v/>
      </c>
      <c r="E3292" s="65" t="s">
        <v>2270</v>
      </c>
      <c r="F3292" s="83">
        <v>0.5625</v>
      </c>
      <c r="G3292" s="83">
        <v>0.5833333333333334</v>
      </c>
      <c r="H3292" s="83">
        <v>0.020833333333333332</v>
      </c>
      <c r="I3292" s="84">
        <v>44358.0</v>
      </c>
      <c r="J3292" s="65" t="b">
        <v>1</v>
      </c>
      <c r="K3292" s="65"/>
      <c r="L3292" s="85" t="b">
        <f>IF(VLOOKUP(C3292,Projetos!A:L,12,false)=TRUE,TRUE,FALSE)</f>
        <v>1</v>
      </c>
      <c r="M3292" s="74">
        <v>52.48434411075036</v>
      </c>
      <c r="N3292" s="74">
        <f t="shared" si="1"/>
        <v>26.24217206</v>
      </c>
      <c r="O3292" s="74" t="b">
        <v>1</v>
      </c>
    </row>
    <row r="3293" hidden="1">
      <c r="A3293" s="82"/>
      <c r="B3293" s="65" t="s">
        <v>411</v>
      </c>
      <c r="C3293" s="65" t="s">
        <v>92</v>
      </c>
      <c r="D3293" s="65" t="str">
        <f>vlookup(C3293,'Classificação p pessoal'!F:G,2,false)</f>
        <v/>
      </c>
      <c r="E3293" s="65" t="s">
        <v>2271</v>
      </c>
      <c r="F3293" s="83">
        <v>0.625</v>
      </c>
      <c r="G3293" s="83">
        <v>0.7083333333333334</v>
      </c>
      <c r="H3293" s="83">
        <v>0.08333333333333333</v>
      </c>
      <c r="I3293" s="84">
        <v>44358.0</v>
      </c>
      <c r="J3293" s="65" t="b">
        <v>1</v>
      </c>
      <c r="K3293" s="65"/>
      <c r="L3293" s="85" t="b">
        <f>IF(VLOOKUP(C3293,Projetos!A:L,12,false)=TRUE,TRUE,FALSE)</f>
        <v>1</v>
      </c>
      <c r="M3293" s="74">
        <v>52.48434411075036</v>
      </c>
      <c r="N3293" s="74">
        <f t="shared" si="1"/>
        <v>104.9686882</v>
      </c>
      <c r="O3293" s="74" t="b">
        <v>1</v>
      </c>
    </row>
    <row r="3294" hidden="1">
      <c r="A3294" s="82"/>
      <c r="B3294" s="65" t="s">
        <v>411</v>
      </c>
      <c r="C3294" s="65" t="s">
        <v>120</v>
      </c>
      <c r="D3294" s="65"/>
      <c r="E3294" s="65" t="s">
        <v>2272</v>
      </c>
      <c r="F3294" s="83">
        <v>0.7083333333333334</v>
      </c>
      <c r="G3294" s="83">
        <v>0.75</v>
      </c>
      <c r="H3294" s="83">
        <v>0.041666666666666664</v>
      </c>
      <c r="I3294" s="84">
        <v>44358.0</v>
      </c>
      <c r="J3294" s="65" t="b">
        <v>0</v>
      </c>
      <c r="K3294" s="65" t="s">
        <v>150</v>
      </c>
      <c r="L3294" s="85" t="b">
        <f>IF(VLOOKUP(C3294,Projetos!A:L,12,false)=TRUE,TRUE,FALSE)</f>
        <v>0</v>
      </c>
      <c r="M3294" s="74">
        <v>52.48434411075036</v>
      </c>
      <c r="N3294" s="74">
        <f t="shared" si="1"/>
        <v>0</v>
      </c>
      <c r="O3294" s="74" t="b">
        <v>0</v>
      </c>
    </row>
    <row r="3295" hidden="1">
      <c r="A3295" s="82"/>
      <c r="B3295" s="65" t="s">
        <v>411</v>
      </c>
      <c r="C3295" s="65" t="s">
        <v>117</v>
      </c>
      <c r="D3295" s="65" t="str">
        <f>vlookup(C3295,'Classificação p pessoal'!F:G,2,false)</f>
        <v>NP</v>
      </c>
      <c r="E3295" s="65" t="s">
        <v>2273</v>
      </c>
      <c r="F3295" s="83">
        <v>0.34375</v>
      </c>
      <c r="G3295" s="83">
        <v>0.375</v>
      </c>
      <c r="H3295" s="83">
        <v>0.03125</v>
      </c>
      <c r="I3295" s="84">
        <v>44362.0</v>
      </c>
      <c r="J3295" s="65" t="b">
        <v>1</v>
      </c>
      <c r="K3295" s="65"/>
      <c r="L3295" s="85" t="b">
        <f>IF(VLOOKUP(C3295,Projetos!A:L,12,false)=TRUE,TRUE,FALSE)</f>
        <v>1</v>
      </c>
      <c r="M3295" s="74">
        <v>52.48434411075036</v>
      </c>
      <c r="N3295" s="74">
        <f t="shared" si="1"/>
        <v>39.36325808</v>
      </c>
      <c r="O3295" s="74" t="b">
        <v>1</v>
      </c>
    </row>
    <row r="3296" hidden="1">
      <c r="A3296" s="82"/>
      <c r="B3296" s="65" t="s">
        <v>411</v>
      </c>
      <c r="C3296" s="65" t="s">
        <v>130</v>
      </c>
      <c r="D3296" s="65"/>
      <c r="E3296" s="65" t="s">
        <v>2274</v>
      </c>
      <c r="F3296" s="83">
        <v>0.375</v>
      </c>
      <c r="G3296" s="83">
        <v>0.4166666666666667</v>
      </c>
      <c r="H3296" s="83">
        <v>0.041666666666666664</v>
      </c>
      <c r="I3296" s="84">
        <v>44362.0</v>
      </c>
      <c r="J3296" s="65" t="b">
        <v>0</v>
      </c>
      <c r="K3296" s="65" t="s">
        <v>150</v>
      </c>
      <c r="L3296" s="85" t="b">
        <f>IF(VLOOKUP(C3296,Projetos!A:L,12,false)=TRUE,TRUE,FALSE)</f>
        <v>1</v>
      </c>
      <c r="M3296" s="74">
        <v>52.48434411075036</v>
      </c>
      <c r="N3296" s="74">
        <f t="shared" si="1"/>
        <v>0</v>
      </c>
      <c r="O3296" s="74" t="b">
        <v>1</v>
      </c>
    </row>
    <row r="3297" hidden="1">
      <c r="A3297" s="82"/>
      <c r="B3297" s="65" t="s">
        <v>411</v>
      </c>
      <c r="C3297" s="65" t="s">
        <v>120</v>
      </c>
      <c r="D3297" s="65"/>
      <c r="E3297" s="65" t="s">
        <v>2272</v>
      </c>
      <c r="F3297" s="83">
        <v>0.4166666666666667</v>
      </c>
      <c r="G3297" s="83">
        <v>0.5</v>
      </c>
      <c r="H3297" s="83">
        <v>0.08333333333333333</v>
      </c>
      <c r="I3297" s="84">
        <v>44362.0</v>
      </c>
      <c r="J3297" s="65" t="b">
        <v>0</v>
      </c>
      <c r="K3297" s="65" t="s">
        <v>150</v>
      </c>
      <c r="L3297" s="85" t="b">
        <f>IF(VLOOKUP(C3297,Projetos!A:L,12,false)=TRUE,TRUE,FALSE)</f>
        <v>0</v>
      </c>
      <c r="M3297" s="74">
        <v>52.48434411075036</v>
      </c>
      <c r="N3297" s="74">
        <f t="shared" si="1"/>
        <v>0</v>
      </c>
      <c r="O3297" s="74" t="b">
        <v>0</v>
      </c>
    </row>
    <row r="3298" hidden="1">
      <c r="A3298" s="82"/>
      <c r="B3298" s="65" t="s">
        <v>411</v>
      </c>
      <c r="C3298" s="65" t="s">
        <v>119</v>
      </c>
      <c r="D3298" s="65" t="str">
        <f>vlookup(C3298,'Classificação p pessoal'!F:G,2,false)</f>
        <v>NP</v>
      </c>
      <c r="E3298" s="65" t="s">
        <v>2275</v>
      </c>
      <c r="F3298" s="83">
        <v>0.5</v>
      </c>
      <c r="G3298" s="83">
        <v>0.5625</v>
      </c>
      <c r="H3298" s="83">
        <v>0.0625</v>
      </c>
      <c r="I3298" s="84">
        <v>44362.0</v>
      </c>
      <c r="J3298" s="65" t="b">
        <v>1</v>
      </c>
      <c r="K3298" s="65"/>
      <c r="L3298" s="85" t="b">
        <f>IF(VLOOKUP(C3298,Projetos!A:L,12,false)=TRUE,TRUE,FALSE)</f>
        <v>1</v>
      </c>
      <c r="M3298" s="74">
        <v>52.48434411075036</v>
      </c>
      <c r="N3298" s="74">
        <f t="shared" si="1"/>
        <v>78.72651617</v>
      </c>
      <c r="O3298" s="74" t="b">
        <v>1</v>
      </c>
    </row>
    <row r="3299" hidden="1">
      <c r="A3299" s="82"/>
      <c r="B3299" s="65" t="s">
        <v>411</v>
      </c>
      <c r="C3299" s="65" t="s">
        <v>92</v>
      </c>
      <c r="D3299" s="65" t="str">
        <f>vlookup(C3299,'Classificação p pessoal'!F:G,2,false)</f>
        <v/>
      </c>
      <c r="E3299" s="65" t="s">
        <v>2276</v>
      </c>
      <c r="F3299" s="83">
        <v>0.6041666666666666</v>
      </c>
      <c r="G3299" s="83">
        <v>0.6458333333333334</v>
      </c>
      <c r="H3299" s="83">
        <v>0.041666666666666664</v>
      </c>
      <c r="I3299" s="84">
        <v>44362.0</v>
      </c>
      <c r="J3299" s="65" t="b">
        <v>1</v>
      </c>
      <c r="K3299" s="65"/>
      <c r="L3299" s="85" t="b">
        <f>IF(VLOOKUP(C3299,Projetos!A:L,12,false)=TRUE,TRUE,FALSE)</f>
        <v>1</v>
      </c>
      <c r="M3299" s="74">
        <v>52.48434411075036</v>
      </c>
      <c r="N3299" s="74">
        <f t="shared" si="1"/>
        <v>52.48434411</v>
      </c>
      <c r="O3299" s="74" t="b">
        <v>1</v>
      </c>
    </row>
    <row r="3300" hidden="1">
      <c r="A3300" s="82"/>
      <c r="B3300" s="65" t="s">
        <v>411</v>
      </c>
      <c r="C3300" s="65" t="s">
        <v>119</v>
      </c>
      <c r="D3300" s="65"/>
      <c r="E3300" s="65" t="s">
        <v>2277</v>
      </c>
      <c r="F3300" s="83">
        <v>0.6458333333333334</v>
      </c>
      <c r="G3300" s="83">
        <v>0.7083333333333334</v>
      </c>
      <c r="H3300" s="83">
        <v>0.0625</v>
      </c>
      <c r="I3300" s="84">
        <v>44362.0</v>
      </c>
      <c r="J3300" s="65" t="b">
        <v>0</v>
      </c>
      <c r="K3300" s="65" t="s">
        <v>150</v>
      </c>
      <c r="L3300" s="85" t="b">
        <f>IF(VLOOKUP(C3300,Projetos!A:L,12,false)=TRUE,TRUE,FALSE)</f>
        <v>1</v>
      </c>
      <c r="M3300" s="74">
        <v>52.48434411075036</v>
      </c>
      <c r="N3300" s="74">
        <f t="shared" si="1"/>
        <v>0</v>
      </c>
      <c r="O3300" s="74" t="b">
        <v>1</v>
      </c>
    </row>
    <row r="3301" hidden="1">
      <c r="A3301" s="82"/>
      <c r="B3301" s="65" t="s">
        <v>411</v>
      </c>
      <c r="C3301" s="65" t="s">
        <v>92</v>
      </c>
      <c r="D3301" s="65" t="str">
        <f>vlookup(C3301,'Classificação p pessoal'!F:G,2,false)</f>
        <v/>
      </c>
      <c r="E3301" s="65" t="s">
        <v>2278</v>
      </c>
      <c r="F3301" s="83">
        <v>0.7083333333333334</v>
      </c>
      <c r="G3301" s="83">
        <v>0.75</v>
      </c>
      <c r="H3301" s="83">
        <v>0.041666666666666664</v>
      </c>
      <c r="I3301" s="84">
        <v>44362.0</v>
      </c>
      <c r="J3301" s="65" t="b">
        <v>1</v>
      </c>
      <c r="K3301" s="65"/>
      <c r="L3301" s="85" t="b">
        <f>IF(VLOOKUP(C3301,Projetos!A:L,12,false)=TRUE,TRUE,FALSE)</f>
        <v>1</v>
      </c>
      <c r="M3301" s="74">
        <v>52.48434411075036</v>
      </c>
      <c r="N3301" s="74">
        <f t="shared" si="1"/>
        <v>52.48434411</v>
      </c>
      <c r="O3301" s="74" t="b">
        <v>1</v>
      </c>
    </row>
    <row r="3302" hidden="1">
      <c r="A3302" s="82"/>
      <c r="B3302" s="65" t="s">
        <v>411</v>
      </c>
      <c r="C3302" s="65" t="s">
        <v>117</v>
      </c>
      <c r="D3302" s="65"/>
      <c r="E3302" s="65" t="s">
        <v>2279</v>
      </c>
      <c r="F3302" s="83">
        <v>0.3541666666666667</v>
      </c>
      <c r="G3302" s="83">
        <v>0.4166666666666667</v>
      </c>
      <c r="H3302" s="83">
        <v>0.0625</v>
      </c>
      <c r="I3302" s="84">
        <v>44363.0</v>
      </c>
      <c r="J3302" s="65" t="b">
        <v>0</v>
      </c>
      <c r="K3302" s="65" t="s">
        <v>150</v>
      </c>
      <c r="L3302" s="85" t="b">
        <f>IF(VLOOKUP(C3302,Projetos!A:L,12,false)=TRUE,TRUE,FALSE)</f>
        <v>1</v>
      </c>
      <c r="M3302" s="74">
        <v>52.48434411075036</v>
      </c>
      <c r="N3302" s="74">
        <f t="shared" si="1"/>
        <v>0</v>
      </c>
      <c r="O3302" s="74" t="b">
        <v>1</v>
      </c>
    </row>
    <row r="3303" hidden="1">
      <c r="A3303" s="82"/>
      <c r="B3303" s="65" t="s">
        <v>411</v>
      </c>
      <c r="C3303" s="65" t="s">
        <v>92</v>
      </c>
      <c r="D3303" s="65"/>
      <c r="E3303" s="65" t="s">
        <v>2280</v>
      </c>
      <c r="F3303" s="83">
        <v>0.4166666666666667</v>
      </c>
      <c r="G3303" s="83">
        <v>0.5</v>
      </c>
      <c r="H3303" s="83">
        <v>0.08333333333333333</v>
      </c>
      <c r="I3303" s="84">
        <v>44363.0</v>
      </c>
      <c r="J3303" s="65" t="b">
        <v>0</v>
      </c>
      <c r="K3303" s="65" t="s">
        <v>150</v>
      </c>
      <c r="L3303" s="85" t="b">
        <f>IF(VLOOKUP(C3303,Projetos!A:L,12,false)=TRUE,TRUE,FALSE)</f>
        <v>1</v>
      </c>
      <c r="M3303" s="74">
        <v>52.48434411075036</v>
      </c>
      <c r="N3303" s="74">
        <f t="shared" si="1"/>
        <v>0</v>
      </c>
      <c r="O3303" s="74" t="b">
        <v>1</v>
      </c>
    </row>
    <row r="3304" hidden="1">
      <c r="A3304" s="82"/>
      <c r="B3304" s="65" t="s">
        <v>411</v>
      </c>
      <c r="C3304" s="65" t="s">
        <v>92</v>
      </c>
      <c r="D3304" s="65" t="str">
        <f>vlookup(C3304,'Classificação p pessoal'!F:G,2,false)</f>
        <v/>
      </c>
      <c r="E3304" s="65" t="s">
        <v>2281</v>
      </c>
      <c r="F3304" s="83">
        <v>0.34375</v>
      </c>
      <c r="G3304" s="83">
        <v>0.3541666666666667</v>
      </c>
      <c r="H3304" s="83">
        <v>0.010416666666666666</v>
      </c>
      <c r="I3304" s="84">
        <v>44364.0</v>
      </c>
      <c r="J3304" s="65" t="b">
        <v>1</v>
      </c>
      <c r="K3304" s="65"/>
      <c r="L3304" s="85" t="b">
        <f>IF(VLOOKUP(C3304,Projetos!A:L,12,false)=TRUE,TRUE,FALSE)</f>
        <v>1</v>
      </c>
      <c r="M3304" s="74">
        <v>52.48434411075036</v>
      </c>
      <c r="N3304" s="74">
        <f t="shared" si="1"/>
        <v>13.12108603</v>
      </c>
      <c r="O3304" s="74" t="b">
        <v>1</v>
      </c>
    </row>
    <row r="3305" hidden="1">
      <c r="A3305" s="82"/>
      <c r="B3305" s="65" t="s">
        <v>177</v>
      </c>
      <c r="C3305" s="65" t="s">
        <v>101</v>
      </c>
      <c r="D3305" s="65" t="str">
        <f>vlookup(C3305,'Classificação p pessoal'!F:G,2,false)</f>
        <v>NP</v>
      </c>
      <c r="E3305" s="65" t="s">
        <v>2282</v>
      </c>
      <c r="F3305" s="83">
        <v>0.6458333333333334</v>
      </c>
      <c r="G3305" s="83">
        <v>0.7083333333333334</v>
      </c>
      <c r="H3305" s="83">
        <v>0.0625</v>
      </c>
      <c r="I3305" s="84">
        <v>44538.0</v>
      </c>
      <c r="J3305" s="65" t="b">
        <v>1</v>
      </c>
      <c r="K3305" s="65"/>
      <c r="L3305" s="85" t="b">
        <f>IF(VLOOKUP(C3305,Projetos!A:L,12,false)=TRUE,TRUE,FALSE)</f>
        <v>1</v>
      </c>
      <c r="M3305" s="74">
        <v>31.02923620430495</v>
      </c>
      <c r="N3305" s="74">
        <f t="shared" si="1"/>
        <v>46.54385431</v>
      </c>
      <c r="O3305" s="74" t="b">
        <v>1</v>
      </c>
    </row>
    <row r="3306" hidden="1">
      <c r="A3306" s="82"/>
      <c r="B3306" s="65" t="s">
        <v>411</v>
      </c>
      <c r="C3306" s="65" t="s">
        <v>92</v>
      </c>
      <c r="D3306" s="65" t="str">
        <f>vlookup(C3306,'Classificação p pessoal'!F:G,2,false)</f>
        <v/>
      </c>
      <c r="E3306" s="65" t="s">
        <v>2283</v>
      </c>
      <c r="F3306" s="83">
        <v>0.4375</v>
      </c>
      <c r="G3306" s="83">
        <v>0.4791666666666667</v>
      </c>
      <c r="H3306" s="83">
        <v>0.041666666666666664</v>
      </c>
      <c r="I3306" s="84">
        <v>44364.0</v>
      </c>
      <c r="J3306" s="65" t="b">
        <v>1</v>
      </c>
      <c r="K3306" s="65"/>
      <c r="L3306" s="85" t="b">
        <f>IF(VLOOKUP(C3306,Projetos!A:L,12,false)=TRUE,TRUE,FALSE)</f>
        <v>1</v>
      </c>
      <c r="M3306" s="74">
        <v>52.48434411075036</v>
      </c>
      <c r="N3306" s="74">
        <f t="shared" si="1"/>
        <v>52.48434411</v>
      </c>
      <c r="O3306" s="74" t="b">
        <v>1</v>
      </c>
    </row>
    <row r="3307" hidden="1">
      <c r="A3307" s="82"/>
      <c r="B3307" s="65" t="s">
        <v>411</v>
      </c>
      <c r="C3307" s="65" t="s">
        <v>119</v>
      </c>
      <c r="D3307" s="65" t="str">
        <f>vlookup(C3307,'Classificação p pessoal'!F:G,2,false)</f>
        <v>NP</v>
      </c>
      <c r="E3307" s="65" t="s">
        <v>2284</v>
      </c>
      <c r="F3307" s="83">
        <v>0.4791666666666667</v>
      </c>
      <c r="G3307" s="83">
        <v>0.5208333333333334</v>
      </c>
      <c r="H3307" s="83">
        <v>0.041666666666666664</v>
      </c>
      <c r="I3307" s="84">
        <v>44364.0</v>
      </c>
      <c r="J3307" s="65" t="b">
        <v>1</v>
      </c>
      <c r="K3307" s="65"/>
      <c r="L3307" s="85" t="b">
        <f>IF(VLOOKUP(C3307,Projetos!A:L,12,false)=TRUE,TRUE,FALSE)</f>
        <v>1</v>
      </c>
      <c r="M3307" s="74">
        <v>52.48434411075036</v>
      </c>
      <c r="N3307" s="74">
        <f t="shared" si="1"/>
        <v>52.48434411</v>
      </c>
      <c r="O3307" s="74" t="b">
        <v>1</v>
      </c>
    </row>
    <row r="3308" hidden="1">
      <c r="A3308" s="82"/>
      <c r="B3308" s="65" t="s">
        <v>411</v>
      </c>
      <c r="C3308" s="65" t="s">
        <v>132</v>
      </c>
      <c r="D3308" s="65"/>
      <c r="E3308" s="65" t="s">
        <v>2285</v>
      </c>
      <c r="F3308" s="83">
        <v>0.5208333333333334</v>
      </c>
      <c r="G3308" s="83">
        <v>0.5833333333333334</v>
      </c>
      <c r="H3308" s="83">
        <v>0.0625</v>
      </c>
      <c r="I3308" s="84">
        <v>44364.0</v>
      </c>
      <c r="J3308" s="65" t="b">
        <v>1</v>
      </c>
      <c r="K3308" s="65"/>
      <c r="L3308" s="85" t="b">
        <f>IF(VLOOKUP(C3308,Projetos!A:L,12,false)=TRUE,TRUE,FALSE)</f>
        <v>0</v>
      </c>
      <c r="M3308" s="74">
        <v>52.48434411075036</v>
      </c>
      <c r="N3308" s="74">
        <f t="shared" si="1"/>
        <v>0</v>
      </c>
      <c r="O3308" s="74" t="b">
        <v>0</v>
      </c>
    </row>
    <row r="3309" hidden="1">
      <c r="A3309" s="82"/>
      <c r="B3309" s="65" t="s">
        <v>411</v>
      </c>
      <c r="C3309" s="65" t="s">
        <v>152</v>
      </c>
      <c r="D3309" s="65" t="str">
        <f>vlookup(C3309,'Classificação p pessoal'!F:G,2,false)</f>
        <v>MProduto</v>
      </c>
      <c r="E3309" s="65" t="s">
        <v>2286</v>
      </c>
      <c r="F3309" s="83">
        <v>0.6458333333333334</v>
      </c>
      <c r="G3309" s="83">
        <v>0.6875</v>
      </c>
      <c r="H3309" s="83">
        <v>0.041666666666666664</v>
      </c>
      <c r="I3309" s="84">
        <v>44364.0</v>
      </c>
      <c r="J3309" s="65" t="b">
        <v>1</v>
      </c>
      <c r="K3309" s="65"/>
      <c r="L3309" s="85" t="b">
        <f>IF(VLOOKUP(C3309,Projetos!A:L,12,false)=TRUE,TRUE,FALSE)</f>
        <v>1</v>
      </c>
      <c r="M3309" s="74">
        <v>52.48434411075036</v>
      </c>
      <c r="N3309" s="74">
        <f t="shared" si="1"/>
        <v>52.48434411</v>
      </c>
      <c r="O3309" s="74" t="b">
        <v>1</v>
      </c>
    </row>
    <row r="3310" hidden="1">
      <c r="A3310" s="82"/>
      <c r="B3310" s="65" t="s">
        <v>411</v>
      </c>
      <c r="C3310" s="65" t="s">
        <v>117</v>
      </c>
      <c r="D3310" s="65" t="str">
        <f>vlookup(C3310,'Classificação p pessoal'!F:G,2,false)</f>
        <v>NP</v>
      </c>
      <c r="E3310" s="65" t="s">
        <v>2287</v>
      </c>
      <c r="F3310" s="83">
        <v>0.6875</v>
      </c>
      <c r="G3310" s="83">
        <v>0.7083333333333334</v>
      </c>
      <c r="H3310" s="83">
        <v>0.020833333333333332</v>
      </c>
      <c r="I3310" s="84">
        <v>44364.0</v>
      </c>
      <c r="J3310" s="65" t="b">
        <v>1</v>
      </c>
      <c r="K3310" s="65"/>
      <c r="L3310" s="85" t="b">
        <f>IF(VLOOKUP(C3310,Projetos!A:L,12,false)=TRUE,TRUE,FALSE)</f>
        <v>1</v>
      </c>
      <c r="M3310" s="74">
        <v>52.48434411075036</v>
      </c>
      <c r="N3310" s="74">
        <f t="shared" si="1"/>
        <v>26.24217206</v>
      </c>
      <c r="O3310" s="74" t="b">
        <v>1</v>
      </c>
    </row>
    <row r="3311" hidden="1">
      <c r="A3311" s="82"/>
      <c r="B3311" s="65" t="s">
        <v>411</v>
      </c>
      <c r="C3311" s="65" t="s">
        <v>117</v>
      </c>
      <c r="D3311" s="65" t="str">
        <f>vlookup(C3311,'Classificação p pessoal'!F:G,2,false)</f>
        <v>NP</v>
      </c>
      <c r="E3311" s="65" t="s">
        <v>2288</v>
      </c>
      <c r="F3311" s="83">
        <v>0.7083333333333334</v>
      </c>
      <c r="G3311" s="83">
        <v>0.75</v>
      </c>
      <c r="H3311" s="83">
        <v>0.041666666666666664</v>
      </c>
      <c r="I3311" s="84">
        <v>44364.0</v>
      </c>
      <c r="J3311" s="65" t="b">
        <v>1</v>
      </c>
      <c r="K3311" s="65"/>
      <c r="L3311" s="85" t="b">
        <f>IF(VLOOKUP(C3311,Projetos!A:L,12,false)=TRUE,TRUE,FALSE)</f>
        <v>1</v>
      </c>
      <c r="M3311" s="74">
        <v>52.48434411075036</v>
      </c>
      <c r="N3311" s="74">
        <f t="shared" si="1"/>
        <v>52.48434411</v>
      </c>
      <c r="O3311" s="74" t="b">
        <v>1</v>
      </c>
    </row>
    <row r="3312" hidden="1">
      <c r="A3312" s="82"/>
      <c r="B3312" s="65" t="s">
        <v>411</v>
      </c>
      <c r="C3312" s="65" t="s">
        <v>117</v>
      </c>
      <c r="D3312" s="65" t="str">
        <f>vlookup(C3312,'Classificação p pessoal'!F:G,2,false)</f>
        <v>NP</v>
      </c>
      <c r="E3312" s="65" t="s">
        <v>2289</v>
      </c>
      <c r="F3312" s="83">
        <v>0.34375</v>
      </c>
      <c r="G3312" s="83">
        <v>0.3541666666666667</v>
      </c>
      <c r="H3312" s="83">
        <v>0.010416666666666666</v>
      </c>
      <c r="I3312" s="84">
        <v>44365.0</v>
      </c>
      <c r="J3312" s="65" t="b">
        <v>1</v>
      </c>
      <c r="K3312" s="65"/>
      <c r="L3312" s="85" t="b">
        <f>IF(VLOOKUP(C3312,Projetos!A:L,12,false)=TRUE,TRUE,FALSE)</f>
        <v>1</v>
      </c>
      <c r="M3312" s="74">
        <v>52.48434411075036</v>
      </c>
      <c r="N3312" s="74">
        <f t="shared" si="1"/>
        <v>13.12108603</v>
      </c>
      <c r="O3312" s="74" t="b">
        <v>1</v>
      </c>
    </row>
    <row r="3313" hidden="1">
      <c r="A3313" s="82"/>
      <c r="B3313" s="65" t="s">
        <v>411</v>
      </c>
      <c r="C3313" s="65" t="s">
        <v>92</v>
      </c>
      <c r="D3313" s="65" t="str">
        <f>vlookup(C3313,'Classificação p pessoal'!F:G,2,false)</f>
        <v/>
      </c>
      <c r="E3313" s="65" t="s">
        <v>2290</v>
      </c>
      <c r="F3313" s="83">
        <v>0.3541666666666667</v>
      </c>
      <c r="G3313" s="83">
        <v>0.4166666666666667</v>
      </c>
      <c r="H3313" s="83">
        <v>0.0625</v>
      </c>
      <c r="I3313" s="84">
        <v>44365.0</v>
      </c>
      <c r="J3313" s="65" t="b">
        <v>1</v>
      </c>
      <c r="K3313" s="65"/>
      <c r="L3313" s="85" t="b">
        <f>IF(VLOOKUP(C3313,Projetos!A:L,12,false)=TRUE,TRUE,FALSE)</f>
        <v>1</v>
      </c>
      <c r="M3313" s="74">
        <v>52.48434411075036</v>
      </c>
      <c r="N3313" s="74">
        <f t="shared" si="1"/>
        <v>78.72651617</v>
      </c>
      <c r="O3313" s="74" t="b">
        <v>1</v>
      </c>
    </row>
    <row r="3314" hidden="1">
      <c r="A3314" s="82"/>
      <c r="B3314" s="65" t="s">
        <v>411</v>
      </c>
      <c r="C3314" s="65" t="s">
        <v>101</v>
      </c>
      <c r="D3314" s="65"/>
      <c r="E3314" s="65" t="s">
        <v>2291</v>
      </c>
      <c r="F3314" s="83">
        <v>0.4166666666666667</v>
      </c>
      <c r="G3314" s="83">
        <v>0.5</v>
      </c>
      <c r="H3314" s="83">
        <v>0.08333333333333333</v>
      </c>
      <c r="I3314" s="84">
        <v>44365.0</v>
      </c>
      <c r="J3314" s="65" t="b">
        <v>0</v>
      </c>
      <c r="K3314" s="65" t="s">
        <v>150</v>
      </c>
      <c r="L3314" s="85" t="b">
        <f>IF(VLOOKUP(C3314,Projetos!A:L,12,false)=TRUE,TRUE,FALSE)</f>
        <v>1</v>
      </c>
      <c r="M3314" s="74">
        <v>52.48434411075036</v>
      </c>
      <c r="N3314" s="74">
        <f t="shared" si="1"/>
        <v>0</v>
      </c>
      <c r="O3314" s="74" t="b">
        <v>1</v>
      </c>
    </row>
    <row r="3315" hidden="1">
      <c r="A3315" s="82"/>
      <c r="B3315" s="65" t="s">
        <v>411</v>
      </c>
      <c r="C3315" s="65" t="s">
        <v>119</v>
      </c>
      <c r="D3315" s="65" t="str">
        <f>vlookup(C3315,'Classificação p pessoal'!F:G,2,false)</f>
        <v>NP</v>
      </c>
      <c r="E3315" s="65" t="s">
        <v>2292</v>
      </c>
      <c r="F3315" s="83">
        <v>0.5</v>
      </c>
      <c r="G3315" s="83">
        <v>0.5208333333333334</v>
      </c>
      <c r="H3315" s="83">
        <v>0.020833333333333332</v>
      </c>
      <c r="I3315" s="84">
        <v>44365.0</v>
      </c>
      <c r="J3315" s="65" t="b">
        <v>1</v>
      </c>
      <c r="K3315" s="65"/>
      <c r="L3315" s="85" t="b">
        <f>IF(VLOOKUP(C3315,Projetos!A:L,12,false)=TRUE,TRUE,FALSE)</f>
        <v>1</v>
      </c>
      <c r="M3315" s="74">
        <v>52.48434411075036</v>
      </c>
      <c r="N3315" s="74">
        <f t="shared" si="1"/>
        <v>26.24217206</v>
      </c>
      <c r="O3315" s="74" t="b">
        <v>1</v>
      </c>
    </row>
    <row r="3316" hidden="1">
      <c r="A3316" s="82"/>
      <c r="B3316" s="65" t="s">
        <v>411</v>
      </c>
      <c r="C3316" s="65" t="s">
        <v>92</v>
      </c>
      <c r="D3316" s="65" t="str">
        <f>vlookup(C3316,'Classificação p pessoal'!F:G,2,false)</f>
        <v/>
      </c>
      <c r="E3316" s="65" t="s">
        <v>2293</v>
      </c>
      <c r="F3316" s="83">
        <v>0.5625</v>
      </c>
      <c r="G3316" s="83">
        <v>0.625</v>
      </c>
      <c r="H3316" s="83">
        <v>0.0625</v>
      </c>
      <c r="I3316" s="84">
        <v>44365.0</v>
      </c>
      <c r="J3316" s="65" t="b">
        <v>1</v>
      </c>
      <c r="K3316" s="65"/>
      <c r="L3316" s="85" t="b">
        <f>IF(VLOOKUP(C3316,Projetos!A:L,12,false)=TRUE,TRUE,FALSE)</f>
        <v>1</v>
      </c>
      <c r="M3316" s="74">
        <v>52.48434411075036</v>
      </c>
      <c r="N3316" s="74">
        <f t="shared" si="1"/>
        <v>78.72651617</v>
      </c>
      <c r="O3316" s="74" t="b">
        <v>1</v>
      </c>
    </row>
    <row r="3317" hidden="1">
      <c r="A3317" s="82"/>
      <c r="B3317" s="65" t="s">
        <v>411</v>
      </c>
      <c r="C3317" s="65" t="s">
        <v>132</v>
      </c>
      <c r="D3317" s="65"/>
      <c r="E3317" s="65" t="s">
        <v>2294</v>
      </c>
      <c r="F3317" s="83">
        <v>0.625</v>
      </c>
      <c r="G3317" s="83">
        <v>0.75</v>
      </c>
      <c r="H3317" s="83">
        <v>0.125</v>
      </c>
      <c r="I3317" s="84">
        <v>44365.0</v>
      </c>
      <c r="J3317" s="65" t="b">
        <v>1</v>
      </c>
      <c r="K3317" s="65"/>
      <c r="L3317" s="85" t="b">
        <f>IF(VLOOKUP(C3317,Projetos!A:L,12,false)=TRUE,TRUE,FALSE)</f>
        <v>0</v>
      </c>
      <c r="M3317" s="74">
        <v>52.48434411075036</v>
      </c>
      <c r="N3317" s="74">
        <f t="shared" si="1"/>
        <v>0</v>
      </c>
      <c r="O3317" s="74" t="b">
        <v>0</v>
      </c>
    </row>
    <row r="3318" hidden="1">
      <c r="A3318" s="82"/>
      <c r="B3318" s="65" t="s">
        <v>411</v>
      </c>
      <c r="C3318" s="65" t="s">
        <v>117</v>
      </c>
      <c r="D3318" s="65" t="str">
        <f>vlookup(C3318,'Classificação p pessoal'!F:G,2,false)</f>
        <v>NP</v>
      </c>
      <c r="E3318" s="65" t="s">
        <v>2295</v>
      </c>
      <c r="F3318" s="83">
        <v>0.34375</v>
      </c>
      <c r="G3318" s="83">
        <v>0.375</v>
      </c>
      <c r="H3318" s="83">
        <v>0.03125</v>
      </c>
      <c r="I3318" s="84">
        <v>44368.0</v>
      </c>
      <c r="J3318" s="65" t="b">
        <v>1</v>
      </c>
      <c r="K3318" s="65"/>
      <c r="L3318" s="85" t="b">
        <f>IF(VLOOKUP(C3318,Projetos!A:L,12,false)=TRUE,TRUE,FALSE)</f>
        <v>1</v>
      </c>
      <c r="M3318" s="74">
        <v>52.48434411075036</v>
      </c>
      <c r="N3318" s="74">
        <f t="shared" si="1"/>
        <v>39.36325808</v>
      </c>
      <c r="O3318" s="74" t="b">
        <v>1</v>
      </c>
    </row>
    <row r="3319" hidden="1">
      <c r="A3319" s="82"/>
      <c r="B3319" s="65" t="s">
        <v>411</v>
      </c>
      <c r="C3319" s="65" t="s">
        <v>132</v>
      </c>
      <c r="D3319" s="65"/>
      <c r="E3319" s="65" t="s">
        <v>2296</v>
      </c>
      <c r="F3319" s="83">
        <v>0.375</v>
      </c>
      <c r="G3319" s="83">
        <v>0.4166666666666667</v>
      </c>
      <c r="H3319" s="83">
        <v>0.041666666666666664</v>
      </c>
      <c r="I3319" s="84">
        <v>44368.0</v>
      </c>
      <c r="J3319" s="65" t="b">
        <v>1</v>
      </c>
      <c r="K3319" s="65"/>
      <c r="L3319" s="85" t="b">
        <f>IF(VLOOKUP(C3319,Projetos!A:L,12,false)=TRUE,TRUE,FALSE)</f>
        <v>0</v>
      </c>
      <c r="M3319" s="74">
        <v>52.48434411075036</v>
      </c>
      <c r="N3319" s="74">
        <f t="shared" si="1"/>
        <v>0</v>
      </c>
      <c r="O3319" s="74" t="b">
        <v>0</v>
      </c>
    </row>
    <row r="3320" hidden="1">
      <c r="A3320" s="82"/>
      <c r="B3320" s="65" t="s">
        <v>411</v>
      </c>
      <c r="C3320" s="65" t="s">
        <v>92</v>
      </c>
      <c r="D3320" s="65" t="str">
        <f>vlookup(C3320,'Classificação p pessoal'!F:G,2,false)</f>
        <v/>
      </c>
      <c r="E3320" s="65" t="s">
        <v>2297</v>
      </c>
      <c r="F3320" s="83">
        <v>0.4166666666666667</v>
      </c>
      <c r="G3320" s="83">
        <v>0.4583333333333333</v>
      </c>
      <c r="H3320" s="83">
        <v>0.041666666666666664</v>
      </c>
      <c r="I3320" s="84">
        <v>44368.0</v>
      </c>
      <c r="J3320" s="65" t="b">
        <v>1</v>
      </c>
      <c r="K3320" s="65"/>
      <c r="L3320" s="85" t="b">
        <f>IF(VLOOKUP(C3320,Projetos!A:L,12,false)=TRUE,TRUE,FALSE)</f>
        <v>1</v>
      </c>
      <c r="M3320" s="74">
        <v>52.48434411075036</v>
      </c>
      <c r="N3320" s="74">
        <f t="shared" si="1"/>
        <v>52.48434411</v>
      </c>
      <c r="O3320" s="74" t="b">
        <v>1</v>
      </c>
    </row>
    <row r="3321" hidden="1">
      <c r="A3321" s="82"/>
      <c r="B3321" s="65" t="s">
        <v>411</v>
      </c>
      <c r="C3321" s="65" t="s">
        <v>117</v>
      </c>
      <c r="D3321" s="65" t="str">
        <f>vlookup(C3321,'Classificação p pessoal'!F:G,2,false)</f>
        <v>NP</v>
      </c>
      <c r="E3321" s="65" t="s">
        <v>2298</v>
      </c>
      <c r="F3321" s="83">
        <v>0.4583333333333333</v>
      </c>
      <c r="G3321" s="83">
        <v>0.5</v>
      </c>
      <c r="H3321" s="83">
        <v>0.041666666666666664</v>
      </c>
      <c r="I3321" s="84">
        <v>44368.0</v>
      </c>
      <c r="J3321" s="65" t="b">
        <v>1</v>
      </c>
      <c r="K3321" s="65"/>
      <c r="L3321" s="85" t="b">
        <f>IF(VLOOKUP(C3321,Projetos!A:L,12,false)=TRUE,TRUE,FALSE)</f>
        <v>1</v>
      </c>
      <c r="M3321" s="74">
        <v>52.48434411075036</v>
      </c>
      <c r="N3321" s="74">
        <f t="shared" si="1"/>
        <v>52.48434411</v>
      </c>
      <c r="O3321" s="74" t="b">
        <v>1</v>
      </c>
    </row>
    <row r="3322" hidden="1">
      <c r="A3322" s="82"/>
      <c r="B3322" s="65" t="s">
        <v>411</v>
      </c>
      <c r="C3322" s="65" t="s">
        <v>120</v>
      </c>
      <c r="D3322" s="65"/>
      <c r="E3322" s="65" t="s">
        <v>2299</v>
      </c>
      <c r="F3322" s="83">
        <v>0.5</v>
      </c>
      <c r="G3322" s="83">
        <v>0.5625</v>
      </c>
      <c r="H3322" s="83">
        <v>0.0625</v>
      </c>
      <c r="I3322" s="84">
        <v>44368.0</v>
      </c>
      <c r="J3322" s="65" t="b">
        <v>0</v>
      </c>
      <c r="K3322" s="65" t="s">
        <v>150</v>
      </c>
      <c r="L3322" s="85" t="b">
        <f>IF(VLOOKUP(C3322,Projetos!A:L,12,false)=TRUE,TRUE,FALSE)</f>
        <v>0</v>
      </c>
      <c r="M3322" s="74">
        <v>52.48434411075036</v>
      </c>
      <c r="N3322" s="74">
        <f t="shared" si="1"/>
        <v>0</v>
      </c>
      <c r="O3322" s="74" t="b">
        <v>0</v>
      </c>
    </row>
    <row r="3323" hidden="1">
      <c r="A3323" s="82"/>
      <c r="B3323" s="65" t="s">
        <v>411</v>
      </c>
      <c r="C3323" s="65" t="s">
        <v>117</v>
      </c>
      <c r="D3323" s="65" t="str">
        <f>vlookup(C3323,'Classificação p pessoal'!F:G,2,false)</f>
        <v>NP</v>
      </c>
      <c r="E3323" s="65" t="s">
        <v>2300</v>
      </c>
      <c r="F3323" s="83">
        <v>0.5625</v>
      </c>
      <c r="G3323" s="83">
        <v>0.5833333333333334</v>
      </c>
      <c r="H3323" s="83">
        <v>0.020833333333333332</v>
      </c>
      <c r="I3323" s="84">
        <v>44368.0</v>
      </c>
      <c r="J3323" s="65" t="b">
        <v>1</v>
      </c>
      <c r="K3323" s="65"/>
      <c r="L3323" s="85" t="b">
        <f>IF(VLOOKUP(C3323,Projetos!A:L,12,false)=TRUE,TRUE,FALSE)</f>
        <v>1</v>
      </c>
      <c r="M3323" s="74">
        <v>52.48434411075036</v>
      </c>
      <c r="N3323" s="74">
        <f t="shared" si="1"/>
        <v>26.24217206</v>
      </c>
      <c r="O3323" s="74" t="b">
        <v>1</v>
      </c>
    </row>
    <row r="3324" hidden="1">
      <c r="A3324" s="82"/>
      <c r="B3324" s="65" t="s">
        <v>411</v>
      </c>
      <c r="C3324" s="65" t="s">
        <v>119</v>
      </c>
      <c r="D3324" s="65"/>
      <c r="E3324" s="65" t="s">
        <v>2301</v>
      </c>
      <c r="F3324" s="83">
        <v>0.625</v>
      </c>
      <c r="G3324" s="83">
        <v>0.6666666666666666</v>
      </c>
      <c r="H3324" s="83">
        <v>0.041666666666666664</v>
      </c>
      <c r="I3324" s="84">
        <v>44368.0</v>
      </c>
      <c r="J3324" s="65" t="b">
        <v>0</v>
      </c>
      <c r="K3324" s="65" t="s">
        <v>150</v>
      </c>
      <c r="L3324" s="85" t="b">
        <f>IF(VLOOKUP(C3324,Projetos!A:L,12,false)=TRUE,TRUE,FALSE)</f>
        <v>1</v>
      </c>
      <c r="M3324" s="74">
        <v>52.48434411075036</v>
      </c>
      <c r="N3324" s="74">
        <f t="shared" si="1"/>
        <v>0</v>
      </c>
      <c r="O3324" s="74" t="b">
        <v>1</v>
      </c>
    </row>
    <row r="3325" hidden="1">
      <c r="A3325" s="82"/>
      <c r="B3325" s="65" t="s">
        <v>411</v>
      </c>
      <c r="C3325" s="65" t="s">
        <v>117</v>
      </c>
      <c r="D3325" s="65" t="str">
        <f>vlookup(C3325,'Classificação p pessoal'!F:G,2,false)</f>
        <v>NP</v>
      </c>
      <c r="E3325" s="65" t="s">
        <v>2302</v>
      </c>
      <c r="F3325" s="83">
        <v>0.6666666666666666</v>
      </c>
      <c r="G3325" s="83">
        <v>0.75</v>
      </c>
      <c r="H3325" s="83">
        <v>0.08333333333333333</v>
      </c>
      <c r="I3325" s="84">
        <v>44368.0</v>
      </c>
      <c r="J3325" s="65" t="b">
        <v>1</v>
      </c>
      <c r="K3325" s="65"/>
      <c r="L3325" s="85" t="b">
        <f>IF(VLOOKUP(C3325,Projetos!A:L,12,false)=TRUE,TRUE,FALSE)</f>
        <v>1</v>
      </c>
      <c r="M3325" s="74">
        <v>52.48434411075036</v>
      </c>
      <c r="N3325" s="74">
        <f t="shared" si="1"/>
        <v>104.9686882</v>
      </c>
      <c r="O3325" s="74" t="b">
        <v>1</v>
      </c>
    </row>
    <row r="3326" hidden="1">
      <c r="A3326" s="82"/>
      <c r="B3326" s="65" t="s">
        <v>411</v>
      </c>
      <c r="C3326" s="65" t="s">
        <v>92</v>
      </c>
      <c r="D3326" s="65" t="str">
        <f>vlookup(C3326,'Classificação p pessoal'!F:G,2,false)</f>
        <v/>
      </c>
      <c r="E3326" s="65" t="s">
        <v>2303</v>
      </c>
      <c r="F3326" s="83">
        <v>0.34375</v>
      </c>
      <c r="G3326" s="83">
        <v>0.375</v>
      </c>
      <c r="H3326" s="83">
        <v>0.03125</v>
      </c>
      <c r="I3326" s="84">
        <v>44369.0</v>
      </c>
      <c r="J3326" s="65" t="b">
        <v>1</v>
      </c>
      <c r="K3326" s="65"/>
      <c r="L3326" s="85" t="b">
        <f>IF(VLOOKUP(C3326,Projetos!A:L,12,false)=TRUE,TRUE,FALSE)</f>
        <v>1</v>
      </c>
      <c r="M3326" s="74">
        <v>52.48434411075036</v>
      </c>
      <c r="N3326" s="74">
        <f t="shared" si="1"/>
        <v>39.36325808</v>
      </c>
      <c r="O3326" s="74" t="b">
        <v>1</v>
      </c>
    </row>
    <row r="3327" hidden="1">
      <c r="A3327" s="82"/>
      <c r="B3327" s="65" t="s">
        <v>411</v>
      </c>
      <c r="C3327" s="65" t="s">
        <v>132</v>
      </c>
      <c r="D3327" s="65"/>
      <c r="E3327" s="65" t="s">
        <v>2304</v>
      </c>
      <c r="F3327" s="83">
        <v>0.4166666666666667</v>
      </c>
      <c r="G3327" s="83">
        <v>0.4479166666666667</v>
      </c>
      <c r="H3327" s="83">
        <v>0.03125</v>
      </c>
      <c r="I3327" s="84">
        <v>44369.0</v>
      </c>
      <c r="J3327" s="65" t="b">
        <v>0</v>
      </c>
      <c r="K3327" s="65" t="s">
        <v>150</v>
      </c>
      <c r="L3327" s="85" t="b">
        <f>IF(VLOOKUP(C3327,Projetos!A:L,12,false)=TRUE,TRUE,FALSE)</f>
        <v>0</v>
      </c>
      <c r="M3327" s="74">
        <v>52.48434411075036</v>
      </c>
      <c r="N3327" s="74">
        <f t="shared" si="1"/>
        <v>0</v>
      </c>
      <c r="O3327" s="74" t="b">
        <v>0</v>
      </c>
    </row>
    <row r="3328" hidden="1">
      <c r="A3328" s="82"/>
      <c r="B3328" s="65" t="s">
        <v>411</v>
      </c>
      <c r="C3328" s="65" t="s">
        <v>92</v>
      </c>
      <c r="D3328" s="65" t="str">
        <f>vlookup(C3328,'Classificação p pessoal'!F:G,2,false)</f>
        <v/>
      </c>
      <c r="E3328" s="65" t="s">
        <v>2305</v>
      </c>
      <c r="F3328" s="83">
        <v>0.4479166666666667</v>
      </c>
      <c r="G3328" s="83">
        <v>0.5729166666666666</v>
      </c>
      <c r="H3328" s="83">
        <v>0.125</v>
      </c>
      <c r="I3328" s="84">
        <v>44369.0</v>
      </c>
      <c r="J3328" s="65" t="b">
        <v>1</v>
      </c>
      <c r="K3328" s="65"/>
      <c r="L3328" s="85" t="b">
        <f>IF(VLOOKUP(C3328,Projetos!A:L,12,false)=TRUE,TRUE,FALSE)</f>
        <v>1</v>
      </c>
      <c r="M3328" s="74">
        <v>52.48434411075036</v>
      </c>
      <c r="N3328" s="74">
        <f t="shared" si="1"/>
        <v>157.4530323</v>
      </c>
      <c r="O3328" s="74" t="b">
        <v>1</v>
      </c>
    </row>
    <row r="3329" hidden="1">
      <c r="A3329" s="82"/>
      <c r="B3329" s="65" t="s">
        <v>177</v>
      </c>
      <c r="C3329" s="65" t="s">
        <v>101</v>
      </c>
      <c r="D3329" s="65" t="str">
        <f>vlookup(C3329,'Classificação p pessoal'!F:G,2,false)</f>
        <v>NP</v>
      </c>
      <c r="E3329" s="65" t="s">
        <v>2306</v>
      </c>
      <c r="F3329" s="83">
        <v>0.5833333333333334</v>
      </c>
      <c r="G3329" s="83">
        <v>0.7083333333333334</v>
      </c>
      <c r="H3329" s="83">
        <v>0.125</v>
      </c>
      <c r="I3329" s="84">
        <v>44530.0</v>
      </c>
      <c r="J3329" s="65" t="b">
        <v>1</v>
      </c>
      <c r="K3329" s="65"/>
      <c r="L3329" s="85" t="b">
        <f>IF(VLOOKUP(C3329,Projetos!A:L,12,false)=TRUE,TRUE,FALSE)</f>
        <v>1</v>
      </c>
      <c r="M3329" s="74">
        <v>31.02923620430495</v>
      </c>
      <c r="N3329" s="74">
        <f t="shared" si="1"/>
        <v>93.08770861</v>
      </c>
      <c r="O3329" s="74" t="b">
        <v>1</v>
      </c>
    </row>
    <row r="3330" hidden="1">
      <c r="A3330" s="82"/>
      <c r="B3330" s="65" t="s">
        <v>411</v>
      </c>
      <c r="C3330" s="65" t="s">
        <v>132</v>
      </c>
      <c r="D3330" s="65"/>
      <c r="E3330" s="65" t="s">
        <v>2307</v>
      </c>
      <c r="F3330" s="83">
        <v>0.34375</v>
      </c>
      <c r="G3330" s="83">
        <v>0.375</v>
      </c>
      <c r="H3330" s="83">
        <v>0.03125</v>
      </c>
      <c r="I3330" s="84">
        <v>44370.0</v>
      </c>
      <c r="J3330" s="65" t="b">
        <v>0</v>
      </c>
      <c r="K3330" s="65" t="s">
        <v>150</v>
      </c>
      <c r="L3330" s="85" t="b">
        <f>IF(VLOOKUP(C3330,Projetos!A:L,12,false)=TRUE,TRUE,FALSE)</f>
        <v>0</v>
      </c>
      <c r="M3330" s="74">
        <v>52.48434411075036</v>
      </c>
      <c r="N3330" s="74">
        <f t="shared" si="1"/>
        <v>0</v>
      </c>
      <c r="O3330" s="74" t="b">
        <v>0</v>
      </c>
    </row>
    <row r="3331" hidden="1">
      <c r="A3331" s="82"/>
      <c r="B3331" s="65" t="s">
        <v>411</v>
      </c>
      <c r="C3331" s="65" t="s">
        <v>117</v>
      </c>
      <c r="D3331" s="65" t="str">
        <f>vlookup(C3331,'Classificação p pessoal'!F:G,2,false)</f>
        <v>NP</v>
      </c>
      <c r="E3331" s="65" t="s">
        <v>2308</v>
      </c>
      <c r="F3331" s="83">
        <v>0.375</v>
      </c>
      <c r="G3331" s="83">
        <v>0.4166666666666667</v>
      </c>
      <c r="H3331" s="83">
        <v>0.041666666666666664</v>
      </c>
      <c r="I3331" s="84">
        <v>44370.0</v>
      </c>
      <c r="J3331" s="65" t="b">
        <v>1</v>
      </c>
      <c r="K3331" s="65"/>
      <c r="L3331" s="85" t="b">
        <f>IF(VLOOKUP(C3331,Projetos!A:L,12,false)=TRUE,TRUE,FALSE)</f>
        <v>1</v>
      </c>
      <c r="M3331" s="74">
        <v>52.48434411075036</v>
      </c>
      <c r="N3331" s="74">
        <f t="shared" si="1"/>
        <v>52.48434411</v>
      </c>
      <c r="O3331" s="74" t="b">
        <v>1</v>
      </c>
    </row>
    <row r="3332" hidden="1">
      <c r="A3332" s="82"/>
      <c r="B3332" s="65" t="s">
        <v>411</v>
      </c>
      <c r="C3332" s="65" t="s">
        <v>120</v>
      </c>
      <c r="D3332" s="65"/>
      <c r="E3332" s="65" t="s">
        <v>2309</v>
      </c>
      <c r="F3332" s="83">
        <v>0.4166666666666667</v>
      </c>
      <c r="G3332" s="83">
        <v>0.4791666666666667</v>
      </c>
      <c r="H3332" s="83">
        <v>0.0625</v>
      </c>
      <c r="I3332" s="84">
        <v>44370.0</v>
      </c>
      <c r="J3332" s="65" t="b">
        <v>0</v>
      </c>
      <c r="K3332" s="65"/>
      <c r="L3332" s="85" t="b">
        <f>IF(VLOOKUP(C3332,Projetos!A:L,12,false)=TRUE,TRUE,FALSE)</f>
        <v>0</v>
      </c>
      <c r="M3332" s="74">
        <v>52.48434411075036</v>
      </c>
      <c r="N3332" s="74">
        <f t="shared" si="1"/>
        <v>0</v>
      </c>
      <c r="O3332" s="74" t="b">
        <v>0</v>
      </c>
    </row>
    <row r="3333" hidden="1">
      <c r="A3333" s="82"/>
      <c r="B3333" s="65" t="s">
        <v>177</v>
      </c>
      <c r="C3333" s="65" t="s">
        <v>101</v>
      </c>
      <c r="D3333" s="65" t="str">
        <f>vlookup(C3333,'Classificação p pessoal'!F:G,2,false)</f>
        <v>NP</v>
      </c>
      <c r="E3333" s="65" t="s">
        <v>2310</v>
      </c>
      <c r="F3333" s="83">
        <v>0.3958333333333333</v>
      </c>
      <c r="G3333" s="83">
        <v>0.4583333333333333</v>
      </c>
      <c r="H3333" s="83">
        <v>0.0625</v>
      </c>
      <c r="I3333" s="84">
        <v>44538.0</v>
      </c>
      <c r="J3333" s="65" t="b">
        <v>1</v>
      </c>
      <c r="K3333" s="65"/>
      <c r="L3333" s="85" t="b">
        <f>IF(VLOOKUP(C3333,Projetos!A:L,12,false)=TRUE,TRUE,FALSE)</f>
        <v>1</v>
      </c>
      <c r="M3333" s="74">
        <v>31.02923620430495</v>
      </c>
      <c r="N3333" s="74">
        <f t="shared" si="1"/>
        <v>46.54385431</v>
      </c>
      <c r="O3333" s="74" t="b">
        <v>1</v>
      </c>
    </row>
    <row r="3334" hidden="1">
      <c r="A3334" s="82"/>
      <c r="B3334" s="65" t="s">
        <v>411</v>
      </c>
      <c r="C3334" s="65" t="s">
        <v>92</v>
      </c>
      <c r="D3334" s="65" t="str">
        <f>vlookup(C3334,'Classificação p pessoal'!F:G,2,false)</f>
        <v/>
      </c>
      <c r="E3334" s="65" t="s">
        <v>2311</v>
      </c>
      <c r="F3334" s="83">
        <v>0.5833333333333334</v>
      </c>
      <c r="G3334" s="83">
        <v>0.625</v>
      </c>
      <c r="H3334" s="83">
        <v>0.041666666666666664</v>
      </c>
      <c r="I3334" s="84">
        <v>44370.0</v>
      </c>
      <c r="J3334" s="65" t="b">
        <v>1</v>
      </c>
      <c r="K3334" s="65"/>
      <c r="L3334" s="85" t="b">
        <f>IF(VLOOKUP(C3334,Projetos!A:L,12,false)=TRUE,TRUE,FALSE)</f>
        <v>1</v>
      </c>
      <c r="M3334" s="74">
        <v>52.48434411075036</v>
      </c>
      <c r="N3334" s="74">
        <f t="shared" si="1"/>
        <v>52.48434411</v>
      </c>
      <c r="O3334" s="74" t="b">
        <v>1</v>
      </c>
    </row>
    <row r="3335" hidden="1">
      <c r="A3335" s="82"/>
      <c r="B3335" s="65" t="s">
        <v>411</v>
      </c>
      <c r="C3335" s="65" t="s">
        <v>92</v>
      </c>
      <c r="D3335" s="65" t="str">
        <f>vlookup(C3335,'Classificação p pessoal'!F:G,2,false)</f>
        <v/>
      </c>
      <c r="E3335" s="65" t="s">
        <v>2312</v>
      </c>
      <c r="F3335" s="83">
        <v>0.625</v>
      </c>
      <c r="G3335" s="83">
        <v>0.75</v>
      </c>
      <c r="H3335" s="83">
        <v>0.125</v>
      </c>
      <c r="I3335" s="84">
        <v>44370.0</v>
      </c>
      <c r="J3335" s="65" t="b">
        <v>1</v>
      </c>
      <c r="K3335" s="65"/>
      <c r="L3335" s="85" t="b">
        <f>IF(VLOOKUP(C3335,Projetos!A:L,12,false)=TRUE,TRUE,FALSE)</f>
        <v>1</v>
      </c>
      <c r="M3335" s="74">
        <v>52.48434411075036</v>
      </c>
      <c r="N3335" s="74">
        <f t="shared" si="1"/>
        <v>157.4530323</v>
      </c>
      <c r="O3335" s="74" t="b">
        <v>1</v>
      </c>
    </row>
    <row r="3336" hidden="1">
      <c r="A3336" s="82"/>
      <c r="B3336" s="65" t="s">
        <v>411</v>
      </c>
      <c r="C3336" s="65" t="s">
        <v>92</v>
      </c>
      <c r="D3336" s="65" t="str">
        <f>vlookup(C3336,'Classificação p pessoal'!F:G,2,false)</f>
        <v/>
      </c>
      <c r="E3336" s="65" t="s">
        <v>2313</v>
      </c>
      <c r="F3336" s="83">
        <v>0.34375</v>
      </c>
      <c r="G3336" s="83">
        <v>0.5625</v>
      </c>
      <c r="H3336" s="83">
        <v>0.21875</v>
      </c>
      <c r="I3336" s="84">
        <v>44371.0</v>
      </c>
      <c r="J3336" s="65" t="b">
        <v>1</v>
      </c>
      <c r="K3336" s="65"/>
      <c r="L3336" s="85" t="b">
        <f>IF(VLOOKUP(C3336,Projetos!A:L,12,false)=TRUE,TRUE,FALSE)</f>
        <v>1</v>
      </c>
      <c r="M3336" s="74">
        <v>52.48434411075036</v>
      </c>
      <c r="N3336" s="74">
        <f t="shared" si="1"/>
        <v>275.5428066</v>
      </c>
      <c r="O3336" s="74" t="b">
        <v>1</v>
      </c>
    </row>
    <row r="3337" hidden="1">
      <c r="A3337" s="82"/>
      <c r="B3337" s="65" t="s">
        <v>177</v>
      </c>
      <c r="C3337" s="65" t="s">
        <v>101</v>
      </c>
      <c r="D3337" s="65" t="str">
        <f>vlookup(C3337,'Classificação p pessoal'!F:G,2,false)</f>
        <v>NP</v>
      </c>
      <c r="E3337" s="65" t="s">
        <v>2314</v>
      </c>
      <c r="F3337" s="83">
        <v>0.4583333333333333</v>
      </c>
      <c r="G3337" s="83">
        <v>0.5208333333333334</v>
      </c>
      <c r="H3337" s="83">
        <v>0.0625</v>
      </c>
      <c r="I3337" s="84">
        <v>44538.0</v>
      </c>
      <c r="J3337" s="65" t="b">
        <v>1</v>
      </c>
      <c r="K3337" s="65"/>
      <c r="L3337" s="85" t="b">
        <f>IF(VLOOKUP(C3337,Projetos!A:L,12,false)=TRUE,TRUE,FALSE)</f>
        <v>1</v>
      </c>
      <c r="M3337" s="74">
        <v>31.02923620430495</v>
      </c>
      <c r="N3337" s="74">
        <f t="shared" si="1"/>
        <v>46.54385431</v>
      </c>
      <c r="O3337" s="74" t="b">
        <v>1</v>
      </c>
    </row>
    <row r="3338" hidden="1">
      <c r="A3338" s="82"/>
      <c r="B3338" s="65" t="s">
        <v>411</v>
      </c>
      <c r="C3338" s="65" t="s">
        <v>92</v>
      </c>
      <c r="D3338" s="65" t="str">
        <f>vlookup(C3338,'Classificação p pessoal'!F:G,2,false)</f>
        <v/>
      </c>
      <c r="E3338" s="65" t="s">
        <v>2313</v>
      </c>
      <c r="F3338" s="83">
        <v>0.6458333333333334</v>
      </c>
      <c r="G3338" s="83">
        <v>0.75</v>
      </c>
      <c r="H3338" s="83">
        <v>0.10416666666666667</v>
      </c>
      <c r="I3338" s="84">
        <v>44371.0</v>
      </c>
      <c r="J3338" s="65" t="b">
        <v>1</v>
      </c>
      <c r="K3338" s="65"/>
      <c r="L3338" s="85" t="b">
        <f>IF(VLOOKUP(C3338,Projetos!A:L,12,false)=TRUE,TRUE,FALSE)</f>
        <v>1</v>
      </c>
      <c r="M3338" s="74">
        <v>52.48434411075036</v>
      </c>
      <c r="N3338" s="74">
        <f t="shared" si="1"/>
        <v>131.2108603</v>
      </c>
      <c r="O3338" s="74" t="b">
        <v>1</v>
      </c>
    </row>
    <row r="3339" hidden="1">
      <c r="A3339" s="82"/>
      <c r="B3339" s="65" t="s">
        <v>411</v>
      </c>
      <c r="C3339" s="65" t="s">
        <v>92</v>
      </c>
      <c r="D3339" s="65" t="str">
        <f>vlookup(C3339,'Classificação p pessoal'!F:G,2,false)</f>
        <v/>
      </c>
      <c r="E3339" s="65" t="s">
        <v>2313</v>
      </c>
      <c r="F3339" s="83">
        <v>0.34375</v>
      </c>
      <c r="G3339" s="83">
        <v>0.4166666666666667</v>
      </c>
      <c r="H3339" s="83">
        <v>0.07291666666666667</v>
      </c>
      <c r="I3339" s="84">
        <v>44372.0</v>
      </c>
      <c r="J3339" s="65" t="b">
        <v>1</v>
      </c>
      <c r="K3339" s="65"/>
      <c r="L3339" s="85" t="b">
        <f>IF(VLOOKUP(C3339,Projetos!A:L,12,false)=TRUE,TRUE,FALSE)</f>
        <v>1</v>
      </c>
      <c r="M3339" s="74">
        <v>52.48434411075036</v>
      </c>
      <c r="N3339" s="74">
        <f t="shared" si="1"/>
        <v>91.84760219</v>
      </c>
      <c r="O3339" s="74" t="b">
        <v>1</v>
      </c>
    </row>
    <row r="3340" hidden="1">
      <c r="A3340" s="82"/>
      <c r="B3340" s="65" t="s">
        <v>411</v>
      </c>
      <c r="C3340" s="65" t="s">
        <v>119</v>
      </c>
      <c r="D3340" s="65" t="str">
        <f>vlookup(C3340,'Classificação p pessoal'!F:G,2,false)</f>
        <v>NP</v>
      </c>
      <c r="E3340" s="65" t="s">
        <v>2315</v>
      </c>
      <c r="F3340" s="83">
        <v>0.4166666666666667</v>
      </c>
      <c r="G3340" s="83">
        <v>0.4583333333333333</v>
      </c>
      <c r="H3340" s="83">
        <v>0.041666666666666664</v>
      </c>
      <c r="I3340" s="84">
        <v>44372.0</v>
      </c>
      <c r="J3340" s="65" t="b">
        <v>1</v>
      </c>
      <c r="K3340" s="65"/>
      <c r="L3340" s="85" t="b">
        <f>IF(VLOOKUP(C3340,Projetos!A:L,12,false)=TRUE,TRUE,FALSE)</f>
        <v>1</v>
      </c>
      <c r="M3340" s="74">
        <v>52.48434411075036</v>
      </c>
      <c r="N3340" s="74">
        <f t="shared" si="1"/>
        <v>52.48434411</v>
      </c>
      <c r="O3340" s="74" t="b">
        <v>1</v>
      </c>
    </row>
    <row r="3341" hidden="1">
      <c r="A3341" s="82"/>
      <c r="B3341" s="65" t="s">
        <v>411</v>
      </c>
      <c r="C3341" s="65" t="s">
        <v>132</v>
      </c>
      <c r="D3341" s="65"/>
      <c r="E3341" s="65" t="s">
        <v>2316</v>
      </c>
      <c r="F3341" s="83">
        <v>0.4583333333333333</v>
      </c>
      <c r="G3341" s="83">
        <v>0.5</v>
      </c>
      <c r="H3341" s="83">
        <v>0.041666666666666664</v>
      </c>
      <c r="I3341" s="84">
        <v>44372.0</v>
      </c>
      <c r="J3341" s="65" t="b">
        <v>0</v>
      </c>
      <c r="K3341" s="65" t="s">
        <v>150</v>
      </c>
      <c r="L3341" s="85" t="b">
        <f>IF(VLOOKUP(C3341,Projetos!A:L,12,false)=TRUE,TRUE,FALSE)</f>
        <v>0</v>
      </c>
      <c r="M3341" s="74">
        <v>52.48434411075036</v>
      </c>
      <c r="N3341" s="74">
        <f t="shared" si="1"/>
        <v>0</v>
      </c>
      <c r="O3341" s="74" t="b">
        <v>0</v>
      </c>
    </row>
    <row r="3342" hidden="1">
      <c r="A3342" s="82"/>
      <c r="B3342" s="65" t="s">
        <v>411</v>
      </c>
      <c r="C3342" s="65" t="s">
        <v>117</v>
      </c>
      <c r="D3342" s="65"/>
      <c r="E3342" s="65" t="s">
        <v>615</v>
      </c>
      <c r="F3342" s="83">
        <v>0.5</v>
      </c>
      <c r="G3342" s="83">
        <v>0.5833333333333334</v>
      </c>
      <c r="H3342" s="83">
        <v>0.08333333333333333</v>
      </c>
      <c r="I3342" s="84">
        <v>44372.0</v>
      </c>
      <c r="J3342" s="65" t="b">
        <v>0</v>
      </c>
      <c r="K3342" s="65" t="s">
        <v>150</v>
      </c>
      <c r="L3342" s="85" t="b">
        <f>IF(VLOOKUP(C3342,Projetos!A:L,12,false)=TRUE,TRUE,FALSE)</f>
        <v>1</v>
      </c>
      <c r="M3342" s="74">
        <v>52.48434411075036</v>
      </c>
      <c r="N3342" s="74">
        <f t="shared" si="1"/>
        <v>0</v>
      </c>
      <c r="O3342" s="74" t="b">
        <v>1</v>
      </c>
    </row>
    <row r="3343" hidden="1">
      <c r="A3343" s="82"/>
      <c r="B3343" s="65" t="s">
        <v>411</v>
      </c>
      <c r="C3343" s="65" t="s">
        <v>117</v>
      </c>
      <c r="D3343" s="65"/>
      <c r="E3343" s="65" t="s">
        <v>2317</v>
      </c>
      <c r="F3343" s="83">
        <v>0.625</v>
      </c>
      <c r="G3343" s="83">
        <v>0.7083333333333334</v>
      </c>
      <c r="H3343" s="83">
        <v>0.08333333333333333</v>
      </c>
      <c r="I3343" s="84">
        <v>44372.0</v>
      </c>
      <c r="J3343" s="65" t="b">
        <v>0</v>
      </c>
      <c r="K3343" s="65" t="s">
        <v>150</v>
      </c>
      <c r="L3343" s="85" t="b">
        <f>IF(VLOOKUP(C3343,Projetos!A:L,12,false)=TRUE,TRUE,FALSE)</f>
        <v>1</v>
      </c>
      <c r="M3343" s="74">
        <v>52.48434411075036</v>
      </c>
      <c r="N3343" s="74">
        <f t="shared" si="1"/>
        <v>0</v>
      </c>
      <c r="O3343" s="74" t="b">
        <v>1</v>
      </c>
    </row>
    <row r="3344" hidden="1">
      <c r="A3344" s="82"/>
      <c r="B3344" s="65" t="s">
        <v>411</v>
      </c>
      <c r="C3344" s="65" t="s">
        <v>88</v>
      </c>
      <c r="D3344" s="65" t="str">
        <f>vlookup(C3344,'Classificação p pessoal'!F:G,2,false)</f>
        <v>MProduto</v>
      </c>
      <c r="E3344" s="65" t="s">
        <v>2318</v>
      </c>
      <c r="F3344" s="83">
        <v>0.7083333333333334</v>
      </c>
      <c r="G3344" s="83">
        <v>0.75</v>
      </c>
      <c r="H3344" s="83">
        <v>0.041666666666666664</v>
      </c>
      <c r="I3344" s="84">
        <v>44372.0</v>
      </c>
      <c r="J3344" s="65" t="b">
        <v>1</v>
      </c>
      <c r="K3344" s="65"/>
      <c r="L3344" s="85" t="b">
        <f>IF(VLOOKUP(C3344,Projetos!A:L,12,false)=TRUE,TRUE,FALSE)</f>
        <v>1</v>
      </c>
      <c r="M3344" s="74">
        <v>52.48434411075036</v>
      </c>
      <c r="N3344" s="74">
        <f t="shared" si="1"/>
        <v>52.48434411</v>
      </c>
      <c r="O3344" s="74" t="b">
        <v>1</v>
      </c>
    </row>
    <row r="3345" hidden="1">
      <c r="A3345" s="82"/>
      <c r="B3345" s="65" t="s">
        <v>411</v>
      </c>
      <c r="C3345" s="65" t="s">
        <v>117</v>
      </c>
      <c r="D3345" s="65" t="str">
        <f>vlookup(C3345,'Classificação p pessoal'!F:G,2,false)</f>
        <v>NP</v>
      </c>
      <c r="E3345" s="65" t="s">
        <v>2319</v>
      </c>
      <c r="F3345" s="83">
        <v>0.34375</v>
      </c>
      <c r="G3345" s="83">
        <v>0.5416666666666666</v>
      </c>
      <c r="H3345" s="83">
        <v>0.19791666666666666</v>
      </c>
      <c r="I3345" s="84">
        <v>44375.0</v>
      </c>
      <c r="J3345" s="65" t="b">
        <v>1</v>
      </c>
      <c r="K3345" s="65"/>
      <c r="L3345" s="85" t="b">
        <f>IF(VLOOKUP(C3345,Projetos!A:L,12,false)=TRUE,TRUE,FALSE)</f>
        <v>1</v>
      </c>
      <c r="M3345" s="74">
        <v>52.48434411075036</v>
      </c>
      <c r="N3345" s="74">
        <f t="shared" si="1"/>
        <v>249.3006345</v>
      </c>
      <c r="O3345" s="74" t="b">
        <v>1</v>
      </c>
    </row>
    <row r="3346" hidden="1">
      <c r="A3346" s="82"/>
      <c r="B3346" s="65" t="s">
        <v>411</v>
      </c>
      <c r="C3346" s="65" t="s">
        <v>92</v>
      </c>
      <c r="D3346" s="65" t="str">
        <f>vlookup(C3346,'Classificação p pessoal'!F:G,2,false)</f>
        <v/>
      </c>
      <c r="E3346" s="65" t="s">
        <v>2313</v>
      </c>
      <c r="F3346" s="83">
        <v>0.5833333333333334</v>
      </c>
      <c r="G3346" s="83">
        <v>0.625</v>
      </c>
      <c r="H3346" s="83">
        <v>0.041666666666666664</v>
      </c>
      <c r="I3346" s="84">
        <v>44375.0</v>
      </c>
      <c r="J3346" s="65" t="b">
        <v>1</v>
      </c>
      <c r="K3346" s="65"/>
      <c r="L3346" s="85" t="b">
        <f>IF(VLOOKUP(C3346,Projetos!A:L,12,false)=TRUE,TRUE,FALSE)</f>
        <v>1</v>
      </c>
      <c r="M3346" s="74">
        <v>52.48434411075036</v>
      </c>
      <c r="N3346" s="74">
        <f t="shared" si="1"/>
        <v>52.48434411</v>
      </c>
      <c r="O3346" s="74" t="b">
        <v>1</v>
      </c>
    </row>
    <row r="3347" hidden="1">
      <c r="A3347" s="82"/>
      <c r="B3347" s="65" t="s">
        <v>411</v>
      </c>
      <c r="C3347" s="65" t="s">
        <v>117</v>
      </c>
      <c r="D3347" s="65" t="str">
        <f>vlookup(C3347,'Classificação p pessoal'!F:G,2,false)</f>
        <v>NP</v>
      </c>
      <c r="E3347" s="65" t="s">
        <v>2320</v>
      </c>
      <c r="F3347" s="83">
        <v>0.625</v>
      </c>
      <c r="G3347" s="83">
        <v>0.75</v>
      </c>
      <c r="H3347" s="83">
        <v>0.125</v>
      </c>
      <c r="I3347" s="84">
        <v>44375.0</v>
      </c>
      <c r="J3347" s="65" t="b">
        <v>1</v>
      </c>
      <c r="K3347" s="65"/>
      <c r="L3347" s="85" t="b">
        <f>IF(VLOOKUP(C3347,Projetos!A:L,12,false)=TRUE,TRUE,FALSE)</f>
        <v>1</v>
      </c>
      <c r="M3347" s="74">
        <v>52.48434411075036</v>
      </c>
      <c r="N3347" s="74">
        <f t="shared" si="1"/>
        <v>157.4530323</v>
      </c>
      <c r="O3347" s="74" t="b">
        <v>1</v>
      </c>
    </row>
    <row r="3348" hidden="1">
      <c r="A3348" s="82"/>
      <c r="B3348" s="65" t="s">
        <v>411</v>
      </c>
      <c r="C3348" s="65" t="s">
        <v>92</v>
      </c>
      <c r="D3348" s="65" t="str">
        <f>vlookup(C3348,'Classificação p pessoal'!F:G,2,false)</f>
        <v/>
      </c>
      <c r="E3348" s="65" t="s">
        <v>2321</v>
      </c>
      <c r="F3348" s="83">
        <v>0.34375</v>
      </c>
      <c r="G3348" s="83">
        <v>0.5416666666666666</v>
      </c>
      <c r="H3348" s="83">
        <v>0.19791666666666666</v>
      </c>
      <c r="I3348" s="84">
        <v>44376.0</v>
      </c>
      <c r="J3348" s="65" t="b">
        <v>1</v>
      </c>
      <c r="K3348" s="65"/>
      <c r="L3348" s="85" t="b">
        <f>IF(VLOOKUP(C3348,Projetos!A:L,12,false)=TRUE,TRUE,FALSE)</f>
        <v>1</v>
      </c>
      <c r="M3348" s="74">
        <v>52.48434411075036</v>
      </c>
      <c r="N3348" s="74">
        <f t="shared" si="1"/>
        <v>249.3006345</v>
      </c>
      <c r="O3348" s="74" t="b">
        <v>1</v>
      </c>
    </row>
    <row r="3349" hidden="1">
      <c r="A3349" s="82"/>
      <c r="B3349" s="65" t="s">
        <v>411</v>
      </c>
      <c r="C3349" s="65" t="s">
        <v>117</v>
      </c>
      <c r="D3349" s="65"/>
      <c r="E3349" s="65" t="s">
        <v>2322</v>
      </c>
      <c r="F3349" s="83">
        <v>0.5416666666666666</v>
      </c>
      <c r="G3349" s="83">
        <v>0.5833333333333334</v>
      </c>
      <c r="H3349" s="83">
        <v>0.041666666666666664</v>
      </c>
      <c r="I3349" s="84">
        <v>44376.0</v>
      </c>
      <c r="J3349" s="65" t="b">
        <v>0</v>
      </c>
      <c r="K3349" s="65" t="s">
        <v>150</v>
      </c>
      <c r="L3349" s="85" t="b">
        <f>IF(VLOOKUP(C3349,Projetos!A:L,12,false)=TRUE,TRUE,FALSE)</f>
        <v>1</v>
      </c>
      <c r="M3349" s="74">
        <v>52.48434411075036</v>
      </c>
      <c r="N3349" s="74">
        <f t="shared" si="1"/>
        <v>0</v>
      </c>
      <c r="O3349" s="74" t="b">
        <v>1</v>
      </c>
    </row>
    <row r="3350" hidden="1">
      <c r="A3350" s="82"/>
      <c r="B3350" s="65" t="s">
        <v>411</v>
      </c>
      <c r="C3350" s="65" t="s">
        <v>92</v>
      </c>
      <c r="D3350" s="65" t="str">
        <f>vlookup(C3350,'Classificação p pessoal'!F:G,2,false)</f>
        <v/>
      </c>
      <c r="E3350" s="65" t="s">
        <v>2323</v>
      </c>
      <c r="F3350" s="83">
        <v>0.625</v>
      </c>
      <c r="G3350" s="83">
        <v>0.6666666666666666</v>
      </c>
      <c r="H3350" s="83">
        <v>0.041666666666666664</v>
      </c>
      <c r="I3350" s="84">
        <v>44376.0</v>
      </c>
      <c r="J3350" s="65" t="b">
        <v>1</v>
      </c>
      <c r="K3350" s="65"/>
      <c r="L3350" s="85" t="b">
        <f>IF(VLOOKUP(C3350,Projetos!A:L,12,false)=TRUE,TRUE,FALSE)</f>
        <v>1</v>
      </c>
      <c r="M3350" s="74">
        <v>52.48434411075036</v>
      </c>
      <c r="N3350" s="74">
        <f t="shared" si="1"/>
        <v>52.48434411</v>
      </c>
      <c r="O3350" s="74" t="b">
        <v>1</v>
      </c>
    </row>
    <row r="3351" hidden="1">
      <c r="A3351" s="82"/>
      <c r="B3351" s="65" t="s">
        <v>411</v>
      </c>
      <c r="C3351" s="65" t="s">
        <v>117</v>
      </c>
      <c r="D3351" s="65" t="str">
        <f>vlookup(C3351,'Classificação p pessoal'!F:G,2,false)</f>
        <v>NP</v>
      </c>
      <c r="E3351" s="65" t="s">
        <v>2324</v>
      </c>
      <c r="F3351" s="83">
        <v>0.6666666666666666</v>
      </c>
      <c r="G3351" s="83">
        <v>0.75</v>
      </c>
      <c r="H3351" s="83">
        <v>0.08333333333333333</v>
      </c>
      <c r="I3351" s="84">
        <v>44376.0</v>
      </c>
      <c r="J3351" s="65" t="b">
        <v>1</v>
      </c>
      <c r="K3351" s="65"/>
      <c r="L3351" s="85" t="b">
        <f>IF(VLOOKUP(C3351,Projetos!A:L,12,false)=TRUE,TRUE,FALSE)</f>
        <v>1</v>
      </c>
      <c r="M3351" s="74">
        <v>52.48434411075036</v>
      </c>
      <c r="N3351" s="74">
        <f t="shared" si="1"/>
        <v>104.9686882</v>
      </c>
      <c r="O3351" s="74" t="b">
        <v>1</v>
      </c>
    </row>
    <row r="3352" hidden="1">
      <c r="A3352" s="82"/>
      <c r="B3352" s="65" t="s">
        <v>411</v>
      </c>
      <c r="C3352" s="65" t="s">
        <v>117</v>
      </c>
      <c r="D3352" s="65" t="str">
        <f>vlookup(C3352,'Classificação p pessoal'!F:G,2,false)</f>
        <v>NP</v>
      </c>
      <c r="E3352" s="65" t="s">
        <v>2325</v>
      </c>
      <c r="F3352" s="83">
        <v>0.34375</v>
      </c>
      <c r="G3352" s="83">
        <v>0.4375</v>
      </c>
      <c r="H3352" s="83">
        <v>0.09375</v>
      </c>
      <c r="I3352" s="84">
        <v>44377.0</v>
      </c>
      <c r="J3352" s="65" t="b">
        <v>1</v>
      </c>
      <c r="K3352" s="65"/>
      <c r="L3352" s="85" t="b">
        <f>IF(VLOOKUP(C3352,Projetos!A:L,12,false)=TRUE,TRUE,FALSE)</f>
        <v>1</v>
      </c>
      <c r="M3352" s="74">
        <v>52.48434411075036</v>
      </c>
      <c r="N3352" s="74">
        <f t="shared" si="1"/>
        <v>118.0897742</v>
      </c>
      <c r="O3352" s="74" t="b">
        <v>1</v>
      </c>
    </row>
    <row r="3353" hidden="1">
      <c r="A3353" s="82"/>
      <c r="B3353" s="65" t="s">
        <v>411</v>
      </c>
      <c r="C3353" s="65" t="s">
        <v>130</v>
      </c>
      <c r="D3353" s="65"/>
      <c r="E3353" s="65" t="s">
        <v>2326</v>
      </c>
      <c r="F3353" s="83">
        <v>0.4375</v>
      </c>
      <c r="G3353" s="83">
        <v>0.5416666666666666</v>
      </c>
      <c r="H3353" s="83">
        <v>0.10416666666666667</v>
      </c>
      <c r="I3353" s="84">
        <v>44377.0</v>
      </c>
      <c r="J3353" s="65" t="b">
        <v>0</v>
      </c>
      <c r="K3353" s="65" t="s">
        <v>150</v>
      </c>
      <c r="L3353" s="85" t="b">
        <f>IF(VLOOKUP(C3353,Projetos!A:L,12,false)=TRUE,TRUE,FALSE)</f>
        <v>1</v>
      </c>
      <c r="M3353" s="74">
        <v>52.48434411075036</v>
      </c>
      <c r="N3353" s="74">
        <f t="shared" si="1"/>
        <v>0</v>
      </c>
      <c r="O3353" s="74" t="b">
        <v>1</v>
      </c>
    </row>
    <row r="3354" hidden="1">
      <c r="A3354" s="82"/>
      <c r="B3354" s="65" t="s">
        <v>411</v>
      </c>
      <c r="C3354" s="65" t="s">
        <v>117</v>
      </c>
      <c r="D3354" s="65" t="str">
        <f>vlookup(C3354,'Classificação p pessoal'!F:G,2,false)</f>
        <v>NP</v>
      </c>
      <c r="E3354" s="65" t="s">
        <v>2327</v>
      </c>
      <c r="F3354" s="83">
        <v>0.5833333333333334</v>
      </c>
      <c r="G3354" s="83">
        <v>0.625</v>
      </c>
      <c r="H3354" s="83">
        <v>0.041666666666666664</v>
      </c>
      <c r="I3354" s="84">
        <v>44377.0</v>
      </c>
      <c r="J3354" s="65" t="b">
        <v>1</v>
      </c>
      <c r="K3354" s="65"/>
      <c r="L3354" s="85" t="b">
        <f>IF(VLOOKUP(C3354,Projetos!A:L,12,false)=TRUE,TRUE,FALSE)</f>
        <v>1</v>
      </c>
      <c r="M3354" s="74">
        <v>52.48434411075036</v>
      </c>
      <c r="N3354" s="74">
        <f t="shared" si="1"/>
        <v>52.48434411</v>
      </c>
      <c r="O3354" s="74" t="b">
        <v>1</v>
      </c>
    </row>
    <row r="3355" hidden="1">
      <c r="A3355" s="82"/>
      <c r="B3355" s="65" t="s">
        <v>411</v>
      </c>
      <c r="C3355" s="65" t="s">
        <v>132</v>
      </c>
      <c r="D3355" s="65"/>
      <c r="E3355" s="65" t="s">
        <v>2328</v>
      </c>
      <c r="F3355" s="83">
        <v>0.625</v>
      </c>
      <c r="G3355" s="83">
        <v>0.6666666666666666</v>
      </c>
      <c r="H3355" s="83">
        <v>0.041666666666666664</v>
      </c>
      <c r="I3355" s="84">
        <v>44377.0</v>
      </c>
      <c r="J3355" s="65" t="b">
        <v>0</v>
      </c>
      <c r="K3355" s="65" t="s">
        <v>150</v>
      </c>
      <c r="L3355" s="85" t="b">
        <f>IF(VLOOKUP(C3355,Projetos!A:L,12,false)=TRUE,TRUE,FALSE)</f>
        <v>0</v>
      </c>
      <c r="M3355" s="74">
        <v>52.48434411075036</v>
      </c>
      <c r="N3355" s="74">
        <f t="shared" si="1"/>
        <v>0</v>
      </c>
      <c r="O3355" s="74" t="b">
        <v>0</v>
      </c>
    </row>
    <row r="3356" hidden="1">
      <c r="A3356" s="82"/>
      <c r="B3356" s="65" t="s">
        <v>411</v>
      </c>
      <c r="C3356" s="65" t="s">
        <v>92</v>
      </c>
      <c r="D3356" s="65" t="str">
        <f>vlookup(C3356,'Classificação p pessoal'!F:G,2,false)</f>
        <v/>
      </c>
      <c r="E3356" s="65" t="s">
        <v>2329</v>
      </c>
      <c r="F3356" s="83">
        <v>0.34375</v>
      </c>
      <c r="G3356" s="83">
        <v>0.375</v>
      </c>
      <c r="H3356" s="83">
        <v>0.03125</v>
      </c>
      <c r="I3356" s="84">
        <v>44378.0</v>
      </c>
      <c r="J3356" s="65" t="b">
        <v>1</v>
      </c>
      <c r="K3356" s="65"/>
      <c r="L3356" s="85" t="b">
        <f>IF(VLOOKUP(C3356,Projetos!A:L,12,false)=TRUE,TRUE,FALSE)</f>
        <v>1</v>
      </c>
      <c r="M3356" s="74">
        <v>52.48434411075036</v>
      </c>
      <c r="N3356" s="74">
        <f t="shared" si="1"/>
        <v>39.36325808</v>
      </c>
      <c r="O3356" s="74" t="b">
        <v>1</v>
      </c>
    </row>
    <row r="3357" hidden="1">
      <c r="A3357" s="82"/>
      <c r="B3357" s="65" t="s">
        <v>177</v>
      </c>
      <c r="C3357" s="65" t="s">
        <v>101</v>
      </c>
      <c r="D3357" s="65" t="str">
        <f>vlookup(C3357,'Classificação p pessoal'!F:G,2,false)</f>
        <v>NP</v>
      </c>
      <c r="E3357" s="65" t="s">
        <v>2330</v>
      </c>
      <c r="F3357" s="83">
        <v>0.7083333333333334</v>
      </c>
      <c r="G3357" s="83">
        <v>0.75</v>
      </c>
      <c r="H3357" s="83">
        <v>0.041666666666666664</v>
      </c>
      <c r="I3357" s="84">
        <v>44538.0</v>
      </c>
      <c r="J3357" s="65" t="b">
        <v>1</v>
      </c>
      <c r="K3357" s="65"/>
      <c r="L3357" s="85" t="b">
        <f>IF(VLOOKUP(C3357,Projetos!A:L,12,false)=TRUE,TRUE,FALSE)</f>
        <v>1</v>
      </c>
      <c r="M3357" s="74">
        <v>31.02923620430495</v>
      </c>
      <c r="N3357" s="74">
        <f t="shared" si="1"/>
        <v>31.0292362</v>
      </c>
      <c r="O3357" s="74" t="b">
        <v>1</v>
      </c>
    </row>
    <row r="3358" hidden="1">
      <c r="A3358" s="82"/>
      <c r="B3358" s="65" t="s">
        <v>411</v>
      </c>
      <c r="C3358" s="65" t="s">
        <v>108</v>
      </c>
      <c r="D3358" s="65" t="str">
        <f>vlookup(C3358,'Classificação p pessoal'!F:G,2,false)</f>
        <v>NP</v>
      </c>
      <c r="E3358" s="65" t="s">
        <v>2331</v>
      </c>
      <c r="F3358" s="83">
        <v>0.46875</v>
      </c>
      <c r="G3358" s="83">
        <v>0.5104166666666666</v>
      </c>
      <c r="H3358" s="83">
        <v>0.041666666666666664</v>
      </c>
      <c r="I3358" s="84">
        <v>44378.0</v>
      </c>
      <c r="J3358" s="65" t="b">
        <v>1</v>
      </c>
      <c r="K3358" s="65"/>
      <c r="L3358" s="85" t="b">
        <f>IF(VLOOKUP(C3358,Projetos!A:L,12,false)=TRUE,TRUE,FALSE)</f>
        <v>1</v>
      </c>
      <c r="M3358" s="74">
        <v>52.48434411075036</v>
      </c>
      <c r="N3358" s="74">
        <f t="shared" si="1"/>
        <v>52.48434411</v>
      </c>
      <c r="O3358" s="74" t="b">
        <v>1</v>
      </c>
    </row>
    <row r="3359" hidden="1">
      <c r="A3359" s="82"/>
      <c r="B3359" s="65" t="s">
        <v>411</v>
      </c>
      <c r="C3359" s="65" t="s">
        <v>92</v>
      </c>
      <c r="D3359" s="65"/>
      <c r="E3359" s="65" t="s">
        <v>2332</v>
      </c>
      <c r="F3359" s="83">
        <v>0.5104166666666666</v>
      </c>
      <c r="G3359" s="83">
        <v>0.5625</v>
      </c>
      <c r="H3359" s="83">
        <v>0.052083333333333336</v>
      </c>
      <c r="I3359" s="84">
        <v>44378.0</v>
      </c>
      <c r="J3359" s="65" t="b">
        <v>0</v>
      </c>
      <c r="K3359" s="65" t="s">
        <v>150</v>
      </c>
      <c r="L3359" s="85" t="b">
        <f>IF(VLOOKUP(C3359,Projetos!A:L,12,false)=TRUE,TRUE,FALSE)</f>
        <v>1</v>
      </c>
      <c r="M3359" s="74">
        <v>52.48434411075036</v>
      </c>
      <c r="N3359" s="74">
        <f t="shared" si="1"/>
        <v>0</v>
      </c>
      <c r="O3359" s="74" t="b">
        <v>1</v>
      </c>
    </row>
    <row r="3360" hidden="1">
      <c r="A3360" s="82"/>
      <c r="B3360" s="65" t="s">
        <v>177</v>
      </c>
      <c r="C3360" s="65" t="s">
        <v>101</v>
      </c>
      <c r="D3360" s="65" t="str">
        <f>vlookup(C3360,'Classificação p pessoal'!F:G,2,false)</f>
        <v>NP</v>
      </c>
      <c r="E3360" s="65" t="s">
        <v>2333</v>
      </c>
      <c r="F3360" s="83">
        <v>0.3958333333333333</v>
      </c>
      <c r="G3360" s="83">
        <v>0.5208333333333334</v>
      </c>
      <c r="H3360" s="83">
        <v>0.125</v>
      </c>
      <c r="I3360" s="84">
        <v>44546.0</v>
      </c>
      <c r="J3360" s="65" t="b">
        <v>1</v>
      </c>
      <c r="K3360" s="65"/>
      <c r="L3360" s="85" t="b">
        <f>IF(VLOOKUP(C3360,Projetos!A:L,12,false)=TRUE,TRUE,FALSE)</f>
        <v>1</v>
      </c>
      <c r="M3360" s="74">
        <v>31.02923620430495</v>
      </c>
      <c r="N3360" s="74">
        <f t="shared" si="1"/>
        <v>93.08770861</v>
      </c>
      <c r="O3360" s="74" t="b">
        <v>1</v>
      </c>
    </row>
    <row r="3361" hidden="1">
      <c r="A3361" s="82"/>
      <c r="B3361" s="65" t="s">
        <v>411</v>
      </c>
      <c r="C3361" s="65" t="s">
        <v>108</v>
      </c>
      <c r="D3361" s="65" t="str">
        <f>vlookup(C3361,'Classificação p pessoal'!F:G,2,false)</f>
        <v>NP</v>
      </c>
      <c r="E3361" s="65" t="s">
        <v>2334</v>
      </c>
      <c r="F3361" s="83">
        <v>0.625</v>
      </c>
      <c r="G3361" s="83">
        <v>0.6875</v>
      </c>
      <c r="H3361" s="83">
        <v>0.0625</v>
      </c>
      <c r="I3361" s="84">
        <v>44378.0</v>
      </c>
      <c r="J3361" s="65" t="b">
        <v>1</v>
      </c>
      <c r="K3361" s="65"/>
      <c r="L3361" s="85" t="b">
        <f>IF(VLOOKUP(C3361,Projetos!A:L,12,false)=TRUE,TRUE,FALSE)</f>
        <v>1</v>
      </c>
      <c r="M3361" s="74">
        <v>52.48434411075036</v>
      </c>
      <c r="N3361" s="74">
        <f t="shared" si="1"/>
        <v>78.72651617</v>
      </c>
      <c r="O3361" s="74" t="b">
        <v>1</v>
      </c>
    </row>
    <row r="3362" hidden="1">
      <c r="A3362" s="82"/>
      <c r="B3362" s="65" t="s">
        <v>177</v>
      </c>
      <c r="C3362" s="65" t="s">
        <v>106</v>
      </c>
      <c r="D3362" s="65" t="str">
        <f>vlookup(C3362,'Classificação p pessoal'!F:G,2,false)</f>
        <v>MProcesso</v>
      </c>
      <c r="E3362" s="65" t="s">
        <v>2335</v>
      </c>
      <c r="F3362" s="83">
        <v>0.4375</v>
      </c>
      <c r="G3362" s="83">
        <v>0.4583333333333333</v>
      </c>
      <c r="H3362" s="83">
        <v>0.020833333333333332</v>
      </c>
      <c r="I3362" s="84">
        <v>44482.0</v>
      </c>
      <c r="J3362" s="65" t="b">
        <v>1</v>
      </c>
      <c r="K3362" s="65"/>
      <c r="L3362" s="85" t="b">
        <f>IF(VLOOKUP(C3362,Projetos!A:L,12,false)=TRUE,TRUE,FALSE)</f>
        <v>1</v>
      </c>
      <c r="M3362" s="74">
        <v>31.02923620430495</v>
      </c>
      <c r="N3362" s="74">
        <f t="shared" si="1"/>
        <v>15.5146181</v>
      </c>
      <c r="O3362" s="74" t="b">
        <v>1</v>
      </c>
    </row>
    <row r="3363" hidden="1">
      <c r="A3363" s="82"/>
      <c r="B3363" s="65" t="s">
        <v>411</v>
      </c>
      <c r="C3363" s="65" t="s">
        <v>125</v>
      </c>
      <c r="D3363" s="65" t="str">
        <f>vlookup(C3363,'Classificação p pessoal'!F:G,2,false)</f>
        <v>MProduto</v>
      </c>
      <c r="E3363" s="65" t="s">
        <v>2336</v>
      </c>
      <c r="F3363" s="83">
        <v>0.6979166666666666</v>
      </c>
      <c r="G3363" s="83">
        <v>0.7083333333333334</v>
      </c>
      <c r="H3363" s="83">
        <v>0.010416666666666666</v>
      </c>
      <c r="I3363" s="84">
        <v>44378.0</v>
      </c>
      <c r="J3363" s="65" t="b">
        <v>1</v>
      </c>
      <c r="K3363" s="65"/>
      <c r="L3363" s="85" t="b">
        <f>IF(VLOOKUP(C3363,Projetos!A:L,12,false)=TRUE,TRUE,FALSE)</f>
        <v>1</v>
      </c>
      <c r="M3363" s="74">
        <v>52.48434411075036</v>
      </c>
      <c r="N3363" s="74">
        <f t="shared" si="1"/>
        <v>13.12108603</v>
      </c>
      <c r="O3363" s="74" t="b">
        <v>1</v>
      </c>
    </row>
    <row r="3364" hidden="1">
      <c r="A3364" s="82"/>
      <c r="B3364" s="65" t="s">
        <v>411</v>
      </c>
      <c r="C3364" s="65" t="s">
        <v>117</v>
      </c>
      <c r="D3364" s="65"/>
      <c r="E3364" s="65" t="s">
        <v>2337</v>
      </c>
      <c r="F3364" s="83">
        <v>0.7083333333333334</v>
      </c>
      <c r="G3364" s="83">
        <v>0.75</v>
      </c>
      <c r="H3364" s="83">
        <v>0.041666666666666664</v>
      </c>
      <c r="I3364" s="84">
        <v>44378.0</v>
      </c>
      <c r="J3364" s="65" t="b">
        <v>0</v>
      </c>
      <c r="K3364" s="65" t="s">
        <v>150</v>
      </c>
      <c r="L3364" s="85" t="b">
        <f>IF(VLOOKUP(C3364,Projetos!A:L,12,false)=TRUE,TRUE,FALSE)</f>
        <v>1</v>
      </c>
      <c r="M3364" s="74">
        <v>52.48434411075036</v>
      </c>
      <c r="N3364" s="74">
        <f t="shared" si="1"/>
        <v>0</v>
      </c>
      <c r="O3364" s="74" t="b">
        <v>1</v>
      </c>
    </row>
    <row r="3365" hidden="1">
      <c r="A3365" s="82"/>
      <c r="B3365" s="65" t="s">
        <v>411</v>
      </c>
      <c r="C3365" s="65" t="s">
        <v>114</v>
      </c>
      <c r="D3365" s="65" t="str">
        <f>vlookup(C3365,'Classificação p pessoal'!F:G,2,false)</f>
        <v>NP</v>
      </c>
      <c r="E3365" s="65" t="s">
        <v>2338</v>
      </c>
      <c r="F3365" s="83">
        <v>0.34375</v>
      </c>
      <c r="G3365" s="83">
        <v>0.375</v>
      </c>
      <c r="H3365" s="83">
        <v>0.03125</v>
      </c>
      <c r="I3365" s="84">
        <v>44379.0</v>
      </c>
      <c r="J3365" s="65" t="b">
        <v>1</v>
      </c>
      <c r="K3365" s="65"/>
      <c r="L3365" s="85" t="b">
        <f>IF(VLOOKUP(C3365,Projetos!A:L,12,false)=TRUE,TRUE,FALSE)</f>
        <v>1</v>
      </c>
      <c r="M3365" s="74">
        <v>52.48434411075036</v>
      </c>
      <c r="N3365" s="74">
        <f t="shared" si="1"/>
        <v>39.36325808</v>
      </c>
      <c r="O3365" s="74" t="b">
        <v>1</v>
      </c>
    </row>
    <row r="3366" hidden="1">
      <c r="A3366" s="82"/>
      <c r="B3366" s="65" t="s">
        <v>411</v>
      </c>
      <c r="C3366" s="65" t="s">
        <v>119</v>
      </c>
      <c r="D3366" s="65" t="str">
        <f>vlookup(C3366,'Classificação p pessoal'!F:G,2,false)</f>
        <v>NP</v>
      </c>
      <c r="E3366" s="65" t="s">
        <v>2339</v>
      </c>
      <c r="F3366" s="83">
        <v>0.375</v>
      </c>
      <c r="G3366" s="83">
        <v>0.3854166666666667</v>
      </c>
      <c r="H3366" s="83">
        <v>0.010416666666666666</v>
      </c>
      <c r="I3366" s="84">
        <v>44379.0</v>
      </c>
      <c r="J3366" s="65" t="b">
        <v>1</v>
      </c>
      <c r="K3366" s="65"/>
      <c r="L3366" s="85" t="b">
        <f>IF(VLOOKUP(C3366,Projetos!A:L,12,false)=TRUE,TRUE,FALSE)</f>
        <v>1</v>
      </c>
      <c r="M3366" s="74">
        <v>52.48434411075036</v>
      </c>
      <c r="N3366" s="74">
        <f t="shared" si="1"/>
        <v>13.12108603</v>
      </c>
      <c r="O3366" s="74" t="b">
        <v>1</v>
      </c>
    </row>
    <row r="3367" hidden="1">
      <c r="A3367" s="82"/>
      <c r="B3367" s="65" t="s">
        <v>411</v>
      </c>
      <c r="C3367" s="65" t="s">
        <v>117</v>
      </c>
      <c r="D3367" s="65" t="str">
        <f>vlookup(C3367,'Classificação p pessoal'!F:G,2,false)</f>
        <v>NP</v>
      </c>
      <c r="E3367" s="65" t="s">
        <v>2340</v>
      </c>
      <c r="F3367" s="83">
        <v>0.3854166666666667</v>
      </c>
      <c r="G3367" s="83">
        <v>0.4375</v>
      </c>
      <c r="H3367" s="83">
        <v>0.052083333333333336</v>
      </c>
      <c r="I3367" s="84">
        <v>44379.0</v>
      </c>
      <c r="J3367" s="65" t="b">
        <v>1</v>
      </c>
      <c r="K3367" s="65"/>
      <c r="L3367" s="85" t="b">
        <f>IF(VLOOKUP(C3367,Projetos!A:L,12,false)=TRUE,TRUE,FALSE)</f>
        <v>1</v>
      </c>
      <c r="M3367" s="74">
        <v>52.48434411075036</v>
      </c>
      <c r="N3367" s="74">
        <f t="shared" si="1"/>
        <v>65.60543014</v>
      </c>
      <c r="O3367" s="74" t="b">
        <v>1</v>
      </c>
    </row>
    <row r="3368" hidden="1">
      <c r="A3368" s="82"/>
      <c r="B3368" s="65" t="s">
        <v>411</v>
      </c>
      <c r="C3368" s="65" t="s">
        <v>121</v>
      </c>
      <c r="D3368" s="65"/>
      <c r="E3368" s="65" t="s">
        <v>484</v>
      </c>
      <c r="F3368" s="83">
        <v>0.4375</v>
      </c>
      <c r="G3368" s="83">
        <v>0.5208333333333334</v>
      </c>
      <c r="H3368" s="83">
        <v>0.08333333333333333</v>
      </c>
      <c r="I3368" s="84">
        <v>44379.0</v>
      </c>
      <c r="J3368" s="65" t="b">
        <v>0</v>
      </c>
      <c r="K3368" s="65" t="s">
        <v>150</v>
      </c>
      <c r="L3368" s="85" t="b">
        <f>IF(VLOOKUP(C3368,Projetos!A:L,12,false)=TRUE,TRUE,FALSE)</f>
        <v>1</v>
      </c>
      <c r="M3368" s="74">
        <v>52.48434411075036</v>
      </c>
      <c r="N3368" s="74">
        <f t="shared" si="1"/>
        <v>0</v>
      </c>
      <c r="O3368" s="74" t="b">
        <v>1</v>
      </c>
    </row>
    <row r="3369" hidden="1">
      <c r="A3369" s="82"/>
      <c r="B3369" s="65" t="s">
        <v>411</v>
      </c>
      <c r="C3369" s="65" t="s">
        <v>117</v>
      </c>
      <c r="D3369" s="65" t="str">
        <f>vlookup(C3369,'Classificação p pessoal'!F:G,2,false)</f>
        <v>NP</v>
      </c>
      <c r="E3369" s="65" t="s">
        <v>2341</v>
      </c>
      <c r="F3369" s="83">
        <v>0.5208333333333334</v>
      </c>
      <c r="G3369" s="83">
        <v>0.5833333333333334</v>
      </c>
      <c r="H3369" s="83">
        <v>0.0625</v>
      </c>
      <c r="I3369" s="84">
        <v>44379.0</v>
      </c>
      <c r="J3369" s="65" t="b">
        <v>1</v>
      </c>
      <c r="K3369" s="65"/>
      <c r="L3369" s="85" t="b">
        <f>IF(VLOOKUP(C3369,Projetos!A:L,12,false)=TRUE,TRUE,FALSE)</f>
        <v>1</v>
      </c>
      <c r="M3369" s="74">
        <v>52.48434411075036</v>
      </c>
      <c r="N3369" s="74">
        <f t="shared" si="1"/>
        <v>78.72651617</v>
      </c>
      <c r="O3369" s="74" t="b">
        <v>1</v>
      </c>
    </row>
    <row r="3370" hidden="1">
      <c r="A3370" s="82"/>
      <c r="B3370" s="65" t="s">
        <v>411</v>
      </c>
      <c r="C3370" s="65" t="s">
        <v>117</v>
      </c>
      <c r="D3370" s="65" t="str">
        <f>vlookup(C3370,'Classificação p pessoal'!F:G,2,false)</f>
        <v>NP</v>
      </c>
      <c r="E3370" s="65" t="s">
        <v>2342</v>
      </c>
      <c r="F3370" s="83">
        <v>0.625</v>
      </c>
      <c r="G3370" s="83">
        <v>0.75</v>
      </c>
      <c r="H3370" s="83">
        <v>0.125</v>
      </c>
      <c r="I3370" s="84">
        <v>44379.0</v>
      </c>
      <c r="J3370" s="65" t="b">
        <v>1</v>
      </c>
      <c r="K3370" s="65"/>
      <c r="L3370" s="85" t="b">
        <f>IF(VLOOKUP(C3370,Projetos!A:L,12,false)=TRUE,TRUE,FALSE)</f>
        <v>1</v>
      </c>
      <c r="M3370" s="74">
        <v>52.48434411075036</v>
      </c>
      <c r="N3370" s="74">
        <f t="shared" si="1"/>
        <v>157.4530323</v>
      </c>
      <c r="O3370" s="74" t="b">
        <v>1</v>
      </c>
    </row>
    <row r="3371" hidden="1">
      <c r="A3371" s="82"/>
      <c r="B3371" s="65" t="s">
        <v>411</v>
      </c>
      <c r="C3371" s="65" t="s">
        <v>117</v>
      </c>
      <c r="D3371" s="65" t="str">
        <f>vlookup(C3371,'Classificação p pessoal'!F:G,2,false)</f>
        <v>NP</v>
      </c>
      <c r="E3371" s="65" t="s">
        <v>2343</v>
      </c>
      <c r="F3371" s="83">
        <v>0.34375</v>
      </c>
      <c r="G3371" s="83">
        <v>0.375</v>
      </c>
      <c r="H3371" s="83">
        <v>0.03125</v>
      </c>
      <c r="I3371" s="84">
        <v>44382.0</v>
      </c>
      <c r="J3371" s="65" t="b">
        <v>1</v>
      </c>
      <c r="K3371" s="65"/>
      <c r="L3371" s="85" t="b">
        <f>IF(VLOOKUP(C3371,Projetos!A:L,12,false)=TRUE,TRUE,FALSE)</f>
        <v>1</v>
      </c>
      <c r="M3371" s="74">
        <v>52.48434411075036</v>
      </c>
      <c r="N3371" s="74">
        <f t="shared" si="1"/>
        <v>39.36325808</v>
      </c>
      <c r="O3371" s="74" t="b">
        <v>1</v>
      </c>
    </row>
    <row r="3372" hidden="1">
      <c r="A3372" s="82"/>
      <c r="B3372" s="65" t="s">
        <v>411</v>
      </c>
      <c r="C3372" s="65" t="s">
        <v>92</v>
      </c>
      <c r="D3372" s="65" t="str">
        <f>vlookup(C3372,'Classificação p pessoal'!F:G,2,false)</f>
        <v/>
      </c>
      <c r="E3372" s="65" t="s">
        <v>2344</v>
      </c>
      <c r="F3372" s="83">
        <v>0.375</v>
      </c>
      <c r="G3372" s="83">
        <v>0.4375</v>
      </c>
      <c r="H3372" s="83">
        <v>0.0625</v>
      </c>
      <c r="I3372" s="84">
        <v>44382.0</v>
      </c>
      <c r="J3372" s="65" t="b">
        <v>1</v>
      </c>
      <c r="K3372" s="65"/>
      <c r="L3372" s="85" t="b">
        <f>IF(VLOOKUP(C3372,Projetos!A:L,12,false)=TRUE,TRUE,FALSE)</f>
        <v>1</v>
      </c>
      <c r="M3372" s="74">
        <v>52.48434411075036</v>
      </c>
      <c r="N3372" s="74">
        <f t="shared" si="1"/>
        <v>78.72651617</v>
      </c>
      <c r="O3372" s="74" t="b">
        <v>1</v>
      </c>
    </row>
    <row r="3373" hidden="1">
      <c r="A3373" s="82"/>
      <c r="B3373" s="65" t="s">
        <v>411</v>
      </c>
      <c r="C3373" s="65" t="s">
        <v>119</v>
      </c>
      <c r="D3373" s="65" t="str">
        <f>vlookup(C3373,'Classificação p pessoal'!F:G,2,false)</f>
        <v>NP</v>
      </c>
      <c r="E3373" s="65" t="s">
        <v>2345</v>
      </c>
      <c r="F3373" s="83">
        <v>0.4375</v>
      </c>
      <c r="G3373" s="83">
        <v>0.4583333333333333</v>
      </c>
      <c r="H3373" s="83">
        <v>0.020833333333333332</v>
      </c>
      <c r="I3373" s="84">
        <v>44382.0</v>
      </c>
      <c r="J3373" s="65" t="b">
        <v>1</v>
      </c>
      <c r="K3373" s="65"/>
      <c r="L3373" s="85" t="b">
        <f>IF(VLOOKUP(C3373,Projetos!A:L,12,false)=TRUE,TRUE,FALSE)</f>
        <v>1</v>
      </c>
      <c r="M3373" s="74">
        <v>52.48434411075036</v>
      </c>
      <c r="N3373" s="74">
        <f t="shared" si="1"/>
        <v>26.24217206</v>
      </c>
      <c r="O3373" s="74" t="b">
        <v>1</v>
      </c>
    </row>
    <row r="3374" hidden="1">
      <c r="A3374" s="82"/>
      <c r="B3374" s="65" t="s">
        <v>411</v>
      </c>
      <c r="C3374" s="65" t="s">
        <v>85</v>
      </c>
      <c r="D3374" s="65" t="str">
        <f>vlookup(C3374,'Classificação p pessoal'!F:G,2,false)</f>
        <v>NP</v>
      </c>
      <c r="E3374" s="65" t="s">
        <v>2346</v>
      </c>
      <c r="F3374" s="83">
        <v>0.4583333333333333</v>
      </c>
      <c r="G3374" s="83">
        <v>0.4791666666666667</v>
      </c>
      <c r="H3374" s="83">
        <v>0.020833333333333332</v>
      </c>
      <c r="I3374" s="84">
        <v>44382.0</v>
      </c>
      <c r="J3374" s="65" t="b">
        <v>1</v>
      </c>
      <c r="K3374" s="65"/>
      <c r="L3374" s="85" t="b">
        <f>IF(VLOOKUP(C3374,Projetos!A:L,12,false)=TRUE,TRUE,FALSE)</f>
        <v>1</v>
      </c>
      <c r="M3374" s="74">
        <v>52.48434411075036</v>
      </c>
      <c r="N3374" s="74">
        <f t="shared" si="1"/>
        <v>26.24217206</v>
      </c>
      <c r="O3374" s="74" t="b">
        <v>1</v>
      </c>
    </row>
    <row r="3375" hidden="1">
      <c r="A3375" s="82"/>
      <c r="B3375" s="65" t="s">
        <v>411</v>
      </c>
      <c r="C3375" s="65" t="s">
        <v>114</v>
      </c>
      <c r="D3375" s="65" t="str">
        <f>vlookup(C3375,'Classificação p pessoal'!F:G,2,false)</f>
        <v>NP</v>
      </c>
      <c r="E3375" s="65" t="s">
        <v>2347</v>
      </c>
      <c r="F3375" s="83">
        <v>0.4791666666666667</v>
      </c>
      <c r="G3375" s="83">
        <v>0.5833333333333334</v>
      </c>
      <c r="H3375" s="83">
        <v>0.10416666666666667</v>
      </c>
      <c r="I3375" s="84">
        <v>44382.0</v>
      </c>
      <c r="J3375" s="65" t="b">
        <v>1</v>
      </c>
      <c r="K3375" s="65"/>
      <c r="L3375" s="85" t="b">
        <f>IF(VLOOKUP(C3375,Projetos!A:L,12,false)=TRUE,TRUE,FALSE)</f>
        <v>1</v>
      </c>
      <c r="M3375" s="74">
        <v>52.48434411075036</v>
      </c>
      <c r="N3375" s="74">
        <f t="shared" si="1"/>
        <v>131.2108603</v>
      </c>
      <c r="O3375" s="74" t="b">
        <v>1</v>
      </c>
    </row>
    <row r="3376" hidden="1">
      <c r="A3376" s="82"/>
      <c r="B3376" s="65" t="s">
        <v>411</v>
      </c>
      <c r="C3376" s="65" t="s">
        <v>117</v>
      </c>
      <c r="D3376" s="65"/>
      <c r="E3376" s="65" t="s">
        <v>2348</v>
      </c>
      <c r="F3376" s="83">
        <v>0.625</v>
      </c>
      <c r="G3376" s="83">
        <v>0.7083333333333334</v>
      </c>
      <c r="H3376" s="83">
        <v>0.08333333333333333</v>
      </c>
      <c r="I3376" s="84">
        <v>44382.0</v>
      </c>
      <c r="J3376" s="65" t="b">
        <v>0</v>
      </c>
      <c r="K3376" s="65" t="s">
        <v>150</v>
      </c>
      <c r="L3376" s="85" t="b">
        <f>IF(VLOOKUP(C3376,Projetos!A:L,12,false)=TRUE,TRUE,FALSE)</f>
        <v>1</v>
      </c>
      <c r="M3376" s="74">
        <v>52.48434411075036</v>
      </c>
      <c r="N3376" s="74">
        <f t="shared" si="1"/>
        <v>0</v>
      </c>
      <c r="O3376" s="74" t="b">
        <v>1</v>
      </c>
    </row>
    <row r="3377" hidden="1">
      <c r="A3377" s="82"/>
      <c r="B3377" s="65" t="s">
        <v>411</v>
      </c>
      <c r="C3377" s="65" t="s">
        <v>92</v>
      </c>
      <c r="D3377" s="65" t="str">
        <f>vlookup(C3377,'Classificação p pessoal'!F:G,2,false)</f>
        <v/>
      </c>
      <c r="E3377" s="65" t="s">
        <v>2349</v>
      </c>
      <c r="F3377" s="83">
        <v>0.7083333333333334</v>
      </c>
      <c r="G3377" s="83">
        <v>0.75</v>
      </c>
      <c r="H3377" s="83">
        <v>0.041666666666666664</v>
      </c>
      <c r="I3377" s="84">
        <v>44382.0</v>
      </c>
      <c r="J3377" s="65" t="b">
        <v>1</v>
      </c>
      <c r="K3377" s="65"/>
      <c r="L3377" s="85" t="b">
        <f>IF(VLOOKUP(C3377,Projetos!A:L,12,false)=TRUE,TRUE,FALSE)</f>
        <v>1</v>
      </c>
      <c r="M3377" s="74">
        <v>52.48434411075036</v>
      </c>
      <c r="N3377" s="74">
        <f t="shared" si="1"/>
        <v>52.48434411</v>
      </c>
      <c r="O3377" s="74" t="b">
        <v>1</v>
      </c>
    </row>
    <row r="3378" hidden="1">
      <c r="A3378" s="82"/>
      <c r="B3378" s="65" t="s">
        <v>411</v>
      </c>
      <c r="C3378" s="65" t="s">
        <v>117</v>
      </c>
      <c r="D3378" s="65" t="str">
        <f>vlookup(C3378,'Classificação p pessoal'!F:G,2,false)</f>
        <v>NP</v>
      </c>
      <c r="E3378" s="65" t="s">
        <v>2350</v>
      </c>
      <c r="F3378" s="83">
        <v>0.34375</v>
      </c>
      <c r="G3378" s="83">
        <v>0.3958333333333333</v>
      </c>
      <c r="H3378" s="83">
        <v>0.052083333333333336</v>
      </c>
      <c r="I3378" s="84">
        <v>44383.0</v>
      </c>
      <c r="J3378" s="65" t="b">
        <v>1</v>
      </c>
      <c r="K3378" s="65"/>
      <c r="L3378" s="85" t="b">
        <f>IF(VLOOKUP(C3378,Projetos!A:L,12,false)=TRUE,TRUE,FALSE)</f>
        <v>1</v>
      </c>
      <c r="M3378" s="74">
        <v>52.48434411075036</v>
      </c>
      <c r="N3378" s="74">
        <f t="shared" si="1"/>
        <v>65.60543014</v>
      </c>
      <c r="O3378" s="74" t="b">
        <v>1</v>
      </c>
    </row>
    <row r="3379" hidden="1">
      <c r="A3379" s="82"/>
      <c r="B3379" s="65" t="s">
        <v>411</v>
      </c>
      <c r="C3379" s="65" t="s">
        <v>92</v>
      </c>
      <c r="D3379" s="65"/>
      <c r="E3379" s="65" t="s">
        <v>2351</v>
      </c>
      <c r="F3379" s="83">
        <v>0.3958333333333333</v>
      </c>
      <c r="G3379" s="83">
        <v>0.4375</v>
      </c>
      <c r="H3379" s="83">
        <v>0.041666666666666664</v>
      </c>
      <c r="I3379" s="84">
        <v>44383.0</v>
      </c>
      <c r="J3379" s="65" t="b">
        <v>0</v>
      </c>
      <c r="K3379" s="65" t="s">
        <v>150</v>
      </c>
      <c r="L3379" s="85" t="b">
        <f>IF(VLOOKUP(C3379,Projetos!A:L,12,false)=TRUE,TRUE,FALSE)</f>
        <v>1</v>
      </c>
      <c r="M3379" s="74">
        <v>52.48434411075036</v>
      </c>
      <c r="N3379" s="74">
        <f t="shared" si="1"/>
        <v>0</v>
      </c>
      <c r="O3379" s="74" t="b">
        <v>1</v>
      </c>
    </row>
    <row r="3380" hidden="1">
      <c r="A3380" s="82"/>
      <c r="B3380" s="65" t="s">
        <v>411</v>
      </c>
      <c r="C3380" s="65" t="s">
        <v>117</v>
      </c>
      <c r="D3380" s="65" t="str">
        <f>vlookup(C3380,'Classificação p pessoal'!F:G,2,false)</f>
        <v>NP</v>
      </c>
      <c r="E3380" s="65" t="s">
        <v>2352</v>
      </c>
      <c r="F3380" s="83">
        <v>0.4375</v>
      </c>
      <c r="G3380" s="83">
        <v>0.5625</v>
      </c>
      <c r="H3380" s="83">
        <v>0.125</v>
      </c>
      <c r="I3380" s="84">
        <v>44383.0</v>
      </c>
      <c r="J3380" s="65" t="b">
        <v>1</v>
      </c>
      <c r="K3380" s="65"/>
      <c r="L3380" s="85" t="b">
        <f>IF(VLOOKUP(C3380,Projetos!A:L,12,false)=TRUE,TRUE,FALSE)</f>
        <v>1</v>
      </c>
      <c r="M3380" s="74">
        <v>52.48434411075036</v>
      </c>
      <c r="N3380" s="74">
        <f t="shared" si="1"/>
        <v>157.4530323</v>
      </c>
      <c r="O3380" s="74" t="b">
        <v>1</v>
      </c>
    </row>
    <row r="3381" hidden="1">
      <c r="A3381" s="82"/>
      <c r="B3381" s="65" t="s">
        <v>411</v>
      </c>
      <c r="C3381" s="65" t="s">
        <v>92</v>
      </c>
      <c r="D3381" s="65" t="str">
        <f>vlookup(C3381,'Classificação p pessoal'!F:G,2,false)</f>
        <v/>
      </c>
      <c r="E3381" s="65" t="s">
        <v>2353</v>
      </c>
      <c r="F3381" s="83">
        <v>0.5625</v>
      </c>
      <c r="G3381" s="83">
        <v>0.5833333333333334</v>
      </c>
      <c r="H3381" s="83">
        <v>0.020833333333333332</v>
      </c>
      <c r="I3381" s="84">
        <v>44383.0</v>
      </c>
      <c r="J3381" s="65" t="b">
        <v>1</v>
      </c>
      <c r="K3381" s="65"/>
      <c r="L3381" s="85" t="b">
        <f>IF(VLOOKUP(C3381,Projetos!A:L,12,false)=TRUE,TRUE,FALSE)</f>
        <v>1</v>
      </c>
      <c r="M3381" s="74">
        <v>52.48434411075036</v>
      </c>
      <c r="N3381" s="74">
        <f t="shared" si="1"/>
        <v>26.24217206</v>
      </c>
      <c r="O3381" s="74" t="b">
        <v>1</v>
      </c>
    </row>
    <row r="3382" hidden="1">
      <c r="A3382" s="82"/>
      <c r="B3382" s="65" t="s">
        <v>411</v>
      </c>
      <c r="C3382" s="65" t="s">
        <v>117</v>
      </c>
      <c r="D3382" s="65" t="str">
        <f>vlookup(C3382,'Classificação p pessoal'!F:G,2,false)</f>
        <v>NP</v>
      </c>
      <c r="E3382" s="65" t="s">
        <v>2354</v>
      </c>
      <c r="F3382" s="83">
        <v>0.625</v>
      </c>
      <c r="G3382" s="83">
        <v>0.6458333333333334</v>
      </c>
      <c r="H3382" s="83">
        <v>0.020833333333333332</v>
      </c>
      <c r="I3382" s="84">
        <v>44383.0</v>
      </c>
      <c r="J3382" s="65" t="b">
        <v>1</v>
      </c>
      <c r="K3382" s="65"/>
      <c r="L3382" s="85" t="b">
        <f>IF(VLOOKUP(C3382,Projetos!A:L,12,false)=TRUE,TRUE,FALSE)</f>
        <v>1</v>
      </c>
      <c r="M3382" s="74">
        <v>52.48434411075036</v>
      </c>
      <c r="N3382" s="74">
        <f t="shared" si="1"/>
        <v>26.24217206</v>
      </c>
      <c r="O3382" s="74" t="b">
        <v>1</v>
      </c>
    </row>
    <row r="3383" hidden="1">
      <c r="A3383" s="82"/>
      <c r="B3383" s="65" t="s">
        <v>411</v>
      </c>
      <c r="C3383" s="65" t="s">
        <v>85</v>
      </c>
      <c r="D3383" s="65" t="str">
        <f>vlookup(C3383,'Classificação p pessoal'!F:G,2,false)</f>
        <v>NP</v>
      </c>
      <c r="E3383" s="65" t="s">
        <v>2355</v>
      </c>
      <c r="F3383" s="83">
        <v>0.6458333333333334</v>
      </c>
      <c r="G3383" s="83">
        <v>0.6875</v>
      </c>
      <c r="H3383" s="83">
        <v>0.041666666666666664</v>
      </c>
      <c r="I3383" s="84">
        <v>44383.0</v>
      </c>
      <c r="J3383" s="65" t="b">
        <v>1</v>
      </c>
      <c r="K3383" s="65"/>
      <c r="L3383" s="85" t="b">
        <f>IF(VLOOKUP(C3383,Projetos!A:L,12,false)=TRUE,TRUE,FALSE)</f>
        <v>1</v>
      </c>
      <c r="M3383" s="74">
        <v>52.48434411075036</v>
      </c>
      <c r="N3383" s="74">
        <f t="shared" si="1"/>
        <v>52.48434411</v>
      </c>
      <c r="O3383" s="74" t="b">
        <v>1</v>
      </c>
    </row>
    <row r="3384" hidden="1">
      <c r="A3384" s="82"/>
      <c r="B3384" s="65" t="s">
        <v>411</v>
      </c>
      <c r="C3384" s="65" t="s">
        <v>123</v>
      </c>
      <c r="D3384" s="65"/>
      <c r="E3384" s="65" t="s">
        <v>2356</v>
      </c>
      <c r="F3384" s="83">
        <v>0.6875</v>
      </c>
      <c r="G3384" s="83">
        <v>0.7083333333333334</v>
      </c>
      <c r="H3384" s="83">
        <v>0.020833333333333332</v>
      </c>
      <c r="I3384" s="84">
        <v>44383.0</v>
      </c>
      <c r="J3384" s="65" t="b">
        <v>0</v>
      </c>
      <c r="K3384" s="65" t="s">
        <v>150</v>
      </c>
      <c r="L3384" s="85" t="b">
        <f>IF(VLOOKUP(C3384,Projetos!A:L,12,false)=TRUE,TRUE,FALSE)</f>
        <v>1</v>
      </c>
      <c r="M3384" s="74">
        <v>52.48434411075036</v>
      </c>
      <c r="N3384" s="74">
        <f t="shared" si="1"/>
        <v>0</v>
      </c>
      <c r="O3384" s="74" t="b">
        <v>1</v>
      </c>
    </row>
    <row r="3385" hidden="1">
      <c r="A3385" s="82"/>
      <c r="B3385" s="65" t="s">
        <v>411</v>
      </c>
      <c r="C3385" s="65" t="s">
        <v>92</v>
      </c>
      <c r="D3385" s="65"/>
      <c r="E3385" s="65" t="s">
        <v>2357</v>
      </c>
      <c r="F3385" s="83">
        <v>0.7083333333333334</v>
      </c>
      <c r="G3385" s="83">
        <v>0.75</v>
      </c>
      <c r="H3385" s="83">
        <v>0.041666666666666664</v>
      </c>
      <c r="I3385" s="84">
        <v>44383.0</v>
      </c>
      <c r="J3385" s="65" t="b">
        <v>0</v>
      </c>
      <c r="K3385" s="65" t="s">
        <v>150</v>
      </c>
      <c r="L3385" s="85" t="b">
        <f>IF(VLOOKUP(C3385,Projetos!A:L,12,false)=TRUE,TRUE,FALSE)</f>
        <v>1</v>
      </c>
      <c r="M3385" s="74">
        <v>52.48434411075036</v>
      </c>
      <c r="N3385" s="74">
        <f t="shared" si="1"/>
        <v>0</v>
      </c>
      <c r="O3385" s="74" t="b">
        <v>1</v>
      </c>
    </row>
    <row r="3386" hidden="1">
      <c r="A3386" s="82"/>
      <c r="B3386" s="65" t="s">
        <v>411</v>
      </c>
      <c r="C3386" s="65" t="s">
        <v>92</v>
      </c>
      <c r="D3386" s="65" t="str">
        <f>vlookup(C3386,'Classificação p pessoal'!F:G,2,false)</f>
        <v/>
      </c>
      <c r="E3386" s="65" t="s">
        <v>2358</v>
      </c>
      <c r="F3386" s="83">
        <v>0.34375</v>
      </c>
      <c r="G3386" s="83">
        <v>0.3958333333333333</v>
      </c>
      <c r="H3386" s="83">
        <v>0.052083333333333336</v>
      </c>
      <c r="I3386" s="84">
        <v>44384.0</v>
      </c>
      <c r="J3386" s="65" t="b">
        <v>1</v>
      </c>
      <c r="K3386" s="65"/>
      <c r="L3386" s="85" t="b">
        <f>IF(VLOOKUP(C3386,Projetos!A:L,12,false)=TRUE,TRUE,FALSE)</f>
        <v>1</v>
      </c>
      <c r="M3386" s="74">
        <v>52.48434411075036</v>
      </c>
      <c r="N3386" s="74">
        <f t="shared" si="1"/>
        <v>65.60543014</v>
      </c>
      <c r="O3386" s="74" t="b">
        <v>1</v>
      </c>
    </row>
    <row r="3387" hidden="1">
      <c r="A3387" s="82"/>
      <c r="B3387" s="65" t="s">
        <v>411</v>
      </c>
      <c r="C3387" s="65" t="s">
        <v>130</v>
      </c>
      <c r="D3387" s="65" t="str">
        <f>vlookup(C3387,'Classificação p pessoal'!F:G,2,false)</f>
        <v>NP</v>
      </c>
      <c r="E3387" s="65" t="s">
        <v>2359</v>
      </c>
      <c r="F3387" s="83">
        <v>0.3958333333333333</v>
      </c>
      <c r="G3387" s="83">
        <v>0.4166666666666667</v>
      </c>
      <c r="H3387" s="83">
        <v>0.020833333333333332</v>
      </c>
      <c r="I3387" s="84">
        <v>44384.0</v>
      </c>
      <c r="J3387" s="65" t="b">
        <v>1</v>
      </c>
      <c r="K3387" s="65"/>
      <c r="L3387" s="85" t="b">
        <f>IF(VLOOKUP(C3387,Projetos!A:L,12,false)=TRUE,TRUE,FALSE)</f>
        <v>1</v>
      </c>
      <c r="M3387" s="74">
        <v>52.48434411075036</v>
      </c>
      <c r="N3387" s="74">
        <f t="shared" si="1"/>
        <v>26.24217206</v>
      </c>
      <c r="O3387" s="74" t="b">
        <v>1</v>
      </c>
    </row>
    <row r="3388" hidden="1">
      <c r="A3388" s="82"/>
      <c r="B3388" s="65" t="s">
        <v>411</v>
      </c>
      <c r="C3388" s="65" t="s">
        <v>117</v>
      </c>
      <c r="D3388" s="65" t="str">
        <f>vlookup(C3388,'Classificação p pessoal'!F:G,2,false)</f>
        <v>NP</v>
      </c>
      <c r="E3388" s="65" t="s">
        <v>2360</v>
      </c>
      <c r="F3388" s="83">
        <v>0.4166666666666667</v>
      </c>
      <c r="G3388" s="83">
        <v>0.4583333333333333</v>
      </c>
      <c r="H3388" s="83">
        <v>0.041666666666666664</v>
      </c>
      <c r="I3388" s="84">
        <v>44384.0</v>
      </c>
      <c r="J3388" s="65" t="b">
        <v>1</v>
      </c>
      <c r="K3388" s="65"/>
      <c r="L3388" s="85" t="b">
        <f>IF(VLOOKUP(C3388,Projetos!A:L,12,false)=TRUE,TRUE,FALSE)</f>
        <v>1</v>
      </c>
      <c r="M3388" s="74">
        <v>52.48434411075036</v>
      </c>
      <c r="N3388" s="74">
        <f t="shared" si="1"/>
        <v>52.48434411</v>
      </c>
      <c r="O3388" s="74" t="b">
        <v>1</v>
      </c>
    </row>
    <row r="3389" hidden="1">
      <c r="A3389" s="82"/>
      <c r="B3389" s="65" t="s">
        <v>411</v>
      </c>
      <c r="C3389" s="65" t="s">
        <v>125</v>
      </c>
      <c r="D3389" s="65"/>
      <c r="E3389" s="65" t="s">
        <v>2361</v>
      </c>
      <c r="F3389" s="83">
        <v>0.4583333333333333</v>
      </c>
      <c r="G3389" s="83">
        <v>0.4791666666666667</v>
      </c>
      <c r="H3389" s="83">
        <v>0.020833333333333332</v>
      </c>
      <c r="I3389" s="84">
        <v>44384.0</v>
      </c>
      <c r="J3389" s="65" t="b">
        <v>0</v>
      </c>
      <c r="K3389" s="65" t="s">
        <v>150</v>
      </c>
      <c r="L3389" s="85" t="b">
        <f>IF(VLOOKUP(C3389,Projetos!A:L,12,false)=TRUE,TRUE,FALSE)</f>
        <v>1</v>
      </c>
      <c r="M3389" s="74">
        <v>52.48434411075036</v>
      </c>
      <c r="N3389" s="74">
        <f t="shared" si="1"/>
        <v>0</v>
      </c>
      <c r="O3389" s="74" t="b">
        <v>1</v>
      </c>
    </row>
    <row r="3390" hidden="1">
      <c r="A3390" s="82"/>
      <c r="B3390" s="65" t="s">
        <v>411</v>
      </c>
      <c r="C3390" s="65" t="s">
        <v>109</v>
      </c>
      <c r="D3390" s="65" t="str">
        <f>vlookup(C3390,'Classificação p pessoal'!F:G,2,false)</f>
        <v>NP</v>
      </c>
      <c r="E3390" s="65" t="s">
        <v>2362</v>
      </c>
      <c r="F3390" s="83">
        <v>0.4791666666666667</v>
      </c>
      <c r="G3390" s="83">
        <v>0.5</v>
      </c>
      <c r="H3390" s="83">
        <v>0.020833333333333332</v>
      </c>
      <c r="I3390" s="84">
        <v>44384.0</v>
      </c>
      <c r="J3390" s="65" t="b">
        <v>1</v>
      </c>
      <c r="K3390" s="65"/>
      <c r="L3390" s="85" t="b">
        <f>IF(VLOOKUP(C3390,Projetos!A:L,12,false)=TRUE,TRUE,FALSE)</f>
        <v>1</v>
      </c>
      <c r="M3390" s="74">
        <v>52.48434411075036</v>
      </c>
      <c r="N3390" s="74">
        <f t="shared" si="1"/>
        <v>26.24217206</v>
      </c>
      <c r="O3390" s="74" t="b">
        <v>1</v>
      </c>
    </row>
    <row r="3391" hidden="1">
      <c r="A3391" s="82"/>
      <c r="B3391" s="65" t="s">
        <v>411</v>
      </c>
      <c r="C3391" s="65" t="s">
        <v>130</v>
      </c>
      <c r="D3391" s="65" t="str">
        <f>vlookup(C3391,'Classificação p pessoal'!F:G,2,false)</f>
        <v>NP</v>
      </c>
      <c r="E3391" s="65" t="s">
        <v>2363</v>
      </c>
      <c r="F3391" s="83">
        <v>0.5416666666666666</v>
      </c>
      <c r="G3391" s="83">
        <v>0.6666666666666666</v>
      </c>
      <c r="H3391" s="83">
        <v>0.125</v>
      </c>
      <c r="I3391" s="84">
        <v>44384.0</v>
      </c>
      <c r="J3391" s="65" t="b">
        <v>1</v>
      </c>
      <c r="K3391" s="65"/>
      <c r="L3391" s="85" t="b">
        <f>IF(VLOOKUP(C3391,Projetos!A:L,12,false)=TRUE,TRUE,FALSE)</f>
        <v>1</v>
      </c>
      <c r="M3391" s="74">
        <v>52.48434411075036</v>
      </c>
      <c r="N3391" s="74">
        <f t="shared" si="1"/>
        <v>157.4530323</v>
      </c>
      <c r="O3391" s="74" t="b">
        <v>1</v>
      </c>
    </row>
    <row r="3392" hidden="1">
      <c r="A3392" s="82"/>
      <c r="B3392" s="65" t="s">
        <v>411</v>
      </c>
      <c r="C3392" s="65" t="s">
        <v>125</v>
      </c>
      <c r="D3392" s="65" t="str">
        <f>vlookup(C3392,'Classificação p pessoal'!F:G,2,false)</f>
        <v>MProduto</v>
      </c>
      <c r="E3392" s="65" t="s">
        <v>2364</v>
      </c>
      <c r="F3392" s="83">
        <v>0.6666666666666666</v>
      </c>
      <c r="G3392" s="83">
        <v>0.6875</v>
      </c>
      <c r="H3392" s="83">
        <v>0.020833333333333332</v>
      </c>
      <c r="I3392" s="84">
        <v>44384.0</v>
      </c>
      <c r="J3392" s="65" t="b">
        <v>1</v>
      </c>
      <c r="K3392" s="65"/>
      <c r="L3392" s="85" t="b">
        <f>IF(VLOOKUP(C3392,Projetos!A:L,12,false)=TRUE,TRUE,FALSE)</f>
        <v>1</v>
      </c>
      <c r="M3392" s="74">
        <v>52.48434411075036</v>
      </c>
      <c r="N3392" s="74">
        <f t="shared" si="1"/>
        <v>26.24217206</v>
      </c>
      <c r="O3392" s="74" t="b">
        <v>1</v>
      </c>
    </row>
    <row r="3393" hidden="1">
      <c r="A3393" s="82"/>
      <c r="B3393" s="65" t="s">
        <v>467</v>
      </c>
      <c r="C3393" s="65" t="s">
        <v>92</v>
      </c>
      <c r="D3393" s="65" t="str">
        <f>vlookup(C3393,'Classificação p pessoal'!F:G,2,false)</f>
        <v/>
      </c>
      <c r="E3393" s="65" t="s">
        <v>2365</v>
      </c>
      <c r="F3393" s="83">
        <v>0.3958333333333333</v>
      </c>
      <c r="G3393" s="83">
        <v>0.4583333333333333</v>
      </c>
      <c r="H3393" s="83">
        <v>0.0625</v>
      </c>
      <c r="I3393" s="84">
        <v>44529.0</v>
      </c>
      <c r="J3393" s="65" t="b">
        <v>1</v>
      </c>
      <c r="K3393" s="65"/>
      <c r="L3393" s="85" t="b">
        <f>IF(VLOOKUP(C3393,Projetos!A:L,12,false)=TRUE,TRUE,FALSE)</f>
        <v>1</v>
      </c>
      <c r="M3393" s="74">
        <v>52.1518759018759</v>
      </c>
      <c r="N3393" s="74">
        <f t="shared" si="1"/>
        <v>78.22781385</v>
      </c>
      <c r="O3393" s="74" t="b">
        <v>1</v>
      </c>
    </row>
    <row r="3394" hidden="1">
      <c r="A3394" s="82"/>
      <c r="B3394" s="65" t="s">
        <v>411</v>
      </c>
      <c r="C3394" s="65" t="s">
        <v>85</v>
      </c>
      <c r="D3394" s="65" t="str">
        <f>vlookup(C3394,'Classificação p pessoal'!F:G,2,false)</f>
        <v>NP</v>
      </c>
      <c r="E3394" s="65" t="s">
        <v>2366</v>
      </c>
      <c r="F3394" s="83">
        <v>0.34375</v>
      </c>
      <c r="G3394" s="83">
        <v>0.3645833333333333</v>
      </c>
      <c r="H3394" s="83">
        <v>0.020833333333333332</v>
      </c>
      <c r="I3394" s="84">
        <v>44385.0</v>
      </c>
      <c r="J3394" s="65" t="b">
        <v>1</v>
      </c>
      <c r="K3394" s="65"/>
      <c r="L3394" s="85" t="b">
        <f>IF(VLOOKUP(C3394,Projetos!A:L,12,false)=TRUE,TRUE,FALSE)</f>
        <v>1</v>
      </c>
      <c r="M3394" s="74">
        <v>52.48434411075036</v>
      </c>
      <c r="N3394" s="74">
        <f t="shared" si="1"/>
        <v>26.24217206</v>
      </c>
      <c r="O3394" s="74" t="b">
        <v>1</v>
      </c>
    </row>
    <row r="3395" hidden="1">
      <c r="A3395" s="82"/>
      <c r="B3395" s="65" t="s">
        <v>411</v>
      </c>
      <c r="C3395" s="65" t="s">
        <v>117</v>
      </c>
      <c r="D3395" s="65"/>
      <c r="E3395" s="65" t="s">
        <v>2337</v>
      </c>
      <c r="F3395" s="83">
        <v>0.3645833333333333</v>
      </c>
      <c r="G3395" s="83">
        <v>0.3958333333333333</v>
      </c>
      <c r="H3395" s="83">
        <v>0.03125</v>
      </c>
      <c r="I3395" s="84">
        <v>44385.0</v>
      </c>
      <c r="J3395" s="65" t="b">
        <v>0</v>
      </c>
      <c r="K3395" s="65" t="s">
        <v>150</v>
      </c>
      <c r="L3395" s="85" t="b">
        <f>IF(VLOOKUP(C3395,Projetos!A:L,12,false)=TRUE,TRUE,FALSE)</f>
        <v>1</v>
      </c>
      <c r="M3395" s="74">
        <v>52.48434411075036</v>
      </c>
      <c r="N3395" s="74">
        <f t="shared" si="1"/>
        <v>0</v>
      </c>
      <c r="O3395" s="74" t="b">
        <v>1</v>
      </c>
    </row>
    <row r="3396" hidden="1">
      <c r="A3396" s="82"/>
      <c r="B3396" s="65" t="s">
        <v>411</v>
      </c>
      <c r="C3396" s="65" t="s">
        <v>92</v>
      </c>
      <c r="D3396" s="65" t="str">
        <f>vlookup(C3396,'Classificação p pessoal'!F:G,2,false)</f>
        <v/>
      </c>
      <c r="E3396" s="65" t="s">
        <v>2358</v>
      </c>
      <c r="F3396" s="83">
        <v>0.3958333333333333</v>
      </c>
      <c r="G3396" s="83">
        <v>0.4375</v>
      </c>
      <c r="H3396" s="83">
        <v>0.041666666666666664</v>
      </c>
      <c r="I3396" s="84">
        <v>44385.0</v>
      </c>
      <c r="J3396" s="65" t="b">
        <v>1</v>
      </c>
      <c r="K3396" s="65"/>
      <c r="L3396" s="85" t="b">
        <f>IF(VLOOKUP(C3396,Projetos!A:L,12,false)=TRUE,TRUE,FALSE)</f>
        <v>1</v>
      </c>
      <c r="M3396" s="74">
        <v>52.48434411075036</v>
      </c>
      <c r="N3396" s="74">
        <f t="shared" si="1"/>
        <v>52.48434411</v>
      </c>
      <c r="O3396" s="74" t="b">
        <v>1</v>
      </c>
    </row>
    <row r="3397" hidden="1">
      <c r="A3397" s="82"/>
      <c r="B3397" s="65" t="s">
        <v>411</v>
      </c>
      <c r="C3397" s="65" t="s">
        <v>127</v>
      </c>
      <c r="D3397" s="65" t="str">
        <f>vlookup(C3397,'Classificação p pessoal'!F:G,2,false)</f>
        <v>NP</v>
      </c>
      <c r="E3397" s="65" t="s">
        <v>2367</v>
      </c>
      <c r="F3397" s="83">
        <v>0.4375</v>
      </c>
      <c r="G3397" s="83">
        <v>0.5</v>
      </c>
      <c r="H3397" s="83">
        <v>0.0625</v>
      </c>
      <c r="I3397" s="84">
        <v>44385.0</v>
      </c>
      <c r="J3397" s="65" t="b">
        <v>1</v>
      </c>
      <c r="K3397" s="65"/>
      <c r="L3397" s="85" t="b">
        <f>IF(VLOOKUP(C3397,Projetos!A:L,12,false)=TRUE,TRUE,FALSE)</f>
        <v>1</v>
      </c>
      <c r="M3397" s="74">
        <v>52.48434411075036</v>
      </c>
      <c r="N3397" s="74">
        <f t="shared" si="1"/>
        <v>78.72651617</v>
      </c>
      <c r="O3397" s="74" t="b">
        <v>1</v>
      </c>
    </row>
    <row r="3398" hidden="1">
      <c r="A3398" s="82"/>
      <c r="B3398" s="65" t="s">
        <v>411</v>
      </c>
      <c r="C3398" s="65" t="s">
        <v>117</v>
      </c>
      <c r="D3398" s="65" t="str">
        <f>vlookup(C3398,'Classificação p pessoal'!F:G,2,false)</f>
        <v>NP</v>
      </c>
      <c r="E3398" s="65" t="s">
        <v>2368</v>
      </c>
      <c r="F3398" s="83">
        <v>0.5</v>
      </c>
      <c r="G3398" s="83">
        <v>0.5833333333333334</v>
      </c>
      <c r="H3398" s="83">
        <v>0.08333333333333333</v>
      </c>
      <c r="I3398" s="84">
        <v>44385.0</v>
      </c>
      <c r="J3398" s="65" t="b">
        <v>1</v>
      </c>
      <c r="K3398" s="65"/>
      <c r="L3398" s="85" t="b">
        <f>IF(VLOOKUP(C3398,Projetos!A:L,12,false)=TRUE,TRUE,FALSE)</f>
        <v>1</v>
      </c>
      <c r="M3398" s="74">
        <v>52.48434411075036</v>
      </c>
      <c r="N3398" s="74">
        <f t="shared" si="1"/>
        <v>104.9686882</v>
      </c>
      <c r="O3398" s="74" t="b">
        <v>1</v>
      </c>
    </row>
    <row r="3399" hidden="1">
      <c r="A3399" s="82"/>
      <c r="B3399" s="65" t="s">
        <v>411</v>
      </c>
      <c r="C3399" s="65" t="s">
        <v>117</v>
      </c>
      <c r="D3399" s="65" t="str">
        <f>vlookup(C3399,'Classificação p pessoal'!F:G,2,false)</f>
        <v>NP</v>
      </c>
      <c r="E3399" s="65" t="s">
        <v>2369</v>
      </c>
      <c r="F3399" s="83">
        <v>0.625</v>
      </c>
      <c r="G3399" s="83">
        <v>0.6666666666666666</v>
      </c>
      <c r="H3399" s="83">
        <v>0.041666666666666664</v>
      </c>
      <c r="I3399" s="84">
        <v>44385.0</v>
      </c>
      <c r="J3399" s="65" t="b">
        <v>1</v>
      </c>
      <c r="K3399" s="65"/>
      <c r="L3399" s="85" t="b">
        <f>IF(VLOOKUP(C3399,Projetos!A:L,12,false)=TRUE,TRUE,FALSE)</f>
        <v>1</v>
      </c>
      <c r="M3399" s="74">
        <v>52.48434411075036</v>
      </c>
      <c r="N3399" s="74">
        <f t="shared" si="1"/>
        <v>52.48434411</v>
      </c>
      <c r="O3399" s="74" t="b">
        <v>1</v>
      </c>
    </row>
    <row r="3400" hidden="1">
      <c r="A3400" s="82"/>
      <c r="B3400" s="65" t="s">
        <v>411</v>
      </c>
      <c r="C3400" s="65" t="s">
        <v>85</v>
      </c>
      <c r="D3400" s="65" t="str">
        <f>vlookup(C3400,'Classificação p pessoal'!F:G,2,false)</f>
        <v>NP</v>
      </c>
      <c r="E3400" s="65" t="s">
        <v>2370</v>
      </c>
      <c r="F3400" s="83">
        <v>0.6666666666666666</v>
      </c>
      <c r="G3400" s="83">
        <v>0.7083333333333334</v>
      </c>
      <c r="H3400" s="83">
        <v>0.041666666666666664</v>
      </c>
      <c r="I3400" s="84">
        <v>44385.0</v>
      </c>
      <c r="J3400" s="65" t="b">
        <v>1</v>
      </c>
      <c r="K3400" s="65"/>
      <c r="L3400" s="85" t="b">
        <f>IF(VLOOKUP(C3400,Projetos!A:L,12,false)=TRUE,TRUE,FALSE)</f>
        <v>1</v>
      </c>
      <c r="M3400" s="74">
        <v>52.48434411075036</v>
      </c>
      <c r="N3400" s="74">
        <f t="shared" si="1"/>
        <v>52.48434411</v>
      </c>
      <c r="O3400" s="74" t="b">
        <v>1</v>
      </c>
    </row>
    <row r="3401" hidden="1">
      <c r="A3401" s="82"/>
      <c r="B3401" s="65" t="s">
        <v>411</v>
      </c>
      <c r="C3401" s="65" t="s">
        <v>117</v>
      </c>
      <c r="D3401" s="65" t="str">
        <f>vlookup(C3401,'Classificação p pessoal'!F:G,2,false)</f>
        <v>NP</v>
      </c>
      <c r="E3401" s="65" t="s">
        <v>2371</v>
      </c>
      <c r="F3401" s="83">
        <v>0.7083333333333334</v>
      </c>
      <c r="G3401" s="83">
        <v>0.75</v>
      </c>
      <c r="H3401" s="83">
        <v>0.041666666666666664</v>
      </c>
      <c r="I3401" s="84">
        <v>44385.0</v>
      </c>
      <c r="J3401" s="65" t="b">
        <v>1</v>
      </c>
      <c r="K3401" s="65"/>
      <c r="L3401" s="85" t="b">
        <f>IF(VLOOKUP(C3401,Projetos!A:L,12,false)=TRUE,TRUE,FALSE)</f>
        <v>1</v>
      </c>
      <c r="M3401" s="74">
        <v>52.48434411075036</v>
      </c>
      <c r="N3401" s="74">
        <f t="shared" si="1"/>
        <v>52.48434411</v>
      </c>
      <c r="O3401" s="74" t="b">
        <v>1</v>
      </c>
    </row>
    <row r="3402" hidden="1">
      <c r="A3402" s="82"/>
      <c r="B3402" s="65" t="s">
        <v>411</v>
      </c>
      <c r="C3402" s="65" t="s">
        <v>117</v>
      </c>
      <c r="D3402" s="65"/>
      <c r="E3402" s="65" t="s">
        <v>2372</v>
      </c>
      <c r="F3402" s="83">
        <v>0.34375</v>
      </c>
      <c r="G3402" s="83">
        <v>0.4166666666666667</v>
      </c>
      <c r="H3402" s="83">
        <v>0.07291666666666667</v>
      </c>
      <c r="I3402" s="84">
        <v>44386.0</v>
      </c>
      <c r="J3402" s="65" t="b">
        <v>0</v>
      </c>
      <c r="K3402" s="65" t="s">
        <v>150</v>
      </c>
      <c r="L3402" s="85" t="b">
        <f>IF(VLOOKUP(C3402,Projetos!A:L,12,false)=TRUE,TRUE,FALSE)</f>
        <v>1</v>
      </c>
      <c r="M3402" s="74">
        <v>52.48434411075036</v>
      </c>
      <c r="N3402" s="74">
        <f t="shared" si="1"/>
        <v>0</v>
      </c>
      <c r="O3402" s="74" t="b">
        <v>1</v>
      </c>
    </row>
    <row r="3403" hidden="1">
      <c r="A3403" s="82"/>
      <c r="B3403" s="65" t="s">
        <v>411</v>
      </c>
      <c r="C3403" s="65" t="s">
        <v>108</v>
      </c>
      <c r="D3403" s="65" t="str">
        <f>vlookup(C3403,'Classificação p pessoal'!F:G,2,false)</f>
        <v>NP</v>
      </c>
      <c r="E3403" s="65" t="s">
        <v>2373</v>
      </c>
      <c r="F3403" s="83">
        <v>0.4166666666666667</v>
      </c>
      <c r="G3403" s="83">
        <v>0.4583333333333333</v>
      </c>
      <c r="H3403" s="83">
        <v>0.041666666666666664</v>
      </c>
      <c r="I3403" s="84">
        <v>44386.0</v>
      </c>
      <c r="J3403" s="65" t="b">
        <v>1</v>
      </c>
      <c r="K3403" s="65"/>
      <c r="L3403" s="85" t="b">
        <f>IF(VLOOKUP(C3403,Projetos!A:L,12,false)=TRUE,TRUE,FALSE)</f>
        <v>1</v>
      </c>
      <c r="M3403" s="74">
        <v>52.48434411075036</v>
      </c>
      <c r="N3403" s="74">
        <f t="shared" si="1"/>
        <v>52.48434411</v>
      </c>
      <c r="O3403" s="74" t="b">
        <v>1</v>
      </c>
    </row>
    <row r="3404" hidden="1">
      <c r="A3404" s="82"/>
      <c r="B3404" s="65" t="s">
        <v>411</v>
      </c>
      <c r="C3404" s="65" t="s">
        <v>127</v>
      </c>
      <c r="D3404" s="65" t="str">
        <f>vlookup(C3404,'Classificação p pessoal'!F:G,2,false)</f>
        <v>NP</v>
      </c>
      <c r="E3404" s="65" t="s">
        <v>2374</v>
      </c>
      <c r="F3404" s="83">
        <v>0.4583333333333333</v>
      </c>
      <c r="G3404" s="83">
        <v>0.5625</v>
      </c>
      <c r="H3404" s="83">
        <v>0.10416666666666667</v>
      </c>
      <c r="I3404" s="84">
        <v>44386.0</v>
      </c>
      <c r="J3404" s="65" t="b">
        <v>1</v>
      </c>
      <c r="K3404" s="65"/>
      <c r="L3404" s="85" t="b">
        <f>IF(VLOOKUP(C3404,Projetos!A:L,12,false)=TRUE,TRUE,FALSE)</f>
        <v>1</v>
      </c>
      <c r="M3404" s="74">
        <v>52.48434411075036</v>
      </c>
      <c r="N3404" s="74">
        <f t="shared" si="1"/>
        <v>131.2108603</v>
      </c>
      <c r="O3404" s="74" t="b">
        <v>1</v>
      </c>
    </row>
    <row r="3405" hidden="1">
      <c r="A3405" s="82"/>
      <c r="B3405" s="65" t="s">
        <v>411</v>
      </c>
      <c r="C3405" s="65" t="s">
        <v>117</v>
      </c>
      <c r="D3405" s="65" t="str">
        <f>vlookup(C3405,'Classificação p pessoal'!F:G,2,false)</f>
        <v>NP</v>
      </c>
      <c r="E3405" s="65" t="s">
        <v>2375</v>
      </c>
      <c r="F3405" s="83">
        <v>0.6041666666666666</v>
      </c>
      <c r="G3405" s="83">
        <v>0.6875</v>
      </c>
      <c r="H3405" s="83">
        <v>0.08333333333333333</v>
      </c>
      <c r="I3405" s="84">
        <v>44386.0</v>
      </c>
      <c r="J3405" s="65" t="b">
        <v>1</v>
      </c>
      <c r="K3405" s="65"/>
      <c r="L3405" s="85" t="b">
        <f>IF(VLOOKUP(C3405,Projetos!A:L,12,false)=TRUE,TRUE,FALSE)</f>
        <v>1</v>
      </c>
      <c r="M3405" s="74">
        <v>52.48434411075036</v>
      </c>
      <c r="N3405" s="74">
        <f t="shared" si="1"/>
        <v>104.9686882</v>
      </c>
      <c r="O3405" s="74" t="b">
        <v>1</v>
      </c>
    </row>
    <row r="3406" hidden="1">
      <c r="A3406" s="82"/>
      <c r="B3406" s="65" t="s">
        <v>411</v>
      </c>
      <c r="C3406" s="65" t="s">
        <v>92</v>
      </c>
      <c r="D3406" s="65" t="str">
        <f>vlookup(C3406,'Classificação p pessoal'!F:G,2,false)</f>
        <v/>
      </c>
      <c r="E3406" s="65" t="s">
        <v>2376</v>
      </c>
      <c r="F3406" s="83">
        <v>0.6875</v>
      </c>
      <c r="G3406" s="83">
        <v>0.75</v>
      </c>
      <c r="H3406" s="83">
        <v>0.0625</v>
      </c>
      <c r="I3406" s="84">
        <v>44386.0</v>
      </c>
      <c r="J3406" s="65" t="b">
        <v>1</v>
      </c>
      <c r="K3406" s="65"/>
      <c r="L3406" s="85" t="b">
        <f>IF(VLOOKUP(C3406,Projetos!A:L,12,false)=TRUE,TRUE,FALSE)</f>
        <v>1</v>
      </c>
      <c r="M3406" s="74">
        <v>52.48434411075036</v>
      </c>
      <c r="N3406" s="74">
        <f t="shared" si="1"/>
        <v>78.72651617</v>
      </c>
      <c r="O3406" s="74" t="b">
        <v>1</v>
      </c>
    </row>
    <row r="3407" hidden="1">
      <c r="A3407" s="82"/>
      <c r="B3407" s="65" t="s">
        <v>411</v>
      </c>
      <c r="C3407" s="65" t="s">
        <v>117</v>
      </c>
      <c r="D3407" s="65" t="str">
        <f>vlookup(C3407,'Classificação p pessoal'!F:G,2,false)</f>
        <v>NP</v>
      </c>
      <c r="E3407" s="65" t="s">
        <v>2130</v>
      </c>
      <c r="F3407" s="83">
        <v>0.34375</v>
      </c>
      <c r="G3407" s="83">
        <v>0.3541666666666667</v>
      </c>
      <c r="H3407" s="83">
        <v>0.010416666666666666</v>
      </c>
      <c r="I3407" s="84">
        <v>44389.0</v>
      </c>
      <c r="J3407" s="65" t="b">
        <v>1</v>
      </c>
      <c r="K3407" s="65"/>
      <c r="L3407" s="85" t="b">
        <f>IF(VLOOKUP(C3407,Projetos!A:L,12,false)=TRUE,TRUE,FALSE)</f>
        <v>1</v>
      </c>
      <c r="M3407" s="74">
        <v>52.48434411075036</v>
      </c>
      <c r="N3407" s="74">
        <f t="shared" si="1"/>
        <v>13.12108603</v>
      </c>
      <c r="O3407" s="74" t="b">
        <v>1</v>
      </c>
    </row>
    <row r="3408" hidden="1">
      <c r="A3408" s="82"/>
      <c r="B3408" s="65" t="s">
        <v>411</v>
      </c>
      <c r="C3408" s="65" t="s">
        <v>123</v>
      </c>
      <c r="D3408" s="65" t="str">
        <f>vlookup(C3408,'Classificação p pessoal'!F:G,2,false)</f>
        <v>NP</v>
      </c>
      <c r="E3408" s="65" t="s">
        <v>2377</v>
      </c>
      <c r="F3408" s="83">
        <v>0.4375</v>
      </c>
      <c r="G3408" s="83">
        <v>0.4583333333333333</v>
      </c>
      <c r="H3408" s="83">
        <v>0.020833333333333332</v>
      </c>
      <c r="I3408" s="84">
        <v>44389.0</v>
      </c>
      <c r="J3408" s="65" t="b">
        <v>1</v>
      </c>
      <c r="K3408" s="65"/>
      <c r="L3408" s="85" t="b">
        <f>IF(VLOOKUP(C3408,Projetos!A:L,12,false)=TRUE,TRUE,FALSE)</f>
        <v>1</v>
      </c>
      <c r="M3408" s="74">
        <v>52.48434411075036</v>
      </c>
      <c r="N3408" s="74">
        <f t="shared" si="1"/>
        <v>26.24217206</v>
      </c>
      <c r="O3408" s="74" t="b">
        <v>1</v>
      </c>
    </row>
    <row r="3409" hidden="1">
      <c r="A3409" s="82"/>
      <c r="B3409" s="65" t="s">
        <v>411</v>
      </c>
      <c r="C3409" s="65" t="s">
        <v>109</v>
      </c>
      <c r="D3409" s="65" t="str">
        <f>vlookup(C3409,'Classificação p pessoal'!F:G,2,false)</f>
        <v>NP</v>
      </c>
      <c r="E3409" s="65" t="s">
        <v>2378</v>
      </c>
      <c r="F3409" s="83">
        <v>0.4583333333333333</v>
      </c>
      <c r="G3409" s="83">
        <v>0.4791666666666667</v>
      </c>
      <c r="H3409" s="83">
        <v>0.020833333333333332</v>
      </c>
      <c r="I3409" s="84">
        <v>44389.0</v>
      </c>
      <c r="J3409" s="65" t="b">
        <v>1</v>
      </c>
      <c r="K3409" s="65"/>
      <c r="L3409" s="85" t="b">
        <f>IF(VLOOKUP(C3409,Projetos!A:L,12,false)=TRUE,TRUE,FALSE)</f>
        <v>1</v>
      </c>
      <c r="M3409" s="74">
        <v>52.48434411075036</v>
      </c>
      <c r="N3409" s="74">
        <f t="shared" si="1"/>
        <v>26.24217206</v>
      </c>
      <c r="O3409" s="74" t="b">
        <v>1</v>
      </c>
    </row>
    <row r="3410" hidden="1">
      <c r="A3410" s="82"/>
      <c r="B3410" s="65" t="s">
        <v>411</v>
      </c>
      <c r="C3410" s="65" t="s">
        <v>117</v>
      </c>
      <c r="D3410" s="65" t="str">
        <f>vlookup(C3410,'Classificação p pessoal'!F:G,2,false)</f>
        <v>NP</v>
      </c>
      <c r="E3410" s="65" t="s">
        <v>2379</v>
      </c>
      <c r="F3410" s="83">
        <v>0.4791666666666667</v>
      </c>
      <c r="G3410" s="83">
        <v>0.5416666666666666</v>
      </c>
      <c r="H3410" s="83">
        <v>0.0625</v>
      </c>
      <c r="I3410" s="84">
        <v>44389.0</v>
      </c>
      <c r="J3410" s="65" t="b">
        <v>1</v>
      </c>
      <c r="K3410" s="65"/>
      <c r="L3410" s="85" t="b">
        <f>IF(VLOOKUP(C3410,Projetos!A:L,12,false)=TRUE,TRUE,FALSE)</f>
        <v>1</v>
      </c>
      <c r="M3410" s="74">
        <v>52.48434411075036</v>
      </c>
      <c r="N3410" s="74">
        <f t="shared" si="1"/>
        <v>78.72651617</v>
      </c>
      <c r="O3410" s="74" t="b">
        <v>1</v>
      </c>
    </row>
    <row r="3411" hidden="1">
      <c r="A3411" s="82"/>
      <c r="B3411" s="65" t="s">
        <v>411</v>
      </c>
      <c r="C3411" s="65" t="s">
        <v>117</v>
      </c>
      <c r="D3411" s="65" t="str">
        <f>vlookup(C3411,'Classificação p pessoal'!F:G,2,false)</f>
        <v>NP</v>
      </c>
      <c r="E3411" s="65" t="s">
        <v>2380</v>
      </c>
      <c r="F3411" s="83">
        <v>0.5833333333333334</v>
      </c>
      <c r="G3411" s="83">
        <v>0.625</v>
      </c>
      <c r="H3411" s="83">
        <v>0.041666666666666664</v>
      </c>
      <c r="I3411" s="84">
        <v>44389.0</v>
      </c>
      <c r="J3411" s="65" t="b">
        <v>1</v>
      </c>
      <c r="K3411" s="65"/>
      <c r="L3411" s="85" t="b">
        <f>IF(VLOOKUP(C3411,Projetos!A:L,12,false)=TRUE,TRUE,FALSE)</f>
        <v>1</v>
      </c>
      <c r="M3411" s="74">
        <v>52.48434411075036</v>
      </c>
      <c r="N3411" s="74">
        <f t="shared" si="1"/>
        <v>52.48434411</v>
      </c>
      <c r="O3411" s="74" t="b">
        <v>1</v>
      </c>
    </row>
    <row r="3412" hidden="1">
      <c r="A3412" s="82"/>
      <c r="B3412" s="65" t="s">
        <v>411</v>
      </c>
      <c r="C3412" s="65" t="s">
        <v>127</v>
      </c>
      <c r="D3412" s="65" t="str">
        <f>vlookup(C3412,'Classificação p pessoal'!F:G,2,false)</f>
        <v>NP</v>
      </c>
      <c r="E3412" s="65" t="s">
        <v>2381</v>
      </c>
      <c r="F3412" s="83">
        <v>0.625</v>
      </c>
      <c r="G3412" s="83">
        <v>0.6354166666666666</v>
      </c>
      <c r="H3412" s="83">
        <v>0.010416666666666666</v>
      </c>
      <c r="I3412" s="84">
        <v>44389.0</v>
      </c>
      <c r="J3412" s="65" t="b">
        <v>1</v>
      </c>
      <c r="K3412" s="65"/>
      <c r="L3412" s="85" t="b">
        <f>IF(VLOOKUP(C3412,Projetos!A:L,12,false)=TRUE,TRUE,FALSE)</f>
        <v>1</v>
      </c>
      <c r="M3412" s="74">
        <v>52.48434411075036</v>
      </c>
      <c r="N3412" s="74">
        <f t="shared" si="1"/>
        <v>13.12108603</v>
      </c>
      <c r="O3412" s="74" t="b">
        <v>1</v>
      </c>
    </row>
    <row r="3413" hidden="1">
      <c r="A3413" s="82"/>
      <c r="B3413" s="65" t="s">
        <v>411</v>
      </c>
      <c r="C3413" s="65" t="s">
        <v>114</v>
      </c>
      <c r="D3413" s="65" t="str">
        <f>vlookup(C3413,'Classificação p pessoal'!F:G,2,false)</f>
        <v>NP</v>
      </c>
      <c r="E3413" s="65" t="s">
        <v>2382</v>
      </c>
      <c r="F3413" s="83">
        <v>0.6354166666666666</v>
      </c>
      <c r="G3413" s="83">
        <v>0.75</v>
      </c>
      <c r="H3413" s="83">
        <v>0.11458333333333333</v>
      </c>
      <c r="I3413" s="84">
        <v>44389.0</v>
      </c>
      <c r="J3413" s="65" t="b">
        <v>1</v>
      </c>
      <c r="K3413" s="65"/>
      <c r="L3413" s="85" t="b">
        <f>IF(VLOOKUP(C3413,Projetos!A:L,12,false)=TRUE,TRUE,FALSE)</f>
        <v>1</v>
      </c>
      <c r="M3413" s="74">
        <v>52.48434411075036</v>
      </c>
      <c r="N3413" s="74">
        <f t="shared" si="1"/>
        <v>144.3319463</v>
      </c>
      <c r="O3413" s="74" t="b">
        <v>1</v>
      </c>
    </row>
    <row r="3414" hidden="1">
      <c r="A3414" s="82"/>
      <c r="B3414" s="65" t="s">
        <v>411</v>
      </c>
      <c r="C3414" s="65" t="s">
        <v>114</v>
      </c>
      <c r="D3414" s="65" t="str">
        <f>vlookup(C3414,'Classificação p pessoal'!F:G,2,false)</f>
        <v>NP</v>
      </c>
      <c r="E3414" s="65" t="s">
        <v>2186</v>
      </c>
      <c r="F3414" s="83">
        <v>0.34375</v>
      </c>
      <c r="G3414" s="83">
        <v>0.375</v>
      </c>
      <c r="H3414" s="83">
        <v>0.03125</v>
      </c>
      <c r="I3414" s="84">
        <v>44390.0</v>
      </c>
      <c r="J3414" s="65" t="b">
        <v>1</v>
      </c>
      <c r="K3414" s="65"/>
      <c r="L3414" s="85" t="b">
        <f>IF(VLOOKUP(C3414,Projetos!A:L,12,false)=TRUE,TRUE,FALSE)</f>
        <v>1</v>
      </c>
      <c r="M3414" s="74">
        <v>52.48434411075036</v>
      </c>
      <c r="N3414" s="74">
        <f t="shared" si="1"/>
        <v>39.36325808</v>
      </c>
      <c r="O3414" s="74" t="b">
        <v>1</v>
      </c>
    </row>
    <row r="3415" hidden="1">
      <c r="A3415" s="82"/>
      <c r="B3415" s="65" t="s">
        <v>411</v>
      </c>
      <c r="C3415" s="65" t="s">
        <v>120</v>
      </c>
      <c r="D3415" s="65"/>
      <c r="E3415" s="65" t="s">
        <v>2383</v>
      </c>
      <c r="F3415" s="83">
        <v>0.375</v>
      </c>
      <c r="G3415" s="83">
        <v>0.3958333333333333</v>
      </c>
      <c r="H3415" s="83">
        <v>0.020833333333333332</v>
      </c>
      <c r="I3415" s="84">
        <v>44390.0</v>
      </c>
      <c r="J3415" s="65" t="b">
        <v>0</v>
      </c>
      <c r="K3415" s="65"/>
      <c r="L3415" s="85" t="b">
        <f>IF(VLOOKUP(C3415,Projetos!A:L,12,false)=TRUE,TRUE,FALSE)</f>
        <v>0</v>
      </c>
      <c r="M3415" s="74">
        <v>52.48434411075036</v>
      </c>
      <c r="N3415" s="74">
        <f t="shared" si="1"/>
        <v>0</v>
      </c>
      <c r="O3415" s="74" t="b">
        <v>0</v>
      </c>
    </row>
    <row r="3416" hidden="1">
      <c r="A3416" s="82"/>
      <c r="B3416" s="65" t="s">
        <v>411</v>
      </c>
      <c r="C3416" s="65" t="s">
        <v>127</v>
      </c>
      <c r="D3416" s="65" t="str">
        <f>vlookup(C3416,'Classificação p pessoal'!F:G,2,false)</f>
        <v>NP</v>
      </c>
      <c r="E3416" s="65" t="s">
        <v>2384</v>
      </c>
      <c r="F3416" s="83">
        <v>0.3958333333333333</v>
      </c>
      <c r="G3416" s="83">
        <v>0.4166666666666667</v>
      </c>
      <c r="H3416" s="83">
        <v>0.020833333333333332</v>
      </c>
      <c r="I3416" s="84">
        <v>44390.0</v>
      </c>
      <c r="J3416" s="65" t="b">
        <v>1</v>
      </c>
      <c r="K3416" s="65"/>
      <c r="L3416" s="85" t="b">
        <f>IF(VLOOKUP(C3416,Projetos!A:L,12,false)=TRUE,TRUE,FALSE)</f>
        <v>1</v>
      </c>
      <c r="M3416" s="74">
        <v>52.48434411075036</v>
      </c>
      <c r="N3416" s="74">
        <f t="shared" si="1"/>
        <v>26.24217206</v>
      </c>
      <c r="O3416" s="74" t="b">
        <v>1</v>
      </c>
    </row>
    <row r="3417" hidden="1">
      <c r="A3417" s="82"/>
      <c r="B3417" s="65" t="s">
        <v>411</v>
      </c>
      <c r="C3417" s="65" t="s">
        <v>109</v>
      </c>
      <c r="D3417" s="65" t="str">
        <f>vlookup(C3417,'Classificação p pessoal'!F:G,2,false)</f>
        <v>NP</v>
      </c>
      <c r="E3417" s="65" t="s">
        <v>2378</v>
      </c>
      <c r="F3417" s="83">
        <v>0.4166666666666667</v>
      </c>
      <c r="G3417" s="83">
        <v>0.4375</v>
      </c>
      <c r="H3417" s="83">
        <v>0.020833333333333332</v>
      </c>
      <c r="I3417" s="84">
        <v>44390.0</v>
      </c>
      <c r="J3417" s="65" t="b">
        <v>1</v>
      </c>
      <c r="K3417" s="65"/>
      <c r="L3417" s="85" t="b">
        <f>IF(VLOOKUP(C3417,Projetos!A:L,12,false)=TRUE,TRUE,FALSE)</f>
        <v>1</v>
      </c>
      <c r="M3417" s="74">
        <v>52.48434411075036</v>
      </c>
      <c r="N3417" s="74">
        <f t="shared" si="1"/>
        <v>26.24217206</v>
      </c>
      <c r="O3417" s="74" t="b">
        <v>1</v>
      </c>
    </row>
    <row r="3418" hidden="1">
      <c r="A3418" s="82"/>
      <c r="B3418" s="65" t="s">
        <v>411</v>
      </c>
      <c r="C3418" s="65" t="s">
        <v>117</v>
      </c>
      <c r="D3418" s="65" t="str">
        <f>vlookup(C3418,'Classificação p pessoal'!F:G,2,false)</f>
        <v>NP</v>
      </c>
      <c r="E3418" s="65" t="s">
        <v>2385</v>
      </c>
      <c r="F3418" s="83">
        <v>0.4375</v>
      </c>
      <c r="G3418" s="83">
        <v>0.4791666666666667</v>
      </c>
      <c r="H3418" s="83">
        <v>0.041666666666666664</v>
      </c>
      <c r="I3418" s="84">
        <v>44390.0</v>
      </c>
      <c r="J3418" s="65" t="b">
        <v>1</v>
      </c>
      <c r="K3418" s="65"/>
      <c r="L3418" s="85" t="b">
        <f>IF(VLOOKUP(C3418,Projetos!A:L,12,false)=TRUE,TRUE,FALSE)</f>
        <v>1</v>
      </c>
      <c r="M3418" s="74">
        <v>52.48434411075036</v>
      </c>
      <c r="N3418" s="74">
        <f t="shared" si="1"/>
        <v>52.48434411</v>
      </c>
      <c r="O3418" s="74" t="b">
        <v>1</v>
      </c>
    </row>
    <row r="3419" hidden="1">
      <c r="A3419" s="82"/>
      <c r="B3419" s="65" t="s">
        <v>411</v>
      </c>
      <c r="C3419" s="65" t="s">
        <v>130</v>
      </c>
      <c r="D3419" s="65" t="str">
        <f>vlookup(C3419,'Classificação p pessoal'!F:G,2,false)</f>
        <v>NP</v>
      </c>
      <c r="E3419" s="65" t="s">
        <v>2386</v>
      </c>
      <c r="F3419" s="83">
        <v>0.5625</v>
      </c>
      <c r="G3419" s="83">
        <v>0.6458333333333334</v>
      </c>
      <c r="H3419" s="83">
        <v>0.08333333333333333</v>
      </c>
      <c r="I3419" s="84">
        <v>44390.0</v>
      </c>
      <c r="J3419" s="65" t="b">
        <v>1</v>
      </c>
      <c r="K3419" s="65"/>
      <c r="L3419" s="85" t="b">
        <f>IF(VLOOKUP(C3419,Projetos!A:L,12,false)=TRUE,TRUE,FALSE)</f>
        <v>1</v>
      </c>
      <c r="M3419" s="74">
        <v>52.48434411075036</v>
      </c>
      <c r="N3419" s="74">
        <f t="shared" si="1"/>
        <v>104.9686882</v>
      </c>
      <c r="O3419" s="74" t="b">
        <v>1</v>
      </c>
    </row>
    <row r="3420" hidden="1">
      <c r="A3420" s="82"/>
      <c r="B3420" s="65" t="s">
        <v>411</v>
      </c>
      <c r="C3420" s="65" t="s">
        <v>125</v>
      </c>
      <c r="D3420" s="65" t="str">
        <f>vlookup(C3420,'Classificação p pessoal'!F:G,2,false)</f>
        <v>MProduto</v>
      </c>
      <c r="E3420" s="65" t="s">
        <v>2387</v>
      </c>
      <c r="F3420" s="83">
        <v>0.6458333333333334</v>
      </c>
      <c r="G3420" s="83">
        <v>0.6875</v>
      </c>
      <c r="H3420" s="83">
        <v>0.041666666666666664</v>
      </c>
      <c r="I3420" s="84">
        <v>44390.0</v>
      </c>
      <c r="J3420" s="65" t="b">
        <v>1</v>
      </c>
      <c r="K3420" s="65"/>
      <c r="L3420" s="85" t="b">
        <f>IF(VLOOKUP(C3420,Projetos!A:L,12,false)=TRUE,TRUE,FALSE)</f>
        <v>1</v>
      </c>
      <c r="M3420" s="74">
        <v>52.48434411075036</v>
      </c>
      <c r="N3420" s="74">
        <f t="shared" si="1"/>
        <v>52.48434411</v>
      </c>
      <c r="O3420" s="74" t="b">
        <v>1</v>
      </c>
    </row>
    <row r="3421" hidden="1">
      <c r="A3421" s="82"/>
      <c r="B3421" s="65" t="s">
        <v>411</v>
      </c>
      <c r="C3421" s="65" t="s">
        <v>85</v>
      </c>
      <c r="D3421" s="65" t="str">
        <f>vlookup(C3421,'Classificação p pessoal'!F:G,2,false)</f>
        <v>NP</v>
      </c>
      <c r="E3421" s="65" t="s">
        <v>2370</v>
      </c>
      <c r="F3421" s="83">
        <v>0.6875</v>
      </c>
      <c r="G3421" s="83">
        <v>0.7083333333333334</v>
      </c>
      <c r="H3421" s="83">
        <v>0.020833333333333332</v>
      </c>
      <c r="I3421" s="84">
        <v>44390.0</v>
      </c>
      <c r="J3421" s="65" t="b">
        <v>1</v>
      </c>
      <c r="K3421" s="65"/>
      <c r="L3421" s="85" t="b">
        <f>IF(VLOOKUP(C3421,Projetos!A:L,12,false)=TRUE,TRUE,FALSE)</f>
        <v>1</v>
      </c>
      <c r="M3421" s="74">
        <v>52.48434411075036</v>
      </c>
      <c r="N3421" s="74">
        <f t="shared" si="1"/>
        <v>26.24217206</v>
      </c>
      <c r="O3421" s="74" t="b">
        <v>1</v>
      </c>
    </row>
    <row r="3422" hidden="1">
      <c r="A3422" s="82"/>
      <c r="B3422" s="65" t="s">
        <v>411</v>
      </c>
      <c r="C3422" s="65" t="s">
        <v>120</v>
      </c>
      <c r="D3422" s="65"/>
      <c r="E3422" s="65" t="s">
        <v>2388</v>
      </c>
      <c r="F3422" s="83">
        <v>0.7083333333333334</v>
      </c>
      <c r="G3422" s="83">
        <v>0.7291666666666666</v>
      </c>
      <c r="H3422" s="83">
        <v>0.020833333333333332</v>
      </c>
      <c r="I3422" s="84">
        <v>44390.0</v>
      </c>
      <c r="J3422" s="65" t="b">
        <v>0</v>
      </c>
      <c r="K3422" s="65"/>
      <c r="L3422" s="85" t="b">
        <f>IF(VLOOKUP(C3422,Projetos!A:L,12,false)=TRUE,TRUE,FALSE)</f>
        <v>0</v>
      </c>
      <c r="M3422" s="74">
        <v>52.48434411075036</v>
      </c>
      <c r="N3422" s="74">
        <f t="shared" si="1"/>
        <v>0</v>
      </c>
      <c r="O3422" s="74" t="b">
        <v>0</v>
      </c>
    </row>
    <row r="3423" hidden="1">
      <c r="A3423" s="82"/>
      <c r="B3423" s="65" t="s">
        <v>411</v>
      </c>
      <c r="C3423" s="65" t="s">
        <v>125</v>
      </c>
      <c r="D3423" s="65" t="str">
        <f>vlookup(C3423,'Classificação p pessoal'!F:G,2,false)</f>
        <v>MProduto</v>
      </c>
      <c r="E3423" s="65" t="s">
        <v>2389</v>
      </c>
      <c r="F3423" s="83">
        <v>0.34375</v>
      </c>
      <c r="G3423" s="83">
        <v>0.3541666666666667</v>
      </c>
      <c r="H3423" s="83">
        <v>0.010416666666666666</v>
      </c>
      <c r="I3423" s="84">
        <v>44391.0</v>
      </c>
      <c r="J3423" s="65" t="b">
        <v>1</v>
      </c>
      <c r="K3423" s="65"/>
      <c r="L3423" s="85" t="b">
        <f>IF(VLOOKUP(C3423,Projetos!A:L,12,false)=TRUE,TRUE,FALSE)</f>
        <v>1</v>
      </c>
      <c r="M3423" s="74">
        <v>52.48434411075036</v>
      </c>
      <c r="N3423" s="74">
        <f t="shared" si="1"/>
        <v>13.12108603</v>
      </c>
      <c r="O3423" s="74" t="b">
        <v>1</v>
      </c>
    </row>
    <row r="3424" hidden="1">
      <c r="A3424" s="82"/>
      <c r="B3424" s="65" t="s">
        <v>411</v>
      </c>
      <c r="C3424" s="65" t="s">
        <v>117</v>
      </c>
      <c r="D3424" s="65" t="str">
        <f>vlookup(C3424,'Classificação p pessoal'!F:G,2,false)</f>
        <v>NP</v>
      </c>
      <c r="E3424" s="65" t="s">
        <v>2390</v>
      </c>
      <c r="F3424" s="83">
        <v>0.3541666666666667</v>
      </c>
      <c r="G3424" s="83">
        <v>0.3958333333333333</v>
      </c>
      <c r="H3424" s="83">
        <v>0.041666666666666664</v>
      </c>
      <c r="I3424" s="84">
        <v>44391.0</v>
      </c>
      <c r="J3424" s="65" t="b">
        <v>1</v>
      </c>
      <c r="K3424" s="65"/>
      <c r="L3424" s="85" t="b">
        <f>IF(VLOOKUP(C3424,Projetos!A:L,12,false)=TRUE,TRUE,FALSE)</f>
        <v>1</v>
      </c>
      <c r="M3424" s="74">
        <v>52.48434411075036</v>
      </c>
      <c r="N3424" s="74">
        <f t="shared" si="1"/>
        <v>52.48434411</v>
      </c>
      <c r="O3424" s="74" t="b">
        <v>1</v>
      </c>
    </row>
    <row r="3425" hidden="1">
      <c r="A3425" s="82"/>
      <c r="B3425" s="65" t="s">
        <v>411</v>
      </c>
      <c r="C3425" s="65" t="s">
        <v>130</v>
      </c>
      <c r="D3425" s="65" t="str">
        <f>vlookup(C3425,'Classificação p pessoal'!F:G,2,false)</f>
        <v>NP</v>
      </c>
      <c r="E3425" s="65" t="s">
        <v>2391</v>
      </c>
      <c r="F3425" s="83">
        <v>0.3958333333333333</v>
      </c>
      <c r="G3425" s="83">
        <v>0.4375</v>
      </c>
      <c r="H3425" s="83">
        <v>0.041666666666666664</v>
      </c>
      <c r="I3425" s="84">
        <v>44391.0</v>
      </c>
      <c r="J3425" s="65" t="b">
        <v>1</v>
      </c>
      <c r="K3425" s="65"/>
      <c r="L3425" s="85" t="b">
        <f>IF(VLOOKUP(C3425,Projetos!A:L,12,false)=TRUE,TRUE,FALSE)</f>
        <v>1</v>
      </c>
      <c r="M3425" s="74">
        <v>52.48434411075036</v>
      </c>
      <c r="N3425" s="74">
        <f t="shared" si="1"/>
        <v>52.48434411</v>
      </c>
      <c r="O3425" s="74" t="b">
        <v>1</v>
      </c>
    </row>
    <row r="3426" hidden="1">
      <c r="A3426" s="82"/>
      <c r="B3426" s="65" t="s">
        <v>411</v>
      </c>
      <c r="C3426" s="65" t="s">
        <v>128</v>
      </c>
      <c r="D3426" s="65" t="str">
        <f>vlookup(C3426,'Classificação p pessoal'!F:G,2,false)</f>
        <v>NP</v>
      </c>
      <c r="E3426" s="65" t="s">
        <v>2392</v>
      </c>
      <c r="F3426" s="83">
        <v>0.4375</v>
      </c>
      <c r="G3426" s="83">
        <v>0.4791666666666667</v>
      </c>
      <c r="H3426" s="83">
        <v>0.041666666666666664</v>
      </c>
      <c r="I3426" s="84">
        <v>44391.0</v>
      </c>
      <c r="J3426" s="65" t="b">
        <v>1</v>
      </c>
      <c r="K3426" s="65"/>
      <c r="L3426" s="85" t="b">
        <f>IF(VLOOKUP(C3426,Projetos!A:L,12,false)=TRUE,TRUE,FALSE)</f>
        <v>1</v>
      </c>
      <c r="M3426" s="74">
        <v>52.48434411075036</v>
      </c>
      <c r="N3426" s="74">
        <f t="shared" si="1"/>
        <v>52.48434411</v>
      </c>
      <c r="O3426" s="74" t="b">
        <v>1</v>
      </c>
    </row>
    <row r="3427" hidden="1">
      <c r="A3427" s="82"/>
      <c r="B3427" s="65" t="s">
        <v>411</v>
      </c>
      <c r="C3427" s="65" t="s">
        <v>92</v>
      </c>
      <c r="D3427" s="65" t="str">
        <f>vlookup(C3427,'Classificação p pessoal'!F:G,2,false)</f>
        <v/>
      </c>
      <c r="E3427" s="65" t="s">
        <v>2358</v>
      </c>
      <c r="F3427" s="83">
        <v>0.4791666666666667</v>
      </c>
      <c r="G3427" s="83">
        <v>0.5208333333333334</v>
      </c>
      <c r="H3427" s="83">
        <v>0.041666666666666664</v>
      </c>
      <c r="I3427" s="84">
        <v>44391.0</v>
      </c>
      <c r="J3427" s="65" t="b">
        <v>1</v>
      </c>
      <c r="K3427" s="65"/>
      <c r="L3427" s="85" t="b">
        <f>IF(VLOOKUP(C3427,Projetos!A:L,12,false)=TRUE,TRUE,FALSE)</f>
        <v>1</v>
      </c>
      <c r="M3427" s="74">
        <v>52.48434411075036</v>
      </c>
      <c r="N3427" s="74">
        <f t="shared" si="1"/>
        <v>52.48434411</v>
      </c>
      <c r="O3427" s="74" t="b">
        <v>1</v>
      </c>
    </row>
    <row r="3428" hidden="1">
      <c r="A3428" s="82"/>
      <c r="B3428" s="65" t="s">
        <v>411</v>
      </c>
      <c r="C3428" s="65" t="s">
        <v>117</v>
      </c>
      <c r="D3428" s="65" t="str">
        <f>vlookup(C3428,'Classificação p pessoal'!F:G,2,false)</f>
        <v>NP</v>
      </c>
      <c r="E3428" s="65" t="s">
        <v>2393</v>
      </c>
      <c r="F3428" s="83">
        <v>0.5625</v>
      </c>
      <c r="G3428" s="83">
        <v>0.6458333333333334</v>
      </c>
      <c r="H3428" s="83">
        <v>0.08333333333333333</v>
      </c>
      <c r="I3428" s="84">
        <v>44391.0</v>
      </c>
      <c r="J3428" s="65" t="b">
        <v>1</v>
      </c>
      <c r="K3428" s="65"/>
      <c r="L3428" s="85" t="b">
        <f>IF(VLOOKUP(C3428,Projetos!A:L,12,false)=TRUE,TRUE,FALSE)</f>
        <v>1</v>
      </c>
      <c r="M3428" s="74">
        <v>52.48434411075036</v>
      </c>
      <c r="N3428" s="74">
        <f t="shared" si="1"/>
        <v>104.9686882</v>
      </c>
      <c r="O3428" s="74" t="b">
        <v>1</v>
      </c>
    </row>
    <row r="3429" hidden="1">
      <c r="A3429" s="82"/>
      <c r="B3429" s="65" t="s">
        <v>411</v>
      </c>
      <c r="C3429" s="65" t="s">
        <v>114</v>
      </c>
      <c r="D3429" s="65" t="str">
        <f>vlookup(C3429,'Classificação p pessoal'!F:G,2,false)</f>
        <v>NP</v>
      </c>
      <c r="E3429" s="65" t="s">
        <v>2394</v>
      </c>
      <c r="F3429" s="83">
        <v>0.6458333333333334</v>
      </c>
      <c r="G3429" s="83">
        <v>0.6875</v>
      </c>
      <c r="H3429" s="83">
        <v>0.041666666666666664</v>
      </c>
      <c r="I3429" s="84">
        <v>44391.0</v>
      </c>
      <c r="J3429" s="65" t="b">
        <v>1</v>
      </c>
      <c r="K3429" s="65"/>
      <c r="L3429" s="85" t="b">
        <f>IF(VLOOKUP(C3429,Projetos!A:L,12,false)=TRUE,TRUE,FALSE)</f>
        <v>1</v>
      </c>
      <c r="M3429" s="74">
        <v>52.48434411075036</v>
      </c>
      <c r="N3429" s="74">
        <f t="shared" si="1"/>
        <v>52.48434411</v>
      </c>
      <c r="O3429" s="74" t="b">
        <v>1</v>
      </c>
    </row>
    <row r="3430" hidden="1">
      <c r="A3430" s="82"/>
      <c r="B3430" s="65" t="s">
        <v>411</v>
      </c>
      <c r="C3430" s="65" t="s">
        <v>108</v>
      </c>
      <c r="D3430" s="65" t="str">
        <f>vlookup(C3430,'Classificação p pessoal'!F:G,2,false)</f>
        <v>NP</v>
      </c>
      <c r="E3430" s="65" t="s">
        <v>2395</v>
      </c>
      <c r="F3430" s="83">
        <v>0.6875</v>
      </c>
      <c r="G3430" s="83">
        <v>0.7083333333333334</v>
      </c>
      <c r="H3430" s="83">
        <v>0.020833333333333332</v>
      </c>
      <c r="I3430" s="84">
        <v>44391.0</v>
      </c>
      <c r="J3430" s="65" t="b">
        <v>1</v>
      </c>
      <c r="K3430" s="65"/>
      <c r="L3430" s="85" t="b">
        <f>IF(VLOOKUP(C3430,Projetos!A:L,12,false)=TRUE,TRUE,FALSE)</f>
        <v>1</v>
      </c>
      <c r="M3430" s="74">
        <v>52.48434411075036</v>
      </c>
      <c r="N3430" s="74">
        <f t="shared" si="1"/>
        <v>26.24217206</v>
      </c>
      <c r="O3430" s="74" t="b">
        <v>1</v>
      </c>
    </row>
    <row r="3431" hidden="1">
      <c r="A3431" s="82"/>
      <c r="B3431" s="65" t="s">
        <v>411</v>
      </c>
      <c r="C3431" s="65" t="s">
        <v>88</v>
      </c>
      <c r="D3431" s="65" t="str">
        <f>vlookup(C3431,'Classificação p pessoal'!F:G,2,false)</f>
        <v>MProduto</v>
      </c>
      <c r="E3431" s="65" t="s">
        <v>2396</v>
      </c>
      <c r="F3431" s="83">
        <v>0.7083333333333334</v>
      </c>
      <c r="G3431" s="83">
        <v>0.75</v>
      </c>
      <c r="H3431" s="83">
        <v>0.041666666666666664</v>
      </c>
      <c r="I3431" s="84">
        <v>44391.0</v>
      </c>
      <c r="J3431" s="65" t="b">
        <v>1</v>
      </c>
      <c r="K3431" s="65"/>
      <c r="L3431" s="85" t="b">
        <f>IF(VLOOKUP(C3431,Projetos!A:L,12,false)=TRUE,TRUE,FALSE)</f>
        <v>1</v>
      </c>
      <c r="M3431" s="74">
        <v>52.48434411075036</v>
      </c>
      <c r="N3431" s="74">
        <f t="shared" si="1"/>
        <v>52.48434411</v>
      </c>
      <c r="O3431" s="74" t="b">
        <v>1</v>
      </c>
    </row>
    <row r="3432" hidden="1">
      <c r="A3432" s="82"/>
      <c r="B3432" s="65" t="s">
        <v>411</v>
      </c>
      <c r="C3432" s="65" t="s">
        <v>101</v>
      </c>
      <c r="D3432" s="65" t="str">
        <f>vlookup(C3432,'Classificação p pessoal'!F:G,2,false)</f>
        <v>NP</v>
      </c>
      <c r="E3432" s="65" t="s">
        <v>2397</v>
      </c>
      <c r="F3432" s="83">
        <v>0.34375</v>
      </c>
      <c r="G3432" s="83">
        <v>0.375</v>
      </c>
      <c r="H3432" s="83">
        <v>0.03125</v>
      </c>
      <c r="I3432" s="84">
        <v>44392.0</v>
      </c>
      <c r="J3432" s="65" t="b">
        <v>1</v>
      </c>
      <c r="K3432" s="65"/>
      <c r="L3432" s="85" t="b">
        <f>IF(VLOOKUP(C3432,Projetos!A:L,12,false)=TRUE,TRUE,FALSE)</f>
        <v>1</v>
      </c>
      <c r="M3432" s="74">
        <v>52.48434411075036</v>
      </c>
      <c r="N3432" s="74">
        <f t="shared" si="1"/>
        <v>39.36325808</v>
      </c>
      <c r="O3432" s="74" t="b">
        <v>1</v>
      </c>
    </row>
    <row r="3433" hidden="1">
      <c r="A3433" s="82"/>
      <c r="B3433" s="65" t="s">
        <v>411</v>
      </c>
      <c r="C3433" s="65" t="s">
        <v>132</v>
      </c>
      <c r="D3433" s="65"/>
      <c r="E3433" s="65" t="s">
        <v>2398</v>
      </c>
      <c r="F3433" s="83">
        <v>0.375</v>
      </c>
      <c r="G3433" s="83">
        <v>0.4791666666666667</v>
      </c>
      <c r="H3433" s="83">
        <v>0.10416666666666667</v>
      </c>
      <c r="I3433" s="84">
        <v>44392.0</v>
      </c>
      <c r="J3433" s="65" t="b">
        <v>1</v>
      </c>
      <c r="K3433" s="65"/>
      <c r="L3433" s="85" t="b">
        <f>IF(VLOOKUP(C3433,Projetos!A:L,12,false)=TRUE,TRUE,FALSE)</f>
        <v>0</v>
      </c>
      <c r="M3433" s="74">
        <v>52.48434411075036</v>
      </c>
      <c r="N3433" s="74">
        <f t="shared" si="1"/>
        <v>0</v>
      </c>
      <c r="O3433" s="74" t="b">
        <v>0</v>
      </c>
    </row>
    <row r="3434" hidden="1">
      <c r="A3434" s="82"/>
      <c r="B3434" s="65" t="s">
        <v>411</v>
      </c>
      <c r="C3434" s="65" t="s">
        <v>92</v>
      </c>
      <c r="D3434" s="65" t="str">
        <f>vlookup(C3434,'Classificação p pessoal'!F:G,2,false)</f>
        <v/>
      </c>
      <c r="E3434" s="65" t="s">
        <v>2399</v>
      </c>
      <c r="F3434" s="83">
        <v>0.4791666666666667</v>
      </c>
      <c r="G3434" s="83">
        <v>0.5</v>
      </c>
      <c r="H3434" s="83">
        <v>0.020833333333333332</v>
      </c>
      <c r="I3434" s="84">
        <v>44392.0</v>
      </c>
      <c r="J3434" s="65" t="b">
        <v>1</v>
      </c>
      <c r="K3434" s="65"/>
      <c r="L3434" s="85" t="b">
        <f>IF(VLOOKUP(C3434,Projetos!A:L,12,false)=TRUE,TRUE,FALSE)</f>
        <v>1</v>
      </c>
      <c r="M3434" s="74">
        <v>52.48434411075036</v>
      </c>
      <c r="N3434" s="74">
        <f t="shared" si="1"/>
        <v>26.24217206</v>
      </c>
      <c r="O3434" s="74" t="b">
        <v>1</v>
      </c>
    </row>
    <row r="3435" hidden="1">
      <c r="A3435" s="82"/>
      <c r="B3435" s="65" t="s">
        <v>411</v>
      </c>
      <c r="C3435" s="65" t="s">
        <v>85</v>
      </c>
      <c r="D3435" s="65" t="str">
        <f>vlookup(C3435,'Classificação p pessoal'!F:G,2,false)</f>
        <v>NP</v>
      </c>
      <c r="E3435" s="65" t="s">
        <v>2370</v>
      </c>
      <c r="F3435" s="83">
        <v>0.5</v>
      </c>
      <c r="G3435" s="83">
        <v>0.5208333333333334</v>
      </c>
      <c r="H3435" s="83">
        <v>0.020833333333333332</v>
      </c>
      <c r="I3435" s="84">
        <v>44392.0</v>
      </c>
      <c r="J3435" s="65" t="b">
        <v>1</v>
      </c>
      <c r="K3435" s="65"/>
      <c r="L3435" s="85" t="b">
        <f>IF(VLOOKUP(C3435,Projetos!A:L,12,false)=TRUE,TRUE,FALSE)</f>
        <v>1</v>
      </c>
      <c r="M3435" s="74">
        <v>52.48434411075036</v>
      </c>
      <c r="N3435" s="74">
        <f t="shared" si="1"/>
        <v>26.24217206</v>
      </c>
      <c r="O3435" s="74" t="b">
        <v>1</v>
      </c>
    </row>
    <row r="3436" hidden="1">
      <c r="A3436" s="82"/>
      <c r="B3436" s="65" t="s">
        <v>411</v>
      </c>
      <c r="C3436" s="65" t="s">
        <v>117</v>
      </c>
      <c r="D3436" s="65" t="str">
        <f>vlookup(C3436,'Classificação p pessoal'!F:G,2,false)</f>
        <v>NP</v>
      </c>
      <c r="E3436" s="65" t="s">
        <v>2400</v>
      </c>
      <c r="F3436" s="83">
        <v>0.5208333333333334</v>
      </c>
      <c r="G3436" s="83">
        <v>0.5833333333333334</v>
      </c>
      <c r="H3436" s="83">
        <v>0.0625</v>
      </c>
      <c r="I3436" s="84">
        <v>44392.0</v>
      </c>
      <c r="J3436" s="65" t="b">
        <v>1</v>
      </c>
      <c r="K3436" s="65"/>
      <c r="L3436" s="85" t="b">
        <f>IF(VLOOKUP(C3436,Projetos!A:L,12,false)=TRUE,TRUE,FALSE)</f>
        <v>1</v>
      </c>
      <c r="M3436" s="74">
        <v>52.48434411075036</v>
      </c>
      <c r="N3436" s="74">
        <f t="shared" si="1"/>
        <v>78.72651617</v>
      </c>
      <c r="O3436" s="74" t="b">
        <v>1</v>
      </c>
    </row>
    <row r="3437" hidden="1">
      <c r="A3437" s="82"/>
      <c r="B3437" s="65" t="s">
        <v>411</v>
      </c>
      <c r="C3437" s="65" t="s">
        <v>132</v>
      </c>
      <c r="D3437" s="65"/>
      <c r="E3437" s="65" t="s">
        <v>2401</v>
      </c>
      <c r="F3437" s="83">
        <v>0.625</v>
      </c>
      <c r="G3437" s="83">
        <v>0.6875</v>
      </c>
      <c r="H3437" s="83">
        <v>0.0625</v>
      </c>
      <c r="I3437" s="84">
        <v>44392.0</v>
      </c>
      <c r="J3437" s="65" t="b">
        <v>1</v>
      </c>
      <c r="K3437" s="65"/>
      <c r="L3437" s="85" t="b">
        <f>IF(VLOOKUP(C3437,Projetos!A:L,12,false)=TRUE,TRUE,FALSE)</f>
        <v>0</v>
      </c>
      <c r="M3437" s="74">
        <v>52.48434411075036</v>
      </c>
      <c r="N3437" s="74">
        <f t="shared" si="1"/>
        <v>0</v>
      </c>
      <c r="O3437" s="74" t="b">
        <v>0</v>
      </c>
    </row>
    <row r="3438" hidden="1">
      <c r="A3438" s="82"/>
      <c r="B3438" s="65" t="s">
        <v>411</v>
      </c>
      <c r="C3438" s="65" t="s">
        <v>132</v>
      </c>
      <c r="D3438" s="65"/>
      <c r="E3438" s="65" t="s">
        <v>2402</v>
      </c>
      <c r="F3438" s="83">
        <v>0.34375</v>
      </c>
      <c r="G3438" s="83">
        <v>0.4375</v>
      </c>
      <c r="H3438" s="83">
        <v>0.09375</v>
      </c>
      <c r="I3438" s="84">
        <v>44393.0</v>
      </c>
      <c r="J3438" s="65" t="b">
        <v>1</v>
      </c>
      <c r="K3438" s="65"/>
      <c r="L3438" s="85" t="b">
        <f>IF(VLOOKUP(C3438,Projetos!A:L,12,false)=TRUE,TRUE,FALSE)</f>
        <v>0</v>
      </c>
      <c r="M3438" s="74">
        <v>52.48434411075036</v>
      </c>
      <c r="N3438" s="74">
        <f t="shared" si="1"/>
        <v>0</v>
      </c>
      <c r="O3438" s="74" t="b">
        <v>0</v>
      </c>
    </row>
    <row r="3439" hidden="1">
      <c r="A3439" s="82"/>
      <c r="B3439" s="65" t="s">
        <v>411</v>
      </c>
      <c r="C3439" s="65" t="s">
        <v>117</v>
      </c>
      <c r="D3439" s="65" t="str">
        <f>vlookup(C3439,'Classificação p pessoal'!F:G,2,false)</f>
        <v>NP</v>
      </c>
      <c r="E3439" s="65" t="s">
        <v>2403</v>
      </c>
      <c r="F3439" s="83">
        <v>0.4375</v>
      </c>
      <c r="G3439" s="83">
        <v>0.4791666666666667</v>
      </c>
      <c r="H3439" s="83">
        <v>0.041666666666666664</v>
      </c>
      <c r="I3439" s="84">
        <v>44393.0</v>
      </c>
      <c r="J3439" s="65" t="b">
        <v>1</v>
      </c>
      <c r="K3439" s="65"/>
      <c r="L3439" s="85" t="b">
        <f>IF(VLOOKUP(C3439,Projetos!A:L,12,false)=TRUE,TRUE,FALSE)</f>
        <v>1</v>
      </c>
      <c r="M3439" s="74">
        <v>52.48434411075036</v>
      </c>
      <c r="N3439" s="74">
        <f t="shared" si="1"/>
        <v>52.48434411</v>
      </c>
      <c r="O3439" s="74" t="b">
        <v>1</v>
      </c>
    </row>
    <row r="3440" hidden="1">
      <c r="A3440" s="82"/>
      <c r="B3440" s="65" t="s">
        <v>411</v>
      </c>
      <c r="C3440" s="65" t="s">
        <v>132</v>
      </c>
      <c r="D3440" s="65"/>
      <c r="E3440" s="65" t="s">
        <v>2404</v>
      </c>
      <c r="F3440" s="83">
        <v>0.4791666666666667</v>
      </c>
      <c r="G3440" s="83">
        <v>0.5208333333333334</v>
      </c>
      <c r="H3440" s="83">
        <v>0.041666666666666664</v>
      </c>
      <c r="I3440" s="84">
        <v>44393.0</v>
      </c>
      <c r="J3440" s="65" t="b">
        <v>1</v>
      </c>
      <c r="K3440" s="65"/>
      <c r="L3440" s="85" t="b">
        <f>IF(VLOOKUP(C3440,Projetos!A:L,12,false)=TRUE,TRUE,FALSE)</f>
        <v>0</v>
      </c>
      <c r="M3440" s="74">
        <v>52.48434411075036</v>
      </c>
      <c r="N3440" s="74">
        <f t="shared" si="1"/>
        <v>0</v>
      </c>
      <c r="O3440" s="74" t="b">
        <v>0</v>
      </c>
    </row>
    <row r="3441" hidden="1">
      <c r="A3441" s="82"/>
      <c r="B3441" s="65" t="s">
        <v>411</v>
      </c>
      <c r="C3441" s="65" t="s">
        <v>117</v>
      </c>
      <c r="D3441" s="65" t="str">
        <f>vlookup(C3441,'Classificação p pessoal'!F:G,2,false)</f>
        <v>NP</v>
      </c>
      <c r="E3441" s="65" t="s">
        <v>2405</v>
      </c>
      <c r="F3441" s="83">
        <v>0.5208333333333334</v>
      </c>
      <c r="G3441" s="83">
        <v>0.5625</v>
      </c>
      <c r="H3441" s="83">
        <v>0.041666666666666664</v>
      </c>
      <c r="I3441" s="84">
        <v>44393.0</v>
      </c>
      <c r="J3441" s="65" t="b">
        <v>1</v>
      </c>
      <c r="K3441" s="65"/>
      <c r="L3441" s="85" t="b">
        <f>IF(VLOOKUP(C3441,Projetos!A:L,12,false)=TRUE,TRUE,FALSE)</f>
        <v>1</v>
      </c>
      <c r="M3441" s="74">
        <v>52.48434411075036</v>
      </c>
      <c r="N3441" s="74">
        <f t="shared" si="1"/>
        <v>52.48434411</v>
      </c>
      <c r="O3441" s="74" t="b">
        <v>1</v>
      </c>
    </row>
    <row r="3442" hidden="1">
      <c r="A3442" s="82"/>
      <c r="B3442" s="65" t="s">
        <v>411</v>
      </c>
      <c r="C3442" s="65" t="s">
        <v>117</v>
      </c>
      <c r="D3442" s="65" t="str">
        <f>vlookup(C3442,'Classificação p pessoal'!F:G,2,false)</f>
        <v>NP</v>
      </c>
      <c r="E3442" s="65" t="s">
        <v>2406</v>
      </c>
      <c r="F3442" s="83">
        <v>0.6041666666666666</v>
      </c>
      <c r="G3442" s="83">
        <v>0.6875</v>
      </c>
      <c r="H3442" s="83">
        <v>0.08333333333333333</v>
      </c>
      <c r="I3442" s="84">
        <v>44393.0</v>
      </c>
      <c r="J3442" s="65" t="b">
        <v>1</v>
      </c>
      <c r="K3442" s="65"/>
      <c r="L3442" s="85" t="b">
        <f>IF(VLOOKUP(C3442,Projetos!A:L,12,false)=TRUE,TRUE,FALSE)</f>
        <v>1</v>
      </c>
      <c r="M3442" s="74">
        <v>52.48434411075036</v>
      </c>
      <c r="N3442" s="74">
        <f t="shared" si="1"/>
        <v>104.9686882</v>
      </c>
      <c r="O3442" s="74" t="b">
        <v>1</v>
      </c>
    </row>
    <row r="3443" hidden="1">
      <c r="A3443" s="82"/>
      <c r="B3443" s="65" t="s">
        <v>411</v>
      </c>
      <c r="C3443" s="65" t="s">
        <v>117</v>
      </c>
      <c r="D3443" s="65" t="str">
        <f>vlookup(C3443,'Classificação p pessoal'!F:G,2,false)</f>
        <v>NP</v>
      </c>
      <c r="E3443" s="65" t="s">
        <v>2405</v>
      </c>
      <c r="F3443" s="83">
        <v>0.34375</v>
      </c>
      <c r="G3443" s="83">
        <v>0.375</v>
      </c>
      <c r="H3443" s="83">
        <v>0.03125</v>
      </c>
      <c r="I3443" s="84">
        <v>44396.0</v>
      </c>
      <c r="J3443" s="65" t="b">
        <v>1</v>
      </c>
      <c r="K3443" s="65"/>
      <c r="L3443" s="85" t="b">
        <f>IF(VLOOKUP(C3443,Projetos!A:L,12,false)=TRUE,TRUE,FALSE)</f>
        <v>1</v>
      </c>
      <c r="M3443" s="74">
        <v>52.48434411075036</v>
      </c>
      <c r="N3443" s="74">
        <f t="shared" si="1"/>
        <v>39.36325808</v>
      </c>
      <c r="O3443" s="74" t="b">
        <v>1</v>
      </c>
    </row>
    <row r="3444" hidden="1">
      <c r="A3444" s="82"/>
      <c r="B3444" s="65" t="s">
        <v>411</v>
      </c>
      <c r="C3444" s="65" t="s">
        <v>92</v>
      </c>
      <c r="D3444" s="65" t="str">
        <f>vlookup(C3444,'Classificação p pessoal'!F:G,2,false)</f>
        <v/>
      </c>
      <c r="E3444" s="65" t="s">
        <v>2407</v>
      </c>
      <c r="F3444" s="83">
        <v>0.375</v>
      </c>
      <c r="G3444" s="83">
        <v>0.4166666666666667</v>
      </c>
      <c r="H3444" s="83">
        <v>0.041666666666666664</v>
      </c>
      <c r="I3444" s="84">
        <v>44396.0</v>
      </c>
      <c r="J3444" s="65" t="b">
        <v>1</v>
      </c>
      <c r="K3444" s="65"/>
      <c r="L3444" s="85" t="b">
        <f>IF(VLOOKUP(C3444,Projetos!A:L,12,false)=TRUE,TRUE,FALSE)</f>
        <v>1</v>
      </c>
      <c r="M3444" s="74">
        <v>52.48434411075036</v>
      </c>
      <c r="N3444" s="74">
        <f t="shared" si="1"/>
        <v>52.48434411</v>
      </c>
      <c r="O3444" s="74" t="b">
        <v>1</v>
      </c>
    </row>
    <row r="3445" hidden="1">
      <c r="A3445" s="82"/>
      <c r="B3445" s="65" t="s">
        <v>411</v>
      </c>
      <c r="C3445" s="65" t="s">
        <v>120</v>
      </c>
      <c r="D3445" s="65"/>
      <c r="E3445" s="65" t="s">
        <v>2408</v>
      </c>
      <c r="F3445" s="83">
        <v>0.4166666666666667</v>
      </c>
      <c r="G3445" s="83">
        <v>0.4791666666666667</v>
      </c>
      <c r="H3445" s="83">
        <v>0.0625</v>
      </c>
      <c r="I3445" s="84">
        <v>44396.0</v>
      </c>
      <c r="J3445" s="65" t="b">
        <v>0</v>
      </c>
      <c r="K3445" s="65"/>
      <c r="L3445" s="85" t="b">
        <f>IF(VLOOKUP(C3445,Projetos!A:L,12,false)=TRUE,TRUE,FALSE)</f>
        <v>0</v>
      </c>
      <c r="M3445" s="74">
        <v>52.48434411075036</v>
      </c>
      <c r="N3445" s="74">
        <f t="shared" si="1"/>
        <v>0</v>
      </c>
      <c r="O3445" s="74" t="b">
        <v>0</v>
      </c>
    </row>
    <row r="3446" hidden="1">
      <c r="A3446" s="82"/>
      <c r="B3446" s="65" t="s">
        <v>411</v>
      </c>
      <c r="C3446" s="65" t="s">
        <v>125</v>
      </c>
      <c r="D3446" s="65"/>
      <c r="E3446" s="65" t="s">
        <v>2409</v>
      </c>
      <c r="F3446" s="83">
        <v>0.4791666666666667</v>
      </c>
      <c r="G3446" s="83">
        <v>0.5208333333333334</v>
      </c>
      <c r="H3446" s="83">
        <v>0.041666666666666664</v>
      </c>
      <c r="I3446" s="84">
        <v>44396.0</v>
      </c>
      <c r="J3446" s="65" t="b">
        <v>0</v>
      </c>
      <c r="K3446" s="65" t="s">
        <v>150</v>
      </c>
      <c r="L3446" s="85" t="b">
        <f>IF(VLOOKUP(C3446,Projetos!A:L,12,false)=TRUE,TRUE,FALSE)</f>
        <v>1</v>
      </c>
      <c r="M3446" s="74">
        <v>52.48434411075036</v>
      </c>
      <c r="N3446" s="74">
        <f t="shared" si="1"/>
        <v>0</v>
      </c>
      <c r="O3446" s="74" t="b">
        <v>1</v>
      </c>
    </row>
    <row r="3447" hidden="1">
      <c r="A3447" s="82"/>
      <c r="B3447" s="65" t="s">
        <v>411</v>
      </c>
      <c r="C3447" s="65" t="s">
        <v>117</v>
      </c>
      <c r="D3447" s="65" t="str">
        <f>vlookup(C3447,'Classificação p pessoal'!F:G,2,false)</f>
        <v>NP</v>
      </c>
      <c r="E3447" s="65" t="s">
        <v>2410</v>
      </c>
      <c r="F3447" s="83">
        <v>0.5208333333333334</v>
      </c>
      <c r="G3447" s="83">
        <v>0.5833333333333334</v>
      </c>
      <c r="H3447" s="83">
        <v>0.0625</v>
      </c>
      <c r="I3447" s="84">
        <v>44396.0</v>
      </c>
      <c r="J3447" s="65" t="b">
        <v>1</v>
      </c>
      <c r="K3447" s="65"/>
      <c r="L3447" s="85" t="b">
        <f>IF(VLOOKUP(C3447,Projetos!A:L,12,false)=TRUE,TRUE,FALSE)</f>
        <v>1</v>
      </c>
      <c r="M3447" s="74">
        <v>52.48434411075036</v>
      </c>
      <c r="N3447" s="74">
        <f t="shared" si="1"/>
        <v>78.72651617</v>
      </c>
      <c r="O3447" s="74" t="b">
        <v>1</v>
      </c>
    </row>
    <row r="3448" hidden="1">
      <c r="A3448" s="82"/>
      <c r="B3448" s="65" t="s">
        <v>411</v>
      </c>
      <c r="C3448" s="65" t="s">
        <v>125</v>
      </c>
      <c r="D3448" s="65" t="str">
        <f>vlookup(C3448,'Classificação p pessoal'!F:G,2,false)</f>
        <v>MProduto</v>
      </c>
      <c r="E3448" s="65" t="s">
        <v>2411</v>
      </c>
      <c r="F3448" s="83">
        <v>0.625</v>
      </c>
      <c r="G3448" s="83">
        <v>0.6458333333333334</v>
      </c>
      <c r="H3448" s="83">
        <v>0.020833333333333332</v>
      </c>
      <c r="I3448" s="84">
        <v>44396.0</v>
      </c>
      <c r="J3448" s="65" t="b">
        <v>1</v>
      </c>
      <c r="K3448" s="65"/>
      <c r="L3448" s="85" t="b">
        <f>IF(VLOOKUP(C3448,Projetos!A:L,12,false)=TRUE,TRUE,FALSE)</f>
        <v>1</v>
      </c>
      <c r="M3448" s="74">
        <v>52.48434411075036</v>
      </c>
      <c r="N3448" s="74">
        <f t="shared" si="1"/>
        <v>26.24217206</v>
      </c>
      <c r="O3448" s="74" t="b">
        <v>1</v>
      </c>
    </row>
    <row r="3449" hidden="1">
      <c r="A3449" s="82"/>
      <c r="B3449" s="65" t="s">
        <v>411</v>
      </c>
      <c r="C3449" s="65" t="s">
        <v>85</v>
      </c>
      <c r="D3449" s="65" t="str">
        <f>vlookup(C3449,'Classificação p pessoal'!F:G,2,false)</f>
        <v>NP</v>
      </c>
      <c r="E3449" s="65" t="s">
        <v>2412</v>
      </c>
      <c r="F3449" s="83">
        <v>0.6458333333333334</v>
      </c>
      <c r="G3449" s="83">
        <v>0.6875</v>
      </c>
      <c r="H3449" s="83">
        <v>0.041666666666666664</v>
      </c>
      <c r="I3449" s="84">
        <v>44396.0</v>
      </c>
      <c r="J3449" s="65" t="b">
        <v>1</v>
      </c>
      <c r="K3449" s="65"/>
      <c r="L3449" s="85" t="b">
        <f>IF(VLOOKUP(C3449,Projetos!A:L,12,false)=TRUE,TRUE,FALSE)</f>
        <v>1</v>
      </c>
      <c r="M3449" s="74">
        <v>52.48434411075036</v>
      </c>
      <c r="N3449" s="74">
        <f t="shared" si="1"/>
        <v>52.48434411</v>
      </c>
      <c r="O3449" s="74" t="b">
        <v>1</v>
      </c>
    </row>
    <row r="3450" hidden="1">
      <c r="A3450" s="82"/>
      <c r="B3450" s="65" t="s">
        <v>411</v>
      </c>
      <c r="C3450" s="65" t="s">
        <v>117</v>
      </c>
      <c r="D3450" s="65" t="str">
        <f>vlookup(C3450,'Classificação p pessoal'!F:G,2,false)</f>
        <v>NP</v>
      </c>
      <c r="E3450" s="65" t="s">
        <v>2413</v>
      </c>
      <c r="F3450" s="83">
        <v>0.6875</v>
      </c>
      <c r="G3450" s="83">
        <v>0.75</v>
      </c>
      <c r="H3450" s="83">
        <v>0.0625</v>
      </c>
      <c r="I3450" s="84">
        <v>44396.0</v>
      </c>
      <c r="J3450" s="65" t="b">
        <v>1</v>
      </c>
      <c r="K3450" s="65"/>
      <c r="L3450" s="85" t="b">
        <f>IF(VLOOKUP(C3450,Projetos!A:L,12,false)=TRUE,TRUE,FALSE)</f>
        <v>1</v>
      </c>
      <c r="M3450" s="74">
        <v>52.48434411075036</v>
      </c>
      <c r="N3450" s="74">
        <f t="shared" si="1"/>
        <v>78.72651617</v>
      </c>
      <c r="O3450" s="74" t="b">
        <v>1</v>
      </c>
    </row>
    <row r="3451" hidden="1">
      <c r="A3451" s="82"/>
      <c r="B3451" s="65" t="s">
        <v>411</v>
      </c>
      <c r="C3451" s="65" t="s">
        <v>117</v>
      </c>
      <c r="D3451" s="65" t="str">
        <f>vlookup(C3451,'Classificação p pessoal'!F:G,2,false)</f>
        <v>NP</v>
      </c>
      <c r="E3451" s="65" t="s">
        <v>2414</v>
      </c>
      <c r="F3451" s="83">
        <v>0.34375</v>
      </c>
      <c r="G3451" s="83">
        <v>0.4166666666666667</v>
      </c>
      <c r="H3451" s="83">
        <v>0.07291666666666667</v>
      </c>
      <c r="I3451" s="84">
        <v>44397.0</v>
      </c>
      <c r="J3451" s="65" t="b">
        <v>1</v>
      </c>
      <c r="K3451" s="65"/>
      <c r="L3451" s="85" t="b">
        <f>IF(VLOOKUP(C3451,Projetos!A:L,12,false)=TRUE,TRUE,FALSE)</f>
        <v>1</v>
      </c>
      <c r="M3451" s="74">
        <v>52.48434411075036</v>
      </c>
      <c r="N3451" s="74">
        <f t="shared" si="1"/>
        <v>91.84760219</v>
      </c>
      <c r="O3451" s="74" t="b">
        <v>1</v>
      </c>
    </row>
    <row r="3452" hidden="1">
      <c r="A3452" s="82"/>
      <c r="B3452" s="65" t="s">
        <v>411</v>
      </c>
      <c r="C3452" s="65" t="s">
        <v>92</v>
      </c>
      <c r="D3452" s="65" t="str">
        <f>vlookup(C3452,'Classificação p pessoal'!F:G,2,false)</f>
        <v/>
      </c>
      <c r="E3452" s="65" t="s">
        <v>2415</v>
      </c>
      <c r="F3452" s="83">
        <v>0.4166666666666667</v>
      </c>
      <c r="G3452" s="83">
        <v>0.5625</v>
      </c>
      <c r="H3452" s="83">
        <v>0.14583333333333334</v>
      </c>
      <c r="I3452" s="84">
        <v>44397.0</v>
      </c>
      <c r="J3452" s="65" t="b">
        <v>1</v>
      </c>
      <c r="K3452" s="65"/>
      <c r="L3452" s="85" t="b">
        <f>IF(VLOOKUP(C3452,Projetos!A:L,12,false)=TRUE,TRUE,FALSE)</f>
        <v>1</v>
      </c>
      <c r="M3452" s="74">
        <v>52.48434411075036</v>
      </c>
      <c r="N3452" s="74">
        <f t="shared" si="1"/>
        <v>183.6952044</v>
      </c>
      <c r="O3452" s="74" t="b">
        <v>1</v>
      </c>
    </row>
    <row r="3453" hidden="1">
      <c r="A3453" s="82"/>
      <c r="B3453" s="65" t="s">
        <v>411</v>
      </c>
      <c r="C3453" s="65" t="s">
        <v>117</v>
      </c>
      <c r="D3453" s="65" t="str">
        <f>vlookup(C3453,'Classificação p pessoal'!F:G,2,false)</f>
        <v>NP</v>
      </c>
      <c r="E3453" s="65" t="s">
        <v>2416</v>
      </c>
      <c r="F3453" s="83">
        <v>0.6041666666666666</v>
      </c>
      <c r="G3453" s="83">
        <v>0.6666666666666666</v>
      </c>
      <c r="H3453" s="83">
        <v>0.0625</v>
      </c>
      <c r="I3453" s="84">
        <v>44397.0</v>
      </c>
      <c r="J3453" s="65" t="b">
        <v>1</v>
      </c>
      <c r="K3453" s="65"/>
      <c r="L3453" s="85" t="b">
        <f>IF(VLOOKUP(C3453,Projetos!A:L,12,false)=TRUE,TRUE,FALSE)</f>
        <v>1</v>
      </c>
      <c r="M3453" s="74">
        <v>52.48434411075036</v>
      </c>
      <c r="N3453" s="74">
        <f t="shared" si="1"/>
        <v>78.72651617</v>
      </c>
      <c r="O3453" s="74" t="b">
        <v>1</v>
      </c>
    </row>
    <row r="3454" hidden="1">
      <c r="A3454" s="82"/>
      <c r="B3454" s="65" t="s">
        <v>411</v>
      </c>
      <c r="C3454" s="65" t="s">
        <v>114</v>
      </c>
      <c r="D3454" s="65" t="str">
        <f>vlookup(C3454,'Classificação p pessoal'!F:G,2,false)</f>
        <v>NP</v>
      </c>
      <c r="E3454" s="65" t="s">
        <v>2347</v>
      </c>
      <c r="F3454" s="83">
        <v>0.6666666666666666</v>
      </c>
      <c r="G3454" s="83">
        <v>0.7083333333333334</v>
      </c>
      <c r="H3454" s="83">
        <v>0.041666666666666664</v>
      </c>
      <c r="I3454" s="84">
        <v>44397.0</v>
      </c>
      <c r="J3454" s="65" t="b">
        <v>1</v>
      </c>
      <c r="K3454" s="65"/>
      <c r="L3454" s="85" t="b">
        <f>IF(VLOOKUP(C3454,Projetos!A:L,12,false)=TRUE,TRUE,FALSE)</f>
        <v>1</v>
      </c>
      <c r="M3454" s="74">
        <v>52.48434411075036</v>
      </c>
      <c r="N3454" s="74">
        <f t="shared" si="1"/>
        <v>52.48434411</v>
      </c>
      <c r="O3454" s="74" t="b">
        <v>1</v>
      </c>
    </row>
    <row r="3455" hidden="1">
      <c r="A3455" s="82"/>
      <c r="B3455" s="65" t="s">
        <v>411</v>
      </c>
      <c r="C3455" s="65" t="s">
        <v>132</v>
      </c>
      <c r="D3455" s="65"/>
      <c r="E3455" s="65" t="s">
        <v>2417</v>
      </c>
      <c r="F3455" s="83">
        <v>0.7083333333333334</v>
      </c>
      <c r="G3455" s="83">
        <v>0.75</v>
      </c>
      <c r="H3455" s="83">
        <v>0.041666666666666664</v>
      </c>
      <c r="I3455" s="84">
        <v>44397.0</v>
      </c>
      <c r="J3455" s="65" t="b">
        <v>1</v>
      </c>
      <c r="K3455" s="65"/>
      <c r="L3455" s="85" t="b">
        <f>IF(VLOOKUP(C3455,Projetos!A:L,12,false)=TRUE,TRUE,FALSE)</f>
        <v>0</v>
      </c>
      <c r="M3455" s="74">
        <v>52.48434411075036</v>
      </c>
      <c r="N3455" s="74">
        <f t="shared" si="1"/>
        <v>0</v>
      </c>
      <c r="O3455" s="74" t="b">
        <v>0</v>
      </c>
    </row>
    <row r="3456" hidden="1">
      <c r="A3456" s="82"/>
      <c r="B3456" s="65" t="s">
        <v>411</v>
      </c>
      <c r="C3456" s="65" t="s">
        <v>125</v>
      </c>
      <c r="D3456" s="65" t="str">
        <f>vlookup(C3456,'Classificação p pessoal'!F:G,2,false)</f>
        <v>MProduto</v>
      </c>
      <c r="E3456" s="65" t="s">
        <v>2418</v>
      </c>
      <c r="F3456" s="83">
        <v>0.34375</v>
      </c>
      <c r="G3456" s="83">
        <v>0.3541666666666667</v>
      </c>
      <c r="H3456" s="83">
        <v>0.010416666666666666</v>
      </c>
      <c r="I3456" s="84">
        <v>44398.0</v>
      </c>
      <c r="J3456" s="65" t="b">
        <v>1</v>
      </c>
      <c r="K3456" s="65"/>
      <c r="L3456" s="85" t="b">
        <f>IF(VLOOKUP(C3456,Projetos!A:L,12,false)=TRUE,TRUE,FALSE)</f>
        <v>1</v>
      </c>
      <c r="M3456" s="74">
        <v>52.48434411075036</v>
      </c>
      <c r="N3456" s="74">
        <f t="shared" si="1"/>
        <v>13.12108603</v>
      </c>
      <c r="O3456" s="74" t="b">
        <v>1</v>
      </c>
    </row>
    <row r="3457" hidden="1">
      <c r="A3457" s="82"/>
      <c r="B3457" s="65" t="s">
        <v>411</v>
      </c>
      <c r="C3457" s="65" t="s">
        <v>117</v>
      </c>
      <c r="D3457" s="65" t="str">
        <f>vlookup(C3457,'Classificação p pessoal'!F:G,2,false)</f>
        <v>NP</v>
      </c>
      <c r="E3457" s="65" t="s">
        <v>2419</v>
      </c>
      <c r="F3457" s="83">
        <v>0.3541666666666667</v>
      </c>
      <c r="G3457" s="83">
        <v>0.4375</v>
      </c>
      <c r="H3457" s="83">
        <v>0.08333333333333333</v>
      </c>
      <c r="I3457" s="84">
        <v>44398.0</v>
      </c>
      <c r="J3457" s="65" t="b">
        <v>1</v>
      </c>
      <c r="K3457" s="65"/>
      <c r="L3457" s="85" t="b">
        <f>IF(VLOOKUP(C3457,Projetos!A:L,12,false)=TRUE,TRUE,FALSE)</f>
        <v>1</v>
      </c>
      <c r="M3457" s="74">
        <v>52.48434411075036</v>
      </c>
      <c r="N3457" s="74">
        <f t="shared" si="1"/>
        <v>104.9686882</v>
      </c>
      <c r="O3457" s="74" t="b">
        <v>1</v>
      </c>
    </row>
    <row r="3458" hidden="1">
      <c r="A3458" s="82"/>
      <c r="B3458" s="65" t="s">
        <v>411</v>
      </c>
      <c r="C3458" s="65" t="s">
        <v>114</v>
      </c>
      <c r="D3458" s="65" t="str">
        <f>vlookup(C3458,'Classificação p pessoal'!F:G,2,false)</f>
        <v>NP</v>
      </c>
      <c r="E3458" s="65" t="s">
        <v>2420</v>
      </c>
      <c r="F3458" s="83">
        <v>0.4375</v>
      </c>
      <c r="G3458" s="83">
        <v>0.4791666666666667</v>
      </c>
      <c r="H3458" s="83">
        <v>0.041666666666666664</v>
      </c>
      <c r="I3458" s="84">
        <v>44398.0</v>
      </c>
      <c r="J3458" s="65" t="b">
        <v>1</v>
      </c>
      <c r="K3458" s="65"/>
      <c r="L3458" s="85" t="b">
        <f>IF(VLOOKUP(C3458,Projetos!A:L,12,false)=TRUE,TRUE,FALSE)</f>
        <v>1</v>
      </c>
      <c r="M3458" s="74">
        <v>52.48434411075036</v>
      </c>
      <c r="N3458" s="74">
        <f t="shared" si="1"/>
        <v>52.48434411</v>
      </c>
      <c r="O3458" s="74" t="b">
        <v>1</v>
      </c>
    </row>
    <row r="3459" hidden="1">
      <c r="A3459" s="82"/>
      <c r="B3459" s="65" t="s">
        <v>411</v>
      </c>
      <c r="C3459" s="65" t="s">
        <v>117</v>
      </c>
      <c r="D3459" s="65" t="str">
        <f>vlookup(C3459,'Classificação p pessoal'!F:G,2,false)</f>
        <v>NP</v>
      </c>
      <c r="E3459" s="65" t="s">
        <v>2421</v>
      </c>
      <c r="F3459" s="83">
        <v>0.4791666666666667</v>
      </c>
      <c r="G3459" s="83">
        <v>0.5208333333333334</v>
      </c>
      <c r="H3459" s="83">
        <v>0.041666666666666664</v>
      </c>
      <c r="I3459" s="84">
        <v>44398.0</v>
      </c>
      <c r="J3459" s="65" t="b">
        <v>1</v>
      </c>
      <c r="K3459" s="65"/>
      <c r="L3459" s="85" t="b">
        <f>IF(VLOOKUP(C3459,Projetos!A:L,12,false)=TRUE,TRUE,FALSE)</f>
        <v>1</v>
      </c>
      <c r="M3459" s="74">
        <v>52.48434411075036</v>
      </c>
      <c r="N3459" s="74">
        <f t="shared" si="1"/>
        <v>52.48434411</v>
      </c>
      <c r="O3459" s="74" t="b">
        <v>1</v>
      </c>
    </row>
    <row r="3460" hidden="1">
      <c r="A3460" s="82"/>
      <c r="B3460" s="65" t="s">
        <v>411</v>
      </c>
      <c r="C3460" s="65" t="s">
        <v>130</v>
      </c>
      <c r="D3460" s="65" t="str">
        <f>vlookup(C3460,'Classificação p pessoal'!F:G,2,false)</f>
        <v>NP</v>
      </c>
      <c r="E3460" s="65" t="s">
        <v>2422</v>
      </c>
      <c r="F3460" s="83">
        <v>0.5625</v>
      </c>
      <c r="G3460" s="83">
        <v>0.7083333333333334</v>
      </c>
      <c r="H3460" s="83">
        <v>0.14583333333333334</v>
      </c>
      <c r="I3460" s="84">
        <v>44398.0</v>
      </c>
      <c r="J3460" s="65" t="b">
        <v>1</v>
      </c>
      <c r="K3460" s="65"/>
      <c r="L3460" s="85" t="b">
        <f>IF(VLOOKUP(C3460,Projetos!A:L,12,false)=TRUE,TRUE,FALSE)</f>
        <v>1</v>
      </c>
      <c r="M3460" s="74">
        <v>52.48434411075036</v>
      </c>
      <c r="N3460" s="74">
        <f t="shared" si="1"/>
        <v>183.6952044</v>
      </c>
      <c r="O3460" s="74" t="b">
        <v>1</v>
      </c>
    </row>
    <row r="3461" hidden="1">
      <c r="A3461" s="82"/>
      <c r="B3461" s="65" t="s">
        <v>411</v>
      </c>
      <c r="C3461" s="65" t="s">
        <v>117</v>
      </c>
      <c r="D3461" s="65" t="str">
        <f>vlookup(C3461,'Classificação p pessoal'!F:G,2,false)</f>
        <v>NP</v>
      </c>
      <c r="E3461" s="65" t="s">
        <v>2423</v>
      </c>
      <c r="F3461" s="83">
        <v>0.7083333333333334</v>
      </c>
      <c r="G3461" s="83">
        <v>0.75</v>
      </c>
      <c r="H3461" s="83">
        <v>0.041666666666666664</v>
      </c>
      <c r="I3461" s="84">
        <v>44398.0</v>
      </c>
      <c r="J3461" s="65" t="b">
        <v>1</v>
      </c>
      <c r="K3461" s="65"/>
      <c r="L3461" s="85" t="b">
        <f>IF(VLOOKUP(C3461,Projetos!A:L,12,false)=TRUE,TRUE,FALSE)</f>
        <v>1</v>
      </c>
      <c r="M3461" s="74">
        <v>52.48434411075036</v>
      </c>
      <c r="N3461" s="74">
        <f t="shared" si="1"/>
        <v>52.48434411</v>
      </c>
      <c r="O3461" s="74" t="b">
        <v>1</v>
      </c>
    </row>
    <row r="3462" hidden="1">
      <c r="A3462" s="82"/>
      <c r="B3462" s="65" t="s">
        <v>411</v>
      </c>
      <c r="C3462" s="65" t="s">
        <v>92</v>
      </c>
      <c r="D3462" s="65" t="str">
        <f>vlookup(C3462,'Classificação p pessoal'!F:G,2,false)</f>
        <v/>
      </c>
      <c r="E3462" s="65" t="s">
        <v>2424</v>
      </c>
      <c r="F3462" s="83">
        <v>0.34375</v>
      </c>
      <c r="G3462" s="83">
        <v>0.3958333333333333</v>
      </c>
      <c r="H3462" s="83">
        <v>0.052083333333333336</v>
      </c>
      <c r="I3462" s="84">
        <v>44399.0</v>
      </c>
      <c r="J3462" s="65" t="b">
        <v>1</v>
      </c>
      <c r="K3462" s="65"/>
      <c r="L3462" s="85" t="b">
        <f>IF(VLOOKUP(C3462,Projetos!A:L,12,false)=TRUE,TRUE,FALSE)</f>
        <v>1</v>
      </c>
      <c r="M3462" s="74">
        <v>52.48434411075036</v>
      </c>
      <c r="N3462" s="74">
        <f t="shared" si="1"/>
        <v>65.60543014</v>
      </c>
      <c r="O3462" s="74" t="b">
        <v>1</v>
      </c>
    </row>
    <row r="3463" hidden="1">
      <c r="A3463" s="82"/>
      <c r="B3463" s="65" t="s">
        <v>411</v>
      </c>
      <c r="C3463" s="65" t="s">
        <v>117</v>
      </c>
      <c r="D3463" s="65" t="str">
        <f>vlookup(C3463,'Classificação p pessoal'!F:G,2,false)</f>
        <v>NP</v>
      </c>
      <c r="E3463" s="65" t="s">
        <v>2425</v>
      </c>
      <c r="F3463" s="83">
        <v>0.3958333333333333</v>
      </c>
      <c r="G3463" s="83">
        <v>0.4166666666666667</v>
      </c>
      <c r="H3463" s="83">
        <v>0.020833333333333332</v>
      </c>
      <c r="I3463" s="84">
        <v>44399.0</v>
      </c>
      <c r="J3463" s="65" t="b">
        <v>1</v>
      </c>
      <c r="K3463" s="65"/>
      <c r="L3463" s="85" t="b">
        <f>IF(VLOOKUP(C3463,Projetos!A:L,12,false)=TRUE,TRUE,FALSE)</f>
        <v>1</v>
      </c>
      <c r="M3463" s="74">
        <v>52.48434411075036</v>
      </c>
      <c r="N3463" s="74">
        <f t="shared" si="1"/>
        <v>26.24217206</v>
      </c>
      <c r="O3463" s="74" t="b">
        <v>1</v>
      </c>
    </row>
    <row r="3464" hidden="1">
      <c r="A3464" s="82"/>
      <c r="B3464" s="65" t="s">
        <v>411</v>
      </c>
      <c r="C3464" s="65" t="s">
        <v>92</v>
      </c>
      <c r="D3464" s="65" t="str">
        <f>vlookup(C3464,'Classificação p pessoal'!F:G,2,false)</f>
        <v/>
      </c>
      <c r="E3464" s="65" t="s">
        <v>2426</v>
      </c>
      <c r="F3464" s="83">
        <v>0.4166666666666667</v>
      </c>
      <c r="G3464" s="83">
        <v>0.4791666666666667</v>
      </c>
      <c r="H3464" s="83">
        <v>0.0625</v>
      </c>
      <c r="I3464" s="84">
        <v>44399.0</v>
      </c>
      <c r="J3464" s="65" t="b">
        <v>1</v>
      </c>
      <c r="K3464" s="65"/>
      <c r="L3464" s="85" t="b">
        <f>IF(VLOOKUP(C3464,Projetos!A:L,12,false)=TRUE,TRUE,FALSE)</f>
        <v>1</v>
      </c>
      <c r="M3464" s="74">
        <v>52.48434411075036</v>
      </c>
      <c r="N3464" s="74">
        <f t="shared" si="1"/>
        <v>78.72651617</v>
      </c>
      <c r="O3464" s="74" t="b">
        <v>1</v>
      </c>
    </row>
    <row r="3465" hidden="1">
      <c r="A3465" s="82"/>
      <c r="B3465" s="65" t="s">
        <v>411</v>
      </c>
      <c r="C3465" s="65" t="s">
        <v>106</v>
      </c>
      <c r="D3465" s="65" t="str">
        <f>vlookup(C3465,'Classificação p pessoal'!F:G,2,false)</f>
        <v>MProcesso</v>
      </c>
      <c r="E3465" s="65" t="s">
        <v>2427</v>
      </c>
      <c r="F3465" s="83">
        <v>0.4791666666666667</v>
      </c>
      <c r="G3465" s="83">
        <v>0.5208333333333334</v>
      </c>
      <c r="H3465" s="83">
        <v>0.041666666666666664</v>
      </c>
      <c r="I3465" s="84">
        <v>44399.0</v>
      </c>
      <c r="J3465" s="65" t="b">
        <v>1</v>
      </c>
      <c r="K3465" s="65"/>
      <c r="L3465" s="85" t="b">
        <f>IF(VLOOKUP(C3465,Projetos!A:L,12,false)=TRUE,TRUE,FALSE)</f>
        <v>1</v>
      </c>
      <c r="M3465" s="74">
        <v>52.48434411075036</v>
      </c>
      <c r="N3465" s="74">
        <f t="shared" si="1"/>
        <v>52.48434411</v>
      </c>
      <c r="O3465" s="74" t="b">
        <v>1</v>
      </c>
    </row>
    <row r="3466" hidden="1">
      <c r="A3466" s="82"/>
      <c r="B3466" s="65" t="s">
        <v>411</v>
      </c>
      <c r="C3466" s="65" t="s">
        <v>117</v>
      </c>
      <c r="D3466" s="65" t="str">
        <f>vlookup(C3466,'Classificação p pessoal'!F:G,2,false)</f>
        <v>NP</v>
      </c>
      <c r="E3466" s="65" t="s">
        <v>2428</v>
      </c>
      <c r="F3466" s="83">
        <v>0.5625</v>
      </c>
      <c r="G3466" s="83">
        <v>0.6666666666666666</v>
      </c>
      <c r="H3466" s="83">
        <v>0.10416666666666667</v>
      </c>
      <c r="I3466" s="84">
        <v>44399.0</v>
      </c>
      <c r="J3466" s="65" t="b">
        <v>1</v>
      </c>
      <c r="K3466" s="65"/>
      <c r="L3466" s="85" t="b">
        <f>IF(VLOOKUP(C3466,Projetos!A:L,12,false)=TRUE,TRUE,FALSE)</f>
        <v>1</v>
      </c>
      <c r="M3466" s="74">
        <v>52.48434411075036</v>
      </c>
      <c r="N3466" s="74">
        <f t="shared" si="1"/>
        <v>131.2108603</v>
      </c>
      <c r="O3466" s="74" t="b">
        <v>1</v>
      </c>
    </row>
    <row r="3467" hidden="1">
      <c r="A3467" s="82"/>
      <c r="B3467" s="65" t="s">
        <v>411</v>
      </c>
      <c r="C3467" s="65" t="s">
        <v>92</v>
      </c>
      <c r="D3467" s="65" t="str">
        <f>vlookup(C3467,'Classificação p pessoal'!F:G,2,false)</f>
        <v/>
      </c>
      <c r="E3467" s="65" t="s">
        <v>2429</v>
      </c>
      <c r="F3467" s="83">
        <v>0.6666666666666666</v>
      </c>
      <c r="G3467" s="83">
        <v>0.7083333333333334</v>
      </c>
      <c r="H3467" s="83">
        <v>0.041666666666666664</v>
      </c>
      <c r="I3467" s="84">
        <v>44399.0</v>
      </c>
      <c r="J3467" s="65" t="b">
        <v>1</v>
      </c>
      <c r="K3467" s="65"/>
      <c r="L3467" s="85" t="b">
        <f>IF(VLOOKUP(C3467,Projetos!A:L,12,false)=TRUE,TRUE,FALSE)</f>
        <v>1</v>
      </c>
      <c r="M3467" s="74">
        <v>52.48434411075036</v>
      </c>
      <c r="N3467" s="74">
        <f t="shared" si="1"/>
        <v>52.48434411</v>
      </c>
      <c r="O3467" s="74" t="b">
        <v>1</v>
      </c>
    </row>
    <row r="3468" hidden="1">
      <c r="A3468" s="82"/>
      <c r="B3468" s="65" t="s">
        <v>411</v>
      </c>
      <c r="C3468" s="65" t="s">
        <v>106</v>
      </c>
      <c r="D3468" s="65" t="str">
        <f>vlookup(C3468,'Classificação p pessoal'!F:G,2,false)</f>
        <v>MProcesso</v>
      </c>
      <c r="E3468" s="65" t="s">
        <v>2430</v>
      </c>
      <c r="F3468" s="83">
        <v>0.7083333333333334</v>
      </c>
      <c r="G3468" s="83">
        <v>0.7777777777777778</v>
      </c>
      <c r="H3468" s="83">
        <v>0.06944444444444445</v>
      </c>
      <c r="I3468" s="84">
        <v>44399.0</v>
      </c>
      <c r="J3468" s="65" t="b">
        <v>1</v>
      </c>
      <c r="K3468" s="65"/>
      <c r="L3468" s="85" t="b">
        <f>IF(VLOOKUP(C3468,Projetos!A:L,12,false)=TRUE,TRUE,FALSE)</f>
        <v>1</v>
      </c>
      <c r="M3468" s="74">
        <v>52.48434411075036</v>
      </c>
      <c r="N3468" s="74">
        <f t="shared" si="1"/>
        <v>87.47390685</v>
      </c>
      <c r="O3468" s="74" t="b">
        <v>1</v>
      </c>
    </row>
    <row r="3469" hidden="1">
      <c r="A3469" s="82"/>
      <c r="B3469" s="65" t="s">
        <v>411</v>
      </c>
      <c r="C3469" s="65" t="s">
        <v>117</v>
      </c>
      <c r="D3469" s="65" t="str">
        <f>vlookup(C3469,'Classificação p pessoal'!F:G,2,false)</f>
        <v>NP</v>
      </c>
      <c r="E3469" s="65" t="s">
        <v>2431</v>
      </c>
      <c r="F3469" s="83">
        <v>0.34375</v>
      </c>
      <c r="G3469" s="83">
        <v>0.4375</v>
      </c>
      <c r="H3469" s="83">
        <v>0.09375</v>
      </c>
      <c r="I3469" s="84">
        <v>44400.0</v>
      </c>
      <c r="J3469" s="65" t="b">
        <v>1</v>
      </c>
      <c r="K3469" s="65"/>
      <c r="L3469" s="85" t="b">
        <f>IF(VLOOKUP(C3469,Projetos!A:L,12,false)=TRUE,TRUE,FALSE)</f>
        <v>1</v>
      </c>
      <c r="M3469" s="74">
        <v>52.48434411075036</v>
      </c>
      <c r="N3469" s="74">
        <f t="shared" si="1"/>
        <v>118.0897742</v>
      </c>
      <c r="O3469" s="74" t="b">
        <v>1</v>
      </c>
    </row>
    <row r="3470" hidden="1">
      <c r="A3470" s="82"/>
      <c r="B3470" s="65" t="s">
        <v>411</v>
      </c>
      <c r="C3470" s="65" t="s">
        <v>117</v>
      </c>
      <c r="D3470" s="65" t="str">
        <f>vlookup(C3470,'Classificação p pessoal'!F:G,2,false)</f>
        <v>NP</v>
      </c>
      <c r="E3470" s="65" t="s">
        <v>2432</v>
      </c>
      <c r="F3470" s="83">
        <v>0.4375</v>
      </c>
      <c r="G3470" s="83">
        <v>0.4791666666666667</v>
      </c>
      <c r="H3470" s="83">
        <v>0.041666666666666664</v>
      </c>
      <c r="I3470" s="84">
        <v>44400.0</v>
      </c>
      <c r="J3470" s="65" t="b">
        <v>1</v>
      </c>
      <c r="K3470" s="65"/>
      <c r="L3470" s="85" t="b">
        <f>IF(VLOOKUP(C3470,Projetos!A:L,12,false)=TRUE,TRUE,FALSE)</f>
        <v>1</v>
      </c>
      <c r="M3470" s="74">
        <v>52.48434411075036</v>
      </c>
      <c r="N3470" s="74">
        <f t="shared" si="1"/>
        <v>52.48434411</v>
      </c>
      <c r="O3470" s="74" t="b">
        <v>1</v>
      </c>
    </row>
    <row r="3471" hidden="1">
      <c r="A3471" s="82"/>
      <c r="B3471" s="65" t="s">
        <v>467</v>
      </c>
      <c r="C3471" s="65" t="s">
        <v>84</v>
      </c>
      <c r="D3471" s="65"/>
      <c r="E3471" s="65" t="s">
        <v>2433</v>
      </c>
      <c r="F3471" s="83">
        <v>0.4375</v>
      </c>
      <c r="G3471" s="83">
        <v>0.4583333333333333</v>
      </c>
      <c r="H3471" s="83">
        <v>0.020833333333333332</v>
      </c>
      <c r="I3471" s="84">
        <v>44537.0</v>
      </c>
      <c r="J3471" s="65" t="b">
        <v>0</v>
      </c>
      <c r="K3471" s="65"/>
      <c r="L3471" s="85" t="b">
        <f>IF(VLOOKUP(C3471,Projetos!A:L,12,false)=TRUE,TRUE,FALSE)</f>
        <v>0</v>
      </c>
      <c r="M3471" s="74">
        <v>52.1518759018759</v>
      </c>
      <c r="N3471" s="74">
        <f t="shared" si="1"/>
        <v>0</v>
      </c>
      <c r="O3471" s="74" t="b">
        <v>0</v>
      </c>
    </row>
    <row r="3472" hidden="1">
      <c r="A3472" s="82"/>
      <c r="B3472" s="65" t="s">
        <v>411</v>
      </c>
      <c r="C3472" s="65" t="s">
        <v>92</v>
      </c>
      <c r="D3472" s="65" t="str">
        <f>vlookup(C3472,'Classificação p pessoal'!F:G,2,false)</f>
        <v/>
      </c>
      <c r="E3472" s="65" t="s">
        <v>2434</v>
      </c>
      <c r="F3472" s="83">
        <v>0.5833333333333334</v>
      </c>
      <c r="G3472" s="83">
        <v>0.625</v>
      </c>
      <c r="H3472" s="83">
        <v>0.041666666666666664</v>
      </c>
      <c r="I3472" s="84">
        <v>44400.0</v>
      </c>
      <c r="J3472" s="65" t="b">
        <v>1</v>
      </c>
      <c r="K3472" s="65"/>
      <c r="L3472" s="85" t="b">
        <f>IF(VLOOKUP(C3472,Projetos!A:L,12,false)=TRUE,TRUE,FALSE)</f>
        <v>1</v>
      </c>
      <c r="M3472" s="74">
        <v>52.48434411075036</v>
      </c>
      <c r="N3472" s="74">
        <f t="shared" si="1"/>
        <v>52.48434411</v>
      </c>
      <c r="O3472" s="74" t="b">
        <v>1</v>
      </c>
    </row>
    <row r="3473" hidden="1">
      <c r="A3473" s="82"/>
      <c r="B3473" s="65" t="s">
        <v>411</v>
      </c>
      <c r="C3473" s="65" t="s">
        <v>114</v>
      </c>
      <c r="D3473" s="65" t="str">
        <f>vlookup(C3473,'Classificação p pessoal'!F:G,2,false)</f>
        <v>NP</v>
      </c>
      <c r="E3473" s="65" t="s">
        <v>2435</v>
      </c>
      <c r="F3473" s="83">
        <v>0.625</v>
      </c>
      <c r="G3473" s="83">
        <v>0.75</v>
      </c>
      <c r="H3473" s="83">
        <v>0.125</v>
      </c>
      <c r="I3473" s="84">
        <v>44400.0</v>
      </c>
      <c r="J3473" s="65" t="b">
        <v>1</v>
      </c>
      <c r="K3473" s="65"/>
      <c r="L3473" s="85" t="b">
        <f>IF(VLOOKUP(C3473,Projetos!A:L,12,false)=TRUE,TRUE,FALSE)</f>
        <v>1</v>
      </c>
      <c r="M3473" s="74">
        <v>52.48434411075036</v>
      </c>
      <c r="N3473" s="74">
        <f t="shared" si="1"/>
        <v>157.4530323</v>
      </c>
      <c r="O3473" s="74" t="b">
        <v>1</v>
      </c>
    </row>
    <row r="3474" hidden="1">
      <c r="A3474" s="82"/>
      <c r="B3474" s="65" t="s">
        <v>411</v>
      </c>
      <c r="C3474" s="65" t="s">
        <v>92</v>
      </c>
      <c r="D3474" s="65"/>
      <c r="E3474" s="65" t="s">
        <v>2436</v>
      </c>
      <c r="F3474" s="83">
        <v>0.34375</v>
      </c>
      <c r="G3474" s="83">
        <v>0.375</v>
      </c>
      <c r="H3474" s="83">
        <v>0.03125</v>
      </c>
      <c r="I3474" s="84">
        <v>44403.0</v>
      </c>
      <c r="J3474" s="65" t="b">
        <v>0</v>
      </c>
      <c r="K3474" s="65" t="s">
        <v>150</v>
      </c>
      <c r="L3474" s="85" t="b">
        <f>IF(VLOOKUP(C3474,Projetos!A:L,12,false)=TRUE,TRUE,FALSE)</f>
        <v>1</v>
      </c>
      <c r="M3474" s="74">
        <v>52.48434411075036</v>
      </c>
      <c r="N3474" s="74">
        <f t="shared" si="1"/>
        <v>0</v>
      </c>
      <c r="O3474" s="74" t="b">
        <v>1</v>
      </c>
    </row>
    <row r="3475" hidden="1">
      <c r="A3475" s="82"/>
      <c r="B3475" s="65" t="s">
        <v>411</v>
      </c>
      <c r="C3475" s="65" t="s">
        <v>117</v>
      </c>
      <c r="D3475" s="65" t="str">
        <f>vlookup(C3475,'Classificação p pessoal'!F:G,2,false)</f>
        <v>NP</v>
      </c>
      <c r="E3475" s="65" t="s">
        <v>2437</v>
      </c>
      <c r="F3475" s="83">
        <v>0.375</v>
      </c>
      <c r="G3475" s="83">
        <v>0.4166666666666667</v>
      </c>
      <c r="H3475" s="83">
        <v>0.041666666666666664</v>
      </c>
      <c r="I3475" s="84">
        <v>44403.0</v>
      </c>
      <c r="J3475" s="65" t="b">
        <v>1</v>
      </c>
      <c r="K3475" s="65"/>
      <c r="L3475" s="85" t="b">
        <f>IF(VLOOKUP(C3475,Projetos!A:L,12,false)=TRUE,TRUE,FALSE)</f>
        <v>1</v>
      </c>
      <c r="M3475" s="74">
        <v>52.48434411075036</v>
      </c>
      <c r="N3475" s="74">
        <f t="shared" si="1"/>
        <v>52.48434411</v>
      </c>
      <c r="O3475" s="74" t="b">
        <v>1</v>
      </c>
    </row>
    <row r="3476" hidden="1">
      <c r="A3476" s="82"/>
      <c r="B3476" s="65" t="s">
        <v>411</v>
      </c>
      <c r="C3476" s="65" t="s">
        <v>106</v>
      </c>
      <c r="D3476" s="65" t="str">
        <f>vlookup(C3476,'Classificação p pessoal'!F:G,2,false)</f>
        <v>MProcesso</v>
      </c>
      <c r="E3476" s="65" t="s">
        <v>2438</v>
      </c>
      <c r="F3476" s="83">
        <v>0.4166666666666667</v>
      </c>
      <c r="G3476" s="83">
        <v>0.4583333333333333</v>
      </c>
      <c r="H3476" s="83">
        <v>0.041666666666666664</v>
      </c>
      <c r="I3476" s="84">
        <v>44403.0</v>
      </c>
      <c r="J3476" s="65" t="b">
        <v>1</v>
      </c>
      <c r="K3476" s="65"/>
      <c r="L3476" s="85" t="b">
        <f>IF(VLOOKUP(C3476,Projetos!A:L,12,false)=TRUE,TRUE,FALSE)</f>
        <v>1</v>
      </c>
      <c r="M3476" s="74">
        <v>52.48434411075036</v>
      </c>
      <c r="N3476" s="74">
        <f t="shared" si="1"/>
        <v>52.48434411</v>
      </c>
      <c r="O3476" s="74" t="b">
        <v>1</v>
      </c>
    </row>
    <row r="3477" hidden="1">
      <c r="A3477" s="82"/>
      <c r="B3477" s="65" t="s">
        <v>411</v>
      </c>
      <c r="C3477" s="65" t="s">
        <v>117</v>
      </c>
      <c r="D3477" s="65" t="str">
        <f>vlookup(C3477,'Classificação p pessoal'!F:G,2,false)</f>
        <v>NP</v>
      </c>
      <c r="E3477" s="65" t="s">
        <v>2439</v>
      </c>
      <c r="F3477" s="83">
        <v>0.4583333333333333</v>
      </c>
      <c r="G3477" s="83">
        <v>0.4791666666666667</v>
      </c>
      <c r="H3477" s="83">
        <v>0.020833333333333332</v>
      </c>
      <c r="I3477" s="84">
        <v>44403.0</v>
      </c>
      <c r="J3477" s="65" t="b">
        <v>1</v>
      </c>
      <c r="K3477" s="65"/>
      <c r="L3477" s="85" t="b">
        <f>IF(VLOOKUP(C3477,Projetos!A:L,12,false)=TRUE,TRUE,FALSE)</f>
        <v>1</v>
      </c>
      <c r="M3477" s="74">
        <v>52.48434411075036</v>
      </c>
      <c r="N3477" s="74">
        <f t="shared" si="1"/>
        <v>26.24217206</v>
      </c>
      <c r="O3477" s="74" t="b">
        <v>1</v>
      </c>
    </row>
    <row r="3478" hidden="1">
      <c r="A3478" s="82"/>
      <c r="B3478" s="65" t="s">
        <v>411</v>
      </c>
      <c r="C3478" s="65" t="s">
        <v>92</v>
      </c>
      <c r="D3478" s="65" t="str">
        <f>vlookup(C3478,'Classificação p pessoal'!F:G,2,false)</f>
        <v/>
      </c>
      <c r="E3478" s="65" t="s">
        <v>2440</v>
      </c>
      <c r="F3478" s="83">
        <v>0.4791666666666667</v>
      </c>
      <c r="G3478" s="83">
        <v>0.5416666666666666</v>
      </c>
      <c r="H3478" s="83">
        <v>0.0625</v>
      </c>
      <c r="I3478" s="84">
        <v>44403.0</v>
      </c>
      <c r="J3478" s="65" t="b">
        <v>1</v>
      </c>
      <c r="K3478" s="65"/>
      <c r="L3478" s="85" t="b">
        <f>IF(VLOOKUP(C3478,Projetos!A:L,12,false)=TRUE,TRUE,FALSE)</f>
        <v>1</v>
      </c>
      <c r="M3478" s="74">
        <v>52.48434411075036</v>
      </c>
      <c r="N3478" s="74">
        <f t="shared" si="1"/>
        <v>78.72651617</v>
      </c>
      <c r="O3478" s="74" t="b">
        <v>1</v>
      </c>
    </row>
    <row r="3479" hidden="1">
      <c r="A3479" s="82"/>
      <c r="B3479" s="65" t="s">
        <v>411</v>
      </c>
      <c r="C3479" s="65" t="s">
        <v>120</v>
      </c>
      <c r="D3479" s="65"/>
      <c r="E3479" s="65" t="s">
        <v>2441</v>
      </c>
      <c r="F3479" s="83">
        <v>0.5833333333333334</v>
      </c>
      <c r="G3479" s="83">
        <v>0.6041666666666666</v>
      </c>
      <c r="H3479" s="83">
        <v>0.020833333333333332</v>
      </c>
      <c r="I3479" s="84">
        <v>44403.0</v>
      </c>
      <c r="J3479" s="65" t="b">
        <v>0</v>
      </c>
      <c r="K3479" s="65"/>
      <c r="L3479" s="85" t="b">
        <f>IF(VLOOKUP(C3479,Projetos!A:L,12,false)=TRUE,TRUE,FALSE)</f>
        <v>0</v>
      </c>
      <c r="M3479" s="74">
        <v>52.48434411075036</v>
      </c>
      <c r="N3479" s="74">
        <f t="shared" si="1"/>
        <v>0</v>
      </c>
      <c r="O3479" s="74" t="b">
        <v>0</v>
      </c>
    </row>
    <row r="3480" hidden="1">
      <c r="A3480" s="82"/>
      <c r="B3480" s="65" t="s">
        <v>411</v>
      </c>
      <c r="C3480" s="65" t="s">
        <v>130</v>
      </c>
      <c r="D3480" s="65" t="str">
        <f>vlookup(C3480,'Classificação p pessoal'!F:G,2,false)</f>
        <v>NP</v>
      </c>
      <c r="E3480" s="65" t="s">
        <v>2442</v>
      </c>
      <c r="F3480" s="83">
        <v>0.6041666666666666</v>
      </c>
      <c r="G3480" s="83">
        <v>0.6458333333333334</v>
      </c>
      <c r="H3480" s="83">
        <v>0.041666666666666664</v>
      </c>
      <c r="I3480" s="84">
        <v>44403.0</v>
      </c>
      <c r="J3480" s="65" t="b">
        <v>1</v>
      </c>
      <c r="K3480" s="65"/>
      <c r="L3480" s="85" t="b">
        <f>IF(VLOOKUP(C3480,Projetos!A:L,12,false)=TRUE,TRUE,FALSE)</f>
        <v>1</v>
      </c>
      <c r="M3480" s="74">
        <v>52.48434411075036</v>
      </c>
      <c r="N3480" s="74">
        <f t="shared" si="1"/>
        <v>52.48434411</v>
      </c>
      <c r="O3480" s="74" t="b">
        <v>1</v>
      </c>
    </row>
    <row r="3481" hidden="1">
      <c r="A3481" s="82"/>
      <c r="B3481" s="65" t="s">
        <v>411</v>
      </c>
      <c r="C3481" s="65" t="s">
        <v>92</v>
      </c>
      <c r="D3481" s="65" t="str">
        <f>vlookup(C3481,'Classificação p pessoal'!F:G,2,false)</f>
        <v/>
      </c>
      <c r="E3481" s="65" t="s">
        <v>2443</v>
      </c>
      <c r="F3481" s="83">
        <v>0.6458333333333334</v>
      </c>
      <c r="G3481" s="83">
        <v>0.6875</v>
      </c>
      <c r="H3481" s="83">
        <v>0.041666666666666664</v>
      </c>
      <c r="I3481" s="84">
        <v>44403.0</v>
      </c>
      <c r="J3481" s="65" t="b">
        <v>1</v>
      </c>
      <c r="K3481" s="65"/>
      <c r="L3481" s="85" t="b">
        <f>IF(VLOOKUP(C3481,Projetos!A:L,12,false)=TRUE,TRUE,FALSE)</f>
        <v>1</v>
      </c>
      <c r="M3481" s="74">
        <v>52.48434411075036</v>
      </c>
      <c r="N3481" s="74">
        <f t="shared" si="1"/>
        <v>52.48434411</v>
      </c>
      <c r="O3481" s="74" t="b">
        <v>1</v>
      </c>
    </row>
    <row r="3482" hidden="1">
      <c r="A3482" s="82"/>
      <c r="B3482" s="65" t="s">
        <v>411</v>
      </c>
      <c r="C3482" s="65" t="s">
        <v>120</v>
      </c>
      <c r="D3482" s="65"/>
      <c r="E3482" s="65" t="s">
        <v>2441</v>
      </c>
      <c r="F3482" s="83">
        <v>0.6875</v>
      </c>
      <c r="G3482" s="83">
        <v>0.7083333333333334</v>
      </c>
      <c r="H3482" s="83">
        <v>0.020833333333333332</v>
      </c>
      <c r="I3482" s="84">
        <v>44403.0</v>
      </c>
      <c r="J3482" s="65" t="b">
        <v>0</v>
      </c>
      <c r="K3482" s="65"/>
      <c r="L3482" s="85" t="b">
        <f>IF(VLOOKUP(C3482,Projetos!A:L,12,false)=TRUE,TRUE,FALSE)</f>
        <v>0</v>
      </c>
      <c r="M3482" s="74">
        <v>52.48434411075036</v>
      </c>
      <c r="N3482" s="74">
        <f t="shared" si="1"/>
        <v>0</v>
      </c>
      <c r="O3482" s="74" t="b">
        <v>0</v>
      </c>
    </row>
    <row r="3483" hidden="1">
      <c r="A3483" s="82"/>
      <c r="B3483" s="65" t="s">
        <v>411</v>
      </c>
      <c r="C3483" s="65" t="s">
        <v>92</v>
      </c>
      <c r="D3483" s="65" t="str">
        <f>vlookup(C3483,'Classificação p pessoal'!F:G,2,false)</f>
        <v/>
      </c>
      <c r="E3483" s="65" t="s">
        <v>2444</v>
      </c>
      <c r="F3483" s="83">
        <v>0.34375</v>
      </c>
      <c r="G3483" s="83">
        <v>0.4375</v>
      </c>
      <c r="H3483" s="83">
        <v>0.09375</v>
      </c>
      <c r="I3483" s="84">
        <v>44404.0</v>
      </c>
      <c r="J3483" s="65" t="b">
        <v>1</v>
      </c>
      <c r="K3483" s="65"/>
      <c r="L3483" s="85" t="b">
        <f>IF(VLOOKUP(C3483,Projetos!A:L,12,false)=TRUE,TRUE,FALSE)</f>
        <v>1</v>
      </c>
      <c r="M3483" s="74">
        <v>52.48434411075036</v>
      </c>
      <c r="N3483" s="74">
        <f t="shared" si="1"/>
        <v>118.0897742</v>
      </c>
      <c r="O3483" s="74" t="b">
        <v>1</v>
      </c>
    </row>
    <row r="3484" hidden="1">
      <c r="A3484" s="82"/>
      <c r="B3484" s="65" t="s">
        <v>411</v>
      </c>
      <c r="C3484" s="65" t="s">
        <v>117</v>
      </c>
      <c r="D3484" s="65" t="str">
        <f>vlookup(C3484,'Classificação p pessoal'!F:G,2,false)</f>
        <v>NP</v>
      </c>
      <c r="E3484" s="65" t="s">
        <v>2445</v>
      </c>
      <c r="F3484" s="83">
        <v>0.4375</v>
      </c>
      <c r="G3484" s="83">
        <v>0.4583333333333333</v>
      </c>
      <c r="H3484" s="83">
        <v>0.020833333333333332</v>
      </c>
      <c r="I3484" s="84">
        <v>44404.0</v>
      </c>
      <c r="J3484" s="65" t="b">
        <v>1</v>
      </c>
      <c r="K3484" s="65"/>
      <c r="L3484" s="85" t="b">
        <f>IF(VLOOKUP(C3484,Projetos!A:L,12,false)=TRUE,TRUE,FALSE)</f>
        <v>1</v>
      </c>
      <c r="M3484" s="74">
        <v>52.48434411075036</v>
      </c>
      <c r="N3484" s="74">
        <f t="shared" si="1"/>
        <v>26.24217206</v>
      </c>
      <c r="O3484" s="74" t="b">
        <v>1</v>
      </c>
    </row>
    <row r="3485" hidden="1">
      <c r="A3485" s="82"/>
      <c r="B3485" s="65" t="s">
        <v>411</v>
      </c>
      <c r="C3485" s="65" t="s">
        <v>92</v>
      </c>
      <c r="D3485" s="65" t="str">
        <f>vlookup(C3485,'Classificação p pessoal'!F:G,2,false)</f>
        <v/>
      </c>
      <c r="E3485" s="65" t="s">
        <v>2443</v>
      </c>
      <c r="F3485" s="83">
        <v>0.4583333333333333</v>
      </c>
      <c r="G3485" s="83">
        <v>0.4791666666666667</v>
      </c>
      <c r="H3485" s="83">
        <v>0.020833333333333332</v>
      </c>
      <c r="I3485" s="84">
        <v>44404.0</v>
      </c>
      <c r="J3485" s="65" t="b">
        <v>1</v>
      </c>
      <c r="K3485" s="65"/>
      <c r="L3485" s="85" t="b">
        <f>IF(VLOOKUP(C3485,Projetos!A:L,12,false)=TRUE,TRUE,FALSE)</f>
        <v>1</v>
      </c>
      <c r="M3485" s="74">
        <v>52.48434411075036</v>
      </c>
      <c r="N3485" s="74">
        <f t="shared" si="1"/>
        <v>26.24217206</v>
      </c>
      <c r="O3485" s="74" t="b">
        <v>1</v>
      </c>
    </row>
    <row r="3486" hidden="1">
      <c r="A3486" s="82"/>
      <c r="B3486" s="65" t="s">
        <v>411</v>
      </c>
      <c r="C3486" s="65" t="s">
        <v>117</v>
      </c>
      <c r="D3486" s="65" t="str">
        <f>vlookup(C3486,'Classificação p pessoal'!F:G,2,false)</f>
        <v>NP</v>
      </c>
      <c r="E3486" s="65" t="s">
        <v>2446</v>
      </c>
      <c r="F3486" s="83">
        <v>0.4791666666666667</v>
      </c>
      <c r="G3486" s="83">
        <v>0.5416666666666666</v>
      </c>
      <c r="H3486" s="83">
        <v>0.0625</v>
      </c>
      <c r="I3486" s="84">
        <v>44404.0</v>
      </c>
      <c r="J3486" s="65" t="b">
        <v>1</v>
      </c>
      <c r="K3486" s="65"/>
      <c r="L3486" s="85" t="b">
        <f>IF(VLOOKUP(C3486,Projetos!A:L,12,false)=TRUE,TRUE,FALSE)</f>
        <v>1</v>
      </c>
      <c r="M3486" s="74">
        <v>52.48434411075036</v>
      </c>
      <c r="N3486" s="74">
        <f t="shared" si="1"/>
        <v>78.72651617</v>
      </c>
      <c r="O3486" s="74" t="b">
        <v>1</v>
      </c>
    </row>
    <row r="3487" hidden="1">
      <c r="A3487" s="82"/>
      <c r="B3487" s="65" t="s">
        <v>411</v>
      </c>
      <c r="C3487" s="65" t="s">
        <v>132</v>
      </c>
      <c r="D3487" s="65"/>
      <c r="E3487" s="65" t="s">
        <v>2447</v>
      </c>
      <c r="F3487" s="83">
        <v>0.5833333333333334</v>
      </c>
      <c r="G3487" s="83">
        <v>0.6458333333333334</v>
      </c>
      <c r="H3487" s="83">
        <v>0.0625</v>
      </c>
      <c r="I3487" s="84">
        <v>44404.0</v>
      </c>
      <c r="J3487" s="65" t="b">
        <v>1</v>
      </c>
      <c r="K3487" s="65"/>
      <c r="L3487" s="85" t="b">
        <f>IF(VLOOKUP(C3487,Projetos!A:L,12,false)=TRUE,TRUE,FALSE)</f>
        <v>0</v>
      </c>
      <c r="M3487" s="74">
        <v>52.48434411075036</v>
      </c>
      <c r="N3487" s="74">
        <f t="shared" si="1"/>
        <v>0</v>
      </c>
      <c r="O3487" s="74" t="b">
        <v>0</v>
      </c>
    </row>
    <row r="3488" hidden="1">
      <c r="A3488" s="82"/>
      <c r="B3488" s="65" t="s">
        <v>411</v>
      </c>
      <c r="C3488" s="65" t="s">
        <v>117</v>
      </c>
      <c r="D3488" s="65" t="str">
        <f>vlookup(C3488,'Classificação p pessoal'!F:G,2,false)</f>
        <v>NP</v>
      </c>
      <c r="E3488" s="65" t="s">
        <v>2448</v>
      </c>
      <c r="F3488" s="83">
        <v>0.6458333333333334</v>
      </c>
      <c r="G3488" s="83">
        <v>0.6666666666666666</v>
      </c>
      <c r="H3488" s="83">
        <v>0.020833333333333332</v>
      </c>
      <c r="I3488" s="84">
        <v>44404.0</v>
      </c>
      <c r="J3488" s="65" t="b">
        <v>1</v>
      </c>
      <c r="K3488" s="65"/>
      <c r="L3488" s="85" t="b">
        <f>IF(VLOOKUP(C3488,Projetos!A:L,12,false)=TRUE,TRUE,FALSE)</f>
        <v>1</v>
      </c>
      <c r="M3488" s="74">
        <v>52.48434411075036</v>
      </c>
      <c r="N3488" s="74">
        <f t="shared" si="1"/>
        <v>26.24217206</v>
      </c>
      <c r="O3488" s="74" t="b">
        <v>1</v>
      </c>
    </row>
    <row r="3489" hidden="1">
      <c r="A3489" s="82"/>
      <c r="B3489" s="65" t="s">
        <v>411</v>
      </c>
      <c r="C3489" s="65" t="s">
        <v>114</v>
      </c>
      <c r="D3489" s="65" t="str">
        <f>vlookup(C3489,'Classificação p pessoal'!F:G,2,false)</f>
        <v>NP</v>
      </c>
      <c r="E3489" s="65" t="s">
        <v>2449</v>
      </c>
      <c r="F3489" s="83">
        <v>0.3993055555555556</v>
      </c>
      <c r="G3489" s="83">
        <v>0.4166666666666667</v>
      </c>
      <c r="H3489" s="83">
        <v>0.017361111111111112</v>
      </c>
      <c r="I3489" s="84">
        <v>44405.0</v>
      </c>
      <c r="J3489" s="65" t="b">
        <v>1</v>
      </c>
      <c r="K3489" s="65"/>
      <c r="L3489" s="85" t="b">
        <f>IF(VLOOKUP(C3489,Projetos!A:L,12,false)=TRUE,TRUE,FALSE)</f>
        <v>1</v>
      </c>
      <c r="M3489" s="74">
        <v>52.48434411075036</v>
      </c>
      <c r="N3489" s="74">
        <f t="shared" si="1"/>
        <v>21.86847671</v>
      </c>
      <c r="O3489" s="74" t="b">
        <v>1</v>
      </c>
    </row>
    <row r="3490" hidden="1">
      <c r="A3490" s="82"/>
      <c r="B3490" s="65" t="s">
        <v>411</v>
      </c>
      <c r="C3490" s="65" t="s">
        <v>92</v>
      </c>
      <c r="D3490" s="65" t="str">
        <f>vlookup(C3490,'Classificação p pessoal'!F:G,2,false)</f>
        <v/>
      </c>
      <c r="E3490" s="65" t="s">
        <v>2450</v>
      </c>
      <c r="F3490" s="83">
        <v>0.4166666666666667</v>
      </c>
      <c r="G3490" s="83">
        <v>0.4583333333333333</v>
      </c>
      <c r="H3490" s="83">
        <v>0.041666666666666664</v>
      </c>
      <c r="I3490" s="84">
        <v>44405.0</v>
      </c>
      <c r="J3490" s="65" t="b">
        <v>1</v>
      </c>
      <c r="K3490" s="65"/>
      <c r="L3490" s="85" t="b">
        <f>IF(VLOOKUP(C3490,Projetos!A:L,12,false)=TRUE,TRUE,FALSE)</f>
        <v>1</v>
      </c>
      <c r="M3490" s="74">
        <v>52.48434411075036</v>
      </c>
      <c r="N3490" s="74">
        <f t="shared" si="1"/>
        <v>52.48434411</v>
      </c>
      <c r="O3490" s="74" t="b">
        <v>1</v>
      </c>
    </row>
    <row r="3491" hidden="1">
      <c r="A3491" s="82"/>
      <c r="B3491" s="65" t="s">
        <v>411</v>
      </c>
      <c r="C3491" s="65" t="s">
        <v>117</v>
      </c>
      <c r="D3491" s="65" t="str">
        <f>vlookup(C3491,'Classificação p pessoal'!F:G,2,false)</f>
        <v>NP</v>
      </c>
      <c r="E3491" s="65" t="s">
        <v>2451</v>
      </c>
      <c r="F3491" s="83">
        <v>0.5625</v>
      </c>
      <c r="G3491" s="83">
        <v>0.6041666666666666</v>
      </c>
      <c r="H3491" s="83">
        <v>0.041666666666666664</v>
      </c>
      <c r="I3491" s="84">
        <v>44405.0</v>
      </c>
      <c r="J3491" s="65" t="b">
        <v>1</v>
      </c>
      <c r="K3491" s="65"/>
      <c r="L3491" s="85" t="b">
        <f>IF(VLOOKUP(C3491,Projetos!A:L,12,false)=TRUE,TRUE,FALSE)</f>
        <v>1</v>
      </c>
      <c r="M3491" s="74">
        <v>52.48434411075036</v>
      </c>
      <c r="N3491" s="74">
        <f t="shared" si="1"/>
        <v>52.48434411</v>
      </c>
      <c r="O3491" s="74" t="b">
        <v>1</v>
      </c>
    </row>
    <row r="3492" hidden="1">
      <c r="A3492" s="82"/>
      <c r="B3492" s="65" t="s">
        <v>411</v>
      </c>
      <c r="C3492" s="65" t="s">
        <v>92</v>
      </c>
      <c r="D3492" s="65" t="str">
        <f>vlookup(C3492,'Classificação p pessoal'!F:G,2,false)</f>
        <v/>
      </c>
      <c r="E3492" s="65" t="s">
        <v>2452</v>
      </c>
      <c r="F3492" s="83">
        <v>0.6041666666666666</v>
      </c>
      <c r="G3492" s="83">
        <v>0.7083333333333334</v>
      </c>
      <c r="H3492" s="83">
        <v>0.10416666666666667</v>
      </c>
      <c r="I3492" s="84">
        <v>44405.0</v>
      </c>
      <c r="J3492" s="65" t="b">
        <v>1</v>
      </c>
      <c r="K3492" s="65"/>
      <c r="L3492" s="85" t="b">
        <f>IF(VLOOKUP(C3492,Projetos!A:L,12,false)=TRUE,TRUE,FALSE)</f>
        <v>1</v>
      </c>
      <c r="M3492" s="74">
        <v>52.48434411075036</v>
      </c>
      <c r="N3492" s="74">
        <f t="shared" si="1"/>
        <v>131.2108603</v>
      </c>
      <c r="O3492" s="74" t="b">
        <v>1</v>
      </c>
    </row>
    <row r="3493" hidden="1">
      <c r="A3493" s="82"/>
      <c r="B3493" s="65" t="s">
        <v>467</v>
      </c>
      <c r="C3493" s="65" t="s">
        <v>92</v>
      </c>
      <c r="D3493" s="65" t="str">
        <f>vlookup(C3493,'Classificação p pessoal'!F:G,2,false)</f>
        <v/>
      </c>
      <c r="E3493" s="65" t="s">
        <v>2453</v>
      </c>
      <c r="F3493" s="83">
        <v>0.375</v>
      </c>
      <c r="G3493" s="83">
        <v>0.3958333333333333</v>
      </c>
      <c r="H3493" s="83">
        <v>0.020833333333333332</v>
      </c>
      <c r="I3493" s="84">
        <v>44449.0</v>
      </c>
      <c r="J3493" s="65" t="b">
        <v>1</v>
      </c>
      <c r="K3493" s="65"/>
      <c r="L3493" s="85" t="b">
        <f>IF(VLOOKUP(C3493,Projetos!A:L,12,false)=TRUE,TRUE,FALSE)</f>
        <v>1</v>
      </c>
      <c r="M3493" s="74">
        <v>52.1518759018759</v>
      </c>
      <c r="N3493" s="74">
        <f t="shared" si="1"/>
        <v>26.07593795</v>
      </c>
      <c r="O3493" s="74" t="b">
        <v>1</v>
      </c>
    </row>
    <row r="3494" hidden="1">
      <c r="A3494" s="82"/>
      <c r="B3494" s="65" t="s">
        <v>411</v>
      </c>
      <c r="C3494" s="65" t="s">
        <v>120</v>
      </c>
      <c r="D3494" s="65"/>
      <c r="E3494" s="65" t="s">
        <v>2454</v>
      </c>
      <c r="F3494" s="83">
        <v>0.34375</v>
      </c>
      <c r="G3494" s="83">
        <v>0.4166666666666667</v>
      </c>
      <c r="H3494" s="83">
        <v>0.07291666666666667</v>
      </c>
      <c r="I3494" s="84">
        <v>44406.0</v>
      </c>
      <c r="J3494" s="65" t="b">
        <v>0</v>
      </c>
      <c r="K3494" s="65"/>
      <c r="L3494" s="85" t="b">
        <f>IF(VLOOKUP(C3494,Projetos!A:L,12,false)=TRUE,TRUE,FALSE)</f>
        <v>0</v>
      </c>
      <c r="M3494" s="74">
        <v>52.48434411075036</v>
      </c>
      <c r="N3494" s="74">
        <f t="shared" si="1"/>
        <v>0</v>
      </c>
      <c r="O3494" s="74" t="b">
        <v>0</v>
      </c>
    </row>
    <row r="3495" hidden="1">
      <c r="A3495" s="82"/>
      <c r="B3495" s="65" t="s">
        <v>411</v>
      </c>
      <c r="C3495" s="65" t="s">
        <v>92</v>
      </c>
      <c r="D3495" s="65" t="str">
        <f>vlookup(C3495,'Classificação p pessoal'!F:G,2,false)</f>
        <v/>
      </c>
      <c r="E3495" s="65" t="s">
        <v>2455</v>
      </c>
      <c r="F3495" s="83">
        <v>0.4166666666666667</v>
      </c>
      <c r="G3495" s="83">
        <v>0.5</v>
      </c>
      <c r="H3495" s="83">
        <v>0.08333333333333333</v>
      </c>
      <c r="I3495" s="84">
        <v>44406.0</v>
      </c>
      <c r="J3495" s="65" t="b">
        <v>1</v>
      </c>
      <c r="K3495" s="65"/>
      <c r="L3495" s="85" t="b">
        <f>IF(VLOOKUP(C3495,Projetos!A:L,12,false)=TRUE,TRUE,FALSE)</f>
        <v>1</v>
      </c>
      <c r="M3495" s="74">
        <v>52.48434411075036</v>
      </c>
      <c r="N3495" s="74">
        <f t="shared" si="1"/>
        <v>104.9686882</v>
      </c>
      <c r="O3495" s="74" t="b">
        <v>1</v>
      </c>
    </row>
    <row r="3496" hidden="1">
      <c r="A3496" s="82"/>
      <c r="B3496" s="65" t="s">
        <v>411</v>
      </c>
      <c r="C3496" s="65" t="s">
        <v>114</v>
      </c>
      <c r="D3496" s="65" t="str">
        <f>vlookup(C3496,'Classificação p pessoal'!F:G,2,false)</f>
        <v>NP</v>
      </c>
      <c r="E3496" s="65" t="s">
        <v>2456</v>
      </c>
      <c r="F3496" s="83">
        <v>0.5</v>
      </c>
      <c r="G3496" s="83">
        <v>0.5625</v>
      </c>
      <c r="H3496" s="83">
        <v>0.0625</v>
      </c>
      <c r="I3496" s="84">
        <v>44406.0</v>
      </c>
      <c r="J3496" s="65" t="b">
        <v>1</v>
      </c>
      <c r="K3496" s="65"/>
      <c r="L3496" s="85" t="b">
        <f>IF(VLOOKUP(C3496,Projetos!A:L,12,false)=TRUE,TRUE,FALSE)</f>
        <v>1</v>
      </c>
      <c r="M3496" s="74">
        <v>52.48434411075036</v>
      </c>
      <c r="N3496" s="74">
        <f t="shared" si="1"/>
        <v>78.72651617</v>
      </c>
      <c r="O3496" s="74" t="b">
        <v>1</v>
      </c>
    </row>
    <row r="3497" hidden="1">
      <c r="A3497" s="82"/>
      <c r="B3497" s="65" t="s">
        <v>411</v>
      </c>
      <c r="C3497" s="65" t="s">
        <v>120</v>
      </c>
      <c r="D3497" s="65"/>
      <c r="E3497" s="65" t="s">
        <v>2457</v>
      </c>
      <c r="F3497" s="83">
        <v>0.6666666666666666</v>
      </c>
      <c r="G3497" s="83">
        <v>0.7083333333333334</v>
      </c>
      <c r="H3497" s="83">
        <v>0.041666666666666664</v>
      </c>
      <c r="I3497" s="84">
        <v>44406.0</v>
      </c>
      <c r="J3497" s="65" t="b">
        <v>0</v>
      </c>
      <c r="K3497" s="65" t="s">
        <v>150</v>
      </c>
      <c r="L3497" s="85" t="b">
        <f>IF(VLOOKUP(C3497,Projetos!A:L,12,false)=TRUE,TRUE,FALSE)</f>
        <v>0</v>
      </c>
      <c r="M3497" s="74">
        <v>52.48434411075036</v>
      </c>
      <c r="N3497" s="74">
        <f t="shared" si="1"/>
        <v>0</v>
      </c>
      <c r="O3497" s="74" t="b">
        <v>0</v>
      </c>
    </row>
    <row r="3498" hidden="1">
      <c r="A3498" s="82"/>
      <c r="B3498" s="65" t="s">
        <v>411</v>
      </c>
      <c r="C3498" s="65" t="s">
        <v>92</v>
      </c>
      <c r="D3498" s="65" t="str">
        <f>vlookup(C3498,'Classificação p pessoal'!F:G,2,false)</f>
        <v/>
      </c>
      <c r="E3498" s="65" t="s">
        <v>2458</v>
      </c>
      <c r="F3498" s="83">
        <v>0.7083333333333334</v>
      </c>
      <c r="G3498" s="83">
        <v>0.7291666666666666</v>
      </c>
      <c r="H3498" s="83">
        <v>0.020833333333333332</v>
      </c>
      <c r="I3498" s="84">
        <v>44406.0</v>
      </c>
      <c r="J3498" s="65" t="b">
        <v>1</v>
      </c>
      <c r="K3498" s="65"/>
      <c r="L3498" s="85" t="b">
        <f>IF(VLOOKUP(C3498,Projetos!A:L,12,false)=TRUE,TRUE,FALSE)</f>
        <v>1</v>
      </c>
      <c r="M3498" s="74">
        <v>52.48434411075036</v>
      </c>
      <c r="N3498" s="74">
        <f t="shared" si="1"/>
        <v>26.24217206</v>
      </c>
      <c r="O3498" s="74" t="b">
        <v>1</v>
      </c>
    </row>
    <row r="3499" hidden="1">
      <c r="A3499" s="82"/>
      <c r="B3499" s="65" t="s">
        <v>411</v>
      </c>
      <c r="C3499" s="65" t="s">
        <v>92</v>
      </c>
      <c r="D3499" s="65" t="str">
        <f>vlookup(C3499,'Classificação p pessoal'!F:G,2,false)</f>
        <v/>
      </c>
      <c r="E3499" s="65" t="s">
        <v>2257</v>
      </c>
      <c r="F3499" s="83">
        <v>0.34375</v>
      </c>
      <c r="G3499" s="83">
        <v>0.375</v>
      </c>
      <c r="H3499" s="83">
        <v>0.03125</v>
      </c>
      <c r="I3499" s="84">
        <v>44407.0</v>
      </c>
      <c r="J3499" s="65" t="b">
        <v>1</v>
      </c>
      <c r="K3499" s="65"/>
      <c r="L3499" s="85" t="b">
        <f>IF(VLOOKUP(C3499,Projetos!A:L,12,false)=TRUE,TRUE,FALSE)</f>
        <v>1</v>
      </c>
      <c r="M3499" s="74">
        <v>52.48434411075036</v>
      </c>
      <c r="N3499" s="74">
        <f t="shared" si="1"/>
        <v>39.36325808</v>
      </c>
      <c r="O3499" s="74" t="b">
        <v>1</v>
      </c>
    </row>
    <row r="3500" hidden="1">
      <c r="A3500" s="82"/>
      <c r="B3500" s="65" t="s">
        <v>411</v>
      </c>
      <c r="C3500" s="65" t="s">
        <v>92</v>
      </c>
      <c r="D3500" s="65" t="str">
        <f>vlookup(C3500,'Classificação p pessoal'!F:G,2,false)</f>
        <v/>
      </c>
      <c r="E3500" s="65" t="s">
        <v>2459</v>
      </c>
      <c r="F3500" s="83">
        <v>0.3854166666666667</v>
      </c>
      <c r="G3500" s="83">
        <v>0.4270833333333333</v>
      </c>
      <c r="H3500" s="83">
        <v>0.041666666666666664</v>
      </c>
      <c r="I3500" s="84">
        <v>44407.0</v>
      </c>
      <c r="J3500" s="65" t="b">
        <v>1</v>
      </c>
      <c r="K3500" s="65"/>
      <c r="L3500" s="85" t="b">
        <f>IF(VLOOKUP(C3500,Projetos!A:L,12,false)=TRUE,TRUE,FALSE)</f>
        <v>1</v>
      </c>
      <c r="M3500" s="74">
        <v>52.48434411075036</v>
      </c>
      <c r="N3500" s="74">
        <f t="shared" si="1"/>
        <v>52.48434411</v>
      </c>
      <c r="O3500" s="74" t="b">
        <v>1</v>
      </c>
    </row>
    <row r="3501" hidden="1">
      <c r="A3501" s="82"/>
      <c r="B3501" s="65" t="s">
        <v>411</v>
      </c>
      <c r="C3501" s="65" t="s">
        <v>117</v>
      </c>
      <c r="D3501" s="65" t="str">
        <f>vlookup(C3501,'Classificação p pessoal'!F:G,2,false)</f>
        <v>NP</v>
      </c>
      <c r="E3501" s="65" t="s">
        <v>2451</v>
      </c>
      <c r="F3501" s="83">
        <v>0.4270833333333333</v>
      </c>
      <c r="G3501" s="83">
        <v>0.4583333333333333</v>
      </c>
      <c r="H3501" s="83">
        <v>0.03125</v>
      </c>
      <c r="I3501" s="84">
        <v>44407.0</v>
      </c>
      <c r="J3501" s="65" t="b">
        <v>1</v>
      </c>
      <c r="K3501" s="65"/>
      <c r="L3501" s="85" t="b">
        <f>IF(VLOOKUP(C3501,Projetos!A:L,12,false)=TRUE,TRUE,FALSE)</f>
        <v>1</v>
      </c>
      <c r="M3501" s="74">
        <v>52.48434411075036</v>
      </c>
      <c r="N3501" s="74">
        <f t="shared" si="1"/>
        <v>39.36325808</v>
      </c>
      <c r="O3501" s="74" t="b">
        <v>1</v>
      </c>
    </row>
    <row r="3502" hidden="1">
      <c r="A3502" s="82"/>
      <c r="B3502" s="65" t="s">
        <v>411</v>
      </c>
      <c r="C3502" s="65" t="s">
        <v>88</v>
      </c>
      <c r="D3502" s="65"/>
      <c r="E3502" s="65" t="s">
        <v>2460</v>
      </c>
      <c r="F3502" s="83">
        <v>0.625</v>
      </c>
      <c r="G3502" s="83">
        <v>0.6458333333333334</v>
      </c>
      <c r="H3502" s="83">
        <v>0.020833333333333332</v>
      </c>
      <c r="I3502" s="84">
        <v>44250.0</v>
      </c>
      <c r="J3502" s="65" t="b">
        <v>0</v>
      </c>
      <c r="K3502" s="65" t="s">
        <v>150</v>
      </c>
      <c r="L3502" s="85" t="b">
        <f>IF(VLOOKUP(C3502,Projetos!A:L,12,false)=TRUE,TRUE,FALSE)</f>
        <v>1</v>
      </c>
      <c r="M3502" s="74">
        <v>52.48434411075036</v>
      </c>
      <c r="N3502" s="74">
        <f t="shared" si="1"/>
        <v>0</v>
      </c>
      <c r="O3502" s="74" t="b">
        <v>1</v>
      </c>
    </row>
    <row r="3503" hidden="1">
      <c r="A3503" s="82"/>
      <c r="B3503" s="65" t="s">
        <v>411</v>
      </c>
      <c r="C3503" s="65" t="s">
        <v>120</v>
      </c>
      <c r="D3503" s="65"/>
      <c r="E3503" s="65" t="s">
        <v>2461</v>
      </c>
      <c r="F3503" s="83">
        <v>0.5416666666666666</v>
      </c>
      <c r="G3503" s="83">
        <v>0.5625</v>
      </c>
      <c r="H3503" s="83">
        <v>0.020833333333333332</v>
      </c>
      <c r="I3503" s="84">
        <v>44407.0</v>
      </c>
      <c r="J3503" s="65" t="b">
        <v>0</v>
      </c>
      <c r="K3503" s="65"/>
      <c r="L3503" s="85" t="b">
        <f>IF(VLOOKUP(C3503,Projetos!A:L,12,false)=TRUE,TRUE,FALSE)</f>
        <v>0</v>
      </c>
      <c r="M3503" s="74">
        <v>52.48434411075036</v>
      </c>
      <c r="N3503" s="74">
        <f t="shared" si="1"/>
        <v>0</v>
      </c>
      <c r="O3503" s="74" t="b">
        <v>0</v>
      </c>
    </row>
    <row r="3504" hidden="1">
      <c r="A3504" s="82"/>
      <c r="B3504" s="65" t="s">
        <v>411</v>
      </c>
      <c r="C3504" s="65" t="s">
        <v>92</v>
      </c>
      <c r="D3504" s="65" t="str">
        <f>vlookup(C3504,'Classificação p pessoal'!F:G,2,false)</f>
        <v/>
      </c>
      <c r="E3504" s="65" t="s">
        <v>2462</v>
      </c>
      <c r="F3504" s="83">
        <v>0.5625</v>
      </c>
      <c r="G3504" s="83">
        <v>0.6388888888888888</v>
      </c>
      <c r="H3504" s="83">
        <v>0.0763888888888889</v>
      </c>
      <c r="I3504" s="84">
        <v>44407.0</v>
      </c>
      <c r="J3504" s="65" t="b">
        <v>1</v>
      </c>
      <c r="K3504" s="65"/>
      <c r="L3504" s="85" t="b">
        <f>IF(VLOOKUP(C3504,Projetos!A:L,12,false)=TRUE,TRUE,FALSE)</f>
        <v>1</v>
      </c>
      <c r="M3504" s="74">
        <v>52.48434411075036</v>
      </c>
      <c r="N3504" s="74">
        <f t="shared" si="1"/>
        <v>96.22129754</v>
      </c>
      <c r="O3504" s="74" t="b">
        <v>1</v>
      </c>
    </row>
    <row r="3505" hidden="1">
      <c r="A3505" s="82"/>
      <c r="B3505" s="65" t="s">
        <v>411</v>
      </c>
      <c r="C3505" s="65" t="s">
        <v>117</v>
      </c>
      <c r="D3505" s="65" t="str">
        <f>vlookup(C3505,'Classificação p pessoal'!F:G,2,false)</f>
        <v>NP</v>
      </c>
      <c r="E3505" s="65" t="s">
        <v>2130</v>
      </c>
      <c r="F3505" s="83">
        <v>0.34375</v>
      </c>
      <c r="G3505" s="83">
        <v>0.4583333333333333</v>
      </c>
      <c r="H3505" s="83">
        <v>0.11458333333333333</v>
      </c>
      <c r="I3505" s="84">
        <v>44410.0</v>
      </c>
      <c r="J3505" s="65" t="b">
        <v>1</v>
      </c>
      <c r="K3505" s="65"/>
      <c r="L3505" s="85" t="b">
        <f>IF(VLOOKUP(C3505,Projetos!A:L,12,false)=TRUE,TRUE,FALSE)</f>
        <v>1</v>
      </c>
      <c r="M3505" s="74">
        <v>52.48434411075036</v>
      </c>
      <c r="N3505" s="74">
        <f t="shared" si="1"/>
        <v>144.3319463</v>
      </c>
      <c r="O3505" s="74" t="b">
        <v>1</v>
      </c>
    </row>
    <row r="3506" hidden="1">
      <c r="A3506" s="82"/>
      <c r="B3506" s="65" t="s">
        <v>411</v>
      </c>
      <c r="C3506" s="65" t="s">
        <v>92</v>
      </c>
      <c r="D3506" s="65" t="str">
        <f>vlookup(C3506,'Classificação p pessoal'!F:G,2,false)</f>
        <v/>
      </c>
      <c r="E3506" s="65" t="s">
        <v>2463</v>
      </c>
      <c r="F3506" s="83">
        <v>0.4583333333333333</v>
      </c>
      <c r="G3506" s="83">
        <v>0.5</v>
      </c>
      <c r="H3506" s="83">
        <v>0.041666666666666664</v>
      </c>
      <c r="I3506" s="84">
        <v>44410.0</v>
      </c>
      <c r="J3506" s="65" t="b">
        <v>1</v>
      </c>
      <c r="K3506" s="65"/>
      <c r="L3506" s="85" t="b">
        <f>IF(VLOOKUP(C3506,Projetos!A:L,12,false)=TRUE,TRUE,FALSE)</f>
        <v>1</v>
      </c>
      <c r="M3506" s="74">
        <v>52.48434411075036</v>
      </c>
      <c r="N3506" s="74">
        <f t="shared" si="1"/>
        <v>52.48434411</v>
      </c>
      <c r="O3506" s="74" t="b">
        <v>1</v>
      </c>
    </row>
    <row r="3507" hidden="1">
      <c r="A3507" s="82"/>
      <c r="B3507" s="65" t="s">
        <v>411</v>
      </c>
      <c r="C3507" s="65" t="s">
        <v>92</v>
      </c>
      <c r="D3507" s="65" t="str">
        <f>vlookup(C3507,'Classificação p pessoal'!F:G,2,false)</f>
        <v/>
      </c>
      <c r="E3507" s="65" t="s">
        <v>2464</v>
      </c>
      <c r="F3507" s="83">
        <v>0.5416666666666666</v>
      </c>
      <c r="G3507" s="83">
        <v>0.6041666666666666</v>
      </c>
      <c r="H3507" s="83">
        <v>0.0625</v>
      </c>
      <c r="I3507" s="84">
        <v>44410.0</v>
      </c>
      <c r="J3507" s="65" t="b">
        <v>1</v>
      </c>
      <c r="K3507" s="65"/>
      <c r="L3507" s="85" t="b">
        <f>IF(VLOOKUP(C3507,Projetos!A:L,12,false)=TRUE,TRUE,FALSE)</f>
        <v>1</v>
      </c>
      <c r="M3507" s="74">
        <v>52.48434411075036</v>
      </c>
      <c r="N3507" s="74">
        <f t="shared" si="1"/>
        <v>78.72651617</v>
      </c>
      <c r="O3507" s="74" t="b">
        <v>1</v>
      </c>
    </row>
    <row r="3508" hidden="1">
      <c r="A3508" s="82"/>
      <c r="B3508" s="65" t="s">
        <v>411</v>
      </c>
      <c r="C3508" s="65" t="s">
        <v>117</v>
      </c>
      <c r="D3508" s="65" t="str">
        <f>vlookup(C3508,'Classificação p pessoal'!F:G,2,false)</f>
        <v>NP</v>
      </c>
      <c r="E3508" s="65" t="s">
        <v>2465</v>
      </c>
      <c r="F3508" s="83">
        <v>0.6041666666666666</v>
      </c>
      <c r="G3508" s="83">
        <v>0.7083333333333334</v>
      </c>
      <c r="H3508" s="83">
        <v>0.10416666666666667</v>
      </c>
      <c r="I3508" s="84">
        <v>44410.0</v>
      </c>
      <c r="J3508" s="65" t="b">
        <v>1</v>
      </c>
      <c r="K3508" s="65"/>
      <c r="L3508" s="85" t="b">
        <f>IF(VLOOKUP(C3508,Projetos!A:L,12,false)=TRUE,TRUE,FALSE)</f>
        <v>1</v>
      </c>
      <c r="M3508" s="74">
        <v>52.48434411075036</v>
      </c>
      <c r="N3508" s="74">
        <f t="shared" si="1"/>
        <v>131.2108603</v>
      </c>
      <c r="O3508" s="74" t="b">
        <v>1</v>
      </c>
    </row>
    <row r="3509" hidden="1">
      <c r="A3509" s="82"/>
      <c r="B3509" s="65" t="s">
        <v>411</v>
      </c>
      <c r="C3509" s="65" t="s">
        <v>92</v>
      </c>
      <c r="D3509" s="65" t="str">
        <f>vlookup(C3509,'Classificação p pessoal'!F:G,2,false)</f>
        <v/>
      </c>
      <c r="E3509" s="65" t="s">
        <v>2466</v>
      </c>
      <c r="F3509" s="83">
        <v>0.34375</v>
      </c>
      <c r="G3509" s="83">
        <v>0.3958333333333333</v>
      </c>
      <c r="H3509" s="83">
        <v>0.052083333333333336</v>
      </c>
      <c r="I3509" s="84">
        <v>44411.0</v>
      </c>
      <c r="J3509" s="65" t="b">
        <v>1</v>
      </c>
      <c r="K3509" s="65"/>
      <c r="L3509" s="85" t="b">
        <f>IF(VLOOKUP(C3509,Projetos!A:L,12,false)=TRUE,TRUE,FALSE)</f>
        <v>1</v>
      </c>
      <c r="M3509" s="74">
        <v>52.48434411075036</v>
      </c>
      <c r="N3509" s="74">
        <f t="shared" si="1"/>
        <v>65.60543014</v>
      </c>
      <c r="O3509" s="74" t="b">
        <v>1</v>
      </c>
    </row>
    <row r="3510" hidden="1">
      <c r="A3510" s="82"/>
      <c r="B3510" s="65" t="s">
        <v>411</v>
      </c>
      <c r="C3510" s="65" t="s">
        <v>92</v>
      </c>
      <c r="D3510" s="65"/>
      <c r="E3510" s="65" t="s">
        <v>2467</v>
      </c>
      <c r="F3510" s="83">
        <v>0.34375</v>
      </c>
      <c r="G3510" s="83">
        <v>0.375</v>
      </c>
      <c r="H3510" s="83">
        <v>0.03125</v>
      </c>
      <c r="I3510" s="84">
        <v>44222.0</v>
      </c>
      <c r="J3510" s="65" t="b">
        <v>0</v>
      </c>
      <c r="K3510" s="65" t="s">
        <v>150</v>
      </c>
      <c r="L3510" s="85" t="b">
        <f>IF(VLOOKUP(C3510,Projetos!A:L,12,false)=TRUE,TRUE,FALSE)</f>
        <v>1</v>
      </c>
      <c r="M3510" s="74">
        <v>52.48434411075036</v>
      </c>
      <c r="N3510" s="74">
        <f t="shared" si="1"/>
        <v>0</v>
      </c>
      <c r="O3510" s="74" t="b">
        <v>1</v>
      </c>
    </row>
    <row r="3511" hidden="1">
      <c r="A3511" s="82"/>
      <c r="B3511" s="65" t="s">
        <v>411</v>
      </c>
      <c r="C3511" s="65" t="s">
        <v>117</v>
      </c>
      <c r="D3511" s="65" t="str">
        <f>vlookup(C3511,'Classificação p pessoal'!F:G,2,false)</f>
        <v>NP</v>
      </c>
      <c r="E3511" s="65" t="s">
        <v>2468</v>
      </c>
      <c r="F3511" s="83">
        <v>0.4166666666666667</v>
      </c>
      <c r="G3511" s="83">
        <v>0.4583333333333333</v>
      </c>
      <c r="H3511" s="83">
        <v>0.041666666666666664</v>
      </c>
      <c r="I3511" s="84">
        <v>44411.0</v>
      </c>
      <c r="J3511" s="65" t="b">
        <v>1</v>
      </c>
      <c r="K3511" s="65"/>
      <c r="L3511" s="85" t="b">
        <f>IF(VLOOKUP(C3511,Projetos!A:L,12,false)=TRUE,TRUE,FALSE)</f>
        <v>1</v>
      </c>
      <c r="M3511" s="74">
        <v>52.48434411075036</v>
      </c>
      <c r="N3511" s="74">
        <f t="shared" si="1"/>
        <v>52.48434411</v>
      </c>
      <c r="O3511" s="74" t="b">
        <v>1</v>
      </c>
    </row>
    <row r="3512" hidden="1">
      <c r="A3512" s="82"/>
      <c r="B3512" s="65" t="s">
        <v>411</v>
      </c>
      <c r="C3512" s="65" t="s">
        <v>92</v>
      </c>
      <c r="D3512" s="65" t="str">
        <f>vlookup(C3512,'Classificação p pessoal'!F:G,2,false)</f>
        <v/>
      </c>
      <c r="E3512" s="65" t="s">
        <v>2469</v>
      </c>
      <c r="F3512" s="83">
        <v>0.4583333333333333</v>
      </c>
      <c r="G3512" s="83">
        <v>0.5416666666666666</v>
      </c>
      <c r="H3512" s="83">
        <v>0.08333333333333333</v>
      </c>
      <c r="I3512" s="84">
        <v>44411.0</v>
      </c>
      <c r="J3512" s="65" t="b">
        <v>1</v>
      </c>
      <c r="K3512" s="65"/>
      <c r="L3512" s="85" t="b">
        <f>IF(VLOOKUP(C3512,Projetos!A:L,12,false)=TRUE,TRUE,FALSE)</f>
        <v>1</v>
      </c>
      <c r="M3512" s="74">
        <v>52.48434411075036</v>
      </c>
      <c r="N3512" s="74">
        <f t="shared" si="1"/>
        <v>104.9686882</v>
      </c>
      <c r="O3512" s="74" t="b">
        <v>1</v>
      </c>
    </row>
    <row r="3513" hidden="1">
      <c r="A3513" s="82"/>
      <c r="B3513" s="65" t="s">
        <v>411</v>
      </c>
      <c r="C3513" s="65" t="s">
        <v>120</v>
      </c>
      <c r="D3513" s="65"/>
      <c r="E3513" s="65" t="s">
        <v>2470</v>
      </c>
      <c r="F3513" s="83">
        <v>0.5833333333333334</v>
      </c>
      <c r="G3513" s="83">
        <v>0.625</v>
      </c>
      <c r="H3513" s="83">
        <v>0.041666666666666664</v>
      </c>
      <c r="I3513" s="84">
        <v>44411.0</v>
      </c>
      <c r="J3513" s="65" t="b">
        <v>0</v>
      </c>
      <c r="K3513" s="65"/>
      <c r="L3513" s="85" t="b">
        <f>IF(VLOOKUP(C3513,Projetos!A:L,12,false)=TRUE,TRUE,FALSE)</f>
        <v>0</v>
      </c>
      <c r="M3513" s="74">
        <v>52.48434411075036</v>
      </c>
      <c r="N3513" s="74">
        <f t="shared" si="1"/>
        <v>0</v>
      </c>
      <c r="O3513" s="74" t="b">
        <v>0</v>
      </c>
    </row>
    <row r="3514" hidden="1">
      <c r="A3514" s="82"/>
      <c r="B3514" s="65" t="s">
        <v>411</v>
      </c>
      <c r="C3514" s="65" t="s">
        <v>92</v>
      </c>
      <c r="D3514" s="65" t="str">
        <f>vlookup(C3514,'Classificação p pessoal'!F:G,2,false)</f>
        <v/>
      </c>
      <c r="E3514" s="65" t="s">
        <v>2471</v>
      </c>
      <c r="F3514" s="83">
        <v>0.625</v>
      </c>
      <c r="G3514" s="83">
        <v>0.7083333333333334</v>
      </c>
      <c r="H3514" s="83">
        <v>0.08333333333333333</v>
      </c>
      <c r="I3514" s="84">
        <v>44411.0</v>
      </c>
      <c r="J3514" s="65" t="b">
        <v>1</v>
      </c>
      <c r="K3514" s="65"/>
      <c r="L3514" s="85" t="b">
        <f>IF(VLOOKUP(C3514,Projetos!A:L,12,false)=TRUE,TRUE,FALSE)</f>
        <v>1</v>
      </c>
      <c r="M3514" s="74">
        <v>52.48434411075036</v>
      </c>
      <c r="N3514" s="74">
        <f t="shared" si="1"/>
        <v>104.9686882</v>
      </c>
      <c r="O3514" s="74" t="b">
        <v>1</v>
      </c>
    </row>
    <row r="3515" hidden="1">
      <c r="A3515" s="82"/>
      <c r="B3515" s="65" t="s">
        <v>411</v>
      </c>
      <c r="C3515" s="65" t="s">
        <v>117</v>
      </c>
      <c r="D3515" s="65" t="str">
        <f>vlookup(C3515,'Classificação p pessoal'!F:G,2,false)</f>
        <v>NP</v>
      </c>
      <c r="E3515" s="65" t="s">
        <v>2472</v>
      </c>
      <c r="F3515" s="83">
        <v>0.34375</v>
      </c>
      <c r="G3515" s="83">
        <v>0.3854166666666667</v>
      </c>
      <c r="H3515" s="83">
        <v>0.041666666666666664</v>
      </c>
      <c r="I3515" s="84">
        <v>44412.0</v>
      </c>
      <c r="J3515" s="65" t="b">
        <v>1</v>
      </c>
      <c r="K3515" s="65"/>
      <c r="L3515" s="85" t="b">
        <f>IF(VLOOKUP(C3515,Projetos!A:L,12,false)=TRUE,TRUE,FALSE)</f>
        <v>1</v>
      </c>
      <c r="M3515" s="74">
        <v>52.48434411075036</v>
      </c>
      <c r="N3515" s="74">
        <f t="shared" si="1"/>
        <v>52.48434411</v>
      </c>
      <c r="O3515" s="74" t="b">
        <v>1</v>
      </c>
    </row>
    <row r="3516" hidden="1">
      <c r="A3516" s="82"/>
      <c r="B3516" s="65" t="s">
        <v>411</v>
      </c>
      <c r="C3516" s="65" t="s">
        <v>92</v>
      </c>
      <c r="D3516" s="65" t="str">
        <f>vlookup(C3516,'Classificação p pessoal'!F:G,2,false)</f>
        <v/>
      </c>
      <c r="E3516" s="65" t="s">
        <v>2473</v>
      </c>
      <c r="F3516" s="83">
        <v>0.3854166666666667</v>
      </c>
      <c r="G3516" s="83">
        <v>0.3958333333333333</v>
      </c>
      <c r="H3516" s="83">
        <v>0.010416666666666666</v>
      </c>
      <c r="I3516" s="84">
        <v>44412.0</v>
      </c>
      <c r="J3516" s="65" t="b">
        <v>1</v>
      </c>
      <c r="K3516" s="65"/>
      <c r="L3516" s="85" t="b">
        <f>IF(VLOOKUP(C3516,Projetos!A:L,12,false)=TRUE,TRUE,FALSE)</f>
        <v>1</v>
      </c>
      <c r="M3516" s="74">
        <v>52.48434411075036</v>
      </c>
      <c r="N3516" s="74">
        <f t="shared" si="1"/>
        <v>13.12108603</v>
      </c>
      <c r="O3516" s="74" t="b">
        <v>1</v>
      </c>
    </row>
    <row r="3517" hidden="1">
      <c r="A3517" s="82"/>
      <c r="B3517" s="65" t="s">
        <v>411</v>
      </c>
      <c r="C3517" s="65" t="s">
        <v>117</v>
      </c>
      <c r="D3517" s="65" t="str">
        <f>vlookup(C3517,'Classificação p pessoal'!F:G,2,false)</f>
        <v>NP</v>
      </c>
      <c r="E3517" s="65" t="s">
        <v>2474</v>
      </c>
      <c r="F3517" s="83">
        <v>0.3958333333333333</v>
      </c>
      <c r="G3517" s="83">
        <v>0.5416666666666666</v>
      </c>
      <c r="H3517" s="83">
        <v>0.14583333333333334</v>
      </c>
      <c r="I3517" s="84">
        <v>44412.0</v>
      </c>
      <c r="J3517" s="65" t="b">
        <v>1</v>
      </c>
      <c r="K3517" s="65"/>
      <c r="L3517" s="85" t="b">
        <f>IF(VLOOKUP(C3517,Projetos!A:L,12,false)=TRUE,TRUE,FALSE)</f>
        <v>1</v>
      </c>
      <c r="M3517" s="74">
        <v>52.48434411075036</v>
      </c>
      <c r="N3517" s="74">
        <f t="shared" si="1"/>
        <v>183.6952044</v>
      </c>
      <c r="O3517" s="74" t="b">
        <v>1</v>
      </c>
    </row>
    <row r="3518" hidden="1">
      <c r="A3518" s="82"/>
      <c r="B3518" s="65" t="s">
        <v>411</v>
      </c>
      <c r="C3518" s="65" t="s">
        <v>100</v>
      </c>
      <c r="D3518" s="65"/>
      <c r="E3518" s="65" t="s">
        <v>2475</v>
      </c>
      <c r="F3518" s="83">
        <v>0.5833333333333334</v>
      </c>
      <c r="G3518" s="83">
        <v>0.6458333333333334</v>
      </c>
      <c r="H3518" s="83">
        <v>0.0625</v>
      </c>
      <c r="I3518" s="84">
        <v>44412.0</v>
      </c>
      <c r="J3518" s="65" t="b">
        <v>0</v>
      </c>
      <c r="K3518" s="65" t="s">
        <v>150</v>
      </c>
      <c r="L3518" s="85" t="b">
        <f>IF(VLOOKUP(C3518,Projetos!A:L,12,false)=TRUE,TRUE,FALSE)</f>
        <v>1</v>
      </c>
      <c r="M3518" s="74">
        <v>52.48434411075036</v>
      </c>
      <c r="N3518" s="74">
        <f t="shared" si="1"/>
        <v>0</v>
      </c>
      <c r="O3518" s="74" t="b">
        <v>1</v>
      </c>
    </row>
    <row r="3519" hidden="1">
      <c r="A3519" s="82"/>
      <c r="B3519" s="65" t="s">
        <v>411</v>
      </c>
      <c r="C3519" s="65" t="s">
        <v>117</v>
      </c>
      <c r="D3519" s="65"/>
      <c r="E3519" s="65" t="s">
        <v>2476</v>
      </c>
      <c r="F3519" s="83">
        <v>0.6458333333333334</v>
      </c>
      <c r="G3519" s="83">
        <v>0.75</v>
      </c>
      <c r="H3519" s="83">
        <v>0.10416666666666667</v>
      </c>
      <c r="I3519" s="84">
        <v>44412.0</v>
      </c>
      <c r="J3519" s="65" t="b">
        <v>0</v>
      </c>
      <c r="K3519" s="65" t="s">
        <v>150</v>
      </c>
      <c r="L3519" s="85" t="b">
        <f>IF(VLOOKUP(C3519,Projetos!A:L,12,false)=TRUE,TRUE,FALSE)</f>
        <v>1</v>
      </c>
      <c r="M3519" s="74">
        <v>52.48434411075036</v>
      </c>
      <c r="N3519" s="74">
        <f t="shared" si="1"/>
        <v>0</v>
      </c>
      <c r="O3519" s="74" t="b">
        <v>1</v>
      </c>
    </row>
    <row r="3520" hidden="1">
      <c r="A3520" s="82"/>
      <c r="B3520" s="65" t="s">
        <v>411</v>
      </c>
      <c r="C3520" s="65" t="s">
        <v>92</v>
      </c>
      <c r="D3520" s="65" t="str">
        <f>vlookup(C3520,'Classificação p pessoal'!F:G,2,false)</f>
        <v/>
      </c>
      <c r="E3520" s="65" t="s">
        <v>2477</v>
      </c>
      <c r="F3520" s="83">
        <v>0.34375</v>
      </c>
      <c r="G3520" s="83">
        <v>0.4791666666666667</v>
      </c>
      <c r="H3520" s="83">
        <v>0.13541666666666666</v>
      </c>
      <c r="I3520" s="84">
        <v>44413.0</v>
      </c>
      <c r="J3520" s="65" t="b">
        <v>1</v>
      </c>
      <c r="K3520" s="65"/>
      <c r="L3520" s="85" t="b">
        <f>IF(VLOOKUP(C3520,Projetos!A:L,12,false)=TRUE,TRUE,FALSE)</f>
        <v>1</v>
      </c>
      <c r="M3520" s="74">
        <v>52.48434411075036</v>
      </c>
      <c r="N3520" s="74">
        <f t="shared" si="1"/>
        <v>170.5741184</v>
      </c>
      <c r="O3520" s="74" t="b">
        <v>1</v>
      </c>
    </row>
    <row r="3521" hidden="1">
      <c r="A3521" s="82"/>
      <c r="B3521" s="65" t="s">
        <v>411</v>
      </c>
      <c r="C3521" s="65" t="s">
        <v>117</v>
      </c>
      <c r="D3521" s="65" t="str">
        <f>vlookup(C3521,'Classificação p pessoal'!F:G,2,false)</f>
        <v>NP</v>
      </c>
      <c r="E3521" s="65" t="s">
        <v>2130</v>
      </c>
      <c r="F3521" s="83">
        <v>0.4791666666666667</v>
      </c>
      <c r="G3521" s="83">
        <v>0.5208333333333334</v>
      </c>
      <c r="H3521" s="83">
        <v>0.041666666666666664</v>
      </c>
      <c r="I3521" s="84">
        <v>44413.0</v>
      </c>
      <c r="J3521" s="65" t="b">
        <v>1</v>
      </c>
      <c r="K3521" s="65"/>
      <c r="L3521" s="85" t="b">
        <f>IF(VLOOKUP(C3521,Projetos!A:L,12,false)=TRUE,TRUE,FALSE)</f>
        <v>1</v>
      </c>
      <c r="M3521" s="74">
        <v>52.48434411075036</v>
      </c>
      <c r="N3521" s="74">
        <f t="shared" si="1"/>
        <v>52.48434411</v>
      </c>
      <c r="O3521" s="74" t="b">
        <v>1</v>
      </c>
    </row>
    <row r="3522" hidden="1">
      <c r="A3522" s="82"/>
      <c r="B3522" s="65" t="s">
        <v>411</v>
      </c>
      <c r="C3522" s="65" t="s">
        <v>92</v>
      </c>
      <c r="D3522" s="65" t="str">
        <f>vlookup(C3522,'Classificação p pessoal'!F:G,2,false)</f>
        <v/>
      </c>
      <c r="E3522" s="65" t="s">
        <v>2478</v>
      </c>
      <c r="F3522" s="83">
        <v>0.5625</v>
      </c>
      <c r="G3522" s="83">
        <v>0.7083333333333334</v>
      </c>
      <c r="H3522" s="83">
        <v>0.14583333333333334</v>
      </c>
      <c r="I3522" s="84">
        <v>44413.0</v>
      </c>
      <c r="J3522" s="65" t="b">
        <v>1</v>
      </c>
      <c r="K3522" s="65"/>
      <c r="L3522" s="85" t="b">
        <f>IF(VLOOKUP(C3522,Projetos!A:L,12,false)=TRUE,TRUE,FALSE)</f>
        <v>1</v>
      </c>
      <c r="M3522" s="74">
        <v>52.48434411075036</v>
      </c>
      <c r="N3522" s="74">
        <f t="shared" si="1"/>
        <v>183.6952044</v>
      </c>
      <c r="O3522" s="74" t="b">
        <v>1</v>
      </c>
    </row>
    <row r="3523" hidden="1">
      <c r="A3523" s="82"/>
      <c r="B3523" s="65" t="s">
        <v>411</v>
      </c>
      <c r="C3523" s="65" t="s">
        <v>92</v>
      </c>
      <c r="D3523" s="65" t="str">
        <f>vlookup(C3523,'Classificação p pessoal'!F:G,2,false)</f>
        <v/>
      </c>
      <c r="E3523" s="65" t="s">
        <v>2479</v>
      </c>
      <c r="F3523" s="83">
        <v>0.6875</v>
      </c>
      <c r="G3523" s="83">
        <v>0.75</v>
      </c>
      <c r="H3523" s="83">
        <v>0.0625</v>
      </c>
      <c r="I3523" s="84">
        <v>44228.0</v>
      </c>
      <c r="J3523" s="65" t="b">
        <v>1</v>
      </c>
      <c r="K3523" s="65"/>
      <c r="L3523" s="85" t="b">
        <f>IF(VLOOKUP(C3523,Projetos!A:L,12,false)=TRUE,TRUE,FALSE)</f>
        <v>1</v>
      </c>
      <c r="M3523" s="74">
        <v>52.48434411075036</v>
      </c>
      <c r="N3523" s="74">
        <f t="shared" si="1"/>
        <v>78.72651617</v>
      </c>
      <c r="O3523" s="74" t="b">
        <v>1</v>
      </c>
    </row>
    <row r="3524" hidden="1">
      <c r="A3524" s="82"/>
      <c r="B3524" s="65" t="s">
        <v>411</v>
      </c>
      <c r="C3524" s="65" t="s">
        <v>109</v>
      </c>
      <c r="D3524" s="65" t="str">
        <f>vlookup(C3524,'Classificação p pessoal'!F:G,2,false)</f>
        <v>NP</v>
      </c>
      <c r="E3524" s="65" t="s">
        <v>2480</v>
      </c>
      <c r="F3524" s="83">
        <v>0.34375</v>
      </c>
      <c r="G3524" s="83">
        <v>0.3958333333333333</v>
      </c>
      <c r="H3524" s="83">
        <v>0.052083333333333336</v>
      </c>
      <c r="I3524" s="84">
        <v>44414.0</v>
      </c>
      <c r="J3524" s="65" t="b">
        <v>1</v>
      </c>
      <c r="K3524" s="65"/>
      <c r="L3524" s="85" t="b">
        <f>IF(VLOOKUP(C3524,Projetos!A:L,12,false)=TRUE,TRUE,FALSE)</f>
        <v>1</v>
      </c>
      <c r="M3524" s="74">
        <v>52.48434411075036</v>
      </c>
      <c r="N3524" s="74">
        <f t="shared" si="1"/>
        <v>65.60543014</v>
      </c>
      <c r="O3524" s="74" t="b">
        <v>1</v>
      </c>
    </row>
    <row r="3525" hidden="1">
      <c r="A3525" s="82"/>
      <c r="B3525" s="65" t="s">
        <v>411</v>
      </c>
      <c r="C3525" s="65" t="s">
        <v>92</v>
      </c>
      <c r="D3525" s="65" t="str">
        <f>vlookup(C3525,'Classificação p pessoal'!F:G,2,false)</f>
        <v/>
      </c>
      <c r="E3525" s="65" t="s">
        <v>2471</v>
      </c>
      <c r="F3525" s="83">
        <v>0.3958333333333333</v>
      </c>
      <c r="G3525" s="83">
        <v>0.4375</v>
      </c>
      <c r="H3525" s="83">
        <v>0.041666666666666664</v>
      </c>
      <c r="I3525" s="84">
        <v>44414.0</v>
      </c>
      <c r="J3525" s="65" t="b">
        <v>1</v>
      </c>
      <c r="K3525" s="65"/>
      <c r="L3525" s="85" t="b">
        <f>IF(VLOOKUP(C3525,Projetos!A:L,12,false)=TRUE,TRUE,FALSE)</f>
        <v>1</v>
      </c>
      <c r="M3525" s="74">
        <v>52.48434411075036</v>
      </c>
      <c r="N3525" s="74">
        <f t="shared" si="1"/>
        <v>52.48434411</v>
      </c>
      <c r="O3525" s="74" t="b">
        <v>1</v>
      </c>
    </row>
    <row r="3526" hidden="1">
      <c r="A3526" s="82"/>
      <c r="B3526" s="65" t="s">
        <v>411</v>
      </c>
      <c r="C3526" s="65" t="s">
        <v>117</v>
      </c>
      <c r="D3526" s="65" t="str">
        <f>vlookup(C3526,'Classificação p pessoal'!F:G,2,false)</f>
        <v>NP</v>
      </c>
      <c r="E3526" s="65" t="s">
        <v>2481</v>
      </c>
      <c r="F3526" s="83">
        <v>0.4375</v>
      </c>
      <c r="G3526" s="83">
        <v>0.5</v>
      </c>
      <c r="H3526" s="83">
        <v>0.0625</v>
      </c>
      <c r="I3526" s="84">
        <v>44414.0</v>
      </c>
      <c r="J3526" s="65" t="b">
        <v>1</v>
      </c>
      <c r="K3526" s="65"/>
      <c r="L3526" s="85" t="b">
        <f>IF(VLOOKUP(C3526,Projetos!A:L,12,false)=TRUE,TRUE,FALSE)</f>
        <v>1</v>
      </c>
      <c r="M3526" s="74">
        <v>52.48434411075036</v>
      </c>
      <c r="N3526" s="74">
        <f t="shared" si="1"/>
        <v>78.72651617</v>
      </c>
      <c r="O3526" s="74" t="b">
        <v>1</v>
      </c>
    </row>
    <row r="3527" hidden="1">
      <c r="A3527" s="82"/>
      <c r="B3527" s="65" t="s">
        <v>411</v>
      </c>
      <c r="C3527" s="65" t="s">
        <v>92</v>
      </c>
      <c r="D3527" s="65" t="str">
        <f>vlookup(C3527,'Classificação p pessoal'!F:G,2,false)</f>
        <v/>
      </c>
      <c r="E3527" s="65" t="s">
        <v>2482</v>
      </c>
      <c r="F3527" s="83">
        <v>0.6666666666666666</v>
      </c>
      <c r="G3527" s="83">
        <v>0.7083333333333334</v>
      </c>
      <c r="H3527" s="83">
        <v>0.041666666666666664</v>
      </c>
      <c r="I3527" s="84">
        <v>44517.0</v>
      </c>
      <c r="J3527" s="65" t="b">
        <v>1</v>
      </c>
      <c r="K3527" s="65"/>
      <c r="L3527" s="85" t="b">
        <f>IF(VLOOKUP(C3527,Projetos!A:L,12,false)=TRUE,TRUE,FALSE)</f>
        <v>1</v>
      </c>
      <c r="M3527" s="74">
        <v>52.48434411075036</v>
      </c>
      <c r="N3527" s="74">
        <f t="shared" si="1"/>
        <v>52.48434411</v>
      </c>
      <c r="O3527" s="74" t="b">
        <v>1</v>
      </c>
    </row>
    <row r="3528" hidden="1">
      <c r="A3528" s="82"/>
      <c r="B3528" s="65" t="s">
        <v>411</v>
      </c>
      <c r="C3528" s="65" t="s">
        <v>117</v>
      </c>
      <c r="D3528" s="65" t="str">
        <f>vlookup(C3528,'Classificação p pessoal'!F:G,2,false)</f>
        <v>NP</v>
      </c>
      <c r="E3528" s="65" t="s">
        <v>2483</v>
      </c>
      <c r="F3528" s="83">
        <v>0.5625</v>
      </c>
      <c r="G3528" s="83">
        <v>0.75</v>
      </c>
      <c r="H3528" s="83">
        <v>0.1875</v>
      </c>
      <c r="I3528" s="84">
        <v>44414.0</v>
      </c>
      <c r="J3528" s="65" t="b">
        <v>1</v>
      </c>
      <c r="K3528" s="65"/>
      <c r="L3528" s="85" t="b">
        <f>IF(VLOOKUP(C3528,Projetos!A:L,12,false)=TRUE,TRUE,FALSE)</f>
        <v>1</v>
      </c>
      <c r="M3528" s="74">
        <v>52.48434411075036</v>
      </c>
      <c r="N3528" s="74">
        <f t="shared" si="1"/>
        <v>236.1795485</v>
      </c>
      <c r="O3528" s="74" t="b">
        <v>1</v>
      </c>
    </row>
    <row r="3529" hidden="1">
      <c r="A3529" s="82"/>
      <c r="B3529" s="65" t="s">
        <v>411</v>
      </c>
      <c r="C3529" s="65" t="s">
        <v>117</v>
      </c>
      <c r="D3529" s="65" t="str">
        <f>vlookup(C3529,'Classificação p pessoal'!F:G,2,false)</f>
        <v>NP</v>
      </c>
      <c r="E3529" s="65" t="s">
        <v>2484</v>
      </c>
      <c r="F3529" s="83">
        <v>0.34375</v>
      </c>
      <c r="G3529" s="83">
        <v>0.4583333333333333</v>
      </c>
      <c r="H3529" s="83">
        <v>0.11458333333333333</v>
      </c>
      <c r="I3529" s="84">
        <v>44417.0</v>
      </c>
      <c r="J3529" s="65" t="b">
        <v>1</v>
      </c>
      <c r="K3529" s="65"/>
      <c r="L3529" s="85" t="b">
        <f>IF(VLOOKUP(C3529,Projetos!A:L,12,false)=TRUE,TRUE,FALSE)</f>
        <v>1</v>
      </c>
      <c r="M3529" s="74">
        <v>52.48434411075036</v>
      </c>
      <c r="N3529" s="74">
        <f t="shared" si="1"/>
        <v>144.3319463</v>
      </c>
      <c r="O3529" s="74" t="b">
        <v>1</v>
      </c>
    </row>
    <row r="3530" hidden="1">
      <c r="A3530" s="82"/>
      <c r="B3530" s="65" t="s">
        <v>411</v>
      </c>
      <c r="C3530" s="65" t="s">
        <v>84</v>
      </c>
      <c r="D3530" s="65"/>
      <c r="E3530" s="65" t="s">
        <v>2485</v>
      </c>
      <c r="F3530" s="83">
        <v>0.4791666666666667</v>
      </c>
      <c r="G3530" s="83">
        <v>0.5208333333333334</v>
      </c>
      <c r="H3530" s="83">
        <v>0.041666666666666664</v>
      </c>
      <c r="I3530" s="84">
        <v>44417.0</v>
      </c>
      <c r="J3530" s="65" t="b">
        <v>0</v>
      </c>
      <c r="K3530" s="65" t="s">
        <v>150</v>
      </c>
      <c r="L3530" s="85" t="b">
        <f>IF(VLOOKUP(C3530,Projetos!A:L,12,false)=TRUE,TRUE,FALSE)</f>
        <v>0</v>
      </c>
      <c r="M3530" s="74">
        <v>52.48434411075036</v>
      </c>
      <c r="N3530" s="74">
        <f t="shared" si="1"/>
        <v>0</v>
      </c>
      <c r="O3530" s="74" t="b">
        <v>0</v>
      </c>
    </row>
    <row r="3531" hidden="1">
      <c r="A3531" s="82"/>
      <c r="B3531" s="65" t="s">
        <v>411</v>
      </c>
      <c r="C3531" s="65" t="s">
        <v>92</v>
      </c>
      <c r="D3531" s="65" t="str">
        <f>vlookup(C3531,'Classificação p pessoal'!F:G,2,false)</f>
        <v/>
      </c>
      <c r="E3531" s="65" t="s">
        <v>2486</v>
      </c>
      <c r="F3531" s="83">
        <v>0.5625</v>
      </c>
      <c r="G3531" s="83">
        <v>0.6458333333333334</v>
      </c>
      <c r="H3531" s="83">
        <v>0.08333333333333333</v>
      </c>
      <c r="I3531" s="84">
        <v>44417.0</v>
      </c>
      <c r="J3531" s="65" t="b">
        <v>1</v>
      </c>
      <c r="K3531" s="65"/>
      <c r="L3531" s="85" t="b">
        <f>IF(VLOOKUP(C3531,Projetos!A:L,12,false)=TRUE,TRUE,FALSE)</f>
        <v>1</v>
      </c>
      <c r="M3531" s="74">
        <v>52.48434411075036</v>
      </c>
      <c r="N3531" s="74">
        <f t="shared" si="1"/>
        <v>104.9686882</v>
      </c>
      <c r="O3531" s="74" t="b">
        <v>1</v>
      </c>
    </row>
    <row r="3532" hidden="1">
      <c r="A3532" s="82"/>
      <c r="B3532" s="65" t="s">
        <v>411</v>
      </c>
      <c r="C3532" s="65" t="s">
        <v>119</v>
      </c>
      <c r="D3532" s="65"/>
      <c r="E3532" s="65" t="s">
        <v>2487</v>
      </c>
      <c r="F3532" s="83">
        <v>0.6458333333333334</v>
      </c>
      <c r="G3532" s="83">
        <v>0.75</v>
      </c>
      <c r="H3532" s="83">
        <v>0.10416666666666667</v>
      </c>
      <c r="I3532" s="84">
        <v>44417.0</v>
      </c>
      <c r="J3532" s="65" t="b">
        <v>0</v>
      </c>
      <c r="K3532" s="65" t="s">
        <v>150</v>
      </c>
      <c r="L3532" s="85" t="b">
        <f>IF(VLOOKUP(C3532,Projetos!A:L,12,false)=TRUE,TRUE,FALSE)</f>
        <v>1</v>
      </c>
      <c r="M3532" s="74">
        <v>52.48434411075036</v>
      </c>
      <c r="N3532" s="74">
        <f t="shared" si="1"/>
        <v>0</v>
      </c>
      <c r="O3532" s="74" t="b">
        <v>1</v>
      </c>
    </row>
    <row r="3533" hidden="1">
      <c r="A3533" s="82"/>
      <c r="B3533" s="65" t="s">
        <v>411</v>
      </c>
      <c r="C3533" s="65" t="s">
        <v>117</v>
      </c>
      <c r="D3533" s="65"/>
      <c r="E3533" s="65" t="s">
        <v>615</v>
      </c>
      <c r="F3533" s="83">
        <v>0.34375</v>
      </c>
      <c r="G3533" s="83">
        <v>0.3819444444444444</v>
      </c>
      <c r="H3533" s="83">
        <v>0.03819444444444445</v>
      </c>
      <c r="I3533" s="84">
        <v>44418.0</v>
      </c>
      <c r="J3533" s="65" t="b">
        <v>0</v>
      </c>
      <c r="K3533" s="65" t="s">
        <v>150</v>
      </c>
      <c r="L3533" s="85" t="b">
        <f>IF(VLOOKUP(C3533,Projetos!A:L,12,false)=TRUE,TRUE,FALSE)</f>
        <v>1</v>
      </c>
      <c r="M3533" s="74">
        <v>52.48434411075036</v>
      </c>
      <c r="N3533" s="74">
        <f t="shared" si="1"/>
        <v>0</v>
      </c>
      <c r="O3533" s="74" t="b">
        <v>1</v>
      </c>
    </row>
    <row r="3534" hidden="1">
      <c r="A3534" s="82"/>
      <c r="B3534" s="65" t="s">
        <v>467</v>
      </c>
      <c r="C3534" s="65" t="s">
        <v>113</v>
      </c>
      <c r="D3534" s="65" t="str">
        <f>vlookup(C3534,'Classificação p pessoal'!F:G,2,false)</f>
        <v>NP</v>
      </c>
      <c r="E3534" s="65" t="s">
        <v>2488</v>
      </c>
      <c r="F3534" s="83">
        <v>0.5625</v>
      </c>
      <c r="G3534" s="83">
        <v>0.625</v>
      </c>
      <c r="H3534" s="83">
        <v>0.0625</v>
      </c>
      <c r="I3534" s="84">
        <v>44398.0</v>
      </c>
      <c r="J3534" s="65" t="b">
        <v>1</v>
      </c>
      <c r="K3534" s="65"/>
      <c r="L3534" s="85" t="b">
        <f>IF(VLOOKUP(C3534,Projetos!A:L,12,false)=TRUE,TRUE,FALSE)</f>
        <v>1</v>
      </c>
      <c r="M3534" s="74">
        <v>52.1518759018759</v>
      </c>
      <c r="N3534" s="74">
        <f t="shared" si="1"/>
        <v>78.22781385</v>
      </c>
      <c r="O3534" s="74" t="b">
        <v>1</v>
      </c>
    </row>
    <row r="3535" hidden="1">
      <c r="A3535" s="82"/>
      <c r="B3535" s="65" t="s">
        <v>411</v>
      </c>
      <c r="C3535" s="65" t="s">
        <v>92</v>
      </c>
      <c r="D3535" s="65" t="str">
        <f>vlookup(C3535,'Classificação p pessoal'!F:G,2,false)</f>
        <v/>
      </c>
      <c r="E3535" s="65" t="s">
        <v>2489</v>
      </c>
      <c r="F3535" s="83">
        <v>0.4583333333333333</v>
      </c>
      <c r="G3535" s="83">
        <v>0.4791666666666667</v>
      </c>
      <c r="H3535" s="83">
        <v>0.020833333333333332</v>
      </c>
      <c r="I3535" s="84">
        <v>44418.0</v>
      </c>
      <c r="J3535" s="65" t="b">
        <v>1</v>
      </c>
      <c r="K3535" s="65"/>
      <c r="L3535" s="85" t="b">
        <f>IF(VLOOKUP(C3535,Projetos!A:L,12,false)=TRUE,TRUE,FALSE)</f>
        <v>1</v>
      </c>
      <c r="M3535" s="74">
        <v>52.48434411075036</v>
      </c>
      <c r="N3535" s="74">
        <f t="shared" si="1"/>
        <v>26.24217206</v>
      </c>
      <c r="O3535" s="74" t="b">
        <v>1</v>
      </c>
    </row>
    <row r="3536" hidden="1">
      <c r="A3536" s="82"/>
      <c r="B3536" s="65" t="s">
        <v>495</v>
      </c>
      <c r="C3536" s="65" t="s">
        <v>92</v>
      </c>
      <c r="D3536" s="65" t="str">
        <f>vlookup(C3536,'Classificação p pessoal'!F:G,2,false)</f>
        <v/>
      </c>
      <c r="E3536" s="65" t="s">
        <v>2490</v>
      </c>
      <c r="F3536" s="83">
        <v>0.4583333333333333</v>
      </c>
      <c r="G3536" s="83">
        <v>0.4930555555555556</v>
      </c>
      <c r="H3536" s="83">
        <v>0.034722222222222224</v>
      </c>
      <c r="I3536" s="84">
        <v>44538.0</v>
      </c>
      <c r="J3536" s="65" t="b">
        <v>1</v>
      </c>
      <c r="K3536" s="65"/>
      <c r="L3536" s="85" t="b">
        <f>IF(VLOOKUP(C3536,Projetos!A:L,12,false)=TRUE,TRUE,FALSE)</f>
        <v>1</v>
      </c>
      <c r="M3536" s="74">
        <v>73.7079846079846</v>
      </c>
      <c r="N3536" s="74">
        <f t="shared" si="1"/>
        <v>61.42332051</v>
      </c>
      <c r="O3536" s="74" t="b">
        <v>1</v>
      </c>
    </row>
    <row r="3537" hidden="1">
      <c r="A3537" s="82"/>
      <c r="B3537" s="65" t="s">
        <v>411</v>
      </c>
      <c r="C3537" s="65" t="s">
        <v>92</v>
      </c>
      <c r="D3537" s="65" t="str">
        <f>vlookup(C3537,'Classificação p pessoal'!F:G,2,false)</f>
        <v/>
      </c>
      <c r="E3537" s="65" t="s">
        <v>2469</v>
      </c>
      <c r="F3537" s="83">
        <v>0.5625</v>
      </c>
      <c r="G3537" s="83">
        <v>0.7083333333333334</v>
      </c>
      <c r="H3537" s="83">
        <v>0.14583333333333334</v>
      </c>
      <c r="I3537" s="84">
        <v>44418.0</v>
      </c>
      <c r="J3537" s="65" t="b">
        <v>1</v>
      </c>
      <c r="K3537" s="65"/>
      <c r="L3537" s="85" t="b">
        <f>IF(VLOOKUP(C3537,Projetos!A:L,12,false)=TRUE,TRUE,FALSE)</f>
        <v>1</v>
      </c>
      <c r="M3537" s="74">
        <v>52.48434411075036</v>
      </c>
      <c r="N3537" s="74">
        <f t="shared" si="1"/>
        <v>183.6952044</v>
      </c>
      <c r="O3537" s="74" t="b">
        <v>1</v>
      </c>
    </row>
    <row r="3538" hidden="1">
      <c r="A3538" s="82"/>
      <c r="B3538" s="65" t="s">
        <v>467</v>
      </c>
      <c r="C3538" s="65" t="s">
        <v>120</v>
      </c>
      <c r="D3538" s="65"/>
      <c r="E3538" s="65" t="s">
        <v>2491</v>
      </c>
      <c r="F3538" s="83">
        <v>0.4166666666666667</v>
      </c>
      <c r="G3538" s="83">
        <v>0.4583333333333333</v>
      </c>
      <c r="H3538" s="83">
        <v>0.041666666666666664</v>
      </c>
      <c r="I3538" s="84">
        <v>44370.0</v>
      </c>
      <c r="J3538" s="65" t="b">
        <v>0</v>
      </c>
      <c r="K3538" s="65"/>
      <c r="L3538" s="85" t="b">
        <f>IF(VLOOKUP(C3538,Projetos!A:L,12,false)=TRUE,TRUE,FALSE)</f>
        <v>0</v>
      </c>
      <c r="M3538" s="74">
        <v>52.1518759018759</v>
      </c>
      <c r="N3538" s="74">
        <f t="shared" si="1"/>
        <v>0</v>
      </c>
      <c r="O3538" s="74" t="b">
        <v>0</v>
      </c>
    </row>
    <row r="3539" hidden="1">
      <c r="A3539" s="82"/>
      <c r="B3539" s="65" t="s">
        <v>411</v>
      </c>
      <c r="C3539" s="65" t="s">
        <v>92</v>
      </c>
      <c r="D3539" s="65" t="str">
        <f>vlookup(C3539,'Classificação p pessoal'!F:G,2,false)</f>
        <v/>
      </c>
      <c r="E3539" s="65" t="s">
        <v>2492</v>
      </c>
      <c r="F3539" s="83">
        <v>0.34375</v>
      </c>
      <c r="G3539" s="83">
        <v>0.5208333333333334</v>
      </c>
      <c r="H3539" s="83">
        <v>0.17708333333333334</v>
      </c>
      <c r="I3539" s="84">
        <v>44419.0</v>
      </c>
      <c r="J3539" s="65" t="b">
        <v>1</v>
      </c>
      <c r="K3539" s="65"/>
      <c r="L3539" s="85" t="b">
        <f>IF(VLOOKUP(C3539,Projetos!A:L,12,false)=TRUE,TRUE,FALSE)</f>
        <v>1</v>
      </c>
      <c r="M3539" s="74">
        <v>52.48434411075036</v>
      </c>
      <c r="N3539" s="74">
        <f t="shared" si="1"/>
        <v>223.0584625</v>
      </c>
      <c r="O3539" s="74" t="b">
        <v>1</v>
      </c>
    </row>
    <row r="3540" hidden="1">
      <c r="A3540" s="82"/>
      <c r="B3540" s="65" t="s">
        <v>411</v>
      </c>
      <c r="C3540" s="65" t="s">
        <v>117</v>
      </c>
      <c r="D3540" s="65" t="str">
        <f>vlookup(C3540,'Classificação p pessoal'!F:G,2,false)</f>
        <v>NP</v>
      </c>
      <c r="E3540" s="65" t="s">
        <v>2493</v>
      </c>
      <c r="F3540" s="83">
        <v>0.5625</v>
      </c>
      <c r="G3540" s="83">
        <v>0.75</v>
      </c>
      <c r="H3540" s="83">
        <v>0.1875</v>
      </c>
      <c r="I3540" s="84">
        <v>44419.0</v>
      </c>
      <c r="J3540" s="65" t="b">
        <v>1</v>
      </c>
      <c r="K3540" s="65"/>
      <c r="L3540" s="85" t="b">
        <f>IF(VLOOKUP(C3540,Projetos!A:L,12,false)=TRUE,TRUE,FALSE)</f>
        <v>1</v>
      </c>
      <c r="M3540" s="74">
        <v>52.48434411075036</v>
      </c>
      <c r="N3540" s="74">
        <f t="shared" si="1"/>
        <v>236.1795485</v>
      </c>
      <c r="O3540" s="74" t="b">
        <v>1</v>
      </c>
    </row>
    <row r="3541" hidden="1">
      <c r="A3541" s="82"/>
      <c r="B3541" s="65" t="s">
        <v>411</v>
      </c>
      <c r="C3541" s="65" t="s">
        <v>92</v>
      </c>
      <c r="D3541" s="65" t="str">
        <f>vlookup(C3541,'Classificação p pessoal'!F:G,2,false)</f>
        <v/>
      </c>
      <c r="E3541" s="65" t="s">
        <v>2492</v>
      </c>
      <c r="F3541" s="83">
        <v>0.34375</v>
      </c>
      <c r="G3541" s="83">
        <v>0.5625</v>
      </c>
      <c r="H3541" s="83">
        <v>0.21875</v>
      </c>
      <c r="I3541" s="84">
        <v>44420.0</v>
      </c>
      <c r="J3541" s="65" t="b">
        <v>1</v>
      </c>
      <c r="K3541" s="65"/>
      <c r="L3541" s="85" t="b">
        <f>IF(VLOOKUP(C3541,Projetos!A:L,12,false)=TRUE,TRUE,FALSE)</f>
        <v>1</v>
      </c>
      <c r="M3541" s="74">
        <v>52.48434411075036</v>
      </c>
      <c r="N3541" s="74">
        <f t="shared" si="1"/>
        <v>275.5428066</v>
      </c>
      <c r="O3541" s="74" t="b">
        <v>1</v>
      </c>
    </row>
    <row r="3542" hidden="1">
      <c r="A3542" s="82"/>
      <c r="B3542" s="65" t="s">
        <v>411</v>
      </c>
      <c r="C3542" s="65" t="s">
        <v>114</v>
      </c>
      <c r="D3542" s="65" t="str">
        <f>vlookup(C3542,'Classificação p pessoal'!F:G,2,false)</f>
        <v>NP</v>
      </c>
      <c r="E3542" s="65" t="s">
        <v>2494</v>
      </c>
      <c r="F3542" s="83">
        <v>0.6041666666666666</v>
      </c>
      <c r="G3542" s="83">
        <v>0.6458333333333334</v>
      </c>
      <c r="H3542" s="83">
        <v>0.041666666666666664</v>
      </c>
      <c r="I3542" s="84">
        <v>44420.0</v>
      </c>
      <c r="J3542" s="65" t="b">
        <v>1</v>
      </c>
      <c r="K3542" s="65"/>
      <c r="L3542" s="85" t="b">
        <f>IF(VLOOKUP(C3542,Projetos!A:L,12,false)=TRUE,TRUE,FALSE)</f>
        <v>1</v>
      </c>
      <c r="M3542" s="74">
        <v>52.48434411075036</v>
      </c>
      <c r="N3542" s="74">
        <f t="shared" si="1"/>
        <v>52.48434411</v>
      </c>
      <c r="O3542" s="74" t="b">
        <v>1</v>
      </c>
    </row>
    <row r="3543" hidden="1">
      <c r="A3543" s="82"/>
      <c r="B3543" s="65" t="s">
        <v>411</v>
      </c>
      <c r="C3543" s="65" t="s">
        <v>109</v>
      </c>
      <c r="D3543" s="65" t="str">
        <f>vlookup(C3543,'Classificação p pessoal'!F:G,2,false)</f>
        <v>NP</v>
      </c>
      <c r="E3543" s="65" t="s">
        <v>2480</v>
      </c>
      <c r="F3543" s="83">
        <v>0.6458333333333334</v>
      </c>
      <c r="G3543" s="83">
        <v>0.6875</v>
      </c>
      <c r="H3543" s="83">
        <v>0.041666666666666664</v>
      </c>
      <c r="I3543" s="84">
        <v>44420.0</v>
      </c>
      <c r="J3543" s="65" t="b">
        <v>1</v>
      </c>
      <c r="K3543" s="65"/>
      <c r="L3543" s="85" t="b">
        <f>IF(VLOOKUP(C3543,Projetos!A:L,12,false)=TRUE,TRUE,FALSE)</f>
        <v>1</v>
      </c>
      <c r="M3543" s="74">
        <v>52.48434411075036</v>
      </c>
      <c r="N3543" s="74">
        <f t="shared" si="1"/>
        <v>52.48434411</v>
      </c>
      <c r="O3543" s="74" t="b">
        <v>1</v>
      </c>
    </row>
    <row r="3544" hidden="1">
      <c r="A3544" s="82"/>
      <c r="B3544" s="65" t="s">
        <v>411</v>
      </c>
      <c r="C3544" s="65" t="s">
        <v>117</v>
      </c>
      <c r="D3544" s="65" t="str">
        <f>vlookup(C3544,'Classificação p pessoal'!F:G,2,false)</f>
        <v>NP</v>
      </c>
      <c r="E3544" s="65" t="s">
        <v>2495</v>
      </c>
      <c r="F3544" s="83">
        <v>0.6875</v>
      </c>
      <c r="G3544" s="83">
        <v>0.75</v>
      </c>
      <c r="H3544" s="83">
        <v>0.0625</v>
      </c>
      <c r="I3544" s="84">
        <v>44420.0</v>
      </c>
      <c r="J3544" s="65" t="b">
        <v>1</v>
      </c>
      <c r="K3544" s="65"/>
      <c r="L3544" s="85" t="b">
        <f>IF(VLOOKUP(C3544,Projetos!A:L,12,false)=TRUE,TRUE,FALSE)</f>
        <v>1</v>
      </c>
      <c r="M3544" s="74">
        <v>52.48434411075036</v>
      </c>
      <c r="N3544" s="74">
        <f t="shared" si="1"/>
        <v>78.72651617</v>
      </c>
      <c r="O3544" s="74" t="b">
        <v>1</v>
      </c>
    </row>
    <row r="3545" hidden="1">
      <c r="A3545" s="82"/>
      <c r="B3545" s="65" t="s">
        <v>411</v>
      </c>
      <c r="C3545" s="65" t="s">
        <v>114</v>
      </c>
      <c r="D3545" s="65" t="str">
        <f>vlookup(C3545,'Classificação p pessoal'!F:G,2,false)</f>
        <v>NP</v>
      </c>
      <c r="E3545" s="65" t="s">
        <v>2494</v>
      </c>
      <c r="F3545" s="83">
        <v>0.34375</v>
      </c>
      <c r="G3545" s="83">
        <v>0.3645833333333333</v>
      </c>
      <c r="H3545" s="83">
        <v>0.020833333333333332</v>
      </c>
      <c r="I3545" s="84">
        <v>44421.0</v>
      </c>
      <c r="J3545" s="65" t="b">
        <v>1</v>
      </c>
      <c r="K3545" s="65"/>
      <c r="L3545" s="85" t="b">
        <f>IF(VLOOKUP(C3545,Projetos!A:L,12,false)=TRUE,TRUE,FALSE)</f>
        <v>1</v>
      </c>
      <c r="M3545" s="74">
        <v>52.48434411075036</v>
      </c>
      <c r="N3545" s="74">
        <f t="shared" si="1"/>
        <v>26.24217206</v>
      </c>
      <c r="O3545" s="74" t="b">
        <v>1</v>
      </c>
    </row>
    <row r="3546" hidden="1">
      <c r="A3546" s="82"/>
      <c r="B3546" s="65" t="s">
        <v>411</v>
      </c>
      <c r="C3546" s="65" t="s">
        <v>109</v>
      </c>
      <c r="D3546" s="65" t="str">
        <f>vlookup(C3546,'Classificação p pessoal'!F:G,2,false)</f>
        <v>NP</v>
      </c>
      <c r="E3546" s="65" t="s">
        <v>2480</v>
      </c>
      <c r="F3546" s="83">
        <v>0.3645833333333333</v>
      </c>
      <c r="G3546" s="83">
        <v>0.4166666666666667</v>
      </c>
      <c r="H3546" s="83">
        <v>0.052083333333333336</v>
      </c>
      <c r="I3546" s="84">
        <v>44421.0</v>
      </c>
      <c r="J3546" s="65" t="b">
        <v>1</v>
      </c>
      <c r="K3546" s="65"/>
      <c r="L3546" s="85" t="b">
        <f>IF(VLOOKUP(C3546,Projetos!A:L,12,false)=TRUE,TRUE,FALSE)</f>
        <v>1</v>
      </c>
      <c r="M3546" s="74">
        <v>52.48434411075036</v>
      </c>
      <c r="N3546" s="74">
        <f t="shared" si="1"/>
        <v>65.60543014</v>
      </c>
      <c r="O3546" s="74" t="b">
        <v>1</v>
      </c>
    </row>
    <row r="3547" hidden="1">
      <c r="A3547" s="82"/>
      <c r="B3547" s="65" t="s">
        <v>411</v>
      </c>
      <c r="C3547" s="65" t="s">
        <v>92</v>
      </c>
      <c r="D3547" s="65" t="str">
        <f>vlookup(C3547,'Classificação p pessoal'!F:G,2,false)</f>
        <v/>
      </c>
      <c r="E3547" s="65" t="s">
        <v>2496</v>
      </c>
      <c r="F3547" s="83">
        <v>0.4166666666666667</v>
      </c>
      <c r="G3547" s="83">
        <v>0.4791666666666667</v>
      </c>
      <c r="H3547" s="83">
        <v>0.0625</v>
      </c>
      <c r="I3547" s="84">
        <v>44421.0</v>
      </c>
      <c r="J3547" s="65" t="b">
        <v>1</v>
      </c>
      <c r="K3547" s="65"/>
      <c r="L3547" s="85" t="b">
        <f>IF(VLOOKUP(C3547,Projetos!A:L,12,false)=TRUE,TRUE,FALSE)</f>
        <v>1</v>
      </c>
      <c r="M3547" s="74">
        <v>52.48434411075036</v>
      </c>
      <c r="N3547" s="74">
        <f t="shared" si="1"/>
        <v>78.72651617</v>
      </c>
      <c r="O3547" s="74" t="b">
        <v>1</v>
      </c>
    </row>
    <row r="3548" hidden="1">
      <c r="A3548" s="82"/>
      <c r="B3548" s="65" t="s">
        <v>411</v>
      </c>
      <c r="C3548" s="65" t="s">
        <v>117</v>
      </c>
      <c r="D3548" s="65" t="str">
        <f>vlookup(C3548,'Classificação p pessoal'!F:G,2,false)</f>
        <v>NP</v>
      </c>
      <c r="E3548" s="65" t="s">
        <v>2497</v>
      </c>
      <c r="F3548" s="83">
        <v>0.4791666666666667</v>
      </c>
      <c r="G3548" s="83">
        <v>0.5208333333333334</v>
      </c>
      <c r="H3548" s="83">
        <v>0.041666666666666664</v>
      </c>
      <c r="I3548" s="84">
        <v>44421.0</v>
      </c>
      <c r="J3548" s="65" t="b">
        <v>1</v>
      </c>
      <c r="K3548" s="65"/>
      <c r="L3548" s="85" t="b">
        <f>IF(VLOOKUP(C3548,Projetos!A:L,12,false)=TRUE,TRUE,FALSE)</f>
        <v>1</v>
      </c>
      <c r="M3548" s="74">
        <v>52.48434411075036</v>
      </c>
      <c r="N3548" s="74">
        <f t="shared" si="1"/>
        <v>52.48434411</v>
      </c>
      <c r="O3548" s="74" t="b">
        <v>1</v>
      </c>
    </row>
    <row r="3549" hidden="1">
      <c r="A3549" s="82"/>
      <c r="B3549" s="65" t="s">
        <v>467</v>
      </c>
      <c r="C3549" s="65" t="s">
        <v>84</v>
      </c>
      <c r="D3549" s="65"/>
      <c r="E3549" s="65" t="s">
        <v>2498</v>
      </c>
      <c r="F3549" s="83">
        <v>0.4166666666666667</v>
      </c>
      <c r="G3549" s="83">
        <v>0.4583333333333333</v>
      </c>
      <c r="H3549" s="83">
        <v>0.041666666666666664</v>
      </c>
      <c r="I3549" s="84">
        <v>44539.0</v>
      </c>
      <c r="J3549" s="65" t="b">
        <v>0</v>
      </c>
      <c r="K3549" s="65"/>
      <c r="L3549" s="85" t="b">
        <f>IF(VLOOKUP(C3549,Projetos!A:L,12,false)=TRUE,TRUE,FALSE)</f>
        <v>0</v>
      </c>
      <c r="M3549" s="74">
        <v>52.1518759018759</v>
      </c>
      <c r="N3549" s="74">
        <f t="shared" si="1"/>
        <v>0</v>
      </c>
      <c r="O3549" s="74" t="b">
        <v>0</v>
      </c>
    </row>
    <row r="3550" hidden="1">
      <c r="A3550" s="82"/>
      <c r="B3550" s="65" t="s">
        <v>411</v>
      </c>
      <c r="C3550" s="65" t="s">
        <v>109</v>
      </c>
      <c r="D3550" s="65"/>
      <c r="E3550" s="65" t="s">
        <v>2499</v>
      </c>
      <c r="F3550" s="83">
        <v>0.6666666666666666</v>
      </c>
      <c r="G3550" s="83">
        <v>0.7291666666666666</v>
      </c>
      <c r="H3550" s="83">
        <v>0.0625</v>
      </c>
      <c r="I3550" s="84">
        <v>44421.0</v>
      </c>
      <c r="J3550" s="65" t="b">
        <v>0</v>
      </c>
      <c r="K3550" s="65" t="s">
        <v>150</v>
      </c>
      <c r="L3550" s="85" t="b">
        <f>IF(VLOOKUP(C3550,Projetos!A:L,12,false)=TRUE,TRUE,FALSE)</f>
        <v>1</v>
      </c>
      <c r="M3550" s="74">
        <v>52.48434411075036</v>
      </c>
      <c r="N3550" s="74">
        <f t="shared" si="1"/>
        <v>0</v>
      </c>
      <c r="O3550" s="74" t="b">
        <v>1</v>
      </c>
    </row>
    <row r="3551" hidden="1">
      <c r="A3551" s="82"/>
      <c r="B3551" s="65" t="s">
        <v>411</v>
      </c>
      <c r="C3551" s="65" t="s">
        <v>92</v>
      </c>
      <c r="D3551" s="65" t="str">
        <f>vlookup(C3551,'Classificação p pessoal'!F:G,2,false)</f>
        <v/>
      </c>
      <c r="E3551" s="65" t="s">
        <v>2500</v>
      </c>
      <c r="F3551" s="83">
        <v>0.34375</v>
      </c>
      <c r="G3551" s="83">
        <v>0.4166666666666667</v>
      </c>
      <c r="H3551" s="83">
        <v>0.07291666666666667</v>
      </c>
      <c r="I3551" s="84">
        <v>44424.0</v>
      </c>
      <c r="J3551" s="65" t="b">
        <v>1</v>
      </c>
      <c r="K3551" s="65"/>
      <c r="L3551" s="85" t="b">
        <f>IF(VLOOKUP(C3551,Projetos!A:L,12,false)=TRUE,TRUE,FALSE)</f>
        <v>1</v>
      </c>
      <c r="M3551" s="74">
        <v>52.48434411075036</v>
      </c>
      <c r="N3551" s="74">
        <f t="shared" si="1"/>
        <v>91.84760219</v>
      </c>
      <c r="O3551" s="74" t="b">
        <v>1</v>
      </c>
    </row>
    <row r="3552" hidden="1">
      <c r="A3552" s="82"/>
      <c r="B3552" s="65" t="s">
        <v>411</v>
      </c>
      <c r="C3552" s="65" t="s">
        <v>109</v>
      </c>
      <c r="D3552" s="65" t="str">
        <f>vlookup(C3552,'Classificação p pessoal'!F:G,2,false)</f>
        <v>NP</v>
      </c>
      <c r="E3552" s="65" t="s">
        <v>2501</v>
      </c>
      <c r="F3552" s="83">
        <v>0.4583333333333333</v>
      </c>
      <c r="G3552" s="83">
        <v>0.5416666666666666</v>
      </c>
      <c r="H3552" s="83">
        <v>0.08333333333333333</v>
      </c>
      <c r="I3552" s="84">
        <v>44424.0</v>
      </c>
      <c r="J3552" s="65" t="b">
        <v>1</v>
      </c>
      <c r="K3552" s="65"/>
      <c r="L3552" s="85" t="b">
        <f>IF(VLOOKUP(C3552,Projetos!A:L,12,false)=TRUE,TRUE,FALSE)</f>
        <v>1</v>
      </c>
      <c r="M3552" s="74">
        <v>52.48434411075036</v>
      </c>
      <c r="N3552" s="74">
        <f t="shared" si="1"/>
        <v>104.9686882</v>
      </c>
      <c r="O3552" s="74" t="b">
        <v>1</v>
      </c>
    </row>
    <row r="3553" hidden="1">
      <c r="A3553" s="82"/>
      <c r="B3553" s="65" t="s">
        <v>411</v>
      </c>
      <c r="C3553" s="65" t="s">
        <v>92</v>
      </c>
      <c r="D3553" s="65" t="str">
        <f>vlookup(C3553,'Classificação p pessoal'!F:G,2,false)</f>
        <v/>
      </c>
      <c r="E3553" s="65" t="s">
        <v>2502</v>
      </c>
      <c r="F3553" s="83">
        <v>0.5833333333333334</v>
      </c>
      <c r="G3553" s="83">
        <v>0.625</v>
      </c>
      <c r="H3553" s="83">
        <v>0.041666666666666664</v>
      </c>
      <c r="I3553" s="84">
        <v>44424.0</v>
      </c>
      <c r="J3553" s="65" t="b">
        <v>1</v>
      </c>
      <c r="K3553" s="65"/>
      <c r="L3553" s="85" t="b">
        <f>IF(VLOOKUP(C3553,Projetos!A:L,12,false)=TRUE,TRUE,FALSE)</f>
        <v>1</v>
      </c>
      <c r="M3553" s="74">
        <v>52.48434411075036</v>
      </c>
      <c r="N3553" s="74">
        <f t="shared" si="1"/>
        <v>52.48434411</v>
      </c>
      <c r="O3553" s="74" t="b">
        <v>1</v>
      </c>
    </row>
    <row r="3554" hidden="1">
      <c r="A3554" s="82"/>
      <c r="B3554" s="65" t="s">
        <v>177</v>
      </c>
      <c r="C3554" s="65" t="s">
        <v>91</v>
      </c>
      <c r="D3554" s="65" t="str">
        <f>vlookup(C3554,'Classificação p pessoal'!F:G,2,false)</f>
        <v>NP</v>
      </c>
      <c r="E3554" s="65" t="s">
        <v>2503</v>
      </c>
      <c r="F3554" s="83">
        <v>0.5833333333333334</v>
      </c>
      <c r="G3554" s="83">
        <v>0.625</v>
      </c>
      <c r="H3554" s="83">
        <v>0.041666666666666664</v>
      </c>
      <c r="I3554" s="84">
        <v>44421.0</v>
      </c>
      <c r="J3554" s="65" t="b">
        <v>1</v>
      </c>
      <c r="K3554" s="65"/>
      <c r="L3554" s="85" t="b">
        <f>IF(VLOOKUP(C3554,Projetos!A:L,12,false)=TRUE,TRUE,FALSE)</f>
        <v>1</v>
      </c>
      <c r="M3554" s="74">
        <v>31.02923620430495</v>
      </c>
      <c r="N3554" s="74">
        <f t="shared" si="1"/>
        <v>31.0292362</v>
      </c>
      <c r="O3554" s="74" t="b">
        <v>1</v>
      </c>
    </row>
    <row r="3555" hidden="1">
      <c r="A3555" s="82"/>
      <c r="B3555" s="65" t="s">
        <v>411</v>
      </c>
      <c r="C3555" s="65" t="s">
        <v>117</v>
      </c>
      <c r="D3555" s="65" t="str">
        <f>vlookup(C3555,'Classificação p pessoal'!F:G,2,false)</f>
        <v>NP</v>
      </c>
      <c r="E3555" s="65" t="s">
        <v>2504</v>
      </c>
      <c r="F3555" s="83">
        <v>0.6666666666666666</v>
      </c>
      <c r="G3555" s="83">
        <v>0.75</v>
      </c>
      <c r="H3555" s="83">
        <v>0.08333333333333333</v>
      </c>
      <c r="I3555" s="84">
        <v>44424.0</v>
      </c>
      <c r="J3555" s="65" t="b">
        <v>1</v>
      </c>
      <c r="K3555" s="65"/>
      <c r="L3555" s="85" t="b">
        <f>IF(VLOOKUP(C3555,Projetos!A:L,12,false)=TRUE,TRUE,FALSE)</f>
        <v>1</v>
      </c>
      <c r="M3555" s="74">
        <v>52.48434411075036</v>
      </c>
      <c r="N3555" s="74">
        <f t="shared" si="1"/>
        <v>104.9686882</v>
      </c>
      <c r="O3555" s="74" t="b">
        <v>1</v>
      </c>
    </row>
    <row r="3556" hidden="1">
      <c r="A3556" s="82"/>
      <c r="B3556" s="65" t="s">
        <v>411</v>
      </c>
      <c r="C3556" s="65" t="s">
        <v>114</v>
      </c>
      <c r="D3556" s="65" t="str">
        <f>vlookup(C3556,'Classificação p pessoal'!F:G,2,false)</f>
        <v>NP</v>
      </c>
      <c r="E3556" s="65" t="s">
        <v>2505</v>
      </c>
      <c r="F3556" s="83">
        <v>0.34375</v>
      </c>
      <c r="G3556" s="83">
        <v>0.3541666666666667</v>
      </c>
      <c r="H3556" s="83">
        <v>0.010416666666666666</v>
      </c>
      <c r="I3556" s="84">
        <v>44425.0</v>
      </c>
      <c r="J3556" s="65" t="b">
        <v>1</v>
      </c>
      <c r="K3556" s="65"/>
      <c r="L3556" s="85" t="b">
        <f>IF(VLOOKUP(C3556,Projetos!A:L,12,false)=TRUE,TRUE,FALSE)</f>
        <v>1</v>
      </c>
      <c r="M3556" s="74">
        <v>52.48434411075036</v>
      </c>
      <c r="N3556" s="74">
        <f t="shared" si="1"/>
        <v>13.12108603</v>
      </c>
      <c r="O3556" s="74" t="b">
        <v>1</v>
      </c>
    </row>
    <row r="3557" hidden="1">
      <c r="A3557" s="82"/>
      <c r="B3557" s="65" t="s">
        <v>411</v>
      </c>
      <c r="C3557" s="65" t="s">
        <v>105</v>
      </c>
      <c r="D3557" s="65" t="str">
        <f>vlookup(C3557,'Classificação p pessoal'!F:G,2,false)</f>
        <v>NP</v>
      </c>
      <c r="E3557" s="65" t="s">
        <v>2506</v>
      </c>
      <c r="F3557" s="83">
        <v>0.3541666666666667</v>
      </c>
      <c r="G3557" s="83">
        <v>0.3958333333333333</v>
      </c>
      <c r="H3557" s="83">
        <v>0.041666666666666664</v>
      </c>
      <c r="I3557" s="84">
        <v>44425.0</v>
      </c>
      <c r="J3557" s="65" t="b">
        <v>1</v>
      </c>
      <c r="K3557" s="65"/>
      <c r="L3557" s="85" t="b">
        <f>IF(VLOOKUP(C3557,Projetos!A:L,12,false)=TRUE,TRUE,FALSE)</f>
        <v>1</v>
      </c>
      <c r="M3557" s="74">
        <v>52.48434411075036</v>
      </c>
      <c r="N3557" s="74">
        <f t="shared" si="1"/>
        <v>52.48434411</v>
      </c>
      <c r="O3557" s="74" t="b">
        <v>1</v>
      </c>
    </row>
    <row r="3558" hidden="1">
      <c r="A3558" s="82"/>
      <c r="B3558" s="65" t="s">
        <v>411</v>
      </c>
      <c r="C3558" s="65" t="s">
        <v>117</v>
      </c>
      <c r="D3558" s="65" t="str">
        <f>vlookup(C3558,'Classificação p pessoal'!F:G,2,false)</f>
        <v>NP</v>
      </c>
      <c r="E3558" s="65" t="s">
        <v>2507</v>
      </c>
      <c r="F3558" s="83">
        <v>0.3958333333333333</v>
      </c>
      <c r="G3558" s="83">
        <v>0.4583333333333333</v>
      </c>
      <c r="H3558" s="83">
        <v>0.0625</v>
      </c>
      <c r="I3558" s="84">
        <v>44425.0</v>
      </c>
      <c r="J3558" s="65" t="b">
        <v>1</v>
      </c>
      <c r="K3558" s="65"/>
      <c r="L3558" s="85" t="b">
        <f>IF(VLOOKUP(C3558,Projetos!A:L,12,false)=TRUE,TRUE,FALSE)</f>
        <v>1</v>
      </c>
      <c r="M3558" s="74">
        <v>52.48434411075036</v>
      </c>
      <c r="N3558" s="74">
        <f t="shared" si="1"/>
        <v>78.72651617</v>
      </c>
      <c r="O3558" s="74" t="b">
        <v>1</v>
      </c>
    </row>
    <row r="3559" hidden="1">
      <c r="A3559" s="82"/>
      <c r="B3559" s="65" t="s">
        <v>411</v>
      </c>
      <c r="C3559" s="65" t="s">
        <v>125</v>
      </c>
      <c r="D3559" s="65" t="str">
        <f>vlookup(C3559,'Classificação p pessoal'!F:G,2,false)</f>
        <v>MProduto</v>
      </c>
      <c r="E3559" s="65" t="s">
        <v>2508</v>
      </c>
      <c r="F3559" s="83">
        <v>0.4583333333333333</v>
      </c>
      <c r="G3559" s="83">
        <v>0.5416666666666666</v>
      </c>
      <c r="H3559" s="83">
        <v>0.08333333333333333</v>
      </c>
      <c r="I3559" s="84">
        <v>44425.0</v>
      </c>
      <c r="J3559" s="65" t="b">
        <v>1</v>
      </c>
      <c r="K3559" s="65"/>
      <c r="L3559" s="85" t="b">
        <f>IF(VLOOKUP(C3559,Projetos!A:L,12,false)=TRUE,TRUE,FALSE)</f>
        <v>1</v>
      </c>
      <c r="M3559" s="74">
        <v>52.48434411075036</v>
      </c>
      <c r="N3559" s="74">
        <f t="shared" si="1"/>
        <v>104.9686882</v>
      </c>
      <c r="O3559" s="74" t="b">
        <v>1</v>
      </c>
    </row>
    <row r="3560" hidden="1">
      <c r="A3560" s="82"/>
      <c r="B3560" s="65" t="s">
        <v>411</v>
      </c>
      <c r="C3560" s="65" t="s">
        <v>117</v>
      </c>
      <c r="D3560" s="65" t="str">
        <f>vlookup(C3560,'Classificação p pessoal'!F:G,2,false)</f>
        <v>NP</v>
      </c>
      <c r="E3560" s="65" t="s">
        <v>2509</v>
      </c>
      <c r="F3560" s="83">
        <v>0.5833333333333334</v>
      </c>
      <c r="G3560" s="83">
        <v>0.7083333333333334</v>
      </c>
      <c r="H3560" s="83">
        <v>0.125</v>
      </c>
      <c r="I3560" s="84">
        <v>44425.0</v>
      </c>
      <c r="J3560" s="65" t="b">
        <v>1</v>
      </c>
      <c r="K3560" s="65"/>
      <c r="L3560" s="85" t="b">
        <f>IF(VLOOKUP(C3560,Projetos!A:L,12,false)=TRUE,TRUE,FALSE)</f>
        <v>1</v>
      </c>
      <c r="M3560" s="74">
        <v>52.48434411075036</v>
      </c>
      <c r="N3560" s="74">
        <f t="shared" si="1"/>
        <v>157.4530323</v>
      </c>
      <c r="O3560" s="74" t="b">
        <v>1</v>
      </c>
    </row>
    <row r="3561" hidden="1">
      <c r="A3561" s="82"/>
      <c r="B3561" s="65" t="s">
        <v>411</v>
      </c>
      <c r="C3561" s="65" t="s">
        <v>117</v>
      </c>
      <c r="D3561" s="65" t="str">
        <f>vlookup(C3561,'Classificação p pessoal'!F:G,2,false)</f>
        <v>NP</v>
      </c>
      <c r="E3561" s="65" t="s">
        <v>2510</v>
      </c>
      <c r="F3561" s="83">
        <v>0.34375</v>
      </c>
      <c r="G3561" s="83">
        <v>0.5</v>
      </c>
      <c r="H3561" s="83">
        <v>0.15625</v>
      </c>
      <c r="I3561" s="84">
        <v>44426.0</v>
      </c>
      <c r="J3561" s="65" t="b">
        <v>1</v>
      </c>
      <c r="K3561" s="65"/>
      <c r="L3561" s="85" t="b">
        <f>IF(VLOOKUP(C3561,Projetos!A:L,12,false)=TRUE,TRUE,FALSE)</f>
        <v>1</v>
      </c>
      <c r="M3561" s="74">
        <v>52.48434411075036</v>
      </c>
      <c r="N3561" s="74">
        <f t="shared" si="1"/>
        <v>196.8162904</v>
      </c>
      <c r="O3561" s="74" t="b">
        <v>1</v>
      </c>
    </row>
    <row r="3562" hidden="1">
      <c r="A3562" s="82"/>
      <c r="B3562" s="65" t="s">
        <v>411</v>
      </c>
      <c r="C3562" s="65" t="s">
        <v>117</v>
      </c>
      <c r="D3562" s="65" t="str">
        <f>vlookup(C3562,'Classificação p pessoal'!F:G,2,false)</f>
        <v>NP</v>
      </c>
      <c r="E3562" s="65" t="s">
        <v>2511</v>
      </c>
      <c r="F3562" s="83">
        <v>0.5416666666666666</v>
      </c>
      <c r="G3562" s="83">
        <v>0.75</v>
      </c>
      <c r="H3562" s="83">
        <v>0.20833333333333334</v>
      </c>
      <c r="I3562" s="84">
        <v>44426.0</v>
      </c>
      <c r="J3562" s="65" t="b">
        <v>1</v>
      </c>
      <c r="K3562" s="65"/>
      <c r="L3562" s="85" t="b">
        <f>IF(VLOOKUP(C3562,Projetos!A:L,12,false)=TRUE,TRUE,FALSE)</f>
        <v>1</v>
      </c>
      <c r="M3562" s="74">
        <v>52.48434411075036</v>
      </c>
      <c r="N3562" s="74">
        <f t="shared" si="1"/>
        <v>262.4217206</v>
      </c>
      <c r="O3562" s="74" t="b">
        <v>1</v>
      </c>
    </row>
    <row r="3563" hidden="1">
      <c r="A3563" s="82"/>
      <c r="B3563" s="65" t="s">
        <v>177</v>
      </c>
      <c r="C3563" s="65" t="s">
        <v>108</v>
      </c>
      <c r="D3563" s="65" t="str">
        <f>vlookup(C3563,'Classificação p pessoal'!F:G,2,false)</f>
        <v>NP</v>
      </c>
      <c r="E3563" s="65" t="s">
        <v>2512</v>
      </c>
      <c r="F3563" s="83">
        <v>0.46875</v>
      </c>
      <c r="G3563" s="83">
        <v>0.5104166666666666</v>
      </c>
      <c r="H3563" s="83">
        <v>0.041666666666666664</v>
      </c>
      <c r="I3563" s="84">
        <v>44378.0</v>
      </c>
      <c r="J3563" s="65" t="b">
        <v>1</v>
      </c>
      <c r="K3563" s="65"/>
      <c r="L3563" s="85" t="b">
        <f>IF(VLOOKUP(C3563,Projetos!A:L,12,false)=TRUE,TRUE,FALSE)</f>
        <v>1</v>
      </c>
      <c r="M3563" s="74">
        <v>31.02923620430495</v>
      </c>
      <c r="N3563" s="74">
        <f t="shared" si="1"/>
        <v>31.0292362</v>
      </c>
      <c r="O3563" s="74" t="b">
        <v>1</v>
      </c>
    </row>
    <row r="3564" hidden="1">
      <c r="A3564" s="82"/>
      <c r="B3564" s="65" t="s">
        <v>411</v>
      </c>
      <c r="C3564" s="65" t="s">
        <v>117</v>
      </c>
      <c r="D3564" s="65" t="str">
        <f>vlookup(C3564,'Classificação p pessoal'!F:G,2,false)</f>
        <v>NP</v>
      </c>
      <c r="E3564" s="65" t="s">
        <v>2513</v>
      </c>
      <c r="F3564" s="83">
        <v>0.5833333333333334</v>
      </c>
      <c r="G3564" s="83">
        <v>0.75</v>
      </c>
      <c r="H3564" s="83">
        <v>0.16666666666666666</v>
      </c>
      <c r="I3564" s="84">
        <v>44427.0</v>
      </c>
      <c r="J3564" s="65" t="b">
        <v>1</v>
      </c>
      <c r="K3564" s="65"/>
      <c r="L3564" s="85" t="b">
        <f>IF(VLOOKUP(C3564,Projetos!A:L,12,false)=TRUE,TRUE,FALSE)</f>
        <v>1</v>
      </c>
      <c r="M3564" s="74">
        <v>52.48434411075036</v>
      </c>
      <c r="N3564" s="74">
        <f t="shared" si="1"/>
        <v>209.9373764</v>
      </c>
      <c r="O3564" s="74" t="b">
        <v>1</v>
      </c>
    </row>
    <row r="3565" hidden="1">
      <c r="A3565" s="82"/>
      <c r="B3565" s="65" t="s">
        <v>411</v>
      </c>
      <c r="C3565" s="65" t="s">
        <v>92</v>
      </c>
      <c r="D3565" s="65" t="str">
        <f>vlookup(C3565,'Classificação p pessoal'!F:G,2,false)</f>
        <v/>
      </c>
      <c r="E3565" s="65" t="s">
        <v>2514</v>
      </c>
      <c r="F3565" s="83">
        <v>0.34375</v>
      </c>
      <c r="G3565" s="83">
        <v>0.375</v>
      </c>
      <c r="H3565" s="83">
        <v>0.03125</v>
      </c>
      <c r="I3565" s="84">
        <v>44428.0</v>
      </c>
      <c r="J3565" s="65" t="b">
        <v>1</v>
      </c>
      <c r="K3565" s="65"/>
      <c r="L3565" s="85" t="b">
        <f>IF(VLOOKUP(C3565,Projetos!A:L,12,false)=TRUE,TRUE,FALSE)</f>
        <v>1</v>
      </c>
      <c r="M3565" s="74">
        <v>52.48434411075036</v>
      </c>
      <c r="N3565" s="74">
        <f t="shared" si="1"/>
        <v>39.36325808</v>
      </c>
      <c r="O3565" s="74" t="b">
        <v>1</v>
      </c>
    </row>
    <row r="3566" hidden="1">
      <c r="A3566" s="82"/>
      <c r="B3566" s="65" t="s">
        <v>411</v>
      </c>
      <c r="C3566" s="65" t="s">
        <v>117</v>
      </c>
      <c r="D3566" s="65" t="str">
        <f>vlookup(C3566,'Classificação p pessoal'!F:G,2,false)</f>
        <v>NP</v>
      </c>
      <c r="E3566" s="65" t="s">
        <v>2515</v>
      </c>
      <c r="F3566" s="83">
        <v>0.375</v>
      </c>
      <c r="G3566" s="83">
        <v>0.4375</v>
      </c>
      <c r="H3566" s="83">
        <v>0.0625</v>
      </c>
      <c r="I3566" s="84">
        <v>44428.0</v>
      </c>
      <c r="J3566" s="65" t="b">
        <v>1</v>
      </c>
      <c r="K3566" s="65"/>
      <c r="L3566" s="85" t="b">
        <f>IF(VLOOKUP(C3566,Projetos!A:L,12,false)=TRUE,TRUE,FALSE)</f>
        <v>1</v>
      </c>
      <c r="M3566" s="74">
        <v>52.48434411075036</v>
      </c>
      <c r="N3566" s="74">
        <f t="shared" si="1"/>
        <v>78.72651617</v>
      </c>
      <c r="O3566" s="74" t="b">
        <v>1</v>
      </c>
    </row>
    <row r="3567" hidden="1">
      <c r="A3567" s="82"/>
      <c r="B3567" s="65" t="s">
        <v>411</v>
      </c>
      <c r="C3567" s="65" t="s">
        <v>128</v>
      </c>
      <c r="D3567" s="65" t="str">
        <f>vlookup(C3567,'Classificação p pessoal'!F:G,2,false)</f>
        <v>NP</v>
      </c>
      <c r="E3567" s="65" t="s">
        <v>2516</v>
      </c>
      <c r="F3567" s="83">
        <v>0.4375</v>
      </c>
      <c r="G3567" s="83">
        <v>0.5</v>
      </c>
      <c r="H3567" s="83">
        <v>0.0625</v>
      </c>
      <c r="I3567" s="84">
        <v>44428.0</v>
      </c>
      <c r="J3567" s="65" t="b">
        <v>1</v>
      </c>
      <c r="K3567" s="65"/>
      <c r="L3567" s="85" t="b">
        <f>IF(VLOOKUP(C3567,Projetos!A:L,12,false)=TRUE,TRUE,FALSE)</f>
        <v>1</v>
      </c>
      <c r="M3567" s="74">
        <v>52.48434411075036</v>
      </c>
      <c r="N3567" s="74">
        <f t="shared" si="1"/>
        <v>78.72651617</v>
      </c>
      <c r="O3567" s="74" t="b">
        <v>1</v>
      </c>
    </row>
    <row r="3568" hidden="1">
      <c r="A3568" s="82"/>
      <c r="B3568" s="65" t="s">
        <v>411</v>
      </c>
      <c r="C3568" s="65" t="s">
        <v>117</v>
      </c>
      <c r="D3568" s="65"/>
      <c r="E3568" s="65" t="s">
        <v>2517</v>
      </c>
      <c r="F3568" s="83">
        <v>0.5</v>
      </c>
      <c r="G3568" s="83">
        <v>0.6041666666666666</v>
      </c>
      <c r="H3568" s="83">
        <v>0.10416666666666667</v>
      </c>
      <c r="I3568" s="84">
        <v>44428.0</v>
      </c>
      <c r="J3568" s="65" t="b">
        <v>0</v>
      </c>
      <c r="K3568" s="65" t="s">
        <v>150</v>
      </c>
      <c r="L3568" s="85" t="b">
        <f>IF(VLOOKUP(C3568,Projetos!A:L,12,false)=TRUE,TRUE,FALSE)</f>
        <v>1</v>
      </c>
      <c r="M3568" s="74">
        <v>52.48434411075036</v>
      </c>
      <c r="N3568" s="74">
        <f t="shared" si="1"/>
        <v>0</v>
      </c>
      <c r="O3568" s="74" t="b">
        <v>1</v>
      </c>
    </row>
    <row r="3569" hidden="1">
      <c r="A3569" s="82"/>
      <c r="B3569" s="65" t="s">
        <v>469</v>
      </c>
      <c r="C3569" s="65" t="s">
        <v>152</v>
      </c>
      <c r="D3569" s="65" t="str">
        <f>vlookup(C3569,'Classificação p pessoal'!F:G,2,false)</f>
        <v>MProduto</v>
      </c>
      <c r="E3569" s="65" t="s">
        <v>2518</v>
      </c>
      <c r="F3569" s="83">
        <v>0.6458333333333334</v>
      </c>
      <c r="G3569" s="83">
        <v>0.7083333333333334</v>
      </c>
      <c r="H3569" s="83">
        <v>0.0625</v>
      </c>
      <c r="I3569" s="84">
        <v>44440.0</v>
      </c>
      <c r="J3569" s="65" t="b">
        <v>1</v>
      </c>
      <c r="K3569" s="65"/>
      <c r="L3569" s="85" t="b">
        <f>IF(VLOOKUP(C3569,Projetos!A:L,12,false)=TRUE,TRUE,FALSE)</f>
        <v>1</v>
      </c>
      <c r="M3569" s="74">
        <v>37.50928062469937</v>
      </c>
      <c r="N3569" s="74">
        <f t="shared" si="1"/>
        <v>56.26392094</v>
      </c>
      <c r="O3569" s="74" t="b">
        <v>1</v>
      </c>
    </row>
    <row r="3570" hidden="1">
      <c r="A3570" s="82"/>
      <c r="B3570" s="65" t="s">
        <v>411</v>
      </c>
      <c r="C3570" s="65" t="s">
        <v>92</v>
      </c>
      <c r="D3570" s="65" t="str">
        <f>vlookup(C3570,'Classificação p pessoal'!F:G,2,false)</f>
        <v/>
      </c>
      <c r="E3570" s="65" t="s">
        <v>2519</v>
      </c>
      <c r="F3570" s="83">
        <v>0.6875</v>
      </c>
      <c r="G3570" s="83">
        <v>0.75</v>
      </c>
      <c r="H3570" s="83">
        <v>0.0625</v>
      </c>
      <c r="I3570" s="84">
        <v>44428.0</v>
      </c>
      <c r="J3570" s="65" t="b">
        <v>1</v>
      </c>
      <c r="K3570" s="65"/>
      <c r="L3570" s="85" t="b">
        <f>IF(VLOOKUP(C3570,Projetos!A:L,12,false)=TRUE,TRUE,FALSE)</f>
        <v>1</v>
      </c>
      <c r="M3570" s="74">
        <v>52.48434411075036</v>
      </c>
      <c r="N3570" s="74">
        <f t="shared" si="1"/>
        <v>78.72651617</v>
      </c>
      <c r="O3570" s="74" t="b">
        <v>1</v>
      </c>
    </row>
    <row r="3571" hidden="1">
      <c r="A3571" s="82"/>
      <c r="B3571" s="65" t="s">
        <v>411</v>
      </c>
      <c r="C3571" s="65" t="s">
        <v>117</v>
      </c>
      <c r="D3571" s="65" t="str">
        <f>vlookup(C3571,'Classificação p pessoal'!F:G,2,false)</f>
        <v>NP</v>
      </c>
      <c r="E3571" s="65" t="s">
        <v>2520</v>
      </c>
      <c r="F3571" s="83">
        <v>0.3333333333333333</v>
      </c>
      <c r="G3571" s="83">
        <v>0.75</v>
      </c>
      <c r="H3571" s="83">
        <v>0.4166666666666667</v>
      </c>
      <c r="I3571" s="84">
        <v>44431.0</v>
      </c>
      <c r="J3571" s="65" t="b">
        <v>1</v>
      </c>
      <c r="K3571" s="65"/>
      <c r="L3571" s="85" t="b">
        <f>IF(VLOOKUP(C3571,Projetos!A:L,12,false)=TRUE,TRUE,FALSE)</f>
        <v>1</v>
      </c>
      <c r="M3571" s="74">
        <v>52.48434411075036</v>
      </c>
      <c r="N3571" s="74">
        <f t="shared" si="1"/>
        <v>524.8434411</v>
      </c>
      <c r="O3571" s="74" t="b">
        <v>1</v>
      </c>
    </row>
    <row r="3572" hidden="1">
      <c r="A3572" s="82"/>
      <c r="B3572" s="65" t="s">
        <v>411</v>
      </c>
      <c r="C3572" s="65" t="s">
        <v>117</v>
      </c>
      <c r="D3572" s="65" t="str">
        <f>vlookup(C3572,'Classificação p pessoal'!F:G,2,false)</f>
        <v>NP</v>
      </c>
      <c r="E3572" s="65" t="s">
        <v>2521</v>
      </c>
      <c r="F3572" s="83">
        <v>0.3333333333333333</v>
      </c>
      <c r="G3572" s="83">
        <v>0.75</v>
      </c>
      <c r="H3572" s="83">
        <v>0.4166666666666667</v>
      </c>
      <c r="I3572" s="84">
        <v>44432.0</v>
      </c>
      <c r="J3572" s="65" t="b">
        <v>1</v>
      </c>
      <c r="K3572" s="65"/>
      <c r="L3572" s="85" t="b">
        <f>IF(VLOOKUP(C3572,Projetos!A:L,12,false)=TRUE,TRUE,FALSE)</f>
        <v>1</v>
      </c>
      <c r="M3572" s="74">
        <v>52.48434411075036</v>
      </c>
      <c r="N3572" s="74">
        <f t="shared" si="1"/>
        <v>524.8434411</v>
      </c>
      <c r="O3572" s="74" t="b">
        <v>1</v>
      </c>
    </row>
    <row r="3573" hidden="1">
      <c r="A3573" s="82"/>
      <c r="B3573" s="65" t="s">
        <v>411</v>
      </c>
      <c r="C3573" s="65" t="s">
        <v>117</v>
      </c>
      <c r="D3573" s="65" t="str">
        <f>vlookup(C3573,'Classificação p pessoal'!F:G,2,false)</f>
        <v>NP</v>
      </c>
      <c r="E3573" s="65" t="s">
        <v>2522</v>
      </c>
      <c r="F3573" s="83">
        <v>0.3333333333333333</v>
      </c>
      <c r="G3573" s="83">
        <v>0.75</v>
      </c>
      <c r="H3573" s="83">
        <v>0.4166666666666667</v>
      </c>
      <c r="I3573" s="84">
        <v>44433.0</v>
      </c>
      <c r="J3573" s="65" t="b">
        <v>1</v>
      </c>
      <c r="K3573" s="65"/>
      <c r="L3573" s="85" t="b">
        <f>IF(VLOOKUP(C3573,Projetos!A:L,12,false)=TRUE,TRUE,FALSE)</f>
        <v>1</v>
      </c>
      <c r="M3573" s="74">
        <v>52.48434411075036</v>
      </c>
      <c r="N3573" s="74">
        <f t="shared" si="1"/>
        <v>524.8434411</v>
      </c>
      <c r="O3573" s="74" t="b">
        <v>1</v>
      </c>
    </row>
    <row r="3574" hidden="1">
      <c r="A3574" s="82"/>
      <c r="B3574" s="65" t="s">
        <v>411</v>
      </c>
      <c r="C3574" s="65" t="s">
        <v>117</v>
      </c>
      <c r="D3574" s="65" t="str">
        <f>vlookup(C3574,'Classificação p pessoal'!F:G,2,false)</f>
        <v>NP</v>
      </c>
      <c r="E3574" s="65" t="s">
        <v>2523</v>
      </c>
      <c r="F3574" s="83">
        <v>0.3333333333333333</v>
      </c>
      <c r="G3574" s="83">
        <v>0.75</v>
      </c>
      <c r="H3574" s="83">
        <v>0.4166666666666667</v>
      </c>
      <c r="I3574" s="84">
        <v>44434.0</v>
      </c>
      <c r="J3574" s="65" t="b">
        <v>1</v>
      </c>
      <c r="K3574" s="65"/>
      <c r="L3574" s="85" t="b">
        <f>IF(VLOOKUP(C3574,Projetos!A:L,12,false)=TRUE,TRUE,FALSE)</f>
        <v>1</v>
      </c>
      <c r="M3574" s="74">
        <v>52.48434411075036</v>
      </c>
      <c r="N3574" s="74">
        <f t="shared" si="1"/>
        <v>524.8434411</v>
      </c>
      <c r="O3574" s="74" t="b">
        <v>1</v>
      </c>
    </row>
    <row r="3575" hidden="1">
      <c r="A3575" s="82"/>
      <c r="B3575" s="65" t="s">
        <v>411</v>
      </c>
      <c r="C3575" s="65" t="s">
        <v>117</v>
      </c>
      <c r="D3575" s="65"/>
      <c r="E3575" s="65" t="s">
        <v>2524</v>
      </c>
      <c r="F3575" s="83">
        <v>0.34375</v>
      </c>
      <c r="G3575" s="83">
        <v>0.5833333333333334</v>
      </c>
      <c r="H3575" s="83">
        <v>0.23958333333333334</v>
      </c>
      <c r="I3575" s="84">
        <v>44435.0</v>
      </c>
      <c r="J3575" s="65" t="b">
        <v>0</v>
      </c>
      <c r="K3575" s="65" t="s">
        <v>150</v>
      </c>
      <c r="L3575" s="85" t="b">
        <f>IF(VLOOKUP(C3575,Projetos!A:L,12,false)=TRUE,TRUE,FALSE)</f>
        <v>1</v>
      </c>
      <c r="M3575" s="74">
        <v>52.48434411075036</v>
      </c>
      <c r="N3575" s="74">
        <f t="shared" si="1"/>
        <v>0</v>
      </c>
      <c r="O3575" s="74" t="b">
        <v>1</v>
      </c>
    </row>
    <row r="3576" hidden="1">
      <c r="A3576" s="82"/>
      <c r="B3576" s="65" t="s">
        <v>411</v>
      </c>
      <c r="C3576" s="65" t="s">
        <v>117</v>
      </c>
      <c r="D3576" s="65"/>
      <c r="E3576" s="65" t="s">
        <v>2524</v>
      </c>
      <c r="F3576" s="83">
        <v>0.625</v>
      </c>
      <c r="G3576" s="83">
        <v>0.6666666666666666</v>
      </c>
      <c r="H3576" s="83">
        <v>0.041666666666666664</v>
      </c>
      <c r="I3576" s="84">
        <v>44435.0</v>
      </c>
      <c r="J3576" s="65" t="b">
        <v>0</v>
      </c>
      <c r="K3576" s="65" t="s">
        <v>150</v>
      </c>
      <c r="L3576" s="85" t="b">
        <f>IF(VLOOKUP(C3576,Projetos!A:L,12,false)=TRUE,TRUE,FALSE)</f>
        <v>1</v>
      </c>
      <c r="M3576" s="74">
        <v>52.48434411075036</v>
      </c>
      <c r="N3576" s="74">
        <f t="shared" si="1"/>
        <v>0</v>
      </c>
      <c r="O3576" s="74" t="b">
        <v>1</v>
      </c>
    </row>
    <row r="3577" hidden="1">
      <c r="A3577" s="82"/>
      <c r="B3577" s="65" t="s">
        <v>411</v>
      </c>
      <c r="C3577" s="65" t="s">
        <v>120</v>
      </c>
      <c r="D3577" s="65"/>
      <c r="E3577" s="65" t="s">
        <v>2525</v>
      </c>
      <c r="F3577" s="83">
        <v>0.6666666666666666</v>
      </c>
      <c r="G3577" s="83">
        <v>0.7291666666666666</v>
      </c>
      <c r="H3577" s="83">
        <v>0.0625</v>
      </c>
      <c r="I3577" s="84">
        <v>44435.0</v>
      </c>
      <c r="J3577" s="65" t="b">
        <v>0</v>
      </c>
      <c r="K3577" s="65"/>
      <c r="L3577" s="85" t="b">
        <f>IF(VLOOKUP(C3577,Projetos!A:L,12,false)=TRUE,TRUE,FALSE)</f>
        <v>0</v>
      </c>
      <c r="M3577" s="74">
        <v>52.48434411075036</v>
      </c>
      <c r="N3577" s="74">
        <f t="shared" si="1"/>
        <v>0</v>
      </c>
      <c r="O3577" s="74" t="b">
        <v>0</v>
      </c>
    </row>
    <row r="3578" hidden="1">
      <c r="A3578" s="82"/>
      <c r="B3578" s="65" t="s">
        <v>411</v>
      </c>
      <c r="C3578" s="65" t="s">
        <v>117</v>
      </c>
      <c r="D3578" s="65" t="str">
        <f>vlookup(C3578,'Classificação p pessoal'!F:G,2,false)</f>
        <v>NP</v>
      </c>
      <c r="E3578" s="65" t="s">
        <v>2526</v>
      </c>
      <c r="F3578" s="83">
        <v>0.34375</v>
      </c>
      <c r="G3578" s="83">
        <v>0.4166666666666667</v>
      </c>
      <c r="H3578" s="83">
        <v>0.07291666666666667</v>
      </c>
      <c r="I3578" s="84">
        <v>44438.0</v>
      </c>
      <c r="J3578" s="65" t="b">
        <v>1</v>
      </c>
      <c r="K3578" s="65"/>
      <c r="L3578" s="85" t="b">
        <f>IF(VLOOKUP(C3578,Projetos!A:L,12,false)=TRUE,TRUE,FALSE)</f>
        <v>1</v>
      </c>
      <c r="M3578" s="74">
        <v>52.48434411075036</v>
      </c>
      <c r="N3578" s="74">
        <f t="shared" si="1"/>
        <v>91.84760219</v>
      </c>
      <c r="O3578" s="74" t="b">
        <v>1</v>
      </c>
    </row>
    <row r="3579" hidden="1">
      <c r="A3579" s="82"/>
      <c r="B3579" s="65" t="s">
        <v>411</v>
      </c>
      <c r="C3579" s="65" t="s">
        <v>109</v>
      </c>
      <c r="D3579" s="65" t="str">
        <f>vlookup(C3579,'Classificação p pessoal'!F:G,2,false)</f>
        <v>NP</v>
      </c>
      <c r="E3579" s="65" t="s">
        <v>2527</v>
      </c>
      <c r="F3579" s="83">
        <v>0.4166666666666667</v>
      </c>
      <c r="G3579" s="83">
        <v>0.4583333333333333</v>
      </c>
      <c r="H3579" s="83">
        <v>0.041666666666666664</v>
      </c>
      <c r="I3579" s="84">
        <v>44438.0</v>
      </c>
      <c r="J3579" s="65" t="b">
        <v>1</v>
      </c>
      <c r="K3579" s="65"/>
      <c r="L3579" s="85" t="b">
        <f>IF(VLOOKUP(C3579,Projetos!A:L,12,false)=TRUE,TRUE,FALSE)</f>
        <v>1</v>
      </c>
      <c r="M3579" s="74">
        <v>52.48434411075036</v>
      </c>
      <c r="N3579" s="74">
        <f t="shared" si="1"/>
        <v>52.48434411</v>
      </c>
      <c r="O3579" s="74" t="b">
        <v>1</v>
      </c>
    </row>
    <row r="3580" hidden="1">
      <c r="A3580" s="82"/>
      <c r="B3580" s="65" t="s">
        <v>411</v>
      </c>
      <c r="C3580" s="65" t="s">
        <v>117</v>
      </c>
      <c r="D3580" s="65" t="str">
        <f>vlookup(C3580,'Classificação p pessoal'!F:G,2,false)</f>
        <v>NP</v>
      </c>
      <c r="E3580" s="65" t="s">
        <v>2528</v>
      </c>
      <c r="F3580" s="83">
        <v>0.4583333333333333</v>
      </c>
      <c r="G3580" s="83">
        <v>0.5416666666666666</v>
      </c>
      <c r="H3580" s="83">
        <v>0.08333333333333333</v>
      </c>
      <c r="I3580" s="84">
        <v>44438.0</v>
      </c>
      <c r="J3580" s="65" t="b">
        <v>1</v>
      </c>
      <c r="K3580" s="65"/>
      <c r="L3580" s="85" t="b">
        <f>IF(VLOOKUP(C3580,Projetos!A:L,12,false)=TRUE,TRUE,FALSE)</f>
        <v>1</v>
      </c>
      <c r="M3580" s="74">
        <v>52.48434411075036</v>
      </c>
      <c r="N3580" s="74">
        <f t="shared" si="1"/>
        <v>104.9686882</v>
      </c>
      <c r="O3580" s="74" t="b">
        <v>1</v>
      </c>
    </row>
    <row r="3581" hidden="1">
      <c r="A3581" s="82"/>
      <c r="B3581" s="65" t="s">
        <v>177</v>
      </c>
      <c r="C3581" s="65" t="s">
        <v>106</v>
      </c>
      <c r="D3581" s="65" t="str">
        <f>vlookup(C3581,'Classificação p pessoal'!F:G,2,false)</f>
        <v>MProcesso</v>
      </c>
      <c r="E3581" s="65" t="s">
        <v>2529</v>
      </c>
      <c r="F3581" s="83">
        <v>0.6979166666666666</v>
      </c>
      <c r="G3581" s="83">
        <v>0.7395833333333334</v>
      </c>
      <c r="H3581" s="83">
        <v>0.041666666666666664</v>
      </c>
      <c r="I3581" s="84">
        <v>44370.0</v>
      </c>
      <c r="J3581" s="65" t="b">
        <v>1</v>
      </c>
      <c r="K3581" s="65"/>
      <c r="L3581" s="85" t="b">
        <f>IF(VLOOKUP(C3581,Projetos!A:L,12,false)=TRUE,TRUE,FALSE)</f>
        <v>1</v>
      </c>
      <c r="M3581" s="74">
        <v>31.02923620430495</v>
      </c>
      <c r="N3581" s="74">
        <f t="shared" si="1"/>
        <v>31.0292362</v>
      </c>
      <c r="O3581" s="74" t="b">
        <v>1</v>
      </c>
    </row>
    <row r="3582" hidden="1">
      <c r="A3582" s="82"/>
      <c r="B3582" s="65" t="s">
        <v>411</v>
      </c>
      <c r="C3582" s="65" t="s">
        <v>120</v>
      </c>
      <c r="D3582" s="65"/>
      <c r="E3582" s="65" t="s">
        <v>2530</v>
      </c>
      <c r="F3582" s="83">
        <v>0.6458333333333334</v>
      </c>
      <c r="G3582" s="83">
        <v>0.75</v>
      </c>
      <c r="H3582" s="83">
        <v>0.10416666666666667</v>
      </c>
      <c r="I3582" s="84">
        <v>44438.0</v>
      </c>
      <c r="J3582" s="65" t="b">
        <v>0</v>
      </c>
      <c r="K3582" s="65" t="s">
        <v>150</v>
      </c>
      <c r="L3582" s="85" t="b">
        <f>IF(VLOOKUP(C3582,Projetos!A:L,12,false)=TRUE,TRUE,FALSE)</f>
        <v>0</v>
      </c>
      <c r="M3582" s="74">
        <v>52.48434411075036</v>
      </c>
      <c r="N3582" s="74">
        <f t="shared" si="1"/>
        <v>0</v>
      </c>
      <c r="O3582" s="74" t="b">
        <v>0</v>
      </c>
    </row>
    <row r="3583" hidden="1">
      <c r="A3583" s="82"/>
      <c r="B3583" s="65" t="s">
        <v>411</v>
      </c>
      <c r="C3583" s="65" t="s">
        <v>117</v>
      </c>
      <c r="D3583" s="65" t="str">
        <f>vlookup(C3583,'Classificação p pessoal'!F:G,2,false)</f>
        <v>NP</v>
      </c>
      <c r="E3583" s="65" t="s">
        <v>2167</v>
      </c>
      <c r="F3583" s="83">
        <v>0.34375</v>
      </c>
      <c r="G3583" s="83">
        <v>0.3958333333333333</v>
      </c>
      <c r="H3583" s="83">
        <v>0.052083333333333336</v>
      </c>
      <c r="I3583" s="84">
        <v>44439.0</v>
      </c>
      <c r="J3583" s="65" t="b">
        <v>1</v>
      </c>
      <c r="K3583" s="65"/>
      <c r="L3583" s="85" t="b">
        <f>IF(VLOOKUP(C3583,Projetos!A:L,12,false)=TRUE,TRUE,FALSE)</f>
        <v>1</v>
      </c>
      <c r="M3583" s="74">
        <v>52.48434411075036</v>
      </c>
      <c r="N3583" s="74">
        <f t="shared" si="1"/>
        <v>65.60543014</v>
      </c>
      <c r="O3583" s="74" t="b">
        <v>1</v>
      </c>
    </row>
    <row r="3584" hidden="1">
      <c r="A3584" s="82"/>
      <c r="B3584" s="65" t="s">
        <v>411</v>
      </c>
      <c r="C3584" s="65" t="s">
        <v>125</v>
      </c>
      <c r="D3584" s="65" t="str">
        <f>vlookup(C3584,'Classificação p pessoal'!F:G,2,false)</f>
        <v>MProduto</v>
      </c>
      <c r="E3584" s="65" t="s">
        <v>2531</v>
      </c>
      <c r="F3584" s="83">
        <v>0.3958333333333333</v>
      </c>
      <c r="G3584" s="83">
        <v>0.4375</v>
      </c>
      <c r="H3584" s="83">
        <v>0.041666666666666664</v>
      </c>
      <c r="I3584" s="84">
        <v>44439.0</v>
      </c>
      <c r="J3584" s="65" t="b">
        <v>1</v>
      </c>
      <c r="K3584" s="65"/>
      <c r="L3584" s="85" t="b">
        <f>IF(VLOOKUP(C3584,Projetos!A:L,12,false)=TRUE,TRUE,FALSE)</f>
        <v>1</v>
      </c>
      <c r="M3584" s="74">
        <v>52.48434411075036</v>
      </c>
      <c r="N3584" s="74">
        <f t="shared" si="1"/>
        <v>52.48434411</v>
      </c>
      <c r="O3584" s="74" t="b">
        <v>1</v>
      </c>
    </row>
    <row r="3585" hidden="1">
      <c r="A3585" s="82"/>
      <c r="B3585" s="65" t="s">
        <v>411</v>
      </c>
      <c r="C3585" s="65" t="s">
        <v>114</v>
      </c>
      <c r="D3585" s="65" t="str">
        <f>vlookup(C3585,'Classificação p pessoal'!F:G,2,false)</f>
        <v>NP</v>
      </c>
      <c r="E3585" s="65" t="s">
        <v>2532</v>
      </c>
      <c r="F3585" s="83">
        <v>0.4375</v>
      </c>
      <c r="G3585" s="83">
        <v>0.4791666666666667</v>
      </c>
      <c r="H3585" s="83">
        <v>0.041666666666666664</v>
      </c>
      <c r="I3585" s="84">
        <v>44439.0</v>
      </c>
      <c r="J3585" s="65" t="b">
        <v>1</v>
      </c>
      <c r="K3585" s="65"/>
      <c r="L3585" s="85" t="b">
        <f>IF(VLOOKUP(C3585,Projetos!A:L,12,false)=TRUE,TRUE,FALSE)</f>
        <v>1</v>
      </c>
      <c r="M3585" s="74">
        <v>52.48434411075036</v>
      </c>
      <c r="N3585" s="74">
        <f t="shared" si="1"/>
        <v>52.48434411</v>
      </c>
      <c r="O3585" s="74" t="b">
        <v>1</v>
      </c>
    </row>
    <row r="3586" hidden="1">
      <c r="A3586" s="82"/>
      <c r="B3586" s="65" t="s">
        <v>411</v>
      </c>
      <c r="C3586" s="65" t="s">
        <v>117</v>
      </c>
      <c r="D3586" s="65" t="str">
        <f>vlookup(C3586,'Classificação p pessoal'!F:G,2,false)</f>
        <v>NP</v>
      </c>
      <c r="E3586" s="65" t="s">
        <v>2533</v>
      </c>
      <c r="F3586" s="83">
        <v>0.4791666666666667</v>
      </c>
      <c r="G3586" s="83">
        <v>0.5833333333333334</v>
      </c>
      <c r="H3586" s="83">
        <v>0.10416666666666667</v>
      </c>
      <c r="I3586" s="84">
        <v>44439.0</v>
      </c>
      <c r="J3586" s="65" t="b">
        <v>1</v>
      </c>
      <c r="K3586" s="65"/>
      <c r="L3586" s="85" t="b">
        <f>IF(VLOOKUP(C3586,Projetos!A:L,12,false)=TRUE,TRUE,FALSE)</f>
        <v>1</v>
      </c>
      <c r="M3586" s="74">
        <v>52.48434411075036</v>
      </c>
      <c r="N3586" s="74">
        <f t="shared" si="1"/>
        <v>131.2108603</v>
      </c>
      <c r="O3586" s="74" t="b">
        <v>1</v>
      </c>
    </row>
    <row r="3587" hidden="1">
      <c r="A3587" s="82"/>
      <c r="B3587" s="65" t="s">
        <v>411</v>
      </c>
      <c r="C3587" s="65" t="s">
        <v>117</v>
      </c>
      <c r="D3587" s="65" t="str">
        <f>vlookup(C3587,'Classificação p pessoal'!F:G,2,false)</f>
        <v>NP</v>
      </c>
      <c r="E3587" s="65" t="s">
        <v>2534</v>
      </c>
      <c r="F3587" s="83">
        <v>0.625</v>
      </c>
      <c r="G3587" s="83">
        <v>0.6875</v>
      </c>
      <c r="H3587" s="83">
        <v>0.0625</v>
      </c>
      <c r="I3587" s="84">
        <v>44439.0</v>
      </c>
      <c r="J3587" s="65" t="b">
        <v>1</v>
      </c>
      <c r="K3587" s="65"/>
      <c r="L3587" s="85" t="b">
        <f>IF(VLOOKUP(C3587,Projetos!A:L,12,false)=TRUE,TRUE,FALSE)</f>
        <v>1</v>
      </c>
      <c r="M3587" s="74">
        <v>52.48434411075036</v>
      </c>
      <c r="N3587" s="74">
        <f t="shared" si="1"/>
        <v>78.72651617</v>
      </c>
      <c r="O3587" s="74" t="b">
        <v>1</v>
      </c>
    </row>
    <row r="3588" hidden="1">
      <c r="A3588" s="82"/>
      <c r="B3588" s="65" t="s">
        <v>411</v>
      </c>
      <c r="C3588" s="65" t="s">
        <v>92</v>
      </c>
      <c r="D3588" s="65" t="str">
        <f>vlookup(C3588,'Classificação p pessoal'!F:G,2,false)</f>
        <v/>
      </c>
      <c r="E3588" s="65" t="s">
        <v>2471</v>
      </c>
      <c r="F3588" s="83">
        <v>0.6875</v>
      </c>
      <c r="G3588" s="83">
        <v>0.75</v>
      </c>
      <c r="H3588" s="83">
        <v>0.0625</v>
      </c>
      <c r="I3588" s="84">
        <v>44439.0</v>
      </c>
      <c r="J3588" s="65" t="b">
        <v>1</v>
      </c>
      <c r="K3588" s="65"/>
      <c r="L3588" s="85" t="b">
        <f>IF(VLOOKUP(C3588,Projetos!A:L,12,false)=TRUE,TRUE,FALSE)</f>
        <v>1</v>
      </c>
      <c r="M3588" s="74">
        <v>52.48434411075036</v>
      </c>
      <c r="N3588" s="74">
        <f t="shared" si="1"/>
        <v>78.72651617</v>
      </c>
      <c r="O3588" s="74" t="b">
        <v>1</v>
      </c>
    </row>
    <row r="3589" hidden="1">
      <c r="A3589" s="82"/>
      <c r="B3589" s="65" t="s">
        <v>411</v>
      </c>
      <c r="C3589" s="65" t="s">
        <v>132</v>
      </c>
      <c r="D3589" s="65"/>
      <c r="E3589" s="65" t="s">
        <v>2535</v>
      </c>
      <c r="F3589" s="83">
        <v>0.34375</v>
      </c>
      <c r="G3589" s="83">
        <v>0.3854166666666667</v>
      </c>
      <c r="H3589" s="83">
        <v>0.041666666666666664</v>
      </c>
      <c r="I3589" s="84">
        <v>44440.0</v>
      </c>
      <c r="J3589" s="65" t="b">
        <v>1</v>
      </c>
      <c r="K3589" s="65"/>
      <c r="L3589" s="85" t="b">
        <f>IF(VLOOKUP(C3589,Projetos!A:L,12,false)=TRUE,TRUE,FALSE)</f>
        <v>0</v>
      </c>
      <c r="M3589" s="74">
        <v>52.48434411075036</v>
      </c>
      <c r="N3589" s="74">
        <f t="shared" si="1"/>
        <v>0</v>
      </c>
      <c r="O3589" s="74" t="b">
        <v>0</v>
      </c>
    </row>
    <row r="3590" hidden="1">
      <c r="A3590" s="82"/>
      <c r="B3590" s="65" t="s">
        <v>411</v>
      </c>
      <c r="C3590" s="65" t="s">
        <v>117</v>
      </c>
      <c r="D3590" s="65"/>
      <c r="E3590" s="65" t="s">
        <v>2536</v>
      </c>
      <c r="F3590" s="83">
        <v>0.3854166666666667</v>
      </c>
      <c r="G3590" s="83">
        <v>0.5416666666666666</v>
      </c>
      <c r="H3590" s="83">
        <v>0.15625</v>
      </c>
      <c r="I3590" s="84">
        <v>44440.0</v>
      </c>
      <c r="J3590" s="65" t="b">
        <v>0</v>
      </c>
      <c r="K3590" s="65" t="s">
        <v>150</v>
      </c>
      <c r="L3590" s="85" t="b">
        <f>IF(VLOOKUP(C3590,Projetos!A:L,12,false)=TRUE,TRUE,FALSE)</f>
        <v>1</v>
      </c>
      <c r="M3590" s="74">
        <v>52.48434411075036</v>
      </c>
      <c r="N3590" s="74">
        <f t="shared" si="1"/>
        <v>0</v>
      </c>
      <c r="O3590" s="74" t="b">
        <v>1</v>
      </c>
    </row>
    <row r="3591" hidden="1">
      <c r="A3591" s="82"/>
      <c r="B3591" s="65" t="s">
        <v>411</v>
      </c>
      <c r="C3591" s="65" t="s">
        <v>119</v>
      </c>
      <c r="D3591" s="65"/>
      <c r="E3591" s="65" t="s">
        <v>2537</v>
      </c>
      <c r="F3591" s="83">
        <v>0.5833333333333334</v>
      </c>
      <c r="G3591" s="83">
        <v>0.625</v>
      </c>
      <c r="H3591" s="83">
        <v>0.041666666666666664</v>
      </c>
      <c r="I3591" s="84">
        <v>44440.0</v>
      </c>
      <c r="J3591" s="65" t="b">
        <v>0</v>
      </c>
      <c r="K3591" s="65" t="s">
        <v>150</v>
      </c>
      <c r="L3591" s="85" t="b">
        <f>IF(VLOOKUP(C3591,Projetos!A:L,12,false)=TRUE,TRUE,FALSE)</f>
        <v>1</v>
      </c>
      <c r="M3591" s="74">
        <v>52.48434411075036</v>
      </c>
      <c r="N3591" s="74">
        <f t="shared" si="1"/>
        <v>0</v>
      </c>
      <c r="O3591" s="74" t="b">
        <v>1</v>
      </c>
    </row>
    <row r="3592" hidden="1">
      <c r="A3592" s="82"/>
      <c r="B3592" s="65" t="s">
        <v>411</v>
      </c>
      <c r="C3592" s="65" t="s">
        <v>92</v>
      </c>
      <c r="D3592" s="65" t="str">
        <f>vlookup(C3592,'Classificação p pessoal'!F:G,2,false)</f>
        <v/>
      </c>
      <c r="E3592" s="65" t="s">
        <v>2538</v>
      </c>
      <c r="F3592" s="83">
        <v>0.625</v>
      </c>
      <c r="G3592" s="83">
        <v>0.6666666666666666</v>
      </c>
      <c r="H3592" s="83">
        <v>0.041666666666666664</v>
      </c>
      <c r="I3592" s="84">
        <v>44440.0</v>
      </c>
      <c r="J3592" s="65" t="b">
        <v>1</v>
      </c>
      <c r="K3592" s="65"/>
      <c r="L3592" s="85" t="b">
        <f>IF(VLOOKUP(C3592,Projetos!A:L,12,false)=TRUE,TRUE,FALSE)</f>
        <v>1</v>
      </c>
      <c r="M3592" s="74">
        <v>52.48434411075036</v>
      </c>
      <c r="N3592" s="74">
        <f t="shared" si="1"/>
        <v>52.48434411</v>
      </c>
      <c r="O3592" s="74" t="b">
        <v>1</v>
      </c>
    </row>
    <row r="3593" hidden="1">
      <c r="A3593" s="82"/>
      <c r="B3593" s="65" t="s">
        <v>411</v>
      </c>
      <c r="C3593" s="65" t="s">
        <v>117</v>
      </c>
      <c r="D3593" s="65" t="str">
        <f>vlookup(C3593,'Classificação p pessoal'!F:G,2,false)</f>
        <v>NP</v>
      </c>
      <c r="E3593" s="65" t="s">
        <v>2539</v>
      </c>
      <c r="F3593" s="83">
        <v>0.6666666666666666</v>
      </c>
      <c r="G3593" s="83">
        <v>0.75</v>
      </c>
      <c r="H3593" s="83">
        <v>0.08333333333333333</v>
      </c>
      <c r="I3593" s="84">
        <v>44440.0</v>
      </c>
      <c r="J3593" s="65" t="b">
        <v>1</v>
      </c>
      <c r="K3593" s="65"/>
      <c r="L3593" s="85" t="b">
        <f>IF(VLOOKUP(C3593,Projetos!A:L,12,false)=TRUE,TRUE,FALSE)</f>
        <v>1</v>
      </c>
      <c r="M3593" s="74">
        <v>52.48434411075036</v>
      </c>
      <c r="N3593" s="74">
        <f t="shared" si="1"/>
        <v>104.9686882</v>
      </c>
      <c r="O3593" s="74" t="b">
        <v>1</v>
      </c>
    </row>
    <row r="3594" hidden="1">
      <c r="A3594" s="82"/>
      <c r="B3594" s="65" t="s">
        <v>411</v>
      </c>
      <c r="C3594" s="65" t="s">
        <v>132</v>
      </c>
      <c r="D3594" s="65"/>
      <c r="E3594" s="65" t="s">
        <v>2540</v>
      </c>
      <c r="F3594" s="83">
        <v>0.34375</v>
      </c>
      <c r="G3594" s="83">
        <v>0.4166666666666667</v>
      </c>
      <c r="H3594" s="83">
        <v>0.07291666666666667</v>
      </c>
      <c r="I3594" s="84">
        <v>44441.0</v>
      </c>
      <c r="J3594" s="65" t="b">
        <v>1</v>
      </c>
      <c r="K3594" s="65"/>
      <c r="L3594" s="85" t="b">
        <f>IF(VLOOKUP(C3594,Projetos!A:L,12,false)=TRUE,TRUE,FALSE)</f>
        <v>0</v>
      </c>
      <c r="M3594" s="74">
        <v>52.48434411075036</v>
      </c>
      <c r="N3594" s="74">
        <f t="shared" si="1"/>
        <v>0</v>
      </c>
      <c r="O3594" s="74" t="b">
        <v>0</v>
      </c>
    </row>
    <row r="3595" hidden="1">
      <c r="A3595" s="82"/>
      <c r="B3595" s="65" t="s">
        <v>411</v>
      </c>
      <c r="C3595" s="65" t="s">
        <v>117</v>
      </c>
      <c r="D3595" s="65"/>
      <c r="E3595" s="65" t="s">
        <v>2541</v>
      </c>
      <c r="F3595" s="83">
        <v>0.4166666666666667</v>
      </c>
      <c r="G3595" s="83">
        <v>0.5416666666666666</v>
      </c>
      <c r="H3595" s="83">
        <v>0.125</v>
      </c>
      <c r="I3595" s="84">
        <v>44441.0</v>
      </c>
      <c r="J3595" s="65" t="b">
        <v>0</v>
      </c>
      <c r="K3595" s="65" t="s">
        <v>150</v>
      </c>
      <c r="L3595" s="85" t="b">
        <f>IF(VLOOKUP(C3595,Projetos!A:L,12,false)=TRUE,TRUE,FALSE)</f>
        <v>1</v>
      </c>
      <c r="M3595" s="74">
        <v>52.48434411075036</v>
      </c>
      <c r="N3595" s="74">
        <f t="shared" si="1"/>
        <v>0</v>
      </c>
      <c r="O3595" s="74" t="b">
        <v>1</v>
      </c>
    </row>
    <row r="3596" hidden="1">
      <c r="A3596" s="82"/>
      <c r="B3596" s="65" t="s">
        <v>411</v>
      </c>
      <c r="C3596" s="65" t="s">
        <v>117</v>
      </c>
      <c r="D3596" s="65" t="str">
        <f>vlookup(C3596,'Classificação p pessoal'!F:G,2,false)</f>
        <v>NP</v>
      </c>
      <c r="E3596" s="65" t="s">
        <v>2542</v>
      </c>
      <c r="F3596" s="83">
        <v>0.5833333333333334</v>
      </c>
      <c r="G3596" s="83">
        <v>0.75</v>
      </c>
      <c r="H3596" s="83">
        <v>0.16666666666666666</v>
      </c>
      <c r="I3596" s="84">
        <v>44441.0</v>
      </c>
      <c r="J3596" s="65" t="b">
        <v>1</v>
      </c>
      <c r="K3596" s="65"/>
      <c r="L3596" s="85" t="b">
        <f>IF(VLOOKUP(C3596,Projetos!A:L,12,false)=TRUE,TRUE,FALSE)</f>
        <v>1</v>
      </c>
      <c r="M3596" s="74">
        <v>52.48434411075036</v>
      </c>
      <c r="N3596" s="74">
        <f t="shared" si="1"/>
        <v>209.9373764</v>
      </c>
      <c r="O3596" s="74" t="b">
        <v>1</v>
      </c>
    </row>
    <row r="3597" hidden="1">
      <c r="A3597" s="82"/>
      <c r="B3597" s="65" t="s">
        <v>411</v>
      </c>
      <c r="C3597" s="65" t="s">
        <v>117</v>
      </c>
      <c r="D3597" s="65" t="str">
        <f>vlookup(C3597,'Classificação p pessoal'!F:G,2,false)</f>
        <v>NP</v>
      </c>
      <c r="E3597" s="65" t="s">
        <v>2543</v>
      </c>
      <c r="F3597" s="83">
        <v>0.34375</v>
      </c>
      <c r="G3597" s="83">
        <v>0.375</v>
      </c>
      <c r="H3597" s="83">
        <v>0.03125</v>
      </c>
      <c r="I3597" s="84">
        <v>44442.0</v>
      </c>
      <c r="J3597" s="65" t="b">
        <v>1</v>
      </c>
      <c r="K3597" s="65"/>
      <c r="L3597" s="85" t="b">
        <f>IF(VLOOKUP(C3597,Projetos!A:L,12,false)=TRUE,TRUE,FALSE)</f>
        <v>1</v>
      </c>
      <c r="M3597" s="74">
        <v>52.48434411075036</v>
      </c>
      <c r="N3597" s="74">
        <f t="shared" si="1"/>
        <v>39.36325808</v>
      </c>
      <c r="O3597" s="74" t="b">
        <v>1</v>
      </c>
    </row>
    <row r="3598" hidden="1">
      <c r="A3598" s="82"/>
      <c r="B3598" s="65" t="s">
        <v>411</v>
      </c>
      <c r="C3598" s="65" t="s">
        <v>101</v>
      </c>
      <c r="D3598" s="65" t="str">
        <f>vlookup(C3598,'Classificação p pessoal'!F:G,2,false)</f>
        <v>NP</v>
      </c>
      <c r="E3598" s="65" t="s">
        <v>2544</v>
      </c>
      <c r="F3598" s="83">
        <v>0.375</v>
      </c>
      <c r="G3598" s="83">
        <v>0.4166666666666667</v>
      </c>
      <c r="H3598" s="83">
        <v>0.041666666666666664</v>
      </c>
      <c r="I3598" s="84">
        <v>44442.0</v>
      </c>
      <c r="J3598" s="65" t="b">
        <v>1</v>
      </c>
      <c r="K3598" s="65"/>
      <c r="L3598" s="85" t="b">
        <f>IF(VLOOKUP(C3598,Projetos!A:L,12,false)=TRUE,TRUE,FALSE)</f>
        <v>1</v>
      </c>
      <c r="M3598" s="74">
        <v>52.48434411075036</v>
      </c>
      <c r="N3598" s="74">
        <f t="shared" si="1"/>
        <v>52.48434411</v>
      </c>
      <c r="O3598" s="74" t="b">
        <v>1</v>
      </c>
    </row>
    <row r="3599" hidden="1">
      <c r="A3599" s="82"/>
      <c r="B3599" s="65" t="s">
        <v>411</v>
      </c>
      <c r="C3599" s="65" t="s">
        <v>132</v>
      </c>
      <c r="D3599" s="65"/>
      <c r="E3599" s="65" t="s">
        <v>2545</v>
      </c>
      <c r="F3599" s="83">
        <v>0.4166666666666667</v>
      </c>
      <c r="G3599" s="83">
        <v>0.4375</v>
      </c>
      <c r="H3599" s="83">
        <v>0.020833333333333332</v>
      </c>
      <c r="I3599" s="84">
        <v>44442.0</v>
      </c>
      <c r="J3599" s="65" t="b">
        <v>1</v>
      </c>
      <c r="K3599" s="65"/>
      <c r="L3599" s="85" t="b">
        <f>IF(VLOOKUP(C3599,Projetos!A:L,12,false)=TRUE,TRUE,FALSE)</f>
        <v>0</v>
      </c>
      <c r="M3599" s="74">
        <v>52.48434411075036</v>
      </c>
      <c r="N3599" s="74">
        <f t="shared" si="1"/>
        <v>0</v>
      </c>
      <c r="O3599" s="74" t="b">
        <v>0</v>
      </c>
    </row>
    <row r="3600" hidden="1">
      <c r="A3600" s="82"/>
      <c r="B3600" s="65" t="s">
        <v>411</v>
      </c>
      <c r="C3600" s="65" t="s">
        <v>120</v>
      </c>
      <c r="D3600" s="65"/>
      <c r="E3600" s="65" t="s">
        <v>2546</v>
      </c>
      <c r="F3600" s="83">
        <v>0.4375</v>
      </c>
      <c r="G3600" s="83">
        <v>0.4791666666666667</v>
      </c>
      <c r="H3600" s="83">
        <v>0.041666666666666664</v>
      </c>
      <c r="I3600" s="84">
        <v>44442.0</v>
      </c>
      <c r="J3600" s="65" t="b">
        <v>0</v>
      </c>
      <c r="K3600" s="65"/>
      <c r="L3600" s="85" t="b">
        <f>IF(VLOOKUP(C3600,Projetos!A:L,12,false)=TRUE,TRUE,FALSE)</f>
        <v>0</v>
      </c>
      <c r="M3600" s="74">
        <v>52.48434411075036</v>
      </c>
      <c r="N3600" s="74">
        <f t="shared" si="1"/>
        <v>0</v>
      </c>
      <c r="O3600" s="74" t="b">
        <v>0</v>
      </c>
    </row>
    <row r="3601" hidden="1">
      <c r="A3601" s="82"/>
      <c r="B3601" s="65" t="s">
        <v>411</v>
      </c>
      <c r="C3601" s="65" t="s">
        <v>117</v>
      </c>
      <c r="D3601" s="65" t="str">
        <f>vlookup(C3601,'Classificação p pessoal'!F:G,2,false)</f>
        <v>NP</v>
      </c>
      <c r="E3601" s="65" t="s">
        <v>2547</v>
      </c>
      <c r="F3601" s="83">
        <v>0.4791666666666667</v>
      </c>
      <c r="G3601" s="83">
        <v>0.5208333333333334</v>
      </c>
      <c r="H3601" s="83">
        <v>0.041666666666666664</v>
      </c>
      <c r="I3601" s="84">
        <v>44442.0</v>
      </c>
      <c r="J3601" s="65" t="b">
        <v>1</v>
      </c>
      <c r="K3601" s="65"/>
      <c r="L3601" s="85" t="b">
        <f>IF(VLOOKUP(C3601,Projetos!A:L,12,false)=TRUE,TRUE,FALSE)</f>
        <v>1</v>
      </c>
      <c r="M3601" s="74">
        <v>52.48434411075036</v>
      </c>
      <c r="N3601" s="74">
        <f t="shared" si="1"/>
        <v>52.48434411</v>
      </c>
      <c r="O3601" s="74" t="b">
        <v>1</v>
      </c>
    </row>
    <row r="3602" hidden="1">
      <c r="A3602" s="82"/>
      <c r="B3602" s="65" t="s">
        <v>411</v>
      </c>
      <c r="C3602" s="65" t="s">
        <v>117</v>
      </c>
      <c r="D3602" s="65" t="str">
        <f>vlookup(C3602,'Classificação p pessoal'!F:G,2,false)</f>
        <v>NP</v>
      </c>
      <c r="E3602" s="65" t="s">
        <v>2548</v>
      </c>
      <c r="F3602" s="83">
        <v>0.5625</v>
      </c>
      <c r="G3602" s="83">
        <v>0.75</v>
      </c>
      <c r="H3602" s="83">
        <v>0.1875</v>
      </c>
      <c r="I3602" s="84">
        <v>44442.0</v>
      </c>
      <c r="J3602" s="65" t="b">
        <v>1</v>
      </c>
      <c r="K3602" s="65"/>
      <c r="L3602" s="85" t="b">
        <f>IF(VLOOKUP(C3602,Projetos!A:L,12,false)=TRUE,TRUE,FALSE)</f>
        <v>1</v>
      </c>
      <c r="M3602" s="74">
        <v>52.48434411075036</v>
      </c>
      <c r="N3602" s="74">
        <f t="shared" si="1"/>
        <v>236.1795485</v>
      </c>
      <c r="O3602" s="74" t="b">
        <v>1</v>
      </c>
    </row>
    <row r="3603" hidden="1">
      <c r="A3603" s="82"/>
      <c r="B3603" s="65" t="s">
        <v>411</v>
      </c>
      <c r="C3603" s="65" t="s">
        <v>92</v>
      </c>
      <c r="D3603" s="65" t="str">
        <f>vlookup(C3603,'Classificação p pessoal'!F:G,2,false)</f>
        <v/>
      </c>
      <c r="E3603" s="65" t="s">
        <v>2549</v>
      </c>
      <c r="F3603" s="83">
        <v>0.34375</v>
      </c>
      <c r="G3603" s="83">
        <v>0.3645833333333333</v>
      </c>
      <c r="H3603" s="83">
        <v>0.020833333333333332</v>
      </c>
      <c r="I3603" s="84">
        <v>44445.0</v>
      </c>
      <c r="J3603" s="65" t="b">
        <v>1</v>
      </c>
      <c r="K3603" s="65"/>
      <c r="L3603" s="85" t="b">
        <f>IF(VLOOKUP(C3603,Projetos!A:L,12,false)=TRUE,TRUE,FALSE)</f>
        <v>1</v>
      </c>
      <c r="M3603" s="74">
        <v>52.48434411075036</v>
      </c>
      <c r="N3603" s="74">
        <f t="shared" si="1"/>
        <v>26.24217206</v>
      </c>
      <c r="O3603" s="74" t="b">
        <v>1</v>
      </c>
    </row>
    <row r="3604" hidden="1">
      <c r="A3604" s="82"/>
      <c r="B3604" s="65" t="s">
        <v>411</v>
      </c>
      <c r="C3604" s="65" t="s">
        <v>114</v>
      </c>
      <c r="D3604" s="65" t="str">
        <f>vlookup(C3604,'Classificação p pessoal'!F:G,2,false)</f>
        <v>NP</v>
      </c>
      <c r="E3604" s="65" t="s">
        <v>2550</v>
      </c>
      <c r="F3604" s="83">
        <v>0.3645833333333333</v>
      </c>
      <c r="G3604" s="83">
        <v>0.6041666666666666</v>
      </c>
      <c r="H3604" s="83">
        <v>0.23958333333333334</v>
      </c>
      <c r="I3604" s="84">
        <v>44445.0</v>
      </c>
      <c r="J3604" s="65" t="b">
        <v>1</v>
      </c>
      <c r="K3604" s="65"/>
      <c r="L3604" s="85" t="b">
        <f>IF(VLOOKUP(C3604,Projetos!A:L,12,false)=TRUE,TRUE,FALSE)</f>
        <v>1</v>
      </c>
      <c r="M3604" s="74">
        <v>52.48434411075036</v>
      </c>
      <c r="N3604" s="74">
        <f t="shared" si="1"/>
        <v>301.7849786</v>
      </c>
      <c r="O3604" s="74" t="b">
        <v>1</v>
      </c>
    </row>
    <row r="3605" hidden="1">
      <c r="A3605" s="82"/>
      <c r="B3605" s="65" t="s">
        <v>411</v>
      </c>
      <c r="C3605" s="65" t="s">
        <v>92</v>
      </c>
      <c r="D3605" s="65" t="str">
        <f>vlookup(C3605,'Classificação p pessoal'!F:G,2,false)</f>
        <v/>
      </c>
      <c r="E3605" s="65" t="s">
        <v>2551</v>
      </c>
      <c r="F3605" s="83">
        <v>0.6458333333333334</v>
      </c>
      <c r="G3605" s="83">
        <v>0.6875</v>
      </c>
      <c r="H3605" s="83">
        <v>0.041666666666666664</v>
      </c>
      <c r="I3605" s="84">
        <v>44445.0</v>
      </c>
      <c r="J3605" s="65" t="b">
        <v>1</v>
      </c>
      <c r="K3605" s="65"/>
      <c r="L3605" s="85" t="b">
        <f>IF(VLOOKUP(C3605,Projetos!A:L,12,false)=TRUE,TRUE,FALSE)</f>
        <v>1</v>
      </c>
      <c r="M3605" s="74">
        <v>52.48434411075036</v>
      </c>
      <c r="N3605" s="74">
        <f t="shared" si="1"/>
        <v>52.48434411</v>
      </c>
      <c r="O3605" s="74" t="b">
        <v>1</v>
      </c>
    </row>
    <row r="3606" hidden="1">
      <c r="A3606" s="82"/>
      <c r="B3606" s="65" t="s">
        <v>411</v>
      </c>
      <c r="C3606" s="65" t="s">
        <v>117</v>
      </c>
      <c r="D3606" s="65" t="str">
        <f>vlookup(C3606,'Classificação p pessoal'!F:G,2,false)</f>
        <v>NP</v>
      </c>
      <c r="E3606" s="65" t="s">
        <v>2552</v>
      </c>
      <c r="F3606" s="83">
        <v>0.6875</v>
      </c>
      <c r="G3606" s="83">
        <v>0.75</v>
      </c>
      <c r="H3606" s="83">
        <v>0.0625</v>
      </c>
      <c r="I3606" s="84">
        <v>44445.0</v>
      </c>
      <c r="J3606" s="65" t="b">
        <v>1</v>
      </c>
      <c r="K3606" s="65"/>
      <c r="L3606" s="85" t="b">
        <f>IF(VLOOKUP(C3606,Projetos!A:L,12,false)=TRUE,TRUE,FALSE)</f>
        <v>1</v>
      </c>
      <c r="M3606" s="74">
        <v>52.48434411075036</v>
      </c>
      <c r="N3606" s="74">
        <f t="shared" si="1"/>
        <v>78.72651617</v>
      </c>
      <c r="O3606" s="74" t="b">
        <v>1</v>
      </c>
    </row>
    <row r="3607" hidden="1">
      <c r="A3607" s="82"/>
      <c r="B3607" s="65" t="s">
        <v>411</v>
      </c>
      <c r="C3607" s="65" t="s">
        <v>132</v>
      </c>
      <c r="D3607" s="65"/>
      <c r="E3607" s="65" t="s">
        <v>2553</v>
      </c>
      <c r="F3607" s="83">
        <v>0.34375</v>
      </c>
      <c r="G3607" s="83">
        <v>0.3958333333333333</v>
      </c>
      <c r="H3607" s="83">
        <v>0.052083333333333336</v>
      </c>
      <c r="I3607" s="84">
        <v>44448.0</v>
      </c>
      <c r="J3607" s="65" t="b">
        <v>0</v>
      </c>
      <c r="K3607" s="65" t="s">
        <v>150</v>
      </c>
      <c r="L3607" s="85" t="b">
        <f>IF(VLOOKUP(C3607,Projetos!A:L,12,false)=TRUE,TRUE,FALSE)</f>
        <v>0</v>
      </c>
      <c r="M3607" s="74">
        <v>52.48434411075036</v>
      </c>
      <c r="N3607" s="74">
        <f t="shared" si="1"/>
        <v>0</v>
      </c>
      <c r="O3607" s="74" t="b">
        <v>0</v>
      </c>
    </row>
    <row r="3608" hidden="1">
      <c r="A3608" s="82"/>
      <c r="B3608" s="65" t="s">
        <v>411</v>
      </c>
      <c r="C3608" s="65" t="s">
        <v>119</v>
      </c>
      <c r="D3608" s="65" t="str">
        <f>vlookup(C3608,'Classificação p pessoal'!F:G,2,false)</f>
        <v>NP</v>
      </c>
      <c r="E3608" s="65" t="s">
        <v>2554</v>
      </c>
      <c r="F3608" s="83">
        <v>0.3958333333333333</v>
      </c>
      <c r="G3608" s="83">
        <v>0.4791666666666667</v>
      </c>
      <c r="H3608" s="83">
        <v>0.08333333333333333</v>
      </c>
      <c r="I3608" s="84">
        <v>44448.0</v>
      </c>
      <c r="J3608" s="65" t="b">
        <v>1</v>
      </c>
      <c r="K3608" s="65"/>
      <c r="L3608" s="85" t="b">
        <f>IF(VLOOKUP(C3608,Projetos!A:L,12,false)=TRUE,TRUE,FALSE)</f>
        <v>1</v>
      </c>
      <c r="M3608" s="74">
        <v>52.48434411075036</v>
      </c>
      <c r="N3608" s="74">
        <f t="shared" si="1"/>
        <v>104.9686882</v>
      </c>
      <c r="O3608" s="74" t="b">
        <v>1</v>
      </c>
    </row>
    <row r="3609" hidden="1">
      <c r="A3609" s="82"/>
      <c r="B3609" s="65" t="s">
        <v>411</v>
      </c>
      <c r="C3609" s="65" t="s">
        <v>117</v>
      </c>
      <c r="D3609" s="65" t="str">
        <f>vlookup(C3609,'Classificação p pessoal'!F:G,2,false)</f>
        <v>NP</v>
      </c>
      <c r="E3609" s="65" t="s">
        <v>2555</v>
      </c>
      <c r="F3609" s="83">
        <v>0.4791666666666667</v>
      </c>
      <c r="G3609" s="83">
        <v>0.5208333333333334</v>
      </c>
      <c r="H3609" s="83">
        <v>0.041666666666666664</v>
      </c>
      <c r="I3609" s="84">
        <v>44448.0</v>
      </c>
      <c r="J3609" s="65" t="b">
        <v>1</v>
      </c>
      <c r="K3609" s="65"/>
      <c r="L3609" s="85" t="b">
        <f>IF(VLOOKUP(C3609,Projetos!A:L,12,false)=TRUE,TRUE,FALSE)</f>
        <v>1</v>
      </c>
      <c r="M3609" s="74">
        <v>52.48434411075036</v>
      </c>
      <c r="N3609" s="74">
        <f t="shared" si="1"/>
        <v>52.48434411</v>
      </c>
      <c r="O3609" s="74" t="b">
        <v>1</v>
      </c>
    </row>
    <row r="3610" hidden="1">
      <c r="A3610" s="82"/>
      <c r="B3610" s="65" t="s">
        <v>411</v>
      </c>
      <c r="C3610" s="65" t="s">
        <v>130</v>
      </c>
      <c r="D3610" s="65" t="str">
        <f>vlookup(C3610,'Classificação p pessoal'!F:G,2,false)</f>
        <v>NP</v>
      </c>
      <c r="E3610" s="65" t="s">
        <v>2556</v>
      </c>
      <c r="F3610" s="83">
        <v>0.5208333333333334</v>
      </c>
      <c r="G3610" s="83">
        <v>0.5833333333333334</v>
      </c>
      <c r="H3610" s="83">
        <v>0.0625</v>
      </c>
      <c r="I3610" s="84">
        <v>44448.0</v>
      </c>
      <c r="J3610" s="65" t="b">
        <v>1</v>
      </c>
      <c r="K3610" s="65"/>
      <c r="L3610" s="85" t="b">
        <f>IF(VLOOKUP(C3610,Projetos!A:L,12,false)=TRUE,TRUE,FALSE)</f>
        <v>1</v>
      </c>
      <c r="M3610" s="74">
        <v>52.48434411075036</v>
      </c>
      <c r="N3610" s="74">
        <f t="shared" si="1"/>
        <v>78.72651617</v>
      </c>
      <c r="O3610" s="74" t="b">
        <v>1</v>
      </c>
    </row>
    <row r="3611" hidden="1">
      <c r="A3611" s="82"/>
      <c r="B3611" s="65" t="s">
        <v>177</v>
      </c>
      <c r="C3611" s="65" t="s">
        <v>101</v>
      </c>
      <c r="D3611" s="65" t="str">
        <f>vlookup(C3611,'Classificação p pessoal'!F:G,2,false)</f>
        <v>NP</v>
      </c>
      <c r="E3611" s="65" t="s">
        <v>2557</v>
      </c>
      <c r="F3611" s="83">
        <v>0.6041666666666666</v>
      </c>
      <c r="G3611" s="83">
        <v>0.625</v>
      </c>
      <c r="H3611" s="83">
        <v>0.020833333333333332</v>
      </c>
      <c r="I3611" s="84">
        <v>44518.0</v>
      </c>
      <c r="J3611" s="65" t="b">
        <v>1</v>
      </c>
      <c r="K3611" s="65"/>
      <c r="L3611" s="85" t="b">
        <f>IF(VLOOKUP(C3611,Projetos!A:L,12,false)=TRUE,TRUE,FALSE)</f>
        <v>1</v>
      </c>
      <c r="M3611" s="74">
        <v>31.02923620430495</v>
      </c>
      <c r="N3611" s="74">
        <f t="shared" si="1"/>
        <v>15.5146181</v>
      </c>
      <c r="O3611" s="74" t="b">
        <v>1</v>
      </c>
    </row>
    <row r="3612" hidden="1">
      <c r="A3612" s="82"/>
      <c r="B3612" s="65" t="s">
        <v>411</v>
      </c>
      <c r="C3612" s="65" t="s">
        <v>92</v>
      </c>
      <c r="D3612" s="65" t="str">
        <f>vlookup(C3612,'Classificação p pessoal'!F:G,2,false)</f>
        <v/>
      </c>
      <c r="E3612" s="65" t="s">
        <v>2558</v>
      </c>
      <c r="F3612" s="83">
        <v>0.6458333333333334</v>
      </c>
      <c r="G3612" s="83">
        <v>0.6875</v>
      </c>
      <c r="H3612" s="83">
        <v>0.041666666666666664</v>
      </c>
      <c r="I3612" s="84">
        <v>44448.0</v>
      </c>
      <c r="J3612" s="65" t="b">
        <v>1</v>
      </c>
      <c r="K3612" s="65"/>
      <c r="L3612" s="85" t="b">
        <f>IF(VLOOKUP(C3612,Projetos!A:L,12,false)=TRUE,TRUE,FALSE)</f>
        <v>1</v>
      </c>
      <c r="M3612" s="74">
        <v>52.48434411075036</v>
      </c>
      <c r="N3612" s="74">
        <f t="shared" si="1"/>
        <v>52.48434411</v>
      </c>
      <c r="O3612" s="74" t="b">
        <v>1</v>
      </c>
    </row>
    <row r="3613" hidden="1">
      <c r="A3613" s="82"/>
      <c r="B3613" s="65" t="s">
        <v>411</v>
      </c>
      <c r="C3613" s="65" t="s">
        <v>117</v>
      </c>
      <c r="D3613" s="65" t="str">
        <f>vlookup(C3613,'Classificação p pessoal'!F:G,2,false)</f>
        <v>NP</v>
      </c>
      <c r="E3613" s="65" t="s">
        <v>2559</v>
      </c>
      <c r="F3613" s="83">
        <v>0.7083333333333334</v>
      </c>
      <c r="G3613" s="83">
        <v>0.75</v>
      </c>
      <c r="H3613" s="83">
        <v>0.041666666666666664</v>
      </c>
      <c r="I3613" s="84">
        <v>44405.0</v>
      </c>
      <c r="J3613" s="65" t="b">
        <v>1</v>
      </c>
      <c r="K3613" s="65"/>
      <c r="L3613" s="85" t="b">
        <f>IF(VLOOKUP(C3613,Projetos!A:L,12,false)=TRUE,TRUE,FALSE)</f>
        <v>1</v>
      </c>
      <c r="M3613" s="74">
        <v>52.48434411075036</v>
      </c>
      <c r="N3613" s="74">
        <f t="shared" si="1"/>
        <v>52.48434411</v>
      </c>
      <c r="O3613" s="74" t="b">
        <v>1</v>
      </c>
    </row>
    <row r="3614" hidden="1">
      <c r="A3614" s="82"/>
      <c r="B3614" s="65" t="s">
        <v>411</v>
      </c>
      <c r="C3614" s="65" t="s">
        <v>92</v>
      </c>
      <c r="D3614" s="65" t="str">
        <f>vlookup(C3614,'Classificação p pessoal'!F:G,2,false)</f>
        <v/>
      </c>
      <c r="E3614" s="65" t="s">
        <v>2560</v>
      </c>
      <c r="F3614" s="83">
        <v>0.4375</v>
      </c>
      <c r="G3614" s="83">
        <v>0.4791666666666667</v>
      </c>
      <c r="H3614" s="83">
        <v>0.041666666666666664</v>
      </c>
      <c r="I3614" s="84">
        <v>44281.0</v>
      </c>
      <c r="J3614" s="65" t="b">
        <v>1</v>
      </c>
      <c r="K3614" s="65"/>
      <c r="L3614" s="85" t="b">
        <f>IF(VLOOKUP(C3614,Projetos!A:L,12,false)=TRUE,TRUE,FALSE)</f>
        <v>1</v>
      </c>
      <c r="M3614" s="74">
        <v>52.48434411075036</v>
      </c>
      <c r="N3614" s="74">
        <f t="shared" si="1"/>
        <v>52.48434411</v>
      </c>
      <c r="O3614" s="74" t="b">
        <v>1</v>
      </c>
    </row>
    <row r="3615" hidden="1">
      <c r="A3615" s="82"/>
      <c r="B3615" s="65" t="s">
        <v>411</v>
      </c>
      <c r="C3615" s="65" t="s">
        <v>92</v>
      </c>
      <c r="D3615" s="65" t="str">
        <f>vlookup(C3615,'Classificação p pessoal'!F:G,2,false)</f>
        <v/>
      </c>
      <c r="E3615" s="65" t="s">
        <v>2561</v>
      </c>
      <c r="F3615" s="83">
        <v>0.34375</v>
      </c>
      <c r="G3615" s="83">
        <v>0.4375</v>
      </c>
      <c r="H3615" s="83">
        <v>0.09375</v>
      </c>
      <c r="I3615" s="84">
        <v>44449.0</v>
      </c>
      <c r="J3615" s="65" t="b">
        <v>1</v>
      </c>
      <c r="K3615" s="65"/>
      <c r="L3615" s="85" t="b">
        <f>IF(VLOOKUP(C3615,Projetos!A:L,12,false)=TRUE,TRUE,FALSE)</f>
        <v>1</v>
      </c>
      <c r="M3615" s="74">
        <v>52.48434411075036</v>
      </c>
      <c r="N3615" s="74">
        <f t="shared" si="1"/>
        <v>118.0897742</v>
      </c>
      <c r="O3615" s="74" t="b">
        <v>1</v>
      </c>
    </row>
    <row r="3616" hidden="1">
      <c r="A3616" s="82"/>
      <c r="B3616" s="65" t="s">
        <v>411</v>
      </c>
      <c r="C3616" s="65" t="s">
        <v>117</v>
      </c>
      <c r="D3616" s="65" t="str">
        <f>vlookup(C3616,'Classificação p pessoal'!F:G,2,false)</f>
        <v>NP</v>
      </c>
      <c r="E3616" s="65" t="s">
        <v>2562</v>
      </c>
      <c r="F3616" s="83">
        <v>0.4375</v>
      </c>
      <c r="G3616" s="83">
        <v>0.5208333333333334</v>
      </c>
      <c r="H3616" s="83">
        <v>0.08333333333333333</v>
      </c>
      <c r="I3616" s="84">
        <v>44449.0</v>
      </c>
      <c r="J3616" s="65" t="b">
        <v>1</v>
      </c>
      <c r="K3616" s="65"/>
      <c r="L3616" s="85" t="b">
        <f>IF(VLOOKUP(C3616,Projetos!A:L,12,false)=TRUE,TRUE,FALSE)</f>
        <v>1</v>
      </c>
      <c r="M3616" s="74">
        <v>52.48434411075036</v>
      </c>
      <c r="N3616" s="74">
        <f t="shared" si="1"/>
        <v>104.9686882</v>
      </c>
      <c r="O3616" s="74" t="b">
        <v>1</v>
      </c>
    </row>
    <row r="3617" hidden="1">
      <c r="A3617" s="82"/>
      <c r="B3617" s="65" t="s">
        <v>411</v>
      </c>
      <c r="C3617" s="65" t="s">
        <v>117</v>
      </c>
      <c r="D3617" s="65" t="str">
        <f>vlookup(C3617,'Classificação p pessoal'!F:G,2,false)</f>
        <v>NP</v>
      </c>
      <c r="E3617" s="65" t="s">
        <v>2563</v>
      </c>
      <c r="F3617" s="83">
        <v>0.5625</v>
      </c>
      <c r="G3617" s="83">
        <v>0.75</v>
      </c>
      <c r="H3617" s="83">
        <v>0.1875</v>
      </c>
      <c r="I3617" s="84">
        <v>44449.0</v>
      </c>
      <c r="J3617" s="65" t="b">
        <v>1</v>
      </c>
      <c r="K3617" s="65"/>
      <c r="L3617" s="85" t="b">
        <f>IF(VLOOKUP(C3617,Projetos!A:L,12,false)=TRUE,TRUE,FALSE)</f>
        <v>1</v>
      </c>
      <c r="M3617" s="74">
        <v>52.48434411075036</v>
      </c>
      <c r="N3617" s="74">
        <f t="shared" si="1"/>
        <v>236.1795485</v>
      </c>
      <c r="O3617" s="74" t="b">
        <v>1</v>
      </c>
    </row>
    <row r="3618" hidden="1">
      <c r="A3618" s="82"/>
      <c r="B3618" s="65" t="s">
        <v>411</v>
      </c>
      <c r="C3618" s="65" t="s">
        <v>117</v>
      </c>
      <c r="D3618" s="65" t="str">
        <f>vlookup(C3618,'Classificação p pessoal'!F:G,2,false)</f>
        <v>NP</v>
      </c>
      <c r="E3618" s="65" t="s">
        <v>2564</v>
      </c>
      <c r="F3618" s="83">
        <v>0.34375</v>
      </c>
      <c r="G3618" s="83">
        <v>0.5833333333333334</v>
      </c>
      <c r="H3618" s="83">
        <v>0.23958333333333334</v>
      </c>
      <c r="I3618" s="84">
        <v>44452.0</v>
      </c>
      <c r="J3618" s="65" t="b">
        <v>1</v>
      </c>
      <c r="K3618" s="65"/>
      <c r="L3618" s="85" t="b">
        <f>IF(VLOOKUP(C3618,Projetos!A:L,12,false)=TRUE,TRUE,FALSE)</f>
        <v>1</v>
      </c>
      <c r="M3618" s="74">
        <v>52.48434411075036</v>
      </c>
      <c r="N3618" s="74">
        <f t="shared" si="1"/>
        <v>301.7849786</v>
      </c>
      <c r="O3618" s="74" t="b">
        <v>1</v>
      </c>
    </row>
    <row r="3619" hidden="1">
      <c r="A3619" s="82"/>
      <c r="B3619" s="65" t="s">
        <v>411</v>
      </c>
      <c r="C3619" s="65" t="s">
        <v>92</v>
      </c>
      <c r="D3619" s="65" t="str">
        <f>vlookup(C3619,'Classificação p pessoal'!F:G,2,false)</f>
        <v/>
      </c>
      <c r="E3619" s="65" t="s">
        <v>2565</v>
      </c>
      <c r="F3619" s="83">
        <v>0.625</v>
      </c>
      <c r="G3619" s="83">
        <v>0.6666666666666666</v>
      </c>
      <c r="H3619" s="83">
        <v>0.041666666666666664</v>
      </c>
      <c r="I3619" s="84">
        <v>44452.0</v>
      </c>
      <c r="J3619" s="65" t="b">
        <v>1</v>
      </c>
      <c r="K3619" s="65"/>
      <c r="L3619" s="85" t="b">
        <f>IF(VLOOKUP(C3619,Projetos!A:L,12,false)=TRUE,TRUE,FALSE)</f>
        <v>1</v>
      </c>
      <c r="M3619" s="74">
        <v>52.48434411075036</v>
      </c>
      <c r="N3619" s="74">
        <f t="shared" si="1"/>
        <v>52.48434411</v>
      </c>
      <c r="O3619" s="74" t="b">
        <v>1</v>
      </c>
    </row>
    <row r="3620" hidden="1">
      <c r="A3620" s="82"/>
      <c r="B3620" s="65" t="s">
        <v>411</v>
      </c>
      <c r="C3620" s="65" t="s">
        <v>117</v>
      </c>
      <c r="D3620" s="65" t="str">
        <f>vlookup(C3620,'Classificação p pessoal'!F:G,2,false)</f>
        <v>NP</v>
      </c>
      <c r="E3620" s="65" t="s">
        <v>2566</v>
      </c>
      <c r="F3620" s="83">
        <v>0.6666666666666666</v>
      </c>
      <c r="G3620" s="83">
        <v>0.7291666666666666</v>
      </c>
      <c r="H3620" s="83">
        <v>0.0625</v>
      </c>
      <c r="I3620" s="84">
        <v>44452.0</v>
      </c>
      <c r="J3620" s="65" t="b">
        <v>1</v>
      </c>
      <c r="K3620" s="65"/>
      <c r="L3620" s="85" t="b">
        <f>IF(VLOOKUP(C3620,Projetos!A:L,12,false)=TRUE,TRUE,FALSE)</f>
        <v>1</v>
      </c>
      <c r="M3620" s="74">
        <v>52.48434411075036</v>
      </c>
      <c r="N3620" s="74">
        <f t="shared" si="1"/>
        <v>78.72651617</v>
      </c>
      <c r="O3620" s="74" t="b">
        <v>1</v>
      </c>
    </row>
    <row r="3621" hidden="1">
      <c r="A3621" s="82"/>
      <c r="B3621" s="65" t="s">
        <v>411</v>
      </c>
      <c r="C3621" s="65" t="s">
        <v>118</v>
      </c>
      <c r="D3621" s="65" t="str">
        <f>vlookup(C3621,'Classificação p pessoal'!F:G,2,false)</f>
        <v>MProduto</v>
      </c>
      <c r="E3621" s="65" t="s">
        <v>2567</v>
      </c>
      <c r="F3621" s="83">
        <v>0.7291666666666666</v>
      </c>
      <c r="G3621" s="83">
        <v>0.75</v>
      </c>
      <c r="H3621" s="83">
        <v>0.020833333333333332</v>
      </c>
      <c r="I3621" s="84">
        <v>44452.0</v>
      </c>
      <c r="J3621" s="65" t="b">
        <v>1</v>
      </c>
      <c r="K3621" s="65"/>
      <c r="L3621" s="85" t="b">
        <f>IF(VLOOKUP(C3621,Projetos!A:L,12,false)=TRUE,TRUE,FALSE)</f>
        <v>1</v>
      </c>
      <c r="M3621" s="74">
        <v>52.48434411075036</v>
      </c>
      <c r="N3621" s="74">
        <f t="shared" si="1"/>
        <v>26.24217206</v>
      </c>
      <c r="O3621" s="74" t="b">
        <v>1</v>
      </c>
    </row>
    <row r="3622" hidden="1">
      <c r="A3622" s="82"/>
      <c r="B3622" s="65" t="s">
        <v>411</v>
      </c>
      <c r="C3622" s="65" t="s">
        <v>118</v>
      </c>
      <c r="D3622" s="65" t="str">
        <f>vlookup(C3622,'Classificação p pessoal'!F:G,2,false)</f>
        <v>MProduto</v>
      </c>
      <c r="E3622" s="65" t="s">
        <v>2567</v>
      </c>
      <c r="F3622" s="83">
        <v>0.34375</v>
      </c>
      <c r="G3622" s="83">
        <v>0.3541666666666667</v>
      </c>
      <c r="H3622" s="83">
        <v>0.010416666666666666</v>
      </c>
      <c r="I3622" s="84">
        <v>44453.0</v>
      </c>
      <c r="J3622" s="65" t="b">
        <v>1</v>
      </c>
      <c r="K3622" s="65"/>
      <c r="L3622" s="85" t="b">
        <f>IF(VLOOKUP(C3622,Projetos!A:L,12,false)=TRUE,TRUE,FALSE)</f>
        <v>1</v>
      </c>
      <c r="M3622" s="74">
        <v>52.48434411075036</v>
      </c>
      <c r="N3622" s="74">
        <f t="shared" si="1"/>
        <v>13.12108603</v>
      </c>
      <c r="O3622" s="74" t="b">
        <v>1</v>
      </c>
    </row>
    <row r="3623" hidden="1">
      <c r="A3623" s="82"/>
      <c r="B3623" s="65" t="s">
        <v>411</v>
      </c>
      <c r="C3623" s="65" t="s">
        <v>152</v>
      </c>
      <c r="D3623" s="65" t="str">
        <f>vlookup(C3623,'Classificação p pessoal'!F:G,2,false)</f>
        <v>MProduto</v>
      </c>
      <c r="E3623" s="65" t="s">
        <v>2568</v>
      </c>
      <c r="F3623" s="83">
        <v>0.3541666666666667</v>
      </c>
      <c r="G3623" s="83">
        <v>0.3958333333333333</v>
      </c>
      <c r="H3623" s="83">
        <v>0.041666666666666664</v>
      </c>
      <c r="I3623" s="84">
        <v>44453.0</v>
      </c>
      <c r="J3623" s="65" t="b">
        <v>1</v>
      </c>
      <c r="K3623" s="65"/>
      <c r="L3623" s="85" t="b">
        <f>IF(VLOOKUP(C3623,Projetos!A:L,12,false)=TRUE,TRUE,FALSE)</f>
        <v>1</v>
      </c>
      <c r="M3623" s="74">
        <v>52.48434411075036</v>
      </c>
      <c r="N3623" s="74">
        <f t="shared" si="1"/>
        <v>52.48434411</v>
      </c>
      <c r="O3623" s="74" t="b">
        <v>1</v>
      </c>
    </row>
    <row r="3624" hidden="1">
      <c r="A3624" s="82"/>
      <c r="B3624" s="65" t="s">
        <v>411</v>
      </c>
      <c r="C3624" s="65" t="s">
        <v>117</v>
      </c>
      <c r="D3624" s="65" t="str">
        <f>vlookup(C3624,'Classificação p pessoal'!F:G,2,false)</f>
        <v>NP</v>
      </c>
      <c r="E3624" s="65" t="s">
        <v>2569</v>
      </c>
      <c r="F3624" s="83">
        <v>0.3958333333333333</v>
      </c>
      <c r="G3624" s="83">
        <v>0.4583333333333333</v>
      </c>
      <c r="H3624" s="83">
        <v>0.0625</v>
      </c>
      <c r="I3624" s="84">
        <v>44453.0</v>
      </c>
      <c r="J3624" s="65" t="b">
        <v>1</v>
      </c>
      <c r="K3624" s="65"/>
      <c r="L3624" s="85" t="b">
        <f>IF(VLOOKUP(C3624,Projetos!A:L,12,false)=TRUE,TRUE,FALSE)</f>
        <v>1</v>
      </c>
      <c r="M3624" s="74">
        <v>52.48434411075036</v>
      </c>
      <c r="N3624" s="74">
        <f t="shared" si="1"/>
        <v>78.72651617</v>
      </c>
      <c r="O3624" s="74" t="b">
        <v>1</v>
      </c>
    </row>
    <row r="3625" hidden="1">
      <c r="A3625" s="82"/>
      <c r="B3625" s="65" t="s">
        <v>411</v>
      </c>
      <c r="C3625" s="65" t="s">
        <v>108</v>
      </c>
      <c r="D3625" s="65" t="str">
        <f>vlookup(C3625,'Classificação p pessoal'!F:G,2,false)</f>
        <v>NP</v>
      </c>
      <c r="E3625" s="65" t="s">
        <v>2570</v>
      </c>
      <c r="F3625" s="83">
        <v>0.4583333333333333</v>
      </c>
      <c r="G3625" s="83">
        <v>0.5</v>
      </c>
      <c r="H3625" s="83">
        <v>0.041666666666666664</v>
      </c>
      <c r="I3625" s="84">
        <v>44453.0</v>
      </c>
      <c r="J3625" s="65" t="b">
        <v>1</v>
      </c>
      <c r="K3625" s="65"/>
      <c r="L3625" s="85" t="b">
        <f>IF(VLOOKUP(C3625,Projetos!A:L,12,false)=TRUE,TRUE,FALSE)</f>
        <v>1</v>
      </c>
      <c r="M3625" s="74">
        <v>52.48434411075036</v>
      </c>
      <c r="N3625" s="74">
        <f t="shared" si="1"/>
        <v>52.48434411</v>
      </c>
      <c r="O3625" s="74" t="b">
        <v>1</v>
      </c>
    </row>
    <row r="3626" hidden="1">
      <c r="A3626" s="82"/>
      <c r="B3626" s="65" t="s">
        <v>411</v>
      </c>
      <c r="C3626" s="65" t="s">
        <v>132</v>
      </c>
      <c r="D3626" s="65"/>
      <c r="E3626" s="65" t="s">
        <v>2571</v>
      </c>
      <c r="F3626" s="83">
        <v>0.5416666666666666</v>
      </c>
      <c r="G3626" s="83">
        <v>0.5833333333333334</v>
      </c>
      <c r="H3626" s="83">
        <v>0.041666666666666664</v>
      </c>
      <c r="I3626" s="84">
        <v>44453.0</v>
      </c>
      <c r="J3626" s="65" t="b">
        <v>1</v>
      </c>
      <c r="K3626" s="65"/>
      <c r="L3626" s="85" t="b">
        <f>IF(VLOOKUP(C3626,Projetos!A:L,12,false)=TRUE,TRUE,FALSE)</f>
        <v>0</v>
      </c>
      <c r="M3626" s="74">
        <v>52.48434411075036</v>
      </c>
      <c r="N3626" s="74">
        <f t="shared" si="1"/>
        <v>0</v>
      </c>
      <c r="O3626" s="74" t="b">
        <v>0</v>
      </c>
    </row>
    <row r="3627" hidden="1">
      <c r="A3627" s="82"/>
      <c r="B3627" s="65" t="s">
        <v>411</v>
      </c>
      <c r="C3627" s="65" t="s">
        <v>117</v>
      </c>
      <c r="D3627" s="65" t="str">
        <f>vlookup(C3627,'Classificação p pessoal'!F:G,2,false)</f>
        <v>NP</v>
      </c>
      <c r="E3627" s="65" t="s">
        <v>2572</v>
      </c>
      <c r="F3627" s="83">
        <v>0.5833333333333334</v>
      </c>
      <c r="G3627" s="83">
        <v>0.75</v>
      </c>
      <c r="H3627" s="83">
        <v>0.16666666666666666</v>
      </c>
      <c r="I3627" s="84">
        <v>44453.0</v>
      </c>
      <c r="J3627" s="65" t="b">
        <v>1</v>
      </c>
      <c r="K3627" s="65"/>
      <c r="L3627" s="85" t="b">
        <f>IF(VLOOKUP(C3627,Projetos!A:L,12,false)=TRUE,TRUE,FALSE)</f>
        <v>1</v>
      </c>
      <c r="M3627" s="74">
        <v>52.48434411075036</v>
      </c>
      <c r="N3627" s="74">
        <f t="shared" si="1"/>
        <v>209.9373764</v>
      </c>
      <c r="O3627" s="74" t="b">
        <v>1</v>
      </c>
    </row>
    <row r="3628" hidden="1">
      <c r="A3628" s="82"/>
      <c r="B3628" s="65" t="s">
        <v>411</v>
      </c>
      <c r="C3628" s="65" t="s">
        <v>117</v>
      </c>
      <c r="D3628" s="65" t="str">
        <f>vlookup(C3628,'Classificação p pessoal'!F:G,2,false)</f>
        <v>NP</v>
      </c>
      <c r="E3628" s="65" t="s">
        <v>2573</v>
      </c>
      <c r="F3628" s="83">
        <v>0.34375</v>
      </c>
      <c r="G3628" s="83">
        <v>0.4166666666666667</v>
      </c>
      <c r="H3628" s="83">
        <v>0.07291666666666667</v>
      </c>
      <c r="I3628" s="84">
        <v>44454.0</v>
      </c>
      <c r="J3628" s="65" t="b">
        <v>1</v>
      </c>
      <c r="K3628" s="65"/>
      <c r="L3628" s="85" t="b">
        <f>IF(VLOOKUP(C3628,Projetos!A:L,12,false)=TRUE,TRUE,FALSE)</f>
        <v>1</v>
      </c>
      <c r="M3628" s="74">
        <v>52.48434411075036</v>
      </c>
      <c r="N3628" s="74">
        <f t="shared" si="1"/>
        <v>91.84760219</v>
      </c>
      <c r="O3628" s="74" t="b">
        <v>1</v>
      </c>
    </row>
    <row r="3629" hidden="1">
      <c r="A3629" s="82"/>
      <c r="B3629" s="65" t="s">
        <v>411</v>
      </c>
      <c r="C3629" s="65" t="s">
        <v>117</v>
      </c>
      <c r="D3629" s="65" t="str">
        <f>vlookup(C3629,'Classificação p pessoal'!F:G,2,false)</f>
        <v>NP</v>
      </c>
      <c r="E3629" s="65" t="s">
        <v>2574</v>
      </c>
      <c r="F3629" s="83">
        <v>0.5625</v>
      </c>
      <c r="G3629" s="83">
        <v>0.625</v>
      </c>
      <c r="H3629" s="83">
        <v>0.0625</v>
      </c>
      <c r="I3629" s="84">
        <v>44274.0</v>
      </c>
      <c r="J3629" s="65" t="b">
        <v>1</v>
      </c>
      <c r="K3629" s="65"/>
      <c r="L3629" s="85" t="b">
        <f>IF(VLOOKUP(C3629,Projetos!A:L,12,false)=TRUE,TRUE,FALSE)</f>
        <v>1</v>
      </c>
      <c r="M3629" s="74">
        <v>52.48434411075036</v>
      </c>
      <c r="N3629" s="74">
        <f t="shared" si="1"/>
        <v>78.72651617</v>
      </c>
      <c r="O3629" s="74" t="b">
        <v>1</v>
      </c>
    </row>
    <row r="3630" hidden="1">
      <c r="A3630" s="82"/>
      <c r="B3630" s="65" t="s">
        <v>411</v>
      </c>
      <c r="C3630" s="65" t="s">
        <v>117</v>
      </c>
      <c r="D3630" s="65" t="str">
        <f>vlookup(C3630,'Classificação p pessoal'!F:G,2,false)</f>
        <v>NP</v>
      </c>
      <c r="E3630" s="65" t="s">
        <v>2575</v>
      </c>
      <c r="F3630" s="83">
        <v>0.5416666666666666</v>
      </c>
      <c r="G3630" s="83">
        <v>0.75</v>
      </c>
      <c r="H3630" s="83">
        <v>0.20833333333333334</v>
      </c>
      <c r="I3630" s="84">
        <v>44454.0</v>
      </c>
      <c r="J3630" s="65" t="b">
        <v>1</v>
      </c>
      <c r="K3630" s="65"/>
      <c r="L3630" s="85" t="b">
        <f>IF(VLOOKUP(C3630,Projetos!A:L,12,false)=TRUE,TRUE,FALSE)</f>
        <v>1</v>
      </c>
      <c r="M3630" s="74">
        <v>52.48434411075036</v>
      </c>
      <c r="N3630" s="74">
        <f t="shared" si="1"/>
        <v>262.4217206</v>
      </c>
      <c r="O3630" s="74" t="b">
        <v>1</v>
      </c>
    </row>
    <row r="3631" hidden="1">
      <c r="A3631" s="82"/>
      <c r="B3631" s="65" t="s">
        <v>411</v>
      </c>
      <c r="C3631" s="65" t="s">
        <v>117</v>
      </c>
      <c r="D3631" s="65" t="str">
        <f>vlookup(C3631,'Classificação p pessoal'!F:G,2,false)</f>
        <v>NP</v>
      </c>
      <c r="E3631" s="65" t="s">
        <v>2576</v>
      </c>
      <c r="F3631" s="83">
        <v>0.34375</v>
      </c>
      <c r="G3631" s="83">
        <v>0.3958333333333333</v>
      </c>
      <c r="H3631" s="83">
        <v>0.052083333333333336</v>
      </c>
      <c r="I3631" s="84">
        <v>44455.0</v>
      </c>
      <c r="J3631" s="65" t="b">
        <v>1</v>
      </c>
      <c r="K3631" s="65"/>
      <c r="L3631" s="85" t="b">
        <f>IF(VLOOKUP(C3631,Projetos!A:L,12,false)=TRUE,TRUE,FALSE)</f>
        <v>1</v>
      </c>
      <c r="M3631" s="74">
        <v>52.48434411075036</v>
      </c>
      <c r="N3631" s="74">
        <f t="shared" si="1"/>
        <v>65.60543014</v>
      </c>
      <c r="O3631" s="74" t="b">
        <v>1</v>
      </c>
    </row>
    <row r="3632" hidden="1">
      <c r="A3632" s="82"/>
      <c r="B3632" s="65" t="s">
        <v>411</v>
      </c>
      <c r="C3632" s="65" t="s">
        <v>107</v>
      </c>
      <c r="D3632" s="65" t="str">
        <f>vlookup(C3632,'Classificação p pessoal'!F:G,2,false)</f>
        <v>NP</v>
      </c>
      <c r="E3632" s="65" t="s">
        <v>2577</v>
      </c>
      <c r="F3632" s="83">
        <v>0.4166666666666667</v>
      </c>
      <c r="G3632" s="83">
        <v>0.4583333333333333</v>
      </c>
      <c r="H3632" s="83">
        <v>0.041666666666666664</v>
      </c>
      <c r="I3632" s="84">
        <v>44455.0</v>
      </c>
      <c r="J3632" s="65" t="b">
        <v>1</v>
      </c>
      <c r="K3632" s="65"/>
      <c r="L3632" s="85" t="b">
        <f>IF(VLOOKUP(C3632,Projetos!A:L,12,false)=TRUE,TRUE,FALSE)</f>
        <v>1</v>
      </c>
      <c r="M3632" s="74">
        <v>52.48434411075036</v>
      </c>
      <c r="N3632" s="74">
        <f t="shared" si="1"/>
        <v>52.48434411</v>
      </c>
      <c r="O3632" s="74" t="b">
        <v>1</v>
      </c>
    </row>
    <row r="3633" hidden="1">
      <c r="A3633" s="82"/>
      <c r="B3633" s="65" t="s">
        <v>411</v>
      </c>
      <c r="C3633" s="65" t="s">
        <v>92</v>
      </c>
      <c r="D3633" s="65" t="str">
        <f>vlookup(C3633,'Classificação p pessoal'!F:G,2,false)</f>
        <v/>
      </c>
      <c r="E3633" s="65" t="s">
        <v>2578</v>
      </c>
      <c r="F3633" s="83">
        <v>0.4583333333333333</v>
      </c>
      <c r="G3633" s="83">
        <v>0.5416666666666666</v>
      </c>
      <c r="H3633" s="83">
        <v>0.08333333333333333</v>
      </c>
      <c r="I3633" s="84">
        <v>44455.0</v>
      </c>
      <c r="J3633" s="65" t="b">
        <v>1</v>
      </c>
      <c r="K3633" s="65"/>
      <c r="L3633" s="85" t="b">
        <f>IF(VLOOKUP(C3633,Projetos!A:L,12,false)=TRUE,TRUE,FALSE)</f>
        <v>1</v>
      </c>
      <c r="M3633" s="74">
        <v>52.48434411075036</v>
      </c>
      <c r="N3633" s="74">
        <f t="shared" si="1"/>
        <v>104.9686882</v>
      </c>
      <c r="O3633" s="74" t="b">
        <v>1</v>
      </c>
    </row>
    <row r="3634" hidden="1">
      <c r="A3634" s="82"/>
      <c r="B3634" s="65" t="s">
        <v>411</v>
      </c>
      <c r="C3634" s="65" t="s">
        <v>117</v>
      </c>
      <c r="D3634" s="65" t="str">
        <f>vlookup(C3634,'Classificação p pessoal'!F:G,2,false)</f>
        <v>NP</v>
      </c>
      <c r="E3634" s="65" t="s">
        <v>2579</v>
      </c>
      <c r="F3634" s="83">
        <v>0.5833333333333334</v>
      </c>
      <c r="G3634" s="83">
        <v>0.75</v>
      </c>
      <c r="H3634" s="83">
        <v>0.16666666666666666</v>
      </c>
      <c r="I3634" s="84">
        <v>44455.0</v>
      </c>
      <c r="J3634" s="65" t="b">
        <v>1</v>
      </c>
      <c r="K3634" s="65"/>
      <c r="L3634" s="85" t="b">
        <f>IF(VLOOKUP(C3634,Projetos!A:L,12,false)=TRUE,TRUE,FALSE)</f>
        <v>1</v>
      </c>
      <c r="M3634" s="74">
        <v>52.48434411075036</v>
      </c>
      <c r="N3634" s="74">
        <f t="shared" si="1"/>
        <v>209.9373764</v>
      </c>
      <c r="O3634" s="74" t="b">
        <v>1</v>
      </c>
    </row>
    <row r="3635" hidden="1">
      <c r="A3635" s="82"/>
      <c r="B3635" s="65" t="s">
        <v>411</v>
      </c>
      <c r="C3635" s="65" t="s">
        <v>92</v>
      </c>
      <c r="D3635" s="65"/>
      <c r="E3635" s="65" t="s">
        <v>2580</v>
      </c>
      <c r="F3635" s="83">
        <v>0.34375</v>
      </c>
      <c r="G3635" s="83">
        <v>0.3854166666666667</v>
      </c>
      <c r="H3635" s="83">
        <v>0.041666666666666664</v>
      </c>
      <c r="I3635" s="84">
        <v>44456.0</v>
      </c>
      <c r="J3635" s="65" t="b">
        <v>0</v>
      </c>
      <c r="K3635" s="65" t="s">
        <v>150</v>
      </c>
      <c r="L3635" s="85" t="b">
        <f>IF(VLOOKUP(C3635,Projetos!A:L,12,false)=TRUE,TRUE,FALSE)</f>
        <v>1</v>
      </c>
      <c r="M3635" s="74">
        <v>52.48434411075036</v>
      </c>
      <c r="N3635" s="74">
        <f t="shared" si="1"/>
        <v>0</v>
      </c>
      <c r="O3635" s="74" t="b">
        <v>1</v>
      </c>
    </row>
    <row r="3636" hidden="1">
      <c r="A3636" s="82"/>
      <c r="B3636" s="65" t="s">
        <v>411</v>
      </c>
      <c r="C3636" s="65" t="s">
        <v>117</v>
      </c>
      <c r="D3636" s="65" t="str">
        <f>vlookup(C3636,'Classificação p pessoal'!F:G,2,false)</f>
        <v>NP</v>
      </c>
      <c r="E3636" s="65" t="s">
        <v>2581</v>
      </c>
      <c r="F3636" s="83">
        <v>0.3854166666666667</v>
      </c>
      <c r="G3636" s="83">
        <v>0.4375</v>
      </c>
      <c r="H3636" s="83">
        <v>0.052083333333333336</v>
      </c>
      <c r="I3636" s="84">
        <v>44456.0</v>
      </c>
      <c r="J3636" s="65" t="b">
        <v>1</v>
      </c>
      <c r="K3636" s="65"/>
      <c r="L3636" s="85" t="b">
        <f>IF(VLOOKUP(C3636,Projetos!A:L,12,false)=TRUE,TRUE,FALSE)</f>
        <v>1</v>
      </c>
      <c r="M3636" s="74">
        <v>52.48434411075036</v>
      </c>
      <c r="N3636" s="74">
        <f t="shared" si="1"/>
        <v>65.60543014</v>
      </c>
      <c r="O3636" s="74" t="b">
        <v>1</v>
      </c>
    </row>
    <row r="3637" hidden="1">
      <c r="A3637" s="82"/>
      <c r="B3637" s="65" t="s">
        <v>411</v>
      </c>
      <c r="C3637" s="65" t="s">
        <v>117</v>
      </c>
      <c r="D3637" s="65" t="str">
        <f>vlookup(C3637,'Classificação p pessoal'!F:G,2,false)</f>
        <v>NP</v>
      </c>
      <c r="E3637" s="65" t="s">
        <v>2582</v>
      </c>
      <c r="F3637" s="83">
        <v>0.5416666666666666</v>
      </c>
      <c r="G3637" s="83">
        <v>0.75</v>
      </c>
      <c r="H3637" s="83">
        <v>0.20833333333333334</v>
      </c>
      <c r="I3637" s="84">
        <v>44456.0</v>
      </c>
      <c r="J3637" s="65" t="b">
        <v>1</v>
      </c>
      <c r="K3637" s="65"/>
      <c r="L3637" s="85" t="b">
        <f>IF(VLOOKUP(C3637,Projetos!A:L,12,false)=TRUE,TRUE,FALSE)</f>
        <v>1</v>
      </c>
      <c r="M3637" s="74">
        <v>52.48434411075036</v>
      </c>
      <c r="N3637" s="74">
        <f t="shared" si="1"/>
        <v>262.4217206</v>
      </c>
      <c r="O3637" s="74" t="b">
        <v>1</v>
      </c>
    </row>
    <row r="3638" hidden="1">
      <c r="A3638" s="82"/>
      <c r="B3638" s="65" t="s">
        <v>411</v>
      </c>
      <c r="C3638" s="65" t="s">
        <v>92</v>
      </c>
      <c r="D3638" s="65" t="str">
        <f>vlookup(C3638,'Classificação p pessoal'!F:G,2,false)</f>
        <v/>
      </c>
      <c r="E3638" s="65" t="s">
        <v>2583</v>
      </c>
      <c r="F3638" s="83">
        <v>0.34375</v>
      </c>
      <c r="G3638" s="83">
        <v>0.4375</v>
      </c>
      <c r="H3638" s="83">
        <v>0.09375</v>
      </c>
      <c r="I3638" s="84">
        <v>44460.0</v>
      </c>
      <c r="J3638" s="65" t="b">
        <v>1</v>
      </c>
      <c r="K3638" s="65"/>
      <c r="L3638" s="85" t="b">
        <f>IF(VLOOKUP(C3638,Projetos!A:L,12,false)=TRUE,TRUE,FALSE)</f>
        <v>1</v>
      </c>
      <c r="M3638" s="74">
        <v>52.48434411075036</v>
      </c>
      <c r="N3638" s="74">
        <f t="shared" si="1"/>
        <v>118.0897742</v>
      </c>
      <c r="O3638" s="74" t="b">
        <v>1</v>
      </c>
    </row>
    <row r="3639" hidden="1">
      <c r="A3639" s="82"/>
      <c r="B3639" s="65" t="s">
        <v>411</v>
      </c>
      <c r="C3639" s="65" t="s">
        <v>117</v>
      </c>
      <c r="D3639" s="65" t="str">
        <f>vlookup(C3639,'Classificação p pessoal'!F:G,2,false)</f>
        <v>NP</v>
      </c>
      <c r="E3639" s="65" t="s">
        <v>2205</v>
      </c>
      <c r="F3639" s="83">
        <v>0.4375</v>
      </c>
      <c r="G3639" s="83">
        <v>0.4791666666666667</v>
      </c>
      <c r="H3639" s="83">
        <v>0.041666666666666664</v>
      </c>
      <c r="I3639" s="84">
        <v>44460.0</v>
      </c>
      <c r="J3639" s="65" t="b">
        <v>1</v>
      </c>
      <c r="K3639" s="65"/>
      <c r="L3639" s="85" t="b">
        <f>IF(VLOOKUP(C3639,Projetos!A:L,12,false)=TRUE,TRUE,FALSE)</f>
        <v>1</v>
      </c>
      <c r="M3639" s="74">
        <v>52.48434411075036</v>
      </c>
      <c r="N3639" s="74">
        <f t="shared" si="1"/>
        <v>52.48434411</v>
      </c>
      <c r="O3639" s="74" t="b">
        <v>1</v>
      </c>
    </row>
    <row r="3640" hidden="1">
      <c r="A3640" s="82"/>
      <c r="B3640" s="65" t="s">
        <v>411</v>
      </c>
      <c r="C3640" s="65" t="s">
        <v>132</v>
      </c>
      <c r="D3640" s="65"/>
      <c r="E3640" s="65" t="s">
        <v>2584</v>
      </c>
      <c r="F3640" s="83">
        <v>0.4791666666666667</v>
      </c>
      <c r="G3640" s="83">
        <v>0.5208333333333334</v>
      </c>
      <c r="H3640" s="83">
        <v>0.041666666666666664</v>
      </c>
      <c r="I3640" s="84">
        <v>44460.0</v>
      </c>
      <c r="J3640" s="65" t="b">
        <v>1</v>
      </c>
      <c r="K3640" s="65"/>
      <c r="L3640" s="85" t="b">
        <f>IF(VLOOKUP(C3640,Projetos!A:L,12,false)=TRUE,TRUE,FALSE)</f>
        <v>0</v>
      </c>
      <c r="M3640" s="74">
        <v>52.48434411075036</v>
      </c>
      <c r="N3640" s="74">
        <f t="shared" si="1"/>
        <v>0</v>
      </c>
      <c r="O3640" s="74" t="b">
        <v>0</v>
      </c>
    </row>
    <row r="3641" hidden="1">
      <c r="A3641" s="82"/>
      <c r="B3641" s="65" t="s">
        <v>411</v>
      </c>
      <c r="C3641" s="65" t="s">
        <v>92</v>
      </c>
      <c r="D3641" s="65" t="str">
        <f>vlookup(C3641,'Classificação p pessoal'!F:G,2,false)</f>
        <v/>
      </c>
      <c r="E3641" s="65" t="s">
        <v>2585</v>
      </c>
      <c r="F3641" s="83">
        <v>0.5208333333333334</v>
      </c>
      <c r="G3641" s="83">
        <v>0.5833333333333334</v>
      </c>
      <c r="H3641" s="83">
        <v>0.0625</v>
      </c>
      <c r="I3641" s="84">
        <v>44460.0</v>
      </c>
      <c r="J3641" s="65" t="b">
        <v>1</v>
      </c>
      <c r="K3641" s="65"/>
      <c r="L3641" s="85" t="b">
        <f>IF(VLOOKUP(C3641,Projetos!A:L,12,false)=TRUE,TRUE,FALSE)</f>
        <v>1</v>
      </c>
      <c r="M3641" s="74">
        <v>52.48434411075036</v>
      </c>
      <c r="N3641" s="74">
        <f t="shared" si="1"/>
        <v>78.72651617</v>
      </c>
      <c r="O3641" s="74" t="b">
        <v>1</v>
      </c>
    </row>
    <row r="3642" hidden="1">
      <c r="A3642" s="82"/>
      <c r="B3642" s="65" t="s">
        <v>411</v>
      </c>
      <c r="C3642" s="65" t="s">
        <v>92</v>
      </c>
      <c r="D3642" s="65" t="str">
        <f>vlookup(C3642,'Classificação p pessoal'!F:G,2,false)</f>
        <v/>
      </c>
      <c r="E3642" s="65" t="s">
        <v>2586</v>
      </c>
      <c r="F3642" s="83">
        <v>0.625</v>
      </c>
      <c r="G3642" s="83">
        <v>0.6666666666666666</v>
      </c>
      <c r="H3642" s="83">
        <v>0.041666666666666664</v>
      </c>
      <c r="I3642" s="84">
        <v>44460.0</v>
      </c>
      <c r="J3642" s="65" t="b">
        <v>1</v>
      </c>
      <c r="K3642" s="65"/>
      <c r="L3642" s="85" t="b">
        <f>IF(VLOOKUP(C3642,Projetos!A:L,12,false)=TRUE,TRUE,FALSE)</f>
        <v>1</v>
      </c>
      <c r="M3642" s="74">
        <v>52.48434411075036</v>
      </c>
      <c r="N3642" s="74">
        <f t="shared" si="1"/>
        <v>52.48434411</v>
      </c>
      <c r="O3642" s="74" t="b">
        <v>1</v>
      </c>
    </row>
    <row r="3643" hidden="1">
      <c r="A3643" s="82"/>
      <c r="B3643" s="65" t="s">
        <v>411</v>
      </c>
      <c r="C3643" s="65" t="s">
        <v>117</v>
      </c>
      <c r="D3643" s="65"/>
      <c r="E3643" s="65" t="s">
        <v>615</v>
      </c>
      <c r="F3643" s="83">
        <v>0.6666666666666666</v>
      </c>
      <c r="G3643" s="83">
        <v>0.7083333333333334</v>
      </c>
      <c r="H3643" s="83">
        <v>0.041666666666666664</v>
      </c>
      <c r="I3643" s="84">
        <v>44460.0</v>
      </c>
      <c r="J3643" s="65" t="b">
        <v>0</v>
      </c>
      <c r="K3643" s="65" t="s">
        <v>150</v>
      </c>
      <c r="L3643" s="85" t="b">
        <f>IF(VLOOKUP(C3643,Projetos!A:L,12,false)=TRUE,TRUE,FALSE)</f>
        <v>1</v>
      </c>
      <c r="M3643" s="74">
        <v>52.48434411075036</v>
      </c>
      <c r="N3643" s="74">
        <f t="shared" si="1"/>
        <v>0</v>
      </c>
      <c r="O3643" s="74" t="b">
        <v>1</v>
      </c>
    </row>
    <row r="3644" hidden="1">
      <c r="A3644" s="82"/>
      <c r="B3644" s="65" t="s">
        <v>411</v>
      </c>
      <c r="C3644" s="65" t="s">
        <v>118</v>
      </c>
      <c r="D3644" s="65" t="str">
        <f>vlookup(C3644,'Classificação p pessoal'!F:G,2,false)</f>
        <v>MProduto</v>
      </c>
      <c r="E3644" s="65" t="s">
        <v>2587</v>
      </c>
      <c r="F3644" s="83">
        <v>0.34375</v>
      </c>
      <c r="G3644" s="83">
        <v>0.3854166666666667</v>
      </c>
      <c r="H3644" s="83">
        <v>0.041666666666666664</v>
      </c>
      <c r="I3644" s="84">
        <v>44461.0</v>
      </c>
      <c r="J3644" s="65" t="b">
        <v>1</v>
      </c>
      <c r="K3644" s="65"/>
      <c r="L3644" s="85" t="b">
        <f>IF(VLOOKUP(C3644,Projetos!A:L,12,false)=TRUE,TRUE,FALSE)</f>
        <v>1</v>
      </c>
      <c r="M3644" s="74">
        <v>52.48434411075036</v>
      </c>
      <c r="N3644" s="74">
        <f t="shared" si="1"/>
        <v>52.48434411</v>
      </c>
      <c r="O3644" s="74" t="b">
        <v>1</v>
      </c>
    </row>
    <row r="3645" hidden="1">
      <c r="A3645" s="82"/>
      <c r="B3645" s="65" t="s">
        <v>411</v>
      </c>
      <c r="C3645" s="65" t="s">
        <v>108</v>
      </c>
      <c r="D3645" s="65" t="str">
        <f>vlookup(C3645,'Classificação p pessoal'!F:G,2,false)</f>
        <v>NP</v>
      </c>
      <c r="E3645" s="65" t="s">
        <v>2587</v>
      </c>
      <c r="F3645" s="83">
        <v>0.3854166666666667</v>
      </c>
      <c r="G3645" s="83">
        <v>0.4791666666666667</v>
      </c>
      <c r="H3645" s="83">
        <v>0.09375</v>
      </c>
      <c r="I3645" s="84">
        <v>44461.0</v>
      </c>
      <c r="J3645" s="65" t="b">
        <v>1</v>
      </c>
      <c r="K3645" s="65"/>
      <c r="L3645" s="85" t="b">
        <f>IF(VLOOKUP(C3645,Projetos!A:L,12,false)=TRUE,TRUE,FALSE)</f>
        <v>1</v>
      </c>
      <c r="M3645" s="74">
        <v>52.48434411075036</v>
      </c>
      <c r="N3645" s="74">
        <f t="shared" si="1"/>
        <v>118.0897742</v>
      </c>
      <c r="O3645" s="74" t="b">
        <v>1</v>
      </c>
    </row>
    <row r="3646" hidden="1">
      <c r="A3646" s="82"/>
      <c r="B3646" s="65" t="s">
        <v>411</v>
      </c>
      <c r="C3646" s="65" t="s">
        <v>120</v>
      </c>
      <c r="D3646" s="65"/>
      <c r="E3646" s="65" t="s">
        <v>2588</v>
      </c>
      <c r="F3646" s="83">
        <v>0.4583333333333333</v>
      </c>
      <c r="G3646" s="83">
        <v>0.5</v>
      </c>
      <c r="H3646" s="83">
        <v>0.041666666666666664</v>
      </c>
      <c r="I3646" s="84">
        <v>44454.0</v>
      </c>
      <c r="J3646" s="65" t="b">
        <v>0</v>
      </c>
      <c r="K3646" s="65"/>
      <c r="L3646" s="85" t="b">
        <f>IF(VLOOKUP(C3646,Projetos!A:L,12,false)=TRUE,TRUE,FALSE)</f>
        <v>0</v>
      </c>
      <c r="M3646" s="74">
        <v>52.48434411075036</v>
      </c>
      <c r="N3646" s="74">
        <f t="shared" si="1"/>
        <v>0</v>
      </c>
      <c r="O3646" s="74" t="b">
        <v>0</v>
      </c>
    </row>
    <row r="3647" hidden="1">
      <c r="A3647" s="82"/>
      <c r="B3647" s="65" t="s">
        <v>411</v>
      </c>
      <c r="C3647" s="65" t="s">
        <v>117</v>
      </c>
      <c r="D3647" s="65" t="str">
        <f>vlookup(C3647,'Classificação p pessoal'!F:G,2,false)</f>
        <v>NP</v>
      </c>
      <c r="E3647" s="65" t="s">
        <v>2589</v>
      </c>
      <c r="F3647" s="83">
        <v>0.5833333333333334</v>
      </c>
      <c r="G3647" s="83">
        <v>0.6666666666666666</v>
      </c>
      <c r="H3647" s="83">
        <v>0.08333333333333333</v>
      </c>
      <c r="I3647" s="84">
        <v>44461.0</v>
      </c>
      <c r="J3647" s="65" t="b">
        <v>1</v>
      </c>
      <c r="K3647" s="65"/>
      <c r="L3647" s="85" t="b">
        <f>IF(VLOOKUP(C3647,Projetos!A:L,12,false)=TRUE,TRUE,FALSE)</f>
        <v>1</v>
      </c>
      <c r="M3647" s="74">
        <v>52.48434411075036</v>
      </c>
      <c r="N3647" s="74">
        <f t="shared" si="1"/>
        <v>104.9686882</v>
      </c>
      <c r="O3647" s="74" t="b">
        <v>1</v>
      </c>
    </row>
    <row r="3648" hidden="1">
      <c r="A3648" s="82"/>
      <c r="B3648" s="65" t="s">
        <v>411</v>
      </c>
      <c r="C3648" s="65" t="s">
        <v>84</v>
      </c>
      <c r="D3648" s="65"/>
      <c r="E3648" s="65" t="s">
        <v>2590</v>
      </c>
      <c r="F3648" s="83">
        <v>0.6666666666666666</v>
      </c>
      <c r="G3648" s="83">
        <v>0.7083333333333334</v>
      </c>
      <c r="H3648" s="83">
        <v>0.041666666666666664</v>
      </c>
      <c r="I3648" s="84">
        <v>44461.0</v>
      </c>
      <c r="J3648" s="65" t="b">
        <v>0</v>
      </c>
      <c r="K3648" s="65"/>
      <c r="L3648" s="85" t="b">
        <f>IF(VLOOKUP(C3648,Projetos!A:L,12,false)=TRUE,TRUE,FALSE)</f>
        <v>0</v>
      </c>
      <c r="M3648" s="74">
        <v>52.48434411075036</v>
      </c>
      <c r="N3648" s="74">
        <f t="shared" si="1"/>
        <v>0</v>
      </c>
      <c r="O3648" s="74" t="b">
        <v>0</v>
      </c>
    </row>
    <row r="3649" hidden="1">
      <c r="A3649" s="82"/>
      <c r="B3649" s="65" t="s">
        <v>411</v>
      </c>
      <c r="C3649" s="65" t="s">
        <v>117</v>
      </c>
      <c r="D3649" s="65" t="str">
        <f>vlookup(C3649,'Classificação p pessoal'!F:G,2,false)</f>
        <v>NP</v>
      </c>
      <c r="E3649" s="65" t="s">
        <v>2591</v>
      </c>
      <c r="F3649" s="83">
        <v>0.7083333333333334</v>
      </c>
      <c r="G3649" s="83">
        <v>0.75</v>
      </c>
      <c r="H3649" s="83">
        <v>0.041666666666666664</v>
      </c>
      <c r="I3649" s="84">
        <v>44461.0</v>
      </c>
      <c r="J3649" s="65" t="b">
        <v>1</v>
      </c>
      <c r="K3649" s="65"/>
      <c r="L3649" s="85" t="b">
        <f>IF(VLOOKUP(C3649,Projetos!A:L,12,false)=TRUE,TRUE,FALSE)</f>
        <v>1</v>
      </c>
      <c r="M3649" s="74">
        <v>52.48434411075036</v>
      </c>
      <c r="N3649" s="74">
        <f t="shared" si="1"/>
        <v>52.48434411</v>
      </c>
      <c r="O3649" s="74" t="b">
        <v>1</v>
      </c>
    </row>
    <row r="3650" hidden="1">
      <c r="A3650" s="82"/>
      <c r="B3650" s="65" t="s">
        <v>411</v>
      </c>
      <c r="C3650" s="65" t="s">
        <v>117</v>
      </c>
      <c r="D3650" s="65"/>
      <c r="E3650" s="65" t="s">
        <v>615</v>
      </c>
      <c r="F3650" s="83">
        <v>0.34375</v>
      </c>
      <c r="G3650" s="83">
        <v>0.40625</v>
      </c>
      <c r="H3650" s="83">
        <v>0.0625</v>
      </c>
      <c r="I3650" s="84">
        <v>44462.0</v>
      </c>
      <c r="J3650" s="65" t="b">
        <v>0</v>
      </c>
      <c r="K3650" s="65" t="s">
        <v>150</v>
      </c>
      <c r="L3650" s="85" t="b">
        <f>IF(VLOOKUP(C3650,Projetos!A:L,12,false)=TRUE,TRUE,FALSE)</f>
        <v>1</v>
      </c>
      <c r="M3650" s="74">
        <v>52.48434411075036</v>
      </c>
      <c r="N3650" s="74">
        <f t="shared" si="1"/>
        <v>0</v>
      </c>
      <c r="O3650" s="74" t="b">
        <v>1</v>
      </c>
    </row>
    <row r="3651" hidden="1">
      <c r="A3651" s="82"/>
      <c r="B3651" s="65" t="s">
        <v>411</v>
      </c>
      <c r="C3651" s="65" t="s">
        <v>84</v>
      </c>
      <c r="D3651" s="65"/>
      <c r="E3651" s="65" t="s">
        <v>2592</v>
      </c>
      <c r="F3651" s="83">
        <v>0.40625</v>
      </c>
      <c r="G3651" s="83">
        <v>0.4375</v>
      </c>
      <c r="H3651" s="83">
        <v>0.03125</v>
      </c>
      <c r="I3651" s="84">
        <v>44462.0</v>
      </c>
      <c r="J3651" s="65" t="b">
        <v>0</v>
      </c>
      <c r="K3651" s="65"/>
      <c r="L3651" s="85" t="b">
        <f>IF(VLOOKUP(C3651,Projetos!A:L,12,false)=TRUE,TRUE,FALSE)</f>
        <v>0</v>
      </c>
      <c r="M3651" s="74">
        <v>52.48434411075036</v>
      </c>
      <c r="N3651" s="74">
        <f t="shared" si="1"/>
        <v>0</v>
      </c>
      <c r="O3651" s="74" t="b">
        <v>0</v>
      </c>
    </row>
    <row r="3652" hidden="1">
      <c r="A3652" s="82"/>
      <c r="B3652" s="65" t="s">
        <v>411</v>
      </c>
      <c r="C3652" s="65" t="s">
        <v>120</v>
      </c>
      <c r="D3652" s="65"/>
      <c r="E3652" s="65" t="s">
        <v>2546</v>
      </c>
      <c r="F3652" s="83">
        <v>0.4583333333333333</v>
      </c>
      <c r="G3652" s="83">
        <v>0.5</v>
      </c>
      <c r="H3652" s="83">
        <v>0.041666666666666664</v>
      </c>
      <c r="I3652" s="84">
        <v>44462.0</v>
      </c>
      <c r="J3652" s="65" t="b">
        <v>0</v>
      </c>
      <c r="K3652" s="65"/>
      <c r="L3652" s="85" t="b">
        <f>IF(VLOOKUP(C3652,Projetos!A:L,12,false)=TRUE,TRUE,FALSE)</f>
        <v>0</v>
      </c>
      <c r="M3652" s="74">
        <v>52.48434411075036</v>
      </c>
      <c r="N3652" s="74">
        <f t="shared" si="1"/>
        <v>0</v>
      </c>
      <c r="O3652" s="74" t="b">
        <v>0</v>
      </c>
    </row>
    <row r="3653" hidden="1">
      <c r="A3653" s="82"/>
      <c r="B3653" s="65" t="s">
        <v>411</v>
      </c>
      <c r="C3653" s="65" t="s">
        <v>92</v>
      </c>
      <c r="D3653" s="65" t="str">
        <f>vlookup(C3653,'Classificação p pessoal'!F:G,2,false)</f>
        <v/>
      </c>
      <c r="E3653" s="65" t="s">
        <v>2593</v>
      </c>
      <c r="F3653" s="83">
        <v>0.5</v>
      </c>
      <c r="G3653" s="83">
        <v>0.5416666666666666</v>
      </c>
      <c r="H3653" s="83">
        <v>0.041666666666666664</v>
      </c>
      <c r="I3653" s="84">
        <v>44462.0</v>
      </c>
      <c r="J3653" s="65" t="b">
        <v>1</v>
      </c>
      <c r="K3653" s="65"/>
      <c r="L3653" s="85" t="b">
        <f>IF(VLOOKUP(C3653,Projetos!A:L,12,false)=TRUE,TRUE,FALSE)</f>
        <v>1</v>
      </c>
      <c r="M3653" s="74">
        <v>52.48434411075036</v>
      </c>
      <c r="N3653" s="74">
        <f t="shared" si="1"/>
        <v>52.48434411</v>
      </c>
      <c r="O3653" s="74" t="b">
        <v>1</v>
      </c>
    </row>
    <row r="3654" hidden="1">
      <c r="A3654" s="82"/>
      <c r="B3654" s="65" t="s">
        <v>411</v>
      </c>
      <c r="C3654" s="65" t="s">
        <v>120</v>
      </c>
      <c r="D3654" s="65"/>
      <c r="E3654" s="65" t="s">
        <v>2594</v>
      </c>
      <c r="F3654" s="83">
        <v>0.5833333333333334</v>
      </c>
      <c r="G3654" s="83">
        <v>0.625</v>
      </c>
      <c r="H3654" s="83">
        <v>0.041666666666666664</v>
      </c>
      <c r="I3654" s="84">
        <v>44462.0</v>
      </c>
      <c r="J3654" s="65" t="b">
        <v>0</v>
      </c>
      <c r="K3654" s="65"/>
      <c r="L3654" s="85" t="b">
        <f>IF(VLOOKUP(C3654,Projetos!A:L,12,false)=TRUE,TRUE,FALSE)</f>
        <v>0</v>
      </c>
      <c r="M3654" s="74">
        <v>52.48434411075036</v>
      </c>
      <c r="N3654" s="74">
        <f t="shared" si="1"/>
        <v>0</v>
      </c>
      <c r="O3654" s="74" t="b">
        <v>0</v>
      </c>
    </row>
    <row r="3655" hidden="1">
      <c r="A3655" s="82"/>
      <c r="B3655" s="65" t="s">
        <v>411</v>
      </c>
      <c r="C3655" s="65" t="s">
        <v>119</v>
      </c>
      <c r="D3655" s="65" t="str">
        <f>vlookup(C3655,'Classificação p pessoal'!F:G,2,false)</f>
        <v>NP</v>
      </c>
      <c r="E3655" s="65" t="s">
        <v>2595</v>
      </c>
      <c r="F3655" s="83">
        <v>0.625</v>
      </c>
      <c r="G3655" s="83">
        <v>0.6666666666666666</v>
      </c>
      <c r="H3655" s="83">
        <v>0.041666666666666664</v>
      </c>
      <c r="I3655" s="84">
        <v>44462.0</v>
      </c>
      <c r="J3655" s="65" t="b">
        <v>1</v>
      </c>
      <c r="K3655" s="65"/>
      <c r="L3655" s="85" t="b">
        <f>IF(VLOOKUP(C3655,Projetos!A:L,12,false)=TRUE,TRUE,FALSE)</f>
        <v>1</v>
      </c>
      <c r="M3655" s="74">
        <v>52.48434411075036</v>
      </c>
      <c r="N3655" s="74">
        <f t="shared" si="1"/>
        <v>52.48434411</v>
      </c>
      <c r="O3655" s="74" t="b">
        <v>1</v>
      </c>
    </row>
    <row r="3656" hidden="1">
      <c r="A3656" s="82"/>
      <c r="B3656" s="65" t="s">
        <v>411</v>
      </c>
      <c r="C3656" s="65" t="s">
        <v>117</v>
      </c>
      <c r="D3656" s="65" t="str">
        <f>vlookup(C3656,'Classificação p pessoal'!F:G,2,false)</f>
        <v>NP</v>
      </c>
      <c r="E3656" s="65" t="s">
        <v>2596</v>
      </c>
      <c r="F3656" s="83">
        <v>0.6666666666666666</v>
      </c>
      <c r="G3656" s="83">
        <v>0.75</v>
      </c>
      <c r="H3656" s="83">
        <v>0.08333333333333333</v>
      </c>
      <c r="I3656" s="84">
        <v>44462.0</v>
      </c>
      <c r="J3656" s="65" t="b">
        <v>1</v>
      </c>
      <c r="K3656" s="65"/>
      <c r="L3656" s="85" t="b">
        <f>IF(VLOOKUP(C3656,Projetos!A:L,12,false)=TRUE,TRUE,FALSE)</f>
        <v>1</v>
      </c>
      <c r="M3656" s="74">
        <v>52.48434411075036</v>
      </c>
      <c r="N3656" s="74">
        <f t="shared" si="1"/>
        <v>104.9686882</v>
      </c>
      <c r="O3656" s="74" t="b">
        <v>1</v>
      </c>
    </row>
    <row r="3657" hidden="1">
      <c r="A3657" s="82"/>
      <c r="B3657" s="65" t="s">
        <v>467</v>
      </c>
      <c r="C3657" s="65" t="s">
        <v>113</v>
      </c>
      <c r="D3657" s="65" t="str">
        <f>vlookup(C3657,'Classificação p pessoal'!F:G,2,false)</f>
        <v>NP</v>
      </c>
      <c r="E3657" s="65" t="s">
        <v>2597</v>
      </c>
      <c r="F3657" s="83">
        <v>0.5729166666666666</v>
      </c>
      <c r="G3657" s="83">
        <v>0.625</v>
      </c>
      <c r="H3657" s="83">
        <v>0.052083333333333336</v>
      </c>
      <c r="I3657" s="84">
        <v>44438.0</v>
      </c>
      <c r="J3657" s="65" t="b">
        <v>1</v>
      </c>
      <c r="K3657" s="65"/>
      <c r="L3657" s="85" t="b">
        <f>IF(VLOOKUP(C3657,Projetos!A:L,12,false)=TRUE,TRUE,FALSE)</f>
        <v>1</v>
      </c>
      <c r="M3657" s="74">
        <v>52.1518759018759</v>
      </c>
      <c r="N3657" s="74">
        <f t="shared" si="1"/>
        <v>65.18984488</v>
      </c>
      <c r="O3657" s="74" t="b">
        <v>1</v>
      </c>
    </row>
    <row r="3658" hidden="1">
      <c r="A3658" s="82"/>
      <c r="B3658" s="65" t="s">
        <v>411</v>
      </c>
      <c r="C3658" s="65" t="s">
        <v>84</v>
      </c>
      <c r="D3658" s="65"/>
      <c r="E3658" s="65" t="s">
        <v>2592</v>
      </c>
      <c r="F3658" s="83">
        <v>0.4583333333333333</v>
      </c>
      <c r="G3658" s="83">
        <v>0.4791666666666667</v>
      </c>
      <c r="H3658" s="83">
        <v>0.020833333333333332</v>
      </c>
      <c r="I3658" s="84">
        <v>44463.0</v>
      </c>
      <c r="J3658" s="65" t="b">
        <v>0</v>
      </c>
      <c r="K3658" s="65"/>
      <c r="L3658" s="85" t="b">
        <f>IF(VLOOKUP(C3658,Projetos!A:L,12,false)=TRUE,TRUE,FALSE)</f>
        <v>0</v>
      </c>
      <c r="M3658" s="74">
        <v>52.48434411075036</v>
      </c>
      <c r="N3658" s="74">
        <f t="shared" si="1"/>
        <v>0</v>
      </c>
      <c r="O3658" s="74" t="b">
        <v>0</v>
      </c>
    </row>
    <row r="3659" hidden="1">
      <c r="A3659" s="82"/>
      <c r="B3659" s="65" t="s">
        <v>411</v>
      </c>
      <c r="C3659" s="65" t="s">
        <v>120</v>
      </c>
      <c r="D3659" s="65"/>
      <c r="E3659" s="65" t="s">
        <v>2598</v>
      </c>
      <c r="F3659" s="83">
        <v>0.4791666666666667</v>
      </c>
      <c r="G3659" s="83">
        <v>0.5208333333333334</v>
      </c>
      <c r="H3659" s="83">
        <v>0.041666666666666664</v>
      </c>
      <c r="I3659" s="84">
        <v>44463.0</v>
      </c>
      <c r="J3659" s="65" t="b">
        <v>0</v>
      </c>
      <c r="K3659" s="65" t="s">
        <v>150</v>
      </c>
      <c r="L3659" s="85" t="b">
        <f>IF(VLOOKUP(C3659,Projetos!A:L,12,false)=TRUE,TRUE,FALSE)</f>
        <v>0</v>
      </c>
      <c r="M3659" s="74">
        <v>52.48434411075036</v>
      </c>
      <c r="N3659" s="74">
        <f t="shared" si="1"/>
        <v>0</v>
      </c>
      <c r="O3659" s="74" t="b">
        <v>0</v>
      </c>
    </row>
    <row r="3660" hidden="1">
      <c r="A3660" s="82"/>
      <c r="B3660" s="65" t="s">
        <v>411</v>
      </c>
      <c r="C3660" s="65" t="s">
        <v>92</v>
      </c>
      <c r="D3660" s="65" t="str">
        <f>vlookup(C3660,'Classificação p pessoal'!F:G,2,false)</f>
        <v/>
      </c>
      <c r="E3660" s="65" t="s">
        <v>2593</v>
      </c>
      <c r="F3660" s="83">
        <v>0.5625</v>
      </c>
      <c r="G3660" s="83">
        <v>0.625</v>
      </c>
      <c r="H3660" s="83">
        <v>0.0625</v>
      </c>
      <c r="I3660" s="84">
        <v>44463.0</v>
      </c>
      <c r="J3660" s="65" t="b">
        <v>1</v>
      </c>
      <c r="K3660" s="65"/>
      <c r="L3660" s="85" t="b">
        <f>IF(VLOOKUP(C3660,Projetos!A:L,12,false)=TRUE,TRUE,FALSE)</f>
        <v>1</v>
      </c>
      <c r="M3660" s="74">
        <v>52.48434411075036</v>
      </c>
      <c r="N3660" s="74">
        <f t="shared" si="1"/>
        <v>78.72651617</v>
      </c>
      <c r="O3660" s="74" t="b">
        <v>1</v>
      </c>
    </row>
    <row r="3661" hidden="1">
      <c r="A3661" s="82"/>
      <c r="B3661" s="65" t="s">
        <v>411</v>
      </c>
      <c r="C3661" s="65" t="s">
        <v>117</v>
      </c>
      <c r="D3661" s="65" t="str">
        <f>vlookup(C3661,'Classificação p pessoal'!F:G,2,false)</f>
        <v>NP</v>
      </c>
      <c r="E3661" s="65" t="s">
        <v>2599</v>
      </c>
      <c r="F3661" s="83">
        <v>0.625</v>
      </c>
      <c r="G3661" s="83">
        <v>0.6875</v>
      </c>
      <c r="H3661" s="83">
        <v>0.0625</v>
      </c>
      <c r="I3661" s="84">
        <v>44463.0</v>
      </c>
      <c r="J3661" s="65" t="b">
        <v>1</v>
      </c>
      <c r="K3661" s="65"/>
      <c r="L3661" s="85" t="b">
        <f>IF(VLOOKUP(C3661,Projetos!A:L,12,false)=TRUE,TRUE,FALSE)</f>
        <v>1</v>
      </c>
      <c r="M3661" s="74">
        <v>52.48434411075036</v>
      </c>
      <c r="N3661" s="74">
        <f t="shared" si="1"/>
        <v>78.72651617</v>
      </c>
      <c r="O3661" s="74" t="b">
        <v>1</v>
      </c>
    </row>
    <row r="3662" hidden="1">
      <c r="A3662" s="82"/>
      <c r="B3662" s="65" t="s">
        <v>411</v>
      </c>
      <c r="C3662" s="65" t="s">
        <v>120</v>
      </c>
      <c r="D3662" s="65"/>
      <c r="E3662" s="65" t="s">
        <v>2594</v>
      </c>
      <c r="F3662" s="83">
        <v>0.6875</v>
      </c>
      <c r="G3662" s="83">
        <v>0.7291666666666666</v>
      </c>
      <c r="H3662" s="83">
        <v>0.041666666666666664</v>
      </c>
      <c r="I3662" s="84">
        <v>44463.0</v>
      </c>
      <c r="J3662" s="65" t="b">
        <v>0</v>
      </c>
      <c r="K3662" s="65"/>
      <c r="L3662" s="85" t="b">
        <f>IF(VLOOKUP(C3662,Projetos!A:L,12,false)=TRUE,TRUE,FALSE)</f>
        <v>0</v>
      </c>
      <c r="M3662" s="74">
        <v>52.48434411075036</v>
      </c>
      <c r="N3662" s="74">
        <f t="shared" si="1"/>
        <v>0</v>
      </c>
      <c r="O3662" s="74" t="b">
        <v>0</v>
      </c>
    </row>
    <row r="3663" hidden="1">
      <c r="A3663" s="82"/>
      <c r="B3663" s="65" t="s">
        <v>411</v>
      </c>
      <c r="C3663" s="65" t="s">
        <v>117</v>
      </c>
      <c r="D3663" s="65" t="str">
        <f>vlookup(C3663,'Classificação p pessoal'!F:G,2,false)</f>
        <v>NP</v>
      </c>
      <c r="E3663" s="65" t="s">
        <v>2600</v>
      </c>
      <c r="F3663" s="83">
        <v>0.7291666666666666</v>
      </c>
      <c r="G3663" s="83">
        <v>0.75</v>
      </c>
      <c r="H3663" s="83">
        <v>0.020833333333333332</v>
      </c>
      <c r="I3663" s="84">
        <v>44463.0</v>
      </c>
      <c r="J3663" s="65" t="b">
        <v>1</v>
      </c>
      <c r="K3663" s="65"/>
      <c r="L3663" s="85" t="b">
        <f>IF(VLOOKUP(C3663,Projetos!A:L,12,false)=TRUE,TRUE,FALSE)</f>
        <v>1</v>
      </c>
      <c r="M3663" s="74">
        <v>52.48434411075036</v>
      </c>
      <c r="N3663" s="74">
        <f t="shared" si="1"/>
        <v>26.24217206</v>
      </c>
      <c r="O3663" s="74" t="b">
        <v>1</v>
      </c>
    </row>
    <row r="3664" hidden="1">
      <c r="A3664" s="82"/>
      <c r="B3664" s="65" t="s">
        <v>411</v>
      </c>
      <c r="C3664" s="65" t="s">
        <v>117</v>
      </c>
      <c r="D3664" s="65" t="str">
        <f>vlookup(C3664,'Classificação p pessoal'!F:G,2,false)</f>
        <v>NP</v>
      </c>
      <c r="E3664" s="65" t="s">
        <v>2601</v>
      </c>
      <c r="F3664" s="83">
        <v>0.3333333333333333</v>
      </c>
      <c r="G3664" s="83">
        <v>0.75</v>
      </c>
      <c r="H3664" s="83">
        <v>0.4166666666666667</v>
      </c>
      <c r="I3664" s="84">
        <v>44466.0</v>
      </c>
      <c r="J3664" s="65" t="b">
        <v>1</v>
      </c>
      <c r="K3664" s="65"/>
      <c r="L3664" s="85" t="b">
        <f>IF(VLOOKUP(C3664,Projetos!A:L,12,false)=TRUE,TRUE,FALSE)</f>
        <v>1</v>
      </c>
      <c r="M3664" s="74">
        <v>52.48434411075036</v>
      </c>
      <c r="N3664" s="74">
        <f t="shared" si="1"/>
        <v>524.8434411</v>
      </c>
      <c r="O3664" s="74" t="b">
        <v>1</v>
      </c>
    </row>
    <row r="3665" hidden="1">
      <c r="A3665" s="82"/>
      <c r="B3665" s="65" t="s">
        <v>411</v>
      </c>
      <c r="C3665" s="65" t="s">
        <v>117</v>
      </c>
      <c r="D3665" s="65" t="str">
        <f>vlookup(C3665,'Classificação p pessoal'!F:G,2,false)</f>
        <v>NP</v>
      </c>
      <c r="E3665" s="65" t="s">
        <v>2602</v>
      </c>
      <c r="F3665" s="83">
        <v>0.3333333333333333</v>
      </c>
      <c r="G3665" s="83">
        <v>0.75</v>
      </c>
      <c r="H3665" s="83">
        <v>0.4166666666666667</v>
      </c>
      <c r="I3665" s="84">
        <v>44467.0</v>
      </c>
      <c r="J3665" s="65" t="b">
        <v>1</v>
      </c>
      <c r="K3665" s="65"/>
      <c r="L3665" s="85" t="b">
        <f>IF(VLOOKUP(C3665,Projetos!A:L,12,false)=TRUE,TRUE,FALSE)</f>
        <v>1</v>
      </c>
      <c r="M3665" s="74">
        <v>52.48434411075036</v>
      </c>
      <c r="N3665" s="74">
        <f t="shared" si="1"/>
        <v>524.8434411</v>
      </c>
      <c r="O3665" s="74" t="b">
        <v>1</v>
      </c>
    </row>
    <row r="3666" hidden="1">
      <c r="A3666" s="82"/>
      <c r="B3666" s="65" t="s">
        <v>411</v>
      </c>
      <c r="C3666" s="65" t="s">
        <v>117</v>
      </c>
      <c r="D3666" s="65" t="str">
        <f>vlookup(C3666,'Classificação p pessoal'!F:G,2,false)</f>
        <v>NP</v>
      </c>
      <c r="E3666" s="65" t="s">
        <v>2603</v>
      </c>
      <c r="F3666" s="83">
        <v>0.34375</v>
      </c>
      <c r="G3666" s="83">
        <v>0.375</v>
      </c>
      <c r="H3666" s="83">
        <v>0.03125</v>
      </c>
      <c r="I3666" s="84">
        <v>44468.0</v>
      </c>
      <c r="J3666" s="65" t="b">
        <v>1</v>
      </c>
      <c r="K3666" s="65"/>
      <c r="L3666" s="85" t="b">
        <f>IF(VLOOKUP(C3666,Projetos!A:L,12,false)=TRUE,TRUE,FALSE)</f>
        <v>1</v>
      </c>
      <c r="M3666" s="74">
        <v>52.48434411075036</v>
      </c>
      <c r="N3666" s="74">
        <f t="shared" si="1"/>
        <v>39.36325808</v>
      </c>
      <c r="O3666" s="74" t="b">
        <v>1</v>
      </c>
    </row>
    <row r="3667" hidden="1">
      <c r="A3667" s="82"/>
      <c r="B3667" s="65" t="s">
        <v>411</v>
      </c>
      <c r="C3667" s="65" t="s">
        <v>108</v>
      </c>
      <c r="D3667" s="65" t="str">
        <f>vlookup(C3667,'Classificação p pessoal'!F:G,2,false)</f>
        <v>NP</v>
      </c>
      <c r="E3667" s="65" t="s">
        <v>2604</v>
      </c>
      <c r="F3667" s="83">
        <v>0.375</v>
      </c>
      <c r="G3667" s="83">
        <v>0.3958333333333333</v>
      </c>
      <c r="H3667" s="83">
        <v>0.020833333333333332</v>
      </c>
      <c r="I3667" s="84">
        <v>44468.0</v>
      </c>
      <c r="J3667" s="65" t="b">
        <v>1</v>
      </c>
      <c r="K3667" s="65"/>
      <c r="L3667" s="85" t="b">
        <f>IF(VLOOKUP(C3667,Projetos!A:L,12,false)=TRUE,TRUE,FALSE)</f>
        <v>1</v>
      </c>
      <c r="M3667" s="74">
        <v>52.48434411075036</v>
      </c>
      <c r="N3667" s="74">
        <f t="shared" si="1"/>
        <v>26.24217206</v>
      </c>
      <c r="O3667" s="74" t="b">
        <v>1</v>
      </c>
    </row>
    <row r="3668" hidden="1">
      <c r="A3668" s="82"/>
      <c r="B3668" s="65" t="s">
        <v>411</v>
      </c>
      <c r="C3668" s="65" t="s">
        <v>117</v>
      </c>
      <c r="D3668" s="65" t="str">
        <f>vlookup(C3668,'Classificação p pessoal'!F:G,2,false)</f>
        <v>NP</v>
      </c>
      <c r="E3668" s="65" t="s">
        <v>2605</v>
      </c>
      <c r="F3668" s="83">
        <v>0.3958333333333333</v>
      </c>
      <c r="G3668" s="83">
        <v>0.75</v>
      </c>
      <c r="H3668" s="83">
        <v>0.3541666666666667</v>
      </c>
      <c r="I3668" s="84">
        <v>44468.0</v>
      </c>
      <c r="J3668" s="65" t="b">
        <v>1</v>
      </c>
      <c r="K3668" s="65"/>
      <c r="L3668" s="85" t="b">
        <f>IF(VLOOKUP(C3668,Projetos!A:L,12,false)=TRUE,TRUE,FALSE)</f>
        <v>1</v>
      </c>
      <c r="M3668" s="74">
        <v>52.48434411075036</v>
      </c>
      <c r="N3668" s="74">
        <f t="shared" si="1"/>
        <v>446.1169249</v>
      </c>
      <c r="O3668" s="74" t="b">
        <v>1</v>
      </c>
    </row>
    <row r="3669" hidden="1">
      <c r="A3669" s="82"/>
      <c r="B3669" s="65" t="s">
        <v>467</v>
      </c>
      <c r="C3669" s="65" t="s">
        <v>113</v>
      </c>
      <c r="D3669" s="65" t="str">
        <f>vlookup(C3669,'Classificação p pessoal'!F:G,2,false)</f>
        <v>NP</v>
      </c>
      <c r="E3669" s="65" t="s">
        <v>2606</v>
      </c>
      <c r="F3669" s="83">
        <v>0.6458333333333334</v>
      </c>
      <c r="G3669" s="83">
        <v>0.7291666666666666</v>
      </c>
      <c r="H3669" s="83">
        <v>0.08333333333333333</v>
      </c>
      <c r="I3669" s="84">
        <v>44438.0</v>
      </c>
      <c r="J3669" s="65" t="b">
        <v>1</v>
      </c>
      <c r="K3669" s="65"/>
      <c r="L3669" s="85" t="b">
        <f>IF(VLOOKUP(C3669,Projetos!A:L,12,false)=TRUE,TRUE,FALSE)</f>
        <v>1</v>
      </c>
      <c r="M3669" s="74">
        <v>52.1518759018759</v>
      </c>
      <c r="N3669" s="74">
        <f t="shared" si="1"/>
        <v>104.3037518</v>
      </c>
      <c r="O3669" s="74" t="b">
        <v>1</v>
      </c>
    </row>
    <row r="3670" hidden="1">
      <c r="A3670" s="82"/>
      <c r="B3670" s="65" t="s">
        <v>411</v>
      </c>
      <c r="C3670" s="65" t="s">
        <v>84</v>
      </c>
      <c r="D3670" s="65"/>
      <c r="E3670" s="65" t="s">
        <v>2607</v>
      </c>
      <c r="F3670" s="83">
        <v>0.4791666666666667</v>
      </c>
      <c r="G3670" s="83">
        <v>0.5</v>
      </c>
      <c r="H3670" s="83">
        <v>0.020833333333333332</v>
      </c>
      <c r="I3670" s="84">
        <v>44469.0</v>
      </c>
      <c r="J3670" s="65" t="b">
        <v>0</v>
      </c>
      <c r="K3670" s="65"/>
      <c r="L3670" s="85" t="b">
        <f>IF(VLOOKUP(C3670,Projetos!A:L,12,false)=TRUE,TRUE,FALSE)</f>
        <v>0</v>
      </c>
      <c r="M3670" s="74">
        <v>52.48434411075036</v>
      </c>
      <c r="N3670" s="74">
        <f t="shared" si="1"/>
        <v>0</v>
      </c>
      <c r="O3670" s="74" t="b">
        <v>0</v>
      </c>
    </row>
    <row r="3671" hidden="1">
      <c r="A3671" s="82"/>
      <c r="B3671" s="65" t="s">
        <v>411</v>
      </c>
      <c r="C3671" s="65" t="s">
        <v>117</v>
      </c>
      <c r="D3671" s="65" t="str">
        <f>vlookup(C3671,'Classificação p pessoal'!F:G,2,false)</f>
        <v>NP</v>
      </c>
      <c r="E3671" s="65" t="s">
        <v>2608</v>
      </c>
      <c r="F3671" s="83">
        <v>0.5</v>
      </c>
      <c r="G3671" s="83">
        <v>0.5416666666666666</v>
      </c>
      <c r="H3671" s="83">
        <v>0.041666666666666664</v>
      </c>
      <c r="I3671" s="84">
        <v>44469.0</v>
      </c>
      <c r="J3671" s="65" t="b">
        <v>1</v>
      </c>
      <c r="K3671" s="65"/>
      <c r="L3671" s="85" t="b">
        <f>IF(VLOOKUP(C3671,Projetos!A:L,12,false)=TRUE,TRUE,FALSE)</f>
        <v>1</v>
      </c>
      <c r="M3671" s="74">
        <v>52.48434411075036</v>
      </c>
      <c r="N3671" s="74">
        <f t="shared" si="1"/>
        <v>52.48434411</v>
      </c>
      <c r="O3671" s="74" t="b">
        <v>1</v>
      </c>
    </row>
    <row r="3672" hidden="1">
      <c r="A3672" s="82"/>
      <c r="B3672" s="65" t="s">
        <v>411</v>
      </c>
      <c r="C3672" s="65" t="s">
        <v>120</v>
      </c>
      <c r="D3672" s="65"/>
      <c r="E3672" s="65" t="s">
        <v>2609</v>
      </c>
      <c r="F3672" s="83">
        <v>0.5833333333333334</v>
      </c>
      <c r="G3672" s="83">
        <v>0.6319444444444444</v>
      </c>
      <c r="H3672" s="83">
        <v>0.04861111111111111</v>
      </c>
      <c r="I3672" s="84">
        <v>44469.0</v>
      </c>
      <c r="J3672" s="65" t="b">
        <v>0</v>
      </c>
      <c r="K3672" s="65"/>
      <c r="L3672" s="85" t="b">
        <f>IF(VLOOKUP(C3672,Projetos!A:L,12,false)=TRUE,TRUE,FALSE)</f>
        <v>0</v>
      </c>
      <c r="M3672" s="74">
        <v>52.48434411075036</v>
      </c>
      <c r="N3672" s="74">
        <f t="shared" si="1"/>
        <v>0</v>
      </c>
      <c r="O3672" s="74" t="b">
        <v>0</v>
      </c>
    </row>
    <row r="3673" hidden="1">
      <c r="A3673" s="82"/>
      <c r="B3673" s="65" t="s">
        <v>411</v>
      </c>
      <c r="C3673" s="65" t="s">
        <v>117</v>
      </c>
      <c r="D3673" s="65" t="str">
        <f>vlookup(C3673,'Classificação p pessoal'!F:G,2,false)</f>
        <v>NP</v>
      </c>
      <c r="E3673" s="65" t="s">
        <v>2610</v>
      </c>
      <c r="F3673" s="83">
        <v>0.6319444444444444</v>
      </c>
      <c r="G3673" s="83">
        <v>0.75</v>
      </c>
      <c r="H3673" s="83">
        <v>0.11805555555555555</v>
      </c>
      <c r="I3673" s="84">
        <v>44469.0</v>
      </c>
      <c r="J3673" s="65" t="b">
        <v>1</v>
      </c>
      <c r="K3673" s="65"/>
      <c r="L3673" s="85" t="b">
        <f>IF(VLOOKUP(C3673,Projetos!A:L,12,false)=TRUE,TRUE,FALSE)</f>
        <v>1</v>
      </c>
      <c r="M3673" s="74">
        <v>52.48434411075036</v>
      </c>
      <c r="N3673" s="74">
        <f t="shared" si="1"/>
        <v>148.7056416</v>
      </c>
      <c r="O3673" s="74" t="b">
        <v>1</v>
      </c>
    </row>
    <row r="3674" hidden="1">
      <c r="A3674" s="82"/>
      <c r="B3674" s="65" t="s">
        <v>411</v>
      </c>
      <c r="C3674" s="65" t="s">
        <v>117</v>
      </c>
      <c r="D3674" s="65" t="str">
        <f>vlookup(C3674,'Classificação p pessoal'!F:G,2,false)</f>
        <v>NP</v>
      </c>
      <c r="E3674" s="65" t="s">
        <v>2611</v>
      </c>
      <c r="F3674" s="83">
        <v>0.34375</v>
      </c>
      <c r="G3674" s="83">
        <v>0.4375</v>
      </c>
      <c r="H3674" s="83">
        <v>0.09375</v>
      </c>
      <c r="I3674" s="84">
        <v>44470.0</v>
      </c>
      <c r="J3674" s="65" t="b">
        <v>1</v>
      </c>
      <c r="K3674" s="65"/>
      <c r="L3674" s="85" t="b">
        <f>IF(VLOOKUP(C3674,Projetos!A:L,12,false)=TRUE,TRUE,FALSE)</f>
        <v>1</v>
      </c>
      <c r="M3674" s="74">
        <v>52.48434411075036</v>
      </c>
      <c r="N3674" s="74">
        <f t="shared" si="1"/>
        <v>118.0897742</v>
      </c>
      <c r="O3674" s="74" t="b">
        <v>1</v>
      </c>
    </row>
    <row r="3675" hidden="1">
      <c r="A3675" s="82"/>
      <c r="B3675" s="65" t="s">
        <v>411</v>
      </c>
      <c r="C3675" s="65" t="s">
        <v>120</v>
      </c>
      <c r="D3675" s="65"/>
      <c r="E3675" s="65" t="s">
        <v>2612</v>
      </c>
      <c r="F3675" s="83">
        <v>0.4375</v>
      </c>
      <c r="G3675" s="83">
        <v>0.4791666666666667</v>
      </c>
      <c r="H3675" s="83">
        <v>0.041666666666666664</v>
      </c>
      <c r="I3675" s="84">
        <v>44470.0</v>
      </c>
      <c r="J3675" s="65" t="b">
        <v>0</v>
      </c>
      <c r="K3675" s="65"/>
      <c r="L3675" s="85" t="b">
        <f>IF(VLOOKUP(C3675,Projetos!A:L,12,false)=TRUE,TRUE,FALSE)</f>
        <v>0</v>
      </c>
      <c r="M3675" s="74">
        <v>52.48434411075036</v>
      </c>
      <c r="N3675" s="74">
        <f t="shared" si="1"/>
        <v>0</v>
      </c>
      <c r="O3675" s="74" t="b">
        <v>0</v>
      </c>
    </row>
    <row r="3676" hidden="1">
      <c r="A3676" s="82"/>
      <c r="B3676" s="65" t="s">
        <v>411</v>
      </c>
      <c r="C3676" s="65" t="s">
        <v>101</v>
      </c>
      <c r="D3676" s="65"/>
      <c r="E3676" s="65" t="s">
        <v>2613</v>
      </c>
      <c r="F3676" s="83">
        <v>0.4791666666666667</v>
      </c>
      <c r="G3676" s="83">
        <v>0.5208333333333334</v>
      </c>
      <c r="H3676" s="83">
        <v>0.041666666666666664</v>
      </c>
      <c r="I3676" s="84">
        <v>44470.0</v>
      </c>
      <c r="J3676" s="65" t="b">
        <v>0</v>
      </c>
      <c r="K3676" s="65" t="s">
        <v>150</v>
      </c>
      <c r="L3676" s="85" t="b">
        <f>IF(VLOOKUP(C3676,Projetos!A:L,12,false)=TRUE,TRUE,FALSE)</f>
        <v>1</v>
      </c>
      <c r="M3676" s="74">
        <v>52.48434411075036</v>
      </c>
      <c r="N3676" s="74">
        <f t="shared" si="1"/>
        <v>0</v>
      </c>
      <c r="O3676" s="74" t="b">
        <v>1</v>
      </c>
    </row>
    <row r="3677" hidden="1">
      <c r="A3677" s="82"/>
      <c r="B3677" s="65" t="s">
        <v>411</v>
      </c>
      <c r="C3677" s="65" t="s">
        <v>117</v>
      </c>
      <c r="D3677" s="65" t="str">
        <f>vlookup(C3677,'Classificação p pessoal'!F:G,2,false)</f>
        <v>NP</v>
      </c>
      <c r="E3677" s="65" t="s">
        <v>2614</v>
      </c>
      <c r="F3677" s="83">
        <v>0.5208333333333334</v>
      </c>
      <c r="G3677" s="83">
        <v>0.5625</v>
      </c>
      <c r="H3677" s="83">
        <v>0.041666666666666664</v>
      </c>
      <c r="I3677" s="84">
        <v>44470.0</v>
      </c>
      <c r="J3677" s="65" t="b">
        <v>1</v>
      </c>
      <c r="K3677" s="65"/>
      <c r="L3677" s="85" t="b">
        <f>IF(VLOOKUP(C3677,Projetos!A:L,12,false)=TRUE,TRUE,FALSE)</f>
        <v>1</v>
      </c>
      <c r="M3677" s="74">
        <v>52.48434411075036</v>
      </c>
      <c r="N3677" s="74">
        <f t="shared" si="1"/>
        <v>52.48434411</v>
      </c>
      <c r="O3677" s="74" t="b">
        <v>1</v>
      </c>
    </row>
    <row r="3678" hidden="1">
      <c r="A3678" s="82"/>
      <c r="B3678" s="65" t="s">
        <v>411</v>
      </c>
      <c r="C3678" s="65" t="s">
        <v>117</v>
      </c>
      <c r="D3678" s="65"/>
      <c r="E3678" s="65" t="s">
        <v>2615</v>
      </c>
      <c r="F3678" s="83">
        <v>0.6041666666666666</v>
      </c>
      <c r="G3678" s="83">
        <v>0.75</v>
      </c>
      <c r="H3678" s="83">
        <v>0.14583333333333334</v>
      </c>
      <c r="I3678" s="84">
        <v>44470.0</v>
      </c>
      <c r="J3678" s="65" t="b">
        <v>0</v>
      </c>
      <c r="K3678" s="65" t="s">
        <v>150</v>
      </c>
      <c r="L3678" s="85" t="b">
        <f>IF(VLOOKUP(C3678,Projetos!A:L,12,false)=TRUE,TRUE,FALSE)</f>
        <v>1</v>
      </c>
      <c r="M3678" s="74">
        <v>52.48434411075036</v>
      </c>
      <c r="N3678" s="74">
        <f t="shared" si="1"/>
        <v>0</v>
      </c>
      <c r="O3678" s="74" t="b">
        <v>1</v>
      </c>
    </row>
    <row r="3679" hidden="1">
      <c r="A3679" s="82"/>
      <c r="B3679" s="65" t="s">
        <v>411</v>
      </c>
      <c r="C3679" s="65" t="s">
        <v>101</v>
      </c>
      <c r="D3679" s="65"/>
      <c r="E3679" s="65" t="s">
        <v>2616</v>
      </c>
      <c r="F3679" s="83">
        <v>0.34375</v>
      </c>
      <c r="G3679" s="83">
        <v>0.375</v>
      </c>
      <c r="H3679" s="83">
        <v>0.03125</v>
      </c>
      <c r="I3679" s="84">
        <v>44474.0</v>
      </c>
      <c r="J3679" s="65" t="b">
        <v>0</v>
      </c>
      <c r="K3679" s="65" t="s">
        <v>150</v>
      </c>
      <c r="L3679" s="85" t="b">
        <f>IF(VLOOKUP(C3679,Projetos!A:L,12,false)=TRUE,TRUE,FALSE)</f>
        <v>1</v>
      </c>
      <c r="M3679" s="74">
        <v>52.48434411075036</v>
      </c>
      <c r="N3679" s="74">
        <f t="shared" si="1"/>
        <v>0</v>
      </c>
      <c r="O3679" s="74" t="b">
        <v>1</v>
      </c>
    </row>
    <row r="3680" hidden="1">
      <c r="A3680" s="82"/>
      <c r="B3680" s="65" t="s">
        <v>411</v>
      </c>
      <c r="C3680" s="65" t="s">
        <v>121</v>
      </c>
      <c r="D3680" s="65"/>
      <c r="E3680" s="65" t="s">
        <v>2617</v>
      </c>
      <c r="F3680" s="83">
        <v>0.375</v>
      </c>
      <c r="G3680" s="83">
        <v>0.4375</v>
      </c>
      <c r="H3680" s="83">
        <v>0.0625</v>
      </c>
      <c r="I3680" s="84">
        <v>44474.0</v>
      </c>
      <c r="J3680" s="65" t="b">
        <v>0</v>
      </c>
      <c r="K3680" s="65" t="s">
        <v>150</v>
      </c>
      <c r="L3680" s="85" t="b">
        <f>IF(VLOOKUP(C3680,Projetos!A:L,12,false)=TRUE,TRUE,FALSE)</f>
        <v>1</v>
      </c>
      <c r="M3680" s="74">
        <v>52.48434411075036</v>
      </c>
      <c r="N3680" s="74">
        <f t="shared" si="1"/>
        <v>0</v>
      </c>
      <c r="O3680" s="74" t="b">
        <v>1</v>
      </c>
    </row>
    <row r="3681" hidden="1">
      <c r="A3681" s="82"/>
      <c r="B3681" s="65" t="s">
        <v>411</v>
      </c>
      <c r="C3681" s="65" t="s">
        <v>120</v>
      </c>
      <c r="D3681" s="65"/>
      <c r="E3681" s="65" t="s">
        <v>2618</v>
      </c>
      <c r="F3681" s="83">
        <v>0.4375</v>
      </c>
      <c r="G3681" s="83">
        <v>0.4583333333333333</v>
      </c>
      <c r="H3681" s="83">
        <v>0.020833333333333332</v>
      </c>
      <c r="I3681" s="84">
        <v>44474.0</v>
      </c>
      <c r="J3681" s="65" t="b">
        <v>0</v>
      </c>
      <c r="K3681" s="65"/>
      <c r="L3681" s="85" t="b">
        <f>IF(VLOOKUP(C3681,Projetos!A:L,12,false)=TRUE,TRUE,FALSE)</f>
        <v>0</v>
      </c>
      <c r="M3681" s="74">
        <v>52.48434411075036</v>
      </c>
      <c r="N3681" s="74">
        <f t="shared" si="1"/>
        <v>0</v>
      </c>
      <c r="O3681" s="74" t="b">
        <v>0</v>
      </c>
    </row>
    <row r="3682" hidden="1">
      <c r="A3682" s="82"/>
      <c r="B3682" s="65" t="s">
        <v>411</v>
      </c>
      <c r="C3682" s="65" t="s">
        <v>117</v>
      </c>
      <c r="D3682" s="65" t="str">
        <f>vlookup(C3682,'Classificação p pessoal'!F:G,2,false)</f>
        <v>NP</v>
      </c>
      <c r="E3682" s="65" t="s">
        <v>2619</v>
      </c>
      <c r="F3682" s="83">
        <v>0.4583333333333333</v>
      </c>
      <c r="G3682" s="83">
        <v>0.5833333333333334</v>
      </c>
      <c r="H3682" s="83">
        <v>0.125</v>
      </c>
      <c r="I3682" s="84">
        <v>44474.0</v>
      </c>
      <c r="J3682" s="65" t="b">
        <v>1</v>
      </c>
      <c r="K3682" s="65"/>
      <c r="L3682" s="85" t="b">
        <f>IF(VLOOKUP(C3682,Projetos!A:L,12,false)=TRUE,TRUE,FALSE)</f>
        <v>1</v>
      </c>
      <c r="M3682" s="74">
        <v>52.48434411075036</v>
      </c>
      <c r="N3682" s="74">
        <f t="shared" si="1"/>
        <v>157.4530323</v>
      </c>
      <c r="O3682" s="74" t="b">
        <v>1</v>
      </c>
    </row>
    <row r="3683" hidden="1">
      <c r="A3683" s="82"/>
      <c r="B3683" s="65" t="s">
        <v>411</v>
      </c>
      <c r="C3683" s="65" t="s">
        <v>84</v>
      </c>
      <c r="D3683" s="65"/>
      <c r="E3683" s="65" t="s">
        <v>2620</v>
      </c>
      <c r="F3683" s="83">
        <v>0.625</v>
      </c>
      <c r="G3683" s="83">
        <v>0.6666666666666666</v>
      </c>
      <c r="H3683" s="83">
        <v>0.041666666666666664</v>
      </c>
      <c r="I3683" s="84">
        <v>44474.0</v>
      </c>
      <c r="J3683" s="65" t="b">
        <v>0</v>
      </c>
      <c r="K3683" s="65"/>
      <c r="L3683" s="85" t="b">
        <f>IF(VLOOKUP(C3683,Projetos!A:L,12,false)=TRUE,TRUE,FALSE)</f>
        <v>0</v>
      </c>
      <c r="M3683" s="74">
        <v>52.48434411075036</v>
      </c>
      <c r="N3683" s="74">
        <f t="shared" si="1"/>
        <v>0</v>
      </c>
      <c r="O3683" s="74" t="b">
        <v>0</v>
      </c>
    </row>
    <row r="3684" hidden="1">
      <c r="A3684" s="82"/>
      <c r="B3684" s="65" t="s">
        <v>411</v>
      </c>
      <c r="C3684" s="65" t="s">
        <v>117</v>
      </c>
      <c r="D3684" s="65" t="str">
        <f>vlookup(C3684,'Classificação p pessoal'!F:G,2,false)</f>
        <v>NP</v>
      </c>
      <c r="E3684" s="65" t="s">
        <v>2621</v>
      </c>
      <c r="F3684" s="83">
        <v>0.6666666666666666</v>
      </c>
      <c r="G3684" s="83">
        <v>0.75</v>
      </c>
      <c r="H3684" s="83">
        <v>0.08333333333333333</v>
      </c>
      <c r="I3684" s="84">
        <v>44474.0</v>
      </c>
      <c r="J3684" s="65" t="b">
        <v>1</v>
      </c>
      <c r="K3684" s="65"/>
      <c r="L3684" s="85" t="b">
        <f>IF(VLOOKUP(C3684,Projetos!A:L,12,false)=TRUE,TRUE,FALSE)</f>
        <v>1</v>
      </c>
      <c r="M3684" s="74">
        <v>52.48434411075036</v>
      </c>
      <c r="N3684" s="74">
        <f t="shared" si="1"/>
        <v>104.9686882</v>
      </c>
      <c r="O3684" s="74" t="b">
        <v>1</v>
      </c>
    </row>
    <row r="3685" hidden="1">
      <c r="A3685" s="82"/>
      <c r="B3685" s="65" t="s">
        <v>411</v>
      </c>
      <c r="C3685" s="65" t="s">
        <v>120</v>
      </c>
      <c r="D3685" s="65"/>
      <c r="E3685" s="65" t="s">
        <v>2383</v>
      </c>
      <c r="F3685" s="83">
        <v>0.34375</v>
      </c>
      <c r="G3685" s="83">
        <v>0.375</v>
      </c>
      <c r="H3685" s="83">
        <v>0.03125</v>
      </c>
      <c r="I3685" s="84">
        <v>44475.0</v>
      </c>
      <c r="J3685" s="65" t="b">
        <v>0</v>
      </c>
      <c r="K3685" s="65"/>
      <c r="L3685" s="85" t="b">
        <f>IF(VLOOKUP(C3685,Projetos!A:L,12,false)=TRUE,TRUE,FALSE)</f>
        <v>0</v>
      </c>
      <c r="M3685" s="74">
        <v>52.48434411075036</v>
      </c>
      <c r="N3685" s="74">
        <f t="shared" si="1"/>
        <v>0</v>
      </c>
      <c r="O3685" s="74" t="b">
        <v>0</v>
      </c>
    </row>
    <row r="3686" hidden="1">
      <c r="A3686" s="82"/>
      <c r="B3686" s="65" t="s">
        <v>411</v>
      </c>
      <c r="C3686" s="65" t="s">
        <v>117</v>
      </c>
      <c r="D3686" s="65" t="str">
        <f>vlookup(C3686,'Classificação p pessoal'!F:G,2,false)</f>
        <v>NP</v>
      </c>
      <c r="E3686" s="65" t="s">
        <v>2622</v>
      </c>
      <c r="F3686" s="83">
        <v>0.375</v>
      </c>
      <c r="G3686" s="83">
        <v>0.5208333333333334</v>
      </c>
      <c r="H3686" s="83">
        <v>0.14583333333333334</v>
      </c>
      <c r="I3686" s="84">
        <v>44475.0</v>
      </c>
      <c r="J3686" s="65" t="b">
        <v>1</v>
      </c>
      <c r="K3686" s="65"/>
      <c r="L3686" s="85" t="b">
        <f>IF(VLOOKUP(C3686,Projetos!A:L,12,false)=TRUE,TRUE,FALSE)</f>
        <v>1</v>
      </c>
      <c r="M3686" s="74">
        <v>52.48434411075036</v>
      </c>
      <c r="N3686" s="74">
        <f t="shared" si="1"/>
        <v>183.6952044</v>
      </c>
      <c r="O3686" s="74" t="b">
        <v>1</v>
      </c>
    </row>
    <row r="3687" hidden="1">
      <c r="A3687" s="82"/>
      <c r="B3687" s="65" t="s">
        <v>411</v>
      </c>
      <c r="C3687" s="65" t="s">
        <v>117</v>
      </c>
      <c r="D3687" s="65" t="str">
        <f>vlookup(C3687,'Classificação p pessoal'!F:G,2,false)</f>
        <v>NP</v>
      </c>
      <c r="E3687" s="65" t="s">
        <v>2623</v>
      </c>
      <c r="F3687" s="83">
        <v>0.34375</v>
      </c>
      <c r="G3687" s="83">
        <v>0.375</v>
      </c>
      <c r="H3687" s="83">
        <v>0.03125</v>
      </c>
      <c r="I3687" s="84">
        <v>44476.0</v>
      </c>
      <c r="J3687" s="65" t="b">
        <v>1</v>
      </c>
      <c r="K3687" s="65"/>
      <c r="L3687" s="85" t="b">
        <f>IF(VLOOKUP(C3687,Projetos!A:L,12,false)=TRUE,TRUE,FALSE)</f>
        <v>1</v>
      </c>
      <c r="M3687" s="74">
        <v>52.48434411075036</v>
      </c>
      <c r="N3687" s="74">
        <f t="shared" si="1"/>
        <v>39.36325808</v>
      </c>
      <c r="O3687" s="74" t="b">
        <v>1</v>
      </c>
    </row>
    <row r="3688" hidden="1">
      <c r="A3688" s="82"/>
      <c r="B3688" s="65" t="s">
        <v>411</v>
      </c>
      <c r="C3688" s="65" t="s">
        <v>132</v>
      </c>
      <c r="D3688" s="65"/>
      <c r="E3688" s="65" t="s">
        <v>2624</v>
      </c>
      <c r="F3688" s="83">
        <v>0.375</v>
      </c>
      <c r="G3688" s="83">
        <v>0.3958333333333333</v>
      </c>
      <c r="H3688" s="83">
        <v>0.020833333333333332</v>
      </c>
      <c r="I3688" s="84">
        <v>44476.0</v>
      </c>
      <c r="J3688" s="65" t="b">
        <v>1</v>
      </c>
      <c r="K3688" s="65"/>
      <c r="L3688" s="85" t="b">
        <f>IF(VLOOKUP(C3688,Projetos!A:L,12,false)=TRUE,TRUE,FALSE)</f>
        <v>0</v>
      </c>
      <c r="M3688" s="74">
        <v>52.48434411075036</v>
      </c>
      <c r="N3688" s="74">
        <f t="shared" si="1"/>
        <v>0</v>
      </c>
      <c r="O3688" s="74" t="b">
        <v>0</v>
      </c>
    </row>
    <row r="3689" hidden="1">
      <c r="A3689" s="82"/>
      <c r="B3689" s="65" t="s">
        <v>411</v>
      </c>
      <c r="C3689" s="65" t="s">
        <v>92</v>
      </c>
      <c r="D3689" s="65" t="str">
        <f>vlookup(C3689,'Classificação p pessoal'!F:G,2,false)</f>
        <v/>
      </c>
      <c r="E3689" s="65" t="s">
        <v>2625</v>
      </c>
      <c r="F3689" s="83">
        <v>0.3958333333333333</v>
      </c>
      <c r="G3689" s="83">
        <v>0.4375</v>
      </c>
      <c r="H3689" s="83">
        <v>0.041666666666666664</v>
      </c>
      <c r="I3689" s="84">
        <v>44476.0</v>
      </c>
      <c r="J3689" s="65" t="b">
        <v>1</v>
      </c>
      <c r="K3689" s="65"/>
      <c r="L3689" s="85" t="b">
        <f>IF(VLOOKUP(C3689,Projetos!A:L,12,false)=TRUE,TRUE,FALSE)</f>
        <v>1</v>
      </c>
      <c r="M3689" s="74">
        <v>52.48434411075036</v>
      </c>
      <c r="N3689" s="74">
        <f t="shared" si="1"/>
        <v>52.48434411</v>
      </c>
      <c r="O3689" s="74" t="b">
        <v>1</v>
      </c>
    </row>
    <row r="3690" hidden="1">
      <c r="A3690" s="82"/>
      <c r="B3690" s="65" t="s">
        <v>411</v>
      </c>
      <c r="C3690" s="65" t="s">
        <v>117</v>
      </c>
      <c r="D3690" s="65" t="str">
        <f>vlookup(C3690,'Classificação p pessoal'!F:G,2,false)</f>
        <v>NP</v>
      </c>
      <c r="E3690" s="65" t="s">
        <v>2626</v>
      </c>
      <c r="F3690" s="83">
        <v>0.4375</v>
      </c>
      <c r="G3690" s="83">
        <v>0.5625</v>
      </c>
      <c r="H3690" s="83">
        <v>0.125</v>
      </c>
      <c r="I3690" s="84">
        <v>44476.0</v>
      </c>
      <c r="J3690" s="65" t="b">
        <v>1</v>
      </c>
      <c r="K3690" s="65"/>
      <c r="L3690" s="85" t="b">
        <f>IF(VLOOKUP(C3690,Projetos!A:L,12,false)=TRUE,TRUE,FALSE)</f>
        <v>1</v>
      </c>
      <c r="M3690" s="74">
        <v>52.48434411075036</v>
      </c>
      <c r="N3690" s="74">
        <f t="shared" si="1"/>
        <v>157.4530323</v>
      </c>
      <c r="O3690" s="74" t="b">
        <v>1</v>
      </c>
    </row>
    <row r="3691" hidden="1">
      <c r="A3691" s="82"/>
      <c r="B3691" s="65" t="s">
        <v>411</v>
      </c>
      <c r="C3691" s="65" t="s">
        <v>117</v>
      </c>
      <c r="D3691" s="65" t="str">
        <f>vlookup(C3691,'Classificação p pessoal'!F:G,2,false)</f>
        <v>NP</v>
      </c>
      <c r="E3691" s="65" t="s">
        <v>2627</v>
      </c>
      <c r="F3691" s="83">
        <v>0.6458333333333334</v>
      </c>
      <c r="G3691" s="83">
        <v>0.7291666666666666</v>
      </c>
      <c r="H3691" s="83">
        <v>0.08333333333333333</v>
      </c>
      <c r="I3691" s="84">
        <v>44476.0</v>
      </c>
      <c r="J3691" s="65" t="b">
        <v>1</v>
      </c>
      <c r="K3691" s="65"/>
      <c r="L3691" s="85" t="b">
        <f>IF(VLOOKUP(C3691,Projetos!A:L,12,false)=TRUE,TRUE,FALSE)</f>
        <v>1</v>
      </c>
      <c r="M3691" s="74">
        <v>52.48434411075036</v>
      </c>
      <c r="N3691" s="74">
        <f t="shared" si="1"/>
        <v>104.9686882</v>
      </c>
      <c r="O3691" s="74" t="b">
        <v>1</v>
      </c>
    </row>
    <row r="3692" hidden="1">
      <c r="A3692" s="82"/>
      <c r="B3692" s="65" t="s">
        <v>411</v>
      </c>
      <c r="C3692" s="65" t="s">
        <v>120</v>
      </c>
      <c r="D3692" s="65"/>
      <c r="E3692" s="65" t="s">
        <v>2628</v>
      </c>
      <c r="F3692" s="83">
        <v>0.7291666666666666</v>
      </c>
      <c r="G3692" s="83">
        <v>0.75</v>
      </c>
      <c r="H3692" s="83">
        <v>0.020833333333333332</v>
      </c>
      <c r="I3692" s="84">
        <v>44476.0</v>
      </c>
      <c r="J3692" s="65" t="b">
        <v>0</v>
      </c>
      <c r="K3692" s="65"/>
      <c r="L3692" s="85" t="b">
        <f>IF(VLOOKUP(C3692,Projetos!A:L,12,false)=TRUE,TRUE,FALSE)</f>
        <v>0</v>
      </c>
      <c r="M3692" s="74">
        <v>52.48434411075036</v>
      </c>
      <c r="N3692" s="74">
        <f t="shared" si="1"/>
        <v>0</v>
      </c>
      <c r="O3692" s="74" t="b">
        <v>0</v>
      </c>
    </row>
    <row r="3693" hidden="1">
      <c r="A3693" s="82"/>
      <c r="B3693" s="65" t="s">
        <v>411</v>
      </c>
      <c r="C3693" s="65" t="s">
        <v>117</v>
      </c>
      <c r="D3693" s="65"/>
      <c r="E3693" s="65" t="s">
        <v>2629</v>
      </c>
      <c r="F3693" s="83">
        <v>0.34375</v>
      </c>
      <c r="G3693" s="83">
        <v>0.375</v>
      </c>
      <c r="H3693" s="83">
        <v>0.03125</v>
      </c>
      <c r="I3693" s="84">
        <v>44477.0</v>
      </c>
      <c r="J3693" s="65" t="b">
        <v>0</v>
      </c>
      <c r="K3693" s="65" t="s">
        <v>150</v>
      </c>
      <c r="L3693" s="85" t="b">
        <f>IF(VLOOKUP(C3693,Projetos!A:L,12,false)=TRUE,TRUE,FALSE)</f>
        <v>1</v>
      </c>
      <c r="M3693" s="74">
        <v>52.48434411075036</v>
      </c>
      <c r="N3693" s="74">
        <f t="shared" si="1"/>
        <v>0</v>
      </c>
      <c r="O3693" s="74" t="b">
        <v>1</v>
      </c>
    </row>
    <row r="3694" hidden="1">
      <c r="A3694" s="82"/>
      <c r="B3694" s="65" t="s">
        <v>411</v>
      </c>
      <c r="C3694" s="65" t="s">
        <v>114</v>
      </c>
      <c r="D3694" s="65" t="str">
        <f>vlookup(C3694,'Classificação p pessoal'!F:G,2,false)</f>
        <v>NP</v>
      </c>
      <c r="E3694" s="65" t="s">
        <v>2630</v>
      </c>
      <c r="F3694" s="83">
        <v>0.375</v>
      </c>
      <c r="G3694" s="83">
        <v>0.4166666666666667</v>
      </c>
      <c r="H3694" s="83">
        <v>0.041666666666666664</v>
      </c>
      <c r="I3694" s="84">
        <v>44477.0</v>
      </c>
      <c r="J3694" s="65" t="b">
        <v>1</v>
      </c>
      <c r="K3694" s="65"/>
      <c r="L3694" s="85" t="b">
        <f>IF(VLOOKUP(C3694,Projetos!A:L,12,false)=TRUE,TRUE,FALSE)</f>
        <v>1</v>
      </c>
      <c r="M3694" s="74">
        <v>52.48434411075036</v>
      </c>
      <c r="N3694" s="74">
        <f t="shared" si="1"/>
        <v>52.48434411</v>
      </c>
      <c r="O3694" s="74" t="b">
        <v>1</v>
      </c>
    </row>
    <row r="3695" hidden="1">
      <c r="A3695" s="82"/>
      <c r="B3695" s="65" t="s">
        <v>411</v>
      </c>
      <c r="C3695" s="65" t="s">
        <v>117</v>
      </c>
      <c r="D3695" s="65" t="str">
        <f>vlookup(C3695,'Classificação p pessoal'!F:G,2,false)</f>
        <v>NP</v>
      </c>
      <c r="E3695" s="65" t="s">
        <v>2628</v>
      </c>
      <c r="F3695" s="83">
        <v>0.4166666666666667</v>
      </c>
      <c r="G3695" s="83">
        <v>0.5</v>
      </c>
      <c r="H3695" s="83">
        <v>0.08333333333333333</v>
      </c>
      <c r="I3695" s="84">
        <v>44477.0</v>
      </c>
      <c r="J3695" s="65" t="b">
        <v>1</v>
      </c>
      <c r="K3695" s="65"/>
      <c r="L3695" s="85" t="b">
        <f>IF(VLOOKUP(C3695,Projetos!A:L,12,false)=TRUE,TRUE,FALSE)</f>
        <v>1</v>
      </c>
      <c r="M3695" s="74">
        <v>52.48434411075036</v>
      </c>
      <c r="N3695" s="74">
        <f t="shared" si="1"/>
        <v>104.9686882</v>
      </c>
      <c r="O3695" s="74" t="b">
        <v>1</v>
      </c>
    </row>
    <row r="3696" hidden="1">
      <c r="A3696" s="82"/>
      <c r="B3696" s="65" t="s">
        <v>411</v>
      </c>
      <c r="C3696" s="65" t="s">
        <v>101</v>
      </c>
      <c r="D3696" s="65"/>
      <c r="E3696" s="65" t="s">
        <v>2631</v>
      </c>
      <c r="F3696" s="83">
        <v>0.5</v>
      </c>
      <c r="G3696" s="83">
        <v>0.5416666666666666</v>
      </c>
      <c r="H3696" s="83">
        <v>0.041666666666666664</v>
      </c>
      <c r="I3696" s="84">
        <v>44477.0</v>
      </c>
      <c r="J3696" s="65" t="b">
        <v>0</v>
      </c>
      <c r="K3696" s="65" t="s">
        <v>150</v>
      </c>
      <c r="L3696" s="85" t="b">
        <f>IF(VLOOKUP(C3696,Projetos!A:L,12,false)=TRUE,TRUE,FALSE)</f>
        <v>1</v>
      </c>
      <c r="M3696" s="74">
        <v>52.48434411075036</v>
      </c>
      <c r="N3696" s="74">
        <f t="shared" si="1"/>
        <v>0</v>
      </c>
      <c r="O3696" s="74" t="b">
        <v>1</v>
      </c>
    </row>
    <row r="3697" hidden="1">
      <c r="A3697" s="82"/>
      <c r="B3697" s="65" t="s">
        <v>411</v>
      </c>
      <c r="C3697" s="65" t="s">
        <v>117</v>
      </c>
      <c r="D3697" s="65" t="str">
        <f>vlookup(C3697,'Classificação p pessoal'!F:G,2,false)</f>
        <v>NP</v>
      </c>
      <c r="E3697" s="65" t="s">
        <v>2632</v>
      </c>
      <c r="F3697" s="83">
        <v>0.5833333333333334</v>
      </c>
      <c r="G3697" s="83">
        <v>0.6770833333333334</v>
      </c>
      <c r="H3697" s="83">
        <v>0.09375</v>
      </c>
      <c r="I3697" s="84">
        <v>44477.0</v>
      </c>
      <c r="J3697" s="65" t="b">
        <v>1</v>
      </c>
      <c r="K3697" s="65"/>
      <c r="L3697" s="85" t="b">
        <f>IF(VLOOKUP(C3697,Projetos!A:L,12,false)=TRUE,TRUE,FALSE)</f>
        <v>1</v>
      </c>
      <c r="M3697" s="74">
        <v>52.48434411075036</v>
      </c>
      <c r="N3697" s="74">
        <f t="shared" si="1"/>
        <v>118.0897742</v>
      </c>
      <c r="O3697" s="74" t="b">
        <v>1</v>
      </c>
    </row>
    <row r="3698" hidden="1">
      <c r="A3698" s="82"/>
      <c r="B3698" s="65" t="s">
        <v>411</v>
      </c>
      <c r="C3698" s="65" t="s">
        <v>117</v>
      </c>
      <c r="D3698" s="65" t="str">
        <f>vlookup(C3698,'Classificação p pessoal'!F:G,2,false)</f>
        <v>NP</v>
      </c>
      <c r="E3698" s="65" t="s">
        <v>2633</v>
      </c>
      <c r="F3698" s="83">
        <v>0.7048611111111112</v>
      </c>
      <c r="G3698" s="83">
        <v>0.75</v>
      </c>
      <c r="H3698" s="83">
        <v>0.04513888888888889</v>
      </c>
      <c r="I3698" s="84">
        <v>44477.0</v>
      </c>
      <c r="J3698" s="65" t="b">
        <v>1</v>
      </c>
      <c r="K3698" s="65"/>
      <c r="L3698" s="85" t="b">
        <f>IF(VLOOKUP(C3698,Projetos!A:L,12,false)=TRUE,TRUE,FALSE)</f>
        <v>1</v>
      </c>
      <c r="M3698" s="74">
        <v>52.48434411075036</v>
      </c>
      <c r="N3698" s="74">
        <f t="shared" si="1"/>
        <v>56.85803945</v>
      </c>
      <c r="O3698" s="74" t="b">
        <v>1</v>
      </c>
    </row>
    <row r="3699" hidden="1">
      <c r="A3699" s="82"/>
      <c r="B3699" s="65" t="s">
        <v>411</v>
      </c>
      <c r="C3699" s="65" t="s">
        <v>117</v>
      </c>
      <c r="D3699" s="65" t="str">
        <f>vlookup(C3699,'Classificação p pessoal'!F:G,2,false)</f>
        <v>NP</v>
      </c>
      <c r="E3699" s="65" t="s">
        <v>2634</v>
      </c>
      <c r="F3699" s="83">
        <v>0.34375</v>
      </c>
      <c r="G3699" s="83">
        <v>0.375</v>
      </c>
      <c r="H3699" s="83">
        <v>0.03125</v>
      </c>
      <c r="I3699" s="84">
        <v>44480.0</v>
      </c>
      <c r="J3699" s="65" t="b">
        <v>1</v>
      </c>
      <c r="K3699" s="65"/>
      <c r="L3699" s="85" t="b">
        <f>IF(VLOOKUP(C3699,Projetos!A:L,12,false)=TRUE,TRUE,FALSE)</f>
        <v>1</v>
      </c>
      <c r="M3699" s="74">
        <v>52.48434411075036</v>
      </c>
      <c r="N3699" s="74">
        <f t="shared" si="1"/>
        <v>39.36325808</v>
      </c>
      <c r="O3699" s="74" t="b">
        <v>1</v>
      </c>
    </row>
    <row r="3700" hidden="1">
      <c r="A3700" s="82"/>
      <c r="B3700" s="65" t="s">
        <v>411</v>
      </c>
      <c r="C3700" s="65" t="s">
        <v>117</v>
      </c>
      <c r="D3700" s="65" t="str">
        <f>vlookup(C3700,'Classificação p pessoal'!F:G,2,false)</f>
        <v>NP</v>
      </c>
      <c r="E3700" s="65" t="s">
        <v>2635</v>
      </c>
      <c r="F3700" s="83">
        <v>0.3958333333333333</v>
      </c>
      <c r="G3700" s="83">
        <v>0.5833333333333334</v>
      </c>
      <c r="H3700" s="83">
        <v>0.1875</v>
      </c>
      <c r="I3700" s="84">
        <v>44480.0</v>
      </c>
      <c r="J3700" s="65" t="b">
        <v>1</v>
      </c>
      <c r="K3700" s="65"/>
      <c r="L3700" s="85" t="b">
        <f>IF(VLOOKUP(C3700,Projetos!A:L,12,false)=TRUE,TRUE,FALSE)</f>
        <v>1</v>
      </c>
      <c r="M3700" s="74">
        <v>52.48434411075036</v>
      </c>
      <c r="N3700" s="74">
        <f t="shared" si="1"/>
        <v>236.1795485</v>
      </c>
      <c r="O3700" s="74" t="b">
        <v>1</v>
      </c>
    </row>
    <row r="3701" hidden="1">
      <c r="A3701" s="82"/>
      <c r="B3701" s="65" t="s">
        <v>411</v>
      </c>
      <c r="C3701" s="65" t="s">
        <v>117</v>
      </c>
      <c r="D3701" s="65" t="str">
        <f>vlookup(C3701,'Classificação p pessoal'!F:G,2,false)</f>
        <v>NP</v>
      </c>
      <c r="E3701" s="65" t="s">
        <v>2635</v>
      </c>
      <c r="F3701" s="83">
        <v>0.625</v>
      </c>
      <c r="G3701" s="83">
        <v>0.75</v>
      </c>
      <c r="H3701" s="83">
        <v>0.125</v>
      </c>
      <c r="I3701" s="84">
        <v>44480.0</v>
      </c>
      <c r="J3701" s="65" t="b">
        <v>1</v>
      </c>
      <c r="K3701" s="65"/>
      <c r="L3701" s="85" t="b">
        <f>IF(VLOOKUP(C3701,Projetos!A:L,12,false)=TRUE,TRUE,FALSE)</f>
        <v>1</v>
      </c>
      <c r="M3701" s="74">
        <v>52.48434411075036</v>
      </c>
      <c r="N3701" s="74">
        <f t="shared" si="1"/>
        <v>157.4530323</v>
      </c>
      <c r="O3701" s="74" t="b">
        <v>1</v>
      </c>
    </row>
    <row r="3702" hidden="1">
      <c r="A3702" s="82"/>
      <c r="B3702" s="65" t="s">
        <v>411</v>
      </c>
      <c r="C3702" s="65" t="s">
        <v>117</v>
      </c>
      <c r="D3702" s="65" t="str">
        <f>vlookup(C3702,'Classificação p pessoal'!F:G,2,false)</f>
        <v>NP</v>
      </c>
      <c r="E3702" s="65" t="s">
        <v>2636</v>
      </c>
      <c r="F3702" s="83">
        <v>0.34375</v>
      </c>
      <c r="G3702" s="83">
        <v>0.5625</v>
      </c>
      <c r="H3702" s="83">
        <v>0.21875</v>
      </c>
      <c r="I3702" s="84">
        <v>44482.0</v>
      </c>
      <c r="J3702" s="65" t="b">
        <v>1</v>
      </c>
      <c r="K3702" s="65"/>
      <c r="L3702" s="85" t="b">
        <f>IF(VLOOKUP(C3702,Projetos!A:L,12,false)=TRUE,TRUE,FALSE)</f>
        <v>1</v>
      </c>
      <c r="M3702" s="74">
        <v>52.48434411075036</v>
      </c>
      <c r="N3702" s="74">
        <f t="shared" si="1"/>
        <v>275.5428066</v>
      </c>
      <c r="O3702" s="74" t="b">
        <v>1</v>
      </c>
    </row>
    <row r="3703" hidden="1">
      <c r="A3703" s="82"/>
      <c r="B3703" s="65" t="s">
        <v>411</v>
      </c>
      <c r="C3703" s="65" t="s">
        <v>117</v>
      </c>
      <c r="D3703" s="65" t="str">
        <f>vlookup(C3703,'Classificação p pessoal'!F:G,2,false)</f>
        <v>NP</v>
      </c>
      <c r="E3703" s="65" t="s">
        <v>2637</v>
      </c>
      <c r="F3703" s="83">
        <v>0.6041666666666666</v>
      </c>
      <c r="G3703" s="83">
        <v>0.75</v>
      </c>
      <c r="H3703" s="83">
        <v>0.14583333333333334</v>
      </c>
      <c r="I3703" s="84">
        <v>44482.0</v>
      </c>
      <c r="J3703" s="65" t="b">
        <v>1</v>
      </c>
      <c r="K3703" s="65"/>
      <c r="L3703" s="85" t="b">
        <f>IF(VLOOKUP(C3703,Projetos!A:L,12,false)=TRUE,TRUE,FALSE)</f>
        <v>1</v>
      </c>
      <c r="M3703" s="74">
        <v>52.48434411075036</v>
      </c>
      <c r="N3703" s="74">
        <f t="shared" si="1"/>
        <v>183.6952044</v>
      </c>
      <c r="O3703" s="74" t="b">
        <v>1</v>
      </c>
    </row>
    <row r="3704" hidden="1">
      <c r="A3704" s="82"/>
      <c r="B3704" s="65" t="s">
        <v>411</v>
      </c>
      <c r="C3704" s="65" t="s">
        <v>117</v>
      </c>
      <c r="D3704" s="65" t="str">
        <f>vlookup(C3704,'Classificação p pessoal'!F:G,2,false)</f>
        <v>NP</v>
      </c>
      <c r="E3704" s="65" t="s">
        <v>2638</v>
      </c>
      <c r="F3704" s="83">
        <v>0.34375</v>
      </c>
      <c r="G3704" s="83">
        <v>0.6041666666666666</v>
      </c>
      <c r="H3704" s="83">
        <v>0.2604166666666667</v>
      </c>
      <c r="I3704" s="84">
        <v>44483.0</v>
      </c>
      <c r="J3704" s="65" t="b">
        <v>1</v>
      </c>
      <c r="K3704" s="65"/>
      <c r="L3704" s="85" t="b">
        <f>IF(VLOOKUP(C3704,Projetos!A:L,12,false)=TRUE,TRUE,FALSE)</f>
        <v>1</v>
      </c>
      <c r="M3704" s="74">
        <v>52.48434411075036</v>
      </c>
      <c r="N3704" s="74">
        <f t="shared" si="1"/>
        <v>328.0271507</v>
      </c>
      <c r="O3704" s="74" t="b">
        <v>1</v>
      </c>
    </row>
    <row r="3705" hidden="1">
      <c r="A3705" s="82"/>
      <c r="B3705" s="65" t="s">
        <v>411</v>
      </c>
      <c r="C3705" s="65" t="s">
        <v>120</v>
      </c>
      <c r="D3705" s="65"/>
      <c r="E3705" s="65" t="s">
        <v>2639</v>
      </c>
      <c r="F3705" s="83">
        <v>0.6458333333333334</v>
      </c>
      <c r="G3705" s="83">
        <v>0.7083333333333334</v>
      </c>
      <c r="H3705" s="83">
        <v>0.0625</v>
      </c>
      <c r="I3705" s="84">
        <v>44483.0</v>
      </c>
      <c r="J3705" s="65" t="b">
        <v>0</v>
      </c>
      <c r="K3705" s="65"/>
      <c r="L3705" s="85" t="b">
        <f>IF(VLOOKUP(C3705,Projetos!A:L,12,false)=TRUE,TRUE,FALSE)</f>
        <v>0</v>
      </c>
      <c r="M3705" s="74">
        <v>52.48434411075036</v>
      </c>
      <c r="N3705" s="74">
        <f t="shared" si="1"/>
        <v>0</v>
      </c>
      <c r="O3705" s="74" t="b">
        <v>0</v>
      </c>
    </row>
    <row r="3706" hidden="1">
      <c r="A3706" s="82"/>
      <c r="B3706" s="65" t="s">
        <v>411</v>
      </c>
      <c r="C3706" s="65" t="s">
        <v>117</v>
      </c>
      <c r="D3706" s="65" t="str">
        <f>vlookup(C3706,'Classificação p pessoal'!F:G,2,false)</f>
        <v>NP</v>
      </c>
      <c r="E3706" s="65" t="s">
        <v>2425</v>
      </c>
      <c r="F3706" s="83">
        <v>0.7083333333333334</v>
      </c>
      <c r="G3706" s="83">
        <v>0.75</v>
      </c>
      <c r="H3706" s="83">
        <v>0.041666666666666664</v>
      </c>
      <c r="I3706" s="84">
        <v>44483.0</v>
      </c>
      <c r="J3706" s="65" t="b">
        <v>1</v>
      </c>
      <c r="K3706" s="65"/>
      <c r="L3706" s="85" t="b">
        <f>IF(VLOOKUP(C3706,Projetos!A:L,12,false)=TRUE,TRUE,FALSE)</f>
        <v>1</v>
      </c>
      <c r="M3706" s="74">
        <v>52.48434411075036</v>
      </c>
      <c r="N3706" s="74">
        <f t="shared" si="1"/>
        <v>52.48434411</v>
      </c>
      <c r="O3706" s="74" t="b">
        <v>1</v>
      </c>
    </row>
    <row r="3707" hidden="1">
      <c r="A3707" s="82"/>
      <c r="B3707" s="65" t="s">
        <v>411</v>
      </c>
      <c r="C3707" s="65" t="s">
        <v>117</v>
      </c>
      <c r="D3707" s="65" t="str">
        <f>vlookup(C3707,'Classificação p pessoal'!F:G,2,false)</f>
        <v>NP</v>
      </c>
      <c r="E3707" s="65" t="s">
        <v>2640</v>
      </c>
      <c r="F3707" s="83">
        <v>0.34375</v>
      </c>
      <c r="G3707" s="83">
        <v>0.5</v>
      </c>
      <c r="H3707" s="83">
        <v>0.15625</v>
      </c>
      <c r="I3707" s="84">
        <v>44484.0</v>
      </c>
      <c r="J3707" s="65" t="b">
        <v>1</v>
      </c>
      <c r="K3707" s="65"/>
      <c r="L3707" s="85" t="b">
        <f>IF(VLOOKUP(C3707,Projetos!A:L,12,false)=TRUE,TRUE,FALSE)</f>
        <v>1</v>
      </c>
      <c r="M3707" s="74">
        <v>52.48434411075036</v>
      </c>
      <c r="N3707" s="74">
        <f t="shared" si="1"/>
        <v>196.8162904</v>
      </c>
      <c r="O3707" s="74" t="b">
        <v>1</v>
      </c>
    </row>
    <row r="3708" hidden="1">
      <c r="A3708" s="82"/>
      <c r="B3708" s="65" t="s">
        <v>411</v>
      </c>
      <c r="C3708" s="65" t="s">
        <v>117</v>
      </c>
      <c r="D3708" s="65" t="str">
        <f>vlookup(C3708,'Classificação p pessoal'!F:G,2,false)</f>
        <v>NP</v>
      </c>
      <c r="E3708" s="65" t="s">
        <v>2425</v>
      </c>
      <c r="F3708" s="83">
        <v>0.5416666666666666</v>
      </c>
      <c r="G3708" s="83">
        <v>0.625</v>
      </c>
      <c r="H3708" s="83">
        <v>0.08333333333333333</v>
      </c>
      <c r="I3708" s="84">
        <v>44484.0</v>
      </c>
      <c r="J3708" s="65" t="b">
        <v>1</v>
      </c>
      <c r="K3708" s="65"/>
      <c r="L3708" s="85" t="b">
        <f>IF(VLOOKUP(C3708,Projetos!A:L,12,false)=TRUE,TRUE,FALSE)</f>
        <v>1</v>
      </c>
      <c r="M3708" s="74">
        <v>52.48434411075036</v>
      </c>
      <c r="N3708" s="74">
        <f t="shared" si="1"/>
        <v>104.9686882</v>
      </c>
      <c r="O3708" s="74" t="b">
        <v>1</v>
      </c>
    </row>
    <row r="3709" hidden="1">
      <c r="A3709" s="82"/>
      <c r="B3709" s="65" t="s">
        <v>411</v>
      </c>
      <c r="C3709" s="65" t="s">
        <v>88</v>
      </c>
      <c r="D3709" s="65"/>
      <c r="E3709" s="65" t="s">
        <v>2641</v>
      </c>
      <c r="F3709" s="83">
        <v>0.625</v>
      </c>
      <c r="G3709" s="83">
        <v>0.6666666666666666</v>
      </c>
      <c r="H3709" s="83">
        <v>0.041666666666666664</v>
      </c>
      <c r="I3709" s="84">
        <v>44484.0</v>
      </c>
      <c r="J3709" s="65" t="b">
        <v>0</v>
      </c>
      <c r="K3709" s="65" t="s">
        <v>150</v>
      </c>
      <c r="L3709" s="85" t="b">
        <f>IF(VLOOKUP(C3709,Projetos!A:L,12,false)=TRUE,TRUE,FALSE)</f>
        <v>1</v>
      </c>
      <c r="M3709" s="74">
        <v>52.48434411075036</v>
      </c>
      <c r="N3709" s="74">
        <f t="shared" si="1"/>
        <v>0</v>
      </c>
      <c r="O3709" s="74" t="b">
        <v>1</v>
      </c>
    </row>
    <row r="3710" hidden="1">
      <c r="A3710" s="82"/>
      <c r="B3710" s="65" t="s">
        <v>411</v>
      </c>
      <c r="C3710" s="65" t="s">
        <v>101</v>
      </c>
      <c r="D3710" s="65" t="str">
        <f>vlookup(C3710,'Classificação p pessoal'!F:G,2,false)</f>
        <v>NP</v>
      </c>
      <c r="E3710" s="65" t="s">
        <v>2642</v>
      </c>
      <c r="F3710" s="83">
        <v>0.6666666666666666</v>
      </c>
      <c r="G3710" s="83">
        <v>0.7083333333333334</v>
      </c>
      <c r="H3710" s="83">
        <v>0.041666666666666664</v>
      </c>
      <c r="I3710" s="84">
        <v>44484.0</v>
      </c>
      <c r="J3710" s="65" t="b">
        <v>1</v>
      </c>
      <c r="K3710" s="65"/>
      <c r="L3710" s="85" t="b">
        <f>IF(VLOOKUP(C3710,Projetos!A:L,12,false)=TRUE,TRUE,FALSE)</f>
        <v>1</v>
      </c>
      <c r="M3710" s="74">
        <v>52.48434411075036</v>
      </c>
      <c r="N3710" s="74">
        <f t="shared" si="1"/>
        <v>52.48434411</v>
      </c>
      <c r="O3710" s="74" t="b">
        <v>1</v>
      </c>
    </row>
    <row r="3711" hidden="1">
      <c r="A3711" s="82"/>
      <c r="B3711" s="65" t="s">
        <v>411</v>
      </c>
      <c r="C3711" s="65" t="s">
        <v>117</v>
      </c>
      <c r="D3711" s="65" t="str">
        <f>vlookup(C3711,'Classificação p pessoal'!F:G,2,false)</f>
        <v>NP</v>
      </c>
      <c r="E3711" s="65" t="s">
        <v>2643</v>
      </c>
      <c r="F3711" s="83">
        <v>0.34375</v>
      </c>
      <c r="G3711" s="83">
        <v>0.5625</v>
      </c>
      <c r="H3711" s="83">
        <v>0.21875</v>
      </c>
      <c r="I3711" s="84">
        <v>44487.0</v>
      </c>
      <c r="J3711" s="65" t="b">
        <v>1</v>
      </c>
      <c r="K3711" s="65"/>
      <c r="L3711" s="85" t="b">
        <f>IF(VLOOKUP(C3711,Projetos!A:L,12,false)=TRUE,TRUE,FALSE)</f>
        <v>1</v>
      </c>
      <c r="M3711" s="74">
        <v>52.48434411075036</v>
      </c>
      <c r="N3711" s="74">
        <f t="shared" si="1"/>
        <v>275.5428066</v>
      </c>
      <c r="O3711" s="74" t="b">
        <v>1</v>
      </c>
    </row>
    <row r="3712" hidden="1">
      <c r="A3712" s="82"/>
      <c r="B3712" s="65" t="s">
        <v>411</v>
      </c>
      <c r="C3712" s="65" t="s">
        <v>101</v>
      </c>
      <c r="D3712" s="65" t="str">
        <f>vlookup(C3712,'Classificação p pessoal'!F:G,2,false)</f>
        <v>NP</v>
      </c>
      <c r="E3712" s="65" t="s">
        <v>2644</v>
      </c>
      <c r="F3712" s="83">
        <v>0.5625</v>
      </c>
      <c r="G3712" s="83">
        <v>0.6041666666666666</v>
      </c>
      <c r="H3712" s="83">
        <v>0.041666666666666664</v>
      </c>
      <c r="I3712" s="84">
        <v>44487.0</v>
      </c>
      <c r="J3712" s="65" t="b">
        <v>1</v>
      </c>
      <c r="K3712" s="65"/>
      <c r="L3712" s="85" t="b">
        <f>IF(VLOOKUP(C3712,Projetos!A:L,12,false)=TRUE,TRUE,FALSE)</f>
        <v>1</v>
      </c>
      <c r="M3712" s="74">
        <v>52.48434411075036</v>
      </c>
      <c r="N3712" s="74">
        <f t="shared" si="1"/>
        <v>52.48434411</v>
      </c>
      <c r="O3712" s="74" t="b">
        <v>1</v>
      </c>
    </row>
    <row r="3713" hidden="1">
      <c r="A3713" s="82"/>
      <c r="B3713" s="65" t="s">
        <v>411</v>
      </c>
      <c r="C3713" s="65" t="s">
        <v>117</v>
      </c>
      <c r="D3713" s="65" t="str">
        <f>vlookup(C3713,'Classificação p pessoal'!F:G,2,false)</f>
        <v>NP</v>
      </c>
      <c r="E3713" s="65" t="s">
        <v>2425</v>
      </c>
      <c r="F3713" s="83">
        <v>0.6458333333333334</v>
      </c>
      <c r="G3713" s="83">
        <v>0.7083333333333334</v>
      </c>
      <c r="H3713" s="83">
        <v>0.0625</v>
      </c>
      <c r="I3713" s="84">
        <v>44487.0</v>
      </c>
      <c r="J3713" s="65" t="b">
        <v>1</v>
      </c>
      <c r="K3713" s="65"/>
      <c r="L3713" s="85" t="b">
        <f>IF(VLOOKUP(C3713,Projetos!A:L,12,false)=TRUE,TRUE,FALSE)</f>
        <v>1</v>
      </c>
      <c r="M3713" s="74">
        <v>52.48434411075036</v>
      </c>
      <c r="N3713" s="74">
        <f t="shared" si="1"/>
        <v>78.72651617</v>
      </c>
      <c r="O3713" s="74" t="b">
        <v>1</v>
      </c>
    </row>
    <row r="3714" hidden="1">
      <c r="A3714" s="82"/>
      <c r="B3714" s="65" t="s">
        <v>411</v>
      </c>
      <c r="C3714" s="65" t="s">
        <v>101</v>
      </c>
      <c r="D3714" s="65" t="str">
        <f>vlookup(C3714,'Classificação p pessoal'!F:G,2,false)</f>
        <v>NP</v>
      </c>
      <c r="E3714" s="65" t="s">
        <v>2645</v>
      </c>
      <c r="F3714" s="83">
        <v>0.7083333333333334</v>
      </c>
      <c r="G3714" s="83">
        <v>0.75</v>
      </c>
      <c r="H3714" s="83">
        <v>0.041666666666666664</v>
      </c>
      <c r="I3714" s="84">
        <v>44487.0</v>
      </c>
      <c r="J3714" s="65" t="b">
        <v>1</v>
      </c>
      <c r="K3714" s="65"/>
      <c r="L3714" s="85" t="b">
        <f>IF(VLOOKUP(C3714,Projetos!A:L,12,false)=TRUE,TRUE,FALSE)</f>
        <v>1</v>
      </c>
      <c r="M3714" s="74">
        <v>52.48434411075036</v>
      </c>
      <c r="N3714" s="74">
        <f t="shared" si="1"/>
        <v>52.48434411</v>
      </c>
      <c r="O3714" s="74" t="b">
        <v>1</v>
      </c>
    </row>
    <row r="3715" hidden="1">
      <c r="A3715" s="82"/>
      <c r="B3715" s="65" t="s">
        <v>411</v>
      </c>
      <c r="C3715" s="65" t="s">
        <v>117</v>
      </c>
      <c r="D3715" s="65"/>
      <c r="E3715" s="65" t="s">
        <v>2646</v>
      </c>
      <c r="F3715" s="83">
        <v>0.34375</v>
      </c>
      <c r="G3715" s="83">
        <v>0.6041666666666666</v>
      </c>
      <c r="H3715" s="83">
        <v>0.2604166666666667</v>
      </c>
      <c r="I3715" s="84">
        <v>44488.0</v>
      </c>
      <c r="J3715" s="65" t="b">
        <v>0</v>
      </c>
      <c r="K3715" s="65" t="s">
        <v>150</v>
      </c>
      <c r="L3715" s="85" t="b">
        <f>IF(VLOOKUP(C3715,Projetos!A:L,12,false)=TRUE,TRUE,FALSE)</f>
        <v>1</v>
      </c>
      <c r="M3715" s="74">
        <v>52.48434411075036</v>
      </c>
      <c r="N3715" s="74">
        <f t="shared" si="1"/>
        <v>0</v>
      </c>
      <c r="O3715" s="74" t="b">
        <v>1</v>
      </c>
    </row>
    <row r="3716" hidden="1">
      <c r="A3716" s="82"/>
      <c r="B3716" s="65" t="s">
        <v>411</v>
      </c>
      <c r="C3716" s="65" t="s">
        <v>117</v>
      </c>
      <c r="D3716" s="65" t="str">
        <f>vlookup(C3716,'Classificação p pessoal'!F:G,2,false)</f>
        <v>NP</v>
      </c>
      <c r="E3716" s="65" t="s">
        <v>2647</v>
      </c>
      <c r="F3716" s="83">
        <v>0.6041666666666666</v>
      </c>
      <c r="G3716" s="83">
        <v>0.75</v>
      </c>
      <c r="H3716" s="83">
        <v>0.14583333333333334</v>
      </c>
      <c r="I3716" s="84">
        <v>44488.0</v>
      </c>
      <c r="J3716" s="65" t="b">
        <v>1</v>
      </c>
      <c r="K3716" s="65"/>
      <c r="L3716" s="85" t="b">
        <f>IF(VLOOKUP(C3716,Projetos!A:L,12,false)=TRUE,TRUE,FALSE)</f>
        <v>1</v>
      </c>
      <c r="M3716" s="74">
        <v>52.48434411075036</v>
      </c>
      <c r="N3716" s="74">
        <f t="shared" si="1"/>
        <v>183.6952044</v>
      </c>
      <c r="O3716" s="74" t="b">
        <v>1</v>
      </c>
    </row>
    <row r="3717" hidden="1">
      <c r="A3717" s="82"/>
      <c r="B3717" s="65" t="s">
        <v>411</v>
      </c>
      <c r="C3717" s="65" t="s">
        <v>117</v>
      </c>
      <c r="D3717" s="65" t="str">
        <f>vlookup(C3717,'Classificação p pessoal'!F:G,2,false)</f>
        <v>NP</v>
      </c>
      <c r="E3717" s="65" t="s">
        <v>2621</v>
      </c>
      <c r="F3717" s="83">
        <v>0.34375</v>
      </c>
      <c r="G3717" s="83">
        <v>0.4166666666666667</v>
      </c>
      <c r="H3717" s="83">
        <v>0.07291666666666667</v>
      </c>
      <c r="I3717" s="84">
        <v>44489.0</v>
      </c>
      <c r="J3717" s="65" t="b">
        <v>1</v>
      </c>
      <c r="K3717" s="65"/>
      <c r="L3717" s="85" t="b">
        <f>IF(VLOOKUP(C3717,Projetos!A:L,12,false)=TRUE,TRUE,FALSE)</f>
        <v>1</v>
      </c>
      <c r="M3717" s="74">
        <v>52.48434411075036</v>
      </c>
      <c r="N3717" s="74">
        <f t="shared" si="1"/>
        <v>91.84760219</v>
      </c>
      <c r="O3717" s="74" t="b">
        <v>1</v>
      </c>
    </row>
    <row r="3718" hidden="1">
      <c r="A3718" s="82"/>
      <c r="B3718" s="65" t="s">
        <v>411</v>
      </c>
      <c r="C3718" s="65" t="s">
        <v>101</v>
      </c>
      <c r="D3718" s="65" t="str">
        <f>vlookup(C3718,'Classificação p pessoal'!F:G,2,false)</f>
        <v>NP</v>
      </c>
      <c r="E3718" s="65" t="s">
        <v>2648</v>
      </c>
      <c r="F3718" s="83">
        <v>0.4166666666666667</v>
      </c>
      <c r="G3718" s="83">
        <v>0.5</v>
      </c>
      <c r="H3718" s="83">
        <v>0.08333333333333333</v>
      </c>
      <c r="I3718" s="84">
        <v>44489.0</v>
      </c>
      <c r="J3718" s="65" t="b">
        <v>1</v>
      </c>
      <c r="K3718" s="65"/>
      <c r="L3718" s="85" t="b">
        <f>IF(VLOOKUP(C3718,Projetos!A:L,12,false)=TRUE,TRUE,FALSE)</f>
        <v>1</v>
      </c>
      <c r="M3718" s="74">
        <v>52.48434411075036</v>
      </c>
      <c r="N3718" s="74">
        <f t="shared" si="1"/>
        <v>104.9686882</v>
      </c>
      <c r="O3718" s="74" t="b">
        <v>1</v>
      </c>
    </row>
    <row r="3719" hidden="1">
      <c r="A3719" s="82"/>
      <c r="B3719" s="65" t="s">
        <v>411</v>
      </c>
      <c r="C3719" s="65" t="s">
        <v>117</v>
      </c>
      <c r="D3719" s="65" t="str">
        <f>vlookup(C3719,'Classificação p pessoal'!F:G,2,false)</f>
        <v>NP</v>
      </c>
      <c r="E3719" s="65" t="s">
        <v>2649</v>
      </c>
      <c r="F3719" s="83">
        <v>0.6041666666666666</v>
      </c>
      <c r="G3719" s="83">
        <v>0.9583333333333334</v>
      </c>
      <c r="H3719" s="83">
        <v>0.3541666666666667</v>
      </c>
      <c r="I3719" s="84">
        <v>44489.0</v>
      </c>
      <c r="J3719" s="65" t="b">
        <v>1</v>
      </c>
      <c r="K3719" s="65"/>
      <c r="L3719" s="85" t="b">
        <f>IF(VLOOKUP(C3719,Projetos!A:L,12,false)=TRUE,TRUE,FALSE)</f>
        <v>1</v>
      </c>
      <c r="M3719" s="74">
        <v>52.48434411075036</v>
      </c>
      <c r="N3719" s="74">
        <f t="shared" si="1"/>
        <v>446.1169249</v>
      </c>
      <c r="O3719" s="74" t="b">
        <v>1</v>
      </c>
    </row>
    <row r="3720" hidden="1">
      <c r="A3720" s="82"/>
      <c r="B3720" s="65" t="s">
        <v>411</v>
      </c>
      <c r="C3720" s="65" t="s">
        <v>117</v>
      </c>
      <c r="D3720" s="65" t="str">
        <f>vlookup(C3720,'Classificação p pessoal'!F:G,2,false)</f>
        <v>NP</v>
      </c>
      <c r="E3720" s="65" t="s">
        <v>2650</v>
      </c>
      <c r="F3720" s="83">
        <v>0.34375</v>
      </c>
      <c r="G3720" s="83">
        <v>0.75</v>
      </c>
      <c r="H3720" s="83">
        <v>0.40625</v>
      </c>
      <c r="I3720" s="84">
        <v>44490.0</v>
      </c>
      <c r="J3720" s="65" t="b">
        <v>1</v>
      </c>
      <c r="K3720" s="65"/>
      <c r="L3720" s="85" t="b">
        <f>IF(VLOOKUP(C3720,Projetos!A:L,12,false)=TRUE,TRUE,FALSE)</f>
        <v>1</v>
      </c>
      <c r="M3720" s="74">
        <v>52.48434411075036</v>
      </c>
      <c r="N3720" s="74">
        <f t="shared" si="1"/>
        <v>511.7223551</v>
      </c>
      <c r="O3720" s="74" t="b">
        <v>1</v>
      </c>
    </row>
    <row r="3721" hidden="1">
      <c r="A3721" s="82"/>
      <c r="B3721" s="65" t="s">
        <v>411</v>
      </c>
      <c r="C3721" s="65" t="s">
        <v>117</v>
      </c>
      <c r="D3721" s="65" t="str">
        <f>vlookup(C3721,'Classificação p pessoal'!F:G,2,false)</f>
        <v>NP</v>
      </c>
      <c r="E3721" s="65" t="s">
        <v>2651</v>
      </c>
      <c r="F3721" s="83">
        <v>0.34375</v>
      </c>
      <c r="G3721" s="83">
        <v>0.8263888888888888</v>
      </c>
      <c r="H3721" s="83">
        <v>0.4826388888888889</v>
      </c>
      <c r="I3721" s="84">
        <v>44491.0</v>
      </c>
      <c r="J3721" s="65" t="b">
        <v>1</v>
      </c>
      <c r="K3721" s="65"/>
      <c r="L3721" s="85" t="b">
        <f>IF(VLOOKUP(C3721,Projetos!A:L,12,false)=TRUE,TRUE,FALSE)</f>
        <v>1</v>
      </c>
      <c r="M3721" s="74">
        <v>52.48434411075036</v>
      </c>
      <c r="N3721" s="74">
        <f t="shared" si="1"/>
        <v>607.9436526</v>
      </c>
      <c r="O3721" s="74" t="b">
        <v>1</v>
      </c>
    </row>
    <row r="3722" hidden="1">
      <c r="A3722" s="82"/>
      <c r="B3722" s="65" t="s">
        <v>411</v>
      </c>
      <c r="C3722" s="65" t="s">
        <v>117</v>
      </c>
      <c r="D3722" s="65" t="str">
        <f>vlookup(C3722,'Classificação p pessoal'!F:G,2,false)</f>
        <v>NP</v>
      </c>
      <c r="E3722" s="65" t="s">
        <v>2652</v>
      </c>
      <c r="F3722" s="83">
        <v>0.34375</v>
      </c>
      <c r="G3722" s="83">
        <v>0.5</v>
      </c>
      <c r="H3722" s="83">
        <v>0.15625</v>
      </c>
      <c r="I3722" s="84">
        <v>44494.0</v>
      </c>
      <c r="J3722" s="65" t="b">
        <v>1</v>
      </c>
      <c r="K3722" s="65"/>
      <c r="L3722" s="85" t="b">
        <f>IF(VLOOKUP(C3722,Projetos!A:L,12,false)=TRUE,TRUE,FALSE)</f>
        <v>1</v>
      </c>
      <c r="M3722" s="74">
        <v>52.48434411075036</v>
      </c>
      <c r="N3722" s="74">
        <f t="shared" si="1"/>
        <v>196.8162904</v>
      </c>
      <c r="O3722" s="74" t="b">
        <v>1</v>
      </c>
    </row>
    <row r="3723" hidden="1">
      <c r="A3723" s="82"/>
      <c r="B3723" s="65" t="s">
        <v>411</v>
      </c>
      <c r="C3723" s="65" t="s">
        <v>117</v>
      </c>
      <c r="D3723" s="65" t="str">
        <f>vlookup(C3723,'Classificação p pessoal'!F:G,2,false)</f>
        <v>NP</v>
      </c>
      <c r="E3723" s="65" t="s">
        <v>2653</v>
      </c>
      <c r="F3723" s="83">
        <v>0.5416666666666666</v>
      </c>
      <c r="G3723" s="83">
        <v>0.75</v>
      </c>
      <c r="H3723" s="83">
        <v>0.20833333333333334</v>
      </c>
      <c r="I3723" s="84">
        <v>44494.0</v>
      </c>
      <c r="J3723" s="65" t="b">
        <v>1</v>
      </c>
      <c r="K3723" s="65"/>
      <c r="L3723" s="85" t="b">
        <f>IF(VLOOKUP(C3723,Projetos!A:L,12,false)=TRUE,TRUE,FALSE)</f>
        <v>1</v>
      </c>
      <c r="M3723" s="74">
        <v>52.48434411075036</v>
      </c>
      <c r="N3723" s="74">
        <f t="shared" si="1"/>
        <v>262.4217206</v>
      </c>
      <c r="O3723" s="74" t="b">
        <v>1</v>
      </c>
    </row>
    <row r="3724" hidden="1">
      <c r="A3724" s="82"/>
      <c r="B3724" s="65" t="s">
        <v>411</v>
      </c>
      <c r="C3724" s="65" t="s">
        <v>117</v>
      </c>
      <c r="D3724" s="65" t="str">
        <f>vlookup(C3724,'Classificação p pessoal'!F:G,2,false)</f>
        <v>NP</v>
      </c>
      <c r="E3724" s="65" t="s">
        <v>2654</v>
      </c>
      <c r="F3724" s="83">
        <v>0.34375</v>
      </c>
      <c r="G3724" s="83">
        <v>0.75</v>
      </c>
      <c r="H3724" s="83">
        <v>0.40625</v>
      </c>
      <c r="I3724" s="84">
        <v>44495.0</v>
      </c>
      <c r="J3724" s="65" t="b">
        <v>1</v>
      </c>
      <c r="K3724" s="65"/>
      <c r="L3724" s="85" t="b">
        <f>IF(VLOOKUP(C3724,Projetos!A:L,12,false)=TRUE,TRUE,FALSE)</f>
        <v>1</v>
      </c>
      <c r="M3724" s="74">
        <v>52.48434411075036</v>
      </c>
      <c r="N3724" s="74">
        <f t="shared" si="1"/>
        <v>511.7223551</v>
      </c>
      <c r="O3724" s="74" t="b">
        <v>1</v>
      </c>
    </row>
    <row r="3725" hidden="1">
      <c r="A3725" s="82"/>
      <c r="B3725" s="65" t="s">
        <v>411</v>
      </c>
      <c r="C3725" s="65" t="s">
        <v>117</v>
      </c>
      <c r="D3725" s="65" t="str">
        <f>vlookup(C3725,'Classificação p pessoal'!F:G,2,false)</f>
        <v>NP</v>
      </c>
      <c r="E3725" s="65" t="s">
        <v>2655</v>
      </c>
      <c r="F3725" s="83">
        <v>0.34375</v>
      </c>
      <c r="G3725" s="83">
        <v>0.75</v>
      </c>
      <c r="H3725" s="83">
        <v>0.40625</v>
      </c>
      <c r="I3725" s="84">
        <v>44496.0</v>
      </c>
      <c r="J3725" s="65" t="b">
        <v>1</v>
      </c>
      <c r="K3725" s="65"/>
      <c r="L3725" s="85" t="b">
        <f>IF(VLOOKUP(C3725,Projetos!A:L,12,false)=TRUE,TRUE,FALSE)</f>
        <v>1</v>
      </c>
      <c r="M3725" s="74">
        <v>52.48434411075036</v>
      </c>
      <c r="N3725" s="74">
        <f t="shared" si="1"/>
        <v>511.7223551</v>
      </c>
      <c r="O3725" s="74" t="b">
        <v>1</v>
      </c>
    </row>
    <row r="3726" hidden="1">
      <c r="A3726" s="82"/>
      <c r="B3726" s="65" t="s">
        <v>411</v>
      </c>
      <c r="C3726" s="65" t="s">
        <v>101</v>
      </c>
      <c r="D3726" s="65" t="str">
        <f>vlookup(C3726,'Classificação p pessoal'!F:G,2,false)</f>
        <v>NP</v>
      </c>
      <c r="E3726" s="65" t="s">
        <v>2656</v>
      </c>
      <c r="F3726" s="83">
        <v>0.4166666666666667</v>
      </c>
      <c r="G3726" s="83">
        <v>0.5625</v>
      </c>
      <c r="H3726" s="83">
        <v>0.14583333333333334</v>
      </c>
      <c r="I3726" s="84">
        <v>44497.0</v>
      </c>
      <c r="J3726" s="65" t="b">
        <v>1</v>
      </c>
      <c r="K3726" s="65"/>
      <c r="L3726" s="85" t="b">
        <f>IF(VLOOKUP(C3726,Projetos!A:L,12,false)=TRUE,TRUE,FALSE)</f>
        <v>1</v>
      </c>
      <c r="M3726" s="74">
        <v>52.48434411075036</v>
      </c>
      <c r="N3726" s="74">
        <f t="shared" si="1"/>
        <v>183.6952044</v>
      </c>
      <c r="O3726" s="74" t="b">
        <v>1</v>
      </c>
    </row>
    <row r="3727" hidden="1">
      <c r="A3727" s="82"/>
      <c r="B3727" s="65" t="s">
        <v>411</v>
      </c>
      <c r="C3727" s="65" t="s">
        <v>101</v>
      </c>
      <c r="D3727" s="65"/>
      <c r="E3727" s="65" t="s">
        <v>2657</v>
      </c>
      <c r="F3727" s="83">
        <v>0.625</v>
      </c>
      <c r="G3727" s="83">
        <v>0.6875</v>
      </c>
      <c r="H3727" s="83">
        <v>0.0625</v>
      </c>
      <c r="I3727" s="84">
        <v>44497.0</v>
      </c>
      <c r="J3727" s="65" t="b">
        <v>0</v>
      </c>
      <c r="K3727" s="65" t="s">
        <v>150</v>
      </c>
      <c r="L3727" s="85" t="b">
        <f>IF(VLOOKUP(C3727,Projetos!A:L,12,false)=TRUE,TRUE,FALSE)</f>
        <v>1</v>
      </c>
      <c r="M3727" s="74">
        <v>52.48434411075036</v>
      </c>
      <c r="N3727" s="74">
        <f t="shared" si="1"/>
        <v>0</v>
      </c>
      <c r="O3727" s="74" t="b">
        <v>1</v>
      </c>
    </row>
    <row r="3728" hidden="1">
      <c r="A3728" s="82"/>
      <c r="B3728" s="65" t="s">
        <v>411</v>
      </c>
      <c r="C3728" s="65" t="s">
        <v>117</v>
      </c>
      <c r="D3728" s="65" t="str">
        <f>vlookup(C3728,'Classificação p pessoal'!F:G,2,false)</f>
        <v>NP</v>
      </c>
      <c r="E3728" s="65" t="s">
        <v>2658</v>
      </c>
      <c r="F3728" s="83">
        <v>0.6875</v>
      </c>
      <c r="G3728" s="83">
        <v>0.75</v>
      </c>
      <c r="H3728" s="83">
        <v>0.0625</v>
      </c>
      <c r="I3728" s="84">
        <v>44497.0</v>
      </c>
      <c r="J3728" s="65" t="b">
        <v>1</v>
      </c>
      <c r="K3728" s="65"/>
      <c r="L3728" s="85" t="b">
        <f>IF(VLOOKUP(C3728,Projetos!A:L,12,false)=TRUE,TRUE,FALSE)</f>
        <v>1</v>
      </c>
      <c r="M3728" s="74">
        <v>52.48434411075036</v>
      </c>
      <c r="N3728" s="74">
        <f t="shared" si="1"/>
        <v>78.72651617</v>
      </c>
      <c r="O3728" s="74" t="b">
        <v>1</v>
      </c>
    </row>
    <row r="3729" hidden="1">
      <c r="A3729" s="82"/>
      <c r="B3729" s="65" t="s">
        <v>411</v>
      </c>
      <c r="C3729" s="65" t="s">
        <v>117</v>
      </c>
      <c r="D3729" s="65" t="str">
        <f>vlookup(C3729,'Classificação p pessoal'!F:G,2,false)</f>
        <v>NP</v>
      </c>
      <c r="E3729" s="65" t="s">
        <v>2659</v>
      </c>
      <c r="F3729" s="83">
        <v>0.34375</v>
      </c>
      <c r="G3729" s="83">
        <v>0.6458333333333334</v>
      </c>
      <c r="H3729" s="83">
        <v>0.3020833333333333</v>
      </c>
      <c r="I3729" s="84">
        <v>44498.0</v>
      </c>
      <c r="J3729" s="65" t="b">
        <v>1</v>
      </c>
      <c r="K3729" s="65"/>
      <c r="L3729" s="85" t="b">
        <f>IF(VLOOKUP(C3729,Projetos!A:L,12,false)=TRUE,TRUE,FALSE)</f>
        <v>1</v>
      </c>
      <c r="M3729" s="74">
        <v>52.48434411075036</v>
      </c>
      <c r="N3729" s="74">
        <f t="shared" si="1"/>
        <v>380.5114948</v>
      </c>
      <c r="O3729" s="74" t="b">
        <v>1</v>
      </c>
    </row>
    <row r="3730" hidden="1">
      <c r="A3730" s="82"/>
      <c r="B3730" s="65" t="s">
        <v>411</v>
      </c>
      <c r="C3730" s="65" t="s">
        <v>120</v>
      </c>
      <c r="D3730" s="65"/>
      <c r="E3730" s="65" t="s">
        <v>2660</v>
      </c>
      <c r="F3730" s="83">
        <v>0.6875</v>
      </c>
      <c r="G3730" s="83">
        <v>0.7291666666666666</v>
      </c>
      <c r="H3730" s="83">
        <v>0.041666666666666664</v>
      </c>
      <c r="I3730" s="84">
        <v>44498.0</v>
      </c>
      <c r="J3730" s="65" t="b">
        <v>0</v>
      </c>
      <c r="K3730" s="65"/>
      <c r="L3730" s="85" t="b">
        <f>IF(VLOOKUP(C3730,Projetos!A:L,12,false)=TRUE,TRUE,FALSE)</f>
        <v>0</v>
      </c>
      <c r="M3730" s="74">
        <v>52.48434411075036</v>
      </c>
      <c r="N3730" s="74">
        <f t="shared" si="1"/>
        <v>0</v>
      </c>
      <c r="O3730" s="74" t="b">
        <v>0</v>
      </c>
    </row>
    <row r="3731" hidden="1">
      <c r="A3731" s="82"/>
      <c r="B3731" s="65" t="s">
        <v>411</v>
      </c>
      <c r="C3731" s="65" t="s">
        <v>117</v>
      </c>
      <c r="D3731" s="65" t="str">
        <f>vlookup(C3731,'Classificação p pessoal'!F:G,2,false)</f>
        <v>NP</v>
      </c>
      <c r="E3731" s="65" t="s">
        <v>2661</v>
      </c>
      <c r="F3731" s="83">
        <v>0.34375</v>
      </c>
      <c r="G3731" s="83">
        <v>0.5833333333333334</v>
      </c>
      <c r="H3731" s="83">
        <v>0.23958333333333334</v>
      </c>
      <c r="I3731" s="84">
        <v>44501.0</v>
      </c>
      <c r="J3731" s="65" t="b">
        <v>1</v>
      </c>
      <c r="K3731" s="65"/>
      <c r="L3731" s="85" t="b">
        <f>IF(VLOOKUP(C3731,Projetos!A:L,12,false)=TRUE,TRUE,FALSE)</f>
        <v>1</v>
      </c>
      <c r="M3731" s="74">
        <v>52.48434411075036</v>
      </c>
      <c r="N3731" s="74">
        <f t="shared" si="1"/>
        <v>301.7849786</v>
      </c>
      <c r="O3731" s="74" t="b">
        <v>1</v>
      </c>
    </row>
    <row r="3732" hidden="1">
      <c r="A3732" s="82"/>
      <c r="B3732" s="65" t="s">
        <v>411</v>
      </c>
      <c r="C3732" s="65" t="s">
        <v>117</v>
      </c>
      <c r="D3732" s="65" t="str">
        <f>vlookup(C3732,'Classificação p pessoal'!F:G,2,false)</f>
        <v>NP</v>
      </c>
      <c r="E3732" s="65" t="s">
        <v>2662</v>
      </c>
      <c r="F3732" s="83">
        <v>0.625</v>
      </c>
      <c r="G3732" s="83">
        <v>0.75</v>
      </c>
      <c r="H3732" s="83">
        <v>0.125</v>
      </c>
      <c r="I3732" s="84">
        <v>44501.0</v>
      </c>
      <c r="J3732" s="65" t="b">
        <v>1</v>
      </c>
      <c r="K3732" s="65"/>
      <c r="L3732" s="85" t="b">
        <f>IF(VLOOKUP(C3732,Projetos!A:L,12,false)=TRUE,TRUE,FALSE)</f>
        <v>1</v>
      </c>
      <c r="M3732" s="74">
        <v>52.48434411075036</v>
      </c>
      <c r="N3732" s="74">
        <f t="shared" si="1"/>
        <v>157.4530323</v>
      </c>
      <c r="O3732" s="74" t="b">
        <v>1</v>
      </c>
    </row>
    <row r="3733" hidden="1">
      <c r="A3733" s="82"/>
      <c r="B3733" s="65" t="s">
        <v>411</v>
      </c>
      <c r="C3733" s="65" t="s">
        <v>117</v>
      </c>
      <c r="D3733" s="65" t="str">
        <f>vlookup(C3733,'Classificação p pessoal'!F:G,2,false)</f>
        <v>NP</v>
      </c>
      <c r="E3733" s="65" t="s">
        <v>2663</v>
      </c>
      <c r="F3733" s="83">
        <v>0.34375</v>
      </c>
      <c r="G3733" s="83">
        <v>0.625</v>
      </c>
      <c r="H3733" s="83">
        <v>0.28125</v>
      </c>
      <c r="I3733" s="84">
        <v>44503.0</v>
      </c>
      <c r="J3733" s="65" t="b">
        <v>1</v>
      </c>
      <c r="K3733" s="65"/>
      <c r="L3733" s="85" t="b">
        <f>IF(VLOOKUP(C3733,Projetos!A:L,12,false)=TRUE,TRUE,FALSE)</f>
        <v>1</v>
      </c>
      <c r="M3733" s="74">
        <v>52.48434411075036</v>
      </c>
      <c r="N3733" s="74">
        <f t="shared" si="1"/>
        <v>354.2693227</v>
      </c>
      <c r="O3733" s="74" t="b">
        <v>1</v>
      </c>
    </row>
    <row r="3734" hidden="1">
      <c r="A3734" s="82"/>
      <c r="B3734" s="65" t="s">
        <v>411</v>
      </c>
      <c r="C3734" s="65" t="s">
        <v>108</v>
      </c>
      <c r="D3734" s="65" t="str">
        <f>vlookup(C3734,'Classificação p pessoal'!F:G,2,false)</f>
        <v>NP</v>
      </c>
      <c r="E3734" s="65" t="s">
        <v>2664</v>
      </c>
      <c r="F3734" s="83">
        <v>0.6666666666666666</v>
      </c>
      <c r="G3734" s="83">
        <v>0.6875</v>
      </c>
      <c r="H3734" s="83">
        <v>0.020833333333333332</v>
      </c>
      <c r="I3734" s="84">
        <v>44503.0</v>
      </c>
      <c r="J3734" s="65" t="b">
        <v>1</v>
      </c>
      <c r="K3734" s="65"/>
      <c r="L3734" s="85" t="b">
        <f>IF(VLOOKUP(C3734,Projetos!A:L,12,false)=TRUE,TRUE,FALSE)</f>
        <v>1</v>
      </c>
      <c r="M3734" s="74">
        <v>52.48434411075036</v>
      </c>
      <c r="N3734" s="74">
        <f t="shared" si="1"/>
        <v>26.24217206</v>
      </c>
      <c r="O3734" s="74" t="b">
        <v>1</v>
      </c>
    </row>
    <row r="3735" hidden="1">
      <c r="A3735" s="82"/>
      <c r="B3735" s="65" t="s">
        <v>467</v>
      </c>
      <c r="C3735" s="65" t="s">
        <v>113</v>
      </c>
      <c r="D3735" s="65" t="str">
        <f>vlookup(C3735,'Classificação p pessoal'!F:G,2,false)</f>
        <v>NP</v>
      </c>
      <c r="E3735" s="65" t="s">
        <v>2606</v>
      </c>
      <c r="F3735" s="83">
        <v>0.625</v>
      </c>
      <c r="G3735" s="83">
        <v>0.7083333333333334</v>
      </c>
      <c r="H3735" s="83">
        <v>0.08333333333333333</v>
      </c>
      <c r="I3735" s="84">
        <v>44439.0</v>
      </c>
      <c r="J3735" s="65" t="b">
        <v>1</v>
      </c>
      <c r="K3735" s="65"/>
      <c r="L3735" s="85" t="b">
        <f>IF(VLOOKUP(C3735,Projetos!A:L,12,false)=TRUE,TRUE,FALSE)</f>
        <v>1</v>
      </c>
      <c r="M3735" s="74">
        <v>52.1518759018759</v>
      </c>
      <c r="N3735" s="74">
        <f t="shared" si="1"/>
        <v>104.3037518</v>
      </c>
      <c r="O3735" s="74" t="b">
        <v>1</v>
      </c>
    </row>
    <row r="3736" hidden="1">
      <c r="A3736" s="82"/>
      <c r="B3736" s="65" t="s">
        <v>411</v>
      </c>
      <c r="C3736" s="65" t="s">
        <v>132</v>
      </c>
      <c r="D3736" s="65"/>
      <c r="E3736" s="65" t="s">
        <v>2665</v>
      </c>
      <c r="F3736" s="83">
        <v>0.34375</v>
      </c>
      <c r="G3736" s="83">
        <v>0.4166666666666667</v>
      </c>
      <c r="H3736" s="83">
        <v>0.07291666666666667</v>
      </c>
      <c r="I3736" s="84">
        <v>44504.0</v>
      </c>
      <c r="J3736" s="65" t="b">
        <v>1</v>
      </c>
      <c r="K3736" s="65"/>
      <c r="L3736" s="85" t="b">
        <f>IF(VLOOKUP(C3736,Projetos!A:L,12,false)=TRUE,TRUE,FALSE)</f>
        <v>0</v>
      </c>
      <c r="M3736" s="74">
        <v>52.48434411075036</v>
      </c>
      <c r="N3736" s="74">
        <f t="shared" si="1"/>
        <v>0</v>
      </c>
      <c r="O3736" s="74" t="b">
        <v>0</v>
      </c>
    </row>
    <row r="3737" hidden="1">
      <c r="A3737" s="82"/>
      <c r="B3737" s="65" t="s">
        <v>411</v>
      </c>
      <c r="C3737" s="65" t="s">
        <v>117</v>
      </c>
      <c r="D3737" s="65" t="str">
        <f>vlookup(C3737,'Classificação p pessoal'!F:G,2,false)</f>
        <v>NP</v>
      </c>
      <c r="E3737" s="65" t="s">
        <v>2666</v>
      </c>
      <c r="F3737" s="83">
        <v>0.4583333333333333</v>
      </c>
      <c r="G3737" s="83">
        <v>0.5833333333333334</v>
      </c>
      <c r="H3737" s="83">
        <v>0.125</v>
      </c>
      <c r="I3737" s="84">
        <v>44504.0</v>
      </c>
      <c r="J3737" s="65" t="b">
        <v>1</v>
      </c>
      <c r="K3737" s="65"/>
      <c r="L3737" s="85" t="b">
        <f>IF(VLOOKUP(C3737,Projetos!A:L,12,false)=TRUE,TRUE,FALSE)</f>
        <v>1</v>
      </c>
      <c r="M3737" s="74">
        <v>52.48434411075036</v>
      </c>
      <c r="N3737" s="74">
        <f t="shared" si="1"/>
        <v>157.4530323</v>
      </c>
      <c r="O3737" s="74" t="b">
        <v>1</v>
      </c>
    </row>
    <row r="3738" hidden="1">
      <c r="A3738" s="82"/>
      <c r="B3738" s="65" t="s">
        <v>411</v>
      </c>
      <c r="C3738" s="65" t="s">
        <v>92</v>
      </c>
      <c r="D3738" s="65" t="str">
        <f>vlookup(C3738,'Classificação p pessoal'!F:G,2,false)</f>
        <v/>
      </c>
      <c r="E3738" s="65" t="s">
        <v>2667</v>
      </c>
      <c r="F3738" s="83">
        <v>0.625</v>
      </c>
      <c r="G3738" s="83">
        <v>0.6875</v>
      </c>
      <c r="H3738" s="83">
        <v>0.0625</v>
      </c>
      <c r="I3738" s="84">
        <v>44504.0</v>
      </c>
      <c r="J3738" s="65" t="b">
        <v>1</v>
      </c>
      <c r="K3738" s="65"/>
      <c r="L3738" s="85" t="b">
        <f>IF(VLOOKUP(C3738,Projetos!A:L,12,false)=TRUE,TRUE,FALSE)</f>
        <v>1</v>
      </c>
      <c r="M3738" s="74">
        <v>52.48434411075036</v>
      </c>
      <c r="N3738" s="74">
        <f t="shared" si="1"/>
        <v>78.72651617</v>
      </c>
      <c r="O3738" s="74" t="b">
        <v>1</v>
      </c>
    </row>
    <row r="3739" hidden="1">
      <c r="A3739" s="82"/>
      <c r="B3739" s="65" t="s">
        <v>411</v>
      </c>
      <c r="C3739" s="65" t="s">
        <v>117</v>
      </c>
      <c r="D3739" s="65" t="str">
        <f>vlookup(C3739,'Classificação p pessoal'!F:G,2,false)</f>
        <v>NP</v>
      </c>
      <c r="E3739" s="65" t="s">
        <v>2668</v>
      </c>
      <c r="F3739" s="83">
        <v>0.6875</v>
      </c>
      <c r="G3739" s="83">
        <v>0.75</v>
      </c>
      <c r="H3739" s="83">
        <v>0.0625</v>
      </c>
      <c r="I3739" s="84">
        <v>44504.0</v>
      </c>
      <c r="J3739" s="65" t="b">
        <v>1</v>
      </c>
      <c r="K3739" s="65"/>
      <c r="L3739" s="85" t="b">
        <f>IF(VLOOKUP(C3739,Projetos!A:L,12,false)=TRUE,TRUE,FALSE)</f>
        <v>1</v>
      </c>
      <c r="M3739" s="74">
        <v>52.48434411075036</v>
      </c>
      <c r="N3739" s="74">
        <f t="shared" si="1"/>
        <v>78.72651617</v>
      </c>
      <c r="O3739" s="74" t="b">
        <v>1</v>
      </c>
    </row>
    <row r="3740" hidden="1">
      <c r="A3740" s="82"/>
      <c r="B3740" s="65" t="s">
        <v>411</v>
      </c>
      <c r="C3740" s="65" t="s">
        <v>117</v>
      </c>
      <c r="D3740" s="65" t="str">
        <f>vlookup(C3740,'Classificação p pessoal'!F:G,2,false)</f>
        <v>NP</v>
      </c>
      <c r="E3740" s="65" t="s">
        <v>2205</v>
      </c>
      <c r="F3740" s="83">
        <v>0.34375</v>
      </c>
      <c r="G3740" s="83">
        <v>0.375</v>
      </c>
      <c r="H3740" s="83">
        <v>0.03125</v>
      </c>
      <c r="I3740" s="84">
        <v>44505.0</v>
      </c>
      <c r="J3740" s="65" t="b">
        <v>1</v>
      </c>
      <c r="K3740" s="65"/>
      <c r="L3740" s="85" t="b">
        <f>IF(VLOOKUP(C3740,Projetos!A:L,12,false)=TRUE,TRUE,FALSE)</f>
        <v>1</v>
      </c>
      <c r="M3740" s="74">
        <v>52.48434411075036</v>
      </c>
      <c r="N3740" s="74">
        <f t="shared" si="1"/>
        <v>39.36325808</v>
      </c>
      <c r="O3740" s="74" t="b">
        <v>1</v>
      </c>
    </row>
    <row r="3741" hidden="1">
      <c r="A3741" s="82"/>
      <c r="B3741" s="65" t="s">
        <v>411</v>
      </c>
      <c r="C3741" s="65" t="s">
        <v>120</v>
      </c>
      <c r="D3741" s="65"/>
      <c r="E3741" s="65" t="s">
        <v>2669</v>
      </c>
      <c r="F3741" s="83">
        <v>0.625</v>
      </c>
      <c r="G3741" s="83">
        <v>0.7083333333333334</v>
      </c>
      <c r="H3741" s="83">
        <v>0.08333333333333333</v>
      </c>
      <c r="I3741" s="84">
        <v>44264.0</v>
      </c>
      <c r="J3741" s="65" t="b">
        <v>0</v>
      </c>
      <c r="K3741" s="65"/>
      <c r="L3741" s="85" t="b">
        <f>IF(VLOOKUP(C3741,Projetos!A:L,12,false)=TRUE,TRUE,FALSE)</f>
        <v>0</v>
      </c>
      <c r="M3741" s="74">
        <v>52.48434411075036</v>
      </c>
      <c r="N3741" s="74">
        <f t="shared" si="1"/>
        <v>0</v>
      </c>
      <c r="O3741" s="74" t="b">
        <v>0</v>
      </c>
    </row>
    <row r="3742" hidden="1">
      <c r="A3742" s="82"/>
      <c r="B3742" s="65" t="s">
        <v>411</v>
      </c>
      <c r="C3742" s="65" t="s">
        <v>92</v>
      </c>
      <c r="D3742" s="65" t="str">
        <f>vlookup(C3742,'Classificação p pessoal'!F:G,2,false)</f>
        <v/>
      </c>
      <c r="E3742" s="65" t="s">
        <v>2670</v>
      </c>
      <c r="F3742" s="83">
        <v>0.4375</v>
      </c>
      <c r="G3742" s="83">
        <v>0.4583333333333333</v>
      </c>
      <c r="H3742" s="83">
        <v>0.020833333333333332</v>
      </c>
      <c r="I3742" s="84">
        <v>44505.0</v>
      </c>
      <c r="J3742" s="65" t="b">
        <v>1</v>
      </c>
      <c r="K3742" s="65"/>
      <c r="L3742" s="85" t="b">
        <f>IF(VLOOKUP(C3742,Projetos!A:L,12,false)=TRUE,TRUE,FALSE)</f>
        <v>1</v>
      </c>
      <c r="M3742" s="74">
        <v>52.48434411075036</v>
      </c>
      <c r="N3742" s="74">
        <f t="shared" si="1"/>
        <v>26.24217206</v>
      </c>
      <c r="O3742" s="74" t="b">
        <v>1</v>
      </c>
    </row>
    <row r="3743" hidden="1">
      <c r="A3743" s="82"/>
      <c r="B3743" s="65" t="s">
        <v>411</v>
      </c>
      <c r="C3743" s="65" t="s">
        <v>117</v>
      </c>
      <c r="D3743" s="65" t="str">
        <f>vlookup(C3743,'Classificação p pessoal'!F:G,2,false)</f>
        <v>NP</v>
      </c>
      <c r="E3743" s="65" t="s">
        <v>2671</v>
      </c>
      <c r="F3743" s="83">
        <v>0.4583333333333333</v>
      </c>
      <c r="G3743" s="83">
        <v>0.5833333333333334</v>
      </c>
      <c r="H3743" s="83">
        <v>0.125</v>
      </c>
      <c r="I3743" s="84">
        <v>44505.0</v>
      </c>
      <c r="J3743" s="65" t="b">
        <v>1</v>
      </c>
      <c r="K3743" s="65"/>
      <c r="L3743" s="85" t="b">
        <f>IF(VLOOKUP(C3743,Projetos!A:L,12,false)=TRUE,TRUE,FALSE)</f>
        <v>1</v>
      </c>
      <c r="M3743" s="74">
        <v>52.48434411075036</v>
      </c>
      <c r="N3743" s="74">
        <f t="shared" si="1"/>
        <v>157.4530323</v>
      </c>
      <c r="O3743" s="74" t="b">
        <v>1</v>
      </c>
    </row>
    <row r="3744" hidden="1">
      <c r="A3744" s="82"/>
      <c r="B3744" s="65" t="s">
        <v>411</v>
      </c>
      <c r="C3744" s="65" t="s">
        <v>117</v>
      </c>
      <c r="D3744" s="65" t="str">
        <f>vlookup(C3744,'Classificação p pessoal'!F:G,2,false)</f>
        <v>NP</v>
      </c>
      <c r="E3744" s="65" t="s">
        <v>2672</v>
      </c>
      <c r="F3744" s="83">
        <v>0.625</v>
      </c>
      <c r="G3744" s="83">
        <v>0.7083333333333334</v>
      </c>
      <c r="H3744" s="83">
        <v>0.08333333333333333</v>
      </c>
      <c r="I3744" s="84">
        <v>44505.0</v>
      </c>
      <c r="J3744" s="65" t="b">
        <v>1</v>
      </c>
      <c r="K3744" s="65"/>
      <c r="L3744" s="85" t="b">
        <f>IF(VLOOKUP(C3744,Projetos!A:L,12,false)=TRUE,TRUE,FALSE)</f>
        <v>1</v>
      </c>
      <c r="M3744" s="74">
        <v>52.48434411075036</v>
      </c>
      <c r="N3744" s="74">
        <f t="shared" si="1"/>
        <v>104.9686882</v>
      </c>
      <c r="O3744" s="74" t="b">
        <v>1</v>
      </c>
    </row>
    <row r="3745" hidden="1">
      <c r="A3745" s="82"/>
      <c r="B3745" s="65" t="s">
        <v>411</v>
      </c>
      <c r="C3745" s="65" t="s">
        <v>92</v>
      </c>
      <c r="D3745" s="65" t="str">
        <f>vlookup(C3745,'Classificação p pessoal'!F:G,2,false)</f>
        <v/>
      </c>
      <c r="E3745" s="65" t="s">
        <v>2673</v>
      </c>
      <c r="F3745" s="83">
        <v>0.7083333333333334</v>
      </c>
      <c r="G3745" s="83">
        <v>0.75</v>
      </c>
      <c r="H3745" s="83">
        <v>0.041666666666666664</v>
      </c>
      <c r="I3745" s="84">
        <v>44505.0</v>
      </c>
      <c r="J3745" s="65" t="b">
        <v>1</v>
      </c>
      <c r="K3745" s="65"/>
      <c r="L3745" s="85" t="b">
        <f>IF(VLOOKUP(C3745,Projetos!A:L,12,false)=TRUE,TRUE,FALSE)</f>
        <v>1</v>
      </c>
      <c r="M3745" s="74">
        <v>52.48434411075036</v>
      </c>
      <c r="N3745" s="74">
        <f t="shared" si="1"/>
        <v>52.48434411</v>
      </c>
      <c r="O3745" s="74" t="b">
        <v>1</v>
      </c>
    </row>
    <row r="3746" hidden="1">
      <c r="A3746" s="82"/>
      <c r="B3746" s="65" t="s">
        <v>411</v>
      </c>
      <c r="C3746" s="65" t="s">
        <v>92</v>
      </c>
      <c r="D3746" s="65" t="str">
        <f>vlookup(C3746,'Classificação p pessoal'!F:G,2,false)</f>
        <v/>
      </c>
      <c r="E3746" s="65" t="s">
        <v>2674</v>
      </c>
      <c r="F3746" s="83">
        <v>0.34375</v>
      </c>
      <c r="G3746" s="83">
        <v>0.4583333333333333</v>
      </c>
      <c r="H3746" s="83">
        <v>0.11458333333333333</v>
      </c>
      <c r="I3746" s="84">
        <v>44508.0</v>
      </c>
      <c r="J3746" s="65" t="b">
        <v>1</v>
      </c>
      <c r="K3746" s="65"/>
      <c r="L3746" s="85" t="b">
        <f>IF(VLOOKUP(C3746,Projetos!A:L,12,false)=TRUE,TRUE,FALSE)</f>
        <v>1</v>
      </c>
      <c r="M3746" s="74">
        <v>52.48434411075036</v>
      </c>
      <c r="N3746" s="74">
        <f t="shared" si="1"/>
        <v>144.3319463</v>
      </c>
      <c r="O3746" s="74" t="b">
        <v>1</v>
      </c>
    </row>
    <row r="3747" hidden="1">
      <c r="A3747" s="82"/>
      <c r="B3747" s="65" t="s">
        <v>411</v>
      </c>
      <c r="C3747" s="65" t="s">
        <v>132</v>
      </c>
      <c r="D3747" s="65"/>
      <c r="E3747" s="65" t="s">
        <v>2675</v>
      </c>
      <c r="F3747" s="83">
        <v>0.5</v>
      </c>
      <c r="G3747" s="83">
        <v>0.5416666666666666</v>
      </c>
      <c r="H3747" s="83">
        <v>0.041666666666666664</v>
      </c>
      <c r="I3747" s="84">
        <v>44508.0</v>
      </c>
      <c r="J3747" s="65" t="b">
        <v>1</v>
      </c>
      <c r="K3747" s="65"/>
      <c r="L3747" s="85" t="b">
        <f>IF(VLOOKUP(C3747,Projetos!A:L,12,false)=TRUE,TRUE,FALSE)</f>
        <v>0</v>
      </c>
      <c r="M3747" s="74">
        <v>52.48434411075036</v>
      </c>
      <c r="N3747" s="74">
        <f t="shared" si="1"/>
        <v>0</v>
      </c>
      <c r="O3747" s="74" t="b">
        <v>0</v>
      </c>
    </row>
    <row r="3748" hidden="1">
      <c r="A3748" s="82"/>
      <c r="B3748" s="65" t="s">
        <v>411</v>
      </c>
      <c r="C3748" s="65" t="s">
        <v>92</v>
      </c>
      <c r="D3748" s="65" t="str">
        <f>vlookup(C3748,'Classificação p pessoal'!F:G,2,false)</f>
        <v/>
      </c>
      <c r="E3748" s="65" t="s">
        <v>2676</v>
      </c>
      <c r="F3748" s="83">
        <v>0.5833333333333334</v>
      </c>
      <c r="G3748" s="83">
        <v>0.625</v>
      </c>
      <c r="H3748" s="83">
        <v>0.041666666666666664</v>
      </c>
      <c r="I3748" s="84">
        <v>44508.0</v>
      </c>
      <c r="J3748" s="65" t="b">
        <v>1</v>
      </c>
      <c r="K3748" s="65"/>
      <c r="L3748" s="85" t="b">
        <f>IF(VLOOKUP(C3748,Projetos!A:L,12,false)=TRUE,TRUE,FALSE)</f>
        <v>1</v>
      </c>
      <c r="M3748" s="74">
        <v>52.48434411075036</v>
      </c>
      <c r="N3748" s="74">
        <f t="shared" si="1"/>
        <v>52.48434411</v>
      </c>
      <c r="O3748" s="74" t="b">
        <v>1</v>
      </c>
    </row>
    <row r="3749" hidden="1">
      <c r="A3749" s="82"/>
      <c r="B3749" s="65" t="s">
        <v>411</v>
      </c>
      <c r="C3749" s="65" t="s">
        <v>117</v>
      </c>
      <c r="D3749" s="65"/>
      <c r="E3749" s="65" t="s">
        <v>2677</v>
      </c>
      <c r="F3749" s="83">
        <v>0.625</v>
      </c>
      <c r="G3749" s="83">
        <v>0.7777777777777778</v>
      </c>
      <c r="H3749" s="83">
        <v>0.1527777777777778</v>
      </c>
      <c r="I3749" s="84">
        <v>44508.0</v>
      </c>
      <c r="J3749" s="65" t="b">
        <v>0</v>
      </c>
      <c r="K3749" s="65" t="s">
        <v>150</v>
      </c>
      <c r="L3749" s="85" t="b">
        <f>IF(VLOOKUP(C3749,Projetos!A:L,12,false)=TRUE,TRUE,FALSE)</f>
        <v>1</v>
      </c>
      <c r="M3749" s="74">
        <v>52.48434411075036</v>
      </c>
      <c r="N3749" s="74">
        <f t="shared" si="1"/>
        <v>0</v>
      </c>
      <c r="O3749" s="74" t="b">
        <v>1</v>
      </c>
    </row>
    <row r="3750" hidden="1">
      <c r="A3750" s="82"/>
      <c r="B3750" s="65" t="s">
        <v>411</v>
      </c>
      <c r="C3750" s="65" t="s">
        <v>92</v>
      </c>
      <c r="D3750" s="65" t="str">
        <f>vlookup(C3750,'Classificação p pessoal'!F:G,2,false)</f>
        <v/>
      </c>
      <c r="E3750" s="65" t="s">
        <v>2678</v>
      </c>
      <c r="F3750" s="83">
        <v>0.34375</v>
      </c>
      <c r="G3750" s="83">
        <v>0.4375</v>
      </c>
      <c r="H3750" s="83">
        <v>0.09375</v>
      </c>
      <c r="I3750" s="84">
        <v>44509.0</v>
      </c>
      <c r="J3750" s="65" t="b">
        <v>1</v>
      </c>
      <c r="K3750" s="65"/>
      <c r="L3750" s="85" t="b">
        <f>IF(VLOOKUP(C3750,Projetos!A:L,12,false)=TRUE,TRUE,FALSE)</f>
        <v>1</v>
      </c>
      <c r="M3750" s="74">
        <v>52.48434411075036</v>
      </c>
      <c r="N3750" s="74">
        <f t="shared" si="1"/>
        <v>118.0897742</v>
      </c>
      <c r="O3750" s="74" t="b">
        <v>1</v>
      </c>
    </row>
    <row r="3751" hidden="1">
      <c r="A3751" s="82"/>
      <c r="B3751" s="65" t="s">
        <v>411</v>
      </c>
      <c r="C3751" s="65" t="s">
        <v>117</v>
      </c>
      <c r="D3751" s="65" t="str">
        <f>vlookup(C3751,'Classificação p pessoal'!F:G,2,false)</f>
        <v>NP</v>
      </c>
      <c r="E3751" s="65" t="s">
        <v>2679</v>
      </c>
      <c r="F3751" s="83">
        <v>0.4375</v>
      </c>
      <c r="G3751" s="83">
        <v>0.4791666666666667</v>
      </c>
      <c r="H3751" s="83">
        <v>0.041666666666666664</v>
      </c>
      <c r="I3751" s="84">
        <v>44509.0</v>
      </c>
      <c r="J3751" s="65" t="b">
        <v>1</v>
      </c>
      <c r="K3751" s="65"/>
      <c r="L3751" s="85" t="b">
        <f>IF(VLOOKUP(C3751,Projetos!A:L,12,false)=TRUE,TRUE,FALSE)</f>
        <v>1</v>
      </c>
      <c r="M3751" s="74">
        <v>52.48434411075036</v>
      </c>
      <c r="N3751" s="74">
        <f t="shared" si="1"/>
        <v>52.48434411</v>
      </c>
      <c r="O3751" s="74" t="b">
        <v>1</v>
      </c>
    </row>
    <row r="3752" hidden="1">
      <c r="A3752" s="82"/>
      <c r="B3752" s="65" t="s">
        <v>177</v>
      </c>
      <c r="C3752" s="65" t="s">
        <v>100</v>
      </c>
      <c r="D3752" s="65" t="str">
        <f>vlookup(C3752,'Classificação p pessoal'!F:G,2,false)</f>
        <v>NP</v>
      </c>
      <c r="E3752" s="65" t="s">
        <v>2680</v>
      </c>
      <c r="F3752" s="83">
        <v>0.6458333333333334</v>
      </c>
      <c r="G3752" s="83">
        <v>0.75</v>
      </c>
      <c r="H3752" s="83">
        <v>0.10416666666666667</v>
      </c>
      <c r="I3752" s="84">
        <v>44344.0</v>
      </c>
      <c r="J3752" s="65" t="b">
        <v>1</v>
      </c>
      <c r="K3752" s="65"/>
      <c r="L3752" s="85" t="b">
        <f>IF(VLOOKUP(C3752,Projetos!A:L,12,false)=TRUE,TRUE,FALSE)</f>
        <v>1</v>
      </c>
      <c r="M3752" s="74">
        <v>31.02923620430495</v>
      </c>
      <c r="N3752" s="74">
        <f t="shared" si="1"/>
        <v>77.57309051</v>
      </c>
      <c r="O3752" s="74" t="b">
        <v>1</v>
      </c>
    </row>
    <row r="3753" hidden="1">
      <c r="A3753" s="82"/>
      <c r="B3753" s="65" t="s">
        <v>411</v>
      </c>
      <c r="C3753" s="65" t="s">
        <v>92</v>
      </c>
      <c r="D3753" s="65" t="str">
        <f>vlookup(C3753,'Classificação p pessoal'!F:G,2,false)</f>
        <v/>
      </c>
      <c r="E3753" s="65" t="s">
        <v>2681</v>
      </c>
      <c r="F3753" s="83">
        <v>0.5</v>
      </c>
      <c r="G3753" s="83">
        <v>0.6041666666666666</v>
      </c>
      <c r="H3753" s="83">
        <v>0.10416666666666667</v>
      </c>
      <c r="I3753" s="84">
        <v>44509.0</v>
      </c>
      <c r="J3753" s="65" t="b">
        <v>1</v>
      </c>
      <c r="K3753" s="65"/>
      <c r="L3753" s="85" t="b">
        <f>IF(VLOOKUP(C3753,Projetos!A:L,12,false)=TRUE,TRUE,FALSE)</f>
        <v>1</v>
      </c>
      <c r="M3753" s="74">
        <v>52.48434411075036</v>
      </c>
      <c r="N3753" s="74">
        <f t="shared" si="1"/>
        <v>131.2108603</v>
      </c>
      <c r="O3753" s="74" t="b">
        <v>1</v>
      </c>
    </row>
    <row r="3754" hidden="1">
      <c r="A3754" s="82"/>
      <c r="B3754" s="65" t="s">
        <v>411</v>
      </c>
      <c r="C3754" s="65" t="s">
        <v>117</v>
      </c>
      <c r="D3754" s="65" t="str">
        <f>vlookup(C3754,'Classificação p pessoal'!F:G,2,false)</f>
        <v>NP</v>
      </c>
      <c r="E3754" s="65" t="s">
        <v>1944</v>
      </c>
      <c r="F3754" s="83">
        <v>0.6458333333333334</v>
      </c>
      <c r="G3754" s="83">
        <v>0.6875</v>
      </c>
      <c r="H3754" s="83">
        <v>0.041666666666666664</v>
      </c>
      <c r="I3754" s="84">
        <v>44509.0</v>
      </c>
      <c r="J3754" s="65" t="b">
        <v>1</v>
      </c>
      <c r="K3754" s="65"/>
      <c r="L3754" s="85" t="b">
        <f>IF(VLOOKUP(C3754,Projetos!A:L,12,false)=TRUE,TRUE,FALSE)</f>
        <v>1</v>
      </c>
      <c r="M3754" s="74">
        <v>52.48434411075036</v>
      </c>
      <c r="N3754" s="74">
        <f t="shared" si="1"/>
        <v>52.48434411</v>
      </c>
      <c r="O3754" s="74" t="b">
        <v>1</v>
      </c>
    </row>
    <row r="3755" hidden="1">
      <c r="A3755" s="82"/>
      <c r="B3755" s="65" t="s">
        <v>411</v>
      </c>
      <c r="C3755" s="65" t="s">
        <v>92</v>
      </c>
      <c r="D3755" s="65" t="str">
        <f>vlookup(C3755,'Classificação p pessoal'!F:G,2,false)</f>
        <v/>
      </c>
      <c r="E3755" s="65" t="s">
        <v>2682</v>
      </c>
      <c r="F3755" s="83">
        <v>0.6875</v>
      </c>
      <c r="G3755" s="83">
        <v>0.75</v>
      </c>
      <c r="H3755" s="83">
        <v>0.0625</v>
      </c>
      <c r="I3755" s="84">
        <v>44509.0</v>
      </c>
      <c r="J3755" s="65" t="b">
        <v>1</v>
      </c>
      <c r="K3755" s="65"/>
      <c r="L3755" s="85" t="b">
        <f>IF(VLOOKUP(C3755,Projetos!A:L,12,false)=TRUE,TRUE,FALSE)</f>
        <v>1</v>
      </c>
      <c r="M3755" s="74">
        <v>52.48434411075036</v>
      </c>
      <c r="N3755" s="74">
        <f t="shared" si="1"/>
        <v>78.72651617</v>
      </c>
      <c r="O3755" s="74" t="b">
        <v>1</v>
      </c>
    </row>
    <row r="3756" hidden="1">
      <c r="A3756" s="82"/>
      <c r="B3756" s="65" t="s">
        <v>411</v>
      </c>
      <c r="C3756" s="65" t="s">
        <v>92</v>
      </c>
      <c r="D3756" s="65" t="str">
        <f>vlookup(C3756,'Classificação p pessoal'!F:G,2,false)</f>
        <v/>
      </c>
      <c r="E3756" s="65" t="s">
        <v>2683</v>
      </c>
      <c r="F3756" s="83">
        <v>0.34375</v>
      </c>
      <c r="G3756" s="83">
        <v>0.4375</v>
      </c>
      <c r="H3756" s="83">
        <v>0.09375</v>
      </c>
      <c r="I3756" s="84">
        <v>44510.0</v>
      </c>
      <c r="J3756" s="65" t="b">
        <v>1</v>
      </c>
      <c r="K3756" s="65"/>
      <c r="L3756" s="85" t="b">
        <f>IF(VLOOKUP(C3756,Projetos!A:L,12,false)=TRUE,TRUE,FALSE)</f>
        <v>1</v>
      </c>
      <c r="M3756" s="74">
        <v>52.48434411075036</v>
      </c>
      <c r="N3756" s="74">
        <f t="shared" si="1"/>
        <v>118.0897742</v>
      </c>
      <c r="O3756" s="74" t="b">
        <v>1</v>
      </c>
    </row>
    <row r="3757" hidden="1">
      <c r="A3757" s="82"/>
      <c r="B3757" s="65" t="s">
        <v>411</v>
      </c>
      <c r="C3757" s="65" t="s">
        <v>117</v>
      </c>
      <c r="D3757" s="65"/>
      <c r="E3757" s="65" t="s">
        <v>2684</v>
      </c>
      <c r="F3757" s="83">
        <v>0.4375</v>
      </c>
      <c r="G3757" s="83">
        <v>0.4791666666666667</v>
      </c>
      <c r="H3757" s="83">
        <v>0.041666666666666664</v>
      </c>
      <c r="I3757" s="84">
        <v>44510.0</v>
      </c>
      <c r="J3757" s="65" t="b">
        <v>0</v>
      </c>
      <c r="K3757" s="65" t="s">
        <v>150</v>
      </c>
      <c r="L3757" s="85" t="b">
        <f>IF(VLOOKUP(C3757,Projetos!A:L,12,false)=TRUE,TRUE,FALSE)</f>
        <v>1</v>
      </c>
      <c r="M3757" s="74">
        <v>52.48434411075036</v>
      </c>
      <c r="N3757" s="74">
        <f t="shared" si="1"/>
        <v>0</v>
      </c>
      <c r="O3757" s="74" t="b">
        <v>1</v>
      </c>
    </row>
    <row r="3758" hidden="1">
      <c r="A3758" s="82"/>
      <c r="B3758" s="65" t="s">
        <v>411</v>
      </c>
      <c r="C3758" s="65" t="s">
        <v>120</v>
      </c>
      <c r="D3758" s="65"/>
      <c r="E3758" s="65" t="s">
        <v>2685</v>
      </c>
      <c r="F3758" s="83">
        <v>0.4791666666666667</v>
      </c>
      <c r="G3758" s="83">
        <v>0.5208333333333334</v>
      </c>
      <c r="H3758" s="83">
        <v>0.041666666666666664</v>
      </c>
      <c r="I3758" s="84">
        <v>44510.0</v>
      </c>
      <c r="J3758" s="65" t="b">
        <v>0</v>
      </c>
      <c r="K3758" s="65"/>
      <c r="L3758" s="85" t="b">
        <f>IF(VLOOKUP(C3758,Projetos!A:L,12,false)=TRUE,TRUE,FALSE)</f>
        <v>0</v>
      </c>
      <c r="M3758" s="74">
        <v>52.48434411075036</v>
      </c>
      <c r="N3758" s="74">
        <f t="shared" si="1"/>
        <v>0</v>
      </c>
      <c r="O3758" s="74" t="b">
        <v>0</v>
      </c>
    </row>
    <row r="3759" hidden="1">
      <c r="A3759" s="82"/>
      <c r="B3759" s="65" t="s">
        <v>411</v>
      </c>
      <c r="C3759" s="65" t="s">
        <v>117</v>
      </c>
      <c r="D3759" s="65" t="str">
        <f>vlookup(C3759,'Classificação p pessoal'!F:G,2,false)</f>
        <v>NP</v>
      </c>
      <c r="E3759" s="65" t="s">
        <v>2686</v>
      </c>
      <c r="F3759" s="83">
        <v>0.5208333333333334</v>
      </c>
      <c r="G3759" s="83">
        <v>0.5625</v>
      </c>
      <c r="H3759" s="83">
        <v>0.041666666666666664</v>
      </c>
      <c r="I3759" s="84">
        <v>44510.0</v>
      </c>
      <c r="J3759" s="65" t="b">
        <v>1</v>
      </c>
      <c r="K3759" s="65"/>
      <c r="L3759" s="85" t="b">
        <f>IF(VLOOKUP(C3759,Projetos!A:L,12,false)=TRUE,TRUE,FALSE)</f>
        <v>1</v>
      </c>
      <c r="M3759" s="74">
        <v>52.48434411075036</v>
      </c>
      <c r="N3759" s="74">
        <f t="shared" si="1"/>
        <v>52.48434411</v>
      </c>
      <c r="O3759" s="74" t="b">
        <v>1</v>
      </c>
    </row>
    <row r="3760" hidden="1">
      <c r="A3760" s="82"/>
      <c r="B3760" s="65" t="s">
        <v>411</v>
      </c>
      <c r="C3760" s="65" t="s">
        <v>132</v>
      </c>
      <c r="D3760" s="65"/>
      <c r="E3760" s="65" t="s">
        <v>2687</v>
      </c>
      <c r="F3760" s="83">
        <v>0.6041666666666666</v>
      </c>
      <c r="G3760" s="83">
        <v>0.6458333333333334</v>
      </c>
      <c r="H3760" s="83">
        <v>0.041666666666666664</v>
      </c>
      <c r="I3760" s="84">
        <v>44510.0</v>
      </c>
      <c r="J3760" s="65" t="b">
        <v>1</v>
      </c>
      <c r="K3760" s="65"/>
      <c r="L3760" s="85" t="b">
        <f>IF(VLOOKUP(C3760,Projetos!A:L,12,false)=TRUE,TRUE,FALSE)</f>
        <v>0</v>
      </c>
      <c r="M3760" s="74">
        <v>52.48434411075036</v>
      </c>
      <c r="N3760" s="74">
        <f t="shared" si="1"/>
        <v>0</v>
      </c>
      <c r="O3760" s="74" t="b">
        <v>0</v>
      </c>
    </row>
    <row r="3761" hidden="1">
      <c r="A3761" s="82"/>
      <c r="B3761" s="65" t="s">
        <v>411</v>
      </c>
      <c r="C3761" s="65" t="s">
        <v>117</v>
      </c>
      <c r="D3761" s="65" t="str">
        <f>vlookup(C3761,'Classificação p pessoal'!F:G,2,false)</f>
        <v>NP</v>
      </c>
      <c r="E3761" s="65" t="s">
        <v>2257</v>
      </c>
      <c r="F3761" s="83">
        <v>0.6458333333333334</v>
      </c>
      <c r="G3761" s="83">
        <v>0.6875</v>
      </c>
      <c r="H3761" s="83">
        <v>0.041666666666666664</v>
      </c>
      <c r="I3761" s="84">
        <v>44510.0</v>
      </c>
      <c r="J3761" s="65" t="b">
        <v>1</v>
      </c>
      <c r="K3761" s="65"/>
      <c r="L3761" s="85" t="b">
        <f>IF(VLOOKUP(C3761,Projetos!A:L,12,false)=TRUE,TRUE,FALSE)</f>
        <v>1</v>
      </c>
      <c r="M3761" s="74">
        <v>52.48434411075036</v>
      </c>
      <c r="N3761" s="74">
        <f t="shared" si="1"/>
        <v>52.48434411</v>
      </c>
      <c r="O3761" s="74" t="b">
        <v>1</v>
      </c>
    </row>
    <row r="3762" hidden="1">
      <c r="A3762" s="82"/>
      <c r="B3762" s="65" t="s">
        <v>411</v>
      </c>
      <c r="C3762" s="65" t="s">
        <v>117</v>
      </c>
      <c r="D3762" s="65" t="str">
        <f>vlookup(C3762,'Classificação p pessoal'!F:G,2,false)</f>
        <v>NP</v>
      </c>
      <c r="E3762" s="65" t="s">
        <v>2688</v>
      </c>
      <c r="F3762" s="83">
        <v>0.34375</v>
      </c>
      <c r="G3762" s="83">
        <v>0.375</v>
      </c>
      <c r="H3762" s="83">
        <v>0.03125</v>
      </c>
      <c r="I3762" s="84">
        <v>44511.0</v>
      </c>
      <c r="J3762" s="65" t="b">
        <v>1</v>
      </c>
      <c r="K3762" s="65"/>
      <c r="L3762" s="85" t="b">
        <f>IF(VLOOKUP(C3762,Projetos!A:L,12,false)=TRUE,TRUE,FALSE)</f>
        <v>1</v>
      </c>
      <c r="M3762" s="74">
        <v>52.48434411075036</v>
      </c>
      <c r="N3762" s="74">
        <f t="shared" si="1"/>
        <v>39.36325808</v>
      </c>
      <c r="O3762" s="74" t="b">
        <v>1</v>
      </c>
    </row>
    <row r="3763" hidden="1">
      <c r="A3763" s="82"/>
      <c r="B3763" s="65" t="s">
        <v>411</v>
      </c>
      <c r="C3763" s="65" t="s">
        <v>132</v>
      </c>
      <c r="D3763" s="65"/>
      <c r="E3763" s="65" t="s">
        <v>2687</v>
      </c>
      <c r="F3763" s="83">
        <v>0.375</v>
      </c>
      <c r="G3763" s="83">
        <v>0.3958333333333333</v>
      </c>
      <c r="H3763" s="83">
        <v>0.020833333333333332</v>
      </c>
      <c r="I3763" s="84">
        <v>44511.0</v>
      </c>
      <c r="J3763" s="65" t="b">
        <v>1</v>
      </c>
      <c r="K3763" s="65"/>
      <c r="L3763" s="85" t="b">
        <f>IF(VLOOKUP(C3763,Projetos!A:L,12,false)=TRUE,TRUE,FALSE)</f>
        <v>0</v>
      </c>
      <c r="M3763" s="74">
        <v>52.48434411075036</v>
      </c>
      <c r="N3763" s="74">
        <f t="shared" si="1"/>
        <v>0</v>
      </c>
      <c r="O3763" s="74" t="b">
        <v>0</v>
      </c>
    </row>
    <row r="3764" hidden="1">
      <c r="A3764" s="82"/>
      <c r="B3764" s="65" t="s">
        <v>411</v>
      </c>
      <c r="C3764" s="65" t="s">
        <v>117</v>
      </c>
      <c r="D3764" s="65" t="str">
        <f>vlookup(C3764,'Classificação p pessoal'!F:G,2,false)</f>
        <v>NP</v>
      </c>
      <c r="E3764" s="65" t="s">
        <v>2689</v>
      </c>
      <c r="F3764" s="83">
        <v>0.3958333333333333</v>
      </c>
      <c r="G3764" s="83">
        <v>0.5208333333333334</v>
      </c>
      <c r="H3764" s="83">
        <v>0.125</v>
      </c>
      <c r="I3764" s="84">
        <v>44511.0</v>
      </c>
      <c r="J3764" s="65" t="b">
        <v>1</v>
      </c>
      <c r="K3764" s="65"/>
      <c r="L3764" s="85" t="b">
        <f>IF(VLOOKUP(C3764,Projetos!A:L,12,false)=TRUE,TRUE,FALSE)</f>
        <v>1</v>
      </c>
      <c r="M3764" s="74">
        <v>52.48434411075036</v>
      </c>
      <c r="N3764" s="74">
        <f t="shared" si="1"/>
        <v>157.4530323</v>
      </c>
      <c r="O3764" s="74" t="b">
        <v>1</v>
      </c>
    </row>
    <row r="3765" hidden="1">
      <c r="A3765" s="82"/>
      <c r="B3765" s="65" t="s">
        <v>411</v>
      </c>
      <c r="C3765" s="65" t="s">
        <v>132</v>
      </c>
      <c r="D3765" s="65"/>
      <c r="E3765" s="65" t="s">
        <v>2690</v>
      </c>
      <c r="F3765" s="83">
        <v>0.34375</v>
      </c>
      <c r="G3765" s="83">
        <v>0.5416666666666666</v>
      </c>
      <c r="H3765" s="83">
        <v>0.19791666666666666</v>
      </c>
      <c r="I3765" s="84">
        <v>44512.0</v>
      </c>
      <c r="J3765" s="65" t="b">
        <v>1</v>
      </c>
      <c r="K3765" s="65"/>
      <c r="L3765" s="85" t="b">
        <f>IF(VLOOKUP(C3765,Projetos!A:L,12,false)=TRUE,TRUE,FALSE)</f>
        <v>0</v>
      </c>
      <c r="M3765" s="74">
        <v>52.48434411075036</v>
      </c>
      <c r="N3765" s="74">
        <f t="shared" si="1"/>
        <v>0</v>
      </c>
      <c r="O3765" s="74" t="b">
        <v>0</v>
      </c>
    </row>
    <row r="3766" hidden="1">
      <c r="A3766" s="82"/>
      <c r="B3766" s="65" t="s">
        <v>411</v>
      </c>
      <c r="C3766" s="65" t="s">
        <v>117</v>
      </c>
      <c r="D3766" s="65" t="str">
        <f>vlookup(C3766,'Classificação p pessoal'!F:G,2,false)</f>
        <v>NP</v>
      </c>
      <c r="E3766" s="65" t="s">
        <v>2691</v>
      </c>
      <c r="F3766" s="83">
        <v>0.5416666666666666</v>
      </c>
      <c r="G3766" s="83">
        <v>0.5833333333333334</v>
      </c>
      <c r="H3766" s="83">
        <v>0.041666666666666664</v>
      </c>
      <c r="I3766" s="84">
        <v>44512.0</v>
      </c>
      <c r="J3766" s="65" t="b">
        <v>1</v>
      </c>
      <c r="K3766" s="65"/>
      <c r="L3766" s="85" t="b">
        <f>IF(VLOOKUP(C3766,Projetos!A:L,12,false)=TRUE,TRUE,FALSE)</f>
        <v>1</v>
      </c>
      <c r="M3766" s="74">
        <v>52.48434411075036</v>
      </c>
      <c r="N3766" s="74">
        <f t="shared" si="1"/>
        <v>52.48434411</v>
      </c>
      <c r="O3766" s="74" t="b">
        <v>1</v>
      </c>
    </row>
    <row r="3767" hidden="1">
      <c r="A3767" s="82"/>
      <c r="B3767" s="65" t="s">
        <v>411</v>
      </c>
      <c r="C3767" s="65" t="s">
        <v>125</v>
      </c>
      <c r="D3767" s="65" t="str">
        <f>vlookup(C3767,'Classificação p pessoal'!F:G,2,false)</f>
        <v>MProduto</v>
      </c>
      <c r="E3767" s="65" t="s">
        <v>1944</v>
      </c>
      <c r="F3767" s="83">
        <v>0.625</v>
      </c>
      <c r="G3767" s="83">
        <v>0.6666666666666666</v>
      </c>
      <c r="H3767" s="83">
        <v>0.041666666666666664</v>
      </c>
      <c r="I3767" s="84">
        <v>44512.0</v>
      </c>
      <c r="J3767" s="65" t="b">
        <v>1</v>
      </c>
      <c r="K3767" s="65"/>
      <c r="L3767" s="85" t="b">
        <f>IF(VLOOKUP(C3767,Projetos!A:L,12,false)=TRUE,TRUE,FALSE)</f>
        <v>1</v>
      </c>
      <c r="M3767" s="74">
        <v>52.48434411075036</v>
      </c>
      <c r="N3767" s="74">
        <f t="shared" si="1"/>
        <v>52.48434411</v>
      </c>
      <c r="O3767" s="74" t="b">
        <v>1</v>
      </c>
    </row>
    <row r="3768" hidden="1">
      <c r="A3768" s="82"/>
      <c r="B3768" s="65" t="s">
        <v>411</v>
      </c>
      <c r="C3768" s="65" t="s">
        <v>92</v>
      </c>
      <c r="D3768" s="65" t="str">
        <f>vlookup(C3768,'Classificação p pessoal'!F:G,2,false)</f>
        <v/>
      </c>
      <c r="E3768" s="65" t="s">
        <v>2692</v>
      </c>
      <c r="F3768" s="83">
        <v>0.6666666666666666</v>
      </c>
      <c r="G3768" s="83">
        <v>0.6875</v>
      </c>
      <c r="H3768" s="83">
        <v>0.020833333333333332</v>
      </c>
      <c r="I3768" s="84">
        <v>44512.0</v>
      </c>
      <c r="J3768" s="65" t="b">
        <v>1</v>
      </c>
      <c r="K3768" s="65"/>
      <c r="L3768" s="85" t="b">
        <f>IF(VLOOKUP(C3768,Projetos!A:L,12,false)=TRUE,TRUE,FALSE)</f>
        <v>1</v>
      </c>
      <c r="M3768" s="74">
        <v>52.48434411075036</v>
      </c>
      <c r="N3768" s="74">
        <f t="shared" si="1"/>
        <v>26.24217206</v>
      </c>
      <c r="O3768" s="74" t="b">
        <v>1</v>
      </c>
    </row>
    <row r="3769" hidden="1">
      <c r="A3769" s="82"/>
      <c r="B3769" s="65" t="s">
        <v>411</v>
      </c>
      <c r="C3769" s="65" t="s">
        <v>132</v>
      </c>
      <c r="D3769" s="65"/>
      <c r="E3769" s="65" t="s">
        <v>2693</v>
      </c>
      <c r="F3769" s="83">
        <v>0.34375</v>
      </c>
      <c r="G3769" s="83">
        <v>0.3854166666666667</v>
      </c>
      <c r="H3769" s="83">
        <v>0.041666666666666664</v>
      </c>
      <c r="I3769" s="84">
        <v>44516.0</v>
      </c>
      <c r="J3769" s="65" t="b">
        <v>1</v>
      </c>
      <c r="K3769" s="65"/>
      <c r="L3769" s="85" t="b">
        <f>IF(VLOOKUP(C3769,Projetos!A:L,12,false)=TRUE,TRUE,FALSE)</f>
        <v>0</v>
      </c>
      <c r="M3769" s="74">
        <v>52.48434411075036</v>
      </c>
      <c r="N3769" s="74">
        <f t="shared" si="1"/>
        <v>0</v>
      </c>
      <c r="O3769" s="74" t="b">
        <v>0</v>
      </c>
    </row>
    <row r="3770" hidden="1">
      <c r="A3770" s="82"/>
      <c r="B3770" s="65" t="s">
        <v>411</v>
      </c>
      <c r="C3770" s="65" t="s">
        <v>92</v>
      </c>
      <c r="D3770" s="65" t="str">
        <f>vlookup(C3770,'Classificação p pessoal'!F:G,2,false)</f>
        <v/>
      </c>
      <c r="E3770" s="65" t="s">
        <v>2694</v>
      </c>
      <c r="F3770" s="83">
        <v>0.4375</v>
      </c>
      <c r="G3770" s="83">
        <v>0.5</v>
      </c>
      <c r="H3770" s="83">
        <v>0.0625</v>
      </c>
      <c r="I3770" s="84">
        <v>44516.0</v>
      </c>
      <c r="J3770" s="65" t="b">
        <v>1</v>
      </c>
      <c r="K3770" s="65"/>
      <c r="L3770" s="85" t="b">
        <f>IF(VLOOKUP(C3770,Projetos!A:L,12,false)=TRUE,TRUE,FALSE)</f>
        <v>1</v>
      </c>
      <c r="M3770" s="74">
        <v>52.48434411075036</v>
      </c>
      <c r="N3770" s="74">
        <f t="shared" si="1"/>
        <v>78.72651617</v>
      </c>
      <c r="O3770" s="74" t="b">
        <v>1</v>
      </c>
    </row>
    <row r="3771" hidden="1">
      <c r="A3771" s="82"/>
      <c r="B3771" s="65" t="s">
        <v>411</v>
      </c>
      <c r="C3771" s="65" t="s">
        <v>84</v>
      </c>
      <c r="D3771" s="65"/>
      <c r="E3771" s="65" t="s">
        <v>2695</v>
      </c>
      <c r="F3771" s="83">
        <v>0.5</v>
      </c>
      <c r="G3771" s="83">
        <v>0.5416666666666666</v>
      </c>
      <c r="H3771" s="83">
        <v>0.041666666666666664</v>
      </c>
      <c r="I3771" s="84">
        <v>44516.0</v>
      </c>
      <c r="J3771" s="65" t="b">
        <v>0</v>
      </c>
      <c r="K3771" s="65"/>
      <c r="L3771" s="85" t="b">
        <f>IF(VLOOKUP(C3771,Projetos!A:L,12,false)=TRUE,TRUE,FALSE)</f>
        <v>0</v>
      </c>
      <c r="M3771" s="74">
        <v>52.48434411075036</v>
      </c>
      <c r="N3771" s="74">
        <f t="shared" si="1"/>
        <v>0</v>
      </c>
      <c r="O3771" s="74" t="b">
        <v>0</v>
      </c>
    </row>
    <row r="3772" hidden="1">
      <c r="A3772" s="82"/>
      <c r="B3772" s="65" t="s">
        <v>411</v>
      </c>
      <c r="C3772" s="65" t="s">
        <v>117</v>
      </c>
      <c r="D3772" s="65"/>
      <c r="E3772" s="65" t="s">
        <v>2696</v>
      </c>
      <c r="F3772" s="83">
        <v>0.5833333333333334</v>
      </c>
      <c r="G3772" s="83">
        <v>0.6666666666666666</v>
      </c>
      <c r="H3772" s="83">
        <v>0.08333333333333333</v>
      </c>
      <c r="I3772" s="84">
        <v>44516.0</v>
      </c>
      <c r="J3772" s="65" t="b">
        <v>0</v>
      </c>
      <c r="K3772" s="65" t="s">
        <v>150</v>
      </c>
      <c r="L3772" s="85" t="b">
        <f>IF(VLOOKUP(C3772,Projetos!A:L,12,false)=TRUE,TRUE,FALSE)</f>
        <v>1</v>
      </c>
      <c r="M3772" s="74">
        <v>52.48434411075036</v>
      </c>
      <c r="N3772" s="74">
        <f t="shared" si="1"/>
        <v>0</v>
      </c>
      <c r="O3772" s="74" t="b">
        <v>1</v>
      </c>
    </row>
    <row r="3773" hidden="1">
      <c r="A3773" s="82"/>
      <c r="B3773" s="65" t="s">
        <v>411</v>
      </c>
      <c r="C3773" s="65" t="s">
        <v>92</v>
      </c>
      <c r="D3773" s="65" t="str">
        <f>vlookup(C3773,'Classificação p pessoal'!F:G,2,false)</f>
        <v/>
      </c>
      <c r="E3773" s="65" t="s">
        <v>2697</v>
      </c>
      <c r="F3773" s="83">
        <v>0.6666666666666666</v>
      </c>
      <c r="G3773" s="83">
        <v>0.6875</v>
      </c>
      <c r="H3773" s="83">
        <v>0.020833333333333332</v>
      </c>
      <c r="I3773" s="84">
        <v>44516.0</v>
      </c>
      <c r="J3773" s="65" t="b">
        <v>1</v>
      </c>
      <c r="K3773" s="65"/>
      <c r="L3773" s="85" t="b">
        <f>IF(VLOOKUP(C3773,Projetos!A:L,12,false)=TRUE,TRUE,FALSE)</f>
        <v>1</v>
      </c>
      <c r="M3773" s="74">
        <v>52.48434411075036</v>
      </c>
      <c r="N3773" s="74">
        <f t="shared" si="1"/>
        <v>26.24217206</v>
      </c>
      <c r="O3773" s="74" t="b">
        <v>1</v>
      </c>
    </row>
    <row r="3774" hidden="1">
      <c r="A3774" s="82"/>
      <c r="B3774" s="65" t="s">
        <v>411</v>
      </c>
      <c r="C3774" s="65" t="s">
        <v>117</v>
      </c>
      <c r="D3774" s="65" t="str">
        <f>vlookup(C3774,'Classificação p pessoal'!F:G,2,false)</f>
        <v>NP</v>
      </c>
      <c r="E3774" s="65" t="s">
        <v>2698</v>
      </c>
      <c r="F3774" s="83">
        <v>0.34375</v>
      </c>
      <c r="G3774" s="83">
        <v>0.4166666666666667</v>
      </c>
      <c r="H3774" s="83">
        <v>0.07291666666666667</v>
      </c>
      <c r="I3774" s="84">
        <v>44517.0</v>
      </c>
      <c r="J3774" s="65" t="b">
        <v>1</v>
      </c>
      <c r="K3774" s="65"/>
      <c r="L3774" s="85" t="b">
        <f>IF(VLOOKUP(C3774,Projetos!A:L,12,false)=TRUE,TRUE,FALSE)</f>
        <v>1</v>
      </c>
      <c r="M3774" s="74">
        <v>52.48434411075036</v>
      </c>
      <c r="N3774" s="74">
        <f t="shared" si="1"/>
        <v>91.84760219</v>
      </c>
      <c r="O3774" s="74" t="b">
        <v>1</v>
      </c>
    </row>
    <row r="3775" hidden="1">
      <c r="A3775" s="82"/>
      <c r="B3775" s="65" t="s">
        <v>411</v>
      </c>
      <c r="C3775" s="65" t="s">
        <v>92</v>
      </c>
      <c r="D3775" s="65" t="str">
        <f>vlookup(C3775,'Classificação p pessoal'!F:G,2,false)</f>
        <v/>
      </c>
      <c r="E3775" s="65" t="s">
        <v>2699</v>
      </c>
      <c r="F3775" s="83">
        <v>0.4166666666666667</v>
      </c>
      <c r="G3775" s="83">
        <v>0.625</v>
      </c>
      <c r="H3775" s="83">
        <v>0.20833333333333334</v>
      </c>
      <c r="I3775" s="84">
        <v>44517.0</v>
      </c>
      <c r="J3775" s="65" t="b">
        <v>1</v>
      </c>
      <c r="K3775" s="65"/>
      <c r="L3775" s="85" t="b">
        <f>IF(VLOOKUP(C3775,Projetos!A:L,12,false)=TRUE,TRUE,FALSE)</f>
        <v>1</v>
      </c>
      <c r="M3775" s="74">
        <v>52.48434411075036</v>
      </c>
      <c r="N3775" s="74">
        <f t="shared" si="1"/>
        <v>262.4217206</v>
      </c>
      <c r="O3775" s="74" t="b">
        <v>1</v>
      </c>
    </row>
    <row r="3776" hidden="1">
      <c r="A3776" s="82"/>
      <c r="B3776" s="65" t="s">
        <v>411</v>
      </c>
      <c r="C3776" s="65" t="s">
        <v>120</v>
      </c>
      <c r="D3776" s="65"/>
      <c r="E3776" s="65" t="s">
        <v>2700</v>
      </c>
      <c r="F3776" s="83">
        <v>0.3958333333333333</v>
      </c>
      <c r="G3776" s="83">
        <v>0.5625</v>
      </c>
      <c r="H3776" s="83">
        <v>0.16666666666666666</v>
      </c>
      <c r="I3776" s="84">
        <v>44257.0</v>
      </c>
      <c r="J3776" s="65" t="b">
        <v>0</v>
      </c>
      <c r="K3776" s="65"/>
      <c r="L3776" s="85" t="b">
        <f>IF(VLOOKUP(C3776,Projetos!A:L,12,false)=TRUE,TRUE,FALSE)</f>
        <v>0</v>
      </c>
      <c r="M3776" s="74">
        <v>52.48434411075036</v>
      </c>
      <c r="N3776" s="74">
        <f t="shared" si="1"/>
        <v>0</v>
      </c>
      <c r="O3776" s="74" t="b">
        <v>0</v>
      </c>
    </row>
    <row r="3777" hidden="1">
      <c r="A3777" s="82"/>
      <c r="B3777" s="65" t="s">
        <v>411</v>
      </c>
      <c r="C3777" s="65" t="s">
        <v>92</v>
      </c>
      <c r="D3777" s="65" t="str">
        <f>vlookup(C3777,'Classificação p pessoal'!F:G,2,false)</f>
        <v/>
      </c>
      <c r="E3777" s="65" t="s">
        <v>2701</v>
      </c>
      <c r="F3777" s="83">
        <v>0.34375</v>
      </c>
      <c r="G3777" s="83">
        <v>0.4166666666666667</v>
      </c>
      <c r="H3777" s="83">
        <v>0.07291666666666667</v>
      </c>
      <c r="I3777" s="84">
        <v>44518.0</v>
      </c>
      <c r="J3777" s="65" t="b">
        <v>1</v>
      </c>
      <c r="K3777" s="65"/>
      <c r="L3777" s="85" t="b">
        <f>IF(VLOOKUP(C3777,Projetos!A:L,12,false)=TRUE,TRUE,FALSE)</f>
        <v>1</v>
      </c>
      <c r="M3777" s="74">
        <v>52.48434411075036</v>
      </c>
      <c r="N3777" s="74">
        <f t="shared" si="1"/>
        <v>91.84760219</v>
      </c>
      <c r="O3777" s="74" t="b">
        <v>1</v>
      </c>
    </row>
    <row r="3778" hidden="1">
      <c r="A3778" s="82"/>
      <c r="B3778" s="65" t="s">
        <v>411</v>
      </c>
      <c r="C3778" s="65" t="s">
        <v>132</v>
      </c>
      <c r="D3778" s="65"/>
      <c r="E3778" s="65" t="s">
        <v>2702</v>
      </c>
      <c r="F3778" s="83">
        <v>0.4166666666666667</v>
      </c>
      <c r="G3778" s="83">
        <v>0.4375</v>
      </c>
      <c r="H3778" s="83">
        <v>0.020833333333333332</v>
      </c>
      <c r="I3778" s="84">
        <v>44518.0</v>
      </c>
      <c r="J3778" s="65" t="b">
        <v>1</v>
      </c>
      <c r="K3778" s="65"/>
      <c r="L3778" s="85" t="b">
        <f>IF(VLOOKUP(C3778,Projetos!A:L,12,false)=TRUE,TRUE,FALSE)</f>
        <v>0</v>
      </c>
      <c r="M3778" s="74">
        <v>52.48434411075036</v>
      </c>
      <c r="N3778" s="74">
        <f t="shared" si="1"/>
        <v>0</v>
      </c>
      <c r="O3778" s="74" t="b">
        <v>0</v>
      </c>
    </row>
    <row r="3779" hidden="1">
      <c r="A3779" s="82"/>
      <c r="B3779" s="65" t="s">
        <v>411</v>
      </c>
      <c r="C3779" s="65" t="s">
        <v>92</v>
      </c>
      <c r="D3779" s="65" t="str">
        <f>vlookup(C3779,'Classificação p pessoal'!F:G,2,false)</f>
        <v/>
      </c>
      <c r="E3779" s="65" t="s">
        <v>2703</v>
      </c>
      <c r="F3779" s="83">
        <v>0.4375</v>
      </c>
      <c r="G3779" s="83">
        <v>0.5833333333333334</v>
      </c>
      <c r="H3779" s="83">
        <v>0.14583333333333334</v>
      </c>
      <c r="I3779" s="84">
        <v>44518.0</v>
      </c>
      <c r="J3779" s="65" t="b">
        <v>1</v>
      </c>
      <c r="K3779" s="65"/>
      <c r="L3779" s="85" t="b">
        <f>IF(VLOOKUP(C3779,Projetos!A:L,12,false)=TRUE,TRUE,FALSE)</f>
        <v>1</v>
      </c>
      <c r="M3779" s="74">
        <v>52.48434411075036</v>
      </c>
      <c r="N3779" s="74">
        <f t="shared" si="1"/>
        <v>183.6952044</v>
      </c>
      <c r="O3779" s="74" t="b">
        <v>1</v>
      </c>
    </row>
    <row r="3780" hidden="1">
      <c r="A3780" s="82"/>
      <c r="B3780" s="65" t="s">
        <v>411</v>
      </c>
      <c r="C3780" s="65" t="s">
        <v>132</v>
      </c>
      <c r="D3780" s="65"/>
      <c r="E3780" s="65" t="s">
        <v>2704</v>
      </c>
      <c r="F3780" s="83">
        <v>0.625</v>
      </c>
      <c r="G3780" s="83">
        <v>0.6666666666666666</v>
      </c>
      <c r="H3780" s="83">
        <v>0.041666666666666664</v>
      </c>
      <c r="I3780" s="84">
        <v>44518.0</v>
      </c>
      <c r="J3780" s="65" t="b">
        <v>1</v>
      </c>
      <c r="K3780" s="65"/>
      <c r="L3780" s="85" t="b">
        <f>IF(VLOOKUP(C3780,Projetos!A:L,12,false)=TRUE,TRUE,FALSE)</f>
        <v>0</v>
      </c>
      <c r="M3780" s="74">
        <v>52.48434411075036</v>
      </c>
      <c r="N3780" s="74">
        <f t="shared" si="1"/>
        <v>0</v>
      </c>
      <c r="O3780" s="74" t="b">
        <v>0</v>
      </c>
    </row>
    <row r="3781" hidden="1">
      <c r="A3781" s="82"/>
      <c r="B3781" s="65" t="s">
        <v>411</v>
      </c>
      <c r="C3781" s="65" t="s">
        <v>92</v>
      </c>
      <c r="D3781" s="65" t="str">
        <f>vlookup(C3781,'Classificação p pessoal'!F:G,2,false)</f>
        <v/>
      </c>
      <c r="E3781" s="65" t="s">
        <v>2705</v>
      </c>
      <c r="F3781" s="83">
        <v>0.6666666666666666</v>
      </c>
      <c r="G3781" s="83">
        <v>0.75</v>
      </c>
      <c r="H3781" s="83">
        <v>0.08333333333333333</v>
      </c>
      <c r="I3781" s="84">
        <v>44518.0</v>
      </c>
      <c r="J3781" s="65" t="b">
        <v>1</v>
      </c>
      <c r="K3781" s="65"/>
      <c r="L3781" s="85" t="b">
        <f>IF(VLOOKUP(C3781,Projetos!A:L,12,false)=TRUE,TRUE,FALSE)</f>
        <v>1</v>
      </c>
      <c r="M3781" s="74">
        <v>52.48434411075036</v>
      </c>
      <c r="N3781" s="74">
        <f t="shared" si="1"/>
        <v>104.9686882</v>
      </c>
      <c r="O3781" s="74" t="b">
        <v>1</v>
      </c>
    </row>
    <row r="3782" hidden="1">
      <c r="A3782" s="82"/>
      <c r="B3782" s="65" t="s">
        <v>411</v>
      </c>
      <c r="C3782" s="65" t="s">
        <v>92</v>
      </c>
      <c r="D3782" s="65"/>
      <c r="E3782" s="65" t="s">
        <v>2706</v>
      </c>
      <c r="F3782" s="83">
        <v>0.34375</v>
      </c>
      <c r="G3782" s="83">
        <v>0.375</v>
      </c>
      <c r="H3782" s="83">
        <v>0.03125</v>
      </c>
      <c r="I3782" s="84">
        <v>44519.0</v>
      </c>
      <c r="J3782" s="65" t="b">
        <v>0</v>
      </c>
      <c r="K3782" s="65" t="s">
        <v>150</v>
      </c>
      <c r="L3782" s="85" t="b">
        <f>IF(VLOOKUP(C3782,Projetos!A:L,12,false)=TRUE,TRUE,FALSE)</f>
        <v>1</v>
      </c>
      <c r="M3782" s="74">
        <v>52.48434411075036</v>
      </c>
      <c r="N3782" s="74">
        <f t="shared" si="1"/>
        <v>0</v>
      </c>
      <c r="O3782" s="74" t="b">
        <v>1</v>
      </c>
    </row>
    <row r="3783" hidden="1">
      <c r="A3783" s="82"/>
      <c r="B3783" s="65" t="s">
        <v>411</v>
      </c>
      <c r="C3783" s="65" t="s">
        <v>117</v>
      </c>
      <c r="D3783" s="65" t="str">
        <f>vlookup(C3783,'Classificação p pessoal'!F:G,2,false)</f>
        <v>NP</v>
      </c>
      <c r="E3783" s="65" t="s">
        <v>2707</v>
      </c>
      <c r="F3783" s="83">
        <v>0.375</v>
      </c>
      <c r="G3783" s="83">
        <v>0.4791666666666667</v>
      </c>
      <c r="H3783" s="83">
        <v>0.10416666666666667</v>
      </c>
      <c r="I3783" s="84">
        <v>44519.0</v>
      </c>
      <c r="J3783" s="65" t="b">
        <v>1</v>
      </c>
      <c r="K3783" s="65"/>
      <c r="L3783" s="85" t="b">
        <f>IF(VLOOKUP(C3783,Projetos!A:L,12,false)=TRUE,TRUE,FALSE)</f>
        <v>1</v>
      </c>
      <c r="M3783" s="74">
        <v>52.48434411075036</v>
      </c>
      <c r="N3783" s="74">
        <f t="shared" si="1"/>
        <v>131.2108603</v>
      </c>
      <c r="O3783" s="74" t="b">
        <v>1</v>
      </c>
    </row>
    <row r="3784" hidden="1">
      <c r="A3784" s="82"/>
      <c r="B3784" s="65" t="s">
        <v>411</v>
      </c>
      <c r="C3784" s="65" t="s">
        <v>117</v>
      </c>
      <c r="D3784" s="65" t="str">
        <f>vlookup(C3784,'Classificação p pessoal'!F:G,2,false)</f>
        <v>NP</v>
      </c>
      <c r="E3784" s="65" t="s">
        <v>2708</v>
      </c>
      <c r="F3784" s="83">
        <v>0.6041666666666666</v>
      </c>
      <c r="G3784" s="83">
        <v>0.6458333333333334</v>
      </c>
      <c r="H3784" s="83">
        <v>0.041666666666666664</v>
      </c>
      <c r="I3784" s="84">
        <v>44519.0</v>
      </c>
      <c r="J3784" s="65" t="b">
        <v>1</v>
      </c>
      <c r="K3784" s="65"/>
      <c r="L3784" s="85" t="b">
        <f>IF(VLOOKUP(C3784,Projetos!A:L,12,false)=TRUE,TRUE,FALSE)</f>
        <v>1</v>
      </c>
      <c r="M3784" s="74">
        <v>52.48434411075036</v>
      </c>
      <c r="N3784" s="74">
        <f t="shared" si="1"/>
        <v>52.48434411</v>
      </c>
      <c r="O3784" s="74" t="b">
        <v>1</v>
      </c>
    </row>
    <row r="3785" hidden="1">
      <c r="A3785" s="82"/>
      <c r="B3785" s="65" t="s">
        <v>411</v>
      </c>
      <c r="C3785" s="65" t="s">
        <v>132</v>
      </c>
      <c r="D3785" s="65"/>
      <c r="E3785" s="65" t="s">
        <v>2240</v>
      </c>
      <c r="F3785" s="83">
        <v>0.6458333333333334</v>
      </c>
      <c r="G3785" s="83">
        <v>0.7083333333333334</v>
      </c>
      <c r="H3785" s="83">
        <v>0.0625</v>
      </c>
      <c r="I3785" s="84">
        <v>44519.0</v>
      </c>
      <c r="J3785" s="65" t="b">
        <v>1</v>
      </c>
      <c r="K3785" s="65"/>
      <c r="L3785" s="85" t="b">
        <f>IF(VLOOKUP(C3785,Projetos!A:L,12,false)=TRUE,TRUE,FALSE)</f>
        <v>0</v>
      </c>
      <c r="M3785" s="74">
        <v>52.48434411075036</v>
      </c>
      <c r="N3785" s="74">
        <f t="shared" si="1"/>
        <v>0</v>
      </c>
      <c r="O3785" s="74" t="b">
        <v>0</v>
      </c>
    </row>
    <row r="3786" hidden="1">
      <c r="A3786" s="82"/>
      <c r="B3786" s="65" t="s">
        <v>411</v>
      </c>
      <c r="C3786" s="65" t="s">
        <v>92</v>
      </c>
      <c r="D3786" s="65" t="str">
        <f>vlookup(C3786,'Classificação p pessoal'!F:G,2,false)</f>
        <v/>
      </c>
      <c r="E3786" s="65" t="s">
        <v>2705</v>
      </c>
      <c r="F3786" s="83">
        <v>0.7083333333333334</v>
      </c>
      <c r="G3786" s="83">
        <v>0.75</v>
      </c>
      <c r="H3786" s="83">
        <v>0.041666666666666664</v>
      </c>
      <c r="I3786" s="84">
        <v>44519.0</v>
      </c>
      <c r="J3786" s="65" t="b">
        <v>1</v>
      </c>
      <c r="K3786" s="65"/>
      <c r="L3786" s="85" t="b">
        <f>IF(VLOOKUP(C3786,Projetos!A:L,12,false)=TRUE,TRUE,FALSE)</f>
        <v>1</v>
      </c>
      <c r="M3786" s="74">
        <v>52.48434411075036</v>
      </c>
      <c r="N3786" s="74">
        <f t="shared" si="1"/>
        <v>52.48434411</v>
      </c>
      <c r="O3786" s="74" t="b">
        <v>1</v>
      </c>
    </row>
    <row r="3787" hidden="1">
      <c r="A3787" s="82"/>
      <c r="B3787" s="65" t="s">
        <v>411</v>
      </c>
      <c r="C3787" s="65" t="s">
        <v>117</v>
      </c>
      <c r="D3787" s="65" t="str">
        <f>vlookup(C3787,'Classificação p pessoal'!F:G,2,false)</f>
        <v>NP</v>
      </c>
      <c r="E3787" s="65" t="s">
        <v>2709</v>
      </c>
      <c r="F3787" s="83">
        <v>0.34375</v>
      </c>
      <c r="G3787" s="83">
        <v>0.4166666666666667</v>
      </c>
      <c r="H3787" s="83">
        <v>0.07291666666666667</v>
      </c>
      <c r="I3787" s="84">
        <v>44543.0</v>
      </c>
      <c r="J3787" s="65" t="b">
        <v>1</v>
      </c>
      <c r="K3787" s="65"/>
      <c r="L3787" s="85" t="b">
        <f>IF(VLOOKUP(C3787,Projetos!A:L,12,false)=TRUE,TRUE,FALSE)</f>
        <v>1</v>
      </c>
      <c r="M3787" s="74">
        <v>52.48434411075036</v>
      </c>
      <c r="N3787" s="74">
        <f t="shared" si="1"/>
        <v>91.84760219</v>
      </c>
      <c r="O3787" s="74" t="b">
        <v>1</v>
      </c>
    </row>
    <row r="3788" hidden="1">
      <c r="A3788" s="82"/>
      <c r="B3788" s="65" t="s">
        <v>411</v>
      </c>
      <c r="C3788" s="65" t="s">
        <v>92</v>
      </c>
      <c r="D3788" s="65" t="str">
        <f>vlookup(C3788,'Classificação p pessoal'!F:G,2,false)</f>
        <v/>
      </c>
      <c r="E3788" s="65" t="s">
        <v>2710</v>
      </c>
      <c r="F3788" s="83">
        <v>0.4166666666666667</v>
      </c>
      <c r="G3788" s="83">
        <v>0.4583333333333333</v>
      </c>
      <c r="H3788" s="83">
        <v>0.041666666666666664</v>
      </c>
      <c r="I3788" s="84">
        <v>44908.0</v>
      </c>
      <c r="J3788" s="65" t="b">
        <v>1</v>
      </c>
      <c r="K3788" s="65"/>
      <c r="L3788" s="85" t="b">
        <f>IF(VLOOKUP(C3788,Projetos!A:L,12,false)=TRUE,TRUE,FALSE)</f>
        <v>1</v>
      </c>
      <c r="M3788" s="74">
        <v>52.48434411075036</v>
      </c>
      <c r="N3788" s="74">
        <f t="shared" si="1"/>
        <v>52.48434411</v>
      </c>
      <c r="O3788" s="74" t="b">
        <v>1</v>
      </c>
    </row>
    <row r="3789" hidden="1">
      <c r="A3789" s="82"/>
      <c r="B3789" s="65" t="s">
        <v>411</v>
      </c>
      <c r="C3789" s="65" t="s">
        <v>92</v>
      </c>
      <c r="D3789" s="65" t="str">
        <f>vlookup(C3789,'Classificação p pessoal'!F:G,2,false)</f>
        <v/>
      </c>
      <c r="E3789" s="65" t="s">
        <v>2711</v>
      </c>
      <c r="F3789" s="83">
        <v>0.6458333333333334</v>
      </c>
      <c r="G3789" s="83">
        <v>0.75</v>
      </c>
      <c r="H3789" s="83">
        <v>0.10416666666666667</v>
      </c>
      <c r="I3789" s="84">
        <v>44543.0</v>
      </c>
      <c r="J3789" s="65" t="b">
        <v>1</v>
      </c>
      <c r="K3789" s="65"/>
      <c r="L3789" s="85" t="b">
        <f>IF(VLOOKUP(C3789,Projetos!A:L,12,false)=TRUE,TRUE,FALSE)</f>
        <v>1</v>
      </c>
      <c r="M3789" s="74">
        <v>52.48434411075036</v>
      </c>
      <c r="N3789" s="74">
        <f t="shared" si="1"/>
        <v>131.2108603</v>
      </c>
      <c r="O3789" s="74" t="b">
        <v>1</v>
      </c>
    </row>
    <row r="3790" hidden="1">
      <c r="A3790" s="82"/>
      <c r="B3790" s="65" t="s">
        <v>411</v>
      </c>
      <c r="C3790" s="65" t="s">
        <v>120</v>
      </c>
      <c r="D3790" s="65"/>
      <c r="E3790" s="65" t="s">
        <v>2712</v>
      </c>
      <c r="F3790" s="83">
        <v>0.34375</v>
      </c>
      <c r="G3790" s="83">
        <v>0.375</v>
      </c>
      <c r="H3790" s="83">
        <v>0.03125</v>
      </c>
      <c r="I3790" s="84">
        <v>44544.0</v>
      </c>
      <c r="J3790" s="65" t="b">
        <v>0</v>
      </c>
      <c r="K3790" s="65"/>
      <c r="L3790" s="85" t="b">
        <f>IF(VLOOKUP(C3790,Projetos!A:L,12,false)=TRUE,TRUE,FALSE)</f>
        <v>0</v>
      </c>
      <c r="M3790" s="74">
        <v>52.48434411075036</v>
      </c>
      <c r="N3790" s="74">
        <f t="shared" si="1"/>
        <v>0</v>
      </c>
      <c r="O3790" s="74" t="b">
        <v>0</v>
      </c>
    </row>
    <row r="3791" hidden="1">
      <c r="A3791" s="82"/>
      <c r="B3791" s="65" t="s">
        <v>411</v>
      </c>
      <c r="C3791" s="65" t="s">
        <v>120</v>
      </c>
      <c r="D3791" s="65"/>
      <c r="E3791" s="65" t="s">
        <v>2713</v>
      </c>
      <c r="F3791" s="83">
        <v>0.4375</v>
      </c>
      <c r="G3791" s="83">
        <v>0.5833333333333334</v>
      </c>
      <c r="H3791" s="83">
        <v>0.14583333333333334</v>
      </c>
      <c r="I3791" s="84">
        <v>44258.0</v>
      </c>
      <c r="J3791" s="65" t="b">
        <v>0</v>
      </c>
      <c r="K3791" s="65"/>
      <c r="L3791" s="85" t="b">
        <f>IF(VLOOKUP(C3791,Projetos!A:L,12,false)=TRUE,TRUE,FALSE)</f>
        <v>0</v>
      </c>
      <c r="M3791" s="74">
        <v>52.48434411075036</v>
      </c>
      <c r="N3791" s="74">
        <f t="shared" si="1"/>
        <v>0</v>
      </c>
      <c r="O3791" s="74" t="b">
        <v>0</v>
      </c>
    </row>
    <row r="3792" hidden="1">
      <c r="A3792" s="82"/>
      <c r="B3792" s="65" t="s">
        <v>411</v>
      </c>
      <c r="C3792" s="65" t="s">
        <v>92</v>
      </c>
      <c r="D3792" s="65"/>
      <c r="E3792" s="65" t="s">
        <v>2714</v>
      </c>
      <c r="F3792" s="83">
        <v>0.4583333333333333</v>
      </c>
      <c r="G3792" s="83">
        <v>0.5</v>
      </c>
      <c r="H3792" s="83">
        <v>0.041666666666666664</v>
      </c>
      <c r="I3792" s="84">
        <v>44544.0</v>
      </c>
      <c r="J3792" s="65" t="b">
        <v>0</v>
      </c>
      <c r="K3792" s="65" t="s">
        <v>150</v>
      </c>
      <c r="L3792" s="85" t="b">
        <f>IF(VLOOKUP(C3792,Projetos!A:L,12,false)=TRUE,TRUE,FALSE)</f>
        <v>1</v>
      </c>
      <c r="M3792" s="74">
        <v>52.48434411075036</v>
      </c>
      <c r="N3792" s="74">
        <f t="shared" si="1"/>
        <v>0</v>
      </c>
      <c r="O3792" s="74" t="b">
        <v>1</v>
      </c>
    </row>
    <row r="3793" hidden="1">
      <c r="A3793" s="82"/>
      <c r="B3793" s="65" t="s">
        <v>411</v>
      </c>
      <c r="C3793" s="65" t="s">
        <v>152</v>
      </c>
      <c r="D3793" s="65"/>
      <c r="E3793" s="65" t="s">
        <v>270</v>
      </c>
      <c r="F3793" s="83">
        <v>0.5</v>
      </c>
      <c r="G3793" s="83">
        <v>0.5416666666666666</v>
      </c>
      <c r="H3793" s="83">
        <v>0.041666666666666664</v>
      </c>
      <c r="I3793" s="84">
        <v>44544.0</v>
      </c>
      <c r="J3793" s="65" t="b">
        <v>0</v>
      </c>
      <c r="K3793" s="65" t="s">
        <v>150</v>
      </c>
      <c r="L3793" s="85" t="b">
        <f>IF(VLOOKUP(C3793,Projetos!A:L,12,false)=TRUE,TRUE,FALSE)</f>
        <v>1</v>
      </c>
      <c r="M3793" s="74">
        <v>52.48434411075036</v>
      </c>
      <c r="N3793" s="74">
        <f t="shared" si="1"/>
        <v>0</v>
      </c>
      <c r="O3793" s="74" t="b">
        <v>1</v>
      </c>
    </row>
    <row r="3794" hidden="1">
      <c r="A3794" s="82"/>
      <c r="B3794" s="65" t="s">
        <v>411</v>
      </c>
      <c r="C3794" s="65" t="s">
        <v>117</v>
      </c>
      <c r="D3794" s="65"/>
      <c r="E3794" s="65" t="s">
        <v>2715</v>
      </c>
      <c r="F3794" s="83">
        <v>0.5833333333333334</v>
      </c>
      <c r="G3794" s="83">
        <v>0.75</v>
      </c>
      <c r="H3794" s="83">
        <v>0.16666666666666666</v>
      </c>
      <c r="I3794" s="84">
        <v>44544.0</v>
      </c>
      <c r="J3794" s="65" t="b">
        <v>0</v>
      </c>
      <c r="K3794" s="65" t="s">
        <v>150</v>
      </c>
      <c r="L3794" s="85" t="b">
        <f>IF(VLOOKUP(C3794,Projetos!A:L,12,false)=TRUE,TRUE,FALSE)</f>
        <v>1</v>
      </c>
      <c r="M3794" s="74">
        <v>52.48434411075036</v>
      </c>
      <c r="N3794" s="74">
        <f t="shared" si="1"/>
        <v>0</v>
      </c>
      <c r="O3794" s="74" t="b">
        <v>1</v>
      </c>
    </row>
    <row r="3795" hidden="1">
      <c r="A3795" s="82"/>
      <c r="B3795" s="65" t="s">
        <v>411</v>
      </c>
      <c r="C3795" s="65" t="s">
        <v>117</v>
      </c>
      <c r="D3795" s="65" t="str">
        <f>vlookup(C3795,'Classificação p pessoal'!F:G,2,false)</f>
        <v>NP</v>
      </c>
      <c r="E3795" s="65" t="s">
        <v>2716</v>
      </c>
      <c r="F3795" s="83">
        <v>0.34375</v>
      </c>
      <c r="G3795" s="83">
        <v>0.4166666666666667</v>
      </c>
      <c r="H3795" s="83">
        <v>0.07291666666666667</v>
      </c>
      <c r="I3795" s="84">
        <v>44545.0</v>
      </c>
      <c r="J3795" s="65" t="b">
        <v>1</v>
      </c>
      <c r="K3795" s="65"/>
      <c r="L3795" s="85" t="b">
        <f>IF(VLOOKUP(C3795,Projetos!A:L,12,false)=TRUE,TRUE,FALSE)</f>
        <v>1</v>
      </c>
      <c r="M3795" s="74">
        <v>52.48434411075036</v>
      </c>
      <c r="N3795" s="74">
        <f t="shared" si="1"/>
        <v>91.84760219</v>
      </c>
      <c r="O3795" s="74" t="b">
        <v>1</v>
      </c>
    </row>
    <row r="3796" hidden="1">
      <c r="A3796" s="82"/>
      <c r="B3796" s="65" t="s">
        <v>411</v>
      </c>
      <c r="C3796" s="65" t="s">
        <v>108</v>
      </c>
      <c r="D3796" s="65" t="str">
        <f>vlookup(C3796,'Classificação p pessoal'!F:G,2,false)</f>
        <v>NP</v>
      </c>
      <c r="E3796" s="65" t="s">
        <v>2717</v>
      </c>
      <c r="F3796" s="83">
        <v>0.4166666666666667</v>
      </c>
      <c r="G3796" s="83">
        <v>0.4375</v>
      </c>
      <c r="H3796" s="83">
        <v>0.020833333333333332</v>
      </c>
      <c r="I3796" s="84">
        <v>44545.0</v>
      </c>
      <c r="J3796" s="65" t="b">
        <v>1</v>
      </c>
      <c r="K3796" s="65"/>
      <c r="L3796" s="85" t="b">
        <f>IF(VLOOKUP(C3796,Projetos!A:L,12,false)=TRUE,TRUE,FALSE)</f>
        <v>1</v>
      </c>
      <c r="M3796" s="74">
        <v>52.48434411075036</v>
      </c>
      <c r="N3796" s="74">
        <f t="shared" si="1"/>
        <v>26.24217206</v>
      </c>
      <c r="O3796" s="74" t="b">
        <v>1</v>
      </c>
    </row>
    <row r="3797" hidden="1">
      <c r="A3797" s="82"/>
      <c r="B3797" s="65" t="s">
        <v>411</v>
      </c>
      <c r="C3797" s="65" t="s">
        <v>125</v>
      </c>
      <c r="D3797" s="65"/>
      <c r="E3797" s="65" t="s">
        <v>2718</v>
      </c>
      <c r="F3797" s="83">
        <v>0.4375</v>
      </c>
      <c r="G3797" s="83">
        <v>0.4583333333333333</v>
      </c>
      <c r="H3797" s="83">
        <v>0.020833333333333332</v>
      </c>
      <c r="I3797" s="84">
        <v>44545.0</v>
      </c>
      <c r="J3797" s="65" t="b">
        <v>0</v>
      </c>
      <c r="K3797" s="65" t="s">
        <v>150</v>
      </c>
      <c r="L3797" s="85" t="b">
        <f>IF(VLOOKUP(C3797,Projetos!A:L,12,false)=TRUE,TRUE,FALSE)</f>
        <v>1</v>
      </c>
      <c r="M3797" s="74">
        <v>52.48434411075036</v>
      </c>
      <c r="N3797" s="74">
        <f t="shared" si="1"/>
        <v>0</v>
      </c>
      <c r="O3797" s="74" t="b">
        <v>1</v>
      </c>
    </row>
    <row r="3798" hidden="1">
      <c r="A3798" s="82"/>
      <c r="B3798" s="65" t="s">
        <v>411</v>
      </c>
      <c r="C3798" s="65" t="s">
        <v>92</v>
      </c>
      <c r="D3798" s="65" t="str">
        <f>vlookup(C3798,'Classificação p pessoal'!F:G,2,false)</f>
        <v/>
      </c>
      <c r="E3798" s="65" t="s">
        <v>2719</v>
      </c>
      <c r="F3798" s="83">
        <v>0.4583333333333333</v>
      </c>
      <c r="G3798" s="83">
        <v>0.5208333333333334</v>
      </c>
      <c r="H3798" s="83">
        <v>0.0625</v>
      </c>
      <c r="I3798" s="84">
        <v>44545.0</v>
      </c>
      <c r="J3798" s="65" t="b">
        <v>1</v>
      </c>
      <c r="K3798" s="65"/>
      <c r="L3798" s="85" t="b">
        <f>IF(VLOOKUP(C3798,Projetos!A:L,12,false)=TRUE,TRUE,FALSE)</f>
        <v>1</v>
      </c>
      <c r="M3798" s="74">
        <v>52.48434411075036</v>
      </c>
      <c r="N3798" s="74">
        <f t="shared" si="1"/>
        <v>78.72651617</v>
      </c>
      <c r="O3798" s="74" t="b">
        <v>1</v>
      </c>
    </row>
    <row r="3799" hidden="1">
      <c r="A3799" s="82"/>
      <c r="B3799" s="65" t="s">
        <v>411</v>
      </c>
      <c r="C3799" s="65" t="s">
        <v>117</v>
      </c>
      <c r="D3799" s="65" t="str">
        <f>vlookup(C3799,'Classificação p pessoal'!F:G,2,false)</f>
        <v>NP</v>
      </c>
      <c r="E3799" s="65" t="s">
        <v>2720</v>
      </c>
      <c r="F3799" s="83">
        <v>0.5625</v>
      </c>
      <c r="G3799" s="83">
        <v>0.75</v>
      </c>
      <c r="H3799" s="83">
        <v>0.1875</v>
      </c>
      <c r="I3799" s="84">
        <v>44545.0</v>
      </c>
      <c r="J3799" s="65" t="b">
        <v>1</v>
      </c>
      <c r="K3799" s="65"/>
      <c r="L3799" s="85" t="b">
        <f>IF(VLOOKUP(C3799,Projetos!A:L,12,false)=TRUE,TRUE,FALSE)</f>
        <v>1</v>
      </c>
      <c r="M3799" s="74">
        <v>52.48434411075036</v>
      </c>
      <c r="N3799" s="74">
        <f t="shared" si="1"/>
        <v>236.1795485</v>
      </c>
      <c r="O3799" s="74" t="b">
        <v>1</v>
      </c>
    </row>
    <row r="3800" hidden="1">
      <c r="A3800" s="82"/>
      <c r="B3800" s="65" t="s">
        <v>411</v>
      </c>
      <c r="C3800" s="65" t="s">
        <v>91</v>
      </c>
      <c r="D3800" s="65" t="str">
        <f>vlookup(C3800,'Classificação p pessoal'!F:G,2,false)</f>
        <v>NP</v>
      </c>
      <c r="E3800" s="65" t="s">
        <v>2721</v>
      </c>
      <c r="F3800" s="83">
        <v>0.34375</v>
      </c>
      <c r="G3800" s="83">
        <v>0.375</v>
      </c>
      <c r="H3800" s="83">
        <v>0.03125</v>
      </c>
      <c r="I3800" s="84">
        <v>44546.0</v>
      </c>
      <c r="J3800" s="65" t="b">
        <v>1</v>
      </c>
      <c r="K3800" s="65"/>
      <c r="L3800" s="85" t="b">
        <f>IF(VLOOKUP(C3800,Projetos!A:L,12,false)=TRUE,TRUE,FALSE)</f>
        <v>1</v>
      </c>
      <c r="M3800" s="74">
        <v>52.48434411075036</v>
      </c>
      <c r="N3800" s="74">
        <f t="shared" si="1"/>
        <v>39.36325808</v>
      </c>
      <c r="O3800" s="74" t="b">
        <v>1</v>
      </c>
    </row>
    <row r="3801" hidden="1">
      <c r="A3801" s="82"/>
      <c r="B3801" s="65" t="s">
        <v>411</v>
      </c>
      <c r="C3801" s="65" t="s">
        <v>114</v>
      </c>
      <c r="D3801" s="65" t="str">
        <f>vlookup(C3801,'Classificação p pessoal'!F:G,2,false)</f>
        <v>NP</v>
      </c>
      <c r="E3801" s="65" t="s">
        <v>2722</v>
      </c>
      <c r="F3801" s="83">
        <v>0.375</v>
      </c>
      <c r="G3801" s="83">
        <v>0.3958333333333333</v>
      </c>
      <c r="H3801" s="83">
        <v>0.020833333333333332</v>
      </c>
      <c r="I3801" s="84">
        <v>44546.0</v>
      </c>
      <c r="J3801" s="65" t="b">
        <v>1</v>
      </c>
      <c r="K3801" s="65"/>
      <c r="L3801" s="85" t="b">
        <f>IF(VLOOKUP(C3801,Projetos!A:L,12,false)=TRUE,TRUE,FALSE)</f>
        <v>1</v>
      </c>
      <c r="M3801" s="74">
        <v>52.48434411075036</v>
      </c>
      <c r="N3801" s="74">
        <f t="shared" si="1"/>
        <v>26.24217206</v>
      </c>
      <c r="O3801" s="74" t="b">
        <v>1</v>
      </c>
    </row>
    <row r="3802" hidden="1">
      <c r="A3802" s="82"/>
      <c r="B3802" s="65" t="s">
        <v>411</v>
      </c>
      <c r="C3802" s="65" t="s">
        <v>117</v>
      </c>
      <c r="D3802" s="65" t="str">
        <f>vlookup(C3802,'Classificação p pessoal'!F:G,2,false)</f>
        <v>NP</v>
      </c>
      <c r="E3802" s="65" t="s">
        <v>2723</v>
      </c>
      <c r="F3802" s="83">
        <v>0.3958333333333333</v>
      </c>
      <c r="G3802" s="83">
        <v>0.4583333333333333</v>
      </c>
      <c r="H3802" s="83">
        <v>0.0625</v>
      </c>
      <c r="I3802" s="84">
        <v>44546.0</v>
      </c>
      <c r="J3802" s="65" t="b">
        <v>1</v>
      </c>
      <c r="K3802" s="65"/>
      <c r="L3802" s="85" t="b">
        <f>IF(VLOOKUP(C3802,Projetos!A:L,12,false)=TRUE,TRUE,FALSE)</f>
        <v>1</v>
      </c>
      <c r="M3802" s="74">
        <v>52.48434411075036</v>
      </c>
      <c r="N3802" s="74">
        <f t="shared" si="1"/>
        <v>78.72651617</v>
      </c>
      <c r="O3802" s="74" t="b">
        <v>1</v>
      </c>
    </row>
    <row r="3803" hidden="1">
      <c r="A3803" s="82"/>
      <c r="B3803" s="65" t="s">
        <v>411</v>
      </c>
      <c r="C3803" s="65" t="s">
        <v>117</v>
      </c>
      <c r="D3803" s="65" t="str">
        <f>vlookup(C3803,'Classificação p pessoal'!F:G,2,false)</f>
        <v>NP</v>
      </c>
      <c r="E3803" s="65" t="s">
        <v>2724</v>
      </c>
      <c r="F3803" s="83">
        <v>0.5</v>
      </c>
      <c r="G3803" s="83">
        <v>0.5416666666666666</v>
      </c>
      <c r="H3803" s="83">
        <v>0.041666666666666664</v>
      </c>
      <c r="I3803" s="84">
        <v>44546.0</v>
      </c>
      <c r="J3803" s="65" t="b">
        <v>1</v>
      </c>
      <c r="K3803" s="65"/>
      <c r="L3803" s="85" t="b">
        <f>IF(VLOOKUP(C3803,Projetos!A:L,12,false)=TRUE,TRUE,FALSE)</f>
        <v>1</v>
      </c>
      <c r="M3803" s="74">
        <v>52.48434411075036</v>
      </c>
      <c r="N3803" s="74">
        <f t="shared" si="1"/>
        <v>52.48434411</v>
      </c>
      <c r="O3803" s="74" t="b">
        <v>1</v>
      </c>
    </row>
    <row r="3804" hidden="1">
      <c r="A3804" s="82"/>
      <c r="B3804" s="65" t="s">
        <v>411</v>
      </c>
      <c r="C3804" s="65" t="s">
        <v>117</v>
      </c>
      <c r="D3804" s="65" t="str">
        <f>vlookup(C3804,'Classificação p pessoal'!F:G,2,false)</f>
        <v>NP</v>
      </c>
      <c r="E3804" s="65" t="s">
        <v>2725</v>
      </c>
      <c r="F3804" s="83">
        <v>0.625</v>
      </c>
      <c r="G3804" s="83">
        <v>0.75</v>
      </c>
      <c r="H3804" s="83">
        <v>0.125</v>
      </c>
      <c r="I3804" s="84">
        <v>44546.0</v>
      </c>
      <c r="J3804" s="65" t="b">
        <v>1</v>
      </c>
      <c r="K3804" s="65"/>
      <c r="L3804" s="85" t="b">
        <f>IF(VLOOKUP(C3804,Projetos!A:L,12,false)=TRUE,TRUE,FALSE)</f>
        <v>1</v>
      </c>
      <c r="M3804" s="74">
        <v>52.48434411075036</v>
      </c>
      <c r="N3804" s="74">
        <f t="shared" si="1"/>
        <v>157.4530323</v>
      </c>
      <c r="O3804" s="74" t="b">
        <v>1</v>
      </c>
    </row>
    <row r="3805" hidden="1">
      <c r="A3805" s="82"/>
      <c r="B3805" s="65" t="s">
        <v>411</v>
      </c>
      <c r="C3805" s="65" t="s">
        <v>117</v>
      </c>
      <c r="D3805" s="65"/>
      <c r="E3805" s="65" t="s">
        <v>2726</v>
      </c>
      <c r="F3805" s="83">
        <v>0.34375</v>
      </c>
      <c r="G3805" s="83">
        <v>0.4166666666666667</v>
      </c>
      <c r="H3805" s="83">
        <v>0.07291666666666667</v>
      </c>
      <c r="I3805" s="84">
        <v>44550.0</v>
      </c>
      <c r="J3805" s="65" t="b">
        <v>0</v>
      </c>
      <c r="K3805" s="65" t="s">
        <v>150</v>
      </c>
      <c r="L3805" s="85" t="b">
        <f>IF(VLOOKUP(C3805,Projetos!A:L,12,false)=TRUE,TRUE,FALSE)</f>
        <v>1</v>
      </c>
      <c r="M3805" s="74">
        <v>52.48434411075036</v>
      </c>
      <c r="N3805" s="74">
        <f t="shared" si="1"/>
        <v>0</v>
      </c>
      <c r="O3805" s="74" t="b">
        <v>1</v>
      </c>
    </row>
    <row r="3806" hidden="1">
      <c r="A3806" s="82"/>
      <c r="B3806" s="65" t="s">
        <v>411</v>
      </c>
      <c r="C3806" s="65" t="s">
        <v>92</v>
      </c>
      <c r="D3806" s="65" t="str">
        <f>vlookup(C3806,'Classificação p pessoal'!F:G,2,false)</f>
        <v/>
      </c>
      <c r="E3806" s="65" t="s">
        <v>2727</v>
      </c>
      <c r="F3806" s="83">
        <v>0.4166666666666667</v>
      </c>
      <c r="G3806" s="83">
        <v>0.5416666666666666</v>
      </c>
      <c r="H3806" s="83">
        <v>0.125</v>
      </c>
      <c r="I3806" s="84">
        <v>44550.0</v>
      </c>
      <c r="J3806" s="65" t="b">
        <v>1</v>
      </c>
      <c r="K3806" s="65"/>
      <c r="L3806" s="85" t="b">
        <f>IF(VLOOKUP(C3806,Projetos!A:L,12,false)=TRUE,TRUE,FALSE)</f>
        <v>1</v>
      </c>
      <c r="M3806" s="74">
        <v>52.48434411075036</v>
      </c>
      <c r="N3806" s="74">
        <f t="shared" si="1"/>
        <v>157.4530323</v>
      </c>
      <c r="O3806" s="74" t="b">
        <v>1</v>
      </c>
    </row>
    <row r="3807" hidden="1">
      <c r="A3807" s="82"/>
      <c r="B3807" s="65" t="s">
        <v>411</v>
      </c>
      <c r="C3807" s="65" t="s">
        <v>117</v>
      </c>
      <c r="D3807" s="65" t="str">
        <f>vlookup(C3807,'Classificação p pessoal'!F:G,2,false)</f>
        <v>NP</v>
      </c>
      <c r="E3807" s="65" t="s">
        <v>2728</v>
      </c>
      <c r="F3807" s="83">
        <v>0.5833333333333334</v>
      </c>
      <c r="G3807" s="83">
        <v>0.625</v>
      </c>
      <c r="H3807" s="83">
        <v>0.041666666666666664</v>
      </c>
      <c r="I3807" s="84">
        <v>44550.0</v>
      </c>
      <c r="J3807" s="65" t="b">
        <v>1</v>
      </c>
      <c r="K3807" s="65"/>
      <c r="L3807" s="85" t="b">
        <f>IF(VLOOKUP(C3807,Projetos!A:L,12,false)=TRUE,TRUE,FALSE)</f>
        <v>1</v>
      </c>
      <c r="M3807" s="74">
        <v>52.48434411075036</v>
      </c>
      <c r="N3807" s="74">
        <f t="shared" si="1"/>
        <v>52.48434411</v>
      </c>
      <c r="O3807" s="74" t="b">
        <v>1</v>
      </c>
    </row>
    <row r="3808" hidden="1">
      <c r="A3808" s="82"/>
      <c r="B3808" s="65" t="s">
        <v>411</v>
      </c>
      <c r="C3808" s="65" t="s">
        <v>92</v>
      </c>
      <c r="D3808" s="65" t="str">
        <f>vlookup(C3808,'Classificação p pessoal'!F:G,2,false)</f>
        <v/>
      </c>
      <c r="E3808" s="65" t="s">
        <v>2729</v>
      </c>
      <c r="F3808" s="83">
        <v>0.625</v>
      </c>
      <c r="G3808" s="83">
        <v>0.75</v>
      </c>
      <c r="H3808" s="83">
        <v>0.125</v>
      </c>
      <c r="I3808" s="84">
        <v>44550.0</v>
      </c>
      <c r="J3808" s="65" t="b">
        <v>1</v>
      </c>
      <c r="K3808" s="65"/>
      <c r="L3808" s="85" t="b">
        <f>IF(VLOOKUP(C3808,Projetos!A:L,12,false)=TRUE,TRUE,FALSE)</f>
        <v>1</v>
      </c>
      <c r="M3808" s="74">
        <v>52.48434411075036</v>
      </c>
      <c r="N3808" s="74">
        <f t="shared" si="1"/>
        <v>157.4530323</v>
      </c>
      <c r="O3808" s="74" t="b">
        <v>1</v>
      </c>
    </row>
    <row r="3809" hidden="1">
      <c r="A3809" s="82"/>
      <c r="B3809" s="65" t="s">
        <v>411</v>
      </c>
      <c r="C3809" s="65" t="s">
        <v>92</v>
      </c>
      <c r="D3809" s="65" t="str">
        <f>vlookup(C3809,'Classificação p pessoal'!F:G,2,false)</f>
        <v/>
      </c>
      <c r="E3809" s="65" t="s">
        <v>2729</v>
      </c>
      <c r="F3809" s="83">
        <v>0.34375</v>
      </c>
      <c r="G3809" s="83">
        <v>0.4166666666666667</v>
      </c>
      <c r="H3809" s="83">
        <v>0.07291666666666667</v>
      </c>
      <c r="I3809" s="84">
        <v>44551.0</v>
      </c>
      <c r="J3809" s="65" t="b">
        <v>1</v>
      </c>
      <c r="K3809" s="65"/>
      <c r="L3809" s="85" t="b">
        <f>IF(VLOOKUP(C3809,Projetos!A:L,12,false)=TRUE,TRUE,FALSE)</f>
        <v>1</v>
      </c>
      <c r="M3809" s="74">
        <v>52.48434411075036</v>
      </c>
      <c r="N3809" s="74">
        <f t="shared" si="1"/>
        <v>91.84760219</v>
      </c>
      <c r="O3809" s="74" t="b">
        <v>1</v>
      </c>
    </row>
    <row r="3810" hidden="1">
      <c r="A3810" s="82"/>
      <c r="B3810" s="65" t="s">
        <v>411</v>
      </c>
      <c r="C3810" s="65" t="s">
        <v>117</v>
      </c>
      <c r="D3810" s="65" t="str">
        <f>vlookup(C3810,'Classificação p pessoal'!F:G,2,false)</f>
        <v>NP</v>
      </c>
      <c r="E3810" s="65" t="s">
        <v>2730</v>
      </c>
      <c r="F3810" s="83">
        <v>0.4166666666666667</v>
      </c>
      <c r="G3810" s="83">
        <v>0.5416666666666666</v>
      </c>
      <c r="H3810" s="83">
        <v>0.125</v>
      </c>
      <c r="I3810" s="84">
        <v>44551.0</v>
      </c>
      <c r="J3810" s="65" t="b">
        <v>1</v>
      </c>
      <c r="K3810" s="65"/>
      <c r="L3810" s="85" t="b">
        <f>IF(VLOOKUP(C3810,Projetos!A:L,12,false)=TRUE,TRUE,FALSE)</f>
        <v>1</v>
      </c>
      <c r="M3810" s="74">
        <v>52.48434411075036</v>
      </c>
      <c r="N3810" s="74">
        <f t="shared" si="1"/>
        <v>157.4530323</v>
      </c>
      <c r="O3810" s="74" t="b">
        <v>1</v>
      </c>
    </row>
    <row r="3811" hidden="1">
      <c r="A3811" s="82"/>
      <c r="B3811" s="65" t="s">
        <v>411</v>
      </c>
      <c r="C3811" s="65" t="s">
        <v>117</v>
      </c>
      <c r="D3811" s="65" t="str">
        <f>vlookup(C3811,'Classificação p pessoal'!F:G,2,false)</f>
        <v>NP</v>
      </c>
      <c r="E3811" s="65" t="s">
        <v>2731</v>
      </c>
      <c r="F3811" s="83">
        <v>0.5833333333333334</v>
      </c>
      <c r="G3811" s="83">
        <v>0.6458333333333334</v>
      </c>
      <c r="H3811" s="83">
        <v>0.0625</v>
      </c>
      <c r="I3811" s="84">
        <v>44551.0</v>
      </c>
      <c r="J3811" s="65" t="b">
        <v>1</v>
      </c>
      <c r="K3811" s="65"/>
      <c r="L3811" s="85" t="b">
        <f>IF(VLOOKUP(C3811,Projetos!A:L,12,false)=TRUE,TRUE,FALSE)</f>
        <v>1</v>
      </c>
      <c r="M3811" s="74">
        <v>52.48434411075036</v>
      </c>
      <c r="N3811" s="74">
        <f t="shared" si="1"/>
        <v>78.72651617</v>
      </c>
      <c r="O3811" s="74" t="b">
        <v>1</v>
      </c>
    </row>
    <row r="3812" hidden="1">
      <c r="A3812" s="82"/>
      <c r="B3812" s="65" t="s">
        <v>411</v>
      </c>
      <c r="C3812" s="65" t="s">
        <v>117</v>
      </c>
      <c r="D3812" s="65" t="str">
        <f>vlookup(C3812,'Classificação p pessoal'!F:G,2,false)</f>
        <v>NP</v>
      </c>
      <c r="E3812" s="65" t="s">
        <v>2732</v>
      </c>
      <c r="F3812" s="83">
        <v>0.6666666666666666</v>
      </c>
      <c r="G3812" s="83">
        <v>0.75</v>
      </c>
      <c r="H3812" s="83">
        <v>0.08333333333333333</v>
      </c>
      <c r="I3812" s="84">
        <v>44551.0</v>
      </c>
      <c r="J3812" s="65" t="b">
        <v>1</v>
      </c>
      <c r="K3812" s="65"/>
      <c r="L3812" s="85" t="b">
        <f>IF(VLOOKUP(C3812,Projetos!A:L,12,false)=TRUE,TRUE,FALSE)</f>
        <v>1</v>
      </c>
      <c r="M3812" s="74">
        <v>52.48434411075036</v>
      </c>
      <c r="N3812" s="74">
        <f t="shared" si="1"/>
        <v>104.9686882</v>
      </c>
      <c r="O3812" s="74" t="b">
        <v>1</v>
      </c>
    </row>
    <row r="3813" hidden="1">
      <c r="A3813" s="82"/>
      <c r="B3813" s="65" t="s">
        <v>411</v>
      </c>
      <c r="C3813" s="65" t="s">
        <v>117</v>
      </c>
      <c r="D3813" s="65"/>
      <c r="E3813" s="65" t="s">
        <v>2733</v>
      </c>
      <c r="F3813" s="83">
        <v>0.34375</v>
      </c>
      <c r="G3813" s="83">
        <v>0.5625</v>
      </c>
      <c r="H3813" s="83">
        <v>0.21875</v>
      </c>
      <c r="I3813" s="84">
        <v>44552.0</v>
      </c>
      <c r="J3813" s="65" t="b">
        <v>0</v>
      </c>
      <c r="K3813" s="65" t="s">
        <v>150</v>
      </c>
      <c r="L3813" s="85" t="b">
        <f>IF(VLOOKUP(C3813,Projetos!A:L,12,false)=TRUE,TRUE,FALSE)</f>
        <v>1</v>
      </c>
      <c r="M3813" s="74">
        <v>52.48434411075036</v>
      </c>
      <c r="N3813" s="74">
        <f t="shared" si="1"/>
        <v>0</v>
      </c>
      <c r="O3813" s="74" t="b">
        <v>1</v>
      </c>
    </row>
    <row r="3814" hidden="1">
      <c r="A3814" s="82"/>
      <c r="B3814" s="65" t="s">
        <v>411</v>
      </c>
      <c r="C3814" s="65" t="s">
        <v>117</v>
      </c>
      <c r="D3814" s="65"/>
      <c r="E3814" s="65" t="s">
        <v>2734</v>
      </c>
      <c r="F3814" s="83">
        <v>0.6041666666666666</v>
      </c>
      <c r="G3814" s="83">
        <v>0.75</v>
      </c>
      <c r="H3814" s="83">
        <v>0.14583333333333334</v>
      </c>
      <c r="I3814" s="84">
        <v>44552.0</v>
      </c>
      <c r="J3814" s="65" t="b">
        <v>0</v>
      </c>
      <c r="K3814" s="65" t="s">
        <v>150</v>
      </c>
      <c r="L3814" s="85" t="b">
        <f>IF(VLOOKUP(C3814,Projetos!A:L,12,false)=TRUE,TRUE,FALSE)</f>
        <v>1</v>
      </c>
      <c r="M3814" s="74">
        <v>52.48434411075036</v>
      </c>
      <c r="N3814" s="74">
        <f t="shared" si="1"/>
        <v>0</v>
      </c>
      <c r="O3814" s="74" t="b">
        <v>1</v>
      </c>
    </row>
    <row r="3815" hidden="1">
      <c r="A3815" s="82"/>
      <c r="B3815" s="65" t="s">
        <v>411</v>
      </c>
      <c r="C3815" s="65" t="s">
        <v>132</v>
      </c>
      <c r="D3815" s="65"/>
      <c r="E3815" s="65" t="s">
        <v>2735</v>
      </c>
      <c r="F3815" s="83">
        <v>0.34375</v>
      </c>
      <c r="G3815" s="83">
        <v>0.3958333333333333</v>
      </c>
      <c r="H3815" s="83">
        <v>0.052083333333333336</v>
      </c>
      <c r="I3815" s="84">
        <v>44553.0</v>
      </c>
      <c r="J3815" s="65" t="b">
        <v>1</v>
      </c>
      <c r="K3815" s="65"/>
      <c r="L3815" s="85" t="b">
        <f>IF(VLOOKUP(C3815,Projetos!A:L,12,false)=TRUE,TRUE,FALSE)</f>
        <v>0</v>
      </c>
      <c r="M3815" s="74">
        <v>52.48434411075036</v>
      </c>
      <c r="N3815" s="74">
        <f t="shared" si="1"/>
        <v>0</v>
      </c>
      <c r="O3815" s="74" t="b">
        <v>0</v>
      </c>
    </row>
    <row r="3816" hidden="1">
      <c r="A3816" s="82"/>
      <c r="B3816" s="65" t="s">
        <v>411</v>
      </c>
      <c r="C3816" s="65" t="s">
        <v>117</v>
      </c>
      <c r="D3816" s="65" t="str">
        <f>vlookup(C3816,'Classificação p pessoal'!F:G,2,false)</f>
        <v>NP</v>
      </c>
      <c r="E3816" s="65" t="s">
        <v>2736</v>
      </c>
      <c r="F3816" s="83">
        <v>0.3958333333333333</v>
      </c>
      <c r="G3816" s="83">
        <v>0.5</v>
      </c>
      <c r="H3816" s="83">
        <v>0.10416666666666667</v>
      </c>
      <c r="I3816" s="84">
        <v>44553.0</v>
      </c>
      <c r="J3816" s="65" t="b">
        <v>1</v>
      </c>
      <c r="K3816" s="65"/>
      <c r="L3816" s="85" t="b">
        <f>IF(VLOOKUP(C3816,Projetos!A:L,12,false)=TRUE,TRUE,FALSE)</f>
        <v>1</v>
      </c>
      <c r="M3816" s="74">
        <v>52.48434411075036</v>
      </c>
      <c r="N3816" s="74">
        <f t="shared" si="1"/>
        <v>131.2108603</v>
      </c>
      <c r="O3816" s="74" t="b">
        <v>1</v>
      </c>
    </row>
    <row r="3817" hidden="1">
      <c r="A3817" s="82"/>
      <c r="B3817" s="65" t="s">
        <v>411</v>
      </c>
      <c r="C3817" s="65" t="s">
        <v>92</v>
      </c>
      <c r="D3817" s="65" t="str">
        <f>vlookup(C3817,'Classificação p pessoal'!F:G,2,false)</f>
        <v/>
      </c>
      <c r="E3817" s="65" t="s">
        <v>2729</v>
      </c>
      <c r="F3817" s="83">
        <v>0.5</v>
      </c>
      <c r="G3817" s="83">
        <v>0.5625</v>
      </c>
      <c r="H3817" s="83">
        <v>0.0625</v>
      </c>
      <c r="I3817" s="84">
        <v>44553.0</v>
      </c>
      <c r="J3817" s="65" t="b">
        <v>1</v>
      </c>
      <c r="K3817" s="65"/>
      <c r="L3817" s="85" t="b">
        <f>IF(VLOOKUP(C3817,Projetos!A:L,12,false)=TRUE,TRUE,FALSE)</f>
        <v>1</v>
      </c>
      <c r="M3817" s="74">
        <v>52.48434411075036</v>
      </c>
      <c r="N3817" s="74">
        <f t="shared" si="1"/>
        <v>78.72651617</v>
      </c>
      <c r="O3817" s="74" t="b">
        <v>1</v>
      </c>
    </row>
    <row r="3818" hidden="1">
      <c r="A3818" s="82"/>
      <c r="B3818" s="65" t="s">
        <v>411</v>
      </c>
      <c r="C3818" s="65" t="s">
        <v>132</v>
      </c>
      <c r="D3818" s="65"/>
      <c r="E3818" s="65" t="s">
        <v>270</v>
      </c>
      <c r="F3818" s="83">
        <v>0.6041666666666666</v>
      </c>
      <c r="G3818" s="83">
        <v>0.7291666666666666</v>
      </c>
      <c r="H3818" s="83">
        <v>0.125</v>
      </c>
      <c r="I3818" s="84">
        <v>44553.0</v>
      </c>
      <c r="J3818" s="65" t="b">
        <v>0</v>
      </c>
      <c r="K3818" s="65" t="s">
        <v>150</v>
      </c>
      <c r="L3818" s="85" t="b">
        <f>IF(VLOOKUP(C3818,Projetos!A:L,12,false)=TRUE,TRUE,FALSE)</f>
        <v>0</v>
      </c>
      <c r="M3818" s="74">
        <v>52.48434411075036</v>
      </c>
      <c r="N3818" s="74">
        <f t="shared" si="1"/>
        <v>0</v>
      </c>
      <c r="O3818" s="74" t="b">
        <v>0</v>
      </c>
    </row>
    <row r="3819" hidden="1">
      <c r="A3819" s="82"/>
      <c r="B3819" s="65" t="s">
        <v>411</v>
      </c>
      <c r="C3819" s="65" t="s">
        <v>117</v>
      </c>
      <c r="D3819" s="65" t="str">
        <f>vlookup(C3819,'Classificação p pessoal'!F:G,2,false)</f>
        <v>NP</v>
      </c>
      <c r="E3819" s="65" t="s">
        <v>2737</v>
      </c>
      <c r="F3819" s="83">
        <v>0.34375</v>
      </c>
      <c r="G3819" s="83">
        <v>0.4583333333333333</v>
      </c>
      <c r="H3819" s="83">
        <v>0.11458333333333333</v>
      </c>
      <c r="I3819" s="84">
        <v>44557.0</v>
      </c>
      <c r="J3819" s="65" t="b">
        <v>1</v>
      </c>
      <c r="K3819" s="65"/>
      <c r="L3819" s="85" t="b">
        <f>IF(VLOOKUP(C3819,Projetos!A:L,12,false)=TRUE,TRUE,FALSE)</f>
        <v>1</v>
      </c>
      <c r="M3819" s="74">
        <v>52.48434411075036</v>
      </c>
      <c r="N3819" s="74">
        <f t="shared" si="1"/>
        <v>144.3319463</v>
      </c>
      <c r="O3819" s="74" t="b">
        <v>1</v>
      </c>
    </row>
    <row r="3820" hidden="1">
      <c r="A3820" s="82"/>
      <c r="B3820" s="65" t="s">
        <v>411</v>
      </c>
      <c r="C3820" s="65" t="s">
        <v>85</v>
      </c>
      <c r="D3820" s="65" t="str">
        <f>vlookup(C3820,'Classificação p pessoal'!F:G,2,false)</f>
        <v>NP</v>
      </c>
      <c r="E3820" s="65" t="s">
        <v>2738</v>
      </c>
      <c r="F3820" s="83">
        <v>0.4583333333333333</v>
      </c>
      <c r="G3820" s="83">
        <v>0.5</v>
      </c>
      <c r="H3820" s="83">
        <v>0.041666666666666664</v>
      </c>
      <c r="I3820" s="84">
        <v>44557.0</v>
      </c>
      <c r="J3820" s="65" t="b">
        <v>1</v>
      </c>
      <c r="K3820" s="65"/>
      <c r="L3820" s="85" t="b">
        <f>IF(VLOOKUP(C3820,Projetos!A:L,12,false)=TRUE,TRUE,FALSE)</f>
        <v>1</v>
      </c>
      <c r="M3820" s="74">
        <v>52.48434411075036</v>
      </c>
      <c r="N3820" s="74">
        <f t="shared" si="1"/>
        <v>52.48434411</v>
      </c>
      <c r="O3820" s="74" t="b">
        <v>1</v>
      </c>
    </row>
    <row r="3821" hidden="1">
      <c r="A3821" s="82"/>
      <c r="B3821" s="65" t="s">
        <v>411</v>
      </c>
      <c r="C3821" s="65" t="s">
        <v>132</v>
      </c>
      <c r="D3821" s="65"/>
      <c r="E3821" s="65" t="s">
        <v>2739</v>
      </c>
      <c r="F3821" s="83">
        <v>0.5</v>
      </c>
      <c r="G3821" s="83">
        <v>0.5416666666666666</v>
      </c>
      <c r="H3821" s="83">
        <v>0.041666666666666664</v>
      </c>
      <c r="I3821" s="84">
        <v>44557.0</v>
      </c>
      <c r="J3821" s="65" t="b">
        <v>1</v>
      </c>
      <c r="K3821" s="65"/>
      <c r="L3821" s="85" t="b">
        <f>IF(VLOOKUP(C3821,Projetos!A:L,12,false)=TRUE,TRUE,FALSE)</f>
        <v>0</v>
      </c>
      <c r="M3821" s="74">
        <v>52.48434411075036</v>
      </c>
      <c r="N3821" s="74">
        <f t="shared" si="1"/>
        <v>0</v>
      </c>
      <c r="O3821" s="74" t="b">
        <v>0</v>
      </c>
    </row>
    <row r="3822" hidden="1">
      <c r="A3822" s="82"/>
      <c r="B3822" s="65" t="s">
        <v>411</v>
      </c>
      <c r="C3822" s="65" t="s">
        <v>117</v>
      </c>
      <c r="D3822" s="65" t="str">
        <f>vlookup(C3822,'Classificação p pessoal'!F:G,2,false)</f>
        <v>NP</v>
      </c>
      <c r="E3822" s="65" t="s">
        <v>2740</v>
      </c>
      <c r="F3822" s="83">
        <v>0.4166666666666667</v>
      </c>
      <c r="G3822" s="83">
        <v>0.5416666666666666</v>
      </c>
      <c r="H3822" s="83">
        <v>0.125</v>
      </c>
      <c r="I3822" s="84">
        <v>44349.0</v>
      </c>
      <c r="J3822" s="65" t="b">
        <v>1</v>
      </c>
      <c r="K3822" s="65"/>
      <c r="L3822" s="85" t="b">
        <f>IF(VLOOKUP(C3822,Projetos!A:L,12,false)=TRUE,TRUE,FALSE)</f>
        <v>1</v>
      </c>
      <c r="M3822" s="74">
        <v>52.48434411075036</v>
      </c>
      <c r="N3822" s="74">
        <f t="shared" si="1"/>
        <v>157.4530323</v>
      </c>
      <c r="O3822" s="74" t="b">
        <v>1</v>
      </c>
    </row>
    <row r="3823" hidden="1">
      <c r="A3823" s="82"/>
      <c r="B3823" s="65" t="s">
        <v>411</v>
      </c>
      <c r="C3823" s="65" t="s">
        <v>117</v>
      </c>
      <c r="D3823" s="65" t="str">
        <f>vlookup(C3823,'Classificação p pessoal'!F:G,2,false)</f>
        <v>NP</v>
      </c>
      <c r="E3823" s="65" t="s">
        <v>2741</v>
      </c>
      <c r="F3823" s="83">
        <v>0.34375</v>
      </c>
      <c r="G3823" s="83">
        <v>0.4375</v>
      </c>
      <c r="H3823" s="83">
        <v>0.09375</v>
      </c>
      <c r="I3823" s="84">
        <v>44558.0</v>
      </c>
      <c r="J3823" s="65" t="b">
        <v>1</v>
      </c>
      <c r="K3823" s="65"/>
      <c r="L3823" s="85" t="b">
        <f>IF(VLOOKUP(C3823,Projetos!A:L,12,false)=TRUE,TRUE,FALSE)</f>
        <v>1</v>
      </c>
      <c r="M3823" s="74">
        <v>52.48434411075036</v>
      </c>
      <c r="N3823" s="74">
        <f t="shared" si="1"/>
        <v>118.0897742</v>
      </c>
      <c r="O3823" s="74" t="b">
        <v>1</v>
      </c>
    </row>
    <row r="3824" hidden="1">
      <c r="A3824" s="82"/>
      <c r="B3824" s="65" t="s">
        <v>411</v>
      </c>
      <c r="C3824" s="65" t="s">
        <v>125</v>
      </c>
      <c r="D3824" s="65" t="str">
        <f>vlookup(C3824,'Classificação p pessoal'!F:G,2,false)</f>
        <v>MProduto</v>
      </c>
      <c r="E3824" s="65" t="s">
        <v>2742</v>
      </c>
      <c r="F3824" s="83">
        <v>0.5</v>
      </c>
      <c r="G3824" s="83">
        <v>0.5416666666666666</v>
      </c>
      <c r="H3824" s="83">
        <v>0.041666666666666664</v>
      </c>
      <c r="I3824" s="84">
        <v>44558.0</v>
      </c>
      <c r="J3824" s="65" t="b">
        <v>1</v>
      </c>
      <c r="K3824" s="65"/>
      <c r="L3824" s="85" t="b">
        <f>IF(VLOOKUP(C3824,Projetos!A:L,12,false)=TRUE,TRUE,FALSE)</f>
        <v>1</v>
      </c>
      <c r="M3824" s="74">
        <v>52.48434411075036</v>
      </c>
      <c r="N3824" s="74">
        <f t="shared" si="1"/>
        <v>52.48434411</v>
      </c>
      <c r="O3824" s="74" t="b">
        <v>1</v>
      </c>
    </row>
    <row r="3825" hidden="1">
      <c r="A3825" s="82"/>
      <c r="B3825" s="65" t="s">
        <v>411</v>
      </c>
      <c r="C3825" s="65" t="s">
        <v>117</v>
      </c>
      <c r="D3825" s="65"/>
      <c r="E3825" s="65" t="s">
        <v>2743</v>
      </c>
      <c r="F3825" s="83">
        <v>0.5833333333333334</v>
      </c>
      <c r="G3825" s="83">
        <v>0.75</v>
      </c>
      <c r="H3825" s="83">
        <v>0.16666666666666666</v>
      </c>
      <c r="I3825" s="84">
        <v>44558.0</v>
      </c>
      <c r="J3825" s="65" t="b">
        <v>0</v>
      </c>
      <c r="K3825" s="65" t="s">
        <v>150</v>
      </c>
      <c r="L3825" s="85" t="b">
        <f>IF(VLOOKUP(C3825,Projetos!A:L,12,false)=TRUE,TRUE,FALSE)</f>
        <v>1</v>
      </c>
      <c r="M3825" s="74">
        <v>52.48434411075036</v>
      </c>
      <c r="N3825" s="74">
        <f t="shared" si="1"/>
        <v>0</v>
      </c>
      <c r="O3825" s="74" t="b">
        <v>1</v>
      </c>
    </row>
    <row r="3826" hidden="1">
      <c r="A3826" s="82"/>
      <c r="B3826" s="65" t="s">
        <v>411</v>
      </c>
      <c r="C3826" s="65" t="s">
        <v>125</v>
      </c>
      <c r="D3826" s="65" t="str">
        <f>vlookup(C3826,'Classificação p pessoal'!F:G,2,false)</f>
        <v>MProduto</v>
      </c>
      <c r="E3826" s="65" t="s">
        <v>2744</v>
      </c>
      <c r="F3826" s="83">
        <v>0.34375</v>
      </c>
      <c r="G3826" s="83">
        <v>0.4375</v>
      </c>
      <c r="H3826" s="83">
        <v>0.09375</v>
      </c>
      <c r="I3826" s="84">
        <v>44559.0</v>
      </c>
      <c r="J3826" s="65" t="b">
        <v>1</v>
      </c>
      <c r="K3826" s="65"/>
      <c r="L3826" s="85" t="b">
        <f>IF(VLOOKUP(C3826,Projetos!A:L,12,false)=TRUE,TRUE,FALSE)</f>
        <v>1</v>
      </c>
      <c r="M3826" s="74">
        <v>52.48434411075036</v>
      </c>
      <c r="N3826" s="74">
        <f t="shared" si="1"/>
        <v>118.0897742</v>
      </c>
      <c r="O3826" s="74" t="b">
        <v>1</v>
      </c>
    </row>
    <row r="3827" hidden="1">
      <c r="A3827" s="82"/>
      <c r="B3827" s="65" t="s">
        <v>411</v>
      </c>
      <c r="C3827" s="65" t="s">
        <v>117</v>
      </c>
      <c r="D3827" s="65" t="str">
        <f>vlookup(C3827,'Classificação p pessoal'!F:G,2,false)</f>
        <v>NP</v>
      </c>
      <c r="E3827" s="65" t="s">
        <v>2745</v>
      </c>
      <c r="F3827" s="83">
        <v>0.4375</v>
      </c>
      <c r="G3827" s="83">
        <v>0.4791666666666667</v>
      </c>
      <c r="H3827" s="83">
        <v>0.041666666666666664</v>
      </c>
      <c r="I3827" s="84">
        <v>44559.0</v>
      </c>
      <c r="J3827" s="65" t="b">
        <v>1</v>
      </c>
      <c r="K3827" s="65"/>
      <c r="L3827" s="85" t="b">
        <f>IF(VLOOKUP(C3827,Projetos!A:L,12,false)=TRUE,TRUE,FALSE)</f>
        <v>1</v>
      </c>
      <c r="M3827" s="74">
        <v>52.48434411075036</v>
      </c>
      <c r="N3827" s="74">
        <f t="shared" si="1"/>
        <v>52.48434411</v>
      </c>
      <c r="O3827" s="74" t="b">
        <v>1</v>
      </c>
    </row>
    <row r="3828" hidden="1">
      <c r="A3828" s="82"/>
      <c r="B3828" s="65" t="s">
        <v>411</v>
      </c>
      <c r="C3828" s="65" t="s">
        <v>132</v>
      </c>
      <c r="D3828" s="65"/>
      <c r="E3828" s="65" t="s">
        <v>2746</v>
      </c>
      <c r="F3828" s="83">
        <v>0.4791666666666667</v>
      </c>
      <c r="G3828" s="83">
        <v>0.5208333333333334</v>
      </c>
      <c r="H3828" s="83">
        <v>0.041666666666666664</v>
      </c>
      <c r="I3828" s="84">
        <v>44559.0</v>
      </c>
      <c r="J3828" s="65" t="b">
        <v>0</v>
      </c>
      <c r="K3828" s="65" t="s">
        <v>150</v>
      </c>
      <c r="L3828" s="85" t="b">
        <f>IF(VLOOKUP(C3828,Projetos!A:L,12,false)=TRUE,TRUE,FALSE)</f>
        <v>0</v>
      </c>
      <c r="M3828" s="74">
        <v>52.48434411075036</v>
      </c>
      <c r="N3828" s="74">
        <f t="shared" si="1"/>
        <v>0</v>
      </c>
      <c r="O3828" s="74" t="b">
        <v>0</v>
      </c>
    </row>
    <row r="3829" hidden="1">
      <c r="A3829" s="82"/>
      <c r="B3829" s="65" t="s">
        <v>411</v>
      </c>
      <c r="C3829" s="65" t="s">
        <v>92</v>
      </c>
      <c r="D3829" s="65" t="str">
        <f>vlookup(C3829,'Classificação p pessoal'!F:G,2,false)</f>
        <v/>
      </c>
      <c r="E3829" s="65" t="s">
        <v>2747</v>
      </c>
      <c r="F3829" s="83">
        <v>0.5208333333333334</v>
      </c>
      <c r="G3829" s="83">
        <v>0.5625</v>
      </c>
      <c r="H3829" s="83">
        <v>0.041666666666666664</v>
      </c>
      <c r="I3829" s="84">
        <v>44559.0</v>
      </c>
      <c r="J3829" s="65" t="b">
        <v>1</v>
      </c>
      <c r="K3829" s="65"/>
      <c r="L3829" s="85" t="b">
        <f>IF(VLOOKUP(C3829,Projetos!A:L,12,false)=TRUE,TRUE,FALSE)</f>
        <v>1</v>
      </c>
      <c r="M3829" s="74">
        <v>52.48434411075036</v>
      </c>
      <c r="N3829" s="74">
        <f t="shared" si="1"/>
        <v>52.48434411</v>
      </c>
      <c r="O3829" s="74" t="b">
        <v>1</v>
      </c>
    </row>
    <row r="3830" hidden="1">
      <c r="A3830" s="82"/>
      <c r="B3830" s="65" t="s">
        <v>411</v>
      </c>
      <c r="C3830" s="65" t="s">
        <v>117</v>
      </c>
      <c r="D3830" s="65" t="str">
        <f>vlookup(C3830,'Classificação p pessoal'!F:G,2,false)</f>
        <v>NP</v>
      </c>
      <c r="E3830" s="65" t="s">
        <v>2748</v>
      </c>
      <c r="F3830" s="83">
        <v>0.6041666666666666</v>
      </c>
      <c r="G3830" s="83">
        <v>0.75</v>
      </c>
      <c r="H3830" s="83">
        <v>0.14583333333333334</v>
      </c>
      <c r="I3830" s="84">
        <v>44559.0</v>
      </c>
      <c r="J3830" s="65" t="b">
        <v>1</v>
      </c>
      <c r="K3830" s="65"/>
      <c r="L3830" s="85" t="b">
        <f>IF(VLOOKUP(C3830,Projetos!A:L,12,false)=TRUE,TRUE,FALSE)</f>
        <v>1</v>
      </c>
      <c r="M3830" s="74">
        <v>52.48434411075036</v>
      </c>
      <c r="N3830" s="74">
        <f t="shared" si="1"/>
        <v>183.6952044</v>
      </c>
      <c r="O3830" s="74" t="b">
        <v>1</v>
      </c>
    </row>
    <row r="3831" hidden="1">
      <c r="A3831" s="82"/>
      <c r="B3831" s="65" t="s">
        <v>411</v>
      </c>
      <c r="C3831" s="65" t="s">
        <v>125</v>
      </c>
      <c r="D3831" s="65" t="str">
        <f>vlookup(C3831,'Classificação p pessoal'!F:G,2,false)</f>
        <v>MProduto</v>
      </c>
      <c r="E3831" s="65" t="s">
        <v>2749</v>
      </c>
      <c r="F3831" s="83">
        <v>0.375</v>
      </c>
      <c r="G3831" s="83">
        <v>0.5833333333333334</v>
      </c>
      <c r="H3831" s="83">
        <v>0.20833333333333334</v>
      </c>
      <c r="I3831" s="84">
        <v>44925.0</v>
      </c>
      <c r="J3831" s="65" t="b">
        <v>1</v>
      </c>
      <c r="K3831" s="65"/>
      <c r="L3831" s="85" t="b">
        <f>IF(VLOOKUP(C3831,Projetos!A:L,12,false)=TRUE,TRUE,FALSE)</f>
        <v>1</v>
      </c>
      <c r="M3831" s="74">
        <v>52.48434411075036</v>
      </c>
      <c r="N3831" s="74">
        <f t="shared" si="1"/>
        <v>262.4217206</v>
      </c>
      <c r="O3831" s="74" t="b">
        <v>1</v>
      </c>
    </row>
    <row r="3832" hidden="1">
      <c r="A3832" s="82"/>
      <c r="B3832" s="65" t="s">
        <v>411</v>
      </c>
      <c r="C3832" s="65" t="s">
        <v>132</v>
      </c>
      <c r="D3832" s="65"/>
      <c r="E3832" s="65" t="s">
        <v>2750</v>
      </c>
      <c r="F3832" s="83">
        <v>0.625</v>
      </c>
      <c r="G3832" s="83">
        <v>0.6666666666666666</v>
      </c>
      <c r="H3832" s="83">
        <v>0.041666666666666664</v>
      </c>
      <c r="I3832" s="84">
        <v>44560.0</v>
      </c>
      <c r="J3832" s="65" t="b">
        <v>1</v>
      </c>
      <c r="K3832" s="65"/>
      <c r="L3832" s="85" t="b">
        <f>IF(VLOOKUP(C3832,Projetos!A:L,12,false)=TRUE,TRUE,FALSE)</f>
        <v>0</v>
      </c>
      <c r="M3832" s="74">
        <v>52.48434411075036</v>
      </c>
      <c r="N3832" s="74">
        <f t="shared" si="1"/>
        <v>0</v>
      </c>
      <c r="O3832" s="74" t="b">
        <v>0</v>
      </c>
    </row>
    <row r="3833" hidden="1">
      <c r="A3833" s="82"/>
      <c r="B3833" s="65" t="s">
        <v>411</v>
      </c>
      <c r="C3833" s="65" t="s">
        <v>117</v>
      </c>
      <c r="D3833" s="65" t="str">
        <f>vlookup(C3833,'Classificação p pessoal'!F:G,2,false)</f>
        <v>NP</v>
      </c>
      <c r="E3833" s="65" t="s">
        <v>2751</v>
      </c>
      <c r="F3833" s="83">
        <v>0.6666666666666666</v>
      </c>
      <c r="G3833" s="83">
        <v>0.75</v>
      </c>
      <c r="H3833" s="83">
        <v>0.08333333333333333</v>
      </c>
      <c r="I3833" s="84">
        <v>44560.0</v>
      </c>
      <c r="J3833" s="65" t="b">
        <v>1</v>
      </c>
      <c r="K3833" s="65"/>
      <c r="L3833" s="85" t="b">
        <f>IF(VLOOKUP(C3833,Projetos!A:L,12,false)=TRUE,TRUE,FALSE)</f>
        <v>1</v>
      </c>
      <c r="M3833" s="74">
        <v>52.48434411075036</v>
      </c>
      <c r="N3833" s="74">
        <f t="shared" si="1"/>
        <v>104.9686882</v>
      </c>
      <c r="O3833" s="74" t="b">
        <v>1</v>
      </c>
    </row>
    <row r="3834" hidden="1">
      <c r="A3834" s="82"/>
      <c r="B3834" s="65" t="s">
        <v>467</v>
      </c>
      <c r="C3834" s="65" t="s">
        <v>88</v>
      </c>
      <c r="D3834" s="65" t="str">
        <f>vlookup(C3834,'Classificação p pessoal'!F:G,2,false)</f>
        <v>MProduto</v>
      </c>
      <c r="E3834" s="65" t="s">
        <v>2752</v>
      </c>
      <c r="F3834" s="83">
        <v>0.375</v>
      </c>
      <c r="G3834" s="83">
        <v>0.4166666666666667</v>
      </c>
      <c r="H3834" s="83">
        <v>0.041666666666666664</v>
      </c>
      <c r="I3834" s="84">
        <v>44348.0</v>
      </c>
      <c r="J3834" s="65" t="b">
        <v>1</v>
      </c>
      <c r="K3834" s="65"/>
      <c r="L3834" s="85" t="b">
        <f>IF(VLOOKUP(C3834,Projetos!A:L,12,false)=TRUE,TRUE,FALSE)</f>
        <v>1</v>
      </c>
      <c r="M3834" s="74">
        <v>52.1518759018759</v>
      </c>
      <c r="N3834" s="74">
        <f t="shared" si="1"/>
        <v>52.1518759</v>
      </c>
      <c r="O3834" s="74" t="b">
        <v>1</v>
      </c>
    </row>
    <row r="3835" hidden="1">
      <c r="A3835" s="82"/>
      <c r="B3835" s="65" t="s">
        <v>467</v>
      </c>
      <c r="C3835" s="65" t="s">
        <v>113</v>
      </c>
      <c r="D3835" s="65" t="str">
        <f>vlookup(C3835,'Classificação p pessoal'!F:G,2,false)</f>
        <v>NP</v>
      </c>
      <c r="E3835" s="65" t="s">
        <v>2753</v>
      </c>
      <c r="F3835" s="83">
        <v>0.6666666666666666</v>
      </c>
      <c r="G3835" s="83">
        <v>0.6875</v>
      </c>
      <c r="H3835" s="83">
        <v>0.020833333333333332</v>
      </c>
      <c r="I3835" s="84">
        <v>44463.0</v>
      </c>
      <c r="J3835" s="65" t="b">
        <v>1</v>
      </c>
      <c r="K3835" s="65"/>
      <c r="L3835" s="85" t="b">
        <f>IF(VLOOKUP(C3835,Projetos!A:L,12,false)=TRUE,TRUE,FALSE)</f>
        <v>1</v>
      </c>
      <c r="M3835" s="74">
        <v>52.1518759018759</v>
      </c>
      <c r="N3835" s="74">
        <f t="shared" si="1"/>
        <v>26.07593795</v>
      </c>
      <c r="O3835" s="74" t="b">
        <v>1</v>
      </c>
    </row>
    <row r="3836" hidden="1">
      <c r="A3836" s="82"/>
      <c r="B3836" s="65" t="s">
        <v>467</v>
      </c>
      <c r="C3836" s="65" t="s">
        <v>120</v>
      </c>
      <c r="D3836" s="65"/>
      <c r="E3836" s="65" t="s">
        <v>2754</v>
      </c>
      <c r="F3836" s="83">
        <v>0.3958333333333333</v>
      </c>
      <c r="G3836" s="83">
        <v>0.4375</v>
      </c>
      <c r="H3836" s="83">
        <v>0.041666666666666664</v>
      </c>
      <c r="I3836" s="84">
        <v>44445.0</v>
      </c>
      <c r="J3836" s="65" t="b">
        <v>0</v>
      </c>
      <c r="K3836" s="65" t="s">
        <v>187</v>
      </c>
      <c r="L3836" s="85" t="b">
        <f>IF(VLOOKUP(C3836,Projetos!A:L,12,false)=TRUE,TRUE,FALSE)</f>
        <v>0</v>
      </c>
      <c r="M3836" s="74">
        <v>52.1518759018759</v>
      </c>
      <c r="N3836" s="74">
        <f t="shared" si="1"/>
        <v>0</v>
      </c>
      <c r="O3836" s="74" t="b">
        <v>0</v>
      </c>
    </row>
    <row r="3837" hidden="1">
      <c r="A3837" s="82"/>
      <c r="B3837" s="65" t="s">
        <v>467</v>
      </c>
      <c r="C3837" s="65" t="s">
        <v>88</v>
      </c>
      <c r="D3837" s="65" t="str">
        <f>vlookup(C3837,'Classificação p pessoal'!F:G,2,false)</f>
        <v>MProduto</v>
      </c>
      <c r="E3837" s="65" t="s">
        <v>2755</v>
      </c>
      <c r="F3837" s="83">
        <v>0.7222222222222222</v>
      </c>
      <c r="G3837" s="83">
        <v>0.75</v>
      </c>
      <c r="H3837" s="83">
        <v>0.027777777777777776</v>
      </c>
      <c r="I3837" s="84">
        <v>44287.0</v>
      </c>
      <c r="J3837" s="65" t="b">
        <v>1</v>
      </c>
      <c r="K3837" s="65"/>
      <c r="L3837" s="85" t="b">
        <f>IF(VLOOKUP(C3837,Projetos!A:L,12,false)=TRUE,TRUE,FALSE)</f>
        <v>1</v>
      </c>
      <c r="M3837" s="74">
        <v>52.1518759018759</v>
      </c>
      <c r="N3837" s="74">
        <f t="shared" si="1"/>
        <v>34.76791727</v>
      </c>
      <c r="O3837" s="74" t="b">
        <v>1</v>
      </c>
    </row>
    <row r="3838" hidden="1">
      <c r="A3838" s="82"/>
      <c r="B3838" s="65" t="s">
        <v>467</v>
      </c>
      <c r="C3838" s="65" t="s">
        <v>130</v>
      </c>
      <c r="D3838" s="65"/>
      <c r="E3838" s="65" t="s">
        <v>2756</v>
      </c>
      <c r="F3838" s="83">
        <v>0.6458333333333334</v>
      </c>
      <c r="G3838" s="83">
        <v>0.6666666666666666</v>
      </c>
      <c r="H3838" s="83">
        <v>0.020833333333333332</v>
      </c>
      <c r="I3838" s="84">
        <v>44348.0</v>
      </c>
      <c r="J3838" s="65" t="b">
        <v>0</v>
      </c>
      <c r="K3838" s="65" t="s">
        <v>150</v>
      </c>
      <c r="L3838" s="85" t="b">
        <f>IF(VLOOKUP(C3838,Projetos!A:L,12,false)=TRUE,TRUE,FALSE)</f>
        <v>1</v>
      </c>
      <c r="M3838" s="74">
        <v>52.1518759018759</v>
      </c>
      <c r="N3838" s="74">
        <f t="shared" si="1"/>
        <v>0</v>
      </c>
      <c r="O3838" s="74" t="b">
        <v>1</v>
      </c>
    </row>
    <row r="3839" hidden="1">
      <c r="A3839" s="82"/>
      <c r="B3839" s="65" t="s">
        <v>467</v>
      </c>
      <c r="C3839" s="65" t="s">
        <v>92</v>
      </c>
      <c r="D3839" s="65" t="str">
        <f>vlookup(C3839,'Classificação p pessoal'!F:G,2,false)</f>
        <v/>
      </c>
      <c r="E3839" s="65" t="s">
        <v>2757</v>
      </c>
      <c r="F3839" s="83">
        <v>0.6666666666666666</v>
      </c>
      <c r="G3839" s="83">
        <v>0.7083333333333334</v>
      </c>
      <c r="H3839" s="83">
        <v>0.041666666666666664</v>
      </c>
      <c r="I3839" s="84">
        <v>44293.0</v>
      </c>
      <c r="J3839" s="65" t="b">
        <v>1</v>
      </c>
      <c r="K3839" s="65"/>
      <c r="L3839" s="85" t="b">
        <f>IF(VLOOKUP(C3839,Projetos!A:L,12,false)=TRUE,TRUE,FALSE)</f>
        <v>1</v>
      </c>
      <c r="M3839" s="74">
        <v>52.1518759018759</v>
      </c>
      <c r="N3839" s="74">
        <f t="shared" si="1"/>
        <v>52.1518759</v>
      </c>
      <c r="O3839" s="74" t="b">
        <v>1</v>
      </c>
    </row>
    <row r="3840" hidden="1">
      <c r="A3840" s="82"/>
      <c r="B3840" s="65" t="s">
        <v>467</v>
      </c>
      <c r="C3840" s="65" t="s">
        <v>92</v>
      </c>
      <c r="D3840" s="65" t="str">
        <f>vlookup(C3840,'Classificação p pessoal'!F:G,2,false)</f>
        <v/>
      </c>
      <c r="E3840" s="65" t="s">
        <v>2758</v>
      </c>
      <c r="F3840" s="83">
        <v>0.34375</v>
      </c>
      <c r="G3840" s="83">
        <v>0.5</v>
      </c>
      <c r="H3840" s="83">
        <v>0.15625</v>
      </c>
      <c r="I3840" s="84">
        <v>44230.0</v>
      </c>
      <c r="J3840" s="65" t="b">
        <v>1</v>
      </c>
      <c r="K3840" s="65"/>
      <c r="L3840" s="85" t="b">
        <f>IF(VLOOKUP(C3840,Projetos!A:L,12,false)=TRUE,TRUE,FALSE)</f>
        <v>1</v>
      </c>
      <c r="M3840" s="74">
        <v>52.1518759018759</v>
      </c>
      <c r="N3840" s="74">
        <f t="shared" si="1"/>
        <v>195.5695346</v>
      </c>
      <c r="O3840" s="74" t="b">
        <v>1</v>
      </c>
    </row>
    <row r="3841" hidden="1">
      <c r="A3841" s="82"/>
      <c r="B3841" s="65" t="s">
        <v>467</v>
      </c>
      <c r="C3841" s="65" t="s">
        <v>92</v>
      </c>
      <c r="D3841" s="65" t="str">
        <f>vlookup(C3841,'Classificação p pessoal'!F:G,2,false)</f>
        <v/>
      </c>
      <c r="E3841" s="65" t="s">
        <v>2759</v>
      </c>
      <c r="F3841" s="83">
        <v>0.5416666666666666</v>
      </c>
      <c r="G3841" s="83">
        <v>0.6666666666666666</v>
      </c>
      <c r="H3841" s="83">
        <v>0.125</v>
      </c>
      <c r="I3841" s="84">
        <v>44228.0</v>
      </c>
      <c r="J3841" s="65" t="b">
        <v>1</v>
      </c>
      <c r="K3841" s="65"/>
      <c r="L3841" s="85" t="b">
        <f>IF(VLOOKUP(C3841,Projetos!A:L,12,false)=TRUE,TRUE,FALSE)</f>
        <v>1</v>
      </c>
      <c r="M3841" s="74">
        <v>52.1518759018759</v>
      </c>
      <c r="N3841" s="74">
        <f t="shared" si="1"/>
        <v>156.4556277</v>
      </c>
      <c r="O3841" s="74" t="b">
        <v>1</v>
      </c>
    </row>
    <row r="3842" hidden="1">
      <c r="A3842" s="82"/>
      <c r="B3842" s="65" t="s">
        <v>467</v>
      </c>
      <c r="C3842" s="65" t="s">
        <v>92</v>
      </c>
      <c r="D3842" s="65" t="str">
        <f>vlookup(C3842,'Classificação p pessoal'!F:G,2,false)</f>
        <v/>
      </c>
      <c r="E3842" s="65" t="s">
        <v>2760</v>
      </c>
      <c r="F3842" s="83">
        <v>0.34375</v>
      </c>
      <c r="G3842" s="83">
        <v>0.4791666666666667</v>
      </c>
      <c r="H3842" s="83">
        <v>0.13541666666666666</v>
      </c>
      <c r="I3842" s="84">
        <v>44229.0</v>
      </c>
      <c r="J3842" s="65" t="b">
        <v>1</v>
      </c>
      <c r="K3842" s="65"/>
      <c r="L3842" s="85" t="b">
        <f>IF(VLOOKUP(C3842,Projetos!A:L,12,false)=TRUE,TRUE,FALSE)</f>
        <v>1</v>
      </c>
      <c r="M3842" s="74">
        <v>52.1518759018759</v>
      </c>
      <c r="N3842" s="74">
        <f t="shared" si="1"/>
        <v>169.4935967</v>
      </c>
      <c r="O3842" s="74" t="b">
        <v>1</v>
      </c>
    </row>
    <row r="3843" hidden="1">
      <c r="A3843" s="82"/>
      <c r="B3843" s="65" t="s">
        <v>467</v>
      </c>
      <c r="C3843" s="65" t="s">
        <v>92</v>
      </c>
      <c r="D3843" s="65" t="str">
        <f>vlookup(C3843,'Classificação p pessoal'!F:G,2,false)</f>
        <v/>
      </c>
      <c r="E3843" s="65" t="s">
        <v>2761</v>
      </c>
      <c r="F3843" s="83">
        <v>0.34375</v>
      </c>
      <c r="G3843" s="83">
        <v>0.4131944444444444</v>
      </c>
      <c r="H3843" s="83">
        <v>0.06944444444444445</v>
      </c>
      <c r="I3843" s="84">
        <v>44228.0</v>
      </c>
      <c r="J3843" s="65" t="b">
        <v>1</v>
      </c>
      <c r="K3843" s="65"/>
      <c r="L3843" s="85" t="b">
        <f>IF(VLOOKUP(C3843,Projetos!A:L,12,false)=TRUE,TRUE,FALSE)</f>
        <v>1</v>
      </c>
      <c r="M3843" s="74">
        <v>52.1518759018759</v>
      </c>
      <c r="N3843" s="74">
        <f t="shared" si="1"/>
        <v>86.91979317</v>
      </c>
      <c r="O3843" s="74" t="b">
        <v>1</v>
      </c>
    </row>
    <row r="3844" hidden="1">
      <c r="A3844" s="82"/>
      <c r="B3844" s="65" t="s">
        <v>467</v>
      </c>
      <c r="C3844" s="65" t="s">
        <v>92</v>
      </c>
      <c r="D3844" s="65" t="str">
        <f>vlookup(C3844,'Classificação p pessoal'!F:G,2,false)</f>
        <v/>
      </c>
      <c r="E3844" s="65" t="s">
        <v>2762</v>
      </c>
      <c r="F3844" s="83">
        <v>0.5833333333333334</v>
      </c>
      <c r="G3844" s="83">
        <v>0.75</v>
      </c>
      <c r="H3844" s="83">
        <v>0.16666666666666666</v>
      </c>
      <c r="I3844" s="84">
        <v>44229.0</v>
      </c>
      <c r="J3844" s="65" t="b">
        <v>1</v>
      </c>
      <c r="K3844" s="65"/>
      <c r="L3844" s="85" t="b">
        <f>IF(VLOOKUP(C3844,Projetos!A:L,12,false)=TRUE,TRUE,FALSE)</f>
        <v>1</v>
      </c>
      <c r="M3844" s="74">
        <v>52.1518759018759</v>
      </c>
      <c r="N3844" s="74">
        <f t="shared" si="1"/>
        <v>208.6075036</v>
      </c>
      <c r="O3844" s="74" t="b">
        <v>1</v>
      </c>
    </row>
    <row r="3845" hidden="1">
      <c r="A3845" s="82"/>
      <c r="B3845" s="65" t="s">
        <v>467</v>
      </c>
      <c r="C3845" s="65" t="s">
        <v>88</v>
      </c>
      <c r="D3845" s="65" t="str">
        <f>vlookup(C3845,'Classificação p pessoal'!F:G,2,false)</f>
        <v>MProduto</v>
      </c>
      <c r="E3845" s="65" t="s">
        <v>2763</v>
      </c>
      <c r="F3845" s="83">
        <v>0.3541666666666667</v>
      </c>
      <c r="G3845" s="83">
        <v>0.4166666666666667</v>
      </c>
      <c r="H3845" s="83">
        <v>0.0625</v>
      </c>
      <c r="I3845" s="84">
        <v>44341.0</v>
      </c>
      <c r="J3845" s="65" t="b">
        <v>1</v>
      </c>
      <c r="K3845" s="65"/>
      <c r="L3845" s="85" t="b">
        <f>IF(VLOOKUP(C3845,Projetos!A:L,12,false)=TRUE,TRUE,FALSE)</f>
        <v>1</v>
      </c>
      <c r="M3845" s="74">
        <v>52.1518759018759</v>
      </c>
      <c r="N3845" s="74">
        <f t="shared" si="1"/>
        <v>78.22781385</v>
      </c>
      <c r="O3845" s="74" t="b">
        <v>1</v>
      </c>
    </row>
    <row r="3846" hidden="1">
      <c r="A3846" s="82"/>
      <c r="B3846" s="65" t="s">
        <v>467</v>
      </c>
      <c r="C3846" s="65" t="s">
        <v>130</v>
      </c>
      <c r="D3846" s="65"/>
      <c r="E3846" s="65" t="s">
        <v>2764</v>
      </c>
      <c r="F3846" s="83">
        <v>0.5833333333333334</v>
      </c>
      <c r="G3846" s="83">
        <v>0.6666666666666666</v>
      </c>
      <c r="H3846" s="83">
        <v>0.08333333333333333</v>
      </c>
      <c r="I3846" s="84">
        <v>44517.0</v>
      </c>
      <c r="J3846" s="65" t="b">
        <v>0</v>
      </c>
      <c r="K3846" s="65"/>
      <c r="L3846" s="85" t="b">
        <f>IF(VLOOKUP(C3846,Projetos!A:L,12,false)=TRUE,TRUE,FALSE)</f>
        <v>1</v>
      </c>
      <c r="M3846" s="74">
        <v>52.1518759018759</v>
      </c>
      <c r="N3846" s="74">
        <f t="shared" si="1"/>
        <v>0</v>
      </c>
      <c r="O3846" s="74" t="b">
        <v>1</v>
      </c>
    </row>
    <row r="3847" hidden="1">
      <c r="A3847" s="82"/>
      <c r="B3847" s="65" t="s">
        <v>467</v>
      </c>
      <c r="C3847" s="65" t="s">
        <v>88</v>
      </c>
      <c r="D3847" s="65" t="str">
        <f>vlookup(C3847,'Classificação p pessoal'!F:G,2,false)</f>
        <v>MProduto</v>
      </c>
      <c r="E3847" s="65" t="s">
        <v>2765</v>
      </c>
      <c r="F3847" s="83">
        <v>0.6041666666666666</v>
      </c>
      <c r="G3847" s="83">
        <v>0.6666666666666666</v>
      </c>
      <c r="H3847" s="83">
        <v>0.0625</v>
      </c>
      <c r="I3847" s="84">
        <v>44214.0</v>
      </c>
      <c r="J3847" s="65" t="b">
        <v>1</v>
      </c>
      <c r="K3847" s="65"/>
      <c r="L3847" s="85" t="b">
        <f>IF(VLOOKUP(C3847,Projetos!A:L,12,false)=TRUE,TRUE,FALSE)</f>
        <v>1</v>
      </c>
      <c r="M3847" s="74">
        <v>52.1518759018759</v>
      </c>
      <c r="N3847" s="74">
        <f t="shared" si="1"/>
        <v>78.22781385</v>
      </c>
      <c r="O3847" s="74" t="b">
        <v>1</v>
      </c>
    </row>
    <row r="3848" hidden="1">
      <c r="A3848" s="82"/>
      <c r="B3848" s="65" t="s">
        <v>467</v>
      </c>
      <c r="C3848" s="65" t="s">
        <v>104</v>
      </c>
      <c r="D3848" s="65" t="str">
        <f>vlookup(C3848,'Classificação p pessoal'!F:G,2,false)</f>
        <v>NP</v>
      </c>
      <c r="E3848" s="65" t="s">
        <v>2765</v>
      </c>
      <c r="F3848" s="83">
        <v>0.4375</v>
      </c>
      <c r="G3848" s="83">
        <v>0.5</v>
      </c>
      <c r="H3848" s="83">
        <v>0.0625</v>
      </c>
      <c r="I3848" s="84">
        <v>44216.0</v>
      </c>
      <c r="J3848" s="65" t="b">
        <v>1</v>
      </c>
      <c r="K3848" s="65"/>
      <c r="L3848" s="85" t="b">
        <f>IF(VLOOKUP(C3848,Projetos!A:L,12,false)=TRUE,TRUE,FALSE)</f>
        <v>1</v>
      </c>
      <c r="M3848" s="74">
        <v>52.1518759018759</v>
      </c>
      <c r="N3848" s="74">
        <f t="shared" si="1"/>
        <v>78.22781385</v>
      </c>
      <c r="O3848" s="74" t="b">
        <v>1</v>
      </c>
    </row>
    <row r="3849" hidden="1">
      <c r="A3849" s="82"/>
      <c r="B3849" s="65" t="s">
        <v>467</v>
      </c>
      <c r="C3849" s="65" t="s">
        <v>92</v>
      </c>
      <c r="D3849" s="65"/>
      <c r="E3849" s="65" t="s">
        <v>2766</v>
      </c>
      <c r="F3849" s="83">
        <v>0.4166666666666667</v>
      </c>
      <c r="G3849" s="83">
        <v>0.4270833333333333</v>
      </c>
      <c r="H3849" s="83">
        <v>0.010416666666666666</v>
      </c>
      <c r="I3849" s="84">
        <v>44412.0</v>
      </c>
      <c r="J3849" s="65" t="b">
        <v>0</v>
      </c>
      <c r="K3849" s="65"/>
      <c r="L3849" s="85" t="b">
        <f>IF(VLOOKUP(C3849,Projetos!A:L,12,false)=TRUE,TRUE,FALSE)</f>
        <v>1</v>
      </c>
      <c r="M3849" s="74">
        <v>52.1518759018759</v>
      </c>
      <c r="N3849" s="74">
        <f t="shared" si="1"/>
        <v>0</v>
      </c>
      <c r="O3849" s="74" t="b">
        <v>1</v>
      </c>
    </row>
    <row r="3850" hidden="1">
      <c r="A3850" s="82"/>
      <c r="B3850" s="65" t="s">
        <v>467</v>
      </c>
      <c r="C3850" s="65" t="s">
        <v>84</v>
      </c>
      <c r="D3850" s="65"/>
      <c r="E3850" s="65" t="s">
        <v>2767</v>
      </c>
      <c r="F3850" s="83">
        <v>0.34375</v>
      </c>
      <c r="G3850" s="83">
        <v>0.4166666666666667</v>
      </c>
      <c r="H3850" s="83">
        <v>0.07291666666666667</v>
      </c>
      <c r="I3850" s="84">
        <v>44539.0</v>
      </c>
      <c r="J3850" s="65" t="b">
        <v>0</v>
      </c>
      <c r="K3850" s="65"/>
      <c r="L3850" s="85" t="b">
        <f>IF(VLOOKUP(C3850,Projetos!A:L,12,false)=TRUE,TRUE,FALSE)</f>
        <v>0</v>
      </c>
      <c r="M3850" s="74">
        <v>52.1518759018759</v>
      </c>
      <c r="N3850" s="74">
        <f t="shared" si="1"/>
        <v>0</v>
      </c>
      <c r="O3850" s="74" t="b">
        <v>0</v>
      </c>
    </row>
    <row r="3851" hidden="1">
      <c r="A3851" s="82"/>
      <c r="B3851" s="65" t="s">
        <v>467</v>
      </c>
      <c r="C3851" s="65" t="s">
        <v>122</v>
      </c>
      <c r="D3851" s="65" t="str">
        <f>vlookup(C3851,'Classificação p pessoal'!F:G,2,false)</f>
        <v>NP</v>
      </c>
      <c r="E3851" s="65" t="s">
        <v>2768</v>
      </c>
      <c r="F3851" s="83">
        <v>0.3541666666666667</v>
      </c>
      <c r="G3851" s="83">
        <v>0.3958333333333333</v>
      </c>
      <c r="H3851" s="83">
        <v>0.041666666666666664</v>
      </c>
      <c r="I3851" s="84">
        <v>44413.0</v>
      </c>
      <c r="J3851" s="65" t="b">
        <v>1</v>
      </c>
      <c r="K3851" s="65"/>
      <c r="L3851" s="85" t="b">
        <f>IF(VLOOKUP(C3851,Projetos!A:L,12,false)=TRUE,TRUE,FALSE)</f>
        <v>1</v>
      </c>
      <c r="M3851" s="74">
        <v>52.1518759018759</v>
      </c>
      <c r="N3851" s="74">
        <f t="shared" si="1"/>
        <v>52.1518759</v>
      </c>
      <c r="O3851" s="74" t="b">
        <v>1</v>
      </c>
    </row>
    <row r="3852" hidden="1">
      <c r="A3852" s="82"/>
      <c r="B3852" s="65" t="s">
        <v>467</v>
      </c>
      <c r="C3852" s="65" t="s">
        <v>113</v>
      </c>
      <c r="D3852" s="65" t="str">
        <f>vlookup(C3852,'Classificação p pessoal'!F:G,2,false)</f>
        <v>NP</v>
      </c>
      <c r="E3852" s="65" t="s">
        <v>2769</v>
      </c>
      <c r="F3852" s="83">
        <v>0.5</v>
      </c>
      <c r="G3852" s="83">
        <v>0.5208333333333334</v>
      </c>
      <c r="H3852" s="83">
        <v>0.020833333333333332</v>
      </c>
      <c r="I3852" s="84">
        <v>44412.0</v>
      </c>
      <c r="J3852" s="65" t="b">
        <v>1</v>
      </c>
      <c r="K3852" s="65"/>
      <c r="L3852" s="85" t="b">
        <f>IF(VLOOKUP(C3852,Projetos!A:L,12,false)=TRUE,TRUE,FALSE)</f>
        <v>1</v>
      </c>
      <c r="M3852" s="74">
        <v>52.1518759018759</v>
      </c>
      <c r="N3852" s="74">
        <f t="shared" si="1"/>
        <v>26.07593795</v>
      </c>
      <c r="O3852" s="74" t="b">
        <v>1</v>
      </c>
    </row>
    <row r="3853" hidden="1">
      <c r="A3853" s="82"/>
      <c r="B3853" s="65" t="s">
        <v>467</v>
      </c>
      <c r="C3853" s="65" t="s">
        <v>84</v>
      </c>
      <c r="D3853" s="65"/>
      <c r="E3853" s="65" t="s">
        <v>2770</v>
      </c>
      <c r="F3853" s="83">
        <v>0.4583333333333333</v>
      </c>
      <c r="G3853" s="83">
        <v>0.4791666666666667</v>
      </c>
      <c r="H3853" s="83">
        <v>0.020833333333333332</v>
      </c>
      <c r="I3853" s="84">
        <v>44537.0</v>
      </c>
      <c r="J3853" s="65" t="b">
        <v>0</v>
      </c>
      <c r="K3853" s="65"/>
      <c r="L3853" s="85" t="b">
        <f>IF(VLOOKUP(C3853,Projetos!A:L,12,false)=TRUE,TRUE,FALSE)</f>
        <v>0</v>
      </c>
      <c r="M3853" s="74">
        <v>52.1518759018759</v>
      </c>
      <c r="N3853" s="74">
        <f t="shared" si="1"/>
        <v>0</v>
      </c>
      <c r="O3853" s="74" t="b">
        <v>0</v>
      </c>
    </row>
    <row r="3854" hidden="1">
      <c r="A3854" s="82"/>
      <c r="B3854" s="65" t="s">
        <v>467</v>
      </c>
      <c r="C3854" s="65" t="s">
        <v>113</v>
      </c>
      <c r="D3854" s="65"/>
      <c r="E3854" s="65" t="s">
        <v>2771</v>
      </c>
      <c r="F3854" s="83">
        <v>0.5833333333333334</v>
      </c>
      <c r="G3854" s="83">
        <v>0.6041666666666666</v>
      </c>
      <c r="H3854" s="83">
        <v>0.020833333333333332</v>
      </c>
      <c r="I3854" s="84">
        <v>44417.0</v>
      </c>
      <c r="J3854" s="65" t="b">
        <v>0</v>
      </c>
      <c r="K3854" s="65" t="s">
        <v>150</v>
      </c>
      <c r="L3854" s="85" t="b">
        <f>IF(VLOOKUP(C3854,Projetos!A:L,12,false)=TRUE,TRUE,FALSE)</f>
        <v>1</v>
      </c>
      <c r="M3854" s="74">
        <v>52.1518759018759</v>
      </c>
      <c r="N3854" s="74">
        <f t="shared" si="1"/>
        <v>0</v>
      </c>
      <c r="O3854" s="74" t="b">
        <v>1</v>
      </c>
    </row>
    <row r="3855" hidden="1">
      <c r="A3855" s="82"/>
      <c r="B3855" s="65" t="s">
        <v>467</v>
      </c>
      <c r="C3855" s="65" t="s">
        <v>130</v>
      </c>
      <c r="D3855" s="65" t="str">
        <f>vlookup(C3855,'Classificação p pessoal'!F:G,2,false)</f>
        <v>NP</v>
      </c>
      <c r="E3855" s="65" t="s">
        <v>2772</v>
      </c>
      <c r="F3855" s="83">
        <v>0.3541666666666667</v>
      </c>
      <c r="G3855" s="83">
        <v>0.4583333333333333</v>
      </c>
      <c r="H3855" s="83">
        <v>0.10416666666666667</v>
      </c>
      <c r="I3855" s="84">
        <v>44322.0</v>
      </c>
      <c r="J3855" s="65" t="b">
        <v>1</v>
      </c>
      <c r="K3855" s="65"/>
      <c r="L3855" s="85" t="b">
        <f>IF(VLOOKUP(C3855,Projetos!A:L,12,false)=TRUE,TRUE,FALSE)</f>
        <v>1</v>
      </c>
      <c r="M3855" s="74">
        <v>52.1518759018759</v>
      </c>
      <c r="N3855" s="74">
        <f t="shared" si="1"/>
        <v>130.3796898</v>
      </c>
      <c r="O3855" s="74" t="b">
        <v>1</v>
      </c>
    </row>
    <row r="3856" hidden="1">
      <c r="A3856" s="82"/>
      <c r="B3856" s="65" t="s">
        <v>467</v>
      </c>
      <c r="C3856" s="65" t="s">
        <v>113</v>
      </c>
      <c r="D3856" s="65" t="str">
        <f>vlookup(C3856,'Classificação p pessoal'!F:G,2,false)</f>
        <v>NP</v>
      </c>
      <c r="E3856" s="65" t="s">
        <v>2773</v>
      </c>
      <c r="F3856" s="83">
        <v>0.3541666666666667</v>
      </c>
      <c r="G3856" s="83">
        <v>0.3958333333333333</v>
      </c>
      <c r="H3856" s="83">
        <v>0.041666666666666664</v>
      </c>
      <c r="I3856" s="84">
        <v>44414.0</v>
      </c>
      <c r="J3856" s="65" t="b">
        <v>1</v>
      </c>
      <c r="K3856" s="65"/>
      <c r="L3856" s="85" t="b">
        <f>IF(VLOOKUP(C3856,Projetos!A:L,12,false)=TRUE,TRUE,FALSE)</f>
        <v>1</v>
      </c>
      <c r="M3856" s="74">
        <v>52.1518759018759</v>
      </c>
      <c r="N3856" s="74">
        <f t="shared" si="1"/>
        <v>52.1518759</v>
      </c>
      <c r="O3856" s="74" t="b">
        <v>1</v>
      </c>
    </row>
    <row r="3857" hidden="1">
      <c r="A3857" s="82"/>
      <c r="B3857" s="65" t="s">
        <v>467</v>
      </c>
      <c r="C3857" s="65" t="s">
        <v>130</v>
      </c>
      <c r="D3857" s="65" t="str">
        <f>vlookup(C3857,'Classificação p pessoal'!F:G,2,false)</f>
        <v>NP</v>
      </c>
      <c r="E3857" s="65" t="s">
        <v>2774</v>
      </c>
      <c r="F3857" s="83">
        <v>0.5625</v>
      </c>
      <c r="G3857" s="83">
        <v>0.5833333333333334</v>
      </c>
      <c r="H3857" s="83">
        <v>0.020833333333333332</v>
      </c>
      <c r="I3857" s="84">
        <v>44399.0</v>
      </c>
      <c r="J3857" s="65" t="b">
        <v>1</v>
      </c>
      <c r="K3857" s="65"/>
      <c r="L3857" s="85" t="b">
        <f>IF(VLOOKUP(C3857,Projetos!A:L,12,false)=TRUE,TRUE,FALSE)</f>
        <v>1</v>
      </c>
      <c r="M3857" s="74">
        <v>52.1518759018759</v>
      </c>
      <c r="N3857" s="74">
        <f t="shared" si="1"/>
        <v>26.07593795</v>
      </c>
      <c r="O3857" s="74" t="b">
        <v>1</v>
      </c>
    </row>
    <row r="3858" hidden="1">
      <c r="A3858" s="82"/>
      <c r="B3858" s="65" t="s">
        <v>467</v>
      </c>
      <c r="C3858" s="65" t="s">
        <v>130</v>
      </c>
      <c r="D3858" s="65" t="str">
        <f>vlookup(C3858,'Classificação p pessoal'!F:G,2,false)</f>
        <v>NP</v>
      </c>
      <c r="E3858" s="65" t="s">
        <v>2775</v>
      </c>
      <c r="F3858" s="83">
        <v>0.625</v>
      </c>
      <c r="G3858" s="83">
        <v>0.6458333333333334</v>
      </c>
      <c r="H3858" s="83">
        <v>0.020833333333333332</v>
      </c>
      <c r="I3858" s="84">
        <v>44552.0</v>
      </c>
      <c r="J3858" s="65" t="b">
        <v>1</v>
      </c>
      <c r="K3858" s="65"/>
      <c r="L3858" s="85" t="b">
        <f>IF(VLOOKUP(C3858,Projetos!A:L,12,false)=TRUE,TRUE,FALSE)</f>
        <v>1</v>
      </c>
      <c r="M3858" s="74">
        <v>52.1518759018759</v>
      </c>
      <c r="N3858" s="74">
        <f t="shared" si="1"/>
        <v>26.07593795</v>
      </c>
      <c r="O3858" s="74" t="b">
        <v>1</v>
      </c>
    </row>
    <row r="3859" hidden="1">
      <c r="A3859" s="82"/>
      <c r="B3859" s="65" t="s">
        <v>467</v>
      </c>
      <c r="C3859" s="65" t="s">
        <v>122</v>
      </c>
      <c r="D3859" s="65" t="str">
        <f>vlookup(C3859,'Classificação p pessoal'!F:G,2,false)</f>
        <v>NP</v>
      </c>
      <c r="E3859" s="65" t="s">
        <v>2776</v>
      </c>
      <c r="F3859" s="83">
        <v>0.3541666666666667</v>
      </c>
      <c r="G3859" s="83">
        <v>0.4166666666666667</v>
      </c>
      <c r="H3859" s="83">
        <v>0.0625</v>
      </c>
      <c r="I3859" s="84">
        <v>44417.0</v>
      </c>
      <c r="J3859" s="65" t="b">
        <v>1</v>
      </c>
      <c r="K3859" s="65"/>
      <c r="L3859" s="85" t="b">
        <f>IF(VLOOKUP(C3859,Projetos!A:L,12,false)=TRUE,TRUE,FALSE)</f>
        <v>1</v>
      </c>
      <c r="M3859" s="74">
        <v>52.1518759018759</v>
      </c>
      <c r="N3859" s="74">
        <f t="shared" si="1"/>
        <v>78.22781385</v>
      </c>
      <c r="O3859" s="74" t="b">
        <v>1</v>
      </c>
    </row>
    <row r="3860" hidden="1">
      <c r="A3860" s="82"/>
      <c r="B3860" s="65" t="s">
        <v>467</v>
      </c>
      <c r="C3860" s="65" t="s">
        <v>122</v>
      </c>
      <c r="D3860" s="65" t="str">
        <f>vlookup(C3860,'Classificação p pessoal'!F:G,2,false)</f>
        <v>NP</v>
      </c>
      <c r="E3860" s="65" t="s">
        <v>2777</v>
      </c>
      <c r="F3860" s="83">
        <v>0.375</v>
      </c>
      <c r="G3860" s="83">
        <v>0.3958333333333333</v>
      </c>
      <c r="H3860" s="83">
        <v>0.020833333333333332</v>
      </c>
      <c r="I3860" s="84">
        <v>44396.0</v>
      </c>
      <c r="J3860" s="65" t="b">
        <v>1</v>
      </c>
      <c r="K3860" s="65"/>
      <c r="L3860" s="85" t="b">
        <f>IF(VLOOKUP(C3860,Projetos!A:L,12,false)=TRUE,TRUE,FALSE)</f>
        <v>1</v>
      </c>
      <c r="M3860" s="74">
        <v>52.1518759018759</v>
      </c>
      <c r="N3860" s="74">
        <f t="shared" si="1"/>
        <v>26.07593795</v>
      </c>
      <c r="O3860" s="74" t="b">
        <v>1</v>
      </c>
    </row>
    <row r="3861" hidden="1">
      <c r="A3861" s="82"/>
      <c r="B3861" s="65" t="s">
        <v>467</v>
      </c>
      <c r="C3861" s="65" t="s">
        <v>121</v>
      </c>
      <c r="D3861" s="65" t="str">
        <f>vlookup(C3861,'Classificação p pessoal'!F:G,2,false)</f>
        <v>NP</v>
      </c>
      <c r="E3861" s="65" t="s">
        <v>2778</v>
      </c>
      <c r="F3861" s="83">
        <v>0.3541666666666667</v>
      </c>
      <c r="G3861" s="83">
        <v>0.4583333333333333</v>
      </c>
      <c r="H3861" s="83">
        <v>0.10416666666666667</v>
      </c>
      <c r="I3861" s="84">
        <v>44538.0</v>
      </c>
      <c r="J3861" s="65" t="b">
        <v>1</v>
      </c>
      <c r="K3861" s="65"/>
      <c r="L3861" s="85" t="b">
        <f>IF(VLOOKUP(C3861,Projetos!A:L,12,false)=TRUE,TRUE,FALSE)</f>
        <v>1</v>
      </c>
      <c r="M3861" s="74">
        <v>52.1518759018759</v>
      </c>
      <c r="N3861" s="74">
        <f t="shared" si="1"/>
        <v>130.3796898</v>
      </c>
      <c r="O3861" s="74" t="b">
        <v>1</v>
      </c>
    </row>
    <row r="3862" hidden="1">
      <c r="A3862" s="82"/>
      <c r="B3862" s="65" t="s">
        <v>467</v>
      </c>
      <c r="C3862" s="65" t="s">
        <v>121</v>
      </c>
      <c r="D3862" s="65" t="str">
        <f>vlookup(C3862,'Classificação p pessoal'!F:G,2,false)</f>
        <v>NP</v>
      </c>
      <c r="E3862" s="65" t="s">
        <v>2779</v>
      </c>
      <c r="F3862" s="83">
        <v>0.5833333333333334</v>
      </c>
      <c r="G3862" s="83">
        <v>0.6458333333333334</v>
      </c>
      <c r="H3862" s="83">
        <v>0.0625</v>
      </c>
      <c r="I3862" s="84">
        <v>44480.0</v>
      </c>
      <c r="J3862" s="65" t="b">
        <v>1</v>
      </c>
      <c r="K3862" s="65"/>
      <c r="L3862" s="85" t="b">
        <f>IF(VLOOKUP(C3862,Projetos!A:L,12,false)=TRUE,TRUE,FALSE)</f>
        <v>1</v>
      </c>
      <c r="M3862" s="74">
        <v>52.1518759018759</v>
      </c>
      <c r="N3862" s="74">
        <f t="shared" si="1"/>
        <v>78.22781385</v>
      </c>
      <c r="O3862" s="74" t="b">
        <v>1</v>
      </c>
    </row>
    <row r="3863" hidden="1">
      <c r="A3863" s="82"/>
      <c r="B3863" s="65" t="s">
        <v>467</v>
      </c>
      <c r="C3863" s="65" t="s">
        <v>92</v>
      </c>
      <c r="D3863" s="65" t="str">
        <f>vlookup(C3863,'Classificação p pessoal'!F:G,2,false)</f>
        <v/>
      </c>
      <c r="E3863" s="65" t="s">
        <v>2780</v>
      </c>
      <c r="F3863" s="83">
        <v>0.34375</v>
      </c>
      <c r="G3863" s="83">
        <v>0.4166666666666667</v>
      </c>
      <c r="H3863" s="83">
        <v>0.07291666666666667</v>
      </c>
      <c r="I3863" s="84">
        <v>44337.0</v>
      </c>
      <c r="J3863" s="65" t="b">
        <v>1</v>
      </c>
      <c r="K3863" s="65"/>
      <c r="L3863" s="85" t="b">
        <f>IF(VLOOKUP(C3863,Projetos!A:L,12,false)=TRUE,TRUE,FALSE)</f>
        <v>1</v>
      </c>
      <c r="M3863" s="74">
        <v>52.1518759018759</v>
      </c>
      <c r="N3863" s="74">
        <f t="shared" si="1"/>
        <v>91.26578283</v>
      </c>
      <c r="O3863" s="74" t="b">
        <v>1</v>
      </c>
    </row>
    <row r="3864" hidden="1">
      <c r="A3864" s="82"/>
      <c r="B3864" s="65" t="s">
        <v>467</v>
      </c>
      <c r="C3864" s="65" t="s">
        <v>92</v>
      </c>
      <c r="D3864" s="65" t="str">
        <f>vlookup(C3864,'Classificação p pessoal'!F:G,2,false)</f>
        <v/>
      </c>
      <c r="E3864" s="65" t="s">
        <v>2781</v>
      </c>
      <c r="F3864" s="83">
        <v>0.6041666666666666</v>
      </c>
      <c r="G3864" s="83">
        <v>0.7291666666666666</v>
      </c>
      <c r="H3864" s="83">
        <v>0.125</v>
      </c>
      <c r="I3864" s="84">
        <v>44211.0</v>
      </c>
      <c r="J3864" s="65" t="b">
        <v>1</v>
      </c>
      <c r="K3864" s="65"/>
      <c r="L3864" s="85" t="b">
        <f>IF(VLOOKUP(C3864,Projetos!A:L,12,false)=TRUE,TRUE,FALSE)</f>
        <v>1</v>
      </c>
      <c r="M3864" s="74">
        <v>52.1518759018759</v>
      </c>
      <c r="N3864" s="74">
        <f t="shared" si="1"/>
        <v>156.4556277</v>
      </c>
      <c r="O3864" s="74" t="b">
        <v>1</v>
      </c>
    </row>
    <row r="3865" hidden="1">
      <c r="A3865" s="82"/>
      <c r="B3865" s="65" t="s">
        <v>467</v>
      </c>
      <c r="C3865" s="65" t="s">
        <v>92</v>
      </c>
      <c r="D3865" s="65" t="str">
        <f>vlookup(C3865,'Classificação p pessoal'!F:G,2,false)</f>
        <v/>
      </c>
      <c r="E3865" s="65" t="s">
        <v>2782</v>
      </c>
      <c r="F3865" s="83">
        <v>0.3541666666666667</v>
      </c>
      <c r="G3865" s="83">
        <v>0.4375</v>
      </c>
      <c r="H3865" s="83">
        <v>0.08333333333333333</v>
      </c>
      <c r="I3865" s="84">
        <v>44470.0</v>
      </c>
      <c r="J3865" s="65" t="b">
        <v>1</v>
      </c>
      <c r="K3865" s="65"/>
      <c r="L3865" s="85" t="b">
        <f>IF(VLOOKUP(C3865,Projetos!A:L,12,false)=TRUE,TRUE,FALSE)</f>
        <v>1</v>
      </c>
      <c r="M3865" s="74">
        <v>52.1518759018759</v>
      </c>
      <c r="N3865" s="74">
        <f t="shared" si="1"/>
        <v>104.3037518</v>
      </c>
      <c r="O3865" s="74" t="b">
        <v>1</v>
      </c>
    </row>
    <row r="3866" hidden="1">
      <c r="A3866" s="82"/>
      <c r="B3866" s="65" t="s">
        <v>467</v>
      </c>
      <c r="C3866" s="65" t="s">
        <v>122</v>
      </c>
      <c r="D3866" s="65" t="str">
        <f>vlookup(C3866,'Classificação p pessoal'!F:G,2,false)</f>
        <v>NP</v>
      </c>
      <c r="E3866" s="65" t="s">
        <v>2783</v>
      </c>
      <c r="F3866" s="83">
        <v>0.6666666666666666</v>
      </c>
      <c r="G3866" s="83">
        <v>0.7291666666666666</v>
      </c>
      <c r="H3866" s="83">
        <v>0.0625</v>
      </c>
      <c r="I3866" s="84">
        <v>44432.0</v>
      </c>
      <c r="J3866" s="65" t="b">
        <v>1</v>
      </c>
      <c r="K3866" s="65"/>
      <c r="L3866" s="85" t="b">
        <f>IF(VLOOKUP(C3866,Projetos!A:L,12,false)=TRUE,TRUE,FALSE)</f>
        <v>1</v>
      </c>
      <c r="M3866" s="74">
        <v>52.1518759018759</v>
      </c>
      <c r="N3866" s="74">
        <f t="shared" si="1"/>
        <v>78.22781385</v>
      </c>
      <c r="O3866" s="74" t="b">
        <v>1</v>
      </c>
    </row>
    <row r="3867" hidden="1">
      <c r="A3867" s="82"/>
      <c r="B3867" s="65" t="s">
        <v>467</v>
      </c>
      <c r="C3867" s="65" t="s">
        <v>121</v>
      </c>
      <c r="D3867" s="65" t="str">
        <f>vlookup(C3867,'Classificação p pessoal'!F:G,2,false)</f>
        <v>NP</v>
      </c>
      <c r="E3867" s="65" t="s">
        <v>2784</v>
      </c>
      <c r="F3867" s="83">
        <v>0.5625</v>
      </c>
      <c r="G3867" s="83">
        <v>0.6041666666666666</v>
      </c>
      <c r="H3867" s="83">
        <v>0.041666666666666664</v>
      </c>
      <c r="I3867" s="84">
        <v>44545.0</v>
      </c>
      <c r="J3867" s="65" t="b">
        <v>1</v>
      </c>
      <c r="K3867" s="65"/>
      <c r="L3867" s="85" t="b">
        <f>IF(VLOOKUP(C3867,Projetos!A:L,12,false)=TRUE,TRUE,FALSE)</f>
        <v>1</v>
      </c>
      <c r="M3867" s="74">
        <v>52.1518759018759</v>
      </c>
      <c r="N3867" s="74">
        <f t="shared" si="1"/>
        <v>52.1518759</v>
      </c>
      <c r="O3867" s="74" t="b">
        <v>1</v>
      </c>
    </row>
    <row r="3868" hidden="1">
      <c r="A3868" s="82"/>
      <c r="B3868" s="65" t="s">
        <v>467</v>
      </c>
      <c r="C3868" s="65" t="s">
        <v>92</v>
      </c>
      <c r="D3868" s="65" t="str">
        <f>vlookup(C3868,'Classificação p pessoal'!F:G,2,false)</f>
        <v/>
      </c>
      <c r="E3868" s="65" t="s">
        <v>2785</v>
      </c>
      <c r="F3868" s="83">
        <v>0.375</v>
      </c>
      <c r="G3868" s="83">
        <v>0.3958333333333333</v>
      </c>
      <c r="H3868" s="83">
        <v>0.020833333333333332</v>
      </c>
      <c r="I3868" s="84">
        <v>44441.0</v>
      </c>
      <c r="J3868" s="65" t="b">
        <v>1</v>
      </c>
      <c r="K3868" s="65"/>
      <c r="L3868" s="85" t="b">
        <f>IF(VLOOKUP(C3868,Projetos!A:L,12,false)=TRUE,TRUE,FALSE)</f>
        <v>1</v>
      </c>
      <c r="M3868" s="74">
        <v>52.1518759018759</v>
      </c>
      <c r="N3868" s="74">
        <f t="shared" si="1"/>
        <v>26.07593795</v>
      </c>
      <c r="O3868" s="74" t="b">
        <v>1</v>
      </c>
    </row>
    <row r="3869" hidden="1">
      <c r="A3869" s="82"/>
      <c r="B3869" s="65" t="s">
        <v>467</v>
      </c>
      <c r="C3869" s="65" t="s">
        <v>92</v>
      </c>
      <c r="D3869" s="65" t="str">
        <f>vlookup(C3869,'Classificação p pessoal'!F:G,2,false)</f>
        <v/>
      </c>
      <c r="E3869" s="65" t="s">
        <v>2786</v>
      </c>
      <c r="F3869" s="83">
        <v>0.3541666666666667</v>
      </c>
      <c r="G3869" s="83">
        <v>0.375</v>
      </c>
      <c r="H3869" s="83">
        <v>0.020833333333333332</v>
      </c>
      <c r="I3869" s="84">
        <v>44391.0</v>
      </c>
      <c r="J3869" s="65" t="b">
        <v>1</v>
      </c>
      <c r="K3869" s="65"/>
      <c r="L3869" s="85" t="b">
        <f>IF(VLOOKUP(C3869,Projetos!A:L,12,false)=TRUE,TRUE,FALSE)</f>
        <v>1</v>
      </c>
      <c r="M3869" s="74">
        <v>52.1518759018759</v>
      </c>
      <c r="N3869" s="74">
        <f t="shared" si="1"/>
        <v>26.07593795</v>
      </c>
      <c r="O3869" s="74" t="b">
        <v>1</v>
      </c>
    </row>
    <row r="3870" hidden="1">
      <c r="A3870" s="82"/>
      <c r="B3870" s="65" t="s">
        <v>467</v>
      </c>
      <c r="C3870" s="65" t="s">
        <v>92</v>
      </c>
      <c r="D3870" s="65" t="str">
        <f>vlookup(C3870,'Classificação p pessoal'!F:G,2,false)</f>
        <v/>
      </c>
      <c r="E3870" s="65" t="s">
        <v>2787</v>
      </c>
      <c r="F3870" s="83">
        <v>0.59375</v>
      </c>
      <c r="G3870" s="83">
        <v>0.6041666666666666</v>
      </c>
      <c r="H3870" s="83">
        <v>0.010416666666666666</v>
      </c>
      <c r="I3870" s="84">
        <v>44390.0</v>
      </c>
      <c r="J3870" s="65" t="b">
        <v>1</v>
      </c>
      <c r="K3870" s="65"/>
      <c r="L3870" s="85" t="b">
        <f>IF(VLOOKUP(C3870,Projetos!A:L,12,false)=TRUE,TRUE,FALSE)</f>
        <v>1</v>
      </c>
      <c r="M3870" s="74">
        <v>52.1518759018759</v>
      </c>
      <c r="N3870" s="74">
        <f t="shared" si="1"/>
        <v>13.03796898</v>
      </c>
      <c r="O3870" s="74" t="b">
        <v>1</v>
      </c>
    </row>
    <row r="3871" hidden="1">
      <c r="A3871" s="82"/>
      <c r="B3871" s="65" t="s">
        <v>467</v>
      </c>
      <c r="C3871" s="65" t="s">
        <v>92</v>
      </c>
      <c r="D3871" s="65"/>
      <c r="E3871" s="65" t="s">
        <v>2788</v>
      </c>
      <c r="F3871" s="83">
        <v>0.3541666666666667</v>
      </c>
      <c r="G3871" s="83">
        <v>0.375</v>
      </c>
      <c r="H3871" s="83">
        <v>0.020833333333333332</v>
      </c>
      <c r="I3871" s="84">
        <v>44511.0</v>
      </c>
      <c r="J3871" s="65" t="b">
        <v>0</v>
      </c>
      <c r="K3871" s="65"/>
      <c r="L3871" s="85" t="b">
        <f>IF(VLOOKUP(C3871,Projetos!A:L,12,false)=TRUE,TRUE,FALSE)</f>
        <v>1</v>
      </c>
      <c r="M3871" s="74">
        <v>52.1518759018759</v>
      </c>
      <c r="N3871" s="74">
        <f t="shared" si="1"/>
        <v>0</v>
      </c>
      <c r="O3871" s="74" t="b">
        <v>1</v>
      </c>
    </row>
    <row r="3872" hidden="1">
      <c r="A3872" s="82"/>
      <c r="B3872" s="65" t="s">
        <v>467</v>
      </c>
      <c r="C3872" s="65" t="s">
        <v>92</v>
      </c>
      <c r="D3872" s="65"/>
      <c r="E3872" s="65" t="s">
        <v>2789</v>
      </c>
      <c r="F3872" s="83">
        <v>0.5625</v>
      </c>
      <c r="G3872" s="83">
        <v>0.5833333333333334</v>
      </c>
      <c r="H3872" s="83">
        <v>0.020833333333333332</v>
      </c>
      <c r="I3872" s="84">
        <v>44510.0</v>
      </c>
      <c r="J3872" s="65" t="b">
        <v>0</v>
      </c>
      <c r="K3872" s="65"/>
      <c r="L3872" s="85" t="b">
        <f>IF(VLOOKUP(C3872,Projetos!A:L,12,false)=TRUE,TRUE,FALSE)</f>
        <v>1</v>
      </c>
      <c r="M3872" s="74">
        <v>52.1518759018759</v>
      </c>
      <c r="N3872" s="74">
        <f t="shared" si="1"/>
        <v>0</v>
      </c>
      <c r="O3872" s="74" t="b">
        <v>1</v>
      </c>
    </row>
    <row r="3873" hidden="1">
      <c r="A3873" s="82"/>
      <c r="B3873" s="65" t="s">
        <v>467</v>
      </c>
      <c r="C3873" s="65" t="s">
        <v>122</v>
      </c>
      <c r="D3873" s="65" t="str">
        <f>vlookup(C3873,'Classificação p pessoal'!F:G,2,false)</f>
        <v>NP</v>
      </c>
      <c r="E3873" s="65" t="s">
        <v>2790</v>
      </c>
      <c r="F3873" s="83">
        <v>0.3541666666666667</v>
      </c>
      <c r="G3873" s="83">
        <v>0.375</v>
      </c>
      <c r="H3873" s="83">
        <v>0.020833333333333332</v>
      </c>
      <c r="I3873" s="84">
        <v>44426.0</v>
      </c>
      <c r="J3873" s="65" t="b">
        <v>1</v>
      </c>
      <c r="K3873" s="65"/>
      <c r="L3873" s="85" t="b">
        <f>IF(VLOOKUP(C3873,Projetos!A:L,12,false)=TRUE,TRUE,FALSE)</f>
        <v>1</v>
      </c>
      <c r="M3873" s="74">
        <v>52.1518759018759</v>
      </c>
      <c r="N3873" s="74">
        <f t="shared" si="1"/>
        <v>26.07593795</v>
      </c>
      <c r="O3873" s="74" t="b">
        <v>1</v>
      </c>
    </row>
    <row r="3874" hidden="1">
      <c r="A3874" s="82"/>
      <c r="B3874" s="65" t="s">
        <v>467</v>
      </c>
      <c r="C3874" s="65" t="s">
        <v>92</v>
      </c>
      <c r="D3874" s="65" t="str">
        <f>vlookup(C3874,'Classificação p pessoal'!F:G,2,false)</f>
        <v/>
      </c>
      <c r="E3874" s="65" t="s">
        <v>2791</v>
      </c>
      <c r="F3874" s="83">
        <v>0.3541666666666667</v>
      </c>
      <c r="G3874" s="83">
        <v>0.375</v>
      </c>
      <c r="H3874" s="83">
        <v>0.020833333333333332</v>
      </c>
      <c r="I3874" s="84">
        <v>44397.0</v>
      </c>
      <c r="J3874" s="65" t="b">
        <v>1</v>
      </c>
      <c r="K3874" s="65"/>
      <c r="L3874" s="85" t="b">
        <f>IF(VLOOKUP(C3874,Projetos!A:L,12,false)=TRUE,TRUE,FALSE)</f>
        <v>1</v>
      </c>
      <c r="M3874" s="74">
        <v>52.1518759018759</v>
      </c>
      <c r="N3874" s="74">
        <f t="shared" si="1"/>
        <v>26.07593795</v>
      </c>
      <c r="O3874" s="74" t="b">
        <v>1</v>
      </c>
    </row>
    <row r="3875" hidden="1">
      <c r="A3875" s="82"/>
      <c r="B3875" s="65" t="s">
        <v>467</v>
      </c>
      <c r="C3875" s="65" t="s">
        <v>92</v>
      </c>
      <c r="D3875" s="65" t="str">
        <f>vlookup(C3875,'Classificação p pessoal'!F:G,2,false)</f>
        <v/>
      </c>
      <c r="E3875" s="65" t="s">
        <v>2792</v>
      </c>
      <c r="F3875" s="83">
        <v>0.4375</v>
      </c>
      <c r="G3875" s="83">
        <v>0.4791666666666667</v>
      </c>
      <c r="H3875" s="83">
        <v>0.041666666666666664</v>
      </c>
      <c r="I3875" s="84">
        <v>44470.0</v>
      </c>
      <c r="J3875" s="65" t="b">
        <v>1</v>
      </c>
      <c r="K3875" s="65"/>
      <c r="L3875" s="85" t="b">
        <f>IF(VLOOKUP(C3875,Projetos!A:L,12,false)=TRUE,TRUE,FALSE)</f>
        <v>1</v>
      </c>
      <c r="M3875" s="74">
        <v>52.1518759018759</v>
      </c>
      <c r="N3875" s="74">
        <f t="shared" si="1"/>
        <v>52.1518759</v>
      </c>
      <c r="O3875" s="74" t="b">
        <v>1</v>
      </c>
    </row>
    <row r="3876" hidden="1">
      <c r="A3876" s="82"/>
      <c r="B3876" s="65" t="s">
        <v>467</v>
      </c>
      <c r="C3876" s="65" t="s">
        <v>92</v>
      </c>
      <c r="D3876" s="65" t="str">
        <f>vlookup(C3876,'Classificação p pessoal'!F:G,2,false)</f>
        <v/>
      </c>
      <c r="E3876" s="65" t="s">
        <v>2793</v>
      </c>
      <c r="F3876" s="83">
        <v>0.4166666666666667</v>
      </c>
      <c r="G3876" s="83">
        <v>0.5</v>
      </c>
      <c r="H3876" s="83">
        <v>0.08333333333333333</v>
      </c>
      <c r="I3876" s="84">
        <v>44425.0</v>
      </c>
      <c r="J3876" s="65" t="b">
        <v>1</v>
      </c>
      <c r="K3876" s="65"/>
      <c r="L3876" s="85" t="b">
        <f>IF(VLOOKUP(C3876,Projetos!A:L,12,false)=TRUE,TRUE,FALSE)</f>
        <v>1</v>
      </c>
      <c r="M3876" s="74">
        <v>52.1518759018759</v>
      </c>
      <c r="N3876" s="74">
        <f t="shared" si="1"/>
        <v>104.3037518</v>
      </c>
      <c r="O3876" s="74" t="b">
        <v>1</v>
      </c>
    </row>
    <row r="3877" hidden="1">
      <c r="A3877" s="82"/>
      <c r="B3877" s="65" t="s">
        <v>467</v>
      </c>
      <c r="C3877" s="65" t="s">
        <v>121</v>
      </c>
      <c r="D3877" s="65" t="str">
        <f>vlookup(C3877,'Classificação p pessoal'!F:G,2,false)</f>
        <v>NP</v>
      </c>
      <c r="E3877" s="65" t="s">
        <v>2794</v>
      </c>
      <c r="F3877" s="83">
        <v>0.4375</v>
      </c>
      <c r="G3877" s="83">
        <v>0.4791666666666667</v>
      </c>
      <c r="H3877" s="83">
        <v>0.041666666666666664</v>
      </c>
      <c r="I3877" s="84">
        <v>44557.0</v>
      </c>
      <c r="J3877" s="65" t="b">
        <v>1</v>
      </c>
      <c r="K3877" s="65"/>
      <c r="L3877" s="85" t="b">
        <f>IF(VLOOKUP(C3877,Projetos!A:L,12,false)=TRUE,TRUE,FALSE)</f>
        <v>1</v>
      </c>
      <c r="M3877" s="74">
        <v>52.1518759018759</v>
      </c>
      <c r="N3877" s="74">
        <f t="shared" si="1"/>
        <v>52.1518759</v>
      </c>
      <c r="O3877" s="74" t="b">
        <v>1</v>
      </c>
    </row>
    <row r="3878" hidden="1">
      <c r="A3878" s="82"/>
      <c r="B3878" s="65" t="s">
        <v>467</v>
      </c>
      <c r="C3878" s="65" t="s">
        <v>92</v>
      </c>
      <c r="D3878" s="65" t="str">
        <f>vlookup(C3878,'Classificação p pessoal'!F:G,2,false)</f>
        <v/>
      </c>
      <c r="E3878" s="65" t="s">
        <v>2795</v>
      </c>
      <c r="F3878" s="83">
        <v>0.375</v>
      </c>
      <c r="G3878" s="83">
        <v>0.4166666666666667</v>
      </c>
      <c r="H3878" s="83">
        <v>0.041666666666666664</v>
      </c>
      <c r="I3878" s="84">
        <v>44411.0</v>
      </c>
      <c r="J3878" s="65" t="b">
        <v>1</v>
      </c>
      <c r="K3878" s="65"/>
      <c r="L3878" s="85" t="b">
        <f>IF(VLOOKUP(C3878,Projetos!A:L,12,false)=TRUE,TRUE,FALSE)</f>
        <v>1</v>
      </c>
      <c r="M3878" s="74">
        <v>52.1518759018759</v>
      </c>
      <c r="N3878" s="74">
        <f t="shared" si="1"/>
        <v>52.1518759</v>
      </c>
      <c r="O3878" s="74" t="b">
        <v>1</v>
      </c>
    </row>
    <row r="3879" hidden="1">
      <c r="A3879" s="82"/>
      <c r="B3879" s="65" t="s">
        <v>467</v>
      </c>
      <c r="C3879" s="65" t="s">
        <v>113</v>
      </c>
      <c r="D3879" s="65" t="str">
        <f>vlookup(C3879,'Classificação p pessoal'!F:G,2,false)</f>
        <v>NP</v>
      </c>
      <c r="E3879" s="65" t="s">
        <v>2796</v>
      </c>
      <c r="F3879" s="83">
        <v>0.625</v>
      </c>
      <c r="G3879" s="83">
        <v>0.6458333333333334</v>
      </c>
      <c r="H3879" s="83">
        <v>0.020833333333333332</v>
      </c>
      <c r="I3879" s="84">
        <v>44419.0</v>
      </c>
      <c r="J3879" s="65" t="b">
        <v>1</v>
      </c>
      <c r="K3879" s="65"/>
      <c r="L3879" s="85" t="b">
        <f>IF(VLOOKUP(C3879,Projetos!A:L,12,false)=TRUE,TRUE,FALSE)</f>
        <v>1</v>
      </c>
      <c r="M3879" s="74">
        <v>52.1518759018759</v>
      </c>
      <c r="N3879" s="74">
        <f t="shared" si="1"/>
        <v>26.07593795</v>
      </c>
      <c r="O3879" s="74" t="b">
        <v>1</v>
      </c>
    </row>
    <row r="3880" hidden="1">
      <c r="A3880" s="82"/>
      <c r="B3880" s="65" t="s">
        <v>467</v>
      </c>
      <c r="C3880" s="65" t="s">
        <v>92</v>
      </c>
      <c r="D3880" s="65" t="str">
        <f>vlookup(C3880,'Classificação p pessoal'!F:G,2,false)</f>
        <v/>
      </c>
      <c r="E3880" s="65" t="s">
        <v>2797</v>
      </c>
      <c r="F3880" s="83">
        <v>0.4166666666666667</v>
      </c>
      <c r="G3880" s="83">
        <v>0.4791666666666667</v>
      </c>
      <c r="H3880" s="83">
        <v>0.0625</v>
      </c>
      <c r="I3880" s="84">
        <v>44323.0</v>
      </c>
      <c r="J3880" s="65" t="b">
        <v>1</v>
      </c>
      <c r="K3880" s="65"/>
      <c r="L3880" s="85" t="b">
        <f>IF(VLOOKUP(C3880,Projetos!A:L,12,false)=TRUE,TRUE,FALSE)</f>
        <v>1</v>
      </c>
      <c r="M3880" s="74">
        <v>52.1518759018759</v>
      </c>
      <c r="N3880" s="74">
        <f t="shared" si="1"/>
        <v>78.22781385</v>
      </c>
      <c r="O3880" s="74" t="b">
        <v>1</v>
      </c>
    </row>
    <row r="3881" hidden="1">
      <c r="A3881" s="82"/>
      <c r="B3881" s="65" t="s">
        <v>467</v>
      </c>
      <c r="C3881" s="65" t="s">
        <v>113</v>
      </c>
      <c r="D3881" s="65" t="str">
        <f>vlookup(C3881,'Classificação p pessoal'!F:G,2,false)</f>
        <v>NP</v>
      </c>
      <c r="E3881" s="65" t="s">
        <v>2798</v>
      </c>
      <c r="F3881" s="83">
        <v>0.3333333333333333</v>
      </c>
      <c r="G3881" s="83">
        <v>0.75</v>
      </c>
      <c r="H3881" s="83">
        <v>0.4166666666666667</v>
      </c>
      <c r="I3881" s="84">
        <v>44488.0</v>
      </c>
      <c r="J3881" s="65" t="b">
        <v>1</v>
      </c>
      <c r="K3881" s="65"/>
      <c r="L3881" s="85" t="b">
        <f>IF(VLOOKUP(C3881,Projetos!A:L,12,false)=TRUE,TRUE,FALSE)</f>
        <v>1</v>
      </c>
      <c r="M3881" s="74">
        <v>52.1518759018759</v>
      </c>
      <c r="N3881" s="74">
        <f t="shared" si="1"/>
        <v>521.518759</v>
      </c>
      <c r="O3881" s="74" t="b">
        <v>1</v>
      </c>
    </row>
    <row r="3882" hidden="1">
      <c r="A3882" s="82"/>
      <c r="B3882" s="65" t="s">
        <v>467</v>
      </c>
      <c r="C3882" s="65" t="s">
        <v>113</v>
      </c>
      <c r="D3882" s="65" t="str">
        <f>vlookup(C3882,'Classificação p pessoal'!F:G,2,false)</f>
        <v>NP</v>
      </c>
      <c r="E3882" s="65" t="s">
        <v>2798</v>
      </c>
      <c r="F3882" s="83">
        <v>0.3333333333333333</v>
      </c>
      <c r="G3882" s="83">
        <v>0.75</v>
      </c>
      <c r="H3882" s="83">
        <v>0.4166666666666667</v>
      </c>
      <c r="I3882" s="84">
        <v>44489.0</v>
      </c>
      <c r="J3882" s="65" t="b">
        <v>1</v>
      </c>
      <c r="K3882" s="65"/>
      <c r="L3882" s="85" t="b">
        <f>IF(VLOOKUP(C3882,Projetos!A:L,12,false)=TRUE,TRUE,FALSE)</f>
        <v>1</v>
      </c>
      <c r="M3882" s="74">
        <v>52.1518759018759</v>
      </c>
      <c r="N3882" s="74">
        <f t="shared" si="1"/>
        <v>521.518759</v>
      </c>
      <c r="O3882" s="74" t="b">
        <v>1</v>
      </c>
    </row>
    <row r="3883" hidden="1">
      <c r="A3883" s="82"/>
      <c r="B3883" s="65" t="s">
        <v>467</v>
      </c>
      <c r="C3883" s="65" t="s">
        <v>84</v>
      </c>
      <c r="D3883" s="65"/>
      <c r="E3883" s="65" t="s">
        <v>2799</v>
      </c>
      <c r="F3883" s="83">
        <v>0.6458333333333334</v>
      </c>
      <c r="G3883" s="83">
        <v>0.7291666666666666</v>
      </c>
      <c r="H3883" s="83">
        <v>0.08333333333333333</v>
      </c>
      <c r="I3883" s="84">
        <v>44441.0</v>
      </c>
      <c r="J3883" s="65" t="b">
        <v>0</v>
      </c>
      <c r="K3883" s="65"/>
      <c r="L3883" s="85" t="b">
        <f>IF(VLOOKUP(C3883,Projetos!A:L,12,false)=TRUE,TRUE,FALSE)</f>
        <v>0</v>
      </c>
      <c r="M3883" s="74">
        <v>52.1518759018759</v>
      </c>
      <c r="N3883" s="74">
        <f t="shared" si="1"/>
        <v>0</v>
      </c>
      <c r="O3883" s="74" t="b">
        <v>0</v>
      </c>
    </row>
    <row r="3884" hidden="1">
      <c r="A3884" s="82"/>
      <c r="B3884" s="65" t="s">
        <v>467</v>
      </c>
      <c r="C3884" s="65" t="s">
        <v>84</v>
      </c>
      <c r="D3884" s="65"/>
      <c r="E3884" s="65" t="s">
        <v>2799</v>
      </c>
      <c r="F3884" s="83">
        <v>0.6666666666666666</v>
      </c>
      <c r="G3884" s="83">
        <v>0.7291666666666666</v>
      </c>
      <c r="H3884" s="83">
        <v>0.0625</v>
      </c>
      <c r="I3884" s="84">
        <v>44442.0</v>
      </c>
      <c r="J3884" s="65" t="b">
        <v>0</v>
      </c>
      <c r="K3884" s="65"/>
      <c r="L3884" s="85" t="b">
        <f>IF(VLOOKUP(C3884,Projetos!A:L,12,false)=TRUE,TRUE,FALSE)</f>
        <v>0</v>
      </c>
      <c r="M3884" s="74">
        <v>52.1518759018759</v>
      </c>
      <c r="N3884" s="74">
        <f t="shared" si="1"/>
        <v>0</v>
      </c>
      <c r="O3884" s="74" t="b">
        <v>0</v>
      </c>
    </row>
    <row r="3885" hidden="1">
      <c r="A3885" s="82"/>
      <c r="B3885" s="65" t="s">
        <v>467</v>
      </c>
      <c r="C3885" s="65" t="s">
        <v>117</v>
      </c>
      <c r="D3885" s="65" t="str">
        <f>vlookup(C3885,'Classificação p pessoal'!F:G,2,false)</f>
        <v>NP</v>
      </c>
      <c r="E3885" s="65" t="s">
        <v>2800</v>
      </c>
      <c r="F3885" s="83">
        <v>0.3541666666666667</v>
      </c>
      <c r="G3885" s="83">
        <v>0.4375</v>
      </c>
      <c r="H3885" s="83">
        <v>0.08333333333333333</v>
      </c>
      <c r="I3885" s="84">
        <v>44207.0</v>
      </c>
      <c r="J3885" s="65" t="b">
        <v>1</v>
      </c>
      <c r="K3885" s="65"/>
      <c r="L3885" s="85" t="b">
        <f>IF(VLOOKUP(C3885,Projetos!A:L,12,false)=TRUE,TRUE,FALSE)</f>
        <v>1</v>
      </c>
      <c r="M3885" s="74">
        <v>52.1518759018759</v>
      </c>
      <c r="N3885" s="74">
        <f t="shared" si="1"/>
        <v>104.3037518</v>
      </c>
      <c r="O3885" s="74" t="b">
        <v>1</v>
      </c>
    </row>
    <row r="3886" hidden="1">
      <c r="A3886" s="82"/>
      <c r="B3886" s="65" t="s">
        <v>467</v>
      </c>
      <c r="C3886" s="65" t="s">
        <v>101</v>
      </c>
      <c r="D3886" s="65" t="str">
        <f>vlookup(C3886,'Classificação p pessoal'!F:G,2,false)</f>
        <v>NP</v>
      </c>
      <c r="E3886" s="65" t="s">
        <v>2801</v>
      </c>
      <c r="F3886" s="83">
        <v>0.4375</v>
      </c>
      <c r="G3886" s="83">
        <v>0.5</v>
      </c>
      <c r="H3886" s="83">
        <v>0.0625</v>
      </c>
      <c r="I3886" s="84">
        <v>44207.0</v>
      </c>
      <c r="J3886" s="65" t="b">
        <v>1</v>
      </c>
      <c r="K3886" s="65"/>
      <c r="L3886" s="85" t="b">
        <f>IF(VLOOKUP(C3886,Projetos!A:L,12,false)=TRUE,TRUE,FALSE)</f>
        <v>1</v>
      </c>
      <c r="M3886" s="74">
        <v>52.1518759018759</v>
      </c>
      <c r="N3886" s="74">
        <f t="shared" si="1"/>
        <v>78.22781385</v>
      </c>
      <c r="O3886" s="74" t="b">
        <v>1</v>
      </c>
    </row>
    <row r="3887" hidden="1">
      <c r="A3887" s="82"/>
      <c r="B3887" s="65" t="s">
        <v>467</v>
      </c>
      <c r="C3887" s="65" t="s">
        <v>130</v>
      </c>
      <c r="D3887" s="65" t="str">
        <f>vlookup(C3887,'Classificação p pessoal'!F:G,2,false)</f>
        <v>NP</v>
      </c>
      <c r="E3887" s="65" t="s">
        <v>2802</v>
      </c>
      <c r="F3887" s="83">
        <v>0.3541666666666667</v>
      </c>
      <c r="G3887" s="83">
        <v>0.4375</v>
      </c>
      <c r="H3887" s="83">
        <v>0.08333333333333333</v>
      </c>
      <c r="I3887" s="84">
        <v>44209.0</v>
      </c>
      <c r="J3887" s="65" t="b">
        <v>1</v>
      </c>
      <c r="K3887" s="65"/>
      <c r="L3887" s="85" t="b">
        <f>IF(VLOOKUP(C3887,Projetos!A:L,12,false)=TRUE,TRUE,FALSE)</f>
        <v>1</v>
      </c>
      <c r="M3887" s="74">
        <v>52.1518759018759</v>
      </c>
      <c r="N3887" s="74">
        <f t="shared" si="1"/>
        <v>104.3037518</v>
      </c>
      <c r="O3887" s="74" t="b">
        <v>1</v>
      </c>
    </row>
    <row r="3888" hidden="1">
      <c r="A3888" s="82"/>
      <c r="B3888" s="65" t="s">
        <v>467</v>
      </c>
      <c r="C3888" s="65" t="s">
        <v>92</v>
      </c>
      <c r="D3888" s="65" t="str">
        <f>vlookup(C3888,'Classificação p pessoal'!F:G,2,false)</f>
        <v/>
      </c>
      <c r="E3888" s="65" t="s">
        <v>2803</v>
      </c>
      <c r="F3888" s="83">
        <v>0.6041666666666666</v>
      </c>
      <c r="G3888" s="83">
        <v>0.6666666666666666</v>
      </c>
      <c r="H3888" s="83">
        <v>0.0625</v>
      </c>
      <c r="I3888" s="84">
        <v>44242.0</v>
      </c>
      <c r="J3888" s="65" t="b">
        <v>1</v>
      </c>
      <c r="K3888" s="65"/>
      <c r="L3888" s="85" t="b">
        <f>IF(VLOOKUP(C3888,Projetos!A:L,12,false)=TRUE,TRUE,FALSE)</f>
        <v>1</v>
      </c>
      <c r="M3888" s="74">
        <v>52.1518759018759</v>
      </c>
      <c r="N3888" s="74">
        <f t="shared" si="1"/>
        <v>78.22781385</v>
      </c>
      <c r="O3888" s="74" t="b">
        <v>1</v>
      </c>
    </row>
    <row r="3889" hidden="1">
      <c r="A3889" s="82"/>
      <c r="B3889" s="65" t="s">
        <v>467</v>
      </c>
      <c r="C3889" s="65" t="s">
        <v>104</v>
      </c>
      <c r="D3889" s="65" t="str">
        <f>vlookup(C3889,'Classificação p pessoal'!F:G,2,false)</f>
        <v>NP</v>
      </c>
      <c r="E3889" s="65" t="s">
        <v>2804</v>
      </c>
      <c r="F3889" s="83">
        <v>0.6875</v>
      </c>
      <c r="G3889" s="83">
        <v>0.7291666666666666</v>
      </c>
      <c r="H3889" s="83">
        <v>0.041666666666666664</v>
      </c>
      <c r="I3889" s="84">
        <v>44216.0</v>
      </c>
      <c r="J3889" s="65" t="b">
        <v>1</v>
      </c>
      <c r="K3889" s="65"/>
      <c r="L3889" s="85" t="b">
        <f>IF(VLOOKUP(C3889,Projetos!A:L,12,false)=TRUE,TRUE,FALSE)</f>
        <v>1</v>
      </c>
      <c r="M3889" s="74">
        <v>52.1518759018759</v>
      </c>
      <c r="N3889" s="74">
        <f t="shared" si="1"/>
        <v>52.1518759</v>
      </c>
      <c r="O3889" s="74" t="b">
        <v>1</v>
      </c>
    </row>
    <row r="3890" hidden="1">
      <c r="A3890" s="82"/>
      <c r="B3890" s="65" t="s">
        <v>467</v>
      </c>
      <c r="C3890" s="65" t="s">
        <v>106</v>
      </c>
      <c r="D3890" s="65" t="str">
        <f>vlookup(C3890,'Classificação p pessoal'!F:G,2,false)</f>
        <v>MProcesso</v>
      </c>
      <c r="E3890" s="65" t="s">
        <v>2805</v>
      </c>
      <c r="F3890" s="83">
        <v>0.4375</v>
      </c>
      <c r="G3890" s="83">
        <v>0.4895833333333333</v>
      </c>
      <c r="H3890" s="83">
        <v>0.052083333333333336</v>
      </c>
      <c r="I3890" s="84">
        <v>44217.0</v>
      </c>
      <c r="J3890" s="65" t="b">
        <v>1</v>
      </c>
      <c r="K3890" s="65"/>
      <c r="L3890" s="85" t="b">
        <f>IF(VLOOKUP(C3890,Projetos!A:L,12,false)=TRUE,TRUE,FALSE)</f>
        <v>1</v>
      </c>
      <c r="M3890" s="74">
        <v>52.1518759018759</v>
      </c>
      <c r="N3890" s="74">
        <f t="shared" si="1"/>
        <v>65.18984488</v>
      </c>
      <c r="O3890" s="74" t="b">
        <v>1</v>
      </c>
    </row>
    <row r="3891" hidden="1">
      <c r="A3891" s="82"/>
      <c r="B3891" s="65" t="s">
        <v>467</v>
      </c>
      <c r="C3891" s="65" t="s">
        <v>92</v>
      </c>
      <c r="D3891" s="65" t="str">
        <f>vlookup(C3891,'Classificação p pessoal'!F:G,2,false)</f>
        <v/>
      </c>
      <c r="E3891" s="65" t="s">
        <v>2806</v>
      </c>
      <c r="F3891" s="83">
        <v>0.3541666666666667</v>
      </c>
      <c r="G3891" s="83">
        <v>0.3958333333333333</v>
      </c>
      <c r="H3891" s="83">
        <v>0.041666666666666664</v>
      </c>
      <c r="I3891" s="84">
        <v>44218.0</v>
      </c>
      <c r="J3891" s="65" t="b">
        <v>1</v>
      </c>
      <c r="K3891" s="65"/>
      <c r="L3891" s="85" t="b">
        <f>IF(VLOOKUP(C3891,Projetos!A:L,12,false)=TRUE,TRUE,FALSE)</f>
        <v>1</v>
      </c>
      <c r="M3891" s="74">
        <v>52.1518759018759</v>
      </c>
      <c r="N3891" s="74">
        <f t="shared" si="1"/>
        <v>52.1518759</v>
      </c>
      <c r="O3891" s="74" t="b">
        <v>1</v>
      </c>
    </row>
    <row r="3892" hidden="1">
      <c r="A3892" s="82"/>
      <c r="B3892" s="65" t="s">
        <v>467</v>
      </c>
      <c r="C3892" s="65" t="s">
        <v>101</v>
      </c>
      <c r="D3892" s="65" t="str">
        <f>vlookup(C3892,'Classificação p pessoal'!F:G,2,false)</f>
        <v>NP</v>
      </c>
      <c r="E3892" s="65" t="s">
        <v>2807</v>
      </c>
      <c r="F3892" s="83">
        <v>0.3541666666666667</v>
      </c>
      <c r="G3892" s="83">
        <v>0.5</v>
      </c>
      <c r="H3892" s="83">
        <v>0.14583333333333334</v>
      </c>
      <c r="I3892" s="84">
        <v>44207.0</v>
      </c>
      <c r="J3892" s="65" t="b">
        <v>1</v>
      </c>
      <c r="K3892" s="65"/>
      <c r="L3892" s="85" t="b">
        <f>IF(VLOOKUP(C3892,Projetos!A:L,12,false)=TRUE,TRUE,FALSE)</f>
        <v>1</v>
      </c>
      <c r="M3892" s="74">
        <v>52.1518759018759</v>
      </c>
      <c r="N3892" s="74">
        <f t="shared" si="1"/>
        <v>182.5315657</v>
      </c>
      <c r="O3892" s="74" t="b">
        <v>1</v>
      </c>
    </row>
    <row r="3893" hidden="1">
      <c r="A3893" s="82"/>
      <c r="B3893" s="65" t="s">
        <v>467</v>
      </c>
      <c r="C3893" s="65" t="s">
        <v>117</v>
      </c>
      <c r="D3893" s="65" t="str">
        <f>vlookup(C3893,'Classificação p pessoal'!F:G,2,false)</f>
        <v>NP</v>
      </c>
      <c r="E3893" s="65" t="s">
        <v>2808</v>
      </c>
      <c r="F3893" s="83">
        <v>0.3541666666666667</v>
      </c>
      <c r="G3893" s="83">
        <v>0.4791666666666667</v>
      </c>
      <c r="H3893" s="83">
        <v>0.125</v>
      </c>
      <c r="I3893" s="84">
        <v>44209.0</v>
      </c>
      <c r="J3893" s="65" t="b">
        <v>1</v>
      </c>
      <c r="K3893" s="65"/>
      <c r="L3893" s="85" t="b">
        <f>IF(VLOOKUP(C3893,Projetos!A:L,12,false)=TRUE,TRUE,FALSE)</f>
        <v>1</v>
      </c>
      <c r="M3893" s="74">
        <v>52.1518759018759</v>
      </c>
      <c r="N3893" s="74">
        <f t="shared" si="1"/>
        <v>156.4556277</v>
      </c>
      <c r="O3893" s="74" t="b">
        <v>1</v>
      </c>
    </row>
    <row r="3894" hidden="1">
      <c r="A3894" s="82"/>
      <c r="B3894" s="65" t="s">
        <v>467</v>
      </c>
      <c r="C3894" s="65" t="s">
        <v>101</v>
      </c>
      <c r="D3894" s="65" t="str">
        <f>vlookup(C3894,'Classificação p pessoal'!F:G,2,false)</f>
        <v>NP</v>
      </c>
      <c r="E3894" s="65" t="s">
        <v>2809</v>
      </c>
      <c r="F3894" s="83">
        <v>0.4375</v>
      </c>
      <c r="G3894" s="83">
        <v>0.5208333333333334</v>
      </c>
      <c r="H3894" s="83">
        <v>0.08333333333333333</v>
      </c>
      <c r="I3894" s="84">
        <v>44209.0</v>
      </c>
      <c r="J3894" s="65" t="b">
        <v>1</v>
      </c>
      <c r="K3894" s="65"/>
      <c r="L3894" s="85" t="b">
        <f>IF(VLOOKUP(C3894,Projetos!A:L,12,false)=TRUE,TRUE,FALSE)</f>
        <v>1</v>
      </c>
      <c r="M3894" s="74">
        <v>52.1518759018759</v>
      </c>
      <c r="N3894" s="74">
        <f t="shared" si="1"/>
        <v>104.3037518</v>
      </c>
      <c r="O3894" s="74" t="b">
        <v>1</v>
      </c>
    </row>
    <row r="3895" hidden="1">
      <c r="A3895" s="82"/>
      <c r="B3895" s="65" t="s">
        <v>467</v>
      </c>
      <c r="C3895" s="65" t="s">
        <v>101</v>
      </c>
      <c r="D3895" s="65" t="str">
        <f>vlookup(C3895,'Classificação p pessoal'!F:G,2,false)</f>
        <v>NP</v>
      </c>
      <c r="E3895" s="65" t="s">
        <v>2810</v>
      </c>
      <c r="F3895" s="83">
        <v>0.4375</v>
      </c>
      <c r="G3895" s="83">
        <v>0.5</v>
      </c>
      <c r="H3895" s="83">
        <v>0.0625</v>
      </c>
      <c r="I3895" s="84">
        <v>44209.0</v>
      </c>
      <c r="J3895" s="65" t="b">
        <v>1</v>
      </c>
      <c r="K3895" s="65"/>
      <c r="L3895" s="85" t="b">
        <f>IF(VLOOKUP(C3895,Projetos!A:L,12,false)=TRUE,TRUE,FALSE)</f>
        <v>1</v>
      </c>
      <c r="M3895" s="74">
        <v>52.1518759018759</v>
      </c>
      <c r="N3895" s="74">
        <f t="shared" si="1"/>
        <v>78.22781385</v>
      </c>
      <c r="O3895" s="74" t="b">
        <v>1</v>
      </c>
    </row>
    <row r="3896" hidden="1">
      <c r="A3896" s="82"/>
      <c r="B3896" s="65" t="s">
        <v>467</v>
      </c>
      <c r="C3896" s="65" t="s">
        <v>92</v>
      </c>
      <c r="D3896" s="65" t="str">
        <f>vlookup(C3896,'Classificação p pessoal'!F:G,2,false)</f>
        <v/>
      </c>
      <c r="E3896" s="65" t="s">
        <v>2811</v>
      </c>
      <c r="F3896" s="83">
        <v>0.3541666666666667</v>
      </c>
      <c r="G3896" s="83">
        <v>0.5833333333333334</v>
      </c>
      <c r="H3896" s="83">
        <v>0.22916666666666666</v>
      </c>
      <c r="I3896" s="84">
        <v>44210.0</v>
      </c>
      <c r="J3896" s="65" t="b">
        <v>1</v>
      </c>
      <c r="K3896" s="65"/>
      <c r="L3896" s="85" t="b">
        <f>IF(VLOOKUP(C3896,Projetos!A:L,12,false)=TRUE,TRUE,FALSE)</f>
        <v>1</v>
      </c>
      <c r="M3896" s="74">
        <v>52.1518759018759</v>
      </c>
      <c r="N3896" s="74">
        <f t="shared" si="1"/>
        <v>286.8353175</v>
      </c>
      <c r="O3896" s="74" t="b">
        <v>1</v>
      </c>
    </row>
    <row r="3897" hidden="1">
      <c r="A3897" s="82"/>
      <c r="B3897" s="65" t="s">
        <v>467</v>
      </c>
      <c r="C3897" s="65" t="s">
        <v>92</v>
      </c>
      <c r="D3897" s="65" t="str">
        <f>vlookup(C3897,'Classificação p pessoal'!F:G,2,false)</f>
        <v/>
      </c>
      <c r="E3897" s="65" t="s">
        <v>2812</v>
      </c>
      <c r="F3897" s="83">
        <v>0.6458333333333334</v>
      </c>
      <c r="G3897" s="83">
        <v>0.6875</v>
      </c>
      <c r="H3897" s="83">
        <v>0.041666666666666664</v>
      </c>
      <c r="I3897" s="84">
        <v>44215.0</v>
      </c>
      <c r="J3897" s="65" t="b">
        <v>1</v>
      </c>
      <c r="K3897" s="65"/>
      <c r="L3897" s="85" t="b">
        <f>IF(VLOOKUP(C3897,Projetos!A:L,12,false)=TRUE,TRUE,FALSE)</f>
        <v>1</v>
      </c>
      <c r="M3897" s="74">
        <v>52.1518759018759</v>
      </c>
      <c r="N3897" s="74">
        <f t="shared" si="1"/>
        <v>52.1518759</v>
      </c>
      <c r="O3897" s="74" t="b">
        <v>1</v>
      </c>
    </row>
    <row r="3898" hidden="1">
      <c r="A3898" s="82"/>
      <c r="B3898" s="65" t="s">
        <v>467</v>
      </c>
      <c r="C3898" s="65" t="s">
        <v>88</v>
      </c>
      <c r="D3898" s="65" t="str">
        <f>vlookup(C3898,'Classificação p pessoal'!F:G,2,false)</f>
        <v>MProduto</v>
      </c>
      <c r="E3898" s="65" t="s">
        <v>2813</v>
      </c>
      <c r="F3898" s="83">
        <v>0.5625</v>
      </c>
      <c r="G3898" s="83">
        <v>0.6736111111111112</v>
      </c>
      <c r="H3898" s="83">
        <v>0.1111111111111111</v>
      </c>
      <c r="I3898" s="84">
        <v>44218.0</v>
      </c>
      <c r="J3898" s="65" t="b">
        <v>1</v>
      </c>
      <c r="K3898" s="65"/>
      <c r="L3898" s="85" t="b">
        <f>IF(VLOOKUP(C3898,Projetos!A:L,12,false)=TRUE,TRUE,FALSE)</f>
        <v>1</v>
      </c>
      <c r="M3898" s="74">
        <v>52.1518759018759</v>
      </c>
      <c r="N3898" s="74">
        <f t="shared" si="1"/>
        <v>139.0716691</v>
      </c>
      <c r="O3898" s="74" t="b">
        <v>1</v>
      </c>
    </row>
    <row r="3899" hidden="1">
      <c r="A3899" s="82"/>
      <c r="B3899" s="65" t="s">
        <v>467</v>
      </c>
      <c r="C3899" s="65" t="s">
        <v>130</v>
      </c>
      <c r="D3899" s="65" t="str">
        <f>vlookup(C3899,'Classificação p pessoal'!F:G,2,false)</f>
        <v>NP</v>
      </c>
      <c r="E3899" s="65" t="s">
        <v>2814</v>
      </c>
      <c r="F3899" s="83">
        <v>0.4375</v>
      </c>
      <c r="G3899" s="83">
        <v>0.7083333333333334</v>
      </c>
      <c r="H3899" s="83">
        <v>0.2708333333333333</v>
      </c>
      <c r="I3899" s="84">
        <v>44211.0</v>
      </c>
      <c r="J3899" s="65" t="b">
        <v>1</v>
      </c>
      <c r="K3899" s="65"/>
      <c r="L3899" s="85" t="b">
        <f>IF(VLOOKUP(C3899,Projetos!A:L,12,false)=TRUE,TRUE,FALSE)</f>
        <v>1</v>
      </c>
      <c r="M3899" s="74">
        <v>52.1518759018759</v>
      </c>
      <c r="N3899" s="74">
        <f t="shared" si="1"/>
        <v>338.9871934</v>
      </c>
      <c r="O3899" s="74" t="b">
        <v>1</v>
      </c>
    </row>
    <row r="3900" hidden="1">
      <c r="A3900" s="82"/>
      <c r="B3900" s="65" t="s">
        <v>467</v>
      </c>
      <c r="C3900" s="65" t="s">
        <v>92</v>
      </c>
      <c r="D3900" s="65" t="str">
        <f>vlookup(C3900,'Classificação p pessoal'!F:G,2,false)</f>
        <v/>
      </c>
      <c r="E3900" s="65" t="s">
        <v>2815</v>
      </c>
      <c r="F3900" s="83">
        <v>0.3541666666666667</v>
      </c>
      <c r="G3900" s="83">
        <v>0.4375</v>
      </c>
      <c r="H3900" s="83">
        <v>0.08333333333333333</v>
      </c>
      <c r="I3900" s="84">
        <v>44221.0</v>
      </c>
      <c r="J3900" s="65" t="b">
        <v>1</v>
      </c>
      <c r="K3900" s="65"/>
      <c r="L3900" s="85" t="b">
        <f>IF(VLOOKUP(C3900,Projetos!A:L,12,false)=TRUE,TRUE,FALSE)</f>
        <v>1</v>
      </c>
      <c r="M3900" s="74">
        <v>52.1518759018759</v>
      </c>
      <c r="N3900" s="74">
        <f t="shared" si="1"/>
        <v>104.3037518</v>
      </c>
      <c r="O3900" s="74" t="b">
        <v>1</v>
      </c>
    </row>
    <row r="3901" hidden="1">
      <c r="A3901" s="82"/>
      <c r="B3901" s="65" t="s">
        <v>467</v>
      </c>
      <c r="C3901" s="65" t="s">
        <v>106</v>
      </c>
      <c r="D3901" s="65" t="str">
        <f>vlookup(C3901,'Classificação p pessoal'!F:G,2,false)</f>
        <v>MProcesso</v>
      </c>
      <c r="E3901" s="65" t="s">
        <v>800</v>
      </c>
      <c r="F3901" s="83">
        <v>0.4375</v>
      </c>
      <c r="G3901" s="83">
        <v>0.4791666666666667</v>
      </c>
      <c r="H3901" s="83">
        <v>0.041666666666666664</v>
      </c>
      <c r="I3901" s="84">
        <v>44221.0</v>
      </c>
      <c r="J3901" s="65" t="b">
        <v>1</v>
      </c>
      <c r="K3901" s="65"/>
      <c r="L3901" s="85" t="b">
        <f>IF(VLOOKUP(C3901,Projetos!A:L,12,false)=TRUE,TRUE,FALSE)</f>
        <v>1</v>
      </c>
      <c r="M3901" s="74">
        <v>52.1518759018759</v>
      </c>
      <c r="N3901" s="74">
        <f t="shared" si="1"/>
        <v>52.1518759</v>
      </c>
      <c r="O3901" s="74" t="b">
        <v>1</v>
      </c>
    </row>
    <row r="3902" hidden="1">
      <c r="A3902" s="82"/>
      <c r="B3902" s="65" t="s">
        <v>467</v>
      </c>
      <c r="C3902" s="65" t="s">
        <v>106</v>
      </c>
      <c r="D3902" s="65" t="str">
        <f>vlookup(C3902,'Classificação p pessoal'!F:G,2,false)</f>
        <v>MProcesso</v>
      </c>
      <c r="E3902" s="65" t="s">
        <v>2816</v>
      </c>
      <c r="F3902" s="83">
        <v>0.5416666666666666</v>
      </c>
      <c r="G3902" s="83">
        <v>0.7083333333333334</v>
      </c>
      <c r="H3902" s="83">
        <v>0.16666666666666666</v>
      </c>
      <c r="I3902" s="84">
        <v>44222.0</v>
      </c>
      <c r="J3902" s="65" t="b">
        <v>1</v>
      </c>
      <c r="K3902" s="65"/>
      <c r="L3902" s="85" t="b">
        <f>IF(VLOOKUP(C3902,Projetos!A:L,12,false)=TRUE,TRUE,FALSE)</f>
        <v>1</v>
      </c>
      <c r="M3902" s="74">
        <v>52.1518759018759</v>
      </c>
      <c r="N3902" s="74">
        <f t="shared" si="1"/>
        <v>208.6075036</v>
      </c>
      <c r="O3902" s="74" t="b">
        <v>1</v>
      </c>
    </row>
    <row r="3903" hidden="1">
      <c r="A3903" s="82"/>
      <c r="B3903" s="65" t="s">
        <v>467</v>
      </c>
      <c r="C3903" s="65" t="s">
        <v>92</v>
      </c>
      <c r="D3903" s="65" t="str">
        <f>vlookup(C3903,'Classificação p pessoal'!F:G,2,false)</f>
        <v/>
      </c>
      <c r="E3903" s="65" t="s">
        <v>2817</v>
      </c>
      <c r="F3903" s="83">
        <v>0.34375</v>
      </c>
      <c r="G3903" s="83">
        <v>0.5</v>
      </c>
      <c r="H3903" s="83">
        <v>0.15625</v>
      </c>
      <c r="I3903" s="84">
        <v>44222.0</v>
      </c>
      <c r="J3903" s="65" t="b">
        <v>1</v>
      </c>
      <c r="K3903" s="65"/>
      <c r="L3903" s="85" t="b">
        <f>IF(VLOOKUP(C3903,Projetos!A:L,12,false)=TRUE,TRUE,FALSE)</f>
        <v>1</v>
      </c>
      <c r="M3903" s="74">
        <v>52.1518759018759</v>
      </c>
      <c r="N3903" s="74">
        <f t="shared" si="1"/>
        <v>195.5695346</v>
      </c>
      <c r="O3903" s="74" t="b">
        <v>1</v>
      </c>
    </row>
    <row r="3904" hidden="1">
      <c r="A3904" s="82"/>
      <c r="B3904" s="65" t="s">
        <v>467</v>
      </c>
      <c r="C3904" s="65" t="s">
        <v>92</v>
      </c>
      <c r="D3904" s="65" t="str">
        <f>vlookup(C3904,'Classificação p pessoal'!F:G,2,false)</f>
        <v/>
      </c>
      <c r="E3904" s="65" t="s">
        <v>2818</v>
      </c>
      <c r="F3904" s="83">
        <v>0.5833333333333334</v>
      </c>
      <c r="G3904" s="83">
        <v>0.625</v>
      </c>
      <c r="H3904" s="83">
        <v>0.041666666666666664</v>
      </c>
      <c r="I3904" s="84">
        <v>44223.0</v>
      </c>
      <c r="J3904" s="65" t="b">
        <v>1</v>
      </c>
      <c r="K3904" s="65"/>
      <c r="L3904" s="85" t="b">
        <f>IF(VLOOKUP(C3904,Projetos!A:L,12,false)=TRUE,TRUE,FALSE)</f>
        <v>1</v>
      </c>
      <c r="M3904" s="74">
        <v>52.1518759018759</v>
      </c>
      <c r="N3904" s="74">
        <f t="shared" si="1"/>
        <v>52.1518759</v>
      </c>
      <c r="O3904" s="74" t="b">
        <v>1</v>
      </c>
    </row>
    <row r="3905" hidden="1">
      <c r="A3905" s="82"/>
      <c r="B3905" s="65" t="s">
        <v>467</v>
      </c>
      <c r="C3905" s="65" t="s">
        <v>88</v>
      </c>
      <c r="D3905" s="65" t="str">
        <f>vlookup(C3905,'Classificação p pessoal'!F:G,2,false)</f>
        <v>MProduto</v>
      </c>
      <c r="E3905" s="65" t="s">
        <v>2819</v>
      </c>
      <c r="F3905" s="83">
        <v>0.3541666666666667</v>
      </c>
      <c r="G3905" s="83">
        <v>0.3958333333333333</v>
      </c>
      <c r="H3905" s="83">
        <v>0.041666666666666664</v>
      </c>
      <c r="I3905" s="84">
        <v>44223.0</v>
      </c>
      <c r="J3905" s="65" t="b">
        <v>1</v>
      </c>
      <c r="K3905" s="65"/>
      <c r="L3905" s="85" t="b">
        <f>IF(VLOOKUP(C3905,Projetos!A:L,12,false)=TRUE,TRUE,FALSE)</f>
        <v>1</v>
      </c>
      <c r="M3905" s="74">
        <v>52.1518759018759</v>
      </c>
      <c r="N3905" s="74">
        <f t="shared" si="1"/>
        <v>52.1518759</v>
      </c>
      <c r="O3905" s="74" t="b">
        <v>1</v>
      </c>
    </row>
    <row r="3906" hidden="1">
      <c r="A3906" s="82"/>
      <c r="B3906" s="65" t="s">
        <v>467</v>
      </c>
      <c r="C3906" s="65" t="s">
        <v>92</v>
      </c>
      <c r="D3906" s="65" t="str">
        <f>vlookup(C3906,'Classificação p pessoal'!F:G,2,false)</f>
        <v/>
      </c>
      <c r="E3906" s="65" t="s">
        <v>2820</v>
      </c>
      <c r="F3906" s="83">
        <v>0.5833333333333334</v>
      </c>
      <c r="G3906" s="83">
        <v>0.6458333333333334</v>
      </c>
      <c r="H3906" s="83">
        <v>0.0625</v>
      </c>
      <c r="I3906" s="84">
        <v>44223.0</v>
      </c>
      <c r="J3906" s="65" t="b">
        <v>1</v>
      </c>
      <c r="K3906" s="65"/>
      <c r="L3906" s="85" t="b">
        <f>IF(VLOOKUP(C3906,Projetos!A:L,12,false)=TRUE,TRUE,FALSE)</f>
        <v>1</v>
      </c>
      <c r="M3906" s="74">
        <v>52.1518759018759</v>
      </c>
      <c r="N3906" s="74">
        <f t="shared" si="1"/>
        <v>78.22781385</v>
      </c>
      <c r="O3906" s="74" t="b">
        <v>1</v>
      </c>
    </row>
    <row r="3907" hidden="1">
      <c r="A3907" s="82"/>
      <c r="B3907" s="65" t="s">
        <v>467</v>
      </c>
      <c r="C3907" s="65" t="s">
        <v>92</v>
      </c>
      <c r="D3907" s="65" t="str">
        <f>vlookup(C3907,'Classificação p pessoal'!F:G,2,false)</f>
        <v/>
      </c>
      <c r="E3907" s="65" t="s">
        <v>2821</v>
      </c>
      <c r="F3907" s="83">
        <v>0.6458333333333334</v>
      </c>
      <c r="G3907" s="83">
        <v>0.75</v>
      </c>
      <c r="H3907" s="83">
        <v>0.10416666666666667</v>
      </c>
      <c r="I3907" s="84">
        <v>44223.0</v>
      </c>
      <c r="J3907" s="65" t="b">
        <v>1</v>
      </c>
      <c r="K3907" s="65"/>
      <c r="L3907" s="85" t="b">
        <f>IF(VLOOKUP(C3907,Projetos!A:L,12,false)=TRUE,TRUE,FALSE)</f>
        <v>1</v>
      </c>
      <c r="M3907" s="74">
        <v>52.1518759018759</v>
      </c>
      <c r="N3907" s="74">
        <f t="shared" si="1"/>
        <v>130.3796898</v>
      </c>
      <c r="O3907" s="74" t="b">
        <v>1</v>
      </c>
    </row>
    <row r="3908" hidden="1">
      <c r="A3908" s="82"/>
      <c r="B3908" s="65" t="s">
        <v>467</v>
      </c>
      <c r="C3908" s="65" t="s">
        <v>88</v>
      </c>
      <c r="D3908" s="65" t="str">
        <f>vlookup(C3908,'Classificação p pessoal'!F:G,2,false)</f>
        <v>MProduto</v>
      </c>
      <c r="E3908" s="65" t="s">
        <v>2822</v>
      </c>
      <c r="F3908" s="83">
        <v>0.4166666666666667</v>
      </c>
      <c r="G3908" s="83">
        <v>0.4583333333333333</v>
      </c>
      <c r="H3908" s="83">
        <v>0.041666666666666664</v>
      </c>
      <c r="I3908" s="84">
        <v>44224.0</v>
      </c>
      <c r="J3908" s="65" t="b">
        <v>1</v>
      </c>
      <c r="K3908" s="65"/>
      <c r="L3908" s="85" t="b">
        <f>IF(VLOOKUP(C3908,Projetos!A:L,12,false)=TRUE,TRUE,FALSE)</f>
        <v>1</v>
      </c>
      <c r="M3908" s="74">
        <v>52.1518759018759</v>
      </c>
      <c r="N3908" s="74">
        <f t="shared" si="1"/>
        <v>52.1518759</v>
      </c>
      <c r="O3908" s="74" t="b">
        <v>1</v>
      </c>
    </row>
    <row r="3909" hidden="1">
      <c r="A3909" s="82"/>
      <c r="B3909" s="65" t="s">
        <v>467</v>
      </c>
      <c r="C3909" s="65" t="s">
        <v>118</v>
      </c>
      <c r="D3909" s="65" t="str">
        <f>vlookup(C3909,'Classificação p pessoal'!F:G,2,false)</f>
        <v>MProduto</v>
      </c>
      <c r="E3909" s="65" t="s">
        <v>2823</v>
      </c>
      <c r="F3909" s="83">
        <v>0.4375</v>
      </c>
      <c r="G3909" s="83">
        <v>0.46875</v>
      </c>
      <c r="H3909" s="83">
        <v>0.03125</v>
      </c>
      <c r="I3909" s="84">
        <v>44225.0</v>
      </c>
      <c r="J3909" s="65" t="b">
        <v>1</v>
      </c>
      <c r="K3909" s="65"/>
      <c r="L3909" s="85" t="b">
        <f>IF(VLOOKUP(C3909,Projetos!A:L,12,false)=TRUE,TRUE,FALSE)</f>
        <v>1</v>
      </c>
      <c r="M3909" s="74">
        <v>52.1518759018759</v>
      </c>
      <c r="N3909" s="74">
        <f t="shared" si="1"/>
        <v>39.11390693</v>
      </c>
      <c r="O3909" s="74" t="b">
        <v>1</v>
      </c>
    </row>
    <row r="3910" hidden="1">
      <c r="A3910" s="82"/>
      <c r="B3910" s="65" t="s">
        <v>467</v>
      </c>
      <c r="C3910" s="65" t="s">
        <v>106</v>
      </c>
      <c r="D3910" s="65" t="str">
        <f>vlookup(C3910,'Classificação p pessoal'!F:G,2,false)</f>
        <v>MProcesso</v>
      </c>
      <c r="E3910" s="65" t="s">
        <v>2824</v>
      </c>
      <c r="F3910" s="83">
        <v>0.7083333333333334</v>
      </c>
      <c r="G3910" s="83">
        <v>0.75</v>
      </c>
      <c r="H3910" s="83">
        <v>0.041666666666666664</v>
      </c>
      <c r="I3910" s="84">
        <v>44225.0</v>
      </c>
      <c r="J3910" s="65" t="b">
        <v>1</v>
      </c>
      <c r="K3910" s="65"/>
      <c r="L3910" s="85" t="b">
        <f>IF(VLOOKUP(C3910,Projetos!A:L,12,false)=TRUE,TRUE,FALSE)</f>
        <v>1</v>
      </c>
      <c r="M3910" s="74">
        <v>52.1518759018759</v>
      </c>
      <c r="N3910" s="74">
        <f t="shared" si="1"/>
        <v>52.1518759</v>
      </c>
      <c r="O3910" s="74" t="b">
        <v>1</v>
      </c>
    </row>
    <row r="3911" hidden="1">
      <c r="A3911" s="82"/>
      <c r="B3911" s="65" t="s">
        <v>467</v>
      </c>
      <c r="C3911" s="65" t="s">
        <v>92</v>
      </c>
      <c r="D3911" s="65" t="str">
        <f>vlookup(C3911,'Classificação p pessoal'!F:G,2,false)</f>
        <v/>
      </c>
      <c r="E3911" s="65" t="s">
        <v>2825</v>
      </c>
      <c r="F3911" s="83">
        <v>0.5833333333333334</v>
      </c>
      <c r="G3911" s="83">
        <v>0.6875</v>
      </c>
      <c r="H3911" s="83">
        <v>0.10416666666666667</v>
      </c>
      <c r="I3911" s="84">
        <v>44225.0</v>
      </c>
      <c r="J3911" s="65" t="b">
        <v>1</v>
      </c>
      <c r="K3911" s="65"/>
      <c r="L3911" s="85" t="b">
        <f>IF(VLOOKUP(C3911,Projetos!A:L,12,false)=TRUE,TRUE,FALSE)</f>
        <v>1</v>
      </c>
      <c r="M3911" s="74">
        <v>52.1518759018759</v>
      </c>
      <c r="N3911" s="74">
        <f t="shared" si="1"/>
        <v>130.3796898</v>
      </c>
      <c r="O3911" s="74" t="b">
        <v>1</v>
      </c>
    </row>
    <row r="3912" hidden="1">
      <c r="A3912" s="82"/>
      <c r="B3912" s="65" t="s">
        <v>467</v>
      </c>
      <c r="C3912" s="65" t="s">
        <v>130</v>
      </c>
      <c r="D3912" s="65" t="str">
        <f>vlookup(C3912,'Classificação p pessoal'!F:G,2,false)</f>
        <v>NP</v>
      </c>
      <c r="E3912" s="65" t="s">
        <v>2826</v>
      </c>
      <c r="F3912" s="83">
        <v>0.4166666666666667</v>
      </c>
      <c r="G3912" s="83">
        <v>0.4583333333333333</v>
      </c>
      <c r="H3912" s="83">
        <v>0.041666666666666664</v>
      </c>
      <c r="I3912" s="84">
        <v>44228.0</v>
      </c>
      <c r="J3912" s="65" t="b">
        <v>1</v>
      </c>
      <c r="K3912" s="65"/>
      <c r="L3912" s="85" t="b">
        <f>IF(VLOOKUP(C3912,Projetos!A:L,12,false)=TRUE,TRUE,FALSE)</f>
        <v>1</v>
      </c>
      <c r="M3912" s="74">
        <v>52.1518759018759</v>
      </c>
      <c r="N3912" s="74">
        <f t="shared" si="1"/>
        <v>52.1518759</v>
      </c>
      <c r="O3912" s="74" t="b">
        <v>1</v>
      </c>
    </row>
    <row r="3913" hidden="1">
      <c r="A3913" s="82"/>
      <c r="B3913" s="65" t="s">
        <v>467</v>
      </c>
      <c r="C3913" s="65" t="s">
        <v>106</v>
      </c>
      <c r="D3913" s="65" t="str">
        <f>vlookup(C3913,'Classificação p pessoal'!F:G,2,false)</f>
        <v>MProcesso</v>
      </c>
      <c r="E3913" s="65" t="s">
        <v>2827</v>
      </c>
      <c r="F3913" s="83">
        <v>0.4791666666666667</v>
      </c>
      <c r="G3913" s="83">
        <v>0.5208333333333334</v>
      </c>
      <c r="H3913" s="83">
        <v>0.041666666666666664</v>
      </c>
      <c r="I3913" s="84">
        <v>44229.0</v>
      </c>
      <c r="J3913" s="65" t="b">
        <v>1</v>
      </c>
      <c r="K3913" s="65"/>
      <c r="L3913" s="85" t="b">
        <f>IF(VLOOKUP(C3913,Projetos!A:L,12,false)=TRUE,TRUE,FALSE)</f>
        <v>1</v>
      </c>
      <c r="M3913" s="74">
        <v>52.1518759018759</v>
      </c>
      <c r="N3913" s="74">
        <f t="shared" si="1"/>
        <v>52.1518759</v>
      </c>
      <c r="O3913" s="74" t="b">
        <v>1</v>
      </c>
    </row>
    <row r="3914" hidden="1">
      <c r="A3914" s="82"/>
      <c r="B3914" s="65" t="s">
        <v>467</v>
      </c>
      <c r="C3914" s="65" t="s">
        <v>92</v>
      </c>
      <c r="D3914" s="65" t="str">
        <f>vlookup(C3914,'Classificação p pessoal'!F:G,2,false)</f>
        <v/>
      </c>
      <c r="E3914" s="65" t="s">
        <v>2828</v>
      </c>
      <c r="F3914" s="83">
        <v>0.5833333333333334</v>
      </c>
      <c r="G3914" s="83">
        <v>0.6666666666666666</v>
      </c>
      <c r="H3914" s="83">
        <v>0.08333333333333333</v>
      </c>
      <c r="I3914" s="84">
        <v>44230.0</v>
      </c>
      <c r="J3914" s="65" t="b">
        <v>1</v>
      </c>
      <c r="K3914" s="65"/>
      <c r="L3914" s="85" t="b">
        <f>IF(VLOOKUP(C3914,Projetos!A:L,12,false)=TRUE,TRUE,FALSE)</f>
        <v>1</v>
      </c>
      <c r="M3914" s="74">
        <v>52.1518759018759</v>
      </c>
      <c r="N3914" s="74">
        <f t="shared" si="1"/>
        <v>104.3037518</v>
      </c>
      <c r="O3914" s="74" t="b">
        <v>1</v>
      </c>
    </row>
    <row r="3915" hidden="1">
      <c r="A3915" s="82"/>
      <c r="B3915" s="65" t="s">
        <v>469</v>
      </c>
      <c r="C3915" s="65" t="s">
        <v>106</v>
      </c>
      <c r="D3915" s="65"/>
      <c r="E3915" s="65" t="s">
        <v>2829</v>
      </c>
      <c r="F3915" s="83">
        <v>0.34375</v>
      </c>
      <c r="G3915" s="83">
        <v>0.75</v>
      </c>
      <c r="H3915" s="83">
        <v>0.40625</v>
      </c>
      <c r="I3915" s="84">
        <v>44337.0</v>
      </c>
      <c r="J3915" s="65" t="b">
        <v>0</v>
      </c>
      <c r="K3915" s="65"/>
      <c r="L3915" s="85" t="b">
        <f>IF(VLOOKUP(C3915,Projetos!A:L,12,false)=TRUE,TRUE,FALSE)</f>
        <v>1</v>
      </c>
      <c r="M3915" s="74">
        <v>37.50928062469937</v>
      </c>
      <c r="N3915" s="74">
        <f t="shared" si="1"/>
        <v>0</v>
      </c>
      <c r="O3915" s="74" t="b">
        <v>1</v>
      </c>
    </row>
    <row r="3916" hidden="1">
      <c r="A3916" s="82"/>
      <c r="B3916" s="65" t="s">
        <v>467</v>
      </c>
      <c r="C3916" s="65" t="s">
        <v>113</v>
      </c>
      <c r="D3916" s="65" t="str">
        <f>vlookup(C3916,'Classificação p pessoal'!F:G,2,false)</f>
        <v>NP</v>
      </c>
      <c r="E3916" s="65" t="s">
        <v>2830</v>
      </c>
      <c r="F3916" s="83">
        <v>0.5416666666666666</v>
      </c>
      <c r="G3916" s="83">
        <v>0.5625</v>
      </c>
      <c r="H3916" s="83">
        <v>0.020833333333333332</v>
      </c>
      <c r="I3916" s="84">
        <v>44230.0</v>
      </c>
      <c r="J3916" s="65" t="b">
        <v>1</v>
      </c>
      <c r="K3916" s="65"/>
      <c r="L3916" s="85" t="b">
        <f>IF(VLOOKUP(C3916,Projetos!A:L,12,false)=TRUE,TRUE,FALSE)</f>
        <v>1</v>
      </c>
      <c r="M3916" s="74">
        <v>52.1518759018759</v>
      </c>
      <c r="N3916" s="74">
        <f t="shared" si="1"/>
        <v>26.07593795</v>
      </c>
      <c r="O3916" s="74" t="b">
        <v>1</v>
      </c>
    </row>
    <row r="3917" hidden="1">
      <c r="A3917" s="82"/>
      <c r="B3917" s="65" t="s">
        <v>467</v>
      </c>
      <c r="C3917" s="65" t="s">
        <v>92</v>
      </c>
      <c r="D3917" s="65" t="str">
        <f>vlookup(C3917,'Classificação p pessoal'!F:G,2,false)</f>
        <v/>
      </c>
      <c r="E3917" s="65" t="s">
        <v>2831</v>
      </c>
      <c r="F3917" s="83">
        <v>0.34375</v>
      </c>
      <c r="G3917" s="83">
        <v>0.4583333333333333</v>
      </c>
      <c r="H3917" s="83">
        <v>0.11458333333333333</v>
      </c>
      <c r="I3917" s="84">
        <v>44231.0</v>
      </c>
      <c r="J3917" s="65" t="b">
        <v>1</v>
      </c>
      <c r="K3917" s="65"/>
      <c r="L3917" s="85" t="b">
        <f>IF(VLOOKUP(C3917,Projetos!A:L,12,false)=TRUE,TRUE,FALSE)</f>
        <v>1</v>
      </c>
      <c r="M3917" s="74">
        <v>52.1518759018759</v>
      </c>
      <c r="N3917" s="74">
        <f t="shared" si="1"/>
        <v>143.4176587</v>
      </c>
      <c r="O3917" s="74" t="b">
        <v>1</v>
      </c>
    </row>
    <row r="3918" hidden="1">
      <c r="A3918" s="82"/>
      <c r="B3918" s="65" t="s">
        <v>467</v>
      </c>
      <c r="C3918" s="65" t="s">
        <v>92</v>
      </c>
      <c r="D3918" s="65" t="str">
        <f>vlookup(C3918,'Classificação p pessoal'!F:G,2,false)</f>
        <v/>
      </c>
      <c r="E3918" s="65" t="s">
        <v>2832</v>
      </c>
      <c r="F3918" s="83">
        <v>0.5416666666666666</v>
      </c>
      <c r="G3918" s="83">
        <v>0.6180555555555556</v>
      </c>
      <c r="H3918" s="83">
        <v>0.0763888888888889</v>
      </c>
      <c r="I3918" s="84">
        <v>44231.0</v>
      </c>
      <c r="J3918" s="65" t="b">
        <v>1</v>
      </c>
      <c r="K3918" s="65"/>
      <c r="L3918" s="85" t="b">
        <f>IF(VLOOKUP(C3918,Projetos!A:L,12,false)=TRUE,TRUE,FALSE)</f>
        <v>1</v>
      </c>
      <c r="M3918" s="74">
        <v>52.1518759018759</v>
      </c>
      <c r="N3918" s="74">
        <f t="shared" si="1"/>
        <v>95.61177249</v>
      </c>
      <c r="O3918" s="74" t="b">
        <v>1</v>
      </c>
    </row>
    <row r="3919" hidden="1">
      <c r="A3919" s="82"/>
      <c r="B3919" s="65" t="s">
        <v>467</v>
      </c>
      <c r="C3919" s="65" t="s">
        <v>92</v>
      </c>
      <c r="D3919" s="65" t="str">
        <f>vlookup(C3919,'Classificação p pessoal'!F:G,2,false)</f>
        <v/>
      </c>
      <c r="E3919" s="65" t="s">
        <v>2833</v>
      </c>
      <c r="F3919" s="83">
        <v>0.625</v>
      </c>
      <c r="G3919" s="83">
        <v>0.6875</v>
      </c>
      <c r="H3919" s="83">
        <v>0.0625</v>
      </c>
      <c r="I3919" s="84">
        <v>44231.0</v>
      </c>
      <c r="J3919" s="65" t="b">
        <v>1</v>
      </c>
      <c r="K3919" s="65"/>
      <c r="L3919" s="85" t="b">
        <f>IF(VLOOKUP(C3919,Projetos!A:L,12,false)=TRUE,TRUE,FALSE)</f>
        <v>1</v>
      </c>
      <c r="M3919" s="74">
        <v>52.1518759018759</v>
      </c>
      <c r="N3919" s="74">
        <f t="shared" si="1"/>
        <v>78.22781385</v>
      </c>
      <c r="O3919" s="74" t="b">
        <v>1</v>
      </c>
    </row>
    <row r="3920" hidden="1">
      <c r="A3920" s="82"/>
      <c r="B3920" s="65" t="s">
        <v>467</v>
      </c>
      <c r="C3920" s="65" t="s">
        <v>92</v>
      </c>
      <c r="D3920" s="65" t="str">
        <f>vlookup(C3920,'Classificação p pessoal'!F:G,2,false)</f>
        <v/>
      </c>
      <c r="E3920" s="65" t="s">
        <v>2834</v>
      </c>
      <c r="F3920" s="83">
        <v>0.34375</v>
      </c>
      <c r="G3920" s="83">
        <v>0.5416666666666666</v>
      </c>
      <c r="H3920" s="83">
        <v>0.19791666666666666</v>
      </c>
      <c r="I3920" s="84">
        <v>44232.0</v>
      </c>
      <c r="J3920" s="65" t="b">
        <v>1</v>
      </c>
      <c r="K3920" s="65"/>
      <c r="L3920" s="85" t="b">
        <f>IF(VLOOKUP(C3920,Projetos!A:L,12,false)=TRUE,TRUE,FALSE)</f>
        <v>1</v>
      </c>
      <c r="M3920" s="74">
        <v>52.1518759018759</v>
      </c>
      <c r="N3920" s="74">
        <f t="shared" si="1"/>
        <v>247.7214105</v>
      </c>
      <c r="O3920" s="74" t="b">
        <v>1</v>
      </c>
    </row>
    <row r="3921" hidden="1">
      <c r="A3921" s="82"/>
      <c r="B3921" s="65" t="s">
        <v>469</v>
      </c>
      <c r="C3921" s="65" t="s">
        <v>106</v>
      </c>
      <c r="D3921" s="65"/>
      <c r="E3921" s="65" t="s">
        <v>2829</v>
      </c>
      <c r="F3921" s="83">
        <v>0.34375</v>
      </c>
      <c r="G3921" s="83">
        <v>0.75</v>
      </c>
      <c r="H3921" s="83">
        <v>0.40625</v>
      </c>
      <c r="I3921" s="84">
        <v>44337.0</v>
      </c>
      <c r="J3921" s="65" t="b">
        <v>0</v>
      </c>
      <c r="K3921" s="65"/>
      <c r="L3921" s="85" t="b">
        <f>IF(VLOOKUP(C3921,Projetos!A:L,12,false)=TRUE,TRUE,FALSE)</f>
        <v>1</v>
      </c>
      <c r="M3921" s="74">
        <v>37.50928062469937</v>
      </c>
      <c r="N3921" s="74">
        <f t="shared" si="1"/>
        <v>0</v>
      </c>
      <c r="O3921" s="74" t="b">
        <v>1</v>
      </c>
    </row>
    <row r="3922" hidden="1">
      <c r="A3922" s="82"/>
      <c r="B3922" s="65" t="s">
        <v>467</v>
      </c>
      <c r="C3922" s="65" t="s">
        <v>92</v>
      </c>
      <c r="D3922" s="65" t="str">
        <f>vlookup(C3922,'Classificação p pessoal'!F:G,2,false)</f>
        <v/>
      </c>
      <c r="E3922" s="65" t="s">
        <v>2835</v>
      </c>
      <c r="F3922" s="83">
        <v>0.3333333333333333</v>
      </c>
      <c r="G3922" s="83">
        <v>0.5</v>
      </c>
      <c r="H3922" s="83">
        <v>0.16666666666666666</v>
      </c>
      <c r="I3922" s="84">
        <v>44236.0</v>
      </c>
      <c r="J3922" s="65" t="b">
        <v>1</v>
      </c>
      <c r="K3922" s="65"/>
      <c r="L3922" s="85" t="b">
        <f>IF(VLOOKUP(C3922,Projetos!A:L,12,false)=TRUE,TRUE,FALSE)</f>
        <v>1</v>
      </c>
      <c r="M3922" s="74">
        <v>52.1518759018759</v>
      </c>
      <c r="N3922" s="74">
        <f t="shared" si="1"/>
        <v>208.6075036</v>
      </c>
      <c r="O3922" s="74" t="b">
        <v>1</v>
      </c>
    </row>
    <row r="3923" hidden="1">
      <c r="A3923" s="82"/>
      <c r="B3923" s="65" t="s">
        <v>467</v>
      </c>
      <c r="C3923" s="65" t="s">
        <v>92</v>
      </c>
      <c r="D3923" s="65" t="str">
        <f>vlookup(C3923,'Classificação p pessoal'!F:G,2,false)</f>
        <v/>
      </c>
      <c r="E3923" s="65" t="s">
        <v>2836</v>
      </c>
      <c r="F3923" s="83">
        <v>0.5416666666666666</v>
      </c>
      <c r="G3923" s="83">
        <v>0.625</v>
      </c>
      <c r="H3923" s="83">
        <v>0.08333333333333333</v>
      </c>
      <c r="I3923" s="84">
        <v>44236.0</v>
      </c>
      <c r="J3923" s="65" t="b">
        <v>1</v>
      </c>
      <c r="K3923" s="65"/>
      <c r="L3923" s="85" t="b">
        <f>IF(VLOOKUP(C3923,Projetos!A:L,12,false)=TRUE,TRUE,FALSE)</f>
        <v>1</v>
      </c>
      <c r="M3923" s="74">
        <v>52.1518759018759</v>
      </c>
      <c r="N3923" s="74">
        <f t="shared" si="1"/>
        <v>104.3037518</v>
      </c>
      <c r="O3923" s="74" t="b">
        <v>1</v>
      </c>
    </row>
    <row r="3924" hidden="1">
      <c r="A3924" s="82"/>
      <c r="B3924" s="65" t="s">
        <v>411</v>
      </c>
      <c r="C3924" s="65" t="s">
        <v>125</v>
      </c>
      <c r="D3924" s="65"/>
      <c r="E3924" s="65" t="s">
        <v>2837</v>
      </c>
      <c r="F3924" s="83">
        <v>0.6875</v>
      </c>
      <c r="G3924" s="83">
        <v>0.7083333333333334</v>
      </c>
      <c r="H3924" s="83">
        <v>0.020833333333333332</v>
      </c>
      <c r="I3924" s="84">
        <v>44448.0</v>
      </c>
      <c r="J3924" s="65" t="b">
        <v>0</v>
      </c>
      <c r="K3924" s="65" t="s">
        <v>150</v>
      </c>
      <c r="L3924" s="85" t="b">
        <f>IF(VLOOKUP(C3924,Projetos!A:L,12,false)=TRUE,TRUE,FALSE)</f>
        <v>1</v>
      </c>
      <c r="M3924" s="74">
        <v>52.48434411075036</v>
      </c>
      <c r="N3924" s="74">
        <f t="shared" si="1"/>
        <v>0</v>
      </c>
      <c r="O3924" s="74" t="b">
        <v>1</v>
      </c>
    </row>
    <row r="3925" hidden="1">
      <c r="A3925" s="82"/>
      <c r="B3925" s="65" t="s">
        <v>467</v>
      </c>
      <c r="C3925" s="65" t="s">
        <v>101</v>
      </c>
      <c r="D3925" s="65" t="str">
        <f>vlookup(C3925,'Classificação p pessoal'!F:G,2,false)</f>
        <v>NP</v>
      </c>
      <c r="E3925" s="65" t="s">
        <v>2838</v>
      </c>
      <c r="F3925" s="83">
        <v>0.6875</v>
      </c>
      <c r="G3925" s="83">
        <v>0.7291666666666666</v>
      </c>
      <c r="H3925" s="83">
        <v>0.041666666666666664</v>
      </c>
      <c r="I3925" s="84">
        <v>44236.0</v>
      </c>
      <c r="J3925" s="65" t="b">
        <v>1</v>
      </c>
      <c r="K3925" s="65"/>
      <c r="L3925" s="85" t="b">
        <f>IF(VLOOKUP(C3925,Projetos!A:L,12,false)=TRUE,TRUE,FALSE)</f>
        <v>1</v>
      </c>
      <c r="M3925" s="74">
        <v>52.1518759018759</v>
      </c>
      <c r="N3925" s="74">
        <f t="shared" si="1"/>
        <v>52.1518759</v>
      </c>
      <c r="O3925" s="74" t="b">
        <v>1</v>
      </c>
    </row>
    <row r="3926" hidden="1">
      <c r="A3926" s="82"/>
      <c r="B3926" s="65" t="s">
        <v>467</v>
      </c>
      <c r="C3926" s="65" t="s">
        <v>92</v>
      </c>
      <c r="D3926" s="65" t="str">
        <f>vlookup(C3926,'Classificação p pessoal'!F:G,2,false)</f>
        <v/>
      </c>
      <c r="E3926" s="65" t="s">
        <v>2839</v>
      </c>
      <c r="F3926" s="83">
        <v>0.3541666666666667</v>
      </c>
      <c r="G3926" s="83">
        <v>0.5</v>
      </c>
      <c r="H3926" s="83">
        <v>0.14583333333333334</v>
      </c>
      <c r="I3926" s="84">
        <v>44237.0</v>
      </c>
      <c r="J3926" s="65" t="b">
        <v>1</v>
      </c>
      <c r="K3926" s="65"/>
      <c r="L3926" s="85" t="b">
        <f>IF(VLOOKUP(C3926,Projetos!A:L,12,false)=TRUE,TRUE,FALSE)</f>
        <v>1</v>
      </c>
      <c r="M3926" s="74">
        <v>52.1518759018759</v>
      </c>
      <c r="N3926" s="74">
        <f t="shared" si="1"/>
        <v>182.5315657</v>
      </c>
      <c r="O3926" s="74" t="b">
        <v>1</v>
      </c>
    </row>
    <row r="3927" hidden="1">
      <c r="A3927" s="82"/>
      <c r="B3927" s="65" t="s">
        <v>467</v>
      </c>
      <c r="C3927" s="65" t="s">
        <v>92</v>
      </c>
      <c r="D3927" s="65" t="str">
        <f>vlookup(C3927,'Classificação p pessoal'!F:G,2,false)</f>
        <v/>
      </c>
      <c r="E3927" s="65" t="s">
        <v>2840</v>
      </c>
      <c r="F3927" s="83">
        <v>0.5416666666666666</v>
      </c>
      <c r="G3927" s="83">
        <v>0.7083333333333334</v>
      </c>
      <c r="H3927" s="83">
        <v>0.16666666666666666</v>
      </c>
      <c r="I3927" s="84">
        <v>44239.0</v>
      </c>
      <c r="J3927" s="65" t="b">
        <v>1</v>
      </c>
      <c r="K3927" s="65"/>
      <c r="L3927" s="85" t="b">
        <f>IF(VLOOKUP(C3927,Projetos!A:L,12,false)=TRUE,TRUE,FALSE)</f>
        <v>1</v>
      </c>
      <c r="M3927" s="74">
        <v>52.1518759018759</v>
      </c>
      <c r="N3927" s="74">
        <f t="shared" si="1"/>
        <v>208.6075036</v>
      </c>
      <c r="O3927" s="74" t="b">
        <v>1</v>
      </c>
    </row>
    <row r="3928" hidden="1">
      <c r="A3928" s="82"/>
      <c r="B3928" s="65" t="s">
        <v>467</v>
      </c>
      <c r="C3928" s="65" t="s">
        <v>92</v>
      </c>
      <c r="D3928" s="65" t="str">
        <f>vlookup(C3928,'Classificação p pessoal'!F:G,2,false)</f>
        <v/>
      </c>
      <c r="E3928" s="65" t="s">
        <v>2841</v>
      </c>
      <c r="F3928" s="83">
        <v>0.5416666666666666</v>
      </c>
      <c r="G3928" s="83">
        <v>0.75</v>
      </c>
      <c r="H3928" s="83">
        <v>0.20833333333333334</v>
      </c>
      <c r="I3928" s="84">
        <v>44244.0</v>
      </c>
      <c r="J3928" s="65" t="b">
        <v>1</v>
      </c>
      <c r="K3928" s="65"/>
      <c r="L3928" s="85" t="b">
        <f>IF(VLOOKUP(C3928,Projetos!A:L,12,false)=TRUE,TRUE,FALSE)</f>
        <v>1</v>
      </c>
      <c r="M3928" s="74">
        <v>52.1518759018759</v>
      </c>
      <c r="N3928" s="74">
        <f t="shared" si="1"/>
        <v>260.7593795</v>
      </c>
      <c r="O3928" s="74" t="b">
        <v>1</v>
      </c>
    </row>
    <row r="3929" hidden="1">
      <c r="A3929" s="82"/>
      <c r="B3929" s="65" t="s">
        <v>467</v>
      </c>
      <c r="C3929" s="65" t="s">
        <v>92</v>
      </c>
      <c r="D3929" s="65" t="str">
        <f>vlookup(C3929,'Classificação p pessoal'!F:G,2,false)</f>
        <v/>
      </c>
      <c r="E3929" s="65" t="s">
        <v>2842</v>
      </c>
      <c r="F3929" s="83">
        <v>0.3541666666666667</v>
      </c>
      <c r="G3929" s="83">
        <v>0.5</v>
      </c>
      <c r="H3929" s="83">
        <v>0.14583333333333334</v>
      </c>
      <c r="I3929" s="84">
        <v>44245.0</v>
      </c>
      <c r="J3929" s="65" t="b">
        <v>1</v>
      </c>
      <c r="K3929" s="65"/>
      <c r="L3929" s="85" t="b">
        <f>IF(VLOOKUP(C3929,Projetos!A:L,12,false)=TRUE,TRUE,FALSE)</f>
        <v>1</v>
      </c>
      <c r="M3929" s="74">
        <v>52.1518759018759</v>
      </c>
      <c r="N3929" s="74">
        <f t="shared" si="1"/>
        <v>182.5315657</v>
      </c>
      <c r="O3929" s="74" t="b">
        <v>1</v>
      </c>
    </row>
    <row r="3930" hidden="1">
      <c r="A3930" s="82"/>
      <c r="B3930" s="65" t="s">
        <v>467</v>
      </c>
      <c r="C3930" s="65" t="s">
        <v>130</v>
      </c>
      <c r="D3930" s="65" t="str">
        <f>vlookup(C3930,'Classificação p pessoal'!F:G,2,false)</f>
        <v>NP</v>
      </c>
      <c r="E3930" s="65" t="s">
        <v>2843</v>
      </c>
      <c r="F3930" s="83">
        <v>0.4166666666666667</v>
      </c>
      <c r="G3930" s="83">
        <v>0.4791666666666667</v>
      </c>
      <c r="H3930" s="83">
        <v>0.0625</v>
      </c>
      <c r="I3930" s="84">
        <v>44249.0</v>
      </c>
      <c r="J3930" s="65" t="b">
        <v>1</v>
      </c>
      <c r="K3930" s="65"/>
      <c r="L3930" s="85" t="b">
        <f>IF(VLOOKUP(C3930,Projetos!A:L,12,false)=TRUE,TRUE,FALSE)</f>
        <v>1</v>
      </c>
      <c r="M3930" s="74">
        <v>52.1518759018759</v>
      </c>
      <c r="N3930" s="74">
        <f t="shared" si="1"/>
        <v>78.22781385</v>
      </c>
      <c r="O3930" s="74" t="b">
        <v>1</v>
      </c>
    </row>
    <row r="3931" hidden="1">
      <c r="A3931" s="82"/>
      <c r="B3931" s="65" t="s">
        <v>467</v>
      </c>
      <c r="C3931" s="65" t="s">
        <v>130</v>
      </c>
      <c r="D3931" s="65" t="str">
        <f>vlookup(C3931,'Classificação p pessoal'!F:G,2,false)</f>
        <v>NP</v>
      </c>
      <c r="E3931" s="65" t="s">
        <v>2844</v>
      </c>
      <c r="F3931" s="83">
        <v>0.6666666666666666</v>
      </c>
      <c r="G3931" s="83">
        <v>0.7291666666666666</v>
      </c>
      <c r="H3931" s="83">
        <v>0.0625</v>
      </c>
      <c r="I3931" s="84">
        <v>44249.0</v>
      </c>
      <c r="J3931" s="65" t="b">
        <v>1</v>
      </c>
      <c r="K3931" s="65"/>
      <c r="L3931" s="85" t="b">
        <f>IF(VLOOKUP(C3931,Projetos!A:L,12,false)=TRUE,TRUE,FALSE)</f>
        <v>1</v>
      </c>
      <c r="M3931" s="74">
        <v>52.1518759018759</v>
      </c>
      <c r="N3931" s="74">
        <f t="shared" si="1"/>
        <v>78.22781385</v>
      </c>
      <c r="O3931" s="74" t="b">
        <v>1</v>
      </c>
    </row>
    <row r="3932" hidden="1">
      <c r="A3932" s="82"/>
      <c r="B3932" s="65" t="s">
        <v>467</v>
      </c>
      <c r="C3932" s="65" t="s">
        <v>92</v>
      </c>
      <c r="D3932" s="65" t="str">
        <f>vlookup(C3932,'Classificação p pessoal'!F:G,2,false)</f>
        <v/>
      </c>
      <c r="E3932" s="65" t="s">
        <v>2845</v>
      </c>
      <c r="F3932" s="83">
        <v>0.4166666666666667</v>
      </c>
      <c r="G3932" s="83">
        <v>0.5</v>
      </c>
      <c r="H3932" s="83">
        <v>0.08333333333333333</v>
      </c>
      <c r="I3932" s="84">
        <v>44251.0</v>
      </c>
      <c r="J3932" s="65" t="b">
        <v>1</v>
      </c>
      <c r="K3932" s="65"/>
      <c r="L3932" s="85" t="b">
        <f>IF(VLOOKUP(C3932,Projetos!A:L,12,false)=TRUE,TRUE,FALSE)</f>
        <v>1</v>
      </c>
      <c r="M3932" s="74">
        <v>52.1518759018759</v>
      </c>
      <c r="N3932" s="74">
        <f t="shared" si="1"/>
        <v>104.3037518</v>
      </c>
      <c r="O3932" s="74" t="b">
        <v>1</v>
      </c>
    </row>
    <row r="3933" hidden="1">
      <c r="A3933" s="82"/>
      <c r="B3933" s="65" t="s">
        <v>467</v>
      </c>
      <c r="C3933" s="65" t="s">
        <v>92</v>
      </c>
      <c r="D3933" s="65" t="str">
        <f>vlookup(C3933,'Classificação p pessoal'!F:G,2,false)</f>
        <v/>
      </c>
      <c r="E3933" s="65" t="s">
        <v>2846</v>
      </c>
      <c r="F3933" s="83">
        <v>0.5416666666666666</v>
      </c>
      <c r="G3933" s="83">
        <v>0.625</v>
      </c>
      <c r="H3933" s="83">
        <v>0.08333333333333333</v>
      </c>
      <c r="I3933" s="84">
        <v>44251.0</v>
      </c>
      <c r="J3933" s="65" t="b">
        <v>1</v>
      </c>
      <c r="K3933" s="65"/>
      <c r="L3933" s="85" t="b">
        <f>IF(VLOOKUP(C3933,Projetos!A:L,12,false)=TRUE,TRUE,FALSE)</f>
        <v>1</v>
      </c>
      <c r="M3933" s="74">
        <v>52.1518759018759</v>
      </c>
      <c r="N3933" s="74">
        <f t="shared" si="1"/>
        <v>104.3037518</v>
      </c>
      <c r="O3933" s="74" t="b">
        <v>1</v>
      </c>
    </row>
    <row r="3934" hidden="1">
      <c r="A3934" s="82"/>
      <c r="B3934" s="65" t="s">
        <v>467</v>
      </c>
      <c r="C3934" s="65" t="s">
        <v>92</v>
      </c>
      <c r="D3934" s="65" t="str">
        <f>vlookup(C3934,'Classificação p pessoal'!F:G,2,false)</f>
        <v/>
      </c>
      <c r="E3934" s="65" t="s">
        <v>2847</v>
      </c>
      <c r="F3934" s="83">
        <v>0.3541666666666667</v>
      </c>
      <c r="G3934" s="83">
        <v>0.4791666666666667</v>
      </c>
      <c r="H3934" s="83">
        <v>0.125</v>
      </c>
      <c r="I3934" s="84">
        <v>44252.0</v>
      </c>
      <c r="J3934" s="65" t="b">
        <v>1</v>
      </c>
      <c r="K3934" s="65"/>
      <c r="L3934" s="85" t="b">
        <f>IF(VLOOKUP(C3934,Projetos!A:L,12,false)=TRUE,TRUE,FALSE)</f>
        <v>1</v>
      </c>
      <c r="M3934" s="74">
        <v>52.1518759018759</v>
      </c>
      <c r="N3934" s="74">
        <f t="shared" si="1"/>
        <v>156.4556277</v>
      </c>
      <c r="O3934" s="74" t="b">
        <v>1</v>
      </c>
    </row>
    <row r="3935" hidden="1">
      <c r="A3935" s="82"/>
      <c r="B3935" s="65" t="s">
        <v>467</v>
      </c>
      <c r="C3935" s="65" t="s">
        <v>92</v>
      </c>
      <c r="D3935" s="65" t="str">
        <f>vlookup(C3935,'Classificação p pessoal'!F:G,2,false)</f>
        <v/>
      </c>
      <c r="E3935" s="65" t="s">
        <v>2848</v>
      </c>
      <c r="F3935" s="83">
        <v>0.4166666666666667</v>
      </c>
      <c r="G3935" s="83">
        <v>0.4791666666666667</v>
      </c>
      <c r="H3935" s="83">
        <v>0.0625</v>
      </c>
      <c r="I3935" s="84">
        <v>44253.0</v>
      </c>
      <c r="J3935" s="65" t="b">
        <v>1</v>
      </c>
      <c r="K3935" s="65"/>
      <c r="L3935" s="85" t="b">
        <f>IF(VLOOKUP(C3935,Projetos!A:L,12,false)=TRUE,TRUE,FALSE)</f>
        <v>1</v>
      </c>
      <c r="M3935" s="74">
        <v>52.1518759018759</v>
      </c>
      <c r="N3935" s="74">
        <f t="shared" si="1"/>
        <v>78.22781385</v>
      </c>
      <c r="O3935" s="74" t="b">
        <v>1</v>
      </c>
    </row>
    <row r="3936" hidden="1">
      <c r="A3936" s="82"/>
      <c r="B3936" s="65" t="s">
        <v>467</v>
      </c>
      <c r="C3936" s="65" t="s">
        <v>92</v>
      </c>
      <c r="D3936" s="65" t="str">
        <f>vlookup(C3936,'Classificação p pessoal'!F:G,2,false)</f>
        <v/>
      </c>
      <c r="E3936" s="65" t="s">
        <v>2849</v>
      </c>
      <c r="F3936" s="83">
        <v>0.6666666666666666</v>
      </c>
      <c r="G3936" s="83">
        <v>0.71875</v>
      </c>
      <c r="H3936" s="83">
        <v>0.052083333333333336</v>
      </c>
      <c r="I3936" s="84">
        <v>44253.0</v>
      </c>
      <c r="J3936" s="65" t="b">
        <v>1</v>
      </c>
      <c r="K3936" s="65"/>
      <c r="L3936" s="85" t="b">
        <f>IF(VLOOKUP(C3936,Projetos!A:L,12,false)=TRUE,TRUE,FALSE)</f>
        <v>1</v>
      </c>
      <c r="M3936" s="74">
        <v>52.1518759018759</v>
      </c>
      <c r="N3936" s="74">
        <f t="shared" si="1"/>
        <v>65.18984488</v>
      </c>
      <c r="O3936" s="74" t="b">
        <v>1</v>
      </c>
    </row>
    <row r="3937" hidden="1">
      <c r="A3937" s="82"/>
      <c r="B3937" s="65" t="s">
        <v>467</v>
      </c>
      <c r="C3937" s="65" t="s">
        <v>92</v>
      </c>
      <c r="D3937" s="65"/>
      <c r="E3937" s="65" t="s">
        <v>2850</v>
      </c>
      <c r="F3937" s="83">
        <v>0.7222222222222222</v>
      </c>
      <c r="G3937" s="83">
        <v>0.7326388888888888</v>
      </c>
      <c r="H3937" s="83">
        <v>0.010416666666666666</v>
      </c>
      <c r="I3937" s="84">
        <v>44253.0</v>
      </c>
      <c r="J3937" s="65" t="b">
        <v>0</v>
      </c>
      <c r="K3937" s="65" t="s">
        <v>150</v>
      </c>
      <c r="L3937" s="85" t="b">
        <f>IF(VLOOKUP(C3937,Projetos!A:L,12,false)=TRUE,TRUE,FALSE)</f>
        <v>1</v>
      </c>
      <c r="M3937" s="74">
        <v>52.1518759018759</v>
      </c>
      <c r="N3937" s="74">
        <f t="shared" si="1"/>
        <v>0</v>
      </c>
      <c r="O3937" s="74" t="b">
        <v>1</v>
      </c>
    </row>
    <row r="3938" hidden="1">
      <c r="A3938" s="82"/>
      <c r="B3938" s="65" t="s">
        <v>467</v>
      </c>
      <c r="C3938" s="65" t="s">
        <v>88</v>
      </c>
      <c r="D3938" s="65" t="str">
        <f>vlookup(C3938,'Classificação p pessoal'!F:G,2,false)</f>
        <v>MProduto</v>
      </c>
      <c r="E3938" s="65" t="s">
        <v>2851</v>
      </c>
      <c r="F3938" s="83">
        <v>0.5833333333333334</v>
      </c>
      <c r="G3938" s="83">
        <v>0.625</v>
      </c>
      <c r="H3938" s="83">
        <v>0.041666666666666664</v>
      </c>
      <c r="I3938" s="84">
        <v>44256.0</v>
      </c>
      <c r="J3938" s="65" t="b">
        <v>1</v>
      </c>
      <c r="K3938" s="65"/>
      <c r="L3938" s="85" t="b">
        <f>IF(VLOOKUP(C3938,Projetos!A:L,12,false)=TRUE,TRUE,FALSE)</f>
        <v>1</v>
      </c>
      <c r="M3938" s="74">
        <v>52.1518759018759</v>
      </c>
      <c r="N3938" s="74">
        <f t="shared" si="1"/>
        <v>52.1518759</v>
      </c>
      <c r="O3938" s="74" t="b">
        <v>1</v>
      </c>
    </row>
    <row r="3939" hidden="1">
      <c r="A3939" s="82"/>
      <c r="B3939" s="65" t="s">
        <v>467</v>
      </c>
      <c r="C3939" s="65" t="s">
        <v>122</v>
      </c>
      <c r="D3939" s="65" t="str">
        <f>vlookup(C3939,'Classificação p pessoal'!F:G,2,false)</f>
        <v>NP</v>
      </c>
      <c r="E3939" s="65" t="s">
        <v>2852</v>
      </c>
      <c r="F3939" s="83">
        <v>0.6875</v>
      </c>
      <c r="G3939" s="83">
        <v>0.7083333333333334</v>
      </c>
      <c r="H3939" s="83">
        <v>0.020833333333333332</v>
      </c>
      <c r="I3939" s="84">
        <v>44256.0</v>
      </c>
      <c r="J3939" s="65" t="b">
        <v>1</v>
      </c>
      <c r="K3939" s="65"/>
      <c r="L3939" s="85" t="b">
        <f>IF(VLOOKUP(C3939,Projetos!A:L,12,false)=TRUE,TRUE,FALSE)</f>
        <v>1</v>
      </c>
      <c r="M3939" s="74">
        <v>52.1518759018759</v>
      </c>
      <c r="N3939" s="74">
        <f t="shared" si="1"/>
        <v>26.07593795</v>
      </c>
      <c r="O3939" s="74" t="b">
        <v>1</v>
      </c>
    </row>
    <row r="3940" hidden="1">
      <c r="A3940" s="82"/>
      <c r="B3940" s="65" t="s">
        <v>467</v>
      </c>
      <c r="C3940" s="65" t="s">
        <v>92</v>
      </c>
      <c r="D3940" s="65" t="str">
        <f>vlookup(C3940,'Classificação p pessoal'!F:G,2,false)</f>
        <v/>
      </c>
      <c r="E3940" s="65" t="s">
        <v>2853</v>
      </c>
      <c r="F3940" s="83">
        <v>0.6666666666666666</v>
      </c>
      <c r="G3940" s="83">
        <v>0.6875</v>
      </c>
      <c r="H3940" s="83">
        <v>0.020833333333333332</v>
      </c>
      <c r="I3940" s="84">
        <v>44256.0</v>
      </c>
      <c r="J3940" s="65" t="b">
        <v>1</v>
      </c>
      <c r="K3940" s="65"/>
      <c r="L3940" s="85" t="b">
        <f>IF(VLOOKUP(C3940,Projetos!A:L,12,false)=TRUE,TRUE,FALSE)</f>
        <v>1</v>
      </c>
      <c r="M3940" s="74">
        <v>52.1518759018759</v>
      </c>
      <c r="N3940" s="74">
        <f t="shared" si="1"/>
        <v>26.07593795</v>
      </c>
      <c r="O3940" s="74" t="b">
        <v>1</v>
      </c>
    </row>
    <row r="3941" hidden="1">
      <c r="A3941" s="82"/>
      <c r="B3941" s="65" t="s">
        <v>467</v>
      </c>
      <c r="C3941" s="65" t="s">
        <v>92</v>
      </c>
      <c r="D3941" s="65" t="str">
        <f>vlookup(C3941,'Classificação p pessoal'!F:G,2,false)</f>
        <v/>
      </c>
      <c r="E3941" s="65" t="s">
        <v>2854</v>
      </c>
      <c r="F3941" s="83">
        <v>0.4166666666666667</v>
      </c>
      <c r="G3941" s="83">
        <v>0.5416666666666666</v>
      </c>
      <c r="H3941" s="83">
        <v>0.125</v>
      </c>
      <c r="I3941" s="84">
        <v>44256.0</v>
      </c>
      <c r="J3941" s="65" t="b">
        <v>1</v>
      </c>
      <c r="K3941" s="65"/>
      <c r="L3941" s="85" t="b">
        <f>IF(VLOOKUP(C3941,Projetos!A:L,12,false)=TRUE,TRUE,FALSE)</f>
        <v>1</v>
      </c>
      <c r="M3941" s="74">
        <v>52.1518759018759</v>
      </c>
      <c r="N3941" s="74">
        <f t="shared" si="1"/>
        <v>156.4556277</v>
      </c>
      <c r="O3941" s="74" t="b">
        <v>1</v>
      </c>
    </row>
    <row r="3942" hidden="1">
      <c r="A3942" s="82"/>
      <c r="B3942" s="65" t="s">
        <v>467</v>
      </c>
      <c r="C3942" s="65" t="s">
        <v>92</v>
      </c>
      <c r="D3942" s="65" t="str">
        <f>vlookup(C3942,'Classificação p pessoal'!F:G,2,false)</f>
        <v/>
      </c>
      <c r="E3942" s="65" t="s">
        <v>2855</v>
      </c>
      <c r="F3942" s="83">
        <v>0.34375</v>
      </c>
      <c r="G3942" s="83">
        <v>0.4166666666666667</v>
      </c>
      <c r="H3942" s="83">
        <v>0.07291666666666667</v>
      </c>
      <c r="I3942" s="84">
        <v>44256.0</v>
      </c>
      <c r="J3942" s="65" t="b">
        <v>1</v>
      </c>
      <c r="K3942" s="65"/>
      <c r="L3942" s="85" t="b">
        <f>IF(VLOOKUP(C3942,Projetos!A:L,12,false)=TRUE,TRUE,FALSE)</f>
        <v>1</v>
      </c>
      <c r="M3942" s="74">
        <v>52.1518759018759</v>
      </c>
      <c r="N3942" s="74">
        <f t="shared" si="1"/>
        <v>91.26578283</v>
      </c>
      <c r="O3942" s="74" t="b">
        <v>1</v>
      </c>
    </row>
    <row r="3943" hidden="1">
      <c r="A3943" s="82"/>
      <c r="B3943" s="65" t="s">
        <v>467</v>
      </c>
      <c r="C3943" s="65" t="s">
        <v>122</v>
      </c>
      <c r="D3943" s="65" t="str">
        <f>vlookup(C3943,'Classificação p pessoal'!F:G,2,false)</f>
        <v>NP</v>
      </c>
      <c r="E3943" s="65" t="s">
        <v>2856</v>
      </c>
      <c r="F3943" s="83">
        <v>0.34375</v>
      </c>
      <c r="G3943" s="83">
        <v>0.5</v>
      </c>
      <c r="H3943" s="83">
        <v>0.15625</v>
      </c>
      <c r="I3943" s="84">
        <v>44257.0</v>
      </c>
      <c r="J3943" s="65" t="b">
        <v>1</v>
      </c>
      <c r="K3943" s="65"/>
      <c r="L3943" s="85" t="b">
        <f>IF(VLOOKUP(C3943,Projetos!A:L,12,false)=TRUE,TRUE,FALSE)</f>
        <v>1</v>
      </c>
      <c r="M3943" s="74">
        <v>52.1518759018759</v>
      </c>
      <c r="N3943" s="74">
        <f t="shared" si="1"/>
        <v>195.5695346</v>
      </c>
      <c r="O3943" s="74" t="b">
        <v>1</v>
      </c>
    </row>
    <row r="3944" hidden="1">
      <c r="A3944" s="82"/>
      <c r="B3944" s="65" t="s">
        <v>467</v>
      </c>
      <c r="C3944" s="65" t="s">
        <v>92</v>
      </c>
      <c r="D3944" s="65" t="str">
        <f>vlookup(C3944,'Classificação p pessoal'!F:G,2,false)</f>
        <v/>
      </c>
      <c r="E3944" s="65" t="s">
        <v>2857</v>
      </c>
      <c r="F3944" s="83">
        <v>0.5833333333333334</v>
      </c>
      <c r="G3944" s="83">
        <v>0.6666666666666666</v>
      </c>
      <c r="H3944" s="83">
        <v>0.08333333333333333</v>
      </c>
      <c r="I3944" s="84">
        <v>44257.0</v>
      </c>
      <c r="J3944" s="65" t="b">
        <v>1</v>
      </c>
      <c r="K3944" s="65"/>
      <c r="L3944" s="85" t="b">
        <f>IF(VLOOKUP(C3944,Projetos!A:L,12,false)=TRUE,TRUE,FALSE)</f>
        <v>1</v>
      </c>
      <c r="M3944" s="74">
        <v>52.1518759018759</v>
      </c>
      <c r="N3944" s="74">
        <f t="shared" si="1"/>
        <v>104.3037518</v>
      </c>
      <c r="O3944" s="74" t="b">
        <v>1</v>
      </c>
    </row>
    <row r="3945" hidden="1">
      <c r="A3945" s="82"/>
      <c r="B3945" s="65" t="s">
        <v>467</v>
      </c>
      <c r="C3945" s="65" t="s">
        <v>88</v>
      </c>
      <c r="D3945" s="65" t="str">
        <f>vlookup(C3945,'Classificação p pessoal'!F:G,2,false)</f>
        <v>MProduto</v>
      </c>
      <c r="E3945" s="65" t="s">
        <v>2858</v>
      </c>
      <c r="F3945" s="83">
        <v>0.5833333333333334</v>
      </c>
      <c r="G3945" s="83">
        <v>0.6666666666666666</v>
      </c>
      <c r="H3945" s="83">
        <v>0.08333333333333333</v>
      </c>
      <c r="I3945" s="84">
        <v>44258.0</v>
      </c>
      <c r="J3945" s="65" t="b">
        <v>1</v>
      </c>
      <c r="K3945" s="65"/>
      <c r="L3945" s="85" t="b">
        <f>IF(VLOOKUP(C3945,Projetos!A:L,12,false)=TRUE,TRUE,FALSE)</f>
        <v>1</v>
      </c>
      <c r="M3945" s="74">
        <v>52.1518759018759</v>
      </c>
      <c r="N3945" s="74">
        <f t="shared" si="1"/>
        <v>104.3037518</v>
      </c>
      <c r="O3945" s="74" t="b">
        <v>1</v>
      </c>
    </row>
    <row r="3946" hidden="1">
      <c r="A3946" s="82"/>
      <c r="B3946" s="65" t="s">
        <v>467</v>
      </c>
      <c r="C3946" s="65" t="s">
        <v>122</v>
      </c>
      <c r="D3946" s="65" t="str">
        <f>vlookup(C3946,'Classificação p pessoal'!F:G,2,false)</f>
        <v>NP</v>
      </c>
      <c r="E3946" s="65" t="s">
        <v>2859</v>
      </c>
      <c r="F3946" s="83">
        <v>0.6666666666666666</v>
      </c>
      <c r="G3946" s="83">
        <v>0.75</v>
      </c>
      <c r="H3946" s="83">
        <v>0.08333333333333333</v>
      </c>
      <c r="I3946" s="84">
        <v>44258.0</v>
      </c>
      <c r="J3946" s="65" t="b">
        <v>1</v>
      </c>
      <c r="K3946" s="65"/>
      <c r="L3946" s="85" t="b">
        <f>IF(VLOOKUP(C3946,Projetos!A:L,12,false)=TRUE,TRUE,FALSE)</f>
        <v>1</v>
      </c>
      <c r="M3946" s="74">
        <v>52.1518759018759</v>
      </c>
      <c r="N3946" s="74">
        <f t="shared" si="1"/>
        <v>104.3037518</v>
      </c>
      <c r="O3946" s="74" t="b">
        <v>1</v>
      </c>
    </row>
    <row r="3947" hidden="1">
      <c r="A3947" s="82"/>
      <c r="B3947" s="65" t="s">
        <v>467</v>
      </c>
      <c r="C3947" s="65" t="s">
        <v>122</v>
      </c>
      <c r="D3947" s="65" t="str">
        <f>vlookup(C3947,'Classificação p pessoal'!F:G,2,false)</f>
        <v>NP</v>
      </c>
      <c r="E3947" s="65" t="s">
        <v>2860</v>
      </c>
      <c r="F3947" s="83">
        <v>0.3541666666666667</v>
      </c>
      <c r="G3947" s="83">
        <v>0.3958333333333333</v>
      </c>
      <c r="H3947" s="83">
        <v>0.041666666666666664</v>
      </c>
      <c r="I3947" s="84">
        <v>44260.0</v>
      </c>
      <c r="J3947" s="65" t="b">
        <v>1</v>
      </c>
      <c r="K3947" s="65"/>
      <c r="L3947" s="85" t="b">
        <f>IF(VLOOKUP(C3947,Projetos!A:L,12,false)=TRUE,TRUE,FALSE)</f>
        <v>1</v>
      </c>
      <c r="M3947" s="74">
        <v>52.1518759018759</v>
      </c>
      <c r="N3947" s="74">
        <f t="shared" si="1"/>
        <v>52.1518759</v>
      </c>
      <c r="O3947" s="74" t="b">
        <v>1</v>
      </c>
    </row>
    <row r="3948" hidden="1">
      <c r="A3948" s="82"/>
      <c r="B3948" s="65" t="s">
        <v>467</v>
      </c>
      <c r="C3948" s="65" t="s">
        <v>113</v>
      </c>
      <c r="D3948" s="65" t="str">
        <f>vlookup(C3948,'Classificação p pessoal'!F:G,2,false)</f>
        <v>NP</v>
      </c>
      <c r="E3948" s="65" t="s">
        <v>2861</v>
      </c>
      <c r="F3948" s="83">
        <v>0.4375</v>
      </c>
      <c r="G3948" s="83">
        <v>0.4791666666666667</v>
      </c>
      <c r="H3948" s="83">
        <v>0.041666666666666664</v>
      </c>
      <c r="I3948" s="84">
        <v>44260.0</v>
      </c>
      <c r="J3948" s="65" t="b">
        <v>1</v>
      </c>
      <c r="K3948" s="65"/>
      <c r="L3948" s="85" t="b">
        <f>IF(VLOOKUP(C3948,Projetos!A:L,12,false)=TRUE,TRUE,FALSE)</f>
        <v>1</v>
      </c>
      <c r="M3948" s="74">
        <v>52.1518759018759</v>
      </c>
      <c r="N3948" s="74">
        <f t="shared" si="1"/>
        <v>52.1518759</v>
      </c>
      <c r="O3948" s="74" t="b">
        <v>1</v>
      </c>
    </row>
    <row r="3949" hidden="1">
      <c r="A3949" s="82"/>
      <c r="B3949" s="65" t="s">
        <v>467</v>
      </c>
      <c r="C3949" s="65" t="s">
        <v>113</v>
      </c>
      <c r="D3949" s="65" t="str">
        <f>vlookup(C3949,'Classificação p pessoal'!F:G,2,false)</f>
        <v>NP</v>
      </c>
      <c r="E3949" s="65" t="s">
        <v>2862</v>
      </c>
      <c r="F3949" s="83">
        <v>0.5833333333333334</v>
      </c>
      <c r="G3949" s="83">
        <v>0.6666666666666666</v>
      </c>
      <c r="H3949" s="83">
        <v>0.08333333333333333</v>
      </c>
      <c r="I3949" s="84">
        <v>44260.0</v>
      </c>
      <c r="J3949" s="65" t="b">
        <v>1</v>
      </c>
      <c r="K3949" s="65"/>
      <c r="L3949" s="85" t="b">
        <f>IF(VLOOKUP(C3949,Projetos!A:L,12,false)=TRUE,TRUE,FALSE)</f>
        <v>1</v>
      </c>
      <c r="M3949" s="74">
        <v>52.1518759018759</v>
      </c>
      <c r="N3949" s="74">
        <f t="shared" si="1"/>
        <v>104.3037518</v>
      </c>
      <c r="O3949" s="74" t="b">
        <v>1</v>
      </c>
    </row>
    <row r="3950" hidden="1">
      <c r="A3950" s="82"/>
      <c r="B3950" s="65" t="s">
        <v>467</v>
      </c>
      <c r="C3950" s="65" t="s">
        <v>92</v>
      </c>
      <c r="D3950" s="65" t="str">
        <f>vlookup(C3950,'Classificação p pessoal'!F:G,2,false)</f>
        <v/>
      </c>
      <c r="E3950" s="65" t="s">
        <v>2863</v>
      </c>
      <c r="F3950" s="83">
        <v>0.6736111111111112</v>
      </c>
      <c r="G3950" s="83">
        <v>0.7083333333333334</v>
      </c>
      <c r="H3950" s="83">
        <v>0.034722222222222224</v>
      </c>
      <c r="I3950" s="84">
        <v>44260.0</v>
      </c>
      <c r="J3950" s="65" t="b">
        <v>1</v>
      </c>
      <c r="K3950" s="65"/>
      <c r="L3950" s="85" t="b">
        <f>IF(VLOOKUP(C3950,Projetos!A:L,12,false)=TRUE,TRUE,FALSE)</f>
        <v>1</v>
      </c>
      <c r="M3950" s="74">
        <v>52.1518759018759</v>
      </c>
      <c r="N3950" s="74">
        <f t="shared" si="1"/>
        <v>43.45989658</v>
      </c>
      <c r="O3950" s="74" t="b">
        <v>1</v>
      </c>
    </row>
    <row r="3951" hidden="1">
      <c r="A3951" s="82"/>
      <c r="B3951" s="65" t="s">
        <v>467</v>
      </c>
      <c r="C3951" s="65" t="s">
        <v>88</v>
      </c>
      <c r="D3951" s="65" t="str">
        <f>vlookup(C3951,'Classificação p pessoal'!F:G,2,false)</f>
        <v>MProduto</v>
      </c>
      <c r="E3951" s="65" t="s">
        <v>2864</v>
      </c>
      <c r="F3951" s="83">
        <v>0.3541666666666667</v>
      </c>
      <c r="G3951" s="83">
        <v>0.4166666666666667</v>
      </c>
      <c r="H3951" s="83">
        <v>0.0625</v>
      </c>
      <c r="I3951" s="84">
        <v>44263.0</v>
      </c>
      <c r="J3951" s="65" t="b">
        <v>1</v>
      </c>
      <c r="K3951" s="65"/>
      <c r="L3951" s="85" t="b">
        <f>IF(VLOOKUP(C3951,Projetos!A:L,12,false)=TRUE,TRUE,FALSE)</f>
        <v>1</v>
      </c>
      <c r="M3951" s="74">
        <v>52.1518759018759</v>
      </c>
      <c r="N3951" s="74">
        <f t="shared" si="1"/>
        <v>78.22781385</v>
      </c>
      <c r="O3951" s="74" t="b">
        <v>1</v>
      </c>
    </row>
    <row r="3952" hidden="1">
      <c r="A3952" s="82"/>
      <c r="B3952" s="65" t="s">
        <v>467</v>
      </c>
      <c r="C3952" s="65" t="s">
        <v>117</v>
      </c>
      <c r="D3952" s="65" t="str">
        <f>vlookup(C3952,'Classificação p pessoal'!F:G,2,false)</f>
        <v>NP</v>
      </c>
      <c r="E3952" s="65" t="s">
        <v>2865</v>
      </c>
      <c r="F3952" s="83">
        <v>0.4166666666666667</v>
      </c>
      <c r="G3952" s="83">
        <v>0.4583333333333333</v>
      </c>
      <c r="H3952" s="83">
        <v>0.041666666666666664</v>
      </c>
      <c r="I3952" s="84">
        <v>44263.0</v>
      </c>
      <c r="J3952" s="65" t="b">
        <v>1</v>
      </c>
      <c r="K3952" s="65"/>
      <c r="L3952" s="85" t="b">
        <f>IF(VLOOKUP(C3952,Projetos!A:L,12,false)=TRUE,TRUE,FALSE)</f>
        <v>1</v>
      </c>
      <c r="M3952" s="74">
        <v>52.1518759018759</v>
      </c>
      <c r="N3952" s="74">
        <f t="shared" si="1"/>
        <v>52.1518759</v>
      </c>
      <c r="O3952" s="74" t="b">
        <v>1</v>
      </c>
    </row>
    <row r="3953" hidden="1">
      <c r="A3953" s="82"/>
      <c r="B3953" s="65" t="s">
        <v>467</v>
      </c>
      <c r="C3953" s="65" t="s">
        <v>92</v>
      </c>
      <c r="D3953" s="65" t="str">
        <f>vlookup(C3953,'Classificação p pessoal'!F:G,2,false)</f>
        <v/>
      </c>
      <c r="E3953" s="65" t="s">
        <v>2866</v>
      </c>
      <c r="F3953" s="83">
        <v>0.5833333333333334</v>
      </c>
      <c r="G3953" s="83">
        <v>0.625</v>
      </c>
      <c r="H3953" s="83">
        <v>0.041666666666666664</v>
      </c>
      <c r="I3953" s="84">
        <v>44263.0</v>
      </c>
      <c r="J3953" s="65" t="b">
        <v>1</v>
      </c>
      <c r="K3953" s="65"/>
      <c r="L3953" s="85" t="b">
        <f>IF(VLOOKUP(C3953,Projetos!A:L,12,false)=TRUE,TRUE,FALSE)</f>
        <v>1</v>
      </c>
      <c r="M3953" s="74">
        <v>52.1518759018759</v>
      </c>
      <c r="N3953" s="74">
        <f t="shared" si="1"/>
        <v>52.1518759</v>
      </c>
      <c r="O3953" s="74" t="b">
        <v>1</v>
      </c>
    </row>
    <row r="3954" hidden="1">
      <c r="A3954" s="82"/>
      <c r="B3954" s="65" t="s">
        <v>467</v>
      </c>
      <c r="C3954" s="65" t="s">
        <v>92</v>
      </c>
      <c r="D3954" s="65" t="str">
        <f>vlookup(C3954,'Classificação p pessoal'!F:G,2,false)</f>
        <v/>
      </c>
      <c r="E3954" s="65" t="s">
        <v>2867</v>
      </c>
      <c r="F3954" s="83">
        <v>0.6666666666666666</v>
      </c>
      <c r="G3954" s="83">
        <v>0.6875</v>
      </c>
      <c r="H3954" s="83">
        <v>0.020833333333333332</v>
      </c>
      <c r="I3954" s="84">
        <v>44263.0</v>
      </c>
      <c r="J3954" s="65" t="b">
        <v>1</v>
      </c>
      <c r="K3954" s="65"/>
      <c r="L3954" s="85" t="b">
        <f>IF(VLOOKUP(C3954,Projetos!A:L,12,false)=TRUE,TRUE,FALSE)</f>
        <v>1</v>
      </c>
      <c r="M3954" s="74">
        <v>52.1518759018759</v>
      </c>
      <c r="N3954" s="74">
        <f t="shared" si="1"/>
        <v>26.07593795</v>
      </c>
      <c r="O3954" s="74" t="b">
        <v>1</v>
      </c>
    </row>
    <row r="3955" hidden="1">
      <c r="A3955" s="82"/>
      <c r="B3955" s="65" t="s">
        <v>467</v>
      </c>
      <c r="C3955" s="65" t="s">
        <v>113</v>
      </c>
      <c r="D3955" s="65" t="str">
        <f>vlookup(C3955,'Classificação p pessoal'!F:G,2,false)</f>
        <v>NP</v>
      </c>
      <c r="E3955" s="65" t="s">
        <v>2868</v>
      </c>
      <c r="F3955" s="83">
        <v>0.7083333333333334</v>
      </c>
      <c r="G3955" s="83">
        <v>0.75</v>
      </c>
      <c r="H3955" s="83">
        <v>0.041666666666666664</v>
      </c>
      <c r="I3955" s="84">
        <v>44263.0</v>
      </c>
      <c r="J3955" s="65" t="b">
        <v>1</v>
      </c>
      <c r="K3955" s="65"/>
      <c r="L3955" s="85" t="b">
        <f>IF(VLOOKUP(C3955,Projetos!A:L,12,false)=TRUE,TRUE,FALSE)</f>
        <v>1</v>
      </c>
      <c r="M3955" s="74">
        <v>52.1518759018759</v>
      </c>
      <c r="N3955" s="74">
        <f t="shared" si="1"/>
        <v>52.1518759</v>
      </c>
      <c r="O3955" s="74" t="b">
        <v>1</v>
      </c>
    </row>
    <row r="3956" hidden="1">
      <c r="A3956" s="82"/>
      <c r="B3956" s="65" t="s">
        <v>467</v>
      </c>
      <c r="C3956" s="65" t="s">
        <v>118</v>
      </c>
      <c r="D3956" s="65" t="str">
        <f>vlookup(C3956,'Classificação p pessoal'!F:G,2,false)</f>
        <v>MProduto</v>
      </c>
      <c r="E3956" s="65" t="s">
        <v>2869</v>
      </c>
      <c r="F3956" s="83">
        <v>0.375</v>
      </c>
      <c r="G3956" s="83">
        <v>0.4375</v>
      </c>
      <c r="H3956" s="83">
        <v>0.0625</v>
      </c>
      <c r="I3956" s="84">
        <v>44264.0</v>
      </c>
      <c r="J3956" s="65" t="b">
        <v>1</v>
      </c>
      <c r="K3956" s="65"/>
      <c r="L3956" s="85" t="b">
        <f>IF(VLOOKUP(C3956,Projetos!A:L,12,false)=TRUE,TRUE,FALSE)</f>
        <v>1</v>
      </c>
      <c r="M3956" s="74">
        <v>52.1518759018759</v>
      </c>
      <c r="N3956" s="74">
        <f t="shared" si="1"/>
        <v>78.22781385</v>
      </c>
      <c r="O3956" s="74" t="b">
        <v>1</v>
      </c>
    </row>
    <row r="3957" hidden="1">
      <c r="A3957" s="82"/>
      <c r="B3957" s="65" t="s">
        <v>467</v>
      </c>
      <c r="C3957" s="65" t="s">
        <v>92</v>
      </c>
      <c r="D3957" s="65" t="str">
        <f>vlookup(C3957,'Classificação p pessoal'!F:G,2,false)</f>
        <v/>
      </c>
      <c r="E3957" s="65" t="s">
        <v>2870</v>
      </c>
      <c r="F3957" s="83">
        <v>0.4375</v>
      </c>
      <c r="G3957" s="83">
        <v>0.5208333333333334</v>
      </c>
      <c r="H3957" s="83">
        <v>0.08333333333333333</v>
      </c>
      <c r="I3957" s="84">
        <v>44264.0</v>
      </c>
      <c r="J3957" s="65" t="b">
        <v>1</v>
      </c>
      <c r="K3957" s="65"/>
      <c r="L3957" s="85" t="b">
        <f>IF(VLOOKUP(C3957,Projetos!A:L,12,false)=TRUE,TRUE,FALSE)</f>
        <v>1</v>
      </c>
      <c r="M3957" s="74">
        <v>52.1518759018759</v>
      </c>
      <c r="N3957" s="74">
        <f t="shared" si="1"/>
        <v>104.3037518</v>
      </c>
      <c r="O3957" s="74" t="b">
        <v>1</v>
      </c>
    </row>
    <row r="3958" hidden="1">
      <c r="A3958" s="82"/>
      <c r="B3958" s="65" t="s">
        <v>467</v>
      </c>
      <c r="C3958" s="65" t="s">
        <v>113</v>
      </c>
      <c r="D3958" s="65" t="str">
        <f>vlookup(C3958,'Classificação p pessoal'!F:G,2,false)</f>
        <v>NP</v>
      </c>
      <c r="E3958" s="65" t="s">
        <v>2871</v>
      </c>
      <c r="F3958" s="83">
        <v>0.6666666666666666</v>
      </c>
      <c r="G3958" s="83">
        <v>0.7083333333333334</v>
      </c>
      <c r="H3958" s="83">
        <v>0.041666666666666664</v>
      </c>
      <c r="I3958" s="84">
        <v>44264.0</v>
      </c>
      <c r="J3958" s="65" t="b">
        <v>1</v>
      </c>
      <c r="K3958" s="65"/>
      <c r="L3958" s="85" t="b">
        <f>IF(VLOOKUP(C3958,Projetos!A:L,12,false)=TRUE,TRUE,FALSE)</f>
        <v>1</v>
      </c>
      <c r="M3958" s="74">
        <v>52.1518759018759</v>
      </c>
      <c r="N3958" s="74">
        <f t="shared" si="1"/>
        <v>52.1518759</v>
      </c>
      <c r="O3958" s="74" t="b">
        <v>1</v>
      </c>
    </row>
    <row r="3959" hidden="1">
      <c r="A3959" s="82"/>
      <c r="B3959" s="65" t="s">
        <v>467</v>
      </c>
      <c r="C3959" s="65" t="s">
        <v>92</v>
      </c>
      <c r="D3959" s="65" t="str">
        <f>vlookup(C3959,'Classificação p pessoal'!F:G,2,false)</f>
        <v/>
      </c>
      <c r="E3959" s="65" t="s">
        <v>2872</v>
      </c>
      <c r="F3959" s="83">
        <v>0.5833333333333334</v>
      </c>
      <c r="G3959" s="83">
        <v>0.6041666666666666</v>
      </c>
      <c r="H3959" s="83">
        <v>0.020833333333333332</v>
      </c>
      <c r="I3959" s="84">
        <v>44264.0</v>
      </c>
      <c r="J3959" s="65" t="b">
        <v>1</v>
      </c>
      <c r="K3959" s="65"/>
      <c r="L3959" s="85" t="b">
        <f>IF(VLOOKUP(C3959,Projetos!A:L,12,false)=TRUE,TRUE,FALSE)</f>
        <v>1</v>
      </c>
      <c r="M3959" s="74">
        <v>52.1518759018759</v>
      </c>
      <c r="N3959" s="74">
        <f t="shared" si="1"/>
        <v>26.07593795</v>
      </c>
      <c r="O3959" s="74" t="b">
        <v>1</v>
      </c>
    </row>
    <row r="3960" hidden="1">
      <c r="A3960" s="82"/>
      <c r="B3960" s="65" t="s">
        <v>467</v>
      </c>
      <c r="C3960" s="65" t="s">
        <v>88</v>
      </c>
      <c r="D3960" s="65" t="str">
        <f>vlookup(C3960,'Classificação p pessoal'!F:G,2,false)</f>
        <v>MProduto</v>
      </c>
      <c r="E3960" s="65" t="s">
        <v>2873</v>
      </c>
      <c r="F3960" s="83">
        <v>0.3541666666666667</v>
      </c>
      <c r="G3960" s="83">
        <v>0.3958333333333333</v>
      </c>
      <c r="H3960" s="83">
        <v>0.041666666666666664</v>
      </c>
      <c r="I3960" s="84">
        <v>44266.0</v>
      </c>
      <c r="J3960" s="65" t="b">
        <v>1</v>
      </c>
      <c r="K3960" s="65"/>
      <c r="L3960" s="85" t="b">
        <f>IF(VLOOKUP(C3960,Projetos!A:L,12,false)=TRUE,TRUE,FALSE)</f>
        <v>1</v>
      </c>
      <c r="M3960" s="74">
        <v>52.1518759018759</v>
      </c>
      <c r="N3960" s="74">
        <f t="shared" si="1"/>
        <v>52.1518759</v>
      </c>
      <c r="O3960" s="74" t="b">
        <v>1</v>
      </c>
    </row>
    <row r="3961" hidden="1">
      <c r="A3961" s="82"/>
      <c r="B3961" s="65" t="s">
        <v>467</v>
      </c>
      <c r="C3961" s="65" t="s">
        <v>122</v>
      </c>
      <c r="D3961" s="65" t="str">
        <f>vlookup(C3961,'Classificação p pessoal'!F:G,2,false)</f>
        <v>NP</v>
      </c>
      <c r="E3961" s="65" t="s">
        <v>2874</v>
      </c>
      <c r="F3961" s="83">
        <v>0.4375</v>
      </c>
      <c r="G3961" s="83">
        <v>0.4791666666666667</v>
      </c>
      <c r="H3961" s="83">
        <v>0.041666666666666664</v>
      </c>
      <c r="I3961" s="84">
        <v>44266.0</v>
      </c>
      <c r="J3961" s="65" t="b">
        <v>1</v>
      </c>
      <c r="K3961" s="65"/>
      <c r="L3961" s="85" t="b">
        <f>IF(VLOOKUP(C3961,Projetos!A:L,12,false)=TRUE,TRUE,FALSE)</f>
        <v>1</v>
      </c>
      <c r="M3961" s="74">
        <v>52.1518759018759</v>
      </c>
      <c r="N3961" s="74">
        <f t="shared" si="1"/>
        <v>52.1518759</v>
      </c>
      <c r="O3961" s="74" t="b">
        <v>1</v>
      </c>
    </row>
    <row r="3962" hidden="1">
      <c r="A3962" s="82"/>
      <c r="B3962" s="65" t="s">
        <v>467</v>
      </c>
      <c r="C3962" s="65" t="s">
        <v>113</v>
      </c>
      <c r="D3962" s="65" t="str">
        <f>vlookup(C3962,'Classificação p pessoal'!F:G,2,false)</f>
        <v>NP</v>
      </c>
      <c r="E3962" s="65" t="s">
        <v>2875</v>
      </c>
      <c r="F3962" s="83">
        <v>0.7083333333333334</v>
      </c>
      <c r="G3962" s="83">
        <v>0.75</v>
      </c>
      <c r="H3962" s="83">
        <v>0.041666666666666664</v>
      </c>
      <c r="I3962" s="84">
        <v>44266.0</v>
      </c>
      <c r="J3962" s="65" t="b">
        <v>1</v>
      </c>
      <c r="K3962" s="65"/>
      <c r="L3962" s="85" t="b">
        <f>IF(VLOOKUP(C3962,Projetos!A:L,12,false)=TRUE,TRUE,FALSE)</f>
        <v>1</v>
      </c>
      <c r="M3962" s="74">
        <v>52.1518759018759</v>
      </c>
      <c r="N3962" s="74">
        <f t="shared" si="1"/>
        <v>52.1518759</v>
      </c>
      <c r="O3962" s="74" t="b">
        <v>1</v>
      </c>
    </row>
    <row r="3963" hidden="1">
      <c r="A3963" s="82"/>
      <c r="B3963" s="65" t="s">
        <v>467</v>
      </c>
      <c r="C3963" s="65" t="s">
        <v>122</v>
      </c>
      <c r="D3963" s="65" t="str">
        <f>vlookup(C3963,'Classificação p pessoal'!F:G,2,false)</f>
        <v>NP</v>
      </c>
      <c r="E3963" s="65" t="s">
        <v>2876</v>
      </c>
      <c r="F3963" s="83">
        <v>0.3541666666666667</v>
      </c>
      <c r="G3963" s="83">
        <v>0.4375</v>
      </c>
      <c r="H3963" s="83">
        <v>0.08333333333333333</v>
      </c>
      <c r="I3963" s="84">
        <v>44267.0</v>
      </c>
      <c r="J3963" s="65" t="b">
        <v>1</v>
      </c>
      <c r="K3963" s="65"/>
      <c r="L3963" s="85" t="b">
        <f>IF(VLOOKUP(C3963,Projetos!A:L,12,false)=TRUE,TRUE,FALSE)</f>
        <v>1</v>
      </c>
      <c r="M3963" s="74">
        <v>52.1518759018759</v>
      </c>
      <c r="N3963" s="74">
        <f t="shared" si="1"/>
        <v>104.3037518</v>
      </c>
      <c r="O3963" s="74" t="b">
        <v>1</v>
      </c>
    </row>
    <row r="3964" hidden="1">
      <c r="A3964" s="82"/>
      <c r="B3964" s="65" t="s">
        <v>467</v>
      </c>
      <c r="C3964" s="65" t="s">
        <v>92</v>
      </c>
      <c r="D3964" s="65"/>
      <c r="E3964" s="65" t="s">
        <v>2877</v>
      </c>
      <c r="F3964" s="83">
        <v>0.4375</v>
      </c>
      <c r="G3964" s="83">
        <v>0.5</v>
      </c>
      <c r="H3964" s="83">
        <v>0.0625</v>
      </c>
      <c r="I3964" s="84">
        <v>44267.0</v>
      </c>
      <c r="J3964" s="65" t="b">
        <v>0</v>
      </c>
      <c r="K3964" s="65" t="s">
        <v>150</v>
      </c>
      <c r="L3964" s="85" t="b">
        <f>IF(VLOOKUP(C3964,Projetos!A:L,12,false)=TRUE,TRUE,FALSE)</f>
        <v>1</v>
      </c>
      <c r="M3964" s="74">
        <v>52.1518759018759</v>
      </c>
      <c r="N3964" s="74">
        <f t="shared" si="1"/>
        <v>0</v>
      </c>
      <c r="O3964" s="74" t="b">
        <v>1</v>
      </c>
    </row>
    <row r="3965" hidden="1">
      <c r="A3965" s="82"/>
      <c r="B3965" s="65" t="s">
        <v>467</v>
      </c>
      <c r="C3965" s="65" t="s">
        <v>92</v>
      </c>
      <c r="D3965" s="65" t="str">
        <f>vlookup(C3965,'Classificação p pessoal'!F:G,2,false)</f>
        <v/>
      </c>
      <c r="E3965" s="65" t="s">
        <v>2878</v>
      </c>
      <c r="F3965" s="83">
        <v>0.5833333333333334</v>
      </c>
      <c r="G3965" s="83">
        <v>0.625</v>
      </c>
      <c r="H3965" s="83">
        <v>0.041666666666666664</v>
      </c>
      <c r="I3965" s="84">
        <v>44267.0</v>
      </c>
      <c r="J3965" s="65" t="b">
        <v>1</v>
      </c>
      <c r="K3965" s="65"/>
      <c r="L3965" s="85" t="b">
        <f>IF(VLOOKUP(C3965,Projetos!A:L,12,false)=TRUE,TRUE,FALSE)</f>
        <v>1</v>
      </c>
      <c r="M3965" s="74">
        <v>52.1518759018759</v>
      </c>
      <c r="N3965" s="74">
        <f t="shared" si="1"/>
        <v>52.1518759</v>
      </c>
      <c r="O3965" s="74" t="b">
        <v>1</v>
      </c>
    </row>
    <row r="3966" hidden="1">
      <c r="A3966" s="82"/>
      <c r="B3966" s="65" t="s">
        <v>467</v>
      </c>
      <c r="C3966" s="65" t="s">
        <v>92</v>
      </c>
      <c r="D3966" s="65" t="str">
        <f>vlookup(C3966,'Classificação p pessoal'!F:G,2,false)</f>
        <v/>
      </c>
      <c r="E3966" s="65" t="s">
        <v>2879</v>
      </c>
      <c r="F3966" s="83">
        <v>0.6458333333333334</v>
      </c>
      <c r="G3966" s="83">
        <v>0.7083333333333334</v>
      </c>
      <c r="H3966" s="83">
        <v>0.0625</v>
      </c>
      <c r="I3966" s="84">
        <v>44267.0</v>
      </c>
      <c r="J3966" s="65" t="b">
        <v>1</v>
      </c>
      <c r="K3966" s="65"/>
      <c r="L3966" s="85" t="b">
        <f>IF(VLOOKUP(C3966,Projetos!A:L,12,false)=TRUE,TRUE,FALSE)</f>
        <v>1</v>
      </c>
      <c r="M3966" s="74">
        <v>52.1518759018759</v>
      </c>
      <c r="N3966" s="74">
        <f t="shared" si="1"/>
        <v>78.22781385</v>
      </c>
      <c r="O3966" s="74" t="b">
        <v>1</v>
      </c>
    </row>
    <row r="3967" hidden="1">
      <c r="A3967" s="82"/>
      <c r="B3967" s="65" t="s">
        <v>467</v>
      </c>
      <c r="C3967" s="65" t="s">
        <v>92</v>
      </c>
      <c r="D3967" s="65" t="str">
        <f>vlookup(C3967,'Classificação p pessoal'!F:G,2,false)</f>
        <v/>
      </c>
      <c r="E3967" s="65" t="s">
        <v>2880</v>
      </c>
      <c r="F3967" s="83">
        <v>0.3541666666666667</v>
      </c>
      <c r="G3967" s="83">
        <v>0.3958333333333333</v>
      </c>
      <c r="H3967" s="83">
        <v>0.041666666666666664</v>
      </c>
      <c r="I3967" s="84">
        <v>44270.0</v>
      </c>
      <c r="J3967" s="65" t="b">
        <v>1</v>
      </c>
      <c r="K3967" s="65"/>
      <c r="L3967" s="85" t="b">
        <f>IF(VLOOKUP(C3967,Projetos!A:L,12,false)=TRUE,TRUE,FALSE)</f>
        <v>1</v>
      </c>
      <c r="M3967" s="74">
        <v>52.1518759018759</v>
      </c>
      <c r="N3967" s="74">
        <f t="shared" si="1"/>
        <v>52.1518759</v>
      </c>
      <c r="O3967" s="74" t="b">
        <v>1</v>
      </c>
    </row>
    <row r="3968" hidden="1">
      <c r="A3968" s="82"/>
      <c r="B3968" s="65" t="s">
        <v>467</v>
      </c>
      <c r="C3968" s="65" t="s">
        <v>92</v>
      </c>
      <c r="D3968" s="65" t="str">
        <f>vlookup(C3968,'Classificação p pessoal'!F:G,2,false)</f>
        <v/>
      </c>
      <c r="E3968" s="65" t="s">
        <v>2881</v>
      </c>
      <c r="F3968" s="83">
        <v>0.4791666666666667</v>
      </c>
      <c r="G3968" s="83">
        <v>0.5208333333333334</v>
      </c>
      <c r="H3968" s="83">
        <v>0.041666666666666664</v>
      </c>
      <c r="I3968" s="84">
        <v>44270.0</v>
      </c>
      <c r="J3968" s="65" t="b">
        <v>1</v>
      </c>
      <c r="K3968" s="65"/>
      <c r="L3968" s="85" t="b">
        <f>IF(VLOOKUP(C3968,Projetos!A:L,12,false)=TRUE,TRUE,FALSE)</f>
        <v>1</v>
      </c>
      <c r="M3968" s="74">
        <v>52.1518759018759</v>
      </c>
      <c r="N3968" s="74">
        <f t="shared" si="1"/>
        <v>52.1518759</v>
      </c>
      <c r="O3968" s="74" t="b">
        <v>1</v>
      </c>
    </row>
    <row r="3969" hidden="1">
      <c r="A3969" s="82"/>
      <c r="B3969" s="65" t="s">
        <v>467</v>
      </c>
      <c r="C3969" s="65" t="s">
        <v>88</v>
      </c>
      <c r="D3969" s="65" t="str">
        <f>vlookup(C3969,'Classificação p pessoal'!F:G,2,false)</f>
        <v>MProduto</v>
      </c>
      <c r="E3969" s="65" t="s">
        <v>2882</v>
      </c>
      <c r="F3969" s="83">
        <v>0.375</v>
      </c>
      <c r="G3969" s="83">
        <v>0.4583333333333333</v>
      </c>
      <c r="H3969" s="83">
        <v>0.08333333333333333</v>
      </c>
      <c r="I3969" s="84">
        <v>44271.0</v>
      </c>
      <c r="J3969" s="65" t="b">
        <v>1</v>
      </c>
      <c r="K3969" s="65"/>
      <c r="L3969" s="85" t="b">
        <f>IF(VLOOKUP(C3969,Projetos!A:L,12,false)=TRUE,TRUE,FALSE)</f>
        <v>1</v>
      </c>
      <c r="M3969" s="74">
        <v>52.1518759018759</v>
      </c>
      <c r="N3969" s="74">
        <f t="shared" si="1"/>
        <v>104.3037518</v>
      </c>
      <c r="O3969" s="74" t="b">
        <v>1</v>
      </c>
    </row>
    <row r="3970" hidden="1">
      <c r="A3970" s="82"/>
      <c r="B3970" s="65" t="s">
        <v>467</v>
      </c>
      <c r="C3970" s="65" t="s">
        <v>92</v>
      </c>
      <c r="D3970" s="65" t="str">
        <f>vlookup(C3970,'Classificação p pessoal'!F:G,2,false)</f>
        <v/>
      </c>
      <c r="E3970" s="65" t="s">
        <v>2883</v>
      </c>
      <c r="F3970" s="83">
        <v>0.5833333333333334</v>
      </c>
      <c r="G3970" s="83">
        <v>0.6458333333333334</v>
      </c>
      <c r="H3970" s="83">
        <v>0.0625</v>
      </c>
      <c r="I3970" s="84">
        <v>44271.0</v>
      </c>
      <c r="J3970" s="65" t="b">
        <v>1</v>
      </c>
      <c r="K3970" s="65"/>
      <c r="L3970" s="85" t="b">
        <f>IF(VLOOKUP(C3970,Projetos!A:L,12,false)=TRUE,TRUE,FALSE)</f>
        <v>1</v>
      </c>
      <c r="M3970" s="74">
        <v>52.1518759018759</v>
      </c>
      <c r="N3970" s="74">
        <f t="shared" si="1"/>
        <v>78.22781385</v>
      </c>
      <c r="O3970" s="74" t="b">
        <v>1</v>
      </c>
    </row>
    <row r="3971" hidden="1">
      <c r="A3971" s="82"/>
      <c r="B3971" s="65" t="s">
        <v>467</v>
      </c>
      <c r="C3971" s="65" t="s">
        <v>113</v>
      </c>
      <c r="D3971" s="65" t="str">
        <f>vlookup(C3971,'Classificação p pessoal'!F:G,2,false)</f>
        <v>NP</v>
      </c>
      <c r="E3971" s="65" t="s">
        <v>2884</v>
      </c>
      <c r="F3971" s="83">
        <v>0.6666666666666666</v>
      </c>
      <c r="G3971" s="83">
        <v>0.7083333333333334</v>
      </c>
      <c r="H3971" s="83">
        <v>0.041666666666666664</v>
      </c>
      <c r="I3971" s="84">
        <v>44271.0</v>
      </c>
      <c r="J3971" s="65" t="b">
        <v>1</v>
      </c>
      <c r="K3971" s="65"/>
      <c r="L3971" s="85" t="b">
        <f>IF(VLOOKUP(C3971,Projetos!A:L,12,false)=TRUE,TRUE,FALSE)</f>
        <v>1</v>
      </c>
      <c r="M3971" s="74">
        <v>52.1518759018759</v>
      </c>
      <c r="N3971" s="74">
        <f t="shared" si="1"/>
        <v>52.1518759</v>
      </c>
      <c r="O3971" s="74" t="b">
        <v>1</v>
      </c>
    </row>
    <row r="3972" hidden="1">
      <c r="A3972" s="82"/>
      <c r="B3972" s="65" t="s">
        <v>467</v>
      </c>
      <c r="C3972" s="65" t="s">
        <v>88</v>
      </c>
      <c r="D3972" s="65" t="str">
        <f>vlookup(C3972,'Classificação p pessoal'!F:G,2,false)</f>
        <v>MProduto</v>
      </c>
      <c r="E3972" s="65" t="s">
        <v>2885</v>
      </c>
      <c r="F3972" s="83">
        <v>0.34375</v>
      </c>
      <c r="G3972" s="83">
        <v>0.3854166666666667</v>
      </c>
      <c r="H3972" s="83">
        <v>0.041666666666666664</v>
      </c>
      <c r="I3972" s="84">
        <v>44272.0</v>
      </c>
      <c r="J3972" s="65" t="b">
        <v>1</v>
      </c>
      <c r="K3972" s="65"/>
      <c r="L3972" s="85" t="b">
        <f>IF(VLOOKUP(C3972,Projetos!A:L,12,false)=TRUE,TRUE,FALSE)</f>
        <v>1</v>
      </c>
      <c r="M3972" s="74">
        <v>52.1518759018759</v>
      </c>
      <c r="N3972" s="74">
        <f t="shared" si="1"/>
        <v>52.1518759</v>
      </c>
      <c r="O3972" s="74" t="b">
        <v>1</v>
      </c>
    </row>
    <row r="3973" hidden="1">
      <c r="A3973" s="82"/>
      <c r="B3973" s="65" t="s">
        <v>467</v>
      </c>
      <c r="C3973" s="65" t="s">
        <v>92</v>
      </c>
      <c r="D3973" s="65" t="str">
        <f>vlookup(C3973,'Classificação p pessoal'!F:G,2,false)</f>
        <v/>
      </c>
      <c r="E3973" s="65" t="s">
        <v>2886</v>
      </c>
      <c r="F3973" s="83">
        <v>0.6458333333333334</v>
      </c>
      <c r="G3973" s="83">
        <v>0.7083333333333334</v>
      </c>
      <c r="H3973" s="83">
        <v>0.0625</v>
      </c>
      <c r="I3973" s="84">
        <v>44270.0</v>
      </c>
      <c r="J3973" s="65" t="b">
        <v>1</v>
      </c>
      <c r="K3973" s="65"/>
      <c r="L3973" s="85" t="b">
        <f>IF(VLOOKUP(C3973,Projetos!A:L,12,false)=TRUE,TRUE,FALSE)</f>
        <v>1</v>
      </c>
      <c r="M3973" s="74">
        <v>52.1518759018759</v>
      </c>
      <c r="N3973" s="74">
        <f t="shared" si="1"/>
        <v>78.22781385</v>
      </c>
      <c r="O3973" s="74" t="b">
        <v>1</v>
      </c>
    </row>
    <row r="3974" hidden="1">
      <c r="A3974" s="82"/>
      <c r="B3974" s="65" t="s">
        <v>467</v>
      </c>
      <c r="C3974" s="65" t="s">
        <v>92</v>
      </c>
      <c r="D3974" s="65" t="str">
        <f>vlookup(C3974,'Classificação p pessoal'!F:G,2,false)</f>
        <v/>
      </c>
      <c r="E3974" s="65" t="s">
        <v>2887</v>
      </c>
      <c r="F3974" s="83">
        <v>0.4583333333333333</v>
      </c>
      <c r="G3974" s="83">
        <v>0.5</v>
      </c>
      <c r="H3974" s="83">
        <v>0.041666666666666664</v>
      </c>
      <c r="I3974" s="84">
        <v>44271.0</v>
      </c>
      <c r="J3974" s="65" t="b">
        <v>1</v>
      </c>
      <c r="K3974" s="65"/>
      <c r="L3974" s="85" t="b">
        <f>IF(VLOOKUP(C3974,Projetos!A:L,12,false)=TRUE,TRUE,FALSE)</f>
        <v>1</v>
      </c>
      <c r="M3974" s="74">
        <v>52.1518759018759</v>
      </c>
      <c r="N3974" s="74">
        <f t="shared" si="1"/>
        <v>52.1518759</v>
      </c>
      <c r="O3974" s="74" t="b">
        <v>1</v>
      </c>
    </row>
    <row r="3975" hidden="1">
      <c r="A3975" s="82"/>
      <c r="B3975" s="65" t="s">
        <v>467</v>
      </c>
      <c r="C3975" s="65" t="s">
        <v>92</v>
      </c>
      <c r="D3975" s="65" t="str">
        <f>vlookup(C3975,'Classificação p pessoal'!F:G,2,false)</f>
        <v/>
      </c>
      <c r="E3975" s="65" t="s">
        <v>2888</v>
      </c>
      <c r="F3975" s="83">
        <v>0.6666666666666666</v>
      </c>
      <c r="G3975" s="83">
        <v>0.75</v>
      </c>
      <c r="H3975" s="83">
        <v>0.08333333333333333</v>
      </c>
      <c r="I3975" s="84">
        <v>44272.0</v>
      </c>
      <c r="J3975" s="65" t="b">
        <v>1</v>
      </c>
      <c r="K3975" s="65"/>
      <c r="L3975" s="85" t="b">
        <f>IF(VLOOKUP(C3975,Projetos!A:L,12,false)=TRUE,TRUE,FALSE)</f>
        <v>1</v>
      </c>
      <c r="M3975" s="74">
        <v>52.1518759018759</v>
      </c>
      <c r="N3975" s="74">
        <f t="shared" si="1"/>
        <v>104.3037518</v>
      </c>
      <c r="O3975" s="74" t="b">
        <v>1</v>
      </c>
    </row>
    <row r="3976" hidden="1">
      <c r="A3976" s="82"/>
      <c r="B3976" s="65" t="s">
        <v>467</v>
      </c>
      <c r="C3976" s="65" t="s">
        <v>92</v>
      </c>
      <c r="D3976" s="65" t="str">
        <f>vlookup(C3976,'Classificação p pessoal'!F:G,2,false)</f>
        <v/>
      </c>
      <c r="E3976" s="65" t="s">
        <v>2889</v>
      </c>
      <c r="F3976" s="83">
        <v>0.4375</v>
      </c>
      <c r="G3976" s="83">
        <v>0.5</v>
      </c>
      <c r="H3976" s="83">
        <v>0.0625</v>
      </c>
      <c r="I3976" s="84">
        <v>44272.0</v>
      </c>
      <c r="J3976" s="65" t="b">
        <v>1</v>
      </c>
      <c r="K3976" s="65"/>
      <c r="L3976" s="85" t="b">
        <f>IF(VLOOKUP(C3976,Projetos!A:L,12,false)=TRUE,TRUE,FALSE)</f>
        <v>1</v>
      </c>
      <c r="M3976" s="74">
        <v>52.1518759018759</v>
      </c>
      <c r="N3976" s="74">
        <f t="shared" si="1"/>
        <v>78.22781385</v>
      </c>
      <c r="O3976" s="74" t="b">
        <v>1</v>
      </c>
    </row>
    <row r="3977" hidden="1">
      <c r="A3977" s="82"/>
      <c r="B3977" s="65" t="s">
        <v>467</v>
      </c>
      <c r="C3977" s="65" t="s">
        <v>88</v>
      </c>
      <c r="D3977" s="65" t="str">
        <f>vlookup(C3977,'Classificação p pessoal'!F:G,2,false)</f>
        <v>MProduto</v>
      </c>
      <c r="E3977" s="65" t="s">
        <v>2890</v>
      </c>
      <c r="F3977" s="83">
        <v>0.3541666666666667</v>
      </c>
      <c r="G3977" s="83">
        <v>0.3958333333333333</v>
      </c>
      <c r="H3977" s="83">
        <v>0.041666666666666664</v>
      </c>
      <c r="I3977" s="84">
        <v>44273.0</v>
      </c>
      <c r="J3977" s="65" t="b">
        <v>1</v>
      </c>
      <c r="K3977" s="65"/>
      <c r="L3977" s="85" t="b">
        <f>IF(VLOOKUP(C3977,Projetos!A:L,12,false)=TRUE,TRUE,FALSE)</f>
        <v>1</v>
      </c>
      <c r="M3977" s="74">
        <v>52.1518759018759</v>
      </c>
      <c r="N3977" s="74">
        <f t="shared" si="1"/>
        <v>52.1518759</v>
      </c>
      <c r="O3977" s="74" t="b">
        <v>1</v>
      </c>
    </row>
    <row r="3978" hidden="1">
      <c r="A3978" s="82"/>
      <c r="B3978" s="65" t="s">
        <v>467</v>
      </c>
      <c r="C3978" s="65" t="s">
        <v>130</v>
      </c>
      <c r="D3978" s="65" t="str">
        <f>vlookup(C3978,'Classificação p pessoal'!F:G,2,false)</f>
        <v>NP</v>
      </c>
      <c r="E3978" s="65" t="s">
        <v>2891</v>
      </c>
      <c r="F3978" s="83">
        <v>0.4166666666666667</v>
      </c>
      <c r="G3978" s="83">
        <v>0.6666666666666666</v>
      </c>
      <c r="H3978" s="83">
        <v>0.25</v>
      </c>
      <c r="I3978" s="84">
        <v>44273.0</v>
      </c>
      <c r="J3978" s="65" t="b">
        <v>1</v>
      </c>
      <c r="K3978" s="65"/>
      <c r="L3978" s="85" t="b">
        <f>IF(VLOOKUP(C3978,Projetos!A:L,12,false)=TRUE,TRUE,FALSE)</f>
        <v>1</v>
      </c>
      <c r="M3978" s="74">
        <v>52.1518759018759</v>
      </c>
      <c r="N3978" s="74">
        <f t="shared" si="1"/>
        <v>312.9112554</v>
      </c>
      <c r="O3978" s="74" t="b">
        <v>1</v>
      </c>
    </row>
    <row r="3979" hidden="1">
      <c r="A3979" s="82"/>
      <c r="B3979" s="65" t="s">
        <v>467</v>
      </c>
      <c r="C3979" s="65" t="s">
        <v>92</v>
      </c>
      <c r="D3979" s="65" t="str">
        <f>vlookup(C3979,'Classificação p pessoal'!F:G,2,false)</f>
        <v/>
      </c>
      <c r="E3979" s="65" t="s">
        <v>2892</v>
      </c>
      <c r="F3979" s="83">
        <v>0.5416666666666666</v>
      </c>
      <c r="G3979" s="83">
        <v>0.625</v>
      </c>
      <c r="H3979" s="83">
        <v>0.08333333333333333</v>
      </c>
      <c r="I3979" s="84">
        <v>44274.0</v>
      </c>
      <c r="J3979" s="65" t="b">
        <v>1</v>
      </c>
      <c r="K3979" s="65"/>
      <c r="L3979" s="85" t="b">
        <f>IF(VLOOKUP(C3979,Projetos!A:L,12,false)=TRUE,TRUE,FALSE)</f>
        <v>1</v>
      </c>
      <c r="M3979" s="74">
        <v>52.1518759018759</v>
      </c>
      <c r="N3979" s="74">
        <f t="shared" si="1"/>
        <v>104.3037518</v>
      </c>
      <c r="O3979" s="74" t="b">
        <v>1</v>
      </c>
    </row>
    <row r="3980" hidden="1">
      <c r="A3980" s="82"/>
      <c r="B3980" s="65" t="s">
        <v>467</v>
      </c>
      <c r="C3980" s="65" t="s">
        <v>113</v>
      </c>
      <c r="D3980" s="65" t="str">
        <f>vlookup(C3980,'Classificação p pessoal'!F:G,2,false)</f>
        <v>NP</v>
      </c>
      <c r="E3980" s="65" t="s">
        <v>2893</v>
      </c>
      <c r="F3980" s="83">
        <v>0.6458333333333334</v>
      </c>
      <c r="G3980" s="83">
        <v>0.6875</v>
      </c>
      <c r="H3980" s="83">
        <v>0.041666666666666664</v>
      </c>
      <c r="I3980" s="84">
        <v>44274.0</v>
      </c>
      <c r="J3980" s="65" t="b">
        <v>1</v>
      </c>
      <c r="K3980" s="65"/>
      <c r="L3980" s="85" t="b">
        <f>IF(VLOOKUP(C3980,Projetos!A:L,12,false)=TRUE,TRUE,FALSE)</f>
        <v>1</v>
      </c>
      <c r="M3980" s="74">
        <v>52.1518759018759</v>
      </c>
      <c r="N3980" s="74">
        <f t="shared" si="1"/>
        <v>52.1518759</v>
      </c>
      <c r="O3980" s="74" t="b">
        <v>1</v>
      </c>
    </row>
    <row r="3981" hidden="1">
      <c r="A3981" s="82"/>
      <c r="B3981" s="65" t="s">
        <v>467</v>
      </c>
      <c r="C3981" s="65" t="s">
        <v>92</v>
      </c>
      <c r="D3981" s="65" t="str">
        <f>vlookup(C3981,'Classificação p pessoal'!F:G,2,false)</f>
        <v/>
      </c>
      <c r="E3981" s="65" t="s">
        <v>2894</v>
      </c>
      <c r="F3981" s="83">
        <v>0.3541666666666667</v>
      </c>
      <c r="G3981" s="83">
        <v>0.4375</v>
      </c>
      <c r="H3981" s="83">
        <v>0.08333333333333333</v>
      </c>
      <c r="I3981" s="84">
        <v>44277.0</v>
      </c>
      <c r="J3981" s="65" t="b">
        <v>1</v>
      </c>
      <c r="K3981" s="65"/>
      <c r="L3981" s="85" t="b">
        <f>IF(VLOOKUP(C3981,Projetos!A:L,12,false)=TRUE,TRUE,FALSE)</f>
        <v>1</v>
      </c>
      <c r="M3981" s="74">
        <v>52.1518759018759</v>
      </c>
      <c r="N3981" s="74">
        <f t="shared" si="1"/>
        <v>104.3037518</v>
      </c>
      <c r="O3981" s="74" t="b">
        <v>1</v>
      </c>
    </row>
    <row r="3982" hidden="1">
      <c r="A3982" s="82"/>
      <c r="B3982" s="65" t="s">
        <v>467</v>
      </c>
      <c r="C3982" s="65" t="s">
        <v>92</v>
      </c>
      <c r="D3982" s="65" t="str">
        <f>vlookup(C3982,'Classificação p pessoal'!F:G,2,false)</f>
        <v/>
      </c>
      <c r="E3982" s="65" t="s">
        <v>2895</v>
      </c>
      <c r="F3982" s="83">
        <v>0.5833333333333334</v>
      </c>
      <c r="G3982" s="83">
        <v>0.6666666666666666</v>
      </c>
      <c r="H3982" s="83">
        <v>0.08333333333333333</v>
      </c>
      <c r="I3982" s="84">
        <v>44277.0</v>
      </c>
      <c r="J3982" s="65" t="b">
        <v>1</v>
      </c>
      <c r="K3982" s="65"/>
      <c r="L3982" s="85" t="b">
        <f>IF(VLOOKUP(C3982,Projetos!A:L,12,false)=TRUE,TRUE,FALSE)</f>
        <v>1</v>
      </c>
      <c r="M3982" s="74">
        <v>52.1518759018759</v>
      </c>
      <c r="N3982" s="74">
        <f t="shared" si="1"/>
        <v>104.3037518</v>
      </c>
      <c r="O3982" s="74" t="b">
        <v>1</v>
      </c>
    </row>
    <row r="3983" hidden="1">
      <c r="A3983" s="82"/>
      <c r="B3983" s="65" t="s">
        <v>467</v>
      </c>
      <c r="C3983" s="65" t="s">
        <v>122</v>
      </c>
      <c r="D3983" s="65" t="str">
        <f>vlookup(C3983,'Classificação p pessoal'!F:G,2,false)</f>
        <v>NP</v>
      </c>
      <c r="E3983" s="65" t="s">
        <v>2896</v>
      </c>
      <c r="F3983" s="83">
        <v>0.6666666666666666</v>
      </c>
      <c r="G3983" s="83">
        <v>0.7291666666666666</v>
      </c>
      <c r="H3983" s="83">
        <v>0.0625</v>
      </c>
      <c r="I3983" s="84">
        <v>44277.0</v>
      </c>
      <c r="J3983" s="65" t="b">
        <v>1</v>
      </c>
      <c r="K3983" s="65"/>
      <c r="L3983" s="85" t="b">
        <f>IF(VLOOKUP(C3983,Projetos!A:L,12,false)=TRUE,TRUE,FALSE)</f>
        <v>1</v>
      </c>
      <c r="M3983" s="74">
        <v>52.1518759018759</v>
      </c>
      <c r="N3983" s="74">
        <f t="shared" si="1"/>
        <v>78.22781385</v>
      </c>
      <c r="O3983" s="74" t="b">
        <v>1</v>
      </c>
    </row>
    <row r="3984" hidden="1">
      <c r="A3984" s="82"/>
      <c r="B3984" s="65" t="s">
        <v>467</v>
      </c>
      <c r="C3984" s="65" t="s">
        <v>92</v>
      </c>
      <c r="D3984" s="65" t="str">
        <f>vlookup(C3984,'Classificação p pessoal'!F:G,2,false)</f>
        <v/>
      </c>
      <c r="E3984" s="65" t="s">
        <v>2897</v>
      </c>
      <c r="F3984" s="83">
        <v>0.3541666666666667</v>
      </c>
      <c r="G3984" s="83">
        <v>0.5</v>
      </c>
      <c r="H3984" s="83">
        <v>0.14583333333333334</v>
      </c>
      <c r="I3984" s="84">
        <v>44278.0</v>
      </c>
      <c r="J3984" s="65" t="b">
        <v>1</v>
      </c>
      <c r="K3984" s="65"/>
      <c r="L3984" s="85" t="b">
        <f>IF(VLOOKUP(C3984,Projetos!A:L,12,false)=TRUE,TRUE,FALSE)</f>
        <v>1</v>
      </c>
      <c r="M3984" s="74">
        <v>52.1518759018759</v>
      </c>
      <c r="N3984" s="74">
        <f t="shared" si="1"/>
        <v>182.5315657</v>
      </c>
      <c r="O3984" s="74" t="b">
        <v>1</v>
      </c>
    </row>
    <row r="3985" hidden="1">
      <c r="A3985" s="82"/>
      <c r="B3985" s="65" t="s">
        <v>467</v>
      </c>
      <c r="C3985" s="65" t="s">
        <v>88</v>
      </c>
      <c r="D3985" s="65" t="str">
        <f>vlookup(C3985,'Classificação p pessoal'!F:G,2,false)</f>
        <v>MProduto</v>
      </c>
      <c r="E3985" s="65" t="s">
        <v>2898</v>
      </c>
      <c r="F3985" s="83">
        <v>0.5833333333333334</v>
      </c>
      <c r="G3985" s="83">
        <v>0.6458333333333334</v>
      </c>
      <c r="H3985" s="83">
        <v>0.0625</v>
      </c>
      <c r="I3985" s="84">
        <v>44278.0</v>
      </c>
      <c r="J3985" s="65" t="b">
        <v>1</v>
      </c>
      <c r="K3985" s="65"/>
      <c r="L3985" s="85" t="b">
        <f>IF(VLOOKUP(C3985,Projetos!A:L,12,false)=TRUE,TRUE,FALSE)</f>
        <v>1</v>
      </c>
      <c r="M3985" s="74">
        <v>52.1518759018759</v>
      </c>
      <c r="N3985" s="74">
        <f t="shared" si="1"/>
        <v>78.22781385</v>
      </c>
      <c r="O3985" s="74" t="b">
        <v>1</v>
      </c>
    </row>
    <row r="3986" hidden="1">
      <c r="A3986" s="82"/>
      <c r="B3986" s="65" t="s">
        <v>467</v>
      </c>
      <c r="C3986" s="65" t="s">
        <v>122</v>
      </c>
      <c r="D3986" s="65" t="str">
        <f>vlookup(C3986,'Classificação p pessoal'!F:G,2,false)</f>
        <v>NP</v>
      </c>
      <c r="E3986" s="65" t="s">
        <v>2899</v>
      </c>
      <c r="F3986" s="83">
        <v>0.6458333333333334</v>
      </c>
      <c r="G3986" s="83">
        <v>0.65625</v>
      </c>
      <c r="H3986" s="83">
        <v>0.010416666666666666</v>
      </c>
      <c r="I3986" s="84">
        <v>44278.0</v>
      </c>
      <c r="J3986" s="65" t="b">
        <v>1</v>
      </c>
      <c r="K3986" s="65"/>
      <c r="L3986" s="85" t="b">
        <f>IF(VLOOKUP(C3986,Projetos!A:L,12,false)=TRUE,TRUE,FALSE)</f>
        <v>1</v>
      </c>
      <c r="M3986" s="74">
        <v>52.1518759018759</v>
      </c>
      <c r="N3986" s="74">
        <f t="shared" si="1"/>
        <v>13.03796898</v>
      </c>
      <c r="O3986" s="74" t="b">
        <v>1</v>
      </c>
    </row>
    <row r="3987" hidden="1">
      <c r="A3987" s="82"/>
      <c r="B3987" s="65" t="s">
        <v>467</v>
      </c>
      <c r="C3987" s="65" t="s">
        <v>122</v>
      </c>
      <c r="D3987" s="65" t="str">
        <f>vlookup(C3987,'Classificação p pessoal'!F:G,2,false)</f>
        <v>NP</v>
      </c>
      <c r="E3987" s="65" t="s">
        <v>2900</v>
      </c>
      <c r="F3987" s="83">
        <v>0.5833333333333334</v>
      </c>
      <c r="G3987" s="83">
        <v>0.625</v>
      </c>
      <c r="H3987" s="83">
        <v>0.041666666666666664</v>
      </c>
      <c r="I3987" s="84">
        <v>44279.0</v>
      </c>
      <c r="J3987" s="65" t="b">
        <v>1</v>
      </c>
      <c r="K3987" s="65"/>
      <c r="L3987" s="85" t="b">
        <f>IF(VLOOKUP(C3987,Projetos!A:L,12,false)=TRUE,TRUE,FALSE)</f>
        <v>1</v>
      </c>
      <c r="M3987" s="74">
        <v>52.1518759018759</v>
      </c>
      <c r="N3987" s="74">
        <f t="shared" si="1"/>
        <v>52.1518759</v>
      </c>
      <c r="O3987" s="74" t="b">
        <v>1</v>
      </c>
    </row>
    <row r="3988" hidden="1">
      <c r="A3988" s="82"/>
      <c r="B3988" s="65" t="s">
        <v>467</v>
      </c>
      <c r="C3988" s="65" t="s">
        <v>122</v>
      </c>
      <c r="D3988" s="65" t="str">
        <f>vlookup(C3988,'Classificação p pessoal'!F:G,2,false)</f>
        <v>NP</v>
      </c>
      <c r="E3988" s="65" t="s">
        <v>2901</v>
      </c>
      <c r="F3988" s="83">
        <v>0.6458333333333334</v>
      </c>
      <c r="G3988" s="83">
        <v>0.7083333333333334</v>
      </c>
      <c r="H3988" s="83">
        <v>0.0625</v>
      </c>
      <c r="I3988" s="84">
        <v>44279.0</v>
      </c>
      <c r="J3988" s="65" t="b">
        <v>1</v>
      </c>
      <c r="K3988" s="65"/>
      <c r="L3988" s="85" t="b">
        <f>IF(VLOOKUP(C3988,Projetos!A:L,12,false)=TRUE,TRUE,FALSE)</f>
        <v>1</v>
      </c>
      <c r="M3988" s="74">
        <v>52.1518759018759</v>
      </c>
      <c r="N3988" s="74">
        <f t="shared" si="1"/>
        <v>78.22781385</v>
      </c>
      <c r="O3988" s="74" t="b">
        <v>1</v>
      </c>
    </row>
    <row r="3989" hidden="1">
      <c r="A3989" s="82"/>
      <c r="B3989" s="65" t="s">
        <v>467</v>
      </c>
      <c r="C3989" s="65" t="s">
        <v>113</v>
      </c>
      <c r="D3989" s="65" t="str">
        <f>vlookup(C3989,'Classificação p pessoal'!F:G,2,false)</f>
        <v>NP</v>
      </c>
      <c r="E3989" s="65" t="s">
        <v>2902</v>
      </c>
      <c r="F3989" s="83">
        <v>0.4375</v>
      </c>
      <c r="G3989" s="83">
        <v>0.5</v>
      </c>
      <c r="H3989" s="83">
        <v>0.0625</v>
      </c>
      <c r="I3989" s="84">
        <v>44279.0</v>
      </c>
      <c r="J3989" s="65" t="b">
        <v>1</v>
      </c>
      <c r="K3989" s="65"/>
      <c r="L3989" s="85" t="b">
        <f>IF(VLOOKUP(C3989,Projetos!A:L,12,false)=TRUE,TRUE,FALSE)</f>
        <v>1</v>
      </c>
      <c r="M3989" s="74">
        <v>52.1518759018759</v>
      </c>
      <c r="N3989" s="74">
        <f t="shared" si="1"/>
        <v>78.22781385</v>
      </c>
      <c r="O3989" s="74" t="b">
        <v>1</v>
      </c>
    </row>
    <row r="3990" hidden="1">
      <c r="A3990" s="82"/>
      <c r="B3990" s="65" t="s">
        <v>467</v>
      </c>
      <c r="C3990" s="65" t="s">
        <v>120</v>
      </c>
      <c r="D3990" s="65"/>
      <c r="E3990" s="65" t="s">
        <v>2903</v>
      </c>
      <c r="F3990" s="83">
        <v>0.6666666666666666</v>
      </c>
      <c r="G3990" s="83">
        <v>0.7083333333333334</v>
      </c>
      <c r="H3990" s="83">
        <v>0.041666666666666664</v>
      </c>
      <c r="I3990" s="84">
        <v>44279.0</v>
      </c>
      <c r="J3990" s="65" t="b">
        <v>0</v>
      </c>
      <c r="K3990" s="65"/>
      <c r="L3990" s="85" t="b">
        <f>IF(VLOOKUP(C3990,Projetos!A:L,12,false)=TRUE,TRUE,FALSE)</f>
        <v>0</v>
      </c>
      <c r="M3990" s="74">
        <v>52.1518759018759</v>
      </c>
      <c r="N3990" s="74">
        <f t="shared" si="1"/>
        <v>0</v>
      </c>
      <c r="O3990" s="74" t="b">
        <v>0</v>
      </c>
    </row>
    <row r="3991" hidden="1">
      <c r="A3991" s="82"/>
      <c r="B3991" s="65" t="s">
        <v>467</v>
      </c>
      <c r="C3991" s="65" t="s">
        <v>92</v>
      </c>
      <c r="D3991" s="65" t="str">
        <f>vlookup(C3991,'Classificação p pessoal'!F:G,2,false)</f>
        <v/>
      </c>
      <c r="E3991" s="65" t="s">
        <v>2904</v>
      </c>
      <c r="F3991" s="83">
        <v>0.4583333333333333</v>
      </c>
      <c r="G3991" s="83">
        <v>0.5</v>
      </c>
      <c r="H3991" s="83">
        <v>0.041666666666666664</v>
      </c>
      <c r="I3991" s="84">
        <v>44280.0</v>
      </c>
      <c r="J3991" s="65" t="b">
        <v>1</v>
      </c>
      <c r="K3991" s="65"/>
      <c r="L3991" s="85" t="b">
        <f>IF(VLOOKUP(C3991,Projetos!A:L,12,false)=TRUE,TRUE,FALSE)</f>
        <v>1</v>
      </c>
      <c r="M3991" s="74">
        <v>52.1518759018759</v>
      </c>
      <c r="N3991" s="74">
        <f t="shared" si="1"/>
        <v>52.1518759</v>
      </c>
      <c r="O3991" s="74" t="b">
        <v>1</v>
      </c>
    </row>
    <row r="3992" hidden="1">
      <c r="A3992" s="82"/>
      <c r="B3992" s="65" t="s">
        <v>467</v>
      </c>
      <c r="C3992" s="65" t="s">
        <v>113</v>
      </c>
      <c r="D3992" s="65" t="str">
        <f>vlookup(C3992,'Classificação p pessoal'!F:G,2,false)</f>
        <v>NP</v>
      </c>
      <c r="E3992" s="65" t="s">
        <v>2905</v>
      </c>
      <c r="F3992" s="83">
        <v>0.5833333333333334</v>
      </c>
      <c r="G3992" s="83">
        <v>0.6666666666666666</v>
      </c>
      <c r="H3992" s="83">
        <v>0.08333333333333333</v>
      </c>
      <c r="I3992" s="84">
        <v>44280.0</v>
      </c>
      <c r="J3992" s="65" t="b">
        <v>1</v>
      </c>
      <c r="K3992" s="65"/>
      <c r="L3992" s="85" t="b">
        <f>IF(VLOOKUP(C3992,Projetos!A:L,12,false)=TRUE,TRUE,FALSE)</f>
        <v>1</v>
      </c>
      <c r="M3992" s="74">
        <v>52.1518759018759</v>
      </c>
      <c r="N3992" s="74">
        <f t="shared" si="1"/>
        <v>104.3037518</v>
      </c>
      <c r="O3992" s="74" t="b">
        <v>1</v>
      </c>
    </row>
    <row r="3993" hidden="1">
      <c r="A3993" s="82"/>
      <c r="B3993" s="65" t="s">
        <v>467</v>
      </c>
      <c r="C3993" s="65" t="s">
        <v>92</v>
      </c>
      <c r="D3993" s="65" t="str">
        <f>vlookup(C3993,'Classificação p pessoal'!F:G,2,false)</f>
        <v/>
      </c>
      <c r="E3993" s="65" t="s">
        <v>2906</v>
      </c>
      <c r="F3993" s="83">
        <v>0.6666666666666666</v>
      </c>
      <c r="G3993" s="83">
        <v>0.7083333333333334</v>
      </c>
      <c r="H3993" s="83">
        <v>0.041666666666666664</v>
      </c>
      <c r="I3993" s="84">
        <v>44280.0</v>
      </c>
      <c r="J3993" s="65" t="b">
        <v>1</v>
      </c>
      <c r="K3993" s="65"/>
      <c r="L3993" s="85" t="b">
        <f>IF(VLOOKUP(C3993,Projetos!A:L,12,false)=TRUE,TRUE,FALSE)</f>
        <v>1</v>
      </c>
      <c r="M3993" s="74">
        <v>52.1518759018759</v>
      </c>
      <c r="N3993" s="74">
        <f t="shared" si="1"/>
        <v>52.1518759</v>
      </c>
      <c r="O3993" s="74" t="b">
        <v>1</v>
      </c>
    </row>
    <row r="3994" hidden="1">
      <c r="A3994" s="82"/>
      <c r="B3994" s="65" t="s">
        <v>467</v>
      </c>
      <c r="C3994" s="65" t="s">
        <v>92</v>
      </c>
      <c r="D3994" s="65" t="str">
        <f>vlookup(C3994,'Classificação p pessoal'!F:G,2,false)</f>
        <v/>
      </c>
      <c r="E3994" s="65" t="s">
        <v>2907</v>
      </c>
      <c r="F3994" s="83">
        <v>0.7083333333333334</v>
      </c>
      <c r="G3994" s="83">
        <v>0.75</v>
      </c>
      <c r="H3994" s="83">
        <v>0.041666666666666664</v>
      </c>
      <c r="I3994" s="84">
        <v>44280.0</v>
      </c>
      <c r="J3994" s="65" t="b">
        <v>1</v>
      </c>
      <c r="K3994" s="65"/>
      <c r="L3994" s="85" t="b">
        <f>IF(VLOOKUP(C3994,Projetos!A:L,12,false)=TRUE,TRUE,FALSE)</f>
        <v>1</v>
      </c>
      <c r="M3994" s="74">
        <v>52.1518759018759</v>
      </c>
      <c r="N3994" s="74">
        <f t="shared" si="1"/>
        <v>52.1518759</v>
      </c>
      <c r="O3994" s="74" t="b">
        <v>1</v>
      </c>
    </row>
    <row r="3995" hidden="1">
      <c r="A3995" s="82"/>
      <c r="B3995" s="65" t="s">
        <v>467</v>
      </c>
      <c r="C3995" s="65" t="s">
        <v>92</v>
      </c>
      <c r="D3995" s="65" t="str">
        <f>vlookup(C3995,'Classificação p pessoal'!F:G,2,false)</f>
        <v/>
      </c>
      <c r="E3995" s="65" t="s">
        <v>2908</v>
      </c>
      <c r="F3995" s="83">
        <v>0.4583333333333333</v>
      </c>
      <c r="G3995" s="83">
        <v>0.5</v>
      </c>
      <c r="H3995" s="83">
        <v>0.041666666666666664</v>
      </c>
      <c r="I3995" s="84">
        <v>44281.0</v>
      </c>
      <c r="J3995" s="65" t="b">
        <v>1</v>
      </c>
      <c r="K3995" s="65"/>
      <c r="L3995" s="85" t="b">
        <f>IF(VLOOKUP(C3995,Projetos!A:L,12,false)=TRUE,TRUE,FALSE)</f>
        <v>1</v>
      </c>
      <c r="M3995" s="74">
        <v>52.1518759018759</v>
      </c>
      <c r="N3995" s="74">
        <f t="shared" si="1"/>
        <v>52.1518759</v>
      </c>
      <c r="O3995" s="74" t="b">
        <v>1</v>
      </c>
    </row>
    <row r="3996" hidden="1">
      <c r="A3996" s="82"/>
      <c r="B3996" s="65" t="s">
        <v>467</v>
      </c>
      <c r="C3996" s="65" t="s">
        <v>130</v>
      </c>
      <c r="D3996" s="65" t="str">
        <f>vlookup(C3996,'Classificação p pessoal'!F:G,2,false)</f>
        <v>NP</v>
      </c>
      <c r="E3996" s="65" t="s">
        <v>2909</v>
      </c>
      <c r="F3996" s="83">
        <v>0.5833333333333334</v>
      </c>
      <c r="G3996" s="83">
        <v>0.6666666666666666</v>
      </c>
      <c r="H3996" s="83">
        <v>0.08333333333333333</v>
      </c>
      <c r="I3996" s="84">
        <v>44281.0</v>
      </c>
      <c r="J3996" s="65" t="b">
        <v>1</v>
      </c>
      <c r="K3996" s="65"/>
      <c r="L3996" s="85" t="b">
        <f>IF(VLOOKUP(C3996,Projetos!A:L,12,false)=TRUE,TRUE,FALSE)</f>
        <v>1</v>
      </c>
      <c r="M3996" s="74">
        <v>52.1518759018759</v>
      </c>
      <c r="N3996" s="74">
        <f t="shared" si="1"/>
        <v>104.3037518</v>
      </c>
      <c r="O3996" s="74" t="b">
        <v>1</v>
      </c>
    </row>
    <row r="3997" hidden="1">
      <c r="A3997" s="82"/>
      <c r="B3997" s="65" t="s">
        <v>467</v>
      </c>
      <c r="C3997" s="65" t="s">
        <v>113</v>
      </c>
      <c r="D3997" s="65" t="str">
        <f>vlookup(C3997,'Classificação p pessoal'!F:G,2,false)</f>
        <v>NP</v>
      </c>
      <c r="E3997" s="65" t="s">
        <v>2910</v>
      </c>
      <c r="F3997" s="83">
        <v>0.6666666666666666</v>
      </c>
      <c r="G3997" s="83">
        <v>0.7291666666666666</v>
      </c>
      <c r="H3997" s="83">
        <v>0.0625</v>
      </c>
      <c r="I3997" s="84">
        <v>44281.0</v>
      </c>
      <c r="J3997" s="65" t="b">
        <v>1</v>
      </c>
      <c r="K3997" s="65"/>
      <c r="L3997" s="85" t="b">
        <f>IF(VLOOKUP(C3997,Projetos!A:L,12,false)=TRUE,TRUE,FALSE)</f>
        <v>1</v>
      </c>
      <c r="M3997" s="74">
        <v>52.1518759018759</v>
      </c>
      <c r="N3997" s="74">
        <f t="shared" si="1"/>
        <v>78.22781385</v>
      </c>
      <c r="O3997" s="74" t="b">
        <v>1</v>
      </c>
    </row>
    <row r="3998" hidden="1">
      <c r="A3998" s="82"/>
      <c r="B3998" s="65" t="s">
        <v>467</v>
      </c>
      <c r="C3998" s="65" t="s">
        <v>92</v>
      </c>
      <c r="D3998" s="65" t="str">
        <f>vlookup(C3998,'Classificação p pessoal'!F:G,2,false)</f>
        <v/>
      </c>
      <c r="E3998" s="65" t="s">
        <v>2911</v>
      </c>
      <c r="F3998" s="83">
        <v>0.3472222222222222</v>
      </c>
      <c r="G3998" s="83">
        <v>0.4375</v>
      </c>
      <c r="H3998" s="83">
        <v>0.09027777777777778</v>
      </c>
      <c r="I3998" s="84">
        <v>44284.0</v>
      </c>
      <c r="J3998" s="65" t="b">
        <v>1</v>
      </c>
      <c r="K3998" s="65"/>
      <c r="L3998" s="85" t="b">
        <f>IF(VLOOKUP(C3998,Projetos!A:L,12,false)=TRUE,TRUE,FALSE)</f>
        <v>1</v>
      </c>
      <c r="M3998" s="74">
        <v>52.1518759018759</v>
      </c>
      <c r="N3998" s="74">
        <f t="shared" si="1"/>
        <v>112.9957311</v>
      </c>
      <c r="O3998" s="74" t="b">
        <v>1</v>
      </c>
    </row>
    <row r="3999" hidden="1">
      <c r="A3999" s="82"/>
      <c r="B3999" s="65" t="s">
        <v>467</v>
      </c>
      <c r="C3999" s="65" t="s">
        <v>122</v>
      </c>
      <c r="D3999" s="65" t="str">
        <f>vlookup(C3999,'Classificação p pessoal'!F:G,2,false)</f>
        <v>NP</v>
      </c>
      <c r="E3999" s="65" t="s">
        <v>2912</v>
      </c>
      <c r="F3999" s="83">
        <v>0.4375</v>
      </c>
      <c r="G3999" s="83">
        <v>0.4583333333333333</v>
      </c>
      <c r="H3999" s="83">
        <v>0.020833333333333332</v>
      </c>
      <c r="I3999" s="84">
        <v>44284.0</v>
      </c>
      <c r="J3999" s="65" t="b">
        <v>1</v>
      </c>
      <c r="K3999" s="65"/>
      <c r="L3999" s="85" t="b">
        <f>IF(VLOOKUP(C3999,Projetos!A:L,12,false)=TRUE,TRUE,FALSE)</f>
        <v>1</v>
      </c>
      <c r="M3999" s="74">
        <v>52.1518759018759</v>
      </c>
      <c r="N3999" s="74">
        <f t="shared" si="1"/>
        <v>26.07593795</v>
      </c>
      <c r="O3999" s="74" t="b">
        <v>1</v>
      </c>
    </row>
    <row r="4000" hidden="1">
      <c r="A4000" s="82"/>
      <c r="B4000" s="65" t="s">
        <v>467</v>
      </c>
      <c r="C4000" s="65" t="s">
        <v>113</v>
      </c>
      <c r="D4000" s="65" t="str">
        <f>vlookup(C4000,'Classificação p pessoal'!F:G,2,false)</f>
        <v>NP</v>
      </c>
      <c r="E4000" s="65" t="s">
        <v>2913</v>
      </c>
      <c r="F4000" s="83">
        <v>0.4583333333333333</v>
      </c>
      <c r="G4000" s="83">
        <v>0.5</v>
      </c>
      <c r="H4000" s="83">
        <v>0.041666666666666664</v>
      </c>
      <c r="I4000" s="84">
        <v>44284.0</v>
      </c>
      <c r="J4000" s="65" t="b">
        <v>1</v>
      </c>
      <c r="K4000" s="65"/>
      <c r="L4000" s="85" t="b">
        <f>IF(VLOOKUP(C4000,Projetos!A:L,12,false)=TRUE,TRUE,FALSE)</f>
        <v>1</v>
      </c>
      <c r="M4000" s="74">
        <v>52.1518759018759</v>
      </c>
      <c r="N4000" s="74">
        <f t="shared" si="1"/>
        <v>52.1518759</v>
      </c>
      <c r="O4000" s="74" t="b">
        <v>1</v>
      </c>
    </row>
    <row r="4001" hidden="1">
      <c r="A4001" s="82"/>
      <c r="B4001" s="65" t="s">
        <v>467</v>
      </c>
      <c r="C4001" s="65" t="s">
        <v>120</v>
      </c>
      <c r="D4001" s="65"/>
      <c r="E4001" s="65" t="s">
        <v>2914</v>
      </c>
      <c r="F4001" s="83">
        <v>0.6041666666666666</v>
      </c>
      <c r="G4001" s="83">
        <v>0.6458333333333334</v>
      </c>
      <c r="H4001" s="83">
        <v>0.041666666666666664</v>
      </c>
      <c r="I4001" s="84">
        <v>44284.0</v>
      </c>
      <c r="J4001" s="65" t="b">
        <v>0</v>
      </c>
      <c r="K4001" s="65"/>
      <c r="L4001" s="85" t="b">
        <f>IF(VLOOKUP(C4001,Projetos!A:L,12,false)=TRUE,TRUE,FALSE)</f>
        <v>0</v>
      </c>
      <c r="M4001" s="74">
        <v>52.1518759018759</v>
      </c>
      <c r="N4001" s="74">
        <f t="shared" si="1"/>
        <v>0</v>
      </c>
      <c r="O4001" s="74" t="b">
        <v>0</v>
      </c>
    </row>
    <row r="4002" hidden="1">
      <c r="A4002" s="82"/>
      <c r="B4002" s="65" t="s">
        <v>467</v>
      </c>
      <c r="C4002" s="65" t="s">
        <v>92</v>
      </c>
      <c r="D4002" s="65" t="str">
        <f>vlookup(C4002,'Classificação p pessoal'!F:G,2,false)</f>
        <v/>
      </c>
      <c r="E4002" s="65" t="s">
        <v>2915</v>
      </c>
      <c r="F4002" s="83">
        <v>0.6458333333333334</v>
      </c>
      <c r="G4002" s="83">
        <v>0.7083333333333334</v>
      </c>
      <c r="H4002" s="83">
        <v>0.0625</v>
      </c>
      <c r="I4002" s="84">
        <v>44284.0</v>
      </c>
      <c r="J4002" s="65" t="b">
        <v>1</v>
      </c>
      <c r="K4002" s="65"/>
      <c r="L4002" s="85" t="b">
        <f>IF(VLOOKUP(C4002,Projetos!A:L,12,false)=TRUE,TRUE,FALSE)</f>
        <v>1</v>
      </c>
      <c r="M4002" s="74">
        <v>52.1518759018759</v>
      </c>
      <c r="N4002" s="74">
        <f t="shared" si="1"/>
        <v>78.22781385</v>
      </c>
      <c r="O4002" s="74" t="b">
        <v>1</v>
      </c>
    </row>
    <row r="4003" hidden="1">
      <c r="A4003" s="82"/>
      <c r="B4003" s="65" t="s">
        <v>467</v>
      </c>
      <c r="C4003" s="65" t="s">
        <v>92</v>
      </c>
      <c r="D4003" s="65" t="str">
        <f>vlookup(C4003,'Classificação p pessoal'!F:G,2,false)</f>
        <v/>
      </c>
      <c r="E4003" s="65" t="s">
        <v>2916</v>
      </c>
      <c r="F4003" s="83">
        <v>0.375</v>
      </c>
      <c r="G4003" s="83">
        <v>0.4791666666666667</v>
      </c>
      <c r="H4003" s="83">
        <v>0.10416666666666667</v>
      </c>
      <c r="I4003" s="84">
        <v>44285.0</v>
      </c>
      <c r="J4003" s="65" t="b">
        <v>1</v>
      </c>
      <c r="K4003" s="65"/>
      <c r="L4003" s="85" t="b">
        <f>IF(VLOOKUP(C4003,Projetos!A:L,12,false)=TRUE,TRUE,FALSE)</f>
        <v>1</v>
      </c>
      <c r="M4003" s="74">
        <v>52.1518759018759</v>
      </c>
      <c r="N4003" s="74">
        <f t="shared" si="1"/>
        <v>130.3796898</v>
      </c>
      <c r="O4003" s="74" t="b">
        <v>1</v>
      </c>
    </row>
    <row r="4004" hidden="1">
      <c r="A4004" s="82"/>
      <c r="B4004" s="65" t="s">
        <v>467</v>
      </c>
      <c r="C4004" s="65" t="s">
        <v>113</v>
      </c>
      <c r="D4004" s="65" t="str">
        <f>vlookup(C4004,'Classificação p pessoal'!F:G,2,false)</f>
        <v>NP</v>
      </c>
      <c r="E4004" s="65" t="s">
        <v>2917</v>
      </c>
      <c r="F4004" s="83">
        <v>0.5833333333333334</v>
      </c>
      <c r="G4004" s="83">
        <v>0.625</v>
      </c>
      <c r="H4004" s="83">
        <v>0.041666666666666664</v>
      </c>
      <c r="I4004" s="84">
        <v>44285.0</v>
      </c>
      <c r="J4004" s="65" t="b">
        <v>1</v>
      </c>
      <c r="K4004" s="65"/>
      <c r="L4004" s="85" t="b">
        <f>IF(VLOOKUP(C4004,Projetos!A:L,12,false)=TRUE,TRUE,FALSE)</f>
        <v>1</v>
      </c>
      <c r="M4004" s="74">
        <v>52.1518759018759</v>
      </c>
      <c r="N4004" s="74">
        <f t="shared" si="1"/>
        <v>52.1518759</v>
      </c>
      <c r="O4004" s="74" t="b">
        <v>1</v>
      </c>
    </row>
    <row r="4005" hidden="1">
      <c r="A4005" s="82"/>
      <c r="B4005" s="65" t="s">
        <v>467</v>
      </c>
      <c r="C4005" s="65" t="s">
        <v>92</v>
      </c>
      <c r="D4005" s="65" t="str">
        <f>vlookup(C4005,'Classificação p pessoal'!F:G,2,false)</f>
        <v/>
      </c>
      <c r="E4005" s="65" t="s">
        <v>2918</v>
      </c>
      <c r="F4005" s="83">
        <v>0.625</v>
      </c>
      <c r="G4005" s="83">
        <v>0.7083333333333334</v>
      </c>
      <c r="H4005" s="83">
        <v>0.08333333333333333</v>
      </c>
      <c r="I4005" s="84">
        <v>44285.0</v>
      </c>
      <c r="J4005" s="65" t="b">
        <v>1</v>
      </c>
      <c r="K4005" s="65"/>
      <c r="L4005" s="85" t="b">
        <f>IF(VLOOKUP(C4005,Projetos!A:L,12,false)=TRUE,TRUE,FALSE)</f>
        <v>1</v>
      </c>
      <c r="M4005" s="74">
        <v>52.1518759018759</v>
      </c>
      <c r="N4005" s="74">
        <f t="shared" si="1"/>
        <v>104.3037518</v>
      </c>
      <c r="O4005" s="74" t="b">
        <v>1</v>
      </c>
    </row>
    <row r="4006" hidden="1">
      <c r="A4006" s="82"/>
      <c r="B4006" s="65" t="s">
        <v>467</v>
      </c>
      <c r="C4006" s="65" t="s">
        <v>92</v>
      </c>
      <c r="D4006" s="65" t="str">
        <f>vlookup(C4006,'Classificação p pessoal'!F:G,2,false)</f>
        <v/>
      </c>
      <c r="E4006" s="65" t="s">
        <v>2919</v>
      </c>
      <c r="F4006" s="83">
        <v>0.7083333333333334</v>
      </c>
      <c r="G4006" s="83">
        <v>0.75</v>
      </c>
      <c r="H4006" s="83">
        <v>0.041666666666666664</v>
      </c>
      <c r="I4006" s="84">
        <v>44285.0</v>
      </c>
      <c r="J4006" s="65" t="b">
        <v>1</v>
      </c>
      <c r="K4006" s="65"/>
      <c r="L4006" s="85" t="b">
        <f>IF(VLOOKUP(C4006,Projetos!A:L,12,false)=TRUE,TRUE,FALSE)</f>
        <v>1</v>
      </c>
      <c r="M4006" s="74">
        <v>52.1518759018759</v>
      </c>
      <c r="N4006" s="74">
        <f t="shared" si="1"/>
        <v>52.1518759</v>
      </c>
      <c r="O4006" s="74" t="b">
        <v>1</v>
      </c>
    </row>
    <row r="4007" hidden="1">
      <c r="A4007" s="82"/>
      <c r="B4007" s="65" t="s">
        <v>467</v>
      </c>
      <c r="C4007" s="65" t="s">
        <v>92</v>
      </c>
      <c r="D4007" s="65" t="str">
        <f>vlookup(C4007,'Classificação p pessoal'!F:G,2,false)</f>
        <v/>
      </c>
      <c r="E4007" s="65" t="s">
        <v>2920</v>
      </c>
      <c r="F4007" s="83">
        <v>0.3541666666666667</v>
      </c>
      <c r="G4007" s="83">
        <v>0.5208333333333334</v>
      </c>
      <c r="H4007" s="83">
        <v>0.16666666666666666</v>
      </c>
      <c r="I4007" s="84">
        <v>44287.0</v>
      </c>
      <c r="J4007" s="65" t="b">
        <v>1</v>
      </c>
      <c r="K4007" s="65"/>
      <c r="L4007" s="85" t="b">
        <f>IF(VLOOKUP(C4007,Projetos!A:L,12,false)=TRUE,TRUE,FALSE)</f>
        <v>1</v>
      </c>
      <c r="M4007" s="74">
        <v>52.1518759018759</v>
      </c>
      <c r="N4007" s="74">
        <f t="shared" si="1"/>
        <v>208.6075036</v>
      </c>
      <c r="O4007" s="74" t="b">
        <v>1</v>
      </c>
    </row>
    <row r="4008" hidden="1">
      <c r="A4008" s="82"/>
      <c r="B4008" s="65" t="s">
        <v>467</v>
      </c>
      <c r="C4008" s="65" t="s">
        <v>122</v>
      </c>
      <c r="D4008" s="65"/>
      <c r="E4008" s="65" t="s">
        <v>2921</v>
      </c>
      <c r="F4008" s="83">
        <v>0.6041666666666666</v>
      </c>
      <c r="G4008" s="83">
        <v>0.6458333333333334</v>
      </c>
      <c r="H4008" s="83">
        <v>0.041666666666666664</v>
      </c>
      <c r="I4008" s="84">
        <v>44287.0</v>
      </c>
      <c r="J4008" s="65" t="b">
        <v>0</v>
      </c>
      <c r="K4008" s="65" t="s">
        <v>150</v>
      </c>
      <c r="L4008" s="85" t="b">
        <f>IF(VLOOKUP(C4008,Projetos!A:L,12,false)=TRUE,TRUE,FALSE)</f>
        <v>1</v>
      </c>
      <c r="M4008" s="74">
        <v>52.1518759018759</v>
      </c>
      <c r="N4008" s="74">
        <f t="shared" si="1"/>
        <v>0</v>
      </c>
      <c r="O4008" s="74" t="b">
        <v>1</v>
      </c>
    </row>
    <row r="4009" hidden="1">
      <c r="A4009" s="82"/>
      <c r="B4009" s="65" t="s">
        <v>467</v>
      </c>
      <c r="C4009" s="65" t="s">
        <v>92</v>
      </c>
      <c r="D4009" s="65" t="str">
        <f>vlookup(C4009,'Classificação p pessoal'!F:G,2,false)</f>
        <v/>
      </c>
      <c r="E4009" s="65" t="s">
        <v>2922</v>
      </c>
      <c r="F4009" s="83">
        <v>0.65625</v>
      </c>
      <c r="G4009" s="83">
        <v>0.7083333333333334</v>
      </c>
      <c r="H4009" s="83">
        <v>0.052083333333333336</v>
      </c>
      <c r="I4009" s="84">
        <v>44287.0</v>
      </c>
      <c r="J4009" s="65" t="b">
        <v>1</v>
      </c>
      <c r="K4009" s="65"/>
      <c r="L4009" s="85" t="b">
        <f>IF(VLOOKUP(C4009,Projetos!A:L,12,false)=TRUE,TRUE,FALSE)</f>
        <v>1</v>
      </c>
      <c r="M4009" s="74">
        <v>52.1518759018759</v>
      </c>
      <c r="N4009" s="74">
        <f t="shared" si="1"/>
        <v>65.18984488</v>
      </c>
      <c r="O4009" s="74" t="b">
        <v>1</v>
      </c>
    </row>
    <row r="4010" hidden="1">
      <c r="A4010" s="82"/>
      <c r="B4010" s="65" t="s">
        <v>467</v>
      </c>
      <c r="C4010" s="65" t="s">
        <v>122</v>
      </c>
      <c r="D4010" s="65" t="str">
        <f>vlookup(C4010,'Classificação p pessoal'!F:G,2,false)</f>
        <v>NP</v>
      </c>
      <c r="E4010" s="65" t="s">
        <v>2923</v>
      </c>
      <c r="F4010" s="83">
        <v>0.7083333333333334</v>
      </c>
      <c r="G4010" s="83">
        <v>0.7222222222222222</v>
      </c>
      <c r="H4010" s="83">
        <v>0.013888888888888888</v>
      </c>
      <c r="I4010" s="84">
        <v>44287.0</v>
      </c>
      <c r="J4010" s="65" t="b">
        <v>1</v>
      </c>
      <c r="K4010" s="65"/>
      <c r="L4010" s="85" t="b">
        <f>IF(VLOOKUP(C4010,Projetos!A:L,12,false)=TRUE,TRUE,FALSE)</f>
        <v>1</v>
      </c>
      <c r="M4010" s="74">
        <v>52.1518759018759</v>
      </c>
      <c r="N4010" s="74">
        <f t="shared" si="1"/>
        <v>17.38395863</v>
      </c>
      <c r="O4010" s="74" t="b">
        <v>1</v>
      </c>
    </row>
    <row r="4011" hidden="1">
      <c r="A4011" s="82"/>
      <c r="B4011" s="65" t="s">
        <v>467</v>
      </c>
      <c r="C4011" s="65" t="s">
        <v>92</v>
      </c>
      <c r="D4011" s="65" t="str">
        <f>vlookup(C4011,'Classificação p pessoal'!F:G,2,false)</f>
        <v/>
      </c>
      <c r="E4011" s="65" t="s">
        <v>2924</v>
      </c>
      <c r="F4011" s="83">
        <v>0.625</v>
      </c>
      <c r="G4011" s="83">
        <v>0.7083333333333334</v>
      </c>
      <c r="H4011" s="83">
        <v>0.08333333333333333</v>
      </c>
      <c r="I4011" s="84">
        <v>44288.0</v>
      </c>
      <c r="J4011" s="65" t="b">
        <v>1</v>
      </c>
      <c r="K4011" s="65"/>
      <c r="L4011" s="85" t="b">
        <f>IF(VLOOKUP(C4011,Projetos!A:L,12,false)=TRUE,TRUE,FALSE)</f>
        <v>1</v>
      </c>
      <c r="M4011" s="74">
        <v>52.1518759018759</v>
      </c>
      <c r="N4011" s="74">
        <f t="shared" si="1"/>
        <v>104.3037518</v>
      </c>
      <c r="O4011" s="74" t="b">
        <v>1</v>
      </c>
    </row>
    <row r="4012" hidden="1">
      <c r="A4012" s="82"/>
      <c r="B4012" s="65" t="s">
        <v>467</v>
      </c>
      <c r="C4012" s="65" t="s">
        <v>122</v>
      </c>
      <c r="D4012" s="65" t="str">
        <f>vlookup(C4012,'Classificação p pessoal'!F:G,2,false)</f>
        <v>NP</v>
      </c>
      <c r="E4012" s="65" t="s">
        <v>2925</v>
      </c>
      <c r="F4012" s="83">
        <v>0.5833333333333334</v>
      </c>
      <c r="G4012" s="83">
        <v>0.625</v>
      </c>
      <c r="H4012" s="83">
        <v>0.041666666666666664</v>
      </c>
      <c r="I4012" s="84">
        <v>44288.0</v>
      </c>
      <c r="J4012" s="65" t="b">
        <v>1</v>
      </c>
      <c r="K4012" s="65"/>
      <c r="L4012" s="85" t="b">
        <f>IF(VLOOKUP(C4012,Projetos!A:L,12,false)=TRUE,TRUE,FALSE)</f>
        <v>1</v>
      </c>
      <c r="M4012" s="74">
        <v>52.1518759018759</v>
      </c>
      <c r="N4012" s="74">
        <f t="shared" si="1"/>
        <v>52.1518759</v>
      </c>
      <c r="O4012" s="74" t="b">
        <v>1</v>
      </c>
    </row>
    <row r="4013" hidden="1">
      <c r="A4013" s="82"/>
      <c r="B4013" s="65" t="s">
        <v>467</v>
      </c>
      <c r="C4013" s="65" t="s">
        <v>113</v>
      </c>
      <c r="D4013" s="65"/>
      <c r="E4013" s="65" t="s">
        <v>2926</v>
      </c>
      <c r="F4013" s="83">
        <v>0.5416666666666666</v>
      </c>
      <c r="G4013" s="83">
        <v>0.5833333333333334</v>
      </c>
      <c r="H4013" s="83">
        <v>0.041666666666666664</v>
      </c>
      <c r="I4013" s="84">
        <v>44291.0</v>
      </c>
      <c r="J4013" s="65" t="b">
        <v>0</v>
      </c>
      <c r="K4013" s="65" t="s">
        <v>150</v>
      </c>
      <c r="L4013" s="85" t="b">
        <f>IF(VLOOKUP(C4013,Projetos!A:L,12,false)=TRUE,TRUE,FALSE)</f>
        <v>1</v>
      </c>
      <c r="M4013" s="74">
        <v>52.1518759018759</v>
      </c>
      <c r="N4013" s="74">
        <f t="shared" si="1"/>
        <v>0</v>
      </c>
      <c r="O4013" s="74" t="b">
        <v>1</v>
      </c>
    </row>
    <row r="4014" hidden="1">
      <c r="A4014" s="82"/>
      <c r="B4014" s="65" t="s">
        <v>467</v>
      </c>
      <c r="C4014" s="65" t="s">
        <v>92</v>
      </c>
      <c r="D4014" s="65" t="str">
        <f>vlookup(C4014,'Classificação p pessoal'!F:G,2,false)</f>
        <v/>
      </c>
      <c r="E4014" s="65" t="s">
        <v>2927</v>
      </c>
      <c r="F4014" s="83">
        <v>0.4166666666666667</v>
      </c>
      <c r="G4014" s="83">
        <v>0.5</v>
      </c>
      <c r="H4014" s="83">
        <v>0.08333333333333333</v>
      </c>
      <c r="I4014" s="84">
        <v>44291.0</v>
      </c>
      <c r="J4014" s="65" t="b">
        <v>1</v>
      </c>
      <c r="K4014" s="65"/>
      <c r="L4014" s="85" t="b">
        <f>IF(VLOOKUP(C4014,Projetos!A:L,12,false)=TRUE,TRUE,FALSE)</f>
        <v>1</v>
      </c>
      <c r="M4014" s="74">
        <v>52.1518759018759</v>
      </c>
      <c r="N4014" s="74">
        <f t="shared" si="1"/>
        <v>104.3037518</v>
      </c>
      <c r="O4014" s="74" t="b">
        <v>1</v>
      </c>
    </row>
    <row r="4015" hidden="1">
      <c r="A4015" s="82"/>
      <c r="B4015" s="65" t="s">
        <v>467</v>
      </c>
      <c r="C4015" s="65" t="s">
        <v>117</v>
      </c>
      <c r="D4015" s="65" t="str">
        <f>vlookup(C4015,'Classificação p pessoal'!F:G,2,false)</f>
        <v>NP</v>
      </c>
      <c r="E4015" s="65" t="s">
        <v>2928</v>
      </c>
      <c r="F4015" s="83">
        <v>0.6041666666666666</v>
      </c>
      <c r="G4015" s="83">
        <v>0.7083333333333334</v>
      </c>
      <c r="H4015" s="83">
        <v>0.10416666666666667</v>
      </c>
      <c r="I4015" s="84">
        <v>44291.0</v>
      </c>
      <c r="J4015" s="65" t="b">
        <v>1</v>
      </c>
      <c r="K4015" s="65"/>
      <c r="L4015" s="85" t="b">
        <f>IF(VLOOKUP(C4015,Projetos!A:L,12,false)=TRUE,TRUE,FALSE)</f>
        <v>1</v>
      </c>
      <c r="M4015" s="74">
        <v>52.1518759018759</v>
      </c>
      <c r="N4015" s="74">
        <f t="shared" si="1"/>
        <v>130.3796898</v>
      </c>
      <c r="O4015" s="74" t="b">
        <v>1</v>
      </c>
    </row>
    <row r="4016" hidden="1">
      <c r="A4016" s="82"/>
      <c r="B4016" s="65" t="s">
        <v>467</v>
      </c>
      <c r="C4016" s="65" t="s">
        <v>92</v>
      </c>
      <c r="D4016" s="65" t="str">
        <f>vlookup(C4016,'Classificação p pessoal'!F:G,2,false)</f>
        <v/>
      </c>
      <c r="E4016" s="65" t="s">
        <v>2929</v>
      </c>
      <c r="F4016" s="83">
        <v>0.375</v>
      </c>
      <c r="G4016" s="83">
        <v>0.4375</v>
      </c>
      <c r="H4016" s="83">
        <v>0.0625</v>
      </c>
      <c r="I4016" s="84">
        <v>44292.0</v>
      </c>
      <c r="J4016" s="65" t="b">
        <v>1</v>
      </c>
      <c r="K4016" s="65"/>
      <c r="L4016" s="85" t="b">
        <f>IF(VLOOKUP(C4016,Projetos!A:L,12,false)=TRUE,TRUE,FALSE)</f>
        <v>1</v>
      </c>
      <c r="M4016" s="74">
        <v>52.1518759018759</v>
      </c>
      <c r="N4016" s="74">
        <f t="shared" si="1"/>
        <v>78.22781385</v>
      </c>
      <c r="O4016" s="74" t="b">
        <v>1</v>
      </c>
    </row>
    <row r="4017" hidden="1">
      <c r="A4017" s="82"/>
      <c r="B4017" s="65" t="s">
        <v>467</v>
      </c>
      <c r="C4017" s="65" t="s">
        <v>92</v>
      </c>
      <c r="D4017" s="65" t="str">
        <f>vlookup(C4017,'Classificação p pessoal'!F:G,2,false)</f>
        <v/>
      </c>
      <c r="E4017" s="65" t="s">
        <v>2930</v>
      </c>
      <c r="F4017" s="83">
        <v>0.4375</v>
      </c>
      <c r="G4017" s="83">
        <v>0.5</v>
      </c>
      <c r="H4017" s="83">
        <v>0.0625</v>
      </c>
      <c r="I4017" s="84">
        <v>44292.0</v>
      </c>
      <c r="J4017" s="65" t="b">
        <v>1</v>
      </c>
      <c r="K4017" s="65"/>
      <c r="L4017" s="85" t="b">
        <f>IF(VLOOKUP(C4017,Projetos!A:L,12,false)=TRUE,TRUE,FALSE)</f>
        <v>1</v>
      </c>
      <c r="M4017" s="74">
        <v>52.1518759018759</v>
      </c>
      <c r="N4017" s="74">
        <f t="shared" si="1"/>
        <v>78.22781385</v>
      </c>
      <c r="O4017" s="74" t="b">
        <v>1</v>
      </c>
    </row>
    <row r="4018" hidden="1">
      <c r="A4018" s="82"/>
      <c r="B4018" s="65" t="s">
        <v>467</v>
      </c>
      <c r="C4018" s="65" t="s">
        <v>92</v>
      </c>
      <c r="D4018" s="65" t="str">
        <f>vlookup(C4018,'Classificação p pessoal'!F:G,2,false)</f>
        <v/>
      </c>
      <c r="E4018" s="65" t="s">
        <v>2931</v>
      </c>
      <c r="F4018" s="83">
        <v>0.625</v>
      </c>
      <c r="G4018" s="83">
        <v>0.7083333333333334</v>
      </c>
      <c r="H4018" s="83">
        <v>0.08333333333333333</v>
      </c>
      <c r="I4018" s="84">
        <v>44292.0</v>
      </c>
      <c r="J4018" s="65" t="b">
        <v>1</v>
      </c>
      <c r="K4018" s="65"/>
      <c r="L4018" s="85" t="b">
        <f>IF(VLOOKUP(C4018,Projetos!A:L,12,false)=TRUE,TRUE,FALSE)</f>
        <v>1</v>
      </c>
      <c r="M4018" s="74">
        <v>52.1518759018759</v>
      </c>
      <c r="N4018" s="74">
        <f t="shared" si="1"/>
        <v>104.3037518</v>
      </c>
      <c r="O4018" s="74" t="b">
        <v>1</v>
      </c>
    </row>
    <row r="4019" hidden="1">
      <c r="A4019" s="82"/>
      <c r="B4019" s="65" t="s">
        <v>467</v>
      </c>
      <c r="C4019" s="65" t="s">
        <v>122</v>
      </c>
      <c r="D4019" s="65" t="str">
        <f>vlookup(C4019,'Classificação p pessoal'!F:G,2,false)</f>
        <v>NP</v>
      </c>
      <c r="E4019" s="65" t="s">
        <v>2932</v>
      </c>
      <c r="F4019" s="83">
        <v>0.7083333333333334</v>
      </c>
      <c r="G4019" s="83">
        <v>0.75</v>
      </c>
      <c r="H4019" s="83">
        <v>0.041666666666666664</v>
      </c>
      <c r="I4019" s="84">
        <v>44292.0</v>
      </c>
      <c r="J4019" s="65" t="b">
        <v>1</v>
      </c>
      <c r="K4019" s="65"/>
      <c r="L4019" s="85" t="b">
        <f>IF(VLOOKUP(C4019,Projetos!A:L,12,false)=TRUE,TRUE,FALSE)</f>
        <v>1</v>
      </c>
      <c r="M4019" s="74">
        <v>52.1518759018759</v>
      </c>
      <c r="N4019" s="74">
        <f t="shared" si="1"/>
        <v>52.1518759</v>
      </c>
      <c r="O4019" s="74" t="b">
        <v>1</v>
      </c>
    </row>
    <row r="4020" hidden="1">
      <c r="A4020" s="82"/>
      <c r="B4020" s="65" t="s">
        <v>467</v>
      </c>
      <c r="C4020" s="65" t="s">
        <v>92</v>
      </c>
      <c r="D4020" s="65" t="str">
        <f>vlookup(C4020,'Classificação p pessoal'!F:G,2,false)</f>
        <v/>
      </c>
      <c r="E4020" s="65" t="s">
        <v>2933</v>
      </c>
      <c r="F4020" s="83">
        <v>0.4166666666666667</v>
      </c>
      <c r="G4020" s="83">
        <v>0.4583333333333333</v>
      </c>
      <c r="H4020" s="83">
        <v>0.041666666666666664</v>
      </c>
      <c r="I4020" s="84">
        <v>44293.0</v>
      </c>
      <c r="J4020" s="65" t="b">
        <v>1</v>
      </c>
      <c r="K4020" s="65"/>
      <c r="L4020" s="85" t="b">
        <f>IF(VLOOKUP(C4020,Projetos!A:L,12,false)=TRUE,TRUE,FALSE)</f>
        <v>1</v>
      </c>
      <c r="M4020" s="74">
        <v>52.1518759018759</v>
      </c>
      <c r="N4020" s="74">
        <f t="shared" si="1"/>
        <v>52.1518759</v>
      </c>
      <c r="O4020" s="74" t="b">
        <v>1</v>
      </c>
    </row>
    <row r="4021" hidden="1">
      <c r="A4021" s="82"/>
      <c r="B4021" s="65" t="s">
        <v>467</v>
      </c>
      <c r="C4021" s="65" t="s">
        <v>117</v>
      </c>
      <c r="D4021" s="65" t="str">
        <f>vlookup(C4021,'Classificação p pessoal'!F:G,2,false)</f>
        <v>NP</v>
      </c>
      <c r="E4021" s="65" t="s">
        <v>2934</v>
      </c>
      <c r="F4021" s="83">
        <v>0.5625</v>
      </c>
      <c r="G4021" s="83">
        <v>0.6041666666666666</v>
      </c>
      <c r="H4021" s="83">
        <v>0.041666666666666664</v>
      </c>
      <c r="I4021" s="84">
        <v>44293.0</v>
      </c>
      <c r="J4021" s="65" t="b">
        <v>1</v>
      </c>
      <c r="K4021" s="65"/>
      <c r="L4021" s="85" t="b">
        <f>IF(VLOOKUP(C4021,Projetos!A:L,12,false)=TRUE,TRUE,FALSE)</f>
        <v>1</v>
      </c>
      <c r="M4021" s="74">
        <v>52.1518759018759</v>
      </c>
      <c r="N4021" s="74">
        <f t="shared" si="1"/>
        <v>52.1518759</v>
      </c>
      <c r="O4021" s="74" t="b">
        <v>1</v>
      </c>
    </row>
    <row r="4022" hidden="1">
      <c r="A4022" s="82"/>
      <c r="B4022" s="65" t="s">
        <v>467</v>
      </c>
      <c r="C4022" s="65" t="s">
        <v>92</v>
      </c>
      <c r="D4022" s="65" t="str">
        <f>vlookup(C4022,'Classificação p pessoal'!F:G,2,false)</f>
        <v/>
      </c>
      <c r="E4022" s="65" t="s">
        <v>2935</v>
      </c>
      <c r="F4022" s="83">
        <v>0.3541666666666667</v>
      </c>
      <c r="G4022" s="83">
        <v>0.4166666666666667</v>
      </c>
      <c r="H4022" s="83">
        <v>0.0625</v>
      </c>
      <c r="I4022" s="84">
        <v>44293.0</v>
      </c>
      <c r="J4022" s="65" t="b">
        <v>1</v>
      </c>
      <c r="K4022" s="65"/>
      <c r="L4022" s="85" t="b">
        <f>IF(VLOOKUP(C4022,Projetos!A:L,12,false)=TRUE,TRUE,FALSE)</f>
        <v>1</v>
      </c>
      <c r="M4022" s="74">
        <v>52.1518759018759</v>
      </c>
      <c r="N4022" s="74">
        <f t="shared" si="1"/>
        <v>78.22781385</v>
      </c>
      <c r="O4022" s="74" t="b">
        <v>1</v>
      </c>
    </row>
    <row r="4023" hidden="1">
      <c r="A4023" s="82"/>
      <c r="B4023" s="65" t="s">
        <v>467</v>
      </c>
      <c r="C4023" s="65" t="s">
        <v>92</v>
      </c>
      <c r="D4023" s="65" t="str">
        <f>vlookup(C4023,'Classificação p pessoal'!F:G,2,false)</f>
        <v/>
      </c>
      <c r="E4023" s="65" t="s">
        <v>2936</v>
      </c>
      <c r="F4023" s="83">
        <v>0.3541666666666667</v>
      </c>
      <c r="G4023" s="83">
        <v>0.5208333333333334</v>
      </c>
      <c r="H4023" s="83">
        <v>0.16666666666666666</v>
      </c>
      <c r="I4023" s="84">
        <v>44294.0</v>
      </c>
      <c r="J4023" s="65" t="b">
        <v>1</v>
      </c>
      <c r="K4023" s="65"/>
      <c r="L4023" s="85" t="b">
        <f>IF(VLOOKUP(C4023,Projetos!A:L,12,false)=TRUE,TRUE,FALSE)</f>
        <v>1</v>
      </c>
      <c r="M4023" s="74">
        <v>52.1518759018759</v>
      </c>
      <c r="N4023" s="74">
        <f t="shared" si="1"/>
        <v>208.6075036</v>
      </c>
      <c r="O4023" s="74" t="b">
        <v>1</v>
      </c>
    </row>
    <row r="4024" hidden="1">
      <c r="A4024" s="82"/>
      <c r="B4024" s="65" t="s">
        <v>467</v>
      </c>
      <c r="C4024" s="65" t="s">
        <v>122</v>
      </c>
      <c r="D4024" s="65" t="str">
        <f>vlookup(C4024,'Classificação p pessoal'!F:G,2,false)</f>
        <v>NP</v>
      </c>
      <c r="E4024" s="65" t="s">
        <v>2937</v>
      </c>
      <c r="F4024" s="83">
        <v>0.4166666666666667</v>
      </c>
      <c r="G4024" s="83">
        <v>0.5</v>
      </c>
      <c r="H4024" s="83">
        <v>0.08333333333333333</v>
      </c>
      <c r="I4024" s="84">
        <v>44295.0</v>
      </c>
      <c r="J4024" s="65" t="b">
        <v>1</v>
      </c>
      <c r="K4024" s="65"/>
      <c r="L4024" s="85" t="b">
        <f>IF(VLOOKUP(C4024,Projetos!A:L,12,false)=TRUE,TRUE,FALSE)</f>
        <v>1</v>
      </c>
      <c r="M4024" s="74">
        <v>52.1518759018759</v>
      </c>
      <c r="N4024" s="74">
        <f t="shared" si="1"/>
        <v>104.3037518</v>
      </c>
      <c r="O4024" s="74" t="b">
        <v>1</v>
      </c>
    </row>
    <row r="4025" hidden="1">
      <c r="A4025" s="82"/>
      <c r="B4025" s="65" t="s">
        <v>467</v>
      </c>
      <c r="C4025" s="65" t="s">
        <v>117</v>
      </c>
      <c r="D4025" s="65" t="str">
        <f>vlookup(C4025,'Classificação p pessoal'!F:G,2,false)</f>
        <v>NP</v>
      </c>
      <c r="E4025" s="65" t="s">
        <v>2938</v>
      </c>
      <c r="F4025" s="83">
        <v>0.5833333333333334</v>
      </c>
      <c r="G4025" s="83">
        <v>0.625</v>
      </c>
      <c r="H4025" s="83">
        <v>0.041666666666666664</v>
      </c>
      <c r="I4025" s="84">
        <v>44295.0</v>
      </c>
      <c r="J4025" s="65" t="b">
        <v>1</v>
      </c>
      <c r="K4025" s="65"/>
      <c r="L4025" s="85" t="b">
        <f>IF(VLOOKUP(C4025,Projetos!A:L,12,false)=TRUE,TRUE,FALSE)</f>
        <v>1</v>
      </c>
      <c r="M4025" s="74">
        <v>52.1518759018759</v>
      </c>
      <c r="N4025" s="74">
        <f t="shared" si="1"/>
        <v>52.1518759</v>
      </c>
      <c r="O4025" s="74" t="b">
        <v>1</v>
      </c>
    </row>
    <row r="4026" hidden="1">
      <c r="A4026" s="82"/>
      <c r="B4026" s="65" t="s">
        <v>467</v>
      </c>
      <c r="C4026" s="65" t="s">
        <v>92</v>
      </c>
      <c r="D4026" s="65" t="str">
        <f>vlookup(C4026,'Classificação p pessoal'!F:G,2,false)</f>
        <v/>
      </c>
      <c r="E4026" s="65" t="s">
        <v>2939</v>
      </c>
      <c r="F4026" s="83">
        <v>0.6666666666666666</v>
      </c>
      <c r="G4026" s="83">
        <v>0.7083333333333334</v>
      </c>
      <c r="H4026" s="83">
        <v>0.041666666666666664</v>
      </c>
      <c r="I4026" s="84">
        <v>44295.0</v>
      </c>
      <c r="J4026" s="65" t="b">
        <v>1</v>
      </c>
      <c r="K4026" s="65"/>
      <c r="L4026" s="85" t="b">
        <f>IF(VLOOKUP(C4026,Projetos!A:L,12,false)=TRUE,TRUE,FALSE)</f>
        <v>1</v>
      </c>
      <c r="M4026" s="74">
        <v>52.1518759018759</v>
      </c>
      <c r="N4026" s="74">
        <f t="shared" si="1"/>
        <v>52.1518759</v>
      </c>
      <c r="O4026" s="74" t="b">
        <v>1</v>
      </c>
    </row>
    <row r="4027" hidden="1">
      <c r="A4027" s="82"/>
      <c r="B4027" s="65" t="s">
        <v>467</v>
      </c>
      <c r="C4027" s="65" t="s">
        <v>113</v>
      </c>
      <c r="D4027" s="65" t="str">
        <f>vlookup(C4027,'Classificação p pessoal'!F:G,2,false)</f>
        <v>NP</v>
      </c>
      <c r="E4027" s="65" t="s">
        <v>2940</v>
      </c>
      <c r="F4027" s="83">
        <v>0.3541666666666667</v>
      </c>
      <c r="G4027" s="83">
        <v>0.5</v>
      </c>
      <c r="H4027" s="83">
        <v>0.14583333333333334</v>
      </c>
      <c r="I4027" s="84">
        <v>44297.0</v>
      </c>
      <c r="J4027" s="65" t="b">
        <v>1</v>
      </c>
      <c r="K4027" s="65"/>
      <c r="L4027" s="85" t="b">
        <f>IF(VLOOKUP(C4027,Projetos!A:L,12,false)=TRUE,TRUE,FALSE)</f>
        <v>1</v>
      </c>
      <c r="M4027" s="74">
        <v>52.1518759018759</v>
      </c>
      <c r="N4027" s="74">
        <f t="shared" si="1"/>
        <v>182.5315657</v>
      </c>
      <c r="O4027" s="74" t="b">
        <v>1</v>
      </c>
    </row>
    <row r="4028" hidden="1">
      <c r="A4028" s="82"/>
      <c r="B4028" s="65" t="s">
        <v>467</v>
      </c>
      <c r="C4028" s="65" t="s">
        <v>113</v>
      </c>
      <c r="D4028" s="65"/>
      <c r="E4028" s="65" t="s">
        <v>2941</v>
      </c>
      <c r="F4028" s="83">
        <v>0.5833333333333334</v>
      </c>
      <c r="G4028" s="83">
        <v>0.625</v>
      </c>
      <c r="H4028" s="83">
        <v>0.041666666666666664</v>
      </c>
      <c r="I4028" s="84">
        <v>44297.0</v>
      </c>
      <c r="J4028" s="65" t="b">
        <v>0</v>
      </c>
      <c r="K4028" s="65" t="s">
        <v>150</v>
      </c>
      <c r="L4028" s="85" t="b">
        <f>IF(VLOOKUP(C4028,Projetos!A:L,12,false)=TRUE,TRUE,FALSE)</f>
        <v>1</v>
      </c>
      <c r="M4028" s="74">
        <v>52.1518759018759</v>
      </c>
      <c r="N4028" s="74">
        <f t="shared" si="1"/>
        <v>0</v>
      </c>
      <c r="O4028" s="74" t="b">
        <v>1</v>
      </c>
    </row>
    <row r="4029" hidden="1">
      <c r="A4029" s="82"/>
      <c r="B4029" s="65" t="s">
        <v>467</v>
      </c>
      <c r="C4029" s="65" t="s">
        <v>92</v>
      </c>
      <c r="D4029" s="65" t="str">
        <f>vlookup(C4029,'Classificação p pessoal'!F:G,2,false)</f>
        <v/>
      </c>
      <c r="E4029" s="65" t="s">
        <v>2942</v>
      </c>
      <c r="F4029" s="83">
        <v>0.625</v>
      </c>
      <c r="G4029" s="83">
        <v>0.6458333333333334</v>
      </c>
      <c r="H4029" s="83">
        <v>0.020833333333333332</v>
      </c>
      <c r="I4029" s="84">
        <v>44297.0</v>
      </c>
      <c r="J4029" s="65" t="b">
        <v>1</v>
      </c>
      <c r="K4029" s="65"/>
      <c r="L4029" s="85" t="b">
        <f>IF(VLOOKUP(C4029,Projetos!A:L,12,false)=TRUE,TRUE,FALSE)</f>
        <v>1</v>
      </c>
      <c r="M4029" s="74">
        <v>52.1518759018759</v>
      </c>
      <c r="N4029" s="74">
        <f t="shared" si="1"/>
        <v>26.07593795</v>
      </c>
      <c r="O4029" s="74" t="b">
        <v>1</v>
      </c>
    </row>
    <row r="4030" hidden="1">
      <c r="A4030" s="82"/>
      <c r="B4030" s="65" t="s">
        <v>467</v>
      </c>
      <c r="C4030" s="65" t="s">
        <v>122</v>
      </c>
      <c r="D4030" s="65"/>
      <c r="E4030" s="65" t="s">
        <v>2943</v>
      </c>
      <c r="F4030" s="83">
        <v>0.4166666666666667</v>
      </c>
      <c r="G4030" s="83">
        <v>0.5</v>
      </c>
      <c r="H4030" s="83">
        <v>0.08333333333333333</v>
      </c>
      <c r="I4030" s="84">
        <v>44298.0</v>
      </c>
      <c r="J4030" s="65" t="b">
        <v>0</v>
      </c>
      <c r="K4030" s="65" t="s">
        <v>150</v>
      </c>
      <c r="L4030" s="85" t="b">
        <f>IF(VLOOKUP(C4030,Projetos!A:L,12,false)=TRUE,TRUE,FALSE)</f>
        <v>1</v>
      </c>
      <c r="M4030" s="74">
        <v>52.1518759018759</v>
      </c>
      <c r="N4030" s="74">
        <f t="shared" si="1"/>
        <v>0</v>
      </c>
      <c r="O4030" s="74" t="b">
        <v>1</v>
      </c>
    </row>
    <row r="4031" hidden="1">
      <c r="A4031" s="82"/>
      <c r="B4031" s="65" t="s">
        <v>467</v>
      </c>
      <c r="C4031" s="65" t="s">
        <v>113</v>
      </c>
      <c r="D4031" s="65" t="str">
        <f>vlookup(C4031,'Classificação p pessoal'!F:G,2,false)</f>
        <v>NP</v>
      </c>
      <c r="E4031" s="65" t="s">
        <v>2944</v>
      </c>
      <c r="F4031" s="83">
        <v>0.5833333333333334</v>
      </c>
      <c r="G4031" s="83">
        <v>0.7291666666666666</v>
      </c>
      <c r="H4031" s="83">
        <v>0.14583333333333334</v>
      </c>
      <c r="I4031" s="84">
        <v>44298.0</v>
      </c>
      <c r="J4031" s="65" t="b">
        <v>1</v>
      </c>
      <c r="K4031" s="65"/>
      <c r="L4031" s="85" t="b">
        <f>IF(VLOOKUP(C4031,Projetos!A:L,12,false)=TRUE,TRUE,FALSE)</f>
        <v>1</v>
      </c>
      <c r="M4031" s="74">
        <v>52.1518759018759</v>
      </c>
      <c r="N4031" s="74">
        <f t="shared" si="1"/>
        <v>182.5315657</v>
      </c>
      <c r="O4031" s="74" t="b">
        <v>1</v>
      </c>
    </row>
    <row r="4032" hidden="1">
      <c r="A4032" s="82"/>
      <c r="B4032" s="65" t="s">
        <v>467</v>
      </c>
      <c r="C4032" s="65" t="s">
        <v>113</v>
      </c>
      <c r="D4032" s="65" t="str">
        <f>vlookup(C4032,'Classificação p pessoal'!F:G,2,false)</f>
        <v>NP</v>
      </c>
      <c r="E4032" s="65" t="s">
        <v>2945</v>
      </c>
      <c r="F4032" s="83">
        <v>0.3541666666666667</v>
      </c>
      <c r="G4032" s="83">
        <v>0.4166666666666667</v>
      </c>
      <c r="H4032" s="83">
        <v>0.0625</v>
      </c>
      <c r="I4032" s="84">
        <v>44298.0</v>
      </c>
      <c r="J4032" s="65" t="b">
        <v>1</v>
      </c>
      <c r="K4032" s="65"/>
      <c r="L4032" s="85" t="b">
        <f>IF(VLOOKUP(C4032,Projetos!A:L,12,false)=TRUE,TRUE,FALSE)</f>
        <v>1</v>
      </c>
      <c r="M4032" s="74">
        <v>52.1518759018759</v>
      </c>
      <c r="N4032" s="74">
        <f t="shared" si="1"/>
        <v>78.22781385</v>
      </c>
      <c r="O4032" s="74" t="b">
        <v>1</v>
      </c>
    </row>
    <row r="4033" hidden="1">
      <c r="A4033" s="82"/>
      <c r="B4033" s="65" t="s">
        <v>467</v>
      </c>
      <c r="C4033" s="65" t="s">
        <v>113</v>
      </c>
      <c r="D4033" s="65" t="str">
        <f>vlookup(C4033,'Classificação p pessoal'!F:G,2,false)</f>
        <v>NP</v>
      </c>
      <c r="E4033" s="65" t="s">
        <v>2946</v>
      </c>
      <c r="F4033" s="83">
        <v>0.4375</v>
      </c>
      <c r="G4033" s="83">
        <v>0.4791666666666667</v>
      </c>
      <c r="H4033" s="83">
        <v>0.041666666666666664</v>
      </c>
      <c r="I4033" s="84">
        <v>44299.0</v>
      </c>
      <c r="J4033" s="65" t="b">
        <v>1</v>
      </c>
      <c r="K4033" s="65"/>
      <c r="L4033" s="85" t="b">
        <f>IF(VLOOKUP(C4033,Projetos!A:L,12,false)=TRUE,TRUE,FALSE)</f>
        <v>1</v>
      </c>
      <c r="M4033" s="74">
        <v>52.1518759018759</v>
      </c>
      <c r="N4033" s="74">
        <f t="shared" si="1"/>
        <v>52.1518759</v>
      </c>
      <c r="O4033" s="74" t="b">
        <v>1</v>
      </c>
    </row>
    <row r="4034" hidden="1">
      <c r="A4034" s="82"/>
      <c r="B4034" s="65" t="s">
        <v>467</v>
      </c>
      <c r="C4034" s="65" t="s">
        <v>92</v>
      </c>
      <c r="D4034" s="65" t="str">
        <f>vlookup(C4034,'Classificação p pessoal'!F:G,2,false)</f>
        <v/>
      </c>
      <c r="E4034" s="65" t="s">
        <v>2947</v>
      </c>
      <c r="F4034" s="83">
        <v>0.625</v>
      </c>
      <c r="G4034" s="83">
        <v>0.6666666666666666</v>
      </c>
      <c r="H4034" s="83">
        <v>0.041666666666666664</v>
      </c>
      <c r="I4034" s="84">
        <v>44299.0</v>
      </c>
      <c r="J4034" s="65" t="b">
        <v>1</v>
      </c>
      <c r="K4034" s="65"/>
      <c r="L4034" s="85" t="b">
        <f>IF(VLOOKUP(C4034,Projetos!A:L,12,false)=TRUE,TRUE,FALSE)</f>
        <v>1</v>
      </c>
      <c r="M4034" s="74">
        <v>52.1518759018759</v>
      </c>
      <c r="N4034" s="74">
        <f t="shared" si="1"/>
        <v>52.1518759</v>
      </c>
      <c r="O4034" s="74" t="b">
        <v>1</v>
      </c>
    </row>
    <row r="4035" hidden="1">
      <c r="A4035" s="82"/>
      <c r="B4035" s="65" t="s">
        <v>467</v>
      </c>
      <c r="C4035" s="65" t="s">
        <v>113</v>
      </c>
      <c r="D4035" s="65" t="str">
        <f>vlookup(C4035,'Classificação p pessoal'!F:G,2,false)</f>
        <v>NP</v>
      </c>
      <c r="E4035" s="65" t="s">
        <v>2948</v>
      </c>
      <c r="F4035" s="83">
        <v>0.3541666666666667</v>
      </c>
      <c r="G4035" s="83">
        <v>0.4375</v>
      </c>
      <c r="H4035" s="83">
        <v>0.08333333333333333</v>
      </c>
      <c r="I4035" s="84">
        <v>44300.0</v>
      </c>
      <c r="J4035" s="65" t="b">
        <v>1</v>
      </c>
      <c r="K4035" s="65"/>
      <c r="L4035" s="85" t="b">
        <f>IF(VLOOKUP(C4035,Projetos!A:L,12,false)=TRUE,TRUE,FALSE)</f>
        <v>1</v>
      </c>
      <c r="M4035" s="74">
        <v>52.1518759018759</v>
      </c>
      <c r="N4035" s="74">
        <f t="shared" si="1"/>
        <v>104.3037518</v>
      </c>
      <c r="O4035" s="74" t="b">
        <v>1</v>
      </c>
    </row>
    <row r="4036" hidden="1">
      <c r="A4036" s="82"/>
      <c r="B4036" s="65" t="s">
        <v>467</v>
      </c>
      <c r="C4036" s="65" t="s">
        <v>113</v>
      </c>
      <c r="D4036" s="65" t="str">
        <f>vlookup(C4036,'Classificação p pessoal'!F:G,2,false)</f>
        <v>NP</v>
      </c>
      <c r="E4036" s="65" t="s">
        <v>2949</v>
      </c>
      <c r="F4036" s="83">
        <v>0.4375</v>
      </c>
      <c r="G4036" s="83">
        <v>0.5</v>
      </c>
      <c r="H4036" s="83">
        <v>0.0625</v>
      </c>
      <c r="I4036" s="84">
        <v>44300.0</v>
      </c>
      <c r="J4036" s="65" t="b">
        <v>1</v>
      </c>
      <c r="K4036" s="65"/>
      <c r="L4036" s="85" t="b">
        <f>IF(VLOOKUP(C4036,Projetos!A:L,12,false)=TRUE,TRUE,FALSE)</f>
        <v>1</v>
      </c>
      <c r="M4036" s="74">
        <v>52.1518759018759</v>
      </c>
      <c r="N4036" s="74">
        <f t="shared" si="1"/>
        <v>78.22781385</v>
      </c>
      <c r="O4036" s="74" t="b">
        <v>1</v>
      </c>
    </row>
    <row r="4037" hidden="1">
      <c r="A4037" s="82"/>
      <c r="B4037" s="65" t="s">
        <v>467</v>
      </c>
      <c r="C4037" s="65" t="s">
        <v>113</v>
      </c>
      <c r="D4037" s="65" t="str">
        <f>vlookup(C4037,'Classificação p pessoal'!F:G,2,false)</f>
        <v>NP</v>
      </c>
      <c r="E4037" s="65" t="s">
        <v>2950</v>
      </c>
      <c r="F4037" s="83">
        <v>0.3541666666666667</v>
      </c>
      <c r="G4037" s="83">
        <v>0.4166666666666667</v>
      </c>
      <c r="H4037" s="83">
        <v>0.0625</v>
      </c>
      <c r="I4037" s="84">
        <v>44301.0</v>
      </c>
      <c r="J4037" s="65" t="b">
        <v>1</v>
      </c>
      <c r="K4037" s="65"/>
      <c r="L4037" s="85" t="b">
        <f>IF(VLOOKUP(C4037,Projetos!A:L,12,false)=TRUE,TRUE,FALSE)</f>
        <v>1</v>
      </c>
      <c r="M4037" s="74">
        <v>52.1518759018759</v>
      </c>
      <c r="N4037" s="74">
        <f t="shared" si="1"/>
        <v>78.22781385</v>
      </c>
      <c r="O4037" s="74" t="b">
        <v>1</v>
      </c>
    </row>
    <row r="4038" hidden="1">
      <c r="A4038" s="82"/>
      <c r="B4038" s="65" t="s">
        <v>467</v>
      </c>
      <c r="C4038" s="65" t="s">
        <v>92</v>
      </c>
      <c r="D4038" s="65" t="str">
        <f>vlookup(C4038,'Classificação p pessoal'!F:G,2,false)</f>
        <v/>
      </c>
      <c r="E4038" s="65" t="s">
        <v>2951</v>
      </c>
      <c r="F4038" s="83">
        <v>0.4166666666666667</v>
      </c>
      <c r="G4038" s="83">
        <v>0.4583333333333333</v>
      </c>
      <c r="H4038" s="83">
        <v>0.041666666666666664</v>
      </c>
      <c r="I4038" s="84">
        <v>44301.0</v>
      </c>
      <c r="J4038" s="65" t="b">
        <v>1</v>
      </c>
      <c r="K4038" s="65"/>
      <c r="L4038" s="85" t="b">
        <f>IF(VLOOKUP(C4038,Projetos!A:L,12,false)=TRUE,TRUE,FALSE)</f>
        <v>1</v>
      </c>
      <c r="M4038" s="74">
        <v>52.1518759018759</v>
      </c>
      <c r="N4038" s="74">
        <f t="shared" si="1"/>
        <v>52.1518759</v>
      </c>
      <c r="O4038" s="74" t="b">
        <v>1</v>
      </c>
    </row>
    <row r="4039" hidden="1">
      <c r="A4039" s="82"/>
      <c r="B4039" s="65" t="s">
        <v>467</v>
      </c>
      <c r="C4039" s="65" t="s">
        <v>113</v>
      </c>
      <c r="D4039" s="65" t="str">
        <f>vlookup(C4039,'Classificação p pessoal'!F:G,2,false)</f>
        <v>NP</v>
      </c>
      <c r="E4039" s="65" t="s">
        <v>2952</v>
      </c>
      <c r="F4039" s="83">
        <v>0.6666666666666666</v>
      </c>
      <c r="G4039" s="83">
        <v>0.7083333333333334</v>
      </c>
      <c r="H4039" s="83">
        <v>0.041666666666666664</v>
      </c>
      <c r="I4039" s="84">
        <v>44300.0</v>
      </c>
      <c r="J4039" s="65" t="b">
        <v>1</v>
      </c>
      <c r="K4039" s="65"/>
      <c r="L4039" s="85" t="b">
        <f>IF(VLOOKUP(C4039,Projetos!A:L,12,false)=TRUE,TRUE,FALSE)</f>
        <v>1</v>
      </c>
      <c r="M4039" s="74">
        <v>52.1518759018759</v>
      </c>
      <c r="N4039" s="74">
        <f t="shared" si="1"/>
        <v>52.1518759</v>
      </c>
      <c r="O4039" s="74" t="b">
        <v>1</v>
      </c>
    </row>
    <row r="4040" hidden="1">
      <c r="A4040" s="82"/>
      <c r="B4040" s="65" t="s">
        <v>467</v>
      </c>
      <c r="C4040" s="65" t="s">
        <v>113</v>
      </c>
      <c r="D4040" s="65" t="str">
        <f>vlookup(C4040,'Classificação p pessoal'!F:G,2,false)</f>
        <v>NP</v>
      </c>
      <c r="E4040" s="65" t="s">
        <v>2953</v>
      </c>
      <c r="F4040" s="83">
        <v>0.5833333333333334</v>
      </c>
      <c r="G4040" s="83">
        <v>0.6041666666666666</v>
      </c>
      <c r="H4040" s="83">
        <v>0.020833333333333332</v>
      </c>
      <c r="I4040" s="84">
        <v>44301.0</v>
      </c>
      <c r="J4040" s="65" t="b">
        <v>1</v>
      </c>
      <c r="K4040" s="65"/>
      <c r="L4040" s="85" t="b">
        <f>IF(VLOOKUP(C4040,Projetos!A:L,12,false)=TRUE,TRUE,FALSE)</f>
        <v>1</v>
      </c>
      <c r="M4040" s="74">
        <v>52.1518759018759</v>
      </c>
      <c r="N4040" s="74">
        <f t="shared" si="1"/>
        <v>26.07593795</v>
      </c>
      <c r="O4040" s="74" t="b">
        <v>1</v>
      </c>
    </row>
    <row r="4041" hidden="1">
      <c r="A4041" s="82"/>
      <c r="B4041" s="65" t="s">
        <v>467</v>
      </c>
      <c r="C4041" s="65" t="s">
        <v>92</v>
      </c>
      <c r="D4041" s="65" t="str">
        <f>vlookup(C4041,'Classificação p pessoal'!F:G,2,false)</f>
        <v/>
      </c>
      <c r="E4041" s="65" t="s">
        <v>2954</v>
      </c>
      <c r="F4041" s="83">
        <v>0.3541666666666667</v>
      </c>
      <c r="G4041" s="83">
        <v>0.4166666666666667</v>
      </c>
      <c r="H4041" s="83">
        <v>0.0625</v>
      </c>
      <c r="I4041" s="84">
        <v>44302.0</v>
      </c>
      <c r="J4041" s="65" t="b">
        <v>1</v>
      </c>
      <c r="K4041" s="65"/>
      <c r="L4041" s="85" t="b">
        <f>IF(VLOOKUP(C4041,Projetos!A:L,12,false)=TRUE,TRUE,FALSE)</f>
        <v>1</v>
      </c>
      <c r="M4041" s="74">
        <v>52.1518759018759</v>
      </c>
      <c r="N4041" s="74">
        <f t="shared" si="1"/>
        <v>78.22781385</v>
      </c>
      <c r="O4041" s="74" t="b">
        <v>1</v>
      </c>
    </row>
    <row r="4042" hidden="1">
      <c r="A4042" s="82"/>
      <c r="B4042" s="65" t="s">
        <v>467</v>
      </c>
      <c r="C4042" s="65" t="s">
        <v>113</v>
      </c>
      <c r="D4042" s="65" t="str">
        <f>vlookup(C4042,'Classificação p pessoal'!F:G,2,false)</f>
        <v>NP</v>
      </c>
      <c r="E4042" s="65" t="s">
        <v>2955</v>
      </c>
      <c r="F4042" s="83">
        <v>0.5833333333333334</v>
      </c>
      <c r="G4042" s="83">
        <v>0.6458333333333334</v>
      </c>
      <c r="H4042" s="83">
        <v>0.0625</v>
      </c>
      <c r="I4042" s="84">
        <v>44302.0</v>
      </c>
      <c r="J4042" s="65" t="b">
        <v>1</v>
      </c>
      <c r="K4042" s="65"/>
      <c r="L4042" s="85" t="b">
        <f>IF(VLOOKUP(C4042,Projetos!A:L,12,false)=TRUE,TRUE,FALSE)</f>
        <v>1</v>
      </c>
      <c r="M4042" s="74">
        <v>52.1518759018759</v>
      </c>
      <c r="N4042" s="74">
        <f t="shared" si="1"/>
        <v>78.22781385</v>
      </c>
      <c r="O4042" s="74" t="b">
        <v>1</v>
      </c>
    </row>
    <row r="4043" hidden="1">
      <c r="A4043" s="82"/>
      <c r="B4043" s="65" t="s">
        <v>467</v>
      </c>
      <c r="C4043" s="65" t="s">
        <v>113</v>
      </c>
      <c r="D4043" s="65"/>
      <c r="E4043" s="65" t="s">
        <v>2956</v>
      </c>
      <c r="F4043" s="83">
        <v>0.3541666666666667</v>
      </c>
      <c r="G4043" s="83">
        <v>0.4375</v>
      </c>
      <c r="H4043" s="83">
        <v>0.08333333333333333</v>
      </c>
      <c r="I4043" s="84">
        <v>44305.0</v>
      </c>
      <c r="J4043" s="65" t="b">
        <v>0</v>
      </c>
      <c r="K4043" s="65" t="s">
        <v>150</v>
      </c>
      <c r="L4043" s="85" t="b">
        <f>IF(VLOOKUP(C4043,Projetos!A:L,12,false)=TRUE,TRUE,FALSE)</f>
        <v>1</v>
      </c>
      <c r="M4043" s="74">
        <v>52.1518759018759</v>
      </c>
      <c r="N4043" s="74">
        <f t="shared" si="1"/>
        <v>0</v>
      </c>
      <c r="O4043" s="74" t="b">
        <v>1</v>
      </c>
    </row>
    <row r="4044" hidden="1">
      <c r="A4044" s="82"/>
      <c r="B4044" s="65" t="s">
        <v>467</v>
      </c>
      <c r="C4044" s="65" t="s">
        <v>122</v>
      </c>
      <c r="D4044" s="65"/>
      <c r="E4044" s="65" t="s">
        <v>2957</v>
      </c>
      <c r="F4044" s="83">
        <v>0.4375</v>
      </c>
      <c r="G4044" s="83">
        <v>0.4791666666666667</v>
      </c>
      <c r="H4044" s="83">
        <v>0.041666666666666664</v>
      </c>
      <c r="I4044" s="84">
        <v>44305.0</v>
      </c>
      <c r="J4044" s="65" t="b">
        <v>0</v>
      </c>
      <c r="K4044" s="65" t="s">
        <v>150</v>
      </c>
      <c r="L4044" s="85" t="b">
        <f>IF(VLOOKUP(C4044,Projetos!A:L,12,false)=TRUE,TRUE,FALSE)</f>
        <v>1</v>
      </c>
      <c r="M4044" s="74">
        <v>52.1518759018759</v>
      </c>
      <c r="N4044" s="74">
        <f t="shared" si="1"/>
        <v>0</v>
      </c>
      <c r="O4044" s="74" t="b">
        <v>1</v>
      </c>
    </row>
    <row r="4045" hidden="1">
      <c r="A4045" s="82"/>
      <c r="B4045" s="65" t="s">
        <v>467</v>
      </c>
      <c r="C4045" s="65" t="s">
        <v>113</v>
      </c>
      <c r="D4045" s="65" t="str">
        <f>vlookup(C4045,'Classificação p pessoal'!F:G,2,false)</f>
        <v>NP</v>
      </c>
      <c r="E4045" s="65" t="s">
        <v>2958</v>
      </c>
      <c r="F4045" s="83">
        <v>0.4791666666666667</v>
      </c>
      <c r="G4045" s="83">
        <v>0.5625</v>
      </c>
      <c r="H4045" s="83">
        <v>0.08333333333333333</v>
      </c>
      <c r="I4045" s="84">
        <v>44305.0</v>
      </c>
      <c r="J4045" s="65" t="b">
        <v>1</v>
      </c>
      <c r="K4045" s="65"/>
      <c r="L4045" s="85" t="b">
        <f>IF(VLOOKUP(C4045,Projetos!A:L,12,false)=TRUE,TRUE,FALSE)</f>
        <v>1</v>
      </c>
      <c r="M4045" s="74">
        <v>52.1518759018759</v>
      </c>
      <c r="N4045" s="74">
        <f t="shared" si="1"/>
        <v>104.3037518</v>
      </c>
      <c r="O4045" s="74" t="b">
        <v>1</v>
      </c>
    </row>
    <row r="4046" hidden="1">
      <c r="A4046" s="82"/>
      <c r="B4046" s="65" t="s">
        <v>467</v>
      </c>
      <c r="C4046" s="65" t="s">
        <v>122</v>
      </c>
      <c r="D4046" s="65" t="str">
        <f>vlookup(C4046,'Classificação p pessoal'!F:G,2,false)</f>
        <v>NP</v>
      </c>
      <c r="E4046" s="65" t="s">
        <v>2959</v>
      </c>
      <c r="F4046" s="83">
        <v>0.6041666666666666</v>
      </c>
      <c r="G4046" s="83">
        <v>0.6458333333333334</v>
      </c>
      <c r="H4046" s="83">
        <v>0.041666666666666664</v>
      </c>
      <c r="I4046" s="84">
        <v>44305.0</v>
      </c>
      <c r="J4046" s="65" t="b">
        <v>1</v>
      </c>
      <c r="K4046" s="65"/>
      <c r="L4046" s="85" t="b">
        <f>IF(VLOOKUP(C4046,Projetos!A:L,12,false)=TRUE,TRUE,FALSE)</f>
        <v>1</v>
      </c>
      <c r="M4046" s="74">
        <v>52.1518759018759</v>
      </c>
      <c r="N4046" s="74">
        <f t="shared" si="1"/>
        <v>52.1518759</v>
      </c>
      <c r="O4046" s="74" t="b">
        <v>1</v>
      </c>
    </row>
    <row r="4047" hidden="1">
      <c r="A4047" s="82"/>
      <c r="B4047" s="65" t="s">
        <v>467</v>
      </c>
      <c r="C4047" s="65" t="s">
        <v>113</v>
      </c>
      <c r="D4047" s="65" t="str">
        <f>vlookup(C4047,'Classificação p pessoal'!F:G,2,false)</f>
        <v>NP</v>
      </c>
      <c r="E4047" s="65" t="s">
        <v>2960</v>
      </c>
      <c r="F4047" s="83">
        <v>0.4375</v>
      </c>
      <c r="G4047" s="83">
        <v>0.4791666666666667</v>
      </c>
      <c r="H4047" s="83">
        <v>0.041666666666666664</v>
      </c>
      <c r="I4047" s="84">
        <v>44306.0</v>
      </c>
      <c r="J4047" s="65" t="b">
        <v>1</v>
      </c>
      <c r="K4047" s="65"/>
      <c r="L4047" s="85" t="b">
        <f>IF(VLOOKUP(C4047,Projetos!A:L,12,false)=TRUE,TRUE,FALSE)</f>
        <v>1</v>
      </c>
      <c r="M4047" s="74">
        <v>52.1518759018759</v>
      </c>
      <c r="N4047" s="74">
        <f t="shared" si="1"/>
        <v>52.1518759</v>
      </c>
      <c r="O4047" s="74" t="b">
        <v>1</v>
      </c>
    </row>
    <row r="4048" hidden="1">
      <c r="A4048" s="82"/>
      <c r="B4048" s="65" t="s">
        <v>467</v>
      </c>
      <c r="C4048" s="65" t="s">
        <v>92</v>
      </c>
      <c r="D4048" s="65" t="str">
        <f>vlookup(C4048,'Classificação p pessoal'!F:G,2,false)</f>
        <v/>
      </c>
      <c r="E4048" s="65" t="s">
        <v>2961</v>
      </c>
      <c r="F4048" s="83">
        <v>0.625</v>
      </c>
      <c r="G4048" s="83">
        <v>0.6666666666666666</v>
      </c>
      <c r="H4048" s="83">
        <v>0.041666666666666664</v>
      </c>
      <c r="I4048" s="84">
        <v>44306.0</v>
      </c>
      <c r="J4048" s="65" t="b">
        <v>1</v>
      </c>
      <c r="K4048" s="65"/>
      <c r="L4048" s="85" t="b">
        <f>IF(VLOOKUP(C4048,Projetos!A:L,12,false)=TRUE,TRUE,FALSE)</f>
        <v>1</v>
      </c>
      <c r="M4048" s="74">
        <v>52.1518759018759</v>
      </c>
      <c r="N4048" s="74">
        <f t="shared" si="1"/>
        <v>52.1518759</v>
      </c>
      <c r="O4048" s="74" t="b">
        <v>1</v>
      </c>
    </row>
    <row r="4049" hidden="1">
      <c r="A4049" s="82"/>
      <c r="B4049" s="65" t="s">
        <v>467</v>
      </c>
      <c r="C4049" s="65" t="s">
        <v>113</v>
      </c>
      <c r="D4049" s="65" t="str">
        <f>vlookup(C4049,'Classificação p pessoal'!F:G,2,false)</f>
        <v>NP</v>
      </c>
      <c r="E4049" s="65" t="s">
        <v>2962</v>
      </c>
      <c r="F4049" s="83">
        <v>0.34375</v>
      </c>
      <c r="G4049" s="83">
        <v>0.6666666666666666</v>
      </c>
      <c r="H4049" s="83">
        <v>0.3229166666666667</v>
      </c>
      <c r="I4049" s="84">
        <v>44308.0</v>
      </c>
      <c r="J4049" s="65" t="b">
        <v>1</v>
      </c>
      <c r="K4049" s="65"/>
      <c r="L4049" s="85" t="b">
        <f>IF(VLOOKUP(C4049,Projetos!A:L,12,false)=TRUE,TRUE,FALSE)</f>
        <v>1</v>
      </c>
      <c r="M4049" s="74">
        <v>52.1518759018759</v>
      </c>
      <c r="N4049" s="74">
        <f t="shared" si="1"/>
        <v>404.1770382</v>
      </c>
      <c r="O4049" s="74" t="b">
        <v>1</v>
      </c>
    </row>
    <row r="4050" hidden="1">
      <c r="A4050" s="82"/>
      <c r="B4050" s="65" t="s">
        <v>467</v>
      </c>
      <c r="C4050" s="65" t="s">
        <v>113</v>
      </c>
      <c r="D4050" s="65" t="str">
        <f>vlookup(C4050,'Classificação p pessoal'!F:G,2,false)</f>
        <v>NP</v>
      </c>
      <c r="E4050" s="65" t="s">
        <v>2963</v>
      </c>
      <c r="F4050" s="83">
        <v>0.6666666666666666</v>
      </c>
      <c r="G4050" s="83">
        <v>0.75</v>
      </c>
      <c r="H4050" s="83">
        <v>0.08333333333333333</v>
      </c>
      <c r="I4050" s="84">
        <v>44308.0</v>
      </c>
      <c r="J4050" s="65" t="b">
        <v>1</v>
      </c>
      <c r="K4050" s="65"/>
      <c r="L4050" s="85" t="b">
        <f>IF(VLOOKUP(C4050,Projetos!A:L,12,false)=TRUE,TRUE,FALSE)</f>
        <v>1</v>
      </c>
      <c r="M4050" s="74">
        <v>52.1518759018759</v>
      </c>
      <c r="N4050" s="74">
        <f t="shared" si="1"/>
        <v>104.3037518</v>
      </c>
      <c r="O4050" s="74" t="b">
        <v>1</v>
      </c>
    </row>
    <row r="4051" hidden="1">
      <c r="A4051" s="82"/>
      <c r="B4051" s="65" t="s">
        <v>467</v>
      </c>
      <c r="C4051" s="65" t="s">
        <v>113</v>
      </c>
      <c r="D4051" s="65" t="str">
        <f>vlookup(C4051,'Classificação p pessoal'!F:G,2,false)</f>
        <v>NP</v>
      </c>
      <c r="E4051" s="65" t="s">
        <v>2964</v>
      </c>
      <c r="F4051" s="83">
        <v>0.34375</v>
      </c>
      <c r="G4051" s="83">
        <v>0.625</v>
      </c>
      <c r="H4051" s="83">
        <v>0.28125</v>
      </c>
      <c r="I4051" s="84">
        <v>44309.0</v>
      </c>
      <c r="J4051" s="65" t="b">
        <v>1</v>
      </c>
      <c r="K4051" s="65"/>
      <c r="L4051" s="85" t="b">
        <f>IF(VLOOKUP(C4051,Projetos!A:L,12,false)=TRUE,TRUE,FALSE)</f>
        <v>1</v>
      </c>
      <c r="M4051" s="74">
        <v>52.1518759018759</v>
      </c>
      <c r="N4051" s="74">
        <f t="shared" si="1"/>
        <v>352.0251623</v>
      </c>
      <c r="O4051" s="74" t="b">
        <v>1</v>
      </c>
    </row>
    <row r="4052" hidden="1">
      <c r="A4052" s="82"/>
      <c r="B4052" s="65" t="s">
        <v>467</v>
      </c>
      <c r="C4052" s="65" t="s">
        <v>113</v>
      </c>
      <c r="D4052" s="65" t="str">
        <f>vlookup(C4052,'Classificação p pessoal'!F:G,2,false)</f>
        <v>NP</v>
      </c>
      <c r="E4052" s="65" t="s">
        <v>2965</v>
      </c>
      <c r="F4052" s="83">
        <v>0.625</v>
      </c>
      <c r="G4052" s="83">
        <v>0.6875</v>
      </c>
      <c r="H4052" s="83">
        <v>0.0625</v>
      </c>
      <c r="I4052" s="84">
        <v>44309.0</v>
      </c>
      <c r="J4052" s="65" t="b">
        <v>1</v>
      </c>
      <c r="K4052" s="65"/>
      <c r="L4052" s="85" t="b">
        <f>IF(VLOOKUP(C4052,Projetos!A:L,12,false)=TRUE,TRUE,FALSE)</f>
        <v>1</v>
      </c>
      <c r="M4052" s="74">
        <v>52.1518759018759</v>
      </c>
      <c r="N4052" s="74">
        <f t="shared" si="1"/>
        <v>78.22781385</v>
      </c>
      <c r="O4052" s="74" t="b">
        <v>1</v>
      </c>
    </row>
    <row r="4053" hidden="1">
      <c r="A4053" s="82"/>
      <c r="B4053" s="65" t="s">
        <v>467</v>
      </c>
      <c r="C4053" s="65" t="s">
        <v>117</v>
      </c>
      <c r="D4053" s="65" t="str">
        <f>vlookup(C4053,'Classificação p pessoal'!F:G,2,false)</f>
        <v>NP</v>
      </c>
      <c r="E4053" s="65" t="s">
        <v>2966</v>
      </c>
      <c r="F4053" s="83">
        <v>0.4166666666666667</v>
      </c>
      <c r="G4053" s="83">
        <v>0.4583333333333333</v>
      </c>
      <c r="H4053" s="83">
        <v>0.041666666666666664</v>
      </c>
      <c r="I4053" s="84">
        <v>44312.0</v>
      </c>
      <c r="J4053" s="65" t="b">
        <v>1</v>
      </c>
      <c r="K4053" s="65"/>
      <c r="L4053" s="85" t="b">
        <f>IF(VLOOKUP(C4053,Projetos!A:L,12,false)=TRUE,TRUE,FALSE)</f>
        <v>1</v>
      </c>
      <c r="M4053" s="74">
        <v>52.1518759018759</v>
      </c>
      <c r="N4053" s="74">
        <f t="shared" si="1"/>
        <v>52.1518759</v>
      </c>
      <c r="O4053" s="74" t="b">
        <v>1</v>
      </c>
    </row>
    <row r="4054" hidden="1">
      <c r="A4054" s="82"/>
      <c r="B4054" s="65" t="s">
        <v>467</v>
      </c>
      <c r="C4054" s="65" t="s">
        <v>92</v>
      </c>
      <c r="D4054" s="65" t="str">
        <f>vlookup(C4054,'Classificação p pessoal'!F:G,2,false)</f>
        <v/>
      </c>
      <c r="E4054" s="65" t="s">
        <v>2967</v>
      </c>
      <c r="F4054" s="83">
        <v>0.5833333333333334</v>
      </c>
      <c r="G4054" s="83">
        <v>0.6458333333333334</v>
      </c>
      <c r="H4054" s="83">
        <v>0.0625</v>
      </c>
      <c r="I4054" s="84">
        <v>44312.0</v>
      </c>
      <c r="J4054" s="65" t="b">
        <v>1</v>
      </c>
      <c r="K4054" s="65"/>
      <c r="L4054" s="85" t="b">
        <f>IF(VLOOKUP(C4054,Projetos!A:L,12,false)=TRUE,TRUE,FALSE)</f>
        <v>1</v>
      </c>
      <c r="M4054" s="74">
        <v>52.1518759018759</v>
      </c>
      <c r="N4054" s="74">
        <f t="shared" si="1"/>
        <v>78.22781385</v>
      </c>
      <c r="O4054" s="74" t="b">
        <v>1</v>
      </c>
    </row>
    <row r="4055" hidden="1">
      <c r="A4055" s="82"/>
      <c r="B4055" s="65" t="s">
        <v>467</v>
      </c>
      <c r="C4055" s="65" t="s">
        <v>113</v>
      </c>
      <c r="D4055" s="65" t="str">
        <f>vlookup(C4055,'Classificação p pessoal'!F:G,2,false)</f>
        <v>NP</v>
      </c>
      <c r="E4055" s="65" t="s">
        <v>2968</v>
      </c>
      <c r="F4055" s="83">
        <v>0.3541666666666667</v>
      </c>
      <c r="G4055" s="83">
        <v>0.4375</v>
      </c>
      <c r="H4055" s="83">
        <v>0.08333333333333333</v>
      </c>
      <c r="I4055" s="84">
        <v>44312.0</v>
      </c>
      <c r="J4055" s="65" t="b">
        <v>1</v>
      </c>
      <c r="K4055" s="65"/>
      <c r="L4055" s="85" t="b">
        <f>IF(VLOOKUP(C4055,Projetos!A:L,12,false)=TRUE,TRUE,FALSE)</f>
        <v>1</v>
      </c>
      <c r="M4055" s="74">
        <v>52.1518759018759</v>
      </c>
      <c r="N4055" s="74">
        <f t="shared" si="1"/>
        <v>104.3037518</v>
      </c>
      <c r="O4055" s="74" t="b">
        <v>1</v>
      </c>
    </row>
    <row r="4056" hidden="1">
      <c r="A4056" s="82"/>
      <c r="B4056" s="65" t="s">
        <v>467</v>
      </c>
      <c r="C4056" s="65" t="s">
        <v>113</v>
      </c>
      <c r="D4056" s="65" t="str">
        <f>vlookup(C4056,'Classificação p pessoal'!F:G,2,false)</f>
        <v>NP</v>
      </c>
      <c r="E4056" s="65" t="s">
        <v>2969</v>
      </c>
      <c r="F4056" s="83">
        <v>0.4375</v>
      </c>
      <c r="G4056" s="83">
        <v>0.5</v>
      </c>
      <c r="H4056" s="83">
        <v>0.0625</v>
      </c>
      <c r="I4056" s="84">
        <v>44312.0</v>
      </c>
      <c r="J4056" s="65" t="b">
        <v>1</v>
      </c>
      <c r="K4056" s="65"/>
      <c r="L4056" s="85" t="b">
        <f>IF(VLOOKUP(C4056,Projetos!A:L,12,false)=TRUE,TRUE,FALSE)</f>
        <v>1</v>
      </c>
      <c r="M4056" s="74">
        <v>52.1518759018759</v>
      </c>
      <c r="N4056" s="74">
        <f t="shared" si="1"/>
        <v>78.22781385</v>
      </c>
      <c r="O4056" s="74" t="b">
        <v>1</v>
      </c>
    </row>
    <row r="4057" hidden="1">
      <c r="A4057" s="82"/>
      <c r="B4057" s="65" t="s">
        <v>467</v>
      </c>
      <c r="C4057" s="65" t="s">
        <v>113</v>
      </c>
      <c r="D4057" s="65" t="str">
        <f>vlookup(C4057,'Classificação p pessoal'!F:G,2,false)</f>
        <v>NP</v>
      </c>
      <c r="E4057" s="65" t="s">
        <v>2970</v>
      </c>
      <c r="F4057" s="83">
        <v>0.5833333333333334</v>
      </c>
      <c r="G4057" s="83">
        <v>0.6458333333333334</v>
      </c>
      <c r="H4057" s="83">
        <v>0.0625</v>
      </c>
      <c r="I4057" s="84">
        <v>44312.0</v>
      </c>
      <c r="J4057" s="65" t="b">
        <v>1</v>
      </c>
      <c r="K4057" s="65"/>
      <c r="L4057" s="85" t="b">
        <f>IF(VLOOKUP(C4057,Projetos!A:L,12,false)=TRUE,TRUE,FALSE)</f>
        <v>1</v>
      </c>
      <c r="M4057" s="74">
        <v>52.1518759018759</v>
      </c>
      <c r="N4057" s="74">
        <f t="shared" si="1"/>
        <v>78.22781385</v>
      </c>
      <c r="O4057" s="74" t="b">
        <v>1</v>
      </c>
    </row>
    <row r="4058" hidden="1">
      <c r="A4058" s="82"/>
      <c r="B4058" s="65" t="s">
        <v>467</v>
      </c>
      <c r="C4058" s="65" t="s">
        <v>92</v>
      </c>
      <c r="D4058" s="65" t="str">
        <f>vlookup(C4058,'Classificação p pessoal'!F:G,2,false)</f>
        <v/>
      </c>
      <c r="E4058" s="65" t="s">
        <v>2971</v>
      </c>
      <c r="F4058" s="83">
        <v>0.6666666666666666</v>
      </c>
      <c r="G4058" s="83">
        <v>0.7083333333333334</v>
      </c>
      <c r="H4058" s="83">
        <v>0.041666666666666664</v>
      </c>
      <c r="I4058" s="84">
        <v>44312.0</v>
      </c>
      <c r="J4058" s="65" t="b">
        <v>1</v>
      </c>
      <c r="K4058" s="65"/>
      <c r="L4058" s="85" t="b">
        <f>IF(VLOOKUP(C4058,Projetos!A:L,12,false)=TRUE,TRUE,FALSE)</f>
        <v>1</v>
      </c>
      <c r="M4058" s="74">
        <v>52.1518759018759</v>
      </c>
      <c r="N4058" s="74">
        <f t="shared" si="1"/>
        <v>52.1518759</v>
      </c>
      <c r="O4058" s="74" t="b">
        <v>1</v>
      </c>
    </row>
    <row r="4059" hidden="1">
      <c r="A4059" s="82"/>
      <c r="B4059" s="65" t="s">
        <v>467</v>
      </c>
      <c r="C4059" s="65" t="s">
        <v>117</v>
      </c>
      <c r="D4059" s="65" t="str">
        <f>vlookup(C4059,'Classificação p pessoal'!F:G,2,false)</f>
        <v>NP</v>
      </c>
      <c r="E4059" s="65" t="s">
        <v>2972</v>
      </c>
      <c r="F4059" s="83">
        <v>0.3125</v>
      </c>
      <c r="G4059" s="83">
        <v>0.6875</v>
      </c>
      <c r="H4059" s="83">
        <v>0.375</v>
      </c>
      <c r="I4059" s="84">
        <v>44313.0</v>
      </c>
      <c r="J4059" s="65" t="b">
        <v>1</v>
      </c>
      <c r="K4059" s="65"/>
      <c r="L4059" s="85" t="b">
        <f>IF(VLOOKUP(C4059,Projetos!A:L,12,false)=TRUE,TRUE,FALSE)</f>
        <v>1</v>
      </c>
      <c r="M4059" s="74">
        <v>52.1518759018759</v>
      </c>
      <c r="N4059" s="74">
        <f t="shared" si="1"/>
        <v>469.3668831</v>
      </c>
      <c r="O4059" s="74" t="b">
        <v>1</v>
      </c>
    </row>
    <row r="4060" hidden="1">
      <c r="A4060" s="82"/>
      <c r="B4060" s="65" t="s">
        <v>467</v>
      </c>
      <c r="C4060" s="65" t="s">
        <v>117</v>
      </c>
      <c r="D4060" s="65" t="str">
        <f>vlookup(C4060,'Classificação p pessoal'!F:G,2,false)</f>
        <v>NP</v>
      </c>
      <c r="E4060" s="65" t="s">
        <v>2972</v>
      </c>
      <c r="F4060" s="83">
        <v>0.2916666666666667</v>
      </c>
      <c r="G4060" s="83">
        <v>0.6666666666666666</v>
      </c>
      <c r="H4060" s="83">
        <v>0.375</v>
      </c>
      <c r="I4060" s="84">
        <v>44314.0</v>
      </c>
      <c r="J4060" s="65" t="b">
        <v>1</v>
      </c>
      <c r="K4060" s="65"/>
      <c r="L4060" s="85" t="b">
        <f>IF(VLOOKUP(C4060,Projetos!A:L,12,false)=TRUE,TRUE,FALSE)</f>
        <v>1</v>
      </c>
      <c r="M4060" s="74">
        <v>52.1518759018759</v>
      </c>
      <c r="N4060" s="74">
        <f t="shared" si="1"/>
        <v>469.3668831</v>
      </c>
      <c r="O4060" s="74" t="b">
        <v>1</v>
      </c>
    </row>
    <row r="4061" hidden="1">
      <c r="A4061" s="82"/>
      <c r="B4061" s="65" t="s">
        <v>467</v>
      </c>
      <c r="C4061" s="65" t="s">
        <v>117</v>
      </c>
      <c r="D4061" s="65" t="str">
        <f>vlookup(C4061,'Classificação p pessoal'!F:G,2,false)</f>
        <v>NP</v>
      </c>
      <c r="E4061" s="65" t="s">
        <v>2973</v>
      </c>
      <c r="F4061" s="83">
        <v>0.6875</v>
      </c>
      <c r="G4061" s="83">
        <v>0.75</v>
      </c>
      <c r="H4061" s="83">
        <v>0.0625</v>
      </c>
      <c r="I4061" s="84">
        <v>44314.0</v>
      </c>
      <c r="J4061" s="65" t="b">
        <v>1</v>
      </c>
      <c r="K4061" s="65"/>
      <c r="L4061" s="85" t="b">
        <f>IF(VLOOKUP(C4061,Projetos!A:L,12,false)=TRUE,TRUE,FALSE)</f>
        <v>1</v>
      </c>
      <c r="M4061" s="74">
        <v>52.1518759018759</v>
      </c>
      <c r="N4061" s="74">
        <f t="shared" si="1"/>
        <v>78.22781385</v>
      </c>
      <c r="O4061" s="74" t="b">
        <v>1</v>
      </c>
    </row>
    <row r="4062" hidden="1">
      <c r="A4062" s="82"/>
      <c r="B4062" s="65" t="s">
        <v>467</v>
      </c>
      <c r="C4062" s="65" t="s">
        <v>117</v>
      </c>
      <c r="D4062" s="65" t="str">
        <f>vlookup(C4062,'Classificação p pessoal'!F:G,2,false)</f>
        <v>NP</v>
      </c>
      <c r="E4062" s="65" t="s">
        <v>2974</v>
      </c>
      <c r="F4062" s="83">
        <v>0.3125</v>
      </c>
      <c r="G4062" s="83">
        <v>0.4791666666666667</v>
      </c>
      <c r="H4062" s="83">
        <v>0.16666666666666666</v>
      </c>
      <c r="I4062" s="84">
        <v>44315.0</v>
      </c>
      <c r="J4062" s="65" t="b">
        <v>1</v>
      </c>
      <c r="K4062" s="65"/>
      <c r="L4062" s="85" t="b">
        <f>IF(VLOOKUP(C4062,Projetos!A:L,12,false)=TRUE,TRUE,FALSE)</f>
        <v>1</v>
      </c>
      <c r="M4062" s="74">
        <v>52.1518759018759</v>
      </c>
      <c r="N4062" s="74">
        <f t="shared" si="1"/>
        <v>208.6075036</v>
      </c>
      <c r="O4062" s="74" t="b">
        <v>1</v>
      </c>
    </row>
    <row r="4063" hidden="1">
      <c r="A4063" s="82"/>
      <c r="B4063" s="65" t="s">
        <v>467</v>
      </c>
      <c r="C4063" s="65" t="s">
        <v>88</v>
      </c>
      <c r="D4063" s="65" t="str">
        <f>vlookup(C4063,'Classificação p pessoal'!F:G,2,false)</f>
        <v>MProduto</v>
      </c>
      <c r="E4063" s="65" t="s">
        <v>2975</v>
      </c>
      <c r="F4063" s="83">
        <v>0.5833333333333334</v>
      </c>
      <c r="G4063" s="83">
        <v>0.6666666666666666</v>
      </c>
      <c r="H4063" s="83">
        <v>0.08333333333333333</v>
      </c>
      <c r="I4063" s="84">
        <v>44315.0</v>
      </c>
      <c r="J4063" s="65" t="b">
        <v>1</v>
      </c>
      <c r="K4063" s="65"/>
      <c r="L4063" s="85" t="b">
        <f>IF(VLOOKUP(C4063,Projetos!A:L,12,false)=TRUE,TRUE,FALSE)</f>
        <v>1</v>
      </c>
      <c r="M4063" s="74">
        <v>52.1518759018759</v>
      </c>
      <c r="N4063" s="74">
        <f t="shared" si="1"/>
        <v>104.3037518</v>
      </c>
      <c r="O4063" s="74" t="b">
        <v>1</v>
      </c>
    </row>
    <row r="4064" hidden="1">
      <c r="A4064" s="82"/>
      <c r="B4064" s="65" t="s">
        <v>467</v>
      </c>
      <c r="C4064" s="65" t="s">
        <v>88</v>
      </c>
      <c r="D4064" s="65"/>
      <c r="E4064" s="65" t="s">
        <v>2976</v>
      </c>
      <c r="F4064" s="83">
        <v>0.5833333333333334</v>
      </c>
      <c r="G4064" s="83">
        <v>0.625</v>
      </c>
      <c r="H4064" s="83">
        <v>0.041666666666666664</v>
      </c>
      <c r="I4064" s="84">
        <v>44316.0</v>
      </c>
      <c r="J4064" s="65" t="b">
        <v>0</v>
      </c>
      <c r="K4064" s="65" t="s">
        <v>150</v>
      </c>
      <c r="L4064" s="85" t="b">
        <f>IF(VLOOKUP(C4064,Projetos!A:L,12,false)=TRUE,TRUE,FALSE)</f>
        <v>1</v>
      </c>
      <c r="M4064" s="74">
        <v>52.1518759018759</v>
      </c>
      <c r="N4064" s="74">
        <f t="shared" si="1"/>
        <v>0</v>
      </c>
      <c r="O4064" s="74" t="b">
        <v>1</v>
      </c>
    </row>
    <row r="4065" hidden="1">
      <c r="A4065" s="82"/>
      <c r="B4065" s="65" t="s">
        <v>467</v>
      </c>
      <c r="C4065" s="65" t="s">
        <v>92</v>
      </c>
      <c r="D4065" s="65" t="str">
        <f>vlookup(C4065,'Classificação p pessoal'!F:G,2,false)</f>
        <v/>
      </c>
      <c r="E4065" s="65" t="s">
        <v>2977</v>
      </c>
      <c r="F4065" s="83">
        <v>0.4791666666666667</v>
      </c>
      <c r="G4065" s="83">
        <v>0.5</v>
      </c>
      <c r="H4065" s="83">
        <v>0.020833333333333332</v>
      </c>
      <c r="I4065" s="84">
        <v>44316.0</v>
      </c>
      <c r="J4065" s="65" t="b">
        <v>1</v>
      </c>
      <c r="K4065" s="65"/>
      <c r="L4065" s="85" t="b">
        <f>IF(VLOOKUP(C4065,Projetos!A:L,12,false)=TRUE,TRUE,FALSE)</f>
        <v>1</v>
      </c>
      <c r="M4065" s="74">
        <v>52.1518759018759</v>
      </c>
      <c r="N4065" s="74">
        <f t="shared" si="1"/>
        <v>26.07593795</v>
      </c>
      <c r="O4065" s="74" t="b">
        <v>1</v>
      </c>
    </row>
    <row r="4066" hidden="1">
      <c r="A4066" s="82"/>
      <c r="B4066" s="65" t="s">
        <v>467</v>
      </c>
      <c r="C4066" s="65" t="s">
        <v>92</v>
      </c>
      <c r="D4066" s="65" t="str">
        <f>vlookup(C4066,'Classificação p pessoal'!F:G,2,false)</f>
        <v/>
      </c>
      <c r="E4066" s="65" t="s">
        <v>2978</v>
      </c>
      <c r="F4066" s="83">
        <v>0.375</v>
      </c>
      <c r="G4066" s="83">
        <v>0.4166666666666667</v>
      </c>
      <c r="H4066" s="83">
        <v>0.041666666666666664</v>
      </c>
      <c r="I4066" s="84">
        <v>44316.0</v>
      </c>
      <c r="J4066" s="65" t="b">
        <v>1</v>
      </c>
      <c r="K4066" s="65"/>
      <c r="L4066" s="85" t="b">
        <f>IF(VLOOKUP(C4066,Projetos!A:L,12,false)=TRUE,TRUE,FALSE)</f>
        <v>1</v>
      </c>
      <c r="M4066" s="74">
        <v>52.1518759018759</v>
      </c>
      <c r="N4066" s="74">
        <f t="shared" si="1"/>
        <v>52.1518759</v>
      </c>
      <c r="O4066" s="74" t="b">
        <v>1</v>
      </c>
    </row>
    <row r="4067" hidden="1">
      <c r="A4067" s="82"/>
      <c r="B4067" s="65" t="s">
        <v>467</v>
      </c>
      <c r="C4067" s="65" t="s">
        <v>118</v>
      </c>
      <c r="D4067" s="65" t="str">
        <f>vlookup(C4067,'Classificação p pessoal'!F:G,2,false)</f>
        <v>MProduto</v>
      </c>
      <c r="E4067" s="65" t="s">
        <v>2979</v>
      </c>
      <c r="F4067" s="83">
        <v>0.4166666666666667</v>
      </c>
      <c r="G4067" s="83">
        <v>0.4583333333333333</v>
      </c>
      <c r="H4067" s="83">
        <v>0.041666666666666664</v>
      </c>
      <c r="I4067" s="84">
        <v>44316.0</v>
      </c>
      <c r="J4067" s="65" t="b">
        <v>1</v>
      </c>
      <c r="K4067" s="65"/>
      <c r="L4067" s="85" t="b">
        <f>IF(VLOOKUP(C4067,Projetos!A:L,12,false)=TRUE,TRUE,FALSE)</f>
        <v>1</v>
      </c>
      <c r="M4067" s="74">
        <v>52.1518759018759</v>
      </c>
      <c r="N4067" s="74">
        <f t="shared" si="1"/>
        <v>52.1518759</v>
      </c>
      <c r="O4067" s="74" t="b">
        <v>1</v>
      </c>
    </row>
    <row r="4068" hidden="1">
      <c r="A4068" s="82"/>
      <c r="B4068" s="65" t="s">
        <v>467</v>
      </c>
      <c r="C4068" s="65" t="s">
        <v>113</v>
      </c>
      <c r="D4068" s="65" t="str">
        <f>vlookup(C4068,'Classificação p pessoal'!F:G,2,false)</f>
        <v>NP</v>
      </c>
      <c r="E4068" s="65" t="s">
        <v>2980</v>
      </c>
      <c r="F4068" s="83">
        <v>0.5833333333333334</v>
      </c>
      <c r="G4068" s="83">
        <v>0.6041666666666666</v>
      </c>
      <c r="H4068" s="83">
        <v>0.020833333333333332</v>
      </c>
      <c r="I4068" s="84">
        <v>44316.0</v>
      </c>
      <c r="J4068" s="65" t="b">
        <v>1</v>
      </c>
      <c r="K4068" s="65"/>
      <c r="L4068" s="85" t="b">
        <f>IF(VLOOKUP(C4068,Projetos!A:L,12,false)=TRUE,TRUE,FALSE)</f>
        <v>1</v>
      </c>
      <c r="M4068" s="74">
        <v>52.1518759018759</v>
      </c>
      <c r="N4068" s="74">
        <f t="shared" si="1"/>
        <v>26.07593795</v>
      </c>
      <c r="O4068" s="74" t="b">
        <v>1</v>
      </c>
    </row>
    <row r="4069" hidden="1">
      <c r="A4069" s="82"/>
      <c r="B4069" s="65" t="s">
        <v>467</v>
      </c>
      <c r="C4069" s="65" t="s">
        <v>88</v>
      </c>
      <c r="D4069" s="65" t="str">
        <f>vlookup(C4069,'Classificação p pessoal'!F:G,2,false)</f>
        <v>MProduto</v>
      </c>
      <c r="E4069" s="65" t="s">
        <v>2981</v>
      </c>
      <c r="F4069" s="83">
        <v>0.4166666666666667</v>
      </c>
      <c r="G4069" s="83">
        <v>0.4791666666666667</v>
      </c>
      <c r="H4069" s="83">
        <v>0.0625</v>
      </c>
      <c r="I4069" s="84">
        <v>44319.0</v>
      </c>
      <c r="J4069" s="65" t="b">
        <v>1</v>
      </c>
      <c r="K4069" s="65"/>
      <c r="L4069" s="85" t="b">
        <f>IF(VLOOKUP(C4069,Projetos!A:L,12,false)=TRUE,TRUE,FALSE)</f>
        <v>1</v>
      </c>
      <c r="M4069" s="74">
        <v>52.1518759018759</v>
      </c>
      <c r="N4069" s="74">
        <f t="shared" si="1"/>
        <v>78.22781385</v>
      </c>
      <c r="O4069" s="74" t="b">
        <v>1</v>
      </c>
    </row>
    <row r="4070" hidden="1">
      <c r="A4070" s="82"/>
      <c r="B4070" s="65" t="s">
        <v>467</v>
      </c>
      <c r="C4070" s="65" t="s">
        <v>92</v>
      </c>
      <c r="D4070" s="65"/>
      <c r="E4070" s="65" t="s">
        <v>2982</v>
      </c>
      <c r="F4070" s="83">
        <v>0.5833333333333334</v>
      </c>
      <c r="G4070" s="83">
        <v>0.625</v>
      </c>
      <c r="H4070" s="83">
        <v>0.041666666666666664</v>
      </c>
      <c r="I4070" s="84">
        <v>44319.0</v>
      </c>
      <c r="J4070" s="65" t="b">
        <v>0</v>
      </c>
      <c r="K4070" s="65" t="s">
        <v>150</v>
      </c>
      <c r="L4070" s="85" t="b">
        <f>IF(VLOOKUP(C4070,Projetos!A:L,12,false)=TRUE,TRUE,FALSE)</f>
        <v>1</v>
      </c>
      <c r="M4070" s="74">
        <v>52.1518759018759</v>
      </c>
      <c r="N4070" s="74">
        <f t="shared" si="1"/>
        <v>0</v>
      </c>
      <c r="O4070" s="74" t="b">
        <v>1</v>
      </c>
    </row>
    <row r="4071" hidden="1">
      <c r="A4071" s="82"/>
      <c r="B4071" s="65" t="s">
        <v>467</v>
      </c>
      <c r="C4071" s="65" t="s">
        <v>117</v>
      </c>
      <c r="D4071" s="65" t="str">
        <f>vlookup(C4071,'Classificação p pessoal'!F:G,2,false)</f>
        <v>NP</v>
      </c>
      <c r="E4071" s="65" t="s">
        <v>2983</v>
      </c>
      <c r="F4071" s="83">
        <v>0.375</v>
      </c>
      <c r="G4071" s="83">
        <v>0.4166666666666667</v>
      </c>
      <c r="H4071" s="83">
        <v>0.041666666666666664</v>
      </c>
      <c r="I4071" s="84">
        <v>44319.0</v>
      </c>
      <c r="J4071" s="65" t="b">
        <v>1</v>
      </c>
      <c r="K4071" s="65"/>
      <c r="L4071" s="85" t="b">
        <f>IF(VLOOKUP(C4071,Projetos!A:L,12,false)=TRUE,TRUE,FALSE)</f>
        <v>1</v>
      </c>
      <c r="M4071" s="74">
        <v>52.1518759018759</v>
      </c>
      <c r="N4071" s="74">
        <f t="shared" si="1"/>
        <v>52.1518759</v>
      </c>
      <c r="O4071" s="74" t="b">
        <v>1</v>
      </c>
    </row>
    <row r="4072" hidden="1">
      <c r="A4072" s="82"/>
      <c r="B4072" s="65" t="s">
        <v>467</v>
      </c>
      <c r="C4072" s="65" t="s">
        <v>117</v>
      </c>
      <c r="D4072" s="65" t="str">
        <f>vlookup(C4072,'Classificação p pessoal'!F:G,2,false)</f>
        <v>NP</v>
      </c>
      <c r="E4072" s="65" t="s">
        <v>2984</v>
      </c>
      <c r="F4072" s="83">
        <v>0.4583333333333333</v>
      </c>
      <c r="G4072" s="83">
        <v>0.5208333333333334</v>
      </c>
      <c r="H4072" s="83">
        <v>0.0625</v>
      </c>
      <c r="I4072" s="84">
        <v>44319.0</v>
      </c>
      <c r="J4072" s="65" t="b">
        <v>1</v>
      </c>
      <c r="K4072" s="65"/>
      <c r="L4072" s="85" t="b">
        <f>IF(VLOOKUP(C4072,Projetos!A:L,12,false)=TRUE,TRUE,FALSE)</f>
        <v>1</v>
      </c>
      <c r="M4072" s="74">
        <v>52.1518759018759</v>
      </c>
      <c r="N4072" s="74">
        <f t="shared" si="1"/>
        <v>78.22781385</v>
      </c>
      <c r="O4072" s="74" t="b">
        <v>1</v>
      </c>
    </row>
    <row r="4073" hidden="1">
      <c r="A4073" s="82"/>
      <c r="B4073" s="65" t="s">
        <v>467</v>
      </c>
      <c r="C4073" s="65" t="s">
        <v>113</v>
      </c>
      <c r="D4073" s="65" t="str">
        <f>vlookup(C4073,'Classificação p pessoal'!F:G,2,false)</f>
        <v>NP</v>
      </c>
      <c r="E4073" s="65" t="s">
        <v>2985</v>
      </c>
      <c r="F4073" s="83">
        <v>0.6458333333333334</v>
      </c>
      <c r="G4073" s="83">
        <v>0.6666666666666666</v>
      </c>
      <c r="H4073" s="83">
        <v>0.020833333333333332</v>
      </c>
      <c r="I4073" s="84">
        <v>44319.0</v>
      </c>
      <c r="J4073" s="65" t="b">
        <v>1</v>
      </c>
      <c r="K4073" s="65"/>
      <c r="L4073" s="85" t="b">
        <f>IF(VLOOKUP(C4073,Projetos!A:L,12,false)=TRUE,TRUE,FALSE)</f>
        <v>1</v>
      </c>
      <c r="M4073" s="74">
        <v>52.1518759018759</v>
      </c>
      <c r="N4073" s="74">
        <f t="shared" si="1"/>
        <v>26.07593795</v>
      </c>
      <c r="O4073" s="74" t="b">
        <v>1</v>
      </c>
    </row>
    <row r="4074" hidden="1">
      <c r="A4074" s="82"/>
      <c r="B4074" s="65" t="s">
        <v>467</v>
      </c>
      <c r="C4074" s="65" t="s">
        <v>92</v>
      </c>
      <c r="D4074" s="65" t="str">
        <f>vlookup(C4074,'Classificação p pessoal'!F:G,2,false)</f>
        <v/>
      </c>
      <c r="E4074" s="65" t="s">
        <v>2986</v>
      </c>
      <c r="F4074" s="83">
        <v>0.34375</v>
      </c>
      <c r="G4074" s="83">
        <v>0.375</v>
      </c>
      <c r="H4074" s="83">
        <v>0.03125</v>
      </c>
      <c r="I4074" s="84">
        <v>44320.0</v>
      </c>
      <c r="J4074" s="65" t="b">
        <v>1</v>
      </c>
      <c r="K4074" s="65"/>
      <c r="L4074" s="85" t="b">
        <f>IF(VLOOKUP(C4074,Projetos!A:L,12,false)=TRUE,TRUE,FALSE)</f>
        <v>1</v>
      </c>
      <c r="M4074" s="74">
        <v>52.1518759018759</v>
      </c>
      <c r="N4074" s="74">
        <f t="shared" si="1"/>
        <v>39.11390693</v>
      </c>
      <c r="O4074" s="74" t="b">
        <v>1</v>
      </c>
    </row>
    <row r="4075" hidden="1">
      <c r="A4075" s="82"/>
      <c r="B4075" s="65" t="s">
        <v>467</v>
      </c>
      <c r="C4075" s="65" t="s">
        <v>92</v>
      </c>
      <c r="D4075" s="65"/>
      <c r="E4075" s="65" t="s">
        <v>2987</v>
      </c>
      <c r="F4075" s="83">
        <v>0.375</v>
      </c>
      <c r="G4075" s="83">
        <v>0.3958333333333333</v>
      </c>
      <c r="H4075" s="83">
        <v>0.020833333333333332</v>
      </c>
      <c r="I4075" s="84">
        <v>44320.0</v>
      </c>
      <c r="J4075" s="65" t="b">
        <v>0</v>
      </c>
      <c r="K4075" s="65" t="s">
        <v>150</v>
      </c>
      <c r="L4075" s="85" t="b">
        <f>IF(VLOOKUP(C4075,Projetos!A:L,12,false)=TRUE,TRUE,FALSE)</f>
        <v>1</v>
      </c>
      <c r="M4075" s="74">
        <v>52.1518759018759</v>
      </c>
      <c r="N4075" s="74">
        <f t="shared" si="1"/>
        <v>0</v>
      </c>
      <c r="O4075" s="74" t="b">
        <v>1</v>
      </c>
    </row>
    <row r="4076" hidden="1">
      <c r="A4076" s="82"/>
      <c r="B4076" s="65" t="s">
        <v>467</v>
      </c>
      <c r="C4076" s="65" t="s">
        <v>113</v>
      </c>
      <c r="D4076" s="65" t="str">
        <f>vlookup(C4076,'Classificação p pessoal'!F:G,2,false)</f>
        <v>NP</v>
      </c>
      <c r="E4076" s="65" t="s">
        <v>2988</v>
      </c>
      <c r="F4076" s="83">
        <v>0.4166666666666667</v>
      </c>
      <c r="G4076" s="83">
        <v>0.4270833333333333</v>
      </c>
      <c r="H4076" s="83">
        <v>0.010416666666666666</v>
      </c>
      <c r="I4076" s="84">
        <v>44320.0</v>
      </c>
      <c r="J4076" s="65" t="b">
        <v>1</v>
      </c>
      <c r="K4076" s="65"/>
      <c r="L4076" s="85" t="b">
        <f>IF(VLOOKUP(C4076,Projetos!A:L,12,false)=TRUE,TRUE,FALSE)</f>
        <v>1</v>
      </c>
      <c r="M4076" s="74">
        <v>52.1518759018759</v>
      </c>
      <c r="N4076" s="74">
        <f t="shared" si="1"/>
        <v>13.03796898</v>
      </c>
      <c r="O4076" s="74" t="b">
        <v>1</v>
      </c>
    </row>
    <row r="4077" hidden="1">
      <c r="A4077" s="82"/>
      <c r="B4077" s="65" t="s">
        <v>467</v>
      </c>
      <c r="C4077" s="65" t="s">
        <v>113</v>
      </c>
      <c r="D4077" s="65" t="str">
        <f>vlookup(C4077,'Classificação p pessoal'!F:G,2,false)</f>
        <v>NP</v>
      </c>
      <c r="E4077" s="65" t="s">
        <v>2989</v>
      </c>
      <c r="F4077" s="83">
        <v>0.4270833333333333</v>
      </c>
      <c r="G4077" s="83">
        <v>0.5</v>
      </c>
      <c r="H4077" s="83">
        <v>0.07291666666666667</v>
      </c>
      <c r="I4077" s="84">
        <v>44320.0</v>
      </c>
      <c r="J4077" s="65" t="b">
        <v>1</v>
      </c>
      <c r="K4077" s="65"/>
      <c r="L4077" s="85" t="b">
        <f>IF(VLOOKUP(C4077,Projetos!A:L,12,false)=TRUE,TRUE,FALSE)</f>
        <v>1</v>
      </c>
      <c r="M4077" s="74">
        <v>52.1518759018759</v>
      </c>
      <c r="N4077" s="74">
        <f t="shared" si="1"/>
        <v>91.26578283</v>
      </c>
      <c r="O4077" s="74" t="b">
        <v>1</v>
      </c>
    </row>
    <row r="4078" hidden="1">
      <c r="A4078" s="82"/>
      <c r="B4078" s="65" t="s">
        <v>411</v>
      </c>
      <c r="C4078" s="65" t="s">
        <v>100</v>
      </c>
      <c r="D4078" s="65"/>
      <c r="E4078" s="65" t="s">
        <v>2837</v>
      </c>
      <c r="F4078" s="83">
        <v>0.7083333333333334</v>
      </c>
      <c r="G4078" s="83">
        <v>0.7291666666666666</v>
      </c>
      <c r="H4078" s="83">
        <v>0.020833333333333332</v>
      </c>
      <c r="I4078" s="84">
        <v>44448.0</v>
      </c>
      <c r="J4078" s="65" t="b">
        <v>0</v>
      </c>
      <c r="K4078" s="65" t="s">
        <v>150</v>
      </c>
      <c r="L4078" s="85" t="b">
        <f>IF(VLOOKUP(C4078,Projetos!A:L,12,false)=TRUE,TRUE,FALSE)</f>
        <v>1</v>
      </c>
      <c r="M4078" s="74">
        <v>52.48434411075036</v>
      </c>
      <c r="N4078" s="74">
        <f t="shared" si="1"/>
        <v>0</v>
      </c>
      <c r="O4078" s="74" t="b">
        <v>1</v>
      </c>
    </row>
    <row r="4079" hidden="1">
      <c r="A4079" s="82"/>
      <c r="B4079" s="65" t="s">
        <v>411</v>
      </c>
      <c r="C4079" s="65" t="s">
        <v>108</v>
      </c>
      <c r="D4079" s="65"/>
      <c r="E4079" s="65" t="s">
        <v>2990</v>
      </c>
      <c r="F4079" s="83">
        <v>0.625</v>
      </c>
      <c r="G4079" s="83">
        <v>0.6458333333333334</v>
      </c>
      <c r="H4079" s="83">
        <v>0.020833333333333332</v>
      </c>
      <c r="I4079" s="84">
        <v>44448.0</v>
      </c>
      <c r="J4079" s="65" t="b">
        <v>0</v>
      </c>
      <c r="K4079" s="65" t="s">
        <v>150</v>
      </c>
      <c r="L4079" s="85" t="b">
        <f>IF(VLOOKUP(C4079,Projetos!A:L,12,false)=TRUE,TRUE,FALSE)</f>
        <v>1</v>
      </c>
      <c r="M4079" s="74">
        <v>52.48434411075036</v>
      </c>
      <c r="N4079" s="74">
        <f t="shared" si="1"/>
        <v>0</v>
      </c>
      <c r="O4079" s="74" t="b">
        <v>1</v>
      </c>
    </row>
    <row r="4080" hidden="1">
      <c r="A4080" s="82"/>
      <c r="B4080" s="65" t="s">
        <v>411</v>
      </c>
      <c r="C4080" s="65" t="s">
        <v>117</v>
      </c>
      <c r="D4080" s="65" t="str">
        <f>vlookup(C4080,'Classificação p pessoal'!F:G,2,false)</f>
        <v>NP</v>
      </c>
      <c r="E4080" s="65" t="s">
        <v>2991</v>
      </c>
      <c r="F4080" s="83">
        <v>0.6458333333333334</v>
      </c>
      <c r="G4080" s="83">
        <v>0.6875</v>
      </c>
      <c r="H4080" s="83">
        <v>0.041666666666666664</v>
      </c>
      <c r="I4080" s="84">
        <v>44428.0</v>
      </c>
      <c r="J4080" s="65" t="b">
        <v>1</v>
      </c>
      <c r="K4080" s="65"/>
      <c r="L4080" s="85" t="b">
        <f>IF(VLOOKUP(C4080,Projetos!A:L,12,false)=TRUE,TRUE,FALSE)</f>
        <v>1</v>
      </c>
      <c r="M4080" s="74">
        <v>52.48434411075036</v>
      </c>
      <c r="N4080" s="74">
        <f t="shared" si="1"/>
        <v>52.48434411</v>
      </c>
      <c r="O4080" s="74" t="b">
        <v>1</v>
      </c>
    </row>
    <row r="4081" hidden="1">
      <c r="A4081" s="82"/>
      <c r="B4081" s="65" t="s">
        <v>467</v>
      </c>
      <c r="C4081" s="65" t="s">
        <v>88</v>
      </c>
      <c r="D4081" s="65" t="str">
        <f>vlookup(C4081,'Classificação p pessoal'!F:G,2,false)</f>
        <v>MProduto</v>
      </c>
      <c r="E4081" s="65" t="s">
        <v>2992</v>
      </c>
      <c r="F4081" s="83">
        <v>0.34375</v>
      </c>
      <c r="G4081" s="83">
        <v>0.3854166666666667</v>
      </c>
      <c r="H4081" s="83">
        <v>0.041666666666666664</v>
      </c>
      <c r="I4081" s="84">
        <v>44321.0</v>
      </c>
      <c r="J4081" s="65" t="b">
        <v>1</v>
      </c>
      <c r="K4081" s="65"/>
      <c r="L4081" s="85" t="b">
        <f>IF(VLOOKUP(C4081,Projetos!A:L,12,false)=TRUE,TRUE,FALSE)</f>
        <v>1</v>
      </c>
      <c r="M4081" s="74">
        <v>52.1518759018759</v>
      </c>
      <c r="N4081" s="74">
        <f t="shared" si="1"/>
        <v>52.1518759</v>
      </c>
      <c r="O4081" s="74" t="b">
        <v>1</v>
      </c>
    </row>
    <row r="4082" hidden="1">
      <c r="A4082" s="82"/>
      <c r="B4082" s="65" t="s">
        <v>467</v>
      </c>
      <c r="C4082" s="65" t="s">
        <v>130</v>
      </c>
      <c r="D4082" s="65" t="str">
        <f>vlookup(C4082,'Classificação p pessoal'!F:G,2,false)</f>
        <v>NP</v>
      </c>
      <c r="E4082" s="65" t="s">
        <v>2993</v>
      </c>
      <c r="F4082" s="83">
        <v>0.3958333333333333</v>
      </c>
      <c r="G4082" s="83">
        <v>0.4583333333333333</v>
      </c>
      <c r="H4082" s="83">
        <v>0.0625</v>
      </c>
      <c r="I4082" s="84">
        <v>44321.0</v>
      </c>
      <c r="J4082" s="65" t="b">
        <v>1</v>
      </c>
      <c r="K4082" s="65"/>
      <c r="L4082" s="85" t="b">
        <f>IF(VLOOKUP(C4082,Projetos!A:L,12,false)=TRUE,TRUE,FALSE)</f>
        <v>1</v>
      </c>
      <c r="M4082" s="74">
        <v>52.1518759018759</v>
      </c>
      <c r="N4082" s="74">
        <f t="shared" si="1"/>
        <v>78.22781385</v>
      </c>
      <c r="O4082" s="74" t="b">
        <v>1</v>
      </c>
    </row>
    <row r="4083" hidden="1">
      <c r="A4083" s="82"/>
      <c r="B4083" s="65" t="s">
        <v>467</v>
      </c>
      <c r="C4083" s="65" t="s">
        <v>88</v>
      </c>
      <c r="D4083" s="65" t="str">
        <f>vlookup(C4083,'Classificação p pessoal'!F:G,2,false)</f>
        <v>MProduto</v>
      </c>
      <c r="E4083" s="65" t="s">
        <v>2994</v>
      </c>
      <c r="F4083" s="83">
        <v>0.4583333333333333</v>
      </c>
      <c r="G4083" s="83">
        <v>0.4791666666666667</v>
      </c>
      <c r="H4083" s="83">
        <v>0.020833333333333332</v>
      </c>
      <c r="I4083" s="84">
        <v>44321.0</v>
      </c>
      <c r="J4083" s="65" t="b">
        <v>1</v>
      </c>
      <c r="K4083" s="65"/>
      <c r="L4083" s="85" t="b">
        <f>IF(VLOOKUP(C4083,Projetos!A:L,12,false)=TRUE,TRUE,FALSE)</f>
        <v>1</v>
      </c>
      <c r="M4083" s="74">
        <v>52.1518759018759</v>
      </c>
      <c r="N4083" s="74">
        <f t="shared" si="1"/>
        <v>26.07593795</v>
      </c>
      <c r="O4083" s="74" t="b">
        <v>1</v>
      </c>
    </row>
    <row r="4084" hidden="1">
      <c r="A4084" s="82"/>
      <c r="B4084" s="65" t="s">
        <v>411</v>
      </c>
      <c r="C4084" s="65" t="s">
        <v>92</v>
      </c>
      <c r="D4084" s="65"/>
      <c r="E4084" s="65" t="s">
        <v>2995</v>
      </c>
      <c r="F4084" s="83">
        <v>0.3958333333333333</v>
      </c>
      <c r="G4084" s="83">
        <v>0.4375</v>
      </c>
      <c r="H4084" s="83">
        <v>0.041666666666666664</v>
      </c>
      <c r="I4084" s="84">
        <v>44320.0</v>
      </c>
      <c r="J4084" s="65" t="b">
        <v>0</v>
      </c>
      <c r="K4084" s="65"/>
      <c r="L4084" s="85" t="b">
        <f>IF(VLOOKUP(C4084,Projetos!A:L,12,false)=TRUE,TRUE,FALSE)</f>
        <v>1</v>
      </c>
      <c r="M4084" s="74">
        <v>52.48434411075036</v>
      </c>
      <c r="N4084" s="74">
        <f t="shared" si="1"/>
        <v>0</v>
      </c>
      <c r="O4084" s="74" t="b">
        <v>1</v>
      </c>
    </row>
    <row r="4085" hidden="1">
      <c r="A4085" s="82"/>
      <c r="B4085" s="65" t="s">
        <v>467</v>
      </c>
      <c r="C4085" s="65" t="s">
        <v>117</v>
      </c>
      <c r="D4085" s="65" t="str">
        <f>vlookup(C4085,'Classificação p pessoal'!F:G,2,false)</f>
        <v>NP</v>
      </c>
      <c r="E4085" s="65" t="s">
        <v>2996</v>
      </c>
      <c r="F4085" s="83">
        <v>0.6458333333333334</v>
      </c>
      <c r="G4085" s="83">
        <v>0.7291666666666666</v>
      </c>
      <c r="H4085" s="83">
        <v>0.08333333333333333</v>
      </c>
      <c r="I4085" s="84">
        <v>44321.0</v>
      </c>
      <c r="J4085" s="65" t="b">
        <v>1</v>
      </c>
      <c r="K4085" s="65"/>
      <c r="L4085" s="85" t="b">
        <f>IF(VLOOKUP(C4085,Projetos!A:L,12,false)=TRUE,TRUE,FALSE)</f>
        <v>1</v>
      </c>
      <c r="M4085" s="74">
        <v>52.1518759018759</v>
      </c>
      <c r="N4085" s="74">
        <f t="shared" si="1"/>
        <v>104.3037518</v>
      </c>
      <c r="O4085" s="74" t="b">
        <v>1</v>
      </c>
    </row>
    <row r="4086" hidden="1">
      <c r="A4086" s="82"/>
      <c r="B4086" s="65" t="s">
        <v>467</v>
      </c>
      <c r="C4086" s="65" t="s">
        <v>92</v>
      </c>
      <c r="D4086" s="65" t="str">
        <f>vlookup(C4086,'Classificação p pessoal'!F:G,2,false)</f>
        <v/>
      </c>
      <c r="E4086" s="65" t="s">
        <v>2997</v>
      </c>
      <c r="F4086" s="83">
        <v>0.4583333333333333</v>
      </c>
      <c r="G4086" s="83">
        <v>0.5</v>
      </c>
      <c r="H4086" s="83">
        <v>0.041666666666666664</v>
      </c>
      <c r="I4086" s="84">
        <v>44322.0</v>
      </c>
      <c r="J4086" s="65" t="b">
        <v>1</v>
      </c>
      <c r="K4086" s="65"/>
      <c r="L4086" s="85" t="b">
        <f>IF(VLOOKUP(C4086,Projetos!A:L,12,false)=TRUE,TRUE,FALSE)</f>
        <v>1</v>
      </c>
      <c r="M4086" s="74">
        <v>52.1518759018759</v>
      </c>
      <c r="N4086" s="74">
        <f t="shared" si="1"/>
        <v>52.1518759</v>
      </c>
      <c r="O4086" s="74" t="b">
        <v>1</v>
      </c>
    </row>
    <row r="4087" hidden="1">
      <c r="A4087" s="82"/>
      <c r="B4087" s="65" t="s">
        <v>467</v>
      </c>
      <c r="C4087" s="65" t="s">
        <v>92</v>
      </c>
      <c r="D4087" s="65" t="str">
        <f>vlookup(C4087,'Classificação p pessoal'!F:G,2,false)</f>
        <v/>
      </c>
      <c r="E4087" s="65" t="s">
        <v>2998</v>
      </c>
      <c r="F4087" s="83">
        <v>0.5069444444444444</v>
      </c>
      <c r="G4087" s="83">
        <v>0.5208333333333334</v>
      </c>
      <c r="H4087" s="83">
        <v>0.013888888888888888</v>
      </c>
      <c r="I4087" s="84">
        <v>44322.0</v>
      </c>
      <c r="J4087" s="65" t="b">
        <v>1</v>
      </c>
      <c r="K4087" s="65"/>
      <c r="L4087" s="85" t="b">
        <f>IF(VLOOKUP(C4087,Projetos!A:L,12,false)=TRUE,TRUE,FALSE)</f>
        <v>1</v>
      </c>
      <c r="M4087" s="74">
        <v>52.1518759018759</v>
      </c>
      <c r="N4087" s="74">
        <f t="shared" si="1"/>
        <v>17.38395863</v>
      </c>
      <c r="O4087" s="74" t="b">
        <v>1</v>
      </c>
    </row>
    <row r="4088" hidden="1">
      <c r="A4088" s="82"/>
      <c r="B4088" s="65" t="s">
        <v>467</v>
      </c>
      <c r="C4088" s="65" t="s">
        <v>113</v>
      </c>
      <c r="D4088" s="65" t="str">
        <f>vlookup(C4088,'Classificação p pessoal'!F:G,2,false)</f>
        <v>NP</v>
      </c>
      <c r="E4088" s="65" t="s">
        <v>2999</v>
      </c>
      <c r="F4088" s="83">
        <v>0.5833333333333334</v>
      </c>
      <c r="G4088" s="83">
        <v>0.625</v>
      </c>
      <c r="H4088" s="83">
        <v>0.041666666666666664</v>
      </c>
      <c r="I4088" s="84">
        <v>44322.0</v>
      </c>
      <c r="J4088" s="65" t="b">
        <v>1</v>
      </c>
      <c r="K4088" s="65"/>
      <c r="L4088" s="85" t="b">
        <f>IF(VLOOKUP(C4088,Projetos!A:L,12,false)=TRUE,TRUE,FALSE)</f>
        <v>1</v>
      </c>
      <c r="M4088" s="74">
        <v>52.1518759018759</v>
      </c>
      <c r="N4088" s="74">
        <f t="shared" si="1"/>
        <v>52.1518759</v>
      </c>
      <c r="O4088" s="74" t="b">
        <v>1</v>
      </c>
    </row>
    <row r="4089" hidden="1">
      <c r="A4089" s="82"/>
      <c r="B4089" s="65" t="s">
        <v>467</v>
      </c>
      <c r="C4089" s="65" t="s">
        <v>113</v>
      </c>
      <c r="D4089" s="65" t="str">
        <f>vlookup(C4089,'Classificação p pessoal'!F:G,2,false)</f>
        <v>NP</v>
      </c>
      <c r="E4089" s="65" t="s">
        <v>3000</v>
      </c>
      <c r="F4089" s="83">
        <v>0.625</v>
      </c>
      <c r="G4089" s="83">
        <v>0.6388888888888888</v>
      </c>
      <c r="H4089" s="83">
        <v>0.013888888888888888</v>
      </c>
      <c r="I4089" s="84">
        <v>44322.0</v>
      </c>
      <c r="J4089" s="65" t="b">
        <v>1</v>
      </c>
      <c r="K4089" s="65"/>
      <c r="L4089" s="85" t="b">
        <f>IF(VLOOKUP(C4089,Projetos!A:L,12,false)=TRUE,TRUE,FALSE)</f>
        <v>1</v>
      </c>
      <c r="M4089" s="74">
        <v>52.1518759018759</v>
      </c>
      <c r="N4089" s="74">
        <f t="shared" si="1"/>
        <v>17.38395863</v>
      </c>
      <c r="O4089" s="74" t="b">
        <v>1</v>
      </c>
    </row>
    <row r="4090" hidden="1">
      <c r="A4090" s="82"/>
      <c r="B4090" s="65" t="s">
        <v>467</v>
      </c>
      <c r="C4090" s="65" t="s">
        <v>92</v>
      </c>
      <c r="D4090" s="65" t="str">
        <f>vlookup(C4090,'Classificação p pessoal'!F:G,2,false)</f>
        <v/>
      </c>
      <c r="E4090" s="65" t="s">
        <v>3001</v>
      </c>
      <c r="F4090" s="83">
        <v>0.6458333333333334</v>
      </c>
      <c r="G4090" s="83">
        <v>0.7083333333333334</v>
      </c>
      <c r="H4090" s="83">
        <v>0.0625</v>
      </c>
      <c r="I4090" s="84">
        <v>44322.0</v>
      </c>
      <c r="J4090" s="65" t="b">
        <v>1</v>
      </c>
      <c r="K4090" s="65"/>
      <c r="L4090" s="85" t="b">
        <f>IF(VLOOKUP(C4090,Projetos!A:L,12,false)=TRUE,TRUE,FALSE)</f>
        <v>1</v>
      </c>
      <c r="M4090" s="74">
        <v>52.1518759018759</v>
      </c>
      <c r="N4090" s="74">
        <f t="shared" si="1"/>
        <v>78.22781385</v>
      </c>
      <c r="O4090" s="74" t="b">
        <v>1</v>
      </c>
    </row>
    <row r="4091" hidden="1">
      <c r="A4091" s="82"/>
      <c r="B4091" s="65" t="s">
        <v>467</v>
      </c>
      <c r="C4091" s="65" t="s">
        <v>113</v>
      </c>
      <c r="D4091" s="65" t="str">
        <f>vlookup(C4091,'Classificação p pessoal'!F:G,2,false)</f>
        <v>NP</v>
      </c>
      <c r="E4091" s="65" t="s">
        <v>3002</v>
      </c>
      <c r="F4091" s="83">
        <v>0.3472222222222222</v>
      </c>
      <c r="G4091" s="83">
        <v>0.40625</v>
      </c>
      <c r="H4091" s="83">
        <v>0.059027777777777776</v>
      </c>
      <c r="I4091" s="84">
        <v>44323.0</v>
      </c>
      <c r="J4091" s="65" t="b">
        <v>1</v>
      </c>
      <c r="K4091" s="65"/>
      <c r="L4091" s="85" t="b">
        <f>IF(VLOOKUP(C4091,Projetos!A:L,12,false)=TRUE,TRUE,FALSE)</f>
        <v>1</v>
      </c>
      <c r="M4091" s="74">
        <v>52.1518759018759</v>
      </c>
      <c r="N4091" s="74">
        <f t="shared" si="1"/>
        <v>73.88182419</v>
      </c>
      <c r="O4091" s="74" t="b">
        <v>1</v>
      </c>
    </row>
    <row r="4092" hidden="1">
      <c r="A4092" s="82"/>
      <c r="B4092" s="65" t="s">
        <v>467</v>
      </c>
      <c r="C4092" s="65" t="s">
        <v>92</v>
      </c>
      <c r="D4092" s="65" t="str">
        <f>vlookup(C4092,'Classificação p pessoal'!F:G,2,false)</f>
        <v/>
      </c>
      <c r="E4092" s="65" t="s">
        <v>3003</v>
      </c>
      <c r="F4092" s="83">
        <v>0.5833333333333334</v>
      </c>
      <c r="G4092" s="83">
        <v>0.6458333333333334</v>
      </c>
      <c r="H4092" s="83">
        <v>0.0625</v>
      </c>
      <c r="I4092" s="84">
        <v>44323.0</v>
      </c>
      <c r="J4092" s="65" t="b">
        <v>1</v>
      </c>
      <c r="K4092" s="65"/>
      <c r="L4092" s="85" t="b">
        <f>IF(VLOOKUP(C4092,Projetos!A:L,12,false)=TRUE,TRUE,FALSE)</f>
        <v>1</v>
      </c>
      <c r="M4092" s="74">
        <v>52.1518759018759</v>
      </c>
      <c r="N4092" s="74">
        <f t="shared" si="1"/>
        <v>78.22781385</v>
      </c>
      <c r="O4092" s="74" t="b">
        <v>1</v>
      </c>
    </row>
    <row r="4093" hidden="1">
      <c r="A4093" s="82"/>
      <c r="B4093" s="65" t="s">
        <v>467</v>
      </c>
      <c r="C4093" s="65" t="s">
        <v>113</v>
      </c>
      <c r="D4093" s="65" t="str">
        <f>vlookup(C4093,'Classificação p pessoal'!F:G,2,false)</f>
        <v>NP</v>
      </c>
      <c r="E4093" s="65" t="s">
        <v>3004</v>
      </c>
      <c r="F4093" s="83">
        <v>0.6666666666666666</v>
      </c>
      <c r="G4093" s="83">
        <v>0.7291666666666666</v>
      </c>
      <c r="H4093" s="83">
        <v>0.0625</v>
      </c>
      <c r="I4093" s="84">
        <v>44323.0</v>
      </c>
      <c r="J4093" s="65" t="b">
        <v>1</v>
      </c>
      <c r="K4093" s="65"/>
      <c r="L4093" s="85" t="b">
        <f>IF(VLOOKUP(C4093,Projetos!A:L,12,false)=TRUE,TRUE,FALSE)</f>
        <v>1</v>
      </c>
      <c r="M4093" s="74">
        <v>52.1518759018759</v>
      </c>
      <c r="N4093" s="74">
        <f t="shared" si="1"/>
        <v>78.22781385</v>
      </c>
      <c r="O4093" s="74" t="b">
        <v>1</v>
      </c>
    </row>
    <row r="4094" hidden="1">
      <c r="A4094" s="82"/>
      <c r="B4094" s="65" t="s">
        <v>467</v>
      </c>
      <c r="C4094" s="65" t="s">
        <v>92</v>
      </c>
      <c r="D4094" s="65" t="str">
        <f>vlookup(C4094,'Classificação p pessoal'!F:G,2,false)</f>
        <v/>
      </c>
      <c r="E4094" s="65" t="s">
        <v>3005</v>
      </c>
      <c r="F4094" s="83">
        <v>0.3541666666666667</v>
      </c>
      <c r="G4094" s="83">
        <v>0.3958333333333333</v>
      </c>
      <c r="H4094" s="83">
        <v>0.041666666666666664</v>
      </c>
      <c r="I4094" s="84">
        <v>44326.0</v>
      </c>
      <c r="J4094" s="65" t="b">
        <v>1</v>
      </c>
      <c r="K4094" s="65"/>
      <c r="L4094" s="85" t="b">
        <f>IF(VLOOKUP(C4094,Projetos!A:L,12,false)=TRUE,TRUE,FALSE)</f>
        <v>1</v>
      </c>
      <c r="M4094" s="74">
        <v>52.1518759018759</v>
      </c>
      <c r="N4094" s="74">
        <f t="shared" si="1"/>
        <v>52.1518759</v>
      </c>
      <c r="O4094" s="74" t="b">
        <v>1</v>
      </c>
    </row>
    <row r="4095" hidden="1">
      <c r="A4095" s="82"/>
      <c r="B4095" s="65" t="s">
        <v>467</v>
      </c>
      <c r="C4095" s="65" t="s">
        <v>92</v>
      </c>
      <c r="D4095" s="65" t="str">
        <f>vlookup(C4095,'Classificação p pessoal'!F:G,2,false)</f>
        <v/>
      </c>
      <c r="E4095" s="65" t="s">
        <v>3006</v>
      </c>
      <c r="F4095" s="83">
        <v>0.3958333333333333</v>
      </c>
      <c r="G4095" s="83">
        <v>0.4166666666666667</v>
      </c>
      <c r="H4095" s="83">
        <v>0.020833333333333332</v>
      </c>
      <c r="I4095" s="84">
        <v>44326.0</v>
      </c>
      <c r="J4095" s="65" t="b">
        <v>1</v>
      </c>
      <c r="K4095" s="65"/>
      <c r="L4095" s="85" t="b">
        <f>IF(VLOOKUP(C4095,Projetos!A:L,12,false)=TRUE,TRUE,FALSE)</f>
        <v>1</v>
      </c>
      <c r="M4095" s="74">
        <v>52.1518759018759</v>
      </c>
      <c r="N4095" s="74">
        <f t="shared" si="1"/>
        <v>26.07593795</v>
      </c>
      <c r="O4095" s="74" t="b">
        <v>1</v>
      </c>
    </row>
    <row r="4096" hidden="1">
      <c r="A4096" s="82"/>
      <c r="B4096" s="65" t="s">
        <v>467</v>
      </c>
      <c r="C4096" s="65" t="s">
        <v>92</v>
      </c>
      <c r="D4096" s="65"/>
      <c r="E4096" s="65" t="s">
        <v>3007</v>
      </c>
      <c r="F4096" s="83">
        <v>0.4166666666666667</v>
      </c>
      <c r="G4096" s="83">
        <v>0.5416666666666666</v>
      </c>
      <c r="H4096" s="83">
        <v>0.125</v>
      </c>
      <c r="I4096" s="84">
        <v>44326.0</v>
      </c>
      <c r="J4096" s="65" t="b">
        <v>0</v>
      </c>
      <c r="K4096" s="65" t="s">
        <v>150</v>
      </c>
      <c r="L4096" s="85" t="b">
        <f>IF(VLOOKUP(C4096,Projetos!A:L,12,false)=TRUE,TRUE,FALSE)</f>
        <v>1</v>
      </c>
      <c r="M4096" s="74">
        <v>52.1518759018759</v>
      </c>
      <c r="N4096" s="74">
        <f t="shared" si="1"/>
        <v>0</v>
      </c>
      <c r="O4096" s="74" t="b">
        <v>1</v>
      </c>
    </row>
    <row r="4097" hidden="1">
      <c r="A4097" s="82"/>
      <c r="B4097" s="65" t="s">
        <v>467</v>
      </c>
      <c r="C4097" s="65" t="s">
        <v>88</v>
      </c>
      <c r="D4097" s="65" t="str">
        <f>vlookup(C4097,'Classificação p pessoal'!F:G,2,false)</f>
        <v>MProduto</v>
      </c>
      <c r="E4097" s="65" t="s">
        <v>3008</v>
      </c>
      <c r="F4097" s="83">
        <v>0.5833333333333334</v>
      </c>
      <c r="G4097" s="83">
        <v>0.6041666666666666</v>
      </c>
      <c r="H4097" s="83">
        <v>0.020833333333333332</v>
      </c>
      <c r="I4097" s="84">
        <v>44326.0</v>
      </c>
      <c r="J4097" s="65" t="b">
        <v>1</v>
      </c>
      <c r="K4097" s="65"/>
      <c r="L4097" s="85" t="b">
        <f>IF(VLOOKUP(C4097,Projetos!A:L,12,false)=TRUE,TRUE,FALSE)</f>
        <v>1</v>
      </c>
      <c r="M4097" s="74">
        <v>52.1518759018759</v>
      </c>
      <c r="N4097" s="74">
        <f t="shared" si="1"/>
        <v>26.07593795</v>
      </c>
      <c r="O4097" s="74" t="b">
        <v>1</v>
      </c>
    </row>
    <row r="4098" hidden="1">
      <c r="A4098" s="82"/>
      <c r="B4098" s="65" t="s">
        <v>467</v>
      </c>
      <c r="C4098" s="65" t="s">
        <v>92</v>
      </c>
      <c r="D4098" s="65" t="str">
        <f>vlookup(C4098,'Classificação p pessoal'!F:G,2,false)</f>
        <v/>
      </c>
      <c r="E4098" s="65" t="s">
        <v>3009</v>
      </c>
      <c r="F4098" s="83">
        <v>0.625</v>
      </c>
      <c r="G4098" s="83">
        <v>0.6458333333333334</v>
      </c>
      <c r="H4098" s="83">
        <v>0.020833333333333332</v>
      </c>
      <c r="I4098" s="84">
        <v>44326.0</v>
      </c>
      <c r="J4098" s="65" t="b">
        <v>1</v>
      </c>
      <c r="K4098" s="65"/>
      <c r="L4098" s="85" t="b">
        <f>IF(VLOOKUP(C4098,Projetos!A:L,12,false)=TRUE,TRUE,FALSE)</f>
        <v>1</v>
      </c>
      <c r="M4098" s="74">
        <v>52.1518759018759</v>
      </c>
      <c r="N4098" s="74">
        <f t="shared" si="1"/>
        <v>26.07593795</v>
      </c>
      <c r="O4098" s="74" t="b">
        <v>1</v>
      </c>
    </row>
    <row r="4099" hidden="1">
      <c r="A4099" s="82"/>
      <c r="B4099" s="65" t="s">
        <v>467</v>
      </c>
      <c r="C4099" s="65" t="s">
        <v>92</v>
      </c>
      <c r="D4099" s="65" t="str">
        <f>vlookup(C4099,'Classificação p pessoal'!F:G,2,false)</f>
        <v/>
      </c>
      <c r="E4099" s="65" t="s">
        <v>3010</v>
      </c>
      <c r="F4099" s="83">
        <v>0.3541666666666667</v>
      </c>
      <c r="G4099" s="83">
        <v>0.4166666666666667</v>
      </c>
      <c r="H4099" s="83">
        <v>0.0625</v>
      </c>
      <c r="I4099" s="84">
        <v>44327.0</v>
      </c>
      <c r="J4099" s="65" t="b">
        <v>1</v>
      </c>
      <c r="K4099" s="65"/>
      <c r="L4099" s="85" t="b">
        <f>IF(VLOOKUP(C4099,Projetos!A:L,12,false)=TRUE,TRUE,FALSE)</f>
        <v>1</v>
      </c>
      <c r="M4099" s="74">
        <v>52.1518759018759</v>
      </c>
      <c r="N4099" s="74">
        <f t="shared" si="1"/>
        <v>78.22781385</v>
      </c>
      <c r="O4099" s="74" t="b">
        <v>1</v>
      </c>
    </row>
    <row r="4100" hidden="1">
      <c r="A4100" s="82"/>
      <c r="B4100" s="65" t="s">
        <v>467</v>
      </c>
      <c r="C4100" s="65" t="s">
        <v>130</v>
      </c>
      <c r="D4100" s="65" t="str">
        <f>vlookup(C4100,'Classificação p pessoal'!F:G,2,false)</f>
        <v>NP</v>
      </c>
      <c r="E4100" s="65" t="s">
        <v>3011</v>
      </c>
      <c r="F4100" s="83">
        <v>0.4236111111111111</v>
      </c>
      <c r="G4100" s="83">
        <v>0.5416666666666666</v>
      </c>
      <c r="H4100" s="83">
        <v>0.11805555555555555</v>
      </c>
      <c r="I4100" s="84">
        <v>44327.0</v>
      </c>
      <c r="J4100" s="65" t="b">
        <v>1</v>
      </c>
      <c r="K4100" s="65"/>
      <c r="L4100" s="85" t="b">
        <f>IF(VLOOKUP(C4100,Projetos!A:L,12,false)=TRUE,TRUE,FALSE)</f>
        <v>1</v>
      </c>
      <c r="M4100" s="74">
        <v>52.1518759018759</v>
      </c>
      <c r="N4100" s="74">
        <f t="shared" si="1"/>
        <v>147.7636484</v>
      </c>
      <c r="O4100" s="74" t="b">
        <v>1</v>
      </c>
    </row>
    <row r="4101" hidden="1">
      <c r="A4101" s="82"/>
      <c r="B4101" s="65" t="s">
        <v>467</v>
      </c>
      <c r="C4101" s="65" t="s">
        <v>92</v>
      </c>
      <c r="D4101" s="65"/>
      <c r="E4101" s="65" t="s">
        <v>3012</v>
      </c>
      <c r="F4101" s="83">
        <v>0.5833333333333334</v>
      </c>
      <c r="G4101" s="83">
        <v>0.7291666666666666</v>
      </c>
      <c r="H4101" s="83">
        <v>0.14583333333333334</v>
      </c>
      <c r="I4101" s="84">
        <v>44327.0</v>
      </c>
      <c r="J4101" s="65" t="b">
        <v>0</v>
      </c>
      <c r="K4101" s="65" t="s">
        <v>150</v>
      </c>
      <c r="L4101" s="85" t="b">
        <f>IF(VLOOKUP(C4101,Projetos!A:L,12,false)=TRUE,TRUE,FALSE)</f>
        <v>1</v>
      </c>
      <c r="M4101" s="74">
        <v>52.1518759018759</v>
      </c>
      <c r="N4101" s="74">
        <f t="shared" si="1"/>
        <v>0</v>
      </c>
      <c r="O4101" s="74" t="b">
        <v>1</v>
      </c>
    </row>
    <row r="4102" hidden="1">
      <c r="A4102" s="82"/>
      <c r="B4102" s="65" t="s">
        <v>469</v>
      </c>
      <c r="C4102" s="65" t="s">
        <v>108</v>
      </c>
      <c r="D4102" s="65" t="str">
        <f>vlookup(C4102,'Classificação p pessoal'!F:G,2,false)</f>
        <v>NP</v>
      </c>
      <c r="E4102" s="65" t="s">
        <v>3013</v>
      </c>
      <c r="F4102" s="83">
        <v>0.34375</v>
      </c>
      <c r="G4102" s="83">
        <v>0.75</v>
      </c>
      <c r="H4102" s="83">
        <v>0.40625</v>
      </c>
      <c r="I4102" s="84">
        <v>44208.0</v>
      </c>
      <c r="J4102" s="65" t="b">
        <v>1</v>
      </c>
      <c r="K4102" s="65"/>
      <c r="L4102" s="85" t="b">
        <f>IF(VLOOKUP(C4102,Projetos!A:L,12,false)=TRUE,TRUE,FALSE)</f>
        <v>1</v>
      </c>
      <c r="M4102" s="74">
        <v>37.50928062469937</v>
      </c>
      <c r="N4102" s="74">
        <f t="shared" si="1"/>
        <v>365.7154861</v>
      </c>
      <c r="O4102" s="74" t="b">
        <v>1</v>
      </c>
    </row>
    <row r="4103" hidden="1">
      <c r="A4103" s="82"/>
      <c r="B4103" s="65" t="s">
        <v>467</v>
      </c>
      <c r="C4103" s="65" t="s">
        <v>92</v>
      </c>
      <c r="D4103" s="65" t="str">
        <f>vlookup(C4103,'Classificação p pessoal'!F:G,2,false)</f>
        <v/>
      </c>
      <c r="E4103" s="65" t="s">
        <v>3014</v>
      </c>
      <c r="F4103" s="83">
        <v>0.4166666666666667</v>
      </c>
      <c r="G4103" s="83">
        <v>0.4375</v>
      </c>
      <c r="H4103" s="83">
        <v>0.020833333333333332</v>
      </c>
      <c r="I4103" s="84">
        <v>44328.0</v>
      </c>
      <c r="J4103" s="65" t="b">
        <v>1</v>
      </c>
      <c r="K4103" s="65"/>
      <c r="L4103" s="85" t="b">
        <f>IF(VLOOKUP(C4103,Projetos!A:L,12,false)=TRUE,TRUE,FALSE)</f>
        <v>1</v>
      </c>
      <c r="M4103" s="74">
        <v>52.1518759018759</v>
      </c>
      <c r="N4103" s="74">
        <f t="shared" si="1"/>
        <v>26.07593795</v>
      </c>
      <c r="O4103" s="74" t="b">
        <v>1</v>
      </c>
    </row>
    <row r="4104" hidden="1">
      <c r="A4104" s="82"/>
      <c r="B4104" s="65" t="s">
        <v>467</v>
      </c>
      <c r="C4104" s="65" t="s">
        <v>92</v>
      </c>
      <c r="D4104" s="65" t="str">
        <f>vlookup(C4104,'Classificação p pessoal'!F:G,2,false)</f>
        <v/>
      </c>
      <c r="E4104" s="65" t="s">
        <v>3015</v>
      </c>
      <c r="F4104" s="83">
        <v>0.4409722222222222</v>
      </c>
      <c r="G4104" s="83">
        <v>0.5</v>
      </c>
      <c r="H4104" s="83">
        <v>0.059027777777777776</v>
      </c>
      <c r="I4104" s="84">
        <v>44328.0</v>
      </c>
      <c r="J4104" s="65" t="b">
        <v>1</v>
      </c>
      <c r="K4104" s="65"/>
      <c r="L4104" s="85" t="b">
        <f>IF(VLOOKUP(C4104,Projetos!A:L,12,false)=TRUE,TRUE,FALSE)</f>
        <v>1</v>
      </c>
      <c r="M4104" s="74">
        <v>52.1518759018759</v>
      </c>
      <c r="N4104" s="74">
        <f t="shared" si="1"/>
        <v>73.88182419</v>
      </c>
      <c r="O4104" s="74" t="b">
        <v>1</v>
      </c>
    </row>
    <row r="4105" hidden="1">
      <c r="A4105" s="82"/>
      <c r="B4105" s="65" t="s">
        <v>469</v>
      </c>
      <c r="C4105" s="65" t="s">
        <v>108</v>
      </c>
      <c r="D4105" s="65" t="str">
        <f>vlookup(C4105,'Classificação p pessoal'!F:G,2,false)</f>
        <v>NP</v>
      </c>
      <c r="E4105" s="65" t="s">
        <v>3013</v>
      </c>
      <c r="F4105" s="83">
        <v>0.34375</v>
      </c>
      <c r="G4105" s="83">
        <v>0.75</v>
      </c>
      <c r="H4105" s="83">
        <v>0.40625</v>
      </c>
      <c r="I4105" s="84">
        <v>44209.0</v>
      </c>
      <c r="J4105" s="65" t="b">
        <v>1</v>
      </c>
      <c r="K4105" s="65"/>
      <c r="L4105" s="85" t="b">
        <f>IF(VLOOKUP(C4105,Projetos!A:L,12,false)=TRUE,TRUE,FALSE)</f>
        <v>1</v>
      </c>
      <c r="M4105" s="74">
        <v>37.50928062469937</v>
      </c>
      <c r="N4105" s="74">
        <f t="shared" si="1"/>
        <v>365.7154861</v>
      </c>
      <c r="O4105" s="74" t="b">
        <v>1</v>
      </c>
    </row>
    <row r="4106" hidden="1">
      <c r="A4106" s="82"/>
      <c r="B4106" s="65" t="s">
        <v>467</v>
      </c>
      <c r="C4106" s="65" t="s">
        <v>92</v>
      </c>
      <c r="D4106" s="65" t="str">
        <f>vlookup(C4106,'Classificação p pessoal'!F:G,2,false)</f>
        <v/>
      </c>
      <c r="E4106" s="65" t="s">
        <v>3016</v>
      </c>
      <c r="F4106" s="83">
        <v>0.5902777777777778</v>
      </c>
      <c r="G4106" s="83">
        <v>0.6666666666666666</v>
      </c>
      <c r="H4106" s="83">
        <v>0.0763888888888889</v>
      </c>
      <c r="I4106" s="84">
        <v>44328.0</v>
      </c>
      <c r="J4106" s="65" t="b">
        <v>1</v>
      </c>
      <c r="K4106" s="65"/>
      <c r="L4106" s="85" t="b">
        <f>IF(VLOOKUP(C4106,Projetos!A:L,12,false)=TRUE,TRUE,FALSE)</f>
        <v>1</v>
      </c>
      <c r="M4106" s="74">
        <v>52.1518759018759</v>
      </c>
      <c r="N4106" s="74">
        <f t="shared" si="1"/>
        <v>95.61177249</v>
      </c>
      <c r="O4106" s="74" t="b">
        <v>1</v>
      </c>
    </row>
    <row r="4107" hidden="1">
      <c r="A4107" s="82"/>
      <c r="B4107" s="65" t="s">
        <v>467</v>
      </c>
      <c r="C4107" s="65" t="s">
        <v>92</v>
      </c>
      <c r="D4107" s="65" t="str">
        <f>vlookup(C4107,'Classificação p pessoal'!F:G,2,false)</f>
        <v/>
      </c>
      <c r="E4107" s="65" t="s">
        <v>3017</v>
      </c>
      <c r="F4107" s="83">
        <v>0.3472222222222222</v>
      </c>
      <c r="G4107" s="83">
        <v>0.4166666666666667</v>
      </c>
      <c r="H4107" s="83">
        <v>0.06944444444444445</v>
      </c>
      <c r="I4107" s="84">
        <v>44329.0</v>
      </c>
      <c r="J4107" s="65" t="b">
        <v>1</v>
      </c>
      <c r="K4107" s="65"/>
      <c r="L4107" s="85" t="b">
        <f>IF(VLOOKUP(C4107,Projetos!A:L,12,false)=TRUE,TRUE,FALSE)</f>
        <v>1</v>
      </c>
      <c r="M4107" s="74">
        <v>52.1518759018759</v>
      </c>
      <c r="N4107" s="74">
        <f t="shared" si="1"/>
        <v>86.91979317</v>
      </c>
      <c r="O4107" s="74" t="b">
        <v>1</v>
      </c>
    </row>
    <row r="4108" hidden="1">
      <c r="A4108" s="82"/>
      <c r="B4108" s="65" t="s">
        <v>467</v>
      </c>
      <c r="C4108" s="65" t="s">
        <v>113</v>
      </c>
      <c r="D4108" s="65" t="str">
        <f>vlookup(C4108,'Classificação p pessoal'!F:G,2,false)</f>
        <v>NP</v>
      </c>
      <c r="E4108" s="65" t="s">
        <v>3018</v>
      </c>
      <c r="F4108" s="83">
        <v>0.4236111111111111</v>
      </c>
      <c r="G4108" s="83">
        <v>0.4895833333333333</v>
      </c>
      <c r="H4108" s="83">
        <v>0.06597222222222222</v>
      </c>
      <c r="I4108" s="84">
        <v>44329.0</v>
      </c>
      <c r="J4108" s="65" t="b">
        <v>1</v>
      </c>
      <c r="K4108" s="65"/>
      <c r="L4108" s="85" t="b">
        <f>IF(VLOOKUP(C4108,Projetos!A:L,12,false)=TRUE,TRUE,FALSE)</f>
        <v>1</v>
      </c>
      <c r="M4108" s="74">
        <v>52.1518759018759</v>
      </c>
      <c r="N4108" s="74">
        <f t="shared" si="1"/>
        <v>82.57380351</v>
      </c>
      <c r="O4108" s="74" t="b">
        <v>1</v>
      </c>
    </row>
    <row r="4109" hidden="1">
      <c r="A4109" s="82"/>
      <c r="B4109" s="65" t="s">
        <v>467</v>
      </c>
      <c r="C4109" s="65" t="s">
        <v>113</v>
      </c>
      <c r="D4109" s="65" t="str">
        <f>vlookup(C4109,'Classificação p pessoal'!F:G,2,false)</f>
        <v>NP</v>
      </c>
      <c r="E4109" s="65" t="s">
        <v>3019</v>
      </c>
      <c r="F4109" s="83">
        <v>0.5833333333333334</v>
      </c>
      <c r="G4109" s="83">
        <v>0.7083333333333334</v>
      </c>
      <c r="H4109" s="83">
        <v>0.125</v>
      </c>
      <c r="I4109" s="84">
        <v>44329.0</v>
      </c>
      <c r="J4109" s="65" t="b">
        <v>1</v>
      </c>
      <c r="K4109" s="65"/>
      <c r="L4109" s="85" t="b">
        <f>IF(VLOOKUP(C4109,Projetos!A:L,12,false)=TRUE,TRUE,FALSE)</f>
        <v>1</v>
      </c>
      <c r="M4109" s="74">
        <v>52.1518759018759</v>
      </c>
      <c r="N4109" s="74">
        <f t="shared" si="1"/>
        <v>156.4556277</v>
      </c>
      <c r="O4109" s="74" t="b">
        <v>1</v>
      </c>
    </row>
    <row r="4110" hidden="1">
      <c r="A4110" s="82"/>
      <c r="B4110" s="65" t="s">
        <v>467</v>
      </c>
      <c r="C4110" s="65" t="s">
        <v>113</v>
      </c>
      <c r="D4110" s="65"/>
      <c r="E4110" s="65" t="s">
        <v>3020</v>
      </c>
      <c r="F4110" s="83">
        <v>0.3541666666666667</v>
      </c>
      <c r="G4110" s="83">
        <v>0.3958333333333333</v>
      </c>
      <c r="H4110" s="83">
        <v>0.041666666666666664</v>
      </c>
      <c r="I4110" s="84">
        <v>44330.0</v>
      </c>
      <c r="J4110" s="65" t="b">
        <v>0</v>
      </c>
      <c r="K4110" s="65" t="s">
        <v>150</v>
      </c>
      <c r="L4110" s="85" t="b">
        <f>IF(VLOOKUP(C4110,Projetos!A:L,12,false)=TRUE,TRUE,FALSE)</f>
        <v>1</v>
      </c>
      <c r="M4110" s="74">
        <v>52.1518759018759</v>
      </c>
      <c r="N4110" s="74">
        <f t="shared" si="1"/>
        <v>0</v>
      </c>
      <c r="O4110" s="74" t="b">
        <v>1</v>
      </c>
    </row>
    <row r="4111" hidden="1">
      <c r="A4111" s="82"/>
      <c r="B4111" s="65" t="s">
        <v>467</v>
      </c>
      <c r="C4111" s="65" t="s">
        <v>113</v>
      </c>
      <c r="D4111" s="65" t="str">
        <f>vlookup(C4111,'Classificação p pessoal'!F:G,2,false)</f>
        <v>NP</v>
      </c>
      <c r="E4111" s="65" t="s">
        <v>3021</v>
      </c>
      <c r="F4111" s="83">
        <v>0.3958333333333333</v>
      </c>
      <c r="G4111" s="83">
        <v>0.5</v>
      </c>
      <c r="H4111" s="83">
        <v>0.10416666666666667</v>
      </c>
      <c r="I4111" s="84">
        <v>44330.0</v>
      </c>
      <c r="J4111" s="65" t="b">
        <v>1</v>
      </c>
      <c r="K4111" s="65"/>
      <c r="L4111" s="85" t="b">
        <f>IF(VLOOKUP(C4111,Projetos!A:L,12,false)=TRUE,TRUE,FALSE)</f>
        <v>1</v>
      </c>
      <c r="M4111" s="74">
        <v>52.1518759018759</v>
      </c>
      <c r="N4111" s="74">
        <f t="shared" si="1"/>
        <v>130.3796898</v>
      </c>
      <c r="O4111" s="74" t="b">
        <v>1</v>
      </c>
    </row>
    <row r="4112" hidden="1">
      <c r="A4112" s="82"/>
      <c r="B4112" s="65" t="s">
        <v>467</v>
      </c>
      <c r="C4112" s="65" t="s">
        <v>92</v>
      </c>
      <c r="D4112" s="65" t="str">
        <f>vlookup(C4112,'Classificação p pessoal'!F:G,2,false)</f>
        <v/>
      </c>
      <c r="E4112" s="65" t="s">
        <v>3022</v>
      </c>
      <c r="F4112" s="83">
        <v>0.5833333333333334</v>
      </c>
      <c r="G4112" s="83">
        <v>0.6458333333333334</v>
      </c>
      <c r="H4112" s="83">
        <v>0.0625</v>
      </c>
      <c r="I4112" s="84">
        <v>44330.0</v>
      </c>
      <c r="J4112" s="65" t="b">
        <v>1</v>
      </c>
      <c r="K4112" s="65"/>
      <c r="L4112" s="85" t="b">
        <f>IF(VLOOKUP(C4112,Projetos!A:L,12,false)=TRUE,TRUE,FALSE)</f>
        <v>1</v>
      </c>
      <c r="M4112" s="74">
        <v>52.1518759018759</v>
      </c>
      <c r="N4112" s="74">
        <f t="shared" si="1"/>
        <v>78.22781385</v>
      </c>
      <c r="O4112" s="74" t="b">
        <v>1</v>
      </c>
    </row>
    <row r="4113" hidden="1">
      <c r="A4113" s="82"/>
      <c r="B4113" s="65" t="s">
        <v>467</v>
      </c>
      <c r="C4113" s="65" t="s">
        <v>113</v>
      </c>
      <c r="D4113" s="65" t="str">
        <f>vlookup(C4113,'Classificação p pessoal'!F:G,2,false)</f>
        <v>NP</v>
      </c>
      <c r="E4113" s="65" t="s">
        <v>3023</v>
      </c>
      <c r="F4113" s="83">
        <v>0.34375</v>
      </c>
      <c r="G4113" s="83">
        <v>0.4166666666666667</v>
      </c>
      <c r="H4113" s="83">
        <v>0.07291666666666667</v>
      </c>
      <c r="I4113" s="84">
        <v>44333.0</v>
      </c>
      <c r="J4113" s="65" t="b">
        <v>1</v>
      </c>
      <c r="K4113" s="65"/>
      <c r="L4113" s="85" t="b">
        <f>IF(VLOOKUP(C4113,Projetos!A:L,12,false)=TRUE,TRUE,FALSE)</f>
        <v>1</v>
      </c>
      <c r="M4113" s="74">
        <v>52.1518759018759</v>
      </c>
      <c r="N4113" s="74">
        <f t="shared" si="1"/>
        <v>91.26578283</v>
      </c>
      <c r="O4113" s="74" t="b">
        <v>1</v>
      </c>
    </row>
    <row r="4114" hidden="1">
      <c r="A4114" s="82"/>
      <c r="B4114" s="65" t="s">
        <v>467</v>
      </c>
      <c r="C4114" s="65" t="s">
        <v>130</v>
      </c>
      <c r="D4114" s="65" t="str">
        <f>vlookup(C4114,'Classificação p pessoal'!F:G,2,false)</f>
        <v>NP</v>
      </c>
      <c r="E4114" s="65" t="s">
        <v>3024</v>
      </c>
      <c r="F4114" s="83">
        <v>0.4375</v>
      </c>
      <c r="G4114" s="83">
        <v>0.5</v>
      </c>
      <c r="H4114" s="83">
        <v>0.0625</v>
      </c>
      <c r="I4114" s="84">
        <v>44333.0</v>
      </c>
      <c r="J4114" s="65" t="b">
        <v>1</v>
      </c>
      <c r="K4114" s="65"/>
      <c r="L4114" s="85" t="b">
        <f>IF(VLOOKUP(C4114,Projetos!A:L,12,false)=TRUE,TRUE,FALSE)</f>
        <v>1</v>
      </c>
      <c r="M4114" s="74">
        <v>52.1518759018759</v>
      </c>
      <c r="N4114" s="74">
        <f t="shared" si="1"/>
        <v>78.22781385</v>
      </c>
      <c r="O4114" s="74" t="b">
        <v>1</v>
      </c>
    </row>
    <row r="4115" hidden="1">
      <c r="A4115" s="82"/>
      <c r="B4115" s="65" t="s">
        <v>467</v>
      </c>
      <c r="C4115" s="65" t="s">
        <v>92</v>
      </c>
      <c r="D4115" s="65" t="str">
        <f>vlookup(C4115,'Classificação p pessoal'!F:G,2,false)</f>
        <v/>
      </c>
      <c r="E4115" s="65" t="s">
        <v>3025</v>
      </c>
      <c r="F4115" s="83">
        <v>0.5416666666666666</v>
      </c>
      <c r="G4115" s="83">
        <v>0.5625</v>
      </c>
      <c r="H4115" s="83">
        <v>0.020833333333333332</v>
      </c>
      <c r="I4115" s="84">
        <v>44333.0</v>
      </c>
      <c r="J4115" s="65" t="b">
        <v>1</v>
      </c>
      <c r="K4115" s="65"/>
      <c r="L4115" s="85" t="b">
        <f>IF(VLOOKUP(C4115,Projetos!A:L,12,false)=TRUE,TRUE,FALSE)</f>
        <v>1</v>
      </c>
      <c r="M4115" s="74">
        <v>52.1518759018759</v>
      </c>
      <c r="N4115" s="74">
        <f t="shared" si="1"/>
        <v>26.07593795</v>
      </c>
      <c r="O4115" s="74" t="b">
        <v>1</v>
      </c>
    </row>
    <row r="4116" hidden="1">
      <c r="A4116" s="82"/>
      <c r="B4116" s="65" t="s">
        <v>467</v>
      </c>
      <c r="C4116" s="65" t="s">
        <v>130</v>
      </c>
      <c r="D4116" s="65" t="str">
        <f>vlookup(C4116,'Classificação p pessoal'!F:G,2,false)</f>
        <v>NP</v>
      </c>
      <c r="E4116" s="65" t="s">
        <v>3026</v>
      </c>
      <c r="F4116" s="83">
        <v>0.3541666666666667</v>
      </c>
      <c r="G4116" s="83">
        <v>0.40625</v>
      </c>
      <c r="H4116" s="83">
        <v>0.052083333333333336</v>
      </c>
      <c r="I4116" s="84">
        <v>44334.0</v>
      </c>
      <c r="J4116" s="65" t="b">
        <v>1</v>
      </c>
      <c r="K4116" s="65"/>
      <c r="L4116" s="85" t="b">
        <f>IF(VLOOKUP(C4116,Projetos!A:L,12,false)=TRUE,TRUE,FALSE)</f>
        <v>1</v>
      </c>
      <c r="M4116" s="74">
        <v>52.1518759018759</v>
      </c>
      <c r="N4116" s="74">
        <f t="shared" si="1"/>
        <v>65.18984488</v>
      </c>
      <c r="O4116" s="74" t="b">
        <v>1</v>
      </c>
    </row>
    <row r="4117" hidden="1">
      <c r="A4117" s="82"/>
      <c r="B4117" s="65" t="s">
        <v>467</v>
      </c>
      <c r="C4117" s="65" t="s">
        <v>92</v>
      </c>
      <c r="D4117" s="65" t="str">
        <f>vlookup(C4117,'Classificação p pessoal'!F:G,2,false)</f>
        <v/>
      </c>
      <c r="E4117" s="65" t="s">
        <v>3027</v>
      </c>
      <c r="F4117" s="83">
        <v>0.4166666666666667</v>
      </c>
      <c r="G4117" s="83">
        <v>0.5</v>
      </c>
      <c r="H4117" s="83">
        <v>0.08333333333333333</v>
      </c>
      <c r="I4117" s="84">
        <v>44334.0</v>
      </c>
      <c r="J4117" s="65" t="b">
        <v>1</v>
      </c>
      <c r="K4117" s="65"/>
      <c r="L4117" s="85" t="b">
        <f>IF(VLOOKUP(C4117,Projetos!A:L,12,false)=TRUE,TRUE,FALSE)</f>
        <v>1</v>
      </c>
      <c r="M4117" s="74">
        <v>52.1518759018759</v>
      </c>
      <c r="N4117" s="74">
        <f t="shared" si="1"/>
        <v>104.3037518</v>
      </c>
      <c r="O4117" s="74" t="b">
        <v>1</v>
      </c>
    </row>
    <row r="4118" hidden="1">
      <c r="A4118" s="82"/>
      <c r="B4118" s="65" t="s">
        <v>467</v>
      </c>
      <c r="C4118" s="65" t="s">
        <v>113</v>
      </c>
      <c r="D4118" s="65" t="str">
        <f>vlookup(C4118,'Classificação p pessoal'!F:G,2,false)</f>
        <v>NP</v>
      </c>
      <c r="E4118" s="65" t="s">
        <v>3028</v>
      </c>
      <c r="F4118" s="83">
        <v>0.3541666666666667</v>
      </c>
      <c r="G4118" s="83">
        <v>0.4375</v>
      </c>
      <c r="H4118" s="83">
        <v>0.08333333333333333</v>
      </c>
      <c r="I4118" s="84">
        <v>44335.0</v>
      </c>
      <c r="J4118" s="65" t="b">
        <v>1</v>
      </c>
      <c r="K4118" s="65"/>
      <c r="L4118" s="85" t="b">
        <f>IF(VLOOKUP(C4118,Projetos!A:L,12,false)=TRUE,TRUE,FALSE)</f>
        <v>1</v>
      </c>
      <c r="M4118" s="74">
        <v>52.1518759018759</v>
      </c>
      <c r="N4118" s="74">
        <f t="shared" si="1"/>
        <v>104.3037518</v>
      </c>
      <c r="O4118" s="74" t="b">
        <v>1</v>
      </c>
    </row>
    <row r="4119" hidden="1">
      <c r="A4119" s="82"/>
      <c r="B4119" s="65" t="s">
        <v>467</v>
      </c>
      <c r="C4119" s="65" t="s">
        <v>113</v>
      </c>
      <c r="D4119" s="65" t="str">
        <f>vlookup(C4119,'Classificação p pessoal'!F:G,2,false)</f>
        <v>NP</v>
      </c>
      <c r="E4119" s="65" t="s">
        <v>3029</v>
      </c>
      <c r="F4119" s="83">
        <v>0.4583333333333333</v>
      </c>
      <c r="G4119" s="83">
        <v>0.5416666666666666</v>
      </c>
      <c r="H4119" s="83">
        <v>0.08333333333333333</v>
      </c>
      <c r="I4119" s="84">
        <v>44335.0</v>
      </c>
      <c r="J4119" s="65" t="b">
        <v>1</v>
      </c>
      <c r="K4119" s="65"/>
      <c r="L4119" s="85" t="b">
        <f>IF(VLOOKUP(C4119,Projetos!A:L,12,false)=TRUE,TRUE,FALSE)</f>
        <v>1</v>
      </c>
      <c r="M4119" s="74">
        <v>52.1518759018759</v>
      </c>
      <c r="N4119" s="74">
        <f t="shared" si="1"/>
        <v>104.3037518</v>
      </c>
      <c r="O4119" s="74" t="b">
        <v>1</v>
      </c>
    </row>
    <row r="4120" hidden="1">
      <c r="A4120" s="82"/>
      <c r="B4120" s="65" t="s">
        <v>467</v>
      </c>
      <c r="C4120" s="65" t="s">
        <v>130</v>
      </c>
      <c r="D4120" s="65" t="str">
        <f>vlookup(C4120,'Classificação p pessoal'!F:G,2,false)</f>
        <v>NP</v>
      </c>
      <c r="E4120" s="65" t="s">
        <v>3030</v>
      </c>
      <c r="F4120" s="83">
        <v>0.5833333333333334</v>
      </c>
      <c r="G4120" s="83">
        <v>0.6875</v>
      </c>
      <c r="H4120" s="83">
        <v>0.10416666666666667</v>
      </c>
      <c r="I4120" s="84">
        <v>44335.0</v>
      </c>
      <c r="J4120" s="65" t="b">
        <v>1</v>
      </c>
      <c r="K4120" s="65"/>
      <c r="L4120" s="85" t="b">
        <f>IF(VLOOKUP(C4120,Projetos!A:L,12,false)=TRUE,TRUE,FALSE)</f>
        <v>1</v>
      </c>
      <c r="M4120" s="74">
        <v>52.1518759018759</v>
      </c>
      <c r="N4120" s="74">
        <f t="shared" si="1"/>
        <v>130.3796898</v>
      </c>
      <c r="O4120" s="74" t="b">
        <v>1</v>
      </c>
    </row>
    <row r="4121" hidden="1">
      <c r="A4121" s="82"/>
      <c r="B4121" s="65" t="s">
        <v>467</v>
      </c>
      <c r="C4121" s="65" t="s">
        <v>88</v>
      </c>
      <c r="D4121" s="65" t="str">
        <f>vlookup(C4121,'Classificação p pessoal'!F:G,2,false)</f>
        <v>MProduto</v>
      </c>
      <c r="E4121" s="65" t="s">
        <v>3031</v>
      </c>
      <c r="F4121" s="83">
        <v>0.3541666666666667</v>
      </c>
      <c r="G4121" s="83">
        <v>0.4166666666666667</v>
      </c>
      <c r="H4121" s="83">
        <v>0.0625</v>
      </c>
      <c r="I4121" s="84">
        <v>44336.0</v>
      </c>
      <c r="J4121" s="65" t="b">
        <v>1</v>
      </c>
      <c r="K4121" s="65"/>
      <c r="L4121" s="85" t="b">
        <f>IF(VLOOKUP(C4121,Projetos!A:L,12,false)=TRUE,TRUE,FALSE)</f>
        <v>1</v>
      </c>
      <c r="M4121" s="74">
        <v>52.1518759018759</v>
      </c>
      <c r="N4121" s="74">
        <f t="shared" si="1"/>
        <v>78.22781385</v>
      </c>
      <c r="O4121" s="74" t="b">
        <v>1</v>
      </c>
    </row>
    <row r="4122" hidden="1">
      <c r="A4122" s="82"/>
      <c r="B4122" s="65" t="s">
        <v>467</v>
      </c>
      <c r="C4122" s="65" t="s">
        <v>88</v>
      </c>
      <c r="D4122" s="65" t="str">
        <f>vlookup(C4122,'Classificação p pessoal'!F:G,2,false)</f>
        <v>MProduto</v>
      </c>
      <c r="E4122" s="65" t="s">
        <v>3032</v>
      </c>
      <c r="F4122" s="83">
        <v>0.4166666666666667</v>
      </c>
      <c r="G4122" s="83">
        <v>0.4583333333333333</v>
      </c>
      <c r="H4122" s="83">
        <v>0.041666666666666664</v>
      </c>
      <c r="I4122" s="84">
        <v>44336.0</v>
      </c>
      <c r="J4122" s="65" t="b">
        <v>1</v>
      </c>
      <c r="K4122" s="65"/>
      <c r="L4122" s="85" t="b">
        <f>IF(VLOOKUP(C4122,Projetos!A:L,12,false)=TRUE,TRUE,FALSE)</f>
        <v>1</v>
      </c>
      <c r="M4122" s="74">
        <v>52.1518759018759</v>
      </c>
      <c r="N4122" s="74">
        <f t="shared" si="1"/>
        <v>52.1518759</v>
      </c>
      <c r="O4122" s="74" t="b">
        <v>1</v>
      </c>
    </row>
    <row r="4123" hidden="1">
      <c r="A4123" s="82"/>
      <c r="B4123" s="65" t="s">
        <v>467</v>
      </c>
      <c r="C4123" s="65" t="s">
        <v>113</v>
      </c>
      <c r="D4123" s="65" t="str">
        <f>vlookup(C4123,'Classificação p pessoal'!F:G,2,false)</f>
        <v>NP</v>
      </c>
      <c r="E4123" s="65" t="s">
        <v>3033</v>
      </c>
      <c r="F4123" s="83">
        <v>0.5833333333333334</v>
      </c>
      <c r="G4123" s="83">
        <v>0.6666666666666666</v>
      </c>
      <c r="H4123" s="83">
        <v>0.08333333333333333</v>
      </c>
      <c r="I4123" s="84">
        <v>44336.0</v>
      </c>
      <c r="J4123" s="65" t="b">
        <v>1</v>
      </c>
      <c r="K4123" s="65"/>
      <c r="L4123" s="85" t="b">
        <f>IF(VLOOKUP(C4123,Projetos!A:L,12,false)=TRUE,TRUE,FALSE)</f>
        <v>1</v>
      </c>
      <c r="M4123" s="74">
        <v>52.1518759018759</v>
      </c>
      <c r="N4123" s="74">
        <f t="shared" si="1"/>
        <v>104.3037518</v>
      </c>
      <c r="O4123" s="74" t="b">
        <v>1</v>
      </c>
    </row>
    <row r="4124" hidden="1">
      <c r="A4124" s="82"/>
      <c r="B4124" s="65" t="s">
        <v>467</v>
      </c>
      <c r="C4124" s="65" t="s">
        <v>92</v>
      </c>
      <c r="D4124" s="65" t="str">
        <f>vlookup(C4124,'Classificação p pessoal'!F:G,2,false)</f>
        <v/>
      </c>
      <c r="E4124" s="65" t="s">
        <v>3034</v>
      </c>
      <c r="F4124" s="83">
        <v>0.4166666666666667</v>
      </c>
      <c r="G4124" s="83">
        <v>0.5</v>
      </c>
      <c r="H4124" s="83">
        <v>0.08333333333333333</v>
      </c>
      <c r="I4124" s="84">
        <v>44337.0</v>
      </c>
      <c r="J4124" s="65" t="b">
        <v>1</v>
      </c>
      <c r="K4124" s="65"/>
      <c r="L4124" s="85" t="b">
        <f>IF(VLOOKUP(C4124,Projetos!A:L,12,false)=TRUE,TRUE,FALSE)</f>
        <v>1</v>
      </c>
      <c r="M4124" s="74">
        <v>52.1518759018759</v>
      </c>
      <c r="N4124" s="74">
        <f t="shared" si="1"/>
        <v>104.3037518</v>
      </c>
      <c r="O4124" s="74" t="b">
        <v>1</v>
      </c>
    </row>
    <row r="4125" hidden="1">
      <c r="A4125" s="82"/>
      <c r="B4125" s="65" t="s">
        <v>467</v>
      </c>
      <c r="C4125" s="65" t="s">
        <v>113</v>
      </c>
      <c r="D4125" s="65" t="str">
        <f>vlookup(C4125,'Classificação p pessoal'!F:G,2,false)</f>
        <v>NP</v>
      </c>
      <c r="E4125" s="65" t="s">
        <v>3035</v>
      </c>
      <c r="F4125" s="83">
        <v>0.5833333333333334</v>
      </c>
      <c r="G4125" s="83">
        <v>0.625</v>
      </c>
      <c r="H4125" s="83">
        <v>0.041666666666666664</v>
      </c>
      <c r="I4125" s="84">
        <v>44337.0</v>
      </c>
      <c r="J4125" s="65" t="b">
        <v>1</v>
      </c>
      <c r="K4125" s="65"/>
      <c r="L4125" s="85" t="b">
        <f>IF(VLOOKUP(C4125,Projetos!A:L,12,false)=TRUE,TRUE,FALSE)</f>
        <v>1</v>
      </c>
      <c r="M4125" s="74">
        <v>52.1518759018759</v>
      </c>
      <c r="N4125" s="74">
        <f t="shared" si="1"/>
        <v>52.1518759</v>
      </c>
      <c r="O4125" s="74" t="b">
        <v>1</v>
      </c>
    </row>
    <row r="4126" hidden="1">
      <c r="A4126" s="82"/>
      <c r="B4126" s="65" t="s">
        <v>467</v>
      </c>
      <c r="C4126" s="65" t="s">
        <v>113</v>
      </c>
      <c r="D4126" s="65" t="str">
        <f>vlookup(C4126,'Classificação p pessoal'!F:G,2,false)</f>
        <v>NP</v>
      </c>
      <c r="E4126" s="65" t="s">
        <v>3036</v>
      </c>
      <c r="F4126" s="83">
        <v>0.6875</v>
      </c>
      <c r="G4126" s="83">
        <v>0.75</v>
      </c>
      <c r="H4126" s="83">
        <v>0.0625</v>
      </c>
      <c r="I4126" s="84">
        <v>44337.0</v>
      </c>
      <c r="J4126" s="65" t="b">
        <v>1</v>
      </c>
      <c r="K4126" s="65"/>
      <c r="L4126" s="85" t="b">
        <f>IF(VLOOKUP(C4126,Projetos!A:L,12,false)=TRUE,TRUE,FALSE)</f>
        <v>1</v>
      </c>
      <c r="M4126" s="74">
        <v>52.1518759018759</v>
      </c>
      <c r="N4126" s="74">
        <f t="shared" si="1"/>
        <v>78.22781385</v>
      </c>
      <c r="O4126" s="74" t="b">
        <v>1</v>
      </c>
    </row>
    <row r="4127" hidden="1">
      <c r="A4127" s="82"/>
      <c r="B4127" s="65" t="s">
        <v>467</v>
      </c>
      <c r="C4127" s="65" t="s">
        <v>113</v>
      </c>
      <c r="D4127" s="65" t="str">
        <f>vlookup(C4127,'Classificação p pessoal'!F:G,2,false)</f>
        <v>NP</v>
      </c>
      <c r="E4127" s="65" t="s">
        <v>3037</v>
      </c>
      <c r="F4127" s="83">
        <v>0.3541666666666667</v>
      </c>
      <c r="G4127" s="83">
        <v>0.4375</v>
      </c>
      <c r="H4127" s="83">
        <v>0.08333333333333333</v>
      </c>
      <c r="I4127" s="84">
        <v>44340.0</v>
      </c>
      <c r="J4127" s="65" t="b">
        <v>1</v>
      </c>
      <c r="K4127" s="65"/>
      <c r="L4127" s="85" t="b">
        <f>IF(VLOOKUP(C4127,Projetos!A:L,12,false)=TRUE,TRUE,FALSE)</f>
        <v>1</v>
      </c>
      <c r="M4127" s="74">
        <v>52.1518759018759</v>
      </c>
      <c r="N4127" s="74">
        <f t="shared" si="1"/>
        <v>104.3037518</v>
      </c>
      <c r="O4127" s="74" t="b">
        <v>1</v>
      </c>
    </row>
    <row r="4128" hidden="1">
      <c r="A4128" s="82"/>
      <c r="B4128" s="65" t="s">
        <v>467</v>
      </c>
      <c r="C4128" s="65" t="s">
        <v>113</v>
      </c>
      <c r="D4128" s="65" t="str">
        <f>vlookup(C4128,'Classificação p pessoal'!F:G,2,false)</f>
        <v>NP</v>
      </c>
      <c r="E4128" s="65" t="s">
        <v>3038</v>
      </c>
      <c r="F4128" s="83">
        <v>0.4375</v>
      </c>
      <c r="G4128" s="83">
        <v>0.4791666666666667</v>
      </c>
      <c r="H4128" s="83">
        <v>0.041666666666666664</v>
      </c>
      <c r="I4128" s="84">
        <v>44340.0</v>
      </c>
      <c r="J4128" s="65" t="b">
        <v>1</v>
      </c>
      <c r="K4128" s="65"/>
      <c r="L4128" s="85" t="b">
        <f>IF(VLOOKUP(C4128,Projetos!A:L,12,false)=TRUE,TRUE,FALSE)</f>
        <v>1</v>
      </c>
      <c r="M4128" s="74">
        <v>52.1518759018759</v>
      </c>
      <c r="N4128" s="74">
        <f t="shared" si="1"/>
        <v>52.1518759</v>
      </c>
      <c r="O4128" s="74" t="b">
        <v>1</v>
      </c>
    </row>
    <row r="4129" hidden="1">
      <c r="A4129" s="82"/>
      <c r="B4129" s="65" t="s">
        <v>467</v>
      </c>
      <c r="C4129" s="65" t="s">
        <v>113</v>
      </c>
      <c r="D4129" s="65" t="str">
        <f>vlookup(C4129,'Classificação p pessoal'!F:G,2,false)</f>
        <v>NP</v>
      </c>
      <c r="E4129" s="65" t="s">
        <v>3039</v>
      </c>
      <c r="F4129" s="83">
        <v>0.4791666666666667</v>
      </c>
      <c r="G4129" s="83">
        <v>0.5208333333333334</v>
      </c>
      <c r="H4129" s="83">
        <v>0.041666666666666664</v>
      </c>
      <c r="I4129" s="84">
        <v>44340.0</v>
      </c>
      <c r="J4129" s="65" t="b">
        <v>1</v>
      </c>
      <c r="K4129" s="65"/>
      <c r="L4129" s="85" t="b">
        <f>IF(VLOOKUP(C4129,Projetos!A:L,12,false)=TRUE,TRUE,FALSE)</f>
        <v>1</v>
      </c>
      <c r="M4129" s="74">
        <v>52.1518759018759</v>
      </c>
      <c r="N4129" s="74">
        <f t="shared" si="1"/>
        <v>52.1518759</v>
      </c>
      <c r="O4129" s="74" t="b">
        <v>1</v>
      </c>
    </row>
    <row r="4130" hidden="1">
      <c r="A4130" s="82"/>
      <c r="B4130" s="65" t="s">
        <v>467</v>
      </c>
      <c r="C4130" s="65" t="s">
        <v>113</v>
      </c>
      <c r="D4130" s="65" t="str">
        <f>vlookup(C4130,'Classificação p pessoal'!F:G,2,false)</f>
        <v>NP</v>
      </c>
      <c r="E4130" s="65" t="s">
        <v>3040</v>
      </c>
      <c r="F4130" s="83">
        <v>0.6458333333333334</v>
      </c>
      <c r="G4130" s="83">
        <v>0.7083333333333334</v>
      </c>
      <c r="H4130" s="83">
        <v>0.0625</v>
      </c>
      <c r="I4130" s="84">
        <v>44340.0</v>
      </c>
      <c r="J4130" s="65" t="b">
        <v>1</v>
      </c>
      <c r="K4130" s="65"/>
      <c r="L4130" s="85" t="b">
        <f>IF(VLOOKUP(C4130,Projetos!A:L,12,false)=TRUE,TRUE,FALSE)</f>
        <v>1</v>
      </c>
      <c r="M4130" s="74">
        <v>52.1518759018759</v>
      </c>
      <c r="N4130" s="74">
        <f t="shared" si="1"/>
        <v>78.22781385</v>
      </c>
      <c r="O4130" s="74" t="b">
        <v>1</v>
      </c>
    </row>
    <row r="4131" hidden="1">
      <c r="A4131" s="82"/>
      <c r="B4131" s="65" t="s">
        <v>467</v>
      </c>
      <c r="C4131" s="65" t="s">
        <v>92</v>
      </c>
      <c r="D4131" s="65" t="str">
        <f>vlookup(C4131,'Classificação p pessoal'!F:G,2,false)</f>
        <v/>
      </c>
      <c r="E4131" s="65" t="s">
        <v>3041</v>
      </c>
      <c r="F4131" s="83">
        <v>0.4166666666666667</v>
      </c>
      <c r="G4131" s="83">
        <v>0.5</v>
      </c>
      <c r="H4131" s="83">
        <v>0.08333333333333333</v>
      </c>
      <c r="I4131" s="84">
        <v>44341.0</v>
      </c>
      <c r="J4131" s="65" t="b">
        <v>1</v>
      </c>
      <c r="K4131" s="65"/>
      <c r="L4131" s="85" t="b">
        <f>IF(VLOOKUP(C4131,Projetos!A:L,12,false)=TRUE,TRUE,FALSE)</f>
        <v>1</v>
      </c>
      <c r="M4131" s="74">
        <v>52.1518759018759</v>
      </c>
      <c r="N4131" s="74">
        <f t="shared" si="1"/>
        <v>104.3037518</v>
      </c>
      <c r="O4131" s="74" t="b">
        <v>1</v>
      </c>
    </row>
    <row r="4132" hidden="1">
      <c r="A4132" s="82"/>
      <c r="B4132" s="65" t="s">
        <v>467</v>
      </c>
      <c r="C4132" s="65" t="s">
        <v>130</v>
      </c>
      <c r="D4132" s="65" t="str">
        <f>vlookup(C4132,'Classificação p pessoal'!F:G,2,false)</f>
        <v>NP</v>
      </c>
      <c r="E4132" s="65" t="s">
        <v>3042</v>
      </c>
      <c r="F4132" s="83">
        <v>0.3541666666666667</v>
      </c>
      <c r="G4132" s="83">
        <v>0.4375</v>
      </c>
      <c r="H4132" s="83">
        <v>0.08333333333333333</v>
      </c>
      <c r="I4132" s="84">
        <v>44328.0</v>
      </c>
      <c r="J4132" s="65" t="b">
        <v>1</v>
      </c>
      <c r="K4132" s="65"/>
      <c r="L4132" s="85" t="b">
        <f>IF(VLOOKUP(C4132,Projetos!A:L,12,false)=TRUE,TRUE,FALSE)</f>
        <v>1</v>
      </c>
      <c r="M4132" s="74">
        <v>52.1518759018759</v>
      </c>
      <c r="N4132" s="74">
        <f t="shared" si="1"/>
        <v>104.3037518</v>
      </c>
      <c r="O4132" s="74" t="b">
        <v>1</v>
      </c>
    </row>
    <row r="4133" hidden="1">
      <c r="A4133" s="82"/>
      <c r="B4133" s="65" t="s">
        <v>467</v>
      </c>
      <c r="C4133" s="65" t="s">
        <v>88</v>
      </c>
      <c r="D4133" s="65" t="str">
        <f>vlookup(C4133,'Classificação p pessoal'!F:G,2,false)</f>
        <v>MProduto</v>
      </c>
      <c r="E4133" s="65" t="s">
        <v>3043</v>
      </c>
      <c r="F4133" s="83">
        <v>0.625</v>
      </c>
      <c r="G4133" s="83">
        <v>0.6666666666666666</v>
      </c>
      <c r="H4133" s="83">
        <v>0.041666666666666664</v>
      </c>
      <c r="I4133" s="84">
        <v>44341.0</v>
      </c>
      <c r="J4133" s="65" t="b">
        <v>1</v>
      </c>
      <c r="K4133" s="65"/>
      <c r="L4133" s="85" t="b">
        <f>IF(VLOOKUP(C4133,Projetos!A:L,12,false)=TRUE,TRUE,FALSE)</f>
        <v>1</v>
      </c>
      <c r="M4133" s="74">
        <v>52.1518759018759</v>
      </c>
      <c r="N4133" s="74">
        <f t="shared" si="1"/>
        <v>52.1518759</v>
      </c>
      <c r="O4133" s="74" t="b">
        <v>1</v>
      </c>
    </row>
    <row r="4134" hidden="1">
      <c r="A4134" s="82"/>
      <c r="B4134" s="65" t="s">
        <v>467</v>
      </c>
      <c r="C4134" s="65" t="s">
        <v>92</v>
      </c>
      <c r="D4134" s="65" t="str">
        <f>vlookup(C4134,'Classificação p pessoal'!F:G,2,false)</f>
        <v/>
      </c>
      <c r="E4134" s="65" t="s">
        <v>3044</v>
      </c>
      <c r="F4134" s="83">
        <v>0.3541666666666667</v>
      </c>
      <c r="G4134" s="83">
        <v>0.375</v>
      </c>
      <c r="H4134" s="83">
        <v>0.020833333333333332</v>
      </c>
      <c r="I4134" s="84">
        <v>44342.0</v>
      </c>
      <c r="J4134" s="65" t="b">
        <v>1</v>
      </c>
      <c r="K4134" s="65"/>
      <c r="L4134" s="85" t="b">
        <f>IF(VLOOKUP(C4134,Projetos!A:L,12,false)=TRUE,TRUE,FALSE)</f>
        <v>1</v>
      </c>
      <c r="M4134" s="74">
        <v>52.1518759018759</v>
      </c>
      <c r="N4134" s="74">
        <f t="shared" si="1"/>
        <v>26.07593795</v>
      </c>
      <c r="O4134" s="74" t="b">
        <v>1</v>
      </c>
    </row>
    <row r="4135" hidden="1">
      <c r="A4135" s="82"/>
      <c r="B4135" s="65" t="s">
        <v>467</v>
      </c>
      <c r="C4135" s="65" t="s">
        <v>92</v>
      </c>
      <c r="D4135" s="65" t="str">
        <f>vlookup(C4135,'Classificação p pessoal'!F:G,2,false)</f>
        <v/>
      </c>
      <c r="E4135" s="65" t="s">
        <v>3045</v>
      </c>
      <c r="F4135" s="83">
        <v>0.375</v>
      </c>
      <c r="G4135" s="83">
        <v>0.5</v>
      </c>
      <c r="H4135" s="83">
        <v>0.125</v>
      </c>
      <c r="I4135" s="84">
        <v>44342.0</v>
      </c>
      <c r="J4135" s="65" t="b">
        <v>1</v>
      </c>
      <c r="K4135" s="65"/>
      <c r="L4135" s="85" t="b">
        <f>IF(VLOOKUP(C4135,Projetos!A:L,12,false)=TRUE,TRUE,FALSE)</f>
        <v>1</v>
      </c>
      <c r="M4135" s="74">
        <v>52.1518759018759</v>
      </c>
      <c r="N4135" s="74">
        <f t="shared" si="1"/>
        <v>156.4556277</v>
      </c>
      <c r="O4135" s="74" t="b">
        <v>1</v>
      </c>
    </row>
    <row r="4136" hidden="1">
      <c r="A4136" s="82"/>
      <c r="B4136" s="65" t="s">
        <v>467</v>
      </c>
      <c r="C4136" s="65" t="s">
        <v>113</v>
      </c>
      <c r="D4136" s="65" t="str">
        <f>vlookup(C4136,'Classificação p pessoal'!F:G,2,false)</f>
        <v>NP</v>
      </c>
      <c r="E4136" s="65" t="s">
        <v>3046</v>
      </c>
      <c r="F4136" s="83">
        <v>0.5416666666666666</v>
      </c>
      <c r="G4136" s="83">
        <v>0.5833333333333334</v>
      </c>
      <c r="H4136" s="83">
        <v>0.041666666666666664</v>
      </c>
      <c r="I4136" s="84">
        <v>44342.0</v>
      </c>
      <c r="J4136" s="65" t="b">
        <v>1</v>
      </c>
      <c r="K4136" s="65"/>
      <c r="L4136" s="85" t="b">
        <f>IF(VLOOKUP(C4136,Projetos!A:L,12,false)=TRUE,TRUE,FALSE)</f>
        <v>1</v>
      </c>
      <c r="M4136" s="74">
        <v>52.1518759018759</v>
      </c>
      <c r="N4136" s="74">
        <f t="shared" si="1"/>
        <v>52.1518759</v>
      </c>
      <c r="O4136" s="74" t="b">
        <v>1</v>
      </c>
    </row>
    <row r="4137" hidden="1">
      <c r="A4137" s="82"/>
      <c r="B4137" s="65" t="s">
        <v>467</v>
      </c>
      <c r="C4137" s="65" t="s">
        <v>88</v>
      </c>
      <c r="D4137" s="65" t="str">
        <f>vlookup(C4137,'Classificação p pessoal'!F:G,2,false)</f>
        <v>MProduto</v>
      </c>
      <c r="E4137" s="65" t="s">
        <v>3047</v>
      </c>
      <c r="F4137" s="83">
        <v>0.5833333333333334</v>
      </c>
      <c r="G4137" s="83">
        <v>0.59375</v>
      </c>
      <c r="H4137" s="83">
        <v>0.010416666666666666</v>
      </c>
      <c r="I4137" s="84">
        <v>44342.0</v>
      </c>
      <c r="J4137" s="65" t="b">
        <v>1</v>
      </c>
      <c r="K4137" s="65"/>
      <c r="L4137" s="85" t="b">
        <f>IF(VLOOKUP(C4137,Projetos!A:L,12,false)=TRUE,TRUE,FALSE)</f>
        <v>1</v>
      </c>
      <c r="M4137" s="74">
        <v>52.1518759018759</v>
      </c>
      <c r="N4137" s="74">
        <f t="shared" si="1"/>
        <v>13.03796898</v>
      </c>
      <c r="O4137" s="74" t="b">
        <v>1</v>
      </c>
    </row>
    <row r="4138" hidden="1">
      <c r="A4138" s="82"/>
      <c r="B4138" s="65" t="s">
        <v>467</v>
      </c>
      <c r="C4138" s="65" t="s">
        <v>113</v>
      </c>
      <c r="D4138" s="65" t="str">
        <f>vlookup(C4138,'Classificação p pessoal'!F:G,2,false)</f>
        <v>NP</v>
      </c>
      <c r="E4138" s="65" t="s">
        <v>3048</v>
      </c>
      <c r="F4138" s="83">
        <v>0.375</v>
      </c>
      <c r="G4138" s="83">
        <v>0.4166666666666667</v>
      </c>
      <c r="H4138" s="83">
        <v>0.041666666666666664</v>
      </c>
      <c r="I4138" s="84">
        <v>44343.0</v>
      </c>
      <c r="J4138" s="65" t="b">
        <v>1</v>
      </c>
      <c r="K4138" s="65"/>
      <c r="L4138" s="85" t="b">
        <f>IF(VLOOKUP(C4138,Projetos!A:L,12,false)=TRUE,TRUE,FALSE)</f>
        <v>1</v>
      </c>
      <c r="M4138" s="74">
        <v>52.1518759018759</v>
      </c>
      <c r="N4138" s="74">
        <f t="shared" si="1"/>
        <v>52.1518759</v>
      </c>
      <c r="O4138" s="74" t="b">
        <v>1</v>
      </c>
    </row>
    <row r="4139" hidden="1">
      <c r="A4139" s="82"/>
      <c r="B4139" s="65" t="s">
        <v>467</v>
      </c>
      <c r="C4139" s="65" t="s">
        <v>130</v>
      </c>
      <c r="D4139" s="65" t="str">
        <f>vlookup(C4139,'Classificação p pessoal'!F:G,2,false)</f>
        <v>NP</v>
      </c>
      <c r="E4139" s="65" t="s">
        <v>3049</v>
      </c>
      <c r="F4139" s="83">
        <v>0.7083333333333334</v>
      </c>
      <c r="G4139" s="83">
        <v>0.75</v>
      </c>
      <c r="H4139" s="83">
        <v>0.041666666666666664</v>
      </c>
      <c r="I4139" s="84">
        <v>44341.0</v>
      </c>
      <c r="J4139" s="65" t="b">
        <v>1</v>
      </c>
      <c r="K4139" s="65"/>
      <c r="L4139" s="85" t="b">
        <f>IF(VLOOKUP(C4139,Projetos!A:L,12,false)=TRUE,TRUE,FALSE)</f>
        <v>1</v>
      </c>
      <c r="M4139" s="74">
        <v>52.1518759018759</v>
      </c>
      <c r="N4139" s="74">
        <f t="shared" si="1"/>
        <v>52.1518759</v>
      </c>
      <c r="O4139" s="74" t="b">
        <v>1</v>
      </c>
    </row>
    <row r="4140" hidden="1">
      <c r="A4140" s="82"/>
      <c r="B4140" s="65" t="s">
        <v>467</v>
      </c>
      <c r="C4140" s="65" t="s">
        <v>92</v>
      </c>
      <c r="D4140" s="65" t="str">
        <f>vlookup(C4140,'Classificação p pessoal'!F:G,2,false)</f>
        <v/>
      </c>
      <c r="E4140" s="65" t="s">
        <v>3050</v>
      </c>
      <c r="F4140" s="83">
        <v>0.4375</v>
      </c>
      <c r="G4140" s="83">
        <v>0.5</v>
      </c>
      <c r="H4140" s="83">
        <v>0.0625</v>
      </c>
      <c r="I4140" s="84">
        <v>44343.0</v>
      </c>
      <c r="J4140" s="65" t="b">
        <v>1</v>
      </c>
      <c r="K4140" s="65"/>
      <c r="L4140" s="85" t="b">
        <f>IF(VLOOKUP(C4140,Projetos!A:L,12,false)=TRUE,TRUE,FALSE)</f>
        <v>1</v>
      </c>
      <c r="M4140" s="74">
        <v>52.1518759018759</v>
      </c>
      <c r="N4140" s="74">
        <f t="shared" si="1"/>
        <v>78.22781385</v>
      </c>
      <c r="O4140" s="74" t="b">
        <v>1</v>
      </c>
    </row>
    <row r="4141" hidden="1">
      <c r="A4141" s="82"/>
      <c r="B4141" s="65" t="s">
        <v>467</v>
      </c>
      <c r="C4141" s="65" t="s">
        <v>92</v>
      </c>
      <c r="D4141" s="65" t="str">
        <f>vlookup(C4141,'Classificação p pessoal'!F:G,2,false)</f>
        <v/>
      </c>
      <c r="E4141" s="65" t="s">
        <v>3051</v>
      </c>
      <c r="F4141" s="83">
        <v>0.5833333333333334</v>
      </c>
      <c r="G4141" s="83">
        <v>0.625</v>
      </c>
      <c r="H4141" s="83">
        <v>0.041666666666666664</v>
      </c>
      <c r="I4141" s="84">
        <v>44343.0</v>
      </c>
      <c r="J4141" s="65" t="b">
        <v>1</v>
      </c>
      <c r="K4141" s="65"/>
      <c r="L4141" s="85" t="b">
        <f>IF(VLOOKUP(C4141,Projetos!A:L,12,false)=TRUE,TRUE,FALSE)</f>
        <v>1</v>
      </c>
      <c r="M4141" s="74">
        <v>52.1518759018759</v>
      </c>
      <c r="N4141" s="74">
        <f t="shared" si="1"/>
        <v>52.1518759</v>
      </c>
      <c r="O4141" s="74" t="b">
        <v>1</v>
      </c>
    </row>
    <row r="4142" hidden="1">
      <c r="A4142" s="82"/>
      <c r="B4142" s="65" t="s">
        <v>467</v>
      </c>
      <c r="C4142" s="65" t="s">
        <v>113</v>
      </c>
      <c r="D4142" s="65" t="str">
        <f>vlookup(C4142,'Classificação p pessoal'!F:G,2,false)</f>
        <v>NP</v>
      </c>
      <c r="E4142" s="65" t="s">
        <v>3052</v>
      </c>
      <c r="F4142" s="83">
        <v>0.6666666666666666</v>
      </c>
      <c r="G4142" s="83">
        <v>0.7083333333333334</v>
      </c>
      <c r="H4142" s="83">
        <v>0.041666666666666664</v>
      </c>
      <c r="I4142" s="84">
        <v>44343.0</v>
      </c>
      <c r="J4142" s="65" t="b">
        <v>1</v>
      </c>
      <c r="K4142" s="65"/>
      <c r="L4142" s="85" t="b">
        <f>IF(VLOOKUP(C4142,Projetos!A:L,12,false)=TRUE,TRUE,FALSE)</f>
        <v>1</v>
      </c>
      <c r="M4142" s="74">
        <v>52.1518759018759</v>
      </c>
      <c r="N4142" s="74">
        <f t="shared" si="1"/>
        <v>52.1518759</v>
      </c>
      <c r="O4142" s="74" t="b">
        <v>1</v>
      </c>
    </row>
    <row r="4143" hidden="1">
      <c r="A4143" s="82"/>
      <c r="B4143" s="65" t="s">
        <v>467</v>
      </c>
      <c r="C4143" s="65" t="s">
        <v>88</v>
      </c>
      <c r="D4143" s="65" t="str">
        <f>vlookup(C4143,'Classificação p pessoal'!F:G,2,false)</f>
        <v>MProduto</v>
      </c>
      <c r="E4143" s="65" t="s">
        <v>3053</v>
      </c>
      <c r="F4143" s="83">
        <v>0.3541666666666667</v>
      </c>
      <c r="G4143" s="83">
        <v>0.375</v>
      </c>
      <c r="H4143" s="83">
        <v>0.020833333333333332</v>
      </c>
      <c r="I4143" s="84">
        <v>44344.0</v>
      </c>
      <c r="J4143" s="65" t="b">
        <v>1</v>
      </c>
      <c r="K4143" s="65"/>
      <c r="L4143" s="85" t="b">
        <f>IF(VLOOKUP(C4143,Projetos!A:L,12,false)=TRUE,TRUE,FALSE)</f>
        <v>1</v>
      </c>
      <c r="M4143" s="74">
        <v>52.1518759018759</v>
      </c>
      <c r="N4143" s="74">
        <f t="shared" si="1"/>
        <v>26.07593795</v>
      </c>
      <c r="O4143" s="74" t="b">
        <v>1</v>
      </c>
    </row>
    <row r="4144" hidden="1">
      <c r="A4144" s="82"/>
      <c r="B4144" s="65" t="s">
        <v>467</v>
      </c>
      <c r="C4144" s="65" t="s">
        <v>113</v>
      </c>
      <c r="D4144" s="65" t="str">
        <f>vlookup(C4144,'Classificação p pessoal'!F:G,2,false)</f>
        <v>NP</v>
      </c>
      <c r="E4144" s="65" t="s">
        <v>3054</v>
      </c>
      <c r="F4144" s="83">
        <v>0.375</v>
      </c>
      <c r="G4144" s="83">
        <v>0.3958333333333333</v>
      </c>
      <c r="H4144" s="83">
        <v>0.020833333333333332</v>
      </c>
      <c r="I4144" s="84">
        <v>44344.0</v>
      </c>
      <c r="J4144" s="65" t="b">
        <v>1</v>
      </c>
      <c r="K4144" s="65"/>
      <c r="L4144" s="85" t="b">
        <f>IF(VLOOKUP(C4144,Projetos!A:L,12,false)=TRUE,TRUE,FALSE)</f>
        <v>1</v>
      </c>
      <c r="M4144" s="74">
        <v>52.1518759018759</v>
      </c>
      <c r="N4144" s="74">
        <f t="shared" si="1"/>
        <v>26.07593795</v>
      </c>
      <c r="O4144" s="74" t="b">
        <v>1</v>
      </c>
    </row>
    <row r="4145" hidden="1">
      <c r="A4145" s="82"/>
      <c r="B4145" s="65" t="s">
        <v>467</v>
      </c>
      <c r="C4145" s="65" t="s">
        <v>113</v>
      </c>
      <c r="D4145" s="65" t="str">
        <f>vlookup(C4145,'Classificação p pessoal'!F:G,2,false)</f>
        <v>NP</v>
      </c>
      <c r="E4145" s="65" t="s">
        <v>3055</v>
      </c>
      <c r="F4145" s="83">
        <v>0.4166666666666667</v>
      </c>
      <c r="G4145" s="83">
        <v>0.4791666666666667</v>
      </c>
      <c r="H4145" s="83">
        <v>0.0625</v>
      </c>
      <c r="I4145" s="84">
        <v>44344.0</v>
      </c>
      <c r="J4145" s="65" t="b">
        <v>1</v>
      </c>
      <c r="K4145" s="65"/>
      <c r="L4145" s="85" t="b">
        <f>IF(VLOOKUP(C4145,Projetos!A:L,12,false)=TRUE,TRUE,FALSE)</f>
        <v>1</v>
      </c>
      <c r="M4145" s="74">
        <v>52.1518759018759</v>
      </c>
      <c r="N4145" s="74">
        <f t="shared" si="1"/>
        <v>78.22781385</v>
      </c>
      <c r="O4145" s="74" t="b">
        <v>1</v>
      </c>
    </row>
    <row r="4146" hidden="1">
      <c r="A4146" s="82"/>
      <c r="B4146" s="65" t="s">
        <v>467</v>
      </c>
      <c r="C4146" s="65" t="s">
        <v>92</v>
      </c>
      <c r="D4146" s="65" t="str">
        <f>vlookup(C4146,'Classificação p pessoal'!F:G,2,false)</f>
        <v/>
      </c>
      <c r="E4146" s="65" t="s">
        <v>3056</v>
      </c>
      <c r="F4146" s="83">
        <v>0.5416666666666666</v>
      </c>
      <c r="G4146" s="83">
        <v>0.625</v>
      </c>
      <c r="H4146" s="83">
        <v>0.08333333333333333</v>
      </c>
      <c r="I4146" s="84">
        <v>44344.0</v>
      </c>
      <c r="J4146" s="65" t="b">
        <v>1</v>
      </c>
      <c r="K4146" s="65"/>
      <c r="L4146" s="85" t="b">
        <f>IF(VLOOKUP(C4146,Projetos!A:L,12,false)=TRUE,TRUE,FALSE)</f>
        <v>1</v>
      </c>
      <c r="M4146" s="74">
        <v>52.1518759018759</v>
      </c>
      <c r="N4146" s="74">
        <f t="shared" si="1"/>
        <v>104.3037518</v>
      </c>
      <c r="O4146" s="74" t="b">
        <v>1</v>
      </c>
    </row>
    <row r="4147" hidden="1">
      <c r="A4147" s="82"/>
      <c r="B4147" s="65" t="s">
        <v>467</v>
      </c>
      <c r="C4147" s="65" t="s">
        <v>92</v>
      </c>
      <c r="D4147" s="65" t="str">
        <f>vlookup(C4147,'Classificação p pessoal'!F:G,2,false)</f>
        <v/>
      </c>
      <c r="E4147" s="65" t="s">
        <v>3057</v>
      </c>
      <c r="F4147" s="83">
        <v>0.3541666666666667</v>
      </c>
      <c r="G4147" s="83">
        <v>0.3958333333333333</v>
      </c>
      <c r="H4147" s="83">
        <v>0.041666666666666664</v>
      </c>
      <c r="I4147" s="84">
        <v>44347.0</v>
      </c>
      <c r="J4147" s="65" t="b">
        <v>1</v>
      </c>
      <c r="K4147" s="65"/>
      <c r="L4147" s="85" t="b">
        <f>IF(VLOOKUP(C4147,Projetos!A:L,12,false)=TRUE,TRUE,FALSE)</f>
        <v>1</v>
      </c>
      <c r="M4147" s="74">
        <v>52.1518759018759</v>
      </c>
      <c r="N4147" s="74">
        <f t="shared" si="1"/>
        <v>52.1518759</v>
      </c>
      <c r="O4147" s="74" t="b">
        <v>1</v>
      </c>
    </row>
    <row r="4148" hidden="1">
      <c r="A4148" s="82"/>
      <c r="B4148" s="65" t="s">
        <v>467</v>
      </c>
      <c r="C4148" s="65" t="s">
        <v>92</v>
      </c>
      <c r="D4148" s="65" t="str">
        <f>vlookup(C4148,'Classificação p pessoal'!F:G,2,false)</f>
        <v/>
      </c>
      <c r="E4148" s="65" t="s">
        <v>3058</v>
      </c>
      <c r="F4148" s="83">
        <v>0.3958333333333333</v>
      </c>
      <c r="G4148" s="83">
        <v>0.4375</v>
      </c>
      <c r="H4148" s="83">
        <v>0.041666666666666664</v>
      </c>
      <c r="I4148" s="84">
        <v>44347.0</v>
      </c>
      <c r="J4148" s="65" t="b">
        <v>1</v>
      </c>
      <c r="K4148" s="65"/>
      <c r="L4148" s="85" t="b">
        <f>IF(VLOOKUP(C4148,Projetos!A:L,12,false)=TRUE,TRUE,FALSE)</f>
        <v>1</v>
      </c>
      <c r="M4148" s="74">
        <v>52.1518759018759</v>
      </c>
      <c r="N4148" s="74">
        <f t="shared" si="1"/>
        <v>52.1518759</v>
      </c>
      <c r="O4148" s="74" t="b">
        <v>1</v>
      </c>
    </row>
    <row r="4149" hidden="1">
      <c r="A4149" s="82"/>
      <c r="B4149" s="65" t="s">
        <v>467</v>
      </c>
      <c r="C4149" s="65" t="s">
        <v>113</v>
      </c>
      <c r="D4149" s="65" t="str">
        <f>vlookup(C4149,'Classificação p pessoal'!F:G,2,false)</f>
        <v>NP</v>
      </c>
      <c r="E4149" s="65" t="s">
        <v>3059</v>
      </c>
      <c r="F4149" s="83">
        <v>0.4791666666666667</v>
      </c>
      <c r="G4149" s="83">
        <v>0.5</v>
      </c>
      <c r="H4149" s="83">
        <v>0.020833333333333332</v>
      </c>
      <c r="I4149" s="84">
        <v>44347.0</v>
      </c>
      <c r="J4149" s="65" t="b">
        <v>1</v>
      </c>
      <c r="K4149" s="65"/>
      <c r="L4149" s="85" t="b">
        <f>IF(VLOOKUP(C4149,Projetos!A:L,12,false)=TRUE,TRUE,FALSE)</f>
        <v>1</v>
      </c>
      <c r="M4149" s="74">
        <v>52.1518759018759</v>
      </c>
      <c r="N4149" s="74">
        <f t="shared" si="1"/>
        <v>26.07593795</v>
      </c>
      <c r="O4149" s="74" t="b">
        <v>1</v>
      </c>
    </row>
    <row r="4150" hidden="1">
      <c r="A4150" s="82"/>
      <c r="B4150" s="65" t="s">
        <v>467</v>
      </c>
      <c r="C4150" s="65" t="s">
        <v>130</v>
      </c>
      <c r="D4150" s="65" t="str">
        <f>vlookup(C4150,'Classificação p pessoal'!F:G,2,false)</f>
        <v>NP</v>
      </c>
      <c r="E4150" s="65" t="s">
        <v>3060</v>
      </c>
      <c r="F4150" s="83">
        <v>0.5416666666666666</v>
      </c>
      <c r="G4150" s="83">
        <v>0.5833333333333334</v>
      </c>
      <c r="H4150" s="83">
        <v>0.041666666666666664</v>
      </c>
      <c r="I4150" s="84">
        <v>44347.0</v>
      </c>
      <c r="J4150" s="65" t="b">
        <v>1</v>
      </c>
      <c r="K4150" s="65"/>
      <c r="L4150" s="85" t="b">
        <f>IF(VLOOKUP(C4150,Projetos!A:L,12,false)=TRUE,TRUE,FALSE)</f>
        <v>1</v>
      </c>
      <c r="M4150" s="74">
        <v>52.1518759018759</v>
      </c>
      <c r="N4150" s="74">
        <f t="shared" si="1"/>
        <v>52.1518759</v>
      </c>
      <c r="O4150" s="74" t="b">
        <v>1</v>
      </c>
    </row>
    <row r="4151" hidden="1">
      <c r="A4151" s="82"/>
      <c r="B4151" s="65" t="s">
        <v>467</v>
      </c>
      <c r="C4151" s="65" t="s">
        <v>92</v>
      </c>
      <c r="D4151" s="65"/>
      <c r="E4151" s="65" t="s">
        <v>3061</v>
      </c>
      <c r="F4151" s="83">
        <v>0.4166666666666667</v>
      </c>
      <c r="G4151" s="83">
        <v>0.4270833333333333</v>
      </c>
      <c r="H4151" s="83">
        <v>0.010416666666666666</v>
      </c>
      <c r="I4151" s="84">
        <v>44348.0</v>
      </c>
      <c r="J4151" s="65" t="b">
        <v>0</v>
      </c>
      <c r="K4151" s="65" t="s">
        <v>150</v>
      </c>
      <c r="L4151" s="85" t="b">
        <f>IF(VLOOKUP(C4151,Projetos!A:L,12,false)=TRUE,TRUE,FALSE)</f>
        <v>1</v>
      </c>
      <c r="M4151" s="74">
        <v>52.1518759018759</v>
      </c>
      <c r="N4151" s="74">
        <f t="shared" si="1"/>
        <v>0</v>
      </c>
      <c r="O4151" s="74" t="b">
        <v>1</v>
      </c>
    </row>
    <row r="4152" hidden="1">
      <c r="A4152" s="82"/>
      <c r="B4152" s="65" t="s">
        <v>467</v>
      </c>
      <c r="C4152" s="65" t="s">
        <v>92</v>
      </c>
      <c r="D4152" s="65" t="str">
        <f>vlookup(C4152,'Classificação p pessoal'!F:G,2,false)</f>
        <v/>
      </c>
      <c r="E4152" s="65" t="s">
        <v>3062</v>
      </c>
      <c r="F4152" s="83">
        <v>0.5833333333333334</v>
      </c>
      <c r="G4152" s="83">
        <v>0.6458333333333334</v>
      </c>
      <c r="H4152" s="83">
        <v>0.0625</v>
      </c>
      <c r="I4152" s="84">
        <v>44348.0</v>
      </c>
      <c r="J4152" s="65" t="b">
        <v>1</v>
      </c>
      <c r="K4152" s="65"/>
      <c r="L4152" s="85" t="b">
        <f>IF(VLOOKUP(C4152,Projetos!A:L,12,false)=TRUE,TRUE,FALSE)</f>
        <v>1</v>
      </c>
      <c r="M4152" s="74">
        <v>52.1518759018759</v>
      </c>
      <c r="N4152" s="74">
        <f t="shared" si="1"/>
        <v>78.22781385</v>
      </c>
      <c r="O4152" s="74" t="b">
        <v>1</v>
      </c>
    </row>
    <row r="4153" hidden="1">
      <c r="A4153" s="82"/>
      <c r="B4153" s="65" t="s">
        <v>467</v>
      </c>
      <c r="C4153" s="65" t="s">
        <v>92</v>
      </c>
      <c r="D4153" s="65" t="str">
        <f>vlookup(C4153,'Classificação p pessoal'!F:G,2,false)</f>
        <v/>
      </c>
      <c r="E4153" s="65" t="s">
        <v>3063</v>
      </c>
      <c r="F4153" s="83">
        <v>0.6666666666666666</v>
      </c>
      <c r="G4153" s="83">
        <v>0.75</v>
      </c>
      <c r="H4153" s="83">
        <v>0.08333333333333333</v>
      </c>
      <c r="I4153" s="84">
        <v>44348.0</v>
      </c>
      <c r="J4153" s="65" t="b">
        <v>1</v>
      </c>
      <c r="K4153" s="65"/>
      <c r="L4153" s="85" t="b">
        <f>IF(VLOOKUP(C4153,Projetos!A:L,12,false)=TRUE,TRUE,FALSE)</f>
        <v>1</v>
      </c>
      <c r="M4153" s="74">
        <v>52.1518759018759</v>
      </c>
      <c r="N4153" s="74">
        <f t="shared" si="1"/>
        <v>104.3037518</v>
      </c>
      <c r="O4153" s="74" t="b">
        <v>1</v>
      </c>
    </row>
    <row r="4154" hidden="1">
      <c r="A4154" s="82"/>
      <c r="B4154" s="65" t="s">
        <v>467</v>
      </c>
      <c r="C4154" s="65" t="s">
        <v>92</v>
      </c>
      <c r="D4154" s="65" t="str">
        <f>vlookup(C4154,'Classificação p pessoal'!F:G,2,false)</f>
        <v/>
      </c>
      <c r="E4154" s="65" t="s">
        <v>3064</v>
      </c>
      <c r="F4154" s="83">
        <v>0.375</v>
      </c>
      <c r="G4154" s="83">
        <v>0.4166666666666667</v>
      </c>
      <c r="H4154" s="83">
        <v>0.041666666666666664</v>
      </c>
      <c r="I4154" s="84">
        <v>44350.0</v>
      </c>
      <c r="J4154" s="65" t="b">
        <v>1</v>
      </c>
      <c r="K4154" s="65"/>
      <c r="L4154" s="85" t="b">
        <f>IF(VLOOKUP(C4154,Projetos!A:L,12,false)=TRUE,TRUE,FALSE)</f>
        <v>1</v>
      </c>
      <c r="M4154" s="74">
        <v>52.1518759018759</v>
      </c>
      <c r="N4154" s="74">
        <f t="shared" si="1"/>
        <v>52.1518759</v>
      </c>
      <c r="O4154" s="74" t="b">
        <v>1</v>
      </c>
    </row>
    <row r="4155" hidden="1">
      <c r="A4155" s="82"/>
      <c r="B4155" s="65" t="s">
        <v>467</v>
      </c>
      <c r="C4155" s="65" t="s">
        <v>113</v>
      </c>
      <c r="D4155" s="65" t="str">
        <f>vlookup(C4155,'Classificação p pessoal'!F:G,2,false)</f>
        <v>NP</v>
      </c>
      <c r="E4155" s="65" t="s">
        <v>3065</v>
      </c>
      <c r="F4155" s="83">
        <v>0.4166666666666667</v>
      </c>
      <c r="G4155" s="83">
        <v>0.5</v>
      </c>
      <c r="H4155" s="83">
        <v>0.08333333333333333</v>
      </c>
      <c r="I4155" s="84">
        <v>44350.0</v>
      </c>
      <c r="J4155" s="65" t="b">
        <v>1</v>
      </c>
      <c r="K4155" s="65"/>
      <c r="L4155" s="85" t="b">
        <f>IF(VLOOKUP(C4155,Projetos!A:L,12,false)=TRUE,TRUE,FALSE)</f>
        <v>1</v>
      </c>
      <c r="M4155" s="74">
        <v>52.1518759018759</v>
      </c>
      <c r="N4155" s="74">
        <f t="shared" si="1"/>
        <v>104.3037518</v>
      </c>
      <c r="O4155" s="74" t="b">
        <v>1</v>
      </c>
    </row>
    <row r="4156" hidden="1">
      <c r="A4156" s="82"/>
      <c r="B4156" s="65" t="s">
        <v>467</v>
      </c>
      <c r="C4156" s="65" t="s">
        <v>92</v>
      </c>
      <c r="D4156" s="65" t="str">
        <f>vlookup(C4156,'Classificação p pessoal'!F:G,2,false)</f>
        <v/>
      </c>
      <c r="E4156" s="65" t="s">
        <v>3066</v>
      </c>
      <c r="F4156" s="83">
        <v>0.5833333333333334</v>
      </c>
      <c r="G4156" s="83">
        <v>0.625</v>
      </c>
      <c r="H4156" s="83">
        <v>0.041666666666666664</v>
      </c>
      <c r="I4156" s="84">
        <v>44350.0</v>
      </c>
      <c r="J4156" s="65" t="b">
        <v>1</v>
      </c>
      <c r="K4156" s="65"/>
      <c r="L4156" s="85" t="b">
        <f>IF(VLOOKUP(C4156,Projetos!A:L,12,false)=TRUE,TRUE,FALSE)</f>
        <v>1</v>
      </c>
      <c r="M4156" s="74">
        <v>52.1518759018759</v>
      </c>
      <c r="N4156" s="74">
        <f t="shared" si="1"/>
        <v>52.1518759</v>
      </c>
      <c r="O4156" s="74" t="b">
        <v>1</v>
      </c>
    </row>
    <row r="4157" hidden="1">
      <c r="A4157" s="82"/>
      <c r="B4157" s="65" t="s">
        <v>467</v>
      </c>
      <c r="C4157" s="65" t="s">
        <v>92</v>
      </c>
      <c r="D4157" s="65" t="str">
        <f>vlookup(C4157,'Classificação p pessoal'!F:G,2,false)</f>
        <v/>
      </c>
      <c r="E4157" s="65" t="s">
        <v>3067</v>
      </c>
      <c r="F4157" s="83">
        <v>0.3472222222222222</v>
      </c>
      <c r="G4157" s="83">
        <v>0.4375</v>
      </c>
      <c r="H4157" s="83">
        <v>0.09027777777777778</v>
      </c>
      <c r="I4157" s="84">
        <v>44354.0</v>
      </c>
      <c r="J4157" s="65" t="b">
        <v>1</v>
      </c>
      <c r="K4157" s="65"/>
      <c r="L4157" s="85" t="b">
        <f>IF(VLOOKUP(C4157,Projetos!A:L,12,false)=TRUE,TRUE,FALSE)</f>
        <v>1</v>
      </c>
      <c r="M4157" s="74">
        <v>52.1518759018759</v>
      </c>
      <c r="N4157" s="74">
        <f t="shared" si="1"/>
        <v>112.9957311</v>
      </c>
      <c r="O4157" s="74" t="b">
        <v>1</v>
      </c>
    </row>
    <row r="4158" hidden="1">
      <c r="A4158" s="82"/>
      <c r="B4158" s="65" t="s">
        <v>467</v>
      </c>
      <c r="C4158" s="65" t="s">
        <v>130</v>
      </c>
      <c r="D4158" s="65" t="str">
        <f>vlookup(C4158,'Classificação p pessoal'!F:G,2,false)</f>
        <v>NP</v>
      </c>
      <c r="E4158" s="65" t="s">
        <v>3068</v>
      </c>
      <c r="F4158" s="83">
        <v>0.4409722222222222</v>
      </c>
      <c r="G4158" s="83">
        <v>0.4583333333333333</v>
      </c>
      <c r="H4158" s="83">
        <v>0.017361111111111112</v>
      </c>
      <c r="I4158" s="84">
        <v>44354.0</v>
      </c>
      <c r="J4158" s="65" t="b">
        <v>1</v>
      </c>
      <c r="K4158" s="65"/>
      <c r="L4158" s="85" t="b">
        <f>IF(VLOOKUP(C4158,Projetos!A:L,12,false)=TRUE,TRUE,FALSE)</f>
        <v>1</v>
      </c>
      <c r="M4158" s="74">
        <v>52.1518759018759</v>
      </c>
      <c r="N4158" s="74">
        <f t="shared" si="1"/>
        <v>21.72994829</v>
      </c>
      <c r="O4158" s="74" t="b">
        <v>1</v>
      </c>
    </row>
    <row r="4159" hidden="1">
      <c r="A4159" s="82"/>
      <c r="B4159" s="65" t="s">
        <v>467</v>
      </c>
      <c r="C4159" s="65" t="s">
        <v>92</v>
      </c>
      <c r="D4159" s="65" t="str">
        <f>vlookup(C4159,'Classificação p pessoal'!F:G,2,false)</f>
        <v/>
      </c>
      <c r="E4159" s="65" t="s">
        <v>3069</v>
      </c>
      <c r="F4159" s="83">
        <v>0.5833333333333334</v>
      </c>
      <c r="G4159" s="83">
        <v>0.6666666666666666</v>
      </c>
      <c r="H4159" s="83">
        <v>0.08333333333333333</v>
      </c>
      <c r="I4159" s="84">
        <v>44354.0</v>
      </c>
      <c r="J4159" s="65" t="b">
        <v>1</v>
      </c>
      <c r="K4159" s="65"/>
      <c r="L4159" s="85" t="b">
        <f>IF(VLOOKUP(C4159,Projetos!A:L,12,false)=TRUE,TRUE,FALSE)</f>
        <v>1</v>
      </c>
      <c r="M4159" s="74">
        <v>52.1518759018759</v>
      </c>
      <c r="N4159" s="74">
        <f t="shared" si="1"/>
        <v>104.3037518</v>
      </c>
      <c r="O4159" s="74" t="b">
        <v>1</v>
      </c>
    </row>
    <row r="4160" hidden="1">
      <c r="A4160" s="82"/>
      <c r="B4160" s="65" t="s">
        <v>467</v>
      </c>
      <c r="C4160" s="65" t="s">
        <v>92</v>
      </c>
      <c r="D4160" s="65" t="str">
        <f>vlookup(C4160,'Classificação p pessoal'!F:G,2,false)</f>
        <v/>
      </c>
      <c r="E4160" s="65" t="s">
        <v>3070</v>
      </c>
      <c r="F4160" s="83">
        <v>0.6666666666666666</v>
      </c>
      <c r="G4160" s="83">
        <v>0.7083333333333334</v>
      </c>
      <c r="H4160" s="83">
        <v>0.041666666666666664</v>
      </c>
      <c r="I4160" s="84">
        <v>44354.0</v>
      </c>
      <c r="J4160" s="65" t="b">
        <v>1</v>
      </c>
      <c r="K4160" s="65"/>
      <c r="L4160" s="85" t="b">
        <f>IF(VLOOKUP(C4160,Projetos!A:L,12,false)=TRUE,TRUE,FALSE)</f>
        <v>1</v>
      </c>
      <c r="M4160" s="74">
        <v>52.1518759018759</v>
      </c>
      <c r="N4160" s="74">
        <f t="shared" si="1"/>
        <v>52.1518759</v>
      </c>
      <c r="O4160" s="74" t="b">
        <v>1</v>
      </c>
    </row>
    <row r="4161" hidden="1">
      <c r="A4161" s="82"/>
      <c r="B4161" s="65" t="s">
        <v>467</v>
      </c>
      <c r="C4161" s="65" t="s">
        <v>92</v>
      </c>
      <c r="D4161" s="65" t="str">
        <f>vlookup(C4161,'Classificação p pessoal'!F:G,2,false)</f>
        <v/>
      </c>
      <c r="E4161" s="65" t="s">
        <v>3071</v>
      </c>
      <c r="F4161" s="83">
        <v>0.3541666666666667</v>
      </c>
      <c r="G4161" s="83">
        <v>0.4166666666666667</v>
      </c>
      <c r="H4161" s="83">
        <v>0.0625</v>
      </c>
      <c r="I4161" s="84">
        <v>44355.0</v>
      </c>
      <c r="J4161" s="65" t="b">
        <v>1</v>
      </c>
      <c r="K4161" s="65"/>
      <c r="L4161" s="85" t="b">
        <f>IF(VLOOKUP(C4161,Projetos!A:L,12,false)=TRUE,TRUE,FALSE)</f>
        <v>1</v>
      </c>
      <c r="M4161" s="74">
        <v>52.1518759018759</v>
      </c>
      <c r="N4161" s="74">
        <f t="shared" si="1"/>
        <v>78.22781385</v>
      </c>
      <c r="O4161" s="74" t="b">
        <v>1</v>
      </c>
    </row>
    <row r="4162" hidden="1">
      <c r="A4162" s="82"/>
      <c r="B4162" s="65" t="s">
        <v>467</v>
      </c>
      <c r="C4162" s="65" t="s">
        <v>130</v>
      </c>
      <c r="D4162" s="65" t="str">
        <f>vlookup(C4162,'Classificação p pessoal'!F:G,2,false)</f>
        <v>NP</v>
      </c>
      <c r="E4162" s="65" t="s">
        <v>3072</v>
      </c>
      <c r="F4162" s="83">
        <v>0.4166666666666667</v>
      </c>
      <c r="G4162" s="83">
        <v>0.4583333333333333</v>
      </c>
      <c r="H4162" s="83">
        <v>0.041666666666666664</v>
      </c>
      <c r="I4162" s="84">
        <v>44355.0</v>
      </c>
      <c r="J4162" s="65" t="b">
        <v>1</v>
      </c>
      <c r="K4162" s="65"/>
      <c r="L4162" s="85" t="b">
        <f>IF(VLOOKUP(C4162,Projetos!A:L,12,false)=TRUE,TRUE,FALSE)</f>
        <v>1</v>
      </c>
      <c r="M4162" s="74">
        <v>52.1518759018759</v>
      </c>
      <c r="N4162" s="74">
        <f t="shared" si="1"/>
        <v>52.1518759</v>
      </c>
      <c r="O4162" s="74" t="b">
        <v>1</v>
      </c>
    </row>
    <row r="4163" hidden="1">
      <c r="A4163" s="82"/>
      <c r="B4163" s="65" t="s">
        <v>467</v>
      </c>
      <c r="C4163" s="65" t="s">
        <v>113</v>
      </c>
      <c r="D4163" s="65" t="str">
        <f>vlookup(C4163,'Classificação p pessoal'!F:G,2,false)</f>
        <v>NP</v>
      </c>
      <c r="E4163" s="65" t="s">
        <v>3073</v>
      </c>
      <c r="F4163" s="83">
        <v>0.4583333333333333</v>
      </c>
      <c r="G4163" s="83">
        <v>0.5</v>
      </c>
      <c r="H4163" s="83">
        <v>0.041666666666666664</v>
      </c>
      <c r="I4163" s="84">
        <v>44355.0</v>
      </c>
      <c r="J4163" s="65" t="b">
        <v>1</v>
      </c>
      <c r="K4163" s="65"/>
      <c r="L4163" s="85" t="b">
        <f>IF(VLOOKUP(C4163,Projetos!A:L,12,false)=TRUE,TRUE,FALSE)</f>
        <v>1</v>
      </c>
      <c r="M4163" s="74">
        <v>52.1518759018759</v>
      </c>
      <c r="N4163" s="74">
        <f t="shared" si="1"/>
        <v>52.1518759</v>
      </c>
      <c r="O4163" s="74" t="b">
        <v>1</v>
      </c>
    </row>
    <row r="4164" hidden="1">
      <c r="A4164" s="82"/>
      <c r="B4164" s="65" t="s">
        <v>467</v>
      </c>
      <c r="C4164" s="65" t="s">
        <v>92</v>
      </c>
      <c r="D4164" s="65" t="str">
        <f>vlookup(C4164,'Classificação p pessoal'!F:G,2,false)</f>
        <v/>
      </c>
      <c r="E4164" s="65" t="s">
        <v>3071</v>
      </c>
      <c r="F4164" s="83">
        <v>0.5833333333333334</v>
      </c>
      <c r="G4164" s="83">
        <v>0.7083333333333334</v>
      </c>
      <c r="H4164" s="83">
        <v>0.125</v>
      </c>
      <c r="I4164" s="84">
        <v>44355.0</v>
      </c>
      <c r="J4164" s="65" t="b">
        <v>1</v>
      </c>
      <c r="K4164" s="65"/>
      <c r="L4164" s="85" t="b">
        <f>IF(VLOOKUP(C4164,Projetos!A:L,12,false)=TRUE,TRUE,FALSE)</f>
        <v>1</v>
      </c>
      <c r="M4164" s="74">
        <v>52.1518759018759</v>
      </c>
      <c r="N4164" s="74">
        <f t="shared" si="1"/>
        <v>156.4556277</v>
      </c>
      <c r="O4164" s="74" t="b">
        <v>1</v>
      </c>
    </row>
    <row r="4165" hidden="1">
      <c r="A4165" s="82"/>
      <c r="B4165" s="65" t="s">
        <v>467</v>
      </c>
      <c r="C4165" s="65" t="s">
        <v>120</v>
      </c>
      <c r="D4165" s="65"/>
      <c r="E4165" s="65" t="s">
        <v>3074</v>
      </c>
      <c r="F4165" s="83">
        <v>0.7083333333333334</v>
      </c>
      <c r="G4165" s="83">
        <v>0.71875</v>
      </c>
      <c r="H4165" s="83">
        <v>0.010416666666666666</v>
      </c>
      <c r="I4165" s="84">
        <v>44355.0</v>
      </c>
      <c r="J4165" s="65" t="b">
        <v>0</v>
      </c>
      <c r="K4165" s="65" t="s">
        <v>150</v>
      </c>
      <c r="L4165" s="85" t="b">
        <f>IF(VLOOKUP(C4165,Projetos!A:L,12,false)=TRUE,TRUE,FALSE)</f>
        <v>0</v>
      </c>
      <c r="M4165" s="74">
        <v>52.1518759018759</v>
      </c>
      <c r="N4165" s="74">
        <f t="shared" si="1"/>
        <v>0</v>
      </c>
      <c r="O4165" s="74" t="b">
        <v>0</v>
      </c>
    </row>
    <row r="4166" hidden="1">
      <c r="A4166" s="82"/>
      <c r="B4166" s="65" t="s">
        <v>467</v>
      </c>
      <c r="C4166" s="65" t="s">
        <v>88</v>
      </c>
      <c r="D4166" s="65" t="str">
        <f>vlookup(C4166,'Classificação p pessoal'!F:G,2,false)</f>
        <v>MProduto</v>
      </c>
      <c r="E4166" s="65" t="s">
        <v>3075</v>
      </c>
      <c r="F4166" s="83">
        <v>0.3472222222222222</v>
      </c>
      <c r="G4166" s="83">
        <v>0.375</v>
      </c>
      <c r="H4166" s="83">
        <v>0.027777777777777776</v>
      </c>
      <c r="I4166" s="84">
        <v>44356.0</v>
      </c>
      <c r="J4166" s="65" t="b">
        <v>1</v>
      </c>
      <c r="K4166" s="65"/>
      <c r="L4166" s="85" t="b">
        <f>IF(VLOOKUP(C4166,Projetos!A:L,12,false)=TRUE,TRUE,FALSE)</f>
        <v>1</v>
      </c>
      <c r="M4166" s="74">
        <v>52.1518759018759</v>
      </c>
      <c r="N4166" s="74">
        <f t="shared" si="1"/>
        <v>34.76791727</v>
      </c>
      <c r="O4166" s="74" t="b">
        <v>1</v>
      </c>
    </row>
    <row r="4167" hidden="1">
      <c r="A4167" s="82"/>
      <c r="B4167" s="65" t="s">
        <v>467</v>
      </c>
      <c r="C4167" s="65" t="s">
        <v>120</v>
      </c>
      <c r="D4167" s="65"/>
      <c r="E4167" s="65" t="s">
        <v>3076</v>
      </c>
      <c r="F4167" s="83">
        <v>0.4166666666666667</v>
      </c>
      <c r="G4167" s="83">
        <v>0.4583333333333333</v>
      </c>
      <c r="H4167" s="83">
        <v>0.041666666666666664</v>
      </c>
      <c r="I4167" s="84">
        <v>44356.0</v>
      </c>
      <c r="J4167" s="65" t="b">
        <v>0</v>
      </c>
      <c r="K4167" s="65" t="s">
        <v>150</v>
      </c>
      <c r="L4167" s="85" t="b">
        <f>IF(VLOOKUP(C4167,Projetos!A:L,12,false)=TRUE,TRUE,FALSE)</f>
        <v>0</v>
      </c>
      <c r="M4167" s="74">
        <v>52.1518759018759</v>
      </c>
      <c r="N4167" s="74">
        <f t="shared" si="1"/>
        <v>0</v>
      </c>
      <c r="O4167" s="74" t="b">
        <v>0</v>
      </c>
    </row>
    <row r="4168" hidden="1">
      <c r="A4168" s="82"/>
      <c r="B4168" s="65" t="s">
        <v>467</v>
      </c>
      <c r="C4168" s="65" t="s">
        <v>120</v>
      </c>
      <c r="D4168" s="65"/>
      <c r="E4168" s="65" t="s">
        <v>3077</v>
      </c>
      <c r="F4168" s="83">
        <v>0.5833333333333334</v>
      </c>
      <c r="G4168" s="83">
        <v>0.625</v>
      </c>
      <c r="H4168" s="83">
        <v>0.041666666666666664</v>
      </c>
      <c r="I4168" s="84">
        <v>44356.0</v>
      </c>
      <c r="J4168" s="65" t="b">
        <v>0</v>
      </c>
      <c r="K4168" s="65"/>
      <c r="L4168" s="85" t="b">
        <f>IF(VLOOKUP(C4168,Projetos!A:L,12,false)=TRUE,TRUE,FALSE)</f>
        <v>0</v>
      </c>
      <c r="M4168" s="74">
        <v>52.1518759018759</v>
      </c>
      <c r="N4168" s="74">
        <f t="shared" si="1"/>
        <v>0</v>
      </c>
      <c r="O4168" s="74" t="b">
        <v>0</v>
      </c>
    </row>
    <row r="4169" hidden="1">
      <c r="A4169" s="82"/>
      <c r="B4169" s="65" t="s">
        <v>467</v>
      </c>
      <c r="C4169" s="65" t="s">
        <v>130</v>
      </c>
      <c r="D4169" s="65" t="str">
        <f>vlookup(C4169,'Classificação p pessoal'!F:G,2,false)</f>
        <v>NP</v>
      </c>
      <c r="E4169" s="65" t="s">
        <v>3078</v>
      </c>
      <c r="F4169" s="83">
        <v>0.3125</v>
      </c>
      <c r="G4169" s="83">
        <v>0.75</v>
      </c>
      <c r="H4169" s="83">
        <v>0.4375</v>
      </c>
      <c r="I4169" s="84">
        <v>44357.0</v>
      </c>
      <c r="J4169" s="65" t="b">
        <v>1</v>
      </c>
      <c r="K4169" s="65"/>
      <c r="L4169" s="85" t="b">
        <f>IF(VLOOKUP(C4169,Projetos!A:L,12,false)=TRUE,TRUE,FALSE)</f>
        <v>1</v>
      </c>
      <c r="M4169" s="74">
        <v>52.1518759018759</v>
      </c>
      <c r="N4169" s="74">
        <f t="shared" si="1"/>
        <v>547.594697</v>
      </c>
      <c r="O4169" s="74" t="b">
        <v>1</v>
      </c>
    </row>
    <row r="4170" hidden="1">
      <c r="A4170" s="82"/>
      <c r="B4170" s="65" t="s">
        <v>467</v>
      </c>
      <c r="C4170" s="65" t="s">
        <v>92</v>
      </c>
      <c r="D4170" s="65" t="str">
        <f>vlookup(C4170,'Classificação p pessoal'!F:G,2,false)</f>
        <v/>
      </c>
      <c r="E4170" s="65" t="s">
        <v>3079</v>
      </c>
      <c r="F4170" s="83">
        <v>0.3541666666666667</v>
      </c>
      <c r="G4170" s="83">
        <v>0.4166666666666667</v>
      </c>
      <c r="H4170" s="83">
        <v>0.0625</v>
      </c>
      <c r="I4170" s="84">
        <v>44358.0</v>
      </c>
      <c r="J4170" s="65" t="b">
        <v>1</v>
      </c>
      <c r="K4170" s="65"/>
      <c r="L4170" s="85" t="b">
        <f>IF(VLOOKUP(C4170,Projetos!A:L,12,false)=TRUE,TRUE,FALSE)</f>
        <v>1</v>
      </c>
      <c r="M4170" s="74">
        <v>52.1518759018759</v>
      </c>
      <c r="N4170" s="74">
        <f t="shared" si="1"/>
        <v>78.22781385</v>
      </c>
      <c r="O4170" s="74" t="b">
        <v>1</v>
      </c>
    </row>
    <row r="4171" hidden="1">
      <c r="A4171" s="82"/>
      <c r="B4171" s="65" t="s">
        <v>467</v>
      </c>
      <c r="C4171" s="65" t="s">
        <v>130</v>
      </c>
      <c r="D4171" s="65" t="str">
        <f>vlookup(C4171,'Classificação p pessoal'!F:G,2,false)</f>
        <v>NP</v>
      </c>
      <c r="E4171" s="65" t="s">
        <v>3080</v>
      </c>
      <c r="F4171" s="83">
        <v>0.4166666666666667</v>
      </c>
      <c r="G4171" s="83">
        <v>0.5416666666666666</v>
      </c>
      <c r="H4171" s="83">
        <v>0.125</v>
      </c>
      <c r="I4171" s="84">
        <v>44358.0</v>
      </c>
      <c r="J4171" s="65" t="b">
        <v>1</v>
      </c>
      <c r="K4171" s="65"/>
      <c r="L4171" s="85" t="b">
        <f>IF(VLOOKUP(C4171,Projetos!A:L,12,false)=TRUE,TRUE,FALSE)</f>
        <v>1</v>
      </c>
      <c r="M4171" s="74">
        <v>52.1518759018759</v>
      </c>
      <c r="N4171" s="74">
        <f t="shared" si="1"/>
        <v>156.4556277</v>
      </c>
      <c r="O4171" s="74" t="b">
        <v>1</v>
      </c>
    </row>
    <row r="4172" hidden="1">
      <c r="A4172" s="82"/>
      <c r="B4172" s="65" t="s">
        <v>467</v>
      </c>
      <c r="C4172" s="65" t="s">
        <v>92</v>
      </c>
      <c r="D4172" s="65" t="str">
        <f>vlookup(C4172,'Classificação p pessoal'!F:G,2,false)</f>
        <v/>
      </c>
      <c r="E4172" s="65" t="s">
        <v>3081</v>
      </c>
      <c r="F4172" s="83">
        <v>0.5833333333333334</v>
      </c>
      <c r="G4172" s="83">
        <v>0.7083333333333334</v>
      </c>
      <c r="H4172" s="83">
        <v>0.125</v>
      </c>
      <c r="I4172" s="84">
        <v>44358.0</v>
      </c>
      <c r="J4172" s="65" t="b">
        <v>1</v>
      </c>
      <c r="K4172" s="65"/>
      <c r="L4172" s="85" t="b">
        <f>IF(VLOOKUP(C4172,Projetos!A:L,12,false)=TRUE,TRUE,FALSE)</f>
        <v>1</v>
      </c>
      <c r="M4172" s="74">
        <v>52.1518759018759</v>
      </c>
      <c r="N4172" s="74">
        <f t="shared" si="1"/>
        <v>156.4556277</v>
      </c>
      <c r="O4172" s="74" t="b">
        <v>1</v>
      </c>
    </row>
    <row r="4173" hidden="1">
      <c r="A4173" s="82"/>
      <c r="B4173" s="65" t="s">
        <v>467</v>
      </c>
      <c r="C4173" s="65" t="s">
        <v>88</v>
      </c>
      <c r="D4173" s="65"/>
      <c r="E4173" s="65" t="s">
        <v>3082</v>
      </c>
      <c r="F4173" s="83">
        <v>0.3472222222222222</v>
      </c>
      <c r="G4173" s="83">
        <v>0.375</v>
      </c>
      <c r="H4173" s="83">
        <v>0.027777777777777776</v>
      </c>
      <c r="I4173" s="84">
        <v>44362.0</v>
      </c>
      <c r="J4173" s="65" t="b">
        <v>0</v>
      </c>
      <c r="K4173" s="65" t="s">
        <v>150</v>
      </c>
      <c r="L4173" s="85" t="b">
        <f>IF(VLOOKUP(C4173,Projetos!A:L,12,false)=TRUE,TRUE,FALSE)</f>
        <v>1</v>
      </c>
      <c r="M4173" s="74">
        <v>52.1518759018759</v>
      </c>
      <c r="N4173" s="74">
        <f t="shared" si="1"/>
        <v>0</v>
      </c>
      <c r="O4173" s="74" t="b">
        <v>1</v>
      </c>
    </row>
    <row r="4174" hidden="1">
      <c r="A4174" s="82"/>
      <c r="B4174" s="65" t="s">
        <v>467</v>
      </c>
      <c r="C4174" s="65" t="s">
        <v>92</v>
      </c>
      <c r="D4174" s="65" t="str">
        <f>vlookup(C4174,'Classificação p pessoal'!F:G,2,false)</f>
        <v/>
      </c>
      <c r="E4174" s="65" t="s">
        <v>3083</v>
      </c>
      <c r="F4174" s="83">
        <v>0.375</v>
      </c>
      <c r="G4174" s="83">
        <v>0.4166666666666667</v>
      </c>
      <c r="H4174" s="83">
        <v>0.041666666666666664</v>
      </c>
      <c r="I4174" s="84">
        <v>44362.0</v>
      </c>
      <c r="J4174" s="65" t="b">
        <v>1</v>
      </c>
      <c r="K4174" s="65"/>
      <c r="L4174" s="85" t="b">
        <f>IF(VLOOKUP(C4174,Projetos!A:L,12,false)=TRUE,TRUE,FALSE)</f>
        <v>1</v>
      </c>
      <c r="M4174" s="74">
        <v>52.1518759018759</v>
      </c>
      <c r="N4174" s="74">
        <f t="shared" si="1"/>
        <v>52.1518759</v>
      </c>
      <c r="O4174" s="74" t="b">
        <v>1</v>
      </c>
    </row>
    <row r="4175" hidden="1">
      <c r="A4175" s="82"/>
      <c r="B4175" s="65" t="s">
        <v>467</v>
      </c>
      <c r="C4175" s="65" t="s">
        <v>130</v>
      </c>
      <c r="D4175" s="65" t="str">
        <f>vlookup(C4175,'Classificação p pessoal'!F:G,2,false)</f>
        <v>NP</v>
      </c>
      <c r="E4175" s="65" t="s">
        <v>3084</v>
      </c>
      <c r="F4175" s="83">
        <v>0.4166666666666667</v>
      </c>
      <c r="G4175" s="83">
        <v>0.4583333333333333</v>
      </c>
      <c r="H4175" s="83">
        <v>0.041666666666666664</v>
      </c>
      <c r="I4175" s="84">
        <v>44362.0</v>
      </c>
      <c r="J4175" s="65" t="b">
        <v>1</v>
      </c>
      <c r="K4175" s="65"/>
      <c r="L4175" s="85" t="b">
        <f>IF(VLOOKUP(C4175,Projetos!A:L,12,false)=TRUE,TRUE,FALSE)</f>
        <v>1</v>
      </c>
      <c r="M4175" s="74">
        <v>52.1518759018759</v>
      </c>
      <c r="N4175" s="74">
        <f t="shared" si="1"/>
        <v>52.1518759</v>
      </c>
      <c r="O4175" s="74" t="b">
        <v>1</v>
      </c>
    </row>
    <row r="4176" hidden="1">
      <c r="A4176" s="82"/>
      <c r="B4176" s="65" t="s">
        <v>467</v>
      </c>
      <c r="C4176" s="65" t="s">
        <v>88</v>
      </c>
      <c r="D4176" s="65" t="str">
        <f>vlookup(C4176,'Classificação p pessoal'!F:G,2,false)</f>
        <v>MProduto</v>
      </c>
      <c r="E4176" s="65" t="s">
        <v>3085</v>
      </c>
      <c r="F4176" s="83">
        <v>0.5833333333333334</v>
      </c>
      <c r="G4176" s="83">
        <v>0.6666666666666666</v>
      </c>
      <c r="H4176" s="83">
        <v>0.08333333333333333</v>
      </c>
      <c r="I4176" s="84">
        <v>44362.0</v>
      </c>
      <c r="J4176" s="65" t="b">
        <v>1</v>
      </c>
      <c r="K4176" s="65"/>
      <c r="L4176" s="85" t="b">
        <f>IF(VLOOKUP(C4176,Projetos!A:L,12,false)=TRUE,TRUE,FALSE)</f>
        <v>1</v>
      </c>
      <c r="M4176" s="74">
        <v>52.1518759018759</v>
      </c>
      <c r="N4176" s="74">
        <f t="shared" si="1"/>
        <v>104.3037518</v>
      </c>
      <c r="O4176" s="74" t="b">
        <v>1</v>
      </c>
    </row>
    <row r="4177" hidden="1">
      <c r="A4177" s="82"/>
      <c r="B4177" s="65" t="s">
        <v>467</v>
      </c>
      <c r="C4177" s="65" t="s">
        <v>92</v>
      </c>
      <c r="D4177" s="65" t="str">
        <f>vlookup(C4177,'Classificação p pessoal'!F:G,2,false)</f>
        <v/>
      </c>
      <c r="E4177" s="65" t="s">
        <v>3086</v>
      </c>
      <c r="F4177" s="83">
        <v>0.3541666666666667</v>
      </c>
      <c r="G4177" s="83">
        <v>0.4375</v>
      </c>
      <c r="H4177" s="83">
        <v>0.08333333333333333</v>
      </c>
      <c r="I4177" s="84">
        <v>44363.0</v>
      </c>
      <c r="J4177" s="65" t="b">
        <v>1</v>
      </c>
      <c r="K4177" s="65"/>
      <c r="L4177" s="85" t="b">
        <f>IF(VLOOKUP(C4177,Projetos!A:L,12,false)=TRUE,TRUE,FALSE)</f>
        <v>1</v>
      </c>
      <c r="M4177" s="74">
        <v>52.1518759018759</v>
      </c>
      <c r="N4177" s="74">
        <f t="shared" si="1"/>
        <v>104.3037518</v>
      </c>
      <c r="O4177" s="74" t="b">
        <v>1</v>
      </c>
    </row>
    <row r="4178" hidden="1">
      <c r="A4178" s="82"/>
      <c r="B4178" s="65" t="s">
        <v>467</v>
      </c>
      <c r="C4178" s="65" t="s">
        <v>120</v>
      </c>
      <c r="D4178" s="65"/>
      <c r="E4178" s="65" t="s">
        <v>3087</v>
      </c>
      <c r="F4178" s="83">
        <v>0.5833333333333334</v>
      </c>
      <c r="G4178" s="83">
        <v>0.75</v>
      </c>
      <c r="H4178" s="83">
        <v>0.16666666666666666</v>
      </c>
      <c r="I4178" s="84">
        <v>44363.0</v>
      </c>
      <c r="J4178" s="65" t="b">
        <v>0</v>
      </c>
      <c r="K4178" s="65" t="s">
        <v>150</v>
      </c>
      <c r="L4178" s="85" t="b">
        <f>IF(VLOOKUP(C4178,Projetos!A:L,12,false)=TRUE,TRUE,FALSE)</f>
        <v>0</v>
      </c>
      <c r="M4178" s="74">
        <v>52.1518759018759</v>
      </c>
      <c r="N4178" s="74">
        <f t="shared" si="1"/>
        <v>0</v>
      </c>
      <c r="O4178" s="74" t="b">
        <v>0</v>
      </c>
    </row>
    <row r="4179" hidden="1">
      <c r="A4179" s="82"/>
      <c r="B4179" s="65" t="s">
        <v>467</v>
      </c>
      <c r="C4179" s="65" t="s">
        <v>113</v>
      </c>
      <c r="D4179" s="65" t="str">
        <f>vlookup(C4179,'Classificação p pessoal'!F:G,2,false)</f>
        <v>NP</v>
      </c>
      <c r="E4179" s="65" t="s">
        <v>3088</v>
      </c>
      <c r="F4179" s="83">
        <v>0.3472222222222222</v>
      </c>
      <c r="G4179" s="83">
        <v>0.375</v>
      </c>
      <c r="H4179" s="83">
        <v>0.027777777777777776</v>
      </c>
      <c r="I4179" s="84">
        <v>44364.0</v>
      </c>
      <c r="J4179" s="65" t="b">
        <v>1</v>
      </c>
      <c r="K4179" s="65"/>
      <c r="L4179" s="85" t="b">
        <f>IF(VLOOKUP(C4179,Projetos!A:L,12,false)=TRUE,TRUE,FALSE)</f>
        <v>1</v>
      </c>
      <c r="M4179" s="74">
        <v>52.1518759018759</v>
      </c>
      <c r="N4179" s="74">
        <f t="shared" si="1"/>
        <v>34.76791727</v>
      </c>
      <c r="O4179" s="74" t="b">
        <v>1</v>
      </c>
    </row>
    <row r="4180" hidden="1">
      <c r="A4180" s="82"/>
      <c r="B4180" s="65" t="s">
        <v>467</v>
      </c>
      <c r="C4180" s="65" t="s">
        <v>92</v>
      </c>
      <c r="D4180" s="65"/>
      <c r="E4180" s="65" t="s">
        <v>3089</v>
      </c>
      <c r="F4180" s="83">
        <v>0.375</v>
      </c>
      <c r="G4180" s="83">
        <v>0.4166666666666667</v>
      </c>
      <c r="H4180" s="83">
        <v>0.041666666666666664</v>
      </c>
      <c r="I4180" s="84">
        <v>44364.0</v>
      </c>
      <c r="J4180" s="65" t="b">
        <v>0</v>
      </c>
      <c r="K4180" s="65" t="s">
        <v>150</v>
      </c>
      <c r="L4180" s="85" t="b">
        <f>IF(VLOOKUP(C4180,Projetos!A:L,12,false)=TRUE,TRUE,FALSE)</f>
        <v>1</v>
      </c>
      <c r="M4180" s="74">
        <v>52.1518759018759</v>
      </c>
      <c r="N4180" s="74">
        <f t="shared" si="1"/>
        <v>0</v>
      </c>
      <c r="O4180" s="74" t="b">
        <v>1</v>
      </c>
    </row>
    <row r="4181" hidden="1">
      <c r="A4181" s="82"/>
      <c r="B4181" s="65" t="s">
        <v>467</v>
      </c>
      <c r="C4181" s="65" t="s">
        <v>113</v>
      </c>
      <c r="D4181" s="65" t="str">
        <f>vlookup(C4181,'Classificação p pessoal'!F:G,2,false)</f>
        <v>NP</v>
      </c>
      <c r="E4181" s="65" t="s">
        <v>3090</v>
      </c>
      <c r="F4181" s="83">
        <v>0.4166666666666667</v>
      </c>
      <c r="G4181" s="83">
        <v>0.4791666666666667</v>
      </c>
      <c r="H4181" s="83">
        <v>0.0625</v>
      </c>
      <c r="I4181" s="84">
        <v>44364.0</v>
      </c>
      <c r="J4181" s="65" t="b">
        <v>1</v>
      </c>
      <c r="K4181" s="65"/>
      <c r="L4181" s="85" t="b">
        <f>IF(VLOOKUP(C4181,Projetos!A:L,12,false)=TRUE,TRUE,FALSE)</f>
        <v>1</v>
      </c>
      <c r="M4181" s="74">
        <v>52.1518759018759</v>
      </c>
      <c r="N4181" s="74">
        <f t="shared" si="1"/>
        <v>78.22781385</v>
      </c>
      <c r="O4181" s="74" t="b">
        <v>1</v>
      </c>
    </row>
    <row r="4182" hidden="1">
      <c r="A4182" s="82"/>
      <c r="B4182" s="65" t="s">
        <v>467</v>
      </c>
      <c r="C4182" s="65" t="s">
        <v>92</v>
      </c>
      <c r="D4182" s="65" t="str">
        <f>vlookup(C4182,'Classificação p pessoal'!F:G,2,false)</f>
        <v/>
      </c>
      <c r="E4182" s="65" t="s">
        <v>3091</v>
      </c>
      <c r="F4182" s="83">
        <v>0.375</v>
      </c>
      <c r="G4182" s="83">
        <v>0.4791666666666667</v>
      </c>
      <c r="H4182" s="83">
        <v>0.10416666666666667</v>
      </c>
      <c r="I4182" s="84">
        <v>44365.0</v>
      </c>
      <c r="J4182" s="65" t="b">
        <v>1</v>
      </c>
      <c r="K4182" s="65"/>
      <c r="L4182" s="85" t="b">
        <f>IF(VLOOKUP(C4182,Projetos!A:L,12,false)=TRUE,TRUE,FALSE)</f>
        <v>1</v>
      </c>
      <c r="M4182" s="74">
        <v>52.1518759018759</v>
      </c>
      <c r="N4182" s="74">
        <f t="shared" si="1"/>
        <v>130.3796898</v>
      </c>
      <c r="O4182" s="74" t="b">
        <v>1</v>
      </c>
    </row>
    <row r="4183" hidden="1">
      <c r="A4183" s="82"/>
      <c r="B4183" s="65" t="s">
        <v>467</v>
      </c>
      <c r="C4183" s="65" t="s">
        <v>120</v>
      </c>
      <c r="D4183" s="65"/>
      <c r="E4183" s="65" t="s">
        <v>3087</v>
      </c>
      <c r="F4183" s="83">
        <v>0.5833333333333334</v>
      </c>
      <c r="G4183" s="83">
        <v>0.75</v>
      </c>
      <c r="H4183" s="83">
        <v>0.16666666666666666</v>
      </c>
      <c r="I4183" s="84">
        <v>44365.0</v>
      </c>
      <c r="J4183" s="65" t="b">
        <v>0</v>
      </c>
      <c r="K4183" s="65" t="s">
        <v>150</v>
      </c>
      <c r="L4183" s="85" t="b">
        <f>IF(VLOOKUP(C4183,Projetos!A:L,12,false)=TRUE,TRUE,FALSE)</f>
        <v>0</v>
      </c>
      <c r="M4183" s="74">
        <v>52.1518759018759</v>
      </c>
      <c r="N4183" s="74">
        <f t="shared" si="1"/>
        <v>0</v>
      </c>
      <c r="O4183" s="74" t="b">
        <v>0</v>
      </c>
    </row>
    <row r="4184" hidden="1">
      <c r="A4184" s="82"/>
      <c r="B4184" s="65" t="s">
        <v>467</v>
      </c>
      <c r="C4184" s="65" t="s">
        <v>88</v>
      </c>
      <c r="D4184" s="65" t="str">
        <f>vlookup(C4184,'Classificação p pessoal'!F:G,2,false)</f>
        <v>MProduto</v>
      </c>
      <c r="E4184" s="65" t="s">
        <v>3092</v>
      </c>
      <c r="F4184" s="83">
        <v>0.3541666666666667</v>
      </c>
      <c r="G4184" s="83">
        <v>0.375</v>
      </c>
      <c r="H4184" s="83">
        <v>0.020833333333333332</v>
      </c>
      <c r="I4184" s="84">
        <v>44368.0</v>
      </c>
      <c r="J4184" s="65" t="b">
        <v>1</v>
      </c>
      <c r="K4184" s="65"/>
      <c r="L4184" s="85" t="b">
        <f>IF(VLOOKUP(C4184,Projetos!A:L,12,false)=TRUE,TRUE,FALSE)</f>
        <v>1</v>
      </c>
      <c r="M4184" s="74">
        <v>52.1518759018759</v>
      </c>
      <c r="N4184" s="74">
        <f t="shared" si="1"/>
        <v>26.07593795</v>
      </c>
      <c r="O4184" s="74" t="b">
        <v>1</v>
      </c>
    </row>
    <row r="4185" hidden="1">
      <c r="A4185" s="82"/>
      <c r="B4185" s="65" t="s">
        <v>467</v>
      </c>
      <c r="C4185" s="65" t="s">
        <v>113</v>
      </c>
      <c r="D4185" s="65" t="str">
        <f>vlookup(C4185,'Classificação p pessoal'!F:G,2,false)</f>
        <v>NP</v>
      </c>
      <c r="E4185" s="65" t="s">
        <v>3093</v>
      </c>
      <c r="F4185" s="83">
        <v>0.375</v>
      </c>
      <c r="G4185" s="83">
        <v>0.4583333333333333</v>
      </c>
      <c r="H4185" s="83">
        <v>0.08333333333333333</v>
      </c>
      <c r="I4185" s="84">
        <v>44368.0</v>
      </c>
      <c r="J4185" s="65" t="b">
        <v>1</v>
      </c>
      <c r="K4185" s="65"/>
      <c r="L4185" s="85" t="b">
        <f>IF(VLOOKUP(C4185,Projetos!A:L,12,false)=TRUE,TRUE,FALSE)</f>
        <v>1</v>
      </c>
      <c r="M4185" s="74">
        <v>52.1518759018759</v>
      </c>
      <c r="N4185" s="74">
        <f t="shared" si="1"/>
        <v>104.3037518</v>
      </c>
      <c r="O4185" s="74" t="b">
        <v>1</v>
      </c>
    </row>
    <row r="4186" hidden="1">
      <c r="A4186" s="82"/>
      <c r="B4186" s="65" t="s">
        <v>467</v>
      </c>
      <c r="C4186" s="65" t="s">
        <v>120</v>
      </c>
      <c r="D4186" s="65"/>
      <c r="E4186" s="65" t="s">
        <v>3094</v>
      </c>
      <c r="F4186" s="83">
        <v>0.5</v>
      </c>
      <c r="G4186" s="83">
        <v>0.5416666666666666</v>
      </c>
      <c r="H4186" s="83">
        <v>0.041666666666666664</v>
      </c>
      <c r="I4186" s="84">
        <v>44368.0</v>
      </c>
      <c r="J4186" s="65" t="b">
        <v>0</v>
      </c>
      <c r="K4186" s="65"/>
      <c r="L4186" s="85" t="b">
        <f>IF(VLOOKUP(C4186,Projetos!A:L,12,false)=TRUE,TRUE,FALSE)</f>
        <v>0</v>
      </c>
      <c r="M4186" s="74">
        <v>52.1518759018759</v>
      </c>
      <c r="N4186" s="74">
        <f t="shared" si="1"/>
        <v>0</v>
      </c>
      <c r="O4186" s="74" t="b">
        <v>0</v>
      </c>
    </row>
    <row r="4187" hidden="1">
      <c r="A4187" s="82"/>
      <c r="B4187" s="65" t="s">
        <v>467</v>
      </c>
      <c r="C4187" s="65" t="s">
        <v>120</v>
      </c>
      <c r="D4187" s="65"/>
      <c r="E4187" s="65" t="s">
        <v>3095</v>
      </c>
      <c r="F4187" s="83">
        <v>0.625</v>
      </c>
      <c r="G4187" s="83">
        <v>0.7916666666666666</v>
      </c>
      <c r="H4187" s="83">
        <v>0.16666666666666666</v>
      </c>
      <c r="I4187" s="84">
        <v>44368.0</v>
      </c>
      <c r="J4187" s="65" t="b">
        <v>0</v>
      </c>
      <c r="K4187" s="65" t="s">
        <v>150</v>
      </c>
      <c r="L4187" s="85" t="b">
        <f>IF(VLOOKUP(C4187,Projetos!A:L,12,false)=TRUE,TRUE,FALSE)</f>
        <v>0</v>
      </c>
      <c r="M4187" s="74">
        <v>52.1518759018759</v>
      </c>
      <c r="N4187" s="74">
        <f t="shared" si="1"/>
        <v>0</v>
      </c>
      <c r="O4187" s="74" t="b">
        <v>0</v>
      </c>
    </row>
    <row r="4188" hidden="1">
      <c r="A4188" s="82"/>
      <c r="B4188" s="65" t="s">
        <v>467</v>
      </c>
      <c r="C4188" s="65" t="s">
        <v>88</v>
      </c>
      <c r="D4188" s="65" t="str">
        <f>vlookup(C4188,'Classificação p pessoal'!F:G,2,false)</f>
        <v>MProduto</v>
      </c>
      <c r="E4188" s="65" t="s">
        <v>3096</v>
      </c>
      <c r="F4188" s="83">
        <v>0.3541666666666667</v>
      </c>
      <c r="G4188" s="83">
        <v>0.3645833333333333</v>
      </c>
      <c r="H4188" s="83">
        <v>0.010416666666666666</v>
      </c>
      <c r="I4188" s="84">
        <v>44369.0</v>
      </c>
      <c r="J4188" s="65" t="b">
        <v>1</v>
      </c>
      <c r="K4188" s="65"/>
      <c r="L4188" s="85" t="b">
        <f>IF(VLOOKUP(C4188,Projetos!A:L,12,false)=TRUE,TRUE,FALSE)</f>
        <v>1</v>
      </c>
      <c r="M4188" s="74">
        <v>52.1518759018759</v>
      </c>
      <c r="N4188" s="74">
        <f t="shared" si="1"/>
        <v>13.03796898</v>
      </c>
      <c r="O4188" s="74" t="b">
        <v>1</v>
      </c>
    </row>
    <row r="4189" hidden="1">
      <c r="A4189" s="82"/>
      <c r="B4189" s="65" t="s">
        <v>467</v>
      </c>
      <c r="C4189" s="65" t="s">
        <v>92</v>
      </c>
      <c r="D4189" s="65" t="str">
        <f>vlookup(C4189,'Classificação p pessoal'!F:G,2,false)</f>
        <v/>
      </c>
      <c r="E4189" s="65" t="s">
        <v>3097</v>
      </c>
      <c r="F4189" s="83">
        <v>0.375</v>
      </c>
      <c r="G4189" s="83">
        <v>0.4583333333333333</v>
      </c>
      <c r="H4189" s="83">
        <v>0.08333333333333333</v>
      </c>
      <c r="I4189" s="84">
        <v>44369.0</v>
      </c>
      <c r="J4189" s="65" t="b">
        <v>1</v>
      </c>
      <c r="K4189" s="65"/>
      <c r="L4189" s="85" t="b">
        <f>IF(VLOOKUP(C4189,Projetos!A:L,12,false)=TRUE,TRUE,FALSE)</f>
        <v>1</v>
      </c>
      <c r="M4189" s="74">
        <v>52.1518759018759</v>
      </c>
      <c r="N4189" s="74">
        <f t="shared" si="1"/>
        <v>104.3037518</v>
      </c>
      <c r="O4189" s="74" t="b">
        <v>1</v>
      </c>
    </row>
    <row r="4190" hidden="1">
      <c r="A4190" s="82"/>
      <c r="B4190" s="65" t="s">
        <v>467</v>
      </c>
      <c r="C4190" s="65" t="s">
        <v>113</v>
      </c>
      <c r="D4190" s="65"/>
      <c r="E4190" s="65" t="s">
        <v>3098</v>
      </c>
      <c r="F4190" s="83">
        <v>0.5833333333333334</v>
      </c>
      <c r="G4190" s="83">
        <v>0.625</v>
      </c>
      <c r="H4190" s="83">
        <v>0.041666666666666664</v>
      </c>
      <c r="I4190" s="84">
        <v>44369.0</v>
      </c>
      <c r="J4190" s="65" t="b">
        <v>0</v>
      </c>
      <c r="K4190" s="65" t="s">
        <v>150</v>
      </c>
      <c r="L4190" s="85" t="b">
        <f>IF(VLOOKUP(C4190,Projetos!A:L,12,false)=TRUE,TRUE,FALSE)</f>
        <v>1</v>
      </c>
      <c r="M4190" s="74">
        <v>52.1518759018759</v>
      </c>
      <c r="N4190" s="74">
        <f t="shared" si="1"/>
        <v>0</v>
      </c>
      <c r="O4190" s="74" t="b">
        <v>1</v>
      </c>
    </row>
    <row r="4191" hidden="1">
      <c r="A4191" s="82"/>
      <c r="B4191" s="65" t="s">
        <v>467</v>
      </c>
      <c r="C4191" s="65" t="s">
        <v>92</v>
      </c>
      <c r="D4191" s="65" t="str">
        <f>vlookup(C4191,'Classificação p pessoal'!F:G,2,false)</f>
        <v/>
      </c>
      <c r="E4191" s="65" t="s">
        <v>3099</v>
      </c>
      <c r="F4191" s="83">
        <v>0.625</v>
      </c>
      <c r="G4191" s="83">
        <v>0.6666666666666666</v>
      </c>
      <c r="H4191" s="83">
        <v>0.041666666666666664</v>
      </c>
      <c r="I4191" s="84">
        <v>44369.0</v>
      </c>
      <c r="J4191" s="65" t="b">
        <v>1</v>
      </c>
      <c r="K4191" s="65"/>
      <c r="L4191" s="85" t="b">
        <f>IF(VLOOKUP(C4191,Projetos!A:L,12,false)=TRUE,TRUE,FALSE)</f>
        <v>1</v>
      </c>
      <c r="M4191" s="74">
        <v>52.1518759018759</v>
      </c>
      <c r="N4191" s="74">
        <f t="shared" si="1"/>
        <v>52.1518759</v>
      </c>
      <c r="O4191" s="74" t="b">
        <v>1</v>
      </c>
    </row>
    <row r="4192" hidden="1">
      <c r="A4192" s="82"/>
      <c r="B4192" s="65" t="s">
        <v>467</v>
      </c>
      <c r="C4192" s="65" t="s">
        <v>92</v>
      </c>
      <c r="D4192" s="65" t="str">
        <f>vlookup(C4192,'Classificação p pessoal'!F:G,2,false)</f>
        <v/>
      </c>
      <c r="E4192" s="65" t="s">
        <v>3100</v>
      </c>
      <c r="F4192" s="83">
        <v>0.7083333333333334</v>
      </c>
      <c r="G4192" s="83">
        <v>0.75</v>
      </c>
      <c r="H4192" s="83">
        <v>0.041666666666666664</v>
      </c>
      <c r="I4192" s="84">
        <v>44369.0</v>
      </c>
      <c r="J4192" s="65" t="b">
        <v>1</v>
      </c>
      <c r="K4192" s="65"/>
      <c r="L4192" s="85" t="b">
        <f>IF(VLOOKUP(C4192,Projetos!A:L,12,false)=TRUE,TRUE,FALSE)</f>
        <v>1</v>
      </c>
      <c r="M4192" s="74">
        <v>52.1518759018759</v>
      </c>
      <c r="N4192" s="74">
        <f t="shared" si="1"/>
        <v>52.1518759</v>
      </c>
      <c r="O4192" s="74" t="b">
        <v>1</v>
      </c>
    </row>
    <row r="4193" hidden="1">
      <c r="A4193" s="82"/>
      <c r="B4193" s="65" t="s">
        <v>467</v>
      </c>
      <c r="C4193" s="65" t="s">
        <v>92</v>
      </c>
      <c r="D4193" s="65" t="str">
        <f>vlookup(C4193,'Classificação p pessoal'!F:G,2,false)</f>
        <v/>
      </c>
      <c r="E4193" s="65" t="s">
        <v>3101</v>
      </c>
      <c r="F4193" s="83">
        <v>0.3541666666666667</v>
      </c>
      <c r="G4193" s="83">
        <v>0.4166666666666667</v>
      </c>
      <c r="H4193" s="83">
        <v>0.0625</v>
      </c>
      <c r="I4193" s="84">
        <v>44370.0</v>
      </c>
      <c r="J4193" s="65" t="b">
        <v>1</v>
      </c>
      <c r="K4193" s="65"/>
      <c r="L4193" s="85" t="b">
        <f>IF(VLOOKUP(C4193,Projetos!A:L,12,false)=TRUE,TRUE,FALSE)</f>
        <v>1</v>
      </c>
      <c r="M4193" s="74">
        <v>52.1518759018759</v>
      </c>
      <c r="N4193" s="74">
        <f t="shared" si="1"/>
        <v>78.22781385</v>
      </c>
      <c r="O4193" s="74" t="b">
        <v>1</v>
      </c>
    </row>
    <row r="4194" hidden="1">
      <c r="A4194" s="82"/>
      <c r="B4194" s="65" t="s">
        <v>411</v>
      </c>
      <c r="C4194" s="65" t="s">
        <v>117</v>
      </c>
      <c r="D4194" s="65"/>
      <c r="E4194" s="65" t="s">
        <v>3102</v>
      </c>
      <c r="F4194" s="83">
        <v>0.4479166666666667</v>
      </c>
      <c r="G4194" s="83">
        <v>0.4791666666666667</v>
      </c>
      <c r="H4194" s="83">
        <v>0.03125</v>
      </c>
      <c r="I4194" s="84">
        <v>44201.0</v>
      </c>
      <c r="J4194" s="65" t="b">
        <v>0</v>
      </c>
      <c r="K4194" s="65" t="s">
        <v>150</v>
      </c>
      <c r="L4194" s="85" t="b">
        <f>IF(VLOOKUP(C4194,Projetos!A:L,12,false)=TRUE,TRUE,FALSE)</f>
        <v>1</v>
      </c>
      <c r="M4194" s="74">
        <v>52.48434411075036</v>
      </c>
      <c r="N4194" s="74">
        <f t="shared" si="1"/>
        <v>0</v>
      </c>
      <c r="O4194" s="74" t="b">
        <v>1</v>
      </c>
    </row>
    <row r="4195" hidden="1">
      <c r="A4195" s="82"/>
      <c r="B4195" s="65" t="s">
        <v>467</v>
      </c>
      <c r="C4195" s="65" t="s">
        <v>92</v>
      </c>
      <c r="D4195" s="65" t="str">
        <f>vlookup(C4195,'Classificação p pessoal'!F:G,2,false)</f>
        <v/>
      </c>
      <c r="E4195" s="65" t="s">
        <v>3103</v>
      </c>
      <c r="F4195" s="83">
        <v>0.4583333333333333</v>
      </c>
      <c r="G4195" s="83">
        <v>0.5</v>
      </c>
      <c r="H4195" s="83">
        <v>0.041666666666666664</v>
      </c>
      <c r="I4195" s="84">
        <v>44370.0</v>
      </c>
      <c r="J4195" s="65" t="b">
        <v>1</v>
      </c>
      <c r="K4195" s="65"/>
      <c r="L4195" s="85" t="b">
        <f>IF(VLOOKUP(C4195,Projetos!A:L,12,false)=TRUE,TRUE,FALSE)</f>
        <v>1</v>
      </c>
      <c r="M4195" s="74">
        <v>52.1518759018759</v>
      </c>
      <c r="N4195" s="74">
        <f t="shared" si="1"/>
        <v>52.1518759</v>
      </c>
      <c r="O4195" s="74" t="b">
        <v>1</v>
      </c>
    </row>
    <row r="4196" hidden="1">
      <c r="A4196" s="82"/>
      <c r="B4196" s="65" t="s">
        <v>467</v>
      </c>
      <c r="C4196" s="65" t="s">
        <v>88</v>
      </c>
      <c r="D4196" s="65" t="str">
        <f>vlookup(C4196,'Classificação p pessoal'!F:G,2,false)</f>
        <v>MProduto</v>
      </c>
      <c r="E4196" s="65" t="s">
        <v>3104</v>
      </c>
      <c r="F4196" s="83">
        <v>0.5833333333333334</v>
      </c>
      <c r="G4196" s="83">
        <v>0.625</v>
      </c>
      <c r="H4196" s="83">
        <v>0.041666666666666664</v>
      </c>
      <c r="I4196" s="84">
        <v>44370.0</v>
      </c>
      <c r="J4196" s="65" t="b">
        <v>1</v>
      </c>
      <c r="K4196" s="65"/>
      <c r="L4196" s="85" t="b">
        <f>IF(VLOOKUP(C4196,Projetos!A:L,12,false)=TRUE,TRUE,FALSE)</f>
        <v>1</v>
      </c>
      <c r="M4196" s="74">
        <v>52.1518759018759</v>
      </c>
      <c r="N4196" s="74">
        <f t="shared" si="1"/>
        <v>52.1518759</v>
      </c>
      <c r="O4196" s="74" t="b">
        <v>1</v>
      </c>
    </row>
    <row r="4197" hidden="1">
      <c r="A4197" s="82"/>
      <c r="B4197" s="65" t="s">
        <v>467</v>
      </c>
      <c r="C4197" s="65" t="s">
        <v>120</v>
      </c>
      <c r="D4197" s="65"/>
      <c r="E4197" s="65" t="s">
        <v>3095</v>
      </c>
      <c r="F4197" s="83">
        <v>0.625</v>
      </c>
      <c r="G4197" s="83">
        <v>0.7916666666666666</v>
      </c>
      <c r="H4197" s="83">
        <v>0.16666666666666666</v>
      </c>
      <c r="I4197" s="84">
        <v>44370.0</v>
      </c>
      <c r="J4197" s="65" t="b">
        <v>0</v>
      </c>
      <c r="K4197" s="65" t="s">
        <v>150</v>
      </c>
      <c r="L4197" s="85" t="b">
        <f>IF(VLOOKUP(C4197,Projetos!A:L,12,false)=TRUE,TRUE,FALSE)</f>
        <v>0</v>
      </c>
      <c r="M4197" s="74">
        <v>52.1518759018759</v>
      </c>
      <c r="N4197" s="74">
        <f t="shared" si="1"/>
        <v>0</v>
      </c>
      <c r="O4197" s="74" t="b">
        <v>0</v>
      </c>
    </row>
    <row r="4198" hidden="1">
      <c r="A4198" s="82"/>
      <c r="B4198" s="65" t="s">
        <v>467</v>
      </c>
      <c r="C4198" s="65" t="s">
        <v>88</v>
      </c>
      <c r="D4198" s="65" t="str">
        <f>vlookup(C4198,'Classificação p pessoal'!F:G,2,false)</f>
        <v>MProduto</v>
      </c>
      <c r="E4198" s="65" t="s">
        <v>3105</v>
      </c>
      <c r="F4198" s="83">
        <v>0.3333333333333333</v>
      </c>
      <c r="G4198" s="83">
        <v>0.3888888888888889</v>
      </c>
      <c r="H4198" s="83">
        <v>0.05555555555555555</v>
      </c>
      <c r="I4198" s="84">
        <v>44371.0</v>
      </c>
      <c r="J4198" s="65" t="b">
        <v>1</v>
      </c>
      <c r="K4198" s="65"/>
      <c r="L4198" s="85" t="b">
        <f>IF(VLOOKUP(C4198,Projetos!A:L,12,false)=TRUE,TRUE,FALSE)</f>
        <v>1</v>
      </c>
      <c r="M4198" s="74">
        <v>52.1518759018759</v>
      </c>
      <c r="N4198" s="74">
        <f t="shared" si="1"/>
        <v>69.53583454</v>
      </c>
      <c r="O4198" s="74" t="b">
        <v>1</v>
      </c>
    </row>
    <row r="4199" hidden="1">
      <c r="A4199" s="82"/>
      <c r="B4199" s="65" t="s">
        <v>411</v>
      </c>
      <c r="C4199" s="65" t="s">
        <v>130</v>
      </c>
      <c r="D4199" s="65"/>
      <c r="E4199" s="65" t="s">
        <v>3106</v>
      </c>
      <c r="F4199" s="83">
        <v>0.3854166666666667</v>
      </c>
      <c r="G4199" s="83">
        <v>0.3958333333333333</v>
      </c>
      <c r="H4199" s="83">
        <v>0.010416666666666666</v>
      </c>
      <c r="I4199" s="84">
        <v>44215.0</v>
      </c>
      <c r="J4199" s="65" t="b">
        <v>0</v>
      </c>
      <c r="K4199" s="65" t="s">
        <v>150</v>
      </c>
      <c r="L4199" s="85" t="b">
        <f>IF(VLOOKUP(C4199,Projetos!A:L,12,false)=TRUE,TRUE,FALSE)</f>
        <v>1</v>
      </c>
      <c r="M4199" s="74">
        <v>52.48434411075036</v>
      </c>
      <c r="N4199" s="74">
        <f t="shared" si="1"/>
        <v>0</v>
      </c>
      <c r="O4199" s="74" t="b">
        <v>1</v>
      </c>
    </row>
    <row r="4200" hidden="1">
      <c r="A4200" s="82"/>
      <c r="B4200" s="65" t="s">
        <v>467</v>
      </c>
      <c r="C4200" s="65" t="s">
        <v>92</v>
      </c>
      <c r="D4200" s="65" t="str">
        <f>vlookup(C4200,'Classificação p pessoal'!F:G,2,false)</f>
        <v/>
      </c>
      <c r="E4200" s="65" t="s">
        <v>3107</v>
      </c>
      <c r="F4200" s="83">
        <v>0.3958333333333333</v>
      </c>
      <c r="G4200" s="83">
        <v>0.4583333333333333</v>
      </c>
      <c r="H4200" s="83">
        <v>0.0625</v>
      </c>
      <c r="I4200" s="84">
        <v>44371.0</v>
      </c>
      <c r="J4200" s="65" t="b">
        <v>1</v>
      </c>
      <c r="K4200" s="65"/>
      <c r="L4200" s="85" t="b">
        <f>IF(VLOOKUP(C4200,Projetos!A:L,12,false)=TRUE,TRUE,FALSE)</f>
        <v>1</v>
      </c>
      <c r="M4200" s="74">
        <v>52.1518759018759</v>
      </c>
      <c r="N4200" s="74">
        <f t="shared" si="1"/>
        <v>78.22781385</v>
      </c>
      <c r="O4200" s="74" t="b">
        <v>1</v>
      </c>
    </row>
    <row r="4201" hidden="1">
      <c r="A4201" s="82"/>
      <c r="B4201" s="65" t="s">
        <v>467</v>
      </c>
      <c r="C4201" s="65" t="s">
        <v>113</v>
      </c>
      <c r="D4201" s="65"/>
      <c r="E4201" s="65" t="s">
        <v>3108</v>
      </c>
      <c r="F4201" s="83">
        <v>0.4583333333333333</v>
      </c>
      <c r="G4201" s="83">
        <v>0.4791666666666667</v>
      </c>
      <c r="H4201" s="83">
        <v>0.020833333333333332</v>
      </c>
      <c r="I4201" s="84">
        <v>44371.0</v>
      </c>
      <c r="J4201" s="65" t="b">
        <v>0</v>
      </c>
      <c r="K4201" s="65" t="s">
        <v>150</v>
      </c>
      <c r="L4201" s="85" t="b">
        <f>IF(VLOOKUP(C4201,Projetos!A:L,12,false)=TRUE,TRUE,FALSE)</f>
        <v>1</v>
      </c>
      <c r="M4201" s="74">
        <v>52.1518759018759</v>
      </c>
      <c r="N4201" s="74">
        <f t="shared" si="1"/>
        <v>0</v>
      </c>
      <c r="O4201" s="74" t="b">
        <v>1</v>
      </c>
    </row>
    <row r="4202" hidden="1">
      <c r="A4202" s="82"/>
      <c r="B4202" s="65" t="s">
        <v>467</v>
      </c>
      <c r="C4202" s="65" t="s">
        <v>113</v>
      </c>
      <c r="D4202" s="65" t="str">
        <f>vlookup(C4202,'Classificação p pessoal'!F:G,2,false)</f>
        <v>NP</v>
      </c>
      <c r="E4202" s="65" t="s">
        <v>3109</v>
      </c>
      <c r="F4202" s="83">
        <v>0.5833333333333334</v>
      </c>
      <c r="G4202" s="83">
        <v>0.7083333333333334</v>
      </c>
      <c r="H4202" s="83">
        <v>0.125</v>
      </c>
      <c r="I4202" s="84">
        <v>44371.0</v>
      </c>
      <c r="J4202" s="65" t="b">
        <v>1</v>
      </c>
      <c r="K4202" s="65"/>
      <c r="L4202" s="85" t="b">
        <f>IF(VLOOKUP(C4202,Projetos!A:L,12,false)=TRUE,TRUE,FALSE)</f>
        <v>1</v>
      </c>
      <c r="M4202" s="74">
        <v>52.1518759018759</v>
      </c>
      <c r="N4202" s="74">
        <f t="shared" si="1"/>
        <v>156.4556277</v>
      </c>
      <c r="O4202" s="74" t="b">
        <v>1</v>
      </c>
    </row>
    <row r="4203" hidden="1">
      <c r="A4203" s="82"/>
      <c r="B4203" s="65" t="s">
        <v>467</v>
      </c>
      <c r="C4203" s="65" t="s">
        <v>88</v>
      </c>
      <c r="D4203" s="65" t="str">
        <f>vlookup(C4203,'Classificação p pessoal'!F:G,2,false)</f>
        <v>MProduto</v>
      </c>
      <c r="E4203" s="65" t="s">
        <v>3110</v>
      </c>
      <c r="F4203" s="83">
        <v>0.3472222222222222</v>
      </c>
      <c r="G4203" s="83">
        <v>0.3958333333333333</v>
      </c>
      <c r="H4203" s="83">
        <v>0.04861111111111111</v>
      </c>
      <c r="I4203" s="84">
        <v>44372.0</v>
      </c>
      <c r="J4203" s="65" t="b">
        <v>1</v>
      </c>
      <c r="K4203" s="65"/>
      <c r="L4203" s="85" t="b">
        <f>IF(VLOOKUP(C4203,Projetos!A:L,12,false)=TRUE,TRUE,FALSE)</f>
        <v>1</v>
      </c>
      <c r="M4203" s="74">
        <v>52.1518759018759</v>
      </c>
      <c r="N4203" s="74">
        <f t="shared" si="1"/>
        <v>60.84385522</v>
      </c>
      <c r="O4203" s="74" t="b">
        <v>1</v>
      </c>
    </row>
    <row r="4204" hidden="1">
      <c r="A4204" s="82"/>
      <c r="B4204" s="65" t="s">
        <v>467</v>
      </c>
      <c r="C4204" s="65" t="s">
        <v>92</v>
      </c>
      <c r="D4204" s="65" t="str">
        <f>vlookup(C4204,'Classificação p pessoal'!F:G,2,false)</f>
        <v/>
      </c>
      <c r="E4204" s="65" t="s">
        <v>3111</v>
      </c>
      <c r="F4204" s="83">
        <v>0.3958333333333333</v>
      </c>
      <c r="G4204" s="83">
        <v>0.4583333333333333</v>
      </c>
      <c r="H4204" s="83">
        <v>0.0625</v>
      </c>
      <c r="I4204" s="84">
        <v>44372.0</v>
      </c>
      <c r="J4204" s="65" t="b">
        <v>1</v>
      </c>
      <c r="K4204" s="65"/>
      <c r="L4204" s="85" t="b">
        <f>IF(VLOOKUP(C4204,Projetos!A:L,12,false)=TRUE,TRUE,FALSE)</f>
        <v>1</v>
      </c>
      <c r="M4204" s="74">
        <v>52.1518759018759</v>
      </c>
      <c r="N4204" s="74">
        <f t="shared" si="1"/>
        <v>78.22781385</v>
      </c>
      <c r="O4204" s="74" t="b">
        <v>1</v>
      </c>
    </row>
    <row r="4205" hidden="1">
      <c r="A4205" s="82"/>
      <c r="B4205" s="65" t="s">
        <v>467</v>
      </c>
      <c r="C4205" s="65" t="s">
        <v>120</v>
      </c>
      <c r="D4205" s="65"/>
      <c r="E4205" s="65" t="s">
        <v>3095</v>
      </c>
      <c r="F4205" s="83">
        <v>0.625</v>
      </c>
      <c r="G4205" s="83">
        <v>0.7916666666666666</v>
      </c>
      <c r="H4205" s="83">
        <v>0.16666666666666666</v>
      </c>
      <c r="I4205" s="84">
        <v>44372.0</v>
      </c>
      <c r="J4205" s="65" t="b">
        <v>0</v>
      </c>
      <c r="K4205" s="65" t="s">
        <v>150</v>
      </c>
      <c r="L4205" s="85" t="b">
        <f>IF(VLOOKUP(C4205,Projetos!A:L,12,false)=TRUE,TRUE,FALSE)</f>
        <v>0</v>
      </c>
      <c r="M4205" s="74">
        <v>52.1518759018759</v>
      </c>
      <c r="N4205" s="74">
        <f t="shared" si="1"/>
        <v>0</v>
      </c>
      <c r="O4205" s="74" t="b">
        <v>0</v>
      </c>
    </row>
    <row r="4206" hidden="1">
      <c r="A4206" s="82"/>
      <c r="B4206" s="65" t="s">
        <v>467</v>
      </c>
      <c r="C4206" s="65" t="s">
        <v>92</v>
      </c>
      <c r="D4206" s="65"/>
      <c r="E4206" s="65" t="s">
        <v>3112</v>
      </c>
      <c r="F4206" s="83">
        <v>0.5833333333333334</v>
      </c>
      <c r="G4206" s="83">
        <v>0.625</v>
      </c>
      <c r="H4206" s="83">
        <v>0.041666666666666664</v>
      </c>
      <c r="I4206" s="84">
        <v>44372.0</v>
      </c>
      <c r="J4206" s="65" t="b">
        <v>0</v>
      </c>
      <c r="K4206" s="65" t="s">
        <v>150</v>
      </c>
      <c r="L4206" s="85" t="b">
        <f>IF(VLOOKUP(C4206,Projetos!A:L,12,false)=TRUE,TRUE,FALSE)</f>
        <v>1</v>
      </c>
      <c r="M4206" s="74">
        <v>52.1518759018759</v>
      </c>
      <c r="N4206" s="74">
        <f t="shared" si="1"/>
        <v>0</v>
      </c>
      <c r="O4206" s="74" t="b">
        <v>1</v>
      </c>
    </row>
    <row r="4207" hidden="1">
      <c r="A4207" s="82"/>
      <c r="B4207" s="65" t="s">
        <v>467</v>
      </c>
      <c r="C4207" s="65" t="s">
        <v>92</v>
      </c>
      <c r="D4207" s="65" t="str">
        <f>vlookup(C4207,'Classificação p pessoal'!F:G,2,false)</f>
        <v/>
      </c>
      <c r="E4207" s="65" t="s">
        <v>3113</v>
      </c>
      <c r="F4207" s="83">
        <v>0.3958333333333333</v>
      </c>
      <c r="G4207" s="83">
        <v>0.4375</v>
      </c>
      <c r="H4207" s="83">
        <v>0.041666666666666664</v>
      </c>
      <c r="I4207" s="84">
        <v>44375.0</v>
      </c>
      <c r="J4207" s="65" t="b">
        <v>1</v>
      </c>
      <c r="K4207" s="65"/>
      <c r="L4207" s="85" t="b">
        <f>IF(VLOOKUP(C4207,Projetos!A:L,12,false)=TRUE,TRUE,FALSE)</f>
        <v>1</v>
      </c>
      <c r="M4207" s="74">
        <v>52.1518759018759</v>
      </c>
      <c r="N4207" s="74">
        <f t="shared" si="1"/>
        <v>52.1518759</v>
      </c>
      <c r="O4207" s="74" t="b">
        <v>1</v>
      </c>
    </row>
    <row r="4208" hidden="1">
      <c r="A4208" s="82"/>
      <c r="B4208" s="65" t="s">
        <v>467</v>
      </c>
      <c r="C4208" s="65" t="s">
        <v>92</v>
      </c>
      <c r="D4208" s="65"/>
      <c r="E4208" s="65" t="s">
        <v>3114</v>
      </c>
      <c r="F4208" s="83">
        <v>0.4375</v>
      </c>
      <c r="G4208" s="83">
        <v>0.5</v>
      </c>
      <c r="H4208" s="83">
        <v>0.0625</v>
      </c>
      <c r="I4208" s="84">
        <v>44375.0</v>
      </c>
      <c r="J4208" s="65" t="b">
        <v>0</v>
      </c>
      <c r="K4208" s="65" t="s">
        <v>150</v>
      </c>
      <c r="L4208" s="85" t="b">
        <f>IF(VLOOKUP(C4208,Projetos!A:L,12,false)=TRUE,TRUE,FALSE)</f>
        <v>1</v>
      </c>
      <c r="M4208" s="74">
        <v>52.1518759018759</v>
      </c>
      <c r="N4208" s="74">
        <f t="shared" si="1"/>
        <v>0</v>
      </c>
      <c r="O4208" s="74" t="b">
        <v>1</v>
      </c>
    </row>
    <row r="4209" hidden="1">
      <c r="A4209" s="82"/>
      <c r="B4209" s="65" t="s">
        <v>467</v>
      </c>
      <c r="C4209" s="65" t="s">
        <v>120</v>
      </c>
      <c r="D4209" s="65"/>
      <c r="E4209" s="65" t="s">
        <v>3095</v>
      </c>
      <c r="F4209" s="83">
        <v>0.7083333333333334</v>
      </c>
      <c r="G4209" s="83">
        <v>0.7916666666666666</v>
      </c>
      <c r="H4209" s="83">
        <v>0.08333333333333333</v>
      </c>
      <c r="I4209" s="84">
        <v>44375.0</v>
      </c>
      <c r="J4209" s="65" t="b">
        <v>0</v>
      </c>
      <c r="K4209" s="65" t="s">
        <v>150</v>
      </c>
      <c r="L4209" s="85" t="b">
        <f>IF(VLOOKUP(C4209,Projetos!A:L,12,false)=TRUE,TRUE,FALSE)</f>
        <v>0</v>
      </c>
      <c r="M4209" s="74">
        <v>52.1518759018759</v>
      </c>
      <c r="N4209" s="74">
        <f t="shared" si="1"/>
        <v>0</v>
      </c>
      <c r="O4209" s="74" t="b">
        <v>0</v>
      </c>
    </row>
    <row r="4210" hidden="1">
      <c r="A4210" s="82"/>
      <c r="B4210" s="65" t="s">
        <v>467</v>
      </c>
      <c r="C4210" s="65" t="s">
        <v>88</v>
      </c>
      <c r="D4210" s="65" t="str">
        <f>vlookup(C4210,'Classificação p pessoal'!F:G,2,false)</f>
        <v>MProduto</v>
      </c>
      <c r="E4210" s="65" t="s">
        <v>3115</v>
      </c>
      <c r="F4210" s="83">
        <v>0.375</v>
      </c>
      <c r="G4210" s="83">
        <v>0.3958333333333333</v>
      </c>
      <c r="H4210" s="83">
        <v>0.020833333333333332</v>
      </c>
      <c r="I4210" s="84">
        <v>44375.0</v>
      </c>
      <c r="J4210" s="65" t="b">
        <v>1</v>
      </c>
      <c r="K4210" s="65"/>
      <c r="L4210" s="85" t="b">
        <f>IF(VLOOKUP(C4210,Projetos!A:L,12,false)=TRUE,TRUE,FALSE)</f>
        <v>1</v>
      </c>
      <c r="M4210" s="74">
        <v>52.1518759018759</v>
      </c>
      <c r="N4210" s="74">
        <f t="shared" si="1"/>
        <v>26.07593795</v>
      </c>
      <c r="O4210" s="74" t="b">
        <v>1</v>
      </c>
    </row>
    <row r="4211" hidden="1">
      <c r="A4211" s="82"/>
      <c r="B4211" s="65" t="s">
        <v>467</v>
      </c>
      <c r="C4211" s="65" t="s">
        <v>113</v>
      </c>
      <c r="D4211" s="65" t="str">
        <f>vlookup(C4211,'Classificação p pessoal'!F:G,2,false)</f>
        <v>NP</v>
      </c>
      <c r="E4211" s="65" t="s">
        <v>3116</v>
      </c>
      <c r="F4211" s="83">
        <v>0.3541666666666667</v>
      </c>
      <c r="G4211" s="83">
        <v>0.4166666666666667</v>
      </c>
      <c r="H4211" s="83">
        <v>0.0625</v>
      </c>
      <c r="I4211" s="84">
        <v>44376.0</v>
      </c>
      <c r="J4211" s="65" t="b">
        <v>1</v>
      </c>
      <c r="K4211" s="65"/>
      <c r="L4211" s="85" t="b">
        <f>IF(VLOOKUP(C4211,Projetos!A:L,12,false)=TRUE,TRUE,FALSE)</f>
        <v>1</v>
      </c>
      <c r="M4211" s="74">
        <v>52.1518759018759</v>
      </c>
      <c r="N4211" s="74">
        <f t="shared" si="1"/>
        <v>78.22781385</v>
      </c>
      <c r="O4211" s="74" t="b">
        <v>1</v>
      </c>
    </row>
    <row r="4212" hidden="1">
      <c r="A4212" s="82"/>
      <c r="B4212" s="65" t="s">
        <v>467</v>
      </c>
      <c r="C4212" s="65" t="s">
        <v>113</v>
      </c>
      <c r="D4212" s="65"/>
      <c r="E4212" s="65" t="s">
        <v>3117</v>
      </c>
      <c r="F4212" s="83">
        <v>0.4166666666666667</v>
      </c>
      <c r="G4212" s="83">
        <v>0.4722222222222222</v>
      </c>
      <c r="H4212" s="83">
        <v>0.05555555555555555</v>
      </c>
      <c r="I4212" s="84">
        <v>44376.0</v>
      </c>
      <c r="J4212" s="65" t="b">
        <v>0</v>
      </c>
      <c r="K4212" s="65" t="s">
        <v>150</v>
      </c>
      <c r="L4212" s="85" t="b">
        <f>IF(VLOOKUP(C4212,Projetos!A:L,12,false)=TRUE,TRUE,FALSE)</f>
        <v>1</v>
      </c>
      <c r="M4212" s="74">
        <v>52.1518759018759</v>
      </c>
      <c r="N4212" s="74">
        <f t="shared" si="1"/>
        <v>0</v>
      </c>
      <c r="O4212" s="74" t="b">
        <v>1</v>
      </c>
    </row>
    <row r="4213" hidden="1">
      <c r="A4213" s="82"/>
      <c r="B4213" s="65" t="s">
        <v>467</v>
      </c>
      <c r="C4213" s="65" t="s">
        <v>88</v>
      </c>
      <c r="D4213" s="65" t="str">
        <f>vlookup(C4213,'Classificação p pessoal'!F:G,2,false)</f>
        <v>MProduto</v>
      </c>
      <c r="E4213" s="65" t="s">
        <v>3118</v>
      </c>
      <c r="F4213" s="83">
        <v>0.5833333333333334</v>
      </c>
      <c r="G4213" s="83">
        <v>0.6666666666666666</v>
      </c>
      <c r="H4213" s="83">
        <v>0.08333333333333333</v>
      </c>
      <c r="I4213" s="84">
        <v>44376.0</v>
      </c>
      <c r="J4213" s="65" t="b">
        <v>1</v>
      </c>
      <c r="K4213" s="65"/>
      <c r="L4213" s="85" t="b">
        <f>IF(VLOOKUP(C4213,Projetos!A:L,12,false)=TRUE,TRUE,FALSE)</f>
        <v>1</v>
      </c>
      <c r="M4213" s="74">
        <v>52.1518759018759</v>
      </c>
      <c r="N4213" s="74">
        <f t="shared" si="1"/>
        <v>104.3037518</v>
      </c>
      <c r="O4213" s="74" t="b">
        <v>1</v>
      </c>
    </row>
    <row r="4214">
      <c r="A4214" s="82"/>
      <c r="B4214" s="65" t="s">
        <v>467</v>
      </c>
      <c r="C4214" s="65" t="s">
        <v>92</v>
      </c>
      <c r="D4214" s="65" t="str">
        <f>vlookup(C4214,'Classificação p pessoal'!F:G,2,false)</f>
        <v/>
      </c>
      <c r="E4214" s="65" t="s">
        <v>3119</v>
      </c>
      <c r="F4214" s="83">
        <v>0.3472222222222222</v>
      </c>
      <c r="G4214" s="83">
        <v>0.375</v>
      </c>
      <c r="H4214" s="83">
        <v>0.027777777777777776</v>
      </c>
      <c r="I4214" s="84">
        <v>44377.0</v>
      </c>
      <c r="J4214" s="65" t="b">
        <v>1</v>
      </c>
      <c r="K4214" s="65"/>
      <c r="L4214" s="85" t="b">
        <f>IF(VLOOKUP(C4214,Projetos!A:L,12,false)=TRUE,TRUE,FALSE)</f>
        <v>1</v>
      </c>
      <c r="M4214" s="74">
        <v>52.1518759018759</v>
      </c>
      <c r="N4214" s="74">
        <f t="shared" si="1"/>
        <v>34.76791727</v>
      </c>
      <c r="O4214" s="74" t="b">
        <v>1</v>
      </c>
    </row>
    <row r="4215" hidden="1">
      <c r="A4215" s="82"/>
      <c r="B4215" s="65" t="s">
        <v>467</v>
      </c>
      <c r="C4215" s="65" t="s">
        <v>113</v>
      </c>
      <c r="D4215" s="65" t="str">
        <f>vlookup(C4215,'Classificação p pessoal'!F:G,2,false)</f>
        <v>NP</v>
      </c>
      <c r="E4215" s="65" t="s">
        <v>3120</v>
      </c>
      <c r="F4215" s="83">
        <v>0.5833333333333334</v>
      </c>
      <c r="G4215" s="83">
        <v>0.7291666666666666</v>
      </c>
      <c r="H4215" s="83">
        <v>0.14583333333333334</v>
      </c>
      <c r="I4215" s="84">
        <v>44377.0</v>
      </c>
      <c r="J4215" s="65" t="b">
        <v>1</v>
      </c>
      <c r="K4215" s="65"/>
      <c r="L4215" s="85" t="b">
        <f>IF(VLOOKUP(C4215,Projetos!A:L,12,false)=TRUE,TRUE,FALSE)</f>
        <v>1</v>
      </c>
      <c r="M4215" s="74">
        <v>52.1518759018759</v>
      </c>
      <c r="N4215" s="74">
        <f t="shared" si="1"/>
        <v>182.5315657</v>
      </c>
      <c r="O4215" s="74" t="b">
        <v>1</v>
      </c>
    </row>
    <row r="4216" hidden="1">
      <c r="A4216" s="82"/>
      <c r="B4216" s="65" t="s">
        <v>467</v>
      </c>
      <c r="C4216" s="65" t="s">
        <v>88</v>
      </c>
      <c r="D4216" s="65" t="str">
        <f>vlookup(C4216,'Classificação p pessoal'!F:G,2,false)</f>
        <v>MProduto</v>
      </c>
      <c r="E4216" s="65" t="s">
        <v>3121</v>
      </c>
      <c r="F4216" s="83">
        <v>0.375</v>
      </c>
      <c r="G4216" s="83">
        <v>0.4375</v>
      </c>
      <c r="H4216" s="83">
        <v>0.0625</v>
      </c>
      <c r="I4216" s="84">
        <v>44378.0</v>
      </c>
      <c r="J4216" s="65" t="b">
        <v>1</v>
      </c>
      <c r="K4216" s="65"/>
      <c r="L4216" s="85" t="b">
        <f>IF(VLOOKUP(C4216,Projetos!A:L,12,false)=TRUE,TRUE,FALSE)</f>
        <v>1</v>
      </c>
      <c r="M4216" s="74">
        <v>52.1518759018759</v>
      </c>
      <c r="N4216" s="74">
        <f t="shared" si="1"/>
        <v>78.22781385</v>
      </c>
      <c r="O4216" s="74" t="b">
        <v>1</v>
      </c>
    </row>
    <row r="4217" hidden="1">
      <c r="A4217" s="82"/>
      <c r="B4217" s="65" t="s">
        <v>467</v>
      </c>
      <c r="C4217" s="65" t="s">
        <v>88</v>
      </c>
      <c r="D4217" s="65" t="str">
        <f>vlookup(C4217,'Classificação p pessoal'!F:G,2,false)</f>
        <v>MProduto</v>
      </c>
      <c r="E4217" s="65" t="s">
        <v>3122</v>
      </c>
      <c r="F4217" s="83">
        <v>0.4375</v>
      </c>
      <c r="G4217" s="83">
        <v>0.4479166666666667</v>
      </c>
      <c r="H4217" s="83">
        <v>0.010416666666666666</v>
      </c>
      <c r="I4217" s="84">
        <v>44378.0</v>
      </c>
      <c r="J4217" s="65" t="b">
        <v>1</v>
      </c>
      <c r="K4217" s="65"/>
      <c r="L4217" s="85" t="b">
        <f>IF(VLOOKUP(C4217,Projetos!A:L,12,false)=TRUE,TRUE,FALSE)</f>
        <v>1</v>
      </c>
      <c r="M4217" s="74">
        <v>52.1518759018759</v>
      </c>
      <c r="N4217" s="74">
        <f t="shared" si="1"/>
        <v>13.03796898</v>
      </c>
      <c r="O4217" s="74" t="b">
        <v>1</v>
      </c>
    </row>
    <row r="4218" hidden="1">
      <c r="A4218" s="82"/>
      <c r="B4218" s="65" t="s">
        <v>467</v>
      </c>
      <c r="C4218" s="65" t="s">
        <v>113</v>
      </c>
      <c r="D4218" s="65"/>
      <c r="E4218" s="65" t="s">
        <v>3123</v>
      </c>
      <c r="F4218" s="83">
        <v>0.4479166666666667</v>
      </c>
      <c r="G4218" s="83">
        <v>0.4895833333333333</v>
      </c>
      <c r="H4218" s="83">
        <v>0.041666666666666664</v>
      </c>
      <c r="I4218" s="84">
        <v>44378.0</v>
      </c>
      <c r="J4218" s="65" t="b">
        <v>0</v>
      </c>
      <c r="K4218" s="65" t="s">
        <v>150</v>
      </c>
      <c r="L4218" s="85" t="b">
        <f>IF(VLOOKUP(C4218,Projetos!A:L,12,false)=TRUE,TRUE,FALSE)</f>
        <v>1</v>
      </c>
      <c r="M4218" s="74">
        <v>52.1518759018759</v>
      </c>
      <c r="N4218" s="74">
        <f t="shared" si="1"/>
        <v>0</v>
      </c>
      <c r="O4218" s="74" t="b">
        <v>1</v>
      </c>
    </row>
    <row r="4219" hidden="1">
      <c r="A4219" s="82"/>
      <c r="B4219" s="65" t="s">
        <v>467</v>
      </c>
      <c r="C4219" s="65" t="s">
        <v>92</v>
      </c>
      <c r="D4219" s="65" t="str">
        <f>vlookup(C4219,'Classificação p pessoal'!F:G,2,false)</f>
        <v/>
      </c>
      <c r="E4219" s="65" t="s">
        <v>3124</v>
      </c>
      <c r="F4219" s="83">
        <v>0.5</v>
      </c>
      <c r="G4219" s="83">
        <v>0.5833333333333334</v>
      </c>
      <c r="H4219" s="83">
        <v>0.08333333333333333</v>
      </c>
      <c r="I4219" s="84">
        <v>44378.0</v>
      </c>
      <c r="J4219" s="65" t="b">
        <v>1</v>
      </c>
      <c r="K4219" s="65"/>
      <c r="L4219" s="85" t="b">
        <f>IF(VLOOKUP(C4219,Projetos!A:L,12,false)=TRUE,TRUE,FALSE)</f>
        <v>1</v>
      </c>
      <c r="M4219" s="74">
        <v>52.1518759018759</v>
      </c>
      <c r="N4219" s="74">
        <f t="shared" si="1"/>
        <v>104.3037518</v>
      </c>
      <c r="O4219" s="74" t="b">
        <v>1</v>
      </c>
    </row>
    <row r="4220" hidden="1">
      <c r="A4220" s="82"/>
      <c r="B4220" s="65" t="s">
        <v>467</v>
      </c>
      <c r="C4220" s="65" t="s">
        <v>92</v>
      </c>
      <c r="D4220" s="65" t="str">
        <f>vlookup(C4220,'Classificação p pessoal'!F:G,2,false)</f>
        <v/>
      </c>
      <c r="E4220" s="65" t="s">
        <v>3125</v>
      </c>
      <c r="F4220" s="83">
        <v>0.5833333333333334</v>
      </c>
      <c r="G4220" s="83">
        <v>0.625</v>
      </c>
      <c r="H4220" s="83">
        <v>0.041666666666666664</v>
      </c>
      <c r="I4220" s="84">
        <v>44378.0</v>
      </c>
      <c r="J4220" s="65" t="b">
        <v>1</v>
      </c>
      <c r="K4220" s="65"/>
      <c r="L4220" s="85" t="b">
        <f>IF(VLOOKUP(C4220,Projetos!A:L,12,false)=TRUE,TRUE,FALSE)</f>
        <v>1</v>
      </c>
      <c r="M4220" s="74">
        <v>52.1518759018759</v>
      </c>
      <c r="N4220" s="74">
        <f t="shared" si="1"/>
        <v>52.1518759</v>
      </c>
      <c r="O4220" s="74" t="b">
        <v>1</v>
      </c>
    </row>
    <row r="4221" hidden="1">
      <c r="A4221" s="82"/>
      <c r="B4221" s="65" t="s">
        <v>467</v>
      </c>
      <c r="C4221" s="65" t="s">
        <v>88</v>
      </c>
      <c r="D4221" s="65" t="str">
        <f>vlookup(C4221,'Classificação p pessoal'!F:G,2,false)</f>
        <v>MProduto</v>
      </c>
      <c r="E4221" s="65" t="s">
        <v>3126</v>
      </c>
      <c r="F4221" s="83">
        <v>0.375</v>
      </c>
      <c r="G4221" s="83">
        <v>0.3888888888888889</v>
      </c>
      <c r="H4221" s="83">
        <v>0.013888888888888888</v>
      </c>
      <c r="I4221" s="84">
        <v>44379.0</v>
      </c>
      <c r="J4221" s="65" t="b">
        <v>1</v>
      </c>
      <c r="K4221" s="65"/>
      <c r="L4221" s="85" t="b">
        <f>IF(VLOOKUP(C4221,Projetos!A:L,12,false)=TRUE,TRUE,FALSE)</f>
        <v>1</v>
      </c>
      <c r="M4221" s="74">
        <v>52.1518759018759</v>
      </c>
      <c r="N4221" s="74">
        <f t="shared" si="1"/>
        <v>17.38395863</v>
      </c>
      <c r="O4221" s="74" t="b">
        <v>1</v>
      </c>
    </row>
    <row r="4222" hidden="1">
      <c r="A4222" s="82"/>
      <c r="B4222" s="65" t="s">
        <v>467</v>
      </c>
      <c r="C4222" s="65" t="s">
        <v>113</v>
      </c>
      <c r="D4222" s="65" t="str">
        <f>vlookup(C4222,'Classificação p pessoal'!F:G,2,false)</f>
        <v>NP</v>
      </c>
      <c r="E4222" s="65" t="s">
        <v>3127</v>
      </c>
      <c r="F4222" s="83">
        <v>0.4166666666666667</v>
      </c>
      <c r="G4222" s="83">
        <v>0.5</v>
      </c>
      <c r="H4222" s="83">
        <v>0.08333333333333333</v>
      </c>
      <c r="I4222" s="84">
        <v>44379.0</v>
      </c>
      <c r="J4222" s="65" t="b">
        <v>1</v>
      </c>
      <c r="K4222" s="65"/>
      <c r="L4222" s="85" t="b">
        <f>IF(VLOOKUP(C4222,Projetos!A:L,12,false)=TRUE,TRUE,FALSE)</f>
        <v>1</v>
      </c>
      <c r="M4222" s="74">
        <v>52.1518759018759</v>
      </c>
      <c r="N4222" s="74">
        <f t="shared" si="1"/>
        <v>104.3037518</v>
      </c>
      <c r="O4222" s="74" t="b">
        <v>1</v>
      </c>
    </row>
    <row r="4223" hidden="1">
      <c r="A4223" s="82"/>
      <c r="B4223" s="65" t="s">
        <v>467</v>
      </c>
      <c r="C4223" s="65" t="s">
        <v>92</v>
      </c>
      <c r="D4223" s="65" t="str">
        <f>vlookup(C4223,'Classificação p pessoal'!F:G,2,false)</f>
        <v/>
      </c>
      <c r="E4223" s="65" t="s">
        <v>3128</v>
      </c>
      <c r="F4223" s="83">
        <v>0.5833333333333334</v>
      </c>
      <c r="G4223" s="83">
        <v>0.6666666666666666</v>
      </c>
      <c r="H4223" s="83">
        <v>0.08333333333333333</v>
      </c>
      <c r="I4223" s="84">
        <v>44379.0</v>
      </c>
      <c r="J4223" s="65" t="b">
        <v>1</v>
      </c>
      <c r="K4223" s="65"/>
      <c r="L4223" s="85" t="b">
        <f>IF(VLOOKUP(C4223,Projetos!A:L,12,false)=TRUE,TRUE,FALSE)</f>
        <v>1</v>
      </c>
      <c r="M4223" s="74">
        <v>52.1518759018759</v>
      </c>
      <c r="N4223" s="74">
        <f t="shared" si="1"/>
        <v>104.3037518</v>
      </c>
      <c r="O4223" s="74" t="b">
        <v>1</v>
      </c>
    </row>
    <row r="4224" hidden="1">
      <c r="A4224" s="82"/>
      <c r="B4224" s="65" t="s">
        <v>467</v>
      </c>
      <c r="C4224" s="65" t="s">
        <v>88</v>
      </c>
      <c r="D4224" s="65" t="str">
        <f>vlookup(C4224,'Classificação p pessoal'!F:G,2,false)</f>
        <v>MProduto</v>
      </c>
      <c r="E4224" s="65" t="s">
        <v>3129</v>
      </c>
      <c r="F4224" s="83">
        <v>0.3472222222222222</v>
      </c>
      <c r="G4224" s="83">
        <v>0.4166666666666667</v>
      </c>
      <c r="H4224" s="83">
        <v>0.06944444444444445</v>
      </c>
      <c r="I4224" s="84">
        <v>44382.0</v>
      </c>
      <c r="J4224" s="65" t="b">
        <v>1</v>
      </c>
      <c r="K4224" s="65"/>
      <c r="L4224" s="85" t="b">
        <f>IF(VLOOKUP(C4224,Projetos!A:L,12,false)=TRUE,TRUE,FALSE)</f>
        <v>1</v>
      </c>
      <c r="M4224" s="74">
        <v>52.1518759018759</v>
      </c>
      <c r="N4224" s="74">
        <f t="shared" si="1"/>
        <v>86.91979317</v>
      </c>
      <c r="O4224" s="74" t="b">
        <v>1</v>
      </c>
    </row>
    <row r="4225" hidden="1">
      <c r="A4225" s="82"/>
      <c r="B4225" s="65" t="s">
        <v>467</v>
      </c>
      <c r="C4225" s="65" t="s">
        <v>113</v>
      </c>
      <c r="D4225" s="65" t="str">
        <f>vlookup(C4225,'Classificação p pessoal'!F:G,2,false)</f>
        <v>NP</v>
      </c>
      <c r="E4225" s="65" t="s">
        <v>3130</v>
      </c>
      <c r="F4225" s="83">
        <v>0.4166666666666667</v>
      </c>
      <c r="G4225" s="83">
        <v>0.5</v>
      </c>
      <c r="H4225" s="83">
        <v>0.08333333333333333</v>
      </c>
      <c r="I4225" s="84">
        <v>44382.0</v>
      </c>
      <c r="J4225" s="65" t="b">
        <v>1</v>
      </c>
      <c r="K4225" s="65"/>
      <c r="L4225" s="85" t="b">
        <f>IF(VLOOKUP(C4225,Projetos!A:L,12,false)=TRUE,TRUE,FALSE)</f>
        <v>1</v>
      </c>
      <c r="M4225" s="74">
        <v>52.1518759018759</v>
      </c>
      <c r="N4225" s="74">
        <f t="shared" si="1"/>
        <v>104.3037518</v>
      </c>
      <c r="O4225" s="74" t="b">
        <v>1</v>
      </c>
    </row>
    <row r="4226" hidden="1">
      <c r="A4226" s="82"/>
      <c r="B4226" s="65" t="s">
        <v>467</v>
      </c>
      <c r="C4226" s="65" t="s">
        <v>92</v>
      </c>
      <c r="D4226" s="65" t="str">
        <f>vlookup(C4226,'Classificação p pessoal'!F:G,2,false)</f>
        <v/>
      </c>
      <c r="E4226" s="65" t="s">
        <v>3131</v>
      </c>
      <c r="F4226" s="83">
        <v>0.5</v>
      </c>
      <c r="G4226" s="83">
        <v>0.5104166666666666</v>
      </c>
      <c r="H4226" s="83">
        <v>0.010416666666666666</v>
      </c>
      <c r="I4226" s="84">
        <v>44382.0</v>
      </c>
      <c r="J4226" s="65" t="b">
        <v>1</v>
      </c>
      <c r="K4226" s="65"/>
      <c r="L4226" s="85" t="b">
        <f>IF(VLOOKUP(C4226,Projetos!A:L,12,false)=TRUE,TRUE,FALSE)</f>
        <v>1</v>
      </c>
      <c r="M4226" s="74">
        <v>52.1518759018759</v>
      </c>
      <c r="N4226" s="74">
        <f t="shared" si="1"/>
        <v>13.03796898</v>
      </c>
      <c r="O4226" s="74" t="b">
        <v>1</v>
      </c>
    </row>
    <row r="4227" hidden="1">
      <c r="A4227" s="82"/>
      <c r="B4227" s="65" t="s">
        <v>467</v>
      </c>
      <c r="C4227" s="65" t="s">
        <v>113</v>
      </c>
      <c r="D4227" s="65" t="str">
        <f>vlookup(C4227,'Classificação p pessoal'!F:G,2,false)</f>
        <v>NP</v>
      </c>
      <c r="E4227" s="65" t="s">
        <v>3132</v>
      </c>
      <c r="F4227" s="83">
        <v>0.5833333333333334</v>
      </c>
      <c r="G4227" s="83">
        <v>0.6041666666666666</v>
      </c>
      <c r="H4227" s="83">
        <v>0.020833333333333332</v>
      </c>
      <c r="I4227" s="84">
        <v>44382.0</v>
      </c>
      <c r="J4227" s="65" t="b">
        <v>1</v>
      </c>
      <c r="K4227" s="65"/>
      <c r="L4227" s="85" t="b">
        <f>IF(VLOOKUP(C4227,Projetos!A:L,12,false)=TRUE,TRUE,FALSE)</f>
        <v>1</v>
      </c>
      <c r="M4227" s="74">
        <v>52.1518759018759</v>
      </c>
      <c r="N4227" s="74">
        <f t="shared" si="1"/>
        <v>26.07593795</v>
      </c>
      <c r="O4227" s="74" t="b">
        <v>1</v>
      </c>
    </row>
    <row r="4228" hidden="1">
      <c r="A4228" s="82"/>
      <c r="B4228" s="65" t="s">
        <v>467</v>
      </c>
      <c r="C4228" s="65" t="s">
        <v>113</v>
      </c>
      <c r="D4228" s="65" t="str">
        <f>vlookup(C4228,'Classificação p pessoal'!F:G,2,false)</f>
        <v>NP</v>
      </c>
      <c r="E4228" s="65" t="s">
        <v>3133</v>
      </c>
      <c r="F4228" s="83">
        <v>0.6041666666666666</v>
      </c>
      <c r="G4228" s="83">
        <v>0.6666666666666666</v>
      </c>
      <c r="H4228" s="83">
        <v>0.0625</v>
      </c>
      <c r="I4228" s="84">
        <v>44382.0</v>
      </c>
      <c r="J4228" s="65" t="b">
        <v>1</v>
      </c>
      <c r="K4228" s="65"/>
      <c r="L4228" s="85" t="b">
        <f>IF(VLOOKUP(C4228,Projetos!A:L,12,false)=TRUE,TRUE,FALSE)</f>
        <v>1</v>
      </c>
      <c r="M4228" s="74">
        <v>52.1518759018759</v>
      </c>
      <c r="N4228" s="74">
        <f t="shared" si="1"/>
        <v>78.22781385</v>
      </c>
      <c r="O4228" s="74" t="b">
        <v>1</v>
      </c>
    </row>
    <row r="4229" hidden="1">
      <c r="A4229" s="82"/>
      <c r="B4229" s="65" t="s">
        <v>467</v>
      </c>
      <c r="C4229" s="65" t="s">
        <v>113</v>
      </c>
      <c r="D4229" s="65"/>
      <c r="E4229" s="65" t="s">
        <v>3134</v>
      </c>
      <c r="F4229" s="83">
        <v>0.3472222222222222</v>
      </c>
      <c r="G4229" s="83">
        <v>0.375</v>
      </c>
      <c r="H4229" s="83">
        <v>0.027777777777777776</v>
      </c>
      <c r="I4229" s="84">
        <v>44383.0</v>
      </c>
      <c r="J4229" s="65" t="b">
        <v>0</v>
      </c>
      <c r="K4229" s="65" t="s">
        <v>150</v>
      </c>
      <c r="L4229" s="85" t="b">
        <f>IF(VLOOKUP(C4229,Projetos!A:L,12,false)=TRUE,TRUE,FALSE)</f>
        <v>1</v>
      </c>
      <c r="M4229" s="74">
        <v>52.1518759018759</v>
      </c>
      <c r="N4229" s="74">
        <f t="shared" si="1"/>
        <v>0</v>
      </c>
      <c r="O4229" s="74" t="b">
        <v>1</v>
      </c>
    </row>
    <row r="4230" hidden="1">
      <c r="A4230" s="82"/>
      <c r="B4230" s="65" t="s">
        <v>467</v>
      </c>
      <c r="C4230" s="65" t="s">
        <v>113</v>
      </c>
      <c r="D4230" s="65" t="str">
        <f>vlookup(C4230,'Classificação p pessoal'!F:G,2,false)</f>
        <v>NP</v>
      </c>
      <c r="E4230" s="65" t="s">
        <v>3135</v>
      </c>
      <c r="F4230" s="83">
        <v>0.375</v>
      </c>
      <c r="G4230" s="83">
        <v>0.3958333333333333</v>
      </c>
      <c r="H4230" s="83">
        <v>0.020833333333333332</v>
      </c>
      <c r="I4230" s="84">
        <v>44383.0</v>
      </c>
      <c r="J4230" s="65" t="b">
        <v>1</v>
      </c>
      <c r="K4230" s="65"/>
      <c r="L4230" s="85" t="b">
        <f>IF(VLOOKUP(C4230,Projetos!A:L,12,false)=TRUE,TRUE,FALSE)</f>
        <v>1</v>
      </c>
      <c r="M4230" s="74">
        <v>52.1518759018759</v>
      </c>
      <c r="N4230" s="74">
        <f t="shared" si="1"/>
        <v>26.07593795</v>
      </c>
      <c r="O4230" s="74" t="b">
        <v>1</v>
      </c>
    </row>
    <row r="4231" hidden="1">
      <c r="A4231" s="82"/>
      <c r="B4231" s="65" t="s">
        <v>467</v>
      </c>
      <c r="C4231" s="65" t="s">
        <v>92</v>
      </c>
      <c r="D4231" s="65" t="str">
        <f>vlookup(C4231,'Classificação p pessoal'!F:G,2,false)</f>
        <v/>
      </c>
      <c r="E4231" s="65" t="s">
        <v>3136</v>
      </c>
      <c r="F4231" s="83">
        <v>0.3958333333333333</v>
      </c>
      <c r="G4231" s="83">
        <v>0.4166666666666667</v>
      </c>
      <c r="H4231" s="83">
        <v>0.020833333333333332</v>
      </c>
      <c r="I4231" s="84">
        <v>44383.0</v>
      </c>
      <c r="J4231" s="65" t="b">
        <v>1</v>
      </c>
      <c r="K4231" s="65"/>
      <c r="L4231" s="85" t="b">
        <f>IF(VLOOKUP(C4231,Projetos!A:L,12,false)=TRUE,TRUE,FALSE)</f>
        <v>1</v>
      </c>
      <c r="M4231" s="74">
        <v>52.1518759018759</v>
      </c>
      <c r="N4231" s="74">
        <f t="shared" si="1"/>
        <v>26.07593795</v>
      </c>
      <c r="O4231" s="74" t="b">
        <v>1</v>
      </c>
    </row>
    <row r="4232" hidden="1">
      <c r="A4232" s="82"/>
      <c r="B4232" s="65" t="s">
        <v>467</v>
      </c>
      <c r="C4232" s="65" t="s">
        <v>88</v>
      </c>
      <c r="D4232" s="65" t="str">
        <f>vlookup(C4232,'Classificação p pessoal'!F:G,2,false)</f>
        <v>MProduto</v>
      </c>
      <c r="E4232" s="65" t="s">
        <v>3137</v>
      </c>
      <c r="F4232" s="83">
        <v>0.4166666666666667</v>
      </c>
      <c r="G4232" s="83">
        <v>0.4375</v>
      </c>
      <c r="H4232" s="83">
        <v>0.020833333333333332</v>
      </c>
      <c r="I4232" s="84">
        <v>44383.0</v>
      </c>
      <c r="J4232" s="65" t="b">
        <v>1</v>
      </c>
      <c r="K4232" s="65"/>
      <c r="L4232" s="85" t="b">
        <f>IF(VLOOKUP(C4232,Projetos!A:L,12,false)=TRUE,TRUE,FALSE)</f>
        <v>1</v>
      </c>
      <c r="M4232" s="74">
        <v>52.1518759018759</v>
      </c>
      <c r="N4232" s="74">
        <f t="shared" si="1"/>
        <v>26.07593795</v>
      </c>
      <c r="O4232" s="74" t="b">
        <v>1</v>
      </c>
    </row>
    <row r="4233" hidden="1">
      <c r="A4233" s="82"/>
      <c r="B4233" s="65" t="s">
        <v>467</v>
      </c>
      <c r="C4233" s="65" t="s">
        <v>113</v>
      </c>
      <c r="D4233" s="65" t="str">
        <f>vlookup(C4233,'Classificação p pessoal'!F:G,2,false)</f>
        <v>NP</v>
      </c>
      <c r="E4233" s="65" t="s">
        <v>3138</v>
      </c>
      <c r="F4233" s="83">
        <v>0.4375</v>
      </c>
      <c r="G4233" s="83">
        <v>0.5</v>
      </c>
      <c r="H4233" s="83">
        <v>0.0625</v>
      </c>
      <c r="I4233" s="84">
        <v>44383.0</v>
      </c>
      <c r="J4233" s="65" t="b">
        <v>1</v>
      </c>
      <c r="K4233" s="65"/>
      <c r="L4233" s="85" t="b">
        <f>IF(VLOOKUP(C4233,Projetos!A:L,12,false)=TRUE,TRUE,FALSE)</f>
        <v>1</v>
      </c>
      <c r="M4233" s="74">
        <v>52.1518759018759</v>
      </c>
      <c r="N4233" s="74">
        <f t="shared" si="1"/>
        <v>78.22781385</v>
      </c>
      <c r="O4233" s="74" t="b">
        <v>1</v>
      </c>
    </row>
    <row r="4234" hidden="1">
      <c r="A4234" s="82"/>
      <c r="B4234" s="65" t="s">
        <v>467</v>
      </c>
      <c r="C4234" s="65" t="s">
        <v>130</v>
      </c>
      <c r="D4234" s="65" t="str">
        <f>vlookup(C4234,'Classificação p pessoal'!F:G,2,false)</f>
        <v>NP</v>
      </c>
      <c r="E4234" s="65" t="s">
        <v>3139</v>
      </c>
      <c r="F4234" s="83">
        <v>0.3541666666666667</v>
      </c>
      <c r="G4234" s="83">
        <v>0.3645833333333333</v>
      </c>
      <c r="H4234" s="83">
        <v>0.010416666666666666</v>
      </c>
      <c r="I4234" s="84">
        <v>44384.0</v>
      </c>
      <c r="J4234" s="65" t="b">
        <v>1</v>
      </c>
      <c r="K4234" s="65"/>
      <c r="L4234" s="85" t="b">
        <f>IF(VLOOKUP(C4234,Projetos!A:L,12,false)=TRUE,TRUE,FALSE)</f>
        <v>1</v>
      </c>
      <c r="M4234" s="74">
        <v>52.1518759018759</v>
      </c>
      <c r="N4234" s="74">
        <f t="shared" si="1"/>
        <v>13.03796898</v>
      </c>
      <c r="O4234" s="74" t="b">
        <v>1</v>
      </c>
    </row>
    <row r="4235" hidden="1">
      <c r="A4235" s="82"/>
      <c r="B4235" s="65" t="s">
        <v>467</v>
      </c>
      <c r="C4235" s="65" t="s">
        <v>113</v>
      </c>
      <c r="D4235" s="65" t="str">
        <f>vlookup(C4235,'Classificação p pessoal'!F:G,2,false)</f>
        <v>NP</v>
      </c>
      <c r="E4235" s="65" t="s">
        <v>3140</v>
      </c>
      <c r="F4235" s="83">
        <v>0.3958333333333333</v>
      </c>
      <c r="G4235" s="83">
        <v>0.5</v>
      </c>
      <c r="H4235" s="83">
        <v>0.10416666666666667</v>
      </c>
      <c r="I4235" s="84">
        <v>44384.0</v>
      </c>
      <c r="J4235" s="65" t="b">
        <v>1</v>
      </c>
      <c r="K4235" s="65"/>
      <c r="L4235" s="85" t="b">
        <f>IF(VLOOKUP(C4235,Projetos!A:L,12,false)=TRUE,TRUE,FALSE)</f>
        <v>1</v>
      </c>
      <c r="M4235" s="74">
        <v>52.1518759018759</v>
      </c>
      <c r="N4235" s="74">
        <f t="shared" si="1"/>
        <v>130.3796898</v>
      </c>
      <c r="O4235" s="74" t="b">
        <v>1</v>
      </c>
    </row>
    <row r="4236" hidden="1">
      <c r="A4236" s="82"/>
      <c r="B4236" s="65" t="s">
        <v>467</v>
      </c>
      <c r="C4236" s="65" t="s">
        <v>113</v>
      </c>
      <c r="D4236" s="65" t="str">
        <f>vlookup(C4236,'Classificação p pessoal'!F:G,2,false)</f>
        <v>NP</v>
      </c>
      <c r="E4236" s="65" t="s">
        <v>3141</v>
      </c>
      <c r="F4236" s="83">
        <v>0.5</v>
      </c>
      <c r="G4236" s="83">
        <v>0.5208333333333334</v>
      </c>
      <c r="H4236" s="83">
        <v>0.020833333333333332</v>
      </c>
      <c r="I4236" s="84">
        <v>44384.0</v>
      </c>
      <c r="J4236" s="65" t="b">
        <v>1</v>
      </c>
      <c r="K4236" s="65"/>
      <c r="L4236" s="85" t="b">
        <f>IF(VLOOKUP(C4236,Projetos!A:L,12,false)=TRUE,TRUE,FALSE)</f>
        <v>1</v>
      </c>
      <c r="M4236" s="74">
        <v>52.1518759018759</v>
      </c>
      <c r="N4236" s="74">
        <f t="shared" si="1"/>
        <v>26.07593795</v>
      </c>
      <c r="O4236" s="74" t="b">
        <v>1</v>
      </c>
    </row>
    <row r="4237" hidden="1">
      <c r="A4237" s="82"/>
      <c r="B4237" s="65" t="s">
        <v>467</v>
      </c>
      <c r="C4237" s="65" t="s">
        <v>92</v>
      </c>
      <c r="D4237" s="65" t="str">
        <f>vlookup(C4237,'Classificação p pessoal'!F:G,2,false)</f>
        <v/>
      </c>
      <c r="E4237" s="65" t="s">
        <v>3142</v>
      </c>
      <c r="F4237" s="83">
        <v>0.5833333333333334</v>
      </c>
      <c r="G4237" s="83">
        <v>0.59375</v>
      </c>
      <c r="H4237" s="83">
        <v>0.010416666666666666</v>
      </c>
      <c r="I4237" s="84">
        <v>44384.0</v>
      </c>
      <c r="J4237" s="65" t="b">
        <v>1</v>
      </c>
      <c r="K4237" s="65"/>
      <c r="L4237" s="85" t="b">
        <f>IF(VLOOKUP(C4237,Projetos!A:L,12,false)=TRUE,TRUE,FALSE)</f>
        <v>1</v>
      </c>
      <c r="M4237" s="74">
        <v>52.1518759018759</v>
      </c>
      <c r="N4237" s="74">
        <f t="shared" si="1"/>
        <v>13.03796898</v>
      </c>
      <c r="O4237" s="74" t="b">
        <v>1</v>
      </c>
    </row>
    <row r="4238" hidden="1">
      <c r="A4238" s="82"/>
      <c r="B4238" s="65" t="s">
        <v>467</v>
      </c>
      <c r="C4238" s="65" t="s">
        <v>88</v>
      </c>
      <c r="D4238" s="65"/>
      <c r="E4238" s="65" t="s">
        <v>3143</v>
      </c>
      <c r="F4238" s="83">
        <v>0.59375</v>
      </c>
      <c r="G4238" s="83">
        <v>0.625</v>
      </c>
      <c r="H4238" s="83">
        <v>0.03125</v>
      </c>
      <c r="I4238" s="84">
        <v>44384.0</v>
      </c>
      <c r="J4238" s="65" t="b">
        <v>0</v>
      </c>
      <c r="K4238" s="65" t="s">
        <v>150</v>
      </c>
      <c r="L4238" s="85" t="b">
        <f>IF(VLOOKUP(C4238,Projetos!A:L,12,false)=TRUE,TRUE,FALSE)</f>
        <v>1</v>
      </c>
      <c r="M4238" s="74">
        <v>52.1518759018759</v>
      </c>
      <c r="N4238" s="74">
        <f t="shared" si="1"/>
        <v>0</v>
      </c>
      <c r="O4238" s="74" t="b">
        <v>1</v>
      </c>
    </row>
    <row r="4239" hidden="1">
      <c r="A4239" s="82"/>
      <c r="B4239" s="65" t="s">
        <v>467</v>
      </c>
      <c r="C4239" s="65" t="s">
        <v>120</v>
      </c>
      <c r="D4239" s="65"/>
      <c r="E4239" s="65" t="s">
        <v>3095</v>
      </c>
      <c r="F4239" s="83">
        <v>0.625</v>
      </c>
      <c r="G4239" s="83">
        <v>0.7916666666666666</v>
      </c>
      <c r="H4239" s="83">
        <v>0.16666666666666666</v>
      </c>
      <c r="I4239" s="84">
        <v>44384.0</v>
      </c>
      <c r="J4239" s="65" t="b">
        <v>0</v>
      </c>
      <c r="K4239" s="65" t="s">
        <v>150</v>
      </c>
      <c r="L4239" s="85" t="b">
        <f>IF(VLOOKUP(C4239,Projetos!A:L,12,false)=TRUE,TRUE,FALSE)</f>
        <v>0</v>
      </c>
      <c r="M4239" s="74">
        <v>52.1518759018759</v>
      </c>
      <c r="N4239" s="74">
        <f t="shared" si="1"/>
        <v>0</v>
      </c>
      <c r="O4239" s="74" t="b">
        <v>0</v>
      </c>
    </row>
    <row r="4240" hidden="1">
      <c r="A4240" s="82"/>
      <c r="B4240" s="65" t="s">
        <v>467</v>
      </c>
      <c r="C4240" s="65" t="s">
        <v>113</v>
      </c>
      <c r="D4240" s="65" t="str">
        <f>vlookup(C4240,'Classificação p pessoal'!F:G,2,false)</f>
        <v>NP</v>
      </c>
      <c r="E4240" s="65" t="s">
        <v>3144</v>
      </c>
      <c r="F4240" s="83">
        <v>0.3472222222222222</v>
      </c>
      <c r="G4240" s="83">
        <v>0.4375</v>
      </c>
      <c r="H4240" s="83">
        <v>0.09027777777777778</v>
      </c>
      <c r="I4240" s="84">
        <v>44385.0</v>
      </c>
      <c r="J4240" s="65" t="b">
        <v>1</v>
      </c>
      <c r="K4240" s="65"/>
      <c r="L4240" s="85" t="b">
        <f>IF(VLOOKUP(C4240,Projetos!A:L,12,false)=TRUE,TRUE,FALSE)</f>
        <v>1</v>
      </c>
      <c r="M4240" s="74">
        <v>52.1518759018759</v>
      </c>
      <c r="N4240" s="74">
        <f t="shared" si="1"/>
        <v>112.9957311</v>
      </c>
      <c r="O4240" s="74" t="b">
        <v>1</v>
      </c>
    </row>
    <row r="4241" hidden="1">
      <c r="A4241" s="82"/>
      <c r="B4241" s="65" t="s">
        <v>467</v>
      </c>
      <c r="C4241" s="65" t="s">
        <v>92</v>
      </c>
      <c r="D4241" s="65"/>
      <c r="E4241" s="65" t="s">
        <v>3145</v>
      </c>
      <c r="F4241" s="83">
        <v>0.4375</v>
      </c>
      <c r="G4241" s="83">
        <v>0.4791666666666667</v>
      </c>
      <c r="H4241" s="83">
        <v>0.041666666666666664</v>
      </c>
      <c r="I4241" s="84">
        <v>44385.0</v>
      </c>
      <c r="J4241" s="65" t="b">
        <v>0</v>
      </c>
      <c r="K4241" s="65" t="s">
        <v>150</v>
      </c>
      <c r="L4241" s="85" t="b">
        <f>IF(VLOOKUP(C4241,Projetos!A:L,12,false)=TRUE,TRUE,FALSE)</f>
        <v>1</v>
      </c>
      <c r="M4241" s="74">
        <v>52.1518759018759</v>
      </c>
      <c r="N4241" s="74">
        <f t="shared" si="1"/>
        <v>0</v>
      </c>
      <c r="O4241" s="74" t="b">
        <v>1</v>
      </c>
    </row>
    <row r="4242" hidden="1">
      <c r="A4242" s="82"/>
      <c r="B4242" s="65" t="s">
        <v>467</v>
      </c>
      <c r="C4242" s="65" t="s">
        <v>88</v>
      </c>
      <c r="D4242" s="65" t="str">
        <f>vlookup(C4242,'Classificação p pessoal'!F:G,2,false)</f>
        <v>MProduto</v>
      </c>
      <c r="E4242" s="65" t="s">
        <v>3146</v>
      </c>
      <c r="F4242" s="83">
        <v>0.5833333333333334</v>
      </c>
      <c r="G4242" s="83">
        <v>0.625</v>
      </c>
      <c r="H4242" s="83">
        <v>0.041666666666666664</v>
      </c>
      <c r="I4242" s="84">
        <v>44385.0</v>
      </c>
      <c r="J4242" s="65" t="b">
        <v>1</v>
      </c>
      <c r="K4242" s="65"/>
      <c r="L4242" s="85" t="b">
        <f>IF(VLOOKUP(C4242,Projetos!A:L,12,false)=TRUE,TRUE,FALSE)</f>
        <v>1</v>
      </c>
      <c r="M4242" s="74">
        <v>52.1518759018759</v>
      </c>
      <c r="N4242" s="74">
        <f t="shared" si="1"/>
        <v>52.1518759</v>
      </c>
      <c r="O4242" s="74" t="b">
        <v>1</v>
      </c>
    </row>
    <row r="4243" hidden="1">
      <c r="A4243" s="82"/>
      <c r="B4243" s="65" t="s">
        <v>467</v>
      </c>
      <c r="C4243" s="65" t="s">
        <v>92</v>
      </c>
      <c r="D4243" s="65" t="str">
        <f>vlookup(C4243,'Classificação p pessoal'!F:G,2,false)</f>
        <v/>
      </c>
      <c r="E4243" s="65" t="s">
        <v>3147</v>
      </c>
      <c r="F4243" s="83">
        <v>0.4166666666666667</v>
      </c>
      <c r="G4243" s="83">
        <v>0.4583333333333333</v>
      </c>
      <c r="H4243" s="83">
        <v>0.041666666666666664</v>
      </c>
      <c r="I4243" s="84">
        <v>44386.0</v>
      </c>
      <c r="J4243" s="65" t="b">
        <v>1</v>
      </c>
      <c r="K4243" s="65"/>
      <c r="L4243" s="85" t="b">
        <f>IF(VLOOKUP(C4243,Projetos!A:L,12,false)=TRUE,TRUE,FALSE)</f>
        <v>1</v>
      </c>
      <c r="M4243" s="74">
        <v>52.1518759018759</v>
      </c>
      <c r="N4243" s="74">
        <f t="shared" si="1"/>
        <v>52.1518759</v>
      </c>
      <c r="O4243" s="74" t="b">
        <v>1</v>
      </c>
    </row>
    <row r="4244" hidden="1">
      <c r="A4244" s="82"/>
      <c r="B4244" s="65" t="s">
        <v>467</v>
      </c>
      <c r="C4244" s="65" t="s">
        <v>113</v>
      </c>
      <c r="D4244" s="65" t="str">
        <f>vlookup(C4244,'Classificação p pessoal'!F:G,2,false)</f>
        <v>NP</v>
      </c>
      <c r="E4244" s="65" t="s">
        <v>3148</v>
      </c>
      <c r="F4244" s="83">
        <v>0.5416666666666666</v>
      </c>
      <c r="G4244" s="83">
        <v>0.5833333333333334</v>
      </c>
      <c r="H4244" s="83">
        <v>0.041666666666666664</v>
      </c>
      <c r="I4244" s="84">
        <v>44386.0</v>
      </c>
      <c r="J4244" s="65" t="b">
        <v>1</v>
      </c>
      <c r="K4244" s="65"/>
      <c r="L4244" s="85" t="b">
        <f>IF(VLOOKUP(C4244,Projetos!A:L,12,false)=TRUE,TRUE,FALSE)</f>
        <v>1</v>
      </c>
      <c r="M4244" s="74">
        <v>52.1518759018759</v>
      </c>
      <c r="N4244" s="74">
        <f t="shared" si="1"/>
        <v>52.1518759</v>
      </c>
      <c r="O4244" s="74" t="b">
        <v>1</v>
      </c>
    </row>
    <row r="4245" hidden="1">
      <c r="A4245" s="82"/>
      <c r="B4245" s="65" t="s">
        <v>467</v>
      </c>
      <c r="C4245" s="65" t="s">
        <v>120</v>
      </c>
      <c r="D4245" s="65"/>
      <c r="E4245" s="65" t="s">
        <v>3095</v>
      </c>
      <c r="F4245" s="83">
        <v>0.625</v>
      </c>
      <c r="G4245" s="83">
        <v>0.7916666666666666</v>
      </c>
      <c r="H4245" s="83">
        <v>0.16666666666666666</v>
      </c>
      <c r="I4245" s="84">
        <v>44386.0</v>
      </c>
      <c r="J4245" s="65" t="b">
        <v>0</v>
      </c>
      <c r="K4245" s="65" t="s">
        <v>150</v>
      </c>
      <c r="L4245" s="85" t="b">
        <f>IF(VLOOKUP(C4245,Projetos!A:L,12,false)=TRUE,TRUE,FALSE)</f>
        <v>0</v>
      </c>
      <c r="M4245" s="74">
        <v>52.1518759018759</v>
      </c>
      <c r="N4245" s="74">
        <f t="shared" si="1"/>
        <v>0</v>
      </c>
      <c r="O4245" s="74" t="b">
        <v>0</v>
      </c>
    </row>
    <row r="4246" hidden="1">
      <c r="A4246" s="82"/>
      <c r="B4246" s="65" t="s">
        <v>467</v>
      </c>
      <c r="C4246" s="65" t="s">
        <v>88</v>
      </c>
      <c r="D4246" s="65"/>
      <c r="E4246" s="65" t="s">
        <v>3149</v>
      </c>
      <c r="F4246" s="83">
        <v>0.34375</v>
      </c>
      <c r="G4246" s="83">
        <v>0.4166666666666667</v>
      </c>
      <c r="H4246" s="83">
        <v>0.07291666666666667</v>
      </c>
      <c r="I4246" s="84">
        <v>44388.0</v>
      </c>
      <c r="J4246" s="65" t="b">
        <v>0</v>
      </c>
      <c r="K4246" s="65" t="s">
        <v>150</v>
      </c>
      <c r="L4246" s="85" t="b">
        <f>IF(VLOOKUP(C4246,Projetos!A:L,12,false)=TRUE,TRUE,FALSE)</f>
        <v>1</v>
      </c>
      <c r="M4246" s="74">
        <v>52.1518759018759</v>
      </c>
      <c r="N4246" s="74">
        <f t="shared" si="1"/>
        <v>0</v>
      </c>
      <c r="O4246" s="74" t="b">
        <v>1</v>
      </c>
    </row>
    <row r="4247" hidden="1">
      <c r="A4247" s="82"/>
      <c r="B4247" s="65" t="s">
        <v>467</v>
      </c>
      <c r="C4247" s="65" t="s">
        <v>122</v>
      </c>
      <c r="D4247" s="65" t="str">
        <f>vlookup(C4247,'Classificação p pessoal'!F:G,2,false)</f>
        <v>NP</v>
      </c>
      <c r="E4247" s="65" t="s">
        <v>3150</v>
      </c>
      <c r="F4247" s="83">
        <v>0.4166666666666667</v>
      </c>
      <c r="G4247" s="83">
        <v>0.4305555555555556</v>
      </c>
      <c r="H4247" s="83">
        <v>0.013888888888888888</v>
      </c>
      <c r="I4247" s="84">
        <v>44388.0</v>
      </c>
      <c r="J4247" s="65" t="b">
        <v>1</v>
      </c>
      <c r="K4247" s="65"/>
      <c r="L4247" s="85" t="b">
        <f>IF(VLOOKUP(C4247,Projetos!A:L,12,false)=TRUE,TRUE,FALSE)</f>
        <v>1</v>
      </c>
      <c r="M4247" s="74">
        <v>52.1518759018759</v>
      </c>
      <c r="N4247" s="74">
        <f t="shared" si="1"/>
        <v>17.38395863</v>
      </c>
      <c r="O4247" s="74" t="b">
        <v>1</v>
      </c>
    </row>
    <row r="4248" hidden="1">
      <c r="A4248" s="82"/>
      <c r="B4248" s="65" t="s">
        <v>467</v>
      </c>
      <c r="C4248" s="65" t="s">
        <v>120</v>
      </c>
      <c r="D4248" s="65"/>
      <c r="E4248" s="65" t="s">
        <v>3095</v>
      </c>
      <c r="F4248" s="83">
        <v>0.625</v>
      </c>
      <c r="G4248" s="83">
        <v>0.7916666666666666</v>
      </c>
      <c r="H4248" s="83">
        <v>0.16666666666666666</v>
      </c>
      <c r="I4248" s="84">
        <v>44388.0</v>
      </c>
      <c r="J4248" s="65" t="b">
        <v>0</v>
      </c>
      <c r="K4248" s="65" t="s">
        <v>150</v>
      </c>
      <c r="L4248" s="85" t="b">
        <f>IF(VLOOKUP(C4248,Projetos!A:L,12,false)=TRUE,TRUE,FALSE)</f>
        <v>0</v>
      </c>
      <c r="M4248" s="74">
        <v>52.1518759018759</v>
      </c>
      <c r="N4248" s="74">
        <f t="shared" si="1"/>
        <v>0</v>
      </c>
      <c r="O4248" s="74" t="b">
        <v>0</v>
      </c>
    </row>
    <row r="4249" hidden="1">
      <c r="A4249" s="82"/>
      <c r="B4249" s="65" t="s">
        <v>467</v>
      </c>
      <c r="C4249" s="65" t="s">
        <v>130</v>
      </c>
      <c r="D4249" s="65"/>
      <c r="E4249" s="65" t="s">
        <v>3151</v>
      </c>
      <c r="F4249" s="83">
        <v>0.34375</v>
      </c>
      <c r="G4249" s="83">
        <v>0.3645833333333333</v>
      </c>
      <c r="H4249" s="83">
        <v>0.020833333333333332</v>
      </c>
      <c r="I4249" s="84">
        <v>44389.0</v>
      </c>
      <c r="J4249" s="65" t="b">
        <v>0</v>
      </c>
      <c r="K4249" s="65" t="s">
        <v>150</v>
      </c>
      <c r="L4249" s="85" t="b">
        <f>IF(VLOOKUP(C4249,Projetos!A:L,12,false)=TRUE,TRUE,FALSE)</f>
        <v>1</v>
      </c>
      <c r="M4249" s="74">
        <v>52.1518759018759</v>
      </c>
      <c r="N4249" s="74">
        <f t="shared" si="1"/>
        <v>0</v>
      </c>
      <c r="O4249" s="74" t="b">
        <v>1</v>
      </c>
    </row>
    <row r="4250" hidden="1">
      <c r="A4250" s="82"/>
      <c r="B4250" s="65" t="s">
        <v>467</v>
      </c>
      <c r="C4250" s="65" t="s">
        <v>88</v>
      </c>
      <c r="D4250" s="65" t="str">
        <f>vlookup(C4250,'Classificação p pessoal'!F:G,2,false)</f>
        <v>MProduto</v>
      </c>
      <c r="E4250" s="65" t="s">
        <v>3152</v>
      </c>
      <c r="F4250" s="83">
        <v>0.4166666666666667</v>
      </c>
      <c r="G4250" s="83">
        <v>0.5</v>
      </c>
      <c r="H4250" s="83">
        <v>0.08333333333333333</v>
      </c>
      <c r="I4250" s="84">
        <v>44389.0</v>
      </c>
      <c r="J4250" s="65" t="b">
        <v>1</v>
      </c>
      <c r="K4250" s="65"/>
      <c r="L4250" s="85" t="b">
        <f>IF(VLOOKUP(C4250,Projetos!A:L,12,false)=TRUE,TRUE,FALSE)</f>
        <v>1</v>
      </c>
      <c r="M4250" s="74">
        <v>52.1518759018759</v>
      </c>
      <c r="N4250" s="74">
        <f t="shared" si="1"/>
        <v>104.3037518</v>
      </c>
      <c r="O4250" s="74" t="b">
        <v>1</v>
      </c>
    </row>
    <row r="4251" hidden="1">
      <c r="A4251" s="82"/>
      <c r="B4251" s="65" t="s">
        <v>467</v>
      </c>
      <c r="C4251" s="65" t="s">
        <v>120</v>
      </c>
      <c r="D4251" s="65"/>
      <c r="E4251" s="65" t="s">
        <v>3153</v>
      </c>
      <c r="F4251" s="83">
        <v>0.5833333333333334</v>
      </c>
      <c r="G4251" s="83">
        <v>0.7083333333333334</v>
      </c>
      <c r="H4251" s="83">
        <v>0.125</v>
      </c>
      <c r="I4251" s="84">
        <v>44389.0</v>
      </c>
      <c r="J4251" s="65" t="b">
        <v>0</v>
      </c>
      <c r="K4251" s="65" t="s">
        <v>150</v>
      </c>
      <c r="L4251" s="85" t="b">
        <f>IF(VLOOKUP(C4251,Projetos!A:L,12,false)=TRUE,TRUE,FALSE)</f>
        <v>0</v>
      </c>
      <c r="M4251" s="74">
        <v>52.1518759018759</v>
      </c>
      <c r="N4251" s="74">
        <f t="shared" si="1"/>
        <v>0</v>
      </c>
      <c r="O4251" s="74" t="b">
        <v>0</v>
      </c>
    </row>
    <row r="4252" hidden="1">
      <c r="A4252" s="82"/>
      <c r="B4252" s="65" t="s">
        <v>467</v>
      </c>
      <c r="C4252" s="65" t="s">
        <v>130</v>
      </c>
      <c r="D4252" s="65" t="str">
        <f>vlookup(C4252,'Classificação p pessoal'!F:G,2,false)</f>
        <v>NP</v>
      </c>
      <c r="E4252" s="65" t="s">
        <v>3154</v>
      </c>
      <c r="F4252" s="83">
        <v>0.7083333333333334</v>
      </c>
      <c r="G4252" s="83">
        <v>0.7291666666666666</v>
      </c>
      <c r="H4252" s="83">
        <v>0.020833333333333332</v>
      </c>
      <c r="I4252" s="84">
        <v>44389.0</v>
      </c>
      <c r="J4252" s="65" t="b">
        <v>1</v>
      </c>
      <c r="K4252" s="65"/>
      <c r="L4252" s="85" t="b">
        <f>IF(VLOOKUP(C4252,Projetos!A:L,12,false)=TRUE,TRUE,FALSE)</f>
        <v>1</v>
      </c>
      <c r="M4252" s="74">
        <v>52.1518759018759</v>
      </c>
      <c r="N4252" s="74">
        <f t="shared" si="1"/>
        <v>26.07593795</v>
      </c>
      <c r="O4252" s="74" t="b">
        <v>1</v>
      </c>
    </row>
    <row r="4253" hidden="1">
      <c r="A4253" s="82"/>
      <c r="B4253" s="65" t="s">
        <v>467</v>
      </c>
      <c r="C4253" s="65" t="s">
        <v>88</v>
      </c>
      <c r="D4253" s="65" t="str">
        <f>vlookup(C4253,'Classificação p pessoal'!F:G,2,false)</f>
        <v>MProduto</v>
      </c>
      <c r="E4253" s="65" t="s">
        <v>3155</v>
      </c>
      <c r="F4253" s="83">
        <v>0.3541666666666667</v>
      </c>
      <c r="G4253" s="83">
        <v>0.375</v>
      </c>
      <c r="H4253" s="83">
        <v>0.020833333333333332</v>
      </c>
      <c r="I4253" s="84">
        <v>44390.0</v>
      </c>
      <c r="J4253" s="65" t="b">
        <v>1</v>
      </c>
      <c r="K4253" s="65"/>
      <c r="L4253" s="85" t="b">
        <f>IF(VLOOKUP(C4253,Projetos!A:L,12,false)=TRUE,TRUE,FALSE)</f>
        <v>1</v>
      </c>
      <c r="M4253" s="74">
        <v>52.1518759018759</v>
      </c>
      <c r="N4253" s="74">
        <f t="shared" si="1"/>
        <v>26.07593795</v>
      </c>
      <c r="O4253" s="74" t="b">
        <v>1</v>
      </c>
    </row>
    <row r="4254" hidden="1">
      <c r="A4254" s="82"/>
      <c r="B4254" s="65" t="s">
        <v>467</v>
      </c>
      <c r="C4254" s="65" t="s">
        <v>122</v>
      </c>
      <c r="D4254" s="65" t="str">
        <f>vlookup(C4254,'Classificação p pessoal'!F:G,2,false)</f>
        <v>NP</v>
      </c>
      <c r="E4254" s="65" t="s">
        <v>3156</v>
      </c>
      <c r="F4254" s="83">
        <v>0.375</v>
      </c>
      <c r="G4254" s="83">
        <v>0.3958333333333333</v>
      </c>
      <c r="H4254" s="83">
        <v>0.020833333333333332</v>
      </c>
      <c r="I4254" s="84">
        <v>44390.0</v>
      </c>
      <c r="J4254" s="65" t="b">
        <v>1</v>
      </c>
      <c r="K4254" s="65"/>
      <c r="L4254" s="85" t="b">
        <f>IF(VLOOKUP(C4254,Projetos!A:L,12,false)=TRUE,TRUE,FALSE)</f>
        <v>1</v>
      </c>
      <c r="M4254" s="74">
        <v>52.1518759018759</v>
      </c>
      <c r="N4254" s="74">
        <f t="shared" si="1"/>
        <v>26.07593795</v>
      </c>
      <c r="O4254" s="74" t="b">
        <v>1</v>
      </c>
    </row>
    <row r="4255" hidden="1">
      <c r="A4255" s="82"/>
      <c r="B4255" s="65" t="s">
        <v>467</v>
      </c>
      <c r="C4255" s="65" t="s">
        <v>88</v>
      </c>
      <c r="D4255" s="65" t="str">
        <f>vlookup(C4255,'Classificação p pessoal'!F:G,2,false)</f>
        <v>MProduto</v>
      </c>
      <c r="E4255" s="65" t="s">
        <v>3157</v>
      </c>
      <c r="F4255" s="83">
        <v>0.4166666666666667</v>
      </c>
      <c r="G4255" s="83">
        <v>0.5</v>
      </c>
      <c r="H4255" s="83">
        <v>0.08333333333333333</v>
      </c>
      <c r="I4255" s="84">
        <v>44390.0</v>
      </c>
      <c r="J4255" s="65" t="b">
        <v>1</v>
      </c>
      <c r="K4255" s="65"/>
      <c r="L4255" s="85" t="b">
        <f>IF(VLOOKUP(C4255,Projetos!A:L,12,false)=TRUE,TRUE,FALSE)</f>
        <v>1</v>
      </c>
      <c r="M4255" s="74">
        <v>52.1518759018759</v>
      </c>
      <c r="N4255" s="74">
        <f t="shared" si="1"/>
        <v>104.3037518</v>
      </c>
      <c r="O4255" s="74" t="b">
        <v>1</v>
      </c>
    </row>
    <row r="4256" hidden="1">
      <c r="A4256" s="82"/>
      <c r="B4256" s="65" t="s">
        <v>467</v>
      </c>
      <c r="C4256" s="65" t="s">
        <v>92</v>
      </c>
      <c r="D4256" s="65" t="str">
        <f>vlookup(C4256,'Classificação p pessoal'!F:G,2,false)</f>
        <v/>
      </c>
      <c r="E4256" s="65" t="s">
        <v>3158</v>
      </c>
      <c r="F4256" s="83">
        <v>0.5416666666666666</v>
      </c>
      <c r="G4256" s="83">
        <v>0.5833333333333334</v>
      </c>
      <c r="H4256" s="83">
        <v>0.041666666666666664</v>
      </c>
      <c r="I4256" s="84">
        <v>44390.0</v>
      </c>
      <c r="J4256" s="65" t="b">
        <v>1</v>
      </c>
      <c r="K4256" s="65"/>
      <c r="L4256" s="85" t="b">
        <f>IF(VLOOKUP(C4256,Projetos!A:L,12,false)=TRUE,TRUE,FALSE)</f>
        <v>1</v>
      </c>
      <c r="M4256" s="74">
        <v>52.1518759018759</v>
      </c>
      <c r="N4256" s="74">
        <f t="shared" si="1"/>
        <v>52.1518759</v>
      </c>
      <c r="O4256" s="74" t="b">
        <v>1</v>
      </c>
    </row>
    <row r="4257" hidden="1">
      <c r="A4257" s="82"/>
      <c r="B4257" s="65" t="s">
        <v>467</v>
      </c>
      <c r="C4257" s="65" t="s">
        <v>92</v>
      </c>
      <c r="D4257" s="65" t="str">
        <f>vlookup(C4257,'Classificação p pessoal'!F:G,2,false)</f>
        <v/>
      </c>
      <c r="E4257" s="65" t="s">
        <v>3159</v>
      </c>
      <c r="F4257" s="83">
        <v>0.5833333333333334</v>
      </c>
      <c r="G4257" s="83">
        <v>0.59375</v>
      </c>
      <c r="H4257" s="83">
        <v>0.010416666666666666</v>
      </c>
      <c r="I4257" s="84">
        <v>44390.0</v>
      </c>
      <c r="J4257" s="65" t="b">
        <v>1</v>
      </c>
      <c r="K4257" s="65"/>
      <c r="L4257" s="85" t="b">
        <f>IF(VLOOKUP(C4257,Projetos!A:L,12,false)=TRUE,TRUE,FALSE)</f>
        <v>1</v>
      </c>
      <c r="M4257" s="74">
        <v>52.1518759018759</v>
      </c>
      <c r="N4257" s="74">
        <f t="shared" si="1"/>
        <v>13.03796898</v>
      </c>
      <c r="O4257" s="74" t="b">
        <v>1</v>
      </c>
    </row>
    <row r="4258" hidden="1">
      <c r="A4258" s="82"/>
      <c r="B4258" s="65" t="s">
        <v>467</v>
      </c>
      <c r="C4258" s="65" t="s">
        <v>92</v>
      </c>
      <c r="D4258" s="65" t="str">
        <f>vlookup(C4258,'Classificação p pessoal'!F:G,2,false)</f>
        <v/>
      </c>
      <c r="E4258" s="65" t="s">
        <v>3160</v>
      </c>
      <c r="F4258" s="83">
        <v>0.375</v>
      </c>
      <c r="G4258" s="83">
        <v>0.4166666666666667</v>
      </c>
      <c r="H4258" s="83">
        <v>0.041666666666666664</v>
      </c>
      <c r="I4258" s="84">
        <v>44391.0</v>
      </c>
      <c r="J4258" s="65" t="b">
        <v>1</v>
      </c>
      <c r="K4258" s="65"/>
      <c r="L4258" s="85" t="b">
        <f>IF(VLOOKUP(C4258,Projetos!A:L,12,false)=TRUE,TRUE,FALSE)</f>
        <v>1</v>
      </c>
      <c r="M4258" s="74">
        <v>52.1518759018759</v>
      </c>
      <c r="N4258" s="74">
        <f t="shared" si="1"/>
        <v>52.1518759</v>
      </c>
      <c r="O4258" s="74" t="b">
        <v>1</v>
      </c>
    </row>
    <row r="4259" hidden="1">
      <c r="A4259" s="82"/>
      <c r="B4259" s="65" t="s">
        <v>467</v>
      </c>
      <c r="C4259" s="65" t="s">
        <v>117</v>
      </c>
      <c r="D4259" s="65" t="str">
        <f>vlookup(C4259,'Classificação p pessoal'!F:G,2,false)</f>
        <v>NP</v>
      </c>
      <c r="E4259" s="65" t="s">
        <v>3161</v>
      </c>
      <c r="F4259" s="83">
        <v>0.4166666666666667</v>
      </c>
      <c r="G4259" s="83">
        <v>0.5</v>
      </c>
      <c r="H4259" s="83">
        <v>0.08333333333333333</v>
      </c>
      <c r="I4259" s="84">
        <v>44391.0</v>
      </c>
      <c r="J4259" s="65" t="b">
        <v>1</v>
      </c>
      <c r="K4259" s="65"/>
      <c r="L4259" s="85" t="b">
        <f>IF(VLOOKUP(C4259,Projetos!A:L,12,false)=TRUE,TRUE,FALSE)</f>
        <v>1</v>
      </c>
      <c r="M4259" s="74">
        <v>52.1518759018759</v>
      </c>
      <c r="N4259" s="74">
        <f t="shared" si="1"/>
        <v>104.3037518</v>
      </c>
      <c r="O4259" s="74" t="b">
        <v>1</v>
      </c>
    </row>
    <row r="4260" hidden="1">
      <c r="A4260" s="82"/>
      <c r="B4260" s="65" t="s">
        <v>467</v>
      </c>
      <c r="C4260" s="65" t="s">
        <v>117</v>
      </c>
      <c r="D4260" s="65" t="str">
        <f>vlookup(C4260,'Classificação p pessoal'!F:G,2,false)</f>
        <v>NP</v>
      </c>
      <c r="E4260" s="65" t="s">
        <v>3161</v>
      </c>
      <c r="F4260" s="83">
        <v>0.5416666666666666</v>
      </c>
      <c r="G4260" s="83">
        <v>0.625</v>
      </c>
      <c r="H4260" s="83">
        <v>0.08333333333333333</v>
      </c>
      <c r="I4260" s="84">
        <v>44391.0</v>
      </c>
      <c r="J4260" s="65" t="b">
        <v>1</v>
      </c>
      <c r="K4260" s="65"/>
      <c r="L4260" s="85" t="b">
        <f>IF(VLOOKUP(C4260,Projetos!A:L,12,false)=TRUE,TRUE,FALSE)</f>
        <v>1</v>
      </c>
      <c r="M4260" s="74">
        <v>52.1518759018759</v>
      </c>
      <c r="N4260" s="74">
        <f t="shared" si="1"/>
        <v>104.3037518</v>
      </c>
      <c r="O4260" s="74" t="b">
        <v>1</v>
      </c>
    </row>
    <row r="4261" hidden="1">
      <c r="A4261" s="82"/>
      <c r="B4261" s="65" t="s">
        <v>467</v>
      </c>
      <c r="C4261" s="65" t="s">
        <v>120</v>
      </c>
      <c r="D4261" s="65"/>
      <c r="E4261" s="65" t="s">
        <v>3095</v>
      </c>
      <c r="F4261" s="83">
        <v>0.625</v>
      </c>
      <c r="G4261" s="83">
        <v>0.7916666666666666</v>
      </c>
      <c r="H4261" s="83">
        <v>0.16666666666666666</v>
      </c>
      <c r="I4261" s="84">
        <v>44391.0</v>
      </c>
      <c r="J4261" s="65" t="b">
        <v>0</v>
      </c>
      <c r="K4261" s="65" t="s">
        <v>150</v>
      </c>
      <c r="L4261" s="85" t="b">
        <f>IF(VLOOKUP(C4261,Projetos!A:L,12,false)=TRUE,TRUE,FALSE)</f>
        <v>0</v>
      </c>
      <c r="M4261" s="74">
        <v>52.1518759018759</v>
      </c>
      <c r="N4261" s="74">
        <f t="shared" si="1"/>
        <v>0</v>
      </c>
      <c r="O4261" s="74" t="b">
        <v>0</v>
      </c>
    </row>
    <row r="4262" hidden="1">
      <c r="A4262" s="82"/>
      <c r="B4262" s="65" t="s">
        <v>467</v>
      </c>
      <c r="C4262" s="65" t="s">
        <v>88</v>
      </c>
      <c r="D4262" s="65" t="str">
        <f>vlookup(C4262,'Classificação p pessoal'!F:G,2,false)</f>
        <v>MProduto</v>
      </c>
      <c r="E4262" s="65" t="s">
        <v>3162</v>
      </c>
      <c r="F4262" s="83">
        <v>0.34375</v>
      </c>
      <c r="G4262" s="83">
        <v>0.3958333333333333</v>
      </c>
      <c r="H4262" s="83">
        <v>0.052083333333333336</v>
      </c>
      <c r="I4262" s="84">
        <v>44392.0</v>
      </c>
      <c r="J4262" s="65" t="b">
        <v>1</v>
      </c>
      <c r="K4262" s="65"/>
      <c r="L4262" s="85" t="b">
        <f>IF(VLOOKUP(C4262,Projetos!A:L,12,false)=TRUE,TRUE,FALSE)</f>
        <v>1</v>
      </c>
      <c r="M4262" s="74">
        <v>52.1518759018759</v>
      </c>
      <c r="N4262" s="74">
        <f t="shared" si="1"/>
        <v>65.18984488</v>
      </c>
      <c r="O4262" s="74" t="b">
        <v>1</v>
      </c>
    </row>
    <row r="4263" hidden="1">
      <c r="A4263" s="82"/>
      <c r="B4263" s="65" t="s">
        <v>467</v>
      </c>
      <c r="C4263" s="65" t="s">
        <v>130</v>
      </c>
      <c r="D4263" s="65" t="str">
        <f>vlookup(C4263,'Classificação p pessoal'!F:G,2,false)</f>
        <v>NP</v>
      </c>
      <c r="E4263" s="65" t="s">
        <v>3163</v>
      </c>
      <c r="F4263" s="83">
        <v>0.4166666666666667</v>
      </c>
      <c r="G4263" s="83">
        <v>0.4375</v>
      </c>
      <c r="H4263" s="83">
        <v>0.020833333333333332</v>
      </c>
      <c r="I4263" s="84">
        <v>44392.0</v>
      </c>
      <c r="J4263" s="65" t="b">
        <v>1</v>
      </c>
      <c r="K4263" s="65"/>
      <c r="L4263" s="85" t="b">
        <f>IF(VLOOKUP(C4263,Projetos!A:L,12,false)=TRUE,TRUE,FALSE)</f>
        <v>1</v>
      </c>
      <c r="M4263" s="74">
        <v>52.1518759018759</v>
      </c>
      <c r="N4263" s="74">
        <f t="shared" si="1"/>
        <v>26.07593795</v>
      </c>
      <c r="O4263" s="74" t="b">
        <v>1</v>
      </c>
    </row>
    <row r="4264" hidden="1">
      <c r="A4264" s="82"/>
      <c r="B4264" s="65" t="s">
        <v>467</v>
      </c>
      <c r="C4264" s="65" t="s">
        <v>130</v>
      </c>
      <c r="D4264" s="65" t="str">
        <f>vlookup(C4264,'Classificação p pessoal'!F:G,2,false)</f>
        <v>NP</v>
      </c>
      <c r="E4264" s="65" t="s">
        <v>3164</v>
      </c>
      <c r="F4264" s="83">
        <v>0.4375</v>
      </c>
      <c r="G4264" s="83">
        <v>0.5208333333333334</v>
      </c>
      <c r="H4264" s="83">
        <v>0.08333333333333333</v>
      </c>
      <c r="I4264" s="84">
        <v>44392.0</v>
      </c>
      <c r="J4264" s="65" t="b">
        <v>1</v>
      </c>
      <c r="K4264" s="65"/>
      <c r="L4264" s="85" t="b">
        <f>IF(VLOOKUP(C4264,Projetos!A:L,12,false)=TRUE,TRUE,FALSE)</f>
        <v>1</v>
      </c>
      <c r="M4264" s="74">
        <v>52.1518759018759</v>
      </c>
      <c r="N4264" s="74">
        <f t="shared" si="1"/>
        <v>104.3037518</v>
      </c>
      <c r="O4264" s="74" t="b">
        <v>1</v>
      </c>
    </row>
    <row r="4265" hidden="1">
      <c r="A4265" s="82"/>
      <c r="B4265" s="65" t="s">
        <v>467</v>
      </c>
      <c r="C4265" s="65" t="s">
        <v>130</v>
      </c>
      <c r="D4265" s="65" t="str">
        <f>vlookup(C4265,'Classificação p pessoal'!F:G,2,false)</f>
        <v>NP</v>
      </c>
      <c r="E4265" s="65" t="s">
        <v>3165</v>
      </c>
      <c r="F4265" s="83">
        <v>0.5625</v>
      </c>
      <c r="G4265" s="83">
        <v>0.6666666666666666</v>
      </c>
      <c r="H4265" s="83">
        <v>0.10416666666666667</v>
      </c>
      <c r="I4265" s="84">
        <v>44392.0</v>
      </c>
      <c r="J4265" s="65" t="b">
        <v>1</v>
      </c>
      <c r="K4265" s="65"/>
      <c r="L4265" s="85" t="b">
        <f>IF(VLOOKUP(C4265,Projetos!A:L,12,false)=TRUE,TRUE,FALSE)</f>
        <v>1</v>
      </c>
      <c r="M4265" s="74">
        <v>52.1518759018759</v>
      </c>
      <c r="N4265" s="74">
        <f t="shared" si="1"/>
        <v>130.3796898</v>
      </c>
      <c r="O4265" s="74" t="b">
        <v>1</v>
      </c>
    </row>
    <row r="4266" hidden="1">
      <c r="A4266" s="82"/>
      <c r="B4266" s="65" t="s">
        <v>467</v>
      </c>
      <c r="C4266" s="65" t="s">
        <v>113</v>
      </c>
      <c r="D4266" s="65" t="str">
        <f>vlookup(C4266,'Classificação p pessoal'!F:G,2,false)</f>
        <v>NP</v>
      </c>
      <c r="E4266" s="65" t="s">
        <v>3166</v>
      </c>
      <c r="F4266" s="83">
        <v>0.6666666666666666</v>
      </c>
      <c r="G4266" s="83">
        <v>0.75</v>
      </c>
      <c r="H4266" s="83">
        <v>0.08333333333333333</v>
      </c>
      <c r="I4266" s="84">
        <v>44392.0</v>
      </c>
      <c r="J4266" s="65" t="b">
        <v>1</v>
      </c>
      <c r="K4266" s="65"/>
      <c r="L4266" s="85" t="b">
        <f>IF(VLOOKUP(C4266,Projetos!A:L,12,false)=TRUE,TRUE,FALSE)</f>
        <v>1</v>
      </c>
      <c r="M4266" s="74">
        <v>52.1518759018759</v>
      </c>
      <c r="N4266" s="74">
        <f t="shared" si="1"/>
        <v>104.3037518</v>
      </c>
      <c r="O4266" s="74" t="b">
        <v>1</v>
      </c>
    </row>
    <row r="4267" hidden="1">
      <c r="A4267" s="82"/>
      <c r="B4267" s="65" t="s">
        <v>467</v>
      </c>
      <c r="C4267" s="65" t="s">
        <v>113</v>
      </c>
      <c r="D4267" s="65" t="str">
        <f>vlookup(C4267,'Classificação p pessoal'!F:G,2,false)</f>
        <v>NP</v>
      </c>
      <c r="E4267" s="65" t="s">
        <v>3167</v>
      </c>
      <c r="F4267" s="83">
        <v>0.34375</v>
      </c>
      <c r="G4267" s="83">
        <v>0.3854166666666667</v>
      </c>
      <c r="H4267" s="83">
        <v>0.041666666666666664</v>
      </c>
      <c r="I4267" s="84">
        <v>44393.0</v>
      </c>
      <c r="J4267" s="65" t="b">
        <v>1</v>
      </c>
      <c r="K4267" s="65"/>
      <c r="L4267" s="85" t="b">
        <f>IF(VLOOKUP(C4267,Projetos!A:L,12,false)=TRUE,TRUE,FALSE)</f>
        <v>1</v>
      </c>
      <c r="M4267" s="74">
        <v>52.1518759018759</v>
      </c>
      <c r="N4267" s="74">
        <f t="shared" si="1"/>
        <v>52.1518759</v>
      </c>
      <c r="O4267" s="74" t="b">
        <v>1</v>
      </c>
    </row>
    <row r="4268" hidden="1">
      <c r="A4268" s="82"/>
      <c r="B4268" s="65" t="s">
        <v>467</v>
      </c>
      <c r="C4268" s="65" t="s">
        <v>130</v>
      </c>
      <c r="D4268" s="65" t="str">
        <f>vlookup(C4268,'Classificação p pessoal'!F:G,2,false)</f>
        <v>NP</v>
      </c>
      <c r="E4268" s="65" t="s">
        <v>3168</v>
      </c>
      <c r="F4268" s="83">
        <v>0.4166666666666667</v>
      </c>
      <c r="G4268" s="83">
        <v>0.4791666666666667</v>
      </c>
      <c r="H4268" s="83">
        <v>0.0625</v>
      </c>
      <c r="I4268" s="84">
        <v>44393.0</v>
      </c>
      <c r="J4268" s="65" t="b">
        <v>1</v>
      </c>
      <c r="K4268" s="65"/>
      <c r="L4268" s="85" t="b">
        <f>IF(VLOOKUP(C4268,Projetos!A:L,12,false)=TRUE,TRUE,FALSE)</f>
        <v>1</v>
      </c>
      <c r="M4268" s="74">
        <v>52.1518759018759</v>
      </c>
      <c r="N4268" s="74">
        <f t="shared" si="1"/>
        <v>78.22781385</v>
      </c>
      <c r="O4268" s="74" t="b">
        <v>1</v>
      </c>
    </row>
    <row r="4269" hidden="1">
      <c r="A4269" s="82"/>
      <c r="B4269" s="65" t="s">
        <v>467</v>
      </c>
      <c r="C4269" s="65" t="s">
        <v>130</v>
      </c>
      <c r="D4269" s="65" t="str">
        <f>vlookup(C4269,'Classificação p pessoal'!F:G,2,false)</f>
        <v>NP</v>
      </c>
      <c r="E4269" s="65" t="s">
        <v>3169</v>
      </c>
      <c r="F4269" s="83">
        <v>0.4791666666666667</v>
      </c>
      <c r="G4269" s="83">
        <v>0.5208333333333334</v>
      </c>
      <c r="H4269" s="83">
        <v>0.041666666666666664</v>
      </c>
      <c r="I4269" s="84">
        <v>44393.0</v>
      </c>
      <c r="J4269" s="65" t="b">
        <v>1</v>
      </c>
      <c r="K4269" s="65"/>
      <c r="L4269" s="85" t="b">
        <f>IF(VLOOKUP(C4269,Projetos!A:L,12,false)=TRUE,TRUE,FALSE)</f>
        <v>1</v>
      </c>
      <c r="M4269" s="74">
        <v>52.1518759018759</v>
      </c>
      <c r="N4269" s="74">
        <f t="shared" si="1"/>
        <v>52.1518759</v>
      </c>
      <c r="O4269" s="74" t="b">
        <v>1</v>
      </c>
    </row>
    <row r="4270" hidden="1">
      <c r="A4270" s="82"/>
      <c r="B4270" s="65" t="s">
        <v>467</v>
      </c>
      <c r="C4270" s="65" t="s">
        <v>120</v>
      </c>
      <c r="D4270" s="65"/>
      <c r="E4270" s="65" t="s">
        <v>3095</v>
      </c>
      <c r="F4270" s="83">
        <v>0.625</v>
      </c>
      <c r="G4270" s="83">
        <v>0.7916666666666666</v>
      </c>
      <c r="H4270" s="83">
        <v>0.16666666666666666</v>
      </c>
      <c r="I4270" s="84">
        <v>44393.0</v>
      </c>
      <c r="J4270" s="65" t="b">
        <v>0</v>
      </c>
      <c r="K4270" s="65" t="s">
        <v>150</v>
      </c>
      <c r="L4270" s="85" t="b">
        <f>IF(VLOOKUP(C4270,Projetos!A:L,12,false)=TRUE,TRUE,FALSE)</f>
        <v>0</v>
      </c>
      <c r="M4270" s="74">
        <v>52.1518759018759</v>
      </c>
      <c r="N4270" s="74">
        <f t="shared" si="1"/>
        <v>0</v>
      </c>
      <c r="O4270" s="74" t="b">
        <v>0</v>
      </c>
    </row>
    <row r="4271" hidden="1">
      <c r="A4271" s="82"/>
      <c r="B4271" s="65" t="s">
        <v>467</v>
      </c>
      <c r="C4271" s="65" t="s">
        <v>92</v>
      </c>
      <c r="D4271" s="65" t="str">
        <f>vlookup(C4271,'Classificação p pessoal'!F:G,2,false)</f>
        <v/>
      </c>
      <c r="E4271" s="65" t="s">
        <v>3170</v>
      </c>
      <c r="F4271" s="83">
        <v>0.3541666666666667</v>
      </c>
      <c r="G4271" s="83">
        <v>0.375</v>
      </c>
      <c r="H4271" s="83">
        <v>0.020833333333333332</v>
      </c>
      <c r="I4271" s="84">
        <v>44396.0</v>
      </c>
      <c r="J4271" s="65" t="b">
        <v>1</v>
      </c>
      <c r="K4271" s="65"/>
      <c r="L4271" s="85" t="b">
        <f>IF(VLOOKUP(C4271,Projetos!A:L,12,false)=TRUE,TRUE,FALSE)</f>
        <v>1</v>
      </c>
      <c r="M4271" s="74">
        <v>52.1518759018759</v>
      </c>
      <c r="N4271" s="74">
        <f t="shared" si="1"/>
        <v>26.07593795</v>
      </c>
      <c r="O4271" s="74" t="b">
        <v>1</v>
      </c>
    </row>
    <row r="4272" hidden="1">
      <c r="A4272" s="82"/>
      <c r="B4272" s="65" t="s">
        <v>467</v>
      </c>
      <c r="C4272" s="65" t="s">
        <v>120</v>
      </c>
      <c r="D4272" s="65"/>
      <c r="E4272" s="65" t="s">
        <v>3095</v>
      </c>
      <c r="F4272" s="83">
        <v>0.625</v>
      </c>
      <c r="G4272" s="83">
        <v>0.7916666666666666</v>
      </c>
      <c r="H4272" s="83">
        <v>0.16666666666666666</v>
      </c>
      <c r="I4272" s="84">
        <v>44396.0</v>
      </c>
      <c r="J4272" s="65" t="b">
        <v>0</v>
      </c>
      <c r="K4272" s="65" t="s">
        <v>150</v>
      </c>
      <c r="L4272" s="85" t="b">
        <f>IF(VLOOKUP(C4272,Projetos!A:L,12,false)=TRUE,TRUE,FALSE)</f>
        <v>0</v>
      </c>
      <c r="M4272" s="74">
        <v>52.1518759018759</v>
      </c>
      <c r="N4272" s="74">
        <f t="shared" si="1"/>
        <v>0</v>
      </c>
      <c r="O4272" s="74" t="b">
        <v>0</v>
      </c>
    </row>
    <row r="4273" hidden="1">
      <c r="A4273" s="82"/>
      <c r="B4273" s="65" t="s">
        <v>467</v>
      </c>
      <c r="C4273" s="65" t="s">
        <v>92</v>
      </c>
      <c r="D4273" s="65"/>
      <c r="E4273" s="65" t="s">
        <v>3171</v>
      </c>
      <c r="F4273" s="83">
        <v>0.375</v>
      </c>
      <c r="G4273" s="83">
        <v>0.4583333333333333</v>
      </c>
      <c r="H4273" s="83">
        <v>0.08333333333333333</v>
      </c>
      <c r="I4273" s="84">
        <v>44397.0</v>
      </c>
      <c r="J4273" s="65" t="b">
        <v>0</v>
      </c>
      <c r="K4273" s="65" t="s">
        <v>150</v>
      </c>
      <c r="L4273" s="85" t="b">
        <f>IF(VLOOKUP(C4273,Projetos!A:L,12,false)=TRUE,TRUE,FALSE)</f>
        <v>1</v>
      </c>
      <c r="M4273" s="74">
        <v>52.1518759018759</v>
      </c>
      <c r="N4273" s="74">
        <f t="shared" si="1"/>
        <v>0</v>
      </c>
      <c r="O4273" s="74" t="b">
        <v>1</v>
      </c>
    </row>
    <row r="4274" hidden="1">
      <c r="A4274" s="82"/>
      <c r="B4274" s="65" t="s">
        <v>467</v>
      </c>
      <c r="C4274" s="65" t="s">
        <v>92</v>
      </c>
      <c r="D4274" s="65" t="str">
        <f>vlookup(C4274,'Classificação p pessoal'!F:G,2,false)</f>
        <v/>
      </c>
      <c r="E4274" s="65" t="s">
        <v>3172</v>
      </c>
      <c r="F4274" s="83">
        <v>0.4583333333333333</v>
      </c>
      <c r="G4274" s="83">
        <v>0.5</v>
      </c>
      <c r="H4274" s="83">
        <v>0.041666666666666664</v>
      </c>
      <c r="I4274" s="84">
        <v>44397.0</v>
      </c>
      <c r="J4274" s="65" t="b">
        <v>1</v>
      </c>
      <c r="K4274" s="65"/>
      <c r="L4274" s="85" t="b">
        <f>IF(VLOOKUP(C4274,Projetos!A:L,12,false)=TRUE,TRUE,FALSE)</f>
        <v>1</v>
      </c>
      <c r="M4274" s="74">
        <v>52.1518759018759</v>
      </c>
      <c r="N4274" s="74">
        <f t="shared" si="1"/>
        <v>52.1518759</v>
      </c>
      <c r="O4274" s="74" t="b">
        <v>1</v>
      </c>
    </row>
    <row r="4275" hidden="1">
      <c r="A4275" s="82"/>
      <c r="B4275" s="65" t="s">
        <v>467</v>
      </c>
      <c r="C4275" s="65" t="s">
        <v>113</v>
      </c>
      <c r="D4275" s="65" t="str">
        <f>vlookup(C4275,'Classificação p pessoal'!F:G,2,false)</f>
        <v>NP</v>
      </c>
      <c r="E4275" s="65" t="s">
        <v>3173</v>
      </c>
      <c r="F4275" s="83">
        <v>0.5625</v>
      </c>
      <c r="G4275" s="83">
        <v>0.6041666666666666</v>
      </c>
      <c r="H4275" s="83">
        <v>0.041666666666666664</v>
      </c>
      <c r="I4275" s="84">
        <v>44397.0</v>
      </c>
      <c r="J4275" s="65" t="b">
        <v>1</v>
      </c>
      <c r="K4275" s="65"/>
      <c r="L4275" s="85" t="b">
        <f>IF(VLOOKUP(C4275,Projetos!A:L,12,false)=TRUE,TRUE,FALSE)</f>
        <v>1</v>
      </c>
      <c r="M4275" s="74">
        <v>52.1518759018759</v>
      </c>
      <c r="N4275" s="74">
        <f t="shared" si="1"/>
        <v>52.1518759</v>
      </c>
      <c r="O4275" s="74" t="b">
        <v>1</v>
      </c>
    </row>
    <row r="4276" hidden="1">
      <c r="A4276" s="82"/>
      <c r="B4276" s="65" t="s">
        <v>467</v>
      </c>
      <c r="C4276" s="65" t="s">
        <v>113</v>
      </c>
      <c r="D4276" s="65" t="str">
        <f>vlookup(C4276,'Classificação p pessoal'!F:G,2,false)</f>
        <v>NP</v>
      </c>
      <c r="E4276" s="65" t="s">
        <v>3174</v>
      </c>
      <c r="F4276" s="83">
        <v>0.625</v>
      </c>
      <c r="G4276" s="83">
        <v>0.6666666666666666</v>
      </c>
      <c r="H4276" s="83">
        <v>0.041666666666666664</v>
      </c>
      <c r="I4276" s="84">
        <v>44397.0</v>
      </c>
      <c r="J4276" s="65" t="b">
        <v>1</v>
      </c>
      <c r="K4276" s="65"/>
      <c r="L4276" s="85" t="b">
        <f>IF(VLOOKUP(C4276,Projetos!A:L,12,false)=TRUE,TRUE,FALSE)</f>
        <v>1</v>
      </c>
      <c r="M4276" s="74">
        <v>52.1518759018759</v>
      </c>
      <c r="N4276" s="74">
        <f t="shared" si="1"/>
        <v>52.1518759</v>
      </c>
      <c r="O4276" s="74" t="b">
        <v>1</v>
      </c>
    </row>
    <row r="4277" hidden="1">
      <c r="A4277" s="82"/>
      <c r="B4277" s="65" t="s">
        <v>467</v>
      </c>
      <c r="C4277" s="65" t="s">
        <v>130</v>
      </c>
      <c r="D4277" s="65" t="str">
        <f>vlookup(C4277,'Classificação p pessoal'!F:G,2,false)</f>
        <v>NP</v>
      </c>
      <c r="E4277" s="65" t="s">
        <v>3175</v>
      </c>
      <c r="F4277" s="83">
        <v>0.3541666666666667</v>
      </c>
      <c r="G4277" s="83">
        <v>0.3958333333333333</v>
      </c>
      <c r="H4277" s="83">
        <v>0.041666666666666664</v>
      </c>
      <c r="I4277" s="84">
        <v>44398.0</v>
      </c>
      <c r="J4277" s="65" t="b">
        <v>1</v>
      </c>
      <c r="K4277" s="65"/>
      <c r="L4277" s="85" t="b">
        <f>IF(VLOOKUP(C4277,Projetos!A:L,12,false)=TRUE,TRUE,FALSE)</f>
        <v>1</v>
      </c>
      <c r="M4277" s="74">
        <v>52.1518759018759</v>
      </c>
      <c r="N4277" s="74">
        <f t="shared" si="1"/>
        <v>52.1518759</v>
      </c>
      <c r="O4277" s="74" t="b">
        <v>1</v>
      </c>
    </row>
    <row r="4278" hidden="1">
      <c r="A4278" s="82"/>
      <c r="B4278" s="65" t="s">
        <v>411</v>
      </c>
      <c r="C4278" s="65" t="s">
        <v>117</v>
      </c>
      <c r="D4278" s="65"/>
      <c r="E4278" s="65" t="s">
        <v>3176</v>
      </c>
      <c r="F4278" s="83">
        <v>0.375</v>
      </c>
      <c r="G4278" s="83">
        <v>0.3854166666666667</v>
      </c>
      <c r="H4278" s="83">
        <v>0.010416666666666666</v>
      </c>
      <c r="I4278" s="84">
        <v>44215.0</v>
      </c>
      <c r="J4278" s="65" t="b">
        <v>0</v>
      </c>
      <c r="K4278" s="65" t="s">
        <v>150</v>
      </c>
      <c r="L4278" s="85" t="b">
        <f>IF(VLOOKUP(C4278,Projetos!A:L,12,false)=TRUE,TRUE,FALSE)</f>
        <v>1</v>
      </c>
      <c r="M4278" s="74">
        <v>52.48434411075036</v>
      </c>
      <c r="N4278" s="74">
        <f t="shared" si="1"/>
        <v>0</v>
      </c>
      <c r="O4278" s="74" t="b">
        <v>1</v>
      </c>
    </row>
    <row r="4279" hidden="1">
      <c r="A4279" s="82"/>
      <c r="B4279" s="65" t="s">
        <v>411</v>
      </c>
      <c r="C4279" s="65" t="s">
        <v>117</v>
      </c>
      <c r="D4279" s="65"/>
      <c r="E4279" s="65" t="s">
        <v>3176</v>
      </c>
      <c r="F4279" s="83">
        <v>0.375</v>
      </c>
      <c r="G4279" s="83">
        <v>0.3958333333333333</v>
      </c>
      <c r="H4279" s="83">
        <v>0.020833333333333332</v>
      </c>
      <c r="I4279" s="84">
        <v>44217.0</v>
      </c>
      <c r="J4279" s="65" t="b">
        <v>0</v>
      </c>
      <c r="K4279" s="65" t="s">
        <v>150</v>
      </c>
      <c r="L4279" s="85" t="b">
        <f>IF(VLOOKUP(C4279,Projetos!A:L,12,false)=TRUE,TRUE,FALSE)</f>
        <v>1</v>
      </c>
      <c r="M4279" s="74">
        <v>52.48434411075036</v>
      </c>
      <c r="N4279" s="74">
        <f t="shared" si="1"/>
        <v>0</v>
      </c>
      <c r="O4279" s="74" t="b">
        <v>1</v>
      </c>
    </row>
    <row r="4280" hidden="1">
      <c r="A4280" s="82"/>
      <c r="B4280" s="65" t="s">
        <v>467</v>
      </c>
      <c r="C4280" s="65" t="s">
        <v>120</v>
      </c>
      <c r="D4280" s="65"/>
      <c r="E4280" s="65" t="s">
        <v>3095</v>
      </c>
      <c r="F4280" s="83">
        <v>0.625</v>
      </c>
      <c r="G4280" s="83">
        <v>0.75</v>
      </c>
      <c r="H4280" s="83">
        <v>0.125</v>
      </c>
      <c r="I4280" s="84">
        <v>44398.0</v>
      </c>
      <c r="J4280" s="65" t="b">
        <v>0</v>
      </c>
      <c r="K4280" s="65" t="s">
        <v>150</v>
      </c>
      <c r="L4280" s="85" t="b">
        <f>IF(VLOOKUP(C4280,Projetos!A:L,12,false)=TRUE,TRUE,FALSE)</f>
        <v>0</v>
      </c>
      <c r="M4280" s="74">
        <v>52.1518759018759</v>
      </c>
      <c r="N4280" s="74">
        <f t="shared" si="1"/>
        <v>0</v>
      </c>
      <c r="O4280" s="74" t="b">
        <v>0</v>
      </c>
    </row>
    <row r="4281" hidden="1">
      <c r="A4281" s="82"/>
      <c r="B4281" s="65" t="s">
        <v>467</v>
      </c>
      <c r="C4281" s="65" t="s">
        <v>113</v>
      </c>
      <c r="D4281" s="65" t="str">
        <f>vlookup(C4281,'Classificação p pessoal'!F:G,2,false)</f>
        <v>NP</v>
      </c>
      <c r="E4281" s="65" t="s">
        <v>3177</v>
      </c>
      <c r="F4281" s="83">
        <v>0.3541666666666667</v>
      </c>
      <c r="G4281" s="83">
        <v>0.375</v>
      </c>
      <c r="H4281" s="83">
        <v>0.020833333333333332</v>
      </c>
      <c r="I4281" s="84">
        <v>44399.0</v>
      </c>
      <c r="J4281" s="65" t="b">
        <v>1</v>
      </c>
      <c r="K4281" s="65"/>
      <c r="L4281" s="85" t="b">
        <f>IF(VLOOKUP(C4281,Projetos!A:L,12,false)=TRUE,TRUE,FALSE)</f>
        <v>1</v>
      </c>
      <c r="M4281" s="74">
        <v>52.1518759018759</v>
      </c>
      <c r="N4281" s="74">
        <f t="shared" si="1"/>
        <v>26.07593795</v>
      </c>
      <c r="O4281" s="74" t="b">
        <v>1</v>
      </c>
    </row>
    <row r="4282" hidden="1">
      <c r="A4282" s="82"/>
      <c r="B4282" s="65" t="s">
        <v>467</v>
      </c>
      <c r="C4282" s="65" t="s">
        <v>88</v>
      </c>
      <c r="D4282" s="65" t="str">
        <f>vlookup(C4282,'Classificação p pessoal'!F:G,2,false)</f>
        <v>MProduto</v>
      </c>
      <c r="E4282" s="65" t="s">
        <v>3178</v>
      </c>
      <c r="F4282" s="83">
        <v>0.375</v>
      </c>
      <c r="G4282" s="83">
        <v>0.4166666666666667</v>
      </c>
      <c r="H4282" s="83">
        <v>0.041666666666666664</v>
      </c>
      <c r="I4282" s="84">
        <v>44399.0</v>
      </c>
      <c r="J4282" s="65" t="b">
        <v>1</v>
      </c>
      <c r="K4282" s="65"/>
      <c r="L4282" s="85" t="b">
        <f>IF(VLOOKUP(C4282,Projetos!A:L,12,false)=TRUE,TRUE,FALSE)</f>
        <v>1</v>
      </c>
      <c r="M4282" s="74">
        <v>52.1518759018759</v>
      </c>
      <c r="N4282" s="74">
        <f t="shared" si="1"/>
        <v>52.1518759</v>
      </c>
      <c r="O4282" s="74" t="b">
        <v>1</v>
      </c>
    </row>
    <row r="4283" hidden="1">
      <c r="A4283" s="82"/>
      <c r="B4283" s="65" t="s">
        <v>467</v>
      </c>
      <c r="C4283" s="65" t="s">
        <v>113</v>
      </c>
      <c r="D4283" s="65"/>
      <c r="E4283" s="65" t="s">
        <v>3179</v>
      </c>
      <c r="F4283" s="83">
        <v>0.4166666666666667</v>
      </c>
      <c r="G4283" s="83">
        <v>0.5208333333333334</v>
      </c>
      <c r="H4283" s="83">
        <v>0.10416666666666667</v>
      </c>
      <c r="I4283" s="84">
        <v>44399.0</v>
      </c>
      <c r="J4283" s="65" t="b">
        <v>0</v>
      </c>
      <c r="K4283" s="65" t="s">
        <v>150</v>
      </c>
      <c r="L4283" s="85" t="b">
        <f>IF(VLOOKUP(C4283,Projetos!A:L,12,false)=TRUE,TRUE,FALSE)</f>
        <v>1</v>
      </c>
      <c r="M4283" s="74">
        <v>52.1518759018759</v>
      </c>
      <c r="N4283" s="74">
        <f t="shared" si="1"/>
        <v>0</v>
      </c>
      <c r="O4283" s="74" t="b">
        <v>1</v>
      </c>
    </row>
    <row r="4284" hidden="1">
      <c r="A4284" s="82"/>
      <c r="B4284" s="65" t="s">
        <v>467</v>
      </c>
      <c r="C4284" s="65" t="s">
        <v>120</v>
      </c>
      <c r="D4284" s="65"/>
      <c r="E4284" s="65" t="s">
        <v>3180</v>
      </c>
      <c r="F4284" s="83">
        <v>0.4166666666666667</v>
      </c>
      <c r="G4284" s="83">
        <v>0.4583333333333333</v>
      </c>
      <c r="H4284" s="83">
        <v>0.041666666666666664</v>
      </c>
      <c r="I4284" s="84">
        <v>44398.0</v>
      </c>
      <c r="J4284" s="65" t="b">
        <v>0</v>
      </c>
      <c r="K4284" s="65"/>
      <c r="L4284" s="85" t="b">
        <f>IF(VLOOKUP(C4284,Projetos!A:L,12,false)=TRUE,TRUE,FALSE)</f>
        <v>0</v>
      </c>
      <c r="M4284" s="74">
        <v>52.1518759018759</v>
      </c>
      <c r="N4284" s="74">
        <f t="shared" si="1"/>
        <v>0</v>
      </c>
      <c r="O4284" s="74" t="b">
        <v>0</v>
      </c>
    </row>
    <row r="4285" hidden="1">
      <c r="A4285" s="82"/>
      <c r="B4285" s="65" t="s">
        <v>467</v>
      </c>
      <c r="C4285" s="65" t="s">
        <v>113</v>
      </c>
      <c r="D4285" s="65" t="str">
        <f>vlookup(C4285,'Classificação p pessoal'!F:G,2,false)</f>
        <v>NP</v>
      </c>
      <c r="E4285" s="65" t="s">
        <v>3181</v>
      </c>
      <c r="F4285" s="83">
        <v>0.625</v>
      </c>
      <c r="G4285" s="83">
        <v>0.7083333333333334</v>
      </c>
      <c r="H4285" s="83">
        <v>0.08333333333333333</v>
      </c>
      <c r="I4285" s="84">
        <v>44399.0</v>
      </c>
      <c r="J4285" s="65" t="b">
        <v>1</v>
      </c>
      <c r="K4285" s="65"/>
      <c r="L4285" s="85" t="b">
        <f>IF(VLOOKUP(C4285,Projetos!A:L,12,false)=TRUE,TRUE,FALSE)</f>
        <v>1</v>
      </c>
      <c r="M4285" s="74">
        <v>52.1518759018759</v>
      </c>
      <c r="N4285" s="74">
        <f t="shared" si="1"/>
        <v>104.3037518</v>
      </c>
      <c r="O4285" s="74" t="b">
        <v>1</v>
      </c>
    </row>
    <row r="4286" hidden="1">
      <c r="A4286" s="82"/>
      <c r="B4286" s="65" t="s">
        <v>467</v>
      </c>
      <c r="C4286" s="65" t="s">
        <v>92</v>
      </c>
      <c r="D4286" s="65" t="str">
        <f>vlookup(C4286,'Classificação p pessoal'!F:G,2,false)</f>
        <v/>
      </c>
      <c r="E4286" s="65" t="s">
        <v>3182</v>
      </c>
      <c r="F4286" s="83">
        <v>0.3541666666666667</v>
      </c>
      <c r="G4286" s="83">
        <v>0.375</v>
      </c>
      <c r="H4286" s="83">
        <v>0.020833333333333332</v>
      </c>
      <c r="I4286" s="84">
        <v>44400.0</v>
      </c>
      <c r="J4286" s="65" t="b">
        <v>1</v>
      </c>
      <c r="K4286" s="65"/>
      <c r="L4286" s="85" t="b">
        <f>IF(VLOOKUP(C4286,Projetos!A:L,12,false)=TRUE,TRUE,FALSE)</f>
        <v>1</v>
      </c>
      <c r="M4286" s="74">
        <v>52.1518759018759</v>
      </c>
      <c r="N4286" s="74">
        <f t="shared" si="1"/>
        <v>26.07593795</v>
      </c>
      <c r="O4286" s="74" t="b">
        <v>1</v>
      </c>
    </row>
    <row r="4287" hidden="1">
      <c r="A4287" s="82"/>
      <c r="B4287" s="65" t="s">
        <v>467</v>
      </c>
      <c r="C4287" s="65" t="s">
        <v>113</v>
      </c>
      <c r="D4287" s="65" t="str">
        <f>vlookup(C4287,'Classificação p pessoal'!F:G,2,false)</f>
        <v>NP</v>
      </c>
      <c r="E4287" s="65" t="s">
        <v>3183</v>
      </c>
      <c r="F4287" s="83">
        <v>0.4166666666666667</v>
      </c>
      <c r="G4287" s="83">
        <v>0.5208333333333334</v>
      </c>
      <c r="H4287" s="83">
        <v>0.10416666666666667</v>
      </c>
      <c r="I4287" s="84">
        <v>44400.0</v>
      </c>
      <c r="J4287" s="65" t="b">
        <v>1</v>
      </c>
      <c r="K4287" s="65"/>
      <c r="L4287" s="85" t="b">
        <f>IF(VLOOKUP(C4287,Projetos!A:L,12,false)=TRUE,TRUE,FALSE)</f>
        <v>1</v>
      </c>
      <c r="M4287" s="74">
        <v>52.1518759018759</v>
      </c>
      <c r="N4287" s="74">
        <f t="shared" si="1"/>
        <v>130.3796898</v>
      </c>
      <c r="O4287" s="74" t="b">
        <v>1</v>
      </c>
    </row>
    <row r="4288" hidden="1">
      <c r="A4288" s="82"/>
      <c r="B4288" s="65" t="s">
        <v>467</v>
      </c>
      <c r="C4288" s="65" t="s">
        <v>92</v>
      </c>
      <c r="D4288" s="65" t="str">
        <f>vlookup(C4288,'Classificação p pessoal'!F:G,2,false)</f>
        <v/>
      </c>
      <c r="E4288" s="65" t="s">
        <v>3184</v>
      </c>
      <c r="F4288" s="83">
        <v>0.5833333333333334</v>
      </c>
      <c r="G4288" s="83">
        <v>0.7083333333333334</v>
      </c>
      <c r="H4288" s="83">
        <v>0.125</v>
      </c>
      <c r="I4288" s="84">
        <v>44400.0</v>
      </c>
      <c r="J4288" s="65" t="b">
        <v>1</v>
      </c>
      <c r="K4288" s="65"/>
      <c r="L4288" s="85" t="b">
        <f>IF(VLOOKUP(C4288,Projetos!A:L,12,false)=TRUE,TRUE,FALSE)</f>
        <v>1</v>
      </c>
      <c r="M4288" s="74">
        <v>52.1518759018759</v>
      </c>
      <c r="N4288" s="74">
        <f t="shared" si="1"/>
        <v>156.4556277</v>
      </c>
      <c r="O4288" s="74" t="b">
        <v>1</v>
      </c>
    </row>
    <row r="4289" hidden="1">
      <c r="A4289" s="82"/>
      <c r="B4289" s="65" t="s">
        <v>467</v>
      </c>
      <c r="C4289" s="65" t="s">
        <v>130</v>
      </c>
      <c r="D4289" s="65" t="str">
        <f>vlookup(C4289,'Classificação p pessoal'!F:G,2,false)</f>
        <v>NP</v>
      </c>
      <c r="E4289" s="65" t="s">
        <v>3185</v>
      </c>
      <c r="F4289" s="83">
        <v>0.34375</v>
      </c>
      <c r="G4289" s="83">
        <v>0.375</v>
      </c>
      <c r="H4289" s="83">
        <v>0.03125</v>
      </c>
      <c r="I4289" s="84">
        <v>44403.0</v>
      </c>
      <c r="J4289" s="65" t="b">
        <v>1</v>
      </c>
      <c r="K4289" s="65"/>
      <c r="L4289" s="85" t="b">
        <f>IF(VLOOKUP(C4289,Projetos!A:L,12,false)=TRUE,TRUE,FALSE)</f>
        <v>1</v>
      </c>
      <c r="M4289" s="74">
        <v>52.1518759018759</v>
      </c>
      <c r="N4289" s="74">
        <f t="shared" si="1"/>
        <v>39.11390693</v>
      </c>
      <c r="O4289" s="74" t="b">
        <v>1</v>
      </c>
    </row>
    <row r="4290" hidden="1">
      <c r="A4290" s="82"/>
      <c r="B4290" s="65" t="s">
        <v>467</v>
      </c>
      <c r="C4290" s="65" t="s">
        <v>92</v>
      </c>
      <c r="D4290" s="65" t="str">
        <f>vlookup(C4290,'Classificação p pessoal'!F:G,2,false)</f>
        <v/>
      </c>
      <c r="E4290" s="65" t="s">
        <v>3186</v>
      </c>
      <c r="F4290" s="83">
        <v>0.375</v>
      </c>
      <c r="G4290" s="83">
        <v>0.4166666666666667</v>
      </c>
      <c r="H4290" s="83">
        <v>0.041666666666666664</v>
      </c>
      <c r="I4290" s="84">
        <v>44403.0</v>
      </c>
      <c r="J4290" s="65" t="b">
        <v>1</v>
      </c>
      <c r="K4290" s="65"/>
      <c r="L4290" s="85" t="b">
        <f>IF(VLOOKUP(C4290,Projetos!A:L,12,false)=TRUE,TRUE,FALSE)</f>
        <v>1</v>
      </c>
      <c r="M4290" s="74">
        <v>52.1518759018759</v>
      </c>
      <c r="N4290" s="74">
        <f t="shared" si="1"/>
        <v>52.1518759</v>
      </c>
      <c r="O4290" s="74" t="b">
        <v>1</v>
      </c>
    </row>
    <row r="4291" hidden="1">
      <c r="A4291" s="82"/>
      <c r="B4291" s="65" t="s">
        <v>467</v>
      </c>
      <c r="C4291" s="65" t="s">
        <v>92</v>
      </c>
      <c r="D4291" s="65" t="str">
        <f>vlookup(C4291,'Classificação p pessoal'!F:G,2,false)</f>
        <v/>
      </c>
      <c r="E4291" s="65" t="s">
        <v>3187</v>
      </c>
      <c r="F4291" s="83">
        <v>0.4166666666666667</v>
      </c>
      <c r="G4291" s="83">
        <v>0.4375</v>
      </c>
      <c r="H4291" s="83">
        <v>0.020833333333333332</v>
      </c>
      <c r="I4291" s="84">
        <v>44403.0</v>
      </c>
      <c r="J4291" s="65" t="b">
        <v>1</v>
      </c>
      <c r="K4291" s="65"/>
      <c r="L4291" s="85" t="b">
        <f>IF(VLOOKUP(C4291,Projetos!A:L,12,false)=TRUE,TRUE,FALSE)</f>
        <v>1</v>
      </c>
      <c r="M4291" s="74">
        <v>52.1518759018759</v>
      </c>
      <c r="N4291" s="74">
        <f t="shared" si="1"/>
        <v>26.07593795</v>
      </c>
      <c r="O4291" s="74" t="b">
        <v>1</v>
      </c>
    </row>
    <row r="4292" hidden="1">
      <c r="A4292" s="82"/>
      <c r="B4292" s="65" t="s">
        <v>467</v>
      </c>
      <c r="C4292" s="65" t="s">
        <v>113</v>
      </c>
      <c r="D4292" s="65" t="str">
        <f>vlookup(C4292,'Classificação p pessoal'!F:G,2,false)</f>
        <v>NP</v>
      </c>
      <c r="E4292" s="65" t="s">
        <v>3188</v>
      </c>
      <c r="F4292" s="83">
        <v>0.4375</v>
      </c>
      <c r="G4292" s="83">
        <v>0.4583333333333333</v>
      </c>
      <c r="H4292" s="83">
        <v>0.020833333333333332</v>
      </c>
      <c r="I4292" s="84">
        <v>44403.0</v>
      </c>
      <c r="J4292" s="65" t="b">
        <v>1</v>
      </c>
      <c r="K4292" s="65"/>
      <c r="L4292" s="85" t="b">
        <f>IF(VLOOKUP(C4292,Projetos!A:L,12,false)=TRUE,TRUE,FALSE)</f>
        <v>1</v>
      </c>
      <c r="M4292" s="74">
        <v>52.1518759018759</v>
      </c>
      <c r="N4292" s="74">
        <f t="shared" si="1"/>
        <v>26.07593795</v>
      </c>
      <c r="O4292" s="74" t="b">
        <v>1</v>
      </c>
    </row>
    <row r="4293" hidden="1">
      <c r="A4293" s="82"/>
      <c r="B4293" s="65" t="s">
        <v>467</v>
      </c>
      <c r="C4293" s="65" t="s">
        <v>130</v>
      </c>
      <c r="D4293" s="65" t="str">
        <f>vlookup(C4293,'Classificação p pessoal'!F:G,2,false)</f>
        <v>NP</v>
      </c>
      <c r="E4293" s="65" t="s">
        <v>3189</v>
      </c>
      <c r="F4293" s="83">
        <v>0.625</v>
      </c>
      <c r="G4293" s="83">
        <v>0.7083333333333334</v>
      </c>
      <c r="H4293" s="83">
        <v>0.08333333333333333</v>
      </c>
      <c r="I4293" s="84">
        <v>44403.0</v>
      </c>
      <c r="J4293" s="65" t="b">
        <v>1</v>
      </c>
      <c r="K4293" s="65"/>
      <c r="L4293" s="85" t="b">
        <f>IF(VLOOKUP(C4293,Projetos!A:L,12,false)=TRUE,TRUE,FALSE)</f>
        <v>1</v>
      </c>
      <c r="M4293" s="74">
        <v>52.1518759018759</v>
      </c>
      <c r="N4293" s="74">
        <f t="shared" si="1"/>
        <v>104.3037518</v>
      </c>
      <c r="O4293" s="74" t="b">
        <v>1</v>
      </c>
    </row>
    <row r="4294" hidden="1">
      <c r="A4294" s="82"/>
      <c r="B4294" s="65" t="s">
        <v>467</v>
      </c>
      <c r="C4294" s="65" t="s">
        <v>88</v>
      </c>
      <c r="D4294" s="65"/>
      <c r="E4294" s="65" t="s">
        <v>3190</v>
      </c>
      <c r="F4294" s="83">
        <v>0.5833333333333334</v>
      </c>
      <c r="G4294" s="83">
        <v>0.625</v>
      </c>
      <c r="H4294" s="83">
        <v>0.041666666666666664</v>
      </c>
      <c r="I4294" s="84">
        <v>44403.0</v>
      </c>
      <c r="J4294" s="65" t="b">
        <v>0</v>
      </c>
      <c r="K4294" s="65" t="s">
        <v>150</v>
      </c>
      <c r="L4294" s="85" t="b">
        <f>IF(VLOOKUP(C4294,Projetos!A:L,12,false)=TRUE,TRUE,FALSE)</f>
        <v>1</v>
      </c>
      <c r="M4294" s="74">
        <v>52.1518759018759</v>
      </c>
      <c r="N4294" s="74">
        <f t="shared" si="1"/>
        <v>0</v>
      </c>
      <c r="O4294" s="74" t="b">
        <v>1</v>
      </c>
    </row>
    <row r="4295" hidden="1">
      <c r="A4295" s="82"/>
      <c r="B4295" s="65" t="s">
        <v>467</v>
      </c>
      <c r="C4295" s="65" t="s">
        <v>92</v>
      </c>
      <c r="D4295" s="65" t="str">
        <f>vlookup(C4295,'Classificação p pessoal'!F:G,2,false)</f>
        <v/>
      </c>
      <c r="E4295" s="65" t="s">
        <v>3191</v>
      </c>
      <c r="F4295" s="83">
        <v>0.7083333333333334</v>
      </c>
      <c r="G4295" s="83">
        <v>0.7291666666666666</v>
      </c>
      <c r="H4295" s="83">
        <v>0.020833333333333332</v>
      </c>
      <c r="I4295" s="84">
        <v>44403.0</v>
      </c>
      <c r="J4295" s="65" t="b">
        <v>1</v>
      </c>
      <c r="K4295" s="65"/>
      <c r="L4295" s="85" t="b">
        <f>IF(VLOOKUP(C4295,Projetos!A:L,12,false)=TRUE,TRUE,FALSE)</f>
        <v>1</v>
      </c>
      <c r="M4295" s="74">
        <v>52.1518759018759</v>
      </c>
      <c r="N4295" s="74">
        <f t="shared" si="1"/>
        <v>26.07593795</v>
      </c>
      <c r="O4295" s="74" t="b">
        <v>1</v>
      </c>
    </row>
    <row r="4296" hidden="1">
      <c r="A4296" s="82"/>
      <c r="B4296" s="65" t="s">
        <v>467</v>
      </c>
      <c r="C4296" s="65" t="s">
        <v>92</v>
      </c>
      <c r="D4296" s="65"/>
      <c r="E4296" s="65" t="s">
        <v>3151</v>
      </c>
      <c r="F4296" s="83">
        <v>0.34375</v>
      </c>
      <c r="G4296" s="83">
        <v>0.3645833333333333</v>
      </c>
      <c r="H4296" s="83">
        <v>0.020833333333333332</v>
      </c>
      <c r="I4296" s="84">
        <v>44404.0</v>
      </c>
      <c r="J4296" s="65" t="b">
        <v>0</v>
      </c>
      <c r="K4296" s="65" t="s">
        <v>150</v>
      </c>
      <c r="L4296" s="85" t="b">
        <f>IF(VLOOKUP(C4296,Projetos!A:L,12,false)=TRUE,TRUE,FALSE)</f>
        <v>1</v>
      </c>
      <c r="M4296" s="74">
        <v>52.1518759018759</v>
      </c>
      <c r="N4296" s="74">
        <f t="shared" si="1"/>
        <v>0</v>
      </c>
      <c r="O4296" s="74" t="b">
        <v>1</v>
      </c>
    </row>
    <row r="4297" hidden="1">
      <c r="A4297" s="82"/>
      <c r="B4297" s="65" t="s">
        <v>467</v>
      </c>
      <c r="C4297" s="65" t="s">
        <v>92</v>
      </c>
      <c r="D4297" s="65" t="str">
        <f>vlookup(C4297,'Classificação p pessoal'!F:G,2,false)</f>
        <v/>
      </c>
      <c r="E4297" s="65" t="s">
        <v>3192</v>
      </c>
      <c r="F4297" s="83">
        <v>0.3645833333333333</v>
      </c>
      <c r="G4297" s="83">
        <v>0.3958333333333333</v>
      </c>
      <c r="H4297" s="83">
        <v>0.03125</v>
      </c>
      <c r="I4297" s="84">
        <v>44404.0</v>
      </c>
      <c r="J4297" s="65" t="b">
        <v>1</v>
      </c>
      <c r="K4297" s="65"/>
      <c r="L4297" s="85" t="b">
        <f>IF(VLOOKUP(C4297,Projetos!A:L,12,false)=TRUE,TRUE,FALSE)</f>
        <v>1</v>
      </c>
      <c r="M4297" s="74">
        <v>52.1518759018759</v>
      </c>
      <c r="N4297" s="74">
        <f t="shared" si="1"/>
        <v>39.11390693</v>
      </c>
      <c r="O4297" s="74" t="b">
        <v>1</v>
      </c>
    </row>
    <row r="4298" hidden="1">
      <c r="A4298" s="82"/>
      <c r="B4298" s="65" t="s">
        <v>467</v>
      </c>
      <c r="C4298" s="65" t="s">
        <v>92</v>
      </c>
      <c r="D4298" s="65" t="str">
        <f>vlookup(C4298,'Classificação p pessoal'!F:G,2,false)</f>
        <v/>
      </c>
      <c r="E4298" s="65" t="s">
        <v>3193</v>
      </c>
      <c r="F4298" s="83">
        <v>0.3958333333333333</v>
      </c>
      <c r="G4298" s="83">
        <v>0.4375</v>
      </c>
      <c r="H4298" s="83">
        <v>0.041666666666666664</v>
      </c>
      <c r="I4298" s="84">
        <v>44404.0</v>
      </c>
      <c r="J4298" s="65" t="b">
        <v>1</v>
      </c>
      <c r="K4298" s="65"/>
      <c r="L4298" s="85" t="b">
        <f>IF(VLOOKUP(C4298,Projetos!A:L,12,false)=TRUE,TRUE,FALSE)</f>
        <v>1</v>
      </c>
      <c r="M4298" s="74">
        <v>52.1518759018759</v>
      </c>
      <c r="N4298" s="74">
        <f t="shared" si="1"/>
        <v>52.1518759</v>
      </c>
      <c r="O4298" s="74" t="b">
        <v>1</v>
      </c>
    </row>
    <row r="4299" hidden="1">
      <c r="A4299" s="82"/>
      <c r="B4299" s="65" t="s">
        <v>467</v>
      </c>
      <c r="C4299" s="65" t="s">
        <v>113</v>
      </c>
      <c r="D4299" s="65" t="str">
        <f>vlookup(C4299,'Classificação p pessoal'!F:G,2,false)</f>
        <v>NP</v>
      </c>
      <c r="E4299" s="65" t="s">
        <v>3194</v>
      </c>
      <c r="F4299" s="83">
        <v>0.5833333333333334</v>
      </c>
      <c r="G4299" s="83">
        <v>0.625</v>
      </c>
      <c r="H4299" s="83">
        <v>0.041666666666666664</v>
      </c>
      <c r="I4299" s="84">
        <v>44404.0</v>
      </c>
      <c r="J4299" s="65" t="b">
        <v>1</v>
      </c>
      <c r="K4299" s="65"/>
      <c r="L4299" s="85" t="b">
        <f>IF(VLOOKUP(C4299,Projetos!A:L,12,false)=TRUE,TRUE,FALSE)</f>
        <v>1</v>
      </c>
      <c r="M4299" s="74">
        <v>52.1518759018759</v>
      </c>
      <c r="N4299" s="74">
        <f t="shared" si="1"/>
        <v>52.1518759</v>
      </c>
      <c r="O4299" s="74" t="b">
        <v>1</v>
      </c>
    </row>
    <row r="4300" hidden="1">
      <c r="A4300" s="82"/>
      <c r="B4300" s="65" t="s">
        <v>467</v>
      </c>
      <c r="C4300" s="65" t="s">
        <v>130</v>
      </c>
      <c r="D4300" s="65" t="str">
        <f>vlookup(C4300,'Classificação p pessoal'!F:G,2,false)</f>
        <v>NP</v>
      </c>
      <c r="E4300" s="65" t="s">
        <v>3195</v>
      </c>
      <c r="F4300" s="83">
        <v>0.375</v>
      </c>
      <c r="G4300" s="83">
        <v>0.5208333333333334</v>
      </c>
      <c r="H4300" s="83">
        <v>0.14583333333333334</v>
      </c>
      <c r="I4300" s="84">
        <v>44405.0</v>
      </c>
      <c r="J4300" s="65" t="b">
        <v>1</v>
      </c>
      <c r="K4300" s="65"/>
      <c r="L4300" s="85" t="b">
        <f>IF(VLOOKUP(C4300,Projetos!A:L,12,false)=TRUE,TRUE,FALSE)</f>
        <v>1</v>
      </c>
      <c r="M4300" s="74">
        <v>52.1518759018759</v>
      </c>
      <c r="N4300" s="74">
        <f t="shared" si="1"/>
        <v>182.5315657</v>
      </c>
      <c r="O4300" s="74" t="b">
        <v>1</v>
      </c>
    </row>
    <row r="4301" hidden="1">
      <c r="A4301" s="82"/>
      <c r="B4301" s="65" t="s">
        <v>467</v>
      </c>
      <c r="C4301" s="65" t="s">
        <v>130</v>
      </c>
      <c r="D4301" s="65" t="str">
        <f>vlookup(C4301,'Classificação p pessoal'!F:G,2,false)</f>
        <v>NP</v>
      </c>
      <c r="E4301" s="65" t="s">
        <v>3196</v>
      </c>
      <c r="F4301" s="83">
        <v>0.5625</v>
      </c>
      <c r="G4301" s="83">
        <v>0.7083333333333334</v>
      </c>
      <c r="H4301" s="83">
        <v>0.14583333333333334</v>
      </c>
      <c r="I4301" s="84">
        <v>44405.0</v>
      </c>
      <c r="J4301" s="65" t="b">
        <v>1</v>
      </c>
      <c r="K4301" s="65"/>
      <c r="L4301" s="85" t="b">
        <f>IF(VLOOKUP(C4301,Projetos!A:L,12,false)=TRUE,TRUE,FALSE)</f>
        <v>1</v>
      </c>
      <c r="M4301" s="74">
        <v>52.1518759018759</v>
      </c>
      <c r="N4301" s="74">
        <f t="shared" si="1"/>
        <v>182.5315657</v>
      </c>
      <c r="O4301" s="74" t="b">
        <v>1</v>
      </c>
    </row>
    <row r="4302" hidden="1">
      <c r="A4302" s="82"/>
      <c r="B4302" s="65" t="s">
        <v>467</v>
      </c>
      <c r="C4302" s="65" t="s">
        <v>113</v>
      </c>
      <c r="D4302" s="65" t="str">
        <f>vlookup(C4302,'Classificação p pessoal'!F:G,2,false)</f>
        <v>NP</v>
      </c>
      <c r="E4302" s="65" t="s">
        <v>3197</v>
      </c>
      <c r="F4302" s="83">
        <v>0.34375</v>
      </c>
      <c r="G4302" s="83">
        <v>0.375</v>
      </c>
      <c r="H4302" s="83">
        <v>0.03125</v>
      </c>
      <c r="I4302" s="84">
        <v>44406.0</v>
      </c>
      <c r="J4302" s="65" t="b">
        <v>1</v>
      </c>
      <c r="K4302" s="65"/>
      <c r="L4302" s="85" t="b">
        <f>IF(VLOOKUP(C4302,Projetos!A:L,12,false)=TRUE,TRUE,FALSE)</f>
        <v>1</v>
      </c>
      <c r="M4302" s="74">
        <v>52.1518759018759</v>
      </c>
      <c r="N4302" s="74">
        <f t="shared" si="1"/>
        <v>39.11390693</v>
      </c>
      <c r="O4302" s="74" t="b">
        <v>1</v>
      </c>
    </row>
    <row r="4303" hidden="1">
      <c r="A4303" s="82"/>
      <c r="B4303" s="65" t="s">
        <v>467</v>
      </c>
      <c r="C4303" s="65" t="s">
        <v>113</v>
      </c>
      <c r="D4303" s="65" t="str">
        <f>vlookup(C4303,'Classificação p pessoal'!F:G,2,false)</f>
        <v>NP</v>
      </c>
      <c r="E4303" s="65" t="s">
        <v>3198</v>
      </c>
      <c r="F4303" s="83">
        <v>0.375</v>
      </c>
      <c r="G4303" s="83">
        <v>0.5208333333333334</v>
      </c>
      <c r="H4303" s="83">
        <v>0.14583333333333334</v>
      </c>
      <c r="I4303" s="84">
        <v>44406.0</v>
      </c>
      <c r="J4303" s="65" t="b">
        <v>1</v>
      </c>
      <c r="K4303" s="65"/>
      <c r="L4303" s="85" t="b">
        <f>IF(VLOOKUP(C4303,Projetos!A:L,12,false)=TRUE,TRUE,FALSE)</f>
        <v>1</v>
      </c>
      <c r="M4303" s="74">
        <v>52.1518759018759</v>
      </c>
      <c r="N4303" s="74">
        <f t="shared" si="1"/>
        <v>182.5315657</v>
      </c>
      <c r="O4303" s="74" t="b">
        <v>1</v>
      </c>
    </row>
    <row r="4304" hidden="1">
      <c r="A4304" s="82"/>
      <c r="B4304" s="65" t="s">
        <v>467</v>
      </c>
      <c r="C4304" s="65" t="s">
        <v>113</v>
      </c>
      <c r="D4304" s="65" t="str">
        <f>vlookup(C4304,'Classificação p pessoal'!F:G,2,false)</f>
        <v>NP</v>
      </c>
      <c r="E4304" s="65" t="s">
        <v>3199</v>
      </c>
      <c r="F4304" s="83">
        <v>0.5625</v>
      </c>
      <c r="G4304" s="83">
        <v>0.7291666666666666</v>
      </c>
      <c r="H4304" s="83">
        <v>0.16666666666666666</v>
      </c>
      <c r="I4304" s="84">
        <v>44406.0</v>
      </c>
      <c r="J4304" s="65" t="b">
        <v>1</v>
      </c>
      <c r="K4304" s="65"/>
      <c r="L4304" s="85" t="b">
        <f>IF(VLOOKUP(C4304,Projetos!A:L,12,false)=TRUE,TRUE,FALSE)</f>
        <v>1</v>
      </c>
      <c r="M4304" s="74">
        <v>52.1518759018759</v>
      </c>
      <c r="N4304" s="74">
        <f t="shared" si="1"/>
        <v>208.6075036</v>
      </c>
      <c r="O4304" s="74" t="b">
        <v>1</v>
      </c>
    </row>
    <row r="4305" hidden="1">
      <c r="A4305" s="82"/>
      <c r="B4305" s="65" t="s">
        <v>467</v>
      </c>
      <c r="C4305" s="65" t="s">
        <v>113</v>
      </c>
      <c r="D4305" s="65" t="str">
        <f>vlookup(C4305,'Classificação p pessoal'!F:G,2,false)</f>
        <v>NP</v>
      </c>
      <c r="E4305" s="65" t="s">
        <v>3200</v>
      </c>
      <c r="F4305" s="83">
        <v>0.3541666666666667</v>
      </c>
      <c r="G4305" s="83">
        <v>0.4583333333333333</v>
      </c>
      <c r="H4305" s="83">
        <v>0.10416666666666667</v>
      </c>
      <c r="I4305" s="84">
        <v>44407.0</v>
      </c>
      <c r="J4305" s="65" t="b">
        <v>1</v>
      </c>
      <c r="K4305" s="65"/>
      <c r="L4305" s="85" t="b">
        <f>IF(VLOOKUP(C4305,Projetos!A:L,12,false)=TRUE,TRUE,FALSE)</f>
        <v>1</v>
      </c>
      <c r="M4305" s="74">
        <v>52.1518759018759</v>
      </c>
      <c r="N4305" s="74">
        <f t="shared" si="1"/>
        <v>130.3796898</v>
      </c>
      <c r="O4305" s="74" t="b">
        <v>1</v>
      </c>
    </row>
    <row r="4306" hidden="1">
      <c r="A4306" s="82"/>
      <c r="B4306" s="65" t="s">
        <v>467</v>
      </c>
      <c r="C4306" s="65" t="s">
        <v>130</v>
      </c>
      <c r="D4306" s="65" t="str">
        <f>vlookup(C4306,'Classificação p pessoal'!F:G,2,false)</f>
        <v>NP</v>
      </c>
      <c r="E4306" s="65" t="s">
        <v>3201</v>
      </c>
      <c r="F4306" s="83">
        <v>0.4583333333333333</v>
      </c>
      <c r="G4306" s="83">
        <v>0.4791666666666667</v>
      </c>
      <c r="H4306" s="83">
        <v>0.020833333333333332</v>
      </c>
      <c r="I4306" s="84">
        <v>44407.0</v>
      </c>
      <c r="J4306" s="65" t="b">
        <v>1</v>
      </c>
      <c r="K4306" s="65"/>
      <c r="L4306" s="85" t="b">
        <f>IF(VLOOKUP(C4306,Projetos!A:L,12,false)=TRUE,TRUE,FALSE)</f>
        <v>1</v>
      </c>
      <c r="M4306" s="74">
        <v>52.1518759018759</v>
      </c>
      <c r="N4306" s="74">
        <f t="shared" si="1"/>
        <v>26.07593795</v>
      </c>
      <c r="O4306" s="74" t="b">
        <v>1</v>
      </c>
    </row>
    <row r="4307" hidden="1">
      <c r="A4307" s="82"/>
      <c r="B4307" s="65" t="s">
        <v>467</v>
      </c>
      <c r="C4307" s="65" t="s">
        <v>92</v>
      </c>
      <c r="D4307" s="65" t="str">
        <f>vlookup(C4307,'Classificação p pessoal'!F:G,2,false)</f>
        <v/>
      </c>
      <c r="E4307" s="65" t="s">
        <v>3202</v>
      </c>
      <c r="F4307" s="83">
        <v>0.4791666666666667</v>
      </c>
      <c r="G4307" s="83">
        <v>0.5</v>
      </c>
      <c r="H4307" s="83">
        <v>0.020833333333333332</v>
      </c>
      <c r="I4307" s="84">
        <v>44407.0</v>
      </c>
      <c r="J4307" s="65" t="b">
        <v>1</v>
      </c>
      <c r="K4307" s="65"/>
      <c r="L4307" s="85" t="b">
        <f>IF(VLOOKUP(C4307,Projetos!A:L,12,false)=TRUE,TRUE,FALSE)</f>
        <v>1</v>
      </c>
      <c r="M4307" s="74">
        <v>52.1518759018759</v>
      </c>
      <c r="N4307" s="74">
        <f t="shared" si="1"/>
        <v>26.07593795</v>
      </c>
      <c r="O4307" s="74" t="b">
        <v>1</v>
      </c>
    </row>
    <row r="4308" hidden="1">
      <c r="A4308" s="82"/>
      <c r="B4308" s="65" t="s">
        <v>467</v>
      </c>
      <c r="C4308" s="65" t="s">
        <v>92</v>
      </c>
      <c r="D4308" s="65" t="str">
        <f>vlookup(C4308,'Classificação p pessoal'!F:G,2,false)</f>
        <v/>
      </c>
      <c r="E4308" s="65" t="s">
        <v>3203</v>
      </c>
      <c r="F4308" s="83">
        <v>0.5</v>
      </c>
      <c r="G4308" s="83">
        <v>0.5208333333333334</v>
      </c>
      <c r="H4308" s="83">
        <v>0.020833333333333332</v>
      </c>
      <c r="I4308" s="84">
        <v>44407.0</v>
      </c>
      <c r="J4308" s="65" t="b">
        <v>1</v>
      </c>
      <c r="K4308" s="65"/>
      <c r="L4308" s="85" t="b">
        <f>IF(VLOOKUP(C4308,Projetos!A:L,12,false)=TRUE,TRUE,FALSE)</f>
        <v>1</v>
      </c>
      <c r="M4308" s="74">
        <v>52.1518759018759</v>
      </c>
      <c r="N4308" s="74">
        <f t="shared" si="1"/>
        <v>26.07593795</v>
      </c>
      <c r="O4308" s="74" t="b">
        <v>1</v>
      </c>
    </row>
    <row r="4309" hidden="1">
      <c r="A4309" s="82"/>
      <c r="B4309" s="65" t="s">
        <v>467</v>
      </c>
      <c r="C4309" s="65" t="s">
        <v>92</v>
      </c>
      <c r="D4309" s="65" t="str">
        <f>vlookup(C4309,'Classificação p pessoal'!F:G,2,false)</f>
        <v/>
      </c>
      <c r="E4309" s="65" t="s">
        <v>3204</v>
      </c>
      <c r="F4309" s="83">
        <v>0.5833333333333334</v>
      </c>
      <c r="G4309" s="83">
        <v>0.625</v>
      </c>
      <c r="H4309" s="83">
        <v>0.041666666666666664</v>
      </c>
      <c r="I4309" s="84">
        <v>44407.0</v>
      </c>
      <c r="J4309" s="65" t="b">
        <v>1</v>
      </c>
      <c r="K4309" s="65"/>
      <c r="L4309" s="85" t="b">
        <f>IF(VLOOKUP(C4309,Projetos!A:L,12,false)=TRUE,TRUE,FALSE)</f>
        <v>1</v>
      </c>
      <c r="M4309" s="74">
        <v>52.1518759018759</v>
      </c>
      <c r="N4309" s="74">
        <f t="shared" si="1"/>
        <v>52.1518759</v>
      </c>
      <c r="O4309" s="74" t="b">
        <v>1</v>
      </c>
    </row>
    <row r="4310" hidden="1">
      <c r="A4310" s="82"/>
      <c r="B4310" s="65" t="s">
        <v>467</v>
      </c>
      <c r="C4310" s="65" t="s">
        <v>113</v>
      </c>
      <c r="D4310" s="65" t="str">
        <f>vlookup(C4310,'Classificação p pessoal'!F:G,2,false)</f>
        <v>NP</v>
      </c>
      <c r="E4310" s="65" t="s">
        <v>3205</v>
      </c>
      <c r="F4310" s="83">
        <v>0.6666666666666666</v>
      </c>
      <c r="G4310" s="83">
        <v>0.75</v>
      </c>
      <c r="H4310" s="83">
        <v>0.08333333333333333</v>
      </c>
      <c r="I4310" s="84">
        <v>44407.0</v>
      </c>
      <c r="J4310" s="65" t="b">
        <v>1</v>
      </c>
      <c r="K4310" s="65"/>
      <c r="L4310" s="85" t="b">
        <f>IF(VLOOKUP(C4310,Projetos!A:L,12,false)=TRUE,TRUE,FALSE)</f>
        <v>1</v>
      </c>
      <c r="M4310" s="74">
        <v>52.1518759018759</v>
      </c>
      <c r="N4310" s="74">
        <f t="shared" si="1"/>
        <v>104.3037518</v>
      </c>
      <c r="O4310" s="74" t="b">
        <v>1</v>
      </c>
    </row>
    <row r="4311" hidden="1">
      <c r="A4311" s="82"/>
      <c r="B4311" s="65" t="s">
        <v>467</v>
      </c>
      <c r="C4311" s="65" t="s">
        <v>113</v>
      </c>
      <c r="D4311" s="65" t="str">
        <f>vlookup(C4311,'Classificação p pessoal'!F:G,2,false)</f>
        <v>NP</v>
      </c>
      <c r="E4311" s="65" t="s">
        <v>3206</v>
      </c>
      <c r="F4311" s="83">
        <v>0.3541666666666667</v>
      </c>
      <c r="G4311" s="83">
        <v>0.375</v>
      </c>
      <c r="H4311" s="83">
        <v>0.020833333333333332</v>
      </c>
      <c r="I4311" s="84">
        <v>44410.0</v>
      </c>
      <c r="J4311" s="65" t="b">
        <v>1</v>
      </c>
      <c r="K4311" s="65"/>
      <c r="L4311" s="85" t="b">
        <f>IF(VLOOKUP(C4311,Projetos!A:L,12,false)=TRUE,TRUE,FALSE)</f>
        <v>1</v>
      </c>
      <c r="M4311" s="74">
        <v>52.1518759018759</v>
      </c>
      <c r="N4311" s="74">
        <f t="shared" si="1"/>
        <v>26.07593795</v>
      </c>
      <c r="O4311" s="74" t="b">
        <v>1</v>
      </c>
    </row>
    <row r="4312" hidden="1">
      <c r="A4312" s="82"/>
      <c r="B4312" s="65" t="s">
        <v>467</v>
      </c>
      <c r="C4312" s="65" t="s">
        <v>113</v>
      </c>
      <c r="D4312" s="65" t="str">
        <f>vlookup(C4312,'Classificação p pessoal'!F:G,2,false)</f>
        <v>NP</v>
      </c>
      <c r="E4312" s="65" t="s">
        <v>3207</v>
      </c>
      <c r="F4312" s="83">
        <v>0.375</v>
      </c>
      <c r="G4312" s="83">
        <v>0.4375</v>
      </c>
      <c r="H4312" s="83">
        <v>0.0625</v>
      </c>
      <c r="I4312" s="84">
        <v>44410.0</v>
      </c>
      <c r="J4312" s="65" t="b">
        <v>1</v>
      </c>
      <c r="K4312" s="65"/>
      <c r="L4312" s="85" t="b">
        <f>IF(VLOOKUP(C4312,Projetos!A:L,12,false)=TRUE,TRUE,FALSE)</f>
        <v>1</v>
      </c>
      <c r="M4312" s="74">
        <v>52.1518759018759</v>
      </c>
      <c r="N4312" s="74">
        <f t="shared" si="1"/>
        <v>78.22781385</v>
      </c>
      <c r="O4312" s="74" t="b">
        <v>1</v>
      </c>
    </row>
    <row r="4313" hidden="1">
      <c r="A4313" s="82"/>
      <c r="B4313" s="65" t="s">
        <v>467</v>
      </c>
      <c r="C4313" s="65" t="s">
        <v>92</v>
      </c>
      <c r="D4313" s="65" t="str">
        <f>vlookup(C4313,'Classificação p pessoal'!F:G,2,false)</f>
        <v/>
      </c>
      <c r="E4313" s="65" t="s">
        <v>3208</v>
      </c>
      <c r="F4313" s="83">
        <v>0.4409722222222222</v>
      </c>
      <c r="G4313" s="83">
        <v>0.4791666666666667</v>
      </c>
      <c r="H4313" s="83">
        <v>0.03819444444444445</v>
      </c>
      <c r="I4313" s="84">
        <v>44410.0</v>
      </c>
      <c r="J4313" s="65" t="b">
        <v>1</v>
      </c>
      <c r="K4313" s="65"/>
      <c r="L4313" s="85" t="b">
        <f>IF(VLOOKUP(C4313,Projetos!A:L,12,false)=TRUE,TRUE,FALSE)</f>
        <v>1</v>
      </c>
      <c r="M4313" s="74">
        <v>52.1518759018759</v>
      </c>
      <c r="N4313" s="74">
        <f t="shared" si="1"/>
        <v>47.80588624</v>
      </c>
      <c r="O4313" s="74" t="b">
        <v>1</v>
      </c>
    </row>
    <row r="4314" hidden="1">
      <c r="A4314" s="82"/>
      <c r="B4314" s="65" t="s">
        <v>467</v>
      </c>
      <c r="C4314" s="65" t="s">
        <v>122</v>
      </c>
      <c r="D4314" s="65" t="str">
        <f>vlookup(C4314,'Classificação p pessoal'!F:G,2,false)</f>
        <v>NP</v>
      </c>
      <c r="E4314" s="65" t="s">
        <v>3209</v>
      </c>
      <c r="F4314" s="83">
        <v>0.4791666666666667</v>
      </c>
      <c r="G4314" s="83">
        <v>0.5208333333333334</v>
      </c>
      <c r="H4314" s="83">
        <v>0.041666666666666664</v>
      </c>
      <c r="I4314" s="84">
        <v>44410.0</v>
      </c>
      <c r="J4314" s="65" t="b">
        <v>1</v>
      </c>
      <c r="K4314" s="65"/>
      <c r="L4314" s="85" t="b">
        <f>IF(VLOOKUP(C4314,Projetos!A:L,12,false)=TRUE,TRUE,FALSE)</f>
        <v>1</v>
      </c>
      <c r="M4314" s="74">
        <v>52.1518759018759</v>
      </c>
      <c r="N4314" s="74">
        <f t="shared" si="1"/>
        <v>52.1518759</v>
      </c>
      <c r="O4314" s="74" t="b">
        <v>1</v>
      </c>
    </row>
    <row r="4315" hidden="1">
      <c r="A4315" s="82"/>
      <c r="B4315" s="65" t="s">
        <v>467</v>
      </c>
      <c r="C4315" s="65" t="s">
        <v>92</v>
      </c>
      <c r="D4315" s="65" t="str">
        <f>vlookup(C4315,'Classificação p pessoal'!F:G,2,false)</f>
        <v/>
      </c>
      <c r="E4315" s="65" t="s">
        <v>3210</v>
      </c>
      <c r="F4315" s="83">
        <v>0.5694444444444444</v>
      </c>
      <c r="G4315" s="83">
        <v>0.5833333333333334</v>
      </c>
      <c r="H4315" s="83">
        <v>0.013888888888888888</v>
      </c>
      <c r="I4315" s="84">
        <v>44410.0</v>
      </c>
      <c r="J4315" s="65" t="b">
        <v>1</v>
      </c>
      <c r="K4315" s="65"/>
      <c r="L4315" s="85" t="b">
        <f>IF(VLOOKUP(C4315,Projetos!A:L,12,false)=TRUE,TRUE,FALSE)</f>
        <v>1</v>
      </c>
      <c r="M4315" s="74">
        <v>52.1518759018759</v>
      </c>
      <c r="N4315" s="74">
        <f t="shared" si="1"/>
        <v>17.38395863</v>
      </c>
      <c r="O4315" s="74" t="b">
        <v>1</v>
      </c>
    </row>
    <row r="4316" hidden="1">
      <c r="A4316" s="82"/>
      <c r="B4316" s="65" t="s">
        <v>467</v>
      </c>
      <c r="C4316" s="65" t="s">
        <v>113</v>
      </c>
      <c r="D4316" s="65" t="str">
        <f>vlookup(C4316,'Classificação p pessoal'!F:G,2,false)</f>
        <v>NP</v>
      </c>
      <c r="E4316" s="65" t="s">
        <v>3211</v>
      </c>
      <c r="F4316" s="83">
        <v>0.5833333333333334</v>
      </c>
      <c r="G4316" s="83">
        <v>0.625</v>
      </c>
      <c r="H4316" s="83">
        <v>0.041666666666666664</v>
      </c>
      <c r="I4316" s="84">
        <v>44410.0</v>
      </c>
      <c r="J4316" s="65" t="b">
        <v>1</v>
      </c>
      <c r="K4316" s="65"/>
      <c r="L4316" s="85" t="b">
        <f>IF(VLOOKUP(C4316,Projetos!A:L,12,false)=TRUE,TRUE,FALSE)</f>
        <v>1</v>
      </c>
      <c r="M4316" s="74">
        <v>52.1518759018759</v>
      </c>
      <c r="N4316" s="74">
        <f t="shared" si="1"/>
        <v>52.1518759</v>
      </c>
      <c r="O4316" s="74" t="b">
        <v>1</v>
      </c>
    </row>
    <row r="4317" hidden="1">
      <c r="A4317" s="82"/>
      <c r="B4317" s="65" t="s">
        <v>467</v>
      </c>
      <c r="C4317" s="65" t="s">
        <v>113</v>
      </c>
      <c r="D4317" s="65"/>
      <c r="E4317" s="65" t="s">
        <v>3212</v>
      </c>
      <c r="F4317" s="83">
        <v>0.625</v>
      </c>
      <c r="G4317" s="83">
        <v>0.6458333333333334</v>
      </c>
      <c r="H4317" s="83">
        <v>0.020833333333333332</v>
      </c>
      <c r="I4317" s="84">
        <v>44410.0</v>
      </c>
      <c r="J4317" s="65" t="b">
        <v>0</v>
      </c>
      <c r="K4317" s="65" t="s">
        <v>150</v>
      </c>
      <c r="L4317" s="85" t="b">
        <f>IF(VLOOKUP(C4317,Projetos!A:L,12,false)=TRUE,TRUE,FALSE)</f>
        <v>1</v>
      </c>
      <c r="M4317" s="74">
        <v>52.1518759018759</v>
      </c>
      <c r="N4317" s="74">
        <f t="shared" si="1"/>
        <v>0</v>
      </c>
      <c r="O4317" s="74" t="b">
        <v>1</v>
      </c>
    </row>
    <row r="4318" hidden="1">
      <c r="A4318" s="82"/>
      <c r="B4318" s="65" t="s">
        <v>467</v>
      </c>
      <c r="C4318" s="65" t="s">
        <v>88</v>
      </c>
      <c r="D4318" s="65" t="str">
        <f>vlookup(C4318,'Classificação p pessoal'!F:G,2,false)</f>
        <v>MProduto</v>
      </c>
      <c r="E4318" s="65" t="s">
        <v>3213</v>
      </c>
      <c r="F4318" s="83">
        <v>0.6458333333333334</v>
      </c>
      <c r="G4318" s="83">
        <v>0.7083333333333334</v>
      </c>
      <c r="H4318" s="83">
        <v>0.0625</v>
      </c>
      <c r="I4318" s="84">
        <v>44410.0</v>
      </c>
      <c r="J4318" s="65" t="b">
        <v>1</v>
      </c>
      <c r="K4318" s="65"/>
      <c r="L4318" s="85" t="b">
        <f>IF(VLOOKUP(C4318,Projetos!A:L,12,false)=TRUE,TRUE,FALSE)</f>
        <v>1</v>
      </c>
      <c r="M4318" s="74">
        <v>52.1518759018759</v>
      </c>
      <c r="N4318" s="74">
        <f t="shared" si="1"/>
        <v>78.22781385</v>
      </c>
      <c r="O4318" s="74" t="b">
        <v>1</v>
      </c>
    </row>
    <row r="4319" hidden="1">
      <c r="A4319" s="82"/>
      <c r="B4319" s="65" t="s">
        <v>467</v>
      </c>
      <c r="C4319" s="65" t="s">
        <v>113</v>
      </c>
      <c r="D4319" s="65" t="str">
        <f>vlookup(C4319,'Classificação p pessoal'!F:G,2,false)</f>
        <v>NP</v>
      </c>
      <c r="E4319" s="65" t="s">
        <v>3214</v>
      </c>
      <c r="F4319" s="83">
        <v>0.3541666666666667</v>
      </c>
      <c r="G4319" s="83">
        <v>0.375</v>
      </c>
      <c r="H4319" s="83">
        <v>0.020833333333333332</v>
      </c>
      <c r="I4319" s="84">
        <v>44411.0</v>
      </c>
      <c r="J4319" s="65" t="b">
        <v>1</v>
      </c>
      <c r="K4319" s="65"/>
      <c r="L4319" s="85" t="b">
        <f>IF(VLOOKUP(C4319,Projetos!A:L,12,false)=TRUE,TRUE,FALSE)</f>
        <v>1</v>
      </c>
      <c r="M4319" s="74">
        <v>52.1518759018759</v>
      </c>
      <c r="N4319" s="74">
        <f t="shared" si="1"/>
        <v>26.07593795</v>
      </c>
      <c r="O4319" s="74" t="b">
        <v>1</v>
      </c>
    </row>
    <row r="4320" hidden="1">
      <c r="A4320" s="82"/>
      <c r="B4320" s="65" t="s">
        <v>467</v>
      </c>
      <c r="C4320" s="65" t="s">
        <v>92</v>
      </c>
      <c r="D4320" s="65" t="str">
        <f>vlookup(C4320,'Classificação p pessoal'!F:G,2,false)</f>
        <v/>
      </c>
      <c r="E4320" s="65" t="s">
        <v>3215</v>
      </c>
      <c r="F4320" s="83">
        <v>0.4166666666666667</v>
      </c>
      <c r="G4320" s="83">
        <v>0.5</v>
      </c>
      <c r="H4320" s="83">
        <v>0.08333333333333333</v>
      </c>
      <c r="I4320" s="84">
        <v>44411.0</v>
      </c>
      <c r="J4320" s="65" t="b">
        <v>1</v>
      </c>
      <c r="K4320" s="65"/>
      <c r="L4320" s="85" t="b">
        <f>IF(VLOOKUP(C4320,Projetos!A:L,12,false)=TRUE,TRUE,FALSE)</f>
        <v>1</v>
      </c>
      <c r="M4320" s="74">
        <v>52.1518759018759</v>
      </c>
      <c r="N4320" s="74">
        <f t="shared" si="1"/>
        <v>104.3037518</v>
      </c>
      <c r="O4320" s="74" t="b">
        <v>1</v>
      </c>
    </row>
    <row r="4321" hidden="1">
      <c r="A4321" s="82"/>
      <c r="B4321" s="65" t="s">
        <v>467</v>
      </c>
      <c r="C4321" s="65" t="s">
        <v>92</v>
      </c>
      <c r="D4321" s="65" t="str">
        <f>vlookup(C4321,'Classificação p pessoal'!F:G,2,false)</f>
        <v/>
      </c>
      <c r="E4321" s="65" t="s">
        <v>3216</v>
      </c>
      <c r="F4321" s="83">
        <v>0.5416666666666666</v>
      </c>
      <c r="G4321" s="83">
        <v>0.625</v>
      </c>
      <c r="H4321" s="83">
        <v>0.08333333333333333</v>
      </c>
      <c r="I4321" s="84">
        <v>44411.0</v>
      </c>
      <c r="J4321" s="65" t="b">
        <v>1</v>
      </c>
      <c r="K4321" s="65"/>
      <c r="L4321" s="85" t="b">
        <f>IF(VLOOKUP(C4321,Projetos!A:L,12,false)=TRUE,TRUE,FALSE)</f>
        <v>1</v>
      </c>
      <c r="M4321" s="74">
        <v>52.1518759018759</v>
      </c>
      <c r="N4321" s="74">
        <f t="shared" si="1"/>
        <v>104.3037518</v>
      </c>
      <c r="O4321" s="74" t="b">
        <v>1</v>
      </c>
    </row>
    <row r="4322" hidden="1">
      <c r="A4322" s="82"/>
      <c r="B4322" s="65" t="s">
        <v>467</v>
      </c>
      <c r="C4322" s="65" t="s">
        <v>113</v>
      </c>
      <c r="D4322" s="65" t="str">
        <f>vlookup(C4322,'Classificação p pessoal'!F:G,2,false)</f>
        <v>NP</v>
      </c>
      <c r="E4322" s="65" t="s">
        <v>3217</v>
      </c>
      <c r="F4322" s="83">
        <v>0.3541666666666667</v>
      </c>
      <c r="G4322" s="83">
        <v>0.3958333333333333</v>
      </c>
      <c r="H4322" s="83">
        <v>0.041666666666666664</v>
      </c>
      <c r="I4322" s="84">
        <v>44412.0</v>
      </c>
      <c r="J4322" s="65" t="b">
        <v>1</v>
      </c>
      <c r="K4322" s="65"/>
      <c r="L4322" s="85" t="b">
        <f>IF(VLOOKUP(C4322,Projetos!A:L,12,false)=TRUE,TRUE,FALSE)</f>
        <v>1</v>
      </c>
      <c r="M4322" s="74">
        <v>52.1518759018759</v>
      </c>
      <c r="N4322" s="74">
        <f t="shared" si="1"/>
        <v>52.1518759</v>
      </c>
      <c r="O4322" s="74" t="b">
        <v>1</v>
      </c>
    </row>
    <row r="4323" hidden="1">
      <c r="A4323" s="82"/>
      <c r="B4323" s="65" t="s">
        <v>467</v>
      </c>
      <c r="C4323" s="65" t="s">
        <v>92</v>
      </c>
      <c r="D4323" s="65" t="str">
        <f>vlookup(C4323,'Classificação p pessoal'!F:G,2,false)</f>
        <v/>
      </c>
      <c r="E4323" s="65" t="s">
        <v>3218</v>
      </c>
      <c r="F4323" s="83">
        <v>0.3958333333333333</v>
      </c>
      <c r="G4323" s="83">
        <v>0.4166666666666667</v>
      </c>
      <c r="H4323" s="83">
        <v>0.020833333333333332</v>
      </c>
      <c r="I4323" s="84">
        <v>44412.0</v>
      </c>
      <c r="J4323" s="65" t="b">
        <v>1</v>
      </c>
      <c r="K4323" s="65"/>
      <c r="L4323" s="85" t="b">
        <f>IF(VLOOKUP(C4323,Projetos!A:L,12,false)=TRUE,TRUE,FALSE)</f>
        <v>1</v>
      </c>
      <c r="M4323" s="74">
        <v>52.1518759018759</v>
      </c>
      <c r="N4323" s="74">
        <f t="shared" si="1"/>
        <v>26.07593795</v>
      </c>
      <c r="O4323" s="74" t="b">
        <v>1</v>
      </c>
    </row>
    <row r="4324" hidden="1">
      <c r="A4324" s="82"/>
      <c r="B4324" s="65" t="s">
        <v>467</v>
      </c>
      <c r="C4324" s="65" t="s">
        <v>122</v>
      </c>
      <c r="D4324" s="65"/>
      <c r="E4324" s="65" t="s">
        <v>3219</v>
      </c>
      <c r="F4324" s="83">
        <v>0.4270833333333333</v>
      </c>
      <c r="G4324" s="83">
        <v>0.5</v>
      </c>
      <c r="H4324" s="83">
        <v>0.07291666666666667</v>
      </c>
      <c r="I4324" s="84">
        <v>44412.0</v>
      </c>
      <c r="J4324" s="65" t="b">
        <v>0</v>
      </c>
      <c r="K4324" s="65" t="s">
        <v>150</v>
      </c>
      <c r="L4324" s="85" t="b">
        <f>IF(VLOOKUP(C4324,Projetos!A:L,12,false)=TRUE,TRUE,FALSE)</f>
        <v>1</v>
      </c>
      <c r="M4324" s="74">
        <v>52.1518759018759</v>
      </c>
      <c r="N4324" s="74">
        <f t="shared" si="1"/>
        <v>0</v>
      </c>
      <c r="O4324" s="74" t="b">
        <v>1</v>
      </c>
    </row>
    <row r="4325" hidden="1">
      <c r="A4325" s="82"/>
      <c r="B4325" s="65" t="s">
        <v>467</v>
      </c>
      <c r="C4325" s="65" t="s">
        <v>92</v>
      </c>
      <c r="D4325" s="65"/>
      <c r="E4325" s="65" t="s">
        <v>3220</v>
      </c>
      <c r="F4325" s="83">
        <v>0.5833333333333334</v>
      </c>
      <c r="G4325" s="83">
        <v>0.6041666666666666</v>
      </c>
      <c r="H4325" s="83">
        <v>0.020833333333333332</v>
      </c>
      <c r="I4325" s="84">
        <v>44412.0</v>
      </c>
      <c r="J4325" s="65" t="b">
        <v>0</v>
      </c>
      <c r="K4325" s="65" t="s">
        <v>150</v>
      </c>
      <c r="L4325" s="85" t="b">
        <f>IF(VLOOKUP(C4325,Projetos!A:L,12,false)=TRUE,TRUE,FALSE)</f>
        <v>1</v>
      </c>
      <c r="M4325" s="74">
        <v>52.1518759018759</v>
      </c>
      <c r="N4325" s="74">
        <f t="shared" si="1"/>
        <v>0</v>
      </c>
      <c r="O4325" s="74" t="b">
        <v>1</v>
      </c>
    </row>
    <row r="4326" hidden="1">
      <c r="A4326" s="82"/>
      <c r="B4326" s="65" t="s">
        <v>467</v>
      </c>
      <c r="C4326" s="65" t="s">
        <v>92</v>
      </c>
      <c r="D4326" s="65"/>
      <c r="E4326" s="65" t="s">
        <v>3221</v>
      </c>
      <c r="F4326" s="83">
        <v>0.6041666666666666</v>
      </c>
      <c r="G4326" s="83">
        <v>0.625</v>
      </c>
      <c r="H4326" s="83">
        <v>0.020833333333333332</v>
      </c>
      <c r="I4326" s="84">
        <v>44412.0</v>
      </c>
      <c r="J4326" s="65" t="b">
        <v>0</v>
      </c>
      <c r="K4326" s="65" t="s">
        <v>150</v>
      </c>
      <c r="L4326" s="85" t="b">
        <f>IF(VLOOKUP(C4326,Projetos!A:L,12,false)=TRUE,TRUE,FALSE)</f>
        <v>1</v>
      </c>
      <c r="M4326" s="74">
        <v>52.1518759018759</v>
      </c>
      <c r="N4326" s="74">
        <f t="shared" si="1"/>
        <v>0</v>
      </c>
      <c r="O4326" s="74" t="b">
        <v>1</v>
      </c>
    </row>
    <row r="4327" hidden="1">
      <c r="A4327" s="82"/>
      <c r="B4327" s="65" t="s">
        <v>467</v>
      </c>
      <c r="C4327" s="65" t="s">
        <v>122</v>
      </c>
      <c r="D4327" s="65"/>
      <c r="E4327" s="65" t="s">
        <v>3222</v>
      </c>
      <c r="F4327" s="83">
        <v>0.3958333333333333</v>
      </c>
      <c r="G4327" s="83">
        <v>0.4375</v>
      </c>
      <c r="H4327" s="83">
        <v>0.041666666666666664</v>
      </c>
      <c r="I4327" s="84">
        <v>44413.0</v>
      </c>
      <c r="J4327" s="65" t="b">
        <v>0</v>
      </c>
      <c r="K4327" s="65" t="s">
        <v>150</v>
      </c>
      <c r="L4327" s="85" t="b">
        <f>IF(VLOOKUP(C4327,Projetos!A:L,12,false)=TRUE,TRUE,FALSE)</f>
        <v>1</v>
      </c>
      <c r="M4327" s="74">
        <v>52.1518759018759</v>
      </c>
      <c r="N4327" s="74">
        <f t="shared" si="1"/>
        <v>0</v>
      </c>
      <c r="O4327" s="74" t="b">
        <v>1</v>
      </c>
    </row>
    <row r="4328" hidden="1">
      <c r="A4328" s="82"/>
      <c r="B4328" s="65" t="s">
        <v>467</v>
      </c>
      <c r="C4328" s="65" t="s">
        <v>122</v>
      </c>
      <c r="D4328" s="65" t="str">
        <f>vlookup(C4328,'Classificação p pessoal'!F:G,2,false)</f>
        <v>NP</v>
      </c>
      <c r="E4328" s="65" t="s">
        <v>3223</v>
      </c>
      <c r="F4328" s="83">
        <v>0.4375</v>
      </c>
      <c r="G4328" s="83">
        <v>0.4791666666666667</v>
      </c>
      <c r="H4328" s="83">
        <v>0.041666666666666664</v>
      </c>
      <c r="I4328" s="84">
        <v>44413.0</v>
      </c>
      <c r="J4328" s="65" t="b">
        <v>1</v>
      </c>
      <c r="K4328" s="65"/>
      <c r="L4328" s="85" t="b">
        <f>IF(VLOOKUP(C4328,Projetos!A:L,12,false)=TRUE,TRUE,FALSE)</f>
        <v>1</v>
      </c>
      <c r="M4328" s="74">
        <v>52.1518759018759</v>
      </c>
      <c r="N4328" s="74">
        <f t="shared" si="1"/>
        <v>52.1518759</v>
      </c>
      <c r="O4328" s="74" t="b">
        <v>1</v>
      </c>
    </row>
    <row r="4329" hidden="1">
      <c r="A4329" s="82"/>
      <c r="B4329" s="65" t="s">
        <v>467</v>
      </c>
      <c r="C4329" s="65" t="s">
        <v>120</v>
      </c>
      <c r="D4329" s="65"/>
      <c r="E4329" s="65" t="s">
        <v>3224</v>
      </c>
      <c r="F4329" s="83">
        <v>0.625</v>
      </c>
      <c r="G4329" s="83">
        <v>0.75</v>
      </c>
      <c r="H4329" s="83">
        <v>0.125</v>
      </c>
      <c r="I4329" s="84">
        <v>44412.0</v>
      </c>
      <c r="J4329" s="65" t="b">
        <v>0</v>
      </c>
      <c r="K4329" s="65"/>
      <c r="L4329" s="85" t="b">
        <f>IF(VLOOKUP(C4329,Projetos!A:L,12,false)=TRUE,TRUE,FALSE)</f>
        <v>0</v>
      </c>
      <c r="M4329" s="74">
        <v>52.1518759018759</v>
      </c>
      <c r="N4329" s="74">
        <f t="shared" si="1"/>
        <v>0</v>
      </c>
      <c r="O4329" s="74" t="b">
        <v>0</v>
      </c>
    </row>
    <row r="4330" hidden="1">
      <c r="A4330" s="82"/>
      <c r="B4330" s="65" t="s">
        <v>467</v>
      </c>
      <c r="C4330" s="65" t="s">
        <v>88</v>
      </c>
      <c r="D4330" s="65"/>
      <c r="E4330" s="65" t="s">
        <v>3225</v>
      </c>
      <c r="F4330" s="83">
        <v>0.4791666666666667</v>
      </c>
      <c r="G4330" s="83">
        <v>0.5277777777777778</v>
      </c>
      <c r="H4330" s="83">
        <v>0.04861111111111111</v>
      </c>
      <c r="I4330" s="84">
        <v>44413.0</v>
      </c>
      <c r="J4330" s="65" t="b">
        <v>0</v>
      </c>
      <c r="K4330" s="65" t="s">
        <v>150</v>
      </c>
      <c r="L4330" s="85" t="b">
        <f>IF(VLOOKUP(C4330,Projetos!A:L,12,false)=TRUE,TRUE,FALSE)</f>
        <v>1</v>
      </c>
      <c r="M4330" s="74">
        <v>52.1518759018759</v>
      </c>
      <c r="N4330" s="74">
        <f t="shared" si="1"/>
        <v>0</v>
      </c>
      <c r="O4330" s="74" t="b">
        <v>1</v>
      </c>
    </row>
    <row r="4331" hidden="1">
      <c r="A4331" s="82"/>
      <c r="B4331" s="65" t="s">
        <v>467</v>
      </c>
      <c r="C4331" s="65" t="s">
        <v>113</v>
      </c>
      <c r="D4331" s="65"/>
      <c r="E4331" s="65" t="s">
        <v>3226</v>
      </c>
      <c r="F4331" s="83">
        <v>0.5833333333333334</v>
      </c>
      <c r="G4331" s="83">
        <v>0.6666666666666666</v>
      </c>
      <c r="H4331" s="83">
        <v>0.08333333333333333</v>
      </c>
      <c r="I4331" s="84">
        <v>44413.0</v>
      </c>
      <c r="J4331" s="65" t="b">
        <v>0</v>
      </c>
      <c r="K4331" s="65" t="s">
        <v>150</v>
      </c>
      <c r="L4331" s="85" t="b">
        <f>IF(VLOOKUP(C4331,Projetos!A:L,12,false)=TRUE,TRUE,FALSE)</f>
        <v>1</v>
      </c>
      <c r="M4331" s="74">
        <v>52.1518759018759</v>
      </c>
      <c r="N4331" s="74">
        <f t="shared" si="1"/>
        <v>0</v>
      </c>
      <c r="O4331" s="74" t="b">
        <v>1</v>
      </c>
    </row>
    <row r="4332" hidden="1">
      <c r="A4332" s="82"/>
      <c r="B4332" s="65" t="s">
        <v>411</v>
      </c>
      <c r="C4332" s="65" t="s">
        <v>117</v>
      </c>
      <c r="D4332" s="65"/>
      <c r="E4332" s="65" t="s">
        <v>3227</v>
      </c>
      <c r="F4332" s="83">
        <v>0.625</v>
      </c>
      <c r="G4332" s="83">
        <v>0.6875</v>
      </c>
      <c r="H4332" s="83">
        <v>0.0625</v>
      </c>
      <c r="I4332" s="84">
        <v>44208.0</v>
      </c>
      <c r="J4332" s="65" t="b">
        <v>0</v>
      </c>
      <c r="K4332" s="65" t="s">
        <v>150</v>
      </c>
      <c r="L4332" s="85" t="b">
        <f>IF(VLOOKUP(C4332,Projetos!A:L,12,false)=TRUE,TRUE,FALSE)</f>
        <v>1</v>
      </c>
      <c r="M4332" s="74">
        <v>52.48434411075036</v>
      </c>
      <c r="N4332" s="74">
        <f t="shared" si="1"/>
        <v>0</v>
      </c>
      <c r="O4332" s="74" t="b">
        <v>1</v>
      </c>
    </row>
    <row r="4333" hidden="1">
      <c r="A4333" s="82"/>
      <c r="B4333" s="65" t="s">
        <v>467</v>
      </c>
      <c r="C4333" s="65" t="s">
        <v>92</v>
      </c>
      <c r="D4333" s="65" t="str">
        <f>vlookup(C4333,'Classificação p pessoal'!F:G,2,false)</f>
        <v/>
      </c>
      <c r="E4333" s="65" t="s">
        <v>3228</v>
      </c>
      <c r="F4333" s="83">
        <v>0.4375</v>
      </c>
      <c r="G4333" s="83">
        <v>0.5208333333333334</v>
      </c>
      <c r="H4333" s="83">
        <v>0.08333333333333333</v>
      </c>
      <c r="I4333" s="84">
        <v>44414.0</v>
      </c>
      <c r="J4333" s="65" t="b">
        <v>1</v>
      </c>
      <c r="K4333" s="65"/>
      <c r="L4333" s="85" t="b">
        <f>IF(VLOOKUP(C4333,Projetos!A:L,12,false)=TRUE,TRUE,FALSE)</f>
        <v>1</v>
      </c>
      <c r="M4333" s="74">
        <v>52.1518759018759</v>
      </c>
      <c r="N4333" s="74">
        <f t="shared" si="1"/>
        <v>104.3037518</v>
      </c>
      <c r="O4333" s="74" t="b">
        <v>1</v>
      </c>
    </row>
    <row r="4334" hidden="1">
      <c r="A4334" s="82"/>
      <c r="B4334" s="65" t="s">
        <v>467</v>
      </c>
      <c r="C4334" s="65" t="s">
        <v>130</v>
      </c>
      <c r="D4334" s="65" t="str">
        <f>vlookup(C4334,'Classificação p pessoal'!F:G,2,false)</f>
        <v>NP</v>
      </c>
      <c r="E4334" s="65" t="s">
        <v>3229</v>
      </c>
      <c r="F4334" s="83">
        <v>0.5833333333333334</v>
      </c>
      <c r="G4334" s="83">
        <v>0.625</v>
      </c>
      <c r="H4334" s="83">
        <v>0.041666666666666664</v>
      </c>
      <c r="I4334" s="84">
        <v>44414.0</v>
      </c>
      <c r="J4334" s="65" t="b">
        <v>1</v>
      </c>
      <c r="K4334" s="65"/>
      <c r="L4334" s="85" t="b">
        <f>IF(VLOOKUP(C4334,Projetos!A:L,12,false)=TRUE,TRUE,FALSE)</f>
        <v>1</v>
      </c>
      <c r="M4334" s="74">
        <v>52.1518759018759</v>
      </c>
      <c r="N4334" s="74">
        <f t="shared" si="1"/>
        <v>52.1518759</v>
      </c>
      <c r="O4334" s="74" t="b">
        <v>1</v>
      </c>
    </row>
    <row r="4335" hidden="1">
      <c r="A4335" s="82"/>
      <c r="B4335" s="65" t="s">
        <v>467</v>
      </c>
      <c r="C4335" s="65" t="s">
        <v>130</v>
      </c>
      <c r="D4335" s="65" t="str">
        <f>vlookup(C4335,'Classificação p pessoal'!F:G,2,false)</f>
        <v>NP</v>
      </c>
      <c r="E4335" s="65" t="s">
        <v>3230</v>
      </c>
      <c r="F4335" s="83">
        <v>0.625</v>
      </c>
      <c r="G4335" s="83">
        <v>0.7083333333333334</v>
      </c>
      <c r="H4335" s="83">
        <v>0.08333333333333333</v>
      </c>
      <c r="I4335" s="84">
        <v>44414.0</v>
      </c>
      <c r="J4335" s="65" t="b">
        <v>1</v>
      </c>
      <c r="K4335" s="65"/>
      <c r="L4335" s="85" t="b">
        <f>IF(VLOOKUP(C4335,Projetos!A:L,12,false)=TRUE,TRUE,FALSE)</f>
        <v>1</v>
      </c>
      <c r="M4335" s="74">
        <v>52.1518759018759</v>
      </c>
      <c r="N4335" s="74">
        <f t="shared" si="1"/>
        <v>104.3037518</v>
      </c>
      <c r="O4335" s="74" t="b">
        <v>1</v>
      </c>
    </row>
    <row r="4336" hidden="1">
      <c r="A4336" s="82"/>
      <c r="B4336" s="65" t="s">
        <v>467</v>
      </c>
      <c r="C4336" s="65" t="s">
        <v>88</v>
      </c>
      <c r="D4336" s="65" t="str">
        <f>vlookup(C4336,'Classificação p pessoal'!F:G,2,false)</f>
        <v>MProduto</v>
      </c>
      <c r="E4336" s="65" t="s">
        <v>3231</v>
      </c>
      <c r="F4336" s="83">
        <v>0.7083333333333334</v>
      </c>
      <c r="G4336" s="83">
        <v>0.75</v>
      </c>
      <c r="H4336" s="83">
        <v>0.041666666666666664</v>
      </c>
      <c r="I4336" s="84">
        <v>44414.0</v>
      </c>
      <c r="J4336" s="65" t="b">
        <v>1</v>
      </c>
      <c r="K4336" s="65"/>
      <c r="L4336" s="85" t="b">
        <f>IF(VLOOKUP(C4336,Projetos!A:L,12,false)=TRUE,TRUE,FALSE)</f>
        <v>1</v>
      </c>
      <c r="M4336" s="74">
        <v>52.1518759018759</v>
      </c>
      <c r="N4336" s="74">
        <f t="shared" si="1"/>
        <v>52.1518759</v>
      </c>
      <c r="O4336" s="74" t="b">
        <v>1</v>
      </c>
    </row>
    <row r="4337" hidden="1">
      <c r="A4337" s="82"/>
      <c r="B4337" s="65" t="s">
        <v>467</v>
      </c>
      <c r="C4337" s="65" t="s">
        <v>121</v>
      </c>
      <c r="D4337" s="65" t="str">
        <f>vlookup(C4337,'Classificação p pessoal'!F:G,2,false)</f>
        <v>NP</v>
      </c>
      <c r="E4337" s="65" t="s">
        <v>3232</v>
      </c>
      <c r="F4337" s="83">
        <v>0.4166666666666667</v>
      </c>
      <c r="G4337" s="83">
        <v>0.5208333333333334</v>
      </c>
      <c r="H4337" s="83">
        <v>0.10416666666666667</v>
      </c>
      <c r="I4337" s="84">
        <v>44417.0</v>
      </c>
      <c r="J4337" s="65" t="b">
        <v>1</v>
      </c>
      <c r="K4337" s="65"/>
      <c r="L4337" s="85" t="b">
        <f>IF(VLOOKUP(C4337,Projetos!A:L,12,false)=TRUE,TRUE,FALSE)</f>
        <v>1</v>
      </c>
      <c r="M4337" s="74">
        <v>52.1518759018759</v>
      </c>
      <c r="N4337" s="74">
        <f t="shared" si="1"/>
        <v>130.3796898</v>
      </c>
      <c r="O4337" s="74" t="b">
        <v>1</v>
      </c>
    </row>
    <row r="4338" hidden="1">
      <c r="A4338" s="82"/>
      <c r="B4338" s="65" t="s">
        <v>467</v>
      </c>
      <c r="C4338" s="65" t="s">
        <v>92</v>
      </c>
      <c r="D4338" s="65" t="str">
        <f>vlookup(C4338,'Classificação p pessoal'!F:G,2,false)</f>
        <v/>
      </c>
      <c r="E4338" s="65" t="s">
        <v>3233</v>
      </c>
      <c r="F4338" s="83">
        <v>0.5625</v>
      </c>
      <c r="G4338" s="83">
        <v>0.5833333333333334</v>
      </c>
      <c r="H4338" s="83">
        <v>0.020833333333333332</v>
      </c>
      <c r="I4338" s="84">
        <v>44417.0</v>
      </c>
      <c r="J4338" s="65" t="b">
        <v>1</v>
      </c>
      <c r="K4338" s="65"/>
      <c r="L4338" s="85" t="b">
        <f>IF(VLOOKUP(C4338,Projetos!A:L,12,false)=TRUE,TRUE,FALSE)</f>
        <v>1</v>
      </c>
      <c r="M4338" s="74">
        <v>52.1518759018759</v>
      </c>
      <c r="N4338" s="74">
        <f t="shared" si="1"/>
        <v>26.07593795</v>
      </c>
      <c r="O4338" s="74" t="b">
        <v>1</v>
      </c>
    </row>
    <row r="4339" hidden="1">
      <c r="A4339" s="82"/>
      <c r="B4339" s="65" t="s">
        <v>467</v>
      </c>
      <c r="C4339" s="65" t="s">
        <v>120</v>
      </c>
      <c r="D4339" s="65"/>
      <c r="E4339" s="65" t="s">
        <v>3234</v>
      </c>
      <c r="F4339" s="83">
        <v>0.6041666666666666</v>
      </c>
      <c r="G4339" s="83">
        <v>0.6666666666666666</v>
      </c>
      <c r="H4339" s="83">
        <v>0.0625</v>
      </c>
      <c r="I4339" s="84">
        <v>44417.0</v>
      </c>
      <c r="J4339" s="65" t="b">
        <v>0</v>
      </c>
      <c r="K4339" s="65" t="s">
        <v>150</v>
      </c>
      <c r="L4339" s="85" t="b">
        <f>IF(VLOOKUP(C4339,Projetos!A:L,12,false)=TRUE,TRUE,FALSE)</f>
        <v>0</v>
      </c>
      <c r="M4339" s="74">
        <v>52.1518759018759</v>
      </c>
      <c r="N4339" s="74">
        <f t="shared" si="1"/>
        <v>0</v>
      </c>
      <c r="O4339" s="74" t="b">
        <v>0</v>
      </c>
    </row>
    <row r="4340" hidden="1">
      <c r="A4340" s="82"/>
      <c r="B4340" s="65" t="s">
        <v>467</v>
      </c>
      <c r="C4340" s="65" t="s">
        <v>122</v>
      </c>
      <c r="D4340" s="65" t="str">
        <f>vlookup(C4340,'Classificação p pessoal'!F:G,2,false)</f>
        <v>NP</v>
      </c>
      <c r="E4340" s="65" t="s">
        <v>3235</v>
      </c>
      <c r="F4340" s="83">
        <v>0.6666666666666666</v>
      </c>
      <c r="G4340" s="83">
        <v>0.7083333333333334</v>
      </c>
      <c r="H4340" s="83">
        <v>0.041666666666666664</v>
      </c>
      <c r="I4340" s="84">
        <v>44417.0</v>
      </c>
      <c r="J4340" s="65" t="b">
        <v>1</v>
      </c>
      <c r="K4340" s="65"/>
      <c r="L4340" s="85" t="b">
        <f>IF(VLOOKUP(C4340,Projetos!A:L,12,false)=TRUE,TRUE,FALSE)</f>
        <v>1</v>
      </c>
      <c r="M4340" s="74">
        <v>52.1518759018759</v>
      </c>
      <c r="N4340" s="74">
        <f t="shared" si="1"/>
        <v>52.1518759</v>
      </c>
      <c r="O4340" s="74" t="b">
        <v>1</v>
      </c>
    </row>
    <row r="4341" hidden="1">
      <c r="A4341" s="82"/>
      <c r="B4341" s="65" t="s">
        <v>467</v>
      </c>
      <c r="C4341" s="65" t="s">
        <v>113</v>
      </c>
      <c r="D4341" s="65"/>
      <c r="E4341" s="65" t="s">
        <v>3236</v>
      </c>
      <c r="F4341" s="83">
        <v>0.3541666666666667</v>
      </c>
      <c r="G4341" s="83">
        <v>0.375</v>
      </c>
      <c r="H4341" s="83">
        <v>0.020833333333333332</v>
      </c>
      <c r="I4341" s="84">
        <v>44418.0</v>
      </c>
      <c r="J4341" s="65" t="b">
        <v>0</v>
      </c>
      <c r="K4341" s="65" t="s">
        <v>150</v>
      </c>
      <c r="L4341" s="85" t="b">
        <f>IF(VLOOKUP(C4341,Projetos!A:L,12,false)=TRUE,TRUE,FALSE)</f>
        <v>1</v>
      </c>
      <c r="M4341" s="74">
        <v>52.1518759018759</v>
      </c>
      <c r="N4341" s="74">
        <f t="shared" si="1"/>
        <v>0</v>
      </c>
      <c r="O4341" s="74" t="b">
        <v>1</v>
      </c>
    </row>
    <row r="4342" hidden="1">
      <c r="A4342" s="82"/>
      <c r="B4342" s="65" t="s">
        <v>467</v>
      </c>
      <c r="C4342" s="65" t="s">
        <v>120</v>
      </c>
      <c r="D4342" s="65"/>
      <c r="E4342" s="65" t="s">
        <v>3237</v>
      </c>
      <c r="F4342" s="83">
        <v>0.375</v>
      </c>
      <c r="G4342" s="83">
        <v>0.4375</v>
      </c>
      <c r="H4342" s="83">
        <v>0.0625</v>
      </c>
      <c r="I4342" s="84">
        <v>44418.0</v>
      </c>
      <c r="J4342" s="65" t="b">
        <v>0</v>
      </c>
      <c r="K4342" s="65"/>
      <c r="L4342" s="85" t="b">
        <f>IF(VLOOKUP(C4342,Projetos!A:L,12,false)=TRUE,TRUE,FALSE)</f>
        <v>0</v>
      </c>
      <c r="M4342" s="74">
        <v>52.1518759018759</v>
      </c>
      <c r="N4342" s="74">
        <f t="shared" si="1"/>
        <v>0</v>
      </c>
      <c r="O4342" s="74" t="b">
        <v>0</v>
      </c>
    </row>
    <row r="4343" hidden="1">
      <c r="A4343" s="82"/>
      <c r="B4343" s="65" t="s">
        <v>467</v>
      </c>
      <c r="C4343" s="65" t="s">
        <v>92</v>
      </c>
      <c r="D4343" s="65" t="str">
        <f>vlookup(C4343,'Classificação p pessoal'!F:G,2,false)</f>
        <v/>
      </c>
      <c r="E4343" s="65" t="s">
        <v>3238</v>
      </c>
      <c r="F4343" s="83">
        <v>0.4375</v>
      </c>
      <c r="G4343" s="83">
        <v>0.4583333333333333</v>
      </c>
      <c r="H4343" s="83">
        <v>0.020833333333333332</v>
      </c>
      <c r="I4343" s="84">
        <v>44418.0</v>
      </c>
      <c r="J4343" s="65" t="b">
        <v>1</v>
      </c>
      <c r="K4343" s="65"/>
      <c r="L4343" s="85" t="b">
        <f>IF(VLOOKUP(C4343,Projetos!A:L,12,false)=TRUE,TRUE,FALSE)</f>
        <v>1</v>
      </c>
      <c r="M4343" s="74">
        <v>52.1518759018759</v>
      </c>
      <c r="N4343" s="74">
        <f t="shared" si="1"/>
        <v>26.07593795</v>
      </c>
      <c r="O4343" s="74" t="b">
        <v>1</v>
      </c>
    </row>
    <row r="4344" hidden="1">
      <c r="A4344" s="82"/>
      <c r="B4344" s="65" t="s">
        <v>467</v>
      </c>
      <c r="C4344" s="65" t="s">
        <v>121</v>
      </c>
      <c r="D4344" s="65" t="str">
        <f>vlookup(C4344,'Classificação p pessoal'!F:G,2,false)</f>
        <v>NP</v>
      </c>
      <c r="E4344" s="65" t="s">
        <v>3239</v>
      </c>
      <c r="F4344" s="83">
        <v>0.4583333333333333</v>
      </c>
      <c r="G4344" s="83">
        <v>0.5</v>
      </c>
      <c r="H4344" s="83">
        <v>0.041666666666666664</v>
      </c>
      <c r="I4344" s="84">
        <v>44418.0</v>
      </c>
      <c r="J4344" s="65" t="b">
        <v>1</v>
      </c>
      <c r="K4344" s="65"/>
      <c r="L4344" s="85" t="b">
        <f>IF(VLOOKUP(C4344,Projetos!A:L,12,false)=TRUE,TRUE,FALSE)</f>
        <v>1</v>
      </c>
      <c r="M4344" s="74">
        <v>52.1518759018759</v>
      </c>
      <c r="N4344" s="74">
        <f t="shared" si="1"/>
        <v>52.1518759</v>
      </c>
      <c r="O4344" s="74" t="b">
        <v>1</v>
      </c>
    </row>
    <row r="4345" hidden="1">
      <c r="A4345" s="82"/>
      <c r="B4345" s="65" t="s">
        <v>467</v>
      </c>
      <c r="C4345" s="65" t="s">
        <v>92</v>
      </c>
      <c r="D4345" s="65" t="str">
        <f>vlookup(C4345,'Classificação p pessoal'!F:G,2,false)</f>
        <v/>
      </c>
      <c r="E4345" s="65" t="s">
        <v>3240</v>
      </c>
      <c r="F4345" s="83">
        <v>0.5625</v>
      </c>
      <c r="G4345" s="83">
        <v>0.6041666666666666</v>
      </c>
      <c r="H4345" s="83">
        <v>0.041666666666666664</v>
      </c>
      <c r="I4345" s="84">
        <v>44418.0</v>
      </c>
      <c r="J4345" s="65" t="b">
        <v>1</v>
      </c>
      <c r="K4345" s="65"/>
      <c r="L4345" s="85" t="b">
        <f>IF(VLOOKUP(C4345,Projetos!A:L,12,false)=TRUE,TRUE,FALSE)</f>
        <v>1</v>
      </c>
      <c r="M4345" s="74">
        <v>52.1518759018759</v>
      </c>
      <c r="N4345" s="74">
        <f t="shared" si="1"/>
        <v>52.1518759</v>
      </c>
      <c r="O4345" s="74" t="b">
        <v>1</v>
      </c>
    </row>
    <row r="4346" hidden="1">
      <c r="A4346" s="82"/>
      <c r="B4346" s="65" t="s">
        <v>467</v>
      </c>
      <c r="C4346" s="65" t="s">
        <v>113</v>
      </c>
      <c r="D4346" s="65" t="str">
        <f>vlookup(C4346,'Classificação p pessoal'!F:G,2,false)</f>
        <v>NP</v>
      </c>
      <c r="E4346" s="65" t="s">
        <v>3241</v>
      </c>
      <c r="F4346" s="83">
        <v>0.6041666666666666</v>
      </c>
      <c r="G4346" s="83">
        <v>0.625</v>
      </c>
      <c r="H4346" s="83">
        <v>0.020833333333333332</v>
      </c>
      <c r="I4346" s="84">
        <v>44418.0</v>
      </c>
      <c r="J4346" s="65" t="b">
        <v>1</v>
      </c>
      <c r="K4346" s="65"/>
      <c r="L4346" s="85" t="b">
        <f>IF(VLOOKUP(C4346,Projetos!A:L,12,false)=TRUE,TRUE,FALSE)</f>
        <v>1</v>
      </c>
      <c r="M4346" s="74">
        <v>52.1518759018759</v>
      </c>
      <c r="N4346" s="74">
        <f t="shared" si="1"/>
        <v>26.07593795</v>
      </c>
      <c r="O4346" s="74" t="b">
        <v>1</v>
      </c>
    </row>
    <row r="4347" hidden="1">
      <c r="A4347" s="82"/>
      <c r="B4347" s="65" t="s">
        <v>467</v>
      </c>
      <c r="C4347" s="65" t="s">
        <v>113</v>
      </c>
      <c r="D4347" s="65"/>
      <c r="E4347" s="65" t="s">
        <v>3242</v>
      </c>
      <c r="F4347" s="83">
        <v>0.625</v>
      </c>
      <c r="G4347" s="83">
        <v>0.6666666666666666</v>
      </c>
      <c r="H4347" s="83">
        <v>0.041666666666666664</v>
      </c>
      <c r="I4347" s="84">
        <v>44418.0</v>
      </c>
      <c r="J4347" s="65" t="b">
        <v>0</v>
      </c>
      <c r="K4347" s="65" t="s">
        <v>150</v>
      </c>
      <c r="L4347" s="85" t="b">
        <f>IF(VLOOKUP(C4347,Projetos!A:L,12,false)=TRUE,TRUE,FALSE)</f>
        <v>1</v>
      </c>
      <c r="M4347" s="74">
        <v>52.1518759018759</v>
      </c>
      <c r="N4347" s="74">
        <f t="shared" si="1"/>
        <v>0</v>
      </c>
      <c r="O4347" s="74" t="b">
        <v>1</v>
      </c>
    </row>
    <row r="4348" hidden="1">
      <c r="A4348" s="82"/>
      <c r="B4348" s="65" t="s">
        <v>467</v>
      </c>
      <c r="C4348" s="65" t="s">
        <v>113</v>
      </c>
      <c r="D4348" s="65" t="str">
        <f>vlookup(C4348,'Classificação p pessoal'!F:G,2,false)</f>
        <v>NP</v>
      </c>
      <c r="E4348" s="65" t="s">
        <v>3243</v>
      </c>
      <c r="F4348" s="83">
        <v>0.3541666666666667</v>
      </c>
      <c r="G4348" s="83">
        <v>0.4166666666666667</v>
      </c>
      <c r="H4348" s="83">
        <v>0.0625</v>
      </c>
      <c r="I4348" s="84">
        <v>44419.0</v>
      </c>
      <c r="J4348" s="65" t="b">
        <v>1</v>
      </c>
      <c r="K4348" s="65"/>
      <c r="L4348" s="85" t="b">
        <f>IF(VLOOKUP(C4348,Projetos!A:L,12,false)=TRUE,TRUE,FALSE)</f>
        <v>1</v>
      </c>
      <c r="M4348" s="74">
        <v>52.1518759018759</v>
      </c>
      <c r="N4348" s="74">
        <f t="shared" si="1"/>
        <v>78.22781385</v>
      </c>
      <c r="O4348" s="74" t="b">
        <v>1</v>
      </c>
    </row>
    <row r="4349" hidden="1">
      <c r="A4349" s="82"/>
      <c r="B4349" s="65" t="s">
        <v>467</v>
      </c>
      <c r="C4349" s="65" t="s">
        <v>88</v>
      </c>
      <c r="D4349" s="65" t="str">
        <f>vlookup(C4349,'Classificação p pessoal'!F:G,2,false)</f>
        <v>MProduto</v>
      </c>
      <c r="E4349" s="65" t="s">
        <v>3244</v>
      </c>
      <c r="F4349" s="83">
        <v>0.4166666666666667</v>
      </c>
      <c r="G4349" s="83">
        <v>0.4583333333333333</v>
      </c>
      <c r="H4349" s="83">
        <v>0.041666666666666664</v>
      </c>
      <c r="I4349" s="84">
        <v>44419.0</v>
      </c>
      <c r="J4349" s="65" t="b">
        <v>1</v>
      </c>
      <c r="K4349" s="65"/>
      <c r="L4349" s="85" t="b">
        <f>IF(VLOOKUP(C4349,Projetos!A:L,12,false)=TRUE,TRUE,FALSE)</f>
        <v>1</v>
      </c>
      <c r="M4349" s="74">
        <v>52.1518759018759</v>
      </c>
      <c r="N4349" s="74">
        <f t="shared" si="1"/>
        <v>52.1518759</v>
      </c>
      <c r="O4349" s="74" t="b">
        <v>1</v>
      </c>
    </row>
    <row r="4350" hidden="1">
      <c r="A4350" s="82"/>
      <c r="B4350" s="65" t="s">
        <v>467</v>
      </c>
      <c r="C4350" s="65" t="s">
        <v>122</v>
      </c>
      <c r="D4350" s="65"/>
      <c r="E4350" s="65" t="s">
        <v>3245</v>
      </c>
      <c r="F4350" s="83">
        <v>0.4583333333333333</v>
      </c>
      <c r="G4350" s="83">
        <v>0.5208333333333334</v>
      </c>
      <c r="H4350" s="83">
        <v>0.0625</v>
      </c>
      <c r="I4350" s="84">
        <v>44419.0</v>
      </c>
      <c r="J4350" s="65" t="b">
        <v>0</v>
      </c>
      <c r="K4350" s="65" t="s">
        <v>150</v>
      </c>
      <c r="L4350" s="85" t="b">
        <f>IF(VLOOKUP(C4350,Projetos!A:L,12,false)=TRUE,TRUE,FALSE)</f>
        <v>1</v>
      </c>
      <c r="M4350" s="74">
        <v>52.1518759018759</v>
      </c>
      <c r="N4350" s="74">
        <f t="shared" si="1"/>
        <v>0</v>
      </c>
      <c r="O4350" s="74" t="b">
        <v>1</v>
      </c>
    </row>
    <row r="4351" hidden="1">
      <c r="A4351" s="82"/>
      <c r="B4351" s="65" t="s">
        <v>467</v>
      </c>
      <c r="C4351" s="65" t="s">
        <v>122</v>
      </c>
      <c r="D4351" s="65" t="str">
        <f>vlookup(C4351,'Classificação p pessoal'!F:G,2,false)</f>
        <v>NP</v>
      </c>
      <c r="E4351" s="65" t="s">
        <v>3246</v>
      </c>
      <c r="F4351" s="83">
        <v>0.5833333333333334</v>
      </c>
      <c r="G4351" s="83">
        <v>0.625</v>
      </c>
      <c r="H4351" s="83">
        <v>0.041666666666666664</v>
      </c>
      <c r="I4351" s="84">
        <v>44419.0</v>
      </c>
      <c r="J4351" s="65" t="b">
        <v>1</v>
      </c>
      <c r="K4351" s="65"/>
      <c r="L4351" s="85" t="b">
        <f>IF(VLOOKUP(C4351,Projetos!A:L,12,false)=TRUE,TRUE,FALSE)</f>
        <v>1</v>
      </c>
      <c r="M4351" s="74">
        <v>52.1518759018759</v>
      </c>
      <c r="N4351" s="74">
        <f t="shared" si="1"/>
        <v>52.1518759</v>
      </c>
      <c r="O4351" s="74" t="b">
        <v>1</v>
      </c>
    </row>
    <row r="4352" hidden="1">
      <c r="A4352" s="82"/>
      <c r="B4352" s="65" t="s">
        <v>467</v>
      </c>
      <c r="C4352" s="65" t="s">
        <v>120</v>
      </c>
      <c r="D4352" s="65"/>
      <c r="E4352" s="65" t="s">
        <v>3247</v>
      </c>
      <c r="F4352" s="83">
        <v>0.3541666666666667</v>
      </c>
      <c r="G4352" s="83">
        <v>0.4166666666666667</v>
      </c>
      <c r="H4352" s="83">
        <v>0.0625</v>
      </c>
      <c r="I4352" s="84">
        <v>44420.0</v>
      </c>
      <c r="J4352" s="65" t="b">
        <v>0</v>
      </c>
      <c r="K4352" s="65"/>
      <c r="L4352" s="85" t="b">
        <f>IF(VLOOKUP(C4352,Projetos!A:L,12,false)=TRUE,TRUE,FALSE)</f>
        <v>0</v>
      </c>
      <c r="M4352" s="74">
        <v>52.1518759018759</v>
      </c>
      <c r="N4352" s="74">
        <f t="shared" si="1"/>
        <v>0</v>
      </c>
      <c r="O4352" s="74" t="b">
        <v>0</v>
      </c>
    </row>
    <row r="4353" hidden="1">
      <c r="A4353" s="82"/>
      <c r="B4353" s="65" t="s">
        <v>467</v>
      </c>
      <c r="C4353" s="65" t="s">
        <v>92</v>
      </c>
      <c r="D4353" s="65" t="str">
        <f>vlookup(C4353,'Classificação p pessoal'!F:G,2,false)</f>
        <v/>
      </c>
      <c r="E4353" s="65" t="s">
        <v>3248</v>
      </c>
      <c r="F4353" s="83">
        <v>0.4166666666666667</v>
      </c>
      <c r="G4353" s="83">
        <v>0.5</v>
      </c>
      <c r="H4353" s="83">
        <v>0.08333333333333333</v>
      </c>
      <c r="I4353" s="84">
        <v>44420.0</v>
      </c>
      <c r="J4353" s="65" t="b">
        <v>1</v>
      </c>
      <c r="K4353" s="65"/>
      <c r="L4353" s="85" t="b">
        <f>IF(VLOOKUP(C4353,Projetos!A:L,12,false)=TRUE,TRUE,FALSE)</f>
        <v>1</v>
      </c>
      <c r="M4353" s="74">
        <v>52.1518759018759</v>
      </c>
      <c r="N4353" s="74">
        <f t="shared" si="1"/>
        <v>104.3037518</v>
      </c>
      <c r="O4353" s="74" t="b">
        <v>1</v>
      </c>
    </row>
    <row r="4354" hidden="1">
      <c r="A4354" s="82"/>
      <c r="B4354" s="65" t="s">
        <v>467</v>
      </c>
      <c r="C4354" s="65" t="s">
        <v>92</v>
      </c>
      <c r="D4354" s="65" t="str">
        <f>vlookup(C4354,'Classificação p pessoal'!F:G,2,false)</f>
        <v/>
      </c>
      <c r="E4354" s="65" t="s">
        <v>3249</v>
      </c>
      <c r="F4354" s="83">
        <v>0.5833333333333334</v>
      </c>
      <c r="G4354" s="83">
        <v>0.6666666666666666</v>
      </c>
      <c r="H4354" s="83">
        <v>0.08333333333333333</v>
      </c>
      <c r="I4354" s="84">
        <v>44420.0</v>
      </c>
      <c r="J4354" s="65" t="b">
        <v>1</v>
      </c>
      <c r="K4354" s="65"/>
      <c r="L4354" s="85" t="b">
        <f>IF(VLOOKUP(C4354,Projetos!A:L,12,false)=TRUE,TRUE,FALSE)</f>
        <v>1</v>
      </c>
      <c r="M4354" s="74">
        <v>52.1518759018759</v>
      </c>
      <c r="N4354" s="74">
        <f t="shared" si="1"/>
        <v>104.3037518</v>
      </c>
      <c r="O4354" s="74" t="b">
        <v>1</v>
      </c>
    </row>
    <row r="4355" hidden="1">
      <c r="A4355" s="82"/>
      <c r="B4355" s="65" t="s">
        <v>467</v>
      </c>
      <c r="C4355" s="65" t="s">
        <v>92</v>
      </c>
      <c r="D4355" s="65" t="str">
        <f>vlookup(C4355,'Classificação p pessoal'!F:G,2,false)</f>
        <v/>
      </c>
      <c r="E4355" s="65" t="s">
        <v>3250</v>
      </c>
      <c r="F4355" s="83">
        <v>0.375</v>
      </c>
      <c r="G4355" s="83">
        <v>0.4166666666666667</v>
      </c>
      <c r="H4355" s="83">
        <v>0.041666666666666664</v>
      </c>
      <c r="I4355" s="84">
        <v>44421.0</v>
      </c>
      <c r="J4355" s="65" t="b">
        <v>1</v>
      </c>
      <c r="K4355" s="65"/>
      <c r="L4355" s="85" t="b">
        <f>IF(VLOOKUP(C4355,Projetos!A:L,12,false)=TRUE,TRUE,FALSE)</f>
        <v>1</v>
      </c>
      <c r="M4355" s="74">
        <v>52.1518759018759</v>
      </c>
      <c r="N4355" s="74">
        <f t="shared" si="1"/>
        <v>52.1518759</v>
      </c>
      <c r="O4355" s="74" t="b">
        <v>1</v>
      </c>
    </row>
    <row r="4356" hidden="1">
      <c r="A4356" s="82"/>
      <c r="B4356" s="65" t="s">
        <v>467</v>
      </c>
      <c r="C4356" s="65" t="s">
        <v>113</v>
      </c>
      <c r="D4356" s="65" t="str">
        <f>vlookup(C4356,'Classificação p pessoal'!F:G,2,false)</f>
        <v>NP</v>
      </c>
      <c r="E4356" s="65" t="s">
        <v>3251</v>
      </c>
      <c r="F4356" s="83">
        <v>0.4166666666666667</v>
      </c>
      <c r="G4356" s="83">
        <v>0.46875</v>
      </c>
      <c r="H4356" s="83">
        <v>0.052083333333333336</v>
      </c>
      <c r="I4356" s="84">
        <v>44421.0</v>
      </c>
      <c r="J4356" s="65" t="b">
        <v>1</v>
      </c>
      <c r="K4356" s="65"/>
      <c r="L4356" s="85" t="b">
        <f>IF(VLOOKUP(C4356,Projetos!A:L,12,false)=TRUE,TRUE,FALSE)</f>
        <v>1</v>
      </c>
      <c r="M4356" s="74">
        <v>52.1518759018759</v>
      </c>
      <c r="N4356" s="74">
        <f t="shared" si="1"/>
        <v>65.18984488</v>
      </c>
      <c r="O4356" s="74" t="b">
        <v>1</v>
      </c>
    </row>
    <row r="4357" hidden="1">
      <c r="A4357" s="82"/>
      <c r="B4357" s="65" t="s">
        <v>467</v>
      </c>
      <c r="C4357" s="65" t="s">
        <v>130</v>
      </c>
      <c r="D4357" s="65" t="str">
        <f>vlookup(C4357,'Classificação p pessoal'!F:G,2,false)</f>
        <v>NP</v>
      </c>
      <c r="E4357" s="65" t="s">
        <v>3252</v>
      </c>
      <c r="F4357" s="83">
        <v>0.46875</v>
      </c>
      <c r="G4357" s="83">
        <v>0.4791666666666667</v>
      </c>
      <c r="H4357" s="83">
        <v>0.010416666666666666</v>
      </c>
      <c r="I4357" s="84">
        <v>44421.0</v>
      </c>
      <c r="J4357" s="65" t="b">
        <v>1</v>
      </c>
      <c r="K4357" s="65"/>
      <c r="L4357" s="85" t="b">
        <f>IF(VLOOKUP(C4357,Projetos!A:L,12,false)=TRUE,TRUE,FALSE)</f>
        <v>1</v>
      </c>
      <c r="M4357" s="74">
        <v>52.1518759018759</v>
      </c>
      <c r="N4357" s="74">
        <f t="shared" si="1"/>
        <v>13.03796898</v>
      </c>
      <c r="O4357" s="74" t="b">
        <v>1</v>
      </c>
    </row>
    <row r="4358" hidden="1">
      <c r="A4358" s="82"/>
      <c r="B4358" s="65" t="s">
        <v>467</v>
      </c>
      <c r="C4358" s="65" t="s">
        <v>117</v>
      </c>
      <c r="D4358" s="65" t="str">
        <f>vlookup(C4358,'Classificação p pessoal'!F:G,2,false)</f>
        <v>NP</v>
      </c>
      <c r="E4358" s="65" t="s">
        <v>3253</v>
      </c>
      <c r="F4358" s="83">
        <v>0.6666666666666666</v>
      </c>
      <c r="G4358" s="83">
        <v>0.7083333333333334</v>
      </c>
      <c r="H4358" s="83">
        <v>0.041666666666666664</v>
      </c>
      <c r="I4358" s="84">
        <v>44421.0</v>
      </c>
      <c r="J4358" s="65" t="b">
        <v>1</v>
      </c>
      <c r="K4358" s="65"/>
      <c r="L4358" s="85" t="b">
        <f>IF(VLOOKUP(C4358,Projetos!A:L,12,false)=TRUE,TRUE,FALSE)</f>
        <v>1</v>
      </c>
      <c r="M4358" s="74">
        <v>52.1518759018759</v>
      </c>
      <c r="N4358" s="74">
        <f t="shared" si="1"/>
        <v>52.1518759</v>
      </c>
      <c r="O4358" s="74" t="b">
        <v>1</v>
      </c>
    </row>
    <row r="4359" hidden="1">
      <c r="A4359" s="82"/>
      <c r="B4359" s="65" t="s">
        <v>467</v>
      </c>
      <c r="C4359" s="65" t="s">
        <v>130</v>
      </c>
      <c r="D4359" s="65" t="str">
        <f>vlookup(C4359,'Classificação p pessoal'!F:G,2,false)</f>
        <v>NP</v>
      </c>
      <c r="E4359" s="65" t="s">
        <v>3254</v>
      </c>
      <c r="F4359" s="83">
        <v>0.3541666666666667</v>
      </c>
      <c r="G4359" s="83">
        <v>0.3958333333333333</v>
      </c>
      <c r="H4359" s="83">
        <v>0.041666666666666664</v>
      </c>
      <c r="I4359" s="84">
        <v>44424.0</v>
      </c>
      <c r="J4359" s="65" t="b">
        <v>1</v>
      </c>
      <c r="K4359" s="65"/>
      <c r="L4359" s="85" t="b">
        <f>IF(VLOOKUP(C4359,Projetos!A:L,12,false)=TRUE,TRUE,FALSE)</f>
        <v>1</v>
      </c>
      <c r="M4359" s="74">
        <v>52.1518759018759</v>
      </c>
      <c r="N4359" s="74">
        <f t="shared" si="1"/>
        <v>52.1518759</v>
      </c>
      <c r="O4359" s="74" t="b">
        <v>1</v>
      </c>
    </row>
    <row r="4360" hidden="1">
      <c r="A4360" s="82"/>
      <c r="B4360" s="65" t="s">
        <v>467</v>
      </c>
      <c r="C4360" s="65" t="s">
        <v>122</v>
      </c>
      <c r="D4360" s="65"/>
      <c r="E4360" s="65" t="s">
        <v>3255</v>
      </c>
      <c r="F4360" s="83">
        <v>0.3958333333333333</v>
      </c>
      <c r="G4360" s="83">
        <v>0.4583333333333333</v>
      </c>
      <c r="H4360" s="83">
        <v>0.0625</v>
      </c>
      <c r="I4360" s="84">
        <v>44424.0</v>
      </c>
      <c r="J4360" s="65" t="b">
        <v>0</v>
      </c>
      <c r="K4360" s="65" t="s">
        <v>150</v>
      </c>
      <c r="L4360" s="85" t="b">
        <f>IF(VLOOKUP(C4360,Projetos!A:L,12,false)=TRUE,TRUE,FALSE)</f>
        <v>1</v>
      </c>
      <c r="M4360" s="74">
        <v>52.1518759018759</v>
      </c>
      <c r="N4360" s="74">
        <f t="shared" si="1"/>
        <v>0</v>
      </c>
      <c r="O4360" s="74" t="b">
        <v>1</v>
      </c>
    </row>
    <row r="4361" hidden="1">
      <c r="A4361" s="82"/>
      <c r="B4361" s="65" t="s">
        <v>467</v>
      </c>
      <c r="C4361" s="65" t="s">
        <v>92</v>
      </c>
      <c r="D4361" s="65" t="str">
        <f>vlookup(C4361,'Classificação p pessoal'!F:G,2,false)</f>
        <v/>
      </c>
      <c r="E4361" s="65" t="s">
        <v>3256</v>
      </c>
      <c r="F4361" s="83">
        <v>0.4583333333333333</v>
      </c>
      <c r="G4361" s="83">
        <v>0.4791666666666667</v>
      </c>
      <c r="H4361" s="83">
        <v>0.020833333333333332</v>
      </c>
      <c r="I4361" s="84">
        <v>44424.0</v>
      </c>
      <c r="J4361" s="65" t="b">
        <v>1</v>
      </c>
      <c r="K4361" s="65"/>
      <c r="L4361" s="85" t="b">
        <f>IF(VLOOKUP(C4361,Projetos!A:L,12,false)=TRUE,TRUE,FALSE)</f>
        <v>1</v>
      </c>
      <c r="M4361" s="74">
        <v>52.1518759018759</v>
      </c>
      <c r="N4361" s="74">
        <f t="shared" si="1"/>
        <v>26.07593795</v>
      </c>
      <c r="O4361" s="74" t="b">
        <v>1</v>
      </c>
    </row>
    <row r="4362" hidden="1">
      <c r="A4362" s="82"/>
      <c r="B4362" s="65" t="s">
        <v>467</v>
      </c>
      <c r="C4362" s="65" t="s">
        <v>130</v>
      </c>
      <c r="D4362" s="65" t="str">
        <f>vlookup(C4362,'Classificação p pessoal'!F:G,2,false)</f>
        <v>NP</v>
      </c>
      <c r="E4362" s="65" t="s">
        <v>3257</v>
      </c>
      <c r="F4362" s="83">
        <v>0.4791666666666667</v>
      </c>
      <c r="G4362" s="83">
        <v>0.5</v>
      </c>
      <c r="H4362" s="83">
        <v>0.020833333333333332</v>
      </c>
      <c r="I4362" s="84">
        <v>44424.0</v>
      </c>
      <c r="J4362" s="65" t="b">
        <v>1</v>
      </c>
      <c r="K4362" s="65"/>
      <c r="L4362" s="85" t="b">
        <f>IF(VLOOKUP(C4362,Projetos!A:L,12,false)=TRUE,TRUE,FALSE)</f>
        <v>1</v>
      </c>
      <c r="M4362" s="74">
        <v>52.1518759018759</v>
      </c>
      <c r="N4362" s="74">
        <f t="shared" si="1"/>
        <v>26.07593795</v>
      </c>
      <c r="O4362" s="74" t="b">
        <v>1</v>
      </c>
    </row>
    <row r="4363" hidden="1">
      <c r="A4363" s="82"/>
      <c r="B4363" s="65" t="s">
        <v>467</v>
      </c>
      <c r="C4363" s="65" t="s">
        <v>92</v>
      </c>
      <c r="D4363" s="65" t="str">
        <f>vlookup(C4363,'Classificação p pessoal'!F:G,2,false)</f>
        <v/>
      </c>
      <c r="E4363" s="65" t="s">
        <v>3258</v>
      </c>
      <c r="F4363" s="83">
        <v>0.5</v>
      </c>
      <c r="G4363" s="83">
        <v>0.5208333333333334</v>
      </c>
      <c r="H4363" s="83">
        <v>0.020833333333333332</v>
      </c>
      <c r="I4363" s="84">
        <v>44424.0</v>
      </c>
      <c r="J4363" s="65" t="b">
        <v>1</v>
      </c>
      <c r="K4363" s="65"/>
      <c r="L4363" s="85" t="b">
        <f>IF(VLOOKUP(C4363,Projetos!A:L,12,false)=TRUE,TRUE,FALSE)</f>
        <v>1</v>
      </c>
      <c r="M4363" s="74">
        <v>52.1518759018759</v>
      </c>
      <c r="N4363" s="74">
        <f t="shared" si="1"/>
        <v>26.07593795</v>
      </c>
      <c r="O4363" s="74" t="b">
        <v>1</v>
      </c>
    </row>
    <row r="4364" hidden="1">
      <c r="A4364" s="82"/>
      <c r="B4364" s="65" t="s">
        <v>467</v>
      </c>
      <c r="C4364" s="65" t="s">
        <v>113</v>
      </c>
      <c r="D4364" s="65" t="str">
        <f>vlookup(C4364,'Classificação p pessoal'!F:G,2,false)</f>
        <v>NP</v>
      </c>
      <c r="E4364" s="65" t="s">
        <v>3259</v>
      </c>
      <c r="F4364" s="83">
        <v>0.5833333333333334</v>
      </c>
      <c r="G4364" s="83">
        <v>0.75</v>
      </c>
      <c r="H4364" s="83">
        <v>0.16666666666666666</v>
      </c>
      <c r="I4364" s="84">
        <v>44424.0</v>
      </c>
      <c r="J4364" s="65" t="b">
        <v>1</v>
      </c>
      <c r="K4364" s="65"/>
      <c r="L4364" s="85" t="b">
        <f>IF(VLOOKUP(C4364,Projetos!A:L,12,false)=TRUE,TRUE,FALSE)</f>
        <v>1</v>
      </c>
      <c r="M4364" s="74">
        <v>52.1518759018759</v>
      </c>
      <c r="N4364" s="74">
        <f t="shared" si="1"/>
        <v>208.6075036</v>
      </c>
      <c r="O4364" s="74" t="b">
        <v>1</v>
      </c>
    </row>
    <row r="4365" hidden="1">
      <c r="A4365" s="82"/>
      <c r="B4365" s="65" t="s">
        <v>467</v>
      </c>
      <c r="C4365" s="65" t="s">
        <v>88</v>
      </c>
      <c r="D4365" s="65" t="str">
        <f>vlookup(C4365,'Classificação p pessoal'!F:G,2,false)</f>
        <v>MProduto</v>
      </c>
      <c r="E4365" s="65" t="s">
        <v>3260</v>
      </c>
      <c r="F4365" s="83">
        <v>0.3541666666666667</v>
      </c>
      <c r="G4365" s="83">
        <v>0.4166666666666667</v>
      </c>
      <c r="H4365" s="83">
        <v>0.0625</v>
      </c>
      <c r="I4365" s="84">
        <v>44425.0</v>
      </c>
      <c r="J4365" s="65" t="b">
        <v>1</v>
      </c>
      <c r="K4365" s="65"/>
      <c r="L4365" s="85" t="b">
        <f>IF(VLOOKUP(C4365,Projetos!A:L,12,false)=TRUE,TRUE,FALSE)</f>
        <v>1</v>
      </c>
      <c r="M4365" s="74">
        <v>52.1518759018759</v>
      </c>
      <c r="N4365" s="74">
        <f t="shared" si="1"/>
        <v>78.22781385</v>
      </c>
      <c r="O4365" s="74" t="b">
        <v>1</v>
      </c>
    </row>
    <row r="4366" hidden="1">
      <c r="A4366" s="82"/>
      <c r="B4366" s="65" t="s">
        <v>467</v>
      </c>
      <c r="C4366" s="65" t="s">
        <v>113</v>
      </c>
      <c r="D4366" s="65"/>
      <c r="E4366" s="65" t="s">
        <v>3261</v>
      </c>
      <c r="F4366" s="83">
        <v>0.5416666666666666</v>
      </c>
      <c r="G4366" s="83">
        <v>0.5833333333333334</v>
      </c>
      <c r="H4366" s="83">
        <v>0.041666666666666664</v>
      </c>
      <c r="I4366" s="84">
        <v>44425.0</v>
      </c>
      <c r="J4366" s="65" t="b">
        <v>0</v>
      </c>
      <c r="K4366" s="65" t="s">
        <v>150</v>
      </c>
      <c r="L4366" s="85" t="b">
        <f>IF(VLOOKUP(C4366,Projetos!A:L,12,false)=TRUE,TRUE,FALSE)</f>
        <v>1</v>
      </c>
      <c r="M4366" s="74">
        <v>52.1518759018759</v>
      </c>
      <c r="N4366" s="74">
        <f t="shared" si="1"/>
        <v>0</v>
      </c>
      <c r="O4366" s="74" t="b">
        <v>1</v>
      </c>
    </row>
    <row r="4367" hidden="1">
      <c r="A4367" s="82"/>
      <c r="B4367" s="65" t="s">
        <v>467</v>
      </c>
      <c r="C4367" s="65" t="s">
        <v>92</v>
      </c>
      <c r="D4367" s="65" t="str">
        <f>vlookup(C4367,'Classificação p pessoal'!F:G,2,false)</f>
        <v/>
      </c>
      <c r="E4367" s="65" t="s">
        <v>3262</v>
      </c>
      <c r="F4367" s="83">
        <v>0.5833333333333334</v>
      </c>
      <c r="G4367" s="83">
        <v>0.625</v>
      </c>
      <c r="H4367" s="83">
        <v>0.041666666666666664</v>
      </c>
      <c r="I4367" s="84">
        <v>44425.0</v>
      </c>
      <c r="J4367" s="65" t="b">
        <v>1</v>
      </c>
      <c r="K4367" s="65"/>
      <c r="L4367" s="85" t="b">
        <f>IF(VLOOKUP(C4367,Projetos!A:L,12,false)=TRUE,TRUE,FALSE)</f>
        <v>1</v>
      </c>
      <c r="M4367" s="74">
        <v>52.1518759018759</v>
      </c>
      <c r="N4367" s="74">
        <f t="shared" si="1"/>
        <v>52.1518759</v>
      </c>
      <c r="O4367" s="74" t="b">
        <v>1</v>
      </c>
    </row>
    <row r="4368" hidden="1">
      <c r="A4368" s="82"/>
      <c r="B4368" s="65" t="s">
        <v>467</v>
      </c>
      <c r="C4368" s="65" t="s">
        <v>92</v>
      </c>
      <c r="D4368" s="65" t="str">
        <f>vlookup(C4368,'Classificação p pessoal'!F:G,2,false)</f>
        <v/>
      </c>
      <c r="E4368" s="65" t="s">
        <v>3263</v>
      </c>
      <c r="F4368" s="83">
        <v>0.5833333333333334</v>
      </c>
      <c r="G4368" s="83">
        <v>0.75</v>
      </c>
      <c r="H4368" s="83">
        <v>0.16666666666666666</v>
      </c>
      <c r="I4368" s="84">
        <v>44426.0</v>
      </c>
      <c r="J4368" s="65" t="b">
        <v>1</v>
      </c>
      <c r="K4368" s="65"/>
      <c r="L4368" s="85" t="b">
        <f>IF(VLOOKUP(C4368,Projetos!A:L,12,false)=TRUE,TRUE,FALSE)</f>
        <v>1</v>
      </c>
      <c r="M4368" s="74">
        <v>52.1518759018759</v>
      </c>
      <c r="N4368" s="74">
        <f t="shared" si="1"/>
        <v>208.6075036</v>
      </c>
      <c r="O4368" s="74" t="b">
        <v>1</v>
      </c>
    </row>
    <row r="4369" hidden="1">
      <c r="A4369" s="82"/>
      <c r="B4369" s="65" t="s">
        <v>467</v>
      </c>
      <c r="C4369" s="65" t="s">
        <v>92</v>
      </c>
      <c r="D4369" s="65" t="str">
        <f>vlookup(C4369,'Classificação p pessoal'!F:G,2,false)</f>
        <v/>
      </c>
      <c r="E4369" s="65" t="s">
        <v>3264</v>
      </c>
      <c r="F4369" s="83">
        <v>0.5833333333333334</v>
      </c>
      <c r="G4369" s="83">
        <v>0.625</v>
      </c>
      <c r="H4369" s="83">
        <v>0.041666666666666664</v>
      </c>
      <c r="I4369" s="84">
        <v>44427.0</v>
      </c>
      <c r="J4369" s="65" t="b">
        <v>1</v>
      </c>
      <c r="K4369" s="65"/>
      <c r="L4369" s="85" t="b">
        <f>IF(VLOOKUP(C4369,Projetos!A:L,12,false)=TRUE,TRUE,FALSE)</f>
        <v>1</v>
      </c>
      <c r="M4369" s="74">
        <v>52.1518759018759</v>
      </c>
      <c r="N4369" s="74">
        <f t="shared" si="1"/>
        <v>52.1518759</v>
      </c>
      <c r="O4369" s="74" t="b">
        <v>1</v>
      </c>
    </row>
    <row r="4370" hidden="1">
      <c r="A4370" s="82"/>
      <c r="B4370" s="65" t="s">
        <v>467</v>
      </c>
      <c r="C4370" s="65" t="s">
        <v>113</v>
      </c>
      <c r="D4370" s="65" t="str">
        <f>vlookup(C4370,'Classificação p pessoal'!F:G,2,false)</f>
        <v>NP</v>
      </c>
      <c r="E4370" s="65" t="s">
        <v>3265</v>
      </c>
      <c r="F4370" s="83">
        <v>0.625</v>
      </c>
      <c r="G4370" s="83">
        <v>0.6666666666666666</v>
      </c>
      <c r="H4370" s="83">
        <v>0.041666666666666664</v>
      </c>
      <c r="I4370" s="84">
        <v>44427.0</v>
      </c>
      <c r="J4370" s="65" t="b">
        <v>1</v>
      </c>
      <c r="K4370" s="65"/>
      <c r="L4370" s="85" t="b">
        <f>IF(VLOOKUP(C4370,Projetos!A:L,12,false)=TRUE,TRUE,FALSE)</f>
        <v>1</v>
      </c>
      <c r="M4370" s="74">
        <v>52.1518759018759</v>
      </c>
      <c r="N4370" s="74">
        <f t="shared" si="1"/>
        <v>52.1518759</v>
      </c>
      <c r="O4370" s="74" t="b">
        <v>1</v>
      </c>
    </row>
    <row r="4371" hidden="1">
      <c r="A4371" s="82"/>
      <c r="B4371" s="65" t="s">
        <v>467</v>
      </c>
      <c r="C4371" s="65" t="s">
        <v>92</v>
      </c>
      <c r="D4371" s="65" t="str">
        <f>vlookup(C4371,'Classificação p pessoal'!F:G,2,false)</f>
        <v/>
      </c>
      <c r="E4371" s="65" t="s">
        <v>3266</v>
      </c>
      <c r="F4371" s="83">
        <v>0.3541666666666667</v>
      </c>
      <c r="G4371" s="83">
        <v>0.3958333333333333</v>
      </c>
      <c r="H4371" s="83">
        <v>0.041666666666666664</v>
      </c>
      <c r="I4371" s="84">
        <v>44428.0</v>
      </c>
      <c r="J4371" s="65" t="b">
        <v>1</v>
      </c>
      <c r="K4371" s="65"/>
      <c r="L4371" s="85" t="b">
        <f>IF(VLOOKUP(C4371,Projetos!A:L,12,false)=TRUE,TRUE,FALSE)</f>
        <v>1</v>
      </c>
      <c r="M4371" s="74">
        <v>52.1518759018759</v>
      </c>
      <c r="N4371" s="74">
        <f t="shared" si="1"/>
        <v>52.1518759</v>
      </c>
      <c r="O4371" s="74" t="b">
        <v>1</v>
      </c>
    </row>
    <row r="4372" hidden="1">
      <c r="A4372" s="82"/>
      <c r="B4372" s="65" t="s">
        <v>467</v>
      </c>
      <c r="C4372" s="65" t="s">
        <v>84</v>
      </c>
      <c r="D4372" s="65"/>
      <c r="E4372" s="65" t="s">
        <v>3267</v>
      </c>
      <c r="F4372" s="83">
        <v>0.3541666666666667</v>
      </c>
      <c r="G4372" s="83">
        <v>0.5</v>
      </c>
      <c r="H4372" s="83">
        <v>0.14583333333333334</v>
      </c>
      <c r="I4372" s="84">
        <v>44427.0</v>
      </c>
      <c r="J4372" s="65" t="b">
        <v>0</v>
      </c>
      <c r="K4372" s="65" t="s">
        <v>150</v>
      </c>
      <c r="L4372" s="85" t="b">
        <f>IF(VLOOKUP(C4372,Projetos!A:L,12,false)=TRUE,TRUE,FALSE)</f>
        <v>0</v>
      </c>
      <c r="M4372" s="74">
        <v>52.1518759018759</v>
      </c>
      <c r="N4372" s="74">
        <f t="shared" si="1"/>
        <v>0</v>
      </c>
      <c r="O4372" s="74" t="b">
        <v>0</v>
      </c>
    </row>
    <row r="4373" hidden="1">
      <c r="A4373" s="82"/>
      <c r="B4373" s="65" t="s">
        <v>467</v>
      </c>
      <c r="C4373" s="65" t="s">
        <v>92</v>
      </c>
      <c r="D4373" s="65" t="str">
        <f>vlookup(C4373,'Classificação p pessoal'!F:G,2,false)</f>
        <v/>
      </c>
      <c r="E4373" s="65" t="s">
        <v>3268</v>
      </c>
      <c r="F4373" s="83">
        <v>0.4375</v>
      </c>
      <c r="G4373" s="83">
        <v>0.5</v>
      </c>
      <c r="H4373" s="83">
        <v>0.0625</v>
      </c>
      <c r="I4373" s="84">
        <v>44428.0</v>
      </c>
      <c r="J4373" s="65" t="b">
        <v>1</v>
      </c>
      <c r="K4373" s="65"/>
      <c r="L4373" s="85" t="b">
        <f>IF(VLOOKUP(C4373,Projetos!A:L,12,false)=TRUE,TRUE,FALSE)</f>
        <v>1</v>
      </c>
      <c r="M4373" s="74">
        <v>52.1518759018759</v>
      </c>
      <c r="N4373" s="74">
        <f t="shared" si="1"/>
        <v>78.22781385</v>
      </c>
      <c r="O4373" s="74" t="b">
        <v>1</v>
      </c>
    </row>
    <row r="4374" hidden="1">
      <c r="A4374" s="82"/>
      <c r="B4374" s="65" t="s">
        <v>467</v>
      </c>
      <c r="C4374" s="65" t="s">
        <v>92</v>
      </c>
      <c r="D4374" s="65" t="str">
        <f>vlookup(C4374,'Classificação p pessoal'!F:G,2,false)</f>
        <v/>
      </c>
      <c r="E4374" s="65" t="s">
        <v>3269</v>
      </c>
      <c r="F4374" s="83">
        <v>0.5833333333333334</v>
      </c>
      <c r="G4374" s="83">
        <v>0.6666666666666666</v>
      </c>
      <c r="H4374" s="83">
        <v>0.08333333333333333</v>
      </c>
      <c r="I4374" s="84">
        <v>44428.0</v>
      </c>
      <c r="J4374" s="65" t="b">
        <v>1</v>
      </c>
      <c r="K4374" s="65"/>
      <c r="L4374" s="85" t="b">
        <f>IF(VLOOKUP(C4374,Projetos!A:L,12,false)=TRUE,TRUE,FALSE)</f>
        <v>1</v>
      </c>
      <c r="M4374" s="74">
        <v>52.1518759018759</v>
      </c>
      <c r="N4374" s="74">
        <f t="shared" si="1"/>
        <v>104.3037518</v>
      </c>
      <c r="O4374" s="74" t="b">
        <v>1</v>
      </c>
    </row>
    <row r="4375" hidden="1">
      <c r="A4375" s="82"/>
      <c r="B4375" s="65" t="s">
        <v>467</v>
      </c>
      <c r="C4375" s="65" t="s">
        <v>122</v>
      </c>
      <c r="D4375" s="65" t="str">
        <f>vlookup(C4375,'Classificação p pessoal'!F:G,2,false)</f>
        <v>NP</v>
      </c>
      <c r="E4375" s="65" t="s">
        <v>3270</v>
      </c>
      <c r="F4375" s="83">
        <v>0.25</v>
      </c>
      <c r="G4375" s="83">
        <v>0.8541666666666666</v>
      </c>
      <c r="H4375" s="83">
        <v>0.6041666666666666</v>
      </c>
      <c r="I4375" s="84">
        <v>44431.0</v>
      </c>
      <c r="J4375" s="65" t="b">
        <v>1</v>
      </c>
      <c r="K4375" s="65"/>
      <c r="L4375" s="85" t="b">
        <f>IF(VLOOKUP(C4375,Projetos!A:L,12,false)=TRUE,TRUE,FALSE)</f>
        <v>1</v>
      </c>
      <c r="M4375" s="74">
        <v>52.1518759018759</v>
      </c>
      <c r="N4375" s="74">
        <f t="shared" si="1"/>
        <v>756.2022006</v>
      </c>
      <c r="O4375" s="74" t="b">
        <v>1</v>
      </c>
    </row>
    <row r="4376" hidden="1">
      <c r="A4376" s="82"/>
      <c r="B4376" s="65" t="s">
        <v>467</v>
      </c>
      <c r="C4376" s="65" t="s">
        <v>88</v>
      </c>
      <c r="D4376" s="65" t="str">
        <f>vlookup(C4376,'Classificação p pessoal'!F:G,2,false)</f>
        <v>MProduto</v>
      </c>
      <c r="E4376" s="65" t="s">
        <v>3271</v>
      </c>
      <c r="F4376" s="83">
        <v>0.3541666666666667</v>
      </c>
      <c r="G4376" s="83">
        <v>0.3645833333333333</v>
      </c>
      <c r="H4376" s="83">
        <v>0.010416666666666666</v>
      </c>
      <c r="I4376" s="84">
        <v>44432.0</v>
      </c>
      <c r="J4376" s="65" t="b">
        <v>1</v>
      </c>
      <c r="K4376" s="65"/>
      <c r="L4376" s="85" t="b">
        <f>IF(VLOOKUP(C4376,Projetos!A:L,12,false)=TRUE,TRUE,FALSE)</f>
        <v>1</v>
      </c>
      <c r="M4376" s="74">
        <v>52.1518759018759</v>
      </c>
      <c r="N4376" s="74">
        <f t="shared" si="1"/>
        <v>13.03796898</v>
      </c>
      <c r="O4376" s="74" t="b">
        <v>1</v>
      </c>
    </row>
    <row r="4377" hidden="1">
      <c r="A4377" s="82"/>
      <c r="B4377" s="65" t="s">
        <v>467</v>
      </c>
      <c r="C4377" s="65" t="s">
        <v>122</v>
      </c>
      <c r="D4377" s="65"/>
      <c r="E4377" s="65" t="s">
        <v>3272</v>
      </c>
      <c r="F4377" s="83">
        <v>0.375</v>
      </c>
      <c r="G4377" s="83">
        <v>0.5</v>
      </c>
      <c r="H4377" s="83">
        <v>0.125</v>
      </c>
      <c r="I4377" s="84">
        <v>44432.0</v>
      </c>
      <c r="J4377" s="65" t="b">
        <v>0</v>
      </c>
      <c r="K4377" s="65" t="s">
        <v>150</v>
      </c>
      <c r="L4377" s="85" t="b">
        <f>IF(VLOOKUP(C4377,Projetos!A:L,12,false)=TRUE,TRUE,FALSE)</f>
        <v>1</v>
      </c>
      <c r="M4377" s="74">
        <v>52.1518759018759</v>
      </c>
      <c r="N4377" s="74">
        <f t="shared" si="1"/>
        <v>0</v>
      </c>
      <c r="O4377" s="74" t="b">
        <v>1</v>
      </c>
    </row>
    <row r="4378" hidden="1">
      <c r="A4378" s="82"/>
      <c r="B4378" s="65" t="s">
        <v>467</v>
      </c>
      <c r="C4378" s="65" t="s">
        <v>130</v>
      </c>
      <c r="D4378" s="65" t="str">
        <f>vlookup(C4378,'Classificação p pessoal'!F:G,2,false)</f>
        <v>NP</v>
      </c>
      <c r="E4378" s="65" t="s">
        <v>3273</v>
      </c>
      <c r="F4378" s="83">
        <v>0.625</v>
      </c>
      <c r="G4378" s="83">
        <v>0.6666666666666666</v>
      </c>
      <c r="H4378" s="83">
        <v>0.041666666666666664</v>
      </c>
      <c r="I4378" s="84">
        <v>44432.0</v>
      </c>
      <c r="J4378" s="65" t="b">
        <v>1</v>
      </c>
      <c r="K4378" s="65"/>
      <c r="L4378" s="85" t="b">
        <f>IF(VLOOKUP(C4378,Projetos!A:L,12,false)=TRUE,TRUE,FALSE)</f>
        <v>1</v>
      </c>
      <c r="M4378" s="74">
        <v>52.1518759018759</v>
      </c>
      <c r="N4378" s="74">
        <f t="shared" si="1"/>
        <v>52.1518759</v>
      </c>
      <c r="O4378" s="74" t="b">
        <v>1</v>
      </c>
    </row>
    <row r="4379" hidden="1">
      <c r="A4379" s="82"/>
      <c r="B4379" s="65" t="s">
        <v>467</v>
      </c>
      <c r="C4379" s="65" t="s">
        <v>92</v>
      </c>
      <c r="D4379" s="65" t="str">
        <f>vlookup(C4379,'Classificação p pessoal'!F:G,2,false)</f>
        <v/>
      </c>
      <c r="E4379" s="65" t="s">
        <v>3274</v>
      </c>
      <c r="F4379" s="83">
        <v>0.3541666666666667</v>
      </c>
      <c r="G4379" s="83">
        <v>0.4375</v>
      </c>
      <c r="H4379" s="83">
        <v>0.08333333333333333</v>
      </c>
      <c r="I4379" s="84">
        <v>44433.0</v>
      </c>
      <c r="J4379" s="65" t="b">
        <v>1</v>
      </c>
      <c r="K4379" s="65"/>
      <c r="L4379" s="85" t="b">
        <f>IF(VLOOKUP(C4379,Projetos!A:L,12,false)=TRUE,TRUE,FALSE)</f>
        <v>1</v>
      </c>
      <c r="M4379" s="74">
        <v>52.1518759018759</v>
      </c>
      <c r="N4379" s="74">
        <f t="shared" si="1"/>
        <v>104.3037518</v>
      </c>
      <c r="O4379" s="74" t="b">
        <v>1</v>
      </c>
    </row>
    <row r="4380" hidden="1">
      <c r="A4380" s="82"/>
      <c r="B4380" s="65" t="s">
        <v>467</v>
      </c>
      <c r="C4380" s="65" t="s">
        <v>122</v>
      </c>
      <c r="D4380" s="65" t="str">
        <f>vlookup(C4380,'Classificação p pessoal'!F:G,2,false)</f>
        <v>NP</v>
      </c>
      <c r="E4380" s="65" t="s">
        <v>3275</v>
      </c>
      <c r="F4380" s="83">
        <v>0.4375</v>
      </c>
      <c r="G4380" s="83">
        <v>0.4791666666666667</v>
      </c>
      <c r="H4380" s="83">
        <v>0.041666666666666664</v>
      </c>
      <c r="I4380" s="84">
        <v>44433.0</v>
      </c>
      <c r="J4380" s="65" t="b">
        <v>1</v>
      </c>
      <c r="K4380" s="65"/>
      <c r="L4380" s="85" t="b">
        <f>IF(VLOOKUP(C4380,Projetos!A:L,12,false)=TRUE,TRUE,FALSE)</f>
        <v>1</v>
      </c>
      <c r="M4380" s="74">
        <v>52.1518759018759</v>
      </c>
      <c r="N4380" s="74">
        <f t="shared" si="1"/>
        <v>52.1518759</v>
      </c>
      <c r="O4380" s="74" t="b">
        <v>1</v>
      </c>
    </row>
    <row r="4381" hidden="1">
      <c r="A4381" s="82"/>
      <c r="B4381" s="65" t="s">
        <v>467</v>
      </c>
      <c r="C4381" s="65" t="s">
        <v>122</v>
      </c>
      <c r="D4381" s="65" t="str">
        <f>vlookup(C4381,'Classificação p pessoal'!F:G,2,false)</f>
        <v>NP</v>
      </c>
      <c r="E4381" s="65" t="s">
        <v>3276</v>
      </c>
      <c r="F4381" s="83">
        <v>0.5625</v>
      </c>
      <c r="G4381" s="83">
        <v>0.625</v>
      </c>
      <c r="H4381" s="83">
        <v>0.0625</v>
      </c>
      <c r="I4381" s="84">
        <v>44433.0</v>
      </c>
      <c r="J4381" s="65" t="b">
        <v>1</v>
      </c>
      <c r="K4381" s="65"/>
      <c r="L4381" s="85" t="b">
        <f>IF(VLOOKUP(C4381,Projetos!A:L,12,false)=TRUE,TRUE,FALSE)</f>
        <v>1</v>
      </c>
      <c r="M4381" s="74">
        <v>52.1518759018759</v>
      </c>
      <c r="N4381" s="74">
        <f t="shared" si="1"/>
        <v>78.22781385</v>
      </c>
      <c r="O4381" s="74" t="b">
        <v>1</v>
      </c>
    </row>
    <row r="4382" hidden="1">
      <c r="A4382" s="82"/>
      <c r="B4382" s="65" t="s">
        <v>467</v>
      </c>
      <c r="C4382" s="65" t="s">
        <v>113</v>
      </c>
      <c r="D4382" s="65" t="str">
        <f>vlookup(C4382,'Classificação p pessoal'!F:G,2,false)</f>
        <v>NP</v>
      </c>
      <c r="E4382" s="65" t="s">
        <v>3277</v>
      </c>
      <c r="F4382" s="83">
        <v>0.625</v>
      </c>
      <c r="G4382" s="83">
        <v>0.6666666666666666</v>
      </c>
      <c r="H4382" s="83">
        <v>0.041666666666666664</v>
      </c>
      <c r="I4382" s="84">
        <v>44433.0</v>
      </c>
      <c r="J4382" s="65" t="b">
        <v>1</v>
      </c>
      <c r="K4382" s="65"/>
      <c r="L4382" s="85" t="b">
        <f>IF(VLOOKUP(C4382,Projetos!A:L,12,false)=TRUE,TRUE,FALSE)</f>
        <v>1</v>
      </c>
      <c r="M4382" s="74">
        <v>52.1518759018759</v>
      </c>
      <c r="N4382" s="74">
        <f t="shared" si="1"/>
        <v>52.1518759</v>
      </c>
      <c r="O4382" s="74" t="b">
        <v>1</v>
      </c>
    </row>
    <row r="4383" hidden="1">
      <c r="A4383" s="82"/>
      <c r="B4383" s="65" t="s">
        <v>467</v>
      </c>
      <c r="C4383" s="65" t="s">
        <v>92</v>
      </c>
      <c r="D4383" s="65" t="str">
        <f>vlookup(C4383,'Classificação p pessoal'!F:G,2,false)</f>
        <v/>
      </c>
      <c r="E4383" s="65" t="s">
        <v>3278</v>
      </c>
      <c r="F4383" s="83">
        <v>0.3541666666666667</v>
      </c>
      <c r="G4383" s="83">
        <v>0.4166666666666667</v>
      </c>
      <c r="H4383" s="83">
        <v>0.0625</v>
      </c>
      <c r="I4383" s="84">
        <v>44434.0</v>
      </c>
      <c r="J4383" s="65" t="b">
        <v>1</v>
      </c>
      <c r="K4383" s="65"/>
      <c r="L4383" s="85" t="b">
        <f>IF(VLOOKUP(C4383,Projetos!A:L,12,false)=TRUE,TRUE,FALSE)</f>
        <v>1</v>
      </c>
      <c r="M4383" s="74">
        <v>52.1518759018759</v>
      </c>
      <c r="N4383" s="74">
        <f t="shared" si="1"/>
        <v>78.22781385</v>
      </c>
      <c r="O4383" s="74" t="b">
        <v>1</v>
      </c>
    </row>
    <row r="4384" hidden="1">
      <c r="A4384" s="82"/>
      <c r="B4384" s="65" t="s">
        <v>467</v>
      </c>
      <c r="C4384" s="65" t="s">
        <v>92</v>
      </c>
      <c r="D4384" s="65" t="str">
        <f>vlookup(C4384,'Classificação p pessoal'!F:G,2,false)</f>
        <v/>
      </c>
      <c r="E4384" s="65" t="s">
        <v>3279</v>
      </c>
      <c r="F4384" s="83">
        <v>0.4166666666666667</v>
      </c>
      <c r="G4384" s="83">
        <v>0.4583333333333333</v>
      </c>
      <c r="H4384" s="83">
        <v>0.041666666666666664</v>
      </c>
      <c r="I4384" s="84">
        <v>44434.0</v>
      </c>
      <c r="J4384" s="65" t="b">
        <v>1</v>
      </c>
      <c r="K4384" s="65"/>
      <c r="L4384" s="85" t="b">
        <f>IF(VLOOKUP(C4384,Projetos!A:L,12,false)=TRUE,TRUE,FALSE)</f>
        <v>1</v>
      </c>
      <c r="M4384" s="74">
        <v>52.1518759018759</v>
      </c>
      <c r="N4384" s="74">
        <f t="shared" si="1"/>
        <v>52.1518759</v>
      </c>
      <c r="O4384" s="74" t="b">
        <v>1</v>
      </c>
    </row>
    <row r="4385" hidden="1">
      <c r="A4385" s="82"/>
      <c r="B4385" s="65" t="s">
        <v>467</v>
      </c>
      <c r="C4385" s="65" t="s">
        <v>122</v>
      </c>
      <c r="D4385" s="65" t="str">
        <f>vlookup(C4385,'Classificação p pessoal'!F:G,2,false)</f>
        <v>NP</v>
      </c>
      <c r="E4385" s="65" t="s">
        <v>3280</v>
      </c>
      <c r="F4385" s="83">
        <v>0.4583333333333333</v>
      </c>
      <c r="G4385" s="83">
        <v>0.5208333333333334</v>
      </c>
      <c r="H4385" s="83">
        <v>0.0625</v>
      </c>
      <c r="I4385" s="84">
        <v>44434.0</v>
      </c>
      <c r="J4385" s="65" t="b">
        <v>1</v>
      </c>
      <c r="K4385" s="65"/>
      <c r="L4385" s="85" t="b">
        <f>IF(VLOOKUP(C4385,Projetos!A:L,12,false)=TRUE,TRUE,FALSE)</f>
        <v>1</v>
      </c>
      <c r="M4385" s="74">
        <v>52.1518759018759</v>
      </c>
      <c r="N4385" s="74">
        <f t="shared" si="1"/>
        <v>78.22781385</v>
      </c>
      <c r="O4385" s="74" t="b">
        <v>1</v>
      </c>
    </row>
    <row r="4386" hidden="1">
      <c r="A4386" s="82"/>
      <c r="B4386" s="65" t="s">
        <v>467</v>
      </c>
      <c r="C4386" s="65" t="s">
        <v>122</v>
      </c>
      <c r="D4386" s="65" t="str">
        <f>vlookup(C4386,'Classificação p pessoal'!F:G,2,false)</f>
        <v>NP</v>
      </c>
      <c r="E4386" s="65" t="s">
        <v>3281</v>
      </c>
      <c r="F4386" s="83">
        <v>0.5625</v>
      </c>
      <c r="G4386" s="83">
        <v>0.7291666666666666</v>
      </c>
      <c r="H4386" s="83">
        <v>0.16666666666666666</v>
      </c>
      <c r="I4386" s="84">
        <v>44434.0</v>
      </c>
      <c r="J4386" s="65" t="b">
        <v>1</v>
      </c>
      <c r="K4386" s="65"/>
      <c r="L4386" s="85" t="b">
        <f>IF(VLOOKUP(C4386,Projetos!A:L,12,false)=TRUE,TRUE,FALSE)</f>
        <v>1</v>
      </c>
      <c r="M4386" s="74">
        <v>52.1518759018759</v>
      </c>
      <c r="N4386" s="74">
        <f t="shared" si="1"/>
        <v>208.6075036</v>
      </c>
      <c r="O4386" s="74" t="b">
        <v>1</v>
      </c>
    </row>
    <row r="4387" hidden="1">
      <c r="A4387" s="82"/>
      <c r="B4387" s="65" t="s">
        <v>467</v>
      </c>
      <c r="C4387" s="65" t="s">
        <v>113</v>
      </c>
      <c r="D4387" s="65"/>
      <c r="E4387" s="65" t="s">
        <v>3282</v>
      </c>
      <c r="F4387" s="83">
        <v>0.3541666666666667</v>
      </c>
      <c r="G4387" s="83">
        <v>0.4166666666666667</v>
      </c>
      <c r="H4387" s="83">
        <v>0.0625</v>
      </c>
      <c r="I4387" s="84">
        <v>44435.0</v>
      </c>
      <c r="J4387" s="65" t="b">
        <v>0</v>
      </c>
      <c r="K4387" s="65" t="s">
        <v>150</v>
      </c>
      <c r="L4387" s="85" t="b">
        <f>IF(VLOOKUP(C4387,Projetos!A:L,12,false)=TRUE,TRUE,FALSE)</f>
        <v>1</v>
      </c>
      <c r="M4387" s="74">
        <v>52.1518759018759</v>
      </c>
      <c r="N4387" s="74">
        <f t="shared" si="1"/>
        <v>0</v>
      </c>
      <c r="O4387" s="74" t="b">
        <v>1</v>
      </c>
    </row>
    <row r="4388" hidden="1">
      <c r="A4388" s="82"/>
      <c r="B4388" s="65" t="s">
        <v>467</v>
      </c>
      <c r="C4388" s="65" t="s">
        <v>92</v>
      </c>
      <c r="D4388" s="65" t="str">
        <f>vlookup(C4388,'Classificação p pessoal'!F:G,2,false)</f>
        <v/>
      </c>
      <c r="E4388" s="65" t="s">
        <v>3283</v>
      </c>
      <c r="F4388" s="83">
        <v>0.4166666666666667</v>
      </c>
      <c r="G4388" s="83">
        <v>0.4583333333333333</v>
      </c>
      <c r="H4388" s="83">
        <v>0.041666666666666664</v>
      </c>
      <c r="I4388" s="84">
        <v>44435.0</v>
      </c>
      <c r="J4388" s="65" t="b">
        <v>1</v>
      </c>
      <c r="K4388" s="65"/>
      <c r="L4388" s="85" t="b">
        <f>IF(VLOOKUP(C4388,Projetos!A:L,12,false)=TRUE,TRUE,FALSE)</f>
        <v>1</v>
      </c>
      <c r="M4388" s="74">
        <v>52.1518759018759</v>
      </c>
      <c r="N4388" s="74">
        <f t="shared" si="1"/>
        <v>52.1518759</v>
      </c>
      <c r="O4388" s="74" t="b">
        <v>1</v>
      </c>
    </row>
    <row r="4389" hidden="1">
      <c r="A4389" s="82"/>
      <c r="B4389" s="65" t="s">
        <v>467</v>
      </c>
      <c r="C4389" s="65" t="s">
        <v>122</v>
      </c>
      <c r="D4389" s="65" t="str">
        <f>vlookup(C4389,'Classificação p pessoal'!F:G,2,false)</f>
        <v>NP</v>
      </c>
      <c r="E4389" s="65" t="s">
        <v>3284</v>
      </c>
      <c r="F4389" s="83">
        <v>0.5833333333333334</v>
      </c>
      <c r="G4389" s="83">
        <v>0.625</v>
      </c>
      <c r="H4389" s="83">
        <v>0.041666666666666664</v>
      </c>
      <c r="I4389" s="84">
        <v>44435.0</v>
      </c>
      <c r="J4389" s="65" t="b">
        <v>1</v>
      </c>
      <c r="K4389" s="65"/>
      <c r="L4389" s="85" t="b">
        <f>IF(VLOOKUP(C4389,Projetos!A:L,12,false)=TRUE,TRUE,FALSE)</f>
        <v>1</v>
      </c>
      <c r="M4389" s="74">
        <v>52.1518759018759</v>
      </c>
      <c r="N4389" s="74">
        <f t="shared" si="1"/>
        <v>52.1518759</v>
      </c>
      <c r="O4389" s="74" t="b">
        <v>1</v>
      </c>
    </row>
    <row r="4390" hidden="1">
      <c r="A4390" s="82"/>
      <c r="B4390" s="65" t="s">
        <v>467</v>
      </c>
      <c r="C4390" s="65" t="s">
        <v>92</v>
      </c>
      <c r="D4390" s="65" t="str">
        <f>vlookup(C4390,'Classificação p pessoal'!F:G,2,false)</f>
        <v/>
      </c>
      <c r="E4390" s="65" t="s">
        <v>3285</v>
      </c>
      <c r="F4390" s="83">
        <v>0.3541666666666667</v>
      </c>
      <c r="G4390" s="83">
        <v>0.3958333333333333</v>
      </c>
      <c r="H4390" s="83">
        <v>0.041666666666666664</v>
      </c>
      <c r="I4390" s="84">
        <v>44438.0</v>
      </c>
      <c r="J4390" s="65" t="b">
        <v>1</v>
      </c>
      <c r="K4390" s="65"/>
      <c r="L4390" s="85" t="b">
        <f>IF(VLOOKUP(C4390,Projetos!A:L,12,false)=TRUE,TRUE,FALSE)</f>
        <v>1</v>
      </c>
      <c r="M4390" s="74">
        <v>52.1518759018759</v>
      </c>
      <c r="N4390" s="74">
        <f t="shared" si="1"/>
        <v>52.1518759</v>
      </c>
      <c r="O4390" s="74" t="b">
        <v>1</v>
      </c>
    </row>
    <row r="4391" hidden="1">
      <c r="A4391" s="82"/>
      <c r="B4391" s="65" t="s">
        <v>411</v>
      </c>
      <c r="C4391" s="65" t="s">
        <v>130</v>
      </c>
      <c r="D4391" s="65"/>
      <c r="E4391" s="65" t="s">
        <v>3286</v>
      </c>
      <c r="F4391" s="83">
        <v>0.4375</v>
      </c>
      <c r="G4391" s="83">
        <v>0.4791666666666667</v>
      </c>
      <c r="H4391" s="83">
        <v>0.041666666666666664</v>
      </c>
      <c r="I4391" s="84">
        <v>44256.0</v>
      </c>
      <c r="J4391" s="65" t="b">
        <v>0</v>
      </c>
      <c r="K4391" s="65" t="s">
        <v>150</v>
      </c>
      <c r="L4391" s="85" t="b">
        <f>IF(VLOOKUP(C4391,Projetos!A:L,12,false)=TRUE,TRUE,FALSE)</f>
        <v>1</v>
      </c>
      <c r="M4391" s="74">
        <v>52.48434411075036</v>
      </c>
      <c r="N4391" s="74">
        <f t="shared" si="1"/>
        <v>0</v>
      </c>
      <c r="O4391" s="74" t="b">
        <v>1</v>
      </c>
    </row>
    <row r="4392" hidden="1">
      <c r="A4392" s="82"/>
      <c r="B4392" s="65" t="s">
        <v>411</v>
      </c>
      <c r="C4392" s="65" t="s">
        <v>92</v>
      </c>
      <c r="D4392" s="65"/>
      <c r="E4392" s="65" t="s">
        <v>3287</v>
      </c>
      <c r="F4392" s="83">
        <v>0.7083333333333334</v>
      </c>
      <c r="G4392" s="83">
        <v>0.7291666666666666</v>
      </c>
      <c r="H4392" s="83">
        <v>0.020833333333333332</v>
      </c>
      <c r="I4392" s="84">
        <v>44326.0</v>
      </c>
      <c r="J4392" s="65" t="b">
        <v>0</v>
      </c>
      <c r="K4392" s="65" t="s">
        <v>150</v>
      </c>
      <c r="L4392" s="85" t="b">
        <f>IF(VLOOKUP(C4392,Projetos!A:L,12,false)=TRUE,TRUE,FALSE)</f>
        <v>1</v>
      </c>
      <c r="M4392" s="74">
        <v>52.48434411075036</v>
      </c>
      <c r="N4392" s="74">
        <f t="shared" si="1"/>
        <v>0</v>
      </c>
      <c r="O4392" s="74" t="b">
        <v>1</v>
      </c>
    </row>
    <row r="4393" hidden="1">
      <c r="A4393" s="82"/>
      <c r="B4393" s="65" t="s">
        <v>467</v>
      </c>
      <c r="C4393" s="65" t="s">
        <v>113</v>
      </c>
      <c r="D4393" s="65" t="str">
        <f>vlookup(C4393,'Classificação p pessoal'!F:G,2,false)</f>
        <v>NP</v>
      </c>
      <c r="E4393" s="65" t="s">
        <v>3288</v>
      </c>
      <c r="F4393" s="83">
        <v>0.3541666666666667</v>
      </c>
      <c r="G4393" s="83">
        <v>0.375</v>
      </c>
      <c r="H4393" s="83">
        <v>0.020833333333333332</v>
      </c>
      <c r="I4393" s="84">
        <v>44439.0</v>
      </c>
      <c r="J4393" s="65" t="b">
        <v>1</v>
      </c>
      <c r="K4393" s="65"/>
      <c r="L4393" s="85" t="b">
        <f>IF(VLOOKUP(C4393,Projetos!A:L,12,false)=TRUE,TRUE,FALSE)</f>
        <v>1</v>
      </c>
      <c r="M4393" s="74">
        <v>52.1518759018759</v>
      </c>
      <c r="N4393" s="74">
        <f t="shared" si="1"/>
        <v>26.07593795</v>
      </c>
      <c r="O4393" s="74" t="b">
        <v>1</v>
      </c>
    </row>
    <row r="4394" hidden="1">
      <c r="A4394" s="82"/>
      <c r="B4394" s="65" t="s">
        <v>467</v>
      </c>
      <c r="C4394" s="65" t="s">
        <v>113</v>
      </c>
      <c r="D4394" s="65" t="str">
        <f>vlookup(C4394,'Classificação p pessoal'!F:G,2,false)</f>
        <v>NP</v>
      </c>
      <c r="E4394" s="65" t="s">
        <v>3289</v>
      </c>
      <c r="F4394" s="83">
        <v>0.4166666666666667</v>
      </c>
      <c r="G4394" s="83">
        <v>0.4791666666666667</v>
      </c>
      <c r="H4394" s="83">
        <v>0.0625</v>
      </c>
      <c r="I4394" s="84">
        <v>44439.0</v>
      </c>
      <c r="J4394" s="65" t="b">
        <v>1</v>
      </c>
      <c r="K4394" s="65"/>
      <c r="L4394" s="85" t="b">
        <f>IF(VLOOKUP(C4394,Projetos!A:L,12,false)=TRUE,TRUE,FALSE)</f>
        <v>1</v>
      </c>
      <c r="M4394" s="74">
        <v>52.1518759018759</v>
      </c>
      <c r="N4394" s="74">
        <f t="shared" si="1"/>
        <v>78.22781385</v>
      </c>
      <c r="O4394" s="74" t="b">
        <v>1</v>
      </c>
    </row>
    <row r="4395" hidden="1">
      <c r="A4395" s="82"/>
      <c r="B4395" s="65" t="s">
        <v>495</v>
      </c>
      <c r="C4395" s="65" t="s">
        <v>92</v>
      </c>
      <c r="D4395" s="65" t="str">
        <f>vlookup(C4395,'Classificação p pessoal'!F:G,2,false)</f>
        <v/>
      </c>
      <c r="E4395" s="65" t="s">
        <v>3290</v>
      </c>
      <c r="F4395" s="83">
        <v>0.6944444444444444</v>
      </c>
      <c r="G4395" s="83">
        <v>0.75</v>
      </c>
      <c r="H4395" s="83">
        <v>0.05555555555555555</v>
      </c>
      <c r="I4395" s="84">
        <v>44494.0</v>
      </c>
      <c r="J4395" s="65" t="b">
        <v>1</v>
      </c>
      <c r="K4395" s="65"/>
      <c r="L4395" s="85" t="b">
        <f>IF(VLOOKUP(C4395,Projetos!A:L,12,false)=TRUE,TRUE,FALSE)</f>
        <v>1</v>
      </c>
      <c r="M4395" s="74">
        <v>73.7079846079846</v>
      </c>
      <c r="N4395" s="74">
        <f t="shared" si="1"/>
        <v>98.27731281</v>
      </c>
      <c r="O4395" s="74" t="b">
        <v>1</v>
      </c>
    </row>
    <row r="4396" hidden="1">
      <c r="A4396" s="82"/>
      <c r="B4396" s="65" t="s">
        <v>467</v>
      </c>
      <c r="C4396" s="65" t="s">
        <v>92</v>
      </c>
      <c r="D4396" s="65" t="str">
        <f>vlookup(C4396,'Classificação p pessoal'!F:G,2,false)</f>
        <v/>
      </c>
      <c r="E4396" s="65" t="s">
        <v>3291</v>
      </c>
      <c r="F4396" s="83">
        <v>0.7083333333333334</v>
      </c>
      <c r="G4396" s="83">
        <v>0.75</v>
      </c>
      <c r="H4396" s="83">
        <v>0.041666666666666664</v>
      </c>
      <c r="I4396" s="84">
        <v>44439.0</v>
      </c>
      <c r="J4396" s="65" t="b">
        <v>1</v>
      </c>
      <c r="K4396" s="65"/>
      <c r="L4396" s="85" t="b">
        <f>IF(VLOOKUP(C4396,Projetos!A:L,12,false)=TRUE,TRUE,FALSE)</f>
        <v>1</v>
      </c>
      <c r="M4396" s="74">
        <v>52.1518759018759</v>
      </c>
      <c r="N4396" s="74">
        <f t="shared" si="1"/>
        <v>52.1518759</v>
      </c>
      <c r="O4396" s="74" t="b">
        <v>1</v>
      </c>
    </row>
    <row r="4397" hidden="1">
      <c r="A4397" s="82"/>
      <c r="B4397" s="65" t="s">
        <v>467</v>
      </c>
      <c r="C4397" s="65" t="s">
        <v>84</v>
      </c>
      <c r="D4397" s="65"/>
      <c r="E4397" s="65" t="s">
        <v>3292</v>
      </c>
      <c r="F4397" s="83">
        <v>0.34375</v>
      </c>
      <c r="G4397" s="83">
        <v>0.4027777777777778</v>
      </c>
      <c r="H4397" s="83">
        <v>0.059027777777777776</v>
      </c>
      <c r="I4397" s="84">
        <v>44440.0</v>
      </c>
      <c r="J4397" s="65" t="b">
        <v>0</v>
      </c>
      <c r="K4397" s="65"/>
      <c r="L4397" s="85" t="b">
        <f>IF(VLOOKUP(C4397,Projetos!A:L,12,false)=TRUE,TRUE,FALSE)</f>
        <v>0</v>
      </c>
      <c r="M4397" s="74">
        <v>52.1518759018759</v>
      </c>
      <c r="N4397" s="74">
        <f t="shared" si="1"/>
        <v>0</v>
      </c>
      <c r="O4397" s="74" t="b">
        <v>0</v>
      </c>
    </row>
    <row r="4398" hidden="1">
      <c r="A4398" s="82"/>
      <c r="B4398" s="65" t="s">
        <v>467</v>
      </c>
      <c r="C4398" s="65" t="s">
        <v>122</v>
      </c>
      <c r="D4398" s="65" t="str">
        <f>vlookup(C4398,'Classificação p pessoal'!F:G,2,false)</f>
        <v>NP</v>
      </c>
      <c r="E4398" s="65" t="s">
        <v>3293</v>
      </c>
      <c r="F4398" s="83">
        <v>0.4166666666666667</v>
      </c>
      <c r="G4398" s="83">
        <v>0.4583333333333333</v>
      </c>
      <c r="H4398" s="83">
        <v>0.041666666666666664</v>
      </c>
      <c r="I4398" s="84">
        <v>44440.0</v>
      </c>
      <c r="J4398" s="65" t="b">
        <v>1</v>
      </c>
      <c r="K4398" s="65"/>
      <c r="L4398" s="85" t="b">
        <f>IF(VLOOKUP(C4398,Projetos!A:L,12,false)=TRUE,TRUE,FALSE)</f>
        <v>1</v>
      </c>
      <c r="M4398" s="74">
        <v>52.1518759018759</v>
      </c>
      <c r="N4398" s="74">
        <f t="shared" si="1"/>
        <v>52.1518759</v>
      </c>
      <c r="O4398" s="74" t="b">
        <v>1</v>
      </c>
    </row>
    <row r="4399" hidden="1">
      <c r="A4399" s="82"/>
      <c r="B4399" s="65" t="s">
        <v>467</v>
      </c>
      <c r="C4399" s="65" t="s">
        <v>113</v>
      </c>
      <c r="D4399" s="65" t="str">
        <f>vlookup(C4399,'Classificação p pessoal'!F:G,2,false)</f>
        <v>NP</v>
      </c>
      <c r="E4399" s="65" t="s">
        <v>3294</v>
      </c>
      <c r="F4399" s="83">
        <v>0.4583333333333333</v>
      </c>
      <c r="G4399" s="83">
        <v>0.5208333333333334</v>
      </c>
      <c r="H4399" s="83">
        <v>0.0625</v>
      </c>
      <c r="I4399" s="84">
        <v>44440.0</v>
      </c>
      <c r="J4399" s="65" t="b">
        <v>1</v>
      </c>
      <c r="K4399" s="65"/>
      <c r="L4399" s="85" t="b">
        <f>IF(VLOOKUP(C4399,Projetos!A:L,12,false)=TRUE,TRUE,FALSE)</f>
        <v>1</v>
      </c>
      <c r="M4399" s="74">
        <v>52.1518759018759</v>
      </c>
      <c r="N4399" s="74">
        <f t="shared" si="1"/>
        <v>78.22781385</v>
      </c>
      <c r="O4399" s="74" t="b">
        <v>1</v>
      </c>
    </row>
    <row r="4400" hidden="1">
      <c r="A4400" s="82"/>
      <c r="B4400" s="65" t="s">
        <v>467</v>
      </c>
      <c r="C4400" s="65" t="s">
        <v>113</v>
      </c>
      <c r="D4400" s="65" t="str">
        <f>vlookup(C4400,'Classificação p pessoal'!F:G,2,false)</f>
        <v>NP</v>
      </c>
      <c r="E4400" s="65" t="s">
        <v>3295</v>
      </c>
      <c r="F4400" s="83">
        <v>0.625</v>
      </c>
      <c r="G4400" s="83">
        <v>0.7083333333333334</v>
      </c>
      <c r="H4400" s="83">
        <v>0.08333333333333333</v>
      </c>
      <c r="I4400" s="84">
        <v>44440.0</v>
      </c>
      <c r="J4400" s="65" t="b">
        <v>1</v>
      </c>
      <c r="K4400" s="65"/>
      <c r="L4400" s="85" t="b">
        <f>IF(VLOOKUP(C4400,Projetos!A:L,12,false)=TRUE,TRUE,FALSE)</f>
        <v>1</v>
      </c>
      <c r="M4400" s="74">
        <v>52.1518759018759</v>
      </c>
      <c r="N4400" s="74">
        <f t="shared" si="1"/>
        <v>104.3037518</v>
      </c>
      <c r="O4400" s="74" t="b">
        <v>1</v>
      </c>
    </row>
    <row r="4401" hidden="1">
      <c r="A4401" s="82"/>
      <c r="B4401" s="65" t="s">
        <v>467</v>
      </c>
      <c r="C4401" s="65" t="s">
        <v>113</v>
      </c>
      <c r="D4401" s="65" t="str">
        <f>vlookup(C4401,'Classificação p pessoal'!F:G,2,false)</f>
        <v>NP</v>
      </c>
      <c r="E4401" s="65" t="s">
        <v>3296</v>
      </c>
      <c r="F4401" s="83">
        <v>0.5833333333333334</v>
      </c>
      <c r="G4401" s="83">
        <v>0.625</v>
      </c>
      <c r="H4401" s="83">
        <v>0.041666666666666664</v>
      </c>
      <c r="I4401" s="84">
        <v>44440.0</v>
      </c>
      <c r="J4401" s="65" t="b">
        <v>1</v>
      </c>
      <c r="K4401" s="65"/>
      <c r="L4401" s="85" t="b">
        <f>IF(VLOOKUP(C4401,Projetos!A:L,12,false)=TRUE,TRUE,FALSE)</f>
        <v>1</v>
      </c>
      <c r="M4401" s="74">
        <v>52.1518759018759</v>
      </c>
      <c r="N4401" s="74">
        <f t="shared" si="1"/>
        <v>52.1518759</v>
      </c>
      <c r="O4401" s="74" t="b">
        <v>1</v>
      </c>
    </row>
    <row r="4402" hidden="1">
      <c r="A4402" s="82"/>
      <c r="B4402" s="65" t="s">
        <v>467</v>
      </c>
      <c r="C4402" s="65" t="s">
        <v>113</v>
      </c>
      <c r="D4402" s="65" t="str">
        <f>vlookup(C4402,'Classificação p pessoal'!F:G,2,false)</f>
        <v>NP</v>
      </c>
      <c r="E4402" s="65" t="s">
        <v>3297</v>
      </c>
      <c r="F4402" s="83">
        <v>0.3541666666666667</v>
      </c>
      <c r="G4402" s="83">
        <v>0.375</v>
      </c>
      <c r="H4402" s="83">
        <v>0.020833333333333332</v>
      </c>
      <c r="I4402" s="84">
        <v>44441.0</v>
      </c>
      <c r="J4402" s="65" t="b">
        <v>1</v>
      </c>
      <c r="K4402" s="65"/>
      <c r="L4402" s="85" t="b">
        <f>IF(VLOOKUP(C4402,Projetos!A:L,12,false)=TRUE,TRUE,FALSE)</f>
        <v>1</v>
      </c>
      <c r="M4402" s="74">
        <v>52.1518759018759</v>
      </c>
      <c r="N4402" s="74">
        <f t="shared" si="1"/>
        <v>26.07593795</v>
      </c>
      <c r="O4402" s="74" t="b">
        <v>1</v>
      </c>
    </row>
    <row r="4403" hidden="1">
      <c r="A4403" s="82"/>
      <c r="B4403" s="65" t="s">
        <v>467</v>
      </c>
      <c r="C4403" s="65" t="s">
        <v>117</v>
      </c>
      <c r="D4403" s="65" t="str">
        <f>vlookup(C4403,'Classificação p pessoal'!F:G,2,false)</f>
        <v>NP</v>
      </c>
      <c r="E4403" s="65" t="s">
        <v>3298</v>
      </c>
      <c r="F4403" s="83">
        <v>0.4583333333333333</v>
      </c>
      <c r="G4403" s="83">
        <v>0.5</v>
      </c>
      <c r="H4403" s="83">
        <v>0.041666666666666664</v>
      </c>
      <c r="I4403" s="84">
        <v>44441.0</v>
      </c>
      <c r="J4403" s="65" t="b">
        <v>1</v>
      </c>
      <c r="K4403" s="65"/>
      <c r="L4403" s="85" t="b">
        <f>IF(VLOOKUP(C4403,Projetos!A:L,12,false)=TRUE,TRUE,FALSE)</f>
        <v>1</v>
      </c>
      <c r="M4403" s="74">
        <v>52.1518759018759</v>
      </c>
      <c r="N4403" s="74">
        <f t="shared" si="1"/>
        <v>52.1518759</v>
      </c>
      <c r="O4403" s="74" t="b">
        <v>1</v>
      </c>
    </row>
    <row r="4404" hidden="1">
      <c r="A4404" s="82"/>
      <c r="B4404" s="65" t="s">
        <v>467</v>
      </c>
      <c r="C4404" s="65" t="s">
        <v>92</v>
      </c>
      <c r="D4404" s="65" t="str">
        <f>vlookup(C4404,'Classificação p pessoal'!F:G,2,false)</f>
        <v/>
      </c>
      <c r="E4404" s="65" t="s">
        <v>3299</v>
      </c>
      <c r="F4404" s="83">
        <v>0.5833333333333334</v>
      </c>
      <c r="G4404" s="83">
        <v>0.625</v>
      </c>
      <c r="H4404" s="83">
        <v>0.041666666666666664</v>
      </c>
      <c r="I4404" s="84">
        <v>44441.0</v>
      </c>
      <c r="J4404" s="65" t="b">
        <v>1</v>
      </c>
      <c r="K4404" s="65"/>
      <c r="L4404" s="85" t="b">
        <f>IF(VLOOKUP(C4404,Projetos!A:L,12,false)=TRUE,TRUE,FALSE)</f>
        <v>1</v>
      </c>
      <c r="M4404" s="74">
        <v>52.1518759018759</v>
      </c>
      <c r="N4404" s="74">
        <f t="shared" si="1"/>
        <v>52.1518759</v>
      </c>
      <c r="O4404" s="74" t="b">
        <v>1</v>
      </c>
    </row>
    <row r="4405" hidden="1">
      <c r="A4405" s="82"/>
      <c r="B4405" s="65" t="s">
        <v>467</v>
      </c>
      <c r="C4405" s="65" t="s">
        <v>92</v>
      </c>
      <c r="D4405" s="65" t="str">
        <f>vlookup(C4405,'Classificação p pessoal'!F:G,2,false)</f>
        <v/>
      </c>
      <c r="E4405" s="65" t="s">
        <v>3300</v>
      </c>
      <c r="F4405" s="83">
        <v>0.7291666666666666</v>
      </c>
      <c r="G4405" s="83">
        <v>0.75</v>
      </c>
      <c r="H4405" s="83">
        <v>0.020833333333333332</v>
      </c>
      <c r="I4405" s="84">
        <v>44441.0</v>
      </c>
      <c r="J4405" s="65" t="b">
        <v>1</v>
      </c>
      <c r="K4405" s="65"/>
      <c r="L4405" s="85" t="b">
        <f>IF(VLOOKUP(C4405,Projetos!A:L,12,false)=TRUE,TRUE,FALSE)</f>
        <v>1</v>
      </c>
      <c r="M4405" s="74">
        <v>52.1518759018759</v>
      </c>
      <c r="N4405" s="74">
        <f t="shared" si="1"/>
        <v>26.07593795</v>
      </c>
      <c r="O4405" s="74" t="b">
        <v>1</v>
      </c>
    </row>
    <row r="4406" hidden="1">
      <c r="A4406" s="82"/>
      <c r="B4406" s="65" t="s">
        <v>467</v>
      </c>
      <c r="C4406" s="65" t="s">
        <v>113</v>
      </c>
      <c r="D4406" s="65" t="str">
        <f>vlookup(C4406,'Classificação p pessoal'!F:G,2,false)</f>
        <v>NP</v>
      </c>
      <c r="E4406" s="65" t="s">
        <v>3301</v>
      </c>
      <c r="F4406" s="83">
        <v>0.34375</v>
      </c>
      <c r="G4406" s="83">
        <v>0.375</v>
      </c>
      <c r="H4406" s="83">
        <v>0.03125</v>
      </c>
      <c r="I4406" s="84">
        <v>44442.0</v>
      </c>
      <c r="J4406" s="65" t="b">
        <v>1</v>
      </c>
      <c r="K4406" s="65"/>
      <c r="L4406" s="85" t="b">
        <f>IF(VLOOKUP(C4406,Projetos!A:L,12,false)=TRUE,TRUE,FALSE)</f>
        <v>1</v>
      </c>
      <c r="M4406" s="74">
        <v>52.1518759018759</v>
      </c>
      <c r="N4406" s="74">
        <f t="shared" si="1"/>
        <v>39.11390693</v>
      </c>
      <c r="O4406" s="74" t="b">
        <v>1</v>
      </c>
    </row>
    <row r="4407" hidden="1">
      <c r="A4407" s="82"/>
      <c r="B4407" s="65" t="s">
        <v>467</v>
      </c>
      <c r="C4407" s="65" t="s">
        <v>130</v>
      </c>
      <c r="D4407" s="65" t="str">
        <f>vlookup(C4407,'Classificação p pessoal'!F:G,2,false)</f>
        <v>NP</v>
      </c>
      <c r="E4407" s="65" t="s">
        <v>3302</v>
      </c>
      <c r="F4407" s="83">
        <v>0.375</v>
      </c>
      <c r="G4407" s="83">
        <v>0.4166666666666667</v>
      </c>
      <c r="H4407" s="83">
        <v>0.041666666666666664</v>
      </c>
      <c r="I4407" s="84">
        <v>44442.0</v>
      </c>
      <c r="J4407" s="65" t="b">
        <v>1</v>
      </c>
      <c r="K4407" s="65"/>
      <c r="L4407" s="85" t="b">
        <f>IF(VLOOKUP(C4407,Projetos!A:L,12,false)=TRUE,TRUE,FALSE)</f>
        <v>1</v>
      </c>
      <c r="M4407" s="74">
        <v>52.1518759018759</v>
      </c>
      <c r="N4407" s="74">
        <f t="shared" si="1"/>
        <v>52.1518759</v>
      </c>
      <c r="O4407" s="74" t="b">
        <v>1</v>
      </c>
    </row>
    <row r="4408" hidden="1">
      <c r="A4408" s="82"/>
      <c r="B4408" s="65" t="s">
        <v>467</v>
      </c>
      <c r="C4408" s="65" t="s">
        <v>130</v>
      </c>
      <c r="D4408" s="65" t="str">
        <f>vlookup(C4408,'Classificação p pessoal'!F:G,2,false)</f>
        <v>NP</v>
      </c>
      <c r="E4408" s="65" t="s">
        <v>3303</v>
      </c>
      <c r="F4408" s="83">
        <v>0.4166666666666667</v>
      </c>
      <c r="G4408" s="83">
        <v>0.4583333333333333</v>
      </c>
      <c r="H4408" s="83">
        <v>0.041666666666666664</v>
      </c>
      <c r="I4408" s="84">
        <v>44442.0</v>
      </c>
      <c r="J4408" s="65" t="b">
        <v>1</v>
      </c>
      <c r="K4408" s="65"/>
      <c r="L4408" s="85" t="b">
        <f>IF(VLOOKUP(C4408,Projetos!A:L,12,false)=TRUE,TRUE,FALSE)</f>
        <v>1</v>
      </c>
      <c r="M4408" s="74">
        <v>52.1518759018759</v>
      </c>
      <c r="N4408" s="74">
        <f t="shared" si="1"/>
        <v>52.1518759</v>
      </c>
      <c r="O4408" s="74" t="b">
        <v>1</v>
      </c>
    </row>
    <row r="4409" hidden="1">
      <c r="A4409" s="82"/>
      <c r="B4409" s="65" t="s">
        <v>467</v>
      </c>
      <c r="C4409" s="65" t="s">
        <v>121</v>
      </c>
      <c r="D4409" s="65" t="str">
        <f>vlookup(C4409,'Classificação p pessoal'!F:G,2,false)</f>
        <v>NP</v>
      </c>
      <c r="E4409" s="65" t="s">
        <v>3304</v>
      </c>
      <c r="F4409" s="83">
        <v>0.5833333333333334</v>
      </c>
      <c r="G4409" s="83">
        <v>0.6666666666666666</v>
      </c>
      <c r="H4409" s="83">
        <v>0.08333333333333333</v>
      </c>
      <c r="I4409" s="84">
        <v>44442.0</v>
      </c>
      <c r="J4409" s="65" t="b">
        <v>1</v>
      </c>
      <c r="K4409" s="65"/>
      <c r="L4409" s="85" t="b">
        <f>IF(VLOOKUP(C4409,Projetos!A:L,12,false)=TRUE,TRUE,FALSE)</f>
        <v>1</v>
      </c>
      <c r="M4409" s="74">
        <v>52.1518759018759</v>
      </c>
      <c r="N4409" s="74">
        <f t="shared" si="1"/>
        <v>104.3037518</v>
      </c>
      <c r="O4409" s="74" t="b">
        <v>1</v>
      </c>
    </row>
    <row r="4410" hidden="1">
      <c r="A4410" s="82"/>
      <c r="B4410" s="65" t="s">
        <v>467</v>
      </c>
      <c r="C4410" s="65" t="s">
        <v>92</v>
      </c>
      <c r="D4410" s="65" t="str">
        <f>vlookup(C4410,'Classificação p pessoal'!F:G,2,false)</f>
        <v/>
      </c>
      <c r="E4410" s="65" t="s">
        <v>3305</v>
      </c>
      <c r="F4410" s="83">
        <v>0.34375</v>
      </c>
      <c r="G4410" s="83">
        <v>0.3958333333333333</v>
      </c>
      <c r="H4410" s="83">
        <v>0.052083333333333336</v>
      </c>
      <c r="I4410" s="84">
        <v>44445.0</v>
      </c>
      <c r="J4410" s="65" t="b">
        <v>1</v>
      </c>
      <c r="K4410" s="65"/>
      <c r="L4410" s="85" t="b">
        <f>IF(VLOOKUP(C4410,Projetos!A:L,12,false)=TRUE,TRUE,FALSE)</f>
        <v>1</v>
      </c>
      <c r="M4410" s="74">
        <v>52.1518759018759</v>
      </c>
      <c r="N4410" s="74">
        <f t="shared" si="1"/>
        <v>65.18984488</v>
      </c>
      <c r="O4410" s="74" t="b">
        <v>1</v>
      </c>
    </row>
    <row r="4411" hidden="1">
      <c r="A4411" s="82"/>
      <c r="B4411" s="65" t="s">
        <v>467</v>
      </c>
      <c r="C4411" s="65" t="s">
        <v>121</v>
      </c>
      <c r="D4411" s="65" t="str">
        <f>vlookup(C4411,'Classificação p pessoal'!F:G,2,false)</f>
        <v>NP</v>
      </c>
      <c r="E4411" s="65" t="s">
        <v>3306</v>
      </c>
      <c r="F4411" s="83">
        <v>0.4375</v>
      </c>
      <c r="G4411" s="83">
        <v>0.4791666666666667</v>
      </c>
      <c r="H4411" s="83">
        <v>0.041666666666666664</v>
      </c>
      <c r="I4411" s="84">
        <v>44445.0</v>
      </c>
      <c r="J4411" s="65" t="b">
        <v>1</v>
      </c>
      <c r="K4411" s="65"/>
      <c r="L4411" s="85" t="b">
        <f>IF(VLOOKUP(C4411,Projetos!A:L,12,false)=TRUE,TRUE,FALSE)</f>
        <v>1</v>
      </c>
      <c r="M4411" s="74">
        <v>52.1518759018759</v>
      </c>
      <c r="N4411" s="74">
        <f t="shared" si="1"/>
        <v>52.1518759</v>
      </c>
      <c r="O4411" s="74" t="b">
        <v>1</v>
      </c>
    </row>
    <row r="4412" hidden="1">
      <c r="A4412" s="82"/>
      <c r="B4412" s="65" t="s">
        <v>467</v>
      </c>
      <c r="C4412" s="65" t="s">
        <v>92</v>
      </c>
      <c r="D4412" s="65" t="str">
        <f>vlookup(C4412,'Classificação p pessoal'!F:G,2,false)</f>
        <v/>
      </c>
      <c r="E4412" s="65" t="s">
        <v>3307</v>
      </c>
      <c r="F4412" s="83">
        <v>0.5833333333333334</v>
      </c>
      <c r="G4412" s="83">
        <v>0.75</v>
      </c>
      <c r="H4412" s="83">
        <v>0.16666666666666666</v>
      </c>
      <c r="I4412" s="84">
        <v>44445.0</v>
      </c>
      <c r="J4412" s="65" t="b">
        <v>1</v>
      </c>
      <c r="K4412" s="65"/>
      <c r="L4412" s="85" t="b">
        <f>IF(VLOOKUP(C4412,Projetos!A:L,12,false)=TRUE,TRUE,FALSE)</f>
        <v>1</v>
      </c>
      <c r="M4412" s="74">
        <v>52.1518759018759</v>
      </c>
      <c r="N4412" s="74">
        <f t="shared" si="1"/>
        <v>208.6075036</v>
      </c>
      <c r="O4412" s="74" t="b">
        <v>1</v>
      </c>
    </row>
    <row r="4413" hidden="1">
      <c r="A4413" s="82"/>
      <c r="B4413" s="65" t="s">
        <v>467</v>
      </c>
      <c r="C4413" s="65" t="s">
        <v>84</v>
      </c>
      <c r="D4413" s="65"/>
      <c r="E4413" s="65" t="s">
        <v>3308</v>
      </c>
      <c r="F4413" s="83">
        <v>0.625</v>
      </c>
      <c r="G4413" s="83">
        <v>0.7083333333333334</v>
      </c>
      <c r="H4413" s="83">
        <v>0.08333333333333333</v>
      </c>
      <c r="I4413" s="84">
        <v>44448.0</v>
      </c>
      <c r="J4413" s="65" t="b">
        <v>0</v>
      </c>
      <c r="K4413" s="65"/>
      <c r="L4413" s="85" t="b">
        <f>IF(VLOOKUP(C4413,Projetos!A:L,12,false)=TRUE,TRUE,FALSE)</f>
        <v>0</v>
      </c>
      <c r="M4413" s="74">
        <v>52.1518759018759</v>
      </c>
      <c r="N4413" s="74">
        <f t="shared" si="1"/>
        <v>0</v>
      </c>
      <c r="O4413" s="74" t="b">
        <v>0</v>
      </c>
    </row>
    <row r="4414" hidden="1">
      <c r="A4414" s="82"/>
      <c r="B4414" s="65" t="s">
        <v>467</v>
      </c>
      <c r="C4414" s="65" t="s">
        <v>120</v>
      </c>
      <c r="D4414" s="65"/>
      <c r="E4414" s="65" t="s">
        <v>3309</v>
      </c>
      <c r="F4414" s="83">
        <v>0.3958333333333333</v>
      </c>
      <c r="G4414" s="83">
        <v>0.4583333333333333</v>
      </c>
      <c r="H4414" s="83">
        <v>0.0625</v>
      </c>
      <c r="I4414" s="84">
        <v>44448.0</v>
      </c>
      <c r="J4414" s="65" t="b">
        <v>0</v>
      </c>
      <c r="K4414" s="65" t="s">
        <v>150</v>
      </c>
      <c r="L4414" s="85" t="b">
        <f>IF(VLOOKUP(C4414,Projetos!A:L,12,false)=TRUE,TRUE,FALSE)</f>
        <v>0</v>
      </c>
      <c r="M4414" s="74">
        <v>52.1518759018759</v>
      </c>
      <c r="N4414" s="74">
        <f t="shared" si="1"/>
        <v>0</v>
      </c>
      <c r="O4414" s="74" t="b">
        <v>0</v>
      </c>
    </row>
    <row r="4415" hidden="1">
      <c r="A4415" s="82"/>
      <c r="B4415" s="65" t="s">
        <v>467</v>
      </c>
      <c r="C4415" s="65" t="s">
        <v>84</v>
      </c>
      <c r="D4415" s="65"/>
      <c r="E4415" s="65" t="s">
        <v>3310</v>
      </c>
      <c r="F4415" s="83">
        <v>0.7083333333333334</v>
      </c>
      <c r="G4415" s="83">
        <v>0.75</v>
      </c>
      <c r="H4415" s="83">
        <v>0.041666666666666664</v>
      </c>
      <c r="I4415" s="84">
        <v>44448.0</v>
      </c>
      <c r="J4415" s="65" t="b">
        <v>0</v>
      </c>
      <c r="K4415" s="65"/>
      <c r="L4415" s="85" t="b">
        <f>IF(VLOOKUP(C4415,Projetos!A:L,12,false)=TRUE,TRUE,FALSE)</f>
        <v>0</v>
      </c>
      <c r="M4415" s="74">
        <v>52.1518759018759</v>
      </c>
      <c r="N4415" s="74">
        <f t="shared" si="1"/>
        <v>0</v>
      </c>
      <c r="O4415" s="74" t="b">
        <v>0</v>
      </c>
    </row>
    <row r="4416" hidden="1">
      <c r="A4416" s="82"/>
      <c r="B4416" s="65" t="s">
        <v>467</v>
      </c>
      <c r="C4416" s="65" t="s">
        <v>130</v>
      </c>
      <c r="D4416" s="65" t="str">
        <f>vlookup(C4416,'Classificação p pessoal'!F:G,2,false)</f>
        <v>NP</v>
      </c>
      <c r="E4416" s="65" t="s">
        <v>3311</v>
      </c>
      <c r="F4416" s="83">
        <v>0.3541666666666667</v>
      </c>
      <c r="G4416" s="83">
        <v>0.375</v>
      </c>
      <c r="H4416" s="83">
        <v>0.020833333333333332</v>
      </c>
      <c r="I4416" s="84">
        <v>44449.0</v>
      </c>
      <c r="J4416" s="65" t="b">
        <v>1</v>
      </c>
      <c r="K4416" s="65"/>
      <c r="L4416" s="85" t="b">
        <f>IF(VLOOKUP(C4416,Projetos!A:L,12,false)=TRUE,TRUE,FALSE)</f>
        <v>1</v>
      </c>
      <c r="M4416" s="74">
        <v>52.1518759018759</v>
      </c>
      <c r="N4416" s="74">
        <f t="shared" si="1"/>
        <v>26.07593795</v>
      </c>
      <c r="O4416" s="74" t="b">
        <v>1</v>
      </c>
    </row>
    <row r="4417" hidden="1">
      <c r="A4417" s="82"/>
      <c r="B4417" s="65" t="s">
        <v>495</v>
      </c>
      <c r="C4417" s="65" t="s">
        <v>92</v>
      </c>
      <c r="D4417" s="65" t="str">
        <f>vlookup(C4417,'Classificação p pessoal'!F:G,2,false)</f>
        <v/>
      </c>
      <c r="E4417" s="65" t="s">
        <v>3290</v>
      </c>
      <c r="F4417" s="83">
        <v>0.3541666666666667</v>
      </c>
      <c r="G4417" s="83">
        <v>0.3958333333333333</v>
      </c>
      <c r="H4417" s="83">
        <v>0.041666666666666664</v>
      </c>
      <c r="I4417" s="84">
        <v>44495.0</v>
      </c>
      <c r="J4417" s="65" t="b">
        <v>1</v>
      </c>
      <c r="K4417" s="65"/>
      <c r="L4417" s="85" t="b">
        <f>IF(VLOOKUP(C4417,Projetos!A:L,12,false)=TRUE,TRUE,FALSE)</f>
        <v>1</v>
      </c>
      <c r="M4417" s="74">
        <v>73.7079846079846</v>
      </c>
      <c r="N4417" s="74">
        <f t="shared" si="1"/>
        <v>73.70798461</v>
      </c>
      <c r="O4417" s="74" t="b">
        <v>1</v>
      </c>
    </row>
    <row r="4418" hidden="1">
      <c r="A4418" s="82"/>
      <c r="B4418" s="65" t="s">
        <v>467</v>
      </c>
      <c r="C4418" s="65" t="s">
        <v>113</v>
      </c>
      <c r="D4418" s="65" t="str">
        <f>vlookup(C4418,'Classificação p pessoal'!F:G,2,false)</f>
        <v>NP</v>
      </c>
      <c r="E4418" s="65" t="s">
        <v>3312</v>
      </c>
      <c r="F4418" s="83">
        <v>0.5833333333333334</v>
      </c>
      <c r="G4418" s="83">
        <v>0.625</v>
      </c>
      <c r="H4418" s="83">
        <v>0.041666666666666664</v>
      </c>
      <c r="I4418" s="84">
        <v>44449.0</v>
      </c>
      <c r="J4418" s="65" t="b">
        <v>1</v>
      </c>
      <c r="K4418" s="65"/>
      <c r="L4418" s="85" t="b">
        <f>IF(VLOOKUP(C4418,Projetos!A:L,12,false)=TRUE,TRUE,FALSE)</f>
        <v>1</v>
      </c>
      <c r="M4418" s="74">
        <v>52.1518759018759</v>
      </c>
      <c r="N4418" s="74">
        <f t="shared" si="1"/>
        <v>52.1518759</v>
      </c>
      <c r="O4418" s="74" t="b">
        <v>1</v>
      </c>
    </row>
    <row r="4419" hidden="1">
      <c r="A4419" s="82"/>
      <c r="B4419" s="65" t="s">
        <v>467</v>
      </c>
      <c r="C4419" s="65" t="s">
        <v>92</v>
      </c>
      <c r="D4419" s="65" t="str">
        <f>vlookup(C4419,'Classificação p pessoal'!F:G,2,false)</f>
        <v/>
      </c>
      <c r="E4419" s="65" t="s">
        <v>3313</v>
      </c>
      <c r="F4419" s="83">
        <v>0.4166666666666667</v>
      </c>
      <c r="G4419" s="83">
        <v>0.4583333333333333</v>
      </c>
      <c r="H4419" s="83">
        <v>0.041666666666666664</v>
      </c>
      <c r="I4419" s="84">
        <v>44449.0</v>
      </c>
      <c r="J4419" s="65" t="b">
        <v>1</v>
      </c>
      <c r="K4419" s="65"/>
      <c r="L4419" s="85" t="b">
        <f>IF(VLOOKUP(C4419,Projetos!A:L,12,false)=TRUE,TRUE,FALSE)</f>
        <v>1</v>
      </c>
      <c r="M4419" s="74">
        <v>52.1518759018759</v>
      </c>
      <c r="N4419" s="74">
        <f t="shared" si="1"/>
        <v>52.1518759</v>
      </c>
      <c r="O4419" s="74" t="b">
        <v>1</v>
      </c>
    </row>
    <row r="4420" hidden="1">
      <c r="A4420" s="82"/>
      <c r="B4420" s="65" t="s">
        <v>467</v>
      </c>
      <c r="C4420" s="65" t="s">
        <v>92</v>
      </c>
      <c r="D4420" s="65" t="str">
        <f>vlookup(C4420,'Classificação p pessoal'!F:G,2,false)</f>
        <v/>
      </c>
      <c r="E4420" s="65" t="s">
        <v>3314</v>
      </c>
      <c r="F4420" s="83">
        <v>0.375</v>
      </c>
      <c r="G4420" s="83">
        <v>0.4166666666666667</v>
      </c>
      <c r="H4420" s="83">
        <v>0.041666666666666664</v>
      </c>
      <c r="I4420" s="84">
        <v>44452.0</v>
      </c>
      <c r="J4420" s="65" t="b">
        <v>1</v>
      </c>
      <c r="K4420" s="65"/>
      <c r="L4420" s="85" t="b">
        <f>IF(VLOOKUP(C4420,Projetos!A:L,12,false)=TRUE,TRUE,FALSE)</f>
        <v>1</v>
      </c>
      <c r="M4420" s="74">
        <v>52.1518759018759</v>
      </c>
      <c r="N4420" s="74">
        <f t="shared" si="1"/>
        <v>52.1518759</v>
      </c>
      <c r="O4420" s="74" t="b">
        <v>1</v>
      </c>
    </row>
    <row r="4421" hidden="1">
      <c r="A4421" s="82"/>
      <c r="B4421" s="65" t="s">
        <v>467</v>
      </c>
      <c r="C4421" s="65" t="s">
        <v>113</v>
      </c>
      <c r="D4421" s="65" t="str">
        <f>vlookup(C4421,'Classificação p pessoal'!F:G,2,false)</f>
        <v>NP</v>
      </c>
      <c r="E4421" s="65" t="s">
        <v>3315</v>
      </c>
      <c r="F4421" s="83">
        <v>0.4166666666666667</v>
      </c>
      <c r="G4421" s="83">
        <v>0.5</v>
      </c>
      <c r="H4421" s="83">
        <v>0.08333333333333333</v>
      </c>
      <c r="I4421" s="84">
        <v>44452.0</v>
      </c>
      <c r="J4421" s="65" t="b">
        <v>1</v>
      </c>
      <c r="K4421" s="65"/>
      <c r="L4421" s="85" t="b">
        <f>IF(VLOOKUP(C4421,Projetos!A:L,12,false)=TRUE,TRUE,FALSE)</f>
        <v>1</v>
      </c>
      <c r="M4421" s="74">
        <v>52.1518759018759</v>
      </c>
      <c r="N4421" s="74">
        <f t="shared" si="1"/>
        <v>104.3037518</v>
      </c>
      <c r="O4421" s="74" t="b">
        <v>1</v>
      </c>
    </row>
    <row r="4422" hidden="1">
      <c r="A4422" s="82"/>
      <c r="B4422" s="65" t="s">
        <v>467</v>
      </c>
      <c r="C4422" s="65" t="s">
        <v>113</v>
      </c>
      <c r="D4422" s="65" t="str">
        <f>vlookup(C4422,'Classificação p pessoal'!F:G,2,false)</f>
        <v>NP</v>
      </c>
      <c r="E4422" s="65" t="s">
        <v>3316</v>
      </c>
      <c r="F4422" s="83">
        <v>0.5625</v>
      </c>
      <c r="G4422" s="83">
        <v>0.6041666666666666</v>
      </c>
      <c r="H4422" s="83">
        <v>0.041666666666666664</v>
      </c>
      <c r="I4422" s="84">
        <v>44452.0</v>
      </c>
      <c r="J4422" s="65" t="b">
        <v>1</v>
      </c>
      <c r="K4422" s="65"/>
      <c r="L4422" s="85" t="b">
        <f>IF(VLOOKUP(C4422,Projetos!A:L,12,false)=TRUE,TRUE,FALSE)</f>
        <v>1</v>
      </c>
      <c r="M4422" s="74">
        <v>52.1518759018759</v>
      </c>
      <c r="N4422" s="74">
        <f t="shared" si="1"/>
        <v>52.1518759</v>
      </c>
      <c r="O4422" s="74" t="b">
        <v>1</v>
      </c>
    </row>
    <row r="4423" hidden="1">
      <c r="A4423" s="82"/>
      <c r="B4423" s="65" t="s">
        <v>467</v>
      </c>
      <c r="C4423" s="65" t="s">
        <v>92</v>
      </c>
      <c r="D4423" s="65" t="str">
        <f>vlookup(C4423,'Classificação p pessoal'!F:G,2,false)</f>
        <v/>
      </c>
      <c r="E4423" s="65" t="s">
        <v>3317</v>
      </c>
      <c r="F4423" s="83">
        <v>0.6041666666666666</v>
      </c>
      <c r="G4423" s="83">
        <v>0.625</v>
      </c>
      <c r="H4423" s="83">
        <v>0.020833333333333332</v>
      </c>
      <c r="I4423" s="84">
        <v>44452.0</v>
      </c>
      <c r="J4423" s="65" t="b">
        <v>1</v>
      </c>
      <c r="K4423" s="65"/>
      <c r="L4423" s="85" t="b">
        <f>IF(VLOOKUP(C4423,Projetos!A:L,12,false)=TRUE,TRUE,FALSE)</f>
        <v>1</v>
      </c>
      <c r="M4423" s="74">
        <v>52.1518759018759</v>
      </c>
      <c r="N4423" s="74">
        <f t="shared" si="1"/>
        <v>26.07593795</v>
      </c>
      <c r="O4423" s="74" t="b">
        <v>1</v>
      </c>
    </row>
    <row r="4424" hidden="1">
      <c r="A4424" s="82"/>
      <c r="B4424" s="65" t="s">
        <v>467</v>
      </c>
      <c r="C4424" s="65" t="s">
        <v>92</v>
      </c>
      <c r="D4424" s="65" t="str">
        <f>vlookup(C4424,'Classificação p pessoal'!F:G,2,false)</f>
        <v/>
      </c>
      <c r="E4424" s="65" t="s">
        <v>3318</v>
      </c>
      <c r="F4424" s="83">
        <v>0.6666666666666666</v>
      </c>
      <c r="G4424" s="83">
        <v>0.7083333333333334</v>
      </c>
      <c r="H4424" s="83">
        <v>0.041666666666666664</v>
      </c>
      <c r="I4424" s="84">
        <v>44452.0</v>
      </c>
      <c r="J4424" s="65" t="b">
        <v>1</v>
      </c>
      <c r="K4424" s="65"/>
      <c r="L4424" s="85" t="b">
        <f>IF(VLOOKUP(C4424,Projetos!A:L,12,false)=TRUE,TRUE,FALSE)</f>
        <v>1</v>
      </c>
      <c r="M4424" s="74">
        <v>52.1518759018759</v>
      </c>
      <c r="N4424" s="74">
        <f t="shared" si="1"/>
        <v>52.1518759</v>
      </c>
      <c r="O4424" s="74" t="b">
        <v>1</v>
      </c>
    </row>
    <row r="4425" hidden="1">
      <c r="A4425" s="82"/>
      <c r="B4425" s="65" t="s">
        <v>467</v>
      </c>
      <c r="C4425" s="65" t="s">
        <v>113</v>
      </c>
      <c r="D4425" s="65" t="str">
        <f>vlookup(C4425,'Classificação p pessoal'!F:G,2,false)</f>
        <v>NP</v>
      </c>
      <c r="E4425" s="65" t="s">
        <v>3319</v>
      </c>
      <c r="F4425" s="83">
        <v>0.625</v>
      </c>
      <c r="G4425" s="83">
        <v>0.6666666666666666</v>
      </c>
      <c r="H4425" s="83">
        <v>0.041666666666666664</v>
      </c>
      <c r="I4425" s="84">
        <v>44452.0</v>
      </c>
      <c r="J4425" s="65" t="b">
        <v>1</v>
      </c>
      <c r="K4425" s="65"/>
      <c r="L4425" s="85" t="b">
        <f>IF(VLOOKUP(C4425,Projetos!A:L,12,false)=TRUE,TRUE,FALSE)</f>
        <v>1</v>
      </c>
      <c r="M4425" s="74">
        <v>52.1518759018759</v>
      </c>
      <c r="N4425" s="74">
        <f t="shared" si="1"/>
        <v>52.1518759</v>
      </c>
      <c r="O4425" s="74" t="b">
        <v>1</v>
      </c>
    </row>
    <row r="4426" hidden="1">
      <c r="A4426" s="82"/>
      <c r="B4426" s="65" t="s">
        <v>467</v>
      </c>
      <c r="C4426" s="65" t="s">
        <v>92</v>
      </c>
      <c r="D4426" s="65" t="str">
        <f>vlookup(C4426,'Classificação p pessoal'!F:G,2,false)</f>
        <v/>
      </c>
      <c r="E4426" s="65" t="s">
        <v>3320</v>
      </c>
      <c r="F4426" s="83">
        <v>0.34375</v>
      </c>
      <c r="G4426" s="83">
        <v>0.3854166666666667</v>
      </c>
      <c r="H4426" s="83">
        <v>0.041666666666666664</v>
      </c>
      <c r="I4426" s="84">
        <v>44453.0</v>
      </c>
      <c r="J4426" s="65" t="b">
        <v>1</v>
      </c>
      <c r="K4426" s="65"/>
      <c r="L4426" s="85" t="b">
        <f>IF(VLOOKUP(C4426,Projetos!A:L,12,false)=TRUE,TRUE,FALSE)</f>
        <v>1</v>
      </c>
      <c r="M4426" s="74">
        <v>52.1518759018759</v>
      </c>
      <c r="N4426" s="74">
        <f t="shared" si="1"/>
        <v>52.1518759</v>
      </c>
      <c r="O4426" s="74" t="b">
        <v>1</v>
      </c>
    </row>
    <row r="4427" hidden="1">
      <c r="A4427" s="82"/>
      <c r="B4427" s="65" t="s">
        <v>467</v>
      </c>
      <c r="C4427" s="65" t="s">
        <v>92</v>
      </c>
      <c r="D4427" s="65" t="str">
        <f>vlookup(C4427,'Classificação p pessoal'!F:G,2,false)</f>
        <v/>
      </c>
      <c r="E4427" s="65" t="s">
        <v>3321</v>
      </c>
      <c r="F4427" s="83">
        <v>0.4166666666666667</v>
      </c>
      <c r="G4427" s="83">
        <v>0.5</v>
      </c>
      <c r="H4427" s="83">
        <v>0.08333333333333333</v>
      </c>
      <c r="I4427" s="84">
        <v>44453.0</v>
      </c>
      <c r="J4427" s="65" t="b">
        <v>1</v>
      </c>
      <c r="K4427" s="65"/>
      <c r="L4427" s="85" t="b">
        <f>IF(VLOOKUP(C4427,Projetos!A:L,12,false)=TRUE,TRUE,FALSE)</f>
        <v>1</v>
      </c>
      <c r="M4427" s="74">
        <v>52.1518759018759</v>
      </c>
      <c r="N4427" s="74">
        <f t="shared" si="1"/>
        <v>104.3037518</v>
      </c>
      <c r="O4427" s="74" t="b">
        <v>1</v>
      </c>
    </row>
    <row r="4428" hidden="1">
      <c r="A4428" s="82"/>
      <c r="B4428" s="65" t="s">
        <v>467</v>
      </c>
      <c r="C4428" s="65" t="s">
        <v>92</v>
      </c>
      <c r="D4428" s="65" t="str">
        <f>vlookup(C4428,'Classificação p pessoal'!F:G,2,false)</f>
        <v/>
      </c>
      <c r="E4428" s="65" t="s">
        <v>3322</v>
      </c>
      <c r="F4428" s="83">
        <v>0.3541666666666667</v>
      </c>
      <c r="G4428" s="83">
        <v>0.5</v>
      </c>
      <c r="H4428" s="83">
        <v>0.14583333333333334</v>
      </c>
      <c r="I4428" s="84">
        <v>44454.0</v>
      </c>
      <c r="J4428" s="65" t="b">
        <v>1</v>
      </c>
      <c r="K4428" s="65"/>
      <c r="L4428" s="85" t="b">
        <f>IF(VLOOKUP(C4428,Projetos!A:L,12,false)=TRUE,TRUE,FALSE)</f>
        <v>1</v>
      </c>
      <c r="M4428" s="74">
        <v>52.1518759018759</v>
      </c>
      <c r="N4428" s="74">
        <f t="shared" si="1"/>
        <v>182.5315657</v>
      </c>
      <c r="O4428" s="74" t="b">
        <v>1</v>
      </c>
    </row>
    <row r="4429" hidden="1">
      <c r="A4429" s="82"/>
      <c r="B4429" s="65" t="s">
        <v>467</v>
      </c>
      <c r="C4429" s="65" t="s">
        <v>92</v>
      </c>
      <c r="D4429" s="65" t="str">
        <f>vlookup(C4429,'Classificação p pessoal'!F:G,2,false)</f>
        <v/>
      </c>
      <c r="E4429" s="65" t="s">
        <v>3323</v>
      </c>
      <c r="F4429" s="83">
        <v>0.625</v>
      </c>
      <c r="G4429" s="83">
        <v>0.6875</v>
      </c>
      <c r="H4429" s="83">
        <v>0.0625</v>
      </c>
      <c r="I4429" s="84">
        <v>44454.0</v>
      </c>
      <c r="J4429" s="65" t="b">
        <v>1</v>
      </c>
      <c r="K4429" s="65"/>
      <c r="L4429" s="85" t="b">
        <f>IF(VLOOKUP(C4429,Projetos!A:L,12,false)=TRUE,TRUE,FALSE)</f>
        <v>1</v>
      </c>
      <c r="M4429" s="74">
        <v>52.1518759018759</v>
      </c>
      <c r="N4429" s="74">
        <f t="shared" si="1"/>
        <v>78.22781385</v>
      </c>
      <c r="O4429" s="74" t="b">
        <v>1</v>
      </c>
    </row>
    <row r="4430" hidden="1">
      <c r="A4430" s="82"/>
      <c r="B4430" s="65" t="s">
        <v>467</v>
      </c>
      <c r="C4430" s="65" t="s">
        <v>120</v>
      </c>
      <c r="D4430" s="65"/>
      <c r="E4430" s="65" t="s">
        <v>3324</v>
      </c>
      <c r="F4430" s="83">
        <v>0.6875</v>
      </c>
      <c r="G4430" s="83">
        <v>0.7291666666666666</v>
      </c>
      <c r="H4430" s="83">
        <v>0.041666666666666664</v>
      </c>
      <c r="I4430" s="84">
        <v>44454.0</v>
      </c>
      <c r="J4430" s="65" t="b">
        <v>0</v>
      </c>
      <c r="K4430" s="65"/>
      <c r="L4430" s="85" t="b">
        <f>IF(VLOOKUP(C4430,Projetos!A:L,12,false)=TRUE,TRUE,FALSE)</f>
        <v>0</v>
      </c>
      <c r="M4430" s="74">
        <v>52.1518759018759</v>
      </c>
      <c r="N4430" s="74">
        <f t="shared" si="1"/>
        <v>0</v>
      </c>
      <c r="O4430" s="74" t="b">
        <v>0</v>
      </c>
    </row>
    <row r="4431" hidden="1">
      <c r="A4431" s="82"/>
      <c r="B4431" s="65" t="s">
        <v>467</v>
      </c>
      <c r="C4431" s="65" t="s">
        <v>117</v>
      </c>
      <c r="D4431" s="65" t="str">
        <f>vlookup(C4431,'Classificação p pessoal'!F:G,2,false)</f>
        <v>NP</v>
      </c>
      <c r="E4431" s="65" t="s">
        <v>3325</v>
      </c>
      <c r="F4431" s="83">
        <v>0.3541666666666667</v>
      </c>
      <c r="G4431" s="83">
        <v>0.5</v>
      </c>
      <c r="H4431" s="83">
        <v>0.14583333333333334</v>
      </c>
      <c r="I4431" s="84">
        <v>44455.0</v>
      </c>
      <c r="J4431" s="65" t="b">
        <v>1</v>
      </c>
      <c r="K4431" s="65"/>
      <c r="L4431" s="85" t="b">
        <f>IF(VLOOKUP(C4431,Projetos!A:L,12,false)=TRUE,TRUE,FALSE)</f>
        <v>1</v>
      </c>
      <c r="M4431" s="74">
        <v>52.1518759018759</v>
      </c>
      <c r="N4431" s="74">
        <f t="shared" si="1"/>
        <v>182.5315657</v>
      </c>
      <c r="O4431" s="74" t="b">
        <v>1</v>
      </c>
    </row>
    <row r="4432" hidden="1">
      <c r="A4432" s="82"/>
      <c r="B4432" s="65" t="s">
        <v>467</v>
      </c>
      <c r="C4432" s="65" t="s">
        <v>84</v>
      </c>
      <c r="D4432" s="65"/>
      <c r="E4432" s="65" t="s">
        <v>3326</v>
      </c>
      <c r="F4432" s="83">
        <v>0.5833333333333334</v>
      </c>
      <c r="G4432" s="83">
        <v>0.7291666666666666</v>
      </c>
      <c r="H4432" s="83">
        <v>0.14583333333333334</v>
      </c>
      <c r="I4432" s="84">
        <v>44455.0</v>
      </c>
      <c r="J4432" s="65" t="b">
        <v>0</v>
      </c>
      <c r="K4432" s="65" t="s">
        <v>150</v>
      </c>
      <c r="L4432" s="85" t="b">
        <f>IF(VLOOKUP(C4432,Projetos!A:L,12,false)=TRUE,TRUE,FALSE)</f>
        <v>0</v>
      </c>
      <c r="M4432" s="74">
        <v>52.1518759018759</v>
      </c>
      <c r="N4432" s="74">
        <f t="shared" si="1"/>
        <v>0</v>
      </c>
      <c r="O4432" s="74" t="b">
        <v>0</v>
      </c>
    </row>
    <row r="4433" hidden="1">
      <c r="A4433" s="82"/>
      <c r="B4433" s="65" t="s">
        <v>467</v>
      </c>
      <c r="C4433" s="65" t="s">
        <v>92</v>
      </c>
      <c r="D4433" s="65"/>
      <c r="E4433" s="65" t="s">
        <v>3327</v>
      </c>
      <c r="F4433" s="83">
        <v>0.3541666666666667</v>
      </c>
      <c r="G4433" s="83">
        <v>0.4375</v>
      </c>
      <c r="H4433" s="83">
        <v>0.08333333333333333</v>
      </c>
      <c r="I4433" s="84">
        <v>44456.0</v>
      </c>
      <c r="J4433" s="65" t="b">
        <v>0</v>
      </c>
      <c r="K4433" s="65" t="s">
        <v>150</v>
      </c>
      <c r="L4433" s="85" t="b">
        <f>IF(VLOOKUP(C4433,Projetos!A:L,12,false)=TRUE,TRUE,FALSE)</f>
        <v>1</v>
      </c>
      <c r="M4433" s="74">
        <v>52.1518759018759</v>
      </c>
      <c r="N4433" s="74">
        <f t="shared" si="1"/>
        <v>0</v>
      </c>
      <c r="O4433" s="74" t="b">
        <v>1</v>
      </c>
    </row>
    <row r="4434" hidden="1">
      <c r="A4434" s="82"/>
      <c r="B4434" s="65" t="s">
        <v>467</v>
      </c>
      <c r="C4434" s="65" t="s">
        <v>113</v>
      </c>
      <c r="D4434" s="65" t="str">
        <f>vlookup(C4434,'Classificação p pessoal'!F:G,2,false)</f>
        <v>NP</v>
      </c>
      <c r="E4434" s="65" t="s">
        <v>3328</v>
      </c>
      <c r="F4434" s="83">
        <v>0.3541666666666667</v>
      </c>
      <c r="G4434" s="83">
        <v>0.4375</v>
      </c>
      <c r="H4434" s="83">
        <v>0.08333333333333333</v>
      </c>
      <c r="I4434" s="84">
        <v>44459.0</v>
      </c>
      <c r="J4434" s="65" t="b">
        <v>1</v>
      </c>
      <c r="K4434" s="65"/>
      <c r="L4434" s="85" t="b">
        <f>IF(VLOOKUP(C4434,Projetos!A:L,12,false)=TRUE,TRUE,FALSE)</f>
        <v>1</v>
      </c>
      <c r="M4434" s="74">
        <v>52.1518759018759</v>
      </c>
      <c r="N4434" s="74">
        <f t="shared" si="1"/>
        <v>104.3037518</v>
      </c>
      <c r="O4434" s="74" t="b">
        <v>1</v>
      </c>
    </row>
    <row r="4435" hidden="1">
      <c r="A4435" s="82"/>
      <c r="B4435" s="65" t="s">
        <v>467</v>
      </c>
      <c r="C4435" s="65" t="s">
        <v>92</v>
      </c>
      <c r="D4435" s="65" t="str">
        <f>vlookup(C4435,'Classificação p pessoal'!F:G,2,false)</f>
        <v/>
      </c>
      <c r="E4435" s="65" t="s">
        <v>3329</v>
      </c>
      <c r="F4435" s="83">
        <v>0.4375</v>
      </c>
      <c r="G4435" s="83">
        <v>0.4583333333333333</v>
      </c>
      <c r="H4435" s="83">
        <v>0.020833333333333332</v>
      </c>
      <c r="I4435" s="84">
        <v>44459.0</v>
      </c>
      <c r="J4435" s="65" t="b">
        <v>1</v>
      </c>
      <c r="K4435" s="65"/>
      <c r="L4435" s="85" t="b">
        <f>IF(VLOOKUP(C4435,Projetos!A:L,12,false)=TRUE,TRUE,FALSE)</f>
        <v>1</v>
      </c>
      <c r="M4435" s="74">
        <v>52.1518759018759</v>
      </c>
      <c r="N4435" s="74">
        <f t="shared" si="1"/>
        <v>26.07593795</v>
      </c>
      <c r="O4435" s="74" t="b">
        <v>1</v>
      </c>
    </row>
    <row r="4436" hidden="1">
      <c r="A4436" s="82"/>
      <c r="B4436" s="65" t="s">
        <v>467</v>
      </c>
      <c r="C4436" s="65" t="s">
        <v>92</v>
      </c>
      <c r="D4436" s="65" t="str">
        <f>vlookup(C4436,'Classificação p pessoal'!F:G,2,false)</f>
        <v/>
      </c>
      <c r="E4436" s="65" t="s">
        <v>3330</v>
      </c>
      <c r="F4436" s="83">
        <v>0.5833333333333334</v>
      </c>
      <c r="G4436" s="83">
        <v>0.75</v>
      </c>
      <c r="H4436" s="83">
        <v>0.16666666666666666</v>
      </c>
      <c r="I4436" s="84">
        <v>44456.0</v>
      </c>
      <c r="J4436" s="65" t="b">
        <v>1</v>
      </c>
      <c r="K4436" s="65"/>
      <c r="L4436" s="85" t="b">
        <f>IF(VLOOKUP(C4436,Projetos!A:L,12,false)=TRUE,TRUE,FALSE)</f>
        <v>1</v>
      </c>
      <c r="M4436" s="74">
        <v>52.1518759018759</v>
      </c>
      <c r="N4436" s="74">
        <f t="shared" si="1"/>
        <v>208.6075036</v>
      </c>
      <c r="O4436" s="74" t="b">
        <v>1</v>
      </c>
    </row>
    <row r="4437" hidden="1">
      <c r="A4437" s="82"/>
      <c r="B4437" s="65" t="s">
        <v>467</v>
      </c>
      <c r="C4437" s="65" t="s">
        <v>92</v>
      </c>
      <c r="D4437" s="65" t="str">
        <f>vlookup(C4437,'Classificação p pessoal'!F:G,2,false)</f>
        <v/>
      </c>
      <c r="E4437" s="65" t="s">
        <v>3331</v>
      </c>
      <c r="F4437" s="83">
        <v>0.4583333333333333</v>
      </c>
      <c r="G4437" s="83">
        <v>0.5</v>
      </c>
      <c r="H4437" s="83">
        <v>0.041666666666666664</v>
      </c>
      <c r="I4437" s="84">
        <v>44459.0</v>
      </c>
      <c r="J4437" s="65" t="b">
        <v>1</v>
      </c>
      <c r="K4437" s="65"/>
      <c r="L4437" s="85" t="b">
        <f>IF(VLOOKUP(C4437,Projetos!A:L,12,false)=TRUE,TRUE,FALSE)</f>
        <v>1</v>
      </c>
      <c r="M4437" s="74">
        <v>52.1518759018759</v>
      </c>
      <c r="N4437" s="74">
        <f t="shared" si="1"/>
        <v>52.1518759</v>
      </c>
      <c r="O4437" s="74" t="b">
        <v>1</v>
      </c>
    </row>
    <row r="4438" hidden="1">
      <c r="A4438" s="82"/>
      <c r="B4438" s="65" t="s">
        <v>467</v>
      </c>
      <c r="C4438" s="65" t="s">
        <v>120</v>
      </c>
      <c r="D4438" s="65"/>
      <c r="E4438" s="65" t="s">
        <v>3332</v>
      </c>
      <c r="F4438" s="83">
        <v>0.5833333333333334</v>
      </c>
      <c r="G4438" s="83">
        <v>0.6666666666666666</v>
      </c>
      <c r="H4438" s="83">
        <v>0.08333333333333333</v>
      </c>
      <c r="I4438" s="84">
        <v>44459.0</v>
      </c>
      <c r="J4438" s="65" t="b">
        <v>0</v>
      </c>
      <c r="K4438" s="65"/>
      <c r="L4438" s="85" t="b">
        <f>IF(VLOOKUP(C4438,Projetos!A:L,12,false)=TRUE,TRUE,FALSE)</f>
        <v>0</v>
      </c>
      <c r="M4438" s="74">
        <v>52.1518759018759</v>
      </c>
      <c r="N4438" s="74">
        <f t="shared" si="1"/>
        <v>0</v>
      </c>
      <c r="O4438" s="74" t="b">
        <v>0</v>
      </c>
    </row>
    <row r="4439" hidden="1">
      <c r="A4439" s="82"/>
      <c r="B4439" s="65" t="s">
        <v>467</v>
      </c>
      <c r="C4439" s="65" t="s">
        <v>113</v>
      </c>
      <c r="D4439" s="65" t="str">
        <f>vlookup(C4439,'Classificação p pessoal'!F:G,2,false)</f>
        <v>NP</v>
      </c>
      <c r="E4439" s="65" t="s">
        <v>3333</v>
      </c>
      <c r="F4439" s="83">
        <v>0.3541666666666667</v>
      </c>
      <c r="G4439" s="83">
        <v>0.3958333333333333</v>
      </c>
      <c r="H4439" s="83">
        <v>0.041666666666666664</v>
      </c>
      <c r="I4439" s="84">
        <v>44460.0</v>
      </c>
      <c r="J4439" s="65" t="b">
        <v>1</v>
      </c>
      <c r="K4439" s="65"/>
      <c r="L4439" s="85" t="b">
        <f>IF(VLOOKUP(C4439,Projetos!A:L,12,false)=TRUE,TRUE,FALSE)</f>
        <v>1</v>
      </c>
      <c r="M4439" s="74">
        <v>52.1518759018759</v>
      </c>
      <c r="N4439" s="74">
        <f t="shared" si="1"/>
        <v>52.1518759</v>
      </c>
      <c r="O4439" s="74" t="b">
        <v>1</v>
      </c>
    </row>
    <row r="4440" hidden="1">
      <c r="A4440" s="82"/>
      <c r="B4440" s="65" t="s">
        <v>467</v>
      </c>
      <c r="C4440" s="65" t="s">
        <v>92</v>
      </c>
      <c r="D4440" s="65" t="str">
        <f>vlookup(C4440,'Classificação p pessoal'!F:G,2,false)</f>
        <v/>
      </c>
      <c r="E4440" s="65" t="s">
        <v>3334</v>
      </c>
      <c r="F4440" s="83">
        <v>0.4166666666666667</v>
      </c>
      <c r="G4440" s="83">
        <v>0.5</v>
      </c>
      <c r="H4440" s="83">
        <v>0.08333333333333333</v>
      </c>
      <c r="I4440" s="84">
        <v>44460.0</v>
      </c>
      <c r="J4440" s="65" t="b">
        <v>1</v>
      </c>
      <c r="K4440" s="65"/>
      <c r="L4440" s="85" t="b">
        <f>IF(VLOOKUP(C4440,Projetos!A:L,12,false)=TRUE,TRUE,FALSE)</f>
        <v>1</v>
      </c>
      <c r="M4440" s="74">
        <v>52.1518759018759</v>
      </c>
      <c r="N4440" s="74">
        <f t="shared" si="1"/>
        <v>104.3037518</v>
      </c>
      <c r="O4440" s="74" t="b">
        <v>1</v>
      </c>
    </row>
    <row r="4441" hidden="1">
      <c r="A4441" s="82"/>
      <c r="B4441" s="65" t="s">
        <v>467</v>
      </c>
      <c r="C4441" s="65" t="s">
        <v>92</v>
      </c>
      <c r="D4441" s="65" t="str">
        <f>vlookup(C4441,'Classificação p pessoal'!F:G,2,false)</f>
        <v/>
      </c>
      <c r="E4441" s="65" t="s">
        <v>3334</v>
      </c>
      <c r="F4441" s="83">
        <v>0.5833333333333334</v>
      </c>
      <c r="G4441" s="83">
        <v>0.6666666666666666</v>
      </c>
      <c r="H4441" s="83">
        <v>0.08333333333333333</v>
      </c>
      <c r="I4441" s="84">
        <v>44460.0</v>
      </c>
      <c r="J4441" s="65" t="b">
        <v>1</v>
      </c>
      <c r="K4441" s="65"/>
      <c r="L4441" s="85" t="b">
        <f>IF(VLOOKUP(C4441,Projetos!A:L,12,false)=TRUE,TRUE,FALSE)</f>
        <v>1</v>
      </c>
      <c r="M4441" s="74">
        <v>52.1518759018759</v>
      </c>
      <c r="N4441" s="74">
        <f t="shared" si="1"/>
        <v>104.3037518</v>
      </c>
      <c r="O4441" s="74" t="b">
        <v>1</v>
      </c>
    </row>
    <row r="4442" hidden="1">
      <c r="A4442" s="82"/>
      <c r="B4442" s="65" t="s">
        <v>467</v>
      </c>
      <c r="C4442" s="65" t="s">
        <v>120</v>
      </c>
      <c r="D4442" s="65"/>
      <c r="E4442" s="65" t="s">
        <v>3335</v>
      </c>
      <c r="F4442" s="83">
        <v>0.3541666666666667</v>
      </c>
      <c r="G4442" s="83">
        <v>0.4583333333333333</v>
      </c>
      <c r="H4442" s="83">
        <v>0.10416666666666667</v>
      </c>
      <c r="I4442" s="84">
        <v>44461.0</v>
      </c>
      <c r="J4442" s="65" t="b">
        <v>0</v>
      </c>
      <c r="K4442" s="65" t="s">
        <v>150</v>
      </c>
      <c r="L4442" s="85" t="b">
        <f>IF(VLOOKUP(C4442,Projetos!A:L,12,false)=TRUE,TRUE,FALSE)</f>
        <v>0</v>
      </c>
      <c r="M4442" s="74">
        <v>52.1518759018759</v>
      </c>
      <c r="N4442" s="74">
        <f t="shared" si="1"/>
        <v>0</v>
      </c>
      <c r="O4442" s="74" t="b">
        <v>0</v>
      </c>
    </row>
    <row r="4443" hidden="1">
      <c r="A4443" s="82"/>
      <c r="B4443" s="65" t="s">
        <v>467</v>
      </c>
      <c r="C4443" s="65" t="s">
        <v>120</v>
      </c>
      <c r="D4443" s="65"/>
      <c r="E4443" s="65" t="s">
        <v>3336</v>
      </c>
      <c r="F4443" s="83">
        <v>0.4583333333333333</v>
      </c>
      <c r="G4443" s="83">
        <v>0.5</v>
      </c>
      <c r="H4443" s="83">
        <v>0.041666666666666664</v>
      </c>
      <c r="I4443" s="84">
        <v>44462.0</v>
      </c>
      <c r="J4443" s="65" t="b">
        <v>0</v>
      </c>
      <c r="K4443" s="65"/>
      <c r="L4443" s="85" t="b">
        <f>IF(VLOOKUP(C4443,Projetos!A:L,12,false)=TRUE,TRUE,FALSE)</f>
        <v>0</v>
      </c>
      <c r="M4443" s="74">
        <v>52.1518759018759</v>
      </c>
      <c r="N4443" s="74">
        <f t="shared" si="1"/>
        <v>0</v>
      </c>
      <c r="O4443" s="74" t="b">
        <v>0</v>
      </c>
    </row>
    <row r="4444" hidden="1">
      <c r="A4444" s="82"/>
      <c r="B4444" s="65" t="s">
        <v>467</v>
      </c>
      <c r="C4444" s="65" t="s">
        <v>92</v>
      </c>
      <c r="D4444" s="65" t="str">
        <f>vlookup(C4444,'Classificação p pessoal'!F:G,2,false)</f>
        <v/>
      </c>
      <c r="E4444" s="65" t="s">
        <v>3334</v>
      </c>
      <c r="F4444" s="83">
        <v>0.5833333333333334</v>
      </c>
      <c r="G4444" s="83">
        <v>0.6666666666666666</v>
      </c>
      <c r="H4444" s="83">
        <v>0.08333333333333333</v>
      </c>
      <c r="I4444" s="84">
        <v>44461.0</v>
      </c>
      <c r="J4444" s="65" t="b">
        <v>1</v>
      </c>
      <c r="K4444" s="65"/>
      <c r="L4444" s="85" t="b">
        <f>IF(VLOOKUP(C4444,Projetos!A:L,12,false)=TRUE,TRUE,FALSE)</f>
        <v>1</v>
      </c>
      <c r="M4444" s="74">
        <v>52.1518759018759</v>
      </c>
      <c r="N4444" s="74">
        <f t="shared" si="1"/>
        <v>104.3037518</v>
      </c>
      <c r="O4444" s="74" t="b">
        <v>1</v>
      </c>
    </row>
    <row r="4445" hidden="1">
      <c r="A4445" s="82"/>
      <c r="B4445" s="65" t="s">
        <v>467</v>
      </c>
      <c r="C4445" s="65" t="s">
        <v>113</v>
      </c>
      <c r="D4445" s="65"/>
      <c r="E4445" s="65" t="s">
        <v>3337</v>
      </c>
      <c r="F4445" s="83">
        <v>0.6666666666666666</v>
      </c>
      <c r="G4445" s="83">
        <v>0.7083333333333334</v>
      </c>
      <c r="H4445" s="83">
        <v>0.041666666666666664</v>
      </c>
      <c r="I4445" s="84">
        <v>44462.0</v>
      </c>
      <c r="J4445" s="65" t="b">
        <v>0</v>
      </c>
      <c r="K4445" s="65" t="s">
        <v>150</v>
      </c>
      <c r="L4445" s="85" t="b">
        <f>IF(VLOOKUP(C4445,Projetos!A:L,12,false)=TRUE,TRUE,FALSE)</f>
        <v>1</v>
      </c>
      <c r="M4445" s="74">
        <v>52.1518759018759</v>
      </c>
      <c r="N4445" s="74">
        <f t="shared" si="1"/>
        <v>0</v>
      </c>
      <c r="O4445" s="74" t="b">
        <v>1</v>
      </c>
    </row>
    <row r="4446" hidden="1">
      <c r="A4446" s="82"/>
      <c r="B4446" s="65" t="s">
        <v>467</v>
      </c>
      <c r="C4446" s="65" t="s">
        <v>120</v>
      </c>
      <c r="D4446" s="65"/>
      <c r="E4446" s="65" t="s">
        <v>3338</v>
      </c>
      <c r="F4446" s="83">
        <v>0.4166666666666667</v>
      </c>
      <c r="G4446" s="83">
        <v>0.4583333333333333</v>
      </c>
      <c r="H4446" s="83">
        <v>0.041666666666666664</v>
      </c>
      <c r="I4446" s="84">
        <v>44463.0</v>
      </c>
      <c r="J4446" s="65" t="b">
        <v>0</v>
      </c>
      <c r="K4446" s="65" t="s">
        <v>150</v>
      </c>
      <c r="L4446" s="85" t="b">
        <f>IF(VLOOKUP(C4446,Projetos!A:L,12,false)=TRUE,TRUE,FALSE)</f>
        <v>0</v>
      </c>
      <c r="M4446" s="74">
        <v>52.1518759018759</v>
      </c>
      <c r="N4446" s="74">
        <f t="shared" si="1"/>
        <v>0</v>
      </c>
      <c r="O4446" s="74" t="b">
        <v>0</v>
      </c>
    </row>
    <row r="4447" hidden="1">
      <c r="A4447" s="82"/>
      <c r="B4447" s="65" t="s">
        <v>467</v>
      </c>
      <c r="C4447" s="65" t="s">
        <v>84</v>
      </c>
      <c r="D4447" s="65"/>
      <c r="E4447" s="65" t="s">
        <v>3339</v>
      </c>
      <c r="F4447" s="83">
        <v>0.4583333333333333</v>
      </c>
      <c r="G4447" s="83">
        <v>0.4791666666666667</v>
      </c>
      <c r="H4447" s="83">
        <v>0.020833333333333332</v>
      </c>
      <c r="I4447" s="84">
        <v>44463.0</v>
      </c>
      <c r="J4447" s="65" t="b">
        <v>0</v>
      </c>
      <c r="K4447" s="65" t="s">
        <v>150</v>
      </c>
      <c r="L4447" s="85" t="b">
        <f>IF(VLOOKUP(C4447,Projetos!A:L,12,false)=TRUE,TRUE,FALSE)</f>
        <v>0</v>
      </c>
      <c r="M4447" s="74">
        <v>52.1518759018759</v>
      </c>
      <c r="N4447" s="74">
        <f t="shared" si="1"/>
        <v>0</v>
      </c>
      <c r="O4447" s="74" t="b">
        <v>0</v>
      </c>
    </row>
    <row r="4448" hidden="1">
      <c r="A4448" s="82"/>
      <c r="B4448" s="65" t="s">
        <v>467</v>
      </c>
      <c r="C4448" s="65" t="s">
        <v>88</v>
      </c>
      <c r="D4448" s="65" t="str">
        <f>vlookup(C4448,'Classificação p pessoal'!F:G,2,false)</f>
        <v>MProduto</v>
      </c>
      <c r="E4448" s="65" t="s">
        <v>3340</v>
      </c>
      <c r="F4448" s="83">
        <v>0.6041666666666666</v>
      </c>
      <c r="G4448" s="83">
        <v>0.6666666666666666</v>
      </c>
      <c r="H4448" s="83">
        <v>0.0625</v>
      </c>
      <c r="I4448" s="84">
        <v>44463.0</v>
      </c>
      <c r="J4448" s="65" t="b">
        <v>1</v>
      </c>
      <c r="K4448" s="65"/>
      <c r="L4448" s="85" t="b">
        <f>IF(VLOOKUP(C4448,Projetos!A:L,12,false)=TRUE,TRUE,FALSE)</f>
        <v>1</v>
      </c>
      <c r="M4448" s="74">
        <v>52.1518759018759</v>
      </c>
      <c r="N4448" s="74">
        <f t="shared" si="1"/>
        <v>78.22781385</v>
      </c>
      <c r="O4448" s="74" t="b">
        <v>1</v>
      </c>
    </row>
    <row r="4449" hidden="1">
      <c r="A4449" s="82"/>
      <c r="B4449" s="65" t="s">
        <v>467</v>
      </c>
      <c r="C4449" s="65" t="s">
        <v>113</v>
      </c>
      <c r="D4449" s="65"/>
      <c r="E4449" s="65" t="s">
        <v>3341</v>
      </c>
      <c r="F4449" s="83">
        <v>0.3541666666666667</v>
      </c>
      <c r="G4449" s="83">
        <v>0.4166666666666667</v>
      </c>
      <c r="H4449" s="83">
        <v>0.0625</v>
      </c>
      <c r="I4449" s="84">
        <v>44466.0</v>
      </c>
      <c r="J4449" s="65" t="b">
        <v>0</v>
      </c>
      <c r="K4449" s="65" t="s">
        <v>150</v>
      </c>
      <c r="L4449" s="85" t="b">
        <f>IF(VLOOKUP(C4449,Projetos!A:L,12,false)=TRUE,TRUE,FALSE)</f>
        <v>1</v>
      </c>
      <c r="M4449" s="74">
        <v>52.1518759018759</v>
      </c>
      <c r="N4449" s="74">
        <f t="shared" si="1"/>
        <v>0</v>
      </c>
      <c r="O4449" s="74" t="b">
        <v>1</v>
      </c>
    </row>
    <row r="4450" hidden="1">
      <c r="A4450" s="82"/>
      <c r="B4450" s="65" t="s">
        <v>467</v>
      </c>
      <c r="C4450" s="65" t="s">
        <v>120</v>
      </c>
      <c r="D4450" s="65"/>
      <c r="E4450" s="65" t="s">
        <v>3332</v>
      </c>
      <c r="F4450" s="83">
        <v>0.5833333333333334</v>
      </c>
      <c r="G4450" s="83">
        <v>0.6666666666666666</v>
      </c>
      <c r="H4450" s="83">
        <v>0.08333333333333333</v>
      </c>
      <c r="I4450" s="84">
        <v>44466.0</v>
      </c>
      <c r="J4450" s="65" t="b">
        <v>0</v>
      </c>
      <c r="K4450" s="65"/>
      <c r="L4450" s="85" t="b">
        <f>IF(VLOOKUP(C4450,Projetos!A:L,12,false)=TRUE,TRUE,FALSE)</f>
        <v>0</v>
      </c>
      <c r="M4450" s="74">
        <v>52.1518759018759</v>
      </c>
      <c r="N4450" s="74">
        <f t="shared" si="1"/>
        <v>0</v>
      </c>
      <c r="O4450" s="74" t="b">
        <v>0</v>
      </c>
    </row>
    <row r="4451" hidden="1">
      <c r="A4451" s="82"/>
      <c r="B4451" s="65" t="s">
        <v>467</v>
      </c>
      <c r="C4451" s="65" t="s">
        <v>120</v>
      </c>
      <c r="D4451" s="65"/>
      <c r="E4451" s="65" t="s">
        <v>3342</v>
      </c>
      <c r="F4451" s="83">
        <v>0.4166666666666667</v>
      </c>
      <c r="G4451" s="83">
        <v>0.4791666666666667</v>
      </c>
      <c r="H4451" s="83">
        <v>0.0625</v>
      </c>
      <c r="I4451" s="84">
        <v>44467.0</v>
      </c>
      <c r="J4451" s="65" t="b">
        <v>0</v>
      </c>
      <c r="K4451" s="65" t="s">
        <v>150</v>
      </c>
      <c r="L4451" s="85" t="b">
        <f>IF(VLOOKUP(C4451,Projetos!A:L,12,false)=TRUE,TRUE,FALSE)</f>
        <v>0</v>
      </c>
      <c r="M4451" s="74">
        <v>52.1518759018759</v>
      </c>
      <c r="N4451" s="74">
        <f t="shared" si="1"/>
        <v>0</v>
      </c>
      <c r="O4451" s="74" t="b">
        <v>0</v>
      </c>
    </row>
    <row r="4452" hidden="1">
      <c r="A4452" s="82"/>
      <c r="B4452" s="65" t="s">
        <v>467</v>
      </c>
      <c r="C4452" s="65" t="s">
        <v>113</v>
      </c>
      <c r="D4452" s="65" t="str">
        <f>vlookup(C4452,'Classificação p pessoal'!F:G,2,false)</f>
        <v>NP</v>
      </c>
      <c r="E4452" s="65" t="s">
        <v>3343</v>
      </c>
      <c r="F4452" s="83">
        <v>0.5833333333333334</v>
      </c>
      <c r="G4452" s="83">
        <v>0.6875</v>
      </c>
      <c r="H4452" s="83">
        <v>0.10416666666666667</v>
      </c>
      <c r="I4452" s="84">
        <v>44467.0</v>
      </c>
      <c r="J4452" s="65" t="b">
        <v>1</v>
      </c>
      <c r="K4452" s="65"/>
      <c r="L4452" s="85" t="b">
        <f>IF(VLOOKUP(C4452,Projetos!A:L,12,false)=TRUE,TRUE,FALSE)</f>
        <v>1</v>
      </c>
      <c r="M4452" s="74">
        <v>52.1518759018759</v>
      </c>
      <c r="N4452" s="74">
        <f t="shared" si="1"/>
        <v>130.3796898</v>
      </c>
      <c r="O4452" s="74" t="b">
        <v>1</v>
      </c>
    </row>
    <row r="4453" hidden="1">
      <c r="A4453" s="82"/>
      <c r="B4453" s="65" t="s">
        <v>467</v>
      </c>
      <c r="C4453" s="65" t="s">
        <v>113</v>
      </c>
      <c r="D4453" s="65" t="str">
        <f>vlookup(C4453,'Classificação p pessoal'!F:G,2,false)</f>
        <v>NP</v>
      </c>
      <c r="E4453" s="65" t="s">
        <v>3344</v>
      </c>
      <c r="F4453" s="83">
        <v>0.6875</v>
      </c>
      <c r="G4453" s="83">
        <v>0.7291666666666666</v>
      </c>
      <c r="H4453" s="83">
        <v>0.041666666666666664</v>
      </c>
      <c r="I4453" s="84">
        <v>44467.0</v>
      </c>
      <c r="J4453" s="65" t="b">
        <v>1</v>
      </c>
      <c r="K4453" s="65"/>
      <c r="L4453" s="85" t="b">
        <f>IF(VLOOKUP(C4453,Projetos!A:L,12,false)=TRUE,TRUE,FALSE)</f>
        <v>1</v>
      </c>
      <c r="M4453" s="74">
        <v>52.1518759018759</v>
      </c>
      <c r="N4453" s="74">
        <f t="shared" si="1"/>
        <v>52.1518759</v>
      </c>
      <c r="O4453" s="74" t="b">
        <v>1</v>
      </c>
    </row>
    <row r="4454" hidden="1">
      <c r="A4454" s="82"/>
      <c r="B4454" s="65" t="s">
        <v>467</v>
      </c>
      <c r="C4454" s="65" t="s">
        <v>92</v>
      </c>
      <c r="D4454" s="65" t="str">
        <f>vlookup(C4454,'Classificação p pessoal'!F:G,2,false)</f>
        <v/>
      </c>
      <c r="E4454" s="65" t="s">
        <v>3345</v>
      </c>
      <c r="F4454" s="83">
        <v>0.3541666666666667</v>
      </c>
      <c r="G4454" s="83">
        <v>0.3958333333333333</v>
      </c>
      <c r="H4454" s="83">
        <v>0.041666666666666664</v>
      </c>
      <c r="I4454" s="84">
        <v>44468.0</v>
      </c>
      <c r="J4454" s="65" t="b">
        <v>1</v>
      </c>
      <c r="K4454" s="65"/>
      <c r="L4454" s="85" t="b">
        <f>IF(VLOOKUP(C4454,Projetos!A:L,12,false)=TRUE,TRUE,FALSE)</f>
        <v>1</v>
      </c>
      <c r="M4454" s="74">
        <v>52.1518759018759</v>
      </c>
      <c r="N4454" s="74">
        <f t="shared" si="1"/>
        <v>52.1518759</v>
      </c>
      <c r="O4454" s="74" t="b">
        <v>1</v>
      </c>
    </row>
    <row r="4455" hidden="1">
      <c r="A4455" s="82"/>
      <c r="B4455" s="65" t="s">
        <v>467</v>
      </c>
      <c r="C4455" s="65" t="s">
        <v>113</v>
      </c>
      <c r="D4455" s="65" t="str">
        <f>vlookup(C4455,'Classificação p pessoal'!F:G,2,false)</f>
        <v>NP</v>
      </c>
      <c r="E4455" s="65" t="s">
        <v>3346</v>
      </c>
      <c r="F4455" s="83">
        <v>0.5833333333333334</v>
      </c>
      <c r="G4455" s="83">
        <v>0.75</v>
      </c>
      <c r="H4455" s="83">
        <v>0.16666666666666666</v>
      </c>
      <c r="I4455" s="84">
        <v>44468.0</v>
      </c>
      <c r="J4455" s="65" t="b">
        <v>1</v>
      </c>
      <c r="K4455" s="65"/>
      <c r="L4455" s="85" t="b">
        <f>IF(VLOOKUP(C4455,Projetos!A:L,12,false)=TRUE,TRUE,FALSE)</f>
        <v>1</v>
      </c>
      <c r="M4455" s="74">
        <v>52.1518759018759</v>
      </c>
      <c r="N4455" s="74">
        <f t="shared" si="1"/>
        <v>208.6075036</v>
      </c>
      <c r="O4455" s="74" t="b">
        <v>1</v>
      </c>
    </row>
    <row r="4456">
      <c r="A4456" s="82"/>
      <c r="B4456" s="65" t="s">
        <v>411</v>
      </c>
      <c r="C4456" s="65" t="s">
        <v>92</v>
      </c>
      <c r="D4456" s="65" t="str">
        <f>vlookup(C4456,'Classificação p pessoal'!F:G,2,false)</f>
        <v/>
      </c>
      <c r="E4456" s="65" t="s">
        <v>3347</v>
      </c>
      <c r="F4456" s="83">
        <v>0.34375</v>
      </c>
      <c r="G4456" s="83">
        <v>0.3958333333333333</v>
      </c>
      <c r="H4456" s="83">
        <v>0.052083333333333336</v>
      </c>
      <c r="I4456" s="84">
        <v>44232.0</v>
      </c>
      <c r="J4456" s="65" t="b">
        <v>1</v>
      </c>
      <c r="K4456" s="65"/>
      <c r="L4456" s="85" t="b">
        <f>IF(VLOOKUP(C4456,Projetos!A:L,12,false)=TRUE,TRUE,FALSE)</f>
        <v>1</v>
      </c>
      <c r="M4456" s="74">
        <v>52.48434411075036</v>
      </c>
      <c r="N4456" s="74">
        <f t="shared" si="1"/>
        <v>65.60543014</v>
      </c>
      <c r="O4456" s="74" t="b">
        <v>1</v>
      </c>
    </row>
    <row r="4457" hidden="1">
      <c r="A4457" s="82"/>
      <c r="B4457" s="65" t="s">
        <v>467</v>
      </c>
      <c r="C4457" s="65" t="s">
        <v>113</v>
      </c>
      <c r="D4457" s="65" t="str">
        <f>vlookup(C4457,'Classificação p pessoal'!F:G,2,false)</f>
        <v>NP</v>
      </c>
      <c r="E4457" s="65" t="s">
        <v>3348</v>
      </c>
      <c r="F4457" s="83">
        <v>0.5833333333333334</v>
      </c>
      <c r="G4457" s="83">
        <v>0.625</v>
      </c>
      <c r="H4457" s="83">
        <v>0.041666666666666664</v>
      </c>
      <c r="I4457" s="84">
        <v>44469.0</v>
      </c>
      <c r="J4457" s="65" t="b">
        <v>1</v>
      </c>
      <c r="K4457" s="65"/>
      <c r="L4457" s="85" t="b">
        <f>IF(VLOOKUP(C4457,Projetos!A:L,12,false)=TRUE,TRUE,FALSE)</f>
        <v>1</v>
      </c>
      <c r="M4457" s="74">
        <v>52.1518759018759</v>
      </c>
      <c r="N4457" s="74">
        <f t="shared" si="1"/>
        <v>52.1518759</v>
      </c>
      <c r="O4457" s="74" t="b">
        <v>1</v>
      </c>
    </row>
    <row r="4458" hidden="1">
      <c r="A4458" s="82"/>
      <c r="B4458" s="65" t="s">
        <v>467</v>
      </c>
      <c r="C4458" s="65" t="s">
        <v>113</v>
      </c>
      <c r="D4458" s="65"/>
      <c r="E4458" s="65" t="s">
        <v>3349</v>
      </c>
      <c r="F4458" s="83">
        <v>0.625</v>
      </c>
      <c r="G4458" s="83">
        <v>0.6666666666666666</v>
      </c>
      <c r="H4458" s="83">
        <v>0.041666666666666664</v>
      </c>
      <c r="I4458" s="84">
        <v>44469.0</v>
      </c>
      <c r="J4458" s="65" t="b">
        <v>0</v>
      </c>
      <c r="K4458" s="65" t="s">
        <v>150</v>
      </c>
      <c r="L4458" s="85" t="b">
        <f>IF(VLOOKUP(C4458,Projetos!A:L,12,false)=TRUE,TRUE,FALSE)</f>
        <v>1</v>
      </c>
      <c r="M4458" s="74">
        <v>52.1518759018759</v>
      </c>
      <c r="N4458" s="74">
        <f t="shared" si="1"/>
        <v>0</v>
      </c>
      <c r="O4458" s="74" t="b">
        <v>1</v>
      </c>
    </row>
    <row r="4459" hidden="1">
      <c r="A4459" s="82"/>
      <c r="B4459" s="65" t="s">
        <v>467</v>
      </c>
      <c r="C4459" s="65" t="s">
        <v>120</v>
      </c>
      <c r="D4459" s="65"/>
      <c r="E4459" s="65" t="s">
        <v>3350</v>
      </c>
      <c r="F4459" s="83">
        <v>0.6666666666666666</v>
      </c>
      <c r="G4459" s="83">
        <v>0.7083333333333334</v>
      </c>
      <c r="H4459" s="83">
        <v>0.041666666666666664</v>
      </c>
      <c r="I4459" s="84">
        <v>44469.0</v>
      </c>
      <c r="J4459" s="65" t="b">
        <v>0</v>
      </c>
      <c r="K4459" s="65"/>
      <c r="L4459" s="85" t="b">
        <f>IF(VLOOKUP(C4459,Projetos!A:L,12,false)=TRUE,TRUE,FALSE)</f>
        <v>0</v>
      </c>
      <c r="M4459" s="74">
        <v>52.1518759018759</v>
      </c>
      <c r="N4459" s="74">
        <f t="shared" si="1"/>
        <v>0</v>
      </c>
      <c r="O4459" s="74" t="b">
        <v>0</v>
      </c>
    </row>
    <row r="4460" hidden="1">
      <c r="A4460" s="82"/>
      <c r="B4460" s="65" t="s">
        <v>467</v>
      </c>
      <c r="C4460" s="65" t="s">
        <v>92</v>
      </c>
      <c r="D4460" s="65" t="str">
        <f>vlookup(C4460,'Classificação p pessoal'!F:G,2,false)</f>
        <v/>
      </c>
      <c r="E4460" s="65" t="s">
        <v>3351</v>
      </c>
      <c r="F4460" s="83">
        <v>0.4791666666666667</v>
      </c>
      <c r="G4460" s="83">
        <v>0.5208333333333334</v>
      </c>
      <c r="H4460" s="83">
        <v>0.041666666666666664</v>
      </c>
      <c r="I4460" s="84">
        <v>44470.0</v>
      </c>
      <c r="J4460" s="65" t="b">
        <v>1</v>
      </c>
      <c r="K4460" s="65"/>
      <c r="L4460" s="85" t="b">
        <f>IF(VLOOKUP(C4460,Projetos!A:L,12,false)=TRUE,TRUE,FALSE)</f>
        <v>1</v>
      </c>
      <c r="M4460" s="74">
        <v>52.1518759018759</v>
      </c>
      <c r="N4460" s="74">
        <f t="shared" si="1"/>
        <v>52.1518759</v>
      </c>
      <c r="O4460" s="74" t="b">
        <v>1</v>
      </c>
    </row>
    <row r="4461" hidden="1">
      <c r="A4461" s="82"/>
      <c r="B4461" s="65" t="s">
        <v>467</v>
      </c>
      <c r="C4461" s="65" t="s">
        <v>120</v>
      </c>
      <c r="D4461" s="65"/>
      <c r="E4461" s="65" t="s">
        <v>3352</v>
      </c>
      <c r="F4461" s="83">
        <v>0.5833333333333334</v>
      </c>
      <c r="G4461" s="83">
        <v>0.6666666666666666</v>
      </c>
      <c r="H4461" s="83">
        <v>0.08333333333333333</v>
      </c>
      <c r="I4461" s="84">
        <v>44470.0</v>
      </c>
      <c r="J4461" s="65" t="b">
        <v>0</v>
      </c>
      <c r="K4461" s="65" t="s">
        <v>150</v>
      </c>
      <c r="L4461" s="85" t="b">
        <f>IF(VLOOKUP(C4461,Projetos!A:L,12,false)=TRUE,TRUE,FALSE)</f>
        <v>0</v>
      </c>
      <c r="M4461" s="74">
        <v>52.1518759018759</v>
      </c>
      <c r="N4461" s="74">
        <f t="shared" si="1"/>
        <v>0</v>
      </c>
      <c r="O4461" s="74" t="b">
        <v>0</v>
      </c>
    </row>
    <row r="4462" hidden="1">
      <c r="A4462" s="82"/>
      <c r="B4462" s="65" t="s">
        <v>467</v>
      </c>
      <c r="C4462" s="65" t="s">
        <v>120</v>
      </c>
      <c r="D4462" s="65"/>
      <c r="E4462" s="65" t="s">
        <v>3353</v>
      </c>
      <c r="F4462" s="83">
        <v>0.6666666666666666</v>
      </c>
      <c r="G4462" s="83">
        <v>0.7083333333333334</v>
      </c>
      <c r="H4462" s="83">
        <v>0.041666666666666664</v>
      </c>
      <c r="I4462" s="84">
        <v>44470.0</v>
      </c>
      <c r="J4462" s="65" t="b">
        <v>0</v>
      </c>
      <c r="K4462" s="65" t="s">
        <v>150</v>
      </c>
      <c r="L4462" s="85" t="b">
        <f>IF(VLOOKUP(C4462,Projetos!A:L,12,false)=TRUE,TRUE,FALSE)</f>
        <v>0</v>
      </c>
      <c r="M4462" s="74">
        <v>52.1518759018759</v>
      </c>
      <c r="N4462" s="74">
        <f t="shared" si="1"/>
        <v>0</v>
      </c>
      <c r="O4462" s="74" t="b">
        <v>0</v>
      </c>
    </row>
    <row r="4463" hidden="1">
      <c r="A4463" s="82"/>
      <c r="B4463" s="65" t="s">
        <v>467</v>
      </c>
      <c r="C4463" s="65" t="s">
        <v>121</v>
      </c>
      <c r="D4463" s="65" t="str">
        <f>vlookup(C4463,'Classificação p pessoal'!F:G,2,false)</f>
        <v>NP</v>
      </c>
      <c r="E4463" s="65" t="s">
        <v>3354</v>
      </c>
      <c r="F4463" s="83">
        <v>0.3541666666666667</v>
      </c>
      <c r="G4463" s="83">
        <v>0.4375</v>
      </c>
      <c r="H4463" s="83">
        <v>0.08333333333333333</v>
      </c>
      <c r="I4463" s="84">
        <v>44473.0</v>
      </c>
      <c r="J4463" s="65" t="b">
        <v>1</v>
      </c>
      <c r="K4463" s="65"/>
      <c r="L4463" s="85" t="b">
        <f>IF(VLOOKUP(C4463,Projetos!A:L,12,false)=TRUE,TRUE,FALSE)</f>
        <v>1</v>
      </c>
      <c r="M4463" s="74">
        <v>52.1518759018759</v>
      </c>
      <c r="N4463" s="74">
        <f t="shared" si="1"/>
        <v>104.3037518</v>
      </c>
      <c r="O4463" s="74" t="b">
        <v>1</v>
      </c>
    </row>
    <row r="4464" hidden="1">
      <c r="A4464" s="82"/>
      <c r="B4464" s="65" t="s">
        <v>467</v>
      </c>
      <c r="C4464" s="65" t="s">
        <v>120</v>
      </c>
      <c r="D4464" s="65"/>
      <c r="E4464" s="65" t="s">
        <v>3355</v>
      </c>
      <c r="F4464" s="83">
        <v>0.5833333333333334</v>
      </c>
      <c r="G4464" s="83">
        <v>0.6458333333333334</v>
      </c>
      <c r="H4464" s="83">
        <v>0.0625</v>
      </c>
      <c r="I4464" s="84">
        <v>44473.0</v>
      </c>
      <c r="J4464" s="65" t="b">
        <v>0</v>
      </c>
      <c r="K4464" s="65" t="s">
        <v>150</v>
      </c>
      <c r="L4464" s="85" t="b">
        <f>IF(VLOOKUP(C4464,Projetos!A:L,12,false)=TRUE,TRUE,FALSE)</f>
        <v>0</v>
      </c>
      <c r="M4464" s="74">
        <v>52.1518759018759</v>
      </c>
      <c r="N4464" s="74">
        <f t="shared" si="1"/>
        <v>0</v>
      </c>
      <c r="O4464" s="74" t="b">
        <v>0</v>
      </c>
    </row>
    <row r="4465" hidden="1">
      <c r="A4465" s="82"/>
      <c r="B4465" s="65" t="s">
        <v>467</v>
      </c>
      <c r="C4465" s="65" t="s">
        <v>130</v>
      </c>
      <c r="D4465" s="65" t="str">
        <f>vlookup(C4465,'Classificação p pessoal'!F:G,2,false)</f>
        <v>NP</v>
      </c>
      <c r="E4465" s="65" t="s">
        <v>3354</v>
      </c>
      <c r="F4465" s="83">
        <v>0.6666666666666666</v>
      </c>
      <c r="G4465" s="83">
        <v>0.7083333333333334</v>
      </c>
      <c r="H4465" s="83">
        <v>0.041666666666666664</v>
      </c>
      <c r="I4465" s="84">
        <v>44473.0</v>
      </c>
      <c r="J4465" s="65" t="b">
        <v>1</v>
      </c>
      <c r="K4465" s="65"/>
      <c r="L4465" s="85" t="b">
        <f>IF(VLOOKUP(C4465,Projetos!A:L,12,false)=TRUE,TRUE,FALSE)</f>
        <v>1</v>
      </c>
      <c r="M4465" s="74">
        <v>52.1518759018759</v>
      </c>
      <c r="N4465" s="74">
        <f t="shared" si="1"/>
        <v>52.1518759</v>
      </c>
      <c r="O4465" s="74" t="b">
        <v>1</v>
      </c>
    </row>
    <row r="4466" hidden="1">
      <c r="A4466" s="82"/>
      <c r="B4466" s="65" t="s">
        <v>467</v>
      </c>
      <c r="C4466" s="65" t="s">
        <v>92</v>
      </c>
      <c r="D4466" s="65" t="str">
        <f>vlookup(C4466,'Classificação p pessoal'!F:G,2,false)</f>
        <v/>
      </c>
      <c r="E4466" s="65" t="s">
        <v>3351</v>
      </c>
      <c r="F4466" s="83">
        <v>0.3541666666666667</v>
      </c>
      <c r="G4466" s="83">
        <v>0.4375</v>
      </c>
      <c r="H4466" s="83">
        <v>0.08333333333333333</v>
      </c>
      <c r="I4466" s="84">
        <v>44474.0</v>
      </c>
      <c r="J4466" s="65" t="b">
        <v>1</v>
      </c>
      <c r="K4466" s="65"/>
      <c r="L4466" s="85" t="b">
        <f>IF(VLOOKUP(C4466,Projetos!A:L,12,false)=TRUE,TRUE,FALSE)</f>
        <v>1</v>
      </c>
      <c r="M4466" s="74">
        <v>52.1518759018759</v>
      </c>
      <c r="N4466" s="74">
        <f t="shared" si="1"/>
        <v>104.3037518</v>
      </c>
      <c r="O4466" s="74" t="b">
        <v>1</v>
      </c>
    </row>
    <row r="4467" hidden="1">
      <c r="A4467" s="82"/>
      <c r="B4467" s="65" t="s">
        <v>467</v>
      </c>
      <c r="C4467" s="65" t="s">
        <v>121</v>
      </c>
      <c r="D4467" s="65" t="str">
        <f>vlookup(C4467,'Classificação p pessoal'!F:G,2,false)</f>
        <v>NP</v>
      </c>
      <c r="E4467" s="65" t="s">
        <v>3356</v>
      </c>
      <c r="F4467" s="83">
        <v>0.4375</v>
      </c>
      <c r="G4467" s="83">
        <v>0.4583333333333333</v>
      </c>
      <c r="H4467" s="83">
        <v>0.020833333333333332</v>
      </c>
      <c r="I4467" s="84">
        <v>44474.0</v>
      </c>
      <c r="J4467" s="65" t="b">
        <v>1</v>
      </c>
      <c r="K4467" s="65"/>
      <c r="L4467" s="85" t="b">
        <f>IF(VLOOKUP(C4467,Projetos!A:L,12,false)=TRUE,TRUE,FALSE)</f>
        <v>1</v>
      </c>
      <c r="M4467" s="74">
        <v>52.1518759018759</v>
      </c>
      <c r="N4467" s="74">
        <f t="shared" si="1"/>
        <v>26.07593795</v>
      </c>
      <c r="O4467" s="74" t="b">
        <v>1</v>
      </c>
    </row>
    <row r="4468" hidden="1">
      <c r="A4468" s="82"/>
      <c r="B4468" s="65" t="s">
        <v>467</v>
      </c>
      <c r="C4468" s="65" t="s">
        <v>120</v>
      </c>
      <c r="D4468" s="65"/>
      <c r="E4468" s="65" t="s">
        <v>3357</v>
      </c>
      <c r="F4468" s="83">
        <v>0.625</v>
      </c>
      <c r="G4468" s="83">
        <v>0.6666666666666666</v>
      </c>
      <c r="H4468" s="83">
        <v>0.041666666666666664</v>
      </c>
      <c r="I4468" s="84">
        <v>44474.0</v>
      </c>
      <c r="J4468" s="65" t="b">
        <v>0</v>
      </c>
      <c r="K4468" s="65"/>
      <c r="L4468" s="85" t="b">
        <f>IF(VLOOKUP(C4468,Projetos!A:L,12,false)=TRUE,TRUE,FALSE)</f>
        <v>0</v>
      </c>
      <c r="M4468" s="74">
        <v>52.1518759018759</v>
      </c>
      <c r="N4468" s="74">
        <f t="shared" si="1"/>
        <v>0</v>
      </c>
      <c r="O4468" s="74" t="b">
        <v>0</v>
      </c>
    </row>
    <row r="4469" hidden="1">
      <c r="A4469" s="82"/>
      <c r="B4469" s="65" t="s">
        <v>467</v>
      </c>
      <c r="C4469" s="65" t="s">
        <v>122</v>
      </c>
      <c r="D4469" s="65" t="str">
        <f>vlookup(C4469,'Classificação p pessoal'!F:G,2,false)</f>
        <v>NP</v>
      </c>
      <c r="E4469" s="65" t="s">
        <v>3358</v>
      </c>
      <c r="F4469" s="83">
        <v>0.3541666666666667</v>
      </c>
      <c r="G4469" s="83">
        <v>0.3958333333333333</v>
      </c>
      <c r="H4469" s="83">
        <v>0.041666666666666664</v>
      </c>
      <c r="I4469" s="84">
        <v>44475.0</v>
      </c>
      <c r="J4469" s="65" t="b">
        <v>1</v>
      </c>
      <c r="K4469" s="65"/>
      <c r="L4469" s="85" t="b">
        <f>IF(VLOOKUP(C4469,Projetos!A:L,12,false)=TRUE,TRUE,FALSE)</f>
        <v>1</v>
      </c>
      <c r="M4469" s="74">
        <v>52.1518759018759</v>
      </c>
      <c r="N4469" s="74">
        <f t="shared" si="1"/>
        <v>52.1518759</v>
      </c>
      <c r="O4469" s="74" t="b">
        <v>1</v>
      </c>
    </row>
    <row r="4470" hidden="1">
      <c r="A4470" s="82"/>
      <c r="B4470" s="65" t="s">
        <v>467</v>
      </c>
      <c r="C4470" s="65" t="s">
        <v>122</v>
      </c>
      <c r="D4470" s="65" t="str">
        <f>vlookup(C4470,'Classificação p pessoal'!F:G,2,false)</f>
        <v>NP</v>
      </c>
      <c r="E4470" s="65" t="s">
        <v>3359</v>
      </c>
      <c r="F4470" s="83">
        <v>0.3958333333333333</v>
      </c>
      <c r="G4470" s="83">
        <v>0.4166666666666667</v>
      </c>
      <c r="H4470" s="83">
        <v>0.020833333333333332</v>
      </c>
      <c r="I4470" s="84">
        <v>44475.0</v>
      </c>
      <c r="J4470" s="65" t="b">
        <v>1</v>
      </c>
      <c r="K4470" s="65"/>
      <c r="L4470" s="85" t="b">
        <f>IF(VLOOKUP(C4470,Projetos!A:L,12,false)=TRUE,TRUE,FALSE)</f>
        <v>1</v>
      </c>
      <c r="M4470" s="74">
        <v>52.1518759018759</v>
      </c>
      <c r="N4470" s="74">
        <f t="shared" si="1"/>
        <v>26.07593795</v>
      </c>
      <c r="O4470" s="74" t="b">
        <v>1</v>
      </c>
    </row>
    <row r="4471" hidden="1">
      <c r="A4471" s="82"/>
      <c r="B4471" s="65" t="s">
        <v>467</v>
      </c>
      <c r="C4471" s="65" t="s">
        <v>120</v>
      </c>
      <c r="D4471" s="65"/>
      <c r="E4471" s="65" t="s">
        <v>3360</v>
      </c>
      <c r="F4471" s="83">
        <v>0.4166666666666667</v>
      </c>
      <c r="G4471" s="83">
        <v>0.4722222222222222</v>
      </c>
      <c r="H4471" s="83">
        <v>0.05555555555555555</v>
      </c>
      <c r="I4471" s="84">
        <v>44475.0</v>
      </c>
      <c r="J4471" s="65" t="b">
        <v>0</v>
      </c>
      <c r="K4471" s="65" t="s">
        <v>150</v>
      </c>
      <c r="L4471" s="85" t="b">
        <f>IF(VLOOKUP(C4471,Projetos!A:L,12,false)=TRUE,TRUE,FALSE)</f>
        <v>0</v>
      </c>
      <c r="M4471" s="74">
        <v>52.1518759018759</v>
      </c>
      <c r="N4471" s="74">
        <f t="shared" si="1"/>
        <v>0</v>
      </c>
      <c r="O4471" s="74" t="b">
        <v>0</v>
      </c>
    </row>
    <row r="4472" hidden="1">
      <c r="A4472" s="82"/>
      <c r="B4472" s="65" t="s">
        <v>467</v>
      </c>
      <c r="C4472" s="65" t="s">
        <v>92</v>
      </c>
      <c r="D4472" s="65" t="str">
        <f>vlookup(C4472,'Classificação p pessoal'!F:G,2,false)</f>
        <v/>
      </c>
      <c r="E4472" s="65" t="s">
        <v>3361</v>
      </c>
      <c r="F4472" s="83">
        <v>0.3333333333333333</v>
      </c>
      <c r="G4472" s="83">
        <v>0.75</v>
      </c>
      <c r="H4472" s="83">
        <v>0.4166666666666667</v>
      </c>
      <c r="I4472" s="84">
        <v>44476.0</v>
      </c>
      <c r="J4472" s="65" t="b">
        <v>1</v>
      </c>
      <c r="K4472" s="65"/>
      <c r="L4472" s="85" t="b">
        <f>IF(VLOOKUP(C4472,Projetos!A:L,12,false)=TRUE,TRUE,FALSE)</f>
        <v>1</v>
      </c>
      <c r="M4472" s="74">
        <v>52.1518759018759</v>
      </c>
      <c r="N4472" s="74">
        <f t="shared" si="1"/>
        <v>521.518759</v>
      </c>
      <c r="O4472" s="74" t="b">
        <v>1</v>
      </c>
    </row>
    <row r="4473" hidden="1">
      <c r="A4473" s="82"/>
      <c r="B4473" s="65" t="s">
        <v>467</v>
      </c>
      <c r="C4473" s="65" t="s">
        <v>113</v>
      </c>
      <c r="D4473" s="65" t="str">
        <f>vlookup(C4473,'Classificação p pessoal'!F:G,2,false)</f>
        <v>NP</v>
      </c>
      <c r="E4473" s="65" t="s">
        <v>3362</v>
      </c>
      <c r="F4473" s="83">
        <v>0.3541666666666667</v>
      </c>
      <c r="G4473" s="83">
        <v>0.4375</v>
      </c>
      <c r="H4473" s="83">
        <v>0.08333333333333333</v>
      </c>
      <c r="I4473" s="84">
        <v>44477.0</v>
      </c>
      <c r="J4473" s="65" t="b">
        <v>1</v>
      </c>
      <c r="K4473" s="65"/>
      <c r="L4473" s="85" t="b">
        <f>IF(VLOOKUP(C4473,Projetos!A:L,12,false)=TRUE,TRUE,FALSE)</f>
        <v>1</v>
      </c>
      <c r="M4473" s="74">
        <v>52.1518759018759</v>
      </c>
      <c r="N4473" s="74">
        <f t="shared" si="1"/>
        <v>104.3037518</v>
      </c>
      <c r="O4473" s="74" t="b">
        <v>1</v>
      </c>
    </row>
    <row r="4474" hidden="1">
      <c r="A4474" s="82"/>
      <c r="B4474" s="65" t="s">
        <v>467</v>
      </c>
      <c r="C4474" s="65" t="s">
        <v>120</v>
      </c>
      <c r="D4474" s="65"/>
      <c r="E4474" s="65" t="s">
        <v>3363</v>
      </c>
      <c r="F4474" s="83">
        <v>0.4375</v>
      </c>
      <c r="G4474" s="83">
        <v>0.5</v>
      </c>
      <c r="H4474" s="83">
        <v>0.0625</v>
      </c>
      <c r="I4474" s="84">
        <v>44477.0</v>
      </c>
      <c r="J4474" s="65" t="b">
        <v>0</v>
      </c>
      <c r="K4474" s="65"/>
      <c r="L4474" s="85" t="b">
        <f>IF(VLOOKUP(C4474,Projetos!A:L,12,false)=TRUE,TRUE,FALSE)</f>
        <v>0</v>
      </c>
      <c r="M4474" s="74">
        <v>52.1518759018759</v>
      </c>
      <c r="N4474" s="74">
        <f t="shared" si="1"/>
        <v>0</v>
      </c>
      <c r="O4474" s="74" t="b">
        <v>0</v>
      </c>
    </row>
    <row r="4475" hidden="1">
      <c r="A4475" s="82"/>
      <c r="B4475" s="65" t="s">
        <v>467</v>
      </c>
      <c r="C4475" s="65" t="s">
        <v>120</v>
      </c>
      <c r="D4475" s="65"/>
      <c r="E4475" s="65" t="s">
        <v>3364</v>
      </c>
      <c r="F4475" s="83">
        <v>0.3958333333333333</v>
      </c>
      <c r="G4475" s="83">
        <v>0.4895833333333333</v>
      </c>
      <c r="H4475" s="83">
        <v>0.09375</v>
      </c>
      <c r="I4475" s="84">
        <v>44480.0</v>
      </c>
      <c r="J4475" s="65" t="b">
        <v>0</v>
      </c>
      <c r="K4475" s="65" t="s">
        <v>150</v>
      </c>
      <c r="L4475" s="85" t="b">
        <f>IF(VLOOKUP(C4475,Projetos!A:L,12,false)=TRUE,TRUE,FALSE)</f>
        <v>0</v>
      </c>
      <c r="M4475" s="74">
        <v>52.1518759018759</v>
      </c>
      <c r="N4475" s="74">
        <f t="shared" si="1"/>
        <v>0</v>
      </c>
      <c r="O4475" s="74" t="b">
        <v>0</v>
      </c>
    </row>
    <row r="4476" hidden="1">
      <c r="A4476" s="82"/>
      <c r="B4476" s="65" t="s">
        <v>467</v>
      </c>
      <c r="C4476" s="65" t="s">
        <v>92</v>
      </c>
      <c r="D4476" s="65" t="str">
        <f>vlookup(C4476,'Classificação p pessoal'!F:G,2,false)</f>
        <v/>
      </c>
      <c r="E4476" s="65" t="s">
        <v>3365</v>
      </c>
      <c r="F4476" s="83">
        <v>0.5833333333333334</v>
      </c>
      <c r="G4476" s="83">
        <v>0.625</v>
      </c>
      <c r="H4476" s="83">
        <v>0.041666666666666664</v>
      </c>
      <c r="I4476" s="84">
        <v>44477.0</v>
      </c>
      <c r="J4476" s="65" t="b">
        <v>1</v>
      </c>
      <c r="K4476" s="65"/>
      <c r="L4476" s="85" t="b">
        <f>IF(VLOOKUP(C4476,Projetos!A:L,12,false)=TRUE,TRUE,FALSE)</f>
        <v>1</v>
      </c>
      <c r="M4476" s="74">
        <v>52.1518759018759</v>
      </c>
      <c r="N4476" s="74">
        <f t="shared" si="1"/>
        <v>52.1518759</v>
      </c>
      <c r="O4476" s="74" t="b">
        <v>1</v>
      </c>
    </row>
    <row r="4477" hidden="1">
      <c r="A4477" s="82"/>
      <c r="B4477" s="65" t="s">
        <v>467</v>
      </c>
      <c r="C4477" s="65" t="s">
        <v>92</v>
      </c>
      <c r="D4477" s="65" t="str">
        <f>vlookup(C4477,'Classificação p pessoal'!F:G,2,false)</f>
        <v/>
      </c>
      <c r="E4477" s="65" t="s">
        <v>3366</v>
      </c>
      <c r="F4477" s="83">
        <v>0.4895833333333333</v>
      </c>
      <c r="G4477" s="83">
        <v>0.5416666666666666</v>
      </c>
      <c r="H4477" s="83">
        <v>0.052083333333333336</v>
      </c>
      <c r="I4477" s="84">
        <v>44480.0</v>
      </c>
      <c r="J4477" s="65" t="b">
        <v>1</v>
      </c>
      <c r="K4477" s="65"/>
      <c r="L4477" s="85" t="b">
        <f>IF(VLOOKUP(C4477,Projetos!A:L,12,false)=TRUE,TRUE,FALSE)</f>
        <v>1</v>
      </c>
      <c r="M4477" s="74">
        <v>52.1518759018759</v>
      </c>
      <c r="N4477" s="74">
        <f t="shared" si="1"/>
        <v>65.18984488</v>
      </c>
      <c r="O4477" s="74" t="b">
        <v>1</v>
      </c>
    </row>
    <row r="4478" hidden="1">
      <c r="A4478" s="82"/>
      <c r="B4478" s="65" t="s">
        <v>467</v>
      </c>
      <c r="C4478" s="65" t="s">
        <v>92</v>
      </c>
      <c r="D4478" s="65" t="str">
        <f>vlookup(C4478,'Classificação p pessoal'!F:G,2,false)</f>
        <v/>
      </c>
      <c r="E4478" s="65" t="s">
        <v>3367</v>
      </c>
      <c r="F4478" s="83">
        <v>0.4791666666666667</v>
      </c>
      <c r="G4478" s="83">
        <v>0.5416666666666666</v>
      </c>
      <c r="H4478" s="83">
        <v>0.0625</v>
      </c>
      <c r="I4478" s="84">
        <v>44482.0</v>
      </c>
      <c r="J4478" s="65" t="b">
        <v>1</v>
      </c>
      <c r="K4478" s="65"/>
      <c r="L4478" s="85" t="b">
        <f>IF(VLOOKUP(C4478,Projetos!A:L,12,false)=TRUE,TRUE,FALSE)</f>
        <v>1</v>
      </c>
      <c r="M4478" s="74">
        <v>52.1518759018759</v>
      </c>
      <c r="N4478" s="74">
        <f t="shared" si="1"/>
        <v>78.22781385</v>
      </c>
      <c r="O4478" s="74" t="b">
        <v>1</v>
      </c>
    </row>
    <row r="4479" hidden="1">
      <c r="A4479" s="82"/>
      <c r="B4479" s="65" t="s">
        <v>467</v>
      </c>
      <c r="C4479" s="65" t="s">
        <v>88</v>
      </c>
      <c r="D4479" s="65" t="str">
        <f>vlookup(C4479,'Classificação p pessoal'!F:G,2,false)</f>
        <v>MProduto</v>
      </c>
      <c r="E4479" s="65" t="s">
        <v>3368</v>
      </c>
      <c r="F4479" s="83">
        <v>0.5833333333333334</v>
      </c>
      <c r="G4479" s="83">
        <v>0.625</v>
      </c>
      <c r="H4479" s="83">
        <v>0.041666666666666664</v>
      </c>
      <c r="I4479" s="84">
        <v>44482.0</v>
      </c>
      <c r="J4479" s="65" t="b">
        <v>1</v>
      </c>
      <c r="K4479" s="65"/>
      <c r="L4479" s="85" t="b">
        <f>IF(VLOOKUP(C4479,Projetos!A:L,12,false)=TRUE,TRUE,FALSE)</f>
        <v>1</v>
      </c>
      <c r="M4479" s="74">
        <v>52.1518759018759</v>
      </c>
      <c r="N4479" s="74">
        <f t="shared" si="1"/>
        <v>52.1518759</v>
      </c>
      <c r="O4479" s="74" t="b">
        <v>1</v>
      </c>
    </row>
    <row r="4480" hidden="1">
      <c r="A4480" s="82"/>
      <c r="B4480" s="65" t="s">
        <v>467</v>
      </c>
      <c r="C4480" s="65" t="s">
        <v>92</v>
      </c>
      <c r="D4480" s="65" t="str">
        <f>vlookup(C4480,'Classificação p pessoal'!F:G,2,false)</f>
        <v/>
      </c>
      <c r="E4480" s="65" t="s">
        <v>3369</v>
      </c>
      <c r="F4480" s="83">
        <v>0.3645833333333333</v>
      </c>
      <c r="G4480" s="83">
        <v>0.375</v>
      </c>
      <c r="H4480" s="83">
        <v>0.010416666666666666</v>
      </c>
      <c r="I4480" s="84">
        <v>44483.0</v>
      </c>
      <c r="J4480" s="65" t="b">
        <v>1</v>
      </c>
      <c r="K4480" s="65"/>
      <c r="L4480" s="85" t="b">
        <f>IF(VLOOKUP(C4480,Projetos!A:L,12,false)=TRUE,TRUE,FALSE)</f>
        <v>1</v>
      </c>
      <c r="M4480" s="74">
        <v>52.1518759018759</v>
      </c>
      <c r="N4480" s="74">
        <f t="shared" si="1"/>
        <v>13.03796898</v>
      </c>
      <c r="O4480" s="74" t="b">
        <v>1</v>
      </c>
    </row>
    <row r="4481" hidden="1">
      <c r="A4481" s="82"/>
      <c r="B4481" s="65" t="s">
        <v>467</v>
      </c>
      <c r="C4481" s="65" t="s">
        <v>92</v>
      </c>
      <c r="D4481" s="65" t="str">
        <f>vlookup(C4481,'Classificação p pessoal'!F:G,2,false)</f>
        <v/>
      </c>
      <c r="E4481" s="65" t="s">
        <v>3370</v>
      </c>
      <c r="F4481" s="83">
        <v>0.4375</v>
      </c>
      <c r="G4481" s="83">
        <v>0.5</v>
      </c>
      <c r="H4481" s="83">
        <v>0.0625</v>
      </c>
      <c r="I4481" s="84">
        <v>44483.0</v>
      </c>
      <c r="J4481" s="65" t="b">
        <v>1</v>
      </c>
      <c r="K4481" s="65"/>
      <c r="L4481" s="85" t="b">
        <f>IF(VLOOKUP(C4481,Projetos!A:L,12,false)=TRUE,TRUE,FALSE)</f>
        <v>1</v>
      </c>
      <c r="M4481" s="74">
        <v>52.1518759018759</v>
      </c>
      <c r="N4481" s="74">
        <f t="shared" si="1"/>
        <v>78.22781385</v>
      </c>
      <c r="O4481" s="74" t="b">
        <v>1</v>
      </c>
    </row>
    <row r="4482" hidden="1">
      <c r="A4482" s="82"/>
      <c r="B4482" s="65" t="s">
        <v>467</v>
      </c>
      <c r="C4482" s="65" t="s">
        <v>121</v>
      </c>
      <c r="D4482" s="65" t="str">
        <f>vlookup(C4482,'Classificação p pessoal'!F:G,2,false)</f>
        <v>NP</v>
      </c>
      <c r="E4482" s="65" t="s">
        <v>3371</v>
      </c>
      <c r="F4482" s="83">
        <v>0.3541666666666667</v>
      </c>
      <c r="G4482" s="83">
        <v>0.3958333333333333</v>
      </c>
      <c r="H4482" s="83">
        <v>0.041666666666666664</v>
      </c>
      <c r="I4482" s="84">
        <v>44484.0</v>
      </c>
      <c r="J4482" s="65" t="b">
        <v>1</v>
      </c>
      <c r="K4482" s="65"/>
      <c r="L4482" s="85" t="b">
        <f>IF(VLOOKUP(C4482,Projetos!A:L,12,false)=TRUE,TRUE,FALSE)</f>
        <v>1</v>
      </c>
      <c r="M4482" s="74">
        <v>52.1518759018759</v>
      </c>
      <c r="N4482" s="74">
        <f t="shared" si="1"/>
        <v>52.1518759</v>
      </c>
      <c r="O4482" s="74" t="b">
        <v>1</v>
      </c>
    </row>
    <row r="4483" hidden="1">
      <c r="A4483" s="82"/>
      <c r="B4483" s="65" t="s">
        <v>467</v>
      </c>
      <c r="C4483" s="65" t="s">
        <v>121</v>
      </c>
      <c r="D4483" s="65" t="str">
        <f>vlookup(C4483,'Classificação p pessoal'!F:G,2,false)</f>
        <v>NP</v>
      </c>
      <c r="E4483" s="65" t="s">
        <v>3372</v>
      </c>
      <c r="F4483" s="83">
        <v>0.3958333333333333</v>
      </c>
      <c r="G4483" s="83">
        <v>0.4166666666666667</v>
      </c>
      <c r="H4483" s="83">
        <v>0.020833333333333332</v>
      </c>
      <c r="I4483" s="84">
        <v>44484.0</v>
      </c>
      <c r="J4483" s="65" t="b">
        <v>1</v>
      </c>
      <c r="K4483" s="65"/>
      <c r="L4483" s="85" t="b">
        <f>IF(VLOOKUP(C4483,Projetos!A:L,12,false)=TRUE,TRUE,FALSE)</f>
        <v>1</v>
      </c>
      <c r="M4483" s="74">
        <v>52.1518759018759</v>
      </c>
      <c r="N4483" s="74">
        <f t="shared" si="1"/>
        <v>26.07593795</v>
      </c>
      <c r="O4483" s="74" t="b">
        <v>1</v>
      </c>
    </row>
    <row r="4484" hidden="1">
      <c r="A4484" s="82"/>
      <c r="B4484" s="65" t="s">
        <v>467</v>
      </c>
      <c r="C4484" s="65" t="s">
        <v>120</v>
      </c>
      <c r="D4484" s="65"/>
      <c r="E4484" s="65" t="s">
        <v>3373</v>
      </c>
      <c r="F4484" s="83">
        <v>0.4375</v>
      </c>
      <c r="G4484" s="83">
        <v>0.5</v>
      </c>
      <c r="H4484" s="83">
        <v>0.0625</v>
      </c>
      <c r="I4484" s="84">
        <v>44484.0</v>
      </c>
      <c r="J4484" s="65" t="b">
        <v>0</v>
      </c>
      <c r="K4484" s="65" t="s">
        <v>150</v>
      </c>
      <c r="L4484" s="85" t="b">
        <f>IF(VLOOKUP(C4484,Projetos!A:L,12,false)=TRUE,TRUE,FALSE)</f>
        <v>0</v>
      </c>
      <c r="M4484" s="74">
        <v>52.1518759018759</v>
      </c>
      <c r="N4484" s="74">
        <f t="shared" si="1"/>
        <v>0</v>
      </c>
      <c r="O4484" s="74" t="b">
        <v>0</v>
      </c>
    </row>
    <row r="4485" hidden="1">
      <c r="A4485" s="82"/>
      <c r="B4485" s="65" t="s">
        <v>467</v>
      </c>
      <c r="C4485" s="65" t="s">
        <v>121</v>
      </c>
      <c r="D4485" s="65" t="str">
        <f>vlookup(C4485,'Classificação p pessoal'!F:G,2,false)</f>
        <v>NP</v>
      </c>
      <c r="E4485" s="65" t="s">
        <v>3374</v>
      </c>
      <c r="F4485" s="83">
        <v>0.3541666666666667</v>
      </c>
      <c r="G4485" s="83">
        <v>0.4166666666666667</v>
      </c>
      <c r="H4485" s="83">
        <v>0.0625</v>
      </c>
      <c r="I4485" s="84">
        <v>44487.0</v>
      </c>
      <c r="J4485" s="65" t="b">
        <v>1</v>
      </c>
      <c r="K4485" s="65"/>
      <c r="L4485" s="85" t="b">
        <f>IF(VLOOKUP(C4485,Projetos!A:L,12,false)=TRUE,TRUE,FALSE)</f>
        <v>1</v>
      </c>
      <c r="M4485" s="74">
        <v>52.1518759018759</v>
      </c>
      <c r="N4485" s="74">
        <f t="shared" si="1"/>
        <v>78.22781385</v>
      </c>
      <c r="O4485" s="74" t="b">
        <v>1</v>
      </c>
    </row>
    <row r="4486" hidden="1">
      <c r="A4486" s="82"/>
      <c r="B4486" s="65" t="s">
        <v>467</v>
      </c>
      <c r="C4486" s="65" t="s">
        <v>121</v>
      </c>
      <c r="D4486" s="65"/>
      <c r="E4486" s="65" t="s">
        <v>3375</v>
      </c>
      <c r="F4486" s="83">
        <v>0.4166666666666667</v>
      </c>
      <c r="G4486" s="83">
        <v>0.4583333333333333</v>
      </c>
      <c r="H4486" s="83">
        <v>0.041666666666666664</v>
      </c>
      <c r="I4486" s="84">
        <v>44487.0</v>
      </c>
      <c r="J4486" s="65" t="b">
        <v>0</v>
      </c>
      <c r="K4486" s="65" t="s">
        <v>150</v>
      </c>
      <c r="L4486" s="85" t="b">
        <f>IF(VLOOKUP(C4486,Projetos!A:L,12,false)=TRUE,TRUE,FALSE)</f>
        <v>1</v>
      </c>
      <c r="M4486" s="74">
        <v>52.1518759018759</v>
      </c>
      <c r="N4486" s="74">
        <f t="shared" si="1"/>
        <v>0</v>
      </c>
      <c r="O4486" s="74" t="b">
        <v>1</v>
      </c>
    </row>
    <row r="4487" hidden="1">
      <c r="A4487" s="82"/>
      <c r="B4487" s="65" t="s">
        <v>467</v>
      </c>
      <c r="C4487" s="65" t="s">
        <v>120</v>
      </c>
      <c r="D4487" s="65"/>
      <c r="E4487" s="65" t="s">
        <v>3376</v>
      </c>
      <c r="F4487" s="83">
        <v>0.5416666666666666</v>
      </c>
      <c r="G4487" s="83">
        <v>0.625</v>
      </c>
      <c r="H4487" s="83">
        <v>0.08333333333333333</v>
      </c>
      <c r="I4487" s="84">
        <v>44487.0</v>
      </c>
      <c r="J4487" s="65" t="b">
        <v>0</v>
      </c>
      <c r="K4487" s="65" t="s">
        <v>150</v>
      </c>
      <c r="L4487" s="85" t="b">
        <f>IF(VLOOKUP(C4487,Projetos!A:L,12,false)=TRUE,TRUE,FALSE)</f>
        <v>0</v>
      </c>
      <c r="M4487" s="74">
        <v>52.1518759018759</v>
      </c>
      <c r="N4487" s="74">
        <f t="shared" si="1"/>
        <v>0</v>
      </c>
      <c r="O4487" s="74" t="b">
        <v>0</v>
      </c>
    </row>
    <row r="4488" hidden="1">
      <c r="A4488" s="82"/>
      <c r="B4488" s="65" t="s">
        <v>177</v>
      </c>
      <c r="C4488" s="65" t="s">
        <v>100</v>
      </c>
      <c r="D4488" s="65"/>
      <c r="E4488" s="65" t="s">
        <v>3377</v>
      </c>
      <c r="F4488" s="83">
        <v>0.5208333333333334</v>
      </c>
      <c r="G4488" s="83">
        <v>0.5833333333333334</v>
      </c>
      <c r="H4488" s="83">
        <v>0.0625</v>
      </c>
      <c r="I4488" s="84">
        <v>44484.0</v>
      </c>
      <c r="J4488" s="65" t="b">
        <v>0</v>
      </c>
      <c r="K4488" s="65"/>
      <c r="L4488" s="85" t="b">
        <f>IF(VLOOKUP(C4488,Projetos!A:L,12,false)=TRUE,TRUE,FALSE)</f>
        <v>1</v>
      </c>
      <c r="M4488" s="74">
        <v>31.02923620430495</v>
      </c>
      <c r="N4488" s="74">
        <f t="shared" si="1"/>
        <v>0</v>
      </c>
      <c r="O4488" s="74" t="b">
        <v>1</v>
      </c>
    </row>
    <row r="4489" hidden="1">
      <c r="A4489" s="82"/>
      <c r="B4489" s="65" t="s">
        <v>467</v>
      </c>
      <c r="C4489" s="65" t="s">
        <v>121</v>
      </c>
      <c r="D4489" s="65" t="str">
        <f>vlookup(C4489,'Classificação p pessoal'!F:G,2,false)</f>
        <v>NP</v>
      </c>
      <c r="E4489" s="65" t="s">
        <v>3378</v>
      </c>
      <c r="F4489" s="83">
        <v>0.34375</v>
      </c>
      <c r="G4489" s="83">
        <v>0.75</v>
      </c>
      <c r="H4489" s="83">
        <v>0.40625</v>
      </c>
      <c r="I4489" s="84">
        <v>44491.0</v>
      </c>
      <c r="J4489" s="65" t="b">
        <v>1</v>
      </c>
      <c r="K4489" s="65"/>
      <c r="L4489" s="85" t="b">
        <f>IF(VLOOKUP(C4489,Projetos!A:L,12,false)=TRUE,TRUE,FALSE)</f>
        <v>1</v>
      </c>
      <c r="M4489" s="74">
        <v>52.1518759018759</v>
      </c>
      <c r="N4489" s="74">
        <f t="shared" si="1"/>
        <v>508.48079</v>
      </c>
      <c r="O4489" s="74" t="b">
        <v>1</v>
      </c>
    </row>
    <row r="4490" hidden="1">
      <c r="A4490" s="82"/>
      <c r="B4490" s="65" t="s">
        <v>467</v>
      </c>
      <c r="C4490" s="65" t="s">
        <v>121</v>
      </c>
      <c r="D4490" s="65" t="str">
        <f>vlookup(C4490,'Classificação p pessoal'!F:G,2,false)</f>
        <v>NP</v>
      </c>
      <c r="E4490" s="65" t="s">
        <v>3379</v>
      </c>
      <c r="F4490" s="83">
        <v>0.3541666666666667</v>
      </c>
      <c r="G4490" s="83">
        <v>0.4166666666666667</v>
      </c>
      <c r="H4490" s="83">
        <v>0.0625</v>
      </c>
      <c r="I4490" s="84">
        <v>44494.0</v>
      </c>
      <c r="J4490" s="65" t="b">
        <v>1</v>
      </c>
      <c r="K4490" s="65"/>
      <c r="L4490" s="85" t="b">
        <f>IF(VLOOKUP(C4490,Projetos!A:L,12,false)=TRUE,TRUE,FALSE)</f>
        <v>1</v>
      </c>
      <c r="M4490" s="74">
        <v>52.1518759018759</v>
      </c>
      <c r="N4490" s="74">
        <f t="shared" si="1"/>
        <v>78.22781385</v>
      </c>
      <c r="O4490" s="74" t="b">
        <v>1</v>
      </c>
    </row>
    <row r="4491" hidden="1">
      <c r="A4491" s="82"/>
      <c r="B4491" s="65" t="s">
        <v>467</v>
      </c>
      <c r="C4491" s="65" t="s">
        <v>121</v>
      </c>
      <c r="D4491" s="65" t="str">
        <f>vlookup(C4491,'Classificação p pessoal'!F:G,2,false)</f>
        <v>NP</v>
      </c>
      <c r="E4491" s="65" t="s">
        <v>3380</v>
      </c>
      <c r="F4491" s="83">
        <v>0.4375</v>
      </c>
      <c r="G4491" s="83">
        <v>0.7083333333333334</v>
      </c>
      <c r="H4491" s="83">
        <v>0.2708333333333333</v>
      </c>
      <c r="I4491" s="84">
        <v>44494.0</v>
      </c>
      <c r="J4491" s="65" t="b">
        <v>1</v>
      </c>
      <c r="K4491" s="65"/>
      <c r="L4491" s="85" t="b">
        <f>IF(VLOOKUP(C4491,Projetos!A:L,12,false)=TRUE,TRUE,FALSE)</f>
        <v>1</v>
      </c>
      <c r="M4491" s="74">
        <v>52.1518759018759</v>
      </c>
      <c r="N4491" s="74">
        <f t="shared" si="1"/>
        <v>338.9871934</v>
      </c>
      <c r="O4491" s="74" t="b">
        <v>1</v>
      </c>
    </row>
    <row r="4492" hidden="1">
      <c r="A4492" s="82"/>
      <c r="B4492" s="65" t="s">
        <v>467</v>
      </c>
      <c r="C4492" s="65" t="s">
        <v>120</v>
      </c>
      <c r="D4492" s="65"/>
      <c r="E4492" s="65" t="s">
        <v>3381</v>
      </c>
      <c r="F4492" s="83">
        <v>0.3541666666666667</v>
      </c>
      <c r="G4492" s="83">
        <v>0.4375</v>
      </c>
      <c r="H4492" s="83">
        <v>0.08333333333333333</v>
      </c>
      <c r="I4492" s="84">
        <v>44495.0</v>
      </c>
      <c r="J4492" s="65" t="b">
        <v>0</v>
      </c>
      <c r="K4492" s="65"/>
      <c r="L4492" s="85" t="b">
        <f>IF(VLOOKUP(C4492,Projetos!A:L,12,false)=TRUE,TRUE,FALSE)</f>
        <v>0</v>
      </c>
      <c r="M4492" s="74">
        <v>52.1518759018759</v>
      </c>
      <c r="N4492" s="74">
        <f t="shared" si="1"/>
        <v>0</v>
      </c>
      <c r="O4492" s="74" t="b">
        <v>0</v>
      </c>
    </row>
    <row r="4493" hidden="1">
      <c r="A4493" s="82"/>
      <c r="B4493" s="65" t="s">
        <v>467</v>
      </c>
      <c r="C4493" s="65" t="s">
        <v>120</v>
      </c>
      <c r="D4493" s="65"/>
      <c r="E4493" s="65" t="s">
        <v>3382</v>
      </c>
      <c r="F4493" s="83">
        <v>0.4375</v>
      </c>
      <c r="G4493" s="83">
        <v>0.4791666666666667</v>
      </c>
      <c r="H4493" s="83">
        <v>0.041666666666666664</v>
      </c>
      <c r="I4493" s="84">
        <v>44495.0</v>
      </c>
      <c r="J4493" s="65" t="b">
        <v>0</v>
      </c>
      <c r="K4493" s="65"/>
      <c r="L4493" s="85" t="b">
        <f>IF(VLOOKUP(C4493,Projetos!A:L,12,false)=TRUE,TRUE,FALSE)</f>
        <v>0</v>
      </c>
      <c r="M4493" s="74">
        <v>52.1518759018759</v>
      </c>
      <c r="N4493" s="74">
        <f t="shared" si="1"/>
        <v>0</v>
      </c>
      <c r="O4493" s="74" t="b">
        <v>0</v>
      </c>
    </row>
    <row r="4494" hidden="1">
      <c r="A4494" s="82"/>
      <c r="B4494" s="65" t="s">
        <v>467</v>
      </c>
      <c r="C4494" s="65" t="s">
        <v>121</v>
      </c>
      <c r="D4494" s="65" t="str">
        <f>vlookup(C4494,'Classificação p pessoal'!F:G,2,false)</f>
        <v>NP</v>
      </c>
      <c r="E4494" s="65" t="s">
        <v>3383</v>
      </c>
      <c r="F4494" s="83">
        <v>0.4791666666666667</v>
      </c>
      <c r="G4494" s="83">
        <v>0.5</v>
      </c>
      <c r="H4494" s="83">
        <v>0.020833333333333332</v>
      </c>
      <c r="I4494" s="84">
        <v>44495.0</v>
      </c>
      <c r="J4494" s="65" t="b">
        <v>1</v>
      </c>
      <c r="K4494" s="65"/>
      <c r="L4494" s="85" t="b">
        <f>IF(VLOOKUP(C4494,Projetos!A:L,12,false)=TRUE,TRUE,FALSE)</f>
        <v>1</v>
      </c>
      <c r="M4494" s="74">
        <v>52.1518759018759</v>
      </c>
      <c r="N4494" s="74">
        <f t="shared" si="1"/>
        <v>26.07593795</v>
      </c>
      <c r="O4494" s="74" t="b">
        <v>1</v>
      </c>
    </row>
    <row r="4495" hidden="1">
      <c r="A4495" s="82"/>
      <c r="B4495" s="65" t="s">
        <v>467</v>
      </c>
      <c r="C4495" s="65" t="s">
        <v>92</v>
      </c>
      <c r="D4495" s="65" t="str">
        <f>vlookup(C4495,'Classificação p pessoal'!F:G,2,false)</f>
        <v/>
      </c>
      <c r="E4495" s="65" t="s">
        <v>3384</v>
      </c>
      <c r="F4495" s="83">
        <v>0.5833333333333334</v>
      </c>
      <c r="G4495" s="83">
        <v>0.75</v>
      </c>
      <c r="H4495" s="83">
        <v>0.16666666666666666</v>
      </c>
      <c r="I4495" s="84">
        <v>44495.0</v>
      </c>
      <c r="J4495" s="65" t="b">
        <v>1</v>
      </c>
      <c r="K4495" s="65"/>
      <c r="L4495" s="85" t="b">
        <f>IF(VLOOKUP(C4495,Projetos!A:L,12,false)=TRUE,TRUE,FALSE)</f>
        <v>1</v>
      </c>
      <c r="M4495" s="74">
        <v>52.1518759018759</v>
      </c>
      <c r="N4495" s="74">
        <f t="shared" si="1"/>
        <v>208.6075036</v>
      </c>
      <c r="O4495" s="74" t="b">
        <v>1</v>
      </c>
    </row>
    <row r="4496" hidden="1">
      <c r="A4496" s="82"/>
      <c r="B4496" s="65" t="s">
        <v>467</v>
      </c>
      <c r="C4496" s="65" t="s">
        <v>92</v>
      </c>
      <c r="D4496" s="65" t="str">
        <f>vlookup(C4496,'Classificação p pessoal'!F:G,2,false)</f>
        <v/>
      </c>
      <c r="E4496" s="65" t="s">
        <v>3385</v>
      </c>
      <c r="F4496" s="83">
        <v>0.3541666666666667</v>
      </c>
      <c r="G4496" s="83">
        <v>0.4166666666666667</v>
      </c>
      <c r="H4496" s="83">
        <v>0.0625</v>
      </c>
      <c r="I4496" s="84">
        <v>44496.0</v>
      </c>
      <c r="J4496" s="65" t="b">
        <v>1</v>
      </c>
      <c r="K4496" s="65"/>
      <c r="L4496" s="85" t="b">
        <f>IF(VLOOKUP(C4496,Projetos!A:L,12,false)=TRUE,TRUE,FALSE)</f>
        <v>1</v>
      </c>
      <c r="M4496" s="74">
        <v>52.1518759018759</v>
      </c>
      <c r="N4496" s="74">
        <f t="shared" si="1"/>
        <v>78.22781385</v>
      </c>
      <c r="O4496" s="74" t="b">
        <v>1</v>
      </c>
    </row>
    <row r="4497" hidden="1">
      <c r="A4497" s="82"/>
      <c r="B4497" s="65" t="s">
        <v>467</v>
      </c>
      <c r="C4497" s="65" t="s">
        <v>120</v>
      </c>
      <c r="D4497" s="65"/>
      <c r="E4497" s="65" t="s">
        <v>3386</v>
      </c>
      <c r="F4497" s="83">
        <v>0.4375</v>
      </c>
      <c r="G4497" s="83">
        <v>0.5416666666666666</v>
      </c>
      <c r="H4497" s="83">
        <v>0.10416666666666667</v>
      </c>
      <c r="I4497" s="84">
        <v>44496.0</v>
      </c>
      <c r="J4497" s="65" t="b">
        <v>0</v>
      </c>
      <c r="K4497" s="65" t="s">
        <v>150</v>
      </c>
      <c r="L4497" s="85" t="b">
        <f>IF(VLOOKUP(C4497,Projetos!A:L,12,false)=TRUE,TRUE,FALSE)</f>
        <v>0</v>
      </c>
      <c r="M4497" s="74">
        <v>52.1518759018759</v>
      </c>
      <c r="N4497" s="74">
        <f t="shared" si="1"/>
        <v>0</v>
      </c>
      <c r="O4497" s="74" t="b">
        <v>0</v>
      </c>
    </row>
    <row r="4498" hidden="1">
      <c r="A4498" s="82"/>
      <c r="B4498" s="65" t="s">
        <v>467</v>
      </c>
      <c r="C4498" s="65" t="s">
        <v>120</v>
      </c>
      <c r="D4498" s="65"/>
      <c r="E4498" s="65" t="s">
        <v>3387</v>
      </c>
      <c r="F4498" s="83">
        <v>0.5833333333333334</v>
      </c>
      <c r="G4498" s="83">
        <v>0.625</v>
      </c>
      <c r="H4498" s="83">
        <v>0.041666666666666664</v>
      </c>
      <c r="I4498" s="84">
        <v>44496.0</v>
      </c>
      <c r="J4498" s="65" t="b">
        <v>0</v>
      </c>
      <c r="K4498" s="65"/>
      <c r="L4498" s="85" t="b">
        <f>IF(VLOOKUP(C4498,Projetos!A:L,12,false)=TRUE,TRUE,FALSE)</f>
        <v>0</v>
      </c>
      <c r="M4498" s="74">
        <v>52.1518759018759</v>
      </c>
      <c r="N4498" s="74">
        <f t="shared" si="1"/>
        <v>0</v>
      </c>
      <c r="O4498" s="74" t="b">
        <v>0</v>
      </c>
    </row>
    <row r="4499" hidden="1">
      <c r="A4499" s="82"/>
      <c r="B4499" s="65" t="s">
        <v>467</v>
      </c>
      <c r="C4499" s="65" t="s">
        <v>121</v>
      </c>
      <c r="D4499" s="65" t="str">
        <f>vlookup(C4499,'Classificação p pessoal'!F:G,2,false)</f>
        <v>NP</v>
      </c>
      <c r="E4499" s="65" t="s">
        <v>3388</v>
      </c>
      <c r="F4499" s="83">
        <v>0.625</v>
      </c>
      <c r="G4499" s="83">
        <v>0.75</v>
      </c>
      <c r="H4499" s="83">
        <v>0.125</v>
      </c>
      <c r="I4499" s="84">
        <v>44496.0</v>
      </c>
      <c r="J4499" s="65" t="b">
        <v>1</v>
      </c>
      <c r="K4499" s="65"/>
      <c r="L4499" s="85" t="b">
        <f>IF(VLOOKUP(C4499,Projetos!A:L,12,false)=TRUE,TRUE,FALSE)</f>
        <v>1</v>
      </c>
      <c r="M4499" s="74">
        <v>52.1518759018759</v>
      </c>
      <c r="N4499" s="74">
        <f t="shared" si="1"/>
        <v>156.4556277</v>
      </c>
      <c r="O4499" s="74" t="b">
        <v>1</v>
      </c>
    </row>
    <row r="4500" hidden="1">
      <c r="A4500" s="82"/>
      <c r="B4500" s="65" t="s">
        <v>467</v>
      </c>
      <c r="C4500" s="65" t="s">
        <v>121</v>
      </c>
      <c r="D4500" s="65" t="str">
        <f>vlookup(C4500,'Classificação p pessoal'!F:G,2,false)</f>
        <v>NP</v>
      </c>
      <c r="E4500" s="65" t="s">
        <v>3389</v>
      </c>
      <c r="F4500" s="83">
        <v>0.3333333333333333</v>
      </c>
      <c r="G4500" s="83">
        <v>0.75</v>
      </c>
      <c r="H4500" s="83">
        <v>0.4166666666666667</v>
      </c>
      <c r="I4500" s="84">
        <v>44497.0</v>
      </c>
      <c r="J4500" s="65" t="b">
        <v>1</v>
      </c>
      <c r="K4500" s="65"/>
      <c r="L4500" s="85" t="b">
        <f>IF(VLOOKUP(C4500,Projetos!A:L,12,false)=TRUE,TRUE,FALSE)</f>
        <v>1</v>
      </c>
      <c r="M4500" s="74">
        <v>52.1518759018759</v>
      </c>
      <c r="N4500" s="74">
        <f t="shared" si="1"/>
        <v>521.518759</v>
      </c>
      <c r="O4500" s="74" t="b">
        <v>1</v>
      </c>
    </row>
    <row r="4501" hidden="1">
      <c r="A4501" s="82"/>
      <c r="B4501" s="65" t="s">
        <v>467</v>
      </c>
      <c r="C4501" s="65" t="s">
        <v>130</v>
      </c>
      <c r="D4501" s="65" t="str">
        <f>vlookup(C4501,'Classificação p pessoal'!F:G,2,false)</f>
        <v>NP</v>
      </c>
      <c r="E4501" s="65" t="s">
        <v>3390</v>
      </c>
      <c r="F4501" s="83">
        <v>0.3333333333333333</v>
      </c>
      <c r="G4501" s="83">
        <v>0.75</v>
      </c>
      <c r="H4501" s="83">
        <v>0.4166666666666667</v>
      </c>
      <c r="I4501" s="84">
        <v>44498.0</v>
      </c>
      <c r="J4501" s="65" t="b">
        <v>1</v>
      </c>
      <c r="K4501" s="65"/>
      <c r="L4501" s="85" t="b">
        <f>IF(VLOOKUP(C4501,Projetos!A:L,12,false)=TRUE,TRUE,FALSE)</f>
        <v>1</v>
      </c>
      <c r="M4501" s="74">
        <v>52.1518759018759</v>
      </c>
      <c r="N4501" s="74">
        <f t="shared" si="1"/>
        <v>521.518759</v>
      </c>
      <c r="O4501" s="74" t="b">
        <v>1</v>
      </c>
    </row>
    <row r="4502" hidden="1">
      <c r="A4502" s="82"/>
      <c r="B4502" s="65" t="s">
        <v>467</v>
      </c>
      <c r="C4502" s="65" t="s">
        <v>106</v>
      </c>
      <c r="D4502" s="65" t="str">
        <f>vlookup(C4502,'Classificação p pessoal'!F:G,2,false)</f>
        <v>MProcesso</v>
      </c>
      <c r="E4502" s="65" t="s">
        <v>3391</v>
      </c>
      <c r="F4502" s="83">
        <v>0.375</v>
      </c>
      <c r="G4502" s="83">
        <v>0.4166666666666667</v>
      </c>
      <c r="H4502" s="83">
        <v>0.041666666666666664</v>
      </c>
      <c r="I4502" s="84">
        <v>44501.0</v>
      </c>
      <c r="J4502" s="65" t="b">
        <v>1</v>
      </c>
      <c r="K4502" s="65"/>
      <c r="L4502" s="85" t="b">
        <f>IF(VLOOKUP(C4502,Projetos!A:L,12,false)=TRUE,TRUE,FALSE)</f>
        <v>1</v>
      </c>
      <c r="M4502" s="74">
        <v>52.1518759018759</v>
      </c>
      <c r="N4502" s="74">
        <f t="shared" si="1"/>
        <v>52.1518759</v>
      </c>
      <c r="O4502" s="74" t="b">
        <v>1</v>
      </c>
    </row>
    <row r="4503" hidden="1">
      <c r="A4503" s="82"/>
      <c r="B4503" s="65" t="s">
        <v>467</v>
      </c>
      <c r="C4503" s="65" t="s">
        <v>106</v>
      </c>
      <c r="D4503" s="65" t="str">
        <f>vlookup(C4503,'Classificação p pessoal'!F:G,2,false)</f>
        <v>MProcesso</v>
      </c>
      <c r="E4503" s="65" t="s">
        <v>3392</v>
      </c>
      <c r="F4503" s="83">
        <v>0.4166666666666667</v>
      </c>
      <c r="G4503" s="83">
        <v>0.4375</v>
      </c>
      <c r="H4503" s="83">
        <v>0.020833333333333332</v>
      </c>
      <c r="I4503" s="84">
        <v>44501.0</v>
      </c>
      <c r="J4503" s="65" t="b">
        <v>1</v>
      </c>
      <c r="K4503" s="65"/>
      <c r="L4503" s="85" t="b">
        <f>IF(VLOOKUP(C4503,Projetos!A:L,12,false)=TRUE,TRUE,FALSE)</f>
        <v>1</v>
      </c>
      <c r="M4503" s="74">
        <v>52.1518759018759</v>
      </c>
      <c r="N4503" s="74">
        <f t="shared" si="1"/>
        <v>26.07593795</v>
      </c>
      <c r="O4503" s="74" t="b">
        <v>1</v>
      </c>
    </row>
    <row r="4504" hidden="1">
      <c r="A4504" s="82"/>
      <c r="B4504" s="65" t="s">
        <v>467</v>
      </c>
      <c r="C4504" s="65" t="s">
        <v>120</v>
      </c>
      <c r="D4504" s="65"/>
      <c r="E4504" s="65" t="s">
        <v>3393</v>
      </c>
      <c r="F4504" s="83">
        <v>0.5833333333333334</v>
      </c>
      <c r="G4504" s="83">
        <v>0.6666666666666666</v>
      </c>
      <c r="H4504" s="83">
        <v>0.08333333333333333</v>
      </c>
      <c r="I4504" s="84">
        <v>44501.0</v>
      </c>
      <c r="J4504" s="65" t="b">
        <v>0</v>
      </c>
      <c r="K4504" s="65" t="s">
        <v>150</v>
      </c>
      <c r="L4504" s="85" t="b">
        <f>IF(VLOOKUP(C4504,Projetos!A:L,12,false)=TRUE,TRUE,FALSE)</f>
        <v>0</v>
      </c>
      <c r="M4504" s="74">
        <v>52.1518759018759</v>
      </c>
      <c r="N4504" s="74">
        <f t="shared" si="1"/>
        <v>0</v>
      </c>
      <c r="O4504" s="74" t="b">
        <v>0</v>
      </c>
    </row>
    <row r="4505" hidden="1">
      <c r="A4505" s="82"/>
      <c r="B4505" s="65" t="s">
        <v>467</v>
      </c>
      <c r="C4505" s="65" t="s">
        <v>113</v>
      </c>
      <c r="D4505" s="65" t="str">
        <f>vlookup(C4505,'Classificação p pessoal'!F:G,2,false)</f>
        <v>NP</v>
      </c>
      <c r="E4505" s="65" t="s">
        <v>3394</v>
      </c>
      <c r="F4505" s="83">
        <v>0.375</v>
      </c>
      <c r="G4505" s="83">
        <v>0.4166666666666667</v>
      </c>
      <c r="H4505" s="83">
        <v>0.041666666666666664</v>
      </c>
      <c r="I4505" s="84">
        <v>44503.0</v>
      </c>
      <c r="J4505" s="65" t="b">
        <v>1</v>
      </c>
      <c r="K4505" s="65"/>
      <c r="L4505" s="85" t="b">
        <f>IF(VLOOKUP(C4505,Projetos!A:L,12,false)=TRUE,TRUE,FALSE)</f>
        <v>1</v>
      </c>
      <c r="M4505" s="74">
        <v>52.1518759018759</v>
      </c>
      <c r="N4505" s="74">
        <f t="shared" si="1"/>
        <v>52.1518759</v>
      </c>
      <c r="O4505" s="74" t="b">
        <v>1</v>
      </c>
    </row>
    <row r="4506" hidden="1">
      <c r="A4506" s="82"/>
      <c r="B4506" s="65" t="s">
        <v>467</v>
      </c>
      <c r="C4506" s="65" t="s">
        <v>106</v>
      </c>
      <c r="D4506" s="65" t="str">
        <f>vlookup(C4506,'Classificação p pessoal'!F:G,2,false)</f>
        <v>MProcesso</v>
      </c>
      <c r="E4506" s="65" t="s">
        <v>3395</v>
      </c>
      <c r="F4506" s="83">
        <v>0.34375</v>
      </c>
      <c r="G4506" s="83">
        <v>0.375</v>
      </c>
      <c r="H4506" s="83">
        <v>0.03125</v>
      </c>
      <c r="I4506" s="84">
        <v>44503.0</v>
      </c>
      <c r="J4506" s="65" t="b">
        <v>1</v>
      </c>
      <c r="K4506" s="65"/>
      <c r="L4506" s="85" t="b">
        <f>IF(VLOOKUP(C4506,Projetos!A:L,12,false)=TRUE,TRUE,FALSE)</f>
        <v>1</v>
      </c>
      <c r="M4506" s="74">
        <v>52.1518759018759</v>
      </c>
      <c r="N4506" s="74">
        <f t="shared" si="1"/>
        <v>39.11390693</v>
      </c>
      <c r="O4506" s="74" t="b">
        <v>1</v>
      </c>
    </row>
    <row r="4507" hidden="1">
      <c r="A4507" s="82"/>
      <c r="B4507" s="65" t="s">
        <v>467</v>
      </c>
      <c r="C4507" s="65" t="s">
        <v>92</v>
      </c>
      <c r="D4507" s="65"/>
      <c r="E4507" s="65" t="s">
        <v>3396</v>
      </c>
      <c r="F4507" s="83">
        <v>0.4166666666666667</v>
      </c>
      <c r="G4507" s="83">
        <v>0.5</v>
      </c>
      <c r="H4507" s="83">
        <v>0.08333333333333333</v>
      </c>
      <c r="I4507" s="84">
        <v>44503.0</v>
      </c>
      <c r="J4507" s="65" t="b">
        <v>0</v>
      </c>
      <c r="K4507" s="65" t="s">
        <v>150</v>
      </c>
      <c r="L4507" s="85" t="b">
        <f>IF(VLOOKUP(C4507,Projetos!A:L,12,false)=TRUE,TRUE,FALSE)</f>
        <v>1</v>
      </c>
      <c r="M4507" s="74">
        <v>52.1518759018759</v>
      </c>
      <c r="N4507" s="74">
        <f t="shared" si="1"/>
        <v>0</v>
      </c>
      <c r="O4507" s="74" t="b">
        <v>1</v>
      </c>
    </row>
    <row r="4508" hidden="1">
      <c r="A4508" s="82"/>
      <c r="B4508" s="65" t="s">
        <v>467</v>
      </c>
      <c r="C4508" s="65" t="s">
        <v>92</v>
      </c>
      <c r="D4508" s="65" t="str">
        <f>vlookup(C4508,'Classificação p pessoal'!F:G,2,false)</f>
        <v/>
      </c>
      <c r="E4508" s="65" t="s">
        <v>3397</v>
      </c>
      <c r="F4508" s="83">
        <v>0.5</v>
      </c>
      <c r="G4508" s="83">
        <v>0.5208333333333334</v>
      </c>
      <c r="H4508" s="83">
        <v>0.020833333333333332</v>
      </c>
      <c r="I4508" s="84">
        <v>44503.0</v>
      </c>
      <c r="J4508" s="65" t="b">
        <v>1</v>
      </c>
      <c r="K4508" s="65"/>
      <c r="L4508" s="85" t="b">
        <f>IF(VLOOKUP(C4508,Projetos!A:L,12,false)=TRUE,TRUE,FALSE)</f>
        <v>1</v>
      </c>
      <c r="M4508" s="74">
        <v>52.1518759018759</v>
      </c>
      <c r="N4508" s="74">
        <f t="shared" si="1"/>
        <v>26.07593795</v>
      </c>
      <c r="O4508" s="74" t="b">
        <v>1</v>
      </c>
    </row>
    <row r="4509" hidden="1">
      <c r="A4509" s="82"/>
      <c r="B4509" s="65" t="s">
        <v>467</v>
      </c>
      <c r="C4509" s="65" t="s">
        <v>121</v>
      </c>
      <c r="D4509" s="65" t="str">
        <f>vlookup(C4509,'Classificação p pessoal'!F:G,2,false)</f>
        <v>NP</v>
      </c>
      <c r="E4509" s="65" t="s">
        <v>3398</v>
      </c>
      <c r="F4509" s="83">
        <v>0.375</v>
      </c>
      <c r="G4509" s="83">
        <v>0.4583333333333333</v>
      </c>
      <c r="H4509" s="83">
        <v>0.08333333333333333</v>
      </c>
      <c r="I4509" s="84">
        <v>44504.0</v>
      </c>
      <c r="J4509" s="65" t="b">
        <v>1</v>
      </c>
      <c r="K4509" s="65"/>
      <c r="L4509" s="85" t="b">
        <f>IF(VLOOKUP(C4509,Projetos!A:L,12,false)=TRUE,TRUE,FALSE)</f>
        <v>1</v>
      </c>
      <c r="M4509" s="74">
        <v>52.1518759018759</v>
      </c>
      <c r="N4509" s="74">
        <f t="shared" si="1"/>
        <v>104.3037518</v>
      </c>
      <c r="O4509" s="74" t="b">
        <v>1</v>
      </c>
    </row>
    <row r="4510" hidden="1">
      <c r="A4510" s="82"/>
      <c r="B4510" s="65" t="s">
        <v>467</v>
      </c>
      <c r="C4510" s="65" t="s">
        <v>130</v>
      </c>
      <c r="D4510" s="65" t="str">
        <f>vlookup(C4510,'Classificação p pessoal'!F:G,2,false)</f>
        <v>NP</v>
      </c>
      <c r="E4510" s="65" t="s">
        <v>3399</v>
      </c>
      <c r="F4510" s="83">
        <v>0.4583333333333333</v>
      </c>
      <c r="G4510" s="83">
        <v>0.5208333333333334</v>
      </c>
      <c r="H4510" s="83">
        <v>0.0625</v>
      </c>
      <c r="I4510" s="84">
        <v>44504.0</v>
      </c>
      <c r="J4510" s="65" t="b">
        <v>1</v>
      </c>
      <c r="K4510" s="65"/>
      <c r="L4510" s="85" t="b">
        <f>IF(VLOOKUP(C4510,Projetos!A:L,12,false)=TRUE,TRUE,FALSE)</f>
        <v>1</v>
      </c>
      <c r="M4510" s="74">
        <v>52.1518759018759</v>
      </c>
      <c r="N4510" s="74">
        <f t="shared" si="1"/>
        <v>78.22781385</v>
      </c>
      <c r="O4510" s="74" t="b">
        <v>1</v>
      </c>
    </row>
    <row r="4511" hidden="1">
      <c r="A4511" s="82"/>
      <c r="B4511" s="65" t="s">
        <v>467</v>
      </c>
      <c r="C4511" s="65" t="s">
        <v>130</v>
      </c>
      <c r="D4511" s="65" t="str">
        <f>vlookup(C4511,'Classificação p pessoal'!F:G,2,false)</f>
        <v>NP</v>
      </c>
      <c r="E4511" s="65" t="s">
        <v>3400</v>
      </c>
      <c r="F4511" s="83">
        <v>0.5833333333333334</v>
      </c>
      <c r="G4511" s="83">
        <v>0.6666666666666666</v>
      </c>
      <c r="H4511" s="83">
        <v>0.08333333333333333</v>
      </c>
      <c r="I4511" s="84">
        <v>44504.0</v>
      </c>
      <c r="J4511" s="65" t="b">
        <v>1</v>
      </c>
      <c r="K4511" s="65"/>
      <c r="L4511" s="85" t="b">
        <f>IF(VLOOKUP(C4511,Projetos!A:L,12,false)=TRUE,TRUE,FALSE)</f>
        <v>1</v>
      </c>
      <c r="M4511" s="74">
        <v>52.1518759018759</v>
      </c>
      <c r="N4511" s="74">
        <f t="shared" si="1"/>
        <v>104.3037518</v>
      </c>
      <c r="O4511" s="74" t="b">
        <v>1</v>
      </c>
    </row>
    <row r="4512" hidden="1">
      <c r="A4512" s="82"/>
      <c r="B4512" s="65" t="s">
        <v>467</v>
      </c>
      <c r="C4512" s="65" t="s">
        <v>130</v>
      </c>
      <c r="D4512" s="65" t="str">
        <f>vlookup(C4512,'Classificação p pessoal'!F:G,2,false)</f>
        <v>NP</v>
      </c>
      <c r="E4512" s="65" t="s">
        <v>3401</v>
      </c>
      <c r="F4512" s="83">
        <v>0.5833333333333334</v>
      </c>
      <c r="G4512" s="83">
        <v>0.625</v>
      </c>
      <c r="H4512" s="83">
        <v>0.041666666666666664</v>
      </c>
      <c r="I4512" s="84">
        <v>44503.0</v>
      </c>
      <c r="J4512" s="65" t="b">
        <v>1</v>
      </c>
      <c r="K4512" s="65"/>
      <c r="L4512" s="85" t="b">
        <f>IF(VLOOKUP(C4512,Projetos!A:L,12,false)=TRUE,TRUE,FALSE)</f>
        <v>1</v>
      </c>
      <c r="M4512" s="74">
        <v>52.1518759018759</v>
      </c>
      <c r="N4512" s="74">
        <f t="shared" si="1"/>
        <v>52.1518759</v>
      </c>
      <c r="O4512" s="74" t="b">
        <v>1</v>
      </c>
    </row>
    <row r="4513" hidden="1">
      <c r="A4513" s="82"/>
      <c r="B4513" s="65" t="s">
        <v>467</v>
      </c>
      <c r="C4513" s="65" t="s">
        <v>106</v>
      </c>
      <c r="D4513" s="65"/>
      <c r="E4513" s="65" t="s">
        <v>3402</v>
      </c>
      <c r="F4513" s="83">
        <v>0.34375</v>
      </c>
      <c r="G4513" s="83">
        <v>0.375</v>
      </c>
      <c r="H4513" s="83">
        <v>0.03125</v>
      </c>
      <c r="I4513" s="84">
        <v>44505.0</v>
      </c>
      <c r="J4513" s="65" t="b">
        <v>0</v>
      </c>
      <c r="K4513" s="65" t="s">
        <v>150</v>
      </c>
      <c r="L4513" s="85" t="b">
        <f>IF(VLOOKUP(C4513,Projetos!A:L,12,false)=TRUE,TRUE,FALSE)</f>
        <v>1</v>
      </c>
      <c r="M4513" s="74">
        <v>52.1518759018759</v>
      </c>
      <c r="N4513" s="74">
        <f t="shared" si="1"/>
        <v>0</v>
      </c>
      <c r="O4513" s="74" t="b">
        <v>1</v>
      </c>
    </row>
    <row r="4514" hidden="1">
      <c r="A4514" s="82"/>
      <c r="B4514" s="65" t="s">
        <v>177</v>
      </c>
      <c r="C4514" s="65" t="s">
        <v>106</v>
      </c>
      <c r="D4514" s="65"/>
      <c r="E4514" s="65" t="s">
        <v>3403</v>
      </c>
      <c r="F4514" s="83">
        <v>0.3541666666666667</v>
      </c>
      <c r="G4514" s="83">
        <v>0.5208333333333334</v>
      </c>
      <c r="H4514" s="83">
        <v>0.16666666666666666</v>
      </c>
      <c r="I4514" s="84">
        <v>44484.0</v>
      </c>
      <c r="J4514" s="65" t="b">
        <v>0</v>
      </c>
      <c r="K4514" s="65"/>
      <c r="L4514" s="85" t="b">
        <f>IF(VLOOKUP(C4514,Projetos!A:L,12,false)=TRUE,TRUE,FALSE)</f>
        <v>1</v>
      </c>
      <c r="M4514" s="74">
        <v>31.02923620430495</v>
      </c>
      <c r="N4514" s="74">
        <f t="shared" si="1"/>
        <v>0</v>
      </c>
      <c r="O4514" s="74" t="b">
        <v>1</v>
      </c>
    </row>
    <row r="4515" hidden="1">
      <c r="A4515" s="82"/>
      <c r="B4515" s="65" t="s">
        <v>467</v>
      </c>
      <c r="C4515" s="65" t="s">
        <v>106</v>
      </c>
      <c r="D4515" s="65" t="str">
        <f>vlookup(C4515,'Classificação p pessoal'!F:G,2,false)</f>
        <v>MProcesso</v>
      </c>
      <c r="E4515" s="65" t="s">
        <v>3404</v>
      </c>
      <c r="F4515" s="83">
        <v>0.4583333333333333</v>
      </c>
      <c r="G4515" s="83">
        <v>0.4791666666666667</v>
      </c>
      <c r="H4515" s="83">
        <v>0.020833333333333332</v>
      </c>
      <c r="I4515" s="84">
        <v>44505.0</v>
      </c>
      <c r="J4515" s="65" t="b">
        <v>1</v>
      </c>
      <c r="K4515" s="65"/>
      <c r="L4515" s="85" t="b">
        <f>IF(VLOOKUP(C4515,Projetos!A:L,12,false)=TRUE,TRUE,FALSE)</f>
        <v>1</v>
      </c>
      <c r="M4515" s="74">
        <v>52.1518759018759</v>
      </c>
      <c r="N4515" s="74">
        <f t="shared" si="1"/>
        <v>26.07593795</v>
      </c>
      <c r="O4515" s="74" t="b">
        <v>1</v>
      </c>
    </row>
    <row r="4516" hidden="1">
      <c r="A4516" s="82"/>
      <c r="B4516" s="65" t="s">
        <v>467</v>
      </c>
      <c r="C4516" s="65" t="s">
        <v>92</v>
      </c>
      <c r="D4516" s="65" t="str">
        <f>vlookup(C4516,'Classificação p pessoal'!F:G,2,false)</f>
        <v/>
      </c>
      <c r="E4516" s="65" t="s">
        <v>3405</v>
      </c>
      <c r="F4516" s="83">
        <v>0.4791666666666667</v>
      </c>
      <c r="G4516" s="83">
        <v>0.5</v>
      </c>
      <c r="H4516" s="83">
        <v>0.020833333333333332</v>
      </c>
      <c r="I4516" s="84">
        <v>44505.0</v>
      </c>
      <c r="J4516" s="65" t="b">
        <v>1</v>
      </c>
      <c r="K4516" s="65"/>
      <c r="L4516" s="85" t="b">
        <f>IF(VLOOKUP(C4516,Projetos!A:L,12,false)=TRUE,TRUE,FALSE)</f>
        <v>1</v>
      </c>
      <c r="M4516" s="74">
        <v>52.1518759018759</v>
      </c>
      <c r="N4516" s="74">
        <f t="shared" si="1"/>
        <v>26.07593795</v>
      </c>
      <c r="O4516" s="74" t="b">
        <v>1</v>
      </c>
    </row>
    <row r="4517" hidden="1">
      <c r="A4517" s="82"/>
      <c r="B4517" s="65" t="s">
        <v>467</v>
      </c>
      <c r="C4517" s="65" t="s">
        <v>130</v>
      </c>
      <c r="D4517" s="65" t="str">
        <f>vlookup(C4517,'Classificação p pessoal'!F:G,2,false)</f>
        <v>NP</v>
      </c>
      <c r="E4517" s="65" t="s">
        <v>3406</v>
      </c>
      <c r="F4517" s="83">
        <v>0.5833333333333334</v>
      </c>
      <c r="G4517" s="83">
        <v>0.625</v>
      </c>
      <c r="H4517" s="83">
        <v>0.041666666666666664</v>
      </c>
      <c r="I4517" s="84">
        <v>44505.0</v>
      </c>
      <c r="J4517" s="65" t="b">
        <v>1</v>
      </c>
      <c r="K4517" s="65"/>
      <c r="L4517" s="85" t="b">
        <f>IF(VLOOKUP(C4517,Projetos!A:L,12,false)=TRUE,TRUE,FALSE)</f>
        <v>1</v>
      </c>
      <c r="M4517" s="74">
        <v>52.1518759018759</v>
      </c>
      <c r="N4517" s="74">
        <f t="shared" si="1"/>
        <v>52.1518759</v>
      </c>
      <c r="O4517" s="74" t="b">
        <v>1</v>
      </c>
    </row>
    <row r="4518" hidden="1">
      <c r="A4518" s="82"/>
      <c r="B4518" s="65" t="s">
        <v>467</v>
      </c>
      <c r="C4518" s="65" t="s">
        <v>121</v>
      </c>
      <c r="D4518" s="65" t="str">
        <f>vlookup(C4518,'Classificação p pessoal'!F:G,2,false)</f>
        <v>NP</v>
      </c>
      <c r="E4518" s="65" t="s">
        <v>3407</v>
      </c>
      <c r="F4518" s="83">
        <v>0.625</v>
      </c>
      <c r="G4518" s="83">
        <v>0.6458333333333334</v>
      </c>
      <c r="H4518" s="83">
        <v>0.020833333333333332</v>
      </c>
      <c r="I4518" s="84">
        <v>44505.0</v>
      </c>
      <c r="J4518" s="65" t="b">
        <v>1</v>
      </c>
      <c r="K4518" s="65"/>
      <c r="L4518" s="85" t="b">
        <f>IF(VLOOKUP(C4518,Projetos!A:L,12,false)=TRUE,TRUE,FALSE)</f>
        <v>1</v>
      </c>
      <c r="M4518" s="74">
        <v>52.1518759018759</v>
      </c>
      <c r="N4518" s="74">
        <f t="shared" si="1"/>
        <v>26.07593795</v>
      </c>
      <c r="O4518" s="74" t="b">
        <v>1</v>
      </c>
    </row>
    <row r="4519" hidden="1">
      <c r="A4519" s="82"/>
      <c r="B4519" s="65" t="s">
        <v>467</v>
      </c>
      <c r="C4519" s="65" t="s">
        <v>92</v>
      </c>
      <c r="D4519" s="65" t="str">
        <f>vlookup(C4519,'Classificação p pessoal'!F:G,2,false)</f>
        <v/>
      </c>
      <c r="E4519" s="65" t="s">
        <v>3408</v>
      </c>
      <c r="F4519" s="83">
        <v>0.6458333333333334</v>
      </c>
      <c r="G4519" s="83">
        <v>0.6666666666666666</v>
      </c>
      <c r="H4519" s="83">
        <v>0.020833333333333332</v>
      </c>
      <c r="I4519" s="84">
        <v>44505.0</v>
      </c>
      <c r="J4519" s="65" t="b">
        <v>1</v>
      </c>
      <c r="K4519" s="65"/>
      <c r="L4519" s="85" t="b">
        <f>IF(VLOOKUP(C4519,Projetos!A:L,12,false)=TRUE,TRUE,FALSE)</f>
        <v>1</v>
      </c>
      <c r="M4519" s="74">
        <v>52.1518759018759</v>
      </c>
      <c r="N4519" s="74">
        <f t="shared" si="1"/>
        <v>26.07593795</v>
      </c>
      <c r="O4519" s="74" t="b">
        <v>1</v>
      </c>
    </row>
    <row r="4520" hidden="1">
      <c r="A4520" s="82"/>
      <c r="B4520" s="65" t="s">
        <v>467</v>
      </c>
      <c r="C4520" s="65" t="s">
        <v>120</v>
      </c>
      <c r="D4520" s="65"/>
      <c r="E4520" s="65" t="s">
        <v>3409</v>
      </c>
      <c r="F4520" s="83">
        <v>0.3472222222222222</v>
      </c>
      <c r="G4520" s="83">
        <v>0.5</v>
      </c>
      <c r="H4520" s="83">
        <v>0.1527777777777778</v>
      </c>
      <c r="I4520" s="84">
        <v>44508.0</v>
      </c>
      <c r="J4520" s="65" t="b">
        <v>0</v>
      </c>
      <c r="K4520" s="65" t="s">
        <v>150</v>
      </c>
      <c r="L4520" s="85" t="b">
        <f>IF(VLOOKUP(C4520,Projetos!A:L,12,false)=TRUE,TRUE,FALSE)</f>
        <v>0</v>
      </c>
      <c r="M4520" s="74">
        <v>52.1518759018759</v>
      </c>
      <c r="N4520" s="74">
        <f t="shared" si="1"/>
        <v>0</v>
      </c>
      <c r="O4520" s="74" t="b">
        <v>0</v>
      </c>
    </row>
    <row r="4521" hidden="1">
      <c r="A4521" s="82"/>
      <c r="B4521" s="65" t="s">
        <v>467</v>
      </c>
      <c r="C4521" s="65" t="s">
        <v>106</v>
      </c>
      <c r="D4521" s="65" t="str">
        <f>vlookup(C4521,'Classificação p pessoal'!F:G,2,false)</f>
        <v>MProcesso</v>
      </c>
      <c r="E4521" s="65" t="s">
        <v>3410</v>
      </c>
      <c r="F4521" s="83">
        <v>0.5833333333333334</v>
      </c>
      <c r="G4521" s="83">
        <v>0.6666666666666666</v>
      </c>
      <c r="H4521" s="83">
        <v>0.08333333333333333</v>
      </c>
      <c r="I4521" s="84">
        <v>44508.0</v>
      </c>
      <c r="J4521" s="65" t="b">
        <v>1</v>
      </c>
      <c r="K4521" s="65"/>
      <c r="L4521" s="85" t="b">
        <f>IF(VLOOKUP(C4521,Projetos!A:L,12,false)=TRUE,TRUE,FALSE)</f>
        <v>1</v>
      </c>
      <c r="M4521" s="74">
        <v>52.1518759018759</v>
      </c>
      <c r="N4521" s="74">
        <f t="shared" si="1"/>
        <v>104.3037518</v>
      </c>
      <c r="O4521" s="74" t="b">
        <v>1</v>
      </c>
    </row>
    <row r="4522" hidden="1">
      <c r="A4522" s="82"/>
      <c r="B4522" s="65" t="s">
        <v>467</v>
      </c>
      <c r="C4522" s="65" t="s">
        <v>106</v>
      </c>
      <c r="D4522" s="65" t="str">
        <f>vlookup(C4522,'Classificação p pessoal'!F:G,2,false)</f>
        <v>MProcesso</v>
      </c>
      <c r="E4522" s="65" t="s">
        <v>3395</v>
      </c>
      <c r="F4522" s="83">
        <v>0.34375</v>
      </c>
      <c r="G4522" s="83">
        <v>0.375</v>
      </c>
      <c r="H4522" s="83">
        <v>0.03125</v>
      </c>
      <c r="I4522" s="84">
        <v>44509.0</v>
      </c>
      <c r="J4522" s="65" t="b">
        <v>1</v>
      </c>
      <c r="K4522" s="65"/>
      <c r="L4522" s="85" t="b">
        <f>IF(VLOOKUP(C4522,Projetos!A:L,12,false)=TRUE,TRUE,FALSE)</f>
        <v>1</v>
      </c>
      <c r="M4522" s="74">
        <v>52.1518759018759</v>
      </c>
      <c r="N4522" s="74">
        <f t="shared" si="1"/>
        <v>39.11390693</v>
      </c>
      <c r="O4522" s="74" t="b">
        <v>1</v>
      </c>
    </row>
    <row r="4523" hidden="1">
      <c r="A4523" s="82"/>
      <c r="B4523" s="65" t="s">
        <v>411</v>
      </c>
      <c r="C4523" s="65" t="s">
        <v>114</v>
      </c>
      <c r="D4523" s="65"/>
      <c r="E4523" s="65" t="s">
        <v>3411</v>
      </c>
      <c r="F4523" s="83">
        <v>0.6458333333333334</v>
      </c>
      <c r="G4523" s="83">
        <v>0.6666666666666666</v>
      </c>
      <c r="H4523" s="83">
        <v>0.020833333333333332</v>
      </c>
      <c r="I4523" s="84">
        <v>44424.0</v>
      </c>
      <c r="J4523" s="65" t="b">
        <v>0</v>
      </c>
      <c r="K4523" s="65"/>
      <c r="L4523" s="85" t="b">
        <f>IF(VLOOKUP(C4523,Projetos!A:L,12,false)=TRUE,TRUE,FALSE)</f>
        <v>1</v>
      </c>
      <c r="M4523" s="74">
        <v>52.48434411075036</v>
      </c>
      <c r="N4523" s="74">
        <f t="shared" si="1"/>
        <v>0</v>
      </c>
      <c r="O4523" s="74" t="b">
        <v>1</v>
      </c>
    </row>
    <row r="4524" hidden="1">
      <c r="A4524" s="82"/>
      <c r="B4524" s="65" t="s">
        <v>467</v>
      </c>
      <c r="C4524" s="65" t="s">
        <v>130</v>
      </c>
      <c r="D4524" s="65" t="str">
        <f>vlookup(C4524,'Classificação p pessoal'!F:G,2,false)</f>
        <v>NP</v>
      </c>
      <c r="E4524" s="65" t="s">
        <v>3412</v>
      </c>
      <c r="F4524" s="83">
        <v>0.4375</v>
      </c>
      <c r="G4524" s="83">
        <v>0.5</v>
      </c>
      <c r="H4524" s="83">
        <v>0.0625</v>
      </c>
      <c r="I4524" s="84">
        <v>44509.0</v>
      </c>
      <c r="J4524" s="65" t="b">
        <v>1</v>
      </c>
      <c r="K4524" s="65"/>
      <c r="L4524" s="85" t="b">
        <f>IF(VLOOKUP(C4524,Projetos!A:L,12,false)=TRUE,TRUE,FALSE)</f>
        <v>1</v>
      </c>
      <c r="M4524" s="74">
        <v>52.1518759018759</v>
      </c>
      <c r="N4524" s="74">
        <f t="shared" si="1"/>
        <v>78.22781385</v>
      </c>
      <c r="O4524" s="74" t="b">
        <v>1</v>
      </c>
    </row>
    <row r="4525" hidden="1">
      <c r="A4525" s="82"/>
      <c r="B4525" s="65" t="s">
        <v>467</v>
      </c>
      <c r="C4525" s="65" t="s">
        <v>92</v>
      </c>
      <c r="D4525" s="65" t="str">
        <f>vlookup(C4525,'Classificação p pessoal'!F:G,2,false)</f>
        <v/>
      </c>
      <c r="E4525" s="65" t="s">
        <v>3413</v>
      </c>
      <c r="F4525" s="83">
        <v>0.5833333333333334</v>
      </c>
      <c r="G4525" s="83">
        <v>0.625</v>
      </c>
      <c r="H4525" s="83">
        <v>0.041666666666666664</v>
      </c>
      <c r="I4525" s="84">
        <v>44509.0</v>
      </c>
      <c r="J4525" s="65" t="b">
        <v>1</v>
      </c>
      <c r="K4525" s="65"/>
      <c r="L4525" s="85" t="b">
        <f>IF(VLOOKUP(C4525,Projetos!A:L,12,false)=TRUE,TRUE,FALSE)</f>
        <v>1</v>
      </c>
      <c r="M4525" s="74">
        <v>52.1518759018759</v>
      </c>
      <c r="N4525" s="74">
        <f t="shared" si="1"/>
        <v>52.1518759</v>
      </c>
      <c r="O4525" s="74" t="b">
        <v>1</v>
      </c>
    </row>
    <row r="4526" hidden="1">
      <c r="A4526" s="82"/>
      <c r="B4526" s="65" t="s">
        <v>467</v>
      </c>
      <c r="C4526" s="65" t="s">
        <v>113</v>
      </c>
      <c r="D4526" s="65" t="str">
        <f>vlookup(C4526,'Classificação p pessoal'!F:G,2,false)</f>
        <v>NP</v>
      </c>
      <c r="E4526" s="65" t="s">
        <v>3414</v>
      </c>
      <c r="F4526" s="83">
        <v>0.4791666666666667</v>
      </c>
      <c r="G4526" s="83">
        <v>0.5208333333333334</v>
      </c>
      <c r="H4526" s="83">
        <v>0.041666666666666664</v>
      </c>
      <c r="I4526" s="84">
        <v>44510.0</v>
      </c>
      <c r="J4526" s="65" t="b">
        <v>1</v>
      </c>
      <c r="K4526" s="65"/>
      <c r="L4526" s="85" t="b">
        <f>IF(VLOOKUP(C4526,Projetos!A:L,12,false)=TRUE,TRUE,FALSE)</f>
        <v>1</v>
      </c>
      <c r="M4526" s="74">
        <v>52.1518759018759</v>
      </c>
      <c r="N4526" s="74">
        <f t="shared" si="1"/>
        <v>52.1518759</v>
      </c>
      <c r="O4526" s="74" t="b">
        <v>1</v>
      </c>
    </row>
    <row r="4527" hidden="1">
      <c r="A4527" s="82"/>
      <c r="B4527" s="65" t="s">
        <v>467</v>
      </c>
      <c r="C4527" s="65" t="s">
        <v>92</v>
      </c>
      <c r="D4527" s="65" t="str">
        <f>vlookup(C4527,'Classificação p pessoal'!F:G,2,false)</f>
        <v/>
      </c>
      <c r="E4527" s="65" t="s">
        <v>3415</v>
      </c>
      <c r="F4527" s="83">
        <v>0.3645833333333333</v>
      </c>
      <c r="G4527" s="83">
        <v>0.3958333333333333</v>
      </c>
      <c r="H4527" s="83">
        <v>0.03125</v>
      </c>
      <c r="I4527" s="84">
        <v>44510.0</v>
      </c>
      <c r="J4527" s="65" t="b">
        <v>1</v>
      </c>
      <c r="K4527" s="65"/>
      <c r="L4527" s="85" t="b">
        <f>IF(VLOOKUP(C4527,Projetos!A:L,12,false)=TRUE,TRUE,FALSE)</f>
        <v>1</v>
      </c>
      <c r="M4527" s="74">
        <v>52.1518759018759</v>
      </c>
      <c r="N4527" s="74">
        <f t="shared" si="1"/>
        <v>39.11390693</v>
      </c>
      <c r="O4527" s="74" t="b">
        <v>1</v>
      </c>
    </row>
    <row r="4528" hidden="1">
      <c r="A4528" s="82"/>
      <c r="B4528" s="65" t="s">
        <v>467</v>
      </c>
      <c r="C4528" s="65" t="s">
        <v>92</v>
      </c>
      <c r="D4528" s="65"/>
      <c r="E4528" s="65" t="s">
        <v>3416</v>
      </c>
      <c r="F4528" s="83">
        <v>0.5833333333333334</v>
      </c>
      <c r="G4528" s="83">
        <v>0.6666666666666666</v>
      </c>
      <c r="H4528" s="83">
        <v>0.08333333333333333</v>
      </c>
      <c r="I4528" s="84">
        <v>44510.0</v>
      </c>
      <c r="J4528" s="65" t="b">
        <v>0</v>
      </c>
      <c r="K4528" s="65" t="s">
        <v>150</v>
      </c>
      <c r="L4528" s="85" t="b">
        <f>IF(VLOOKUP(C4528,Projetos!A:L,12,false)=TRUE,TRUE,FALSE)</f>
        <v>1</v>
      </c>
      <c r="M4528" s="74">
        <v>52.1518759018759</v>
      </c>
      <c r="N4528" s="74">
        <f t="shared" si="1"/>
        <v>0</v>
      </c>
      <c r="O4528" s="74" t="b">
        <v>1</v>
      </c>
    </row>
    <row r="4529" hidden="1">
      <c r="A4529" s="82"/>
      <c r="B4529" s="65" t="s">
        <v>467</v>
      </c>
      <c r="C4529" s="65" t="s">
        <v>113</v>
      </c>
      <c r="D4529" s="65" t="str">
        <f>vlookup(C4529,'Classificação p pessoal'!F:G,2,false)</f>
        <v>NP</v>
      </c>
      <c r="E4529" s="65" t="s">
        <v>3417</v>
      </c>
      <c r="F4529" s="83">
        <v>0.5833333333333334</v>
      </c>
      <c r="G4529" s="83">
        <v>0.7916666666666666</v>
      </c>
      <c r="H4529" s="83">
        <v>0.20833333333333334</v>
      </c>
      <c r="I4529" s="84">
        <v>44511.0</v>
      </c>
      <c r="J4529" s="65" t="b">
        <v>1</v>
      </c>
      <c r="K4529" s="65"/>
      <c r="L4529" s="85" t="b">
        <f>IF(VLOOKUP(C4529,Projetos!A:L,12,false)=TRUE,TRUE,FALSE)</f>
        <v>1</v>
      </c>
      <c r="M4529" s="74">
        <v>52.1518759018759</v>
      </c>
      <c r="N4529" s="74">
        <f t="shared" si="1"/>
        <v>260.7593795</v>
      </c>
      <c r="O4529" s="74" t="b">
        <v>1</v>
      </c>
    </row>
    <row r="4530" hidden="1">
      <c r="A4530" s="82"/>
      <c r="B4530" s="65" t="s">
        <v>467</v>
      </c>
      <c r="C4530" s="65" t="s">
        <v>120</v>
      </c>
      <c r="D4530" s="65"/>
      <c r="E4530" s="65" t="s">
        <v>3418</v>
      </c>
      <c r="F4530" s="83">
        <v>0.375</v>
      </c>
      <c r="G4530" s="83">
        <v>0.5</v>
      </c>
      <c r="H4530" s="83">
        <v>0.125</v>
      </c>
      <c r="I4530" s="84">
        <v>44511.0</v>
      </c>
      <c r="J4530" s="65" t="b">
        <v>0</v>
      </c>
      <c r="K4530" s="65"/>
      <c r="L4530" s="85" t="b">
        <f>IF(VLOOKUP(C4530,Projetos!A:L,12,false)=TRUE,TRUE,FALSE)</f>
        <v>0</v>
      </c>
      <c r="M4530" s="74">
        <v>52.1518759018759</v>
      </c>
      <c r="N4530" s="74">
        <f t="shared" si="1"/>
        <v>0</v>
      </c>
      <c r="O4530" s="74" t="b">
        <v>0</v>
      </c>
    </row>
    <row r="4531" hidden="1">
      <c r="A4531" s="82"/>
      <c r="B4531" s="65" t="s">
        <v>467</v>
      </c>
      <c r="C4531" s="65" t="s">
        <v>120</v>
      </c>
      <c r="D4531" s="65"/>
      <c r="E4531" s="65" t="s">
        <v>3419</v>
      </c>
      <c r="F4531" s="83">
        <v>0.375</v>
      </c>
      <c r="G4531" s="83">
        <v>0.5</v>
      </c>
      <c r="H4531" s="83">
        <v>0.125</v>
      </c>
      <c r="I4531" s="84">
        <v>44512.0</v>
      </c>
      <c r="J4531" s="65" t="b">
        <v>0</v>
      </c>
      <c r="K4531" s="65"/>
      <c r="L4531" s="85" t="b">
        <f>IF(VLOOKUP(C4531,Projetos!A:L,12,false)=TRUE,TRUE,FALSE)</f>
        <v>0</v>
      </c>
      <c r="M4531" s="74">
        <v>52.1518759018759</v>
      </c>
      <c r="N4531" s="74">
        <f t="shared" si="1"/>
        <v>0</v>
      </c>
      <c r="O4531" s="74" t="b">
        <v>0</v>
      </c>
    </row>
    <row r="4532" hidden="1">
      <c r="A4532" s="82"/>
      <c r="B4532" s="65" t="s">
        <v>467</v>
      </c>
      <c r="C4532" s="65" t="s">
        <v>117</v>
      </c>
      <c r="D4532" s="65" t="str">
        <f>vlookup(C4532,'Classificação p pessoal'!F:G,2,false)</f>
        <v>NP</v>
      </c>
      <c r="E4532" s="65" t="s">
        <v>3420</v>
      </c>
      <c r="F4532" s="83">
        <v>0.4375</v>
      </c>
      <c r="G4532" s="83">
        <v>0.4791666666666667</v>
      </c>
      <c r="H4532" s="83">
        <v>0.041666666666666664</v>
      </c>
      <c r="I4532" s="84">
        <v>44510.0</v>
      </c>
      <c r="J4532" s="65" t="b">
        <v>1</v>
      </c>
      <c r="K4532" s="65"/>
      <c r="L4532" s="85" t="b">
        <f>IF(VLOOKUP(C4532,Projetos!A:L,12,false)=TRUE,TRUE,FALSE)</f>
        <v>1</v>
      </c>
      <c r="M4532" s="74">
        <v>52.1518759018759</v>
      </c>
      <c r="N4532" s="74">
        <f t="shared" si="1"/>
        <v>52.1518759</v>
      </c>
      <c r="O4532" s="74" t="b">
        <v>1</v>
      </c>
    </row>
    <row r="4533" hidden="1">
      <c r="A4533" s="82"/>
      <c r="B4533" s="65" t="s">
        <v>467</v>
      </c>
      <c r="C4533" s="65" t="s">
        <v>120</v>
      </c>
      <c r="D4533" s="65"/>
      <c r="E4533" s="65" t="s">
        <v>3421</v>
      </c>
      <c r="F4533" s="83">
        <v>0.5833333333333334</v>
      </c>
      <c r="G4533" s="83">
        <v>0.6666666666666666</v>
      </c>
      <c r="H4533" s="83">
        <v>0.08333333333333333</v>
      </c>
      <c r="I4533" s="84">
        <v>44512.0</v>
      </c>
      <c r="J4533" s="65" t="b">
        <v>0</v>
      </c>
      <c r="K4533" s="65"/>
      <c r="L4533" s="85" t="b">
        <f>IF(VLOOKUP(C4533,Projetos!A:L,12,false)=TRUE,TRUE,FALSE)</f>
        <v>0</v>
      </c>
      <c r="M4533" s="74">
        <v>52.1518759018759</v>
      </c>
      <c r="N4533" s="74">
        <f t="shared" si="1"/>
        <v>0</v>
      </c>
      <c r="O4533" s="74" t="b">
        <v>0</v>
      </c>
    </row>
    <row r="4534" hidden="1">
      <c r="A4534" s="82"/>
      <c r="B4534" s="65" t="s">
        <v>467</v>
      </c>
      <c r="C4534" s="65" t="s">
        <v>92</v>
      </c>
      <c r="D4534" s="65" t="str">
        <f>vlookup(C4534,'Classificação p pessoal'!F:G,2,false)</f>
        <v/>
      </c>
      <c r="E4534" s="65" t="s">
        <v>3422</v>
      </c>
      <c r="F4534" s="83">
        <v>0.34375</v>
      </c>
      <c r="G4534" s="83">
        <v>0.3645833333333333</v>
      </c>
      <c r="H4534" s="83">
        <v>0.020833333333333332</v>
      </c>
      <c r="I4534" s="84">
        <v>44516.0</v>
      </c>
      <c r="J4534" s="65" t="b">
        <v>1</v>
      </c>
      <c r="K4534" s="65"/>
      <c r="L4534" s="85" t="b">
        <f>IF(VLOOKUP(C4534,Projetos!A:L,12,false)=TRUE,TRUE,FALSE)</f>
        <v>1</v>
      </c>
      <c r="M4534" s="74">
        <v>52.1518759018759</v>
      </c>
      <c r="N4534" s="74">
        <f t="shared" si="1"/>
        <v>26.07593795</v>
      </c>
      <c r="O4534" s="74" t="b">
        <v>1</v>
      </c>
    </row>
    <row r="4535" hidden="1">
      <c r="A4535" s="82"/>
      <c r="B4535" s="65" t="s">
        <v>467</v>
      </c>
      <c r="C4535" s="65" t="s">
        <v>106</v>
      </c>
      <c r="D4535" s="65" t="str">
        <f>vlookup(C4535,'Classificação p pessoal'!F:G,2,false)</f>
        <v>MProcesso</v>
      </c>
      <c r="E4535" s="65" t="s">
        <v>675</v>
      </c>
      <c r="F4535" s="83">
        <v>0.3645833333333333</v>
      </c>
      <c r="G4535" s="83">
        <v>0.3958333333333333</v>
      </c>
      <c r="H4535" s="83">
        <v>0.03125</v>
      </c>
      <c r="I4535" s="84">
        <v>44516.0</v>
      </c>
      <c r="J4535" s="65" t="b">
        <v>1</v>
      </c>
      <c r="K4535" s="65"/>
      <c r="L4535" s="85" t="b">
        <f>IF(VLOOKUP(C4535,Projetos!A:L,12,false)=TRUE,TRUE,FALSE)</f>
        <v>1</v>
      </c>
      <c r="M4535" s="74">
        <v>52.1518759018759</v>
      </c>
      <c r="N4535" s="74">
        <f t="shared" si="1"/>
        <v>39.11390693</v>
      </c>
      <c r="O4535" s="74" t="b">
        <v>1</v>
      </c>
    </row>
    <row r="4536" hidden="1">
      <c r="A4536" s="82"/>
      <c r="B4536" s="65" t="s">
        <v>467</v>
      </c>
      <c r="C4536" s="65" t="s">
        <v>106</v>
      </c>
      <c r="D4536" s="65" t="str">
        <f>vlookup(C4536,'Classificação p pessoal'!F:G,2,false)</f>
        <v>MProcesso</v>
      </c>
      <c r="E4536" s="65" t="s">
        <v>3423</v>
      </c>
      <c r="F4536" s="83">
        <v>0.3958333333333333</v>
      </c>
      <c r="G4536" s="83">
        <v>0.4375</v>
      </c>
      <c r="H4536" s="83">
        <v>0.041666666666666664</v>
      </c>
      <c r="I4536" s="84">
        <v>44516.0</v>
      </c>
      <c r="J4536" s="65" t="b">
        <v>1</v>
      </c>
      <c r="K4536" s="65"/>
      <c r="L4536" s="85" t="b">
        <f>IF(VLOOKUP(C4536,Projetos!A:L,12,false)=TRUE,TRUE,FALSE)</f>
        <v>1</v>
      </c>
      <c r="M4536" s="74">
        <v>52.1518759018759</v>
      </c>
      <c r="N4536" s="74">
        <f t="shared" si="1"/>
        <v>52.1518759</v>
      </c>
      <c r="O4536" s="74" t="b">
        <v>1</v>
      </c>
    </row>
    <row r="4537" hidden="1">
      <c r="A4537" s="82"/>
      <c r="B4537" s="65" t="s">
        <v>467</v>
      </c>
      <c r="C4537" s="65" t="s">
        <v>92</v>
      </c>
      <c r="D4537" s="65" t="str">
        <f>vlookup(C4537,'Classificação p pessoal'!F:G,2,false)</f>
        <v/>
      </c>
      <c r="E4537" s="65" t="s">
        <v>3424</v>
      </c>
      <c r="F4537" s="83">
        <v>0.4375</v>
      </c>
      <c r="G4537" s="83">
        <v>0.4791666666666667</v>
      </c>
      <c r="H4537" s="83">
        <v>0.041666666666666664</v>
      </c>
      <c r="I4537" s="84">
        <v>44516.0</v>
      </c>
      <c r="J4537" s="65" t="b">
        <v>1</v>
      </c>
      <c r="K4537" s="65"/>
      <c r="L4537" s="85" t="b">
        <f>IF(VLOOKUP(C4537,Projetos!A:L,12,false)=TRUE,TRUE,FALSE)</f>
        <v>1</v>
      </c>
      <c r="M4537" s="74">
        <v>52.1518759018759</v>
      </c>
      <c r="N4537" s="74">
        <f t="shared" si="1"/>
        <v>52.1518759</v>
      </c>
      <c r="O4537" s="74" t="b">
        <v>1</v>
      </c>
    </row>
    <row r="4538" hidden="1">
      <c r="A4538" s="82"/>
      <c r="B4538" s="65" t="s">
        <v>177</v>
      </c>
      <c r="C4538" s="65" t="s">
        <v>106</v>
      </c>
      <c r="D4538" s="65"/>
      <c r="E4538" s="65" t="s">
        <v>3425</v>
      </c>
      <c r="F4538" s="83">
        <v>0.34375</v>
      </c>
      <c r="G4538" s="83">
        <v>0.3541666666666667</v>
      </c>
      <c r="H4538" s="83">
        <v>0.010416666666666666</v>
      </c>
      <c r="I4538" s="84">
        <v>44428.0</v>
      </c>
      <c r="J4538" s="65" t="b">
        <v>0</v>
      </c>
      <c r="K4538" s="65"/>
      <c r="L4538" s="85" t="b">
        <f>IF(VLOOKUP(C4538,Projetos!A:L,12,false)=TRUE,TRUE,FALSE)</f>
        <v>1</v>
      </c>
      <c r="M4538" s="74">
        <v>31.02923620430495</v>
      </c>
      <c r="N4538" s="74">
        <f t="shared" si="1"/>
        <v>0</v>
      </c>
      <c r="O4538" s="74" t="b">
        <v>1</v>
      </c>
    </row>
    <row r="4539" hidden="1">
      <c r="A4539" s="82"/>
      <c r="B4539" s="65" t="s">
        <v>467</v>
      </c>
      <c r="C4539" s="65" t="s">
        <v>130</v>
      </c>
      <c r="D4539" s="65" t="str">
        <f>vlookup(C4539,'Classificação p pessoal'!F:G,2,false)</f>
        <v>NP</v>
      </c>
      <c r="E4539" s="65" t="s">
        <v>3426</v>
      </c>
      <c r="F4539" s="83">
        <v>0.4791666666666667</v>
      </c>
      <c r="G4539" s="83">
        <v>0.5208333333333334</v>
      </c>
      <c r="H4539" s="83">
        <v>0.041666666666666664</v>
      </c>
      <c r="I4539" s="84">
        <v>44517.0</v>
      </c>
      <c r="J4539" s="65" t="b">
        <v>1</v>
      </c>
      <c r="K4539" s="65"/>
      <c r="L4539" s="85" t="b">
        <f>IF(VLOOKUP(C4539,Projetos!A:L,12,false)=TRUE,TRUE,FALSE)</f>
        <v>1</v>
      </c>
      <c r="M4539" s="74">
        <v>52.1518759018759</v>
      </c>
      <c r="N4539" s="74">
        <f t="shared" si="1"/>
        <v>52.1518759</v>
      </c>
      <c r="O4539" s="74" t="b">
        <v>1</v>
      </c>
    </row>
    <row r="4540" hidden="1">
      <c r="A4540" s="82"/>
      <c r="B4540" s="65" t="s">
        <v>177</v>
      </c>
      <c r="C4540" s="65" t="s">
        <v>130</v>
      </c>
      <c r="D4540" s="65"/>
      <c r="E4540" s="65" t="s">
        <v>3427</v>
      </c>
      <c r="F4540" s="83">
        <v>0.4479166666666667</v>
      </c>
      <c r="G4540" s="83">
        <v>0.5104166666666666</v>
      </c>
      <c r="H4540" s="83">
        <v>0.0625</v>
      </c>
      <c r="I4540" s="84">
        <v>44433.0</v>
      </c>
      <c r="J4540" s="65" t="b">
        <v>0</v>
      </c>
      <c r="K4540" s="65"/>
      <c r="L4540" s="85" t="b">
        <f>IF(VLOOKUP(C4540,Projetos!A:L,12,false)=TRUE,TRUE,FALSE)</f>
        <v>1</v>
      </c>
      <c r="M4540" s="74">
        <v>31.02923620430495</v>
      </c>
      <c r="N4540" s="74">
        <f t="shared" si="1"/>
        <v>0</v>
      </c>
      <c r="O4540" s="74" t="b">
        <v>1</v>
      </c>
    </row>
    <row r="4541" hidden="1">
      <c r="A4541" s="82"/>
      <c r="B4541" s="65" t="s">
        <v>177</v>
      </c>
      <c r="C4541" s="65" t="s">
        <v>118</v>
      </c>
      <c r="D4541" s="65"/>
      <c r="E4541" s="65" t="s">
        <v>3428</v>
      </c>
      <c r="F4541" s="83">
        <v>0.7083333333333334</v>
      </c>
      <c r="G4541" s="83">
        <v>0.7395833333333334</v>
      </c>
      <c r="H4541" s="83">
        <v>0.03125</v>
      </c>
      <c r="I4541" s="84">
        <v>44509.0</v>
      </c>
      <c r="J4541" s="65" t="b">
        <v>0</v>
      </c>
      <c r="K4541" s="65"/>
      <c r="L4541" s="85" t="b">
        <f>IF(VLOOKUP(C4541,Projetos!A:L,12,false)=TRUE,TRUE,FALSE)</f>
        <v>1</v>
      </c>
      <c r="M4541" s="74">
        <v>31.02923620430495</v>
      </c>
      <c r="N4541" s="74">
        <f t="shared" si="1"/>
        <v>0</v>
      </c>
      <c r="O4541" s="74" t="b">
        <v>1</v>
      </c>
    </row>
    <row r="4542" hidden="1">
      <c r="A4542" s="82"/>
      <c r="B4542" s="65" t="s">
        <v>467</v>
      </c>
      <c r="C4542" s="65" t="s">
        <v>113</v>
      </c>
      <c r="D4542" s="65" t="str">
        <f>vlookup(C4542,'Classificação p pessoal'!F:G,2,false)</f>
        <v>NP</v>
      </c>
      <c r="E4542" s="65" t="s">
        <v>3429</v>
      </c>
      <c r="F4542" s="83">
        <v>0.3541666666666667</v>
      </c>
      <c r="G4542" s="83">
        <v>0.4166666666666667</v>
      </c>
      <c r="H4542" s="83">
        <v>0.0625</v>
      </c>
      <c r="I4542" s="84">
        <v>44519.0</v>
      </c>
      <c r="J4542" s="65" t="b">
        <v>1</v>
      </c>
      <c r="K4542" s="65"/>
      <c r="L4542" s="85" t="b">
        <f>IF(VLOOKUP(C4542,Projetos!A:L,12,false)=TRUE,TRUE,FALSE)</f>
        <v>1</v>
      </c>
      <c r="M4542" s="74">
        <v>52.1518759018759</v>
      </c>
      <c r="N4542" s="74">
        <f t="shared" si="1"/>
        <v>78.22781385</v>
      </c>
      <c r="O4542" s="74" t="b">
        <v>1</v>
      </c>
    </row>
    <row r="4543" hidden="1">
      <c r="A4543" s="82"/>
      <c r="B4543" s="65" t="s">
        <v>467</v>
      </c>
      <c r="C4543" s="65" t="s">
        <v>88</v>
      </c>
      <c r="D4543" s="65" t="str">
        <f>vlookup(C4543,'Classificação p pessoal'!F:G,2,false)</f>
        <v>MProduto</v>
      </c>
      <c r="E4543" s="65" t="s">
        <v>3430</v>
      </c>
      <c r="F4543" s="83">
        <v>0.4166666666666667</v>
      </c>
      <c r="G4543" s="83">
        <v>0.4375</v>
      </c>
      <c r="H4543" s="83">
        <v>0.020833333333333332</v>
      </c>
      <c r="I4543" s="84">
        <v>44519.0</v>
      </c>
      <c r="J4543" s="65" t="b">
        <v>1</v>
      </c>
      <c r="K4543" s="65"/>
      <c r="L4543" s="85" t="b">
        <f>IF(VLOOKUP(C4543,Projetos!A:L,12,false)=TRUE,TRUE,FALSE)</f>
        <v>1</v>
      </c>
      <c r="M4543" s="74">
        <v>52.1518759018759</v>
      </c>
      <c r="N4543" s="74">
        <f t="shared" si="1"/>
        <v>26.07593795</v>
      </c>
      <c r="O4543" s="74" t="b">
        <v>1</v>
      </c>
    </row>
    <row r="4544" hidden="1">
      <c r="A4544" s="82"/>
      <c r="B4544" s="65" t="s">
        <v>467</v>
      </c>
      <c r="C4544" s="65" t="s">
        <v>120</v>
      </c>
      <c r="D4544" s="65"/>
      <c r="E4544" s="65" t="s">
        <v>3431</v>
      </c>
      <c r="F4544" s="83">
        <v>0.4375</v>
      </c>
      <c r="G4544" s="83">
        <v>0.5208333333333334</v>
      </c>
      <c r="H4544" s="83">
        <v>0.08333333333333333</v>
      </c>
      <c r="I4544" s="84">
        <v>44519.0</v>
      </c>
      <c r="J4544" s="65" t="b">
        <v>0</v>
      </c>
      <c r="K4544" s="65"/>
      <c r="L4544" s="85" t="b">
        <f>IF(VLOOKUP(C4544,Projetos!A:L,12,false)=TRUE,TRUE,FALSE)</f>
        <v>0</v>
      </c>
      <c r="M4544" s="74">
        <v>52.1518759018759</v>
      </c>
      <c r="N4544" s="74">
        <f t="shared" si="1"/>
        <v>0</v>
      </c>
      <c r="O4544" s="74" t="b">
        <v>0</v>
      </c>
    </row>
    <row r="4545" hidden="1">
      <c r="A4545" s="82"/>
      <c r="B4545" s="65" t="s">
        <v>467</v>
      </c>
      <c r="C4545" s="65" t="s">
        <v>121</v>
      </c>
      <c r="D4545" s="65" t="str">
        <f>vlookup(C4545,'Classificação p pessoal'!F:G,2,false)</f>
        <v>NP</v>
      </c>
      <c r="E4545" s="65" t="s">
        <v>3432</v>
      </c>
      <c r="F4545" s="83">
        <v>0.5833333333333334</v>
      </c>
      <c r="G4545" s="83">
        <v>0.7569444444444444</v>
      </c>
      <c r="H4545" s="83">
        <v>0.1736111111111111</v>
      </c>
      <c r="I4545" s="84">
        <v>44519.0</v>
      </c>
      <c r="J4545" s="65" t="b">
        <v>1</v>
      </c>
      <c r="K4545" s="65"/>
      <c r="L4545" s="85" t="b">
        <f>IF(VLOOKUP(C4545,Projetos!A:L,12,false)=TRUE,TRUE,FALSE)</f>
        <v>1</v>
      </c>
      <c r="M4545" s="74">
        <v>52.1518759018759</v>
      </c>
      <c r="N4545" s="74">
        <f t="shared" si="1"/>
        <v>217.2994829</v>
      </c>
      <c r="O4545" s="74" t="b">
        <v>1</v>
      </c>
    </row>
    <row r="4546" hidden="1">
      <c r="A4546" s="82"/>
      <c r="B4546" s="65" t="s">
        <v>467</v>
      </c>
      <c r="C4546" s="65" t="s">
        <v>88</v>
      </c>
      <c r="D4546" s="65" t="str">
        <f>vlookup(C4546,'Classificação p pessoal'!F:G,2,false)</f>
        <v>MProduto</v>
      </c>
      <c r="E4546" s="65" t="s">
        <v>3433</v>
      </c>
      <c r="F4546" s="83">
        <v>0.3541666666666667</v>
      </c>
      <c r="G4546" s="83">
        <v>0.3958333333333333</v>
      </c>
      <c r="H4546" s="83">
        <v>0.041666666666666664</v>
      </c>
      <c r="I4546" s="84">
        <v>44522.0</v>
      </c>
      <c r="J4546" s="65" t="b">
        <v>1</v>
      </c>
      <c r="K4546" s="65"/>
      <c r="L4546" s="85" t="b">
        <f>IF(VLOOKUP(C4546,Projetos!A:L,12,false)=TRUE,TRUE,FALSE)</f>
        <v>1</v>
      </c>
      <c r="M4546" s="74">
        <v>52.1518759018759</v>
      </c>
      <c r="N4546" s="74">
        <f t="shared" si="1"/>
        <v>52.1518759</v>
      </c>
      <c r="O4546" s="74" t="b">
        <v>1</v>
      </c>
    </row>
    <row r="4547" hidden="1">
      <c r="A4547" s="82"/>
      <c r="B4547" s="65" t="s">
        <v>467</v>
      </c>
      <c r="C4547" s="65" t="s">
        <v>120</v>
      </c>
      <c r="D4547" s="65"/>
      <c r="E4547" s="65" t="s">
        <v>3434</v>
      </c>
      <c r="F4547" s="83">
        <v>0.3958333333333333</v>
      </c>
      <c r="G4547" s="83">
        <v>0.4166666666666667</v>
      </c>
      <c r="H4547" s="83">
        <v>0.020833333333333332</v>
      </c>
      <c r="I4547" s="84">
        <v>44522.0</v>
      </c>
      <c r="J4547" s="65" t="b">
        <v>0</v>
      </c>
      <c r="K4547" s="65" t="s">
        <v>150</v>
      </c>
      <c r="L4547" s="85" t="b">
        <f>IF(VLOOKUP(C4547,Projetos!A:L,12,false)=TRUE,TRUE,FALSE)</f>
        <v>0</v>
      </c>
      <c r="M4547" s="74">
        <v>52.1518759018759</v>
      </c>
      <c r="N4547" s="74">
        <f t="shared" si="1"/>
        <v>0</v>
      </c>
      <c r="O4547" s="74" t="b">
        <v>0</v>
      </c>
    </row>
    <row r="4548" hidden="1">
      <c r="A4548" s="82"/>
      <c r="B4548" s="65" t="s">
        <v>467</v>
      </c>
      <c r="C4548" s="65" t="s">
        <v>113</v>
      </c>
      <c r="D4548" s="65" t="str">
        <f>vlookup(C4548,'Classificação p pessoal'!F:G,2,false)</f>
        <v>NP</v>
      </c>
      <c r="E4548" s="65" t="s">
        <v>3435</v>
      </c>
      <c r="F4548" s="83">
        <v>0.4166666666666667</v>
      </c>
      <c r="G4548" s="83">
        <v>0.5208333333333334</v>
      </c>
      <c r="H4548" s="83">
        <v>0.10416666666666667</v>
      </c>
      <c r="I4548" s="84">
        <v>44522.0</v>
      </c>
      <c r="J4548" s="65" t="b">
        <v>1</v>
      </c>
      <c r="K4548" s="65"/>
      <c r="L4548" s="85" t="b">
        <f>IF(VLOOKUP(C4548,Projetos!A:L,12,false)=TRUE,TRUE,FALSE)</f>
        <v>1</v>
      </c>
      <c r="M4548" s="74">
        <v>52.1518759018759</v>
      </c>
      <c r="N4548" s="74">
        <f t="shared" si="1"/>
        <v>130.3796898</v>
      </c>
      <c r="O4548" s="74" t="b">
        <v>1</v>
      </c>
    </row>
    <row r="4549" hidden="1">
      <c r="A4549" s="82"/>
      <c r="B4549" s="65" t="s">
        <v>467</v>
      </c>
      <c r="C4549" s="65" t="s">
        <v>92</v>
      </c>
      <c r="D4549" s="65" t="str">
        <f>vlookup(C4549,'Classificação p pessoal'!F:G,2,false)</f>
        <v/>
      </c>
      <c r="E4549" s="65" t="s">
        <v>3436</v>
      </c>
      <c r="F4549" s="83">
        <v>0.5833333333333334</v>
      </c>
      <c r="G4549" s="83">
        <v>0.625</v>
      </c>
      <c r="H4549" s="83">
        <v>0.041666666666666664</v>
      </c>
      <c r="I4549" s="84">
        <v>44522.0</v>
      </c>
      <c r="J4549" s="65" t="b">
        <v>1</v>
      </c>
      <c r="K4549" s="65"/>
      <c r="L4549" s="85" t="b">
        <f>IF(VLOOKUP(C4549,Projetos!A:L,12,false)=TRUE,TRUE,FALSE)</f>
        <v>1</v>
      </c>
      <c r="M4549" s="74">
        <v>52.1518759018759</v>
      </c>
      <c r="N4549" s="74">
        <f t="shared" si="1"/>
        <v>52.1518759</v>
      </c>
      <c r="O4549" s="74" t="b">
        <v>1</v>
      </c>
    </row>
    <row r="4550" hidden="1">
      <c r="A4550" s="82"/>
      <c r="B4550" s="65" t="s">
        <v>467</v>
      </c>
      <c r="C4550" s="65" t="s">
        <v>129</v>
      </c>
      <c r="D4550" s="65"/>
      <c r="E4550" s="65" t="s">
        <v>3437</v>
      </c>
      <c r="F4550" s="83">
        <v>0.625</v>
      </c>
      <c r="G4550" s="83">
        <v>0.6458333333333334</v>
      </c>
      <c r="H4550" s="83">
        <v>0.020833333333333332</v>
      </c>
      <c r="I4550" s="84">
        <v>44522.0</v>
      </c>
      <c r="J4550" s="65" t="b">
        <v>0</v>
      </c>
      <c r="K4550" s="65" t="s">
        <v>150</v>
      </c>
      <c r="L4550" s="85" t="b">
        <f>IF(VLOOKUP(C4550,Projetos!A:L,12,false)=TRUE,TRUE,FALSE)</f>
        <v>1</v>
      </c>
      <c r="M4550" s="74">
        <v>52.1518759018759</v>
      </c>
      <c r="N4550" s="74">
        <f t="shared" si="1"/>
        <v>0</v>
      </c>
      <c r="O4550" s="74" t="b">
        <v>1</v>
      </c>
    </row>
    <row r="4551" hidden="1">
      <c r="A4551" s="82"/>
      <c r="B4551" s="65" t="s">
        <v>467</v>
      </c>
      <c r="C4551" s="65" t="s">
        <v>92</v>
      </c>
      <c r="D4551" s="65" t="str">
        <f>vlookup(C4551,'Classificação p pessoal'!F:G,2,false)</f>
        <v/>
      </c>
      <c r="E4551" s="65" t="s">
        <v>3438</v>
      </c>
      <c r="F4551" s="83">
        <v>0.6458333333333334</v>
      </c>
      <c r="G4551" s="83">
        <v>0.6875</v>
      </c>
      <c r="H4551" s="83">
        <v>0.041666666666666664</v>
      </c>
      <c r="I4551" s="84">
        <v>44522.0</v>
      </c>
      <c r="J4551" s="65" t="b">
        <v>1</v>
      </c>
      <c r="K4551" s="65"/>
      <c r="L4551" s="85" t="b">
        <f>IF(VLOOKUP(C4551,Projetos!A:L,12,false)=TRUE,TRUE,FALSE)</f>
        <v>1</v>
      </c>
      <c r="M4551" s="74">
        <v>52.1518759018759</v>
      </c>
      <c r="N4551" s="74">
        <f t="shared" si="1"/>
        <v>52.1518759</v>
      </c>
      <c r="O4551" s="74" t="b">
        <v>1</v>
      </c>
    </row>
    <row r="4552" hidden="1">
      <c r="A4552" s="82"/>
      <c r="B4552" s="65" t="s">
        <v>467</v>
      </c>
      <c r="C4552" s="65" t="s">
        <v>92</v>
      </c>
      <c r="D4552" s="65" t="str">
        <f>vlookup(C4552,'Classificação p pessoal'!F:G,2,false)</f>
        <v/>
      </c>
      <c r="E4552" s="65" t="s">
        <v>3439</v>
      </c>
      <c r="F4552" s="83">
        <v>0.3541666666666667</v>
      </c>
      <c r="G4552" s="83">
        <v>0.3645833333333333</v>
      </c>
      <c r="H4552" s="83">
        <v>0.010416666666666666</v>
      </c>
      <c r="I4552" s="84">
        <v>44523.0</v>
      </c>
      <c r="J4552" s="65" t="b">
        <v>1</v>
      </c>
      <c r="K4552" s="65"/>
      <c r="L4552" s="85" t="b">
        <f>IF(VLOOKUP(C4552,Projetos!A:L,12,false)=TRUE,TRUE,FALSE)</f>
        <v>1</v>
      </c>
      <c r="M4552" s="74">
        <v>52.1518759018759</v>
      </c>
      <c r="N4552" s="74">
        <f t="shared" si="1"/>
        <v>13.03796898</v>
      </c>
      <c r="O4552" s="74" t="b">
        <v>1</v>
      </c>
    </row>
    <row r="4553" hidden="1">
      <c r="A4553" s="82"/>
      <c r="B4553" s="65" t="s">
        <v>467</v>
      </c>
      <c r="C4553" s="65" t="s">
        <v>113</v>
      </c>
      <c r="D4553" s="65" t="str">
        <f>vlookup(C4553,'Classificação p pessoal'!F:G,2,false)</f>
        <v>NP</v>
      </c>
      <c r="E4553" s="65" t="s">
        <v>675</v>
      </c>
      <c r="F4553" s="83">
        <v>0.3645833333333333</v>
      </c>
      <c r="G4553" s="83">
        <v>0.3958333333333333</v>
      </c>
      <c r="H4553" s="83">
        <v>0.03125</v>
      </c>
      <c r="I4553" s="84">
        <v>44523.0</v>
      </c>
      <c r="J4553" s="65" t="b">
        <v>1</v>
      </c>
      <c r="K4553" s="65"/>
      <c r="L4553" s="85" t="b">
        <f>IF(VLOOKUP(C4553,Projetos!A:L,12,false)=TRUE,TRUE,FALSE)</f>
        <v>1</v>
      </c>
      <c r="M4553" s="74">
        <v>52.1518759018759</v>
      </c>
      <c r="N4553" s="74">
        <f t="shared" si="1"/>
        <v>39.11390693</v>
      </c>
      <c r="O4553" s="74" t="b">
        <v>1</v>
      </c>
    </row>
    <row r="4554" hidden="1">
      <c r="A4554" s="82"/>
      <c r="B4554" s="65" t="s">
        <v>467</v>
      </c>
      <c r="C4554" s="65" t="s">
        <v>129</v>
      </c>
      <c r="D4554" s="65" t="str">
        <f>vlookup(C4554,'Classificação p pessoal'!F:G,2,false)</f>
        <v>NP</v>
      </c>
      <c r="E4554" s="65" t="s">
        <v>3440</v>
      </c>
      <c r="F4554" s="83">
        <v>0.3958333333333333</v>
      </c>
      <c r="G4554" s="83">
        <v>0.5208333333333334</v>
      </c>
      <c r="H4554" s="83">
        <v>0.125</v>
      </c>
      <c r="I4554" s="84">
        <v>44523.0</v>
      </c>
      <c r="J4554" s="65" t="b">
        <v>1</v>
      </c>
      <c r="K4554" s="65"/>
      <c r="L4554" s="85" t="b">
        <f>IF(VLOOKUP(C4554,Projetos!A:L,12,false)=TRUE,TRUE,FALSE)</f>
        <v>1</v>
      </c>
      <c r="M4554" s="74">
        <v>52.1518759018759</v>
      </c>
      <c r="N4554" s="74">
        <f t="shared" si="1"/>
        <v>156.4556277</v>
      </c>
      <c r="O4554" s="74" t="b">
        <v>1</v>
      </c>
    </row>
    <row r="4555" hidden="1">
      <c r="A4555" s="82"/>
      <c r="B4555" s="65" t="s">
        <v>467</v>
      </c>
      <c r="C4555" s="65" t="s">
        <v>130</v>
      </c>
      <c r="D4555" s="65" t="str">
        <f>vlookup(C4555,'Classificação p pessoal'!F:G,2,false)</f>
        <v>NP</v>
      </c>
      <c r="E4555" s="65" t="s">
        <v>3441</v>
      </c>
      <c r="F4555" s="83">
        <v>0.5625</v>
      </c>
      <c r="G4555" s="83">
        <v>0.625</v>
      </c>
      <c r="H4555" s="83">
        <v>0.0625</v>
      </c>
      <c r="I4555" s="84">
        <v>44523.0</v>
      </c>
      <c r="J4555" s="65" t="b">
        <v>1</v>
      </c>
      <c r="K4555" s="65"/>
      <c r="L4555" s="85" t="b">
        <f>IF(VLOOKUP(C4555,Projetos!A:L,12,false)=TRUE,TRUE,FALSE)</f>
        <v>1</v>
      </c>
      <c r="M4555" s="74">
        <v>52.1518759018759</v>
      </c>
      <c r="N4555" s="74">
        <f t="shared" si="1"/>
        <v>78.22781385</v>
      </c>
      <c r="O4555" s="74" t="b">
        <v>1</v>
      </c>
    </row>
    <row r="4556" hidden="1">
      <c r="A4556" s="82"/>
      <c r="B4556" s="65" t="s">
        <v>467</v>
      </c>
      <c r="C4556" s="65" t="s">
        <v>121</v>
      </c>
      <c r="D4556" s="65" t="str">
        <f>vlookup(C4556,'Classificação p pessoal'!F:G,2,false)</f>
        <v>NP</v>
      </c>
      <c r="E4556" s="65" t="s">
        <v>3442</v>
      </c>
      <c r="F4556" s="83">
        <v>0.625</v>
      </c>
      <c r="G4556" s="83">
        <v>0.7083333333333334</v>
      </c>
      <c r="H4556" s="83">
        <v>0.08333333333333333</v>
      </c>
      <c r="I4556" s="84">
        <v>44523.0</v>
      </c>
      <c r="J4556" s="65" t="b">
        <v>1</v>
      </c>
      <c r="K4556" s="65"/>
      <c r="L4556" s="85" t="b">
        <f>IF(VLOOKUP(C4556,Projetos!A:L,12,false)=TRUE,TRUE,FALSE)</f>
        <v>1</v>
      </c>
      <c r="M4556" s="74">
        <v>52.1518759018759</v>
      </c>
      <c r="N4556" s="74">
        <f t="shared" si="1"/>
        <v>104.3037518</v>
      </c>
      <c r="O4556" s="74" t="b">
        <v>1</v>
      </c>
    </row>
    <row r="4557" hidden="1">
      <c r="A4557" s="82"/>
      <c r="B4557" s="65" t="s">
        <v>467</v>
      </c>
      <c r="C4557" s="65" t="s">
        <v>130</v>
      </c>
      <c r="D4557" s="65"/>
      <c r="E4557" s="65" t="s">
        <v>3443</v>
      </c>
      <c r="F4557" s="83">
        <v>0.3541666666666667</v>
      </c>
      <c r="G4557" s="83">
        <v>0.4166666666666667</v>
      </c>
      <c r="H4557" s="83">
        <v>0.0625</v>
      </c>
      <c r="I4557" s="84">
        <v>44524.0</v>
      </c>
      <c r="J4557" s="65" t="b">
        <v>0</v>
      </c>
      <c r="K4557" s="65" t="s">
        <v>150</v>
      </c>
      <c r="L4557" s="85" t="b">
        <f>IF(VLOOKUP(C4557,Projetos!A:L,12,false)=TRUE,TRUE,FALSE)</f>
        <v>1</v>
      </c>
      <c r="M4557" s="74">
        <v>52.1518759018759</v>
      </c>
      <c r="N4557" s="74">
        <f t="shared" si="1"/>
        <v>0</v>
      </c>
      <c r="O4557" s="74" t="b">
        <v>1</v>
      </c>
    </row>
    <row r="4558" hidden="1">
      <c r="A4558" s="82"/>
      <c r="B4558" s="65" t="s">
        <v>411</v>
      </c>
      <c r="C4558" s="65" t="s">
        <v>92</v>
      </c>
      <c r="D4558" s="65"/>
      <c r="E4558" s="65" t="s">
        <v>3444</v>
      </c>
      <c r="F4558" s="83">
        <v>0.5625</v>
      </c>
      <c r="G4558" s="83">
        <v>0.625</v>
      </c>
      <c r="H4558" s="83">
        <v>0.0625</v>
      </c>
      <c r="I4558" s="84">
        <v>44421.0</v>
      </c>
      <c r="J4558" s="65" t="b">
        <v>0</v>
      </c>
      <c r="K4558" s="65"/>
      <c r="L4558" s="85" t="b">
        <f>IF(VLOOKUP(C4558,Projetos!A:L,12,false)=TRUE,TRUE,FALSE)</f>
        <v>1</v>
      </c>
      <c r="M4558" s="74">
        <v>52.48434411075036</v>
      </c>
      <c r="N4558" s="74">
        <f t="shared" si="1"/>
        <v>0</v>
      </c>
      <c r="O4558" s="74" t="b">
        <v>1</v>
      </c>
    </row>
    <row r="4559" hidden="1">
      <c r="A4559" s="82"/>
      <c r="B4559" s="65" t="s">
        <v>467</v>
      </c>
      <c r="C4559" s="65" t="s">
        <v>113</v>
      </c>
      <c r="D4559" s="65"/>
      <c r="E4559" s="65" t="s">
        <v>3445</v>
      </c>
      <c r="F4559" s="83">
        <v>0.5833333333333334</v>
      </c>
      <c r="G4559" s="83">
        <v>0.6666666666666666</v>
      </c>
      <c r="H4559" s="83">
        <v>0.08333333333333333</v>
      </c>
      <c r="I4559" s="84">
        <v>44524.0</v>
      </c>
      <c r="J4559" s="65" t="b">
        <v>0</v>
      </c>
      <c r="K4559" s="65" t="s">
        <v>150</v>
      </c>
      <c r="L4559" s="85" t="b">
        <f>IF(VLOOKUP(C4559,Projetos!A:L,12,false)=TRUE,TRUE,FALSE)</f>
        <v>1</v>
      </c>
      <c r="M4559" s="74">
        <v>52.1518759018759</v>
      </c>
      <c r="N4559" s="74">
        <f t="shared" si="1"/>
        <v>0</v>
      </c>
      <c r="O4559" s="74" t="b">
        <v>1</v>
      </c>
    </row>
    <row r="4560" hidden="1">
      <c r="A4560" s="82"/>
      <c r="B4560" s="65" t="s">
        <v>467</v>
      </c>
      <c r="C4560" s="65" t="s">
        <v>88</v>
      </c>
      <c r="D4560" s="65" t="str">
        <f>vlookup(C4560,'Classificação p pessoal'!F:G,2,false)</f>
        <v>MProduto</v>
      </c>
      <c r="E4560" s="65" t="s">
        <v>3446</v>
      </c>
      <c r="F4560" s="83">
        <v>0.6666666666666666</v>
      </c>
      <c r="G4560" s="83">
        <v>0.7083333333333334</v>
      </c>
      <c r="H4560" s="83">
        <v>0.041666666666666664</v>
      </c>
      <c r="I4560" s="84">
        <v>44524.0</v>
      </c>
      <c r="J4560" s="65" t="b">
        <v>1</v>
      </c>
      <c r="K4560" s="65"/>
      <c r="L4560" s="85" t="b">
        <f>IF(VLOOKUP(C4560,Projetos!A:L,12,false)=TRUE,TRUE,FALSE)</f>
        <v>1</v>
      </c>
      <c r="M4560" s="74">
        <v>52.1518759018759</v>
      </c>
      <c r="N4560" s="74">
        <f t="shared" si="1"/>
        <v>52.1518759</v>
      </c>
      <c r="O4560" s="74" t="b">
        <v>1</v>
      </c>
    </row>
    <row r="4561" hidden="1">
      <c r="A4561" s="82"/>
      <c r="B4561" s="65" t="s">
        <v>467</v>
      </c>
      <c r="C4561" s="65" t="s">
        <v>120</v>
      </c>
      <c r="D4561" s="65"/>
      <c r="E4561" s="65" t="s">
        <v>3447</v>
      </c>
      <c r="F4561" s="83">
        <v>0.3541666666666667</v>
      </c>
      <c r="G4561" s="83">
        <v>0.375</v>
      </c>
      <c r="H4561" s="83">
        <v>0.020833333333333332</v>
      </c>
      <c r="I4561" s="84">
        <v>44525.0</v>
      </c>
      <c r="J4561" s="65" t="b">
        <v>0</v>
      </c>
      <c r="K4561" s="65"/>
      <c r="L4561" s="85" t="b">
        <f>IF(VLOOKUP(C4561,Projetos!A:L,12,false)=TRUE,TRUE,FALSE)</f>
        <v>0</v>
      </c>
      <c r="M4561" s="74">
        <v>52.1518759018759</v>
      </c>
      <c r="N4561" s="74">
        <f t="shared" si="1"/>
        <v>0</v>
      </c>
      <c r="O4561" s="74" t="b">
        <v>0</v>
      </c>
    </row>
    <row r="4562" hidden="1">
      <c r="A4562" s="82"/>
      <c r="B4562" s="65" t="s">
        <v>467</v>
      </c>
      <c r="C4562" s="65" t="s">
        <v>92</v>
      </c>
      <c r="D4562" s="65" t="str">
        <f>vlookup(C4562,'Classificação p pessoal'!F:G,2,false)</f>
        <v/>
      </c>
      <c r="E4562" s="65" t="s">
        <v>3448</v>
      </c>
      <c r="F4562" s="83">
        <v>0.375</v>
      </c>
      <c r="G4562" s="83">
        <v>0.3958333333333333</v>
      </c>
      <c r="H4562" s="83">
        <v>0.020833333333333332</v>
      </c>
      <c r="I4562" s="84">
        <v>44525.0</v>
      </c>
      <c r="J4562" s="65" t="b">
        <v>1</v>
      </c>
      <c r="K4562" s="65"/>
      <c r="L4562" s="85" t="b">
        <f>IF(VLOOKUP(C4562,Projetos!A:L,12,false)=TRUE,TRUE,FALSE)</f>
        <v>1</v>
      </c>
      <c r="M4562" s="74">
        <v>52.1518759018759</v>
      </c>
      <c r="N4562" s="74">
        <f t="shared" si="1"/>
        <v>26.07593795</v>
      </c>
      <c r="O4562" s="74" t="b">
        <v>1</v>
      </c>
    </row>
    <row r="4563" hidden="1">
      <c r="A4563" s="82"/>
      <c r="B4563" s="65" t="s">
        <v>467</v>
      </c>
      <c r="C4563" s="65" t="s">
        <v>92</v>
      </c>
      <c r="D4563" s="65" t="str">
        <f>vlookup(C4563,'Classificação p pessoal'!F:G,2,false)</f>
        <v/>
      </c>
      <c r="E4563" s="65" t="s">
        <v>3449</v>
      </c>
      <c r="F4563" s="83">
        <v>0.3958333333333333</v>
      </c>
      <c r="G4563" s="83">
        <v>0.4583333333333333</v>
      </c>
      <c r="H4563" s="83">
        <v>0.0625</v>
      </c>
      <c r="I4563" s="84">
        <v>44525.0</v>
      </c>
      <c r="J4563" s="65" t="b">
        <v>1</v>
      </c>
      <c r="K4563" s="65"/>
      <c r="L4563" s="85" t="b">
        <f>IF(VLOOKUP(C4563,Projetos!A:L,12,false)=TRUE,TRUE,FALSE)</f>
        <v>1</v>
      </c>
      <c r="M4563" s="74">
        <v>52.1518759018759</v>
      </c>
      <c r="N4563" s="74">
        <f t="shared" si="1"/>
        <v>78.22781385</v>
      </c>
      <c r="O4563" s="74" t="b">
        <v>1</v>
      </c>
    </row>
    <row r="4564" hidden="1">
      <c r="A4564" s="82"/>
      <c r="B4564" s="65" t="s">
        <v>467</v>
      </c>
      <c r="C4564" s="65" t="s">
        <v>120</v>
      </c>
      <c r="D4564" s="65"/>
      <c r="E4564" s="65" t="s">
        <v>3450</v>
      </c>
      <c r="F4564" s="83">
        <v>0.5833333333333334</v>
      </c>
      <c r="G4564" s="83">
        <v>0.6666666666666666</v>
      </c>
      <c r="H4564" s="83">
        <v>0.08333333333333333</v>
      </c>
      <c r="I4564" s="84">
        <v>44525.0</v>
      </c>
      <c r="J4564" s="65" t="b">
        <v>0</v>
      </c>
      <c r="K4564" s="65" t="s">
        <v>150</v>
      </c>
      <c r="L4564" s="85" t="b">
        <f>IF(VLOOKUP(C4564,Projetos!A:L,12,false)=TRUE,TRUE,FALSE)</f>
        <v>0</v>
      </c>
      <c r="M4564" s="74">
        <v>52.1518759018759</v>
      </c>
      <c r="N4564" s="74">
        <f t="shared" si="1"/>
        <v>0</v>
      </c>
      <c r="O4564" s="74" t="b">
        <v>0</v>
      </c>
    </row>
    <row r="4565" hidden="1">
      <c r="A4565" s="82"/>
      <c r="B4565" s="65" t="s">
        <v>467</v>
      </c>
      <c r="C4565" s="65" t="s">
        <v>120</v>
      </c>
      <c r="D4565" s="65"/>
      <c r="E4565" s="65" t="s">
        <v>3451</v>
      </c>
      <c r="F4565" s="83">
        <v>0.3958333333333333</v>
      </c>
      <c r="G4565" s="83">
        <v>0.4375</v>
      </c>
      <c r="H4565" s="83">
        <v>0.041666666666666664</v>
      </c>
      <c r="I4565" s="84">
        <v>44526.0</v>
      </c>
      <c r="J4565" s="65" t="b">
        <v>0</v>
      </c>
      <c r="K4565" s="65"/>
      <c r="L4565" s="85" t="b">
        <f>IF(VLOOKUP(C4565,Projetos!A:L,12,false)=TRUE,TRUE,FALSE)</f>
        <v>0</v>
      </c>
      <c r="M4565" s="74">
        <v>52.1518759018759</v>
      </c>
      <c r="N4565" s="74">
        <f t="shared" si="1"/>
        <v>0</v>
      </c>
      <c r="O4565" s="74" t="b">
        <v>0</v>
      </c>
    </row>
    <row r="4566" hidden="1">
      <c r="A4566" s="82"/>
      <c r="B4566" s="65" t="s">
        <v>467</v>
      </c>
      <c r="C4566" s="65" t="s">
        <v>113</v>
      </c>
      <c r="D4566" s="65" t="str">
        <f>vlookup(C4566,'Classificação p pessoal'!F:G,2,false)</f>
        <v>NP</v>
      </c>
      <c r="E4566" s="65" t="s">
        <v>3452</v>
      </c>
      <c r="F4566" s="83">
        <v>0.4375</v>
      </c>
      <c r="G4566" s="83">
        <v>0.4791666666666667</v>
      </c>
      <c r="H4566" s="83">
        <v>0.041666666666666664</v>
      </c>
      <c r="I4566" s="84">
        <v>44526.0</v>
      </c>
      <c r="J4566" s="65" t="b">
        <v>1</v>
      </c>
      <c r="K4566" s="65"/>
      <c r="L4566" s="85" t="b">
        <f>IF(VLOOKUP(C4566,Projetos!A:L,12,false)=TRUE,TRUE,FALSE)</f>
        <v>1</v>
      </c>
      <c r="M4566" s="74">
        <v>52.1518759018759</v>
      </c>
      <c r="N4566" s="74">
        <f t="shared" si="1"/>
        <v>52.1518759</v>
      </c>
      <c r="O4566" s="74" t="b">
        <v>1</v>
      </c>
    </row>
    <row r="4567" hidden="1">
      <c r="A4567" s="82"/>
      <c r="B4567" s="65" t="s">
        <v>467</v>
      </c>
      <c r="C4567" s="65" t="s">
        <v>92</v>
      </c>
      <c r="D4567" s="65" t="str">
        <f>vlookup(C4567,'Classificação p pessoal'!F:G,2,false)</f>
        <v/>
      </c>
      <c r="E4567" s="65" t="s">
        <v>3453</v>
      </c>
      <c r="F4567" s="83">
        <v>0.5625</v>
      </c>
      <c r="G4567" s="83">
        <v>0.75</v>
      </c>
      <c r="H4567" s="83">
        <v>0.1875</v>
      </c>
      <c r="I4567" s="84">
        <v>44526.0</v>
      </c>
      <c r="J4567" s="65" t="b">
        <v>1</v>
      </c>
      <c r="K4567" s="65"/>
      <c r="L4567" s="85" t="b">
        <f>IF(VLOOKUP(C4567,Projetos!A:L,12,false)=TRUE,TRUE,FALSE)</f>
        <v>1</v>
      </c>
      <c r="M4567" s="74">
        <v>52.1518759018759</v>
      </c>
      <c r="N4567" s="74">
        <f t="shared" si="1"/>
        <v>234.6834416</v>
      </c>
      <c r="O4567" s="74" t="b">
        <v>1</v>
      </c>
    </row>
    <row r="4568" hidden="1">
      <c r="A4568" s="82"/>
      <c r="B4568" s="65" t="s">
        <v>467</v>
      </c>
      <c r="C4568" s="65" t="s">
        <v>130</v>
      </c>
      <c r="D4568" s="65" t="str">
        <f>vlookup(C4568,'Classificação p pessoal'!F:G,2,false)</f>
        <v>NP</v>
      </c>
      <c r="E4568" s="65" t="s">
        <v>3454</v>
      </c>
      <c r="F4568" s="83">
        <v>0.3541666666666667</v>
      </c>
      <c r="G4568" s="83">
        <v>0.3958333333333333</v>
      </c>
      <c r="H4568" s="83">
        <v>0.041666666666666664</v>
      </c>
      <c r="I4568" s="84">
        <v>44529.0</v>
      </c>
      <c r="J4568" s="65" t="b">
        <v>1</v>
      </c>
      <c r="K4568" s="65"/>
      <c r="L4568" s="85" t="b">
        <f>IF(VLOOKUP(C4568,Projetos!A:L,12,false)=TRUE,TRUE,FALSE)</f>
        <v>1</v>
      </c>
      <c r="M4568" s="74">
        <v>52.1518759018759</v>
      </c>
      <c r="N4568" s="74">
        <f t="shared" si="1"/>
        <v>52.1518759</v>
      </c>
      <c r="O4568" s="74" t="b">
        <v>1</v>
      </c>
    </row>
    <row r="4569" hidden="1">
      <c r="A4569" s="82"/>
      <c r="B4569" s="65" t="s">
        <v>495</v>
      </c>
      <c r="C4569" s="65" t="s">
        <v>92</v>
      </c>
      <c r="D4569" s="65"/>
      <c r="E4569" s="65" t="s">
        <v>3455</v>
      </c>
      <c r="F4569" s="83">
        <v>0.4375</v>
      </c>
      <c r="G4569" s="83">
        <v>0.4583333333333333</v>
      </c>
      <c r="H4569" s="83">
        <v>0.020833333333333332</v>
      </c>
      <c r="I4569" s="84">
        <v>44494.0</v>
      </c>
      <c r="J4569" s="65" t="b">
        <v>0</v>
      </c>
      <c r="K4569" s="65"/>
      <c r="L4569" s="85" t="b">
        <f>IF(VLOOKUP(C4569,Projetos!A:L,12,false)=TRUE,TRUE,FALSE)</f>
        <v>1</v>
      </c>
      <c r="M4569" s="74">
        <v>73.7079846079846</v>
      </c>
      <c r="N4569" s="74">
        <f t="shared" si="1"/>
        <v>0</v>
      </c>
      <c r="O4569" s="74" t="b">
        <v>1</v>
      </c>
    </row>
    <row r="4570" hidden="1">
      <c r="A4570" s="82"/>
      <c r="B4570" s="65" t="s">
        <v>467</v>
      </c>
      <c r="C4570" s="65" t="s">
        <v>92</v>
      </c>
      <c r="D4570" s="65" t="str">
        <f>vlookup(C4570,'Classificação p pessoal'!F:G,2,false)</f>
        <v/>
      </c>
      <c r="E4570" s="65" t="s">
        <v>3456</v>
      </c>
      <c r="F4570" s="83">
        <v>0.4583333333333333</v>
      </c>
      <c r="G4570" s="83">
        <v>0.5208333333333334</v>
      </c>
      <c r="H4570" s="83">
        <v>0.0625</v>
      </c>
      <c r="I4570" s="84">
        <v>44529.0</v>
      </c>
      <c r="J4570" s="65" t="b">
        <v>1</v>
      </c>
      <c r="K4570" s="65"/>
      <c r="L4570" s="85" t="b">
        <f>IF(VLOOKUP(C4570,Projetos!A:L,12,false)=TRUE,TRUE,FALSE)</f>
        <v>1</v>
      </c>
      <c r="M4570" s="74">
        <v>52.1518759018759</v>
      </c>
      <c r="N4570" s="74">
        <f t="shared" si="1"/>
        <v>78.22781385</v>
      </c>
      <c r="O4570" s="74" t="b">
        <v>1</v>
      </c>
    </row>
    <row r="4571" hidden="1">
      <c r="A4571" s="82"/>
      <c r="B4571" s="65" t="s">
        <v>467</v>
      </c>
      <c r="C4571" s="65" t="s">
        <v>92</v>
      </c>
      <c r="D4571" s="65" t="str">
        <f>vlookup(C4571,'Classificação p pessoal'!F:G,2,false)</f>
        <v/>
      </c>
      <c r="E4571" s="65" t="s">
        <v>3457</v>
      </c>
      <c r="F4571" s="83">
        <v>0.5833333333333334</v>
      </c>
      <c r="G4571" s="83">
        <v>0.625</v>
      </c>
      <c r="H4571" s="83">
        <v>0.041666666666666664</v>
      </c>
      <c r="I4571" s="84">
        <v>44529.0</v>
      </c>
      <c r="J4571" s="65" t="b">
        <v>1</v>
      </c>
      <c r="K4571" s="65"/>
      <c r="L4571" s="85" t="b">
        <f>IF(VLOOKUP(C4571,Projetos!A:L,12,false)=TRUE,TRUE,FALSE)</f>
        <v>1</v>
      </c>
      <c r="M4571" s="74">
        <v>52.1518759018759</v>
      </c>
      <c r="N4571" s="74">
        <f t="shared" si="1"/>
        <v>52.1518759</v>
      </c>
      <c r="O4571" s="74" t="b">
        <v>1</v>
      </c>
    </row>
    <row r="4572" hidden="1">
      <c r="A4572" s="82"/>
      <c r="B4572" s="65" t="s">
        <v>467</v>
      </c>
      <c r="C4572" s="65" t="s">
        <v>92</v>
      </c>
      <c r="D4572" s="65" t="str">
        <f>vlookup(C4572,'Classificação p pessoal'!F:G,2,false)</f>
        <v/>
      </c>
      <c r="E4572" s="65" t="s">
        <v>3458</v>
      </c>
      <c r="F4572" s="83">
        <v>0.625</v>
      </c>
      <c r="G4572" s="83">
        <v>0.6666666666666666</v>
      </c>
      <c r="H4572" s="83">
        <v>0.041666666666666664</v>
      </c>
      <c r="I4572" s="84">
        <v>44529.0</v>
      </c>
      <c r="J4572" s="65" t="b">
        <v>1</v>
      </c>
      <c r="K4572" s="65"/>
      <c r="L4572" s="85" t="b">
        <f>IF(VLOOKUP(C4572,Projetos!A:L,12,false)=TRUE,TRUE,FALSE)</f>
        <v>1</v>
      </c>
      <c r="M4572" s="74">
        <v>52.1518759018759</v>
      </c>
      <c r="N4572" s="74">
        <f t="shared" si="1"/>
        <v>52.1518759</v>
      </c>
      <c r="O4572" s="74" t="b">
        <v>1</v>
      </c>
    </row>
    <row r="4573" hidden="1">
      <c r="A4573" s="82"/>
      <c r="B4573" s="65" t="s">
        <v>467</v>
      </c>
      <c r="C4573" s="65" t="s">
        <v>92</v>
      </c>
      <c r="D4573" s="65" t="str">
        <f>vlookup(C4573,'Classificação p pessoal'!F:G,2,false)</f>
        <v/>
      </c>
      <c r="E4573" s="65" t="s">
        <v>3459</v>
      </c>
      <c r="F4573" s="83">
        <v>0.6666666666666666</v>
      </c>
      <c r="G4573" s="83">
        <v>0.6805555555555556</v>
      </c>
      <c r="H4573" s="83">
        <v>0.013888888888888888</v>
      </c>
      <c r="I4573" s="84">
        <v>44529.0</v>
      </c>
      <c r="J4573" s="65" t="b">
        <v>1</v>
      </c>
      <c r="K4573" s="65"/>
      <c r="L4573" s="85" t="b">
        <f>IF(VLOOKUP(C4573,Projetos!A:L,12,false)=TRUE,TRUE,FALSE)</f>
        <v>1</v>
      </c>
      <c r="M4573" s="74">
        <v>52.1518759018759</v>
      </c>
      <c r="N4573" s="74">
        <f t="shared" si="1"/>
        <v>17.38395863</v>
      </c>
      <c r="O4573" s="74" t="b">
        <v>1</v>
      </c>
    </row>
    <row r="4574" hidden="1">
      <c r="A4574" s="82"/>
      <c r="B4574" s="65" t="s">
        <v>467</v>
      </c>
      <c r="C4574" s="65" t="s">
        <v>92</v>
      </c>
      <c r="D4574" s="65" t="str">
        <f>vlookup(C4574,'Classificação p pessoal'!F:G,2,false)</f>
        <v/>
      </c>
      <c r="E4574" s="65" t="s">
        <v>3460</v>
      </c>
      <c r="F4574" s="83">
        <v>0.6875</v>
      </c>
      <c r="G4574" s="83">
        <v>0.75</v>
      </c>
      <c r="H4574" s="83">
        <v>0.0625</v>
      </c>
      <c r="I4574" s="84">
        <v>44529.0</v>
      </c>
      <c r="J4574" s="65" t="b">
        <v>1</v>
      </c>
      <c r="K4574" s="65"/>
      <c r="L4574" s="85" t="b">
        <f>IF(VLOOKUP(C4574,Projetos!A:L,12,false)=TRUE,TRUE,FALSE)</f>
        <v>1</v>
      </c>
      <c r="M4574" s="74">
        <v>52.1518759018759</v>
      </c>
      <c r="N4574" s="74">
        <f t="shared" si="1"/>
        <v>78.22781385</v>
      </c>
      <c r="O4574" s="74" t="b">
        <v>1</v>
      </c>
    </row>
    <row r="4575" hidden="1">
      <c r="A4575" s="82"/>
      <c r="B4575" s="65" t="s">
        <v>467</v>
      </c>
      <c r="C4575" s="65" t="s">
        <v>113</v>
      </c>
      <c r="D4575" s="65"/>
      <c r="E4575" s="65" t="s">
        <v>3461</v>
      </c>
      <c r="F4575" s="83">
        <v>0.3645833333333333</v>
      </c>
      <c r="G4575" s="83">
        <v>0.4583333333333333</v>
      </c>
      <c r="H4575" s="83">
        <v>0.09375</v>
      </c>
      <c r="I4575" s="84">
        <v>44530.0</v>
      </c>
      <c r="J4575" s="65" t="b">
        <v>0</v>
      </c>
      <c r="K4575" s="65" t="s">
        <v>150</v>
      </c>
      <c r="L4575" s="85" t="b">
        <f>IF(VLOOKUP(C4575,Projetos!A:L,12,false)=TRUE,TRUE,FALSE)</f>
        <v>1</v>
      </c>
      <c r="M4575" s="74">
        <v>52.1518759018759</v>
      </c>
      <c r="N4575" s="74">
        <f t="shared" si="1"/>
        <v>0</v>
      </c>
      <c r="O4575" s="74" t="b">
        <v>1</v>
      </c>
    </row>
    <row r="4576" hidden="1">
      <c r="A4576" s="82"/>
      <c r="B4576" s="65" t="s">
        <v>467</v>
      </c>
      <c r="C4576" s="65" t="s">
        <v>113</v>
      </c>
      <c r="D4576" s="65" t="str">
        <f>vlookup(C4576,'Classificação p pessoal'!F:G,2,false)</f>
        <v>NP</v>
      </c>
      <c r="E4576" s="65" t="s">
        <v>675</v>
      </c>
      <c r="F4576" s="83">
        <v>0.34375</v>
      </c>
      <c r="G4576" s="83">
        <v>0.3645833333333333</v>
      </c>
      <c r="H4576" s="83">
        <v>0.020833333333333332</v>
      </c>
      <c r="I4576" s="84">
        <v>44530.0</v>
      </c>
      <c r="J4576" s="65" t="b">
        <v>1</v>
      </c>
      <c r="K4576" s="65"/>
      <c r="L4576" s="85" t="b">
        <f>IF(VLOOKUP(C4576,Projetos!A:L,12,false)=TRUE,TRUE,FALSE)</f>
        <v>1</v>
      </c>
      <c r="M4576" s="74">
        <v>52.1518759018759</v>
      </c>
      <c r="N4576" s="74">
        <f t="shared" si="1"/>
        <v>26.07593795</v>
      </c>
      <c r="O4576" s="74" t="b">
        <v>1</v>
      </c>
    </row>
    <row r="4577" hidden="1">
      <c r="A4577" s="82"/>
      <c r="B4577" s="65" t="s">
        <v>467</v>
      </c>
      <c r="C4577" s="65" t="s">
        <v>92</v>
      </c>
      <c r="D4577" s="65" t="str">
        <f>vlookup(C4577,'Classificação p pessoal'!F:G,2,false)</f>
        <v/>
      </c>
      <c r="E4577" s="65" t="s">
        <v>3462</v>
      </c>
      <c r="F4577" s="83">
        <v>0.4583333333333333</v>
      </c>
      <c r="G4577" s="83">
        <v>0.5</v>
      </c>
      <c r="H4577" s="83">
        <v>0.041666666666666664</v>
      </c>
      <c r="I4577" s="84">
        <v>44530.0</v>
      </c>
      <c r="J4577" s="65" t="b">
        <v>1</v>
      </c>
      <c r="K4577" s="65"/>
      <c r="L4577" s="85" t="b">
        <f>IF(VLOOKUP(C4577,Projetos!A:L,12,false)=TRUE,TRUE,FALSE)</f>
        <v>1</v>
      </c>
      <c r="M4577" s="74">
        <v>52.1518759018759</v>
      </c>
      <c r="N4577" s="74">
        <f t="shared" si="1"/>
        <v>52.1518759</v>
      </c>
      <c r="O4577" s="74" t="b">
        <v>1</v>
      </c>
    </row>
    <row r="4578" hidden="1">
      <c r="A4578" s="82"/>
      <c r="B4578" s="65" t="s">
        <v>467</v>
      </c>
      <c r="C4578" s="65" t="s">
        <v>130</v>
      </c>
      <c r="D4578" s="65" t="str">
        <f>vlookup(C4578,'Classificação p pessoal'!F:G,2,false)</f>
        <v>NP</v>
      </c>
      <c r="E4578" s="65" t="s">
        <v>3463</v>
      </c>
      <c r="F4578" s="83">
        <v>0.5833333333333334</v>
      </c>
      <c r="G4578" s="83">
        <v>0.6041666666666666</v>
      </c>
      <c r="H4578" s="83">
        <v>0.020833333333333332</v>
      </c>
      <c r="I4578" s="84">
        <v>44530.0</v>
      </c>
      <c r="J4578" s="65" t="b">
        <v>1</v>
      </c>
      <c r="K4578" s="65"/>
      <c r="L4578" s="85" t="b">
        <f>IF(VLOOKUP(C4578,Projetos!A:L,12,false)=TRUE,TRUE,FALSE)</f>
        <v>1</v>
      </c>
      <c r="M4578" s="74">
        <v>52.1518759018759</v>
      </c>
      <c r="N4578" s="74">
        <f t="shared" si="1"/>
        <v>26.07593795</v>
      </c>
      <c r="O4578" s="74" t="b">
        <v>1</v>
      </c>
    </row>
    <row r="4579" hidden="1">
      <c r="A4579" s="82"/>
      <c r="B4579" s="65" t="s">
        <v>467</v>
      </c>
      <c r="C4579" s="65" t="s">
        <v>113</v>
      </c>
      <c r="D4579" s="65" t="str">
        <f>vlookup(C4579,'Classificação p pessoal'!F:G,2,false)</f>
        <v>NP</v>
      </c>
      <c r="E4579" s="65" t="s">
        <v>3464</v>
      </c>
      <c r="F4579" s="83">
        <v>0.6666666666666666</v>
      </c>
      <c r="G4579" s="83">
        <v>0.7083333333333334</v>
      </c>
      <c r="H4579" s="83">
        <v>0.041666666666666664</v>
      </c>
      <c r="I4579" s="84">
        <v>44530.0</v>
      </c>
      <c r="J4579" s="65" t="b">
        <v>1</v>
      </c>
      <c r="K4579" s="65"/>
      <c r="L4579" s="85" t="b">
        <f>IF(VLOOKUP(C4579,Projetos!A:L,12,false)=TRUE,TRUE,FALSE)</f>
        <v>1</v>
      </c>
      <c r="M4579" s="74">
        <v>52.1518759018759</v>
      </c>
      <c r="N4579" s="74">
        <f t="shared" si="1"/>
        <v>52.1518759</v>
      </c>
      <c r="O4579" s="74" t="b">
        <v>1</v>
      </c>
    </row>
    <row r="4580" hidden="1">
      <c r="A4580" s="82"/>
      <c r="B4580" s="65" t="s">
        <v>467</v>
      </c>
      <c r="C4580" s="65" t="s">
        <v>92</v>
      </c>
      <c r="D4580" s="65" t="str">
        <f>vlookup(C4580,'Classificação p pessoal'!F:G,2,false)</f>
        <v/>
      </c>
      <c r="E4580" s="65" t="s">
        <v>3465</v>
      </c>
      <c r="F4580" s="83">
        <v>0.3541666666666667</v>
      </c>
      <c r="G4580" s="83">
        <v>0.375</v>
      </c>
      <c r="H4580" s="83">
        <v>0.020833333333333332</v>
      </c>
      <c r="I4580" s="84">
        <v>44531.0</v>
      </c>
      <c r="J4580" s="65" t="b">
        <v>1</v>
      </c>
      <c r="K4580" s="65"/>
      <c r="L4580" s="85" t="b">
        <f>IF(VLOOKUP(C4580,Projetos!A:L,12,false)=TRUE,TRUE,FALSE)</f>
        <v>1</v>
      </c>
      <c r="M4580" s="74">
        <v>52.1518759018759</v>
      </c>
      <c r="N4580" s="74">
        <f t="shared" si="1"/>
        <v>26.07593795</v>
      </c>
      <c r="O4580" s="74" t="b">
        <v>1</v>
      </c>
    </row>
    <row r="4581" hidden="1">
      <c r="A4581" s="82"/>
      <c r="B4581" s="65" t="s">
        <v>467</v>
      </c>
      <c r="C4581" s="65" t="s">
        <v>113</v>
      </c>
      <c r="D4581" s="65"/>
      <c r="E4581" s="65" t="s">
        <v>3466</v>
      </c>
      <c r="F4581" s="83">
        <v>0.3819444444444444</v>
      </c>
      <c r="G4581" s="83">
        <v>0.4375</v>
      </c>
      <c r="H4581" s="83">
        <v>0.05555555555555555</v>
      </c>
      <c r="I4581" s="84">
        <v>44531.0</v>
      </c>
      <c r="J4581" s="65" t="b">
        <v>0</v>
      </c>
      <c r="K4581" s="65" t="s">
        <v>150</v>
      </c>
      <c r="L4581" s="85" t="b">
        <f>IF(VLOOKUP(C4581,Projetos!A:L,12,false)=TRUE,TRUE,FALSE)</f>
        <v>1</v>
      </c>
      <c r="M4581" s="74">
        <v>52.1518759018759</v>
      </c>
      <c r="N4581" s="74">
        <f t="shared" si="1"/>
        <v>0</v>
      </c>
      <c r="O4581" s="74" t="b">
        <v>1</v>
      </c>
    </row>
    <row r="4582" hidden="1">
      <c r="A4582" s="82"/>
      <c r="B4582" s="65" t="s">
        <v>467</v>
      </c>
      <c r="C4582" s="65" t="s">
        <v>92</v>
      </c>
      <c r="D4582" s="65" t="str">
        <f>vlookup(C4582,'Classificação p pessoal'!F:G,2,false)</f>
        <v/>
      </c>
      <c r="E4582" s="65" t="s">
        <v>3467</v>
      </c>
      <c r="F4582" s="83">
        <v>0.5833333333333334</v>
      </c>
      <c r="G4582" s="83">
        <v>0.625</v>
      </c>
      <c r="H4582" s="83">
        <v>0.041666666666666664</v>
      </c>
      <c r="I4582" s="84">
        <v>44896.0</v>
      </c>
      <c r="J4582" s="65" t="b">
        <v>1</v>
      </c>
      <c r="K4582" s="65"/>
      <c r="L4582" s="85" t="b">
        <f>IF(VLOOKUP(C4582,Projetos!A:L,12,false)=TRUE,TRUE,FALSE)</f>
        <v>1</v>
      </c>
      <c r="M4582" s="74">
        <v>52.1518759018759</v>
      </c>
      <c r="N4582" s="74">
        <f t="shared" si="1"/>
        <v>52.1518759</v>
      </c>
      <c r="O4582" s="74" t="b">
        <v>1</v>
      </c>
    </row>
    <row r="4583" hidden="1">
      <c r="A4583" s="82"/>
      <c r="B4583" s="65" t="s">
        <v>467</v>
      </c>
      <c r="C4583" s="65" t="s">
        <v>84</v>
      </c>
      <c r="D4583" s="65"/>
      <c r="E4583" s="65" t="s">
        <v>3468</v>
      </c>
      <c r="F4583" s="83">
        <v>0.375</v>
      </c>
      <c r="G4583" s="83">
        <v>0.5</v>
      </c>
      <c r="H4583" s="83">
        <v>0.125</v>
      </c>
      <c r="I4583" s="84">
        <v>44532.0</v>
      </c>
      <c r="J4583" s="65" t="b">
        <v>0</v>
      </c>
      <c r="K4583" s="65"/>
      <c r="L4583" s="85" t="b">
        <f>IF(VLOOKUP(C4583,Projetos!A:L,12,false)=TRUE,TRUE,FALSE)</f>
        <v>0</v>
      </c>
      <c r="M4583" s="74">
        <v>52.1518759018759</v>
      </c>
      <c r="N4583" s="74">
        <f t="shared" si="1"/>
        <v>0</v>
      </c>
      <c r="O4583" s="74" t="b">
        <v>0</v>
      </c>
    </row>
    <row r="4584" hidden="1">
      <c r="A4584" s="82"/>
      <c r="B4584" s="65" t="s">
        <v>467</v>
      </c>
      <c r="C4584" s="65" t="s">
        <v>120</v>
      </c>
      <c r="D4584" s="65"/>
      <c r="E4584" s="65" t="s">
        <v>3469</v>
      </c>
      <c r="F4584" s="83">
        <v>0.5833333333333334</v>
      </c>
      <c r="G4584" s="83">
        <v>0.6666666666666666</v>
      </c>
      <c r="H4584" s="83">
        <v>0.08333333333333333</v>
      </c>
      <c r="I4584" s="84">
        <v>44532.0</v>
      </c>
      <c r="J4584" s="65" t="b">
        <v>0</v>
      </c>
      <c r="K4584" s="65" t="s">
        <v>150</v>
      </c>
      <c r="L4584" s="85" t="b">
        <f>IF(VLOOKUP(C4584,Projetos!A:L,12,false)=TRUE,TRUE,FALSE)</f>
        <v>0</v>
      </c>
      <c r="M4584" s="74">
        <v>52.1518759018759</v>
      </c>
      <c r="N4584" s="74">
        <f t="shared" si="1"/>
        <v>0</v>
      </c>
      <c r="O4584" s="74" t="b">
        <v>0</v>
      </c>
    </row>
    <row r="4585" hidden="1">
      <c r="A4585" s="82"/>
      <c r="B4585" s="65" t="s">
        <v>467</v>
      </c>
      <c r="C4585" s="65" t="s">
        <v>113</v>
      </c>
      <c r="D4585" s="65" t="str">
        <f>vlookup(C4585,'Classificação p pessoal'!F:G,2,false)</f>
        <v>NP</v>
      </c>
      <c r="E4585" s="65" t="s">
        <v>3470</v>
      </c>
      <c r="F4585" s="83">
        <v>0.6666666666666666</v>
      </c>
      <c r="G4585" s="83">
        <v>0.7083333333333334</v>
      </c>
      <c r="H4585" s="83">
        <v>0.041666666666666664</v>
      </c>
      <c r="I4585" s="84">
        <v>44532.0</v>
      </c>
      <c r="J4585" s="65" t="b">
        <v>1</v>
      </c>
      <c r="K4585" s="65"/>
      <c r="L4585" s="85" t="b">
        <f>IF(VLOOKUP(C4585,Projetos!A:L,12,false)=TRUE,TRUE,FALSE)</f>
        <v>1</v>
      </c>
      <c r="M4585" s="74">
        <v>52.1518759018759</v>
      </c>
      <c r="N4585" s="74">
        <f t="shared" si="1"/>
        <v>52.1518759</v>
      </c>
      <c r="O4585" s="74" t="b">
        <v>1</v>
      </c>
    </row>
    <row r="4586" hidden="1">
      <c r="A4586" s="82"/>
      <c r="B4586" s="65" t="s">
        <v>467</v>
      </c>
      <c r="C4586" s="65" t="s">
        <v>113</v>
      </c>
      <c r="D4586" s="65"/>
      <c r="E4586" s="65" t="s">
        <v>3471</v>
      </c>
      <c r="F4586" s="83">
        <v>0.34375</v>
      </c>
      <c r="G4586" s="83">
        <v>0.4166666666666667</v>
      </c>
      <c r="H4586" s="83">
        <v>0.07291666666666667</v>
      </c>
      <c r="I4586" s="84">
        <v>44533.0</v>
      </c>
      <c r="J4586" s="65" t="b">
        <v>0</v>
      </c>
      <c r="K4586" s="65" t="s">
        <v>150</v>
      </c>
      <c r="L4586" s="85" t="b">
        <f>IF(VLOOKUP(C4586,Projetos!A:L,12,false)=TRUE,TRUE,FALSE)</f>
        <v>1</v>
      </c>
      <c r="M4586" s="74">
        <v>52.1518759018759</v>
      </c>
      <c r="N4586" s="74">
        <f t="shared" si="1"/>
        <v>0</v>
      </c>
      <c r="O4586" s="74" t="b">
        <v>1</v>
      </c>
    </row>
    <row r="4587" hidden="1">
      <c r="A4587" s="82"/>
      <c r="B4587" s="65" t="s">
        <v>467</v>
      </c>
      <c r="C4587" s="65" t="s">
        <v>92</v>
      </c>
      <c r="D4587" s="65" t="str">
        <f>vlookup(C4587,'Classificação p pessoal'!F:G,2,false)</f>
        <v/>
      </c>
      <c r="E4587" s="65" t="s">
        <v>3472</v>
      </c>
      <c r="F4587" s="83">
        <v>0.4583333333333333</v>
      </c>
      <c r="G4587" s="83">
        <v>0.5</v>
      </c>
      <c r="H4587" s="83">
        <v>0.041666666666666664</v>
      </c>
      <c r="I4587" s="84">
        <v>44533.0</v>
      </c>
      <c r="J4587" s="65" t="b">
        <v>1</v>
      </c>
      <c r="K4587" s="65"/>
      <c r="L4587" s="85" t="b">
        <f>IF(VLOOKUP(C4587,Projetos!A:L,12,false)=TRUE,TRUE,FALSE)</f>
        <v>1</v>
      </c>
      <c r="M4587" s="74">
        <v>52.1518759018759</v>
      </c>
      <c r="N4587" s="74">
        <f t="shared" si="1"/>
        <v>52.1518759</v>
      </c>
      <c r="O4587" s="74" t="b">
        <v>1</v>
      </c>
    </row>
    <row r="4588" hidden="1">
      <c r="A4588" s="82"/>
      <c r="B4588" s="65" t="s">
        <v>467</v>
      </c>
      <c r="C4588" s="65" t="s">
        <v>92</v>
      </c>
      <c r="D4588" s="65"/>
      <c r="E4588" s="65" t="s">
        <v>3473</v>
      </c>
      <c r="F4588" s="83">
        <v>0.5625</v>
      </c>
      <c r="G4588" s="83">
        <v>0.6666666666666666</v>
      </c>
      <c r="H4588" s="83">
        <v>0.10416666666666667</v>
      </c>
      <c r="I4588" s="84">
        <v>44533.0</v>
      </c>
      <c r="J4588" s="65" t="b">
        <v>0</v>
      </c>
      <c r="K4588" s="65" t="s">
        <v>150</v>
      </c>
      <c r="L4588" s="85" t="b">
        <f>IF(VLOOKUP(C4588,Projetos!A:L,12,false)=TRUE,TRUE,FALSE)</f>
        <v>1</v>
      </c>
      <c r="M4588" s="74">
        <v>52.1518759018759</v>
      </c>
      <c r="N4588" s="74">
        <f t="shared" si="1"/>
        <v>0</v>
      </c>
      <c r="O4588" s="74" t="b">
        <v>1</v>
      </c>
    </row>
    <row r="4589" hidden="1">
      <c r="A4589" s="82"/>
      <c r="B4589" s="65" t="s">
        <v>467</v>
      </c>
      <c r="C4589" s="65" t="s">
        <v>88</v>
      </c>
      <c r="D4589" s="65" t="str">
        <f>vlookup(C4589,'Classificação p pessoal'!F:G,2,false)</f>
        <v>MProduto</v>
      </c>
      <c r="E4589" s="65" t="s">
        <v>3474</v>
      </c>
      <c r="F4589" s="83">
        <v>0.6666666666666666</v>
      </c>
      <c r="G4589" s="83">
        <v>0.6875</v>
      </c>
      <c r="H4589" s="83">
        <v>0.020833333333333332</v>
      </c>
      <c r="I4589" s="84">
        <v>44533.0</v>
      </c>
      <c r="J4589" s="65" t="b">
        <v>1</v>
      </c>
      <c r="K4589" s="65"/>
      <c r="L4589" s="85" t="b">
        <f>IF(VLOOKUP(C4589,Projetos!A:L,12,false)=TRUE,TRUE,FALSE)</f>
        <v>1</v>
      </c>
      <c r="M4589" s="74">
        <v>52.1518759018759</v>
      </c>
      <c r="N4589" s="74">
        <f t="shared" si="1"/>
        <v>26.07593795</v>
      </c>
      <c r="O4589" s="74" t="b">
        <v>1</v>
      </c>
    </row>
    <row r="4590" hidden="1">
      <c r="A4590" s="82"/>
      <c r="B4590" s="65" t="s">
        <v>467</v>
      </c>
      <c r="C4590" s="65" t="s">
        <v>113</v>
      </c>
      <c r="D4590" s="65"/>
      <c r="E4590" s="65" t="s">
        <v>3475</v>
      </c>
      <c r="F4590" s="83">
        <v>0.4166666666666667</v>
      </c>
      <c r="G4590" s="83">
        <v>0.4583333333333333</v>
      </c>
      <c r="H4590" s="83">
        <v>0.041666666666666664</v>
      </c>
      <c r="I4590" s="84">
        <v>44533.0</v>
      </c>
      <c r="J4590" s="65" t="b">
        <v>0</v>
      </c>
      <c r="K4590" s="65" t="s">
        <v>150</v>
      </c>
      <c r="L4590" s="85" t="b">
        <f>IF(VLOOKUP(C4590,Projetos!A:L,12,false)=TRUE,TRUE,FALSE)</f>
        <v>1</v>
      </c>
      <c r="M4590" s="74">
        <v>52.1518759018759</v>
      </c>
      <c r="N4590" s="74">
        <f t="shared" si="1"/>
        <v>0</v>
      </c>
      <c r="O4590" s="74" t="b">
        <v>1</v>
      </c>
    </row>
    <row r="4591" hidden="1">
      <c r="A4591" s="82"/>
      <c r="B4591" s="65" t="s">
        <v>467</v>
      </c>
      <c r="C4591" s="65" t="s">
        <v>84</v>
      </c>
      <c r="D4591" s="65"/>
      <c r="E4591" s="65" t="s">
        <v>3476</v>
      </c>
      <c r="F4591" s="83">
        <v>0.3541666666666667</v>
      </c>
      <c r="G4591" s="83">
        <v>0.4583333333333333</v>
      </c>
      <c r="H4591" s="83">
        <v>0.10416666666666667</v>
      </c>
      <c r="I4591" s="84">
        <v>44536.0</v>
      </c>
      <c r="J4591" s="65" t="b">
        <v>0</v>
      </c>
      <c r="K4591" s="65"/>
      <c r="L4591" s="85" t="b">
        <f>IF(VLOOKUP(C4591,Projetos!A:L,12,false)=TRUE,TRUE,FALSE)</f>
        <v>0</v>
      </c>
      <c r="M4591" s="74">
        <v>52.1518759018759</v>
      </c>
      <c r="N4591" s="74">
        <f t="shared" si="1"/>
        <v>0</v>
      </c>
      <c r="O4591" s="74" t="b">
        <v>0</v>
      </c>
    </row>
    <row r="4592" hidden="1">
      <c r="A4592" s="82"/>
      <c r="B4592" s="65" t="s">
        <v>467</v>
      </c>
      <c r="C4592" s="65" t="s">
        <v>92</v>
      </c>
      <c r="D4592" s="65" t="str">
        <f>vlookup(C4592,'Classificação p pessoal'!F:G,2,false)</f>
        <v/>
      </c>
      <c r="E4592" s="65" t="s">
        <v>3477</v>
      </c>
      <c r="F4592" s="83">
        <v>0.5833333333333334</v>
      </c>
      <c r="G4592" s="83">
        <v>0.7083333333333334</v>
      </c>
      <c r="H4592" s="83">
        <v>0.125</v>
      </c>
      <c r="I4592" s="84">
        <v>44536.0</v>
      </c>
      <c r="J4592" s="65" t="b">
        <v>1</v>
      </c>
      <c r="K4592" s="65"/>
      <c r="L4592" s="85" t="b">
        <f>IF(VLOOKUP(C4592,Projetos!A:L,12,false)=TRUE,TRUE,FALSE)</f>
        <v>1</v>
      </c>
      <c r="M4592" s="74">
        <v>52.1518759018759</v>
      </c>
      <c r="N4592" s="74">
        <f t="shared" si="1"/>
        <v>156.4556277</v>
      </c>
      <c r="O4592" s="74" t="b">
        <v>1</v>
      </c>
    </row>
    <row r="4593" hidden="1">
      <c r="A4593" s="82"/>
      <c r="B4593" s="65" t="s">
        <v>467</v>
      </c>
      <c r="C4593" s="65" t="s">
        <v>84</v>
      </c>
      <c r="D4593" s="65"/>
      <c r="E4593" s="65" t="s">
        <v>3478</v>
      </c>
      <c r="F4593" s="83">
        <v>0.3541666666666667</v>
      </c>
      <c r="G4593" s="83">
        <v>0.4375</v>
      </c>
      <c r="H4593" s="83">
        <v>0.08333333333333333</v>
      </c>
      <c r="I4593" s="84">
        <v>44537.0</v>
      </c>
      <c r="J4593" s="65" t="b">
        <v>0</v>
      </c>
      <c r="K4593" s="65"/>
      <c r="L4593" s="85" t="b">
        <f>IF(VLOOKUP(C4593,Projetos!A:L,12,false)=TRUE,TRUE,FALSE)</f>
        <v>0</v>
      </c>
      <c r="M4593" s="74">
        <v>52.1518759018759</v>
      </c>
      <c r="N4593" s="74">
        <f t="shared" si="1"/>
        <v>0</v>
      </c>
      <c r="O4593" s="74" t="b">
        <v>0</v>
      </c>
    </row>
    <row r="4594" hidden="1">
      <c r="A4594" s="82"/>
      <c r="B4594" s="65" t="s">
        <v>495</v>
      </c>
      <c r="C4594" s="65" t="s">
        <v>91</v>
      </c>
      <c r="D4594" s="65"/>
      <c r="E4594" s="65" t="s">
        <v>3479</v>
      </c>
      <c r="F4594" s="83">
        <v>0.3541666666666667</v>
      </c>
      <c r="G4594" s="83">
        <v>0.4166666666666667</v>
      </c>
      <c r="H4594" s="83">
        <v>0.0625</v>
      </c>
      <c r="I4594" s="84">
        <v>44523.0</v>
      </c>
      <c r="J4594" s="65" t="b">
        <v>0</v>
      </c>
      <c r="K4594" s="65"/>
      <c r="L4594" s="85" t="b">
        <f>IF(VLOOKUP(C4594,Projetos!A:L,12,false)=TRUE,TRUE,FALSE)</f>
        <v>1</v>
      </c>
      <c r="M4594" s="74">
        <v>73.7079846079846</v>
      </c>
      <c r="N4594" s="74">
        <f t="shared" si="1"/>
        <v>0</v>
      </c>
      <c r="O4594" s="74" t="b">
        <v>1</v>
      </c>
    </row>
    <row r="4595" hidden="1">
      <c r="A4595" s="82"/>
      <c r="B4595" s="65" t="s">
        <v>467</v>
      </c>
      <c r="C4595" s="65" t="s">
        <v>84</v>
      </c>
      <c r="D4595" s="65"/>
      <c r="E4595" s="65" t="s">
        <v>3480</v>
      </c>
      <c r="F4595" s="83">
        <v>0.5833333333333334</v>
      </c>
      <c r="G4595" s="83">
        <v>0.625</v>
      </c>
      <c r="H4595" s="83">
        <v>0.041666666666666664</v>
      </c>
      <c r="I4595" s="84">
        <v>44537.0</v>
      </c>
      <c r="J4595" s="65" t="b">
        <v>0</v>
      </c>
      <c r="K4595" s="65"/>
      <c r="L4595" s="85" t="b">
        <f>IF(VLOOKUP(C4595,Projetos!A:L,12,false)=TRUE,TRUE,FALSE)</f>
        <v>0</v>
      </c>
      <c r="M4595" s="74">
        <v>52.1518759018759</v>
      </c>
      <c r="N4595" s="74">
        <f t="shared" si="1"/>
        <v>0</v>
      </c>
      <c r="O4595" s="74" t="b">
        <v>0</v>
      </c>
    </row>
    <row r="4596" hidden="1">
      <c r="A4596" s="82"/>
      <c r="B4596" s="65" t="s">
        <v>467</v>
      </c>
      <c r="C4596" s="65" t="s">
        <v>120</v>
      </c>
      <c r="D4596" s="65"/>
      <c r="E4596" s="65" t="s">
        <v>3469</v>
      </c>
      <c r="F4596" s="83">
        <v>0.5833333333333334</v>
      </c>
      <c r="G4596" s="83">
        <v>0.7083333333333334</v>
      </c>
      <c r="H4596" s="83">
        <v>0.125</v>
      </c>
      <c r="I4596" s="84">
        <v>44538.0</v>
      </c>
      <c r="J4596" s="65" t="b">
        <v>0</v>
      </c>
      <c r="K4596" s="65" t="s">
        <v>150</v>
      </c>
      <c r="L4596" s="85" t="b">
        <f>IF(VLOOKUP(C4596,Projetos!A:L,12,false)=TRUE,TRUE,FALSE)</f>
        <v>0</v>
      </c>
      <c r="M4596" s="74">
        <v>52.1518759018759</v>
      </c>
      <c r="N4596" s="74">
        <f t="shared" si="1"/>
        <v>0</v>
      </c>
      <c r="O4596" s="74" t="b">
        <v>0</v>
      </c>
    </row>
    <row r="4597" hidden="1">
      <c r="A4597" s="82"/>
      <c r="B4597" s="65" t="s">
        <v>495</v>
      </c>
      <c r="C4597" s="65" t="s">
        <v>108</v>
      </c>
      <c r="D4597" s="65"/>
      <c r="E4597" s="65" t="s">
        <v>3481</v>
      </c>
      <c r="F4597" s="83">
        <v>0.3541666666666667</v>
      </c>
      <c r="G4597" s="83">
        <v>0.4166666666666667</v>
      </c>
      <c r="H4597" s="83">
        <v>0.0625</v>
      </c>
      <c r="I4597" s="84">
        <v>44461.0</v>
      </c>
      <c r="J4597" s="65" t="b">
        <v>0</v>
      </c>
      <c r="K4597" s="65"/>
      <c r="L4597" s="85" t="b">
        <f>IF(VLOOKUP(C4597,Projetos!A:L,12,false)=TRUE,TRUE,FALSE)</f>
        <v>1</v>
      </c>
      <c r="M4597" s="74">
        <v>73.7079846079846</v>
      </c>
      <c r="N4597" s="74">
        <f t="shared" si="1"/>
        <v>0</v>
      </c>
      <c r="O4597" s="74" t="b">
        <v>1</v>
      </c>
    </row>
    <row r="4598" hidden="1">
      <c r="A4598" s="82"/>
      <c r="B4598" s="65" t="s">
        <v>467</v>
      </c>
      <c r="C4598" s="65" t="s">
        <v>120</v>
      </c>
      <c r="D4598" s="65"/>
      <c r="E4598" s="65" t="s">
        <v>3469</v>
      </c>
      <c r="F4598" s="83">
        <v>0.5833333333333334</v>
      </c>
      <c r="G4598" s="83">
        <v>0.6909722222222222</v>
      </c>
      <c r="H4598" s="83">
        <v>0.1076388888888889</v>
      </c>
      <c r="I4598" s="84">
        <v>44539.0</v>
      </c>
      <c r="J4598" s="65" t="b">
        <v>0</v>
      </c>
      <c r="K4598" s="65" t="s">
        <v>150</v>
      </c>
      <c r="L4598" s="85" t="b">
        <f>IF(VLOOKUP(C4598,Projetos!A:L,12,false)=TRUE,TRUE,FALSE)</f>
        <v>0</v>
      </c>
      <c r="M4598" s="74">
        <v>52.1518759018759</v>
      </c>
      <c r="N4598" s="74">
        <f t="shared" si="1"/>
        <v>0</v>
      </c>
      <c r="O4598" s="74" t="b">
        <v>0</v>
      </c>
    </row>
    <row r="4599" hidden="1">
      <c r="A4599" s="82"/>
      <c r="B4599" s="65" t="s">
        <v>467</v>
      </c>
      <c r="C4599" s="65" t="s">
        <v>84</v>
      </c>
      <c r="D4599" s="65"/>
      <c r="E4599" s="65" t="s">
        <v>3482</v>
      </c>
      <c r="F4599" s="83">
        <v>0.3541666666666667</v>
      </c>
      <c r="G4599" s="83">
        <v>0.375</v>
      </c>
      <c r="H4599" s="83">
        <v>0.020833333333333332</v>
      </c>
      <c r="I4599" s="84">
        <v>44905.0</v>
      </c>
      <c r="J4599" s="65" t="b">
        <v>0</v>
      </c>
      <c r="K4599" s="65" t="s">
        <v>150</v>
      </c>
      <c r="L4599" s="85" t="b">
        <f>IF(VLOOKUP(C4599,Projetos!A:L,12,false)=TRUE,TRUE,FALSE)</f>
        <v>0</v>
      </c>
      <c r="M4599" s="74">
        <v>52.1518759018759</v>
      </c>
      <c r="N4599" s="74">
        <f t="shared" si="1"/>
        <v>0</v>
      </c>
      <c r="O4599" s="74" t="b">
        <v>0</v>
      </c>
    </row>
    <row r="4600" hidden="1">
      <c r="A4600" s="82"/>
      <c r="B4600" s="65" t="s">
        <v>467</v>
      </c>
      <c r="C4600" s="65" t="s">
        <v>120</v>
      </c>
      <c r="D4600" s="65"/>
      <c r="E4600" s="65" t="s">
        <v>3469</v>
      </c>
      <c r="F4600" s="83">
        <v>0.375</v>
      </c>
      <c r="G4600" s="83">
        <v>0.5</v>
      </c>
      <c r="H4600" s="83">
        <v>0.125</v>
      </c>
      <c r="I4600" s="84">
        <v>44540.0</v>
      </c>
      <c r="J4600" s="65" t="b">
        <v>0</v>
      </c>
      <c r="K4600" s="65" t="s">
        <v>150</v>
      </c>
      <c r="L4600" s="85" t="b">
        <f>IF(VLOOKUP(C4600,Projetos!A:L,12,false)=TRUE,TRUE,FALSE)</f>
        <v>0</v>
      </c>
      <c r="M4600" s="74">
        <v>52.1518759018759</v>
      </c>
      <c r="N4600" s="74">
        <f t="shared" si="1"/>
        <v>0</v>
      </c>
      <c r="O4600" s="74" t="b">
        <v>0</v>
      </c>
    </row>
    <row r="4601" hidden="1">
      <c r="A4601" s="82"/>
      <c r="B4601" s="65" t="s">
        <v>467</v>
      </c>
      <c r="C4601" s="65" t="s">
        <v>121</v>
      </c>
      <c r="D4601" s="65" t="str">
        <f>vlookup(C4601,'Classificação p pessoal'!F:G,2,false)</f>
        <v>NP</v>
      </c>
      <c r="E4601" s="65" t="s">
        <v>3483</v>
      </c>
      <c r="F4601" s="83">
        <v>0.5625</v>
      </c>
      <c r="G4601" s="83">
        <v>0.75</v>
      </c>
      <c r="H4601" s="83">
        <v>0.1875</v>
      </c>
      <c r="I4601" s="84">
        <v>44540.0</v>
      </c>
      <c r="J4601" s="65" t="b">
        <v>1</v>
      </c>
      <c r="K4601" s="65"/>
      <c r="L4601" s="85" t="b">
        <f>IF(VLOOKUP(C4601,Projetos!A:L,12,false)=TRUE,TRUE,FALSE)</f>
        <v>1</v>
      </c>
      <c r="M4601" s="74">
        <v>52.1518759018759</v>
      </c>
      <c r="N4601" s="74">
        <f t="shared" si="1"/>
        <v>234.6834416</v>
      </c>
      <c r="O4601" s="74" t="b">
        <v>1</v>
      </c>
    </row>
    <row r="4602" hidden="1">
      <c r="A4602" s="82"/>
      <c r="B4602" s="65" t="s">
        <v>467</v>
      </c>
      <c r="C4602" s="65" t="s">
        <v>84</v>
      </c>
      <c r="D4602" s="65"/>
      <c r="E4602" s="65" t="s">
        <v>3484</v>
      </c>
      <c r="F4602" s="83">
        <v>0.3611111111111111</v>
      </c>
      <c r="G4602" s="83">
        <v>0.4166666666666667</v>
      </c>
      <c r="H4602" s="83">
        <v>0.05555555555555555</v>
      </c>
      <c r="I4602" s="84">
        <v>44543.0</v>
      </c>
      <c r="J4602" s="65" t="b">
        <v>0</v>
      </c>
      <c r="K4602" s="65"/>
      <c r="L4602" s="85" t="b">
        <f>IF(VLOOKUP(C4602,Projetos!A:L,12,false)=TRUE,TRUE,FALSE)</f>
        <v>0</v>
      </c>
      <c r="M4602" s="74">
        <v>52.1518759018759</v>
      </c>
      <c r="N4602" s="74">
        <f t="shared" si="1"/>
        <v>0</v>
      </c>
      <c r="O4602" s="74" t="b">
        <v>0</v>
      </c>
    </row>
    <row r="4603" hidden="1">
      <c r="A4603" s="82"/>
      <c r="B4603" s="65" t="s">
        <v>467</v>
      </c>
      <c r="C4603" s="65" t="s">
        <v>84</v>
      </c>
      <c r="D4603" s="65"/>
      <c r="E4603" s="65" t="s">
        <v>3485</v>
      </c>
      <c r="F4603" s="83">
        <v>0.4166666666666667</v>
      </c>
      <c r="G4603" s="83">
        <v>0.5</v>
      </c>
      <c r="H4603" s="83">
        <v>0.08333333333333333</v>
      </c>
      <c r="I4603" s="84">
        <v>44543.0</v>
      </c>
      <c r="J4603" s="65" t="b">
        <v>0</v>
      </c>
      <c r="K4603" s="65"/>
      <c r="L4603" s="85" t="b">
        <f>IF(VLOOKUP(C4603,Projetos!A:L,12,false)=TRUE,TRUE,FALSE)</f>
        <v>0</v>
      </c>
      <c r="M4603" s="74">
        <v>52.1518759018759</v>
      </c>
      <c r="N4603" s="74">
        <f t="shared" si="1"/>
        <v>0</v>
      </c>
      <c r="O4603" s="74" t="b">
        <v>0</v>
      </c>
    </row>
    <row r="4604" hidden="1">
      <c r="A4604" s="82"/>
      <c r="B4604" s="65" t="s">
        <v>467</v>
      </c>
      <c r="C4604" s="65" t="s">
        <v>92</v>
      </c>
      <c r="D4604" s="65" t="str">
        <f>vlookup(C4604,'Classificação p pessoal'!F:G,2,false)</f>
        <v/>
      </c>
      <c r="E4604" s="65" t="s">
        <v>3486</v>
      </c>
      <c r="F4604" s="83">
        <v>0.5625</v>
      </c>
      <c r="G4604" s="83">
        <v>0.6041666666666666</v>
      </c>
      <c r="H4604" s="83">
        <v>0.041666666666666664</v>
      </c>
      <c r="I4604" s="84">
        <v>44543.0</v>
      </c>
      <c r="J4604" s="65" t="b">
        <v>1</v>
      </c>
      <c r="K4604" s="65"/>
      <c r="L4604" s="85" t="b">
        <f>IF(VLOOKUP(C4604,Projetos!A:L,12,false)=TRUE,TRUE,FALSE)</f>
        <v>1</v>
      </c>
      <c r="M4604" s="74">
        <v>52.1518759018759</v>
      </c>
      <c r="N4604" s="74">
        <f t="shared" si="1"/>
        <v>52.1518759</v>
      </c>
      <c r="O4604" s="74" t="b">
        <v>1</v>
      </c>
    </row>
    <row r="4605" hidden="1">
      <c r="A4605" s="82"/>
      <c r="B4605" s="65" t="s">
        <v>467</v>
      </c>
      <c r="C4605" s="65" t="s">
        <v>120</v>
      </c>
      <c r="D4605" s="65"/>
      <c r="E4605" s="65" t="s">
        <v>3469</v>
      </c>
      <c r="F4605" s="83">
        <v>0.625</v>
      </c>
      <c r="G4605" s="83">
        <v>0.7083333333333334</v>
      </c>
      <c r="H4605" s="83">
        <v>0.08333333333333333</v>
      </c>
      <c r="I4605" s="84">
        <v>44543.0</v>
      </c>
      <c r="J4605" s="65" t="b">
        <v>0</v>
      </c>
      <c r="K4605" s="65" t="s">
        <v>150</v>
      </c>
      <c r="L4605" s="85" t="b">
        <f>IF(VLOOKUP(C4605,Projetos!A:L,12,false)=TRUE,TRUE,FALSE)</f>
        <v>0</v>
      </c>
      <c r="M4605" s="74">
        <v>52.1518759018759</v>
      </c>
      <c r="N4605" s="74">
        <f t="shared" si="1"/>
        <v>0</v>
      </c>
      <c r="O4605" s="74" t="b">
        <v>0</v>
      </c>
    </row>
    <row r="4606" hidden="1">
      <c r="A4606" s="82"/>
      <c r="B4606" s="65" t="s">
        <v>467</v>
      </c>
      <c r="C4606" s="65" t="s">
        <v>92</v>
      </c>
      <c r="D4606" s="65" t="str">
        <f>vlookup(C4606,'Classificação p pessoal'!F:G,2,false)</f>
        <v/>
      </c>
      <c r="E4606" s="65" t="s">
        <v>3487</v>
      </c>
      <c r="F4606" s="83">
        <v>0.3541666666666667</v>
      </c>
      <c r="G4606" s="83">
        <v>0.4583333333333333</v>
      </c>
      <c r="H4606" s="83">
        <v>0.10416666666666667</v>
      </c>
      <c r="I4606" s="84">
        <v>44544.0</v>
      </c>
      <c r="J4606" s="65" t="b">
        <v>1</v>
      </c>
      <c r="K4606" s="65"/>
      <c r="L4606" s="85" t="b">
        <f>IF(VLOOKUP(C4606,Projetos!A:L,12,false)=TRUE,TRUE,FALSE)</f>
        <v>1</v>
      </c>
      <c r="M4606" s="74">
        <v>52.1518759018759</v>
      </c>
      <c r="N4606" s="74">
        <f t="shared" si="1"/>
        <v>130.3796898</v>
      </c>
      <c r="O4606" s="74" t="b">
        <v>1</v>
      </c>
    </row>
    <row r="4607" hidden="1">
      <c r="A4607" s="82"/>
      <c r="B4607" s="65" t="s">
        <v>467</v>
      </c>
      <c r="C4607" s="65" t="s">
        <v>92</v>
      </c>
      <c r="D4607" s="65" t="str">
        <f>vlookup(C4607,'Classificação p pessoal'!F:G,2,false)</f>
        <v/>
      </c>
      <c r="E4607" s="65" t="s">
        <v>3488</v>
      </c>
      <c r="F4607" s="83">
        <v>0.5625</v>
      </c>
      <c r="G4607" s="83">
        <v>0.5833333333333334</v>
      </c>
      <c r="H4607" s="83">
        <v>0.020833333333333332</v>
      </c>
      <c r="I4607" s="84">
        <v>44544.0</v>
      </c>
      <c r="J4607" s="65" t="b">
        <v>1</v>
      </c>
      <c r="K4607" s="65"/>
      <c r="L4607" s="85" t="b">
        <f>IF(VLOOKUP(C4607,Projetos!A:L,12,false)=TRUE,TRUE,FALSE)</f>
        <v>1</v>
      </c>
      <c r="M4607" s="74">
        <v>52.1518759018759</v>
      </c>
      <c r="N4607" s="74">
        <f t="shared" si="1"/>
        <v>26.07593795</v>
      </c>
      <c r="O4607" s="74" t="b">
        <v>1</v>
      </c>
    </row>
    <row r="4608" hidden="1">
      <c r="A4608" s="82"/>
      <c r="B4608" s="65" t="s">
        <v>467</v>
      </c>
      <c r="C4608" s="65" t="s">
        <v>120</v>
      </c>
      <c r="D4608" s="65"/>
      <c r="E4608" s="65" t="s">
        <v>3469</v>
      </c>
      <c r="F4608" s="83">
        <v>0.6458333333333334</v>
      </c>
      <c r="G4608" s="83">
        <v>0.7395833333333334</v>
      </c>
      <c r="H4608" s="83">
        <v>0.09375</v>
      </c>
      <c r="I4608" s="84">
        <v>44544.0</v>
      </c>
      <c r="J4608" s="65" t="b">
        <v>0</v>
      </c>
      <c r="K4608" s="65" t="s">
        <v>150</v>
      </c>
      <c r="L4608" s="85" t="b">
        <f>IF(VLOOKUP(C4608,Projetos!A:L,12,false)=TRUE,TRUE,FALSE)</f>
        <v>0</v>
      </c>
      <c r="M4608" s="74">
        <v>52.1518759018759</v>
      </c>
      <c r="N4608" s="74">
        <f t="shared" si="1"/>
        <v>0</v>
      </c>
      <c r="O4608" s="74" t="b">
        <v>0</v>
      </c>
    </row>
    <row r="4609" hidden="1">
      <c r="A4609" s="82"/>
      <c r="B4609" s="65" t="s">
        <v>467</v>
      </c>
      <c r="C4609" s="65" t="s">
        <v>84</v>
      </c>
      <c r="D4609" s="65"/>
      <c r="E4609" s="65" t="s">
        <v>1531</v>
      </c>
      <c r="F4609" s="83">
        <v>0.4583333333333333</v>
      </c>
      <c r="G4609" s="83">
        <v>0.5</v>
      </c>
      <c r="H4609" s="83">
        <v>0.041666666666666664</v>
      </c>
      <c r="I4609" s="84">
        <v>44544.0</v>
      </c>
      <c r="J4609" s="65" t="b">
        <v>0</v>
      </c>
      <c r="K4609" s="65"/>
      <c r="L4609" s="85" t="b">
        <f>IF(VLOOKUP(C4609,Projetos!A:L,12,false)=TRUE,TRUE,FALSE)</f>
        <v>0</v>
      </c>
      <c r="M4609" s="74">
        <v>52.1518759018759</v>
      </c>
      <c r="N4609" s="74">
        <f t="shared" si="1"/>
        <v>0</v>
      </c>
      <c r="O4609" s="74" t="b">
        <v>0</v>
      </c>
    </row>
    <row r="4610" hidden="1">
      <c r="A4610" s="82"/>
      <c r="B4610" s="65" t="s">
        <v>467</v>
      </c>
      <c r="C4610" s="65" t="s">
        <v>88</v>
      </c>
      <c r="D4610" s="65" t="str">
        <f>vlookup(C4610,'Classificação p pessoal'!F:G,2,false)</f>
        <v>MProduto</v>
      </c>
      <c r="E4610" s="65" t="s">
        <v>3489</v>
      </c>
      <c r="F4610" s="83">
        <v>0.3541666666666667</v>
      </c>
      <c r="G4610" s="83">
        <v>0.3958333333333333</v>
      </c>
      <c r="H4610" s="83">
        <v>0.041666666666666664</v>
      </c>
      <c r="I4610" s="84">
        <v>44545.0</v>
      </c>
      <c r="J4610" s="65" t="b">
        <v>1</v>
      </c>
      <c r="K4610" s="65"/>
      <c r="L4610" s="85" t="b">
        <f>IF(VLOOKUP(C4610,Projetos!A:L,12,false)=TRUE,TRUE,FALSE)</f>
        <v>1</v>
      </c>
      <c r="M4610" s="74">
        <v>52.1518759018759</v>
      </c>
      <c r="N4610" s="74">
        <f t="shared" si="1"/>
        <v>52.1518759</v>
      </c>
      <c r="O4610" s="74" t="b">
        <v>1</v>
      </c>
    </row>
    <row r="4611" hidden="1">
      <c r="A4611" s="82"/>
      <c r="B4611" s="65" t="s">
        <v>467</v>
      </c>
      <c r="C4611" s="65" t="s">
        <v>130</v>
      </c>
      <c r="D4611" s="65" t="str">
        <f>vlookup(C4611,'Classificação p pessoal'!F:G,2,false)</f>
        <v>NP</v>
      </c>
      <c r="E4611" s="65" t="s">
        <v>3490</v>
      </c>
      <c r="F4611" s="83">
        <v>0.3958333333333333</v>
      </c>
      <c r="G4611" s="83">
        <v>0.5</v>
      </c>
      <c r="H4611" s="83">
        <v>0.10416666666666667</v>
      </c>
      <c r="I4611" s="84">
        <v>44545.0</v>
      </c>
      <c r="J4611" s="65" t="b">
        <v>1</v>
      </c>
      <c r="K4611" s="65"/>
      <c r="L4611" s="85" t="b">
        <f>IF(VLOOKUP(C4611,Projetos!A:L,12,false)=TRUE,TRUE,FALSE)</f>
        <v>1</v>
      </c>
      <c r="M4611" s="74">
        <v>52.1518759018759</v>
      </c>
      <c r="N4611" s="74">
        <f t="shared" si="1"/>
        <v>130.3796898</v>
      </c>
      <c r="O4611" s="74" t="b">
        <v>1</v>
      </c>
    </row>
    <row r="4612" hidden="1">
      <c r="A4612" s="82"/>
      <c r="B4612" s="65" t="s">
        <v>467</v>
      </c>
      <c r="C4612" s="65" t="s">
        <v>92</v>
      </c>
      <c r="D4612" s="65"/>
      <c r="E4612" s="65" t="s">
        <v>3469</v>
      </c>
      <c r="F4612" s="83">
        <v>0.6041666666666666</v>
      </c>
      <c r="G4612" s="83">
        <v>0.7083333333333334</v>
      </c>
      <c r="H4612" s="83">
        <v>0.10416666666666667</v>
      </c>
      <c r="I4612" s="84">
        <v>44545.0</v>
      </c>
      <c r="J4612" s="65" t="b">
        <v>0</v>
      </c>
      <c r="K4612" s="65" t="s">
        <v>150</v>
      </c>
      <c r="L4612" s="85" t="b">
        <f>IF(VLOOKUP(C4612,Projetos!A:L,12,false)=TRUE,TRUE,FALSE)</f>
        <v>1</v>
      </c>
      <c r="M4612" s="74">
        <v>52.1518759018759</v>
      </c>
      <c r="N4612" s="74">
        <f t="shared" si="1"/>
        <v>0</v>
      </c>
      <c r="O4612" s="74" t="b">
        <v>1</v>
      </c>
    </row>
    <row r="4613" hidden="1">
      <c r="A4613" s="82"/>
      <c r="B4613" s="65" t="s">
        <v>467</v>
      </c>
      <c r="C4613" s="65" t="s">
        <v>92</v>
      </c>
      <c r="D4613" s="65" t="str">
        <f>vlookup(C4613,'Classificação p pessoal'!F:G,2,false)</f>
        <v/>
      </c>
      <c r="E4613" s="65" t="s">
        <v>3491</v>
      </c>
      <c r="F4613" s="83">
        <v>0.3541666666666667</v>
      </c>
      <c r="G4613" s="83">
        <v>0.3958333333333333</v>
      </c>
      <c r="H4613" s="83">
        <v>0.041666666666666664</v>
      </c>
      <c r="I4613" s="84">
        <v>44546.0</v>
      </c>
      <c r="J4613" s="65" t="b">
        <v>1</v>
      </c>
      <c r="K4613" s="65"/>
      <c r="L4613" s="85" t="b">
        <f>IF(VLOOKUP(C4613,Projetos!A:L,12,false)=TRUE,TRUE,FALSE)</f>
        <v>1</v>
      </c>
      <c r="M4613" s="74">
        <v>52.1518759018759</v>
      </c>
      <c r="N4613" s="74">
        <f t="shared" si="1"/>
        <v>52.1518759</v>
      </c>
      <c r="O4613" s="74" t="b">
        <v>1</v>
      </c>
    </row>
    <row r="4614" hidden="1">
      <c r="A4614" s="82"/>
      <c r="B4614" s="65" t="s">
        <v>467</v>
      </c>
      <c r="C4614" s="65" t="s">
        <v>120</v>
      </c>
      <c r="D4614" s="65"/>
      <c r="E4614" s="65" t="s">
        <v>3469</v>
      </c>
      <c r="F4614" s="83">
        <v>0.4166666666666667</v>
      </c>
      <c r="G4614" s="83">
        <v>0.4791666666666667</v>
      </c>
      <c r="H4614" s="83">
        <v>0.0625</v>
      </c>
      <c r="I4614" s="84">
        <v>44546.0</v>
      </c>
      <c r="J4614" s="65" t="b">
        <v>0</v>
      </c>
      <c r="K4614" s="65" t="s">
        <v>150</v>
      </c>
      <c r="L4614" s="85" t="b">
        <f>IF(VLOOKUP(C4614,Projetos!A:L,12,false)=TRUE,TRUE,FALSE)</f>
        <v>0</v>
      </c>
      <c r="M4614" s="74">
        <v>52.1518759018759</v>
      </c>
      <c r="N4614" s="74">
        <f t="shared" si="1"/>
        <v>0</v>
      </c>
      <c r="O4614" s="74" t="b">
        <v>0</v>
      </c>
    </row>
    <row r="4615" hidden="1">
      <c r="A4615" s="82"/>
      <c r="B4615" s="65" t="s">
        <v>495</v>
      </c>
      <c r="C4615" s="65" t="s">
        <v>92</v>
      </c>
      <c r="D4615" s="65"/>
      <c r="E4615" s="65" t="s">
        <v>3492</v>
      </c>
      <c r="F4615" s="83">
        <v>0.3333333333333333</v>
      </c>
      <c r="G4615" s="83">
        <v>0.4791666666666667</v>
      </c>
      <c r="H4615" s="83">
        <v>0.14583333333333334</v>
      </c>
      <c r="I4615" s="84">
        <v>44524.0</v>
      </c>
      <c r="J4615" s="65" t="b">
        <v>0</v>
      </c>
      <c r="K4615" s="65" t="s">
        <v>150</v>
      </c>
      <c r="L4615" s="85" t="b">
        <f>IF(VLOOKUP(C4615,Projetos!A:L,12,false)=TRUE,TRUE,FALSE)</f>
        <v>1</v>
      </c>
      <c r="M4615" s="74">
        <v>73.7079846079846</v>
      </c>
      <c r="N4615" s="74">
        <f t="shared" si="1"/>
        <v>0</v>
      </c>
      <c r="O4615" s="74" t="b">
        <v>1</v>
      </c>
    </row>
    <row r="4616" hidden="1">
      <c r="A4616" s="82"/>
      <c r="B4616" s="65" t="s">
        <v>467</v>
      </c>
      <c r="C4616" s="65" t="s">
        <v>92</v>
      </c>
      <c r="D4616" s="65" t="str">
        <f>vlookup(C4616,'Classificação p pessoal'!F:G,2,false)</f>
        <v/>
      </c>
      <c r="E4616" s="65" t="s">
        <v>3493</v>
      </c>
      <c r="F4616" s="83">
        <v>0.3958333333333333</v>
      </c>
      <c r="G4616" s="83">
        <v>0.5</v>
      </c>
      <c r="H4616" s="83">
        <v>0.10416666666666667</v>
      </c>
      <c r="I4616" s="84">
        <v>44550.0</v>
      </c>
      <c r="J4616" s="65" t="b">
        <v>1</v>
      </c>
      <c r="K4616" s="65"/>
      <c r="L4616" s="85" t="b">
        <f>IF(VLOOKUP(C4616,Projetos!A:L,12,false)=TRUE,TRUE,FALSE)</f>
        <v>1</v>
      </c>
      <c r="M4616" s="74">
        <v>52.1518759018759</v>
      </c>
      <c r="N4616" s="74">
        <f t="shared" si="1"/>
        <v>130.3796898</v>
      </c>
      <c r="O4616" s="74" t="b">
        <v>1</v>
      </c>
    </row>
    <row r="4617" hidden="1">
      <c r="A4617" s="82"/>
      <c r="B4617" s="65" t="s">
        <v>467</v>
      </c>
      <c r="C4617" s="65" t="s">
        <v>84</v>
      </c>
      <c r="D4617" s="65"/>
      <c r="E4617" s="65" t="s">
        <v>3494</v>
      </c>
      <c r="F4617" s="83">
        <v>0.375</v>
      </c>
      <c r="G4617" s="83">
        <v>0.3958333333333333</v>
      </c>
      <c r="H4617" s="83">
        <v>0.020833333333333332</v>
      </c>
      <c r="I4617" s="84">
        <v>44550.0</v>
      </c>
      <c r="J4617" s="65" t="b">
        <v>0</v>
      </c>
      <c r="K4617" s="65"/>
      <c r="L4617" s="85" t="b">
        <f>IF(VLOOKUP(C4617,Projetos!A:L,12,false)=TRUE,TRUE,FALSE)</f>
        <v>0</v>
      </c>
      <c r="M4617" s="74">
        <v>52.1518759018759</v>
      </c>
      <c r="N4617" s="74">
        <f t="shared" si="1"/>
        <v>0</v>
      </c>
      <c r="O4617" s="74" t="b">
        <v>0</v>
      </c>
    </row>
    <row r="4618" hidden="1">
      <c r="A4618" s="82"/>
      <c r="B4618" s="65" t="s">
        <v>467</v>
      </c>
      <c r="C4618" s="65" t="s">
        <v>120</v>
      </c>
      <c r="D4618" s="65"/>
      <c r="E4618" s="65" t="s">
        <v>3469</v>
      </c>
      <c r="F4618" s="83">
        <v>0.5625</v>
      </c>
      <c r="G4618" s="83">
        <v>0.625</v>
      </c>
      <c r="H4618" s="83">
        <v>0.0625</v>
      </c>
      <c r="I4618" s="84">
        <v>44550.0</v>
      </c>
      <c r="J4618" s="65" t="b">
        <v>0</v>
      </c>
      <c r="K4618" s="65" t="s">
        <v>150</v>
      </c>
      <c r="L4618" s="85" t="b">
        <f>IF(VLOOKUP(C4618,Projetos!A:L,12,false)=TRUE,TRUE,FALSE)</f>
        <v>0</v>
      </c>
      <c r="M4618" s="74">
        <v>52.1518759018759</v>
      </c>
      <c r="N4618" s="74">
        <f t="shared" si="1"/>
        <v>0</v>
      </c>
      <c r="O4618" s="74" t="b">
        <v>0</v>
      </c>
    </row>
    <row r="4619" hidden="1">
      <c r="A4619" s="82"/>
      <c r="B4619" s="65" t="s">
        <v>467</v>
      </c>
      <c r="C4619" s="65" t="s">
        <v>130</v>
      </c>
      <c r="D4619" s="65" t="str">
        <f>vlookup(C4619,'Classificação p pessoal'!F:G,2,false)</f>
        <v>NP</v>
      </c>
      <c r="E4619" s="65" t="s">
        <v>3495</v>
      </c>
      <c r="F4619" s="83">
        <v>0.625</v>
      </c>
      <c r="G4619" s="83">
        <v>0.6666666666666666</v>
      </c>
      <c r="H4619" s="83">
        <v>0.041666666666666664</v>
      </c>
      <c r="I4619" s="84">
        <v>44550.0</v>
      </c>
      <c r="J4619" s="65" t="b">
        <v>1</v>
      </c>
      <c r="K4619" s="65"/>
      <c r="L4619" s="85" t="b">
        <f>IF(VLOOKUP(C4619,Projetos!A:L,12,false)=TRUE,TRUE,FALSE)</f>
        <v>1</v>
      </c>
      <c r="M4619" s="74">
        <v>52.1518759018759</v>
      </c>
      <c r="N4619" s="74">
        <f t="shared" si="1"/>
        <v>52.1518759</v>
      </c>
      <c r="O4619" s="74" t="b">
        <v>1</v>
      </c>
    </row>
    <row r="4620" hidden="1">
      <c r="A4620" s="82"/>
      <c r="B4620" s="65" t="s">
        <v>467</v>
      </c>
      <c r="C4620" s="65" t="s">
        <v>92</v>
      </c>
      <c r="D4620" s="65" t="str">
        <f>vlookup(C4620,'Classificação p pessoal'!F:G,2,false)</f>
        <v/>
      </c>
      <c r="E4620" s="65" t="s">
        <v>3496</v>
      </c>
      <c r="F4620" s="83">
        <v>0.3541666666666667</v>
      </c>
      <c r="G4620" s="83">
        <v>0.4375</v>
      </c>
      <c r="H4620" s="83">
        <v>0.08333333333333333</v>
      </c>
      <c r="I4620" s="84">
        <v>44551.0</v>
      </c>
      <c r="J4620" s="65" t="b">
        <v>1</v>
      </c>
      <c r="K4620" s="65"/>
      <c r="L4620" s="85" t="b">
        <f>IF(VLOOKUP(C4620,Projetos!A:L,12,false)=TRUE,TRUE,FALSE)</f>
        <v>1</v>
      </c>
      <c r="M4620" s="74">
        <v>52.1518759018759</v>
      </c>
      <c r="N4620" s="74">
        <f t="shared" si="1"/>
        <v>104.3037518</v>
      </c>
      <c r="O4620" s="74" t="b">
        <v>1</v>
      </c>
    </row>
    <row r="4621" hidden="1">
      <c r="A4621" s="82"/>
      <c r="B4621" s="65" t="s">
        <v>467</v>
      </c>
      <c r="C4621" s="65" t="s">
        <v>130</v>
      </c>
      <c r="D4621" s="65" t="str">
        <f>vlookup(C4621,'Classificação p pessoal'!F:G,2,false)</f>
        <v>NP</v>
      </c>
      <c r="E4621" s="65" t="s">
        <v>3497</v>
      </c>
      <c r="F4621" s="83">
        <v>0.4375</v>
      </c>
      <c r="G4621" s="83">
        <v>0.5208333333333334</v>
      </c>
      <c r="H4621" s="83">
        <v>0.08333333333333333</v>
      </c>
      <c r="I4621" s="84">
        <v>44551.0</v>
      </c>
      <c r="J4621" s="65" t="b">
        <v>1</v>
      </c>
      <c r="K4621" s="65"/>
      <c r="L4621" s="85" t="b">
        <f>IF(VLOOKUP(C4621,Projetos!A:L,12,false)=TRUE,TRUE,FALSE)</f>
        <v>1</v>
      </c>
      <c r="M4621" s="74">
        <v>52.1518759018759</v>
      </c>
      <c r="N4621" s="74">
        <f t="shared" si="1"/>
        <v>104.3037518</v>
      </c>
      <c r="O4621" s="74" t="b">
        <v>1</v>
      </c>
    </row>
    <row r="4622" hidden="1">
      <c r="A4622" s="82"/>
      <c r="B4622" s="65" t="s">
        <v>467</v>
      </c>
      <c r="C4622" s="65" t="s">
        <v>120</v>
      </c>
      <c r="D4622" s="65"/>
      <c r="E4622" s="65" t="s">
        <v>3469</v>
      </c>
      <c r="F4622" s="83">
        <v>0.5625</v>
      </c>
      <c r="G4622" s="83">
        <v>0.6458333333333334</v>
      </c>
      <c r="H4622" s="83">
        <v>0.08333333333333333</v>
      </c>
      <c r="I4622" s="84">
        <v>44551.0</v>
      </c>
      <c r="J4622" s="65" t="b">
        <v>0</v>
      </c>
      <c r="K4622" s="65" t="s">
        <v>150</v>
      </c>
      <c r="L4622" s="85" t="b">
        <f>IF(VLOOKUP(C4622,Projetos!A:L,12,false)=TRUE,TRUE,FALSE)</f>
        <v>0</v>
      </c>
      <c r="M4622" s="74">
        <v>52.1518759018759</v>
      </c>
      <c r="N4622" s="74">
        <f t="shared" si="1"/>
        <v>0</v>
      </c>
      <c r="O4622" s="74" t="b">
        <v>0</v>
      </c>
    </row>
    <row r="4623" hidden="1">
      <c r="A4623" s="82"/>
      <c r="B4623" s="65" t="s">
        <v>467</v>
      </c>
      <c r="C4623" s="65" t="s">
        <v>84</v>
      </c>
      <c r="D4623" s="65"/>
      <c r="E4623" s="65" t="s">
        <v>3498</v>
      </c>
      <c r="F4623" s="83">
        <v>0.6666666666666666</v>
      </c>
      <c r="G4623" s="83">
        <v>0.75</v>
      </c>
      <c r="H4623" s="83">
        <v>0.08333333333333333</v>
      </c>
      <c r="I4623" s="84">
        <v>44551.0</v>
      </c>
      <c r="J4623" s="65" t="b">
        <v>0</v>
      </c>
      <c r="K4623" s="65"/>
      <c r="L4623" s="85" t="b">
        <f>IF(VLOOKUP(C4623,Projetos!A:L,12,false)=TRUE,TRUE,FALSE)</f>
        <v>0</v>
      </c>
      <c r="M4623" s="74">
        <v>52.1518759018759</v>
      </c>
      <c r="N4623" s="74">
        <f t="shared" si="1"/>
        <v>0</v>
      </c>
      <c r="O4623" s="74" t="b">
        <v>0</v>
      </c>
    </row>
    <row r="4624" hidden="1">
      <c r="A4624" s="82"/>
      <c r="B4624" s="65" t="s">
        <v>467</v>
      </c>
      <c r="C4624" s="65" t="s">
        <v>92</v>
      </c>
      <c r="D4624" s="65" t="str">
        <f>vlookup(C4624,'Classificação p pessoal'!F:G,2,false)</f>
        <v/>
      </c>
      <c r="E4624" s="65" t="s">
        <v>3499</v>
      </c>
      <c r="F4624" s="83">
        <v>0.3541666666666667</v>
      </c>
      <c r="G4624" s="83">
        <v>0.4166666666666667</v>
      </c>
      <c r="H4624" s="83">
        <v>0.0625</v>
      </c>
      <c r="I4624" s="84">
        <v>44552.0</v>
      </c>
      <c r="J4624" s="65" t="b">
        <v>1</v>
      </c>
      <c r="K4624" s="65"/>
      <c r="L4624" s="85" t="b">
        <f>IF(VLOOKUP(C4624,Projetos!A:L,12,false)=TRUE,TRUE,FALSE)</f>
        <v>1</v>
      </c>
      <c r="M4624" s="74">
        <v>52.1518759018759</v>
      </c>
      <c r="N4624" s="74">
        <f t="shared" si="1"/>
        <v>78.22781385</v>
      </c>
      <c r="O4624" s="74" t="b">
        <v>1</v>
      </c>
    </row>
    <row r="4625" hidden="1">
      <c r="A4625" s="82"/>
      <c r="B4625" s="65" t="s">
        <v>467</v>
      </c>
      <c r="C4625" s="65" t="s">
        <v>92</v>
      </c>
      <c r="D4625" s="65" t="str">
        <f>vlookup(C4625,'Classificação p pessoal'!F:G,2,false)</f>
        <v/>
      </c>
      <c r="E4625" s="65" t="s">
        <v>3500</v>
      </c>
      <c r="F4625" s="83">
        <v>0.4166666666666667</v>
      </c>
      <c r="G4625" s="83">
        <v>0.4791666666666667</v>
      </c>
      <c r="H4625" s="83">
        <v>0.0625</v>
      </c>
      <c r="I4625" s="84">
        <v>44552.0</v>
      </c>
      <c r="J4625" s="65" t="b">
        <v>1</v>
      </c>
      <c r="K4625" s="65"/>
      <c r="L4625" s="85" t="b">
        <f>IF(VLOOKUP(C4625,Projetos!A:L,12,false)=TRUE,TRUE,FALSE)</f>
        <v>1</v>
      </c>
      <c r="M4625" s="74">
        <v>52.1518759018759</v>
      </c>
      <c r="N4625" s="74">
        <f t="shared" si="1"/>
        <v>78.22781385</v>
      </c>
      <c r="O4625" s="74" t="b">
        <v>1</v>
      </c>
    </row>
    <row r="4626" hidden="1">
      <c r="A4626" s="82"/>
      <c r="B4626" s="65" t="s">
        <v>495</v>
      </c>
      <c r="C4626" s="65" t="s">
        <v>92</v>
      </c>
      <c r="D4626" s="65"/>
      <c r="E4626" s="65" t="s">
        <v>3501</v>
      </c>
      <c r="F4626" s="83">
        <v>0.4375</v>
      </c>
      <c r="G4626" s="83">
        <v>0.5</v>
      </c>
      <c r="H4626" s="83">
        <v>0.0625</v>
      </c>
      <c r="I4626" s="84">
        <v>44379.0</v>
      </c>
      <c r="J4626" s="65" t="b">
        <v>0</v>
      </c>
      <c r="K4626" s="65"/>
      <c r="L4626" s="85" t="b">
        <f>IF(VLOOKUP(C4626,Projetos!A:L,12,false)=TRUE,TRUE,FALSE)</f>
        <v>1</v>
      </c>
      <c r="M4626" s="74">
        <v>73.7079846079846</v>
      </c>
      <c r="N4626" s="74">
        <f t="shared" si="1"/>
        <v>0</v>
      </c>
      <c r="O4626" s="74" t="b">
        <v>1</v>
      </c>
    </row>
    <row r="4627" hidden="1">
      <c r="A4627" s="82"/>
      <c r="B4627" s="65" t="s">
        <v>467</v>
      </c>
      <c r="C4627" s="65" t="s">
        <v>120</v>
      </c>
      <c r="D4627" s="65"/>
      <c r="E4627" s="65" t="s">
        <v>3469</v>
      </c>
      <c r="F4627" s="83">
        <v>0.6666666666666666</v>
      </c>
      <c r="G4627" s="83">
        <v>0.75</v>
      </c>
      <c r="H4627" s="83">
        <v>0.08333333333333333</v>
      </c>
      <c r="I4627" s="84">
        <v>44552.0</v>
      </c>
      <c r="J4627" s="65" t="b">
        <v>0</v>
      </c>
      <c r="K4627" s="65" t="s">
        <v>150</v>
      </c>
      <c r="L4627" s="85" t="b">
        <f>IF(VLOOKUP(C4627,Projetos!A:L,12,false)=TRUE,TRUE,FALSE)</f>
        <v>0</v>
      </c>
      <c r="M4627" s="74">
        <v>52.1518759018759</v>
      </c>
      <c r="N4627" s="74">
        <f t="shared" si="1"/>
        <v>0</v>
      </c>
      <c r="O4627" s="74" t="b">
        <v>0</v>
      </c>
    </row>
    <row r="4628" hidden="1">
      <c r="A4628" s="82"/>
      <c r="B4628" s="65" t="s">
        <v>467</v>
      </c>
      <c r="C4628" s="65" t="s">
        <v>113</v>
      </c>
      <c r="D4628" s="65" t="str">
        <f>vlookup(C4628,'Classificação p pessoal'!F:G,2,false)</f>
        <v>NP</v>
      </c>
      <c r="E4628" s="65" t="s">
        <v>3502</v>
      </c>
      <c r="F4628" s="83">
        <v>0.3541666666666667</v>
      </c>
      <c r="G4628" s="83">
        <v>0.375</v>
      </c>
      <c r="H4628" s="83">
        <v>0.020833333333333332</v>
      </c>
      <c r="I4628" s="84">
        <v>44553.0</v>
      </c>
      <c r="J4628" s="65" t="b">
        <v>1</v>
      </c>
      <c r="K4628" s="65"/>
      <c r="L4628" s="85" t="b">
        <f>IF(VLOOKUP(C4628,Projetos!A:L,12,false)=TRUE,TRUE,FALSE)</f>
        <v>1</v>
      </c>
      <c r="M4628" s="74">
        <v>52.1518759018759</v>
      </c>
      <c r="N4628" s="74">
        <f t="shared" si="1"/>
        <v>26.07593795</v>
      </c>
      <c r="O4628" s="74" t="b">
        <v>1</v>
      </c>
    </row>
    <row r="4629" hidden="1">
      <c r="A4629" s="82"/>
      <c r="B4629" s="65" t="s">
        <v>467</v>
      </c>
      <c r="C4629" s="65" t="s">
        <v>92</v>
      </c>
      <c r="D4629" s="65" t="str">
        <f>vlookup(C4629,'Classificação p pessoal'!F:G,2,false)</f>
        <v/>
      </c>
      <c r="E4629" s="65" t="s">
        <v>3503</v>
      </c>
      <c r="F4629" s="83">
        <v>0.3958333333333333</v>
      </c>
      <c r="G4629" s="83">
        <v>0.4375</v>
      </c>
      <c r="H4629" s="83">
        <v>0.041666666666666664</v>
      </c>
      <c r="I4629" s="84">
        <v>44553.0</v>
      </c>
      <c r="J4629" s="65" t="b">
        <v>1</v>
      </c>
      <c r="K4629" s="65"/>
      <c r="L4629" s="85" t="b">
        <f>IF(VLOOKUP(C4629,Projetos!A:L,12,false)=TRUE,TRUE,FALSE)</f>
        <v>1</v>
      </c>
      <c r="M4629" s="74">
        <v>52.1518759018759</v>
      </c>
      <c r="N4629" s="74">
        <f t="shared" si="1"/>
        <v>52.1518759</v>
      </c>
      <c r="O4629" s="74" t="b">
        <v>1</v>
      </c>
    </row>
    <row r="4630" hidden="1">
      <c r="A4630" s="82"/>
      <c r="B4630" s="65" t="s">
        <v>467</v>
      </c>
      <c r="C4630" s="65" t="s">
        <v>120</v>
      </c>
      <c r="D4630" s="65"/>
      <c r="E4630" s="65" t="s">
        <v>3469</v>
      </c>
      <c r="F4630" s="83">
        <v>0.625</v>
      </c>
      <c r="G4630" s="83">
        <v>0.75</v>
      </c>
      <c r="H4630" s="83">
        <v>0.125</v>
      </c>
      <c r="I4630" s="84">
        <v>44553.0</v>
      </c>
      <c r="J4630" s="65" t="b">
        <v>0</v>
      </c>
      <c r="K4630" s="65" t="s">
        <v>150</v>
      </c>
      <c r="L4630" s="85" t="b">
        <f>IF(VLOOKUP(C4630,Projetos!A:L,12,false)=TRUE,TRUE,FALSE)</f>
        <v>0</v>
      </c>
      <c r="M4630" s="74">
        <v>52.1518759018759</v>
      </c>
      <c r="N4630" s="74">
        <f t="shared" si="1"/>
        <v>0</v>
      </c>
      <c r="O4630" s="74" t="b">
        <v>0</v>
      </c>
    </row>
    <row r="4631" hidden="1">
      <c r="A4631" s="82"/>
      <c r="B4631" s="65" t="s">
        <v>467</v>
      </c>
      <c r="C4631" s="65" t="s">
        <v>92</v>
      </c>
      <c r="D4631" s="65" t="str">
        <f>vlookup(C4631,'Classificação p pessoal'!F:G,2,false)</f>
        <v/>
      </c>
      <c r="E4631" s="65" t="s">
        <v>3504</v>
      </c>
      <c r="F4631" s="83">
        <v>0.5625</v>
      </c>
      <c r="G4631" s="83">
        <v>0.6041666666666666</v>
      </c>
      <c r="H4631" s="83">
        <v>0.041666666666666664</v>
      </c>
      <c r="I4631" s="84">
        <v>44553.0</v>
      </c>
      <c r="J4631" s="65" t="b">
        <v>1</v>
      </c>
      <c r="K4631" s="65"/>
      <c r="L4631" s="85" t="b">
        <f>IF(VLOOKUP(C4631,Projetos!A:L,12,false)=TRUE,TRUE,FALSE)</f>
        <v>1</v>
      </c>
      <c r="M4631" s="74">
        <v>52.1518759018759</v>
      </c>
      <c r="N4631" s="74">
        <f t="shared" si="1"/>
        <v>52.1518759</v>
      </c>
      <c r="O4631" s="74" t="b">
        <v>1</v>
      </c>
    </row>
    <row r="4632" hidden="1">
      <c r="A4632" s="82"/>
      <c r="B4632" s="65" t="s">
        <v>467</v>
      </c>
      <c r="C4632" s="65" t="s">
        <v>120</v>
      </c>
      <c r="D4632" s="65"/>
      <c r="E4632" s="65" t="s">
        <v>3505</v>
      </c>
      <c r="F4632" s="83">
        <v>0.375</v>
      </c>
      <c r="G4632" s="83">
        <v>0.4166666666666667</v>
      </c>
      <c r="H4632" s="83">
        <v>0.041666666666666664</v>
      </c>
      <c r="I4632" s="84">
        <v>44557.0</v>
      </c>
      <c r="J4632" s="65" t="b">
        <v>0</v>
      </c>
      <c r="K4632" s="65"/>
      <c r="L4632" s="85" t="b">
        <f>IF(VLOOKUP(C4632,Projetos!A:L,12,false)=TRUE,TRUE,FALSE)</f>
        <v>0</v>
      </c>
      <c r="M4632" s="74">
        <v>52.1518759018759</v>
      </c>
      <c r="N4632" s="74">
        <f t="shared" si="1"/>
        <v>0</v>
      </c>
      <c r="O4632" s="74" t="b">
        <v>0</v>
      </c>
    </row>
    <row r="4633" hidden="1">
      <c r="A4633" s="82"/>
      <c r="B4633" s="65" t="s">
        <v>467</v>
      </c>
      <c r="C4633" s="65" t="s">
        <v>84</v>
      </c>
      <c r="D4633" s="65"/>
      <c r="E4633" s="65" t="s">
        <v>3506</v>
      </c>
      <c r="F4633" s="83">
        <v>0.4166666666666667</v>
      </c>
      <c r="G4633" s="83">
        <v>0.4375</v>
      </c>
      <c r="H4633" s="83">
        <v>0.020833333333333332</v>
      </c>
      <c r="I4633" s="84">
        <v>44557.0</v>
      </c>
      <c r="J4633" s="65" t="b">
        <v>0</v>
      </c>
      <c r="K4633" s="65"/>
      <c r="L4633" s="85" t="b">
        <f>IF(VLOOKUP(C4633,Projetos!A:L,12,false)=TRUE,TRUE,FALSE)</f>
        <v>0</v>
      </c>
      <c r="M4633" s="74">
        <v>52.1518759018759</v>
      </c>
      <c r="N4633" s="74">
        <f t="shared" si="1"/>
        <v>0</v>
      </c>
      <c r="O4633" s="74" t="b">
        <v>0</v>
      </c>
    </row>
    <row r="4634" hidden="1">
      <c r="A4634" s="82"/>
      <c r="B4634" s="65" t="s">
        <v>467</v>
      </c>
      <c r="C4634" s="65" t="s">
        <v>120</v>
      </c>
      <c r="D4634" s="65"/>
      <c r="E4634" s="65" t="s">
        <v>3469</v>
      </c>
      <c r="F4634" s="83">
        <v>0.5833333333333334</v>
      </c>
      <c r="G4634" s="83">
        <v>0.75</v>
      </c>
      <c r="H4634" s="83">
        <v>0.16666666666666666</v>
      </c>
      <c r="I4634" s="84">
        <v>44557.0</v>
      </c>
      <c r="J4634" s="65" t="b">
        <v>0</v>
      </c>
      <c r="K4634" s="65" t="s">
        <v>150</v>
      </c>
      <c r="L4634" s="85" t="b">
        <f>IF(VLOOKUP(C4634,Projetos!A:L,12,false)=TRUE,TRUE,FALSE)</f>
        <v>0</v>
      </c>
      <c r="M4634" s="74">
        <v>52.1518759018759</v>
      </c>
      <c r="N4634" s="74">
        <f t="shared" si="1"/>
        <v>0</v>
      </c>
      <c r="O4634" s="74" t="b">
        <v>0</v>
      </c>
    </row>
    <row r="4635" hidden="1">
      <c r="A4635" s="82"/>
      <c r="B4635" s="65" t="s">
        <v>467</v>
      </c>
      <c r="C4635" s="65" t="s">
        <v>92</v>
      </c>
      <c r="D4635" s="65"/>
      <c r="E4635" s="65" t="s">
        <v>3507</v>
      </c>
      <c r="F4635" s="83">
        <v>0.34375</v>
      </c>
      <c r="G4635" s="83">
        <v>0.4375</v>
      </c>
      <c r="H4635" s="83">
        <v>0.09375</v>
      </c>
      <c r="I4635" s="84">
        <v>44558.0</v>
      </c>
      <c r="J4635" s="65" t="b">
        <v>0</v>
      </c>
      <c r="K4635" s="65" t="s">
        <v>150</v>
      </c>
      <c r="L4635" s="85" t="b">
        <f>IF(VLOOKUP(C4635,Projetos!A:L,12,false)=TRUE,TRUE,FALSE)</f>
        <v>1</v>
      </c>
      <c r="M4635" s="74">
        <v>52.1518759018759</v>
      </c>
      <c r="N4635" s="74">
        <f t="shared" si="1"/>
        <v>0</v>
      </c>
      <c r="O4635" s="74" t="b">
        <v>1</v>
      </c>
    </row>
    <row r="4636" hidden="1">
      <c r="A4636" s="82"/>
      <c r="B4636" s="65" t="s">
        <v>467</v>
      </c>
      <c r="C4636" s="65" t="s">
        <v>84</v>
      </c>
      <c r="D4636" s="65"/>
      <c r="E4636" s="65" t="s">
        <v>3508</v>
      </c>
      <c r="F4636" s="83">
        <v>0.4375</v>
      </c>
      <c r="G4636" s="83">
        <v>0.5</v>
      </c>
      <c r="H4636" s="83">
        <v>0.0625</v>
      </c>
      <c r="I4636" s="84">
        <v>44558.0</v>
      </c>
      <c r="J4636" s="65" t="b">
        <v>0</v>
      </c>
      <c r="K4636" s="65"/>
      <c r="L4636" s="85" t="b">
        <f>IF(VLOOKUP(C4636,Projetos!A:L,12,false)=TRUE,TRUE,FALSE)</f>
        <v>0</v>
      </c>
      <c r="M4636" s="74">
        <v>52.1518759018759</v>
      </c>
      <c r="N4636" s="74">
        <f t="shared" si="1"/>
        <v>0</v>
      </c>
      <c r="O4636" s="74" t="b">
        <v>0</v>
      </c>
    </row>
    <row r="4637" hidden="1">
      <c r="A4637" s="82"/>
      <c r="B4637" s="65" t="s">
        <v>467</v>
      </c>
      <c r="C4637" s="65" t="s">
        <v>120</v>
      </c>
      <c r="D4637" s="65"/>
      <c r="E4637" s="65" t="s">
        <v>3469</v>
      </c>
      <c r="F4637" s="83">
        <v>0.5833333333333334</v>
      </c>
      <c r="G4637" s="83">
        <v>0.75</v>
      </c>
      <c r="H4637" s="83">
        <v>0.16666666666666666</v>
      </c>
      <c r="I4637" s="84">
        <v>44558.0</v>
      </c>
      <c r="J4637" s="65" t="b">
        <v>0</v>
      </c>
      <c r="K4637" s="65" t="s">
        <v>150</v>
      </c>
      <c r="L4637" s="85" t="b">
        <f>IF(VLOOKUP(C4637,Projetos!A:L,12,false)=TRUE,TRUE,FALSE)</f>
        <v>0</v>
      </c>
      <c r="M4637" s="74">
        <v>52.1518759018759</v>
      </c>
      <c r="N4637" s="74">
        <f t="shared" si="1"/>
        <v>0</v>
      </c>
      <c r="O4637" s="74" t="b">
        <v>0</v>
      </c>
    </row>
    <row r="4638" hidden="1">
      <c r="A4638" s="82"/>
      <c r="B4638" s="65" t="s">
        <v>467</v>
      </c>
      <c r="C4638" s="65" t="s">
        <v>120</v>
      </c>
      <c r="D4638" s="65"/>
      <c r="E4638" s="65" t="s">
        <v>3509</v>
      </c>
      <c r="F4638" s="83">
        <v>0.3958333333333333</v>
      </c>
      <c r="G4638" s="83">
        <v>0.4375</v>
      </c>
      <c r="H4638" s="83">
        <v>0.041666666666666664</v>
      </c>
      <c r="I4638" s="84">
        <v>44560.0</v>
      </c>
      <c r="J4638" s="65" t="b">
        <v>0</v>
      </c>
      <c r="K4638" s="65"/>
      <c r="L4638" s="85" t="b">
        <f>IF(VLOOKUP(C4638,Projetos!A:L,12,false)=TRUE,TRUE,FALSE)</f>
        <v>0</v>
      </c>
      <c r="M4638" s="74">
        <v>52.1518759018759</v>
      </c>
      <c r="N4638" s="74">
        <f t="shared" si="1"/>
        <v>0</v>
      </c>
      <c r="O4638" s="74" t="b">
        <v>0</v>
      </c>
    </row>
    <row r="4639" hidden="1">
      <c r="A4639" s="82"/>
      <c r="B4639" s="65" t="s">
        <v>467</v>
      </c>
      <c r="C4639" s="65" t="s">
        <v>92</v>
      </c>
      <c r="D4639" s="65" t="str">
        <f>vlookup(C4639,'Classificação p pessoal'!F:G,2,false)</f>
        <v/>
      </c>
      <c r="E4639" s="65" t="s">
        <v>3510</v>
      </c>
      <c r="F4639" s="83">
        <v>0.4375</v>
      </c>
      <c r="G4639" s="83">
        <v>0.4791666666666667</v>
      </c>
      <c r="H4639" s="83">
        <v>0.041666666666666664</v>
      </c>
      <c r="I4639" s="84">
        <v>44560.0</v>
      </c>
      <c r="J4639" s="65" t="b">
        <v>1</v>
      </c>
      <c r="K4639" s="65"/>
      <c r="L4639" s="85" t="b">
        <f>IF(VLOOKUP(C4639,Projetos!A:L,12,false)=TRUE,TRUE,FALSE)</f>
        <v>1</v>
      </c>
      <c r="M4639" s="74">
        <v>52.1518759018759</v>
      </c>
      <c r="N4639" s="74">
        <f t="shared" si="1"/>
        <v>52.1518759</v>
      </c>
      <c r="O4639" s="74" t="b">
        <v>1</v>
      </c>
    </row>
    <row r="4640" hidden="1">
      <c r="A4640" s="82"/>
      <c r="B4640" s="65" t="s">
        <v>467</v>
      </c>
      <c r="C4640" s="65" t="s">
        <v>92</v>
      </c>
      <c r="D4640" s="65" t="str">
        <f>vlookup(C4640,'Classificação p pessoal'!F:G,2,false)</f>
        <v/>
      </c>
      <c r="E4640" s="65" t="s">
        <v>3511</v>
      </c>
      <c r="F4640" s="83">
        <v>0.5</v>
      </c>
      <c r="G4640" s="83">
        <v>0.5416666666666666</v>
      </c>
      <c r="H4640" s="83">
        <v>0.041666666666666664</v>
      </c>
      <c r="I4640" s="84">
        <v>44560.0</v>
      </c>
      <c r="J4640" s="65" t="b">
        <v>1</v>
      </c>
      <c r="K4640" s="65"/>
      <c r="L4640" s="85" t="b">
        <f>IF(VLOOKUP(C4640,Projetos!A:L,12,false)=TRUE,TRUE,FALSE)</f>
        <v>1</v>
      </c>
      <c r="M4640" s="74">
        <v>52.1518759018759</v>
      </c>
      <c r="N4640" s="74">
        <f t="shared" si="1"/>
        <v>52.1518759</v>
      </c>
      <c r="O4640" s="74" t="b">
        <v>1</v>
      </c>
    </row>
    <row r="4641" hidden="1">
      <c r="A4641" s="82"/>
      <c r="B4641" s="65" t="s">
        <v>467</v>
      </c>
      <c r="C4641" s="65" t="s">
        <v>120</v>
      </c>
      <c r="D4641" s="65"/>
      <c r="E4641" s="65" t="s">
        <v>3469</v>
      </c>
      <c r="F4641" s="83">
        <v>0.5833333333333334</v>
      </c>
      <c r="G4641" s="83">
        <v>0.7083333333333334</v>
      </c>
      <c r="H4641" s="83">
        <v>0.125</v>
      </c>
      <c r="I4641" s="84">
        <v>44560.0</v>
      </c>
      <c r="J4641" s="65" t="b">
        <v>0</v>
      </c>
      <c r="K4641" s="65" t="s">
        <v>150</v>
      </c>
      <c r="L4641" s="85" t="b">
        <f>IF(VLOOKUP(C4641,Projetos!A:L,12,false)=TRUE,TRUE,FALSE)</f>
        <v>0</v>
      </c>
      <c r="M4641" s="74">
        <v>52.1518759018759</v>
      </c>
      <c r="N4641" s="74">
        <f t="shared" si="1"/>
        <v>0</v>
      </c>
      <c r="O4641" s="74" t="b">
        <v>0</v>
      </c>
    </row>
  </sheetData>
  <autoFilter ref="$A$6:$O$4641">
    <filterColumn colId="4">
      <filters>
        <filter val="Seminário técnico sobre aplicações de pectina para produtos lácteos e bebidas e envio das impressões a equipe"/>
        <filter val="Atualização de cronograma"/>
        <filter val="Apresentação Innova Market"/>
        <filter val="Finalização documento requeirmentos Centric"/>
        <filter val="Recebimento de peças do equipamento de mistura para sacheteira"/>
        <filter val="Discussão técnica - progresso e revisão dos requerimentos"/>
        <filter val="Alimentação dos dados da planilha dos indicadores para criação do dashbord dos cronogramas do PowerBI"/>
        <filter val="Discussão técnica com consultor sobre resultados obtidos no laboratório proposto"/>
        <filter val="Produção jumbo T Basic"/>
        <filter val="Discussão técnica com laboratório responsável pela verificação de metodologia"/>
        <filter val="Discussão técnica e organização do Recebimento das unidades do Trophic Soya 1.5 produzido no Teste piloto e envio para EE"/>
        <filter val="Discussão sobre o desenvolvimento e as necessidades dos dashboards do PowerBI para o Científico, regulatório e Setor de análise de licitação."/>
        <filter val="Contato fornecedores Sachê a vácuo + Alinhamento técnico junto ao mkt"/>
        <filter val="Contato fornecedores embalagens flexíveis + acompanhamento remoto Teste Sachê a vácuo"/>
        <filter val="Discussão técnica interna"/>
        <filter val="Check final das IF - Automáticas e envio à Castrolanda"/>
        <filter val="Discussão técnica com consultor sobre andamento do projeto."/>
        <filter val="Criação do esqueleto e discussão técnica sobre os indicadores, cálculos e compilação dos dados para o PowerBI - Cronogramas"/>
        <filter val="Avaliação de software, funcionalidades e necessidades de desenvolvimento de outras funcionalidades"/>
        <filter val="Verificação requisitos x Centric"/>
        <filter val="Setup e Ajustes linha para Produção jumbo T. Fiber"/>
        <filter val="Discussão técnica junto a INNOVA para apresentação de funcionalidades da plataforma"/>
        <filter val="Envase Trophic Fiber 1,92kg"/>
        <filter val="Apresentação Testes"/>
        <filter val="Discussão técnica - validação financeira"/>
        <filter val="Atualização planilha painel embalagens + retorno fornecedores"/>
        <filter val="Direcionais Recebimento NF's"/>
        <filter val="Discussão técnica sobre os resultados bimestrais de P&amp;D e planificação parao próximo bimestre"/>
        <filter val="Discussão tecnica (P&amp;D e TI) sobre parâmetros a serem mudados/adaptados na IF automática"/>
        <filter val="Alinhamento e desenvolvimento do PowerBI para os cronogramas"/>
        <filter val="Avaliação nova proposta Centric"/>
        <filter val="Webinar Fispal - Transformação digital para A&amp;B"/>
        <filter val="Contato fornecedor pouches vácuo"/>
        <filter val="Leitura de material sobre dieta caseira/Artesanal para nutrição enteral"/>
        <filter val="Avaliação NDA Centric"/>
        <filter val="Discussão técnica sobre a aualização no modelo do crononograma e impacto no PowerBI"/>
        <filter val="Relatório Sachês a vácuo"/>
        <filter val="Discussão técnica e Alinhamento sobre mudanças de processo após implementação do caseinato da Alibra"/>
        <filter val="Elaboração documento com Avaliação impactos software"/>
        <filter val="Atualizações Centric e Mcassab"/>
        <filter val="Testes migração release Protheus"/>
        <filter val="Atualização melhorias lab processo"/>
        <filter val="Mudança de cadastro de serviços no Protheus"/>
        <filter val="Alinhamento cronograma Sachês a vácuo"/>
        <filter val="Planejamento Teste piloto"/>
        <filter val="Discussão técnica e apresentação da ideia dos dashboards dos cronogramas de powerBI"/>
        <filter val="Apresentação de resultados obtidos para gerência e diretoria e followup com consultor contratado"/>
        <filter val="Avaliação e planejamento EE - estudo vácuo/nutrientes"/>
        <filter val="Avaliação da proposta comercial para laboratório CLF"/>
        <filter val="Simulação inserção PA"/>
        <filter val="Alinhamento escopo final Centric"/>
        <filter val="Validação de mudanças no Protheus para criação da IF automática"/>
        <filter val="Contato fornecedores Sachê a vácuo - entendimento estruturas"/>
        <filter val="Apresentação para P&amp;D - resultados Testes HG"/>
        <filter val="Avaliação de novo laboratório (CLF) para execução de análises"/>
        <filter val="Discussão técnica sobre dieta caseira/Artesanal para nutrição enteral"/>
        <filter val="Modificação do código Protheus (cálcio de %) e das estruturas (Soya e Fiber)"/>
        <filter val="Preenchimento controle de mudança"/>
        <filter val="Finalização da criação das IF automáticas - Protheus para os produtos liquidos UHT"/>
        <filter val="Planejamento próximos passos simulações"/>
        <filter val="Solicitação amostras fornecedores embalagens flexíveis"/>
        <filter val="Sessão tecnológica Centric"/>
        <filter val="Planejamento Teste seladora a vácuo"/>
        <filter val="Compilado 1a rodada Testes seladora a vácuo"/>
        <filter val="Produção Proteinpt whey"/>
        <filter val="Montagem do esqueleto do arquivo padrão do PowerBI - Cronogramas"/>
        <filter val="Contato novos fornecedores - envio amostras para Testes"/>
        <filter val="Cadastro de águas e serviços nas estruturas dos produtos liquidos UHT."/>
        <filter val="Recebimento de laudos de análise e atualização de resultados"/>
        <filter val="Estudo estruturas embalagens Sachê a vácuo + retorno fornecedores"/>
        <filter val="Produção jumbo"/>
        <filter val="Discussão técnica e Alinhamento sobre problemas ao se cadastrar alguns serviços e MP no Protheus para criação da IF automática."/>
        <filter val="Discussão técnica junto a TI para tentat solucionar os erros no Protheus"/>
        <filter val="Setup e Produção Jumbo Basic 2,07kG"/>
        <filter val="Finalização IF dos produtos Jumbos."/>
        <filter val="Simulações software P&amp;D - inclusão parâmetros &quot;personalizados&quot;"/>
        <filter val="Atualizações Comitê Sourcing"/>
        <filter val="Alinhamento com PPCP/Manutenção - Teste seladora a vácuo"/>
        <filter val="Discussão técnica sobre os resultados dos Testes do software de P&amp;D"/>
        <filter val="Estudos e atualizações sobre diferentes estabiizantes minerais para fórmulas UHT"/>
        <filter val="Setup e Produção jumbo"/>
        <filter val="Alinhamento técnico - retomada do projeto"/>
        <filter val="Estudo e atualização sobre o impacto de minerais sobre a interação entrre proteínas lácteas e soja"/>
        <filter val="Discussão técnica junto a qualidade e Produção a respeito das atividades exercidas por P&amp;D"/>
        <filter val="Estudo estruturas embalagens Sachê a vácuo"/>
        <filter val="Produção T. Basic 2,07Kg"/>
        <filter val="Discussão técnica resultados Testes"/>
        <filter val="Coordenação mudança lab processos"/>
        <filter val="Contato fornecedores Sachê a vácuo"/>
        <filter val="Avaliação dos desvios de qualidade observados para o Trophic 1.5"/>
        <filter val="Contato Centric + planejamento interno"/>
        <filter val="Discussão técnica com gerência e consultor sobre etapas pendentes do projeto"/>
        <filter val="Teste seladora à vácuo"/>
        <filter val="Atualização da estrutura do Trophic Jr e do Protheus para criação da IF automática"/>
        <filter val="Discussão técnica sobre os avanços dos PowerBI da área técnica"/>
        <filter val="Alinhamento técnico fornecedor - docs para demo"/>
        <filter val="Apresentação softweere"/>
        <filter val="Elaboração relatório Sachês a vácuo"/>
        <filter val="Alinhamento Supply e Manutenção - próximos passos e Testes"/>
        <filter val="Contato fornecedor - próximo Teste"/>
        <filter val="Discussão técnica sobre GMO"/>
        <filter val="Avaliação requerimentos Centric x Prodiet"/>
        <filter val="Atualização da estrutura do Soya e do fiber para criação da primeria IF automática"/>
        <filter val="Planejamento mudança laboratório processos"/>
        <filter val="Recebimento de laudos e atualização de resultados de EE"/>
        <filter val="Recebimento de documentação relativo ao desenvolvimento do prémix"/>
        <filter val="Discussão técnica junto a TI a respeito dos indicadores e montagem do arquivo padrão PowerBI - Cronogramas"/>
        <filter val="Discussão técnica sobre os avanços da linha soya (pó, 1.5 e 1.5 fiber) e dos Testes de aplicação de aroma para o EnergyZIP"/>
        <filter val="Revisão de relatório e apresentação para finalização do projeto de verificação de método analítico"/>
        <filter val="Evento DR tá na mesa"/>
        <filter val="Contato Centric"/>
        <filter val="Discussão com consultor sobe abordagens apropriadas para investigação de resultados obtidos pelo novo laboratório"/>
        <filter val="Simulações software P&amp;D"/>
        <filter val="Nova rodada Testes"/>
        <filter val="Pesquisa cursos integridade embalagens + contato Cetea"/>
        <filter val="2a rodada Testes HG"/>
        <filter val="Modificação e criação de códigos referentes a IF automática do Protheus"/>
        <filter val="Estudo e atualização sobre impactos do uso de diferentes hidrocoloides na estabilidade e na reologia dos produtos"/>
        <filter val="Revisão de orçamento para 2022 após Recebimento de proposta comercial atualizada com descontos"/>
        <filter val="Inventário amostras embalagens + atualização SP"/>
        <filter val="Simulação de custo Soya e Soya Fiber"/>
        <filter val="Treinamento de PowerBI"/>
        <filter val="Avaliação colher medida cabo longo"/>
        <filter val="Finalização do relatório final do PowerBI"/>
        <filter val="Discussão técnica com consultor responsável pela covalidação de métodos"/>
        <filter val="Mudança dos materiais do laboratório de FQ para o laboratório de processos, organização e separação das MP de P&amp;D"/>
        <filter val="Avaliação docs Centric"/>
        <filter val="Setup e inicio Produção Jumbo"/>
        <filter val="Discussão técnica Innova Market"/>
        <filter val="Alinhamento sobre as necessidades finais para cadastros de matérias-primas e serviços para crição de IF automática a partir da estrutura do Protheus"/>
        <filter val="Produção T. basic Jumbo"/>
        <filter val="Prospecção nova empresa"/>
        <filter val="Elaboração de gráficos para Avaliação dos resultados obtidos no projeto de verificação de metodologia"/>
        <filter val="Resposta técnina ao questionamento sobre quantidade de água utilzada na fórmula do Trophic 1.5"/>
        <filter val="Discussão técnica sobre os projetos e budjet de P&amp;D para 2022"/>
        <filter val="Testes no ambiente de Testes do Protheus para tentar solucionar os problemas observados ao salvar estrutura"/>
        <filter val="Discussão técnica sobre os possíveis indicadores a serem utilizados em um Dashboard para P&amp;D no PowerBI"/>
        <filter val="Alinhamento previsão lançamento"/>
        <filter val="Discussão técnica Teste fornecedor envasadora a vácuo"/>
        <filter val="Avaliação proposta Cetea"/>
        <filter val="Teste caixa expedição + atualização relatório"/>
        <filter val="Recebimento da peça do misturador da sacheteira e Teste de mistura com T. Basic"/>
        <filter val="Alinhamento feedback simulações"/>
        <filter val="Discussão técnica com suporte HG - 2a rodada Testes"/>
        <filter val="Alinhamento supply - status embalagens"/>
        <filter val="Planejamento mudança lab processo"/>
        <filter val="Modificação da estrutura do Trophic Junior para Teste de criação da IF automática"/>
        <filter val="Avaliação FT's jumbo UHT"/>
        <filter val="Estudo e atualização sobre impactos de processo sobre as características reologicas e de emulsão de proteínas lácteas."/>
        <filter val="Desenvolvimento de material científico para potes Jumbo"/>
        <filter val="Solicitação amostras Sachês a vácuo"/>
        <filter val="Produção immax"/>
        <filter val="Apresentação dos resultados obtidos para gerência"/>
        <filter val="Preenchimento doc Qualidade + planejamento EE - vácuo/nutrientes"/>
        <filter val="Compilado timeline discussões Centric"/>
        <filter val="Discussão técnica sobre a segunda rodada de Testes do software de P&amp;D"/>
        <filter val="Discussão técnica Teste envase a vácuo"/>
        <filter val="Definição, criação e montagem dos indicadores do PowerBI - Cronogramas de projetos"/>
        <filter val="Discussão técnica Testes HG"/>
        <filter val="Produção clear"/>
        <filter val="Envase Trophic Basic 2,07kg"/>
        <filter val="Acompanhamento Produção T. Fiber Jumbo"/>
        <filter val="Elaboração de instruções de preparo de amostras, para início dos Testes de verificação de método analítico"/>
        <filter val="Criação do documento mãe do PowerBI - Cronogramas"/>
        <filter val="Revisão de número de amostras necessárias"/>
        <filter val="Planificação e montagem da ideia inicial dos Dashboard de cronogramas em PowerBI"/>
        <filter val="Treinamento PowerBI"/>
        <filter val="Apresentação software"/>
        <filter val="Alinhamento Testes"/>
        <filter val="Atualização relatório Sachês a vácuo + painel embalagens"/>
        <filter val="Atualização painel pouches - Recebimento amostras Sachês a vácuo"/>
        <filter val="Contato fornecedores Sachê a vácuo -  nova rodada de Testes"/>
        <filter val="Discussão com consultor sobre retorno do laboratório."/>
        <filter val="Alinhamento retorno Centric - requerimentos"/>
        <filter val="Preenchimento formulário marca própria"/>
        <filter val="Contato fornecedores embalagens flexíveis"/>
        <filter val="Simulações com MP's"/>
        <filter val="Ajuste docs demo Centric"/>
        <filter val="Acompanhamento do andamento do projeto para verificação de método analítico."/>
        <filter val="Follow up de pendências para finalização do projeto de verificação de método analítico"/>
        <filter val="Alinhamento pesquisa clínica"/>
        <filter val="Discussão técnica sobre as mudanças que deveriam ser feitas no código do Protheus para criação da IF automática"/>
        <filter val="Apresentação de ideia pro ação"/>
        <filter val="Atualização do cronograma do projeto de verificação de método analítico"/>
        <filter val="Participação em um webinar da Duas rodas sobre inovação na cadeia de alimentos"/>
        <filter val="Levantamento custos proposta Centric antiga x nova"/>
        <filter val="Alinhamento AR nova rodada Testes"/>
        <filter val="Acompanhamento Produção T. Basic Jumbo"/>
        <filter val="Apresentação para finalizar projeto"/>
        <filter val="Discussão técnica com laboratório terceiro sobre análises de açúcares, para atendimento a IN 75"/>
        <filter val="Desafio de PowerBI"/>
        <filter val="Inclusão dos cronogramas no arquivo do PowerBI"/>
        <filter val="Discussão técnica sobre o uso e os Testes a serem realizados com o novo software de P&amp;D"/>
        <filter val="Entendimento embalagens a vácuo + contato fornecedor"/>
        <filter val="Discussão técnica fornecedor - resultados com seladora a vácuo + próximos passos nova rodada Testes"/>
        <filter val="Discussão técnica junto a fornecedor Sachê a vácuo"/>
        <filter val="Elaboração apresentação resultados Testes HG"/>
        <filter val="Alinhamentos P&amp;D - planejamento Teste seladora a vácuo"/>
        <filter val="Acompanhamento do Simpósio sobre produtos UHT do INOVALEITE"/>
        <filter val="Discussão técnica e aplicação inicial da instrução de fabricação automática a partir do Protheus."/>
        <filter val="Atualização dos resultados preliminares do projeto de verificação de metodo analítico"/>
        <filter val="Verificação chegada do equipamento para Testes P&amp;D"/>
        <filter val="Modificação do formato e inclusão de campos no arquivo do PowerBI para Cronogramas"/>
        <filter val="Alinhamento anual área Técnica - 2021 e perspectivas 2022"/>
        <filter val="Modificação de POP para Testes piloto externas"/>
        <filter val="Avaliação proposta Cetea + pesquisa curso tratamento térmico"/>
        <filter val="Produção T. Fiber 1,92kg"/>
        <filter val="Leitura POP sobre IF automática"/>
        <filter val="Conferência de proposta analítica para novo laboratório"/>
        <filter val="Conferência de laudos recebidos e envio de NF, referente a verificação de metodologia"/>
        <filter val="Recebimento de laudos de análise"/>
        <filter val="Discussão técnica sobre as atividades prioritárias de P&amp;D"/>
        <filter val="Discussão técnica estrutura Sachês a vácuo"/>
        <filter val="Finalização da inclusão das águas e serviços para montagem das IF automáticas para produtos liquidos UHT"/>
        <filter val="Planejamento + Teste seladora a vácuo"/>
        <filter val="Descrição dos erros obervados no Protheus"/>
        <filter val="Contato CETEA - embalagens jumbo UHT"/>
        <filter val="Avaliação embalagem jumbo Topeka"/>
        <filter val="Produção T. Fiber Jumbo"/>
        <filter val="Treinamento uso sistema"/>
        <filter val="Compilação amostras Sachês a vácuo - novos fornecedores"/>
        <filter val="Criação dos indicadores para criação dos dashboards de cronogramas do PowerBI"/>
        <filter val="Discussão técnica sobre os cronogramas e as mudanças a serem implementadas para o auxílio no powerBI"/>
        <filter val="Comitê de Sourcing"/>
        <filter val="Apresentação das mudanças do novo laboratório de P&amp;D"/>
        <filter val="Alinhamento interno - Testes com P&amp;D e AR"/>
        <filter val="Alinhamento técnico junto ao Ital/CETEA - estruturas embalagens a vácuo"/>
        <filter val="Análise de novos produtos"/>
        <filter val="Orçamentos"/>
        <filter val="Seminário sobre novos softwares aplicados a P&amp;D da Fispal"/>
        <filter val="Solicitação amostras Sachê - Teste a vácuo"/>
        <filter val="Pesquisa integridade embalagens a vácuo"/>
        <filter val="Avaliação novas plantas"/>
        <filter val="Atualização do andamento do projeto de verificação de métodos"/>
        <filter val="Verificação política vidros - lab processo"/>
        <filter val="Validação conferência Recebimento amostras T12"/>
        <filter val="Alinhamento técnico possível parceiro Prodiet"/>
        <filter val="Alinhamento Supply - contatos fornecedores Sachês a vácuo"/>
        <filter val="Atualização de cronograma do projeto de verificação de método analítico"/>
        <filter val="Discussão técnica e levantemento de tempos de processo usados para a fabricação das fórmulas UHT"/>
        <filter val="Atualização junto à equipe"/>
        <filter val="Leitura da RDC 331/2019 e IN 60/2019"/>
        <filter val="Elaboração painel Sachês a vácuo - opções de estruturas x fornecedores"/>
        <filter val="Recebimento de laudos de EE"/>
        <filter val="Planejamento Teste caixa expedição"/>
        <filter val="Atualizações fornecedores embalagem"/>
        <filter val="Discussão projeto de validação de método"/>
        <filter val="Modificação do arquivo para o PowerBI dos cronogramas"/>
        <filter val="Discussão técnica com consultar sobre laboratório responsável pela covalidação"/>
        <filter val="Finalização das primeiras IF automáticas e envio para a Castrolanda"/>
        <filter val="Contato fornecedor pouches vácuo - sistema fechamento"/>
        <filter val="Discussão técnica e modificação dos dados a serem inseridos a respeito da IF automático a partir do Protheus"/>
        <filter val="FiSA 2021 - AI e uso de dados em indústrias de alimentos"/>
        <filter val="Produção jumbo T. Fiber e T. Basic"/>
        <filter val="Discussão técnica com consultor e posterior revisão de resultados"/>
        <filter val="Elaboração docs demo Centric"/>
        <filter val="Solicitação de análise para verificação de metodologia"/>
        <filter val="Alinhamento técnico - demonstração inicial + validação fiinanceira"/>
        <filter val="Mudança laboratório"/>
        <filter val="Atualizações nos procedimentos e mudanças de estrutura e código do Protheus para criação da IF automática"/>
        <filter val="Apresentação automatização IF"/>
        <filter val="Discussão técnica - status Sachê a vácuo + cronograma"/>
        <filter val="Avaliação de resultados preliminares"/>
        <filter val="Alinhamento docs Centric"/>
        <filter val="Criação da estrutura"/>
        <filter val="Mudança de estrutura da sala de amostras do P&amp;D"/>
        <filter val="Avaliação dos dados enviados para análises realizadas."/>
        <filter val="Discussão técnica estrutura Sachês a vácuo + contato fornecedor"/>
        <filter val="Avaliação budget 2022 + contato fornecedor Sachê vácuo"/>
        <filter val="Revisão de projeto"/>
        <filter val="Avaliação de metodologia para determinação de açucares, macronutrientes e perfil lipídico para laboratóri oCLF"/>
        <filter val="Discussão técnica sobre as mudanças no processo de cadastro no Protheus devido a IF automática"/>
      </filters>
    </filterColumn>
    <filterColumn colId="14">
      <filters>
        <filter val="TRUE"/>
      </filters>
    </filterColumn>
    <sortState ref="A6:O4641">
      <sortCondition ref="E6:E4641"/>
    </sortState>
  </autoFilter>
  <customSheetViews>
    <customSheetView guid="{FB697474-A6FB-4E1A-ADFE-7AF7D371867C}" filter="1" showAutoFilter="1">
      <autoFilter ref="$A$2:$O$4626"/>
    </customSheetView>
  </customSheetView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1.38"/>
    <col customWidth="1" min="3" max="3" width="25.0"/>
    <col customWidth="1" min="4" max="4" width="9.25"/>
    <col customWidth="1" min="5" max="5" width="73.88"/>
    <col customWidth="1" min="6" max="9" width="11.63"/>
    <col customWidth="1" min="10" max="11" width="15.88"/>
    <col customWidth="1" min="13" max="13" width="10.75"/>
    <col customWidth="1" min="14" max="15" width="11.75"/>
  </cols>
  <sheetData>
    <row r="1" ht="11.25" customHeight="1">
      <c r="A1" s="60"/>
      <c r="B1" s="60"/>
      <c r="C1" s="60"/>
      <c r="D1" s="60"/>
      <c r="E1" s="40"/>
      <c r="F1" s="68"/>
      <c r="G1" s="69"/>
      <c r="H1" s="70"/>
      <c r="I1" s="71"/>
      <c r="J1" s="61"/>
      <c r="K1" s="61"/>
      <c r="L1" s="61"/>
      <c r="M1" s="61"/>
      <c r="N1" s="61"/>
      <c r="O1" s="61"/>
    </row>
    <row r="2">
      <c r="A2" s="62" t="s">
        <v>80</v>
      </c>
      <c r="B2" s="61"/>
      <c r="C2" s="61"/>
      <c r="D2" s="61"/>
      <c r="E2" s="61"/>
      <c r="F2" s="68"/>
      <c r="G2" s="69"/>
      <c r="H2" s="70"/>
      <c r="I2" s="71"/>
      <c r="J2" s="61"/>
      <c r="K2" s="61"/>
      <c r="L2" s="61"/>
      <c r="M2" s="40"/>
      <c r="N2" s="40" t="str">
        <f>SUMPRODUCT(H16:H4641,M16:M4597)</f>
        <v>#VALUE!</v>
      </c>
      <c r="O2" s="40"/>
    </row>
    <row r="3">
      <c r="A3" s="5" t="s">
        <v>1</v>
      </c>
      <c r="B3" s="61"/>
      <c r="C3" s="61"/>
      <c r="D3" s="61"/>
      <c r="E3" s="61"/>
      <c r="F3" s="68"/>
      <c r="G3" s="69"/>
      <c r="H3" s="70"/>
      <c r="I3" s="71"/>
      <c r="J3" s="61"/>
      <c r="K3" s="61"/>
      <c r="L3" s="61"/>
      <c r="M3" s="73" t="s">
        <v>133</v>
      </c>
      <c r="N3" s="72">
        <f>N5-N4</f>
        <v>356413.4018</v>
      </c>
      <c r="O3" s="61"/>
    </row>
    <row r="4">
      <c r="A4" s="63"/>
      <c r="B4" s="61"/>
      <c r="C4" s="61"/>
      <c r="D4" s="61"/>
      <c r="E4" s="61"/>
      <c r="F4" s="68"/>
      <c r="G4" s="69"/>
      <c r="H4" s="70"/>
      <c r="I4" s="71"/>
      <c r="J4" s="61"/>
      <c r="K4" s="61"/>
      <c r="L4" s="61"/>
      <c r="M4" s="73" t="s">
        <v>134</v>
      </c>
      <c r="N4" s="74">
        <f>IFERROR(__xludf.DUMMYFUNCTION("SUMIF($B$7:$B4641,FILTER(Pessoal!$A$9:$A$18,Pessoal!$U$9:$U$18 = ""Exclusivo"",MATCH(Pessoal!$A$9:$A$18,FILTER(Pessoal!$A$29:$A$40,Pessoal!$U$29:$U$40 = TRUE),0)),$N$7:$N4641)"),0.0)</f>
        <v>0</v>
      </c>
      <c r="O4" s="74"/>
    </row>
    <row r="5">
      <c r="A5" s="63"/>
      <c r="B5" s="61"/>
      <c r="C5" s="61"/>
      <c r="D5" s="61"/>
      <c r="E5" s="61"/>
      <c r="F5" s="68"/>
      <c r="G5" s="69"/>
      <c r="H5" s="70"/>
      <c r="I5" s="71"/>
      <c r="J5" s="61"/>
      <c r="K5" s="61"/>
      <c r="L5" s="61"/>
      <c r="M5" s="75" t="s">
        <v>135</v>
      </c>
      <c r="N5" s="76">
        <f>SUM(N7:N4641)</f>
        <v>356413.4018</v>
      </c>
      <c r="O5" s="77"/>
    </row>
    <row r="6">
      <c r="A6" s="64" t="s">
        <v>136</v>
      </c>
      <c r="B6" s="64" t="s">
        <v>137</v>
      </c>
      <c r="C6" s="64" t="s">
        <v>70</v>
      </c>
      <c r="D6" s="64"/>
      <c r="E6" s="64" t="s">
        <v>78</v>
      </c>
      <c r="F6" s="78" t="s">
        <v>138</v>
      </c>
      <c r="G6" s="79" t="s">
        <v>139</v>
      </c>
      <c r="H6" s="80" t="s">
        <v>140</v>
      </c>
      <c r="I6" s="78" t="s">
        <v>141</v>
      </c>
      <c r="J6" s="64" t="s">
        <v>142</v>
      </c>
      <c r="K6" s="64"/>
      <c r="L6" s="64" t="s">
        <v>79</v>
      </c>
      <c r="M6" s="81" t="s">
        <v>143</v>
      </c>
      <c r="N6" s="81" t="s">
        <v>144</v>
      </c>
      <c r="O6" s="81" t="s">
        <v>145</v>
      </c>
    </row>
    <row r="7" hidden="1">
      <c r="A7" s="82"/>
      <c r="B7" s="65" t="s">
        <v>146</v>
      </c>
      <c r="C7" s="65" t="s">
        <v>130</v>
      </c>
      <c r="D7" s="65" t="str">
        <f>vlookup(C7,'Classificação p pessoal'!F:G,2,false)</f>
        <v>NP</v>
      </c>
      <c r="E7" s="65" t="s">
        <v>147</v>
      </c>
      <c r="F7" s="83">
        <v>0.5625</v>
      </c>
      <c r="G7" s="83">
        <v>0.75</v>
      </c>
      <c r="H7" s="83">
        <v>0.1875</v>
      </c>
      <c r="I7" s="84">
        <v>44200.0</v>
      </c>
      <c r="J7" s="65" t="b">
        <v>1</v>
      </c>
      <c r="K7" s="65"/>
      <c r="L7" s="85" t="b">
        <f>IF(VLOOKUP(C7,Projetos!A:L,12,false)=TRUE,TRUE,FALSE)</f>
        <v>1</v>
      </c>
      <c r="M7" s="74">
        <f t="array" ref="M7:M4641">VLOOKUP(B7:B4641,Pessoal!$A$28:$R$40,MONTH(F7:F4641)+6,false)</f>
        <v>33.15972725</v>
      </c>
      <c r="N7" s="74">
        <f t="shared" ref="N7:N4641" si="1">IFERROR(IF(AND(J7=TRUE,O7=TRUE,YEAR(F7)&lt;2021),H7,"")*(M7*24),0)</f>
        <v>149.2187726</v>
      </c>
      <c r="O7" s="74" t="b">
        <f t="array" ref="O7:O4641">VLOOKUP(C7:C4641,Projetos!A6:L4641,12,false)</f>
        <v>1</v>
      </c>
    </row>
    <row r="8" hidden="1">
      <c r="A8" s="82"/>
      <c r="B8" s="65" t="s">
        <v>146</v>
      </c>
      <c r="C8" s="65" t="s">
        <v>130</v>
      </c>
      <c r="D8" s="65" t="str">
        <f>vlookup(C8,'Classificação p pessoal'!F:G,2,false)</f>
        <v>NP</v>
      </c>
      <c r="E8" s="65" t="s">
        <v>147</v>
      </c>
      <c r="F8" s="83">
        <v>0.34375</v>
      </c>
      <c r="G8" s="83">
        <v>0.5104166666666666</v>
      </c>
      <c r="H8" s="83">
        <v>0.16666666666666666</v>
      </c>
      <c r="I8" s="84">
        <v>44201.0</v>
      </c>
      <c r="J8" s="65" t="b">
        <v>1</v>
      </c>
      <c r="K8" s="65"/>
      <c r="L8" s="85" t="b">
        <f>IF(VLOOKUP(C8,Projetos!A:L,12,false)=TRUE,TRUE,FALSE)</f>
        <v>1</v>
      </c>
      <c r="M8" s="74">
        <v>33.15972725468975</v>
      </c>
      <c r="N8" s="74">
        <f t="shared" si="1"/>
        <v>132.638909</v>
      </c>
      <c r="O8" s="74" t="b">
        <v>1</v>
      </c>
    </row>
    <row r="9" hidden="1">
      <c r="A9" s="82"/>
      <c r="B9" s="65" t="s">
        <v>146</v>
      </c>
      <c r="C9" s="65" t="s">
        <v>121</v>
      </c>
      <c r="D9" s="65" t="str">
        <f>vlookup(C9,'Classificação p pessoal'!F:G,2,false)</f>
        <v>NP</v>
      </c>
      <c r="E9" s="65" t="s">
        <v>148</v>
      </c>
      <c r="F9" s="83">
        <v>0.5625</v>
      </c>
      <c r="G9" s="83">
        <v>0.75</v>
      </c>
      <c r="H9" s="83">
        <v>0.1875</v>
      </c>
      <c r="I9" s="84">
        <v>44201.0</v>
      </c>
      <c r="J9" s="65" t="b">
        <v>1</v>
      </c>
      <c r="K9" s="65"/>
      <c r="L9" s="85" t="b">
        <f>IF(VLOOKUP(C9,Projetos!A:L,12,false)=TRUE,TRUE,FALSE)</f>
        <v>1</v>
      </c>
      <c r="M9" s="74">
        <v>33.15972725468975</v>
      </c>
      <c r="N9" s="74">
        <f t="shared" si="1"/>
        <v>149.2187726</v>
      </c>
      <c r="O9" s="74" t="b">
        <v>1</v>
      </c>
    </row>
    <row r="10" hidden="1">
      <c r="A10" s="82"/>
      <c r="B10" s="65" t="s">
        <v>146</v>
      </c>
      <c r="C10" s="65" t="s">
        <v>130</v>
      </c>
      <c r="D10" s="65" t="str">
        <f>vlookup(C10,'Classificação p pessoal'!F:G,2,false)</f>
        <v>NP</v>
      </c>
      <c r="E10" s="65" t="s">
        <v>147</v>
      </c>
      <c r="F10" s="83">
        <v>0.3541666666666667</v>
      </c>
      <c r="G10" s="83">
        <v>0.5625</v>
      </c>
      <c r="H10" s="83">
        <v>0.20833333333333334</v>
      </c>
      <c r="I10" s="84">
        <v>44202.0</v>
      </c>
      <c r="J10" s="65" t="b">
        <v>1</v>
      </c>
      <c r="K10" s="65"/>
      <c r="L10" s="85" t="b">
        <f>IF(VLOOKUP(C10,Projetos!A:L,12,false)=TRUE,TRUE,FALSE)</f>
        <v>1</v>
      </c>
      <c r="M10" s="74">
        <v>33.15972725468975</v>
      </c>
      <c r="N10" s="74">
        <f t="shared" si="1"/>
        <v>165.7986363</v>
      </c>
      <c r="O10" s="74" t="b">
        <v>1</v>
      </c>
    </row>
    <row r="11" hidden="1">
      <c r="A11" s="82"/>
      <c r="B11" s="65" t="s">
        <v>146</v>
      </c>
      <c r="C11" s="65" t="s">
        <v>121</v>
      </c>
      <c r="D11" s="65" t="str">
        <f>vlookup(C11,'Classificação p pessoal'!F:G,2,false)</f>
        <v>NP</v>
      </c>
      <c r="E11" s="65" t="s">
        <v>148</v>
      </c>
      <c r="F11" s="83">
        <v>0.625</v>
      </c>
      <c r="G11" s="83">
        <v>0.75</v>
      </c>
      <c r="H11" s="83">
        <v>0.125</v>
      </c>
      <c r="I11" s="84">
        <v>44202.0</v>
      </c>
      <c r="J11" s="65" t="b">
        <v>1</v>
      </c>
      <c r="K11" s="65"/>
      <c r="L11" s="85" t="b">
        <f>IF(VLOOKUP(C11,Projetos!A:L,12,false)=TRUE,TRUE,FALSE)</f>
        <v>1</v>
      </c>
      <c r="M11" s="74">
        <v>33.15972725468975</v>
      </c>
      <c r="N11" s="74">
        <f t="shared" si="1"/>
        <v>99.47918176</v>
      </c>
      <c r="O11" s="74" t="b">
        <v>1</v>
      </c>
    </row>
    <row r="12" hidden="1">
      <c r="A12" s="82"/>
      <c r="B12" s="65" t="s">
        <v>146</v>
      </c>
      <c r="C12" s="65" t="s">
        <v>130</v>
      </c>
      <c r="D12" s="65" t="str">
        <f>vlookup(C12,'Classificação p pessoal'!F:G,2,false)</f>
        <v>NP</v>
      </c>
      <c r="E12" s="65" t="s">
        <v>147</v>
      </c>
      <c r="F12" s="83">
        <v>0.3541666666666667</v>
      </c>
      <c r="G12" s="83">
        <v>0.4583333333333333</v>
      </c>
      <c r="H12" s="83">
        <v>0.10416666666666667</v>
      </c>
      <c r="I12" s="84">
        <v>44203.0</v>
      </c>
      <c r="J12" s="65" t="b">
        <v>1</v>
      </c>
      <c r="K12" s="65"/>
      <c r="L12" s="85" t="b">
        <f>IF(VLOOKUP(C12,Projetos!A:L,12,false)=TRUE,TRUE,FALSE)</f>
        <v>1</v>
      </c>
      <c r="M12" s="74">
        <v>33.15972725468975</v>
      </c>
      <c r="N12" s="74">
        <f t="shared" si="1"/>
        <v>82.89931814</v>
      </c>
      <c r="O12" s="74" t="b">
        <v>1</v>
      </c>
    </row>
    <row r="13" hidden="1">
      <c r="A13" s="82"/>
      <c r="B13" s="65" t="s">
        <v>146</v>
      </c>
      <c r="C13" s="65" t="s">
        <v>121</v>
      </c>
      <c r="D13" s="65" t="str">
        <f>vlookup(C13,'Classificação p pessoal'!F:G,2,false)</f>
        <v>NP</v>
      </c>
      <c r="E13" s="65" t="s">
        <v>148</v>
      </c>
      <c r="F13" s="83">
        <v>0.5625</v>
      </c>
      <c r="G13" s="83">
        <v>0.75</v>
      </c>
      <c r="H13" s="83">
        <v>0.1875</v>
      </c>
      <c r="I13" s="84">
        <v>44203.0</v>
      </c>
      <c r="J13" s="65" t="b">
        <v>1</v>
      </c>
      <c r="K13" s="65"/>
      <c r="L13" s="85" t="b">
        <f>IF(VLOOKUP(C13,Projetos!A:L,12,false)=TRUE,TRUE,FALSE)</f>
        <v>1</v>
      </c>
      <c r="M13" s="74">
        <v>33.15972725468975</v>
      </c>
      <c r="N13" s="74">
        <f t="shared" si="1"/>
        <v>149.2187726</v>
      </c>
      <c r="O13" s="74" t="b">
        <v>1</v>
      </c>
    </row>
    <row r="14" hidden="1">
      <c r="A14" s="82"/>
      <c r="B14" s="65" t="s">
        <v>146</v>
      </c>
      <c r="C14" s="65" t="s">
        <v>130</v>
      </c>
      <c r="D14" s="65" t="str">
        <f>vlookup(C14,'Classificação p pessoal'!F:G,2,false)</f>
        <v>NP</v>
      </c>
      <c r="E14" s="65" t="s">
        <v>147</v>
      </c>
      <c r="F14" s="83">
        <v>0.3541666666666667</v>
      </c>
      <c r="G14" s="83">
        <v>0.5625</v>
      </c>
      <c r="H14" s="83">
        <v>0.20833333333333334</v>
      </c>
      <c r="I14" s="84">
        <v>44204.0</v>
      </c>
      <c r="J14" s="65" t="b">
        <v>1</v>
      </c>
      <c r="K14" s="65"/>
      <c r="L14" s="85" t="b">
        <f>IF(VLOOKUP(C14,Projetos!A:L,12,false)=TRUE,TRUE,FALSE)</f>
        <v>1</v>
      </c>
      <c r="M14" s="74">
        <v>33.15972725468975</v>
      </c>
      <c r="N14" s="74">
        <f t="shared" si="1"/>
        <v>165.7986363</v>
      </c>
      <c r="O14" s="74" t="b">
        <v>1</v>
      </c>
    </row>
    <row r="15" hidden="1">
      <c r="A15" s="82"/>
      <c r="B15" s="65" t="s">
        <v>146</v>
      </c>
      <c r="C15" s="65" t="s">
        <v>130</v>
      </c>
      <c r="D15" s="65" t="str">
        <f>vlookup(C15,'Classificação p pessoal'!F:G,2,false)</f>
        <v>NP</v>
      </c>
      <c r="E15" s="65" t="s">
        <v>147</v>
      </c>
      <c r="F15" s="83">
        <v>0.3541666666666667</v>
      </c>
      <c r="G15" s="83">
        <v>0.5416666666666666</v>
      </c>
      <c r="H15" s="83">
        <v>0.1875</v>
      </c>
      <c r="I15" s="84">
        <v>44207.0</v>
      </c>
      <c r="J15" s="65" t="b">
        <v>1</v>
      </c>
      <c r="K15" s="65"/>
      <c r="L15" s="85" t="b">
        <f>IF(VLOOKUP(C15,Projetos!A:L,12,false)=TRUE,TRUE,FALSE)</f>
        <v>1</v>
      </c>
      <c r="M15" s="74">
        <v>33.15972725468975</v>
      </c>
      <c r="N15" s="74">
        <f t="shared" si="1"/>
        <v>149.2187726</v>
      </c>
      <c r="O15" s="74" t="b">
        <v>1</v>
      </c>
    </row>
    <row r="16">
      <c r="A16" s="82"/>
      <c r="B16" s="65" t="s">
        <v>146</v>
      </c>
      <c r="C16" s="65" t="s">
        <v>108</v>
      </c>
      <c r="D16" s="65"/>
      <c r="E16" s="65" t="s">
        <v>149</v>
      </c>
      <c r="F16" s="83">
        <v>0.7291666666666666</v>
      </c>
      <c r="G16" s="83">
        <v>0.75</v>
      </c>
      <c r="H16" s="83">
        <v>0.020833333333333332</v>
      </c>
      <c r="I16" s="84">
        <v>44208.0</v>
      </c>
      <c r="J16" s="65" t="b">
        <v>0</v>
      </c>
      <c r="K16" s="65" t="s">
        <v>150</v>
      </c>
      <c r="L16" s="85" t="b">
        <f>IF(VLOOKUP(C16,Projetos!A:L,12,false)=TRUE,TRUE,FALSE)</f>
        <v>1</v>
      </c>
      <c r="M16" s="74">
        <v>33.15972725468975</v>
      </c>
      <c r="N16" s="74">
        <f t="shared" si="1"/>
        <v>0</v>
      </c>
      <c r="O16" s="74" t="b">
        <v>1</v>
      </c>
    </row>
    <row r="17" hidden="1">
      <c r="A17" s="82"/>
      <c r="B17" s="65" t="s">
        <v>146</v>
      </c>
      <c r="C17" s="65" t="s">
        <v>130</v>
      </c>
      <c r="D17" s="65" t="str">
        <f>vlookup(C17,'Classificação p pessoal'!F:G,2,false)</f>
        <v>NP</v>
      </c>
      <c r="E17" s="65" t="s">
        <v>147</v>
      </c>
      <c r="F17" s="83">
        <v>0.5625</v>
      </c>
      <c r="G17" s="83">
        <v>0.7083333333333334</v>
      </c>
      <c r="H17" s="83">
        <v>0.14583333333333334</v>
      </c>
      <c r="I17" s="84">
        <v>44208.0</v>
      </c>
      <c r="J17" s="65" t="b">
        <v>1</v>
      </c>
      <c r="K17" s="65"/>
      <c r="L17" s="85" t="b">
        <f>IF(VLOOKUP(C17,Projetos!A:L,12,false)=TRUE,TRUE,FALSE)</f>
        <v>1</v>
      </c>
      <c r="M17" s="74">
        <v>33.15972725468975</v>
      </c>
      <c r="N17" s="74">
        <f t="shared" si="1"/>
        <v>116.0590454</v>
      </c>
      <c r="O17" s="74" t="b">
        <v>1</v>
      </c>
    </row>
    <row r="18">
      <c r="A18" s="82"/>
      <c r="B18" s="65" t="s">
        <v>146</v>
      </c>
      <c r="C18" s="65" t="s">
        <v>108</v>
      </c>
      <c r="D18" s="65"/>
      <c r="E18" s="65" t="s">
        <v>149</v>
      </c>
      <c r="F18" s="83">
        <v>0.4166666666666667</v>
      </c>
      <c r="G18" s="83">
        <v>0.4583333333333333</v>
      </c>
      <c r="H18" s="83">
        <v>0.041666666666666664</v>
      </c>
      <c r="I18" s="84">
        <v>44209.0</v>
      </c>
      <c r="J18" s="65" t="b">
        <v>0</v>
      </c>
      <c r="K18" s="65" t="s">
        <v>150</v>
      </c>
      <c r="L18" s="85" t="b">
        <f>IF(VLOOKUP(C18,Projetos!A:L,12,false)=TRUE,TRUE,FALSE)</f>
        <v>1</v>
      </c>
      <c r="M18" s="74">
        <v>33.15972725468975</v>
      </c>
      <c r="N18" s="74">
        <f t="shared" si="1"/>
        <v>0</v>
      </c>
      <c r="O18" s="74" t="b">
        <v>1</v>
      </c>
    </row>
    <row r="19" hidden="1">
      <c r="A19" s="82"/>
      <c r="B19" s="65" t="s">
        <v>146</v>
      </c>
      <c r="C19" s="65" t="s">
        <v>130</v>
      </c>
      <c r="D19" s="65" t="str">
        <f>vlookup(C19,'Classificação p pessoal'!F:G,2,false)</f>
        <v>NP</v>
      </c>
      <c r="E19" s="65" t="s">
        <v>147</v>
      </c>
      <c r="F19" s="83">
        <v>0.5625</v>
      </c>
      <c r="G19" s="83">
        <v>0.75</v>
      </c>
      <c r="H19" s="83">
        <v>0.1875</v>
      </c>
      <c r="I19" s="84">
        <v>44209.0</v>
      </c>
      <c r="J19" s="65" t="b">
        <v>1</v>
      </c>
      <c r="K19" s="65"/>
      <c r="L19" s="85" t="b">
        <f>IF(VLOOKUP(C19,Projetos!A:L,12,false)=TRUE,TRUE,FALSE)</f>
        <v>1</v>
      </c>
      <c r="M19" s="74">
        <v>33.15972725468975</v>
      </c>
      <c r="N19" s="74">
        <f t="shared" si="1"/>
        <v>149.2187726</v>
      </c>
      <c r="O19" s="74" t="b">
        <v>1</v>
      </c>
    </row>
    <row r="20" hidden="1">
      <c r="A20" s="82"/>
      <c r="B20" s="65" t="s">
        <v>146</v>
      </c>
      <c r="C20" s="65" t="s">
        <v>121</v>
      </c>
      <c r="D20" s="65" t="str">
        <f>vlookup(C20,'Classificação p pessoal'!F:G,2,false)</f>
        <v>NP</v>
      </c>
      <c r="E20" s="65" t="s">
        <v>148</v>
      </c>
      <c r="F20" s="83">
        <v>0.3541666666666667</v>
      </c>
      <c r="G20" s="83">
        <v>0.5208333333333334</v>
      </c>
      <c r="H20" s="83">
        <v>0.16666666666666666</v>
      </c>
      <c r="I20" s="84">
        <v>44210.0</v>
      </c>
      <c r="J20" s="65" t="b">
        <v>1</v>
      </c>
      <c r="K20" s="65"/>
      <c r="L20" s="85" t="b">
        <f>IF(VLOOKUP(C20,Projetos!A:L,12,false)=TRUE,TRUE,FALSE)</f>
        <v>1</v>
      </c>
      <c r="M20" s="74">
        <v>33.15972725468975</v>
      </c>
      <c r="N20" s="74">
        <f t="shared" si="1"/>
        <v>132.638909</v>
      </c>
      <c r="O20" s="74" t="b">
        <v>1</v>
      </c>
    </row>
    <row r="21" hidden="1">
      <c r="A21" s="82"/>
      <c r="B21" s="65" t="s">
        <v>146</v>
      </c>
      <c r="C21" s="65" t="s">
        <v>130</v>
      </c>
      <c r="D21" s="65" t="str">
        <f>vlookup(C21,'Classificação p pessoal'!F:G,2,false)</f>
        <v>NP</v>
      </c>
      <c r="E21" s="65" t="s">
        <v>147</v>
      </c>
      <c r="F21" s="83">
        <v>0.5833333333333334</v>
      </c>
      <c r="G21" s="83">
        <v>0.75</v>
      </c>
      <c r="H21" s="83">
        <v>0.16666666666666666</v>
      </c>
      <c r="I21" s="84">
        <v>44210.0</v>
      </c>
      <c r="J21" s="65" t="b">
        <v>1</v>
      </c>
      <c r="K21" s="65"/>
      <c r="L21" s="85" t="b">
        <f>IF(VLOOKUP(C21,Projetos!A:L,12,false)=TRUE,TRUE,FALSE)</f>
        <v>1</v>
      </c>
      <c r="M21" s="74">
        <v>33.15972725468975</v>
      </c>
      <c r="N21" s="74">
        <f t="shared" si="1"/>
        <v>132.638909</v>
      </c>
      <c r="O21" s="74" t="b">
        <v>1</v>
      </c>
    </row>
    <row r="22" hidden="1">
      <c r="A22" s="82"/>
      <c r="B22" s="65" t="s">
        <v>146</v>
      </c>
      <c r="C22" s="65" t="s">
        <v>130</v>
      </c>
      <c r="D22" s="65" t="str">
        <f>vlookup(C22,'Classificação p pessoal'!F:G,2,false)</f>
        <v>NP</v>
      </c>
      <c r="E22" s="65" t="s">
        <v>147</v>
      </c>
      <c r="F22" s="83">
        <v>0.3541666666666667</v>
      </c>
      <c r="G22" s="83">
        <v>0.4375</v>
      </c>
      <c r="H22" s="83">
        <v>0.08333333333333333</v>
      </c>
      <c r="I22" s="84">
        <v>44211.0</v>
      </c>
      <c r="J22" s="65" t="b">
        <v>1</v>
      </c>
      <c r="K22" s="65"/>
      <c r="L22" s="85" t="b">
        <f>IF(VLOOKUP(C22,Projetos!A:L,12,false)=TRUE,TRUE,FALSE)</f>
        <v>1</v>
      </c>
      <c r="M22" s="74">
        <v>33.15972725468975</v>
      </c>
      <c r="N22" s="74">
        <f t="shared" si="1"/>
        <v>66.31945451</v>
      </c>
      <c r="O22" s="74" t="b">
        <v>1</v>
      </c>
    </row>
    <row r="23" hidden="1">
      <c r="A23" s="82"/>
      <c r="B23" s="65" t="s">
        <v>146</v>
      </c>
      <c r="C23" s="65" t="s">
        <v>127</v>
      </c>
      <c r="D23" s="65" t="str">
        <f>vlookup(C23,'Classificação p pessoal'!F:G,2,false)</f>
        <v>NP</v>
      </c>
      <c r="E23" s="65" t="s">
        <v>148</v>
      </c>
      <c r="F23" s="83">
        <v>0.5416666666666666</v>
      </c>
      <c r="G23" s="83">
        <v>0.75</v>
      </c>
      <c r="H23" s="83">
        <v>0.20833333333333334</v>
      </c>
      <c r="I23" s="84">
        <v>44214.0</v>
      </c>
      <c r="J23" s="65" t="b">
        <v>1</v>
      </c>
      <c r="K23" s="65"/>
      <c r="L23" s="85" t="b">
        <f>IF(VLOOKUP(C23,Projetos!A:L,12,false)=TRUE,TRUE,FALSE)</f>
        <v>1</v>
      </c>
      <c r="M23" s="74">
        <v>33.15972725468975</v>
      </c>
      <c r="N23" s="74">
        <f t="shared" si="1"/>
        <v>165.7986363</v>
      </c>
      <c r="O23" s="74" t="b">
        <v>1</v>
      </c>
    </row>
    <row r="24" hidden="1">
      <c r="A24" s="82"/>
      <c r="B24" s="65" t="s">
        <v>146</v>
      </c>
      <c r="C24" s="65" t="s">
        <v>121</v>
      </c>
      <c r="D24" s="65" t="str">
        <f>vlookup(C24,'Classificação p pessoal'!F:G,2,false)</f>
        <v>NP</v>
      </c>
      <c r="E24" s="65" t="s">
        <v>148</v>
      </c>
      <c r="F24" s="83">
        <v>0.3541666666666667</v>
      </c>
      <c r="G24" s="83">
        <v>0.5625</v>
      </c>
      <c r="H24" s="83">
        <v>0.20833333333333334</v>
      </c>
      <c r="I24" s="84">
        <v>44215.0</v>
      </c>
      <c r="J24" s="65" t="b">
        <v>1</v>
      </c>
      <c r="K24" s="65"/>
      <c r="L24" s="85" t="b">
        <f>IF(VLOOKUP(C24,Projetos!A:L,12,false)=TRUE,TRUE,FALSE)</f>
        <v>1</v>
      </c>
      <c r="M24" s="74">
        <v>33.15972725468975</v>
      </c>
      <c r="N24" s="74">
        <f t="shared" si="1"/>
        <v>165.7986363</v>
      </c>
      <c r="O24" s="74" t="b">
        <v>1</v>
      </c>
    </row>
    <row r="25" hidden="1">
      <c r="A25" s="82"/>
      <c r="B25" s="65" t="s">
        <v>146</v>
      </c>
      <c r="C25" s="65" t="s">
        <v>121</v>
      </c>
      <c r="D25" s="65" t="str">
        <f>vlookup(C25,'Classificação p pessoal'!F:G,2,false)</f>
        <v>NP</v>
      </c>
      <c r="E25" s="65" t="s">
        <v>148</v>
      </c>
      <c r="F25" s="83">
        <v>0.3541666666666667</v>
      </c>
      <c r="G25" s="83">
        <v>0.5416666666666666</v>
      </c>
      <c r="H25" s="83">
        <v>0.1875</v>
      </c>
      <c r="I25" s="84">
        <v>44216.0</v>
      </c>
      <c r="J25" s="65" t="b">
        <v>1</v>
      </c>
      <c r="K25" s="65"/>
      <c r="L25" s="85" t="b">
        <f>IF(VLOOKUP(C25,Projetos!A:L,12,false)=TRUE,TRUE,FALSE)</f>
        <v>1</v>
      </c>
      <c r="M25" s="74">
        <v>33.15972725468975</v>
      </c>
      <c r="N25" s="74">
        <f t="shared" si="1"/>
        <v>149.2187726</v>
      </c>
      <c r="O25" s="74" t="b">
        <v>1</v>
      </c>
    </row>
    <row r="26" hidden="1">
      <c r="A26" s="82"/>
      <c r="B26" s="65" t="s">
        <v>146</v>
      </c>
      <c r="C26" s="65" t="s">
        <v>88</v>
      </c>
      <c r="D26" s="65"/>
      <c r="E26" s="65" t="s">
        <v>149</v>
      </c>
      <c r="F26" s="83">
        <v>0.5625</v>
      </c>
      <c r="G26" s="83">
        <v>0.75</v>
      </c>
      <c r="H26" s="83">
        <v>0.1875</v>
      </c>
      <c r="I26" s="84">
        <v>44217.0</v>
      </c>
      <c r="J26" s="65" t="b">
        <v>0</v>
      </c>
      <c r="K26" s="65" t="s">
        <v>150</v>
      </c>
      <c r="L26" s="85" t="b">
        <f>IF(VLOOKUP(C26,Projetos!A:L,12,false)=TRUE,TRUE,FALSE)</f>
        <v>1</v>
      </c>
      <c r="M26" s="74">
        <v>33.15972725468975</v>
      </c>
      <c r="N26" s="74">
        <f t="shared" si="1"/>
        <v>0</v>
      </c>
      <c r="O26" s="74" t="b">
        <v>1</v>
      </c>
    </row>
    <row r="27" hidden="1">
      <c r="A27" s="82"/>
      <c r="B27" s="65" t="s">
        <v>146</v>
      </c>
      <c r="C27" s="65" t="s">
        <v>88</v>
      </c>
      <c r="D27" s="65"/>
      <c r="E27" s="65" t="s">
        <v>149</v>
      </c>
      <c r="F27" s="83">
        <v>0.5208333333333334</v>
      </c>
      <c r="G27" s="83">
        <v>0.75</v>
      </c>
      <c r="H27" s="83">
        <v>0.22916666666666666</v>
      </c>
      <c r="I27" s="84">
        <v>44218.0</v>
      </c>
      <c r="J27" s="65" t="b">
        <v>0</v>
      </c>
      <c r="K27" s="65" t="s">
        <v>150</v>
      </c>
      <c r="L27" s="85" t="b">
        <f>IF(VLOOKUP(C27,Projetos!A:L,12,false)=TRUE,TRUE,FALSE)</f>
        <v>1</v>
      </c>
      <c r="M27" s="74">
        <v>33.15972725468975</v>
      </c>
      <c r="N27" s="74">
        <f t="shared" si="1"/>
        <v>0</v>
      </c>
      <c r="O27" s="74" t="b">
        <v>1</v>
      </c>
    </row>
    <row r="28" hidden="1">
      <c r="A28" s="82"/>
      <c r="B28" s="65" t="s">
        <v>146</v>
      </c>
      <c r="C28" s="65" t="s">
        <v>88</v>
      </c>
      <c r="D28" s="65"/>
      <c r="E28" s="65" t="s">
        <v>149</v>
      </c>
      <c r="F28" s="83">
        <v>0.34375</v>
      </c>
      <c r="G28" s="83">
        <v>0.5416666666666666</v>
      </c>
      <c r="H28" s="83">
        <v>0.19791666666666666</v>
      </c>
      <c r="I28" s="84">
        <v>44221.0</v>
      </c>
      <c r="J28" s="65" t="b">
        <v>0</v>
      </c>
      <c r="K28" s="65" t="s">
        <v>150</v>
      </c>
      <c r="L28" s="85" t="b">
        <f>IF(VLOOKUP(C28,Projetos!A:L,12,false)=TRUE,TRUE,FALSE)</f>
        <v>1</v>
      </c>
      <c r="M28" s="74">
        <v>33.15972725468975</v>
      </c>
      <c r="N28" s="74">
        <f t="shared" si="1"/>
        <v>0</v>
      </c>
      <c r="O28" s="74" t="b">
        <v>1</v>
      </c>
    </row>
    <row r="29" hidden="1">
      <c r="A29" s="82"/>
      <c r="B29" s="65" t="s">
        <v>146</v>
      </c>
      <c r="C29" s="65" t="s">
        <v>121</v>
      </c>
      <c r="D29" s="65" t="str">
        <f>vlookup(C29,'Classificação p pessoal'!F:G,2,false)</f>
        <v>NP</v>
      </c>
      <c r="E29" s="65" t="s">
        <v>148</v>
      </c>
      <c r="F29" s="83">
        <v>0.5833333333333334</v>
      </c>
      <c r="G29" s="83">
        <v>0.75</v>
      </c>
      <c r="H29" s="83">
        <v>0.16666666666666666</v>
      </c>
      <c r="I29" s="84">
        <v>44221.0</v>
      </c>
      <c r="J29" s="65" t="b">
        <v>1</v>
      </c>
      <c r="K29" s="65"/>
      <c r="L29" s="85" t="b">
        <f>IF(VLOOKUP(C29,Projetos!A:L,12,false)=TRUE,TRUE,FALSE)</f>
        <v>1</v>
      </c>
      <c r="M29" s="74">
        <v>33.15972725468975</v>
      </c>
      <c r="N29" s="74">
        <f t="shared" si="1"/>
        <v>132.638909</v>
      </c>
      <c r="O29" s="74" t="b">
        <v>1</v>
      </c>
    </row>
    <row r="30" hidden="1">
      <c r="A30" s="82"/>
      <c r="B30" s="65" t="s">
        <v>146</v>
      </c>
      <c r="C30" s="65" t="s">
        <v>121</v>
      </c>
      <c r="D30" s="65" t="str">
        <f>vlookup(C30,'Classificação p pessoal'!F:G,2,false)</f>
        <v>NP</v>
      </c>
      <c r="E30" s="65" t="s">
        <v>148</v>
      </c>
      <c r="F30" s="83">
        <v>0.34375</v>
      </c>
      <c r="G30" s="83">
        <v>0.5416666666666666</v>
      </c>
      <c r="H30" s="83">
        <v>0.19791666666666666</v>
      </c>
      <c r="I30" s="84">
        <v>44222.0</v>
      </c>
      <c r="J30" s="65" t="b">
        <v>1</v>
      </c>
      <c r="K30" s="65"/>
      <c r="L30" s="85" t="b">
        <f>IF(VLOOKUP(C30,Projetos!A:L,12,false)=TRUE,TRUE,FALSE)</f>
        <v>1</v>
      </c>
      <c r="M30" s="74">
        <v>33.15972725468975</v>
      </c>
      <c r="N30" s="74">
        <f t="shared" si="1"/>
        <v>157.5087045</v>
      </c>
      <c r="O30" s="74" t="b">
        <v>1</v>
      </c>
    </row>
    <row r="31" hidden="1">
      <c r="A31" s="82"/>
      <c r="B31" s="65" t="s">
        <v>146</v>
      </c>
      <c r="C31" s="65" t="s">
        <v>88</v>
      </c>
      <c r="D31" s="65"/>
      <c r="E31" s="65" t="s">
        <v>149</v>
      </c>
      <c r="F31" s="83">
        <v>0.5833333333333334</v>
      </c>
      <c r="G31" s="83">
        <v>0.75</v>
      </c>
      <c r="H31" s="83">
        <v>0.16666666666666666</v>
      </c>
      <c r="I31" s="84">
        <v>44222.0</v>
      </c>
      <c r="J31" s="65" t="b">
        <v>0</v>
      </c>
      <c r="K31" s="65" t="s">
        <v>150</v>
      </c>
      <c r="L31" s="85" t="b">
        <f>IF(VLOOKUP(C31,Projetos!A:L,12,false)=TRUE,TRUE,FALSE)</f>
        <v>1</v>
      </c>
      <c r="M31" s="74">
        <v>33.15972725468975</v>
      </c>
      <c r="N31" s="74">
        <f t="shared" si="1"/>
        <v>0</v>
      </c>
      <c r="O31" s="74" t="b">
        <v>1</v>
      </c>
    </row>
    <row r="32" hidden="1">
      <c r="A32" s="82"/>
      <c r="B32" s="65" t="s">
        <v>146</v>
      </c>
      <c r="C32" s="65" t="s">
        <v>121</v>
      </c>
      <c r="D32" s="65" t="str">
        <f>vlookup(C32,'Classificação p pessoal'!F:G,2,false)</f>
        <v>NP</v>
      </c>
      <c r="E32" s="65" t="s">
        <v>148</v>
      </c>
      <c r="F32" s="83">
        <v>0.34375</v>
      </c>
      <c r="G32" s="83">
        <v>0.5416666666666666</v>
      </c>
      <c r="H32" s="83">
        <v>0.19791666666666666</v>
      </c>
      <c r="I32" s="84">
        <v>44223.0</v>
      </c>
      <c r="J32" s="65" t="b">
        <v>1</v>
      </c>
      <c r="K32" s="65"/>
      <c r="L32" s="85" t="b">
        <f>IF(VLOOKUP(C32,Projetos!A:L,12,false)=TRUE,TRUE,FALSE)</f>
        <v>1</v>
      </c>
      <c r="M32" s="74">
        <v>33.15972725468975</v>
      </c>
      <c r="N32" s="74">
        <f t="shared" si="1"/>
        <v>157.5087045</v>
      </c>
      <c r="O32" s="74" t="b">
        <v>1</v>
      </c>
    </row>
    <row r="33" hidden="1">
      <c r="A33" s="82"/>
      <c r="B33" s="65" t="s">
        <v>146</v>
      </c>
      <c r="C33" s="65" t="s">
        <v>121</v>
      </c>
      <c r="D33" s="65" t="str">
        <f>vlookup(C33,'Classificação p pessoal'!F:G,2,false)</f>
        <v>NP</v>
      </c>
      <c r="E33" s="65" t="s">
        <v>148</v>
      </c>
      <c r="F33" s="83">
        <v>0.34375</v>
      </c>
      <c r="G33" s="83">
        <v>0.5416666666666666</v>
      </c>
      <c r="H33" s="83">
        <v>0.19791666666666666</v>
      </c>
      <c r="I33" s="84">
        <v>44224.0</v>
      </c>
      <c r="J33" s="65" t="b">
        <v>1</v>
      </c>
      <c r="K33" s="65"/>
      <c r="L33" s="85" t="b">
        <f>IF(VLOOKUP(C33,Projetos!A:L,12,false)=TRUE,TRUE,FALSE)</f>
        <v>1</v>
      </c>
      <c r="M33" s="74">
        <v>33.15972725468975</v>
      </c>
      <c r="N33" s="74">
        <f t="shared" si="1"/>
        <v>157.5087045</v>
      </c>
      <c r="O33" s="74" t="b">
        <v>1</v>
      </c>
    </row>
    <row r="34" hidden="1">
      <c r="A34" s="82"/>
      <c r="B34" s="65" t="s">
        <v>146</v>
      </c>
      <c r="C34" s="65" t="s">
        <v>121</v>
      </c>
      <c r="D34" s="65" t="str">
        <f>vlookup(C34,'Classificação p pessoal'!F:G,2,false)</f>
        <v>NP</v>
      </c>
      <c r="E34" s="65" t="s">
        <v>148</v>
      </c>
      <c r="F34" s="83">
        <v>0.34375</v>
      </c>
      <c r="G34" s="83">
        <v>0.4166666666666667</v>
      </c>
      <c r="H34" s="83">
        <v>0.07291666666666667</v>
      </c>
      <c r="I34" s="84">
        <v>44225.0</v>
      </c>
      <c r="J34" s="65" t="b">
        <v>1</v>
      </c>
      <c r="K34" s="65"/>
      <c r="L34" s="85" t="b">
        <f>IF(VLOOKUP(C34,Projetos!A:L,12,false)=TRUE,TRUE,FALSE)</f>
        <v>1</v>
      </c>
      <c r="M34" s="74">
        <v>33.15972725468975</v>
      </c>
      <c r="N34" s="74">
        <f t="shared" si="1"/>
        <v>58.0295227</v>
      </c>
      <c r="O34" s="74" t="b">
        <v>1</v>
      </c>
    </row>
    <row r="35" hidden="1">
      <c r="A35" s="82"/>
      <c r="B35" s="65" t="s">
        <v>146</v>
      </c>
      <c r="C35" s="65" t="s">
        <v>130</v>
      </c>
      <c r="D35" s="65" t="str">
        <f>vlookup(C35,'Classificação p pessoal'!F:G,2,false)</f>
        <v>NP</v>
      </c>
      <c r="E35" s="65" t="s">
        <v>147</v>
      </c>
      <c r="F35" s="83">
        <v>0.5</v>
      </c>
      <c r="G35" s="83">
        <v>0.7083333333333334</v>
      </c>
      <c r="H35" s="83">
        <v>0.20833333333333334</v>
      </c>
      <c r="I35" s="84">
        <v>44225.0</v>
      </c>
      <c r="J35" s="65" t="b">
        <v>1</v>
      </c>
      <c r="K35" s="65"/>
      <c r="L35" s="85" t="b">
        <f>IF(VLOOKUP(C35,Projetos!A:L,12,false)=TRUE,TRUE,FALSE)</f>
        <v>1</v>
      </c>
      <c r="M35" s="74">
        <v>33.15972725468975</v>
      </c>
      <c r="N35" s="74">
        <f t="shared" si="1"/>
        <v>165.7986363</v>
      </c>
      <c r="O35" s="74" t="b">
        <v>1</v>
      </c>
    </row>
    <row r="36" hidden="1">
      <c r="A36" s="82"/>
      <c r="B36" s="65" t="s">
        <v>146</v>
      </c>
      <c r="C36" s="65" t="s">
        <v>130</v>
      </c>
      <c r="D36" s="65" t="str">
        <f>vlookup(C36,'Classificação p pessoal'!F:G,2,false)</f>
        <v>NP</v>
      </c>
      <c r="E36" s="65" t="s">
        <v>147</v>
      </c>
      <c r="F36" s="83">
        <v>0.3541666666666667</v>
      </c>
      <c r="G36" s="83">
        <v>0.5208333333333334</v>
      </c>
      <c r="H36" s="83">
        <v>0.16666666666666666</v>
      </c>
      <c r="I36" s="84">
        <v>44228.0</v>
      </c>
      <c r="J36" s="65" t="b">
        <v>1</v>
      </c>
      <c r="K36" s="65"/>
      <c r="L36" s="85" t="b">
        <f>IF(VLOOKUP(C36,Projetos!A:L,12,false)=TRUE,TRUE,FALSE)</f>
        <v>1</v>
      </c>
      <c r="M36" s="74">
        <v>33.15972725468975</v>
      </c>
      <c r="N36" s="74">
        <f t="shared" si="1"/>
        <v>132.638909</v>
      </c>
      <c r="O36" s="74" t="b">
        <v>1</v>
      </c>
    </row>
    <row r="37" hidden="1">
      <c r="A37" s="82"/>
      <c r="B37" s="65" t="s">
        <v>146</v>
      </c>
      <c r="C37" s="65" t="s">
        <v>127</v>
      </c>
      <c r="D37" s="65" t="str">
        <f>vlookup(C37,'Classificação p pessoal'!F:G,2,false)</f>
        <v>NP</v>
      </c>
      <c r="E37" s="65" t="s">
        <v>148</v>
      </c>
      <c r="F37" s="83">
        <v>0.625</v>
      </c>
      <c r="G37" s="83">
        <v>0.75</v>
      </c>
      <c r="H37" s="83">
        <v>0.125</v>
      </c>
      <c r="I37" s="84">
        <v>44228.0</v>
      </c>
      <c r="J37" s="65" t="b">
        <v>1</v>
      </c>
      <c r="K37" s="65"/>
      <c r="L37" s="85" t="b">
        <f>IF(VLOOKUP(C37,Projetos!A:L,12,false)=TRUE,TRUE,FALSE)</f>
        <v>1</v>
      </c>
      <c r="M37" s="74">
        <v>33.15972725468975</v>
      </c>
      <c r="N37" s="74">
        <f t="shared" si="1"/>
        <v>99.47918176</v>
      </c>
      <c r="O37" s="74" t="b">
        <v>1</v>
      </c>
    </row>
    <row r="38" hidden="1">
      <c r="A38" s="82"/>
      <c r="B38" s="65" t="s">
        <v>146</v>
      </c>
      <c r="C38" s="65" t="s">
        <v>127</v>
      </c>
      <c r="D38" s="65" t="str">
        <f>vlookup(C38,'Classificação p pessoal'!F:G,2,false)</f>
        <v>NP</v>
      </c>
      <c r="E38" s="65" t="s">
        <v>148</v>
      </c>
      <c r="F38" s="83">
        <v>0.34375</v>
      </c>
      <c r="G38" s="83">
        <v>0.5520833333333334</v>
      </c>
      <c r="H38" s="83">
        <v>0.20833333333333334</v>
      </c>
      <c r="I38" s="84">
        <v>44229.0</v>
      </c>
      <c r="J38" s="65" t="b">
        <v>1</v>
      </c>
      <c r="K38" s="65"/>
      <c r="L38" s="85" t="b">
        <f>IF(VLOOKUP(C38,Projetos!A:L,12,false)=TRUE,TRUE,FALSE)</f>
        <v>1</v>
      </c>
      <c r="M38" s="74">
        <v>33.15972725468975</v>
      </c>
      <c r="N38" s="74">
        <f t="shared" si="1"/>
        <v>165.7986363</v>
      </c>
      <c r="O38" s="74" t="b">
        <v>1</v>
      </c>
    </row>
    <row r="39" hidden="1">
      <c r="A39" s="82"/>
      <c r="B39" s="65" t="s">
        <v>146</v>
      </c>
      <c r="C39" s="65" t="s">
        <v>127</v>
      </c>
      <c r="D39" s="65" t="str">
        <f>vlookup(C39,'Classificação p pessoal'!F:G,2,false)</f>
        <v>NP</v>
      </c>
      <c r="E39" s="65" t="s">
        <v>148</v>
      </c>
      <c r="F39" s="83">
        <v>0.34375</v>
      </c>
      <c r="G39" s="83">
        <v>0.46875</v>
      </c>
      <c r="H39" s="83">
        <v>0.125</v>
      </c>
      <c r="I39" s="84">
        <v>44230.0</v>
      </c>
      <c r="J39" s="65" t="b">
        <v>1</v>
      </c>
      <c r="K39" s="65"/>
      <c r="L39" s="85" t="b">
        <f>IF(VLOOKUP(C39,Projetos!A:L,12,false)=TRUE,TRUE,FALSE)</f>
        <v>1</v>
      </c>
      <c r="M39" s="74">
        <v>33.15972725468975</v>
      </c>
      <c r="N39" s="74">
        <f t="shared" si="1"/>
        <v>99.47918176</v>
      </c>
      <c r="O39" s="74" t="b">
        <v>1</v>
      </c>
    </row>
    <row r="40" hidden="1">
      <c r="A40" s="82"/>
      <c r="B40" s="65" t="s">
        <v>146</v>
      </c>
      <c r="C40" s="65" t="s">
        <v>130</v>
      </c>
      <c r="D40" s="65" t="str">
        <f>vlookup(C40,'Classificação p pessoal'!F:G,2,false)</f>
        <v>NP</v>
      </c>
      <c r="E40" s="65" t="s">
        <v>147</v>
      </c>
      <c r="F40" s="83">
        <v>0.625</v>
      </c>
      <c r="G40" s="83">
        <v>0.75</v>
      </c>
      <c r="H40" s="83">
        <v>0.125</v>
      </c>
      <c r="I40" s="84">
        <v>44230.0</v>
      </c>
      <c r="J40" s="65" t="b">
        <v>1</v>
      </c>
      <c r="K40" s="65"/>
      <c r="L40" s="85" t="b">
        <f>IF(VLOOKUP(C40,Projetos!A:L,12,false)=TRUE,TRUE,FALSE)</f>
        <v>1</v>
      </c>
      <c r="M40" s="74">
        <v>33.15972725468975</v>
      </c>
      <c r="N40" s="74">
        <f t="shared" si="1"/>
        <v>99.47918176</v>
      </c>
      <c r="O40" s="74" t="b">
        <v>1</v>
      </c>
    </row>
    <row r="41" hidden="1">
      <c r="A41" s="82"/>
      <c r="B41" s="65" t="s">
        <v>146</v>
      </c>
      <c r="C41" s="65" t="s">
        <v>130</v>
      </c>
      <c r="D41" s="65" t="str">
        <f>vlookup(C41,'Classificação p pessoal'!F:G,2,false)</f>
        <v>NP</v>
      </c>
      <c r="E41" s="65" t="s">
        <v>147</v>
      </c>
      <c r="F41" s="83">
        <v>0.34375</v>
      </c>
      <c r="G41" s="83">
        <v>0.46875</v>
      </c>
      <c r="H41" s="83">
        <v>0.125</v>
      </c>
      <c r="I41" s="84">
        <v>44231.0</v>
      </c>
      <c r="J41" s="65" t="b">
        <v>1</v>
      </c>
      <c r="K41" s="65"/>
      <c r="L41" s="85" t="b">
        <f>IF(VLOOKUP(C41,Projetos!A:L,12,false)=TRUE,TRUE,FALSE)</f>
        <v>1</v>
      </c>
      <c r="M41" s="74">
        <v>33.15972725468975</v>
      </c>
      <c r="N41" s="74">
        <f t="shared" si="1"/>
        <v>99.47918176</v>
      </c>
      <c r="O41" s="74" t="b">
        <v>1</v>
      </c>
    </row>
    <row r="42" hidden="1">
      <c r="A42" s="82"/>
      <c r="B42" s="65" t="s">
        <v>146</v>
      </c>
      <c r="C42" s="65" t="s">
        <v>127</v>
      </c>
      <c r="D42" s="65" t="str">
        <f>vlookup(C42,'Classificação p pessoal'!F:G,2,false)</f>
        <v>NP</v>
      </c>
      <c r="E42" s="65" t="s">
        <v>148</v>
      </c>
      <c r="F42" s="83">
        <v>0.5833333333333334</v>
      </c>
      <c r="G42" s="83">
        <v>0.75</v>
      </c>
      <c r="H42" s="83">
        <v>0.16666666666666666</v>
      </c>
      <c r="I42" s="84">
        <v>44231.0</v>
      </c>
      <c r="J42" s="65" t="b">
        <v>1</v>
      </c>
      <c r="K42" s="65"/>
      <c r="L42" s="85" t="b">
        <f>IF(VLOOKUP(C42,Projetos!A:L,12,false)=TRUE,TRUE,FALSE)</f>
        <v>1</v>
      </c>
      <c r="M42" s="74">
        <v>33.15972725468975</v>
      </c>
      <c r="N42" s="74">
        <f t="shared" si="1"/>
        <v>132.638909</v>
      </c>
      <c r="O42" s="74" t="b">
        <v>1</v>
      </c>
    </row>
    <row r="43" hidden="1">
      <c r="A43" s="82"/>
      <c r="B43" s="65" t="s">
        <v>146</v>
      </c>
      <c r="C43" s="65" t="s">
        <v>127</v>
      </c>
      <c r="D43" s="65" t="str">
        <f>vlookup(C43,'Classificação p pessoal'!F:G,2,false)</f>
        <v>NP</v>
      </c>
      <c r="E43" s="65" t="s">
        <v>148</v>
      </c>
      <c r="F43" s="83">
        <v>0.3541666666666667</v>
      </c>
      <c r="G43" s="83">
        <v>0.5416666666666666</v>
      </c>
      <c r="H43" s="83">
        <v>0.1875</v>
      </c>
      <c r="I43" s="84">
        <v>44232.0</v>
      </c>
      <c r="J43" s="65" t="b">
        <v>1</v>
      </c>
      <c r="K43" s="65"/>
      <c r="L43" s="85" t="b">
        <f>IF(VLOOKUP(C43,Projetos!A:L,12,false)=TRUE,TRUE,FALSE)</f>
        <v>1</v>
      </c>
      <c r="M43" s="74">
        <v>33.15972725468975</v>
      </c>
      <c r="N43" s="74">
        <f t="shared" si="1"/>
        <v>149.2187726</v>
      </c>
      <c r="O43" s="74" t="b">
        <v>1</v>
      </c>
    </row>
    <row r="44" hidden="1">
      <c r="A44" s="82"/>
      <c r="B44" s="65" t="s">
        <v>146</v>
      </c>
      <c r="C44" s="65" t="s">
        <v>130</v>
      </c>
      <c r="D44" s="65" t="str">
        <f>vlookup(C44,'Classificação p pessoal'!F:G,2,false)</f>
        <v>NP</v>
      </c>
      <c r="E44" s="65" t="s">
        <v>147</v>
      </c>
      <c r="F44" s="83">
        <v>0.6875</v>
      </c>
      <c r="G44" s="83">
        <v>0.75</v>
      </c>
      <c r="H44" s="83">
        <v>0.0625</v>
      </c>
      <c r="I44" s="84">
        <v>44232.0</v>
      </c>
      <c r="J44" s="65" t="b">
        <v>1</v>
      </c>
      <c r="K44" s="65"/>
      <c r="L44" s="85" t="b">
        <f>IF(VLOOKUP(C44,Projetos!A:L,12,false)=TRUE,TRUE,FALSE)</f>
        <v>1</v>
      </c>
      <c r="M44" s="74">
        <v>33.15972725468975</v>
      </c>
      <c r="N44" s="74">
        <f t="shared" si="1"/>
        <v>49.73959088</v>
      </c>
      <c r="O44" s="74" t="b">
        <v>1</v>
      </c>
    </row>
    <row r="45" hidden="1">
      <c r="A45" s="82"/>
      <c r="B45" s="65" t="s">
        <v>146</v>
      </c>
      <c r="C45" s="65" t="s">
        <v>118</v>
      </c>
      <c r="D45" s="65" t="str">
        <f>vlookup(C45,'Classificação p pessoal'!F:G,2,false)</f>
        <v>MProduto</v>
      </c>
      <c r="E45" s="65" t="s">
        <v>147</v>
      </c>
      <c r="F45" s="83">
        <v>0.625</v>
      </c>
      <c r="G45" s="83">
        <v>0.6875</v>
      </c>
      <c r="H45" s="83">
        <v>0.0625</v>
      </c>
      <c r="I45" s="84">
        <v>44232.0</v>
      </c>
      <c r="J45" s="65" t="b">
        <v>1</v>
      </c>
      <c r="K45" s="65"/>
      <c r="L45" s="85" t="b">
        <f>IF(VLOOKUP(C45,Projetos!A:L,12,false)=TRUE,TRUE,FALSE)</f>
        <v>1</v>
      </c>
      <c r="M45" s="74">
        <v>33.15972725468975</v>
      </c>
      <c r="N45" s="74">
        <f t="shared" si="1"/>
        <v>49.73959088</v>
      </c>
      <c r="O45" s="74" t="b">
        <v>1</v>
      </c>
    </row>
    <row r="46" hidden="1">
      <c r="A46" s="82"/>
      <c r="B46" s="65" t="s">
        <v>146</v>
      </c>
      <c r="C46" s="65" t="s">
        <v>130</v>
      </c>
      <c r="D46" s="65" t="str">
        <f>vlookup(C46,'Classificação p pessoal'!F:G,2,false)</f>
        <v>NP</v>
      </c>
      <c r="E46" s="65" t="s">
        <v>147</v>
      </c>
      <c r="F46" s="83">
        <v>0.34375</v>
      </c>
      <c r="G46" s="83">
        <v>0.4791666666666667</v>
      </c>
      <c r="H46" s="83">
        <v>0.13541666666666666</v>
      </c>
      <c r="I46" s="84">
        <v>44235.0</v>
      </c>
      <c r="J46" s="65" t="b">
        <v>1</v>
      </c>
      <c r="K46" s="65"/>
      <c r="L46" s="85" t="b">
        <f>IF(VLOOKUP(C46,Projetos!A:L,12,false)=TRUE,TRUE,FALSE)</f>
        <v>1</v>
      </c>
      <c r="M46" s="74">
        <v>33.15972725468975</v>
      </c>
      <c r="N46" s="74">
        <f t="shared" si="1"/>
        <v>107.7691136</v>
      </c>
      <c r="O46" s="74" t="b">
        <v>1</v>
      </c>
    </row>
    <row r="47" hidden="1">
      <c r="A47" s="82"/>
      <c r="B47" s="65" t="s">
        <v>146</v>
      </c>
      <c r="C47" s="65" t="s">
        <v>127</v>
      </c>
      <c r="D47" s="65" t="str">
        <f>vlookup(C47,'Classificação p pessoal'!F:G,2,false)</f>
        <v>NP</v>
      </c>
      <c r="E47" s="65" t="s">
        <v>148</v>
      </c>
      <c r="F47" s="83">
        <v>0.5833333333333334</v>
      </c>
      <c r="G47" s="83">
        <v>0.6666666666666666</v>
      </c>
      <c r="H47" s="83">
        <v>0.08333333333333333</v>
      </c>
      <c r="I47" s="84">
        <v>44235.0</v>
      </c>
      <c r="J47" s="65" t="b">
        <v>1</v>
      </c>
      <c r="K47" s="65"/>
      <c r="L47" s="85" t="b">
        <f>IF(VLOOKUP(C47,Projetos!A:L,12,false)=TRUE,TRUE,FALSE)</f>
        <v>1</v>
      </c>
      <c r="M47" s="74">
        <v>33.15972725468975</v>
      </c>
      <c r="N47" s="74">
        <f t="shared" si="1"/>
        <v>66.31945451</v>
      </c>
      <c r="O47" s="74" t="b">
        <v>1</v>
      </c>
    </row>
    <row r="48" hidden="1">
      <c r="A48" s="82"/>
      <c r="B48" s="65" t="s">
        <v>146</v>
      </c>
      <c r="C48" s="65" t="s">
        <v>130</v>
      </c>
      <c r="D48" s="65" t="str">
        <f>vlookup(C48,'Classificação p pessoal'!F:G,2,false)</f>
        <v>NP</v>
      </c>
      <c r="E48" s="65" t="s">
        <v>147</v>
      </c>
      <c r="F48" s="83">
        <v>0.3541666666666667</v>
      </c>
      <c r="G48" s="83">
        <v>0.4375</v>
      </c>
      <c r="H48" s="83">
        <v>0.08333333333333333</v>
      </c>
      <c r="I48" s="84">
        <v>44236.0</v>
      </c>
      <c r="J48" s="65" t="b">
        <v>1</v>
      </c>
      <c r="K48" s="65"/>
      <c r="L48" s="85" t="b">
        <f>IF(VLOOKUP(C48,Projetos!A:L,12,false)=TRUE,TRUE,FALSE)</f>
        <v>1</v>
      </c>
      <c r="M48" s="74">
        <v>33.15972725468975</v>
      </c>
      <c r="N48" s="74">
        <f t="shared" si="1"/>
        <v>66.31945451</v>
      </c>
      <c r="O48" s="74" t="b">
        <v>1</v>
      </c>
    </row>
    <row r="49" hidden="1">
      <c r="A49" s="82"/>
      <c r="B49" s="65" t="s">
        <v>146</v>
      </c>
      <c r="C49" s="65" t="s">
        <v>127</v>
      </c>
      <c r="D49" s="65" t="str">
        <f>vlookup(C49,'Classificação p pessoal'!F:G,2,false)</f>
        <v>NP</v>
      </c>
      <c r="E49" s="65" t="s">
        <v>148</v>
      </c>
      <c r="F49" s="83">
        <v>0.625</v>
      </c>
      <c r="G49" s="83">
        <v>0.75</v>
      </c>
      <c r="H49" s="83">
        <v>0.125</v>
      </c>
      <c r="I49" s="84">
        <v>44236.0</v>
      </c>
      <c r="J49" s="65" t="b">
        <v>1</v>
      </c>
      <c r="K49" s="65"/>
      <c r="L49" s="85" t="b">
        <f>IF(VLOOKUP(C49,Projetos!A:L,12,false)=TRUE,TRUE,FALSE)</f>
        <v>1</v>
      </c>
      <c r="M49" s="74">
        <v>33.15972725468975</v>
      </c>
      <c r="N49" s="74">
        <f t="shared" si="1"/>
        <v>99.47918176</v>
      </c>
      <c r="O49" s="74" t="b">
        <v>1</v>
      </c>
    </row>
    <row r="50" hidden="1">
      <c r="A50" s="82"/>
      <c r="B50" s="65" t="s">
        <v>146</v>
      </c>
      <c r="C50" s="65" t="s">
        <v>127</v>
      </c>
      <c r="D50" s="65" t="str">
        <f>vlookup(C50,'Classificação p pessoal'!F:G,2,false)</f>
        <v>NP</v>
      </c>
      <c r="E50" s="65" t="s">
        <v>148</v>
      </c>
      <c r="F50" s="83">
        <v>0.34375</v>
      </c>
      <c r="G50" s="83">
        <v>0.5520833333333334</v>
      </c>
      <c r="H50" s="83">
        <v>0.20833333333333334</v>
      </c>
      <c r="I50" s="84">
        <v>44237.0</v>
      </c>
      <c r="J50" s="65" t="b">
        <v>1</v>
      </c>
      <c r="K50" s="65"/>
      <c r="L50" s="85" t="b">
        <f>IF(VLOOKUP(C50,Projetos!A:L,12,false)=TRUE,TRUE,FALSE)</f>
        <v>1</v>
      </c>
      <c r="M50" s="74">
        <v>33.15972725468975</v>
      </c>
      <c r="N50" s="74">
        <f t="shared" si="1"/>
        <v>165.7986363</v>
      </c>
      <c r="O50" s="74" t="b">
        <v>1</v>
      </c>
    </row>
    <row r="51" hidden="1">
      <c r="A51" s="82"/>
      <c r="B51" s="65" t="s">
        <v>146</v>
      </c>
      <c r="C51" s="65" t="s">
        <v>130</v>
      </c>
      <c r="D51" s="65" t="str">
        <f>vlookup(C51,'Classificação p pessoal'!F:G,2,false)</f>
        <v>NP</v>
      </c>
      <c r="E51" s="65" t="s">
        <v>147</v>
      </c>
      <c r="F51" s="83">
        <v>0.3541666666666667</v>
      </c>
      <c r="G51" s="83">
        <v>0.4375</v>
      </c>
      <c r="H51" s="83">
        <v>0.08333333333333333</v>
      </c>
      <c r="I51" s="84">
        <v>44238.0</v>
      </c>
      <c r="J51" s="65" t="b">
        <v>1</v>
      </c>
      <c r="K51" s="65"/>
      <c r="L51" s="85" t="b">
        <f>IF(VLOOKUP(C51,Projetos!A:L,12,false)=TRUE,TRUE,FALSE)</f>
        <v>1</v>
      </c>
      <c r="M51" s="74">
        <v>33.15972725468975</v>
      </c>
      <c r="N51" s="74">
        <f t="shared" si="1"/>
        <v>66.31945451</v>
      </c>
      <c r="O51" s="74" t="b">
        <v>1</v>
      </c>
    </row>
    <row r="52" hidden="1">
      <c r="A52" s="82"/>
      <c r="B52" s="65" t="s">
        <v>146</v>
      </c>
      <c r="C52" s="65" t="s">
        <v>127</v>
      </c>
      <c r="D52" s="65" t="str">
        <f>vlookup(C52,'Classificação p pessoal'!F:G,2,false)</f>
        <v>NP</v>
      </c>
      <c r="E52" s="65" t="s">
        <v>148</v>
      </c>
      <c r="F52" s="83">
        <v>0.625</v>
      </c>
      <c r="G52" s="83">
        <v>0.75</v>
      </c>
      <c r="H52" s="83">
        <v>0.125</v>
      </c>
      <c r="I52" s="84">
        <v>44238.0</v>
      </c>
      <c r="J52" s="65" t="b">
        <v>1</v>
      </c>
      <c r="K52" s="65"/>
      <c r="L52" s="85" t="b">
        <f>IF(VLOOKUP(C52,Projetos!A:L,12,false)=TRUE,TRUE,FALSE)</f>
        <v>1</v>
      </c>
      <c r="M52" s="74">
        <v>33.15972725468975</v>
      </c>
      <c r="N52" s="74">
        <f t="shared" si="1"/>
        <v>99.47918176</v>
      </c>
      <c r="O52" s="74" t="b">
        <v>1</v>
      </c>
    </row>
    <row r="53" hidden="1">
      <c r="A53" s="82"/>
      <c r="B53" s="65" t="s">
        <v>146</v>
      </c>
      <c r="C53" s="65" t="s">
        <v>127</v>
      </c>
      <c r="D53" s="65" t="str">
        <f>vlookup(C53,'Classificação p pessoal'!F:G,2,false)</f>
        <v>NP</v>
      </c>
      <c r="E53" s="65" t="s">
        <v>148</v>
      </c>
      <c r="F53" s="83">
        <v>0.5416666666666666</v>
      </c>
      <c r="G53" s="83">
        <v>0.6666666666666666</v>
      </c>
      <c r="H53" s="83">
        <v>0.125</v>
      </c>
      <c r="I53" s="84">
        <v>44239.0</v>
      </c>
      <c r="J53" s="65" t="b">
        <v>1</v>
      </c>
      <c r="K53" s="65"/>
      <c r="L53" s="85" t="b">
        <f>IF(VLOOKUP(C53,Projetos!A:L,12,false)=TRUE,TRUE,FALSE)</f>
        <v>1</v>
      </c>
      <c r="M53" s="74">
        <v>33.15972725468975</v>
      </c>
      <c r="N53" s="74">
        <f t="shared" si="1"/>
        <v>99.47918176</v>
      </c>
      <c r="O53" s="74" t="b">
        <v>1</v>
      </c>
    </row>
    <row r="54" hidden="1">
      <c r="A54" s="82"/>
      <c r="B54" s="65" t="s">
        <v>146</v>
      </c>
      <c r="C54" s="65" t="s">
        <v>88</v>
      </c>
      <c r="D54" s="65" t="str">
        <f>vlookup(C54,'Classificação p pessoal'!F:G,2,false)</f>
        <v>MProduto</v>
      </c>
      <c r="E54" s="65" t="s">
        <v>147</v>
      </c>
      <c r="F54" s="83">
        <v>0.34375</v>
      </c>
      <c r="G54" s="83">
        <v>0.5625</v>
      </c>
      <c r="H54" s="83">
        <v>0.21875</v>
      </c>
      <c r="I54" s="84">
        <v>44242.0</v>
      </c>
      <c r="J54" s="65" t="b">
        <v>1</v>
      </c>
      <c r="K54" s="65"/>
      <c r="L54" s="85" t="b">
        <f>IF(VLOOKUP(C54,Projetos!A:L,12,false)=TRUE,TRUE,FALSE)</f>
        <v>1</v>
      </c>
      <c r="M54" s="74">
        <v>33.15972725468975</v>
      </c>
      <c r="N54" s="74">
        <f t="shared" si="1"/>
        <v>174.0885681</v>
      </c>
      <c r="O54" s="74" t="b">
        <v>1</v>
      </c>
    </row>
    <row r="55" hidden="1">
      <c r="A55" s="82"/>
      <c r="B55" s="65" t="s">
        <v>146</v>
      </c>
      <c r="C55" s="65" t="s">
        <v>127</v>
      </c>
      <c r="D55" s="65" t="str">
        <f>vlookup(C55,'Classificação p pessoal'!F:G,2,false)</f>
        <v>NP</v>
      </c>
      <c r="E55" s="65" t="s">
        <v>148</v>
      </c>
      <c r="F55" s="83">
        <v>0.6041666666666666</v>
      </c>
      <c r="G55" s="83">
        <v>0.75</v>
      </c>
      <c r="H55" s="83">
        <v>0.14583333333333334</v>
      </c>
      <c r="I55" s="84">
        <v>44242.0</v>
      </c>
      <c r="J55" s="65" t="b">
        <v>1</v>
      </c>
      <c r="K55" s="65"/>
      <c r="L55" s="85" t="b">
        <f>IF(VLOOKUP(C55,Projetos!A:L,12,false)=TRUE,TRUE,FALSE)</f>
        <v>1</v>
      </c>
      <c r="M55" s="74">
        <v>33.15972725468975</v>
      </c>
      <c r="N55" s="74">
        <f t="shared" si="1"/>
        <v>116.0590454</v>
      </c>
      <c r="O55" s="74" t="b">
        <v>1</v>
      </c>
    </row>
    <row r="56" hidden="1">
      <c r="A56" s="82"/>
      <c r="B56" s="65" t="s">
        <v>146</v>
      </c>
      <c r="C56" s="65" t="s">
        <v>127</v>
      </c>
      <c r="D56" s="65" t="str">
        <f>vlookup(C56,'Classificação p pessoal'!F:G,2,false)</f>
        <v>NP</v>
      </c>
      <c r="E56" s="65" t="s">
        <v>148</v>
      </c>
      <c r="F56" s="83">
        <v>0.5416666666666666</v>
      </c>
      <c r="G56" s="83">
        <v>0.75</v>
      </c>
      <c r="H56" s="83">
        <v>0.20833333333333334</v>
      </c>
      <c r="I56" s="84">
        <v>44244.0</v>
      </c>
      <c r="J56" s="65" t="b">
        <v>1</v>
      </c>
      <c r="K56" s="65"/>
      <c r="L56" s="85" t="b">
        <f>IF(VLOOKUP(C56,Projetos!A:L,12,false)=TRUE,TRUE,FALSE)</f>
        <v>1</v>
      </c>
      <c r="M56" s="74">
        <v>33.15972725468975</v>
      </c>
      <c r="N56" s="74">
        <f t="shared" si="1"/>
        <v>165.7986363</v>
      </c>
      <c r="O56" s="74" t="b">
        <v>1</v>
      </c>
    </row>
    <row r="57" hidden="1">
      <c r="A57" s="82"/>
      <c r="B57" s="65" t="s">
        <v>146</v>
      </c>
      <c r="C57" s="65" t="s">
        <v>127</v>
      </c>
      <c r="D57" s="65" t="str">
        <f>vlookup(C57,'Classificação p pessoal'!F:G,2,false)</f>
        <v>NP</v>
      </c>
      <c r="E57" s="65" t="s">
        <v>148</v>
      </c>
      <c r="F57" s="83">
        <v>0.3541666666666667</v>
      </c>
      <c r="G57" s="83">
        <v>0.5</v>
      </c>
      <c r="H57" s="83">
        <v>0.14583333333333334</v>
      </c>
      <c r="I57" s="84">
        <v>44245.0</v>
      </c>
      <c r="J57" s="65" t="b">
        <v>1</v>
      </c>
      <c r="K57" s="65"/>
      <c r="L57" s="85" t="b">
        <f>IF(VLOOKUP(C57,Projetos!A:L,12,false)=TRUE,TRUE,FALSE)</f>
        <v>1</v>
      </c>
      <c r="M57" s="74">
        <v>33.15972725468975</v>
      </c>
      <c r="N57" s="74">
        <f t="shared" si="1"/>
        <v>116.0590454</v>
      </c>
      <c r="O57" s="74" t="b">
        <v>1</v>
      </c>
    </row>
    <row r="58" hidden="1">
      <c r="A58" s="82"/>
      <c r="B58" s="65" t="s">
        <v>146</v>
      </c>
      <c r="C58" s="65" t="s">
        <v>88</v>
      </c>
      <c r="D58" s="65" t="str">
        <f>vlookup(C58,'Classificação p pessoal'!F:G,2,false)</f>
        <v>MProduto</v>
      </c>
      <c r="E58" s="65" t="s">
        <v>147</v>
      </c>
      <c r="F58" s="83">
        <v>0.5416666666666666</v>
      </c>
      <c r="G58" s="83">
        <v>0.75</v>
      </c>
      <c r="H58" s="83">
        <v>0.20833333333333334</v>
      </c>
      <c r="I58" s="84">
        <v>44245.0</v>
      </c>
      <c r="J58" s="65" t="b">
        <v>1</v>
      </c>
      <c r="K58" s="65"/>
      <c r="L58" s="85" t="b">
        <f>IF(VLOOKUP(C58,Projetos!A:L,12,false)=TRUE,TRUE,FALSE)</f>
        <v>1</v>
      </c>
      <c r="M58" s="74">
        <v>33.15972725468975</v>
      </c>
      <c r="N58" s="74">
        <f t="shared" si="1"/>
        <v>165.7986363</v>
      </c>
      <c r="O58" s="74" t="b">
        <v>1</v>
      </c>
    </row>
    <row r="59" hidden="1">
      <c r="A59" s="82"/>
      <c r="B59" s="65" t="s">
        <v>146</v>
      </c>
      <c r="C59" s="65" t="s">
        <v>127</v>
      </c>
      <c r="D59" s="65" t="str">
        <f>vlookup(C59,'Classificação p pessoal'!F:G,2,false)</f>
        <v>NP</v>
      </c>
      <c r="E59" s="65" t="s">
        <v>148</v>
      </c>
      <c r="F59" s="83">
        <v>0.5416666666666666</v>
      </c>
      <c r="G59" s="83">
        <v>0.75</v>
      </c>
      <c r="H59" s="83">
        <v>0.20833333333333334</v>
      </c>
      <c r="I59" s="84">
        <v>44246.0</v>
      </c>
      <c r="J59" s="65" t="b">
        <v>1</v>
      </c>
      <c r="K59" s="65"/>
      <c r="L59" s="85" t="b">
        <f>IF(VLOOKUP(C59,Projetos!A:L,12,false)=TRUE,TRUE,FALSE)</f>
        <v>1</v>
      </c>
      <c r="M59" s="74">
        <v>33.15972725468975</v>
      </c>
      <c r="N59" s="74">
        <f t="shared" si="1"/>
        <v>165.7986363</v>
      </c>
      <c r="O59" s="74" t="b">
        <v>1</v>
      </c>
    </row>
    <row r="60" hidden="1">
      <c r="A60" s="82"/>
      <c r="B60" s="65" t="s">
        <v>146</v>
      </c>
      <c r="C60" s="65" t="s">
        <v>127</v>
      </c>
      <c r="D60" s="65" t="str">
        <f>vlookup(C60,'Classificação p pessoal'!F:G,2,false)</f>
        <v>NP</v>
      </c>
      <c r="E60" s="65" t="s">
        <v>148</v>
      </c>
      <c r="F60" s="83">
        <v>0.34375</v>
      </c>
      <c r="G60" s="83">
        <v>0.5625</v>
      </c>
      <c r="H60" s="83">
        <v>0.21875</v>
      </c>
      <c r="I60" s="84">
        <v>44252.0</v>
      </c>
      <c r="J60" s="65" t="b">
        <v>1</v>
      </c>
      <c r="K60" s="65"/>
      <c r="L60" s="85" t="b">
        <f>IF(VLOOKUP(C60,Projetos!A:L,12,false)=TRUE,TRUE,FALSE)</f>
        <v>1</v>
      </c>
      <c r="M60" s="74">
        <v>33.15972725468975</v>
      </c>
      <c r="N60" s="74">
        <f t="shared" si="1"/>
        <v>174.0885681</v>
      </c>
      <c r="O60" s="74" t="b">
        <v>1</v>
      </c>
    </row>
    <row r="61" hidden="1">
      <c r="A61" s="82"/>
      <c r="B61" s="65" t="s">
        <v>146</v>
      </c>
      <c r="C61" s="65" t="s">
        <v>88</v>
      </c>
      <c r="D61" s="65" t="str">
        <f>vlookup(C61,'Classificação p pessoal'!F:G,2,false)</f>
        <v>MProduto</v>
      </c>
      <c r="E61" s="65" t="s">
        <v>147</v>
      </c>
      <c r="F61" s="83">
        <v>0.5416666666666666</v>
      </c>
      <c r="G61" s="83">
        <v>0.75</v>
      </c>
      <c r="H61" s="83">
        <v>0.20833333333333334</v>
      </c>
      <c r="I61" s="84">
        <v>44253.0</v>
      </c>
      <c r="J61" s="65" t="b">
        <v>1</v>
      </c>
      <c r="K61" s="65"/>
      <c r="L61" s="85" t="b">
        <f>IF(VLOOKUP(C61,Projetos!A:L,12,false)=TRUE,TRUE,FALSE)</f>
        <v>1</v>
      </c>
      <c r="M61" s="74">
        <v>33.15972725468975</v>
      </c>
      <c r="N61" s="74">
        <f t="shared" si="1"/>
        <v>165.7986363</v>
      </c>
      <c r="O61" s="74" t="b">
        <v>1</v>
      </c>
    </row>
    <row r="62" hidden="1">
      <c r="A62" s="82"/>
      <c r="B62" s="65" t="s">
        <v>146</v>
      </c>
      <c r="C62" s="65" t="s">
        <v>127</v>
      </c>
      <c r="D62" s="65" t="str">
        <f>vlookup(C62,'Classificação p pessoal'!F:G,2,false)</f>
        <v>NP</v>
      </c>
      <c r="E62" s="65" t="s">
        <v>148</v>
      </c>
      <c r="F62" s="83">
        <v>0.4166666666666667</v>
      </c>
      <c r="G62" s="83">
        <v>0.5416666666666666</v>
      </c>
      <c r="H62" s="83">
        <v>0.125</v>
      </c>
      <c r="I62" s="84">
        <v>44256.0</v>
      </c>
      <c r="J62" s="65" t="b">
        <v>1</v>
      </c>
      <c r="K62" s="65"/>
      <c r="L62" s="85" t="b">
        <f>IF(VLOOKUP(C62,Projetos!A:L,12,false)=TRUE,TRUE,FALSE)</f>
        <v>1</v>
      </c>
      <c r="M62" s="74">
        <v>33.15972725468975</v>
      </c>
      <c r="N62" s="74">
        <f t="shared" si="1"/>
        <v>99.47918176</v>
      </c>
      <c r="O62" s="74" t="b">
        <v>1</v>
      </c>
    </row>
    <row r="63" hidden="1">
      <c r="A63" s="82"/>
      <c r="B63" s="65" t="s">
        <v>146</v>
      </c>
      <c r="C63" s="65" t="s">
        <v>130</v>
      </c>
      <c r="D63" s="65" t="str">
        <f>vlookup(C63,'Classificação p pessoal'!F:G,2,false)</f>
        <v>NP</v>
      </c>
      <c r="E63" s="65" t="s">
        <v>147</v>
      </c>
      <c r="F63" s="83">
        <v>0.5833333333333334</v>
      </c>
      <c r="G63" s="83">
        <v>0.6666666666666666</v>
      </c>
      <c r="H63" s="83">
        <v>0.08333333333333333</v>
      </c>
      <c r="I63" s="84">
        <v>44256.0</v>
      </c>
      <c r="J63" s="65" t="b">
        <v>1</v>
      </c>
      <c r="K63" s="65"/>
      <c r="L63" s="85" t="b">
        <f>IF(VLOOKUP(C63,Projetos!A:L,12,false)=TRUE,TRUE,FALSE)</f>
        <v>1</v>
      </c>
      <c r="M63" s="74">
        <v>33.15972725468975</v>
      </c>
      <c r="N63" s="74">
        <f t="shared" si="1"/>
        <v>66.31945451</v>
      </c>
      <c r="O63" s="74" t="b">
        <v>1</v>
      </c>
    </row>
    <row r="64" hidden="1">
      <c r="A64" s="82"/>
      <c r="B64" s="65" t="s">
        <v>146</v>
      </c>
      <c r="C64" s="65" t="s">
        <v>127</v>
      </c>
      <c r="D64" s="65" t="str">
        <f>vlookup(C64,'Classificação p pessoal'!F:G,2,false)</f>
        <v>NP</v>
      </c>
      <c r="E64" s="65" t="s">
        <v>148</v>
      </c>
      <c r="F64" s="83">
        <v>0.3541666666666667</v>
      </c>
      <c r="G64" s="83">
        <v>0.4375</v>
      </c>
      <c r="H64" s="83">
        <v>0.08333333333333333</v>
      </c>
      <c r="I64" s="84">
        <v>44257.0</v>
      </c>
      <c r="J64" s="65" t="b">
        <v>1</v>
      </c>
      <c r="K64" s="65"/>
      <c r="L64" s="85" t="b">
        <f>IF(VLOOKUP(C64,Projetos!A:L,12,false)=TRUE,TRUE,FALSE)</f>
        <v>1</v>
      </c>
      <c r="M64" s="74">
        <v>33.15972725468975</v>
      </c>
      <c r="N64" s="74">
        <f t="shared" si="1"/>
        <v>66.31945451</v>
      </c>
      <c r="O64" s="74" t="b">
        <v>1</v>
      </c>
    </row>
    <row r="65" hidden="1">
      <c r="A65" s="82"/>
      <c r="B65" s="65" t="s">
        <v>146</v>
      </c>
      <c r="C65" s="65" t="s">
        <v>127</v>
      </c>
      <c r="D65" s="65" t="str">
        <f>vlookup(C65,'Classificação p pessoal'!F:G,2,false)</f>
        <v>NP</v>
      </c>
      <c r="E65" s="65" t="s">
        <v>148</v>
      </c>
      <c r="F65" s="83">
        <v>0.3541666666666667</v>
      </c>
      <c r="G65" s="83">
        <v>0.4375</v>
      </c>
      <c r="H65" s="83">
        <v>0.08333333333333333</v>
      </c>
      <c r="I65" s="84">
        <v>44258.0</v>
      </c>
      <c r="J65" s="65" t="b">
        <v>1</v>
      </c>
      <c r="K65" s="65"/>
      <c r="L65" s="85" t="b">
        <f>IF(VLOOKUP(C65,Projetos!A:L,12,false)=TRUE,TRUE,FALSE)</f>
        <v>1</v>
      </c>
      <c r="M65" s="74">
        <v>33.15972725468975</v>
      </c>
      <c r="N65" s="74">
        <f t="shared" si="1"/>
        <v>66.31945451</v>
      </c>
      <c r="O65" s="74" t="b">
        <v>1</v>
      </c>
    </row>
    <row r="66" hidden="1">
      <c r="A66" s="82"/>
      <c r="B66" s="65" t="s">
        <v>146</v>
      </c>
      <c r="C66" s="65" t="s">
        <v>88</v>
      </c>
      <c r="D66" s="65" t="str">
        <f>vlookup(C66,'Classificação p pessoal'!F:G,2,false)</f>
        <v>MProduto</v>
      </c>
      <c r="E66" s="65" t="s">
        <v>147</v>
      </c>
      <c r="F66" s="83">
        <v>0.5416666666666666</v>
      </c>
      <c r="G66" s="83">
        <v>0.75</v>
      </c>
      <c r="H66" s="83">
        <v>0.20833333333333334</v>
      </c>
      <c r="I66" s="84">
        <v>44258.0</v>
      </c>
      <c r="J66" s="65" t="b">
        <v>1</v>
      </c>
      <c r="K66" s="65"/>
      <c r="L66" s="85" t="b">
        <f>IF(VLOOKUP(C66,Projetos!A:L,12,false)=TRUE,TRUE,FALSE)</f>
        <v>1</v>
      </c>
      <c r="M66" s="74">
        <v>33.15972725468975</v>
      </c>
      <c r="N66" s="74">
        <f t="shared" si="1"/>
        <v>165.7986363</v>
      </c>
      <c r="O66" s="74" t="b">
        <v>1</v>
      </c>
    </row>
    <row r="67" hidden="1">
      <c r="A67" s="82"/>
      <c r="B67" s="65" t="s">
        <v>146</v>
      </c>
      <c r="C67" s="65" t="s">
        <v>88</v>
      </c>
      <c r="D67" s="65" t="str">
        <f>vlookup(C67,'Classificação p pessoal'!F:G,2,false)</f>
        <v>MProduto</v>
      </c>
      <c r="E67" s="65" t="s">
        <v>147</v>
      </c>
      <c r="F67" s="83">
        <v>0.5833333333333334</v>
      </c>
      <c r="G67" s="83">
        <v>0.75</v>
      </c>
      <c r="H67" s="83">
        <v>0.16666666666666666</v>
      </c>
      <c r="I67" s="84">
        <v>44259.0</v>
      </c>
      <c r="J67" s="65" t="b">
        <v>1</v>
      </c>
      <c r="K67" s="65"/>
      <c r="L67" s="85" t="b">
        <f>IF(VLOOKUP(C67,Projetos!A:L,12,false)=TRUE,TRUE,FALSE)</f>
        <v>1</v>
      </c>
      <c r="M67" s="74">
        <v>33.15972725468975</v>
      </c>
      <c r="N67" s="74">
        <f t="shared" si="1"/>
        <v>132.638909</v>
      </c>
      <c r="O67" s="74" t="b">
        <v>1</v>
      </c>
    </row>
    <row r="68" hidden="1">
      <c r="A68" s="82"/>
      <c r="B68" s="65" t="s">
        <v>146</v>
      </c>
      <c r="C68" s="65" t="s">
        <v>118</v>
      </c>
      <c r="D68" s="65" t="str">
        <f>vlookup(C68,'Classificação p pessoal'!F:G,2,false)</f>
        <v>MProduto</v>
      </c>
      <c r="E68" s="65" t="s">
        <v>147</v>
      </c>
      <c r="F68" s="83">
        <v>0.6458333333333334</v>
      </c>
      <c r="G68" s="83">
        <v>0.75</v>
      </c>
      <c r="H68" s="83">
        <v>0.10416666666666667</v>
      </c>
      <c r="I68" s="84">
        <v>44260.0</v>
      </c>
      <c r="J68" s="65" t="b">
        <v>1</v>
      </c>
      <c r="K68" s="65"/>
      <c r="L68" s="85" t="b">
        <f>IF(VLOOKUP(C68,Projetos!A:L,12,false)=TRUE,TRUE,FALSE)</f>
        <v>1</v>
      </c>
      <c r="M68" s="74">
        <v>33.15972725468975</v>
      </c>
      <c r="N68" s="74">
        <f t="shared" si="1"/>
        <v>82.89931814</v>
      </c>
      <c r="O68" s="74" t="b">
        <v>1</v>
      </c>
    </row>
    <row r="69" hidden="1">
      <c r="A69" s="82"/>
      <c r="B69" s="65" t="s">
        <v>146</v>
      </c>
      <c r="C69" s="65" t="s">
        <v>88</v>
      </c>
      <c r="D69" s="65" t="str">
        <f>vlookup(C69,'Classificação p pessoal'!F:G,2,false)</f>
        <v>MProduto</v>
      </c>
      <c r="E69" s="65" t="s">
        <v>147</v>
      </c>
      <c r="F69" s="83">
        <v>0.5416666666666666</v>
      </c>
      <c r="G69" s="83">
        <v>0.6458333333333334</v>
      </c>
      <c r="H69" s="83">
        <v>0.10416666666666667</v>
      </c>
      <c r="I69" s="84">
        <v>44260.0</v>
      </c>
      <c r="J69" s="65" t="b">
        <v>1</v>
      </c>
      <c r="K69" s="65"/>
      <c r="L69" s="85" t="b">
        <f>IF(VLOOKUP(C69,Projetos!A:L,12,false)=TRUE,TRUE,FALSE)</f>
        <v>1</v>
      </c>
      <c r="M69" s="74">
        <v>33.15972725468975</v>
      </c>
      <c r="N69" s="74">
        <f t="shared" si="1"/>
        <v>82.89931814</v>
      </c>
      <c r="O69" s="74" t="b">
        <v>1</v>
      </c>
    </row>
    <row r="70" hidden="1">
      <c r="A70" s="82"/>
      <c r="B70" s="65" t="s">
        <v>146</v>
      </c>
      <c r="C70" s="65" t="s">
        <v>88</v>
      </c>
      <c r="D70" s="65" t="str">
        <f>vlookup(C70,'Classificação p pessoal'!F:G,2,false)</f>
        <v>MProduto</v>
      </c>
      <c r="E70" s="65" t="s">
        <v>147</v>
      </c>
      <c r="F70" s="83">
        <v>0.5625</v>
      </c>
      <c r="G70" s="83">
        <v>0.75</v>
      </c>
      <c r="H70" s="83">
        <v>0.1875</v>
      </c>
      <c r="I70" s="84">
        <v>44263.0</v>
      </c>
      <c r="J70" s="65" t="b">
        <v>1</v>
      </c>
      <c r="K70" s="65"/>
      <c r="L70" s="85" t="b">
        <f>IF(VLOOKUP(C70,Projetos!A:L,12,false)=TRUE,TRUE,FALSE)</f>
        <v>1</v>
      </c>
      <c r="M70" s="74">
        <v>33.15972725468975</v>
      </c>
      <c r="N70" s="74">
        <f t="shared" si="1"/>
        <v>149.2187726</v>
      </c>
      <c r="O70" s="74" t="b">
        <v>1</v>
      </c>
    </row>
    <row r="71" hidden="1">
      <c r="A71" s="82"/>
      <c r="B71" s="65" t="s">
        <v>146</v>
      </c>
      <c r="C71" s="65" t="s">
        <v>88</v>
      </c>
      <c r="D71" s="65" t="str">
        <f>vlookup(C71,'Classificação p pessoal'!F:G,2,false)</f>
        <v>MProduto</v>
      </c>
      <c r="E71" s="65" t="s">
        <v>147</v>
      </c>
      <c r="F71" s="83">
        <v>0.3541666666666667</v>
      </c>
      <c r="G71" s="83">
        <v>0.5625</v>
      </c>
      <c r="H71" s="83">
        <v>0.20833333333333334</v>
      </c>
      <c r="I71" s="84">
        <v>44264.0</v>
      </c>
      <c r="J71" s="65" t="b">
        <v>1</v>
      </c>
      <c r="K71" s="65"/>
      <c r="L71" s="85" t="b">
        <f>IF(VLOOKUP(C71,Projetos!A:L,12,false)=TRUE,TRUE,FALSE)</f>
        <v>1</v>
      </c>
      <c r="M71" s="74">
        <v>33.15972725468975</v>
      </c>
      <c r="N71" s="74">
        <f t="shared" si="1"/>
        <v>165.7986363</v>
      </c>
      <c r="O71" s="74" t="b">
        <v>1</v>
      </c>
    </row>
    <row r="72" hidden="1">
      <c r="A72" s="82"/>
      <c r="B72" s="65" t="s">
        <v>146</v>
      </c>
      <c r="C72" s="65" t="s">
        <v>88</v>
      </c>
      <c r="D72" s="65" t="str">
        <f>vlookup(C72,'Classificação p pessoal'!F:G,2,false)</f>
        <v>MProduto</v>
      </c>
      <c r="E72" s="65" t="s">
        <v>147</v>
      </c>
      <c r="F72" s="83">
        <v>0.5208333333333334</v>
      </c>
      <c r="G72" s="83">
        <v>0.75</v>
      </c>
      <c r="H72" s="83">
        <v>0.22916666666666666</v>
      </c>
      <c r="I72" s="84">
        <v>44265.0</v>
      </c>
      <c r="J72" s="65" t="b">
        <v>1</v>
      </c>
      <c r="K72" s="65"/>
      <c r="L72" s="85" t="b">
        <f>IF(VLOOKUP(C72,Projetos!A:L,12,false)=TRUE,TRUE,FALSE)</f>
        <v>1</v>
      </c>
      <c r="M72" s="74">
        <v>33.15972725468975</v>
      </c>
      <c r="N72" s="74">
        <f t="shared" si="1"/>
        <v>182.3784999</v>
      </c>
      <c r="O72" s="74" t="b">
        <v>1</v>
      </c>
    </row>
    <row r="73" hidden="1">
      <c r="A73" s="82"/>
      <c r="B73" s="65" t="s">
        <v>146</v>
      </c>
      <c r="C73" s="65" t="s">
        <v>88</v>
      </c>
      <c r="D73" s="65" t="str">
        <f>vlookup(C73,'Classificação p pessoal'!F:G,2,false)</f>
        <v>MProduto</v>
      </c>
      <c r="E73" s="65" t="s">
        <v>147</v>
      </c>
      <c r="F73" s="83">
        <v>0.34375</v>
      </c>
      <c r="G73" s="83">
        <v>0.5625</v>
      </c>
      <c r="H73" s="83">
        <v>0.21875</v>
      </c>
      <c r="I73" s="84">
        <v>44266.0</v>
      </c>
      <c r="J73" s="65" t="b">
        <v>1</v>
      </c>
      <c r="K73" s="65"/>
      <c r="L73" s="85" t="b">
        <f>IF(VLOOKUP(C73,Projetos!A:L,12,false)=TRUE,TRUE,FALSE)</f>
        <v>1</v>
      </c>
      <c r="M73" s="74">
        <v>33.15972725468975</v>
      </c>
      <c r="N73" s="74">
        <f t="shared" si="1"/>
        <v>174.0885681</v>
      </c>
      <c r="O73" s="74" t="b">
        <v>1</v>
      </c>
    </row>
    <row r="74" hidden="1">
      <c r="A74" s="82"/>
      <c r="B74" s="65" t="s">
        <v>146</v>
      </c>
      <c r="C74" s="65" t="s">
        <v>88</v>
      </c>
      <c r="D74" s="65" t="str">
        <f>vlookup(C74,'Classificação p pessoal'!F:G,2,false)</f>
        <v>MProduto</v>
      </c>
      <c r="E74" s="65" t="s">
        <v>147</v>
      </c>
      <c r="F74" s="83">
        <v>0.34375</v>
      </c>
      <c r="G74" s="83">
        <v>0.5625</v>
      </c>
      <c r="H74" s="83">
        <v>0.21875</v>
      </c>
      <c r="I74" s="84">
        <v>44267.0</v>
      </c>
      <c r="J74" s="65" t="b">
        <v>1</v>
      </c>
      <c r="K74" s="65"/>
      <c r="L74" s="85" t="b">
        <f>IF(VLOOKUP(C74,Projetos!A:L,12,false)=TRUE,TRUE,FALSE)</f>
        <v>1</v>
      </c>
      <c r="M74" s="74">
        <v>33.15972725468975</v>
      </c>
      <c r="N74" s="74">
        <f t="shared" si="1"/>
        <v>174.0885681</v>
      </c>
      <c r="O74" s="74" t="b">
        <v>1</v>
      </c>
    </row>
    <row r="75" hidden="1">
      <c r="A75" s="82"/>
      <c r="B75" s="65" t="s">
        <v>146</v>
      </c>
      <c r="C75" s="65" t="s">
        <v>88</v>
      </c>
      <c r="D75" s="65" t="str">
        <f>vlookup(C75,'Classificação p pessoal'!F:G,2,false)</f>
        <v>MProduto</v>
      </c>
      <c r="E75" s="65" t="s">
        <v>147</v>
      </c>
      <c r="F75" s="83">
        <v>0.3541666666666667</v>
      </c>
      <c r="G75" s="83">
        <v>0.4375</v>
      </c>
      <c r="H75" s="83">
        <v>0.08333333333333333</v>
      </c>
      <c r="I75" s="84">
        <v>44270.0</v>
      </c>
      <c r="J75" s="65" t="b">
        <v>1</v>
      </c>
      <c r="K75" s="65"/>
      <c r="L75" s="85" t="b">
        <f>IF(VLOOKUP(C75,Projetos!A:L,12,false)=TRUE,TRUE,FALSE)</f>
        <v>1</v>
      </c>
      <c r="M75" s="74">
        <v>33.15972725468975</v>
      </c>
      <c r="N75" s="74">
        <f t="shared" si="1"/>
        <v>66.31945451</v>
      </c>
      <c r="O75" s="74" t="b">
        <v>1</v>
      </c>
    </row>
    <row r="76" hidden="1">
      <c r="A76" s="82"/>
      <c r="B76" s="65" t="s">
        <v>146</v>
      </c>
      <c r="C76" s="65" t="s">
        <v>88</v>
      </c>
      <c r="D76" s="65" t="str">
        <f>vlookup(C76,'Classificação p pessoal'!F:G,2,false)</f>
        <v>MProduto</v>
      </c>
      <c r="E76" s="65" t="s">
        <v>147</v>
      </c>
      <c r="F76" s="83">
        <v>0.5416666666666666</v>
      </c>
      <c r="G76" s="83">
        <v>0.75</v>
      </c>
      <c r="H76" s="83">
        <v>0.20833333333333334</v>
      </c>
      <c r="I76" s="84">
        <v>44274.0</v>
      </c>
      <c r="J76" s="65" t="b">
        <v>1</v>
      </c>
      <c r="K76" s="65"/>
      <c r="L76" s="85" t="b">
        <f>IF(VLOOKUP(C76,Projetos!A:L,12,false)=TRUE,TRUE,FALSE)</f>
        <v>1</v>
      </c>
      <c r="M76" s="74">
        <v>33.15972725468975</v>
      </c>
      <c r="N76" s="74">
        <f t="shared" si="1"/>
        <v>165.7986363</v>
      </c>
      <c r="O76" s="74" t="b">
        <v>1</v>
      </c>
    </row>
    <row r="77" hidden="1">
      <c r="A77" s="82"/>
      <c r="B77" s="65" t="s">
        <v>146</v>
      </c>
      <c r="C77" s="65" t="s">
        <v>117</v>
      </c>
      <c r="D77" s="65" t="str">
        <f>vlookup(C77,'Classificação p pessoal'!F:G,2,false)</f>
        <v>NP</v>
      </c>
      <c r="E77" s="65" t="s">
        <v>151</v>
      </c>
      <c r="F77" s="83">
        <v>0.3541666666666667</v>
      </c>
      <c r="G77" s="83">
        <v>0.5208333333333334</v>
      </c>
      <c r="H77" s="83">
        <v>0.16666666666666666</v>
      </c>
      <c r="I77" s="84">
        <v>44273.0</v>
      </c>
      <c r="J77" s="65" t="b">
        <v>1</v>
      </c>
      <c r="K77" s="65"/>
      <c r="L77" s="85" t="b">
        <f>IF(VLOOKUP(C77,Projetos!A:L,12,false)=TRUE,TRUE,FALSE)</f>
        <v>1</v>
      </c>
      <c r="M77" s="74">
        <v>33.15972725468975</v>
      </c>
      <c r="N77" s="74">
        <f t="shared" si="1"/>
        <v>132.638909</v>
      </c>
      <c r="O77" s="74" t="b">
        <v>1</v>
      </c>
    </row>
    <row r="78" hidden="1">
      <c r="A78" s="82"/>
      <c r="B78" s="65" t="s">
        <v>146</v>
      </c>
      <c r="C78" s="65" t="s">
        <v>118</v>
      </c>
      <c r="D78" s="65" t="str">
        <f>vlookup(C78,'Classificação p pessoal'!F:G,2,false)</f>
        <v>MProduto</v>
      </c>
      <c r="E78" s="65" t="s">
        <v>147</v>
      </c>
      <c r="F78" s="83">
        <v>0.5833333333333334</v>
      </c>
      <c r="G78" s="83">
        <v>0.75</v>
      </c>
      <c r="H78" s="83">
        <v>0.16666666666666666</v>
      </c>
      <c r="I78" s="84">
        <v>44277.0</v>
      </c>
      <c r="J78" s="65" t="b">
        <v>1</v>
      </c>
      <c r="K78" s="65"/>
      <c r="L78" s="85" t="b">
        <f>IF(VLOOKUP(C78,Projetos!A:L,12,false)=TRUE,TRUE,FALSE)</f>
        <v>1</v>
      </c>
      <c r="M78" s="74">
        <v>33.15972725468975</v>
      </c>
      <c r="N78" s="74">
        <f t="shared" si="1"/>
        <v>132.638909</v>
      </c>
      <c r="O78" s="74" t="b">
        <v>1</v>
      </c>
    </row>
    <row r="79" hidden="1">
      <c r="A79" s="82"/>
      <c r="B79" s="65" t="s">
        <v>146</v>
      </c>
      <c r="C79" s="65" t="s">
        <v>118</v>
      </c>
      <c r="D79" s="65" t="str">
        <f>vlookup(C79,'Classificação p pessoal'!F:G,2,false)</f>
        <v>MProduto</v>
      </c>
      <c r="E79" s="65" t="s">
        <v>147</v>
      </c>
      <c r="F79" s="83">
        <v>0.3541666666666667</v>
      </c>
      <c r="G79" s="83">
        <v>0.4791666666666667</v>
      </c>
      <c r="H79" s="83">
        <v>0.125</v>
      </c>
      <c r="I79" s="84">
        <v>44278.0</v>
      </c>
      <c r="J79" s="65" t="b">
        <v>1</v>
      </c>
      <c r="K79" s="65"/>
      <c r="L79" s="85" t="b">
        <f>IF(VLOOKUP(C79,Projetos!A:L,12,false)=TRUE,TRUE,FALSE)</f>
        <v>1</v>
      </c>
      <c r="M79" s="74">
        <v>33.15972725468975</v>
      </c>
      <c r="N79" s="74">
        <f t="shared" si="1"/>
        <v>99.47918176</v>
      </c>
      <c r="O79" s="74" t="b">
        <v>1</v>
      </c>
    </row>
    <row r="80" hidden="1">
      <c r="A80" s="82"/>
      <c r="B80" s="65" t="s">
        <v>146</v>
      </c>
      <c r="C80" s="65" t="s">
        <v>118</v>
      </c>
      <c r="D80" s="65" t="str">
        <f>vlookup(C80,'Classificação p pessoal'!F:G,2,false)</f>
        <v>MProduto</v>
      </c>
      <c r="E80" s="65" t="s">
        <v>147</v>
      </c>
      <c r="F80" s="83">
        <v>0.375</v>
      </c>
      <c r="G80" s="83">
        <v>0.4166666666666667</v>
      </c>
      <c r="H80" s="83">
        <v>0.041666666666666664</v>
      </c>
      <c r="I80" s="84">
        <v>44279.0</v>
      </c>
      <c r="J80" s="65" t="b">
        <v>1</v>
      </c>
      <c r="K80" s="65"/>
      <c r="L80" s="85" t="b">
        <f>IF(VLOOKUP(C80,Projetos!A:L,12,false)=TRUE,TRUE,FALSE)</f>
        <v>1</v>
      </c>
      <c r="M80" s="74">
        <v>33.15972725468975</v>
      </c>
      <c r="N80" s="74">
        <f t="shared" si="1"/>
        <v>33.15972725</v>
      </c>
      <c r="O80" s="74" t="b">
        <v>1</v>
      </c>
    </row>
    <row r="81" hidden="1">
      <c r="A81" s="82"/>
      <c r="B81" s="65" t="s">
        <v>146</v>
      </c>
      <c r="C81" s="65" t="s">
        <v>118</v>
      </c>
      <c r="D81" s="65" t="str">
        <f>vlookup(C81,'Classificação p pessoal'!F:G,2,false)</f>
        <v>MProduto</v>
      </c>
      <c r="E81" s="65" t="s">
        <v>147</v>
      </c>
      <c r="F81" s="83">
        <v>0.4166666666666667</v>
      </c>
      <c r="G81" s="83">
        <v>0.5</v>
      </c>
      <c r="H81" s="83">
        <v>0.08333333333333333</v>
      </c>
      <c r="I81" s="84">
        <v>44280.0</v>
      </c>
      <c r="J81" s="65" t="b">
        <v>1</v>
      </c>
      <c r="K81" s="65"/>
      <c r="L81" s="85" t="b">
        <f>IF(VLOOKUP(C81,Projetos!A:L,12,false)=TRUE,TRUE,FALSE)</f>
        <v>1</v>
      </c>
      <c r="M81" s="74">
        <v>33.15972725468975</v>
      </c>
      <c r="N81" s="74">
        <f t="shared" si="1"/>
        <v>66.31945451</v>
      </c>
      <c r="O81" s="74" t="b">
        <v>1</v>
      </c>
    </row>
    <row r="82" hidden="1">
      <c r="A82" s="82"/>
      <c r="B82" s="65" t="s">
        <v>146</v>
      </c>
      <c r="C82" s="65" t="s">
        <v>118</v>
      </c>
      <c r="D82" s="65" t="str">
        <f>vlookup(C82,'Classificação p pessoal'!F:G,2,false)</f>
        <v>MProduto</v>
      </c>
      <c r="E82" s="65" t="s">
        <v>147</v>
      </c>
      <c r="F82" s="83">
        <v>0.3541666666666667</v>
      </c>
      <c r="G82" s="83">
        <v>0.4791666666666667</v>
      </c>
      <c r="H82" s="83">
        <v>0.125</v>
      </c>
      <c r="I82" s="84">
        <v>44281.0</v>
      </c>
      <c r="J82" s="65" t="b">
        <v>1</v>
      </c>
      <c r="K82" s="65"/>
      <c r="L82" s="85" t="b">
        <f>IF(VLOOKUP(C82,Projetos!A:L,12,false)=TRUE,TRUE,FALSE)</f>
        <v>1</v>
      </c>
      <c r="M82" s="74">
        <v>33.15972725468975</v>
      </c>
      <c r="N82" s="74">
        <f t="shared" si="1"/>
        <v>99.47918176</v>
      </c>
      <c r="O82" s="74" t="b">
        <v>1</v>
      </c>
    </row>
    <row r="83" hidden="1">
      <c r="A83" s="82"/>
      <c r="B83" s="65" t="s">
        <v>146</v>
      </c>
      <c r="C83" s="65" t="s">
        <v>152</v>
      </c>
      <c r="D83" s="65" t="str">
        <f>vlookup(C83,'Classificação p pessoal'!F:G,2,false)</f>
        <v>MProduto</v>
      </c>
      <c r="E83" s="65" t="s">
        <v>147</v>
      </c>
      <c r="F83" s="83">
        <v>0.5625</v>
      </c>
      <c r="G83" s="83">
        <v>0.6458333333333334</v>
      </c>
      <c r="H83" s="83">
        <v>0.08333333333333333</v>
      </c>
      <c r="I83" s="84">
        <v>44281.0</v>
      </c>
      <c r="J83" s="65" t="b">
        <v>1</v>
      </c>
      <c r="K83" s="65"/>
      <c r="L83" s="85" t="b">
        <f>IF(VLOOKUP(C83,Projetos!A:L,12,false)=TRUE,TRUE,FALSE)</f>
        <v>1</v>
      </c>
      <c r="M83" s="74">
        <v>33.15972725468975</v>
      </c>
      <c r="N83" s="74">
        <f t="shared" si="1"/>
        <v>66.31945451</v>
      </c>
      <c r="O83" s="74" t="b">
        <v>1</v>
      </c>
    </row>
    <row r="84" hidden="1">
      <c r="A84" s="82"/>
      <c r="B84" s="65" t="s">
        <v>146</v>
      </c>
      <c r="C84" s="65" t="s">
        <v>152</v>
      </c>
      <c r="D84" s="65" t="str">
        <f>vlookup(C84,'Classificação p pessoal'!F:G,2,false)</f>
        <v>MProduto</v>
      </c>
      <c r="E84" s="65" t="s">
        <v>147</v>
      </c>
      <c r="F84" s="83">
        <v>0.375</v>
      </c>
      <c r="G84" s="83">
        <v>0.4583333333333333</v>
      </c>
      <c r="H84" s="83">
        <v>0.08333333333333333</v>
      </c>
      <c r="I84" s="84">
        <v>44284.0</v>
      </c>
      <c r="J84" s="65" t="b">
        <v>1</v>
      </c>
      <c r="K84" s="65"/>
      <c r="L84" s="85" t="b">
        <f>IF(VLOOKUP(C84,Projetos!A:L,12,false)=TRUE,TRUE,FALSE)</f>
        <v>1</v>
      </c>
      <c r="M84" s="74">
        <v>33.15972725468975</v>
      </c>
      <c r="N84" s="74">
        <f t="shared" si="1"/>
        <v>66.31945451</v>
      </c>
      <c r="O84" s="74" t="b">
        <v>1</v>
      </c>
    </row>
    <row r="85" hidden="1">
      <c r="A85" s="82"/>
      <c r="B85" s="65" t="s">
        <v>146</v>
      </c>
      <c r="C85" s="65" t="s">
        <v>117</v>
      </c>
      <c r="D85" s="65" t="str">
        <f>vlookup(C85,'Classificação p pessoal'!F:G,2,false)</f>
        <v>NP</v>
      </c>
      <c r="E85" s="65" t="s">
        <v>151</v>
      </c>
      <c r="F85" s="83">
        <v>0.3541666666666667</v>
      </c>
      <c r="G85" s="83">
        <v>0.5208333333333334</v>
      </c>
      <c r="H85" s="83">
        <v>0.16666666666666666</v>
      </c>
      <c r="I85" s="84">
        <v>44286.0</v>
      </c>
      <c r="J85" s="65" t="b">
        <v>1</v>
      </c>
      <c r="K85" s="65"/>
      <c r="L85" s="85" t="b">
        <f>IF(VLOOKUP(C85,Projetos!A:L,12,false)=TRUE,TRUE,FALSE)</f>
        <v>1</v>
      </c>
      <c r="M85" s="74">
        <v>33.15972725468975</v>
      </c>
      <c r="N85" s="74">
        <f t="shared" si="1"/>
        <v>132.638909</v>
      </c>
      <c r="O85" s="74" t="b">
        <v>1</v>
      </c>
    </row>
    <row r="86" hidden="1">
      <c r="A86" s="82"/>
      <c r="B86" s="65" t="s">
        <v>146</v>
      </c>
      <c r="C86" s="65" t="s">
        <v>117</v>
      </c>
      <c r="D86" s="65" t="str">
        <f>vlookup(C86,'Classificação p pessoal'!F:G,2,false)</f>
        <v>NP</v>
      </c>
      <c r="E86" s="65" t="s">
        <v>153</v>
      </c>
      <c r="F86" s="83">
        <v>0.3541666666666667</v>
      </c>
      <c r="G86" s="83">
        <v>0.4375</v>
      </c>
      <c r="H86" s="83">
        <v>0.08333333333333333</v>
      </c>
      <c r="I86" s="84">
        <v>44260.0</v>
      </c>
      <c r="J86" s="65" t="b">
        <v>1</v>
      </c>
      <c r="K86" s="65"/>
      <c r="L86" s="85" t="b">
        <f>IF(VLOOKUP(C86,Projetos!A:L,12,false)=TRUE,TRUE,FALSE)</f>
        <v>1</v>
      </c>
      <c r="M86" s="74">
        <v>33.15972725468975</v>
      </c>
      <c r="N86" s="74">
        <f t="shared" si="1"/>
        <v>66.31945451</v>
      </c>
      <c r="O86" s="74" t="b">
        <v>1</v>
      </c>
    </row>
    <row r="87" hidden="1">
      <c r="A87" s="82"/>
      <c r="B87" s="65" t="s">
        <v>146</v>
      </c>
      <c r="C87" s="65" t="s">
        <v>117</v>
      </c>
      <c r="D87" s="65" t="str">
        <f>vlookup(C87,'Classificação p pessoal'!F:G,2,false)</f>
        <v>NP</v>
      </c>
      <c r="E87" s="65" t="s">
        <v>154</v>
      </c>
      <c r="F87" s="83">
        <v>0.5625</v>
      </c>
      <c r="G87" s="83">
        <v>0.75</v>
      </c>
      <c r="H87" s="83">
        <v>0.1875</v>
      </c>
      <c r="I87" s="84">
        <v>44271.0</v>
      </c>
      <c r="J87" s="65" t="b">
        <v>1</v>
      </c>
      <c r="K87" s="65"/>
      <c r="L87" s="85" t="b">
        <f>IF(VLOOKUP(C87,Projetos!A:L,12,false)=TRUE,TRUE,FALSE)</f>
        <v>1</v>
      </c>
      <c r="M87" s="74">
        <v>33.15972725468975</v>
      </c>
      <c r="N87" s="74">
        <f t="shared" si="1"/>
        <v>149.2187726</v>
      </c>
      <c r="O87" s="74" t="b">
        <v>1</v>
      </c>
    </row>
    <row r="88" hidden="1">
      <c r="A88" s="82"/>
      <c r="B88" s="65" t="s">
        <v>146</v>
      </c>
      <c r="C88" s="65" t="s">
        <v>117</v>
      </c>
      <c r="D88" s="65" t="str">
        <f>vlookup(C88,'Classificação p pessoal'!F:G,2,false)</f>
        <v>NP</v>
      </c>
      <c r="E88" s="65" t="s">
        <v>154</v>
      </c>
      <c r="F88" s="83">
        <v>0.5625</v>
      </c>
      <c r="G88" s="83">
        <v>0.75</v>
      </c>
      <c r="H88" s="83">
        <v>0.1875</v>
      </c>
      <c r="I88" s="84">
        <v>44272.0</v>
      </c>
      <c r="J88" s="65" t="b">
        <v>1</v>
      </c>
      <c r="K88" s="65"/>
      <c r="L88" s="85" t="b">
        <f>IF(VLOOKUP(C88,Projetos!A:L,12,false)=TRUE,TRUE,FALSE)</f>
        <v>1</v>
      </c>
      <c r="M88" s="74">
        <v>33.15972725468975</v>
      </c>
      <c r="N88" s="74">
        <f t="shared" si="1"/>
        <v>149.2187726</v>
      </c>
      <c r="O88" s="74" t="b">
        <v>1</v>
      </c>
    </row>
    <row r="89" hidden="1">
      <c r="A89" s="82"/>
      <c r="B89" s="65" t="s">
        <v>146</v>
      </c>
      <c r="C89" s="65" t="s">
        <v>117</v>
      </c>
      <c r="D89" s="65" t="str">
        <f>vlookup(C89,'Classificação p pessoal'!F:G,2,false)</f>
        <v>NP</v>
      </c>
      <c r="E89" s="65" t="s">
        <v>154</v>
      </c>
      <c r="F89" s="83">
        <v>0.3541666666666667</v>
      </c>
      <c r="G89" s="83">
        <v>0.5208333333333334</v>
      </c>
      <c r="H89" s="83">
        <v>0.16666666666666666</v>
      </c>
      <c r="I89" s="84">
        <v>44274.0</v>
      </c>
      <c r="J89" s="65" t="b">
        <v>1</v>
      </c>
      <c r="K89" s="65"/>
      <c r="L89" s="85" t="b">
        <f>IF(VLOOKUP(C89,Projetos!A:L,12,false)=TRUE,TRUE,FALSE)</f>
        <v>1</v>
      </c>
      <c r="M89" s="74">
        <v>33.15972725468975</v>
      </c>
      <c r="N89" s="74">
        <f t="shared" si="1"/>
        <v>132.638909</v>
      </c>
      <c r="O89" s="74" t="b">
        <v>1</v>
      </c>
    </row>
    <row r="90" hidden="1">
      <c r="A90" s="82"/>
      <c r="B90" s="65" t="s">
        <v>146</v>
      </c>
      <c r="C90" s="65" t="s">
        <v>117</v>
      </c>
      <c r="D90" s="65" t="str">
        <f>vlookup(C90,'Classificação p pessoal'!F:G,2,false)</f>
        <v>NP</v>
      </c>
      <c r="E90" s="65" t="s">
        <v>154</v>
      </c>
      <c r="F90" s="83">
        <v>0.3541666666666667</v>
      </c>
      <c r="G90" s="83">
        <v>0.4791666666666667</v>
      </c>
      <c r="H90" s="83">
        <v>0.125</v>
      </c>
      <c r="I90" s="84">
        <v>44277.0</v>
      </c>
      <c r="J90" s="65" t="b">
        <v>1</v>
      </c>
      <c r="K90" s="65"/>
      <c r="L90" s="85" t="b">
        <f>IF(VLOOKUP(C90,Projetos!A:L,12,false)=TRUE,TRUE,FALSE)</f>
        <v>1</v>
      </c>
      <c r="M90" s="74">
        <v>33.15972725468975</v>
      </c>
      <c r="N90" s="74">
        <f t="shared" si="1"/>
        <v>99.47918176</v>
      </c>
      <c r="O90" s="74" t="b">
        <v>1</v>
      </c>
    </row>
    <row r="91" hidden="1">
      <c r="A91" s="82"/>
      <c r="B91" s="65" t="s">
        <v>146</v>
      </c>
      <c r="C91" s="65" t="s">
        <v>117</v>
      </c>
      <c r="D91" s="65" t="str">
        <f>vlookup(C91,'Classificação p pessoal'!F:G,2,false)</f>
        <v>NP</v>
      </c>
      <c r="E91" s="65" t="s">
        <v>154</v>
      </c>
      <c r="F91" s="83">
        <v>0.5833333333333334</v>
      </c>
      <c r="G91" s="83">
        <v>0.75</v>
      </c>
      <c r="H91" s="83">
        <v>0.16666666666666666</v>
      </c>
      <c r="I91" s="84">
        <v>44278.0</v>
      </c>
      <c r="J91" s="65" t="b">
        <v>1</v>
      </c>
      <c r="K91" s="65"/>
      <c r="L91" s="85" t="b">
        <f>IF(VLOOKUP(C91,Projetos!A:L,12,false)=TRUE,TRUE,FALSE)</f>
        <v>1</v>
      </c>
      <c r="M91" s="74">
        <v>33.15972725468975</v>
      </c>
      <c r="N91" s="74">
        <f t="shared" si="1"/>
        <v>132.638909</v>
      </c>
      <c r="O91" s="74" t="b">
        <v>1</v>
      </c>
    </row>
    <row r="92" hidden="1">
      <c r="A92" s="82"/>
      <c r="B92" s="65" t="s">
        <v>146</v>
      </c>
      <c r="C92" s="65" t="s">
        <v>117</v>
      </c>
      <c r="D92" s="65" t="str">
        <f>vlookup(C92,'Classificação p pessoal'!F:G,2,false)</f>
        <v>NP</v>
      </c>
      <c r="E92" s="65" t="s">
        <v>151</v>
      </c>
      <c r="F92" s="83">
        <v>0.3541666666666667</v>
      </c>
      <c r="G92" s="83">
        <v>0.5208333333333334</v>
      </c>
      <c r="H92" s="83">
        <v>0.16666666666666666</v>
      </c>
      <c r="I92" s="84">
        <v>44279.0</v>
      </c>
      <c r="J92" s="65" t="b">
        <v>1</v>
      </c>
      <c r="K92" s="65"/>
      <c r="L92" s="85" t="b">
        <f>IF(VLOOKUP(C92,Projetos!A:L,12,false)=TRUE,TRUE,FALSE)</f>
        <v>1</v>
      </c>
      <c r="M92" s="74">
        <v>33.15972725468975</v>
      </c>
      <c r="N92" s="74">
        <f t="shared" si="1"/>
        <v>132.638909</v>
      </c>
      <c r="O92" s="74" t="b">
        <v>1</v>
      </c>
    </row>
    <row r="93" hidden="1">
      <c r="A93" s="82"/>
      <c r="B93" s="65" t="s">
        <v>146</v>
      </c>
      <c r="C93" s="65" t="s">
        <v>117</v>
      </c>
      <c r="D93" s="65" t="str">
        <f>vlookup(C93,'Classificação p pessoal'!F:G,2,false)</f>
        <v>NP</v>
      </c>
      <c r="E93" s="65" t="s">
        <v>148</v>
      </c>
      <c r="F93" s="83">
        <v>0.4166666666666667</v>
      </c>
      <c r="G93" s="83">
        <v>0.5416666666666666</v>
      </c>
      <c r="H93" s="83">
        <v>0.125</v>
      </c>
      <c r="I93" s="84">
        <v>44287.0</v>
      </c>
      <c r="J93" s="65" t="b">
        <v>1</v>
      </c>
      <c r="K93" s="65"/>
      <c r="L93" s="85" t="b">
        <f>IF(VLOOKUP(C93,Projetos!A:L,12,false)=TRUE,TRUE,FALSE)</f>
        <v>1</v>
      </c>
      <c r="M93" s="74">
        <v>33.15972725468975</v>
      </c>
      <c r="N93" s="74">
        <f t="shared" si="1"/>
        <v>99.47918176</v>
      </c>
      <c r="O93" s="74" t="b">
        <v>1</v>
      </c>
    </row>
    <row r="94" hidden="1">
      <c r="A94" s="82"/>
      <c r="B94" s="65" t="s">
        <v>146</v>
      </c>
      <c r="C94" s="65" t="s">
        <v>121</v>
      </c>
      <c r="D94" s="65" t="str">
        <f>vlookup(C94,'Classificação p pessoal'!F:G,2,false)</f>
        <v>NP</v>
      </c>
      <c r="E94" s="65" t="s">
        <v>148</v>
      </c>
      <c r="F94" s="83">
        <v>0.625</v>
      </c>
      <c r="G94" s="83">
        <v>0.75</v>
      </c>
      <c r="H94" s="83">
        <v>0.125</v>
      </c>
      <c r="I94" s="84">
        <v>44287.0</v>
      </c>
      <c r="J94" s="65" t="b">
        <v>1</v>
      </c>
      <c r="K94" s="65"/>
      <c r="L94" s="85" t="b">
        <f>IF(VLOOKUP(C94,Projetos!A:L,12,false)=TRUE,TRUE,FALSE)</f>
        <v>1</v>
      </c>
      <c r="M94" s="74">
        <v>33.15972725468975</v>
      </c>
      <c r="N94" s="74">
        <f t="shared" si="1"/>
        <v>99.47918176</v>
      </c>
      <c r="O94" s="74" t="b">
        <v>1</v>
      </c>
    </row>
    <row r="95" hidden="1">
      <c r="A95" s="82"/>
      <c r="B95" s="65" t="s">
        <v>146</v>
      </c>
      <c r="C95" s="65" t="s">
        <v>117</v>
      </c>
      <c r="D95" s="65" t="str">
        <f>vlookup(C95,'Classificação p pessoal'!F:G,2,false)</f>
        <v>NP</v>
      </c>
      <c r="E95" s="65" t="s">
        <v>148</v>
      </c>
      <c r="F95" s="83">
        <v>0.3541666666666667</v>
      </c>
      <c r="G95" s="83">
        <v>0.5416666666666666</v>
      </c>
      <c r="H95" s="83">
        <v>0.1875</v>
      </c>
      <c r="I95" s="84">
        <v>44291.0</v>
      </c>
      <c r="J95" s="65" t="b">
        <v>1</v>
      </c>
      <c r="K95" s="65"/>
      <c r="L95" s="85" t="b">
        <f>IF(VLOOKUP(C95,Projetos!A:L,12,false)=TRUE,TRUE,FALSE)</f>
        <v>1</v>
      </c>
      <c r="M95" s="74">
        <v>33.15972725468975</v>
      </c>
      <c r="N95" s="74">
        <f t="shared" si="1"/>
        <v>149.2187726</v>
      </c>
      <c r="O95" s="74" t="b">
        <v>1</v>
      </c>
    </row>
    <row r="96" hidden="1">
      <c r="A96" s="82"/>
      <c r="B96" s="65" t="s">
        <v>146</v>
      </c>
      <c r="C96" s="65" t="s">
        <v>117</v>
      </c>
      <c r="D96" s="65" t="str">
        <f>vlookup(C96,'Classificação p pessoal'!F:G,2,false)</f>
        <v>NP</v>
      </c>
      <c r="E96" s="65" t="s">
        <v>148</v>
      </c>
      <c r="F96" s="83">
        <v>0.3541666666666667</v>
      </c>
      <c r="G96" s="83">
        <v>0.5416666666666666</v>
      </c>
      <c r="H96" s="83">
        <v>0.1875</v>
      </c>
      <c r="I96" s="84">
        <v>44292.0</v>
      </c>
      <c r="J96" s="65" t="b">
        <v>1</v>
      </c>
      <c r="K96" s="65"/>
      <c r="L96" s="85" t="b">
        <f>IF(VLOOKUP(C96,Projetos!A:L,12,false)=TRUE,TRUE,FALSE)</f>
        <v>1</v>
      </c>
      <c r="M96" s="74">
        <v>33.15972725468975</v>
      </c>
      <c r="N96" s="74">
        <f t="shared" si="1"/>
        <v>149.2187726</v>
      </c>
      <c r="O96" s="74" t="b">
        <v>1</v>
      </c>
    </row>
    <row r="97" hidden="1">
      <c r="A97" s="82"/>
      <c r="B97" s="65" t="s">
        <v>146</v>
      </c>
      <c r="C97" s="65" t="s">
        <v>121</v>
      </c>
      <c r="D97" s="65" t="str">
        <f>vlookup(C97,'Classificação p pessoal'!F:G,2,false)</f>
        <v>NP</v>
      </c>
      <c r="E97" s="65" t="s">
        <v>148</v>
      </c>
      <c r="F97" s="83">
        <v>0.6666666666666666</v>
      </c>
      <c r="G97" s="83">
        <v>0.75</v>
      </c>
      <c r="H97" s="83">
        <v>0.08333333333333333</v>
      </c>
      <c r="I97" s="84">
        <v>44292.0</v>
      </c>
      <c r="J97" s="65" t="b">
        <v>1</v>
      </c>
      <c r="K97" s="65"/>
      <c r="L97" s="85" t="b">
        <f>IF(VLOOKUP(C97,Projetos!A:L,12,false)=TRUE,TRUE,FALSE)</f>
        <v>1</v>
      </c>
      <c r="M97" s="74">
        <v>33.15972725468975</v>
      </c>
      <c r="N97" s="74">
        <f t="shared" si="1"/>
        <v>66.31945451</v>
      </c>
      <c r="O97" s="74" t="b">
        <v>1</v>
      </c>
    </row>
    <row r="98" hidden="1">
      <c r="A98" s="82"/>
      <c r="B98" s="65" t="s">
        <v>146</v>
      </c>
      <c r="C98" s="65" t="s">
        <v>117</v>
      </c>
      <c r="D98" s="65" t="str">
        <f>vlookup(C98,'Classificação p pessoal'!F:G,2,false)</f>
        <v>NP</v>
      </c>
      <c r="E98" s="65" t="s">
        <v>148</v>
      </c>
      <c r="F98" s="83">
        <v>0.3541666666666667</v>
      </c>
      <c r="G98" s="83">
        <v>0.4583333333333333</v>
      </c>
      <c r="H98" s="83">
        <v>0.10416666666666667</v>
      </c>
      <c r="I98" s="84">
        <v>44293.0</v>
      </c>
      <c r="J98" s="65" t="b">
        <v>1</v>
      </c>
      <c r="K98" s="65"/>
      <c r="L98" s="85" t="b">
        <f>IF(VLOOKUP(C98,Projetos!A:L,12,false)=TRUE,TRUE,FALSE)</f>
        <v>1</v>
      </c>
      <c r="M98" s="74">
        <v>33.15972725468975</v>
      </c>
      <c r="N98" s="74">
        <f t="shared" si="1"/>
        <v>82.89931814</v>
      </c>
      <c r="O98" s="74" t="b">
        <v>1</v>
      </c>
    </row>
    <row r="99" hidden="1">
      <c r="A99" s="82"/>
      <c r="B99" s="65" t="s">
        <v>146</v>
      </c>
      <c r="C99" s="65" t="s">
        <v>121</v>
      </c>
      <c r="D99" s="65" t="str">
        <f>vlookup(C99,'Classificação p pessoal'!F:G,2,false)</f>
        <v>NP</v>
      </c>
      <c r="E99" s="65" t="s">
        <v>148</v>
      </c>
      <c r="F99" s="83">
        <v>0.375</v>
      </c>
      <c r="G99" s="83">
        <v>0.4375</v>
      </c>
      <c r="H99" s="83">
        <v>0.0625</v>
      </c>
      <c r="I99" s="84">
        <v>44294.0</v>
      </c>
      <c r="J99" s="65" t="b">
        <v>1</v>
      </c>
      <c r="K99" s="65"/>
      <c r="L99" s="85" t="b">
        <f>IF(VLOOKUP(C99,Projetos!A:L,12,false)=TRUE,TRUE,FALSE)</f>
        <v>1</v>
      </c>
      <c r="M99" s="74">
        <v>33.15972725468975</v>
      </c>
      <c r="N99" s="74">
        <f t="shared" si="1"/>
        <v>49.73959088</v>
      </c>
      <c r="O99" s="74" t="b">
        <v>1</v>
      </c>
    </row>
    <row r="100" hidden="1">
      <c r="A100" s="82"/>
      <c r="B100" s="65" t="s">
        <v>146</v>
      </c>
      <c r="C100" s="65" t="s">
        <v>118</v>
      </c>
      <c r="D100" s="65" t="str">
        <f>vlookup(C100,'Classificação p pessoal'!F:G,2,false)</f>
        <v>MProduto</v>
      </c>
      <c r="E100" s="65" t="s">
        <v>147</v>
      </c>
      <c r="F100" s="83">
        <v>0.4166666666666667</v>
      </c>
      <c r="G100" s="83">
        <v>0.5416666666666666</v>
      </c>
      <c r="H100" s="83">
        <v>0.125</v>
      </c>
      <c r="I100" s="84">
        <v>44295.0</v>
      </c>
      <c r="J100" s="65" t="b">
        <v>1</v>
      </c>
      <c r="K100" s="65"/>
      <c r="L100" s="85" t="b">
        <f>IF(VLOOKUP(C100,Projetos!A:L,12,false)=TRUE,TRUE,FALSE)</f>
        <v>1</v>
      </c>
      <c r="M100" s="74">
        <v>33.15972725468975</v>
      </c>
      <c r="N100" s="74">
        <f t="shared" si="1"/>
        <v>99.47918176</v>
      </c>
      <c r="O100" s="74" t="b">
        <v>1</v>
      </c>
    </row>
    <row r="101" hidden="1">
      <c r="A101" s="82"/>
      <c r="B101" s="65" t="s">
        <v>146</v>
      </c>
      <c r="C101" s="65" t="s">
        <v>121</v>
      </c>
      <c r="D101" s="65" t="str">
        <f>vlookup(C101,'Classificação p pessoal'!F:G,2,false)</f>
        <v>NP</v>
      </c>
      <c r="E101" s="65" t="s">
        <v>148</v>
      </c>
      <c r="F101" s="83">
        <v>0.625</v>
      </c>
      <c r="G101" s="83">
        <v>0.7083333333333334</v>
      </c>
      <c r="H101" s="83">
        <v>0.08333333333333333</v>
      </c>
      <c r="I101" s="84">
        <v>44295.0</v>
      </c>
      <c r="J101" s="65" t="b">
        <v>1</v>
      </c>
      <c r="K101" s="65"/>
      <c r="L101" s="85" t="b">
        <f>IF(VLOOKUP(C101,Projetos!A:L,12,false)=TRUE,TRUE,FALSE)</f>
        <v>1</v>
      </c>
      <c r="M101" s="74">
        <v>33.15972725468975</v>
      </c>
      <c r="N101" s="74">
        <f t="shared" si="1"/>
        <v>66.31945451</v>
      </c>
      <c r="O101" s="74" t="b">
        <v>1</v>
      </c>
    </row>
    <row r="102" hidden="1">
      <c r="A102" s="82"/>
      <c r="B102" s="65" t="s">
        <v>146</v>
      </c>
      <c r="C102" s="65" t="s">
        <v>88</v>
      </c>
      <c r="D102" s="65" t="str">
        <f>vlookup(C102,'Classificação p pessoal'!F:G,2,false)</f>
        <v>MProduto</v>
      </c>
      <c r="E102" s="65" t="s">
        <v>147</v>
      </c>
      <c r="F102" s="83">
        <v>0.375</v>
      </c>
      <c r="G102" s="83">
        <v>0.5416666666666666</v>
      </c>
      <c r="H102" s="83">
        <v>0.16666666666666666</v>
      </c>
      <c r="I102" s="84">
        <v>44298.0</v>
      </c>
      <c r="J102" s="65" t="b">
        <v>1</v>
      </c>
      <c r="K102" s="65"/>
      <c r="L102" s="85" t="b">
        <f>IF(VLOOKUP(C102,Projetos!A:L,12,false)=TRUE,TRUE,FALSE)</f>
        <v>1</v>
      </c>
      <c r="M102" s="74">
        <v>33.15972725468975</v>
      </c>
      <c r="N102" s="74">
        <f t="shared" si="1"/>
        <v>132.638909</v>
      </c>
      <c r="O102" s="74" t="b">
        <v>1</v>
      </c>
    </row>
    <row r="103" hidden="1">
      <c r="A103" s="82"/>
      <c r="B103" s="65" t="s">
        <v>146</v>
      </c>
      <c r="C103" s="65" t="s">
        <v>118</v>
      </c>
      <c r="D103" s="65" t="str">
        <f>vlookup(C103,'Classificação p pessoal'!F:G,2,false)</f>
        <v>MProduto</v>
      </c>
      <c r="E103" s="65" t="s">
        <v>147</v>
      </c>
      <c r="F103" s="83">
        <v>0.625</v>
      </c>
      <c r="G103" s="83">
        <v>0.75</v>
      </c>
      <c r="H103" s="83">
        <v>0.125</v>
      </c>
      <c r="I103" s="84">
        <v>44298.0</v>
      </c>
      <c r="J103" s="65" t="b">
        <v>1</v>
      </c>
      <c r="K103" s="65"/>
      <c r="L103" s="85" t="b">
        <f>IF(VLOOKUP(C103,Projetos!A:L,12,false)=TRUE,TRUE,FALSE)</f>
        <v>1</v>
      </c>
      <c r="M103" s="74">
        <v>33.15972725468975</v>
      </c>
      <c r="N103" s="74">
        <f t="shared" si="1"/>
        <v>99.47918176</v>
      </c>
      <c r="O103" s="74" t="b">
        <v>1</v>
      </c>
    </row>
    <row r="104" hidden="1">
      <c r="A104" s="82"/>
      <c r="B104" s="65" t="s">
        <v>146</v>
      </c>
      <c r="C104" s="65" t="s">
        <v>88</v>
      </c>
      <c r="D104" s="65" t="str">
        <f>vlookup(C104,'Classificação p pessoal'!F:G,2,false)</f>
        <v>MProduto</v>
      </c>
      <c r="E104" s="65" t="s">
        <v>147</v>
      </c>
      <c r="F104" s="83">
        <v>0.3541666666666667</v>
      </c>
      <c r="G104" s="83">
        <v>0.5833333333333334</v>
      </c>
      <c r="H104" s="83">
        <v>0.22916666666666666</v>
      </c>
      <c r="I104" s="84">
        <v>44299.0</v>
      </c>
      <c r="J104" s="65" t="b">
        <v>1</v>
      </c>
      <c r="K104" s="65"/>
      <c r="L104" s="85" t="b">
        <f>IF(VLOOKUP(C104,Projetos!A:L,12,false)=TRUE,TRUE,FALSE)</f>
        <v>1</v>
      </c>
      <c r="M104" s="74">
        <v>33.15972725468975</v>
      </c>
      <c r="N104" s="74">
        <f t="shared" si="1"/>
        <v>182.3784999</v>
      </c>
      <c r="O104" s="74" t="b">
        <v>1</v>
      </c>
    </row>
    <row r="105" hidden="1">
      <c r="A105" s="82"/>
      <c r="B105" s="65" t="s">
        <v>146</v>
      </c>
      <c r="C105" s="65" t="s">
        <v>88</v>
      </c>
      <c r="D105" s="65" t="str">
        <f>vlookup(C105,'Classificação p pessoal'!F:G,2,false)</f>
        <v>MProduto</v>
      </c>
      <c r="E105" s="65" t="s">
        <v>147</v>
      </c>
      <c r="F105" s="83">
        <v>0.5833333333333334</v>
      </c>
      <c r="G105" s="83">
        <v>0.6666666666666666</v>
      </c>
      <c r="H105" s="83">
        <v>0.08333333333333333</v>
      </c>
      <c r="I105" s="84">
        <v>44300.0</v>
      </c>
      <c r="J105" s="65" t="b">
        <v>1</v>
      </c>
      <c r="K105" s="65"/>
      <c r="L105" s="85" t="b">
        <f>IF(VLOOKUP(C105,Projetos!A:L,12,false)=TRUE,TRUE,FALSE)</f>
        <v>1</v>
      </c>
      <c r="M105" s="74">
        <v>33.15972725468975</v>
      </c>
      <c r="N105" s="74">
        <f t="shared" si="1"/>
        <v>66.31945451</v>
      </c>
      <c r="O105" s="74" t="b">
        <v>1</v>
      </c>
    </row>
    <row r="106" hidden="1">
      <c r="A106" s="82"/>
      <c r="B106" s="65" t="s">
        <v>146</v>
      </c>
      <c r="C106" s="65" t="s">
        <v>121</v>
      </c>
      <c r="D106" s="65" t="str">
        <f>vlookup(C106,'Classificação p pessoal'!F:G,2,false)</f>
        <v>NP</v>
      </c>
      <c r="E106" s="65" t="s">
        <v>148</v>
      </c>
      <c r="F106" s="83">
        <v>0.6666666666666666</v>
      </c>
      <c r="G106" s="83">
        <v>0.75</v>
      </c>
      <c r="H106" s="83">
        <v>0.08333333333333333</v>
      </c>
      <c r="I106" s="84">
        <v>44301.0</v>
      </c>
      <c r="J106" s="65" t="b">
        <v>1</v>
      </c>
      <c r="K106" s="65"/>
      <c r="L106" s="85" t="b">
        <f>IF(VLOOKUP(C106,Projetos!A:L,12,false)=TRUE,TRUE,FALSE)</f>
        <v>1</v>
      </c>
      <c r="M106" s="74">
        <v>33.15972725468975</v>
      </c>
      <c r="N106" s="74">
        <f t="shared" si="1"/>
        <v>66.31945451</v>
      </c>
      <c r="O106" s="74" t="b">
        <v>1</v>
      </c>
    </row>
    <row r="107" hidden="1">
      <c r="A107" s="82"/>
      <c r="B107" s="65" t="s">
        <v>146</v>
      </c>
      <c r="C107" s="65" t="s">
        <v>88</v>
      </c>
      <c r="D107" s="65" t="str">
        <f>vlookup(C107,'Classificação p pessoal'!F:G,2,false)</f>
        <v>MProduto</v>
      </c>
      <c r="E107" s="65" t="s">
        <v>147</v>
      </c>
      <c r="F107" s="83">
        <v>0.3541666666666667</v>
      </c>
      <c r="G107" s="83">
        <v>0.4583333333333333</v>
      </c>
      <c r="H107" s="83">
        <v>0.10416666666666667</v>
      </c>
      <c r="I107" s="84">
        <v>44302.0</v>
      </c>
      <c r="J107" s="65" t="b">
        <v>1</v>
      </c>
      <c r="K107" s="65"/>
      <c r="L107" s="85" t="b">
        <f>IF(VLOOKUP(C107,Projetos!A:L,12,false)=TRUE,TRUE,FALSE)</f>
        <v>1</v>
      </c>
      <c r="M107" s="74">
        <v>33.15972725468975</v>
      </c>
      <c r="N107" s="74">
        <f t="shared" si="1"/>
        <v>82.89931814</v>
      </c>
      <c r="O107" s="74" t="b">
        <v>1</v>
      </c>
    </row>
    <row r="108" hidden="1">
      <c r="A108" s="82"/>
      <c r="B108" s="65" t="s">
        <v>146</v>
      </c>
      <c r="C108" s="65" t="s">
        <v>121</v>
      </c>
      <c r="D108" s="65" t="str">
        <f>vlookup(C108,'Classificação p pessoal'!F:G,2,false)</f>
        <v>NP</v>
      </c>
      <c r="E108" s="65" t="s">
        <v>148</v>
      </c>
      <c r="F108" s="83">
        <v>0.7083333333333334</v>
      </c>
      <c r="G108" s="83">
        <v>0.75</v>
      </c>
      <c r="H108" s="83">
        <v>0.041666666666666664</v>
      </c>
      <c r="I108" s="84">
        <v>44302.0</v>
      </c>
      <c r="J108" s="65" t="b">
        <v>1</v>
      </c>
      <c r="K108" s="65"/>
      <c r="L108" s="85" t="b">
        <f>IF(VLOOKUP(C108,Projetos!A:L,12,false)=TRUE,TRUE,FALSE)</f>
        <v>1</v>
      </c>
      <c r="M108" s="74">
        <v>33.15972725468975</v>
      </c>
      <c r="N108" s="74">
        <f t="shared" si="1"/>
        <v>33.15972725</v>
      </c>
      <c r="O108" s="74" t="b">
        <v>1</v>
      </c>
    </row>
    <row r="109" hidden="1">
      <c r="A109" s="82"/>
      <c r="B109" s="65" t="s">
        <v>146</v>
      </c>
      <c r="C109" s="65" t="s">
        <v>121</v>
      </c>
      <c r="D109" s="65" t="str">
        <f>vlookup(C109,'Classificação p pessoal'!F:G,2,false)</f>
        <v>NP</v>
      </c>
      <c r="E109" s="65" t="s">
        <v>148</v>
      </c>
      <c r="F109" s="83">
        <v>0.375</v>
      </c>
      <c r="G109" s="83">
        <v>0.4583333333333333</v>
      </c>
      <c r="H109" s="83">
        <v>0.08333333333333333</v>
      </c>
      <c r="I109" s="84">
        <v>44305.0</v>
      </c>
      <c r="J109" s="65" t="b">
        <v>1</v>
      </c>
      <c r="K109" s="65"/>
      <c r="L109" s="85" t="b">
        <f>IF(VLOOKUP(C109,Projetos!A:L,12,false)=TRUE,TRUE,FALSE)</f>
        <v>1</v>
      </c>
      <c r="M109" s="74">
        <v>33.15972725468975</v>
      </c>
      <c r="N109" s="74">
        <f t="shared" si="1"/>
        <v>66.31945451</v>
      </c>
      <c r="O109" s="74" t="b">
        <v>1</v>
      </c>
    </row>
    <row r="110" hidden="1">
      <c r="A110" s="82"/>
      <c r="B110" s="65" t="s">
        <v>146</v>
      </c>
      <c r="C110" s="65" t="s">
        <v>127</v>
      </c>
      <c r="D110" s="65" t="str">
        <f>vlookup(C110,'Classificação p pessoal'!F:G,2,false)</f>
        <v>NP</v>
      </c>
      <c r="E110" s="65" t="s">
        <v>153</v>
      </c>
      <c r="F110" s="83">
        <v>0.5833333333333334</v>
      </c>
      <c r="G110" s="83">
        <v>0.625</v>
      </c>
      <c r="H110" s="83">
        <v>0.041666666666666664</v>
      </c>
      <c r="I110" s="84">
        <v>44306.0</v>
      </c>
      <c r="J110" s="65" t="b">
        <v>1</v>
      </c>
      <c r="K110" s="65"/>
      <c r="L110" s="85" t="b">
        <f>IF(VLOOKUP(C110,Projetos!A:L,12,false)=TRUE,TRUE,FALSE)</f>
        <v>1</v>
      </c>
      <c r="M110" s="74">
        <v>33.15972725468975</v>
      </c>
      <c r="N110" s="74">
        <f t="shared" si="1"/>
        <v>33.15972725</v>
      </c>
      <c r="O110" s="74" t="b">
        <v>1</v>
      </c>
    </row>
    <row r="111" hidden="1">
      <c r="A111" s="82"/>
      <c r="B111" s="65" t="s">
        <v>146</v>
      </c>
      <c r="C111" s="65" t="s">
        <v>121</v>
      </c>
      <c r="D111" s="65" t="str">
        <f>vlookup(C111,'Classificação p pessoal'!F:G,2,false)</f>
        <v>NP</v>
      </c>
      <c r="E111" s="65" t="s">
        <v>148</v>
      </c>
      <c r="F111" s="83">
        <v>0.7083333333333334</v>
      </c>
      <c r="G111" s="83">
        <v>0.75</v>
      </c>
      <c r="H111" s="83">
        <v>0.041666666666666664</v>
      </c>
      <c r="I111" s="84">
        <v>44306.0</v>
      </c>
      <c r="J111" s="65" t="b">
        <v>1</v>
      </c>
      <c r="K111" s="65"/>
      <c r="L111" s="85" t="b">
        <f>IF(VLOOKUP(C111,Projetos!A:L,12,false)=TRUE,TRUE,FALSE)</f>
        <v>1</v>
      </c>
      <c r="M111" s="74">
        <v>33.15972725468975</v>
      </c>
      <c r="N111" s="74">
        <f t="shared" si="1"/>
        <v>33.15972725</v>
      </c>
      <c r="O111" s="74" t="b">
        <v>1</v>
      </c>
    </row>
    <row r="112" hidden="1">
      <c r="A112" s="82"/>
      <c r="B112" s="65" t="s">
        <v>146</v>
      </c>
      <c r="C112" s="65" t="s">
        <v>118</v>
      </c>
      <c r="D112" s="65" t="str">
        <f>vlookup(C112,'Classificação p pessoal'!F:G,2,false)</f>
        <v>MProduto</v>
      </c>
      <c r="E112" s="65" t="s">
        <v>147</v>
      </c>
      <c r="F112" s="83">
        <v>0.5833333333333334</v>
      </c>
      <c r="G112" s="83">
        <v>0.6666666666666666</v>
      </c>
      <c r="H112" s="83">
        <v>0.08333333333333333</v>
      </c>
      <c r="I112" s="84">
        <v>44308.0</v>
      </c>
      <c r="J112" s="65" t="b">
        <v>1</v>
      </c>
      <c r="K112" s="65"/>
      <c r="L112" s="85" t="b">
        <f>IF(VLOOKUP(C112,Projetos!A:L,12,false)=TRUE,TRUE,FALSE)</f>
        <v>1</v>
      </c>
      <c r="M112" s="74">
        <v>33.15972725468975</v>
      </c>
      <c r="N112" s="74">
        <f t="shared" si="1"/>
        <v>66.31945451</v>
      </c>
      <c r="O112" s="74" t="b">
        <v>1</v>
      </c>
    </row>
    <row r="113" hidden="1">
      <c r="A113" s="82"/>
      <c r="B113" s="65" t="s">
        <v>146</v>
      </c>
      <c r="C113" s="65" t="s">
        <v>121</v>
      </c>
      <c r="D113" s="65" t="str">
        <f>vlookup(C113,'Classificação p pessoal'!F:G,2,false)</f>
        <v>NP</v>
      </c>
      <c r="E113" s="65" t="s">
        <v>148</v>
      </c>
      <c r="F113" s="83">
        <v>0.625</v>
      </c>
      <c r="G113" s="83">
        <v>0.6666666666666666</v>
      </c>
      <c r="H113" s="83">
        <v>0.041666666666666664</v>
      </c>
      <c r="I113" s="84">
        <v>44312.0</v>
      </c>
      <c r="J113" s="65" t="b">
        <v>1</v>
      </c>
      <c r="K113" s="65"/>
      <c r="L113" s="85" t="b">
        <f>IF(VLOOKUP(C113,Projetos!A:L,12,false)=TRUE,TRUE,FALSE)</f>
        <v>1</v>
      </c>
      <c r="M113" s="74">
        <v>33.15972725468975</v>
      </c>
      <c r="N113" s="74">
        <f t="shared" si="1"/>
        <v>33.15972725</v>
      </c>
      <c r="O113" s="74" t="b">
        <v>1</v>
      </c>
    </row>
    <row r="114" hidden="1">
      <c r="A114" s="82"/>
      <c r="B114" s="65" t="s">
        <v>146</v>
      </c>
      <c r="C114" s="65" t="s">
        <v>118</v>
      </c>
      <c r="D114" s="65" t="str">
        <f>vlookup(C114,'Classificação p pessoal'!F:G,2,false)</f>
        <v>MProduto</v>
      </c>
      <c r="E114" s="65" t="s">
        <v>147</v>
      </c>
      <c r="F114" s="83">
        <v>0.4583333333333333</v>
      </c>
      <c r="G114" s="83">
        <v>0.5625</v>
      </c>
      <c r="H114" s="83">
        <v>0.10416666666666667</v>
      </c>
      <c r="I114" s="84">
        <v>44313.0</v>
      </c>
      <c r="J114" s="65" t="b">
        <v>1</v>
      </c>
      <c r="K114" s="65"/>
      <c r="L114" s="85" t="b">
        <f>IF(VLOOKUP(C114,Projetos!A:L,12,false)=TRUE,TRUE,FALSE)</f>
        <v>1</v>
      </c>
      <c r="M114" s="74">
        <v>33.15972725468975</v>
      </c>
      <c r="N114" s="74">
        <f t="shared" si="1"/>
        <v>82.89931814</v>
      </c>
      <c r="O114" s="74" t="b">
        <v>1</v>
      </c>
    </row>
    <row r="115" hidden="1">
      <c r="A115" s="82"/>
      <c r="B115" s="65" t="s">
        <v>146</v>
      </c>
      <c r="C115" s="65" t="s">
        <v>118</v>
      </c>
      <c r="D115" s="65" t="str">
        <f>vlookup(C115,'Classificação p pessoal'!F:G,2,false)</f>
        <v>MProduto</v>
      </c>
      <c r="E115" s="65" t="s">
        <v>147</v>
      </c>
      <c r="F115" s="83">
        <v>0.625</v>
      </c>
      <c r="G115" s="83">
        <v>0.7083333333333334</v>
      </c>
      <c r="H115" s="83">
        <v>0.08333333333333333</v>
      </c>
      <c r="I115" s="84">
        <v>44314.0</v>
      </c>
      <c r="J115" s="65" t="b">
        <v>1</v>
      </c>
      <c r="K115" s="65"/>
      <c r="L115" s="85" t="b">
        <f>IF(VLOOKUP(C115,Projetos!A:L,12,false)=TRUE,TRUE,FALSE)</f>
        <v>1</v>
      </c>
      <c r="M115" s="74">
        <v>33.15972725468975</v>
      </c>
      <c r="N115" s="74">
        <f t="shared" si="1"/>
        <v>66.31945451</v>
      </c>
      <c r="O115" s="74" t="b">
        <v>1</v>
      </c>
    </row>
    <row r="116" hidden="1">
      <c r="A116" s="82"/>
      <c r="B116" s="65" t="s">
        <v>146</v>
      </c>
      <c r="C116" s="65" t="s">
        <v>118</v>
      </c>
      <c r="D116" s="65" t="str">
        <f>vlookup(C116,'Classificação p pessoal'!F:G,2,false)</f>
        <v>MProduto</v>
      </c>
      <c r="E116" s="65" t="s">
        <v>147</v>
      </c>
      <c r="F116" s="83">
        <v>0.5833333333333334</v>
      </c>
      <c r="G116" s="83">
        <v>0.7083333333333334</v>
      </c>
      <c r="H116" s="83">
        <v>0.125</v>
      </c>
      <c r="I116" s="84">
        <v>44315.0</v>
      </c>
      <c r="J116" s="65" t="b">
        <v>1</v>
      </c>
      <c r="K116" s="65"/>
      <c r="L116" s="85" t="b">
        <f>IF(VLOOKUP(C116,Projetos!A:L,12,false)=TRUE,TRUE,FALSE)</f>
        <v>1</v>
      </c>
      <c r="M116" s="74">
        <v>33.15972725468975</v>
      </c>
      <c r="N116" s="74">
        <f t="shared" si="1"/>
        <v>99.47918176</v>
      </c>
      <c r="O116" s="74" t="b">
        <v>1</v>
      </c>
    </row>
    <row r="117" hidden="1">
      <c r="A117" s="82"/>
      <c r="B117" s="65" t="s">
        <v>146</v>
      </c>
      <c r="C117" s="65" t="s">
        <v>118</v>
      </c>
      <c r="D117" s="65" t="str">
        <f>vlookup(C117,'Classificação p pessoal'!F:G,2,false)</f>
        <v>MProduto</v>
      </c>
      <c r="E117" s="65" t="s">
        <v>147</v>
      </c>
      <c r="F117" s="83">
        <v>0.3541666666666667</v>
      </c>
      <c r="G117" s="83">
        <v>0.5416666666666666</v>
      </c>
      <c r="H117" s="83">
        <v>0.1875</v>
      </c>
      <c r="I117" s="84">
        <v>44316.0</v>
      </c>
      <c r="J117" s="65" t="b">
        <v>1</v>
      </c>
      <c r="K117" s="65"/>
      <c r="L117" s="85" t="b">
        <f>IF(VLOOKUP(C117,Projetos!A:L,12,false)=TRUE,TRUE,FALSE)</f>
        <v>1</v>
      </c>
      <c r="M117" s="74">
        <v>33.15972725468975</v>
      </c>
      <c r="N117" s="74">
        <f t="shared" si="1"/>
        <v>149.2187726</v>
      </c>
      <c r="O117" s="74" t="b">
        <v>1</v>
      </c>
    </row>
    <row r="118" hidden="1">
      <c r="A118" s="82"/>
      <c r="B118" s="65" t="s">
        <v>146</v>
      </c>
      <c r="C118" s="65" t="s">
        <v>118</v>
      </c>
      <c r="D118" s="65" t="str">
        <f>vlookup(C118,'Classificação p pessoal'!F:G,2,false)</f>
        <v>MProduto</v>
      </c>
      <c r="E118" s="65" t="s">
        <v>147</v>
      </c>
      <c r="F118" s="83">
        <v>0.375</v>
      </c>
      <c r="G118" s="83">
        <v>0.4583333333333333</v>
      </c>
      <c r="H118" s="83">
        <v>0.08333333333333333</v>
      </c>
      <c r="I118" s="84">
        <v>44319.0</v>
      </c>
      <c r="J118" s="65" t="b">
        <v>1</v>
      </c>
      <c r="K118" s="65"/>
      <c r="L118" s="85" t="b">
        <f>IF(VLOOKUP(C118,Projetos!A:L,12,false)=TRUE,TRUE,FALSE)</f>
        <v>1</v>
      </c>
      <c r="M118" s="74">
        <v>33.15972725468975</v>
      </c>
      <c r="N118" s="74">
        <f t="shared" si="1"/>
        <v>66.31945451</v>
      </c>
      <c r="O118" s="74" t="b">
        <v>1</v>
      </c>
    </row>
    <row r="119" hidden="1">
      <c r="A119" s="82"/>
      <c r="B119" s="65" t="s">
        <v>146</v>
      </c>
      <c r="C119" s="65" t="s">
        <v>117</v>
      </c>
      <c r="D119" s="65" t="str">
        <f>vlookup(C119,'Classificação p pessoal'!F:G,2,false)</f>
        <v>NP</v>
      </c>
      <c r="E119" s="65" t="s">
        <v>153</v>
      </c>
      <c r="F119" s="83">
        <v>0.4583333333333333</v>
      </c>
      <c r="G119" s="83">
        <v>0.5416666666666666</v>
      </c>
      <c r="H119" s="83">
        <v>0.08333333333333333</v>
      </c>
      <c r="I119" s="84">
        <v>44319.0</v>
      </c>
      <c r="J119" s="65" t="b">
        <v>1</v>
      </c>
      <c r="K119" s="65"/>
      <c r="L119" s="85" t="b">
        <f>IF(VLOOKUP(C119,Projetos!A:L,12,false)=TRUE,TRUE,FALSE)</f>
        <v>1</v>
      </c>
      <c r="M119" s="74">
        <v>33.15972725468975</v>
      </c>
      <c r="N119" s="74">
        <f t="shared" si="1"/>
        <v>66.31945451</v>
      </c>
      <c r="O119" s="74" t="b">
        <v>1</v>
      </c>
    </row>
    <row r="120" hidden="1">
      <c r="A120" s="82"/>
      <c r="B120" s="65" t="s">
        <v>146</v>
      </c>
      <c r="C120" s="65" t="s">
        <v>88</v>
      </c>
      <c r="D120" s="65" t="str">
        <f>vlookup(C120,'Classificação p pessoal'!F:G,2,false)</f>
        <v>MProduto</v>
      </c>
      <c r="E120" s="65" t="s">
        <v>147</v>
      </c>
      <c r="F120" s="83">
        <v>0.625</v>
      </c>
      <c r="G120" s="83">
        <v>0.75</v>
      </c>
      <c r="H120" s="83">
        <v>0.125</v>
      </c>
      <c r="I120" s="84">
        <v>44319.0</v>
      </c>
      <c r="J120" s="65" t="b">
        <v>1</v>
      </c>
      <c r="K120" s="65"/>
      <c r="L120" s="85" t="b">
        <f>IF(VLOOKUP(C120,Projetos!A:L,12,false)=TRUE,TRUE,FALSE)</f>
        <v>1</v>
      </c>
      <c r="M120" s="74">
        <v>33.15972725468975</v>
      </c>
      <c r="N120" s="74">
        <f t="shared" si="1"/>
        <v>99.47918176</v>
      </c>
      <c r="O120" s="74" t="b">
        <v>1</v>
      </c>
    </row>
    <row r="121" hidden="1">
      <c r="A121" s="82"/>
      <c r="B121" s="65" t="s">
        <v>146</v>
      </c>
      <c r="C121" s="65" t="s">
        <v>88</v>
      </c>
      <c r="D121" s="65" t="str">
        <f>vlookup(C121,'Classificação p pessoal'!F:G,2,false)</f>
        <v>MProduto</v>
      </c>
      <c r="E121" s="65" t="s">
        <v>147</v>
      </c>
      <c r="F121" s="83">
        <v>0.3541666666666667</v>
      </c>
      <c r="G121" s="83">
        <v>0.5416666666666666</v>
      </c>
      <c r="H121" s="83">
        <v>0.1875</v>
      </c>
      <c r="I121" s="84">
        <v>44320.0</v>
      </c>
      <c r="J121" s="65" t="b">
        <v>1</v>
      </c>
      <c r="K121" s="65"/>
      <c r="L121" s="85" t="b">
        <f>IF(VLOOKUP(C121,Projetos!A:L,12,false)=TRUE,TRUE,FALSE)</f>
        <v>1</v>
      </c>
      <c r="M121" s="74">
        <v>33.15972725468975</v>
      </c>
      <c r="N121" s="74">
        <f t="shared" si="1"/>
        <v>149.2187726</v>
      </c>
      <c r="O121" s="74" t="b">
        <v>1</v>
      </c>
    </row>
    <row r="122" hidden="1">
      <c r="A122" s="82"/>
      <c r="B122" s="65" t="s">
        <v>146</v>
      </c>
      <c r="C122" s="65" t="s">
        <v>118</v>
      </c>
      <c r="D122" s="65" t="str">
        <f>vlookup(C122,'Classificação p pessoal'!F:G,2,false)</f>
        <v>MProduto</v>
      </c>
      <c r="E122" s="65" t="s">
        <v>147</v>
      </c>
      <c r="F122" s="83">
        <v>0.625</v>
      </c>
      <c r="G122" s="83">
        <v>0.6875</v>
      </c>
      <c r="H122" s="83">
        <v>0.0625</v>
      </c>
      <c r="I122" s="84">
        <v>44320.0</v>
      </c>
      <c r="J122" s="65" t="b">
        <v>1</v>
      </c>
      <c r="K122" s="65"/>
      <c r="L122" s="85" t="b">
        <f>IF(VLOOKUP(C122,Projetos!A:L,12,false)=TRUE,TRUE,FALSE)</f>
        <v>1</v>
      </c>
      <c r="M122" s="74">
        <v>33.15972725468975</v>
      </c>
      <c r="N122" s="74">
        <f t="shared" si="1"/>
        <v>49.73959088</v>
      </c>
      <c r="O122" s="74" t="b">
        <v>1</v>
      </c>
    </row>
    <row r="123" hidden="1">
      <c r="A123" s="82"/>
      <c r="B123" s="65" t="s">
        <v>146</v>
      </c>
      <c r="C123" s="65" t="s">
        <v>118</v>
      </c>
      <c r="D123" s="65" t="str">
        <f>vlookup(C123,'Classificação p pessoal'!F:G,2,false)</f>
        <v>MProduto</v>
      </c>
      <c r="E123" s="65" t="s">
        <v>147</v>
      </c>
      <c r="F123" s="83">
        <v>0.375</v>
      </c>
      <c r="G123" s="83">
        <v>0.5416666666666666</v>
      </c>
      <c r="H123" s="83">
        <v>0.16666666666666666</v>
      </c>
      <c r="I123" s="84">
        <v>44321.0</v>
      </c>
      <c r="J123" s="65" t="b">
        <v>1</v>
      </c>
      <c r="K123" s="65"/>
      <c r="L123" s="85" t="b">
        <f>IF(VLOOKUP(C123,Projetos!A:L,12,false)=TRUE,TRUE,FALSE)</f>
        <v>1</v>
      </c>
      <c r="M123" s="74">
        <v>33.15972725468975</v>
      </c>
      <c r="N123" s="74">
        <f t="shared" si="1"/>
        <v>132.638909</v>
      </c>
      <c r="O123" s="74" t="b">
        <v>1</v>
      </c>
    </row>
    <row r="124" hidden="1">
      <c r="A124" s="82"/>
      <c r="B124" s="65" t="s">
        <v>146</v>
      </c>
      <c r="C124" s="65" t="s">
        <v>117</v>
      </c>
      <c r="D124" s="65" t="str">
        <f>vlookup(C124,'Classificação p pessoal'!F:G,2,false)</f>
        <v>NP</v>
      </c>
      <c r="E124" s="65" t="s">
        <v>153</v>
      </c>
      <c r="F124" s="83">
        <v>0.5833333333333334</v>
      </c>
      <c r="G124" s="83">
        <v>0.625</v>
      </c>
      <c r="H124" s="83">
        <v>0.041666666666666664</v>
      </c>
      <c r="I124" s="84">
        <v>44321.0</v>
      </c>
      <c r="J124" s="65" t="b">
        <v>1</v>
      </c>
      <c r="K124" s="65"/>
      <c r="L124" s="85" t="b">
        <f>IF(VLOOKUP(C124,Projetos!A:L,12,false)=TRUE,TRUE,FALSE)</f>
        <v>1</v>
      </c>
      <c r="M124" s="74">
        <v>33.15972725468975</v>
      </c>
      <c r="N124" s="74">
        <f t="shared" si="1"/>
        <v>33.15972725</v>
      </c>
      <c r="O124" s="74" t="b">
        <v>1</v>
      </c>
    </row>
    <row r="125" hidden="1">
      <c r="A125" s="82"/>
      <c r="B125" s="65" t="s">
        <v>146</v>
      </c>
      <c r="C125" s="65" t="s">
        <v>88</v>
      </c>
      <c r="D125" s="65" t="str">
        <f>vlookup(C125,'Classificação p pessoal'!F:G,2,false)</f>
        <v>MProduto</v>
      </c>
      <c r="E125" s="65" t="s">
        <v>147</v>
      </c>
      <c r="F125" s="83">
        <v>0.625</v>
      </c>
      <c r="G125" s="83">
        <v>0.75</v>
      </c>
      <c r="H125" s="83">
        <v>0.125</v>
      </c>
      <c r="I125" s="84">
        <v>44321.0</v>
      </c>
      <c r="J125" s="65" t="b">
        <v>1</v>
      </c>
      <c r="K125" s="65"/>
      <c r="L125" s="85" t="b">
        <f>IF(VLOOKUP(C125,Projetos!A:L,12,false)=TRUE,TRUE,FALSE)</f>
        <v>1</v>
      </c>
      <c r="M125" s="74">
        <v>33.15972725468975</v>
      </c>
      <c r="N125" s="74">
        <f t="shared" si="1"/>
        <v>99.47918176</v>
      </c>
      <c r="O125" s="74" t="b">
        <v>1</v>
      </c>
    </row>
    <row r="126" hidden="1">
      <c r="A126" s="82"/>
      <c r="B126" s="65" t="s">
        <v>146</v>
      </c>
      <c r="C126" s="65" t="s">
        <v>88</v>
      </c>
      <c r="D126" s="65" t="str">
        <f>vlookup(C126,'Classificação p pessoal'!F:G,2,false)</f>
        <v>MProduto</v>
      </c>
      <c r="E126" s="65" t="s">
        <v>147</v>
      </c>
      <c r="F126" s="83">
        <v>0.5833333333333334</v>
      </c>
      <c r="G126" s="83">
        <v>0.75</v>
      </c>
      <c r="H126" s="83">
        <v>0.16666666666666666</v>
      </c>
      <c r="I126" s="84">
        <v>44322.0</v>
      </c>
      <c r="J126" s="65" t="b">
        <v>1</v>
      </c>
      <c r="K126" s="65"/>
      <c r="L126" s="85" t="b">
        <f>IF(VLOOKUP(C126,Projetos!A:L,12,false)=TRUE,TRUE,FALSE)</f>
        <v>1</v>
      </c>
      <c r="M126" s="74">
        <v>33.15972725468975</v>
      </c>
      <c r="N126" s="74">
        <f t="shared" si="1"/>
        <v>132.638909</v>
      </c>
      <c r="O126" s="74" t="b">
        <v>1</v>
      </c>
    </row>
    <row r="127" hidden="1">
      <c r="A127" s="82"/>
      <c r="B127" s="65" t="s">
        <v>146</v>
      </c>
      <c r="C127" s="65" t="s">
        <v>118</v>
      </c>
      <c r="D127" s="65" t="str">
        <f>vlookup(C127,'Classificação p pessoal'!F:G,2,false)</f>
        <v>MProduto</v>
      </c>
      <c r="E127" s="65" t="s">
        <v>147</v>
      </c>
      <c r="F127" s="83">
        <v>0.4583333333333333</v>
      </c>
      <c r="G127" s="83">
        <v>0.5833333333333334</v>
      </c>
      <c r="H127" s="83">
        <v>0.125</v>
      </c>
      <c r="I127" s="84">
        <v>44323.0</v>
      </c>
      <c r="J127" s="65" t="b">
        <v>1</v>
      </c>
      <c r="K127" s="65"/>
      <c r="L127" s="85" t="b">
        <f>IF(VLOOKUP(C127,Projetos!A:L,12,false)=TRUE,TRUE,FALSE)</f>
        <v>1</v>
      </c>
      <c r="M127" s="74">
        <v>33.15972725468975</v>
      </c>
      <c r="N127" s="74">
        <f t="shared" si="1"/>
        <v>99.47918176</v>
      </c>
      <c r="O127" s="74" t="b">
        <v>1</v>
      </c>
    </row>
    <row r="128" hidden="1">
      <c r="A128" s="82"/>
      <c r="B128" s="65" t="s">
        <v>146</v>
      </c>
      <c r="C128" s="65" t="s">
        <v>152</v>
      </c>
      <c r="D128" s="65"/>
      <c r="E128" s="65" t="s">
        <v>155</v>
      </c>
      <c r="F128" s="83">
        <v>0.375</v>
      </c>
      <c r="G128" s="83">
        <v>0.4583333333333333</v>
      </c>
      <c r="H128" s="83">
        <v>0.08333333333333333</v>
      </c>
      <c r="I128" s="84">
        <v>44326.0</v>
      </c>
      <c r="J128" s="65" t="b">
        <v>0</v>
      </c>
      <c r="K128" s="65" t="s">
        <v>150</v>
      </c>
      <c r="L128" s="85" t="b">
        <f>IF(VLOOKUP(C128,Projetos!A:L,12,false)=TRUE,TRUE,FALSE)</f>
        <v>1</v>
      </c>
      <c r="M128" s="74">
        <v>33.15972725468975</v>
      </c>
      <c r="N128" s="74">
        <f t="shared" si="1"/>
        <v>0</v>
      </c>
      <c r="O128" s="74" t="b">
        <v>1</v>
      </c>
    </row>
    <row r="129" hidden="1">
      <c r="A129" s="82"/>
      <c r="B129" s="65" t="s">
        <v>146</v>
      </c>
      <c r="C129" s="65" t="s">
        <v>117</v>
      </c>
      <c r="D129" s="65" t="str">
        <f>vlookup(C129,'Classificação p pessoal'!F:G,2,false)</f>
        <v>NP</v>
      </c>
      <c r="E129" s="65" t="s">
        <v>153</v>
      </c>
      <c r="F129" s="83">
        <v>0.4166666666666667</v>
      </c>
      <c r="G129" s="83">
        <v>0.4583333333333333</v>
      </c>
      <c r="H129" s="83">
        <v>0.041666666666666664</v>
      </c>
      <c r="I129" s="84">
        <v>44327.0</v>
      </c>
      <c r="J129" s="65" t="b">
        <v>1</v>
      </c>
      <c r="K129" s="65"/>
      <c r="L129" s="85" t="b">
        <f>IF(VLOOKUP(C129,Projetos!A:L,12,false)=TRUE,TRUE,FALSE)</f>
        <v>1</v>
      </c>
      <c r="M129" s="74">
        <v>33.15972725468975</v>
      </c>
      <c r="N129" s="74">
        <f t="shared" si="1"/>
        <v>33.15972725</v>
      </c>
      <c r="O129" s="74" t="b">
        <v>1</v>
      </c>
    </row>
    <row r="130" hidden="1">
      <c r="A130" s="82"/>
      <c r="B130" s="65" t="s">
        <v>146</v>
      </c>
      <c r="C130" s="65" t="s">
        <v>88</v>
      </c>
      <c r="D130" s="65" t="str">
        <f>vlookup(C130,'Classificação p pessoal'!F:G,2,false)</f>
        <v>MProduto</v>
      </c>
      <c r="E130" s="65" t="s">
        <v>147</v>
      </c>
      <c r="F130" s="83">
        <v>0.5833333333333334</v>
      </c>
      <c r="G130" s="83">
        <v>0.75</v>
      </c>
      <c r="H130" s="83">
        <v>0.16666666666666666</v>
      </c>
      <c r="I130" s="84">
        <v>44327.0</v>
      </c>
      <c r="J130" s="65" t="b">
        <v>1</v>
      </c>
      <c r="K130" s="65"/>
      <c r="L130" s="85" t="b">
        <f>IF(VLOOKUP(C130,Projetos!A:L,12,false)=TRUE,TRUE,FALSE)</f>
        <v>1</v>
      </c>
      <c r="M130" s="74">
        <v>33.15972725468975</v>
      </c>
      <c r="N130" s="74">
        <f t="shared" si="1"/>
        <v>132.638909</v>
      </c>
      <c r="O130" s="74" t="b">
        <v>1</v>
      </c>
    </row>
    <row r="131" hidden="1">
      <c r="A131" s="82"/>
      <c r="B131" s="65" t="s">
        <v>146</v>
      </c>
      <c r="C131" s="65" t="s">
        <v>88</v>
      </c>
      <c r="D131" s="65" t="str">
        <f>vlookup(C131,'Classificação p pessoal'!F:G,2,false)</f>
        <v>MProduto</v>
      </c>
      <c r="E131" s="65" t="s">
        <v>147</v>
      </c>
      <c r="F131" s="83">
        <v>0.34375</v>
      </c>
      <c r="G131" s="83">
        <v>0.5520833333333334</v>
      </c>
      <c r="H131" s="83">
        <v>0.20833333333333334</v>
      </c>
      <c r="I131" s="84">
        <v>44328.0</v>
      </c>
      <c r="J131" s="65" t="b">
        <v>1</v>
      </c>
      <c r="K131" s="65"/>
      <c r="L131" s="85" t="b">
        <f>IF(VLOOKUP(C131,Projetos!A:L,12,false)=TRUE,TRUE,FALSE)</f>
        <v>1</v>
      </c>
      <c r="M131" s="74">
        <v>33.15972725468975</v>
      </c>
      <c r="N131" s="74">
        <f t="shared" si="1"/>
        <v>165.7986363</v>
      </c>
      <c r="O131" s="74" t="b">
        <v>1</v>
      </c>
    </row>
    <row r="132" hidden="1">
      <c r="A132" s="82"/>
      <c r="B132" s="65" t="s">
        <v>146</v>
      </c>
      <c r="C132" s="65" t="s">
        <v>152</v>
      </c>
      <c r="D132" s="65"/>
      <c r="E132" s="65" t="s">
        <v>155</v>
      </c>
      <c r="F132" s="83">
        <v>0.625</v>
      </c>
      <c r="G132" s="83">
        <v>0.6666666666666666</v>
      </c>
      <c r="H132" s="83">
        <v>0.041666666666666664</v>
      </c>
      <c r="I132" s="84">
        <v>44328.0</v>
      </c>
      <c r="J132" s="65" t="b">
        <v>0</v>
      </c>
      <c r="K132" s="65" t="s">
        <v>150</v>
      </c>
      <c r="L132" s="85" t="b">
        <f>IF(VLOOKUP(C132,Projetos!A:L,12,false)=TRUE,TRUE,FALSE)</f>
        <v>1</v>
      </c>
      <c r="M132" s="74">
        <v>33.15972725468975</v>
      </c>
      <c r="N132" s="74">
        <f t="shared" si="1"/>
        <v>0</v>
      </c>
      <c r="O132" s="74" t="b">
        <v>1</v>
      </c>
    </row>
    <row r="133" hidden="1">
      <c r="A133" s="82"/>
      <c r="B133" s="65" t="s">
        <v>146</v>
      </c>
      <c r="C133" s="65" t="s">
        <v>88</v>
      </c>
      <c r="D133" s="65" t="str">
        <f>vlookup(C133,'Classificação p pessoal'!F:G,2,false)</f>
        <v>MProduto</v>
      </c>
      <c r="E133" s="65" t="s">
        <v>147</v>
      </c>
      <c r="F133" s="83">
        <v>0.5416666666666666</v>
      </c>
      <c r="G133" s="83">
        <v>0.75</v>
      </c>
      <c r="H133" s="83">
        <v>0.20833333333333334</v>
      </c>
      <c r="I133" s="84">
        <v>44329.0</v>
      </c>
      <c r="J133" s="65" t="b">
        <v>1</v>
      </c>
      <c r="K133" s="65"/>
      <c r="L133" s="85" t="b">
        <f>IF(VLOOKUP(C133,Projetos!A:L,12,false)=TRUE,TRUE,FALSE)</f>
        <v>1</v>
      </c>
      <c r="M133" s="74">
        <v>33.15972725468975</v>
      </c>
      <c r="N133" s="74">
        <f t="shared" si="1"/>
        <v>165.7986363</v>
      </c>
      <c r="O133" s="74" t="b">
        <v>1</v>
      </c>
    </row>
    <row r="134" hidden="1">
      <c r="A134" s="82"/>
      <c r="B134" s="65" t="s">
        <v>146</v>
      </c>
      <c r="C134" s="65" t="s">
        <v>121</v>
      </c>
      <c r="D134" s="65" t="str">
        <f>vlookup(C134,'Classificação p pessoal'!F:G,2,false)</f>
        <v>NP</v>
      </c>
      <c r="E134" s="65" t="s">
        <v>148</v>
      </c>
      <c r="F134" s="83">
        <v>0.4583333333333333</v>
      </c>
      <c r="G134" s="83">
        <v>0.5</v>
      </c>
      <c r="H134" s="83">
        <v>0.041666666666666664</v>
      </c>
      <c r="I134" s="84">
        <v>44329.0</v>
      </c>
      <c r="J134" s="65" t="b">
        <v>1</v>
      </c>
      <c r="K134" s="65"/>
      <c r="L134" s="85" t="b">
        <f>IF(VLOOKUP(C134,Projetos!A:L,12,false)=TRUE,TRUE,FALSE)</f>
        <v>1</v>
      </c>
      <c r="M134" s="74">
        <v>33.15972725468975</v>
      </c>
      <c r="N134" s="74">
        <f t="shared" si="1"/>
        <v>33.15972725</v>
      </c>
      <c r="O134" s="74" t="b">
        <v>1</v>
      </c>
    </row>
    <row r="135" hidden="1">
      <c r="A135" s="82"/>
      <c r="B135" s="65" t="s">
        <v>146</v>
      </c>
      <c r="C135" s="65" t="s">
        <v>88</v>
      </c>
      <c r="D135" s="65" t="str">
        <f>vlookup(C135,'Classificação p pessoal'!F:G,2,false)</f>
        <v>MProduto</v>
      </c>
      <c r="E135" s="65" t="s">
        <v>148</v>
      </c>
      <c r="F135" s="83">
        <v>0.3541666666666667</v>
      </c>
      <c r="G135" s="83">
        <v>0.5416666666666666</v>
      </c>
      <c r="H135" s="83">
        <v>0.1875</v>
      </c>
      <c r="I135" s="84">
        <v>44330.0</v>
      </c>
      <c r="J135" s="65" t="b">
        <v>1</v>
      </c>
      <c r="K135" s="65"/>
      <c r="L135" s="85" t="b">
        <f>IF(VLOOKUP(C135,Projetos!A:L,12,false)=TRUE,TRUE,FALSE)</f>
        <v>1</v>
      </c>
      <c r="M135" s="74">
        <v>33.15972725468975</v>
      </c>
      <c r="N135" s="74">
        <f t="shared" si="1"/>
        <v>149.2187726</v>
      </c>
      <c r="O135" s="74" t="b">
        <v>1</v>
      </c>
    </row>
    <row r="136" hidden="1">
      <c r="A136" s="82"/>
      <c r="B136" s="65" t="s">
        <v>146</v>
      </c>
      <c r="C136" s="65" t="s">
        <v>117</v>
      </c>
      <c r="D136" s="65" t="str">
        <f>vlookup(C136,'Classificação p pessoal'!F:G,2,false)</f>
        <v>NP</v>
      </c>
      <c r="E136" s="65" t="s">
        <v>153</v>
      </c>
      <c r="F136" s="83">
        <v>0.5833333333333334</v>
      </c>
      <c r="G136" s="83">
        <v>0.625</v>
      </c>
      <c r="H136" s="83">
        <v>0.041666666666666664</v>
      </c>
      <c r="I136" s="84">
        <v>44330.0</v>
      </c>
      <c r="J136" s="65" t="b">
        <v>1</v>
      </c>
      <c r="K136" s="65"/>
      <c r="L136" s="85" t="b">
        <f>IF(VLOOKUP(C136,Projetos!A:L,12,false)=TRUE,TRUE,FALSE)</f>
        <v>1</v>
      </c>
      <c r="M136" s="74">
        <v>33.15972725468975</v>
      </c>
      <c r="N136" s="74">
        <f t="shared" si="1"/>
        <v>33.15972725</v>
      </c>
      <c r="O136" s="74" t="b">
        <v>1</v>
      </c>
    </row>
    <row r="137" hidden="1">
      <c r="A137" s="82"/>
      <c r="B137" s="65" t="s">
        <v>146</v>
      </c>
      <c r="C137" s="65" t="s">
        <v>152</v>
      </c>
      <c r="D137" s="65"/>
      <c r="E137" s="65" t="s">
        <v>155</v>
      </c>
      <c r="F137" s="83">
        <v>0.625</v>
      </c>
      <c r="G137" s="83">
        <v>0.6666666666666666</v>
      </c>
      <c r="H137" s="83">
        <v>0.041666666666666664</v>
      </c>
      <c r="I137" s="84">
        <v>44330.0</v>
      </c>
      <c r="J137" s="65" t="b">
        <v>0</v>
      </c>
      <c r="K137" s="65" t="s">
        <v>150</v>
      </c>
      <c r="L137" s="85" t="b">
        <f>IF(VLOOKUP(C137,Projetos!A:L,12,false)=TRUE,TRUE,FALSE)</f>
        <v>1</v>
      </c>
      <c r="M137" s="74">
        <v>33.15972725468975</v>
      </c>
      <c r="N137" s="74">
        <f t="shared" si="1"/>
        <v>0</v>
      </c>
      <c r="O137" s="74" t="b">
        <v>1</v>
      </c>
    </row>
    <row r="138" hidden="1">
      <c r="A138" s="82"/>
      <c r="B138" s="65" t="s">
        <v>146</v>
      </c>
      <c r="C138" s="65" t="s">
        <v>88</v>
      </c>
      <c r="D138" s="65" t="str">
        <f>vlookup(C138,'Classificação p pessoal'!F:G,2,false)</f>
        <v>MProduto</v>
      </c>
      <c r="E138" s="65" t="s">
        <v>147</v>
      </c>
      <c r="F138" s="83">
        <v>0.3541666666666667</v>
      </c>
      <c r="G138" s="83">
        <v>0.5416666666666666</v>
      </c>
      <c r="H138" s="83">
        <v>0.1875</v>
      </c>
      <c r="I138" s="84">
        <v>44333.0</v>
      </c>
      <c r="J138" s="65" t="b">
        <v>1</v>
      </c>
      <c r="K138" s="65"/>
      <c r="L138" s="85" t="b">
        <f>IF(VLOOKUP(C138,Projetos!A:L,12,false)=TRUE,TRUE,FALSE)</f>
        <v>1</v>
      </c>
      <c r="M138" s="74">
        <v>33.15972725468975</v>
      </c>
      <c r="N138" s="74">
        <f t="shared" si="1"/>
        <v>149.2187726</v>
      </c>
      <c r="O138" s="74" t="b">
        <v>1</v>
      </c>
    </row>
    <row r="139" hidden="1">
      <c r="A139" s="82"/>
      <c r="B139" s="65" t="s">
        <v>146</v>
      </c>
      <c r="C139" s="65" t="s">
        <v>88</v>
      </c>
      <c r="D139" s="65" t="str">
        <f>vlookup(C139,'Classificação p pessoal'!F:G,2,false)</f>
        <v>MProduto</v>
      </c>
      <c r="E139" s="65" t="s">
        <v>147</v>
      </c>
      <c r="F139" s="83">
        <v>0.4166666666666667</v>
      </c>
      <c r="G139" s="83">
        <v>0.5416666666666666</v>
      </c>
      <c r="H139" s="83">
        <v>0.125</v>
      </c>
      <c r="I139" s="84">
        <v>44334.0</v>
      </c>
      <c r="J139" s="65" t="b">
        <v>1</v>
      </c>
      <c r="K139" s="65"/>
      <c r="L139" s="85" t="b">
        <f>IF(VLOOKUP(C139,Projetos!A:L,12,false)=TRUE,TRUE,FALSE)</f>
        <v>1</v>
      </c>
      <c r="M139" s="74">
        <v>33.15972725468975</v>
      </c>
      <c r="N139" s="74">
        <f t="shared" si="1"/>
        <v>99.47918176</v>
      </c>
      <c r="O139" s="74" t="b">
        <v>1</v>
      </c>
    </row>
    <row r="140" hidden="1">
      <c r="A140" s="82"/>
      <c r="B140" s="65" t="s">
        <v>146</v>
      </c>
      <c r="C140" s="65" t="s">
        <v>117</v>
      </c>
      <c r="D140" s="65" t="str">
        <f>vlookup(C140,'Classificação p pessoal'!F:G,2,false)</f>
        <v>NP</v>
      </c>
      <c r="E140" s="65" t="s">
        <v>148</v>
      </c>
      <c r="F140" s="83">
        <v>0.625</v>
      </c>
      <c r="G140" s="83">
        <v>0.75</v>
      </c>
      <c r="H140" s="83">
        <v>0.125</v>
      </c>
      <c r="I140" s="84">
        <v>44334.0</v>
      </c>
      <c r="J140" s="65" t="b">
        <v>1</v>
      </c>
      <c r="K140" s="65"/>
      <c r="L140" s="85" t="b">
        <f>IF(VLOOKUP(C140,Projetos!A:L,12,false)=TRUE,TRUE,FALSE)</f>
        <v>1</v>
      </c>
      <c r="M140" s="74">
        <v>33.15972725468975</v>
      </c>
      <c r="N140" s="74">
        <f t="shared" si="1"/>
        <v>99.47918176</v>
      </c>
      <c r="O140" s="74" t="b">
        <v>1</v>
      </c>
    </row>
    <row r="141" hidden="1">
      <c r="A141" s="82"/>
      <c r="B141" s="65" t="s">
        <v>146</v>
      </c>
      <c r="C141" s="65" t="s">
        <v>152</v>
      </c>
      <c r="D141" s="65"/>
      <c r="E141" s="65" t="s">
        <v>155</v>
      </c>
      <c r="F141" s="83">
        <v>0.5833333333333334</v>
      </c>
      <c r="G141" s="83">
        <v>0.625</v>
      </c>
      <c r="H141" s="83">
        <v>0.041666666666666664</v>
      </c>
      <c r="I141" s="84">
        <v>44334.0</v>
      </c>
      <c r="J141" s="65" t="b">
        <v>0</v>
      </c>
      <c r="K141" s="65" t="s">
        <v>150</v>
      </c>
      <c r="L141" s="85" t="b">
        <f>IF(VLOOKUP(C141,Projetos!A:L,12,false)=TRUE,TRUE,FALSE)</f>
        <v>1</v>
      </c>
      <c r="M141" s="74">
        <v>33.15972725468975</v>
      </c>
      <c r="N141" s="74">
        <f t="shared" si="1"/>
        <v>0</v>
      </c>
      <c r="O141" s="74" t="b">
        <v>1</v>
      </c>
    </row>
    <row r="142" hidden="1">
      <c r="A142" s="82"/>
      <c r="B142" s="65" t="s">
        <v>146</v>
      </c>
      <c r="C142" s="65" t="s">
        <v>152</v>
      </c>
      <c r="D142" s="65"/>
      <c r="E142" s="65" t="s">
        <v>155</v>
      </c>
      <c r="F142" s="83">
        <v>0.625</v>
      </c>
      <c r="G142" s="83">
        <v>0.6666666666666666</v>
      </c>
      <c r="H142" s="83">
        <v>0.041666666666666664</v>
      </c>
      <c r="I142" s="84">
        <v>44335.0</v>
      </c>
      <c r="J142" s="65" t="b">
        <v>0</v>
      </c>
      <c r="K142" s="65" t="s">
        <v>150</v>
      </c>
      <c r="L142" s="85" t="b">
        <f>IF(VLOOKUP(C142,Projetos!A:L,12,false)=TRUE,TRUE,FALSE)</f>
        <v>1</v>
      </c>
      <c r="M142" s="74">
        <v>33.15972725468975</v>
      </c>
      <c r="N142" s="74">
        <f t="shared" si="1"/>
        <v>0</v>
      </c>
      <c r="O142" s="74" t="b">
        <v>1</v>
      </c>
    </row>
    <row r="143" hidden="1">
      <c r="A143" s="82"/>
      <c r="B143" s="65" t="s">
        <v>146</v>
      </c>
      <c r="C143" s="65" t="s">
        <v>117</v>
      </c>
      <c r="D143" s="65" t="str">
        <f>vlookup(C143,'Classificação p pessoal'!F:G,2,false)</f>
        <v>NP</v>
      </c>
      <c r="E143" s="65" t="s">
        <v>148</v>
      </c>
      <c r="F143" s="83">
        <v>0.3541666666666667</v>
      </c>
      <c r="G143" s="83">
        <v>0.5416666666666666</v>
      </c>
      <c r="H143" s="83">
        <v>0.1875</v>
      </c>
      <c r="I143" s="84">
        <v>44336.0</v>
      </c>
      <c r="J143" s="65" t="b">
        <v>1</v>
      </c>
      <c r="K143" s="65"/>
      <c r="L143" s="85" t="b">
        <f>IF(VLOOKUP(C143,Projetos!A:L,12,false)=TRUE,TRUE,FALSE)</f>
        <v>1</v>
      </c>
      <c r="M143" s="74">
        <v>33.15972725468975</v>
      </c>
      <c r="N143" s="74">
        <f t="shared" si="1"/>
        <v>149.2187726</v>
      </c>
      <c r="O143" s="74" t="b">
        <v>1</v>
      </c>
    </row>
    <row r="144" hidden="1">
      <c r="A144" s="82"/>
      <c r="B144" s="65" t="s">
        <v>146</v>
      </c>
      <c r="C144" s="65" t="s">
        <v>88</v>
      </c>
      <c r="D144" s="65" t="str">
        <f>vlookup(C144,'Classificação p pessoal'!F:G,2,false)</f>
        <v>MProduto</v>
      </c>
      <c r="E144" s="65" t="s">
        <v>147</v>
      </c>
      <c r="F144" s="83">
        <v>0.4791666666666667</v>
      </c>
      <c r="G144" s="83">
        <v>0.5416666666666666</v>
      </c>
      <c r="H144" s="83">
        <v>0.0625</v>
      </c>
      <c r="I144" s="84">
        <v>44337.0</v>
      </c>
      <c r="J144" s="65" t="b">
        <v>1</v>
      </c>
      <c r="K144" s="65"/>
      <c r="L144" s="85" t="b">
        <f>IF(VLOOKUP(C144,Projetos!A:L,12,false)=TRUE,TRUE,FALSE)</f>
        <v>1</v>
      </c>
      <c r="M144" s="74">
        <v>33.15972725468975</v>
      </c>
      <c r="N144" s="74">
        <f t="shared" si="1"/>
        <v>49.73959088</v>
      </c>
      <c r="O144" s="74" t="b">
        <v>1</v>
      </c>
    </row>
    <row r="145" hidden="1">
      <c r="A145" s="82"/>
      <c r="B145" s="65" t="s">
        <v>146</v>
      </c>
      <c r="C145" s="65" t="s">
        <v>117</v>
      </c>
      <c r="D145" s="65" t="str">
        <f>vlookup(C145,'Classificação p pessoal'!F:G,2,false)</f>
        <v>NP</v>
      </c>
      <c r="E145" s="65" t="s">
        <v>148</v>
      </c>
      <c r="F145" s="83">
        <v>0.625</v>
      </c>
      <c r="G145" s="83">
        <v>0.75</v>
      </c>
      <c r="H145" s="83">
        <v>0.125</v>
      </c>
      <c r="I145" s="84">
        <v>44337.0</v>
      </c>
      <c r="J145" s="65" t="b">
        <v>1</v>
      </c>
      <c r="K145" s="65"/>
      <c r="L145" s="85" t="b">
        <f>IF(VLOOKUP(C145,Projetos!A:L,12,false)=TRUE,TRUE,FALSE)</f>
        <v>1</v>
      </c>
      <c r="M145" s="74">
        <v>33.15972725468975</v>
      </c>
      <c r="N145" s="74">
        <f t="shared" si="1"/>
        <v>99.47918176</v>
      </c>
      <c r="O145" s="74" t="b">
        <v>1</v>
      </c>
    </row>
    <row r="146" hidden="1">
      <c r="A146" s="82"/>
      <c r="B146" s="65" t="s">
        <v>146</v>
      </c>
      <c r="C146" s="65" t="s">
        <v>88</v>
      </c>
      <c r="D146" s="65" t="str">
        <f>vlookup(C146,'Classificação p pessoal'!F:G,2,false)</f>
        <v>MProduto</v>
      </c>
      <c r="E146" s="65" t="s">
        <v>147</v>
      </c>
      <c r="F146" s="83">
        <v>0.5833333333333334</v>
      </c>
      <c r="G146" s="83">
        <v>0.75</v>
      </c>
      <c r="H146" s="83">
        <v>0.16666666666666666</v>
      </c>
      <c r="I146" s="84">
        <v>44340.0</v>
      </c>
      <c r="J146" s="65" t="b">
        <v>1</v>
      </c>
      <c r="K146" s="65"/>
      <c r="L146" s="85" t="b">
        <f>IF(VLOOKUP(C146,Projetos!A:L,12,false)=TRUE,TRUE,FALSE)</f>
        <v>1</v>
      </c>
      <c r="M146" s="74">
        <v>33.15972725468975</v>
      </c>
      <c r="N146" s="74">
        <f t="shared" si="1"/>
        <v>132.638909</v>
      </c>
      <c r="O146" s="74" t="b">
        <v>1</v>
      </c>
    </row>
    <row r="147" hidden="1">
      <c r="A147" s="82"/>
      <c r="B147" s="65" t="s">
        <v>146</v>
      </c>
      <c r="C147" s="65" t="s">
        <v>88</v>
      </c>
      <c r="D147" s="65" t="str">
        <f>vlookup(C147,'Classificação p pessoal'!F:G,2,false)</f>
        <v>MProduto</v>
      </c>
      <c r="E147" s="65" t="s">
        <v>147</v>
      </c>
      <c r="F147" s="83">
        <v>0.5833333333333334</v>
      </c>
      <c r="G147" s="83">
        <v>0.6666666666666666</v>
      </c>
      <c r="H147" s="83">
        <v>0.08333333333333333</v>
      </c>
      <c r="I147" s="84">
        <v>44341.0</v>
      </c>
      <c r="J147" s="65" t="b">
        <v>1</v>
      </c>
      <c r="K147" s="65"/>
      <c r="L147" s="85" t="b">
        <f>IF(VLOOKUP(C147,Projetos!A:L,12,false)=TRUE,TRUE,FALSE)</f>
        <v>1</v>
      </c>
      <c r="M147" s="74">
        <v>33.15972725468975</v>
      </c>
      <c r="N147" s="74">
        <f t="shared" si="1"/>
        <v>66.31945451</v>
      </c>
      <c r="O147" s="74" t="b">
        <v>1</v>
      </c>
    </row>
    <row r="148" hidden="1">
      <c r="A148" s="82"/>
      <c r="B148" s="65" t="s">
        <v>146</v>
      </c>
      <c r="C148" s="65" t="s">
        <v>121</v>
      </c>
      <c r="D148" s="65" t="str">
        <f>vlookup(C148,'Classificação p pessoal'!F:G,2,false)</f>
        <v>NP</v>
      </c>
      <c r="E148" s="65" t="s">
        <v>148</v>
      </c>
      <c r="F148" s="83">
        <v>0.6666666666666666</v>
      </c>
      <c r="G148" s="83">
        <v>0.75</v>
      </c>
      <c r="H148" s="83">
        <v>0.08333333333333333</v>
      </c>
      <c r="I148" s="84">
        <v>44341.0</v>
      </c>
      <c r="J148" s="65" t="b">
        <v>1</v>
      </c>
      <c r="K148" s="65"/>
      <c r="L148" s="85" t="b">
        <f>IF(VLOOKUP(C148,Projetos!A:L,12,false)=TRUE,TRUE,FALSE)</f>
        <v>1</v>
      </c>
      <c r="M148" s="74">
        <v>33.15972725468975</v>
      </c>
      <c r="N148" s="74">
        <f t="shared" si="1"/>
        <v>66.31945451</v>
      </c>
      <c r="O148" s="74" t="b">
        <v>1</v>
      </c>
    </row>
    <row r="149" hidden="1">
      <c r="A149" s="82"/>
      <c r="B149" s="65" t="s">
        <v>146</v>
      </c>
      <c r="C149" s="65" t="s">
        <v>121</v>
      </c>
      <c r="D149" s="65" t="str">
        <f>vlookup(C149,'Classificação p pessoal'!F:G,2,false)</f>
        <v>NP</v>
      </c>
      <c r="E149" s="65" t="s">
        <v>148</v>
      </c>
      <c r="F149" s="83">
        <v>0.6666666666666666</v>
      </c>
      <c r="G149" s="83">
        <v>0.75</v>
      </c>
      <c r="H149" s="83">
        <v>0.08333333333333333</v>
      </c>
      <c r="I149" s="84">
        <v>44342.0</v>
      </c>
      <c r="J149" s="65" t="b">
        <v>1</v>
      </c>
      <c r="K149" s="65"/>
      <c r="L149" s="85" t="b">
        <f>IF(VLOOKUP(C149,Projetos!A:L,12,false)=TRUE,TRUE,FALSE)</f>
        <v>1</v>
      </c>
      <c r="M149" s="74">
        <v>33.15972725468975</v>
      </c>
      <c r="N149" s="74">
        <f t="shared" si="1"/>
        <v>66.31945451</v>
      </c>
      <c r="O149" s="74" t="b">
        <v>1</v>
      </c>
    </row>
    <row r="150" hidden="1">
      <c r="A150" s="82"/>
      <c r="B150" s="65" t="s">
        <v>146</v>
      </c>
      <c r="C150" s="65" t="s">
        <v>121</v>
      </c>
      <c r="D150" s="65" t="str">
        <f>vlookup(C150,'Classificação p pessoal'!F:G,2,false)</f>
        <v>NP</v>
      </c>
      <c r="E150" s="65" t="s">
        <v>148</v>
      </c>
      <c r="F150" s="83">
        <v>0.5833333333333334</v>
      </c>
      <c r="G150" s="83">
        <v>0.6666666666666666</v>
      </c>
      <c r="H150" s="83">
        <v>0.08333333333333333</v>
      </c>
      <c r="I150" s="84">
        <v>44343.0</v>
      </c>
      <c r="J150" s="65" t="b">
        <v>1</v>
      </c>
      <c r="K150" s="65"/>
      <c r="L150" s="85" t="b">
        <f>IF(VLOOKUP(C150,Projetos!A:L,12,false)=TRUE,TRUE,FALSE)</f>
        <v>1</v>
      </c>
      <c r="M150" s="74">
        <v>33.15972725468975</v>
      </c>
      <c r="N150" s="74">
        <f t="shared" si="1"/>
        <v>66.31945451</v>
      </c>
      <c r="O150" s="74" t="b">
        <v>1</v>
      </c>
    </row>
    <row r="151" hidden="1">
      <c r="A151" s="82"/>
      <c r="B151" s="65" t="s">
        <v>146</v>
      </c>
      <c r="C151" s="65" t="s">
        <v>122</v>
      </c>
      <c r="D151" s="65" t="str">
        <f>vlookup(C151,'Classificação p pessoal'!F:G,2,false)</f>
        <v>NP</v>
      </c>
      <c r="E151" s="65" t="s">
        <v>156</v>
      </c>
      <c r="F151" s="83">
        <v>0.5833333333333334</v>
      </c>
      <c r="G151" s="83">
        <v>0.75</v>
      </c>
      <c r="H151" s="83">
        <v>0.16666666666666666</v>
      </c>
      <c r="I151" s="84">
        <v>44343.0</v>
      </c>
      <c r="J151" s="65" t="b">
        <v>1</v>
      </c>
      <c r="K151" s="65"/>
      <c r="L151" s="85" t="b">
        <f>IF(VLOOKUP(C151,Projetos!A:L,12,false)=TRUE,TRUE,FALSE)</f>
        <v>1</v>
      </c>
      <c r="M151" s="74">
        <v>33.15972725468975</v>
      </c>
      <c r="N151" s="74">
        <f t="shared" si="1"/>
        <v>132.638909</v>
      </c>
      <c r="O151" s="74" t="b">
        <v>1</v>
      </c>
    </row>
    <row r="152" hidden="1">
      <c r="A152" s="82"/>
      <c r="B152" s="65" t="s">
        <v>146</v>
      </c>
      <c r="C152" s="65" t="s">
        <v>122</v>
      </c>
      <c r="D152" s="65" t="str">
        <f>vlookup(C152,'Classificação p pessoal'!F:G,2,false)</f>
        <v>NP</v>
      </c>
      <c r="E152" s="65" t="s">
        <v>156</v>
      </c>
      <c r="F152" s="83">
        <v>0.34375</v>
      </c>
      <c r="G152" s="83">
        <v>0.3854166666666667</v>
      </c>
      <c r="H152" s="83">
        <v>0.041666666666666664</v>
      </c>
      <c r="I152" s="84">
        <v>44344.0</v>
      </c>
      <c r="J152" s="65" t="b">
        <v>1</v>
      </c>
      <c r="K152" s="65"/>
      <c r="L152" s="85" t="b">
        <f>IF(VLOOKUP(C152,Projetos!A:L,12,false)=TRUE,TRUE,FALSE)</f>
        <v>1</v>
      </c>
      <c r="M152" s="74">
        <v>33.15972725468975</v>
      </c>
      <c r="N152" s="74">
        <f t="shared" si="1"/>
        <v>33.15972725</v>
      </c>
      <c r="O152" s="74" t="b">
        <v>1</v>
      </c>
    </row>
    <row r="153" hidden="1">
      <c r="A153" s="82"/>
      <c r="B153" s="65" t="s">
        <v>146</v>
      </c>
      <c r="C153" s="65" t="s">
        <v>88</v>
      </c>
      <c r="D153" s="65" t="str">
        <f>vlookup(C153,'Classificação p pessoal'!F:G,2,false)</f>
        <v>MProduto</v>
      </c>
      <c r="E153" s="65" t="s">
        <v>147</v>
      </c>
      <c r="F153" s="83">
        <v>0.34375</v>
      </c>
      <c r="G153" s="83">
        <v>0.5416666666666666</v>
      </c>
      <c r="H153" s="83">
        <v>0.19791666666666666</v>
      </c>
      <c r="I153" s="84">
        <v>44347.0</v>
      </c>
      <c r="J153" s="65" t="b">
        <v>1</v>
      </c>
      <c r="K153" s="65"/>
      <c r="L153" s="85" t="b">
        <f>IF(VLOOKUP(C153,Projetos!A:L,12,false)=TRUE,TRUE,FALSE)</f>
        <v>1</v>
      </c>
      <c r="M153" s="74">
        <v>33.15972725468975</v>
      </c>
      <c r="N153" s="74">
        <f t="shared" si="1"/>
        <v>157.5087045</v>
      </c>
      <c r="O153" s="74" t="b">
        <v>1</v>
      </c>
    </row>
    <row r="154" hidden="1">
      <c r="A154" s="82"/>
      <c r="B154" s="65" t="s">
        <v>146</v>
      </c>
      <c r="C154" s="65" t="s">
        <v>117</v>
      </c>
      <c r="D154" s="65" t="str">
        <f>vlookup(C154,'Classificação p pessoal'!F:G,2,false)</f>
        <v>NP</v>
      </c>
      <c r="E154" s="65" t="s">
        <v>148</v>
      </c>
      <c r="F154" s="83">
        <v>0.3541666666666667</v>
      </c>
      <c r="G154" s="83">
        <v>0.5208333333333334</v>
      </c>
      <c r="H154" s="83">
        <v>0.16666666666666666</v>
      </c>
      <c r="I154" s="84">
        <v>44348.0</v>
      </c>
      <c r="J154" s="65" t="b">
        <v>1</v>
      </c>
      <c r="K154" s="65"/>
      <c r="L154" s="85" t="b">
        <f>IF(VLOOKUP(C154,Projetos!A:L,12,false)=TRUE,TRUE,FALSE)</f>
        <v>1</v>
      </c>
      <c r="M154" s="74">
        <v>33.15972725468975</v>
      </c>
      <c r="N154" s="74">
        <f t="shared" si="1"/>
        <v>132.638909</v>
      </c>
      <c r="O154" s="74" t="b">
        <v>1</v>
      </c>
    </row>
    <row r="155" hidden="1">
      <c r="A155" s="82"/>
      <c r="B155" s="65" t="s">
        <v>146</v>
      </c>
      <c r="C155" s="65" t="s">
        <v>88</v>
      </c>
      <c r="D155" s="65" t="str">
        <f>vlookup(C155,'Classificação p pessoal'!F:G,2,false)</f>
        <v>MProduto</v>
      </c>
      <c r="E155" s="65" t="s">
        <v>147</v>
      </c>
      <c r="F155" s="83">
        <v>0.5625</v>
      </c>
      <c r="G155" s="83">
        <v>0.6458333333333334</v>
      </c>
      <c r="H155" s="83">
        <v>0.08333333333333333</v>
      </c>
      <c r="I155" s="84">
        <v>44348.0</v>
      </c>
      <c r="J155" s="65" t="b">
        <v>1</v>
      </c>
      <c r="K155" s="65"/>
      <c r="L155" s="85" t="b">
        <f>IF(VLOOKUP(C155,Projetos!A:L,12,false)=TRUE,TRUE,FALSE)</f>
        <v>1</v>
      </c>
      <c r="M155" s="74">
        <v>33.15972725468975</v>
      </c>
      <c r="N155" s="74">
        <f t="shared" si="1"/>
        <v>66.31945451</v>
      </c>
      <c r="O155" s="74" t="b">
        <v>1</v>
      </c>
    </row>
    <row r="156" hidden="1">
      <c r="A156" s="82"/>
      <c r="B156" s="65" t="s">
        <v>146</v>
      </c>
      <c r="C156" s="65" t="s">
        <v>117</v>
      </c>
      <c r="D156" s="65" t="str">
        <f>vlookup(C156,'Classificação p pessoal'!F:G,2,false)</f>
        <v>NP</v>
      </c>
      <c r="E156" s="65" t="s">
        <v>148</v>
      </c>
      <c r="F156" s="83">
        <v>0.3541666666666667</v>
      </c>
      <c r="G156" s="83">
        <v>0.5208333333333334</v>
      </c>
      <c r="H156" s="83">
        <v>0.16666666666666666</v>
      </c>
      <c r="I156" s="84">
        <v>44349.0</v>
      </c>
      <c r="J156" s="65" t="b">
        <v>1</v>
      </c>
      <c r="K156" s="65"/>
      <c r="L156" s="85" t="b">
        <f>IF(VLOOKUP(C156,Projetos!A:L,12,false)=TRUE,TRUE,FALSE)</f>
        <v>1</v>
      </c>
      <c r="M156" s="74">
        <v>33.15972725468975</v>
      </c>
      <c r="N156" s="74">
        <f t="shared" si="1"/>
        <v>132.638909</v>
      </c>
      <c r="O156" s="74" t="b">
        <v>1</v>
      </c>
    </row>
    <row r="157" hidden="1">
      <c r="A157" s="82"/>
      <c r="B157" s="65" t="s">
        <v>146</v>
      </c>
      <c r="C157" s="65" t="s">
        <v>88</v>
      </c>
      <c r="D157" s="65" t="str">
        <f>vlookup(C157,'Classificação p pessoal'!F:G,2,false)</f>
        <v>MProduto</v>
      </c>
      <c r="E157" s="65" t="s">
        <v>147</v>
      </c>
      <c r="F157" s="83">
        <v>0.5833333333333334</v>
      </c>
      <c r="G157" s="83">
        <v>0.6666666666666666</v>
      </c>
      <c r="H157" s="83">
        <v>0.08333333333333333</v>
      </c>
      <c r="I157" s="84">
        <v>44349.0</v>
      </c>
      <c r="J157" s="65" t="b">
        <v>1</v>
      </c>
      <c r="K157" s="65"/>
      <c r="L157" s="85" t="b">
        <f>IF(VLOOKUP(C157,Projetos!A:L,12,false)=TRUE,TRUE,FALSE)</f>
        <v>1</v>
      </c>
      <c r="M157" s="74">
        <v>33.15972725468975</v>
      </c>
      <c r="N157" s="74">
        <f t="shared" si="1"/>
        <v>66.31945451</v>
      </c>
      <c r="O157" s="74" t="b">
        <v>1</v>
      </c>
    </row>
    <row r="158" hidden="1">
      <c r="A158" s="82"/>
      <c r="B158" s="65" t="s">
        <v>146</v>
      </c>
      <c r="C158" s="65" t="s">
        <v>127</v>
      </c>
      <c r="D158" s="65" t="str">
        <f>vlookup(C158,'Classificação p pessoal'!F:G,2,false)</f>
        <v>NP</v>
      </c>
      <c r="E158" s="65" t="s">
        <v>148</v>
      </c>
      <c r="F158" s="83">
        <v>0.5416666666666666</v>
      </c>
      <c r="G158" s="83">
        <v>0.75</v>
      </c>
      <c r="H158" s="83">
        <v>0.20833333333333334</v>
      </c>
      <c r="I158" s="84">
        <v>44362.0</v>
      </c>
      <c r="J158" s="65" t="b">
        <v>1</v>
      </c>
      <c r="K158" s="65"/>
      <c r="L158" s="85" t="b">
        <f>IF(VLOOKUP(C158,Projetos!A:L,12,false)=TRUE,TRUE,FALSE)</f>
        <v>1</v>
      </c>
      <c r="M158" s="74">
        <v>33.15972725468975</v>
      </c>
      <c r="N158" s="74">
        <f t="shared" si="1"/>
        <v>165.7986363</v>
      </c>
      <c r="O158" s="74" t="b">
        <v>1</v>
      </c>
    </row>
    <row r="159" hidden="1">
      <c r="A159" s="82"/>
      <c r="B159" s="65" t="s">
        <v>146</v>
      </c>
      <c r="C159" s="65" t="s">
        <v>88</v>
      </c>
      <c r="D159" s="65" t="str">
        <f>vlookup(C159,'Classificação p pessoal'!F:G,2,false)</f>
        <v>MProduto</v>
      </c>
      <c r="E159" s="65" t="s">
        <v>147</v>
      </c>
      <c r="F159" s="83">
        <v>0.3541666666666667</v>
      </c>
      <c r="G159" s="83">
        <v>0.5416666666666666</v>
      </c>
      <c r="H159" s="83">
        <v>0.1875</v>
      </c>
      <c r="I159" s="84">
        <v>44363.0</v>
      </c>
      <c r="J159" s="65" t="b">
        <v>1</v>
      </c>
      <c r="K159" s="65"/>
      <c r="L159" s="85" t="b">
        <f>IF(VLOOKUP(C159,Projetos!A:L,12,false)=TRUE,TRUE,FALSE)</f>
        <v>1</v>
      </c>
      <c r="M159" s="74">
        <v>33.15972725468975</v>
      </c>
      <c r="N159" s="74">
        <f t="shared" si="1"/>
        <v>149.2187726</v>
      </c>
      <c r="O159" s="74" t="b">
        <v>1</v>
      </c>
    </row>
    <row r="160" hidden="1">
      <c r="A160" s="82"/>
      <c r="B160" s="65" t="s">
        <v>146</v>
      </c>
      <c r="C160" s="65" t="s">
        <v>127</v>
      </c>
      <c r="D160" s="65" t="str">
        <f>vlookup(C160,'Classificação p pessoal'!F:G,2,false)</f>
        <v>NP</v>
      </c>
      <c r="E160" s="65" t="s">
        <v>148</v>
      </c>
      <c r="F160" s="83">
        <v>0.5416666666666666</v>
      </c>
      <c r="G160" s="83">
        <v>0.75</v>
      </c>
      <c r="H160" s="83">
        <v>0.20833333333333334</v>
      </c>
      <c r="I160" s="84">
        <v>44363.0</v>
      </c>
      <c r="J160" s="65" t="b">
        <v>1</v>
      </c>
      <c r="K160" s="65"/>
      <c r="L160" s="85" t="b">
        <f>IF(VLOOKUP(C160,Projetos!A:L,12,false)=TRUE,TRUE,FALSE)</f>
        <v>1</v>
      </c>
      <c r="M160" s="74">
        <v>33.15972725468975</v>
      </c>
      <c r="N160" s="74">
        <f t="shared" si="1"/>
        <v>165.7986363</v>
      </c>
      <c r="O160" s="74" t="b">
        <v>1</v>
      </c>
    </row>
    <row r="161" hidden="1">
      <c r="A161" s="82"/>
      <c r="B161" s="65" t="s">
        <v>146</v>
      </c>
      <c r="C161" s="65" t="s">
        <v>127</v>
      </c>
      <c r="D161" s="65" t="str">
        <f>vlookup(C161,'Classificação p pessoal'!F:G,2,false)</f>
        <v>NP</v>
      </c>
      <c r="E161" s="65" t="s">
        <v>148</v>
      </c>
      <c r="F161" s="83">
        <v>0.3541666666666667</v>
      </c>
      <c r="G161" s="83">
        <v>0.5625</v>
      </c>
      <c r="H161" s="83">
        <v>0.20833333333333334</v>
      </c>
      <c r="I161" s="84">
        <v>44364.0</v>
      </c>
      <c r="J161" s="65" t="b">
        <v>1</v>
      </c>
      <c r="K161" s="65"/>
      <c r="L161" s="85" t="b">
        <f>IF(VLOOKUP(C161,Projetos!A:L,12,false)=TRUE,TRUE,FALSE)</f>
        <v>1</v>
      </c>
      <c r="M161" s="74">
        <v>33.15972725468975</v>
      </c>
      <c r="N161" s="74">
        <f t="shared" si="1"/>
        <v>165.7986363</v>
      </c>
      <c r="O161" s="74" t="b">
        <v>1</v>
      </c>
    </row>
    <row r="162" hidden="1">
      <c r="A162" s="82"/>
      <c r="B162" s="65" t="s">
        <v>146</v>
      </c>
      <c r="C162" s="65" t="s">
        <v>88</v>
      </c>
      <c r="D162" s="65" t="str">
        <f>vlookup(C162,'Classificação p pessoal'!F:G,2,false)</f>
        <v>MProduto</v>
      </c>
      <c r="E162" s="65" t="s">
        <v>147</v>
      </c>
      <c r="F162" s="83">
        <v>0.6041666666666666</v>
      </c>
      <c r="G162" s="83">
        <v>0.75</v>
      </c>
      <c r="H162" s="83">
        <v>0.14583333333333334</v>
      </c>
      <c r="I162" s="84">
        <v>44364.0</v>
      </c>
      <c r="J162" s="65" t="b">
        <v>1</v>
      </c>
      <c r="K162" s="65"/>
      <c r="L162" s="85" t="b">
        <f>IF(VLOOKUP(C162,Projetos!A:L,12,false)=TRUE,TRUE,FALSE)</f>
        <v>1</v>
      </c>
      <c r="M162" s="74">
        <v>33.15972725468975</v>
      </c>
      <c r="N162" s="74">
        <f t="shared" si="1"/>
        <v>116.0590454</v>
      </c>
      <c r="O162" s="74" t="b">
        <v>1</v>
      </c>
    </row>
    <row r="163" hidden="1">
      <c r="A163" s="82"/>
      <c r="B163" s="65" t="s">
        <v>146</v>
      </c>
      <c r="C163" s="65" t="s">
        <v>88</v>
      </c>
      <c r="D163" s="65" t="str">
        <f>vlookup(C163,'Classificação p pessoal'!F:G,2,false)</f>
        <v>MProduto</v>
      </c>
      <c r="E163" s="65" t="s">
        <v>147</v>
      </c>
      <c r="F163" s="83">
        <v>0.3541666666666667</v>
      </c>
      <c r="G163" s="83">
        <v>0.5416666666666666</v>
      </c>
      <c r="H163" s="83">
        <v>0.1875</v>
      </c>
      <c r="I163" s="84">
        <v>44365.0</v>
      </c>
      <c r="J163" s="65" t="b">
        <v>1</v>
      </c>
      <c r="K163" s="65"/>
      <c r="L163" s="85" t="b">
        <f>IF(VLOOKUP(C163,Projetos!A:L,12,false)=TRUE,TRUE,FALSE)</f>
        <v>1</v>
      </c>
      <c r="M163" s="74">
        <v>33.15972725468975</v>
      </c>
      <c r="N163" s="74">
        <f t="shared" si="1"/>
        <v>149.2187726</v>
      </c>
      <c r="O163" s="74" t="b">
        <v>1</v>
      </c>
    </row>
    <row r="164" hidden="1">
      <c r="A164" s="82"/>
      <c r="B164" s="65" t="s">
        <v>146</v>
      </c>
      <c r="C164" s="65" t="s">
        <v>127</v>
      </c>
      <c r="D164" s="65" t="str">
        <f>vlookup(C164,'Classificação p pessoal'!F:G,2,false)</f>
        <v>NP</v>
      </c>
      <c r="E164" s="65" t="s">
        <v>148</v>
      </c>
      <c r="F164" s="83">
        <v>0.5833333333333334</v>
      </c>
      <c r="G164" s="83">
        <v>0.75</v>
      </c>
      <c r="H164" s="83">
        <v>0.16666666666666666</v>
      </c>
      <c r="I164" s="84">
        <v>44365.0</v>
      </c>
      <c r="J164" s="65" t="b">
        <v>1</v>
      </c>
      <c r="K164" s="65"/>
      <c r="L164" s="85" t="b">
        <f>IF(VLOOKUP(C164,Projetos!A:L,12,false)=TRUE,TRUE,FALSE)</f>
        <v>1</v>
      </c>
      <c r="M164" s="74">
        <v>33.15972725468975</v>
      </c>
      <c r="N164" s="74">
        <f t="shared" si="1"/>
        <v>132.638909</v>
      </c>
      <c r="O164" s="74" t="b">
        <v>1</v>
      </c>
    </row>
    <row r="165" hidden="1">
      <c r="A165" s="82"/>
      <c r="B165" s="65" t="s">
        <v>146</v>
      </c>
      <c r="C165" s="65" t="s">
        <v>88</v>
      </c>
      <c r="D165" s="65" t="str">
        <f>vlookup(C165,'Classificação p pessoal'!F:G,2,false)</f>
        <v>MProduto</v>
      </c>
      <c r="E165" s="65" t="s">
        <v>147</v>
      </c>
      <c r="F165" s="83">
        <v>0.3333333333333333</v>
      </c>
      <c r="G165" s="83">
        <v>0.3958333333333333</v>
      </c>
      <c r="H165" s="83">
        <v>0.0625</v>
      </c>
      <c r="I165" s="84">
        <v>44378.0</v>
      </c>
      <c r="J165" s="65" t="b">
        <v>1</v>
      </c>
      <c r="K165" s="65"/>
      <c r="L165" s="85" t="b">
        <f>IF(VLOOKUP(C165,Projetos!A:L,12,false)=TRUE,TRUE,FALSE)</f>
        <v>1</v>
      </c>
      <c r="M165" s="74">
        <v>33.15972725468975</v>
      </c>
      <c r="N165" s="74">
        <f t="shared" si="1"/>
        <v>49.73959088</v>
      </c>
      <c r="O165" s="74" t="b">
        <v>1</v>
      </c>
    </row>
    <row r="166" hidden="1">
      <c r="A166" s="82"/>
      <c r="B166" s="65" t="s">
        <v>146</v>
      </c>
      <c r="C166" s="65" t="s">
        <v>87</v>
      </c>
      <c r="D166" s="65" t="str">
        <f>vlookup(C166,'Classificação p pessoal'!F:G,2,false)</f>
        <v>MProduto</v>
      </c>
      <c r="E166" s="65" t="s">
        <v>157</v>
      </c>
      <c r="F166" s="83">
        <v>0.5416666666666666</v>
      </c>
      <c r="G166" s="83">
        <v>0.75</v>
      </c>
      <c r="H166" s="83">
        <v>0.20833333333333334</v>
      </c>
      <c r="I166" s="84">
        <v>44378.0</v>
      </c>
      <c r="J166" s="65" t="b">
        <v>1</v>
      </c>
      <c r="K166" s="65"/>
      <c r="L166" s="85" t="b">
        <f>IF(VLOOKUP(C166,Projetos!A:L,12,false)=TRUE,TRUE,FALSE)</f>
        <v>1</v>
      </c>
      <c r="M166" s="74">
        <v>33.15972725468975</v>
      </c>
      <c r="N166" s="74">
        <f t="shared" si="1"/>
        <v>165.7986363</v>
      </c>
      <c r="O166" s="74" t="b">
        <v>1</v>
      </c>
    </row>
    <row r="167" hidden="1">
      <c r="A167" s="82"/>
      <c r="B167" s="65" t="s">
        <v>146</v>
      </c>
      <c r="C167" s="65" t="s">
        <v>88</v>
      </c>
      <c r="D167" s="65" t="str">
        <f>vlookup(C167,'Classificação p pessoal'!F:G,2,false)</f>
        <v>MProduto</v>
      </c>
      <c r="E167" s="65" t="s">
        <v>147</v>
      </c>
      <c r="F167" s="83">
        <v>0.4166666666666667</v>
      </c>
      <c r="G167" s="83">
        <v>0.4583333333333333</v>
      </c>
      <c r="H167" s="83">
        <v>0.041666666666666664</v>
      </c>
      <c r="I167" s="84">
        <v>44378.0</v>
      </c>
      <c r="J167" s="65" t="b">
        <v>1</v>
      </c>
      <c r="K167" s="65"/>
      <c r="L167" s="85" t="b">
        <f>IF(VLOOKUP(C167,Projetos!A:L,12,false)=TRUE,TRUE,FALSE)</f>
        <v>1</v>
      </c>
      <c r="M167" s="74">
        <v>33.15972725468975</v>
      </c>
      <c r="N167" s="74">
        <f t="shared" si="1"/>
        <v>33.15972725</v>
      </c>
      <c r="O167" s="74" t="b">
        <v>1</v>
      </c>
    </row>
    <row r="168" hidden="1">
      <c r="A168" s="82"/>
      <c r="B168" s="65" t="s">
        <v>146</v>
      </c>
      <c r="C168" s="65" t="s">
        <v>87</v>
      </c>
      <c r="D168" s="65" t="str">
        <f>vlookup(C168,'Classificação p pessoal'!F:G,2,false)</f>
        <v>MProduto</v>
      </c>
      <c r="E168" s="65" t="s">
        <v>157</v>
      </c>
      <c r="F168" s="83">
        <v>0.34375</v>
      </c>
      <c r="G168" s="83">
        <v>0.5</v>
      </c>
      <c r="H168" s="83">
        <v>0.15625</v>
      </c>
      <c r="I168" s="84">
        <v>44379.0</v>
      </c>
      <c r="J168" s="65" t="b">
        <v>1</v>
      </c>
      <c r="K168" s="65"/>
      <c r="L168" s="85" t="b">
        <f>IF(VLOOKUP(C168,Projetos!A:L,12,false)=TRUE,TRUE,FALSE)</f>
        <v>1</v>
      </c>
      <c r="M168" s="74">
        <v>33.15972725468975</v>
      </c>
      <c r="N168" s="74">
        <f t="shared" si="1"/>
        <v>124.3489772</v>
      </c>
      <c r="O168" s="74" t="b">
        <v>1</v>
      </c>
    </row>
    <row r="169" hidden="1">
      <c r="A169" s="82"/>
      <c r="B169" s="65" t="s">
        <v>146</v>
      </c>
      <c r="C169" s="65" t="s">
        <v>88</v>
      </c>
      <c r="D169" s="65" t="str">
        <f>vlookup(C169,'Classificação p pessoal'!F:G,2,false)</f>
        <v>MProduto</v>
      </c>
      <c r="E169" s="65" t="s">
        <v>147</v>
      </c>
      <c r="F169" s="83">
        <v>0.4166666666666667</v>
      </c>
      <c r="G169" s="83">
        <v>0.5416666666666666</v>
      </c>
      <c r="H169" s="83">
        <v>0.125</v>
      </c>
      <c r="I169" s="84">
        <v>44382.0</v>
      </c>
      <c r="J169" s="65" t="b">
        <v>1</v>
      </c>
      <c r="K169" s="65"/>
      <c r="L169" s="85" t="b">
        <f>IF(VLOOKUP(C169,Projetos!A:L,12,false)=TRUE,TRUE,FALSE)</f>
        <v>1</v>
      </c>
      <c r="M169" s="74">
        <v>33.15972725468975</v>
      </c>
      <c r="N169" s="74">
        <f t="shared" si="1"/>
        <v>99.47918176</v>
      </c>
      <c r="O169" s="74" t="b">
        <v>1</v>
      </c>
    </row>
    <row r="170" hidden="1">
      <c r="A170" s="82"/>
      <c r="B170" s="65" t="s">
        <v>146</v>
      </c>
      <c r="C170" s="65" t="s">
        <v>117</v>
      </c>
      <c r="D170" s="65" t="str">
        <f>vlookup(C170,'Classificação p pessoal'!F:G,2,false)</f>
        <v>NP</v>
      </c>
      <c r="E170" s="65" t="s">
        <v>158</v>
      </c>
      <c r="F170" s="83">
        <v>0.625</v>
      </c>
      <c r="G170" s="83">
        <v>0.6666666666666666</v>
      </c>
      <c r="H170" s="83">
        <v>0.041666666666666664</v>
      </c>
      <c r="I170" s="84">
        <v>44382.0</v>
      </c>
      <c r="J170" s="65" t="b">
        <v>1</v>
      </c>
      <c r="K170" s="65"/>
      <c r="L170" s="85" t="b">
        <f>IF(VLOOKUP(C170,Projetos!A:L,12,false)=TRUE,TRUE,FALSE)</f>
        <v>1</v>
      </c>
      <c r="M170" s="74">
        <v>33.15972725468975</v>
      </c>
      <c r="N170" s="74">
        <f t="shared" si="1"/>
        <v>33.15972725</v>
      </c>
      <c r="O170" s="74" t="b">
        <v>1</v>
      </c>
    </row>
    <row r="171" hidden="1">
      <c r="A171" s="82"/>
      <c r="B171" s="65" t="s">
        <v>146</v>
      </c>
      <c r="C171" s="65" t="s">
        <v>88</v>
      </c>
      <c r="D171" s="65" t="str">
        <f>vlookup(C171,'Classificação p pessoal'!F:G,2,false)</f>
        <v>MProduto</v>
      </c>
      <c r="E171" s="65" t="s">
        <v>147</v>
      </c>
      <c r="F171" s="83">
        <v>0.34375</v>
      </c>
      <c r="G171" s="83">
        <v>0.5416666666666666</v>
      </c>
      <c r="H171" s="83">
        <v>0.19791666666666666</v>
      </c>
      <c r="I171" s="84">
        <v>44383.0</v>
      </c>
      <c r="J171" s="65" t="b">
        <v>1</v>
      </c>
      <c r="K171" s="65"/>
      <c r="L171" s="85" t="b">
        <f>IF(VLOOKUP(C171,Projetos!A:L,12,false)=TRUE,TRUE,FALSE)</f>
        <v>1</v>
      </c>
      <c r="M171" s="74">
        <v>33.15972725468975</v>
      </c>
      <c r="N171" s="74">
        <f t="shared" si="1"/>
        <v>157.5087045</v>
      </c>
      <c r="O171" s="74" t="b">
        <v>1</v>
      </c>
    </row>
    <row r="172" hidden="1">
      <c r="A172" s="82"/>
      <c r="B172" s="65" t="s">
        <v>146</v>
      </c>
      <c r="C172" s="65" t="s">
        <v>117</v>
      </c>
      <c r="D172" s="65" t="str">
        <f>vlookup(C172,'Classificação p pessoal'!F:G,2,false)</f>
        <v>NP</v>
      </c>
      <c r="E172" s="65" t="s">
        <v>158</v>
      </c>
      <c r="F172" s="83">
        <v>0.5833333333333334</v>
      </c>
      <c r="G172" s="83">
        <v>0.75</v>
      </c>
      <c r="H172" s="83">
        <v>0.16666666666666666</v>
      </c>
      <c r="I172" s="84">
        <v>44384.0</v>
      </c>
      <c r="J172" s="65" t="b">
        <v>1</v>
      </c>
      <c r="K172" s="65"/>
      <c r="L172" s="85" t="b">
        <f>IF(VLOOKUP(C172,Projetos!A:L,12,false)=TRUE,TRUE,FALSE)</f>
        <v>1</v>
      </c>
      <c r="M172" s="74">
        <v>33.15972725468975</v>
      </c>
      <c r="N172" s="74">
        <f t="shared" si="1"/>
        <v>132.638909</v>
      </c>
      <c r="O172" s="74" t="b">
        <v>1</v>
      </c>
    </row>
    <row r="173" hidden="1">
      <c r="A173" s="82"/>
      <c r="B173" s="65" t="s">
        <v>146</v>
      </c>
      <c r="C173" s="65" t="s">
        <v>87</v>
      </c>
      <c r="D173" s="65" t="str">
        <f>vlookup(C173,'Classificação p pessoal'!F:G,2,false)</f>
        <v>MProduto</v>
      </c>
      <c r="E173" s="65" t="s">
        <v>157</v>
      </c>
      <c r="F173" s="83">
        <v>0.3333333333333333</v>
      </c>
      <c r="G173" s="83">
        <v>0.375</v>
      </c>
      <c r="H173" s="83">
        <v>0.041666666666666664</v>
      </c>
      <c r="I173" s="84">
        <v>44384.0</v>
      </c>
      <c r="J173" s="65" t="b">
        <v>1</v>
      </c>
      <c r="K173" s="65"/>
      <c r="L173" s="85" t="b">
        <f>IF(VLOOKUP(C173,Projetos!A:L,12,false)=TRUE,TRUE,FALSE)</f>
        <v>1</v>
      </c>
      <c r="M173" s="74">
        <v>33.15972725468975</v>
      </c>
      <c r="N173" s="74">
        <f t="shared" si="1"/>
        <v>33.15972725</v>
      </c>
      <c r="O173" s="74" t="b">
        <v>1</v>
      </c>
    </row>
    <row r="174" hidden="1">
      <c r="A174" s="82"/>
      <c r="B174" s="65" t="s">
        <v>146</v>
      </c>
      <c r="C174" s="65" t="s">
        <v>117</v>
      </c>
      <c r="D174" s="65" t="str">
        <f>vlookup(C174,'Classificação p pessoal'!F:G,2,false)</f>
        <v>NP</v>
      </c>
      <c r="E174" s="65" t="s">
        <v>158</v>
      </c>
      <c r="F174" s="83">
        <v>0.375</v>
      </c>
      <c r="G174" s="83">
        <v>0.5</v>
      </c>
      <c r="H174" s="83">
        <v>0.125</v>
      </c>
      <c r="I174" s="84">
        <v>44385.0</v>
      </c>
      <c r="J174" s="65" t="b">
        <v>1</v>
      </c>
      <c r="K174" s="65"/>
      <c r="L174" s="85" t="b">
        <f>IF(VLOOKUP(C174,Projetos!A:L,12,false)=TRUE,TRUE,FALSE)</f>
        <v>1</v>
      </c>
      <c r="M174" s="74">
        <v>33.15972725468975</v>
      </c>
      <c r="N174" s="74">
        <f t="shared" si="1"/>
        <v>99.47918176</v>
      </c>
      <c r="O174" s="74" t="b">
        <v>1</v>
      </c>
    </row>
    <row r="175" hidden="1">
      <c r="A175" s="82"/>
      <c r="B175" s="65" t="s">
        <v>146</v>
      </c>
      <c r="C175" s="65" t="s">
        <v>87</v>
      </c>
      <c r="D175" s="65" t="str">
        <f>vlookup(C175,'Classificação p pessoal'!F:G,2,false)</f>
        <v>MProduto</v>
      </c>
      <c r="E175" s="65" t="s">
        <v>157</v>
      </c>
      <c r="F175" s="83">
        <v>0.5833333333333334</v>
      </c>
      <c r="G175" s="83">
        <v>0.75</v>
      </c>
      <c r="H175" s="83">
        <v>0.16666666666666666</v>
      </c>
      <c r="I175" s="84">
        <v>44385.0</v>
      </c>
      <c r="J175" s="65" t="b">
        <v>1</v>
      </c>
      <c r="K175" s="65"/>
      <c r="L175" s="85" t="b">
        <f>IF(VLOOKUP(C175,Projetos!A:L,12,false)=TRUE,TRUE,FALSE)</f>
        <v>1</v>
      </c>
      <c r="M175" s="74">
        <v>33.15972725468975</v>
      </c>
      <c r="N175" s="74">
        <f t="shared" si="1"/>
        <v>132.638909</v>
      </c>
      <c r="O175" s="74" t="b">
        <v>1</v>
      </c>
    </row>
    <row r="176" hidden="1">
      <c r="A176" s="82"/>
      <c r="B176" s="65" t="s">
        <v>146</v>
      </c>
      <c r="C176" s="65" t="s">
        <v>117</v>
      </c>
      <c r="D176" s="65" t="str">
        <f>vlookup(C176,'Classificação p pessoal'!F:G,2,false)</f>
        <v>NP</v>
      </c>
      <c r="E176" s="65" t="s">
        <v>148</v>
      </c>
      <c r="F176" s="83">
        <v>0.34375</v>
      </c>
      <c r="G176" s="83">
        <v>0.5416666666666666</v>
      </c>
      <c r="H176" s="83">
        <v>0.19791666666666666</v>
      </c>
      <c r="I176" s="84">
        <v>44386.0</v>
      </c>
      <c r="J176" s="65" t="b">
        <v>1</v>
      </c>
      <c r="K176" s="65"/>
      <c r="L176" s="85" t="b">
        <f>IF(VLOOKUP(C176,Projetos!A:L,12,false)=TRUE,TRUE,FALSE)</f>
        <v>1</v>
      </c>
      <c r="M176" s="74">
        <v>33.15972725468975</v>
      </c>
      <c r="N176" s="74">
        <f t="shared" si="1"/>
        <v>157.5087045</v>
      </c>
      <c r="O176" s="74" t="b">
        <v>1</v>
      </c>
    </row>
    <row r="177" hidden="1">
      <c r="A177" s="82"/>
      <c r="B177" s="65" t="s">
        <v>146</v>
      </c>
      <c r="C177" s="65" t="s">
        <v>87</v>
      </c>
      <c r="D177" s="65" t="str">
        <f>vlookup(C177,'Classificação p pessoal'!F:G,2,false)</f>
        <v>MProduto</v>
      </c>
      <c r="E177" s="65" t="s">
        <v>157</v>
      </c>
      <c r="F177" s="83">
        <v>0.5833333333333334</v>
      </c>
      <c r="G177" s="83">
        <v>0.7083333333333334</v>
      </c>
      <c r="H177" s="83">
        <v>0.125</v>
      </c>
      <c r="I177" s="84">
        <v>44386.0</v>
      </c>
      <c r="J177" s="65" t="b">
        <v>1</v>
      </c>
      <c r="K177" s="65"/>
      <c r="L177" s="85" t="b">
        <f>IF(VLOOKUP(C177,Projetos!A:L,12,false)=TRUE,TRUE,FALSE)</f>
        <v>1</v>
      </c>
      <c r="M177" s="74">
        <v>33.15972725468975</v>
      </c>
      <c r="N177" s="74">
        <f t="shared" si="1"/>
        <v>99.47918176</v>
      </c>
      <c r="O177" s="74" t="b">
        <v>1</v>
      </c>
    </row>
    <row r="178" hidden="1">
      <c r="A178" s="82"/>
      <c r="B178" s="65" t="s">
        <v>146</v>
      </c>
      <c r="C178" s="65" t="s">
        <v>117</v>
      </c>
      <c r="D178" s="65" t="str">
        <f>vlookup(C178,'Classificação p pessoal'!F:G,2,false)</f>
        <v>NP</v>
      </c>
      <c r="E178" s="65" t="s">
        <v>148</v>
      </c>
      <c r="F178" s="83">
        <v>0.34375</v>
      </c>
      <c r="G178" s="83">
        <v>0.5625</v>
      </c>
      <c r="H178" s="83">
        <v>0.21875</v>
      </c>
      <c r="I178" s="84">
        <v>44389.0</v>
      </c>
      <c r="J178" s="65" t="b">
        <v>1</v>
      </c>
      <c r="K178" s="65"/>
      <c r="L178" s="85" t="b">
        <f>IF(VLOOKUP(C178,Projetos!A:L,12,false)=TRUE,TRUE,FALSE)</f>
        <v>1</v>
      </c>
      <c r="M178" s="74">
        <v>33.15972725468975</v>
      </c>
      <c r="N178" s="74">
        <f t="shared" si="1"/>
        <v>174.0885681</v>
      </c>
      <c r="O178" s="74" t="b">
        <v>1</v>
      </c>
    </row>
    <row r="179" hidden="1">
      <c r="A179" s="82"/>
      <c r="B179" s="65" t="s">
        <v>146</v>
      </c>
      <c r="C179" s="65" t="s">
        <v>117</v>
      </c>
      <c r="D179" s="65" t="str">
        <f>vlookup(C179,'Classificação p pessoal'!F:G,2,false)</f>
        <v>NP</v>
      </c>
      <c r="E179" s="65" t="s">
        <v>148</v>
      </c>
      <c r="F179" s="83">
        <v>0.3541666666666667</v>
      </c>
      <c r="G179" s="83">
        <v>0.5625</v>
      </c>
      <c r="H179" s="83">
        <v>0.20833333333333334</v>
      </c>
      <c r="I179" s="84">
        <v>44390.0</v>
      </c>
      <c r="J179" s="65" t="b">
        <v>1</v>
      </c>
      <c r="K179" s="65"/>
      <c r="L179" s="85" t="b">
        <f>IF(VLOOKUP(C179,Projetos!A:L,12,false)=TRUE,TRUE,FALSE)</f>
        <v>1</v>
      </c>
      <c r="M179" s="74">
        <v>33.15972725468975</v>
      </c>
      <c r="N179" s="74">
        <f t="shared" si="1"/>
        <v>165.7986363</v>
      </c>
      <c r="O179" s="74" t="b">
        <v>1</v>
      </c>
    </row>
    <row r="180" hidden="1">
      <c r="A180" s="82"/>
      <c r="B180" s="65" t="s">
        <v>146</v>
      </c>
      <c r="C180" s="65" t="s">
        <v>117</v>
      </c>
      <c r="D180" s="65" t="str">
        <f>vlookup(C180,'Classificação p pessoal'!F:G,2,false)</f>
        <v>NP</v>
      </c>
      <c r="E180" s="65" t="s">
        <v>148</v>
      </c>
      <c r="F180" s="83">
        <v>0.5416666666666666</v>
      </c>
      <c r="G180" s="83">
        <v>0.75</v>
      </c>
      <c r="H180" s="83">
        <v>0.20833333333333334</v>
      </c>
      <c r="I180" s="84">
        <v>44391.0</v>
      </c>
      <c r="J180" s="65" t="b">
        <v>1</v>
      </c>
      <c r="K180" s="65"/>
      <c r="L180" s="85" t="b">
        <f>IF(VLOOKUP(C180,Projetos!A:L,12,false)=TRUE,TRUE,FALSE)</f>
        <v>1</v>
      </c>
      <c r="M180" s="74">
        <v>33.15972725468975</v>
      </c>
      <c r="N180" s="74">
        <f t="shared" si="1"/>
        <v>165.7986363</v>
      </c>
      <c r="O180" s="74" t="b">
        <v>1</v>
      </c>
    </row>
    <row r="181" hidden="1">
      <c r="A181" s="82"/>
      <c r="B181" s="65" t="s">
        <v>146</v>
      </c>
      <c r="C181" s="65" t="s">
        <v>117</v>
      </c>
      <c r="D181" s="65" t="str">
        <f>vlookup(C181,'Classificação p pessoal'!F:G,2,false)</f>
        <v>NP</v>
      </c>
      <c r="E181" s="65" t="s">
        <v>148</v>
      </c>
      <c r="F181" s="83">
        <v>0.5416666666666666</v>
      </c>
      <c r="G181" s="83">
        <v>0.75</v>
      </c>
      <c r="H181" s="83">
        <v>0.20833333333333334</v>
      </c>
      <c r="I181" s="84">
        <v>44392.0</v>
      </c>
      <c r="J181" s="65" t="b">
        <v>1</v>
      </c>
      <c r="K181" s="65"/>
      <c r="L181" s="85" t="b">
        <f>IF(VLOOKUP(C181,Projetos!A:L,12,false)=TRUE,TRUE,FALSE)</f>
        <v>1</v>
      </c>
      <c r="M181" s="74">
        <v>33.15972725468975</v>
      </c>
      <c r="N181" s="74">
        <f t="shared" si="1"/>
        <v>165.7986363</v>
      </c>
      <c r="O181" s="74" t="b">
        <v>1</v>
      </c>
    </row>
    <row r="182" hidden="1">
      <c r="A182" s="82"/>
      <c r="B182" s="65" t="s">
        <v>146</v>
      </c>
      <c r="C182" s="65" t="s">
        <v>117</v>
      </c>
      <c r="D182" s="65" t="str">
        <f>vlookup(C182,'Classificação p pessoal'!F:G,2,false)</f>
        <v>NP</v>
      </c>
      <c r="E182" s="65" t="s">
        <v>148</v>
      </c>
      <c r="F182" s="83">
        <v>0.3541666666666667</v>
      </c>
      <c r="G182" s="83">
        <v>0.5416666666666666</v>
      </c>
      <c r="H182" s="83">
        <v>0.1875</v>
      </c>
      <c r="I182" s="84">
        <v>44393.0</v>
      </c>
      <c r="J182" s="65" t="b">
        <v>1</v>
      </c>
      <c r="K182" s="65"/>
      <c r="L182" s="85" t="b">
        <f>IF(VLOOKUP(C182,Projetos!A:L,12,false)=TRUE,TRUE,FALSE)</f>
        <v>1</v>
      </c>
      <c r="M182" s="74">
        <v>33.15972725468975</v>
      </c>
      <c r="N182" s="74">
        <f t="shared" si="1"/>
        <v>149.2187726</v>
      </c>
      <c r="O182" s="74" t="b">
        <v>1</v>
      </c>
    </row>
    <row r="183" hidden="1">
      <c r="A183" s="82"/>
      <c r="B183" s="65" t="s">
        <v>146</v>
      </c>
      <c r="C183" s="65" t="s">
        <v>117</v>
      </c>
      <c r="D183" s="65" t="str">
        <f>vlookup(C183,'Classificação p pessoal'!F:G,2,false)</f>
        <v>NP</v>
      </c>
      <c r="E183" s="65" t="s">
        <v>148</v>
      </c>
      <c r="F183" s="83">
        <v>0.3541666666666667</v>
      </c>
      <c r="G183" s="83">
        <v>0.5416666666666666</v>
      </c>
      <c r="H183" s="83">
        <v>0.1875</v>
      </c>
      <c r="I183" s="84">
        <v>44396.0</v>
      </c>
      <c r="J183" s="65" t="b">
        <v>1</v>
      </c>
      <c r="K183" s="65"/>
      <c r="L183" s="85" t="b">
        <f>IF(VLOOKUP(C183,Projetos!A:L,12,false)=TRUE,TRUE,FALSE)</f>
        <v>1</v>
      </c>
      <c r="M183" s="74">
        <v>33.15972725468975</v>
      </c>
      <c r="N183" s="74">
        <f t="shared" si="1"/>
        <v>149.2187726</v>
      </c>
      <c r="O183" s="74" t="b">
        <v>1</v>
      </c>
    </row>
    <row r="184" hidden="1">
      <c r="A184" s="82"/>
      <c r="B184" s="65" t="s">
        <v>146</v>
      </c>
      <c r="C184" s="65" t="s">
        <v>117</v>
      </c>
      <c r="D184" s="65" t="str">
        <f>vlookup(C184,'Classificação p pessoal'!F:G,2,false)</f>
        <v>NP</v>
      </c>
      <c r="E184" s="65" t="s">
        <v>148</v>
      </c>
      <c r="F184" s="83">
        <v>0.5416666666666666</v>
      </c>
      <c r="G184" s="83">
        <v>0.75</v>
      </c>
      <c r="H184" s="83">
        <v>0.20833333333333334</v>
      </c>
      <c r="I184" s="84">
        <v>44397.0</v>
      </c>
      <c r="J184" s="65" t="b">
        <v>1</v>
      </c>
      <c r="K184" s="65"/>
      <c r="L184" s="85" t="b">
        <f>IF(VLOOKUP(C184,Projetos!A:L,12,false)=TRUE,TRUE,FALSE)</f>
        <v>1</v>
      </c>
      <c r="M184" s="74">
        <v>33.15972725468975</v>
      </c>
      <c r="N184" s="74">
        <f t="shared" si="1"/>
        <v>165.7986363</v>
      </c>
      <c r="O184" s="74" t="b">
        <v>1</v>
      </c>
    </row>
    <row r="185" hidden="1">
      <c r="A185" s="82"/>
      <c r="B185" s="65" t="s">
        <v>146</v>
      </c>
      <c r="C185" s="65" t="s">
        <v>88</v>
      </c>
      <c r="D185" s="65" t="str">
        <f>vlookup(C185,'Classificação p pessoal'!F:G,2,false)</f>
        <v>MProduto</v>
      </c>
      <c r="E185" s="65" t="s">
        <v>148</v>
      </c>
      <c r="F185" s="83">
        <v>0.3541666666666667</v>
      </c>
      <c r="G185" s="83">
        <v>0.5</v>
      </c>
      <c r="H185" s="83">
        <v>0.14583333333333334</v>
      </c>
      <c r="I185" s="84">
        <v>44398.0</v>
      </c>
      <c r="J185" s="65" t="b">
        <v>1</v>
      </c>
      <c r="K185" s="65"/>
      <c r="L185" s="85" t="b">
        <f>IF(VLOOKUP(C185,Projetos!A:L,12,false)=TRUE,TRUE,FALSE)</f>
        <v>1</v>
      </c>
      <c r="M185" s="74">
        <v>33.15972725468975</v>
      </c>
      <c r="N185" s="74">
        <f t="shared" si="1"/>
        <v>116.0590454</v>
      </c>
      <c r="O185" s="74" t="b">
        <v>1</v>
      </c>
    </row>
    <row r="186" hidden="1">
      <c r="A186" s="82"/>
      <c r="B186" s="65" t="s">
        <v>146</v>
      </c>
      <c r="C186" s="65" t="s">
        <v>117</v>
      </c>
      <c r="D186" s="65" t="str">
        <f>vlookup(C186,'Classificação p pessoal'!F:G,2,false)</f>
        <v>NP</v>
      </c>
      <c r="E186" s="65" t="s">
        <v>148</v>
      </c>
      <c r="F186" s="83">
        <v>0.5416666666666666</v>
      </c>
      <c r="G186" s="83">
        <v>0.75</v>
      </c>
      <c r="H186" s="83">
        <v>0.20833333333333334</v>
      </c>
      <c r="I186" s="84">
        <v>44399.0</v>
      </c>
      <c r="J186" s="65" t="b">
        <v>1</v>
      </c>
      <c r="K186" s="65"/>
      <c r="L186" s="85" t="b">
        <f>IF(VLOOKUP(C186,Projetos!A:L,12,false)=TRUE,TRUE,FALSE)</f>
        <v>1</v>
      </c>
      <c r="M186" s="74">
        <v>33.15972725468975</v>
      </c>
      <c r="N186" s="74">
        <f t="shared" si="1"/>
        <v>165.7986363</v>
      </c>
      <c r="O186" s="74" t="b">
        <v>1</v>
      </c>
    </row>
    <row r="187" hidden="1">
      <c r="A187" s="82"/>
      <c r="B187" s="65" t="s">
        <v>146</v>
      </c>
      <c r="C187" s="65" t="s">
        <v>117</v>
      </c>
      <c r="D187" s="65" t="str">
        <f>vlookup(C187,'Classificação p pessoal'!F:G,2,false)</f>
        <v>NP</v>
      </c>
      <c r="E187" s="65" t="s">
        <v>158</v>
      </c>
      <c r="F187" s="83">
        <v>0.5416666666666666</v>
      </c>
      <c r="G187" s="83">
        <v>0.75</v>
      </c>
      <c r="H187" s="83">
        <v>0.20833333333333334</v>
      </c>
      <c r="I187" s="84">
        <v>44400.0</v>
      </c>
      <c r="J187" s="65" t="b">
        <v>1</v>
      </c>
      <c r="K187" s="65"/>
      <c r="L187" s="85" t="b">
        <f>IF(VLOOKUP(C187,Projetos!A:L,12,false)=TRUE,TRUE,FALSE)</f>
        <v>1</v>
      </c>
      <c r="M187" s="74">
        <v>33.15972725468975</v>
      </c>
      <c r="N187" s="74">
        <f t="shared" si="1"/>
        <v>165.7986363</v>
      </c>
      <c r="O187" s="74" t="b">
        <v>1</v>
      </c>
    </row>
    <row r="188" hidden="1">
      <c r="A188" s="82"/>
      <c r="B188" s="65" t="s">
        <v>146</v>
      </c>
      <c r="C188" s="65" t="s">
        <v>88</v>
      </c>
      <c r="D188" s="65" t="str">
        <f>vlookup(C188,'Classificação p pessoal'!F:G,2,false)</f>
        <v>MProduto</v>
      </c>
      <c r="E188" s="65" t="s">
        <v>148</v>
      </c>
      <c r="F188" s="83">
        <v>0.3541666666666667</v>
      </c>
      <c r="G188" s="83">
        <v>0.5</v>
      </c>
      <c r="H188" s="83">
        <v>0.14583333333333334</v>
      </c>
      <c r="I188" s="84">
        <v>44403.0</v>
      </c>
      <c r="J188" s="65" t="b">
        <v>1</v>
      </c>
      <c r="K188" s="65"/>
      <c r="L188" s="85" t="b">
        <f>IF(VLOOKUP(C188,Projetos!A:L,12,false)=TRUE,TRUE,FALSE)</f>
        <v>1</v>
      </c>
      <c r="M188" s="74">
        <v>33.15972725468975</v>
      </c>
      <c r="N188" s="74">
        <f t="shared" si="1"/>
        <v>116.0590454</v>
      </c>
      <c r="O188" s="74" t="b">
        <v>1</v>
      </c>
    </row>
    <row r="189" hidden="1">
      <c r="A189" s="82"/>
      <c r="B189" s="65" t="s">
        <v>146</v>
      </c>
      <c r="C189" s="65" t="s">
        <v>117</v>
      </c>
      <c r="D189" s="65" t="str">
        <f>vlookup(C189,'Classificação p pessoal'!F:G,2,false)</f>
        <v>NP</v>
      </c>
      <c r="E189" s="65" t="s">
        <v>158</v>
      </c>
      <c r="F189" s="83">
        <v>0.625</v>
      </c>
      <c r="G189" s="83">
        <v>0.75</v>
      </c>
      <c r="H189" s="83">
        <v>0.125</v>
      </c>
      <c r="I189" s="84">
        <v>44403.0</v>
      </c>
      <c r="J189" s="65" t="b">
        <v>1</v>
      </c>
      <c r="K189" s="65"/>
      <c r="L189" s="85" t="b">
        <f>IF(VLOOKUP(C189,Projetos!A:L,12,false)=TRUE,TRUE,FALSE)</f>
        <v>1</v>
      </c>
      <c r="M189" s="74">
        <v>33.15972725468975</v>
      </c>
      <c r="N189" s="74">
        <f t="shared" si="1"/>
        <v>99.47918176</v>
      </c>
      <c r="O189" s="74" t="b">
        <v>1</v>
      </c>
    </row>
    <row r="190" hidden="1">
      <c r="A190" s="82"/>
      <c r="B190" s="65" t="s">
        <v>146</v>
      </c>
      <c r="C190" s="65" t="s">
        <v>117</v>
      </c>
      <c r="D190" s="65" t="str">
        <f>vlookup(C190,'Classificação p pessoal'!F:G,2,false)</f>
        <v>NP</v>
      </c>
      <c r="E190" s="65" t="s">
        <v>158</v>
      </c>
      <c r="F190" s="83">
        <v>0.375</v>
      </c>
      <c r="G190" s="83">
        <v>0.4166666666666667</v>
      </c>
      <c r="H190" s="83">
        <v>0.041666666666666664</v>
      </c>
      <c r="I190" s="84">
        <v>44404.0</v>
      </c>
      <c r="J190" s="65" t="b">
        <v>1</v>
      </c>
      <c r="K190" s="65"/>
      <c r="L190" s="85" t="b">
        <f>IF(VLOOKUP(C190,Projetos!A:L,12,false)=TRUE,TRUE,FALSE)</f>
        <v>1</v>
      </c>
      <c r="M190" s="74">
        <v>33.15972725468975</v>
      </c>
      <c r="N190" s="74">
        <f t="shared" si="1"/>
        <v>33.15972725</v>
      </c>
      <c r="O190" s="74" t="b">
        <v>1</v>
      </c>
    </row>
    <row r="191" hidden="1">
      <c r="A191" s="82"/>
      <c r="B191" s="65" t="s">
        <v>146</v>
      </c>
      <c r="C191" s="65" t="s">
        <v>117</v>
      </c>
      <c r="D191" s="65" t="str">
        <f>vlookup(C191,'Classificação p pessoal'!F:G,2,false)</f>
        <v>NP</v>
      </c>
      <c r="E191" s="65" t="s">
        <v>158</v>
      </c>
      <c r="F191" s="83">
        <v>0.3541666666666667</v>
      </c>
      <c r="G191" s="83">
        <v>0.4375</v>
      </c>
      <c r="H191" s="83">
        <v>0.08333333333333333</v>
      </c>
      <c r="I191" s="84">
        <v>44405.0</v>
      </c>
      <c r="J191" s="65" t="b">
        <v>1</v>
      </c>
      <c r="K191" s="65"/>
      <c r="L191" s="85" t="b">
        <f>IF(VLOOKUP(C191,Projetos!A:L,12,false)=TRUE,TRUE,FALSE)</f>
        <v>1</v>
      </c>
      <c r="M191" s="74">
        <v>33.15972725468975</v>
      </c>
      <c r="N191" s="74">
        <f t="shared" si="1"/>
        <v>66.31945451</v>
      </c>
      <c r="O191" s="74" t="b">
        <v>1</v>
      </c>
    </row>
    <row r="192" hidden="1">
      <c r="A192" s="82"/>
      <c r="B192" s="65" t="s">
        <v>146</v>
      </c>
      <c r="C192" s="65" t="s">
        <v>88</v>
      </c>
      <c r="D192" s="65" t="str">
        <f>vlookup(C192,'Classificação p pessoal'!F:G,2,false)</f>
        <v>MProduto</v>
      </c>
      <c r="E192" s="65" t="s">
        <v>148</v>
      </c>
      <c r="F192" s="83">
        <v>0.5416666666666666</v>
      </c>
      <c r="G192" s="83">
        <v>0.75</v>
      </c>
      <c r="H192" s="83">
        <v>0.20833333333333334</v>
      </c>
      <c r="I192" s="84">
        <v>44405.0</v>
      </c>
      <c r="J192" s="65" t="b">
        <v>1</v>
      </c>
      <c r="K192" s="65"/>
      <c r="L192" s="85" t="b">
        <f>IF(VLOOKUP(C192,Projetos!A:L,12,false)=TRUE,TRUE,FALSE)</f>
        <v>1</v>
      </c>
      <c r="M192" s="74">
        <v>33.15972725468975</v>
      </c>
      <c r="N192" s="74">
        <f t="shared" si="1"/>
        <v>165.7986363</v>
      </c>
      <c r="O192" s="74" t="b">
        <v>1</v>
      </c>
    </row>
    <row r="193" hidden="1">
      <c r="A193" s="82"/>
      <c r="B193" s="65" t="s">
        <v>146</v>
      </c>
      <c r="C193" s="65" t="s">
        <v>117</v>
      </c>
      <c r="D193" s="65" t="str">
        <f>vlookup(C193,'Classificação p pessoal'!F:G,2,false)</f>
        <v>NP</v>
      </c>
      <c r="E193" s="65" t="s">
        <v>158</v>
      </c>
      <c r="F193" s="83">
        <v>0.4166666666666667</v>
      </c>
      <c r="G193" s="83">
        <v>0.5416666666666666</v>
      </c>
      <c r="H193" s="83">
        <v>0.125</v>
      </c>
      <c r="I193" s="84">
        <v>44406.0</v>
      </c>
      <c r="J193" s="65" t="b">
        <v>1</v>
      </c>
      <c r="K193" s="65"/>
      <c r="L193" s="85" t="b">
        <f>IF(VLOOKUP(C193,Projetos!A:L,12,false)=TRUE,TRUE,FALSE)</f>
        <v>1</v>
      </c>
      <c r="M193" s="74">
        <v>33.15972725468975</v>
      </c>
      <c r="N193" s="74">
        <f t="shared" si="1"/>
        <v>99.47918176</v>
      </c>
      <c r="O193" s="74" t="b">
        <v>1</v>
      </c>
    </row>
    <row r="194" hidden="1">
      <c r="A194" s="82"/>
      <c r="B194" s="65" t="s">
        <v>146</v>
      </c>
      <c r="C194" s="65" t="s">
        <v>117</v>
      </c>
      <c r="D194" s="65" t="str">
        <f>vlookup(C194,'Classificação p pessoal'!F:G,2,false)</f>
        <v>NP</v>
      </c>
      <c r="E194" s="65" t="s">
        <v>158</v>
      </c>
      <c r="F194" s="83">
        <v>0.375</v>
      </c>
      <c r="G194" s="83">
        <v>0.5</v>
      </c>
      <c r="H194" s="83">
        <v>0.125</v>
      </c>
      <c r="I194" s="84">
        <v>44407.0</v>
      </c>
      <c r="J194" s="65" t="b">
        <v>1</v>
      </c>
      <c r="K194" s="65"/>
      <c r="L194" s="85" t="b">
        <f>IF(VLOOKUP(C194,Projetos!A:L,12,false)=TRUE,TRUE,FALSE)</f>
        <v>1</v>
      </c>
      <c r="M194" s="74">
        <v>33.15972725468975</v>
      </c>
      <c r="N194" s="74">
        <f t="shared" si="1"/>
        <v>99.47918176</v>
      </c>
      <c r="O194" s="74" t="b">
        <v>1</v>
      </c>
    </row>
    <row r="195" hidden="1">
      <c r="A195" s="82"/>
      <c r="B195" s="65" t="s">
        <v>146</v>
      </c>
      <c r="C195" s="65" t="s">
        <v>117</v>
      </c>
      <c r="D195" s="65" t="str">
        <f>vlookup(C195,'Classificação p pessoal'!F:G,2,false)</f>
        <v>NP</v>
      </c>
      <c r="E195" s="65" t="s">
        <v>148</v>
      </c>
      <c r="F195" s="83">
        <v>0.3333333333333333</v>
      </c>
      <c r="G195" s="83">
        <v>0.4166666666666667</v>
      </c>
      <c r="H195" s="83">
        <v>0.08333333333333333</v>
      </c>
      <c r="I195" s="84">
        <v>44412.0</v>
      </c>
      <c r="J195" s="65" t="b">
        <v>1</v>
      </c>
      <c r="K195" s="65"/>
      <c r="L195" s="85" t="b">
        <f>IF(VLOOKUP(C195,Projetos!A:L,12,false)=TRUE,TRUE,FALSE)</f>
        <v>1</v>
      </c>
      <c r="M195" s="74">
        <v>33.15972725468975</v>
      </c>
      <c r="N195" s="74">
        <f t="shared" si="1"/>
        <v>66.31945451</v>
      </c>
      <c r="O195" s="74" t="b">
        <v>1</v>
      </c>
    </row>
    <row r="196" hidden="1">
      <c r="A196" s="82"/>
      <c r="B196" s="65" t="s">
        <v>146</v>
      </c>
      <c r="C196" s="65" t="s">
        <v>117</v>
      </c>
      <c r="D196" s="65" t="str">
        <f>vlookup(C196,'Classificação p pessoal'!F:G,2,false)</f>
        <v>NP</v>
      </c>
      <c r="E196" s="65" t="s">
        <v>148</v>
      </c>
      <c r="F196" s="83">
        <v>0.3541666666666667</v>
      </c>
      <c r="G196" s="83">
        <v>0.5416666666666666</v>
      </c>
      <c r="H196" s="83">
        <v>0.1875</v>
      </c>
      <c r="I196" s="84">
        <v>44414.0</v>
      </c>
      <c r="J196" s="65" t="b">
        <v>1</v>
      </c>
      <c r="K196" s="65"/>
      <c r="L196" s="85" t="b">
        <f>IF(VLOOKUP(C196,Projetos!A:L,12,false)=TRUE,TRUE,FALSE)</f>
        <v>1</v>
      </c>
      <c r="M196" s="74">
        <v>33.15972725468975</v>
      </c>
      <c r="N196" s="74">
        <f t="shared" si="1"/>
        <v>149.2187726</v>
      </c>
      <c r="O196" s="74" t="b">
        <v>1</v>
      </c>
    </row>
    <row r="197" hidden="1">
      <c r="A197" s="82"/>
      <c r="B197" s="65" t="s">
        <v>146</v>
      </c>
      <c r="C197" s="65" t="s">
        <v>117</v>
      </c>
      <c r="D197" s="65" t="str">
        <f>vlookup(C197,'Classificação p pessoal'!F:G,2,false)</f>
        <v>NP</v>
      </c>
      <c r="E197" s="65" t="s">
        <v>148</v>
      </c>
      <c r="F197" s="83">
        <v>0.375</v>
      </c>
      <c r="G197" s="83">
        <v>0.4166666666666667</v>
      </c>
      <c r="H197" s="83">
        <v>0.041666666666666664</v>
      </c>
      <c r="I197" s="84">
        <v>44417.0</v>
      </c>
      <c r="J197" s="65" t="b">
        <v>1</v>
      </c>
      <c r="K197" s="65"/>
      <c r="L197" s="85" t="b">
        <f>IF(VLOOKUP(C197,Projetos!A:L,12,false)=TRUE,TRUE,FALSE)</f>
        <v>1</v>
      </c>
      <c r="M197" s="74">
        <v>33.15972725468975</v>
      </c>
      <c r="N197" s="74">
        <f t="shared" si="1"/>
        <v>33.15972725</v>
      </c>
      <c r="O197" s="74" t="b">
        <v>1</v>
      </c>
    </row>
    <row r="198" hidden="1">
      <c r="A198" s="82"/>
      <c r="B198" s="65" t="s">
        <v>146</v>
      </c>
      <c r="C198" s="65" t="s">
        <v>88</v>
      </c>
      <c r="D198" s="65" t="str">
        <f>vlookup(C198,'Classificação p pessoal'!F:G,2,false)</f>
        <v>MProduto</v>
      </c>
      <c r="E198" s="65" t="s">
        <v>147</v>
      </c>
      <c r="F198" s="83">
        <v>0.3541666666666667</v>
      </c>
      <c r="G198" s="83">
        <v>0.5</v>
      </c>
      <c r="H198" s="83">
        <v>0.14583333333333334</v>
      </c>
      <c r="I198" s="84">
        <v>44418.0</v>
      </c>
      <c r="J198" s="65" t="b">
        <v>1</v>
      </c>
      <c r="K198" s="65"/>
      <c r="L198" s="85" t="b">
        <f>IF(VLOOKUP(C198,Projetos!A:L,12,false)=TRUE,TRUE,FALSE)</f>
        <v>1</v>
      </c>
      <c r="M198" s="74">
        <v>33.15972725468975</v>
      </c>
      <c r="N198" s="74">
        <f t="shared" si="1"/>
        <v>116.0590454</v>
      </c>
      <c r="O198" s="74" t="b">
        <v>1</v>
      </c>
    </row>
    <row r="199" hidden="1">
      <c r="A199" s="82"/>
      <c r="B199" s="65" t="s">
        <v>146</v>
      </c>
      <c r="C199" s="65" t="s">
        <v>117</v>
      </c>
      <c r="D199" s="65" t="str">
        <f>vlookup(C199,'Classificação p pessoal'!F:G,2,false)</f>
        <v>NP</v>
      </c>
      <c r="E199" s="65" t="s">
        <v>148</v>
      </c>
      <c r="F199" s="83">
        <v>0.3541666666666667</v>
      </c>
      <c r="G199" s="83">
        <v>0.3958333333333333</v>
      </c>
      <c r="H199" s="83">
        <v>0.041666666666666664</v>
      </c>
      <c r="I199" s="84">
        <v>44424.0</v>
      </c>
      <c r="J199" s="65" t="b">
        <v>1</v>
      </c>
      <c r="K199" s="65"/>
      <c r="L199" s="85" t="b">
        <f>IF(VLOOKUP(C199,Projetos!A:L,12,false)=TRUE,TRUE,FALSE)</f>
        <v>1</v>
      </c>
      <c r="M199" s="74">
        <v>33.15972725468975</v>
      </c>
      <c r="N199" s="74">
        <f t="shared" si="1"/>
        <v>33.15972725</v>
      </c>
      <c r="O199" s="74" t="b">
        <v>1</v>
      </c>
    </row>
    <row r="200" hidden="1">
      <c r="A200" s="82"/>
      <c r="B200" s="65" t="s">
        <v>146</v>
      </c>
      <c r="C200" s="65" t="s">
        <v>127</v>
      </c>
      <c r="D200" s="65" t="str">
        <f>vlookup(C200,'Classificação p pessoal'!F:G,2,false)</f>
        <v>NP</v>
      </c>
      <c r="E200" s="65" t="s">
        <v>148</v>
      </c>
      <c r="F200" s="83">
        <v>0.3958333333333333</v>
      </c>
      <c r="G200" s="83">
        <v>0.4583333333333333</v>
      </c>
      <c r="H200" s="83">
        <v>0.0625</v>
      </c>
      <c r="I200" s="84">
        <v>44424.0</v>
      </c>
      <c r="J200" s="65" t="b">
        <v>1</v>
      </c>
      <c r="K200" s="65"/>
      <c r="L200" s="85" t="b">
        <f>IF(VLOOKUP(C200,Projetos!A:L,12,false)=TRUE,TRUE,FALSE)</f>
        <v>1</v>
      </c>
      <c r="M200" s="74">
        <v>33.15972725468975</v>
      </c>
      <c r="N200" s="74">
        <f t="shared" si="1"/>
        <v>49.73959088</v>
      </c>
      <c r="O200" s="74" t="b">
        <v>1</v>
      </c>
    </row>
    <row r="201" hidden="1">
      <c r="A201" s="82"/>
      <c r="B201" s="65" t="s">
        <v>146</v>
      </c>
      <c r="C201" s="65" t="s">
        <v>117</v>
      </c>
      <c r="D201" s="65" t="str">
        <f>vlookup(C201,'Classificação p pessoal'!F:G,2,false)</f>
        <v>NP</v>
      </c>
      <c r="E201" s="65" t="s">
        <v>148</v>
      </c>
      <c r="F201" s="83">
        <v>0.5416666666666666</v>
      </c>
      <c r="G201" s="83">
        <v>0.75</v>
      </c>
      <c r="H201" s="83">
        <v>0.20833333333333334</v>
      </c>
      <c r="I201" s="84">
        <v>44424.0</v>
      </c>
      <c r="J201" s="65" t="b">
        <v>1</v>
      </c>
      <c r="K201" s="65"/>
      <c r="L201" s="85" t="b">
        <f>IF(VLOOKUP(C201,Projetos!A:L,12,false)=TRUE,TRUE,FALSE)</f>
        <v>1</v>
      </c>
      <c r="M201" s="74">
        <v>33.15972725468975</v>
      </c>
      <c r="N201" s="74">
        <f t="shared" si="1"/>
        <v>165.7986363</v>
      </c>
      <c r="O201" s="74" t="b">
        <v>1</v>
      </c>
    </row>
    <row r="202" hidden="1">
      <c r="A202" s="82"/>
      <c r="B202" s="65" t="s">
        <v>146</v>
      </c>
      <c r="C202" s="65" t="s">
        <v>121</v>
      </c>
      <c r="D202" s="65" t="str">
        <f>vlookup(C202,'Classificação p pessoal'!F:G,2,false)</f>
        <v>NP</v>
      </c>
      <c r="E202" s="65" t="s">
        <v>148</v>
      </c>
      <c r="F202" s="83">
        <v>0.3541666666666667</v>
      </c>
      <c r="G202" s="83">
        <v>0.3958333333333333</v>
      </c>
      <c r="H202" s="83">
        <v>0.041666666666666664</v>
      </c>
      <c r="I202" s="84">
        <v>44425.0</v>
      </c>
      <c r="J202" s="65" t="b">
        <v>1</v>
      </c>
      <c r="K202" s="65"/>
      <c r="L202" s="85" t="b">
        <f>IF(VLOOKUP(C202,Projetos!A:L,12,false)=TRUE,TRUE,FALSE)</f>
        <v>1</v>
      </c>
      <c r="M202" s="74">
        <v>33.15972725468975</v>
      </c>
      <c r="N202" s="74">
        <f t="shared" si="1"/>
        <v>33.15972725</v>
      </c>
      <c r="O202" s="74" t="b">
        <v>1</v>
      </c>
    </row>
    <row r="203" hidden="1">
      <c r="A203" s="82"/>
      <c r="B203" s="65" t="s">
        <v>146</v>
      </c>
      <c r="C203" s="65" t="s">
        <v>117</v>
      </c>
      <c r="D203" s="65" t="str">
        <f>vlookup(C203,'Classificação p pessoal'!F:G,2,false)</f>
        <v>NP</v>
      </c>
      <c r="E203" s="65" t="s">
        <v>148</v>
      </c>
      <c r="F203" s="83">
        <v>0.5833333333333334</v>
      </c>
      <c r="G203" s="83">
        <v>0.75</v>
      </c>
      <c r="H203" s="83">
        <v>0.16666666666666666</v>
      </c>
      <c r="I203" s="84">
        <v>44426.0</v>
      </c>
      <c r="J203" s="65" t="b">
        <v>1</v>
      </c>
      <c r="K203" s="65"/>
      <c r="L203" s="85" t="b">
        <f>IF(VLOOKUP(C203,Projetos!A:L,12,false)=TRUE,TRUE,FALSE)</f>
        <v>1</v>
      </c>
      <c r="M203" s="74">
        <v>33.15972725468975</v>
      </c>
      <c r="N203" s="74">
        <f t="shared" si="1"/>
        <v>132.638909</v>
      </c>
      <c r="O203" s="74" t="b">
        <v>1</v>
      </c>
    </row>
    <row r="204" hidden="1">
      <c r="A204" s="82"/>
      <c r="B204" s="65" t="s">
        <v>146</v>
      </c>
      <c r="C204" s="65" t="s">
        <v>87</v>
      </c>
      <c r="D204" s="65" t="str">
        <f>vlookup(C204,'Classificação p pessoal'!F:G,2,false)</f>
        <v>MProduto</v>
      </c>
      <c r="E204" s="65" t="s">
        <v>157</v>
      </c>
      <c r="F204" s="83">
        <v>0.4375</v>
      </c>
      <c r="G204" s="83">
        <v>0.5</v>
      </c>
      <c r="H204" s="83">
        <v>0.0625</v>
      </c>
      <c r="I204" s="84">
        <v>44426.0</v>
      </c>
      <c r="J204" s="65" t="b">
        <v>1</v>
      </c>
      <c r="K204" s="65"/>
      <c r="L204" s="85" t="b">
        <f>IF(VLOOKUP(C204,Projetos!A:L,12,false)=TRUE,TRUE,FALSE)</f>
        <v>1</v>
      </c>
      <c r="M204" s="74">
        <v>33.15972725468975</v>
      </c>
      <c r="N204" s="74">
        <f t="shared" si="1"/>
        <v>49.73959088</v>
      </c>
      <c r="O204" s="74" t="b">
        <v>1</v>
      </c>
    </row>
    <row r="205" hidden="1">
      <c r="A205" s="82"/>
      <c r="B205" s="65" t="s">
        <v>146</v>
      </c>
      <c r="C205" s="65" t="s">
        <v>117</v>
      </c>
      <c r="D205" s="65" t="str">
        <f>vlookup(C205,'Classificação p pessoal'!F:G,2,false)</f>
        <v>NP</v>
      </c>
      <c r="E205" s="65" t="s">
        <v>148</v>
      </c>
      <c r="F205" s="83">
        <v>0.5833333333333334</v>
      </c>
      <c r="G205" s="83">
        <v>0.75</v>
      </c>
      <c r="H205" s="83">
        <v>0.16666666666666666</v>
      </c>
      <c r="I205" s="84">
        <v>44427.0</v>
      </c>
      <c r="J205" s="65" t="b">
        <v>1</v>
      </c>
      <c r="K205" s="65"/>
      <c r="L205" s="85" t="b">
        <f>IF(VLOOKUP(C205,Projetos!A:L,12,false)=TRUE,TRUE,FALSE)</f>
        <v>1</v>
      </c>
      <c r="M205" s="74">
        <v>33.15972725468975</v>
      </c>
      <c r="N205" s="74">
        <f t="shared" si="1"/>
        <v>132.638909</v>
      </c>
      <c r="O205" s="74" t="b">
        <v>1</v>
      </c>
    </row>
    <row r="206" hidden="1">
      <c r="A206" s="82"/>
      <c r="B206" s="65" t="s">
        <v>146</v>
      </c>
      <c r="C206" s="65" t="s">
        <v>117</v>
      </c>
      <c r="D206" s="65" t="str">
        <f>vlookup(C206,'Classificação p pessoal'!F:G,2,false)</f>
        <v>NP</v>
      </c>
      <c r="E206" s="65" t="s">
        <v>148</v>
      </c>
      <c r="F206" s="83">
        <v>0.5833333333333334</v>
      </c>
      <c r="G206" s="83">
        <v>0.6666666666666666</v>
      </c>
      <c r="H206" s="83">
        <v>0.08333333333333333</v>
      </c>
      <c r="I206" s="84">
        <v>44428.0</v>
      </c>
      <c r="J206" s="65" t="b">
        <v>1</v>
      </c>
      <c r="K206" s="65"/>
      <c r="L206" s="85" t="b">
        <f>IF(VLOOKUP(C206,Projetos!A:L,12,false)=TRUE,TRUE,FALSE)</f>
        <v>1</v>
      </c>
      <c r="M206" s="74">
        <v>33.15972725468975</v>
      </c>
      <c r="N206" s="74">
        <f t="shared" si="1"/>
        <v>66.31945451</v>
      </c>
      <c r="O206" s="74" t="b">
        <v>1</v>
      </c>
    </row>
    <row r="207" hidden="1">
      <c r="A207" s="82"/>
      <c r="B207" s="65" t="s">
        <v>146</v>
      </c>
      <c r="C207" s="65" t="s">
        <v>87</v>
      </c>
      <c r="D207" s="65" t="str">
        <f>vlookup(C207,'Classificação p pessoal'!F:G,2,false)</f>
        <v>MProduto</v>
      </c>
      <c r="E207" s="65" t="s">
        <v>157</v>
      </c>
      <c r="F207" s="83">
        <v>0.7083333333333334</v>
      </c>
      <c r="G207" s="83">
        <v>0.75</v>
      </c>
      <c r="H207" s="83">
        <v>0.041666666666666664</v>
      </c>
      <c r="I207" s="84">
        <v>44428.0</v>
      </c>
      <c r="J207" s="65" t="b">
        <v>1</v>
      </c>
      <c r="K207" s="65"/>
      <c r="L207" s="85" t="b">
        <f>IF(VLOOKUP(C207,Projetos!A:L,12,false)=TRUE,TRUE,FALSE)</f>
        <v>1</v>
      </c>
      <c r="M207" s="74">
        <v>33.15972725468975</v>
      </c>
      <c r="N207" s="74">
        <f t="shared" si="1"/>
        <v>33.15972725</v>
      </c>
      <c r="O207" s="74" t="b">
        <v>1</v>
      </c>
    </row>
    <row r="208" hidden="1">
      <c r="A208" s="82"/>
      <c r="B208" s="65" t="s">
        <v>146</v>
      </c>
      <c r="C208" s="65" t="s">
        <v>117</v>
      </c>
      <c r="D208" s="65" t="str">
        <f>vlookup(C208,'Classificação p pessoal'!F:G,2,false)</f>
        <v>NP</v>
      </c>
      <c r="E208" s="65" t="s">
        <v>148</v>
      </c>
      <c r="F208" s="83">
        <v>0.375</v>
      </c>
      <c r="G208" s="83">
        <v>0.4583333333333333</v>
      </c>
      <c r="H208" s="83">
        <v>0.08333333333333333</v>
      </c>
      <c r="I208" s="84">
        <v>44431.0</v>
      </c>
      <c r="J208" s="65" t="b">
        <v>1</v>
      </c>
      <c r="K208" s="65"/>
      <c r="L208" s="85" t="b">
        <f>IF(VLOOKUP(C208,Projetos!A:L,12,false)=TRUE,TRUE,FALSE)</f>
        <v>1</v>
      </c>
      <c r="M208" s="74">
        <v>33.15972725468975</v>
      </c>
      <c r="N208" s="74">
        <f t="shared" si="1"/>
        <v>66.31945451</v>
      </c>
      <c r="O208" s="74" t="b">
        <v>1</v>
      </c>
    </row>
    <row r="209" hidden="1">
      <c r="A209" s="82"/>
      <c r="B209" s="65" t="s">
        <v>146</v>
      </c>
      <c r="C209" s="65" t="s">
        <v>117</v>
      </c>
      <c r="D209" s="65" t="str">
        <f>vlookup(C209,'Classificação p pessoal'!F:G,2,false)</f>
        <v>NP</v>
      </c>
      <c r="E209" s="65" t="s">
        <v>148</v>
      </c>
      <c r="F209" s="83">
        <v>0.5833333333333334</v>
      </c>
      <c r="G209" s="83">
        <v>0.75</v>
      </c>
      <c r="H209" s="83">
        <v>0.16666666666666666</v>
      </c>
      <c r="I209" s="84">
        <v>44431.0</v>
      </c>
      <c r="J209" s="65" t="b">
        <v>1</v>
      </c>
      <c r="K209" s="65"/>
      <c r="L209" s="85" t="b">
        <f>IF(VLOOKUP(C209,Projetos!A:L,12,false)=TRUE,TRUE,FALSE)</f>
        <v>1</v>
      </c>
      <c r="M209" s="74">
        <v>33.15972725468975</v>
      </c>
      <c r="N209" s="74">
        <f t="shared" si="1"/>
        <v>132.638909</v>
      </c>
      <c r="O209" s="74" t="b">
        <v>1</v>
      </c>
    </row>
    <row r="210" hidden="1">
      <c r="A210" s="82"/>
      <c r="B210" s="65" t="s">
        <v>146</v>
      </c>
      <c r="C210" s="65" t="s">
        <v>117</v>
      </c>
      <c r="D210" s="65" t="str">
        <f>vlookup(C210,'Classificação p pessoal'!F:G,2,false)</f>
        <v>NP</v>
      </c>
      <c r="E210" s="65" t="s">
        <v>148</v>
      </c>
      <c r="F210" s="83">
        <v>0.375</v>
      </c>
      <c r="G210" s="83">
        <v>0.5</v>
      </c>
      <c r="H210" s="83">
        <v>0.125</v>
      </c>
      <c r="I210" s="84">
        <v>44432.0</v>
      </c>
      <c r="J210" s="65" t="b">
        <v>1</v>
      </c>
      <c r="K210" s="65"/>
      <c r="L210" s="85" t="b">
        <f>IF(VLOOKUP(C210,Projetos!A:L,12,false)=TRUE,TRUE,FALSE)</f>
        <v>1</v>
      </c>
      <c r="M210" s="74">
        <v>33.15972725468975</v>
      </c>
      <c r="N210" s="74">
        <f t="shared" si="1"/>
        <v>99.47918176</v>
      </c>
      <c r="O210" s="74" t="b">
        <v>1</v>
      </c>
    </row>
    <row r="211" hidden="1">
      <c r="A211" s="82"/>
      <c r="B211" s="65" t="s">
        <v>146</v>
      </c>
      <c r="C211" s="65" t="s">
        <v>117</v>
      </c>
      <c r="D211" s="65" t="str">
        <f>vlookup(C211,'Classificação p pessoal'!F:G,2,false)</f>
        <v>NP</v>
      </c>
      <c r="E211" s="65" t="s">
        <v>148</v>
      </c>
      <c r="F211" s="83">
        <v>0.6666666666666666</v>
      </c>
      <c r="G211" s="83">
        <v>0.75</v>
      </c>
      <c r="H211" s="83">
        <v>0.08333333333333333</v>
      </c>
      <c r="I211" s="84">
        <v>44432.0</v>
      </c>
      <c r="J211" s="65" t="b">
        <v>1</v>
      </c>
      <c r="K211" s="65"/>
      <c r="L211" s="85" t="b">
        <f>IF(VLOOKUP(C211,Projetos!A:L,12,false)=TRUE,TRUE,FALSE)</f>
        <v>1</v>
      </c>
      <c r="M211" s="74">
        <v>33.15972725468975</v>
      </c>
      <c r="N211" s="74">
        <f t="shared" si="1"/>
        <v>66.31945451</v>
      </c>
      <c r="O211" s="74" t="b">
        <v>1</v>
      </c>
    </row>
    <row r="212" hidden="1">
      <c r="A212" s="82"/>
      <c r="B212" s="65" t="s">
        <v>146</v>
      </c>
      <c r="C212" s="65" t="s">
        <v>117</v>
      </c>
      <c r="D212" s="65" t="str">
        <f>vlookup(C212,'Classificação p pessoal'!F:G,2,false)</f>
        <v>NP</v>
      </c>
      <c r="E212" s="65" t="s">
        <v>148</v>
      </c>
      <c r="F212" s="83">
        <v>0.3541666666666667</v>
      </c>
      <c r="G212" s="83">
        <v>0.5208333333333334</v>
      </c>
      <c r="H212" s="83">
        <v>0.16666666666666666</v>
      </c>
      <c r="I212" s="84">
        <v>44433.0</v>
      </c>
      <c r="J212" s="65" t="b">
        <v>1</v>
      </c>
      <c r="K212" s="65"/>
      <c r="L212" s="85" t="b">
        <f>IF(VLOOKUP(C212,Projetos!A:L,12,false)=TRUE,TRUE,FALSE)</f>
        <v>1</v>
      </c>
      <c r="M212" s="74">
        <v>33.15972725468975</v>
      </c>
      <c r="N212" s="74">
        <f t="shared" si="1"/>
        <v>132.638909</v>
      </c>
      <c r="O212" s="74" t="b">
        <v>1</v>
      </c>
    </row>
    <row r="213" hidden="1">
      <c r="A213" s="82"/>
      <c r="B213" s="65" t="s">
        <v>146</v>
      </c>
      <c r="C213" s="65" t="s">
        <v>117</v>
      </c>
      <c r="D213" s="65" t="str">
        <f>vlookup(C213,'Classificação p pessoal'!F:G,2,false)</f>
        <v>NP</v>
      </c>
      <c r="E213" s="65" t="s">
        <v>148</v>
      </c>
      <c r="F213" s="83">
        <v>0.3541666666666667</v>
      </c>
      <c r="G213" s="83">
        <v>0.4583333333333333</v>
      </c>
      <c r="H213" s="83">
        <v>0.10416666666666667</v>
      </c>
      <c r="I213" s="84">
        <v>44434.0</v>
      </c>
      <c r="J213" s="65" t="b">
        <v>1</v>
      </c>
      <c r="K213" s="65"/>
      <c r="L213" s="85" t="b">
        <f>IF(VLOOKUP(C213,Projetos!A:L,12,false)=TRUE,TRUE,FALSE)</f>
        <v>1</v>
      </c>
      <c r="M213" s="74">
        <v>33.15972725468975</v>
      </c>
      <c r="N213" s="74">
        <f t="shared" si="1"/>
        <v>82.89931814</v>
      </c>
      <c r="O213" s="74" t="b">
        <v>1</v>
      </c>
    </row>
    <row r="214" hidden="1">
      <c r="A214" s="82"/>
      <c r="B214" s="65" t="s">
        <v>146</v>
      </c>
      <c r="C214" s="65" t="s">
        <v>117</v>
      </c>
      <c r="D214" s="65" t="str">
        <f>vlookup(C214,'Classificação p pessoal'!F:G,2,false)</f>
        <v>NP</v>
      </c>
      <c r="E214" s="65" t="s">
        <v>148</v>
      </c>
      <c r="F214" s="83">
        <v>0.5833333333333334</v>
      </c>
      <c r="G214" s="83">
        <v>0.75</v>
      </c>
      <c r="H214" s="83">
        <v>0.16666666666666666</v>
      </c>
      <c r="I214" s="84">
        <v>44435.0</v>
      </c>
      <c r="J214" s="65" t="b">
        <v>1</v>
      </c>
      <c r="K214" s="65"/>
      <c r="L214" s="85" t="b">
        <f>IF(VLOOKUP(C214,Projetos!A:L,12,false)=TRUE,TRUE,FALSE)</f>
        <v>1</v>
      </c>
      <c r="M214" s="74">
        <v>33.15972725468975</v>
      </c>
      <c r="N214" s="74">
        <f t="shared" si="1"/>
        <v>132.638909</v>
      </c>
      <c r="O214" s="74" t="b">
        <v>1</v>
      </c>
    </row>
    <row r="215" hidden="1">
      <c r="A215" s="82"/>
      <c r="B215" s="65" t="s">
        <v>146</v>
      </c>
      <c r="C215" s="65" t="s">
        <v>117</v>
      </c>
      <c r="D215" s="65" t="str">
        <f>vlookup(C215,'Classificação p pessoal'!F:G,2,false)</f>
        <v>NP</v>
      </c>
      <c r="E215" s="65" t="s">
        <v>148</v>
      </c>
      <c r="F215" s="83">
        <v>0.3541666666666667</v>
      </c>
      <c r="G215" s="83">
        <v>0.5416666666666666</v>
      </c>
      <c r="H215" s="83">
        <v>0.1875</v>
      </c>
      <c r="I215" s="84">
        <v>44438.0</v>
      </c>
      <c r="J215" s="65" t="b">
        <v>1</v>
      </c>
      <c r="K215" s="65"/>
      <c r="L215" s="85" t="b">
        <f>IF(VLOOKUP(C215,Projetos!A:L,12,false)=TRUE,TRUE,FALSE)</f>
        <v>1</v>
      </c>
      <c r="M215" s="74">
        <v>33.15972725468975</v>
      </c>
      <c r="N215" s="74">
        <f t="shared" si="1"/>
        <v>149.2187726</v>
      </c>
      <c r="O215" s="74" t="b">
        <v>1</v>
      </c>
    </row>
    <row r="216" hidden="1">
      <c r="A216" s="82"/>
      <c r="B216" s="65" t="s">
        <v>146</v>
      </c>
      <c r="C216" s="65" t="s">
        <v>117</v>
      </c>
      <c r="D216" s="65" t="str">
        <f>vlookup(C216,'Classificação p pessoal'!F:G,2,false)</f>
        <v>NP</v>
      </c>
      <c r="E216" s="65" t="s">
        <v>148</v>
      </c>
      <c r="F216" s="83">
        <v>0.5833333333333334</v>
      </c>
      <c r="G216" s="83">
        <v>0.75</v>
      </c>
      <c r="H216" s="83">
        <v>0.16666666666666666</v>
      </c>
      <c r="I216" s="84">
        <v>44439.0</v>
      </c>
      <c r="J216" s="65" t="b">
        <v>1</v>
      </c>
      <c r="K216" s="65"/>
      <c r="L216" s="85" t="b">
        <f>IF(VLOOKUP(C216,Projetos!A:L,12,false)=TRUE,TRUE,FALSE)</f>
        <v>1</v>
      </c>
      <c r="M216" s="74">
        <v>33.15972725468975</v>
      </c>
      <c r="N216" s="74">
        <f t="shared" si="1"/>
        <v>132.638909</v>
      </c>
      <c r="O216" s="74" t="b">
        <v>1</v>
      </c>
    </row>
    <row r="217" hidden="1">
      <c r="A217" s="82"/>
      <c r="B217" s="65" t="s">
        <v>146</v>
      </c>
      <c r="C217" s="65" t="s">
        <v>89</v>
      </c>
      <c r="D217" s="65" t="str">
        <f>vlookup(C217,'Classificação p pessoal'!F:G,2,false)</f>
        <v>NP</v>
      </c>
      <c r="E217" s="65" t="s">
        <v>159</v>
      </c>
      <c r="F217" s="83">
        <v>0.3541666666666667</v>
      </c>
      <c r="G217" s="83">
        <v>0.4375</v>
      </c>
      <c r="H217" s="83">
        <v>0.08333333333333333</v>
      </c>
      <c r="I217" s="84">
        <v>44435.0</v>
      </c>
      <c r="J217" s="65" t="b">
        <v>1</v>
      </c>
      <c r="K217" s="65"/>
      <c r="L217" s="85" t="b">
        <f>IF(VLOOKUP(C217,Projetos!A:L,12,false)=TRUE,TRUE,FALSE)</f>
        <v>1</v>
      </c>
      <c r="M217" s="74">
        <v>33.15972725468975</v>
      </c>
      <c r="N217" s="74">
        <f t="shared" si="1"/>
        <v>66.31945451</v>
      </c>
      <c r="O217" s="74" t="b">
        <v>1</v>
      </c>
    </row>
    <row r="218" hidden="1">
      <c r="A218" s="82"/>
      <c r="B218" s="65" t="s">
        <v>146</v>
      </c>
      <c r="C218" s="65" t="s">
        <v>117</v>
      </c>
      <c r="D218" s="65" t="str">
        <f>vlookup(C218,'Classificação p pessoal'!F:G,2,false)</f>
        <v>NP</v>
      </c>
      <c r="E218" s="65" t="s">
        <v>148</v>
      </c>
      <c r="F218" s="83">
        <v>0.3541666666666667</v>
      </c>
      <c r="G218" s="83">
        <v>0.5416666666666666</v>
      </c>
      <c r="H218" s="83">
        <v>0.1875</v>
      </c>
      <c r="I218" s="84">
        <v>44440.0</v>
      </c>
      <c r="J218" s="65" t="b">
        <v>1</v>
      </c>
      <c r="K218" s="65"/>
      <c r="L218" s="85" t="b">
        <f>IF(VLOOKUP(C218,Projetos!A:L,12,false)=TRUE,TRUE,FALSE)</f>
        <v>1</v>
      </c>
      <c r="M218" s="74">
        <v>33.15972725468975</v>
      </c>
      <c r="N218" s="74">
        <f t="shared" si="1"/>
        <v>149.2187726</v>
      </c>
      <c r="O218" s="74" t="b">
        <v>1</v>
      </c>
    </row>
    <row r="219" hidden="1">
      <c r="A219" s="82"/>
      <c r="B219" s="65" t="s">
        <v>146</v>
      </c>
      <c r="C219" s="65" t="s">
        <v>89</v>
      </c>
      <c r="D219" s="65" t="str">
        <f>vlookup(C219,'Classificação p pessoal'!F:G,2,false)</f>
        <v>NP</v>
      </c>
      <c r="E219" s="65" t="s">
        <v>159</v>
      </c>
      <c r="F219" s="83">
        <v>0.625</v>
      </c>
      <c r="G219" s="83">
        <v>0.6666666666666666</v>
      </c>
      <c r="H219" s="83">
        <v>0.041666666666666664</v>
      </c>
      <c r="I219" s="84">
        <v>44440.0</v>
      </c>
      <c r="J219" s="65" t="b">
        <v>1</v>
      </c>
      <c r="K219" s="65"/>
      <c r="L219" s="85" t="b">
        <f>IF(VLOOKUP(C219,Projetos!A:L,12,false)=TRUE,TRUE,FALSE)</f>
        <v>1</v>
      </c>
      <c r="M219" s="74">
        <v>33.15972725468975</v>
      </c>
      <c r="N219" s="74">
        <f t="shared" si="1"/>
        <v>33.15972725</v>
      </c>
      <c r="O219" s="74" t="b">
        <v>1</v>
      </c>
    </row>
    <row r="220" hidden="1">
      <c r="A220" s="82"/>
      <c r="B220" s="65" t="s">
        <v>146</v>
      </c>
      <c r="C220" s="65" t="s">
        <v>117</v>
      </c>
      <c r="D220" s="65" t="str">
        <f>vlookup(C220,'Classificação p pessoal'!F:G,2,false)</f>
        <v>NP</v>
      </c>
      <c r="E220" s="65" t="s">
        <v>148</v>
      </c>
      <c r="F220" s="83">
        <v>0.5833333333333334</v>
      </c>
      <c r="G220" s="83">
        <v>0.75</v>
      </c>
      <c r="H220" s="83">
        <v>0.16666666666666666</v>
      </c>
      <c r="I220" s="84">
        <v>44441.0</v>
      </c>
      <c r="J220" s="65" t="b">
        <v>1</v>
      </c>
      <c r="K220" s="65"/>
      <c r="L220" s="85" t="b">
        <f>IF(VLOOKUP(C220,Projetos!A:L,12,false)=TRUE,TRUE,FALSE)</f>
        <v>1</v>
      </c>
      <c r="M220" s="74">
        <v>33.15972725468975</v>
      </c>
      <c r="N220" s="74">
        <f t="shared" si="1"/>
        <v>132.638909</v>
      </c>
      <c r="O220" s="74" t="b">
        <v>1</v>
      </c>
    </row>
    <row r="221" hidden="1">
      <c r="A221" s="82"/>
      <c r="B221" s="65" t="s">
        <v>146</v>
      </c>
      <c r="C221" s="65" t="s">
        <v>117</v>
      </c>
      <c r="D221" s="65" t="str">
        <f>vlookup(C221,'Classificação p pessoal'!F:G,2,false)</f>
        <v>NP</v>
      </c>
      <c r="E221" s="65" t="s">
        <v>148</v>
      </c>
      <c r="F221" s="83">
        <v>0.5416666666666666</v>
      </c>
      <c r="G221" s="83">
        <v>0.75</v>
      </c>
      <c r="H221" s="83">
        <v>0.20833333333333334</v>
      </c>
      <c r="I221" s="84">
        <v>44442.0</v>
      </c>
      <c r="J221" s="65" t="b">
        <v>1</v>
      </c>
      <c r="K221" s="65"/>
      <c r="L221" s="85" t="b">
        <f>IF(VLOOKUP(C221,Projetos!A:L,12,false)=TRUE,TRUE,FALSE)</f>
        <v>1</v>
      </c>
      <c r="M221" s="74">
        <v>33.15972725468975</v>
      </c>
      <c r="N221" s="74">
        <f t="shared" si="1"/>
        <v>165.7986363</v>
      </c>
      <c r="O221" s="74" t="b">
        <v>1</v>
      </c>
    </row>
    <row r="222" hidden="1">
      <c r="A222" s="82"/>
      <c r="B222" s="65" t="s">
        <v>146</v>
      </c>
      <c r="C222" s="65" t="s">
        <v>117</v>
      </c>
      <c r="D222" s="65" t="str">
        <f>vlookup(C222,'Classificação p pessoal'!F:G,2,false)</f>
        <v>NP</v>
      </c>
      <c r="E222" s="65" t="s">
        <v>148</v>
      </c>
      <c r="F222" s="83">
        <v>0.5416666666666666</v>
      </c>
      <c r="G222" s="83">
        <v>0.75</v>
      </c>
      <c r="H222" s="83">
        <v>0.20833333333333334</v>
      </c>
      <c r="I222" s="84">
        <v>44445.0</v>
      </c>
      <c r="J222" s="65" t="b">
        <v>1</v>
      </c>
      <c r="K222" s="65"/>
      <c r="L222" s="85" t="b">
        <f>IF(VLOOKUP(C222,Projetos!A:L,12,false)=TRUE,TRUE,FALSE)</f>
        <v>1</v>
      </c>
      <c r="M222" s="74">
        <v>33.15972725468975</v>
      </c>
      <c r="N222" s="74">
        <f t="shared" si="1"/>
        <v>165.7986363</v>
      </c>
      <c r="O222" s="74" t="b">
        <v>1</v>
      </c>
    </row>
    <row r="223" hidden="1">
      <c r="A223" s="82"/>
      <c r="B223" s="65" t="s">
        <v>146</v>
      </c>
      <c r="C223" s="65" t="s">
        <v>117</v>
      </c>
      <c r="D223" s="65" t="str">
        <f>vlookup(C223,'Classificação p pessoal'!F:G,2,false)</f>
        <v>NP</v>
      </c>
      <c r="E223" s="65" t="s">
        <v>148</v>
      </c>
      <c r="F223" s="83">
        <v>0.3541666666666667</v>
      </c>
      <c r="G223" s="83">
        <v>0.4375</v>
      </c>
      <c r="H223" s="83">
        <v>0.08333333333333333</v>
      </c>
      <c r="I223" s="84">
        <v>44448.0</v>
      </c>
      <c r="J223" s="65" t="b">
        <v>1</v>
      </c>
      <c r="K223" s="65"/>
      <c r="L223" s="85" t="b">
        <f>IF(VLOOKUP(C223,Projetos!A:L,12,false)=TRUE,TRUE,FALSE)</f>
        <v>1</v>
      </c>
      <c r="M223" s="74">
        <v>33.15972725468975</v>
      </c>
      <c r="N223" s="74">
        <f t="shared" si="1"/>
        <v>66.31945451</v>
      </c>
      <c r="O223" s="74" t="b">
        <v>1</v>
      </c>
    </row>
    <row r="224" hidden="1">
      <c r="A224" s="82"/>
      <c r="B224" s="65" t="s">
        <v>146</v>
      </c>
      <c r="C224" s="65" t="s">
        <v>117</v>
      </c>
      <c r="D224" s="65" t="str">
        <f>vlookup(C224,'Classificação p pessoal'!F:G,2,false)</f>
        <v>NP</v>
      </c>
      <c r="E224" s="65" t="s">
        <v>148</v>
      </c>
      <c r="F224" s="83">
        <v>0.3541666666666667</v>
      </c>
      <c r="G224" s="83">
        <v>0.5625</v>
      </c>
      <c r="H224" s="83">
        <v>0.20833333333333334</v>
      </c>
      <c r="I224" s="84">
        <v>44454.0</v>
      </c>
      <c r="J224" s="65" t="b">
        <v>1</v>
      </c>
      <c r="K224" s="65"/>
      <c r="L224" s="85" t="b">
        <f>IF(VLOOKUP(C224,Projetos!A:L,12,false)=TRUE,TRUE,FALSE)</f>
        <v>1</v>
      </c>
      <c r="M224" s="74">
        <v>33.15972725468975</v>
      </c>
      <c r="N224" s="74">
        <f t="shared" si="1"/>
        <v>165.7986363</v>
      </c>
      <c r="O224" s="74" t="b">
        <v>1</v>
      </c>
    </row>
    <row r="225" hidden="1">
      <c r="A225" s="82"/>
      <c r="B225" s="65" t="s">
        <v>146</v>
      </c>
      <c r="C225" s="65" t="s">
        <v>86</v>
      </c>
      <c r="D225" s="65" t="str">
        <f>vlookup(C225,'Classificação p pessoal'!F:G,2,false)</f>
        <v>NP</v>
      </c>
      <c r="E225" s="65" t="s">
        <v>160</v>
      </c>
      <c r="F225" s="83">
        <v>0.3541666666666667</v>
      </c>
      <c r="G225" s="83">
        <v>0.5625</v>
      </c>
      <c r="H225" s="83">
        <v>0.20833333333333334</v>
      </c>
      <c r="I225" s="84">
        <v>44455.0</v>
      </c>
      <c r="J225" s="65" t="b">
        <v>1</v>
      </c>
      <c r="K225" s="65"/>
      <c r="L225" s="85" t="b">
        <f>IF(VLOOKUP(C225,Projetos!A:L,12,false)=TRUE,TRUE,FALSE)</f>
        <v>1</v>
      </c>
      <c r="M225" s="74">
        <v>33.15972725468975</v>
      </c>
      <c r="N225" s="74">
        <f t="shared" si="1"/>
        <v>165.7986363</v>
      </c>
      <c r="O225" s="74" t="b">
        <v>1</v>
      </c>
    </row>
    <row r="226" hidden="1">
      <c r="A226" s="82"/>
      <c r="B226" s="65" t="s">
        <v>146</v>
      </c>
      <c r="C226" s="65" t="s">
        <v>89</v>
      </c>
      <c r="D226" s="65" t="str">
        <f>vlookup(C226,'Classificação p pessoal'!F:G,2,false)</f>
        <v>NP</v>
      </c>
      <c r="E226" s="65" t="s">
        <v>159</v>
      </c>
      <c r="F226" s="83">
        <v>0.6666666666666666</v>
      </c>
      <c r="G226" s="83">
        <v>0.7291666666666666</v>
      </c>
      <c r="H226" s="83">
        <v>0.0625</v>
      </c>
      <c r="I226" s="84">
        <v>44455.0</v>
      </c>
      <c r="J226" s="65" t="b">
        <v>1</v>
      </c>
      <c r="K226" s="65"/>
      <c r="L226" s="85" t="b">
        <f>IF(VLOOKUP(C226,Projetos!A:L,12,false)=TRUE,TRUE,FALSE)</f>
        <v>1</v>
      </c>
      <c r="M226" s="74">
        <v>33.15972725468975</v>
      </c>
      <c r="N226" s="74">
        <f t="shared" si="1"/>
        <v>49.73959088</v>
      </c>
      <c r="O226" s="74" t="b">
        <v>1</v>
      </c>
    </row>
    <row r="227" hidden="1">
      <c r="A227" s="82"/>
      <c r="B227" s="65" t="s">
        <v>146</v>
      </c>
      <c r="C227" s="65" t="s">
        <v>86</v>
      </c>
      <c r="D227" s="65" t="str">
        <f>vlookup(C227,'Classificação p pessoal'!F:G,2,false)</f>
        <v>NP</v>
      </c>
      <c r="E227" s="65" t="s">
        <v>160</v>
      </c>
      <c r="F227" s="83">
        <v>0.3541666666666667</v>
      </c>
      <c r="G227" s="83">
        <v>0.5416666666666666</v>
      </c>
      <c r="H227" s="83">
        <v>0.1875</v>
      </c>
      <c r="I227" s="84">
        <v>44456.0</v>
      </c>
      <c r="J227" s="65" t="b">
        <v>1</v>
      </c>
      <c r="K227" s="65"/>
      <c r="L227" s="85" t="b">
        <f>IF(VLOOKUP(C227,Projetos!A:L,12,false)=TRUE,TRUE,FALSE)</f>
        <v>1</v>
      </c>
      <c r="M227" s="74">
        <v>33.15972725468975</v>
      </c>
      <c r="N227" s="74">
        <f t="shared" si="1"/>
        <v>149.2187726</v>
      </c>
      <c r="O227" s="74" t="b">
        <v>1</v>
      </c>
    </row>
    <row r="228" hidden="1">
      <c r="A228" s="82"/>
      <c r="B228" s="65" t="s">
        <v>146</v>
      </c>
      <c r="C228" s="65" t="s">
        <v>117</v>
      </c>
      <c r="D228" s="65" t="str">
        <f>vlookup(C228,'Classificação p pessoal'!F:G,2,false)</f>
        <v>NP</v>
      </c>
      <c r="E228" s="65" t="s">
        <v>148</v>
      </c>
      <c r="F228" s="83">
        <v>0.5833333333333334</v>
      </c>
      <c r="G228" s="83">
        <v>0.6666666666666666</v>
      </c>
      <c r="H228" s="83">
        <v>0.08333333333333333</v>
      </c>
      <c r="I228" s="84">
        <v>44456.0</v>
      </c>
      <c r="J228" s="65" t="b">
        <v>1</v>
      </c>
      <c r="K228" s="65"/>
      <c r="L228" s="85" t="b">
        <f>IF(VLOOKUP(C228,Projetos!A:L,12,false)=TRUE,TRUE,FALSE)</f>
        <v>1</v>
      </c>
      <c r="M228" s="74">
        <v>33.15972725468975</v>
      </c>
      <c r="N228" s="74">
        <f t="shared" si="1"/>
        <v>66.31945451</v>
      </c>
      <c r="O228" s="74" t="b">
        <v>1</v>
      </c>
    </row>
    <row r="229" hidden="1">
      <c r="A229" s="82"/>
      <c r="B229" s="65" t="s">
        <v>146</v>
      </c>
      <c r="C229" s="65" t="s">
        <v>86</v>
      </c>
      <c r="D229" s="65" t="str">
        <f>vlookup(C229,'Classificação p pessoal'!F:G,2,false)</f>
        <v>NP</v>
      </c>
      <c r="E229" s="65" t="s">
        <v>160</v>
      </c>
      <c r="F229" s="83">
        <v>0.3541666666666667</v>
      </c>
      <c r="G229" s="83">
        <v>0.5625</v>
      </c>
      <c r="H229" s="83">
        <v>0.20833333333333334</v>
      </c>
      <c r="I229" s="84">
        <v>44459.0</v>
      </c>
      <c r="J229" s="65" t="b">
        <v>1</v>
      </c>
      <c r="K229" s="65"/>
      <c r="L229" s="85" t="b">
        <f>IF(VLOOKUP(C229,Projetos!A:L,12,false)=TRUE,TRUE,FALSE)</f>
        <v>1</v>
      </c>
      <c r="M229" s="74">
        <v>33.15972725468975</v>
      </c>
      <c r="N229" s="74">
        <f t="shared" si="1"/>
        <v>165.7986363</v>
      </c>
      <c r="O229" s="74" t="b">
        <v>1</v>
      </c>
    </row>
    <row r="230" hidden="1">
      <c r="A230" s="82"/>
      <c r="B230" s="65" t="s">
        <v>146</v>
      </c>
      <c r="C230" s="65" t="s">
        <v>86</v>
      </c>
      <c r="D230" s="65" t="str">
        <f>vlookup(C230,'Classificação p pessoal'!F:G,2,false)</f>
        <v>NP</v>
      </c>
      <c r="E230" s="65" t="s">
        <v>160</v>
      </c>
      <c r="F230" s="83">
        <v>0.5833333333333334</v>
      </c>
      <c r="G230" s="83">
        <v>0.75</v>
      </c>
      <c r="H230" s="83">
        <v>0.16666666666666666</v>
      </c>
      <c r="I230" s="84">
        <v>44460.0</v>
      </c>
      <c r="J230" s="65" t="b">
        <v>1</v>
      </c>
      <c r="K230" s="65"/>
      <c r="L230" s="85" t="b">
        <f>IF(VLOOKUP(C230,Projetos!A:L,12,false)=TRUE,TRUE,FALSE)</f>
        <v>1</v>
      </c>
      <c r="M230" s="74">
        <v>33.15972725468975</v>
      </c>
      <c r="N230" s="74">
        <f t="shared" si="1"/>
        <v>132.638909</v>
      </c>
      <c r="O230" s="74" t="b">
        <v>1</v>
      </c>
    </row>
    <row r="231" hidden="1">
      <c r="A231" s="82"/>
      <c r="B231" s="65" t="s">
        <v>146</v>
      </c>
      <c r="C231" s="65" t="s">
        <v>86</v>
      </c>
      <c r="D231" s="65" t="str">
        <f>vlookup(C231,'Classificação p pessoal'!F:G,2,false)</f>
        <v>NP</v>
      </c>
      <c r="E231" s="65" t="s">
        <v>160</v>
      </c>
      <c r="F231" s="83">
        <v>0.3541666666666667</v>
      </c>
      <c r="G231" s="83">
        <v>0.5416666666666666</v>
      </c>
      <c r="H231" s="83">
        <v>0.1875</v>
      </c>
      <c r="I231" s="84">
        <v>44461.0</v>
      </c>
      <c r="J231" s="65" t="b">
        <v>1</v>
      </c>
      <c r="K231" s="65"/>
      <c r="L231" s="85" t="b">
        <f>IF(VLOOKUP(C231,Projetos!A:L,12,false)=TRUE,TRUE,FALSE)</f>
        <v>1</v>
      </c>
      <c r="M231" s="74">
        <v>33.15972725468975</v>
      </c>
      <c r="N231" s="74">
        <f t="shared" si="1"/>
        <v>149.2187726</v>
      </c>
      <c r="O231" s="74" t="b">
        <v>1</v>
      </c>
    </row>
    <row r="232" hidden="1">
      <c r="A232" s="82"/>
      <c r="B232" s="65" t="s">
        <v>146</v>
      </c>
      <c r="C232" s="65" t="s">
        <v>89</v>
      </c>
      <c r="D232" s="65" t="str">
        <f>vlookup(C232,'Classificação p pessoal'!F:G,2,false)</f>
        <v>NP</v>
      </c>
      <c r="E232" s="65" t="s">
        <v>159</v>
      </c>
      <c r="F232" s="83">
        <v>0.625</v>
      </c>
      <c r="G232" s="83">
        <v>0.75</v>
      </c>
      <c r="H232" s="83">
        <v>0.125</v>
      </c>
      <c r="I232" s="84">
        <v>44461.0</v>
      </c>
      <c r="J232" s="65" t="b">
        <v>1</v>
      </c>
      <c r="K232" s="65"/>
      <c r="L232" s="85" t="b">
        <f>IF(VLOOKUP(C232,Projetos!A:L,12,false)=TRUE,TRUE,FALSE)</f>
        <v>1</v>
      </c>
      <c r="M232" s="74">
        <v>33.15972725468975</v>
      </c>
      <c r="N232" s="74">
        <f t="shared" si="1"/>
        <v>99.47918176</v>
      </c>
      <c r="O232" s="74" t="b">
        <v>1</v>
      </c>
    </row>
    <row r="233" hidden="1">
      <c r="A233" s="82"/>
      <c r="B233" s="65" t="s">
        <v>146</v>
      </c>
      <c r="C233" s="65" t="s">
        <v>89</v>
      </c>
      <c r="D233" s="65" t="str">
        <f>vlookup(C233,'Classificação p pessoal'!F:G,2,false)</f>
        <v>NP</v>
      </c>
      <c r="E233" s="65" t="s">
        <v>159</v>
      </c>
      <c r="F233" s="83">
        <v>0.3541666666666667</v>
      </c>
      <c r="G233" s="83">
        <v>0.5208333333333334</v>
      </c>
      <c r="H233" s="83">
        <v>0.16666666666666666</v>
      </c>
      <c r="I233" s="84">
        <v>44462.0</v>
      </c>
      <c r="J233" s="65" t="b">
        <v>1</v>
      </c>
      <c r="K233" s="65"/>
      <c r="L233" s="85" t="b">
        <f>IF(VLOOKUP(C233,Projetos!A:L,12,false)=TRUE,TRUE,FALSE)</f>
        <v>1</v>
      </c>
      <c r="M233" s="74">
        <v>33.15972725468975</v>
      </c>
      <c r="N233" s="74">
        <f t="shared" si="1"/>
        <v>132.638909</v>
      </c>
      <c r="O233" s="74" t="b">
        <v>1</v>
      </c>
    </row>
    <row r="234" hidden="1">
      <c r="A234" s="82"/>
      <c r="B234" s="65" t="s">
        <v>146</v>
      </c>
      <c r="C234" s="65" t="s">
        <v>117</v>
      </c>
      <c r="D234" s="65" t="str">
        <f>vlookup(C234,'Classificação p pessoal'!F:G,2,false)</f>
        <v>NP</v>
      </c>
      <c r="E234" s="65" t="s">
        <v>148</v>
      </c>
      <c r="F234" s="83">
        <v>0.5625</v>
      </c>
      <c r="G234" s="83">
        <v>0.75</v>
      </c>
      <c r="H234" s="83">
        <v>0.1875</v>
      </c>
      <c r="I234" s="84">
        <v>44462.0</v>
      </c>
      <c r="J234" s="65" t="b">
        <v>1</v>
      </c>
      <c r="K234" s="65"/>
      <c r="L234" s="85" t="b">
        <f>IF(VLOOKUP(C234,Projetos!A:L,12,false)=TRUE,TRUE,FALSE)</f>
        <v>1</v>
      </c>
      <c r="M234" s="74">
        <v>33.15972725468975</v>
      </c>
      <c r="N234" s="74">
        <f t="shared" si="1"/>
        <v>149.2187726</v>
      </c>
      <c r="O234" s="74" t="b">
        <v>1</v>
      </c>
    </row>
    <row r="235" hidden="1">
      <c r="A235" s="82"/>
      <c r="B235" s="65" t="s">
        <v>146</v>
      </c>
      <c r="C235" s="65" t="s">
        <v>117</v>
      </c>
      <c r="D235" s="65" t="str">
        <f>vlookup(C235,'Classificação p pessoal'!F:G,2,false)</f>
        <v>NP</v>
      </c>
      <c r="E235" s="65" t="s">
        <v>148</v>
      </c>
      <c r="F235" s="83">
        <v>0.375</v>
      </c>
      <c r="G235" s="83">
        <v>0.4375</v>
      </c>
      <c r="H235" s="83">
        <v>0.0625</v>
      </c>
      <c r="I235" s="84">
        <v>44463.0</v>
      </c>
      <c r="J235" s="65" t="b">
        <v>1</v>
      </c>
      <c r="K235" s="65"/>
      <c r="L235" s="85" t="b">
        <f>IF(VLOOKUP(C235,Projetos!A:L,12,false)=TRUE,TRUE,FALSE)</f>
        <v>1</v>
      </c>
      <c r="M235" s="74">
        <v>33.15972725468975</v>
      </c>
      <c r="N235" s="74">
        <f t="shared" si="1"/>
        <v>49.73959088</v>
      </c>
      <c r="O235" s="74" t="b">
        <v>1</v>
      </c>
    </row>
    <row r="236" hidden="1">
      <c r="A236" s="82"/>
      <c r="B236" s="65" t="s">
        <v>146</v>
      </c>
      <c r="C236" s="65" t="s">
        <v>86</v>
      </c>
      <c r="D236" s="65" t="str">
        <f>vlookup(C236,'Classificação p pessoal'!F:G,2,false)</f>
        <v>NP</v>
      </c>
      <c r="E236" s="65" t="s">
        <v>160</v>
      </c>
      <c r="F236" s="83">
        <v>0.4375</v>
      </c>
      <c r="G236" s="83">
        <v>0.5416666666666666</v>
      </c>
      <c r="H236" s="83">
        <v>0.10416666666666667</v>
      </c>
      <c r="I236" s="84">
        <v>44463.0</v>
      </c>
      <c r="J236" s="65" t="b">
        <v>1</v>
      </c>
      <c r="K236" s="65"/>
      <c r="L236" s="85" t="b">
        <f>IF(VLOOKUP(C236,Projetos!A:L,12,false)=TRUE,TRUE,FALSE)</f>
        <v>1</v>
      </c>
      <c r="M236" s="74">
        <v>33.15972725468975</v>
      </c>
      <c r="N236" s="74">
        <f t="shared" si="1"/>
        <v>82.89931814</v>
      </c>
      <c r="O236" s="74" t="b">
        <v>1</v>
      </c>
    </row>
    <row r="237" hidden="1">
      <c r="A237" s="82"/>
      <c r="B237" s="65" t="s">
        <v>146</v>
      </c>
      <c r="C237" s="65" t="s">
        <v>117</v>
      </c>
      <c r="D237" s="65" t="str">
        <f>vlookup(C237,'Classificação p pessoal'!F:G,2,false)</f>
        <v>NP</v>
      </c>
      <c r="E237" s="65" t="s">
        <v>148</v>
      </c>
      <c r="F237" s="83">
        <v>0.5833333333333334</v>
      </c>
      <c r="G237" s="83">
        <v>0.6666666666666666</v>
      </c>
      <c r="H237" s="83">
        <v>0.08333333333333333</v>
      </c>
      <c r="I237" s="84">
        <v>44463.0</v>
      </c>
      <c r="J237" s="65" t="b">
        <v>1</v>
      </c>
      <c r="K237" s="65"/>
      <c r="L237" s="85" t="b">
        <f>IF(VLOOKUP(C237,Projetos!A:L,12,false)=TRUE,TRUE,FALSE)</f>
        <v>1</v>
      </c>
      <c r="M237" s="74">
        <v>33.15972725468975</v>
      </c>
      <c r="N237" s="74">
        <f t="shared" si="1"/>
        <v>66.31945451</v>
      </c>
      <c r="O237" s="74" t="b">
        <v>1</v>
      </c>
    </row>
    <row r="238" hidden="1">
      <c r="A238" s="82"/>
      <c r="B238" s="65" t="s">
        <v>146</v>
      </c>
      <c r="C238" s="65" t="s">
        <v>86</v>
      </c>
      <c r="D238" s="65" t="str">
        <f>vlookup(C238,'Classificação p pessoal'!F:G,2,false)</f>
        <v>NP</v>
      </c>
      <c r="E238" s="65" t="s">
        <v>160</v>
      </c>
      <c r="F238" s="83">
        <v>0.5416666666666666</v>
      </c>
      <c r="G238" s="83">
        <v>0.75</v>
      </c>
      <c r="H238" s="83">
        <v>0.20833333333333334</v>
      </c>
      <c r="I238" s="84">
        <v>44466.0</v>
      </c>
      <c r="J238" s="65" t="b">
        <v>1</v>
      </c>
      <c r="K238" s="65"/>
      <c r="L238" s="85" t="b">
        <f>IF(VLOOKUP(C238,Projetos!A:L,12,false)=TRUE,TRUE,FALSE)</f>
        <v>1</v>
      </c>
      <c r="M238" s="74">
        <v>33.15972725468975</v>
      </c>
      <c r="N238" s="74">
        <f t="shared" si="1"/>
        <v>165.7986363</v>
      </c>
      <c r="O238" s="74" t="b">
        <v>1</v>
      </c>
    </row>
    <row r="239" hidden="1">
      <c r="A239" s="82"/>
      <c r="B239" s="65" t="s">
        <v>146</v>
      </c>
      <c r="C239" s="65" t="s">
        <v>86</v>
      </c>
      <c r="D239" s="65" t="str">
        <f>vlookup(C239,'Classificação p pessoal'!F:G,2,false)</f>
        <v>NP</v>
      </c>
      <c r="E239" s="65" t="s">
        <v>160</v>
      </c>
      <c r="F239" s="83">
        <v>0.3541666666666667</v>
      </c>
      <c r="G239" s="83">
        <v>0.5416666666666666</v>
      </c>
      <c r="H239" s="83">
        <v>0.1875</v>
      </c>
      <c r="I239" s="84">
        <v>44467.0</v>
      </c>
      <c r="J239" s="65" t="b">
        <v>1</v>
      </c>
      <c r="K239" s="65"/>
      <c r="L239" s="85" t="b">
        <f>IF(VLOOKUP(C239,Projetos!A:L,12,false)=TRUE,TRUE,FALSE)</f>
        <v>1</v>
      </c>
      <c r="M239" s="74">
        <v>33.15972725468975</v>
      </c>
      <c r="N239" s="74">
        <f t="shared" si="1"/>
        <v>149.2187726</v>
      </c>
      <c r="O239" s="74" t="b">
        <v>1</v>
      </c>
    </row>
    <row r="240" hidden="1">
      <c r="A240" s="82"/>
      <c r="B240" s="65" t="s">
        <v>146</v>
      </c>
      <c r="C240" s="65" t="s">
        <v>89</v>
      </c>
      <c r="D240" s="65" t="str">
        <f>vlookup(C240,'Classificação p pessoal'!F:G,2,false)</f>
        <v>NP</v>
      </c>
      <c r="E240" s="65" t="s">
        <v>159</v>
      </c>
      <c r="F240" s="83">
        <v>0.5833333333333334</v>
      </c>
      <c r="G240" s="83">
        <v>0.6666666666666666</v>
      </c>
      <c r="H240" s="83">
        <v>0.08333333333333333</v>
      </c>
      <c r="I240" s="84">
        <v>44467.0</v>
      </c>
      <c r="J240" s="65" t="b">
        <v>1</v>
      </c>
      <c r="K240" s="65"/>
      <c r="L240" s="85" t="b">
        <f>IF(VLOOKUP(C240,Projetos!A:L,12,false)=TRUE,TRUE,FALSE)</f>
        <v>1</v>
      </c>
      <c r="M240" s="74">
        <v>33.15972725468975</v>
      </c>
      <c r="N240" s="74">
        <f t="shared" si="1"/>
        <v>66.31945451</v>
      </c>
      <c r="O240" s="74" t="b">
        <v>1</v>
      </c>
    </row>
    <row r="241" hidden="1">
      <c r="A241" s="82"/>
      <c r="B241" s="65" t="s">
        <v>146</v>
      </c>
      <c r="C241" s="65" t="s">
        <v>88</v>
      </c>
      <c r="D241" s="65"/>
      <c r="E241" s="65" t="s">
        <v>161</v>
      </c>
      <c r="F241" s="83">
        <v>0.5416666666666666</v>
      </c>
      <c r="G241" s="83">
        <v>0.75</v>
      </c>
      <c r="H241" s="83">
        <v>0.20833333333333334</v>
      </c>
      <c r="I241" s="84">
        <v>44468.0</v>
      </c>
      <c r="J241" s="65" t="b">
        <v>0</v>
      </c>
      <c r="K241" s="65" t="s">
        <v>150</v>
      </c>
      <c r="L241" s="85" t="b">
        <f>IF(VLOOKUP(C241,Projetos!A:L,12,false)=TRUE,TRUE,FALSE)</f>
        <v>1</v>
      </c>
      <c r="M241" s="74">
        <v>33.15972725468975</v>
      </c>
      <c r="N241" s="74">
        <f t="shared" si="1"/>
        <v>0</v>
      </c>
      <c r="O241" s="74" t="b">
        <v>1</v>
      </c>
    </row>
    <row r="242" hidden="1">
      <c r="A242" s="82"/>
      <c r="B242" s="65" t="s">
        <v>146</v>
      </c>
      <c r="C242" s="65" t="s">
        <v>86</v>
      </c>
      <c r="D242" s="65" t="str">
        <f>vlookup(C242,'Classificação p pessoal'!F:G,2,false)</f>
        <v>NP</v>
      </c>
      <c r="E242" s="65" t="s">
        <v>160</v>
      </c>
      <c r="F242" s="83">
        <v>0.75</v>
      </c>
      <c r="G242" s="83">
        <v>0.8333333333333334</v>
      </c>
      <c r="H242" s="83">
        <v>0.08333333333333333</v>
      </c>
      <c r="I242" s="84">
        <v>44468.0</v>
      </c>
      <c r="J242" s="65" t="b">
        <v>1</v>
      </c>
      <c r="K242" s="65"/>
      <c r="L242" s="85" t="b">
        <f>IF(VLOOKUP(C242,Projetos!A:L,12,false)=TRUE,TRUE,FALSE)</f>
        <v>1</v>
      </c>
      <c r="M242" s="74">
        <v>33.15972725468975</v>
      </c>
      <c r="N242" s="74">
        <f t="shared" si="1"/>
        <v>66.31945451</v>
      </c>
      <c r="O242" s="74" t="b">
        <v>1</v>
      </c>
    </row>
    <row r="243" hidden="1">
      <c r="A243" s="82"/>
      <c r="B243" s="65" t="s">
        <v>146</v>
      </c>
      <c r="C243" s="65" t="s">
        <v>89</v>
      </c>
      <c r="D243" s="65" t="str">
        <f>vlookup(C243,'Classificação p pessoal'!F:G,2,false)</f>
        <v>NP</v>
      </c>
      <c r="E243" s="65" t="s">
        <v>159</v>
      </c>
      <c r="F243" s="83">
        <v>0.5416666666666666</v>
      </c>
      <c r="G243" s="83">
        <v>0.75</v>
      </c>
      <c r="H243" s="83">
        <v>0.20833333333333334</v>
      </c>
      <c r="I243" s="84">
        <v>44469.0</v>
      </c>
      <c r="J243" s="65" t="b">
        <v>1</v>
      </c>
      <c r="K243" s="65"/>
      <c r="L243" s="85" t="b">
        <f>IF(VLOOKUP(C243,Projetos!A:L,12,false)=TRUE,TRUE,FALSE)</f>
        <v>1</v>
      </c>
      <c r="M243" s="74">
        <v>33.15972725468975</v>
      </c>
      <c r="N243" s="74">
        <f t="shared" si="1"/>
        <v>165.7986363</v>
      </c>
      <c r="O243" s="74" t="b">
        <v>1</v>
      </c>
    </row>
    <row r="244" hidden="1">
      <c r="A244" s="82"/>
      <c r="B244" s="65" t="s">
        <v>146</v>
      </c>
      <c r="C244" s="65" t="s">
        <v>117</v>
      </c>
      <c r="D244" s="65" t="str">
        <f>vlookup(C244,'Classificação p pessoal'!F:G,2,false)</f>
        <v>NP</v>
      </c>
      <c r="E244" s="65" t="s">
        <v>148</v>
      </c>
      <c r="F244" s="83">
        <v>0.5833333333333334</v>
      </c>
      <c r="G244" s="83">
        <v>0.6666666666666666</v>
      </c>
      <c r="H244" s="83">
        <v>0.08333333333333333</v>
      </c>
      <c r="I244" s="84">
        <v>44470.0</v>
      </c>
      <c r="J244" s="65" t="b">
        <v>1</v>
      </c>
      <c r="K244" s="65"/>
      <c r="L244" s="85" t="b">
        <f>IF(VLOOKUP(C244,Projetos!A:L,12,false)=TRUE,TRUE,FALSE)</f>
        <v>1</v>
      </c>
      <c r="M244" s="74">
        <v>33.15972725468975</v>
      </c>
      <c r="N244" s="74">
        <f t="shared" si="1"/>
        <v>66.31945451</v>
      </c>
      <c r="O244" s="74" t="b">
        <v>1</v>
      </c>
    </row>
    <row r="245" hidden="1">
      <c r="A245" s="82"/>
      <c r="B245" s="65" t="s">
        <v>146</v>
      </c>
      <c r="C245" s="65" t="s">
        <v>86</v>
      </c>
      <c r="D245" s="65" t="str">
        <f>vlookup(C245,'Classificação p pessoal'!F:G,2,false)</f>
        <v>NP</v>
      </c>
      <c r="E245" s="65" t="s">
        <v>160</v>
      </c>
      <c r="F245" s="83">
        <v>0.3541666666666667</v>
      </c>
      <c r="G245" s="83">
        <v>0.5208333333333334</v>
      </c>
      <c r="H245" s="83">
        <v>0.16666666666666666</v>
      </c>
      <c r="I245" s="84">
        <v>44473.0</v>
      </c>
      <c r="J245" s="65" t="b">
        <v>1</v>
      </c>
      <c r="K245" s="65"/>
      <c r="L245" s="85" t="b">
        <f>IF(VLOOKUP(C245,Projetos!A:L,12,false)=TRUE,TRUE,FALSE)</f>
        <v>1</v>
      </c>
      <c r="M245" s="74">
        <v>33.15972725468975</v>
      </c>
      <c r="N245" s="74">
        <f t="shared" si="1"/>
        <v>132.638909</v>
      </c>
      <c r="O245" s="74" t="b">
        <v>1</v>
      </c>
    </row>
    <row r="246" hidden="1">
      <c r="A246" s="82"/>
      <c r="B246" s="65" t="s">
        <v>146</v>
      </c>
      <c r="C246" s="65" t="s">
        <v>117</v>
      </c>
      <c r="D246" s="65" t="str">
        <f>vlookup(C246,'Classificação p pessoal'!F:G,2,false)</f>
        <v>NP</v>
      </c>
      <c r="E246" s="65" t="s">
        <v>148</v>
      </c>
      <c r="F246" s="83">
        <v>0.6666666666666666</v>
      </c>
      <c r="G246" s="83">
        <v>0.75</v>
      </c>
      <c r="H246" s="83">
        <v>0.08333333333333333</v>
      </c>
      <c r="I246" s="84">
        <v>44473.0</v>
      </c>
      <c r="J246" s="65" t="b">
        <v>1</v>
      </c>
      <c r="K246" s="65"/>
      <c r="L246" s="85" t="b">
        <f>IF(VLOOKUP(C246,Projetos!A:L,12,false)=TRUE,TRUE,FALSE)</f>
        <v>1</v>
      </c>
      <c r="M246" s="74">
        <v>33.15972725468975</v>
      </c>
      <c r="N246" s="74">
        <f t="shared" si="1"/>
        <v>66.31945451</v>
      </c>
      <c r="O246" s="74" t="b">
        <v>1</v>
      </c>
    </row>
    <row r="247" hidden="1">
      <c r="A247" s="82"/>
      <c r="B247" s="65" t="s">
        <v>146</v>
      </c>
      <c r="C247" s="65" t="s">
        <v>86</v>
      </c>
      <c r="D247" s="65" t="str">
        <f>vlookup(C247,'Classificação p pessoal'!F:G,2,false)</f>
        <v>NP</v>
      </c>
      <c r="E247" s="65" t="s">
        <v>160</v>
      </c>
      <c r="F247" s="83">
        <v>0.3541666666666667</v>
      </c>
      <c r="G247" s="83">
        <v>0.5</v>
      </c>
      <c r="H247" s="83">
        <v>0.14583333333333334</v>
      </c>
      <c r="I247" s="84">
        <v>44474.0</v>
      </c>
      <c r="J247" s="65" t="b">
        <v>1</v>
      </c>
      <c r="K247" s="65"/>
      <c r="L247" s="85" t="b">
        <f>IF(VLOOKUP(C247,Projetos!A:L,12,false)=TRUE,TRUE,FALSE)</f>
        <v>1</v>
      </c>
      <c r="M247" s="74">
        <v>33.15972725468975</v>
      </c>
      <c r="N247" s="74">
        <f t="shared" si="1"/>
        <v>116.0590454</v>
      </c>
      <c r="O247" s="74" t="b">
        <v>1</v>
      </c>
    </row>
    <row r="248" hidden="1">
      <c r="A248" s="82"/>
      <c r="B248" s="65" t="s">
        <v>146</v>
      </c>
      <c r="C248" s="65" t="s">
        <v>117</v>
      </c>
      <c r="D248" s="65" t="str">
        <f>vlookup(C248,'Classificação p pessoal'!F:G,2,false)</f>
        <v>NP</v>
      </c>
      <c r="E248" s="65" t="s">
        <v>148</v>
      </c>
      <c r="F248" s="83">
        <v>0.5625</v>
      </c>
      <c r="G248" s="83">
        <v>0.6875</v>
      </c>
      <c r="H248" s="83">
        <v>0.125</v>
      </c>
      <c r="I248" s="84">
        <v>44474.0</v>
      </c>
      <c r="J248" s="65" t="b">
        <v>1</v>
      </c>
      <c r="K248" s="65"/>
      <c r="L248" s="85" t="b">
        <f>IF(VLOOKUP(C248,Projetos!A:L,12,false)=TRUE,TRUE,FALSE)</f>
        <v>1</v>
      </c>
      <c r="M248" s="74">
        <v>33.15972725468975</v>
      </c>
      <c r="N248" s="74">
        <f t="shared" si="1"/>
        <v>99.47918176</v>
      </c>
      <c r="O248" s="74" t="b">
        <v>1</v>
      </c>
    </row>
    <row r="249" hidden="1">
      <c r="A249" s="82"/>
      <c r="B249" s="65" t="s">
        <v>146</v>
      </c>
      <c r="C249" s="65" t="s">
        <v>117</v>
      </c>
      <c r="D249" s="65" t="str">
        <f>vlookup(C249,'Classificação p pessoal'!F:G,2,false)</f>
        <v>NP</v>
      </c>
      <c r="E249" s="65" t="s">
        <v>148</v>
      </c>
      <c r="F249" s="83">
        <v>0.3541666666666667</v>
      </c>
      <c r="G249" s="83">
        <v>0.4375</v>
      </c>
      <c r="H249" s="83">
        <v>0.08333333333333333</v>
      </c>
      <c r="I249" s="84">
        <v>44475.0</v>
      </c>
      <c r="J249" s="65" t="b">
        <v>1</v>
      </c>
      <c r="K249" s="65"/>
      <c r="L249" s="85" t="b">
        <f>IF(VLOOKUP(C249,Projetos!A:L,12,false)=TRUE,TRUE,FALSE)</f>
        <v>1</v>
      </c>
      <c r="M249" s="74">
        <v>33.15972725468975</v>
      </c>
      <c r="N249" s="74">
        <f t="shared" si="1"/>
        <v>66.31945451</v>
      </c>
      <c r="O249" s="74" t="b">
        <v>1</v>
      </c>
    </row>
    <row r="250" hidden="1">
      <c r="A250" s="82"/>
      <c r="B250" s="65" t="s">
        <v>146</v>
      </c>
      <c r="C250" s="65" t="s">
        <v>127</v>
      </c>
      <c r="D250" s="65" t="str">
        <f>vlookup(C250,'Classificação p pessoal'!F:G,2,false)</f>
        <v>NP</v>
      </c>
      <c r="E250" s="65" t="s">
        <v>148</v>
      </c>
      <c r="F250" s="83">
        <v>0.4583333333333333</v>
      </c>
      <c r="G250" s="83">
        <v>0.5416666666666666</v>
      </c>
      <c r="H250" s="83">
        <v>0.08333333333333333</v>
      </c>
      <c r="I250" s="84">
        <v>44475.0</v>
      </c>
      <c r="J250" s="65" t="b">
        <v>1</v>
      </c>
      <c r="K250" s="65"/>
      <c r="L250" s="85" t="b">
        <f>IF(VLOOKUP(C250,Projetos!A:L,12,false)=TRUE,TRUE,FALSE)</f>
        <v>1</v>
      </c>
      <c r="M250" s="74">
        <v>33.15972725468975</v>
      </c>
      <c r="N250" s="74">
        <f t="shared" si="1"/>
        <v>66.31945451</v>
      </c>
      <c r="O250" s="74" t="b">
        <v>1</v>
      </c>
    </row>
    <row r="251" hidden="1">
      <c r="A251" s="82"/>
      <c r="B251" s="65" t="s">
        <v>146</v>
      </c>
      <c r="C251" s="65" t="s">
        <v>89</v>
      </c>
      <c r="D251" s="65" t="str">
        <f>vlookup(C251,'Classificação p pessoal'!F:G,2,false)</f>
        <v>NP</v>
      </c>
      <c r="E251" s="65" t="s">
        <v>148</v>
      </c>
      <c r="F251" s="83">
        <v>0.5833333333333334</v>
      </c>
      <c r="G251" s="83">
        <v>0.75</v>
      </c>
      <c r="H251" s="83">
        <v>0.16666666666666666</v>
      </c>
      <c r="I251" s="84">
        <v>44475.0</v>
      </c>
      <c r="J251" s="65" t="b">
        <v>1</v>
      </c>
      <c r="K251" s="65"/>
      <c r="L251" s="85" t="b">
        <f>IF(VLOOKUP(C251,Projetos!A:L,12,false)=TRUE,TRUE,FALSE)</f>
        <v>1</v>
      </c>
      <c r="M251" s="74">
        <v>33.15972725468975</v>
      </c>
      <c r="N251" s="74">
        <f t="shared" si="1"/>
        <v>132.638909</v>
      </c>
      <c r="O251" s="74" t="b">
        <v>1</v>
      </c>
    </row>
    <row r="252" hidden="1">
      <c r="A252" s="82"/>
      <c r="B252" s="65" t="s">
        <v>146</v>
      </c>
      <c r="C252" s="65" t="s">
        <v>117</v>
      </c>
      <c r="D252" s="65" t="str">
        <f>vlookup(C252,'Classificação p pessoal'!F:G,2,false)</f>
        <v>NP</v>
      </c>
      <c r="E252" s="65" t="s">
        <v>148</v>
      </c>
      <c r="F252" s="83">
        <v>0.3541666666666667</v>
      </c>
      <c r="G252" s="83">
        <v>0.5208333333333334</v>
      </c>
      <c r="H252" s="83">
        <v>0.16666666666666666</v>
      </c>
      <c r="I252" s="84">
        <v>44476.0</v>
      </c>
      <c r="J252" s="65" t="b">
        <v>1</v>
      </c>
      <c r="K252" s="65"/>
      <c r="L252" s="85" t="b">
        <f>IF(VLOOKUP(C252,Projetos!A:L,12,false)=TRUE,TRUE,FALSE)</f>
        <v>1</v>
      </c>
      <c r="M252" s="74">
        <v>33.15972725468975</v>
      </c>
      <c r="N252" s="74">
        <f t="shared" si="1"/>
        <v>132.638909</v>
      </c>
      <c r="O252" s="74" t="b">
        <v>1</v>
      </c>
    </row>
    <row r="253" hidden="1">
      <c r="A253" s="82"/>
      <c r="B253" s="65" t="s">
        <v>146</v>
      </c>
      <c r="C253" s="65" t="s">
        <v>89</v>
      </c>
      <c r="D253" s="65" t="str">
        <f>vlookup(C253,'Classificação p pessoal'!F:G,2,false)</f>
        <v>NP</v>
      </c>
      <c r="E253" s="65" t="s">
        <v>148</v>
      </c>
      <c r="F253" s="83">
        <v>0.3541666666666667</v>
      </c>
      <c r="G253" s="83">
        <v>0.4791666666666667</v>
      </c>
      <c r="H253" s="83">
        <v>0.125</v>
      </c>
      <c r="I253" s="84">
        <v>44482.0</v>
      </c>
      <c r="J253" s="65" t="b">
        <v>1</v>
      </c>
      <c r="K253" s="65"/>
      <c r="L253" s="85" t="b">
        <f>IF(VLOOKUP(C253,Projetos!A:L,12,false)=TRUE,TRUE,FALSE)</f>
        <v>1</v>
      </c>
      <c r="M253" s="74">
        <v>33.15972725468975</v>
      </c>
      <c r="N253" s="74">
        <f t="shared" si="1"/>
        <v>99.47918176</v>
      </c>
      <c r="O253" s="74" t="b">
        <v>1</v>
      </c>
    </row>
    <row r="254" hidden="1">
      <c r="A254" s="82"/>
      <c r="B254" s="65" t="s">
        <v>146</v>
      </c>
      <c r="C254" s="65" t="s">
        <v>86</v>
      </c>
      <c r="D254" s="65" t="str">
        <f>vlookup(C254,'Classificação p pessoal'!F:G,2,false)</f>
        <v>NP</v>
      </c>
      <c r="E254" s="65" t="s">
        <v>160</v>
      </c>
      <c r="F254" s="83">
        <v>0.6041666666666666</v>
      </c>
      <c r="G254" s="83">
        <v>0.6875</v>
      </c>
      <c r="H254" s="83">
        <v>0.08333333333333333</v>
      </c>
      <c r="I254" s="84">
        <v>44482.0</v>
      </c>
      <c r="J254" s="65" t="b">
        <v>1</v>
      </c>
      <c r="K254" s="65"/>
      <c r="L254" s="85" t="b">
        <f>IF(VLOOKUP(C254,Projetos!A:L,12,false)=TRUE,TRUE,FALSE)</f>
        <v>1</v>
      </c>
      <c r="M254" s="74">
        <v>33.15972725468975</v>
      </c>
      <c r="N254" s="74">
        <f t="shared" si="1"/>
        <v>66.31945451</v>
      </c>
      <c r="O254" s="74" t="b">
        <v>1</v>
      </c>
    </row>
    <row r="255" hidden="1">
      <c r="A255" s="82"/>
      <c r="B255" s="65" t="s">
        <v>146</v>
      </c>
      <c r="C255" s="65" t="s">
        <v>86</v>
      </c>
      <c r="D255" s="65" t="str">
        <f>vlookup(C255,'Classificação p pessoal'!F:G,2,false)</f>
        <v>NP</v>
      </c>
      <c r="E255" s="65" t="s">
        <v>160</v>
      </c>
      <c r="F255" s="83">
        <v>0.3541666666666667</v>
      </c>
      <c r="G255" s="83">
        <v>0.4166666666666667</v>
      </c>
      <c r="H255" s="83">
        <v>0.0625</v>
      </c>
      <c r="I255" s="84">
        <v>44483.0</v>
      </c>
      <c r="J255" s="65" t="b">
        <v>1</v>
      </c>
      <c r="K255" s="65"/>
      <c r="L255" s="85" t="b">
        <f>IF(VLOOKUP(C255,Projetos!A:L,12,false)=TRUE,TRUE,FALSE)</f>
        <v>1</v>
      </c>
      <c r="M255" s="74">
        <v>33.15972725468975</v>
      </c>
      <c r="N255" s="74">
        <f t="shared" si="1"/>
        <v>49.73959088</v>
      </c>
      <c r="O255" s="74" t="b">
        <v>1</v>
      </c>
    </row>
    <row r="256" hidden="1">
      <c r="A256" s="82"/>
      <c r="B256" s="65" t="s">
        <v>146</v>
      </c>
      <c r="C256" s="65" t="s">
        <v>88</v>
      </c>
      <c r="D256" s="65"/>
      <c r="E256" s="65" t="s">
        <v>161</v>
      </c>
      <c r="F256" s="83">
        <v>0.5416666666666666</v>
      </c>
      <c r="G256" s="83">
        <v>0.6666666666666666</v>
      </c>
      <c r="H256" s="83">
        <v>0.125</v>
      </c>
      <c r="I256" s="84">
        <v>44483.0</v>
      </c>
      <c r="J256" s="65" t="b">
        <v>0</v>
      </c>
      <c r="K256" s="65" t="s">
        <v>150</v>
      </c>
      <c r="L256" s="85" t="b">
        <f>IF(VLOOKUP(C256,Projetos!A:L,12,false)=TRUE,TRUE,FALSE)</f>
        <v>1</v>
      </c>
      <c r="M256" s="74">
        <v>33.15972725468975</v>
      </c>
      <c r="N256" s="74">
        <f t="shared" si="1"/>
        <v>0</v>
      </c>
      <c r="O256" s="74" t="b">
        <v>1</v>
      </c>
    </row>
    <row r="257" hidden="1">
      <c r="A257" s="82"/>
      <c r="B257" s="65" t="s">
        <v>146</v>
      </c>
      <c r="C257" s="65" t="s">
        <v>89</v>
      </c>
      <c r="D257" s="65" t="str">
        <f>vlookup(C257,'Classificação p pessoal'!F:G,2,false)</f>
        <v>NP</v>
      </c>
      <c r="E257" s="65" t="s">
        <v>148</v>
      </c>
      <c r="F257" s="83">
        <v>0.5416666666666666</v>
      </c>
      <c r="G257" s="83">
        <v>0.6666666666666666</v>
      </c>
      <c r="H257" s="83">
        <v>0.125</v>
      </c>
      <c r="I257" s="84">
        <v>44484.0</v>
      </c>
      <c r="J257" s="65" t="b">
        <v>1</v>
      </c>
      <c r="K257" s="65"/>
      <c r="L257" s="85" t="b">
        <f>IF(VLOOKUP(C257,Projetos!A:L,12,false)=TRUE,TRUE,FALSE)</f>
        <v>1</v>
      </c>
      <c r="M257" s="74">
        <v>33.15972725468975</v>
      </c>
      <c r="N257" s="74">
        <f t="shared" si="1"/>
        <v>99.47918176</v>
      </c>
      <c r="O257" s="74" t="b">
        <v>1</v>
      </c>
    </row>
    <row r="258" hidden="1">
      <c r="A258" s="82"/>
      <c r="B258" s="65" t="s">
        <v>146</v>
      </c>
      <c r="C258" s="65" t="s">
        <v>88</v>
      </c>
      <c r="D258" s="65"/>
      <c r="E258" s="65" t="s">
        <v>161</v>
      </c>
      <c r="F258" s="83">
        <v>0.6666666666666666</v>
      </c>
      <c r="G258" s="83">
        <v>0.75</v>
      </c>
      <c r="H258" s="83">
        <v>0.08333333333333333</v>
      </c>
      <c r="I258" s="84">
        <v>44484.0</v>
      </c>
      <c r="J258" s="65" t="b">
        <v>0</v>
      </c>
      <c r="K258" s="65" t="s">
        <v>150</v>
      </c>
      <c r="L258" s="85" t="b">
        <f>IF(VLOOKUP(C258,Projetos!A:L,12,false)=TRUE,TRUE,FALSE)</f>
        <v>1</v>
      </c>
      <c r="M258" s="74">
        <v>33.15972725468975</v>
      </c>
      <c r="N258" s="74">
        <f t="shared" si="1"/>
        <v>0</v>
      </c>
      <c r="O258" s="74" t="b">
        <v>1</v>
      </c>
    </row>
    <row r="259" hidden="1">
      <c r="A259" s="82"/>
      <c r="B259" s="65" t="s">
        <v>146</v>
      </c>
      <c r="C259" s="65" t="s">
        <v>117</v>
      </c>
      <c r="D259" s="65" t="str">
        <f>vlookup(C259,'Classificação p pessoal'!F:G,2,false)</f>
        <v>NP</v>
      </c>
      <c r="E259" s="65" t="s">
        <v>148</v>
      </c>
      <c r="F259" s="83">
        <v>0.3541666666666667</v>
      </c>
      <c r="G259" s="83">
        <v>0.5416666666666666</v>
      </c>
      <c r="H259" s="83">
        <v>0.1875</v>
      </c>
      <c r="I259" s="84">
        <v>44509.0</v>
      </c>
      <c r="J259" s="65" t="b">
        <v>1</v>
      </c>
      <c r="K259" s="65"/>
      <c r="L259" s="85" t="b">
        <f>IF(VLOOKUP(C259,Projetos!A:L,12,false)=TRUE,TRUE,FALSE)</f>
        <v>1</v>
      </c>
      <c r="M259" s="74">
        <v>33.15972725468975</v>
      </c>
      <c r="N259" s="74">
        <f t="shared" si="1"/>
        <v>149.2187726</v>
      </c>
      <c r="O259" s="74" t="b">
        <v>1</v>
      </c>
    </row>
    <row r="260" hidden="1">
      <c r="A260" s="82"/>
      <c r="B260" s="65" t="s">
        <v>146</v>
      </c>
      <c r="C260" s="65" t="s">
        <v>117</v>
      </c>
      <c r="D260" s="65" t="str">
        <f>vlookup(C260,'Classificação p pessoal'!F:G,2,false)</f>
        <v>NP</v>
      </c>
      <c r="E260" s="65" t="s">
        <v>148</v>
      </c>
      <c r="F260" s="83">
        <v>0.3541666666666667</v>
      </c>
      <c r="G260" s="83">
        <v>0.5416666666666666</v>
      </c>
      <c r="H260" s="83">
        <v>0.1875</v>
      </c>
      <c r="I260" s="84">
        <v>44510.0</v>
      </c>
      <c r="J260" s="65" t="b">
        <v>1</v>
      </c>
      <c r="K260" s="65"/>
      <c r="L260" s="85" t="b">
        <f>IF(VLOOKUP(C260,Projetos!A:L,12,false)=TRUE,TRUE,FALSE)</f>
        <v>1</v>
      </c>
      <c r="M260" s="74">
        <v>33.15972725468975</v>
      </c>
      <c r="N260" s="74">
        <f t="shared" si="1"/>
        <v>149.2187726</v>
      </c>
      <c r="O260" s="74" t="b">
        <v>1</v>
      </c>
    </row>
    <row r="261" hidden="1">
      <c r="A261" s="82"/>
      <c r="B261" s="65" t="s">
        <v>146</v>
      </c>
      <c r="C261" s="65" t="s">
        <v>117</v>
      </c>
      <c r="D261" s="65" t="str">
        <f>vlookup(C261,'Classificação p pessoal'!F:G,2,false)</f>
        <v>NP</v>
      </c>
      <c r="E261" s="65" t="s">
        <v>148</v>
      </c>
      <c r="F261" s="83">
        <v>0.3541666666666667</v>
      </c>
      <c r="G261" s="83">
        <v>0.5416666666666666</v>
      </c>
      <c r="H261" s="83">
        <v>0.1875</v>
      </c>
      <c r="I261" s="84">
        <v>44511.0</v>
      </c>
      <c r="J261" s="65" t="b">
        <v>1</v>
      </c>
      <c r="K261" s="65"/>
      <c r="L261" s="85" t="b">
        <f>IF(VLOOKUP(C261,Projetos!A:L,12,false)=TRUE,TRUE,FALSE)</f>
        <v>1</v>
      </c>
      <c r="M261" s="74">
        <v>33.15972725468975</v>
      </c>
      <c r="N261" s="74">
        <f t="shared" si="1"/>
        <v>149.2187726</v>
      </c>
      <c r="O261" s="74" t="b">
        <v>1</v>
      </c>
    </row>
    <row r="262" hidden="1">
      <c r="A262" s="82"/>
      <c r="B262" s="65" t="s">
        <v>146</v>
      </c>
      <c r="C262" s="65" t="s">
        <v>117</v>
      </c>
      <c r="D262" s="65" t="str">
        <f>vlookup(C262,'Classificação p pessoal'!F:G,2,false)</f>
        <v>NP</v>
      </c>
      <c r="E262" s="65" t="s">
        <v>148</v>
      </c>
      <c r="F262" s="83">
        <v>0.3541666666666667</v>
      </c>
      <c r="G262" s="83">
        <v>0.5416666666666666</v>
      </c>
      <c r="H262" s="83">
        <v>0.1875</v>
      </c>
      <c r="I262" s="84">
        <v>44512.0</v>
      </c>
      <c r="J262" s="65" t="b">
        <v>1</v>
      </c>
      <c r="K262" s="65"/>
      <c r="L262" s="85" t="b">
        <f>IF(VLOOKUP(C262,Projetos!A:L,12,false)=TRUE,TRUE,FALSE)</f>
        <v>1</v>
      </c>
      <c r="M262" s="74">
        <v>33.15972725468975</v>
      </c>
      <c r="N262" s="74">
        <f t="shared" si="1"/>
        <v>149.2187726</v>
      </c>
      <c r="O262" s="74" t="b">
        <v>1</v>
      </c>
    </row>
    <row r="263" hidden="1">
      <c r="A263" s="82"/>
      <c r="B263" s="65" t="s">
        <v>146</v>
      </c>
      <c r="C263" s="65" t="s">
        <v>117</v>
      </c>
      <c r="D263" s="65" t="str">
        <f>vlookup(C263,'Classificação p pessoal'!F:G,2,false)</f>
        <v>NP</v>
      </c>
      <c r="E263" s="65" t="s">
        <v>148</v>
      </c>
      <c r="F263" s="83">
        <v>0.375</v>
      </c>
      <c r="G263" s="83">
        <v>0.5416666666666666</v>
      </c>
      <c r="H263" s="83">
        <v>0.16666666666666666</v>
      </c>
      <c r="I263" s="84">
        <v>44517.0</v>
      </c>
      <c r="J263" s="65" t="b">
        <v>1</v>
      </c>
      <c r="K263" s="65"/>
      <c r="L263" s="85" t="b">
        <f>IF(VLOOKUP(C263,Projetos!A:L,12,false)=TRUE,TRUE,FALSE)</f>
        <v>1</v>
      </c>
      <c r="M263" s="74">
        <v>33.15972725468975</v>
      </c>
      <c r="N263" s="74">
        <f t="shared" si="1"/>
        <v>132.638909</v>
      </c>
      <c r="O263" s="74" t="b">
        <v>1</v>
      </c>
    </row>
    <row r="264" hidden="1">
      <c r="A264" s="82"/>
      <c r="B264" s="65" t="s">
        <v>146</v>
      </c>
      <c r="C264" s="65" t="s">
        <v>117</v>
      </c>
      <c r="D264" s="65" t="str">
        <f>vlookup(C264,'Classificação p pessoal'!F:G,2,false)</f>
        <v>NP</v>
      </c>
      <c r="E264" s="65" t="s">
        <v>148</v>
      </c>
      <c r="F264" s="83">
        <v>0.5833333333333334</v>
      </c>
      <c r="G264" s="83">
        <v>0.75</v>
      </c>
      <c r="H264" s="83">
        <v>0.16666666666666666</v>
      </c>
      <c r="I264" s="84">
        <v>44525.0</v>
      </c>
      <c r="J264" s="65" t="b">
        <v>1</v>
      </c>
      <c r="K264" s="65"/>
      <c r="L264" s="85" t="b">
        <f>IF(VLOOKUP(C264,Projetos!A:L,12,false)=TRUE,TRUE,FALSE)</f>
        <v>1</v>
      </c>
      <c r="M264" s="74">
        <v>33.15972725468975</v>
      </c>
      <c r="N264" s="74">
        <f t="shared" si="1"/>
        <v>132.638909</v>
      </c>
      <c r="O264" s="74" t="b">
        <v>1</v>
      </c>
    </row>
    <row r="265" hidden="1">
      <c r="A265" s="82"/>
      <c r="B265" s="65" t="s">
        <v>146</v>
      </c>
      <c r="C265" s="65" t="s">
        <v>89</v>
      </c>
      <c r="D265" s="65" t="str">
        <f>vlookup(C265,'Classificação p pessoal'!F:G,2,false)</f>
        <v>NP</v>
      </c>
      <c r="E265" s="65" t="s">
        <v>148</v>
      </c>
      <c r="F265" s="83">
        <v>0.5833333333333334</v>
      </c>
      <c r="G265" s="83">
        <v>0.75</v>
      </c>
      <c r="H265" s="83">
        <v>0.16666666666666666</v>
      </c>
      <c r="I265" s="84">
        <v>44526.0</v>
      </c>
      <c r="J265" s="65" t="b">
        <v>1</v>
      </c>
      <c r="K265" s="65"/>
      <c r="L265" s="85" t="b">
        <f>IF(VLOOKUP(C265,Projetos!A:L,12,false)=TRUE,TRUE,FALSE)</f>
        <v>1</v>
      </c>
      <c r="M265" s="74">
        <v>33.15972725468975</v>
      </c>
      <c r="N265" s="74">
        <f t="shared" si="1"/>
        <v>132.638909</v>
      </c>
      <c r="O265" s="74" t="b">
        <v>1</v>
      </c>
    </row>
    <row r="266" hidden="1">
      <c r="A266" s="82"/>
      <c r="B266" s="65" t="s">
        <v>146</v>
      </c>
      <c r="C266" s="65" t="s">
        <v>117</v>
      </c>
      <c r="D266" s="65" t="str">
        <f>vlookup(C266,'Classificação p pessoal'!F:G,2,false)</f>
        <v>NP</v>
      </c>
      <c r="E266" s="65" t="s">
        <v>148</v>
      </c>
      <c r="F266" s="83">
        <v>0.5833333333333334</v>
      </c>
      <c r="G266" s="83">
        <v>0.6666666666666666</v>
      </c>
      <c r="H266" s="83">
        <v>0.08333333333333333</v>
      </c>
      <c r="I266" s="84">
        <v>44529.0</v>
      </c>
      <c r="J266" s="65" t="b">
        <v>1</v>
      </c>
      <c r="K266" s="65"/>
      <c r="L266" s="85" t="b">
        <f>IF(VLOOKUP(C266,Projetos!A:L,12,false)=TRUE,TRUE,FALSE)</f>
        <v>1</v>
      </c>
      <c r="M266" s="74">
        <v>33.15972725468975</v>
      </c>
      <c r="N266" s="74">
        <f t="shared" si="1"/>
        <v>66.31945451</v>
      </c>
      <c r="O266" s="74" t="b">
        <v>1</v>
      </c>
    </row>
    <row r="267" hidden="1">
      <c r="A267" s="82"/>
      <c r="B267" s="65" t="s">
        <v>146</v>
      </c>
      <c r="C267" s="65" t="s">
        <v>89</v>
      </c>
      <c r="D267" s="65" t="str">
        <f>vlookup(C267,'Classificação p pessoal'!F:G,2,false)</f>
        <v>NP</v>
      </c>
      <c r="E267" s="65" t="s">
        <v>148</v>
      </c>
      <c r="F267" s="83">
        <v>0.625</v>
      </c>
      <c r="G267" s="83">
        <v>0.75</v>
      </c>
      <c r="H267" s="83">
        <v>0.125</v>
      </c>
      <c r="I267" s="84">
        <v>44530.0</v>
      </c>
      <c r="J267" s="65" t="b">
        <v>1</v>
      </c>
      <c r="K267" s="65"/>
      <c r="L267" s="85" t="b">
        <f>IF(VLOOKUP(C267,Projetos!A:L,12,false)=TRUE,TRUE,FALSE)</f>
        <v>1</v>
      </c>
      <c r="M267" s="74">
        <v>33.15972725468975</v>
      </c>
      <c r="N267" s="74">
        <f t="shared" si="1"/>
        <v>99.47918176</v>
      </c>
      <c r="O267" s="74" t="b">
        <v>1</v>
      </c>
    </row>
    <row r="268" hidden="1">
      <c r="A268" s="82"/>
      <c r="B268" s="65" t="s">
        <v>146</v>
      </c>
      <c r="C268" s="65" t="s">
        <v>89</v>
      </c>
      <c r="D268" s="65" t="str">
        <f>vlookup(C268,'Classificação p pessoal'!F:G,2,false)</f>
        <v>NP</v>
      </c>
      <c r="E268" s="65" t="s">
        <v>148</v>
      </c>
      <c r="F268" s="83">
        <v>0.375</v>
      </c>
      <c r="G268" s="83">
        <v>0.5</v>
      </c>
      <c r="H268" s="83">
        <v>0.125</v>
      </c>
      <c r="I268" s="84">
        <v>44537.0</v>
      </c>
      <c r="J268" s="65" t="b">
        <v>1</v>
      </c>
      <c r="K268" s="65"/>
      <c r="L268" s="85" t="b">
        <f>IF(VLOOKUP(C268,Projetos!A:L,12,false)=TRUE,TRUE,FALSE)</f>
        <v>1</v>
      </c>
      <c r="M268" s="74">
        <v>33.15972725468975</v>
      </c>
      <c r="N268" s="74">
        <f t="shared" si="1"/>
        <v>99.47918176</v>
      </c>
      <c r="O268" s="74" t="b">
        <v>1</v>
      </c>
    </row>
    <row r="269" hidden="1">
      <c r="A269" s="82"/>
      <c r="B269" s="65" t="s">
        <v>146</v>
      </c>
      <c r="C269" s="65" t="s">
        <v>89</v>
      </c>
      <c r="D269" s="65" t="str">
        <f>vlookup(C269,'Classificação p pessoal'!F:G,2,false)</f>
        <v>NP</v>
      </c>
      <c r="E269" s="65" t="s">
        <v>148</v>
      </c>
      <c r="F269" s="83">
        <v>0.6666666666666666</v>
      </c>
      <c r="G269" s="83">
        <v>0.75</v>
      </c>
      <c r="H269" s="83">
        <v>0.08333333333333333</v>
      </c>
      <c r="I269" s="84">
        <v>44546.0</v>
      </c>
      <c r="J269" s="65" t="b">
        <v>1</v>
      </c>
      <c r="K269" s="65"/>
      <c r="L269" s="85" t="b">
        <f>IF(VLOOKUP(C269,Projetos!A:L,12,false)=TRUE,TRUE,FALSE)</f>
        <v>1</v>
      </c>
      <c r="M269" s="74">
        <v>33.15972725468975</v>
      </c>
      <c r="N269" s="74">
        <f t="shared" si="1"/>
        <v>66.31945451</v>
      </c>
      <c r="O269" s="74" t="b">
        <v>1</v>
      </c>
    </row>
    <row r="270" hidden="1">
      <c r="A270" s="82"/>
      <c r="B270" s="65" t="s">
        <v>146</v>
      </c>
      <c r="C270" s="65" t="s">
        <v>89</v>
      </c>
      <c r="D270" s="65" t="str">
        <f>vlookup(C270,'Classificação p pessoal'!F:G,2,false)</f>
        <v>NP</v>
      </c>
      <c r="E270" s="65" t="s">
        <v>148</v>
      </c>
      <c r="F270" s="83">
        <v>0.5833333333333334</v>
      </c>
      <c r="G270" s="83">
        <v>0.6666666666666666</v>
      </c>
      <c r="H270" s="83">
        <v>0.08333333333333333</v>
      </c>
      <c r="I270" s="84">
        <v>44551.0</v>
      </c>
      <c r="J270" s="65" t="b">
        <v>1</v>
      </c>
      <c r="K270" s="65"/>
      <c r="L270" s="85" t="b">
        <f>IF(VLOOKUP(C270,Projetos!A:L,12,false)=TRUE,TRUE,FALSE)</f>
        <v>1</v>
      </c>
      <c r="M270" s="74">
        <v>33.15972725468975</v>
      </c>
      <c r="N270" s="74">
        <f t="shared" si="1"/>
        <v>66.31945451</v>
      </c>
      <c r="O270" s="74" t="b">
        <v>1</v>
      </c>
    </row>
    <row r="271" hidden="1">
      <c r="A271" s="82"/>
      <c r="B271" s="65" t="s">
        <v>146</v>
      </c>
      <c r="C271" s="65" t="s">
        <v>117</v>
      </c>
      <c r="D271" s="65" t="str">
        <f>vlookup(C271,'Classificação p pessoal'!F:G,2,false)</f>
        <v>NP</v>
      </c>
      <c r="E271" s="65" t="s">
        <v>148</v>
      </c>
      <c r="F271" s="83">
        <v>0.3541666666666667</v>
      </c>
      <c r="G271" s="83">
        <v>0.5416666666666666</v>
      </c>
      <c r="H271" s="83">
        <v>0.1875</v>
      </c>
      <c r="I271" s="84">
        <v>44557.0</v>
      </c>
      <c r="J271" s="65" t="b">
        <v>1</v>
      </c>
      <c r="K271" s="65"/>
      <c r="L271" s="85" t="b">
        <f>IF(VLOOKUP(C271,Projetos!A:L,12,false)=TRUE,TRUE,FALSE)</f>
        <v>1</v>
      </c>
      <c r="M271" s="74">
        <v>33.15972725468975</v>
      </c>
      <c r="N271" s="74">
        <f t="shared" si="1"/>
        <v>149.2187726</v>
      </c>
      <c r="O271" s="74" t="b">
        <v>1</v>
      </c>
    </row>
    <row r="272" hidden="1">
      <c r="A272" s="82"/>
      <c r="B272" s="65" t="s">
        <v>146</v>
      </c>
      <c r="C272" s="65" t="s">
        <v>89</v>
      </c>
      <c r="D272" s="65" t="str">
        <f>vlookup(C272,'Classificação p pessoal'!F:G,2,false)</f>
        <v>NP</v>
      </c>
      <c r="E272" s="65" t="s">
        <v>148</v>
      </c>
      <c r="F272" s="83">
        <v>0.7083333333333334</v>
      </c>
      <c r="G272" s="83">
        <v>0.75</v>
      </c>
      <c r="H272" s="83">
        <v>0.041666666666666664</v>
      </c>
      <c r="I272" s="84">
        <v>44559.0</v>
      </c>
      <c r="J272" s="65" t="b">
        <v>1</v>
      </c>
      <c r="K272" s="65"/>
      <c r="L272" s="85" t="b">
        <f>IF(VLOOKUP(C272,Projetos!A:L,12,false)=TRUE,TRUE,FALSE)</f>
        <v>1</v>
      </c>
      <c r="M272" s="74">
        <v>33.15972725468975</v>
      </c>
      <c r="N272" s="74">
        <f t="shared" si="1"/>
        <v>33.15972725</v>
      </c>
      <c r="O272" s="74" t="b">
        <v>1</v>
      </c>
    </row>
    <row r="273" hidden="1">
      <c r="A273" s="82"/>
      <c r="B273" s="65" t="s">
        <v>146</v>
      </c>
      <c r="C273" s="65" t="s">
        <v>89</v>
      </c>
      <c r="D273" s="65" t="str">
        <f>vlookup(C273,'Classificação p pessoal'!F:G,2,false)</f>
        <v>NP</v>
      </c>
      <c r="E273" s="65" t="s">
        <v>148</v>
      </c>
      <c r="F273" s="83">
        <v>0.625</v>
      </c>
      <c r="G273" s="83">
        <v>0.75</v>
      </c>
      <c r="H273" s="83">
        <v>0.125</v>
      </c>
      <c r="I273" s="84">
        <v>44560.0</v>
      </c>
      <c r="J273" s="65" t="b">
        <v>1</v>
      </c>
      <c r="K273" s="65"/>
      <c r="L273" s="85" t="b">
        <f>IF(VLOOKUP(C273,Projetos!A:L,12,false)=TRUE,TRUE,FALSE)</f>
        <v>1</v>
      </c>
      <c r="M273" s="74">
        <v>33.15972725468975</v>
      </c>
      <c r="N273" s="74">
        <f t="shared" si="1"/>
        <v>99.47918176</v>
      </c>
      <c r="O273" s="74" t="b">
        <v>1</v>
      </c>
    </row>
    <row r="274" hidden="1">
      <c r="A274" s="82"/>
      <c r="B274" s="65" t="s">
        <v>146</v>
      </c>
      <c r="C274" s="65" t="s">
        <v>88</v>
      </c>
      <c r="D274" s="65" t="str">
        <f>vlookup(C274,'Classificação p pessoal'!F:G,2,false)</f>
        <v>MProduto</v>
      </c>
      <c r="E274" s="65" t="s">
        <v>162</v>
      </c>
      <c r="F274" s="83">
        <v>0.375</v>
      </c>
      <c r="G274" s="83">
        <v>0.5</v>
      </c>
      <c r="H274" s="83">
        <v>0.125</v>
      </c>
      <c r="I274" s="84">
        <v>44308.0</v>
      </c>
      <c r="J274" s="65" t="b">
        <v>1</v>
      </c>
      <c r="K274" s="65"/>
      <c r="L274" s="85" t="b">
        <f>IF(VLOOKUP(C274,Projetos!A:L,12,false)=TRUE,TRUE,FALSE)</f>
        <v>1</v>
      </c>
      <c r="M274" s="74">
        <v>33.15972725468975</v>
      </c>
      <c r="N274" s="74">
        <f t="shared" si="1"/>
        <v>99.47918176</v>
      </c>
      <c r="O274" s="74" t="b">
        <v>1</v>
      </c>
    </row>
    <row r="275" hidden="1">
      <c r="A275" s="82"/>
      <c r="B275" s="65" t="s">
        <v>146</v>
      </c>
      <c r="C275" s="65" t="s">
        <v>88</v>
      </c>
      <c r="D275" s="65" t="str">
        <f>vlookup(C275,'Classificação p pessoal'!F:G,2,false)</f>
        <v>MProduto</v>
      </c>
      <c r="E275" s="65" t="s">
        <v>162</v>
      </c>
      <c r="F275" s="83">
        <v>0.5833333333333334</v>
      </c>
      <c r="G275" s="83">
        <v>0.7083333333333334</v>
      </c>
      <c r="H275" s="83">
        <v>0.125</v>
      </c>
      <c r="I275" s="84">
        <v>44309.0</v>
      </c>
      <c r="J275" s="65" t="b">
        <v>1</v>
      </c>
      <c r="K275" s="65"/>
      <c r="L275" s="85" t="b">
        <f>IF(VLOOKUP(C275,Projetos!A:L,12,false)=TRUE,TRUE,FALSE)</f>
        <v>1</v>
      </c>
      <c r="M275" s="74">
        <v>33.15972725468975</v>
      </c>
      <c r="N275" s="74">
        <f t="shared" si="1"/>
        <v>99.47918176</v>
      </c>
      <c r="O275" s="74" t="b">
        <v>1</v>
      </c>
    </row>
    <row r="276" hidden="1">
      <c r="A276" s="82"/>
      <c r="B276" s="65" t="s">
        <v>146</v>
      </c>
      <c r="C276" s="65" t="s">
        <v>88</v>
      </c>
      <c r="D276" s="65" t="str">
        <f>vlookup(C276,'Classificação p pessoal'!F:G,2,false)</f>
        <v>MProduto</v>
      </c>
      <c r="E276" s="65" t="s">
        <v>162</v>
      </c>
      <c r="F276" s="83">
        <v>0.6666666666666666</v>
      </c>
      <c r="G276" s="83">
        <v>0.8958333333333334</v>
      </c>
      <c r="H276" s="83">
        <v>0.22916666666666666</v>
      </c>
      <c r="I276" s="84">
        <v>44313.0</v>
      </c>
      <c r="J276" s="65" t="b">
        <v>1</v>
      </c>
      <c r="K276" s="65"/>
      <c r="L276" s="85" t="b">
        <f>IF(VLOOKUP(C276,Projetos!A:L,12,false)=TRUE,TRUE,FALSE)</f>
        <v>1</v>
      </c>
      <c r="M276" s="74">
        <v>33.15972725468975</v>
      </c>
      <c r="N276" s="74">
        <f t="shared" si="1"/>
        <v>182.3784999</v>
      </c>
      <c r="O276" s="74" t="b">
        <v>1</v>
      </c>
    </row>
    <row r="277" hidden="1">
      <c r="A277" s="82"/>
      <c r="B277" s="65" t="s">
        <v>146</v>
      </c>
      <c r="C277" s="65" t="s">
        <v>88</v>
      </c>
      <c r="D277" s="65" t="str">
        <f>vlookup(C277,'Classificação p pessoal'!F:G,2,false)</f>
        <v>MProduto</v>
      </c>
      <c r="E277" s="65" t="s">
        <v>162</v>
      </c>
      <c r="F277" s="83">
        <v>0.625</v>
      </c>
      <c r="G277" s="83">
        <v>0.75</v>
      </c>
      <c r="H277" s="83">
        <v>0.125</v>
      </c>
      <c r="I277" s="84">
        <v>44323.0</v>
      </c>
      <c r="J277" s="65" t="b">
        <v>1</v>
      </c>
      <c r="K277" s="65"/>
      <c r="L277" s="85" t="b">
        <f>IF(VLOOKUP(C277,Projetos!A:L,12,false)=TRUE,TRUE,FALSE)</f>
        <v>1</v>
      </c>
      <c r="M277" s="74">
        <v>33.15972725468975</v>
      </c>
      <c r="N277" s="74">
        <f t="shared" si="1"/>
        <v>99.47918176</v>
      </c>
      <c r="O277" s="74" t="b">
        <v>1</v>
      </c>
    </row>
    <row r="278" hidden="1">
      <c r="A278" s="82"/>
      <c r="B278" s="65" t="s">
        <v>146</v>
      </c>
      <c r="C278" s="65" t="s">
        <v>88</v>
      </c>
      <c r="D278" s="65" t="str">
        <f>vlookup(C278,'Classificação p pessoal'!F:G,2,false)</f>
        <v>MProduto</v>
      </c>
      <c r="E278" s="65" t="s">
        <v>162</v>
      </c>
      <c r="F278" s="83">
        <v>0.5833333333333334</v>
      </c>
      <c r="G278" s="83">
        <v>0.75</v>
      </c>
      <c r="H278" s="83">
        <v>0.16666666666666666</v>
      </c>
      <c r="I278" s="84">
        <v>44326.0</v>
      </c>
      <c r="J278" s="65" t="b">
        <v>1</v>
      </c>
      <c r="K278" s="65"/>
      <c r="L278" s="85" t="b">
        <f>IF(VLOOKUP(C278,Projetos!A:L,12,false)=TRUE,TRUE,FALSE)</f>
        <v>1</v>
      </c>
      <c r="M278" s="74">
        <v>33.15972725468975</v>
      </c>
      <c r="N278" s="74">
        <f t="shared" si="1"/>
        <v>132.638909</v>
      </c>
      <c r="O278" s="74" t="b">
        <v>1</v>
      </c>
    </row>
    <row r="279" hidden="1">
      <c r="A279" s="82"/>
      <c r="B279" s="65" t="s">
        <v>146</v>
      </c>
      <c r="C279" s="65" t="s">
        <v>88</v>
      </c>
      <c r="D279" s="65" t="str">
        <f>vlookup(C279,'Classificação p pessoal'!F:G,2,false)</f>
        <v>MProduto</v>
      </c>
      <c r="E279" s="65" t="s">
        <v>162</v>
      </c>
      <c r="F279" s="83">
        <v>0.6666666666666666</v>
      </c>
      <c r="G279" s="83">
        <v>0.75</v>
      </c>
      <c r="H279" s="83">
        <v>0.08333333333333333</v>
      </c>
      <c r="I279" s="84">
        <v>44333.0</v>
      </c>
      <c r="J279" s="65" t="b">
        <v>1</v>
      </c>
      <c r="K279" s="65"/>
      <c r="L279" s="85" t="b">
        <f>IF(VLOOKUP(C279,Projetos!A:L,12,false)=TRUE,TRUE,FALSE)</f>
        <v>1</v>
      </c>
      <c r="M279" s="74">
        <v>33.15972725468975</v>
      </c>
      <c r="N279" s="74">
        <f t="shared" si="1"/>
        <v>66.31945451</v>
      </c>
      <c r="O279" s="74" t="b">
        <v>1</v>
      </c>
    </row>
    <row r="280" hidden="1">
      <c r="A280" s="82"/>
      <c r="B280" s="65" t="s">
        <v>146</v>
      </c>
      <c r="C280" s="65" t="s">
        <v>88</v>
      </c>
      <c r="D280" s="65" t="str">
        <f>vlookup(C280,'Classificação p pessoal'!F:G,2,false)</f>
        <v>MProduto</v>
      </c>
      <c r="E280" s="65" t="s">
        <v>162</v>
      </c>
      <c r="F280" s="83">
        <v>0.375</v>
      </c>
      <c r="G280" s="83">
        <v>0.4166666666666667</v>
      </c>
      <c r="H280" s="83">
        <v>0.041666666666666664</v>
      </c>
      <c r="I280" s="84">
        <v>44334.0</v>
      </c>
      <c r="J280" s="65" t="b">
        <v>1</v>
      </c>
      <c r="K280" s="65"/>
      <c r="L280" s="85" t="b">
        <f>IF(VLOOKUP(C280,Projetos!A:L,12,false)=TRUE,TRUE,FALSE)</f>
        <v>1</v>
      </c>
      <c r="M280" s="74">
        <v>33.15972725468975</v>
      </c>
      <c r="N280" s="74">
        <f t="shared" si="1"/>
        <v>33.15972725</v>
      </c>
      <c r="O280" s="74" t="b">
        <v>1</v>
      </c>
    </row>
    <row r="281" hidden="1">
      <c r="A281" s="82"/>
      <c r="B281" s="65" t="s">
        <v>146</v>
      </c>
      <c r="C281" s="65" t="s">
        <v>88</v>
      </c>
      <c r="D281" s="65" t="str">
        <f>vlookup(C281,'Classificação p pessoal'!F:G,2,false)</f>
        <v>MProduto</v>
      </c>
      <c r="E281" s="65" t="s">
        <v>162</v>
      </c>
      <c r="F281" s="83">
        <v>0.625</v>
      </c>
      <c r="G281" s="83">
        <v>0.75</v>
      </c>
      <c r="H281" s="83">
        <v>0.125</v>
      </c>
      <c r="I281" s="84">
        <v>44336.0</v>
      </c>
      <c r="J281" s="65" t="b">
        <v>1</v>
      </c>
      <c r="K281" s="65"/>
      <c r="L281" s="85" t="b">
        <f>IF(VLOOKUP(C281,Projetos!A:L,12,false)=TRUE,TRUE,FALSE)</f>
        <v>1</v>
      </c>
      <c r="M281" s="74">
        <v>33.15972725468975</v>
      </c>
      <c r="N281" s="74">
        <f t="shared" si="1"/>
        <v>99.47918176</v>
      </c>
      <c r="O281" s="74" t="b">
        <v>1</v>
      </c>
    </row>
    <row r="282" hidden="1">
      <c r="A282" s="82"/>
      <c r="B282" s="65" t="s">
        <v>146</v>
      </c>
      <c r="C282" s="65" t="s">
        <v>88</v>
      </c>
      <c r="D282" s="65" t="str">
        <f>vlookup(C282,'Classificação p pessoal'!F:G,2,false)</f>
        <v>MProduto</v>
      </c>
      <c r="E282" s="65" t="s">
        <v>162</v>
      </c>
      <c r="F282" s="83">
        <v>0.3541666666666667</v>
      </c>
      <c r="G282" s="83">
        <v>0.4791666666666667</v>
      </c>
      <c r="H282" s="83">
        <v>0.125</v>
      </c>
      <c r="I282" s="84">
        <v>44337.0</v>
      </c>
      <c r="J282" s="65" t="b">
        <v>1</v>
      </c>
      <c r="K282" s="65"/>
      <c r="L282" s="85" t="b">
        <f>IF(VLOOKUP(C282,Projetos!A:L,12,false)=TRUE,TRUE,FALSE)</f>
        <v>1</v>
      </c>
      <c r="M282" s="74">
        <v>33.15972725468975</v>
      </c>
      <c r="N282" s="74">
        <f t="shared" si="1"/>
        <v>99.47918176</v>
      </c>
      <c r="O282" s="74" t="b">
        <v>1</v>
      </c>
    </row>
    <row r="283" hidden="1">
      <c r="A283" s="82"/>
      <c r="B283" s="65" t="s">
        <v>146</v>
      </c>
      <c r="C283" s="65" t="s">
        <v>88</v>
      </c>
      <c r="D283" s="65" t="str">
        <f>vlookup(C283,'Classificação p pessoal'!F:G,2,false)</f>
        <v>MProduto</v>
      </c>
      <c r="E283" s="65" t="s">
        <v>162</v>
      </c>
      <c r="F283" s="83">
        <v>0.3541666666666667</v>
      </c>
      <c r="G283" s="83">
        <v>0.5416666666666666</v>
      </c>
      <c r="H283" s="83">
        <v>0.1875</v>
      </c>
      <c r="I283" s="84">
        <v>44341.0</v>
      </c>
      <c r="J283" s="65" t="b">
        <v>1</v>
      </c>
      <c r="K283" s="65"/>
      <c r="L283" s="85" t="b">
        <f>IF(VLOOKUP(C283,Projetos!A:L,12,false)=TRUE,TRUE,FALSE)</f>
        <v>1</v>
      </c>
      <c r="M283" s="74">
        <v>33.15972725468975</v>
      </c>
      <c r="N283" s="74">
        <f t="shared" si="1"/>
        <v>149.2187726</v>
      </c>
      <c r="O283" s="74" t="b">
        <v>1</v>
      </c>
    </row>
    <row r="284" hidden="1">
      <c r="A284" s="82"/>
      <c r="B284" s="65" t="s">
        <v>146</v>
      </c>
      <c r="C284" s="65" t="s">
        <v>88</v>
      </c>
      <c r="D284" s="65" t="str">
        <f>vlookup(C284,'Classificação p pessoal'!F:G,2,false)</f>
        <v>MProduto</v>
      </c>
      <c r="E284" s="65" t="s">
        <v>162</v>
      </c>
      <c r="F284" s="83">
        <v>0.3541666666666667</v>
      </c>
      <c r="G284" s="83">
        <v>0.5416666666666666</v>
      </c>
      <c r="H284" s="83">
        <v>0.1875</v>
      </c>
      <c r="I284" s="84">
        <v>44342.0</v>
      </c>
      <c r="J284" s="65" t="b">
        <v>1</v>
      </c>
      <c r="K284" s="65"/>
      <c r="L284" s="85" t="b">
        <f>IF(VLOOKUP(C284,Projetos!A:L,12,false)=TRUE,TRUE,FALSE)</f>
        <v>1</v>
      </c>
      <c r="M284" s="74">
        <v>33.15972725468975</v>
      </c>
      <c r="N284" s="74">
        <f t="shared" si="1"/>
        <v>149.2187726</v>
      </c>
      <c r="O284" s="74" t="b">
        <v>1</v>
      </c>
    </row>
    <row r="285" hidden="1">
      <c r="A285" s="82"/>
      <c r="B285" s="65" t="s">
        <v>146</v>
      </c>
      <c r="C285" s="65" t="s">
        <v>88</v>
      </c>
      <c r="D285" s="65" t="str">
        <f>vlookup(C285,'Classificação p pessoal'!F:G,2,false)</f>
        <v>MProduto</v>
      </c>
      <c r="E285" s="65" t="s">
        <v>162</v>
      </c>
      <c r="F285" s="83">
        <v>0.3541666666666667</v>
      </c>
      <c r="G285" s="83">
        <v>0.5208333333333334</v>
      </c>
      <c r="H285" s="83">
        <v>0.16666666666666666</v>
      </c>
      <c r="I285" s="84">
        <v>44343.0</v>
      </c>
      <c r="J285" s="65" t="b">
        <v>1</v>
      </c>
      <c r="K285" s="65"/>
      <c r="L285" s="85" t="b">
        <f>IF(VLOOKUP(C285,Projetos!A:L,12,false)=TRUE,TRUE,FALSE)</f>
        <v>1</v>
      </c>
      <c r="M285" s="74">
        <v>33.15972725468975</v>
      </c>
      <c r="N285" s="74">
        <f t="shared" si="1"/>
        <v>132.638909</v>
      </c>
      <c r="O285" s="74" t="b">
        <v>1</v>
      </c>
    </row>
    <row r="286" hidden="1">
      <c r="A286" s="82"/>
      <c r="B286" s="65" t="s">
        <v>146</v>
      </c>
      <c r="C286" s="65" t="s">
        <v>88</v>
      </c>
      <c r="D286" s="65" t="str">
        <f>vlookup(C286,'Classificação p pessoal'!F:G,2,false)</f>
        <v>MProduto</v>
      </c>
      <c r="E286" s="65" t="s">
        <v>162</v>
      </c>
      <c r="F286" s="83">
        <v>0.3958333333333333</v>
      </c>
      <c r="G286" s="83">
        <v>0.5416666666666666</v>
      </c>
      <c r="H286" s="83">
        <v>0.14583333333333334</v>
      </c>
      <c r="I286" s="84">
        <v>44344.0</v>
      </c>
      <c r="J286" s="65" t="b">
        <v>1</v>
      </c>
      <c r="K286" s="65"/>
      <c r="L286" s="85" t="b">
        <f>IF(VLOOKUP(C286,Projetos!A:L,12,false)=TRUE,TRUE,FALSE)</f>
        <v>1</v>
      </c>
      <c r="M286" s="74">
        <v>33.15972725468975</v>
      </c>
      <c r="N286" s="74">
        <f t="shared" si="1"/>
        <v>116.0590454</v>
      </c>
      <c r="O286" s="74" t="b">
        <v>1</v>
      </c>
    </row>
    <row r="287" hidden="1">
      <c r="A287" s="82"/>
      <c r="B287" s="65" t="s">
        <v>146</v>
      </c>
      <c r="C287" s="65" t="s">
        <v>87</v>
      </c>
      <c r="D287" s="65" t="str">
        <f>vlookup(C287,'Classificação p pessoal'!F:G,2,false)</f>
        <v>MProduto</v>
      </c>
      <c r="E287" s="65" t="s">
        <v>163</v>
      </c>
      <c r="F287" s="83">
        <v>0.3333333333333333</v>
      </c>
      <c r="G287" s="83">
        <v>0.75</v>
      </c>
      <c r="H287" s="83">
        <v>0.4166666666666667</v>
      </c>
      <c r="I287" s="84">
        <v>44355.0</v>
      </c>
      <c r="J287" s="65" t="b">
        <v>1</v>
      </c>
      <c r="K287" s="65"/>
      <c r="L287" s="85" t="b">
        <f>IF(VLOOKUP(C287,Projetos!A:L,12,false)=TRUE,TRUE,FALSE)</f>
        <v>1</v>
      </c>
      <c r="M287" s="74">
        <v>33.15972725468975</v>
      </c>
      <c r="N287" s="74">
        <f t="shared" si="1"/>
        <v>331.5972725</v>
      </c>
      <c r="O287" s="74" t="b">
        <v>1</v>
      </c>
    </row>
    <row r="288" hidden="1">
      <c r="A288" s="82"/>
      <c r="B288" s="65" t="s">
        <v>146</v>
      </c>
      <c r="C288" s="65" t="s">
        <v>87</v>
      </c>
      <c r="D288" s="65" t="str">
        <f>vlookup(C288,'Classificação p pessoal'!F:G,2,false)</f>
        <v>MProduto</v>
      </c>
      <c r="E288" s="65" t="s">
        <v>163</v>
      </c>
      <c r="F288" s="83">
        <v>0.3125</v>
      </c>
      <c r="G288" s="83">
        <v>0.7916666666666666</v>
      </c>
      <c r="H288" s="83">
        <v>0.4791666666666667</v>
      </c>
      <c r="I288" s="84">
        <v>44356.0</v>
      </c>
      <c r="J288" s="65" t="b">
        <v>1</v>
      </c>
      <c r="K288" s="65"/>
      <c r="L288" s="85" t="b">
        <f>IF(VLOOKUP(C288,Projetos!A:L,12,false)=TRUE,TRUE,FALSE)</f>
        <v>1</v>
      </c>
      <c r="M288" s="74">
        <v>33.15972725468975</v>
      </c>
      <c r="N288" s="74">
        <f t="shared" si="1"/>
        <v>381.3368634</v>
      </c>
      <c r="O288" s="74" t="b">
        <v>1</v>
      </c>
    </row>
    <row r="289" hidden="1">
      <c r="A289" s="82"/>
      <c r="B289" s="65" t="s">
        <v>146</v>
      </c>
      <c r="C289" s="65" t="s">
        <v>87</v>
      </c>
      <c r="D289" s="65" t="str">
        <f>vlookup(C289,'Classificação p pessoal'!F:G,2,false)</f>
        <v>MProduto</v>
      </c>
      <c r="E289" s="65" t="s">
        <v>163</v>
      </c>
      <c r="F289" s="83">
        <v>0.3333333333333333</v>
      </c>
      <c r="G289" s="83">
        <v>0.75</v>
      </c>
      <c r="H289" s="83">
        <v>0.4166666666666667</v>
      </c>
      <c r="I289" s="84">
        <v>44357.0</v>
      </c>
      <c r="J289" s="65" t="b">
        <v>1</v>
      </c>
      <c r="K289" s="65"/>
      <c r="L289" s="85" t="b">
        <f>IF(VLOOKUP(C289,Projetos!A:L,12,false)=TRUE,TRUE,FALSE)</f>
        <v>1</v>
      </c>
      <c r="M289" s="74">
        <v>33.15972725468975</v>
      </c>
      <c r="N289" s="74">
        <f t="shared" si="1"/>
        <v>331.5972725</v>
      </c>
      <c r="O289" s="74" t="b">
        <v>1</v>
      </c>
    </row>
    <row r="290" hidden="1">
      <c r="A290" s="82"/>
      <c r="B290" s="65" t="s">
        <v>146</v>
      </c>
      <c r="C290" s="65" t="s">
        <v>87</v>
      </c>
      <c r="D290" s="65" t="str">
        <f>vlookup(C290,'Classificação p pessoal'!F:G,2,false)</f>
        <v>MProduto</v>
      </c>
      <c r="E290" s="65" t="s">
        <v>163</v>
      </c>
      <c r="F290" s="83">
        <v>0.3333333333333333</v>
      </c>
      <c r="G290" s="83">
        <v>0.75</v>
      </c>
      <c r="H290" s="83">
        <v>0.4166666666666667</v>
      </c>
      <c r="I290" s="84">
        <v>44358.0</v>
      </c>
      <c r="J290" s="65" t="b">
        <v>1</v>
      </c>
      <c r="K290" s="65"/>
      <c r="L290" s="85" t="b">
        <f>IF(VLOOKUP(C290,Projetos!A:L,12,false)=TRUE,TRUE,FALSE)</f>
        <v>1</v>
      </c>
      <c r="M290" s="74">
        <v>33.15972725468975</v>
      </c>
      <c r="N290" s="74">
        <f t="shared" si="1"/>
        <v>331.5972725</v>
      </c>
      <c r="O290" s="74" t="b">
        <v>1</v>
      </c>
    </row>
    <row r="291" hidden="1">
      <c r="A291" s="82"/>
      <c r="B291" s="65" t="s">
        <v>146</v>
      </c>
      <c r="C291" s="65" t="s">
        <v>87</v>
      </c>
      <c r="D291" s="65" t="str">
        <f>vlookup(C291,'Classificação p pessoal'!F:G,2,false)</f>
        <v>MProduto</v>
      </c>
      <c r="E291" s="65" t="s">
        <v>163</v>
      </c>
      <c r="F291" s="83">
        <v>0.4375</v>
      </c>
      <c r="G291" s="83">
        <v>0.5416666666666666</v>
      </c>
      <c r="H291" s="83">
        <v>0.10416666666666667</v>
      </c>
      <c r="I291" s="84">
        <v>44448.0</v>
      </c>
      <c r="J291" s="65" t="b">
        <v>1</v>
      </c>
      <c r="K291" s="65"/>
      <c r="L291" s="85" t="b">
        <f>IF(VLOOKUP(C291,Projetos!A:L,12,false)=TRUE,TRUE,FALSE)</f>
        <v>1</v>
      </c>
      <c r="M291" s="74">
        <v>33.15972725468975</v>
      </c>
      <c r="N291" s="74">
        <f t="shared" si="1"/>
        <v>82.89931814</v>
      </c>
      <c r="O291" s="74" t="b">
        <v>1</v>
      </c>
    </row>
    <row r="292" hidden="1">
      <c r="A292" s="82"/>
      <c r="B292" s="65" t="s">
        <v>146</v>
      </c>
      <c r="C292" s="65" t="s">
        <v>87</v>
      </c>
      <c r="D292" s="65" t="str">
        <f>vlookup(C292,'Classificação p pessoal'!F:G,2,false)</f>
        <v>MProduto</v>
      </c>
      <c r="E292" s="65" t="s">
        <v>163</v>
      </c>
      <c r="F292" s="83">
        <v>0.16666666666666666</v>
      </c>
      <c r="G292" s="83">
        <v>0.5729166666666666</v>
      </c>
      <c r="H292" s="83">
        <v>0.40625</v>
      </c>
      <c r="I292" s="84">
        <v>44449.0</v>
      </c>
      <c r="J292" s="65" t="b">
        <v>1</v>
      </c>
      <c r="K292" s="65"/>
      <c r="L292" s="85" t="b">
        <f>IF(VLOOKUP(C292,Projetos!A:L,12,false)=TRUE,TRUE,FALSE)</f>
        <v>1</v>
      </c>
      <c r="M292" s="74">
        <v>33.15972725468975</v>
      </c>
      <c r="N292" s="74">
        <f t="shared" si="1"/>
        <v>323.3073407</v>
      </c>
      <c r="O292" s="74" t="b">
        <v>1</v>
      </c>
    </row>
    <row r="293" hidden="1">
      <c r="A293" s="82"/>
      <c r="B293" s="65" t="s">
        <v>146</v>
      </c>
      <c r="C293" s="65" t="s">
        <v>87</v>
      </c>
      <c r="D293" s="65" t="str">
        <f>vlookup(C293,'Classificação p pessoal'!F:G,2,false)</f>
        <v>MProduto</v>
      </c>
      <c r="E293" s="65" t="s">
        <v>163</v>
      </c>
      <c r="F293" s="83">
        <v>0.16666666666666666</v>
      </c>
      <c r="G293" s="83">
        <v>0.3958333333333333</v>
      </c>
      <c r="H293" s="83">
        <v>0.22916666666666666</v>
      </c>
      <c r="I293" s="84">
        <v>44450.0</v>
      </c>
      <c r="J293" s="65" t="b">
        <v>1</v>
      </c>
      <c r="K293" s="65"/>
      <c r="L293" s="85" t="b">
        <f>IF(VLOOKUP(C293,Projetos!A:L,12,false)=TRUE,TRUE,FALSE)</f>
        <v>1</v>
      </c>
      <c r="M293" s="74">
        <v>33.15972725468975</v>
      </c>
      <c r="N293" s="74">
        <f t="shared" si="1"/>
        <v>182.3784999</v>
      </c>
      <c r="O293" s="74" t="b">
        <v>1</v>
      </c>
    </row>
    <row r="294" hidden="1">
      <c r="A294" s="82"/>
      <c r="B294" s="65" t="s">
        <v>146</v>
      </c>
      <c r="C294" s="65" t="s">
        <v>87</v>
      </c>
      <c r="D294" s="65" t="str">
        <f>vlookup(C294,'Classificação p pessoal'!F:G,2,false)</f>
        <v>MProduto</v>
      </c>
      <c r="E294" s="65" t="s">
        <v>163</v>
      </c>
      <c r="F294" s="83">
        <v>0.4166666666666667</v>
      </c>
      <c r="G294" s="83">
        <v>0.5416666666666666</v>
      </c>
      <c r="H294" s="83">
        <v>0.125</v>
      </c>
      <c r="I294" s="84">
        <v>44451.0</v>
      </c>
      <c r="J294" s="65" t="b">
        <v>1</v>
      </c>
      <c r="K294" s="65"/>
      <c r="L294" s="85" t="b">
        <f>IF(VLOOKUP(C294,Projetos!A:L,12,false)=TRUE,TRUE,FALSE)</f>
        <v>1</v>
      </c>
      <c r="M294" s="74">
        <v>33.15972725468975</v>
      </c>
      <c r="N294" s="74">
        <f t="shared" si="1"/>
        <v>99.47918176</v>
      </c>
      <c r="O294" s="74" t="b">
        <v>1</v>
      </c>
    </row>
    <row r="295" hidden="1">
      <c r="A295" s="82"/>
      <c r="B295" s="65" t="s">
        <v>146</v>
      </c>
      <c r="C295" s="65" t="s">
        <v>87</v>
      </c>
      <c r="D295" s="65" t="str">
        <f>vlookup(C295,'Classificação p pessoal'!F:G,2,false)</f>
        <v>MProduto</v>
      </c>
      <c r="E295" s="65" t="s">
        <v>163</v>
      </c>
      <c r="F295" s="83">
        <v>0.25</v>
      </c>
      <c r="G295" s="83">
        <v>0.65625</v>
      </c>
      <c r="H295" s="83">
        <v>0.40625</v>
      </c>
      <c r="I295" s="84">
        <v>44452.0</v>
      </c>
      <c r="J295" s="65" t="b">
        <v>1</v>
      </c>
      <c r="K295" s="65"/>
      <c r="L295" s="85" t="b">
        <f>IF(VLOOKUP(C295,Projetos!A:L,12,false)=TRUE,TRUE,FALSE)</f>
        <v>1</v>
      </c>
      <c r="M295" s="74">
        <v>33.15972725468975</v>
      </c>
      <c r="N295" s="74">
        <f t="shared" si="1"/>
        <v>323.3073407</v>
      </c>
      <c r="O295" s="74" t="b">
        <v>1</v>
      </c>
    </row>
    <row r="296" hidden="1">
      <c r="A296" s="82"/>
      <c r="B296" s="65" t="s">
        <v>146</v>
      </c>
      <c r="C296" s="65" t="s">
        <v>87</v>
      </c>
      <c r="D296" s="65" t="str">
        <f>vlookup(C296,'Classificação p pessoal'!F:G,2,false)</f>
        <v>MProduto</v>
      </c>
      <c r="E296" s="65" t="s">
        <v>163</v>
      </c>
      <c r="F296" s="83">
        <v>0.2916666666666667</v>
      </c>
      <c r="G296" s="83">
        <v>0.6979166666666666</v>
      </c>
      <c r="H296" s="83">
        <v>0.40625</v>
      </c>
      <c r="I296" s="84">
        <v>44453.0</v>
      </c>
      <c r="J296" s="65" t="b">
        <v>1</v>
      </c>
      <c r="K296" s="65"/>
      <c r="L296" s="85" t="b">
        <f>IF(VLOOKUP(C296,Projetos!A:L,12,false)=TRUE,TRUE,FALSE)</f>
        <v>1</v>
      </c>
      <c r="M296" s="74">
        <v>33.15972725468975</v>
      </c>
      <c r="N296" s="74">
        <f t="shared" si="1"/>
        <v>323.3073407</v>
      </c>
      <c r="O296" s="74" t="b">
        <v>1</v>
      </c>
    </row>
    <row r="297" hidden="1">
      <c r="A297" s="82"/>
      <c r="B297" s="65" t="s">
        <v>146</v>
      </c>
      <c r="C297" s="65" t="s">
        <v>88</v>
      </c>
      <c r="D297" s="65" t="str">
        <f>vlookup(C297,'Classificação p pessoal'!F:G,2,false)</f>
        <v>MProduto</v>
      </c>
      <c r="E297" s="65" t="s">
        <v>164</v>
      </c>
      <c r="F297" s="83">
        <v>0.3541666666666667</v>
      </c>
      <c r="G297" s="83">
        <v>0.5416666666666666</v>
      </c>
      <c r="H297" s="83">
        <v>0.1875</v>
      </c>
      <c r="I297" s="84">
        <v>44531.0</v>
      </c>
      <c r="J297" s="65" t="b">
        <v>1</v>
      </c>
      <c r="K297" s="65"/>
      <c r="L297" s="85" t="b">
        <f>IF(VLOOKUP(C297,Projetos!A:L,12,false)=TRUE,TRUE,FALSE)</f>
        <v>1</v>
      </c>
      <c r="M297" s="74">
        <v>33.15972725468975</v>
      </c>
      <c r="N297" s="74">
        <f t="shared" si="1"/>
        <v>149.2187726</v>
      </c>
      <c r="O297" s="74" t="b">
        <v>1</v>
      </c>
    </row>
    <row r="298" hidden="1">
      <c r="A298" s="82"/>
      <c r="B298" s="65" t="s">
        <v>146</v>
      </c>
      <c r="C298" s="65" t="s">
        <v>88</v>
      </c>
      <c r="D298" s="65" t="str">
        <f>vlookup(C298,'Classificação p pessoal'!F:G,2,false)</f>
        <v>MProduto</v>
      </c>
      <c r="E298" s="65" t="s">
        <v>164</v>
      </c>
      <c r="F298" s="83">
        <v>0.5833333333333334</v>
      </c>
      <c r="G298" s="83">
        <v>0.75</v>
      </c>
      <c r="H298" s="83">
        <v>0.16666666666666666</v>
      </c>
      <c r="I298" s="84">
        <v>44532.0</v>
      </c>
      <c r="J298" s="65" t="b">
        <v>1</v>
      </c>
      <c r="K298" s="65"/>
      <c r="L298" s="85" t="b">
        <f>IF(VLOOKUP(C298,Projetos!A:L,12,false)=TRUE,TRUE,FALSE)</f>
        <v>1</v>
      </c>
      <c r="M298" s="74">
        <v>33.15972725468975</v>
      </c>
      <c r="N298" s="74">
        <f t="shared" si="1"/>
        <v>132.638909</v>
      </c>
      <c r="O298" s="74" t="b">
        <v>1</v>
      </c>
    </row>
    <row r="299" hidden="1">
      <c r="A299" s="82"/>
      <c r="B299" s="65" t="s">
        <v>146</v>
      </c>
      <c r="C299" s="65" t="s">
        <v>88</v>
      </c>
      <c r="D299" s="65" t="str">
        <f>vlookup(C299,'Classificação p pessoal'!F:G,2,false)</f>
        <v>MProduto</v>
      </c>
      <c r="E299" s="65" t="s">
        <v>164</v>
      </c>
      <c r="F299" s="83">
        <v>0.3541666666666667</v>
      </c>
      <c r="G299" s="83">
        <v>0.5416666666666666</v>
      </c>
      <c r="H299" s="83">
        <v>0.1875</v>
      </c>
      <c r="I299" s="84">
        <v>44533.0</v>
      </c>
      <c r="J299" s="65" t="b">
        <v>1</v>
      </c>
      <c r="K299" s="65"/>
      <c r="L299" s="85" t="b">
        <f>IF(VLOOKUP(C299,Projetos!A:L,12,false)=TRUE,TRUE,FALSE)</f>
        <v>1</v>
      </c>
      <c r="M299" s="74">
        <v>33.15972725468975</v>
      </c>
      <c r="N299" s="74">
        <f t="shared" si="1"/>
        <v>149.2187726</v>
      </c>
      <c r="O299" s="74" t="b">
        <v>1</v>
      </c>
    </row>
    <row r="300" hidden="1">
      <c r="A300" s="82"/>
      <c r="B300" s="65" t="s">
        <v>146</v>
      </c>
      <c r="C300" s="65" t="s">
        <v>88</v>
      </c>
      <c r="D300" s="65" t="str">
        <f>vlookup(C300,'Classificação p pessoal'!F:G,2,false)</f>
        <v>MProduto</v>
      </c>
      <c r="E300" s="65" t="s">
        <v>164</v>
      </c>
      <c r="F300" s="83">
        <v>0.5625</v>
      </c>
      <c r="G300" s="83">
        <v>0.75</v>
      </c>
      <c r="H300" s="83">
        <v>0.1875</v>
      </c>
      <c r="I300" s="84">
        <v>44536.0</v>
      </c>
      <c r="J300" s="65" t="b">
        <v>1</v>
      </c>
      <c r="K300" s="65"/>
      <c r="L300" s="85" t="b">
        <f>IF(VLOOKUP(C300,Projetos!A:L,12,false)=TRUE,TRUE,FALSE)</f>
        <v>1</v>
      </c>
      <c r="M300" s="74">
        <v>33.15972725468975</v>
      </c>
      <c r="N300" s="74">
        <f t="shared" si="1"/>
        <v>149.2187726</v>
      </c>
      <c r="O300" s="74" t="b">
        <v>1</v>
      </c>
    </row>
    <row r="301" hidden="1">
      <c r="A301" s="82"/>
      <c r="B301" s="65" t="s">
        <v>146</v>
      </c>
      <c r="C301" s="65" t="s">
        <v>88</v>
      </c>
      <c r="D301" s="65" t="str">
        <f>vlookup(C301,'Classificação p pessoal'!F:G,2,false)</f>
        <v>MProduto</v>
      </c>
      <c r="E301" s="65" t="s">
        <v>164</v>
      </c>
      <c r="F301" s="83">
        <v>0.5416666666666666</v>
      </c>
      <c r="G301" s="83">
        <v>0.75</v>
      </c>
      <c r="H301" s="83">
        <v>0.20833333333333334</v>
      </c>
      <c r="I301" s="84">
        <v>44537.0</v>
      </c>
      <c r="J301" s="65" t="b">
        <v>1</v>
      </c>
      <c r="K301" s="65"/>
      <c r="L301" s="85" t="b">
        <f>IF(VLOOKUP(C301,Projetos!A:L,12,false)=TRUE,TRUE,FALSE)</f>
        <v>1</v>
      </c>
      <c r="M301" s="74">
        <v>33.15972725468975</v>
      </c>
      <c r="N301" s="74">
        <f t="shared" si="1"/>
        <v>165.7986363</v>
      </c>
      <c r="O301" s="74" t="b">
        <v>1</v>
      </c>
    </row>
    <row r="302" hidden="1">
      <c r="A302" s="82"/>
      <c r="B302" s="65" t="s">
        <v>146</v>
      </c>
      <c r="C302" s="65" t="s">
        <v>88</v>
      </c>
      <c r="D302" s="65" t="str">
        <f>vlookup(C302,'Classificação p pessoal'!F:G,2,false)</f>
        <v>MProduto</v>
      </c>
      <c r="E302" s="65" t="s">
        <v>164</v>
      </c>
      <c r="F302" s="83">
        <v>0.3541666666666667</v>
      </c>
      <c r="G302" s="83">
        <v>0.5416666666666666</v>
      </c>
      <c r="H302" s="83">
        <v>0.1875</v>
      </c>
      <c r="I302" s="84">
        <v>44538.0</v>
      </c>
      <c r="J302" s="65" t="b">
        <v>1</v>
      </c>
      <c r="K302" s="65"/>
      <c r="L302" s="85" t="b">
        <f>IF(VLOOKUP(C302,Projetos!A:L,12,false)=TRUE,TRUE,FALSE)</f>
        <v>1</v>
      </c>
      <c r="M302" s="74">
        <v>33.15972725468975</v>
      </c>
      <c r="N302" s="74">
        <f t="shared" si="1"/>
        <v>149.2187726</v>
      </c>
      <c r="O302" s="74" t="b">
        <v>1</v>
      </c>
    </row>
    <row r="303" hidden="1">
      <c r="A303" s="82"/>
      <c r="B303" s="65" t="s">
        <v>146</v>
      </c>
      <c r="C303" s="65" t="s">
        <v>88</v>
      </c>
      <c r="D303" s="65" t="str">
        <f>vlookup(C303,'Classificação p pessoal'!F:G,2,false)</f>
        <v>MProduto</v>
      </c>
      <c r="E303" s="65" t="s">
        <v>164</v>
      </c>
      <c r="F303" s="83">
        <v>0.5416666666666666</v>
      </c>
      <c r="G303" s="83">
        <v>0.6458333333333334</v>
      </c>
      <c r="H303" s="83">
        <v>0.10416666666666667</v>
      </c>
      <c r="I303" s="84">
        <v>44539.0</v>
      </c>
      <c r="J303" s="65" t="b">
        <v>1</v>
      </c>
      <c r="K303" s="65"/>
      <c r="L303" s="85" t="b">
        <f>IF(VLOOKUP(C303,Projetos!A:L,12,false)=TRUE,TRUE,FALSE)</f>
        <v>1</v>
      </c>
      <c r="M303" s="74">
        <v>33.15972725468975</v>
      </c>
      <c r="N303" s="74">
        <f t="shared" si="1"/>
        <v>82.89931814</v>
      </c>
      <c r="O303" s="74" t="b">
        <v>1</v>
      </c>
    </row>
    <row r="304" hidden="1">
      <c r="A304" s="82"/>
      <c r="B304" s="65" t="s">
        <v>146</v>
      </c>
      <c r="C304" s="65" t="s">
        <v>88</v>
      </c>
      <c r="D304" s="65" t="str">
        <f>vlookup(C304,'Classificação p pessoal'!F:G,2,false)</f>
        <v>MProduto</v>
      </c>
      <c r="E304" s="65" t="s">
        <v>164</v>
      </c>
      <c r="F304" s="83">
        <v>0.3541666666666667</v>
      </c>
      <c r="G304" s="83">
        <v>0.4583333333333333</v>
      </c>
      <c r="H304" s="83">
        <v>0.10416666666666667</v>
      </c>
      <c r="I304" s="84">
        <v>44540.0</v>
      </c>
      <c r="J304" s="65" t="b">
        <v>1</v>
      </c>
      <c r="K304" s="65"/>
      <c r="L304" s="85" t="b">
        <f>IF(VLOOKUP(C304,Projetos!A:L,12,false)=TRUE,TRUE,FALSE)</f>
        <v>1</v>
      </c>
      <c r="M304" s="74">
        <v>33.15972725468975</v>
      </c>
      <c r="N304" s="74">
        <f t="shared" si="1"/>
        <v>82.89931814</v>
      </c>
      <c r="O304" s="74" t="b">
        <v>1</v>
      </c>
    </row>
    <row r="305" hidden="1">
      <c r="A305" s="82"/>
      <c r="B305" s="65" t="s">
        <v>146</v>
      </c>
      <c r="C305" s="65" t="s">
        <v>88</v>
      </c>
      <c r="D305" s="65" t="str">
        <f>vlookup(C305,'Classificação p pessoal'!F:G,2,false)</f>
        <v>MProduto</v>
      </c>
      <c r="E305" s="65" t="s">
        <v>164</v>
      </c>
      <c r="F305" s="83">
        <v>0.3541666666666667</v>
      </c>
      <c r="G305" s="83">
        <v>0.5416666666666666</v>
      </c>
      <c r="H305" s="83">
        <v>0.1875</v>
      </c>
      <c r="I305" s="84">
        <v>44543.0</v>
      </c>
      <c r="J305" s="65" t="b">
        <v>1</v>
      </c>
      <c r="K305" s="65"/>
      <c r="L305" s="85" t="b">
        <f>IF(VLOOKUP(C305,Projetos!A:L,12,false)=TRUE,TRUE,FALSE)</f>
        <v>1</v>
      </c>
      <c r="M305" s="74">
        <v>33.15972725468975</v>
      </c>
      <c r="N305" s="74">
        <f t="shared" si="1"/>
        <v>149.2187726</v>
      </c>
      <c r="O305" s="74" t="b">
        <v>1</v>
      </c>
    </row>
    <row r="306" hidden="1">
      <c r="A306" s="82"/>
      <c r="B306" s="65" t="s">
        <v>146</v>
      </c>
      <c r="C306" s="65" t="s">
        <v>88</v>
      </c>
      <c r="D306" s="65" t="str">
        <f>vlookup(C306,'Classificação p pessoal'!F:G,2,false)</f>
        <v>MProduto</v>
      </c>
      <c r="E306" s="65" t="s">
        <v>164</v>
      </c>
      <c r="F306" s="83">
        <v>0.3541666666666667</v>
      </c>
      <c r="G306" s="83">
        <v>0.4166666666666667</v>
      </c>
      <c r="H306" s="83">
        <v>0.0625</v>
      </c>
      <c r="I306" s="84">
        <v>44544.0</v>
      </c>
      <c r="J306" s="65" t="b">
        <v>1</v>
      </c>
      <c r="K306" s="65"/>
      <c r="L306" s="85" t="b">
        <f>IF(VLOOKUP(C306,Projetos!A:L,12,false)=TRUE,TRUE,FALSE)</f>
        <v>1</v>
      </c>
      <c r="M306" s="74">
        <v>33.15972725468975</v>
      </c>
      <c r="N306" s="74">
        <f t="shared" si="1"/>
        <v>49.73959088</v>
      </c>
      <c r="O306" s="74" t="b">
        <v>1</v>
      </c>
    </row>
    <row r="307" hidden="1">
      <c r="A307" s="82"/>
      <c r="B307" s="65" t="s">
        <v>146</v>
      </c>
      <c r="C307" s="65" t="s">
        <v>88</v>
      </c>
      <c r="D307" s="65" t="str">
        <f>vlookup(C307,'Classificação p pessoal'!F:G,2,false)</f>
        <v>MProduto</v>
      </c>
      <c r="E307" s="65" t="s">
        <v>164</v>
      </c>
      <c r="F307" s="83">
        <v>0.5416666666666666</v>
      </c>
      <c r="G307" s="83">
        <v>0.75</v>
      </c>
      <c r="H307" s="83">
        <v>0.20833333333333334</v>
      </c>
      <c r="I307" s="84">
        <v>44545.0</v>
      </c>
      <c r="J307" s="65" t="b">
        <v>1</v>
      </c>
      <c r="K307" s="65"/>
      <c r="L307" s="85" t="b">
        <f>IF(VLOOKUP(C307,Projetos!A:L,12,false)=TRUE,TRUE,FALSE)</f>
        <v>1</v>
      </c>
      <c r="M307" s="74">
        <v>33.15972725468975</v>
      </c>
      <c r="N307" s="74">
        <f t="shared" si="1"/>
        <v>165.7986363</v>
      </c>
      <c r="O307" s="74" t="b">
        <v>1</v>
      </c>
    </row>
    <row r="308" hidden="1">
      <c r="A308" s="82"/>
      <c r="B308" s="65" t="s">
        <v>146</v>
      </c>
      <c r="C308" s="65" t="s">
        <v>88</v>
      </c>
      <c r="D308" s="65" t="str">
        <f>vlookup(C308,'Classificação p pessoal'!F:G,2,false)</f>
        <v>MProduto</v>
      </c>
      <c r="E308" s="65" t="s">
        <v>164</v>
      </c>
      <c r="F308" s="83">
        <v>0.3541666666666667</v>
      </c>
      <c r="G308" s="83">
        <v>0.5416666666666666</v>
      </c>
      <c r="H308" s="83">
        <v>0.1875</v>
      </c>
      <c r="I308" s="84">
        <v>44546.0</v>
      </c>
      <c r="J308" s="65" t="b">
        <v>1</v>
      </c>
      <c r="K308" s="65"/>
      <c r="L308" s="85" t="b">
        <f>IF(VLOOKUP(C308,Projetos!A:L,12,false)=TRUE,TRUE,FALSE)</f>
        <v>1</v>
      </c>
      <c r="M308" s="74">
        <v>33.15972725468975</v>
      </c>
      <c r="N308" s="74">
        <f t="shared" si="1"/>
        <v>149.2187726</v>
      </c>
      <c r="O308" s="74" t="b">
        <v>1</v>
      </c>
    </row>
    <row r="309" hidden="1">
      <c r="A309" s="82"/>
      <c r="B309" s="65" t="s">
        <v>146</v>
      </c>
      <c r="C309" s="65" t="s">
        <v>88</v>
      </c>
      <c r="D309" s="65" t="str">
        <f>vlookup(C309,'Classificação p pessoal'!F:G,2,false)</f>
        <v>MProduto</v>
      </c>
      <c r="E309" s="65" t="s">
        <v>164</v>
      </c>
      <c r="F309" s="83">
        <v>0.5416666666666666</v>
      </c>
      <c r="G309" s="83">
        <v>0.75</v>
      </c>
      <c r="H309" s="83">
        <v>0.20833333333333334</v>
      </c>
      <c r="I309" s="84">
        <v>44550.0</v>
      </c>
      <c r="J309" s="65" t="b">
        <v>1</v>
      </c>
      <c r="K309" s="65"/>
      <c r="L309" s="85" t="b">
        <f>IF(VLOOKUP(C309,Projetos!A:L,12,false)=TRUE,TRUE,FALSE)</f>
        <v>1</v>
      </c>
      <c r="M309" s="74">
        <v>33.15972725468975</v>
      </c>
      <c r="N309" s="74">
        <f t="shared" si="1"/>
        <v>165.7986363</v>
      </c>
      <c r="O309" s="74" t="b">
        <v>1</v>
      </c>
    </row>
    <row r="310" hidden="1">
      <c r="A310" s="82"/>
      <c r="B310" s="65" t="s">
        <v>146</v>
      </c>
      <c r="C310" s="65" t="s">
        <v>88</v>
      </c>
      <c r="D310" s="65" t="str">
        <f>vlookup(C310,'Classificação p pessoal'!F:G,2,false)</f>
        <v>MProduto</v>
      </c>
      <c r="E310" s="65" t="s">
        <v>164</v>
      </c>
      <c r="F310" s="83">
        <v>0.34375</v>
      </c>
      <c r="G310" s="83">
        <v>0.5416666666666666</v>
      </c>
      <c r="H310" s="83">
        <v>0.19791666666666666</v>
      </c>
      <c r="I310" s="84">
        <v>44551.0</v>
      </c>
      <c r="J310" s="65" t="b">
        <v>1</v>
      </c>
      <c r="K310" s="65"/>
      <c r="L310" s="85" t="b">
        <f>IF(VLOOKUP(C310,Projetos!A:L,12,false)=TRUE,TRUE,FALSE)</f>
        <v>1</v>
      </c>
      <c r="M310" s="74">
        <v>33.15972725468975</v>
      </c>
      <c r="N310" s="74">
        <f t="shared" si="1"/>
        <v>157.5087045</v>
      </c>
      <c r="O310" s="74" t="b">
        <v>1</v>
      </c>
    </row>
    <row r="311" hidden="1">
      <c r="A311" s="82"/>
      <c r="B311" s="65" t="s">
        <v>146</v>
      </c>
      <c r="C311" s="65" t="s">
        <v>88</v>
      </c>
      <c r="D311" s="65" t="str">
        <f>vlookup(C311,'Classificação p pessoal'!F:G,2,false)</f>
        <v>MProduto</v>
      </c>
      <c r="E311" s="65" t="s">
        <v>164</v>
      </c>
      <c r="F311" s="83">
        <v>0.34375</v>
      </c>
      <c r="G311" s="83">
        <v>0.5520833333333334</v>
      </c>
      <c r="H311" s="83">
        <v>0.20833333333333334</v>
      </c>
      <c r="I311" s="84">
        <v>44552.0</v>
      </c>
      <c r="J311" s="65" t="b">
        <v>1</v>
      </c>
      <c r="K311" s="65"/>
      <c r="L311" s="85" t="b">
        <f>IF(VLOOKUP(C311,Projetos!A:L,12,false)=TRUE,TRUE,FALSE)</f>
        <v>1</v>
      </c>
      <c r="M311" s="74">
        <v>33.15972725468975</v>
      </c>
      <c r="N311" s="74">
        <f t="shared" si="1"/>
        <v>165.7986363</v>
      </c>
      <c r="O311" s="74" t="b">
        <v>1</v>
      </c>
    </row>
    <row r="312" hidden="1">
      <c r="A312" s="82"/>
      <c r="B312" s="65" t="s">
        <v>146</v>
      </c>
      <c r="C312" s="65" t="s">
        <v>88</v>
      </c>
      <c r="D312" s="65" t="str">
        <f>vlookup(C312,'Classificação p pessoal'!F:G,2,false)</f>
        <v>MProduto</v>
      </c>
      <c r="E312" s="65" t="s">
        <v>164</v>
      </c>
      <c r="F312" s="83">
        <v>0.5833333333333334</v>
      </c>
      <c r="G312" s="83">
        <v>0.75</v>
      </c>
      <c r="H312" s="83">
        <v>0.16666666666666666</v>
      </c>
      <c r="I312" s="84">
        <v>44553.0</v>
      </c>
      <c r="J312" s="65" t="b">
        <v>1</v>
      </c>
      <c r="K312" s="65"/>
      <c r="L312" s="85" t="b">
        <f>IF(VLOOKUP(C312,Projetos!A:L,12,false)=TRUE,TRUE,FALSE)</f>
        <v>1</v>
      </c>
      <c r="M312" s="74">
        <v>33.15972725468975</v>
      </c>
      <c r="N312" s="74">
        <f t="shared" si="1"/>
        <v>132.638909</v>
      </c>
      <c r="O312" s="74" t="b">
        <v>1</v>
      </c>
    </row>
    <row r="313" hidden="1">
      <c r="A313" s="82"/>
      <c r="B313" s="65" t="s">
        <v>146</v>
      </c>
      <c r="C313" s="65" t="s">
        <v>88</v>
      </c>
      <c r="D313" s="65" t="str">
        <f>vlookup(C313,'Classificação p pessoal'!F:G,2,false)</f>
        <v>MProduto</v>
      </c>
      <c r="E313" s="65" t="s">
        <v>164</v>
      </c>
      <c r="F313" s="83">
        <v>0.5833333333333334</v>
      </c>
      <c r="G313" s="83">
        <v>0.75</v>
      </c>
      <c r="H313" s="83">
        <v>0.16666666666666666</v>
      </c>
      <c r="I313" s="84">
        <v>44557.0</v>
      </c>
      <c r="J313" s="65" t="b">
        <v>1</v>
      </c>
      <c r="K313" s="65"/>
      <c r="L313" s="85" t="b">
        <f>IF(VLOOKUP(C313,Projetos!A:L,12,false)=TRUE,TRUE,FALSE)</f>
        <v>1</v>
      </c>
      <c r="M313" s="74">
        <v>33.15972725468975</v>
      </c>
      <c r="N313" s="74">
        <f t="shared" si="1"/>
        <v>132.638909</v>
      </c>
      <c r="O313" s="74" t="b">
        <v>1</v>
      </c>
    </row>
    <row r="314" hidden="1">
      <c r="A314" s="82"/>
      <c r="B314" s="65" t="s">
        <v>146</v>
      </c>
      <c r="C314" s="65" t="s">
        <v>88</v>
      </c>
      <c r="D314" s="65" t="str">
        <f>vlookup(C314,'Classificação p pessoal'!F:G,2,false)</f>
        <v>MProduto</v>
      </c>
      <c r="E314" s="65" t="s">
        <v>164</v>
      </c>
      <c r="F314" s="83">
        <v>0.3541666666666667</v>
      </c>
      <c r="G314" s="83">
        <v>0.5416666666666666</v>
      </c>
      <c r="H314" s="83">
        <v>0.1875</v>
      </c>
      <c r="I314" s="84">
        <v>44558.0</v>
      </c>
      <c r="J314" s="65" t="b">
        <v>1</v>
      </c>
      <c r="K314" s="65"/>
      <c r="L314" s="85" t="b">
        <f>IF(VLOOKUP(C314,Projetos!A:L,12,false)=TRUE,TRUE,FALSE)</f>
        <v>1</v>
      </c>
      <c r="M314" s="74">
        <v>33.15972725468975</v>
      </c>
      <c r="N314" s="74">
        <f t="shared" si="1"/>
        <v>149.2187726</v>
      </c>
      <c r="O314" s="74" t="b">
        <v>1</v>
      </c>
    </row>
    <row r="315" hidden="1">
      <c r="A315" s="82"/>
      <c r="B315" s="65" t="s">
        <v>146</v>
      </c>
      <c r="C315" s="65" t="s">
        <v>88</v>
      </c>
      <c r="D315" s="65" t="str">
        <f>vlookup(C315,'Classificação p pessoal'!F:G,2,false)</f>
        <v>MProduto</v>
      </c>
      <c r="E315" s="65" t="s">
        <v>164</v>
      </c>
      <c r="F315" s="83">
        <v>0.3541666666666667</v>
      </c>
      <c r="G315" s="83">
        <v>0.5416666666666666</v>
      </c>
      <c r="H315" s="83">
        <v>0.1875</v>
      </c>
      <c r="I315" s="84">
        <v>44559.0</v>
      </c>
      <c r="J315" s="65" t="b">
        <v>1</v>
      </c>
      <c r="K315" s="65"/>
      <c r="L315" s="85" t="b">
        <f>IF(VLOOKUP(C315,Projetos!A:L,12,false)=TRUE,TRUE,FALSE)</f>
        <v>1</v>
      </c>
      <c r="M315" s="74">
        <v>33.15972725468975</v>
      </c>
      <c r="N315" s="74">
        <f t="shared" si="1"/>
        <v>149.2187726</v>
      </c>
      <c r="O315" s="74" t="b">
        <v>1</v>
      </c>
    </row>
    <row r="316" hidden="1">
      <c r="A316" s="82"/>
      <c r="B316" s="65" t="s">
        <v>146</v>
      </c>
      <c r="C316" s="65" t="s">
        <v>88</v>
      </c>
      <c r="D316" s="65" t="str">
        <f>vlookup(C316,'Classificação p pessoal'!F:G,2,false)</f>
        <v>MProduto</v>
      </c>
      <c r="E316" s="65" t="s">
        <v>164</v>
      </c>
      <c r="F316" s="83">
        <v>0.3541666666666667</v>
      </c>
      <c r="G316" s="83">
        <v>0.5416666666666666</v>
      </c>
      <c r="H316" s="83">
        <v>0.1875</v>
      </c>
      <c r="I316" s="84">
        <v>44560.0</v>
      </c>
      <c r="J316" s="65" t="b">
        <v>1</v>
      </c>
      <c r="K316" s="65"/>
      <c r="L316" s="85" t="b">
        <f>IF(VLOOKUP(C316,Projetos!A:L,12,false)=TRUE,TRUE,FALSE)</f>
        <v>1</v>
      </c>
      <c r="M316" s="74">
        <v>33.15972725468975</v>
      </c>
      <c r="N316" s="74">
        <f t="shared" si="1"/>
        <v>149.2187726</v>
      </c>
      <c r="O316" s="74" t="b">
        <v>1</v>
      </c>
    </row>
    <row r="317" hidden="1">
      <c r="A317" s="82"/>
      <c r="B317" s="65" t="s">
        <v>146</v>
      </c>
      <c r="C317" s="65" t="s">
        <v>88</v>
      </c>
      <c r="D317" s="65" t="str">
        <f>vlookup(C317,'Classificação p pessoal'!F:G,2,false)</f>
        <v>MProduto</v>
      </c>
      <c r="E317" s="65" t="s">
        <v>165</v>
      </c>
      <c r="F317" s="83">
        <v>0.4375</v>
      </c>
      <c r="G317" s="83">
        <v>0.5416666666666666</v>
      </c>
      <c r="H317" s="83">
        <v>0.10416666666666667</v>
      </c>
      <c r="I317" s="84">
        <v>44384.0</v>
      </c>
      <c r="J317" s="65" t="b">
        <v>1</v>
      </c>
      <c r="K317" s="65"/>
      <c r="L317" s="85" t="b">
        <f>IF(VLOOKUP(C317,Projetos!A:L,12,false)=TRUE,TRUE,FALSE)</f>
        <v>1</v>
      </c>
      <c r="M317" s="74">
        <v>33.15972725468975</v>
      </c>
      <c r="N317" s="74">
        <f t="shared" si="1"/>
        <v>82.89931814</v>
      </c>
      <c r="O317" s="74" t="b">
        <v>1</v>
      </c>
    </row>
    <row r="318" hidden="1">
      <c r="A318" s="82"/>
      <c r="B318" s="65" t="s">
        <v>146</v>
      </c>
      <c r="C318" s="65" t="s">
        <v>88</v>
      </c>
      <c r="D318" s="65" t="str">
        <f>vlookup(C318,'Classificação p pessoal'!F:G,2,false)</f>
        <v>MProduto</v>
      </c>
      <c r="E318" s="65" t="s">
        <v>165</v>
      </c>
      <c r="F318" s="83">
        <v>0.5833333333333334</v>
      </c>
      <c r="G318" s="83">
        <v>0.625</v>
      </c>
      <c r="H318" s="83">
        <v>0.041666666666666664</v>
      </c>
      <c r="I318" s="84">
        <v>44414.0</v>
      </c>
      <c r="J318" s="65" t="b">
        <v>1</v>
      </c>
      <c r="K318" s="65"/>
      <c r="L318" s="85" t="b">
        <f>IF(VLOOKUP(C318,Projetos!A:L,12,false)=TRUE,TRUE,FALSE)</f>
        <v>1</v>
      </c>
      <c r="M318" s="74">
        <v>33.15972725468975</v>
      </c>
      <c r="N318" s="74">
        <f t="shared" si="1"/>
        <v>33.15972725</v>
      </c>
      <c r="O318" s="74" t="b">
        <v>1</v>
      </c>
    </row>
    <row r="319" hidden="1">
      <c r="A319" s="82"/>
      <c r="B319" s="65" t="s">
        <v>146</v>
      </c>
      <c r="C319" s="65" t="s">
        <v>88</v>
      </c>
      <c r="D319" s="65" t="str">
        <f>vlookup(C319,'Classificação p pessoal'!F:G,2,false)</f>
        <v>MProduto</v>
      </c>
      <c r="E319" s="65" t="s">
        <v>165</v>
      </c>
      <c r="F319" s="83">
        <v>0.3541666666666667</v>
      </c>
      <c r="G319" s="83">
        <v>0.4791666666666667</v>
      </c>
      <c r="H319" s="83">
        <v>0.125</v>
      </c>
      <c r="I319" s="84">
        <v>44470.0</v>
      </c>
      <c r="J319" s="65" t="b">
        <v>1</v>
      </c>
      <c r="K319" s="65"/>
      <c r="L319" s="85" t="b">
        <f>IF(VLOOKUP(C319,Projetos!A:L,12,false)=TRUE,TRUE,FALSE)</f>
        <v>1</v>
      </c>
      <c r="M319" s="74">
        <v>33.15972725468975</v>
      </c>
      <c r="N319" s="74">
        <f t="shared" si="1"/>
        <v>99.47918176</v>
      </c>
      <c r="O319" s="74" t="b">
        <v>1</v>
      </c>
    </row>
    <row r="320" hidden="1">
      <c r="A320" s="82"/>
      <c r="B320" s="65" t="s">
        <v>146</v>
      </c>
      <c r="C320" s="65" t="s">
        <v>88</v>
      </c>
      <c r="D320" s="65" t="str">
        <f>vlookup(C320,'Classificação p pessoal'!F:G,2,false)</f>
        <v>MProduto</v>
      </c>
      <c r="E320" s="65" t="s">
        <v>165</v>
      </c>
      <c r="F320" s="83">
        <v>0.4166666666666667</v>
      </c>
      <c r="G320" s="83">
        <v>0.5</v>
      </c>
      <c r="H320" s="83">
        <v>0.08333333333333333</v>
      </c>
      <c r="I320" s="84">
        <v>44483.0</v>
      </c>
      <c r="J320" s="65" t="b">
        <v>1</v>
      </c>
      <c r="K320" s="65"/>
      <c r="L320" s="85" t="b">
        <f>IF(VLOOKUP(C320,Projetos!A:L,12,false)=TRUE,TRUE,FALSE)</f>
        <v>1</v>
      </c>
      <c r="M320" s="74">
        <v>33.15972725468975</v>
      </c>
      <c r="N320" s="74">
        <f t="shared" si="1"/>
        <v>66.31945451</v>
      </c>
      <c r="O320" s="74" t="b">
        <v>1</v>
      </c>
    </row>
    <row r="321" hidden="1">
      <c r="A321" s="82"/>
      <c r="B321" s="65" t="s">
        <v>146</v>
      </c>
      <c r="C321" s="65" t="s">
        <v>88</v>
      </c>
      <c r="D321" s="65" t="str">
        <f>vlookup(C321,'Classificação p pessoal'!F:G,2,false)</f>
        <v>MProduto</v>
      </c>
      <c r="E321" s="65" t="s">
        <v>165</v>
      </c>
      <c r="F321" s="83">
        <v>0.6666666666666666</v>
      </c>
      <c r="G321" s="83">
        <v>0.75</v>
      </c>
      <c r="H321" s="83">
        <v>0.08333333333333333</v>
      </c>
      <c r="I321" s="84">
        <v>44483.0</v>
      </c>
      <c r="J321" s="65" t="b">
        <v>1</v>
      </c>
      <c r="K321" s="65"/>
      <c r="L321" s="85" t="b">
        <f>IF(VLOOKUP(C321,Projetos!A:L,12,false)=TRUE,TRUE,FALSE)</f>
        <v>1</v>
      </c>
      <c r="M321" s="74">
        <v>33.15972725468975</v>
      </c>
      <c r="N321" s="74">
        <f t="shared" si="1"/>
        <v>66.31945451</v>
      </c>
      <c r="O321" s="74" t="b">
        <v>1</v>
      </c>
    </row>
    <row r="322" hidden="1">
      <c r="A322" s="82"/>
      <c r="B322" s="65" t="s">
        <v>146</v>
      </c>
      <c r="C322" s="65" t="s">
        <v>88</v>
      </c>
      <c r="D322" s="65" t="str">
        <f>vlookup(C322,'Classificação p pessoal'!F:G,2,false)</f>
        <v>MProduto</v>
      </c>
      <c r="E322" s="65" t="s">
        <v>165</v>
      </c>
      <c r="F322" s="83">
        <v>0.3541666666666667</v>
      </c>
      <c r="G322" s="83">
        <v>0.4583333333333333</v>
      </c>
      <c r="H322" s="83">
        <v>0.10416666666666667</v>
      </c>
      <c r="I322" s="84">
        <v>44484.0</v>
      </c>
      <c r="J322" s="65" t="b">
        <v>1</v>
      </c>
      <c r="K322" s="65"/>
      <c r="L322" s="85" t="b">
        <f>IF(VLOOKUP(C322,Projetos!A:L,12,false)=TRUE,TRUE,FALSE)</f>
        <v>1</v>
      </c>
      <c r="M322" s="74">
        <v>33.15972725468975</v>
      </c>
      <c r="N322" s="74">
        <f t="shared" si="1"/>
        <v>82.89931814</v>
      </c>
      <c r="O322" s="74" t="b">
        <v>1</v>
      </c>
    </row>
    <row r="323" hidden="1">
      <c r="A323" s="82"/>
      <c r="B323" s="65" t="s">
        <v>146</v>
      </c>
      <c r="C323" s="65" t="s">
        <v>88</v>
      </c>
      <c r="D323" s="65" t="str">
        <f>vlookup(C323,'Classificação p pessoal'!F:G,2,false)</f>
        <v>MProduto</v>
      </c>
      <c r="E323" s="65" t="s">
        <v>165</v>
      </c>
      <c r="F323" s="83">
        <v>0.3541666666666667</v>
      </c>
      <c r="G323" s="83">
        <v>0.5208333333333334</v>
      </c>
      <c r="H323" s="83">
        <v>0.16666666666666666</v>
      </c>
      <c r="I323" s="84">
        <v>44516.0</v>
      </c>
      <c r="J323" s="65" t="b">
        <v>1</v>
      </c>
      <c r="K323" s="65"/>
      <c r="L323" s="85" t="b">
        <f>IF(VLOOKUP(C323,Projetos!A:L,12,false)=TRUE,TRUE,FALSE)</f>
        <v>1</v>
      </c>
      <c r="M323" s="74">
        <v>33.15972725468975</v>
      </c>
      <c r="N323" s="74">
        <f t="shared" si="1"/>
        <v>132.638909</v>
      </c>
      <c r="O323" s="74" t="b">
        <v>1</v>
      </c>
    </row>
    <row r="324" hidden="1">
      <c r="A324" s="82"/>
      <c r="B324" s="65" t="s">
        <v>146</v>
      </c>
      <c r="C324" s="65" t="s">
        <v>88</v>
      </c>
      <c r="D324" s="65" t="str">
        <f>vlookup(C324,'Classificação p pessoal'!F:G,2,false)</f>
        <v>MProduto</v>
      </c>
      <c r="E324" s="65" t="s">
        <v>165</v>
      </c>
      <c r="F324" s="83">
        <v>0.625</v>
      </c>
      <c r="G324" s="83">
        <v>0.75</v>
      </c>
      <c r="H324" s="83">
        <v>0.125</v>
      </c>
      <c r="I324" s="84">
        <v>44517.0</v>
      </c>
      <c r="J324" s="65" t="b">
        <v>1</v>
      </c>
      <c r="K324" s="65"/>
      <c r="L324" s="85" t="b">
        <f>IF(VLOOKUP(C324,Projetos!A:L,12,false)=TRUE,TRUE,FALSE)</f>
        <v>1</v>
      </c>
      <c r="M324" s="74">
        <v>33.15972725468975</v>
      </c>
      <c r="N324" s="74">
        <f t="shared" si="1"/>
        <v>99.47918176</v>
      </c>
      <c r="O324" s="74" t="b">
        <v>1</v>
      </c>
    </row>
    <row r="325" hidden="1">
      <c r="A325" s="82"/>
      <c r="B325" s="65" t="s">
        <v>146</v>
      </c>
      <c r="C325" s="65" t="s">
        <v>88</v>
      </c>
      <c r="D325" s="65" t="str">
        <f>vlookup(C325,'Classificação p pessoal'!F:G,2,false)</f>
        <v>MProduto</v>
      </c>
      <c r="E325" s="65" t="s">
        <v>165</v>
      </c>
      <c r="F325" s="83">
        <v>0.6666666666666666</v>
      </c>
      <c r="G325" s="83">
        <v>0.75</v>
      </c>
      <c r="H325" s="83">
        <v>0.08333333333333333</v>
      </c>
      <c r="I325" s="84">
        <v>44524.0</v>
      </c>
      <c r="J325" s="65" t="b">
        <v>1</v>
      </c>
      <c r="K325" s="65"/>
      <c r="L325" s="85" t="b">
        <f>IF(VLOOKUP(C325,Projetos!A:L,12,false)=TRUE,TRUE,FALSE)</f>
        <v>1</v>
      </c>
      <c r="M325" s="74">
        <v>33.15972725468975</v>
      </c>
      <c r="N325" s="74">
        <f t="shared" si="1"/>
        <v>66.31945451</v>
      </c>
      <c r="O325" s="74" t="b">
        <v>1</v>
      </c>
    </row>
    <row r="326" hidden="1">
      <c r="A326" s="82"/>
      <c r="B326" s="65" t="s">
        <v>146</v>
      </c>
      <c r="C326" s="65" t="s">
        <v>88</v>
      </c>
      <c r="D326" s="65" t="str">
        <f>vlookup(C326,'Classificação p pessoal'!F:G,2,false)</f>
        <v>MProduto</v>
      </c>
      <c r="E326" s="65" t="s">
        <v>165</v>
      </c>
      <c r="F326" s="83">
        <v>0.5833333333333334</v>
      </c>
      <c r="G326" s="83">
        <v>0.625</v>
      </c>
      <c r="H326" s="83">
        <v>0.041666666666666664</v>
      </c>
      <c r="I326" s="84">
        <v>44531.0</v>
      </c>
      <c r="J326" s="65" t="b">
        <v>1</v>
      </c>
      <c r="K326" s="65"/>
      <c r="L326" s="85" t="b">
        <f>IF(VLOOKUP(C326,Projetos!A:L,12,false)=TRUE,TRUE,FALSE)</f>
        <v>1</v>
      </c>
      <c r="M326" s="74">
        <v>33.15972725468975</v>
      </c>
      <c r="N326" s="74">
        <f t="shared" si="1"/>
        <v>33.15972725</v>
      </c>
      <c r="O326" s="74" t="b">
        <v>1</v>
      </c>
    </row>
    <row r="327" hidden="1">
      <c r="A327" s="82"/>
      <c r="B327" s="65" t="s">
        <v>146</v>
      </c>
      <c r="C327" s="65" t="s">
        <v>88</v>
      </c>
      <c r="D327" s="65" t="str">
        <f>vlookup(C327,'Classificação p pessoal'!F:G,2,false)</f>
        <v>MProduto</v>
      </c>
      <c r="E327" s="65" t="s">
        <v>165</v>
      </c>
      <c r="F327" s="83">
        <v>0.5833333333333334</v>
      </c>
      <c r="G327" s="83">
        <v>0.6666666666666666</v>
      </c>
      <c r="H327" s="83">
        <v>0.08333333333333333</v>
      </c>
      <c r="I327" s="84">
        <v>44538.0</v>
      </c>
      <c r="J327" s="65" t="b">
        <v>1</v>
      </c>
      <c r="K327" s="65"/>
      <c r="L327" s="85" t="b">
        <f>IF(VLOOKUP(C327,Projetos!A:L,12,false)=TRUE,TRUE,FALSE)</f>
        <v>1</v>
      </c>
      <c r="M327" s="74">
        <v>33.15972725468975</v>
      </c>
      <c r="N327" s="74">
        <f t="shared" si="1"/>
        <v>66.31945451</v>
      </c>
      <c r="O327" s="74" t="b">
        <v>1</v>
      </c>
    </row>
    <row r="328" hidden="1">
      <c r="A328" s="82"/>
      <c r="B328" s="65" t="s">
        <v>146</v>
      </c>
      <c r="C328" s="65" t="s">
        <v>88</v>
      </c>
      <c r="D328" s="65" t="str">
        <f>vlookup(C328,'Classificação p pessoal'!F:G,2,false)</f>
        <v>MProduto</v>
      </c>
      <c r="E328" s="65" t="s">
        <v>165</v>
      </c>
      <c r="F328" s="83">
        <v>0.625</v>
      </c>
      <c r="G328" s="83">
        <v>0.75</v>
      </c>
      <c r="H328" s="83">
        <v>0.125</v>
      </c>
      <c r="I328" s="84">
        <v>44540.0</v>
      </c>
      <c r="J328" s="65" t="b">
        <v>1</v>
      </c>
      <c r="K328" s="65"/>
      <c r="L328" s="85" t="b">
        <f>IF(VLOOKUP(C328,Projetos!A:L,12,false)=TRUE,TRUE,FALSE)</f>
        <v>1</v>
      </c>
      <c r="M328" s="74">
        <v>33.15972725468975</v>
      </c>
      <c r="N328" s="74">
        <f t="shared" si="1"/>
        <v>99.47918176</v>
      </c>
      <c r="O328" s="74" t="b">
        <v>1</v>
      </c>
    </row>
    <row r="329" hidden="1">
      <c r="A329" s="82"/>
      <c r="B329" s="65" t="s">
        <v>146</v>
      </c>
      <c r="C329" s="65" t="s">
        <v>88</v>
      </c>
      <c r="D329" s="65" t="str">
        <f>vlookup(C329,'Classificação p pessoal'!F:G,2,false)</f>
        <v>MProduto</v>
      </c>
      <c r="E329" s="65" t="s">
        <v>165</v>
      </c>
      <c r="F329" s="83">
        <v>0.5833333333333334</v>
      </c>
      <c r="G329" s="83">
        <v>0.6666666666666666</v>
      </c>
      <c r="H329" s="83">
        <v>0.08333333333333333</v>
      </c>
      <c r="I329" s="84">
        <v>44558.0</v>
      </c>
      <c r="J329" s="65" t="b">
        <v>1</v>
      </c>
      <c r="K329" s="65"/>
      <c r="L329" s="85" t="b">
        <f>IF(VLOOKUP(C329,Projetos!A:L,12,false)=TRUE,TRUE,FALSE)</f>
        <v>1</v>
      </c>
      <c r="M329" s="74">
        <v>33.15972725468975</v>
      </c>
      <c r="N329" s="74">
        <f t="shared" si="1"/>
        <v>66.31945451</v>
      </c>
      <c r="O329" s="74" t="b">
        <v>1</v>
      </c>
    </row>
    <row r="330" hidden="1">
      <c r="A330" s="82"/>
      <c r="B330" s="65" t="s">
        <v>146</v>
      </c>
      <c r="C330" s="65" t="s">
        <v>88</v>
      </c>
      <c r="D330" s="65" t="str">
        <f>vlookup(C330,'Classificação p pessoal'!F:G,2,false)</f>
        <v>MProduto</v>
      </c>
      <c r="E330" s="65" t="s">
        <v>166</v>
      </c>
      <c r="F330" s="83">
        <v>0.3541666666666667</v>
      </c>
      <c r="G330" s="83">
        <v>0.4375</v>
      </c>
      <c r="H330" s="83">
        <v>0.08333333333333333</v>
      </c>
      <c r="I330" s="84">
        <v>44426.0</v>
      </c>
      <c r="J330" s="65" t="b">
        <v>1</v>
      </c>
      <c r="K330" s="65"/>
      <c r="L330" s="85" t="b">
        <f>IF(VLOOKUP(C330,Projetos!A:L,12,false)=TRUE,TRUE,FALSE)</f>
        <v>1</v>
      </c>
      <c r="M330" s="74">
        <v>33.15972725468975</v>
      </c>
      <c r="N330" s="74">
        <f t="shared" si="1"/>
        <v>66.31945451</v>
      </c>
      <c r="O330" s="74" t="b">
        <v>1</v>
      </c>
    </row>
    <row r="331" hidden="1">
      <c r="A331" s="82"/>
      <c r="B331" s="65" t="s">
        <v>146</v>
      </c>
      <c r="C331" s="65" t="s">
        <v>88</v>
      </c>
      <c r="D331" s="65" t="str">
        <f>vlookup(C331,'Classificação p pessoal'!F:G,2,false)</f>
        <v>MProduto</v>
      </c>
      <c r="E331" s="65" t="s">
        <v>166</v>
      </c>
      <c r="F331" s="83">
        <v>0.3541666666666667</v>
      </c>
      <c r="G331" s="83">
        <v>0.4375</v>
      </c>
      <c r="H331" s="83">
        <v>0.08333333333333333</v>
      </c>
      <c r="I331" s="84">
        <v>44427.0</v>
      </c>
      <c r="J331" s="65" t="b">
        <v>1</v>
      </c>
      <c r="K331" s="65"/>
      <c r="L331" s="85" t="b">
        <f>IF(VLOOKUP(C331,Projetos!A:L,12,false)=TRUE,TRUE,FALSE)</f>
        <v>1</v>
      </c>
      <c r="M331" s="74">
        <v>33.15972725468975</v>
      </c>
      <c r="N331" s="74">
        <f t="shared" si="1"/>
        <v>66.31945451</v>
      </c>
      <c r="O331" s="74" t="b">
        <v>1</v>
      </c>
    </row>
    <row r="332" hidden="1">
      <c r="A332" s="82"/>
      <c r="B332" s="65" t="s">
        <v>146</v>
      </c>
      <c r="C332" s="65" t="s">
        <v>88</v>
      </c>
      <c r="D332" s="65" t="str">
        <f>vlookup(C332,'Classificação p pessoal'!F:G,2,false)</f>
        <v>MProduto</v>
      </c>
      <c r="E332" s="65" t="s">
        <v>166</v>
      </c>
      <c r="F332" s="83">
        <v>0.3541666666666667</v>
      </c>
      <c r="G332" s="83">
        <v>0.4375</v>
      </c>
      <c r="H332" s="83">
        <v>0.08333333333333333</v>
      </c>
      <c r="I332" s="84">
        <v>44428.0</v>
      </c>
      <c r="J332" s="65" t="b">
        <v>1</v>
      </c>
      <c r="K332" s="65"/>
      <c r="L332" s="85" t="b">
        <f>IF(VLOOKUP(C332,Projetos!A:L,12,false)=TRUE,TRUE,FALSE)</f>
        <v>1</v>
      </c>
      <c r="M332" s="74">
        <v>33.15972725468975</v>
      </c>
      <c r="N332" s="74">
        <f t="shared" si="1"/>
        <v>66.31945451</v>
      </c>
      <c r="O332" s="74" t="b">
        <v>1</v>
      </c>
    </row>
    <row r="333" hidden="1">
      <c r="A333" s="82"/>
      <c r="B333" s="65" t="s">
        <v>146</v>
      </c>
      <c r="C333" s="65" t="s">
        <v>88</v>
      </c>
      <c r="D333" s="65" t="str">
        <f>vlookup(C333,'Classificação p pessoal'!F:G,2,false)</f>
        <v>MProduto</v>
      </c>
      <c r="E333" s="65" t="s">
        <v>166</v>
      </c>
      <c r="F333" s="83">
        <v>0.5833333333333334</v>
      </c>
      <c r="G333" s="83">
        <v>0.6666666666666666</v>
      </c>
      <c r="H333" s="83">
        <v>0.08333333333333333</v>
      </c>
      <c r="I333" s="84">
        <v>44432.0</v>
      </c>
      <c r="J333" s="65" t="b">
        <v>1</v>
      </c>
      <c r="K333" s="65"/>
      <c r="L333" s="85" t="b">
        <f>IF(VLOOKUP(C333,Projetos!A:L,12,false)=TRUE,TRUE,FALSE)</f>
        <v>1</v>
      </c>
      <c r="M333" s="74">
        <v>33.15972725468975</v>
      </c>
      <c r="N333" s="74">
        <f t="shared" si="1"/>
        <v>66.31945451</v>
      </c>
      <c r="O333" s="74" t="b">
        <v>1</v>
      </c>
    </row>
    <row r="334" hidden="1">
      <c r="A334" s="82"/>
      <c r="B334" s="65" t="s">
        <v>146</v>
      </c>
      <c r="C334" s="65" t="s">
        <v>88</v>
      </c>
      <c r="D334" s="65" t="str">
        <f>vlookup(C334,'Classificação p pessoal'!F:G,2,false)</f>
        <v>MProduto</v>
      </c>
      <c r="E334" s="65" t="s">
        <v>166</v>
      </c>
      <c r="F334" s="83">
        <v>0.3541666666666667</v>
      </c>
      <c r="G334" s="83">
        <v>0.5416666666666666</v>
      </c>
      <c r="H334" s="83">
        <v>0.1875</v>
      </c>
      <c r="I334" s="84">
        <v>44523.0</v>
      </c>
      <c r="J334" s="65" t="b">
        <v>1</v>
      </c>
      <c r="K334" s="65"/>
      <c r="L334" s="85" t="b">
        <f>IF(VLOOKUP(C334,Projetos!A:L,12,false)=TRUE,TRUE,FALSE)</f>
        <v>1</v>
      </c>
      <c r="M334" s="74">
        <v>33.15972725468975</v>
      </c>
      <c r="N334" s="74">
        <f t="shared" si="1"/>
        <v>149.2187726</v>
      </c>
      <c r="O334" s="74" t="b">
        <v>1</v>
      </c>
    </row>
    <row r="335" hidden="1">
      <c r="A335" s="82"/>
      <c r="B335" s="65" t="s">
        <v>146</v>
      </c>
      <c r="C335" s="65" t="s">
        <v>88</v>
      </c>
      <c r="D335" s="65" t="str">
        <f>vlookup(C335,'Classificação p pessoal'!F:G,2,false)</f>
        <v>MProduto</v>
      </c>
      <c r="E335" s="65" t="s">
        <v>166</v>
      </c>
      <c r="F335" s="83">
        <v>0.3541666666666667</v>
      </c>
      <c r="G335" s="83">
        <v>0.5416666666666666</v>
      </c>
      <c r="H335" s="83">
        <v>0.1875</v>
      </c>
      <c r="I335" s="84">
        <v>44524.0</v>
      </c>
      <c r="J335" s="65" t="b">
        <v>1</v>
      </c>
      <c r="K335" s="65"/>
      <c r="L335" s="85" t="b">
        <f>IF(VLOOKUP(C335,Projetos!A:L,12,false)=TRUE,TRUE,FALSE)</f>
        <v>1</v>
      </c>
      <c r="M335" s="74">
        <v>33.15972725468975</v>
      </c>
      <c r="N335" s="74">
        <f t="shared" si="1"/>
        <v>149.2187726</v>
      </c>
      <c r="O335" s="74" t="b">
        <v>1</v>
      </c>
    </row>
    <row r="336" hidden="1">
      <c r="A336" s="82"/>
      <c r="B336" s="65" t="s">
        <v>146</v>
      </c>
      <c r="C336" s="65" t="s">
        <v>88</v>
      </c>
      <c r="D336" s="65" t="str">
        <f>vlookup(C336,'Classificação p pessoal'!F:G,2,false)</f>
        <v>MProduto</v>
      </c>
      <c r="E336" s="65" t="s">
        <v>166</v>
      </c>
      <c r="F336" s="83">
        <v>0.3541666666666667</v>
      </c>
      <c r="G336" s="83">
        <v>0.5416666666666666</v>
      </c>
      <c r="H336" s="83">
        <v>0.1875</v>
      </c>
      <c r="I336" s="84">
        <v>44525.0</v>
      </c>
      <c r="J336" s="65" t="b">
        <v>1</v>
      </c>
      <c r="K336" s="65"/>
      <c r="L336" s="85" t="b">
        <f>IF(VLOOKUP(C336,Projetos!A:L,12,false)=TRUE,TRUE,FALSE)</f>
        <v>1</v>
      </c>
      <c r="M336" s="74">
        <v>33.15972725468975</v>
      </c>
      <c r="N336" s="74">
        <f t="shared" si="1"/>
        <v>149.2187726</v>
      </c>
      <c r="O336" s="74" t="b">
        <v>1</v>
      </c>
    </row>
    <row r="337" hidden="1">
      <c r="A337" s="82"/>
      <c r="B337" s="65" t="s">
        <v>146</v>
      </c>
      <c r="C337" s="65" t="s">
        <v>88</v>
      </c>
      <c r="D337" s="65" t="str">
        <f>vlookup(C337,'Classificação p pessoal'!F:G,2,false)</f>
        <v>MProduto</v>
      </c>
      <c r="E337" s="65" t="s">
        <v>166</v>
      </c>
      <c r="F337" s="83">
        <v>0.3541666666666667</v>
      </c>
      <c r="G337" s="83">
        <v>0.5416666666666666</v>
      </c>
      <c r="H337" s="83">
        <v>0.1875</v>
      </c>
      <c r="I337" s="84">
        <v>44529.0</v>
      </c>
      <c r="J337" s="65" t="b">
        <v>1</v>
      </c>
      <c r="K337" s="65"/>
      <c r="L337" s="85" t="b">
        <f>IF(VLOOKUP(C337,Projetos!A:L,12,false)=TRUE,TRUE,FALSE)</f>
        <v>1</v>
      </c>
      <c r="M337" s="74">
        <v>33.15972725468975</v>
      </c>
      <c r="N337" s="74">
        <f t="shared" si="1"/>
        <v>149.2187726</v>
      </c>
      <c r="O337" s="74" t="b">
        <v>1</v>
      </c>
    </row>
    <row r="338" hidden="1">
      <c r="A338" s="82"/>
      <c r="B338" s="65" t="s">
        <v>146</v>
      </c>
      <c r="C338" s="65" t="s">
        <v>88</v>
      </c>
      <c r="D338" s="65" t="str">
        <f>vlookup(C338,'Classificação p pessoal'!F:G,2,false)</f>
        <v>MProduto</v>
      </c>
      <c r="E338" s="65" t="s">
        <v>166</v>
      </c>
      <c r="F338" s="83">
        <v>0.3541666666666667</v>
      </c>
      <c r="G338" s="83">
        <v>0.5416666666666666</v>
      </c>
      <c r="H338" s="83">
        <v>0.1875</v>
      </c>
      <c r="I338" s="84">
        <v>44530.0</v>
      </c>
      <c r="J338" s="65" t="b">
        <v>1</v>
      </c>
      <c r="K338" s="65"/>
      <c r="L338" s="85" t="b">
        <f>IF(VLOOKUP(C338,Projetos!A:L,12,false)=TRUE,TRUE,FALSE)</f>
        <v>1</v>
      </c>
      <c r="M338" s="74">
        <v>33.15972725468975</v>
      </c>
      <c r="N338" s="74">
        <f t="shared" si="1"/>
        <v>149.2187726</v>
      </c>
      <c r="O338" s="74" t="b">
        <v>1</v>
      </c>
    </row>
    <row r="339" hidden="1">
      <c r="A339" s="82"/>
      <c r="B339" s="65" t="s">
        <v>146</v>
      </c>
      <c r="C339" s="65" t="s">
        <v>117</v>
      </c>
      <c r="D339" s="65" t="str">
        <f>vlookup(C339,'Classificação p pessoal'!F:G,2,false)</f>
        <v>NP</v>
      </c>
      <c r="E339" s="65" t="s">
        <v>167</v>
      </c>
      <c r="F339" s="83">
        <v>0.5416666666666666</v>
      </c>
      <c r="G339" s="83">
        <v>0.75</v>
      </c>
      <c r="H339" s="83">
        <v>0.20833333333333334</v>
      </c>
      <c r="I339" s="84">
        <v>44379.0</v>
      </c>
      <c r="J339" s="65" t="b">
        <v>1</v>
      </c>
      <c r="K339" s="65"/>
      <c r="L339" s="85" t="b">
        <f>IF(VLOOKUP(C339,Projetos!A:L,12,false)=TRUE,TRUE,FALSE)</f>
        <v>1</v>
      </c>
      <c r="M339" s="74">
        <v>33.15972725468975</v>
      </c>
      <c r="N339" s="74">
        <f t="shared" si="1"/>
        <v>165.7986363</v>
      </c>
      <c r="O339" s="74" t="b">
        <v>1</v>
      </c>
    </row>
    <row r="340" hidden="1">
      <c r="A340" s="82"/>
      <c r="B340" s="65" t="s">
        <v>146</v>
      </c>
      <c r="C340" s="65" t="s">
        <v>88</v>
      </c>
      <c r="D340" s="65" t="str">
        <f>vlookup(C340,'Classificação p pessoal'!F:G,2,false)</f>
        <v>MProduto</v>
      </c>
      <c r="E340" s="65" t="s">
        <v>167</v>
      </c>
      <c r="F340" s="83">
        <v>0.5833333333333334</v>
      </c>
      <c r="G340" s="83">
        <v>0.75</v>
      </c>
      <c r="H340" s="83">
        <v>0.16666666666666666</v>
      </c>
      <c r="I340" s="84">
        <v>44406.0</v>
      </c>
      <c r="J340" s="65" t="b">
        <v>1</v>
      </c>
      <c r="K340" s="65"/>
      <c r="L340" s="85" t="b">
        <f>IF(VLOOKUP(C340,Projetos!A:L,12,false)=TRUE,TRUE,FALSE)</f>
        <v>1</v>
      </c>
      <c r="M340" s="74">
        <v>33.15972725468975</v>
      </c>
      <c r="N340" s="74">
        <f t="shared" si="1"/>
        <v>132.638909</v>
      </c>
      <c r="O340" s="74" t="b">
        <v>1</v>
      </c>
    </row>
    <row r="341" hidden="1">
      <c r="A341" s="82"/>
      <c r="B341" s="65" t="s">
        <v>146</v>
      </c>
      <c r="C341" s="65" t="s">
        <v>117</v>
      </c>
      <c r="D341" s="65" t="str">
        <f>vlookup(C341,'Classificação p pessoal'!F:G,2,false)</f>
        <v>NP</v>
      </c>
      <c r="E341" s="65" t="s">
        <v>167</v>
      </c>
      <c r="F341" s="83">
        <v>0.5416666666666666</v>
      </c>
      <c r="G341" s="83">
        <v>0.7083333333333334</v>
      </c>
      <c r="H341" s="83">
        <v>0.16666666666666666</v>
      </c>
      <c r="I341" s="84">
        <v>44407.0</v>
      </c>
      <c r="J341" s="65" t="b">
        <v>1</v>
      </c>
      <c r="K341" s="65"/>
      <c r="L341" s="85" t="b">
        <f>IF(VLOOKUP(C341,Projetos!A:L,12,false)=TRUE,TRUE,FALSE)</f>
        <v>1</v>
      </c>
      <c r="M341" s="74">
        <v>33.15972725468975</v>
      </c>
      <c r="N341" s="74">
        <f t="shared" si="1"/>
        <v>132.638909</v>
      </c>
      <c r="O341" s="74" t="b">
        <v>1</v>
      </c>
    </row>
    <row r="342" hidden="1">
      <c r="A342" s="82"/>
      <c r="B342" s="65" t="s">
        <v>146</v>
      </c>
      <c r="C342" s="65" t="s">
        <v>117</v>
      </c>
      <c r="D342" s="65" t="str">
        <f>vlookup(C342,'Classificação p pessoal'!F:G,2,false)</f>
        <v>NP</v>
      </c>
      <c r="E342" s="65" t="s">
        <v>167</v>
      </c>
      <c r="F342" s="83">
        <v>0.3541666666666667</v>
      </c>
      <c r="G342" s="83">
        <v>0.5416666666666666</v>
      </c>
      <c r="H342" s="83">
        <v>0.1875</v>
      </c>
      <c r="I342" s="84">
        <v>44410.0</v>
      </c>
      <c r="J342" s="65" t="b">
        <v>1</v>
      </c>
      <c r="K342" s="65"/>
      <c r="L342" s="85" t="b">
        <f>IF(VLOOKUP(C342,Projetos!A:L,12,false)=TRUE,TRUE,FALSE)</f>
        <v>1</v>
      </c>
      <c r="M342" s="74">
        <v>33.15972725468975</v>
      </c>
      <c r="N342" s="74">
        <f t="shared" si="1"/>
        <v>149.2187726</v>
      </c>
      <c r="O342" s="74" t="b">
        <v>1</v>
      </c>
    </row>
    <row r="343" hidden="1">
      <c r="A343" s="82"/>
      <c r="B343" s="65" t="s">
        <v>146</v>
      </c>
      <c r="C343" s="65" t="s">
        <v>117</v>
      </c>
      <c r="D343" s="65" t="str">
        <f>vlookup(C343,'Classificação p pessoal'!F:G,2,false)</f>
        <v>NP</v>
      </c>
      <c r="E343" s="65" t="s">
        <v>167</v>
      </c>
      <c r="F343" s="83">
        <v>0.5833333333333334</v>
      </c>
      <c r="G343" s="83">
        <v>0.75</v>
      </c>
      <c r="H343" s="83">
        <v>0.16666666666666666</v>
      </c>
      <c r="I343" s="84">
        <v>44411.0</v>
      </c>
      <c r="J343" s="65" t="b">
        <v>1</v>
      </c>
      <c r="K343" s="65"/>
      <c r="L343" s="85" t="b">
        <f>IF(VLOOKUP(C343,Projetos!A:L,12,false)=TRUE,TRUE,FALSE)</f>
        <v>1</v>
      </c>
      <c r="M343" s="74">
        <v>33.15972725468975</v>
      </c>
      <c r="N343" s="74">
        <f t="shared" si="1"/>
        <v>132.638909</v>
      </c>
      <c r="O343" s="74" t="b">
        <v>1</v>
      </c>
    </row>
    <row r="344" hidden="1">
      <c r="A344" s="82"/>
      <c r="B344" s="65" t="s">
        <v>146</v>
      </c>
      <c r="C344" s="65" t="s">
        <v>117</v>
      </c>
      <c r="D344" s="65" t="str">
        <f>vlookup(C344,'Classificação p pessoal'!F:G,2,false)</f>
        <v>NP</v>
      </c>
      <c r="E344" s="65" t="s">
        <v>167</v>
      </c>
      <c r="F344" s="83">
        <v>0.5833333333333334</v>
      </c>
      <c r="G344" s="83">
        <v>0.75</v>
      </c>
      <c r="H344" s="83">
        <v>0.16666666666666666</v>
      </c>
      <c r="I344" s="84">
        <v>44412.0</v>
      </c>
      <c r="J344" s="65" t="b">
        <v>1</v>
      </c>
      <c r="K344" s="65"/>
      <c r="L344" s="85" t="b">
        <f>IF(VLOOKUP(C344,Projetos!A:L,12,false)=TRUE,TRUE,FALSE)</f>
        <v>1</v>
      </c>
      <c r="M344" s="74">
        <v>33.15972725468975</v>
      </c>
      <c r="N344" s="74">
        <f t="shared" si="1"/>
        <v>132.638909</v>
      </c>
      <c r="O344" s="74" t="b">
        <v>1</v>
      </c>
    </row>
    <row r="345" hidden="1">
      <c r="A345" s="82"/>
      <c r="B345" s="65" t="s">
        <v>146</v>
      </c>
      <c r="C345" s="65" t="s">
        <v>117</v>
      </c>
      <c r="D345" s="65" t="str">
        <f>vlookup(C345,'Classificação p pessoal'!F:G,2,false)</f>
        <v>NP</v>
      </c>
      <c r="E345" s="65" t="s">
        <v>167</v>
      </c>
      <c r="F345" s="83">
        <v>0.3541666666666667</v>
      </c>
      <c r="G345" s="83">
        <v>0.5</v>
      </c>
      <c r="H345" s="83">
        <v>0.14583333333333334</v>
      </c>
      <c r="I345" s="84">
        <v>44413.0</v>
      </c>
      <c r="J345" s="65" t="b">
        <v>1</v>
      </c>
      <c r="K345" s="65"/>
      <c r="L345" s="85" t="b">
        <f>IF(VLOOKUP(C345,Projetos!A:L,12,false)=TRUE,TRUE,FALSE)</f>
        <v>1</v>
      </c>
      <c r="M345" s="74">
        <v>33.15972725468975</v>
      </c>
      <c r="N345" s="74">
        <f t="shared" si="1"/>
        <v>116.0590454</v>
      </c>
      <c r="O345" s="74" t="b">
        <v>1</v>
      </c>
    </row>
    <row r="346" hidden="1">
      <c r="A346" s="82"/>
      <c r="B346" s="65" t="s">
        <v>146</v>
      </c>
      <c r="C346" s="65" t="s">
        <v>117</v>
      </c>
      <c r="D346" s="65" t="str">
        <f>vlookup(C346,'Classificação p pessoal'!F:G,2,false)</f>
        <v>NP</v>
      </c>
      <c r="E346" s="65" t="s">
        <v>167</v>
      </c>
      <c r="F346" s="83">
        <v>0.625</v>
      </c>
      <c r="G346" s="83">
        <v>0.75</v>
      </c>
      <c r="H346" s="83">
        <v>0.125</v>
      </c>
      <c r="I346" s="84">
        <v>44414.0</v>
      </c>
      <c r="J346" s="65" t="b">
        <v>1</v>
      </c>
      <c r="K346" s="65"/>
      <c r="L346" s="85" t="b">
        <f>IF(VLOOKUP(C346,Projetos!A:L,12,false)=TRUE,TRUE,FALSE)</f>
        <v>1</v>
      </c>
      <c r="M346" s="74">
        <v>33.15972725468975</v>
      </c>
      <c r="N346" s="74">
        <f t="shared" si="1"/>
        <v>99.47918176</v>
      </c>
      <c r="O346" s="74" t="b">
        <v>1</v>
      </c>
    </row>
    <row r="347" hidden="1">
      <c r="A347" s="82"/>
      <c r="B347" s="65" t="s">
        <v>146</v>
      </c>
      <c r="C347" s="65" t="s">
        <v>117</v>
      </c>
      <c r="D347" s="65" t="str">
        <f>vlookup(C347,'Classificação p pessoal'!F:G,2,false)</f>
        <v>NP</v>
      </c>
      <c r="E347" s="65" t="s">
        <v>167</v>
      </c>
      <c r="F347" s="83">
        <v>0.3541666666666667</v>
      </c>
      <c r="G347" s="83">
        <v>0.5416666666666666</v>
      </c>
      <c r="H347" s="83">
        <v>0.1875</v>
      </c>
      <c r="I347" s="84">
        <v>44532.0</v>
      </c>
      <c r="J347" s="65" t="b">
        <v>1</v>
      </c>
      <c r="K347" s="65"/>
      <c r="L347" s="85" t="b">
        <f>IF(VLOOKUP(C347,Projetos!A:L,12,false)=TRUE,TRUE,FALSE)</f>
        <v>1</v>
      </c>
      <c r="M347" s="74">
        <v>33.15972725468975</v>
      </c>
      <c r="N347" s="74">
        <f t="shared" si="1"/>
        <v>149.2187726</v>
      </c>
      <c r="O347" s="74" t="b">
        <v>1</v>
      </c>
    </row>
    <row r="348" hidden="1">
      <c r="A348" s="82"/>
      <c r="B348" s="65" t="s">
        <v>146</v>
      </c>
      <c r="C348" s="65" t="s">
        <v>117</v>
      </c>
      <c r="D348" s="65" t="str">
        <f>vlookup(C348,'Classificação p pessoal'!F:G,2,false)</f>
        <v>NP</v>
      </c>
      <c r="E348" s="65" t="s">
        <v>167</v>
      </c>
      <c r="F348" s="83">
        <v>0.5833333333333334</v>
      </c>
      <c r="G348" s="83">
        <v>0.625</v>
      </c>
      <c r="H348" s="83">
        <v>0.041666666666666664</v>
      </c>
      <c r="I348" s="84">
        <v>44533.0</v>
      </c>
      <c r="J348" s="65" t="b">
        <v>1</v>
      </c>
      <c r="K348" s="65"/>
      <c r="L348" s="85" t="b">
        <f>IF(VLOOKUP(C348,Projetos!A:L,12,false)=TRUE,TRUE,FALSE)</f>
        <v>1</v>
      </c>
      <c r="M348" s="74">
        <v>33.15972725468975</v>
      </c>
      <c r="N348" s="74">
        <f t="shared" si="1"/>
        <v>33.15972725</v>
      </c>
      <c r="O348" s="74" t="b">
        <v>1</v>
      </c>
    </row>
    <row r="349" hidden="1">
      <c r="A349" s="82"/>
      <c r="B349" s="65" t="s">
        <v>146</v>
      </c>
      <c r="C349" s="65" t="s">
        <v>117</v>
      </c>
      <c r="D349" s="65" t="str">
        <f>vlookup(C349,'Classificação p pessoal'!F:G,2,false)</f>
        <v>NP</v>
      </c>
      <c r="E349" s="65" t="s">
        <v>167</v>
      </c>
      <c r="F349" s="83">
        <v>0.3541666666666667</v>
      </c>
      <c r="G349" s="83">
        <v>0.5</v>
      </c>
      <c r="H349" s="83">
        <v>0.14583333333333334</v>
      </c>
      <c r="I349" s="84">
        <v>44539.0</v>
      </c>
      <c r="J349" s="65" t="b">
        <v>1</v>
      </c>
      <c r="K349" s="65"/>
      <c r="L349" s="85" t="b">
        <f>IF(VLOOKUP(C349,Projetos!A:L,12,false)=TRUE,TRUE,FALSE)</f>
        <v>1</v>
      </c>
      <c r="M349" s="74">
        <v>33.15972725468975</v>
      </c>
      <c r="N349" s="74">
        <f t="shared" si="1"/>
        <v>116.0590454</v>
      </c>
      <c r="O349" s="74" t="b">
        <v>1</v>
      </c>
    </row>
    <row r="350" hidden="1">
      <c r="A350" s="82"/>
      <c r="B350" s="65" t="s">
        <v>146</v>
      </c>
      <c r="C350" s="65" t="s">
        <v>117</v>
      </c>
      <c r="D350" s="65" t="str">
        <f>vlookup(C350,'Classificação p pessoal'!F:G,2,false)</f>
        <v>NP</v>
      </c>
      <c r="E350" s="65" t="s">
        <v>167</v>
      </c>
      <c r="F350" s="83">
        <v>0.5833333333333334</v>
      </c>
      <c r="G350" s="83">
        <v>0.625</v>
      </c>
      <c r="H350" s="83">
        <v>0.041666666666666664</v>
      </c>
      <c r="I350" s="84">
        <v>44540.0</v>
      </c>
      <c r="J350" s="65" t="b">
        <v>1</v>
      </c>
      <c r="K350" s="65"/>
      <c r="L350" s="85" t="b">
        <f>IF(VLOOKUP(C350,Projetos!A:L,12,false)=TRUE,TRUE,FALSE)</f>
        <v>1</v>
      </c>
      <c r="M350" s="74">
        <v>33.15972725468975</v>
      </c>
      <c r="N350" s="74">
        <f t="shared" si="1"/>
        <v>33.15972725</v>
      </c>
      <c r="O350" s="74" t="b">
        <v>1</v>
      </c>
    </row>
    <row r="351">
      <c r="A351" s="82"/>
      <c r="B351" s="65" t="s">
        <v>168</v>
      </c>
      <c r="C351" s="65" t="s">
        <v>108</v>
      </c>
      <c r="D351" s="65"/>
      <c r="E351" s="65" t="s">
        <v>169</v>
      </c>
      <c r="F351" s="83">
        <v>0.375</v>
      </c>
      <c r="G351" s="83">
        <v>0.5</v>
      </c>
      <c r="H351" s="83">
        <v>0.125</v>
      </c>
      <c r="I351" s="84">
        <v>44207.0</v>
      </c>
      <c r="J351" s="65" t="b">
        <v>0</v>
      </c>
      <c r="K351" s="65" t="s">
        <v>150</v>
      </c>
      <c r="L351" s="85" t="b">
        <f>IF(VLOOKUP(C351,Projetos!A:L,12,false)=TRUE,TRUE,FALSE)</f>
        <v>1</v>
      </c>
      <c r="M351" s="74">
        <v>93.01026307720058</v>
      </c>
      <c r="N351" s="74">
        <f t="shared" si="1"/>
        <v>0</v>
      </c>
      <c r="O351" s="74" t="b">
        <v>1</v>
      </c>
    </row>
    <row r="352" hidden="1">
      <c r="A352" s="82"/>
      <c r="B352" s="65" t="s">
        <v>168</v>
      </c>
      <c r="C352" s="65" t="s">
        <v>107</v>
      </c>
      <c r="D352" s="65"/>
      <c r="E352" s="65" t="s">
        <v>169</v>
      </c>
      <c r="F352" s="83">
        <v>0.3541666666666667</v>
      </c>
      <c r="G352" s="83">
        <v>0.4791666666666667</v>
      </c>
      <c r="H352" s="83">
        <v>0.125</v>
      </c>
      <c r="I352" s="84">
        <v>44208.0</v>
      </c>
      <c r="J352" s="65" t="b">
        <v>0</v>
      </c>
      <c r="K352" s="65" t="s">
        <v>150</v>
      </c>
      <c r="L352" s="85" t="b">
        <f>IF(VLOOKUP(C352,Projetos!A:L,12,false)=TRUE,TRUE,FALSE)</f>
        <v>1</v>
      </c>
      <c r="M352" s="74">
        <v>93.01026307720058</v>
      </c>
      <c r="N352" s="74">
        <f t="shared" si="1"/>
        <v>0</v>
      </c>
      <c r="O352" s="74" t="b">
        <v>1</v>
      </c>
    </row>
    <row r="353" hidden="1">
      <c r="A353" s="82"/>
      <c r="B353" s="65" t="s">
        <v>168</v>
      </c>
      <c r="C353" s="65" t="s">
        <v>107</v>
      </c>
      <c r="D353" s="65"/>
      <c r="E353" s="65" t="s">
        <v>169</v>
      </c>
      <c r="F353" s="83">
        <v>0.5833333333333334</v>
      </c>
      <c r="G353" s="83">
        <v>0.7083333333333334</v>
      </c>
      <c r="H353" s="83">
        <v>0.125</v>
      </c>
      <c r="I353" s="84">
        <v>44214.0</v>
      </c>
      <c r="J353" s="65" t="b">
        <v>0</v>
      </c>
      <c r="K353" s="65" t="s">
        <v>150</v>
      </c>
      <c r="L353" s="85" t="b">
        <f>IF(VLOOKUP(C353,Projetos!A:L,12,false)=TRUE,TRUE,FALSE)</f>
        <v>1</v>
      </c>
      <c r="M353" s="74">
        <v>93.01026307720058</v>
      </c>
      <c r="N353" s="74">
        <f t="shared" si="1"/>
        <v>0</v>
      </c>
      <c r="O353" s="74" t="b">
        <v>1</v>
      </c>
    </row>
    <row r="354" hidden="1">
      <c r="A354" s="82"/>
      <c r="B354" s="65" t="s">
        <v>168</v>
      </c>
      <c r="C354" s="65" t="s">
        <v>152</v>
      </c>
      <c r="D354" s="65"/>
      <c r="E354" s="65" t="s">
        <v>170</v>
      </c>
      <c r="F354" s="83">
        <v>0.375</v>
      </c>
      <c r="G354" s="83">
        <v>0.4583333333333333</v>
      </c>
      <c r="H354" s="83">
        <v>0.08333333333333333</v>
      </c>
      <c r="I354" s="84">
        <v>44215.0</v>
      </c>
      <c r="J354" s="65" t="b">
        <v>0</v>
      </c>
      <c r="K354" s="65" t="s">
        <v>150</v>
      </c>
      <c r="L354" s="85" t="b">
        <f>IF(VLOOKUP(C354,Projetos!A:L,12,false)=TRUE,TRUE,FALSE)</f>
        <v>1</v>
      </c>
      <c r="M354" s="74">
        <v>93.01026307720058</v>
      </c>
      <c r="N354" s="74">
        <f t="shared" si="1"/>
        <v>0</v>
      </c>
      <c r="O354" s="74" t="b">
        <v>1</v>
      </c>
    </row>
    <row r="355" hidden="1">
      <c r="A355" s="82"/>
      <c r="B355" s="65" t="s">
        <v>168</v>
      </c>
      <c r="C355" s="65" t="s">
        <v>152</v>
      </c>
      <c r="D355" s="65"/>
      <c r="E355" s="65" t="s">
        <v>171</v>
      </c>
      <c r="F355" s="83">
        <v>0.3541666666666667</v>
      </c>
      <c r="G355" s="83">
        <v>0.4791666666666667</v>
      </c>
      <c r="H355" s="83">
        <v>0.125</v>
      </c>
      <c r="I355" s="84">
        <v>44216.0</v>
      </c>
      <c r="J355" s="65" t="b">
        <v>0</v>
      </c>
      <c r="K355" s="65" t="s">
        <v>150</v>
      </c>
      <c r="L355" s="85" t="b">
        <f>IF(VLOOKUP(C355,Projetos!A:L,12,false)=TRUE,TRUE,FALSE)</f>
        <v>1</v>
      </c>
      <c r="M355" s="74">
        <v>93.01026307720058</v>
      </c>
      <c r="N355" s="74">
        <f t="shared" si="1"/>
        <v>0</v>
      </c>
      <c r="O355" s="74" t="b">
        <v>1</v>
      </c>
    </row>
    <row r="356">
      <c r="A356" s="82"/>
      <c r="B356" s="65" t="s">
        <v>168</v>
      </c>
      <c r="C356" s="65" t="s">
        <v>108</v>
      </c>
      <c r="D356" s="65"/>
      <c r="E356" s="65" t="s">
        <v>171</v>
      </c>
      <c r="F356" s="83">
        <v>0.4166666666666667</v>
      </c>
      <c r="G356" s="83">
        <v>0.5</v>
      </c>
      <c r="H356" s="83">
        <v>0.08333333333333333</v>
      </c>
      <c r="I356" s="84">
        <v>44235.0</v>
      </c>
      <c r="J356" s="65" t="b">
        <v>0</v>
      </c>
      <c r="K356" s="65" t="s">
        <v>150</v>
      </c>
      <c r="L356" s="85" t="b">
        <f>IF(VLOOKUP(C356,Projetos!A:L,12,false)=TRUE,TRUE,FALSE)</f>
        <v>1</v>
      </c>
      <c r="M356" s="74">
        <v>93.01026307720058</v>
      </c>
      <c r="N356" s="74">
        <f t="shared" si="1"/>
        <v>0</v>
      </c>
      <c r="O356" s="74" t="b">
        <v>1</v>
      </c>
    </row>
    <row r="357">
      <c r="A357" s="82"/>
      <c r="B357" s="65" t="s">
        <v>168</v>
      </c>
      <c r="C357" s="65" t="s">
        <v>108</v>
      </c>
      <c r="D357" s="65"/>
      <c r="E357" s="65" t="s">
        <v>171</v>
      </c>
      <c r="F357" s="83">
        <v>0.5833333333333334</v>
      </c>
      <c r="G357" s="83">
        <v>0.6666666666666666</v>
      </c>
      <c r="H357" s="83">
        <v>0.08333333333333333</v>
      </c>
      <c r="I357" s="84">
        <v>44236.0</v>
      </c>
      <c r="J357" s="65" t="b">
        <v>0</v>
      </c>
      <c r="K357" s="65" t="s">
        <v>150</v>
      </c>
      <c r="L357" s="85" t="b">
        <f>IF(VLOOKUP(C357,Projetos!A:L,12,false)=TRUE,TRUE,FALSE)</f>
        <v>1</v>
      </c>
      <c r="M357" s="74">
        <v>93.01026307720058</v>
      </c>
      <c r="N357" s="74">
        <f t="shared" si="1"/>
        <v>0</v>
      </c>
      <c r="O357" s="74" t="b">
        <v>1</v>
      </c>
    </row>
    <row r="358" hidden="1">
      <c r="A358" s="82"/>
      <c r="B358" s="65" t="s">
        <v>168</v>
      </c>
      <c r="C358" s="65" t="s">
        <v>107</v>
      </c>
      <c r="D358" s="65" t="str">
        <f>vlookup(C358,'Classificação p pessoal'!F:G,2,false)</f>
        <v>NP</v>
      </c>
      <c r="E358" s="65" t="s">
        <v>172</v>
      </c>
      <c r="F358" s="83">
        <v>0.375</v>
      </c>
      <c r="G358" s="83">
        <v>0.5</v>
      </c>
      <c r="H358" s="83">
        <v>0.125</v>
      </c>
      <c r="I358" s="84">
        <v>44242.0</v>
      </c>
      <c r="J358" s="65" t="b">
        <v>1</v>
      </c>
      <c r="K358" s="65"/>
      <c r="L358" s="85" t="b">
        <f>IF(VLOOKUP(C358,Projetos!A:L,12,false)=TRUE,TRUE,FALSE)</f>
        <v>1</v>
      </c>
      <c r="M358" s="74">
        <v>93.01026307720058</v>
      </c>
      <c r="N358" s="74">
        <f t="shared" si="1"/>
        <v>279.0307892</v>
      </c>
      <c r="O358" s="74" t="b">
        <v>1</v>
      </c>
    </row>
    <row r="359" hidden="1">
      <c r="A359" s="82"/>
      <c r="B359" s="65" t="s">
        <v>168</v>
      </c>
      <c r="C359" s="65" t="s">
        <v>152</v>
      </c>
      <c r="D359" s="65"/>
      <c r="E359" s="65" t="s">
        <v>171</v>
      </c>
      <c r="F359" s="83">
        <v>0.4166666666666667</v>
      </c>
      <c r="G359" s="83">
        <v>0.5416666666666666</v>
      </c>
      <c r="H359" s="83">
        <v>0.125</v>
      </c>
      <c r="I359" s="84">
        <v>44243.0</v>
      </c>
      <c r="J359" s="65" t="b">
        <v>0</v>
      </c>
      <c r="K359" s="65" t="s">
        <v>150</v>
      </c>
      <c r="L359" s="85" t="b">
        <f>IF(VLOOKUP(C359,Projetos!A:L,12,false)=TRUE,TRUE,FALSE)</f>
        <v>1</v>
      </c>
      <c r="M359" s="74">
        <v>93.01026307720058</v>
      </c>
      <c r="N359" s="74">
        <f t="shared" si="1"/>
        <v>0</v>
      </c>
      <c r="O359" s="74" t="b">
        <v>1</v>
      </c>
    </row>
    <row r="360" hidden="1">
      <c r="A360" s="82"/>
      <c r="B360" s="65" t="s">
        <v>168</v>
      </c>
      <c r="C360" s="65" t="s">
        <v>118</v>
      </c>
      <c r="D360" s="65"/>
      <c r="E360" s="65" t="s">
        <v>171</v>
      </c>
      <c r="F360" s="83">
        <v>0.6666666666666666</v>
      </c>
      <c r="G360" s="83">
        <v>0.75</v>
      </c>
      <c r="H360" s="83">
        <v>0.08333333333333333</v>
      </c>
      <c r="I360" s="84">
        <v>44244.0</v>
      </c>
      <c r="J360" s="65" t="b">
        <v>0</v>
      </c>
      <c r="K360" s="65" t="s">
        <v>150</v>
      </c>
      <c r="L360" s="85" t="b">
        <f>IF(VLOOKUP(C360,Projetos!A:L,12,false)=TRUE,TRUE,FALSE)</f>
        <v>1</v>
      </c>
      <c r="M360" s="74">
        <v>93.01026307720058</v>
      </c>
      <c r="N360" s="74">
        <f t="shared" si="1"/>
        <v>0</v>
      </c>
      <c r="O360" s="74" t="b">
        <v>1</v>
      </c>
    </row>
    <row r="361" hidden="1">
      <c r="A361" s="82"/>
      <c r="B361" s="65" t="s">
        <v>168</v>
      </c>
      <c r="C361" s="65" t="s">
        <v>118</v>
      </c>
      <c r="D361" s="65"/>
      <c r="E361" s="65" t="s">
        <v>173</v>
      </c>
      <c r="F361" s="83">
        <v>0.5416666666666666</v>
      </c>
      <c r="G361" s="83">
        <v>0.7083333333333334</v>
      </c>
      <c r="H361" s="83">
        <v>0.16666666666666666</v>
      </c>
      <c r="I361" s="84">
        <v>44251.0</v>
      </c>
      <c r="J361" s="65" t="b">
        <v>0</v>
      </c>
      <c r="K361" s="65" t="s">
        <v>150</v>
      </c>
      <c r="L361" s="85" t="b">
        <f>IF(VLOOKUP(C361,Projetos!A:L,12,false)=TRUE,TRUE,FALSE)</f>
        <v>1</v>
      </c>
      <c r="M361" s="74">
        <v>93.01026307720058</v>
      </c>
      <c r="N361" s="74">
        <f t="shared" si="1"/>
        <v>0</v>
      </c>
      <c r="O361" s="74" t="b">
        <v>1</v>
      </c>
    </row>
    <row r="362">
      <c r="A362" s="82"/>
      <c r="B362" s="65" t="s">
        <v>168</v>
      </c>
      <c r="C362" s="65" t="s">
        <v>108</v>
      </c>
      <c r="D362" s="65"/>
      <c r="E362" s="65" t="s">
        <v>171</v>
      </c>
      <c r="F362" s="83">
        <v>0.5416666666666666</v>
      </c>
      <c r="G362" s="83">
        <v>0.75</v>
      </c>
      <c r="H362" s="83">
        <v>0.20833333333333334</v>
      </c>
      <c r="I362" s="84">
        <v>44263.0</v>
      </c>
      <c r="J362" s="65" t="b">
        <v>0</v>
      </c>
      <c r="K362" s="65" t="s">
        <v>150</v>
      </c>
      <c r="L362" s="85" t="b">
        <f>IF(VLOOKUP(C362,Projetos!A:L,12,false)=TRUE,TRUE,FALSE)</f>
        <v>1</v>
      </c>
      <c r="M362" s="74">
        <v>93.01026307720058</v>
      </c>
      <c r="N362" s="74">
        <f t="shared" si="1"/>
        <v>0</v>
      </c>
      <c r="O362" s="74" t="b">
        <v>1</v>
      </c>
    </row>
    <row r="363">
      <c r="A363" s="82"/>
      <c r="B363" s="65" t="s">
        <v>168</v>
      </c>
      <c r="C363" s="65" t="s">
        <v>108</v>
      </c>
      <c r="D363" s="65"/>
      <c r="E363" s="65" t="s">
        <v>171</v>
      </c>
      <c r="F363" s="83">
        <v>0.4166666666666667</v>
      </c>
      <c r="G363" s="83">
        <v>0.5</v>
      </c>
      <c r="H363" s="83">
        <v>0.08333333333333333</v>
      </c>
      <c r="I363" s="84">
        <v>44264.0</v>
      </c>
      <c r="J363" s="65" t="b">
        <v>0</v>
      </c>
      <c r="K363" s="65" t="s">
        <v>150</v>
      </c>
      <c r="L363" s="85" t="b">
        <f>IF(VLOOKUP(C363,Projetos!A:L,12,false)=TRUE,TRUE,FALSE)</f>
        <v>1</v>
      </c>
      <c r="M363" s="74">
        <v>93.01026307720058</v>
      </c>
      <c r="N363" s="74">
        <f t="shared" si="1"/>
        <v>0</v>
      </c>
      <c r="O363" s="74" t="b">
        <v>1</v>
      </c>
    </row>
    <row r="364">
      <c r="A364" s="82"/>
      <c r="B364" s="65" t="s">
        <v>168</v>
      </c>
      <c r="C364" s="65" t="s">
        <v>108</v>
      </c>
      <c r="D364" s="65" t="str">
        <f>vlookup(C364,'Classificação p pessoal'!F:G,2,false)</f>
        <v>NP</v>
      </c>
      <c r="E364" s="65" t="s">
        <v>172</v>
      </c>
      <c r="F364" s="83">
        <v>0.5416666666666666</v>
      </c>
      <c r="G364" s="83">
        <v>0.6666666666666666</v>
      </c>
      <c r="H364" s="83">
        <v>0.125</v>
      </c>
      <c r="I364" s="84">
        <v>44277.0</v>
      </c>
      <c r="J364" s="65" t="b">
        <v>1</v>
      </c>
      <c r="K364" s="65"/>
      <c r="L364" s="85" t="b">
        <f>IF(VLOOKUP(C364,Projetos!A:L,12,false)=TRUE,TRUE,FALSE)</f>
        <v>1</v>
      </c>
      <c r="M364" s="74">
        <v>93.01026307720058</v>
      </c>
      <c r="N364" s="74">
        <f t="shared" si="1"/>
        <v>279.0307892</v>
      </c>
      <c r="O364" s="74" t="b">
        <v>1</v>
      </c>
    </row>
    <row r="365" hidden="1">
      <c r="A365" s="82"/>
      <c r="B365" s="65" t="s">
        <v>168</v>
      </c>
      <c r="C365" s="65" t="s">
        <v>152</v>
      </c>
      <c r="D365" s="65"/>
      <c r="E365" s="65" t="s">
        <v>171</v>
      </c>
      <c r="F365" s="83">
        <v>0.625</v>
      </c>
      <c r="G365" s="83">
        <v>0.6666666666666666</v>
      </c>
      <c r="H365" s="83">
        <v>0.041666666666666664</v>
      </c>
      <c r="I365" s="84">
        <v>44278.0</v>
      </c>
      <c r="J365" s="65" t="b">
        <v>0</v>
      </c>
      <c r="K365" s="65" t="s">
        <v>150</v>
      </c>
      <c r="L365" s="85" t="b">
        <f>IF(VLOOKUP(C365,Projetos!A:L,12,false)=TRUE,TRUE,FALSE)</f>
        <v>1</v>
      </c>
      <c r="M365" s="74">
        <v>93.01026307720058</v>
      </c>
      <c r="N365" s="74">
        <f t="shared" si="1"/>
        <v>0</v>
      </c>
      <c r="O365" s="74" t="b">
        <v>1</v>
      </c>
    </row>
    <row r="366" hidden="1">
      <c r="A366" s="82"/>
      <c r="B366" s="65" t="s">
        <v>168</v>
      </c>
      <c r="C366" s="65" t="s">
        <v>117</v>
      </c>
      <c r="D366" s="65"/>
      <c r="E366" s="65" t="s">
        <v>171</v>
      </c>
      <c r="F366" s="83">
        <v>0.5</v>
      </c>
      <c r="G366" s="83">
        <v>0.75</v>
      </c>
      <c r="H366" s="83">
        <v>0.25</v>
      </c>
      <c r="I366" s="84">
        <v>44281.0</v>
      </c>
      <c r="J366" s="65" t="b">
        <v>0</v>
      </c>
      <c r="K366" s="65" t="s">
        <v>150</v>
      </c>
      <c r="L366" s="85" t="b">
        <f>IF(VLOOKUP(C366,Projetos!A:L,12,false)=TRUE,TRUE,FALSE)</f>
        <v>1</v>
      </c>
      <c r="M366" s="74">
        <v>93.01026307720058</v>
      </c>
      <c r="N366" s="74">
        <f t="shared" si="1"/>
        <v>0</v>
      </c>
      <c r="O366" s="74" t="b">
        <v>1</v>
      </c>
    </row>
    <row r="367" hidden="1">
      <c r="A367" s="82"/>
      <c r="B367" s="65" t="s">
        <v>168</v>
      </c>
      <c r="C367" s="65" t="s">
        <v>152</v>
      </c>
      <c r="D367" s="65"/>
      <c r="E367" s="65" t="s">
        <v>173</v>
      </c>
      <c r="F367" s="83">
        <v>0.375</v>
      </c>
      <c r="G367" s="83">
        <v>0.5</v>
      </c>
      <c r="H367" s="83">
        <v>0.125</v>
      </c>
      <c r="I367" s="84">
        <v>44285.0</v>
      </c>
      <c r="J367" s="65" t="b">
        <v>0</v>
      </c>
      <c r="K367" s="65" t="s">
        <v>150</v>
      </c>
      <c r="L367" s="85" t="b">
        <f>IF(VLOOKUP(C367,Projetos!A:L,12,false)=TRUE,TRUE,FALSE)</f>
        <v>1</v>
      </c>
      <c r="M367" s="74">
        <v>93.01026307720058</v>
      </c>
      <c r="N367" s="74">
        <f t="shared" si="1"/>
        <v>0</v>
      </c>
      <c r="O367" s="74" t="b">
        <v>1</v>
      </c>
    </row>
    <row r="368">
      <c r="A368" s="82"/>
      <c r="B368" s="65" t="s">
        <v>168</v>
      </c>
      <c r="C368" s="65" t="s">
        <v>108</v>
      </c>
      <c r="D368" s="65"/>
      <c r="E368" s="65" t="s">
        <v>171</v>
      </c>
      <c r="F368" s="83">
        <v>0.375</v>
      </c>
      <c r="G368" s="83">
        <v>0.5</v>
      </c>
      <c r="H368" s="83">
        <v>0.125</v>
      </c>
      <c r="I368" s="84">
        <v>44287.0</v>
      </c>
      <c r="J368" s="65" t="b">
        <v>0</v>
      </c>
      <c r="K368" s="65" t="s">
        <v>150</v>
      </c>
      <c r="L368" s="85" t="b">
        <f>IF(VLOOKUP(C368,Projetos!A:L,12,false)=TRUE,TRUE,FALSE)</f>
        <v>1</v>
      </c>
      <c r="M368" s="74">
        <v>93.01026307720058</v>
      </c>
      <c r="N368" s="74">
        <f t="shared" si="1"/>
        <v>0</v>
      </c>
      <c r="O368" s="74" t="b">
        <v>1</v>
      </c>
    </row>
    <row r="369">
      <c r="A369" s="82"/>
      <c r="B369" s="65" t="s">
        <v>168</v>
      </c>
      <c r="C369" s="65" t="s">
        <v>108</v>
      </c>
      <c r="D369" s="65"/>
      <c r="E369" s="65" t="s">
        <v>171</v>
      </c>
      <c r="F369" s="83">
        <v>0.5833333333333334</v>
      </c>
      <c r="G369" s="83">
        <v>0.6666666666666666</v>
      </c>
      <c r="H369" s="83">
        <v>0.08333333333333333</v>
      </c>
      <c r="I369" s="84">
        <v>44288.0</v>
      </c>
      <c r="J369" s="65" t="b">
        <v>0</v>
      </c>
      <c r="K369" s="65" t="s">
        <v>150</v>
      </c>
      <c r="L369" s="85" t="b">
        <f>IF(VLOOKUP(C369,Projetos!A:L,12,false)=TRUE,TRUE,FALSE)</f>
        <v>1</v>
      </c>
      <c r="M369" s="74">
        <v>93.01026307720058</v>
      </c>
      <c r="N369" s="74">
        <f t="shared" si="1"/>
        <v>0</v>
      </c>
      <c r="O369" s="74" t="b">
        <v>1</v>
      </c>
    </row>
    <row r="370">
      <c r="A370" s="82"/>
      <c r="B370" s="65" t="s">
        <v>168</v>
      </c>
      <c r="C370" s="65" t="s">
        <v>108</v>
      </c>
      <c r="D370" s="65" t="str">
        <f>vlookup(C370,'Classificação p pessoal'!F:G,2,false)</f>
        <v>NP</v>
      </c>
      <c r="E370" s="65" t="s">
        <v>172</v>
      </c>
      <c r="F370" s="83">
        <v>0.375</v>
      </c>
      <c r="G370" s="83">
        <v>0.5</v>
      </c>
      <c r="H370" s="83">
        <v>0.125</v>
      </c>
      <c r="I370" s="84">
        <v>44314.0</v>
      </c>
      <c r="J370" s="65" t="b">
        <v>1</v>
      </c>
      <c r="K370" s="65"/>
      <c r="L370" s="85" t="b">
        <f>IF(VLOOKUP(C370,Projetos!A:L,12,false)=TRUE,TRUE,FALSE)</f>
        <v>1</v>
      </c>
      <c r="M370" s="74">
        <v>93.01026307720058</v>
      </c>
      <c r="N370" s="74">
        <f t="shared" si="1"/>
        <v>279.0307892</v>
      </c>
      <c r="O370" s="74" t="b">
        <v>1</v>
      </c>
    </row>
    <row r="371" hidden="1">
      <c r="A371" s="82"/>
      <c r="B371" s="65" t="s">
        <v>168</v>
      </c>
      <c r="C371" s="65" t="s">
        <v>152</v>
      </c>
      <c r="D371" s="65"/>
      <c r="E371" s="65" t="s">
        <v>171</v>
      </c>
      <c r="F371" s="83">
        <v>0.4166666666666667</v>
      </c>
      <c r="G371" s="83">
        <v>0.5416666666666666</v>
      </c>
      <c r="H371" s="83">
        <v>0.125</v>
      </c>
      <c r="I371" s="84">
        <v>44315.0</v>
      </c>
      <c r="J371" s="65" t="b">
        <v>0</v>
      </c>
      <c r="K371" s="65" t="s">
        <v>150</v>
      </c>
      <c r="L371" s="85" t="b">
        <f>IF(VLOOKUP(C371,Projetos!A:L,12,false)=TRUE,TRUE,FALSE)</f>
        <v>1</v>
      </c>
      <c r="M371" s="74">
        <v>93.01026307720058</v>
      </c>
      <c r="N371" s="74">
        <f t="shared" si="1"/>
        <v>0</v>
      </c>
      <c r="O371" s="74" t="b">
        <v>1</v>
      </c>
    </row>
    <row r="372" hidden="1">
      <c r="A372" s="82"/>
      <c r="B372" s="65" t="s">
        <v>168</v>
      </c>
      <c r="C372" s="65" t="s">
        <v>117</v>
      </c>
      <c r="D372" s="65"/>
      <c r="E372" s="65" t="s">
        <v>171</v>
      </c>
      <c r="F372" s="83">
        <v>0.625</v>
      </c>
      <c r="G372" s="83">
        <v>0.75</v>
      </c>
      <c r="H372" s="83">
        <v>0.125</v>
      </c>
      <c r="I372" s="84">
        <v>44316.0</v>
      </c>
      <c r="J372" s="65" t="b">
        <v>0</v>
      </c>
      <c r="K372" s="65" t="s">
        <v>150</v>
      </c>
      <c r="L372" s="85" t="b">
        <f>IF(VLOOKUP(C372,Projetos!A:L,12,false)=TRUE,TRUE,FALSE)</f>
        <v>1</v>
      </c>
      <c r="M372" s="74">
        <v>93.01026307720058</v>
      </c>
      <c r="N372" s="74">
        <f t="shared" si="1"/>
        <v>0</v>
      </c>
      <c r="O372" s="74" t="b">
        <v>1</v>
      </c>
    </row>
    <row r="373" hidden="1">
      <c r="A373" s="82"/>
      <c r="B373" s="65" t="s">
        <v>168</v>
      </c>
      <c r="C373" s="65" t="s">
        <v>152</v>
      </c>
      <c r="D373" s="65"/>
      <c r="E373" s="65" t="s">
        <v>173</v>
      </c>
      <c r="F373" s="83">
        <v>0.7083333333333334</v>
      </c>
      <c r="G373" s="83">
        <v>0.75</v>
      </c>
      <c r="H373" s="83">
        <v>0.041666666666666664</v>
      </c>
      <c r="I373" s="84">
        <v>44315.0</v>
      </c>
      <c r="J373" s="65" t="b">
        <v>0</v>
      </c>
      <c r="K373" s="65" t="s">
        <v>150</v>
      </c>
      <c r="L373" s="85" t="b">
        <f>IF(VLOOKUP(C373,Projetos!A:L,12,false)=TRUE,TRUE,FALSE)</f>
        <v>1</v>
      </c>
      <c r="M373" s="74">
        <v>93.01026307720058</v>
      </c>
      <c r="N373" s="74">
        <f t="shared" si="1"/>
        <v>0</v>
      </c>
      <c r="O373" s="74" t="b">
        <v>1</v>
      </c>
    </row>
    <row r="374">
      <c r="A374" s="82"/>
      <c r="B374" s="65" t="s">
        <v>168</v>
      </c>
      <c r="C374" s="65" t="s">
        <v>108</v>
      </c>
      <c r="D374" s="65"/>
      <c r="E374" s="65" t="s">
        <v>171</v>
      </c>
      <c r="F374" s="83">
        <v>0.4166666666666667</v>
      </c>
      <c r="G374" s="83">
        <v>0.5416666666666666</v>
      </c>
      <c r="H374" s="83">
        <v>0.125</v>
      </c>
      <c r="I374" s="84">
        <v>44326.0</v>
      </c>
      <c r="J374" s="65" t="b">
        <v>0</v>
      </c>
      <c r="K374" s="65" t="s">
        <v>150</v>
      </c>
      <c r="L374" s="85" t="b">
        <f>IF(VLOOKUP(C374,Projetos!A:L,12,false)=TRUE,TRUE,FALSE)</f>
        <v>1</v>
      </c>
      <c r="M374" s="74">
        <v>93.01026307720058</v>
      </c>
      <c r="N374" s="74">
        <f t="shared" si="1"/>
        <v>0</v>
      </c>
      <c r="O374" s="74" t="b">
        <v>1</v>
      </c>
    </row>
    <row r="375">
      <c r="A375" s="82"/>
      <c r="B375" s="65" t="s">
        <v>168</v>
      </c>
      <c r="C375" s="65" t="s">
        <v>108</v>
      </c>
      <c r="D375" s="65"/>
      <c r="E375" s="65" t="s">
        <v>171</v>
      </c>
      <c r="F375" s="83">
        <v>0.5833333333333334</v>
      </c>
      <c r="G375" s="83">
        <v>0.7083333333333334</v>
      </c>
      <c r="H375" s="83">
        <v>0.125</v>
      </c>
      <c r="I375" s="84">
        <v>44327.0</v>
      </c>
      <c r="J375" s="65" t="b">
        <v>0</v>
      </c>
      <c r="K375" s="65" t="s">
        <v>150</v>
      </c>
      <c r="L375" s="85" t="b">
        <f>IF(VLOOKUP(C375,Projetos!A:L,12,false)=TRUE,TRUE,FALSE)</f>
        <v>1</v>
      </c>
      <c r="M375" s="74">
        <v>93.01026307720058</v>
      </c>
      <c r="N375" s="74">
        <f t="shared" si="1"/>
        <v>0</v>
      </c>
      <c r="O375" s="74" t="b">
        <v>1</v>
      </c>
    </row>
    <row r="376" hidden="1">
      <c r="A376" s="82"/>
      <c r="B376" s="65" t="s">
        <v>168</v>
      </c>
      <c r="C376" s="65" t="s">
        <v>107</v>
      </c>
      <c r="D376" s="65" t="str">
        <f>vlookup(C376,'Classificação p pessoal'!F:G,2,false)</f>
        <v>NP</v>
      </c>
      <c r="E376" s="65" t="s">
        <v>172</v>
      </c>
      <c r="F376" s="83">
        <v>0.375</v>
      </c>
      <c r="G376" s="83">
        <v>0.5</v>
      </c>
      <c r="H376" s="83">
        <v>0.125</v>
      </c>
      <c r="I376" s="84">
        <v>44333.0</v>
      </c>
      <c r="J376" s="65" t="b">
        <v>1</v>
      </c>
      <c r="K376" s="65"/>
      <c r="L376" s="85" t="b">
        <f>IF(VLOOKUP(C376,Projetos!A:L,12,false)=TRUE,TRUE,FALSE)</f>
        <v>1</v>
      </c>
      <c r="M376" s="74">
        <v>93.01026307720058</v>
      </c>
      <c r="N376" s="74">
        <f t="shared" si="1"/>
        <v>279.0307892</v>
      </c>
      <c r="O376" s="74" t="b">
        <v>1</v>
      </c>
    </row>
    <row r="377" hidden="1">
      <c r="A377" s="82"/>
      <c r="B377" s="65" t="s">
        <v>168</v>
      </c>
      <c r="C377" s="65" t="s">
        <v>152</v>
      </c>
      <c r="D377" s="65"/>
      <c r="E377" s="65" t="s">
        <v>171</v>
      </c>
      <c r="F377" s="83">
        <v>0.375</v>
      </c>
      <c r="G377" s="83">
        <v>0.5416666666666666</v>
      </c>
      <c r="H377" s="83">
        <v>0.16666666666666666</v>
      </c>
      <c r="I377" s="84">
        <v>44334.0</v>
      </c>
      <c r="J377" s="65" t="b">
        <v>0</v>
      </c>
      <c r="K377" s="65" t="s">
        <v>150</v>
      </c>
      <c r="L377" s="85" t="b">
        <f>IF(VLOOKUP(C377,Projetos!A:L,12,false)=TRUE,TRUE,FALSE)</f>
        <v>1</v>
      </c>
      <c r="M377" s="74">
        <v>93.01026307720058</v>
      </c>
      <c r="N377" s="74">
        <f t="shared" si="1"/>
        <v>0</v>
      </c>
      <c r="O377" s="74" t="b">
        <v>1</v>
      </c>
    </row>
    <row r="378" hidden="1">
      <c r="A378" s="82"/>
      <c r="B378" s="65" t="s">
        <v>168</v>
      </c>
      <c r="C378" s="65" t="s">
        <v>118</v>
      </c>
      <c r="D378" s="65"/>
      <c r="E378" s="65" t="s">
        <v>171</v>
      </c>
      <c r="F378" s="83">
        <v>0.6666666666666666</v>
      </c>
      <c r="G378" s="83">
        <v>0.75</v>
      </c>
      <c r="H378" s="83">
        <v>0.08333333333333333</v>
      </c>
      <c r="I378" s="84">
        <v>44335.0</v>
      </c>
      <c r="J378" s="65" t="b">
        <v>0</v>
      </c>
      <c r="K378" s="65" t="s">
        <v>150</v>
      </c>
      <c r="L378" s="85" t="b">
        <f>IF(VLOOKUP(C378,Projetos!A:L,12,false)=TRUE,TRUE,FALSE)</f>
        <v>1</v>
      </c>
      <c r="M378" s="74">
        <v>93.01026307720058</v>
      </c>
      <c r="N378" s="74">
        <f t="shared" si="1"/>
        <v>0</v>
      </c>
      <c r="O378" s="74" t="b">
        <v>1</v>
      </c>
    </row>
    <row r="379" hidden="1">
      <c r="A379" s="82"/>
      <c r="B379" s="65" t="s">
        <v>168</v>
      </c>
      <c r="C379" s="65" t="s">
        <v>118</v>
      </c>
      <c r="D379" s="65"/>
      <c r="E379" s="65" t="s">
        <v>173</v>
      </c>
      <c r="F379" s="83">
        <v>0.5416666666666666</v>
      </c>
      <c r="G379" s="83">
        <v>0.7083333333333334</v>
      </c>
      <c r="H379" s="83">
        <v>0.16666666666666666</v>
      </c>
      <c r="I379" s="84">
        <v>44336.0</v>
      </c>
      <c r="J379" s="65" t="b">
        <v>0</v>
      </c>
      <c r="K379" s="65" t="s">
        <v>150</v>
      </c>
      <c r="L379" s="85" t="b">
        <f>IF(VLOOKUP(C379,Projetos!A:L,12,false)=TRUE,TRUE,FALSE)</f>
        <v>1</v>
      </c>
      <c r="M379" s="74">
        <v>93.01026307720058</v>
      </c>
      <c r="N379" s="74">
        <f t="shared" si="1"/>
        <v>0</v>
      </c>
      <c r="O379" s="74" t="b">
        <v>1</v>
      </c>
    </row>
    <row r="380">
      <c r="A380" s="82"/>
      <c r="B380" s="65" t="s">
        <v>168</v>
      </c>
      <c r="C380" s="65" t="s">
        <v>108</v>
      </c>
      <c r="D380" s="65"/>
      <c r="E380" s="65" t="s">
        <v>171</v>
      </c>
      <c r="F380" s="83">
        <v>0.4166666666666667</v>
      </c>
      <c r="G380" s="83">
        <v>0.5</v>
      </c>
      <c r="H380" s="83">
        <v>0.08333333333333333</v>
      </c>
      <c r="I380" s="84">
        <v>44349.0</v>
      </c>
      <c r="J380" s="65" t="b">
        <v>0</v>
      </c>
      <c r="K380" s="65" t="s">
        <v>150</v>
      </c>
      <c r="L380" s="85" t="b">
        <f>IF(VLOOKUP(C380,Projetos!A:L,12,false)=TRUE,TRUE,FALSE)</f>
        <v>1</v>
      </c>
      <c r="M380" s="74">
        <v>93.01026307720058</v>
      </c>
      <c r="N380" s="74">
        <f t="shared" si="1"/>
        <v>0</v>
      </c>
      <c r="O380" s="74" t="b">
        <v>1</v>
      </c>
    </row>
    <row r="381" hidden="1">
      <c r="A381" s="82"/>
      <c r="B381" s="65" t="s">
        <v>168</v>
      </c>
      <c r="C381" s="65" t="s">
        <v>100</v>
      </c>
      <c r="D381" s="65"/>
      <c r="E381" s="65" t="s">
        <v>171</v>
      </c>
      <c r="F381" s="83">
        <v>0.375</v>
      </c>
      <c r="G381" s="83">
        <v>0.5</v>
      </c>
      <c r="H381" s="83">
        <v>0.125</v>
      </c>
      <c r="I381" s="84">
        <v>44356.0</v>
      </c>
      <c r="J381" s="65" t="b">
        <v>0</v>
      </c>
      <c r="K381" s="65" t="s">
        <v>150</v>
      </c>
      <c r="L381" s="85" t="b">
        <f>IF(VLOOKUP(C381,Projetos!A:L,12,false)=TRUE,TRUE,FALSE)</f>
        <v>1</v>
      </c>
      <c r="M381" s="74">
        <v>93.01026307720058</v>
      </c>
      <c r="N381" s="74">
        <f t="shared" si="1"/>
        <v>0</v>
      </c>
      <c r="O381" s="74" t="b">
        <v>1</v>
      </c>
    </row>
    <row r="382" hidden="1">
      <c r="A382" s="82"/>
      <c r="B382" s="65" t="s">
        <v>168</v>
      </c>
      <c r="C382" s="65" t="s">
        <v>118</v>
      </c>
      <c r="D382" s="65" t="str">
        <f>vlookup(C382,'Classificação p pessoal'!F:G,2,false)</f>
        <v>MProduto</v>
      </c>
      <c r="E382" s="65" t="s">
        <v>172</v>
      </c>
      <c r="F382" s="83">
        <v>0.5416666666666666</v>
      </c>
      <c r="G382" s="83">
        <v>0.625</v>
      </c>
      <c r="H382" s="83">
        <v>0.08333333333333333</v>
      </c>
      <c r="I382" s="84">
        <v>44363.0</v>
      </c>
      <c r="J382" s="65" t="b">
        <v>1</v>
      </c>
      <c r="K382" s="65"/>
      <c r="L382" s="85" t="b">
        <f>IF(VLOOKUP(C382,Projetos!A:L,12,false)=TRUE,TRUE,FALSE)</f>
        <v>1</v>
      </c>
      <c r="M382" s="74">
        <v>93.01026307720058</v>
      </c>
      <c r="N382" s="74">
        <f t="shared" si="1"/>
        <v>186.0205262</v>
      </c>
      <c r="O382" s="74" t="b">
        <v>1</v>
      </c>
    </row>
    <row r="383" hidden="1">
      <c r="A383" s="82"/>
      <c r="B383" s="65" t="s">
        <v>168</v>
      </c>
      <c r="C383" s="65" t="s">
        <v>88</v>
      </c>
      <c r="D383" s="65"/>
      <c r="E383" s="65" t="s">
        <v>171</v>
      </c>
      <c r="F383" s="83">
        <v>0.625</v>
      </c>
      <c r="G383" s="83">
        <v>0.75</v>
      </c>
      <c r="H383" s="83">
        <v>0.125</v>
      </c>
      <c r="I383" s="84">
        <v>44364.0</v>
      </c>
      <c r="J383" s="65" t="b">
        <v>0</v>
      </c>
      <c r="K383" s="65" t="s">
        <v>150</v>
      </c>
      <c r="L383" s="85" t="b">
        <f>IF(VLOOKUP(C383,Projetos!A:L,12,false)=TRUE,TRUE,FALSE)</f>
        <v>1</v>
      </c>
      <c r="M383" s="74">
        <v>93.01026307720058</v>
      </c>
      <c r="N383" s="74">
        <f t="shared" si="1"/>
        <v>0</v>
      </c>
      <c r="O383" s="74" t="b">
        <v>1</v>
      </c>
    </row>
    <row r="384" hidden="1">
      <c r="A384" s="82"/>
      <c r="B384" s="65" t="s">
        <v>168</v>
      </c>
      <c r="C384" s="65" t="s">
        <v>88</v>
      </c>
      <c r="D384" s="65"/>
      <c r="E384" s="65" t="s">
        <v>171</v>
      </c>
      <c r="F384" s="83">
        <v>0.4166666666666667</v>
      </c>
      <c r="G384" s="83">
        <v>0.5</v>
      </c>
      <c r="H384" s="83">
        <v>0.08333333333333333</v>
      </c>
      <c r="I384" s="84">
        <v>44368.0</v>
      </c>
      <c r="J384" s="65" t="b">
        <v>0</v>
      </c>
      <c r="K384" s="65" t="s">
        <v>150</v>
      </c>
      <c r="L384" s="85" t="b">
        <f>IF(VLOOKUP(C384,Projetos!A:L,12,false)=TRUE,TRUE,FALSE)</f>
        <v>1</v>
      </c>
      <c r="M384" s="74">
        <v>93.01026307720058</v>
      </c>
      <c r="N384" s="74">
        <f t="shared" si="1"/>
        <v>0</v>
      </c>
      <c r="O384" s="74" t="b">
        <v>1</v>
      </c>
    </row>
    <row r="385" hidden="1">
      <c r="A385" s="82"/>
      <c r="B385" s="65" t="s">
        <v>168</v>
      </c>
      <c r="C385" s="65" t="s">
        <v>107</v>
      </c>
      <c r="D385" s="65"/>
      <c r="E385" s="65" t="s">
        <v>174</v>
      </c>
      <c r="F385" s="83">
        <v>0.375</v>
      </c>
      <c r="G385" s="83">
        <v>0.5</v>
      </c>
      <c r="H385" s="83">
        <v>0.125</v>
      </c>
      <c r="I385" s="84">
        <v>44369.0</v>
      </c>
      <c r="J385" s="65" t="b">
        <v>0</v>
      </c>
      <c r="K385" s="65" t="s">
        <v>150</v>
      </c>
      <c r="L385" s="85" t="b">
        <f>IF(VLOOKUP(C385,Projetos!A:L,12,false)=TRUE,TRUE,FALSE)</f>
        <v>1</v>
      </c>
      <c r="M385" s="74">
        <v>93.01026307720058</v>
      </c>
      <c r="N385" s="74">
        <f t="shared" si="1"/>
        <v>0</v>
      </c>
      <c r="O385" s="74" t="b">
        <v>1</v>
      </c>
    </row>
    <row r="386" hidden="1">
      <c r="A386" s="82"/>
      <c r="B386" s="65" t="s">
        <v>168</v>
      </c>
      <c r="C386" s="65" t="s">
        <v>84</v>
      </c>
      <c r="D386" s="65"/>
      <c r="E386" s="65" t="s">
        <v>175</v>
      </c>
      <c r="F386" s="83">
        <v>0.5416666666666666</v>
      </c>
      <c r="G386" s="83">
        <v>0.625</v>
      </c>
      <c r="H386" s="83">
        <v>0.08333333333333333</v>
      </c>
      <c r="I386" s="84">
        <v>44370.0</v>
      </c>
      <c r="J386" s="65" t="b">
        <v>0</v>
      </c>
      <c r="K386" s="65"/>
      <c r="L386" s="85" t="b">
        <f>IF(VLOOKUP(C386,Projetos!A:L,12,false)=TRUE,TRUE,FALSE)</f>
        <v>0</v>
      </c>
      <c r="M386" s="74">
        <v>93.01026307720058</v>
      </c>
      <c r="N386" s="74">
        <f t="shared" si="1"/>
        <v>0</v>
      </c>
      <c r="O386" s="74" t="b">
        <v>0</v>
      </c>
    </row>
    <row r="387" hidden="1">
      <c r="A387" s="82"/>
      <c r="B387" s="65" t="s">
        <v>168</v>
      </c>
      <c r="C387" s="65" t="s">
        <v>122</v>
      </c>
      <c r="D387" s="65"/>
      <c r="E387" s="65" t="s">
        <v>173</v>
      </c>
      <c r="F387" s="83">
        <v>0.625</v>
      </c>
      <c r="G387" s="83">
        <v>0.75</v>
      </c>
      <c r="H387" s="83">
        <v>0.125</v>
      </c>
      <c r="I387" s="84">
        <v>44371.0</v>
      </c>
      <c r="J387" s="65" t="b">
        <v>0</v>
      </c>
      <c r="K387" s="65" t="s">
        <v>150</v>
      </c>
      <c r="L387" s="85" t="b">
        <f>IF(VLOOKUP(C387,Projetos!A:L,12,false)=TRUE,TRUE,FALSE)</f>
        <v>1</v>
      </c>
      <c r="M387" s="74">
        <v>93.01026307720058</v>
      </c>
      <c r="N387" s="74">
        <f t="shared" si="1"/>
        <v>0</v>
      </c>
      <c r="O387" s="74" t="b">
        <v>1</v>
      </c>
    </row>
    <row r="388" hidden="1">
      <c r="A388" s="82"/>
      <c r="B388" s="65" t="s">
        <v>168</v>
      </c>
      <c r="C388" s="65" t="s">
        <v>100</v>
      </c>
      <c r="D388" s="65"/>
      <c r="E388" s="65" t="s">
        <v>171</v>
      </c>
      <c r="F388" s="83">
        <v>0.375</v>
      </c>
      <c r="G388" s="83">
        <v>0.5</v>
      </c>
      <c r="H388" s="83">
        <v>0.125</v>
      </c>
      <c r="I388" s="84">
        <v>44383.0</v>
      </c>
      <c r="J388" s="65" t="b">
        <v>0</v>
      </c>
      <c r="K388" s="65" t="s">
        <v>150</v>
      </c>
      <c r="L388" s="85" t="b">
        <f>IF(VLOOKUP(C388,Projetos!A:L,12,false)=TRUE,TRUE,FALSE)</f>
        <v>1</v>
      </c>
      <c r="M388" s="74">
        <v>93.01026307720058</v>
      </c>
      <c r="N388" s="74">
        <f t="shared" si="1"/>
        <v>0</v>
      </c>
      <c r="O388" s="74" t="b">
        <v>1</v>
      </c>
    </row>
    <row r="389" hidden="1">
      <c r="A389" s="82"/>
      <c r="B389" s="65" t="s">
        <v>168</v>
      </c>
      <c r="C389" s="65" t="s">
        <v>107</v>
      </c>
      <c r="D389" s="65"/>
      <c r="E389" s="65" t="s">
        <v>171</v>
      </c>
      <c r="F389" s="83">
        <v>0.5833333333333334</v>
      </c>
      <c r="G389" s="83">
        <v>0.6666666666666666</v>
      </c>
      <c r="H389" s="83">
        <v>0.08333333333333333</v>
      </c>
      <c r="I389" s="84">
        <v>44384.0</v>
      </c>
      <c r="J389" s="65" t="b">
        <v>0</v>
      </c>
      <c r="K389" s="65" t="s">
        <v>150</v>
      </c>
      <c r="L389" s="85" t="b">
        <f>IF(VLOOKUP(C389,Projetos!A:L,12,false)=TRUE,TRUE,FALSE)</f>
        <v>1</v>
      </c>
      <c r="M389" s="74">
        <v>93.01026307720058</v>
      </c>
      <c r="N389" s="74">
        <f t="shared" si="1"/>
        <v>0</v>
      </c>
      <c r="O389" s="74" t="b">
        <v>1</v>
      </c>
    </row>
    <row r="390" hidden="1">
      <c r="A390" s="82"/>
      <c r="B390" s="65" t="s">
        <v>168</v>
      </c>
      <c r="C390" s="65" t="s">
        <v>122</v>
      </c>
      <c r="D390" s="65" t="str">
        <f>vlookup(C390,'Classificação p pessoal'!F:G,2,false)</f>
        <v>NP</v>
      </c>
      <c r="E390" s="65" t="s">
        <v>172</v>
      </c>
      <c r="F390" s="83">
        <v>0.375</v>
      </c>
      <c r="G390" s="83">
        <v>0.5</v>
      </c>
      <c r="H390" s="83">
        <v>0.125</v>
      </c>
      <c r="I390" s="84">
        <v>44390.0</v>
      </c>
      <c r="J390" s="65" t="b">
        <v>1</v>
      </c>
      <c r="K390" s="65"/>
      <c r="L390" s="85" t="b">
        <f>IF(VLOOKUP(C390,Projetos!A:L,12,false)=TRUE,TRUE,FALSE)</f>
        <v>1</v>
      </c>
      <c r="M390" s="74">
        <v>93.01026307720058</v>
      </c>
      <c r="N390" s="74">
        <f t="shared" si="1"/>
        <v>279.0307892</v>
      </c>
      <c r="O390" s="74" t="b">
        <v>1</v>
      </c>
    </row>
    <row r="391" hidden="1">
      <c r="A391" s="82"/>
      <c r="B391" s="65" t="s">
        <v>168</v>
      </c>
      <c r="C391" s="65" t="s">
        <v>122</v>
      </c>
      <c r="D391" s="65"/>
      <c r="E391" s="65" t="s">
        <v>171</v>
      </c>
      <c r="F391" s="83">
        <v>0.4166666666666667</v>
      </c>
      <c r="G391" s="83">
        <v>0.5416666666666666</v>
      </c>
      <c r="H391" s="83">
        <v>0.125</v>
      </c>
      <c r="I391" s="84">
        <v>44391.0</v>
      </c>
      <c r="J391" s="65" t="b">
        <v>0</v>
      </c>
      <c r="K391" s="65" t="s">
        <v>150</v>
      </c>
      <c r="L391" s="85" t="b">
        <f>IF(VLOOKUP(C391,Projetos!A:L,12,false)=TRUE,TRUE,FALSE)</f>
        <v>1</v>
      </c>
      <c r="M391" s="74">
        <v>93.01026307720058</v>
      </c>
      <c r="N391" s="74">
        <f t="shared" si="1"/>
        <v>0</v>
      </c>
      <c r="O391" s="74" t="b">
        <v>1</v>
      </c>
    </row>
    <row r="392" hidden="1">
      <c r="A392" s="82"/>
      <c r="B392" s="65" t="s">
        <v>168</v>
      </c>
      <c r="C392" s="65" t="s">
        <v>132</v>
      </c>
      <c r="D392" s="65"/>
      <c r="E392" s="65" t="s">
        <v>173</v>
      </c>
      <c r="F392" s="83">
        <v>0.625</v>
      </c>
      <c r="G392" s="83">
        <v>0.75</v>
      </c>
      <c r="H392" s="83">
        <v>0.125</v>
      </c>
      <c r="I392" s="84">
        <v>44399.0</v>
      </c>
      <c r="J392" s="65" t="b">
        <v>0</v>
      </c>
      <c r="K392" s="65" t="s">
        <v>150</v>
      </c>
      <c r="L392" s="85" t="b">
        <f>IF(VLOOKUP(C392,Projetos!A:L,12,false)=TRUE,TRUE,FALSE)</f>
        <v>0</v>
      </c>
      <c r="M392" s="74">
        <v>93.01026307720058</v>
      </c>
      <c r="N392" s="74">
        <f t="shared" si="1"/>
        <v>0</v>
      </c>
      <c r="O392" s="74" t="b">
        <v>0</v>
      </c>
    </row>
    <row r="393">
      <c r="A393" s="82"/>
      <c r="B393" s="65" t="s">
        <v>168</v>
      </c>
      <c r="C393" s="65" t="s">
        <v>108</v>
      </c>
      <c r="D393" s="65"/>
      <c r="E393" s="65" t="s">
        <v>171</v>
      </c>
      <c r="F393" s="83">
        <v>0.4166666666666667</v>
      </c>
      <c r="G393" s="83">
        <v>0.5</v>
      </c>
      <c r="H393" s="83">
        <v>0.08333333333333333</v>
      </c>
      <c r="I393" s="84">
        <v>44418.0</v>
      </c>
      <c r="J393" s="65" t="b">
        <v>0</v>
      </c>
      <c r="K393" s="65" t="s">
        <v>150</v>
      </c>
      <c r="L393" s="85" t="b">
        <f>IF(VLOOKUP(C393,Projetos!A:L,12,false)=TRUE,TRUE,FALSE)</f>
        <v>1</v>
      </c>
      <c r="M393" s="74">
        <v>93.01026307720058</v>
      </c>
      <c r="N393" s="74">
        <f t="shared" si="1"/>
        <v>0</v>
      </c>
      <c r="O393" s="74" t="b">
        <v>1</v>
      </c>
    </row>
    <row r="394" hidden="1">
      <c r="A394" s="82"/>
      <c r="B394" s="65" t="s">
        <v>168</v>
      </c>
      <c r="C394" s="65" t="s">
        <v>107</v>
      </c>
      <c r="D394" s="65"/>
      <c r="E394" s="65" t="s">
        <v>171</v>
      </c>
      <c r="F394" s="83">
        <v>0.5833333333333334</v>
      </c>
      <c r="G394" s="83">
        <v>0.6666666666666666</v>
      </c>
      <c r="H394" s="83">
        <v>0.08333333333333333</v>
      </c>
      <c r="I394" s="84">
        <v>44419.0</v>
      </c>
      <c r="J394" s="65" t="b">
        <v>0</v>
      </c>
      <c r="K394" s="65" t="s">
        <v>150</v>
      </c>
      <c r="L394" s="85" t="b">
        <f>IF(VLOOKUP(C394,Projetos!A:L,12,false)=TRUE,TRUE,FALSE)</f>
        <v>1</v>
      </c>
      <c r="M394" s="74">
        <v>93.01026307720058</v>
      </c>
      <c r="N394" s="74">
        <f t="shared" si="1"/>
        <v>0</v>
      </c>
      <c r="O394" s="74" t="b">
        <v>1</v>
      </c>
    </row>
    <row r="395" hidden="1">
      <c r="A395" s="82"/>
      <c r="B395" s="65" t="s">
        <v>168</v>
      </c>
      <c r="C395" s="65" t="s">
        <v>122</v>
      </c>
      <c r="D395" s="65" t="str">
        <f>vlookup(C395,'Classificação p pessoal'!F:G,2,false)</f>
        <v>NP</v>
      </c>
      <c r="E395" s="65" t="s">
        <v>172</v>
      </c>
      <c r="F395" s="83">
        <v>0.375</v>
      </c>
      <c r="G395" s="83">
        <v>0.5</v>
      </c>
      <c r="H395" s="83">
        <v>0.125</v>
      </c>
      <c r="I395" s="84">
        <v>44425.0</v>
      </c>
      <c r="J395" s="65" t="b">
        <v>1</v>
      </c>
      <c r="K395" s="65"/>
      <c r="L395" s="85" t="b">
        <f>IF(VLOOKUP(C395,Projetos!A:L,12,false)=TRUE,TRUE,FALSE)</f>
        <v>1</v>
      </c>
      <c r="M395" s="74">
        <v>93.01026307720058</v>
      </c>
      <c r="N395" s="74">
        <f t="shared" si="1"/>
        <v>279.0307892</v>
      </c>
      <c r="O395" s="74" t="b">
        <v>1</v>
      </c>
    </row>
    <row r="396" hidden="1">
      <c r="A396" s="82"/>
      <c r="B396" s="65" t="s">
        <v>168</v>
      </c>
      <c r="C396" s="65" t="s">
        <v>121</v>
      </c>
      <c r="D396" s="65"/>
      <c r="E396" s="65" t="s">
        <v>171</v>
      </c>
      <c r="F396" s="83">
        <v>0.4166666666666667</v>
      </c>
      <c r="G396" s="83">
        <v>0.5416666666666666</v>
      </c>
      <c r="H396" s="83">
        <v>0.125</v>
      </c>
      <c r="I396" s="84">
        <v>44426.0</v>
      </c>
      <c r="J396" s="65" t="b">
        <v>0</v>
      </c>
      <c r="K396" s="65" t="s">
        <v>150</v>
      </c>
      <c r="L396" s="85" t="b">
        <f>IF(VLOOKUP(C396,Projetos!A:L,12,false)=TRUE,TRUE,FALSE)</f>
        <v>1</v>
      </c>
      <c r="M396" s="74">
        <v>93.01026307720058</v>
      </c>
      <c r="N396" s="74">
        <f t="shared" si="1"/>
        <v>0</v>
      </c>
      <c r="O396" s="74" t="b">
        <v>1</v>
      </c>
    </row>
    <row r="397" hidden="1">
      <c r="A397" s="82"/>
      <c r="B397" s="65" t="s">
        <v>168</v>
      </c>
      <c r="C397" s="65" t="s">
        <v>132</v>
      </c>
      <c r="D397" s="65"/>
      <c r="E397" s="65" t="s">
        <v>173</v>
      </c>
      <c r="F397" s="83">
        <v>0.4166666666666667</v>
      </c>
      <c r="G397" s="83">
        <v>0.5</v>
      </c>
      <c r="H397" s="83">
        <v>0.08333333333333333</v>
      </c>
      <c r="I397" s="84">
        <v>44433.0</v>
      </c>
      <c r="J397" s="65" t="b">
        <v>0</v>
      </c>
      <c r="K397" s="65" t="s">
        <v>150</v>
      </c>
      <c r="L397" s="85" t="b">
        <f>IF(VLOOKUP(C397,Projetos!A:L,12,false)=TRUE,TRUE,FALSE)</f>
        <v>0</v>
      </c>
      <c r="M397" s="74">
        <v>93.01026307720058</v>
      </c>
      <c r="N397" s="74">
        <f t="shared" si="1"/>
        <v>0</v>
      </c>
      <c r="O397" s="74" t="b">
        <v>0</v>
      </c>
    </row>
    <row r="398" hidden="1">
      <c r="A398" s="82"/>
      <c r="B398" s="65" t="s">
        <v>168</v>
      </c>
      <c r="C398" s="65" t="s">
        <v>122</v>
      </c>
      <c r="D398" s="65"/>
      <c r="E398" s="65" t="s">
        <v>171</v>
      </c>
      <c r="F398" s="83">
        <v>0.375</v>
      </c>
      <c r="G398" s="83">
        <v>0.5</v>
      </c>
      <c r="H398" s="83">
        <v>0.125</v>
      </c>
      <c r="I398" s="84">
        <v>44446.0</v>
      </c>
      <c r="J398" s="65" t="b">
        <v>0</v>
      </c>
      <c r="K398" s="65" t="s">
        <v>150</v>
      </c>
      <c r="L398" s="85" t="b">
        <f>IF(VLOOKUP(C398,Projetos!A:L,12,false)=TRUE,TRUE,FALSE)</f>
        <v>1</v>
      </c>
      <c r="M398" s="74">
        <v>93.01026307720058</v>
      </c>
      <c r="N398" s="74">
        <f t="shared" si="1"/>
        <v>0</v>
      </c>
      <c r="O398" s="74" t="b">
        <v>1</v>
      </c>
    </row>
    <row r="399" hidden="1">
      <c r="A399" s="82"/>
      <c r="B399" s="65" t="s">
        <v>168</v>
      </c>
      <c r="C399" s="65" t="s">
        <v>88</v>
      </c>
      <c r="D399" s="65"/>
      <c r="E399" s="65" t="s">
        <v>171</v>
      </c>
      <c r="F399" s="83">
        <v>0.625</v>
      </c>
      <c r="G399" s="83">
        <v>0.6666666666666666</v>
      </c>
      <c r="H399" s="83">
        <v>0.041666666666666664</v>
      </c>
      <c r="I399" s="84">
        <v>44447.0</v>
      </c>
      <c r="J399" s="65" t="b">
        <v>0</v>
      </c>
      <c r="K399" s="65" t="s">
        <v>150</v>
      </c>
      <c r="L399" s="85" t="b">
        <f>IF(VLOOKUP(C399,Projetos!A:L,12,false)=TRUE,TRUE,FALSE)</f>
        <v>1</v>
      </c>
      <c r="M399" s="74">
        <v>93.01026307720058</v>
      </c>
      <c r="N399" s="74">
        <f t="shared" si="1"/>
        <v>0</v>
      </c>
      <c r="O399" s="74" t="b">
        <v>1</v>
      </c>
    </row>
    <row r="400" hidden="1">
      <c r="A400" s="82"/>
      <c r="B400" s="65" t="s">
        <v>168</v>
      </c>
      <c r="C400" s="65" t="s">
        <v>122</v>
      </c>
      <c r="D400" s="65" t="str">
        <f>vlookup(C400,'Classificação p pessoal'!F:G,2,false)</f>
        <v>NP</v>
      </c>
      <c r="E400" s="65" t="s">
        <v>172</v>
      </c>
      <c r="F400" s="83">
        <v>0.375</v>
      </c>
      <c r="G400" s="83">
        <v>0.5</v>
      </c>
      <c r="H400" s="83">
        <v>0.125</v>
      </c>
      <c r="I400" s="84">
        <v>44448.0</v>
      </c>
      <c r="J400" s="65" t="b">
        <v>1</v>
      </c>
      <c r="K400" s="65"/>
      <c r="L400" s="85" t="b">
        <f>IF(VLOOKUP(C400,Projetos!A:L,12,false)=TRUE,TRUE,FALSE)</f>
        <v>1</v>
      </c>
      <c r="M400" s="74">
        <v>93.01026307720058</v>
      </c>
      <c r="N400" s="74">
        <f t="shared" si="1"/>
        <v>279.0307892</v>
      </c>
      <c r="O400" s="74" t="b">
        <v>1</v>
      </c>
    </row>
    <row r="401" hidden="1">
      <c r="A401" s="82"/>
      <c r="B401" s="65" t="s">
        <v>168</v>
      </c>
      <c r="C401" s="65" t="s">
        <v>122</v>
      </c>
      <c r="D401" s="65"/>
      <c r="E401" s="65" t="s">
        <v>171</v>
      </c>
      <c r="F401" s="83">
        <v>0.375</v>
      </c>
      <c r="G401" s="83">
        <v>0.5416666666666666</v>
      </c>
      <c r="H401" s="83">
        <v>0.16666666666666666</v>
      </c>
      <c r="I401" s="84">
        <v>44453.0</v>
      </c>
      <c r="J401" s="65" t="b">
        <v>0</v>
      </c>
      <c r="K401" s="65" t="s">
        <v>150</v>
      </c>
      <c r="L401" s="85" t="b">
        <f>IF(VLOOKUP(C401,Projetos!A:L,12,false)=TRUE,TRUE,FALSE)</f>
        <v>1</v>
      </c>
      <c r="M401" s="74">
        <v>93.01026307720058</v>
      </c>
      <c r="N401" s="74">
        <f t="shared" si="1"/>
        <v>0</v>
      </c>
      <c r="O401" s="74" t="b">
        <v>1</v>
      </c>
    </row>
    <row r="402" hidden="1">
      <c r="A402" s="82"/>
      <c r="B402" s="65" t="s">
        <v>168</v>
      </c>
      <c r="C402" s="65" t="s">
        <v>132</v>
      </c>
      <c r="D402" s="65"/>
      <c r="E402" s="65" t="s">
        <v>173</v>
      </c>
      <c r="F402" s="83">
        <v>0.625</v>
      </c>
      <c r="G402" s="83">
        <v>0.75</v>
      </c>
      <c r="H402" s="83">
        <v>0.125</v>
      </c>
      <c r="I402" s="84">
        <v>44460.0</v>
      </c>
      <c r="J402" s="65" t="b">
        <v>0</v>
      </c>
      <c r="K402" s="65" t="s">
        <v>150</v>
      </c>
      <c r="L402" s="85" t="b">
        <f>IF(VLOOKUP(C402,Projetos!A:L,12,false)=TRUE,TRUE,FALSE)</f>
        <v>0</v>
      </c>
      <c r="M402" s="74">
        <v>93.01026307720058</v>
      </c>
      <c r="N402" s="74">
        <f t="shared" si="1"/>
        <v>0</v>
      </c>
      <c r="O402" s="74" t="b">
        <v>0</v>
      </c>
    </row>
    <row r="403" hidden="1">
      <c r="A403" s="82"/>
      <c r="B403" s="65" t="s">
        <v>168</v>
      </c>
      <c r="C403" s="65" t="s">
        <v>132</v>
      </c>
      <c r="D403" s="65"/>
      <c r="E403" s="65" t="s">
        <v>171</v>
      </c>
      <c r="F403" s="83">
        <v>0.4166666666666667</v>
      </c>
      <c r="G403" s="83">
        <v>0.5</v>
      </c>
      <c r="H403" s="83">
        <v>0.08333333333333333</v>
      </c>
      <c r="I403" s="84">
        <v>44474.0</v>
      </c>
      <c r="J403" s="65" t="b">
        <v>0</v>
      </c>
      <c r="K403" s="65" t="s">
        <v>150</v>
      </c>
      <c r="L403" s="85" t="b">
        <f>IF(VLOOKUP(C403,Projetos!A:L,12,false)=TRUE,TRUE,FALSE)</f>
        <v>0</v>
      </c>
      <c r="M403" s="74">
        <v>93.01026307720058</v>
      </c>
      <c r="N403" s="74">
        <f t="shared" si="1"/>
        <v>0</v>
      </c>
      <c r="O403" s="74" t="b">
        <v>0</v>
      </c>
    </row>
    <row r="404" hidden="1">
      <c r="A404" s="82"/>
      <c r="B404" s="65" t="s">
        <v>168</v>
      </c>
      <c r="C404" s="65" t="s">
        <v>88</v>
      </c>
      <c r="D404" s="65"/>
      <c r="E404" s="65" t="s">
        <v>171</v>
      </c>
      <c r="F404" s="83">
        <v>0.625</v>
      </c>
      <c r="G404" s="83">
        <v>0.6666666666666666</v>
      </c>
      <c r="H404" s="83">
        <v>0.041666666666666664</v>
      </c>
      <c r="I404" s="84">
        <v>44475.0</v>
      </c>
      <c r="J404" s="65" t="b">
        <v>0</v>
      </c>
      <c r="K404" s="65" t="s">
        <v>150</v>
      </c>
      <c r="L404" s="85" t="b">
        <f>IF(VLOOKUP(C404,Projetos!A:L,12,false)=TRUE,TRUE,FALSE)</f>
        <v>1</v>
      </c>
      <c r="M404" s="74">
        <v>93.01026307720058</v>
      </c>
      <c r="N404" s="74">
        <f t="shared" si="1"/>
        <v>0</v>
      </c>
      <c r="O404" s="74" t="b">
        <v>1</v>
      </c>
    </row>
    <row r="405" hidden="1">
      <c r="A405" s="82"/>
      <c r="B405" s="65" t="s">
        <v>168</v>
      </c>
      <c r="C405" s="65" t="s">
        <v>122</v>
      </c>
      <c r="D405" s="65" t="str">
        <f>vlookup(C405,'Classificação p pessoal'!F:G,2,false)</f>
        <v>NP</v>
      </c>
      <c r="E405" s="65" t="s">
        <v>172</v>
      </c>
      <c r="F405" s="83">
        <v>0.375</v>
      </c>
      <c r="G405" s="83">
        <v>0.5</v>
      </c>
      <c r="H405" s="83">
        <v>0.125</v>
      </c>
      <c r="I405" s="84">
        <v>44477.0</v>
      </c>
      <c r="J405" s="65" t="b">
        <v>1</v>
      </c>
      <c r="K405" s="65"/>
      <c r="L405" s="85" t="b">
        <f>IF(VLOOKUP(C405,Projetos!A:L,12,false)=TRUE,TRUE,FALSE)</f>
        <v>1</v>
      </c>
      <c r="M405" s="74">
        <v>93.01026307720058</v>
      </c>
      <c r="N405" s="74">
        <f t="shared" si="1"/>
        <v>279.0307892</v>
      </c>
      <c r="O405" s="74" t="b">
        <v>1</v>
      </c>
    </row>
    <row r="406" hidden="1">
      <c r="A406" s="82"/>
      <c r="B406" s="65" t="s">
        <v>168</v>
      </c>
      <c r="C406" s="65" t="s">
        <v>122</v>
      </c>
      <c r="D406" s="65"/>
      <c r="E406" s="65" t="s">
        <v>171</v>
      </c>
      <c r="F406" s="83">
        <v>0.4166666666666667</v>
      </c>
      <c r="G406" s="83">
        <v>0.5416666666666666</v>
      </c>
      <c r="H406" s="83">
        <v>0.125</v>
      </c>
      <c r="I406" s="84">
        <v>44488.0</v>
      </c>
      <c r="J406" s="65" t="b">
        <v>0</v>
      </c>
      <c r="K406" s="65" t="s">
        <v>150</v>
      </c>
      <c r="L406" s="85" t="b">
        <f>IF(VLOOKUP(C406,Projetos!A:L,12,false)=TRUE,TRUE,FALSE)</f>
        <v>1</v>
      </c>
      <c r="M406" s="74">
        <v>93.01026307720058</v>
      </c>
      <c r="N406" s="74">
        <f t="shared" si="1"/>
        <v>0</v>
      </c>
      <c r="O406" s="74" t="b">
        <v>1</v>
      </c>
    </row>
    <row r="407" hidden="1">
      <c r="A407" s="82"/>
      <c r="B407" s="65" t="s">
        <v>168</v>
      </c>
      <c r="C407" s="65" t="s">
        <v>132</v>
      </c>
      <c r="D407" s="65"/>
      <c r="E407" s="65" t="s">
        <v>173</v>
      </c>
      <c r="F407" s="83">
        <v>0.625</v>
      </c>
      <c r="G407" s="83">
        <v>0.75</v>
      </c>
      <c r="H407" s="83">
        <v>0.125</v>
      </c>
      <c r="I407" s="84">
        <v>44491.0</v>
      </c>
      <c r="J407" s="65" t="b">
        <v>0</v>
      </c>
      <c r="K407" s="65" t="s">
        <v>150</v>
      </c>
      <c r="L407" s="85" t="b">
        <f>IF(VLOOKUP(C407,Projetos!A:L,12,false)=TRUE,TRUE,FALSE)</f>
        <v>0</v>
      </c>
      <c r="M407" s="74">
        <v>93.01026307720058</v>
      </c>
      <c r="N407" s="74">
        <f t="shared" si="1"/>
        <v>0</v>
      </c>
      <c r="O407" s="74" t="b">
        <v>0</v>
      </c>
    </row>
    <row r="408" hidden="1">
      <c r="A408" s="82"/>
      <c r="B408" s="65" t="s">
        <v>168</v>
      </c>
      <c r="C408" s="65" t="s">
        <v>122</v>
      </c>
      <c r="D408" s="65"/>
      <c r="E408" s="65" t="s">
        <v>171</v>
      </c>
      <c r="F408" s="83">
        <v>0.4166666666666667</v>
      </c>
      <c r="G408" s="83">
        <v>0.5</v>
      </c>
      <c r="H408" s="83">
        <v>0.08333333333333333</v>
      </c>
      <c r="I408" s="84">
        <v>44508.0</v>
      </c>
      <c r="J408" s="65" t="b">
        <v>0</v>
      </c>
      <c r="K408" s="65" t="s">
        <v>150</v>
      </c>
      <c r="L408" s="85" t="b">
        <f>IF(VLOOKUP(C408,Projetos!A:L,12,false)=TRUE,TRUE,FALSE)</f>
        <v>1</v>
      </c>
      <c r="M408" s="74">
        <v>93.01026307720058</v>
      </c>
      <c r="N408" s="74">
        <f t="shared" si="1"/>
        <v>0</v>
      </c>
      <c r="O408" s="74" t="b">
        <v>1</v>
      </c>
    </row>
    <row r="409" hidden="1">
      <c r="A409" s="82"/>
      <c r="B409" s="65" t="s">
        <v>168</v>
      </c>
      <c r="C409" s="65" t="s">
        <v>88</v>
      </c>
      <c r="D409" s="65"/>
      <c r="E409" s="65" t="s">
        <v>171</v>
      </c>
      <c r="F409" s="83">
        <v>0.625</v>
      </c>
      <c r="G409" s="83">
        <v>0.6666666666666666</v>
      </c>
      <c r="H409" s="83">
        <v>0.041666666666666664</v>
      </c>
      <c r="I409" s="84">
        <v>44509.0</v>
      </c>
      <c r="J409" s="65" t="b">
        <v>0</v>
      </c>
      <c r="K409" s="65" t="s">
        <v>150</v>
      </c>
      <c r="L409" s="85" t="b">
        <f>IF(VLOOKUP(C409,Projetos!A:L,12,false)=TRUE,TRUE,FALSE)</f>
        <v>1</v>
      </c>
      <c r="M409" s="74">
        <v>93.01026307720058</v>
      </c>
      <c r="N409" s="74">
        <f t="shared" si="1"/>
        <v>0</v>
      </c>
      <c r="O409" s="74" t="b">
        <v>1</v>
      </c>
    </row>
    <row r="410" hidden="1">
      <c r="A410" s="82"/>
      <c r="B410" s="65" t="s">
        <v>168</v>
      </c>
      <c r="C410" s="65" t="s">
        <v>122</v>
      </c>
      <c r="D410" s="65" t="str">
        <f>vlookup(C410,'Classificação p pessoal'!F:G,2,false)</f>
        <v>NP</v>
      </c>
      <c r="E410" s="65" t="s">
        <v>172</v>
      </c>
      <c r="F410" s="83">
        <v>0.375</v>
      </c>
      <c r="G410" s="83">
        <v>0.5</v>
      </c>
      <c r="H410" s="83">
        <v>0.125</v>
      </c>
      <c r="I410" s="84">
        <v>44510.0</v>
      </c>
      <c r="J410" s="65" t="b">
        <v>1</v>
      </c>
      <c r="K410" s="65"/>
      <c r="L410" s="85" t="b">
        <f>IF(VLOOKUP(C410,Projetos!A:L,12,false)=TRUE,TRUE,FALSE)</f>
        <v>1</v>
      </c>
      <c r="M410" s="74">
        <v>93.01026307720058</v>
      </c>
      <c r="N410" s="74">
        <f t="shared" si="1"/>
        <v>279.0307892</v>
      </c>
      <c r="O410" s="74" t="b">
        <v>1</v>
      </c>
    </row>
    <row r="411" hidden="1">
      <c r="A411" s="82"/>
      <c r="B411" s="65" t="s">
        <v>168</v>
      </c>
      <c r="C411" s="65" t="s">
        <v>122</v>
      </c>
      <c r="D411" s="65"/>
      <c r="E411" s="65" t="s">
        <v>171</v>
      </c>
      <c r="F411" s="83">
        <v>0.4166666666666667</v>
      </c>
      <c r="G411" s="83">
        <v>0.5416666666666666</v>
      </c>
      <c r="H411" s="83">
        <v>0.125</v>
      </c>
      <c r="I411" s="84">
        <v>44515.0</v>
      </c>
      <c r="J411" s="65" t="b">
        <v>0</v>
      </c>
      <c r="K411" s="65" t="s">
        <v>150</v>
      </c>
      <c r="L411" s="85" t="b">
        <f>IF(VLOOKUP(C411,Projetos!A:L,12,false)=TRUE,TRUE,FALSE)</f>
        <v>1</v>
      </c>
      <c r="M411" s="74">
        <v>93.01026307720058</v>
      </c>
      <c r="N411" s="74">
        <f t="shared" si="1"/>
        <v>0</v>
      </c>
      <c r="O411" s="74" t="b">
        <v>1</v>
      </c>
    </row>
    <row r="412" hidden="1">
      <c r="A412" s="82"/>
      <c r="B412" s="65" t="s">
        <v>168</v>
      </c>
      <c r="C412" s="65" t="s">
        <v>132</v>
      </c>
      <c r="D412" s="65"/>
      <c r="E412" s="65" t="s">
        <v>173</v>
      </c>
      <c r="F412" s="83">
        <v>0.5833333333333334</v>
      </c>
      <c r="G412" s="83">
        <v>0.75</v>
      </c>
      <c r="H412" s="83">
        <v>0.16666666666666666</v>
      </c>
      <c r="I412" s="84">
        <v>44522.0</v>
      </c>
      <c r="J412" s="65" t="b">
        <v>0</v>
      </c>
      <c r="K412" s="65" t="s">
        <v>150</v>
      </c>
      <c r="L412" s="85" t="b">
        <f>IF(VLOOKUP(C412,Projetos!A:L,12,false)=TRUE,TRUE,FALSE)</f>
        <v>0</v>
      </c>
      <c r="M412" s="74">
        <v>93.01026307720058</v>
      </c>
      <c r="N412" s="74">
        <f t="shared" si="1"/>
        <v>0</v>
      </c>
      <c r="O412" s="74" t="b">
        <v>0</v>
      </c>
    </row>
    <row r="413" hidden="1">
      <c r="A413" s="82"/>
      <c r="B413" s="65" t="s">
        <v>168</v>
      </c>
      <c r="C413" s="65" t="s">
        <v>122</v>
      </c>
      <c r="D413" s="65"/>
      <c r="E413" s="65" t="s">
        <v>171</v>
      </c>
      <c r="F413" s="83">
        <v>0.4166666666666667</v>
      </c>
      <c r="G413" s="83">
        <v>0.5</v>
      </c>
      <c r="H413" s="83">
        <v>0.08333333333333333</v>
      </c>
      <c r="I413" s="84">
        <v>44536.0</v>
      </c>
      <c r="J413" s="65" t="b">
        <v>0</v>
      </c>
      <c r="K413" s="65" t="s">
        <v>150</v>
      </c>
      <c r="L413" s="85" t="b">
        <f>IF(VLOOKUP(C413,Projetos!A:L,12,false)=TRUE,TRUE,FALSE)</f>
        <v>1</v>
      </c>
      <c r="M413" s="74">
        <v>93.01026307720058</v>
      </c>
      <c r="N413" s="74">
        <f t="shared" si="1"/>
        <v>0</v>
      </c>
      <c r="O413" s="74" t="b">
        <v>1</v>
      </c>
    </row>
    <row r="414" hidden="1">
      <c r="A414" s="82"/>
      <c r="B414" s="65" t="s">
        <v>168</v>
      </c>
      <c r="C414" s="65" t="s">
        <v>88</v>
      </c>
      <c r="D414" s="65"/>
      <c r="E414" s="65" t="s">
        <v>171</v>
      </c>
      <c r="F414" s="83">
        <v>0.625</v>
      </c>
      <c r="G414" s="83">
        <v>0.6666666666666666</v>
      </c>
      <c r="H414" s="83">
        <v>0.041666666666666664</v>
      </c>
      <c r="I414" s="84">
        <v>44537.0</v>
      </c>
      <c r="J414" s="65" t="b">
        <v>0</v>
      </c>
      <c r="K414" s="65" t="s">
        <v>150</v>
      </c>
      <c r="L414" s="85" t="b">
        <f>IF(VLOOKUP(C414,Projetos!A:L,12,false)=TRUE,TRUE,FALSE)</f>
        <v>1</v>
      </c>
      <c r="M414" s="74">
        <v>93.01026307720058</v>
      </c>
      <c r="N414" s="74">
        <f t="shared" si="1"/>
        <v>0</v>
      </c>
      <c r="O414" s="74" t="b">
        <v>1</v>
      </c>
    </row>
    <row r="415" hidden="1">
      <c r="A415" s="82"/>
      <c r="B415" s="65" t="s">
        <v>168</v>
      </c>
      <c r="C415" s="65" t="s">
        <v>122</v>
      </c>
      <c r="D415" s="65" t="str">
        <f>vlookup(C415,'Classificação p pessoal'!F:G,2,false)</f>
        <v>NP</v>
      </c>
      <c r="E415" s="65" t="s">
        <v>172</v>
      </c>
      <c r="F415" s="83">
        <v>0.4166666666666667</v>
      </c>
      <c r="G415" s="83">
        <v>0.5</v>
      </c>
      <c r="H415" s="83">
        <v>0.08333333333333333</v>
      </c>
      <c r="I415" s="84">
        <v>44538.0</v>
      </c>
      <c r="J415" s="65" t="b">
        <v>1</v>
      </c>
      <c r="K415" s="65"/>
      <c r="L415" s="85" t="b">
        <f>IF(VLOOKUP(C415,Projetos!A:L,12,false)=TRUE,TRUE,FALSE)</f>
        <v>1</v>
      </c>
      <c r="M415" s="74">
        <v>93.01026307720058</v>
      </c>
      <c r="N415" s="74">
        <f t="shared" si="1"/>
        <v>186.0205262</v>
      </c>
      <c r="O415" s="74" t="b">
        <v>1</v>
      </c>
    </row>
    <row r="416" hidden="1">
      <c r="A416" s="82"/>
      <c r="B416" s="65" t="s">
        <v>168</v>
      </c>
      <c r="C416" s="65" t="s">
        <v>122</v>
      </c>
      <c r="D416" s="65"/>
      <c r="E416" s="65" t="s">
        <v>171</v>
      </c>
      <c r="F416" s="83">
        <v>0.4166666666666667</v>
      </c>
      <c r="G416" s="83">
        <v>0.5416666666666666</v>
      </c>
      <c r="H416" s="83">
        <v>0.125</v>
      </c>
      <c r="I416" s="84">
        <v>44539.0</v>
      </c>
      <c r="J416" s="65" t="b">
        <v>0</v>
      </c>
      <c r="K416" s="65" t="s">
        <v>150</v>
      </c>
      <c r="L416" s="85" t="b">
        <f>IF(VLOOKUP(C416,Projetos!A:L,12,false)=TRUE,TRUE,FALSE)</f>
        <v>1</v>
      </c>
      <c r="M416" s="74">
        <v>93.01026307720058</v>
      </c>
      <c r="N416" s="74">
        <f t="shared" si="1"/>
        <v>0</v>
      </c>
      <c r="O416" s="74" t="b">
        <v>1</v>
      </c>
    </row>
    <row r="417" hidden="1">
      <c r="A417" s="82"/>
      <c r="B417" s="65" t="s">
        <v>168</v>
      </c>
      <c r="C417" s="65" t="s">
        <v>132</v>
      </c>
      <c r="D417" s="65"/>
      <c r="E417" s="65" t="s">
        <v>173</v>
      </c>
      <c r="F417" s="83">
        <v>0.5833333333333334</v>
      </c>
      <c r="G417" s="83">
        <v>0.75</v>
      </c>
      <c r="H417" s="83">
        <v>0.16666666666666666</v>
      </c>
      <c r="I417" s="84">
        <v>44545.0</v>
      </c>
      <c r="J417" s="65" t="b">
        <v>0</v>
      </c>
      <c r="K417" s="65" t="s">
        <v>150</v>
      </c>
      <c r="L417" s="85" t="b">
        <f>IF(VLOOKUP(C417,Projetos!A:L,12,false)=TRUE,TRUE,FALSE)</f>
        <v>0</v>
      </c>
      <c r="M417" s="74">
        <v>93.01026307720058</v>
      </c>
      <c r="N417" s="74">
        <f t="shared" si="1"/>
        <v>0</v>
      </c>
      <c r="O417" s="74" t="b">
        <v>0</v>
      </c>
    </row>
    <row r="418" hidden="1">
      <c r="A418" s="82"/>
      <c r="B418" s="65" t="s">
        <v>168</v>
      </c>
      <c r="C418" s="65" t="s">
        <v>84</v>
      </c>
      <c r="D418" s="65"/>
      <c r="E418" s="65" t="s">
        <v>176</v>
      </c>
      <c r="F418" s="83">
        <v>0.625</v>
      </c>
      <c r="G418" s="83">
        <v>0.75</v>
      </c>
      <c r="H418" s="83">
        <v>0.125</v>
      </c>
      <c r="I418" s="84">
        <v>44397.0</v>
      </c>
      <c r="J418" s="65" t="b">
        <v>0</v>
      </c>
      <c r="K418" s="65" t="s">
        <v>150</v>
      </c>
      <c r="L418" s="85" t="b">
        <f>IF(VLOOKUP(C418,Projetos!A:L,12,false)=TRUE,TRUE,FALSE)</f>
        <v>0</v>
      </c>
      <c r="M418" s="74">
        <v>93.01026307720058</v>
      </c>
      <c r="N418" s="74">
        <f t="shared" si="1"/>
        <v>0</v>
      </c>
      <c r="O418" s="74" t="b">
        <v>0</v>
      </c>
    </row>
    <row r="419" hidden="1">
      <c r="A419" s="82"/>
      <c r="B419" s="65" t="s">
        <v>168</v>
      </c>
      <c r="C419" s="65" t="s">
        <v>84</v>
      </c>
      <c r="D419" s="65"/>
      <c r="E419" s="65" t="s">
        <v>176</v>
      </c>
      <c r="F419" s="83">
        <v>0.7083333333333334</v>
      </c>
      <c r="G419" s="83">
        <v>0.75</v>
      </c>
      <c r="H419" s="83">
        <v>0.041666666666666664</v>
      </c>
      <c r="I419" s="84">
        <v>44398.0</v>
      </c>
      <c r="J419" s="65" t="b">
        <v>0</v>
      </c>
      <c r="K419" s="65" t="s">
        <v>150</v>
      </c>
      <c r="L419" s="85" t="b">
        <f>IF(VLOOKUP(C419,Projetos!A:L,12,false)=TRUE,TRUE,FALSE)</f>
        <v>0</v>
      </c>
      <c r="M419" s="74">
        <v>93.01026307720058</v>
      </c>
      <c r="N419" s="74">
        <f t="shared" si="1"/>
        <v>0</v>
      </c>
      <c r="O419" s="74" t="b">
        <v>0</v>
      </c>
    </row>
    <row r="420" hidden="1">
      <c r="A420" s="82"/>
      <c r="B420" s="65" t="s">
        <v>168</v>
      </c>
      <c r="C420" s="65" t="s">
        <v>84</v>
      </c>
      <c r="D420" s="65"/>
      <c r="E420" s="65" t="s">
        <v>176</v>
      </c>
      <c r="F420" s="83">
        <v>0.6666666666666666</v>
      </c>
      <c r="G420" s="83">
        <v>0.75</v>
      </c>
      <c r="H420" s="83">
        <v>0.08333333333333333</v>
      </c>
      <c r="I420" s="84">
        <v>44427.0</v>
      </c>
      <c r="J420" s="65" t="b">
        <v>0</v>
      </c>
      <c r="K420" s="65" t="s">
        <v>150</v>
      </c>
      <c r="L420" s="85" t="b">
        <f>IF(VLOOKUP(C420,Projetos!A:L,12,false)=TRUE,TRUE,FALSE)</f>
        <v>0</v>
      </c>
      <c r="M420" s="74">
        <v>93.01026307720058</v>
      </c>
      <c r="N420" s="74">
        <f t="shared" si="1"/>
        <v>0</v>
      </c>
      <c r="O420" s="74" t="b">
        <v>0</v>
      </c>
    </row>
    <row r="421" hidden="1">
      <c r="A421" s="82"/>
      <c r="B421" s="65" t="s">
        <v>168</v>
      </c>
      <c r="C421" s="65" t="s">
        <v>84</v>
      </c>
      <c r="D421" s="65"/>
      <c r="E421" s="65" t="s">
        <v>176</v>
      </c>
      <c r="F421" s="83">
        <v>0.5416666666666666</v>
      </c>
      <c r="G421" s="83">
        <v>0.7083333333333334</v>
      </c>
      <c r="H421" s="83">
        <v>0.16666666666666666</v>
      </c>
      <c r="I421" s="84">
        <v>44432.0</v>
      </c>
      <c r="J421" s="65" t="b">
        <v>0</v>
      </c>
      <c r="K421" s="65" t="s">
        <v>150</v>
      </c>
      <c r="L421" s="85" t="b">
        <f>IF(VLOOKUP(C421,Projetos!A:L,12,false)=TRUE,TRUE,FALSE)</f>
        <v>0</v>
      </c>
      <c r="M421" s="74">
        <v>93.01026307720058</v>
      </c>
      <c r="N421" s="74">
        <f t="shared" si="1"/>
        <v>0</v>
      </c>
      <c r="O421" s="74" t="b">
        <v>0</v>
      </c>
    </row>
    <row r="422" hidden="1">
      <c r="A422" s="82"/>
      <c r="B422" s="65" t="s">
        <v>168</v>
      </c>
      <c r="C422" s="65" t="s">
        <v>84</v>
      </c>
      <c r="D422" s="65"/>
      <c r="E422" s="65" t="s">
        <v>176</v>
      </c>
      <c r="F422" s="83">
        <v>0.625</v>
      </c>
      <c r="G422" s="83">
        <v>0.75</v>
      </c>
      <c r="H422" s="83">
        <v>0.125</v>
      </c>
      <c r="I422" s="84">
        <v>44454.0</v>
      </c>
      <c r="J422" s="65" t="b">
        <v>0</v>
      </c>
      <c r="K422" s="65" t="s">
        <v>150</v>
      </c>
      <c r="L422" s="85" t="b">
        <f>IF(VLOOKUP(C422,Projetos!A:L,12,false)=TRUE,TRUE,FALSE)</f>
        <v>0</v>
      </c>
      <c r="M422" s="74">
        <v>93.01026307720058</v>
      </c>
      <c r="N422" s="74">
        <f t="shared" si="1"/>
        <v>0</v>
      </c>
      <c r="O422" s="74" t="b">
        <v>0</v>
      </c>
    </row>
    <row r="423" hidden="1">
      <c r="A423" s="82"/>
      <c r="B423" s="65" t="s">
        <v>168</v>
      </c>
      <c r="C423" s="65" t="s">
        <v>84</v>
      </c>
      <c r="D423" s="65"/>
      <c r="E423" s="65" t="s">
        <v>176</v>
      </c>
      <c r="F423" s="83">
        <v>0.7083333333333334</v>
      </c>
      <c r="G423" s="83">
        <v>0.75</v>
      </c>
      <c r="H423" s="83">
        <v>0.041666666666666664</v>
      </c>
      <c r="I423" s="84">
        <v>44455.0</v>
      </c>
      <c r="J423" s="65" t="b">
        <v>0</v>
      </c>
      <c r="K423" s="65" t="s">
        <v>150</v>
      </c>
      <c r="L423" s="85" t="b">
        <f>IF(VLOOKUP(C423,Projetos!A:L,12,false)=TRUE,TRUE,FALSE)</f>
        <v>0</v>
      </c>
      <c r="M423" s="74">
        <v>93.01026307720058</v>
      </c>
      <c r="N423" s="74">
        <f t="shared" si="1"/>
        <v>0</v>
      </c>
      <c r="O423" s="74" t="b">
        <v>0</v>
      </c>
    </row>
    <row r="424" hidden="1">
      <c r="A424" s="82"/>
      <c r="B424" s="65" t="s">
        <v>168</v>
      </c>
      <c r="C424" s="65" t="s">
        <v>84</v>
      </c>
      <c r="D424" s="65"/>
      <c r="E424" s="65" t="s">
        <v>176</v>
      </c>
      <c r="F424" s="83">
        <v>0.625</v>
      </c>
      <c r="G424" s="83">
        <v>0.75</v>
      </c>
      <c r="H424" s="83">
        <v>0.125</v>
      </c>
      <c r="I424" s="84">
        <v>44489.0</v>
      </c>
      <c r="J424" s="65" t="b">
        <v>0</v>
      </c>
      <c r="K424" s="65" t="s">
        <v>150</v>
      </c>
      <c r="L424" s="85" t="b">
        <f>IF(VLOOKUP(C424,Projetos!A:L,12,false)=TRUE,TRUE,FALSE)</f>
        <v>0</v>
      </c>
      <c r="M424" s="74">
        <v>93.01026307720058</v>
      </c>
      <c r="N424" s="74">
        <f t="shared" si="1"/>
        <v>0</v>
      </c>
      <c r="O424" s="74" t="b">
        <v>0</v>
      </c>
    </row>
    <row r="425" hidden="1">
      <c r="A425" s="82"/>
      <c r="B425" s="65" t="s">
        <v>168</v>
      </c>
      <c r="C425" s="65" t="s">
        <v>84</v>
      </c>
      <c r="D425" s="65"/>
      <c r="E425" s="65" t="s">
        <v>176</v>
      </c>
      <c r="F425" s="83">
        <v>0.7083333333333334</v>
      </c>
      <c r="G425" s="83">
        <v>0.75</v>
      </c>
      <c r="H425" s="83">
        <v>0.041666666666666664</v>
      </c>
      <c r="I425" s="84">
        <v>44490.0</v>
      </c>
      <c r="J425" s="65" t="b">
        <v>0</v>
      </c>
      <c r="K425" s="65" t="s">
        <v>150</v>
      </c>
      <c r="L425" s="85" t="b">
        <f>IF(VLOOKUP(C425,Projetos!A:L,12,false)=TRUE,TRUE,FALSE)</f>
        <v>0</v>
      </c>
      <c r="M425" s="74">
        <v>93.01026307720058</v>
      </c>
      <c r="N425" s="74">
        <f t="shared" si="1"/>
        <v>0</v>
      </c>
      <c r="O425" s="74" t="b">
        <v>0</v>
      </c>
    </row>
    <row r="426" hidden="1">
      <c r="A426" s="82"/>
      <c r="B426" s="65" t="s">
        <v>168</v>
      </c>
      <c r="C426" s="65" t="s">
        <v>84</v>
      </c>
      <c r="D426" s="65"/>
      <c r="E426" s="65" t="s">
        <v>176</v>
      </c>
      <c r="F426" s="83">
        <v>0.625</v>
      </c>
      <c r="G426" s="83">
        <v>0.75</v>
      </c>
      <c r="H426" s="83">
        <v>0.125</v>
      </c>
      <c r="I426" s="84">
        <v>44516.0</v>
      </c>
      <c r="J426" s="65" t="b">
        <v>0</v>
      </c>
      <c r="K426" s="65" t="s">
        <v>150</v>
      </c>
      <c r="L426" s="85" t="b">
        <f>IF(VLOOKUP(C426,Projetos!A:L,12,false)=TRUE,TRUE,FALSE)</f>
        <v>0</v>
      </c>
      <c r="M426" s="74">
        <v>93.01026307720058</v>
      </c>
      <c r="N426" s="74">
        <f t="shared" si="1"/>
        <v>0</v>
      </c>
      <c r="O426" s="74" t="b">
        <v>0</v>
      </c>
    </row>
    <row r="427" hidden="1">
      <c r="A427" s="82"/>
      <c r="B427" s="65" t="s">
        <v>168</v>
      </c>
      <c r="C427" s="65" t="s">
        <v>84</v>
      </c>
      <c r="D427" s="65"/>
      <c r="E427" s="65" t="s">
        <v>176</v>
      </c>
      <c r="F427" s="83">
        <v>0.625</v>
      </c>
      <c r="G427" s="83">
        <v>0.75</v>
      </c>
      <c r="H427" s="83">
        <v>0.125</v>
      </c>
      <c r="I427" s="84">
        <v>44518.0</v>
      </c>
      <c r="J427" s="65" t="b">
        <v>0</v>
      </c>
      <c r="K427" s="65" t="s">
        <v>150</v>
      </c>
      <c r="L427" s="85" t="b">
        <f>IF(VLOOKUP(C427,Projetos!A:L,12,false)=TRUE,TRUE,FALSE)</f>
        <v>0</v>
      </c>
      <c r="M427" s="74">
        <v>93.01026307720058</v>
      </c>
      <c r="N427" s="74">
        <f t="shared" si="1"/>
        <v>0</v>
      </c>
      <c r="O427" s="74" t="b">
        <v>0</v>
      </c>
    </row>
    <row r="428" hidden="1">
      <c r="A428" s="82"/>
      <c r="B428" s="65" t="s">
        <v>168</v>
      </c>
      <c r="C428" s="65" t="s">
        <v>84</v>
      </c>
      <c r="D428" s="65"/>
      <c r="E428" s="65" t="s">
        <v>176</v>
      </c>
      <c r="F428" s="83">
        <v>0.5833333333333334</v>
      </c>
      <c r="G428" s="83">
        <v>0.75</v>
      </c>
      <c r="H428" s="83">
        <v>0.16666666666666666</v>
      </c>
      <c r="I428" s="84">
        <v>44543.0</v>
      </c>
      <c r="J428" s="65" t="b">
        <v>0</v>
      </c>
      <c r="K428" s="65" t="s">
        <v>150</v>
      </c>
      <c r="L428" s="85" t="b">
        <f>IF(VLOOKUP(C428,Projetos!A:L,12,false)=TRUE,TRUE,FALSE)</f>
        <v>0</v>
      </c>
      <c r="M428" s="74">
        <v>93.01026307720058</v>
      </c>
      <c r="N428" s="74">
        <f t="shared" si="1"/>
        <v>0</v>
      </c>
      <c r="O428" s="74" t="b">
        <v>0</v>
      </c>
    </row>
    <row r="429" hidden="1">
      <c r="A429" s="82"/>
      <c r="B429" s="65" t="s">
        <v>168</v>
      </c>
      <c r="C429" s="65" t="s">
        <v>84</v>
      </c>
      <c r="D429" s="65"/>
      <c r="E429" s="65" t="s">
        <v>176</v>
      </c>
      <c r="F429" s="83">
        <v>0.625</v>
      </c>
      <c r="G429" s="83">
        <v>0.75</v>
      </c>
      <c r="H429" s="83">
        <v>0.125</v>
      </c>
      <c r="I429" s="84">
        <v>44544.0</v>
      </c>
      <c r="J429" s="65" t="b">
        <v>0</v>
      </c>
      <c r="K429" s="65" t="s">
        <v>150</v>
      </c>
      <c r="L429" s="85" t="b">
        <f>IF(VLOOKUP(C429,Projetos!A:L,12,false)=TRUE,TRUE,FALSE)</f>
        <v>0</v>
      </c>
      <c r="M429" s="74">
        <v>93.01026307720058</v>
      </c>
      <c r="N429" s="74">
        <f t="shared" si="1"/>
        <v>0</v>
      </c>
      <c r="O429" s="74" t="b">
        <v>0</v>
      </c>
    </row>
    <row r="430" hidden="1">
      <c r="A430" s="82"/>
      <c r="B430" s="65" t="s">
        <v>177</v>
      </c>
      <c r="C430" s="65" t="s">
        <v>92</v>
      </c>
      <c r="D430" s="65" t="str">
        <f>vlookup(C430,'Classificação p pessoal'!F:G,2,false)</f>
        <v/>
      </c>
      <c r="E430" s="65" t="s">
        <v>178</v>
      </c>
      <c r="F430" s="83">
        <v>0.375</v>
      </c>
      <c r="G430" s="83">
        <v>0.4166666666666667</v>
      </c>
      <c r="H430" s="83">
        <v>0.041666666666666664</v>
      </c>
      <c r="I430" s="84">
        <v>44224.0</v>
      </c>
      <c r="J430" s="65" t="b">
        <v>1</v>
      </c>
      <c r="K430" s="65"/>
      <c r="L430" s="85" t="b">
        <f>IF(VLOOKUP(C430,Projetos!A:L,12,false)=TRUE,TRUE,FALSE)</f>
        <v>1</v>
      </c>
      <c r="M430" s="74">
        <v>31.02923620430495</v>
      </c>
      <c r="N430" s="74">
        <f t="shared" si="1"/>
        <v>31.0292362</v>
      </c>
      <c r="O430" s="74" t="b">
        <v>1</v>
      </c>
    </row>
    <row r="431" hidden="1">
      <c r="A431" s="82"/>
      <c r="B431" s="65" t="s">
        <v>177</v>
      </c>
      <c r="C431" s="65" t="s">
        <v>92</v>
      </c>
      <c r="D431" s="65" t="str">
        <f>vlookup(C431,'Classificação p pessoal'!F:G,2,false)</f>
        <v/>
      </c>
      <c r="E431" s="65" t="s">
        <v>178</v>
      </c>
      <c r="F431" s="83">
        <v>0.4166666666666667</v>
      </c>
      <c r="G431" s="83">
        <v>0.5416666666666666</v>
      </c>
      <c r="H431" s="83">
        <v>0.125</v>
      </c>
      <c r="I431" s="84">
        <v>44225.0</v>
      </c>
      <c r="J431" s="65" t="b">
        <v>1</v>
      </c>
      <c r="K431" s="65"/>
      <c r="L431" s="85" t="b">
        <f>IF(VLOOKUP(C431,Projetos!A:L,12,false)=TRUE,TRUE,FALSE)</f>
        <v>1</v>
      </c>
      <c r="M431" s="74">
        <v>31.02923620430495</v>
      </c>
      <c r="N431" s="74">
        <f t="shared" si="1"/>
        <v>93.08770861</v>
      </c>
      <c r="O431" s="74" t="b">
        <v>1</v>
      </c>
    </row>
    <row r="432" hidden="1">
      <c r="A432" s="82"/>
      <c r="B432" s="65" t="s">
        <v>177</v>
      </c>
      <c r="C432" s="65" t="s">
        <v>91</v>
      </c>
      <c r="D432" s="65" t="str">
        <f>vlookup(C432,'Classificação p pessoal'!F:G,2,false)</f>
        <v>NP</v>
      </c>
      <c r="E432" s="65" t="s">
        <v>179</v>
      </c>
      <c r="F432" s="83">
        <v>0.5625</v>
      </c>
      <c r="G432" s="83">
        <v>0.8125</v>
      </c>
      <c r="H432" s="83">
        <v>0.25</v>
      </c>
      <c r="I432" s="84">
        <v>44511.0</v>
      </c>
      <c r="J432" s="65" t="b">
        <v>1</v>
      </c>
      <c r="K432" s="65"/>
      <c r="L432" s="85" t="b">
        <f>IF(VLOOKUP(C432,Projetos!A:L,12,false)=TRUE,TRUE,FALSE)</f>
        <v>1</v>
      </c>
      <c r="M432" s="74">
        <v>31.02923620430495</v>
      </c>
      <c r="N432" s="74">
        <f t="shared" si="1"/>
        <v>186.1754172</v>
      </c>
      <c r="O432" s="74" t="b">
        <v>1</v>
      </c>
    </row>
    <row r="433" hidden="1">
      <c r="A433" s="82"/>
      <c r="B433" s="65" t="s">
        <v>177</v>
      </c>
      <c r="C433" s="65" t="s">
        <v>101</v>
      </c>
      <c r="D433" s="65" t="str">
        <f>vlookup(C433,'Classificação p pessoal'!F:G,2,false)</f>
        <v>NP</v>
      </c>
      <c r="E433" s="65" t="s">
        <v>180</v>
      </c>
      <c r="F433" s="83">
        <v>0.4166666666666667</v>
      </c>
      <c r="G433" s="83">
        <v>0.4791666666666667</v>
      </c>
      <c r="H433" s="83">
        <v>0.0625</v>
      </c>
      <c r="I433" s="84">
        <v>44300.0</v>
      </c>
      <c r="J433" s="65" t="b">
        <v>1</v>
      </c>
      <c r="K433" s="65"/>
      <c r="L433" s="85" t="b">
        <f>IF(VLOOKUP(C433,Projetos!A:L,12,false)=TRUE,TRUE,FALSE)</f>
        <v>1</v>
      </c>
      <c r="M433" s="74">
        <v>31.02923620430495</v>
      </c>
      <c r="N433" s="74">
        <f t="shared" si="1"/>
        <v>46.54385431</v>
      </c>
      <c r="O433" s="74" t="b">
        <v>1</v>
      </c>
    </row>
    <row r="434" hidden="1">
      <c r="A434" s="82"/>
      <c r="B434" s="65" t="s">
        <v>177</v>
      </c>
      <c r="C434" s="65" t="s">
        <v>106</v>
      </c>
      <c r="D434" s="65" t="str">
        <f>vlookup(C434,'Classificação p pessoal'!F:G,2,false)</f>
        <v>MProcesso</v>
      </c>
      <c r="E434" s="65" t="s">
        <v>181</v>
      </c>
      <c r="F434" s="83">
        <v>0.4166666666666667</v>
      </c>
      <c r="G434" s="83">
        <v>0.4583333333333333</v>
      </c>
      <c r="H434" s="83">
        <v>0.041666666666666664</v>
      </c>
      <c r="I434" s="84">
        <v>44519.0</v>
      </c>
      <c r="J434" s="65" t="b">
        <v>1</v>
      </c>
      <c r="K434" s="65"/>
      <c r="L434" s="85" t="b">
        <f>IF(VLOOKUP(C434,Projetos!A:L,12,false)=TRUE,TRUE,FALSE)</f>
        <v>1</v>
      </c>
      <c r="M434" s="74">
        <v>31.02923620430495</v>
      </c>
      <c r="N434" s="74">
        <f t="shared" si="1"/>
        <v>31.0292362</v>
      </c>
      <c r="O434" s="74" t="b">
        <v>1</v>
      </c>
    </row>
    <row r="435" hidden="1">
      <c r="A435" s="82"/>
      <c r="B435" s="65" t="s">
        <v>177</v>
      </c>
      <c r="C435" s="65" t="s">
        <v>92</v>
      </c>
      <c r="D435" s="65" t="str">
        <f>vlookup(C435,'Classificação p pessoal'!F:G,2,false)</f>
        <v/>
      </c>
      <c r="E435" s="65" t="s">
        <v>182</v>
      </c>
      <c r="F435" s="83">
        <v>0.3541666666666667</v>
      </c>
      <c r="G435" s="83">
        <v>0.3958333333333333</v>
      </c>
      <c r="H435" s="83">
        <v>0.041666666666666664</v>
      </c>
      <c r="I435" s="84">
        <v>44218.0</v>
      </c>
      <c r="J435" s="65" t="b">
        <v>1</v>
      </c>
      <c r="K435" s="65"/>
      <c r="L435" s="85" t="b">
        <f>IF(VLOOKUP(C435,Projetos!A:L,12,false)=TRUE,TRUE,FALSE)</f>
        <v>1</v>
      </c>
      <c r="M435" s="74">
        <v>31.02923620430495</v>
      </c>
      <c r="N435" s="74">
        <f t="shared" si="1"/>
        <v>31.0292362</v>
      </c>
      <c r="O435" s="74" t="b">
        <v>1</v>
      </c>
    </row>
    <row r="436" hidden="1">
      <c r="A436" s="82"/>
      <c r="B436" s="65" t="s">
        <v>177</v>
      </c>
      <c r="C436" s="65" t="s">
        <v>100</v>
      </c>
      <c r="D436" s="65" t="str">
        <f>vlookup(C436,'Classificação p pessoal'!F:G,2,false)</f>
        <v>NP</v>
      </c>
      <c r="E436" s="65" t="s">
        <v>183</v>
      </c>
      <c r="F436" s="83">
        <v>0.7083333333333334</v>
      </c>
      <c r="G436" s="83">
        <v>0.7291666666666666</v>
      </c>
      <c r="H436" s="83">
        <v>0.020833333333333332</v>
      </c>
      <c r="I436" s="84">
        <v>44299.0</v>
      </c>
      <c r="J436" s="65" t="b">
        <v>1</v>
      </c>
      <c r="K436" s="65"/>
      <c r="L436" s="85" t="b">
        <f>IF(VLOOKUP(C436,Projetos!A:L,12,false)=TRUE,TRUE,FALSE)</f>
        <v>1</v>
      </c>
      <c r="M436" s="74">
        <v>31.02923620430495</v>
      </c>
      <c r="N436" s="74">
        <f t="shared" si="1"/>
        <v>15.5146181</v>
      </c>
      <c r="O436" s="74" t="b">
        <v>1</v>
      </c>
    </row>
    <row r="437">
      <c r="A437" s="82"/>
      <c r="B437" s="65" t="s">
        <v>177</v>
      </c>
      <c r="C437" s="65" t="s">
        <v>108</v>
      </c>
      <c r="D437" s="65" t="str">
        <f>vlookup(C437,'Classificação p pessoal'!F:G,2,false)</f>
        <v>NP</v>
      </c>
      <c r="E437" s="65" t="s">
        <v>184</v>
      </c>
      <c r="F437" s="83">
        <v>0.3541666666666667</v>
      </c>
      <c r="G437" s="83">
        <v>0.3645833333333333</v>
      </c>
      <c r="H437" s="83">
        <v>0.010416666666666666</v>
      </c>
      <c r="I437" s="84">
        <v>44433.0</v>
      </c>
      <c r="J437" s="65" t="b">
        <v>1</v>
      </c>
      <c r="K437" s="65"/>
      <c r="L437" s="85" t="b">
        <f>IF(VLOOKUP(C437,Projetos!A:L,12,false)=TRUE,TRUE,FALSE)</f>
        <v>1</v>
      </c>
      <c r="M437" s="74">
        <v>31.02923620430495</v>
      </c>
      <c r="N437" s="74">
        <f t="shared" si="1"/>
        <v>7.757309051</v>
      </c>
      <c r="O437" s="74" t="b">
        <v>1</v>
      </c>
    </row>
    <row r="438" hidden="1">
      <c r="A438" s="82"/>
      <c r="B438" s="65" t="s">
        <v>177</v>
      </c>
      <c r="C438" s="65" t="s">
        <v>119</v>
      </c>
      <c r="D438" s="65" t="str">
        <f>vlookup(C438,'Classificação p pessoal'!F:G,2,false)</f>
        <v>NP</v>
      </c>
      <c r="E438" s="65" t="s">
        <v>185</v>
      </c>
      <c r="F438" s="83">
        <v>0.5833333333333334</v>
      </c>
      <c r="G438" s="83">
        <v>0.6041666666666666</v>
      </c>
      <c r="H438" s="83">
        <v>0.020833333333333332</v>
      </c>
      <c r="I438" s="84">
        <v>44329.0</v>
      </c>
      <c r="J438" s="65" t="b">
        <v>1</v>
      </c>
      <c r="K438" s="65"/>
      <c r="L438" s="85" t="b">
        <f>IF(VLOOKUP(C438,Projetos!A:L,12,false)=TRUE,TRUE,FALSE)</f>
        <v>1</v>
      </c>
      <c r="M438" s="74">
        <v>31.02923620430495</v>
      </c>
      <c r="N438" s="74">
        <f t="shared" si="1"/>
        <v>15.5146181</v>
      </c>
      <c r="O438" s="74" t="b">
        <v>1</v>
      </c>
    </row>
    <row r="439" hidden="1">
      <c r="A439" s="82"/>
      <c r="B439" s="65" t="s">
        <v>177</v>
      </c>
      <c r="C439" s="65" t="s">
        <v>107</v>
      </c>
      <c r="D439" s="65"/>
      <c r="E439" s="65" t="s">
        <v>186</v>
      </c>
      <c r="F439" s="83">
        <v>0.5</v>
      </c>
      <c r="G439" s="83">
        <v>0.5416666666666666</v>
      </c>
      <c r="H439" s="83">
        <v>0.041666666666666664</v>
      </c>
      <c r="I439" s="84">
        <v>44560.0</v>
      </c>
      <c r="J439" s="65" t="b">
        <v>0</v>
      </c>
      <c r="K439" s="65" t="s">
        <v>187</v>
      </c>
      <c r="L439" s="85" t="b">
        <f>IF(VLOOKUP(C439,Projetos!A:L,12,false)=TRUE,TRUE,FALSE)</f>
        <v>1</v>
      </c>
      <c r="M439" s="74">
        <v>31.02923620430495</v>
      </c>
      <c r="N439" s="74">
        <f t="shared" si="1"/>
        <v>0</v>
      </c>
      <c r="O439" s="74" t="b">
        <v>1</v>
      </c>
    </row>
    <row r="440" hidden="1">
      <c r="A440" s="82"/>
      <c r="B440" s="65" t="s">
        <v>177</v>
      </c>
      <c r="C440" s="65" t="s">
        <v>100</v>
      </c>
      <c r="D440" s="65"/>
      <c r="E440" s="65" t="s">
        <v>188</v>
      </c>
      <c r="F440" s="83">
        <v>0.375</v>
      </c>
      <c r="G440" s="83">
        <v>0.4583333333333333</v>
      </c>
      <c r="H440" s="83">
        <v>0.08333333333333333</v>
      </c>
      <c r="I440" s="84">
        <v>44368.0</v>
      </c>
      <c r="J440" s="65" t="b">
        <v>0</v>
      </c>
      <c r="K440" s="65" t="s">
        <v>187</v>
      </c>
      <c r="L440" s="85" t="b">
        <f>IF(VLOOKUP(C440,Projetos!A:L,12,false)=TRUE,TRUE,FALSE)</f>
        <v>1</v>
      </c>
      <c r="M440" s="74">
        <v>31.02923620430495</v>
      </c>
      <c r="N440" s="74">
        <f t="shared" si="1"/>
        <v>0</v>
      </c>
      <c r="O440" s="74" t="b">
        <v>1</v>
      </c>
    </row>
    <row r="441" hidden="1">
      <c r="A441" s="82"/>
      <c r="B441" s="65" t="s">
        <v>177</v>
      </c>
      <c r="C441" s="65" t="s">
        <v>100</v>
      </c>
      <c r="D441" s="65"/>
      <c r="E441" s="65" t="s">
        <v>188</v>
      </c>
      <c r="F441" s="83">
        <v>0.6666666666666666</v>
      </c>
      <c r="G441" s="83">
        <v>0.75</v>
      </c>
      <c r="H441" s="83">
        <v>0.08333333333333333</v>
      </c>
      <c r="I441" s="84">
        <v>44407.0</v>
      </c>
      <c r="J441" s="65" t="b">
        <v>0</v>
      </c>
      <c r="K441" s="65" t="s">
        <v>187</v>
      </c>
      <c r="L441" s="85" t="b">
        <f>IF(VLOOKUP(C441,Projetos!A:L,12,false)=TRUE,TRUE,FALSE)</f>
        <v>1</v>
      </c>
      <c r="M441" s="74">
        <v>31.02923620430495</v>
      </c>
      <c r="N441" s="74">
        <f t="shared" si="1"/>
        <v>0</v>
      </c>
      <c r="O441" s="74" t="b">
        <v>1</v>
      </c>
    </row>
    <row r="442" hidden="1">
      <c r="A442" s="82"/>
      <c r="B442" s="65" t="s">
        <v>177</v>
      </c>
      <c r="C442" s="65" t="s">
        <v>100</v>
      </c>
      <c r="D442" s="65"/>
      <c r="E442" s="65" t="s">
        <v>188</v>
      </c>
      <c r="F442" s="83">
        <v>0.7083333333333334</v>
      </c>
      <c r="G442" s="83">
        <v>0.75</v>
      </c>
      <c r="H442" s="83">
        <v>0.041666666666666664</v>
      </c>
      <c r="I442" s="84">
        <v>44473.0</v>
      </c>
      <c r="J442" s="65" t="b">
        <v>0</v>
      </c>
      <c r="K442" s="65" t="s">
        <v>187</v>
      </c>
      <c r="L442" s="85" t="b">
        <f>IF(VLOOKUP(C442,Projetos!A:L,12,false)=TRUE,TRUE,FALSE)</f>
        <v>1</v>
      </c>
      <c r="M442" s="74">
        <v>31.02923620430495</v>
      </c>
      <c r="N442" s="74">
        <f t="shared" si="1"/>
        <v>0</v>
      </c>
      <c r="O442" s="74" t="b">
        <v>1</v>
      </c>
    </row>
    <row r="443" hidden="1">
      <c r="A443" s="82"/>
      <c r="B443" s="65" t="s">
        <v>177</v>
      </c>
      <c r="C443" s="65" t="s">
        <v>91</v>
      </c>
      <c r="D443" s="65"/>
      <c r="E443" s="65" t="s">
        <v>189</v>
      </c>
      <c r="F443" s="83">
        <v>0.6875</v>
      </c>
      <c r="G443" s="83">
        <v>0.75</v>
      </c>
      <c r="H443" s="83">
        <v>0.0625</v>
      </c>
      <c r="I443" s="84">
        <v>44337.0</v>
      </c>
      <c r="J443" s="65" t="b">
        <v>0</v>
      </c>
      <c r="K443" s="65" t="s">
        <v>187</v>
      </c>
      <c r="L443" s="85" t="b">
        <f>IF(VLOOKUP(C443,Projetos!A:L,12,false)=TRUE,TRUE,FALSE)</f>
        <v>1</v>
      </c>
      <c r="M443" s="74">
        <v>31.02923620430495</v>
      </c>
      <c r="N443" s="74">
        <f t="shared" si="1"/>
        <v>0</v>
      </c>
      <c r="O443" s="74" t="b">
        <v>1</v>
      </c>
    </row>
    <row r="444">
      <c r="A444" s="82"/>
      <c r="B444" s="65" t="s">
        <v>177</v>
      </c>
      <c r="C444" s="65" t="s">
        <v>108</v>
      </c>
      <c r="D444" s="65"/>
      <c r="E444" s="65" t="s">
        <v>190</v>
      </c>
      <c r="F444" s="83">
        <v>0.5833333333333334</v>
      </c>
      <c r="G444" s="83">
        <v>0.6041666666666666</v>
      </c>
      <c r="H444" s="83">
        <v>0.020833333333333332</v>
      </c>
      <c r="I444" s="84">
        <v>44299.0</v>
      </c>
      <c r="J444" s="65" t="b">
        <v>0</v>
      </c>
      <c r="K444" s="65" t="s">
        <v>187</v>
      </c>
      <c r="L444" s="85" t="b">
        <f>IF(VLOOKUP(C444,Projetos!A:L,12,false)=TRUE,TRUE,FALSE)</f>
        <v>1</v>
      </c>
      <c r="M444" s="74">
        <v>31.02923620430495</v>
      </c>
      <c r="N444" s="74">
        <f t="shared" si="1"/>
        <v>0</v>
      </c>
      <c r="O444" s="74" t="b">
        <v>1</v>
      </c>
    </row>
    <row r="445" hidden="1">
      <c r="A445" s="82"/>
      <c r="B445" s="65" t="s">
        <v>177</v>
      </c>
      <c r="C445" s="65" t="s">
        <v>130</v>
      </c>
      <c r="D445" s="65" t="str">
        <f>vlookup(C445,'Classificação p pessoal'!F:G,2,false)</f>
        <v>NP</v>
      </c>
      <c r="E445" s="65" t="s">
        <v>191</v>
      </c>
      <c r="F445" s="83">
        <v>0.4166666666666667</v>
      </c>
      <c r="G445" s="83">
        <v>0.4375</v>
      </c>
      <c r="H445" s="83">
        <v>0.020833333333333332</v>
      </c>
      <c r="I445" s="84">
        <v>44480.0</v>
      </c>
      <c r="J445" s="65" t="b">
        <v>1</v>
      </c>
      <c r="K445" s="65"/>
      <c r="L445" s="85" t="b">
        <f>IF(VLOOKUP(C445,Projetos!A:L,12,false)=TRUE,TRUE,FALSE)</f>
        <v>1</v>
      </c>
      <c r="M445" s="74">
        <v>31.02923620430495</v>
      </c>
      <c r="N445" s="74">
        <f t="shared" si="1"/>
        <v>15.5146181</v>
      </c>
      <c r="O445" s="74" t="b">
        <v>1</v>
      </c>
    </row>
    <row r="446" hidden="1">
      <c r="A446" s="82"/>
      <c r="B446" s="65" t="s">
        <v>177</v>
      </c>
      <c r="C446" s="65" t="s">
        <v>100</v>
      </c>
      <c r="D446" s="65" t="str">
        <f>vlookup(C446,'Classificação p pessoal'!F:G,2,false)</f>
        <v>NP</v>
      </c>
      <c r="E446" s="65" t="s">
        <v>192</v>
      </c>
      <c r="F446" s="83">
        <v>0.4166666666666667</v>
      </c>
      <c r="G446" s="83">
        <v>0.4791666666666667</v>
      </c>
      <c r="H446" s="83">
        <v>0.0625</v>
      </c>
      <c r="I446" s="84">
        <v>44518.0</v>
      </c>
      <c r="J446" s="65" t="b">
        <v>1</v>
      </c>
      <c r="K446" s="65"/>
      <c r="L446" s="85" t="b">
        <f>IF(VLOOKUP(C446,Projetos!A:L,12,false)=TRUE,TRUE,FALSE)</f>
        <v>1</v>
      </c>
      <c r="M446" s="74">
        <v>31.02923620430495</v>
      </c>
      <c r="N446" s="74">
        <f t="shared" si="1"/>
        <v>46.54385431</v>
      </c>
      <c r="O446" s="74" t="b">
        <v>1</v>
      </c>
    </row>
    <row r="447" hidden="1">
      <c r="A447" s="82"/>
      <c r="B447" s="65" t="s">
        <v>177</v>
      </c>
      <c r="C447" s="65" t="s">
        <v>106</v>
      </c>
      <c r="D447" s="65" t="str">
        <f>vlookup(C447,'Classificação p pessoal'!F:G,2,false)</f>
        <v>MProcesso</v>
      </c>
      <c r="E447" s="65" t="s">
        <v>193</v>
      </c>
      <c r="F447" s="83">
        <v>0.6666666666666666</v>
      </c>
      <c r="G447" s="83">
        <v>0.6875</v>
      </c>
      <c r="H447" s="83">
        <v>0.020833333333333332</v>
      </c>
      <c r="I447" s="84">
        <v>44369.0</v>
      </c>
      <c r="J447" s="65" t="b">
        <v>1</v>
      </c>
      <c r="K447" s="65"/>
      <c r="L447" s="85" t="b">
        <f>IF(VLOOKUP(C447,Projetos!A:L,12,false)=TRUE,TRUE,FALSE)</f>
        <v>1</v>
      </c>
      <c r="M447" s="74">
        <v>31.02923620430495</v>
      </c>
      <c r="N447" s="74">
        <f t="shared" si="1"/>
        <v>15.5146181</v>
      </c>
      <c r="O447" s="74" t="b">
        <v>1</v>
      </c>
    </row>
    <row r="448" hidden="1">
      <c r="A448" s="82"/>
      <c r="B448" s="65" t="s">
        <v>177</v>
      </c>
      <c r="C448" s="65" t="s">
        <v>130</v>
      </c>
      <c r="D448" s="65" t="str">
        <f>vlookup(C448,'Classificação p pessoal'!F:G,2,false)</f>
        <v>NP</v>
      </c>
      <c r="E448" s="65" t="s">
        <v>194</v>
      </c>
      <c r="F448" s="83">
        <v>0.5833333333333334</v>
      </c>
      <c r="G448" s="83">
        <v>0.6041666666666666</v>
      </c>
      <c r="H448" s="83">
        <v>0.020833333333333332</v>
      </c>
      <c r="I448" s="84">
        <v>44528.0</v>
      </c>
      <c r="J448" s="65" t="b">
        <v>1</v>
      </c>
      <c r="K448" s="65"/>
      <c r="L448" s="85" t="b">
        <f>IF(VLOOKUP(C448,Projetos!A:L,12,false)=TRUE,TRUE,FALSE)</f>
        <v>1</v>
      </c>
      <c r="M448" s="74">
        <v>31.02923620430495</v>
      </c>
      <c r="N448" s="74">
        <f t="shared" si="1"/>
        <v>15.5146181</v>
      </c>
      <c r="O448" s="74" t="b">
        <v>1</v>
      </c>
    </row>
    <row r="449">
      <c r="A449" s="82"/>
      <c r="B449" s="65" t="s">
        <v>177</v>
      </c>
      <c r="C449" s="65" t="s">
        <v>108</v>
      </c>
      <c r="D449" s="65"/>
      <c r="E449" s="65" t="s">
        <v>195</v>
      </c>
      <c r="F449" s="83">
        <v>0.5833333333333334</v>
      </c>
      <c r="G449" s="83">
        <v>0.625</v>
      </c>
      <c r="H449" s="83">
        <v>0.041666666666666664</v>
      </c>
      <c r="I449" s="84">
        <v>44349.0</v>
      </c>
      <c r="J449" s="65" t="b">
        <v>0</v>
      </c>
      <c r="K449" s="65" t="s">
        <v>150</v>
      </c>
      <c r="L449" s="85" t="b">
        <f>IF(VLOOKUP(C449,Projetos!A:L,12,false)=TRUE,TRUE,FALSE)</f>
        <v>1</v>
      </c>
      <c r="M449" s="74">
        <v>31.02923620430495</v>
      </c>
      <c r="N449" s="74">
        <f t="shared" si="1"/>
        <v>0</v>
      </c>
      <c r="O449" s="74" t="b">
        <v>1</v>
      </c>
    </row>
    <row r="450" hidden="1">
      <c r="A450" s="82"/>
      <c r="B450" s="65" t="s">
        <v>177</v>
      </c>
      <c r="C450" s="65" t="s">
        <v>106</v>
      </c>
      <c r="D450" s="65"/>
      <c r="E450" s="65" t="s">
        <v>196</v>
      </c>
      <c r="F450" s="83">
        <v>0.375</v>
      </c>
      <c r="G450" s="83">
        <v>0.3958333333333333</v>
      </c>
      <c r="H450" s="83">
        <v>0.020833333333333332</v>
      </c>
      <c r="I450" s="84">
        <v>44473.0</v>
      </c>
      <c r="J450" s="65" t="b">
        <v>0</v>
      </c>
      <c r="K450" s="65" t="s">
        <v>187</v>
      </c>
      <c r="L450" s="85" t="b">
        <f>IF(VLOOKUP(C450,Projetos!A:L,12,false)=TRUE,TRUE,FALSE)</f>
        <v>1</v>
      </c>
      <c r="M450" s="74">
        <v>31.02923620430495</v>
      </c>
      <c r="N450" s="74">
        <f t="shared" si="1"/>
        <v>0</v>
      </c>
      <c r="O450" s="74" t="b">
        <v>1</v>
      </c>
    </row>
    <row r="451" hidden="1">
      <c r="A451" s="82"/>
      <c r="B451" s="65" t="s">
        <v>177</v>
      </c>
      <c r="C451" s="65" t="s">
        <v>106</v>
      </c>
      <c r="D451" s="65"/>
      <c r="E451" s="65" t="s">
        <v>197</v>
      </c>
      <c r="F451" s="83">
        <v>0.6666666666666666</v>
      </c>
      <c r="G451" s="83">
        <v>0.6875</v>
      </c>
      <c r="H451" s="83">
        <v>0.020833333333333332</v>
      </c>
      <c r="I451" s="84">
        <v>44473.0</v>
      </c>
      <c r="J451" s="65" t="b">
        <v>0</v>
      </c>
      <c r="K451" s="65" t="s">
        <v>187</v>
      </c>
      <c r="L451" s="85" t="b">
        <f>IF(VLOOKUP(C451,Projetos!A:L,12,false)=TRUE,TRUE,FALSE)</f>
        <v>1</v>
      </c>
      <c r="M451" s="74">
        <v>31.02923620430495</v>
      </c>
      <c r="N451" s="74">
        <f t="shared" si="1"/>
        <v>0</v>
      </c>
      <c r="O451" s="74" t="b">
        <v>1</v>
      </c>
    </row>
    <row r="452" hidden="1">
      <c r="A452" s="82"/>
      <c r="B452" s="65" t="s">
        <v>177</v>
      </c>
      <c r="C452" s="65" t="s">
        <v>92</v>
      </c>
      <c r="D452" s="65" t="str">
        <f>vlookup(C452,'Classificação p pessoal'!F:G,2,false)</f>
        <v/>
      </c>
      <c r="E452" s="65" t="s">
        <v>198</v>
      </c>
      <c r="F452" s="83">
        <v>0.5416666666666666</v>
      </c>
      <c r="G452" s="83">
        <v>0.5833333333333334</v>
      </c>
      <c r="H452" s="83">
        <v>0.041666666666666664</v>
      </c>
      <c r="I452" s="84">
        <v>44293.0</v>
      </c>
      <c r="J452" s="65" t="b">
        <v>1</v>
      </c>
      <c r="K452" s="65"/>
      <c r="L452" s="85" t="b">
        <f>IF(VLOOKUP(C452,Projetos!A:L,12,false)=TRUE,TRUE,FALSE)</f>
        <v>1</v>
      </c>
      <c r="M452" s="74">
        <v>31.02923620430495</v>
      </c>
      <c r="N452" s="74">
        <f t="shared" si="1"/>
        <v>31.0292362</v>
      </c>
      <c r="O452" s="74" t="b">
        <v>1</v>
      </c>
    </row>
    <row r="453" hidden="1">
      <c r="A453" s="82"/>
      <c r="B453" s="65" t="s">
        <v>177</v>
      </c>
      <c r="C453" s="65" t="s">
        <v>91</v>
      </c>
      <c r="D453" s="65"/>
      <c r="E453" s="65" t="s">
        <v>199</v>
      </c>
      <c r="F453" s="83">
        <v>0.3854166666666667</v>
      </c>
      <c r="G453" s="83">
        <v>0.4270833333333333</v>
      </c>
      <c r="H453" s="83">
        <v>0.041666666666666664</v>
      </c>
      <c r="I453" s="84">
        <v>44319.0</v>
      </c>
      <c r="J453" s="65" t="b">
        <v>0</v>
      </c>
      <c r="K453" s="65" t="s">
        <v>150</v>
      </c>
      <c r="L453" s="85" t="b">
        <f>IF(VLOOKUP(C453,Projetos!A:L,12,false)=TRUE,TRUE,FALSE)</f>
        <v>1</v>
      </c>
      <c r="M453" s="74">
        <v>31.02923620430495</v>
      </c>
      <c r="N453" s="74">
        <f t="shared" si="1"/>
        <v>0</v>
      </c>
      <c r="O453" s="74" t="b">
        <v>1</v>
      </c>
    </row>
    <row r="454" hidden="1">
      <c r="A454" s="82"/>
      <c r="B454" s="65" t="s">
        <v>177</v>
      </c>
      <c r="C454" s="65" t="s">
        <v>100</v>
      </c>
      <c r="D454" s="65"/>
      <c r="E454" s="65" t="s">
        <v>200</v>
      </c>
      <c r="F454" s="83">
        <v>0.4375</v>
      </c>
      <c r="G454" s="83">
        <v>0.4583333333333333</v>
      </c>
      <c r="H454" s="83">
        <v>0.020833333333333332</v>
      </c>
      <c r="I454" s="84">
        <v>44406.0</v>
      </c>
      <c r="J454" s="65" t="b">
        <v>0</v>
      </c>
      <c r="K454" s="65" t="s">
        <v>150</v>
      </c>
      <c r="L454" s="85" t="b">
        <f>IF(VLOOKUP(C454,Projetos!A:L,12,false)=TRUE,TRUE,FALSE)</f>
        <v>1</v>
      </c>
      <c r="M454" s="74">
        <v>31.02923620430495</v>
      </c>
      <c r="N454" s="74">
        <f t="shared" si="1"/>
        <v>0</v>
      </c>
      <c r="O454" s="74" t="b">
        <v>1</v>
      </c>
    </row>
    <row r="455" hidden="1">
      <c r="A455" s="82"/>
      <c r="B455" s="65" t="s">
        <v>177</v>
      </c>
      <c r="C455" s="65" t="s">
        <v>119</v>
      </c>
      <c r="D455" s="65"/>
      <c r="E455" s="65" t="s">
        <v>201</v>
      </c>
      <c r="F455" s="83">
        <v>0.7083333333333334</v>
      </c>
      <c r="G455" s="83">
        <v>0.75</v>
      </c>
      <c r="H455" s="83">
        <v>0.041666666666666664</v>
      </c>
      <c r="I455" s="84">
        <v>44225.0</v>
      </c>
      <c r="J455" s="65" t="b">
        <v>0</v>
      </c>
      <c r="K455" s="65" t="s">
        <v>150</v>
      </c>
      <c r="L455" s="85" t="b">
        <f>IF(VLOOKUP(C455,Projetos!A:L,12,false)=TRUE,TRUE,FALSE)</f>
        <v>1</v>
      </c>
      <c r="M455" s="74">
        <v>31.02923620430495</v>
      </c>
      <c r="N455" s="74">
        <f t="shared" si="1"/>
        <v>0</v>
      </c>
      <c r="O455" s="74" t="b">
        <v>1</v>
      </c>
    </row>
    <row r="456">
      <c r="A456" s="82"/>
      <c r="B456" s="65" t="s">
        <v>177</v>
      </c>
      <c r="C456" s="65" t="s">
        <v>108</v>
      </c>
      <c r="D456" s="65" t="str">
        <f>vlookup(C456,'Classificação p pessoal'!F:G,2,false)</f>
        <v>NP</v>
      </c>
      <c r="E456" s="65" t="s">
        <v>202</v>
      </c>
      <c r="F456" s="83">
        <v>0.3958333333333333</v>
      </c>
      <c r="G456" s="83">
        <v>0.4375</v>
      </c>
      <c r="H456" s="83">
        <v>0.041666666666666664</v>
      </c>
      <c r="I456" s="84">
        <v>44462.0</v>
      </c>
      <c r="J456" s="65" t="b">
        <v>1</v>
      </c>
      <c r="K456" s="65"/>
      <c r="L456" s="85" t="b">
        <f>IF(VLOOKUP(C456,Projetos!A:L,12,false)=TRUE,TRUE,FALSE)</f>
        <v>1</v>
      </c>
      <c r="M456" s="74">
        <v>31.02923620430495</v>
      </c>
      <c r="N456" s="74">
        <f t="shared" si="1"/>
        <v>31.0292362</v>
      </c>
      <c r="O456" s="74" t="b">
        <v>1</v>
      </c>
    </row>
    <row r="457" hidden="1">
      <c r="A457" s="82"/>
      <c r="B457" s="65" t="s">
        <v>177</v>
      </c>
      <c r="C457" s="65" t="s">
        <v>92</v>
      </c>
      <c r="D457" s="65"/>
      <c r="E457" s="65" t="s">
        <v>203</v>
      </c>
      <c r="F457" s="83">
        <v>0.6145833333333334</v>
      </c>
      <c r="G457" s="83">
        <v>0.6354166666666666</v>
      </c>
      <c r="H457" s="83">
        <v>0.020833333333333332</v>
      </c>
      <c r="I457" s="84">
        <v>44463.0</v>
      </c>
      <c r="J457" s="65" t="b">
        <v>0</v>
      </c>
      <c r="K457" s="65" t="s">
        <v>150</v>
      </c>
      <c r="L457" s="85" t="b">
        <f>IF(VLOOKUP(C457,Projetos!A:L,12,false)=TRUE,TRUE,FALSE)</f>
        <v>1</v>
      </c>
      <c r="M457" s="74">
        <v>31.02923620430495</v>
      </c>
      <c r="N457" s="74">
        <f t="shared" si="1"/>
        <v>0</v>
      </c>
      <c r="O457" s="74" t="b">
        <v>1</v>
      </c>
    </row>
    <row r="458" hidden="1">
      <c r="A458" s="82"/>
      <c r="B458" s="65" t="s">
        <v>177</v>
      </c>
      <c r="C458" s="65" t="s">
        <v>100</v>
      </c>
      <c r="D458" s="65" t="str">
        <f>vlookup(C458,'Classificação p pessoal'!F:G,2,false)</f>
        <v>NP</v>
      </c>
      <c r="E458" s="65" t="s">
        <v>204</v>
      </c>
      <c r="F458" s="83">
        <v>0.4583333333333333</v>
      </c>
      <c r="G458" s="83">
        <v>0.5</v>
      </c>
      <c r="H458" s="83">
        <v>0.041666666666666664</v>
      </c>
      <c r="I458" s="84">
        <v>44544.0</v>
      </c>
      <c r="J458" s="65" t="b">
        <v>1</v>
      </c>
      <c r="K458" s="65"/>
      <c r="L458" s="85" t="b">
        <f>IF(VLOOKUP(C458,Projetos!A:L,12,false)=TRUE,TRUE,FALSE)</f>
        <v>1</v>
      </c>
      <c r="M458" s="74">
        <v>31.02923620430495</v>
      </c>
      <c r="N458" s="74">
        <f t="shared" si="1"/>
        <v>31.0292362</v>
      </c>
      <c r="O458" s="74" t="b">
        <v>1</v>
      </c>
    </row>
    <row r="459">
      <c r="A459" s="82"/>
      <c r="B459" s="65" t="s">
        <v>177</v>
      </c>
      <c r="C459" s="65" t="s">
        <v>108</v>
      </c>
      <c r="D459" s="65" t="str">
        <f>vlookup(C459,'Classificação p pessoal'!F:G,2,false)</f>
        <v>NP</v>
      </c>
      <c r="E459" s="65" t="s">
        <v>205</v>
      </c>
      <c r="F459" s="83">
        <v>0.5833333333333334</v>
      </c>
      <c r="G459" s="83">
        <v>0.6041666666666666</v>
      </c>
      <c r="H459" s="83">
        <v>0.020833333333333332</v>
      </c>
      <c r="I459" s="84">
        <v>44326.0</v>
      </c>
      <c r="J459" s="65" t="b">
        <v>1</v>
      </c>
      <c r="K459" s="65"/>
      <c r="L459" s="85" t="b">
        <f>IF(VLOOKUP(C459,Projetos!A:L,12,false)=TRUE,TRUE,FALSE)</f>
        <v>1</v>
      </c>
      <c r="M459" s="74">
        <v>31.02923620430495</v>
      </c>
      <c r="N459" s="74">
        <f t="shared" si="1"/>
        <v>15.5146181</v>
      </c>
      <c r="O459" s="74" t="b">
        <v>1</v>
      </c>
    </row>
    <row r="460" hidden="1">
      <c r="A460" s="82"/>
      <c r="B460" s="65" t="s">
        <v>177</v>
      </c>
      <c r="C460" s="65" t="s">
        <v>130</v>
      </c>
      <c r="D460" s="65" t="str">
        <f>vlookup(C460,'Classificação p pessoal'!F:G,2,false)</f>
        <v>NP</v>
      </c>
      <c r="E460" s="65" t="s">
        <v>206</v>
      </c>
      <c r="F460" s="83">
        <v>0.4583333333333333</v>
      </c>
      <c r="G460" s="83">
        <v>0.4791666666666667</v>
      </c>
      <c r="H460" s="83">
        <v>0.020833333333333332</v>
      </c>
      <c r="I460" s="84">
        <v>44466.0</v>
      </c>
      <c r="J460" s="65" t="b">
        <v>1</v>
      </c>
      <c r="K460" s="65"/>
      <c r="L460" s="85" t="b">
        <f>IF(VLOOKUP(C460,Projetos!A:L,12,false)=TRUE,TRUE,FALSE)</f>
        <v>1</v>
      </c>
      <c r="M460" s="74">
        <v>31.02923620430495</v>
      </c>
      <c r="N460" s="74">
        <f t="shared" si="1"/>
        <v>15.5146181</v>
      </c>
      <c r="O460" s="74" t="b">
        <v>1</v>
      </c>
    </row>
    <row r="461" hidden="1">
      <c r="A461" s="82"/>
      <c r="B461" s="65" t="s">
        <v>177</v>
      </c>
      <c r="C461" s="65" t="s">
        <v>100</v>
      </c>
      <c r="D461" s="65"/>
      <c r="E461" s="65" t="s">
        <v>207</v>
      </c>
      <c r="F461" s="83">
        <v>0.3541666666666667</v>
      </c>
      <c r="G461" s="83">
        <v>0.3958333333333333</v>
      </c>
      <c r="H461" s="83">
        <v>0.041666666666666664</v>
      </c>
      <c r="I461" s="84">
        <v>44260.0</v>
      </c>
      <c r="J461" s="65" t="b">
        <v>0</v>
      </c>
      <c r="K461" s="65" t="s">
        <v>150</v>
      </c>
      <c r="L461" s="85" t="b">
        <f>IF(VLOOKUP(C461,Projetos!A:L,12,false)=TRUE,TRUE,FALSE)</f>
        <v>1</v>
      </c>
      <c r="M461" s="74">
        <v>31.02923620430495</v>
      </c>
      <c r="N461" s="74">
        <f t="shared" si="1"/>
        <v>0</v>
      </c>
      <c r="O461" s="74" t="b">
        <v>1</v>
      </c>
    </row>
    <row r="462">
      <c r="A462" s="82"/>
      <c r="B462" s="65" t="s">
        <v>177</v>
      </c>
      <c r="C462" s="65" t="s">
        <v>108</v>
      </c>
      <c r="D462" s="65"/>
      <c r="E462" s="65" t="s">
        <v>208</v>
      </c>
      <c r="F462" s="83">
        <v>0.7083333333333334</v>
      </c>
      <c r="G462" s="83">
        <v>0.75</v>
      </c>
      <c r="H462" s="83">
        <v>0.041666666666666664</v>
      </c>
      <c r="I462" s="84">
        <v>44200.0</v>
      </c>
      <c r="J462" s="65" t="b">
        <v>0</v>
      </c>
      <c r="K462" s="65" t="s">
        <v>150</v>
      </c>
      <c r="L462" s="85" t="b">
        <f>IF(VLOOKUP(C462,Projetos!A:L,12,false)=TRUE,TRUE,FALSE)</f>
        <v>1</v>
      </c>
      <c r="M462" s="74">
        <v>31.02923620430495</v>
      </c>
      <c r="N462" s="74">
        <f t="shared" si="1"/>
        <v>0</v>
      </c>
      <c r="O462" s="74" t="b">
        <v>1</v>
      </c>
    </row>
    <row r="463">
      <c r="A463" s="82"/>
      <c r="B463" s="65" t="s">
        <v>177</v>
      </c>
      <c r="C463" s="65" t="s">
        <v>108</v>
      </c>
      <c r="D463" s="65" t="str">
        <f>vlookup(C463,'Classificação p pessoal'!F:G,2,false)</f>
        <v>NP</v>
      </c>
      <c r="E463" s="65" t="s">
        <v>209</v>
      </c>
      <c r="F463" s="83">
        <v>0.3541666666666667</v>
      </c>
      <c r="G463" s="83">
        <v>0.3958333333333333</v>
      </c>
      <c r="H463" s="83">
        <v>0.041666666666666664</v>
      </c>
      <c r="I463" s="84">
        <v>44201.0</v>
      </c>
      <c r="J463" s="65" t="b">
        <v>1</v>
      </c>
      <c r="K463" s="65"/>
      <c r="L463" s="85" t="b">
        <f>IF(VLOOKUP(C463,Projetos!A:L,12,false)=TRUE,TRUE,FALSE)</f>
        <v>1</v>
      </c>
      <c r="M463" s="74">
        <v>31.02923620430495</v>
      </c>
      <c r="N463" s="74">
        <f t="shared" si="1"/>
        <v>31.0292362</v>
      </c>
      <c r="O463" s="74" t="b">
        <v>1</v>
      </c>
    </row>
    <row r="464" hidden="1">
      <c r="A464" s="82"/>
      <c r="B464" s="65" t="s">
        <v>177</v>
      </c>
      <c r="C464" s="65" t="s">
        <v>92</v>
      </c>
      <c r="D464" s="65" t="str">
        <f>vlookup(C464,'Classificação p pessoal'!F:G,2,false)</f>
        <v/>
      </c>
      <c r="E464" s="65" t="s">
        <v>210</v>
      </c>
      <c r="F464" s="83">
        <v>0.3958333333333333</v>
      </c>
      <c r="G464" s="83">
        <v>0.4375</v>
      </c>
      <c r="H464" s="83">
        <v>0.041666666666666664</v>
      </c>
      <c r="I464" s="84">
        <v>44201.0</v>
      </c>
      <c r="J464" s="65" t="b">
        <v>1</v>
      </c>
      <c r="K464" s="65"/>
      <c r="L464" s="85" t="b">
        <f>IF(VLOOKUP(C464,Projetos!A:L,12,false)=TRUE,TRUE,FALSE)</f>
        <v>1</v>
      </c>
      <c r="M464" s="74">
        <v>31.02923620430495</v>
      </c>
      <c r="N464" s="74">
        <f t="shared" si="1"/>
        <v>31.0292362</v>
      </c>
      <c r="O464" s="74" t="b">
        <v>1</v>
      </c>
    </row>
    <row r="465" hidden="1">
      <c r="A465" s="82"/>
      <c r="B465" s="65" t="s">
        <v>177</v>
      </c>
      <c r="C465" s="65" t="s">
        <v>92</v>
      </c>
      <c r="D465" s="65" t="str">
        <f>vlookup(C465,'Classificação p pessoal'!F:G,2,false)</f>
        <v/>
      </c>
      <c r="E465" s="65" t="s">
        <v>211</v>
      </c>
      <c r="F465" s="83">
        <v>0.3541666666666667</v>
      </c>
      <c r="G465" s="83">
        <v>0.375</v>
      </c>
      <c r="H465" s="83">
        <v>0.020833333333333332</v>
      </c>
      <c r="I465" s="84">
        <v>44202.0</v>
      </c>
      <c r="J465" s="65" t="b">
        <v>1</v>
      </c>
      <c r="K465" s="65"/>
      <c r="L465" s="85" t="b">
        <f>IF(VLOOKUP(C465,Projetos!A:L,12,false)=TRUE,TRUE,FALSE)</f>
        <v>1</v>
      </c>
      <c r="M465" s="74">
        <v>31.02923620430495</v>
      </c>
      <c r="N465" s="74">
        <f t="shared" si="1"/>
        <v>15.5146181</v>
      </c>
      <c r="O465" s="74" t="b">
        <v>1</v>
      </c>
    </row>
    <row r="466" hidden="1">
      <c r="A466" s="82"/>
      <c r="B466" s="65" t="s">
        <v>177</v>
      </c>
      <c r="C466" s="65" t="s">
        <v>92</v>
      </c>
      <c r="D466" s="65" t="str">
        <f>vlookup(C466,'Classificação p pessoal'!F:G,2,false)</f>
        <v/>
      </c>
      <c r="E466" s="65" t="s">
        <v>212</v>
      </c>
      <c r="F466" s="83">
        <v>0.375</v>
      </c>
      <c r="G466" s="83">
        <v>0.4166666666666667</v>
      </c>
      <c r="H466" s="83">
        <v>0.041666666666666664</v>
      </c>
      <c r="I466" s="84">
        <v>44202.0</v>
      </c>
      <c r="J466" s="65" t="b">
        <v>1</v>
      </c>
      <c r="K466" s="65"/>
      <c r="L466" s="85" t="b">
        <f>IF(VLOOKUP(C466,Projetos!A:L,12,false)=TRUE,TRUE,FALSE)</f>
        <v>1</v>
      </c>
      <c r="M466" s="74">
        <v>31.02923620430495</v>
      </c>
      <c r="N466" s="74">
        <f t="shared" si="1"/>
        <v>31.0292362</v>
      </c>
      <c r="O466" s="74" t="b">
        <v>1</v>
      </c>
    </row>
    <row r="467" hidden="1">
      <c r="A467" s="82"/>
      <c r="B467" s="65" t="s">
        <v>177</v>
      </c>
      <c r="C467" s="65" t="s">
        <v>100</v>
      </c>
      <c r="D467" s="65" t="str">
        <f>vlookup(C467,'Classificação p pessoal'!F:G,2,false)</f>
        <v>NP</v>
      </c>
      <c r="E467" s="65" t="s">
        <v>213</v>
      </c>
      <c r="F467" s="83">
        <v>0.4166666666666667</v>
      </c>
      <c r="G467" s="83">
        <v>0.4791666666666667</v>
      </c>
      <c r="H467" s="83">
        <v>0.0625</v>
      </c>
      <c r="I467" s="84">
        <v>44202.0</v>
      </c>
      <c r="J467" s="65" t="b">
        <v>1</v>
      </c>
      <c r="K467" s="65"/>
      <c r="L467" s="85" t="b">
        <f>IF(VLOOKUP(C467,Projetos!A:L,12,false)=TRUE,TRUE,FALSE)</f>
        <v>1</v>
      </c>
      <c r="M467" s="74">
        <v>31.02923620430495</v>
      </c>
      <c r="N467" s="74">
        <f t="shared" si="1"/>
        <v>46.54385431</v>
      </c>
      <c r="O467" s="74" t="b">
        <v>1</v>
      </c>
    </row>
    <row r="468" hidden="1">
      <c r="A468" s="82"/>
      <c r="B468" s="65" t="s">
        <v>177</v>
      </c>
      <c r="C468" s="65" t="s">
        <v>118</v>
      </c>
      <c r="D468" s="65" t="str">
        <f>vlookup(C468,'Classificação p pessoal'!F:G,2,false)</f>
        <v>MProduto</v>
      </c>
      <c r="E468" s="65" t="s">
        <v>214</v>
      </c>
      <c r="F468" s="83">
        <v>0.5833333333333334</v>
      </c>
      <c r="G468" s="83">
        <v>0.625</v>
      </c>
      <c r="H468" s="83">
        <v>0.041666666666666664</v>
      </c>
      <c r="I468" s="84">
        <v>44202.0</v>
      </c>
      <c r="J468" s="65" t="b">
        <v>1</v>
      </c>
      <c r="K468" s="65"/>
      <c r="L468" s="85" t="b">
        <f>IF(VLOOKUP(C468,Projetos!A:L,12,false)=TRUE,TRUE,FALSE)</f>
        <v>1</v>
      </c>
      <c r="M468" s="74">
        <v>31.02923620430495</v>
      </c>
      <c r="N468" s="74">
        <f t="shared" si="1"/>
        <v>31.0292362</v>
      </c>
      <c r="O468" s="74" t="b">
        <v>1</v>
      </c>
    </row>
    <row r="469" hidden="1">
      <c r="A469" s="82"/>
      <c r="B469" s="65" t="s">
        <v>177</v>
      </c>
      <c r="C469" s="65" t="s">
        <v>106</v>
      </c>
      <c r="D469" s="65" t="str">
        <f>vlookup(C469,'Classificação p pessoal'!F:G,2,false)</f>
        <v>MProcesso</v>
      </c>
      <c r="E469" s="65" t="s">
        <v>215</v>
      </c>
      <c r="F469" s="83">
        <v>0.625</v>
      </c>
      <c r="G469" s="83">
        <v>0.6666666666666666</v>
      </c>
      <c r="H469" s="83">
        <v>0.041666666666666664</v>
      </c>
      <c r="I469" s="84">
        <v>44202.0</v>
      </c>
      <c r="J469" s="65" t="b">
        <v>1</v>
      </c>
      <c r="K469" s="65"/>
      <c r="L469" s="85" t="b">
        <f>IF(VLOOKUP(C469,Projetos!A:L,12,false)=TRUE,TRUE,FALSE)</f>
        <v>1</v>
      </c>
      <c r="M469" s="74">
        <v>31.02923620430495</v>
      </c>
      <c r="N469" s="74">
        <f t="shared" si="1"/>
        <v>31.0292362</v>
      </c>
      <c r="O469" s="74" t="b">
        <v>1</v>
      </c>
    </row>
    <row r="470" hidden="1">
      <c r="A470" s="82"/>
      <c r="B470" s="65" t="s">
        <v>177</v>
      </c>
      <c r="C470" s="65" t="s">
        <v>100</v>
      </c>
      <c r="D470" s="65" t="str">
        <f>vlookup(C470,'Classificação p pessoal'!F:G,2,false)</f>
        <v>NP</v>
      </c>
      <c r="E470" s="65" t="s">
        <v>216</v>
      </c>
      <c r="F470" s="83">
        <v>0.3541666666666667</v>
      </c>
      <c r="G470" s="83">
        <v>0.3958333333333333</v>
      </c>
      <c r="H470" s="83">
        <v>0.041666666666666664</v>
      </c>
      <c r="I470" s="84">
        <v>44203.0</v>
      </c>
      <c r="J470" s="65" t="b">
        <v>1</v>
      </c>
      <c r="K470" s="65"/>
      <c r="L470" s="85" t="b">
        <f>IF(VLOOKUP(C470,Projetos!A:L,12,false)=TRUE,TRUE,FALSE)</f>
        <v>1</v>
      </c>
      <c r="M470" s="74">
        <v>31.02923620430495</v>
      </c>
      <c r="N470" s="74">
        <f t="shared" si="1"/>
        <v>31.0292362</v>
      </c>
      <c r="O470" s="74" t="b">
        <v>1</v>
      </c>
    </row>
    <row r="471">
      <c r="A471" s="82"/>
      <c r="B471" s="65" t="s">
        <v>177</v>
      </c>
      <c r="C471" s="65" t="s">
        <v>108</v>
      </c>
      <c r="D471" s="65" t="str">
        <f>vlookup(C471,'Classificação p pessoal'!F:G,2,false)</f>
        <v>NP</v>
      </c>
      <c r="E471" s="65" t="s">
        <v>217</v>
      </c>
      <c r="F471" s="83">
        <v>0.3958333333333333</v>
      </c>
      <c r="G471" s="83">
        <v>0.4375</v>
      </c>
      <c r="H471" s="83">
        <v>0.041666666666666664</v>
      </c>
      <c r="I471" s="84">
        <v>44203.0</v>
      </c>
      <c r="J471" s="65" t="b">
        <v>1</v>
      </c>
      <c r="K471" s="65"/>
      <c r="L471" s="85" t="b">
        <f>IF(VLOOKUP(C471,Projetos!A:L,12,false)=TRUE,TRUE,FALSE)</f>
        <v>1</v>
      </c>
      <c r="M471" s="74">
        <v>31.02923620430495</v>
      </c>
      <c r="N471" s="74">
        <f t="shared" si="1"/>
        <v>31.0292362</v>
      </c>
      <c r="O471" s="74" t="b">
        <v>1</v>
      </c>
    </row>
    <row r="472">
      <c r="A472" s="82"/>
      <c r="B472" s="65" t="s">
        <v>177</v>
      </c>
      <c r="C472" s="65" t="s">
        <v>108</v>
      </c>
      <c r="D472" s="65"/>
      <c r="E472" s="65" t="s">
        <v>218</v>
      </c>
      <c r="F472" s="83">
        <v>0.3541666666666667</v>
      </c>
      <c r="G472" s="83">
        <v>0.7083333333333334</v>
      </c>
      <c r="H472" s="83">
        <v>0.3541666666666667</v>
      </c>
      <c r="I472" s="84">
        <v>44204.0</v>
      </c>
      <c r="J472" s="65" t="b">
        <v>0</v>
      </c>
      <c r="K472" s="65" t="s">
        <v>150</v>
      </c>
      <c r="L472" s="85" t="b">
        <f>IF(VLOOKUP(C472,Projetos!A:L,12,false)=TRUE,TRUE,FALSE)</f>
        <v>1</v>
      </c>
      <c r="M472" s="74">
        <v>31.02923620430495</v>
      </c>
      <c r="N472" s="74">
        <f t="shared" si="1"/>
        <v>0</v>
      </c>
      <c r="O472" s="74" t="b">
        <v>1</v>
      </c>
    </row>
    <row r="473" hidden="1">
      <c r="A473" s="82"/>
      <c r="B473" s="65" t="s">
        <v>177</v>
      </c>
      <c r="C473" s="65" t="s">
        <v>101</v>
      </c>
      <c r="D473" s="65" t="str">
        <f>vlookup(C473,'Classificação p pessoal'!F:G,2,false)</f>
        <v>NP</v>
      </c>
      <c r="E473" s="65" t="s">
        <v>219</v>
      </c>
      <c r="F473" s="83">
        <v>0.7083333333333334</v>
      </c>
      <c r="G473" s="83">
        <v>0.75</v>
      </c>
      <c r="H473" s="83">
        <v>0.041666666666666664</v>
      </c>
      <c r="I473" s="84">
        <v>44204.0</v>
      </c>
      <c r="J473" s="65" t="b">
        <v>1</v>
      </c>
      <c r="K473" s="65"/>
      <c r="L473" s="85" t="b">
        <f>IF(VLOOKUP(C473,Projetos!A:L,12,false)=TRUE,TRUE,FALSE)</f>
        <v>1</v>
      </c>
      <c r="M473" s="74">
        <v>31.02923620430495</v>
      </c>
      <c r="N473" s="74">
        <f t="shared" si="1"/>
        <v>31.0292362</v>
      </c>
      <c r="O473" s="74" t="b">
        <v>1</v>
      </c>
    </row>
    <row r="474" hidden="1">
      <c r="A474" s="82"/>
      <c r="B474" s="65" t="s">
        <v>177</v>
      </c>
      <c r="C474" s="65" t="s">
        <v>106</v>
      </c>
      <c r="D474" s="65" t="str">
        <f>vlookup(C474,'Classificação p pessoal'!F:G,2,false)</f>
        <v>MProcesso</v>
      </c>
      <c r="E474" s="65" t="s">
        <v>220</v>
      </c>
      <c r="F474" s="83">
        <v>0.3541666666666667</v>
      </c>
      <c r="G474" s="83">
        <v>0.4166666666666667</v>
      </c>
      <c r="H474" s="83">
        <v>0.0625</v>
      </c>
      <c r="I474" s="84">
        <v>44207.0</v>
      </c>
      <c r="J474" s="65" t="b">
        <v>1</v>
      </c>
      <c r="K474" s="65"/>
      <c r="L474" s="85" t="b">
        <f>IF(VLOOKUP(C474,Projetos!A:L,12,false)=TRUE,TRUE,FALSE)</f>
        <v>1</v>
      </c>
      <c r="M474" s="74">
        <v>31.02923620430495</v>
      </c>
      <c r="N474" s="74">
        <f t="shared" si="1"/>
        <v>46.54385431</v>
      </c>
      <c r="O474" s="74" t="b">
        <v>1</v>
      </c>
    </row>
    <row r="475" hidden="1">
      <c r="A475" s="82"/>
      <c r="B475" s="65" t="s">
        <v>177</v>
      </c>
      <c r="C475" s="65" t="s">
        <v>92</v>
      </c>
      <c r="D475" s="65" t="str">
        <f>vlookup(C475,'Classificação p pessoal'!F:G,2,false)</f>
        <v/>
      </c>
      <c r="E475" s="65" t="s">
        <v>221</v>
      </c>
      <c r="F475" s="83">
        <v>0.4166666666666667</v>
      </c>
      <c r="G475" s="83">
        <v>0.4583333333333333</v>
      </c>
      <c r="H475" s="83">
        <v>0.041666666666666664</v>
      </c>
      <c r="I475" s="84">
        <v>44207.0</v>
      </c>
      <c r="J475" s="65" t="b">
        <v>1</v>
      </c>
      <c r="K475" s="65"/>
      <c r="L475" s="85" t="b">
        <f>IF(VLOOKUP(C475,Projetos!A:L,12,false)=TRUE,TRUE,FALSE)</f>
        <v>1</v>
      </c>
      <c r="M475" s="74">
        <v>31.02923620430495</v>
      </c>
      <c r="N475" s="74">
        <f t="shared" si="1"/>
        <v>31.0292362</v>
      </c>
      <c r="O475" s="74" t="b">
        <v>1</v>
      </c>
    </row>
    <row r="476" hidden="1">
      <c r="A476" s="82"/>
      <c r="B476" s="65" t="s">
        <v>177</v>
      </c>
      <c r="C476" s="65" t="s">
        <v>101</v>
      </c>
      <c r="D476" s="65" t="str">
        <f>vlookup(C476,'Classificação p pessoal'!F:G,2,false)</f>
        <v>NP</v>
      </c>
      <c r="E476" s="65" t="s">
        <v>222</v>
      </c>
      <c r="F476" s="83">
        <v>0.4583333333333333</v>
      </c>
      <c r="G476" s="83">
        <v>0.5208333333333334</v>
      </c>
      <c r="H476" s="83">
        <v>0.0625</v>
      </c>
      <c r="I476" s="84">
        <v>44207.0</v>
      </c>
      <c r="J476" s="65" t="b">
        <v>1</v>
      </c>
      <c r="K476" s="65"/>
      <c r="L476" s="85" t="b">
        <f>IF(VLOOKUP(C476,Projetos!A:L,12,false)=TRUE,TRUE,FALSE)</f>
        <v>1</v>
      </c>
      <c r="M476" s="74">
        <v>31.02923620430495</v>
      </c>
      <c r="N476" s="74">
        <f t="shared" si="1"/>
        <v>46.54385431</v>
      </c>
      <c r="O476" s="74" t="b">
        <v>1</v>
      </c>
    </row>
    <row r="477" hidden="1">
      <c r="A477" s="82"/>
      <c r="B477" s="65" t="s">
        <v>177</v>
      </c>
      <c r="C477" s="65" t="s">
        <v>92</v>
      </c>
      <c r="D477" s="65" t="str">
        <f>vlookup(C477,'Classificação p pessoal'!F:G,2,false)</f>
        <v/>
      </c>
      <c r="E477" s="65" t="s">
        <v>223</v>
      </c>
      <c r="F477" s="83">
        <v>0.5208333333333334</v>
      </c>
      <c r="G477" s="83">
        <v>0.5625</v>
      </c>
      <c r="H477" s="83">
        <v>0.041666666666666664</v>
      </c>
      <c r="I477" s="84">
        <v>44207.0</v>
      </c>
      <c r="J477" s="65" t="b">
        <v>1</v>
      </c>
      <c r="K477" s="65"/>
      <c r="L477" s="85" t="b">
        <f>IF(VLOOKUP(C477,Projetos!A:L,12,false)=TRUE,TRUE,FALSE)</f>
        <v>1</v>
      </c>
      <c r="M477" s="74">
        <v>31.02923620430495</v>
      </c>
      <c r="N477" s="74">
        <f t="shared" si="1"/>
        <v>31.0292362</v>
      </c>
      <c r="O477" s="74" t="b">
        <v>1</v>
      </c>
    </row>
    <row r="478">
      <c r="A478" s="82"/>
      <c r="B478" s="65" t="s">
        <v>177</v>
      </c>
      <c r="C478" s="65" t="s">
        <v>108</v>
      </c>
      <c r="D478" s="65"/>
      <c r="E478" s="65" t="s">
        <v>224</v>
      </c>
      <c r="F478" s="83">
        <v>0.6458333333333334</v>
      </c>
      <c r="G478" s="83">
        <v>0.75</v>
      </c>
      <c r="H478" s="83">
        <v>0.10416666666666667</v>
      </c>
      <c r="I478" s="84">
        <v>44207.0</v>
      </c>
      <c r="J478" s="65" t="b">
        <v>0</v>
      </c>
      <c r="K478" s="65" t="s">
        <v>150</v>
      </c>
      <c r="L478" s="85" t="b">
        <f>IF(VLOOKUP(C478,Projetos!A:L,12,false)=TRUE,TRUE,FALSE)</f>
        <v>1</v>
      </c>
      <c r="M478" s="74">
        <v>31.02923620430495</v>
      </c>
      <c r="N478" s="74">
        <f t="shared" si="1"/>
        <v>0</v>
      </c>
      <c r="O478" s="74" t="b">
        <v>1</v>
      </c>
    </row>
    <row r="479" hidden="1">
      <c r="A479" s="82"/>
      <c r="B479" s="65" t="s">
        <v>177</v>
      </c>
      <c r="C479" s="65" t="s">
        <v>100</v>
      </c>
      <c r="D479" s="65" t="str">
        <f>vlookup(C479,'Classificação p pessoal'!F:G,2,false)</f>
        <v>NP</v>
      </c>
      <c r="E479" s="65" t="s">
        <v>225</v>
      </c>
      <c r="F479" s="83">
        <v>0.3541666666666667</v>
      </c>
      <c r="G479" s="83">
        <v>0.4375</v>
      </c>
      <c r="H479" s="83">
        <v>0.08333333333333333</v>
      </c>
      <c r="I479" s="84">
        <v>44208.0</v>
      </c>
      <c r="J479" s="65" t="b">
        <v>1</v>
      </c>
      <c r="K479" s="65"/>
      <c r="L479" s="85" t="b">
        <f>IF(VLOOKUP(C479,Projetos!A:L,12,false)=TRUE,TRUE,FALSE)</f>
        <v>1</v>
      </c>
      <c r="M479" s="74">
        <v>31.02923620430495</v>
      </c>
      <c r="N479" s="74">
        <f t="shared" si="1"/>
        <v>62.05847241</v>
      </c>
      <c r="O479" s="74" t="b">
        <v>1</v>
      </c>
    </row>
    <row r="480" hidden="1">
      <c r="A480" s="82"/>
      <c r="B480" s="65" t="s">
        <v>177</v>
      </c>
      <c r="C480" s="65" t="s">
        <v>92</v>
      </c>
      <c r="D480" s="65" t="str">
        <f>vlookup(C480,'Classificação p pessoal'!F:G,2,false)</f>
        <v/>
      </c>
      <c r="E480" s="65" t="s">
        <v>226</v>
      </c>
      <c r="F480" s="83">
        <v>0.3541666666666667</v>
      </c>
      <c r="G480" s="83">
        <v>0.4166666666666667</v>
      </c>
      <c r="H480" s="83">
        <v>0.0625</v>
      </c>
      <c r="I480" s="84">
        <v>44209.0</v>
      </c>
      <c r="J480" s="65" t="b">
        <v>1</v>
      </c>
      <c r="K480" s="65"/>
      <c r="L480" s="85" t="b">
        <f>IF(VLOOKUP(C480,Projetos!A:L,12,false)=TRUE,TRUE,FALSE)</f>
        <v>1</v>
      </c>
      <c r="M480" s="74">
        <v>31.02923620430495</v>
      </c>
      <c r="N480" s="74">
        <f t="shared" si="1"/>
        <v>46.54385431</v>
      </c>
      <c r="O480" s="74" t="b">
        <v>1</v>
      </c>
    </row>
    <row r="481" hidden="1">
      <c r="A481" s="82"/>
      <c r="B481" s="65" t="s">
        <v>177</v>
      </c>
      <c r="C481" s="65" t="s">
        <v>92</v>
      </c>
      <c r="D481" s="65"/>
      <c r="E481" s="65" t="s">
        <v>227</v>
      </c>
      <c r="F481" s="83">
        <v>0.4166666666666667</v>
      </c>
      <c r="G481" s="83">
        <v>0.5833333333333334</v>
      </c>
      <c r="H481" s="83">
        <v>0.16666666666666666</v>
      </c>
      <c r="I481" s="84">
        <v>44209.0</v>
      </c>
      <c r="J481" s="65" t="b">
        <v>0</v>
      </c>
      <c r="K481" s="65" t="s">
        <v>150</v>
      </c>
      <c r="L481" s="85" t="b">
        <f>IF(VLOOKUP(C481,Projetos!A:L,12,false)=TRUE,TRUE,FALSE)</f>
        <v>1</v>
      </c>
      <c r="M481" s="74">
        <v>31.02923620430495</v>
      </c>
      <c r="N481" s="74">
        <f t="shared" si="1"/>
        <v>0</v>
      </c>
      <c r="O481" s="74" t="b">
        <v>1</v>
      </c>
    </row>
    <row r="482" hidden="1">
      <c r="A482" s="82"/>
      <c r="B482" s="65" t="s">
        <v>177</v>
      </c>
      <c r="C482" s="65" t="s">
        <v>106</v>
      </c>
      <c r="D482" s="65"/>
      <c r="E482" s="65" t="s">
        <v>228</v>
      </c>
      <c r="F482" s="83">
        <v>0.34375</v>
      </c>
      <c r="G482" s="83">
        <v>0.3958333333333333</v>
      </c>
      <c r="H482" s="83">
        <v>0.052083333333333336</v>
      </c>
      <c r="I482" s="84">
        <v>44211.0</v>
      </c>
      <c r="J482" s="65" t="b">
        <v>0</v>
      </c>
      <c r="K482" s="65" t="s">
        <v>150</v>
      </c>
      <c r="L482" s="85" t="b">
        <f>IF(VLOOKUP(C482,Projetos!A:L,12,false)=TRUE,TRUE,FALSE)</f>
        <v>1</v>
      </c>
      <c r="M482" s="74">
        <v>31.02923620430495</v>
      </c>
      <c r="N482" s="74">
        <f t="shared" si="1"/>
        <v>0</v>
      </c>
      <c r="O482" s="74" t="b">
        <v>1</v>
      </c>
    </row>
    <row r="483" hidden="1">
      <c r="A483" s="82"/>
      <c r="B483" s="65" t="s">
        <v>177</v>
      </c>
      <c r="C483" s="65" t="s">
        <v>118</v>
      </c>
      <c r="D483" s="65" t="str">
        <f>vlookup(C483,'Classificação p pessoal'!F:G,2,false)</f>
        <v>MProduto</v>
      </c>
      <c r="E483" s="65" t="s">
        <v>229</v>
      </c>
      <c r="F483" s="83">
        <v>0.3541666666666667</v>
      </c>
      <c r="G483" s="83">
        <v>0.375</v>
      </c>
      <c r="H483" s="83">
        <v>0.020833333333333332</v>
      </c>
      <c r="I483" s="84">
        <v>44214.0</v>
      </c>
      <c r="J483" s="65" t="b">
        <v>1</v>
      </c>
      <c r="K483" s="65"/>
      <c r="L483" s="85" t="b">
        <f>IF(VLOOKUP(C483,Projetos!A:L,12,false)=TRUE,TRUE,FALSE)</f>
        <v>1</v>
      </c>
      <c r="M483" s="74">
        <v>31.02923620430495</v>
      </c>
      <c r="N483" s="74">
        <f t="shared" si="1"/>
        <v>15.5146181</v>
      </c>
      <c r="O483" s="74" t="b">
        <v>1</v>
      </c>
    </row>
    <row r="484" hidden="1">
      <c r="A484" s="82"/>
      <c r="B484" s="65" t="s">
        <v>177</v>
      </c>
      <c r="C484" s="65" t="s">
        <v>132</v>
      </c>
      <c r="D484" s="65"/>
      <c r="E484" s="65" t="s">
        <v>230</v>
      </c>
      <c r="F484" s="83">
        <v>0.375</v>
      </c>
      <c r="G484" s="83">
        <v>0.4166666666666667</v>
      </c>
      <c r="H484" s="83">
        <v>0.041666666666666664</v>
      </c>
      <c r="I484" s="84">
        <v>44214.0</v>
      </c>
      <c r="J484" s="65" t="b">
        <v>1</v>
      </c>
      <c r="K484" s="65"/>
      <c r="L484" s="85" t="b">
        <f>IF(VLOOKUP(C484,Projetos!A:L,12,false)=TRUE,TRUE,FALSE)</f>
        <v>0</v>
      </c>
      <c r="M484" s="74">
        <v>31.02923620430495</v>
      </c>
      <c r="N484" s="74">
        <f t="shared" si="1"/>
        <v>0</v>
      </c>
      <c r="O484" s="74" t="b">
        <v>0</v>
      </c>
    </row>
    <row r="485">
      <c r="A485" s="82"/>
      <c r="B485" s="65" t="s">
        <v>177</v>
      </c>
      <c r="C485" s="65" t="s">
        <v>108</v>
      </c>
      <c r="D485" s="65"/>
      <c r="E485" s="65" t="s">
        <v>231</v>
      </c>
      <c r="F485" s="83">
        <v>0.625</v>
      </c>
      <c r="G485" s="83">
        <v>0.6666666666666666</v>
      </c>
      <c r="H485" s="83">
        <v>0.041666666666666664</v>
      </c>
      <c r="I485" s="84">
        <v>44214.0</v>
      </c>
      <c r="J485" s="65" t="b">
        <v>0</v>
      </c>
      <c r="K485" s="65" t="s">
        <v>150</v>
      </c>
      <c r="L485" s="85" t="b">
        <f>IF(VLOOKUP(C485,Projetos!A:L,12,false)=TRUE,TRUE,FALSE)</f>
        <v>1</v>
      </c>
      <c r="M485" s="74">
        <v>31.02923620430495</v>
      </c>
      <c r="N485" s="74">
        <f t="shared" si="1"/>
        <v>0</v>
      </c>
      <c r="O485" s="74" t="b">
        <v>1</v>
      </c>
    </row>
    <row r="486" hidden="1">
      <c r="A486" s="82"/>
      <c r="B486" s="65" t="s">
        <v>177</v>
      </c>
      <c r="C486" s="65" t="s">
        <v>92</v>
      </c>
      <c r="D486" s="65" t="str">
        <f>vlookup(C486,'Classificação p pessoal'!F:G,2,false)</f>
        <v/>
      </c>
      <c r="E486" s="65" t="s">
        <v>232</v>
      </c>
      <c r="F486" s="83">
        <v>0.5625</v>
      </c>
      <c r="G486" s="83">
        <v>0.6041666666666666</v>
      </c>
      <c r="H486" s="83">
        <v>0.041666666666666664</v>
      </c>
      <c r="I486" s="84">
        <v>44214.0</v>
      </c>
      <c r="J486" s="65" t="b">
        <v>1</v>
      </c>
      <c r="K486" s="65"/>
      <c r="L486" s="85" t="b">
        <f>IF(VLOOKUP(C486,Projetos!A:L,12,false)=TRUE,TRUE,FALSE)</f>
        <v>1</v>
      </c>
      <c r="M486" s="74">
        <v>31.02923620430495</v>
      </c>
      <c r="N486" s="74">
        <f t="shared" si="1"/>
        <v>31.0292362</v>
      </c>
      <c r="O486" s="74" t="b">
        <v>1</v>
      </c>
    </row>
    <row r="487" hidden="1">
      <c r="A487" s="82"/>
      <c r="B487" s="65" t="s">
        <v>177</v>
      </c>
      <c r="C487" s="65" t="s">
        <v>92</v>
      </c>
      <c r="D487" s="65" t="str">
        <f>vlookup(C487,'Classificação p pessoal'!F:G,2,false)</f>
        <v/>
      </c>
      <c r="E487" s="65" t="s">
        <v>211</v>
      </c>
      <c r="F487" s="83">
        <v>0.3541666666666667</v>
      </c>
      <c r="G487" s="83">
        <v>0.375</v>
      </c>
      <c r="H487" s="83">
        <v>0.020833333333333332</v>
      </c>
      <c r="I487" s="84">
        <v>44215.0</v>
      </c>
      <c r="J487" s="65" t="b">
        <v>1</v>
      </c>
      <c r="K487" s="65"/>
      <c r="L487" s="85" t="b">
        <f>IF(VLOOKUP(C487,Projetos!A:L,12,false)=TRUE,TRUE,FALSE)</f>
        <v>1</v>
      </c>
      <c r="M487" s="74">
        <v>31.02923620430495</v>
      </c>
      <c r="N487" s="74">
        <f t="shared" si="1"/>
        <v>15.5146181</v>
      </c>
      <c r="O487" s="74" t="b">
        <v>1</v>
      </c>
    </row>
    <row r="488" hidden="1">
      <c r="A488" s="82"/>
      <c r="B488" s="65" t="s">
        <v>177</v>
      </c>
      <c r="C488" s="65" t="s">
        <v>92</v>
      </c>
      <c r="D488" s="65"/>
      <c r="E488" s="65" t="s">
        <v>233</v>
      </c>
      <c r="F488" s="83">
        <v>0.5833333333333334</v>
      </c>
      <c r="G488" s="83">
        <v>0.625</v>
      </c>
      <c r="H488" s="83">
        <v>0.041666666666666664</v>
      </c>
      <c r="I488" s="84">
        <v>44215.0</v>
      </c>
      <c r="J488" s="65" t="b">
        <v>0</v>
      </c>
      <c r="K488" s="65" t="s">
        <v>150</v>
      </c>
      <c r="L488" s="85" t="b">
        <f>IF(VLOOKUP(C488,Projetos!A:L,12,false)=TRUE,TRUE,FALSE)</f>
        <v>1</v>
      </c>
      <c r="M488" s="74">
        <v>31.02923620430495</v>
      </c>
      <c r="N488" s="74">
        <f t="shared" si="1"/>
        <v>0</v>
      </c>
      <c r="O488" s="74" t="b">
        <v>1</v>
      </c>
    </row>
    <row r="489" hidden="1">
      <c r="A489" s="82"/>
      <c r="B489" s="65" t="s">
        <v>177</v>
      </c>
      <c r="C489" s="65" t="s">
        <v>92</v>
      </c>
      <c r="D489" s="65" t="str">
        <f>vlookup(C489,'Classificação p pessoal'!F:G,2,false)</f>
        <v/>
      </c>
      <c r="E489" s="65" t="s">
        <v>234</v>
      </c>
      <c r="F489" s="83">
        <v>0.3541666666666667</v>
      </c>
      <c r="G489" s="83">
        <v>0.3958333333333333</v>
      </c>
      <c r="H489" s="83">
        <v>0.041666666666666664</v>
      </c>
      <c r="I489" s="84">
        <v>44216.0</v>
      </c>
      <c r="J489" s="65" t="b">
        <v>1</v>
      </c>
      <c r="K489" s="65"/>
      <c r="L489" s="85" t="b">
        <f>IF(VLOOKUP(C489,Projetos!A:L,12,false)=TRUE,TRUE,FALSE)</f>
        <v>1</v>
      </c>
      <c r="M489" s="74">
        <v>31.02923620430495</v>
      </c>
      <c r="N489" s="74">
        <f t="shared" si="1"/>
        <v>31.0292362</v>
      </c>
      <c r="O489" s="74" t="b">
        <v>1</v>
      </c>
    </row>
    <row r="490" hidden="1">
      <c r="A490" s="82"/>
      <c r="B490" s="65" t="s">
        <v>177</v>
      </c>
      <c r="C490" s="65" t="s">
        <v>92</v>
      </c>
      <c r="D490" s="65" t="str">
        <f>vlookup(C490,'Classificação p pessoal'!F:G,2,false)</f>
        <v/>
      </c>
      <c r="E490" s="65" t="s">
        <v>223</v>
      </c>
      <c r="F490" s="83">
        <v>0.3958333333333333</v>
      </c>
      <c r="G490" s="83">
        <v>0.4166666666666667</v>
      </c>
      <c r="H490" s="83">
        <v>0.020833333333333332</v>
      </c>
      <c r="I490" s="84">
        <v>44216.0</v>
      </c>
      <c r="J490" s="65" t="b">
        <v>1</v>
      </c>
      <c r="K490" s="65"/>
      <c r="L490" s="85" t="b">
        <f>IF(VLOOKUP(C490,Projetos!A:L,12,false)=TRUE,TRUE,FALSE)</f>
        <v>1</v>
      </c>
      <c r="M490" s="74">
        <v>31.02923620430495</v>
      </c>
      <c r="N490" s="74">
        <f t="shared" si="1"/>
        <v>15.5146181</v>
      </c>
      <c r="O490" s="74" t="b">
        <v>1</v>
      </c>
    </row>
    <row r="491" hidden="1">
      <c r="A491" s="82"/>
      <c r="B491" s="65" t="s">
        <v>177</v>
      </c>
      <c r="C491" s="65" t="s">
        <v>92</v>
      </c>
      <c r="D491" s="65" t="str">
        <f>vlookup(C491,'Classificação p pessoal'!F:G,2,false)</f>
        <v/>
      </c>
      <c r="E491" s="65" t="s">
        <v>235</v>
      </c>
      <c r="F491" s="83">
        <v>0.4375</v>
      </c>
      <c r="G491" s="83">
        <v>0.4791666666666667</v>
      </c>
      <c r="H491" s="83">
        <v>0.041666666666666664</v>
      </c>
      <c r="I491" s="84">
        <v>44216.0</v>
      </c>
      <c r="J491" s="65" t="b">
        <v>1</v>
      </c>
      <c r="K491" s="65"/>
      <c r="L491" s="85" t="b">
        <f>IF(VLOOKUP(C491,Projetos!A:L,12,false)=TRUE,TRUE,FALSE)</f>
        <v>1</v>
      </c>
      <c r="M491" s="74">
        <v>31.02923620430495</v>
      </c>
      <c r="N491" s="74">
        <f t="shared" si="1"/>
        <v>31.0292362</v>
      </c>
      <c r="O491" s="74" t="b">
        <v>1</v>
      </c>
    </row>
    <row r="492" hidden="1">
      <c r="A492" s="82"/>
      <c r="B492" s="65" t="s">
        <v>177</v>
      </c>
      <c r="C492" s="65" t="s">
        <v>101</v>
      </c>
      <c r="D492" s="65" t="str">
        <f>vlookup(C492,'Classificação p pessoal'!F:G,2,false)</f>
        <v>NP</v>
      </c>
      <c r="E492" s="65" t="s">
        <v>236</v>
      </c>
      <c r="F492" s="83">
        <v>0.5833333333333334</v>
      </c>
      <c r="G492" s="83">
        <v>0.625</v>
      </c>
      <c r="H492" s="83">
        <v>0.041666666666666664</v>
      </c>
      <c r="I492" s="84">
        <v>44216.0</v>
      </c>
      <c r="J492" s="65" t="b">
        <v>1</v>
      </c>
      <c r="K492" s="65"/>
      <c r="L492" s="85" t="b">
        <f>IF(VLOOKUP(C492,Projetos!A:L,12,false)=TRUE,TRUE,FALSE)</f>
        <v>1</v>
      </c>
      <c r="M492" s="74">
        <v>31.02923620430495</v>
      </c>
      <c r="N492" s="74">
        <f t="shared" si="1"/>
        <v>31.0292362</v>
      </c>
      <c r="O492" s="74" t="b">
        <v>1</v>
      </c>
    </row>
    <row r="493" hidden="1">
      <c r="A493" s="82"/>
      <c r="B493" s="65" t="s">
        <v>177</v>
      </c>
      <c r="C493" s="65" t="s">
        <v>132</v>
      </c>
      <c r="D493" s="65"/>
      <c r="E493" s="65" t="s">
        <v>237</v>
      </c>
      <c r="F493" s="83">
        <v>0.6666666666666666</v>
      </c>
      <c r="G493" s="83">
        <v>0.75</v>
      </c>
      <c r="H493" s="83">
        <v>0.08333333333333333</v>
      </c>
      <c r="I493" s="84">
        <v>44216.0</v>
      </c>
      <c r="J493" s="65" t="b">
        <v>1</v>
      </c>
      <c r="K493" s="65"/>
      <c r="L493" s="85" t="b">
        <f>IF(VLOOKUP(C493,Projetos!A:L,12,false)=TRUE,TRUE,FALSE)</f>
        <v>0</v>
      </c>
      <c r="M493" s="74">
        <v>31.02923620430495</v>
      </c>
      <c r="N493" s="74">
        <f t="shared" si="1"/>
        <v>0</v>
      </c>
      <c r="O493" s="74" t="b">
        <v>0</v>
      </c>
    </row>
    <row r="494" hidden="1">
      <c r="A494" s="82"/>
      <c r="B494" s="65" t="s">
        <v>177</v>
      </c>
      <c r="C494" s="65" t="s">
        <v>132</v>
      </c>
      <c r="D494" s="65"/>
      <c r="E494" s="65" t="s">
        <v>237</v>
      </c>
      <c r="F494" s="83">
        <v>0.3541666666666667</v>
      </c>
      <c r="G494" s="83">
        <v>0.4166666666666667</v>
      </c>
      <c r="H494" s="83">
        <v>0.0625</v>
      </c>
      <c r="I494" s="84">
        <v>44217.0</v>
      </c>
      <c r="J494" s="65" t="b">
        <v>1</v>
      </c>
      <c r="K494" s="65"/>
      <c r="L494" s="85" t="b">
        <f>IF(VLOOKUP(C494,Projetos!A:L,12,false)=TRUE,TRUE,FALSE)</f>
        <v>0</v>
      </c>
      <c r="M494" s="74">
        <v>31.02923620430495</v>
      </c>
      <c r="N494" s="74">
        <f t="shared" si="1"/>
        <v>0</v>
      </c>
      <c r="O494" s="74" t="b">
        <v>0</v>
      </c>
    </row>
    <row r="495" hidden="1">
      <c r="A495" s="82"/>
      <c r="B495" s="65" t="s">
        <v>177</v>
      </c>
      <c r="C495" s="65" t="s">
        <v>100</v>
      </c>
      <c r="D495" s="65" t="str">
        <f>vlookup(C495,'Classificação p pessoal'!F:G,2,false)</f>
        <v>NP</v>
      </c>
      <c r="E495" s="65" t="s">
        <v>238</v>
      </c>
      <c r="F495" s="83">
        <v>0.4166666666666667</v>
      </c>
      <c r="G495" s="83">
        <v>0.4375</v>
      </c>
      <c r="H495" s="83">
        <v>0.020833333333333332</v>
      </c>
      <c r="I495" s="84">
        <v>44302.0</v>
      </c>
      <c r="J495" s="65" t="b">
        <v>1</v>
      </c>
      <c r="K495" s="65"/>
      <c r="L495" s="85" t="b">
        <f>IF(VLOOKUP(C495,Projetos!A:L,12,false)=TRUE,TRUE,FALSE)</f>
        <v>1</v>
      </c>
      <c r="M495" s="74">
        <v>31.02923620430495</v>
      </c>
      <c r="N495" s="74">
        <f t="shared" si="1"/>
        <v>15.5146181</v>
      </c>
      <c r="O495" s="74" t="b">
        <v>1</v>
      </c>
    </row>
    <row r="496" hidden="1">
      <c r="A496" s="82"/>
      <c r="B496" s="65" t="s">
        <v>177</v>
      </c>
      <c r="C496" s="65" t="s">
        <v>100</v>
      </c>
      <c r="D496" s="65" t="str">
        <f>vlookup(C496,'Classificação p pessoal'!F:G,2,false)</f>
        <v>NP</v>
      </c>
      <c r="E496" s="65" t="s">
        <v>239</v>
      </c>
      <c r="F496" s="83">
        <v>0.4166666666666667</v>
      </c>
      <c r="G496" s="83">
        <v>0.5</v>
      </c>
      <c r="H496" s="83">
        <v>0.08333333333333333</v>
      </c>
      <c r="I496" s="84">
        <v>44218.0</v>
      </c>
      <c r="J496" s="65" t="b">
        <v>1</v>
      </c>
      <c r="K496" s="65"/>
      <c r="L496" s="85" t="b">
        <f>IF(VLOOKUP(C496,Projetos!A:L,12,false)=TRUE,TRUE,FALSE)</f>
        <v>1</v>
      </c>
      <c r="M496" s="74">
        <v>31.02923620430495</v>
      </c>
      <c r="N496" s="74">
        <f t="shared" si="1"/>
        <v>62.05847241</v>
      </c>
      <c r="O496" s="74" t="b">
        <v>1</v>
      </c>
    </row>
    <row r="497" hidden="1">
      <c r="A497" s="82"/>
      <c r="B497" s="65" t="s">
        <v>177</v>
      </c>
      <c r="C497" s="65" t="s">
        <v>106</v>
      </c>
      <c r="D497" s="65" t="str">
        <f>vlookup(C497,'Classificação p pessoal'!F:G,2,false)</f>
        <v>MProcesso</v>
      </c>
      <c r="E497" s="65" t="s">
        <v>240</v>
      </c>
      <c r="F497" s="83">
        <v>0.3541666666666667</v>
      </c>
      <c r="G497" s="83">
        <v>0.3958333333333333</v>
      </c>
      <c r="H497" s="83">
        <v>0.041666666666666664</v>
      </c>
      <c r="I497" s="84">
        <v>44221.0</v>
      </c>
      <c r="J497" s="65" t="b">
        <v>1</v>
      </c>
      <c r="K497" s="65"/>
      <c r="L497" s="85" t="b">
        <f>IF(VLOOKUP(C497,Projetos!A:L,12,false)=TRUE,TRUE,FALSE)</f>
        <v>1</v>
      </c>
      <c r="M497" s="74">
        <v>31.02923620430495</v>
      </c>
      <c r="N497" s="74">
        <f t="shared" si="1"/>
        <v>31.0292362</v>
      </c>
      <c r="O497" s="74" t="b">
        <v>1</v>
      </c>
    </row>
    <row r="498">
      <c r="A498" s="82"/>
      <c r="B498" s="65" t="s">
        <v>177</v>
      </c>
      <c r="C498" s="65" t="s">
        <v>108</v>
      </c>
      <c r="D498" s="65" t="str">
        <f>vlookup(C498,'Classificação p pessoal'!F:G,2,false)</f>
        <v>NP</v>
      </c>
      <c r="E498" s="65" t="s">
        <v>241</v>
      </c>
      <c r="F498" s="83">
        <v>0.6666666666666666</v>
      </c>
      <c r="G498" s="83">
        <v>0.6875</v>
      </c>
      <c r="H498" s="83">
        <v>0.020833333333333332</v>
      </c>
      <c r="I498" s="84">
        <v>44221.0</v>
      </c>
      <c r="J498" s="65" t="b">
        <v>1</v>
      </c>
      <c r="K498" s="65"/>
      <c r="L498" s="85" t="b">
        <f>IF(VLOOKUP(C498,Projetos!A:L,12,false)=TRUE,TRUE,FALSE)</f>
        <v>1</v>
      </c>
      <c r="M498" s="74">
        <v>31.02923620430495</v>
      </c>
      <c r="N498" s="74">
        <f t="shared" si="1"/>
        <v>15.5146181</v>
      </c>
      <c r="O498" s="74" t="b">
        <v>1</v>
      </c>
    </row>
    <row r="499" hidden="1">
      <c r="A499" s="82"/>
      <c r="B499" s="65" t="s">
        <v>177</v>
      </c>
      <c r="C499" s="65" t="s">
        <v>100</v>
      </c>
      <c r="D499" s="65" t="str">
        <f>vlookup(C499,'Classificação p pessoal'!F:G,2,false)</f>
        <v>NP</v>
      </c>
      <c r="E499" s="65" t="s">
        <v>238</v>
      </c>
      <c r="F499" s="83">
        <v>0.625</v>
      </c>
      <c r="G499" s="83">
        <v>0.6458333333333334</v>
      </c>
      <c r="H499" s="83">
        <v>0.020833333333333332</v>
      </c>
      <c r="I499" s="84">
        <v>44306.0</v>
      </c>
      <c r="J499" s="65" t="b">
        <v>1</v>
      </c>
      <c r="K499" s="65"/>
      <c r="L499" s="85" t="b">
        <f>IF(VLOOKUP(C499,Projetos!A:L,12,false)=TRUE,TRUE,FALSE)</f>
        <v>1</v>
      </c>
      <c r="M499" s="74">
        <v>31.02923620430495</v>
      </c>
      <c r="N499" s="74">
        <f t="shared" si="1"/>
        <v>15.5146181</v>
      </c>
      <c r="O499" s="74" t="b">
        <v>1</v>
      </c>
    </row>
    <row r="500" hidden="1">
      <c r="A500" s="82"/>
      <c r="B500" s="65" t="s">
        <v>177</v>
      </c>
      <c r="C500" s="65" t="s">
        <v>106</v>
      </c>
      <c r="D500" s="65" t="str">
        <f>vlookup(C500,'Classificação p pessoal'!F:G,2,false)</f>
        <v>MProcesso</v>
      </c>
      <c r="E500" s="65" t="s">
        <v>242</v>
      </c>
      <c r="F500" s="83">
        <v>0.3541666666666667</v>
      </c>
      <c r="G500" s="83">
        <v>0.3958333333333333</v>
      </c>
      <c r="H500" s="83">
        <v>0.041666666666666664</v>
      </c>
      <c r="I500" s="84">
        <v>44223.0</v>
      </c>
      <c r="J500" s="65" t="b">
        <v>1</v>
      </c>
      <c r="K500" s="65"/>
      <c r="L500" s="85" t="b">
        <f>IF(VLOOKUP(C500,Projetos!A:L,12,false)=TRUE,TRUE,FALSE)</f>
        <v>1</v>
      </c>
      <c r="M500" s="74">
        <v>31.02923620430495</v>
      </c>
      <c r="N500" s="74">
        <f t="shared" si="1"/>
        <v>31.0292362</v>
      </c>
      <c r="O500" s="74" t="b">
        <v>1</v>
      </c>
    </row>
    <row r="501">
      <c r="A501" s="82"/>
      <c r="B501" s="65" t="s">
        <v>177</v>
      </c>
      <c r="C501" s="65" t="s">
        <v>108</v>
      </c>
      <c r="D501" s="65" t="str">
        <f>vlookup(C501,'Classificação p pessoal'!F:G,2,false)</f>
        <v>NP</v>
      </c>
      <c r="E501" s="65" t="s">
        <v>243</v>
      </c>
      <c r="F501" s="83">
        <v>0.3958333333333333</v>
      </c>
      <c r="G501" s="83">
        <v>0.4375</v>
      </c>
      <c r="H501" s="83">
        <v>0.041666666666666664</v>
      </c>
      <c r="I501" s="84">
        <v>44223.0</v>
      </c>
      <c r="J501" s="65" t="b">
        <v>1</v>
      </c>
      <c r="K501" s="65"/>
      <c r="L501" s="85" t="b">
        <f>IF(VLOOKUP(C501,Projetos!A:L,12,false)=TRUE,TRUE,FALSE)</f>
        <v>1</v>
      </c>
      <c r="M501" s="74">
        <v>31.02923620430495</v>
      </c>
      <c r="N501" s="74">
        <f t="shared" si="1"/>
        <v>31.0292362</v>
      </c>
      <c r="O501" s="74" t="b">
        <v>1</v>
      </c>
    </row>
    <row r="502" hidden="1">
      <c r="A502" s="82"/>
      <c r="B502" s="65" t="s">
        <v>177</v>
      </c>
      <c r="C502" s="65" t="s">
        <v>107</v>
      </c>
      <c r="D502" s="65" t="str">
        <f>vlookup(C502,'Classificação p pessoal'!F:G,2,false)</f>
        <v>NP</v>
      </c>
      <c r="E502" s="65" t="s">
        <v>244</v>
      </c>
      <c r="F502" s="83">
        <v>0.5833333333333334</v>
      </c>
      <c r="G502" s="83">
        <v>0.6458333333333334</v>
      </c>
      <c r="H502" s="83">
        <v>0.0625</v>
      </c>
      <c r="I502" s="84">
        <v>44223.0</v>
      </c>
      <c r="J502" s="65" t="b">
        <v>1</v>
      </c>
      <c r="K502" s="65"/>
      <c r="L502" s="85" t="b">
        <f>IF(VLOOKUP(C502,Projetos!A:L,12,false)=TRUE,TRUE,FALSE)</f>
        <v>1</v>
      </c>
      <c r="M502" s="74">
        <v>31.02923620430495</v>
      </c>
      <c r="N502" s="74">
        <f t="shared" si="1"/>
        <v>46.54385431</v>
      </c>
      <c r="O502" s="74" t="b">
        <v>1</v>
      </c>
    </row>
    <row r="503" hidden="1">
      <c r="A503" s="82"/>
      <c r="B503" s="65" t="s">
        <v>177</v>
      </c>
      <c r="C503" s="65" t="s">
        <v>100</v>
      </c>
      <c r="D503" s="65" t="str">
        <f>vlookup(C503,'Classificação p pessoal'!F:G,2,false)</f>
        <v>NP</v>
      </c>
      <c r="E503" s="65" t="s">
        <v>238</v>
      </c>
      <c r="F503" s="83">
        <v>0.6458333333333334</v>
      </c>
      <c r="G503" s="83">
        <v>0.6666666666666666</v>
      </c>
      <c r="H503" s="83">
        <v>0.020833333333333332</v>
      </c>
      <c r="I503" s="84">
        <v>44312.0</v>
      </c>
      <c r="J503" s="65" t="b">
        <v>1</v>
      </c>
      <c r="K503" s="65"/>
      <c r="L503" s="85" t="b">
        <f>IF(VLOOKUP(C503,Projetos!A:L,12,false)=TRUE,TRUE,FALSE)</f>
        <v>1</v>
      </c>
      <c r="M503" s="74">
        <v>31.02923620430495</v>
      </c>
      <c r="N503" s="74">
        <f t="shared" si="1"/>
        <v>15.5146181</v>
      </c>
      <c r="O503" s="74" t="b">
        <v>1</v>
      </c>
    </row>
    <row r="504" hidden="1">
      <c r="A504" s="82"/>
      <c r="B504" s="65" t="s">
        <v>177</v>
      </c>
      <c r="C504" s="65" t="s">
        <v>118</v>
      </c>
      <c r="D504" s="65"/>
      <c r="E504" s="65" t="s">
        <v>245</v>
      </c>
      <c r="F504" s="83">
        <v>0.5833333333333334</v>
      </c>
      <c r="G504" s="83">
        <v>0.7083333333333334</v>
      </c>
      <c r="H504" s="83">
        <v>0.125</v>
      </c>
      <c r="I504" s="84">
        <v>44224.0</v>
      </c>
      <c r="J504" s="65" t="b">
        <v>0</v>
      </c>
      <c r="K504" s="65" t="s">
        <v>150</v>
      </c>
      <c r="L504" s="85" t="b">
        <f>IF(VLOOKUP(C504,Projetos!A:L,12,false)=TRUE,TRUE,FALSE)</f>
        <v>1</v>
      </c>
      <c r="M504" s="74">
        <v>31.02923620430495</v>
      </c>
      <c r="N504" s="74">
        <f t="shared" si="1"/>
        <v>0</v>
      </c>
      <c r="O504" s="74" t="b">
        <v>1</v>
      </c>
    </row>
    <row r="505" hidden="1">
      <c r="A505" s="82"/>
      <c r="B505" s="65" t="s">
        <v>177</v>
      </c>
      <c r="C505" s="65" t="s">
        <v>100</v>
      </c>
      <c r="D505" s="65" t="str">
        <f>vlookup(C505,'Classificação p pessoal'!F:G,2,false)</f>
        <v>NP</v>
      </c>
      <c r="E505" s="65" t="s">
        <v>246</v>
      </c>
      <c r="F505" s="83">
        <v>0.4166666666666667</v>
      </c>
      <c r="G505" s="83">
        <v>0.4375</v>
      </c>
      <c r="H505" s="83">
        <v>0.020833333333333332</v>
      </c>
      <c r="I505" s="84">
        <v>44278.0</v>
      </c>
      <c r="J505" s="65" t="b">
        <v>1</v>
      </c>
      <c r="K505" s="65"/>
      <c r="L505" s="85" t="b">
        <f>IF(VLOOKUP(C505,Projetos!A:L,12,false)=TRUE,TRUE,FALSE)</f>
        <v>1</v>
      </c>
      <c r="M505" s="74">
        <v>31.02923620430495</v>
      </c>
      <c r="N505" s="74">
        <f t="shared" si="1"/>
        <v>15.5146181</v>
      </c>
      <c r="O505" s="74" t="b">
        <v>1</v>
      </c>
    </row>
    <row r="506">
      <c r="A506" s="82"/>
      <c r="B506" s="65" t="s">
        <v>177</v>
      </c>
      <c r="C506" s="65" t="s">
        <v>108</v>
      </c>
      <c r="D506" s="65" t="str">
        <f>vlookup(C506,'Classificação p pessoal'!F:G,2,false)</f>
        <v>NP</v>
      </c>
      <c r="E506" s="65" t="s">
        <v>247</v>
      </c>
      <c r="F506" s="83">
        <v>0.5416666666666666</v>
      </c>
      <c r="G506" s="83">
        <v>0.5833333333333334</v>
      </c>
      <c r="H506" s="83">
        <v>0.041666666666666664</v>
      </c>
      <c r="I506" s="84">
        <v>44225.0</v>
      </c>
      <c r="J506" s="65" t="b">
        <v>1</v>
      </c>
      <c r="K506" s="65"/>
      <c r="L506" s="85" t="b">
        <f>IF(VLOOKUP(C506,Projetos!A:L,12,false)=TRUE,TRUE,FALSE)</f>
        <v>1</v>
      </c>
      <c r="M506" s="74">
        <v>31.02923620430495</v>
      </c>
      <c r="N506" s="74">
        <f t="shared" si="1"/>
        <v>31.0292362</v>
      </c>
      <c r="O506" s="74" t="b">
        <v>1</v>
      </c>
    </row>
    <row r="507" hidden="1">
      <c r="A507" s="82"/>
      <c r="B507" s="65" t="s">
        <v>177</v>
      </c>
      <c r="C507" s="65" t="s">
        <v>92</v>
      </c>
      <c r="D507" s="65" t="str">
        <f>vlookup(C507,'Classificação p pessoal'!F:G,2,false)</f>
        <v/>
      </c>
      <c r="E507" s="65" t="s">
        <v>248</v>
      </c>
      <c r="F507" s="83">
        <v>0.5833333333333334</v>
      </c>
      <c r="G507" s="83">
        <v>0.625</v>
      </c>
      <c r="H507" s="83">
        <v>0.041666666666666664</v>
      </c>
      <c r="I507" s="84">
        <v>44225.0</v>
      </c>
      <c r="J507" s="65" t="b">
        <v>1</v>
      </c>
      <c r="K507" s="65"/>
      <c r="L507" s="85" t="b">
        <f>IF(VLOOKUP(C507,Projetos!A:L,12,false)=TRUE,TRUE,FALSE)</f>
        <v>1</v>
      </c>
      <c r="M507" s="74">
        <v>31.02923620430495</v>
      </c>
      <c r="N507" s="74">
        <f t="shared" si="1"/>
        <v>31.0292362</v>
      </c>
      <c r="O507" s="74" t="b">
        <v>1</v>
      </c>
    </row>
    <row r="508" hidden="1">
      <c r="A508" s="82"/>
      <c r="B508" s="65" t="s">
        <v>177</v>
      </c>
      <c r="C508" s="65" t="s">
        <v>92</v>
      </c>
      <c r="D508" s="65" t="str">
        <f>vlookup(C508,'Classificação p pessoal'!F:G,2,false)</f>
        <v/>
      </c>
      <c r="E508" s="65" t="s">
        <v>249</v>
      </c>
      <c r="F508" s="83">
        <v>0.3541666666666667</v>
      </c>
      <c r="G508" s="83">
        <v>0.5416666666666666</v>
      </c>
      <c r="H508" s="83">
        <v>0.1875</v>
      </c>
      <c r="I508" s="84">
        <v>44228.0</v>
      </c>
      <c r="J508" s="65" t="b">
        <v>1</v>
      </c>
      <c r="K508" s="65"/>
      <c r="L508" s="85" t="b">
        <f>IF(VLOOKUP(C508,Projetos!A:L,12,false)=TRUE,TRUE,FALSE)</f>
        <v>1</v>
      </c>
      <c r="M508" s="74">
        <v>31.02923620430495</v>
      </c>
      <c r="N508" s="74">
        <f t="shared" si="1"/>
        <v>139.6315629</v>
      </c>
      <c r="O508" s="74" t="b">
        <v>1</v>
      </c>
    </row>
    <row r="509" hidden="1">
      <c r="A509" s="82"/>
      <c r="B509" s="65" t="s">
        <v>177</v>
      </c>
      <c r="C509" s="65" t="s">
        <v>100</v>
      </c>
      <c r="D509" s="65" t="str">
        <f>vlookup(C509,'Classificação p pessoal'!F:G,2,false)</f>
        <v>NP</v>
      </c>
      <c r="E509" s="65" t="s">
        <v>250</v>
      </c>
      <c r="F509" s="83">
        <v>0.6666666666666666</v>
      </c>
      <c r="G509" s="83">
        <v>0.75</v>
      </c>
      <c r="H509" s="83">
        <v>0.08333333333333333</v>
      </c>
      <c r="I509" s="84">
        <v>44229.0</v>
      </c>
      <c r="J509" s="65" t="b">
        <v>1</v>
      </c>
      <c r="K509" s="65"/>
      <c r="L509" s="85" t="b">
        <f>IF(VLOOKUP(C509,Projetos!A:L,12,false)=TRUE,TRUE,FALSE)</f>
        <v>1</v>
      </c>
      <c r="M509" s="74">
        <v>31.02923620430495</v>
      </c>
      <c r="N509" s="74">
        <f t="shared" si="1"/>
        <v>62.05847241</v>
      </c>
      <c r="O509" s="74" t="b">
        <v>1</v>
      </c>
    </row>
    <row r="510">
      <c r="A510" s="82"/>
      <c r="B510" s="65" t="s">
        <v>177</v>
      </c>
      <c r="C510" s="65" t="s">
        <v>108</v>
      </c>
      <c r="D510" s="65" t="str">
        <f>vlookup(C510,'Classificação p pessoal'!F:G,2,false)</f>
        <v>NP</v>
      </c>
      <c r="E510" s="65" t="s">
        <v>251</v>
      </c>
      <c r="F510" s="83">
        <v>0.625</v>
      </c>
      <c r="G510" s="83">
        <v>0.6666666666666666</v>
      </c>
      <c r="H510" s="83">
        <v>0.041666666666666664</v>
      </c>
      <c r="I510" s="84">
        <v>44229.0</v>
      </c>
      <c r="J510" s="65" t="b">
        <v>1</v>
      </c>
      <c r="K510" s="65"/>
      <c r="L510" s="85" t="b">
        <f>IF(VLOOKUP(C510,Projetos!A:L,12,false)=TRUE,TRUE,FALSE)</f>
        <v>1</v>
      </c>
      <c r="M510" s="74">
        <v>31.02923620430495</v>
      </c>
      <c r="N510" s="74">
        <f t="shared" si="1"/>
        <v>31.0292362</v>
      </c>
      <c r="O510" s="74" t="b">
        <v>1</v>
      </c>
    </row>
    <row r="511" hidden="1">
      <c r="A511" s="82"/>
      <c r="B511" s="65" t="s">
        <v>177</v>
      </c>
      <c r="C511" s="65" t="s">
        <v>92</v>
      </c>
      <c r="D511" s="65" t="str">
        <f>vlookup(C511,'Classificação p pessoal'!F:G,2,false)</f>
        <v/>
      </c>
      <c r="E511" s="65" t="s">
        <v>252</v>
      </c>
      <c r="F511" s="83">
        <v>0.6666666666666666</v>
      </c>
      <c r="G511" s="83">
        <v>0.7083333333333334</v>
      </c>
      <c r="H511" s="83">
        <v>0.041666666666666664</v>
      </c>
      <c r="I511" s="84">
        <v>44229.0</v>
      </c>
      <c r="J511" s="65" t="b">
        <v>1</v>
      </c>
      <c r="K511" s="65"/>
      <c r="L511" s="85" t="b">
        <f>IF(VLOOKUP(C511,Projetos!A:L,12,false)=TRUE,TRUE,FALSE)</f>
        <v>1</v>
      </c>
      <c r="M511" s="74">
        <v>31.02923620430495</v>
      </c>
      <c r="N511" s="74">
        <f t="shared" si="1"/>
        <v>31.0292362</v>
      </c>
      <c r="O511" s="74" t="b">
        <v>1</v>
      </c>
    </row>
    <row r="512" hidden="1">
      <c r="A512" s="82"/>
      <c r="B512" s="65" t="s">
        <v>177</v>
      </c>
      <c r="C512" s="65" t="s">
        <v>92</v>
      </c>
      <c r="D512" s="65" t="str">
        <f>vlookup(C512,'Classificação p pessoal'!F:G,2,false)</f>
        <v/>
      </c>
      <c r="E512" s="65" t="s">
        <v>253</v>
      </c>
      <c r="F512" s="83">
        <v>0.3541666666666667</v>
      </c>
      <c r="G512" s="83">
        <v>0.375</v>
      </c>
      <c r="H512" s="83">
        <v>0.020833333333333332</v>
      </c>
      <c r="I512" s="84">
        <v>44231.0</v>
      </c>
      <c r="J512" s="65" t="b">
        <v>1</v>
      </c>
      <c r="K512" s="65"/>
      <c r="L512" s="85" t="b">
        <f>IF(VLOOKUP(C512,Projetos!A:L,12,false)=TRUE,TRUE,FALSE)</f>
        <v>1</v>
      </c>
      <c r="M512" s="74">
        <v>31.02923620430495</v>
      </c>
      <c r="N512" s="74">
        <f t="shared" si="1"/>
        <v>15.5146181</v>
      </c>
      <c r="O512" s="74" t="b">
        <v>1</v>
      </c>
    </row>
    <row r="513" hidden="1">
      <c r="A513" s="82"/>
      <c r="B513" s="65" t="s">
        <v>177</v>
      </c>
      <c r="C513" s="65" t="s">
        <v>101</v>
      </c>
      <c r="D513" s="65" t="str">
        <f>vlookup(C513,'Classificação p pessoal'!F:G,2,false)</f>
        <v>NP</v>
      </c>
      <c r="E513" s="65" t="s">
        <v>254</v>
      </c>
      <c r="F513" s="83">
        <v>0.5833333333333334</v>
      </c>
      <c r="G513" s="83">
        <v>0.6458333333333334</v>
      </c>
      <c r="H513" s="83">
        <v>0.0625</v>
      </c>
      <c r="I513" s="84">
        <v>44231.0</v>
      </c>
      <c r="J513" s="65" t="b">
        <v>1</v>
      </c>
      <c r="K513" s="65"/>
      <c r="L513" s="85" t="b">
        <f>IF(VLOOKUP(C513,Projetos!A:L,12,false)=TRUE,TRUE,FALSE)</f>
        <v>1</v>
      </c>
      <c r="M513" s="74">
        <v>31.02923620430495</v>
      </c>
      <c r="N513" s="74">
        <f t="shared" si="1"/>
        <v>46.54385431</v>
      </c>
      <c r="O513" s="74" t="b">
        <v>1</v>
      </c>
    </row>
    <row r="514" hidden="1">
      <c r="A514" s="82"/>
      <c r="B514" s="65" t="s">
        <v>177</v>
      </c>
      <c r="C514" s="65" t="s">
        <v>100</v>
      </c>
      <c r="D514" s="65" t="str">
        <f>vlookup(C514,'Classificação p pessoal'!F:G,2,false)</f>
        <v>NP</v>
      </c>
      <c r="E514" s="65" t="s">
        <v>255</v>
      </c>
      <c r="F514" s="83">
        <v>0.3541666666666667</v>
      </c>
      <c r="G514" s="83">
        <v>0.375</v>
      </c>
      <c r="H514" s="83">
        <v>0.020833333333333332</v>
      </c>
      <c r="I514" s="84">
        <v>44232.0</v>
      </c>
      <c r="J514" s="65" t="b">
        <v>1</v>
      </c>
      <c r="K514" s="65"/>
      <c r="L514" s="85" t="b">
        <f>IF(VLOOKUP(C514,Projetos!A:L,12,false)=TRUE,TRUE,FALSE)</f>
        <v>1</v>
      </c>
      <c r="M514" s="74">
        <v>31.02923620430495</v>
      </c>
      <c r="N514" s="74">
        <f t="shared" si="1"/>
        <v>15.5146181</v>
      </c>
      <c r="O514" s="74" t="b">
        <v>1</v>
      </c>
    </row>
    <row r="515">
      <c r="A515" s="82"/>
      <c r="B515" s="65" t="s">
        <v>177</v>
      </c>
      <c r="C515" s="65" t="s">
        <v>108</v>
      </c>
      <c r="D515" s="65" t="str">
        <f>vlookup(C515,'Classificação p pessoal'!F:G,2,false)</f>
        <v>NP</v>
      </c>
      <c r="E515" s="65" t="s">
        <v>256</v>
      </c>
      <c r="F515" s="83">
        <v>0.5833333333333334</v>
      </c>
      <c r="G515" s="83">
        <v>0.625</v>
      </c>
      <c r="H515" s="83">
        <v>0.041666666666666664</v>
      </c>
      <c r="I515" s="84">
        <v>44232.0</v>
      </c>
      <c r="J515" s="65" t="b">
        <v>1</v>
      </c>
      <c r="K515" s="65"/>
      <c r="L515" s="85" t="b">
        <f>IF(VLOOKUP(C515,Projetos!A:L,12,false)=TRUE,TRUE,FALSE)</f>
        <v>1</v>
      </c>
      <c r="M515" s="74">
        <v>31.02923620430495</v>
      </c>
      <c r="N515" s="74">
        <f t="shared" si="1"/>
        <v>31.0292362</v>
      </c>
      <c r="O515" s="74" t="b">
        <v>1</v>
      </c>
    </row>
    <row r="516" hidden="1">
      <c r="A516" s="82"/>
      <c r="B516" s="65" t="s">
        <v>177</v>
      </c>
      <c r="C516" s="65" t="s">
        <v>92</v>
      </c>
      <c r="D516" s="65" t="str">
        <f>vlookup(C516,'Classificação p pessoal'!F:G,2,false)</f>
        <v/>
      </c>
      <c r="E516" s="65" t="s">
        <v>257</v>
      </c>
      <c r="F516" s="83">
        <v>0.625</v>
      </c>
      <c r="G516" s="83">
        <v>0.6875</v>
      </c>
      <c r="H516" s="83">
        <v>0.0625</v>
      </c>
      <c r="I516" s="84">
        <v>44232.0</v>
      </c>
      <c r="J516" s="65" t="b">
        <v>1</v>
      </c>
      <c r="K516" s="65"/>
      <c r="L516" s="85" t="b">
        <f>IF(VLOOKUP(C516,Projetos!A:L,12,false)=TRUE,TRUE,FALSE)</f>
        <v>1</v>
      </c>
      <c r="M516" s="74">
        <v>31.02923620430495</v>
      </c>
      <c r="N516" s="74">
        <f t="shared" si="1"/>
        <v>46.54385431</v>
      </c>
      <c r="O516" s="74" t="b">
        <v>1</v>
      </c>
    </row>
    <row r="517" hidden="1">
      <c r="A517" s="82"/>
      <c r="B517" s="65" t="s">
        <v>177</v>
      </c>
      <c r="C517" s="65" t="s">
        <v>92</v>
      </c>
      <c r="D517" s="65"/>
      <c r="E517" s="65" t="s">
        <v>258</v>
      </c>
      <c r="F517" s="83">
        <v>0.3541666666666667</v>
      </c>
      <c r="G517" s="83">
        <v>0.375</v>
      </c>
      <c r="H517" s="83">
        <v>0.020833333333333332</v>
      </c>
      <c r="I517" s="84">
        <v>44235.0</v>
      </c>
      <c r="J517" s="65" t="b">
        <v>0</v>
      </c>
      <c r="K517" s="65" t="s">
        <v>150</v>
      </c>
      <c r="L517" s="85" t="b">
        <f>IF(VLOOKUP(C517,Projetos!A:L,12,false)=TRUE,TRUE,FALSE)</f>
        <v>1</v>
      </c>
      <c r="M517" s="74">
        <v>31.02923620430495</v>
      </c>
      <c r="N517" s="74">
        <f t="shared" si="1"/>
        <v>0</v>
      </c>
      <c r="O517" s="74" t="b">
        <v>1</v>
      </c>
    </row>
    <row r="518" hidden="1">
      <c r="A518" s="82"/>
      <c r="B518" s="65" t="s">
        <v>177</v>
      </c>
      <c r="C518" s="65" t="s">
        <v>100</v>
      </c>
      <c r="D518" s="65" t="str">
        <f>vlookup(C518,'Classificação p pessoal'!F:G,2,false)</f>
        <v>NP</v>
      </c>
      <c r="E518" s="65" t="s">
        <v>259</v>
      </c>
      <c r="F518" s="83">
        <v>0.3541666666666667</v>
      </c>
      <c r="G518" s="83">
        <v>0.375</v>
      </c>
      <c r="H518" s="83">
        <v>0.020833333333333332</v>
      </c>
      <c r="I518" s="84">
        <v>44236.0</v>
      </c>
      <c r="J518" s="65" t="b">
        <v>1</v>
      </c>
      <c r="K518" s="65"/>
      <c r="L518" s="85" t="b">
        <f>IF(VLOOKUP(C518,Projetos!A:L,12,false)=TRUE,TRUE,FALSE)</f>
        <v>1</v>
      </c>
      <c r="M518" s="74">
        <v>31.02923620430495</v>
      </c>
      <c r="N518" s="74">
        <f t="shared" si="1"/>
        <v>15.5146181</v>
      </c>
      <c r="O518" s="74" t="b">
        <v>1</v>
      </c>
    </row>
    <row r="519" hidden="1">
      <c r="A519" s="82"/>
      <c r="B519" s="65" t="s">
        <v>177</v>
      </c>
      <c r="C519" s="65" t="s">
        <v>92</v>
      </c>
      <c r="D519" s="65" t="str">
        <f>vlookup(C519,'Classificação p pessoal'!F:G,2,false)</f>
        <v/>
      </c>
      <c r="E519" s="65" t="s">
        <v>223</v>
      </c>
      <c r="F519" s="83">
        <v>0.375</v>
      </c>
      <c r="G519" s="83">
        <v>0.3958333333333333</v>
      </c>
      <c r="H519" s="83">
        <v>0.020833333333333332</v>
      </c>
      <c r="I519" s="84">
        <v>44236.0</v>
      </c>
      <c r="J519" s="65" t="b">
        <v>1</v>
      </c>
      <c r="K519" s="65"/>
      <c r="L519" s="85" t="b">
        <f>IF(VLOOKUP(C519,Projetos!A:L,12,false)=TRUE,TRUE,FALSE)</f>
        <v>1</v>
      </c>
      <c r="M519" s="74">
        <v>31.02923620430495</v>
      </c>
      <c r="N519" s="74">
        <f t="shared" si="1"/>
        <v>15.5146181</v>
      </c>
      <c r="O519" s="74" t="b">
        <v>1</v>
      </c>
    </row>
    <row r="520">
      <c r="A520" s="82"/>
      <c r="B520" s="65" t="s">
        <v>177</v>
      </c>
      <c r="C520" s="65" t="s">
        <v>108</v>
      </c>
      <c r="D520" s="65" t="str">
        <f>vlookup(C520,'Classificação p pessoal'!F:G,2,false)</f>
        <v>NP</v>
      </c>
      <c r="E520" s="65" t="s">
        <v>260</v>
      </c>
      <c r="F520" s="83">
        <v>0.5833333333333334</v>
      </c>
      <c r="G520" s="83">
        <v>0.625</v>
      </c>
      <c r="H520" s="83">
        <v>0.041666666666666664</v>
      </c>
      <c r="I520" s="84">
        <v>44237.0</v>
      </c>
      <c r="J520" s="65" t="b">
        <v>1</v>
      </c>
      <c r="K520" s="65"/>
      <c r="L520" s="85" t="b">
        <f>IF(VLOOKUP(C520,Projetos!A:L,12,false)=TRUE,TRUE,FALSE)</f>
        <v>1</v>
      </c>
      <c r="M520" s="74">
        <v>31.02923620430495</v>
      </c>
      <c r="N520" s="74">
        <f t="shared" si="1"/>
        <v>31.0292362</v>
      </c>
      <c r="O520" s="74" t="b">
        <v>1</v>
      </c>
    </row>
    <row r="521">
      <c r="A521" s="82"/>
      <c r="B521" s="65" t="s">
        <v>177</v>
      </c>
      <c r="C521" s="65" t="s">
        <v>108</v>
      </c>
      <c r="D521" s="65" t="str">
        <f>vlookup(C521,'Classificação p pessoal'!F:G,2,false)</f>
        <v>NP</v>
      </c>
      <c r="E521" s="65" t="s">
        <v>261</v>
      </c>
      <c r="F521" s="83">
        <v>0.3541666666666667</v>
      </c>
      <c r="G521" s="83">
        <v>0.4791666666666667</v>
      </c>
      <c r="H521" s="83">
        <v>0.125</v>
      </c>
      <c r="I521" s="84">
        <v>44239.0</v>
      </c>
      <c r="J521" s="65" t="b">
        <v>1</v>
      </c>
      <c r="K521" s="65"/>
      <c r="L521" s="85" t="b">
        <f>IF(VLOOKUP(C521,Projetos!A:L,12,false)=TRUE,TRUE,FALSE)</f>
        <v>1</v>
      </c>
      <c r="M521" s="74">
        <v>31.02923620430495</v>
      </c>
      <c r="N521" s="74">
        <f t="shared" si="1"/>
        <v>93.08770861</v>
      </c>
      <c r="O521" s="74" t="b">
        <v>1</v>
      </c>
    </row>
    <row r="522" hidden="1">
      <c r="A522" s="82"/>
      <c r="B522" s="65" t="s">
        <v>177</v>
      </c>
      <c r="C522" s="65" t="s">
        <v>101</v>
      </c>
      <c r="D522" s="65" t="str">
        <f>vlookup(C522,'Classificação p pessoal'!F:G,2,false)</f>
        <v>NP</v>
      </c>
      <c r="E522" s="65" t="s">
        <v>262</v>
      </c>
      <c r="F522" s="83">
        <v>0.5833333333333334</v>
      </c>
      <c r="G522" s="83">
        <v>0.625</v>
      </c>
      <c r="H522" s="83">
        <v>0.041666666666666664</v>
      </c>
      <c r="I522" s="84">
        <v>44239.0</v>
      </c>
      <c r="J522" s="65" t="b">
        <v>1</v>
      </c>
      <c r="K522" s="65"/>
      <c r="L522" s="85" t="b">
        <f>IF(VLOOKUP(C522,Projetos!A:L,12,false)=TRUE,TRUE,FALSE)</f>
        <v>1</v>
      </c>
      <c r="M522" s="74">
        <v>31.02923620430495</v>
      </c>
      <c r="N522" s="74">
        <f t="shared" si="1"/>
        <v>31.0292362</v>
      </c>
      <c r="O522" s="74" t="b">
        <v>1</v>
      </c>
    </row>
    <row r="523" hidden="1">
      <c r="A523" s="82"/>
      <c r="B523" s="65" t="s">
        <v>177</v>
      </c>
      <c r="C523" s="65" t="s">
        <v>92</v>
      </c>
      <c r="D523" s="65" t="str">
        <f>vlookup(C523,'Classificação p pessoal'!F:G,2,false)</f>
        <v/>
      </c>
      <c r="E523" s="65" t="s">
        <v>223</v>
      </c>
      <c r="F523" s="83">
        <v>0.5416666666666666</v>
      </c>
      <c r="G523" s="83">
        <v>0.6041666666666666</v>
      </c>
      <c r="H523" s="83">
        <v>0.0625</v>
      </c>
      <c r="I523" s="84">
        <v>44244.0</v>
      </c>
      <c r="J523" s="65" t="b">
        <v>1</v>
      </c>
      <c r="K523" s="65"/>
      <c r="L523" s="85" t="b">
        <f>IF(VLOOKUP(C523,Projetos!A:L,12,false)=TRUE,TRUE,FALSE)</f>
        <v>1</v>
      </c>
      <c r="M523" s="74">
        <v>31.02923620430495</v>
      </c>
      <c r="N523" s="74">
        <f t="shared" si="1"/>
        <v>46.54385431</v>
      </c>
      <c r="O523" s="74" t="b">
        <v>1</v>
      </c>
    </row>
    <row r="524" hidden="1">
      <c r="A524" s="82"/>
      <c r="B524" s="65" t="s">
        <v>177</v>
      </c>
      <c r="C524" s="65" t="s">
        <v>120</v>
      </c>
      <c r="D524" s="65"/>
      <c r="E524" s="65" t="s">
        <v>263</v>
      </c>
      <c r="F524" s="83">
        <v>0.4583333333333333</v>
      </c>
      <c r="G524" s="83">
        <v>0.5</v>
      </c>
      <c r="H524" s="83">
        <v>0.041666666666666664</v>
      </c>
      <c r="I524" s="84">
        <v>44245.0</v>
      </c>
      <c r="J524" s="65" t="b">
        <v>0</v>
      </c>
      <c r="K524" s="65" t="s">
        <v>150</v>
      </c>
      <c r="L524" s="85" t="b">
        <f>IF(VLOOKUP(C524,Projetos!A:L,12,false)=TRUE,TRUE,FALSE)</f>
        <v>0</v>
      </c>
      <c r="M524" s="74">
        <v>31.02923620430495</v>
      </c>
      <c r="N524" s="74">
        <f t="shared" si="1"/>
        <v>0</v>
      </c>
      <c r="O524" s="74" t="b">
        <v>0</v>
      </c>
    </row>
    <row r="525" hidden="1">
      <c r="A525" s="82"/>
      <c r="B525" s="65" t="s">
        <v>177</v>
      </c>
      <c r="C525" s="65" t="s">
        <v>106</v>
      </c>
      <c r="D525" s="65" t="str">
        <f>vlookup(C525,'Classificação p pessoal'!F:G,2,false)</f>
        <v>MProcesso</v>
      </c>
      <c r="E525" s="65" t="s">
        <v>264</v>
      </c>
      <c r="F525" s="83">
        <v>0.7083333333333334</v>
      </c>
      <c r="G525" s="83">
        <v>0.75</v>
      </c>
      <c r="H525" s="83">
        <v>0.041666666666666664</v>
      </c>
      <c r="I525" s="84">
        <v>44245.0</v>
      </c>
      <c r="J525" s="65" t="b">
        <v>1</v>
      </c>
      <c r="K525" s="65"/>
      <c r="L525" s="85" t="b">
        <f>IF(VLOOKUP(C525,Projetos!A:L,12,false)=TRUE,TRUE,FALSE)</f>
        <v>1</v>
      </c>
      <c r="M525" s="74">
        <v>31.02923620430495</v>
      </c>
      <c r="N525" s="74">
        <f t="shared" si="1"/>
        <v>31.0292362</v>
      </c>
      <c r="O525" s="74" t="b">
        <v>1</v>
      </c>
    </row>
    <row r="526">
      <c r="A526" s="82"/>
      <c r="B526" s="65" t="s">
        <v>177</v>
      </c>
      <c r="C526" s="65" t="s">
        <v>108</v>
      </c>
      <c r="D526" s="65" t="str">
        <f>vlookup(C526,'Classificação p pessoal'!F:G,2,false)</f>
        <v>NP</v>
      </c>
      <c r="E526" s="65" t="s">
        <v>265</v>
      </c>
      <c r="F526" s="83">
        <v>0.7083333333333334</v>
      </c>
      <c r="G526" s="83">
        <v>0.75</v>
      </c>
      <c r="H526" s="83">
        <v>0.041666666666666664</v>
      </c>
      <c r="I526" s="84">
        <v>44246.0</v>
      </c>
      <c r="J526" s="65" t="b">
        <v>1</v>
      </c>
      <c r="K526" s="65"/>
      <c r="L526" s="85" t="b">
        <f>IF(VLOOKUP(C526,Projetos!A:L,12,false)=TRUE,TRUE,FALSE)</f>
        <v>1</v>
      </c>
      <c r="M526" s="74">
        <v>31.02923620430495</v>
      </c>
      <c r="N526" s="74">
        <f t="shared" si="1"/>
        <v>31.0292362</v>
      </c>
      <c r="O526" s="74" t="b">
        <v>1</v>
      </c>
    </row>
    <row r="527" hidden="1">
      <c r="A527" s="82"/>
      <c r="B527" s="65" t="s">
        <v>177</v>
      </c>
      <c r="C527" s="65" t="s">
        <v>101</v>
      </c>
      <c r="D527" s="65" t="str">
        <f>vlookup(C527,'Classificação p pessoal'!F:G,2,false)</f>
        <v>NP</v>
      </c>
      <c r="E527" s="65" t="s">
        <v>266</v>
      </c>
      <c r="F527" s="83">
        <v>0.375</v>
      </c>
      <c r="G527" s="83">
        <v>0.5</v>
      </c>
      <c r="H527" s="83">
        <v>0.125</v>
      </c>
      <c r="I527" s="84">
        <v>44246.0</v>
      </c>
      <c r="J527" s="65" t="b">
        <v>1</v>
      </c>
      <c r="K527" s="65"/>
      <c r="L527" s="85" t="b">
        <f>IF(VLOOKUP(C527,Projetos!A:L,12,false)=TRUE,TRUE,FALSE)</f>
        <v>1</v>
      </c>
      <c r="M527" s="74">
        <v>31.02923620430495</v>
      </c>
      <c r="N527" s="74">
        <f t="shared" si="1"/>
        <v>93.08770861</v>
      </c>
      <c r="O527" s="74" t="b">
        <v>1</v>
      </c>
    </row>
    <row r="528" hidden="1">
      <c r="A528" s="82"/>
      <c r="B528" s="65" t="s">
        <v>177</v>
      </c>
      <c r="C528" s="65" t="s">
        <v>118</v>
      </c>
      <c r="D528" s="65" t="str">
        <f>vlookup(C528,'Classificação p pessoal'!F:G,2,false)</f>
        <v>MProduto</v>
      </c>
      <c r="E528" s="65" t="s">
        <v>267</v>
      </c>
      <c r="F528" s="83">
        <v>0.5833333333333334</v>
      </c>
      <c r="G528" s="83">
        <v>0.6041666666666666</v>
      </c>
      <c r="H528" s="83">
        <v>0.020833333333333332</v>
      </c>
      <c r="I528" s="84">
        <v>44246.0</v>
      </c>
      <c r="J528" s="65" t="b">
        <v>1</v>
      </c>
      <c r="K528" s="65"/>
      <c r="L528" s="85" t="b">
        <f>IF(VLOOKUP(C528,Projetos!A:L,12,false)=TRUE,TRUE,FALSE)</f>
        <v>1</v>
      </c>
      <c r="M528" s="74">
        <v>31.02923620430495</v>
      </c>
      <c r="N528" s="74">
        <f t="shared" si="1"/>
        <v>15.5146181</v>
      </c>
      <c r="O528" s="74" t="b">
        <v>1</v>
      </c>
    </row>
    <row r="529">
      <c r="A529" s="82"/>
      <c r="B529" s="65" t="s">
        <v>177</v>
      </c>
      <c r="C529" s="65" t="s">
        <v>108</v>
      </c>
      <c r="D529" s="65"/>
      <c r="E529" s="65" t="s">
        <v>268</v>
      </c>
      <c r="F529" s="83">
        <v>0.3541666666666667</v>
      </c>
      <c r="G529" s="83">
        <v>0.375</v>
      </c>
      <c r="H529" s="83">
        <v>0.020833333333333332</v>
      </c>
      <c r="I529" s="84">
        <v>44249.0</v>
      </c>
      <c r="J529" s="65" t="b">
        <v>0</v>
      </c>
      <c r="K529" s="65" t="s">
        <v>150</v>
      </c>
      <c r="L529" s="85" t="b">
        <f>IF(VLOOKUP(C529,Projetos!A:L,12,false)=TRUE,TRUE,FALSE)</f>
        <v>1</v>
      </c>
      <c r="M529" s="74">
        <v>31.02923620430495</v>
      </c>
      <c r="N529" s="74">
        <f t="shared" si="1"/>
        <v>0</v>
      </c>
      <c r="O529" s="74" t="b">
        <v>1</v>
      </c>
    </row>
    <row r="530">
      <c r="A530" s="82"/>
      <c r="B530" s="65" t="s">
        <v>177</v>
      </c>
      <c r="C530" s="65" t="s">
        <v>108</v>
      </c>
      <c r="D530" s="65" t="str">
        <f>vlookup(C530,'Classificação p pessoal'!F:G,2,false)</f>
        <v>NP</v>
      </c>
      <c r="E530" s="65" t="s">
        <v>269</v>
      </c>
      <c r="F530" s="83">
        <v>0.375</v>
      </c>
      <c r="G530" s="83">
        <v>0.3958333333333333</v>
      </c>
      <c r="H530" s="83">
        <v>0.020833333333333332</v>
      </c>
      <c r="I530" s="84">
        <v>44249.0</v>
      </c>
      <c r="J530" s="65" t="b">
        <v>1</v>
      </c>
      <c r="K530" s="65"/>
      <c r="L530" s="85" t="b">
        <f>IF(VLOOKUP(C530,Projetos!A:L,12,false)=TRUE,TRUE,FALSE)</f>
        <v>1</v>
      </c>
      <c r="M530" s="74">
        <v>31.02923620430495</v>
      </c>
      <c r="N530" s="74">
        <f t="shared" si="1"/>
        <v>15.5146181</v>
      </c>
      <c r="O530" s="74" t="b">
        <v>1</v>
      </c>
    </row>
    <row r="531" hidden="1">
      <c r="A531" s="82"/>
      <c r="B531" s="65" t="s">
        <v>177</v>
      </c>
      <c r="C531" s="65" t="s">
        <v>118</v>
      </c>
      <c r="D531" s="65"/>
      <c r="E531" s="65" t="s">
        <v>270</v>
      </c>
      <c r="F531" s="83">
        <v>0.4166666666666667</v>
      </c>
      <c r="G531" s="83">
        <v>0.5416666666666666</v>
      </c>
      <c r="H531" s="83">
        <v>0.125</v>
      </c>
      <c r="I531" s="84">
        <v>44249.0</v>
      </c>
      <c r="J531" s="65" t="b">
        <v>0</v>
      </c>
      <c r="K531" s="65" t="s">
        <v>150</v>
      </c>
      <c r="L531" s="85" t="b">
        <f>IF(VLOOKUP(C531,Projetos!A:L,12,false)=TRUE,TRUE,FALSE)</f>
        <v>1</v>
      </c>
      <c r="M531" s="74">
        <v>31.02923620430495</v>
      </c>
      <c r="N531" s="74">
        <f t="shared" si="1"/>
        <v>0</v>
      </c>
      <c r="O531" s="74" t="b">
        <v>1</v>
      </c>
    </row>
    <row r="532" hidden="1">
      <c r="A532" s="82"/>
      <c r="B532" s="65" t="s">
        <v>177</v>
      </c>
      <c r="C532" s="65" t="s">
        <v>100</v>
      </c>
      <c r="D532" s="65"/>
      <c r="E532" s="65" t="s">
        <v>270</v>
      </c>
      <c r="F532" s="83">
        <v>0.5416666666666666</v>
      </c>
      <c r="G532" s="83">
        <v>0.5833333333333334</v>
      </c>
      <c r="H532" s="83">
        <v>0.041666666666666664</v>
      </c>
      <c r="I532" s="84">
        <v>44249.0</v>
      </c>
      <c r="J532" s="65" t="b">
        <v>0</v>
      </c>
      <c r="K532" s="65" t="s">
        <v>150</v>
      </c>
      <c r="L532" s="85" t="b">
        <f>IF(VLOOKUP(C532,Projetos!A:L,12,false)=TRUE,TRUE,FALSE)</f>
        <v>1</v>
      </c>
      <c r="M532" s="74">
        <v>31.02923620430495</v>
      </c>
      <c r="N532" s="74">
        <f t="shared" si="1"/>
        <v>0</v>
      </c>
      <c r="O532" s="74" t="b">
        <v>1</v>
      </c>
    </row>
    <row r="533" hidden="1">
      <c r="A533" s="82"/>
      <c r="B533" s="65" t="s">
        <v>177</v>
      </c>
      <c r="C533" s="65" t="s">
        <v>100</v>
      </c>
      <c r="D533" s="65"/>
      <c r="E533" s="65" t="s">
        <v>271</v>
      </c>
      <c r="F533" s="83">
        <v>0.4166666666666667</v>
      </c>
      <c r="G533" s="83">
        <v>0.4791666666666667</v>
      </c>
      <c r="H533" s="83">
        <v>0.0625</v>
      </c>
      <c r="I533" s="84">
        <v>44250.0</v>
      </c>
      <c r="J533" s="65" t="b">
        <v>0</v>
      </c>
      <c r="K533" s="65" t="s">
        <v>150</v>
      </c>
      <c r="L533" s="85" t="b">
        <f>IF(VLOOKUP(C533,Projetos!A:L,12,false)=TRUE,TRUE,FALSE)</f>
        <v>1</v>
      </c>
      <c r="M533" s="74">
        <v>31.02923620430495</v>
      </c>
      <c r="N533" s="74">
        <f t="shared" si="1"/>
        <v>0</v>
      </c>
      <c r="O533" s="74" t="b">
        <v>1</v>
      </c>
    </row>
    <row r="534">
      <c r="A534" s="82"/>
      <c r="B534" s="65" t="s">
        <v>177</v>
      </c>
      <c r="C534" s="65" t="s">
        <v>108</v>
      </c>
      <c r="D534" s="65" t="str">
        <f>vlookup(C534,'Classificação p pessoal'!F:G,2,false)</f>
        <v>NP</v>
      </c>
      <c r="E534" s="65" t="s">
        <v>272</v>
      </c>
      <c r="F534" s="83">
        <v>0.5833333333333334</v>
      </c>
      <c r="G534" s="83">
        <v>0.7083333333333334</v>
      </c>
      <c r="H534" s="83">
        <v>0.125</v>
      </c>
      <c r="I534" s="84">
        <v>44251.0</v>
      </c>
      <c r="J534" s="65" t="b">
        <v>1</v>
      </c>
      <c r="K534" s="65"/>
      <c r="L534" s="85" t="b">
        <f>IF(VLOOKUP(C534,Projetos!A:L,12,false)=TRUE,TRUE,FALSE)</f>
        <v>1</v>
      </c>
      <c r="M534" s="74">
        <v>31.02923620430495</v>
      </c>
      <c r="N534" s="74">
        <f t="shared" si="1"/>
        <v>93.08770861</v>
      </c>
      <c r="O534" s="74" t="b">
        <v>1</v>
      </c>
    </row>
    <row r="535">
      <c r="A535" s="82"/>
      <c r="B535" s="65" t="s">
        <v>177</v>
      </c>
      <c r="C535" s="65" t="s">
        <v>108</v>
      </c>
      <c r="D535" s="65" t="str">
        <f>vlookup(C535,'Classificação p pessoal'!F:G,2,false)</f>
        <v>NP</v>
      </c>
      <c r="E535" s="65" t="s">
        <v>273</v>
      </c>
      <c r="F535" s="83">
        <v>0.7083333333333334</v>
      </c>
      <c r="G535" s="83">
        <v>0.7291666666666666</v>
      </c>
      <c r="H535" s="83">
        <v>0.020833333333333332</v>
      </c>
      <c r="I535" s="84">
        <v>44251.0</v>
      </c>
      <c r="J535" s="65" t="b">
        <v>1</v>
      </c>
      <c r="K535" s="65"/>
      <c r="L535" s="85" t="b">
        <f>IF(VLOOKUP(C535,Projetos!A:L,12,false)=TRUE,TRUE,FALSE)</f>
        <v>1</v>
      </c>
      <c r="M535" s="74">
        <v>31.02923620430495</v>
      </c>
      <c r="N535" s="74">
        <f t="shared" si="1"/>
        <v>15.5146181</v>
      </c>
      <c r="O535" s="74" t="b">
        <v>1</v>
      </c>
    </row>
    <row r="536" hidden="1">
      <c r="A536" s="82"/>
      <c r="B536" s="65" t="s">
        <v>177</v>
      </c>
      <c r="C536" s="65" t="s">
        <v>106</v>
      </c>
      <c r="D536" s="65" t="str">
        <f>vlookup(C536,'Classificação p pessoal'!F:G,2,false)</f>
        <v>MProcesso</v>
      </c>
      <c r="E536" s="65" t="s">
        <v>274</v>
      </c>
      <c r="F536" s="83">
        <v>0.375</v>
      </c>
      <c r="G536" s="83">
        <v>0.3958333333333333</v>
      </c>
      <c r="H536" s="83">
        <v>0.020833333333333332</v>
      </c>
      <c r="I536" s="84">
        <v>44252.0</v>
      </c>
      <c r="J536" s="65" t="b">
        <v>1</v>
      </c>
      <c r="K536" s="65"/>
      <c r="L536" s="85" t="b">
        <f>IF(VLOOKUP(C536,Projetos!A:L,12,false)=TRUE,TRUE,FALSE)</f>
        <v>1</v>
      </c>
      <c r="M536" s="74">
        <v>31.02923620430495</v>
      </c>
      <c r="N536" s="74">
        <f t="shared" si="1"/>
        <v>15.5146181</v>
      </c>
      <c r="O536" s="74" t="b">
        <v>1</v>
      </c>
    </row>
    <row r="537" hidden="1">
      <c r="A537" s="82"/>
      <c r="B537" s="65" t="s">
        <v>177</v>
      </c>
      <c r="C537" s="65" t="s">
        <v>106</v>
      </c>
      <c r="D537" s="65" t="str">
        <f>vlookup(C537,'Classificação p pessoal'!F:G,2,false)</f>
        <v>MProcesso</v>
      </c>
      <c r="E537" s="65" t="s">
        <v>275</v>
      </c>
      <c r="F537" s="83">
        <v>0.3958333333333333</v>
      </c>
      <c r="G537" s="83">
        <v>0.4375</v>
      </c>
      <c r="H537" s="83">
        <v>0.041666666666666664</v>
      </c>
      <c r="I537" s="84">
        <v>44252.0</v>
      </c>
      <c r="J537" s="65" t="b">
        <v>1</v>
      </c>
      <c r="K537" s="65"/>
      <c r="L537" s="85" t="b">
        <f>IF(VLOOKUP(C537,Projetos!A:L,12,false)=TRUE,TRUE,FALSE)</f>
        <v>1</v>
      </c>
      <c r="M537" s="74">
        <v>31.02923620430495</v>
      </c>
      <c r="N537" s="74">
        <f t="shared" si="1"/>
        <v>31.0292362</v>
      </c>
      <c r="O537" s="74" t="b">
        <v>1</v>
      </c>
    </row>
    <row r="538" hidden="1">
      <c r="A538" s="82"/>
      <c r="B538" s="65" t="s">
        <v>177</v>
      </c>
      <c r="C538" s="65" t="s">
        <v>106</v>
      </c>
      <c r="D538" s="65" t="str">
        <f>vlookup(C538,'Classificação p pessoal'!F:G,2,false)</f>
        <v>MProcesso</v>
      </c>
      <c r="E538" s="65" t="s">
        <v>276</v>
      </c>
      <c r="F538" s="83">
        <v>0.4375</v>
      </c>
      <c r="G538" s="83">
        <v>0.5</v>
      </c>
      <c r="H538" s="83">
        <v>0.0625</v>
      </c>
      <c r="I538" s="84">
        <v>44252.0</v>
      </c>
      <c r="J538" s="65" t="b">
        <v>1</v>
      </c>
      <c r="K538" s="65"/>
      <c r="L538" s="85" t="b">
        <f>IF(VLOOKUP(C538,Projetos!A:L,12,false)=TRUE,TRUE,FALSE)</f>
        <v>1</v>
      </c>
      <c r="M538" s="74">
        <v>31.02923620430495</v>
      </c>
      <c r="N538" s="74">
        <f t="shared" si="1"/>
        <v>46.54385431</v>
      </c>
      <c r="O538" s="74" t="b">
        <v>1</v>
      </c>
    </row>
    <row r="539" hidden="1">
      <c r="A539" s="82"/>
      <c r="B539" s="65" t="s">
        <v>177</v>
      </c>
      <c r="C539" s="65" t="s">
        <v>100</v>
      </c>
      <c r="D539" s="65" t="str">
        <f>vlookup(C539,'Classificação p pessoal'!F:G,2,false)</f>
        <v>NP</v>
      </c>
      <c r="E539" s="65" t="s">
        <v>277</v>
      </c>
      <c r="F539" s="83">
        <v>0.3541666666666667</v>
      </c>
      <c r="G539" s="83">
        <v>0.3958333333333333</v>
      </c>
      <c r="H539" s="83">
        <v>0.041666666666666664</v>
      </c>
      <c r="I539" s="84">
        <v>44253.0</v>
      </c>
      <c r="J539" s="65" t="b">
        <v>1</v>
      </c>
      <c r="K539" s="65"/>
      <c r="L539" s="85" t="b">
        <f>IF(VLOOKUP(C539,Projetos!A:L,12,false)=TRUE,TRUE,FALSE)</f>
        <v>1</v>
      </c>
      <c r="M539" s="74">
        <v>31.02923620430495</v>
      </c>
      <c r="N539" s="74">
        <f t="shared" si="1"/>
        <v>31.0292362</v>
      </c>
      <c r="O539" s="74" t="b">
        <v>1</v>
      </c>
    </row>
    <row r="540">
      <c r="A540" s="82"/>
      <c r="B540" s="65" t="s">
        <v>177</v>
      </c>
      <c r="C540" s="65" t="s">
        <v>108</v>
      </c>
      <c r="D540" s="65" t="str">
        <f>vlookup(C540,'Classificação p pessoal'!F:G,2,false)</f>
        <v>NP</v>
      </c>
      <c r="E540" s="65" t="s">
        <v>278</v>
      </c>
      <c r="F540" s="83">
        <v>0.3958333333333333</v>
      </c>
      <c r="G540" s="83">
        <v>0.4583333333333333</v>
      </c>
      <c r="H540" s="83">
        <v>0.0625</v>
      </c>
      <c r="I540" s="84">
        <v>44253.0</v>
      </c>
      <c r="J540" s="65" t="b">
        <v>1</v>
      </c>
      <c r="K540" s="65"/>
      <c r="L540" s="85" t="b">
        <f>IF(VLOOKUP(C540,Projetos!A:L,12,false)=TRUE,TRUE,FALSE)</f>
        <v>1</v>
      </c>
      <c r="M540" s="74">
        <v>31.02923620430495</v>
      </c>
      <c r="N540" s="74">
        <f t="shared" si="1"/>
        <v>46.54385431</v>
      </c>
      <c r="O540" s="74" t="b">
        <v>1</v>
      </c>
    </row>
    <row r="541" hidden="1">
      <c r="A541" s="82"/>
      <c r="B541" s="65" t="s">
        <v>177</v>
      </c>
      <c r="C541" s="65" t="s">
        <v>101</v>
      </c>
      <c r="D541" s="65" t="str">
        <f>vlookup(C541,'Classificação p pessoal'!F:G,2,false)</f>
        <v>NP</v>
      </c>
      <c r="E541" s="65" t="s">
        <v>279</v>
      </c>
      <c r="F541" s="83">
        <v>0.6458333333333334</v>
      </c>
      <c r="G541" s="83">
        <v>0.7083333333333334</v>
      </c>
      <c r="H541" s="83">
        <v>0.0625</v>
      </c>
      <c r="I541" s="84">
        <v>44253.0</v>
      </c>
      <c r="J541" s="65" t="b">
        <v>1</v>
      </c>
      <c r="K541" s="65"/>
      <c r="L541" s="85" t="b">
        <f>IF(VLOOKUP(C541,Projetos!A:L,12,false)=TRUE,TRUE,FALSE)</f>
        <v>1</v>
      </c>
      <c r="M541" s="74">
        <v>31.02923620430495</v>
      </c>
      <c r="N541" s="74">
        <f t="shared" si="1"/>
        <v>46.54385431</v>
      </c>
      <c r="O541" s="74" t="b">
        <v>1</v>
      </c>
    </row>
    <row r="542">
      <c r="A542" s="82"/>
      <c r="B542" s="65" t="s">
        <v>177</v>
      </c>
      <c r="C542" s="65" t="s">
        <v>108</v>
      </c>
      <c r="D542" s="65" t="str">
        <f>vlookup(C542,'Classificação p pessoal'!F:G,2,false)</f>
        <v>NP</v>
      </c>
      <c r="E542" s="65" t="s">
        <v>280</v>
      </c>
      <c r="F542" s="83">
        <v>0.3541666666666667</v>
      </c>
      <c r="G542" s="83">
        <v>0.375</v>
      </c>
      <c r="H542" s="83">
        <v>0.020833333333333332</v>
      </c>
      <c r="I542" s="84">
        <v>44256.0</v>
      </c>
      <c r="J542" s="65" t="b">
        <v>1</v>
      </c>
      <c r="K542" s="65"/>
      <c r="L542" s="85" t="b">
        <f>IF(VLOOKUP(C542,Projetos!A:L,12,false)=TRUE,TRUE,FALSE)</f>
        <v>1</v>
      </c>
      <c r="M542" s="74">
        <v>31.02923620430495</v>
      </c>
      <c r="N542" s="74">
        <f t="shared" si="1"/>
        <v>15.5146181</v>
      </c>
      <c r="O542" s="74" t="b">
        <v>1</v>
      </c>
    </row>
    <row r="543" hidden="1">
      <c r="A543" s="82"/>
      <c r="B543" s="65" t="s">
        <v>177</v>
      </c>
      <c r="C543" s="65" t="s">
        <v>101</v>
      </c>
      <c r="D543" s="65" t="str">
        <f>vlookup(C543,'Classificação p pessoal'!F:G,2,false)</f>
        <v>NP</v>
      </c>
      <c r="E543" s="65" t="s">
        <v>281</v>
      </c>
      <c r="F543" s="83">
        <v>0.375</v>
      </c>
      <c r="G543" s="83">
        <v>0.4166666666666667</v>
      </c>
      <c r="H543" s="83">
        <v>0.041666666666666664</v>
      </c>
      <c r="I543" s="84">
        <v>44256.0</v>
      </c>
      <c r="J543" s="65" t="b">
        <v>1</v>
      </c>
      <c r="K543" s="65"/>
      <c r="L543" s="85" t="b">
        <f>IF(VLOOKUP(C543,Projetos!A:L,12,false)=TRUE,TRUE,FALSE)</f>
        <v>1</v>
      </c>
      <c r="M543" s="74">
        <v>31.02923620430495</v>
      </c>
      <c r="N543" s="74">
        <f t="shared" si="1"/>
        <v>31.0292362</v>
      </c>
      <c r="O543" s="74" t="b">
        <v>1</v>
      </c>
    </row>
    <row r="544">
      <c r="A544" s="82"/>
      <c r="B544" s="65" t="s">
        <v>177</v>
      </c>
      <c r="C544" s="65" t="s">
        <v>108</v>
      </c>
      <c r="D544" s="65" t="str">
        <f>vlookup(C544,'Classificação p pessoal'!F:G,2,false)</f>
        <v>NP</v>
      </c>
      <c r="E544" s="65" t="s">
        <v>282</v>
      </c>
      <c r="F544" s="83">
        <v>0.4166666666666667</v>
      </c>
      <c r="G544" s="83">
        <v>0.4375</v>
      </c>
      <c r="H544" s="83">
        <v>0.020833333333333332</v>
      </c>
      <c r="I544" s="84">
        <v>44256.0</v>
      </c>
      <c r="J544" s="65" t="b">
        <v>1</v>
      </c>
      <c r="K544" s="65"/>
      <c r="L544" s="85" t="b">
        <f>IF(VLOOKUP(C544,Projetos!A:L,12,false)=TRUE,TRUE,FALSE)</f>
        <v>1</v>
      </c>
      <c r="M544" s="74">
        <v>31.02923620430495</v>
      </c>
      <c r="N544" s="74">
        <f t="shared" si="1"/>
        <v>15.5146181</v>
      </c>
      <c r="O544" s="74" t="b">
        <v>1</v>
      </c>
    </row>
    <row r="545" hidden="1">
      <c r="A545" s="82"/>
      <c r="B545" s="65" t="s">
        <v>177</v>
      </c>
      <c r="C545" s="65" t="s">
        <v>91</v>
      </c>
      <c r="D545" s="65" t="str">
        <f>vlookup(C545,'Classificação p pessoal'!F:G,2,false)</f>
        <v>NP</v>
      </c>
      <c r="E545" s="65" t="s">
        <v>283</v>
      </c>
      <c r="F545" s="83">
        <v>0.5833333333333334</v>
      </c>
      <c r="G545" s="83">
        <v>0.6041666666666666</v>
      </c>
      <c r="H545" s="83">
        <v>0.020833333333333332</v>
      </c>
      <c r="I545" s="84">
        <v>44256.0</v>
      </c>
      <c r="J545" s="65" t="b">
        <v>1</v>
      </c>
      <c r="K545" s="65"/>
      <c r="L545" s="85" t="b">
        <f>IF(VLOOKUP(C545,Projetos!A:L,12,false)=TRUE,TRUE,FALSE)</f>
        <v>1</v>
      </c>
      <c r="M545" s="74">
        <v>31.02923620430495</v>
      </c>
      <c r="N545" s="74">
        <f t="shared" si="1"/>
        <v>15.5146181</v>
      </c>
      <c r="O545" s="74" t="b">
        <v>1</v>
      </c>
    </row>
    <row r="546" hidden="1">
      <c r="A546" s="82"/>
      <c r="B546" s="65" t="s">
        <v>177</v>
      </c>
      <c r="C546" s="65" t="s">
        <v>106</v>
      </c>
      <c r="D546" s="65" t="str">
        <f>vlookup(C546,'Classificação p pessoal'!F:G,2,false)</f>
        <v>MProcesso</v>
      </c>
      <c r="E546" s="65" t="s">
        <v>223</v>
      </c>
      <c r="F546" s="83">
        <v>0.3541666666666667</v>
      </c>
      <c r="G546" s="83">
        <v>0.375</v>
      </c>
      <c r="H546" s="83">
        <v>0.020833333333333332</v>
      </c>
      <c r="I546" s="84">
        <v>44257.0</v>
      </c>
      <c r="J546" s="65" t="b">
        <v>1</v>
      </c>
      <c r="K546" s="65"/>
      <c r="L546" s="85" t="b">
        <f>IF(VLOOKUP(C546,Projetos!A:L,12,false)=TRUE,TRUE,FALSE)</f>
        <v>1</v>
      </c>
      <c r="M546" s="74">
        <v>31.02923620430495</v>
      </c>
      <c r="N546" s="74">
        <f t="shared" si="1"/>
        <v>15.5146181</v>
      </c>
      <c r="O546" s="74" t="b">
        <v>1</v>
      </c>
    </row>
    <row r="547" hidden="1">
      <c r="A547" s="82"/>
      <c r="B547" s="65" t="s">
        <v>177</v>
      </c>
      <c r="C547" s="65" t="s">
        <v>106</v>
      </c>
      <c r="D547" s="65"/>
      <c r="E547" s="65" t="s">
        <v>284</v>
      </c>
      <c r="F547" s="83">
        <v>0.375</v>
      </c>
      <c r="G547" s="83">
        <v>0.40625</v>
      </c>
      <c r="H547" s="83">
        <v>0.03125</v>
      </c>
      <c r="I547" s="84">
        <v>44257.0</v>
      </c>
      <c r="J547" s="65" t="b">
        <v>0</v>
      </c>
      <c r="K547" s="65" t="s">
        <v>150</v>
      </c>
      <c r="L547" s="85" t="b">
        <f>IF(VLOOKUP(C547,Projetos!A:L,12,false)=TRUE,TRUE,FALSE)</f>
        <v>1</v>
      </c>
      <c r="M547" s="74">
        <v>31.02923620430495</v>
      </c>
      <c r="N547" s="74">
        <f t="shared" si="1"/>
        <v>0</v>
      </c>
      <c r="O547" s="74" t="b">
        <v>1</v>
      </c>
    </row>
    <row r="548" hidden="1">
      <c r="A548" s="82"/>
      <c r="B548" s="65" t="s">
        <v>177</v>
      </c>
      <c r="C548" s="65" t="s">
        <v>100</v>
      </c>
      <c r="D548" s="65" t="str">
        <f>vlookup(C548,'Classificação p pessoal'!F:G,2,false)</f>
        <v>NP</v>
      </c>
      <c r="E548" s="65" t="s">
        <v>285</v>
      </c>
      <c r="F548" s="83">
        <v>0.40625</v>
      </c>
      <c r="G548" s="83">
        <v>0.4270833333333333</v>
      </c>
      <c r="H548" s="83">
        <v>0.020833333333333332</v>
      </c>
      <c r="I548" s="84">
        <v>44257.0</v>
      </c>
      <c r="J548" s="65" t="b">
        <v>1</v>
      </c>
      <c r="K548" s="65"/>
      <c r="L548" s="85" t="b">
        <f>IF(VLOOKUP(C548,Projetos!A:L,12,false)=TRUE,TRUE,FALSE)</f>
        <v>1</v>
      </c>
      <c r="M548" s="74">
        <v>31.02923620430495</v>
      </c>
      <c r="N548" s="74">
        <f t="shared" si="1"/>
        <v>15.5146181</v>
      </c>
      <c r="O548" s="74" t="b">
        <v>1</v>
      </c>
    </row>
    <row r="549" hidden="1">
      <c r="A549" s="82"/>
      <c r="B549" s="65" t="s">
        <v>177</v>
      </c>
      <c r="C549" s="65" t="s">
        <v>100</v>
      </c>
      <c r="D549" s="65" t="str">
        <f>vlookup(C549,'Classificação p pessoal'!F:G,2,false)</f>
        <v>NP</v>
      </c>
      <c r="E549" s="65" t="s">
        <v>286</v>
      </c>
      <c r="F549" s="83">
        <v>0.375</v>
      </c>
      <c r="G549" s="83">
        <v>0.7083333333333334</v>
      </c>
      <c r="H549" s="83">
        <v>0.3333333333333333</v>
      </c>
      <c r="I549" s="84">
        <v>44258.0</v>
      </c>
      <c r="J549" s="65" t="b">
        <v>1</v>
      </c>
      <c r="K549" s="65"/>
      <c r="L549" s="85" t="b">
        <f>IF(VLOOKUP(C549,Projetos!A:L,12,false)=TRUE,TRUE,FALSE)</f>
        <v>1</v>
      </c>
      <c r="M549" s="74">
        <v>31.02923620430495</v>
      </c>
      <c r="N549" s="74">
        <f t="shared" si="1"/>
        <v>248.2338896</v>
      </c>
      <c r="O549" s="74" t="b">
        <v>1</v>
      </c>
    </row>
    <row r="550" hidden="1">
      <c r="A550" s="82"/>
      <c r="B550" s="65" t="s">
        <v>177</v>
      </c>
      <c r="C550" s="65" t="s">
        <v>100</v>
      </c>
      <c r="D550" s="65" t="str">
        <f>vlookup(C550,'Classificação p pessoal'!F:G,2,false)</f>
        <v>NP</v>
      </c>
      <c r="E550" s="65" t="s">
        <v>286</v>
      </c>
      <c r="F550" s="83">
        <v>0.375</v>
      </c>
      <c r="G550" s="83">
        <v>0.7083333333333334</v>
      </c>
      <c r="H550" s="83">
        <v>0.3333333333333333</v>
      </c>
      <c r="I550" s="84">
        <v>44259.0</v>
      </c>
      <c r="J550" s="65" t="b">
        <v>1</v>
      </c>
      <c r="K550" s="65"/>
      <c r="L550" s="85" t="b">
        <f>IF(VLOOKUP(C550,Projetos!A:L,12,false)=TRUE,TRUE,FALSE)</f>
        <v>1</v>
      </c>
      <c r="M550" s="74">
        <v>31.02923620430495</v>
      </c>
      <c r="N550" s="74">
        <f t="shared" si="1"/>
        <v>248.2338896</v>
      </c>
      <c r="O550" s="74" t="b">
        <v>1</v>
      </c>
    </row>
    <row r="551">
      <c r="A551" s="82"/>
      <c r="B551" s="65" t="s">
        <v>177</v>
      </c>
      <c r="C551" s="65" t="s">
        <v>108</v>
      </c>
      <c r="D551" s="65" t="str">
        <f>vlookup(C551,'Classificação p pessoal'!F:G,2,false)</f>
        <v>NP</v>
      </c>
      <c r="E551" s="65" t="s">
        <v>223</v>
      </c>
      <c r="F551" s="83">
        <v>0.3958333333333333</v>
      </c>
      <c r="G551" s="83">
        <v>0.4166666666666667</v>
      </c>
      <c r="H551" s="83">
        <v>0.020833333333333332</v>
      </c>
      <c r="I551" s="84">
        <v>44259.0</v>
      </c>
      <c r="J551" s="65" t="b">
        <v>1</v>
      </c>
      <c r="K551" s="65"/>
      <c r="L551" s="85" t="b">
        <f>IF(VLOOKUP(C551,Projetos!A:L,12,false)=TRUE,TRUE,FALSE)</f>
        <v>1</v>
      </c>
      <c r="M551" s="74">
        <v>31.02923620430495</v>
      </c>
      <c r="N551" s="74">
        <f t="shared" si="1"/>
        <v>15.5146181</v>
      </c>
      <c r="O551" s="74" t="b">
        <v>1</v>
      </c>
    </row>
    <row r="552">
      <c r="A552" s="82"/>
      <c r="B552" s="65" t="s">
        <v>177</v>
      </c>
      <c r="C552" s="65" t="s">
        <v>108</v>
      </c>
      <c r="D552" s="65"/>
      <c r="E552" s="65" t="s">
        <v>287</v>
      </c>
      <c r="F552" s="83">
        <v>0.5833333333333334</v>
      </c>
      <c r="G552" s="83">
        <v>0.6041666666666666</v>
      </c>
      <c r="H552" s="83">
        <v>0.020833333333333332</v>
      </c>
      <c r="I552" s="84">
        <v>44260.0</v>
      </c>
      <c r="J552" s="65" t="b">
        <v>0</v>
      </c>
      <c r="K552" s="65" t="s">
        <v>150</v>
      </c>
      <c r="L552" s="85" t="b">
        <f>IF(VLOOKUP(C552,Projetos!A:L,12,false)=TRUE,TRUE,FALSE)</f>
        <v>1</v>
      </c>
      <c r="M552" s="74">
        <v>31.02923620430495</v>
      </c>
      <c r="N552" s="74">
        <f t="shared" si="1"/>
        <v>0</v>
      </c>
      <c r="O552" s="74" t="b">
        <v>1</v>
      </c>
    </row>
    <row r="553" hidden="1">
      <c r="A553" s="82"/>
      <c r="B553" s="65" t="s">
        <v>177</v>
      </c>
      <c r="C553" s="65" t="s">
        <v>106</v>
      </c>
      <c r="D553" s="65"/>
      <c r="E553" s="65" t="s">
        <v>288</v>
      </c>
      <c r="F553" s="83">
        <v>0.5625</v>
      </c>
      <c r="G553" s="83">
        <v>0.5833333333333334</v>
      </c>
      <c r="H553" s="83">
        <v>0.020833333333333332</v>
      </c>
      <c r="I553" s="84">
        <v>44260.0</v>
      </c>
      <c r="J553" s="65" t="b">
        <v>0</v>
      </c>
      <c r="K553" s="65" t="s">
        <v>150</v>
      </c>
      <c r="L553" s="85" t="b">
        <f>IF(VLOOKUP(C553,Projetos!A:L,12,false)=TRUE,TRUE,FALSE)</f>
        <v>1</v>
      </c>
      <c r="M553" s="74">
        <v>31.02923620430495</v>
      </c>
      <c r="N553" s="74">
        <f t="shared" si="1"/>
        <v>0</v>
      </c>
      <c r="O553" s="74" t="b">
        <v>1</v>
      </c>
    </row>
    <row r="554" hidden="1">
      <c r="A554" s="82"/>
      <c r="B554" s="65" t="s">
        <v>177</v>
      </c>
      <c r="C554" s="65" t="s">
        <v>119</v>
      </c>
      <c r="D554" s="65" t="str">
        <f>vlookup(C554,'Classificação p pessoal'!F:G,2,false)</f>
        <v>NP</v>
      </c>
      <c r="E554" s="65" t="s">
        <v>289</v>
      </c>
      <c r="F554" s="83">
        <v>0.5833333333333334</v>
      </c>
      <c r="G554" s="83">
        <v>0.625</v>
      </c>
      <c r="H554" s="83">
        <v>0.041666666666666664</v>
      </c>
      <c r="I554" s="84">
        <v>44222.0</v>
      </c>
      <c r="J554" s="65" t="b">
        <v>1</v>
      </c>
      <c r="K554" s="65"/>
      <c r="L554" s="85" t="b">
        <f>IF(VLOOKUP(C554,Projetos!A:L,12,false)=TRUE,TRUE,FALSE)</f>
        <v>1</v>
      </c>
      <c r="M554" s="74">
        <v>31.02923620430495</v>
      </c>
      <c r="N554" s="74">
        <f t="shared" si="1"/>
        <v>31.0292362</v>
      </c>
      <c r="O554" s="74" t="b">
        <v>1</v>
      </c>
    </row>
    <row r="555">
      <c r="A555" s="82"/>
      <c r="B555" s="65" t="s">
        <v>177</v>
      </c>
      <c r="C555" s="65" t="s">
        <v>108</v>
      </c>
      <c r="D555" s="65" t="str">
        <f>vlookup(C555,'Classificação p pessoal'!F:G,2,false)</f>
        <v>NP</v>
      </c>
      <c r="E555" s="65" t="s">
        <v>290</v>
      </c>
      <c r="F555" s="83">
        <v>0.6458333333333334</v>
      </c>
      <c r="G555" s="83">
        <v>0.6666666666666666</v>
      </c>
      <c r="H555" s="83">
        <v>0.020833333333333332</v>
      </c>
      <c r="I555" s="84">
        <v>44260.0</v>
      </c>
      <c r="J555" s="65" t="b">
        <v>1</v>
      </c>
      <c r="K555" s="65"/>
      <c r="L555" s="85" t="b">
        <f>IF(VLOOKUP(C555,Projetos!A:L,12,false)=TRUE,TRUE,FALSE)</f>
        <v>1</v>
      </c>
      <c r="M555" s="74">
        <v>31.02923620430495</v>
      </c>
      <c r="N555" s="74">
        <f t="shared" si="1"/>
        <v>15.5146181</v>
      </c>
      <c r="O555" s="74" t="b">
        <v>1</v>
      </c>
    </row>
    <row r="556" hidden="1">
      <c r="A556" s="82"/>
      <c r="B556" s="65" t="s">
        <v>177</v>
      </c>
      <c r="C556" s="65" t="s">
        <v>106</v>
      </c>
      <c r="D556" s="65" t="str">
        <f>vlookup(C556,'Classificação p pessoal'!F:G,2,false)</f>
        <v>MProcesso</v>
      </c>
      <c r="E556" s="65" t="s">
        <v>291</v>
      </c>
      <c r="F556" s="83">
        <v>0.5833333333333334</v>
      </c>
      <c r="G556" s="83">
        <v>0.6458333333333334</v>
      </c>
      <c r="H556" s="83">
        <v>0.0625</v>
      </c>
      <c r="I556" s="84">
        <v>44260.0</v>
      </c>
      <c r="J556" s="65" t="b">
        <v>1</v>
      </c>
      <c r="K556" s="65"/>
      <c r="L556" s="85" t="b">
        <f>IF(VLOOKUP(C556,Projetos!A:L,12,false)=TRUE,TRUE,FALSE)</f>
        <v>1</v>
      </c>
      <c r="M556" s="74">
        <v>31.02923620430495</v>
      </c>
      <c r="N556" s="74">
        <f t="shared" si="1"/>
        <v>46.54385431</v>
      </c>
      <c r="O556" s="74" t="b">
        <v>1</v>
      </c>
    </row>
    <row r="557" hidden="1">
      <c r="A557" s="82"/>
      <c r="B557" s="65" t="s">
        <v>177</v>
      </c>
      <c r="C557" s="65" t="s">
        <v>106</v>
      </c>
      <c r="D557" s="65" t="str">
        <f>vlookup(C557,'Classificação p pessoal'!F:G,2,false)</f>
        <v>MProcesso</v>
      </c>
      <c r="E557" s="65" t="s">
        <v>292</v>
      </c>
      <c r="F557" s="83">
        <v>0.3541666666666667</v>
      </c>
      <c r="G557" s="83">
        <v>0.375</v>
      </c>
      <c r="H557" s="83">
        <v>0.020833333333333332</v>
      </c>
      <c r="I557" s="84">
        <v>44263.0</v>
      </c>
      <c r="J557" s="65" t="b">
        <v>1</v>
      </c>
      <c r="K557" s="65"/>
      <c r="L557" s="85" t="b">
        <f>IF(VLOOKUP(C557,Projetos!A:L,12,false)=TRUE,TRUE,FALSE)</f>
        <v>1</v>
      </c>
      <c r="M557" s="74">
        <v>31.02923620430495</v>
      </c>
      <c r="N557" s="74">
        <f t="shared" si="1"/>
        <v>15.5146181</v>
      </c>
      <c r="O557" s="74" t="b">
        <v>1</v>
      </c>
    </row>
    <row r="558" hidden="1">
      <c r="A558" s="82"/>
      <c r="B558" s="65" t="s">
        <v>177</v>
      </c>
      <c r="C558" s="65" t="s">
        <v>106</v>
      </c>
      <c r="D558" s="65" t="str">
        <f>vlookup(C558,'Classificação p pessoal'!F:G,2,false)</f>
        <v>MProcesso</v>
      </c>
      <c r="E558" s="65" t="s">
        <v>293</v>
      </c>
      <c r="F558" s="83">
        <v>0.375</v>
      </c>
      <c r="G558" s="83">
        <v>0.4166666666666667</v>
      </c>
      <c r="H558" s="83">
        <v>0.041666666666666664</v>
      </c>
      <c r="I558" s="84">
        <v>44263.0</v>
      </c>
      <c r="J558" s="65" t="b">
        <v>1</v>
      </c>
      <c r="K558" s="65"/>
      <c r="L558" s="85" t="b">
        <f>IF(VLOOKUP(C558,Projetos!A:L,12,false)=TRUE,TRUE,FALSE)</f>
        <v>1</v>
      </c>
      <c r="M558" s="74">
        <v>31.02923620430495</v>
      </c>
      <c r="N558" s="74">
        <f t="shared" si="1"/>
        <v>31.0292362</v>
      </c>
      <c r="O558" s="74" t="b">
        <v>1</v>
      </c>
    </row>
    <row r="559" hidden="1">
      <c r="A559" s="82"/>
      <c r="B559" s="65" t="s">
        <v>177</v>
      </c>
      <c r="C559" s="65" t="s">
        <v>106</v>
      </c>
      <c r="D559" s="65" t="str">
        <f>vlookup(C559,'Classificação p pessoal'!F:G,2,false)</f>
        <v>MProcesso</v>
      </c>
      <c r="E559" s="65" t="s">
        <v>294</v>
      </c>
      <c r="F559" s="83">
        <v>0.625</v>
      </c>
      <c r="G559" s="83">
        <v>0.6666666666666666</v>
      </c>
      <c r="H559" s="83">
        <v>0.041666666666666664</v>
      </c>
      <c r="I559" s="84">
        <v>44263.0</v>
      </c>
      <c r="J559" s="65" t="b">
        <v>1</v>
      </c>
      <c r="K559" s="65"/>
      <c r="L559" s="85" t="b">
        <f>IF(VLOOKUP(C559,Projetos!A:L,12,false)=TRUE,TRUE,FALSE)</f>
        <v>1</v>
      </c>
      <c r="M559" s="74">
        <v>31.02923620430495</v>
      </c>
      <c r="N559" s="74">
        <f t="shared" si="1"/>
        <v>31.0292362</v>
      </c>
      <c r="O559" s="74" t="b">
        <v>1</v>
      </c>
    </row>
    <row r="560">
      <c r="A560" s="82"/>
      <c r="B560" s="65" t="s">
        <v>177</v>
      </c>
      <c r="C560" s="65" t="s">
        <v>108</v>
      </c>
      <c r="D560" s="65" t="str">
        <f>vlookup(C560,'Classificação p pessoal'!F:G,2,false)</f>
        <v>NP</v>
      </c>
      <c r="E560" s="65" t="s">
        <v>295</v>
      </c>
      <c r="F560" s="83">
        <v>0.6875</v>
      </c>
      <c r="G560" s="83">
        <v>0.7083333333333334</v>
      </c>
      <c r="H560" s="83">
        <v>0.020833333333333332</v>
      </c>
      <c r="I560" s="84">
        <v>44263.0</v>
      </c>
      <c r="J560" s="65" t="b">
        <v>1</v>
      </c>
      <c r="K560" s="65"/>
      <c r="L560" s="85" t="b">
        <f>IF(VLOOKUP(C560,Projetos!A:L,12,false)=TRUE,TRUE,FALSE)</f>
        <v>1</v>
      </c>
      <c r="M560" s="74">
        <v>31.02923620430495</v>
      </c>
      <c r="N560" s="74">
        <f t="shared" si="1"/>
        <v>15.5146181</v>
      </c>
      <c r="O560" s="74" t="b">
        <v>1</v>
      </c>
    </row>
    <row r="561" hidden="1">
      <c r="A561" s="82"/>
      <c r="B561" s="65" t="s">
        <v>177</v>
      </c>
      <c r="C561" s="65" t="s">
        <v>106</v>
      </c>
      <c r="D561" s="65" t="str">
        <f>vlookup(C561,'Classificação p pessoal'!F:G,2,false)</f>
        <v>MProcesso</v>
      </c>
      <c r="E561" s="65" t="s">
        <v>296</v>
      </c>
      <c r="F561" s="83">
        <v>0.3541666666666667</v>
      </c>
      <c r="G561" s="83">
        <v>0.375</v>
      </c>
      <c r="H561" s="83">
        <v>0.020833333333333332</v>
      </c>
      <c r="I561" s="84">
        <v>44264.0</v>
      </c>
      <c r="J561" s="65" t="b">
        <v>1</v>
      </c>
      <c r="K561" s="65"/>
      <c r="L561" s="85" t="b">
        <f>IF(VLOOKUP(C561,Projetos!A:L,12,false)=TRUE,TRUE,FALSE)</f>
        <v>1</v>
      </c>
      <c r="M561" s="74">
        <v>31.02923620430495</v>
      </c>
      <c r="N561" s="74">
        <f t="shared" si="1"/>
        <v>15.5146181</v>
      </c>
      <c r="O561" s="74" t="b">
        <v>1</v>
      </c>
    </row>
    <row r="562" hidden="1">
      <c r="A562" s="82"/>
      <c r="B562" s="65" t="s">
        <v>177</v>
      </c>
      <c r="C562" s="65" t="s">
        <v>106</v>
      </c>
      <c r="D562" s="65" t="str">
        <f>vlookup(C562,'Classificação p pessoal'!F:G,2,false)</f>
        <v>MProcesso</v>
      </c>
      <c r="E562" s="65" t="s">
        <v>297</v>
      </c>
      <c r="F562" s="83">
        <v>0.375</v>
      </c>
      <c r="G562" s="83">
        <v>0.3958333333333333</v>
      </c>
      <c r="H562" s="83">
        <v>0.020833333333333332</v>
      </c>
      <c r="I562" s="84">
        <v>44264.0</v>
      </c>
      <c r="J562" s="65" t="b">
        <v>1</v>
      </c>
      <c r="K562" s="65"/>
      <c r="L562" s="85" t="b">
        <f>IF(VLOOKUP(C562,Projetos!A:L,12,false)=TRUE,TRUE,FALSE)</f>
        <v>1</v>
      </c>
      <c r="M562" s="74">
        <v>31.02923620430495</v>
      </c>
      <c r="N562" s="74">
        <f t="shared" si="1"/>
        <v>15.5146181</v>
      </c>
      <c r="O562" s="74" t="b">
        <v>1</v>
      </c>
    </row>
    <row r="563" hidden="1">
      <c r="A563" s="82"/>
      <c r="B563" s="65" t="s">
        <v>177</v>
      </c>
      <c r="C563" s="65" t="s">
        <v>106</v>
      </c>
      <c r="D563" s="65"/>
      <c r="E563" s="65" t="s">
        <v>298</v>
      </c>
      <c r="F563" s="83">
        <v>0.4166666666666667</v>
      </c>
      <c r="G563" s="83">
        <v>0.4583333333333333</v>
      </c>
      <c r="H563" s="83">
        <v>0.041666666666666664</v>
      </c>
      <c r="I563" s="84">
        <v>44264.0</v>
      </c>
      <c r="J563" s="65" t="b">
        <v>0</v>
      </c>
      <c r="K563" s="65" t="s">
        <v>150</v>
      </c>
      <c r="L563" s="85" t="b">
        <f>IF(VLOOKUP(C563,Projetos!A:L,12,false)=TRUE,TRUE,FALSE)</f>
        <v>1</v>
      </c>
      <c r="M563" s="74">
        <v>31.02923620430495</v>
      </c>
      <c r="N563" s="74">
        <f t="shared" si="1"/>
        <v>0</v>
      </c>
      <c r="O563" s="74" t="b">
        <v>1</v>
      </c>
    </row>
    <row r="564" hidden="1">
      <c r="A564" s="82"/>
      <c r="B564" s="65" t="s">
        <v>177</v>
      </c>
      <c r="C564" s="65" t="s">
        <v>101</v>
      </c>
      <c r="D564" s="65" t="str">
        <f>vlookup(C564,'Classificação p pessoal'!F:G,2,false)</f>
        <v>NP</v>
      </c>
      <c r="E564" s="65" t="s">
        <v>299</v>
      </c>
      <c r="F564" s="83">
        <v>0.5833333333333334</v>
      </c>
      <c r="G564" s="83">
        <v>0.6041666666666666</v>
      </c>
      <c r="H564" s="83">
        <v>0.020833333333333332</v>
      </c>
      <c r="I564" s="84">
        <v>44265.0</v>
      </c>
      <c r="J564" s="65" t="b">
        <v>1</v>
      </c>
      <c r="K564" s="65"/>
      <c r="L564" s="85" t="b">
        <f>IF(VLOOKUP(C564,Projetos!A:L,12,false)=TRUE,TRUE,FALSE)</f>
        <v>1</v>
      </c>
      <c r="M564" s="74">
        <v>31.02923620430495</v>
      </c>
      <c r="N564" s="74">
        <f t="shared" si="1"/>
        <v>15.5146181</v>
      </c>
      <c r="O564" s="74" t="b">
        <v>1</v>
      </c>
    </row>
    <row r="565" hidden="1">
      <c r="A565" s="82"/>
      <c r="B565" s="65" t="s">
        <v>177</v>
      </c>
      <c r="C565" s="65" t="s">
        <v>106</v>
      </c>
      <c r="D565" s="65" t="str">
        <f>vlookup(C565,'Classificação p pessoal'!F:G,2,false)</f>
        <v>MProcesso</v>
      </c>
      <c r="E565" s="65" t="s">
        <v>300</v>
      </c>
      <c r="F565" s="83">
        <v>0.6041666666666666</v>
      </c>
      <c r="G565" s="83">
        <v>0.6458333333333334</v>
      </c>
      <c r="H565" s="83">
        <v>0.041666666666666664</v>
      </c>
      <c r="I565" s="84">
        <v>44265.0</v>
      </c>
      <c r="J565" s="65" t="b">
        <v>1</v>
      </c>
      <c r="K565" s="65"/>
      <c r="L565" s="85" t="b">
        <f>IF(VLOOKUP(C565,Projetos!A:L,12,false)=TRUE,TRUE,FALSE)</f>
        <v>1</v>
      </c>
      <c r="M565" s="74">
        <v>31.02923620430495</v>
      </c>
      <c r="N565" s="74">
        <f t="shared" si="1"/>
        <v>31.0292362</v>
      </c>
      <c r="O565" s="74" t="b">
        <v>1</v>
      </c>
    </row>
    <row r="566" hidden="1">
      <c r="A566" s="82"/>
      <c r="B566" s="65" t="s">
        <v>177</v>
      </c>
      <c r="C566" s="65" t="s">
        <v>118</v>
      </c>
      <c r="D566" s="65" t="str">
        <f>vlookup(C566,'Classificação p pessoal'!F:G,2,false)</f>
        <v>MProduto</v>
      </c>
      <c r="E566" s="65" t="s">
        <v>301</v>
      </c>
      <c r="F566" s="83">
        <v>0.4166666666666667</v>
      </c>
      <c r="G566" s="83">
        <v>0.5</v>
      </c>
      <c r="H566" s="83">
        <v>0.08333333333333333</v>
      </c>
      <c r="I566" s="84">
        <v>44266.0</v>
      </c>
      <c r="J566" s="65" t="b">
        <v>1</v>
      </c>
      <c r="K566" s="65"/>
      <c r="L566" s="85" t="b">
        <f>IF(VLOOKUP(C566,Projetos!A:L,12,false)=TRUE,TRUE,FALSE)</f>
        <v>1</v>
      </c>
      <c r="M566" s="74">
        <v>31.02923620430495</v>
      </c>
      <c r="N566" s="74">
        <f t="shared" si="1"/>
        <v>62.05847241</v>
      </c>
      <c r="O566" s="74" t="b">
        <v>1</v>
      </c>
    </row>
    <row r="567" hidden="1">
      <c r="A567" s="82"/>
      <c r="B567" s="65" t="s">
        <v>177</v>
      </c>
      <c r="C567" s="65" t="s">
        <v>106</v>
      </c>
      <c r="D567" s="65" t="str">
        <f>vlookup(C567,'Classificação p pessoal'!F:G,2,false)</f>
        <v>MProcesso</v>
      </c>
      <c r="E567" s="65" t="s">
        <v>302</v>
      </c>
      <c r="F567" s="83">
        <v>0.3541666666666667</v>
      </c>
      <c r="G567" s="83">
        <v>0.3958333333333333</v>
      </c>
      <c r="H567" s="83">
        <v>0.041666666666666664</v>
      </c>
      <c r="I567" s="84">
        <v>44267.0</v>
      </c>
      <c r="J567" s="65" t="b">
        <v>1</v>
      </c>
      <c r="K567" s="65"/>
      <c r="L567" s="85" t="b">
        <f>IF(VLOOKUP(C567,Projetos!A:L,12,false)=TRUE,TRUE,FALSE)</f>
        <v>1</v>
      </c>
      <c r="M567" s="74">
        <v>31.02923620430495</v>
      </c>
      <c r="N567" s="74">
        <f t="shared" si="1"/>
        <v>31.0292362</v>
      </c>
      <c r="O567" s="74" t="b">
        <v>1</v>
      </c>
    </row>
    <row r="568" hidden="1">
      <c r="A568" s="82"/>
      <c r="B568" s="65" t="s">
        <v>177</v>
      </c>
      <c r="C568" s="65" t="s">
        <v>106</v>
      </c>
      <c r="D568" s="65" t="str">
        <f>vlookup(C568,'Classificação p pessoal'!F:G,2,false)</f>
        <v>MProcesso</v>
      </c>
      <c r="E568" s="65" t="s">
        <v>303</v>
      </c>
      <c r="F568" s="83">
        <v>0.4375</v>
      </c>
      <c r="G568" s="83">
        <v>0.4583333333333333</v>
      </c>
      <c r="H568" s="83">
        <v>0.020833333333333332</v>
      </c>
      <c r="I568" s="84">
        <v>44267.0</v>
      </c>
      <c r="J568" s="65" t="b">
        <v>1</v>
      </c>
      <c r="K568" s="65"/>
      <c r="L568" s="85" t="b">
        <f>IF(VLOOKUP(C568,Projetos!A:L,12,false)=TRUE,TRUE,FALSE)</f>
        <v>1</v>
      </c>
      <c r="M568" s="74">
        <v>31.02923620430495</v>
      </c>
      <c r="N568" s="74">
        <f t="shared" si="1"/>
        <v>15.5146181</v>
      </c>
      <c r="O568" s="74" t="b">
        <v>1</v>
      </c>
    </row>
    <row r="569" hidden="1">
      <c r="A569" s="82"/>
      <c r="B569" s="65" t="s">
        <v>177</v>
      </c>
      <c r="C569" s="65" t="s">
        <v>101</v>
      </c>
      <c r="D569" s="65" t="str">
        <f>vlookup(C569,'Classificação p pessoal'!F:G,2,false)</f>
        <v>NP</v>
      </c>
      <c r="E569" s="65" t="s">
        <v>304</v>
      </c>
      <c r="F569" s="83">
        <v>0.4583333333333333</v>
      </c>
      <c r="G569" s="83">
        <v>0.5208333333333334</v>
      </c>
      <c r="H569" s="83">
        <v>0.0625</v>
      </c>
      <c r="I569" s="84">
        <v>44267.0</v>
      </c>
      <c r="J569" s="65" t="b">
        <v>1</v>
      </c>
      <c r="K569" s="65"/>
      <c r="L569" s="85" t="b">
        <f>IF(VLOOKUP(C569,Projetos!A:L,12,false)=TRUE,TRUE,FALSE)</f>
        <v>1</v>
      </c>
      <c r="M569" s="74">
        <v>31.02923620430495</v>
      </c>
      <c r="N569" s="74">
        <f t="shared" si="1"/>
        <v>46.54385431</v>
      </c>
      <c r="O569" s="74" t="b">
        <v>1</v>
      </c>
    </row>
    <row r="570" hidden="1">
      <c r="A570" s="82"/>
      <c r="B570" s="65" t="s">
        <v>177</v>
      </c>
      <c r="C570" s="65" t="s">
        <v>92</v>
      </c>
      <c r="D570" s="65"/>
      <c r="E570" s="65" t="s">
        <v>305</v>
      </c>
      <c r="F570" s="83">
        <v>0.375</v>
      </c>
      <c r="G570" s="83">
        <v>0.3958333333333333</v>
      </c>
      <c r="H570" s="83">
        <v>0.020833333333333332</v>
      </c>
      <c r="I570" s="84">
        <v>44270.0</v>
      </c>
      <c r="J570" s="65" t="b">
        <v>0</v>
      </c>
      <c r="K570" s="65" t="s">
        <v>150</v>
      </c>
      <c r="L570" s="85" t="b">
        <f>IF(VLOOKUP(C570,Projetos!A:L,12,false)=TRUE,TRUE,FALSE)</f>
        <v>1</v>
      </c>
      <c r="M570" s="74">
        <v>31.02923620430495</v>
      </c>
      <c r="N570" s="74">
        <f t="shared" si="1"/>
        <v>0</v>
      </c>
      <c r="O570" s="74" t="b">
        <v>1</v>
      </c>
    </row>
    <row r="571" hidden="1">
      <c r="A571" s="82"/>
      <c r="B571" s="65" t="s">
        <v>177</v>
      </c>
      <c r="C571" s="65" t="s">
        <v>118</v>
      </c>
      <c r="D571" s="65" t="str">
        <f>vlookup(C571,'Classificação p pessoal'!F:G,2,false)</f>
        <v>MProduto</v>
      </c>
      <c r="E571" s="65" t="s">
        <v>306</v>
      </c>
      <c r="F571" s="83">
        <v>0.3958333333333333</v>
      </c>
      <c r="G571" s="83">
        <v>0.4166666666666667</v>
      </c>
      <c r="H571" s="83">
        <v>0.020833333333333332</v>
      </c>
      <c r="I571" s="84">
        <v>44270.0</v>
      </c>
      <c r="J571" s="65" t="b">
        <v>1</v>
      </c>
      <c r="K571" s="65"/>
      <c r="L571" s="85" t="b">
        <f>IF(VLOOKUP(C571,Projetos!A:L,12,false)=TRUE,TRUE,FALSE)</f>
        <v>1</v>
      </c>
      <c r="M571" s="74">
        <v>31.02923620430495</v>
      </c>
      <c r="N571" s="74">
        <f t="shared" si="1"/>
        <v>15.5146181</v>
      </c>
      <c r="O571" s="74" t="b">
        <v>1</v>
      </c>
    </row>
    <row r="572" hidden="1">
      <c r="A572" s="82"/>
      <c r="B572" s="65" t="s">
        <v>177</v>
      </c>
      <c r="C572" s="65" t="s">
        <v>106</v>
      </c>
      <c r="D572" s="65" t="str">
        <f>vlookup(C572,'Classificação p pessoal'!F:G,2,false)</f>
        <v>MProcesso</v>
      </c>
      <c r="E572" s="65" t="s">
        <v>307</v>
      </c>
      <c r="F572" s="83">
        <v>0.4166666666666667</v>
      </c>
      <c r="G572" s="83">
        <v>0.4270833333333333</v>
      </c>
      <c r="H572" s="83">
        <v>0.010416666666666666</v>
      </c>
      <c r="I572" s="84">
        <v>44270.0</v>
      </c>
      <c r="J572" s="65" t="b">
        <v>1</v>
      </c>
      <c r="K572" s="65"/>
      <c r="L572" s="85" t="b">
        <f>IF(VLOOKUP(C572,Projetos!A:L,12,false)=TRUE,TRUE,FALSE)</f>
        <v>1</v>
      </c>
      <c r="M572" s="74">
        <v>31.02923620430495</v>
      </c>
      <c r="N572" s="74">
        <f t="shared" si="1"/>
        <v>7.757309051</v>
      </c>
      <c r="O572" s="74" t="b">
        <v>1</v>
      </c>
    </row>
    <row r="573" hidden="1">
      <c r="A573" s="82"/>
      <c r="B573" s="65" t="s">
        <v>177</v>
      </c>
      <c r="C573" s="65" t="s">
        <v>100</v>
      </c>
      <c r="D573" s="65" t="str">
        <f>vlookup(C573,'Classificação p pessoal'!F:G,2,false)</f>
        <v>NP</v>
      </c>
      <c r="E573" s="65" t="s">
        <v>308</v>
      </c>
      <c r="F573" s="83">
        <v>0.5833333333333334</v>
      </c>
      <c r="G573" s="83">
        <v>0.625</v>
      </c>
      <c r="H573" s="83">
        <v>0.041666666666666664</v>
      </c>
      <c r="I573" s="84">
        <v>44271.0</v>
      </c>
      <c r="J573" s="65" t="b">
        <v>1</v>
      </c>
      <c r="K573" s="65"/>
      <c r="L573" s="85" t="b">
        <f>IF(VLOOKUP(C573,Projetos!A:L,12,false)=TRUE,TRUE,FALSE)</f>
        <v>1</v>
      </c>
      <c r="M573" s="74">
        <v>31.02923620430495</v>
      </c>
      <c r="N573" s="74">
        <f t="shared" si="1"/>
        <v>31.0292362</v>
      </c>
      <c r="O573" s="74" t="b">
        <v>1</v>
      </c>
    </row>
    <row r="574" hidden="1">
      <c r="A574" s="82"/>
      <c r="B574" s="65" t="s">
        <v>177</v>
      </c>
      <c r="C574" s="65" t="s">
        <v>107</v>
      </c>
      <c r="D574" s="65" t="str">
        <f>vlookup(C574,'Classificação p pessoal'!F:G,2,false)</f>
        <v>NP</v>
      </c>
      <c r="E574" s="65" t="s">
        <v>309</v>
      </c>
      <c r="F574" s="83">
        <v>0.625</v>
      </c>
      <c r="G574" s="83">
        <v>0.75</v>
      </c>
      <c r="H574" s="83">
        <v>0.125</v>
      </c>
      <c r="I574" s="84">
        <v>44271.0</v>
      </c>
      <c r="J574" s="65" t="b">
        <v>1</v>
      </c>
      <c r="K574" s="65"/>
      <c r="L574" s="85" t="b">
        <f>IF(VLOOKUP(C574,Projetos!A:L,12,false)=TRUE,TRUE,FALSE)</f>
        <v>1</v>
      </c>
      <c r="M574" s="74">
        <v>31.02923620430495</v>
      </c>
      <c r="N574" s="74">
        <f t="shared" si="1"/>
        <v>93.08770861</v>
      </c>
      <c r="O574" s="74" t="b">
        <v>1</v>
      </c>
    </row>
    <row r="575" hidden="1">
      <c r="A575" s="82"/>
      <c r="B575" s="65" t="s">
        <v>177</v>
      </c>
      <c r="C575" s="65" t="s">
        <v>100</v>
      </c>
      <c r="D575" s="65" t="str">
        <f>vlookup(C575,'Classificação p pessoal'!F:G,2,false)</f>
        <v>NP</v>
      </c>
      <c r="E575" s="65" t="s">
        <v>310</v>
      </c>
      <c r="F575" s="83">
        <v>0.4583333333333333</v>
      </c>
      <c r="G575" s="83">
        <v>0.5</v>
      </c>
      <c r="H575" s="83">
        <v>0.041666666666666664</v>
      </c>
      <c r="I575" s="84">
        <v>44272.0</v>
      </c>
      <c r="J575" s="65" t="b">
        <v>1</v>
      </c>
      <c r="K575" s="65"/>
      <c r="L575" s="85" t="b">
        <f>IF(VLOOKUP(C575,Projetos!A:L,12,false)=TRUE,TRUE,FALSE)</f>
        <v>1</v>
      </c>
      <c r="M575" s="74">
        <v>31.02923620430495</v>
      </c>
      <c r="N575" s="74">
        <f t="shared" si="1"/>
        <v>31.0292362</v>
      </c>
      <c r="O575" s="74" t="b">
        <v>1</v>
      </c>
    </row>
    <row r="576" hidden="1">
      <c r="A576" s="82"/>
      <c r="B576" s="65" t="s">
        <v>177</v>
      </c>
      <c r="C576" s="65" t="s">
        <v>106</v>
      </c>
      <c r="D576" s="65"/>
      <c r="E576" s="65" t="s">
        <v>311</v>
      </c>
      <c r="F576" s="83">
        <v>0.5833333333333334</v>
      </c>
      <c r="G576" s="83">
        <v>0.625</v>
      </c>
      <c r="H576" s="83">
        <v>0.041666666666666664</v>
      </c>
      <c r="I576" s="84">
        <v>44273.0</v>
      </c>
      <c r="J576" s="65" t="b">
        <v>0</v>
      </c>
      <c r="K576" s="65" t="s">
        <v>150</v>
      </c>
      <c r="L576" s="85" t="b">
        <f>IF(VLOOKUP(C576,Projetos!A:L,12,false)=TRUE,TRUE,FALSE)</f>
        <v>1</v>
      </c>
      <c r="M576" s="74">
        <v>31.02923620430495</v>
      </c>
      <c r="N576" s="74">
        <f t="shared" si="1"/>
        <v>0</v>
      </c>
      <c r="O576" s="74" t="b">
        <v>1</v>
      </c>
    </row>
    <row r="577" hidden="1">
      <c r="A577" s="82"/>
      <c r="B577" s="65" t="s">
        <v>177</v>
      </c>
      <c r="C577" s="65" t="s">
        <v>100</v>
      </c>
      <c r="D577" s="65"/>
      <c r="E577" s="65" t="s">
        <v>270</v>
      </c>
      <c r="F577" s="83">
        <v>0.34375</v>
      </c>
      <c r="G577" s="83">
        <v>0.5416666666666666</v>
      </c>
      <c r="H577" s="83">
        <v>0.19791666666666666</v>
      </c>
      <c r="I577" s="84">
        <v>44273.0</v>
      </c>
      <c r="J577" s="65" t="b">
        <v>0</v>
      </c>
      <c r="K577" s="65" t="s">
        <v>150</v>
      </c>
      <c r="L577" s="85" t="b">
        <f>IF(VLOOKUP(C577,Projetos!A:L,12,false)=TRUE,TRUE,FALSE)</f>
        <v>1</v>
      </c>
      <c r="M577" s="74">
        <v>31.02923620430495</v>
      </c>
      <c r="N577" s="74">
        <f t="shared" si="1"/>
        <v>0</v>
      </c>
      <c r="O577" s="74" t="b">
        <v>1</v>
      </c>
    </row>
    <row r="578">
      <c r="A578" s="82"/>
      <c r="B578" s="65" t="s">
        <v>177</v>
      </c>
      <c r="C578" s="65" t="s">
        <v>108</v>
      </c>
      <c r="D578" s="65" t="str">
        <f>vlookup(C578,'Classificação p pessoal'!F:G,2,false)</f>
        <v>NP</v>
      </c>
      <c r="E578" s="65" t="s">
        <v>312</v>
      </c>
      <c r="F578" s="83">
        <v>0.625</v>
      </c>
      <c r="G578" s="83">
        <v>0.625</v>
      </c>
      <c r="H578" s="83">
        <v>0.0</v>
      </c>
      <c r="I578" s="84">
        <v>44273.0</v>
      </c>
      <c r="J578" s="65" t="b">
        <v>1</v>
      </c>
      <c r="K578" s="65"/>
      <c r="L578" s="85" t="b">
        <f>IF(VLOOKUP(C578,Projetos!A:L,12,false)=TRUE,TRUE,FALSE)</f>
        <v>1</v>
      </c>
      <c r="M578" s="74">
        <v>31.02923620430495</v>
      </c>
      <c r="N578" s="74">
        <f t="shared" si="1"/>
        <v>0</v>
      </c>
      <c r="O578" s="74" t="b">
        <v>1</v>
      </c>
    </row>
    <row r="579" hidden="1">
      <c r="A579" s="82"/>
      <c r="B579" s="65" t="s">
        <v>177</v>
      </c>
      <c r="C579" s="65" t="s">
        <v>106</v>
      </c>
      <c r="D579" s="65" t="str">
        <f>vlookup(C579,'Classificação p pessoal'!F:G,2,false)</f>
        <v>MProcesso</v>
      </c>
      <c r="E579" s="65" t="s">
        <v>313</v>
      </c>
      <c r="F579" s="83">
        <v>0.3541666666666667</v>
      </c>
      <c r="G579" s="83">
        <v>0.4375</v>
      </c>
      <c r="H579" s="83">
        <v>0.08333333333333333</v>
      </c>
      <c r="I579" s="84">
        <v>44274.0</v>
      </c>
      <c r="J579" s="65" t="b">
        <v>1</v>
      </c>
      <c r="K579" s="65"/>
      <c r="L579" s="85" t="b">
        <f>IF(VLOOKUP(C579,Projetos!A:L,12,false)=TRUE,TRUE,FALSE)</f>
        <v>1</v>
      </c>
      <c r="M579" s="74">
        <v>31.02923620430495</v>
      </c>
      <c r="N579" s="74">
        <f t="shared" si="1"/>
        <v>62.05847241</v>
      </c>
      <c r="O579" s="74" t="b">
        <v>1</v>
      </c>
    </row>
    <row r="580" hidden="1">
      <c r="A580" s="82"/>
      <c r="B580" s="65" t="s">
        <v>177</v>
      </c>
      <c r="C580" s="65" t="s">
        <v>106</v>
      </c>
      <c r="D580" s="65" t="str">
        <f>vlookup(C580,'Classificação p pessoal'!F:G,2,false)</f>
        <v>MProcesso</v>
      </c>
      <c r="E580" s="65" t="s">
        <v>314</v>
      </c>
      <c r="F580" s="83">
        <v>0.5833333333333334</v>
      </c>
      <c r="G580" s="83">
        <v>0.6041666666666666</v>
      </c>
      <c r="H580" s="83">
        <v>0.020833333333333332</v>
      </c>
      <c r="I580" s="84">
        <v>44274.0</v>
      </c>
      <c r="J580" s="65" t="b">
        <v>1</v>
      </c>
      <c r="K580" s="65"/>
      <c r="L580" s="85" t="b">
        <f>IF(VLOOKUP(C580,Projetos!A:L,12,false)=TRUE,TRUE,FALSE)</f>
        <v>1</v>
      </c>
      <c r="M580" s="74">
        <v>31.02923620430495</v>
      </c>
      <c r="N580" s="74">
        <f t="shared" si="1"/>
        <v>15.5146181</v>
      </c>
      <c r="O580" s="74" t="b">
        <v>1</v>
      </c>
    </row>
    <row r="581" hidden="1">
      <c r="A581" s="82"/>
      <c r="B581" s="65" t="s">
        <v>177</v>
      </c>
      <c r="C581" s="65" t="s">
        <v>106</v>
      </c>
      <c r="D581" s="65" t="str">
        <f>vlookup(C581,'Classificação p pessoal'!F:G,2,false)</f>
        <v>MProcesso</v>
      </c>
      <c r="E581" s="65" t="s">
        <v>315</v>
      </c>
      <c r="F581" s="83">
        <v>0.4375</v>
      </c>
      <c r="G581" s="83">
        <v>0.5</v>
      </c>
      <c r="H581" s="83">
        <v>0.0625</v>
      </c>
      <c r="I581" s="84">
        <v>44274.0</v>
      </c>
      <c r="J581" s="65" t="b">
        <v>1</v>
      </c>
      <c r="K581" s="65"/>
      <c r="L581" s="85" t="b">
        <f>IF(VLOOKUP(C581,Projetos!A:L,12,false)=TRUE,TRUE,FALSE)</f>
        <v>1</v>
      </c>
      <c r="M581" s="74">
        <v>31.02923620430495</v>
      </c>
      <c r="N581" s="74">
        <f t="shared" si="1"/>
        <v>46.54385431</v>
      </c>
      <c r="O581" s="74" t="b">
        <v>1</v>
      </c>
    </row>
    <row r="582" hidden="1">
      <c r="A582" s="82"/>
      <c r="B582" s="65" t="s">
        <v>177</v>
      </c>
      <c r="C582" s="65" t="s">
        <v>106</v>
      </c>
      <c r="D582" s="65" t="str">
        <f>vlookup(C582,'Classificação p pessoal'!F:G,2,false)</f>
        <v>MProcesso</v>
      </c>
      <c r="E582" s="65" t="s">
        <v>316</v>
      </c>
      <c r="F582" s="83">
        <v>0.6041666666666666</v>
      </c>
      <c r="G582" s="83">
        <v>0.6458333333333334</v>
      </c>
      <c r="H582" s="83">
        <v>0.041666666666666664</v>
      </c>
      <c r="I582" s="84">
        <v>44274.0</v>
      </c>
      <c r="J582" s="65" t="b">
        <v>1</v>
      </c>
      <c r="K582" s="65"/>
      <c r="L582" s="85" t="b">
        <f>IF(VLOOKUP(C582,Projetos!A:L,12,false)=TRUE,TRUE,FALSE)</f>
        <v>1</v>
      </c>
      <c r="M582" s="74">
        <v>31.02923620430495</v>
      </c>
      <c r="N582" s="74">
        <f t="shared" si="1"/>
        <v>31.0292362</v>
      </c>
      <c r="O582" s="74" t="b">
        <v>1</v>
      </c>
    </row>
    <row r="583">
      <c r="A583" s="82"/>
      <c r="B583" s="65" t="s">
        <v>177</v>
      </c>
      <c r="C583" s="65" t="s">
        <v>108</v>
      </c>
      <c r="D583" s="65" t="str">
        <f>vlookup(C583,'Classificação p pessoal'!F:G,2,false)</f>
        <v>NP</v>
      </c>
      <c r="E583" s="65" t="s">
        <v>317</v>
      </c>
      <c r="F583" s="83">
        <v>0.3541666666666667</v>
      </c>
      <c r="G583" s="83">
        <v>0.375</v>
      </c>
      <c r="H583" s="83">
        <v>0.020833333333333332</v>
      </c>
      <c r="I583" s="84">
        <v>44277.0</v>
      </c>
      <c r="J583" s="65" t="b">
        <v>1</v>
      </c>
      <c r="K583" s="65"/>
      <c r="L583" s="85" t="b">
        <f>IF(VLOOKUP(C583,Projetos!A:L,12,false)=TRUE,TRUE,FALSE)</f>
        <v>1</v>
      </c>
      <c r="M583" s="74">
        <v>31.02923620430495</v>
      </c>
      <c r="N583" s="74">
        <f t="shared" si="1"/>
        <v>15.5146181</v>
      </c>
      <c r="O583" s="74" t="b">
        <v>1</v>
      </c>
    </row>
    <row r="584" hidden="1">
      <c r="A584" s="82"/>
      <c r="B584" s="65" t="s">
        <v>177</v>
      </c>
      <c r="C584" s="65" t="s">
        <v>106</v>
      </c>
      <c r="D584" s="65" t="str">
        <f>vlookup(C584,'Classificação p pessoal'!F:G,2,false)</f>
        <v>MProcesso</v>
      </c>
      <c r="E584" s="65" t="s">
        <v>318</v>
      </c>
      <c r="F584" s="83">
        <v>0.7083333333333334</v>
      </c>
      <c r="G584" s="83">
        <v>0.7291666666666666</v>
      </c>
      <c r="H584" s="83">
        <v>0.020833333333333332</v>
      </c>
      <c r="I584" s="84">
        <v>44278.0</v>
      </c>
      <c r="J584" s="65" t="b">
        <v>1</v>
      </c>
      <c r="K584" s="65"/>
      <c r="L584" s="85" t="b">
        <f>IF(VLOOKUP(C584,Projetos!A:L,12,false)=TRUE,TRUE,FALSE)</f>
        <v>1</v>
      </c>
      <c r="M584" s="74">
        <v>31.02923620430495</v>
      </c>
      <c r="N584" s="74">
        <f t="shared" si="1"/>
        <v>15.5146181</v>
      </c>
      <c r="O584" s="74" t="b">
        <v>1</v>
      </c>
    </row>
    <row r="585" hidden="1">
      <c r="A585" s="82"/>
      <c r="B585" s="65" t="s">
        <v>177</v>
      </c>
      <c r="C585" s="65" t="s">
        <v>106</v>
      </c>
      <c r="D585" s="65" t="str">
        <f>vlookup(C585,'Classificação p pessoal'!F:G,2,false)</f>
        <v>MProcesso</v>
      </c>
      <c r="E585" s="65" t="s">
        <v>319</v>
      </c>
      <c r="F585" s="83">
        <v>0.375</v>
      </c>
      <c r="G585" s="83">
        <v>0.4166666666666667</v>
      </c>
      <c r="H585" s="83">
        <v>0.041666666666666664</v>
      </c>
      <c r="I585" s="84">
        <v>44279.0</v>
      </c>
      <c r="J585" s="65" t="b">
        <v>1</v>
      </c>
      <c r="K585" s="65"/>
      <c r="L585" s="85" t="b">
        <f>IF(VLOOKUP(C585,Projetos!A:L,12,false)=TRUE,TRUE,FALSE)</f>
        <v>1</v>
      </c>
      <c r="M585" s="74">
        <v>31.02923620430495</v>
      </c>
      <c r="N585" s="74">
        <f t="shared" si="1"/>
        <v>31.0292362</v>
      </c>
      <c r="O585" s="74" t="b">
        <v>1</v>
      </c>
    </row>
    <row r="586" hidden="1">
      <c r="A586" s="82"/>
      <c r="B586" s="65" t="s">
        <v>177</v>
      </c>
      <c r="C586" s="65" t="s">
        <v>107</v>
      </c>
      <c r="D586" s="65" t="str">
        <f>vlookup(C586,'Classificação p pessoal'!F:G,2,false)</f>
        <v>NP</v>
      </c>
      <c r="E586" s="65" t="s">
        <v>320</v>
      </c>
      <c r="F586" s="83">
        <v>0.4166666666666667</v>
      </c>
      <c r="G586" s="83">
        <v>0.5</v>
      </c>
      <c r="H586" s="83">
        <v>0.08333333333333333</v>
      </c>
      <c r="I586" s="84">
        <v>44279.0</v>
      </c>
      <c r="J586" s="65" t="b">
        <v>1</v>
      </c>
      <c r="K586" s="65"/>
      <c r="L586" s="85" t="b">
        <f>IF(VLOOKUP(C586,Projetos!A:L,12,false)=TRUE,TRUE,FALSE)</f>
        <v>1</v>
      </c>
      <c r="M586" s="74">
        <v>31.02923620430495</v>
      </c>
      <c r="N586" s="74">
        <f t="shared" si="1"/>
        <v>62.05847241</v>
      </c>
      <c r="O586" s="74" t="b">
        <v>1</v>
      </c>
    </row>
    <row r="587" hidden="1">
      <c r="A587" s="82"/>
      <c r="B587" s="65" t="s">
        <v>177</v>
      </c>
      <c r="C587" s="65" t="s">
        <v>100</v>
      </c>
      <c r="D587" s="65"/>
      <c r="E587" s="65" t="s">
        <v>321</v>
      </c>
      <c r="F587" s="83">
        <v>0.625</v>
      </c>
      <c r="G587" s="83">
        <v>0.6458333333333334</v>
      </c>
      <c r="H587" s="83">
        <v>0.020833333333333332</v>
      </c>
      <c r="I587" s="84">
        <v>44364.0</v>
      </c>
      <c r="J587" s="65" t="b">
        <v>0</v>
      </c>
      <c r="K587" s="65" t="s">
        <v>150</v>
      </c>
      <c r="L587" s="85" t="b">
        <f>IF(VLOOKUP(C587,Projetos!A:L,12,false)=TRUE,TRUE,FALSE)</f>
        <v>1</v>
      </c>
      <c r="M587" s="74">
        <v>31.02923620430495</v>
      </c>
      <c r="N587" s="74">
        <f t="shared" si="1"/>
        <v>0</v>
      </c>
      <c r="O587" s="74" t="b">
        <v>1</v>
      </c>
    </row>
    <row r="588" hidden="1">
      <c r="A588" s="82"/>
      <c r="B588" s="65" t="s">
        <v>177</v>
      </c>
      <c r="C588" s="65" t="s">
        <v>107</v>
      </c>
      <c r="D588" s="65" t="str">
        <f>vlookup(C588,'Classificação p pessoal'!F:G,2,false)</f>
        <v>NP</v>
      </c>
      <c r="E588" s="65" t="s">
        <v>322</v>
      </c>
      <c r="F588" s="83">
        <v>0.625</v>
      </c>
      <c r="G588" s="83">
        <v>0.6666666666666666</v>
      </c>
      <c r="H588" s="83">
        <v>0.041666666666666664</v>
      </c>
      <c r="I588" s="84">
        <v>44280.0</v>
      </c>
      <c r="J588" s="65" t="b">
        <v>1</v>
      </c>
      <c r="K588" s="65"/>
      <c r="L588" s="85" t="b">
        <f>IF(VLOOKUP(C588,Projetos!A:L,12,false)=TRUE,TRUE,FALSE)</f>
        <v>1</v>
      </c>
      <c r="M588" s="74">
        <v>31.02923620430495</v>
      </c>
      <c r="N588" s="74">
        <f t="shared" si="1"/>
        <v>31.0292362</v>
      </c>
      <c r="O588" s="74" t="b">
        <v>1</v>
      </c>
    </row>
    <row r="589">
      <c r="A589" s="82"/>
      <c r="B589" s="65" t="s">
        <v>177</v>
      </c>
      <c r="C589" s="65" t="s">
        <v>108</v>
      </c>
      <c r="D589" s="65" t="str">
        <f>vlookup(C589,'Classificação p pessoal'!F:G,2,false)</f>
        <v>NP</v>
      </c>
      <c r="E589" s="65" t="s">
        <v>323</v>
      </c>
      <c r="F589" s="83">
        <v>0.3541666666666667</v>
      </c>
      <c r="G589" s="83">
        <v>0.375</v>
      </c>
      <c r="H589" s="83">
        <v>0.020833333333333332</v>
      </c>
      <c r="I589" s="84">
        <v>44281.0</v>
      </c>
      <c r="J589" s="65" t="b">
        <v>1</v>
      </c>
      <c r="K589" s="65"/>
      <c r="L589" s="85" t="b">
        <f>IF(VLOOKUP(C589,Projetos!A:L,12,false)=TRUE,TRUE,FALSE)</f>
        <v>1</v>
      </c>
      <c r="M589" s="74">
        <v>31.02923620430495</v>
      </c>
      <c r="N589" s="74">
        <f t="shared" si="1"/>
        <v>15.5146181</v>
      </c>
      <c r="O589" s="74" t="b">
        <v>1</v>
      </c>
    </row>
    <row r="590" hidden="1">
      <c r="A590" s="82"/>
      <c r="B590" s="65" t="s">
        <v>177</v>
      </c>
      <c r="C590" s="65" t="s">
        <v>106</v>
      </c>
      <c r="D590" s="65" t="str">
        <f>vlookup(C590,'Classificação p pessoal'!F:G,2,false)</f>
        <v>MProcesso</v>
      </c>
      <c r="E590" s="65" t="s">
        <v>318</v>
      </c>
      <c r="F590" s="83">
        <v>0.375</v>
      </c>
      <c r="G590" s="83">
        <v>0.3958333333333333</v>
      </c>
      <c r="H590" s="83">
        <v>0.020833333333333332</v>
      </c>
      <c r="I590" s="84">
        <v>44281.0</v>
      </c>
      <c r="J590" s="65" t="b">
        <v>1</v>
      </c>
      <c r="K590" s="65"/>
      <c r="L590" s="85" t="b">
        <f>IF(VLOOKUP(C590,Projetos!A:L,12,false)=TRUE,TRUE,FALSE)</f>
        <v>1</v>
      </c>
      <c r="M590" s="74">
        <v>31.02923620430495</v>
      </c>
      <c r="N590" s="74">
        <f t="shared" si="1"/>
        <v>15.5146181</v>
      </c>
      <c r="O590" s="74" t="b">
        <v>1</v>
      </c>
    </row>
    <row r="591" hidden="1">
      <c r="A591" s="82"/>
      <c r="B591" s="65" t="s">
        <v>177</v>
      </c>
      <c r="C591" s="65" t="s">
        <v>100</v>
      </c>
      <c r="D591" s="65" t="str">
        <f>vlookup(C591,'Classificação p pessoal'!F:G,2,false)</f>
        <v>NP</v>
      </c>
      <c r="E591" s="65" t="s">
        <v>324</v>
      </c>
      <c r="F591" s="83">
        <v>0.6666666666666666</v>
      </c>
      <c r="G591" s="83">
        <v>0.75</v>
      </c>
      <c r="H591" s="83">
        <v>0.08333333333333333</v>
      </c>
      <c r="I591" s="84">
        <v>44281.0</v>
      </c>
      <c r="J591" s="65" t="b">
        <v>1</v>
      </c>
      <c r="K591" s="65"/>
      <c r="L591" s="85" t="b">
        <f>IF(VLOOKUP(C591,Projetos!A:L,12,false)=TRUE,TRUE,FALSE)</f>
        <v>1</v>
      </c>
      <c r="M591" s="74">
        <v>31.02923620430495</v>
      </c>
      <c r="N591" s="74">
        <f t="shared" si="1"/>
        <v>62.05847241</v>
      </c>
      <c r="O591" s="74" t="b">
        <v>1</v>
      </c>
    </row>
    <row r="592" hidden="1">
      <c r="A592" s="82"/>
      <c r="B592" s="65" t="s">
        <v>177</v>
      </c>
      <c r="C592" s="65" t="s">
        <v>107</v>
      </c>
      <c r="D592" s="65" t="str">
        <f>vlookup(C592,'Classificação p pessoal'!F:G,2,false)</f>
        <v>NP</v>
      </c>
      <c r="E592" s="65" t="s">
        <v>325</v>
      </c>
      <c r="F592" s="83">
        <v>0.4583333333333333</v>
      </c>
      <c r="G592" s="83">
        <v>0.6666666666666666</v>
      </c>
      <c r="H592" s="83">
        <v>0.20833333333333334</v>
      </c>
      <c r="I592" s="84">
        <v>44281.0</v>
      </c>
      <c r="J592" s="65" t="b">
        <v>1</v>
      </c>
      <c r="K592" s="65"/>
      <c r="L592" s="85" t="b">
        <f>IF(VLOOKUP(C592,Projetos!A:L,12,false)=TRUE,TRUE,FALSE)</f>
        <v>1</v>
      </c>
      <c r="M592" s="74">
        <v>31.02923620430495</v>
      </c>
      <c r="N592" s="74">
        <f t="shared" si="1"/>
        <v>155.146181</v>
      </c>
      <c r="O592" s="74" t="b">
        <v>1</v>
      </c>
    </row>
    <row r="593" hidden="1">
      <c r="A593" s="82"/>
      <c r="B593" s="65" t="s">
        <v>177</v>
      </c>
      <c r="C593" s="65" t="s">
        <v>106</v>
      </c>
      <c r="D593" s="65" t="str">
        <f>vlookup(C593,'Classificação p pessoal'!F:G,2,false)</f>
        <v>MProcesso</v>
      </c>
      <c r="E593" s="65" t="s">
        <v>326</v>
      </c>
      <c r="F593" s="83">
        <v>0.3541666666666667</v>
      </c>
      <c r="G593" s="83">
        <v>0.4375</v>
      </c>
      <c r="H593" s="83">
        <v>0.08333333333333333</v>
      </c>
      <c r="I593" s="84">
        <v>44284.0</v>
      </c>
      <c r="J593" s="65" t="b">
        <v>1</v>
      </c>
      <c r="K593" s="65"/>
      <c r="L593" s="85" t="b">
        <f>IF(VLOOKUP(C593,Projetos!A:L,12,false)=TRUE,TRUE,FALSE)</f>
        <v>1</v>
      </c>
      <c r="M593" s="74">
        <v>31.02923620430495</v>
      </c>
      <c r="N593" s="74">
        <f t="shared" si="1"/>
        <v>62.05847241</v>
      </c>
      <c r="O593" s="74" t="b">
        <v>1</v>
      </c>
    </row>
    <row r="594" hidden="1">
      <c r="A594" s="82"/>
      <c r="B594" s="65" t="s">
        <v>177</v>
      </c>
      <c r="C594" s="65" t="s">
        <v>106</v>
      </c>
      <c r="D594" s="65" t="str">
        <f>vlookup(C594,'Classificação p pessoal'!F:G,2,false)</f>
        <v>MProcesso</v>
      </c>
      <c r="E594" s="65" t="s">
        <v>327</v>
      </c>
      <c r="F594" s="83">
        <v>0.4375</v>
      </c>
      <c r="G594" s="83">
        <v>0.4583333333333333</v>
      </c>
      <c r="H594" s="83">
        <v>0.020833333333333332</v>
      </c>
      <c r="I594" s="84">
        <v>44284.0</v>
      </c>
      <c r="J594" s="65" t="b">
        <v>1</v>
      </c>
      <c r="K594" s="65"/>
      <c r="L594" s="85" t="b">
        <f>IF(VLOOKUP(C594,Projetos!A:L,12,false)=TRUE,TRUE,FALSE)</f>
        <v>1</v>
      </c>
      <c r="M594" s="74">
        <v>31.02923620430495</v>
      </c>
      <c r="N594" s="74">
        <f t="shared" si="1"/>
        <v>15.5146181</v>
      </c>
      <c r="O594" s="74" t="b">
        <v>1</v>
      </c>
    </row>
    <row r="595" hidden="1">
      <c r="A595" s="82"/>
      <c r="B595" s="65" t="s">
        <v>177</v>
      </c>
      <c r="C595" s="65" t="s">
        <v>106</v>
      </c>
      <c r="D595" s="65"/>
      <c r="E595" s="65" t="s">
        <v>328</v>
      </c>
      <c r="F595" s="83">
        <v>0.3541666666666667</v>
      </c>
      <c r="G595" s="83">
        <v>0.375</v>
      </c>
      <c r="H595" s="83">
        <v>0.020833333333333332</v>
      </c>
      <c r="I595" s="84">
        <v>44285.0</v>
      </c>
      <c r="J595" s="65" t="b">
        <v>0</v>
      </c>
      <c r="K595" s="65" t="s">
        <v>150</v>
      </c>
      <c r="L595" s="85" t="b">
        <f>IF(VLOOKUP(C595,Projetos!A:L,12,false)=TRUE,TRUE,FALSE)</f>
        <v>1</v>
      </c>
      <c r="M595" s="74">
        <v>31.02923620430495</v>
      </c>
      <c r="N595" s="74">
        <f t="shared" si="1"/>
        <v>0</v>
      </c>
      <c r="O595" s="74" t="b">
        <v>1</v>
      </c>
    </row>
    <row r="596" hidden="1">
      <c r="A596" s="82"/>
      <c r="B596" s="65" t="s">
        <v>177</v>
      </c>
      <c r="C596" s="65" t="s">
        <v>92</v>
      </c>
      <c r="D596" s="65" t="str">
        <f>vlookup(C596,'Classificação p pessoal'!F:G,2,false)</f>
        <v/>
      </c>
      <c r="E596" s="65" t="s">
        <v>329</v>
      </c>
      <c r="F596" s="83">
        <v>0.375</v>
      </c>
      <c r="G596" s="83">
        <v>0.3958333333333333</v>
      </c>
      <c r="H596" s="83">
        <v>0.020833333333333332</v>
      </c>
      <c r="I596" s="84">
        <v>44285.0</v>
      </c>
      <c r="J596" s="65" t="b">
        <v>1</v>
      </c>
      <c r="K596" s="65"/>
      <c r="L596" s="85" t="b">
        <f>IF(VLOOKUP(C596,Projetos!A:L,12,false)=TRUE,TRUE,FALSE)</f>
        <v>1</v>
      </c>
      <c r="M596" s="74">
        <v>31.02923620430495</v>
      </c>
      <c r="N596" s="74">
        <f t="shared" si="1"/>
        <v>15.5146181</v>
      </c>
      <c r="O596" s="74" t="b">
        <v>1</v>
      </c>
    </row>
    <row r="597">
      <c r="A597" s="82"/>
      <c r="B597" s="65" t="s">
        <v>177</v>
      </c>
      <c r="C597" s="65" t="s">
        <v>108</v>
      </c>
      <c r="D597" s="65" t="str">
        <f>vlookup(C597,'Classificação p pessoal'!F:G,2,false)</f>
        <v>NP</v>
      </c>
      <c r="E597" s="65" t="s">
        <v>330</v>
      </c>
      <c r="F597" s="83">
        <v>0.6041666666666666</v>
      </c>
      <c r="G597" s="83">
        <v>0.6458333333333334</v>
      </c>
      <c r="H597" s="83">
        <v>0.041666666666666664</v>
      </c>
      <c r="I597" s="84">
        <v>44207.0</v>
      </c>
      <c r="J597" s="65" t="b">
        <v>1</v>
      </c>
      <c r="K597" s="65"/>
      <c r="L597" s="85" t="b">
        <f>IF(VLOOKUP(C597,Projetos!A:L,12,false)=TRUE,TRUE,FALSE)</f>
        <v>1</v>
      </c>
      <c r="M597" s="74">
        <v>31.02923620430495</v>
      </c>
      <c r="N597" s="74">
        <f t="shared" si="1"/>
        <v>31.0292362</v>
      </c>
      <c r="O597" s="74" t="b">
        <v>1</v>
      </c>
    </row>
    <row r="598">
      <c r="A598" s="82"/>
      <c r="B598" s="65" t="s">
        <v>177</v>
      </c>
      <c r="C598" s="65" t="s">
        <v>108</v>
      </c>
      <c r="D598" s="65" t="str">
        <f>vlookup(C598,'Classificação p pessoal'!F:G,2,false)</f>
        <v>NP</v>
      </c>
      <c r="E598" s="65" t="s">
        <v>331</v>
      </c>
      <c r="F598" s="83">
        <v>0.3958333333333333</v>
      </c>
      <c r="G598" s="83">
        <v>0.4375</v>
      </c>
      <c r="H598" s="83">
        <v>0.041666666666666664</v>
      </c>
      <c r="I598" s="84">
        <v>44285.0</v>
      </c>
      <c r="J598" s="65" t="b">
        <v>1</v>
      </c>
      <c r="K598" s="65"/>
      <c r="L598" s="85" t="b">
        <f>IF(VLOOKUP(C598,Projetos!A:L,12,false)=TRUE,TRUE,FALSE)</f>
        <v>1</v>
      </c>
      <c r="M598" s="74">
        <v>31.02923620430495</v>
      </c>
      <c r="N598" s="74">
        <f t="shared" si="1"/>
        <v>31.0292362</v>
      </c>
      <c r="O598" s="74" t="b">
        <v>1</v>
      </c>
    </row>
    <row r="599" hidden="1">
      <c r="A599" s="82"/>
      <c r="B599" s="65" t="s">
        <v>177</v>
      </c>
      <c r="C599" s="65" t="s">
        <v>106</v>
      </c>
      <c r="D599" s="65" t="str">
        <f>vlookup(C599,'Classificação p pessoal'!F:G,2,false)</f>
        <v>MProcesso</v>
      </c>
      <c r="E599" s="65" t="s">
        <v>332</v>
      </c>
      <c r="F599" s="83">
        <v>0.4166666666666667</v>
      </c>
      <c r="G599" s="83">
        <v>0.75</v>
      </c>
      <c r="H599" s="83">
        <v>0.3333333333333333</v>
      </c>
      <c r="I599" s="84">
        <v>44287.0</v>
      </c>
      <c r="J599" s="65" t="b">
        <v>1</v>
      </c>
      <c r="K599" s="65"/>
      <c r="L599" s="85" t="b">
        <f>IF(VLOOKUP(C599,Projetos!A:L,12,false)=TRUE,TRUE,FALSE)</f>
        <v>1</v>
      </c>
      <c r="M599" s="74">
        <v>31.02923620430495</v>
      </c>
      <c r="N599" s="74">
        <f t="shared" si="1"/>
        <v>248.2338896</v>
      </c>
      <c r="O599" s="74" t="b">
        <v>1</v>
      </c>
    </row>
    <row r="600" hidden="1">
      <c r="A600" s="82"/>
      <c r="B600" s="65" t="s">
        <v>177</v>
      </c>
      <c r="C600" s="65" t="s">
        <v>152</v>
      </c>
      <c r="D600" s="65" t="str">
        <f>vlookup(C600,'Classificação p pessoal'!F:G,2,false)</f>
        <v>MProduto</v>
      </c>
      <c r="E600" s="65" t="s">
        <v>333</v>
      </c>
      <c r="F600" s="83">
        <v>0.375</v>
      </c>
      <c r="G600" s="83">
        <v>0.4166666666666667</v>
      </c>
      <c r="H600" s="83">
        <v>0.041666666666666664</v>
      </c>
      <c r="I600" s="84">
        <v>44287.0</v>
      </c>
      <c r="J600" s="65" t="b">
        <v>1</v>
      </c>
      <c r="K600" s="65"/>
      <c r="L600" s="85" t="b">
        <f>IF(VLOOKUP(C600,Projetos!A:L,12,false)=TRUE,TRUE,FALSE)</f>
        <v>1</v>
      </c>
      <c r="M600" s="74">
        <v>31.02923620430495</v>
      </c>
      <c r="N600" s="74">
        <f t="shared" si="1"/>
        <v>31.0292362</v>
      </c>
      <c r="O600" s="74" t="b">
        <v>1</v>
      </c>
    </row>
    <row r="601" hidden="1">
      <c r="A601" s="82"/>
      <c r="B601" s="65" t="s">
        <v>177</v>
      </c>
      <c r="C601" s="65" t="s">
        <v>92</v>
      </c>
      <c r="D601" s="65" t="str">
        <f>vlookup(C601,'Classificação p pessoal'!F:G,2,false)</f>
        <v/>
      </c>
      <c r="E601" s="65" t="s">
        <v>334</v>
      </c>
      <c r="F601" s="83">
        <v>0.3541666666666667</v>
      </c>
      <c r="G601" s="83">
        <v>0.375</v>
      </c>
      <c r="H601" s="83">
        <v>0.020833333333333332</v>
      </c>
      <c r="I601" s="84">
        <v>44291.0</v>
      </c>
      <c r="J601" s="65" t="b">
        <v>1</v>
      </c>
      <c r="K601" s="65"/>
      <c r="L601" s="85" t="b">
        <f>IF(VLOOKUP(C601,Projetos!A:L,12,false)=TRUE,TRUE,FALSE)</f>
        <v>1</v>
      </c>
      <c r="M601" s="74">
        <v>31.02923620430495</v>
      </c>
      <c r="N601" s="74">
        <f t="shared" si="1"/>
        <v>15.5146181</v>
      </c>
      <c r="O601" s="74" t="b">
        <v>1</v>
      </c>
    </row>
    <row r="602" hidden="1">
      <c r="A602" s="82"/>
      <c r="B602" s="65" t="s">
        <v>177</v>
      </c>
      <c r="C602" s="65" t="s">
        <v>118</v>
      </c>
      <c r="D602" s="65"/>
      <c r="E602" s="65" t="s">
        <v>335</v>
      </c>
      <c r="F602" s="83">
        <v>0.3541666666666667</v>
      </c>
      <c r="G602" s="83">
        <v>0.3958333333333333</v>
      </c>
      <c r="H602" s="83">
        <v>0.041666666666666664</v>
      </c>
      <c r="I602" s="84">
        <v>44292.0</v>
      </c>
      <c r="J602" s="65" t="b">
        <v>0</v>
      </c>
      <c r="K602" s="65" t="s">
        <v>150</v>
      </c>
      <c r="L602" s="85" t="b">
        <f>IF(VLOOKUP(C602,Projetos!A:L,12,false)=TRUE,TRUE,FALSE)</f>
        <v>1</v>
      </c>
      <c r="M602" s="74">
        <v>31.02923620430495</v>
      </c>
      <c r="N602" s="74">
        <f t="shared" si="1"/>
        <v>0</v>
      </c>
      <c r="O602" s="74" t="b">
        <v>1</v>
      </c>
    </row>
    <row r="603" hidden="1">
      <c r="A603" s="82"/>
      <c r="B603" s="65" t="s">
        <v>177</v>
      </c>
      <c r="C603" s="65" t="s">
        <v>107</v>
      </c>
      <c r="D603" s="65" t="str">
        <f>vlookup(C603,'Classificação p pessoal'!F:G,2,false)</f>
        <v>NP</v>
      </c>
      <c r="E603" s="65" t="s">
        <v>336</v>
      </c>
      <c r="F603" s="83">
        <v>0.5833333333333334</v>
      </c>
      <c r="G603" s="83">
        <v>0.625</v>
      </c>
      <c r="H603" s="83">
        <v>0.041666666666666664</v>
      </c>
      <c r="I603" s="84">
        <v>44293.0</v>
      </c>
      <c r="J603" s="65" t="b">
        <v>1</v>
      </c>
      <c r="K603" s="65"/>
      <c r="L603" s="85" t="b">
        <f>IF(VLOOKUP(C603,Projetos!A:L,12,false)=TRUE,TRUE,FALSE)</f>
        <v>1</v>
      </c>
      <c r="M603" s="74">
        <v>31.02923620430495</v>
      </c>
      <c r="N603" s="74">
        <f t="shared" si="1"/>
        <v>31.0292362</v>
      </c>
      <c r="O603" s="74" t="b">
        <v>1</v>
      </c>
    </row>
    <row r="604" hidden="1">
      <c r="A604" s="82"/>
      <c r="B604" s="65" t="s">
        <v>177</v>
      </c>
      <c r="C604" s="65" t="s">
        <v>106</v>
      </c>
      <c r="D604" s="65" t="str">
        <f>vlookup(C604,'Classificação p pessoal'!F:G,2,false)</f>
        <v>MProcesso</v>
      </c>
      <c r="E604" s="65" t="s">
        <v>337</v>
      </c>
      <c r="F604" s="83">
        <v>0.625</v>
      </c>
      <c r="G604" s="83">
        <v>0.6666666666666666</v>
      </c>
      <c r="H604" s="83">
        <v>0.041666666666666664</v>
      </c>
      <c r="I604" s="84">
        <v>44293.0</v>
      </c>
      <c r="J604" s="65" t="b">
        <v>1</v>
      </c>
      <c r="K604" s="65"/>
      <c r="L604" s="85" t="b">
        <f>IF(VLOOKUP(C604,Projetos!A:L,12,false)=TRUE,TRUE,FALSE)</f>
        <v>1</v>
      </c>
      <c r="M604" s="74">
        <v>31.02923620430495</v>
      </c>
      <c r="N604" s="74">
        <f t="shared" si="1"/>
        <v>31.0292362</v>
      </c>
      <c r="O604" s="74" t="b">
        <v>1</v>
      </c>
    </row>
    <row r="605">
      <c r="A605" s="82"/>
      <c r="B605" s="65" t="s">
        <v>177</v>
      </c>
      <c r="C605" s="65" t="s">
        <v>108</v>
      </c>
      <c r="D605" s="65" t="str">
        <f>vlookup(C605,'Classificação p pessoal'!F:G,2,false)</f>
        <v>NP</v>
      </c>
      <c r="E605" s="65" t="s">
        <v>338</v>
      </c>
      <c r="F605" s="83">
        <v>0.4375</v>
      </c>
      <c r="G605" s="83">
        <v>0.4583333333333333</v>
      </c>
      <c r="H605" s="83">
        <v>0.020833333333333332</v>
      </c>
      <c r="I605" s="84">
        <v>44526.0</v>
      </c>
      <c r="J605" s="65" t="b">
        <v>1</v>
      </c>
      <c r="K605" s="65"/>
      <c r="L605" s="85" t="b">
        <f>IF(VLOOKUP(C605,Projetos!A:L,12,false)=TRUE,TRUE,FALSE)</f>
        <v>1</v>
      </c>
      <c r="M605" s="74">
        <v>31.02923620430495</v>
      </c>
      <c r="N605" s="74">
        <f t="shared" si="1"/>
        <v>15.5146181</v>
      </c>
      <c r="O605" s="74" t="b">
        <v>1</v>
      </c>
    </row>
    <row r="606" hidden="1">
      <c r="A606" s="82"/>
      <c r="B606" s="65" t="s">
        <v>177</v>
      </c>
      <c r="C606" s="65" t="s">
        <v>100</v>
      </c>
      <c r="D606" s="65" t="str">
        <f>vlookup(C606,'Classificação p pessoal'!F:G,2,false)</f>
        <v>NP</v>
      </c>
      <c r="E606" s="65" t="s">
        <v>339</v>
      </c>
      <c r="F606" s="83">
        <v>0.3541666666666667</v>
      </c>
      <c r="G606" s="83">
        <v>0.375</v>
      </c>
      <c r="H606" s="83">
        <v>0.020833333333333332</v>
      </c>
      <c r="I606" s="84">
        <v>44294.0</v>
      </c>
      <c r="J606" s="65" t="b">
        <v>1</v>
      </c>
      <c r="K606" s="65"/>
      <c r="L606" s="85" t="b">
        <f>IF(VLOOKUP(C606,Projetos!A:L,12,false)=TRUE,TRUE,FALSE)</f>
        <v>1</v>
      </c>
      <c r="M606" s="74">
        <v>31.02923620430495</v>
      </c>
      <c r="N606" s="74">
        <f t="shared" si="1"/>
        <v>15.5146181</v>
      </c>
      <c r="O606" s="74" t="b">
        <v>1</v>
      </c>
    </row>
    <row r="607" hidden="1">
      <c r="A607" s="82"/>
      <c r="B607" s="65" t="s">
        <v>177</v>
      </c>
      <c r="C607" s="65" t="s">
        <v>100</v>
      </c>
      <c r="D607" s="65" t="str">
        <f>vlookup(C607,'Classificação p pessoal'!F:G,2,false)</f>
        <v>NP</v>
      </c>
      <c r="E607" s="65" t="s">
        <v>340</v>
      </c>
      <c r="F607" s="83">
        <v>0.3541666666666667</v>
      </c>
      <c r="G607" s="83">
        <v>0.3854166666666667</v>
      </c>
      <c r="H607" s="83">
        <v>0.03125</v>
      </c>
      <c r="I607" s="84">
        <v>44295.0</v>
      </c>
      <c r="J607" s="65" t="b">
        <v>1</v>
      </c>
      <c r="K607" s="65"/>
      <c r="L607" s="85" t="b">
        <f>IF(VLOOKUP(C607,Projetos!A:L,12,false)=TRUE,TRUE,FALSE)</f>
        <v>1</v>
      </c>
      <c r="M607" s="74">
        <v>31.02923620430495</v>
      </c>
      <c r="N607" s="74">
        <f t="shared" si="1"/>
        <v>23.27192715</v>
      </c>
      <c r="O607" s="74" t="b">
        <v>1</v>
      </c>
    </row>
    <row r="608">
      <c r="A608" s="82"/>
      <c r="B608" s="65" t="s">
        <v>177</v>
      </c>
      <c r="C608" s="65" t="s">
        <v>108</v>
      </c>
      <c r="D608" s="65" t="str">
        <f>vlookup(C608,'Classificação p pessoal'!F:G,2,false)</f>
        <v>NP</v>
      </c>
      <c r="E608" s="65" t="s">
        <v>341</v>
      </c>
      <c r="F608" s="83">
        <v>0.3854166666666667</v>
      </c>
      <c r="G608" s="83">
        <v>0.3958333333333333</v>
      </c>
      <c r="H608" s="83">
        <v>0.010416666666666666</v>
      </c>
      <c r="I608" s="84">
        <v>44295.0</v>
      </c>
      <c r="J608" s="65" t="b">
        <v>1</v>
      </c>
      <c r="K608" s="65"/>
      <c r="L608" s="85" t="b">
        <f>IF(VLOOKUP(C608,Projetos!A:L,12,false)=TRUE,TRUE,FALSE)</f>
        <v>1</v>
      </c>
      <c r="M608" s="74">
        <v>31.02923620430495</v>
      </c>
      <c r="N608" s="74">
        <f t="shared" si="1"/>
        <v>7.757309051</v>
      </c>
      <c r="O608" s="74" t="b">
        <v>1</v>
      </c>
    </row>
    <row r="609">
      <c r="A609" s="82"/>
      <c r="B609" s="65" t="s">
        <v>177</v>
      </c>
      <c r="C609" s="65" t="s">
        <v>108</v>
      </c>
      <c r="D609" s="65" t="str">
        <f>vlookup(C609,'Classificação p pessoal'!F:G,2,false)</f>
        <v>NP</v>
      </c>
      <c r="E609" s="65" t="s">
        <v>342</v>
      </c>
      <c r="F609" s="83">
        <v>0.3958333333333333</v>
      </c>
      <c r="G609" s="83">
        <v>0.4375</v>
      </c>
      <c r="H609" s="83">
        <v>0.041666666666666664</v>
      </c>
      <c r="I609" s="84">
        <v>44295.0</v>
      </c>
      <c r="J609" s="65" t="b">
        <v>1</v>
      </c>
      <c r="K609" s="65"/>
      <c r="L609" s="85" t="b">
        <f>IF(VLOOKUP(C609,Projetos!A:L,12,false)=TRUE,TRUE,FALSE)</f>
        <v>1</v>
      </c>
      <c r="M609" s="74">
        <v>31.02923620430495</v>
      </c>
      <c r="N609" s="74">
        <f t="shared" si="1"/>
        <v>31.0292362</v>
      </c>
      <c r="O609" s="74" t="b">
        <v>1</v>
      </c>
    </row>
    <row r="610" hidden="1">
      <c r="A610" s="82"/>
      <c r="B610" s="65" t="s">
        <v>177</v>
      </c>
      <c r="C610" s="65" t="s">
        <v>92</v>
      </c>
      <c r="D610" s="65" t="str">
        <f>vlookup(C610,'Classificação p pessoal'!F:G,2,false)</f>
        <v/>
      </c>
      <c r="E610" s="65" t="s">
        <v>343</v>
      </c>
      <c r="F610" s="83">
        <v>0.4375</v>
      </c>
      <c r="G610" s="83">
        <v>0.5</v>
      </c>
      <c r="H610" s="83">
        <v>0.0625</v>
      </c>
      <c r="I610" s="84">
        <v>44295.0</v>
      </c>
      <c r="J610" s="65" t="b">
        <v>1</v>
      </c>
      <c r="K610" s="65"/>
      <c r="L610" s="85" t="b">
        <f>IF(VLOOKUP(C610,Projetos!A:L,12,false)=TRUE,TRUE,FALSE)</f>
        <v>1</v>
      </c>
      <c r="M610" s="74">
        <v>31.02923620430495</v>
      </c>
      <c r="N610" s="74">
        <f t="shared" si="1"/>
        <v>46.54385431</v>
      </c>
      <c r="O610" s="74" t="b">
        <v>1</v>
      </c>
    </row>
    <row r="611" hidden="1">
      <c r="A611" s="82"/>
      <c r="B611" s="65" t="s">
        <v>177</v>
      </c>
      <c r="C611" s="65" t="s">
        <v>152</v>
      </c>
      <c r="D611" s="65" t="str">
        <f>vlookup(C611,'Classificação p pessoal'!F:G,2,false)</f>
        <v>MProduto</v>
      </c>
      <c r="E611" s="65" t="s">
        <v>344</v>
      </c>
      <c r="F611" s="83">
        <v>0.5</v>
      </c>
      <c r="G611" s="83">
        <v>0.5208333333333334</v>
      </c>
      <c r="H611" s="83">
        <v>0.020833333333333332</v>
      </c>
      <c r="I611" s="84">
        <v>44295.0</v>
      </c>
      <c r="J611" s="65" t="b">
        <v>1</v>
      </c>
      <c r="K611" s="65"/>
      <c r="L611" s="85" t="b">
        <f>IF(VLOOKUP(C611,Projetos!A:L,12,false)=TRUE,TRUE,FALSE)</f>
        <v>1</v>
      </c>
      <c r="M611" s="74">
        <v>31.02923620430495</v>
      </c>
      <c r="N611" s="74">
        <f t="shared" si="1"/>
        <v>15.5146181</v>
      </c>
      <c r="O611" s="74" t="b">
        <v>1</v>
      </c>
    </row>
    <row r="612" hidden="1">
      <c r="A612" s="82"/>
      <c r="B612" s="65" t="s">
        <v>177</v>
      </c>
      <c r="C612" s="65" t="s">
        <v>106</v>
      </c>
      <c r="D612" s="65" t="str">
        <f>vlookup(C612,'Classificação p pessoal'!F:G,2,false)</f>
        <v>MProcesso</v>
      </c>
      <c r="E612" s="65" t="s">
        <v>345</v>
      </c>
      <c r="F612" s="83">
        <v>0.5208333333333334</v>
      </c>
      <c r="G612" s="83">
        <v>0.5416666666666666</v>
      </c>
      <c r="H612" s="83">
        <v>0.020833333333333332</v>
      </c>
      <c r="I612" s="84">
        <v>44295.0</v>
      </c>
      <c r="J612" s="65" t="b">
        <v>1</v>
      </c>
      <c r="K612" s="65"/>
      <c r="L612" s="85" t="b">
        <f>IF(VLOOKUP(C612,Projetos!A:L,12,false)=TRUE,TRUE,FALSE)</f>
        <v>1</v>
      </c>
      <c r="M612" s="74">
        <v>31.02923620430495</v>
      </c>
      <c r="N612" s="74">
        <f t="shared" si="1"/>
        <v>15.5146181</v>
      </c>
      <c r="O612" s="74" t="b">
        <v>1</v>
      </c>
    </row>
    <row r="613" hidden="1">
      <c r="A613" s="82"/>
      <c r="B613" s="65" t="s">
        <v>177</v>
      </c>
      <c r="C613" s="65" t="s">
        <v>91</v>
      </c>
      <c r="D613" s="65"/>
      <c r="E613" s="65" t="s">
        <v>346</v>
      </c>
      <c r="F613" s="83">
        <v>0.3541666666666667</v>
      </c>
      <c r="G613" s="83">
        <v>0.4166666666666667</v>
      </c>
      <c r="H613" s="83">
        <v>0.0625</v>
      </c>
      <c r="I613" s="84">
        <v>44298.0</v>
      </c>
      <c r="J613" s="65" t="b">
        <v>0</v>
      </c>
      <c r="K613" s="65" t="s">
        <v>150</v>
      </c>
      <c r="L613" s="85" t="b">
        <f>IF(VLOOKUP(C613,Projetos!A:L,12,false)=TRUE,TRUE,FALSE)</f>
        <v>1</v>
      </c>
      <c r="M613" s="74">
        <v>31.02923620430495</v>
      </c>
      <c r="N613" s="74">
        <f t="shared" si="1"/>
        <v>0</v>
      </c>
      <c r="O613" s="74" t="b">
        <v>1</v>
      </c>
    </row>
    <row r="614">
      <c r="A614" s="82"/>
      <c r="B614" s="65" t="s">
        <v>177</v>
      </c>
      <c r="C614" s="65" t="s">
        <v>108</v>
      </c>
      <c r="D614" s="65" t="str">
        <f>vlookup(C614,'Classificação p pessoal'!F:G,2,false)</f>
        <v>NP</v>
      </c>
      <c r="E614" s="65" t="s">
        <v>347</v>
      </c>
      <c r="F614" s="83">
        <v>0.3541666666666667</v>
      </c>
      <c r="G614" s="83">
        <v>0.375</v>
      </c>
      <c r="H614" s="83">
        <v>0.020833333333333332</v>
      </c>
      <c r="I614" s="84">
        <v>44299.0</v>
      </c>
      <c r="J614" s="65" t="b">
        <v>1</v>
      </c>
      <c r="K614" s="65"/>
      <c r="L614" s="85" t="b">
        <f>IF(VLOOKUP(C614,Projetos!A:L,12,false)=TRUE,TRUE,FALSE)</f>
        <v>1</v>
      </c>
      <c r="M614" s="74">
        <v>31.02923620430495</v>
      </c>
      <c r="N614" s="74">
        <f t="shared" si="1"/>
        <v>15.5146181</v>
      </c>
      <c r="O614" s="74" t="b">
        <v>1</v>
      </c>
    </row>
    <row r="615">
      <c r="A615" s="82"/>
      <c r="B615" s="65" t="s">
        <v>177</v>
      </c>
      <c r="C615" s="65" t="s">
        <v>108</v>
      </c>
      <c r="D615" s="65" t="str">
        <f>vlookup(C615,'Classificação p pessoal'!F:G,2,false)</f>
        <v>NP</v>
      </c>
      <c r="E615" s="65" t="s">
        <v>348</v>
      </c>
      <c r="F615" s="83">
        <v>0.5625</v>
      </c>
      <c r="G615" s="83">
        <v>0.5833333333333334</v>
      </c>
      <c r="H615" s="83">
        <v>0.020833333333333332</v>
      </c>
      <c r="I615" s="84">
        <v>44421.0</v>
      </c>
      <c r="J615" s="65" t="b">
        <v>1</v>
      </c>
      <c r="K615" s="65"/>
      <c r="L615" s="85" t="b">
        <f>IF(VLOOKUP(C615,Projetos!A:L,12,false)=TRUE,TRUE,FALSE)</f>
        <v>1</v>
      </c>
      <c r="M615" s="74">
        <v>31.02923620430495</v>
      </c>
      <c r="N615" s="74">
        <f t="shared" si="1"/>
        <v>15.5146181</v>
      </c>
      <c r="O615" s="74" t="b">
        <v>1</v>
      </c>
    </row>
    <row r="616" hidden="1">
      <c r="A616" s="82"/>
      <c r="B616" s="65" t="s">
        <v>177</v>
      </c>
      <c r="C616" s="65" t="s">
        <v>100</v>
      </c>
      <c r="D616" s="65" t="str">
        <f>vlookup(C616,'Classificação p pessoal'!F:G,2,false)</f>
        <v>NP</v>
      </c>
      <c r="E616" s="65" t="s">
        <v>349</v>
      </c>
      <c r="F616" s="83">
        <v>0.4166666666666667</v>
      </c>
      <c r="G616" s="83">
        <v>0.4583333333333333</v>
      </c>
      <c r="H616" s="83">
        <v>0.041666666666666664</v>
      </c>
      <c r="I616" s="84">
        <v>44299.0</v>
      </c>
      <c r="J616" s="65" t="b">
        <v>1</v>
      </c>
      <c r="K616" s="65"/>
      <c r="L616" s="85" t="b">
        <f>IF(VLOOKUP(C616,Projetos!A:L,12,false)=TRUE,TRUE,FALSE)</f>
        <v>1</v>
      </c>
      <c r="M616" s="74">
        <v>31.02923620430495</v>
      </c>
      <c r="N616" s="74">
        <f t="shared" si="1"/>
        <v>31.0292362</v>
      </c>
      <c r="O616" s="74" t="b">
        <v>1</v>
      </c>
    </row>
    <row r="617" hidden="1">
      <c r="A617" s="82"/>
      <c r="B617" s="65" t="s">
        <v>177</v>
      </c>
      <c r="C617" s="65" t="s">
        <v>106</v>
      </c>
      <c r="D617" s="65"/>
      <c r="E617" s="65" t="s">
        <v>350</v>
      </c>
      <c r="F617" s="83">
        <v>0.3541666666666667</v>
      </c>
      <c r="G617" s="83">
        <v>0.375</v>
      </c>
      <c r="H617" s="83">
        <v>0.020833333333333332</v>
      </c>
      <c r="I617" s="84">
        <v>44300.0</v>
      </c>
      <c r="J617" s="65" t="b">
        <v>0</v>
      </c>
      <c r="K617" s="65" t="s">
        <v>150</v>
      </c>
      <c r="L617" s="85" t="b">
        <f>IF(VLOOKUP(C617,Projetos!A:L,12,false)=TRUE,TRUE,FALSE)</f>
        <v>1</v>
      </c>
      <c r="M617" s="74">
        <v>31.02923620430495</v>
      </c>
      <c r="N617" s="74">
        <f t="shared" si="1"/>
        <v>0</v>
      </c>
      <c r="O617" s="74" t="b">
        <v>1</v>
      </c>
    </row>
    <row r="618" hidden="1">
      <c r="A618" s="82"/>
      <c r="B618" s="65" t="s">
        <v>177</v>
      </c>
      <c r="C618" s="65" t="s">
        <v>92</v>
      </c>
      <c r="D618" s="65" t="str">
        <f>vlookup(C618,'Classificação p pessoal'!F:G,2,false)</f>
        <v/>
      </c>
      <c r="E618" s="65" t="s">
        <v>351</v>
      </c>
      <c r="F618" s="83">
        <v>0.375</v>
      </c>
      <c r="G618" s="83">
        <v>0.4166666666666667</v>
      </c>
      <c r="H618" s="83">
        <v>0.041666666666666664</v>
      </c>
      <c r="I618" s="84">
        <v>44300.0</v>
      </c>
      <c r="J618" s="65" t="b">
        <v>1</v>
      </c>
      <c r="K618" s="65"/>
      <c r="L618" s="85" t="b">
        <f>IF(VLOOKUP(C618,Projetos!A:L,12,false)=TRUE,TRUE,FALSE)</f>
        <v>1</v>
      </c>
      <c r="M618" s="74">
        <v>31.02923620430495</v>
      </c>
      <c r="N618" s="74">
        <f t="shared" si="1"/>
        <v>31.0292362</v>
      </c>
      <c r="O618" s="74" t="b">
        <v>1</v>
      </c>
    </row>
    <row r="619">
      <c r="A619" s="82"/>
      <c r="B619" s="65" t="s">
        <v>177</v>
      </c>
      <c r="C619" s="65" t="s">
        <v>108</v>
      </c>
      <c r="D619" s="65" t="str">
        <f>vlookup(C619,'Classificação p pessoal'!F:G,2,false)</f>
        <v>NP</v>
      </c>
      <c r="E619" s="65" t="s">
        <v>352</v>
      </c>
      <c r="F619" s="83">
        <v>0.625</v>
      </c>
      <c r="G619" s="83">
        <v>0.6458333333333334</v>
      </c>
      <c r="H619" s="83">
        <v>0.020833333333333332</v>
      </c>
      <c r="I619" s="84">
        <v>44546.0</v>
      </c>
      <c r="J619" s="65" t="b">
        <v>1</v>
      </c>
      <c r="K619" s="65"/>
      <c r="L619" s="85" t="b">
        <f>IF(VLOOKUP(C619,Projetos!A:L,12,false)=TRUE,TRUE,FALSE)</f>
        <v>1</v>
      </c>
      <c r="M619" s="74">
        <v>31.02923620430495</v>
      </c>
      <c r="N619" s="74">
        <f t="shared" si="1"/>
        <v>15.5146181</v>
      </c>
      <c r="O619" s="74" t="b">
        <v>1</v>
      </c>
    </row>
    <row r="620" hidden="1">
      <c r="A620" s="82"/>
      <c r="B620" s="65" t="s">
        <v>177</v>
      </c>
      <c r="C620" s="65" t="s">
        <v>100</v>
      </c>
      <c r="D620" s="65" t="str">
        <f>vlookup(C620,'Classificação p pessoal'!F:G,2,false)</f>
        <v>NP</v>
      </c>
      <c r="E620" s="65" t="s">
        <v>353</v>
      </c>
      <c r="F620" s="83">
        <v>0.5416666666666666</v>
      </c>
      <c r="G620" s="83">
        <v>0.6041666666666666</v>
      </c>
      <c r="H620" s="83">
        <v>0.0625</v>
      </c>
      <c r="I620" s="84">
        <v>44301.0</v>
      </c>
      <c r="J620" s="65" t="b">
        <v>1</v>
      </c>
      <c r="K620" s="65"/>
      <c r="L620" s="85" t="b">
        <f>IF(VLOOKUP(C620,Projetos!A:L,12,false)=TRUE,TRUE,FALSE)</f>
        <v>1</v>
      </c>
      <c r="M620" s="74">
        <v>31.02923620430495</v>
      </c>
      <c r="N620" s="74">
        <f t="shared" si="1"/>
        <v>46.54385431</v>
      </c>
      <c r="O620" s="74" t="b">
        <v>1</v>
      </c>
    </row>
    <row r="621" hidden="1">
      <c r="A621" s="82"/>
      <c r="B621" s="65" t="s">
        <v>177</v>
      </c>
      <c r="C621" s="65" t="s">
        <v>100</v>
      </c>
      <c r="D621" s="65" t="str">
        <f>vlookup(C621,'Classificação p pessoal'!F:G,2,false)</f>
        <v>NP</v>
      </c>
      <c r="E621" s="65" t="s">
        <v>354</v>
      </c>
      <c r="F621" s="83">
        <v>0.6041666666666666</v>
      </c>
      <c r="G621" s="83">
        <v>0.6458333333333334</v>
      </c>
      <c r="H621" s="83">
        <v>0.041666666666666664</v>
      </c>
      <c r="I621" s="84">
        <v>44301.0</v>
      </c>
      <c r="J621" s="65" t="b">
        <v>1</v>
      </c>
      <c r="K621" s="65"/>
      <c r="L621" s="85" t="b">
        <f>IF(VLOOKUP(C621,Projetos!A:L,12,false)=TRUE,TRUE,FALSE)</f>
        <v>1</v>
      </c>
      <c r="M621" s="74">
        <v>31.02923620430495</v>
      </c>
      <c r="N621" s="74">
        <f t="shared" si="1"/>
        <v>31.0292362</v>
      </c>
      <c r="O621" s="74" t="b">
        <v>1</v>
      </c>
    </row>
    <row r="622" hidden="1">
      <c r="A622" s="82"/>
      <c r="B622" s="65" t="s">
        <v>177</v>
      </c>
      <c r="C622" s="65" t="s">
        <v>100</v>
      </c>
      <c r="D622" s="65" t="str">
        <f>vlookup(C622,'Classificação p pessoal'!F:G,2,false)</f>
        <v>NP</v>
      </c>
      <c r="E622" s="65" t="s">
        <v>355</v>
      </c>
      <c r="F622" s="83">
        <v>0.6458333333333334</v>
      </c>
      <c r="G622" s="83">
        <v>0.6875</v>
      </c>
      <c r="H622" s="83">
        <v>0.041666666666666664</v>
      </c>
      <c r="I622" s="84">
        <v>44301.0</v>
      </c>
      <c r="J622" s="65" t="b">
        <v>1</v>
      </c>
      <c r="K622" s="65"/>
      <c r="L622" s="85" t="b">
        <f>IF(VLOOKUP(C622,Projetos!A:L,12,false)=TRUE,TRUE,FALSE)</f>
        <v>1</v>
      </c>
      <c r="M622" s="74">
        <v>31.02923620430495</v>
      </c>
      <c r="N622" s="74">
        <f t="shared" si="1"/>
        <v>31.0292362</v>
      </c>
      <c r="O622" s="74" t="b">
        <v>1</v>
      </c>
    </row>
    <row r="623" hidden="1">
      <c r="A623" s="82"/>
      <c r="B623" s="65" t="s">
        <v>177</v>
      </c>
      <c r="C623" s="65" t="s">
        <v>100</v>
      </c>
      <c r="D623" s="65" t="str">
        <f>vlookup(C623,'Classificação p pessoal'!F:G,2,false)</f>
        <v>NP</v>
      </c>
      <c r="E623" s="65" t="s">
        <v>349</v>
      </c>
      <c r="F623" s="83">
        <v>0.4375</v>
      </c>
      <c r="G623" s="83">
        <v>0.4583333333333333</v>
      </c>
      <c r="H623" s="83">
        <v>0.020833333333333332</v>
      </c>
      <c r="I623" s="84">
        <v>44302.0</v>
      </c>
      <c r="J623" s="65" t="b">
        <v>1</v>
      </c>
      <c r="K623" s="65"/>
      <c r="L623" s="85" t="b">
        <f>IF(VLOOKUP(C623,Projetos!A:L,12,false)=TRUE,TRUE,FALSE)</f>
        <v>1</v>
      </c>
      <c r="M623" s="74">
        <v>31.02923620430495</v>
      </c>
      <c r="N623" s="74">
        <f t="shared" si="1"/>
        <v>15.5146181</v>
      </c>
      <c r="O623" s="74" t="b">
        <v>1</v>
      </c>
    </row>
    <row r="624">
      <c r="A624" s="82"/>
      <c r="B624" s="65" t="s">
        <v>177</v>
      </c>
      <c r="C624" s="65" t="s">
        <v>108</v>
      </c>
      <c r="D624" s="65" t="str">
        <f>vlookup(C624,'Classificação p pessoal'!F:G,2,false)</f>
        <v>NP</v>
      </c>
      <c r="E624" s="65" t="s">
        <v>356</v>
      </c>
      <c r="F624" s="83">
        <v>0.3541666666666667</v>
      </c>
      <c r="G624" s="83">
        <v>0.375</v>
      </c>
      <c r="H624" s="83">
        <v>0.020833333333333332</v>
      </c>
      <c r="I624" s="84">
        <v>44302.0</v>
      </c>
      <c r="J624" s="65" t="b">
        <v>1</v>
      </c>
      <c r="K624" s="65"/>
      <c r="L624" s="85" t="b">
        <f>IF(VLOOKUP(C624,Projetos!A:L,12,false)=TRUE,TRUE,FALSE)</f>
        <v>1</v>
      </c>
      <c r="M624" s="74">
        <v>31.02923620430495</v>
      </c>
      <c r="N624" s="74">
        <f t="shared" si="1"/>
        <v>15.5146181</v>
      </c>
      <c r="O624" s="74" t="b">
        <v>1</v>
      </c>
    </row>
    <row r="625" hidden="1">
      <c r="A625" s="82"/>
      <c r="B625" s="65" t="s">
        <v>177</v>
      </c>
      <c r="C625" s="65" t="s">
        <v>91</v>
      </c>
      <c r="D625" s="65" t="str">
        <f>vlookup(C625,'Classificação p pessoal'!F:G,2,false)</f>
        <v>NP</v>
      </c>
      <c r="E625" s="65" t="s">
        <v>357</v>
      </c>
      <c r="F625" s="83">
        <v>0.375</v>
      </c>
      <c r="G625" s="83">
        <v>0.4166666666666667</v>
      </c>
      <c r="H625" s="83">
        <v>0.041666666666666664</v>
      </c>
      <c r="I625" s="84">
        <v>44302.0</v>
      </c>
      <c r="J625" s="65" t="b">
        <v>1</v>
      </c>
      <c r="K625" s="65"/>
      <c r="L625" s="85" t="b">
        <f>IF(VLOOKUP(C625,Projetos!A:L,12,false)=TRUE,TRUE,FALSE)</f>
        <v>1</v>
      </c>
      <c r="M625" s="74">
        <v>31.02923620430495</v>
      </c>
      <c r="N625" s="74">
        <f t="shared" si="1"/>
        <v>31.0292362</v>
      </c>
      <c r="O625" s="74" t="b">
        <v>1</v>
      </c>
    </row>
    <row r="626">
      <c r="A626" s="82"/>
      <c r="B626" s="65" t="s">
        <v>177</v>
      </c>
      <c r="C626" s="65" t="s">
        <v>108</v>
      </c>
      <c r="D626" s="65" t="str">
        <f>vlookup(C626,'Classificação p pessoal'!F:G,2,false)</f>
        <v>NP</v>
      </c>
      <c r="E626" s="65" t="s">
        <v>358</v>
      </c>
      <c r="F626" s="83">
        <v>0.3958333333333333</v>
      </c>
      <c r="G626" s="83">
        <v>0.4166666666666667</v>
      </c>
      <c r="H626" s="83">
        <v>0.020833333333333332</v>
      </c>
      <c r="I626" s="84">
        <v>44349.0</v>
      </c>
      <c r="J626" s="65" t="b">
        <v>1</v>
      </c>
      <c r="K626" s="65"/>
      <c r="L626" s="85" t="b">
        <f>IF(VLOOKUP(C626,Projetos!A:L,12,false)=TRUE,TRUE,FALSE)</f>
        <v>1</v>
      </c>
      <c r="M626" s="74">
        <v>31.02923620430495</v>
      </c>
      <c r="N626" s="74">
        <f t="shared" si="1"/>
        <v>15.5146181</v>
      </c>
      <c r="O626" s="74" t="b">
        <v>1</v>
      </c>
    </row>
    <row r="627" hidden="1">
      <c r="A627" s="82"/>
      <c r="B627" s="65" t="s">
        <v>177</v>
      </c>
      <c r="C627" s="65" t="s">
        <v>117</v>
      </c>
      <c r="D627" s="65" t="str">
        <f>vlookup(C627,'Classificação p pessoal'!F:G,2,false)</f>
        <v>NP</v>
      </c>
      <c r="E627" s="65" t="s">
        <v>359</v>
      </c>
      <c r="F627" s="83">
        <v>0.5833333333333334</v>
      </c>
      <c r="G627" s="83">
        <v>0.6458333333333334</v>
      </c>
      <c r="H627" s="83">
        <v>0.0625</v>
      </c>
      <c r="I627" s="84">
        <v>44302.0</v>
      </c>
      <c r="J627" s="65" t="b">
        <v>1</v>
      </c>
      <c r="K627" s="65"/>
      <c r="L627" s="85" t="b">
        <f>IF(VLOOKUP(C627,Projetos!A:L,12,false)=TRUE,TRUE,FALSE)</f>
        <v>1</v>
      </c>
      <c r="M627" s="74">
        <v>31.02923620430495</v>
      </c>
      <c r="N627" s="74">
        <f t="shared" si="1"/>
        <v>46.54385431</v>
      </c>
      <c r="O627" s="74" t="b">
        <v>1</v>
      </c>
    </row>
    <row r="628" hidden="1">
      <c r="A628" s="82"/>
      <c r="B628" s="65" t="s">
        <v>177</v>
      </c>
      <c r="C628" s="65" t="s">
        <v>113</v>
      </c>
      <c r="D628" s="65" t="str">
        <f>vlookup(C628,'Classificação p pessoal'!F:G,2,false)</f>
        <v>NP</v>
      </c>
      <c r="E628" s="65" t="s">
        <v>360</v>
      </c>
      <c r="F628" s="83">
        <v>0.6458333333333334</v>
      </c>
      <c r="G628" s="83">
        <v>0.6875</v>
      </c>
      <c r="H628" s="83">
        <v>0.041666666666666664</v>
      </c>
      <c r="I628" s="84">
        <v>44302.0</v>
      </c>
      <c r="J628" s="65" t="b">
        <v>1</v>
      </c>
      <c r="K628" s="65"/>
      <c r="L628" s="85" t="b">
        <f>IF(VLOOKUP(C628,Projetos!A:L,12,false)=TRUE,TRUE,FALSE)</f>
        <v>1</v>
      </c>
      <c r="M628" s="74">
        <v>31.02923620430495</v>
      </c>
      <c r="N628" s="74">
        <f t="shared" si="1"/>
        <v>31.0292362</v>
      </c>
      <c r="O628" s="74" t="b">
        <v>1</v>
      </c>
    </row>
    <row r="629" hidden="1">
      <c r="A629" s="82"/>
      <c r="B629" s="65" t="s">
        <v>177</v>
      </c>
      <c r="C629" s="65" t="s">
        <v>113</v>
      </c>
      <c r="D629" s="65" t="str">
        <f>vlookup(C629,'Classificação p pessoal'!F:G,2,false)</f>
        <v>NP</v>
      </c>
      <c r="E629" s="65" t="s">
        <v>361</v>
      </c>
      <c r="F629" s="83">
        <v>0.6875</v>
      </c>
      <c r="G629" s="83">
        <v>0.7708333333333334</v>
      </c>
      <c r="H629" s="83">
        <v>0.08333333333333333</v>
      </c>
      <c r="I629" s="84">
        <v>44302.0</v>
      </c>
      <c r="J629" s="65" t="b">
        <v>1</v>
      </c>
      <c r="K629" s="65"/>
      <c r="L629" s="85" t="b">
        <f>IF(VLOOKUP(C629,Projetos!A:L,12,false)=TRUE,TRUE,FALSE)</f>
        <v>1</v>
      </c>
      <c r="M629" s="74">
        <v>31.02923620430495</v>
      </c>
      <c r="N629" s="74">
        <f t="shared" si="1"/>
        <v>62.05847241</v>
      </c>
      <c r="O629" s="74" t="b">
        <v>1</v>
      </c>
    </row>
    <row r="630" hidden="1">
      <c r="A630" s="82"/>
      <c r="B630" s="65" t="s">
        <v>177</v>
      </c>
      <c r="C630" s="65" t="s">
        <v>117</v>
      </c>
      <c r="D630" s="65" t="str">
        <f>vlookup(C630,'Classificação p pessoal'!F:G,2,false)</f>
        <v>NP</v>
      </c>
      <c r="E630" s="65" t="s">
        <v>362</v>
      </c>
      <c r="F630" s="83">
        <v>0.3958333333333333</v>
      </c>
      <c r="G630" s="83">
        <v>0.4791666666666667</v>
      </c>
      <c r="H630" s="83">
        <v>0.08333333333333333</v>
      </c>
      <c r="I630" s="84">
        <v>44305.0</v>
      </c>
      <c r="J630" s="65" t="b">
        <v>1</v>
      </c>
      <c r="K630" s="65"/>
      <c r="L630" s="85" t="b">
        <f>IF(VLOOKUP(C630,Projetos!A:L,12,false)=TRUE,TRUE,FALSE)</f>
        <v>1</v>
      </c>
      <c r="M630" s="74">
        <v>31.02923620430495</v>
      </c>
      <c r="N630" s="74">
        <f t="shared" si="1"/>
        <v>62.05847241</v>
      </c>
      <c r="O630" s="74" t="b">
        <v>1</v>
      </c>
    </row>
    <row r="631" hidden="1">
      <c r="A631" s="82"/>
      <c r="B631" s="65" t="s">
        <v>177</v>
      </c>
      <c r="C631" s="65" t="s">
        <v>113</v>
      </c>
      <c r="D631" s="65" t="str">
        <f>vlookup(C631,'Classificação p pessoal'!F:G,2,false)</f>
        <v>NP</v>
      </c>
      <c r="E631" s="65" t="s">
        <v>361</v>
      </c>
      <c r="F631" s="83">
        <v>0.3541666666666667</v>
      </c>
      <c r="G631" s="83">
        <v>0.3958333333333333</v>
      </c>
      <c r="H631" s="83">
        <v>0.041666666666666664</v>
      </c>
      <c r="I631" s="84">
        <v>44305.0</v>
      </c>
      <c r="J631" s="65" t="b">
        <v>1</v>
      </c>
      <c r="K631" s="65"/>
      <c r="L631" s="85" t="b">
        <f>IF(VLOOKUP(C631,Projetos!A:L,12,false)=TRUE,TRUE,FALSE)</f>
        <v>1</v>
      </c>
      <c r="M631" s="74">
        <v>31.02923620430495</v>
      </c>
      <c r="N631" s="74">
        <f t="shared" si="1"/>
        <v>31.0292362</v>
      </c>
      <c r="O631" s="74" t="b">
        <v>1</v>
      </c>
    </row>
    <row r="632" hidden="1">
      <c r="A632" s="82"/>
      <c r="B632" s="65" t="s">
        <v>177</v>
      </c>
      <c r="C632" s="65" t="s">
        <v>117</v>
      </c>
      <c r="D632" s="65" t="str">
        <f>vlookup(C632,'Classificação p pessoal'!F:G,2,false)</f>
        <v>NP</v>
      </c>
      <c r="E632" s="65" t="s">
        <v>359</v>
      </c>
      <c r="F632" s="83">
        <v>0.5625</v>
      </c>
      <c r="G632" s="83">
        <v>0.6041666666666666</v>
      </c>
      <c r="H632" s="83">
        <v>0.041666666666666664</v>
      </c>
      <c r="I632" s="84">
        <v>44305.0</v>
      </c>
      <c r="J632" s="65" t="b">
        <v>1</v>
      </c>
      <c r="K632" s="65"/>
      <c r="L632" s="85" t="b">
        <f>IF(VLOOKUP(C632,Projetos!A:L,12,false)=TRUE,TRUE,FALSE)</f>
        <v>1</v>
      </c>
      <c r="M632" s="74">
        <v>31.02923620430495</v>
      </c>
      <c r="N632" s="74">
        <f t="shared" si="1"/>
        <v>31.0292362</v>
      </c>
      <c r="O632" s="74" t="b">
        <v>1</v>
      </c>
    </row>
    <row r="633" hidden="1">
      <c r="A633" s="82"/>
      <c r="B633" s="65" t="s">
        <v>177</v>
      </c>
      <c r="C633" s="65" t="s">
        <v>113</v>
      </c>
      <c r="D633" s="65" t="str">
        <f>vlookup(C633,'Classificação p pessoal'!F:G,2,false)</f>
        <v>NP</v>
      </c>
      <c r="E633" s="65" t="s">
        <v>363</v>
      </c>
      <c r="F633" s="83">
        <v>0.4791666666666667</v>
      </c>
      <c r="G633" s="83">
        <v>0.5208333333333334</v>
      </c>
      <c r="H633" s="83">
        <v>0.041666666666666664</v>
      </c>
      <c r="I633" s="84">
        <v>44305.0</v>
      </c>
      <c r="J633" s="65" t="b">
        <v>1</v>
      </c>
      <c r="K633" s="65"/>
      <c r="L633" s="85" t="b">
        <f>IF(VLOOKUP(C633,Projetos!A:L,12,false)=TRUE,TRUE,FALSE)</f>
        <v>1</v>
      </c>
      <c r="M633" s="74">
        <v>31.02923620430495</v>
      </c>
      <c r="N633" s="74">
        <f t="shared" si="1"/>
        <v>31.0292362</v>
      </c>
      <c r="O633" s="74" t="b">
        <v>1</v>
      </c>
    </row>
    <row r="634" hidden="1">
      <c r="A634" s="82"/>
      <c r="B634" s="65" t="s">
        <v>177</v>
      </c>
      <c r="C634" s="65" t="s">
        <v>130</v>
      </c>
      <c r="D634" s="65" t="str">
        <f>vlookup(C634,'Classificação p pessoal'!F:G,2,false)</f>
        <v>NP</v>
      </c>
      <c r="E634" s="65" t="s">
        <v>364</v>
      </c>
      <c r="F634" s="83">
        <v>0.5416666666666666</v>
      </c>
      <c r="G634" s="83">
        <v>0.5833333333333334</v>
      </c>
      <c r="H634" s="83">
        <v>0.041666666666666664</v>
      </c>
      <c r="I634" s="84">
        <v>44228.0</v>
      </c>
      <c r="J634" s="65" t="b">
        <v>1</v>
      </c>
      <c r="K634" s="65"/>
      <c r="L634" s="85" t="b">
        <f>IF(VLOOKUP(C634,Projetos!A:L,12,false)=TRUE,TRUE,FALSE)</f>
        <v>1</v>
      </c>
      <c r="M634" s="74">
        <v>31.02923620430495</v>
      </c>
      <c r="N634" s="74">
        <f t="shared" si="1"/>
        <v>31.0292362</v>
      </c>
      <c r="O634" s="74" t="b">
        <v>1</v>
      </c>
    </row>
    <row r="635" hidden="1">
      <c r="A635" s="82"/>
      <c r="B635" s="65" t="s">
        <v>177</v>
      </c>
      <c r="C635" s="65" t="s">
        <v>107</v>
      </c>
      <c r="D635" s="65"/>
      <c r="E635" s="65" t="s">
        <v>365</v>
      </c>
      <c r="F635" s="83">
        <v>0.3541666666666667</v>
      </c>
      <c r="G635" s="83">
        <v>0.375</v>
      </c>
      <c r="H635" s="83">
        <v>0.020833333333333332</v>
      </c>
      <c r="I635" s="84">
        <v>44306.0</v>
      </c>
      <c r="J635" s="65" t="b">
        <v>0</v>
      </c>
      <c r="K635" s="65" t="s">
        <v>150</v>
      </c>
      <c r="L635" s="85" t="b">
        <f>IF(VLOOKUP(C635,Projetos!A:L,12,false)=TRUE,TRUE,FALSE)</f>
        <v>1</v>
      </c>
      <c r="M635" s="74">
        <v>31.02923620430495</v>
      </c>
      <c r="N635" s="74">
        <f t="shared" si="1"/>
        <v>0</v>
      </c>
      <c r="O635" s="74" t="b">
        <v>1</v>
      </c>
    </row>
    <row r="636" hidden="1">
      <c r="A636" s="82"/>
      <c r="B636" s="65" t="s">
        <v>177</v>
      </c>
      <c r="C636" s="65" t="s">
        <v>100</v>
      </c>
      <c r="D636" s="65"/>
      <c r="E636" s="65" t="s">
        <v>366</v>
      </c>
      <c r="F636" s="83">
        <v>0.375</v>
      </c>
      <c r="G636" s="83">
        <v>0.4166666666666667</v>
      </c>
      <c r="H636" s="83">
        <v>0.041666666666666664</v>
      </c>
      <c r="I636" s="84">
        <v>44306.0</v>
      </c>
      <c r="J636" s="65" t="b">
        <v>0</v>
      </c>
      <c r="K636" s="65" t="s">
        <v>150</v>
      </c>
      <c r="L636" s="85" t="b">
        <f>IF(VLOOKUP(C636,Projetos!A:L,12,false)=TRUE,TRUE,FALSE)</f>
        <v>1</v>
      </c>
      <c r="M636" s="74">
        <v>31.02923620430495</v>
      </c>
      <c r="N636" s="74">
        <f t="shared" si="1"/>
        <v>0</v>
      </c>
      <c r="O636" s="74" t="b">
        <v>1</v>
      </c>
    </row>
    <row r="637" hidden="1">
      <c r="A637" s="82"/>
      <c r="B637" s="65" t="s">
        <v>177</v>
      </c>
      <c r="C637" s="65" t="s">
        <v>100</v>
      </c>
      <c r="D637" s="65" t="str">
        <f>vlookup(C637,'Classificação p pessoal'!F:G,2,false)</f>
        <v>NP</v>
      </c>
      <c r="E637" s="65" t="s">
        <v>367</v>
      </c>
      <c r="F637" s="83">
        <v>0.3541666666666667</v>
      </c>
      <c r="G637" s="83">
        <v>0.375</v>
      </c>
      <c r="H637" s="83">
        <v>0.020833333333333332</v>
      </c>
      <c r="I637" s="84">
        <v>44308.0</v>
      </c>
      <c r="J637" s="65" t="b">
        <v>1</v>
      </c>
      <c r="K637" s="65"/>
      <c r="L637" s="85" t="b">
        <f>IF(VLOOKUP(C637,Projetos!A:L,12,false)=TRUE,TRUE,FALSE)</f>
        <v>1</v>
      </c>
      <c r="M637" s="74">
        <v>31.02923620430495</v>
      </c>
      <c r="N637" s="74">
        <f t="shared" si="1"/>
        <v>15.5146181</v>
      </c>
      <c r="O637" s="74" t="b">
        <v>1</v>
      </c>
    </row>
    <row r="638" hidden="1">
      <c r="A638" s="82"/>
      <c r="B638" s="65" t="s">
        <v>177</v>
      </c>
      <c r="C638" s="65" t="s">
        <v>101</v>
      </c>
      <c r="D638" s="65" t="str">
        <f>vlookup(C638,'Classificação p pessoal'!F:G,2,false)</f>
        <v>NP</v>
      </c>
      <c r="E638" s="65" t="s">
        <v>368</v>
      </c>
      <c r="F638" s="83">
        <v>0.375</v>
      </c>
      <c r="G638" s="83">
        <v>0.4166666666666667</v>
      </c>
      <c r="H638" s="83">
        <v>0.041666666666666664</v>
      </c>
      <c r="I638" s="84">
        <v>44308.0</v>
      </c>
      <c r="J638" s="65" t="b">
        <v>1</v>
      </c>
      <c r="K638" s="65"/>
      <c r="L638" s="85" t="b">
        <f>IF(VLOOKUP(C638,Projetos!A:L,12,false)=TRUE,TRUE,FALSE)</f>
        <v>1</v>
      </c>
      <c r="M638" s="74">
        <v>31.02923620430495</v>
      </c>
      <c r="N638" s="74">
        <f t="shared" si="1"/>
        <v>31.0292362</v>
      </c>
      <c r="O638" s="74" t="b">
        <v>1</v>
      </c>
    </row>
    <row r="639" hidden="1">
      <c r="A639" s="82"/>
      <c r="B639" s="65" t="s">
        <v>177</v>
      </c>
      <c r="C639" s="65" t="s">
        <v>92</v>
      </c>
      <c r="D639" s="65" t="str">
        <f>vlookup(C639,'Classificação p pessoal'!F:G,2,false)</f>
        <v/>
      </c>
      <c r="E639" s="65" t="s">
        <v>369</v>
      </c>
      <c r="F639" s="83">
        <v>0.5625</v>
      </c>
      <c r="G639" s="83">
        <v>0.5833333333333334</v>
      </c>
      <c r="H639" s="83">
        <v>0.020833333333333332</v>
      </c>
      <c r="I639" s="84">
        <v>44309.0</v>
      </c>
      <c r="J639" s="65" t="b">
        <v>1</v>
      </c>
      <c r="K639" s="65"/>
      <c r="L639" s="85" t="b">
        <f>IF(VLOOKUP(C639,Projetos!A:L,12,false)=TRUE,TRUE,FALSE)</f>
        <v>1</v>
      </c>
      <c r="M639" s="74">
        <v>31.02923620430495</v>
      </c>
      <c r="N639" s="74">
        <f t="shared" si="1"/>
        <v>15.5146181</v>
      </c>
      <c r="O639" s="74" t="b">
        <v>1</v>
      </c>
    </row>
    <row r="640" hidden="1">
      <c r="A640" s="82"/>
      <c r="B640" s="65" t="s">
        <v>177</v>
      </c>
      <c r="C640" s="65" t="s">
        <v>92</v>
      </c>
      <c r="D640" s="65" t="str">
        <f>vlookup(C640,'Classificação p pessoal'!F:G,2,false)</f>
        <v/>
      </c>
      <c r="E640" s="65" t="s">
        <v>370</v>
      </c>
      <c r="F640" s="83">
        <v>0.5833333333333334</v>
      </c>
      <c r="G640" s="83">
        <v>0.625</v>
      </c>
      <c r="H640" s="83">
        <v>0.041666666666666664</v>
      </c>
      <c r="I640" s="84">
        <v>44309.0</v>
      </c>
      <c r="J640" s="65" t="b">
        <v>1</v>
      </c>
      <c r="K640" s="65"/>
      <c r="L640" s="85" t="b">
        <f>IF(VLOOKUP(C640,Projetos!A:L,12,false)=TRUE,TRUE,FALSE)</f>
        <v>1</v>
      </c>
      <c r="M640" s="74">
        <v>31.02923620430495</v>
      </c>
      <c r="N640" s="74">
        <f t="shared" si="1"/>
        <v>31.0292362</v>
      </c>
      <c r="O640" s="74" t="b">
        <v>1</v>
      </c>
    </row>
    <row r="641" hidden="1">
      <c r="A641" s="82"/>
      <c r="B641" s="65" t="s">
        <v>177</v>
      </c>
      <c r="C641" s="65" t="s">
        <v>106</v>
      </c>
      <c r="D641" s="65" t="str">
        <f>vlookup(C641,'Classificação p pessoal'!F:G,2,false)</f>
        <v>MProcesso</v>
      </c>
      <c r="E641" s="65" t="s">
        <v>371</v>
      </c>
      <c r="F641" s="83">
        <v>0.6666666666666666</v>
      </c>
      <c r="G641" s="83">
        <v>0.7083333333333334</v>
      </c>
      <c r="H641" s="83">
        <v>0.041666666666666664</v>
      </c>
      <c r="I641" s="84">
        <v>44309.0</v>
      </c>
      <c r="J641" s="65" t="b">
        <v>1</v>
      </c>
      <c r="K641" s="65"/>
      <c r="L641" s="85" t="b">
        <f>IF(VLOOKUP(C641,Projetos!A:L,12,false)=TRUE,TRUE,FALSE)</f>
        <v>1</v>
      </c>
      <c r="M641" s="74">
        <v>31.02923620430495</v>
      </c>
      <c r="N641" s="74">
        <f t="shared" si="1"/>
        <v>31.0292362</v>
      </c>
      <c r="O641" s="74" t="b">
        <v>1</v>
      </c>
    </row>
    <row r="642" hidden="1">
      <c r="A642" s="82"/>
      <c r="B642" s="65" t="s">
        <v>177</v>
      </c>
      <c r="C642" s="65" t="s">
        <v>100</v>
      </c>
      <c r="D642" s="65" t="str">
        <f>vlookup(C642,'Classificação p pessoal'!F:G,2,false)</f>
        <v>NP</v>
      </c>
      <c r="E642" s="65" t="s">
        <v>372</v>
      </c>
      <c r="F642" s="83">
        <v>0.7083333333333334</v>
      </c>
      <c r="G642" s="83">
        <v>0.7291666666666666</v>
      </c>
      <c r="H642" s="83">
        <v>0.020833333333333332</v>
      </c>
      <c r="I642" s="84">
        <v>44309.0</v>
      </c>
      <c r="J642" s="65" t="b">
        <v>1</v>
      </c>
      <c r="K642" s="65"/>
      <c r="L642" s="85" t="b">
        <f>IF(VLOOKUP(C642,Projetos!A:L,12,false)=TRUE,TRUE,FALSE)</f>
        <v>1</v>
      </c>
      <c r="M642" s="74">
        <v>31.02923620430495</v>
      </c>
      <c r="N642" s="74">
        <f t="shared" si="1"/>
        <v>15.5146181</v>
      </c>
      <c r="O642" s="74" t="b">
        <v>1</v>
      </c>
    </row>
    <row r="643" hidden="1">
      <c r="A643" s="82"/>
      <c r="B643" s="65" t="s">
        <v>177</v>
      </c>
      <c r="C643" s="65" t="s">
        <v>152</v>
      </c>
      <c r="D643" s="65" t="str">
        <f>vlookup(C643,'Classificação p pessoal'!F:G,2,false)</f>
        <v>MProduto</v>
      </c>
      <c r="E643" s="65" t="s">
        <v>373</v>
      </c>
      <c r="F643" s="83">
        <v>0.3541666666666667</v>
      </c>
      <c r="G643" s="83">
        <v>0.4166666666666667</v>
      </c>
      <c r="H643" s="83">
        <v>0.0625</v>
      </c>
      <c r="I643" s="84">
        <v>44312.0</v>
      </c>
      <c r="J643" s="65" t="b">
        <v>1</v>
      </c>
      <c r="K643" s="65"/>
      <c r="L643" s="85" t="b">
        <f>IF(VLOOKUP(C643,Projetos!A:L,12,false)=TRUE,TRUE,FALSE)</f>
        <v>1</v>
      </c>
      <c r="M643" s="74">
        <v>31.02923620430495</v>
      </c>
      <c r="N643" s="74">
        <f t="shared" si="1"/>
        <v>46.54385431</v>
      </c>
      <c r="O643" s="74" t="b">
        <v>1</v>
      </c>
    </row>
    <row r="644" hidden="1">
      <c r="A644" s="82"/>
      <c r="B644" s="65" t="s">
        <v>177</v>
      </c>
      <c r="C644" s="65" t="s">
        <v>100</v>
      </c>
      <c r="D644" s="65"/>
      <c r="E644" s="65" t="s">
        <v>374</v>
      </c>
      <c r="F644" s="83">
        <v>0.6041666666666666</v>
      </c>
      <c r="G644" s="83">
        <v>0.6458333333333334</v>
      </c>
      <c r="H644" s="83">
        <v>0.041666666666666664</v>
      </c>
      <c r="I644" s="84">
        <v>44312.0</v>
      </c>
      <c r="J644" s="65" t="b">
        <v>0</v>
      </c>
      <c r="K644" s="65" t="s">
        <v>150</v>
      </c>
      <c r="L644" s="85" t="b">
        <f>IF(VLOOKUP(C644,Projetos!A:L,12,false)=TRUE,TRUE,FALSE)</f>
        <v>1</v>
      </c>
      <c r="M644" s="74">
        <v>31.02923620430495</v>
      </c>
      <c r="N644" s="74">
        <f t="shared" si="1"/>
        <v>0</v>
      </c>
      <c r="O644" s="74" t="b">
        <v>1</v>
      </c>
    </row>
    <row r="645" hidden="1">
      <c r="A645" s="82"/>
      <c r="B645" s="65" t="s">
        <v>177</v>
      </c>
      <c r="C645" s="65" t="s">
        <v>118</v>
      </c>
      <c r="D645" s="65"/>
      <c r="E645" s="65" t="s">
        <v>375</v>
      </c>
      <c r="F645" s="83">
        <v>0.375</v>
      </c>
      <c r="G645" s="83">
        <v>0.3888888888888889</v>
      </c>
      <c r="H645" s="83">
        <v>0.013888888888888888</v>
      </c>
      <c r="I645" s="84">
        <v>44520.0</v>
      </c>
      <c r="J645" s="65" t="b">
        <v>0</v>
      </c>
      <c r="K645" s="65"/>
      <c r="L645" s="85" t="b">
        <f>IF(VLOOKUP(C645,Projetos!A:L,12,false)=TRUE,TRUE,FALSE)</f>
        <v>1</v>
      </c>
      <c r="M645" s="74">
        <v>31.02923620430495</v>
      </c>
      <c r="N645" s="74">
        <f t="shared" si="1"/>
        <v>0</v>
      </c>
      <c r="O645" s="74" t="b">
        <v>1</v>
      </c>
    </row>
    <row r="646" hidden="1">
      <c r="A646" s="82"/>
      <c r="B646" s="65" t="s">
        <v>177</v>
      </c>
      <c r="C646" s="65" t="s">
        <v>152</v>
      </c>
      <c r="D646" s="65" t="str">
        <f>vlookup(C646,'Classificação p pessoal'!F:G,2,false)</f>
        <v>MProduto</v>
      </c>
      <c r="E646" s="65" t="s">
        <v>223</v>
      </c>
      <c r="F646" s="83">
        <v>0.3541666666666667</v>
      </c>
      <c r="G646" s="83">
        <v>0.375</v>
      </c>
      <c r="H646" s="83">
        <v>0.020833333333333332</v>
      </c>
      <c r="I646" s="84">
        <v>44313.0</v>
      </c>
      <c r="J646" s="65" t="b">
        <v>1</v>
      </c>
      <c r="K646" s="65"/>
      <c r="L646" s="85" t="b">
        <f>IF(VLOOKUP(C646,Projetos!A:L,12,false)=TRUE,TRUE,FALSE)</f>
        <v>1</v>
      </c>
      <c r="M646" s="74">
        <v>31.02923620430495</v>
      </c>
      <c r="N646" s="74">
        <f t="shared" si="1"/>
        <v>15.5146181</v>
      </c>
      <c r="O646" s="74" t="b">
        <v>1</v>
      </c>
    </row>
    <row r="647" hidden="1">
      <c r="A647" s="82"/>
      <c r="B647" s="65" t="s">
        <v>177</v>
      </c>
      <c r="C647" s="65" t="s">
        <v>92</v>
      </c>
      <c r="D647" s="65" t="str">
        <f>vlookup(C647,'Classificação p pessoal'!F:G,2,false)</f>
        <v/>
      </c>
      <c r="E647" s="65" t="s">
        <v>376</v>
      </c>
      <c r="F647" s="83">
        <v>0.5833333333333334</v>
      </c>
      <c r="G647" s="83">
        <v>0.625</v>
      </c>
      <c r="H647" s="83">
        <v>0.041666666666666664</v>
      </c>
      <c r="I647" s="84">
        <v>44313.0</v>
      </c>
      <c r="J647" s="65" t="b">
        <v>1</v>
      </c>
      <c r="K647" s="65"/>
      <c r="L647" s="85" t="b">
        <f>IF(VLOOKUP(C647,Projetos!A:L,12,false)=TRUE,TRUE,FALSE)</f>
        <v>1</v>
      </c>
      <c r="M647" s="74">
        <v>31.02923620430495</v>
      </c>
      <c r="N647" s="74">
        <f t="shared" si="1"/>
        <v>31.0292362</v>
      </c>
      <c r="O647" s="74" t="b">
        <v>1</v>
      </c>
    </row>
    <row r="648" hidden="1">
      <c r="A648" s="82"/>
      <c r="B648" s="65" t="s">
        <v>177</v>
      </c>
      <c r="C648" s="65" t="s">
        <v>92</v>
      </c>
      <c r="D648" s="65" t="str">
        <f>vlookup(C648,'Classificação p pessoal'!F:G,2,false)</f>
        <v/>
      </c>
      <c r="E648" s="65" t="s">
        <v>377</v>
      </c>
      <c r="F648" s="83">
        <v>0.625</v>
      </c>
      <c r="G648" s="83">
        <v>0.6666666666666666</v>
      </c>
      <c r="H648" s="83">
        <v>0.041666666666666664</v>
      </c>
      <c r="I648" s="84">
        <v>44313.0</v>
      </c>
      <c r="J648" s="65" t="b">
        <v>1</v>
      </c>
      <c r="K648" s="65"/>
      <c r="L648" s="85" t="b">
        <f>IF(VLOOKUP(C648,Projetos!A:L,12,false)=TRUE,TRUE,FALSE)</f>
        <v>1</v>
      </c>
      <c r="M648" s="74">
        <v>31.02923620430495</v>
      </c>
      <c r="N648" s="74">
        <f t="shared" si="1"/>
        <v>31.0292362</v>
      </c>
      <c r="O648" s="74" t="b">
        <v>1</v>
      </c>
    </row>
    <row r="649" hidden="1">
      <c r="A649" s="82"/>
      <c r="B649" s="65" t="s">
        <v>177</v>
      </c>
      <c r="C649" s="65" t="s">
        <v>92</v>
      </c>
      <c r="D649" s="65" t="str">
        <f>vlookup(C649,'Classificação p pessoal'!F:G,2,false)</f>
        <v/>
      </c>
      <c r="E649" s="65" t="s">
        <v>378</v>
      </c>
      <c r="F649" s="83">
        <v>0.6666666666666666</v>
      </c>
      <c r="G649" s="83">
        <v>0.7083333333333334</v>
      </c>
      <c r="H649" s="83">
        <v>0.041666666666666664</v>
      </c>
      <c r="I649" s="84">
        <v>44313.0</v>
      </c>
      <c r="J649" s="65" t="b">
        <v>1</v>
      </c>
      <c r="K649" s="65"/>
      <c r="L649" s="85" t="b">
        <f>IF(VLOOKUP(C649,Projetos!A:L,12,false)=TRUE,TRUE,FALSE)</f>
        <v>1</v>
      </c>
      <c r="M649" s="74">
        <v>31.02923620430495</v>
      </c>
      <c r="N649" s="74">
        <f t="shared" si="1"/>
        <v>31.0292362</v>
      </c>
      <c r="O649" s="74" t="b">
        <v>1</v>
      </c>
    </row>
    <row r="650" hidden="1">
      <c r="A650" s="82"/>
      <c r="B650" s="65" t="s">
        <v>177</v>
      </c>
      <c r="C650" s="65" t="s">
        <v>92</v>
      </c>
      <c r="D650" s="65" t="str">
        <f>vlookup(C650,'Classificação p pessoal'!F:G,2,false)</f>
        <v/>
      </c>
      <c r="E650" s="65" t="s">
        <v>379</v>
      </c>
      <c r="F650" s="83">
        <v>0.7083333333333334</v>
      </c>
      <c r="G650" s="83">
        <v>0.75</v>
      </c>
      <c r="H650" s="83">
        <v>0.041666666666666664</v>
      </c>
      <c r="I650" s="84">
        <v>44313.0</v>
      </c>
      <c r="J650" s="65" t="b">
        <v>1</v>
      </c>
      <c r="K650" s="65"/>
      <c r="L650" s="85" t="b">
        <f>IF(VLOOKUP(C650,Projetos!A:L,12,false)=TRUE,TRUE,FALSE)</f>
        <v>1</v>
      </c>
      <c r="M650" s="74">
        <v>31.02923620430495</v>
      </c>
      <c r="N650" s="74">
        <f t="shared" si="1"/>
        <v>31.0292362</v>
      </c>
      <c r="O650" s="74" t="b">
        <v>1</v>
      </c>
    </row>
    <row r="651" hidden="1">
      <c r="A651" s="82"/>
      <c r="B651" s="65" t="s">
        <v>177</v>
      </c>
      <c r="C651" s="65" t="s">
        <v>100</v>
      </c>
      <c r="D651" s="65" t="str">
        <f>vlookup(C651,'Classificação p pessoal'!F:G,2,false)</f>
        <v>NP</v>
      </c>
      <c r="E651" s="65" t="s">
        <v>229</v>
      </c>
      <c r="F651" s="83">
        <v>0.4583333333333333</v>
      </c>
      <c r="G651" s="83">
        <v>0.5</v>
      </c>
      <c r="H651" s="83">
        <v>0.041666666666666664</v>
      </c>
      <c r="I651" s="84">
        <v>44313.0</v>
      </c>
      <c r="J651" s="65" t="b">
        <v>1</v>
      </c>
      <c r="K651" s="65"/>
      <c r="L651" s="85" t="b">
        <f>IF(VLOOKUP(C651,Projetos!A:L,12,false)=TRUE,TRUE,FALSE)</f>
        <v>1</v>
      </c>
      <c r="M651" s="74">
        <v>31.02923620430495</v>
      </c>
      <c r="N651" s="74">
        <f t="shared" si="1"/>
        <v>31.0292362</v>
      </c>
      <c r="O651" s="74" t="b">
        <v>1</v>
      </c>
    </row>
    <row r="652" hidden="1">
      <c r="A652" s="82"/>
      <c r="B652" s="65" t="s">
        <v>177</v>
      </c>
      <c r="C652" s="65" t="s">
        <v>107</v>
      </c>
      <c r="D652" s="65" t="str">
        <f>vlookup(C652,'Classificação p pessoal'!F:G,2,false)</f>
        <v>NP</v>
      </c>
      <c r="E652" s="65" t="s">
        <v>380</v>
      </c>
      <c r="F652" s="83">
        <v>0.3958333333333333</v>
      </c>
      <c r="G652" s="83">
        <v>0.5416666666666666</v>
      </c>
      <c r="H652" s="83">
        <v>0.14583333333333334</v>
      </c>
      <c r="I652" s="84">
        <v>44314.0</v>
      </c>
      <c r="J652" s="65" t="b">
        <v>1</v>
      </c>
      <c r="K652" s="65"/>
      <c r="L652" s="85" t="b">
        <f>IF(VLOOKUP(C652,Projetos!A:L,12,false)=TRUE,TRUE,FALSE)</f>
        <v>1</v>
      </c>
      <c r="M652" s="74">
        <v>31.02923620430495</v>
      </c>
      <c r="N652" s="74">
        <f t="shared" si="1"/>
        <v>108.6023267</v>
      </c>
      <c r="O652" s="74" t="b">
        <v>1</v>
      </c>
    </row>
    <row r="653" hidden="1">
      <c r="A653" s="82"/>
      <c r="B653" s="65" t="s">
        <v>177</v>
      </c>
      <c r="C653" s="65" t="s">
        <v>91</v>
      </c>
      <c r="D653" s="65"/>
      <c r="E653" s="65" t="s">
        <v>381</v>
      </c>
      <c r="F653" s="83">
        <v>0.4166666666666667</v>
      </c>
      <c r="G653" s="83">
        <v>0.46875</v>
      </c>
      <c r="H653" s="83">
        <v>0.052083333333333336</v>
      </c>
      <c r="I653" s="84">
        <v>44314.0</v>
      </c>
      <c r="J653" s="65" t="b">
        <v>0</v>
      </c>
      <c r="K653" s="65" t="s">
        <v>150</v>
      </c>
      <c r="L653" s="85" t="b">
        <f>IF(VLOOKUP(C653,Projetos!A:L,12,false)=TRUE,TRUE,FALSE)</f>
        <v>1</v>
      </c>
      <c r="M653" s="74">
        <v>31.02923620430495</v>
      </c>
      <c r="N653" s="74">
        <f t="shared" si="1"/>
        <v>0</v>
      </c>
      <c r="O653" s="74" t="b">
        <v>1</v>
      </c>
    </row>
    <row r="654" hidden="1">
      <c r="A654" s="82"/>
      <c r="B654" s="65" t="s">
        <v>177</v>
      </c>
      <c r="C654" s="65" t="s">
        <v>106</v>
      </c>
      <c r="D654" s="65"/>
      <c r="E654" s="65" t="s">
        <v>382</v>
      </c>
      <c r="F654" s="83">
        <v>0.375</v>
      </c>
      <c r="G654" s="83">
        <v>0.40625</v>
      </c>
      <c r="H654" s="83">
        <v>0.03125</v>
      </c>
      <c r="I654" s="84">
        <v>44315.0</v>
      </c>
      <c r="J654" s="65" t="b">
        <v>0</v>
      </c>
      <c r="K654" s="65" t="s">
        <v>150</v>
      </c>
      <c r="L654" s="85" t="b">
        <f>IF(VLOOKUP(C654,Projetos!A:L,12,false)=TRUE,TRUE,FALSE)</f>
        <v>1</v>
      </c>
      <c r="M654" s="74">
        <v>31.02923620430495</v>
      </c>
      <c r="N654" s="74">
        <f t="shared" si="1"/>
        <v>0</v>
      </c>
      <c r="O654" s="74" t="b">
        <v>1</v>
      </c>
    </row>
    <row r="655" hidden="1">
      <c r="A655" s="82"/>
      <c r="B655" s="65" t="s">
        <v>177</v>
      </c>
      <c r="C655" s="65" t="s">
        <v>100</v>
      </c>
      <c r="D655" s="65"/>
      <c r="E655" s="65" t="s">
        <v>383</v>
      </c>
      <c r="F655" s="83">
        <v>0.4166666666666667</v>
      </c>
      <c r="G655" s="83">
        <v>0.4583333333333333</v>
      </c>
      <c r="H655" s="83">
        <v>0.041666666666666664</v>
      </c>
      <c r="I655" s="84">
        <v>44316.0</v>
      </c>
      <c r="J655" s="65" t="b">
        <v>0</v>
      </c>
      <c r="K655" s="65" t="s">
        <v>150</v>
      </c>
      <c r="L655" s="85" t="b">
        <f>IF(VLOOKUP(C655,Projetos!A:L,12,false)=TRUE,TRUE,FALSE)</f>
        <v>1</v>
      </c>
      <c r="M655" s="74">
        <v>31.02923620430495</v>
      </c>
      <c r="N655" s="74">
        <f t="shared" si="1"/>
        <v>0</v>
      </c>
      <c r="O655" s="74" t="b">
        <v>1</v>
      </c>
    </row>
    <row r="656">
      <c r="A656" s="82"/>
      <c r="B656" s="65" t="s">
        <v>177</v>
      </c>
      <c r="C656" s="65" t="s">
        <v>108</v>
      </c>
      <c r="D656" s="65" t="str">
        <f>vlookup(C656,'Classificação p pessoal'!F:G,2,false)</f>
        <v>NP</v>
      </c>
      <c r="E656" s="65" t="s">
        <v>384</v>
      </c>
      <c r="F656" s="83">
        <v>0.4583333333333333</v>
      </c>
      <c r="G656" s="83">
        <v>0.625</v>
      </c>
      <c r="H656" s="83">
        <v>0.16666666666666666</v>
      </c>
      <c r="I656" s="84">
        <v>44316.0</v>
      </c>
      <c r="J656" s="65" t="b">
        <v>1</v>
      </c>
      <c r="K656" s="65"/>
      <c r="L656" s="85" t="b">
        <f>IF(VLOOKUP(C656,Projetos!A:L,12,false)=TRUE,TRUE,FALSE)</f>
        <v>1</v>
      </c>
      <c r="M656" s="74">
        <v>31.02923620430495</v>
      </c>
      <c r="N656" s="74">
        <f t="shared" si="1"/>
        <v>124.1169448</v>
      </c>
      <c r="O656" s="74" t="b">
        <v>1</v>
      </c>
    </row>
    <row r="657">
      <c r="A657" s="82"/>
      <c r="B657" s="65" t="s">
        <v>177</v>
      </c>
      <c r="C657" s="65" t="s">
        <v>108</v>
      </c>
      <c r="D657" s="65" t="str">
        <f>vlookup(C657,'Classificação p pessoal'!F:G,2,false)</f>
        <v>NP</v>
      </c>
      <c r="E657" s="65" t="s">
        <v>385</v>
      </c>
      <c r="F657" s="83">
        <v>0.6875</v>
      </c>
      <c r="G657" s="83">
        <v>0.7291666666666666</v>
      </c>
      <c r="H657" s="83">
        <v>0.041666666666666664</v>
      </c>
      <c r="I657" s="84">
        <v>44341.0</v>
      </c>
      <c r="J657" s="65" t="b">
        <v>1</v>
      </c>
      <c r="K657" s="65"/>
      <c r="L657" s="85" t="b">
        <f>IF(VLOOKUP(C657,Projetos!A:L,12,false)=TRUE,TRUE,FALSE)</f>
        <v>1</v>
      </c>
      <c r="M657" s="74">
        <v>31.02923620430495</v>
      </c>
      <c r="N657" s="74">
        <f t="shared" si="1"/>
        <v>31.0292362</v>
      </c>
      <c r="O657" s="74" t="b">
        <v>1</v>
      </c>
    </row>
    <row r="658" hidden="1">
      <c r="A658" s="82"/>
      <c r="B658" s="65" t="s">
        <v>177</v>
      </c>
      <c r="C658" s="65" t="s">
        <v>100</v>
      </c>
      <c r="D658" s="65" t="str">
        <f>vlookup(C658,'Classificação p pessoal'!F:G,2,false)</f>
        <v>NP</v>
      </c>
      <c r="E658" s="65" t="s">
        <v>386</v>
      </c>
      <c r="F658" s="83">
        <v>0.34375</v>
      </c>
      <c r="G658" s="83">
        <v>0.3645833333333333</v>
      </c>
      <c r="H658" s="83">
        <v>0.020833333333333332</v>
      </c>
      <c r="I658" s="84">
        <v>44319.0</v>
      </c>
      <c r="J658" s="65" t="b">
        <v>1</v>
      </c>
      <c r="K658" s="65"/>
      <c r="L658" s="85" t="b">
        <f>IF(VLOOKUP(C658,Projetos!A:L,12,false)=TRUE,TRUE,FALSE)</f>
        <v>1</v>
      </c>
      <c r="M658" s="74">
        <v>31.02923620430495</v>
      </c>
      <c r="N658" s="74">
        <f t="shared" si="1"/>
        <v>15.5146181</v>
      </c>
      <c r="O658" s="74" t="b">
        <v>1</v>
      </c>
    </row>
    <row r="659" hidden="1">
      <c r="A659" s="82"/>
      <c r="B659" s="65" t="s">
        <v>177</v>
      </c>
      <c r="C659" s="65" t="s">
        <v>100</v>
      </c>
      <c r="D659" s="65" t="str">
        <f>vlookup(C659,'Classificação p pessoal'!F:G,2,false)</f>
        <v>NP</v>
      </c>
      <c r="E659" s="65" t="s">
        <v>229</v>
      </c>
      <c r="F659" s="83">
        <v>0.3645833333333333</v>
      </c>
      <c r="G659" s="83">
        <v>0.3854166666666667</v>
      </c>
      <c r="H659" s="83">
        <v>0.020833333333333332</v>
      </c>
      <c r="I659" s="84">
        <v>44319.0</v>
      </c>
      <c r="J659" s="65" t="b">
        <v>1</v>
      </c>
      <c r="K659" s="65"/>
      <c r="L659" s="85" t="b">
        <f>IF(VLOOKUP(C659,Projetos!A:L,12,false)=TRUE,TRUE,FALSE)</f>
        <v>1</v>
      </c>
      <c r="M659" s="74">
        <v>31.02923620430495</v>
      </c>
      <c r="N659" s="74">
        <f t="shared" si="1"/>
        <v>15.5146181</v>
      </c>
      <c r="O659" s="74" t="b">
        <v>1</v>
      </c>
    </row>
    <row r="660">
      <c r="A660" s="82"/>
      <c r="B660" s="65" t="s">
        <v>177</v>
      </c>
      <c r="C660" s="65" t="s">
        <v>108</v>
      </c>
      <c r="D660" s="65" t="str">
        <f>vlookup(C660,'Classificação p pessoal'!F:G,2,false)</f>
        <v>NP</v>
      </c>
      <c r="E660" s="65" t="s">
        <v>387</v>
      </c>
      <c r="F660" s="83">
        <v>0.6666666666666666</v>
      </c>
      <c r="G660" s="83">
        <v>0.6875</v>
      </c>
      <c r="H660" s="83">
        <v>0.020833333333333332</v>
      </c>
      <c r="I660" s="84">
        <v>44263.0</v>
      </c>
      <c r="J660" s="65" t="b">
        <v>1</v>
      </c>
      <c r="K660" s="65"/>
      <c r="L660" s="85" t="b">
        <f>IF(VLOOKUP(C660,Projetos!A:L,12,false)=TRUE,TRUE,FALSE)</f>
        <v>1</v>
      </c>
      <c r="M660" s="74">
        <v>31.02923620430495</v>
      </c>
      <c r="N660" s="74">
        <f t="shared" si="1"/>
        <v>15.5146181</v>
      </c>
      <c r="O660" s="74" t="b">
        <v>1</v>
      </c>
    </row>
    <row r="661">
      <c r="A661" s="82"/>
      <c r="B661" s="65" t="s">
        <v>177</v>
      </c>
      <c r="C661" s="65" t="s">
        <v>108</v>
      </c>
      <c r="D661" s="65" t="str">
        <f>vlookup(C661,'Classificação p pessoal'!F:G,2,false)</f>
        <v>NP</v>
      </c>
      <c r="E661" s="65" t="s">
        <v>388</v>
      </c>
      <c r="F661" s="83">
        <v>0.4270833333333333</v>
      </c>
      <c r="G661" s="83">
        <v>0.4375</v>
      </c>
      <c r="H661" s="83">
        <v>0.010416666666666666</v>
      </c>
      <c r="I661" s="84">
        <v>44319.0</v>
      </c>
      <c r="J661" s="65" t="b">
        <v>1</v>
      </c>
      <c r="K661" s="65"/>
      <c r="L661" s="85" t="b">
        <f>IF(VLOOKUP(C661,Projetos!A:L,12,false)=TRUE,TRUE,FALSE)</f>
        <v>1</v>
      </c>
      <c r="M661" s="74">
        <v>31.02923620430495</v>
      </c>
      <c r="N661" s="74">
        <f t="shared" si="1"/>
        <v>7.757309051</v>
      </c>
      <c r="O661" s="74" t="b">
        <v>1</v>
      </c>
    </row>
    <row r="662" hidden="1">
      <c r="A662" s="82"/>
      <c r="B662" s="65" t="s">
        <v>177</v>
      </c>
      <c r="C662" s="65" t="s">
        <v>92</v>
      </c>
      <c r="D662" s="65" t="str">
        <f>vlookup(C662,'Classificação p pessoal'!F:G,2,false)</f>
        <v/>
      </c>
      <c r="E662" s="65" t="s">
        <v>389</v>
      </c>
      <c r="F662" s="83">
        <v>0.4375</v>
      </c>
      <c r="G662" s="83">
        <v>0.4583333333333333</v>
      </c>
      <c r="H662" s="83">
        <v>0.020833333333333332</v>
      </c>
      <c r="I662" s="84">
        <v>44319.0</v>
      </c>
      <c r="J662" s="65" t="b">
        <v>1</v>
      </c>
      <c r="K662" s="65"/>
      <c r="L662" s="85" t="b">
        <f>IF(VLOOKUP(C662,Projetos!A:L,12,false)=TRUE,TRUE,FALSE)</f>
        <v>1</v>
      </c>
      <c r="M662" s="74">
        <v>31.02923620430495</v>
      </c>
      <c r="N662" s="74">
        <f t="shared" si="1"/>
        <v>15.5146181</v>
      </c>
      <c r="O662" s="74" t="b">
        <v>1</v>
      </c>
    </row>
    <row r="663" hidden="1">
      <c r="A663" s="82"/>
      <c r="B663" s="65" t="s">
        <v>177</v>
      </c>
      <c r="C663" s="65" t="s">
        <v>92</v>
      </c>
      <c r="D663" s="65" t="str">
        <f>vlookup(C663,'Classificação p pessoal'!F:G,2,false)</f>
        <v/>
      </c>
      <c r="E663" s="65" t="s">
        <v>390</v>
      </c>
      <c r="F663" s="83">
        <v>0.4583333333333333</v>
      </c>
      <c r="G663" s="83">
        <v>0.4791666666666667</v>
      </c>
      <c r="H663" s="83">
        <v>0.020833333333333332</v>
      </c>
      <c r="I663" s="84">
        <v>44319.0</v>
      </c>
      <c r="J663" s="65" t="b">
        <v>1</v>
      </c>
      <c r="K663" s="65"/>
      <c r="L663" s="85" t="b">
        <f>IF(VLOOKUP(C663,Projetos!A:L,12,false)=TRUE,TRUE,FALSE)</f>
        <v>1</v>
      </c>
      <c r="M663" s="74">
        <v>31.02923620430495</v>
      </c>
      <c r="N663" s="74">
        <f t="shared" si="1"/>
        <v>15.5146181</v>
      </c>
      <c r="O663" s="74" t="b">
        <v>1</v>
      </c>
    </row>
    <row r="664" hidden="1">
      <c r="A664" s="82"/>
      <c r="B664" s="65" t="s">
        <v>177</v>
      </c>
      <c r="C664" s="65" t="s">
        <v>92</v>
      </c>
      <c r="D664" s="65" t="str">
        <f>vlookup(C664,'Classificação p pessoal'!F:G,2,false)</f>
        <v/>
      </c>
      <c r="E664" s="65" t="s">
        <v>391</v>
      </c>
      <c r="F664" s="83">
        <v>0.4791666666666667</v>
      </c>
      <c r="G664" s="83">
        <v>0.4895833333333333</v>
      </c>
      <c r="H664" s="83">
        <v>0.010416666666666666</v>
      </c>
      <c r="I664" s="84">
        <v>44319.0</v>
      </c>
      <c r="J664" s="65" t="b">
        <v>1</v>
      </c>
      <c r="K664" s="65"/>
      <c r="L664" s="85" t="b">
        <f>IF(VLOOKUP(C664,Projetos!A:L,12,false)=TRUE,TRUE,FALSE)</f>
        <v>1</v>
      </c>
      <c r="M664" s="74">
        <v>31.02923620430495</v>
      </c>
      <c r="N664" s="74">
        <f t="shared" si="1"/>
        <v>7.757309051</v>
      </c>
      <c r="O664" s="74" t="b">
        <v>1</v>
      </c>
    </row>
    <row r="665">
      <c r="A665" s="82"/>
      <c r="B665" s="65" t="s">
        <v>177</v>
      </c>
      <c r="C665" s="65" t="s">
        <v>108</v>
      </c>
      <c r="D665" s="65" t="str">
        <f>vlookup(C665,'Classificação p pessoal'!F:G,2,false)</f>
        <v>NP</v>
      </c>
      <c r="E665" s="65" t="s">
        <v>392</v>
      </c>
      <c r="F665" s="83">
        <v>0.4895833333333333</v>
      </c>
      <c r="G665" s="83">
        <v>0.53125</v>
      </c>
      <c r="H665" s="83">
        <v>0.041666666666666664</v>
      </c>
      <c r="I665" s="84">
        <v>44319.0</v>
      </c>
      <c r="J665" s="65" t="b">
        <v>1</v>
      </c>
      <c r="K665" s="65"/>
      <c r="L665" s="85" t="b">
        <f>IF(VLOOKUP(C665,Projetos!A:L,12,false)=TRUE,TRUE,FALSE)</f>
        <v>1</v>
      </c>
      <c r="M665" s="74">
        <v>31.02923620430495</v>
      </c>
      <c r="N665" s="74">
        <f t="shared" si="1"/>
        <v>31.0292362</v>
      </c>
      <c r="O665" s="74" t="b">
        <v>1</v>
      </c>
    </row>
    <row r="666" hidden="1">
      <c r="A666" s="82"/>
      <c r="B666" s="65" t="s">
        <v>177</v>
      </c>
      <c r="C666" s="65" t="s">
        <v>91</v>
      </c>
      <c r="D666" s="65"/>
      <c r="E666" s="65" t="s">
        <v>393</v>
      </c>
      <c r="F666" s="83">
        <v>0.34375</v>
      </c>
      <c r="G666" s="83">
        <v>0.5416666666666666</v>
      </c>
      <c r="H666" s="83">
        <v>0.19791666666666666</v>
      </c>
      <c r="I666" s="84">
        <v>44321.0</v>
      </c>
      <c r="J666" s="65" t="b">
        <v>0</v>
      </c>
      <c r="K666" s="65" t="s">
        <v>150</v>
      </c>
      <c r="L666" s="85" t="b">
        <f>IF(VLOOKUP(C666,Projetos!A:L,12,false)=TRUE,TRUE,FALSE)</f>
        <v>1</v>
      </c>
      <c r="M666" s="74">
        <v>31.02923620430495</v>
      </c>
      <c r="N666" s="74">
        <f t="shared" si="1"/>
        <v>0</v>
      </c>
      <c r="O666" s="74" t="b">
        <v>1</v>
      </c>
    </row>
    <row r="667" hidden="1">
      <c r="A667" s="82"/>
      <c r="B667" s="65" t="s">
        <v>177</v>
      </c>
      <c r="C667" s="65" t="s">
        <v>107</v>
      </c>
      <c r="D667" s="65" t="str">
        <f>vlookup(C667,'Classificação p pessoal'!F:G,2,false)</f>
        <v>NP</v>
      </c>
      <c r="E667" s="65" t="s">
        <v>394</v>
      </c>
      <c r="F667" s="83">
        <v>0.375</v>
      </c>
      <c r="G667" s="83">
        <v>0.4166666666666667</v>
      </c>
      <c r="H667" s="83">
        <v>0.041666666666666664</v>
      </c>
      <c r="I667" s="84">
        <v>44322.0</v>
      </c>
      <c r="J667" s="65" t="b">
        <v>1</v>
      </c>
      <c r="K667" s="65"/>
      <c r="L667" s="85" t="b">
        <f>IF(VLOOKUP(C667,Projetos!A:L,12,false)=TRUE,TRUE,FALSE)</f>
        <v>1</v>
      </c>
      <c r="M667" s="74">
        <v>31.02923620430495</v>
      </c>
      <c r="N667" s="74">
        <f t="shared" si="1"/>
        <v>31.0292362</v>
      </c>
      <c r="O667" s="74" t="b">
        <v>1</v>
      </c>
    </row>
    <row r="668" hidden="1">
      <c r="A668" s="82"/>
      <c r="B668" s="65" t="s">
        <v>177</v>
      </c>
      <c r="C668" s="65" t="s">
        <v>107</v>
      </c>
      <c r="D668" s="65" t="str">
        <f>vlookup(C668,'Classificação p pessoal'!F:G,2,false)</f>
        <v>NP</v>
      </c>
      <c r="E668" s="65" t="s">
        <v>395</v>
      </c>
      <c r="F668" s="83">
        <v>0.3958333333333333</v>
      </c>
      <c r="G668" s="83">
        <v>0.5416666666666666</v>
      </c>
      <c r="H668" s="83">
        <v>0.14583333333333334</v>
      </c>
      <c r="I668" s="84">
        <v>44323.0</v>
      </c>
      <c r="J668" s="65" t="b">
        <v>1</v>
      </c>
      <c r="K668" s="65"/>
      <c r="L668" s="85" t="b">
        <f>IF(VLOOKUP(C668,Projetos!A:L,12,false)=TRUE,TRUE,FALSE)</f>
        <v>1</v>
      </c>
      <c r="M668" s="74">
        <v>31.02923620430495</v>
      </c>
      <c r="N668" s="74">
        <f t="shared" si="1"/>
        <v>108.6023267</v>
      </c>
      <c r="O668" s="74" t="b">
        <v>1</v>
      </c>
    </row>
    <row r="669">
      <c r="A669" s="82"/>
      <c r="B669" s="65" t="s">
        <v>177</v>
      </c>
      <c r="C669" s="65" t="s">
        <v>108</v>
      </c>
      <c r="D669" s="65" t="str">
        <f>vlookup(C669,'Classificação p pessoal'!F:G,2,false)</f>
        <v>NP</v>
      </c>
      <c r="E669" s="65" t="s">
        <v>396</v>
      </c>
      <c r="F669" s="83">
        <v>0.5833333333333334</v>
      </c>
      <c r="G669" s="83">
        <v>0.6041666666666666</v>
      </c>
      <c r="H669" s="83">
        <v>0.020833333333333332</v>
      </c>
      <c r="I669" s="84">
        <v>44323.0</v>
      </c>
      <c r="J669" s="65" t="b">
        <v>1</v>
      </c>
      <c r="K669" s="65"/>
      <c r="L669" s="85" t="b">
        <f>IF(VLOOKUP(C669,Projetos!A:L,12,false)=TRUE,TRUE,FALSE)</f>
        <v>1</v>
      </c>
      <c r="M669" s="74">
        <v>31.02923620430495</v>
      </c>
      <c r="N669" s="74">
        <f t="shared" si="1"/>
        <v>15.5146181</v>
      </c>
      <c r="O669" s="74" t="b">
        <v>1</v>
      </c>
    </row>
    <row r="670" hidden="1">
      <c r="A670" s="82"/>
      <c r="B670" s="65" t="s">
        <v>177</v>
      </c>
      <c r="C670" s="65" t="s">
        <v>117</v>
      </c>
      <c r="D670" s="65"/>
      <c r="E670" s="65" t="s">
        <v>397</v>
      </c>
      <c r="F670" s="83">
        <v>0.6666666666666666</v>
      </c>
      <c r="G670" s="83">
        <v>0.6875</v>
      </c>
      <c r="H670" s="83">
        <v>0.020833333333333332</v>
      </c>
      <c r="I670" s="84">
        <v>44323.0</v>
      </c>
      <c r="J670" s="65" t="b">
        <v>0</v>
      </c>
      <c r="K670" s="65" t="s">
        <v>150</v>
      </c>
      <c r="L670" s="85" t="b">
        <f>IF(VLOOKUP(C670,Projetos!A:L,12,false)=TRUE,TRUE,FALSE)</f>
        <v>1</v>
      </c>
      <c r="M670" s="74">
        <v>31.02923620430495</v>
      </c>
      <c r="N670" s="74">
        <f t="shared" si="1"/>
        <v>0</v>
      </c>
      <c r="O670" s="74" t="b">
        <v>1</v>
      </c>
    </row>
    <row r="671">
      <c r="A671" s="82"/>
      <c r="B671" s="65" t="s">
        <v>177</v>
      </c>
      <c r="C671" s="65" t="s">
        <v>108</v>
      </c>
      <c r="D671" s="65" t="str">
        <f>vlookup(C671,'Classificação p pessoal'!F:G,2,false)</f>
        <v>NP</v>
      </c>
      <c r="E671" s="65" t="s">
        <v>398</v>
      </c>
      <c r="F671" s="83">
        <v>0.34375</v>
      </c>
      <c r="G671" s="83">
        <v>0.375</v>
      </c>
      <c r="H671" s="83">
        <v>0.03125</v>
      </c>
      <c r="I671" s="84">
        <v>44326.0</v>
      </c>
      <c r="J671" s="65" t="b">
        <v>1</v>
      </c>
      <c r="K671" s="65"/>
      <c r="L671" s="85" t="b">
        <f>IF(VLOOKUP(C671,Projetos!A:L,12,false)=TRUE,TRUE,FALSE)</f>
        <v>1</v>
      </c>
      <c r="M671" s="74">
        <v>31.02923620430495</v>
      </c>
      <c r="N671" s="74">
        <f t="shared" si="1"/>
        <v>23.27192715</v>
      </c>
      <c r="O671" s="74" t="b">
        <v>1</v>
      </c>
    </row>
    <row r="672">
      <c r="A672" s="82"/>
      <c r="B672" s="65" t="s">
        <v>177</v>
      </c>
      <c r="C672" s="65" t="s">
        <v>108</v>
      </c>
      <c r="D672" s="65" t="str">
        <f>vlookup(C672,'Classificação p pessoal'!F:G,2,false)</f>
        <v>NP</v>
      </c>
      <c r="E672" s="65" t="s">
        <v>399</v>
      </c>
      <c r="F672" s="83">
        <v>0.625</v>
      </c>
      <c r="G672" s="83">
        <v>0.6458333333333334</v>
      </c>
      <c r="H672" s="83">
        <v>0.020833333333333332</v>
      </c>
      <c r="I672" s="84">
        <v>44316.0</v>
      </c>
      <c r="J672" s="65" t="b">
        <v>1</v>
      </c>
      <c r="K672" s="65"/>
      <c r="L672" s="85" t="b">
        <f>IF(VLOOKUP(C672,Projetos!A:L,12,false)=TRUE,TRUE,FALSE)</f>
        <v>1</v>
      </c>
      <c r="M672" s="74">
        <v>31.02923620430495</v>
      </c>
      <c r="N672" s="74">
        <f t="shared" si="1"/>
        <v>15.5146181</v>
      </c>
      <c r="O672" s="74" t="b">
        <v>1</v>
      </c>
    </row>
    <row r="673" hidden="1">
      <c r="A673" s="82"/>
      <c r="B673" s="65" t="s">
        <v>177</v>
      </c>
      <c r="C673" s="65" t="s">
        <v>106</v>
      </c>
      <c r="D673" s="65" t="str">
        <f>vlookup(C673,'Classificação p pessoal'!F:G,2,false)</f>
        <v>MProcesso</v>
      </c>
      <c r="E673" s="65" t="s">
        <v>400</v>
      </c>
      <c r="F673" s="83">
        <v>0.3541666666666667</v>
      </c>
      <c r="G673" s="83">
        <v>0.375</v>
      </c>
      <c r="H673" s="83">
        <v>0.020833333333333332</v>
      </c>
      <c r="I673" s="84">
        <v>44327.0</v>
      </c>
      <c r="J673" s="65" t="b">
        <v>1</v>
      </c>
      <c r="K673" s="65"/>
      <c r="L673" s="85" t="b">
        <f>IF(VLOOKUP(C673,Projetos!A:L,12,false)=TRUE,TRUE,FALSE)</f>
        <v>1</v>
      </c>
      <c r="M673" s="74">
        <v>31.02923620430495</v>
      </c>
      <c r="N673" s="74">
        <f t="shared" si="1"/>
        <v>15.5146181</v>
      </c>
      <c r="O673" s="74" t="b">
        <v>1</v>
      </c>
    </row>
    <row r="674" hidden="1">
      <c r="A674" s="82"/>
      <c r="B674" s="65" t="s">
        <v>177</v>
      </c>
      <c r="C674" s="65" t="s">
        <v>106</v>
      </c>
      <c r="D674" s="65" t="str">
        <f>vlookup(C674,'Classificação p pessoal'!F:G,2,false)</f>
        <v>MProcesso</v>
      </c>
      <c r="E674" s="65" t="s">
        <v>401</v>
      </c>
      <c r="F674" s="83">
        <v>0.375</v>
      </c>
      <c r="G674" s="83">
        <v>0.5</v>
      </c>
      <c r="H674" s="83">
        <v>0.125</v>
      </c>
      <c r="I674" s="84">
        <v>44327.0</v>
      </c>
      <c r="J674" s="65" t="b">
        <v>1</v>
      </c>
      <c r="K674" s="65"/>
      <c r="L674" s="85" t="b">
        <f>IF(VLOOKUP(C674,Projetos!A:L,12,false)=TRUE,TRUE,FALSE)</f>
        <v>1</v>
      </c>
      <c r="M674" s="74">
        <v>31.02923620430495</v>
      </c>
      <c r="N674" s="74">
        <f t="shared" si="1"/>
        <v>93.08770861</v>
      </c>
      <c r="O674" s="74" t="b">
        <v>1</v>
      </c>
    </row>
    <row r="675" hidden="1">
      <c r="A675" s="82"/>
      <c r="B675" s="65" t="s">
        <v>177</v>
      </c>
      <c r="C675" s="65" t="s">
        <v>100</v>
      </c>
      <c r="D675" s="65" t="str">
        <f>vlookup(C675,'Classificação p pessoal'!F:G,2,false)</f>
        <v>NP</v>
      </c>
      <c r="E675" s="65" t="s">
        <v>402</v>
      </c>
      <c r="F675" s="83">
        <v>0.3541666666666667</v>
      </c>
      <c r="G675" s="83">
        <v>0.4375</v>
      </c>
      <c r="H675" s="83">
        <v>0.08333333333333333</v>
      </c>
      <c r="I675" s="84">
        <v>44329.0</v>
      </c>
      <c r="J675" s="65" t="b">
        <v>1</v>
      </c>
      <c r="K675" s="65"/>
      <c r="L675" s="85" t="b">
        <f>IF(VLOOKUP(C675,Projetos!A:L,12,false)=TRUE,TRUE,FALSE)</f>
        <v>1</v>
      </c>
      <c r="M675" s="74">
        <v>31.02923620430495</v>
      </c>
      <c r="N675" s="74">
        <f t="shared" si="1"/>
        <v>62.05847241</v>
      </c>
      <c r="O675" s="74" t="b">
        <v>1</v>
      </c>
    </row>
    <row r="676" hidden="1">
      <c r="A676" s="82"/>
      <c r="B676" s="65" t="s">
        <v>177</v>
      </c>
      <c r="C676" s="65" t="s">
        <v>92</v>
      </c>
      <c r="D676" s="65" t="str">
        <f>vlookup(C676,'Classificação p pessoal'!F:G,2,false)</f>
        <v/>
      </c>
      <c r="E676" s="65" t="s">
        <v>403</v>
      </c>
      <c r="F676" s="83">
        <v>0.6666666666666666</v>
      </c>
      <c r="G676" s="83">
        <v>0.6875</v>
      </c>
      <c r="H676" s="83">
        <v>0.020833333333333332</v>
      </c>
      <c r="I676" s="84">
        <v>44285.0</v>
      </c>
      <c r="J676" s="65" t="b">
        <v>1</v>
      </c>
      <c r="K676" s="65"/>
      <c r="L676" s="85" t="b">
        <f>IF(VLOOKUP(C676,Projetos!A:L,12,false)=TRUE,TRUE,FALSE)</f>
        <v>1</v>
      </c>
      <c r="M676" s="74">
        <v>31.02923620430495</v>
      </c>
      <c r="N676" s="74">
        <f t="shared" si="1"/>
        <v>15.5146181</v>
      </c>
      <c r="O676" s="74" t="b">
        <v>1</v>
      </c>
    </row>
    <row r="677" hidden="1">
      <c r="A677" s="82"/>
      <c r="B677" s="65" t="s">
        <v>177</v>
      </c>
      <c r="C677" s="65" t="s">
        <v>92</v>
      </c>
      <c r="D677" s="65" t="str">
        <f>vlookup(C677,'Classificação p pessoal'!F:G,2,false)</f>
        <v/>
      </c>
      <c r="E677" s="65" t="s">
        <v>404</v>
      </c>
      <c r="F677" s="83">
        <v>0.5833333333333334</v>
      </c>
      <c r="G677" s="83">
        <v>0.625</v>
      </c>
      <c r="H677" s="83">
        <v>0.041666666666666664</v>
      </c>
      <c r="I677" s="84">
        <v>44330.0</v>
      </c>
      <c r="J677" s="65" t="b">
        <v>1</v>
      </c>
      <c r="K677" s="65"/>
      <c r="L677" s="85" t="b">
        <f>IF(VLOOKUP(C677,Projetos!A:L,12,false)=TRUE,TRUE,FALSE)</f>
        <v>1</v>
      </c>
      <c r="M677" s="74">
        <v>31.02923620430495</v>
      </c>
      <c r="N677" s="74">
        <f t="shared" si="1"/>
        <v>31.0292362</v>
      </c>
      <c r="O677" s="74" t="b">
        <v>1</v>
      </c>
    </row>
    <row r="678" hidden="1">
      <c r="A678" s="82"/>
      <c r="B678" s="65" t="s">
        <v>177</v>
      </c>
      <c r="C678" s="65" t="s">
        <v>92</v>
      </c>
      <c r="D678" s="65" t="str">
        <f>vlookup(C678,'Classificação p pessoal'!F:G,2,false)</f>
        <v/>
      </c>
      <c r="E678" s="65" t="s">
        <v>405</v>
      </c>
      <c r="F678" s="83">
        <v>0.625</v>
      </c>
      <c r="G678" s="83">
        <v>0.6666666666666666</v>
      </c>
      <c r="H678" s="83">
        <v>0.041666666666666664</v>
      </c>
      <c r="I678" s="84">
        <v>44330.0</v>
      </c>
      <c r="J678" s="65" t="b">
        <v>1</v>
      </c>
      <c r="K678" s="65"/>
      <c r="L678" s="85" t="b">
        <f>IF(VLOOKUP(C678,Projetos!A:L,12,false)=TRUE,TRUE,FALSE)</f>
        <v>1</v>
      </c>
      <c r="M678" s="74">
        <v>31.02923620430495</v>
      </c>
      <c r="N678" s="74">
        <f t="shared" si="1"/>
        <v>31.0292362</v>
      </c>
      <c r="O678" s="74" t="b">
        <v>1</v>
      </c>
    </row>
    <row r="679" hidden="1">
      <c r="A679" s="82"/>
      <c r="B679" s="65" t="s">
        <v>177</v>
      </c>
      <c r="C679" s="65" t="s">
        <v>106</v>
      </c>
      <c r="D679" s="65" t="str">
        <f>vlookup(C679,'Classificação p pessoal'!F:G,2,false)</f>
        <v>MProcesso</v>
      </c>
      <c r="E679" s="65" t="s">
        <v>406</v>
      </c>
      <c r="F679" s="83">
        <v>0.6666666666666666</v>
      </c>
      <c r="G679" s="83">
        <v>0.7083333333333334</v>
      </c>
      <c r="H679" s="83">
        <v>0.041666666666666664</v>
      </c>
      <c r="I679" s="84">
        <v>44330.0</v>
      </c>
      <c r="J679" s="65" t="b">
        <v>1</v>
      </c>
      <c r="K679" s="65"/>
      <c r="L679" s="85" t="b">
        <f>IF(VLOOKUP(C679,Projetos!A:L,12,false)=TRUE,TRUE,FALSE)</f>
        <v>1</v>
      </c>
      <c r="M679" s="74">
        <v>31.02923620430495</v>
      </c>
      <c r="N679" s="74">
        <f t="shared" si="1"/>
        <v>31.0292362</v>
      </c>
      <c r="O679" s="74" t="b">
        <v>1</v>
      </c>
    </row>
    <row r="680" hidden="1">
      <c r="A680" s="82"/>
      <c r="B680" s="65" t="s">
        <v>177</v>
      </c>
      <c r="C680" s="65" t="s">
        <v>100</v>
      </c>
      <c r="D680" s="65" t="str">
        <f>vlookup(C680,'Classificação p pessoal'!F:G,2,false)</f>
        <v>NP</v>
      </c>
      <c r="E680" s="65" t="s">
        <v>407</v>
      </c>
      <c r="F680" s="83">
        <v>0.7083333333333334</v>
      </c>
      <c r="G680" s="83">
        <v>0.75</v>
      </c>
      <c r="H680" s="83">
        <v>0.041666666666666664</v>
      </c>
      <c r="I680" s="84">
        <v>44330.0</v>
      </c>
      <c r="J680" s="65" t="b">
        <v>1</v>
      </c>
      <c r="K680" s="65"/>
      <c r="L680" s="85" t="b">
        <f>IF(VLOOKUP(C680,Projetos!A:L,12,false)=TRUE,TRUE,FALSE)</f>
        <v>1</v>
      </c>
      <c r="M680" s="74">
        <v>31.02923620430495</v>
      </c>
      <c r="N680" s="74">
        <f t="shared" si="1"/>
        <v>31.0292362</v>
      </c>
      <c r="O680" s="74" t="b">
        <v>1</v>
      </c>
    </row>
    <row r="681" hidden="1">
      <c r="A681" s="82"/>
      <c r="B681" s="65" t="s">
        <v>177</v>
      </c>
      <c r="C681" s="65" t="s">
        <v>100</v>
      </c>
      <c r="D681" s="65" t="str">
        <f>vlookup(C681,'Classificação p pessoal'!F:G,2,false)</f>
        <v>NP</v>
      </c>
      <c r="E681" s="65" t="s">
        <v>408</v>
      </c>
      <c r="F681" s="83">
        <v>0.3541666666666667</v>
      </c>
      <c r="G681" s="83">
        <v>0.3854166666666667</v>
      </c>
      <c r="H681" s="83">
        <v>0.03125</v>
      </c>
      <c r="I681" s="84">
        <v>44333.0</v>
      </c>
      <c r="J681" s="65" t="b">
        <v>1</v>
      </c>
      <c r="K681" s="65"/>
      <c r="L681" s="85" t="b">
        <f>IF(VLOOKUP(C681,Projetos!A:L,12,false)=TRUE,TRUE,FALSE)</f>
        <v>1</v>
      </c>
      <c r="M681" s="74">
        <v>31.02923620430495</v>
      </c>
      <c r="N681" s="74">
        <f t="shared" si="1"/>
        <v>23.27192715</v>
      </c>
      <c r="O681" s="74" t="b">
        <v>1</v>
      </c>
    </row>
    <row r="682" hidden="1">
      <c r="A682" s="82"/>
      <c r="B682" s="65" t="s">
        <v>177</v>
      </c>
      <c r="C682" s="65" t="s">
        <v>106</v>
      </c>
      <c r="D682" s="65" t="str">
        <f>vlookup(C682,'Classificação p pessoal'!F:G,2,false)</f>
        <v>MProcesso</v>
      </c>
      <c r="E682" s="65" t="s">
        <v>409</v>
      </c>
      <c r="F682" s="83">
        <v>0.40625</v>
      </c>
      <c r="G682" s="83">
        <v>0.4166666666666667</v>
      </c>
      <c r="H682" s="83">
        <v>0.010416666666666666</v>
      </c>
      <c r="I682" s="84">
        <v>44333.0</v>
      </c>
      <c r="J682" s="65" t="b">
        <v>1</v>
      </c>
      <c r="K682" s="65"/>
      <c r="L682" s="85" t="b">
        <f>IF(VLOOKUP(C682,Projetos!A:L,12,false)=TRUE,TRUE,FALSE)</f>
        <v>1</v>
      </c>
      <c r="M682" s="74">
        <v>31.02923620430495</v>
      </c>
      <c r="N682" s="74">
        <f t="shared" si="1"/>
        <v>7.757309051</v>
      </c>
      <c r="O682" s="74" t="b">
        <v>1</v>
      </c>
    </row>
    <row r="683" hidden="1">
      <c r="A683" s="82"/>
      <c r="B683" s="65" t="s">
        <v>177</v>
      </c>
      <c r="C683" s="65" t="s">
        <v>106</v>
      </c>
      <c r="D683" s="65" t="str">
        <f>vlookup(C683,'Classificação p pessoal'!F:G,2,false)</f>
        <v>MProcesso</v>
      </c>
      <c r="E683" s="65" t="s">
        <v>410</v>
      </c>
      <c r="F683" s="83">
        <v>0.4166666666666667</v>
      </c>
      <c r="G683" s="83">
        <v>0.4270833333333333</v>
      </c>
      <c r="H683" s="83">
        <v>0.010416666666666666</v>
      </c>
      <c r="I683" s="84">
        <v>44333.0</v>
      </c>
      <c r="J683" s="65" t="b">
        <v>1</v>
      </c>
      <c r="K683" s="65"/>
      <c r="L683" s="85" t="b">
        <f>IF(VLOOKUP(C683,Projetos!A:L,12,false)=TRUE,TRUE,FALSE)</f>
        <v>1</v>
      </c>
      <c r="M683" s="74">
        <v>31.02923620430495</v>
      </c>
      <c r="N683" s="74">
        <f t="shared" si="1"/>
        <v>7.757309051</v>
      </c>
      <c r="O683" s="74" t="b">
        <v>1</v>
      </c>
    </row>
    <row r="684" hidden="1">
      <c r="A684" s="82"/>
      <c r="B684" s="65" t="s">
        <v>411</v>
      </c>
      <c r="C684" s="65" t="s">
        <v>92</v>
      </c>
      <c r="D684" s="65" t="str">
        <f>vlookup(C684,'Classificação p pessoal'!F:G,2,false)</f>
        <v/>
      </c>
      <c r="E684" s="65" t="s">
        <v>412</v>
      </c>
      <c r="F684" s="83">
        <v>0.4791666666666667</v>
      </c>
      <c r="G684" s="83">
        <v>0.5416666666666666</v>
      </c>
      <c r="H684" s="83">
        <v>0.0625</v>
      </c>
      <c r="I684" s="84">
        <v>44461.0</v>
      </c>
      <c r="J684" s="65" t="b">
        <v>1</v>
      </c>
      <c r="K684" s="65"/>
      <c r="L684" s="85" t="b">
        <f>IF(VLOOKUP(C684,Projetos!A:L,12,false)=TRUE,TRUE,FALSE)</f>
        <v>1</v>
      </c>
      <c r="M684" s="74">
        <v>52.48434411075036</v>
      </c>
      <c r="N684" s="74">
        <f t="shared" si="1"/>
        <v>78.72651617</v>
      </c>
      <c r="O684" s="74" t="b">
        <v>1</v>
      </c>
    </row>
    <row r="685">
      <c r="A685" s="82"/>
      <c r="B685" s="65" t="s">
        <v>177</v>
      </c>
      <c r="C685" s="65" t="s">
        <v>108</v>
      </c>
      <c r="D685" s="65" t="str">
        <f>vlookup(C685,'Classificação p pessoal'!F:G,2,false)</f>
        <v>NP</v>
      </c>
      <c r="E685" s="65" t="s">
        <v>413</v>
      </c>
      <c r="F685" s="83">
        <v>0.34375</v>
      </c>
      <c r="G685" s="83">
        <v>0.3854166666666667</v>
      </c>
      <c r="H685" s="83">
        <v>0.041666666666666664</v>
      </c>
      <c r="I685" s="84">
        <v>44334.0</v>
      </c>
      <c r="J685" s="65" t="b">
        <v>1</v>
      </c>
      <c r="K685" s="65"/>
      <c r="L685" s="85" t="b">
        <f>IF(VLOOKUP(C685,Projetos!A:L,12,false)=TRUE,TRUE,FALSE)</f>
        <v>1</v>
      </c>
      <c r="M685" s="74">
        <v>31.02923620430495</v>
      </c>
      <c r="N685" s="74">
        <f t="shared" si="1"/>
        <v>31.0292362</v>
      </c>
      <c r="O685" s="74" t="b">
        <v>1</v>
      </c>
    </row>
    <row r="686">
      <c r="A686" s="82"/>
      <c r="B686" s="65" t="s">
        <v>177</v>
      </c>
      <c r="C686" s="65" t="s">
        <v>108</v>
      </c>
      <c r="D686" s="65" t="str">
        <f>vlookup(C686,'Classificação p pessoal'!F:G,2,false)</f>
        <v>NP</v>
      </c>
      <c r="E686" s="65" t="s">
        <v>414</v>
      </c>
      <c r="F686" s="83">
        <v>0.3854166666666667</v>
      </c>
      <c r="G686" s="83">
        <v>0.4270833333333333</v>
      </c>
      <c r="H686" s="83">
        <v>0.041666666666666664</v>
      </c>
      <c r="I686" s="84">
        <v>44334.0</v>
      </c>
      <c r="J686" s="65" t="b">
        <v>1</v>
      </c>
      <c r="K686" s="65"/>
      <c r="L686" s="85" t="b">
        <f>IF(VLOOKUP(C686,Projetos!A:L,12,false)=TRUE,TRUE,FALSE)</f>
        <v>1</v>
      </c>
      <c r="M686" s="74">
        <v>31.02923620430495</v>
      </c>
      <c r="N686" s="74">
        <f t="shared" si="1"/>
        <v>31.0292362</v>
      </c>
      <c r="O686" s="74" t="b">
        <v>1</v>
      </c>
    </row>
    <row r="687" hidden="1">
      <c r="A687" s="82"/>
      <c r="B687" s="65" t="s">
        <v>177</v>
      </c>
      <c r="C687" s="65" t="s">
        <v>91</v>
      </c>
      <c r="D687" s="65" t="str">
        <f>vlookup(C687,'Classificação p pessoal'!F:G,2,false)</f>
        <v>NP</v>
      </c>
      <c r="E687" s="65" t="s">
        <v>415</v>
      </c>
      <c r="F687" s="83">
        <v>0.4270833333333333</v>
      </c>
      <c r="G687" s="83">
        <v>0.5104166666666666</v>
      </c>
      <c r="H687" s="83">
        <v>0.08333333333333333</v>
      </c>
      <c r="I687" s="84">
        <v>44334.0</v>
      </c>
      <c r="J687" s="65" t="b">
        <v>1</v>
      </c>
      <c r="K687" s="65"/>
      <c r="L687" s="85" t="b">
        <f>IF(VLOOKUP(C687,Projetos!A:L,12,false)=TRUE,TRUE,FALSE)</f>
        <v>1</v>
      </c>
      <c r="M687" s="74">
        <v>31.02923620430495</v>
      </c>
      <c r="N687" s="74">
        <f t="shared" si="1"/>
        <v>62.05847241</v>
      </c>
      <c r="O687" s="74" t="b">
        <v>1</v>
      </c>
    </row>
    <row r="688" hidden="1">
      <c r="A688" s="82"/>
      <c r="B688" s="65" t="s">
        <v>177</v>
      </c>
      <c r="C688" s="65" t="s">
        <v>118</v>
      </c>
      <c r="D688" s="65"/>
      <c r="E688" s="65" t="s">
        <v>416</v>
      </c>
      <c r="F688" s="83">
        <v>0.3541666666666667</v>
      </c>
      <c r="G688" s="83">
        <v>0.375</v>
      </c>
      <c r="H688" s="83">
        <v>0.020833333333333332</v>
      </c>
      <c r="I688" s="84">
        <v>44335.0</v>
      </c>
      <c r="J688" s="65" t="b">
        <v>0</v>
      </c>
      <c r="K688" s="65"/>
      <c r="L688" s="85" t="b">
        <f>IF(VLOOKUP(C688,Projetos!A:L,12,false)=TRUE,TRUE,FALSE)</f>
        <v>1</v>
      </c>
      <c r="M688" s="74">
        <v>31.02923620430495</v>
      </c>
      <c r="N688" s="74">
        <f t="shared" si="1"/>
        <v>0</v>
      </c>
      <c r="O688" s="74" t="b">
        <v>1</v>
      </c>
    </row>
    <row r="689" hidden="1">
      <c r="A689" s="82"/>
      <c r="B689" s="65" t="s">
        <v>177</v>
      </c>
      <c r="C689" s="65" t="s">
        <v>92</v>
      </c>
      <c r="D689" s="65" t="str">
        <f>vlookup(C689,'Classificação p pessoal'!F:G,2,false)</f>
        <v/>
      </c>
      <c r="E689" s="65" t="s">
        <v>417</v>
      </c>
      <c r="F689" s="83">
        <v>0.375</v>
      </c>
      <c r="G689" s="83">
        <v>0.4166666666666667</v>
      </c>
      <c r="H689" s="83">
        <v>0.041666666666666664</v>
      </c>
      <c r="I689" s="84">
        <v>44335.0</v>
      </c>
      <c r="J689" s="65" t="b">
        <v>1</v>
      </c>
      <c r="K689" s="65"/>
      <c r="L689" s="85" t="b">
        <f>IF(VLOOKUP(C689,Projetos!A:L,12,false)=TRUE,TRUE,FALSE)</f>
        <v>1</v>
      </c>
      <c r="M689" s="74">
        <v>31.02923620430495</v>
      </c>
      <c r="N689" s="74">
        <f t="shared" si="1"/>
        <v>31.0292362</v>
      </c>
      <c r="O689" s="74" t="b">
        <v>1</v>
      </c>
    </row>
    <row r="690" hidden="1">
      <c r="A690" s="82"/>
      <c r="B690" s="65" t="s">
        <v>177</v>
      </c>
      <c r="C690" s="65" t="s">
        <v>92</v>
      </c>
      <c r="D690" s="65" t="str">
        <f>vlookup(C690,'Classificação p pessoal'!F:G,2,false)</f>
        <v/>
      </c>
      <c r="E690" s="65" t="s">
        <v>418</v>
      </c>
      <c r="F690" s="83">
        <v>0.4166666666666667</v>
      </c>
      <c r="G690" s="83">
        <v>0.4583333333333333</v>
      </c>
      <c r="H690" s="83">
        <v>0.041666666666666664</v>
      </c>
      <c r="I690" s="84">
        <v>44335.0</v>
      </c>
      <c r="J690" s="65" t="b">
        <v>1</v>
      </c>
      <c r="K690" s="65"/>
      <c r="L690" s="85" t="b">
        <f>IF(VLOOKUP(C690,Projetos!A:L,12,false)=TRUE,TRUE,FALSE)</f>
        <v>1</v>
      </c>
      <c r="M690" s="74">
        <v>31.02923620430495</v>
      </c>
      <c r="N690" s="74">
        <f t="shared" si="1"/>
        <v>31.0292362</v>
      </c>
      <c r="O690" s="74" t="b">
        <v>1</v>
      </c>
    </row>
    <row r="691" hidden="1">
      <c r="A691" s="82"/>
      <c r="B691" s="65" t="s">
        <v>177</v>
      </c>
      <c r="C691" s="65" t="s">
        <v>106</v>
      </c>
      <c r="D691" s="65" t="str">
        <f>vlookup(C691,'Classificação p pessoal'!F:G,2,false)</f>
        <v>MProcesso</v>
      </c>
      <c r="E691" s="65" t="s">
        <v>419</v>
      </c>
      <c r="F691" s="83">
        <v>0.4583333333333333</v>
      </c>
      <c r="G691" s="83">
        <v>0.5</v>
      </c>
      <c r="H691" s="83">
        <v>0.041666666666666664</v>
      </c>
      <c r="I691" s="84">
        <v>44335.0</v>
      </c>
      <c r="J691" s="65" t="b">
        <v>1</v>
      </c>
      <c r="K691" s="65"/>
      <c r="L691" s="85" t="b">
        <f>IF(VLOOKUP(C691,Projetos!A:L,12,false)=TRUE,TRUE,FALSE)</f>
        <v>1</v>
      </c>
      <c r="M691" s="74">
        <v>31.02923620430495</v>
      </c>
      <c r="N691" s="74">
        <f t="shared" si="1"/>
        <v>31.0292362</v>
      </c>
      <c r="O691" s="74" t="b">
        <v>1</v>
      </c>
    </row>
    <row r="692" hidden="1">
      <c r="A692" s="82"/>
      <c r="B692" s="65" t="s">
        <v>177</v>
      </c>
      <c r="C692" s="65" t="s">
        <v>106</v>
      </c>
      <c r="D692" s="65" t="str">
        <f>vlookup(C692,'Classificação p pessoal'!F:G,2,false)</f>
        <v>MProcesso</v>
      </c>
      <c r="E692" s="65" t="s">
        <v>420</v>
      </c>
      <c r="F692" s="83">
        <v>0.5</v>
      </c>
      <c r="G692" s="83">
        <v>0.5416666666666666</v>
      </c>
      <c r="H692" s="83">
        <v>0.041666666666666664</v>
      </c>
      <c r="I692" s="84">
        <v>44335.0</v>
      </c>
      <c r="J692" s="65" t="b">
        <v>1</v>
      </c>
      <c r="K692" s="65"/>
      <c r="L692" s="85" t="b">
        <f>IF(VLOOKUP(C692,Projetos!A:L,12,false)=TRUE,TRUE,FALSE)</f>
        <v>1</v>
      </c>
      <c r="M692" s="74">
        <v>31.02923620430495</v>
      </c>
      <c r="N692" s="74">
        <f t="shared" si="1"/>
        <v>31.0292362</v>
      </c>
      <c r="O692" s="74" t="b">
        <v>1</v>
      </c>
    </row>
    <row r="693" hidden="1">
      <c r="A693" s="82"/>
      <c r="B693" s="65" t="s">
        <v>177</v>
      </c>
      <c r="C693" s="65" t="s">
        <v>107</v>
      </c>
      <c r="D693" s="65" t="str">
        <f>vlookup(C693,'Classificação p pessoal'!F:G,2,false)</f>
        <v>NP</v>
      </c>
      <c r="E693" s="65" t="s">
        <v>421</v>
      </c>
      <c r="F693" s="83">
        <v>0.3958333333333333</v>
      </c>
      <c r="G693" s="83">
        <v>0.6458333333333334</v>
      </c>
      <c r="H693" s="83">
        <v>0.25</v>
      </c>
      <c r="I693" s="84">
        <v>44337.0</v>
      </c>
      <c r="J693" s="65" t="b">
        <v>1</v>
      </c>
      <c r="K693" s="65"/>
      <c r="L693" s="85" t="b">
        <f>IF(VLOOKUP(C693,Projetos!A:L,12,false)=TRUE,TRUE,FALSE)</f>
        <v>1</v>
      </c>
      <c r="M693" s="74">
        <v>31.02923620430495</v>
      </c>
      <c r="N693" s="74">
        <f t="shared" si="1"/>
        <v>186.1754172</v>
      </c>
      <c r="O693" s="74" t="b">
        <v>1</v>
      </c>
    </row>
    <row r="694" hidden="1">
      <c r="A694" s="82"/>
      <c r="B694" s="65" t="s">
        <v>177</v>
      </c>
      <c r="C694" s="65" t="s">
        <v>107</v>
      </c>
      <c r="D694" s="65" t="str">
        <f>vlookup(C694,'Classificação p pessoal'!F:G,2,false)</f>
        <v>NP</v>
      </c>
      <c r="E694" s="65" t="s">
        <v>421</v>
      </c>
      <c r="F694" s="83">
        <v>0.3958333333333333</v>
      </c>
      <c r="G694" s="83">
        <v>0.6875</v>
      </c>
      <c r="H694" s="83">
        <v>0.2916666666666667</v>
      </c>
      <c r="I694" s="84">
        <v>44341.0</v>
      </c>
      <c r="J694" s="65" t="b">
        <v>1</v>
      </c>
      <c r="K694" s="65"/>
      <c r="L694" s="85" t="b">
        <f>IF(VLOOKUP(C694,Projetos!A:L,12,false)=TRUE,TRUE,FALSE)</f>
        <v>1</v>
      </c>
      <c r="M694" s="74">
        <v>31.02923620430495</v>
      </c>
      <c r="N694" s="74">
        <f t="shared" si="1"/>
        <v>217.2046534</v>
      </c>
      <c r="O694" s="74" t="b">
        <v>1</v>
      </c>
    </row>
    <row r="695" hidden="1">
      <c r="A695" s="82"/>
      <c r="B695" s="65" t="s">
        <v>177</v>
      </c>
      <c r="C695" s="65" t="s">
        <v>92</v>
      </c>
      <c r="D695" s="65" t="str">
        <f>vlookup(C695,'Classificação p pessoal'!F:G,2,false)</f>
        <v/>
      </c>
      <c r="E695" s="65" t="s">
        <v>422</v>
      </c>
      <c r="F695" s="83">
        <v>0.4583333333333333</v>
      </c>
      <c r="G695" s="83">
        <v>0.4791666666666667</v>
      </c>
      <c r="H695" s="83">
        <v>0.020833333333333332</v>
      </c>
      <c r="I695" s="84">
        <v>44280.0</v>
      </c>
      <c r="J695" s="65" t="b">
        <v>1</v>
      </c>
      <c r="K695" s="65"/>
      <c r="L695" s="85" t="b">
        <f>IF(VLOOKUP(C695,Projetos!A:L,12,false)=TRUE,TRUE,FALSE)</f>
        <v>1</v>
      </c>
      <c r="M695" s="74">
        <v>31.02923620430495</v>
      </c>
      <c r="N695" s="74">
        <f t="shared" si="1"/>
        <v>15.5146181</v>
      </c>
      <c r="O695" s="74" t="b">
        <v>1</v>
      </c>
    </row>
    <row r="696" hidden="1">
      <c r="A696" s="82"/>
      <c r="B696" s="65" t="s">
        <v>177</v>
      </c>
      <c r="C696" s="65" t="s">
        <v>100</v>
      </c>
      <c r="D696" s="65" t="str">
        <f>vlookup(C696,'Classificação p pessoal'!F:G,2,false)</f>
        <v>NP</v>
      </c>
      <c r="E696" s="65" t="s">
        <v>423</v>
      </c>
      <c r="F696" s="83">
        <v>0.3541666666666667</v>
      </c>
      <c r="G696" s="83">
        <v>0.375</v>
      </c>
      <c r="H696" s="83">
        <v>0.020833333333333332</v>
      </c>
      <c r="I696" s="84">
        <v>44342.0</v>
      </c>
      <c r="J696" s="65" t="b">
        <v>1</v>
      </c>
      <c r="K696" s="65"/>
      <c r="L696" s="85" t="b">
        <f>IF(VLOOKUP(C696,Projetos!A:L,12,false)=TRUE,TRUE,FALSE)</f>
        <v>1</v>
      </c>
      <c r="M696" s="74">
        <v>31.02923620430495</v>
      </c>
      <c r="N696" s="74">
        <f t="shared" si="1"/>
        <v>15.5146181</v>
      </c>
      <c r="O696" s="74" t="b">
        <v>1</v>
      </c>
    </row>
    <row r="697" hidden="1">
      <c r="A697" s="82"/>
      <c r="B697" s="65" t="s">
        <v>177</v>
      </c>
      <c r="C697" s="65" t="s">
        <v>121</v>
      </c>
      <c r="D697" s="65"/>
      <c r="E697" s="65" t="s">
        <v>424</v>
      </c>
      <c r="F697" s="83">
        <v>0.4583333333333333</v>
      </c>
      <c r="G697" s="83">
        <v>0.4791666666666667</v>
      </c>
      <c r="H697" s="83">
        <v>0.020833333333333332</v>
      </c>
      <c r="I697" s="84">
        <v>44342.0</v>
      </c>
      <c r="J697" s="65" t="b">
        <v>0</v>
      </c>
      <c r="K697" s="65" t="s">
        <v>150</v>
      </c>
      <c r="L697" s="85" t="b">
        <f>IF(VLOOKUP(C697,Projetos!A:L,12,false)=TRUE,TRUE,FALSE)</f>
        <v>1</v>
      </c>
      <c r="M697" s="74">
        <v>31.02923620430495</v>
      </c>
      <c r="N697" s="74">
        <f t="shared" si="1"/>
        <v>0</v>
      </c>
      <c r="O697" s="74" t="b">
        <v>1</v>
      </c>
    </row>
    <row r="698" hidden="1">
      <c r="A698" s="82"/>
      <c r="B698" s="65" t="s">
        <v>177</v>
      </c>
      <c r="C698" s="65" t="s">
        <v>92</v>
      </c>
      <c r="D698" s="65" t="str">
        <f>vlookup(C698,'Classificação p pessoal'!F:G,2,false)</f>
        <v/>
      </c>
      <c r="E698" s="65" t="s">
        <v>425</v>
      </c>
      <c r="F698" s="83">
        <v>0.375</v>
      </c>
      <c r="G698" s="83">
        <v>0.4583333333333333</v>
      </c>
      <c r="H698" s="83">
        <v>0.08333333333333333</v>
      </c>
      <c r="I698" s="84">
        <v>44342.0</v>
      </c>
      <c r="J698" s="65" t="b">
        <v>1</v>
      </c>
      <c r="K698" s="65"/>
      <c r="L698" s="85" t="b">
        <f>IF(VLOOKUP(C698,Projetos!A:L,12,false)=TRUE,TRUE,FALSE)</f>
        <v>1</v>
      </c>
      <c r="M698" s="74">
        <v>31.02923620430495</v>
      </c>
      <c r="N698" s="74">
        <f t="shared" si="1"/>
        <v>62.05847241</v>
      </c>
      <c r="O698" s="74" t="b">
        <v>1</v>
      </c>
    </row>
    <row r="699" hidden="1">
      <c r="A699" s="82"/>
      <c r="B699" s="65" t="s">
        <v>177</v>
      </c>
      <c r="C699" s="65" t="s">
        <v>100</v>
      </c>
      <c r="D699" s="65" t="str">
        <f>vlookup(C699,'Classificação p pessoal'!F:G,2,false)</f>
        <v>NP</v>
      </c>
      <c r="E699" s="65" t="s">
        <v>426</v>
      </c>
      <c r="F699" s="83">
        <v>0.375</v>
      </c>
      <c r="G699" s="83">
        <v>0.4166666666666667</v>
      </c>
      <c r="H699" s="83">
        <v>0.041666666666666664</v>
      </c>
      <c r="I699" s="84">
        <v>44343.0</v>
      </c>
      <c r="J699" s="65" t="b">
        <v>1</v>
      </c>
      <c r="K699" s="65"/>
      <c r="L699" s="85" t="b">
        <f>IF(VLOOKUP(C699,Projetos!A:L,12,false)=TRUE,TRUE,FALSE)</f>
        <v>1</v>
      </c>
      <c r="M699" s="74">
        <v>31.02923620430495</v>
      </c>
      <c r="N699" s="74">
        <f t="shared" si="1"/>
        <v>31.0292362</v>
      </c>
      <c r="O699" s="74" t="b">
        <v>1</v>
      </c>
    </row>
    <row r="700" hidden="1">
      <c r="A700" s="82"/>
      <c r="B700" s="65" t="s">
        <v>177</v>
      </c>
      <c r="C700" s="65" t="s">
        <v>92</v>
      </c>
      <c r="D700" s="65" t="str">
        <f>vlookup(C700,'Classificação p pessoal'!F:G,2,false)</f>
        <v/>
      </c>
      <c r="E700" s="65" t="s">
        <v>427</v>
      </c>
      <c r="F700" s="83">
        <v>0.4375</v>
      </c>
      <c r="G700" s="83">
        <v>0.4479166666666667</v>
      </c>
      <c r="H700" s="83">
        <v>0.010416666666666666</v>
      </c>
      <c r="I700" s="84">
        <v>44344.0</v>
      </c>
      <c r="J700" s="65" t="b">
        <v>1</v>
      </c>
      <c r="K700" s="65"/>
      <c r="L700" s="85" t="b">
        <f>IF(VLOOKUP(C700,Projetos!A:L,12,false)=TRUE,TRUE,FALSE)</f>
        <v>1</v>
      </c>
      <c r="M700" s="74">
        <v>31.02923620430495</v>
      </c>
      <c r="N700" s="74">
        <f t="shared" si="1"/>
        <v>7.757309051</v>
      </c>
      <c r="O700" s="74" t="b">
        <v>1</v>
      </c>
    </row>
    <row r="701" hidden="1">
      <c r="A701" s="82"/>
      <c r="B701" s="65" t="s">
        <v>177</v>
      </c>
      <c r="C701" s="65" t="s">
        <v>92</v>
      </c>
      <c r="D701" s="65" t="str">
        <f>vlookup(C701,'Classificação p pessoal'!F:G,2,false)</f>
        <v/>
      </c>
      <c r="E701" s="65" t="s">
        <v>428</v>
      </c>
      <c r="F701" s="83">
        <v>0.4479166666666667</v>
      </c>
      <c r="G701" s="83">
        <v>0.46875</v>
      </c>
      <c r="H701" s="83">
        <v>0.020833333333333332</v>
      </c>
      <c r="I701" s="84">
        <v>44344.0</v>
      </c>
      <c r="J701" s="65" t="b">
        <v>1</v>
      </c>
      <c r="K701" s="65"/>
      <c r="L701" s="85" t="b">
        <f>IF(VLOOKUP(C701,Projetos!A:L,12,false)=TRUE,TRUE,FALSE)</f>
        <v>1</v>
      </c>
      <c r="M701" s="74">
        <v>31.02923620430495</v>
      </c>
      <c r="N701" s="74">
        <f t="shared" si="1"/>
        <v>15.5146181</v>
      </c>
      <c r="O701" s="74" t="b">
        <v>1</v>
      </c>
    </row>
    <row r="702">
      <c r="A702" s="82"/>
      <c r="B702" s="65" t="s">
        <v>177</v>
      </c>
      <c r="C702" s="65" t="s">
        <v>108</v>
      </c>
      <c r="D702" s="65" t="str">
        <f>vlookup(C702,'Classificação p pessoal'!F:G,2,false)</f>
        <v>NP</v>
      </c>
      <c r="E702" s="65" t="s">
        <v>429</v>
      </c>
      <c r="F702" s="83">
        <v>0.6458333333333334</v>
      </c>
      <c r="G702" s="83">
        <v>0.6875</v>
      </c>
      <c r="H702" s="83">
        <v>0.041666666666666664</v>
      </c>
      <c r="I702" s="84">
        <v>44412.0</v>
      </c>
      <c r="J702" s="65" t="b">
        <v>1</v>
      </c>
      <c r="K702" s="65"/>
      <c r="L702" s="85" t="b">
        <f>IF(VLOOKUP(C702,Projetos!A:L,12,false)=TRUE,TRUE,FALSE)</f>
        <v>1</v>
      </c>
      <c r="M702" s="74">
        <v>31.02923620430495</v>
      </c>
      <c r="N702" s="74">
        <f t="shared" si="1"/>
        <v>31.0292362</v>
      </c>
      <c r="O702" s="74" t="b">
        <v>1</v>
      </c>
    </row>
    <row r="703" hidden="1">
      <c r="A703" s="82"/>
      <c r="B703" s="65" t="s">
        <v>177</v>
      </c>
      <c r="C703" s="65" t="s">
        <v>107</v>
      </c>
      <c r="D703" s="65" t="str">
        <f>vlookup(C703,'Classificação p pessoal'!F:G,2,false)</f>
        <v>NP</v>
      </c>
      <c r="E703" s="65" t="s">
        <v>430</v>
      </c>
      <c r="F703" s="83">
        <v>0.375</v>
      </c>
      <c r="G703" s="83">
        <v>0.75</v>
      </c>
      <c r="H703" s="83">
        <v>0.375</v>
      </c>
      <c r="I703" s="84">
        <v>44347.0</v>
      </c>
      <c r="J703" s="65" t="b">
        <v>1</v>
      </c>
      <c r="K703" s="65"/>
      <c r="L703" s="85" t="b">
        <f>IF(VLOOKUP(C703,Projetos!A:L,12,false)=TRUE,TRUE,FALSE)</f>
        <v>1</v>
      </c>
      <c r="M703" s="74">
        <v>31.02923620430495</v>
      </c>
      <c r="N703" s="74">
        <f t="shared" si="1"/>
        <v>279.2631258</v>
      </c>
      <c r="O703" s="74" t="b">
        <v>1</v>
      </c>
    </row>
    <row r="704">
      <c r="A704" s="82"/>
      <c r="B704" s="65" t="s">
        <v>177</v>
      </c>
      <c r="C704" s="65" t="s">
        <v>108</v>
      </c>
      <c r="D704" s="65" t="str">
        <f>vlookup(C704,'Classificação p pessoal'!F:G,2,false)</f>
        <v>NP</v>
      </c>
      <c r="E704" s="65" t="s">
        <v>431</v>
      </c>
      <c r="F704" s="83">
        <v>0.3958333333333333</v>
      </c>
      <c r="G704" s="83">
        <v>0.4583333333333333</v>
      </c>
      <c r="H704" s="83">
        <v>0.0625</v>
      </c>
      <c r="I704" s="84">
        <v>44348.0</v>
      </c>
      <c r="J704" s="65" t="b">
        <v>1</v>
      </c>
      <c r="K704" s="65"/>
      <c r="L704" s="85" t="b">
        <f>IF(VLOOKUP(C704,Projetos!A:L,12,false)=TRUE,TRUE,FALSE)</f>
        <v>1</v>
      </c>
      <c r="M704" s="74">
        <v>31.02923620430495</v>
      </c>
      <c r="N704" s="74">
        <f t="shared" si="1"/>
        <v>46.54385431</v>
      </c>
      <c r="O704" s="74" t="b">
        <v>1</v>
      </c>
    </row>
    <row r="705" hidden="1">
      <c r="A705" s="82"/>
      <c r="B705" s="65" t="s">
        <v>177</v>
      </c>
      <c r="C705" s="65" t="s">
        <v>101</v>
      </c>
      <c r="D705" s="65" t="str">
        <f>vlookup(C705,'Classificação p pessoal'!F:G,2,false)</f>
        <v>NP</v>
      </c>
      <c r="E705" s="65" t="s">
        <v>432</v>
      </c>
      <c r="F705" s="83">
        <v>0.3541666666666667</v>
      </c>
      <c r="G705" s="83">
        <v>0.375</v>
      </c>
      <c r="H705" s="83">
        <v>0.020833333333333332</v>
      </c>
      <c r="I705" s="84">
        <v>44354.0</v>
      </c>
      <c r="J705" s="65" t="b">
        <v>1</v>
      </c>
      <c r="K705" s="65"/>
      <c r="L705" s="85" t="b">
        <f>IF(VLOOKUP(C705,Projetos!A:L,12,false)=TRUE,TRUE,FALSE)</f>
        <v>1</v>
      </c>
      <c r="M705" s="74">
        <v>31.02923620430495</v>
      </c>
      <c r="N705" s="74">
        <f t="shared" si="1"/>
        <v>15.5146181</v>
      </c>
      <c r="O705" s="74" t="b">
        <v>1</v>
      </c>
    </row>
    <row r="706" hidden="1">
      <c r="A706" s="82"/>
      <c r="B706" s="65" t="s">
        <v>177</v>
      </c>
      <c r="C706" s="65" t="s">
        <v>130</v>
      </c>
      <c r="D706" s="65" t="str">
        <f>vlookup(C706,'Classificação p pessoal'!F:G,2,false)</f>
        <v>NP</v>
      </c>
      <c r="E706" s="65" t="s">
        <v>433</v>
      </c>
      <c r="F706" s="83">
        <v>0.3541666666666667</v>
      </c>
      <c r="G706" s="83">
        <v>0.4166666666666667</v>
      </c>
      <c r="H706" s="83">
        <v>0.0625</v>
      </c>
      <c r="I706" s="84">
        <v>44355.0</v>
      </c>
      <c r="J706" s="65" t="b">
        <v>1</v>
      </c>
      <c r="K706" s="65"/>
      <c r="L706" s="85" t="b">
        <f>IF(VLOOKUP(C706,Projetos!A:L,12,false)=TRUE,TRUE,FALSE)</f>
        <v>1</v>
      </c>
      <c r="M706" s="74">
        <v>31.02923620430495</v>
      </c>
      <c r="N706" s="74">
        <f t="shared" si="1"/>
        <v>46.54385431</v>
      </c>
      <c r="O706" s="74" t="b">
        <v>1</v>
      </c>
    </row>
    <row r="707" hidden="1">
      <c r="A707" s="82"/>
      <c r="B707" s="65" t="s">
        <v>177</v>
      </c>
      <c r="C707" s="65" t="s">
        <v>117</v>
      </c>
      <c r="D707" s="65" t="str">
        <f>vlookup(C707,'Classificação p pessoal'!F:G,2,false)</f>
        <v>NP</v>
      </c>
      <c r="E707" s="65" t="s">
        <v>434</v>
      </c>
      <c r="F707" s="83">
        <v>0.4166666666666667</v>
      </c>
      <c r="G707" s="83">
        <v>0.4583333333333333</v>
      </c>
      <c r="H707" s="83">
        <v>0.041666666666666664</v>
      </c>
      <c r="I707" s="84">
        <v>44355.0</v>
      </c>
      <c r="J707" s="65" t="b">
        <v>1</v>
      </c>
      <c r="K707" s="65"/>
      <c r="L707" s="85" t="b">
        <f>IF(VLOOKUP(C707,Projetos!A:L,12,false)=TRUE,TRUE,FALSE)</f>
        <v>1</v>
      </c>
      <c r="M707" s="74">
        <v>31.02923620430495</v>
      </c>
      <c r="N707" s="74">
        <f t="shared" si="1"/>
        <v>31.0292362</v>
      </c>
      <c r="O707" s="74" t="b">
        <v>1</v>
      </c>
    </row>
    <row r="708" hidden="1">
      <c r="A708" s="82"/>
      <c r="B708" s="65" t="s">
        <v>177</v>
      </c>
      <c r="C708" s="65" t="s">
        <v>92</v>
      </c>
      <c r="D708" s="65" t="str">
        <f>vlookup(C708,'Classificação p pessoal'!F:G,2,false)</f>
        <v/>
      </c>
      <c r="E708" s="65" t="s">
        <v>435</v>
      </c>
      <c r="F708" s="83">
        <v>0.4583333333333333</v>
      </c>
      <c r="G708" s="83">
        <v>0.4791666666666667</v>
      </c>
      <c r="H708" s="83">
        <v>0.020833333333333332</v>
      </c>
      <c r="I708" s="84">
        <v>44355.0</v>
      </c>
      <c r="J708" s="65" t="b">
        <v>1</v>
      </c>
      <c r="K708" s="65"/>
      <c r="L708" s="85" t="b">
        <f>IF(VLOOKUP(C708,Projetos!A:L,12,false)=TRUE,TRUE,FALSE)</f>
        <v>1</v>
      </c>
      <c r="M708" s="74">
        <v>31.02923620430495</v>
      </c>
      <c r="N708" s="74">
        <f t="shared" si="1"/>
        <v>15.5146181</v>
      </c>
      <c r="O708" s="74" t="b">
        <v>1</v>
      </c>
    </row>
    <row r="709" hidden="1">
      <c r="A709" s="82"/>
      <c r="B709" s="65" t="s">
        <v>177</v>
      </c>
      <c r="C709" s="65" t="s">
        <v>92</v>
      </c>
      <c r="D709" s="65" t="str">
        <f>vlookup(C709,'Classificação p pessoal'!F:G,2,false)</f>
        <v/>
      </c>
      <c r="E709" s="65" t="s">
        <v>436</v>
      </c>
      <c r="F709" s="83">
        <v>0.4791666666666667</v>
      </c>
      <c r="G709" s="83">
        <v>0.5</v>
      </c>
      <c r="H709" s="83">
        <v>0.020833333333333332</v>
      </c>
      <c r="I709" s="84">
        <v>44355.0</v>
      </c>
      <c r="J709" s="65" t="b">
        <v>1</v>
      </c>
      <c r="K709" s="65"/>
      <c r="L709" s="85" t="b">
        <f>IF(VLOOKUP(C709,Projetos!A:L,12,false)=TRUE,TRUE,FALSE)</f>
        <v>1</v>
      </c>
      <c r="M709" s="74">
        <v>31.02923620430495</v>
      </c>
      <c r="N709" s="74">
        <f t="shared" si="1"/>
        <v>15.5146181</v>
      </c>
      <c r="O709" s="74" t="b">
        <v>1</v>
      </c>
    </row>
    <row r="710" hidden="1">
      <c r="A710" s="82"/>
      <c r="B710" s="65" t="s">
        <v>177</v>
      </c>
      <c r="C710" s="65" t="s">
        <v>92</v>
      </c>
      <c r="D710" s="65" t="str">
        <f>vlookup(C710,'Classificação p pessoal'!F:G,2,false)</f>
        <v/>
      </c>
      <c r="E710" s="65" t="s">
        <v>437</v>
      </c>
      <c r="F710" s="83">
        <v>0.5</v>
      </c>
      <c r="G710" s="83">
        <v>0.5208333333333334</v>
      </c>
      <c r="H710" s="83">
        <v>0.020833333333333332</v>
      </c>
      <c r="I710" s="84">
        <v>44355.0</v>
      </c>
      <c r="J710" s="65" t="b">
        <v>1</v>
      </c>
      <c r="K710" s="65"/>
      <c r="L710" s="85" t="b">
        <f>IF(VLOOKUP(C710,Projetos!A:L,12,false)=TRUE,TRUE,FALSE)</f>
        <v>1</v>
      </c>
      <c r="M710" s="74">
        <v>31.02923620430495</v>
      </c>
      <c r="N710" s="74">
        <f t="shared" si="1"/>
        <v>15.5146181</v>
      </c>
      <c r="O710" s="74" t="b">
        <v>1</v>
      </c>
    </row>
    <row r="711" hidden="1">
      <c r="A711" s="82"/>
      <c r="B711" s="65" t="s">
        <v>177</v>
      </c>
      <c r="C711" s="65" t="s">
        <v>92</v>
      </c>
      <c r="D711" s="65" t="str">
        <f>vlookup(C711,'Classificação p pessoal'!F:G,2,false)</f>
        <v/>
      </c>
      <c r="E711" s="65" t="s">
        <v>438</v>
      </c>
      <c r="F711" s="83">
        <v>0.5208333333333334</v>
      </c>
      <c r="G711" s="83">
        <v>0.5416666666666666</v>
      </c>
      <c r="H711" s="83">
        <v>0.020833333333333332</v>
      </c>
      <c r="I711" s="84">
        <v>44355.0</v>
      </c>
      <c r="J711" s="65" t="b">
        <v>1</v>
      </c>
      <c r="K711" s="65"/>
      <c r="L711" s="85" t="b">
        <f>IF(VLOOKUP(C711,Projetos!A:L,12,false)=TRUE,TRUE,FALSE)</f>
        <v>1</v>
      </c>
      <c r="M711" s="74">
        <v>31.02923620430495</v>
      </c>
      <c r="N711" s="74">
        <f t="shared" si="1"/>
        <v>15.5146181</v>
      </c>
      <c r="O711" s="74" t="b">
        <v>1</v>
      </c>
    </row>
    <row r="712" hidden="1">
      <c r="A712" s="82"/>
      <c r="B712" s="65" t="s">
        <v>177</v>
      </c>
      <c r="C712" s="65" t="s">
        <v>92</v>
      </c>
      <c r="D712" s="65" t="str">
        <f>vlookup(C712,'Classificação p pessoal'!F:G,2,false)</f>
        <v/>
      </c>
      <c r="E712" s="65" t="s">
        <v>439</v>
      </c>
      <c r="F712" s="83">
        <v>0.5416666666666666</v>
      </c>
      <c r="G712" s="83">
        <v>0.5625</v>
      </c>
      <c r="H712" s="83">
        <v>0.020833333333333332</v>
      </c>
      <c r="I712" s="84">
        <v>44355.0</v>
      </c>
      <c r="J712" s="65" t="b">
        <v>1</v>
      </c>
      <c r="K712" s="65"/>
      <c r="L712" s="85" t="b">
        <f>IF(VLOOKUP(C712,Projetos!A:L,12,false)=TRUE,TRUE,FALSE)</f>
        <v>1</v>
      </c>
      <c r="M712" s="74">
        <v>31.02923620430495</v>
      </c>
      <c r="N712" s="74">
        <f t="shared" si="1"/>
        <v>15.5146181</v>
      </c>
      <c r="O712" s="74" t="b">
        <v>1</v>
      </c>
    </row>
    <row r="713" hidden="1">
      <c r="A713" s="82"/>
      <c r="B713" s="65" t="s">
        <v>177</v>
      </c>
      <c r="C713" s="65" t="s">
        <v>92</v>
      </c>
      <c r="D713" s="65" t="str">
        <f>vlookup(C713,'Classificação p pessoal'!F:G,2,false)</f>
        <v/>
      </c>
      <c r="E713" s="65" t="s">
        <v>440</v>
      </c>
      <c r="F713" s="83">
        <v>0.5833333333333334</v>
      </c>
      <c r="G713" s="83">
        <v>0.6041666666666666</v>
      </c>
      <c r="H713" s="83">
        <v>0.020833333333333332</v>
      </c>
      <c r="I713" s="84">
        <v>44355.0</v>
      </c>
      <c r="J713" s="65" t="b">
        <v>1</v>
      </c>
      <c r="K713" s="65"/>
      <c r="L713" s="85" t="b">
        <f>IF(VLOOKUP(C713,Projetos!A:L,12,false)=TRUE,TRUE,FALSE)</f>
        <v>1</v>
      </c>
      <c r="M713" s="74">
        <v>31.02923620430495</v>
      </c>
      <c r="N713" s="74">
        <f t="shared" si="1"/>
        <v>15.5146181</v>
      </c>
      <c r="O713" s="74" t="b">
        <v>1</v>
      </c>
    </row>
    <row r="714" hidden="1">
      <c r="A714" s="82"/>
      <c r="B714" s="65" t="s">
        <v>177</v>
      </c>
      <c r="C714" s="65" t="s">
        <v>106</v>
      </c>
      <c r="D714" s="65" t="str">
        <f>vlookup(C714,'Classificação p pessoal'!F:G,2,false)</f>
        <v>MProcesso</v>
      </c>
      <c r="E714" s="65" t="s">
        <v>441</v>
      </c>
      <c r="F714" s="83">
        <v>0.6041666666666666</v>
      </c>
      <c r="G714" s="83">
        <v>0.625</v>
      </c>
      <c r="H714" s="83">
        <v>0.020833333333333332</v>
      </c>
      <c r="I714" s="84">
        <v>44355.0</v>
      </c>
      <c r="J714" s="65" t="b">
        <v>1</v>
      </c>
      <c r="K714" s="65"/>
      <c r="L714" s="85" t="b">
        <f>IF(VLOOKUP(C714,Projetos!A:L,12,false)=TRUE,TRUE,FALSE)</f>
        <v>1</v>
      </c>
      <c r="M714" s="74">
        <v>31.02923620430495</v>
      </c>
      <c r="N714" s="74">
        <f t="shared" si="1"/>
        <v>15.5146181</v>
      </c>
      <c r="O714" s="74" t="b">
        <v>1</v>
      </c>
    </row>
    <row r="715" hidden="1">
      <c r="A715" s="82"/>
      <c r="B715" s="65" t="s">
        <v>177</v>
      </c>
      <c r="C715" s="65" t="s">
        <v>106</v>
      </c>
      <c r="D715" s="65" t="str">
        <f>vlookup(C715,'Classificação p pessoal'!F:G,2,false)</f>
        <v>MProcesso</v>
      </c>
      <c r="E715" s="65" t="s">
        <v>442</v>
      </c>
      <c r="F715" s="83">
        <v>0.625</v>
      </c>
      <c r="G715" s="83">
        <v>0.6458333333333334</v>
      </c>
      <c r="H715" s="83">
        <v>0.020833333333333332</v>
      </c>
      <c r="I715" s="84">
        <v>44355.0</v>
      </c>
      <c r="J715" s="65" t="b">
        <v>1</v>
      </c>
      <c r="K715" s="65"/>
      <c r="L715" s="85" t="b">
        <f>IF(VLOOKUP(C715,Projetos!A:L,12,false)=TRUE,TRUE,FALSE)</f>
        <v>1</v>
      </c>
      <c r="M715" s="74">
        <v>31.02923620430495</v>
      </c>
      <c r="N715" s="74">
        <f t="shared" si="1"/>
        <v>15.5146181</v>
      </c>
      <c r="O715" s="74" t="b">
        <v>1</v>
      </c>
    </row>
    <row r="716" hidden="1">
      <c r="A716" s="82"/>
      <c r="B716" s="65" t="s">
        <v>177</v>
      </c>
      <c r="C716" s="65" t="s">
        <v>106</v>
      </c>
      <c r="D716" s="65" t="str">
        <f>vlookup(C716,'Classificação p pessoal'!F:G,2,false)</f>
        <v>MProcesso</v>
      </c>
      <c r="E716" s="65" t="s">
        <v>443</v>
      </c>
      <c r="F716" s="83">
        <v>0.6458333333333334</v>
      </c>
      <c r="G716" s="83">
        <v>0.6666666666666666</v>
      </c>
      <c r="H716" s="83">
        <v>0.020833333333333332</v>
      </c>
      <c r="I716" s="84">
        <v>44355.0</v>
      </c>
      <c r="J716" s="65" t="b">
        <v>1</v>
      </c>
      <c r="K716" s="65"/>
      <c r="L716" s="85" t="b">
        <f>IF(VLOOKUP(C716,Projetos!A:L,12,false)=TRUE,TRUE,FALSE)</f>
        <v>1</v>
      </c>
      <c r="M716" s="74">
        <v>31.02923620430495</v>
      </c>
      <c r="N716" s="74">
        <f t="shared" si="1"/>
        <v>15.5146181</v>
      </c>
      <c r="O716" s="74" t="b">
        <v>1</v>
      </c>
    </row>
    <row r="717" hidden="1">
      <c r="A717" s="82"/>
      <c r="B717" s="65" t="s">
        <v>177</v>
      </c>
      <c r="C717" s="65" t="s">
        <v>106</v>
      </c>
      <c r="D717" s="65" t="str">
        <f>vlookup(C717,'Classificação p pessoal'!F:G,2,false)</f>
        <v>MProcesso</v>
      </c>
      <c r="E717" s="65" t="s">
        <v>444</v>
      </c>
      <c r="F717" s="83">
        <v>0.6666666666666666</v>
      </c>
      <c r="G717" s="83">
        <v>0.6875</v>
      </c>
      <c r="H717" s="83">
        <v>0.020833333333333332</v>
      </c>
      <c r="I717" s="84">
        <v>44355.0</v>
      </c>
      <c r="J717" s="65" t="b">
        <v>1</v>
      </c>
      <c r="K717" s="65"/>
      <c r="L717" s="85" t="b">
        <f>IF(VLOOKUP(C717,Projetos!A:L,12,false)=TRUE,TRUE,FALSE)</f>
        <v>1</v>
      </c>
      <c r="M717" s="74">
        <v>31.02923620430495</v>
      </c>
      <c r="N717" s="74">
        <f t="shared" si="1"/>
        <v>15.5146181</v>
      </c>
      <c r="O717" s="74" t="b">
        <v>1</v>
      </c>
    </row>
    <row r="718" hidden="1">
      <c r="A718" s="82"/>
      <c r="B718" s="65" t="s">
        <v>177</v>
      </c>
      <c r="C718" s="65" t="s">
        <v>106</v>
      </c>
      <c r="D718" s="65" t="str">
        <f>vlookup(C718,'Classificação p pessoal'!F:G,2,false)</f>
        <v>MProcesso</v>
      </c>
      <c r="E718" s="65" t="s">
        <v>445</v>
      </c>
      <c r="F718" s="83">
        <v>0.6875</v>
      </c>
      <c r="G718" s="83">
        <v>0.7083333333333334</v>
      </c>
      <c r="H718" s="83">
        <v>0.020833333333333332</v>
      </c>
      <c r="I718" s="84">
        <v>44355.0</v>
      </c>
      <c r="J718" s="65" t="b">
        <v>1</v>
      </c>
      <c r="K718" s="65"/>
      <c r="L718" s="85" t="b">
        <f>IF(VLOOKUP(C718,Projetos!A:L,12,false)=TRUE,TRUE,FALSE)</f>
        <v>1</v>
      </c>
      <c r="M718" s="74">
        <v>31.02923620430495</v>
      </c>
      <c r="N718" s="74">
        <f t="shared" si="1"/>
        <v>15.5146181</v>
      </c>
      <c r="O718" s="74" t="b">
        <v>1</v>
      </c>
    </row>
    <row r="719" hidden="1">
      <c r="A719" s="82"/>
      <c r="B719" s="65" t="s">
        <v>177</v>
      </c>
      <c r="C719" s="65" t="s">
        <v>91</v>
      </c>
      <c r="D719" s="65" t="str">
        <f>vlookup(C719,'Classificação p pessoal'!F:G,2,false)</f>
        <v>NP</v>
      </c>
      <c r="E719" s="65" t="s">
        <v>446</v>
      </c>
      <c r="F719" s="83">
        <v>0.5833333333333334</v>
      </c>
      <c r="G719" s="83">
        <v>0.75</v>
      </c>
      <c r="H719" s="83">
        <v>0.16666666666666666</v>
      </c>
      <c r="I719" s="84">
        <v>44356.0</v>
      </c>
      <c r="J719" s="65" t="b">
        <v>1</v>
      </c>
      <c r="K719" s="65"/>
      <c r="L719" s="85" t="b">
        <f>IF(VLOOKUP(C719,Projetos!A:L,12,false)=TRUE,TRUE,FALSE)</f>
        <v>1</v>
      </c>
      <c r="M719" s="74">
        <v>31.02923620430495</v>
      </c>
      <c r="N719" s="74">
        <f t="shared" si="1"/>
        <v>124.1169448</v>
      </c>
      <c r="O719" s="74" t="b">
        <v>1</v>
      </c>
    </row>
    <row r="720" hidden="1">
      <c r="A720" s="82"/>
      <c r="B720" s="65" t="s">
        <v>177</v>
      </c>
      <c r="C720" s="65" t="s">
        <v>107</v>
      </c>
      <c r="D720" s="65" t="str">
        <f>vlookup(C720,'Classificação p pessoal'!F:G,2,false)</f>
        <v>NP</v>
      </c>
      <c r="E720" s="65" t="s">
        <v>447</v>
      </c>
      <c r="F720" s="83">
        <v>0.7083333333333334</v>
      </c>
      <c r="G720" s="83">
        <v>0.75</v>
      </c>
      <c r="H720" s="83">
        <v>0.041666666666666664</v>
      </c>
      <c r="I720" s="84">
        <v>44357.0</v>
      </c>
      <c r="J720" s="65" t="b">
        <v>1</v>
      </c>
      <c r="K720" s="65"/>
      <c r="L720" s="85" t="b">
        <f>IF(VLOOKUP(C720,Projetos!A:L,12,false)=TRUE,TRUE,FALSE)</f>
        <v>1</v>
      </c>
      <c r="M720" s="74">
        <v>31.02923620430495</v>
      </c>
      <c r="N720" s="74">
        <f t="shared" si="1"/>
        <v>31.0292362</v>
      </c>
      <c r="O720" s="74" t="b">
        <v>1</v>
      </c>
    </row>
    <row r="721" hidden="1">
      <c r="A721" s="82"/>
      <c r="B721" s="65" t="s">
        <v>177</v>
      </c>
      <c r="C721" s="65" t="s">
        <v>107</v>
      </c>
      <c r="D721" s="65" t="str">
        <f>vlookup(C721,'Classificação p pessoal'!F:G,2,false)</f>
        <v>NP</v>
      </c>
      <c r="E721" s="65" t="s">
        <v>448</v>
      </c>
      <c r="F721" s="83">
        <v>0.7083333333333334</v>
      </c>
      <c r="G721" s="83">
        <v>0.75</v>
      </c>
      <c r="H721" s="83">
        <v>0.041666666666666664</v>
      </c>
      <c r="I721" s="84">
        <v>44361.0</v>
      </c>
      <c r="J721" s="65" t="b">
        <v>1</v>
      </c>
      <c r="K721" s="65"/>
      <c r="L721" s="85" t="b">
        <f>IF(VLOOKUP(C721,Projetos!A:L,12,false)=TRUE,TRUE,FALSE)</f>
        <v>1</v>
      </c>
      <c r="M721" s="74">
        <v>31.02923620430495</v>
      </c>
      <c r="N721" s="74">
        <f t="shared" si="1"/>
        <v>31.0292362</v>
      </c>
      <c r="O721" s="74" t="b">
        <v>1</v>
      </c>
    </row>
    <row r="722" hidden="1">
      <c r="A722" s="82"/>
      <c r="B722" s="65" t="s">
        <v>177</v>
      </c>
      <c r="C722" s="65" t="s">
        <v>106</v>
      </c>
      <c r="D722" s="65" t="str">
        <f>vlookup(C722,'Classificação p pessoal'!F:G,2,false)</f>
        <v>MProcesso</v>
      </c>
      <c r="E722" s="65" t="s">
        <v>449</v>
      </c>
      <c r="F722" s="83">
        <v>0.5833333333333334</v>
      </c>
      <c r="G722" s="83">
        <v>0.59375</v>
      </c>
      <c r="H722" s="83">
        <v>0.010416666666666666</v>
      </c>
      <c r="I722" s="84">
        <v>44361.0</v>
      </c>
      <c r="J722" s="65" t="b">
        <v>1</v>
      </c>
      <c r="K722" s="65"/>
      <c r="L722" s="85" t="b">
        <f>IF(VLOOKUP(C722,Projetos!A:L,12,false)=TRUE,TRUE,FALSE)</f>
        <v>1</v>
      </c>
      <c r="M722" s="74">
        <v>31.02923620430495</v>
      </c>
      <c r="N722" s="74">
        <f t="shared" si="1"/>
        <v>7.757309051</v>
      </c>
      <c r="O722" s="74" t="b">
        <v>1</v>
      </c>
    </row>
    <row r="723" hidden="1">
      <c r="A723" s="82"/>
      <c r="B723" s="65" t="s">
        <v>177</v>
      </c>
      <c r="C723" s="65" t="s">
        <v>106</v>
      </c>
      <c r="D723" s="65" t="str">
        <f>vlookup(C723,'Classificação p pessoal'!F:G,2,false)</f>
        <v>MProcesso</v>
      </c>
      <c r="E723" s="65" t="s">
        <v>450</v>
      </c>
      <c r="F723" s="83">
        <v>0.59375</v>
      </c>
      <c r="G723" s="83">
        <v>0.6041666666666666</v>
      </c>
      <c r="H723" s="83">
        <v>0.010416666666666666</v>
      </c>
      <c r="I723" s="84">
        <v>44361.0</v>
      </c>
      <c r="J723" s="65" t="b">
        <v>1</v>
      </c>
      <c r="K723" s="65"/>
      <c r="L723" s="85" t="b">
        <f>IF(VLOOKUP(C723,Projetos!A:L,12,false)=TRUE,TRUE,FALSE)</f>
        <v>1</v>
      </c>
      <c r="M723" s="74">
        <v>31.02923620430495</v>
      </c>
      <c r="N723" s="74">
        <f t="shared" si="1"/>
        <v>7.757309051</v>
      </c>
      <c r="O723" s="74" t="b">
        <v>1</v>
      </c>
    </row>
    <row r="724" hidden="1">
      <c r="A724" s="82"/>
      <c r="B724" s="65" t="s">
        <v>177</v>
      </c>
      <c r="C724" s="65" t="s">
        <v>107</v>
      </c>
      <c r="D724" s="65" t="str">
        <f>vlookup(C724,'Classificação p pessoal'!F:G,2,false)</f>
        <v>NP</v>
      </c>
      <c r="E724" s="65" t="s">
        <v>451</v>
      </c>
      <c r="F724" s="83">
        <v>0.3541666666666667</v>
      </c>
      <c r="G724" s="83">
        <v>0.3958333333333333</v>
      </c>
      <c r="H724" s="83">
        <v>0.041666666666666664</v>
      </c>
      <c r="I724" s="84">
        <v>44362.0</v>
      </c>
      <c r="J724" s="65" t="b">
        <v>1</v>
      </c>
      <c r="K724" s="65"/>
      <c r="L724" s="85" t="b">
        <f>IF(VLOOKUP(C724,Projetos!A:L,12,false)=TRUE,TRUE,FALSE)</f>
        <v>1</v>
      </c>
      <c r="M724" s="74">
        <v>31.02923620430495</v>
      </c>
      <c r="N724" s="74">
        <f t="shared" si="1"/>
        <v>31.0292362</v>
      </c>
      <c r="O724" s="74" t="b">
        <v>1</v>
      </c>
    </row>
    <row r="725" hidden="1">
      <c r="A725" s="82"/>
      <c r="B725" s="65" t="s">
        <v>177</v>
      </c>
      <c r="C725" s="65" t="s">
        <v>101</v>
      </c>
      <c r="D725" s="65" t="str">
        <f>vlookup(C725,'Classificação p pessoal'!F:G,2,false)</f>
        <v>NP</v>
      </c>
      <c r="E725" s="65" t="s">
        <v>452</v>
      </c>
      <c r="F725" s="83">
        <v>0.4375</v>
      </c>
      <c r="G725" s="83">
        <v>0.5</v>
      </c>
      <c r="H725" s="83">
        <v>0.0625</v>
      </c>
      <c r="I725" s="84">
        <v>44363.0</v>
      </c>
      <c r="J725" s="65" t="b">
        <v>1</v>
      </c>
      <c r="K725" s="65"/>
      <c r="L725" s="85" t="b">
        <f>IF(VLOOKUP(C725,Projetos!A:L,12,false)=TRUE,TRUE,FALSE)</f>
        <v>1</v>
      </c>
      <c r="M725" s="74">
        <v>31.02923620430495</v>
      </c>
      <c r="N725" s="74">
        <f t="shared" si="1"/>
        <v>46.54385431</v>
      </c>
      <c r="O725" s="74" t="b">
        <v>1</v>
      </c>
    </row>
    <row r="726" hidden="1">
      <c r="A726" s="82"/>
      <c r="B726" s="65" t="s">
        <v>177</v>
      </c>
      <c r="C726" s="65" t="s">
        <v>101</v>
      </c>
      <c r="D726" s="65" t="str">
        <f>vlookup(C726,'Classificação p pessoal'!F:G,2,false)</f>
        <v>NP</v>
      </c>
      <c r="E726" s="65" t="s">
        <v>453</v>
      </c>
      <c r="F726" s="83">
        <v>0.3541666666666667</v>
      </c>
      <c r="G726" s="83">
        <v>0.375</v>
      </c>
      <c r="H726" s="83">
        <v>0.020833333333333332</v>
      </c>
      <c r="I726" s="84">
        <v>44364.0</v>
      </c>
      <c r="J726" s="65" t="b">
        <v>1</v>
      </c>
      <c r="K726" s="65"/>
      <c r="L726" s="85" t="b">
        <f>IF(VLOOKUP(C726,Projetos!A:L,12,false)=TRUE,TRUE,FALSE)</f>
        <v>1</v>
      </c>
      <c r="M726" s="74">
        <v>31.02923620430495</v>
      </c>
      <c r="N726" s="74">
        <f t="shared" si="1"/>
        <v>15.5146181</v>
      </c>
      <c r="O726" s="74" t="b">
        <v>1</v>
      </c>
    </row>
    <row r="727" hidden="1">
      <c r="A727" s="82"/>
      <c r="B727" s="65" t="s">
        <v>177</v>
      </c>
      <c r="C727" s="65" t="s">
        <v>101</v>
      </c>
      <c r="D727" s="65" t="str">
        <f>vlookup(C727,'Classificação p pessoal'!F:G,2,false)</f>
        <v>NP</v>
      </c>
      <c r="E727" s="65" t="s">
        <v>454</v>
      </c>
      <c r="F727" s="83">
        <v>0.4583333333333333</v>
      </c>
      <c r="G727" s="83">
        <v>0.5625</v>
      </c>
      <c r="H727" s="83">
        <v>0.10416666666666667</v>
      </c>
      <c r="I727" s="84">
        <v>44364.0</v>
      </c>
      <c r="J727" s="65" t="b">
        <v>1</v>
      </c>
      <c r="K727" s="65"/>
      <c r="L727" s="85" t="b">
        <f>IF(VLOOKUP(C727,Projetos!A:L,12,false)=TRUE,TRUE,FALSE)</f>
        <v>1</v>
      </c>
      <c r="M727" s="74">
        <v>31.02923620430495</v>
      </c>
      <c r="N727" s="74">
        <f t="shared" si="1"/>
        <v>77.57309051</v>
      </c>
      <c r="O727" s="74" t="b">
        <v>1</v>
      </c>
    </row>
    <row r="728" hidden="1">
      <c r="A728" s="82"/>
      <c r="B728" s="65" t="s">
        <v>177</v>
      </c>
      <c r="C728" s="65" t="s">
        <v>100</v>
      </c>
      <c r="D728" s="65"/>
      <c r="E728" s="65" t="s">
        <v>455</v>
      </c>
      <c r="F728" s="83">
        <v>0.375</v>
      </c>
      <c r="G728" s="83">
        <v>0.3958333333333333</v>
      </c>
      <c r="H728" s="83">
        <v>0.020833333333333332</v>
      </c>
      <c r="I728" s="84">
        <v>44462.0</v>
      </c>
      <c r="J728" s="65" t="b">
        <v>0</v>
      </c>
      <c r="K728" s="65" t="s">
        <v>150</v>
      </c>
      <c r="L728" s="85" t="b">
        <f>IF(VLOOKUP(C728,Projetos!A:L,12,false)=TRUE,TRUE,FALSE)</f>
        <v>1</v>
      </c>
      <c r="M728" s="74">
        <v>31.02923620430495</v>
      </c>
      <c r="N728" s="74">
        <f t="shared" si="1"/>
        <v>0</v>
      </c>
      <c r="O728" s="74" t="b">
        <v>1</v>
      </c>
    </row>
    <row r="729" hidden="1">
      <c r="A729" s="82"/>
      <c r="B729" s="65" t="s">
        <v>177</v>
      </c>
      <c r="C729" s="65" t="s">
        <v>101</v>
      </c>
      <c r="D729" s="65" t="str">
        <f>vlookup(C729,'Classificação p pessoal'!F:G,2,false)</f>
        <v>NP</v>
      </c>
      <c r="E729" s="65" t="s">
        <v>456</v>
      </c>
      <c r="F729" s="83">
        <v>0.6458333333333334</v>
      </c>
      <c r="G729" s="83">
        <v>0.6666666666666666</v>
      </c>
      <c r="H729" s="83">
        <v>0.020833333333333332</v>
      </c>
      <c r="I729" s="84">
        <v>44364.0</v>
      </c>
      <c r="J729" s="65" t="b">
        <v>1</v>
      </c>
      <c r="K729" s="65"/>
      <c r="L729" s="85" t="b">
        <f>IF(VLOOKUP(C729,Projetos!A:L,12,false)=TRUE,TRUE,FALSE)</f>
        <v>1</v>
      </c>
      <c r="M729" s="74">
        <v>31.02923620430495</v>
      </c>
      <c r="N729" s="74">
        <f t="shared" si="1"/>
        <v>15.5146181</v>
      </c>
      <c r="O729" s="74" t="b">
        <v>1</v>
      </c>
    </row>
    <row r="730" hidden="1">
      <c r="A730" s="82"/>
      <c r="B730" s="65" t="s">
        <v>177</v>
      </c>
      <c r="C730" s="65" t="s">
        <v>101</v>
      </c>
      <c r="D730" s="65"/>
      <c r="E730" s="65" t="s">
        <v>457</v>
      </c>
      <c r="F730" s="83">
        <v>0.5833333333333334</v>
      </c>
      <c r="G730" s="83">
        <v>0.625</v>
      </c>
      <c r="H730" s="83">
        <v>0.041666666666666664</v>
      </c>
      <c r="I730" s="84">
        <v>44365.0</v>
      </c>
      <c r="J730" s="65" t="b">
        <v>0</v>
      </c>
      <c r="K730" s="65" t="s">
        <v>150</v>
      </c>
      <c r="L730" s="85" t="b">
        <f>IF(VLOOKUP(C730,Projetos!A:L,12,false)=TRUE,TRUE,FALSE)</f>
        <v>1</v>
      </c>
      <c r="M730" s="74">
        <v>31.02923620430495</v>
      </c>
      <c r="N730" s="74">
        <f t="shared" si="1"/>
        <v>0</v>
      </c>
      <c r="O730" s="74" t="b">
        <v>1</v>
      </c>
    </row>
    <row r="731" hidden="1">
      <c r="A731" s="82"/>
      <c r="B731" s="65" t="s">
        <v>177</v>
      </c>
      <c r="C731" s="65" t="s">
        <v>120</v>
      </c>
      <c r="D731" s="65"/>
      <c r="E731" s="65" t="s">
        <v>458</v>
      </c>
      <c r="F731" s="83">
        <v>0.5</v>
      </c>
      <c r="G731" s="83">
        <v>0.5416666666666666</v>
      </c>
      <c r="H731" s="83">
        <v>0.041666666666666664</v>
      </c>
      <c r="I731" s="84">
        <v>44368.0</v>
      </c>
      <c r="J731" s="65" t="b">
        <v>0</v>
      </c>
      <c r="K731" s="65" t="s">
        <v>150</v>
      </c>
      <c r="L731" s="85" t="b">
        <f>IF(VLOOKUP(C731,Projetos!A:L,12,false)=TRUE,TRUE,FALSE)</f>
        <v>0</v>
      </c>
      <c r="M731" s="74">
        <v>31.02923620430495</v>
      </c>
      <c r="N731" s="74">
        <f t="shared" si="1"/>
        <v>0</v>
      </c>
      <c r="O731" s="74" t="b">
        <v>0</v>
      </c>
    </row>
    <row r="732" hidden="1">
      <c r="A732" s="82"/>
      <c r="B732" s="65" t="s">
        <v>177</v>
      </c>
      <c r="C732" s="65" t="s">
        <v>101</v>
      </c>
      <c r="D732" s="65"/>
      <c r="E732" s="65" t="s">
        <v>459</v>
      </c>
      <c r="F732" s="83">
        <v>0.5416666666666666</v>
      </c>
      <c r="G732" s="83">
        <v>0.5833333333333334</v>
      </c>
      <c r="H732" s="83">
        <v>0.041666666666666664</v>
      </c>
      <c r="I732" s="84">
        <v>44368.0</v>
      </c>
      <c r="J732" s="65" t="b">
        <v>0</v>
      </c>
      <c r="K732" s="65" t="s">
        <v>150</v>
      </c>
      <c r="L732" s="85" t="b">
        <f>IF(VLOOKUP(C732,Projetos!A:L,12,false)=TRUE,TRUE,FALSE)</f>
        <v>1</v>
      </c>
      <c r="M732" s="74">
        <v>31.02923620430495</v>
      </c>
      <c r="N732" s="74">
        <f t="shared" si="1"/>
        <v>0</v>
      </c>
      <c r="O732" s="74" t="b">
        <v>1</v>
      </c>
    </row>
    <row r="733" hidden="1">
      <c r="A733" s="82"/>
      <c r="B733" s="65" t="s">
        <v>177</v>
      </c>
      <c r="C733" s="65" t="s">
        <v>101</v>
      </c>
      <c r="D733" s="65" t="str">
        <f>vlookup(C733,'Classificação p pessoal'!F:G,2,false)</f>
        <v>NP</v>
      </c>
      <c r="E733" s="65" t="s">
        <v>460</v>
      </c>
      <c r="F733" s="83">
        <v>0.5833333333333334</v>
      </c>
      <c r="G733" s="83">
        <v>0.625</v>
      </c>
      <c r="H733" s="83">
        <v>0.041666666666666664</v>
      </c>
      <c r="I733" s="84">
        <v>44368.0</v>
      </c>
      <c r="J733" s="65" t="b">
        <v>1</v>
      </c>
      <c r="K733" s="65"/>
      <c r="L733" s="85" t="b">
        <f>IF(VLOOKUP(C733,Projetos!A:L,12,false)=TRUE,TRUE,FALSE)</f>
        <v>1</v>
      </c>
      <c r="M733" s="74">
        <v>31.02923620430495</v>
      </c>
      <c r="N733" s="74">
        <f t="shared" si="1"/>
        <v>31.0292362</v>
      </c>
      <c r="O733" s="74" t="b">
        <v>1</v>
      </c>
    </row>
    <row r="734" hidden="1">
      <c r="A734" s="82"/>
      <c r="B734" s="65" t="s">
        <v>177</v>
      </c>
      <c r="C734" s="65" t="s">
        <v>100</v>
      </c>
      <c r="D734" s="65" t="str">
        <f>vlookup(C734,'Classificação p pessoal'!F:G,2,false)</f>
        <v>NP</v>
      </c>
      <c r="E734" s="65" t="s">
        <v>461</v>
      </c>
      <c r="F734" s="83">
        <v>0.3541666666666667</v>
      </c>
      <c r="G734" s="83">
        <v>0.375</v>
      </c>
      <c r="H734" s="83">
        <v>0.020833333333333332</v>
      </c>
      <c r="I734" s="84">
        <v>44369.0</v>
      </c>
      <c r="J734" s="65" t="b">
        <v>1</v>
      </c>
      <c r="K734" s="65"/>
      <c r="L734" s="85" t="b">
        <f>IF(VLOOKUP(C734,Projetos!A:L,12,false)=TRUE,TRUE,FALSE)</f>
        <v>1</v>
      </c>
      <c r="M734" s="74">
        <v>31.02923620430495</v>
      </c>
      <c r="N734" s="74">
        <f t="shared" si="1"/>
        <v>15.5146181</v>
      </c>
      <c r="O734" s="74" t="b">
        <v>1</v>
      </c>
    </row>
    <row r="735" hidden="1">
      <c r="A735" s="82"/>
      <c r="B735" s="65" t="s">
        <v>177</v>
      </c>
      <c r="C735" s="65" t="s">
        <v>92</v>
      </c>
      <c r="D735" s="65" t="str">
        <f>vlookup(C735,'Classificação p pessoal'!F:G,2,false)</f>
        <v/>
      </c>
      <c r="E735" s="65" t="s">
        <v>462</v>
      </c>
      <c r="F735" s="83">
        <v>0.375</v>
      </c>
      <c r="G735" s="83">
        <v>0.4166666666666667</v>
      </c>
      <c r="H735" s="83">
        <v>0.041666666666666664</v>
      </c>
      <c r="I735" s="84">
        <v>44369.0</v>
      </c>
      <c r="J735" s="65" t="b">
        <v>1</v>
      </c>
      <c r="K735" s="65"/>
      <c r="L735" s="85" t="b">
        <f>IF(VLOOKUP(C735,Projetos!A:L,12,false)=TRUE,TRUE,FALSE)</f>
        <v>1</v>
      </c>
      <c r="M735" s="74">
        <v>31.02923620430495</v>
      </c>
      <c r="N735" s="74">
        <f t="shared" si="1"/>
        <v>31.0292362</v>
      </c>
      <c r="O735" s="74" t="b">
        <v>1</v>
      </c>
    </row>
    <row r="736" hidden="1">
      <c r="A736" s="82"/>
      <c r="B736" s="65" t="s">
        <v>177</v>
      </c>
      <c r="C736" s="65" t="s">
        <v>101</v>
      </c>
      <c r="D736" s="65" t="str">
        <f>vlookup(C736,'Classificação p pessoal'!F:G,2,false)</f>
        <v>NP</v>
      </c>
      <c r="E736" s="65" t="s">
        <v>452</v>
      </c>
      <c r="F736" s="83">
        <v>0.4166666666666667</v>
      </c>
      <c r="G736" s="83">
        <v>0.5416666666666666</v>
      </c>
      <c r="H736" s="83">
        <v>0.125</v>
      </c>
      <c r="I736" s="84">
        <v>44369.0</v>
      </c>
      <c r="J736" s="65" t="b">
        <v>1</v>
      </c>
      <c r="K736" s="65"/>
      <c r="L736" s="85" t="b">
        <f>IF(VLOOKUP(C736,Projetos!A:L,12,false)=TRUE,TRUE,FALSE)</f>
        <v>1</v>
      </c>
      <c r="M736" s="74">
        <v>31.02923620430495</v>
      </c>
      <c r="N736" s="74">
        <f t="shared" si="1"/>
        <v>93.08770861</v>
      </c>
      <c r="O736" s="74" t="b">
        <v>1</v>
      </c>
    </row>
    <row r="737">
      <c r="A737" s="82"/>
      <c r="B737" s="65" t="s">
        <v>177</v>
      </c>
      <c r="C737" s="65" t="s">
        <v>108</v>
      </c>
      <c r="D737" s="65" t="str">
        <f>vlookup(C737,'Classificação p pessoal'!F:G,2,false)</f>
        <v>NP</v>
      </c>
      <c r="E737" s="65" t="s">
        <v>463</v>
      </c>
      <c r="F737" s="83">
        <v>0.6875</v>
      </c>
      <c r="G737" s="83">
        <v>0.75</v>
      </c>
      <c r="H737" s="83">
        <v>0.0625</v>
      </c>
      <c r="I737" s="84">
        <v>44369.0</v>
      </c>
      <c r="J737" s="65" t="b">
        <v>1</v>
      </c>
      <c r="K737" s="65"/>
      <c r="L737" s="85" t="b">
        <f>IF(VLOOKUP(C737,Projetos!A:L,12,false)=TRUE,TRUE,FALSE)</f>
        <v>1</v>
      </c>
      <c r="M737" s="74">
        <v>31.02923620430495</v>
      </c>
      <c r="N737" s="74">
        <f t="shared" si="1"/>
        <v>46.54385431</v>
      </c>
      <c r="O737" s="74" t="b">
        <v>1</v>
      </c>
    </row>
    <row r="738" hidden="1">
      <c r="A738" s="82"/>
      <c r="B738" s="65" t="s">
        <v>177</v>
      </c>
      <c r="C738" s="65" t="s">
        <v>117</v>
      </c>
      <c r="D738" s="65"/>
      <c r="E738" s="65" t="s">
        <v>464</v>
      </c>
      <c r="F738" s="83">
        <v>0.6458333333333334</v>
      </c>
      <c r="G738" s="83">
        <v>0.7083333333333334</v>
      </c>
      <c r="H738" s="83">
        <v>0.0625</v>
      </c>
      <c r="I738" s="84">
        <v>44362.0</v>
      </c>
      <c r="J738" s="65" t="b">
        <v>0</v>
      </c>
      <c r="K738" s="65" t="s">
        <v>150</v>
      </c>
      <c r="L738" s="85" t="b">
        <f>IF(VLOOKUP(C738,Projetos!A:L,12,false)=TRUE,TRUE,FALSE)</f>
        <v>1</v>
      </c>
      <c r="M738" s="74">
        <v>31.02923620430495</v>
      </c>
      <c r="N738" s="74">
        <f t="shared" si="1"/>
        <v>0</v>
      </c>
      <c r="O738" s="74" t="b">
        <v>1</v>
      </c>
    </row>
    <row r="739" hidden="1">
      <c r="A739" s="82"/>
      <c r="B739" s="65" t="s">
        <v>177</v>
      </c>
      <c r="C739" s="65" t="s">
        <v>100</v>
      </c>
      <c r="D739" s="65"/>
      <c r="E739" s="65" t="s">
        <v>465</v>
      </c>
      <c r="F739" s="83">
        <v>0.375</v>
      </c>
      <c r="G739" s="83">
        <v>0.4375</v>
      </c>
      <c r="H739" s="83">
        <v>0.0625</v>
      </c>
      <c r="I739" s="84">
        <v>44369.0</v>
      </c>
      <c r="J739" s="65" t="b">
        <v>0</v>
      </c>
      <c r="K739" s="65" t="s">
        <v>150</v>
      </c>
      <c r="L739" s="85" t="b">
        <f>IF(VLOOKUP(C739,Projetos!A:L,12,false)=TRUE,TRUE,FALSE)</f>
        <v>1</v>
      </c>
      <c r="M739" s="74">
        <v>31.02923620430495</v>
      </c>
      <c r="N739" s="74">
        <f t="shared" si="1"/>
        <v>0</v>
      </c>
      <c r="O739" s="74" t="b">
        <v>1</v>
      </c>
    </row>
    <row r="740" hidden="1">
      <c r="A740" s="82"/>
      <c r="B740" s="65" t="s">
        <v>177</v>
      </c>
      <c r="C740" s="65" t="s">
        <v>101</v>
      </c>
      <c r="D740" s="65" t="str">
        <f>vlookup(C740,'Classificação p pessoal'!F:G,2,false)</f>
        <v>NP</v>
      </c>
      <c r="E740" s="65" t="s">
        <v>466</v>
      </c>
      <c r="F740" s="83">
        <v>0.3541666666666667</v>
      </c>
      <c r="G740" s="83">
        <v>0.4375</v>
      </c>
      <c r="H740" s="83">
        <v>0.08333333333333333</v>
      </c>
      <c r="I740" s="84">
        <v>44370.0</v>
      </c>
      <c r="J740" s="65" t="b">
        <v>1</v>
      </c>
      <c r="K740" s="65"/>
      <c r="L740" s="85" t="b">
        <f>IF(VLOOKUP(C740,Projetos!A:L,12,false)=TRUE,TRUE,FALSE)</f>
        <v>1</v>
      </c>
      <c r="M740" s="74">
        <v>31.02923620430495</v>
      </c>
      <c r="N740" s="74">
        <f t="shared" si="1"/>
        <v>62.05847241</v>
      </c>
      <c r="O740" s="74" t="b">
        <v>1</v>
      </c>
    </row>
    <row r="741" hidden="1">
      <c r="A741" s="82"/>
      <c r="B741" s="65" t="s">
        <v>467</v>
      </c>
      <c r="C741" s="65" t="s">
        <v>106</v>
      </c>
      <c r="D741" s="65" t="str">
        <f>vlookup(C741,'Classificação p pessoal'!F:G,2,false)</f>
        <v>MProcesso</v>
      </c>
      <c r="E741" s="65" t="s">
        <v>468</v>
      </c>
      <c r="F741" s="83">
        <v>0.5833333333333334</v>
      </c>
      <c r="G741" s="83">
        <v>0.75</v>
      </c>
      <c r="H741" s="83">
        <v>0.16666666666666666</v>
      </c>
      <c r="I741" s="84">
        <v>44518.0</v>
      </c>
      <c r="J741" s="65" t="b">
        <v>1</v>
      </c>
      <c r="K741" s="65"/>
      <c r="L741" s="85" t="b">
        <f>IF(VLOOKUP(C741,Projetos!A:L,12,false)=TRUE,TRUE,FALSE)</f>
        <v>1</v>
      </c>
      <c r="M741" s="74">
        <v>52.1518759018759</v>
      </c>
      <c r="N741" s="74">
        <f t="shared" si="1"/>
        <v>208.6075036</v>
      </c>
      <c r="O741" s="74" t="b">
        <v>1</v>
      </c>
    </row>
    <row r="742" hidden="1">
      <c r="A742" s="82"/>
      <c r="B742" s="65" t="s">
        <v>469</v>
      </c>
      <c r="C742" s="65" t="s">
        <v>118</v>
      </c>
      <c r="D742" s="65" t="str">
        <f>vlookup(C742,'Classificação p pessoal'!F:G,2,false)</f>
        <v>MProduto</v>
      </c>
      <c r="E742" s="65" t="s">
        <v>470</v>
      </c>
      <c r="F742" s="83">
        <v>0.625</v>
      </c>
      <c r="G742" s="83">
        <v>0.6666666666666666</v>
      </c>
      <c r="H742" s="83">
        <v>0.041666666666666664</v>
      </c>
      <c r="I742" s="84">
        <v>44393.0</v>
      </c>
      <c r="J742" s="65" t="b">
        <v>1</v>
      </c>
      <c r="K742" s="65"/>
      <c r="L742" s="85" t="b">
        <f>IF(VLOOKUP(C742,Projetos!A:L,12,false)=TRUE,TRUE,FALSE)</f>
        <v>1</v>
      </c>
      <c r="M742" s="74">
        <v>37.50928062469937</v>
      </c>
      <c r="N742" s="74">
        <f t="shared" si="1"/>
        <v>37.50928062</v>
      </c>
      <c r="O742" s="74" t="b">
        <v>1</v>
      </c>
    </row>
    <row r="743" hidden="1">
      <c r="A743" s="82"/>
      <c r="B743" s="65" t="s">
        <v>177</v>
      </c>
      <c r="C743" s="65" t="s">
        <v>106</v>
      </c>
      <c r="D743" s="65" t="str">
        <f>vlookup(C743,'Classificação p pessoal'!F:G,2,false)</f>
        <v>MProcesso</v>
      </c>
      <c r="E743" s="65" t="s">
        <v>471</v>
      </c>
      <c r="F743" s="83">
        <v>0.375</v>
      </c>
      <c r="G743" s="83">
        <v>0.3958333333333333</v>
      </c>
      <c r="H743" s="83">
        <v>0.020833333333333332</v>
      </c>
      <c r="I743" s="84">
        <v>44536.0</v>
      </c>
      <c r="J743" s="65" t="b">
        <v>1</v>
      </c>
      <c r="K743" s="65"/>
      <c r="L743" s="85" t="b">
        <f>IF(VLOOKUP(C743,Projetos!A:L,12,false)=TRUE,TRUE,FALSE)</f>
        <v>1</v>
      </c>
      <c r="M743" s="74">
        <v>31.02923620430495</v>
      </c>
      <c r="N743" s="74">
        <f t="shared" si="1"/>
        <v>15.5146181</v>
      </c>
      <c r="O743" s="74" t="b">
        <v>1</v>
      </c>
    </row>
    <row r="744" hidden="1">
      <c r="A744" s="82"/>
      <c r="B744" s="65" t="s">
        <v>177</v>
      </c>
      <c r="C744" s="65" t="s">
        <v>101</v>
      </c>
      <c r="D744" s="65" t="str">
        <f>vlookup(C744,'Classificação p pessoal'!F:G,2,false)</f>
        <v>NP</v>
      </c>
      <c r="E744" s="65" t="s">
        <v>472</v>
      </c>
      <c r="F744" s="83">
        <v>0.3541666666666667</v>
      </c>
      <c r="G744" s="83">
        <v>0.375</v>
      </c>
      <c r="H744" s="83">
        <v>0.020833333333333332</v>
      </c>
      <c r="I744" s="84">
        <v>44371.0</v>
      </c>
      <c r="J744" s="65" t="b">
        <v>1</v>
      </c>
      <c r="K744" s="65"/>
      <c r="L744" s="85" t="b">
        <f>IF(VLOOKUP(C744,Projetos!A:L,12,false)=TRUE,TRUE,FALSE)</f>
        <v>1</v>
      </c>
      <c r="M744" s="74">
        <v>31.02923620430495</v>
      </c>
      <c r="N744" s="74">
        <f t="shared" si="1"/>
        <v>15.5146181</v>
      </c>
      <c r="O744" s="74" t="b">
        <v>1</v>
      </c>
    </row>
    <row r="745" hidden="1">
      <c r="A745" s="82"/>
      <c r="B745" s="65" t="s">
        <v>177</v>
      </c>
      <c r="C745" s="65" t="s">
        <v>106</v>
      </c>
      <c r="D745" s="65" t="str">
        <f>vlookup(C745,'Classificação p pessoal'!F:G,2,false)</f>
        <v>MProcesso</v>
      </c>
      <c r="E745" s="65" t="s">
        <v>473</v>
      </c>
      <c r="F745" s="83">
        <v>0.375</v>
      </c>
      <c r="G745" s="83">
        <v>0.3958333333333333</v>
      </c>
      <c r="H745" s="83">
        <v>0.020833333333333332</v>
      </c>
      <c r="I745" s="84">
        <v>44371.0</v>
      </c>
      <c r="J745" s="65" t="b">
        <v>1</v>
      </c>
      <c r="K745" s="65"/>
      <c r="L745" s="85" t="b">
        <f>IF(VLOOKUP(C745,Projetos!A:L,12,false)=TRUE,TRUE,FALSE)</f>
        <v>1</v>
      </c>
      <c r="M745" s="74">
        <v>31.02923620430495</v>
      </c>
      <c r="N745" s="74">
        <f t="shared" si="1"/>
        <v>15.5146181</v>
      </c>
      <c r="O745" s="74" t="b">
        <v>1</v>
      </c>
    </row>
    <row r="746" hidden="1">
      <c r="A746" s="82"/>
      <c r="B746" s="65" t="s">
        <v>177</v>
      </c>
      <c r="C746" s="65" t="s">
        <v>106</v>
      </c>
      <c r="D746" s="65" t="str">
        <f>vlookup(C746,'Classificação p pessoal'!F:G,2,false)</f>
        <v>MProcesso</v>
      </c>
      <c r="E746" s="65" t="s">
        <v>474</v>
      </c>
      <c r="F746" s="83">
        <v>0.625</v>
      </c>
      <c r="G746" s="83">
        <v>0.75</v>
      </c>
      <c r="H746" s="83">
        <v>0.125</v>
      </c>
      <c r="I746" s="84">
        <v>44371.0</v>
      </c>
      <c r="J746" s="65" t="b">
        <v>1</v>
      </c>
      <c r="K746" s="65"/>
      <c r="L746" s="85" t="b">
        <f>IF(VLOOKUP(C746,Projetos!A:L,12,false)=TRUE,TRUE,FALSE)</f>
        <v>1</v>
      </c>
      <c r="M746" s="74">
        <v>31.02923620430495</v>
      </c>
      <c r="N746" s="74">
        <f t="shared" si="1"/>
        <v>93.08770861</v>
      </c>
      <c r="O746" s="74" t="b">
        <v>1</v>
      </c>
    </row>
    <row r="747" hidden="1">
      <c r="A747" s="82"/>
      <c r="B747" s="65" t="s">
        <v>177</v>
      </c>
      <c r="C747" s="65" t="s">
        <v>106</v>
      </c>
      <c r="D747" s="65" t="str">
        <f>vlookup(C747,'Classificação p pessoal'!F:G,2,false)</f>
        <v>MProcesso</v>
      </c>
      <c r="E747" s="65" t="s">
        <v>474</v>
      </c>
      <c r="F747" s="83">
        <v>0.3541666666666667</v>
      </c>
      <c r="G747" s="83">
        <v>0.4166666666666667</v>
      </c>
      <c r="H747" s="83">
        <v>0.0625</v>
      </c>
      <c r="I747" s="84">
        <v>44372.0</v>
      </c>
      <c r="J747" s="65" t="b">
        <v>1</v>
      </c>
      <c r="K747" s="65"/>
      <c r="L747" s="85" t="b">
        <f>IF(VLOOKUP(C747,Projetos!A:L,12,false)=TRUE,TRUE,FALSE)</f>
        <v>1</v>
      </c>
      <c r="M747" s="74">
        <v>31.02923620430495</v>
      </c>
      <c r="N747" s="74">
        <f t="shared" si="1"/>
        <v>46.54385431</v>
      </c>
      <c r="O747" s="74" t="b">
        <v>1</v>
      </c>
    </row>
    <row r="748" hidden="1">
      <c r="A748" s="82"/>
      <c r="B748" s="65" t="s">
        <v>177</v>
      </c>
      <c r="C748" s="65" t="s">
        <v>92</v>
      </c>
      <c r="D748" s="65" t="str">
        <f>vlookup(C748,'Classificação p pessoal'!F:G,2,false)</f>
        <v/>
      </c>
      <c r="E748" s="65" t="s">
        <v>475</v>
      </c>
      <c r="F748" s="83">
        <v>0.5416666666666666</v>
      </c>
      <c r="G748" s="83">
        <v>0.5625</v>
      </c>
      <c r="H748" s="83">
        <v>0.020833333333333332</v>
      </c>
      <c r="I748" s="84">
        <v>44372.0</v>
      </c>
      <c r="J748" s="65" t="b">
        <v>1</v>
      </c>
      <c r="K748" s="65"/>
      <c r="L748" s="85" t="b">
        <f>IF(VLOOKUP(C748,Projetos!A:L,12,false)=TRUE,TRUE,FALSE)</f>
        <v>1</v>
      </c>
      <c r="M748" s="74">
        <v>31.02923620430495</v>
      </c>
      <c r="N748" s="74">
        <f t="shared" si="1"/>
        <v>15.5146181</v>
      </c>
      <c r="O748" s="74" t="b">
        <v>1</v>
      </c>
    </row>
    <row r="749" hidden="1">
      <c r="A749" s="82"/>
      <c r="B749" s="65" t="s">
        <v>177</v>
      </c>
      <c r="C749" s="65" t="s">
        <v>106</v>
      </c>
      <c r="D749" s="65" t="str">
        <f>vlookup(C749,'Classificação p pessoal'!F:G,2,false)</f>
        <v>MProcesso</v>
      </c>
      <c r="E749" s="65" t="s">
        <v>476</v>
      </c>
      <c r="F749" s="83">
        <v>0.5833333333333334</v>
      </c>
      <c r="G749" s="83">
        <v>0.625</v>
      </c>
      <c r="H749" s="83">
        <v>0.041666666666666664</v>
      </c>
      <c r="I749" s="84">
        <v>44376.0</v>
      </c>
      <c r="J749" s="65" t="b">
        <v>1</v>
      </c>
      <c r="K749" s="65"/>
      <c r="L749" s="85" t="b">
        <f>IF(VLOOKUP(C749,Projetos!A:L,12,false)=TRUE,TRUE,FALSE)</f>
        <v>1</v>
      </c>
      <c r="M749" s="74">
        <v>31.02923620430495</v>
      </c>
      <c r="N749" s="74">
        <f t="shared" si="1"/>
        <v>31.0292362</v>
      </c>
      <c r="O749" s="74" t="b">
        <v>1</v>
      </c>
    </row>
    <row r="750" hidden="1">
      <c r="A750" s="82"/>
      <c r="B750" s="65" t="s">
        <v>467</v>
      </c>
      <c r="C750" s="65" t="s">
        <v>113</v>
      </c>
      <c r="D750" s="65"/>
      <c r="E750" s="65" t="s">
        <v>477</v>
      </c>
      <c r="F750" s="83">
        <v>0.4166666666666667</v>
      </c>
      <c r="G750" s="83">
        <v>0.5</v>
      </c>
      <c r="H750" s="83">
        <v>0.08333333333333333</v>
      </c>
      <c r="I750" s="84">
        <v>44524.0</v>
      </c>
      <c r="J750" s="65" t="b">
        <v>0</v>
      </c>
      <c r="K750" s="65" t="s">
        <v>150</v>
      </c>
      <c r="L750" s="85" t="b">
        <f>IF(VLOOKUP(C750,Projetos!A:L,12,false)=TRUE,TRUE,FALSE)</f>
        <v>1</v>
      </c>
      <c r="M750" s="74">
        <v>52.1518759018759</v>
      </c>
      <c r="N750" s="74">
        <f t="shared" si="1"/>
        <v>0</v>
      </c>
      <c r="O750" s="74" t="b">
        <v>1</v>
      </c>
    </row>
    <row r="751" hidden="1">
      <c r="A751" s="82"/>
      <c r="B751" s="65" t="s">
        <v>177</v>
      </c>
      <c r="C751" s="65" t="s">
        <v>100</v>
      </c>
      <c r="D751" s="65" t="str">
        <f>vlookup(C751,'Classificação p pessoal'!F:G,2,false)</f>
        <v>NP</v>
      </c>
      <c r="E751" s="65" t="s">
        <v>478</v>
      </c>
      <c r="F751" s="83">
        <v>0.625</v>
      </c>
      <c r="G751" s="83">
        <v>0.7083333333333334</v>
      </c>
      <c r="H751" s="83">
        <v>0.08333333333333333</v>
      </c>
      <c r="I751" s="84">
        <v>44376.0</v>
      </c>
      <c r="J751" s="65" t="b">
        <v>1</v>
      </c>
      <c r="K751" s="65"/>
      <c r="L751" s="85" t="b">
        <f>IF(VLOOKUP(C751,Projetos!A:L,12,false)=TRUE,TRUE,FALSE)</f>
        <v>1</v>
      </c>
      <c r="M751" s="74">
        <v>31.02923620430495</v>
      </c>
      <c r="N751" s="74">
        <f t="shared" si="1"/>
        <v>62.05847241</v>
      </c>
      <c r="O751" s="74" t="b">
        <v>1</v>
      </c>
    </row>
    <row r="752" hidden="1">
      <c r="A752" s="82"/>
      <c r="B752" s="65" t="s">
        <v>177</v>
      </c>
      <c r="C752" s="65" t="s">
        <v>100</v>
      </c>
      <c r="D752" s="65" t="str">
        <f>vlookup(C752,'Classificação p pessoal'!F:G,2,false)</f>
        <v>NP</v>
      </c>
      <c r="E752" s="65" t="s">
        <v>479</v>
      </c>
      <c r="F752" s="83">
        <v>0.5833333333333334</v>
      </c>
      <c r="G752" s="83">
        <v>0.7291666666666666</v>
      </c>
      <c r="H752" s="83">
        <v>0.14583333333333334</v>
      </c>
      <c r="I752" s="84">
        <v>44377.0</v>
      </c>
      <c r="J752" s="65" t="b">
        <v>1</v>
      </c>
      <c r="K752" s="65"/>
      <c r="L752" s="85" t="b">
        <f>IF(VLOOKUP(C752,Projetos!A:L,12,false)=TRUE,TRUE,FALSE)</f>
        <v>1</v>
      </c>
      <c r="M752" s="74">
        <v>31.02923620430495</v>
      </c>
      <c r="N752" s="74">
        <f t="shared" si="1"/>
        <v>108.6023267</v>
      </c>
      <c r="O752" s="74" t="b">
        <v>1</v>
      </c>
    </row>
    <row r="753" hidden="1">
      <c r="A753" s="82"/>
      <c r="B753" s="65" t="s">
        <v>177</v>
      </c>
      <c r="C753" s="65" t="s">
        <v>106</v>
      </c>
      <c r="D753" s="65" t="str">
        <f>vlookup(C753,'Classificação p pessoal'!F:G,2,false)</f>
        <v>MProcesso</v>
      </c>
      <c r="E753" s="65" t="s">
        <v>480</v>
      </c>
      <c r="F753" s="83">
        <v>0.3541666666666667</v>
      </c>
      <c r="G753" s="83">
        <v>0.4375</v>
      </c>
      <c r="H753" s="83">
        <v>0.08333333333333333</v>
      </c>
      <c r="I753" s="84">
        <v>44378.0</v>
      </c>
      <c r="J753" s="65" t="b">
        <v>1</v>
      </c>
      <c r="K753" s="65"/>
      <c r="L753" s="85" t="b">
        <f>IF(VLOOKUP(C753,Projetos!A:L,12,false)=TRUE,TRUE,FALSE)</f>
        <v>1</v>
      </c>
      <c r="M753" s="74">
        <v>31.02923620430495</v>
      </c>
      <c r="N753" s="74">
        <f t="shared" si="1"/>
        <v>62.05847241</v>
      </c>
      <c r="O753" s="74" t="b">
        <v>1</v>
      </c>
    </row>
    <row r="754">
      <c r="A754" s="82"/>
      <c r="B754" s="65" t="s">
        <v>177</v>
      </c>
      <c r="C754" s="65" t="s">
        <v>108</v>
      </c>
      <c r="D754" s="65" t="str">
        <f>vlookup(C754,'Classificação p pessoal'!F:G,2,false)</f>
        <v>NP</v>
      </c>
      <c r="E754" s="65" t="s">
        <v>481</v>
      </c>
      <c r="F754" s="83">
        <v>0.4375</v>
      </c>
      <c r="G754" s="83">
        <v>0.4583333333333333</v>
      </c>
      <c r="H754" s="83">
        <v>0.020833333333333332</v>
      </c>
      <c r="I754" s="84">
        <v>44378.0</v>
      </c>
      <c r="J754" s="65" t="b">
        <v>1</v>
      </c>
      <c r="K754" s="65"/>
      <c r="L754" s="85" t="b">
        <f>IF(VLOOKUP(C754,Projetos!A:L,12,false)=TRUE,TRUE,FALSE)</f>
        <v>1</v>
      </c>
      <c r="M754" s="74">
        <v>31.02923620430495</v>
      </c>
      <c r="N754" s="74">
        <f t="shared" si="1"/>
        <v>15.5146181</v>
      </c>
      <c r="O754" s="74" t="b">
        <v>1</v>
      </c>
    </row>
    <row r="755" hidden="1">
      <c r="A755" s="82"/>
      <c r="B755" s="65" t="s">
        <v>177</v>
      </c>
      <c r="C755" s="65" t="s">
        <v>107</v>
      </c>
      <c r="D755" s="65"/>
      <c r="E755" s="65" t="s">
        <v>482</v>
      </c>
      <c r="F755" s="83">
        <v>0.3541666666666667</v>
      </c>
      <c r="G755" s="83">
        <v>0.375</v>
      </c>
      <c r="H755" s="83">
        <v>0.020833333333333332</v>
      </c>
      <c r="I755" s="84">
        <v>44552.0</v>
      </c>
      <c r="J755" s="65" t="b">
        <v>0</v>
      </c>
      <c r="K755" s="65" t="s">
        <v>150</v>
      </c>
      <c r="L755" s="85" t="b">
        <f>IF(VLOOKUP(C755,Projetos!A:L,12,false)=TRUE,TRUE,FALSE)</f>
        <v>1</v>
      </c>
      <c r="M755" s="74">
        <v>31.02923620430495</v>
      </c>
      <c r="N755" s="74">
        <f t="shared" si="1"/>
        <v>0</v>
      </c>
      <c r="O755" s="74" t="b">
        <v>1</v>
      </c>
    </row>
    <row r="756" hidden="1">
      <c r="A756" s="82"/>
      <c r="B756" s="65" t="s">
        <v>177</v>
      </c>
      <c r="C756" s="65" t="s">
        <v>101</v>
      </c>
      <c r="D756" s="65" t="str">
        <f>vlookup(C756,'Classificação p pessoal'!F:G,2,false)</f>
        <v>NP</v>
      </c>
      <c r="E756" s="65" t="s">
        <v>483</v>
      </c>
      <c r="F756" s="83">
        <v>0.5104166666666666</v>
      </c>
      <c r="G756" s="83">
        <v>0.75</v>
      </c>
      <c r="H756" s="83">
        <v>0.23958333333333334</v>
      </c>
      <c r="I756" s="84">
        <v>44379.0</v>
      </c>
      <c r="J756" s="65" t="b">
        <v>1</v>
      </c>
      <c r="K756" s="65"/>
      <c r="L756" s="85" t="b">
        <f>IF(VLOOKUP(C756,Projetos!A:L,12,false)=TRUE,TRUE,FALSE)</f>
        <v>1</v>
      </c>
      <c r="M756" s="74">
        <v>31.02923620430495</v>
      </c>
      <c r="N756" s="74">
        <f t="shared" si="1"/>
        <v>178.4181082</v>
      </c>
      <c r="O756" s="74" t="b">
        <v>1</v>
      </c>
    </row>
    <row r="757" hidden="1">
      <c r="A757" s="82"/>
      <c r="B757" s="65" t="s">
        <v>177</v>
      </c>
      <c r="C757" s="65" t="s">
        <v>91</v>
      </c>
      <c r="D757" s="65"/>
      <c r="E757" s="65" t="s">
        <v>484</v>
      </c>
      <c r="F757" s="83">
        <v>0.4375</v>
      </c>
      <c r="G757" s="83">
        <v>0.5</v>
      </c>
      <c r="H757" s="83">
        <v>0.0625</v>
      </c>
      <c r="I757" s="84">
        <v>44379.0</v>
      </c>
      <c r="J757" s="65" t="b">
        <v>0</v>
      </c>
      <c r="K757" s="65" t="s">
        <v>150</v>
      </c>
      <c r="L757" s="85" t="b">
        <f>IF(VLOOKUP(C757,Projetos!A:L,12,false)=TRUE,TRUE,FALSE)</f>
        <v>1</v>
      </c>
      <c r="M757" s="74">
        <v>31.02923620430495</v>
      </c>
      <c r="N757" s="74">
        <f t="shared" si="1"/>
        <v>0</v>
      </c>
      <c r="O757" s="74" t="b">
        <v>1</v>
      </c>
    </row>
    <row r="758" hidden="1">
      <c r="A758" s="82"/>
      <c r="B758" s="65" t="s">
        <v>177</v>
      </c>
      <c r="C758" s="65" t="s">
        <v>117</v>
      </c>
      <c r="D758" s="65"/>
      <c r="E758" s="65" t="s">
        <v>485</v>
      </c>
      <c r="F758" s="83">
        <v>0.5833333333333334</v>
      </c>
      <c r="G758" s="83">
        <v>0.6354166666666666</v>
      </c>
      <c r="H758" s="83">
        <v>0.052083333333333336</v>
      </c>
      <c r="I758" s="84">
        <v>44404.0</v>
      </c>
      <c r="J758" s="65" t="b">
        <v>0</v>
      </c>
      <c r="K758" s="65" t="s">
        <v>150</v>
      </c>
      <c r="L758" s="85" t="b">
        <f>IF(VLOOKUP(C758,Projetos!A:L,12,false)=TRUE,TRUE,FALSE)</f>
        <v>1</v>
      </c>
      <c r="M758" s="74">
        <v>31.02923620430495</v>
      </c>
      <c r="N758" s="74">
        <f t="shared" si="1"/>
        <v>0</v>
      </c>
      <c r="O758" s="74" t="b">
        <v>1</v>
      </c>
    </row>
    <row r="759" hidden="1">
      <c r="A759" s="82"/>
      <c r="B759" s="65" t="s">
        <v>177</v>
      </c>
      <c r="C759" s="65" t="s">
        <v>100</v>
      </c>
      <c r="D759" s="65" t="str">
        <f>vlookup(C759,'Classificação p pessoal'!F:G,2,false)</f>
        <v>NP</v>
      </c>
      <c r="E759" s="65" t="s">
        <v>486</v>
      </c>
      <c r="F759" s="83">
        <v>0.4166666666666667</v>
      </c>
      <c r="G759" s="83">
        <v>0.4375</v>
      </c>
      <c r="H759" s="83">
        <v>0.020833333333333332</v>
      </c>
      <c r="I759" s="84">
        <v>44404.0</v>
      </c>
      <c r="J759" s="65" t="b">
        <v>1</v>
      </c>
      <c r="K759" s="65"/>
      <c r="L759" s="85" t="b">
        <f>IF(VLOOKUP(C759,Projetos!A:L,12,false)=TRUE,TRUE,FALSE)</f>
        <v>1</v>
      </c>
      <c r="M759" s="74">
        <v>31.02923620430495</v>
      </c>
      <c r="N759" s="74">
        <f t="shared" si="1"/>
        <v>15.5146181</v>
      </c>
      <c r="O759" s="74" t="b">
        <v>1</v>
      </c>
    </row>
    <row r="760" hidden="1">
      <c r="A760" s="82"/>
      <c r="B760" s="65" t="s">
        <v>177</v>
      </c>
      <c r="C760" s="65" t="s">
        <v>100</v>
      </c>
      <c r="D760" s="65"/>
      <c r="E760" s="65" t="s">
        <v>487</v>
      </c>
      <c r="F760" s="83">
        <v>0.4375</v>
      </c>
      <c r="G760" s="83">
        <v>0.5</v>
      </c>
      <c r="H760" s="83">
        <v>0.0625</v>
      </c>
      <c r="I760" s="84">
        <v>44404.0</v>
      </c>
      <c r="J760" s="65" t="b">
        <v>0</v>
      </c>
      <c r="K760" s="65" t="s">
        <v>150</v>
      </c>
      <c r="L760" s="85" t="b">
        <f>IF(VLOOKUP(C760,Projetos!A:L,12,false)=TRUE,TRUE,FALSE)</f>
        <v>1</v>
      </c>
      <c r="M760" s="74">
        <v>31.02923620430495</v>
      </c>
      <c r="N760" s="74">
        <f t="shared" si="1"/>
        <v>0</v>
      </c>
      <c r="O760" s="74" t="b">
        <v>1</v>
      </c>
    </row>
    <row r="761" hidden="1">
      <c r="A761" s="82"/>
      <c r="B761" s="65" t="s">
        <v>177</v>
      </c>
      <c r="C761" s="65" t="s">
        <v>106</v>
      </c>
      <c r="D761" s="65" t="str">
        <f>vlookup(C761,'Classificação p pessoal'!F:G,2,false)</f>
        <v>MProcesso</v>
      </c>
      <c r="E761" s="65" t="s">
        <v>488</v>
      </c>
      <c r="F761" s="83">
        <v>0.3541666666666667</v>
      </c>
      <c r="G761" s="83">
        <v>0.3854166666666667</v>
      </c>
      <c r="H761" s="83">
        <v>0.03125</v>
      </c>
      <c r="I761" s="84">
        <v>44405.0</v>
      </c>
      <c r="J761" s="65" t="b">
        <v>1</v>
      </c>
      <c r="K761" s="65"/>
      <c r="L761" s="85" t="b">
        <f>IF(VLOOKUP(C761,Projetos!A:L,12,false)=TRUE,TRUE,FALSE)</f>
        <v>1</v>
      </c>
      <c r="M761" s="74">
        <v>31.02923620430495</v>
      </c>
      <c r="N761" s="74">
        <f t="shared" si="1"/>
        <v>23.27192715</v>
      </c>
      <c r="O761" s="74" t="b">
        <v>1</v>
      </c>
    </row>
    <row r="762">
      <c r="A762" s="82"/>
      <c r="B762" s="65" t="s">
        <v>177</v>
      </c>
      <c r="C762" s="65" t="s">
        <v>108</v>
      </c>
      <c r="D762" s="65" t="str">
        <f>vlookup(C762,'Classificação p pessoal'!F:G,2,false)</f>
        <v>NP</v>
      </c>
      <c r="E762" s="65" t="s">
        <v>489</v>
      </c>
      <c r="F762" s="83">
        <v>0.625</v>
      </c>
      <c r="G762" s="83">
        <v>0.6666666666666666</v>
      </c>
      <c r="H762" s="83">
        <v>0.041666666666666664</v>
      </c>
      <c r="I762" s="84">
        <v>44405.0</v>
      </c>
      <c r="J762" s="65" t="b">
        <v>1</v>
      </c>
      <c r="K762" s="65"/>
      <c r="L762" s="85" t="b">
        <f>IF(VLOOKUP(C762,Projetos!A:L,12,false)=TRUE,TRUE,FALSE)</f>
        <v>1</v>
      </c>
      <c r="M762" s="74">
        <v>31.02923620430495</v>
      </c>
      <c r="N762" s="74">
        <f t="shared" si="1"/>
        <v>31.0292362</v>
      </c>
      <c r="O762" s="74" t="b">
        <v>1</v>
      </c>
    </row>
    <row r="763">
      <c r="A763" s="82"/>
      <c r="B763" s="65" t="s">
        <v>177</v>
      </c>
      <c r="C763" s="65" t="s">
        <v>108</v>
      </c>
      <c r="D763" s="65" t="str">
        <f>vlookup(C763,'Classificação p pessoal'!F:G,2,false)</f>
        <v>NP</v>
      </c>
      <c r="E763" s="65" t="s">
        <v>490</v>
      </c>
      <c r="F763" s="83">
        <v>0.6666666666666666</v>
      </c>
      <c r="G763" s="83">
        <v>0.7291666666666666</v>
      </c>
      <c r="H763" s="83">
        <v>0.0625</v>
      </c>
      <c r="I763" s="84">
        <v>44406.0</v>
      </c>
      <c r="J763" s="65" t="b">
        <v>1</v>
      </c>
      <c r="K763" s="65"/>
      <c r="L763" s="85" t="b">
        <f>IF(VLOOKUP(C763,Projetos!A:L,12,false)=TRUE,TRUE,FALSE)</f>
        <v>1</v>
      </c>
      <c r="M763" s="74">
        <v>31.02923620430495</v>
      </c>
      <c r="N763" s="74">
        <f t="shared" si="1"/>
        <v>46.54385431</v>
      </c>
      <c r="O763" s="74" t="b">
        <v>1</v>
      </c>
    </row>
    <row r="764" hidden="1">
      <c r="A764" s="82"/>
      <c r="B764" s="65" t="s">
        <v>177</v>
      </c>
      <c r="C764" s="65" t="s">
        <v>130</v>
      </c>
      <c r="D764" s="65" t="str">
        <f>vlookup(C764,'Classificação p pessoal'!F:G,2,false)</f>
        <v>NP</v>
      </c>
      <c r="E764" s="65" t="s">
        <v>491</v>
      </c>
      <c r="F764" s="83">
        <v>0.34375</v>
      </c>
      <c r="G764" s="83">
        <v>0.6041666666666666</v>
      </c>
      <c r="H764" s="83">
        <v>0.2604166666666667</v>
      </c>
      <c r="I764" s="84">
        <v>44407.0</v>
      </c>
      <c r="J764" s="65" t="b">
        <v>1</v>
      </c>
      <c r="K764" s="65"/>
      <c r="L764" s="85" t="b">
        <f>IF(VLOOKUP(C764,Projetos!A:L,12,false)=TRUE,TRUE,FALSE)</f>
        <v>1</v>
      </c>
      <c r="M764" s="74">
        <v>31.02923620430495</v>
      </c>
      <c r="N764" s="74">
        <f t="shared" si="1"/>
        <v>193.9327263</v>
      </c>
      <c r="O764" s="74" t="b">
        <v>1</v>
      </c>
    </row>
    <row r="765" hidden="1">
      <c r="A765" s="82"/>
      <c r="B765" s="65" t="s">
        <v>177</v>
      </c>
      <c r="C765" s="65" t="s">
        <v>106</v>
      </c>
      <c r="D765" s="65" t="str">
        <f>vlookup(C765,'Classificação p pessoal'!F:G,2,false)</f>
        <v>MProcesso</v>
      </c>
      <c r="E765" s="65" t="s">
        <v>492</v>
      </c>
      <c r="F765" s="83">
        <v>0.375</v>
      </c>
      <c r="G765" s="83">
        <v>0.5</v>
      </c>
      <c r="H765" s="83">
        <v>0.125</v>
      </c>
      <c r="I765" s="84">
        <v>44411.0</v>
      </c>
      <c r="J765" s="65" t="b">
        <v>1</v>
      </c>
      <c r="K765" s="65"/>
      <c r="L765" s="85" t="b">
        <f>IF(VLOOKUP(C765,Projetos!A:L,12,false)=TRUE,TRUE,FALSE)</f>
        <v>1</v>
      </c>
      <c r="M765" s="74">
        <v>31.02923620430495</v>
      </c>
      <c r="N765" s="74">
        <f t="shared" si="1"/>
        <v>93.08770861</v>
      </c>
      <c r="O765" s="74" t="b">
        <v>1</v>
      </c>
    </row>
    <row r="766" hidden="1">
      <c r="A766" s="82"/>
      <c r="B766" s="65" t="s">
        <v>177</v>
      </c>
      <c r="C766" s="65" t="s">
        <v>91</v>
      </c>
      <c r="D766" s="65" t="str">
        <f>vlookup(C766,'Classificação p pessoal'!F:G,2,false)</f>
        <v>NP</v>
      </c>
      <c r="E766" s="65" t="s">
        <v>493</v>
      </c>
      <c r="F766" s="83">
        <v>0.34375</v>
      </c>
      <c r="G766" s="83">
        <v>0.5</v>
      </c>
      <c r="H766" s="83">
        <v>0.15625</v>
      </c>
      <c r="I766" s="84">
        <v>44412.0</v>
      </c>
      <c r="J766" s="65" t="b">
        <v>1</v>
      </c>
      <c r="K766" s="65"/>
      <c r="L766" s="85" t="b">
        <f>IF(VLOOKUP(C766,Projetos!A:L,12,false)=TRUE,TRUE,FALSE)</f>
        <v>1</v>
      </c>
      <c r="M766" s="74">
        <v>31.02923620430495</v>
      </c>
      <c r="N766" s="74">
        <f t="shared" si="1"/>
        <v>116.3596358</v>
      </c>
      <c r="O766" s="74" t="b">
        <v>1</v>
      </c>
    </row>
    <row r="767">
      <c r="A767" s="82"/>
      <c r="B767" s="65" t="s">
        <v>177</v>
      </c>
      <c r="C767" s="65" t="s">
        <v>108</v>
      </c>
      <c r="D767" s="65"/>
      <c r="E767" s="65" t="s">
        <v>494</v>
      </c>
      <c r="F767" s="83">
        <v>0.5833333333333334</v>
      </c>
      <c r="G767" s="83">
        <v>0.6458333333333334</v>
      </c>
      <c r="H767" s="83">
        <v>0.0625</v>
      </c>
      <c r="I767" s="84">
        <v>44412.0</v>
      </c>
      <c r="J767" s="65" t="b">
        <v>0</v>
      </c>
      <c r="K767" s="65" t="s">
        <v>150</v>
      </c>
      <c r="L767" s="85" t="b">
        <f>IF(VLOOKUP(C767,Projetos!A:L,12,false)=TRUE,TRUE,FALSE)</f>
        <v>1</v>
      </c>
      <c r="M767" s="74">
        <v>31.02923620430495</v>
      </c>
      <c r="N767" s="74">
        <f t="shared" si="1"/>
        <v>0</v>
      </c>
      <c r="O767" s="74" t="b">
        <v>1</v>
      </c>
    </row>
    <row r="768" hidden="1">
      <c r="A768" s="82"/>
      <c r="B768" s="65" t="s">
        <v>495</v>
      </c>
      <c r="C768" s="65" t="s">
        <v>92</v>
      </c>
      <c r="D768" s="65"/>
      <c r="E768" s="65" t="s">
        <v>496</v>
      </c>
      <c r="F768" s="83">
        <v>0.3541666666666667</v>
      </c>
      <c r="G768" s="83">
        <v>0.5</v>
      </c>
      <c r="H768" s="83">
        <v>0.14583333333333334</v>
      </c>
      <c r="I768" s="84">
        <v>44501.0</v>
      </c>
      <c r="J768" s="65" t="b">
        <v>0</v>
      </c>
      <c r="K768" s="65" t="s">
        <v>150</v>
      </c>
      <c r="L768" s="85" t="b">
        <f>IF(VLOOKUP(C768,Projetos!A:L,12,false)=TRUE,TRUE,FALSE)</f>
        <v>1</v>
      </c>
      <c r="M768" s="74">
        <v>73.7079846079846</v>
      </c>
      <c r="N768" s="74">
        <f t="shared" si="1"/>
        <v>0</v>
      </c>
      <c r="O768" s="74" t="b">
        <v>1</v>
      </c>
    </row>
    <row r="769" hidden="1">
      <c r="A769" s="82"/>
      <c r="B769" s="65" t="s">
        <v>177</v>
      </c>
      <c r="C769" s="65" t="s">
        <v>106</v>
      </c>
      <c r="D769" s="65"/>
      <c r="E769" s="65" t="s">
        <v>497</v>
      </c>
      <c r="F769" s="83">
        <v>0.4375</v>
      </c>
      <c r="G769" s="83">
        <v>0.4791666666666667</v>
      </c>
      <c r="H769" s="83">
        <v>0.041666666666666664</v>
      </c>
      <c r="I769" s="84">
        <v>44413.0</v>
      </c>
      <c r="J769" s="65" t="b">
        <v>0</v>
      </c>
      <c r="K769" s="65" t="s">
        <v>150</v>
      </c>
      <c r="L769" s="85" t="b">
        <f>IF(VLOOKUP(C769,Projetos!A:L,12,false)=TRUE,TRUE,FALSE)</f>
        <v>1</v>
      </c>
      <c r="M769" s="74">
        <v>31.02923620430495</v>
      </c>
      <c r="N769" s="74">
        <f t="shared" si="1"/>
        <v>0</v>
      </c>
      <c r="O769" s="74" t="b">
        <v>1</v>
      </c>
    </row>
    <row r="770" hidden="1">
      <c r="A770" s="82"/>
      <c r="B770" s="65" t="s">
        <v>177</v>
      </c>
      <c r="C770" s="65" t="s">
        <v>106</v>
      </c>
      <c r="D770" s="65" t="str">
        <f>vlookup(C770,'Classificação p pessoal'!F:G,2,false)</f>
        <v>MProcesso</v>
      </c>
      <c r="E770" s="65" t="s">
        <v>492</v>
      </c>
      <c r="F770" s="83">
        <v>0.5416666666666666</v>
      </c>
      <c r="G770" s="83">
        <v>0.75</v>
      </c>
      <c r="H770" s="83">
        <v>0.20833333333333334</v>
      </c>
      <c r="I770" s="84">
        <v>44413.0</v>
      </c>
      <c r="J770" s="65" t="b">
        <v>1</v>
      </c>
      <c r="K770" s="65"/>
      <c r="L770" s="85" t="b">
        <f>IF(VLOOKUP(C770,Projetos!A:L,12,false)=TRUE,TRUE,FALSE)</f>
        <v>1</v>
      </c>
      <c r="M770" s="74">
        <v>31.02923620430495</v>
      </c>
      <c r="N770" s="74">
        <f t="shared" si="1"/>
        <v>155.146181</v>
      </c>
      <c r="O770" s="74" t="b">
        <v>1</v>
      </c>
    </row>
    <row r="771" hidden="1">
      <c r="A771" s="82"/>
      <c r="B771" s="65" t="s">
        <v>177</v>
      </c>
      <c r="C771" s="65" t="s">
        <v>106</v>
      </c>
      <c r="D771" s="65" t="str">
        <f>vlookup(C771,'Classificação p pessoal'!F:G,2,false)</f>
        <v>MProcesso</v>
      </c>
      <c r="E771" s="65" t="s">
        <v>498</v>
      </c>
      <c r="F771" s="83">
        <v>0.375</v>
      </c>
      <c r="G771" s="83">
        <v>0.4375</v>
      </c>
      <c r="H771" s="83">
        <v>0.0625</v>
      </c>
      <c r="I771" s="84">
        <v>44414.0</v>
      </c>
      <c r="J771" s="65" t="b">
        <v>1</v>
      </c>
      <c r="K771" s="65"/>
      <c r="L771" s="85" t="b">
        <f>IF(VLOOKUP(C771,Projetos!A:L,12,false)=TRUE,TRUE,FALSE)</f>
        <v>1</v>
      </c>
      <c r="M771" s="74">
        <v>31.02923620430495</v>
      </c>
      <c r="N771" s="74">
        <f t="shared" si="1"/>
        <v>46.54385431</v>
      </c>
      <c r="O771" s="74" t="b">
        <v>1</v>
      </c>
    </row>
    <row r="772" hidden="1">
      <c r="A772" s="82"/>
      <c r="B772" s="65" t="s">
        <v>177</v>
      </c>
      <c r="C772" s="65" t="s">
        <v>130</v>
      </c>
      <c r="D772" s="65" t="str">
        <f>vlookup(C772,'Classificação p pessoal'!F:G,2,false)</f>
        <v>NP</v>
      </c>
      <c r="E772" s="65" t="s">
        <v>499</v>
      </c>
      <c r="F772" s="83">
        <v>0.4375</v>
      </c>
      <c r="G772" s="83">
        <v>0.6666666666666666</v>
      </c>
      <c r="H772" s="83">
        <v>0.22916666666666666</v>
      </c>
      <c r="I772" s="84">
        <v>44414.0</v>
      </c>
      <c r="J772" s="65" t="b">
        <v>1</v>
      </c>
      <c r="K772" s="65"/>
      <c r="L772" s="85" t="b">
        <f>IF(VLOOKUP(C772,Projetos!A:L,12,false)=TRUE,TRUE,FALSE)</f>
        <v>1</v>
      </c>
      <c r="M772" s="74">
        <v>31.02923620430495</v>
      </c>
      <c r="N772" s="74">
        <f t="shared" si="1"/>
        <v>170.6607991</v>
      </c>
      <c r="O772" s="74" t="b">
        <v>1</v>
      </c>
    </row>
    <row r="773" hidden="1">
      <c r="A773" s="82"/>
      <c r="B773" s="65" t="s">
        <v>177</v>
      </c>
      <c r="C773" s="65" t="s">
        <v>130</v>
      </c>
      <c r="D773" s="65" t="str">
        <f>vlookup(C773,'Classificação p pessoal'!F:G,2,false)</f>
        <v>NP</v>
      </c>
      <c r="E773" s="65" t="s">
        <v>500</v>
      </c>
      <c r="F773" s="83">
        <v>0.6666666666666666</v>
      </c>
      <c r="G773" s="83">
        <v>0.7083333333333334</v>
      </c>
      <c r="H773" s="83">
        <v>0.041666666666666664</v>
      </c>
      <c r="I773" s="84">
        <v>44414.0</v>
      </c>
      <c r="J773" s="65" t="b">
        <v>1</v>
      </c>
      <c r="K773" s="65"/>
      <c r="L773" s="85" t="b">
        <f>IF(VLOOKUP(C773,Projetos!A:L,12,false)=TRUE,TRUE,FALSE)</f>
        <v>1</v>
      </c>
      <c r="M773" s="74">
        <v>31.02923620430495</v>
      </c>
      <c r="N773" s="74">
        <f t="shared" si="1"/>
        <v>31.0292362</v>
      </c>
      <c r="O773" s="74" t="b">
        <v>1</v>
      </c>
    </row>
    <row r="774" hidden="1">
      <c r="A774" s="82"/>
      <c r="B774" s="65" t="s">
        <v>177</v>
      </c>
      <c r="C774" s="65" t="s">
        <v>100</v>
      </c>
      <c r="D774" s="65"/>
      <c r="E774" s="65" t="s">
        <v>501</v>
      </c>
      <c r="F774" s="83">
        <v>0.5625</v>
      </c>
      <c r="G774" s="83">
        <v>0.6458333333333334</v>
      </c>
      <c r="H774" s="83">
        <v>0.08333333333333333</v>
      </c>
      <c r="I774" s="84">
        <v>44412.0</v>
      </c>
      <c r="J774" s="65" t="b">
        <v>0</v>
      </c>
      <c r="K774" s="65" t="s">
        <v>150</v>
      </c>
      <c r="L774" s="85" t="b">
        <f>IF(VLOOKUP(C774,Projetos!A:L,12,false)=TRUE,TRUE,FALSE)</f>
        <v>1</v>
      </c>
      <c r="M774" s="74">
        <v>31.02923620430495</v>
      </c>
      <c r="N774" s="74">
        <f t="shared" si="1"/>
        <v>0</v>
      </c>
      <c r="O774" s="74" t="b">
        <v>1</v>
      </c>
    </row>
    <row r="775" hidden="1">
      <c r="A775" s="82"/>
      <c r="B775" s="65" t="s">
        <v>177</v>
      </c>
      <c r="C775" s="65" t="s">
        <v>106</v>
      </c>
      <c r="D775" s="65" t="str">
        <f>vlookup(C775,'Classificação p pessoal'!F:G,2,false)</f>
        <v>MProcesso</v>
      </c>
      <c r="E775" s="65" t="s">
        <v>502</v>
      </c>
      <c r="F775" s="83">
        <v>0.6666666666666666</v>
      </c>
      <c r="G775" s="83">
        <v>0.7083333333333334</v>
      </c>
      <c r="H775" s="83">
        <v>0.041666666666666664</v>
      </c>
      <c r="I775" s="84">
        <v>44417.0</v>
      </c>
      <c r="J775" s="65" t="b">
        <v>1</v>
      </c>
      <c r="K775" s="65"/>
      <c r="L775" s="85" t="b">
        <f>IF(VLOOKUP(C775,Projetos!A:L,12,false)=TRUE,TRUE,FALSE)</f>
        <v>1</v>
      </c>
      <c r="M775" s="74">
        <v>31.02923620430495</v>
      </c>
      <c r="N775" s="74">
        <f t="shared" si="1"/>
        <v>31.0292362</v>
      </c>
      <c r="O775" s="74" t="b">
        <v>1</v>
      </c>
    </row>
    <row r="776" hidden="1">
      <c r="A776" s="82"/>
      <c r="B776" s="65" t="s">
        <v>177</v>
      </c>
      <c r="C776" s="65" t="s">
        <v>106</v>
      </c>
      <c r="D776" s="65" t="str">
        <f>vlookup(C776,'Classificação p pessoal'!F:G,2,false)</f>
        <v>MProcesso</v>
      </c>
      <c r="E776" s="65" t="s">
        <v>503</v>
      </c>
      <c r="F776" s="83">
        <v>0.375</v>
      </c>
      <c r="G776" s="83">
        <v>0.4375</v>
      </c>
      <c r="H776" s="83">
        <v>0.0625</v>
      </c>
      <c r="I776" s="84">
        <v>44418.0</v>
      </c>
      <c r="J776" s="65" t="b">
        <v>1</v>
      </c>
      <c r="K776" s="65"/>
      <c r="L776" s="85" t="b">
        <f>IF(VLOOKUP(C776,Projetos!A:L,12,false)=TRUE,TRUE,FALSE)</f>
        <v>1</v>
      </c>
      <c r="M776" s="74">
        <v>31.02923620430495</v>
      </c>
      <c r="N776" s="74">
        <f t="shared" si="1"/>
        <v>46.54385431</v>
      </c>
      <c r="O776" s="74" t="b">
        <v>1</v>
      </c>
    </row>
    <row r="777" hidden="1">
      <c r="A777" s="82"/>
      <c r="B777" s="65" t="s">
        <v>177</v>
      </c>
      <c r="C777" s="65" t="s">
        <v>130</v>
      </c>
      <c r="D777" s="65" t="str">
        <f>vlookup(C777,'Classificação p pessoal'!F:G,2,false)</f>
        <v>NP</v>
      </c>
      <c r="E777" s="65" t="s">
        <v>504</v>
      </c>
      <c r="F777" s="83">
        <v>0.3541666666666667</v>
      </c>
      <c r="G777" s="83">
        <v>0.3958333333333333</v>
      </c>
      <c r="H777" s="83">
        <v>0.041666666666666664</v>
      </c>
      <c r="I777" s="84">
        <v>44477.0</v>
      </c>
      <c r="J777" s="65" t="b">
        <v>1</v>
      </c>
      <c r="K777" s="65"/>
      <c r="L777" s="85" t="b">
        <f>IF(VLOOKUP(C777,Projetos!A:L,12,false)=TRUE,TRUE,FALSE)</f>
        <v>1</v>
      </c>
      <c r="M777" s="74">
        <v>31.02923620430495</v>
      </c>
      <c r="N777" s="74">
        <f t="shared" si="1"/>
        <v>31.0292362</v>
      </c>
      <c r="O777" s="74" t="b">
        <v>1</v>
      </c>
    </row>
    <row r="778" hidden="1">
      <c r="A778" s="82"/>
      <c r="B778" s="65" t="s">
        <v>177</v>
      </c>
      <c r="C778" s="65" t="s">
        <v>118</v>
      </c>
      <c r="D778" s="65" t="str">
        <f>vlookup(C778,'Classificação p pessoal'!F:G,2,false)</f>
        <v>MProduto</v>
      </c>
      <c r="E778" s="65" t="s">
        <v>505</v>
      </c>
      <c r="F778" s="83">
        <v>0.625</v>
      </c>
      <c r="G778" s="83">
        <v>0.6666666666666666</v>
      </c>
      <c r="H778" s="83">
        <v>0.041666666666666664</v>
      </c>
      <c r="I778" s="84">
        <v>44418.0</v>
      </c>
      <c r="J778" s="65" t="b">
        <v>1</v>
      </c>
      <c r="K778" s="65"/>
      <c r="L778" s="85" t="b">
        <f>IF(VLOOKUP(C778,Projetos!A:L,12,false)=TRUE,TRUE,FALSE)</f>
        <v>1</v>
      </c>
      <c r="M778" s="74">
        <v>31.02923620430495</v>
      </c>
      <c r="N778" s="74">
        <f t="shared" si="1"/>
        <v>31.0292362</v>
      </c>
      <c r="O778" s="74" t="b">
        <v>1</v>
      </c>
    </row>
    <row r="779" hidden="1">
      <c r="A779" s="82"/>
      <c r="B779" s="65" t="s">
        <v>177</v>
      </c>
      <c r="C779" s="65" t="s">
        <v>130</v>
      </c>
      <c r="D779" s="65"/>
      <c r="E779" s="65" t="s">
        <v>506</v>
      </c>
      <c r="F779" s="83">
        <v>0.6041666666666666</v>
      </c>
      <c r="G779" s="83">
        <v>0.625</v>
      </c>
      <c r="H779" s="83">
        <v>0.020833333333333332</v>
      </c>
      <c r="I779" s="84">
        <v>44418.0</v>
      </c>
      <c r="J779" s="65" t="b">
        <v>0</v>
      </c>
      <c r="K779" s="65" t="s">
        <v>150</v>
      </c>
      <c r="L779" s="85" t="b">
        <f>IF(VLOOKUP(C779,Projetos!A:L,12,false)=TRUE,TRUE,FALSE)</f>
        <v>1</v>
      </c>
      <c r="M779" s="74">
        <v>31.02923620430495</v>
      </c>
      <c r="N779" s="74">
        <f t="shared" si="1"/>
        <v>0</v>
      </c>
      <c r="O779" s="74" t="b">
        <v>1</v>
      </c>
    </row>
    <row r="780" hidden="1">
      <c r="A780" s="82"/>
      <c r="B780" s="65" t="s">
        <v>177</v>
      </c>
      <c r="C780" s="65" t="s">
        <v>106</v>
      </c>
      <c r="D780" s="65" t="str">
        <f>vlookup(C780,'Classificação p pessoal'!F:G,2,false)</f>
        <v>MProcesso</v>
      </c>
      <c r="E780" s="65" t="s">
        <v>507</v>
      </c>
      <c r="F780" s="83">
        <v>0.375</v>
      </c>
      <c r="G780" s="83">
        <v>0.4375</v>
      </c>
      <c r="H780" s="83">
        <v>0.0625</v>
      </c>
      <c r="I780" s="84">
        <v>44419.0</v>
      </c>
      <c r="J780" s="65" t="b">
        <v>1</v>
      </c>
      <c r="K780" s="65"/>
      <c r="L780" s="85" t="b">
        <f>IF(VLOOKUP(C780,Projetos!A:L,12,false)=TRUE,TRUE,FALSE)</f>
        <v>1</v>
      </c>
      <c r="M780" s="74">
        <v>31.02923620430495</v>
      </c>
      <c r="N780" s="74">
        <f t="shared" si="1"/>
        <v>46.54385431</v>
      </c>
      <c r="O780" s="74" t="b">
        <v>1</v>
      </c>
    </row>
    <row r="781" hidden="1">
      <c r="A781" s="82"/>
      <c r="B781" s="65" t="s">
        <v>177</v>
      </c>
      <c r="C781" s="65" t="s">
        <v>91</v>
      </c>
      <c r="D781" s="65" t="str">
        <f>vlookup(C781,'Classificação p pessoal'!F:G,2,false)</f>
        <v>NP</v>
      </c>
      <c r="E781" s="65" t="s">
        <v>508</v>
      </c>
      <c r="F781" s="83">
        <v>0.5833333333333334</v>
      </c>
      <c r="G781" s="83">
        <v>0.6666666666666666</v>
      </c>
      <c r="H781" s="83">
        <v>0.08333333333333333</v>
      </c>
      <c r="I781" s="84">
        <v>44419.0</v>
      </c>
      <c r="J781" s="65" t="b">
        <v>1</v>
      </c>
      <c r="K781" s="65"/>
      <c r="L781" s="85" t="b">
        <f>IF(VLOOKUP(C781,Projetos!A:L,12,false)=TRUE,TRUE,FALSE)</f>
        <v>1</v>
      </c>
      <c r="M781" s="74">
        <v>31.02923620430495</v>
      </c>
      <c r="N781" s="74">
        <f t="shared" si="1"/>
        <v>62.05847241</v>
      </c>
      <c r="O781" s="74" t="b">
        <v>1</v>
      </c>
    </row>
    <row r="782" hidden="1">
      <c r="A782" s="82"/>
      <c r="B782" s="65" t="s">
        <v>177</v>
      </c>
      <c r="C782" s="65" t="s">
        <v>130</v>
      </c>
      <c r="D782" s="65" t="str">
        <f>vlookup(C782,'Classificação p pessoal'!F:G,2,false)</f>
        <v>NP</v>
      </c>
      <c r="E782" s="65" t="s">
        <v>509</v>
      </c>
      <c r="F782" s="83">
        <v>0.6666666666666666</v>
      </c>
      <c r="G782" s="83">
        <v>0.75</v>
      </c>
      <c r="H782" s="83">
        <v>0.08333333333333333</v>
      </c>
      <c r="I782" s="84">
        <v>44419.0</v>
      </c>
      <c r="J782" s="65" t="b">
        <v>1</v>
      </c>
      <c r="K782" s="65"/>
      <c r="L782" s="85" t="b">
        <f>IF(VLOOKUP(C782,Projetos!A:L,12,false)=TRUE,TRUE,FALSE)</f>
        <v>1</v>
      </c>
      <c r="M782" s="74">
        <v>31.02923620430495</v>
      </c>
      <c r="N782" s="74">
        <f t="shared" si="1"/>
        <v>62.05847241</v>
      </c>
      <c r="O782" s="74" t="b">
        <v>1</v>
      </c>
    </row>
    <row r="783" hidden="1">
      <c r="A783" s="82"/>
      <c r="B783" s="65" t="s">
        <v>177</v>
      </c>
      <c r="C783" s="65" t="s">
        <v>106</v>
      </c>
      <c r="D783" s="65" t="str">
        <f>vlookup(C783,'Classificação p pessoal'!F:G,2,false)</f>
        <v>MProcesso</v>
      </c>
      <c r="E783" s="65" t="s">
        <v>510</v>
      </c>
      <c r="F783" s="83">
        <v>0.4375</v>
      </c>
      <c r="G783" s="83">
        <v>0.4791666666666667</v>
      </c>
      <c r="H783" s="83">
        <v>0.041666666666666664</v>
      </c>
      <c r="I783" s="84">
        <v>44419.0</v>
      </c>
      <c r="J783" s="65" t="b">
        <v>1</v>
      </c>
      <c r="K783" s="65"/>
      <c r="L783" s="85" t="b">
        <f>IF(VLOOKUP(C783,Projetos!A:L,12,false)=TRUE,TRUE,FALSE)</f>
        <v>1</v>
      </c>
      <c r="M783" s="74">
        <v>31.02923620430495</v>
      </c>
      <c r="N783" s="74">
        <f t="shared" si="1"/>
        <v>31.0292362</v>
      </c>
      <c r="O783" s="74" t="b">
        <v>1</v>
      </c>
    </row>
    <row r="784" hidden="1">
      <c r="A784" s="82"/>
      <c r="B784" s="65" t="s">
        <v>177</v>
      </c>
      <c r="C784" s="65" t="s">
        <v>106</v>
      </c>
      <c r="D784" s="65" t="str">
        <f>vlookup(C784,'Classificação p pessoal'!F:G,2,false)</f>
        <v>MProcesso</v>
      </c>
      <c r="E784" s="65" t="s">
        <v>511</v>
      </c>
      <c r="F784" s="83">
        <v>0.4791666666666667</v>
      </c>
      <c r="G784" s="83">
        <v>0.5208333333333334</v>
      </c>
      <c r="H784" s="83">
        <v>0.041666666666666664</v>
      </c>
      <c r="I784" s="84">
        <v>44419.0</v>
      </c>
      <c r="J784" s="65" t="b">
        <v>1</v>
      </c>
      <c r="K784" s="65"/>
      <c r="L784" s="85" t="b">
        <f>IF(VLOOKUP(C784,Projetos!A:L,12,false)=TRUE,TRUE,FALSE)</f>
        <v>1</v>
      </c>
      <c r="M784" s="74">
        <v>31.02923620430495</v>
      </c>
      <c r="N784" s="74">
        <f t="shared" si="1"/>
        <v>31.0292362</v>
      </c>
      <c r="O784" s="74" t="b">
        <v>1</v>
      </c>
    </row>
    <row r="785" hidden="1">
      <c r="A785" s="82"/>
      <c r="B785" s="65" t="s">
        <v>177</v>
      </c>
      <c r="C785" s="65" t="s">
        <v>118</v>
      </c>
      <c r="D785" s="65" t="str">
        <f>vlookup(C785,'Classificação p pessoal'!F:G,2,false)</f>
        <v>MProduto</v>
      </c>
      <c r="E785" s="65" t="s">
        <v>512</v>
      </c>
      <c r="F785" s="83">
        <v>0.3541666666666667</v>
      </c>
      <c r="G785" s="83">
        <v>0.375</v>
      </c>
      <c r="H785" s="83">
        <v>0.020833333333333332</v>
      </c>
      <c r="I785" s="84">
        <v>44419.0</v>
      </c>
      <c r="J785" s="65" t="b">
        <v>1</v>
      </c>
      <c r="K785" s="65"/>
      <c r="L785" s="85" t="b">
        <f>IF(VLOOKUP(C785,Projetos!A:L,12,false)=TRUE,TRUE,FALSE)</f>
        <v>1</v>
      </c>
      <c r="M785" s="74">
        <v>31.02923620430495</v>
      </c>
      <c r="N785" s="74">
        <f t="shared" si="1"/>
        <v>15.5146181</v>
      </c>
      <c r="O785" s="74" t="b">
        <v>1</v>
      </c>
    </row>
    <row r="786" hidden="1">
      <c r="A786" s="82"/>
      <c r="B786" s="65" t="s">
        <v>177</v>
      </c>
      <c r="C786" s="65" t="s">
        <v>100</v>
      </c>
      <c r="D786" s="65" t="str">
        <f>vlookup(C786,'Classificação p pessoal'!F:G,2,false)</f>
        <v>NP</v>
      </c>
      <c r="E786" s="65" t="s">
        <v>513</v>
      </c>
      <c r="F786" s="83">
        <v>0.3541666666666667</v>
      </c>
      <c r="G786" s="83">
        <v>0.5</v>
      </c>
      <c r="H786" s="83">
        <v>0.14583333333333334</v>
      </c>
      <c r="I786" s="84">
        <v>44420.0</v>
      </c>
      <c r="J786" s="65" t="b">
        <v>1</v>
      </c>
      <c r="K786" s="65"/>
      <c r="L786" s="85" t="b">
        <f>IF(VLOOKUP(C786,Projetos!A:L,12,false)=TRUE,TRUE,FALSE)</f>
        <v>1</v>
      </c>
      <c r="M786" s="74">
        <v>31.02923620430495</v>
      </c>
      <c r="N786" s="74">
        <f t="shared" si="1"/>
        <v>108.6023267</v>
      </c>
      <c r="O786" s="74" t="b">
        <v>1</v>
      </c>
    </row>
    <row r="787" hidden="1">
      <c r="A787" s="82"/>
      <c r="B787" s="65" t="s">
        <v>177</v>
      </c>
      <c r="C787" s="65" t="s">
        <v>91</v>
      </c>
      <c r="D787" s="65"/>
      <c r="E787" s="65" t="s">
        <v>514</v>
      </c>
      <c r="F787" s="83">
        <v>0.375</v>
      </c>
      <c r="G787" s="83">
        <v>0.4375</v>
      </c>
      <c r="H787" s="83">
        <v>0.0625</v>
      </c>
      <c r="I787" s="84">
        <v>44442.0</v>
      </c>
      <c r="J787" s="65" t="b">
        <v>0</v>
      </c>
      <c r="K787" s="65" t="s">
        <v>150</v>
      </c>
      <c r="L787" s="85" t="b">
        <f>IF(VLOOKUP(C787,Projetos!A:L,12,false)=TRUE,TRUE,FALSE)</f>
        <v>1</v>
      </c>
      <c r="M787" s="74">
        <v>31.02923620430495</v>
      </c>
      <c r="N787" s="74">
        <f t="shared" si="1"/>
        <v>0</v>
      </c>
      <c r="O787" s="74" t="b">
        <v>1</v>
      </c>
    </row>
    <row r="788" hidden="1">
      <c r="A788" s="82"/>
      <c r="B788" s="65" t="s">
        <v>177</v>
      </c>
      <c r="C788" s="65" t="s">
        <v>130</v>
      </c>
      <c r="D788" s="65"/>
      <c r="E788" s="65" t="s">
        <v>515</v>
      </c>
      <c r="F788" s="83">
        <v>0.375</v>
      </c>
      <c r="G788" s="83">
        <v>0.4166666666666667</v>
      </c>
      <c r="H788" s="83">
        <v>0.041666666666666664</v>
      </c>
      <c r="I788" s="84">
        <v>44424.0</v>
      </c>
      <c r="J788" s="65" t="b">
        <v>0</v>
      </c>
      <c r="K788" s="65" t="s">
        <v>150</v>
      </c>
      <c r="L788" s="85" t="b">
        <f>IF(VLOOKUP(C788,Projetos!A:L,12,false)=TRUE,TRUE,FALSE)</f>
        <v>1</v>
      </c>
      <c r="M788" s="74">
        <v>31.02923620430495</v>
      </c>
      <c r="N788" s="74">
        <f t="shared" si="1"/>
        <v>0</v>
      </c>
      <c r="O788" s="74" t="b">
        <v>1</v>
      </c>
    </row>
    <row r="789" hidden="1">
      <c r="A789" s="82"/>
      <c r="B789" s="65" t="s">
        <v>177</v>
      </c>
      <c r="C789" s="65" t="s">
        <v>106</v>
      </c>
      <c r="D789" s="65" t="str">
        <f>vlookup(C789,'Classificação p pessoal'!F:G,2,false)</f>
        <v>MProcesso</v>
      </c>
      <c r="E789" s="65" t="s">
        <v>516</v>
      </c>
      <c r="F789" s="83">
        <v>0.4166666666666667</v>
      </c>
      <c r="G789" s="83">
        <v>0.4791666666666667</v>
      </c>
      <c r="H789" s="83">
        <v>0.0625</v>
      </c>
      <c r="I789" s="84">
        <v>44424.0</v>
      </c>
      <c r="J789" s="65" t="b">
        <v>1</v>
      </c>
      <c r="K789" s="65"/>
      <c r="L789" s="85" t="b">
        <f>IF(VLOOKUP(C789,Projetos!A:L,12,false)=TRUE,TRUE,FALSE)</f>
        <v>1</v>
      </c>
      <c r="M789" s="74">
        <v>31.02923620430495</v>
      </c>
      <c r="N789" s="74">
        <f t="shared" si="1"/>
        <v>46.54385431</v>
      </c>
      <c r="O789" s="74" t="b">
        <v>1</v>
      </c>
    </row>
    <row r="790" hidden="1">
      <c r="A790" s="82"/>
      <c r="B790" s="65" t="s">
        <v>177</v>
      </c>
      <c r="C790" s="65" t="s">
        <v>100</v>
      </c>
      <c r="D790" s="65" t="str">
        <f>vlookup(C790,'Classificação p pessoal'!F:G,2,false)</f>
        <v>NP</v>
      </c>
      <c r="E790" s="65" t="s">
        <v>517</v>
      </c>
      <c r="F790" s="83">
        <v>0.4791666666666667</v>
      </c>
      <c r="G790" s="83">
        <v>0.5104166666666666</v>
      </c>
      <c r="H790" s="83">
        <v>0.03125</v>
      </c>
      <c r="I790" s="84">
        <v>44424.0</v>
      </c>
      <c r="J790" s="65" t="b">
        <v>1</v>
      </c>
      <c r="K790" s="65"/>
      <c r="L790" s="85" t="b">
        <f>IF(VLOOKUP(C790,Projetos!A:L,12,false)=TRUE,TRUE,FALSE)</f>
        <v>1</v>
      </c>
      <c r="M790" s="74">
        <v>31.02923620430495</v>
      </c>
      <c r="N790" s="74">
        <f t="shared" si="1"/>
        <v>23.27192715</v>
      </c>
      <c r="O790" s="74" t="b">
        <v>1</v>
      </c>
    </row>
    <row r="791" hidden="1">
      <c r="A791" s="82"/>
      <c r="B791" s="65" t="s">
        <v>177</v>
      </c>
      <c r="C791" s="65" t="s">
        <v>106</v>
      </c>
      <c r="D791" s="65" t="str">
        <f>vlookup(C791,'Classificação p pessoal'!F:G,2,false)</f>
        <v>MProcesso</v>
      </c>
      <c r="E791" s="65" t="s">
        <v>518</v>
      </c>
      <c r="F791" s="83">
        <v>0.3541666666666667</v>
      </c>
      <c r="G791" s="83">
        <v>0.4166666666666667</v>
      </c>
      <c r="H791" s="83">
        <v>0.0625</v>
      </c>
      <c r="I791" s="84">
        <v>44425.0</v>
      </c>
      <c r="J791" s="65" t="b">
        <v>1</v>
      </c>
      <c r="K791" s="65"/>
      <c r="L791" s="85" t="b">
        <f>IF(VLOOKUP(C791,Projetos!A:L,12,false)=TRUE,TRUE,FALSE)</f>
        <v>1</v>
      </c>
      <c r="M791" s="74">
        <v>31.02923620430495</v>
      </c>
      <c r="N791" s="74">
        <f t="shared" si="1"/>
        <v>46.54385431</v>
      </c>
      <c r="O791" s="74" t="b">
        <v>1</v>
      </c>
    </row>
    <row r="792" hidden="1">
      <c r="A792" s="82"/>
      <c r="B792" s="65" t="s">
        <v>177</v>
      </c>
      <c r="C792" s="65" t="s">
        <v>101</v>
      </c>
      <c r="D792" s="65" t="str">
        <f>vlookup(C792,'Classificação p pessoal'!F:G,2,false)</f>
        <v>NP</v>
      </c>
      <c r="E792" s="65" t="s">
        <v>519</v>
      </c>
      <c r="F792" s="83">
        <v>0.4166666666666667</v>
      </c>
      <c r="G792" s="83">
        <v>0.4444444444444444</v>
      </c>
      <c r="H792" s="83">
        <v>0.027777777777777776</v>
      </c>
      <c r="I792" s="84">
        <v>44558.0</v>
      </c>
      <c r="J792" s="65" t="b">
        <v>1</v>
      </c>
      <c r="K792" s="65"/>
      <c r="L792" s="85" t="b">
        <f>IF(VLOOKUP(C792,Projetos!A:L,12,false)=TRUE,TRUE,FALSE)</f>
        <v>1</v>
      </c>
      <c r="M792" s="74">
        <v>31.02923620430495</v>
      </c>
      <c r="N792" s="74">
        <f t="shared" si="1"/>
        <v>20.68615747</v>
      </c>
      <c r="O792" s="74" t="b">
        <v>1</v>
      </c>
    </row>
    <row r="793" hidden="1">
      <c r="A793" s="82"/>
      <c r="B793" s="65" t="s">
        <v>177</v>
      </c>
      <c r="C793" s="65" t="s">
        <v>91</v>
      </c>
      <c r="D793" s="65"/>
      <c r="E793" s="65" t="s">
        <v>520</v>
      </c>
      <c r="F793" s="83">
        <v>0.5833333333333334</v>
      </c>
      <c r="G793" s="83">
        <v>0.625</v>
      </c>
      <c r="H793" s="83">
        <v>0.041666666666666664</v>
      </c>
      <c r="I793" s="84">
        <v>44370.0</v>
      </c>
      <c r="J793" s="65" t="b">
        <v>0</v>
      </c>
      <c r="K793" s="65" t="s">
        <v>150</v>
      </c>
      <c r="L793" s="85" t="b">
        <f>IF(VLOOKUP(C793,Projetos!A:L,12,false)=TRUE,TRUE,FALSE)</f>
        <v>1</v>
      </c>
      <c r="M793" s="74">
        <v>31.02923620430495</v>
      </c>
      <c r="N793" s="74">
        <f t="shared" si="1"/>
        <v>0</v>
      </c>
      <c r="O793" s="74" t="b">
        <v>1</v>
      </c>
    </row>
    <row r="794" hidden="1">
      <c r="A794" s="82"/>
      <c r="B794" s="65" t="s">
        <v>177</v>
      </c>
      <c r="C794" s="65" t="s">
        <v>91</v>
      </c>
      <c r="D794" s="65"/>
      <c r="E794" s="65" t="s">
        <v>521</v>
      </c>
      <c r="F794" s="83">
        <v>0.3541666666666667</v>
      </c>
      <c r="G794" s="83">
        <v>0.3854166666666667</v>
      </c>
      <c r="H794" s="83">
        <v>0.03125</v>
      </c>
      <c r="I794" s="84">
        <v>44426.0</v>
      </c>
      <c r="J794" s="65" t="b">
        <v>0</v>
      </c>
      <c r="K794" s="65" t="s">
        <v>150</v>
      </c>
      <c r="L794" s="85" t="b">
        <f>IF(VLOOKUP(C794,Projetos!A:L,12,false)=TRUE,TRUE,FALSE)</f>
        <v>1</v>
      </c>
      <c r="M794" s="74">
        <v>31.02923620430495</v>
      </c>
      <c r="N794" s="74">
        <f t="shared" si="1"/>
        <v>0</v>
      </c>
      <c r="O794" s="74" t="b">
        <v>1</v>
      </c>
    </row>
    <row r="795" hidden="1">
      <c r="A795" s="82"/>
      <c r="B795" s="65" t="s">
        <v>177</v>
      </c>
      <c r="C795" s="65" t="s">
        <v>91</v>
      </c>
      <c r="D795" s="65" t="str">
        <f>vlookup(C795,'Classificação p pessoal'!F:G,2,false)</f>
        <v>NP</v>
      </c>
      <c r="E795" s="65" t="s">
        <v>522</v>
      </c>
      <c r="F795" s="83">
        <v>0.3854166666666667</v>
      </c>
      <c r="G795" s="83">
        <v>0.5208333333333334</v>
      </c>
      <c r="H795" s="83">
        <v>0.13541666666666666</v>
      </c>
      <c r="I795" s="84">
        <v>44426.0</v>
      </c>
      <c r="J795" s="65" t="b">
        <v>1</v>
      </c>
      <c r="K795" s="65"/>
      <c r="L795" s="85" t="b">
        <f>IF(VLOOKUP(C795,Projetos!A:L,12,false)=TRUE,TRUE,FALSE)</f>
        <v>1</v>
      </c>
      <c r="M795" s="74">
        <v>31.02923620430495</v>
      </c>
      <c r="N795" s="74">
        <f t="shared" si="1"/>
        <v>100.8450177</v>
      </c>
      <c r="O795" s="74" t="b">
        <v>1</v>
      </c>
    </row>
    <row r="796" hidden="1">
      <c r="A796" s="82"/>
      <c r="B796" s="65" t="s">
        <v>177</v>
      </c>
      <c r="C796" s="65" t="s">
        <v>91</v>
      </c>
      <c r="D796" s="65"/>
      <c r="E796" s="65" t="s">
        <v>521</v>
      </c>
      <c r="F796" s="83">
        <v>0.5625</v>
      </c>
      <c r="G796" s="83">
        <v>0.6041666666666666</v>
      </c>
      <c r="H796" s="83">
        <v>0.041666666666666664</v>
      </c>
      <c r="I796" s="84">
        <v>44426.0</v>
      </c>
      <c r="J796" s="65" t="b">
        <v>0</v>
      </c>
      <c r="K796" s="65" t="s">
        <v>150</v>
      </c>
      <c r="L796" s="85" t="b">
        <f>IF(VLOOKUP(C796,Projetos!A:L,12,false)=TRUE,TRUE,FALSE)</f>
        <v>1</v>
      </c>
      <c r="M796" s="74">
        <v>31.02923620430495</v>
      </c>
      <c r="N796" s="74">
        <f t="shared" si="1"/>
        <v>0</v>
      </c>
      <c r="O796" s="74" t="b">
        <v>1</v>
      </c>
    </row>
    <row r="797" hidden="1">
      <c r="A797" s="82"/>
      <c r="B797" s="65" t="s">
        <v>177</v>
      </c>
      <c r="C797" s="65" t="s">
        <v>100</v>
      </c>
      <c r="D797" s="65" t="str">
        <f>vlookup(C797,'Classificação p pessoal'!F:G,2,false)</f>
        <v>NP</v>
      </c>
      <c r="E797" s="65" t="s">
        <v>523</v>
      </c>
      <c r="F797" s="83">
        <v>0.3541666666666667</v>
      </c>
      <c r="G797" s="83">
        <v>0.3645833333333333</v>
      </c>
      <c r="H797" s="83">
        <v>0.010416666666666666</v>
      </c>
      <c r="I797" s="84">
        <v>44427.0</v>
      </c>
      <c r="J797" s="65" t="b">
        <v>1</v>
      </c>
      <c r="K797" s="65"/>
      <c r="L797" s="85" t="b">
        <f>IF(VLOOKUP(C797,Projetos!A:L,12,false)=TRUE,TRUE,FALSE)</f>
        <v>1</v>
      </c>
      <c r="M797" s="74">
        <v>31.02923620430495</v>
      </c>
      <c r="N797" s="74">
        <f t="shared" si="1"/>
        <v>7.757309051</v>
      </c>
      <c r="O797" s="74" t="b">
        <v>1</v>
      </c>
    </row>
    <row r="798" hidden="1">
      <c r="A798" s="82"/>
      <c r="B798" s="65" t="s">
        <v>469</v>
      </c>
      <c r="C798" s="65" t="s">
        <v>118</v>
      </c>
      <c r="D798" s="65" t="str">
        <f>vlookup(C798,'Classificação p pessoal'!F:G,2,false)</f>
        <v>MProduto</v>
      </c>
      <c r="E798" s="65" t="s">
        <v>524</v>
      </c>
      <c r="F798" s="83">
        <v>0.375</v>
      </c>
      <c r="G798" s="83">
        <v>0.75</v>
      </c>
      <c r="H798" s="83">
        <v>0.375</v>
      </c>
      <c r="I798" s="84">
        <v>44347.0</v>
      </c>
      <c r="J798" s="65" t="b">
        <v>1</v>
      </c>
      <c r="K798" s="65"/>
      <c r="L798" s="85" t="b">
        <f>IF(VLOOKUP(C798,Projetos!A:L,12,false)=TRUE,TRUE,FALSE)</f>
        <v>1</v>
      </c>
      <c r="M798" s="74">
        <v>37.50928062469937</v>
      </c>
      <c r="N798" s="74">
        <f t="shared" si="1"/>
        <v>337.5835256</v>
      </c>
      <c r="O798" s="74" t="b">
        <v>1</v>
      </c>
    </row>
    <row r="799" hidden="1">
      <c r="A799" s="82"/>
      <c r="B799" s="65" t="s">
        <v>177</v>
      </c>
      <c r="C799" s="65" t="s">
        <v>106</v>
      </c>
      <c r="D799" s="65" t="str">
        <f>vlookup(C799,'Classificação p pessoal'!F:G,2,false)</f>
        <v>MProcesso</v>
      </c>
      <c r="E799" s="65" t="s">
        <v>507</v>
      </c>
      <c r="F799" s="83">
        <v>0.3541666666666667</v>
      </c>
      <c r="G799" s="83">
        <v>0.4166666666666667</v>
      </c>
      <c r="H799" s="83">
        <v>0.0625</v>
      </c>
      <c r="I799" s="84">
        <v>44428.0</v>
      </c>
      <c r="J799" s="65" t="b">
        <v>1</v>
      </c>
      <c r="K799" s="65"/>
      <c r="L799" s="85" t="b">
        <f>IF(VLOOKUP(C799,Projetos!A:L,12,false)=TRUE,TRUE,FALSE)</f>
        <v>1</v>
      </c>
      <c r="M799" s="74">
        <v>31.02923620430495</v>
      </c>
      <c r="N799" s="74">
        <f t="shared" si="1"/>
        <v>46.54385431</v>
      </c>
      <c r="O799" s="74" t="b">
        <v>1</v>
      </c>
    </row>
    <row r="800" hidden="1">
      <c r="A800" s="82"/>
      <c r="B800" s="65" t="s">
        <v>177</v>
      </c>
      <c r="C800" s="65" t="s">
        <v>106</v>
      </c>
      <c r="D800" s="65" t="str">
        <f>vlookup(C800,'Classificação p pessoal'!F:G,2,false)</f>
        <v>MProcesso</v>
      </c>
      <c r="E800" s="65" t="s">
        <v>507</v>
      </c>
      <c r="F800" s="83">
        <v>0.4166666666666667</v>
      </c>
      <c r="G800" s="83">
        <v>0.4791666666666667</v>
      </c>
      <c r="H800" s="83">
        <v>0.0625</v>
      </c>
      <c r="I800" s="84">
        <v>44428.0</v>
      </c>
      <c r="J800" s="65" t="b">
        <v>1</v>
      </c>
      <c r="K800" s="65"/>
      <c r="L800" s="85" t="b">
        <f>IF(VLOOKUP(C800,Projetos!A:L,12,false)=TRUE,TRUE,FALSE)</f>
        <v>1</v>
      </c>
      <c r="M800" s="74">
        <v>31.02923620430495</v>
      </c>
      <c r="N800" s="74">
        <f t="shared" si="1"/>
        <v>46.54385431</v>
      </c>
      <c r="O800" s="74" t="b">
        <v>1</v>
      </c>
    </row>
    <row r="801" hidden="1">
      <c r="A801" s="82"/>
      <c r="B801" s="65" t="s">
        <v>177</v>
      </c>
      <c r="C801" s="65" t="s">
        <v>106</v>
      </c>
      <c r="D801" s="65" t="str">
        <f>vlookup(C801,'Classificação p pessoal'!F:G,2,false)</f>
        <v>MProcesso</v>
      </c>
      <c r="E801" s="65" t="s">
        <v>507</v>
      </c>
      <c r="F801" s="83">
        <v>0.4791666666666667</v>
      </c>
      <c r="G801" s="83">
        <v>0.5416666666666666</v>
      </c>
      <c r="H801" s="83">
        <v>0.0625</v>
      </c>
      <c r="I801" s="84">
        <v>44428.0</v>
      </c>
      <c r="J801" s="65" t="b">
        <v>1</v>
      </c>
      <c r="K801" s="65"/>
      <c r="L801" s="85" t="b">
        <f>IF(VLOOKUP(C801,Projetos!A:L,12,false)=TRUE,TRUE,FALSE)</f>
        <v>1</v>
      </c>
      <c r="M801" s="74">
        <v>31.02923620430495</v>
      </c>
      <c r="N801" s="74">
        <f t="shared" si="1"/>
        <v>46.54385431</v>
      </c>
      <c r="O801" s="74" t="b">
        <v>1</v>
      </c>
    </row>
    <row r="802" hidden="1">
      <c r="A802" s="82"/>
      <c r="B802" s="65" t="s">
        <v>177</v>
      </c>
      <c r="C802" s="65" t="s">
        <v>132</v>
      </c>
      <c r="D802" s="65"/>
      <c r="E802" s="65" t="s">
        <v>525</v>
      </c>
      <c r="F802" s="83">
        <v>0.6666666666666666</v>
      </c>
      <c r="G802" s="83">
        <v>0.6875</v>
      </c>
      <c r="H802" s="83">
        <v>0.020833333333333332</v>
      </c>
      <c r="I802" s="84">
        <v>44428.0</v>
      </c>
      <c r="J802" s="65" t="b">
        <v>0</v>
      </c>
      <c r="K802" s="65" t="s">
        <v>150</v>
      </c>
      <c r="L802" s="85" t="b">
        <f>IF(VLOOKUP(C802,Projetos!A:L,12,false)=TRUE,TRUE,FALSE)</f>
        <v>0</v>
      </c>
      <c r="M802" s="74">
        <v>31.02923620430495</v>
      </c>
      <c r="N802" s="74">
        <f t="shared" si="1"/>
        <v>0</v>
      </c>
      <c r="O802" s="74" t="b">
        <v>0</v>
      </c>
    </row>
    <row r="803">
      <c r="A803" s="82"/>
      <c r="B803" s="65" t="s">
        <v>495</v>
      </c>
      <c r="C803" s="65" t="s">
        <v>108</v>
      </c>
      <c r="D803" s="65"/>
      <c r="E803" s="65" t="s">
        <v>526</v>
      </c>
      <c r="F803" s="83">
        <v>0.4583333333333333</v>
      </c>
      <c r="G803" s="83">
        <v>0.5520833333333334</v>
      </c>
      <c r="H803" s="83">
        <v>0.09375</v>
      </c>
      <c r="I803" s="84">
        <v>44453.0</v>
      </c>
      <c r="J803" s="65" t="b">
        <v>0</v>
      </c>
      <c r="K803" s="65" t="s">
        <v>150</v>
      </c>
      <c r="L803" s="85" t="b">
        <f>IF(VLOOKUP(C803,Projetos!A:L,12,false)=TRUE,TRUE,FALSE)</f>
        <v>1</v>
      </c>
      <c r="M803" s="74">
        <v>73.7079846079846</v>
      </c>
      <c r="N803" s="74">
        <f t="shared" si="1"/>
        <v>0</v>
      </c>
      <c r="O803" s="74" t="b">
        <v>1</v>
      </c>
    </row>
    <row r="804" hidden="1">
      <c r="A804" s="82"/>
      <c r="B804" s="65" t="s">
        <v>177</v>
      </c>
      <c r="C804" s="65" t="s">
        <v>118</v>
      </c>
      <c r="D804" s="65" t="str">
        <f>vlookup(C804,'Classificação p pessoal'!F:G,2,false)</f>
        <v>MProduto</v>
      </c>
      <c r="E804" s="65" t="s">
        <v>527</v>
      </c>
      <c r="F804" s="83">
        <v>0.3541666666666667</v>
      </c>
      <c r="G804" s="83">
        <v>0.375</v>
      </c>
      <c r="H804" s="83">
        <v>0.020833333333333332</v>
      </c>
      <c r="I804" s="84">
        <v>44431.0</v>
      </c>
      <c r="J804" s="65" t="b">
        <v>1</v>
      </c>
      <c r="K804" s="65"/>
      <c r="L804" s="85" t="b">
        <f>IF(VLOOKUP(C804,Projetos!A:L,12,false)=TRUE,TRUE,FALSE)</f>
        <v>1</v>
      </c>
      <c r="M804" s="74">
        <v>31.02923620430495</v>
      </c>
      <c r="N804" s="74">
        <f t="shared" si="1"/>
        <v>15.5146181</v>
      </c>
      <c r="O804" s="74" t="b">
        <v>1</v>
      </c>
    </row>
    <row r="805" hidden="1">
      <c r="A805" s="82"/>
      <c r="B805" s="65" t="s">
        <v>177</v>
      </c>
      <c r="C805" s="65" t="s">
        <v>100</v>
      </c>
      <c r="D805" s="65" t="str">
        <f>vlookup(C805,'Classificação p pessoal'!F:G,2,false)</f>
        <v>NP</v>
      </c>
      <c r="E805" s="65" t="s">
        <v>528</v>
      </c>
      <c r="F805" s="83">
        <v>0.3541666666666667</v>
      </c>
      <c r="G805" s="83">
        <v>0.3645833333333333</v>
      </c>
      <c r="H805" s="83">
        <v>0.010416666666666666</v>
      </c>
      <c r="I805" s="84">
        <v>44439.0</v>
      </c>
      <c r="J805" s="65" t="b">
        <v>1</v>
      </c>
      <c r="K805" s="65"/>
      <c r="L805" s="85" t="b">
        <f>IF(VLOOKUP(C805,Projetos!A:L,12,false)=TRUE,TRUE,FALSE)</f>
        <v>1</v>
      </c>
      <c r="M805" s="74">
        <v>31.02923620430495</v>
      </c>
      <c r="N805" s="74">
        <f t="shared" si="1"/>
        <v>7.757309051</v>
      </c>
      <c r="O805" s="74" t="b">
        <v>1</v>
      </c>
    </row>
    <row r="806" hidden="1">
      <c r="A806" s="82"/>
      <c r="B806" s="65" t="s">
        <v>467</v>
      </c>
      <c r="C806" s="65" t="s">
        <v>92</v>
      </c>
      <c r="D806" s="65" t="str">
        <f>vlookup(C806,'Classificação p pessoal'!F:G,2,false)</f>
        <v/>
      </c>
      <c r="E806" s="65" t="s">
        <v>529</v>
      </c>
      <c r="F806" s="83">
        <v>0.5833333333333334</v>
      </c>
      <c r="G806" s="83">
        <v>0.75</v>
      </c>
      <c r="H806" s="83">
        <v>0.16666666666666666</v>
      </c>
      <c r="I806" s="84">
        <v>44232.0</v>
      </c>
      <c r="J806" s="65" t="b">
        <v>1</v>
      </c>
      <c r="K806" s="65"/>
      <c r="L806" s="85" t="b">
        <f>IF(VLOOKUP(C806,Projetos!A:L,12,false)=TRUE,TRUE,FALSE)</f>
        <v>1</v>
      </c>
      <c r="M806" s="74">
        <v>52.1518759018759</v>
      </c>
      <c r="N806" s="74">
        <f t="shared" si="1"/>
        <v>208.6075036</v>
      </c>
      <c r="O806" s="74" t="b">
        <v>1</v>
      </c>
    </row>
    <row r="807" hidden="1">
      <c r="A807" s="82"/>
      <c r="B807" s="65" t="s">
        <v>177</v>
      </c>
      <c r="C807" s="65" t="s">
        <v>100</v>
      </c>
      <c r="D807" s="65" t="str">
        <f>vlookup(C807,'Classificação p pessoal'!F:G,2,false)</f>
        <v>NP</v>
      </c>
      <c r="E807" s="65" t="s">
        <v>530</v>
      </c>
      <c r="F807" s="83">
        <v>0.5625</v>
      </c>
      <c r="G807" s="83">
        <v>0.5833333333333334</v>
      </c>
      <c r="H807" s="83">
        <v>0.020833333333333332</v>
      </c>
      <c r="I807" s="84">
        <v>44431.0</v>
      </c>
      <c r="J807" s="65" t="b">
        <v>1</v>
      </c>
      <c r="K807" s="65"/>
      <c r="L807" s="85" t="b">
        <f>IF(VLOOKUP(C807,Projetos!A:L,12,false)=TRUE,TRUE,FALSE)</f>
        <v>1</v>
      </c>
      <c r="M807" s="74">
        <v>31.02923620430495</v>
      </c>
      <c r="N807" s="74">
        <f t="shared" si="1"/>
        <v>15.5146181</v>
      </c>
      <c r="O807" s="74" t="b">
        <v>1</v>
      </c>
    </row>
    <row r="808" hidden="1">
      <c r="A808" s="82"/>
      <c r="B808" s="65" t="s">
        <v>411</v>
      </c>
      <c r="C808" s="65" t="s">
        <v>117</v>
      </c>
      <c r="D808" s="65"/>
      <c r="E808" s="65" t="s">
        <v>531</v>
      </c>
      <c r="F808" s="83">
        <v>0.34375</v>
      </c>
      <c r="G808" s="83">
        <v>0.4583333333333333</v>
      </c>
      <c r="H808" s="83">
        <v>0.11458333333333333</v>
      </c>
      <c r="I808" s="84">
        <v>44463.0</v>
      </c>
      <c r="J808" s="65" t="b">
        <v>0</v>
      </c>
      <c r="K808" s="65" t="s">
        <v>150</v>
      </c>
      <c r="L808" s="85" t="b">
        <f>IF(VLOOKUP(C808,Projetos!A:L,12,false)=TRUE,TRUE,FALSE)</f>
        <v>1</v>
      </c>
      <c r="M808" s="74">
        <v>52.48434411075036</v>
      </c>
      <c r="N808" s="74">
        <f t="shared" si="1"/>
        <v>0</v>
      </c>
      <c r="O808" s="74" t="b">
        <v>1</v>
      </c>
    </row>
    <row r="809" hidden="1">
      <c r="A809" s="82"/>
      <c r="B809" s="65" t="s">
        <v>411</v>
      </c>
      <c r="C809" s="65" t="s">
        <v>130</v>
      </c>
      <c r="D809" s="65" t="str">
        <f>vlookup(C809,'Classificação p pessoal'!F:G,2,false)</f>
        <v>NP</v>
      </c>
      <c r="E809" s="65" t="s">
        <v>532</v>
      </c>
      <c r="F809" s="83">
        <v>0.375</v>
      </c>
      <c r="G809" s="83">
        <v>0.4166666666666667</v>
      </c>
      <c r="H809" s="83">
        <v>0.041666666666666664</v>
      </c>
      <c r="I809" s="84">
        <v>44256.0</v>
      </c>
      <c r="J809" s="65" t="b">
        <v>1</v>
      </c>
      <c r="K809" s="65"/>
      <c r="L809" s="85" t="b">
        <f>IF(VLOOKUP(C809,Projetos!A:L,12,false)=TRUE,TRUE,FALSE)</f>
        <v>1</v>
      </c>
      <c r="M809" s="74">
        <v>52.48434411075036</v>
      </c>
      <c r="N809" s="74">
        <f t="shared" si="1"/>
        <v>52.48434411</v>
      </c>
      <c r="O809" s="74" t="b">
        <v>1</v>
      </c>
    </row>
    <row r="810" hidden="1">
      <c r="A810" s="82"/>
      <c r="B810" s="65" t="s">
        <v>177</v>
      </c>
      <c r="C810" s="65" t="s">
        <v>118</v>
      </c>
      <c r="D810" s="65"/>
      <c r="E810" s="65" t="s">
        <v>533</v>
      </c>
      <c r="F810" s="83">
        <v>0.6041666666666666</v>
      </c>
      <c r="G810" s="83">
        <v>0.6458333333333334</v>
      </c>
      <c r="H810" s="83">
        <v>0.041666666666666664</v>
      </c>
      <c r="I810" s="84">
        <v>44425.0</v>
      </c>
      <c r="J810" s="65" t="b">
        <v>0</v>
      </c>
      <c r="K810" s="65" t="s">
        <v>150</v>
      </c>
      <c r="L810" s="85" t="b">
        <f>IF(VLOOKUP(C810,Projetos!A:L,12,false)=TRUE,TRUE,FALSE)</f>
        <v>1</v>
      </c>
      <c r="M810" s="74">
        <v>31.02923620430495</v>
      </c>
      <c r="N810" s="74">
        <f t="shared" si="1"/>
        <v>0</v>
      </c>
      <c r="O810" s="74" t="b">
        <v>1</v>
      </c>
    </row>
    <row r="811" hidden="1">
      <c r="A811" s="82"/>
      <c r="B811" s="65" t="s">
        <v>177</v>
      </c>
      <c r="C811" s="65" t="s">
        <v>106</v>
      </c>
      <c r="D811" s="65" t="str">
        <f>vlookup(C811,'Classificação p pessoal'!F:G,2,false)</f>
        <v>MProcesso</v>
      </c>
      <c r="E811" s="65" t="s">
        <v>534</v>
      </c>
      <c r="F811" s="83">
        <v>0.3645833333333333</v>
      </c>
      <c r="G811" s="83">
        <v>0.3958333333333333</v>
      </c>
      <c r="H811" s="83">
        <v>0.03125</v>
      </c>
      <c r="I811" s="84">
        <v>44427.0</v>
      </c>
      <c r="J811" s="65" t="b">
        <v>1</v>
      </c>
      <c r="K811" s="65"/>
      <c r="L811" s="85" t="b">
        <f>IF(VLOOKUP(C811,Projetos!A:L,12,false)=TRUE,TRUE,FALSE)</f>
        <v>1</v>
      </c>
      <c r="M811" s="74">
        <v>31.02923620430495</v>
      </c>
      <c r="N811" s="74">
        <f t="shared" si="1"/>
        <v>23.27192715</v>
      </c>
      <c r="O811" s="74" t="b">
        <v>1</v>
      </c>
    </row>
    <row r="812" hidden="1">
      <c r="A812" s="82"/>
      <c r="B812" s="65" t="s">
        <v>177</v>
      </c>
      <c r="C812" s="65" t="s">
        <v>106</v>
      </c>
      <c r="D812" s="65" t="str">
        <f>vlookup(C812,'Classificação p pessoal'!F:G,2,false)</f>
        <v>MProcesso</v>
      </c>
      <c r="E812" s="65" t="s">
        <v>535</v>
      </c>
      <c r="F812" s="83">
        <v>0.5833333333333334</v>
      </c>
      <c r="G812" s="83">
        <v>0.6041666666666666</v>
      </c>
      <c r="H812" s="83">
        <v>0.020833333333333332</v>
      </c>
      <c r="I812" s="84">
        <v>44431.0</v>
      </c>
      <c r="J812" s="65" t="b">
        <v>1</v>
      </c>
      <c r="K812" s="65"/>
      <c r="L812" s="85" t="b">
        <f>IF(VLOOKUP(C812,Projetos!A:L,12,false)=TRUE,TRUE,FALSE)</f>
        <v>1</v>
      </c>
      <c r="M812" s="74">
        <v>31.02923620430495</v>
      </c>
      <c r="N812" s="74">
        <f t="shared" si="1"/>
        <v>15.5146181</v>
      </c>
      <c r="O812" s="74" t="b">
        <v>1</v>
      </c>
    </row>
    <row r="813" hidden="1">
      <c r="A813" s="82"/>
      <c r="B813" s="65" t="s">
        <v>177</v>
      </c>
      <c r="C813" s="65" t="s">
        <v>106</v>
      </c>
      <c r="D813" s="65"/>
      <c r="E813" s="65" t="s">
        <v>536</v>
      </c>
      <c r="F813" s="83">
        <v>0.3541666666666667</v>
      </c>
      <c r="G813" s="83">
        <v>0.3958333333333333</v>
      </c>
      <c r="H813" s="83">
        <v>0.041666666666666664</v>
      </c>
      <c r="I813" s="84">
        <v>44432.0</v>
      </c>
      <c r="J813" s="65" t="b">
        <v>0</v>
      </c>
      <c r="K813" s="65" t="s">
        <v>150</v>
      </c>
      <c r="L813" s="85" t="b">
        <f>IF(VLOOKUP(C813,Projetos!A:L,12,false)=TRUE,TRUE,FALSE)</f>
        <v>1</v>
      </c>
      <c r="M813" s="74">
        <v>31.02923620430495</v>
      </c>
      <c r="N813" s="74">
        <f t="shared" si="1"/>
        <v>0</v>
      </c>
      <c r="O813" s="74" t="b">
        <v>1</v>
      </c>
    </row>
    <row r="814" hidden="1">
      <c r="A814" s="82"/>
      <c r="B814" s="65" t="s">
        <v>177</v>
      </c>
      <c r="C814" s="65" t="s">
        <v>100</v>
      </c>
      <c r="D814" s="65"/>
      <c r="E814" s="65" t="s">
        <v>537</v>
      </c>
      <c r="F814" s="83">
        <v>0.5833333333333334</v>
      </c>
      <c r="G814" s="83">
        <v>0.6041666666666666</v>
      </c>
      <c r="H814" s="83">
        <v>0.020833333333333332</v>
      </c>
      <c r="I814" s="84">
        <v>44484.0</v>
      </c>
      <c r="J814" s="65" t="b">
        <v>0</v>
      </c>
      <c r="K814" s="65" t="s">
        <v>150</v>
      </c>
      <c r="L814" s="85" t="b">
        <f>IF(VLOOKUP(C814,Projetos!A:L,12,false)=TRUE,TRUE,FALSE)</f>
        <v>1</v>
      </c>
      <c r="M814" s="74">
        <v>31.02923620430495</v>
      </c>
      <c r="N814" s="74">
        <f t="shared" si="1"/>
        <v>0</v>
      </c>
      <c r="O814" s="74" t="b">
        <v>1</v>
      </c>
    </row>
    <row r="815" hidden="1">
      <c r="A815" s="82"/>
      <c r="B815" s="65" t="s">
        <v>177</v>
      </c>
      <c r="C815" s="65" t="s">
        <v>118</v>
      </c>
      <c r="D815" s="65" t="str">
        <f>vlookup(C815,'Classificação p pessoal'!F:G,2,false)</f>
        <v>MProduto</v>
      </c>
      <c r="E815" s="65" t="s">
        <v>538</v>
      </c>
      <c r="F815" s="83">
        <v>0.5833333333333334</v>
      </c>
      <c r="G815" s="83">
        <v>0.625</v>
      </c>
      <c r="H815" s="83">
        <v>0.041666666666666664</v>
      </c>
      <c r="I815" s="84">
        <v>44433.0</v>
      </c>
      <c r="J815" s="65" t="b">
        <v>1</v>
      </c>
      <c r="K815" s="65"/>
      <c r="L815" s="85" t="b">
        <f>IF(VLOOKUP(C815,Projetos!A:L,12,false)=TRUE,TRUE,FALSE)</f>
        <v>1</v>
      </c>
      <c r="M815" s="74">
        <v>31.02923620430495</v>
      </c>
      <c r="N815" s="74">
        <f t="shared" si="1"/>
        <v>31.0292362</v>
      </c>
      <c r="O815" s="74" t="b">
        <v>1</v>
      </c>
    </row>
    <row r="816" hidden="1">
      <c r="A816" s="82"/>
      <c r="B816" s="65" t="s">
        <v>177</v>
      </c>
      <c r="C816" s="65" t="s">
        <v>92</v>
      </c>
      <c r="D816" s="65" t="str">
        <f>vlookup(C816,'Classificação p pessoal'!F:G,2,false)</f>
        <v/>
      </c>
      <c r="E816" s="65" t="s">
        <v>539</v>
      </c>
      <c r="F816" s="83">
        <v>0.6666666666666666</v>
      </c>
      <c r="G816" s="83">
        <v>0.75</v>
      </c>
      <c r="H816" s="83">
        <v>0.08333333333333333</v>
      </c>
      <c r="I816" s="84">
        <v>44433.0</v>
      </c>
      <c r="J816" s="65" t="b">
        <v>1</v>
      </c>
      <c r="K816" s="65"/>
      <c r="L816" s="85" t="b">
        <f>IF(VLOOKUP(C816,Projetos!A:L,12,false)=TRUE,TRUE,FALSE)</f>
        <v>1</v>
      </c>
      <c r="M816" s="74">
        <v>31.02923620430495</v>
      </c>
      <c r="N816" s="74">
        <f t="shared" si="1"/>
        <v>62.05847241</v>
      </c>
      <c r="O816" s="74" t="b">
        <v>1</v>
      </c>
    </row>
    <row r="817" hidden="1">
      <c r="A817" s="82"/>
      <c r="B817" s="65" t="s">
        <v>177</v>
      </c>
      <c r="C817" s="65" t="s">
        <v>130</v>
      </c>
      <c r="D817" s="65" t="str">
        <f>vlookup(C817,'Classificação p pessoal'!F:G,2,false)</f>
        <v>NP</v>
      </c>
      <c r="E817" s="65" t="s">
        <v>540</v>
      </c>
      <c r="F817" s="83">
        <v>0.3645833333333333</v>
      </c>
      <c r="G817" s="83">
        <v>0.4479166666666667</v>
      </c>
      <c r="H817" s="83">
        <v>0.08333333333333333</v>
      </c>
      <c r="I817" s="84">
        <v>44433.0</v>
      </c>
      <c r="J817" s="65" t="b">
        <v>1</v>
      </c>
      <c r="K817" s="65"/>
      <c r="L817" s="85" t="b">
        <f>IF(VLOOKUP(C817,Projetos!A:L,12,false)=TRUE,TRUE,FALSE)</f>
        <v>1</v>
      </c>
      <c r="M817" s="74">
        <v>31.02923620430495</v>
      </c>
      <c r="N817" s="74">
        <f t="shared" si="1"/>
        <v>62.05847241</v>
      </c>
      <c r="O817" s="74" t="b">
        <v>1</v>
      </c>
    </row>
    <row r="818" hidden="1">
      <c r="A818" s="82"/>
      <c r="B818" s="65" t="s">
        <v>495</v>
      </c>
      <c r="C818" s="65" t="s">
        <v>117</v>
      </c>
      <c r="D818" s="65"/>
      <c r="E818" s="65" t="s">
        <v>541</v>
      </c>
      <c r="F818" s="83">
        <v>0.5</v>
      </c>
      <c r="G818" s="83">
        <v>0.5416666666666666</v>
      </c>
      <c r="H818" s="83">
        <v>0.041666666666666664</v>
      </c>
      <c r="I818" s="84">
        <v>44337.0</v>
      </c>
      <c r="J818" s="65" t="b">
        <v>0</v>
      </c>
      <c r="K818" s="65"/>
      <c r="L818" s="85" t="b">
        <f>IF(VLOOKUP(C818,Projetos!A:L,12,false)=TRUE,TRUE,FALSE)</f>
        <v>1</v>
      </c>
      <c r="M818" s="74">
        <v>73.7079846079846</v>
      </c>
      <c r="N818" s="74">
        <f t="shared" si="1"/>
        <v>0</v>
      </c>
      <c r="O818" s="74" t="b">
        <v>1</v>
      </c>
    </row>
    <row r="819" hidden="1">
      <c r="A819" s="82"/>
      <c r="B819" s="65" t="s">
        <v>177</v>
      </c>
      <c r="C819" s="65" t="s">
        <v>100</v>
      </c>
      <c r="D819" s="65" t="str">
        <f>vlookup(C819,'Classificação p pessoal'!F:G,2,false)</f>
        <v>NP</v>
      </c>
      <c r="E819" s="65" t="s">
        <v>542</v>
      </c>
      <c r="F819" s="83">
        <v>0.3541666666666667</v>
      </c>
      <c r="G819" s="83">
        <v>0.375</v>
      </c>
      <c r="H819" s="83">
        <v>0.020833333333333332</v>
      </c>
      <c r="I819" s="84">
        <v>44434.0</v>
      </c>
      <c r="J819" s="65" t="b">
        <v>1</v>
      </c>
      <c r="K819" s="65"/>
      <c r="L819" s="85" t="b">
        <f>IF(VLOOKUP(C819,Projetos!A:L,12,false)=TRUE,TRUE,FALSE)</f>
        <v>1</v>
      </c>
      <c r="M819" s="74">
        <v>31.02923620430495</v>
      </c>
      <c r="N819" s="74">
        <f t="shared" si="1"/>
        <v>15.5146181</v>
      </c>
      <c r="O819" s="74" t="b">
        <v>1</v>
      </c>
    </row>
    <row r="820" hidden="1">
      <c r="A820" s="82"/>
      <c r="B820" s="65" t="s">
        <v>495</v>
      </c>
      <c r="C820" s="65" t="s">
        <v>92</v>
      </c>
      <c r="D820" s="65"/>
      <c r="E820" s="65" t="s">
        <v>543</v>
      </c>
      <c r="F820" s="83">
        <v>0.7083333333333334</v>
      </c>
      <c r="G820" s="83">
        <v>0.75</v>
      </c>
      <c r="H820" s="83">
        <v>0.041666666666666664</v>
      </c>
      <c r="I820" s="84">
        <v>44370.0</v>
      </c>
      <c r="J820" s="65" t="b">
        <v>0</v>
      </c>
      <c r="K820" s="65"/>
      <c r="L820" s="85" t="b">
        <f>IF(VLOOKUP(C820,Projetos!A:L,12,false)=TRUE,TRUE,FALSE)</f>
        <v>1</v>
      </c>
      <c r="M820" s="74">
        <v>73.7079846079846</v>
      </c>
      <c r="N820" s="74">
        <f t="shared" si="1"/>
        <v>0</v>
      </c>
      <c r="O820" s="74" t="b">
        <v>1</v>
      </c>
    </row>
    <row r="821" hidden="1">
      <c r="A821" s="82"/>
      <c r="B821" s="65" t="s">
        <v>177</v>
      </c>
      <c r="C821" s="65" t="s">
        <v>101</v>
      </c>
      <c r="D821" s="65" t="str">
        <f>vlookup(C821,'Classificação p pessoal'!F:G,2,false)</f>
        <v>NP</v>
      </c>
      <c r="E821" s="65" t="s">
        <v>544</v>
      </c>
      <c r="F821" s="83">
        <v>0.34375</v>
      </c>
      <c r="G821" s="83">
        <v>0.3645833333333333</v>
      </c>
      <c r="H821" s="83">
        <v>0.020833333333333332</v>
      </c>
      <c r="I821" s="84">
        <v>44435.0</v>
      </c>
      <c r="J821" s="65" t="b">
        <v>1</v>
      </c>
      <c r="K821" s="65"/>
      <c r="L821" s="85" t="b">
        <f>IF(VLOOKUP(C821,Projetos!A:L,12,false)=TRUE,TRUE,FALSE)</f>
        <v>1</v>
      </c>
      <c r="M821" s="74">
        <v>31.02923620430495</v>
      </c>
      <c r="N821" s="74">
        <f t="shared" si="1"/>
        <v>15.5146181</v>
      </c>
      <c r="O821" s="74" t="b">
        <v>1</v>
      </c>
    </row>
    <row r="822" hidden="1">
      <c r="A822" s="82"/>
      <c r="B822" s="65" t="s">
        <v>177</v>
      </c>
      <c r="C822" s="65" t="s">
        <v>106</v>
      </c>
      <c r="D822" s="65" t="str">
        <f>vlookup(C822,'Classificação p pessoal'!F:G,2,false)</f>
        <v>MProcesso</v>
      </c>
      <c r="E822" s="65" t="s">
        <v>545</v>
      </c>
      <c r="F822" s="83">
        <v>0.7291666666666666</v>
      </c>
      <c r="G822" s="83">
        <v>0.75</v>
      </c>
      <c r="H822" s="83">
        <v>0.020833333333333332</v>
      </c>
      <c r="I822" s="84">
        <v>44435.0</v>
      </c>
      <c r="J822" s="65" t="b">
        <v>1</v>
      </c>
      <c r="K822" s="65"/>
      <c r="L822" s="85" t="b">
        <f>IF(VLOOKUP(C822,Projetos!A:L,12,false)=TRUE,TRUE,FALSE)</f>
        <v>1</v>
      </c>
      <c r="M822" s="74">
        <v>31.02923620430495</v>
      </c>
      <c r="N822" s="74">
        <f t="shared" si="1"/>
        <v>15.5146181</v>
      </c>
      <c r="O822" s="74" t="b">
        <v>1</v>
      </c>
    </row>
    <row r="823" hidden="1">
      <c r="A823" s="82"/>
      <c r="B823" s="65" t="s">
        <v>177</v>
      </c>
      <c r="C823" s="65" t="s">
        <v>130</v>
      </c>
      <c r="D823" s="65" t="str">
        <f>vlookup(C823,'Classificação p pessoal'!F:G,2,false)</f>
        <v>NP</v>
      </c>
      <c r="E823" s="65" t="s">
        <v>546</v>
      </c>
      <c r="F823" s="83">
        <v>0.3645833333333333</v>
      </c>
      <c r="G823" s="83">
        <v>0.4583333333333333</v>
      </c>
      <c r="H823" s="83">
        <v>0.09375</v>
      </c>
      <c r="I823" s="84">
        <v>44435.0</v>
      </c>
      <c r="J823" s="65" t="b">
        <v>1</v>
      </c>
      <c r="K823" s="65"/>
      <c r="L823" s="85" t="b">
        <f>IF(VLOOKUP(C823,Projetos!A:L,12,false)=TRUE,TRUE,FALSE)</f>
        <v>1</v>
      </c>
      <c r="M823" s="74">
        <v>31.02923620430495</v>
      </c>
      <c r="N823" s="74">
        <f t="shared" si="1"/>
        <v>69.81578146</v>
      </c>
      <c r="O823" s="74" t="b">
        <v>1</v>
      </c>
    </row>
    <row r="824" hidden="1">
      <c r="A824" s="82"/>
      <c r="B824" s="65" t="s">
        <v>177</v>
      </c>
      <c r="C824" s="65" t="s">
        <v>106</v>
      </c>
      <c r="D824" s="65" t="str">
        <f>vlookup(C824,'Classificação p pessoal'!F:G,2,false)</f>
        <v>MProcesso</v>
      </c>
      <c r="E824" s="65" t="s">
        <v>547</v>
      </c>
      <c r="F824" s="83">
        <v>0.3854166666666667</v>
      </c>
      <c r="G824" s="83">
        <v>0.4479166666666667</v>
      </c>
      <c r="H824" s="83">
        <v>0.0625</v>
      </c>
      <c r="I824" s="84">
        <v>44434.0</v>
      </c>
      <c r="J824" s="65" t="b">
        <v>1</v>
      </c>
      <c r="K824" s="65"/>
      <c r="L824" s="85" t="b">
        <f>IF(VLOOKUP(C824,Projetos!A:L,12,false)=TRUE,TRUE,FALSE)</f>
        <v>1</v>
      </c>
      <c r="M824" s="74">
        <v>31.02923620430495</v>
      </c>
      <c r="N824" s="74">
        <f t="shared" si="1"/>
        <v>46.54385431</v>
      </c>
      <c r="O824" s="74" t="b">
        <v>1</v>
      </c>
    </row>
    <row r="825" hidden="1">
      <c r="A825" s="82"/>
      <c r="B825" s="65" t="s">
        <v>177</v>
      </c>
      <c r="C825" s="65" t="s">
        <v>106</v>
      </c>
      <c r="D825" s="65" t="str">
        <f>vlookup(C825,'Classificação p pessoal'!F:G,2,false)</f>
        <v>MProcesso</v>
      </c>
      <c r="E825" s="65" t="s">
        <v>548</v>
      </c>
      <c r="F825" s="83">
        <v>0.625</v>
      </c>
      <c r="G825" s="83">
        <v>0.6666666666666666</v>
      </c>
      <c r="H825" s="83">
        <v>0.041666666666666664</v>
      </c>
      <c r="I825" s="84">
        <v>44435.0</v>
      </c>
      <c r="J825" s="65" t="b">
        <v>1</v>
      </c>
      <c r="K825" s="65"/>
      <c r="L825" s="85" t="b">
        <f>IF(VLOOKUP(C825,Projetos!A:L,12,false)=TRUE,TRUE,FALSE)</f>
        <v>1</v>
      </c>
      <c r="M825" s="74">
        <v>31.02923620430495</v>
      </c>
      <c r="N825" s="74">
        <f t="shared" si="1"/>
        <v>31.0292362</v>
      </c>
      <c r="O825" s="74" t="b">
        <v>1</v>
      </c>
    </row>
    <row r="826" hidden="1">
      <c r="A826" s="82"/>
      <c r="B826" s="65" t="s">
        <v>177</v>
      </c>
      <c r="C826" s="65" t="s">
        <v>100</v>
      </c>
      <c r="D826" s="65" t="str">
        <f>vlookup(C826,'Classificação p pessoal'!F:G,2,false)</f>
        <v>NP</v>
      </c>
      <c r="E826" s="65" t="s">
        <v>549</v>
      </c>
      <c r="F826" s="83">
        <v>0.7083333333333334</v>
      </c>
      <c r="G826" s="83">
        <v>0.7291666666666666</v>
      </c>
      <c r="H826" s="83">
        <v>0.020833333333333332</v>
      </c>
      <c r="I826" s="84">
        <v>44435.0</v>
      </c>
      <c r="J826" s="65" t="b">
        <v>1</v>
      </c>
      <c r="K826" s="65"/>
      <c r="L826" s="85" t="b">
        <f>IF(VLOOKUP(C826,Projetos!A:L,12,false)=TRUE,TRUE,FALSE)</f>
        <v>1</v>
      </c>
      <c r="M826" s="74">
        <v>31.02923620430495</v>
      </c>
      <c r="N826" s="74">
        <f t="shared" si="1"/>
        <v>15.5146181</v>
      </c>
      <c r="O826" s="74" t="b">
        <v>1</v>
      </c>
    </row>
    <row r="827" hidden="1">
      <c r="A827" s="82"/>
      <c r="B827" s="65" t="s">
        <v>177</v>
      </c>
      <c r="C827" s="65" t="s">
        <v>100</v>
      </c>
      <c r="D827" s="65" t="str">
        <f>vlookup(C827,'Classificação p pessoal'!F:G,2,false)</f>
        <v>NP</v>
      </c>
      <c r="E827" s="65" t="s">
        <v>550</v>
      </c>
      <c r="F827" s="83">
        <v>0.3541666666666667</v>
      </c>
      <c r="G827" s="83">
        <v>0.3645833333333333</v>
      </c>
      <c r="H827" s="83">
        <v>0.010416666666666666</v>
      </c>
      <c r="I827" s="84">
        <v>44438.0</v>
      </c>
      <c r="J827" s="65" t="b">
        <v>1</v>
      </c>
      <c r="K827" s="65"/>
      <c r="L827" s="85" t="b">
        <f>IF(VLOOKUP(C827,Projetos!A:L,12,false)=TRUE,TRUE,FALSE)</f>
        <v>1</v>
      </c>
      <c r="M827" s="74">
        <v>31.02923620430495</v>
      </c>
      <c r="N827" s="74">
        <f t="shared" si="1"/>
        <v>7.757309051</v>
      </c>
      <c r="O827" s="74" t="b">
        <v>1</v>
      </c>
    </row>
    <row r="828" hidden="1">
      <c r="A828" s="82"/>
      <c r="B828" s="65" t="s">
        <v>177</v>
      </c>
      <c r="C828" s="65" t="s">
        <v>91</v>
      </c>
      <c r="D828" s="65" t="str">
        <f>vlookup(C828,'Classificação p pessoal'!F:G,2,false)</f>
        <v>NP</v>
      </c>
      <c r="E828" s="65" t="s">
        <v>551</v>
      </c>
      <c r="F828" s="83">
        <v>0.6458333333333334</v>
      </c>
      <c r="G828" s="83">
        <v>0.6770833333333334</v>
      </c>
      <c r="H828" s="83">
        <v>0.03125</v>
      </c>
      <c r="I828" s="84">
        <v>44438.0</v>
      </c>
      <c r="J828" s="65" t="b">
        <v>1</v>
      </c>
      <c r="K828" s="65"/>
      <c r="L828" s="85" t="b">
        <f>IF(VLOOKUP(C828,Projetos!A:L,12,false)=TRUE,TRUE,FALSE)</f>
        <v>1</v>
      </c>
      <c r="M828" s="74">
        <v>31.02923620430495</v>
      </c>
      <c r="N828" s="74">
        <f t="shared" si="1"/>
        <v>23.27192715</v>
      </c>
      <c r="O828" s="74" t="b">
        <v>1</v>
      </c>
    </row>
    <row r="829" hidden="1">
      <c r="A829" s="82"/>
      <c r="B829" s="65" t="s">
        <v>495</v>
      </c>
      <c r="C829" s="65" t="s">
        <v>92</v>
      </c>
      <c r="D829" s="65"/>
      <c r="E829" s="65" t="s">
        <v>543</v>
      </c>
      <c r="F829" s="83">
        <v>0.3541666666666667</v>
      </c>
      <c r="G829" s="83">
        <v>0.3888888888888889</v>
      </c>
      <c r="H829" s="83">
        <v>0.034722222222222224</v>
      </c>
      <c r="I829" s="84">
        <v>44371.0</v>
      </c>
      <c r="J829" s="65" t="b">
        <v>0</v>
      </c>
      <c r="K829" s="65"/>
      <c r="L829" s="85" t="b">
        <f>IF(VLOOKUP(C829,Projetos!A:L,12,false)=TRUE,TRUE,FALSE)</f>
        <v>1</v>
      </c>
      <c r="M829" s="74">
        <v>73.7079846079846</v>
      </c>
      <c r="N829" s="74">
        <f t="shared" si="1"/>
        <v>0</v>
      </c>
      <c r="O829" s="74" t="b">
        <v>1</v>
      </c>
    </row>
    <row r="830" hidden="1">
      <c r="A830" s="82"/>
      <c r="B830" s="65" t="s">
        <v>495</v>
      </c>
      <c r="C830" s="65" t="s">
        <v>92</v>
      </c>
      <c r="D830" s="65"/>
      <c r="E830" s="65" t="s">
        <v>543</v>
      </c>
      <c r="F830" s="83">
        <v>0.5416666666666666</v>
      </c>
      <c r="G830" s="83">
        <v>0.625</v>
      </c>
      <c r="H830" s="83">
        <v>0.08333333333333333</v>
      </c>
      <c r="I830" s="84">
        <v>44371.0</v>
      </c>
      <c r="J830" s="65" t="b">
        <v>0</v>
      </c>
      <c r="K830" s="65"/>
      <c r="L830" s="85" t="b">
        <f>IF(VLOOKUP(C830,Projetos!A:L,12,false)=TRUE,TRUE,FALSE)</f>
        <v>1</v>
      </c>
      <c r="M830" s="74">
        <v>73.7079846079846</v>
      </c>
      <c r="N830" s="74">
        <f t="shared" si="1"/>
        <v>0</v>
      </c>
      <c r="O830" s="74" t="b">
        <v>1</v>
      </c>
    </row>
    <row r="831" hidden="1">
      <c r="A831" s="82"/>
      <c r="B831" s="65" t="s">
        <v>177</v>
      </c>
      <c r="C831" s="65" t="s">
        <v>100</v>
      </c>
      <c r="D831" s="65"/>
      <c r="E831" s="65" t="s">
        <v>552</v>
      </c>
      <c r="F831" s="83">
        <v>0.3958333333333333</v>
      </c>
      <c r="G831" s="83">
        <v>0.4375</v>
      </c>
      <c r="H831" s="83">
        <v>0.041666666666666664</v>
      </c>
      <c r="I831" s="84">
        <v>44439.0</v>
      </c>
      <c r="J831" s="65" t="b">
        <v>0</v>
      </c>
      <c r="K831" s="65" t="s">
        <v>150</v>
      </c>
      <c r="L831" s="85" t="b">
        <f>IF(VLOOKUP(C831,Projetos!A:L,12,false)=TRUE,TRUE,FALSE)</f>
        <v>1</v>
      </c>
      <c r="M831" s="74">
        <v>31.02923620430495</v>
      </c>
      <c r="N831" s="74">
        <f t="shared" si="1"/>
        <v>0</v>
      </c>
      <c r="O831" s="74" t="b">
        <v>1</v>
      </c>
    </row>
    <row r="832" hidden="1">
      <c r="A832" s="82"/>
      <c r="B832" s="65" t="s">
        <v>177</v>
      </c>
      <c r="C832" s="65" t="s">
        <v>117</v>
      </c>
      <c r="D832" s="65" t="str">
        <f>vlookup(C832,'Classificação p pessoal'!F:G,2,false)</f>
        <v>NP</v>
      </c>
      <c r="E832" s="65" t="s">
        <v>553</v>
      </c>
      <c r="F832" s="83">
        <v>0.7083333333333334</v>
      </c>
      <c r="G832" s="83">
        <v>0.75</v>
      </c>
      <c r="H832" s="83">
        <v>0.041666666666666664</v>
      </c>
      <c r="I832" s="84">
        <v>44439.0</v>
      </c>
      <c r="J832" s="65" t="b">
        <v>1</v>
      </c>
      <c r="K832" s="65"/>
      <c r="L832" s="85" t="b">
        <f>IF(VLOOKUP(C832,Projetos!A:L,12,false)=TRUE,TRUE,FALSE)</f>
        <v>1</v>
      </c>
      <c r="M832" s="74">
        <v>31.02923620430495</v>
      </c>
      <c r="N832" s="74">
        <f t="shared" si="1"/>
        <v>31.0292362</v>
      </c>
      <c r="O832" s="74" t="b">
        <v>1</v>
      </c>
    </row>
    <row r="833" hidden="1">
      <c r="A833" s="82"/>
      <c r="B833" s="65" t="s">
        <v>177</v>
      </c>
      <c r="C833" s="65" t="s">
        <v>117</v>
      </c>
      <c r="D833" s="65" t="str">
        <f>vlookup(C833,'Classificação p pessoal'!F:G,2,false)</f>
        <v>NP</v>
      </c>
      <c r="E833" s="65" t="s">
        <v>553</v>
      </c>
      <c r="F833" s="83">
        <v>0.375</v>
      </c>
      <c r="G833" s="83">
        <v>0.4166666666666667</v>
      </c>
      <c r="H833" s="83">
        <v>0.041666666666666664</v>
      </c>
      <c r="I833" s="84">
        <v>44440.0</v>
      </c>
      <c r="J833" s="65" t="b">
        <v>1</v>
      </c>
      <c r="K833" s="65"/>
      <c r="L833" s="85" t="b">
        <f>IF(VLOOKUP(C833,Projetos!A:L,12,false)=TRUE,TRUE,FALSE)</f>
        <v>1</v>
      </c>
      <c r="M833" s="74">
        <v>31.02923620430495</v>
      </c>
      <c r="N833" s="74">
        <f t="shared" si="1"/>
        <v>31.0292362</v>
      </c>
      <c r="O833" s="74" t="b">
        <v>1</v>
      </c>
    </row>
    <row r="834" hidden="1">
      <c r="A834" s="82"/>
      <c r="B834" s="65" t="s">
        <v>177</v>
      </c>
      <c r="C834" s="65" t="s">
        <v>106</v>
      </c>
      <c r="D834" s="65" t="str">
        <f>vlookup(C834,'Classificação p pessoal'!F:G,2,false)</f>
        <v>MProcesso</v>
      </c>
      <c r="E834" s="65" t="s">
        <v>554</v>
      </c>
      <c r="F834" s="83">
        <v>0.4166666666666667</v>
      </c>
      <c r="G834" s="83">
        <v>0.5</v>
      </c>
      <c r="H834" s="83">
        <v>0.08333333333333333</v>
      </c>
      <c r="I834" s="84">
        <v>44440.0</v>
      </c>
      <c r="J834" s="65" t="b">
        <v>1</v>
      </c>
      <c r="K834" s="65"/>
      <c r="L834" s="85" t="b">
        <f>IF(VLOOKUP(C834,Projetos!A:L,12,false)=TRUE,TRUE,FALSE)</f>
        <v>1</v>
      </c>
      <c r="M834" s="74">
        <v>31.02923620430495</v>
      </c>
      <c r="N834" s="74">
        <f t="shared" si="1"/>
        <v>62.05847241</v>
      </c>
      <c r="O834" s="74" t="b">
        <v>1</v>
      </c>
    </row>
    <row r="835" hidden="1">
      <c r="A835" s="82"/>
      <c r="B835" s="65" t="s">
        <v>177</v>
      </c>
      <c r="C835" s="65" t="s">
        <v>121</v>
      </c>
      <c r="D835" s="65"/>
      <c r="E835" s="65" t="s">
        <v>555</v>
      </c>
      <c r="F835" s="83">
        <v>0.5416666666666666</v>
      </c>
      <c r="G835" s="83">
        <v>0.5833333333333334</v>
      </c>
      <c r="H835" s="83">
        <v>0.041666666666666664</v>
      </c>
      <c r="I835" s="84">
        <v>44440.0</v>
      </c>
      <c r="J835" s="65" t="b">
        <v>0</v>
      </c>
      <c r="K835" s="65" t="s">
        <v>150</v>
      </c>
      <c r="L835" s="85" t="b">
        <f>IF(VLOOKUP(C835,Projetos!A:L,12,false)=TRUE,TRUE,FALSE)</f>
        <v>1</v>
      </c>
      <c r="M835" s="74">
        <v>31.02923620430495</v>
      </c>
      <c r="N835" s="74">
        <f t="shared" si="1"/>
        <v>0</v>
      </c>
      <c r="O835" s="74" t="b">
        <v>1</v>
      </c>
    </row>
    <row r="836" hidden="1">
      <c r="A836" s="82"/>
      <c r="B836" s="65" t="s">
        <v>177</v>
      </c>
      <c r="C836" s="65" t="s">
        <v>130</v>
      </c>
      <c r="D836" s="65" t="str">
        <f>vlookup(C836,'Classificação p pessoal'!F:G,2,false)</f>
        <v>NP</v>
      </c>
      <c r="E836" s="65" t="s">
        <v>556</v>
      </c>
      <c r="F836" s="83">
        <v>0.5833333333333334</v>
      </c>
      <c r="G836" s="83">
        <v>0.75</v>
      </c>
      <c r="H836" s="83">
        <v>0.16666666666666666</v>
      </c>
      <c r="I836" s="84">
        <v>44440.0</v>
      </c>
      <c r="J836" s="65" t="b">
        <v>1</v>
      </c>
      <c r="K836" s="65"/>
      <c r="L836" s="85" t="b">
        <f>IF(VLOOKUP(C836,Projetos!A:L,12,false)=TRUE,TRUE,FALSE)</f>
        <v>1</v>
      </c>
      <c r="M836" s="74">
        <v>31.02923620430495</v>
      </c>
      <c r="N836" s="74">
        <f t="shared" si="1"/>
        <v>124.1169448</v>
      </c>
      <c r="O836" s="74" t="b">
        <v>1</v>
      </c>
    </row>
    <row r="837" hidden="1">
      <c r="A837" s="82"/>
      <c r="B837" s="65" t="s">
        <v>177</v>
      </c>
      <c r="C837" s="65" t="s">
        <v>106</v>
      </c>
      <c r="D837" s="65" t="str">
        <f>vlookup(C837,'Classificação p pessoal'!F:G,2,false)</f>
        <v>MProcesso</v>
      </c>
      <c r="E837" s="65" t="s">
        <v>557</v>
      </c>
      <c r="F837" s="83">
        <v>0.375</v>
      </c>
      <c r="G837" s="83">
        <v>0.4270833333333333</v>
      </c>
      <c r="H837" s="83">
        <v>0.052083333333333336</v>
      </c>
      <c r="I837" s="84">
        <v>44441.0</v>
      </c>
      <c r="J837" s="65" t="b">
        <v>1</v>
      </c>
      <c r="K837" s="65"/>
      <c r="L837" s="85" t="b">
        <f>IF(VLOOKUP(C837,Projetos!A:L,12,false)=TRUE,TRUE,FALSE)</f>
        <v>1</v>
      </c>
      <c r="M837" s="74">
        <v>31.02923620430495</v>
      </c>
      <c r="N837" s="74">
        <f t="shared" si="1"/>
        <v>38.78654526</v>
      </c>
      <c r="O837" s="74" t="b">
        <v>1</v>
      </c>
    </row>
    <row r="838" hidden="1">
      <c r="A838" s="82"/>
      <c r="B838" s="65" t="s">
        <v>177</v>
      </c>
      <c r="C838" s="65" t="s">
        <v>101</v>
      </c>
      <c r="D838" s="65" t="str">
        <f>vlookup(C838,'Classificação p pessoal'!F:G,2,false)</f>
        <v>NP</v>
      </c>
      <c r="E838" s="65" t="s">
        <v>558</v>
      </c>
      <c r="F838" s="83">
        <v>0.4375</v>
      </c>
      <c r="G838" s="83">
        <v>0.4791666666666667</v>
      </c>
      <c r="H838" s="83">
        <v>0.041666666666666664</v>
      </c>
      <c r="I838" s="84">
        <v>44442.0</v>
      </c>
      <c r="J838" s="65" t="b">
        <v>1</v>
      </c>
      <c r="K838" s="65"/>
      <c r="L838" s="85" t="b">
        <f>IF(VLOOKUP(C838,Projetos!A:L,12,false)=TRUE,TRUE,FALSE)</f>
        <v>1</v>
      </c>
      <c r="M838" s="74">
        <v>31.02923620430495</v>
      </c>
      <c r="N838" s="74">
        <f t="shared" si="1"/>
        <v>31.0292362</v>
      </c>
      <c r="O838" s="74" t="b">
        <v>1</v>
      </c>
    </row>
    <row r="839" hidden="1">
      <c r="A839" s="82"/>
      <c r="B839" s="65" t="s">
        <v>177</v>
      </c>
      <c r="C839" s="65" t="s">
        <v>101</v>
      </c>
      <c r="D839" s="65" t="str">
        <f>vlookup(C839,'Classificação p pessoal'!F:G,2,false)</f>
        <v>NP</v>
      </c>
      <c r="E839" s="65" t="s">
        <v>559</v>
      </c>
      <c r="F839" s="83">
        <v>0.4791666666666667</v>
      </c>
      <c r="G839" s="83">
        <v>0.5208333333333334</v>
      </c>
      <c r="H839" s="83">
        <v>0.041666666666666664</v>
      </c>
      <c r="I839" s="84">
        <v>44442.0</v>
      </c>
      <c r="J839" s="65" t="b">
        <v>1</v>
      </c>
      <c r="K839" s="65"/>
      <c r="L839" s="85" t="b">
        <f>IF(VLOOKUP(C839,Projetos!A:L,12,false)=TRUE,TRUE,FALSE)</f>
        <v>1</v>
      </c>
      <c r="M839" s="74">
        <v>31.02923620430495</v>
      </c>
      <c r="N839" s="74">
        <f t="shared" si="1"/>
        <v>31.0292362</v>
      </c>
      <c r="O839" s="74" t="b">
        <v>1</v>
      </c>
    </row>
    <row r="840" hidden="1">
      <c r="A840" s="82"/>
      <c r="B840" s="65" t="s">
        <v>177</v>
      </c>
      <c r="C840" s="65" t="s">
        <v>130</v>
      </c>
      <c r="D840" s="65" t="str">
        <f>vlookup(C840,'Classificação p pessoal'!F:G,2,false)</f>
        <v>NP</v>
      </c>
      <c r="E840" s="65" t="s">
        <v>560</v>
      </c>
      <c r="F840" s="83">
        <v>0.5625</v>
      </c>
      <c r="G840" s="83">
        <v>0.625</v>
      </c>
      <c r="H840" s="83">
        <v>0.0625</v>
      </c>
      <c r="I840" s="84">
        <v>44442.0</v>
      </c>
      <c r="J840" s="65" t="b">
        <v>1</v>
      </c>
      <c r="K840" s="65"/>
      <c r="L840" s="85" t="b">
        <f>IF(VLOOKUP(C840,Projetos!A:L,12,false)=TRUE,TRUE,FALSE)</f>
        <v>1</v>
      </c>
      <c r="M840" s="74">
        <v>31.02923620430495</v>
      </c>
      <c r="N840" s="74">
        <f t="shared" si="1"/>
        <v>46.54385431</v>
      </c>
      <c r="O840" s="74" t="b">
        <v>1</v>
      </c>
    </row>
    <row r="841" hidden="1">
      <c r="A841" s="82"/>
      <c r="B841" s="65" t="s">
        <v>177</v>
      </c>
      <c r="C841" s="65" t="s">
        <v>91</v>
      </c>
      <c r="D841" s="65" t="str">
        <f>vlookup(C841,'Classificação p pessoal'!F:G,2,false)</f>
        <v>NP</v>
      </c>
      <c r="E841" s="65" t="s">
        <v>561</v>
      </c>
      <c r="F841" s="83">
        <v>0.3541666666666667</v>
      </c>
      <c r="G841" s="83">
        <v>0.5208333333333334</v>
      </c>
      <c r="H841" s="83">
        <v>0.16666666666666666</v>
      </c>
      <c r="I841" s="84">
        <v>44445.0</v>
      </c>
      <c r="J841" s="65" t="b">
        <v>1</v>
      </c>
      <c r="K841" s="65"/>
      <c r="L841" s="85" t="b">
        <f>IF(VLOOKUP(C841,Projetos!A:L,12,false)=TRUE,TRUE,FALSE)</f>
        <v>1</v>
      </c>
      <c r="M841" s="74">
        <v>31.02923620430495</v>
      </c>
      <c r="N841" s="74">
        <f t="shared" si="1"/>
        <v>124.1169448</v>
      </c>
      <c r="O841" s="74" t="b">
        <v>1</v>
      </c>
    </row>
    <row r="842" hidden="1">
      <c r="A842" s="82"/>
      <c r="B842" s="65" t="s">
        <v>177</v>
      </c>
      <c r="C842" s="65" t="s">
        <v>91</v>
      </c>
      <c r="D842" s="65"/>
      <c r="E842" s="65" t="s">
        <v>562</v>
      </c>
      <c r="F842" s="83">
        <v>0.5625</v>
      </c>
      <c r="G842" s="83">
        <v>0.7291666666666666</v>
      </c>
      <c r="H842" s="83">
        <v>0.16666666666666666</v>
      </c>
      <c r="I842" s="84">
        <v>44445.0</v>
      </c>
      <c r="J842" s="65" t="b">
        <v>0</v>
      </c>
      <c r="K842" s="65" t="s">
        <v>150</v>
      </c>
      <c r="L842" s="85" t="b">
        <f>IF(VLOOKUP(C842,Projetos!A:L,12,false)=TRUE,TRUE,FALSE)</f>
        <v>1</v>
      </c>
      <c r="M842" s="74">
        <v>31.02923620430495</v>
      </c>
      <c r="N842" s="74">
        <f t="shared" si="1"/>
        <v>0</v>
      </c>
      <c r="O842" s="74" t="b">
        <v>1</v>
      </c>
    </row>
    <row r="843" hidden="1">
      <c r="A843" s="82"/>
      <c r="B843" s="65" t="s">
        <v>177</v>
      </c>
      <c r="C843" s="65" t="s">
        <v>100</v>
      </c>
      <c r="D843" s="65" t="str">
        <f>vlookup(C843,'Classificação p pessoal'!F:G,2,false)</f>
        <v>NP</v>
      </c>
      <c r="E843" s="65" t="s">
        <v>563</v>
      </c>
      <c r="F843" s="83">
        <v>0.3854166666666667</v>
      </c>
      <c r="G843" s="83">
        <v>0.40625</v>
      </c>
      <c r="H843" s="83">
        <v>0.020833333333333332</v>
      </c>
      <c r="I843" s="84">
        <v>44333.0</v>
      </c>
      <c r="J843" s="65" t="b">
        <v>1</v>
      </c>
      <c r="K843" s="65"/>
      <c r="L843" s="85" t="b">
        <f>IF(VLOOKUP(C843,Projetos!A:L,12,false)=TRUE,TRUE,FALSE)</f>
        <v>1</v>
      </c>
      <c r="M843" s="74">
        <v>31.02923620430495</v>
      </c>
      <c r="N843" s="74">
        <f t="shared" si="1"/>
        <v>15.5146181</v>
      </c>
      <c r="O843" s="74" t="b">
        <v>1</v>
      </c>
    </row>
    <row r="844" hidden="1">
      <c r="A844" s="82"/>
      <c r="B844" s="65" t="s">
        <v>177</v>
      </c>
      <c r="C844" s="65" t="s">
        <v>91</v>
      </c>
      <c r="D844" s="65"/>
      <c r="E844" s="65" t="s">
        <v>564</v>
      </c>
      <c r="F844" s="83">
        <v>0.375</v>
      </c>
      <c r="G844" s="83">
        <v>0.4166666666666667</v>
      </c>
      <c r="H844" s="83">
        <v>0.041666666666666664</v>
      </c>
      <c r="I844" s="84">
        <v>44448.0</v>
      </c>
      <c r="J844" s="65" t="b">
        <v>0</v>
      </c>
      <c r="K844" s="65" t="s">
        <v>150</v>
      </c>
      <c r="L844" s="85" t="b">
        <f>IF(VLOOKUP(C844,Projetos!A:L,12,false)=TRUE,TRUE,FALSE)</f>
        <v>1</v>
      </c>
      <c r="M844" s="74">
        <v>31.02923620430495</v>
      </c>
      <c r="N844" s="74">
        <f t="shared" si="1"/>
        <v>0</v>
      </c>
      <c r="O844" s="74" t="b">
        <v>1</v>
      </c>
    </row>
    <row r="845" hidden="1">
      <c r="A845" s="82"/>
      <c r="B845" s="65" t="s">
        <v>177</v>
      </c>
      <c r="C845" s="65" t="s">
        <v>101</v>
      </c>
      <c r="D845" s="65" t="str">
        <f>vlookup(C845,'Classificação p pessoal'!F:G,2,false)</f>
        <v>NP</v>
      </c>
      <c r="E845" s="65" t="s">
        <v>565</v>
      </c>
      <c r="F845" s="83">
        <v>0.4166666666666667</v>
      </c>
      <c r="G845" s="83">
        <v>0.4583333333333333</v>
      </c>
      <c r="H845" s="83">
        <v>0.041666666666666664</v>
      </c>
      <c r="I845" s="84">
        <v>44448.0</v>
      </c>
      <c r="J845" s="65" t="b">
        <v>1</v>
      </c>
      <c r="K845" s="65"/>
      <c r="L845" s="85" t="b">
        <f>IF(VLOOKUP(C845,Projetos!A:L,12,false)=TRUE,TRUE,FALSE)</f>
        <v>1</v>
      </c>
      <c r="M845" s="74">
        <v>31.02923620430495</v>
      </c>
      <c r="N845" s="74">
        <f t="shared" si="1"/>
        <v>31.0292362</v>
      </c>
      <c r="O845" s="74" t="b">
        <v>1</v>
      </c>
    </row>
    <row r="846" hidden="1">
      <c r="A846" s="82"/>
      <c r="B846" s="65" t="s">
        <v>177</v>
      </c>
      <c r="C846" s="65" t="s">
        <v>130</v>
      </c>
      <c r="D846" s="65"/>
      <c r="E846" s="65" t="s">
        <v>566</v>
      </c>
      <c r="F846" s="83">
        <v>0.4583333333333333</v>
      </c>
      <c r="G846" s="83">
        <v>0.5</v>
      </c>
      <c r="H846" s="83">
        <v>0.041666666666666664</v>
      </c>
      <c r="I846" s="84">
        <v>44448.0</v>
      </c>
      <c r="J846" s="65" t="b">
        <v>0</v>
      </c>
      <c r="K846" s="65" t="s">
        <v>150</v>
      </c>
      <c r="L846" s="85" t="b">
        <f>IF(VLOOKUP(C846,Projetos!A:L,12,false)=TRUE,TRUE,FALSE)</f>
        <v>1</v>
      </c>
      <c r="M846" s="74">
        <v>31.02923620430495</v>
      </c>
      <c r="N846" s="74">
        <f t="shared" si="1"/>
        <v>0</v>
      </c>
      <c r="O846" s="74" t="b">
        <v>1</v>
      </c>
    </row>
    <row r="847" hidden="1">
      <c r="A847" s="82"/>
      <c r="B847" s="65" t="s">
        <v>469</v>
      </c>
      <c r="C847" s="65" t="s">
        <v>118</v>
      </c>
      <c r="D847" s="65"/>
      <c r="E847" s="65" t="s">
        <v>567</v>
      </c>
      <c r="F847" s="83">
        <v>0.3333333333333333</v>
      </c>
      <c r="G847" s="83">
        <v>0.5</v>
      </c>
      <c r="H847" s="83">
        <v>0.16666666666666666</v>
      </c>
      <c r="I847" s="84">
        <v>44382.0</v>
      </c>
      <c r="J847" s="65" t="b">
        <v>0</v>
      </c>
      <c r="K847" s="65" t="s">
        <v>150</v>
      </c>
      <c r="L847" s="85" t="b">
        <f>IF(VLOOKUP(C847,Projetos!A:L,12,false)=TRUE,TRUE,FALSE)</f>
        <v>1</v>
      </c>
      <c r="M847" s="74">
        <v>37.50928062469937</v>
      </c>
      <c r="N847" s="74">
        <f t="shared" si="1"/>
        <v>0</v>
      </c>
      <c r="O847" s="74" t="b">
        <v>1</v>
      </c>
    </row>
    <row r="848" hidden="1">
      <c r="A848" s="82"/>
      <c r="B848" s="65" t="s">
        <v>177</v>
      </c>
      <c r="C848" s="65" t="s">
        <v>91</v>
      </c>
      <c r="D848" s="65" t="str">
        <f>vlookup(C848,'Classificação p pessoal'!F:G,2,false)</f>
        <v>NP</v>
      </c>
      <c r="E848" s="65" t="s">
        <v>568</v>
      </c>
      <c r="F848" s="83">
        <v>0.5833333333333334</v>
      </c>
      <c r="G848" s="83">
        <v>0.625</v>
      </c>
      <c r="H848" s="83">
        <v>0.041666666666666664</v>
      </c>
      <c r="I848" s="84">
        <v>44448.0</v>
      </c>
      <c r="J848" s="65" t="b">
        <v>1</v>
      </c>
      <c r="K848" s="65"/>
      <c r="L848" s="85" t="b">
        <f>IF(VLOOKUP(C848,Projetos!A:L,12,false)=TRUE,TRUE,FALSE)</f>
        <v>1</v>
      </c>
      <c r="M848" s="74">
        <v>31.02923620430495</v>
      </c>
      <c r="N848" s="74">
        <f t="shared" si="1"/>
        <v>31.0292362</v>
      </c>
      <c r="O848" s="74" t="b">
        <v>1</v>
      </c>
    </row>
    <row r="849" hidden="1">
      <c r="A849" s="82"/>
      <c r="B849" s="65" t="s">
        <v>177</v>
      </c>
      <c r="C849" s="65" t="s">
        <v>91</v>
      </c>
      <c r="D849" s="65" t="str">
        <f>vlookup(C849,'Classificação p pessoal'!F:G,2,false)</f>
        <v>NP</v>
      </c>
      <c r="E849" s="65" t="s">
        <v>569</v>
      </c>
      <c r="F849" s="83">
        <v>0.625</v>
      </c>
      <c r="G849" s="83">
        <v>0.7083333333333334</v>
      </c>
      <c r="H849" s="83">
        <v>0.08333333333333333</v>
      </c>
      <c r="I849" s="84">
        <v>44448.0</v>
      </c>
      <c r="J849" s="65" t="b">
        <v>1</v>
      </c>
      <c r="K849" s="65"/>
      <c r="L849" s="85" t="b">
        <f>IF(VLOOKUP(C849,Projetos!A:L,12,false)=TRUE,TRUE,FALSE)</f>
        <v>1</v>
      </c>
      <c r="M849" s="74">
        <v>31.02923620430495</v>
      </c>
      <c r="N849" s="74">
        <f t="shared" si="1"/>
        <v>62.05847241</v>
      </c>
      <c r="O849" s="74" t="b">
        <v>1</v>
      </c>
    </row>
    <row r="850">
      <c r="A850" s="82"/>
      <c r="B850" s="65" t="s">
        <v>177</v>
      </c>
      <c r="C850" s="65" t="s">
        <v>108</v>
      </c>
      <c r="D850" s="65" t="str">
        <f>vlookup(C850,'Classificação p pessoal'!F:G,2,false)</f>
        <v>NP</v>
      </c>
      <c r="E850" s="65" t="s">
        <v>570</v>
      </c>
      <c r="F850" s="83">
        <v>0.3541666666666667</v>
      </c>
      <c r="G850" s="83">
        <v>0.375</v>
      </c>
      <c r="H850" s="83">
        <v>0.020833333333333332</v>
      </c>
      <c r="I850" s="84">
        <v>44449.0</v>
      </c>
      <c r="J850" s="65" t="b">
        <v>1</v>
      </c>
      <c r="K850" s="65"/>
      <c r="L850" s="85" t="b">
        <f>IF(VLOOKUP(C850,Projetos!A:L,12,false)=TRUE,TRUE,FALSE)</f>
        <v>1</v>
      </c>
      <c r="M850" s="74">
        <v>31.02923620430495</v>
      </c>
      <c r="N850" s="74">
        <f t="shared" si="1"/>
        <v>15.5146181</v>
      </c>
      <c r="O850" s="74" t="b">
        <v>1</v>
      </c>
    </row>
    <row r="851" hidden="1">
      <c r="A851" s="82"/>
      <c r="B851" s="65" t="s">
        <v>469</v>
      </c>
      <c r="C851" s="65" t="s">
        <v>118</v>
      </c>
      <c r="D851" s="65"/>
      <c r="E851" s="65" t="s">
        <v>571</v>
      </c>
      <c r="F851" s="83">
        <v>0.3333333333333333</v>
      </c>
      <c r="G851" s="83">
        <v>0.7083333333333334</v>
      </c>
      <c r="H851" s="83">
        <v>0.375</v>
      </c>
      <c r="I851" s="84">
        <v>44413.0</v>
      </c>
      <c r="J851" s="65" t="b">
        <v>0</v>
      </c>
      <c r="K851" s="65" t="s">
        <v>150</v>
      </c>
      <c r="L851" s="85" t="b">
        <f>IF(VLOOKUP(C851,Projetos!A:L,12,false)=TRUE,TRUE,FALSE)</f>
        <v>1</v>
      </c>
      <c r="M851" s="74">
        <v>37.50928062469937</v>
      </c>
      <c r="N851" s="74">
        <f t="shared" si="1"/>
        <v>0</v>
      </c>
      <c r="O851" s="74" t="b">
        <v>1</v>
      </c>
    </row>
    <row r="852" hidden="1">
      <c r="A852" s="82"/>
      <c r="B852" s="65" t="s">
        <v>177</v>
      </c>
      <c r="C852" s="65" t="s">
        <v>106</v>
      </c>
      <c r="D852" s="65" t="str">
        <f>vlookup(C852,'Classificação p pessoal'!F:G,2,false)</f>
        <v>MProcesso</v>
      </c>
      <c r="E852" s="65" t="s">
        <v>572</v>
      </c>
      <c r="F852" s="83">
        <v>0.4375</v>
      </c>
      <c r="G852" s="83">
        <v>0.5</v>
      </c>
      <c r="H852" s="83">
        <v>0.0625</v>
      </c>
      <c r="I852" s="84">
        <v>44449.0</v>
      </c>
      <c r="J852" s="65" t="b">
        <v>1</v>
      </c>
      <c r="K852" s="65"/>
      <c r="L852" s="85" t="b">
        <f>IF(VLOOKUP(C852,Projetos!A:L,12,false)=TRUE,TRUE,FALSE)</f>
        <v>1</v>
      </c>
      <c r="M852" s="74">
        <v>31.02923620430495</v>
      </c>
      <c r="N852" s="74">
        <f t="shared" si="1"/>
        <v>46.54385431</v>
      </c>
      <c r="O852" s="74" t="b">
        <v>1</v>
      </c>
    </row>
    <row r="853" hidden="1">
      <c r="A853" s="82"/>
      <c r="B853" s="65" t="s">
        <v>177</v>
      </c>
      <c r="C853" s="65" t="s">
        <v>92</v>
      </c>
      <c r="D853" s="65" t="str">
        <f>vlookup(C853,'Classificação p pessoal'!F:G,2,false)</f>
        <v/>
      </c>
      <c r="E853" s="65" t="s">
        <v>573</v>
      </c>
      <c r="F853" s="83">
        <v>0.5</v>
      </c>
      <c r="G853" s="83">
        <v>0.5625</v>
      </c>
      <c r="H853" s="83">
        <v>0.0625</v>
      </c>
      <c r="I853" s="84">
        <v>44449.0</v>
      </c>
      <c r="J853" s="65" t="b">
        <v>1</v>
      </c>
      <c r="K853" s="65"/>
      <c r="L853" s="85" t="b">
        <f>IF(VLOOKUP(C853,Projetos!A:L,12,false)=TRUE,TRUE,FALSE)</f>
        <v>1</v>
      </c>
      <c r="M853" s="74">
        <v>31.02923620430495</v>
      </c>
      <c r="N853" s="74">
        <f t="shared" si="1"/>
        <v>46.54385431</v>
      </c>
      <c r="O853" s="74" t="b">
        <v>1</v>
      </c>
    </row>
    <row r="854" hidden="1">
      <c r="A854" s="82"/>
      <c r="B854" s="65" t="s">
        <v>495</v>
      </c>
      <c r="C854" s="65" t="s">
        <v>92</v>
      </c>
      <c r="D854" s="65" t="str">
        <f>vlookup(C854,'Classificação p pessoal'!F:G,2,false)</f>
        <v/>
      </c>
      <c r="E854" s="65" t="s">
        <v>574</v>
      </c>
      <c r="F854" s="83">
        <v>0.4166666666666667</v>
      </c>
      <c r="G854" s="83">
        <v>0.4583333333333333</v>
      </c>
      <c r="H854" s="83">
        <v>0.041666666666666664</v>
      </c>
      <c r="I854" s="84">
        <v>44294.0</v>
      </c>
      <c r="J854" s="65" t="b">
        <v>1</v>
      </c>
      <c r="K854" s="65"/>
      <c r="L854" s="85" t="b">
        <f>IF(VLOOKUP(C854,Projetos!A:L,12,false)=TRUE,TRUE,FALSE)</f>
        <v>1</v>
      </c>
      <c r="M854" s="74">
        <v>73.7079846079846</v>
      </c>
      <c r="N854" s="74">
        <f t="shared" si="1"/>
        <v>73.70798461</v>
      </c>
      <c r="O854" s="74" t="b">
        <v>1</v>
      </c>
    </row>
    <row r="855" hidden="1">
      <c r="A855" s="82"/>
      <c r="B855" s="65" t="s">
        <v>177</v>
      </c>
      <c r="C855" s="65" t="s">
        <v>92</v>
      </c>
      <c r="D855" s="65" t="str">
        <f>vlookup(C855,'Classificação p pessoal'!F:G,2,false)</f>
        <v/>
      </c>
      <c r="E855" s="65" t="s">
        <v>575</v>
      </c>
      <c r="F855" s="83">
        <v>0.4166666666666667</v>
      </c>
      <c r="G855" s="83">
        <v>0.5</v>
      </c>
      <c r="H855" s="83">
        <v>0.08333333333333333</v>
      </c>
      <c r="I855" s="84">
        <v>44463.0</v>
      </c>
      <c r="J855" s="65" t="b">
        <v>1</v>
      </c>
      <c r="K855" s="65"/>
      <c r="L855" s="85" t="b">
        <f>IF(VLOOKUP(C855,Projetos!A:L,12,false)=TRUE,TRUE,FALSE)</f>
        <v>1</v>
      </c>
      <c r="M855" s="74">
        <v>31.02923620430495</v>
      </c>
      <c r="N855" s="74">
        <f t="shared" si="1"/>
        <v>62.05847241</v>
      </c>
      <c r="O855" s="74" t="b">
        <v>1</v>
      </c>
    </row>
    <row r="856" hidden="1">
      <c r="A856" s="82"/>
      <c r="B856" s="65" t="s">
        <v>177</v>
      </c>
      <c r="C856" s="65" t="s">
        <v>92</v>
      </c>
      <c r="D856" s="65" t="str">
        <f>vlookup(C856,'Classificação p pessoal'!F:G,2,false)</f>
        <v/>
      </c>
      <c r="E856" s="65" t="s">
        <v>576</v>
      </c>
      <c r="F856" s="83">
        <v>0.5</v>
      </c>
      <c r="G856" s="83">
        <v>0.5833333333333334</v>
      </c>
      <c r="H856" s="83">
        <v>0.08333333333333333</v>
      </c>
      <c r="I856" s="84">
        <v>44463.0</v>
      </c>
      <c r="J856" s="65" t="b">
        <v>1</v>
      </c>
      <c r="K856" s="65"/>
      <c r="L856" s="85" t="b">
        <f>IF(VLOOKUP(C856,Projetos!A:L,12,false)=TRUE,TRUE,FALSE)</f>
        <v>1</v>
      </c>
      <c r="M856" s="74">
        <v>31.02923620430495</v>
      </c>
      <c r="N856" s="74">
        <f t="shared" si="1"/>
        <v>62.05847241</v>
      </c>
      <c r="O856" s="74" t="b">
        <v>1</v>
      </c>
    </row>
    <row r="857">
      <c r="A857" s="82"/>
      <c r="B857" s="65" t="s">
        <v>177</v>
      </c>
      <c r="C857" s="65" t="s">
        <v>108</v>
      </c>
      <c r="D857" s="65" t="str">
        <f>vlookup(C857,'Classificação p pessoal'!F:G,2,false)</f>
        <v>NP</v>
      </c>
      <c r="E857" s="65" t="s">
        <v>577</v>
      </c>
      <c r="F857" s="83">
        <v>0.5833333333333334</v>
      </c>
      <c r="G857" s="83">
        <v>0.6145833333333334</v>
      </c>
      <c r="H857" s="83">
        <v>0.03125</v>
      </c>
      <c r="I857" s="84">
        <v>44463.0</v>
      </c>
      <c r="J857" s="65" t="b">
        <v>1</v>
      </c>
      <c r="K857" s="65"/>
      <c r="L857" s="85" t="b">
        <f>IF(VLOOKUP(C857,Projetos!A:L,12,false)=TRUE,TRUE,FALSE)</f>
        <v>1</v>
      </c>
      <c r="M857" s="74">
        <v>31.02923620430495</v>
      </c>
      <c r="N857" s="74">
        <f t="shared" si="1"/>
        <v>23.27192715</v>
      </c>
      <c r="O857" s="74" t="b">
        <v>1</v>
      </c>
    </row>
    <row r="858" hidden="1">
      <c r="A858" s="82"/>
      <c r="B858" s="65" t="s">
        <v>177</v>
      </c>
      <c r="C858" s="65" t="s">
        <v>118</v>
      </c>
      <c r="D858" s="65"/>
      <c r="E858" s="65" t="s">
        <v>578</v>
      </c>
      <c r="F858" s="83">
        <v>0.34375</v>
      </c>
      <c r="G858" s="83">
        <v>0.3854166666666667</v>
      </c>
      <c r="H858" s="83">
        <v>0.041666666666666664</v>
      </c>
      <c r="I858" s="84">
        <v>44466.0</v>
      </c>
      <c r="J858" s="65" t="b">
        <v>0</v>
      </c>
      <c r="K858" s="65" t="s">
        <v>150</v>
      </c>
      <c r="L858" s="85" t="b">
        <f>IF(VLOOKUP(C858,Projetos!A:L,12,false)=TRUE,TRUE,FALSE)</f>
        <v>1</v>
      </c>
      <c r="M858" s="74">
        <v>31.02923620430495</v>
      </c>
      <c r="N858" s="74">
        <f t="shared" si="1"/>
        <v>0</v>
      </c>
      <c r="O858" s="74" t="b">
        <v>1</v>
      </c>
    </row>
    <row r="859" hidden="1">
      <c r="A859" s="82"/>
      <c r="B859" s="65" t="s">
        <v>177</v>
      </c>
      <c r="C859" s="65" t="s">
        <v>113</v>
      </c>
      <c r="D859" s="65" t="str">
        <f>vlookup(C859,'Classificação p pessoal'!F:G,2,false)</f>
        <v>NP</v>
      </c>
      <c r="E859" s="65" t="s">
        <v>579</v>
      </c>
      <c r="F859" s="83">
        <v>0.3854166666666667</v>
      </c>
      <c r="G859" s="83">
        <v>0.4375</v>
      </c>
      <c r="H859" s="83">
        <v>0.052083333333333336</v>
      </c>
      <c r="I859" s="84">
        <v>44466.0</v>
      </c>
      <c r="J859" s="65" t="b">
        <v>1</v>
      </c>
      <c r="K859" s="65"/>
      <c r="L859" s="85" t="b">
        <f>IF(VLOOKUP(C859,Projetos!A:L,12,false)=TRUE,TRUE,FALSE)</f>
        <v>1</v>
      </c>
      <c r="M859" s="74">
        <v>31.02923620430495</v>
      </c>
      <c r="N859" s="74">
        <f t="shared" si="1"/>
        <v>38.78654526</v>
      </c>
      <c r="O859" s="74" t="b">
        <v>1</v>
      </c>
    </row>
    <row r="860" hidden="1">
      <c r="A860" s="82"/>
      <c r="B860" s="65" t="s">
        <v>177</v>
      </c>
      <c r="C860" s="65" t="s">
        <v>101</v>
      </c>
      <c r="D860" s="65" t="str">
        <f>vlookup(C860,'Classificação p pessoal'!F:G,2,false)</f>
        <v>NP</v>
      </c>
      <c r="E860" s="65" t="s">
        <v>580</v>
      </c>
      <c r="F860" s="83">
        <v>0.4791666666666667</v>
      </c>
      <c r="G860" s="83">
        <v>0.5625</v>
      </c>
      <c r="H860" s="83">
        <v>0.08333333333333333</v>
      </c>
      <c r="I860" s="84">
        <v>44466.0</v>
      </c>
      <c r="J860" s="65" t="b">
        <v>1</v>
      </c>
      <c r="K860" s="65"/>
      <c r="L860" s="85" t="b">
        <f>IF(VLOOKUP(C860,Projetos!A:L,12,false)=TRUE,TRUE,FALSE)</f>
        <v>1</v>
      </c>
      <c r="M860" s="74">
        <v>31.02923620430495</v>
      </c>
      <c r="N860" s="74">
        <f t="shared" si="1"/>
        <v>62.05847241</v>
      </c>
      <c r="O860" s="74" t="b">
        <v>1</v>
      </c>
    </row>
    <row r="861" hidden="1">
      <c r="A861" s="82"/>
      <c r="B861" s="65" t="s">
        <v>177</v>
      </c>
      <c r="C861" s="65" t="s">
        <v>101</v>
      </c>
      <c r="D861" s="65" t="str">
        <f>vlookup(C861,'Classificação p pessoal'!F:G,2,false)</f>
        <v>NP</v>
      </c>
      <c r="E861" s="65" t="s">
        <v>581</v>
      </c>
      <c r="F861" s="83">
        <v>0.5625</v>
      </c>
      <c r="G861" s="83">
        <v>0.625</v>
      </c>
      <c r="H861" s="83">
        <v>0.0625</v>
      </c>
      <c r="I861" s="84">
        <v>44466.0</v>
      </c>
      <c r="J861" s="65" t="b">
        <v>1</v>
      </c>
      <c r="K861" s="65"/>
      <c r="L861" s="85" t="b">
        <f>IF(VLOOKUP(C861,Projetos!A:L,12,false)=TRUE,TRUE,FALSE)</f>
        <v>1</v>
      </c>
      <c r="M861" s="74">
        <v>31.02923620430495</v>
      </c>
      <c r="N861" s="74">
        <f t="shared" si="1"/>
        <v>46.54385431</v>
      </c>
      <c r="O861" s="74" t="b">
        <v>1</v>
      </c>
    </row>
    <row r="862" hidden="1">
      <c r="A862" s="82"/>
      <c r="B862" s="65" t="s">
        <v>177</v>
      </c>
      <c r="C862" s="65" t="s">
        <v>118</v>
      </c>
      <c r="D862" s="65" t="str">
        <f>vlookup(C862,'Classificação p pessoal'!F:G,2,false)</f>
        <v>MProduto</v>
      </c>
      <c r="E862" s="65" t="s">
        <v>582</v>
      </c>
      <c r="F862" s="83">
        <v>0.375</v>
      </c>
      <c r="G862" s="83">
        <v>0.40625</v>
      </c>
      <c r="H862" s="83">
        <v>0.03125</v>
      </c>
      <c r="I862" s="84">
        <v>44467.0</v>
      </c>
      <c r="J862" s="65" t="b">
        <v>1</v>
      </c>
      <c r="K862" s="65"/>
      <c r="L862" s="85" t="b">
        <f>IF(VLOOKUP(C862,Projetos!A:L,12,false)=TRUE,TRUE,FALSE)</f>
        <v>1</v>
      </c>
      <c r="M862" s="74">
        <v>31.02923620430495</v>
      </c>
      <c r="N862" s="74">
        <f t="shared" si="1"/>
        <v>23.27192715</v>
      </c>
      <c r="O862" s="74" t="b">
        <v>1</v>
      </c>
    </row>
    <row r="863" hidden="1">
      <c r="A863" s="82"/>
      <c r="B863" s="65" t="s">
        <v>177</v>
      </c>
      <c r="C863" s="65" t="s">
        <v>106</v>
      </c>
      <c r="D863" s="65" t="str">
        <f>vlookup(C863,'Classificação p pessoal'!F:G,2,false)</f>
        <v>MProcesso</v>
      </c>
      <c r="E863" s="65" t="s">
        <v>583</v>
      </c>
      <c r="F863" s="83">
        <v>0.4166666666666667</v>
      </c>
      <c r="G863" s="83">
        <v>0.4791666666666667</v>
      </c>
      <c r="H863" s="83">
        <v>0.0625</v>
      </c>
      <c r="I863" s="84">
        <v>44467.0</v>
      </c>
      <c r="J863" s="65" t="b">
        <v>1</v>
      </c>
      <c r="K863" s="65"/>
      <c r="L863" s="85" t="b">
        <f>IF(VLOOKUP(C863,Projetos!A:L,12,false)=TRUE,TRUE,FALSE)</f>
        <v>1</v>
      </c>
      <c r="M863" s="74">
        <v>31.02923620430495</v>
      </c>
      <c r="N863" s="74">
        <f t="shared" si="1"/>
        <v>46.54385431</v>
      </c>
      <c r="O863" s="74" t="b">
        <v>1</v>
      </c>
    </row>
    <row r="864">
      <c r="A864" s="82"/>
      <c r="B864" s="65" t="s">
        <v>177</v>
      </c>
      <c r="C864" s="65" t="s">
        <v>108</v>
      </c>
      <c r="D864" s="65" t="str">
        <f>vlookup(C864,'Classificação p pessoal'!F:G,2,false)</f>
        <v>NP</v>
      </c>
      <c r="E864" s="65" t="s">
        <v>584</v>
      </c>
      <c r="F864" s="83">
        <v>0.5833333333333334</v>
      </c>
      <c r="G864" s="83">
        <v>0.625</v>
      </c>
      <c r="H864" s="83">
        <v>0.041666666666666664</v>
      </c>
      <c r="I864" s="84">
        <v>44467.0</v>
      </c>
      <c r="J864" s="65" t="b">
        <v>1</v>
      </c>
      <c r="K864" s="65"/>
      <c r="L864" s="85" t="b">
        <f>IF(VLOOKUP(C864,Projetos!A:L,12,false)=TRUE,TRUE,FALSE)</f>
        <v>1</v>
      </c>
      <c r="M864" s="74">
        <v>31.02923620430495</v>
      </c>
      <c r="N864" s="74">
        <f t="shared" si="1"/>
        <v>31.0292362</v>
      </c>
      <c r="O864" s="74" t="b">
        <v>1</v>
      </c>
    </row>
    <row r="865" hidden="1">
      <c r="A865" s="82"/>
      <c r="B865" s="65" t="s">
        <v>177</v>
      </c>
      <c r="C865" s="65" t="s">
        <v>101</v>
      </c>
      <c r="D865" s="65" t="str">
        <f>vlookup(C865,'Classificação p pessoal'!F:G,2,false)</f>
        <v>NP</v>
      </c>
      <c r="E865" s="65" t="s">
        <v>585</v>
      </c>
      <c r="F865" s="83">
        <v>0.5</v>
      </c>
      <c r="G865" s="83">
        <v>0.53125</v>
      </c>
      <c r="H865" s="83">
        <v>0.03125</v>
      </c>
      <c r="I865" s="84">
        <v>44467.0</v>
      </c>
      <c r="J865" s="65" t="b">
        <v>1</v>
      </c>
      <c r="K865" s="65"/>
      <c r="L865" s="85" t="b">
        <f>IF(VLOOKUP(C865,Projetos!A:L,12,false)=TRUE,TRUE,FALSE)</f>
        <v>1</v>
      </c>
      <c r="M865" s="74">
        <v>31.02923620430495</v>
      </c>
      <c r="N865" s="74">
        <f t="shared" si="1"/>
        <v>23.27192715</v>
      </c>
      <c r="O865" s="74" t="b">
        <v>1</v>
      </c>
    </row>
    <row r="866" hidden="1">
      <c r="A866" s="82"/>
      <c r="B866" s="65" t="s">
        <v>177</v>
      </c>
      <c r="C866" s="65" t="s">
        <v>106</v>
      </c>
      <c r="D866" s="65"/>
      <c r="E866" s="65" t="s">
        <v>586</v>
      </c>
      <c r="F866" s="83">
        <v>0.4791666666666667</v>
      </c>
      <c r="G866" s="83">
        <v>0.5</v>
      </c>
      <c r="H866" s="83">
        <v>0.020833333333333332</v>
      </c>
      <c r="I866" s="84">
        <v>44467.0</v>
      </c>
      <c r="J866" s="65" t="b">
        <v>0</v>
      </c>
      <c r="K866" s="65" t="s">
        <v>150</v>
      </c>
      <c r="L866" s="85" t="b">
        <f>IF(VLOOKUP(C866,Projetos!A:L,12,false)=TRUE,TRUE,FALSE)</f>
        <v>1</v>
      </c>
      <c r="M866" s="74">
        <v>31.02923620430495</v>
      </c>
      <c r="N866" s="74">
        <f t="shared" si="1"/>
        <v>0</v>
      </c>
      <c r="O866" s="74" t="b">
        <v>1</v>
      </c>
    </row>
    <row r="867" hidden="1">
      <c r="A867" s="82"/>
      <c r="B867" s="65" t="s">
        <v>177</v>
      </c>
      <c r="C867" s="65" t="s">
        <v>100</v>
      </c>
      <c r="D867" s="65"/>
      <c r="E867" s="65" t="s">
        <v>587</v>
      </c>
      <c r="F867" s="83">
        <v>0.7083333333333334</v>
      </c>
      <c r="G867" s="83">
        <v>0.75</v>
      </c>
      <c r="H867" s="83">
        <v>0.041666666666666664</v>
      </c>
      <c r="I867" s="84">
        <v>44467.0</v>
      </c>
      <c r="J867" s="65" t="b">
        <v>0</v>
      </c>
      <c r="K867" s="65" t="s">
        <v>150</v>
      </c>
      <c r="L867" s="85" t="b">
        <f>IF(VLOOKUP(C867,Projetos!A:L,12,false)=TRUE,TRUE,FALSE)</f>
        <v>1</v>
      </c>
      <c r="M867" s="74">
        <v>31.02923620430495</v>
      </c>
      <c r="N867" s="74">
        <f t="shared" si="1"/>
        <v>0</v>
      </c>
      <c r="O867" s="74" t="b">
        <v>1</v>
      </c>
    </row>
    <row r="868" hidden="1">
      <c r="A868" s="82"/>
      <c r="B868" s="65" t="s">
        <v>177</v>
      </c>
      <c r="C868" s="65" t="s">
        <v>107</v>
      </c>
      <c r="D868" s="65" t="str">
        <f>vlookup(C868,'Classificação p pessoal'!F:G,2,false)</f>
        <v>NP</v>
      </c>
      <c r="E868" s="65" t="s">
        <v>588</v>
      </c>
      <c r="F868" s="83">
        <v>0.3333333333333333</v>
      </c>
      <c r="G868" s="83">
        <v>0.375</v>
      </c>
      <c r="H868" s="83">
        <v>0.041666666666666664</v>
      </c>
      <c r="I868" s="84">
        <v>44467.0</v>
      </c>
      <c r="J868" s="65" t="b">
        <v>1</v>
      </c>
      <c r="K868" s="65"/>
      <c r="L868" s="85" t="b">
        <f>IF(VLOOKUP(C868,Projetos!A:L,12,false)=TRUE,TRUE,FALSE)</f>
        <v>1</v>
      </c>
      <c r="M868" s="74">
        <v>31.02923620430495</v>
      </c>
      <c r="N868" s="74">
        <f t="shared" si="1"/>
        <v>31.0292362</v>
      </c>
      <c r="O868" s="74" t="b">
        <v>1</v>
      </c>
    </row>
    <row r="869" hidden="1">
      <c r="A869" s="82"/>
      <c r="B869" s="65" t="s">
        <v>177</v>
      </c>
      <c r="C869" s="65" t="s">
        <v>92</v>
      </c>
      <c r="D869" s="65"/>
      <c r="E869" s="65" t="s">
        <v>589</v>
      </c>
      <c r="F869" s="83">
        <v>0.6458333333333334</v>
      </c>
      <c r="G869" s="83">
        <v>0.6875</v>
      </c>
      <c r="H869" s="83">
        <v>0.041666666666666664</v>
      </c>
      <c r="I869" s="84">
        <v>44468.0</v>
      </c>
      <c r="J869" s="65" t="b">
        <v>0</v>
      </c>
      <c r="K869" s="65" t="s">
        <v>150</v>
      </c>
      <c r="L869" s="85" t="b">
        <f>IF(VLOOKUP(C869,Projetos!A:L,12,false)=TRUE,TRUE,FALSE)</f>
        <v>1</v>
      </c>
      <c r="M869" s="74">
        <v>31.02923620430495</v>
      </c>
      <c r="N869" s="74">
        <f t="shared" si="1"/>
        <v>0</v>
      </c>
      <c r="O869" s="74" t="b">
        <v>1</v>
      </c>
    </row>
    <row r="870" hidden="1">
      <c r="A870" s="82"/>
      <c r="B870" s="65" t="s">
        <v>495</v>
      </c>
      <c r="C870" s="65" t="s">
        <v>92</v>
      </c>
      <c r="D870" s="65" t="str">
        <f>vlookup(C870,'Classificação p pessoal'!F:G,2,false)</f>
        <v/>
      </c>
      <c r="E870" s="65" t="s">
        <v>590</v>
      </c>
      <c r="F870" s="83">
        <v>0.5972222222222222</v>
      </c>
      <c r="G870" s="83">
        <v>0.6666666666666666</v>
      </c>
      <c r="H870" s="83">
        <v>0.06944444444444445</v>
      </c>
      <c r="I870" s="84">
        <v>44281.0</v>
      </c>
      <c r="J870" s="65" t="b">
        <v>1</v>
      </c>
      <c r="K870" s="65"/>
      <c r="L870" s="85" t="b">
        <f>IF(VLOOKUP(C870,Projetos!A:L,12,false)=TRUE,TRUE,FALSE)</f>
        <v>1</v>
      </c>
      <c r="M870" s="74">
        <v>73.7079846079846</v>
      </c>
      <c r="N870" s="74">
        <f t="shared" si="1"/>
        <v>122.846641</v>
      </c>
      <c r="O870" s="74" t="b">
        <v>1</v>
      </c>
    </row>
    <row r="871" hidden="1">
      <c r="A871" s="82"/>
      <c r="B871" s="65" t="s">
        <v>177</v>
      </c>
      <c r="C871" s="65" t="s">
        <v>91</v>
      </c>
      <c r="D871" s="65" t="str">
        <f>vlookup(C871,'Classificação p pessoal'!F:G,2,false)</f>
        <v>NP</v>
      </c>
      <c r="E871" s="65" t="s">
        <v>591</v>
      </c>
      <c r="F871" s="83">
        <v>0.4583333333333333</v>
      </c>
      <c r="G871" s="83">
        <v>0.5416666666666666</v>
      </c>
      <c r="H871" s="83">
        <v>0.08333333333333333</v>
      </c>
      <c r="I871" s="84">
        <v>44468.0</v>
      </c>
      <c r="J871" s="65" t="b">
        <v>1</v>
      </c>
      <c r="K871" s="65"/>
      <c r="L871" s="85" t="b">
        <f>IF(VLOOKUP(C871,Projetos!A:L,12,false)=TRUE,TRUE,FALSE)</f>
        <v>1</v>
      </c>
      <c r="M871" s="74">
        <v>31.02923620430495</v>
      </c>
      <c r="N871" s="74">
        <f t="shared" si="1"/>
        <v>62.05847241</v>
      </c>
      <c r="O871" s="74" t="b">
        <v>1</v>
      </c>
    </row>
    <row r="872" hidden="1">
      <c r="A872" s="82"/>
      <c r="B872" s="65" t="s">
        <v>177</v>
      </c>
      <c r="C872" s="65" t="s">
        <v>130</v>
      </c>
      <c r="D872" s="65" t="str">
        <f>vlookup(C872,'Classificação p pessoal'!F:G,2,false)</f>
        <v>NP</v>
      </c>
      <c r="E872" s="65" t="s">
        <v>592</v>
      </c>
      <c r="F872" s="83">
        <v>0.3541666666666667</v>
      </c>
      <c r="G872" s="83">
        <v>0.5416666666666666</v>
      </c>
      <c r="H872" s="83">
        <v>0.1875</v>
      </c>
      <c r="I872" s="84">
        <v>44470.0</v>
      </c>
      <c r="J872" s="65" t="b">
        <v>1</v>
      </c>
      <c r="K872" s="65"/>
      <c r="L872" s="85" t="b">
        <f>IF(VLOOKUP(C872,Projetos!A:L,12,false)=TRUE,TRUE,FALSE)</f>
        <v>1</v>
      </c>
      <c r="M872" s="74">
        <v>31.02923620430495</v>
      </c>
      <c r="N872" s="74">
        <f t="shared" si="1"/>
        <v>139.6315629</v>
      </c>
      <c r="O872" s="74" t="b">
        <v>1</v>
      </c>
    </row>
    <row r="873" hidden="1">
      <c r="A873" s="82"/>
      <c r="B873" s="65" t="s">
        <v>177</v>
      </c>
      <c r="C873" s="65" t="s">
        <v>118</v>
      </c>
      <c r="D873" s="65"/>
      <c r="E873" s="65" t="s">
        <v>593</v>
      </c>
      <c r="F873" s="83">
        <v>0.4791666666666667</v>
      </c>
      <c r="G873" s="83">
        <v>0.5208333333333334</v>
      </c>
      <c r="H873" s="83">
        <v>0.041666666666666664</v>
      </c>
      <c r="I873" s="84">
        <v>44418.0</v>
      </c>
      <c r="J873" s="65" t="b">
        <v>0</v>
      </c>
      <c r="K873" s="65" t="s">
        <v>150</v>
      </c>
      <c r="L873" s="85" t="b">
        <f>IF(VLOOKUP(C873,Projetos!A:L,12,false)=TRUE,TRUE,FALSE)</f>
        <v>1</v>
      </c>
      <c r="M873" s="74">
        <v>31.02923620430495</v>
      </c>
      <c r="N873" s="74">
        <f t="shared" si="1"/>
        <v>0</v>
      </c>
      <c r="O873" s="74" t="b">
        <v>1</v>
      </c>
    </row>
    <row r="874" hidden="1">
      <c r="A874" s="82"/>
      <c r="B874" s="65" t="s">
        <v>177</v>
      </c>
      <c r="C874" s="65" t="s">
        <v>101</v>
      </c>
      <c r="D874" s="65" t="str">
        <f>vlookup(C874,'Classificação p pessoal'!F:G,2,false)</f>
        <v>NP</v>
      </c>
      <c r="E874" s="65" t="s">
        <v>594</v>
      </c>
      <c r="F874" s="83">
        <v>0.3541666666666667</v>
      </c>
      <c r="G874" s="83">
        <v>0.375</v>
      </c>
      <c r="H874" s="83">
        <v>0.020833333333333332</v>
      </c>
      <c r="I874" s="84">
        <v>44473.0</v>
      </c>
      <c r="J874" s="65" t="b">
        <v>1</v>
      </c>
      <c r="K874" s="65"/>
      <c r="L874" s="85" t="b">
        <f>IF(VLOOKUP(C874,Projetos!A:L,12,false)=TRUE,TRUE,FALSE)</f>
        <v>1</v>
      </c>
      <c r="M874" s="74">
        <v>31.02923620430495</v>
      </c>
      <c r="N874" s="74">
        <f t="shared" si="1"/>
        <v>15.5146181</v>
      </c>
      <c r="O874" s="74" t="b">
        <v>1</v>
      </c>
    </row>
    <row r="875" hidden="1">
      <c r="A875" s="82"/>
      <c r="B875" s="65" t="s">
        <v>177</v>
      </c>
      <c r="C875" s="65" t="s">
        <v>92</v>
      </c>
      <c r="D875" s="65" t="str">
        <f>vlookup(C875,'Classificação p pessoal'!F:G,2,false)</f>
        <v/>
      </c>
      <c r="E875" s="65" t="s">
        <v>595</v>
      </c>
      <c r="F875" s="83">
        <v>0.4375</v>
      </c>
      <c r="G875" s="83">
        <v>0.5</v>
      </c>
      <c r="H875" s="83">
        <v>0.0625</v>
      </c>
      <c r="I875" s="84">
        <v>44474.0</v>
      </c>
      <c r="J875" s="65" t="b">
        <v>1</v>
      </c>
      <c r="K875" s="65"/>
      <c r="L875" s="85" t="b">
        <f>IF(VLOOKUP(C875,Projetos!A:L,12,false)=TRUE,TRUE,FALSE)</f>
        <v>1</v>
      </c>
      <c r="M875" s="74">
        <v>31.02923620430495</v>
      </c>
      <c r="N875" s="74">
        <f t="shared" si="1"/>
        <v>46.54385431</v>
      </c>
      <c r="O875" s="74" t="b">
        <v>1</v>
      </c>
    </row>
    <row r="876" hidden="1">
      <c r="A876" s="82"/>
      <c r="B876" s="65" t="s">
        <v>177</v>
      </c>
      <c r="C876" s="65" t="s">
        <v>101</v>
      </c>
      <c r="D876" s="65" t="str">
        <f>vlookup(C876,'Classificação p pessoal'!F:G,2,false)</f>
        <v>NP</v>
      </c>
      <c r="E876" s="65" t="s">
        <v>596</v>
      </c>
      <c r="F876" s="83">
        <v>0.3541666666666667</v>
      </c>
      <c r="G876" s="83">
        <v>0.5416666666666666</v>
      </c>
      <c r="H876" s="83">
        <v>0.1875</v>
      </c>
      <c r="I876" s="84">
        <v>44525.0</v>
      </c>
      <c r="J876" s="65" t="b">
        <v>1</v>
      </c>
      <c r="K876" s="65"/>
      <c r="L876" s="85" t="b">
        <f>IF(VLOOKUP(C876,Projetos!A:L,12,false)=TRUE,TRUE,FALSE)</f>
        <v>1</v>
      </c>
      <c r="M876" s="74">
        <v>31.02923620430495</v>
      </c>
      <c r="N876" s="74">
        <f t="shared" si="1"/>
        <v>139.6315629</v>
      </c>
      <c r="O876" s="74" t="b">
        <v>1</v>
      </c>
    </row>
    <row r="877" hidden="1">
      <c r="A877" s="82"/>
      <c r="B877" s="65" t="s">
        <v>177</v>
      </c>
      <c r="C877" s="65" t="s">
        <v>99</v>
      </c>
      <c r="D877" s="65"/>
      <c r="E877" s="65" t="s">
        <v>597</v>
      </c>
      <c r="F877" s="83">
        <v>0.375</v>
      </c>
      <c r="G877" s="83">
        <v>0.4375</v>
      </c>
      <c r="H877" s="83">
        <v>0.0625</v>
      </c>
      <c r="I877" s="84">
        <v>44474.0</v>
      </c>
      <c r="J877" s="65" t="b">
        <v>0</v>
      </c>
      <c r="K877" s="65" t="s">
        <v>150</v>
      </c>
      <c r="L877" s="85" t="b">
        <f>IF(VLOOKUP(C877,Projetos!A:L,12,false)=TRUE,TRUE,FALSE)</f>
        <v>1</v>
      </c>
      <c r="M877" s="74">
        <v>31.02923620430495</v>
      </c>
      <c r="N877" s="74">
        <f t="shared" si="1"/>
        <v>0</v>
      </c>
      <c r="O877" s="74" t="b">
        <v>1</v>
      </c>
    </row>
    <row r="878" hidden="1">
      <c r="A878" s="82"/>
      <c r="B878" s="65" t="s">
        <v>177</v>
      </c>
      <c r="C878" s="65" t="s">
        <v>106</v>
      </c>
      <c r="D878" s="65" t="str">
        <f>vlookup(C878,'Classificação p pessoal'!F:G,2,false)</f>
        <v>MProcesso</v>
      </c>
      <c r="E878" s="65" t="s">
        <v>598</v>
      </c>
      <c r="F878" s="83">
        <v>0.5694444444444444</v>
      </c>
      <c r="G878" s="83">
        <v>0.5833333333333334</v>
      </c>
      <c r="H878" s="83">
        <v>0.013888888888888888</v>
      </c>
      <c r="I878" s="84">
        <v>44474.0</v>
      </c>
      <c r="J878" s="65" t="b">
        <v>1</v>
      </c>
      <c r="K878" s="65"/>
      <c r="L878" s="85" t="b">
        <f>IF(VLOOKUP(C878,Projetos!A:L,12,false)=TRUE,TRUE,FALSE)</f>
        <v>1</v>
      </c>
      <c r="M878" s="74">
        <v>31.02923620430495</v>
      </c>
      <c r="N878" s="74">
        <f t="shared" si="1"/>
        <v>10.34307873</v>
      </c>
      <c r="O878" s="74" t="b">
        <v>1</v>
      </c>
    </row>
    <row r="879">
      <c r="A879" s="82"/>
      <c r="B879" s="65" t="s">
        <v>177</v>
      </c>
      <c r="C879" s="65" t="s">
        <v>108</v>
      </c>
      <c r="D879" s="65" t="str">
        <f>vlookup(C879,'Classificação p pessoal'!F:G,2,false)</f>
        <v>NP</v>
      </c>
      <c r="E879" s="65" t="s">
        <v>599</v>
      </c>
      <c r="F879" s="83">
        <v>0.5833333333333334</v>
      </c>
      <c r="G879" s="83">
        <v>0.6145833333333334</v>
      </c>
      <c r="H879" s="83">
        <v>0.03125</v>
      </c>
      <c r="I879" s="84">
        <v>44474.0</v>
      </c>
      <c r="J879" s="65" t="b">
        <v>1</v>
      </c>
      <c r="K879" s="65"/>
      <c r="L879" s="85" t="b">
        <f>IF(VLOOKUP(C879,Projetos!A:L,12,false)=TRUE,TRUE,FALSE)</f>
        <v>1</v>
      </c>
      <c r="M879" s="74">
        <v>31.02923620430495</v>
      </c>
      <c r="N879" s="74">
        <f t="shared" si="1"/>
        <v>23.27192715</v>
      </c>
      <c r="O879" s="74" t="b">
        <v>1</v>
      </c>
    </row>
    <row r="880" hidden="1">
      <c r="A880" s="82"/>
      <c r="B880" s="65" t="s">
        <v>177</v>
      </c>
      <c r="C880" s="65" t="s">
        <v>130</v>
      </c>
      <c r="D880" s="65" t="str">
        <f>vlookup(C880,'Classificação p pessoal'!F:G,2,false)</f>
        <v>NP</v>
      </c>
      <c r="E880" s="65" t="s">
        <v>600</v>
      </c>
      <c r="F880" s="83">
        <v>0.5625</v>
      </c>
      <c r="G880" s="83">
        <v>0.75</v>
      </c>
      <c r="H880" s="83">
        <v>0.1875</v>
      </c>
      <c r="I880" s="84">
        <v>44475.0</v>
      </c>
      <c r="J880" s="65" t="b">
        <v>1</v>
      </c>
      <c r="K880" s="65"/>
      <c r="L880" s="85" t="b">
        <f>IF(VLOOKUP(C880,Projetos!A:L,12,false)=TRUE,TRUE,FALSE)</f>
        <v>1</v>
      </c>
      <c r="M880" s="74">
        <v>31.02923620430495</v>
      </c>
      <c r="N880" s="74">
        <f t="shared" si="1"/>
        <v>139.6315629</v>
      </c>
      <c r="O880" s="74" t="b">
        <v>1</v>
      </c>
    </row>
    <row r="881" hidden="1">
      <c r="A881" s="82"/>
      <c r="B881" s="65" t="s">
        <v>177</v>
      </c>
      <c r="C881" s="65" t="s">
        <v>106</v>
      </c>
      <c r="D881" s="65" t="str">
        <f>vlookup(C881,'Classificação p pessoal'!F:G,2,false)</f>
        <v>MProcesso</v>
      </c>
      <c r="E881" s="65" t="s">
        <v>601</v>
      </c>
      <c r="F881" s="83">
        <v>0.6666666666666666</v>
      </c>
      <c r="G881" s="83">
        <v>0.7708333333333334</v>
      </c>
      <c r="H881" s="83">
        <v>0.10416666666666667</v>
      </c>
      <c r="I881" s="84">
        <v>44476.0</v>
      </c>
      <c r="J881" s="65" t="b">
        <v>1</v>
      </c>
      <c r="K881" s="65"/>
      <c r="L881" s="85" t="b">
        <f>IF(VLOOKUP(C881,Projetos!A:L,12,false)=TRUE,TRUE,FALSE)</f>
        <v>1</v>
      </c>
      <c r="M881" s="74">
        <v>31.02923620430495</v>
      </c>
      <c r="N881" s="74">
        <f t="shared" si="1"/>
        <v>77.57309051</v>
      </c>
      <c r="O881" s="74" t="b">
        <v>1</v>
      </c>
    </row>
    <row r="882" hidden="1">
      <c r="A882" s="82"/>
      <c r="B882" s="65" t="s">
        <v>177</v>
      </c>
      <c r="C882" s="65" t="s">
        <v>120</v>
      </c>
      <c r="D882" s="65"/>
      <c r="E882" s="65" t="s">
        <v>602</v>
      </c>
      <c r="F882" s="83">
        <v>0.5833333333333334</v>
      </c>
      <c r="G882" s="83">
        <v>0.6666666666666666</v>
      </c>
      <c r="H882" s="83">
        <v>0.08333333333333333</v>
      </c>
      <c r="I882" s="84">
        <v>44476.0</v>
      </c>
      <c r="J882" s="65" t="b">
        <v>0</v>
      </c>
      <c r="K882" s="65" t="s">
        <v>150</v>
      </c>
      <c r="L882" s="85" t="b">
        <f>IF(VLOOKUP(C882,Projetos!A:L,12,false)=TRUE,TRUE,FALSE)</f>
        <v>0</v>
      </c>
      <c r="M882" s="74">
        <v>31.02923620430495</v>
      </c>
      <c r="N882" s="74">
        <f t="shared" si="1"/>
        <v>0</v>
      </c>
      <c r="O882" s="74" t="b">
        <v>0</v>
      </c>
    </row>
    <row r="883" hidden="1">
      <c r="A883" s="82"/>
      <c r="B883" s="65" t="s">
        <v>177</v>
      </c>
      <c r="C883" s="65" t="s">
        <v>92</v>
      </c>
      <c r="D883" s="65" t="str">
        <f>vlookup(C883,'Classificação p pessoal'!F:G,2,false)</f>
        <v/>
      </c>
      <c r="E883" s="65" t="s">
        <v>603</v>
      </c>
      <c r="F883" s="83">
        <v>0.3541666666666667</v>
      </c>
      <c r="G883" s="83">
        <v>0.375</v>
      </c>
      <c r="H883" s="83">
        <v>0.020833333333333332</v>
      </c>
      <c r="I883" s="84">
        <v>44509.0</v>
      </c>
      <c r="J883" s="65" t="b">
        <v>1</v>
      </c>
      <c r="K883" s="65"/>
      <c r="L883" s="85" t="b">
        <f>IF(VLOOKUP(C883,Projetos!A:L,12,false)=TRUE,TRUE,FALSE)</f>
        <v>1</v>
      </c>
      <c r="M883" s="74">
        <v>31.02923620430495</v>
      </c>
      <c r="N883" s="74">
        <f t="shared" si="1"/>
        <v>15.5146181</v>
      </c>
      <c r="O883" s="74" t="b">
        <v>1</v>
      </c>
    </row>
    <row r="884" hidden="1">
      <c r="A884" s="82"/>
      <c r="B884" s="65" t="s">
        <v>177</v>
      </c>
      <c r="C884" s="65" t="s">
        <v>101</v>
      </c>
      <c r="D884" s="65" t="str">
        <f>vlookup(C884,'Classificação p pessoal'!F:G,2,false)</f>
        <v>NP</v>
      </c>
      <c r="E884" s="65" t="s">
        <v>604</v>
      </c>
      <c r="F884" s="83">
        <v>0.3958333333333333</v>
      </c>
      <c r="G884" s="83">
        <v>0.4166666666666667</v>
      </c>
      <c r="H884" s="83">
        <v>0.020833333333333332</v>
      </c>
      <c r="I884" s="84">
        <v>44477.0</v>
      </c>
      <c r="J884" s="65" t="b">
        <v>1</v>
      </c>
      <c r="K884" s="65"/>
      <c r="L884" s="85" t="b">
        <f>IF(VLOOKUP(C884,Projetos!A:L,12,false)=TRUE,TRUE,FALSE)</f>
        <v>1</v>
      </c>
      <c r="M884" s="74">
        <v>31.02923620430495</v>
      </c>
      <c r="N884" s="74">
        <f t="shared" si="1"/>
        <v>15.5146181</v>
      </c>
      <c r="O884" s="74" t="b">
        <v>1</v>
      </c>
    </row>
    <row r="885" hidden="1">
      <c r="A885" s="82"/>
      <c r="B885" s="65" t="s">
        <v>177</v>
      </c>
      <c r="C885" s="65" t="s">
        <v>106</v>
      </c>
      <c r="D885" s="65" t="str">
        <f>vlookup(C885,'Classificação p pessoal'!F:G,2,false)</f>
        <v>MProcesso</v>
      </c>
      <c r="E885" s="65" t="s">
        <v>605</v>
      </c>
      <c r="F885" s="83">
        <v>0.3958333333333333</v>
      </c>
      <c r="G885" s="83">
        <v>0.4166666666666667</v>
      </c>
      <c r="H885" s="83">
        <v>0.020833333333333332</v>
      </c>
      <c r="I885" s="84">
        <v>44480.0</v>
      </c>
      <c r="J885" s="65" t="b">
        <v>1</v>
      </c>
      <c r="K885" s="65"/>
      <c r="L885" s="85" t="b">
        <f>IF(VLOOKUP(C885,Projetos!A:L,12,false)=TRUE,TRUE,FALSE)</f>
        <v>1</v>
      </c>
      <c r="M885" s="74">
        <v>31.02923620430495</v>
      </c>
      <c r="N885" s="74">
        <f t="shared" si="1"/>
        <v>15.5146181</v>
      </c>
      <c r="O885" s="74" t="b">
        <v>1</v>
      </c>
    </row>
    <row r="886" hidden="1">
      <c r="A886" s="82"/>
      <c r="B886" s="65" t="s">
        <v>177</v>
      </c>
      <c r="C886" s="65" t="s">
        <v>106</v>
      </c>
      <c r="D886" s="65" t="str">
        <f>vlookup(C886,'Classificação p pessoal'!F:G,2,false)</f>
        <v>MProcesso</v>
      </c>
      <c r="E886" s="65" t="s">
        <v>606</v>
      </c>
      <c r="F886" s="83">
        <v>0.4375</v>
      </c>
      <c r="G886" s="83">
        <v>0.4583333333333333</v>
      </c>
      <c r="H886" s="83">
        <v>0.020833333333333332</v>
      </c>
      <c r="I886" s="84">
        <v>44480.0</v>
      </c>
      <c r="J886" s="65" t="b">
        <v>1</v>
      </c>
      <c r="K886" s="65"/>
      <c r="L886" s="85" t="b">
        <f>IF(VLOOKUP(C886,Projetos!A:L,12,false)=TRUE,TRUE,FALSE)</f>
        <v>1</v>
      </c>
      <c r="M886" s="74">
        <v>31.02923620430495</v>
      </c>
      <c r="N886" s="74">
        <f t="shared" si="1"/>
        <v>15.5146181</v>
      </c>
      <c r="O886" s="74" t="b">
        <v>1</v>
      </c>
    </row>
    <row r="887" hidden="1">
      <c r="A887" s="82"/>
      <c r="B887" s="65" t="s">
        <v>177</v>
      </c>
      <c r="C887" s="65" t="s">
        <v>130</v>
      </c>
      <c r="D887" s="65"/>
      <c r="E887" s="65" t="s">
        <v>607</v>
      </c>
      <c r="F887" s="83">
        <v>0.3958333333333333</v>
      </c>
      <c r="G887" s="83">
        <v>0.4375</v>
      </c>
      <c r="H887" s="83">
        <v>0.041666666666666664</v>
      </c>
      <c r="I887" s="84">
        <v>44482.0</v>
      </c>
      <c r="J887" s="65" t="b">
        <v>0</v>
      </c>
      <c r="K887" s="65" t="s">
        <v>150</v>
      </c>
      <c r="L887" s="85" t="b">
        <f>IF(VLOOKUP(C887,Projetos!A:L,12,false)=TRUE,TRUE,FALSE)</f>
        <v>1</v>
      </c>
      <c r="M887" s="74">
        <v>31.02923620430495</v>
      </c>
      <c r="N887" s="74">
        <f t="shared" si="1"/>
        <v>0</v>
      </c>
      <c r="O887" s="74" t="b">
        <v>1</v>
      </c>
    </row>
    <row r="888" hidden="1">
      <c r="A888" s="82"/>
      <c r="B888" s="65" t="s">
        <v>177</v>
      </c>
      <c r="C888" s="65" t="s">
        <v>92</v>
      </c>
      <c r="D888" s="65" t="str">
        <f>vlookup(C888,'Classificação p pessoal'!F:G,2,false)</f>
        <v/>
      </c>
      <c r="E888" s="65" t="s">
        <v>608</v>
      </c>
      <c r="F888" s="83">
        <v>0.625</v>
      </c>
      <c r="G888" s="83">
        <v>0.6458333333333334</v>
      </c>
      <c r="H888" s="83">
        <v>0.020833333333333332</v>
      </c>
      <c r="I888" s="84">
        <v>44518.0</v>
      </c>
      <c r="J888" s="65" t="b">
        <v>1</v>
      </c>
      <c r="K888" s="65"/>
      <c r="L888" s="85" t="b">
        <f>IF(VLOOKUP(C888,Projetos!A:L,12,false)=TRUE,TRUE,FALSE)</f>
        <v>1</v>
      </c>
      <c r="M888" s="74">
        <v>31.02923620430495</v>
      </c>
      <c r="N888" s="74">
        <f t="shared" si="1"/>
        <v>15.5146181</v>
      </c>
      <c r="O888" s="74" t="b">
        <v>1</v>
      </c>
    </row>
    <row r="889" hidden="1">
      <c r="A889" s="82"/>
      <c r="B889" s="65" t="s">
        <v>177</v>
      </c>
      <c r="C889" s="65" t="s">
        <v>100</v>
      </c>
      <c r="D889" s="65"/>
      <c r="E889" s="65" t="s">
        <v>609</v>
      </c>
      <c r="F889" s="83">
        <v>0.4583333333333333</v>
      </c>
      <c r="G889" s="83">
        <v>0.4791666666666667</v>
      </c>
      <c r="H889" s="83">
        <v>0.020833333333333332</v>
      </c>
      <c r="I889" s="84">
        <v>44482.0</v>
      </c>
      <c r="J889" s="65" t="b">
        <v>0</v>
      </c>
      <c r="K889" s="65" t="s">
        <v>150</v>
      </c>
      <c r="L889" s="85" t="b">
        <f>IF(VLOOKUP(C889,Projetos!A:L,12,false)=TRUE,TRUE,FALSE)</f>
        <v>1</v>
      </c>
      <c r="M889" s="74">
        <v>31.02923620430495</v>
      </c>
      <c r="N889" s="74">
        <f t="shared" si="1"/>
        <v>0</v>
      </c>
      <c r="O889" s="74" t="b">
        <v>1</v>
      </c>
    </row>
    <row r="890" hidden="1">
      <c r="A890" s="82"/>
      <c r="B890" s="65" t="s">
        <v>177</v>
      </c>
      <c r="C890" s="65" t="s">
        <v>92</v>
      </c>
      <c r="D890" s="65" t="str">
        <f>vlookup(C890,'Classificação p pessoal'!F:G,2,false)</f>
        <v/>
      </c>
      <c r="E890" s="65" t="s">
        <v>610</v>
      </c>
      <c r="F890" s="83">
        <v>0.3541666666666667</v>
      </c>
      <c r="G890" s="83">
        <v>0.3958333333333333</v>
      </c>
      <c r="H890" s="83">
        <v>0.041666666666666664</v>
      </c>
      <c r="I890" s="84">
        <v>44483.0</v>
      </c>
      <c r="J890" s="65" t="b">
        <v>1</v>
      </c>
      <c r="K890" s="65"/>
      <c r="L890" s="85" t="b">
        <f>IF(VLOOKUP(C890,Projetos!A:L,12,false)=TRUE,TRUE,FALSE)</f>
        <v>1</v>
      </c>
      <c r="M890" s="74">
        <v>31.02923620430495</v>
      </c>
      <c r="N890" s="74">
        <f t="shared" si="1"/>
        <v>31.0292362</v>
      </c>
      <c r="O890" s="74" t="b">
        <v>1</v>
      </c>
    </row>
    <row r="891" hidden="1">
      <c r="A891" s="82"/>
      <c r="B891" s="65" t="s">
        <v>177</v>
      </c>
      <c r="C891" s="65" t="s">
        <v>101</v>
      </c>
      <c r="D891" s="65" t="str">
        <f>vlookup(C891,'Classificação p pessoal'!F:G,2,false)</f>
        <v>NP</v>
      </c>
      <c r="E891" s="65" t="s">
        <v>611</v>
      </c>
      <c r="F891" s="83">
        <v>0.3958333333333333</v>
      </c>
      <c r="G891" s="83">
        <v>0.4166666666666667</v>
      </c>
      <c r="H891" s="83">
        <v>0.020833333333333332</v>
      </c>
      <c r="I891" s="84">
        <v>44483.0</v>
      </c>
      <c r="J891" s="65" t="b">
        <v>1</v>
      </c>
      <c r="K891" s="65"/>
      <c r="L891" s="85" t="b">
        <f>IF(VLOOKUP(C891,Projetos!A:L,12,false)=TRUE,TRUE,FALSE)</f>
        <v>1</v>
      </c>
      <c r="M891" s="74">
        <v>31.02923620430495</v>
      </c>
      <c r="N891" s="74">
        <f t="shared" si="1"/>
        <v>15.5146181</v>
      </c>
      <c r="O891" s="74" t="b">
        <v>1</v>
      </c>
    </row>
    <row r="892" hidden="1">
      <c r="A892" s="82"/>
      <c r="B892" s="65" t="s">
        <v>177</v>
      </c>
      <c r="C892" s="65" t="s">
        <v>100</v>
      </c>
      <c r="D892" s="65" t="str">
        <f>vlookup(C892,'Classificação p pessoal'!F:G,2,false)</f>
        <v>NP</v>
      </c>
      <c r="E892" s="65" t="s">
        <v>612</v>
      </c>
      <c r="F892" s="83">
        <v>0.5208333333333334</v>
      </c>
      <c r="G892" s="83">
        <v>0.5416666666666666</v>
      </c>
      <c r="H892" s="83">
        <v>0.020833333333333332</v>
      </c>
      <c r="I892" s="84">
        <v>44546.0</v>
      </c>
      <c r="J892" s="65" t="b">
        <v>1</v>
      </c>
      <c r="K892" s="65"/>
      <c r="L892" s="85" t="b">
        <f>IF(VLOOKUP(C892,Projetos!A:L,12,false)=TRUE,TRUE,FALSE)</f>
        <v>1</v>
      </c>
      <c r="M892" s="74">
        <v>31.02923620430495</v>
      </c>
      <c r="N892" s="74">
        <f t="shared" si="1"/>
        <v>15.5146181</v>
      </c>
      <c r="O892" s="74" t="b">
        <v>1</v>
      </c>
    </row>
    <row r="893" hidden="1">
      <c r="A893" s="82"/>
      <c r="B893" s="65" t="s">
        <v>177</v>
      </c>
      <c r="C893" s="65" t="s">
        <v>106</v>
      </c>
      <c r="D893" s="65" t="str">
        <f>vlookup(C893,'Classificação p pessoal'!F:G,2,false)</f>
        <v>MProcesso</v>
      </c>
      <c r="E893" s="65" t="s">
        <v>613</v>
      </c>
      <c r="F893" s="83">
        <v>0.4375</v>
      </c>
      <c r="G893" s="83">
        <v>0.46875</v>
      </c>
      <c r="H893" s="83">
        <v>0.03125</v>
      </c>
      <c r="I893" s="84">
        <v>44425.0</v>
      </c>
      <c r="J893" s="65" t="b">
        <v>1</v>
      </c>
      <c r="K893" s="65"/>
      <c r="L893" s="85" t="b">
        <f>IF(VLOOKUP(C893,Projetos!A:L,12,false)=TRUE,TRUE,FALSE)</f>
        <v>1</v>
      </c>
      <c r="M893" s="74">
        <v>31.02923620430495</v>
      </c>
      <c r="N893" s="74">
        <f t="shared" si="1"/>
        <v>23.27192715</v>
      </c>
      <c r="O893" s="74" t="b">
        <v>1</v>
      </c>
    </row>
    <row r="894" hidden="1">
      <c r="A894" s="82"/>
      <c r="B894" s="65" t="s">
        <v>177</v>
      </c>
      <c r="C894" s="65" t="s">
        <v>88</v>
      </c>
      <c r="D894" s="65"/>
      <c r="E894" s="65" t="s">
        <v>614</v>
      </c>
      <c r="F894" s="83">
        <v>0.625</v>
      </c>
      <c r="G894" s="83">
        <v>0.6666666666666666</v>
      </c>
      <c r="H894" s="83">
        <v>0.041666666666666664</v>
      </c>
      <c r="I894" s="84">
        <v>44484.0</v>
      </c>
      <c r="J894" s="65" t="b">
        <v>0</v>
      </c>
      <c r="K894" s="65" t="s">
        <v>150</v>
      </c>
      <c r="L894" s="85" t="b">
        <f>IF(VLOOKUP(C894,Projetos!A:L,12,false)=TRUE,TRUE,FALSE)</f>
        <v>1</v>
      </c>
      <c r="M894" s="74">
        <v>31.02923620430495</v>
      </c>
      <c r="N894" s="74">
        <f t="shared" si="1"/>
        <v>0</v>
      </c>
      <c r="O894" s="74" t="b">
        <v>1</v>
      </c>
    </row>
    <row r="895" hidden="1">
      <c r="A895" s="82"/>
      <c r="B895" s="65" t="s">
        <v>177</v>
      </c>
      <c r="C895" s="65" t="s">
        <v>100</v>
      </c>
      <c r="D895" s="65"/>
      <c r="E895" s="65" t="s">
        <v>615</v>
      </c>
      <c r="F895" s="83">
        <v>0.375</v>
      </c>
      <c r="G895" s="83">
        <v>0.4166666666666667</v>
      </c>
      <c r="H895" s="83">
        <v>0.041666666666666664</v>
      </c>
      <c r="I895" s="84">
        <v>44518.0</v>
      </c>
      <c r="J895" s="65" t="b">
        <v>0</v>
      </c>
      <c r="K895" s="65" t="s">
        <v>150</v>
      </c>
      <c r="L895" s="85" t="b">
        <f>IF(VLOOKUP(C895,Projetos!A:L,12,false)=TRUE,TRUE,FALSE)</f>
        <v>1</v>
      </c>
      <c r="M895" s="74">
        <v>31.02923620430495</v>
      </c>
      <c r="N895" s="74">
        <f t="shared" si="1"/>
        <v>0</v>
      </c>
      <c r="O895" s="74" t="b">
        <v>1</v>
      </c>
    </row>
    <row r="896" hidden="1">
      <c r="A896" s="82"/>
      <c r="B896" s="65" t="s">
        <v>177</v>
      </c>
      <c r="C896" s="65" t="s">
        <v>117</v>
      </c>
      <c r="D896" s="65" t="str">
        <f>vlookup(C896,'Classificação p pessoal'!F:G,2,false)</f>
        <v>NP</v>
      </c>
      <c r="E896" s="65" t="s">
        <v>616</v>
      </c>
      <c r="F896" s="83">
        <v>0.6666666666666666</v>
      </c>
      <c r="G896" s="83">
        <v>0.6979166666666666</v>
      </c>
      <c r="H896" s="83">
        <v>0.03125</v>
      </c>
      <c r="I896" s="84">
        <v>44484.0</v>
      </c>
      <c r="J896" s="65" t="b">
        <v>1</v>
      </c>
      <c r="K896" s="65"/>
      <c r="L896" s="85" t="b">
        <f>IF(VLOOKUP(C896,Projetos!A:L,12,false)=TRUE,TRUE,FALSE)</f>
        <v>1</v>
      </c>
      <c r="M896" s="74">
        <v>31.02923620430495</v>
      </c>
      <c r="N896" s="74">
        <f t="shared" si="1"/>
        <v>23.27192715</v>
      </c>
      <c r="O896" s="74" t="b">
        <v>1</v>
      </c>
    </row>
    <row r="897" hidden="1">
      <c r="A897" s="82"/>
      <c r="B897" s="65" t="s">
        <v>177</v>
      </c>
      <c r="C897" s="65" t="s">
        <v>130</v>
      </c>
      <c r="D897" s="65" t="str">
        <f>vlookup(C897,'Classificação p pessoal'!F:G,2,false)</f>
        <v>NP</v>
      </c>
      <c r="E897" s="65" t="s">
        <v>617</v>
      </c>
      <c r="F897" s="83">
        <v>0.5416666666666666</v>
      </c>
      <c r="G897" s="83">
        <v>0.75</v>
      </c>
      <c r="H897" s="83">
        <v>0.20833333333333334</v>
      </c>
      <c r="I897" s="84">
        <v>44518.0</v>
      </c>
      <c r="J897" s="65" t="b">
        <v>1</v>
      </c>
      <c r="K897" s="65"/>
      <c r="L897" s="85" t="b">
        <f>IF(VLOOKUP(C897,Projetos!A:L,12,false)=TRUE,TRUE,FALSE)</f>
        <v>1</v>
      </c>
      <c r="M897" s="74">
        <v>31.02923620430495</v>
      </c>
      <c r="N897" s="74">
        <f t="shared" si="1"/>
        <v>155.146181</v>
      </c>
      <c r="O897" s="74" t="b">
        <v>1</v>
      </c>
    </row>
    <row r="898" hidden="1">
      <c r="A898" s="82"/>
      <c r="B898" s="65" t="s">
        <v>177</v>
      </c>
      <c r="C898" s="65" t="s">
        <v>91</v>
      </c>
      <c r="D898" s="65" t="str">
        <f>vlookup(C898,'Classificação p pessoal'!F:G,2,false)</f>
        <v>NP</v>
      </c>
      <c r="E898" s="65" t="s">
        <v>618</v>
      </c>
      <c r="F898" s="83">
        <v>0.3958333333333333</v>
      </c>
      <c r="G898" s="83">
        <v>0.4375</v>
      </c>
      <c r="H898" s="83">
        <v>0.041666666666666664</v>
      </c>
      <c r="I898" s="84">
        <v>44519.0</v>
      </c>
      <c r="J898" s="65" t="b">
        <v>1</v>
      </c>
      <c r="K898" s="65"/>
      <c r="L898" s="85" t="b">
        <f>IF(VLOOKUP(C898,Projetos!A:L,12,false)=TRUE,TRUE,FALSE)</f>
        <v>1</v>
      </c>
      <c r="M898" s="74">
        <v>31.02923620430495</v>
      </c>
      <c r="N898" s="74">
        <f t="shared" si="1"/>
        <v>31.0292362</v>
      </c>
      <c r="O898" s="74" t="b">
        <v>1</v>
      </c>
    </row>
    <row r="899" hidden="1">
      <c r="A899" s="82"/>
      <c r="B899" s="65" t="s">
        <v>177</v>
      </c>
      <c r="C899" s="65" t="s">
        <v>118</v>
      </c>
      <c r="D899" s="65" t="str">
        <f>vlookup(C899,'Classificação p pessoal'!F:G,2,false)</f>
        <v>MProduto</v>
      </c>
      <c r="E899" s="65" t="s">
        <v>619</v>
      </c>
      <c r="F899" s="83">
        <v>0.3541666666666667</v>
      </c>
      <c r="G899" s="83">
        <v>0.375</v>
      </c>
      <c r="H899" s="83">
        <v>0.020833333333333332</v>
      </c>
      <c r="I899" s="84">
        <v>44520.0</v>
      </c>
      <c r="J899" s="65" t="b">
        <v>1</v>
      </c>
      <c r="K899" s="65"/>
      <c r="L899" s="85" t="b">
        <f>IF(VLOOKUP(C899,Projetos!A:L,12,false)=TRUE,TRUE,FALSE)</f>
        <v>1</v>
      </c>
      <c r="M899" s="74">
        <v>31.02923620430495</v>
      </c>
      <c r="N899" s="74">
        <f t="shared" si="1"/>
        <v>15.5146181</v>
      </c>
      <c r="O899" s="74" t="b">
        <v>1</v>
      </c>
    </row>
    <row r="900" hidden="1">
      <c r="A900" s="82"/>
      <c r="B900" s="65" t="s">
        <v>177</v>
      </c>
      <c r="C900" s="65" t="s">
        <v>130</v>
      </c>
      <c r="D900" s="65" t="str">
        <f>vlookup(C900,'Classificação p pessoal'!F:G,2,false)</f>
        <v>NP</v>
      </c>
      <c r="E900" s="65" t="s">
        <v>620</v>
      </c>
      <c r="F900" s="83">
        <v>0.4166666666666667</v>
      </c>
      <c r="G900" s="83">
        <v>0.5</v>
      </c>
      <c r="H900" s="83">
        <v>0.08333333333333333</v>
      </c>
      <c r="I900" s="84">
        <v>44520.0</v>
      </c>
      <c r="J900" s="65" t="b">
        <v>1</v>
      </c>
      <c r="K900" s="65"/>
      <c r="L900" s="85" t="b">
        <f>IF(VLOOKUP(C900,Projetos!A:L,12,false)=TRUE,TRUE,FALSE)</f>
        <v>1</v>
      </c>
      <c r="M900" s="74">
        <v>31.02923620430495</v>
      </c>
      <c r="N900" s="74">
        <f t="shared" si="1"/>
        <v>62.05847241</v>
      </c>
      <c r="O900" s="74" t="b">
        <v>1</v>
      </c>
    </row>
    <row r="901" hidden="1">
      <c r="A901" s="82"/>
      <c r="B901" s="65" t="s">
        <v>177</v>
      </c>
      <c r="C901" s="65" t="s">
        <v>130</v>
      </c>
      <c r="D901" s="65" t="str">
        <f>vlookup(C901,'Classificação p pessoal'!F:G,2,false)</f>
        <v>NP</v>
      </c>
      <c r="E901" s="65" t="s">
        <v>621</v>
      </c>
      <c r="F901" s="83">
        <v>0.5</v>
      </c>
      <c r="G901" s="83">
        <v>0.5833333333333334</v>
      </c>
      <c r="H901" s="83">
        <v>0.08333333333333333</v>
      </c>
      <c r="I901" s="84">
        <v>44520.0</v>
      </c>
      <c r="J901" s="65" t="b">
        <v>1</v>
      </c>
      <c r="K901" s="65"/>
      <c r="L901" s="85" t="b">
        <f>IF(VLOOKUP(C901,Projetos!A:L,12,false)=TRUE,TRUE,FALSE)</f>
        <v>1</v>
      </c>
      <c r="M901" s="74">
        <v>31.02923620430495</v>
      </c>
      <c r="N901" s="74">
        <f t="shared" si="1"/>
        <v>62.05847241</v>
      </c>
      <c r="O901" s="74" t="b">
        <v>1</v>
      </c>
    </row>
    <row r="902" hidden="1">
      <c r="A902" s="82"/>
      <c r="B902" s="65" t="s">
        <v>177</v>
      </c>
      <c r="C902" s="65" t="s">
        <v>106</v>
      </c>
      <c r="D902" s="65" t="str">
        <f>vlookup(C902,'Classificação p pessoal'!F:G,2,false)</f>
        <v>MProcesso</v>
      </c>
      <c r="E902" s="65" t="s">
        <v>622</v>
      </c>
      <c r="F902" s="83">
        <v>0.5</v>
      </c>
      <c r="G902" s="83">
        <v>0.5277777777777778</v>
      </c>
      <c r="H902" s="83">
        <v>0.027777777777777776</v>
      </c>
      <c r="I902" s="84">
        <v>44474.0</v>
      </c>
      <c r="J902" s="65" t="b">
        <v>1</v>
      </c>
      <c r="K902" s="65"/>
      <c r="L902" s="85" t="b">
        <f>IF(VLOOKUP(C902,Projetos!A:L,12,false)=TRUE,TRUE,FALSE)</f>
        <v>1</v>
      </c>
      <c r="M902" s="74">
        <v>31.02923620430495</v>
      </c>
      <c r="N902" s="74">
        <f t="shared" si="1"/>
        <v>20.68615747</v>
      </c>
      <c r="O902" s="74" t="b">
        <v>1</v>
      </c>
    </row>
    <row r="903" hidden="1">
      <c r="A903" s="82"/>
      <c r="B903" s="65" t="s">
        <v>177</v>
      </c>
      <c r="C903" s="65" t="s">
        <v>101</v>
      </c>
      <c r="D903" s="65" t="str">
        <f>vlookup(C903,'Classificação p pessoal'!F:G,2,false)</f>
        <v>NP</v>
      </c>
      <c r="E903" s="65" t="s">
        <v>623</v>
      </c>
      <c r="F903" s="83">
        <v>0.3958333333333333</v>
      </c>
      <c r="G903" s="83">
        <v>0.4791666666666667</v>
      </c>
      <c r="H903" s="83">
        <v>0.08333333333333333</v>
      </c>
      <c r="I903" s="84">
        <v>44521.0</v>
      </c>
      <c r="J903" s="65" t="b">
        <v>1</v>
      </c>
      <c r="K903" s="65"/>
      <c r="L903" s="85" t="b">
        <f>IF(VLOOKUP(C903,Projetos!A:L,12,false)=TRUE,TRUE,FALSE)</f>
        <v>1</v>
      </c>
      <c r="M903" s="74">
        <v>31.02923620430495</v>
      </c>
      <c r="N903" s="74">
        <f t="shared" si="1"/>
        <v>62.05847241</v>
      </c>
      <c r="O903" s="74" t="b">
        <v>1</v>
      </c>
    </row>
    <row r="904" hidden="1">
      <c r="A904" s="82"/>
      <c r="B904" s="65" t="s">
        <v>177</v>
      </c>
      <c r="C904" s="65" t="s">
        <v>130</v>
      </c>
      <c r="D904" s="65" t="str">
        <f>vlookup(C904,'Classificação p pessoal'!F:G,2,false)</f>
        <v>NP</v>
      </c>
      <c r="E904" s="65" t="s">
        <v>624</v>
      </c>
      <c r="F904" s="83">
        <v>0.3541666666666667</v>
      </c>
      <c r="G904" s="83">
        <v>0.3958333333333333</v>
      </c>
      <c r="H904" s="83">
        <v>0.041666666666666664</v>
      </c>
      <c r="I904" s="84">
        <v>44521.0</v>
      </c>
      <c r="J904" s="65" t="b">
        <v>1</v>
      </c>
      <c r="K904" s="65"/>
      <c r="L904" s="85" t="b">
        <f>IF(VLOOKUP(C904,Projetos!A:L,12,false)=TRUE,TRUE,FALSE)</f>
        <v>1</v>
      </c>
      <c r="M904" s="74">
        <v>31.02923620430495</v>
      </c>
      <c r="N904" s="74">
        <f t="shared" si="1"/>
        <v>31.0292362</v>
      </c>
      <c r="O904" s="74" t="b">
        <v>1</v>
      </c>
    </row>
    <row r="905" hidden="1">
      <c r="A905" s="82"/>
      <c r="B905" s="65" t="s">
        <v>177</v>
      </c>
      <c r="C905" s="65" t="s">
        <v>118</v>
      </c>
      <c r="D905" s="65" t="str">
        <f>vlookup(C905,'Classificação p pessoal'!F:G,2,false)</f>
        <v>MProduto</v>
      </c>
      <c r="E905" s="65" t="s">
        <v>625</v>
      </c>
      <c r="F905" s="83">
        <v>0.4791666666666667</v>
      </c>
      <c r="G905" s="83">
        <v>0.5</v>
      </c>
      <c r="H905" s="83">
        <v>0.020833333333333332</v>
      </c>
      <c r="I905" s="84">
        <v>44521.0</v>
      </c>
      <c r="J905" s="65" t="b">
        <v>1</v>
      </c>
      <c r="K905" s="65"/>
      <c r="L905" s="85" t="b">
        <f>IF(VLOOKUP(C905,Projetos!A:L,12,false)=TRUE,TRUE,FALSE)</f>
        <v>1</v>
      </c>
      <c r="M905" s="74">
        <v>31.02923620430495</v>
      </c>
      <c r="N905" s="74">
        <f t="shared" si="1"/>
        <v>15.5146181</v>
      </c>
      <c r="O905" s="74" t="b">
        <v>1</v>
      </c>
    </row>
    <row r="906" hidden="1">
      <c r="A906" s="82"/>
      <c r="B906" s="65" t="s">
        <v>177</v>
      </c>
      <c r="C906" s="65" t="s">
        <v>101</v>
      </c>
      <c r="D906" s="65" t="str">
        <f>vlookup(C906,'Classificação p pessoal'!F:G,2,false)</f>
        <v>NP</v>
      </c>
      <c r="E906" s="65" t="s">
        <v>626</v>
      </c>
      <c r="F906" s="83">
        <v>0.3958333333333333</v>
      </c>
      <c r="G906" s="83">
        <v>0.4583333333333333</v>
      </c>
      <c r="H906" s="83">
        <v>0.0625</v>
      </c>
      <c r="I906" s="84">
        <v>44522.0</v>
      </c>
      <c r="J906" s="65" t="b">
        <v>1</v>
      </c>
      <c r="K906" s="65"/>
      <c r="L906" s="85" t="b">
        <f>IF(VLOOKUP(C906,Projetos!A:L,12,false)=TRUE,TRUE,FALSE)</f>
        <v>1</v>
      </c>
      <c r="M906" s="74">
        <v>31.02923620430495</v>
      </c>
      <c r="N906" s="74">
        <f t="shared" si="1"/>
        <v>46.54385431</v>
      </c>
      <c r="O906" s="74" t="b">
        <v>1</v>
      </c>
    </row>
    <row r="907" hidden="1">
      <c r="A907" s="82"/>
      <c r="B907" s="65" t="s">
        <v>177</v>
      </c>
      <c r="C907" s="65" t="s">
        <v>118</v>
      </c>
      <c r="D907" s="65"/>
      <c r="E907" s="65" t="s">
        <v>627</v>
      </c>
      <c r="F907" s="83">
        <v>0.5</v>
      </c>
      <c r="G907" s="83">
        <v>0.5416666666666666</v>
      </c>
      <c r="H907" s="83">
        <v>0.041666666666666664</v>
      </c>
      <c r="I907" s="84">
        <v>44522.0</v>
      </c>
      <c r="J907" s="65" t="b">
        <v>0</v>
      </c>
      <c r="K907" s="65" t="s">
        <v>150</v>
      </c>
      <c r="L907" s="85" t="b">
        <f>IF(VLOOKUP(C907,Projetos!A:L,12,false)=TRUE,TRUE,FALSE)</f>
        <v>1</v>
      </c>
      <c r="M907" s="74">
        <v>31.02923620430495</v>
      </c>
      <c r="N907" s="74">
        <f t="shared" si="1"/>
        <v>0</v>
      </c>
      <c r="O907" s="74" t="b">
        <v>1</v>
      </c>
    </row>
    <row r="908" hidden="1">
      <c r="A908" s="82"/>
      <c r="B908" s="65" t="s">
        <v>177</v>
      </c>
      <c r="C908" s="65" t="s">
        <v>118</v>
      </c>
      <c r="D908" s="65"/>
      <c r="E908" s="65" t="s">
        <v>627</v>
      </c>
      <c r="F908" s="83">
        <v>0.375</v>
      </c>
      <c r="G908" s="83">
        <v>0.4583333333333333</v>
      </c>
      <c r="H908" s="83">
        <v>0.08333333333333333</v>
      </c>
      <c r="I908" s="84">
        <v>44525.0</v>
      </c>
      <c r="J908" s="65" t="b">
        <v>0</v>
      </c>
      <c r="K908" s="65" t="s">
        <v>150</v>
      </c>
      <c r="L908" s="85" t="b">
        <f>IF(VLOOKUP(C908,Projetos!A:L,12,false)=TRUE,TRUE,FALSE)</f>
        <v>1</v>
      </c>
      <c r="M908" s="74">
        <v>31.02923620430495</v>
      </c>
      <c r="N908" s="74">
        <f t="shared" si="1"/>
        <v>0</v>
      </c>
      <c r="O908" s="74" t="b">
        <v>1</v>
      </c>
    </row>
    <row r="909" hidden="1">
      <c r="A909" s="82"/>
      <c r="B909" s="65" t="s">
        <v>177</v>
      </c>
      <c r="C909" s="65" t="s">
        <v>130</v>
      </c>
      <c r="D909" s="65" t="str">
        <f>vlookup(C909,'Classificação p pessoal'!F:G,2,false)</f>
        <v>NP</v>
      </c>
      <c r="E909" s="65" t="s">
        <v>628</v>
      </c>
      <c r="F909" s="83">
        <v>0.4583333333333333</v>
      </c>
      <c r="G909" s="83">
        <v>0.5208333333333334</v>
      </c>
      <c r="H909" s="83">
        <v>0.0625</v>
      </c>
      <c r="I909" s="84">
        <v>44525.0</v>
      </c>
      <c r="J909" s="65" t="b">
        <v>1</v>
      </c>
      <c r="K909" s="65"/>
      <c r="L909" s="85" t="b">
        <f>IF(VLOOKUP(C909,Projetos!A:L,12,false)=TRUE,TRUE,FALSE)</f>
        <v>1</v>
      </c>
      <c r="M909" s="74">
        <v>31.02923620430495</v>
      </c>
      <c r="N909" s="74">
        <f t="shared" si="1"/>
        <v>46.54385431</v>
      </c>
      <c r="O909" s="74" t="b">
        <v>1</v>
      </c>
    </row>
    <row r="910" hidden="1">
      <c r="A910" s="82"/>
      <c r="B910" s="65" t="s">
        <v>177</v>
      </c>
      <c r="C910" s="65" t="s">
        <v>118</v>
      </c>
      <c r="D910" s="65"/>
      <c r="E910" s="65" t="s">
        <v>629</v>
      </c>
      <c r="F910" s="83">
        <v>0.5833333333333334</v>
      </c>
      <c r="G910" s="83">
        <v>0.6041666666666666</v>
      </c>
      <c r="H910" s="83">
        <v>0.020833333333333332</v>
      </c>
      <c r="I910" s="84">
        <v>44525.0</v>
      </c>
      <c r="J910" s="65" t="b">
        <v>0</v>
      </c>
      <c r="K910" s="65" t="s">
        <v>150</v>
      </c>
      <c r="L910" s="85" t="b">
        <f>IF(VLOOKUP(C910,Projetos!A:L,12,false)=TRUE,TRUE,FALSE)</f>
        <v>1</v>
      </c>
      <c r="M910" s="74">
        <v>31.02923620430495</v>
      </c>
      <c r="N910" s="74">
        <f t="shared" si="1"/>
        <v>0</v>
      </c>
      <c r="O910" s="74" t="b">
        <v>1</v>
      </c>
    </row>
    <row r="911" hidden="1">
      <c r="A911" s="82"/>
      <c r="B911" s="65" t="s">
        <v>177</v>
      </c>
      <c r="C911" s="65" t="s">
        <v>118</v>
      </c>
      <c r="D911" s="65" t="str">
        <f>vlookup(C911,'Classificação p pessoal'!F:G,2,false)</f>
        <v>MProduto</v>
      </c>
      <c r="E911" s="65" t="s">
        <v>630</v>
      </c>
      <c r="F911" s="83">
        <v>0.375</v>
      </c>
      <c r="G911" s="83">
        <v>0.4166666666666667</v>
      </c>
      <c r="H911" s="83">
        <v>0.041666666666666664</v>
      </c>
      <c r="I911" s="84">
        <v>44526.0</v>
      </c>
      <c r="J911" s="65" t="b">
        <v>1</v>
      </c>
      <c r="K911" s="65"/>
      <c r="L911" s="85" t="b">
        <f>IF(VLOOKUP(C911,Projetos!A:L,12,false)=TRUE,TRUE,FALSE)</f>
        <v>1</v>
      </c>
      <c r="M911" s="74">
        <v>31.02923620430495</v>
      </c>
      <c r="N911" s="74">
        <f t="shared" si="1"/>
        <v>31.0292362</v>
      </c>
      <c r="O911" s="74" t="b">
        <v>1</v>
      </c>
    </row>
    <row r="912" hidden="1">
      <c r="A912" s="82"/>
      <c r="B912" s="65" t="s">
        <v>177</v>
      </c>
      <c r="C912" s="65" t="s">
        <v>91</v>
      </c>
      <c r="D912" s="65" t="str">
        <f>vlookup(C912,'Classificação p pessoal'!F:G,2,false)</f>
        <v>NP</v>
      </c>
      <c r="E912" s="65" t="s">
        <v>631</v>
      </c>
      <c r="F912" s="83">
        <v>0.6666666666666666</v>
      </c>
      <c r="G912" s="83">
        <v>0.7083333333333334</v>
      </c>
      <c r="H912" s="83">
        <v>0.041666666666666664</v>
      </c>
      <c r="I912" s="84">
        <v>44526.0</v>
      </c>
      <c r="J912" s="65" t="b">
        <v>1</v>
      </c>
      <c r="K912" s="65"/>
      <c r="L912" s="85" t="b">
        <f>IF(VLOOKUP(C912,Projetos!A:L,12,false)=TRUE,TRUE,FALSE)</f>
        <v>1</v>
      </c>
      <c r="M912" s="74">
        <v>31.02923620430495</v>
      </c>
      <c r="N912" s="74">
        <f t="shared" si="1"/>
        <v>31.0292362</v>
      </c>
      <c r="O912" s="74" t="b">
        <v>1</v>
      </c>
    </row>
    <row r="913" hidden="1">
      <c r="A913" s="82"/>
      <c r="B913" s="65" t="s">
        <v>177</v>
      </c>
      <c r="C913" s="65" t="s">
        <v>106</v>
      </c>
      <c r="D913" s="65" t="str">
        <f>vlookup(C913,'Classificação p pessoal'!F:G,2,false)</f>
        <v>MProcesso</v>
      </c>
      <c r="E913" s="65" t="s">
        <v>632</v>
      </c>
      <c r="F913" s="83">
        <v>0.3541666666666667</v>
      </c>
      <c r="G913" s="83">
        <v>0.3958333333333333</v>
      </c>
      <c r="H913" s="83">
        <v>0.041666666666666664</v>
      </c>
      <c r="I913" s="84">
        <v>44527.0</v>
      </c>
      <c r="J913" s="65" t="b">
        <v>1</v>
      </c>
      <c r="K913" s="65"/>
      <c r="L913" s="85" t="b">
        <f>IF(VLOOKUP(C913,Projetos!A:L,12,false)=TRUE,TRUE,FALSE)</f>
        <v>1</v>
      </c>
      <c r="M913" s="74">
        <v>31.02923620430495</v>
      </c>
      <c r="N913" s="74">
        <f t="shared" si="1"/>
        <v>31.0292362</v>
      </c>
      <c r="O913" s="74" t="b">
        <v>1</v>
      </c>
    </row>
    <row r="914" hidden="1">
      <c r="A914" s="82"/>
      <c r="B914" s="65" t="s">
        <v>177</v>
      </c>
      <c r="C914" s="65" t="s">
        <v>92</v>
      </c>
      <c r="D914" s="65" t="str">
        <f>vlookup(C914,'Classificação p pessoal'!F:G,2,false)</f>
        <v/>
      </c>
      <c r="E914" s="65" t="s">
        <v>633</v>
      </c>
      <c r="F914" s="83">
        <v>0.3958333333333333</v>
      </c>
      <c r="G914" s="83">
        <v>0.4375</v>
      </c>
      <c r="H914" s="83">
        <v>0.041666666666666664</v>
      </c>
      <c r="I914" s="84">
        <v>44527.0</v>
      </c>
      <c r="J914" s="65" t="b">
        <v>1</v>
      </c>
      <c r="K914" s="65"/>
      <c r="L914" s="85" t="b">
        <f>IF(VLOOKUP(C914,Projetos!A:L,12,false)=TRUE,TRUE,FALSE)</f>
        <v>1</v>
      </c>
      <c r="M914" s="74">
        <v>31.02923620430495</v>
      </c>
      <c r="N914" s="74">
        <f t="shared" si="1"/>
        <v>31.0292362</v>
      </c>
      <c r="O914" s="74" t="b">
        <v>1</v>
      </c>
    </row>
    <row r="915" hidden="1">
      <c r="A915" s="82"/>
      <c r="B915" s="65" t="s">
        <v>177</v>
      </c>
      <c r="C915" s="65" t="s">
        <v>118</v>
      </c>
      <c r="D915" s="65" t="str">
        <f>vlookup(C915,'Classificação p pessoal'!F:G,2,false)</f>
        <v>MProduto</v>
      </c>
      <c r="E915" s="65" t="s">
        <v>634</v>
      </c>
      <c r="F915" s="83">
        <v>0.4375</v>
      </c>
      <c r="G915" s="83">
        <v>0.5</v>
      </c>
      <c r="H915" s="83">
        <v>0.0625</v>
      </c>
      <c r="I915" s="84">
        <v>44527.0</v>
      </c>
      <c r="J915" s="65" t="b">
        <v>1</v>
      </c>
      <c r="K915" s="65"/>
      <c r="L915" s="85" t="b">
        <f>IF(VLOOKUP(C915,Projetos!A:L,12,false)=TRUE,TRUE,FALSE)</f>
        <v>1</v>
      </c>
      <c r="M915" s="74">
        <v>31.02923620430495</v>
      </c>
      <c r="N915" s="74">
        <f t="shared" si="1"/>
        <v>46.54385431</v>
      </c>
      <c r="O915" s="74" t="b">
        <v>1</v>
      </c>
    </row>
    <row r="916" hidden="1">
      <c r="A916" s="82"/>
      <c r="B916" s="65" t="s">
        <v>177</v>
      </c>
      <c r="C916" s="65" t="s">
        <v>92</v>
      </c>
      <c r="D916" s="65" t="str">
        <f>vlookup(C916,'Classificação p pessoal'!F:G,2,false)</f>
        <v/>
      </c>
      <c r="E916" s="65" t="s">
        <v>635</v>
      </c>
      <c r="F916" s="83">
        <v>0.5416666666666666</v>
      </c>
      <c r="G916" s="83">
        <v>0.625</v>
      </c>
      <c r="H916" s="83">
        <v>0.08333333333333333</v>
      </c>
      <c r="I916" s="84">
        <v>44527.0</v>
      </c>
      <c r="J916" s="65" t="b">
        <v>1</v>
      </c>
      <c r="K916" s="65"/>
      <c r="L916" s="85" t="b">
        <f>IF(VLOOKUP(C916,Projetos!A:L,12,false)=TRUE,TRUE,FALSE)</f>
        <v>1</v>
      </c>
      <c r="M916" s="74">
        <v>31.02923620430495</v>
      </c>
      <c r="N916" s="74">
        <f t="shared" si="1"/>
        <v>62.05847241</v>
      </c>
      <c r="O916" s="74" t="b">
        <v>1</v>
      </c>
    </row>
    <row r="917" hidden="1">
      <c r="A917" s="82"/>
      <c r="B917" s="65" t="s">
        <v>177</v>
      </c>
      <c r="C917" s="65" t="s">
        <v>118</v>
      </c>
      <c r="D917" s="65"/>
      <c r="E917" s="65" t="s">
        <v>636</v>
      </c>
      <c r="F917" s="83">
        <v>0.625</v>
      </c>
      <c r="G917" s="83">
        <v>0.6666666666666666</v>
      </c>
      <c r="H917" s="83">
        <v>0.041666666666666664</v>
      </c>
      <c r="I917" s="84">
        <v>44527.0</v>
      </c>
      <c r="J917" s="65" t="b">
        <v>0</v>
      </c>
      <c r="K917" s="65"/>
      <c r="L917" s="85" t="b">
        <f>IF(VLOOKUP(C917,Projetos!A:L,12,false)=TRUE,TRUE,FALSE)</f>
        <v>1</v>
      </c>
      <c r="M917" s="74">
        <v>31.02923620430495</v>
      </c>
      <c r="N917" s="74">
        <f t="shared" si="1"/>
        <v>0</v>
      </c>
      <c r="O917" s="74" t="b">
        <v>1</v>
      </c>
    </row>
    <row r="918" hidden="1">
      <c r="A918" s="82"/>
      <c r="B918" s="65" t="s">
        <v>177</v>
      </c>
      <c r="C918" s="65" t="s">
        <v>92</v>
      </c>
      <c r="D918" s="65" t="str">
        <f>vlookup(C918,'Classificação p pessoal'!F:G,2,false)</f>
        <v/>
      </c>
      <c r="E918" s="65" t="s">
        <v>637</v>
      </c>
      <c r="F918" s="83">
        <v>0.3541666666666667</v>
      </c>
      <c r="G918" s="83">
        <v>0.3958333333333333</v>
      </c>
      <c r="H918" s="83">
        <v>0.041666666666666664</v>
      </c>
      <c r="I918" s="84">
        <v>44528.0</v>
      </c>
      <c r="J918" s="65" t="b">
        <v>1</v>
      </c>
      <c r="K918" s="65"/>
      <c r="L918" s="85" t="b">
        <f>IF(VLOOKUP(C918,Projetos!A:L,12,false)=TRUE,TRUE,FALSE)</f>
        <v>1</v>
      </c>
      <c r="M918" s="74">
        <v>31.02923620430495</v>
      </c>
      <c r="N918" s="74">
        <f t="shared" si="1"/>
        <v>31.0292362</v>
      </c>
      <c r="O918" s="74" t="b">
        <v>1</v>
      </c>
    </row>
    <row r="919" hidden="1">
      <c r="A919" s="82"/>
      <c r="B919" s="65" t="s">
        <v>177</v>
      </c>
      <c r="C919" s="65" t="s">
        <v>100</v>
      </c>
      <c r="D919" s="65" t="str">
        <f>vlookup(C919,'Classificação p pessoal'!F:G,2,false)</f>
        <v>NP</v>
      </c>
      <c r="E919" s="65" t="s">
        <v>638</v>
      </c>
      <c r="F919" s="83">
        <v>0.6875</v>
      </c>
      <c r="G919" s="83">
        <v>0.7291666666666666</v>
      </c>
      <c r="H919" s="83">
        <v>0.041666666666666664</v>
      </c>
      <c r="I919" s="84">
        <v>44528.0</v>
      </c>
      <c r="J919" s="65" t="b">
        <v>1</v>
      </c>
      <c r="K919" s="65"/>
      <c r="L919" s="85" t="b">
        <f>IF(VLOOKUP(C919,Projetos!A:L,12,false)=TRUE,TRUE,FALSE)</f>
        <v>1</v>
      </c>
      <c r="M919" s="74">
        <v>31.02923620430495</v>
      </c>
      <c r="N919" s="74">
        <f t="shared" si="1"/>
        <v>31.0292362</v>
      </c>
      <c r="O919" s="74" t="b">
        <v>1</v>
      </c>
    </row>
    <row r="920" hidden="1">
      <c r="A920" s="82"/>
      <c r="B920" s="65" t="s">
        <v>177</v>
      </c>
      <c r="C920" s="65" t="s">
        <v>118</v>
      </c>
      <c r="D920" s="65"/>
      <c r="E920" s="65" t="s">
        <v>639</v>
      </c>
      <c r="F920" s="83">
        <v>0.7291666666666666</v>
      </c>
      <c r="G920" s="83">
        <v>0.75</v>
      </c>
      <c r="H920" s="83">
        <v>0.020833333333333332</v>
      </c>
      <c r="I920" s="84">
        <v>44528.0</v>
      </c>
      <c r="J920" s="65" t="b">
        <v>0</v>
      </c>
      <c r="K920" s="65"/>
      <c r="L920" s="85" t="b">
        <f>IF(VLOOKUP(C920,Projetos!A:L,12,false)=TRUE,TRUE,FALSE)</f>
        <v>1</v>
      </c>
      <c r="M920" s="74">
        <v>31.02923620430495</v>
      </c>
      <c r="N920" s="74">
        <f t="shared" si="1"/>
        <v>0</v>
      </c>
      <c r="O920" s="74" t="b">
        <v>1</v>
      </c>
    </row>
    <row r="921" hidden="1">
      <c r="A921" s="82"/>
      <c r="B921" s="65" t="s">
        <v>177</v>
      </c>
      <c r="C921" s="65" t="s">
        <v>130</v>
      </c>
      <c r="D921" s="65" t="str">
        <f>vlookup(C921,'Classificação p pessoal'!F:G,2,false)</f>
        <v>NP</v>
      </c>
      <c r="E921" s="65" t="s">
        <v>640</v>
      </c>
      <c r="F921" s="83">
        <v>0.3541666666666667</v>
      </c>
      <c r="G921" s="83">
        <v>0.5833333333333334</v>
      </c>
      <c r="H921" s="83">
        <v>0.22916666666666666</v>
      </c>
      <c r="I921" s="84">
        <v>44529.0</v>
      </c>
      <c r="J921" s="65" t="b">
        <v>1</v>
      </c>
      <c r="K921" s="65"/>
      <c r="L921" s="85" t="b">
        <f>IF(VLOOKUP(C921,Projetos!A:L,12,false)=TRUE,TRUE,FALSE)</f>
        <v>1</v>
      </c>
      <c r="M921" s="74">
        <v>31.02923620430495</v>
      </c>
      <c r="N921" s="74">
        <f t="shared" si="1"/>
        <v>170.6607991</v>
      </c>
      <c r="O921" s="74" t="b">
        <v>1</v>
      </c>
    </row>
    <row r="922" hidden="1">
      <c r="A922" s="82"/>
      <c r="B922" s="65" t="s">
        <v>177</v>
      </c>
      <c r="C922" s="65" t="s">
        <v>118</v>
      </c>
      <c r="D922" s="65" t="str">
        <f>vlookup(C922,'Classificação p pessoal'!F:G,2,false)</f>
        <v>MProduto</v>
      </c>
      <c r="E922" s="65" t="s">
        <v>641</v>
      </c>
      <c r="F922" s="83">
        <v>0.5833333333333334</v>
      </c>
      <c r="G922" s="83">
        <v>0.625</v>
      </c>
      <c r="H922" s="83">
        <v>0.041666666666666664</v>
      </c>
      <c r="I922" s="84">
        <v>44529.0</v>
      </c>
      <c r="J922" s="65" t="b">
        <v>1</v>
      </c>
      <c r="K922" s="65"/>
      <c r="L922" s="85" t="b">
        <f>IF(VLOOKUP(C922,Projetos!A:L,12,false)=TRUE,TRUE,FALSE)</f>
        <v>1</v>
      </c>
      <c r="M922" s="74">
        <v>31.02923620430495</v>
      </c>
      <c r="N922" s="74">
        <f t="shared" si="1"/>
        <v>31.0292362</v>
      </c>
      <c r="O922" s="74" t="b">
        <v>1</v>
      </c>
    </row>
    <row r="923" hidden="1">
      <c r="A923" s="82"/>
      <c r="B923" s="65" t="s">
        <v>177</v>
      </c>
      <c r="C923" s="65" t="s">
        <v>91</v>
      </c>
      <c r="D923" s="65" t="str">
        <f>vlookup(C923,'Classificação p pessoal'!F:G,2,false)</f>
        <v>NP</v>
      </c>
      <c r="E923" s="65" t="s">
        <v>642</v>
      </c>
      <c r="F923" s="83">
        <v>0.5416666666666666</v>
      </c>
      <c r="G923" s="83">
        <v>0.75</v>
      </c>
      <c r="H923" s="83">
        <v>0.20833333333333334</v>
      </c>
      <c r="I923" s="84">
        <v>44503.0</v>
      </c>
      <c r="J923" s="65" t="b">
        <v>1</v>
      </c>
      <c r="K923" s="65"/>
      <c r="L923" s="85" t="b">
        <f>IF(VLOOKUP(C923,Projetos!A:L,12,false)=TRUE,TRUE,FALSE)</f>
        <v>1</v>
      </c>
      <c r="M923" s="74">
        <v>31.02923620430495</v>
      </c>
      <c r="N923" s="74">
        <f t="shared" si="1"/>
        <v>155.146181</v>
      </c>
      <c r="O923" s="74" t="b">
        <v>1</v>
      </c>
    </row>
    <row r="924" hidden="1">
      <c r="A924" s="82"/>
      <c r="B924" s="65" t="s">
        <v>177</v>
      </c>
      <c r="C924" s="65" t="s">
        <v>118</v>
      </c>
      <c r="D924" s="65" t="str">
        <f>vlookup(C924,'Classificação p pessoal'!F:G,2,false)</f>
        <v>MProduto</v>
      </c>
      <c r="E924" s="65" t="s">
        <v>643</v>
      </c>
      <c r="F924" s="83">
        <v>0.375</v>
      </c>
      <c r="G924" s="83">
        <v>0.4583333333333333</v>
      </c>
      <c r="H924" s="83">
        <v>0.08333333333333333</v>
      </c>
      <c r="I924" s="84">
        <v>44503.0</v>
      </c>
      <c r="J924" s="65" t="b">
        <v>1</v>
      </c>
      <c r="K924" s="65"/>
      <c r="L924" s="85" t="b">
        <f>IF(VLOOKUP(C924,Projetos!A:L,12,false)=TRUE,TRUE,FALSE)</f>
        <v>1</v>
      </c>
      <c r="M924" s="74">
        <v>31.02923620430495</v>
      </c>
      <c r="N924" s="74">
        <f t="shared" si="1"/>
        <v>62.05847241</v>
      </c>
      <c r="O924" s="74" t="b">
        <v>1</v>
      </c>
    </row>
    <row r="925" hidden="1">
      <c r="A925" s="82"/>
      <c r="B925" s="65" t="s">
        <v>177</v>
      </c>
      <c r="C925" s="65" t="s">
        <v>91</v>
      </c>
      <c r="D925" s="65" t="str">
        <f>vlookup(C925,'Classificação p pessoal'!F:G,2,false)</f>
        <v>NP</v>
      </c>
      <c r="E925" s="65" t="s">
        <v>644</v>
      </c>
      <c r="F925" s="83">
        <v>0.5416666666666666</v>
      </c>
      <c r="G925" s="83">
        <v>0.625</v>
      </c>
      <c r="H925" s="83">
        <v>0.08333333333333333</v>
      </c>
      <c r="I925" s="84">
        <v>44504.0</v>
      </c>
      <c r="J925" s="65" t="b">
        <v>1</v>
      </c>
      <c r="K925" s="65"/>
      <c r="L925" s="85" t="b">
        <f>IF(VLOOKUP(C925,Projetos!A:L,12,false)=TRUE,TRUE,FALSE)</f>
        <v>1</v>
      </c>
      <c r="M925" s="74">
        <v>31.02923620430495</v>
      </c>
      <c r="N925" s="74">
        <f t="shared" si="1"/>
        <v>62.05847241</v>
      </c>
      <c r="O925" s="74" t="b">
        <v>1</v>
      </c>
    </row>
    <row r="926" hidden="1">
      <c r="A926" s="82"/>
      <c r="B926" s="65" t="s">
        <v>177</v>
      </c>
      <c r="C926" s="65" t="s">
        <v>91</v>
      </c>
      <c r="D926" s="65" t="str">
        <f>vlookup(C926,'Classificação p pessoal'!F:G,2,false)</f>
        <v>NP</v>
      </c>
      <c r="E926" s="65" t="s">
        <v>645</v>
      </c>
      <c r="F926" s="83">
        <v>0.625</v>
      </c>
      <c r="G926" s="83">
        <v>0.7083333333333334</v>
      </c>
      <c r="H926" s="83">
        <v>0.08333333333333333</v>
      </c>
      <c r="I926" s="84">
        <v>44504.0</v>
      </c>
      <c r="J926" s="65" t="b">
        <v>1</v>
      </c>
      <c r="K926" s="65"/>
      <c r="L926" s="85" t="b">
        <f>IF(VLOOKUP(C926,Projetos!A:L,12,false)=TRUE,TRUE,FALSE)</f>
        <v>1</v>
      </c>
      <c r="M926" s="74">
        <v>31.02923620430495</v>
      </c>
      <c r="N926" s="74">
        <f t="shared" si="1"/>
        <v>62.05847241</v>
      </c>
      <c r="O926" s="74" t="b">
        <v>1</v>
      </c>
    </row>
    <row r="927" hidden="1">
      <c r="A927" s="82"/>
      <c r="B927" s="65" t="s">
        <v>177</v>
      </c>
      <c r="C927" s="65" t="s">
        <v>118</v>
      </c>
      <c r="D927" s="65" t="str">
        <f>vlookup(C927,'Classificação p pessoal'!F:G,2,false)</f>
        <v>MProduto</v>
      </c>
      <c r="E927" s="65" t="s">
        <v>646</v>
      </c>
      <c r="F927" s="83">
        <v>0.375</v>
      </c>
      <c r="G927" s="83">
        <v>0.3958333333333333</v>
      </c>
      <c r="H927" s="83">
        <v>0.020833333333333332</v>
      </c>
      <c r="I927" s="84">
        <v>44505.0</v>
      </c>
      <c r="J927" s="65" t="b">
        <v>1</v>
      </c>
      <c r="K927" s="65"/>
      <c r="L927" s="85" t="b">
        <f>IF(VLOOKUP(C927,Projetos!A:L,12,false)=TRUE,TRUE,FALSE)</f>
        <v>1</v>
      </c>
      <c r="M927" s="74">
        <v>31.02923620430495</v>
      </c>
      <c r="N927" s="74">
        <f t="shared" si="1"/>
        <v>15.5146181</v>
      </c>
      <c r="O927" s="74" t="b">
        <v>1</v>
      </c>
    </row>
    <row r="928" hidden="1">
      <c r="A928" s="82"/>
      <c r="B928" s="65" t="s">
        <v>177</v>
      </c>
      <c r="C928" s="65" t="s">
        <v>118</v>
      </c>
      <c r="D928" s="65" t="str">
        <f>vlookup(C928,'Classificação p pessoal'!F:G,2,false)</f>
        <v>MProduto</v>
      </c>
      <c r="E928" s="65" t="s">
        <v>647</v>
      </c>
      <c r="F928" s="83">
        <v>0.3958333333333333</v>
      </c>
      <c r="G928" s="83">
        <v>0.4166666666666667</v>
      </c>
      <c r="H928" s="83">
        <v>0.020833333333333332</v>
      </c>
      <c r="I928" s="84">
        <v>44505.0</v>
      </c>
      <c r="J928" s="65" t="b">
        <v>1</v>
      </c>
      <c r="K928" s="65"/>
      <c r="L928" s="85" t="b">
        <f>IF(VLOOKUP(C928,Projetos!A:L,12,false)=TRUE,TRUE,FALSE)</f>
        <v>1</v>
      </c>
      <c r="M928" s="74">
        <v>31.02923620430495</v>
      </c>
      <c r="N928" s="74">
        <f t="shared" si="1"/>
        <v>15.5146181</v>
      </c>
      <c r="O928" s="74" t="b">
        <v>1</v>
      </c>
    </row>
    <row r="929" hidden="1">
      <c r="A929" s="82"/>
      <c r="B929" s="65" t="s">
        <v>177</v>
      </c>
      <c r="C929" s="65" t="s">
        <v>130</v>
      </c>
      <c r="D929" s="65" t="str">
        <f>vlookup(C929,'Classificação p pessoal'!F:G,2,false)</f>
        <v>NP</v>
      </c>
      <c r="E929" s="65" t="s">
        <v>648</v>
      </c>
      <c r="F929" s="83">
        <v>0.4166666666666667</v>
      </c>
      <c r="G929" s="83">
        <v>0.4375</v>
      </c>
      <c r="H929" s="83">
        <v>0.020833333333333332</v>
      </c>
      <c r="I929" s="84">
        <v>44505.0</v>
      </c>
      <c r="J929" s="65" t="b">
        <v>1</v>
      </c>
      <c r="K929" s="65"/>
      <c r="L929" s="85" t="b">
        <f>IF(VLOOKUP(C929,Projetos!A:L,12,false)=TRUE,TRUE,FALSE)</f>
        <v>1</v>
      </c>
      <c r="M929" s="74">
        <v>31.02923620430495</v>
      </c>
      <c r="N929" s="74">
        <f t="shared" si="1"/>
        <v>15.5146181</v>
      </c>
      <c r="O929" s="74" t="b">
        <v>1</v>
      </c>
    </row>
    <row r="930" hidden="1">
      <c r="A930" s="82"/>
      <c r="B930" s="65" t="s">
        <v>177</v>
      </c>
      <c r="C930" s="65" t="s">
        <v>130</v>
      </c>
      <c r="D930" s="65" t="str">
        <f>vlookup(C930,'Classificação p pessoal'!F:G,2,false)</f>
        <v>NP</v>
      </c>
      <c r="E930" s="65" t="s">
        <v>649</v>
      </c>
      <c r="F930" s="83">
        <v>0.4375</v>
      </c>
      <c r="G930" s="83">
        <v>0.4583333333333333</v>
      </c>
      <c r="H930" s="83">
        <v>0.020833333333333332</v>
      </c>
      <c r="I930" s="84">
        <v>44505.0</v>
      </c>
      <c r="J930" s="65" t="b">
        <v>1</v>
      </c>
      <c r="K930" s="65"/>
      <c r="L930" s="85" t="b">
        <f>IF(VLOOKUP(C930,Projetos!A:L,12,false)=TRUE,TRUE,FALSE)</f>
        <v>1</v>
      </c>
      <c r="M930" s="74">
        <v>31.02923620430495</v>
      </c>
      <c r="N930" s="74">
        <f t="shared" si="1"/>
        <v>15.5146181</v>
      </c>
      <c r="O930" s="74" t="b">
        <v>1</v>
      </c>
    </row>
    <row r="931" hidden="1">
      <c r="A931" s="82"/>
      <c r="B931" s="65" t="s">
        <v>177</v>
      </c>
      <c r="C931" s="65" t="s">
        <v>100</v>
      </c>
      <c r="D931" s="65" t="str">
        <f>vlookup(C931,'Classificação p pessoal'!F:G,2,false)</f>
        <v>NP</v>
      </c>
      <c r="E931" s="65" t="s">
        <v>650</v>
      </c>
      <c r="F931" s="83">
        <v>0.3541666666666667</v>
      </c>
      <c r="G931" s="83">
        <v>0.375</v>
      </c>
      <c r="H931" s="83">
        <v>0.020833333333333332</v>
      </c>
      <c r="I931" s="84">
        <v>44508.0</v>
      </c>
      <c r="J931" s="65" t="b">
        <v>1</v>
      </c>
      <c r="K931" s="65"/>
      <c r="L931" s="85" t="b">
        <f>IF(VLOOKUP(C931,Projetos!A:L,12,false)=TRUE,TRUE,FALSE)</f>
        <v>1</v>
      </c>
      <c r="M931" s="74">
        <v>31.02923620430495</v>
      </c>
      <c r="N931" s="74">
        <f t="shared" si="1"/>
        <v>15.5146181</v>
      </c>
      <c r="O931" s="74" t="b">
        <v>1</v>
      </c>
    </row>
    <row r="932" hidden="1">
      <c r="A932" s="82"/>
      <c r="B932" s="65" t="s">
        <v>177</v>
      </c>
      <c r="C932" s="65" t="s">
        <v>92</v>
      </c>
      <c r="D932" s="65" t="str">
        <f>vlookup(C932,'Classificação p pessoal'!F:G,2,false)</f>
        <v/>
      </c>
      <c r="E932" s="65" t="s">
        <v>651</v>
      </c>
      <c r="F932" s="83">
        <v>0.4791666666666667</v>
      </c>
      <c r="G932" s="83">
        <v>0.53125</v>
      </c>
      <c r="H932" s="83">
        <v>0.052083333333333336</v>
      </c>
      <c r="I932" s="84">
        <v>44509.0</v>
      </c>
      <c r="J932" s="65" t="b">
        <v>1</v>
      </c>
      <c r="K932" s="65"/>
      <c r="L932" s="85" t="b">
        <f>IF(VLOOKUP(C932,Projetos!A:L,12,false)=TRUE,TRUE,FALSE)</f>
        <v>1</v>
      </c>
      <c r="M932" s="74">
        <v>31.02923620430495</v>
      </c>
      <c r="N932" s="74">
        <f t="shared" si="1"/>
        <v>38.78654526</v>
      </c>
      <c r="O932" s="74" t="b">
        <v>1</v>
      </c>
    </row>
    <row r="933" hidden="1">
      <c r="A933" s="82"/>
      <c r="B933" s="65" t="s">
        <v>177</v>
      </c>
      <c r="C933" s="65" t="s">
        <v>118</v>
      </c>
      <c r="D933" s="65" t="str">
        <f>vlookup(C933,'Classificação p pessoal'!F:G,2,false)</f>
        <v>MProduto</v>
      </c>
      <c r="E933" s="65" t="s">
        <v>652</v>
      </c>
      <c r="F933" s="83">
        <v>0.375</v>
      </c>
      <c r="G933" s="83">
        <v>0.4166666666666667</v>
      </c>
      <c r="H933" s="83">
        <v>0.041666666666666664</v>
      </c>
      <c r="I933" s="84">
        <v>44509.0</v>
      </c>
      <c r="J933" s="65" t="b">
        <v>1</v>
      </c>
      <c r="K933" s="65"/>
      <c r="L933" s="85" t="b">
        <f>IF(VLOOKUP(C933,Projetos!A:L,12,false)=TRUE,TRUE,FALSE)</f>
        <v>1</v>
      </c>
      <c r="M933" s="74">
        <v>31.02923620430495</v>
      </c>
      <c r="N933" s="74">
        <f t="shared" si="1"/>
        <v>31.0292362</v>
      </c>
      <c r="O933" s="74" t="b">
        <v>1</v>
      </c>
    </row>
    <row r="934" hidden="1">
      <c r="A934" s="82"/>
      <c r="B934" s="65" t="s">
        <v>177</v>
      </c>
      <c r="C934" s="65" t="s">
        <v>118</v>
      </c>
      <c r="D934" s="65" t="str">
        <f>vlookup(C934,'Classificação p pessoal'!F:G,2,false)</f>
        <v>MProduto</v>
      </c>
      <c r="E934" s="65" t="s">
        <v>653</v>
      </c>
      <c r="F934" s="83">
        <v>0.4166666666666667</v>
      </c>
      <c r="G934" s="83">
        <v>0.4583333333333333</v>
      </c>
      <c r="H934" s="83">
        <v>0.041666666666666664</v>
      </c>
      <c r="I934" s="84">
        <v>44509.0</v>
      </c>
      <c r="J934" s="65" t="b">
        <v>1</v>
      </c>
      <c r="K934" s="65"/>
      <c r="L934" s="85" t="b">
        <f>IF(VLOOKUP(C934,Projetos!A:L,12,false)=TRUE,TRUE,FALSE)</f>
        <v>1</v>
      </c>
      <c r="M934" s="74">
        <v>31.02923620430495</v>
      </c>
      <c r="N934" s="74">
        <f t="shared" si="1"/>
        <v>31.0292362</v>
      </c>
      <c r="O934" s="74" t="b">
        <v>1</v>
      </c>
    </row>
    <row r="935">
      <c r="A935" s="82"/>
      <c r="B935" s="65" t="s">
        <v>177</v>
      </c>
      <c r="C935" s="65" t="s">
        <v>108</v>
      </c>
      <c r="D935" s="65" t="str">
        <f>vlookup(C935,'Classificação p pessoal'!F:G,2,false)</f>
        <v>NP</v>
      </c>
      <c r="E935" s="65" t="s">
        <v>654</v>
      </c>
      <c r="F935" s="83">
        <v>0.4583333333333333</v>
      </c>
      <c r="G935" s="83">
        <v>0.4791666666666667</v>
      </c>
      <c r="H935" s="83">
        <v>0.020833333333333332</v>
      </c>
      <c r="I935" s="84">
        <v>44509.0</v>
      </c>
      <c r="J935" s="65" t="b">
        <v>1</v>
      </c>
      <c r="K935" s="65"/>
      <c r="L935" s="85" t="b">
        <f>IF(VLOOKUP(C935,Projetos!A:L,12,false)=TRUE,TRUE,FALSE)</f>
        <v>1</v>
      </c>
      <c r="M935" s="74">
        <v>31.02923620430495</v>
      </c>
      <c r="N935" s="74">
        <f t="shared" si="1"/>
        <v>15.5146181</v>
      </c>
      <c r="O935" s="74" t="b">
        <v>1</v>
      </c>
    </row>
    <row r="936" hidden="1">
      <c r="A936" s="82"/>
      <c r="B936" s="65" t="s">
        <v>411</v>
      </c>
      <c r="C936" s="65" t="s">
        <v>92</v>
      </c>
      <c r="D936" s="65"/>
      <c r="E936" s="65" t="s">
        <v>655</v>
      </c>
      <c r="F936" s="83">
        <v>0.7083333333333334</v>
      </c>
      <c r="G936" s="83">
        <v>0.7291666666666666</v>
      </c>
      <c r="H936" s="83">
        <v>0.020833333333333332</v>
      </c>
      <c r="I936" s="84">
        <v>44295.0</v>
      </c>
      <c r="J936" s="65" t="b">
        <v>0</v>
      </c>
      <c r="K936" s="65" t="s">
        <v>150</v>
      </c>
      <c r="L936" s="85" t="b">
        <f>IF(VLOOKUP(C936,Projetos!A:L,12,false)=TRUE,TRUE,FALSE)</f>
        <v>1</v>
      </c>
      <c r="M936" s="74">
        <v>52.48434411075036</v>
      </c>
      <c r="N936" s="74">
        <f t="shared" si="1"/>
        <v>0</v>
      </c>
      <c r="O936" s="74" t="b">
        <v>1</v>
      </c>
    </row>
    <row r="937" hidden="1">
      <c r="A937" s="82"/>
      <c r="B937" s="65" t="s">
        <v>177</v>
      </c>
      <c r="C937" s="65" t="s">
        <v>92</v>
      </c>
      <c r="D937" s="65" t="str">
        <f>vlookup(C937,'Classificação p pessoal'!F:G,2,false)</f>
        <v/>
      </c>
      <c r="E937" s="65" t="s">
        <v>656</v>
      </c>
      <c r="F937" s="83">
        <v>0.5833333333333334</v>
      </c>
      <c r="G937" s="83">
        <v>0.6458333333333334</v>
      </c>
      <c r="H937" s="83">
        <v>0.0625</v>
      </c>
      <c r="I937" s="84">
        <v>44509.0</v>
      </c>
      <c r="J937" s="65" t="b">
        <v>1</v>
      </c>
      <c r="K937" s="65"/>
      <c r="L937" s="85" t="b">
        <f>IF(VLOOKUP(C937,Projetos!A:L,12,false)=TRUE,TRUE,FALSE)</f>
        <v>1</v>
      </c>
      <c r="M937" s="74">
        <v>31.02923620430495</v>
      </c>
      <c r="N937" s="74">
        <f t="shared" si="1"/>
        <v>46.54385431</v>
      </c>
      <c r="O937" s="74" t="b">
        <v>1</v>
      </c>
    </row>
    <row r="938">
      <c r="A938" s="82"/>
      <c r="B938" s="65" t="s">
        <v>177</v>
      </c>
      <c r="C938" s="65" t="s">
        <v>108</v>
      </c>
      <c r="D938" s="65" t="str">
        <f>vlookup(C938,'Classificação p pessoal'!F:G,2,false)</f>
        <v>NP</v>
      </c>
      <c r="E938" s="65" t="s">
        <v>657</v>
      </c>
      <c r="F938" s="83">
        <v>0.6458333333333334</v>
      </c>
      <c r="G938" s="83">
        <v>0.7083333333333334</v>
      </c>
      <c r="H938" s="83">
        <v>0.0625</v>
      </c>
      <c r="I938" s="84">
        <v>44509.0</v>
      </c>
      <c r="J938" s="65" t="b">
        <v>1</v>
      </c>
      <c r="K938" s="65"/>
      <c r="L938" s="85" t="b">
        <f>IF(VLOOKUP(C938,Projetos!A:L,12,false)=TRUE,TRUE,FALSE)</f>
        <v>1</v>
      </c>
      <c r="M938" s="74">
        <v>31.02923620430495</v>
      </c>
      <c r="N938" s="74">
        <f t="shared" si="1"/>
        <v>46.54385431</v>
      </c>
      <c r="O938" s="74" t="b">
        <v>1</v>
      </c>
    </row>
    <row r="939" hidden="1">
      <c r="A939" s="82"/>
      <c r="B939" s="65" t="s">
        <v>411</v>
      </c>
      <c r="C939" s="65" t="s">
        <v>88</v>
      </c>
      <c r="D939" s="65" t="str">
        <f>vlookup(C939,'Classificação p pessoal'!F:G,2,false)</f>
        <v>MProduto</v>
      </c>
      <c r="E939" s="65" t="s">
        <v>658</v>
      </c>
      <c r="F939" s="83">
        <v>0.4583333333333333</v>
      </c>
      <c r="G939" s="83">
        <v>0.5</v>
      </c>
      <c r="H939" s="83">
        <v>0.041666666666666664</v>
      </c>
      <c r="I939" s="84">
        <v>44214.0</v>
      </c>
      <c r="J939" s="65" t="b">
        <v>1</v>
      </c>
      <c r="K939" s="65"/>
      <c r="L939" s="85" t="b">
        <f>IF(VLOOKUP(C939,Projetos!A:L,12,false)=TRUE,TRUE,FALSE)</f>
        <v>1</v>
      </c>
      <c r="M939" s="74">
        <v>52.48434411075036</v>
      </c>
      <c r="N939" s="74">
        <f t="shared" si="1"/>
        <v>52.48434411</v>
      </c>
      <c r="O939" s="74" t="b">
        <v>1</v>
      </c>
    </row>
    <row r="940" hidden="1">
      <c r="A940" s="82"/>
      <c r="B940" s="65" t="s">
        <v>411</v>
      </c>
      <c r="C940" s="65" t="s">
        <v>92</v>
      </c>
      <c r="D940" s="65" t="str">
        <f>vlookup(C940,'Classificação p pessoal'!F:G,2,false)</f>
        <v/>
      </c>
      <c r="E940" s="65" t="s">
        <v>659</v>
      </c>
      <c r="F940" s="83">
        <v>0.7083333333333334</v>
      </c>
      <c r="G940" s="83">
        <v>0.7291666666666666</v>
      </c>
      <c r="H940" s="83">
        <v>0.020833333333333332</v>
      </c>
      <c r="I940" s="84">
        <v>44287.0</v>
      </c>
      <c r="J940" s="65" t="b">
        <v>1</v>
      </c>
      <c r="K940" s="65"/>
      <c r="L940" s="85" t="b">
        <f>IF(VLOOKUP(C940,Projetos!A:L,12,false)=TRUE,TRUE,FALSE)</f>
        <v>1</v>
      </c>
      <c r="M940" s="74">
        <v>52.48434411075036</v>
      </c>
      <c r="N940" s="74">
        <f t="shared" si="1"/>
        <v>26.24217206</v>
      </c>
      <c r="O940" s="74" t="b">
        <v>1</v>
      </c>
    </row>
    <row r="941" hidden="1">
      <c r="A941" s="82"/>
      <c r="B941" s="65" t="s">
        <v>177</v>
      </c>
      <c r="C941" s="65" t="s">
        <v>101</v>
      </c>
      <c r="D941" s="65"/>
      <c r="E941" s="65" t="s">
        <v>660</v>
      </c>
      <c r="F941" s="83">
        <v>0.3541666666666667</v>
      </c>
      <c r="G941" s="83">
        <v>0.5208333333333334</v>
      </c>
      <c r="H941" s="83">
        <v>0.16666666666666666</v>
      </c>
      <c r="I941" s="84">
        <v>44510.0</v>
      </c>
      <c r="J941" s="65" t="b">
        <v>0</v>
      </c>
      <c r="K941" s="65" t="s">
        <v>150</v>
      </c>
      <c r="L941" s="85" t="b">
        <f>IF(VLOOKUP(C941,Projetos!A:L,12,false)=TRUE,TRUE,FALSE)</f>
        <v>1</v>
      </c>
      <c r="M941" s="74">
        <v>31.02923620430495</v>
      </c>
      <c r="N941" s="74">
        <f t="shared" si="1"/>
        <v>0</v>
      </c>
      <c r="O941" s="74" t="b">
        <v>1</v>
      </c>
    </row>
    <row r="942" hidden="1">
      <c r="A942" s="82"/>
      <c r="B942" s="65" t="s">
        <v>177</v>
      </c>
      <c r="C942" s="65" t="s">
        <v>100</v>
      </c>
      <c r="D942" s="65"/>
      <c r="E942" s="65" t="s">
        <v>661</v>
      </c>
      <c r="F942" s="83">
        <v>0.5208333333333334</v>
      </c>
      <c r="G942" s="83">
        <v>0.5416666666666666</v>
      </c>
      <c r="H942" s="83">
        <v>0.020833333333333332</v>
      </c>
      <c r="I942" s="84">
        <v>44511.0</v>
      </c>
      <c r="J942" s="65" t="b">
        <v>0</v>
      </c>
      <c r="K942" s="65" t="s">
        <v>150</v>
      </c>
      <c r="L942" s="85" t="b">
        <f>IF(VLOOKUP(C942,Projetos!A:L,12,false)=TRUE,TRUE,FALSE)</f>
        <v>1</v>
      </c>
      <c r="M942" s="74">
        <v>31.02923620430495</v>
      </c>
      <c r="N942" s="74">
        <f t="shared" si="1"/>
        <v>0</v>
      </c>
      <c r="O942" s="74" t="b">
        <v>1</v>
      </c>
    </row>
    <row r="943" hidden="1">
      <c r="A943" s="82"/>
      <c r="B943" s="65" t="s">
        <v>177</v>
      </c>
      <c r="C943" s="65" t="s">
        <v>101</v>
      </c>
      <c r="D943" s="65" t="str">
        <f>vlookup(C943,'Classificação p pessoal'!F:G,2,false)</f>
        <v>NP</v>
      </c>
      <c r="E943" s="65" t="s">
        <v>662</v>
      </c>
      <c r="F943" s="83">
        <v>0.4375</v>
      </c>
      <c r="G943" s="83">
        <v>0.4583333333333333</v>
      </c>
      <c r="H943" s="83">
        <v>0.020833333333333332</v>
      </c>
      <c r="I943" s="84">
        <v>44512.0</v>
      </c>
      <c r="J943" s="65" t="b">
        <v>1</v>
      </c>
      <c r="K943" s="65"/>
      <c r="L943" s="85" t="b">
        <f>IF(VLOOKUP(C943,Projetos!A:L,12,false)=TRUE,TRUE,FALSE)</f>
        <v>1</v>
      </c>
      <c r="M943" s="74">
        <v>31.02923620430495</v>
      </c>
      <c r="N943" s="74">
        <f t="shared" si="1"/>
        <v>15.5146181</v>
      </c>
      <c r="O943" s="74" t="b">
        <v>1</v>
      </c>
    </row>
    <row r="944" hidden="1">
      <c r="A944" s="82"/>
      <c r="B944" s="65" t="s">
        <v>177</v>
      </c>
      <c r="C944" s="65" t="s">
        <v>88</v>
      </c>
      <c r="D944" s="65"/>
      <c r="E944" s="65" t="s">
        <v>663</v>
      </c>
      <c r="F944" s="83">
        <v>0.4583333333333333</v>
      </c>
      <c r="G944" s="83">
        <v>0.5</v>
      </c>
      <c r="H944" s="83">
        <v>0.041666666666666664</v>
      </c>
      <c r="I944" s="84">
        <v>44512.0</v>
      </c>
      <c r="J944" s="65" t="b">
        <v>0</v>
      </c>
      <c r="K944" s="65" t="s">
        <v>150</v>
      </c>
      <c r="L944" s="85" t="b">
        <f>IF(VLOOKUP(C944,Projetos!A:L,12,false)=TRUE,TRUE,FALSE)</f>
        <v>1</v>
      </c>
      <c r="M944" s="74">
        <v>31.02923620430495</v>
      </c>
      <c r="N944" s="74">
        <f t="shared" si="1"/>
        <v>0</v>
      </c>
      <c r="O944" s="74" t="b">
        <v>1</v>
      </c>
    </row>
    <row r="945" hidden="1">
      <c r="A945" s="82"/>
      <c r="B945" s="65" t="s">
        <v>495</v>
      </c>
      <c r="C945" s="65" t="s">
        <v>117</v>
      </c>
      <c r="D945" s="65" t="str">
        <f>vlookup(C945,'Classificação p pessoal'!F:G,2,false)</f>
        <v>NP</v>
      </c>
      <c r="E945" s="65" t="s">
        <v>664</v>
      </c>
      <c r="F945" s="83">
        <v>0.6666666666666666</v>
      </c>
      <c r="G945" s="83">
        <v>0.75</v>
      </c>
      <c r="H945" s="83">
        <v>0.08333333333333333</v>
      </c>
      <c r="I945" s="84">
        <v>44322.0</v>
      </c>
      <c r="J945" s="65" t="b">
        <v>1</v>
      </c>
      <c r="K945" s="65"/>
      <c r="L945" s="85" t="b">
        <f>IF(VLOOKUP(C945,Projetos!A:L,12,false)=TRUE,TRUE,FALSE)</f>
        <v>1</v>
      </c>
      <c r="M945" s="74">
        <v>73.7079846079846</v>
      </c>
      <c r="N945" s="74">
        <f t="shared" si="1"/>
        <v>147.4159692</v>
      </c>
      <c r="O945" s="74" t="b">
        <v>1</v>
      </c>
    </row>
    <row r="946" hidden="1">
      <c r="A946" s="82"/>
      <c r="B946" s="65" t="s">
        <v>469</v>
      </c>
      <c r="C946" s="65" t="s">
        <v>117</v>
      </c>
      <c r="D946" s="65" t="str">
        <f>vlookup(C946,'Classificação p pessoal'!F:G,2,false)</f>
        <v>NP</v>
      </c>
      <c r="E946" s="65" t="s">
        <v>665</v>
      </c>
      <c r="F946" s="83">
        <v>0.6458333333333334</v>
      </c>
      <c r="G946" s="83">
        <v>0.7152777777777778</v>
      </c>
      <c r="H946" s="83">
        <v>0.06944444444444445</v>
      </c>
      <c r="I946" s="84">
        <v>44407.0</v>
      </c>
      <c r="J946" s="65" t="b">
        <v>1</v>
      </c>
      <c r="K946" s="65"/>
      <c r="L946" s="85" t="b">
        <f>IF(VLOOKUP(C946,Projetos!A:L,12,false)=TRUE,TRUE,FALSE)</f>
        <v>1</v>
      </c>
      <c r="M946" s="74">
        <v>37.50928062469937</v>
      </c>
      <c r="N946" s="74">
        <f t="shared" si="1"/>
        <v>62.51546771</v>
      </c>
      <c r="O946" s="74" t="b">
        <v>1</v>
      </c>
    </row>
    <row r="947" hidden="1">
      <c r="A947" s="82"/>
      <c r="B947" s="65" t="s">
        <v>177</v>
      </c>
      <c r="C947" s="65" t="s">
        <v>118</v>
      </c>
      <c r="D947" s="65" t="str">
        <f>vlookup(C947,'Classificação p pessoal'!F:G,2,false)</f>
        <v>MProduto</v>
      </c>
      <c r="E947" s="65" t="s">
        <v>666</v>
      </c>
      <c r="F947" s="83">
        <v>0.3958333333333333</v>
      </c>
      <c r="G947" s="83">
        <v>0.4166666666666667</v>
      </c>
      <c r="H947" s="83">
        <v>0.020833333333333332</v>
      </c>
      <c r="I947" s="84">
        <v>44516.0</v>
      </c>
      <c r="J947" s="65" t="b">
        <v>1</v>
      </c>
      <c r="K947" s="65"/>
      <c r="L947" s="85" t="b">
        <f>IF(VLOOKUP(C947,Projetos!A:L,12,false)=TRUE,TRUE,FALSE)</f>
        <v>1</v>
      </c>
      <c r="M947" s="74">
        <v>31.02923620430495</v>
      </c>
      <c r="N947" s="74">
        <f t="shared" si="1"/>
        <v>15.5146181</v>
      </c>
      <c r="O947" s="74" t="b">
        <v>1</v>
      </c>
    </row>
    <row r="948">
      <c r="A948" s="82"/>
      <c r="B948" s="65" t="s">
        <v>177</v>
      </c>
      <c r="C948" s="65" t="s">
        <v>108</v>
      </c>
      <c r="D948" s="65" t="str">
        <f>vlookup(C948,'Classificação p pessoal'!F:G,2,false)</f>
        <v>NP</v>
      </c>
      <c r="E948" s="65" t="s">
        <v>667</v>
      </c>
      <c r="F948" s="83">
        <v>0.3541666666666667</v>
      </c>
      <c r="G948" s="83">
        <v>0.375</v>
      </c>
      <c r="H948" s="83">
        <v>0.020833333333333332</v>
      </c>
      <c r="I948" s="84">
        <v>44518.0</v>
      </c>
      <c r="J948" s="65" t="b">
        <v>1</v>
      </c>
      <c r="K948" s="65"/>
      <c r="L948" s="85" t="b">
        <f>IF(VLOOKUP(C948,Projetos!A:L,12,false)=TRUE,TRUE,FALSE)</f>
        <v>1</v>
      </c>
      <c r="M948" s="74">
        <v>31.02923620430495</v>
      </c>
      <c r="N948" s="74">
        <f t="shared" si="1"/>
        <v>15.5146181</v>
      </c>
      <c r="O948" s="74" t="b">
        <v>1</v>
      </c>
    </row>
    <row r="949">
      <c r="A949" s="82"/>
      <c r="B949" s="65" t="s">
        <v>177</v>
      </c>
      <c r="C949" s="65" t="s">
        <v>108</v>
      </c>
      <c r="D949" s="65" t="str">
        <f>vlookup(C949,'Classificação p pessoal'!F:G,2,false)</f>
        <v>NP</v>
      </c>
      <c r="E949" s="65" t="s">
        <v>668</v>
      </c>
      <c r="F949" s="83">
        <v>0.3333333333333333</v>
      </c>
      <c r="G949" s="83">
        <v>0.375</v>
      </c>
      <c r="H949" s="83">
        <v>0.041666666666666664</v>
      </c>
      <c r="I949" s="84">
        <v>44448.0</v>
      </c>
      <c r="J949" s="65" t="b">
        <v>1</v>
      </c>
      <c r="K949" s="65"/>
      <c r="L949" s="85" t="b">
        <f>IF(VLOOKUP(C949,Projetos!A:L,12,false)=TRUE,TRUE,FALSE)</f>
        <v>1</v>
      </c>
      <c r="M949" s="74">
        <v>31.02923620430495</v>
      </c>
      <c r="N949" s="74">
        <f t="shared" si="1"/>
        <v>31.0292362</v>
      </c>
      <c r="O949" s="74" t="b">
        <v>1</v>
      </c>
    </row>
    <row r="950" hidden="1">
      <c r="A950" s="82"/>
      <c r="B950" s="65" t="s">
        <v>469</v>
      </c>
      <c r="C950" s="65" t="s">
        <v>117</v>
      </c>
      <c r="D950" s="65"/>
      <c r="E950" s="65" t="s">
        <v>669</v>
      </c>
      <c r="F950" s="83">
        <v>0.4583333333333333</v>
      </c>
      <c r="G950" s="83">
        <v>0.4722222222222222</v>
      </c>
      <c r="H950" s="83">
        <v>0.013888888888888888</v>
      </c>
      <c r="I950" s="84">
        <v>44237.0</v>
      </c>
      <c r="J950" s="65" t="b">
        <v>0</v>
      </c>
      <c r="K950" s="65" t="s">
        <v>150</v>
      </c>
      <c r="L950" s="85" t="b">
        <f>IF(VLOOKUP(C950,Projetos!A:L,12,false)=TRUE,TRUE,FALSE)</f>
        <v>1</v>
      </c>
      <c r="M950" s="74">
        <v>37.50928062469937</v>
      </c>
      <c r="N950" s="74">
        <f t="shared" si="1"/>
        <v>0</v>
      </c>
      <c r="O950" s="74" t="b">
        <v>1</v>
      </c>
    </row>
    <row r="951" hidden="1">
      <c r="A951" s="82"/>
      <c r="B951" s="65" t="s">
        <v>177</v>
      </c>
      <c r="C951" s="65" t="s">
        <v>118</v>
      </c>
      <c r="D951" s="65" t="str">
        <f>vlookup(C951,'Classificação p pessoal'!F:G,2,false)</f>
        <v>MProduto</v>
      </c>
      <c r="E951" s="65" t="s">
        <v>670</v>
      </c>
      <c r="F951" s="83">
        <v>0.6458333333333334</v>
      </c>
      <c r="G951" s="83">
        <v>0.6666666666666666</v>
      </c>
      <c r="H951" s="83">
        <v>0.020833333333333332</v>
      </c>
      <c r="I951" s="84">
        <v>44518.0</v>
      </c>
      <c r="J951" s="65" t="b">
        <v>1</v>
      </c>
      <c r="K951" s="65"/>
      <c r="L951" s="85" t="b">
        <f>IF(VLOOKUP(C951,Projetos!A:L,12,false)=TRUE,TRUE,FALSE)</f>
        <v>1</v>
      </c>
      <c r="M951" s="74">
        <v>31.02923620430495</v>
      </c>
      <c r="N951" s="74">
        <f t="shared" si="1"/>
        <v>15.5146181</v>
      </c>
      <c r="O951" s="74" t="b">
        <v>1</v>
      </c>
    </row>
    <row r="952" hidden="1">
      <c r="A952" s="82"/>
      <c r="B952" s="65" t="s">
        <v>177</v>
      </c>
      <c r="C952" s="65" t="s">
        <v>92</v>
      </c>
      <c r="D952" s="65" t="str">
        <f>vlookup(C952,'Classificação p pessoal'!F:G,2,false)</f>
        <v/>
      </c>
      <c r="E952" s="65" t="s">
        <v>671</v>
      </c>
      <c r="F952" s="83">
        <v>0.6666666666666666</v>
      </c>
      <c r="G952" s="83">
        <v>0.6875</v>
      </c>
      <c r="H952" s="83">
        <v>0.020833333333333332</v>
      </c>
      <c r="I952" s="84">
        <v>44518.0</v>
      </c>
      <c r="J952" s="65" t="b">
        <v>1</v>
      </c>
      <c r="K952" s="65"/>
      <c r="L952" s="85" t="b">
        <f>IF(VLOOKUP(C952,Projetos!A:L,12,false)=TRUE,TRUE,FALSE)</f>
        <v>1</v>
      </c>
      <c r="M952" s="74">
        <v>31.02923620430495</v>
      </c>
      <c r="N952" s="74">
        <f t="shared" si="1"/>
        <v>15.5146181</v>
      </c>
      <c r="O952" s="74" t="b">
        <v>1</v>
      </c>
    </row>
    <row r="953" hidden="1">
      <c r="A953" s="82"/>
      <c r="B953" s="65" t="s">
        <v>177</v>
      </c>
      <c r="C953" s="65" t="s">
        <v>92</v>
      </c>
      <c r="D953" s="65" t="str">
        <f>vlookup(C953,'Classificação p pessoal'!F:G,2,false)</f>
        <v/>
      </c>
      <c r="E953" s="65" t="s">
        <v>672</v>
      </c>
      <c r="F953" s="83">
        <v>0.6875</v>
      </c>
      <c r="G953" s="83">
        <v>0.7083333333333334</v>
      </c>
      <c r="H953" s="83">
        <v>0.020833333333333332</v>
      </c>
      <c r="I953" s="84">
        <v>44518.0</v>
      </c>
      <c r="J953" s="65" t="b">
        <v>1</v>
      </c>
      <c r="K953" s="65"/>
      <c r="L953" s="85" t="b">
        <f>IF(VLOOKUP(C953,Projetos!A:L,12,false)=TRUE,TRUE,FALSE)</f>
        <v>1</v>
      </c>
      <c r="M953" s="74">
        <v>31.02923620430495</v>
      </c>
      <c r="N953" s="74">
        <f t="shared" si="1"/>
        <v>15.5146181</v>
      </c>
      <c r="O953" s="74" t="b">
        <v>1</v>
      </c>
    </row>
    <row r="954" hidden="1">
      <c r="A954" s="82"/>
      <c r="B954" s="65" t="s">
        <v>177</v>
      </c>
      <c r="C954" s="65" t="s">
        <v>92</v>
      </c>
      <c r="D954" s="65" t="str">
        <f>vlookup(C954,'Classificação p pessoal'!F:G,2,false)</f>
        <v/>
      </c>
      <c r="E954" s="65" t="s">
        <v>673</v>
      </c>
      <c r="F954" s="83">
        <v>0.7083333333333334</v>
      </c>
      <c r="G954" s="83">
        <v>0.7291666666666666</v>
      </c>
      <c r="H954" s="83">
        <v>0.020833333333333332</v>
      </c>
      <c r="I954" s="84">
        <v>44518.0</v>
      </c>
      <c r="J954" s="65" t="b">
        <v>1</v>
      </c>
      <c r="K954" s="65"/>
      <c r="L954" s="85" t="b">
        <f>IF(VLOOKUP(C954,Projetos!A:L,12,false)=TRUE,TRUE,FALSE)</f>
        <v>1</v>
      </c>
      <c r="M954" s="74">
        <v>31.02923620430495</v>
      </c>
      <c r="N954" s="74">
        <f t="shared" si="1"/>
        <v>15.5146181</v>
      </c>
      <c r="O954" s="74" t="b">
        <v>1</v>
      </c>
    </row>
    <row r="955" hidden="1">
      <c r="A955" s="82"/>
      <c r="B955" s="65" t="s">
        <v>177</v>
      </c>
      <c r="C955" s="65" t="s">
        <v>117</v>
      </c>
      <c r="D955" s="65" t="str">
        <f>vlookup(C955,'Classificação p pessoal'!F:G,2,false)</f>
        <v>NP</v>
      </c>
      <c r="E955" s="65" t="s">
        <v>674</v>
      </c>
      <c r="F955" s="83">
        <v>0.3541666666666667</v>
      </c>
      <c r="G955" s="83">
        <v>0.3958333333333333</v>
      </c>
      <c r="H955" s="83">
        <v>0.041666666666666664</v>
      </c>
      <c r="I955" s="84">
        <v>44518.0</v>
      </c>
      <c r="J955" s="65" t="b">
        <v>1</v>
      </c>
      <c r="K955" s="65"/>
      <c r="L955" s="85" t="b">
        <f>IF(VLOOKUP(C955,Projetos!A:L,12,false)=TRUE,TRUE,FALSE)</f>
        <v>1</v>
      </c>
      <c r="M955" s="74">
        <v>31.02923620430495</v>
      </c>
      <c r="N955" s="74">
        <f t="shared" si="1"/>
        <v>31.0292362</v>
      </c>
      <c r="O955" s="74" t="b">
        <v>1</v>
      </c>
    </row>
    <row r="956" hidden="1">
      <c r="A956" s="82"/>
      <c r="B956" s="65" t="s">
        <v>177</v>
      </c>
      <c r="C956" s="65" t="s">
        <v>100</v>
      </c>
      <c r="D956" s="65" t="str">
        <f>vlookup(C956,'Classificação p pessoal'!F:G,2,false)</f>
        <v>NP</v>
      </c>
      <c r="E956" s="65" t="s">
        <v>675</v>
      </c>
      <c r="F956" s="83">
        <v>0.6666666666666666</v>
      </c>
      <c r="G956" s="83">
        <v>0.75</v>
      </c>
      <c r="H956" s="83">
        <v>0.08333333333333333</v>
      </c>
      <c r="I956" s="84">
        <v>44519.0</v>
      </c>
      <c r="J956" s="65" t="b">
        <v>1</v>
      </c>
      <c r="K956" s="65"/>
      <c r="L956" s="85" t="b">
        <f>IF(VLOOKUP(C956,Projetos!A:L,12,false)=TRUE,TRUE,FALSE)</f>
        <v>1</v>
      </c>
      <c r="M956" s="74">
        <v>31.02923620430495</v>
      </c>
      <c r="N956" s="74">
        <f t="shared" si="1"/>
        <v>62.05847241</v>
      </c>
      <c r="O956" s="74" t="b">
        <v>1</v>
      </c>
    </row>
    <row r="957" hidden="1">
      <c r="A957" s="82"/>
      <c r="B957" s="65" t="s">
        <v>177</v>
      </c>
      <c r="C957" s="65" t="s">
        <v>132</v>
      </c>
      <c r="D957" s="65"/>
      <c r="E957" s="65" t="s">
        <v>676</v>
      </c>
      <c r="F957" s="83">
        <v>0.5833333333333334</v>
      </c>
      <c r="G957" s="83">
        <v>0.625</v>
      </c>
      <c r="H957" s="83">
        <v>0.041666666666666664</v>
      </c>
      <c r="I957" s="84">
        <v>44522.0</v>
      </c>
      <c r="J957" s="65" t="b">
        <v>1</v>
      </c>
      <c r="K957" s="65"/>
      <c r="L957" s="85" t="b">
        <f>IF(VLOOKUP(C957,Projetos!A:L,12,false)=TRUE,TRUE,FALSE)</f>
        <v>0</v>
      </c>
      <c r="M957" s="74">
        <v>31.02923620430495</v>
      </c>
      <c r="N957" s="74">
        <f t="shared" si="1"/>
        <v>0</v>
      </c>
      <c r="O957" s="74" t="b">
        <v>0</v>
      </c>
    </row>
    <row r="958" hidden="1">
      <c r="A958" s="82"/>
      <c r="B958" s="65" t="s">
        <v>177</v>
      </c>
      <c r="C958" s="65" t="s">
        <v>100</v>
      </c>
      <c r="D958" s="65" t="str">
        <f>vlookup(C958,'Classificação p pessoal'!F:G,2,false)</f>
        <v>NP</v>
      </c>
      <c r="E958" s="65" t="s">
        <v>677</v>
      </c>
      <c r="F958" s="83">
        <v>0.3541666666666667</v>
      </c>
      <c r="G958" s="83">
        <v>0.5416666666666666</v>
      </c>
      <c r="H958" s="83">
        <v>0.1875</v>
      </c>
      <c r="I958" s="84">
        <v>44522.0</v>
      </c>
      <c r="J958" s="65" t="b">
        <v>1</v>
      </c>
      <c r="K958" s="65"/>
      <c r="L958" s="85" t="b">
        <f>IF(VLOOKUP(C958,Projetos!A:L,12,false)=TRUE,TRUE,FALSE)</f>
        <v>1</v>
      </c>
      <c r="M958" s="74">
        <v>31.02923620430495</v>
      </c>
      <c r="N958" s="74">
        <f t="shared" si="1"/>
        <v>139.6315629</v>
      </c>
      <c r="O958" s="74" t="b">
        <v>1</v>
      </c>
    </row>
    <row r="959" hidden="1">
      <c r="A959" s="82"/>
      <c r="B959" s="65" t="s">
        <v>177</v>
      </c>
      <c r="C959" s="65" t="s">
        <v>106</v>
      </c>
      <c r="D959" s="65"/>
      <c r="E959" s="65" t="s">
        <v>678</v>
      </c>
      <c r="F959" s="83">
        <v>0.4166666666666667</v>
      </c>
      <c r="G959" s="83">
        <v>0.4791666666666667</v>
      </c>
      <c r="H959" s="83">
        <v>0.0625</v>
      </c>
      <c r="I959" s="84">
        <v>44421.0</v>
      </c>
      <c r="J959" s="65" t="b">
        <v>0</v>
      </c>
      <c r="K959" s="65" t="s">
        <v>150</v>
      </c>
      <c r="L959" s="85" t="b">
        <f>IF(VLOOKUP(C959,Projetos!A:L,12,false)=TRUE,TRUE,FALSE)</f>
        <v>1</v>
      </c>
      <c r="M959" s="74">
        <v>31.02923620430495</v>
      </c>
      <c r="N959" s="74">
        <f t="shared" si="1"/>
        <v>0</v>
      </c>
      <c r="O959" s="74" t="b">
        <v>1</v>
      </c>
    </row>
    <row r="960" hidden="1">
      <c r="A960" s="82"/>
      <c r="B960" s="65" t="s">
        <v>177</v>
      </c>
      <c r="C960" s="65" t="s">
        <v>106</v>
      </c>
      <c r="D960" s="65" t="str">
        <f>vlookup(C960,'Classificação p pessoal'!F:G,2,false)</f>
        <v>MProcesso</v>
      </c>
      <c r="E960" s="65" t="s">
        <v>679</v>
      </c>
      <c r="F960" s="83">
        <v>0.3541666666666667</v>
      </c>
      <c r="G960" s="83">
        <v>0.3958333333333333</v>
      </c>
      <c r="H960" s="83">
        <v>0.041666666666666664</v>
      </c>
      <c r="I960" s="84">
        <v>44523.0</v>
      </c>
      <c r="J960" s="65" t="b">
        <v>1</v>
      </c>
      <c r="K960" s="65"/>
      <c r="L960" s="85" t="b">
        <f>IF(VLOOKUP(C960,Projetos!A:L,12,false)=TRUE,TRUE,FALSE)</f>
        <v>1</v>
      </c>
      <c r="M960" s="74">
        <v>31.02923620430495</v>
      </c>
      <c r="N960" s="74">
        <f t="shared" si="1"/>
        <v>31.0292362</v>
      </c>
      <c r="O960" s="74" t="b">
        <v>1</v>
      </c>
    </row>
    <row r="961" hidden="1">
      <c r="A961" s="82"/>
      <c r="B961" s="65" t="s">
        <v>495</v>
      </c>
      <c r="C961" s="65" t="s">
        <v>92</v>
      </c>
      <c r="D961" s="65" t="str">
        <f>vlookup(C961,'Classificação p pessoal'!F:G,2,false)</f>
        <v/>
      </c>
      <c r="E961" s="65" t="s">
        <v>680</v>
      </c>
      <c r="F961" s="83">
        <v>0.6666666666666666</v>
      </c>
      <c r="G961" s="83">
        <v>0.75</v>
      </c>
      <c r="H961" s="83">
        <v>0.08333333333333333</v>
      </c>
      <c r="I961" s="84">
        <v>44334.0</v>
      </c>
      <c r="J961" s="65" t="b">
        <v>1</v>
      </c>
      <c r="K961" s="65"/>
      <c r="L961" s="85" t="b">
        <f>IF(VLOOKUP(C961,Projetos!A:L,12,false)=TRUE,TRUE,FALSE)</f>
        <v>1</v>
      </c>
      <c r="M961" s="74">
        <v>73.7079846079846</v>
      </c>
      <c r="N961" s="74">
        <f t="shared" si="1"/>
        <v>147.4159692</v>
      </c>
      <c r="O961" s="74" t="b">
        <v>1</v>
      </c>
    </row>
    <row r="962" hidden="1">
      <c r="A962" s="82"/>
      <c r="B962" s="65" t="s">
        <v>177</v>
      </c>
      <c r="C962" s="65" t="s">
        <v>100</v>
      </c>
      <c r="D962" s="65" t="str">
        <f>vlookup(C962,'Classificação p pessoal'!F:G,2,false)</f>
        <v>NP</v>
      </c>
      <c r="E962" s="65" t="s">
        <v>681</v>
      </c>
      <c r="F962" s="83">
        <v>0.375</v>
      </c>
      <c r="G962" s="83">
        <v>0.4375</v>
      </c>
      <c r="H962" s="83">
        <v>0.0625</v>
      </c>
      <c r="I962" s="84">
        <v>44524.0</v>
      </c>
      <c r="J962" s="65" t="b">
        <v>1</v>
      </c>
      <c r="K962" s="65"/>
      <c r="L962" s="85" t="b">
        <f>IF(VLOOKUP(C962,Projetos!A:L,12,false)=TRUE,TRUE,FALSE)</f>
        <v>1</v>
      </c>
      <c r="M962" s="74">
        <v>31.02923620430495</v>
      </c>
      <c r="N962" s="74">
        <f t="shared" si="1"/>
        <v>46.54385431</v>
      </c>
      <c r="O962" s="74" t="b">
        <v>1</v>
      </c>
    </row>
    <row r="963" hidden="1">
      <c r="A963" s="82"/>
      <c r="B963" s="65" t="s">
        <v>177</v>
      </c>
      <c r="C963" s="65" t="s">
        <v>101</v>
      </c>
      <c r="D963" s="65" t="str">
        <f>vlookup(C963,'Classificação p pessoal'!F:G,2,false)</f>
        <v>NP</v>
      </c>
      <c r="E963" s="65" t="s">
        <v>682</v>
      </c>
      <c r="F963" s="83">
        <v>0.5833333333333334</v>
      </c>
      <c r="G963" s="83">
        <v>0.625</v>
      </c>
      <c r="H963" s="83">
        <v>0.041666666666666664</v>
      </c>
      <c r="I963" s="84">
        <v>44525.0</v>
      </c>
      <c r="J963" s="65" t="b">
        <v>1</v>
      </c>
      <c r="K963" s="65"/>
      <c r="L963" s="85" t="b">
        <f>IF(VLOOKUP(C963,Projetos!A:L,12,false)=TRUE,TRUE,FALSE)</f>
        <v>1</v>
      </c>
      <c r="M963" s="74">
        <v>31.02923620430495</v>
      </c>
      <c r="N963" s="74">
        <f t="shared" si="1"/>
        <v>31.0292362</v>
      </c>
      <c r="O963" s="74" t="b">
        <v>1</v>
      </c>
    </row>
    <row r="964" hidden="1">
      <c r="A964" s="82"/>
      <c r="B964" s="65" t="s">
        <v>177</v>
      </c>
      <c r="C964" s="65" t="s">
        <v>101</v>
      </c>
      <c r="D964" s="65" t="str">
        <f>vlookup(C964,'Classificação p pessoal'!F:G,2,false)</f>
        <v>NP</v>
      </c>
      <c r="E964" s="65" t="s">
        <v>683</v>
      </c>
      <c r="F964" s="83">
        <v>0.625</v>
      </c>
      <c r="G964" s="83">
        <v>0.6666666666666666</v>
      </c>
      <c r="H964" s="83">
        <v>0.041666666666666664</v>
      </c>
      <c r="I964" s="84">
        <v>44525.0</v>
      </c>
      <c r="J964" s="65" t="b">
        <v>1</v>
      </c>
      <c r="K964" s="65"/>
      <c r="L964" s="85" t="b">
        <f>IF(VLOOKUP(C964,Projetos!A:L,12,false)=TRUE,TRUE,FALSE)</f>
        <v>1</v>
      </c>
      <c r="M964" s="74">
        <v>31.02923620430495</v>
      </c>
      <c r="N964" s="74">
        <f t="shared" si="1"/>
        <v>31.0292362</v>
      </c>
      <c r="O964" s="74" t="b">
        <v>1</v>
      </c>
    </row>
    <row r="965" hidden="1">
      <c r="A965" s="82"/>
      <c r="B965" s="65" t="s">
        <v>177</v>
      </c>
      <c r="C965" s="65" t="s">
        <v>101</v>
      </c>
      <c r="D965" s="65" t="str">
        <f>vlookup(C965,'Classificação p pessoal'!F:G,2,false)</f>
        <v>NP</v>
      </c>
      <c r="E965" s="65" t="s">
        <v>684</v>
      </c>
      <c r="F965" s="83">
        <v>0.6666666666666666</v>
      </c>
      <c r="G965" s="83">
        <v>0.7083333333333334</v>
      </c>
      <c r="H965" s="83">
        <v>0.041666666666666664</v>
      </c>
      <c r="I965" s="84">
        <v>44525.0</v>
      </c>
      <c r="J965" s="65" t="b">
        <v>1</v>
      </c>
      <c r="K965" s="65"/>
      <c r="L965" s="85" t="b">
        <f>IF(VLOOKUP(C965,Projetos!A:L,12,false)=TRUE,TRUE,FALSE)</f>
        <v>1</v>
      </c>
      <c r="M965" s="74">
        <v>31.02923620430495</v>
      </c>
      <c r="N965" s="74">
        <f t="shared" si="1"/>
        <v>31.0292362</v>
      </c>
      <c r="O965" s="74" t="b">
        <v>1</v>
      </c>
    </row>
    <row r="966" hidden="1">
      <c r="A966" s="82"/>
      <c r="B966" s="65" t="s">
        <v>177</v>
      </c>
      <c r="C966" s="65" t="s">
        <v>101</v>
      </c>
      <c r="D966" s="65" t="str">
        <f>vlookup(C966,'Classificação p pessoal'!F:G,2,false)</f>
        <v>NP</v>
      </c>
      <c r="E966" s="65" t="s">
        <v>685</v>
      </c>
      <c r="F966" s="83">
        <v>0.7083333333333334</v>
      </c>
      <c r="G966" s="83">
        <v>0.75</v>
      </c>
      <c r="H966" s="83">
        <v>0.041666666666666664</v>
      </c>
      <c r="I966" s="84">
        <v>44525.0</v>
      </c>
      <c r="J966" s="65" t="b">
        <v>1</v>
      </c>
      <c r="K966" s="65"/>
      <c r="L966" s="85" t="b">
        <f>IF(VLOOKUP(C966,Projetos!A:L,12,false)=TRUE,TRUE,FALSE)</f>
        <v>1</v>
      </c>
      <c r="M966" s="74">
        <v>31.02923620430495</v>
      </c>
      <c r="N966" s="74">
        <f t="shared" si="1"/>
        <v>31.0292362</v>
      </c>
      <c r="O966" s="74" t="b">
        <v>1</v>
      </c>
    </row>
    <row r="967" hidden="1">
      <c r="A967" s="82"/>
      <c r="B967" s="65" t="s">
        <v>495</v>
      </c>
      <c r="C967" s="65" t="s">
        <v>92</v>
      </c>
      <c r="D967" s="65" t="str">
        <f>vlookup(C967,'Classificação p pessoal'!F:G,2,false)</f>
        <v/>
      </c>
      <c r="E967" s="65" t="s">
        <v>680</v>
      </c>
      <c r="F967" s="83">
        <v>0.375</v>
      </c>
      <c r="G967" s="83">
        <v>0.4166666666666667</v>
      </c>
      <c r="H967" s="83">
        <v>0.041666666666666664</v>
      </c>
      <c r="I967" s="84">
        <v>44335.0</v>
      </c>
      <c r="J967" s="65" t="b">
        <v>1</v>
      </c>
      <c r="K967" s="65"/>
      <c r="L967" s="85" t="b">
        <f>IF(VLOOKUP(C967,Projetos!A:L,12,false)=TRUE,TRUE,FALSE)</f>
        <v>1</v>
      </c>
      <c r="M967" s="74">
        <v>73.7079846079846</v>
      </c>
      <c r="N967" s="74">
        <f t="shared" si="1"/>
        <v>73.70798461</v>
      </c>
      <c r="O967" s="74" t="b">
        <v>1</v>
      </c>
    </row>
    <row r="968" hidden="1">
      <c r="A968" s="82"/>
      <c r="B968" s="65" t="s">
        <v>177</v>
      </c>
      <c r="C968" s="65" t="s">
        <v>101</v>
      </c>
      <c r="D968" s="65"/>
      <c r="E968" s="65" t="s">
        <v>686</v>
      </c>
      <c r="F968" s="83">
        <v>0.625</v>
      </c>
      <c r="G968" s="83">
        <v>0.6875</v>
      </c>
      <c r="H968" s="83">
        <v>0.0625</v>
      </c>
      <c r="I968" s="84">
        <v>44528.0</v>
      </c>
      <c r="J968" s="65" t="b">
        <v>0</v>
      </c>
      <c r="K968" s="65" t="s">
        <v>150</v>
      </c>
      <c r="L968" s="85" t="b">
        <f>IF(VLOOKUP(C968,Projetos!A:L,12,false)=TRUE,TRUE,FALSE)</f>
        <v>1</v>
      </c>
      <c r="M968" s="74">
        <v>31.02923620430495</v>
      </c>
      <c r="N968" s="74">
        <f t="shared" si="1"/>
        <v>0</v>
      </c>
      <c r="O968" s="74" t="b">
        <v>1</v>
      </c>
    </row>
    <row r="969" hidden="1">
      <c r="A969" s="82"/>
      <c r="B969" s="65" t="s">
        <v>177</v>
      </c>
      <c r="C969" s="65" t="s">
        <v>106</v>
      </c>
      <c r="D969" s="65"/>
      <c r="E969" s="65" t="s">
        <v>687</v>
      </c>
      <c r="F969" s="83">
        <v>0.3541666666666667</v>
      </c>
      <c r="G969" s="83">
        <v>0.4166666666666667</v>
      </c>
      <c r="H969" s="83">
        <v>0.0625</v>
      </c>
      <c r="I969" s="84">
        <v>44526.0</v>
      </c>
      <c r="J969" s="65" t="b">
        <v>0</v>
      </c>
      <c r="K969" s="65" t="s">
        <v>150</v>
      </c>
      <c r="L969" s="85" t="b">
        <f>IF(VLOOKUP(C969,Projetos!A:L,12,false)=TRUE,TRUE,FALSE)</f>
        <v>1</v>
      </c>
      <c r="M969" s="74">
        <v>31.02923620430495</v>
      </c>
      <c r="N969" s="74">
        <f t="shared" si="1"/>
        <v>0</v>
      </c>
      <c r="O969" s="74" t="b">
        <v>1</v>
      </c>
    </row>
    <row r="970" hidden="1">
      <c r="A970" s="82"/>
      <c r="B970" s="65" t="s">
        <v>177</v>
      </c>
      <c r="C970" s="65" t="s">
        <v>88</v>
      </c>
      <c r="D970" s="65"/>
      <c r="E970" s="65" t="s">
        <v>688</v>
      </c>
      <c r="F970" s="83">
        <v>0.6666666666666666</v>
      </c>
      <c r="G970" s="83">
        <v>0.7083333333333334</v>
      </c>
      <c r="H970" s="83">
        <v>0.041666666666666664</v>
      </c>
      <c r="I970" s="84">
        <v>44526.0</v>
      </c>
      <c r="J970" s="65" t="b">
        <v>0</v>
      </c>
      <c r="K970" s="65" t="s">
        <v>150</v>
      </c>
      <c r="L970" s="85" t="b">
        <f>IF(VLOOKUP(C970,Projetos!A:L,12,false)=TRUE,TRUE,FALSE)</f>
        <v>1</v>
      </c>
      <c r="M970" s="74">
        <v>31.02923620430495</v>
      </c>
      <c r="N970" s="74">
        <f t="shared" si="1"/>
        <v>0</v>
      </c>
      <c r="O970" s="74" t="b">
        <v>1</v>
      </c>
    </row>
    <row r="971" hidden="1">
      <c r="A971" s="82"/>
      <c r="B971" s="65" t="s">
        <v>177</v>
      </c>
      <c r="C971" s="65" t="s">
        <v>101</v>
      </c>
      <c r="D971" s="65" t="str">
        <f>vlookup(C971,'Classificação p pessoal'!F:G,2,false)</f>
        <v>NP</v>
      </c>
      <c r="E971" s="65" t="s">
        <v>689</v>
      </c>
      <c r="F971" s="83">
        <v>0.3541666666666667</v>
      </c>
      <c r="G971" s="83">
        <v>0.5416666666666666</v>
      </c>
      <c r="H971" s="83">
        <v>0.1875</v>
      </c>
      <c r="I971" s="84">
        <v>44529.0</v>
      </c>
      <c r="J971" s="65" t="b">
        <v>1</v>
      </c>
      <c r="K971" s="65"/>
      <c r="L971" s="85" t="b">
        <f>IF(VLOOKUP(C971,Projetos!A:L,12,false)=TRUE,TRUE,FALSE)</f>
        <v>1</v>
      </c>
      <c r="M971" s="74">
        <v>31.02923620430495</v>
      </c>
      <c r="N971" s="74">
        <f t="shared" si="1"/>
        <v>139.6315629</v>
      </c>
      <c r="O971" s="74" t="b">
        <v>1</v>
      </c>
    </row>
    <row r="972" hidden="1">
      <c r="A972" s="82"/>
      <c r="B972" s="65" t="s">
        <v>177</v>
      </c>
      <c r="C972" s="65" t="s">
        <v>101</v>
      </c>
      <c r="D972" s="65" t="str">
        <f>vlookup(C972,'Classificação p pessoal'!F:G,2,false)</f>
        <v>NP</v>
      </c>
      <c r="E972" s="65" t="s">
        <v>690</v>
      </c>
      <c r="F972" s="83">
        <v>0.4375</v>
      </c>
      <c r="G972" s="83">
        <v>0.5416666666666666</v>
      </c>
      <c r="H972" s="83">
        <v>0.10416666666666667</v>
      </c>
      <c r="I972" s="84">
        <v>44530.0</v>
      </c>
      <c r="J972" s="65" t="b">
        <v>1</v>
      </c>
      <c r="K972" s="65"/>
      <c r="L972" s="85" t="b">
        <f>IF(VLOOKUP(C972,Projetos!A:L,12,false)=TRUE,TRUE,FALSE)</f>
        <v>1</v>
      </c>
      <c r="M972" s="74">
        <v>31.02923620430495</v>
      </c>
      <c r="N972" s="74">
        <f t="shared" si="1"/>
        <v>77.57309051</v>
      </c>
      <c r="O972" s="74" t="b">
        <v>1</v>
      </c>
    </row>
    <row r="973" hidden="1">
      <c r="A973" s="82"/>
      <c r="B973" s="65" t="s">
        <v>495</v>
      </c>
      <c r="C973" s="65" t="s">
        <v>92</v>
      </c>
      <c r="D973" s="65"/>
      <c r="E973" s="65" t="s">
        <v>691</v>
      </c>
      <c r="F973" s="83">
        <v>0.34375</v>
      </c>
      <c r="G973" s="83">
        <v>0.3611111111111111</v>
      </c>
      <c r="H973" s="83">
        <v>0.017361111111111112</v>
      </c>
      <c r="I973" s="84">
        <v>44427.0</v>
      </c>
      <c r="J973" s="65" t="b">
        <v>0</v>
      </c>
      <c r="K973" s="65" t="s">
        <v>150</v>
      </c>
      <c r="L973" s="85" t="b">
        <f>IF(VLOOKUP(C973,Projetos!A:L,12,false)=TRUE,TRUE,FALSE)</f>
        <v>1</v>
      </c>
      <c r="M973" s="74">
        <v>73.7079846079846</v>
      </c>
      <c r="N973" s="74">
        <f t="shared" si="1"/>
        <v>0</v>
      </c>
      <c r="O973" s="74" t="b">
        <v>1</v>
      </c>
    </row>
    <row r="974" hidden="1">
      <c r="A974" s="82"/>
      <c r="B974" s="65" t="s">
        <v>177</v>
      </c>
      <c r="C974" s="65" t="s">
        <v>101</v>
      </c>
      <c r="D974" s="65" t="str">
        <f>vlookup(C974,'Classificação p pessoal'!F:G,2,false)</f>
        <v>NP</v>
      </c>
      <c r="E974" s="65" t="s">
        <v>692</v>
      </c>
      <c r="F974" s="83">
        <v>0.3958333333333333</v>
      </c>
      <c r="G974" s="83">
        <v>0.4375</v>
      </c>
      <c r="H974" s="83">
        <v>0.041666666666666664</v>
      </c>
      <c r="I974" s="84">
        <v>44530.0</v>
      </c>
      <c r="J974" s="65" t="b">
        <v>1</v>
      </c>
      <c r="K974" s="65"/>
      <c r="L974" s="85" t="b">
        <f>IF(VLOOKUP(C974,Projetos!A:L,12,false)=TRUE,TRUE,FALSE)</f>
        <v>1</v>
      </c>
      <c r="M974" s="74">
        <v>31.02923620430495</v>
      </c>
      <c r="N974" s="74">
        <f t="shared" si="1"/>
        <v>31.0292362</v>
      </c>
      <c r="O974" s="74" t="b">
        <v>1</v>
      </c>
    </row>
    <row r="975" hidden="1">
      <c r="A975" s="82"/>
      <c r="B975" s="65" t="s">
        <v>177</v>
      </c>
      <c r="C975" s="65" t="s">
        <v>106</v>
      </c>
      <c r="D975" s="65"/>
      <c r="E975" s="65" t="s">
        <v>693</v>
      </c>
      <c r="F975" s="83">
        <v>0.7083333333333334</v>
      </c>
      <c r="G975" s="83">
        <v>0.75</v>
      </c>
      <c r="H975" s="83">
        <v>0.041666666666666664</v>
      </c>
      <c r="I975" s="84">
        <v>44530.0</v>
      </c>
      <c r="J975" s="65" t="b">
        <v>0</v>
      </c>
      <c r="K975" s="65" t="s">
        <v>150</v>
      </c>
      <c r="L975" s="85" t="b">
        <f>IF(VLOOKUP(C975,Projetos!A:L,12,false)=TRUE,TRUE,FALSE)</f>
        <v>1</v>
      </c>
      <c r="M975" s="74">
        <v>31.02923620430495</v>
      </c>
      <c r="N975" s="74">
        <f t="shared" si="1"/>
        <v>0</v>
      </c>
      <c r="O975" s="74" t="b">
        <v>1</v>
      </c>
    </row>
    <row r="976" hidden="1">
      <c r="A976" s="82"/>
      <c r="B976" s="65" t="s">
        <v>177</v>
      </c>
      <c r="C976" s="65" t="s">
        <v>101</v>
      </c>
      <c r="D976" s="65"/>
      <c r="E976" s="65" t="s">
        <v>694</v>
      </c>
      <c r="F976" s="83">
        <v>0.3541666666666667</v>
      </c>
      <c r="G976" s="83">
        <v>0.4583333333333333</v>
      </c>
      <c r="H976" s="83">
        <v>0.10416666666666667</v>
      </c>
      <c r="I976" s="84">
        <v>44531.0</v>
      </c>
      <c r="J976" s="65" t="b">
        <v>0</v>
      </c>
      <c r="K976" s="65" t="s">
        <v>150</v>
      </c>
      <c r="L976" s="85" t="b">
        <f>IF(VLOOKUP(C976,Projetos!A:L,12,false)=TRUE,TRUE,FALSE)</f>
        <v>1</v>
      </c>
      <c r="M976" s="74">
        <v>31.02923620430495</v>
      </c>
      <c r="N976" s="74">
        <f t="shared" si="1"/>
        <v>0</v>
      </c>
      <c r="O976" s="74" t="b">
        <v>1</v>
      </c>
    </row>
    <row r="977" hidden="1">
      <c r="A977" s="82"/>
      <c r="B977" s="65" t="s">
        <v>177</v>
      </c>
      <c r="C977" s="65" t="s">
        <v>101</v>
      </c>
      <c r="D977" s="65"/>
      <c r="E977" s="65" t="s">
        <v>695</v>
      </c>
      <c r="F977" s="83">
        <v>0.3541666666666667</v>
      </c>
      <c r="G977" s="83">
        <v>0.375</v>
      </c>
      <c r="H977" s="83">
        <v>0.020833333333333332</v>
      </c>
      <c r="I977" s="84">
        <v>44532.0</v>
      </c>
      <c r="J977" s="65" t="b">
        <v>0</v>
      </c>
      <c r="K977" s="65" t="s">
        <v>150</v>
      </c>
      <c r="L977" s="85" t="b">
        <f>IF(VLOOKUP(C977,Projetos!A:L,12,false)=TRUE,TRUE,FALSE)</f>
        <v>1</v>
      </c>
      <c r="M977" s="74">
        <v>31.02923620430495</v>
      </c>
      <c r="N977" s="74">
        <f t="shared" si="1"/>
        <v>0</v>
      </c>
      <c r="O977" s="74" t="b">
        <v>1</v>
      </c>
    </row>
    <row r="978" hidden="1">
      <c r="A978" s="82"/>
      <c r="B978" s="65" t="s">
        <v>177</v>
      </c>
      <c r="C978" s="65" t="s">
        <v>106</v>
      </c>
      <c r="D978" s="65" t="str">
        <f>vlookup(C978,'Classificação p pessoal'!F:G,2,false)</f>
        <v>MProcesso</v>
      </c>
      <c r="E978" s="65" t="s">
        <v>696</v>
      </c>
      <c r="F978" s="83">
        <v>0.3541666666666667</v>
      </c>
      <c r="G978" s="83">
        <v>0.3958333333333333</v>
      </c>
      <c r="H978" s="83">
        <v>0.041666666666666664</v>
      </c>
      <c r="I978" s="84">
        <v>44533.0</v>
      </c>
      <c r="J978" s="65" t="b">
        <v>1</v>
      </c>
      <c r="K978" s="65"/>
      <c r="L978" s="85" t="b">
        <f>IF(VLOOKUP(C978,Projetos!A:L,12,false)=TRUE,TRUE,FALSE)</f>
        <v>1</v>
      </c>
      <c r="M978" s="74">
        <v>31.02923620430495</v>
      </c>
      <c r="N978" s="74">
        <f t="shared" si="1"/>
        <v>31.0292362</v>
      </c>
      <c r="O978" s="74" t="b">
        <v>1</v>
      </c>
    </row>
    <row r="979" hidden="1">
      <c r="A979" s="82"/>
      <c r="B979" s="65" t="s">
        <v>177</v>
      </c>
      <c r="C979" s="65" t="s">
        <v>101</v>
      </c>
      <c r="D979" s="65" t="str">
        <f>vlookup(C979,'Classificação p pessoal'!F:G,2,false)</f>
        <v>NP</v>
      </c>
      <c r="E979" s="65" t="s">
        <v>697</v>
      </c>
      <c r="F979" s="83">
        <v>0.3958333333333333</v>
      </c>
      <c r="G979" s="83">
        <v>0.5208333333333334</v>
      </c>
      <c r="H979" s="83">
        <v>0.125</v>
      </c>
      <c r="I979" s="84">
        <v>44533.0</v>
      </c>
      <c r="J979" s="65" t="b">
        <v>1</v>
      </c>
      <c r="K979" s="65"/>
      <c r="L979" s="85" t="b">
        <f>IF(VLOOKUP(C979,Projetos!A:L,12,false)=TRUE,TRUE,FALSE)</f>
        <v>1</v>
      </c>
      <c r="M979" s="74">
        <v>31.02923620430495</v>
      </c>
      <c r="N979" s="74">
        <f t="shared" si="1"/>
        <v>93.08770861</v>
      </c>
      <c r="O979" s="74" t="b">
        <v>1</v>
      </c>
    </row>
    <row r="980" hidden="1">
      <c r="A980" s="82"/>
      <c r="B980" s="65" t="s">
        <v>469</v>
      </c>
      <c r="C980" s="65" t="s">
        <v>130</v>
      </c>
      <c r="D980" s="65" t="str">
        <f>vlookup(C980,'Classificação p pessoal'!F:G,2,false)</f>
        <v>NP</v>
      </c>
      <c r="E980" s="65" t="s">
        <v>3512</v>
      </c>
      <c r="F980" s="83">
        <v>0.4375</v>
      </c>
      <c r="G980" s="83">
        <v>0.4513888888888889</v>
      </c>
      <c r="H980" s="83">
        <v>0.013888888888888888</v>
      </c>
      <c r="I980" s="84">
        <v>44503.0</v>
      </c>
      <c r="J980" s="65" t="b">
        <v>1</v>
      </c>
      <c r="K980" s="65"/>
      <c r="L980" s="85" t="b">
        <f>IF(VLOOKUP(C980,Projetos!A:L,12,false)=TRUE,TRUE,FALSE)</f>
        <v>1</v>
      </c>
      <c r="M980" s="74">
        <v>37.50928062469937</v>
      </c>
      <c r="N980" s="74">
        <f t="shared" si="1"/>
        <v>12.50309354</v>
      </c>
      <c r="O980" s="74" t="b">
        <v>1</v>
      </c>
    </row>
    <row r="981" hidden="1">
      <c r="A981" s="82"/>
      <c r="B981" s="65" t="s">
        <v>411</v>
      </c>
      <c r="C981" s="65" t="s">
        <v>117</v>
      </c>
      <c r="D981" s="65" t="str">
        <f>vlookup(C981,'Classificação p pessoal'!F:G,2,false)</f>
        <v>NP</v>
      </c>
      <c r="E981" s="65" t="s">
        <v>699</v>
      </c>
      <c r="F981" s="83">
        <v>0.4375</v>
      </c>
      <c r="G981" s="83">
        <v>0.4583333333333333</v>
      </c>
      <c r="H981" s="83">
        <v>0.020833333333333332</v>
      </c>
      <c r="I981" s="84">
        <v>44280.0</v>
      </c>
      <c r="J981" s="65" t="b">
        <v>1</v>
      </c>
      <c r="K981" s="65"/>
      <c r="L981" s="85" t="b">
        <f>IF(VLOOKUP(C981,Projetos!A:L,12,false)=TRUE,TRUE,FALSE)</f>
        <v>1</v>
      </c>
      <c r="M981" s="74">
        <v>52.48434411075036</v>
      </c>
      <c r="N981" s="74">
        <f t="shared" si="1"/>
        <v>26.24217206</v>
      </c>
      <c r="O981" s="74" t="b">
        <v>1</v>
      </c>
    </row>
    <row r="982" hidden="1">
      <c r="A982" s="82"/>
      <c r="B982" s="65" t="s">
        <v>177</v>
      </c>
      <c r="C982" s="65" t="s">
        <v>112</v>
      </c>
      <c r="D982" s="65"/>
      <c r="E982" s="65" t="s">
        <v>700</v>
      </c>
      <c r="F982" s="83">
        <v>0.3541666666666667</v>
      </c>
      <c r="G982" s="83">
        <v>0.3958333333333333</v>
      </c>
      <c r="H982" s="83">
        <v>0.041666666666666664</v>
      </c>
      <c r="I982" s="84">
        <v>44537.0</v>
      </c>
      <c r="J982" s="65" t="b">
        <v>0</v>
      </c>
      <c r="K982" s="65"/>
      <c r="L982" s="85" t="b">
        <f>IF(VLOOKUP(C982,Projetos!A:L,12,false)=TRUE,TRUE,FALSE)</f>
        <v>0</v>
      </c>
      <c r="M982" s="74">
        <v>31.02923620430495</v>
      </c>
      <c r="N982" s="74">
        <f t="shared" si="1"/>
        <v>0</v>
      </c>
      <c r="O982" s="74" t="b">
        <v>0</v>
      </c>
    </row>
    <row r="983" hidden="1">
      <c r="A983" s="82"/>
      <c r="B983" s="65" t="s">
        <v>177</v>
      </c>
      <c r="C983" s="65" t="s">
        <v>112</v>
      </c>
      <c r="D983" s="65"/>
      <c r="E983" s="65" t="s">
        <v>701</v>
      </c>
      <c r="F983" s="83">
        <v>0.3958333333333333</v>
      </c>
      <c r="G983" s="83">
        <v>0.4166666666666667</v>
      </c>
      <c r="H983" s="83">
        <v>0.020833333333333332</v>
      </c>
      <c r="I983" s="84">
        <v>44537.0</v>
      </c>
      <c r="J983" s="65" t="b">
        <v>0</v>
      </c>
      <c r="K983" s="65"/>
      <c r="L983" s="85" t="b">
        <f>IF(VLOOKUP(C983,Projetos!A:L,12,false)=TRUE,TRUE,FALSE)</f>
        <v>0</v>
      </c>
      <c r="M983" s="74">
        <v>31.02923620430495</v>
      </c>
      <c r="N983" s="74">
        <f t="shared" si="1"/>
        <v>0</v>
      </c>
      <c r="O983" s="74" t="b">
        <v>0</v>
      </c>
    </row>
    <row r="984" hidden="1">
      <c r="A984" s="82"/>
      <c r="B984" s="65" t="s">
        <v>177</v>
      </c>
      <c r="C984" s="65" t="s">
        <v>101</v>
      </c>
      <c r="D984" s="65"/>
      <c r="E984" s="65" t="s">
        <v>702</v>
      </c>
      <c r="F984" s="83">
        <v>0.5833333333333334</v>
      </c>
      <c r="G984" s="83">
        <v>0.6041666666666666</v>
      </c>
      <c r="H984" s="83">
        <v>0.020833333333333332</v>
      </c>
      <c r="I984" s="84">
        <v>44536.0</v>
      </c>
      <c r="J984" s="65" t="b">
        <v>0</v>
      </c>
      <c r="K984" s="65" t="s">
        <v>150</v>
      </c>
      <c r="L984" s="85" t="b">
        <f>IF(VLOOKUP(C984,Projetos!A:L,12,false)=TRUE,TRUE,FALSE)</f>
        <v>1</v>
      </c>
      <c r="M984" s="74">
        <v>31.02923620430495</v>
      </c>
      <c r="N984" s="74">
        <f t="shared" si="1"/>
        <v>0</v>
      </c>
      <c r="O984" s="74" t="b">
        <v>1</v>
      </c>
    </row>
    <row r="985" hidden="1">
      <c r="A985" s="82"/>
      <c r="B985" s="65" t="s">
        <v>177</v>
      </c>
      <c r="C985" s="65" t="s">
        <v>101</v>
      </c>
      <c r="D985" s="65" t="str">
        <f>vlookup(C985,'Classificação p pessoal'!F:G,2,false)</f>
        <v>NP</v>
      </c>
      <c r="E985" s="65" t="s">
        <v>703</v>
      </c>
      <c r="F985" s="83">
        <v>0.375</v>
      </c>
      <c r="G985" s="83">
        <v>0.3958333333333333</v>
      </c>
      <c r="H985" s="83">
        <v>0.020833333333333332</v>
      </c>
      <c r="I985" s="84">
        <v>44551.0</v>
      </c>
      <c r="J985" s="65" t="b">
        <v>1</v>
      </c>
      <c r="K985" s="65"/>
      <c r="L985" s="85" t="b">
        <f>IF(VLOOKUP(C985,Projetos!A:L,12,false)=TRUE,TRUE,FALSE)</f>
        <v>1</v>
      </c>
      <c r="M985" s="74">
        <v>31.02923620430495</v>
      </c>
      <c r="N985" s="74">
        <f t="shared" si="1"/>
        <v>15.5146181</v>
      </c>
      <c r="O985" s="74" t="b">
        <v>1</v>
      </c>
    </row>
    <row r="986" hidden="1">
      <c r="A986" s="82"/>
      <c r="B986" s="65" t="s">
        <v>177</v>
      </c>
      <c r="C986" s="65" t="s">
        <v>92</v>
      </c>
      <c r="D986" s="65" t="str">
        <f>vlookup(C986,'Classificação p pessoal'!F:G,2,false)</f>
        <v/>
      </c>
      <c r="E986" s="65" t="s">
        <v>704</v>
      </c>
      <c r="F986" s="83">
        <v>0.3541666666666667</v>
      </c>
      <c r="G986" s="83">
        <v>0.3958333333333333</v>
      </c>
      <c r="H986" s="83">
        <v>0.041666666666666664</v>
      </c>
      <c r="I986" s="84">
        <v>44538.0</v>
      </c>
      <c r="J986" s="65" t="b">
        <v>1</v>
      </c>
      <c r="K986" s="65"/>
      <c r="L986" s="85" t="b">
        <f>IF(VLOOKUP(C986,Projetos!A:L,12,false)=TRUE,TRUE,FALSE)</f>
        <v>1</v>
      </c>
      <c r="M986" s="74">
        <v>31.02923620430495</v>
      </c>
      <c r="N986" s="74">
        <f t="shared" si="1"/>
        <v>31.0292362</v>
      </c>
      <c r="O986" s="74" t="b">
        <v>1</v>
      </c>
    </row>
    <row r="987" hidden="1">
      <c r="A987" s="82"/>
      <c r="B987" s="65" t="s">
        <v>467</v>
      </c>
      <c r="C987" s="65" t="s">
        <v>88</v>
      </c>
      <c r="D987" s="65" t="str">
        <f>vlookup(C987,'Classificação p pessoal'!F:G,2,false)</f>
        <v>MProduto</v>
      </c>
      <c r="E987" s="65" t="s">
        <v>705</v>
      </c>
      <c r="F987" s="83">
        <v>0.5833333333333334</v>
      </c>
      <c r="G987" s="83">
        <v>0.6041666666666666</v>
      </c>
      <c r="H987" s="83">
        <v>0.020833333333333332</v>
      </c>
      <c r="I987" s="84">
        <v>44341.0</v>
      </c>
      <c r="J987" s="65" t="b">
        <v>1</v>
      </c>
      <c r="K987" s="65"/>
      <c r="L987" s="85" t="b">
        <f>IF(VLOOKUP(C987,Projetos!A:L,12,false)=TRUE,TRUE,FALSE)</f>
        <v>1</v>
      </c>
      <c r="M987" s="74">
        <v>52.1518759018759</v>
      </c>
      <c r="N987" s="74">
        <f t="shared" si="1"/>
        <v>26.07593795</v>
      </c>
      <c r="O987" s="74" t="b">
        <v>1</v>
      </c>
    </row>
    <row r="988" hidden="1">
      <c r="A988" s="82"/>
      <c r="B988" s="65" t="s">
        <v>177</v>
      </c>
      <c r="C988" s="65" t="s">
        <v>101</v>
      </c>
      <c r="D988" s="65" t="str">
        <f>vlookup(C988,'Classificação p pessoal'!F:G,2,false)</f>
        <v>NP</v>
      </c>
      <c r="E988" s="65" t="s">
        <v>706</v>
      </c>
      <c r="F988" s="83">
        <v>0.3541666666666667</v>
      </c>
      <c r="G988" s="83">
        <v>0.375</v>
      </c>
      <c r="H988" s="83">
        <v>0.020833333333333332</v>
      </c>
      <c r="I988" s="84">
        <v>44536.0</v>
      </c>
      <c r="J988" s="65" t="b">
        <v>1</v>
      </c>
      <c r="K988" s="65"/>
      <c r="L988" s="85" t="b">
        <f>IF(VLOOKUP(C988,Projetos!A:L,12,false)=TRUE,TRUE,FALSE)</f>
        <v>1</v>
      </c>
      <c r="M988" s="74">
        <v>31.02923620430495</v>
      </c>
      <c r="N988" s="74">
        <f t="shared" si="1"/>
        <v>15.5146181</v>
      </c>
      <c r="O988" s="74" t="b">
        <v>1</v>
      </c>
    </row>
    <row r="989" hidden="1">
      <c r="A989" s="82"/>
      <c r="B989" s="65" t="s">
        <v>467</v>
      </c>
      <c r="C989" s="65" t="s">
        <v>106</v>
      </c>
      <c r="D989" s="65"/>
      <c r="E989" s="65" t="s">
        <v>707</v>
      </c>
      <c r="F989" s="83">
        <v>0.3541666666666667</v>
      </c>
      <c r="G989" s="83">
        <v>0.4166666666666667</v>
      </c>
      <c r="H989" s="83">
        <v>0.0625</v>
      </c>
      <c r="I989" s="84">
        <v>44518.0</v>
      </c>
      <c r="J989" s="65" t="b">
        <v>0</v>
      </c>
      <c r="K989" s="65" t="s">
        <v>150</v>
      </c>
      <c r="L989" s="85" t="b">
        <f>IF(VLOOKUP(C989,Projetos!A:L,12,false)=TRUE,TRUE,FALSE)</f>
        <v>1</v>
      </c>
      <c r="M989" s="74">
        <v>52.1518759018759</v>
      </c>
      <c r="N989" s="74">
        <f t="shared" si="1"/>
        <v>0</v>
      </c>
      <c r="O989" s="74" t="b">
        <v>1</v>
      </c>
    </row>
    <row r="990" hidden="1">
      <c r="A990" s="82"/>
      <c r="B990" s="65" t="s">
        <v>467</v>
      </c>
      <c r="C990" s="65" t="s">
        <v>92</v>
      </c>
      <c r="D990" s="65"/>
      <c r="E990" s="65" t="s">
        <v>708</v>
      </c>
      <c r="F990" s="83">
        <v>0.5625</v>
      </c>
      <c r="G990" s="83">
        <v>0.75</v>
      </c>
      <c r="H990" s="83">
        <v>0.1875</v>
      </c>
      <c r="I990" s="84">
        <v>44546.0</v>
      </c>
      <c r="J990" s="65" t="b">
        <v>0</v>
      </c>
      <c r="K990" s="65" t="s">
        <v>150</v>
      </c>
      <c r="L990" s="85" t="b">
        <f>IF(VLOOKUP(C990,Projetos!A:L,12,false)=TRUE,TRUE,FALSE)</f>
        <v>1</v>
      </c>
      <c r="M990" s="74">
        <v>52.1518759018759</v>
      </c>
      <c r="N990" s="74">
        <f t="shared" si="1"/>
        <v>0</v>
      </c>
      <c r="O990" s="74" t="b">
        <v>1</v>
      </c>
    </row>
    <row r="991">
      <c r="A991" s="82"/>
      <c r="B991" s="65" t="s">
        <v>177</v>
      </c>
      <c r="C991" s="65" t="s">
        <v>108</v>
      </c>
      <c r="D991" s="65"/>
      <c r="E991" s="65" t="s">
        <v>709</v>
      </c>
      <c r="F991" s="83">
        <v>0.375</v>
      </c>
      <c r="G991" s="83">
        <v>0.4375</v>
      </c>
      <c r="H991" s="83">
        <v>0.0625</v>
      </c>
      <c r="I991" s="84">
        <v>44449.0</v>
      </c>
      <c r="J991" s="65" t="b">
        <v>0</v>
      </c>
      <c r="K991" s="65"/>
      <c r="L991" s="85" t="b">
        <f>IF(VLOOKUP(C991,Projetos!A:L,12,false)=TRUE,TRUE,FALSE)</f>
        <v>1</v>
      </c>
      <c r="M991" s="74">
        <v>31.02923620430495</v>
      </c>
      <c r="N991" s="74">
        <f t="shared" si="1"/>
        <v>0</v>
      </c>
      <c r="O991" s="74" t="b">
        <v>1</v>
      </c>
    </row>
    <row r="992" hidden="1">
      <c r="A992" s="82"/>
      <c r="B992" s="65" t="s">
        <v>177</v>
      </c>
      <c r="C992" s="65" t="s">
        <v>118</v>
      </c>
      <c r="D992" s="65"/>
      <c r="E992" s="65" t="s">
        <v>710</v>
      </c>
      <c r="F992" s="83">
        <v>0.3541666666666667</v>
      </c>
      <c r="G992" s="83">
        <v>0.375</v>
      </c>
      <c r="H992" s="83">
        <v>0.020833333333333332</v>
      </c>
      <c r="I992" s="84">
        <v>44540.0</v>
      </c>
      <c r="J992" s="65" t="b">
        <v>0</v>
      </c>
      <c r="K992" s="65" t="s">
        <v>150</v>
      </c>
      <c r="L992" s="85" t="b">
        <f>IF(VLOOKUP(C992,Projetos!A:L,12,false)=TRUE,TRUE,FALSE)</f>
        <v>1</v>
      </c>
      <c r="M992" s="74">
        <v>31.02923620430495</v>
      </c>
      <c r="N992" s="74">
        <f t="shared" si="1"/>
        <v>0</v>
      </c>
      <c r="O992" s="74" t="b">
        <v>1</v>
      </c>
    </row>
    <row r="993" hidden="1">
      <c r="A993" s="82"/>
      <c r="B993" s="65" t="s">
        <v>467</v>
      </c>
      <c r="C993" s="65" t="s">
        <v>92</v>
      </c>
      <c r="D993" s="65"/>
      <c r="E993" s="65" t="s">
        <v>711</v>
      </c>
      <c r="F993" s="83">
        <v>0.3888888888888889</v>
      </c>
      <c r="G993" s="83">
        <v>0.3958333333333333</v>
      </c>
      <c r="H993" s="83">
        <v>0.006944444444444444</v>
      </c>
      <c r="I993" s="84">
        <v>44371.0</v>
      </c>
      <c r="J993" s="65" t="b">
        <v>0</v>
      </c>
      <c r="K993" s="65" t="s">
        <v>150</v>
      </c>
      <c r="L993" s="85" t="b">
        <f>IF(VLOOKUP(C993,Projetos!A:L,12,false)=TRUE,TRUE,FALSE)</f>
        <v>1</v>
      </c>
      <c r="M993" s="74">
        <v>52.1518759018759</v>
      </c>
      <c r="N993" s="74">
        <f t="shared" si="1"/>
        <v>0</v>
      </c>
      <c r="O993" s="74" t="b">
        <v>1</v>
      </c>
    </row>
    <row r="994" hidden="1">
      <c r="A994" s="82"/>
      <c r="B994" s="65" t="s">
        <v>177</v>
      </c>
      <c r="C994" s="65" t="s">
        <v>98</v>
      </c>
      <c r="D994" s="65" t="str">
        <f>vlookup(C994,'Classificação p pessoal'!F:G,2,false)</f>
        <v>NP</v>
      </c>
      <c r="E994" s="65" t="s">
        <v>712</v>
      </c>
      <c r="F994" s="83">
        <v>0.625</v>
      </c>
      <c r="G994" s="83">
        <v>0.6666666666666666</v>
      </c>
      <c r="H994" s="83">
        <v>0.041666666666666664</v>
      </c>
      <c r="I994" s="84">
        <v>44543.0</v>
      </c>
      <c r="J994" s="65" t="b">
        <v>1</v>
      </c>
      <c r="K994" s="65"/>
      <c r="L994" s="85" t="b">
        <f>IF(VLOOKUP(C994,Projetos!A:L,12,false)=TRUE,TRUE,FALSE)</f>
        <v>1</v>
      </c>
      <c r="M994" s="74">
        <v>31.02923620430495</v>
      </c>
      <c r="N994" s="74">
        <f t="shared" si="1"/>
        <v>31.0292362</v>
      </c>
      <c r="O994" s="74" t="b">
        <v>1</v>
      </c>
    </row>
    <row r="995" hidden="1">
      <c r="A995" s="82"/>
      <c r="B995" s="65" t="s">
        <v>177</v>
      </c>
      <c r="C995" s="65" t="s">
        <v>106</v>
      </c>
      <c r="D995" s="65"/>
      <c r="E995" s="65" t="s">
        <v>713</v>
      </c>
      <c r="F995" s="83">
        <v>0.6875</v>
      </c>
      <c r="G995" s="83">
        <v>0.7083333333333334</v>
      </c>
      <c r="H995" s="83">
        <v>0.020833333333333332</v>
      </c>
      <c r="I995" s="84">
        <v>44428.0</v>
      </c>
      <c r="J995" s="65" t="b">
        <v>0</v>
      </c>
      <c r="K995" s="65" t="s">
        <v>150</v>
      </c>
      <c r="L995" s="85" t="b">
        <f>IF(VLOOKUP(C995,Projetos!A:L,12,false)=TRUE,TRUE,FALSE)</f>
        <v>1</v>
      </c>
      <c r="M995" s="74">
        <v>31.02923620430495</v>
      </c>
      <c r="N995" s="74">
        <f t="shared" si="1"/>
        <v>0</v>
      </c>
      <c r="O995" s="74" t="b">
        <v>1</v>
      </c>
    </row>
    <row r="996" hidden="1">
      <c r="A996" s="82"/>
      <c r="B996" s="65" t="s">
        <v>177</v>
      </c>
      <c r="C996" s="65" t="s">
        <v>101</v>
      </c>
      <c r="D996" s="65" t="str">
        <f>vlookup(C996,'Classificação p pessoal'!F:G,2,false)</f>
        <v>NP</v>
      </c>
      <c r="E996" s="65" t="s">
        <v>714</v>
      </c>
      <c r="F996" s="83">
        <v>0.3541666666666667</v>
      </c>
      <c r="G996" s="83">
        <v>0.4166666666666667</v>
      </c>
      <c r="H996" s="83">
        <v>0.0625</v>
      </c>
      <c r="I996" s="84">
        <v>44544.0</v>
      </c>
      <c r="J996" s="65" t="b">
        <v>1</v>
      </c>
      <c r="K996" s="65"/>
      <c r="L996" s="85" t="b">
        <f>IF(VLOOKUP(C996,Projetos!A:L,12,false)=TRUE,TRUE,FALSE)</f>
        <v>1</v>
      </c>
      <c r="M996" s="74">
        <v>31.02923620430495</v>
      </c>
      <c r="N996" s="74">
        <f t="shared" si="1"/>
        <v>46.54385431</v>
      </c>
      <c r="O996" s="74" t="b">
        <v>1</v>
      </c>
    </row>
    <row r="997" hidden="1">
      <c r="A997" s="82"/>
      <c r="B997" s="65" t="s">
        <v>177</v>
      </c>
      <c r="C997" s="65" t="s">
        <v>107</v>
      </c>
      <c r="D997" s="65"/>
      <c r="E997" s="65" t="s">
        <v>715</v>
      </c>
      <c r="F997" s="83">
        <v>0.625</v>
      </c>
      <c r="G997" s="83">
        <v>0.6458333333333334</v>
      </c>
      <c r="H997" s="83">
        <v>0.020833333333333332</v>
      </c>
      <c r="I997" s="84">
        <v>44370.0</v>
      </c>
      <c r="J997" s="65" t="b">
        <v>0</v>
      </c>
      <c r="K997" s="65" t="s">
        <v>150</v>
      </c>
      <c r="L997" s="85" t="b">
        <f>IF(VLOOKUP(C997,Projetos!A:L,12,false)=TRUE,TRUE,FALSE)</f>
        <v>1</v>
      </c>
      <c r="M997" s="74">
        <v>31.02923620430495</v>
      </c>
      <c r="N997" s="74">
        <f t="shared" si="1"/>
        <v>0</v>
      </c>
      <c r="O997" s="74" t="b">
        <v>1</v>
      </c>
    </row>
    <row r="998" hidden="1">
      <c r="A998" s="82"/>
      <c r="B998" s="65" t="s">
        <v>177</v>
      </c>
      <c r="C998" s="65" t="s">
        <v>100</v>
      </c>
      <c r="D998" s="65" t="str">
        <f>vlookup(C998,'Classificação p pessoal'!F:G,2,false)</f>
        <v>NP</v>
      </c>
      <c r="E998" s="65" t="s">
        <v>716</v>
      </c>
      <c r="F998" s="83">
        <v>0.3541666666666667</v>
      </c>
      <c r="G998" s="83">
        <v>0.3958333333333333</v>
      </c>
      <c r="H998" s="83">
        <v>0.041666666666666664</v>
      </c>
      <c r="I998" s="84">
        <v>44546.0</v>
      </c>
      <c r="J998" s="65" t="b">
        <v>1</v>
      </c>
      <c r="K998" s="65"/>
      <c r="L998" s="85" t="b">
        <f>IF(VLOOKUP(C998,Projetos!A:L,12,false)=TRUE,TRUE,FALSE)</f>
        <v>1</v>
      </c>
      <c r="M998" s="74">
        <v>31.02923620430495</v>
      </c>
      <c r="N998" s="74">
        <f t="shared" si="1"/>
        <v>31.0292362</v>
      </c>
      <c r="O998" s="74" t="b">
        <v>1</v>
      </c>
    </row>
    <row r="999" hidden="1">
      <c r="A999" s="82"/>
      <c r="B999" s="65" t="s">
        <v>177</v>
      </c>
      <c r="C999" s="65" t="s">
        <v>107</v>
      </c>
      <c r="D999" s="65"/>
      <c r="E999" s="65" t="s">
        <v>717</v>
      </c>
      <c r="F999" s="83">
        <v>0.7083333333333334</v>
      </c>
      <c r="G999" s="83">
        <v>0.75</v>
      </c>
      <c r="H999" s="83">
        <v>0.041666666666666664</v>
      </c>
      <c r="I999" s="84">
        <v>44540.0</v>
      </c>
      <c r="J999" s="65" t="b">
        <v>0</v>
      </c>
      <c r="K999" s="65" t="s">
        <v>150</v>
      </c>
      <c r="L999" s="85" t="b">
        <f>IF(VLOOKUP(C999,Projetos!A:L,12,false)=TRUE,TRUE,FALSE)</f>
        <v>1</v>
      </c>
      <c r="M999" s="74">
        <v>31.02923620430495</v>
      </c>
      <c r="N999" s="74">
        <f t="shared" si="1"/>
        <v>0</v>
      </c>
      <c r="O999" s="74" t="b">
        <v>1</v>
      </c>
    </row>
    <row r="1000" hidden="1">
      <c r="A1000" s="82"/>
      <c r="B1000" s="65" t="s">
        <v>177</v>
      </c>
      <c r="C1000" s="65" t="s">
        <v>107</v>
      </c>
      <c r="D1000" s="65"/>
      <c r="E1000" s="65" t="s">
        <v>717</v>
      </c>
      <c r="F1000" s="83">
        <v>0.6666666666666666</v>
      </c>
      <c r="G1000" s="83">
        <v>0.7083333333333334</v>
      </c>
      <c r="H1000" s="83">
        <v>0.041666666666666664</v>
      </c>
      <c r="I1000" s="84">
        <v>44543.0</v>
      </c>
      <c r="J1000" s="65" t="b">
        <v>0</v>
      </c>
      <c r="K1000" s="65" t="s">
        <v>150</v>
      </c>
      <c r="L1000" s="85" t="b">
        <f>IF(VLOOKUP(C1000,Projetos!A:L,12,false)=TRUE,TRUE,FALSE)</f>
        <v>1</v>
      </c>
      <c r="M1000" s="74">
        <v>31.02923620430495</v>
      </c>
      <c r="N1000" s="74">
        <f t="shared" si="1"/>
        <v>0</v>
      </c>
      <c r="O1000" s="74" t="b">
        <v>1</v>
      </c>
    </row>
    <row r="1001" hidden="1">
      <c r="A1001" s="82"/>
      <c r="B1001" s="65" t="s">
        <v>177</v>
      </c>
      <c r="C1001" s="65" t="s">
        <v>100</v>
      </c>
      <c r="D1001" s="65" t="str">
        <f>vlookup(C1001,'Classificação p pessoal'!F:G,2,false)</f>
        <v>NP</v>
      </c>
      <c r="E1001" s="65" t="s">
        <v>718</v>
      </c>
      <c r="F1001" s="83">
        <v>0.5416666666666666</v>
      </c>
      <c r="G1001" s="83">
        <v>0.5833333333333334</v>
      </c>
      <c r="H1001" s="83">
        <v>0.041666666666666664</v>
      </c>
      <c r="I1001" s="84">
        <v>44546.0</v>
      </c>
      <c r="J1001" s="65" t="b">
        <v>1</v>
      </c>
      <c r="K1001" s="65"/>
      <c r="L1001" s="85" t="b">
        <f>IF(VLOOKUP(C1001,Projetos!A:L,12,false)=TRUE,TRUE,FALSE)</f>
        <v>1</v>
      </c>
      <c r="M1001" s="74">
        <v>31.02923620430495</v>
      </c>
      <c r="N1001" s="74">
        <f t="shared" si="1"/>
        <v>31.0292362</v>
      </c>
      <c r="O1001" s="74" t="b">
        <v>1</v>
      </c>
    </row>
    <row r="1002" hidden="1">
      <c r="A1002" s="82"/>
      <c r="B1002" s="65" t="s">
        <v>177</v>
      </c>
      <c r="C1002" s="65" t="s">
        <v>101</v>
      </c>
      <c r="D1002" s="65" t="str">
        <f>vlookup(C1002,'Classificação p pessoal'!F:G,2,false)</f>
        <v>NP</v>
      </c>
      <c r="E1002" s="65" t="s">
        <v>719</v>
      </c>
      <c r="F1002" s="83">
        <v>0.5833333333333334</v>
      </c>
      <c r="G1002" s="83">
        <v>0.625</v>
      </c>
      <c r="H1002" s="83">
        <v>0.041666666666666664</v>
      </c>
      <c r="I1002" s="84">
        <v>44546.0</v>
      </c>
      <c r="J1002" s="65" t="b">
        <v>1</v>
      </c>
      <c r="K1002" s="65"/>
      <c r="L1002" s="85" t="b">
        <f>IF(VLOOKUP(C1002,Projetos!A:L,12,false)=TRUE,TRUE,FALSE)</f>
        <v>1</v>
      </c>
      <c r="M1002" s="74">
        <v>31.02923620430495</v>
      </c>
      <c r="N1002" s="74">
        <f t="shared" si="1"/>
        <v>31.0292362</v>
      </c>
      <c r="O1002" s="74" t="b">
        <v>1</v>
      </c>
    </row>
    <row r="1003" hidden="1">
      <c r="A1003" s="82"/>
      <c r="B1003" s="65" t="s">
        <v>177</v>
      </c>
      <c r="C1003" s="65" t="s">
        <v>120</v>
      </c>
      <c r="D1003" s="65"/>
      <c r="E1003" s="65" t="s">
        <v>720</v>
      </c>
      <c r="F1003" s="83">
        <v>0.375</v>
      </c>
      <c r="G1003" s="83">
        <v>0.4027777777777778</v>
      </c>
      <c r="H1003" s="83">
        <v>0.027777777777777776</v>
      </c>
      <c r="I1003" s="84">
        <v>44550.0</v>
      </c>
      <c r="J1003" s="65" t="b">
        <v>0</v>
      </c>
      <c r="K1003" s="65" t="s">
        <v>150</v>
      </c>
      <c r="L1003" s="85" t="b">
        <f>IF(VLOOKUP(C1003,Projetos!A:L,12,false)=TRUE,TRUE,FALSE)</f>
        <v>0</v>
      </c>
      <c r="M1003" s="74">
        <v>31.02923620430495</v>
      </c>
      <c r="N1003" s="74">
        <f t="shared" si="1"/>
        <v>0</v>
      </c>
      <c r="O1003" s="74" t="b">
        <v>0</v>
      </c>
    </row>
    <row r="1004" hidden="1">
      <c r="A1004" s="82"/>
      <c r="B1004" s="65" t="s">
        <v>177</v>
      </c>
      <c r="C1004" s="65" t="s">
        <v>112</v>
      </c>
      <c r="D1004" s="65"/>
      <c r="E1004" s="65" t="s">
        <v>721</v>
      </c>
      <c r="F1004" s="83">
        <v>0.34375</v>
      </c>
      <c r="G1004" s="83">
        <v>0.375</v>
      </c>
      <c r="H1004" s="83">
        <v>0.03125</v>
      </c>
      <c r="I1004" s="84">
        <v>44550.0</v>
      </c>
      <c r="J1004" s="65" t="b">
        <v>0</v>
      </c>
      <c r="K1004" s="65"/>
      <c r="L1004" s="85" t="b">
        <f>IF(VLOOKUP(C1004,Projetos!A:L,12,false)=TRUE,TRUE,FALSE)</f>
        <v>0</v>
      </c>
      <c r="M1004" s="74">
        <v>31.02923620430495</v>
      </c>
      <c r="N1004" s="74">
        <f t="shared" si="1"/>
        <v>0</v>
      </c>
      <c r="O1004" s="74" t="b">
        <v>0</v>
      </c>
    </row>
    <row r="1005" hidden="1">
      <c r="A1005" s="82"/>
      <c r="B1005" s="65" t="s">
        <v>177</v>
      </c>
      <c r="C1005" s="65" t="s">
        <v>107</v>
      </c>
      <c r="D1005" s="65" t="str">
        <f>vlookup(C1005,'Classificação p pessoal'!F:G,2,false)</f>
        <v>NP</v>
      </c>
      <c r="E1005" s="65" t="s">
        <v>722</v>
      </c>
      <c r="F1005" s="83">
        <v>0.4027777777777778</v>
      </c>
      <c r="G1005" s="83">
        <v>0.5416666666666666</v>
      </c>
      <c r="H1005" s="83">
        <v>0.1388888888888889</v>
      </c>
      <c r="I1005" s="84">
        <v>44550.0</v>
      </c>
      <c r="J1005" s="65" t="b">
        <v>1</v>
      </c>
      <c r="K1005" s="65"/>
      <c r="L1005" s="85" t="b">
        <f>IF(VLOOKUP(C1005,Projetos!A:L,12,false)=TRUE,TRUE,FALSE)</f>
        <v>1</v>
      </c>
      <c r="M1005" s="74">
        <v>31.02923620430495</v>
      </c>
      <c r="N1005" s="74">
        <f t="shared" si="1"/>
        <v>103.4307873</v>
      </c>
      <c r="O1005" s="74" t="b">
        <v>1</v>
      </c>
    </row>
    <row r="1006" hidden="1">
      <c r="A1006" s="82"/>
      <c r="B1006" s="65" t="s">
        <v>177</v>
      </c>
      <c r="C1006" s="65" t="s">
        <v>100</v>
      </c>
      <c r="D1006" s="65"/>
      <c r="E1006" s="65" t="s">
        <v>723</v>
      </c>
      <c r="F1006" s="83">
        <v>0.4375</v>
      </c>
      <c r="G1006" s="83">
        <v>0.5</v>
      </c>
      <c r="H1006" s="83">
        <v>0.0625</v>
      </c>
      <c r="I1006" s="84">
        <v>44545.0</v>
      </c>
      <c r="J1006" s="65" t="b">
        <v>0</v>
      </c>
      <c r="K1006" s="65" t="s">
        <v>150</v>
      </c>
      <c r="L1006" s="85" t="b">
        <f>IF(VLOOKUP(C1006,Projetos!A:L,12,false)=TRUE,TRUE,FALSE)</f>
        <v>1</v>
      </c>
      <c r="M1006" s="74">
        <v>31.02923620430495</v>
      </c>
      <c r="N1006" s="74">
        <f t="shared" si="1"/>
        <v>0</v>
      </c>
      <c r="O1006" s="74" t="b">
        <v>1</v>
      </c>
    </row>
    <row r="1007" hidden="1">
      <c r="A1007" s="82"/>
      <c r="B1007" s="65" t="s">
        <v>177</v>
      </c>
      <c r="C1007" s="65" t="s">
        <v>107</v>
      </c>
      <c r="D1007" s="65" t="str">
        <f>vlookup(C1007,'Classificação p pessoal'!F:G,2,false)</f>
        <v>NP</v>
      </c>
      <c r="E1007" s="65" t="s">
        <v>724</v>
      </c>
      <c r="F1007" s="83">
        <v>0.3958333333333333</v>
      </c>
      <c r="G1007" s="83">
        <v>0.625</v>
      </c>
      <c r="H1007" s="83">
        <v>0.22916666666666666</v>
      </c>
      <c r="I1007" s="84">
        <v>44551.0</v>
      </c>
      <c r="J1007" s="65" t="b">
        <v>1</v>
      </c>
      <c r="K1007" s="65"/>
      <c r="L1007" s="85" t="b">
        <f>IF(VLOOKUP(C1007,Projetos!A:L,12,false)=TRUE,TRUE,FALSE)</f>
        <v>1</v>
      </c>
      <c r="M1007" s="74">
        <v>31.02923620430495</v>
      </c>
      <c r="N1007" s="74">
        <f t="shared" si="1"/>
        <v>170.6607991</v>
      </c>
      <c r="O1007" s="74" t="b">
        <v>1</v>
      </c>
    </row>
    <row r="1008" hidden="1">
      <c r="A1008" s="82"/>
      <c r="B1008" s="65" t="s">
        <v>411</v>
      </c>
      <c r="C1008" s="65" t="s">
        <v>120</v>
      </c>
      <c r="D1008" s="65"/>
      <c r="E1008" s="65" t="s">
        <v>725</v>
      </c>
      <c r="F1008" s="83">
        <v>0.7083333333333334</v>
      </c>
      <c r="G1008" s="83">
        <v>0.75</v>
      </c>
      <c r="H1008" s="83">
        <v>0.041666666666666664</v>
      </c>
      <c r="I1008" s="84">
        <v>44418.0</v>
      </c>
      <c r="J1008" s="65" t="b">
        <v>0</v>
      </c>
      <c r="K1008" s="65"/>
      <c r="L1008" s="85" t="b">
        <f>IF(VLOOKUP(C1008,Projetos!A:L,12,false)=TRUE,TRUE,FALSE)</f>
        <v>0</v>
      </c>
      <c r="M1008" s="74">
        <v>52.48434411075036</v>
      </c>
      <c r="N1008" s="74">
        <f t="shared" si="1"/>
        <v>0</v>
      </c>
      <c r="O1008" s="74" t="b">
        <v>0</v>
      </c>
    </row>
    <row r="1009" hidden="1">
      <c r="A1009" s="82"/>
      <c r="B1009" s="65" t="s">
        <v>177</v>
      </c>
      <c r="C1009" s="65" t="s">
        <v>89</v>
      </c>
      <c r="D1009" s="65" t="str">
        <f>vlookup(C1009,'Classificação p pessoal'!F:G,2,false)</f>
        <v>NP</v>
      </c>
      <c r="E1009" s="65" t="s">
        <v>726</v>
      </c>
      <c r="F1009" s="83">
        <v>0.6666666666666666</v>
      </c>
      <c r="G1009" s="83">
        <v>0.75</v>
      </c>
      <c r="H1009" s="83">
        <v>0.08333333333333333</v>
      </c>
      <c r="I1009" s="84">
        <v>44551.0</v>
      </c>
      <c r="J1009" s="65" t="b">
        <v>1</v>
      </c>
      <c r="K1009" s="65"/>
      <c r="L1009" s="85" t="b">
        <f>IF(VLOOKUP(C1009,Projetos!A:L,12,false)=TRUE,TRUE,FALSE)</f>
        <v>1</v>
      </c>
      <c r="M1009" s="74">
        <v>31.02923620430495</v>
      </c>
      <c r="N1009" s="74">
        <f t="shared" si="1"/>
        <v>62.05847241</v>
      </c>
      <c r="O1009" s="74" t="b">
        <v>1</v>
      </c>
    </row>
    <row r="1010" hidden="1">
      <c r="A1010" s="82"/>
      <c r="B1010" s="65" t="s">
        <v>411</v>
      </c>
      <c r="C1010" s="65" t="s">
        <v>106</v>
      </c>
      <c r="D1010" s="65" t="str">
        <f>vlookup(C1010,'Classificação p pessoal'!F:G,2,false)</f>
        <v>MProcesso</v>
      </c>
      <c r="E1010" s="65" t="s">
        <v>727</v>
      </c>
      <c r="F1010" s="83">
        <v>0.3819444444444444</v>
      </c>
      <c r="G1010" s="83">
        <v>0.4583333333333333</v>
      </c>
      <c r="H1010" s="83">
        <v>0.0763888888888889</v>
      </c>
      <c r="I1010" s="84">
        <v>44418.0</v>
      </c>
      <c r="J1010" s="65" t="b">
        <v>1</v>
      </c>
      <c r="K1010" s="65"/>
      <c r="L1010" s="85" t="b">
        <f>IF(VLOOKUP(C1010,Projetos!A:L,12,false)=TRUE,TRUE,FALSE)</f>
        <v>1</v>
      </c>
      <c r="M1010" s="74">
        <v>52.48434411075036</v>
      </c>
      <c r="N1010" s="74">
        <f t="shared" si="1"/>
        <v>96.22129754</v>
      </c>
      <c r="O1010" s="74" t="b">
        <v>1</v>
      </c>
    </row>
    <row r="1011" hidden="1">
      <c r="A1011" s="82"/>
      <c r="B1011" s="65" t="s">
        <v>177</v>
      </c>
      <c r="C1011" s="65" t="s">
        <v>91</v>
      </c>
      <c r="D1011" s="65" t="str">
        <f>vlookup(C1011,'Classificação p pessoal'!F:G,2,false)</f>
        <v>NP</v>
      </c>
      <c r="E1011" s="65" t="s">
        <v>728</v>
      </c>
      <c r="F1011" s="83">
        <v>0.4166666666666667</v>
      </c>
      <c r="G1011" s="83">
        <v>0.4583333333333333</v>
      </c>
      <c r="H1011" s="83">
        <v>0.041666666666666664</v>
      </c>
      <c r="I1011" s="84">
        <v>44553.0</v>
      </c>
      <c r="J1011" s="65" t="b">
        <v>1</v>
      </c>
      <c r="K1011" s="65"/>
      <c r="L1011" s="85" t="b">
        <f>IF(VLOOKUP(C1011,Projetos!A:L,12,false)=TRUE,TRUE,FALSE)</f>
        <v>1</v>
      </c>
      <c r="M1011" s="74">
        <v>31.02923620430495</v>
      </c>
      <c r="N1011" s="74">
        <f t="shared" si="1"/>
        <v>31.0292362</v>
      </c>
      <c r="O1011" s="74" t="b">
        <v>1</v>
      </c>
    </row>
    <row r="1012" hidden="1">
      <c r="A1012" s="82"/>
      <c r="B1012" s="65" t="s">
        <v>177</v>
      </c>
      <c r="C1012" s="65" t="s">
        <v>101</v>
      </c>
      <c r="D1012" s="65" t="str">
        <f>vlookup(C1012,'Classificação p pessoal'!F:G,2,false)</f>
        <v>NP</v>
      </c>
      <c r="E1012" s="65" t="s">
        <v>729</v>
      </c>
      <c r="F1012" s="83">
        <v>0.4583333333333333</v>
      </c>
      <c r="G1012" s="83">
        <v>0.7083333333333334</v>
      </c>
      <c r="H1012" s="83">
        <v>0.25</v>
      </c>
      <c r="I1012" s="84">
        <v>44553.0</v>
      </c>
      <c r="J1012" s="65" t="b">
        <v>1</v>
      </c>
      <c r="K1012" s="65"/>
      <c r="L1012" s="85" t="b">
        <f>IF(VLOOKUP(C1012,Projetos!A:L,12,false)=TRUE,TRUE,FALSE)</f>
        <v>1</v>
      </c>
      <c r="M1012" s="74">
        <v>31.02923620430495</v>
      </c>
      <c r="N1012" s="74">
        <f t="shared" si="1"/>
        <v>186.1754172</v>
      </c>
      <c r="O1012" s="74" t="b">
        <v>1</v>
      </c>
    </row>
    <row r="1013" hidden="1">
      <c r="A1013" s="82"/>
      <c r="B1013" s="65" t="s">
        <v>177</v>
      </c>
      <c r="C1013" s="65" t="s">
        <v>100</v>
      </c>
      <c r="D1013" s="65" t="str">
        <f>vlookup(C1013,'Classificação p pessoal'!F:G,2,false)</f>
        <v>NP</v>
      </c>
      <c r="E1013" s="65" t="s">
        <v>730</v>
      </c>
      <c r="F1013" s="83">
        <v>0.3333333333333333</v>
      </c>
      <c r="G1013" s="83">
        <v>0.3611111111111111</v>
      </c>
      <c r="H1013" s="83">
        <v>0.027777777777777776</v>
      </c>
      <c r="I1013" s="84">
        <v>44557.0</v>
      </c>
      <c r="J1013" s="65" t="b">
        <v>1</v>
      </c>
      <c r="K1013" s="65"/>
      <c r="L1013" s="85" t="b">
        <f>IF(VLOOKUP(C1013,Projetos!A:L,12,false)=TRUE,TRUE,FALSE)</f>
        <v>1</v>
      </c>
      <c r="M1013" s="74">
        <v>31.02923620430495</v>
      </c>
      <c r="N1013" s="74">
        <f t="shared" si="1"/>
        <v>20.68615747</v>
      </c>
      <c r="O1013" s="74" t="b">
        <v>1</v>
      </c>
    </row>
    <row r="1014" hidden="1">
      <c r="A1014" s="82"/>
      <c r="B1014" s="65" t="s">
        <v>177</v>
      </c>
      <c r="C1014" s="65" t="s">
        <v>107</v>
      </c>
      <c r="D1014" s="65" t="str">
        <f>vlookup(C1014,'Classificação p pessoal'!F:G,2,false)</f>
        <v>NP</v>
      </c>
      <c r="E1014" s="65" t="s">
        <v>731</v>
      </c>
      <c r="F1014" s="83">
        <v>0.3611111111111111</v>
      </c>
      <c r="G1014" s="83">
        <v>0.4027777777777778</v>
      </c>
      <c r="H1014" s="83">
        <v>0.041666666666666664</v>
      </c>
      <c r="I1014" s="84">
        <v>44557.0</v>
      </c>
      <c r="J1014" s="65" t="b">
        <v>1</v>
      </c>
      <c r="K1014" s="65"/>
      <c r="L1014" s="85" t="b">
        <f>IF(VLOOKUP(C1014,Projetos!A:L,12,false)=TRUE,TRUE,FALSE)</f>
        <v>1</v>
      </c>
      <c r="M1014" s="74">
        <v>31.02923620430495</v>
      </c>
      <c r="N1014" s="74">
        <f t="shared" si="1"/>
        <v>31.0292362</v>
      </c>
      <c r="O1014" s="74" t="b">
        <v>1</v>
      </c>
    </row>
    <row r="1015" hidden="1">
      <c r="A1015" s="82"/>
      <c r="B1015" s="65" t="s">
        <v>177</v>
      </c>
      <c r="C1015" s="65" t="s">
        <v>111</v>
      </c>
      <c r="D1015" s="65"/>
      <c r="E1015" s="65" t="s">
        <v>732</v>
      </c>
      <c r="F1015" s="83">
        <v>0.4027777777777778</v>
      </c>
      <c r="G1015" s="83">
        <v>0.5</v>
      </c>
      <c r="H1015" s="83">
        <v>0.09722222222222222</v>
      </c>
      <c r="I1015" s="84">
        <v>44557.0</v>
      </c>
      <c r="J1015" s="65" t="b">
        <v>1</v>
      </c>
      <c r="K1015" s="65"/>
      <c r="L1015" s="85" t="b">
        <f>IF(VLOOKUP(C1015,Projetos!A:L,12,false)=TRUE,TRUE,FALSE)</f>
        <v>0</v>
      </c>
      <c r="M1015" s="74">
        <v>31.02923620430495</v>
      </c>
      <c r="N1015" s="74">
        <f t="shared" si="1"/>
        <v>0</v>
      </c>
      <c r="O1015" s="74" t="b">
        <v>0</v>
      </c>
    </row>
    <row r="1016" hidden="1">
      <c r="A1016" s="82"/>
      <c r="B1016" s="65" t="s">
        <v>177</v>
      </c>
      <c r="C1016" s="65" t="s">
        <v>101</v>
      </c>
      <c r="D1016" s="65" t="str">
        <f>vlookup(C1016,'Classificação p pessoal'!F:G,2,false)</f>
        <v>NP</v>
      </c>
      <c r="E1016" s="65" t="s">
        <v>733</v>
      </c>
      <c r="F1016" s="83">
        <v>0.3541666666666667</v>
      </c>
      <c r="G1016" s="83">
        <v>0.4166666666666667</v>
      </c>
      <c r="H1016" s="83">
        <v>0.0625</v>
      </c>
      <c r="I1016" s="84">
        <v>44558.0</v>
      </c>
      <c r="J1016" s="65" t="b">
        <v>1</v>
      </c>
      <c r="K1016" s="65"/>
      <c r="L1016" s="85" t="b">
        <f>IF(VLOOKUP(C1016,Projetos!A:L,12,false)=TRUE,TRUE,FALSE)</f>
        <v>1</v>
      </c>
      <c r="M1016" s="74">
        <v>31.02923620430495</v>
      </c>
      <c r="N1016" s="74">
        <f t="shared" si="1"/>
        <v>46.54385431</v>
      </c>
      <c r="O1016" s="74" t="b">
        <v>1</v>
      </c>
    </row>
    <row r="1017" hidden="1">
      <c r="A1017" s="82"/>
      <c r="B1017" s="65" t="s">
        <v>467</v>
      </c>
      <c r="C1017" s="65" t="s">
        <v>130</v>
      </c>
      <c r="D1017" s="65"/>
      <c r="E1017" s="65" t="s">
        <v>734</v>
      </c>
      <c r="F1017" s="83">
        <v>0.5833333333333334</v>
      </c>
      <c r="G1017" s="83">
        <v>0.6458333333333334</v>
      </c>
      <c r="H1017" s="83">
        <v>0.0625</v>
      </c>
      <c r="I1017" s="84">
        <v>44321.0</v>
      </c>
      <c r="J1017" s="65" t="b">
        <v>0</v>
      </c>
      <c r="K1017" s="65" t="s">
        <v>150</v>
      </c>
      <c r="L1017" s="85" t="b">
        <f>IF(VLOOKUP(C1017,Projetos!A:L,12,false)=TRUE,TRUE,FALSE)</f>
        <v>1</v>
      </c>
      <c r="M1017" s="74">
        <v>52.1518759018759</v>
      </c>
      <c r="N1017" s="74">
        <f t="shared" si="1"/>
        <v>0</v>
      </c>
      <c r="O1017" s="74" t="b">
        <v>1</v>
      </c>
    </row>
    <row r="1018" hidden="1">
      <c r="A1018" s="82"/>
      <c r="B1018" s="65" t="s">
        <v>177</v>
      </c>
      <c r="C1018" s="65" t="s">
        <v>107</v>
      </c>
      <c r="D1018" s="65" t="str">
        <f>vlookup(C1018,'Classificação p pessoal'!F:G,2,false)</f>
        <v>NP</v>
      </c>
      <c r="E1018" s="65" t="s">
        <v>735</v>
      </c>
      <c r="F1018" s="83">
        <v>0.375</v>
      </c>
      <c r="G1018" s="83">
        <v>0.6875</v>
      </c>
      <c r="H1018" s="83">
        <v>0.3125</v>
      </c>
      <c r="I1018" s="84">
        <v>44559.0</v>
      </c>
      <c r="J1018" s="65" t="b">
        <v>1</v>
      </c>
      <c r="K1018" s="65"/>
      <c r="L1018" s="85" t="b">
        <f>IF(VLOOKUP(C1018,Projetos!A:L,12,false)=TRUE,TRUE,FALSE)</f>
        <v>1</v>
      </c>
      <c r="M1018" s="74">
        <v>31.02923620430495</v>
      </c>
      <c r="N1018" s="74">
        <f t="shared" si="1"/>
        <v>232.7192715</v>
      </c>
      <c r="O1018" s="74" t="b">
        <v>1</v>
      </c>
    </row>
    <row r="1019" hidden="1">
      <c r="A1019" s="82"/>
      <c r="B1019" s="65" t="s">
        <v>177</v>
      </c>
      <c r="C1019" s="65" t="s">
        <v>118</v>
      </c>
      <c r="D1019" s="65" t="str">
        <f>vlookup(C1019,'Classificação p pessoal'!F:G,2,false)</f>
        <v>MProduto</v>
      </c>
      <c r="E1019" s="65" t="s">
        <v>736</v>
      </c>
      <c r="F1019" s="83">
        <v>0.7083333333333334</v>
      </c>
      <c r="G1019" s="83">
        <v>0.75</v>
      </c>
      <c r="H1019" s="83">
        <v>0.041666666666666664</v>
      </c>
      <c r="I1019" s="84">
        <v>44559.0</v>
      </c>
      <c r="J1019" s="65" t="b">
        <v>1</v>
      </c>
      <c r="K1019" s="65"/>
      <c r="L1019" s="85" t="b">
        <f>IF(VLOOKUP(C1019,Projetos!A:L,12,false)=TRUE,TRUE,FALSE)</f>
        <v>1</v>
      </c>
      <c r="M1019" s="74">
        <v>31.02923620430495</v>
      </c>
      <c r="N1019" s="74">
        <f t="shared" si="1"/>
        <v>31.0292362</v>
      </c>
      <c r="O1019" s="74" t="b">
        <v>1</v>
      </c>
    </row>
    <row r="1020" hidden="1">
      <c r="A1020" s="82"/>
      <c r="B1020" s="65" t="s">
        <v>177</v>
      </c>
      <c r="C1020" s="65" t="s">
        <v>107</v>
      </c>
      <c r="D1020" s="65" t="str">
        <f>vlookup(C1020,'Classificação p pessoal'!F:G,2,false)</f>
        <v>NP</v>
      </c>
      <c r="E1020" s="65" t="s">
        <v>735</v>
      </c>
      <c r="F1020" s="83">
        <v>0.375</v>
      </c>
      <c r="G1020" s="83">
        <v>0.625</v>
      </c>
      <c r="H1020" s="83">
        <v>0.25</v>
      </c>
      <c r="I1020" s="84">
        <v>44560.0</v>
      </c>
      <c r="J1020" s="65" t="b">
        <v>1</v>
      </c>
      <c r="K1020" s="65"/>
      <c r="L1020" s="85" t="b">
        <f>IF(VLOOKUP(C1020,Projetos!A:L,12,false)=TRUE,TRUE,FALSE)</f>
        <v>1</v>
      </c>
      <c r="M1020" s="74">
        <v>31.02923620430495</v>
      </c>
      <c r="N1020" s="74">
        <f t="shared" si="1"/>
        <v>186.1754172</v>
      </c>
      <c r="O1020" s="74" t="b">
        <v>1</v>
      </c>
    </row>
    <row r="1021" hidden="1">
      <c r="A1021" s="82"/>
      <c r="B1021" s="65" t="s">
        <v>177</v>
      </c>
      <c r="C1021" s="65" t="s">
        <v>107</v>
      </c>
      <c r="D1021" s="65" t="str">
        <f>vlookup(C1021,'Classificação p pessoal'!F:G,2,false)</f>
        <v>NP</v>
      </c>
      <c r="E1021" s="65" t="s">
        <v>737</v>
      </c>
      <c r="F1021" s="83">
        <v>0.625</v>
      </c>
      <c r="G1021" s="83">
        <v>0.75</v>
      </c>
      <c r="H1021" s="83">
        <v>0.125</v>
      </c>
      <c r="I1021" s="84">
        <v>44560.0</v>
      </c>
      <c r="J1021" s="65" t="b">
        <v>1</v>
      </c>
      <c r="K1021" s="65"/>
      <c r="L1021" s="85" t="b">
        <f>IF(VLOOKUP(C1021,Projetos!A:L,12,false)=TRUE,TRUE,FALSE)</f>
        <v>1</v>
      </c>
      <c r="M1021" s="74">
        <v>31.02923620430495</v>
      </c>
      <c r="N1021" s="74">
        <f t="shared" si="1"/>
        <v>93.08770861</v>
      </c>
      <c r="O1021" s="74" t="b">
        <v>1</v>
      </c>
    </row>
    <row r="1022" hidden="1">
      <c r="A1022" s="82"/>
      <c r="B1022" s="65" t="s">
        <v>177</v>
      </c>
      <c r="C1022" s="65" t="s">
        <v>98</v>
      </c>
      <c r="D1022" s="65" t="str">
        <f>vlookup(C1022,'Classificação p pessoal'!F:G,2,false)</f>
        <v>NP</v>
      </c>
      <c r="E1022" s="65" t="s">
        <v>738</v>
      </c>
      <c r="F1022" s="83">
        <v>0.4444444444444444</v>
      </c>
      <c r="G1022" s="83">
        <v>0.7083333333333334</v>
      </c>
      <c r="H1022" s="83">
        <v>0.2638888888888889</v>
      </c>
      <c r="I1022" s="84">
        <v>44558.0</v>
      </c>
      <c r="J1022" s="65" t="b">
        <v>1</v>
      </c>
      <c r="K1022" s="65"/>
      <c r="L1022" s="85" t="b">
        <f>IF(VLOOKUP(C1022,Projetos!A:L,12,false)=TRUE,TRUE,FALSE)</f>
        <v>1</v>
      </c>
      <c r="M1022" s="74">
        <v>31.02923620430495</v>
      </c>
      <c r="N1022" s="74">
        <f t="shared" si="1"/>
        <v>196.518496</v>
      </c>
      <c r="O1022" s="74" t="b">
        <v>1</v>
      </c>
    </row>
    <row r="1023" hidden="1">
      <c r="A1023" s="82"/>
      <c r="B1023" s="65" t="s">
        <v>177</v>
      </c>
      <c r="C1023" s="65" t="s">
        <v>92</v>
      </c>
      <c r="D1023" s="65" t="str">
        <f>vlookup(C1023,'Classificação p pessoal'!F:G,2,false)</f>
        <v/>
      </c>
      <c r="E1023" s="65" t="s">
        <v>739</v>
      </c>
      <c r="F1023" s="83">
        <v>0.6875</v>
      </c>
      <c r="G1023" s="83">
        <v>0.75</v>
      </c>
      <c r="H1023" s="83">
        <v>0.0625</v>
      </c>
      <c r="I1023" s="84">
        <v>44293.0</v>
      </c>
      <c r="J1023" s="65" t="b">
        <v>1</v>
      </c>
      <c r="K1023" s="65"/>
      <c r="L1023" s="85" t="b">
        <f>IF(VLOOKUP(C1023,Projetos!A:L,12,false)=TRUE,TRUE,FALSE)</f>
        <v>1</v>
      </c>
      <c r="M1023" s="74">
        <v>31.02923620430495</v>
      </c>
      <c r="N1023" s="74">
        <f t="shared" si="1"/>
        <v>46.54385431</v>
      </c>
      <c r="O1023" s="74" t="b">
        <v>1</v>
      </c>
    </row>
    <row r="1024">
      <c r="A1024" s="82"/>
      <c r="B1024" s="65" t="s">
        <v>177</v>
      </c>
      <c r="C1024" s="65" t="s">
        <v>108</v>
      </c>
      <c r="D1024" s="65" t="str">
        <f>vlookup(C1024,'Classificação p pessoal'!F:G,2,false)</f>
        <v>NP</v>
      </c>
      <c r="E1024" s="65" t="s">
        <v>739</v>
      </c>
      <c r="F1024" s="83">
        <v>0.625</v>
      </c>
      <c r="G1024" s="83">
        <v>0.7083333333333334</v>
      </c>
      <c r="H1024" s="83">
        <v>0.08333333333333333</v>
      </c>
      <c r="I1024" s="84">
        <v>44467.0</v>
      </c>
      <c r="J1024" s="65" t="b">
        <v>1</v>
      </c>
      <c r="K1024" s="65"/>
      <c r="L1024" s="85" t="b">
        <f>IF(VLOOKUP(C1024,Projetos!A:L,12,false)=TRUE,TRUE,FALSE)</f>
        <v>1</v>
      </c>
      <c r="M1024" s="74">
        <v>31.02923620430495</v>
      </c>
      <c r="N1024" s="74">
        <f t="shared" si="1"/>
        <v>62.05847241</v>
      </c>
      <c r="O1024" s="74" t="b">
        <v>1</v>
      </c>
    </row>
    <row r="1025" hidden="1">
      <c r="A1025" s="82"/>
      <c r="B1025" s="65" t="s">
        <v>177</v>
      </c>
      <c r="C1025" s="65" t="s">
        <v>100</v>
      </c>
      <c r="D1025" s="65" t="str">
        <f>vlookup(C1025,'Classificação p pessoal'!F:G,2,false)</f>
        <v>NP</v>
      </c>
      <c r="E1025" s="65" t="s">
        <v>740</v>
      </c>
      <c r="F1025" s="83">
        <v>0.625</v>
      </c>
      <c r="G1025" s="83">
        <v>0.6666666666666666</v>
      </c>
      <c r="H1025" s="83">
        <v>0.041666666666666664</v>
      </c>
      <c r="I1025" s="84">
        <v>44529.0</v>
      </c>
      <c r="J1025" s="65" t="b">
        <v>1</v>
      </c>
      <c r="K1025" s="65"/>
      <c r="L1025" s="85" t="b">
        <f>IF(VLOOKUP(C1025,Projetos!A:L,12,false)=TRUE,TRUE,FALSE)</f>
        <v>1</v>
      </c>
      <c r="M1025" s="74">
        <v>31.02923620430495</v>
      </c>
      <c r="N1025" s="74">
        <f t="shared" si="1"/>
        <v>31.0292362</v>
      </c>
      <c r="O1025" s="74" t="b">
        <v>1</v>
      </c>
    </row>
    <row r="1026" hidden="1">
      <c r="A1026" s="82"/>
      <c r="B1026" s="65" t="s">
        <v>177</v>
      </c>
      <c r="C1026" s="65" t="s">
        <v>100</v>
      </c>
      <c r="D1026" s="65" t="str">
        <f>vlookup(C1026,'Classificação p pessoal'!F:G,2,false)</f>
        <v>NP</v>
      </c>
      <c r="E1026" s="65" t="s">
        <v>741</v>
      </c>
      <c r="F1026" s="83">
        <v>0.625</v>
      </c>
      <c r="G1026" s="83">
        <v>0.6666666666666666</v>
      </c>
      <c r="H1026" s="83">
        <v>0.041666666666666664</v>
      </c>
      <c r="I1026" s="84">
        <v>44522.0</v>
      </c>
      <c r="J1026" s="65" t="b">
        <v>1</v>
      </c>
      <c r="K1026" s="65"/>
      <c r="L1026" s="85" t="b">
        <f>IF(VLOOKUP(C1026,Projetos!A:L,12,false)=TRUE,TRUE,FALSE)</f>
        <v>1</v>
      </c>
      <c r="M1026" s="74">
        <v>31.02923620430495</v>
      </c>
      <c r="N1026" s="74">
        <f t="shared" si="1"/>
        <v>31.0292362</v>
      </c>
      <c r="O1026" s="74" t="b">
        <v>1</v>
      </c>
    </row>
    <row r="1027" hidden="1">
      <c r="A1027" s="82"/>
      <c r="B1027" s="65" t="s">
        <v>177</v>
      </c>
      <c r="C1027" s="65" t="s">
        <v>92</v>
      </c>
      <c r="D1027" s="65" t="str">
        <f>vlookup(C1027,'Classificação p pessoal'!F:G,2,false)</f>
        <v/>
      </c>
      <c r="E1027" s="65" t="s">
        <v>742</v>
      </c>
      <c r="F1027" s="83">
        <v>0.625</v>
      </c>
      <c r="G1027" s="83">
        <v>0.6666666666666666</v>
      </c>
      <c r="H1027" s="83">
        <v>0.041666666666666664</v>
      </c>
      <c r="I1027" s="84">
        <v>44309.0</v>
      </c>
      <c r="J1027" s="65" t="b">
        <v>1</v>
      </c>
      <c r="K1027" s="65"/>
      <c r="L1027" s="85" t="b">
        <f>IF(VLOOKUP(C1027,Projetos!A:L,12,false)=TRUE,TRUE,FALSE)</f>
        <v>1</v>
      </c>
      <c r="M1027" s="74">
        <v>31.02923620430495</v>
      </c>
      <c r="N1027" s="74">
        <f t="shared" si="1"/>
        <v>31.0292362</v>
      </c>
      <c r="O1027" s="74" t="b">
        <v>1</v>
      </c>
    </row>
    <row r="1028" hidden="1">
      <c r="A1028" s="82"/>
      <c r="B1028" s="65" t="s">
        <v>177</v>
      </c>
      <c r="C1028" s="65" t="s">
        <v>106</v>
      </c>
      <c r="D1028" s="65" t="str">
        <f>vlookup(C1028,'Classificação p pessoal'!F:G,2,false)</f>
        <v>MProcesso</v>
      </c>
      <c r="E1028" s="65" t="s">
        <v>743</v>
      </c>
      <c r="F1028" s="83">
        <v>0.3958333333333333</v>
      </c>
      <c r="G1028" s="83">
        <v>0.4375</v>
      </c>
      <c r="H1028" s="83">
        <v>0.041666666666666664</v>
      </c>
      <c r="I1028" s="84">
        <v>44267.0</v>
      </c>
      <c r="J1028" s="65" t="b">
        <v>1</v>
      </c>
      <c r="K1028" s="65"/>
      <c r="L1028" s="85" t="b">
        <f>IF(VLOOKUP(C1028,Projetos!A:L,12,false)=TRUE,TRUE,FALSE)</f>
        <v>1</v>
      </c>
      <c r="M1028" s="74">
        <v>31.02923620430495</v>
      </c>
      <c r="N1028" s="74">
        <f t="shared" si="1"/>
        <v>31.0292362</v>
      </c>
      <c r="O1028" s="74" t="b">
        <v>1</v>
      </c>
    </row>
    <row r="1029" hidden="1">
      <c r="A1029" s="82"/>
      <c r="B1029" s="65" t="s">
        <v>177</v>
      </c>
      <c r="C1029" s="65" t="s">
        <v>91</v>
      </c>
      <c r="D1029" s="65"/>
      <c r="E1029" s="65" t="s">
        <v>744</v>
      </c>
      <c r="F1029" s="83">
        <v>0.6944444444444444</v>
      </c>
      <c r="G1029" s="83">
        <v>0.7152777777777778</v>
      </c>
      <c r="H1029" s="83">
        <v>0.020833333333333332</v>
      </c>
      <c r="I1029" s="84">
        <v>44537.0</v>
      </c>
      <c r="J1029" s="65" t="b">
        <v>0</v>
      </c>
      <c r="K1029" s="65" t="s">
        <v>150</v>
      </c>
      <c r="L1029" s="85" t="b">
        <f>IF(VLOOKUP(C1029,Projetos!A:L,12,false)=TRUE,TRUE,FALSE)</f>
        <v>1</v>
      </c>
      <c r="M1029" s="74">
        <v>31.02923620430495</v>
      </c>
      <c r="N1029" s="74">
        <f t="shared" si="1"/>
        <v>0</v>
      </c>
      <c r="O1029" s="74" t="b">
        <v>1</v>
      </c>
    </row>
    <row r="1030" hidden="1">
      <c r="A1030" s="82"/>
      <c r="B1030" s="65" t="s">
        <v>177</v>
      </c>
      <c r="C1030" s="65" t="s">
        <v>120</v>
      </c>
      <c r="D1030" s="65"/>
      <c r="E1030" s="65" t="s">
        <v>745</v>
      </c>
      <c r="F1030" s="83">
        <v>0.7152777777777778</v>
      </c>
      <c r="G1030" s="83">
        <v>0.7361111111111112</v>
      </c>
      <c r="H1030" s="83">
        <v>0.020833333333333332</v>
      </c>
      <c r="I1030" s="84">
        <v>44537.0</v>
      </c>
      <c r="J1030" s="65" t="b">
        <v>0</v>
      </c>
      <c r="K1030" s="65" t="s">
        <v>150</v>
      </c>
      <c r="L1030" s="85" t="b">
        <f>IF(VLOOKUP(C1030,Projetos!A:L,12,false)=TRUE,TRUE,FALSE)</f>
        <v>0</v>
      </c>
      <c r="M1030" s="74">
        <v>31.02923620430495</v>
      </c>
      <c r="N1030" s="74">
        <f t="shared" si="1"/>
        <v>0</v>
      </c>
      <c r="O1030" s="74" t="b">
        <v>0</v>
      </c>
    </row>
    <row r="1031" hidden="1">
      <c r="A1031" s="82"/>
      <c r="B1031" s="65" t="s">
        <v>177</v>
      </c>
      <c r="C1031" s="65" t="s">
        <v>91</v>
      </c>
      <c r="D1031" s="65"/>
      <c r="E1031" s="65" t="s">
        <v>746</v>
      </c>
      <c r="F1031" s="83">
        <v>0.6666666666666666</v>
      </c>
      <c r="G1031" s="83">
        <v>0.75</v>
      </c>
      <c r="H1031" s="83">
        <v>0.08333333333333333</v>
      </c>
      <c r="I1031" s="84">
        <v>44522.0</v>
      </c>
      <c r="J1031" s="65" t="b">
        <v>0</v>
      </c>
      <c r="K1031" s="65" t="s">
        <v>150</v>
      </c>
      <c r="L1031" s="85" t="b">
        <f>IF(VLOOKUP(C1031,Projetos!A:L,12,false)=TRUE,TRUE,FALSE)</f>
        <v>1</v>
      </c>
      <c r="M1031" s="74">
        <v>31.02923620430495</v>
      </c>
      <c r="N1031" s="74">
        <f t="shared" si="1"/>
        <v>0</v>
      </c>
      <c r="O1031" s="74" t="b">
        <v>1</v>
      </c>
    </row>
    <row r="1032" hidden="1">
      <c r="A1032" s="82"/>
      <c r="B1032" s="65" t="s">
        <v>177</v>
      </c>
      <c r="C1032" s="65" t="s">
        <v>92</v>
      </c>
      <c r="D1032" s="65"/>
      <c r="E1032" s="65" t="s">
        <v>747</v>
      </c>
      <c r="F1032" s="83">
        <v>0.375</v>
      </c>
      <c r="G1032" s="83">
        <v>0.4166666666666667</v>
      </c>
      <c r="H1032" s="83">
        <v>0.041666666666666664</v>
      </c>
      <c r="I1032" s="84">
        <v>44518.0</v>
      </c>
      <c r="J1032" s="65" t="b">
        <v>0</v>
      </c>
      <c r="K1032" s="65" t="s">
        <v>150</v>
      </c>
      <c r="L1032" s="85" t="b">
        <f>IF(VLOOKUP(C1032,Projetos!A:L,12,false)=TRUE,TRUE,FALSE)</f>
        <v>1</v>
      </c>
      <c r="M1032" s="74">
        <v>31.02923620430495</v>
      </c>
      <c r="N1032" s="74">
        <f t="shared" si="1"/>
        <v>0</v>
      </c>
      <c r="O1032" s="74" t="b">
        <v>1</v>
      </c>
    </row>
    <row r="1033" hidden="1">
      <c r="A1033" s="82"/>
      <c r="B1033" s="65" t="s">
        <v>177</v>
      </c>
      <c r="C1033" s="65" t="s">
        <v>107</v>
      </c>
      <c r="D1033" s="65" t="str">
        <f>vlookup(C1033,'Classificação p pessoal'!F:G,2,false)</f>
        <v>NP</v>
      </c>
      <c r="E1033" s="65" t="s">
        <v>748</v>
      </c>
      <c r="F1033" s="83">
        <v>0.3541666666666667</v>
      </c>
      <c r="G1033" s="83">
        <v>0.3958333333333333</v>
      </c>
      <c r="H1033" s="83">
        <v>0.041666666666666664</v>
      </c>
      <c r="I1033" s="84">
        <v>44328.0</v>
      </c>
      <c r="J1033" s="65" t="b">
        <v>1</v>
      </c>
      <c r="K1033" s="65"/>
      <c r="L1033" s="85" t="b">
        <f>IF(VLOOKUP(C1033,Projetos!A:L,12,false)=TRUE,TRUE,FALSE)</f>
        <v>1</v>
      </c>
      <c r="M1033" s="74">
        <v>31.02923620430495</v>
      </c>
      <c r="N1033" s="74">
        <f t="shared" si="1"/>
        <v>31.0292362</v>
      </c>
      <c r="O1033" s="74" t="b">
        <v>1</v>
      </c>
    </row>
    <row r="1034" hidden="1">
      <c r="A1034" s="82"/>
      <c r="B1034" s="65" t="s">
        <v>177</v>
      </c>
      <c r="C1034" s="65" t="s">
        <v>106</v>
      </c>
      <c r="D1034" s="65" t="str">
        <f>vlookup(C1034,'Classificação p pessoal'!F:G,2,false)</f>
        <v>MProcesso</v>
      </c>
      <c r="E1034" s="65" t="s">
        <v>749</v>
      </c>
      <c r="F1034" s="83">
        <v>0.5833333333333334</v>
      </c>
      <c r="G1034" s="83">
        <v>0.75</v>
      </c>
      <c r="H1034" s="83">
        <v>0.16666666666666666</v>
      </c>
      <c r="I1034" s="84">
        <v>44477.0</v>
      </c>
      <c r="J1034" s="65" t="b">
        <v>1</v>
      </c>
      <c r="K1034" s="65"/>
      <c r="L1034" s="85" t="b">
        <f>IF(VLOOKUP(C1034,Projetos!A:L,12,false)=TRUE,TRUE,FALSE)</f>
        <v>1</v>
      </c>
      <c r="M1034" s="74">
        <v>31.02923620430495</v>
      </c>
      <c r="N1034" s="74">
        <f t="shared" si="1"/>
        <v>124.1169448</v>
      </c>
      <c r="O1034" s="74" t="b">
        <v>1</v>
      </c>
    </row>
    <row r="1035">
      <c r="A1035" s="82"/>
      <c r="B1035" s="65" t="s">
        <v>750</v>
      </c>
      <c r="C1035" s="65" t="s">
        <v>108</v>
      </c>
      <c r="D1035" s="65"/>
      <c r="E1035" s="65" t="s">
        <v>751</v>
      </c>
      <c r="F1035" s="83">
        <v>0.3958333333333333</v>
      </c>
      <c r="G1035" s="83">
        <v>0.4583333333333333</v>
      </c>
      <c r="H1035" s="83">
        <v>0.0625</v>
      </c>
      <c r="I1035" s="84">
        <v>44313.0</v>
      </c>
      <c r="J1035" s="65" t="b">
        <v>0</v>
      </c>
      <c r="K1035" s="65" t="s">
        <v>150</v>
      </c>
      <c r="L1035" s="85" t="b">
        <f>IF(VLOOKUP(C1035,Projetos!A:L,12,false)=TRUE,TRUE,FALSE)</f>
        <v>1</v>
      </c>
      <c r="M1035" s="74">
        <v>34.7706987012987</v>
      </c>
      <c r="N1035" s="74">
        <f t="shared" si="1"/>
        <v>0</v>
      </c>
      <c r="O1035" s="74" t="b">
        <v>1</v>
      </c>
    </row>
    <row r="1036" hidden="1">
      <c r="A1036" s="82"/>
      <c r="B1036" s="65" t="s">
        <v>750</v>
      </c>
      <c r="C1036" s="65" t="s">
        <v>85</v>
      </c>
      <c r="D1036" s="65" t="str">
        <f>vlookup(C1036,'Classificação p pessoal'!F:G,2,false)</f>
        <v>NP</v>
      </c>
      <c r="E1036" s="65" t="s">
        <v>752</v>
      </c>
      <c r="F1036" s="83">
        <v>0.4166666666666667</v>
      </c>
      <c r="G1036" s="83">
        <v>0.5</v>
      </c>
      <c r="H1036" s="83">
        <v>0.08333333333333333</v>
      </c>
      <c r="I1036" s="84">
        <v>44200.0</v>
      </c>
      <c r="J1036" s="65" t="b">
        <v>1</v>
      </c>
      <c r="K1036" s="65"/>
      <c r="L1036" s="85" t="b">
        <f>IF(VLOOKUP(C1036,Projetos!A:L,12,false)=TRUE,TRUE,FALSE)</f>
        <v>1</v>
      </c>
      <c r="M1036" s="74">
        <v>34.7706987012987</v>
      </c>
      <c r="N1036" s="74">
        <f t="shared" si="1"/>
        <v>69.5413974</v>
      </c>
      <c r="O1036" s="74" t="b">
        <v>1</v>
      </c>
    </row>
    <row r="1037">
      <c r="A1037" s="82"/>
      <c r="B1037" s="65" t="s">
        <v>750</v>
      </c>
      <c r="C1037" s="65" t="s">
        <v>108</v>
      </c>
      <c r="D1037" s="65"/>
      <c r="E1037" s="65" t="s">
        <v>149</v>
      </c>
      <c r="F1037" s="83">
        <v>0.4583333333333333</v>
      </c>
      <c r="G1037" s="83">
        <v>0.5</v>
      </c>
      <c r="H1037" s="83">
        <v>0.041666666666666664</v>
      </c>
      <c r="I1037" s="84">
        <v>44201.0</v>
      </c>
      <c r="J1037" s="65" t="b">
        <v>0</v>
      </c>
      <c r="K1037" s="65" t="s">
        <v>150</v>
      </c>
      <c r="L1037" s="85" t="b">
        <f>IF(VLOOKUP(C1037,Projetos!A:L,12,false)=TRUE,TRUE,FALSE)</f>
        <v>1</v>
      </c>
      <c r="M1037" s="74">
        <v>34.7706987012987</v>
      </c>
      <c r="N1037" s="74">
        <f t="shared" si="1"/>
        <v>0</v>
      </c>
      <c r="O1037" s="74" t="b">
        <v>1</v>
      </c>
    </row>
    <row r="1038" hidden="1">
      <c r="A1038" s="82"/>
      <c r="B1038" s="65" t="s">
        <v>750</v>
      </c>
      <c r="C1038" s="65" t="s">
        <v>85</v>
      </c>
      <c r="D1038" s="65" t="str">
        <f>vlookup(C1038,'Classificação p pessoal'!F:G,2,false)</f>
        <v>NP</v>
      </c>
      <c r="E1038" s="65" t="s">
        <v>752</v>
      </c>
      <c r="F1038" s="83">
        <v>0.5833333333333334</v>
      </c>
      <c r="G1038" s="83">
        <v>0.75</v>
      </c>
      <c r="H1038" s="83">
        <v>0.16666666666666666</v>
      </c>
      <c r="I1038" s="84">
        <v>44201.0</v>
      </c>
      <c r="J1038" s="65" t="b">
        <v>1</v>
      </c>
      <c r="K1038" s="65"/>
      <c r="L1038" s="85" t="b">
        <f>IF(VLOOKUP(C1038,Projetos!A:L,12,false)=TRUE,TRUE,FALSE)</f>
        <v>1</v>
      </c>
      <c r="M1038" s="74">
        <v>34.7706987012987</v>
      </c>
      <c r="N1038" s="74">
        <f t="shared" si="1"/>
        <v>139.0827948</v>
      </c>
      <c r="O1038" s="74" t="b">
        <v>1</v>
      </c>
    </row>
    <row r="1039" hidden="1">
      <c r="A1039" s="82"/>
      <c r="B1039" s="65" t="s">
        <v>750</v>
      </c>
      <c r="C1039" s="65" t="s">
        <v>85</v>
      </c>
      <c r="D1039" s="65" t="str">
        <f>vlookup(C1039,'Classificação p pessoal'!F:G,2,false)</f>
        <v>NP</v>
      </c>
      <c r="E1039" s="65" t="s">
        <v>752</v>
      </c>
      <c r="F1039" s="83">
        <v>0.375</v>
      </c>
      <c r="G1039" s="83">
        <v>0.4583333333333333</v>
      </c>
      <c r="H1039" s="83">
        <v>0.08333333333333333</v>
      </c>
      <c r="I1039" s="84">
        <v>44202.0</v>
      </c>
      <c r="J1039" s="65" t="b">
        <v>1</v>
      </c>
      <c r="K1039" s="65"/>
      <c r="L1039" s="85" t="b">
        <f>IF(VLOOKUP(C1039,Projetos!A:L,12,false)=TRUE,TRUE,FALSE)</f>
        <v>1</v>
      </c>
      <c r="M1039" s="74">
        <v>34.7706987012987</v>
      </c>
      <c r="N1039" s="74">
        <f t="shared" si="1"/>
        <v>69.5413974</v>
      </c>
      <c r="O1039" s="74" t="b">
        <v>1</v>
      </c>
    </row>
    <row r="1040" hidden="1">
      <c r="A1040" s="82"/>
      <c r="B1040" s="65" t="s">
        <v>750</v>
      </c>
      <c r="C1040" s="65" t="s">
        <v>85</v>
      </c>
      <c r="D1040" s="65" t="str">
        <f>vlookup(C1040,'Classificação p pessoal'!F:G,2,false)</f>
        <v>NP</v>
      </c>
      <c r="E1040" s="65" t="s">
        <v>752</v>
      </c>
      <c r="F1040" s="83">
        <v>0.5</v>
      </c>
      <c r="G1040" s="83">
        <v>0.75</v>
      </c>
      <c r="H1040" s="83">
        <v>0.25</v>
      </c>
      <c r="I1040" s="84">
        <v>44203.0</v>
      </c>
      <c r="J1040" s="65" t="b">
        <v>1</v>
      </c>
      <c r="K1040" s="65"/>
      <c r="L1040" s="85" t="b">
        <f>IF(VLOOKUP(C1040,Projetos!A:L,12,false)=TRUE,TRUE,FALSE)</f>
        <v>1</v>
      </c>
      <c r="M1040" s="74">
        <v>34.7706987012987</v>
      </c>
      <c r="N1040" s="74">
        <f t="shared" si="1"/>
        <v>208.6241922</v>
      </c>
      <c r="O1040" s="74" t="b">
        <v>1</v>
      </c>
    </row>
    <row r="1041" hidden="1">
      <c r="A1041" s="82"/>
      <c r="B1041" s="65" t="s">
        <v>750</v>
      </c>
      <c r="C1041" s="65" t="s">
        <v>85</v>
      </c>
      <c r="D1041" s="65" t="str">
        <f>vlookup(C1041,'Classificação p pessoal'!F:G,2,false)</f>
        <v>NP</v>
      </c>
      <c r="E1041" s="65" t="s">
        <v>752</v>
      </c>
      <c r="F1041" s="83">
        <v>0.375</v>
      </c>
      <c r="G1041" s="83">
        <v>0.5</v>
      </c>
      <c r="H1041" s="83">
        <v>0.125</v>
      </c>
      <c r="I1041" s="84">
        <v>44204.0</v>
      </c>
      <c r="J1041" s="65" t="b">
        <v>1</v>
      </c>
      <c r="K1041" s="65"/>
      <c r="L1041" s="85" t="b">
        <f>IF(VLOOKUP(C1041,Projetos!A:L,12,false)=TRUE,TRUE,FALSE)</f>
        <v>1</v>
      </c>
      <c r="M1041" s="74">
        <v>34.7706987012987</v>
      </c>
      <c r="N1041" s="74">
        <f t="shared" si="1"/>
        <v>104.3120961</v>
      </c>
      <c r="O1041" s="74" t="b">
        <v>1</v>
      </c>
    </row>
    <row r="1042">
      <c r="A1042" s="82"/>
      <c r="B1042" s="65" t="s">
        <v>750</v>
      </c>
      <c r="C1042" s="65" t="s">
        <v>108</v>
      </c>
      <c r="D1042" s="65"/>
      <c r="E1042" s="65" t="s">
        <v>149</v>
      </c>
      <c r="F1042" s="83">
        <v>0.5416666666666666</v>
      </c>
      <c r="G1042" s="83">
        <v>0.7083333333333334</v>
      </c>
      <c r="H1042" s="83">
        <v>0.16666666666666666</v>
      </c>
      <c r="I1042" s="84">
        <v>44204.0</v>
      </c>
      <c r="J1042" s="65" t="b">
        <v>0</v>
      </c>
      <c r="K1042" s="65" t="s">
        <v>150</v>
      </c>
      <c r="L1042" s="85" t="b">
        <f>IF(VLOOKUP(C1042,Projetos!A:L,12,false)=TRUE,TRUE,FALSE)</f>
        <v>1</v>
      </c>
      <c r="M1042" s="74">
        <v>34.7706987012987</v>
      </c>
      <c r="N1042" s="74">
        <f t="shared" si="1"/>
        <v>0</v>
      </c>
      <c r="O1042" s="74" t="b">
        <v>1</v>
      </c>
    </row>
    <row r="1043">
      <c r="A1043" s="82"/>
      <c r="B1043" s="65" t="s">
        <v>750</v>
      </c>
      <c r="C1043" s="65" t="s">
        <v>108</v>
      </c>
      <c r="D1043" s="65"/>
      <c r="E1043" s="65" t="s">
        <v>149</v>
      </c>
      <c r="F1043" s="83">
        <v>0.375</v>
      </c>
      <c r="G1043" s="83">
        <v>0.4375</v>
      </c>
      <c r="H1043" s="83">
        <v>0.0625</v>
      </c>
      <c r="I1043" s="84">
        <v>44207.0</v>
      </c>
      <c r="J1043" s="65" t="b">
        <v>0</v>
      </c>
      <c r="K1043" s="65" t="s">
        <v>150</v>
      </c>
      <c r="L1043" s="85" t="b">
        <f>IF(VLOOKUP(C1043,Projetos!A:L,12,false)=TRUE,TRUE,FALSE)</f>
        <v>1</v>
      </c>
      <c r="M1043" s="74">
        <v>34.7706987012987</v>
      </c>
      <c r="N1043" s="74">
        <f t="shared" si="1"/>
        <v>0</v>
      </c>
      <c r="O1043" s="74" t="b">
        <v>1</v>
      </c>
    </row>
    <row r="1044" hidden="1">
      <c r="A1044" s="82"/>
      <c r="B1044" s="65" t="s">
        <v>750</v>
      </c>
      <c r="C1044" s="65" t="s">
        <v>85</v>
      </c>
      <c r="D1044" s="65" t="str">
        <f>vlookup(C1044,'Classificação p pessoal'!F:G,2,false)</f>
        <v>NP</v>
      </c>
      <c r="E1044" s="65" t="s">
        <v>752</v>
      </c>
      <c r="F1044" s="83">
        <v>0.5833333333333334</v>
      </c>
      <c r="G1044" s="83">
        <v>0.7083333333333334</v>
      </c>
      <c r="H1044" s="83">
        <v>0.125</v>
      </c>
      <c r="I1044" s="84">
        <v>44208.0</v>
      </c>
      <c r="J1044" s="65" t="b">
        <v>1</v>
      </c>
      <c r="K1044" s="65"/>
      <c r="L1044" s="85" t="b">
        <f>IF(VLOOKUP(C1044,Projetos!A:L,12,false)=TRUE,TRUE,FALSE)</f>
        <v>1</v>
      </c>
      <c r="M1044" s="74">
        <v>34.7706987012987</v>
      </c>
      <c r="N1044" s="74">
        <f t="shared" si="1"/>
        <v>104.3120961</v>
      </c>
      <c r="O1044" s="74" t="b">
        <v>1</v>
      </c>
    </row>
    <row r="1045" hidden="1">
      <c r="A1045" s="82"/>
      <c r="B1045" s="65" t="s">
        <v>750</v>
      </c>
      <c r="C1045" s="65" t="s">
        <v>85</v>
      </c>
      <c r="D1045" s="65" t="str">
        <f>vlookup(C1045,'Classificação p pessoal'!F:G,2,false)</f>
        <v>NP</v>
      </c>
      <c r="E1045" s="65" t="s">
        <v>752</v>
      </c>
      <c r="F1045" s="83">
        <v>0.375</v>
      </c>
      <c r="G1045" s="83">
        <v>0.5</v>
      </c>
      <c r="H1045" s="83">
        <v>0.125</v>
      </c>
      <c r="I1045" s="84">
        <v>44209.0</v>
      </c>
      <c r="J1045" s="65" t="b">
        <v>1</v>
      </c>
      <c r="K1045" s="65"/>
      <c r="L1045" s="85" t="b">
        <f>IF(VLOOKUP(C1045,Projetos!A:L,12,false)=TRUE,TRUE,FALSE)</f>
        <v>1</v>
      </c>
      <c r="M1045" s="74">
        <v>34.7706987012987</v>
      </c>
      <c r="N1045" s="74">
        <f t="shared" si="1"/>
        <v>104.3120961</v>
      </c>
      <c r="O1045" s="74" t="b">
        <v>1</v>
      </c>
    </row>
    <row r="1046" hidden="1">
      <c r="A1046" s="82"/>
      <c r="B1046" s="65" t="s">
        <v>750</v>
      </c>
      <c r="C1046" s="65" t="s">
        <v>85</v>
      </c>
      <c r="D1046" s="65" t="str">
        <f>vlookup(C1046,'Classificação p pessoal'!F:G,2,false)</f>
        <v>NP</v>
      </c>
      <c r="E1046" s="65" t="s">
        <v>752</v>
      </c>
      <c r="F1046" s="83">
        <v>0.4583333333333333</v>
      </c>
      <c r="G1046" s="83">
        <v>0.625</v>
      </c>
      <c r="H1046" s="83">
        <v>0.16666666666666666</v>
      </c>
      <c r="I1046" s="84">
        <v>44210.0</v>
      </c>
      <c r="J1046" s="65" t="b">
        <v>1</v>
      </c>
      <c r="K1046" s="65"/>
      <c r="L1046" s="85" t="b">
        <f>IF(VLOOKUP(C1046,Projetos!A:L,12,false)=TRUE,TRUE,FALSE)</f>
        <v>1</v>
      </c>
      <c r="M1046" s="74">
        <v>34.7706987012987</v>
      </c>
      <c r="N1046" s="74">
        <f t="shared" si="1"/>
        <v>139.0827948</v>
      </c>
      <c r="O1046" s="74" t="b">
        <v>1</v>
      </c>
    </row>
    <row r="1047">
      <c r="A1047" s="82"/>
      <c r="B1047" s="65" t="s">
        <v>750</v>
      </c>
      <c r="C1047" s="65" t="s">
        <v>108</v>
      </c>
      <c r="D1047" s="65"/>
      <c r="E1047" s="65" t="s">
        <v>149</v>
      </c>
      <c r="F1047" s="83">
        <v>0.5416666666666666</v>
      </c>
      <c r="G1047" s="83">
        <v>0.5833333333333334</v>
      </c>
      <c r="H1047" s="83">
        <v>0.041666666666666664</v>
      </c>
      <c r="I1047" s="84">
        <v>44211.0</v>
      </c>
      <c r="J1047" s="65" t="b">
        <v>0</v>
      </c>
      <c r="K1047" s="65" t="s">
        <v>150</v>
      </c>
      <c r="L1047" s="85" t="b">
        <f>IF(VLOOKUP(C1047,Projetos!A:L,12,false)=TRUE,TRUE,FALSE)</f>
        <v>1</v>
      </c>
      <c r="M1047" s="74">
        <v>34.7706987012987</v>
      </c>
      <c r="N1047" s="74">
        <f t="shared" si="1"/>
        <v>0</v>
      </c>
      <c r="O1047" s="74" t="b">
        <v>1</v>
      </c>
    </row>
    <row r="1048" hidden="1">
      <c r="A1048" s="82"/>
      <c r="B1048" s="65" t="s">
        <v>750</v>
      </c>
      <c r="C1048" s="65" t="s">
        <v>117</v>
      </c>
      <c r="D1048" s="65" t="str">
        <f>vlookup(C1048,'Classificação p pessoal'!F:G,2,false)</f>
        <v>NP</v>
      </c>
      <c r="E1048" s="65" t="s">
        <v>753</v>
      </c>
      <c r="F1048" s="83">
        <v>0.5833333333333334</v>
      </c>
      <c r="G1048" s="83">
        <v>0.75</v>
      </c>
      <c r="H1048" s="83">
        <v>0.16666666666666666</v>
      </c>
      <c r="I1048" s="84">
        <v>44214.0</v>
      </c>
      <c r="J1048" s="65" t="b">
        <v>1</v>
      </c>
      <c r="K1048" s="65"/>
      <c r="L1048" s="85" t="b">
        <f>IF(VLOOKUP(C1048,Projetos!A:L,12,false)=TRUE,TRUE,FALSE)</f>
        <v>1</v>
      </c>
      <c r="M1048" s="74">
        <v>34.7706987012987</v>
      </c>
      <c r="N1048" s="74">
        <f t="shared" si="1"/>
        <v>139.0827948</v>
      </c>
      <c r="O1048" s="74" t="b">
        <v>1</v>
      </c>
    </row>
    <row r="1049" hidden="1">
      <c r="A1049" s="82"/>
      <c r="B1049" s="65" t="s">
        <v>750</v>
      </c>
      <c r="C1049" s="65" t="s">
        <v>117</v>
      </c>
      <c r="D1049" s="65" t="str">
        <f>vlookup(C1049,'Classificação p pessoal'!F:G,2,false)</f>
        <v>NP</v>
      </c>
      <c r="E1049" s="65" t="s">
        <v>753</v>
      </c>
      <c r="F1049" s="83">
        <v>0.4166666666666667</v>
      </c>
      <c r="G1049" s="83">
        <v>0.5416666666666666</v>
      </c>
      <c r="H1049" s="83">
        <v>0.125</v>
      </c>
      <c r="I1049" s="84">
        <v>44215.0</v>
      </c>
      <c r="J1049" s="65" t="b">
        <v>1</v>
      </c>
      <c r="K1049" s="65"/>
      <c r="L1049" s="85" t="b">
        <f>IF(VLOOKUP(C1049,Projetos!A:L,12,false)=TRUE,TRUE,FALSE)</f>
        <v>1</v>
      </c>
      <c r="M1049" s="74">
        <v>34.7706987012987</v>
      </c>
      <c r="N1049" s="74">
        <f t="shared" si="1"/>
        <v>104.3120961</v>
      </c>
      <c r="O1049" s="74" t="b">
        <v>1</v>
      </c>
    </row>
    <row r="1050" hidden="1">
      <c r="A1050" s="82"/>
      <c r="B1050" s="65" t="s">
        <v>750</v>
      </c>
      <c r="C1050" s="65" t="s">
        <v>117</v>
      </c>
      <c r="D1050" s="65" t="str">
        <f>vlookup(C1050,'Classificação p pessoal'!F:G,2,false)</f>
        <v>NP</v>
      </c>
      <c r="E1050" s="65" t="s">
        <v>753</v>
      </c>
      <c r="F1050" s="83">
        <v>0.4166666666666667</v>
      </c>
      <c r="G1050" s="83">
        <v>0.5</v>
      </c>
      <c r="H1050" s="83">
        <v>0.08333333333333333</v>
      </c>
      <c r="I1050" s="84">
        <v>44222.0</v>
      </c>
      <c r="J1050" s="65" t="b">
        <v>1</v>
      </c>
      <c r="K1050" s="65"/>
      <c r="L1050" s="85" t="b">
        <f>IF(VLOOKUP(C1050,Projetos!A:L,12,false)=TRUE,TRUE,FALSE)</f>
        <v>1</v>
      </c>
      <c r="M1050" s="74">
        <v>34.7706987012987</v>
      </c>
      <c r="N1050" s="74">
        <f t="shared" si="1"/>
        <v>69.5413974</v>
      </c>
      <c r="O1050" s="74" t="b">
        <v>1</v>
      </c>
    </row>
    <row r="1051" hidden="1">
      <c r="A1051" s="82"/>
      <c r="B1051" s="65" t="s">
        <v>750</v>
      </c>
      <c r="C1051" s="65" t="s">
        <v>132</v>
      </c>
      <c r="D1051" s="65"/>
      <c r="E1051" s="65" t="s">
        <v>754</v>
      </c>
      <c r="F1051" s="83">
        <v>0.375</v>
      </c>
      <c r="G1051" s="83">
        <v>0.5416666666666666</v>
      </c>
      <c r="H1051" s="83">
        <v>0.16666666666666666</v>
      </c>
      <c r="I1051" s="84">
        <v>44229.0</v>
      </c>
      <c r="J1051" s="65" t="b">
        <v>1</v>
      </c>
      <c r="K1051" s="65"/>
      <c r="L1051" s="85" t="b">
        <f>IF(VLOOKUP(C1051,Projetos!A:L,12,false)=TRUE,TRUE,FALSE)</f>
        <v>0</v>
      </c>
      <c r="M1051" s="74">
        <v>34.7706987012987</v>
      </c>
      <c r="N1051" s="74">
        <f t="shared" si="1"/>
        <v>0</v>
      </c>
      <c r="O1051" s="74" t="b">
        <v>0</v>
      </c>
    </row>
    <row r="1052" hidden="1">
      <c r="A1052" s="82"/>
      <c r="B1052" s="65" t="s">
        <v>750</v>
      </c>
      <c r="C1052" s="65" t="s">
        <v>85</v>
      </c>
      <c r="D1052" s="65" t="str">
        <f>vlookup(C1052,'Classificação p pessoal'!F:G,2,false)</f>
        <v>NP</v>
      </c>
      <c r="E1052" s="65" t="s">
        <v>752</v>
      </c>
      <c r="F1052" s="83">
        <v>0.3333333333333333</v>
      </c>
      <c r="G1052" s="83">
        <v>0.5</v>
      </c>
      <c r="H1052" s="83">
        <v>0.16666666666666666</v>
      </c>
      <c r="I1052" s="84">
        <v>44230.0</v>
      </c>
      <c r="J1052" s="65" t="b">
        <v>1</v>
      </c>
      <c r="K1052" s="65"/>
      <c r="L1052" s="85" t="b">
        <f>IF(VLOOKUP(C1052,Projetos!A:L,12,false)=TRUE,TRUE,FALSE)</f>
        <v>1</v>
      </c>
      <c r="M1052" s="74">
        <v>34.7706987012987</v>
      </c>
      <c r="N1052" s="74">
        <f t="shared" si="1"/>
        <v>139.0827948</v>
      </c>
      <c r="O1052" s="74" t="b">
        <v>1</v>
      </c>
    </row>
    <row r="1053" hidden="1">
      <c r="A1053" s="82"/>
      <c r="B1053" s="65" t="s">
        <v>750</v>
      </c>
      <c r="C1053" s="65" t="s">
        <v>126</v>
      </c>
      <c r="D1053" s="65"/>
      <c r="E1053" s="65" t="s">
        <v>755</v>
      </c>
      <c r="F1053" s="83">
        <v>0.6666666666666666</v>
      </c>
      <c r="G1053" s="83">
        <v>0.75</v>
      </c>
      <c r="H1053" s="83">
        <v>0.08333333333333333</v>
      </c>
      <c r="I1053" s="84">
        <v>44270.0</v>
      </c>
      <c r="J1053" s="65" t="b">
        <v>0</v>
      </c>
      <c r="K1053" s="65" t="s">
        <v>150</v>
      </c>
      <c r="L1053" s="85" t="b">
        <f>IF(VLOOKUP(C1053,Projetos!A:L,12,false)=TRUE,TRUE,FALSE)</f>
        <v>1</v>
      </c>
      <c r="M1053" s="74">
        <v>34.7706987012987</v>
      </c>
      <c r="N1053" s="74">
        <f t="shared" si="1"/>
        <v>0</v>
      </c>
      <c r="O1053" s="74" t="b">
        <v>1</v>
      </c>
    </row>
    <row r="1054" hidden="1">
      <c r="A1054" s="82"/>
      <c r="B1054" s="65" t="s">
        <v>750</v>
      </c>
      <c r="C1054" s="65" t="s">
        <v>118</v>
      </c>
      <c r="D1054" s="65"/>
      <c r="E1054" s="65" t="s">
        <v>756</v>
      </c>
      <c r="F1054" s="83">
        <v>0.5416666666666666</v>
      </c>
      <c r="G1054" s="83">
        <v>0.625</v>
      </c>
      <c r="H1054" s="83">
        <v>0.08333333333333333</v>
      </c>
      <c r="I1054" s="84">
        <v>44230.0</v>
      </c>
      <c r="J1054" s="65" t="b">
        <v>0</v>
      </c>
      <c r="K1054" s="65"/>
      <c r="L1054" s="85" t="b">
        <f>IF(VLOOKUP(C1054,Projetos!A:L,12,false)=TRUE,TRUE,FALSE)</f>
        <v>1</v>
      </c>
      <c r="M1054" s="74">
        <v>34.7706987012987</v>
      </c>
      <c r="N1054" s="74">
        <f t="shared" si="1"/>
        <v>0</v>
      </c>
      <c r="O1054" s="74" t="b">
        <v>1</v>
      </c>
    </row>
    <row r="1055" hidden="1">
      <c r="A1055" s="82"/>
      <c r="B1055" s="65" t="s">
        <v>750</v>
      </c>
      <c r="C1055" s="65" t="s">
        <v>126</v>
      </c>
      <c r="D1055" s="65"/>
      <c r="E1055" s="65" t="s">
        <v>755</v>
      </c>
      <c r="F1055" s="83">
        <v>0.375</v>
      </c>
      <c r="G1055" s="83">
        <v>0.5</v>
      </c>
      <c r="H1055" s="83">
        <v>0.125</v>
      </c>
      <c r="I1055" s="84">
        <v>44271.0</v>
      </c>
      <c r="J1055" s="65" t="b">
        <v>0</v>
      </c>
      <c r="K1055" s="65" t="s">
        <v>150</v>
      </c>
      <c r="L1055" s="85" t="b">
        <f>IF(VLOOKUP(C1055,Projetos!A:L,12,false)=TRUE,TRUE,FALSE)</f>
        <v>1</v>
      </c>
      <c r="M1055" s="74">
        <v>34.7706987012987</v>
      </c>
      <c r="N1055" s="74">
        <f t="shared" si="1"/>
        <v>0</v>
      </c>
      <c r="O1055" s="74" t="b">
        <v>1</v>
      </c>
    </row>
    <row r="1056" hidden="1">
      <c r="A1056" s="82"/>
      <c r="B1056" s="65" t="s">
        <v>750</v>
      </c>
      <c r="C1056" s="65" t="s">
        <v>107</v>
      </c>
      <c r="D1056" s="65" t="str">
        <f>vlookup(C1056,'Classificação p pessoal'!F:G,2,false)</f>
        <v>NP</v>
      </c>
      <c r="E1056" s="65" t="s">
        <v>757</v>
      </c>
      <c r="F1056" s="83">
        <v>0.625</v>
      </c>
      <c r="G1056" s="83">
        <v>0.75</v>
      </c>
      <c r="H1056" s="83">
        <v>0.125</v>
      </c>
      <c r="I1056" s="84">
        <v>44231.0</v>
      </c>
      <c r="J1056" s="65" t="b">
        <v>1</v>
      </c>
      <c r="K1056" s="65"/>
      <c r="L1056" s="85" t="b">
        <f>IF(VLOOKUP(C1056,Projetos!A:L,12,false)=TRUE,TRUE,FALSE)</f>
        <v>1</v>
      </c>
      <c r="M1056" s="74">
        <v>34.7706987012987</v>
      </c>
      <c r="N1056" s="74">
        <f t="shared" si="1"/>
        <v>104.3120961</v>
      </c>
      <c r="O1056" s="74" t="b">
        <v>1</v>
      </c>
    </row>
    <row r="1057" hidden="1">
      <c r="A1057" s="82"/>
      <c r="B1057" s="65" t="s">
        <v>750</v>
      </c>
      <c r="C1057" s="65" t="s">
        <v>85</v>
      </c>
      <c r="D1057" s="65" t="str">
        <f>vlookup(C1057,'Classificação p pessoal'!F:G,2,false)</f>
        <v>NP</v>
      </c>
      <c r="E1057" s="65" t="s">
        <v>752</v>
      </c>
      <c r="F1057" s="83">
        <v>0.375</v>
      </c>
      <c r="G1057" s="83">
        <v>0.4583333333333333</v>
      </c>
      <c r="H1057" s="83">
        <v>0.08333333333333333</v>
      </c>
      <c r="I1057" s="84">
        <v>44232.0</v>
      </c>
      <c r="J1057" s="65" t="b">
        <v>1</v>
      </c>
      <c r="K1057" s="65"/>
      <c r="L1057" s="85" t="b">
        <f>IF(VLOOKUP(C1057,Projetos!A:L,12,false)=TRUE,TRUE,FALSE)</f>
        <v>1</v>
      </c>
      <c r="M1057" s="74">
        <v>34.7706987012987</v>
      </c>
      <c r="N1057" s="74">
        <f t="shared" si="1"/>
        <v>69.5413974</v>
      </c>
      <c r="O1057" s="74" t="b">
        <v>1</v>
      </c>
    </row>
    <row r="1058" hidden="1">
      <c r="A1058" s="82"/>
      <c r="B1058" s="65" t="s">
        <v>750</v>
      </c>
      <c r="C1058" s="65" t="s">
        <v>100</v>
      </c>
      <c r="D1058" s="65" t="str">
        <f>vlookup(C1058,'Classificação p pessoal'!F:G,2,false)</f>
        <v>NP</v>
      </c>
      <c r="E1058" s="65" t="s">
        <v>151</v>
      </c>
      <c r="F1058" s="83">
        <v>0.5</v>
      </c>
      <c r="G1058" s="83">
        <v>0.625</v>
      </c>
      <c r="H1058" s="83">
        <v>0.125</v>
      </c>
      <c r="I1058" s="84">
        <v>44232.0</v>
      </c>
      <c r="J1058" s="65" t="b">
        <v>1</v>
      </c>
      <c r="K1058" s="65"/>
      <c r="L1058" s="85" t="b">
        <f>IF(VLOOKUP(C1058,Projetos!A:L,12,false)=TRUE,TRUE,FALSE)</f>
        <v>1</v>
      </c>
      <c r="M1058" s="74">
        <v>34.7706987012987</v>
      </c>
      <c r="N1058" s="74">
        <f t="shared" si="1"/>
        <v>104.3120961</v>
      </c>
      <c r="O1058" s="74" t="b">
        <v>1</v>
      </c>
    </row>
    <row r="1059" hidden="1">
      <c r="A1059" s="82"/>
      <c r="B1059" s="65" t="s">
        <v>750</v>
      </c>
      <c r="C1059" s="65" t="s">
        <v>118</v>
      </c>
      <c r="D1059" s="65"/>
      <c r="E1059" s="65" t="s">
        <v>756</v>
      </c>
      <c r="F1059" s="83">
        <v>0.625</v>
      </c>
      <c r="G1059" s="83">
        <v>0.7083333333333334</v>
      </c>
      <c r="H1059" s="83">
        <v>0.08333333333333333</v>
      </c>
      <c r="I1059" s="84">
        <v>44232.0</v>
      </c>
      <c r="J1059" s="65" t="b">
        <v>0</v>
      </c>
      <c r="K1059" s="65"/>
      <c r="L1059" s="85" t="b">
        <f>IF(VLOOKUP(C1059,Projetos!A:L,12,false)=TRUE,TRUE,FALSE)</f>
        <v>1</v>
      </c>
      <c r="M1059" s="74">
        <v>34.7706987012987</v>
      </c>
      <c r="N1059" s="74">
        <f t="shared" si="1"/>
        <v>0</v>
      </c>
      <c r="O1059" s="74" t="b">
        <v>1</v>
      </c>
    </row>
    <row r="1060" hidden="1">
      <c r="A1060" s="82"/>
      <c r="B1060" s="65" t="s">
        <v>750</v>
      </c>
      <c r="C1060" s="65" t="s">
        <v>100</v>
      </c>
      <c r="D1060" s="65" t="str">
        <f>vlookup(C1060,'Classificação p pessoal'!F:G,2,false)</f>
        <v>NP</v>
      </c>
      <c r="E1060" s="65" t="s">
        <v>151</v>
      </c>
      <c r="F1060" s="83">
        <v>0.4166666666666667</v>
      </c>
      <c r="G1060" s="83">
        <v>0.5</v>
      </c>
      <c r="H1060" s="83">
        <v>0.08333333333333333</v>
      </c>
      <c r="I1060" s="84">
        <v>44235.0</v>
      </c>
      <c r="J1060" s="65" t="b">
        <v>1</v>
      </c>
      <c r="K1060" s="65"/>
      <c r="L1060" s="85" t="b">
        <f>IF(VLOOKUP(C1060,Projetos!A:L,12,false)=TRUE,TRUE,FALSE)</f>
        <v>1</v>
      </c>
      <c r="M1060" s="74">
        <v>34.7706987012987</v>
      </c>
      <c r="N1060" s="74">
        <f t="shared" si="1"/>
        <v>69.5413974</v>
      </c>
      <c r="O1060" s="74" t="b">
        <v>1</v>
      </c>
    </row>
    <row r="1061" hidden="1">
      <c r="A1061" s="82"/>
      <c r="B1061" s="65" t="s">
        <v>750</v>
      </c>
      <c r="C1061" s="65" t="s">
        <v>118</v>
      </c>
      <c r="D1061" s="65"/>
      <c r="E1061" s="65" t="s">
        <v>756</v>
      </c>
      <c r="F1061" s="83">
        <v>0.5833333333333334</v>
      </c>
      <c r="G1061" s="83">
        <v>0.7083333333333334</v>
      </c>
      <c r="H1061" s="83">
        <v>0.125</v>
      </c>
      <c r="I1061" s="84">
        <v>44235.0</v>
      </c>
      <c r="J1061" s="65" t="b">
        <v>0</v>
      </c>
      <c r="K1061" s="65"/>
      <c r="L1061" s="85" t="b">
        <f>IF(VLOOKUP(C1061,Projetos!A:L,12,false)=TRUE,TRUE,FALSE)</f>
        <v>1</v>
      </c>
      <c r="M1061" s="74">
        <v>34.7706987012987</v>
      </c>
      <c r="N1061" s="74">
        <f t="shared" si="1"/>
        <v>0</v>
      </c>
      <c r="O1061" s="74" t="b">
        <v>1</v>
      </c>
    </row>
    <row r="1062" hidden="1">
      <c r="A1062" s="82"/>
      <c r="B1062" s="65" t="s">
        <v>750</v>
      </c>
      <c r="C1062" s="65" t="s">
        <v>118</v>
      </c>
      <c r="D1062" s="65"/>
      <c r="E1062" s="65" t="s">
        <v>756</v>
      </c>
      <c r="F1062" s="83">
        <v>0.5833333333333334</v>
      </c>
      <c r="G1062" s="83">
        <v>0.75</v>
      </c>
      <c r="H1062" s="83">
        <v>0.16666666666666666</v>
      </c>
      <c r="I1062" s="84">
        <v>44236.0</v>
      </c>
      <c r="J1062" s="65" t="b">
        <v>0</v>
      </c>
      <c r="K1062" s="65"/>
      <c r="L1062" s="85" t="b">
        <f>IF(VLOOKUP(C1062,Projetos!A:L,12,false)=TRUE,TRUE,FALSE)</f>
        <v>1</v>
      </c>
      <c r="M1062" s="74">
        <v>34.7706987012987</v>
      </c>
      <c r="N1062" s="74">
        <f t="shared" si="1"/>
        <v>0</v>
      </c>
      <c r="O1062" s="74" t="b">
        <v>1</v>
      </c>
    </row>
    <row r="1063" hidden="1">
      <c r="A1063" s="82"/>
      <c r="B1063" s="65" t="s">
        <v>750</v>
      </c>
      <c r="C1063" s="65" t="s">
        <v>85</v>
      </c>
      <c r="D1063" s="65" t="str">
        <f>vlookup(C1063,'Classificação p pessoal'!F:G,2,false)</f>
        <v>NP</v>
      </c>
      <c r="E1063" s="65" t="s">
        <v>752</v>
      </c>
      <c r="F1063" s="83">
        <v>0.375</v>
      </c>
      <c r="G1063" s="83">
        <v>0.5</v>
      </c>
      <c r="H1063" s="83">
        <v>0.125</v>
      </c>
      <c r="I1063" s="84">
        <v>44236.0</v>
      </c>
      <c r="J1063" s="65" t="b">
        <v>1</v>
      </c>
      <c r="K1063" s="65"/>
      <c r="L1063" s="85" t="b">
        <f>IF(VLOOKUP(C1063,Projetos!A:L,12,false)=TRUE,TRUE,FALSE)</f>
        <v>1</v>
      </c>
      <c r="M1063" s="74">
        <v>34.7706987012987</v>
      </c>
      <c r="N1063" s="74">
        <f t="shared" si="1"/>
        <v>104.3120961</v>
      </c>
      <c r="O1063" s="74" t="b">
        <v>1</v>
      </c>
    </row>
    <row r="1064" hidden="1">
      <c r="A1064" s="82"/>
      <c r="B1064" s="65" t="s">
        <v>750</v>
      </c>
      <c r="C1064" s="65" t="s">
        <v>85</v>
      </c>
      <c r="D1064" s="65" t="str">
        <f>vlookup(C1064,'Classificação p pessoal'!F:G,2,false)</f>
        <v>NP</v>
      </c>
      <c r="E1064" s="65" t="s">
        <v>752</v>
      </c>
      <c r="F1064" s="83">
        <v>0.5</v>
      </c>
      <c r="G1064" s="83">
        <v>0.75</v>
      </c>
      <c r="H1064" s="83">
        <v>0.25</v>
      </c>
      <c r="I1064" s="84">
        <v>44237.0</v>
      </c>
      <c r="J1064" s="65" t="b">
        <v>1</v>
      </c>
      <c r="K1064" s="65"/>
      <c r="L1064" s="85" t="b">
        <f>IF(VLOOKUP(C1064,Projetos!A:L,12,false)=TRUE,TRUE,FALSE)</f>
        <v>1</v>
      </c>
      <c r="M1064" s="74">
        <v>34.7706987012987</v>
      </c>
      <c r="N1064" s="74">
        <f t="shared" si="1"/>
        <v>208.6241922</v>
      </c>
      <c r="O1064" s="74" t="b">
        <v>1</v>
      </c>
    </row>
    <row r="1065" hidden="1">
      <c r="A1065" s="82"/>
      <c r="B1065" s="65" t="s">
        <v>750</v>
      </c>
      <c r="C1065" s="65" t="s">
        <v>85</v>
      </c>
      <c r="D1065" s="65" t="str">
        <f>vlookup(C1065,'Classificação p pessoal'!F:G,2,false)</f>
        <v>NP</v>
      </c>
      <c r="E1065" s="65" t="s">
        <v>752</v>
      </c>
      <c r="F1065" s="83">
        <v>0.5416666666666666</v>
      </c>
      <c r="G1065" s="83">
        <v>0.6666666666666666</v>
      </c>
      <c r="H1065" s="83">
        <v>0.125</v>
      </c>
      <c r="I1065" s="84">
        <v>44238.0</v>
      </c>
      <c r="J1065" s="65" t="b">
        <v>1</v>
      </c>
      <c r="K1065" s="65"/>
      <c r="L1065" s="85" t="b">
        <f>IF(VLOOKUP(C1065,Projetos!A:L,12,false)=TRUE,TRUE,FALSE)</f>
        <v>1</v>
      </c>
      <c r="M1065" s="74">
        <v>34.7706987012987</v>
      </c>
      <c r="N1065" s="74">
        <f t="shared" si="1"/>
        <v>104.3120961</v>
      </c>
      <c r="O1065" s="74" t="b">
        <v>1</v>
      </c>
    </row>
    <row r="1066" hidden="1">
      <c r="A1066" s="82"/>
      <c r="B1066" s="65" t="s">
        <v>750</v>
      </c>
      <c r="C1066" s="65" t="s">
        <v>118</v>
      </c>
      <c r="D1066" s="65"/>
      <c r="E1066" s="65" t="s">
        <v>756</v>
      </c>
      <c r="F1066" s="83">
        <v>0.375</v>
      </c>
      <c r="G1066" s="83">
        <v>0.4583333333333333</v>
      </c>
      <c r="H1066" s="83">
        <v>0.08333333333333333</v>
      </c>
      <c r="I1066" s="84">
        <v>44238.0</v>
      </c>
      <c r="J1066" s="65" t="b">
        <v>0</v>
      </c>
      <c r="K1066" s="65"/>
      <c r="L1066" s="85" t="b">
        <f>IF(VLOOKUP(C1066,Projetos!A:L,12,false)=TRUE,TRUE,FALSE)</f>
        <v>1</v>
      </c>
      <c r="M1066" s="74">
        <v>34.7706987012987</v>
      </c>
      <c r="N1066" s="74">
        <f t="shared" si="1"/>
        <v>0</v>
      </c>
      <c r="O1066" s="74" t="b">
        <v>1</v>
      </c>
    </row>
    <row r="1067" hidden="1">
      <c r="A1067" s="82"/>
      <c r="B1067" s="65" t="s">
        <v>750</v>
      </c>
      <c r="C1067" s="65" t="s">
        <v>126</v>
      </c>
      <c r="D1067" s="65"/>
      <c r="E1067" s="65" t="s">
        <v>755</v>
      </c>
      <c r="F1067" s="83">
        <v>0.5416666666666666</v>
      </c>
      <c r="G1067" s="83">
        <v>0.7083333333333334</v>
      </c>
      <c r="H1067" s="83">
        <v>0.16666666666666666</v>
      </c>
      <c r="I1067" s="84">
        <v>44273.0</v>
      </c>
      <c r="J1067" s="65" t="b">
        <v>0</v>
      </c>
      <c r="K1067" s="65" t="s">
        <v>150</v>
      </c>
      <c r="L1067" s="85" t="b">
        <f>IF(VLOOKUP(C1067,Projetos!A:L,12,false)=TRUE,TRUE,FALSE)</f>
        <v>1</v>
      </c>
      <c r="M1067" s="74">
        <v>34.7706987012987</v>
      </c>
      <c r="N1067" s="74">
        <f t="shared" si="1"/>
        <v>0</v>
      </c>
      <c r="O1067" s="74" t="b">
        <v>1</v>
      </c>
    </row>
    <row r="1068" hidden="1">
      <c r="A1068" s="82"/>
      <c r="B1068" s="65" t="s">
        <v>750</v>
      </c>
      <c r="C1068" s="65" t="s">
        <v>126</v>
      </c>
      <c r="D1068" s="65"/>
      <c r="E1068" s="65" t="s">
        <v>755</v>
      </c>
      <c r="F1068" s="83">
        <v>0.375</v>
      </c>
      <c r="G1068" s="83">
        <v>0.5416666666666666</v>
      </c>
      <c r="H1068" s="83">
        <v>0.16666666666666666</v>
      </c>
      <c r="I1068" s="84">
        <v>44336.0</v>
      </c>
      <c r="J1068" s="65" t="b">
        <v>0</v>
      </c>
      <c r="K1068" s="65" t="s">
        <v>150</v>
      </c>
      <c r="L1068" s="85" t="b">
        <f>IF(VLOOKUP(C1068,Projetos!A:L,12,false)=TRUE,TRUE,FALSE)</f>
        <v>1</v>
      </c>
      <c r="M1068" s="74">
        <v>34.7706987012987</v>
      </c>
      <c r="N1068" s="74">
        <f t="shared" si="1"/>
        <v>0</v>
      </c>
      <c r="O1068" s="74" t="b">
        <v>1</v>
      </c>
    </row>
    <row r="1069" hidden="1">
      <c r="A1069" s="82"/>
      <c r="B1069" s="65" t="s">
        <v>750</v>
      </c>
      <c r="C1069" s="65" t="s">
        <v>118</v>
      </c>
      <c r="D1069" s="65"/>
      <c r="E1069" s="65" t="s">
        <v>756</v>
      </c>
      <c r="F1069" s="83">
        <v>0.5416666666666666</v>
      </c>
      <c r="G1069" s="83">
        <v>0.625</v>
      </c>
      <c r="H1069" s="83">
        <v>0.08333333333333333</v>
      </c>
      <c r="I1069" s="84">
        <v>44244.0</v>
      </c>
      <c r="J1069" s="65" t="b">
        <v>0</v>
      </c>
      <c r="K1069" s="65"/>
      <c r="L1069" s="85" t="b">
        <f>IF(VLOOKUP(C1069,Projetos!A:L,12,false)=TRUE,TRUE,FALSE)</f>
        <v>1</v>
      </c>
      <c r="M1069" s="74">
        <v>34.7706987012987</v>
      </c>
      <c r="N1069" s="74">
        <f t="shared" si="1"/>
        <v>0</v>
      </c>
      <c r="O1069" s="74" t="b">
        <v>1</v>
      </c>
    </row>
    <row r="1070" hidden="1">
      <c r="A1070" s="82"/>
      <c r="B1070" s="65" t="s">
        <v>750</v>
      </c>
      <c r="C1070" s="65" t="s">
        <v>85</v>
      </c>
      <c r="D1070" s="65" t="str">
        <f>vlookup(C1070,'Classificação p pessoal'!F:G,2,false)</f>
        <v>NP</v>
      </c>
      <c r="E1070" s="65" t="s">
        <v>752</v>
      </c>
      <c r="F1070" s="83">
        <v>0.6666666666666666</v>
      </c>
      <c r="G1070" s="83">
        <v>0.75</v>
      </c>
      <c r="H1070" s="83">
        <v>0.08333333333333333</v>
      </c>
      <c r="I1070" s="84">
        <v>44244.0</v>
      </c>
      <c r="J1070" s="65" t="b">
        <v>1</v>
      </c>
      <c r="K1070" s="65"/>
      <c r="L1070" s="85" t="b">
        <f>IF(VLOOKUP(C1070,Projetos!A:L,12,false)=TRUE,TRUE,FALSE)</f>
        <v>1</v>
      </c>
      <c r="M1070" s="74">
        <v>34.7706987012987</v>
      </c>
      <c r="N1070" s="74">
        <f t="shared" si="1"/>
        <v>69.5413974</v>
      </c>
      <c r="O1070" s="74" t="b">
        <v>1</v>
      </c>
    </row>
    <row r="1071" hidden="1">
      <c r="A1071" s="82"/>
      <c r="B1071" s="65" t="s">
        <v>750</v>
      </c>
      <c r="C1071" s="65" t="s">
        <v>85</v>
      </c>
      <c r="D1071" s="65" t="str">
        <f>vlookup(C1071,'Classificação p pessoal'!F:G,2,false)</f>
        <v>NP</v>
      </c>
      <c r="E1071" s="65" t="s">
        <v>752</v>
      </c>
      <c r="F1071" s="83">
        <v>0.5833333333333334</v>
      </c>
      <c r="G1071" s="83">
        <v>0.75</v>
      </c>
      <c r="H1071" s="83">
        <v>0.16666666666666666</v>
      </c>
      <c r="I1071" s="84">
        <v>44245.0</v>
      </c>
      <c r="J1071" s="65" t="b">
        <v>1</v>
      </c>
      <c r="K1071" s="65"/>
      <c r="L1071" s="85" t="b">
        <f>IF(VLOOKUP(C1071,Projetos!A:L,12,false)=TRUE,TRUE,FALSE)</f>
        <v>1</v>
      </c>
      <c r="M1071" s="74">
        <v>34.7706987012987</v>
      </c>
      <c r="N1071" s="74">
        <f t="shared" si="1"/>
        <v>139.0827948</v>
      </c>
      <c r="O1071" s="74" t="b">
        <v>1</v>
      </c>
    </row>
    <row r="1072" hidden="1">
      <c r="A1072" s="82"/>
      <c r="B1072" s="65" t="s">
        <v>750</v>
      </c>
      <c r="C1072" s="65" t="s">
        <v>126</v>
      </c>
      <c r="D1072" s="65"/>
      <c r="E1072" s="65" t="s">
        <v>755</v>
      </c>
      <c r="F1072" s="83">
        <v>0.7083333333333334</v>
      </c>
      <c r="G1072" s="83">
        <v>0.75</v>
      </c>
      <c r="H1072" s="83">
        <v>0.041666666666666664</v>
      </c>
      <c r="I1072" s="84">
        <v>44343.0</v>
      </c>
      <c r="J1072" s="65" t="b">
        <v>0</v>
      </c>
      <c r="K1072" s="65" t="s">
        <v>150</v>
      </c>
      <c r="L1072" s="85" t="b">
        <f>IF(VLOOKUP(C1072,Projetos!A:L,12,false)=TRUE,TRUE,FALSE)</f>
        <v>1</v>
      </c>
      <c r="M1072" s="74">
        <v>34.7706987012987</v>
      </c>
      <c r="N1072" s="74">
        <f t="shared" si="1"/>
        <v>0</v>
      </c>
      <c r="O1072" s="74" t="b">
        <v>1</v>
      </c>
    </row>
    <row r="1073" hidden="1">
      <c r="A1073" s="82"/>
      <c r="B1073" s="65" t="s">
        <v>750</v>
      </c>
      <c r="C1073" s="65" t="s">
        <v>120</v>
      </c>
      <c r="D1073" s="65"/>
      <c r="E1073" s="65" t="s">
        <v>758</v>
      </c>
      <c r="F1073" s="83">
        <v>0.4583333333333333</v>
      </c>
      <c r="G1073" s="83">
        <v>0.5208333333333334</v>
      </c>
      <c r="H1073" s="83">
        <v>0.0625</v>
      </c>
      <c r="I1073" s="84">
        <v>44245.0</v>
      </c>
      <c r="J1073" s="65" t="b">
        <v>0</v>
      </c>
      <c r="K1073" s="65"/>
      <c r="L1073" s="85" t="b">
        <f>IF(VLOOKUP(C1073,Projetos!A:L,12,false)=TRUE,TRUE,FALSE)</f>
        <v>0</v>
      </c>
      <c r="M1073" s="74">
        <v>34.7706987012987</v>
      </c>
      <c r="N1073" s="74">
        <f t="shared" si="1"/>
        <v>0</v>
      </c>
      <c r="O1073" s="74" t="b">
        <v>0</v>
      </c>
    </row>
    <row r="1074" hidden="1">
      <c r="A1074" s="82"/>
      <c r="B1074" s="65" t="s">
        <v>750</v>
      </c>
      <c r="C1074" s="65" t="s">
        <v>107</v>
      </c>
      <c r="D1074" s="65" t="str">
        <f>vlookup(C1074,'Classificação p pessoal'!F:G,2,false)</f>
        <v>NP</v>
      </c>
      <c r="E1074" s="65" t="s">
        <v>757</v>
      </c>
      <c r="F1074" s="83">
        <v>0.6666666666666666</v>
      </c>
      <c r="G1074" s="83">
        <v>0.75</v>
      </c>
      <c r="H1074" s="83">
        <v>0.08333333333333333</v>
      </c>
      <c r="I1074" s="84">
        <v>44230.0</v>
      </c>
      <c r="J1074" s="65" t="b">
        <v>1</v>
      </c>
      <c r="K1074" s="65"/>
      <c r="L1074" s="85" t="b">
        <f>IF(VLOOKUP(C1074,Projetos!A:L,12,false)=TRUE,TRUE,FALSE)</f>
        <v>1</v>
      </c>
      <c r="M1074" s="74">
        <v>34.7706987012987</v>
      </c>
      <c r="N1074" s="74">
        <f t="shared" si="1"/>
        <v>69.5413974</v>
      </c>
      <c r="O1074" s="74" t="b">
        <v>1</v>
      </c>
    </row>
    <row r="1075" hidden="1">
      <c r="A1075" s="82"/>
      <c r="B1075" s="65" t="s">
        <v>750</v>
      </c>
      <c r="C1075" s="65" t="s">
        <v>107</v>
      </c>
      <c r="D1075" s="65" t="str">
        <f>vlookup(C1075,'Classificação p pessoal'!F:G,2,false)</f>
        <v>NP</v>
      </c>
      <c r="E1075" s="65" t="s">
        <v>757</v>
      </c>
      <c r="F1075" s="83">
        <v>0.375</v>
      </c>
      <c r="G1075" s="83">
        <v>0.5416666666666666</v>
      </c>
      <c r="H1075" s="83">
        <v>0.16666666666666666</v>
      </c>
      <c r="I1075" s="84">
        <v>44239.0</v>
      </c>
      <c r="J1075" s="65" t="b">
        <v>1</v>
      </c>
      <c r="K1075" s="65"/>
      <c r="L1075" s="85" t="b">
        <f>IF(VLOOKUP(C1075,Projetos!A:L,12,false)=TRUE,TRUE,FALSE)</f>
        <v>1</v>
      </c>
      <c r="M1075" s="74">
        <v>34.7706987012987</v>
      </c>
      <c r="N1075" s="74">
        <f t="shared" si="1"/>
        <v>139.0827948</v>
      </c>
      <c r="O1075" s="74" t="b">
        <v>1</v>
      </c>
    </row>
    <row r="1076" hidden="1">
      <c r="A1076" s="82"/>
      <c r="B1076" s="65" t="s">
        <v>750</v>
      </c>
      <c r="C1076" s="65" t="s">
        <v>107</v>
      </c>
      <c r="D1076" s="65" t="str">
        <f>vlookup(C1076,'Classificação p pessoal'!F:G,2,false)</f>
        <v>NP</v>
      </c>
      <c r="E1076" s="65" t="s">
        <v>757</v>
      </c>
      <c r="F1076" s="83">
        <v>0.375</v>
      </c>
      <c r="G1076" s="83">
        <v>0.4583333333333333</v>
      </c>
      <c r="H1076" s="83">
        <v>0.08333333333333333</v>
      </c>
      <c r="I1076" s="84">
        <v>44244.0</v>
      </c>
      <c r="J1076" s="65" t="b">
        <v>1</v>
      </c>
      <c r="K1076" s="65"/>
      <c r="L1076" s="85" t="b">
        <f>IF(VLOOKUP(C1076,Projetos!A:L,12,false)=TRUE,TRUE,FALSE)</f>
        <v>1</v>
      </c>
      <c r="M1076" s="74">
        <v>34.7706987012987</v>
      </c>
      <c r="N1076" s="74">
        <f t="shared" si="1"/>
        <v>69.5413974</v>
      </c>
      <c r="O1076" s="74" t="b">
        <v>1</v>
      </c>
    </row>
    <row r="1077" hidden="1">
      <c r="A1077" s="82"/>
      <c r="B1077" s="65" t="s">
        <v>750</v>
      </c>
      <c r="C1077" s="65" t="s">
        <v>107</v>
      </c>
      <c r="D1077" s="65" t="str">
        <f>vlookup(C1077,'Classificação p pessoal'!F:G,2,false)</f>
        <v>NP</v>
      </c>
      <c r="E1077" s="65" t="s">
        <v>757</v>
      </c>
      <c r="F1077" s="83">
        <v>0.375</v>
      </c>
      <c r="G1077" s="83">
        <v>0.4583333333333333</v>
      </c>
      <c r="H1077" s="83">
        <v>0.08333333333333333</v>
      </c>
      <c r="I1077" s="84">
        <v>44245.0</v>
      </c>
      <c r="J1077" s="65" t="b">
        <v>1</v>
      </c>
      <c r="K1077" s="65"/>
      <c r="L1077" s="85" t="b">
        <f>IF(VLOOKUP(C1077,Projetos!A:L,12,false)=TRUE,TRUE,FALSE)</f>
        <v>1</v>
      </c>
      <c r="M1077" s="74">
        <v>34.7706987012987</v>
      </c>
      <c r="N1077" s="74">
        <f t="shared" si="1"/>
        <v>69.5413974</v>
      </c>
      <c r="O1077" s="74" t="b">
        <v>1</v>
      </c>
    </row>
    <row r="1078" hidden="1">
      <c r="A1078" s="82"/>
      <c r="B1078" s="65" t="s">
        <v>750</v>
      </c>
      <c r="C1078" s="65" t="s">
        <v>107</v>
      </c>
      <c r="D1078" s="65" t="str">
        <f>vlookup(C1078,'Classificação p pessoal'!F:G,2,false)</f>
        <v>NP</v>
      </c>
      <c r="E1078" s="65" t="s">
        <v>757</v>
      </c>
      <c r="F1078" s="83">
        <v>0.5</v>
      </c>
      <c r="G1078" s="83">
        <v>0.625</v>
      </c>
      <c r="H1078" s="83">
        <v>0.125</v>
      </c>
      <c r="I1078" s="84">
        <v>44246.0</v>
      </c>
      <c r="J1078" s="65" t="b">
        <v>1</v>
      </c>
      <c r="K1078" s="65"/>
      <c r="L1078" s="85" t="b">
        <f>IF(VLOOKUP(C1078,Projetos!A:L,12,false)=TRUE,TRUE,FALSE)</f>
        <v>1</v>
      </c>
      <c r="M1078" s="74">
        <v>34.7706987012987</v>
      </c>
      <c r="N1078" s="74">
        <f t="shared" si="1"/>
        <v>104.3120961</v>
      </c>
      <c r="O1078" s="74" t="b">
        <v>1</v>
      </c>
    </row>
    <row r="1079" hidden="1">
      <c r="A1079" s="82"/>
      <c r="B1079" s="65" t="s">
        <v>750</v>
      </c>
      <c r="C1079" s="65" t="s">
        <v>107</v>
      </c>
      <c r="D1079" s="65" t="str">
        <f>vlookup(C1079,'Classificação p pessoal'!F:G,2,false)</f>
        <v>NP</v>
      </c>
      <c r="E1079" s="65" t="s">
        <v>757</v>
      </c>
      <c r="F1079" s="83">
        <v>0.4166666666666667</v>
      </c>
      <c r="G1079" s="83">
        <v>0.5</v>
      </c>
      <c r="H1079" s="83">
        <v>0.08333333333333333</v>
      </c>
      <c r="I1079" s="84">
        <v>44249.0</v>
      </c>
      <c r="J1079" s="65" t="b">
        <v>1</v>
      </c>
      <c r="K1079" s="65"/>
      <c r="L1079" s="85" t="b">
        <f>IF(VLOOKUP(C1079,Projetos!A:L,12,false)=TRUE,TRUE,FALSE)</f>
        <v>1</v>
      </c>
      <c r="M1079" s="74">
        <v>34.7706987012987</v>
      </c>
      <c r="N1079" s="74">
        <f t="shared" si="1"/>
        <v>69.5413974</v>
      </c>
      <c r="O1079" s="74" t="b">
        <v>1</v>
      </c>
    </row>
    <row r="1080" hidden="1">
      <c r="A1080" s="82"/>
      <c r="B1080" s="65" t="s">
        <v>750</v>
      </c>
      <c r="C1080" s="65" t="s">
        <v>107</v>
      </c>
      <c r="D1080" s="65" t="str">
        <f>vlookup(C1080,'Classificação p pessoal'!F:G,2,false)</f>
        <v>NP</v>
      </c>
      <c r="E1080" s="65" t="s">
        <v>757</v>
      </c>
      <c r="F1080" s="83">
        <v>0.5833333333333334</v>
      </c>
      <c r="G1080" s="83">
        <v>0.75</v>
      </c>
      <c r="H1080" s="83">
        <v>0.16666666666666666</v>
      </c>
      <c r="I1080" s="84">
        <v>44250.0</v>
      </c>
      <c r="J1080" s="65" t="b">
        <v>1</v>
      </c>
      <c r="K1080" s="65"/>
      <c r="L1080" s="85" t="b">
        <f>IF(VLOOKUP(C1080,Projetos!A:L,12,false)=TRUE,TRUE,FALSE)</f>
        <v>1</v>
      </c>
      <c r="M1080" s="74">
        <v>34.7706987012987</v>
      </c>
      <c r="N1080" s="74">
        <f t="shared" si="1"/>
        <v>139.0827948</v>
      </c>
      <c r="O1080" s="74" t="b">
        <v>1</v>
      </c>
    </row>
    <row r="1081" hidden="1">
      <c r="A1081" s="82"/>
      <c r="B1081" s="65" t="s">
        <v>750</v>
      </c>
      <c r="C1081" s="65" t="s">
        <v>107</v>
      </c>
      <c r="D1081" s="65" t="str">
        <f>vlookup(C1081,'Classificação p pessoal'!F:G,2,false)</f>
        <v>NP</v>
      </c>
      <c r="E1081" s="65" t="s">
        <v>757</v>
      </c>
      <c r="F1081" s="83">
        <v>0.5416666666666666</v>
      </c>
      <c r="G1081" s="83">
        <v>0.7083333333333334</v>
      </c>
      <c r="H1081" s="83">
        <v>0.16666666666666666</v>
      </c>
      <c r="I1081" s="84">
        <v>44251.0</v>
      </c>
      <c r="J1081" s="65" t="b">
        <v>1</v>
      </c>
      <c r="K1081" s="65"/>
      <c r="L1081" s="85" t="b">
        <f>IF(VLOOKUP(C1081,Projetos!A:L,12,false)=TRUE,TRUE,FALSE)</f>
        <v>1</v>
      </c>
      <c r="M1081" s="74">
        <v>34.7706987012987</v>
      </c>
      <c r="N1081" s="74">
        <f t="shared" si="1"/>
        <v>139.0827948</v>
      </c>
      <c r="O1081" s="74" t="b">
        <v>1</v>
      </c>
    </row>
    <row r="1082" hidden="1">
      <c r="A1082" s="82"/>
      <c r="B1082" s="65" t="s">
        <v>750</v>
      </c>
      <c r="C1082" s="65" t="s">
        <v>118</v>
      </c>
      <c r="D1082" s="65"/>
      <c r="E1082" s="65" t="s">
        <v>756</v>
      </c>
      <c r="F1082" s="83">
        <v>0.625</v>
      </c>
      <c r="G1082" s="83">
        <v>0.7083333333333334</v>
      </c>
      <c r="H1082" s="83">
        <v>0.08333333333333333</v>
      </c>
      <c r="I1082" s="84">
        <v>44258.0</v>
      </c>
      <c r="J1082" s="65" t="b">
        <v>0</v>
      </c>
      <c r="K1082" s="65" t="s">
        <v>150</v>
      </c>
      <c r="L1082" s="85" t="b">
        <f>IF(VLOOKUP(C1082,Projetos!A:L,12,false)=TRUE,TRUE,FALSE)</f>
        <v>1</v>
      </c>
      <c r="M1082" s="74">
        <v>34.7706987012987</v>
      </c>
      <c r="N1082" s="74">
        <f t="shared" si="1"/>
        <v>0</v>
      </c>
      <c r="O1082" s="74" t="b">
        <v>1</v>
      </c>
    </row>
    <row r="1083" hidden="1">
      <c r="A1083" s="82"/>
      <c r="B1083" s="65" t="s">
        <v>750</v>
      </c>
      <c r="C1083" s="65" t="s">
        <v>107</v>
      </c>
      <c r="D1083" s="65" t="str">
        <f>vlookup(C1083,'Classificação p pessoal'!F:G,2,false)</f>
        <v>NP</v>
      </c>
      <c r="E1083" s="65" t="s">
        <v>757</v>
      </c>
      <c r="F1083" s="83">
        <v>0.4166666666666667</v>
      </c>
      <c r="G1083" s="83">
        <v>0.5416666666666666</v>
      </c>
      <c r="H1083" s="83">
        <v>0.125</v>
      </c>
      <c r="I1083" s="84">
        <v>44252.0</v>
      </c>
      <c r="J1083" s="65" t="b">
        <v>1</v>
      </c>
      <c r="K1083" s="65"/>
      <c r="L1083" s="85" t="b">
        <f>IF(VLOOKUP(C1083,Projetos!A:L,12,false)=TRUE,TRUE,FALSE)</f>
        <v>1</v>
      </c>
      <c r="M1083" s="74">
        <v>34.7706987012987</v>
      </c>
      <c r="N1083" s="74">
        <f t="shared" si="1"/>
        <v>104.3120961</v>
      </c>
      <c r="O1083" s="74" t="b">
        <v>1</v>
      </c>
    </row>
    <row r="1084" hidden="1">
      <c r="A1084" s="82"/>
      <c r="B1084" s="65" t="s">
        <v>750</v>
      </c>
      <c r="C1084" s="65" t="s">
        <v>118</v>
      </c>
      <c r="D1084" s="65"/>
      <c r="E1084" s="65" t="s">
        <v>756</v>
      </c>
      <c r="F1084" s="83">
        <v>0.375</v>
      </c>
      <c r="G1084" s="83">
        <v>0.5416666666666666</v>
      </c>
      <c r="H1084" s="83">
        <v>0.16666666666666666</v>
      </c>
      <c r="I1084" s="84">
        <v>44260.0</v>
      </c>
      <c r="J1084" s="65" t="b">
        <v>0</v>
      </c>
      <c r="K1084" s="65" t="s">
        <v>150</v>
      </c>
      <c r="L1084" s="85" t="b">
        <f>IF(VLOOKUP(C1084,Projetos!A:L,12,false)=TRUE,TRUE,FALSE)</f>
        <v>1</v>
      </c>
      <c r="M1084" s="74">
        <v>34.7706987012987</v>
      </c>
      <c r="N1084" s="74">
        <f t="shared" si="1"/>
        <v>0</v>
      </c>
      <c r="O1084" s="74" t="b">
        <v>1</v>
      </c>
    </row>
    <row r="1085" hidden="1">
      <c r="A1085" s="82"/>
      <c r="B1085" s="65" t="s">
        <v>750</v>
      </c>
      <c r="C1085" s="65" t="s">
        <v>107</v>
      </c>
      <c r="D1085" s="65" t="str">
        <f>vlookup(C1085,'Classificação p pessoal'!F:G,2,false)</f>
        <v>NP</v>
      </c>
      <c r="E1085" s="65" t="s">
        <v>757</v>
      </c>
      <c r="F1085" s="83">
        <v>0.625</v>
      </c>
      <c r="G1085" s="83">
        <v>0.75</v>
      </c>
      <c r="H1085" s="83">
        <v>0.125</v>
      </c>
      <c r="I1085" s="84">
        <v>44256.0</v>
      </c>
      <c r="J1085" s="65" t="b">
        <v>1</v>
      </c>
      <c r="K1085" s="65"/>
      <c r="L1085" s="85" t="b">
        <f>IF(VLOOKUP(C1085,Projetos!A:L,12,false)=TRUE,TRUE,FALSE)</f>
        <v>1</v>
      </c>
      <c r="M1085" s="74">
        <v>34.7706987012987</v>
      </c>
      <c r="N1085" s="74">
        <f t="shared" si="1"/>
        <v>104.3120961</v>
      </c>
      <c r="O1085" s="74" t="b">
        <v>1</v>
      </c>
    </row>
    <row r="1086" hidden="1">
      <c r="A1086" s="82"/>
      <c r="B1086" s="65" t="s">
        <v>750</v>
      </c>
      <c r="C1086" s="65" t="s">
        <v>107</v>
      </c>
      <c r="D1086" s="65" t="str">
        <f>vlookup(C1086,'Classificação p pessoal'!F:G,2,false)</f>
        <v>NP</v>
      </c>
      <c r="E1086" s="65" t="s">
        <v>757</v>
      </c>
      <c r="F1086" s="83">
        <v>0.4166666666666667</v>
      </c>
      <c r="G1086" s="83">
        <v>0.5416666666666666</v>
      </c>
      <c r="H1086" s="83">
        <v>0.125</v>
      </c>
      <c r="I1086" s="84">
        <v>44257.0</v>
      </c>
      <c r="J1086" s="65" t="b">
        <v>1</v>
      </c>
      <c r="K1086" s="65"/>
      <c r="L1086" s="85" t="b">
        <f>IF(VLOOKUP(C1086,Projetos!A:L,12,false)=TRUE,TRUE,FALSE)</f>
        <v>1</v>
      </c>
      <c r="M1086" s="74">
        <v>34.7706987012987</v>
      </c>
      <c r="N1086" s="74">
        <f t="shared" si="1"/>
        <v>104.3120961</v>
      </c>
      <c r="O1086" s="74" t="b">
        <v>1</v>
      </c>
    </row>
    <row r="1087" hidden="1">
      <c r="A1087" s="82"/>
      <c r="B1087" s="65" t="s">
        <v>750</v>
      </c>
      <c r="C1087" s="65" t="s">
        <v>107</v>
      </c>
      <c r="D1087" s="65" t="str">
        <f>vlookup(C1087,'Classificação p pessoal'!F:G,2,false)</f>
        <v>NP</v>
      </c>
      <c r="E1087" s="65" t="s">
        <v>757</v>
      </c>
      <c r="F1087" s="83">
        <v>0.375</v>
      </c>
      <c r="G1087" s="83">
        <v>0.4583333333333333</v>
      </c>
      <c r="H1087" s="83">
        <v>0.08333333333333333</v>
      </c>
      <c r="I1087" s="84">
        <v>44258.0</v>
      </c>
      <c r="J1087" s="65" t="b">
        <v>1</v>
      </c>
      <c r="K1087" s="65"/>
      <c r="L1087" s="85" t="b">
        <f>IF(VLOOKUP(C1087,Projetos!A:L,12,false)=TRUE,TRUE,FALSE)</f>
        <v>1</v>
      </c>
      <c r="M1087" s="74">
        <v>34.7706987012987</v>
      </c>
      <c r="N1087" s="74">
        <f t="shared" si="1"/>
        <v>69.5413974</v>
      </c>
      <c r="O1087" s="74" t="b">
        <v>1</v>
      </c>
    </row>
    <row r="1088" hidden="1">
      <c r="A1088" s="82"/>
      <c r="B1088" s="65" t="s">
        <v>750</v>
      </c>
      <c r="C1088" s="65" t="s">
        <v>118</v>
      </c>
      <c r="D1088" s="65"/>
      <c r="E1088" s="65" t="s">
        <v>756</v>
      </c>
      <c r="F1088" s="83">
        <v>0.4166666666666667</v>
      </c>
      <c r="G1088" s="83">
        <v>0.5416666666666666</v>
      </c>
      <c r="H1088" s="83">
        <v>0.125</v>
      </c>
      <c r="I1088" s="84">
        <v>44265.0</v>
      </c>
      <c r="J1088" s="65" t="b">
        <v>0</v>
      </c>
      <c r="K1088" s="65" t="s">
        <v>150</v>
      </c>
      <c r="L1088" s="85" t="b">
        <f>IF(VLOOKUP(C1088,Projetos!A:L,12,false)=TRUE,TRUE,FALSE)</f>
        <v>1</v>
      </c>
      <c r="M1088" s="74">
        <v>34.7706987012987</v>
      </c>
      <c r="N1088" s="74">
        <f t="shared" si="1"/>
        <v>0</v>
      </c>
      <c r="O1088" s="74" t="b">
        <v>1</v>
      </c>
    </row>
    <row r="1089" hidden="1">
      <c r="A1089" s="82"/>
      <c r="B1089" s="65" t="s">
        <v>750</v>
      </c>
      <c r="C1089" s="65" t="s">
        <v>107</v>
      </c>
      <c r="D1089" s="65" t="str">
        <f>vlookup(C1089,'Classificação p pessoal'!F:G,2,false)</f>
        <v>NP</v>
      </c>
      <c r="E1089" s="65" t="s">
        <v>757</v>
      </c>
      <c r="F1089" s="83">
        <v>0.6666666666666666</v>
      </c>
      <c r="G1089" s="83">
        <v>0.75</v>
      </c>
      <c r="H1089" s="83">
        <v>0.08333333333333333</v>
      </c>
      <c r="I1089" s="84">
        <v>44259.0</v>
      </c>
      <c r="J1089" s="65" t="b">
        <v>1</v>
      </c>
      <c r="K1089" s="65"/>
      <c r="L1089" s="85" t="b">
        <f>IF(VLOOKUP(C1089,Projetos!A:L,12,false)=TRUE,TRUE,FALSE)</f>
        <v>1</v>
      </c>
      <c r="M1089" s="74">
        <v>34.7706987012987</v>
      </c>
      <c r="N1089" s="74">
        <f t="shared" si="1"/>
        <v>69.5413974</v>
      </c>
      <c r="O1089" s="74" t="b">
        <v>1</v>
      </c>
    </row>
    <row r="1090" hidden="1">
      <c r="A1090" s="82"/>
      <c r="B1090" s="65" t="s">
        <v>750</v>
      </c>
      <c r="C1090" s="65" t="s">
        <v>107</v>
      </c>
      <c r="D1090" s="65" t="str">
        <f>vlookup(C1090,'Classificação p pessoal'!F:G,2,false)</f>
        <v>NP</v>
      </c>
      <c r="E1090" s="65" t="s">
        <v>757</v>
      </c>
      <c r="F1090" s="83">
        <v>0.625</v>
      </c>
      <c r="G1090" s="83">
        <v>0.75</v>
      </c>
      <c r="H1090" s="83">
        <v>0.125</v>
      </c>
      <c r="I1090" s="84">
        <v>44260.0</v>
      </c>
      <c r="J1090" s="65" t="b">
        <v>1</v>
      </c>
      <c r="K1090" s="65"/>
      <c r="L1090" s="85" t="b">
        <f>IF(VLOOKUP(C1090,Projetos!A:L,12,false)=TRUE,TRUE,FALSE)</f>
        <v>1</v>
      </c>
      <c r="M1090" s="74">
        <v>34.7706987012987</v>
      </c>
      <c r="N1090" s="74">
        <f t="shared" si="1"/>
        <v>104.3120961</v>
      </c>
      <c r="O1090" s="74" t="b">
        <v>1</v>
      </c>
    </row>
    <row r="1091" hidden="1">
      <c r="A1091" s="82"/>
      <c r="B1091" s="65" t="s">
        <v>750</v>
      </c>
      <c r="C1091" s="65" t="s">
        <v>118</v>
      </c>
      <c r="D1091" s="65"/>
      <c r="E1091" s="65" t="s">
        <v>756</v>
      </c>
      <c r="F1091" s="83">
        <v>0.5833333333333334</v>
      </c>
      <c r="G1091" s="83">
        <v>0.6666666666666666</v>
      </c>
      <c r="H1091" s="83">
        <v>0.08333333333333333</v>
      </c>
      <c r="I1091" s="84">
        <v>44266.0</v>
      </c>
      <c r="J1091" s="65" t="b">
        <v>0</v>
      </c>
      <c r="K1091" s="65" t="s">
        <v>150</v>
      </c>
      <c r="L1091" s="85" t="b">
        <f>IF(VLOOKUP(C1091,Projetos!A:L,12,false)=TRUE,TRUE,FALSE)</f>
        <v>1</v>
      </c>
      <c r="M1091" s="74">
        <v>34.7706987012987</v>
      </c>
      <c r="N1091" s="74">
        <f t="shared" si="1"/>
        <v>0</v>
      </c>
      <c r="O1091" s="74" t="b">
        <v>1</v>
      </c>
    </row>
    <row r="1092" hidden="1">
      <c r="A1092" s="82"/>
      <c r="B1092" s="65" t="s">
        <v>750</v>
      </c>
      <c r="C1092" s="65" t="s">
        <v>118</v>
      </c>
      <c r="D1092" s="65"/>
      <c r="E1092" s="65" t="s">
        <v>756</v>
      </c>
      <c r="F1092" s="83">
        <v>0.5416666666666666</v>
      </c>
      <c r="G1092" s="83">
        <v>0.7083333333333334</v>
      </c>
      <c r="H1092" s="83">
        <v>0.16666666666666666</v>
      </c>
      <c r="I1092" s="84">
        <v>44267.0</v>
      </c>
      <c r="J1092" s="65" t="b">
        <v>0</v>
      </c>
      <c r="K1092" s="65" t="s">
        <v>150</v>
      </c>
      <c r="L1092" s="85" t="b">
        <f>IF(VLOOKUP(C1092,Projetos!A:L,12,false)=TRUE,TRUE,FALSE)</f>
        <v>1</v>
      </c>
      <c r="M1092" s="74">
        <v>34.7706987012987</v>
      </c>
      <c r="N1092" s="74">
        <f t="shared" si="1"/>
        <v>0</v>
      </c>
      <c r="O1092" s="74" t="b">
        <v>1</v>
      </c>
    </row>
    <row r="1093" hidden="1">
      <c r="A1093" s="82"/>
      <c r="B1093" s="65" t="s">
        <v>750</v>
      </c>
      <c r="C1093" s="65" t="s">
        <v>118</v>
      </c>
      <c r="D1093" s="65"/>
      <c r="E1093" s="65" t="s">
        <v>756</v>
      </c>
      <c r="F1093" s="83">
        <v>0.4166666666666667</v>
      </c>
      <c r="G1093" s="83">
        <v>0.5</v>
      </c>
      <c r="H1093" s="83">
        <v>0.08333333333333333</v>
      </c>
      <c r="I1093" s="84">
        <v>44270.0</v>
      </c>
      <c r="J1093" s="65" t="b">
        <v>0</v>
      </c>
      <c r="K1093" s="65" t="s">
        <v>150</v>
      </c>
      <c r="L1093" s="85" t="b">
        <f>IF(VLOOKUP(C1093,Projetos!A:L,12,false)=TRUE,TRUE,FALSE)</f>
        <v>1</v>
      </c>
      <c r="M1093" s="74">
        <v>34.7706987012987</v>
      </c>
      <c r="N1093" s="74">
        <f t="shared" si="1"/>
        <v>0</v>
      </c>
      <c r="O1093" s="74" t="b">
        <v>1</v>
      </c>
    </row>
    <row r="1094" hidden="1">
      <c r="A1094" s="82"/>
      <c r="B1094" s="65" t="s">
        <v>750</v>
      </c>
      <c r="C1094" s="65" t="s">
        <v>107</v>
      </c>
      <c r="D1094" s="65" t="str">
        <f>vlookup(C1094,'Classificação p pessoal'!F:G,2,false)</f>
        <v>NP</v>
      </c>
      <c r="E1094" s="65" t="s">
        <v>757</v>
      </c>
      <c r="F1094" s="83">
        <v>0.4166666666666667</v>
      </c>
      <c r="G1094" s="83">
        <v>0.5</v>
      </c>
      <c r="H1094" s="83">
        <v>0.08333333333333333</v>
      </c>
      <c r="I1094" s="84">
        <v>44263.0</v>
      </c>
      <c r="J1094" s="65" t="b">
        <v>1</v>
      </c>
      <c r="K1094" s="65"/>
      <c r="L1094" s="85" t="b">
        <f>IF(VLOOKUP(C1094,Projetos!A:L,12,false)=TRUE,TRUE,FALSE)</f>
        <v>1</v>
      </c>
      <c r="M1094" s="74">
        <v>34.7706987012987</v>
      </c>
      <c r="N1094" s="74">
        <f t="shared" si="1"/>
        <v>69.5413974</v>
      </c>
      <c r="O1094" s="74" t="b">
        <v>1</v>
      </c>
    </row>
    <row r="1095" hidden="1">
      <c r="A1095" s="82"/>
      <c r="B1095" s="65" t="s">
        <v>750</v>
      </c>
      <c r="C1095" s="65" t="s">
        <v>107</v>
      </c>
      <c r="D1095" s="65" t="str">
        <f>vlookup(C1095,'Classificação p pessoal'!F:G,2,false)</f>
        <v>NP</v>
      </c>
      <c r="E1095" s="65" t="s">
        <v>757</v>
      </c>
      <c r="F1095" s="83">
        <v>0.5416666666666666</v>
      </c>
      <c r="G1095" s="83">
        <v>0.7083333333333334</v>
      </c>
      <c r="H1095" s="83">
        <v>0.16666666666666666</v>
      </c>
      <c r="I1095" s="84">
        <v>44264.0</v>
      </c>
      <c r="J1095" s="65" t="b">
        <v>1</v>
      </c>
      <c r="K1095" s="65"/>
      <c r="L1095" s="85" t="b">
        <f>IF(VLOOKUP(C1095,Projetos!A:L,12,false)=TRUE,TRUE,FALSE)</f>
        <v>1</v>
      </c>
      <c r="M1095" s="74">
        <v>34.7706987012987</v>
      </c>
      <c r="N1095" s="74">
        <f t="shared" si="1"/>
        <v>139.0827948</v>
      </c>
      <c r="O1095" s="74" t="b">
        <v>1</v>
      </c>
    </row>
    <row r="1096" hidden="1">
      <c r="A1096" s="82"/>
      <c r="B1096" s="65" t="s">
        <v>750</v>
      </c>
      <c r="C1096" s="65" t="s">
        <v>107</v>
      </c>
      <c r="D1096" s="65" t="str">
        <f>vlookup(C1096,'Classificação p pessoal'!F:G,2,false)</f>
        <v>NP</v>
      </c>
      <c r="E1096" s="65" t="s">
        <v>757</v>
      </c>
      <c r="F1096" s="83">
        <v>0.6666666666666666</v>
      </c>
      <c r="G1096" s="83">
        <v>0.7083333333333334</v>
      </c>
      <c r="H1096" s="83">
        <v>0.041666666666666664</v>
      </c>
      <c r="I1096" s="84">
        <v>44265.0</v>
      </c>
      <c r="J1096" s="65" t="b">
        <v>1</v>
      </c>
      <c r="K1096" s="65"/>
      <c r="L1096" s="85" t="b">
        <f>IF(VLOOKUP(C1096,Projetos!A:L,12,false)=TRUE,TRUE,FALSE)</f>
        <v>1</v>
      </c>
      <c r="M1096" s="74">
        <v>34.7706987012987</v>
      </c>
      <c r="N1096" s="74">
        <f t="shared" si="1"/>
        <v>34.7706987</v>
      </c>
      <c r="O1096" s="74" t="b">
        <v>1</v>
      </c>
    </row>
    <row r="1097" hidden="1">
      <c r="A1097" s="82"/>
      <c r="B1097" s="65" t="s">
        <v>750</v>
      </c>
      <c r="C1097" s="65" t="s">
        <v>85</v>
      </c>
      <c r="D1097" s="65" t="str">
        <f>vlookup(C1097,'Classificação p pessoal'!F:G,2,false)</f>
        <v>NP</v>
      </c>
      <c r="E1097" s="65" t="s">
        <v>752</v>
      </c>
      <c r="F1097" s="83">
        <v>0.5833333333333334</v>
      </c>
      <c r="G1097" s="83">
        <v>0.7083333333333334</v>
      </c>
      <c r="H1097" s="83">
        <v>0.125</v>
      </c>
      <c r="I1097" s="84">
        <v>44271.0</v>
      </c>
      <c r="J1097" s="65" t="b">
        <v>1</v>
      </c>
      <c r="K1097" s="65"/>
      <c r="L1097" s="85" t="b">
        <f>IF(VLOOKUP(C1097,Projetos!A:L,12,false)=TRUE,TRUE,FALSE)</f>
        <v>1</v>
      </c>
      <c r="M1097" s="74">
        <v>34.7706987012987</v>
      </c>
      <c r="N1097" s="74">
        <f t="shared" si="1"/>
        <v>104.3120961</v>
      </c>
      <c r="O1097" s="74" t="b">
        <v>1</v>
      </c>
    </row>
    <row r="1098" hidden="1">
      <c r="A1098" s="82"/>
      <c r="B1098" s="65" t="s">
        <v>750</v>
      </c>
      <c r="C1098" s="65" t="s">
        <v>100</v>
      </c>
      <c r="D1098" s="65" t="str">
        <f>vlookup(C1098,'Classificação p pessoal'!F:G,2,false)</f>
        <v>NP</v>
      </c>
      <c r="E1098" s="65" t="s">
        <v>151</v>
      </c>
      <c r="F1098" s="83">
        <v>0.4166666666666667</v>
      </c>
      <c r="G1098" s="83">
        <v>0.4583333333333333</v>
      </c>
      <c r="H1098" s="83">
        <v>0.041666666666666664</v>
      </c>
      <c r="I1098" s="84">
        <v>44272.0</v>
      </c>
      <c r="J1098" s="65" t="b">
        <v>1</v>
      </c>
      <c r="K1098" s="65"/>
      <c r="L1098" s="85" t="b">
        <f>IF(VLOOKUP(C1098,Projetos!A:L,12,false)=TRUE,TRUE,FALSE)</f>
        <v>1</v>
      </c>
      <c r="M1098" s="74">
        <v>34.7706987012987</v>
      </c>
      <c r="N1098" s="74">
        <f t="shared" si="1"/>
        <v>34.7706987</v>
      </c>
      <c r="O1098" s="74" t="b">
        <v>1</v>
      </c>
    </row>
    <row r="1099" hidden="1">
      <c r="A1099" s="82"/>
      <c r="B1099" s="65" t="s">
        <v>750</v>
      </c>
      <c r="C1099" s="65" t="s">
        <v>85</v>
      </c>
      <c r="D1099" s="65" t="str">
        <f>vlookup(C1099,'Classificação p pessoal'!F:G,2,false)</f>
        <v>NP</v>
      </c>
      <c r="E1099" s="65" t="s">
        <v>752</v>
      </c>
      <c r="F1099" s="83">
        <v>0.5416666666666666</v>
      </c>
      <c r="G1099" s="83">
        <v>0.6666666666666666</v>
      </c>
      <c r="H1099" s="83">
        <v>0.125</v>
      </c>
      <c r="I1099" s="84">
        <v>44272.0</v>
      </c>
      <c r="J1099" s="65" t="b">
        <v>1</v>
      </c>
      <c r="K1099" s="65"/>
      <c r="L1099" s="85" t="b">
        <f>IF(VLOOKUP(C1099,Projetos!A:L,12,false)=TRUE,TRUE,FALSE)</f>
        <v>1</v>
      </c>
      <c r="M1099" s="74">
        <v>34.7706987012987</v>
      </c>
      <c r="N1099" s="74">
        <f t="shared" si="1"/>
        <v>104.3120961</v>
      </c>
      <c r="O1099" s="74" t="b">
        <v>1</v>
      </c>
    </row>
    <row r="1100" hidden="1">
      <c r="A1100" s="82"/>
      <c r="B1100" s="65" t="s">
        <v>750</v>
      </c>
      <c r="C1100" s="65" t="s">
        <v>107</v>
      </c>
      <c r="D1100" s="65" t="str">
        <f>vlookup(C1100,'Classificação p pessoal'!F:G,2,false)</f>
        <v>NP</v>
      </c>
      <c r="E1100" s="65" t="s">
        <v>757</v>
      </c>
      <c r="F1100" s="83">
        <v>0.375</v>
      </c>
      <c r="G1100" s="83">
        <v>0.5</v>
      </c>
      <c r="H1100" s="83">
        <v>0.125</v>
      </c>
      <c r="I1100" s="84">
        <v>44266.0</v>
      </c>
      <c r="J1100" s="65" t="b">
        <v>1</v>
      </c>
      <c r="K1100" s="65"/>
      <c r="L1100" s="85" t="b">
        <f>IF(VLOOKUP(C1100,Projetos!A:L,12,false)=TRUE,TRUE,FALSE)</f>
        <v>1</v>
      </c>
      <c r="M1100" s="74">
        <v>34.7706987012987</v>
      </c>
      <c r="N1100" s="74">
        <f t="shared" si="1"/>
        <v>104.3120961</v>
      </c>
      <c r="O1100" s="74" t="b">
        <v>1</v>
      </c>
    </row>
    <row r="1101" hidden="1">
      <c r="A1101" s="82"/>
      <c r="B1101" s="65" t="s">
        <v>750</v>
      </c>
      <c r="C1101" s="65" t="s">
        <v>100</v>
      </c>
      <c r="D1101" s="65" t="str">
        <f>vlookup(C1101,'Classificação p pessoal'!F:G,2,false)</f>
        <v>NP</v>
      </c>
      <c r="E1101" s="65" t="s">
        <v>151</v>
      </c>
      <c r="F1101" s="83">
        <v>0.375</v>
      </c>
      <c r="G1101" s="83">
        <v>0.5</v>
      </c>
      <c r="H1101" s="83">
        <v>0.125</v>
      </c>
      <c r="I1101" s="84">
        <v>44273.0</v>
      </c>
      <c r="J1101" s="65" t="b">
        <v>1</v>
      </c>
      <c r="K1101" s="65"/>
      <c r="L1101" s="85" t="b">
        <f>IF(VLOOKUP(C1101,Projetos!A:L,12,false)=TRUE,TRUE,FALSE)</f>
        <v>1</v>
      </c>
      <c r="M1101" s="74">
        <v>34.7706987012987</v>
      </c>
      <c r="N1101" s="74">
        <f t="shared" si="1"/>
        <v>104.3120961</v>
      </c>
      <c r="O1101" s="74" t="b">
        <v>1</v>
      </c>
    </row>
    <row r="1102" hidden="1">
      <c r="A1102" s="82"/>
      <c r="B1102" s="65" t="s">
        <v>750</v>
      </c>
      <c r="C1102" s="65" t="s">
        <v>107</v>
      </c>
      <c r="D1102" s="65" t="str">
        <f>vlookup(C1102,'Classificação p pessoal'!F:G,2,false)</f>
        <v>NP</v>
      </c>
      <c r="E1102" s="65" t="s">
        <v>757</v>
      </c>
      <c r="F1102" s="83">
        <v>0.5833333333333334</v>
      </c>
      <c r="G1102" s="83">
        <v>0.625</v>
      </c>
      <c r="H1102" s="83">
        <v>0.041666666666666664</v>
      </c>
      <c r="I1102" s="84">
        <v>44270.0</v>
      </c>
      <c r="J1102" s="65" t="b">
        <v>1</v>
      </c>
      <c r="K1102" s="65"/>
      <c r="L1102" s="85" t="b">
        <f>IF(VLOOKUP(C1102,Projetos!A:L,12,false)=TRUE,TRUE,FALSE)</f>
        <v>1</v>
      </c>
      <c r="M1102" s="74">
        <v>34.7706987012987</v>
      </c>
      <c r="N1102" s="74">
        <f t="shared" si="1"/>
        <v>34.7706987</v>
      </c>
      <c r="O1102" s="74" t="b">
        <v>1</v>
      </c>
    </row>
    <row r="1103" hidden="1">
      <c r="A1103" s="82"/>
      <c r="B1103" s="65" t="s">
        <v>750</v>
      </c>
      <c r="C1103" s="65" t="s">
        <v>85</v>
      </c>
      <c r="D1103" s="65" t="str">
        <f>vlookup(C1103,'Classificação p pessoal'!F:G,2,false)</f>
        <v>NP</v>
      </c>
      <c r="E1103" s="65" t="s">
        <v>752</v>
      </c>
      <c r="F1103" s="83">
        <v>0.3333333333333333</v>
      </c>
      <c r="G1103" s="83">
        <v>0.5</v>
      </c>
      <c r="H1103" s="83">
        <v>0.16666666666666666</v>
      </c>
      <c r="I1103" s="84">
        <v>44274.0</v>
      </c>
      <c r="J1103" s="65" t="b">
        <v>1</v>
      </c>
      <c r="K1103" s="65"/>
      <c r="L1103" s="85" t="b">
        <f>IF(VLOOKUP(C1103,Projetos!A:L,12,false)=TRUE,TRUE,FALSE)</f>
        <v>1</v>
      </c>
      <c r="M1103" s="74">
        <v>34.7706987012987</v>
      </c>
      <c r="N1103" s="74">
        <f t="shared" si="1"/>
        <v>139.0827948</v>
      </c>
      <c r="O1103" s="74" t="b">
        <v>1</v>
      </c>
    </row>
    <row r="1104" hidden="1">
      <c r="A1104" s="82"/>
      <c r="B1104" s="65" t="s">
        <v>750</v>
      </c>
      <c r="C1104" s="65" t="s">
        <v>107</v>
      </c>
      <c r="D1104" s="65" t="str">
        <f>vlookup(C1104,'Classificação p pessoal'!F:G,2,false)</f>
        <v>NP</v>
      </c>
      <c r="E1104" s="65" t="s">
        <v>757</v>
      </c>
      <c r="F1104" s="83">
        <v>0.7083333333333334</v>
      </c>
      <c r="G1104" s="83">
        <v>0.75</v>
      </c>
      <c r="H1104" s="83">
        <v>0.041666666666666664</v>
      </c>
      <c r="I1104" s="84">
        <v>44273.0</v>
      </c>
      <c r="J1104" s="65" t="b">
        <v>1</v>
      </c>
      <c r="K1104" s="65"/>
      <c r="L1104" s="85" t="b">
        <f>IF(VLOOKUP(C1104,Projetos!A:L,12,false)=TRUE,TRUE,FALSE)</f>
        <v>1</v>
      </c>
      <c r="M1104" s="74">
        <v>34.7706987012987</v>
      </c>
      <c r="N1104" s="74">
        <f t="shared" si="1"/>
        <v>34.7706987</v>
      </c>
      <c r="O1104" s="74" t="b">
        <v>1</v>
      </c>
    </row>
    <row r="1105" hidden="1">
      <c r="A1105" s="82"/>
      <c r="B1105" s="65" t="s">
        <v>750</v>
      </c>
      <c r="C1105" s="65" t="s">
        <v>118</v>
      </c>
      <c r="D1105" s="65"/>
      <c r="E1105" s="65" t="s">
        <v>756</v>
      </c>
      <c r="F1105" s="83">
        <v>0.7083333333333334</v>
      </c>
      <c r="G1105" s="83">
        <v>0.75</v>
      </c>
      <c r="H1105" s="83">
        <v>0.041666666666666664</v>
      </c>
      <c r="I1105" s="84">
        <v>44274.0</v>
      </c>
      <c r="J1105" s="65" t="b">
        <v>0</v>
      </c>
      <c r="K1105" s="65" t="s">
        <v>150</v>
      </c>
      <c r="L1105" s="85" t="b">
        <f>IF(VLOOKUP(C1105,Projetos!A:L,12,false)=TRUE,TRUE,FALSE)</f>
        <v>1</v>
      </c>
      <c r="M1105" s="74">
        <v>34.7706987012987</v>
      </c>
      <c r="N1105" s="74">
        <f t="shared" si="1"/>
        <v>0</v>
      </c>
      <c r="O1105" s="74" t="b">
        <v>1</v>
      </c>
    </row>
    <row r="1106" hidden="1">
      <c r="A1106" s="82"/>
      <c r="B1106" s="65" t="s">
        <v>750</v>
      </c>
      <c r="C1106" s="65" t="s">
        <v>107</v>
      </c>
      <c r="D1106" s="65" t="str">
        <f>vlookup(C1106,'Classificação p pessoal'!F:G,2,false)</f>
        <v>NP</v>
      </c>
      <c r="E1106" s="65" t="s">
        <v>757</v>
      </c>
      <c r="F1106" s="83">
        <v>0.5833333333333334</v>
      </c>
      <c r="G1106" s="83">
        <v>0.6666666666666666</v>
      </c>
      <c r="H1106" s="83">
        <v>0.08333333333333333</v>
      </c>
      <c r="I1106" s="84">
        <v>44274.0</v>
      </c>
      <c r="J1106" s="65" t="b">
        <v>1</v>
      </c>
      <c r="K1106" s="65"/>
      <c r="L1106" s="85" t="b">
        <f>IF(VLOOKUP(C1106,Projetos!A:L,12,false)=TRUE,TRUE,FALSE)</f>
        <v>1</v>
      </c>
      <c r="M1106" s="74">
        <v>34.7706987012987</v>
      </c>
      <c r="N1106" s="74">
        <f t="shared" si="1"/>
        <v>69.5413974</v>
      </c>
      <c r="O1106" s="74" t="b">
        <v>1</v>
      </c>
    </row>
    <row r="1107" hidden="1">
      <c r="A1107" s="82"/>
      <c r="B1107" s="65" t="s">
        <v>750</v>
      </c>
      <c r="C1107" s="65" t="s">
        <v>107</v>
      </c>
      <c r="D1107" s="65" t="str">
        <f>vlookup(C1107,'Classificação p pessoal'!F:G,2,false)</f>
        <v>NP</v>
      </c>
      <c r="E1107" s="65" t="s">
        <v>757</v>
      </c>
      <c r="F1107" s="83">
        <v>0.5416666666666666</v>
      </c>
      <c r="G1107" s="83">
        <v>0.75</v>
      </c>
      <c r="H1107" s="83">
        <v>0.20833333333333334</v>
      </c>
      <c r="I1107" s="84">
        <v>44277.0</v>
      </c>
      <c r="J1107" s="65" t="b">
        <v>1</v>
      </c>
      <c r="K1107" s="65"/>
      <c r="L1107" s="85" t="b">
        <f>IF(VLOOKUP(C1107,Projetos!A:L,12,false)=TRUE,TRUE,FALSE)</f>
        <v>1</v>
      </c>
      <c r="M1107" s="74">
        <v>34.7706987012987</v>
      </c>
      <c r="N1107" s="74">
        <f t="shared" si="1"/>
        <v>173.8534935</v>
      </c>
      <c r="O1107" s="74" t="b">
        <v>1</v>
      </c>
    </row>
    <row r="1108" hidden="1">
      <c r="A1108" s="82"/>
      <c r="B1108" s="65" t="s">
        <v>750</v>
      </c>
      <c r="C1108" s="65" t="s">
        <v>118</v>
      </c>
      <c r="D1108" s="65"/>
      <c r="E1108" s="65" t="s">
        <v>756</v>
      </c>
      <c r="F1108" s="83">
        <v>0.5833333333333334</v>
      </c>
      <c r="G1108" s="83">
        <v>0.75</v>
      </c>
      <c r="H1108" s="83">
        <v>0.16666666666666666</v>
      </c>
      <c r="I1108" s="84">
        <v>44278.0</v>
      </c>
      <c r="J1108" s="65" t="b">
        <v>0</v>
      </c>
      <c r="K1108" s="65" t="s">
        <v>150</v>
      </c>
      <c r="L1108" s="85" t="b">
        <f>IF(VLOOKUP(C1108,Projetos!A:L,12,false)=TRUE,TRUE,FALSE)</f>
        <v>1</v>
      </c>
      <c r="M1108" s="74">
        <v>34.7706987012987</v>
      </c>
      <c r="N1108" s="74">
        <f t="shared" si="1"/>
        <v>0</v>
      </c>
      <c r="O1108" s="74" t="b">
        <v>1</v>
      </c>
    </row>
    <row r="1109" hidden="1">
      <c r="A1109" s="82"/>
      <c r="B1109" s="65" t="s">
        <v>750</v>
      </c>
      <c r="C1109" s="65" t="s">
        <v>118</v>
      </c>
      <c r="D1109" s="65"/>
      <c r="E1109" s="65" t="s">
        <v>756</v>
      </c>
      <c r="F1109" s="83">
        <v>0.4166666666666667</v>
      </c>
      <c r="G1109" s="83">
        <v>0.5</v>
      </c>
      <c r="H1109" s="83">
        <v>0.08333333333333333</v>
      </c>
      <c r="I1109" s="84">
        <v>44279.0</v>
      </c>
      <c r="J1109" s="65" t="b">
        <v>0</v>
      </c>
      <c r="K1109" s="65" t="s">
        <v>150</v>
      </c>
      <c r="L1109" s="85" t="b">
        <f>IF(VLOOKUP(C1109,Projetos!A:L,12,false)=TRUE,TRUE,FALSE)</f>
        <v>1</v>
      </c>
      <c r="M1109" s="74">
        <v>34.7706987012987</v>
      </c>
      <c r="N1109" s="74">
        <f t="shared" si="1"/>
        <v>0</v>
      </c>
      <c r="O1109" s="74" t="b">
        <v>1</v>
      </c>
    </row>
    <row r="1110" hidden="1">
      <c r="A1110" s="82"/>
      <c r="B1110" s="65" t="s">
        <v>750</v>
      </c>
      <c r="C1110" s="65" t="s">
        <v>107</v>
      </c>
      <c r="D1110" s="65" t="str">
        <f>vlookup(C1110,'Classificação p pessoal'!F:G,2,false)</f>
        <v>NP</v>
      </c>
      <c r="E1110" s="65" t="s">
        <v>757</v>
      </c>
      <c r="F1110" s="83">
        <v>0.3333333333333333</v>
      </c>
      <c r="G1110" s="83">
        <v>0.5</v>
      </c>
      <c r="H1110" s="83">
        <v>0.16666666666666666</v>
      </c>
      <c r="I1110" s="84">
        <v>44278.0</v>
      </c>
      <c r="J1110" s="65" t="b">
        <v>1</v>
      </c>
      <c r="K1110" s="65"/>
      <c r="L1110" s="85" t="b">
        <f>IF(VLOOKUP(C1110,Projetos!A:L,12,false)=TRUE,TRUE,FALSE)</f>
        <v>1</v>
      </c>
      <c r="M1110" s="74">
        <v>34.7706987012987</v>
      </c>
      <c r="N1110" s="74">
        <f t="shared" si="1"/>
        <v>139.0827948</v>
      </c>
      <c r="O1110" s="74" t="b">
        <v>1</v>
      </c>
    </row>
    <row r="1111" hidden="1">
      <c r="A1111" s="82"/>
      <c r="B1111" s="65" t="s">
        <v>750</v>
      </c>
      <c r="C1111" s="65" t="s">
        <v>107</v>
      </c>
      <c r="D1111" s="65" t="str">
        <f>vlookup(C1111,'Classificação p pessoal'!F:G,2,false)</f>
        <v>NP</v>
      </c>
      <c r="E1111" s="65" t="s">
        <v>757</v>
      </c>
      <c r="F1111" s="83">
        <v>0.5833333333333334</v>
      </c>
      <c r="G1111" s="83">
        <v>0.75</v>
      </c>
      <c r="H1111" s="83">
        <v>0.16666666666666666</v>
      </c>
      <c r="I1111" s="84">
        <v>44279.0</v>
      </c>
      <c r="J1111" s="65" t="b">
        <v>1</v>
      </c>
      <c r="K1111" s="65"/>
      <c r="L1111" s="85" t="b">
        <f>IF(VLOOKUP(C1111,Projetos!A:L,12,false)=TRUE,TRUE,FALSE)</f>
        <v>1</v>
      </c>
      <c r="M1111" s="74">
        <v>34.7706987012987</v>
      </c>
      <c r="N1111" s="74">
        <f t="shared" si="1"/>
        <v>139.0827948</v>
      </c>
      <c r="O1111" s="74" t="b">
        <v>1</v>
      </c>
    </row>
    <row r="1112" hidden="1">
      <c r="A1112" s="82"/>
      <c r="B1112" s="65" t="s">
        <v>750</v>
      </c>
      <c r="C1112" s="65" t="s">
        <v>118</v>
      </c>
      <c r="D1112" s="65"/>
      <c r="E1112" s="65" t="s">
        <v>756</v>
      </c>
      <c r="F1112" s="83">
        <v>0.375</v>
      </c>
      <c r="G1112" s="83">
        <v>0.5</v>
      </c>
      <c r="H1112" s="83">
        <v>0.125</v>
      </c>
      <c r="I1112" s="84">
        <v>44281.0</v>
      </c>
      <c r="J1112" s="65" t="b">
        <v>0</v>
      </c>
      <c r="K1112" s="65" t="s">
        <v>150</v>
      </c>
      <c r="L1112" s="85" t="b">
        <f>IF(VLOOKUP(C1112,Projetos!A:L,12,false)=TRUE,TRUE,FALSE)</f>
        <v>1</v>
      </c>
      <c r="M1112" s="74">
        <v>34.7706987012987</v>
      </c>
      <c r="N1112" s="74">
        <f t="shared" si="1"/>
        <v>0</v>
      </c>
      <c r="O1112" s="74" t="b">
        <v>1</v>
      </c>
    </row>
    <row r="1113" hidden="1">
      <c r="A1113" s="82"/>
      <c r="B1113" s="65" t="s">
        <v>750</v>
      </c>
      <c r="C1113" s="65" t="s">
        <v>118</v>
      </c>
      <c r="D1113" s="65"/>
      <c r="E1113" s="65" t="s">
        <v>756</v>
      </c>
      <c r="F1113" s="83">
        <v>0.375</v>
      </c>
      <c r="G1113" s="83">
        <v>0.4583333333333333</v>
      </c>
      <c r="H1113" s="83">
        <v>0.08333333333333333</v>
      </c>
      <c r="I1113" s="84">
        <v>44284.0</v>
      </c>
      <c r="J1113" s="65" t="b">
        <v>0</v>
      </c>
      <c r="K1113" s="65" t="s">
        <v>150</v>
      </c>
      <c r="L1113" s="85" t="b">
        <f>IF(VLOOKUP(C1113,Projetos!A:L,12,false)=TRUE,TRUE,FALSE)</f>
        <v>1</v>
      </c>
      <c r="M1113" s="74">
        <v>34.7706987012987</v>
      </c>
      <c r="N1113" s="74">
        <f t="shared" si="1"/>
        <v>0</v>
      </c>
      <c r="O1113" s="74" t="b">
        <v>1</v>
      </c>
    </row>
    <row r="1114" hidden="1">
      <c r="A1114" s="82"/>
      <c r="B1114" s="65" t="s">
        <v>750</v>
      </c>
      <c r="C1114" s="65" t="s">
        <v>120</v>
      </c>
      <c r="D1114" s="65"/>
      <c r="E1114" s="65" t="s">
        <v>758</v>
      </c>
      <c r="F1114" s="83">
        <v>0.5625</v>
      </c>
      <c r="G1114" s="83">
        <v>0.6041666666666666</v>
      </c>
      <c r="H1114" s="83">
        <v>0.041666666666666664</v>
      </c>
      <c r="I1114" s="84">
        <v>44284.0</v>
      </c>
      <c r="J1114" s="65" t="b">
        <v>0</v>
      </c>
      <c r="K1114" s="65"/>
      <c r="L1114" s="85" t="b">
        <f>IF(VLOOKUP(C1114,Projetos!A:L,12,false)=TRUE,TRUE,FALSE)</f>
        <v>0</v>
      </c>
      <c r="M1114" s="74">
        <v>34.7706987012987</v>
      </c>
      <c r="N1114" s="74">
        <f t="shared" si="1"/>
        <v>0</v>
      </c>
      <c r="O1114" s="74" t="b">
        <v>0</v>
      </c>
    </row>
    <row r="1115" hidden="1">
      <c r="A1115" s="82"/>
      <c r="B1115" s="65" t="s">
        <v>750</v>
      </c>
      <c r="C1115" s="65" t="s">
        <v>118</v>
      </c>
      <c r="D1115" s="65"/>
      <c r="E1115" s="65" t="s">
        <v>756</v>
      </c>
      <c r="F1115" s="83">
        <v>0.4166666666666667</v>
      </c>
      <c r="G1115" s="83">
        <v>0.5</v>
      </c>
      <c r="H1115" s="83">
        <v>0.08333333333333333</v>
      </c>
      <c r="I1115" s="84">
        <v>44285.0</v>
      </c>
      <c r="J1115" s="65" t="b">
        <v>0</v>
      </c>
      <c r="K1115" s="65" t="s">
        <v>150</v>
      </c>
      <c r="L1115" s="85" t="b">
        <f>IF(VLOOKUP(C1115,Projetos!A:L,12,false)=TRUE,TRUE,FALSE)</f>
        <v>1</v>
      </c>
      <c r="M1115" s="74">
        <v>34.7706987012987</v>
      </c>
      <c r="N1115" s="74">
        <f t="shared" si="1"/>
        <v>0</v>
      </c>
      <c r="O1115" s="74" t="b">
        <v>1</v>
      </c>
    </row>
    <row r="1116" hidden="1">
      <c r="A1116" s="82"/>
      <c r="B1116" s="65" t="s">
        <v>750</v>
      </c>
      <c r="C1116" s="65" t="s">
        <v>107</v>
      </c>
      <c r="D1116" s="65" t="str">
        <f>vlookup(C1116,'Classificação p pessoal'!F:G,2,false)</f>
        <v>NP</v>
      </c>
      <c r="E1116" s="65" t="s">
        <v>757</v>
      </c>
      <c r="F1116" s="83">
        <v>0.5</v>
      </c>
      <c r="G1116" s="83">
        <v>0.75</v>
      </c>
      <c r="H1116" s="83">
        <v>0.25</v>
      </c>
      <c r="I1116" s="84">
        <v>44280.0</v>
      </c>
      <c r="J1116" s="65" t="b">
        <v>1</v>
      </c>
      <c r="K1116" s="65"/>
      <c r="L1116" s="85" t="b">
        <f>IF(VLOOKUP(C1116,Projetos!A:L,12,false)=TRUE,TRUE,FALSE)</f>
        <v>1</v>
      </c>
      <c r="M1116" s="74">
        <v>34.7706987012987</v>
      </c>
      <c r="N1116" s="74">
        <f t="shared" si="1"/>
        <v>208.6241922</v>
      </c>
      <c r="O1116" s="74" t="b">
        <v>1</v>
      </c>
    </row>
    <row r="1117" hidden="1">
      <c r="A1117" s="82"/>
      <c r="B1117" s="65" t="s">
        <v>750</v>
      </c>
      <c r="C1117" s="65" t="s">
        <v>85</v>
      </c>
      <c r="D1117" s="65" t="str">
        <f>vlookup(C1117,'Classificação p pessoal'!F:G,2,false)</f>
        <v>NP</v>
      </c>
      <c r="E1117" s="65" t="s">
        <v>752</v>
      </c>
      <c r="F1117" s="83">
        <v>0.375</v>
      </c>
      <c r="G1117" s="83">
        <v>0.5</v>
      </c>
      <c r="H1117" s="83">
        <v>0.125</v>
      </c>
      <c r="I1117" s="84">
        <v>44286.0</v>
      </c>
      <c r="J1117" s="65" t="b">
        <v>1</v>
      </c>
      <c r="K1117" s="65"/>
      <c r="L1117" s="85" t="b">
        <f>IF(VLOOKUP(C1117,Projetos!A:L,12,false)=TRUE,TRUE,FALSE)</f>
        <v>1</v>
      </c>
      <c r="M1117" s="74">
        <v>34.7706987012987</v>
      </c>
      <c r="N1117" s="74">
        <f t="shared" si="1"/>
        <v>104.3120961</v>
      </c>
      <c r="O1117" s="74" t="b">
        <v>1</v>
      </c>
    </row>
    <row r="1118" hidden="1">
      <c r="A1118" s="82"/>
      <c r="B1118" s="65" t="s">
        <v>750</v>
      </c>
      <c r="C1118" s="65" t="s">
        <v>107</v>
      </c>
      <c r="D1118" s="65" t="str">
        <f>vlookup(C1118,'Classificação p pessoal'!F:G,2,false)</f>
        <v>NP</v>
      </c>
      <c r="E1118" s="65" t="s">
        <v>757</v>
      </c>
      <c r="F1118" s="83">
        <v>0.625</v>
      </c>
      <c r="G1118" s="83">
        <v>0.75</v>
      </c>
      <c r="H1118" s="83">
        <v>0.125</v>
      </c>
      <c r="I1118" s="84">
        <v>44285.0</v>
      </c>
      <c r="J1118" s="65" t="b">
        <v>1</v>
      </c>
      <c r="K1118" s="65"/>
      <c r="L1118" s="85" t="b">
        <f>IF(VLOOKUP(C1118,Projetos!A:L,12,false)=TRUE,TRUE,FALSE)</f>
        <v>1</v>
      </c>
      <c r="M1118" s="74">
        <v>34.7706987012987</v>
      </c>
      <c r="N1118" s="74">
        <f t="shared" si="1"/>
        <v>104.3120961</v>
      </c>
      <c r="O1118" s="74" t="b">
        <v>1</v>
      </c>
    </row>
    <row r="1119" hidden="1">
      <c r="A1119" s="82"/>
      <c r="B1119" s="65" t="s">
        <v>750</v>
      </c>
      <c r="C1119" s="65" t="s">
        <v>107</v>
      </c>
      <c r="D1119" s="65" t="str">
        <f>vlookup(C1119,'Classificação p pessoal'!F:G,2,false)</f>
        <v>NP</v>
      </c>
      <c r="E1119" s="65" t="s">
        <v>757</v>
      </c>
      <c r="F1119" s="83">
        <v>0.5833333333333334</v>
      </c>
      <c r="G1119" s="83">
        <v>0.7083333333333334</v>
      </c>
      <c r="H1119" s="83">
        <v>0.125</v>
      </c>
      <c r="I1119" s="84">
        <v>44286.0</v>
      </c>
      <c r="J1119" s="65" t="b">
        <v>1</v>
      </c>
      <c r="K1119" s="65"/>
      <c r="L1119" s="85" t="b">
        <f>IF(VLOOKUP(C1119,Projetos!A:L,12,false)=TRUE,TRUE,FALSE)</f>
        <v>1</v>
      </c>
      <c r="M1119" s="74">
        <v>34.7706987012987</v>
      </c>
      <c r="N1119" s="74">
        <f t="shared" si="1"/>
        <v>104.3120961</v>
      </c>
      <c r="O1119" s="74" t="b">
        <v>1</v>
      </c>
    </row>
    <row r="1120" hidden="1">
      <c r="A1120" s="82"/>
      <c r="B1120" s="65" t="s">
        <v>750</v>
      </c>
      <c r="C1120" s="65" t="s">
        <v>85</v>
      </c>
      <c r="D1120" s="65" t="str">
        <f>vlookup(C1120,'Classificação p pessoal'!F:G,2,false)</f>
        <v>NP</v>
      </c>
      <c r="E1120" s="65" t="s">
        <v>752</v>
      </c>
      <c r="F1120" s="83">
        <v>0.5833333333333334</v>
      </c>
      <c r="G1120" s="83">
        <v>0.7083333333333334</v>
      </c>
      <c r="H1120" s="83">
        <v>0.125</v>
      </c>
      <c r="I1120" s="84">
        <v>44287.0</v>
      </c>
      <c r="J1120" s="65" t="b">
        <v>1</v>
      </c>
      <c r="K1120" s="65"/>
      <c r="L1120" s="85" t="b">
        <f>IF(VLOOKUP(C1120,Projetos!A:L,12,false)=TRUE,TRUE,FALSE)</f>
        <v>1</v>
      </c>
      <c r="M1120" s="74">
        <v>34.7706987012987</v>
      </c>
      <c r="N1120" s="74">
        <f t="shared" si="1"/>
        <v>104.3120961</v>
      </c>
      <c r="O1120" s="74" t="b">
        <v>1</v>
      </c>
    </row>
    <row r="1121" hidden="1">
      <c r="A1121" s="82"/>
      <c r="B1121" s="65" t="s">
        <v>750</v>
      </c>
      <c r="C1121" s="65" t="s">
        <v>117</v>
      </c>
      <c r="D1121" s="65" t="str">
        <f>vlookup(C1121,'Classificação p pessoal'!F:G,2,false)</f>
        <v>NP</v>
      </c>
      <c r="E1121" s="65" t="s">
        <v>753</v>
      </c>
      <c r="F1121" s="83">
        <v>0.375</v>
      </c>
      <c r="G1121" s="83">
        <v>0.4583333333333333</v>
      </c>
      <c r="H1121" s="83">
        <v>0.08333333333333333</v>
      </c>
      <c r="I1121" s="84">
        <v>44291.0</v>
      </c>
      <c r="J1121" s="65" t="b">
        <v>1</v>
      </c>
      <c r="K1121" s="65"/>
      <c r="L1121" s="85" t="b">
        <f>IF(VLOOKUP(C1121,Projetos!A:L,12,false)=TRUE,TRUE,FALSE)</f>
        <v>1</v>
      </c>
      <c r="M1121" s="74">
        <v>34.7706987012987</v>
      </c>
      <c r="N1121" s="74">
        <f t="shared" si="1"/>
        <v>69.5413974</v>
      </c>
      <c r="O1121" s="74" t="b">
        <v>1</v>
      </c>
    </row>
    <row r="1122" hidden="1">
      <c r="A1122" s="82"/>
      <c r="B1122" s="65" t="s">
        <v>750</v>
      </c>
      <c r="C1122" s="65" t="s">
        <v>118</v>
      </c>
      <c r="D1122" s="65"/>
      <c r="E1122" s="65" t="s">
        <v>756</v>
      </c>
      <c r="F1122" s="83">
        <v>0.4583333333333333</v>
      </c>
      <c r="G1122" s="83">
        <v>0.5</v>
      </c>
      <c r="H1122" s="83">
        <v>0.041666666666666664</v>
      </c>
      <c r="I1122" s="84">
        <v>44292.0</v>
      </c>
      <c r="J1122" s="65" t="b">
        <v>0</v>
      </c>
      <c r="K1122" s="65" t="s">
        <v>150</v>
      </c>
      <c r="L1122" s="85" t="b">
        <f>IF(VLOOKUP(C1122,Projetos!A:L,12,false)=TRUE,TRUE,FALSE)</f>
        <v>1</v>
      </c>
      <c r="M1122" s="74">
        <v>34.7706987012987</v>
      </c>
      <c r="N1122" s="74">
        <f t="shared" si="1"/>
        <v>0</v>
      </c>
      <c r="O1122" s="74" t="b">
        <v>1</v>
      </c>
    </row>
    <row r="1123" hidden="1">
      <c r="A1123" s="82"/>
      <c r="B1123" s="65" t="s">
        <v>750</v>
      </c>
      <c r="C1123" s="65" t="s">
        <v>117</v>
      </c>
      <c r="D1123" s="65" t="str">
        <f>vlookup(C1123,'Classificação p pessoal'!F:G,2,false)</f>
        <v>NP</v>
      </c>
      <c r="E1123" s="65" t="s">
        <v>753</v>
      </c>
      <c r="F1123" s="83">
        <v>0.4166666666666667</v>
      </c>
      <c r="G1123" s="83">
        <v>0.4583333333333333</v>
      </c>
      <c r="H1123" s="83">
        <v>0.041666666666666664</v>
      </c>
      <c r="I1123" s="84">
        <v>44293.0</v>
      </c>
      <c r="J1123" s="65" t="b">
        <v>1</v>
      </c>
      <c r="K1123" s="65"/>
      <c r="L1123" s="85" t="b">
        <f>IF(VLOOKUP(C1123,Projetos!A:L,12,false)=TRUE,TRUE,FALSE)</f>
        <v>1</v>
      </c>
      <c r="M1123" s="74">
        <v>34.7706987012987</v>
      </c>
      <c r="N1123" s="74">
        <f t="shared" si="1"/>
        <v>34.7706987</v>
      </c>
      <c r="O1123" s="74" t="b">
        <v>1</v>
      </c>
    </row>
    <row r="1124" hidden="1">
      <c r="A1124" s="82"/>
      <c r="B1124" s="65" t="s">
        <v>750</v>
      </c>
      <c r="C1124" s="65" t="s">
        <v>118</v>
      </c>
      <c r="D1124" s="65"/>
      <c r="E1124" s="65" t="s">
        <v>756</v>
      </c>
      <c r="F1124" s="83">
        <v>0.6666666666666666</v>
      </c>
      <c r="G1124" s="83">
        <v>0.7083333333333334</v>
      </c>
      <c r="H1124" s="83">
        <v>0.041666666666666664</v>
      </c>
      <c r="I1124" s="84">
        <v>44298.0</v>
      </c>
      <c r="J1124" s="65" t="b">
        <v>0</v>
      </c>
      <c r="K1124" s="65" t="s">
        <v>150</v>
      </c>
      <c r="L1124" s="85" t="b">
        <f>IF(VLOOKUP(C1124,Projetos!A:L,12,false)=TRUE,TRUE,FALSE)</f>
        <v>1</v>
      </c>
      <c r="M1124" s="74">
        <v>34.7706987012987</v>
      </c>
      <c r="N1124" s="74">
        <f t="shared" si="1"/>
        <v>0</v>
      </c>
      <c r="O1124" s="74" t="b">
        <v>1</v>
      </c>
    </row>
    <row r="1125" hidden="1">
      <c r="A1125" s="82"/>
      <c r="B1125" s="65" t="s">
        <v>750</v>
      </c>
      <c r="C1125" s="65" t="s">
        <v>100</v>
      </c>
      <c r="D1125" s="65" t="str">
        <f>vlookup(C1125,'Classificação p pessoal'!F:G,2,false)</f>
        <v>NP</v>
      </c>
      <c r="E1125" s="65" t="s">
        <v>151</v>
      </c>
      <c r="F1125" s="83">
        <v>0.5416666666666666</v>
      </c>
      <c r="G1125" s="83">
        <v>0.625</v>
      </c>
      <c r="H1125" s="83">
        <v>0.08333333333333333</v>
      </c>
      <c r="I1125" s="84">
        <v>44298.0</v>
      </c>
      <c r="J1125" s="65" t="b">
        <v>1</v>
      </c>
      <c r="K1125" s="65"/>
      <c r="L1125" s="85" t="b">
        <f>IF(VLOOKUP(C1125,Projetos!A:L,12,false)=TRUE,TRUE,FALSE)</f>
        <v>1</v>
      </c>
      <c r="M1125" s="74">
        <v>34.7706987012987</v>
      </c>
      <c r="N1125" s="74">
        <f t="shared" si="1"/>
        <v>69.5413974</v>
      </c>
      <c r="O1125" s="74" t="b">
        <v>1</v>
      </c>
    </row>
    <row r="1126" hidden="1">
      <c r="A1126" s="82"/>
      <c r="B1126" s="65" t="s">
        <v>750</v>
      </c>
      <c r="C1126" s="65" t="s">
        <v>107</v>
      </c>
      <c r="D1126" s="65" t="str">
        <f>vlookup(C1126,'Classificação p pessoal'!F:G,2,false)</f>
        <v>NP</v>
      </c>
      <c r="E1126" s="65" t="s">
        <v>757</v>
      </c>
      <c r="F1126" s="83">
        <v>0.4166666666666667</v>
      </c>
      <c r="G1126" s="83">
        <v>0.5</v>
      </c>
      <c r="H1126" s="83">
        <v>0.08333333333333333</v>
      </c>
      <c r="I1126" s="84">
        <v>44287.0</v>
      </c>
      <c r="J1126" s="65" t="b">
        <v>1</v>
      </c>
      <c r="K1126" s="65"/>
      <c r="L1126" s="85" t="b">
        <f>IF(VLOOKUP(C1126,Projetos!A:L,12,false)=TRUE,TRUE,FALSE)</f>
        <v>1</v>
      </c>
      <c r="M1126" s="74">
        <v>34.7706987012987</v>
      </c>
      <c r="N1126" s="74">
        <f t="shared" si="1"/>
        <v>69.5413974</v>
      </c>
      <c r="O1126" s="74" t="b">
        <v>1</v>
      </c>
    </row>
    <row r="1127" hidden="1">
      <c r="A1127" s="82"/>
      <c r="B1127" s="65" t="s">
        <v>750</v>
      </c>
      <c r="C1127" s="65" t="s">
        <v>107</v>
      </c>
      <c r="D1127" s="65" t="str">
        <f>vlookup(C1127,'Classificação p pessoal'!F:G,2,false)</f>
        <v>NP</v>
      </c>
      <c r="E1127" s="65" t="s">
        <v>757</v>
      </c>
      <c r="F1127" s="83">
        <v>0.5833333333333334</v>
      </c>
      <c r="G1127" s="83">
        <v>0.7083333333333334</v>
      </c>
      <c r="H1127" s="83">
        <v>0.125</v>
      </c>
      <c r="I1127" s="84">
        <v>44299.0</v>
      </c>
      <c r="J1127" s="65" t="b">
        <v>1</v>
      </c>
      <c r="K1127" s="65"/>
      <c r="L1127" s="85" t="b">
        <f>IF(VLOOKUP(C1127,Projetos!A:L,12,false)=TRUE,TRUE,FALSE)</f>
        <v>1</v>
      </c>
      <c r="M1127" s="74">
        <v>34.7706987012987</v>
      </c>
      <c r="N1127" s="74">
        <f t="shared" si="1"/>
        <v>104.3120961</v>
      </c>
      <c r="O1127" s="74" t="b">
        <v>1</v>
      </c>
    </row>
    <row r="1128" hidden="1">
      <c r="A1128" s="82"/>
      <c r="B1128" s="65" t="s">
        <v>750</v>
      </c>
      <c r="C1128" s="65" t="s">
        <v>107</v>
      </c>
      <c r="D1128" s="65" t="str">
        <f>vlookup(C1128,'Classificação p pessoal'!F:G,2,false)</f>
        <v>NP</v>
      </c>
      <c r="E1128" s="65" t="s">
        <v>757</v>
      </c>
      <c r="F1128" s="83">
        <v>0.625</v>
      </c>
      <c r="G1128" s="83">
        <v>0.7083333333333334</v>
      </c>
      <c r="H1128" s="83">
        <v>0.08333333333333333</v>
      </c>
      <c r="I1128" s="84">
        <v>44300.0</v>
      </c>
      <c r="J1128" s="65" t="b">
        <v>1</v>
      </c>
      <c r="K1128" s="65"/>
      <c r="L1128" s="85" t="b">
        <f>IF(VLOOKUP(C1128,Projetos!A:L,12,false)=TRUE,TRUE,FALSE)</f>
        <v>1</v>
      </c>
      <c r="M1128" s="74">
        <v>34.7706987012987</v>
      </c>
      <c r="N1128" s="74">
        <f t="shared" si="1"/>
        <v>69.5413974</v>
      </c>
      <c r="O1128" s="74" t="b">
        <v>1</v>
      </c>
    </row>
    <row r="1129" hidden="1">
      <c r="A1129" s="82"/>
      <c r="B1129" s="65" t="s">
        <v>750</v>
      </c>
      <c r="C1129" s="65" t="s">
        <v>118</v>
      </c>
      <c r="D1129" s="65"/>
      <c r="E1129" s="65" t="s">
        <v>756</v>
      </c>
      <c r="F1129" s="83">
        <v>0.6666666666666666</v>
      </c>
      <c r="G1129" s="83">
        <v>0.7916666666666666</v>
      </c>
      <c r="H1129" s="83">
        <v>0.125</v>
      </c>
      <c r="I1129" s="84">
        <v>44301.0</v>
      </c>
      <c r="J1129" s="65" t="b">
        <v>0</v>
      </c>
      <c r="K1129" s="65" t="s">
        <v>150</v>
      </c>
      <c r="L1129" s="85" t="b">
        <f>IF(VLOOKUP(C1129,Projetos!A:L,12,false)=TRUE,TRUE,FALSE)</f>
        <v>1</v>
      </c>
      <c r="M1129" s="74">
        <v>34.7706987012987</v>
      </c>
      <c r="N1129" s="74">
        <f t="shared" si="1"/>
        <v>0</v>
      </c>
      <c r="O1129" s="74" t="b">
        <v>1</v>
      </c>
    </row>
    <row r="1130" hidden="1">
      <c r="A1130" s="82"/>
      <c r="B1130" s="65" t="s">
        <v>750</v>
      </c>
      <c r="C1130" s="65" t="s">
        <v>118</v>
      </c>
      <c r="D1130" s="65"/>
      <c r="E1130" s="65" t="s">
        <v>756</v>
      </c>
      <c r="F1130" s="83">
        <v>0.6666666666666666</v>
      </c>
      <c r="G1130" s="83">
        <v>0.7083333333333334</v>
      </c>
      <c r="H1130" s="83">
        <v>0.041666666666666664</v>
      </c>
      <c r="I1130" s="84">
        <v>44302.0</v>
      </c>
      <c r="J1130" s="65" t="b">
        <v>0</v>
      </c>
      <c r="K1130" s="65" t="s">
        <v>150</v>
      </c>
      <c r="L1130" s="85" t="b">
        <f>IF(VLOOKUP(C1130,Projetos!A:L,12,false)=TRUE,TRUE,FALSE)</f>
        <v>1</v>
      </c>
      <c r="M1130" s="74">
        <v>34.7706987012987</v>
      </c>
      <c r="N1130" s="74">
        <f t="shared" si="1"/>
        <v>0</v>
      </c>
      <c r="O1130" s="74" t="b">
        <v>1</v>
      </c>
    </row>
    <row r="1131" hidden="1">
      <c r="A1131" s="82"/>
      <c r="B1131" s="65" t="s">
        <v>750</v>
      </c>
      <c r="C1131" s="65" t="s">
        <v>91</v>
      </c>
      <c r="D1131" s="65" t="str">
        <f>vlookup(C1131,'Classificação p pessoal'!F:G,2,false)</f>
        <v>NP</v>
      </c>
      <c r="E1131" s="65" t="s">
        <v>159</v>
      </c>
      <c r="F1131" s="83">
        <v>0.375</v>
      </c>
      <c r="G1131" s="83">
        <v>0.5416666666666666</v>
      </c>
      <c r="H1131" s="83">
        <v>0.16666666666666666</v>
      </c>
      <c r="I1131" s="84">
        <v>44302.0</v>
      </c>
      <c r="J1131" s="65" t="b">
        <v>1</v>
      </c>
      <c r="K1131" s="65"/>
      <c r="L1131" s="85" t="b">
        <f>IF(VLOOKUP(C1131,Projetos!A:L,12,false)=TRUE,TRUE,FALSE)</f>
        <v>1</v>
      </c>
      <c r="M1131" s="74">
        <v>34.7706987012987</v>
      </c>
      <c r="N1131" s="74">
        <f t="shared" si="1"/>
        <v>139.0827948</v>
      </c>
      <c r="O1131" s="74" t="b">
        <v>1</v>
      </c>
    </row>
    <row r="1132" hidden="1">
      <c r="A1132" s="82"/>
      <c r="B1132" s="65" t="s">
        <v>750</v>
      </c>
      <c r="C1132" s="65" t="s">
        <v>107</v>
      </c>
      <c r="D1132" s="65" t="str">
        <f>vlookup(C1132,'Classificação p pessoal'!F:G,2,false)</f>
        <v>NP</v>
      </c>
      <c r="E1132" s="65" t="s">
        <v>757</v>
      </c>
      <c r="F1132" s="83">
        <v>0.4166666666666667</v>
      </c>
      <c r="G1132" s="83">
        <v>0.5</v>
      </c>
      <c r="H1132" s="83">
        <v>0.08333333333333333</v>
      </c>
      <c r="I1132" s="84">
        <v>44301.0</v>
      </c>
      <c r="J1132" s="65" t="b">
        <v>1</v>
      </c>
      <c r="K1132" s="65"/>
      <c r="L1132" s="85" t="b">
        <f>IF(VLOOKUP(C1132,Projetos!A:L,12,false)=TRUE,TRUE,FALSE)</f>
        <v>1</v>
      </c>
      <c r="M1132" s="74">
        <v>34.7706987012987</v>
      </c>
      <c r="N1132" s="74">
        <f t="shared" si="1"/>
        <v>69.5413974</v>
      </c>
      <c r="O1132" s="74" t="b">
        <v>1</v>
      </c>
    </row>
    <row r="1133" hidden="1">
      <c r="A1133" s="82"/>
      <c r="B1133" s="65" t="s">
        <v>750</v>
      </c>
      <c r="C1133" s="65" t="s">
        <v>91</v>
      </c>
      <c r="D1133" s="65" t="str">
        <f>vlookup(C1133,'Classificação p pessoal'!F:G,2,false)</f>
        <v>NP</v>
      </c>
      <c r="E1133" s="65" t="s">
        <v>159</v>
      </c>
      <c r="F1133" s="83">
        <v>0.6666666666666666</v>
      </c>
      <c r="G1133" s="83">
        <v>0.75</v>
      </c>
      <c r="H1133" s="83">
        <v>0.08333333333333333</v>
      </c>
      <c r="I1133" s="84">
        <v>44305.0</v>
      </c>
      <c r="J1133" s="65" t="b">
        <v>1</v>
      </c>
      <c r="K1133" s="65"/>
      <c r="L1133" s="85" t="b">
        <f>IF(VLOOKUP(C1133,Projetos!A:L,12,false)=TRUE,TRUE,FALSE)</f>
        <v>1</v>
      </c>
      <c r="M1133" s="74">
        <v>34.7706987012987</v>
      </c>
      <c r="N1133" s="74">
        <f t="shared" si="1"/>
        <v>69.5413974</v>
      </c>
      <c r="O1133" s="74" t="b">
        <v>1</v>
      </c>
    </row>
    <row r="1134" hidden="1">
      <c r="A1134" s="82"/>
      <c r="B1134" s="65" t="s">
        <v>750</v>
      </c>
      <c r="C1134" s="65" t="s">
        <v>107</v>
      </c>
      <c r="D1134" s="65" t="str">
        <f>vlookup(C1134,'Classificação p pessoal'!F:G,2,false)</f>
        <v>NP</v>
      </c>
      <c r="E1134" s="65" t="s">
        <v>757</v>
      </c>
      <c r="F1134" s="83">
        <v>0.5416666666666666</v>
      </c>
      <c r="G1134" s="83">
        <v>0.625</v>
      </c>
      <c r="H1134" s="83">
        <v>0.08333333333333333</v>
      </c>
      <c r="I1134" s="84">
        <v>44305.0</v>
      </c>
      <c r="J1134" s="65" t="b">
        <v>1</v>
      </c>
      <c r="K1134" s="65"/>
      <c r="L1134" s="85" t="b">
        <f>IF(VLOOKUP(C1134,Projetos!A:L,12,false)=TRUE,TRUE,FALSE)</f>
        <v>1</v>
      </c>
      <c r="M1134" s="74">
        <v>34.7706987012987</v>
      </c>
      <c r="N1134" s="74">
        <f t="shared" si="1"/>
        <v>69.5413974</v>
      </c>
      <c r="O1134" s="74" t="b">
        <v>1</v>
      </c>
    </row>
    <row r="1135" hidden="1">
      <c r="A1135" s="82"/>
      <c r="B1135" s="65" t="s">
        <v>750</v>
      </c>
      <c r="C1135" s="65" t="s">
        <v>100</v>
      </c>
      <c r="D1135" s="65" t="str">
        <f>vlookup(C1135,'Classificação p pessoal'!F:G,2,false)</f>
        <v>NP</v>
      </c>
      <c r="E1135" s="65" t="s">
        <v>151</v>
      </c>
      <c r="F1135" s="83">
        <v>0.4166666666666667</v>
      </c>
      <c r="G1135" s="83">
        <v>0.5</v>
      </c>
      <c r="H1135" s="83">
        <v>0.08333333333333333</v>
      </c>
      <c r="I1135" s="84">
        <v>44308.0</v>
      </c>
      <c r="J1135" s="65" t="b">
        <v>1</v>
      </c>
      <c r="K1135" s="65"/>
      <c r="L1135" s="85" t="b">
        <f>IF(VLOOKUP(C1135,Projetos!A:L,12,false)=TRUE,TRUE,FALSE)</f>
        <v>1</v>
      </c>
      <c r="M1135" s="74">
        <v>34.7706987012987</v>
      </c>
      <c r="N1135" s="74">
        <f t="shared" si="1"/>
        <v>69.5413974</v>
      </c>
      <c r="O1135" s="74" t="b">
        <v>1</v>
      </c>
    </row>
    <row r="1136" hidden="1">
      <c r="A1136" s="82"/>
      <c r="B1136" s="65" t="s">
        <v>750</v>
      </c>
      <c r="C1136" s="65" t="s">
        <v>85</v>
      </c>
      <c r="D1136" s="65" t="str">
        <f>vlookup(C1136,'Classificação p pessoal'!F:G,2,false)</f>
        <v>NP</v>
      </c>
      <c r="E1136" s="65" t="s">
        <v>752</v>
      </c>
      <c r="F1136" s="83">
        <v>0.5833333333333334</v>
      </c>
      <c r="G1136" s="83">
        <v>0.7083333333333334</v>
      </c>
      <c r="H1136" s="83">
        <v>0.125</v>
      </c>
      <c r="I1136" s="84">
        <v>44308.0</v>
      </c>
      <c r="J1136" s="65" t="b">
        <v>1</v>
      </c>
      <c r="K1136" s="65"/>
      <c r="L1136" s="85" t="b">
        <f>IF(VLOOKUP(C1136,Projetos!A:L,12,false)=TRUE,TRUE,FALSE)</f>
        <v>1</v>
      </c>
      <c r="M1136" s="74">
        <v>34.7706987012987</v>
      </c>
      <c r="N1136" s="74">
        <f t="shared" si="1"/>
        <v>104.3120961</v>
      </c>
      <c r="O1136" s="74" t="b">
        <v>1</v>
      </c>
    </row>
    <row r="1137" hidden="1">
      <c r="A1137" s="82"/>
      <c r="B1137" s="65" t="s">
        <v>750</v>
      </c>
      <c r="C1137" s="65" t="s">
        <v>85</v>
      </c>
      <c r="D1137" s="65" t="str">
        <f>vlookup(C1137,'Classificação p pessoal'!F:G,2,false)</f>
        <v>NP</v>
      </c>
      <c r="E1137" s="65" t="s">
        <v>752</v>
      </c>
      <c r="F1137" s="83">
        <v>0.3333333333333333</v>
      </c>
      <c r="G1137" s="83">
        <v>0.7083333333333334</v>
      </c>
      <c r="H1137" s="83">
        <v>0.375</v>
      </c>
      <c r="I1137" s="84">
        <v>44309.0</v>
      </c>
      <c r="J1137" s="65" t="b">
        <v>1</v>
      </c>
      <c r="K1137" s="65"/>
      <c r="L1137" s="85" t="b">
        <f>IF(VLOOKUP(C1137,Projetos!A:L,12,false)=TRUE,TRUE,FALSE)</f>
        <v>1</v>
      </c>
      <c r="M1137" s="74">
        <v>34.7706987012987</v>
      </c>
      <c r="N1137" s="74">
        <f t="shared" si="1"/>
        <v>312.9362883</v>
      </c>
      <c r="O1137" s="74" t="b">
        <v>1</v>
      </c>
    </row>
    <row r="1138" hidden="1">
      <c r="A1138" s="82"/>
      <c r="B1138" s="65" t="s">
        <v>750</v>
      </c>
      <c r="C1138" s="65" t="s">
        <v>85</v>
      </c>
      <c r="D1138" s="65" t="str">
        <f>vlookup(C1138,'Classificação p pessoal'!F:G,2,false)</f>
        <v>NP</v>
      </c>
      <c r="E1138" s="65" t="s">
        <v>752</v>
      </c>
      <c r="F1138" s="83">
        <v>0.3333333333333333</v>
      </c>
      <c r="G1138" s="83">
        <v>0.7083333333333334</v>
      </c>
      <c r="H1138" s="83">
        <v>0.375</v>
      </c>
      <c r="I1138" s="84">
        <v>44310.0</v>
      </c>
      <c r="J1138" s="65" t="b">
        <v>1</v>
      </c>
      <c r="K1138" s="65"/>
      <c r="L1138" s="85" t="b">
        <f>IF(VLOOKUP(C1138,Projetos!A:L,12,false)=TRUE,TRUE,FALSE)</f>
        <v>1</v>
      </c>
      <c r="M1138" s="74">
        <v>34.7706987012987</v>
      </c>
      <c r="N1138" s="74">
        <f t="shared" si="1"/>
        <v>312.9362883</v>
      </c>
      <c r="O1138" s="74" t="b">
        <v>1</v>
      </c>
    </row>
    <row r="1139" hidden="1">
      <c r="A1139" s="82"/>
      <c r="B1139" s="65" t="s">
        <v>750</v>
      </c>
      <c r="C1139" s="65" t="s">
        <v>85</v>
      </c>
      <c r="D1139" s="65" t="str">
        <f>vlookup(C1139,'Classificação p pessoal'!F:G,2,false)</f>
        <v>NP</v>
      </c>
      <c r="E1139" s="65" t="s">
        <v>752</v>
      </c>
      <c r="F1139" s="83">
        <v>0.3333333333333333</v>
      </c>
      <c r="G1139" s="83">
        <v>0.5</v>
      </c>
      <c r="H1139" s="83">
        <v>0.16666666666666666</v>
      </c>
      <c r="I1139" s="84">
        <v>44312.0</v>
      </c>
      <c r="J1139" s="65" t="b">
        <v>1</v>
      </c>
      <c r="K1139" s="65"/>
      <c r="L1139" s="85" t="b">
        <f>IF(VLOOKUP(C1139,Projetos!A:L,12,false)=TRUE,TRUE,FALSE)</f>
        <v>1</v>
      </c>
      <c r="M1139" s="74">
        <v>34.7706987012987</v>
      </c>
      <c r="N1139" s="74">
        <f t="shared" si="1"/>
        <v>139.0827948</v>
      </c>
      <c r="O1139" s="74" t="b">
        <v>1</v>
      </c>
    </row>
    <row r="1140" hidden="1">
      <c r="A1140" s="82"/>
      <c r="B1140" s="65" t="s">
        <v>750</v>
      </c>
      <c r="C1140" s="65" t="s">
        <v>107</v>
      </c>
      <c r="D1140" s="65" t="str">
        <f>vlookup(C1140,'Classificação p pessoal'!F:G,2,false)</f>
        <v>NP</v>
      </c>
      <c r="E1140" s="65" t="s">
        <v>757</v>
      </c>
      <c r="F1140" s="83">
        <v>0.3541666666666667</v>
      </c>
      <c r="G1140" s="83">
        <v>0.4166666666666667</v>
      </c>
      <c r="H1140" s="83">
        <v>0.0625</v>
      </c>
      <c r="I1140" s="84">
        <v>44306.0</v>
      </c>
      <c r="J1140" s="65" t="b">
        <v>1</v>
      </c>
      <c r="K1140" s="65"/>
      <c r="L1140" s="85" t="b">
        <f>IF(VLOOKUP(C1140,Projetos!A:L,12,false)=TRUE,TRUE,FALSE)</f>
        <v>1</v>
      </c>
      <c r="M1140" s="74">
        <v>34.7706987012987</v>
      </c>
      <c r="N1140" s="74">
        <f t="shared" si="1"/>
        <v>52.15604805</v>
      </c>
      <c r="O1140" s="74" t="b">
        <v>1</v>
      </c>
    </row>
    <row r="1141" hidden="1">
      <c r="A1141" s="82"/>
      <c r="B1141" s="65" t="s">
        <v>750</v>
      </c>
      <c r="C1141" s="65" t="s">
        <v>107</v>
      </c>
      <c r="D1141" s="65" t="str">
        <f>vlookup(C1141,'Classificação p pessoal'!F:G,2,false)</f>
        <v>NP</v>
      </c>
      <c r="E1141" s="65" t="s">
        <v>757</v>
      </c>
      <c r="F1141" s="83">
        <v>0.375</v>
      </c>
      <c r="G1141" s="83">
        <v>0.5</v>
      </c>
      <c r="H1141" s="83">
        <v>0.125</v>
      </c>
      <c r="I1141" s="84">
        <v>44314.0</v>
      </c>
      <c r="J1141" s="65" t="b">
        <v>1</v>
      </c>
      <c r="K1141" s="65"/>
      <c r="L1141" s="85" t="b">
        <f>IF(VLOOKUP(C1141,Projetos!A:L,12,false)=TRUE,TRUE,FALSE)</f>
        <v>1</v>
      </c>
      <c r="M1141" s="74">
        <v>34.7706987012987</v>
      </c>
      <c r="N1141" s="74">
        <f t="shared" si="1"/>
        <v>104.3120961</v>
      </c>
      <c r="O1141" s="74" t="b">
        <v>1</v>
      </c>
    </row>
    <row r="1142" hidden="1">
      <c r="A1142" s="82"/>
      <c r="B1142" s="65" t="s">
        <v>750</v>
      </c>
      <c r="C1142" s="65" t="s">
        <v>107</v>
      </c>
      <c r="D1142" s="65" t="str">
        <f>vlookup(C1142,'Classificação p pessoal'!F:G,2,false)</f>
        <v>NP</v>
      </c>
      <c r="E1142" s="65" t="s">
        <v>757</v>
      </c>
      <c r="F1142" s="83">
        <v>0.375</v>
      </c>
      <c r="G1142" s="83">
        <v>0.4166666666666667</v>
      </c>
      <c r="H1142" s="83">
        <v>0.041666666666666664</v>
      </c>
      <c r="I1142" s="84">
        <v>44315.0</v>
      </c>
      <c r="J1142" s="65" t="b">
        <v>1</v>
      </c>
      <c r="K1142" s="65"/>
      <c r="L1142" s="85" t="b">
        <f>IF(VLOOKUP(C1142,Projetos!A:L,12,false)=TRUE,TRUE,FALSE)</f>
        <v>1</v>
      </c>
      <c r="M1142" s="74">
        <v>34.7706987012987</v>
      </c>
      <c r="N1142" s="74">
        <f t="shared" si="1"/>
        <v>34.7706987</v>
      </c>
      <c r="O1142" s="74" t="b">
        <v>1</v>
      </c>
    </row>
    <row r="1143" hidden="1">
      <c r="A1143" s="82"/>
      <c r="B1143" s="65" t="s">
        <v>750</v>
      </c>
      <c r="C1143" s="65" t="s">
        <v>100</v>
      </c>
      <c r="D1143" s="65" t="str">
        <f>vlookup(C1143,'Classificação p pessoal'!F:G,2,false)</f>
        <v>NP</v>
      </c>
      <c r="E1143" s="65" t="s">
        <v>151</v>
      </c>
      <c r="F1143" s="83">
        <v>0.5833333333333334</v>
      </c>
      <c r="G1143" s="83">
        <v>0.6666666666666666</v>
      </c>
      <c r="H1143" s="83">
        <v>0.08333333333333333</v>
      </c>
      <c r="I1143" s="84">
        <v>44315.0</v>
      </c>
      <c r="J1143" s="65" t="b">
        <v>1</v>
      </c>
      <c r="K1143" s="65"/>
      <c r="L1143" s="85" t="b">
        <f>IF(VLOOKUP(C1143,Projetos!A:L,12,false)=TRUE,TRUE,FALSE)</f>
        <v>1</v>
      </c>
      <c r="M1143" s="74">
        <v>34.7706987012987</v>
      </c>
      <c r="N1143" s="74">
        <f t="shared" si="1"/>
        <v>69.5413974</v>
      </c>
      <c r="O1143" s="74" t="b">
        <v>1</v>
      </c>
    </row>
    <row r="1144" hidden="1">
      <c r="A1144" s="82"/>
      <c r="B1144" s="65" t="s">
        <v>750</v>
      </c>
      <c r="C1144" s="65" t="s">
        <v>91</v>
      </c>
      <c r="D1144" s="65" t="str">
        <f>vlookup(C1144,'Classificação p pessoal'!F:G,2,false)</f>
        <v>NP</v>
      </c>
      <c r="E1144" s="65" t="s">
        <v>159</v>
      </c>
      <c r="F1144" s="83">
        <v>0.7083333333333334</v>
      </c>
      <c r="G1144" s="83">
        <v>0.75</v>
      </c>
      <c r="H1144" s="83">
        <v>0.041666666666666664</v>
      </c>
      <c r="I1144" s="84">
        <v>44315.0</v>
      </c>
      <c r="J1144" s="65" t="b">
        <v>1</v>
      </c>
      <c r="K1144" s="65"/>
      <c r="L1144" s="85" t="b">
        <f>IF(VLOOKUP(C1144,Projetos!A:L,12,false)=TRUE,TRUE,FALSE)</f>
        <v>1</v>
      </c>
      <c r="M1144" s="74">
        <v>34.7706987012987</v>
      </c>
      <c r="N1144" s="74">
        <f t="shared" si="1"/>
        <v>34.7706987</v>
      </c>
      <c r="O1144" s="74" t="b">
        <v>1</v>
      </c>
    </row>
    <row r="1145" hidden="1">
      <c r="A1145" s="82"/>
      <c r="B1145" s="65" t="s">
        <v>750</v>
      </c>
      <c r="C1145" s="65" t="s">
        <v>107</v>
      </c>
      <c r="D1145" s="65" t="str">
        <f>vlookup(C1145,'Classificação p pessoal'!F:G,2,false)</f>
        <v>NP</v>
      </c>
      <c r="E1145" s="65" t="s">
        <v>757</v>
      </c>
      <c r="F1145" s="83">
        <v>0.375</v>
      </c>
      <c r="G1145" s="83">
        <v>0.4583333333333333</v>
      </c>
      <c r="H1145" s="83">
        <v>0.08333333333333333</v>
      </c>
      <c r="I1145" s="84">
        <v>44316.0</v>
      </c>
      <c r="J1145" s="65" t="b">
        <v>1</v>
      </c>
      <c r="K1145" s="65"/>
      <c r="L1145" s="85" t="b">
        <f>IF(VLOOKUP(C1145,Projetos!A:L,12,false)=TRUE,TRUE,FALSE)</f>
        <v>1</v>
      </c>
      <c r="M1145" s="74">
        <v>34.7706987012987</v>
      </c>
      <c r="N1145" s="74">
        <f t="shared" si="1"/>
        <v>69.5413974</v>
      </c>
      <c r="O1145" s="74" t="b">
        <v>1</v>
      </c>
    </row>
    <row r="1146" hidden="1">
      <c r="A1146" s="82"/>
      <c r="B1146" s="65" t="s">
        <v>750</v>
      </c>
      <c r="C1146" s="65" t="s">
        <v>118</v>
      </c>
      <c r="D1146" s="65"/>
      <c r="E1146" s="65" t="s">
        <v>756</v>
      </c>
      <c r="F1146" s="83">
        <v>0.5833333333333334</v>
      </c>
      <c r="G1146" s="83">
        <v>0.6666666666666666</v>
      </c>
      <c r="H1146" s="83">
        <v>0.08333333333333333</v>
      </c>
      <c r="I1146" s="84">
        <v>44316.0</v>
      </c>
      <c r="J1146" s="65" t="b">
        <v>0</v>
      </c>
      <c r="K1146" s="65" t="s">
        <v>150</v>
      </c>
      <c r="L1146" s="85" t="b">
        <f>IF(VLOOKUP(C1146,Projetos!A:L,12,false)=TRUE,TRUE,FALSE)</f>
        <v>1</v>
      </c>
      <c r="M1146" s="74">
        <v>34.7706987012987</v>
      </c>
      <c r="N1146" s="74">
        <f t="shared" si="1"/>
        <v>0</v>
      </c>
      <c r="O1146" s="74" t="b">
        <v>1</v>
      </c>
    </row>
    <row r="1147" hidden="1">
      <c r="A1147" s="82"/>
      <c r="B1147" s="65" t="s">
        <v>750</v>
      </c>
      <c r="C1147" s="65" t="s">
        <v>85</v>
      </c>
      <c r="D1147" s="65" t="str">
        <f>vlookup(C1147,'Classificação p pessoal'!F:G,2,false)</f>
        <v>NP</v>
      </c>
      <c r="E1147" s="65" t="s">
        <v>752</v>
      </c>
      <c r="F1147" s="83">
        <v>0.7083333333333334</v>
      </c>
      <c r="G1147" s="83">
        <v>0.75</v>
      </c>
      <c r="H1147" s="83">
        <v>0.041666666666666664</v>
      </c>
      <c r="I1147" s="84">
        <v>44316.0</v>
      </c>
      <c r="J1147" s="65" t="b">
        <v>1</v>
      </c>
      <c r="K1147" s="65"/>
      <c r="L1147" s="85" t="b">
        <f>IF(VLOOKUP(C1147,Projetos!A:L,12,false)=TRUE,TRUE,FALSE)</f>
        <v>1</v>
      </c>
      <c r="M1147" s="74">
        <v>34.7706987012987</v>
      </c>
      <c r="N1147" s="74">
        <f t="shared" si="1"/>
        <v>34.7706987</v>
      </c>
      <c r="O1147" s="74" t="b">
        <v>1</v>
      </c>
    </row>
    <row r="1148" hidden="1">
      <c r="A1148" s="82"/>
      <c r="B1148" s="65" t="s">
        <v>750</v>
      </c>
      <c r="C1148" s="65" t="s">
        <v>118</v>
      </c>
      <c r="D1148" s="65"/>
      <c r="E1148" s="65" t="s">
        <v>756</v>
      </c>
      <c r="F1148" s="83">
        <v>0.375</v>
      </c>
      <c r="G1148" s="83">
        <v>0.5416666666666666</v>
      </c>
      <c r="H1148" s="83">
        <v>0.16666666666666666</v>
      </c>
      <c r="I1148" s="84">
        <v>44319.0</v>
      </c>
      <c r="J1148" s="65" t="b">
        <v>0</v>
      </c>
      <c r="K1148" s="65" t="s">
        <v>150</v>
      </c>
      <c r="L1148" s="85" t="b">
        <f>IF(VLOOKUP(C1148,Projetos!A:L,12,false)=TRUE,TRUE,FALSE)</f>
        <v>1</v>
      </c>
      <c r="M1148" s="74">
        <v>34.7706987012987</v>
      </c>
      <c r="N1148" s="74">
        <f t="shared" si="1"/>
        <v>0</v>
      </c>
      <c r="O1148" s="74" t="b">
        <v>1</v>
      </c>
    </row>
    <row r="1149" hidden="1">
      <c r="A1149" s="82"/>
      <c r="B1149" s="65" t="s">
        <v>750</v>
      </c>
      <c r="C1149" s="65" t="s">
        <v>107</v>
      </c>
      <c r="D1149" s="65" t="str">
        <f>vlookup(C1149,'Classificação p pessoal'!F:G,2,false)</f>
        <v>NP</v>
      </c>
      <c r="E1149" s="65" t="s">
        <v>759</v>
      </c>
      <c r="F1149" s="83">
        <v>0.625</v>
      </c>
      <c r="G1149" s="83">
        <v>0.75</v>
      </c>
      <c r="H1149" s="83">
        <v>0.125</v>
      </c>
      <c r="I1149" s="84">
        <v>44319.0</v>
      </c>
      <c r="J1149" s="65" t="b">
        <v>1</v>
      </c>
      <c r="K1149" s="65"/>
      <c r="L1149" s="85" t="b">
        <f>IF(VLOOKUP(C1149,Projetos!A:L,12,false)=TRUE,TRUE,FALSE)</f>
        <v>1</v>
      </c>
      <c r="M1149" s="74">
        <v>34.7706987012987</v>
      </c>
      <c r="N1149" s="74">
        <f t="shared" si="1"/>
        <v>104.3120961</v>
      </c>
      <c r="O1149" s="74" t="b">
        <v>1</v>
      </c>
    </row>
    <row r="1150" hidden="1">
      <c r="A1150" s="82"/>
      <c r="B1150" s="65" t="s">
        <v>750</v>
      </c>
      <c r="C1150" s="65" t="s">
        <v>92</v>
      </c>
      <c r="D1150" s="65" t="str">
        <f>vlookup(C1150,'Classificação p pessoal'!F:G,2,false)</f>
        <v/>
      </c>
      <c r="E1150" s="65" t="s">
        <v>760</v>
      </c>
      <c r="F1150" s="83">
        <v>0.375</v>
      </c>
      <c r="G1150" s="83">
        <v>0.4166666666666667</v>
      </c>
      <c r="H1150" s="83">
        <v>0.041666666666666664</v>
      </c>
      <c r="I1150" s="84">
        <v>44320.0</v>
      </c>
      <c r="J1150" s="65" t="b">
        <v>1</v>
      </c>
      <c r="K1150" s="65"/>
      <c r="L1150" s="85" t="b">
        <f>IF(VLOOKUP(C1150,Projetos!A:L,12,false)=TRUE,TRUE,FALSE)</f>
        <v>1</v>
      </c>
      <c r="M1150" s="74">
        <v>34.7706987012987</v>
      </c>
      <c r="N1150" s="74">
        <f t="shared" si="1"/>
        <v>34.7706987</v>
      </c>
      <c r="O1150" s="74" t="b">
        <v>1</v>
      </c>
    </row>
    <row r="1151" hidden="1">
      <c r="A1151" s="82"/>
      <c r="B1151" s="65" t="s">
        <v>750</v>
      </c>
      <c r="C1151" s="65" t="s">
        <v>118</v>
      </c>
      <c r="D1151" s="65"/>
      <c r="E1151" s="65" t="s">
        <v>756</v>
      </c>
      <c r="F1151" s="83">
        <v>0.4583333333333333</v>
      </c>
      <c r="G1151" s="83">
        <v>0.5416666666666666</v>
      </c>
      <c r="H1151" s="83">
        <v>0.08333333333333333</v>
      </c>
      <c r="I1151" s="84">
        <v>44320.0</v>
      </c>
      <c r="J1151" s="65" t="b">
        <v>0</v>
      </c>
      <c r="K1151" s="65" t="s">
        <v>150</v>
      </c>
      <c r="L1151" s="85" t="b">
        <f>IF(VLOOKUP(C1151,Projetos!A:L,12,false)=TRUE,TRUE,FALSE)</f>
        <v>1</v>
      </c>
      <c r="M1151" s="74">
        <v>34.7706987012987</v>
      </c>
      <c r="N1151" s="74">
        <f t="shared" si="1"/>
        <v>0</v>
      </c>
      <c r="O1151" s="74" t="b">
        <v>1</v>
      </c>
    </row>
    <row r="1152" hidden="1">
      <c r="A1152" s="82"/>
      <c r="B1152" s="65" t="s">
        <v>750</v>
      </c>
      <c r="C1152" s="65" t="s">
        <v>107</v>
      </c>
      <c r="D1152" s="65" t="str">
        <f>vlookup(C1152,'Classificação p pessoal'!F:G,2,false)</f>
        <v>NP</v>
      </c>
      <c r="E1152" s="65" t="s">
        <v>757</v>
      </c>
      <c r="F1152" s="83">
        <v>0.625</v>
      </c>
      <c r="G1152" s="83">
        <v>0.75</v>
      </c>
      <c r="H1152" s="83">
        <v>0.125</v>
      </c>
      <c r="I1152" s="84">
        <v>44320.0</v>
      </c>
      <c r="J1152" s="65" t="b">
        <v>1</v>
      </c>
      <c r="K1152" s="65"/>
      <c r="L1152" s="85" t="b">
        <f>IF(VLOOKUP(C1152,Projetos!A:L,12,false)=TRUE,TRUE,FALSE)</f>
        <v>1</v>
      </c>
      <c r="M1152" s="74">
        <v>34.7706987012987</v>
      </c>
      <c r="N1152" s="74">
        <f t="shared" si="1"/>
        <v>104.3120961</v>
      </c>
      <c r="O1152" s="74" t="b">
        <v>1</v>
      </c>
    </row>
    <row r="1153" hidden="1">
      <c r="A1153" s="82"/>
      <c r="B1153" s="65" t="s">
        <v>750</v>
      </c>
      <c r="C1153" s="65" t="s">
        <v>85</v>
      </c>
      <c r="D1153" s="65" t="str">
        <f>vlookup(C1153,'Classificação p pessoal'!F:G,2,false)</f>
        <v>NP</v>
      </c>
      <c r="E1153" s="65" t="s">
        <v>752</v>
      </c>
      <c r="F1153" s="83">
        <v>0.3541666666666667</v>
      </c>
      <c r="G1153" s="83">
        <v>0.4166666666666667</v>
      </c>
      <c r="H1153" s="83">
        <v>0.0625</v>
      </c>
      <c r="I1153" s="84">
        <v>44321.0</v>
      </c>
      <c r="J1153" s="65" t="b">
        <v>1</v>
      </c>
      <c r="K1153" s="65"/>
      <c r="L1153" s="85" t="b">
        <f>IF(VLOOKUP(C1153,Projetos!A:L,12,false)=TRUE,TRUE,FALSE)</f>
        <v>1</v>
      </c>
      <c r="M1153" s="74">
        <v>34.7706987012987</v>
      </c>
      <c r="N1153" s="74">
        <f t="shared" si="1"/>
        <v>52.15604805</v>
      </c>
      <c r="O1153" s="74" t="b">
        <v>1</v>
      </c>
    </row>
    <row r="1154" hidden="1">
      <c r="A1154" s="82"/>
      <c r="B1154" s="65" t="s">
        <v>750</v>
      </c>
      <c r="C1154" s="65" t="s">
        <v>107</v>
      </c>
      <c r="D1154" s="65" t="str">
        <f>vlookup(C1154,'Classificação p pessoal'!F:G,2,false)</f>
        <v>NP</v>
      </c>
      <c r="E1154" s="65" t="s">
        <v>757</v>
      </c>
      <c r="F1154" s="83">
        <v>0.4375</v>
      </c>
      <c r="G1154" s="83">
        <v>0.5</v>
      </c>
      <c r="H1154" s="83">
        <v>0.0625</v>
      </c>
      <c r="I1154" s="84">
        <v>44321.0</v>
      </c>
      <c r="J1154" s="65" t="b">
        <v>1</v>
      </c>
      <c r="K1154" s="65"/>
      <c r="L1154" s="85" t="b">
        <f>IF(VLOOKUP(C1154,Projetos!A:L,12,false)=TRUE,TRUE,FALSE)</f>
        <v>1</v>
      </c>
      <c r="M1154" s="74">
        <v>34.7706987012987</v>
      </c>
      <c r="N1154" s="74">
        <f t="shared" si="1"/>
        <v>52.15604805</v>
      </c>
      <c r="O1154" s="74" t="b">
        <v>1</v>
      </c>
    </row>
    <row r="1155" hidden="1">
      <c r="A1155" s="82"/>
      <c r="B1155" s="65" t="s">
        <v>750</v>
      </c>
      <c r="C1155" s="65" t="s">
        <v>118</v>
      </c>
      <c r="D1155" s="65"/>
      <c r="E1155" s="65" t="s">
        <v>756</v>
      </c>
      <c r="F1155" s="83">
        <v>0.625</v>
      </c>
      <c r="G1155" s="83">
        <v>0.75</v>
      </c>
      <c r="H1155" s="83">
        <v>0.125</v>
      </c>
      <c r="I1155" s="84">
        <v>44321.0</v>
      </c>
      <c r="J1155" s="65" t="b">
        <v>0</v>
      </c>
      <c r="K1155" s="65" t="s">
        <v>150</v>
      </c>
      <c r="L1155" s="85" t="b">
        <f>IF(VLOOKUP(C1155,Projetos!A:L,12,false)=TRUE,TRUE,FALSE)</f>
        <v>1</v>
      </c>
      <c r="M1155" s="74">
        <v>34.7706987012987</v>
      </c>
      <c r="N1155" s="74">
        <f t="shared" si="1"/>
        <v>0</v>
      </c>
      <c r="O1155" s="74" t="b">
        <v>1</v>
      </c>
    </row>
    <row r="1156" hidden="1">
      <c r="A1156" s="82"/>
      <c r="B1156" s="65" t="s">
        <v>750</v>
      </c>
      <c r="C1156" s="65" t="s">
        <v>91</v>
      </c>
      <c r="D1156" s="65" t="str">
        <f>vlookup(C1156,'Classificação p pessoal'!F:G,2,false)</f>
        <v>NP</v>
      </c>
      <c r="E1156" s="65" t="s">
        <v>761</v>
      </c>
      <c r="F1156" s="83">
        <v>0.375</v>
      </c>
      <c r="G1156" s="83">
        <v>0.5</v>
      </c>
      <c r="H1156" s="83">
        <v>0.125</v>
      </c>
      <c r="I1156" s="84">
        <v>44322.0</v>
      </c>
      <c r="J1156" s="65" t="b">
        <v>1</v>
      </c>
      <c r="K1156" s="65"/>
      <c r="L1156" s="85" t="b">
        <f>IF(VLOOKUP(C1156,Projetos!A:L,12,false)=TRUE,TRUE,FALSE)</f>
        <v>1</v>
      </c>
      <c r="M1156" s="74">
        <v>34.7706987012987</v>
      </c>
      <c r="N1156" s="74">
        <f t="shared" si="1"/>
        <v>104.3120961</v>
      </c>
      <c r="O1156" s="74" t="b">
        <v>1</v>
      </c>
    </row>
    <row r="1157" hidden="1">
      <c r="A1157" s="82"/>
      <c r="B1157" s="65" t="s">
        <v>750</v>
      </c>
      <c r="C1157" s="65" t="s">
        <v>107</v>
      </c>
      <c r="D1157" s="65" t="str">
        <f>vlookup(C1157,'Classificação p pessoal'!F:G,2,false)</f>
        <v>NP</v>
      </c>
      <c r="E1157" s="65" t="s">
        <v>757</v>
      </c>
      <c r="F1157" s="83">
        <v>0.5833333333333334</v>
      </c>
      <c r="G1157" s="83">
        <v>0.7083333333333334</v>
      </c>
      <c r="H1157" s="83">
        <v>0.125</v>
      </c>
      <c r="I1157" s="84">
        <v>44322.0</v>
      </c>
      <c r="J1157" s="65" t="b">
        <v>1</v>
      </c>
      <c r="K1157" s="65"/>
      <c r="L1157" s="85" t="b">
        <f>IF(VLOOKUP(C1157,Projetos!A:L,12,false)=TRUE,TRUE,FALSE)</f>
        <v>1</v>
      </c>
      <c r="M1157" s="74">
        <v>34.7706987012987</v>
      </c>
      <c r="N1157" s="74">
        <f t="shared" si="1"/>
        <v>104.3120961</v>
      </c>
      <c r="O1157" s="74" t="b">
        <v>1</v>
      </c>
    </row>
    <row r="1158" hidden="1">
      <c r="A1158" s="82"/>
      <c r="B1158" s="65" t="s">
        <v>750</v>
      </c>
      <c r="C1158" s="65" t="s">
        <v>118</v>
      </c>
      <c r="D1158" s="65"/>
      <c r="E1158" s="65" t="s">
        <v>756</v>
      </c>
      <c r="F1158" s="83">
        <v>0.375</v>
      </c>
      <c r="G1158" s="83">
        <v>0.5416666666666666</v>
      </c>
      <c r="H1158" s="83">
        <v>0.16666666666666666</v>
      </c>
      <c r="I1158" s="84">
        <v>44323.0</v>
      </c>
      <c r="J1158" s="65" t="b">
        <v>0</v>
      </c>
      <c r="K1158" s="65" t="s">
        <v>150</v>
      </c>
      <c r="L1158" s="85" t="b">
        <f>IF(VLOOKUP(C1158,Projetos!A:L,12,false)=TRUE,TRUE,FALSE)</f>
        <v>1</v>
      </c>
      <c r="M1158" s="74">
        <v>34.7706987012987</v>
      </c>
      <c r="N1158" s="74">
        <f t="shared" si="1"/>
        <v>0</v>
      </c>
      <c r="O1158" s="74" t="b">
        <v>1</v>
      </c>
    </row>
    <row r="1159" hidden="1">
      <c r="A1159" s="82"/>
      <c r="B1159" s="65" t="s">
        <v>750</v>
      </c>
      <c r="C1159" s="65" t="s">
        <v>118</v>
      </c>
      <c r="D1159" s="65"/>
      <c r="E1159" s="65" t="s">
        <v>756</v>
      </c>
      <c r="F1159" s="83">
        <v>0.3541666666666667</v>
      </c>
      <c r="G1159" s="83">
        <v>0.5</v>
      </c>
      <c r="H1159" s="83">
        <v>0.14583333333333334</v>
      </c>
      <c r="I1159" s="84">
        <v>44326.0</v>
      </c>
      <c r="J1159" s="65" t="b">
        <v>0</v>
      </c>
      <c r="K1159" s="65" t="s">
        <v>150</v>
      </c>
      <c r="L1159" s="85" t="b">
        <f>IF(VLOOKUP(C1159,Projetos!A:L,12,false)=TRUE,TRUE,FALSE)</f>
        <v>1</v>
      </c>
      <c r="M1159" s="74">
        <v>34.7706987012987</v>
      </c>
      <c r="N1159" s="74">
        <f t="shared" si="1"/>
        <v>0</v>
      </c>
      <c r="O1159" s="74" t="b">
        <v>1</v>
      </c>
    </row>
    <row r="1160" hidden="1">
      <c r="A1160" s="82"/>
      <c r="B1160" s="65" t="s">
        <v>750</v>
      </c>
      <c r="C1160" s="65" t="s">
        <v>102</v>
      </c>
      <c r="D1160" s="65" t="str">
        <f>vlookup(C1160,'Classificação p pessoal'!F:G,2,false)</f>
        <v>NP</v>
      </c>
      <c r="E1160" s="65" t="s">
        <v>762</v>
      </c>
      <c r="F1160" s="83">
        <v>0.5833333333333334</v>
      </c>
      <c r="G1160" s="83">
        <v>0.6666666666666666</v>
      </c>
      <c r="H1160" s="83">
        <v>0.08333333333333333</v>
      </c>
      <c r="I1160" s="84">
        <v>44326.0</v>
      </c>
      <c r="J1160" s="65" t="b">
        <v>1</v>
      </c>
      <c r="K1160" s="65"/>
      <c r="L1160" s="85" t="b">
        <f>IF(VLOOKUP(C1160,Projetos!A:L,12,false)=TRUE,TRUE,FALSE)</f>
        <v>1</v>
      </c>
      <c r="M1160" s="74">
        <v>34.7706987012987</v>
      </c>
      <c r="N1160" s="74">
        <f t="shared" si="1"/>
        <v>69.5413974</v>
      </c>
      <c r="O1160" s="74" t="b">
        <v>1</v>
      </c>
    </row>
    <row r="1161" hidden="1">
      <c r="A1161" s="82"/>
      <c r="B1161" s="65" t="s">
        <v>750</v>
      </c>
      <c r="C1161" s="65" t="s">
        <v>107</v>
      </c>
      <c r="D1161" s="65" t="str">
        <f>vlookup(C1161,'Classificação p pessoal'!F:G,2,false)</f>
        <v>NP</v>
      </c>
      <c r="E1161" s="65" t="s">
        <v>757</v>
      </c>
      <c r="F1161" s="83">
        <v>0.6666666666666666</v>
      </c>
      <c r="G1161" s="83">
        <v>0.75</v>
      </c>
      <c r="H1161" s="83">
        <v>0.08333333333333333</v>
      </c>
      <c r="I1161" s="84">
        <v>44326.0</v>
      </c>
      <c r="J1161" s="65" t="b">
        <v>1</v>
      </c>
      <c r="K1161" s="65"/>
      <c r="L1161" s="85" t="b">
        <f>IF(VLOOKUP(C1161,Projetos!A:L,12,false)=TRUE,TRUE,FALSE)</f>
        <v>1</v>
      </c>
      <c r="M1161" s="74">
        <v>34.7706987012987</v>
      </c>
      <c r="N1161" s="74">
        <f t="shared" si="1"/>
        <v>69.5413974</v>
      </c>
      <c r="O1161" s="74" t="b">
        <v>1</v>
      </c>
    </row>
    <row r="1162" hidden="1">
      <c r="A1162" s="82"/>
      <c r="B1162" s="65" t="s">
        <v>750</v>
      </c>
      <c r="C1162" s="65" t="s">
        <v>85</v>
      </c>
      <c r="D1162" s="65" t="str">
        <f>vlookup(C1162,'Classificação p pessoal'!F:G,2,false)</f>
        <v>NP</v>
      </c>
      <c r="E1162" s="65" t="s">
        <v>752</v>
      </c>
      <c r="F1162" s="83">
        <v>0.5416666666666666</v>
      </c>
      <c r="G1162" s="83">
        <v>0.75</v>
      </c>
      <c r="H1162" s="83">
        <v>0.20833333333333334</v>
      </c>
      <c r="I1162" s="84">
        <v>44327.0</v>
      </c>
      <c r="J1162" s="65" t="b">
        <v>1</v>
      </c>
      <c r="K1162" s="65"/>
      <c r="L1162" s="85" t="b">
        <f>IF(VLOOKUP(C1162,Projetos!A:L,12,false)=TRUE,TRUE,FALSE)</f>
        <v>1</v>
      </c>
      <c r="M1162" s="74">
        <v>34.7706987012987</v>
      </c>
      <c r="N1162" s="74">
        <f t="shared" si="1"/>
        <v>173.8534935</v>
      </c>
      <c r="O1162" s="74" t="b">
        <v>1</v>
      </c>
    </row>
    <row r="1163" hidden="1">
      <c r="A1163" s="82"/>
      <c r="B1163" s="65" t="s">
        <v>750</v>
      </c>
      <c r="C1163" s="65" t="s">
        <v>118</v>
      </c>
      <c r="D1163" s="65"/>
      <c r="E1163" s="65" t="s">
        <v>756</v>
      </c>
      <c r="F1163" s="83">
        <v>0.3541666666666667</v>
      </c>
      <c r="G1163" s="83">
        <v>0.5</v>
      </c>
      <c r="H1163" s="83">
        <v>0.14583333333333334</v>
      </c>
      <c r="I1163" s="84">
        <v>44328.0</v>
      </c>
      <c r="J1163" s="65" t="b">
        <v>0</v>
      </c>
      <c r="K1163" s="65" t="s">
        <v>150</v>
      </c>
      <c r="L1163" s="85" t="b">
        <f>IF(VLOOKUP(C1163,Projetos!A:L,12,false)=TRUE,TRUE,FALSE)</f>
        <v>1</v>
      </c>
      <c r="M1163" s="74">
        <v>34.7706987012987</v>
      </c>
      <c r="N1163" s="74">
        <f t="shared" si="1"/>
        <v>0</v>
      </c>
      <c r="O1163" s="74" t="b">
        <v>1</v>
      </c>
    </row>
    <row r="1164" hidden="1">
      <c r="A1164" s="82"/>
      <c r="B1164" s="65" t="s">
        <v>750</v>
      </c>
      <c r="C1164" s="65" t="s">
        <v>107</v>
      </c>
      <c r="D1164" s="65" t="str">
        <f>vlookup(C1164,'Classificação p pessoal'!F:G,2,false)</f>
        <v>NP</v>
      </c>
      <c r="E1164" s="65" t="s">
        <v>757</v>
      </c>
      <c r="F1164" s="83">
        <v>0.375</v>
      </c>
      <c r="G1164" s="83">
        <v>0.5</v>
      </c>
      <c r="H1164" s="83">
        <v>0.125</v>
      </c>
      <c r="I1164" s="84">
        <v>44329.0</v>
      </c>
      <c r="J1164" s="65" t="b">
        <v>1</v>
      </c>
      <c r="K1164" s="65"/>
      <c r="L1164" s="85" t="b">
        <f>IF(VLOOKUP(C1164,Projetos!A:L,12,false)=TRUE,TRUE,FALSE)</f>
        <v>1</v>
      </c>
      <c r="M1164" s="74">
        <v>34.7706987012987</v>
      </c>
      <c r="N1164" s="74">
        <f t="shared" si="1"/>
        <v>104.3120961</v>
      </c>
      <c r="O1164" s="74" t="b">
        <v>1</v>
      </c>
    </row>
    <row r="1165" hidden="1">
      <c r="A1165" s="82"/>
      <c r="B1165" s="65" t="s">
        <v>750</v>
      </c>
      <c r="C1165" s="65" t="s">
        <v>118</v>
      </c>
      <c r="D1165" s="65"/>
      <c r="E1165" s="65" t="s">
        <v>756</v>
      </c>
      <c r="F1165" s="83">
        <v>0.5833333333333334</v>
      </c>
      <c r="G1165" s="83">
        <v>0.75</v>
      </c>
      <c r="H1165" s="83">
        <v>0.16666666666666666</v>
      </c>
      <c r="I1165" s="84">
        <v>44329.0</v>
      </c>
      <c r="J1165" s="65" t="b">
        <v>0</v>
      </c>
      <c r="K1165" s="65" t="s">
        <v>150</v>
      </c>
      <c r="L1165" s="85" t="b">
        <f>IF(VLOOKUP(C1165,Projetos!A:L,12,false)=TRUE,TRUE,FALSE)</f>
        <v>1</v>
      </c>
      <c r="M1165" s="74">
        <v>34.7706987012987</v>
      </c>
      <c r="N1165" s="74">
        <f t="shared" si="1"/>
        <v>0</v>
      </c>
      <c r="O1165" s="74" t="b">
        <v>1</v>
      </c>
    </row>
    <row r="1166" hidden="1">
      <c r="A1166" s="82"/>
      <c r="B1166" s="65" t="s">
        <v>750</v>
      </c>
      <c r="C1166" s="65" t="s">
        <v>107</v>
      </c>
      <c r="D1166" s="65" t="str">
        <f>vlookup(C1166,'Classificação p pessoal'!F:G,2,false)</f>
        <v>NP</v>
      </c>
      <c r="E1166" s="65" t="s">
        <v>757</v>
      </c>
      <c r="F1166" s="83">
        <v>0.375</v>
      </c>
      <c r="G1166" s="83">
        <v>0.5</v>
      </c>
      <c r="H1166" s="83">
        <v>0.125</v>
      </c>
      <c r="I1166" s="84">
        <v>44330.0</v>
      </c>
      <c r="J1166" s="65" t="b">
        <v>1</v>
      </c>
      <c r="K1166" s="65"/>
      <c r="L1166" s="85" t="b">
        <f>IF(VLOOKUP(C1166,Projetos!A:L,12,false)=TRUE,TRUE,FALSE)</f>
        <v>1</v>
      </c>
      <c r="M1166" s="74">
        <v>34.7706987012987</v>
      </c>
      <c r="N1166" s="74">
        <f t="shared" si="1"/>
        <v>104.3120961</v>
      </c>
      <c r="O1166" s="74" t="b">
        <v>1</v>
      </c>
    </row>
    <row r="1167" hidden="1">
      <c r="A1167" s="82"/>
      <c r="B1167" s="65" t="s">
        <v>750</v>
      </c>
      <c r="C1167" s="65" t="s">
        <v>118</v>
      </c>
      <c r="D1167" s="65"/>
      <c r="E1167" s="65" t="s">
        <v>756</v>
      </c>
      <c r="F1167" s="83">
        <v>0.5416666666666666</v>
      </c>
      <c r="G1167" s="83">
        <v>0.625</v>
      </c>
      <c r="H1167" s="83">
        <v>0.08333333333333333</v>
      </c>
      <c r="I1167" s="84">
        <v>44330.0</v>
      </c>
      <c r="J1167" s="65" t="b">
        <v>0</v>
      </c>
      <c r="K1167" s="65" t="s">
        <v>150</v>
      </c>
      <c r="L1167" s="85" t="b">
        <f>IF(VLOOKUP(C1167,Projetos!A:L,12,false)=TRUE,TRUE,FALSE)</f>
        <v>1</v>
      </c>
      <c r="M1167" s="74">
        <v>34.7706987012987</v>
      </c>
      <c r="N1167" s="74">
        <f t="shared" si="1"/>
        <v>0</v>
      </c>
      <c r="O1167" s="74" t="b">
        <v>1</v>
      </c>
    </row>
    <row r="1168" hidden="1">
      <c r="A1168" s="82"/>
      <c r="B1168" s="65" t="s">
        <v>750</v>
      </c>
      <c r="C1168" s="65" t="s">
        <v>102</v>
      </c>
      <c r="D1168" s="65" t="str">
        <f>vlookup(C1168,'Classificação p pessoal'!F:G,2,false)</f>
        <v>NP</v>
      </c>
      <c r="E1168" s="65" t="s">
        <v>762</v>
      </c>
      <c r="F1168" s="83">
        <v>0.6666666666666666</v>
      </c>
      <c r="G1168" s="83">
        <v>0.75</v>
      </c>
      <c r="H1168" s="83">
        <v>0.08333333333333333</v>
      </c>
      <c r="I1168" s="84">
        <v>44330.0</v>
      </c>
      <c r="J1168" s="65" t="b">
        <v>1</v>
      </c>
      <c r="K1168" s="65"/>
      <c r="L1168" s="85" t="b">
        <f>IF(VLOOKUP(C1168,Projetos!A:L,12,false)=TRUE,TRUE,FALSE)</f>
        <v>1</v>
      </c>
      <c r="M1168" s="74">
        <v>34.7706987012987</v>
      </c>
      <c r="N1168" s="74">
        <f t="shared" si="1"/>
        <v>69.5413974</v>
      </c>
      <c r="O1168" s="74" t="b">
        <v>1</v>
      </c>
    </row>
    <row r="1169" hidden="1">
      <c r="A1169" s="82"/>
      <c r="B1169" s="65" t="s">
        <v>750</v>
      </c>
      <c r="C1169" s="65" t="s">
        <v>107</v>
      </c>
      <c r="D1169" s="65" t="str">
        <f>vlookup(C1169,'Classificação p pessoal'!F:G,2,false)</f>
        <v>NP</v>
      </c>
      <c r="E1169" s="65" t="s">
        <v>757</v>
      </c>
      <c r="F1169" s="83">
        <v>0.5416666666666666</v>
      </c>
      <c r="G1169" s="83">
        <v>0.6666666666666666</v>
      </c>
      <c r="H1169" s="83">
        <v>0.125</v>
      </c>
      <c r="I1169" s="84">
        <v>44334.0</v>
      </c>
      <c r="J1169" s="65" t="b">
        <v>1</v>
      </c>
      <c r="K1169" s="65"/>
      <c r="L1169" s="85" t="b">
        <f>IF(VLOOKUP(C1169,Projetos!A:L,12,false)=TRUE,TRUE,FALSE)</f>
        <v>1</v>
      </c>
      <c r="M1169" s="74">
        <v>34.7706987012987</v>
      </c>
      <c r="N1169" s="74">
        <f t="shared" si="1"/>
        <v>104.3120961</v>
      </c>
      <c r="O1169" s="74" t="b">
        <v>1</v>
      </c>
    </row>
    <row r="1170" hidden="1">
      <c r="A1170" s="82"/>
      <c r="B1170" s="65" t="s">
        <v>750</v>
      </c>
      <c r="C1170" s="65" t="s">
        <v>118</v>
      </c>
      <c r="D1170" s="65"/>
      <c r="E1170" s="65" t="s">
        <v>756</v>
      </c>
      <c r="F1170" s="83">
        <v>0.5416666666666666</v>
      </c>
      <c r="G1170" s="83">
        <v>0.75</v>
      </c>
      <c r="H1170" s="83">
        <v>0.20833333333333334</v>
      </c>
      <c r="I1170" s="84">
        <v>44335.0</v>
      </c>
      <c r="J1170" s="65" t="b">
        <v>0</v>
      </c>
      <c r="K1170" s="65" t="s">
        <v>150</v>
      </c>
      <c r="L1170" s="85" t="b">
        <f>IF(VLOOKUP(C1170,Projetos!A:L,12,false)=TRUE,TRUE,FALSE)</f>
        <v>1</v>
      </c>
      <c r="M1170" s="74">
        <v>34.7706987012987</v>
      </c>
      <c r="N1170" s="74">
        <f t="shared" si="1"/>
        <v>0</v>
      </c>
      <c r="O1170" s="74" t="b">
        <v>1</v>
      </c>
    </row>
    <row r="1171" hidden="1">
      <c r="A1171" s="82"/>
      <c r="B1171" s="65" t="s">
        <v>750</v>
      </c>
      <c r="C1171" s="65" t="s">
        <v>107</v>
      </c>
      <c r="D1171" s="65" t="str">
        <f>vlookup(C1171,'Classificação p pessoal'!F:G,2,false)</f>
        <v>NP</v>
      </c>
      <c r="E1171" s="65" t="s">
        <v>763</v>
      </c>
      <c r="F1171" s="83">
        <v>0.375</v>
      </c>
      <c r="G1171" s="83">
        <v>0.5833333333333334</v>
      </c>
      <c r="H1171" s="83">
        <v>0.20833333333333334</v>
      </c>
      <c r="I1171" s="84">
        <v>44337.0</v>
      </c>
      <c r="J1171" s="65" t="b">
        <v>1</v>
      </c>
      <c r="K1171" s="65"/>
      <c r="L1171" s="85" t="b">
        <f>IF(VLOOKUP(C1171,Projetos!A:L,12,false)=TRUE,TRUE,FALSE)</f>
        <v>1</v>
      </c>
      <c r="M1171" s="74">
        <v>34.7706987012987</v>
      </c>
      <c r="N1171" s="74">
        <f t="shared" si="1"/>
        <v>173.8534935</v>
      </c>
      <c r="O1171" s="74" t="b">
        <v>1</v>
      </c>
    </row>
    <row r="1172" hidden="1">
      <c r="A1172" s="82"/>
      <c r="B1172" s="65" t="s">
        <v>750</v>
      </c>
      <c r="C1172" s="65" t="s">
        <v>118</v>
      </c>
      <c r="D1172" s="65"/>
      <c r="E1172" s="65" t="s">
        <v>756</v>
      </c>
      <c r="F1172" s="83">
        <v>0.5833333333333334</v>
      </c>
      <c r="G1172" s="83">
        <v>0.6666666666666666</v>
      </c>
      <c r="H1172" s="83">
        <v>0.08333333333333333</v>
      </c>
      <c r="I1172" s="84">
        <v>44340.0</v>
      </c>
      <c r="J1172" s="65" t="b">
        <v>0</v>
      </c>
      <c r="K1172" s="65" t="s">
        <v>150</v>
      </c>
      <c r="L1172" s="85" t="b">
        <f>IF(VLOOKUP(C1172,Projetos!A:L,12,false)=TRUE,TRUE,FALSE)</f>
        <v>1</v>
      </c>
      <c r="M1172" s="74">
        <v>34.7706987012987</v>
      </c>
      <c r="N1172" s="74">
        <f t="shared" si="1"/>
        <v>0</v>
      </c>
      <c r="O1172" s="74" t="b">
        <v>1</v>
      </c>
    </row>
    <row r="1173" hidden="1">
      <c r="A1173" s="82"/>
      <c r="B1173" s="65" t="s">
        <v>750</v>
      </c>
      <c r="C1173" s="65" t="s">
        <v>85</v>
      </c>
      <c r="D1173" s="65" t="str">
        <f>vlookup(C1173,'Classificação p pessoal'!F:G,2,false)</f>
        <v>NP</v>
      </c>
      <c r="E1173" s="65" t="s">
        <v>752</v>
      </c>
      <c r="F1173" s="83">
        <v>0.375</v>
      </c>
      <c r="G1173" s="83">
        <v>0.5</v>
      </c>
      <c r="H1173" s="83">
        <v>0.125</v>
      </c>
      <c r="I1173" s="84">
        <v>44340.0</v>
      </c>
      <c r="J1173" s="65" t="b">
        <v>1</v>
      </c>
      <c r="K1173" s="65"/>
      <c r="L1173" s="85" t="b">
        <f>IF(VLOOKUP(C1173,Projetos!A:L,12,false)=TRUE,TRUE,FALSE)</f>
        <v>1</v>
      </c>
      <c r="M1173" s="74">
        <v>34.7706987012987</v>
      </c>
      <c r="N1173" s="74">
        <f t="shared" si="1"/>
        <v>104.3120961</v>
      </c>
      <c r="O1173" s="74" t="b">
        <v>1</v>
      </c>
    </row>
    <row r="1174" hidden="1">
      <c r="A1174" s="82"/>
      <c r="B1174" s="65" t="s">
        <v>750</v>
      </c>
      <c r="C1174" s="65" t="s">
        <v>91</v>
      </c>
      <c r="D1174" s="65" t="str">
        <f>vlookup(C1174,'Classificação p pessoal'!F:G,2,false)</f>
        <v>NP</v>
      </c>
      <c r="E1174" s="65" t="s">
        <v>764</v>
      </c>
      <c r="F1174" s="83">
        <v>0.5416666666666666</v>
      </c>
      <c r="G1174" s="83">
        <v>0.7083333333333334</v>
      </c>
      <c r="H1174" s="83">
        <v>0.16666666666666666</v>
      </c>
      <c r="I1174" s="84">
        <v>44341.0</v>
      </c>
      <c r="J1174" s="65" t="b">
        <v>1</v>
      </c>
      <c r="K1174" s="65"/>
      <c r="L1174" s="85" t="b">
        <f>IF(VLOOKUP(C1174,Projetos!A:L,12,false)=TRUE,TRUE,FALSE)</f>
        <v>1</v>
      </c>
      <c r="M1174" s="74">
        <v>34.7706987012987</v>
      </c>
      <c r="N1174" s="74">
        <f t="shared" si="1"/>
        <v>139.0827948</v>
      </c>
      <c r="O1174" s="74" t="b">
        <v>1</v>
      </c>
    </row>
    <row r="1175" hidden="1">
      <c r="A1175" s="82"/>
      <c r="B1175" s="65" t="s">
        <v>750</v>
      </c>
      <c r="C1175" s="65" t="s">
        <v>107</v>
      </c>
      <c r="D1175" s="65" t="str">
        <f>vlookup(C1175,'Classificação p pessoal'!F:G,2,false)</f>
        <v>NP</v>
      </c>
      <c r="E1175" s="65" t="s">
        <v>763</v>
      </c>
      <c r="F1175" s="83">
        <v>0.5416666666666666</v>
      </c>
      <c r="G1175" s="83">
        <v>0.7083333333333334</v>
      </c>
      <c r="H1175" s="83">
        <v>0.16666666666666666</v>
      </c>
      <c r="I1175" s="84">
        <v>44342.0</v>
      </c>
      <c r="J1175" s="65" t="b">
        <v>1</v>
      </c>
      <c r="K1175" s="65"/>
      <c r="L1175" s="85" t="b">
        <f>IF(VLOOKUP(C1175,Projetos!A:L,12,false)=TRUE,TRUE,FALSE)</f>
        <v>1</v>
      </c>
      <c r="M1175" s="74">
        <v>34.7706987012987</v>
      </c>
      <c r="N1175" s="74">
        <f t="shared" si="1"/>
        <v>139.0827948</v>
      </c>
      <c r="O1175" s="74" t="b">
        <v>1</v>
      </c>
    </row>
    <row r="1176" hidden="1">
      <c r="A1176" s="82"/>
      <c r="B1176" s="65" t="s">
        <v>750</v>
      </c>
      <c r="C1176" s="65" t="s">
        <v>107</v>
      </c>
      <c r="D1176" s="65" t="str">
        <f>vlookup(C1176,'Classificação p pessoal'!F:G,2,false)</f>
        <v>NP</v>
      </c>
      <c r="E1176" s="65" t="s">
        <v>763</v>
      </c>
      <c r="F1176" s="83">
        <v>0.3541666666666667</v>
      </c>
      <c r="G1176" s="83">
        <v>0.5</v>
      </c>
      <c r="H1176" s="83">
        <v>0.14583333333333334</v>
      </c>
      <c r="I1176" s="84">
        <v>44343.0</v>
      </c>
      <c r="J1176" s="65" t="b">
        <v>1</v>
      </c>
      <c r="K1176" s="65"/>
      <c r="L1176" s="85" t="b">
        <f>IF(VLOOKUP(C1176,Projetos!A:L,12,false)=TRUE,TRUE,FALSE)</f>
        <v>1</v>
      </c>
      <c r="M1176" s="74">
        <v>34.7706987012987</v>
      </c>
      <c r="N1176" s="74">
        <f t="shared" si="1"/>
        <v>121.6974455</v>
      </c>
      <c r="O1176" s="74" t="b">
        <v>1</v>
      </c>
    </row>
    <row r="1177" hidden="1">
      <c r="A1177" s="82"/>
      <c r="B1177" s="65" t="s">
        <v>750</v>
      </c>
      <c r="C1177" s="65" t="s">
        <v>100</v>
      </c>
      <c r="D1177" s="65" t="str">
        <f>vlookup(C1177,'Classificação p pessoal'!F:G,2,false)</f>
        <v>NP</v>
      </c>
      <c r="E1177" s="65" t="s">
        <v>765</v>
      </c>
      <c r="F1177" s="83">
        <v>0.5833333333333334</v>
      </c>
      <c r="G1177" s="83">
        <v>0.6666666666666666</v>
      </c>
      <c r="H1177" s="83">
        <v>0.08333333333333333</v>
      </c>
      <c r="I1177" s="84">
        <v>44343.0</v>
      </c>
      <c r="J1177" s="65" t="b">
        <v>1</v>
      </c>
      <c r="K1177" s="65"/>
      <c r="L1177" s="85" t="b">
        <f>IF(VLOOKUP(C1177,Projetos!A:L,12,false)=TRUE,TRUE,FALSE)</f>
        <v>1</v>
      </c>
      <c r="M1177" s="74">
        <v>34.7706987012987</v>
      </c>
      <c r="N1177" s="74">
        <f t="shared" si="1"/>
        <v>69.5413974</v>
      </c>
      <c r="O1177" s="74" t="b">
        <v>1</v>
      </c>
    </row>
    <row r="1178" hidden="1">
      <c r="A1178" s="82"/>
      <c r="B1178" s="65" t="s">
        <v>750</v>
      </c>
      <c r="C1178" s="65" t="s">
        <v>107</v>
      </c>
      <c r="D1178" s="65" t="str">
        <f>vlookup(C1178,'Classificação p pessoal'!F:G,2,false)</f>
        <v>NP</v>
      </c>
      <c r="E1178" s="65" t="s">
        <v>763</v>
      </c>
      <c r="F1178" s="83">
        <v>0.5416666666666666</v>
      </c>
      <c r="G1178" s="83">
        <v>0.7083333333333334</v>
      </c>
      <c r="H1178" s="83">
        <v>0.16666666666666666</v>
      </c>
      <c r="I1178" s="84">
        <v>44344.0</v>
      </c>
      <c r="J1178" s="65" t="b">
        <v>1</v>
      </c>
      <c r="K1178" s="65"/>
      <c r="L1178" s="85" t="b">
        <f>IF(VLOOKUP(C1178,Projetos!A:L,12,false)=TRUE,TRUE,FALSE)</f>
        <v>1</v>
      </c>
      <c r="M1178" s="74">
        <v>34.7706987012987</v>
      </c>
      <c r="N1178" s="74">
        <f t="shared" si="1"/>
        <v>139.0827948</v>
      </c>
      <c r="O1178" s="74" t="b">
        <v>1</v>
      </c>
    </row>
    <row r="1179" hidden="1">
      <c r="A1179" s="82"/>
      <c r="B1179" s="65" t="s">
        <v>750</v>
      </c>
      <c r="C1179" s="65" t="s">
        <v>107</v>
      </c>
      <c r="D1179" s="65" t="str">
        <f>vlookup(C1179,'Classificação p pessoal'!F:G,2,false)</f>
        <v>NP</v>
      </c>
      <c r="E1179" s="65" t="s">
        <v>763</v>
      </c>
      <c r="F1179" s="83">
        <v>0.375</v>
      </c>
      <c r="G1179" s="83">
        <v>0.5</v>
      </c>
      <c r="H1179" s="83">
        <v>0.125</v>
      </c>
      <c r="I1179" s="84">
        <v>44347.0</v>
      </c>
      <c r="J1179" s="65" t="b">
        <v>1</v>
      </c>
      <c r="K1179" s="65"/>
      <c r="L1179" s="85" t="b">
        <f>IF(VLOOKUP(C1179,Projetos!A:L,12,false)=TRUE,TRUE,FALSE)</f>
        <v>1</v>
      </c>
      <c r="M1179" s="74">
        <v>34.7706987012987</v>
      </c>
      <c r="N1179" s="74">
        <f t="shared" si="1"/>
        <v>104.3120961</v>
      </c>
      <c r="O1179" s="74" t="b">
        <v>1</v>
      </c>
    </row>
    <row r="1180" hidden="1">
      <c r="A1180" s="82"/>
      <c r="B1180" s="65" t="s">
        <v>750</v>
      </c>
      <c r="C1180" s="65" t="s">
        <v>85</v>
      </c>
      <c r="D1180" s="65" t="str">
        <f>vlookup(C1180,'Classificação p pessoal'!F:G,2,false)</f>
        <v>NP</v>
      </c>
      <c r="E1180" s="65" t="s">
        <v>752</v>
      </c>
      <c r="F1180" s="83">
        <v>0.5833333333333334</v>
      </c>
      <c r="G1180" s="83">
        <v>0.7083333333333334</v>
      </c>
      <c r="H1180" s="83">
        <v>0.125</v>
      </c>
      <c r="I1180" s="84">
        <v>44347.0</v>
      </c>
      <c r="J1180" s="65" t="b">
        <v>1</v>
      </c>
      <c r="K1180" s="65"/>
      <c r="L1180" s="85" t="b">
        <f>IF(VLOOKUP(C1180,Projetos!A:L,12,false)=TRUE,TRUE,FALSE)</f>
        <v>1</v>
      </c>
      <c r="M1180" s="74">
        <v>34.7706987012987</v>
      </c>
      <c r="N1180" s="74">
        <f t="shared" si="1"/>
        <v>104.3120961</v>
      </c>
      <c r="O1180" s="74" t="b">
        <v>1</v>
      </c>
    </row>
    <row r="1181" hidden="1">
      <c r="A1181" s="82"/>
      <c r="B1181" s="65" t="s">
        <v>750</v>
      </c>
      <c r="C1181" s="65" t="s">
        <v>118</v>
      </c>
      <c r="D1181" s="65"/>
      <c r="E1181" s="65" t="s">
        <v>756</v>
      </c>
      <c r="F1181" s="83">
        <v>0.3541666666666667</v>
      </c>
      <c r="G1181" s="83">
        <v>0.4583333333333333</v>
      </c>
      <c r="H1181" s="83">
        <v>0.10416666666666667</v>
      </c>
      <c r="I1181" s="84">
        <v>44348.0</v>
      </c>
      <c r="J1181" s="65" t="b">
        <v>0</v>
      </c>
      <c r="K1181" s="65" t="s">
        <v>150</v>
      </c>
      <c r="L1181" s="85" t="b">
        <f>IF(VLOOKUP(C1181,Projetos!A:L,12,false)=TRUE,TRUE,FALSE)</f>
        <v>1</v>
      </c>
      <c r="M1181" s="74">
        <v>34.7706987012987</v>
      </c>
      <c r="N1181" s="74">
        <f t="shared" si="1"/>
        <v>0</v>
      </c>
      <c r="O1181" s="74" t="b">
        <v>1</v>
      </c>
    </row>
    <row r="1182" hidden="1">
      <c r="A1182" s="82"/>
      <c r="B1182" s="65" t="s">
        <v>750</v>
      </c>
      <c r="C1182" s="65" t="s">
        <v>107</v>
      </c>
      <c r="D1182" s="65" t="str">
        <f>vlookup(C1182,'Classificação p pessoal'!F:G,2,false)</f>
        <v>NP</v>
      </c>
      <c r="E1182" s="65" t="s">
        <v>763</v>
      </c>
      <c r="F1182" s="83">
        <v>0.375</v>
      </c>
      <c r="G1182" s="83">
        <v>0.5</v>
      </c>
      <c r="H1182" s="83">
        <v>0.125</v>
      </c>
      <c r="I1182" s="84">
        <v>44349.0</v>
      </c>
      <c r="J1182" s="65" t="b">
        <v>1</v>
      </c>
      <c r="K1182" s="65"/>
      <c r="L1182" s="85" t="b">
        <f>IF(VLOOKUP(C1182,Projetos!A:L,12,false)=TRUE,TRUE,FALSE)</f>
        <v>1</v>
      </c>
      <c r="M1182" s="74">
        <v>34.7706987012987</v>
      </c>
      <c r="N1182" s="74">
        <f t="shared" si="1"/>
        <v>104.3120961</v>
      </c>
      <c r="O1182" s="74" t="b">
        <v>1</v>
      </c>
    </row>
    <row r="1183" hidden="1">
      <c r="A1183" s="82"/>
      <c r="B1183" s="65" t="s">
        <v>750</v>
      </c>
      <c r="C1183" s="65" t="s">
        <v>85</v>
      </c>
      <c r="D1183" s="65" t="str">
        <f>vlookup(C1183,'Classificação p pessoal'!F:G,2,false)</f>
        <v>NP</v>
      </c>
      <c r="E1183" s="65" t="s">
        <v>752</v>
      </c>
      <c r="F1183" s="83">
        <v>0.5625</v>
      </c>
      <c r="G1183" s="83">
        <v>0.7083333333333334</v>
      </c>
      <c r="H1183" s="83">
        <v>0.14583333333333334</v>
      </c>
      <c r="I1183" s="84">
        <v>44349.0</v>
      </c>
      <c r="J1183" s="65" t="b">
        <v>1</v>
      </c>
      <c r="K1183" s="65"/>
      <c r="L1183" s="85" t="b">
        <f>IF(VLOOKUP(C1183,Projetos!A:L,12,false)=TRUE,TRUE,FALSE)</f>
        <v>1</v>
      </c>
      <c r="M1183" s="74">
        <v>34.7706987012987</v>
      </c>
      <c r="N1183" s="74">
        <f t="shared" si="1"/>
        <v>121.6974455</v>
      </c>
      <c r="O1183" s="74" t="b">
        <v>1</v>
      </c>
    </row>
    <row r="1184" hidden="1">
      <c r="A1184" s="82"/>
      <c r="B1184" s="65" t="s">
        <v>750</v>
      </c>
      <c r="C1184" s="65" t="s">
        <v>107</v>
      </c>
      <c r="D1184" s="65" t="str">
        <f>vlookup(C1184,'Classificação p pessoal'!F:G,2,false)</f>
        <v>NP</v>
      </c>
      <c r="E1184" s="65" t="s">
        <v>763</v>
      </c>
      <c r="F1184" s="83">
        <v>0.625</v>
      </c>
      <c r="G1184" s="83">
        <v>0.7083333333333334</v>
      </c>
      <c r="H1184" s="83">
        <v>0.08333333333333333</v>
      </c>
      <c r="I1184" s="84">
        <v>44354.0</v>
      </c>
      <c r="J1184" s="65" t="b">
        <v>1</v>
      </c>
      <c r="K1184" s="65"/>
      <c r="L1184" s="85" t="b">
        <f>IF(VLOOKUP(C1184,Projetos!A:L,12,false)=TRUE,TRUE,FALSE)</f>
        <v>1</v>
      </c>
      <c r="M1184" s="74">
        <v>34.7706987012987</v>
      </c>
      <c r="N1184" s="74">
        <f t="shared" si="1"/>
        <v>69.5413974</v>
      </c>
      <c r="O1184" s="74" t="b">
        <v>1</v>
      </c>
    </row>
    <row r="1185" hidden="1">
      <c r="A1185" s="82"/>
      <c r="B1185" s="65" t="s">
        <v>750</v>
      </c>
      <c r="C1185" s="65" t="s">
        <v>118</v>
      </c>
      <c r="D1185" s="65"/>
      <c r="E1185" s="65" t="s">
        <v>756</v>
      </c>
      <c r="F1185" s="83">
        <v>0.4166666666666667</v>
      </c>
      <c r="G1185" s="83">
        <v>0.5</v>
      </c>
      <c r="H1185" s="83">
        <v>0.08333333333333333</v>
      </c>
      <c r="I1185" s="84">
        <v>44354.0</v>
      </c>
      <c r="J1185" s="65" t="b">
        <v>0</v>
      </c>
      <c r="K1185" s="65" t="s">
        <v>150</v>
      </c>
      <c r="L1185" s="85" t="b">
        <f>IF(VLOOKUP(C1185,Projetos!A:L,12,false)=TRUE,TRUE,FALSE)</f>
        <v>1</v>
      </c>
      <c r="M1185" s="74">
        <v>34.7706987012987</v>
      </c>
      <c r="N1185" s="74">
        <f t="shared" si="1"/>
        <v>0</v>
      </c>
      <c r="O1185" s="74" t="b">
        <v>1</v>
      </c>
    </row>
    <row r="1186" hidden="1">
      <c r="A1186" s="82"/>
      <c r="B1186" s="65" t="s">
        <v>750</v>
      </c>
      <c r="C1186" s="65" t="s">
        <v>100</v>
      </c>
      <c r="D1186" s="65" t="str">
        <f>vlookup(C1186,'Classificação p pessoal'!F:G,2,false)</f>
        <v>NP</v>
      </c>
      <c r="E1186" s="65" t="s">
        <v>766</v>
      </c>
      <c r="F1186" s="83">
        <v>0.5833333333333334</v>
      </c>
      <c r="G1186" s="83">
        <v>0.625</v>
      </c>
      <c r="H1186" s="83">
        <v>0.041666666666666664</v>
      </c>
      <c r="I1186" s="84">
        <v>44355.0</v>
      </c>
      <c r="J1186" s="65" t="b">
        <v>1</v>
      </c>
      <c r="K1186" s="65"/>
      <c r="L1186" s="85" t="b">
        <f>IF(VLOOKUP(C1186,Projetos!A:L,12,false)=TRUE,TRUE,FALSE)</f>
        <v>1</v>
      </c>
      <c r="M1186" s="74">
        <v>34.7706987012987</v>
      </c>
      <c r="N1186" s="74">
        <f t="shared" si="1"/>
        <v>34.7706987</v>
      </c>
      <c r="O1186" s="74" t="b">
        <v>1</v>
      </c>
    </row>
    <row r="1187" hidden="1">
      <c r="A1187" s="82"/>
      <c r="B1187" s="65" t="s">
        <v>750</v>
      </c>
      <c r="C1187" s="65" t="s">
        <v>107</v>
      </c>
      <c r="D1187" s="65" t="str">
        <f>vlookup(C1187,'Classificação p pessoal'!F:G,2,false)</f>
        <v>NP</v>
      </c>
      <c r="E1187" s="65" t="s">
        <v>763</v>
      </c>
      <c r="F1187" s="83">
        <v>0.5416666666666666</v>
      </c>
      <c r="G1187" s="83">
        <v>0.75</v>
      </c>
      <c r="H1187" s="83">
        <v>0.20833333333333334</v>
      </c>
      <c r="I1187" s="84">
        <v>44356.0</v>
      </c>
      <c r="J1187" s="65" t="b">
        <v>1</v>
      </c>
      <c r="K1187" s="65"/>
      <c r="L1187" s="85" t="b">
        <f>IF(VLOOKUP(C1187,Projetos!A:L,12,false)=TRUE,TRUE,FALSE)</f>
        <v>1</v>
      </c>
      <c r="M1187" s="74">
        <v>34.7706987012987</v>
      </c>
      <c r="N1187" s="74">
        <f t="shared" si="1"/>
        <v>173.8534935</v>
      </c>
      <c r="O1187" s="74" t="b">
        <v>1</v>
      </c>
    </row>
    <row r="1188" hidden="1">
      <c r="A1188" s="82"/>
      <c r="B1188" s="65" t="s">
        <v>750</v>
      </c>
      <c r="C1188" s="65" t="s">
        <v>132</v>
      </c>
      <c r="D1188" s="65"/>
      <c r="E1188" s="65" t="s">
        <v>756</v>
      </c>
      <c r="F1188" s="83">
        <v>0.5833333333333334</v>
      </c>
      <c r="G1188" s="83">
        <v>0.625</v>
      </c>
      <c r="H1188" s="83">
        <v>0.041666666666666664</v>
      </c>
      <c r="I1188" s="84">
        <v>44357.0</v>
      </c>
      <c r="J1188" s="65" t="b">
        <v>0</v>
      </c>
      <c r="K1188" s="65" t="s">
        <v>150</v>
      </c>
      <c r="L1188" s="85" t="b">
        <f>IF(VLOOKUP(C1188,Projetos!A:L,12,false)=TRUE,TRUE,FALSE)</f>
        <v>0</v>
      </c>
      <c r="M1188" s="74">
        <v>34.7706987012987</v>
      </c>
      <c r="N1188" s="74">
        <f t="shared" si="1"/>
        <v>0</v>
      </c>
      <c r="O1188" s="74" t="b">
        <v>0</v>
      </c>
    </row>
    <row r="1189" hidden="1">
      <c r="A1189" s="82"/>
      <c r="B1189" s="65" t="s">
        <v>750</v>
      </c>
      <c r="C1189" s="65" t="s">
        <v>107</v>
      </c>
      <c r="D1189" s="65" t="str">
        <f>vlookup(C1189,'Classificação p pessoal'!F:G,2,false)</f>
        <v>NP</v>
      </c>
      <c r="E1189" s="65" t="s">
        <v>763</v>
      </c>
      <c r="F1189" s="83">
        <v>0.375</v>
      </c>
      <c r="G1189" s="83">
        <v>0.5</v>
      </c>
      <c r="H1189" s="83">
        <v>0.125</v>
      </c>
      <c r="I1189" s="84">
        <v>44357.0</v>
      </c>
      <c r="J1189" s="65" t="b">
        <v>1</v>
      </c>
      <c r="K1189" s="65"/>
      <c r="L1189" s="85" t="b">
        <f>IF(VLOOKUP(C1189,Projetos!A:L,12,false)=TRUE,TRUE,FALSE)</f>
        <v>1</v>
      </c>
      <c r="M1189" s="74">
        <v>34.7706987012987</v>
      </c>
      <c r="N1189" s="74">
        <f t="shared" si="1"/>
        <v>104.3120961</v>
      </c>
      <c r="O1189" s="74" t="b">
        <v>1</v>
      </c>
    </row>
    <row r="1190" hidden="1">
      <c r="A1190" s="82"/>
      <c r="B1190" s="65" t="s">
        <v>750</v>
      </c>
      <c r="C1190" s="65" t="s">
        <v>107</v>
      </c>
      <c r="D1190" s="65" t="str">
        <f>vlookup(C1190,'Classificação p pessoal'!F:G,2,false)</f>
        <v>NP</v>
      </c>
      <c r="E1190" s="65" t="s">
        <v>763</v>
      </c>
      <c r="F1190" s="83">
        <v>0.4166666666666667</v>
      </c>
      <c r="G1190" s="83">
        <v>0.5416666666666666</v>
      </c>
      <c r="H1190" s="83">
        <v>0.125</v>
      </c>
      <c r="I1190" s="84">
        <v>44358.0</v>
      </c>
      <c r="J1190" s="65" t="b">
        <v>1</v>
      </c>
      <c r="K1190" s="65"/>
      <c r="L1190" s="85" t="b">
        <f>IF(VLOOKUP(C1190,Projetos!A:L,12,false)=TRUE,TRUE,FALSE)</f>
        <v>1</v>
      </c>
      <c r="M1190" s="74">
        <v>34.7706987012987</v>
      </c>
      <c r="N1190" s="74">
        <f t="shared" si="1"/>
        <v>104.3120961</v>
      </c>
      <c r="O1190" s="74" t="b">
        <v>1</v>
      </c>
    </row>
    <row r="1191" hidden="1">
      <c r="A1191" s="82"/>
      <c r="B1191" s="65" t="s">
        <v>750</v>
      </c>
      <c r="C1191" s="65" t="s">
        <v>107</v>
      </c>
      <c r="D1191" s="65" t="str">
        <f>vlookup(C1191,'Classificação p pessoal'!F:G,2,false)</f>
        <v>NP</v>
      </c>
      <c r="E1191" s="65" t="s">
        <v>763</v>
      </c>
      <c r="F1191" s="83">
        <v>0.5833333333333334</v>
      </c>
      <c r="G1191" s="83">
        <v>0.75</v>
      </c>
      <c r="H1191" s="83">
        <v>0.16666666666666666</v>
      </c>
      <c r="I1191" s="84">
        <v>44361.0</v>
      </c>
      <c r="J1191" s="65" t="b">
        <v>1</v>
      </c>
      <c r="K1191" s="65"/>
      <c r="L1191" s="85" t="b">
        <f>IF(VLOOKUP(C1191,Projetos!A:L,12,false)=TRUE,TRUE,FALSE)</f>
        <v>1</v>
      </c>
      <c r="M1191" s="74">
        <v>34.7706987012987</v>
      </c>
      <c r="N1191" s="74">
        <f t="shared" si="1"/>
        <v>139.0827948</v>
      </c>
      <c r="O1191" s="74" t="b">
        <v>1</v>
      </c>
    </row>
    <row r="1192" hidden="1">
      <c r="A1192" s="82"/>
      <c r="B1192" s="65" t="s">
        <v>750</v>
      </c>
      <c r="C1192" s="65" t="s">
        <v>85</v>
      </c>
      <c r="D1192" s="65" t="str">
        <f>vlookup(C1192,'Classificação p pessoal'!F:G,2,false)</f>
        <v>NP</v>
      </c>
      <c r="E1192" s="65" t="s">
        <v>752</v>
      </c>
      <c r="F1192" s="83">
        <v>0.5833333333333334</v>
      </c>
      <c r="G1192" s="83">
        <v>0.625</v>
      </c>
      <c r="H1192" s="83">
        <v>0.041666666666666664</v>
      </c>
      <c r="I1192" s="84">
        <v>44362.0</v>
      </c>
      <c r="J1192" s="65" t="b">
        <v>1</v>
      </c>
      <c r="K1192" s="65"/>
      <c r="L1192" s="85" t="b">
        <f>IF(VLOOKUP(C1192,Projetos!A:L,12,false)=TRUE,TRUE,FALSE)</f>
        <v>1</v>
      </c>
      <c r="M1192" s="74">
        <v>34.7706987012987</v>
      </c>
      <c r="N1192" s="74">
        <f t="shared" si="1"/>
        <v>34.7706987</v>
      </c>
      <c r="O1192" s="74" t="b">
        <v>1</v>
      </c>
    </row>
    <row r="1193" hidden="1">
      <c r="A1193" s="82"/>
      <c r="B1193" s="65" t="s">
        <v>750</v>
      </c>
      <c r="C1193" s="65" t="s">
        <v>100</v>
      </c>
      <c r="D1193" s="65" t="str">
        <f>vlookup(C1193,'Classificação p pessoal'!F:G,2,false)</f>
        <v>NP</v>
      </c>
      <c r="E1193" s="65" t="s">
        <v>766</v>
      </c>
      <c r="F1193" s="83">
        <v>0.5416666666666666</v>
      </c>
      <c r="G1193" s="83">
        <v>0.5833333333333334</v>
      </c>
      <c r="H1193" s="83">
        <v>0.041666666666666664</v>
      </c>
      <c r="I1193" s="84">
        <v>44362.0</v>
      </c>
      <c r="J1193" s="65" t="b">
        <v>1</v>
      </c>
      <c r="K1193" s="65"/>
      <c r="L1193" s="85" t="b">
        <f>IF(VLOOKUP(C1193,Projetos!A:L,12,false)=TRUE,TRUE,FALSE)</f>
        <v>1</v>
      </c>
      <c r="M1193" s="74">
        <v>34.7706987012987</v>
      </c>
      <c r="N1193" s="74">
        <f t="shared" si="1"/>
        <v>34.7706987</v>
      </c>
      <c r="O1193" s="74" t="b">
        <v>1</v>
      </c>
    </row>
    <row r="1194" hidden="1">
      <c r="A1194" s="82"/>
      <c r="B1194" s="65" t="s">
        <v>750</v>
      </c>
      <c r="C1194" s="65" t="s">
        <v>107</v>
      </c>
      <c r="D1194" s="65" t="str">
        <f>vlookup(C1194,'Classificação p pessoal'!F:G,2,false)</f>
        <v>NP</v>
      </c>
      <c r="E1194" s="65" t="s">
        <v>763</v>
      </c>
      <c r="F1194" s="83">
        <v>0.625</v>
      </c>
      <c r="G1194" s="83">
        <v>0.6666666666666666</v>
      </c>
      <c r="H1194" s="83">
        <v>0.041666666666666664</v>
      </c>
      <c r="I1194" s="84">
        <v>44362.0</v>
      </c>
      <c r="J1194" s="65" t="b">
        <v>1</v>
      </c>
      <c r="K1194" s="65"/>
      <c r="L1194" s="85" t="b">
        <f>IF(VLOOKUP(C1194,Projetos!A:L,12,false)=TRUE,TRUE,FALSE)</f>
        <v>1</v>
      </c>
      <c r="M1194" s="74">
        <v>34.7706987012987</v>
      </c>
      <c r="N1194" s="74">
        <f t="shared" si="1"/>
        <v>34.7706987</v>
      </c>
      <c r="O1194" s="74" t="b">
        <v>1</v>
      </c>
    </row>
    <row r="1195" hidden="1">
      <c r="A1195" s="82"/>
      <c r="B1195" s="65" t="s">
        <v>750</v>
      </c>
      <c r="C1195" s="65" t="s">
        <v>91</v>
      </c>
      <c r="D1195" s="65" t="str">
        <f>vlookup(C1195,'Classificação p pessoal'!F:G,2,false)</f>
        <v>NP</v>
      </c>
      <c r="E1195" s="65" t="s">
        <v>159</v>
      </c>
      <c r="F1195" s="83">
        <v>0.6666666666666666</v>
      </c>
      <c r="G1195" s="83">
        <v>0.75</v>
      </c>
      <c r="H1195" s="83">
        <v>0.08333333333333333</v>
      </c>
      <c r="I1195" s="84">
        <v>44362.0</v>
      </c>
      <c r="J1195" s="65" t="b">
        <v>1</v>
      </c>
      <c r="K1195" s="65"/>
      <c r="L1195" s="85" t="b">
        <f>IF(VLOOKUP(C1195,Projetos!A:L,12,false)=TRUE,TRUE,FALSE)</f>
        <v>1</v>
      </c>
      <c r="M1195" s="74">
        <v>34.7706987012987</v>
      </c>
      <c r="N1195" s="74">
        <f t="shared" si="1"/>
        <v>69.5413974</v>
      </c>
      <c r="O1195" s="74" t="b">
        <v>1</v>
      </c>
    </row>
    <row r="1196" hidden="1">
      <c r="A1196" s="82"/>
      <c r="B1196" s="65" t="s">
        <v>750</v>
      </c>
      <c r="C1196" s="65" t="s">
        <v>107</v>
      </c>
      <c r="D1196" s="65" t="str">
        <f>vlookup(C1196,'Classificação p pessoal'!F:G,2,false)</f>
        <v>NP</v>
      </c>
      <c r="E1196" s="65" t="s">
        <v>763</v>
      </c>
      <c r="F1196" s="83">
        <v>0.5833333333333334</v>
      </c>
      <c r="G1196" s="83">
        <v>0.7083333333333334</v>
      </c>
      <c r="H1196" s="83">
        <v>0.125</v>
      </c>
      <c r="I1196" s="84">
        <v>44363.0</v>
      </c>
      <c r="J1196" s="65" t="b">
        <v>1</v>
      </c>
      <c r="K1196" s="65"/>
      <c r="L1196" s="85" t="b">
        <f>IF(VLOOKUP(C1196,Projetos!A:L,12,false)=TRUE,TRUE,FALSE)</f>
        <v>1</v>
      </c>
      <c r="M1196" s="74">
        <v>34.7706987012987</v>
      </c>
      <c r="N1196" s="74">
        <f t="shared" si="1"/>
        <v>104.3120961</v>
      </c>
      <c r="O1196" s="74" t="b">
        <v>1</v>
      </c>
    </row>
    <row r="1197" hidden="1">
      <c r="A1197" s="82"/>
      <c r="B1197" s="65" t="s">
        <v>750</v>
      </c>
      <c r="C1197" s="65" t="s">
        <v>107</v>
      </c>
      <c r="D1197" s="65" t="str">
        <f>vlookup(C1197,'Classificação p pessoal'!F:G,2,false)</f>
        <v>NP</v>
      </c>
      <c r="E1197" s="65" t="s">
        <v>763</v>
      </c>
      <c r="F1197" s="83">
        <v>0.625</v>
      </c>
      <c r="G1197" s="83">
        <v>0.75</v>
      </c>
      <c r="H1197" s="83">
        <v>0.125</v>
      </c>
      <c r="I1197" s="84">
        <v>44364.0</v>
      </c>
      <c r="J1197" s="65" t="b">
        <v>1</v>
      </c>
      <c r="K1197" s="65"/>
      <c r="L1197" s="85" t="b">
        <f>IF(VLOOKUP(C1197,Projetos!A:L,12,false)=TRUE,TRUE,FALSE)</f>
        <v>1</v>
      </c>
      <c r="M1197" s="74">
        <v>34.7706987012987</v>
      </c>
      <c r="N1197" s="74">
        <f t="shared" si="1"/>
        <v>104.3120961</v>
      </c>
      <c r="O1197" s="74" t="b">
        <v>1</v>
      </c>
    </row>
    <row r="1198" hidden="1">
      <c r="A1198" s="82"/>
      <c r="B1198" s="65" t="s">
        <v>750</v>
      </c>
      <c r="C1198" s="65" t="s">
        <v>91</v>
      </c>
      <c r="D1198" s="65" t="str">
        <f>vlookup(C1198,'Classificação p pessoal'!F:G,2,false)</f>
        <v>NP</v>
      </c>
      <c r="E1198" s="65" t="s">
        <v>159</v>
      </c>
      <c r="F1198" s="83">
        <v>0.5416666666666666</v>
      </c>
      <c r="G1198" s="83">
        <v>0.5833333333333334</v>
      </c>
      <c r="H1198" s="83">
        <v>0.041666666666666664</v>
      </c>
      <c r="I1198" s="84">
        <v>44364.0</v>
      </c>
      <c r="J1198" s="65" t="b">
        <v>1</v>
      </c>
      <c r="K1198" s="65"/>
      <c r="L1198" s="85" t="b">
        <f>IF(VLOOKUP(C1198,Projetos!A:L,12,false)=TRUE,TRUE,FALSE)</f>
        <v>1</v>
      </c>
      <c r="M1198" s="74">
        <v>34.7706987012987</v>
      </c>
      <c r="N1198" s="74">
        <f t="shared" si="1"/>
        <v>34.7706987</v>
      </c>
      <c r="O1198" s="74" t="b">
        <v>1</v>
      </c>
    </row>
    <row r="1199" hidden="1">
      <c r="A1199" s="82"/>
      <c r="B1199" s="65" t="s">
        <v>750</v>
      </c>
      <c r="C1199" s="65" t="s">
        <v>85</v>
      </c>
      <c r="D1199" s="65" t="str">
        <f>vlookup(C1199,'Classificação p pessoal'!F:G,2,false)</f>
        <v>NP</v>
      </c>
      <c r="E1199" s="65" t="s">
        <v>752</v>
      </c>
      <c r="F1199" s="83">
        <v>0.4166666666666667</v>
      </c>
      <c r="G1199" s="83">
        <v>0.5</v>
      </c>
      <c r="H1199" s="83">
        <v>0.08333333333333333</v>
      </c>
      <c r="I1199" s="84">
        <v>44364.0</v>
      </c>
      <c r="J1199" s="65" t="b">
        <v>1</v>
      </c>
      <c r="K1199" s="65"/>
      <c r="L1199" s="85" t="b">
        <f>IF(VLOOKUP(C1199,Projetos!A:L,12,false)=TRUE,TRUE,FALSE)</f>
        <v>1</v>
      </c>
      <c r="M1199" s="74">
        <v>34.7706987012987</v>
      </c>
      <c r="N1199" s="74">
        <f t="shared" si="1"/>
        <v>69.5413974</v>
      </c>
      <c r="O1199" s="74" t="b">
        <v>1</v>
      </c>
    </row>
    <row r="1200" hidden="1">
      <c r="A1200" s="82"/>
      <c r="B1200" s="65" t="s">
        <v>750</v>
      </c>
      <c r="C1200" s="65" t="s">
        <v>107</v>
      </c>
      <c r="D1200" s="65" t="str">
        <f>vlookup(C1200,'Classificação p pessoal'!F:G,2,false)</f>
        <v>NP</v>
      </c>
      <c r="E1200" s="65" t="s">
        <v>763</v>
      </c>
      <c r="F1200" s="83">
        <v>0.375</v>
      </c>
      <c r="G1200" s="83">
        <v>0.4583333333333333</v>
      </c>
      <c r="H1200" s="83">
        <v>0.08333333333333333</v>
      </c>
      <c r="I1200" s="84">
        <v>44365.0</v>
      </c>
      <c r="J1200" s="65" t="b">
        <v>1</v>
      </c>
      <c r="K1200" s="65"/>
      <c r="L1200" s="85" t="b">
        <f>IF(VLOOKUP(C1200,Projetos!A:L,12,false)=TRUE,TRUE,FALSE)</f>
        <v>1</v>
      </c>
      <c r="M1200" s="74">
        <v>34.7706987012987</v>
      </c>
      <c r="N1200" s="74">
        <f t="shared" si="1"/>
        <v>69.5413974</v>
      </c>
      <c r="O1200" s="74" t="b">
        <v>1</v>
      </c>
    </row>
    <row r="1201" hidden="1">
      <c r="A1201" s="82"/>
      <c r="B1201" s="65" t="s">
        <v>750</v>
      </c>
      <c r="C1201" s="65" t="s">
        <v>91</v>
      </c>
      <c r="D1201" s="65" t="str">
        <f>vlookup(C1201,'Classificação p pessoal'!F:G,2,false)</f>
        <v>NP</v>
      </c>
      <c r="E1201" s="65" t="s">
        <v>159</v>
      </c>
      <c r="F1201" s="83">
        <v>0.5416666666666666</v>
      </c>
      <c r="G1201" s="83">
        <v>0.6666666666666666</v>
      </c>
      <c r="H1201" s="83">
        <v>0.125</v>
      </c>
      <c r="I1201" s="84">
        <v>44365.0</v>
      </c>
      <c r="J1201" s="65" t="b">
        <v>1</v>
      </c>
      <c r="K1201" s="65"/>
      <c r="L1201" s="85" t="b">
        <f>IF(VLOOKUP(C1201,Projetos!A:L,12,false)=TRUE,TRUE,FALSE)</f>
        <v>1</v>
      </c>
      <c r="M1201" s="74">
        <v>34.7706987012987</v>
      </c>
      <c r="N1201" s="74">
        <f t="shared" si="1"/>
        <v>104.3120961</v>
      </c>
      <c r="O1201" s="74" t="b">
        <v>1</v>
      </c>
    </row>
    <row r="1202" hidden="1">
      <c r="A1202" s="82"/>
      <c r="B1202" s="65" t="s">
        <v>750</v>
      </c>
      <c r="C1202" s="65" t="s">
        <v>107</v>
      </c>
      <c r="D1202" s="65" t="str">
        <f>vlookup(C1202,'Classificação p pessoal'!F:G,2,false)</f>
        <v>NP</v>
      </c>
      <c r="E1202" s="65" t="s">
        <v>763</v>
      </c>
      <c r="F1202" s="83">
        <v>0.375</v>
      </c>
      <c r="G1202" s="83">
        <v>0.5</v>
      </c>
      <c r="H1202" s="83">
        <v>0.125</v>
      </c>
      <c r="I1202" s="84">
        <v>44368.0</v>
      </c>
      <c r="J1202" s="65" t="b">
        <v>1</v>
      </c>
      <c r="K1202" s="65"/>
      <c r="L1202" s="85" t="b">
        <f>IF(VLOOKUP(C1202,Projetos!A:L,12,false)=TRUE,TRUE,FALSE)</f>
        <v>1</v>
      </c>
      <c r="M1202" s="74">
        <v>34.7706987012987</v>
      </c>
      <c r="N1202" s="74">
        <f t="shared" si="1"/>
        <v>104.3120961</v>
      </c>
      <c r="O1202" s="74" t="b">
        <v>1</v>
      </c>
    </row>
    <row r="1203" hidden="1">
      <c r="A1203" s="82"/>
      <c r="B1203" s="65" t="s">
        <v>750</v>
      </c>
      <c r="C1203" s="65" t="s">
        <v>85</v>
      </c>
      <c r="D1203" s="65" t="str">
        <f>vlookup(C1203,'Classificação p pessoal'!F:G,2,false)</f>
        <v>NP</v>
      </c>
      <c r="E1203" s="65" t="s">
        <v>752</v>
      </c>
      <c r="F1203" s="83">
        <v>0.625</v>
      </c>
      <c r="G1203" s="83">
        <v>0.75</v>
      </c>
      <c r="H1203" s="83">
        <v>0.125</v>
      </c>
      <c r="I1203" s="84">
        <v>44368.0</v>
      </c>
      <c r="J1203" s="65" t="b">
        <v>1</v>
      </c>
      <c r="K1203" s="65"/>
      <c r="L1203" s="85" t="b">
        <f>IF(VLOOKUP(C1203,Projetos!A:L,12,false)=TRUE,TRUE,FALSE)</f>
        <v>1</v>
      </c>
      <c r="M1203" s="74">
        <v>34.7706987012987</v>
      </c>
      <c r="N1203" s="74">
        <f t="shared" si="1"/>
        <v>104.3120961</v>
      </c>
      <c r="O1203" s="74" t="b">
        <v>1</v>
      </c>
    </row>
    <row r="1204" hidden="1">
      <c r="A1204" s="82"/>
      <c r="B1204" s="65" t="s">
        <v>750</v>
      </c>
      <c r="C1204" s="65" t="s">
        <v>117</v>
      </c>
      <c r="D1204" s="65" t="str">
        <f>vlookup(C1204,'Classificação p pessoal'!F:G,2,false)</f>
        <v>NP</v>
      </c>
      <c r="E1204" s="65" t="s">
        <v>753</v>
      </c>
      <c r="F1204" s="83">
        <v>0.5833333333333334</v>
      </c>
      <c r="G1204" s="83">
        <v>0.7083333333333334</v>
      </c>
      <c r="H1204" s="83">
        <v>0.125</v>
      </c>
      <c r="I1204" s="84">
        <v>44369.0</v>
      </c>
      <c r="J1204" s="65" t="b">
        <v>1</v>
      </c>
      <c r="K1204" s="65"/>
      <c r="L1204" s="85" t="b">
        <f>IF(VLOOKUP(C1204,Projetos!A:L,12,false)=TRUE,TRUE,FALSE)</f>
        <v>1</v>
      </c>
      <c r="M1204" s="74">
        <v>34.7706987012987</v>
      </c>
      <c r="N1204" s="74">
        <f t="shared" si="1"/>
        <v>104.3120961</v>
      </c>
      <c r="O1204" s="74" t="b">
        <v>1</v>
      </c>
    </row>
    <row r="1205" hidden="1">
      <c r="A1205" s="82"/>
      <c r="B1205" s="65" t="s">
        <v>750</v>
      </c>
      <c r="C1205" s="65" t="s">
        <v>107</v>
      </c>
      <c r="D1205" s="65" t="str">
        <f>vlookup(C1205,'Classificação p pessoal'!F:G,2,false)</f>
        <v>NP</v>
      </c>
      <c r="E1205" s="65" t="s">
        <v>763</v>
      </c>
      <c r="F1205" s="83">
        <v>0.4166666666666667</v>
      </c>
      <c r="G1205" s="83">
        <v>0.5416666666666666</v>
      </c>
      <c r="H1205" s="83">
        <v>0.125</v>
      </c>
      <c r="I1205" s="84">
        <v>44370.0</v>
      </c>
      <c r="J1205" s="65" t="b">
        <v>1</v>
      </c>
      <c r="K1205" s="65"/>
      <c r="L1205" s="85" t="b">
        <f>IF(VLOOKUP(C1205,Projetos!A:L,12,false)=TRUE,TRUE,FALSE)</f>
        <v>1</v>
      </c>
      <c r="M1205" s="74">
        <v>34.7706987012987</v>
      </c>
      <c r="N1205" s="74">
        <f t="shared" si="1"/>
        <v>104.3120961</v>
      </c>
      <c r="O1205" s="74" t="b">
        <v>1</v>
      </c>
    </row>
    <row r="1206" hidden="1">
      <c r="A1206" s="82"/>
      <c r="B1206" s="65" t="s">
        <v>750</v>
      </c>
      <c r="C1206" s="65" t="s">
        <v>85</v>
      </c>
      <c r="D1206" s="65" t="str">
        <f>vlookup(C1206,'Classificação p pessoal'!F:G,2,false)</f>
        <v>NP</v>
      </c>
      <c r="E1206" s="65" t="s">
        <v>752</v>
      </c>
      <c r="F1206" s="83">
        <v>0.6666666666666666</v>
      </c>
      <c r="G1206" s="83">
        <v>0.75</v>
      </c>
      <c r="H1206" s="83">
        <v>0.08333333333333333</v>
      </c>
      <c r="I1206" s="84">
        <v>44370.0</v>
      </c>
      <c r="J1206" s="65" t="b">
        <v>1</v>
      </c>
      <c r="K1206" s="65"/>
      <c r="L1206" s="85" t="b">
        <f>IF(VLOOKUP(C1206,Projetos!A:L,12,false)=TRUE,TRUE,FALSE)</f>
        <v>1</v>
      </c>
      <c r="M1206" s="74">
        <v>34.7706987012987</v>
      </c>
      <c r="N1206" s="74">
        <f t="shared" si="1"/>
        <v>69.5413974</v>
      </c>
      <c r="O1206" s="74" t="b">
        <v>1</v>
      </c>
    </row>
    <row r="1207" hidden="1">
      <c r="A1207" s="82"/>
      <c r="B1207" s="65" t="s">
        <v>750</v>
      </c>
      <c r="C1207" s="65" t="s">
        <v>107</v>
      </c>
      <c r="D1207" s="65" t="str">
        <f>vlookup(C1207,'Classificação p pessoal'!F:G,2,false)</f>
        <v>NP</v>
      </c>
      <c r="E1207" s="65" t="s">
        <v>763</v>
      </c>
      <c r="F1207" s="83">
        <v>0.5416666666666666</v>
      </c>
      <c r="G1207" s="83">
        <v>0.75</v>
      </c>
      <c r="H1207" s="83">
        <v>0.20833333333333334</v>
      </c>
      <c r="I1207" s="84">
        <v>44371.0</v>
      </c>
      <c r="J1207" s="65" t="b">
        <v>1</v>
      </c>
      <c r="K1207" s="65"/>
      <c r="L1207" s="85" t="b">
        <f>IF(VLOOKUP(C1207,Projetos!A:L,12,false)=TRUE,TRUE,FALSE)</f>
        <v>1</v>
      </c>
      <c r="M1207" s="74">
        <v>34.7706987012987</v>
      </c>
      <c r="N1207" s="74">
        <f t="shared" si="1"/>
        <v>173.8534935</v>
      </c>
      <c r="O1207" s="74" t="b">
        <v>1</v>
      </c>
    </row>
    <row r="1208" hidden="1">
      <c r="A1208" s="82"/>
      <c r="B1208" s="65" t="s">
        <v>750</v>
      </c>
      <c r="C1208" s="65" t="s">
        <v>107</v>
      </c>
      <c r="D1208" s="65" t="str">
        <f>vlookup(C1208,'Classificação p pessoal'!F:G,2,false)</f>
        <v>NP</v>
      </c>
      <c r="E1208" s="65" t="s">
        <v>763</v>
      </c>
      <c r="F1208" s="83">
        <v>0.375</v>
      </c>
      <c r="G1208" s="83">
        <v>0.5416666666666666</v>
      </c>
      <c r="H1208" s="83">
        <v>0.16666666666666666</v>
      </c>
      <c r="I1208" s="84">
        <v>44372.0</v>
      </c>
      <c r="J1208" s="65" t="b">
        <v>1</v>
      </c>
      <c r="K1208" s="65"/>
      <c r="L1208" s="85" t="b">
        <f>IF(VLOOKUP(C1208,Projetos!A:L,12,false)=TRUE,TRUE,FALSE)</f>
        <v>1</v>
      </c>
      <c r="M1208" s="74">
        <v>34.7706987012987</v>
      </c>
      <c r="N1208" s="74">
        <f t="shared" si="1"/>
        <v>139.0827948</v>
      </c>
      <c r="O1208" s="74" t="b">
        <v>1</v>
      </c>
    </row>
    <row r="1209" hidden="1">
      <c r="A1209" s="82"/>
      <c r="B1209" s="65" t="s">
        <v>750</v>
      </c>
      <c r="C1209" s="65" t="s">
        <v>117</v>
      </c>
      <c r="D1209" s="65" t="str">
        <f>vlookup(C1209,'Classificação p pessoal'!F:G,2,false)</f>
        <v>NP</v>
      </c>
      <c r="E1209" s="65" t="s">
        <v>753</v>
      </c>
      <c r="F1209" s="83">
        <v>0.4166666666666667</v>
      </c>
      <c r="G1209" s="83">
        <v>0.5</v>
      </c>
      <c r="H1209" s="83">
        <v>0.08333333333333333</v>
      </c>
      <c r="I1209" s="84">
        <v>44375.0</v>
      </c>
      <c r="J1209" s="65" t="b">
        <v>1</v>
      </c>
      <c r="K1209" s="65"/>
      <c r="L1209" s="85" t="b">
        <f>IF(VLOOKUP(C1209,Projetos!A:L,12,false)=TRUE,TRUE,FALSE)</f>
        <v>1</v>
      </c>
      <c r="M1209" s="74">
        <v>34.7706987012987</v>
      </c>
      <c r="N1209" s="74">
        <f t="shared" si="1"/>
        <v>69.5413974</v>
      </c>
      <c r="O1209" s="74" t="b">
        <v>1</v>
      </c>
    </row>
    <row r="1210" hidden="1">
      <c r="A1210" s="82"/>
      <c r="B1210" s="65" t="s">
        <v>750</v>
      </c>
      <c r="C1210" s="65" t="s">
        <v>85</v>
      </c>
      <c r="D1210" s="65" t="str">
        <f>vlookup(C1210,'Classificação p pessoal'!F:G,2,false)</f>
        <v>NP</v>
      </c>
      <c r="E1210" s="65" t="s">
        <v>752</v>
      </c>
      <c r="F1210" s="83">
        <v>0.4166666666666667</v>
      </c>
      <c r="G1210" s="83">
        <v>0.5416666666666666</v>
      </c>
      <c r="H1210" s="83">
        <v>0.125</v>
      </c>
      <c r="I1210" s="84">
        <v>44378.0</v>
      </c>
      <c r="J1210" s="65" t="b">
        <v>1</v>
      </c>
      <c r="K1210" s="65"/>
      <c r="L1210" s="85" t="b">
        <f>IF(VLOOKUP(C1210,Projetos!A:L,12,false)=TRUE,TRUE,FALSE)</f>
        <v>1</v>
      </c>
      <c r="M1210" s="74">
        <v>34.7706987012987</v>
      </c>
      <c r="N1210" s="74">
        <f t="shared" si="1"/>
        <v>104.3120961</v>
      </c>
      <c r="O1210" s="74" t="b">
        <v>1</v>
      </c>
    </row>
    <row r="1211" hidden="1">
      <c r="A1211" s="82"/>
      <c r="B1211" s="65" t="s">
        <v>750</v>
      </c>
      <c r="C1211" s="65" t="s">
        <v>85</v>
      </c>
      <c r="D1211" s="65" t="str">
        <f>vlookup(C1211,'Classificação p pessoal'!F:G,2,false)</f>
        <v>NP</v>
      </c>
      <c r="E1211" s="65" t="s">
        <v>752</v>
      </c>
      <c r="F1211" s="83">
        <v>0.5833333333333334</v>
      </c>
      <c r="G1211" s="83">
        <v>0.7083333333333334</v>
      </c>
      <c r="H1211" s="83">
        <v>0.125</v>
      </c>
      <c r="I1211" s="84">
        <v>44379.0</v>
      </c>
      <c r="J1211" s="65" t="b">
        <v>1</v>
      </c>
      <c r="K1211" s="65"/>
      <c r="L1211" s="85" t="b">
        <f>IF(VLOOKUP(C1211,Projetos!A:L,12,false)=TRUE,TRUE,FALSE)</f>
        <v>1</v>
      </c>
      <c r="M1211" s="74">
        <v>34.7706987012987</v>
      </c>
      <c r="N1211" s="74">
        <f t="shared" si="1"/>
        <v>104.3120961</v>
      </c>
      <c r="O1211" s="74" t="b">
        <v>1</v>
      </c>
    </row>
    <row r="1212" hidden="1">
      <c r="A1212" s="82"/>
      <c r="B1212" s="65" t="s">
        <v>750</v>
      </c>
      <c r="C1212" s="65" t="s">
        <v>100</v>
      </c>
      <c r="D1212" s="65" t="str">
        <f>vlookup(C1212,'Classificação p pessoal'!F:G,2,false)</f>
        <v>NP</v>
      </c>
      <c r="E1212" s="65" t="s">
        <v>159</v>
      </c>
      <c r="F1212" s="83">
        <v>0.4166666666666667</v>
      </c>
      <c r="G1212" s="83">
        <v>0.5</v>
      </c>
      <c r="H1212" s="83">
        <v>0.08333333333333333</v>
      </c>
      <c r="I1212" s="84">
        <v>44379.0</v>
      </c>
      <c r="J1212" s="65" t="b">
        <v>1</v>
      </c>
      <c r="K1212" s="65"/>
      <c r="L1212" s="85" t="b">
        <f>IF(VLOOKUP(C1212,Projetos!A:L,12,false)=TRUE,TRUE,FALSE)</f>
        <v>1</v>
      </c>
      <c r="M1212" s="74">
        <v>34.7706987012987</v>
      </c>
      <c r="N1212" s="74">
        <f t="shared" si="1"/>
        <v>69.5413974</v>
      </c>
      <c r="O1212" s="74" t="b">
        <v>1</v>
      </c>
    </row>
    <row r="1213" hidden="1">
      <c r="A1213" s="82"/>
      <c r="B1213" s="65" t="s">
        <v>750</v>
      </c>
      <c r="C1213" s="65" t="s">
        <v>85</v>
      </c>
      <c r="D1213" s="65" t="str">
        <f>vlookup(C1213,'Classificação p pessoal'!F:G,2,false)</f>
        <v>NP</v>
      </c>
      <c r="E1213" s="65" t="s">
        <v>752</v>
      </c>
      <c r="F1213" s="83">
        <v>0.5</v>
      </c>
      <c r="G1213" s="83">
        <v>0.7083333333333334</v>
      </c>
      <c r="H1213" s="83">
        <v>0.20833333333333334</v>
      </c>
      <c r="I1213" s="84">
        <v>44382.0</v>
      </c>
      <c r="J1213" s="65" t="b">
        <v>1</v>
      </c>
      <c r="K1213" s="65"/>
      <c r="L1213" s="85" t="b">
        <f>IF(VLOOKUP(C1213,Projetos!A:L,12,false)=TRUE,TRUE,FALSE)</f>
        <v>1</v>
      </c>
      <c r="M1213" s="74">
        <v>34.7706987012987</v>
      </c>
      <c r="N1213" s="74">
        <f t="shared" si="1"/>
        <v>173.8534935</v>
      </c>
      <c r="O1213" s="74" t="b">
        <v>1</v>
      </c>
    </row>
    <row r="1214" hidden="1">
      <c r="A1214" s="82"/>
      <c r="B1214" s="65" t="s">
        <v>750</v>
      </c>
      <c r="C1214" s="65" t="s">
        <v>107</v>
      </c>
      <c r="D1214" s="65" t="str">
        <f>vlookup(C1214,'Classificação p pessoal'!F:G,2,false)</f>
        <v>NP</v>
      </c>
      <c r="E1214" s="65" t="s">
        <v>763</v>
      </c>
      <c r="F1214" s="83">
        <v>0.5</v>
      </c>
      <c r="G1214" s="83">
        <v>0.6666666666666666</v>
      </c>
      <c r="H1214" s="83">
        <v>0.16666666666666666</v>
      </c>
      <c r="I1214" s="84">
        <v>44383.0</v>
      </c>
      <c r="J1214" s="65" t="b">
        <v>1</v>
      </c>
      <c r="K1214" s="65"/>
      <c r="L1214" s="85" t="b">
        <f>IF(VLOOKUP(C1214,Projetos!A:L,12,false)=TRUE,TRUE,FALSE)</f>
        <v>1</v>
      </c>
      <c r="M1214" s="74">
        <v>34.7706987012987</v>
      </c>
      <c r="N1214" s="74">
        <f t="shared" si="1"/>
        <v>139.0827948</v>
      </c>
      <c r="O1214" s="74" t="b">
        <v>1</v>
      </c>
    </row>
    <row r="1215" hidden="1">
      <c r="A1215" s="82"/>
      <c r="B1215" s="65" t="s">
        <v>750</v>
      </c>
      <c r="C1215" s="65" t="s">
        <v>102</v>
      </c>
      <c r="D1215" s="65" t="str">
        <f>vlookup(C1215,'Classificação p pessoal'!F:G,2,false)</f>
        <v>NP</v>
      </c>
      <c r="E1215" s="65" t="s">
        <v>762</v>
      </c>
      <c r="F1215" s="83">
        <v>0.5416666666666666</v>
      </c>
      <c r="G1215" s="83">
        <v>0.625</v>
      </c>
      <c r="H1215" s="83">
        <v>0.08333333333333333</v>
      </c>
      <c r="I1215" s="84">
        <v>44384.0</v>
      </c>
      <c r="J1215" s="65" t="b">
        <v>1</v>
      </c>
      <c r="K1215" s="65"/>
      <c r="L1215" s="85" t="b">
        <f>IF(VLOOKUP(C1215,Projetos!A:L,12,false)=TRUE,TRUE,FALSE)</f>
        <v>1</v>
      </c>
      <c r="M1215" s="74">
        <v>34.7706987012987</v>
      </c>
      <c r="N1215" s="74">
        <f t="shared" si="1"/>
        <v>69.5413974</v>
      </c>
      <c r="O1215" s="74" t="b">
        <v>1</v>
      </c>
    </row>
    <row r="1216" hidden="1">
      <c r="A1216" s="82"/>
      <c r="B1216" s="65" t="s">
        <v>750</v>
      </c>
      <c r="C1216" s="65" t="s">
        <v>102</v>
      </c>
      <c r="D1216" s="65" t="str">
        <f>vlookup(C1216,'Classificação p pessoal'!F:G,2,false)</f>
        <v>NP</v>
      </c>
      <c r="E1216" s="65" t="s">
        <v>762</v>
      </c>
      <c r="F1216" s="83">
        <v>0.4166666666666667</v>
      </c>
      <c r="G1216" s="83">
        <v>0.5</v>
      </c>
      <c r="H1216" s="83">
        <v>0.08333333333333333</v>
      </c>
      <c r="I1216" s="84">
        <v>44386.0</v>
      </c>
      <c r="J1216" s="65" t="b">
        <v>1</v>
      </c>
      <c r="K1216" s="65"/>
      <c r="L1216" s="85" t="b">
        <f>IF(VLOOKUP(C1216,Projetos!A:L,12,false)=TRUE,TRUE,FALSE)</f>
        <v>1</v>
      </c>
      <c r="M1216" s="74">
        <v>34.7706987012987</v>
      </c>
      <c r="N1216" s="74">
        <f t="shared" si="1"/>
        <v>69.5413974</v>
      </c>
      <c r="O1216" s="74" t="b">
        <v>1</v>
      </c>
    </row>
    <row r="1217" hidden="1">
      <c r="A1217" s="82"/>
      <c r="B1217" s="65" t="s">
        <v>750</v>
      </c>
      <c r="C1217" s="65" t="s">
        <v>85</v>
      </c>
      <c r="D1217" s="65" t="str">
        <f>vlookup(C1217,'Classificação p pessoal'!F:G,2,false)</f>
        <v>NP</v>
      </c>
      <c r="E1217" s="65" t="s">
        <v>752</v>
      </c>
      <c r="F1217" s="83">
        <v>0.5416666666666666</v>
      </c>
      <c r="G1217" s="83">
        <v>0.7083333333333334</v>
      </c>
      <c r="H1217" s="83">
        <v>0.16666666666666666</v>
      </c>
      <c r="I1217" s="84">
        <v>44391.0</v>
      </c>
      <c r="J1217" s="65" t="b">
        <v>1</v>
      </c>
      <c r="K1217" s="65"/>
      <c r="L1217" s="85" t="b">
        <f>IF(VLOOKUP(C1217,Projetos!A:L,12,false)=TRUE,TRUE,FALSE)</f>
        <v>1</v>
      </c>
      <c r="M1217" s="74">
        <v>34.7706987012987</v>
      </c>
      <c r="N1217" s="74">
        <f t="shared" si="1"/>
        <v>139.0827948</v>
      </c>
      <c r="O1217" s="74" t="b">
        <v>1</v>
      </c>
    </row>
    <row r="1218" hidden="1">
      <c r="A1218" s="82"/>
      <c r="B1218" s="65" t="s">
        <v>750</v>
      </c>
      <c r="C1218" s="65" t="s">
        <v>107</v>
      </c>
      <c r="D1218" s="65" t="str">
        <f>vlookup(C1218,'Classificação p pessoal'!F:G,2,false)</f>
        <v>NP</v>
      </c>
      <c r="E1218" s="65" t="s">
        <v>763</v>
      </c>
      <c r="F1218" s="83">
        <v>0.6666666666666666</v>
      </c>
      <c r="G1218" s="83">
        <v>0.75</v>
      </c>
      <c r="H1218" s="83">
        <v>0.08333333333333333</v>
      </c>
      <c r="I1218" s="84">
        <v>44392.0</v>
      </c>
      <c r="J1218" s="65" t="b">
        <v>1</v>
      </c>
      <c r="K1218" s="65"/>
      <c r="L1218" s="85" t="b">
        <f>IF(VLOOKUP(C1218,Projetos!A:L,12,false)=TRUE,TRUE,FALSE)</f>
        <v>1</v>
      </c>
      <c r="M1218" s="74">
        <v>34.7706987012987</v>
      </c>
      <c r="N1218" s="74">
        <f t="shared" si="1"/>
        <v>69.5413974</v>
      </c>
      <c r="O1218" s="74" t="b">
        <v>1</v>
      </c>
    </row>
    <row r="1219" hidden="1">
      <c r="A1219" s="82"/>
      <c r="B1219" s="65" t="s">
        <v>750</v>
      </c>
      <c r="C1219" s="65" t="s">
        <v>107</v>
      </c>
      <c r="D1219" s="65" t="str">
        <f>vlookup(C1219,'Classificação p pessoal'!F:G,2,false)</f>
        <v>NP</v>
      </c>
      <c r="E1219" s="65" t="s">
        <v>763</v>
      </c>
      <c r="F1219" s="83">
        <v>0.6666666666666666</v>
      </c>
      <c r="G1219" s="83">
        <v>0.75</v>
      </c>
      <c r="H1219" s="83">
        <v>0.08333333333333333</v>
      </c>
      <c r="I1219" s="84">
        <v>44393.0</v>
      </c>
      <c r="J1219" s="65" t="b">
        <v>1</v>
      </c>
      <c r="K1219" s="65"/>
      <c r="L1219" s="85" t="b">
        <f>IF(VLOOKUP(C1219,Projetos!A:L,12,false)=TRUE,TRUE,FALSE)</f>
        <v>1</v>
      </c>
      <c r="M1219" s="74">
        <v>34.7706987012987</v>
      </c>
      <c r="N1219" s="74">
        <f t="shared" si="1"/>
        <v>69.5413974</v>
      </c>
      <c r="O1219" s="74" t="b">
        <v>1</v>
      </c>
    </row>
    <row r="1220" hidden="1">
      <c r="A1220" s="82"/>
      <c r="B1220" s="65" t="s">
        <v>750</v>
      </c>
      <c r="C1220" s="65" t="s">
        <v>107</v>
      </c>
      <c r="D1220" s="65" t="str">
        <f>vlookup(C1220,'Classificação p pessoal'!F:G,2,false)</f>
        <v>NP</v>
      </c>
      <c r="E1220" s="65" t="s">
        <v>763</v>
      </c>
      <c r="F1220" s="83">
        <v>0.375</v>
      </c>
      <c r="G1220" s="83">
        <v>0.5</v>
      </c>
      <c r="H1220" s="83">
        <v>0.125</v>
      </c>
      <c r="I1220" s="84">
        <v>44394.0</v>
      </c>
      <c r="J1220" s="65" t="b">
        <v>1</v>
      </c>
      <c r="K1220" s="65"/>
      <c r="L1220" s="85" t="b">
        <f>IF(VLOOKUP(C1220,Projetos!A:L,12,false)=TRUE,TRUE,FALSE)</f>
        <v>1</v>
      </c>
      <c r="M1220" s="74">
        <v>34.7706987012987</v>
      </c>
      <c r="N1220" s="74">
        <f t="shared" si="1"/>
        <v>104.3120961</v>
      </c>
      <c r="O1220" s="74" t="b">
        <v>1</v>
      </c>
    </row>
    <row r="1221" hidden="1">
      <c r="A1221" s="82"/>
      <c r="B1221" s="65" t="s">
        <v>750</v>
      </c>
      <c r="C1221" s="65" t="s">
        <v>107</v>
      </c>
      <c r="D1221" s="65" t="str">
        <f>vlookup(C1221,'Classificação p pessoal'!F:G,2,false)</f>
        <v>NP</v>
      </c>
      <c r="E1221" s="65" t="s">
        <v>763</v>
      </c>
      <c r="F1221" s="83">
        <v>0.4166666666666667</v>
      </c>
      <c r="G1221" s="83">
        <v>0.5</v>
      </c>
      <c r="H1221" s="83">
        <v>0.08333333333333333</v>
      </c>
      <c r="I1221" s="84">
        <v>44396.0</v>
      </c>
      <c r="J1221" s="65" t="b">
        <v>1</v>
      </c>
      <c r="K1221" s="65"/>
      <c r="L1221" s="85" t="b">
        <f>IF(VLOOKUP(C1221,Projetos!A:L,12,false)=TRUE,TRUE,FALSE)</f>
        <v>1</v>
      </c>
      <c r="M1221" s="74">
        <v>34.7706987012987</v>
      </c>
      <c r="N1221" s="74">
        <f t="shared" si="1"/>
        <v>69.5413974</v>
      </c>
      <c r="O1221" s="74" t="b">
        <v>1</v>
      </c>
    </row>
    <row r="1222" hidden="1">
      <c r="A1222" s="82"/>
      <c r="B1222" s="65" t="s">
        <v>750</v>
      </c>
      <c r="C1222" s="65" t="s">
        <v>102</v>
      </c>
      <c r="D1222" s="65" t="str">
        <f>vlookup(C1222,'Classificação p pessoal'!F:G,2,false)</f>
        <v>NP</v>
      </c>
      <c r="E1222" s="65" t="s">
        <v>762</v>
      </c>
      <c r="F1222" s="83">
        <v>0.625</v>
      </c>
      <c r="G1222" s="83">
        <v>0.6666666666666666</v>
      </c>
      <c r="H1222" s="83">
        <v>0.041666666666666664</v>
      </c>
      <c r="I1222" s="84">
        <v>44397.0</v>
      </c>
      <c r="J1222" s="65" t="b">
        <v>1</v>
      </c>
      <c r="K1222" s="65"/>
      <c r="L1222" s="85" t="b">
        <f>IF(VLOOKUP(C1222,Projetos!A:L,12,false)=TRUE,TRUE,FALSE)</f>
        <v>1</v>
      </c>
      <c r="M1222" s="74">
        <v>34.7706987012987</v>
      </c>
      <c r="N1222" s="74">
        <f t="shared" si="1"/>
        <v>34.7706987</v>
      </c>
      <c r="O1222" s="74" t="b">
        <v>1</v>
      </c>
    </row>
    <row r="1223" hidden="1">
      <c r="A1223" s="82"/>
      <c r="B1223" s="65" t="s">
        <v>750</v>
      </c>
      <c r="C1223" s="65" t="s">
        <v>107</v>
      </c>
      <c r="D1223" s="65" t="str">
        <f>vlookup(C1223,'Classificação p pessoal'!F:G,2,false)</f>
        <v>NP</v>
      </c>
      <c r="E1223" s="65" t="s">
        <v>763</v>
      </c>
      <c r="F1223" s="83">
        <v>0.6666666666666666</v>
      </c>
      <c r="G1223" s="83">
        <v>0.75</v>
      </c>
      <c r="H1223" s="83">
        <v>0.08333333333333333</v>
      </c>
      <c r="I1223" s="84">
        <v>44398.0</v>
      </c>
      <c r="J1223" s="65" t="b">
        <v>1</v>
      </c>
      <c r="K1223" s="65"/>
      <c r="L1223" s="85" t="b">
        <f>IF(VLOOKUP(C1223,Projetos!A:L,12,false)=TRUE,TRUE,FALSE)</f>
        <v>1</v>
      </c>
      <c r="M1223" s="74">
        <v>34.7706987012987</v>
      </c>
      <c r="N1223" s="74">
        <f t="shared" si="1"/>
        <v>69.5413974</v>
      </c>
      <c r="O1223" s="74" t="b">
        <v>1</v>
      </c>
    </row>
    <row r="1224" hidden="1">
      <c r="A1224" s="82"/>
      <c r="B1224" s="65" t="s">
        <v>750</v>
      </c>
      <c r="C1224" s="65" t="s">
        <v>91</v>
      </c>
      <c r="D1224" s="65" t="str">
        <f>vlookup(C1224,'Classificação p pessoal'!F:G,2,false)</f>
        <v>NP</v>
      </c>
      <c r="E1224" s="65" t="s">
        <v>159</v>
      </c>
      <c r="F1224" s="83">
        <v>0.5833333333333334</v>
      </c>
      <c r="G1224" s="83">
        <v>0.7083333333333334</v>
      </c>
      <c r="H1224" s="83">
        <v>0.125</v>
      </c>
      <c r="I1224" s="84">
        <v>44399.0</v>
      </c>
      <c r="J1224" s="65" t="b">
        <v>1</v>
      </c>
      <c r="K1224" s="65"/>
      <c r="L1224" s="85" t="b">
        <f>IF(VLOOKUP(C1224,Projetos!A:L,12,false)=TRUE,TRUE,FALSE)</f>
        <v>1</v>
      </c>
      <c r="M1224" s="74">
        <v>34.7706987012987</v>
      </c>
      <c r="N1224" s="74">
        <f t="shared" si="1"/>
        <v>104.3120961</v>
      </c>
      <c r="O1224" s="74" t="b">
        <v>1</v>
      </c>
    </row>
    <row r="1225" hidden="1">
      <c r="A1225" s="82"/>
      <c r="B1225" s="65" t="s">
        <v>750</v>
      </c>
      <c r="C1225" s="65" t="s">
        <v>115</v>
      </c>
      <c r="D1225" s="65" t="str">
        <f>vlookup(C1225,'Classificação p pessoal'!F:G,2,false)</f>
        <v>NP</v>
      </c>
      <c r="E1225" s="65" t="s">
        <v>763</v>
      </c>
      <c r="F1225" s="83">
        <v>0.625</v>
      </c>
      <c r="G1225" s="83">
        <v>0.75</v>
      </c>
      <c r="H1225" s="83">
        <v>0.125</v>
      </c>
      <c r="I1225" s="84">
        <v>44400.0</v>
      </c>
      <c r="J1225" s="65" t="b">
        <v>1</v>
      </c>
      <c r="K1225" s="65"/>
      <c r="L1225" s="85" t="b">
        <f>IF(VLOOKUP(C1225,Projetos!A:L,12,false)=TRUE,TRUE,FALSE)</f>
        <v>1</v>
      </c>
      <c r="M1225" s="74">
        <v>34.7706987012987</v>
      </c>
      <c r="N1225" s="74">
        <f t="shared" si="1"/>
        <v>104.3120961</v>
      </c>
      <c r="O1225" s="74" t="b">
        <v>1</v>
      </c>
    </row>
    <row r="1226" hidden="1">
      <c r="A1226" s="82"/>
      <c r="B1226" s="65" t="s">
        <v>750</v>
      </c>
      <c r="C1226" s="65" t="s">
        <v>107</v>
      </c>
      <c r="D1226" s="65" t="str">
        <f>vlookup(C1226,'Classificação p pessoal'!F:G,2,false)</f>
        <v>NP</v>
      </c>
      <c r="E1226" s="65" t="s">
        <v>763</v>
      </c>
      <c r="F1226" s="83">
        <v>0.4166666666666667</v>
      </c>
      <c r="G1226" s="83">
        <v>0.5</v>
      </c>
      <c r="H1226" s="83">
        <v>0.08333333333333333</v>
      </c>
      <c r="I1226" s="84">
        <v>44400.0</v>
      </c>
      <c r="J1226" s="65" t="b">
        <v>1</v>
      </c>
      <c r="K1226" s="65"/>
      <c r="L1226" s="85" t="b">
        <f>IF(VLOOKUP(C1226,Projetos!A:L,12,false)=TRUE,TRUE,FALSE)</f>
        <v>1</v>
      </c>
      <c r="M1226" s="74">
        <v>34.7706987012987</v>
      </c>
      <c r="N1226" s="74">
        <f t="shared" si="1"/>
        <v>69.5413974</v>
      </c>
      <c r="O1226" s="74" t="b">
        <v>1</v>
      </c>
    </row>
    <row r="1227" hidden="1">
      <c r="A1227" s="82"/>
      <c r="B1227" s="65" t="s">
        <v>750</v>
      </c>
      <c r="C1227" s="65" t="s">
        <v>115</v>
      </c>
      <c r="D1227" s="65" t="str">
        <f>vlookup(C1227,'Classificação p pessoal'!F:G,2,false)</f>
        <v>NP</v>
      </c>
      <c r="E1227" s="65" t="s">
        <v>763</v>
      </c>
      <c r="F1227" s="83">
        <v>0.4583333333333333</v>
      </c>
      <c r="G1227" s="83">
        <v>0.5416666666666666</v>
      </c>
      <c r="H1227" s="83">
        <v>0.08333333333333333</v>
      </c>
      <c r="I1227" s="84">
        <v>44403.0</v>
      </c>
      <c r="J1227" s="65" t="b">
        <v>1</v>
      </c>
      <c r="K1227" s="65"/>
      <c r="L1227" s="85" t="b">
        <f>IF(VLOOKUP(C1227,Projetos!A:L,12,false)=TRUE,TRUE,FALSE)</f>
        <v>1</v>
      </c>
      <c r="M1227" s="74">
        <v>34.7706987012987</v>
      </c>
      <c r="N1227" s="74">
        <f t="shared" si="1"/>
        <v>69.5413974</v>
      </c>
      <c r="O1227" s="74" t="b">
        <v>1</v>
      </c>
    </row>
    <row r="1228" hidden="1">
      <c r="A1228" s="82"/>
      <c r="B1228" s="65" t="s">
        <v>750</v>
      </c>
      <c r="C1228" s="65" t="s">
        <v>115</v>
      </c>
      <c r="D1228" s="65" t="str">
        <f>vlookup(C1228,'Classificação p pessoal'!F:G,2,false)</f>
        <v>NP</v>
      </c>
      <c r="E1228" s="65" t="s">
        <v>763</v>
      </c>
      <c r="F1228" s="83">
        <v>0.5416666666666666</v>
      </c>
      <c r="G1228" s="83">
        <v>0.6666666666666666</v>
      </c>
      <c r="H1228" s="83">
        <v>0.125</v>
      </c>
      <c r="I1228" s="84">
        <v>44404.0</v>
      </c>
      <c r="J1228" s="65" t="b">
        <v>1</v>
      </c>
      <c r="K1228" s="65"/>
      <c r="L1228" s="85" t="b">
        <f>IF(VLOOKUP(C1228,Projetos!A:L,12,false)=TRUE,TRUE,FALSE)</f>
        <v>1</v>
      </c>
      <c r="M1228" s="74">
        <v>34.7706987012987</v>
      </c>
      <c r="N1228" s="74">
        <f t="shared" si="1"/>
        <v>104.3120961</v>
      </c>
      <c r="O1228" s="74" t="b">
        <v>1</v>
      </c>
    </row>
    <row r="1229" hidden="1">
      <c r="A1229" s="82"/>
      <c r="B1229" s="65" t="s">
        <v>750</v>
      </c>
      <c r="C1229" s="65" t="s">
        <v>115</v>
      </c>
      <c r="D1229" s="65" t="str">
        <f>vlookup(C1229,'Classificação p pessoal'!F:G,2,false)</f>
        <v>NP</v>
      </c>
      <c r="E1229" s="65" t="s">
        <v>763</v>
      </c>
      <c r="F1229" s="83">
        <v>0.375</v>
      </c>
      <c r="G1229" s="83">
        <v>0.4166666666666667</v>
      </c>
      <c r="H1229" s="83">
        <v>0.041666666666666664</v>
      </c>
      <c r="I1229" s="84">
        <v>44405.0</v>
      </c>
      <c r="J1229" s="65" t="b">
        <v>1</v>
      </c>
      <c r="K1229" s="65"/>
      <c r="L1229" s="85" t="b">
        <f>IF(VLOOKUP(C1229,Projetos!A:L,12,false)=TRUE,TRUE,FALSE)</f>
        <v>1</v>
      </c>
      <c r="M1229" s="74">
        <v>34.7706987012987</v>
      </c>
      <c r="N1229" s="74">
        <f t="shared" si="1"/>
        <v>34.7706987</v>
      </c>
      <c r="O1229" s="74" t="b">
        <v>1</v>
      </c>
    </row>
    <row r="1230" hidden="1">
      <c r="A1230" s="82"/>
      <c r="B1230" s="65" t="s">
        <v>750</v>
      </c>
      <c r="C1230" s="65" t="s">
        <v>107</v>
      </c>
      <c r="D1230" s="65" t="str">
        <f>vlookup(C1230,'Classificação p pessoal'!F:G,2,false)</f>
        <v>NP</v>
      </c>
      <c r="E1230" s="65" t="s">
        <v>763</v>
      </c>
      <c r="F1230" s="83">
        <v>0.5833333333333334</v>
      </c>
      <c r="G1230" s="83">
        <v>0.625</v>
      </c>
      <c r="H1230" s="83">
        <v>0.041666666666666664</v>
      </c>
      <c r="I1230" s="84">
        <v>44405.0</v>
      </c>
      <c r="J1230" s="65" t="b">
        <v>1</v>
      </c>
      <c r="K1230" s="65"/>
      <c r="L1230" s="85" t="b">
        <f>IF(VLOOKUP(C1230,Projetos!A:L,12,false)=TRUE,TRUE,FALSE)</f>
        <v>1</v>
      </c>
      <c r="M1230" s="74">
        <v>34.7706987012987</v>
      </c>
      <c r="N1230" s="74">
        <f t="shared" si="1"/>
        <v>34.7706987</v>
      </c>
      <c r="O1230" s="74" t="b">
        <v>1</v>
      </c>
    </row>
    <row r="1231" hidden="1">
      <c r="A1231" s="82"/>
      <c r="B1231" s="65" t="s">
        <v>750</v>
      </c>
      <c r="C1231" s="65" t="s">
        <v>85</v>
      </c>
      <c r="D1231" s="65" t="str">
        <f>vlookup(C1231,'Classificação p pessoal'!F:G,2,false)</f>
        <v>NP</v>
      </c>
      <c r="E1231" s="65" t="s">
        <v>752</v>
      </c>
      <c r="F1231" s="83">
        <v>0.6666666666666666</v>
      </c>
      <c r="G1231" s="83">
        <v>0.75</v>
      </c>
      <c r="H1231" s="83">
        <v>0.08333333333333333</v>
      </c>
      <c r="I1231" s="84">
        <v>44405.0</v>
      </c>
      <c r="J1231" s="65" t="b">
        <v>1</v>
      </c>
      <c r="K1231" s="65"/>
      <c r="L1231" s="85" t="b">
        <f>IF(VLOOKUP(C1231,Projetos!A:L,12,false)=TRUE,TRUE,FALSE)</f>
        <v>1</v>
      </c>
      <c r="M1231" s="74">
        <v>34.7706987012987</v>
      </c>
      <c r="N1231" s="74">
        <f t="shared" si="1"/>
        <v>69.5413974</v>
      </c>
      <c r="O1231" s="74" t="b">
        <v>1</v>
      </c>
    </row>
    <row r="1232" hidden="1">
      <c r="A1232" s="82"/>
      <c r="B1232" s="65" t="s">
        <v>750</v>
      </c>
      <c r="C1232" s="65" t="s">
        <v>98</v>
      </c>
      <c r="D1232" s="65" t="str">
        <f>vlookup(C1232,'Classificação p pessoal'!F:G,2,false)</f>
        <v>NP</v>
      </c>
      <c r="E1232" s="65" t="s">
        <v>159</v>
      </c>
      <c r="F1232" s="83">
        <v>0.5416666666666666</v>
      </c>
      <c r="G1232" s="83">
        <v>0.75</v>
      </c>
      <c r="H1232" s="83">
        <v>0.20833333333333334</v>
      </c>
      <c r="I1232" s="84">
        <v>44406.0</v>
      </c>
      <c r="J1232" s="65" t="b">
        <v>1</v>
      </c>
      <c r="K1232" s="65"/>
      <c r="L1232" s="85" t="b">
        <f>IF(VLOOKUP(C1232,Projetos!A:L,12,false)=TRUE,TRUE,FALSE)</f>
        <v>1</v>
      </c>
      <c r="M1232" s="74">
        <v>34.7706987012987</v>
      </c>
      <c r="N1232" s="74">
        <f t="shared" si="1"/>
        <v>173.8534935</v>
      </c>
      <c r="O1232" s="74" t="b">
        <v>1</v>
      </c>
    </row>
    <row r="1233" hidden="1">
      <c r="A1233" s="82"/>
      <c r="B1233" s="65" t="s">
        <v>750</v>
      </c>
      <c r="C1233" s="65" t="s">
        <v>107</v>
      </c>
      <c r="D1233" s="65" t="str">
        <f>vlookup(C1233,'Classificação p pessoal'!F:G,2,false)</f>
        <v>NP</v>
      </c>
      <c r="E1233" s="65" t="s">
        <v>767</v>
      </c>
      <c r="F1233" s="83">
        <v>0.375</v>
      </c>
      <c r="G1233" s="83">
        <v>0.4583333333333333</v>
      </c>
      <c r="H1233" s="83">
        <v>0.08333333333333333</v>
      </c>
      <c r="I1233" s="84">
        <v>44406.0</v>
      </c>
      <c r="J1233" s="65" t="b">
        <v>1</v>
      </c>
      <c r="K1233" s="65"/>
      <c r="L1233" s="85" t="b">
        <f>IF(VLOOKUP(C1233,Projetos!A:L,12,false)=TRUE,TRUE,FALSE)</f>
        <v>1</v>
      </c>
      <c r="M1233" s="74">
        <v>34.7706987012987</v>
      </c>
      <c r="N1233" s="74">
        <f t="shared" si="1"/>
        <v>69.5413974</v>
      </c>
      <c r="O1233" s="74" t="b">
        <v>1</v>
      </c>
    </row>
    <row r="1234" hidden="1">
      <c r="A1234" s="82"/>
      <c r="B1234" s="65" t="s">
        <v>750</v>
      </c>
      <c r="C1234" s="65" t="s">
        <v>107</v>
      </c>
      <c r="D1234" s="65" t="str">
        <f>vlookup(C1234,'Classificação p pessoal'!F:G,2,false)</f>
        <v>NP</v>
      </c>
      <c r="E1234" s="65" t="s">
        <v>767</v>
      </c>
      <c r="F1234" s="83">
        <v>0.6666666666666666</v>
      </c>
      <c r="G1234" s="83">
        <v>0.7083333333333334</v>
      </c>
      <c r="H1234" s="83">
        <v>0.041666666666666664</v>
      </c>
      <c r="I1234" s="84">
        <v>44407.0</v>
      </c>
      <c r="J1234" s="65" t="b">
        <v>1</v>
      </c>
      <c r="K1234" s="65"/>
      <c r="L1234" s="85" t="b">
        <f>IF(VLOOKUP(C1234,Projetos!A:L,12,false)=TRUE,TRUE,FALSE)</f>
        <v>1</v>
      </c>
      <c r="M1234" s="74">
        <v>34.7706987012987</v>
      </c>
      <c r="N1234" s="74">
        <f t="shared" si="1"/>
        <v>34.7706987</v>
      </c>
      <c r="O1234" s="74" t="b">
        <v>1</v>
      </c>
    </row>
    <row r="1235" hidden="1">
      <c r="A1235" s="82"/>
      <c r="B1235" s="65" t="s">
        <v>750</v>
      </c>
      <c r="C1235" s="65" t="s">
        <v>115</v>
      </c>
      <c r="D1235" s="65" t="str">
        <f>vlookup(C1235,'Classificação p pessoal'!F:G,2,false)</f>
        <v>NP</v>
      </c>
      <c r="E1235" s="65" t="s">
        <v>763</v>
      </c>
      <c r="F1235" s="83">
        <v>0.4166666666666667</v>
      </c>
      <c r="G1235" s="83">
        <v>0.5</v>
      </c>
      <c r="H1235" s="83">
        <v>0.08333333333333333</v>
      </c>
      <c r="I1235" s="84">
        <v>44420.0</v>
      </c>
      <c r="J1235" s="65" t="b">
        <v>1</v>
      </c>
      <c r="K1235" s="65"/>
      <c r="L1235" s="85" t="b">
        <f>IF(VLOOKUP(C1235,Projetos!A:L,12,false)=TRUE,TRUE,FALSE)</f>
        <v>1</v>
      </c>
      <c r="M1235" s="74">
        <v>34.7706987012987</v>
      </c>
      <c r="N1235" s="74">
        <f t="shared" si="1"/>
        <v>69.5413974</v>
      </c>
      <c r="O1235" s="74" t="b">
        <v>1</v>
      </c>
    </row>
    <row r="1236" hidden="1">
      <c r="A1236" s="82"/>
      <c r="B1236" s="65" t="s">
        <v>750</v>
      </c>
      <c r="C1236" s="65" t="s">
        <v>98</v>
      </c>
      <c r="D1236" s="65" t="str">
        <f>vlookup(C1236,'Classificação p pessoal'!F:G,2,false)</f>
        <v>NP</v>
      </c>
      <c r="E1236" s="65" t="s">
        <v>159</v>
      </c>
      <c r="F1236" s="83">
        <v>0.4166666666666667</v>
      </c>
      <c r="G1236" s="83">
        <v>0.5</v>
      </c>
      <c r="H1236" s="83">
        <v>0.08333333333333333</v>
      </c>
      <c r="I1236" s="84">
        <v>44421.0</v>
      </c>
      <c r="J1236" s="65" t="b">
        <v>1</v>
      </c>
      <c r="K1236" s="65"/>
      <c r="L1236" s="85" t="b">
        <f>IF(VLOOKUP(C1236,Projetos!A:L,12,false)=TRUE,TRUE,FALSE)</f>
        <v>1</v>
      </c>
      <c r="M1236" s="74">
        <v>34.7706987012987</v>
      </c>
      <c r="N1236" s="74">
        <f t="shared" si="1"/>
        <v>69.5413974</v>
      </c>
      <c r="O1236" s="74" t="b">
        <v>1</v>
      </c>
    </row>
    <row r="1237" hidden="1">
      <c r="A1237" s="82"/>
      <c r="B1237" s="65" t="s">
        <v>750</v>
      </c>
      <c r="C1237" s="65" t="s">
        <v>98</v>
      </c>
      <c r="D1237" s="65" t="str">
        <f>vlookup(C1237,'Classificação p pessoal'!F:G,2,false)</f>
        <v>NP</v>
      </c>
      <c r="E1237" s="65" t="s">
        <v>159</v>
      </c>
      <c r="F1237" s="83">
        <v>0.5833333333333334</v>
      </c>
      <c r="G1237" s="83">
        <v>0.6666666666666666</v>
      </c>
      <c r="H1237" s="83">
        <v>0.08333333333333333</v>
      </c>
      <c r="I1237" s="84">
        <v>44424.0</v>
      </c>
      <c r="J1237" s="65" t="b">
        <v>1</v>
      </c>
      <c r="K1237" s="65"/>
      <c r="L1237" s="85" t="b">
        <f>IF(VLOOKUP(C1237,Projetos!A:L,12,false)=TRUE,TRUE,FALSE)</f>
        <v>1</v>
      </c>
      <c r="M1237" s="74">
        <v>34.7706987012987</v>
      </c>
      <c r="N1237" s="74">
        <f t="shared" si="1"/>
        <v>69.5413974</v>
      </c>
      <c r="O1237" s="74" t="b">
        <v>1</v>
      </c>
    </row>
    <row r="1238" hidden="1">
      <c r="A1238" s="82"/>
      <c r="B1238" s="65" t="s">
        <v>750</v>
      </c>
      <c r="C1238" s="65" t="s">
        <v>107</v>
      </c>
      <c r="D1238" s="65" t="str">
        <f>vlookup(C1238,'Classificação p pessoal'!F:G,2,false)</f>
        <v>NP</v>
      </c>
      <c r="E1238" s="65" t="s">
        <v>763</v>
      </c>
      <c r="F1238" s="83">
        <v>0.625</v>
      </c>
      <c r="G1238" s="83">
        <v>0.75</v>
      </c>
      <c r="H1238" s="83">
        <v>0.125</v>
      </c>
      <c r="I1238" s="84">
        <v>44428.0</v>
      </c>
      <c r="J1238" s="65" t="b">
        <v>1</v>
      </c>
      <c r="K1238" s="65"/>
      <c r="L1238" s="85" t="b">
        <f>IF(VLOOKUP(C1238,Projetos!A:L,12,false)=TRUE,TRUE,FALSE)</f>
        <v>1</v>
      </c>
      <c r="M1238" s="74">
        <v>34.7706987012987</v>
      </c>
      <c r="N1238" s="74">
        <f t="shared" si="1"/>
        <v>104.3120961</v>
      </c>
      <c r="O1238" s="74" t="b">
        <v>1</v>
      </c>
    </row>
    <row r="1239" hidden="1">
      <c r="A1239" s="82"/>
      <c r="B1239" s="65" t="s">
        <v>750</v>
      </c>
      <c r="C1239" s="65" t="s">
        <v>107</v>
      </c>
      <c r="D1239" s="65" t="str">
        <f>vlookup(C1239,'Classificação p pessoal'!F:G,2,false)</f>
        <v>NP</v>
      </c>
      <c r="E1239" s="65" t="s">
        <v>763</v>
      </c>
      <c r="F1239" s="83">
        <v>0.375</v>
      </c>
      <c r="G1239" s="83">
        <v>0.5</v>
      </c>
      <c r="H1239" s="83">
        <v>0.125</v>
      </c>
      <c r="I1239" s="84">
        <v>44431.0</v>
      </c>
      <c r="J1239" s="65" t="b">
        <v>1</v>
      </c>
      <c r="K1239" s="65"/>
      <c r="L1239" s="85" t="b">
        <f>IF(VLOOKUP(C1239,Projetos!A:L,12,false)=TRUE,TRUE,FALSE)</f>
        <v>1</v>
      </c>
      <c r="M1239" s="74">
        <v>34.7706987012987</v>
      </c>
      <c r="N1239" s="74">
        <f t="shared" si="1"/>
        <v>104.3120961</v>
      </c>
      <c r="O1239" s="74" t="b">
        <v>1</v>
      </c>
    </row>
    <row r="1240" hidden="1">
      <c r="A1240" s="82"/>
      <c r="B1240" s="65" t="s">
        <v>750</v>
      </c>
      <c r="C1240" s="65" t="s">
        <v>98</v>
      </c>
      <c r="D1240" s="65" t="str">
        <f>vlookup(C1240,'Classificação p pessoal'!F:G,2,false)</f>
        <v>NP</v>
      </c>
      <c r="E1240" s="65" t="s">
        <v>159</v>
      </c>
      <c r="F1240" s="83">
        <v>0.4166666666666667</v>
      </c>
      <c r="G1240" s="83">
        <v>0.5416666666666666</v>
      </c>
      <c r="H1240" s="83">
        <v>0.125</v>
      </c>
      <c r="I1240" s="84">
        <v>44432.0</v>
      </c>
      <c r="J1240" s="65" t="b">
        <v>1</v>
      </c>
      <c r="K1240" s="65"/>
      <c r="L1240" s="85" t="b">
        <f>IF(VLOOKUP(C1240,Projetos!A:L,12,false)=TRUE,TRUE,FALSE)</f>
        <v>1</v>
      </c>
      <c r="M1240" s="74">
        <v>34.7706987012987</v>
      </c>
      <c r="N1240" s="74">
        <f t="shared" si="1"/>
        <v>104.3120961</v>
      </c>
      <c r="O1240" s="74" t="b">
        <v>1</v>
      </c>
    </row>
    <row r="1241" hidden="1">
      <c r="A1241" s="82"/>
      <c r="B1241" s="65" t="s">
        <v>750</v>
      </c>
      <c r="C1241" s="65" t="s">
        <v>85</v>
      </c>
      <c r="D1241" s="65" t="str">
        <f>vlookup(C1241,'Classificação p pessoal'!F:G,2,false)</f>
        <v>NP</v>
      </c>
      <c r="E1241" s="65" t="s">
        <v>159</v>
      </c>
      <c r="F1241" s="83">
        <v>0.5833333333333334</v>
      </c>
      <c r="G1241" s="83">
        <v>0.7083333333333334</v>
      </c>
      <c r="H1241" s="83">
        <v>0.125</v>
      </c>
      <c r="I1241" s="84">
        <v>44432.0</v>
      </c>
      <c r="J1241" s="65" t="b">
        <v>1</v>
      </c>
      <c r="K1241" s="65"/>
      <c r="L1241" s="85" t="b">
        <f>IF(VLOOKUP(C1241,Projetos!A:L,12,false)=TRUE,TRUE,FALSE)</f>
        <v>1</v>
      </c>
      <c r="M1241" s="74">
        <v>34.7706987012987</v>
      </c>
      <c r="N1241" s="74">
        <f t="shared" si="1"/>
        <v>104.3120961</v>
      </c>
      <c r="O1241" s="74" t="b">
        <v>1</v>
      </c>
    </row>
    <row r="1242" hidden="1">
      <c r="A1242" s="82"/>
      <c r="B1242" s="65" t="s">
        <v>750</v>
      </c>
      <c r="C1242" s="65" t="s">
        <v>98</v>
      </c>
      <c r="D1242" s="65" t="str">
        <f>vlookup(C1242,'Classificação p pessoal'!F:G,2,false)</f>
        <v>NP</v>
      </c>
      <c r="E1242" s="65" t="s">
        <v>159</v>
      </c>
      <c r="F1242" s="83">
        <v>0.625</v>
      </c>
      <c r="G1242" s="83">
        <v>0.75</v>
      </c>
      <c r="H1242" s="83">
        <v>0.125</v>
      </c>
      <c r="I1242" s="84">
        <v>44433.0</v>
      </c>
      <c r="J1242" s="65" t="b">
        <v>1</v>
      </c>
      <c r="K1242" s="65"/>
      <c r="L1242" s="85" t="b">
        <f>IF(VLOOKUP(C1242,Projetos!A:L,12,false)=TRUE,TRUE,FALSE)</f>
        <v>1</v>
      </c>
      <c r="M1242" s="74">
        <v>34.7706987012987</v>
      </c>
      <c r="N1242" s="74">
        <f t="shared" si="1"/>
        <v>104.3120961</v>
      </c>
      <c r="O1242" s="74" t="b">
        <v>1</v>
      </c>
    </row>
    <row r="1243" hidden="1">
      <c r="A1243" s="82"/>
      <c r="B1243" s="65" t="s">
        <v>750</v>
      </c>
      <c r="C1243" s="65" t="s">
        <v>107</v>
      </c>
      <c r="D1243" s="65" t="str">
        <f>vlookup(C1243,'Classificação p pessoal'!F:G,2,false)</f>
        <v>NP</v>
      </c>
      <c r="E1243" s="65" t="s">
        <v>763</v>
      </c>
      <c r="F1243" s="83">
        <v>0.6666666666666666</v>
      </c>
      <c r="G1243" s="83">
        <v>0.75</v>
      </c>
      <c r="H1243" s="83">
        <v>0.08333333333333333</v>
      </c>
      <c r="I1243" s="84">
        <v>44435.0</v>
      </c>
      <c r="J1243" s="65" t="b">
        <v>1</v>
      </c>
      <c r="K1243" s="65"/>
      <c r="L1243" s="85" t="b">
        <f>IF(VLOOKUP(C1243,Projetos!A:L,12,false)=TRUE,TRUE,FALSE)</f>
        <v>1</v>
      </c>
      <c r="M1243" s="74">
        <v>34.7706987012987</v>
      </c>
      <c r="N1243" s="74">
        <f t="shared" si="1"/>
        <v>69.5413974</v>
      </c>
      <c r="O1243" s="74" t="b">
        <v>1</v>
      </c>
    </row>
    <row r="1244" hidden="1">
      <c r="A1244" s="82"/>
      <c r="B1244" s="65" t="s">
        <v>750</v>
      </c>
      <c r="C1244" s="65" t="s">
        <v>107</v>
      </c>
      <c r="D1244" s="65" t="str">
        <f>vlookup(C1244,'Classificação p pessoal'!F:G,2,false)</f>
        <v>NP</v>
      </c>
      <c r="E1244" s="65" t="s">
        <v>763</v>
      </c>
      <c r="F1244" s="83">
        <v>0.5833333333333334</v>
      </c>
      <c r="G1244" s="83">
        <v>0.7083333333333334</v>
      </c>
      <c r="H1244" s="83">
        <v>0.125</v>
      </c>
      <c r="I1244" s="84">
        <v>44438.0</v>
      </c>
      <c r="J1244" s="65" t="b">
        <v>1</v>
      </c>
      <c r="K1244" s="65"/>
      <c r="L1244" s="85" t="b">
        <f>IF(VLOOKUP(C1244,Projetos!A:L,12,false)=TRUE,TRUE,FALSE)</f>
        <v>1</v>
      </c>
      <c r="M1244" s="74">
        <v>34.7706987012987</v>
      </c>
      <c r="N1244" s="74">
        <f t="shared" si="1"/>
        <v>104.3120961</v>
      </c>
      <c r="O1244" s="74" t="b">
        <v>1</v>
      </c>
    </row>
    <row r="1245" hidden="1">
      <c r="A1245" s="82"/>
      <c r="B1245" s="65" t="s">
        <v>750</v>
      </c>
      <c r="C1245" s="65" t="s">
        <v>98</v>
      </c>
      <c r="D1245" s="65" t="str">
        <f>vlookup(C1245,'Classificação p pessoal'!F:G,2,false)</f>
        <v>NP</v>
      </c>
      <c r="E1245" s="65" t="s">
        <v>159</v>
      </c>
      <c r="F1245" s="83">
        <v>0.4166666666666667</v>
      </c>
      <c r="G1245" s="83">
        <v>0.5</v>
      </c>
      <c r="H1245" s="83">
        <v>0.08333333333333333</v>
      </c>
      <c r="I1245" s="84">
        <v>44438.0</v>
      </c>
      <c r="J1245" s="65" t="b">
        <v>1</v>
      </c>
      <c r="K1245" s="65"/>
      <c r="L1245" s="85" t="b">
        <f>IF(VLOOKUP(C1245,Projetos!A:L,12,false)=TRUE,TRUE,FALSE)</f>
        <v>1</v>
      </c>
      <c r="M1245" s="74">
        <v>34.7706987012987</v>
      </c>
      <c r="N1245" s="74">
        <f t="shared" si="1"/>
        <v>69.5413974</v>
      </c>
      <c r="O1245" s="74" t="b">
        <v>1</v>
      </c>
    </row>
    <row r="1246" hidden="1">
      <c r="A1246" s="82"/>
      <c r="B1246" s="65" t="s">
        <v>750</v>
      </c>
      <c r="C1246" s="65" t="s">
        <v>98</v>
      </c>
      <c r="D1246" s="65" t="str">
        <f>vlookup(C1246,'Classificação p pessoal'!F:G,2,false)</f>
        <v>NP</v>
      </c>
      <c r="E1246" s="65" t="s">
        <v>159</v>
      </c>
      <c r="F1246" s="83">
        <v>0.375</v>
      </c>
      <c r="G1246" s="83">
        <v>0.5</v>
      </c>
      <c r="H1246" s="83">
        <v>0.125</v>
      </c>
      <c r="I1246" s="84">
        <v>44439.0</v>
      </c>
      <c r="J1246" s="65" t="b">
        <v>1</v>
      </c>
      <c r="K1246" s="65"/>
      <c r="L1246" s="85" t="b">
        <f>IF(VLOOKUP(C1246,Projetos!A:L,12,false)=TRUE,TRUE,FALSE)</f>
        <v>1</v>
      </c>
      <c r="M1246" s="74">
        <v>34.7706987012987</v>
      </c>
      <c r="N1246" s="74">
        <f t="shared" si="1"/>
        <v>104.3120961</v>
      </c>
      <c r="O1246" s="74" t="b">
        <v>1</v>
      </c>
    </row>
    <row r="1247" hidden="1">
      <c r="A1247" s="82"/>
      <c r="B1247" s="65" t="s">
        <v>750</v>
      </c>
      <c r="C1247" s="65" t="s">
        <v>115</v>
      </c>
      <c r="D1247" s="65" t="str">
        <f>vlookup(C1247,'Classificação p pessoal'!F:G,2,false)</f>
        <v>NP</v>
      </c>
      <c r="E1247" s="65" t="s">
        <v>763</v>
      </c>
      <c r="F1247" s="83">
        <v>0.5833333333333334</v>
      </c>
      <c r="G1247" s="83">
        <v>0.7083333333333334</v>
      </c>
      <c r="H1247" s="83">
        <v>0.125</v>
      </c>
      <c r="I1247" s="84">
        <v>44439.0</v>
      </c>
      <c r="J1247" s="65" t="b">
        <v>1</v>
      </c>
      <c r="K1247" s="65"/>
      <c r="L1247" s="85" t="b">
        <f>IF(VLOOKUP(C1247,Projetos!A:L,12,false)=TRUE,TRUE,FALSE)</f>
        <v>1</v>
      </c>
      <c r="M1247" s="74">
        <v>34.7706987012987</v>
      </c>
      <c r="N1247" s="74">
        <f t="shared" si="1"/>
        <v>104.3120961</v>
      </c>
      <c r="O1247" s="74" t="b">
        <v>1</v>
      </c>
    </row>
    <row r="1248" hidden="1">
      <c r="A1248" s="82"/>
      <c r="B1248" s="65" t="s">
        <v>750</v>
      </c>
      <c r="C1248" s="65" t="s">
        <v>98</v>
      </c>
      <c r="D1248" s="65" t="str">
        <f>vlookup(C1248,'Classificação p pessoal'!F:G,2,false)</f>
        <v>NP</v>
      </c>
      <c r="E1248" s="65" t="s">
        <v>159</v>
      </c>
      <c r="F1248" s="83">
        <v>0.5833333333333334</v>
      </c>
      <c r="G1248" s="83">
        <v>0.625</v>
      </c>
      <c r="H1248" s="83">
        <v>0.041666666666666664</v>
      </c>
      <c r="I1248" s="84">
        <v>44440.0</v>
      </c>
      <c r="J1248" s="65" t="b">
        <v>1</v>
      </c>
      <c r="K1248" s="65"/>
      <c r="L1248" s="85" t="b">
        <f>IF(VLOOKUP(C1248,Projetos!A:L,12,false)=TRUE,TRUE,FALSE)</f>
        <v>1</v>
      </c>
      <c r="M1248" s="74">
        <v>34.7706987012987</v>
      </c>
      <c r="N1248" s="74">
        <f t="shared" si="1"/>
        <v>34.7706987</v>
      </c>
      <c r="O1248" s="74" t="b">
        <v>1</v>
      </c>
    </row>
    <row r="1249" hidden="1">
      <c r="A1249" s="82"/>
      <c r="B1249" s="65" t="s">
        <v>750</v>
      </c>
      <c r="C1249" s="65" t="s">
        <v>115</v>
      </c>
      <c r="D1249" s="65" t="str">
        <f>vlookup(C1249,'Classificação p pessoal'!F:G,2,false)</f>
        <v>NP</v>
      </c>
      <c r="E1249" s="65" t="s">
        <v>763</v>
      </c>
      <c r="F1249" s="83">
        <v>0.625</v>
      </c>
      <c r="G1249" s="83">
        <v>0.6666666666666666</v>
      </c>
      <c r="H1249" s="83">
        <v>0.041666666666666664</v>
      </c>
      <c r="I1249" s="84">
        <v>44440.0</v>
      </c>
      <c r="J1249" s="65" t="b">
        <v>1</v>
      </c>
      <c r="K1249" s="65"/>
      <c r="L1249" s="85" t="b">
        <f>IF(VLOOKUP(C1249,Projetos!A:L,12,false)=TRUE,TRUE,FALSE)</f>
        <v>1</v>
      </c>
      <c r="M1249" s="74">
        <v>34.7706987012987</v>
      </c>
      <c r="N1249" s="74">
        <f t="shared" si="1"/>
        <v>34.7706987</v>
      </c>
      <c r="O1249" s="74" t="b">
        <v>1</v>
      </c>
    </row>
    <row r="1250" hidden="1">
      <c r="A1250" s="82"/>
      <c r="B1250" s="65" t="s">
        <v>750</v>
      </c>
      <c r="C1250" s="65" t="s">
        <v>98</v>
      </c>
      <c r="D1250" s="65" t="str">
        <f>vlookup(C1250,'Classificação p pessoal'!F:G,2,false)</f>
        <v>NP</v>
      </c>
      <c r="E1250" s="65" t="s">
        <v>159</v>
      </c>
      <c r="F1250" s="83">
        <v>0.4166666666666667</v>
      </c>
      <c r="G1250" s="83">
        <v>0.5</v>
      </c>
      <c r="H1250" s="83">
        <v>0.08333333333333333</v>
      </c>
      <c r="I1250" s="84">
        <v>44441.0</v>
      </c>
      <c r="J1250" s="65" t="b">
        <v>1</v>
      </c>
      <c r="K1250" s="65"/>
      <c r="L1250" s="85" t="b">
        <f>IF(VLOOKUP(C1250,Projetos!A:L,12,false)=TRUE,TRUE,FALSE)</f>
        <v>1</v>
      </c>
      <c r="M1250" s="74">
        <v>34.7706987012987</v>
      </c>
      <c r="N1250" s="74">
        <f t="shared" si="1"/>
        <v>69.5413974</v>
      </c>
      <c r="O1250" s="74" t="b">
        <v>1</v>
      </c>
    </row>
    <row r="1251" hidden="1">
      <c r="A1251" s="82"/>
      <c r="B1251" s="65" t="s">
        <v>750</v>
      </c>
      <c r="C1251" s="65" t="s">
        <v>98</v>
      </c>
      <c r="D1251" s="65" t="str">
        <f>vlookup(C1251,'Classificação p pessoal'!F:G,2,false)</f>
        <v>NP</v>
      </c>
      <c r="E1251" s="65" t="s">
        <v>159</v>
      </c>
      <c r="F1251" s="83">
        <v>0.6666666666666666</v>
      </c>
      <c r="G1251" s="83">
        <v>0.7083333333333334</v>
      </c>
      <c r="H1251" s="83">
        <v>0.041666666666666664</v>
      </c>
      <c r="I1251" s="84">
        <v>44442.0</v>
      </c>
      <c r="J1251" s="65" t="b">
        <v>1</v>
      </c>
      <c r="K1251" s="65"/>
      <c r="L1251" s="85" t="b">
        <f>IF(VLOOKUP(C1251,Projetos!A:L,12,false)=TRUE,TRUE,FALSE)</f>
        <v>1</v>
      </c>
      <c r="M1251" s="74">
        <v>34.7706987012987</v>
      </c>
      <c r="N1251" s="74">
        <f t="shared" si="1"/>
        <v>34.7706987</v>
      </c>
      <c r="O1251" s="74" t="b">
        <v>1</v>
      </c>
    </row>
    <row r="1252" hidden="1">
      <c r="A1252" s="82"/>
      <c r="B1252" s="65" t="s">
        <v>750</v>
      </c>
      <c r="C1252" s="65" t="s">
        <v>98</v>
      </c>
      <c r="D1252" s="65" t="str">
        <f>vlookup(C1252,'Classificação p pessoal'!F:G,2,false)</f>
        <v>NP</v>
      </c>
      <c r="E1252" s="65" t="s">
        <v>159</v>
      </c>
      <c r="F1252" s="83">
        <v>0.375</v>
      </c>
      <c r="G1252" s="83">
        <v>0.5</v>
      </c>
      <c r="H1252" s="83">
        <v>0.125</v>
      </c>
      <c r="I1252" s="84">
        <v>44445.0</v>
      </c>
      <c r="J1252" s="65" t="b">
        <v>1</v>
      </c>
      <c r="K1252" s="65"/>
      <c r="L1252" s="85" t="b">
        <f>IF(VLOOKUP(C1252,Projetos!A:L,12,false)=TRUE,TRUE,FALSE)</f>
        <v>1</v>
      </c>
      <c r="M1252" s="74">
        <v>34.7706987012987</v>
      </c>
      <c r="N1252" s="74">
        <f t="shared" si="1"/>
        <v>104.3120961</v>
      </c>
      <c r="O1252" s="74" t="b">
        <v>1</v>
      </c>
    </row>
    <row r="1253" hidden="1">
      <c r="A1253" s="82"/>
      <c r="B1253" s="65" t="s">
        <v>750</v>
      </c>
      <c r="C1253" s="65" t="s">
        <v>85</v>
      </c>
      <c r="D1253" s="65" t="str">
        <f>vlookup(C1253,'Classificação p pessoal'!F:G,2,false)</f>
        <v>NP</v>
      </c>
      <c r="E1253" s="65" t="s">
        <v>159</v>
      </c>
      <c r="F1253" s="83">
        <v>0.5833333333333334</v>
      </c>
      <c r="G1253" s="83">
        <v>0.6666666666666666</v>
      </c>
      <c r="H1253" s="83">
        <v>0.08333333333333333</v>
      </c>
      <c r="I1253" s="84">
        <v>44445.0</v>
      </c>
      <c r="J1253" s="65" t="b">
        <v>1</v>
      </c>
      <c r="K1253" s="65"/>
      <c r="L1253" s="85" t="b">
        <f>IF(VLOOKUP(C1253,Projetos!A:L,12,false)=TRUE,TRUE,FALSE)</f>
        <v>1</v>
      </c>
      <c r="M1253" s="74">
        <v>34.7706987012987</v>
      </c>
      <c r="N1253" s="74">
        <f t="shared" si="1"/>
        <v>69.5413974</v>
      </c>
      <c r="O1253" s="74" t="b">
        <v>1</v>
      </c>
    </row>
    <row r="1254" hidden="1">
      <c r="A1254" s="82"/>
      <c r="B1254" s="65" t="s">
        <v>750</v>
      </c>
      <c r="C1254" s="65" t="s">
        <v>91</v>
      </c>
      <c r="D1254" s="65" t="str">
        <f>vlookup(C1254,'Classificação p pessoal'!F:G,2,false)</f>
        <v>NP</v>
      </c>
      <c r="E1254" s="65" t="s">
        <v>159</v>
      </c>
      <c r="F1254" s="83">
        <v>0.4166666666666667</v>
      </c>
      <c r="G1254" s="83">
        <v>0.5</v>
      </c>
      <c r="H1254" s="83">
        <v>0.08333333333333333</v>
      </c>
      <c r="I1254" s="84">
        <v>44448.0</v>
      </c>
      <c r="J1254" s="65" t="b">
        <v>1</v>
      </c>
      <c r="K1254" s="65"/>
      <c r="L1254" s="85" t="b">
        <f>IF(VLOOKUP(C1254,Projetos!A:L,12,false)=TRUE,TRUE,FALSE)</f>
        <v>1</v>
      </c>
      <c r="M1254" s="74">
        <v>34.7706987012987</v>
      </c>
      <c r="N1254" s="74">
        <f t="shared" si="1"/>
        <v>69.5413974</v>
      </c>
      <c r="O1254" s="74" t="b">
        <v>1</v>
      </c>
    </row>
    <row r="1255" hidden="1">
      <c r="A1255" s="82"/>
      <c r="B1255" s="65" t="s">
        <v>750</v>
      </c>
      <c r="C1255" s="65" t="s">
        <v>85</v>
      </c>
      <c r="D1255" s="65" t="str">
        <f>vlookup(C1255,'Classificação p pessoal'!F:G,2,false)</f>
        <v>NP</v>
      </c>
      <c r="E1255" s="65" t="s">
        <v>159</v>
      </c>
      <c r="F1255" s="83">
        <v>0.375</v>
      </c>
      <c r="G1255" s="83">
        <v>0.4583333333333333</v>
      </c>
      <c r="H1255" s="83">
        <v>0.08333333333333333</v>
      </c>
      <c r="I1255" s="84">
        <v>44449.0</v>
      </c>
      <c r="J1255" s="65" t="b">
        <v>1</v>
      </c>
      <c r="K1255" s="65"/>
      <c r="L1255" s="85" t="b">
        <f>IF(VLOOKUP(C1255,Projetos!A:L,12,false)=TRUE,TRUE,FALSE)</f>
        <v>1</v>
      </c>
      <c r="M1255" s="74">
        <v>34.7706987012987</v>
      </c>
      <c r="N1255" s="74">
        <f t="shared" si="1"/>
        <v>69.5413974</v>
      </c>
      <c r="O1255" s="74" t="b">
        <v>1</v>
      </c>
    </row>
    <row r="1256" hidden="1">
      <c r="A1256" s="82"/>
      <c r="B1256" s="65" t="s">
        <v>750</v>
      </c>
      <c r="C1256" s="65" t="s">
        <v>98</v>
      </c>
      <c r="D1256" s="65" t="str">
        <f>vlookup(C1256,'Classificação p pessoal'!F:G,2,false)</f>
        <v>NP</v>
      </c>
      <c r="E1256" s="65" t="s">
        <v>159</v>
      </c>
      <c r="F1256" s="83">
        <v>0.625</v>
      </c>
      <c r="G1256" s="83">
        <v>0.7083333333333334</v>
      </c>
      <c r="H1256" s="83">
        <v>0.08333333333333333</v>
      </c>
      <c r="I1256" s="84">
        <v>44449.0</v>
      </c>
      <c r="J1256" s="65" t="b">
        <v>1</v>
      </c>
      <c r="K1256" s="65"/>
      <c r="L1256" s="85" t="b">
        <f>IF(VLOOKUP(C1256,Projetos!A:L,12,false)=TRUE,TRUE,FALSE)</f>
        <v>1</v>
      </c>
      <c r="M1256" s="74">
        <v>34.7706987012987</v>
      </c>
      <c r="N1256" s="74">
        <f t="shared" si="1"/>
        <v>69.5413974</v>
      </c>
      <c r="O1256" s="74" t="b">
        <v>1</v>
      </c>
    </row>
    <row r="1257" hidden="1">
      <c r="A1257" s="82"/>
      <c r="B1257" s="65" t="s">
        <v>750</v>
      </c>
      <c r="C1257" s="65" t="s">
        <v>85</v>
      </c>
      <c r="D1257" s="65" t="str">
        <f>vlookup(C1257,'Classificação p pessoal'!F:G,2,false)</f>
        <v>NP</v>
      </c>
      <c r="E1257" s="65" t="s">
        <v>159</v>
      </c>
      <c r="F1257" s="83">
        <v>0.4166666666666667</v>
      </c>
      <c r="G1257" s="83">
        <v>0.4583333333333333</v>
      </c>
      <c r="H1257" s="83">
        <v>0.041666666666666664</v>
      </c>
      <c r="I1257" s="84">
        <v>44453.0</v>
      </c>
      <c r="J1257" s="65" t="b">
        <v>1</v>
      </c>
      <c r="K1257" s="65"/>
      <c r="L1257" s="85" t="b">
        <f>IF(VLOOKUP(C1257,Projetos!A:L,12,false)=TRUE,TRUE,FALSE)</f>
        <v>1</v>
      </c>
      <c r="M1257" s="74">
        <v>34.7706987012987</v>
      </c>
      <c r="N1257" s="74">
        <f t="shared" si="1"/>
        <v>34.7706987</v>
      </c>
      <c r="O1257" s="74" t="b">
        <v>1</v>
      </c>
    </row>
    <row r="1258" hidden="1">
      <c r="A1258" s="82"/>
      <c r="B1258" s="65" t="s">
        <v>750</v>
      </c>
      <c r="C1258" s="65" t="s">
        <v>98</v>
      </c>
      <c r="D1258" s="65" t="str">
        <f>vlookup(C1258,'Classificação p pessoal'!F:G,2,false)</f>
        <v>NP</v>
      </c>
      <c r="E1258" s="65" t="s">
        <v>159</v>
      </c>
      <c r="F1258" s="83">
        <v>0.5833333333333334</v>
      </c>
      <c r="G1258" s="83">
        <v>0.6666666666666666</v>
      </c>
      <c r="H1258" s="83">
        <v>0.08333333333333333</v>
      </c>
      <c r="I1258" s="84">
        <v>44453.0</v>
      </c>
      <c r="J1258" s="65" t="b">
        <v>1</v>
      </c>
      <c r="K1258" s="65"/>
      <c r="L1258" s="85" t="b">
        <f>IF(VLOOKUP(C1258,Projetos!A:L,12,false)=TRUE,TRUE,FALSE)</f>
        <v>1</v>
      </c>
      <c r="M1258" s="74">
        <v>34.7706987012987</v>
      </c>
      <c r="N1258" s="74">
        <f t="shared" si="1"/>
        <v>69.5413974</v>
      </c>
      <c r="O1258" s="74" t="b">
        <v>1</v>
      </c>
    </row>
    <row r="1259" hidden="1">
      <c r="A1259" s="82"/>
      <c r="B1259" s="65" t="s">
        <v>750</v>
      </c>
      <c r="C1259" s="65" t="s">
        <v>98</v>
      </c>
      <c r="D1259" s="65" t="str">
        <f>vlookup(C1259,'Classificação p pessoal'!F:G,2,false)</f>
        <v>NP</v>
      </c>
      <c r="E1259" s="65" t="s">
        <v>159</v>
      </c>
      <c r="F1259" s="83">
        <v>0.375</v>
      </c>
      <c r="G1259" s="83">
        <v>0.4583333333333333</v>
      </c>
      <c r="H1259" s="83">
        <v>0.08333333333333333</v>
      </c>
      <c r="I1259" s="84">
        <v>44454.0</v>
      </c>
      <c r="J1259" s="65" t="b">
        <v>1</v>
      </c>
      <c r="K1259" s="65"/>
      <c r="L1259" s="85" t="b">
        <f>IF(VLOOKUP(C1259,Projetos!A:L,12,false)=TRUE,TRUE,FALSE)</f>
        <v>1</v>
      </c>
      <c r="M1259" s="74">
        <v>34.7706987012987</v>
      </c>
      <c r="N1259" s="74">
        <f t="shared" si="1"/>
        <v>69.5413974</v>
      </c>
      <c r="O1259" s="74" t="b">
        <v>1</v>
      </c>
    </row>
    <row r="1260" hidden="1">
      <c r="A1260" s="82"/>
      <c r="B1260" s="65" t="s">
        <v>750</v>
      </c>
      <c r="C1260" s="65" t="s">
        <v>98</v>
      </c>
      <c r="D1260" s="65" t="str">
        <f>vlookup(C1260,'Classificação p pessoal'!F:G,2,false)</f>
        <v>NP</v>
      </c>
      <c r="E1260" s="65" t="s">
        <v>159</v>
      </c>
      <c r="F1260" s="83">
        <v>0.5833333333333334</v>
      </c>
      <c r="G1260" s="83">
        <v>0.6666666666666666</v>
      </c>
      <c r="H1260" s="83">
        <v>0.08333333333333333</v>
      </c>
      <c r="I1260" s="84">
        <v>44455.0</v>
      </c>
      <c r="J1260" s="65" t="b">
        <v>1</v>
      </c>
      <c r="K1260" s="65"/>
      <c r="L1260" s="85" t="b">
        <f>IF(VLOOKUP(C1260,Projetos!A:L,12,false)=TRUE,TRUE,FALSE)</f>
        <v>1</v>
      </c>
      <c r="M1260" s="74">
        <v>34.7706987012987</v>
      </c>
      <c r="N1260" s="74">
        <f t="shared" si="1"/>
        <v>69.5413974</v>
      </c>
      <c r="O1260" s="74" t="b">
        <v>1</v>
      </c>
    </row>
    <row r="1261" hidden="1">
      <c r="A1261" s="82"/>
      <c r="B1261" s="65" t="s">
        <v>750</v>
      </c>
      <c r="C1261" s="65" t="s">
        <v>107</v>
      </c>
      <c r="D1261" s="65" t="str">
        <f>vlookup(C1261,'Classificação p pessoal'!F:G,2,false)</f>
        <v>NP</v>
      </c>
      <c r="E1261" s="65" t="s">
        <v>763</v>
      </c>
      <c r="F1261" s="83">
        <v>0.4166666666666667</v>
      </c>
      <c r="G1261" s="83">
        <v>0.5</v>
      </c>
      <c r="H1261" s="83">
        <v>0.08333333333333333</v>
      </c>
      <c r="I1261" s="84">
        <v>44459.0</v>
      </c>
      <c r="J1261" s="65" t="b">
        <v>1</v>
      </c>
      <c r="K1261" s="65"/>
      <c r="L1261" s="85" t="b">
        <f>IF(VLOOKUP(C1261,Projetos!A:L,12,false)=TRUE,TRUE,FALSE)</f>
        <v>1</v>
      </c>
      <c r="M1261" s="74">
        <v>34.7706987012987</v>
      </c>
      <c r="N1261" s="74">
        <f t="shared" si="1"/>
        <v>69.5413974</v>
      </c>
      <c r="O1261" s="74" t="b">
        <v>1</v>
      </c>
    </row>
    <row r="1262" hidden="1">
      <c r="A1262" s="82"/>
      <c r="B1262" s="65" t="s">
        <v>750</v>
      </c>
      <c r="C1262" s="65" t="s">
        <v>107</v>
      </c>
      <c r="D1262" s="65" t="str">
        <f>vlookup(C1262,'Classificação p pessoal'!F:G,2,false)</f>
        <v>NP</v>
      </c>
      <c r="E1262" s="65" t="s">
        <v>763</v>
      </c>
      <c r="F1262" s="83">
        <v>0.5833333333333334</v>
      </c>
      <c r="G1262" s="83">
        <v>0.75</v>
      </c>
      <c r="H1262" s="83">
        <v>0.16666666666666666</v>
      </c>
      <c r="I1262" s="84">
        <v>44460.0</v>
      </c>
      <c r="J1262" s="65" t="b">
        <v>1</v>
      </c>
      <c r="K1262" s="65"/>
      <c r="L1262" s="85" t="b">
        <f>IF(VLOOKUP(C1262,Projetos!A:L,12,false)=TRUE,TRUE,FALSE)</f>
        <v>1</v>
      </c>
      <c r="M1262" s="74">
        <v>34.7706987012987</v>
      </c>
      <c r="N1262" s="74">
        <f t="shared" si="1"/>
        <v>139.0827948</v>
      </c>
      <c r="O1262" s="74" t="b">
        <v>1</v>
      </c>
    </row>
    <row r="1263" hidden="1">
      <c r="A1263" s="82"/>
      <c r="B1263" s="65" t="s">
        <v>750</v>
      </c>
      <c r="C1263" s="65" t="s">
        <v>85</v>
      </c>
      <c r="D1263" s="65" t="str">
        <f>vlookup(C1263,'Classificação p pessoal'!F:G,2,false)</f>
        <v>NP</v>
      </c>
      <c r="E1263" s="65" t="s">
        <v>159</v>
      </c>
      <c r="F1263" s="83">
        <v>0.375</v>
      </c>
      <c r="G1263" s="83">
        <v>0.5</v>
      </c>
      <c r="H1263" s="83">
        <v>0.125</v>
      </c>
      <c r="I1263" s="84">
        <v>44461.0</v>
      </c>
      <c r="J1263" s="65" t="b">
        <v>1</v>
      </c>
      <c r="K1263" s="65"/>
      <c r="L1263" s="85" t="b">
        <f>IF(VLOOKUP(C1263,Projetos!A:L,12,false)=TRUE,TRUE,FALSE)</f>
        <v>1</v>
      </c>
      <c r="M1263" s="74">
        <v>34.7706987012987</v>
      </c>
      <c r="N1263" s="74">
        <f t="shared" si="1"/>
        <v>104.3120961</v>
      </c>
      <c r="O1263" s="74" t="b">
        <v>1</v>
      </c>
    </row>
    <row r="1264" hidden="1">
      <c r="A1264" s="82"/>
      <c r="B1264" s="65" t="s">
        <v>750</v>
      </c>
      <c r="C1264" s="65" t="s">
        <v>98</v>
      </c>
      <c r="D1264" s="65" t="str">
        <f>vlookup(C1264,'Classificação p pessoal'!F:G,2,false)</f>
        <v>NP</v>
      </c>
      <c r="E1264" s="65" t="s">
        <v>159</v>
      </c>
      <c r="F1264" s="83">
        <v>0.375</v>
      </c>
      <c r="G1264" s="83">
        <v>0.4583333333333333</v>
      </c>
      <c r="H1264" s="83">
        <v>0.08333333333333333</v>
      </c>
      <c r="I1264" s="84">
        <v>44462.0</v>
      </c>
      <c r="J1264" s="65" t="b">
        <v>1</v>
      </c>
      <c r="K1264" s="65"/>
      <c r="L1264" s="85" t="b">
        <f>IF(VLOOKUP(C1264,Projetos!A:L,12,false)=TRUE,TRUE,FALSE)</f>
        <v>1</v>
      </c>
      <c r="M1264" s="74">
        <v>34.7706987012987</v>
      </c>
      <c r="N1264" s="74">
        <f t="shared" si="1"/>
        <v>69.5413974</v>
      </c>
      <c r="O1264" s="74" t="b">
        <v>1</v>
      </c>
    </row>
    <row r="1265" hidden="1">
      <c r="A1265" s="82"/>
      <c r="B1265" s="65" t="s">
        <v>750</v>
      </c>
      <c r="C1265" s="65" t="s">
        <v>107</v>
      </c>
      <c r="D1265" s="65" t="str">
        <f>vlookup(C1265,'Classificação p pessoal'!F:G,2,false)</f>
        <v>NP</v>
      </c>
      <c r="E1265" s="65" t="s">
        <v>763</v>
      </c>
      <c r="F1265" s="83">
        <v>0.5833333333333334</v>
      </c>
      <c r="G1265" s="83">
        <v>0.7083333333333334</v>
      </c>
      <c r="H1265" s="83">
        <v>0.125</v>
      </c>
      <c r="I1265" s="84">
        <v>44462.0</v>
      </c>
      <c r="J1265" s="65" t="b">
        <v>1</v>
      </c>
      <c r="K1265" s="65"/>
      <c r="L1265" s="85" t="b">
        <f>IF(VLOOKUP(C1265,Projetos!A:L,12,false)=TRUE,TRUE,FALSE)</f>
        <v>1</v>
      </c>
      <c r="M1265" s="74">
        <v>34.7706987012987</v>
      </c>
      <c r="N1265" s="74">
        <f t="shared" si="1"/>
        <v>104.3120961</v>
      </c>
      <c r="O1265" s="74" t="b">
        <v>1</v>
      </c>
    </row>
    <row r="1266" hidden="1">
      <c r="A1266" s="82"/>
      <c r="B1266" s="65" t="s">
        <v>750</v>
      </c>
      <c r="C1266" s="65" t="s">
        <v>107</v>
      </c>
      <c r="D1266" s="65" t="str">
        <f>vlookup(C1266,'Classificação p pessoal'!F:G,2,false)</f>
        <v>NP</v>
      </c>
      <c r="E1266" s="65" t="s">
        <v>763</v>
      </c>
      <c r="F1266" s="83">
        <v>0.4166666666666667</v>
      </c>
      <c r="G1266" s="83">
        <v>0.5</v>
      </c>
      <c r="H1266" s="83">
        <v>0.08333333333333333</v>
      </c>
      <c r="I1266" s="84">
        <v>44463.0</v>
      </c>
      <c r="J1266" s="65" t="b">
        <v>1</v>
      </c>
      <c r="K1266" s="65"/>
      <c r="L1266" s="85" t="b">
        <f>IF(VLOOKUP(C1266,Projetos!A:L,12,false)=TRUE,TRUE,FALSE)</f>
        <v>1</v>
      </c>
      <c r="M1266" s="74">
        <v>34.7706987012987</v>
      </c>
      <c r="N1266" s="74">
        <f t="shared" si="1"/>
        <v>69.5413974</v>
      </c>
      <c r="O1266" s="74" t="b">
        <v>1</v>
      </c>
    </row>
    <row r="1267" hidden="1">
      <c r="A1267" s="82"/>
      <c r="B1267" s="65" t="s">
        <v>750</v>
      </c>
      <c r="C1267" s="65" t="s">
        <v>107</v>
      </c>
      <c r="D1267" s="65" t="str">
        <f>vlookup(C1267,'Classificação p pessoal'!F:G,2,false)</f>
        <v>NP</v>
      </c>
      <c r="E1267" s="65" t="s">
        <v>763</v>
      </c>
      <c r="F1267" s="83">
        <v>0.375</v>
      </c>
      <c r="G1267" s="83">
        <v>0.5416666666666666</v>
      </c>
      <c r="H1267" s="83">
        <v>0.16666666666666666</v>
      </c>
      <c r="I1267" s="84">
        <v>44466.0</v>
      </c>
      <c r="J1267" s="65" t="b">
        <v>1</v>
      </c>
      <c r="K1267" s="65"/>
      <c r="L1267" s="85" t="b">
        <f>IF(VLOOKUP(C1267,Projetos!A:L,12,false)=TRUE,TRUE,FALSE)</f>
        <v>1</v>
      </c>
      <c r="M1267" s="74">
        <v>34.7706987012987</v>
      </c>
      <c r="N1267" s="74">
        <f t="shared" si="1"/>
        <v>139.0827948</v>
      </c>
      <c r="O1267" s="74" t="b">
        <v>1</v>
      </c>
    </row>
    <row r="1268" hidden="1">
      <c r="A1268" s="82"/>
      <c r="B1268" s="65" t="s">
        <v>750</v>
      </c>
      <c r="C1268" s="65" t="s">
        <v>107</v>
      </c>
      <c r="D1268" s="65" t="str">
        <f>vlookup(C1268,'Classificação p pessoal'!F:G,2,false)</f>
        <v>NP</v>
      </c>
      <c r="E1268" s="65" t="s">
        <v>763</v>
      </c>
      <c r="F1268" s="83">
        <v>0.4166666666666667</v>
      </c>
      <c r="G1268" s="83">
        <v>0.5</v>
      </c>
      <c r="H1268" s="83">
        <v>0.08333333333333333</v>
      </c>
      <c r="I1268" s="84">
        <v>44467.0</v>
      </c>
      <c r="J1268" s="65" t="b">
        <v>1</v>
      </c>
      <c r="K1268" s="65"/>
      <c r="L1268" s="85" t="b">
        <f>IF(VLOOKUP(C1268,Projetos!A:L,12,false)=TRUE,TRUE,FALSE)</f>
        <v>1</v>
      </c>
      <c r="M1268" s="74">
        <v>34.7706987012987</v>
      </c>
      <c r="N1268" s="74">
        <f t="shared" si="1"/>
        <v>69.5413974</v>
      </c>
      <c r="O1268" s="74" t="b">
        <v>1</v>
      </c>
    </row>
    <row r="1269" hidden="1">
      <c r="A1269" s="82"/>
      <c r="B1269" s="65" t="s">
        <v>750</v>
      </c>
      <c r="C1269" s="65" t="s">
        <v>115</v>
      </c>
      <c r="D1269" s="65" t="str">
        <f>vlookup(C1269,'Classificação p pessoal'!F:G,2,false)</f>
        <v>NP</v>
      </c>
      <c r="E1269" s="65" t="s">
        <v>763</v>
      </c>
      <c r="F1269" s="83">
        <v>0.5416666666666666</v>
      </c>
      <c r="G1269" s="83">
        <v>0.625</v>
      </c>
      <c r="H1269" s="83">
        <v>0.08333333333333333</v>
      </c>
      <c r="I1269" s="84">
        <v>44467.0</v>
      </c>
      <c r="J1269" s="65" t="b">
        <v>1</v>
      </c>
      <c r="K1269" s="65"/>
      <c r="L1269" s="85" t="b">
        <f>IF(VLOOKUP(C1269,Projetos!A:L,12,false)=TRUE,TRUE,FALSE)</f>
        <v>1</v>
      </c>
      <c r="M1269" s="74">
        <v>34.7706987012987</v>
      </c>
      <c r="N1269" s="74">
        <f t="shared" si="1"/>
        <v>69.5413974</v>
      </c>
      <c r="O1269" s="74" t="b">
        <v>1</v>
      </c>
    </row>
    <row r="1270" hidden="1">
      <c r="A1270" s="82"/>
      <c r="B1270" s="65" t="s">
        <v>750</v>
      </c>
      <c r="C1270" s="65" t="s">
        <v>107</v>
      </c>
      <c r="D1270" s="65" t="str">
        <f>vlookup(C1270,'Classificação p pessoal'!F:G,2,false)</f>
        <v>NP</v>
      </c>
      <c r="E1270" s="65" t="s">
        <v>763</v>
      </c>
      <c r="F1270" s="83">
        <v>0.375</v>
      </c>
      <c r="G1270" s="83">
        <v>0.5</v>
      </c>
      <c r="H1270" s="83">
        <v>0.125</v>
      </c>
      <c r="I1270" s="84">
        <v>44468.0</v>
      </c>
      <c r="J1270" s="65" t="b">
        <v>1</v>
      </c>
      <c r="K1270" s="65"/>
      <c r="L1270" s="85" t="b">
        <f>IF(VLOOKUP(C1270,Projetos!A:L,12,false)=TRUE,TRUE,FALSE)</f>
        <v>1</v>
      </c>
      <c r="M1270" s="74">
        <v>34.7706987012987</v>
      </c>
      <c r="N1270" s="74">
        <f t="shared" si="1"/>
        <v>104.3120961</v>
      </c>
      <c r="O1270" s="74" t="b">
        <v>1</v>
      </c>
    </row>
    <row r="1271" hidden="1">
      <c r="A1271" s="82"/>
      <c r="B1271" s="65" t="s">
        <v>750</v>
      </c>
      <c r="C1271" s="65" t="s">
        <v>115</v>
      </c>
      <c r="D1271" s="65" t="str">
        <f>vlookup(C1271,'Classificação p pessoal'!F:G,2,false)</f>
        <v>NP</v>
      </c>
      <c r="E1271" s="65" t="s">
        <v>763</v>
      </c>
      <c r="F1271" s="83">
        <v>0.5833333333333334</v>
      </c>
      <c r="G1271" s="83">
        <v>0.7083333333333334</v>
      </c>
      <c r="H1271" s="83">
        <v>0.125</v>
      </c>
      <c r="I1271" s="84">
        <v>44468.0</v>
      </c>
      <c r="J1271" s="65" t="b">
        <v>1</v>
      </c>
      <c r="K1271" s="65"/>
      <c r="L1271" s="85" t="b">
        <f>IF(VLOOKUP(C1271,Projetos!A:L,12,false)=TRUE,TRUE,FALSE)</f>
        <v>1</v>
      </c>
      <c r="M1271" s="74">
        <v>34.7706987012987</v>
      </c>
      <c r="N1271" s="74">
        <f t="shared" si="1"/>
        <v>104.3120961</v>
      </c>
      <c r="O1271" s="74" t="b">
        <v>1</v>
      </c>
    </row>
    <row r="1272" hidden="1">
      <c r="A1272" s="82"/>
      <c r="B1272" s="65" t="s">
        <v>750</v>
      </c>
      <c r="C1272" s="65" t="s">
        <v>107</v>
      </c>
      <c r="D1272" s="65" t="str">
        <f>vlookup(C1272,'Classificação p pessoal'!F:G,2,false)</f>
        <v>NP</v>
      </c>
      <c r="E1272" s="65" t="s">
        <v>763</v>
      </c>
      <c r="F1272" s="83">
        <v>0.375</v>
      </c>
      <c r="G1272" s="83">
        <v>0.5</v>
      </c>
      <c r="H1272" s="83">
        <v>0.125</v>
      </c>
      <c r="I1272" s="84">
        <v>44469.0</v>
      </c>
      <c r="J1272" s="65" t="b">
        <v>1</v>
      </c>
      <c r="K1272" s="65"/>
      <c r="L1272" s="85" t="b">
        <f>IF(VLOOKUP(C1272,Projetos!A:L,12,false)=TRUE,TRUE,FALSE)</f>
        <v>1</v>
      </c>
      <c r="M1272" s="74">
        <v>34.7706987012987</v>
      </c>
      <c r="N1272" s="74">
        <f t="shared" si="1"/>
        <v>104.3120961</v>
      </c>
      <c r="O1272" s="74" t="b">
        <v>1</v>
      </c>
    </row>
    <row r="1273" hidden="1">
      <c r="A1273" s="82"/>
      <c r="B1273" s="65" t="s">
        <v>750</v>
      </c>
      <c r="C1273" s="65" t="s">
        <v>115</v>
      </c>
      <c r="D1273" s="65" t="str">
        <f>vlookup(C1273,'Classificação p pessoal'!F:G,2,false)</f>
        <v>NP</v>
      </c>
      <c r="E1273" s="65" t="s">
        <v>763</v>
      </c>
      <c r="F1273" s="83">
        <v>0.5833333333333334</v>
      </c>
      <c r="G1273" s="83">
        <v>0.7083333333333334</v>
      </c>
      <c r="H1273" s="83">
        <v>0.125</v>
      </c>
      <c r="I1273" s="84">
        <v>44469.0</v>
      </c>
      <c r="J1273" s="65" t="b">
        <v>1</v>
      </c>
      <c r="K1273" s="65"/>
      <c r="L1273" s="85" t="b">
        <f>IF(VLOOKUP(C1273,Projetos!A:L,12,false)=TRUE,TRUE,FALSE)</f>
        <v>1</v>
      </c>
      <c r="M1273" s="74">
        <v>34.7706987012987</v>
      </c>
      <c r="N1273" s="74">
        <f t="shared" si="1"/>
        <v>104.3120961</v>
      </c>
      <c r="O1273" s="74" t="b">
        <v>1</v>
      </c>
    </row>
    <row r="1274" hidden="1">
      <c r="A1274" s="82"/>
      <c r="B1274" s="65" t="s">
        <v>750</v>
      </c>
      <c r="C1274" s="65" t="s">
        <v>85</v>
      </c>
      <c r="D1274" s="65" t="str">
        <f>vlookup(C1274,'Classificação p pessoal'!F:G,2,false)</f>
        <v>NP</v>
      </c>
      <c r="E1274" s="65" t="s">
        <v>159</v>
      </c>
      <c r="F1274" s="83">
        <v>0.4166666666666667</v>
      </c>
      <c r="G1274" s="83">
        <v>0.5</v>
      </c>
      <c r="H1274" s="83">
        <v>0.08333333333333333</v>
      </c>
      <c r="I1274" s="84">
        <v>44470.0</v>
      </c>
      <c r="J1274" s="65" t="b">
        <v>1</v>
      </c>
      <c r="K1274" s="65"/>
      <c r="L1274" s="85" t="b">
        <f>IF(VLOOKUP(C1274,Projetos!A:L,12,false)=TRUE,TRUE,FALSE)</f>
        <v>1</v>
      </c>
      <c r="M1274" s="74">
        <v>34.7706987012987</v>
      </c>
      <c r="N1274" s="74">
        <f t="shared" si="1"/>
        <v>69.5413974</v>
      </c>
      <c r="O1274" s="74" t="b">
        <v>1</v>
      </c>
    </row>
    <row r="1275" hidden="1">
      <c r="A1275" s="82"/>
      <c r="B1275" s="65" t="s">
        <v>750</v>
      </c>
      <c r="C1275" s="65" t="s">
        <v>98</v>
      </c>
      <c r="D1275" s="65" t="str">
        <f>vlookup(C1275,'Classificação p pessoal'!F:G,2,false)</f>
        <v>NP</v>
      </c>
      <c r="E1275" s="65" t="s">
        <v>159</v>
      </c>
      <c r="F1275" s="83">
        <v>0.5833333333333334</v>
      </c>
      <c r="G1275" s="83">
        <v>0.6666666666666666</v>
      </c>
      <c r="H1275" s="83">
        <v>0.08333333333333333</v>
      </c>
      <c r="I1275" s="84">
        <v>44470.0</v>
      </c>
      <c r="J1275" s="65" t="b">
        <v>1</v>
      </c>
      <c r="K1275" s="65"/>
      <c r="L1275" s="85" t="b">
        <f>IF(VLOOKUP(C1275,Projetos!A:L,12,false)=TRUE,TRUE,FALSE)</f>
        <v>1</v>
      </c>
      <c r="M1275" s="74">
        <v>34.7706987012987</v>
      </c>
      <c r="N1275" s="74">
        <f t="shared" si="1"/>
        <v>69.5413974</v>
      </c>
      <c r="O1275" s="74" t="b">
        <v>1</v>
      </c>
    </row>
    <row r="1276" hidden="1">
      <c r="A1276" s="82"/>
      <c r="B1276" s="65" t="s">
        <v>750</v>
      </c>
      <c r="C1276" s="65" t="s">
        <v>98</v>
      </c>
      <c r="D1276" s="65" t="str">
        <f>vlookup(C1276,'Classificação p pessoal'!F:G,2,false)</f>
        <v>NP</v>
      </c>
      <c r="E1276" s="65" t="s">
        <v>159</v>
      </c>
      <c r="F1276" s="83">
        <v>0.5416666666666666</v>
      </c>
      <c r="G1276" s="83">
        <v>0.6666666666666666</v>
      </c>
      <c r="H1276" s="83">
        <v>0.125</v>
      </c>
      <c r="I1276" s="84">
        <v>44473.0</v>
      </c>
      <c r="J1276" s="65" t="b">
        <v>1</v>
      </c>
      <c r="K1276" s="65"/>
      <c r="L1276" s="85" t="b">
        <f>IF(VLOOKUP(C1276,Projetos!A:L,12,false)=TRUE,TRUE,FALSE)</f>
        <v>1</v>
      </c>
      <c r="M1276" s="74">
        <v>34.7706987012987</v>
      </c>
      <c r="N1276" s="74">
        <f t="shared" si="1"/>
        <v>104.3120961</v>
      </c>
      <c r="O1276" s="74" t="b">
        <v>1</v>
      </c>
    </row>
    <row r="1277" hidden="1">
      <c r="A1277" s="82"/>
      <c r="B1277" s="65" t="s">
        <v>750</v>
      </c>
      <c r="C1277" s="65" t="s">
        <v>98</v>
      </c>
      <c r="D1277" s="65" t="str">
        <f>vlookup(C1277,'Classificação p pessoal'!F:G,2,false)</f>
        <v>NP</v>
      </c>
      <c r="E1277" s="65" t="s">
        <v>159</v>
      </c>
      <c r="F1277" s="83">
        <v>0.5416666666666666</v>
      </c>
      <c r="G1277" s="83">
        <v>0.625</v>
      </c>
      <c r="H1277" s="83">
        <v>0.08333333333333333</v>
      </c>
      <c r="I1277" s="84">
        <v>44474.0</v>
      </c>
      <c r="J1277" s="65" t="b">
        <v>1</v>
      </c>
      <c r="K1277" s="65"/>
      <c r="L1277" s="85" t="b">
        <f>IF(VLOOKUP(C1277,Projetos!A:L,12,false)=TRUE,TRUE,FALSE)</f>
        <v>1</v>
      </c>
      <c r="M1277" s="74">
        <v>34.7706987012987</v>
      </c>
      <c r="N1277" s="74">
        <f t="shared" si="1"/>
        <v>69.5413974</v>
      </c>
      <c r="O1277" s="74" t="b">
        <v>1</v>
      </c>
    </row>
    <row r="1278" hidden="1">
      <c r="A1278" s="82"/>
      <c r="B1278" s="65" t="s">
        <v>750</v>
      </c>
      <c r="C1278" s="65" t="s">
        <v>102</v>
      </c>
      <c r="D1278" s="65" t="str">
        <f>vlookup(C1278,'Classificação p pessoal'!F:G,2,false)</f>
        <v>NP</v>
      </c>
      <c r="E1278" s="65" t="s">
        <v>762</v>
      </c>
      <c r="F1278" s="83">
        <v>0.7083333333333334</v>
      </c>
      <c r="G1278" s="83">
        <v>0.75</v>
      </c>
      <c r="H1278" s="83">
        <v>0.041666666666666664</v>
      </c>
      <c r="I1278" s="84">
        <v>44475.0</v>
      </c>
      <c r="J1278" s="65" t="b">
        <v>1</v>
      </c>
      <c r="K1278" s="65"/>
      <c r="L1278" s="85" t="b">
        <f>IF(VLOOKUP(C1278,Projetos!A:L,12,false)=TRUE,TRUE,FALSE)</f>
        <v>1</v>
      </c>
      <c r="M1278" s="74">
        <v>34.7706987012987</v>
      </c>
      <c r="N1278" s="74">
        <f t="shared" si="1"/>
        <v>34.7706987</v>
      </c>
      <c r="O1278" s="74" t="b">
        <v>1</v>
      </c>
    </row>
    <row r="1279" hidden="1">
      <c r="A1279" s="82"/>
      <c r="B1279" s="65" t="s">
        <v>750</v>
      </c>
      <c r="C1279" s="65" t="s">
        <v>91</v>
      </c>
      <c r="D1279" s="65" t="str">
        <f>vlookup(C1279,'Classificação p pessoal'!F:G,2,false)</f>
        <v>NP</v>
      </c>
      <c r="E1279" s="65" t="s">
        <v>159</v>
      </c>
      <c r="F1279" s="83">
        <v>0.5833333333333334</v>
      </c>
      <c r="G1279" s="83">
        <v>0.7083333333333334</v>
      </c>
      <c r="H1279" s="83">
        <v>0.125</v>
      </c>
      <c r="I1279" s="84">
        <v>44475.0</v>
      </c>
      <c r="J1279" s="65" t="b">
        <v>1</v>
      </c>
      <c r="K1279" s="65"/>
      <c r="L1279" s="85" t="b">
        <f>IF(VLOOKUP(C1279,Projetos!A:L,12,false)=TRUE,TRUE,FALSE)</f>
        <v>1</v>
      </c>
      <c r="M1279" s="74">
        <v>34.7706987012987</v>
      </c>
      <c r="N1279" s="74">
        <f t="shared" si="1"/>
        <v>104.3120961</v>
      </c>
      <c r="O1279" s="74" t="b">
        <v>1</v>
      </c>
    </row>
    <row r="1280" hidden="1">
      <c r="A1280" s="82"/>
      <c r="B1280" s="65" t="s">
        <v>750</v>
      </c>
      <c r="C1280" s="65" t="s">
        <v>98</v>
      </c>
      <c r="D1280" s="65" t="str">
        <f>vlookup(C1280,'Classificação p pessoal'!F:G,2,false)</f>
        <v>NP</v>
      </c>
      <c r="E1280" s="65" t="s">
        <v>159</v>
      </c>
      <c r="F1280" s="83">
        <v>0.375</v>
      </c>
      <c r="G1280" s="83">
        <v>0.4583333333333333</v>
      </c>
      <c r="H1280" s="83">
        <v>0.08333333333333333</v>
      </c>
      <c r="I1280" s="84">
        <v>44475.0</v>
      </c>
      <c r="J1280" s="65" t="b">
        <v>1</v>
      </c>
      <c r="K1280" s="65"/>
      <c r="L1280" s="85" t="b">
        <f>IF(VLOOKUP(C1280,Projetos!A:L,12,false)=TRUE,TRUE,FALSE)</f>
        <v>1</v>
      </c>
      <c r="M1280" s="74">
        <v>34.7706987012987</v>
      </c>
      <c r="N1280" s="74">
        <f t="shared" si="1"/>
        <v>69.5413974</v>
      </c>
      <c r="O1280" s="74" t="b">
        <v>1</v>
      </c>
    </row>
    <row r="1281" hidden="1">
      <c r="A1281" s="82"/>
      <c r="B1281" s="65" t="s">
        <v>750</v>
      </c>
      <c r="C1281" s="65" t="s">
        <v>91</v>
      </c>
      <c r="D1281" s="65" t="str">
        <f>vlookup(C1281,'Classificação p pessoal'!F:G,2,false)</f>
        <v>NP</v>
      </c>
      <c r="E1281" s="65" t="s">
        <v>159</v>
      </c>
      <c r="F1281" s="83">
        <v>0.375</v>
      </c>
      <c r="G1281" s="83">
        <v>0.4166666666666667</v>
      </c>
      <c r="H1281" s="83">
        <v>0.041666666666666664</v>
      </c>
      <c r="I1281" s="84">
        <v>44476.0</v>
      </c>
      <c r="J1281" s="65" t="b">
        <v>1</v>
      </c>
      <c r="K1281" s="65"/>
      <c r="L1281" s="85" t="b">
        <f>IF(VLOOKUP(C1281,Projetos!A:L,12,false)=TRUE,TRUE,FALSE)</f>
        <v>1</v>
      </c>
      <c r="M1281" s="74">
        <v>34.7706987012987</v>
      </c>
      <c r="N1281" s="74">
        <f t="shared" si="1"/>
        <v>34.7706987</v>
      </c>
      <c r="O1281" s="74" t="b">
        <v>1</v>
      </c>
    </row>
    <row r="1282" hidden="1">
      <c r="A1282" s="82"/>
      <c r="B1282" s="65" t="s">
        <v>750</v>
      </c>
      <c r="C1282" s="65" t="s">
        <v>117</v>
      </c>
      <c r="D1282" s="65" t="str">
        <f>vlookup(C1282,'Classificação p pessoal'!F:G,2,false)</f>
        <v>NP</v>
      </c>
      <c r="E1282" s="65" t="s">
        <v>753</v>
      </c>
      <c r="F1282" s="83">
        <v>0.4583333333333333</v>
      </c>
      <c r="G1282" s="83">
        <v>0.5416666666666666</v>
      </c>
      <c r="H1282" s="83">
        <v>0.08333333333333333</v>
      </c>
      <c r="I1282" s="84">
        <v>44476.0</v>
      </c>
      <c r="J1282" s="65" t="b">
        <v>1</v>
      </c>
      <c r="K1282" s="65"/>
      <c r="L1282" s="85" t="b">
        <f>IF(VLOOKUP(C1282,Projetos!A:L,12,false)=TRUE,TRUE,FALSE)</f>
        <v>1</v>
      </c>
      <c r="M1282" s="74">
        <v>34.7706987012987</v>
      </c>
      <c r="N1282" s="74">
        <f t="shared" si="1"/>
        <v>69.5413974</v>
      </c>
      <c r="O1282" s="74" t="b">
        <v>1</v>
      </c>
    </row>
    <row r="1283" hidden="1">
      <c r="A1283" s="82"/>
      <c r="B1283" s="65" t="s">
        <v>750</v>
      </c>
      <c r="C1283" s="65" t="s">
        <v>85</v>
      </c>
      <c r="D1283" s="65" t="str">
        <f>vlookup(C1283,'Classificação p pessoal'!F:G,2,false)</f>
        <v>NP</v>
      </c>
      <c r="E1283" s="65" t="s">
        <v>159</v>
      </c>
      <c r="F1283" s="83">
        <v>0.625</v>
      </c>
      <c r="G1283" s="83">
        <v>0.75</v>
      </c>
      <c r="H1283" s="83">
        <v>0.125</v>
      </c>
      <c r="I1283" s="84">
        <v>44476.0</v>
      </c>
      <c r="J1283" s="65" t="b">
        <v>1</v>
      </c>
      <c r="K1283" s="65"/>
      <c r="L1283" s="85" t="b">
        <f>IF(VLOOKUP(C1283,Projetos!A:L,12,false)=TRUE,TRUE,FALSE)</f>
        <v>1</v>
      </c>
      <c r="M1283" s="74">
        <v>34.7706987012987</v>
      </c>
      <c r="N1283" s="74">
        <f t="shared" si="1"/>
        <v>104.3120961</v>
      </c>
      <c r="O1283" s="74" t="b">
        <v>1</v>
      </c>
    </row>
    <row r="1284" hidden="1">
      <c r="A1284" s="82"/>
      <c r="B1284" s="65" t="s">
        <v>750</v>
      </c>
      <c r="C1284" s="65" t="s">
        <v>85</v>
      </c>
      <c r="D1284" s="65" t="str">
        <f>vlookup(C1284,'Classificação p pessoal'!F:G,2,false)</f>
        <v>NP</v>
      </c>
      <c r="E1284" s="65" t="s">
        <v>159</v>
      </c>
      <c r="F1284" s="83">
        <v>0.5833333333333334</v>
      </c>
      <c r="G1284" s="83">
        <v>0.7083333333333334</v>
      </c>
      <c r="H1284" s="83">
        <v>0.125</v>
      </c>
      <c r="I1284" s="84">
        <v>44477.0</v>
      </c>
      <c r="J1284" s="65" t="b">
        <v>1</v>
      </c>
      <c r="K1284" s="65"/>
      <c r="L1284" s="85" t="b">
        <f>IF(VLOOKUP(C1284,Projetos!A:L,12,false)=TRUE,TRUE,FALSE)</f>
        <v>1</v>
      </c>
      <c r="M1284" s="74">
        <v>34.7706987012987</v>
      </c>
      <c r="N1284" s="74">
        <f t="shared" si="1"/>
        <v>104.3120961</v>
      </c>
      <c r="O1284" s="74" t="b">
        <v>1</v>
      </c>
    </row>
    <row r="1285" hidden="1">
      <c r="A1285" s="82"/>
      <c r="B1285" s="65" t="s">
        <v>750</v>
      </c>
      <c r="C1285" s="65" t="s">
        <v>91</v>
      </c>
      <c r="D1285" s="65" t="str">
        <f>vlookup(C1285,'Classificação p pessoal'!F:G,2,false)</f>
        <v>NP</v>
      </c>
      <c r="E1285" s="65" t="s">
        <v>159</v>
      </c>
      <c r="F1285" s="83">
        <v>0.4166666666666667</v>
      </c>
      <c r="G1285" s="83">
        <v>0.5</v>
      </c>
      <c r="H1285" s="83">
        <v>0.08333333333333333</v>
      </c>
      <c r="I1285" s="84">
        <v>44480.0</v>
      </c>
      <c r="J1285" s="65" t="b">
        <v>1</v>
      </c>
      <c r="K1285" s="65"/>
      <c r="L1285" s="85" t="b">
        <f>IF(VLOOKUP(C1285,Projetos!A:L,12,false)=TRUE,TRUE,FALSE)</f>
        <v>1</v>
      </c>
      <c r="M1285" s="74">
        <v>34.7706987012987</v>
      </c>
      <c r="N1285" s="74">
        <f t="shared" si="1"/>
        <v>69.5413974</v>
      </c>
      <c r="O1285" s="74" t="b">
        <v>1</v>
      </c>
    </row>
    <row r="1286" hidden="1">
      <c r="A1286" s="82"/>
      <c r="B1286" s="65" t="s">
        <v>750</v>
      </c>
      <c r="C1286" s="65" t="s">
        <v>98</v>
      </c>
      <c r="D1286" s="65" t="str">
        <f>vlookup(C1286,'Classificação p pessoal'!F:G,2,false)</f>
        <v>NP</v>
      </c>
      <c r="E1286" s="65" t="s">
        <v>159</v>
      </c>
      <c r="F1286" s="83">
        <v>0.5833333333333334</v>
      </c>
      <c r="G1286" s="83">
        <v>0.7083333333333334</v>
      </c>
      <c r="H1286" s="83">
        <v>0.125</v>
      </c>
      <c r="I1286" s="84">
        <v>44480.0</v>
      </c>
      <c r="J1286" s="65" t="b">
        <v>1</v>
      </c>
      <c r="K1286" s="65"/>
      <c r="L1286" s="85" t="b">
        <f>IF(VLOOKUP(C1286,Projetos!A:L,12,false)=TRUE,TRUE,FALSE)</f>
        <v>1</v>
      </c>
      <c r="M1286" s="74">
        <v>34.7706987012987</v>
      </c>
      <c r="N1286" s="74">
        <f t="shared" si="1"/>
        <v>104.3120961</v>
      </c>
      <c r="O1286" s="74" t="b">
        <v>1</v>
      </c>
    </row>
    <row r="1287" hidden="1">
      <c r="A1287" s="82"/>
      <c r="B1287" s="65" t="s">
        <v>750</v>
      </c>
      <c r="C1287" s="65" t="s">
        <v>126</v>
      </c>
      <c r="D1287" s="65" t="str">
        <f>vlookup(C1287,'Classificação p pessoal'!F:G,2,false)</f>
        <v>NP</v>
      </c>
      <c r="E1287" s="65" t="s">
        <v>753</v>
      </c>
      <c r="F1287" s="83">
        <v>0.375</v>
      </c>
      <c r="G1287" s="83">
        <v>0.4583333333333333</v>
      </c>
      <c r="H1287" s="83">
        <v>0.08333333333333333</v>
      </c>
      <c r="I1287" s="84">
        <v>44483.0</v>
      </c>
      <c r="J1287" s="65" t="b">
        <v>1</v>
      </c>
      <c r="K1287" s="65"/>
      <c r="L1287" s="85" t="b">
        <f>IF(VLOOKUP(C1287,Projetos!A:L,12,false)=TRUE,TRUE,FALSE)</f>
        <v>1</v>
      </c>
      <c r="M1287" s="74">
        <v>34.7706987012987</v>
      </c>
      <c r="N1287" s="74">
        <f t="shared" si="1"/>
        <v>69.5413974</v>
      </c>
      <c r="O1287" s="74" t="b">
        <v>1</v>
      </c>
    </row>
    <row r="1288" hidden="1">
      <c r="A1288" s="82"/>
      <c r="B1288" s="65" t="s">
        <v>750</v>
      </c>
      <c r="C1288" s="65" t="s">
        <v>98</v>
      </c>
      <c r="D1288" s="65" t="str">
        <f>vlookup(C1288,'Classificação p pessoal'!F:G,2,false)</f>
        <v>NP</v>
      </c>
      <c r="E1288" s="65" t="s">
        <v>159</v>
      </c>
      <c r="F1288" s="83">
        <v>0.4166666666666667</v>
      </c>
      <c r="G1288" s="83">
        <v>0.5</v>
      </c>
      <c r="H1288" s="83">
        <v>0.08333333333333333</v>
      </c>
      <c r="I1288" s="84">
        <v>44484.0</v>
      </c>
      <c r="J1288" s="65" t="b">
        <v>1</v>
      </c>
      <c r="K1288" s="65"/>
      <c r="L1288" s="85" t="b">
        <f>IF(VLOOKUP(C1288,Projetos!A:L,12,false)=TRUE,TRUE,FALSE)</f>
        <v>1</v>
      </c>
      <c r="M1288" s="74">
        <v>34.7706987012987</v>
      </c>
      <c r="N1288" s="74">
        <f t="shared" si="1"/>
        <v>69.5413974</v>
      </c>
      <c r="O1288" s="74" t="b">
        <v>1</v>
      </c>
    </row>
    <row r="1289" hidden="1">
      <c r="A1289" s="82"/>
      <c r="B1289" s="65" t="s">
        <v>750</v>
      </c>
      <c r="C1289" s="65" t="s">
        <v>98</v>
      </c>
      <c r="D1289" s="65" t="str">
        <f>vlookup(C1289,'Classificação p pessoal'!F:G,2,false)</f>
        <v>NP</v>
      </c>
      <c r="E1289" s="65" t="s">
        <v>159</v>
      </c>
      <c r="F1289" s="83">
        <v>0.5833333333333334</v>
      </c>
      <c r="G1289" s="83">
        <v>0.75</v>
      </c>
      <c r="H1289" s="83">
        <v>0.16666666666666666</v>
      </c>
      <c r="I1289" s="84">
        <v>44487.0</v>
      </c>
      <c r="J1289" s="65" t="b">
        <v>1</v>
      </c>
      <c r="K1289" s="65"/>
      <c r="L1289" s="85" t="b">
        <f>IF(VLOOKUP(C1289,Projetos!A:L,12,false)=TRUE,TRUE,FALSE)</f>
        <v>1</v>
      </c>
      <c r="M1289" s="74">
        <v>34.7706987012987</v>
      </c>
      <c r="N1289" s="74">
        <f t="shared" si="1"/>
        <v>139.0827948</v>
      </c>
      <c r="O1289" s="74" t="b">
        <v>1</v>
      </c>
    </row>
    <row r="1290" hidden="1">
      <c r="A1290" s="82"/>
      <c r="B1290" s="65" t="s">
        <v>750</v>
      </c>
      <c r="C1290" s="65" t="s">
        <v>118</v>
      </c>
      <c r="D1290" s="65"/>
      <c r="E1290" s="65" t="s">
        <v>756</v>
      </c>
      <c r="F1290" s="83">
        <v>0.375</v>
      </c>
      <c r="G1290" s="83">
        <v>0.5</v>
      </c>
      <c r="H1290" s="83">
        <v>0.125</v>
      </c>
      <c r="I1290" s="84">
        <v>44488.0</v>
      </c>
      <c r="J1290" s="65" t="b">
        <v>0</v>
      </c>
      <c r="K1290" s="65" t="s">
        <v>150</v>
      </c>
      <c r="L1290" s="85" t="b">
        <f>IF(VLOOKUP(C1290,Projetos!A:L,12,false)=TRUE,TRUE,FALSE)</f>
        <v>1</v>
      </c>
      <c r="M1290" s="74">
        <v>34.7706987012987</v>
      </c>
      <c r="N1290" s="74">
        <f t="shared" si="1"/>
        <v>0</v>
      </c>
      <c r="O1290" s="74" t="b">
        <v>1</v>
      </c>
    </row>
    <row r="1291" hidden="1">
      <c r="A1291" s="82"/>
      <c r="B1291" s="65" t="s">
        <v>750</v>
      </c>
      <c r="C1291" s="65" t="s">
        <v>110</v>
      </c>
      <c r="D1291" s="65"/>
      <c r="E1291" s="65" t="s">
        <v>768</v>
      </c>
      <c r="F1291" s="83">
        <v>0.5833333333333334</v>
      </c>
      <c r="G1291" s="83">
        <v>0.6666666666666666</v>
      </c>
      <c r="H1291" s="83">
        <v>0.08333333333333333</v>
      </c>
      <c r="I1291" s="84">
        <v>44488.0</v>
      </c>
      <c r="J1291" s="65" t="b">
        <v>0</v>
      </c>
      <c r="K1291" s="65"/>
      <c r="L1291" s="85" t="b">
        <f>IF(VLOOKUP(C1291,Projetos!A:L,12,false)=TRUE,TRUE,FALSE)</f>
        <v>0</v>
      </c>
      <c r="M1291" s="74">
        <v>34.7706987012987</v>
      </c>
      <c r="N1291" s="74">
        <f t="shared" si="1"/>
        <v>0</v>
      </c>
      <c r="O1291" s="74" t="b">
        <v>0</v>
      </c>
    </row>
    <row r="1292" hidden="1">
      <c r="A1292" s="82"/>
      <c r="B1292" s="65" t="s">
        <v>750</v>
      </c>
      <c r="C1292" s="65" t="s">
        <v>98</v>
      </c>
      <c r="D1292" s="65" t="str">
        <f>vlookup(C1292,'Classificação p pessoal'!F:G,2,false)</f>
        <v>NP</v>
      </c>
      <c r="E1292" s="65" t="s">
        <v>159</v>
      </c>
      <c r="F1292" s="83">
        <v>0.4166666666666667</v>
      </c>
      <c r="G1292" s="83">
        <v>0.5</v>
      </c>
      <c r="H1292" s="83">
        <v>0.08333333333333333</v>
      </c>
      <c r="I1292" s="84">
        <v>44489.0</v>
      </c>
      <c r="J1292" s="65" t="b">
        <v>1</v>
      </c>
      <c r="K1292" s="65"/>
      <c r="L1292" s="85" t="b">
        <f>IF(VLOOKUP(C1292,Projetos!A:L,12,false)=TRUE,TRUE,FALSE)</f>
        <v>1</v>
      </c>
      <c r="M1292" s="74">
        <v>34.7706987012987</v>
      </c>
      <c r="N1292" s="74">
        <f t="shared" si="1"/>
        <v>69.5413974</v>
      </c>
      <c r="O1292" s="74" t="b">
        <v>1</v>
      </c>
    </row>
    <row r="1293" hidden="1">
      <c r="A1293" s="82"/>
      <c r="B1293" s="65" t="s">
        <v>750</v>
      </c>
      <c r="C1293" s="65" t="s">
        <v>98</v>
      </c>
      <c r="D1293" s="65" t="str">
        <f>vlookup(C1293,'Classificação p pessoal'!F:G,2,false)</f>
        <v>NP</v>
      </c>
      <c r="E1293" s="65" t="s">
        <v>159</v>
      </c>
      <c r="F1293" s="83">
        <v>0.4166666666666667</v>
      </c>
      <c r="G1293" s="83">
        <v>0.5</v>
      </c>
      <c r="H1293" s="83">
        <v>0.08333333333333333</v>
      </c>
      <c r="I1293" s="84">
        <v>44489.0</v>
      </c>
      <c r="J1293" s="65" t="b">
        <v>1</v>
      </c>
      <c r="K1293" s="65"/>
      <c r="L1293" s="85" t="b">
        <f>IF(VLOOKUP(C1293,Projetos!A:L,12,false)=TRUE,TRUE,FALSE)</f>
        <v>1</v>
      </c>
      <c r="M1293" s="74">
        <v>34.7706987012987</v>
      </c>
      <c r="N1293" s="74">
        <f t="shared" si="1"/>
        <v>69.5413974</v>
      </c>
      <c r="O1293" s="74" t="b">
        <v>1</v>
      </c>
    </row>
    <row r="1294" hidden="1">
      <c r="A1294" s="82"/>
      <c r="B1294" s="65" t="s">
        <v>750</v>
      </c>
      <c r="C1294" s="65" t="s">
        <v>118</v>
      </c>
      <c r="D1294" s="65"/>
      <c r="E1294" s="65" t="s">
        <v>756</v>
      </c>
      <c r="F1294" s="83">
        <v>0.5833333333333334</v>
      </c>
      <c r="G1294" s="83">
        <v>0.6666666666666666</v>
      </c>
      <c r="H1294" s="83">
        <v>0.08333333333333333</v>
      </c>
      <c r="I1294" s="84">
        <v>44489.0</v>
      </c>
      <c r="J1294" s="65" t="b">
        <v>0</v>
      </c>
      <c r="K1294" s="65" t="s">
        <v>150</v>
      </c>
      <c r="L1294" s="85" t="b">
        <f>IF(VLOOKUP(C1294,Projetos!A:L,12,false)=TRUE,TRUE,FALSE)</f>
        <v>1</v>
      </c>
      <c r="M1294" s="74">
        <v>34.7706987012987</v>
      </c>
      <c r="N1294" s="74">
        <f t="shared" si="1"/>
        <v>0</v>
      </c>
      <c r="O1294" s="74" t="b">
        <v>1</v>
      </c>
    </row>
    <row r="1295" hidden="1">
      <c r="A1295" s="82"/>
      <c r="B1295" s="65" t="s">
        <v>750</v>
      </c>
      <c r="C1295" s="65" t="s">
        <v>100</v>
      </c>
      <c r="D1295" s="65" t="str">
        <f>vlookup(C1295,'Classificação p pessoal'!F:G,2,false)</f>
        <v>NP</v>
      </c>
      <c r="E1295" s="65" t="s">
        <v>159</v>
      </c>
      <c r="F1295" s="83">
        <v>0.5416666666666666</v>
      </c>
      <c r="G1295" s="83">
        <v>0.7083333333333334</v>
      </c>
      <c r="H1295" s="83">
        <v>0.16666666666666666</v>
      </c>
      <c r="I1295" s="84">
        <v>44490.0</v>
      </c>
      <c r="J1295" s="65" t="b">
        <v>1</v>
      </c>
      <c r="K1295" s="65"/>
      <c r="L1295" s="85" t="b">
        <f>IF(VLOOKUP(C1295,Projetos!A:L,12,false)=TRUE,TRUE,FALSE)</f>
        <v>1</v>
      </c>
      <c r="M1295" s="74">
        <v>34.7706987012987</v>
      </c>
      <c r="N1295" s="74">
        <f t="shared" si="1"/>
        <v>139.0827948</v>
      </c>
      <c r="O1295" s="74" t="b">
        <v>1</v>
      </c>
    </row>
    <row r="1296" hidden="1">
      <c r="A1296" s="82"/>
      <c r="B1296" s="65" t="s">
        <v>750</v>
      </c>
      <c r="C1296" s="65" t="s">
        <v>110</v>
      </c>
      <c r="D1296" s="65"/>
      <c r="E1296" s="65" t="s">
        <v>768</v>
      </c>
      <c r="F1296" s="83">
        <v>0.3541666666666667</v>
      </c>
      <c r="G1296" s="83">
        <v>0.375</v>
      </c>
      <c r="H1296" s="83">
        <v>0.020833333333333332</v>
      </c>
      <c r="I1296" s="84">
        <v>44491.0</v>
      </c>
      <c r="J1296" s="65" t="b">
        <v>0</v>
      </c>
      <c r="K1296" s="65"/>
      <c r="L1296" s="85" t="b">
        <f>IF(VLOOKUP(C1296,Projetos!A:L,12,false)=TRUE,TRUE,FALSE)</f>
        <v>0</v>
      </c>
      <c r="M1296" s="74">
        <v>34.7706987012987</v>
      </c>
      <c r="N1296" s="74">
        <f t="shared" si="1"/>
        <v>0</v>
      </c>
      <c r="O1296" s="74" t="b">
        <v>0</v>
      </c>
    </row>
    <row r="1297" hidden="1">
      <c r="A1297" s="82"/>
      <c r="B1297" s="65" t="s">
        <v>750</v>
      </c>
      <c r="C1297" s="65" t="s">
        <v>99</v>
      </c>
      <c r="D1297" s="65" t="str">
        <f>vlookup(C1297,'Classificação p pessoal'!F:G,2,false)</f>
        <v>NP</v>
      </c>
      <c r="E1297" s="65" t="s">
        <v>159</v>
      </c>
      <c r="F1297" s="83">
        <v>0.375</v>
      </c>
      <c r="G1297" s="83">
        <v>0.4583333333333333</v>
      </c>
      <c r="H1297" s="83">
        <v>0.08333333333333333</v>
      </c>
      <c r="I1297" s="84">
        <v>44491.0</v>
      </c>
      <c r="J1297" s="65" t="b">
        <v>1</v>
      </c>
      <c r="K1297" s="65"/>
      <c r="L1297" s="85" t="b">
        <f>IF(VLOOKUP(C1297,Projetos!A:L,12,false)=TRUE,TRUE,FALSE)</f>
        <v>1</v>
      </c>
      <c r="M1297" s="74">
        <v>34.7706987012987</v>
      </c>
      <c r="N1297" s="74">
        <f t="shared" si="1"/>
        <v>69.5413974</v>
      </c>
      <c r="O1297" s="74" t="b">
        <v>1</v>
      </c>
    </row>
    <row r="1298" hidden="1">
      <c r="A1298" s="82"/>
      <c r="B1298" s="65" t="s">
        <v>750</v>
      </c>
      <c r="C1298" s="65" t="s">
        <v>130</v>
      </c>
      <c r="D1298" s="65" t="str">
        <f>vlookup(C1298,'Classificação p pessoal'!F:G,2,false)</f>
        <v>NP</v>
      </c>
      <c r="E1298" s="65" t="s">
        <v>753</v>
      </c>
      <c r="F1298" s="83">
        <v>0.4583333333333333</v>
      </c>
      <c r="G1298" s="83">
        <v>0.5416666666666666</v>
      </c>
      <c r="H1298" s="83">
        <v>0.08333333333333333</v>
      </c>
      <c r="I1298" s="84">
        <v>44491.0</v>
      </c>
      <c r="J1298" s="65" t="b">
        <v>1</v>
      </c>
      <c r="K1298" s="65"/>
      <c r="L1298" s="85" t="b">
        <f>IF(VLOOKUP(C1298,Projetos!A:L,12,false)=TRUE,TRUE,FALSE)</f>
        <v>1</v>
      </c>
      <c r="M1298" s="74">
        <v>34.7706987012987</v>
      </c>
      <c r="N1298" s="74">
        <f t="shared" si="1"/>
        <v>69.5413974</v>
      </c>
      <c r="O1298" s="74" t="b">
        <v>1</v>
      </c>
    </row>
    <row r="1299" hidden="1">
      <c r="A1299" s="82"/>
      <c r="B1299" s="65" t="s">
        <v>750</v>
      </c>
      <c r="C1299" s="65" t="s">
        <v>118</v>
      </c>
      <c r="D1299" s="65"/>
      <c r="E1299" s="65" t="s">
        <v>756</v>
      </c>
      <c r="F1299" s="83">
        <v>0.625</v>
      </c>
      <c r="G1299" s="83">
        <v>0.75</v>
      </c>
      <c r="H1299" s="83">
        <v>0.125</v>
      </c>
      <c r="I1299" s="84">
        <v>44491.0</v>
      </c>
      <c r="J1299" s="65" t="b">
        <v>0</v>
      </c>
      <c r="K1299" s="65" t="s">
        <v>150</v>
      </c>
      <c r="L1299" s="85" t="b">
        <f>IF(VLOOKUP(C1299,Projetos!A:L,12,false)=TRUE,TRUE,FALSE)</f>
        <v>1</v>
      </c>
      <c r="M1299" s="74">
        <v>34.7706987012987</v>
      </c>
      <c r="N1299" s="74">
        <f t="shared" si="1"/>
        <v>0</v>
      </c>
      <c r="O1299" s="74" t="b">
        <v>1</v>
      </c>
    </row>
    <row r="1300" hidden="1">
      <c r="A1300" s="82"/>
      <c r="B1300" s="65" t="s">
        <v>750</v>
      </c>
      <c r="C1300" s="65" t="s">
        <v>100</v>
      </c>
      <c r="D1300" s="65" t="str">
        <f>vlookup(C1300,'Classificação p pessoal'!F:G,2,false)</f>
        <v>NP</v>
      </c>
      <c r="E1300" s="65" t="s">
        <v>159</v>
      </c>
      <c r="F1300" s="83">
        <v>0.375</v>
      </c>
      <c r="G1300" s="83">
        <v>0.4583333333333333</v>
      </c>
      <c r="H1300" s="83">
        <v>0.08333333333333333</v>
      </c>
      <c r="I1300" s="84">
        <v>44494.0</v>
      </c>
      <c r="J1300" s="65" t="b">
        <v>1</v>
      </c>
      <c r="K1300" s="65"/>
      <c r="L1300" s="85" t="b">
        <f>IF(VLOOKUP(C1300,Projetos!A:L,12,false)=TRUE,TRUE,FALSE)</f>
        <v>1</v>
      </c>
      <c r="M1300" s="74">
        <v>34.7706987012987</v>
      </c>
      <c r="N1300" s="74">
        <f t="shared" si="1"/>
        <v>69.5413974</v>
      </c>
      <c r="O1300" s="74" t="b">
        <v>1</v>
      </c>
    </row>
    <row r="1301" hidden="1">
      <c r="A1301" s="82"/>
      <c r="B1301" s="65" t="s">
        <v>750</v>
      </c>
      <c r="C1301" s="65" t="s">
        <v>130</v>
      </c>
      <c r="D1301" s="65" t="str">
        <f>vlookup(C1301,'Classificação p pessoal'!F:G,2,false)</f>
        <v>NP</v>
      </c>
      <c r="E1301" s="65" t="s">
        <v>753</v>
      </c>
      <c r="F1301" s="83">
        <v>0.4583333333333333</v>
      </c>
      <c r="G1301" s="83">
        <v>0.5</v>
      </c>
      <c r="H1301" s="83">
        <v>0.041666666666666664</v>
      </c>
      <c r="I1301" s="84">
        <v>44495.0</v>
      </c>
      <c r="J1301" s="65" t="b">
        <v>1</v>
      </c>
      <c r="K1301" s="65"/>
      <c r="L1301" s="85" t="b">
        <f>IF(VLOOKUP(C1301,Projetos!A:L,12,false)=TRUE,TRUE,FALSE)</f>
        <v>1</v>
      </c>
      <c r="M1301" s="74">
        <v>34.7706987012987</v>
      </c>
      <c r="N1301" s="74">
        <f t="shared" si="1"/>
        <v>34.7706987</v>
      </c>
      <c r="O1301" s="74" t="b">
        <v>1</v>
      </c>
    </row>
    <row r="1302" hidden="1">
      <c r="A1302" s="82"/>
      <c r="B1302" s="65" t="s">
        <v>750</v>
      </c>
      <c r="C1302" s="65" t="s">
        <v>107</v>
      </c>
      <c r="D1302" s="65" t="str">
        <f>vlookup(C1302,'Classificação p pessoal'!F:G,2,false)</f>
        <v>NP</v>
      </c>
      <c r="E1302" s="65" t="s">
        <v>763</v>
      </c>
      <c r="F1302" s="83">
        <v>0.5833333333333334</v>
      </c>
      <c r="G1302" s="83">
        <v>0.6666666666666666</v>
      </c>
      <c r="H1302" s="83">
        <v>0.08333333333333333</v>
      </c>
      <c r="I1302" s="84">
        <v>44496.0</v>
      </c>
      <c r="J1302" s="65" t="b">
        <v>1</v>
      </c>
      <c r="K1302" s="65"/>
      <c r="L1302" s="85" t="b">
        <f>IF(VLOOKUP(C1302,Projetos!A:L,12,false)=TRUE,TRUE,FALSE)</f>
        <v>1</v>
      </c>
      <c r="M1302" s="74">
        <v>34.7706987012987</v>
      </c>
      <c r="N1302" s="74">
        <f t="shared" si="1"/>
        <v>69.5413974</v>
      </c>
      <c r="O1302" s="74" t="b">
        <v>1</v>
      </c>
    </row>
    <row r="1303" hidden="1">
      <c r="A1303" s="82"/>
      <c r="B1303" s="65" t="s">
        <v>750</v>
      </c>
      <c r="C1303" s="65" t="s">
        <v>85</v>
      </c>
      <c r="D1303" s="65" t="str">
        <f>vlookup(C1303,'Classificação p pessoal'!F:G,2,false)</f>
        <v>NP</v>
      </c>
      <c r="E1303" s="65" t="s">
        <v>159</v>
      </c>
      <c r="F1303" s="83">
        <v>0.4166666666666667</v>
      </c>
      <c r="G1303" s="83">
        <v>0.5</v>
      </c>
      <c r="H1303" s="83">
        <v>0.08333333333333333</v>
      </c>
      <c r="I1303" s="84">
        <v>44497.0</v>
      </c>
      <c r="J1303" s="65" t="b">
        <v>1</v>
      </c>
      <c r="K1303" s="65"/>
      <c r="L1303" s="85" t="b">
        <f>IF(VLOOKUP(C1303,Projetos!A:L,12,false)=TRUE,TRUE,FALSE)</f>
        <v>1</v>
      </c>
      <c r="M1303" s="74">
        <v>34.7706987012987</v>
      </c>
      <c r="N1303" s="74">
        <f t="shared" si="1"/>
        <v>69.5413974</v>
      </c>
      <c r="O1303" s="74" t="b">
        <v>1</v>
      </c>
    </row>
    <row r="1304" hidden="1">
      <c r="A1304" s="82"/>
      <c r="B1304" s="65" t="s">
        <v>750</v>
      </c>
      <c r="C1304" s="65" t="s">
        <v>130</v>
      </c>
      <c r="D1304" s="65" t="str">
        <f>vlookup(C1304,'Classificação p pessoal'!F:G,2,false)</f>
        <v>NP</v>
      </c>
      <c r="E1304" s="65" t="s">
        <v>753</v>
      </c>
      <c r="F1304" s="83">
        <v>0.5833333333333334</v>
      </c>
      <c r="G1304" s="83">
        <v>0.7083333333333334</v>
      </c>
      <c r="H1304" s="83">
        <v>0.125</v>
      </c>
      <c r="I1304" s="84">
        <v>44497.0</v>
      </c>
      <c r="J1304" s="65" t="b">
        <v>1</v>
      </c>
      <c r="K1304" s="65"/>
      <c r="L1304" s="85" t="b">
        <f>IF(VLOOKUP(C1304,Projetos!A:L,12,false)=TRUE,TRUE,FALSE)</f>
        <v>1</v>
      </c>
      <c r="M1304" s="74">
        <v>34.7706987012987</v>
      </c>
      <c r="N1304" s="74">
        <f t="shared" si="1"/>
        <v>104.3120961</v>
      </c>
      <c r="O1304" s="74" t="b">
        <v>1</v>
      </c>
    </row>
    <row r="1305" hidden="1">
      <c r="A1305" s="82"/>
      <c r="B1305" s="65" t="s">
        <v>750</v>
      </c>
      <c r="C1305" s="65" t="s">
        <v>85</v>
      </c>
      <c r="D1305" s="65" t="str">
        <f>vlookup(C1305,'Classificação p pessoal'!F:G,2,false)</f>
        <v>NP</v>
      </c>
      <c r="E1305" s="65" t="s">
        <v>159</v>
      </c>
      <c r="F1305" s="83">
        <v>0.5833333333333334</v>
      </c>
      <c r="G1305" s="83">
        <v>0.75</v>
      </c>
      <c r="H1305" s="83">
        <v>0.16666666666666666</v>
      </c>
      <c r="I1305" s="84">
        <v>44498.0</v>
      </c>
      <c r="J1305" s="65" t="b">
        <v>1</v>
      </c>
      <c r="K1305" s="65"/>
      <c r="L1305" s="85" t="b">
        <f>IF(VLOOKUP(C1305,Projetos!A:L,12,false)=TRUE,TRUE,FALSE)</f>
        <v>1</v>
      </c>
      <c r="M1305" s="74">
        <v>34.7706987012987</v>
      </c>
      <c r="N1305" s="74">
        <f t="shared" si="1"/>
        <v>139.0827948</v>
      </c>
      <c r="O1305" s="74" t="b">
        <v>1</v>
      </c>
    </row>
    <row r="1306" hidden="1">
      <c r="A1306" s="82"/>
      <c r="B1306" s="65" t="s">
        <v>750</v>
      </c>
      <c r="C1306" s="65" t="s">
        <v>85</v>
      </c>
      <c r="D1306" s="65" t="str">
        <f>vlookup(C1306,'Classificação p pessoal'!F:G,2,false)</f>
        <v>NP</v>
      </c>
      <c r="E1306" s="65" t="s">
        <v>159</v>
      </c>
      <c r="F1306" s="83">
        <v>0.375</v>
      </c>
      <c r="G1306" s="83">
        <v>0.5</v>
      </c>
      <c r="H1306" s="83">
        <v>0.125</v>
      </c>
      <c r="I1306" s="84">
        <v>44503.0</v>
      </c>
      <c r="J1306" s="65" t="b">
        <v>1</v>
      </c>
      <c r="K1306" s="65"/>
      <c r="L1306" s="85" t="b">
        <f>IF(VLOOKUP(C1306,Projetos!A:L,12,false)=TRUE,TRUE,FALSE)</f>
        <v>1</v>
      </c>
      <c r="M1306" s="74">
        <v>34.7706987012987</v>
      </c>
      <c r="N1306" s="74">
        <f t="shared" si="1"/>
        <v>104.3120961</v>
      </c>
      <c r="O1306" s="74" t="b">
        <v>1</v>
      </c>
    </row>
    <row r="1307" hidden="1">
      <c r="A1307" s="82"/>
      <c r="B1307" s="65" t="s">
        <v>750</v>
      </c>
      <c r="C1307" s="65" t="s">
        <v>131</v>
      </c>
      <c r="D1307" s="65"/>
      <c r="E1307" s="65" t="s">
        <v>159</v>
      </c>
      <c r="F1307" s="83">
        <v>0.5833333333333334</v>
      </c>
      <c r="G1307" s="83">
        <v>0.6666666666666666</v>
      </c>
      <c r="H1307" s="83">
        <v>0.08333333333333333</v>
      </c>
      <c r="I1307" s="84">
        <v>44503.0</v>
      </c>
      <c r="J1307" s="65" t="b">
        <v>1</v>
      </c>
      <c r="K1307" s="65"/>
      <c r="L1307" s="85" t="b">
        <f>IF(VLOOKUP(C1307,Projetos!A:L,12,false)=TRUE,TRUE,FALSE)</f>
        <v>0</v>
      </c>
      <c r="M1307" s="74">
        <v>34.7706987012987</v>
      </c>
      <c r="N1307" s="74">
        <f t="shared" si="1"/>
        <v>0</v>
      </c>
      <c r="O1307" s="74" t="b">
        <v>0</v>
      </c>
    </row>
    <row r="1308" hidden="1">
      <c r="A1308" s="82"/>
      <c r="B1308" s="65" t="s">
        <v>750</v>
      </c>
      <c r="C1308" s="65" t="s">
        <v>107</v>
      </c>
      <c r="D1308" s="65"/>
      <c r="E1308" s="65" t="s">
        <v>756</v>
      </c>
      <c r="F1308" s="83">
        <v>0.375</v>
      </c>
      <c r="G1308" s="83">
        <v>0.5</v>
      </c>
      <c r="H1308" s="83">
        <v>0.125</v>
      </c>
      <c r="I1308" s="84">
        <v>44504.0</v>
      </c>
      <c r="J1308" s="65" t="b">
        <v>0</v>
      </c>
      <c r="K1308" s="65" t="s">
        <v>150</v>
      </c>
      <c r="L1308" s="85" t="b">
        <f>IF(VLOOKUP(C1308,Projetos!A:L,12,false)=TRUE,TRUE,FALSE)</f>
        <v>1</v>
      </c>
      <c r="M1308" s="74">
        <v>34.7706987012987</v>
      </c>
      <c r="N1308" s="74">
        <f t="shared" si="1"/>
        <v>0</v>
      </c>
      <c r="O1308" s="74" t="b">
        <v>1</v>
      </c>
    </row>
    <row r="1309" hidden="1">
      <c r="A1309" s="82"/>
      <c r="B1309" s="65" t="s">
        <v>750</v>
      </c>
      <c r="C1309" s="65" t="s">
        <v>117</v>
      </c>
      <c r="D1309" s="65" t="str">
        <f>vlookup(C1309,'Classificação p pessoal'!F:G,2,false)</f>
        <v>NP</v>
      </c>
      <c r="E1309" s="65" t="s">
        <v>753</v>
      </c>
      <c r="F1309" s="83">
        <v>0.5</v>
      </c>
      <c r="G1309" s="83">
        <v>0.625</v>
      </c>
      <c r="H1309" s="83">
        <v>0.125</v>
      </c>
      <c r="I1309" s="84">
        <v>44505.0</v>
      </c>
      <c r="J1309" s="65" t="b">
        <v>1</v>
      </c>
      <c r="K1309" s="65"/>
      <c r="L1309" s="85" t="b">
        <f>IF(VLOOKUP(C1309,Projetos!A:L,12,false)=TRUE,TRUE,FALSE)</f>
        <v>1</v>
      </c>
      <c r="M1309" s="74">
        <v>34.7706987012987</v>
      </c>
      <c r="N1309" s="74">
        <f t="shared" si="1"/>
        <v>104.3120961</v>
      </c>
      <c r="O1309" s="74" t="b">
        <v>1</v>
      </c>
    </row>
    <row r="1310" hidden="1">
      <c r="A1310" s="82"/>
      <c r="B1310" s="65" t="s">
        <v>750</v>
      </c>
      <c r="C1310" s="65" t="s">
        <v>85</v>
      </c>
      <c r="D1310" s="65" t="str">
        <f>vlookup(C1310,'Classificação p pessoal'!F:G,2,false)</f>
        <v>NP</v>
      </c>
      <c r="E1310" s="65" t="s">
        <v>159</v>
      </c>
      <c r="F1310" s="83">
        <v>0.5416666666666666</v>
      </c>
      <c r="G1310" s="83">
        <v>0.6666666666666666</v>
      </c>
      <c r="H1310" s="83">
        <v>0.125</v>
      </c>
      <c r="I1310" s="84">
        <v>44505.0</v>
      </c>
      <c r="J1310" s="65" t="b">
        <v>1</v>
      </c>
      <c r="K1310" s="65"/>
      <c r="L1310" s="85" t="b">
        <f>IF(VLOOKUP(C1310,Projetos!A:L,12,false)=TRUE,TRUE,FALSE)</f>
        <v>1</v>
      </c>
      <c r="M1310" s="74">
        <v>34.7706987012987</v>
      </c>
      <c r="N1310" s="74">
        <f t="shared" si="1"/>
        <v>104.3120961</v>
      </c>
      <c r="O1310" s="74" t="b">
        <v>1</v>
      </c>
    </row>
    <row r="1311" hidden="1">
      <c r="A1311" s="82"/>
      <c r="B1311" s="65" t="s">
        <v>750</v>
      </c>
      <c r="C1311" s="65" t="s">
        <v>85</v>
      </c>
      <c r="D1311" s="65" t="str">
        <f>vlookup(C1311,'Classificação p pessoal'!F:G,2,false)</f>
        <v>NP</v>
      </c>
      <c r="E1311" s="65" t="s">
        <v>159</v>
      </c>
      <c r="F1311" s="83">
        <v>0.5833333333333334</v>
      </c>
      <c r="G1311" s="83">
        <v>0.7083333333333334</v>
      </c>
      <c r="H1311" s="83">
        <v>0.125</v>
      </c>
      <c r="I1311" s="84">
        <v>44508.0</v>
      </c>
      <c r="J1311" s="65" t="b">
        <v>1</v>
      </c>
      <c r="K1311" s="65"/>
      <c r="L1311" s="85" t="b">
        <f>IF(VLOOKUP(C1311,Projetos!A:L,12,false)=TRUE,TRUE,FALSE)</f>
        <v>1</v>
      </c>
      <c r="M1311" s="74">
        <v>34.7706987012987</v>
      </c>
      <c r="N1311" s="74">
        <f t="shared" si="1"/>
        <v>104.3120961</v>
      </c>
      <c r="O1311" s="74" t="b">
        <v>1</v>
      </c>
    </row>
    <row r="1312" hidden="1">
      <c r="A1312" s="82"/>
      <c r="B1312" s="65" t="s">
        <v>750</v>
      </c>
      <c r="C1312" s="65" t="s">
        <v>118</v>
      </c>
      <c r="D1312" s="65"/>
      <c r="E1312" s="65" t="s">
        <v>756</v>
      </c>
      <c r="F1312" s="83">
        <v>0.4166666666666667</v>
      </c>
      <c r="G1312" s="83">
        <v>0.5</v>
      </c>
      <c r="H1312" s="83">
        <v>0.08333333333333333</v>
      </c>
      <c r="I1312" s="84">
        <v>44508.0</v>
      </c>
      <c r="J1312" s="65" t="b">
        <v>0</v>
      </c>
      <c r="K1312" s="65" t="s">
        <v>150</v>
      </c>
      <c r="L1312" s="85" t="b">
        <f>IF(VLOOKUP(C1312,Projetos!A:L,12,false)=TRUE,TRUE,FALSE)</f>
        <v>1</v>
      </c>
      <c r="M1312" s="74">
        <v>34.7706987012987</v>
      </c>
      <c r="N1312" s="74">
        <f t="shared" si="1"/>
        <v>0</v>
      </c>
      <c r="O1312" s="74" t="b">
        <v>1</v>
      </c>
    </row>
    <row r="1313" hidden="1">
      <c r="A1313" s="82"/>
      <c r="B1313" s="65" t="s">
        <v>750</v>
      </c>
      <c r="C1313" s="65" t="s">
        <v>85</v>
      </c>
      <c r="D1313" s="65" t="str">
        <f>vlookup(C1313,'Classificação p pessoal'!F:G,2,false)</f>
        <v>NP</v>
      </c>
      <c r="E1313" s="65" t="s">
        <v>159</v>
      </c>
      <c r="F1313" s="83">
        <v>0.5833333333333334</v>
      </c>
      <c r="G1313" s="83">
        <v>0.75</v>
      </c>
      <c r="H1313" s="83">
        <v>0.16666666666666666</v>
      </c>
      <c r="I1313" s="84">
        <v>44509.0</v>
      </c>
      <c r="J1313" s="65" t="b">
        <v>1</v>
      </c>
      <c r="K1313" s="65"/>
      <c r="L1313" s="85" t="b">
        <f>IF(VLOOKUP(C1313,Projetos!A:L,12,false)=TRUE,TRUE,FALSE)</f>
        <v>1</v>
      </c>
      <c r="M1313" s="74">
        <v>34.7706987012987</v>
      </c>
      <c r="N1313" s="74">
        <f t="shared" si="1"/>
        <v>139.0827948</v>
      </c>
      <c r="O1313" s="74" t="b">
        <v>1</v>
      </c>
    </row>
    <row r="1314" hidden="1">
      <c r="A1314" s="82"/>
      <c r="B1314" s="65" t="s">
        <v>750</v>
      </c>
      <c r="C1314" s="65" t="s">
        <v>118</v>
      </c>
      <c r="D1314" s="65"/>
      <c r="E1314" s="65" t="s">
        <v>756</v>
      </c>
      <c r="F1314" s="83">
        <v>0.4166666666666667</v>
      </c>
      <c r="G1314" s="83">
        <v>0.5</v>
      </c>
      <c r="H1314" s="83">
        <v>0.08333333333333333</v>
      </c>
      <c r="I1314" s="84">
        <v>44509.0</v>
      </c>
      <c r="J1314" s="65" t="b">
        <v>0</v>
      </c>
      <c r="K1314" s="65" t="s">
        <v>150</v>
      </c>
      <c r="L1314" s="85" t="b">
        <f>IF(VLOOKUP(C1314,Projetos!A:L,12,false)=TRUE,TRUE,FALSE)</f>
        <v>1</v>
      </c>
      <c r="M1314" s="74">
        <v>34.7706987012987</v>
      </c>
      <c r="N1314" s="74">
        <f t="shared" si="1"/>
        <v>0</v>
      </c>
      <c r="O1314" s="74" t="b">
        <v>1</v>
      </c>
    </row>
    <row r="1315" hidden="1">
      <c r="A1315" s="82"/>
      <c r="B1315" s="65" t="s">
        <v>750</v>
      </c>
      <c r="C1315" s="65" t="s">
        <v>117</v>
      </c>
      <c r="D1315" s="65" t="str">
        <f>vlookup(C1315,'Classificação p pessoal'!F:G,2,false)</f>
        <v>NP</v>
      </c>
      <c r="E1315" s="65" t="s">
        <v>753</v>
      </c>
      <c r="F1315" s="83">
        <v>0.4166666666666667</v>
      </c>
      <c r="G1315" s="83">
        <v>0.4583333333333333</v>
      </c>
      <c r="H1315" s="83">
        <v>0.041666666666666664</v>
      </c>
      <c r="I1315" s="84">
        <v>44510.0</v>
      </c>
      <c r="J1315" s="65" t="b">
        <v>1</v>
      </c>
      <c r="K1315" s="65"/>
      <c r="L1315" s="85" t="b">
        <f>IF(VLOOKUP(C1315,Projetos!A:L,12,false)=TRUE,TRUE,FALSE)</f>
        <v>1</v>
      </c>
      <c r="M1315" s="74">
        <v>34.7706987012987</v>
      </c>
      <c r="N1315" s="74">
        <f t="shared" si="1"/>
        <v>34.7706987</v>
      </c>
      <c r="O1315" s="74" t="b">
        <v>1</v>
      </c>
    </row>
    <row r="1316" hidden="1">
      <c r="A1316" s="82"/>
      <c r="B1316" s="65" t="s">
        <v>750</v>
      </c>
      <c r="C1316" s="65" t="s">
        <v>118</v>
      </c>
      <c r="D1316" s="65"/>
      <c r="E1316" s="65" t="s">
        <v>756</v>
      </c>
      <c r="F1316" s="83">
        <v>0.5833333333333334</v>
      </c>
      <c r="G1316" s="83">
        <v>0.6666666666666666</v>
      </c>
      <c r="H1316" s="83">
        <v>0.08333333333333333</v>
      </c>
      <c r="I1316" s="84">
        <v>44510.0</v>
      </c>
      <c r="J1316" s="65" t="b">
        <v>0</v>
      </c>
      <c r="K1316" s="65" t="s">
        <v>150</v>
      </c>
      <c r="L1316" s="85" t="b">
        <f>IF(VLOOKUP(C1316,Projetos!A:L,12,false)=TRUE,TRUE,FALSE)</f>
        <v>1</v>
      </c>
      <c r="M1316" s="74">
        <v>34.7706987012987</v>
      </c>
      <c r="N1316" s="74">
        <f t="shared" si="1"/>
        <v>0</v>
      </c>
      <c r="O1316" s="74" t="b">
        <v>1</v>
      </c>
    </row>
    <row r="1317" hidden="1">
      <c r="A1317" s="82"/>
      <c r="B1317" s="65" t="s">
        <v>750</v>
      </c>
      <c r="C1317" s="65" t="s">
        <v>85</v>
      </c>
      <c r="D1317" s="65" t="str">
        <f>vlookup(C1317,'Classificação p pessoal'!F:G,2,false)</f>
        <v>NP</v>
      </c>
      <c r="E1317" s="65" t="s">
        <v>159</v>
      </c>
      <c r="F1317" s="83">
        <v>0.5833333333333334</v>
      </c>
      <c r="G1317" s="83">
        <v>0.75</v>
      </c>
      <c r="H1317" s="83">
        <v>0.16666666666666666</v>
      </c>
      <c r="I1317" s="84">
        <v>44511.0</v>
      </c>
      <c r="J1317" s="65" t="b">
        <v>1</v>
      </c>
      <c r="K1317" s="65"/>
      <c r="L1317" s="85" t="b">
        <f>IF(VLOOKUP(C1317,Projetos!A:L,12,false)=TRUE,TRUE,FALSE)</f>
        <v>1</v>
      </c>
      <c r="M1317" s="74">
        <v>34.7706987012987</v>
      </c>
      <c r="N1317" s="74">
        <f t="shared" si="1"/>
        <v>139.0827948</v>
      </c>
      <c r="O1317" s="74" t="b">
        <v>1</v>
      </c>
    </row>
    <row r="1318" hidden="1">
      <c r="A1318" s="82"/>
      <c r="B1318" s="65" t="s">
        <v>750</v>
      </c>
      <c r="C1318" s="65" t="s">
        <v>85</v>
      </c>
      <c r="D1318" s="65" t="str">
        <f>vlookup(C1318,'Classificação p pessoal'!F:G,2,false)</f>
        <v>NP</v>
      </c>
      <c r="E1318" s="65" t="s">
        <v>159</v>
      </c>
      <c r="F1318" s="83">
        <v>0.625</v>
      </c>
      <c r="G1318" s="83">
        <v>0.75</v>
      </c>
      <c r="H1318" s="83">
        <v>0.125</v>
      </c>
      <c r="I1318" s="84">
        <v>44512.0</v>
      </c>
      <c r="J1318" s="65" t="b">
        <v>1</v>
      </c>
      <c r="K1318" s="65"/>
      <c r="L1318" s="85" t="b">
        <f>IF(VLOOKUP(C1318,Projetos!A:L,12,false)=TRUE,TRUE,FALSE)</f>
        <v>1</v>
      </c>
      <c r="M1318" s="74">
        <v>34.7706987012987</v>
      </c>
      <c r="N1318" s="74">
        <f t="shared" si="1"/>
        <v>104.3120961</v>
      </c>
      <c r="O1318" s="74" t="b">
        <v>1</v>
      </c>
    </row>
    <row r="1319" hidden="1">
      <c r="A1319" s="82"/>
      <c r="B1319" s="65" t="s">
        <v>750</v>
      </c>
      <c r="C1319" s="65" t="s">
        <v>85</v>
      </c>
      <c r="D1319" s="65" t="str">
        <f>vlookup(C1319,'Classificação p pessoal'!F:G,2,false)</f>
        <v>NP</v>
      </c>
      <c r="E1319" s="65" t="s">
        <v>159</v>
      </c>
      <c r="F1319" s="83">
        <v>0.5</v>
      </c>
      <c r="G1319" s="83">
        <v>0.75</v>
      </c>
      <c r="H1319" s="83">
        <v>0.25</v>
      </c>
      <c r="I1319" s="84">
        <v>44516.0</v>
      </c>
      <c r="J1319" s="65" t="b">
        <v>1</v>
      </c>
      <c r="K1319" s="65"/>
      <c r="L1319" s="85" t="b">
        <f>IF(VLOOKUP(C1319,Projetos!A:L,12,false)=TRUE,TRUE,FALSE)</f>
        <v>1</v>
      </c>
      <c r="M1319" s="74">
        <v>34.7706987012987</v>
      </c>
      <c r="N1319" s="74">
        <f t="shared" si="1"/>
        <v>208.6241922</v>
      </c>
      <c r="O1319" s="74" t="b">
        <v>1</v>
      </c>
    </row>
    <row r="1320" hidden="1">
      <c r="A1320" s="82"/>
      <c r="B1320" s="65" t="s">
        <v>750</v>
      </c>
      <c r="C1320" s="65" t="s">
        <v>85</v>
      </c>
      <c r="D1320" s="65" t="str">
        <f>vlookup(C1320,'Classificação p pessoal'!F:G,2,false)</f>
        <v>NP</v>
      </c>
      <c r="E1320" s="65" t="s">
        <v>159</v>
      </c>
      <c r="F1320" s="83">
        <v>0.5833333333333334</v>
      </c>
      <c r="G1320" s="83">
        <v>0.7083333333333334</v>
      </c>
      <c r="H1320" s="83">
        <v>0.125</v>
      </c>
      <c r="I1320" s="84">
        <v>44517.0</v>
      </c>
      <c r="J1320" s="65" t="b">
        <v>1</v>
      </c>
      <c r="K1320" s="65"/>
      <c r="L1320" s="85" t="b">
        <f>IF(VLOOKUP(C1320,Projetos!A:L,12,false)=TRUE,TRUE,FALSE)</f>
        <v>1</v>
      </c>
      <c r="M1320" s="74">
        <v>34.7706987012987</v>
      </c>
      <c r="N1320" s="74">
        <f t="shared" si="1"/>
        <v>104.3120961</v>
      </c>
      <c r="O1320" s="74" t="b">
        <v>1</v>
      </c>
    </row>
    <row r="1321" hidden="1">
      <c r="A1321" s="82"/>
      <c r="B1321" s="65" t="s">
        <v>750</v>
      </c>
      <c r="C1321" s="65" t="s">
        <v>100</v>
      </c>
      <c r="D1321" s="65"/>
      <c r="E1321" s="65" t="s">
        <v>769</v>
      </c>
      <c r="F1321" s="83">
        <v>0.375</v>
      </c>
      <c r="G1321" s="83">
        <v>0.5416666666666666</v>
      </c>
      <c r="H1321" s="83">
        <v>0.16666666666666666</v>
      </c>
      <c r="I1321" s="84">
        <v>44518.0</v>
      </c>
      <c r="J1321" s="65" t="b">
        <v>0</v>
      </c>
      <c r="K1321" s="65" t="s">
        <v>150</v>
      </c>
      <c r="L1321" s="85" t="b">
        <f>IF(VLOOKUP(C1321,Projetos!A:L,12,false)=TRUE,TRUE,FALSE)</f>
        <v>1</v>
      </c>
      <c r="M1321" s="74">
        <v>34.7706987012987</v>
      </c>
      <c r="N1321" s="74">
        <f t="shared" si="1"/>
        <v>0</v>
      </c>
      <c r="O1321" s="74" t="b">
        <v>1</v>
      </c>
    </row>
    <row r="1322" hidden="1">
      <c r="A1322" s="82"/>
      <c r="B1322" s="65" t="s">
        <v>750</v>
      </c>
      <c r="C1322" s="65" t="s">
        <v>85</v>
      </c>
      <c r="D1322" s="65" t="str">
        <f>vlookup(C1322,'Classificação p pessoal'!F:G,2,false)</f>
        <v>NP</v>
      </c>
      <c r="E1322" s="65" t="s">
        <v>159</v>
      </c>
      <c r="F1322" s="83">
        <v>0.625</v>
      </c>
      <c r="G1322" s="83">
        <v>0.75</v>
      </c>
      <c r="H1322" s="83">
        <v>0.125</v>
      </c>
      <c r="I1322" s="84">
        <v>44518.0</v>
      </c>
      <c r="J1322" s="65" t="b">
        <v>1</v>
      </c>
      <c r="K1322" s="65"/>
      <c r="L1322" s="85" t="b">
        <f>IF(VLOOKUP(C1322,Projetos!A:L,12,false)=TRUE,TRUE,FALSE)</f>
        <v>1</v>
      </c>
      <c r="M1322" s="74">
        <v>34.7706987012987</v>
      </c>
      <c r="N1322" s="74">
        <f t="shared" si="1"/>
        <v>104.3120961</v>
      </c>
      <c r="O1322" s="74" t="b">
        <v>1</v>
      </c>
    </row>
    <row r="1323" hidden="1">
      <c r="A1323" s="82"/>
      <c r="B1323" s="65" t="s">
        <v>750</v>
      </c>
      <c r="C1323" s="65" t="s">
        <v>100</v>
      </c>
      <c r="D1323" s="65"/>
      <c r="E1323" s="65" t="s">
        <v>769</v>
      </c>
      <c r="F1323" s="83">
        <v>0.5833333333333334</v>
      </c>
      <c r="G1323" s="83">
        <v>0.6666666666666666</v>
      </c>
      <c r="H1323" s="83">
        <v>0.08333333333333333</v>
      </c>
      <c r="I1323" s="84">
        <v>44519.0</v>
      </c>
      <c r="J1323" s="65" t="b">
        <v>0</v>
      </c>
      <c r="K1323" s="65" t="s">
        <v>150</v>
      </c>
      <c r="L1323" s="85" t="b">
        <f>IF(VLOOKUP(C1323,Projetos!A:L,12,false)=TRUE,TRUE,FALSE)</f>
        <v>1</v>
      </c>
      <c r="M1323" s="74">
        <v>34.7706987012987</v>
      </c>
      <c r="N1323" s="74">
        <f t="shared" si="1"/>
        <v>0</v>
      </c>
      <c r="O1323" s="74" t="b">
        <v>1</v>
      </c>
    </row>
    <row r="1324" hidden="1">
      <c r="A1324" s="82"/>
      <c r="B1324" s="65" t="s">
        <v>750</v>
      </c>
      <c r="C1324" s="65" t="s">
        <v>85</v>
      </c>
      <c r="D1324" s="65" t="str">
        <f>vlookup(C1324,'Classificação p pessoal'!F:G,2,false)</f>
        <v>NP</v>
      </c>
      <c r="E1324" s="65" t="s">
        <v>159</v>
      </c>
      <c r="F1324" s="83">
        <v>0.4166666666666667</v>
      </c>
      <c r="G1324" s="83">
        <v>0.5</v>
      </c>
      <c r="H1324" s="83">
        <v>0.08333333333333333</v>
      </c>
      <c r="I1324" s="84">
        <v>44522.0</v>
      </c>
      <c r="J1324" s="65" t="b">
        <v>1</v>
      </c>
      <c r="K1324" s="65"/>
      <c r="L1324" s="85" t="b">
        <f>IF(VLOOKUP(C1324,Projetos!A:L,12,false)=TRUE,TRUE,FALSE)</f>
        <v>1</v>
      </c>
      <c r="M1324" s="74">
        <v>34.7706987012987</v>
      </c>
      <c r="N1324" s="74">
        <f t="shared" si="1"/>
        <v>69.5413974</v>
      </c>
      <c r="O1324" s="74" t="b">
        <v>1</v>
      </c>
    </row>
    <row r="1325" hidden="1">
      <c r="A1325" s="82"/>
      <c r="B1325" s="65" t="s">
        <v>750</v>
      </c>
      <c r="C1325" s="65" t="s">
        <v>85</v>
      </c>
      <c r="D1325" s="65" t="str">
        <f>vlookup(C1325,'Classificação p pessoal'!F:G,2,false)</f>
        <v>NP</v>
      </c>
      <c r="E1325" s="65" t="s">
        <v>159</v>
      </c>
      <c r="F1325" s="83">
        <v>0.5833333333333334</v>
      </c>
      <c r="G1325" s="83">
        <v>0.7083333333333334</v>
      </c>
      <c r="H1325" s="83">
        <v>0.125</v>
      </c>
      <c r="I1325" s="84">
        <v>44523.0</v>
      </c>
      <c r="J1325" s="65" t="b">
        <v>1</v>
      </c>
      <c r="K1325" s="65"/>
      <c r="L1325" s="85" t="b">
        <f>IF(VLOOKUP(C1325,Projetos!A:L,12,false)=TRUE,TRUE,FALSE)</f>
        <v>1</v>
      </c>
      <c r="M1325" s="74">
        <v>34.7706987012987</v>
      </c>
      <c r="N1325" s="74">
        <f t="shared" si="1"/>
        <v>104.3120961</v>
      </c>
      <c r="O1325" s="74" t="b">
        <v>1</v>
      </c>
    </row>
    <row r="1326" hidden="1">
      <c r="A1326" s="82"/>
      <c r="B1326" s="65" t="s">
        <v>750</v>
      </c>
      <c r="C1326" s="65" t="s">
        <v>85</v>
      </c>
      <c r="D1326" s="65" t="str">
        <f>vlookup(C1326,'Classificação p pessoal'!F:G,2,false)</f>
        <v>NP</v>
      </c>
      <c r="E1326" s="65" t="s">
        <v>159</v>
      </c>
      <c r="F1326" s="83">
        <v>0.625</v>
      </c>
      <c r="G1326" s="83">
        <v>0.75</v>
      </c>
      <c r="H1326" s="83">
        <v>0.125</v>
      </c>
      <c r="I1326" s="84">
        <v>44524.0</v>
      </c>
      <c r="J1326" s="65" t="b">
        <v>1</v>
      </c>
      <c r="K1326" s="65"/>
      <c r="L1326" s="85" t="b">
        <f>IF(VLOOKUP(C1326,Projetos!A:L,12,false)=TRUE,TRUE,FALSE)</f>
        <v>1</v>
      </c>
      <c r="M1326" s="74">
        <v>34.7706987012987</v>
      </c>
      <c r="N1326" s="74">
        <f t="shared" si="1"/>
        <v>104.3120961</v>
      </c>
      <c r="O1326" s="74" t="b">
        <v>1</v>
      </c>
    </row>
    <row r="1327" hidden="1">
      <c r="A1327" s="82"/>
      <c r="B1327" s="65" t="s">
        <v>750</v>
      </c>
      <c r="C1327" s="65" t="s">
        <v>85</v>
      </c>
      <c r="D1327" s="65" t="str">
        <f>vlookup(C1327,'Classificação p pessoal'!F:G,2,false)</f>
        <v>NP</v>
      </c>
      <c r="E1327" s="65" t="s">
        <v>159</v>
      </c>
      <c r="F1327" s="83">
        <v>0.4166666666666667</v>
      </c>
      <c r="G1327" s="83">
        <v>0.5</v>
      </c>
      <c r="H1327" s="83">
        <v>0.08333333333333333</v>
      </c>
      <c r="I1327" s="84">
        <v>44525.0</v>
      </c>
      <c r="J1327" s="65" t="b">
        <v>1</v>
      </c>
      <c r="K1327" s="65"/>
      <c r="L1327" s="85" t="b">
        <f>IF(VLOOKUP(C1327,Projetos!A:L,12,false)=TRUE,TRUE,FALSE)</f>
        <v>1</v>
      </c>
      <c r="M1327" s="74">
        <v>34.7706987012987</v>
      </c>
      <c r="N1327" s="74">
        <f t="shared" si="1"/>
        <v>69.5413974</v>
      </c>
      <c r="O1327" s="74" t="b">
        <v>1</v>
      </c>
    </row>
    <row r="1328" hidden="1">
      <c r="A1328" s="82"/>
      <c r="B1328" s="65" t="s">
        <v>750</v>
      </c>
      <c r="C1328" s="65" t="s">
        <v>100</v>
      </c>
      <c r="D1328" s="65"/>
      <c r="E1328" s="65" t="s">
        <v>769</v>
      </c>
      <c r="F1328" s="83">
        <v>0.5833333333333334</v>
      </c>
      <c r="G1328" s="83">
        <v>0.7083333333333334</v>
      </c>
      <c r="H1328" s="83">
        <v>0.125</v>
      </c>
      <c r="I1328" s="84">
        <v>44525.0</v>
      </c>
      <c r="J1328" s="65" t="b">
        <v>0</v>
      </c>
      <c r="K1328" s="65" t="s">
        <v>150</v>
      </c>
      <c r="L1328" s="85" t="b">
        <f>IF(VLOOKUP(C1328,Projetos!A:L,12,false)=TRUE,TRUE,FALSE)</f>
        <v>1</v>
      </c>
      <c r="M1328" s="74">
        <v>34.7706987012987</v>
      </c>
      <c r="N1328" s="74">
        <f t="shared" si="1"/>
        <v>0</v>
      </c>
      <c r="O1328" s="74" t="b">
        <v>1</v>
      </c>
    </row>
    <row r="1329" hidden="1">
      <c r="A1329" s="82"/>
      <c r="B1329" s="65" t="s">
        <v>750</v>
      </c>
      <c r="C1329" s="65" t="s">
        <v>85</v>
      </c>
      <c r="D1329" s="65" t="str">
        <f>vlookup(C1329,'Classificação p pessoal'!F:G,2,false)</f>
        <v>NP</v>
      </c>
      <c r="E1329" s="65" t="s">
        <v>159</v>
      </c>
      <c r="F1329" s="83">
        <v>0.4166666666666667</v>
      </c>
      <c r="G1329" s="83">
        <v>0.5</v>
      </c>
      <c r="H1329" s="83">
        <v>0.08333333333333333</v>
      </c>
      <c r="I1329" s="84">
        <v>44526.0</v>
      </c>
      <c r="J1329" s="65" t="b">
        <v>1</v>
      </c>
      <c r="K1329" s="65"/>
      <c r="L1329" s="85" t="b">
        <f>IF(VLOOKUP(C1329,Projetos!A:L,12,false)=TRUE,TRUE,FALSE)</f>
        <v>1</v>
      </c>
      <c r="M1329" s="74">
        <v>34.7706987012987</v>
      </c>
      <c r="N1329" s="74">
        <f t="shared" si="1"/>
        <v>69.5413974</v>
      </c>
      <c r="O1329" s="74" t="b">
        <v>1</v>
      </c>
    </row>
    <row r="1330" hidden="1">
      <c r="A1330" s="82"/>
      <c r="B1330" s="65" t="s">
        <v>750</v>
      </c>
      <c r="C1330" s="65" t="s">
        <v>98</v>
      </c>
      <c r="D1330" s="65" t="str">
        <f>vlookup(C1330,'Classificação p pessoal'!F:G,2,false)</f>
        <v>NP</v>
      </c>
      <c r="E1330" s="65" t="s">
        <v>159</v>
      </c>
      <c r="F1330" s="83">
        <v>0.5833333333333334</v>
      </c>
      <c r="G1330" s="83">
        <v>0.6666666666666666</v>
      </c>
      <c r="H1330" s="83">
        <v>0.08333333333333333</v>
      </c>
      <c r="I1330" s="84">
        <v>44526.0</v>
      </c>
      <c r="J1330" s="65" t="b">
        <v>1</v>
      </c>
      <c r="K1330" s="65"/>
      <c r="L1330" s="85" t="b">
        <f>IF(VLOOKUP(C1330,Projetos!A:L,12,false)=TRUE,TRUE,FALSE)</f>
        <v>1</v>
      </c>
      <c r="M1330" s="74">
        <v>34.7706987012987</v>
      </c>
      <c r="N1330" s="74">
        <f t="shared" si="1"/>
        <v>69.5413974</v>
      </c>
      <c r="O1330" s="74" t="b">
        <v>1</v>
      </c>
    </row>
    <row r="1331" hidden="1">
      <c r="A1331" s="82"/>
      <c r="B1331" s="65" t="s">
        <v>750</v>
      </c>
      <c r="C1331" s="65" t="s">
        <v>100</v>
      </c>
      <c r="D1331" s="65"/>
      <c r="E1331" s="65" t="s">
        <v>769</v>
      </c>
      <c r="F1331" s="83">
        <v>0.5416666666666666</v>
      </c>
      <c r="G1331" s="83">
        <v>0.75</v>
      </c>
      <c r="H1331" s="83">
        <v>0.20833333333333334</v>
      </c>
      <c r="I1331" s="84">
        <v>44529.0</v>
      </c>
      <c r="J1331" s="65" t="b">
        <v>0</v>
      </c>
      <c r="K1331" s="65" t="s">
        <v>150</v>
      </c>
      <c r="L1331" s="85" t="b">
        <f>IF(VLOOKUP(C1331,Projetos!A:L,12,false)=TRUE,TRUE,FALSE)</f>
        <v>1</v>
      </c>
      <c r="M1331" s="74">
        <v>34.7706987012987</v>
      </c>
      <c r="N1331" s="74">
        <f t="shared" si="1"/>
        <v>0</v>
      </c>
      <c r="O1331" s="74" t="b">
        <v>1</v>
      </c>
    </row>
    <row r="1332" hidden="1">
      <c r="A1332" s="82"/>
      <c r="B1332" s="65" t="s">
        <v>750</v>
      </c>
      <c r="C1332" s="65" t="s">
        <v>100</v>
      </c>
      <c r="D1332" s="65"/>
      <c r="E1332" s="65" t="s">
        <v>769</v>
      </c>
      <c r="F1332" s="83">
        <v>0.4166666666666667</v>
      </c>
      <c r="G1332" s="83">
        <v>0.7083333333333334</v>
      </c>
      <c r="H1332" s="83">
        <v>0.2916666666666667</v>
      </c>
      <c r="I1332" s="84">
        <v>44530.0</v>
      </c>
      <c r="J1332" s="65" t="b">
        <v>0</v>
      </c>
      <c r="K1332" s="65" t="s">
        <v>150</v>
      </c>
      <c r="L1332" s="85" t="b">
        <f>IF(VLOOKUP(C1332,Projetos!A:L,12,false)=TRUE,TRUE,FALSE)</f>
        <v>1</v>
      </c>
      <c r="M1332" s="74">
        <v>34.7706987012987</v>
      </c>
      <c r="N1332" s="74">
        <f t="shared" si="1"/>
        <v>0</v>
      </c>
      <c r="O1332" s="74" t="b">
        <v>1</v>
      </c>
    </row>
    <row r="1333" hidden="1">
      <c r="A1333" s="82"/>
      <c r="B1333" s="65" t="s">
        <v>750</v>
      </c>
      <c r="C1333" s="65" t="s">
        <v>107</v>
      </c>
      <c r="D1333" s="65" t="str">
        <f>vlookup(C1333,'Classificação p pessoal'!F:G,2,false)</f>
        <v>NP</v>
      </c>
      <c r="E1333" s="65" t="s">
        <v>770</v>
      </c>
      <c r="F1333" s="83">
        <v>0.4166666666666667</v>
      </c>
      <c r="G1333" s="83">
        <v>0.5</v>
      </c>
      <c r="H1333" s="83">
        <v>0.08333333333333333</v>
      </c>
      <c r="I1333" s="84">
        <v>44533.0</v>
      </c>
      <c r="J1333" s="65" t="b">
        <v>1</v>
      </c>
      <c r="K1333" s="65"/>
      <c r="L1333" s="85" t="b">
        <f>IF(VLOOKUP(C1333,Projetos!A:L,12,false)=TRUE,TRUE,FALSE)</f>
        <v>1</v>
      </c>
      <c r="M1333" s="74">
        <v>34.7706987012987</v>
      </c>
      <c r="N1333" s="74">
        <f t="shared" si="1"/>
        <v>69.5413974</v>
      </c>
      <c r="O1333" s="74" t="b">
        <v>1</v>
      </c>
    </row>
    <row r="1334" hidden="1">
      <c r="A1334" s="82"/>
      <c r="B1334" s="65" t="s">
        <v>750</v>
      </c>
      <c r="C1334" s="65" t="s">
        <v>107</v>
      </c>
      <c r="D1334" s="65" t="str">
        <f>vlookup(C1334,'Classificação p pessoal'!F:G,2,false)</f>
        <v>NP</v>
      </c>
      <c r="E1334" s="65" t="s">
        <v>770</v>
      </c>
      <c r="F1334" s="83">
        <v>0.375</v>
      </c>
      <c r="G1334" s="83">
        <v>0.5416666666666666</v>
      </c>
      <c r="H1334" s="83">
        <v>0.16666666666666666</v>
      </c>
      <c r="I1334" s="84">
        <v>44536.0</v>
      </c>
      <c r="J1334" s="65" t="b">
        <v>1</v>
      </c>
      <c r="K1334" s="65"/>
      <c r="L1334" s="85" t="b">
        <f>IF(VLOOKUP(C1334,Projetos!A:L,12,false)=TRUE,TRUE,FALSE)</f>
        <v>1</v>
      </c>
      <c r="M1334" s="74">
        <v>34.7706987012987</v>
      </c>
      <c r="N1334" s="74">
        <f t="shared" si="1"/>
        <v>139.0827948</v>
      </c>
      <c r="O1334" s="74" t="b">
        <v>1</v>
      </c>
    </row>
    <row r="1335" hidden="1">
      <c r="A1335" s="82"/>
      <c r="B1335" s="65" t="s">
        <v>750</v>
      </c>
      <c r="C1335" s="65" t="s">
        <v>107</v>
      </c>
      <c r="D1335" s="65" t="str">
        <f>vlookup(C1335,'Classificação p pessoal'!F:G,2,false)</f>
        <v>NP</v>
      </c>
      <c r="E1335" s="65" t="s">
        <v>770</v>
      </c>
      <c r="F1335" s="83">
        <v>0.5833333333333334</v>
      </c>
      <c r="G1335" s="83">
        <v>0.75</v>
      </c>
      <c r="H1335" s="83">
        <v>0.16666666666666666</v>
      </c>
      <c r="I1335" s="84">
        <v>44537.0</v>
      </c>
      <c r="J1335" s="65" t="b">
        <v>1</v>
      </c>
      <c r="K1335" s="65"/>
      <c r="L1335" s="85" t="b">
        <f>IF(VLOOKUP(C1335,Projetos!A:L,12,false)=TRUE,TRUE,FALSE)</f>
        <v>1</v>
      </c>
      <c r="M1335" s="74">
        <v>34.7706987012987</v>
      </c>
      <c r="N1335" s="74">
        <f t="shared" si="1"/>
        <v>139.0827948</v>
      </c>
      <c r="O1335" s="74" t="b">
        <v>1</v>
      </c>
    </row>
    <row r="1336" hidden="1">
      <c r="A1336" s="82"/>
      <c r="B1336" s="65" t="s">
        <v>750</v>
      </c>
      <c r="C1336" s="65" t="s">
        <v>107</v>
      </c>
      <c r="D1336" s="65" t="str">
        <f>vlookup(C1336,'Classificação p pessoal'!F:G,2,false)</f>
        <v>NP</v>
      </c>
      <c r="E1336" s="65" t="s">
        <v>770</v>
      </c>
      <c r="F1336" s="83">
        <v>0.5416666666666666</v>
      </c>
      <c r="G1336" s="83">
        <v>0.7083333333333334</v>
      </c>
      <c r="H1336" s="83">
        <v>0.16666666666666666</v>
      </c>
      <c r="I1336" s="84">
        <v>44538.0</v>
      </c>
      <c r="J1336" s="65" t="b">
        <v>1</v>
      </c>
      <c r="K1336" s="65"/>
      <c r="L1336" s="85" t="b">
        <f>IF(VLOOKUP(C1336,Projetos!A:L,12,false)=TRUE,TRUE,FALSE)</f>
        <v>1</v>
      </c>
      <c r="M1336" s="74">
        <v>34.7706987012987</v>
      </c>
      <c r="N1336" s="74">
        <f t="shared" si="1"/>
        <v>139.0827948</v>
      </c>
      <c r="O1336" s="74" t="b">
        <v>1</v>
      </c>
    </row>
    <row r="1337" hidden="1">
      <c r="A1337" s="82"/>
      <c r="B1337" s="65" t="s">
        <v>750</v>
      </c>
      <c r="C1337" s="65" t="s">
        <v>107</v>
      </c>
      <c r="D1337" s="65" t="str">
        <f>vlookup(C1337,'Classificação p pessoal'!F:G,2,false)</f>
        <v>NP</v>
      </c>
      <c r="E1337" s="65" t="s">
        <v>770</v>
      </c>
      <c r="F1337" s="83">
        <v>0.5833333333333334</v>
      </c>
      <c r="G1337" s="83">
        <v>0.6666666666666666</v>
      </c>
      <c r="H1337" s="83">
        <v>0.08333333333333333</v>
      </c>
      <c r="I1337" s="84">
        <v>44539.0</v>
      </c>
      <c r="J1337" s="65" t="b">
        <v>1</v>
      </c>
      <c r="K1337" s="65"/>
      <c r="L1337" s="85" t="b">
        <f>IF(VLOOKUP(C1337,Projetos!A:L,12,false)=TRUE,TRUE,FALSE)</f>
        <v>1</v>
      </c>
      <c r="M1337" s="74">
        <v>34.7706987012987</v>
      </c>
      <c r="N1337" s="74">
        <f t="shared" si="1"/>
        <v>69.5413974</v>
      </c>
      <c r="O1337" s="74" t="b">
        <v>1</v>
      </c>
    </row>
    <row r="1338" hidden="1">
      <c r="A1338" s="82"/>
      <c r="B1338" s="65" t="s">
        <v>750</v>
      </c>
      <c r="C1338" s="65" t="s">
        <v>102</v>
      </c>
      <c r="D1338" s="65" t="str">
        <f>vlookup(C1338,'Classificação p pessoal'!F:G,2,false)</f>
        <v>NP</v>
      </c>
      <c r="E1338" s="65" t="s">
        <v>762</v>
      </c>
      <c r="F1338" s="83">
        <v>0.6041666666666666</v>
      </c>
      <c r="G1338" s="83">
        <v>0.6458333333333334</v>
      </c>
      <c r="H1338" s="83">
        <v>0.041666666666666664</v>
      </c>
      <c r="I1338" s="84">
        <v>44546.0</v>
      </c>
      <c r="J1338" s="65" t="b">
        <v>1</v>
      </c>
      <c r="K1338" s="65"/>
      <c r="L1338" s="85" t="b">
        <f>IF(VLOOKUP(C1338,Projetos!A:L,12,false)=TRUE,TRUE,FALSE)</f>
        <v>1</v>
      </c>
      <c r="M1338" s="74">
        <v>34.7706987012987</v>
      </c>
      <c r="N1338" s="74">
        <f t="shared" si="1"/>
        <v>34.7706987</v>
      </c>
      <c r="O1338" s="74" t="b">
        <v>1</v>
      </c>
    </row>
    <row r="1339" hidden="1">
      <c r="A1339" s="82"/>
      <c r="B1339" s="65" t="s">
        <v>750</v>
      </c>
      <c r="C1339" s="65" t="s">
        <v>85</v>
      </c>
      <c r="D1339" s="65" t="str">
        <f>vlookup(C1339,'Classificação p pessoal'!F:G,2,false)</f>
        <v>NP</v>
      </c>
      <c r="E1339" s="65" t="s">
        <v>159</v>
      </c>
      <c r="F1339" s="83">
        <v>0.6666666666666666</v>
      </c>
      <c r="G1339" s="83">
        <v>0.75</v>
      </c>
      <c r="H1339" s="83">
        <v>0.08333333333333333</v>
      </c>
      <c r="I1339" s="84">
        <v>44551.0</v>
      </c>
      <c r="J1339" s="65" t="b">
        <v>1</v>
      </c>
      <c r="K1339" s="65"/>
      <c r="L1339" s="85" t="b">
        <f>IF(VLOOKUP(C1339,Projetos!A:L,12,false)=TRUE,TRUE,FALSE)</f>
        <v>1</v>
      </c>
      <c r="M1339" s="74">
        <v>34.7706987012987</v>
      </c>
      <c r="N1339" s="74">
        <f t="shared" si="1"/>
        <v>69.5413974</v>
      </c>
      <c r="O1339" s="74" t="b">
        <v>1</v>
      </c>
    </row>
    <row r="1340" hidden="1">
      <c r="A1340" s="82"/>
      <c r="B1340" s="65" t="s">
        <v>750</v>
      </c>
      <c r="C1340" s="65" t="s">
        <v>85</v>
      </c>
      <c r="D1340" s="65" t="str">
        <f>vlookup(C1340,'Classificação p pessoal'!F:G,2,false)</f>
        <v>NP</v>
      </c>
      <c r="E1340" s="65" t="s">
        <v>159</v>
      </c>
      <c r="F1340" s="83">
        <v>0.5416666666666666</v>
      </c>
      <c r="G1340" s="83">
        <v>0.7083333333333334</v>
      </c>
      <c r="H1340" s="83">
        <v>0.16666666666666666</v>
      </c>
      <c r="I1340" s="84">
        <v>44552.0</v>
      </c>
      <c r="J1340" s="65" t="b">
        <v>1</v>
      </c>
      <c r="K1340" s="65"/>
      <c r="L1340" s="85" t="b">
        <f>IF(VLOOKUP(C1340,Projetos!A:L,12,false)=TRUE,TRUE,FALSE)</f>
        <v>1</v>
      </c>
      <c r="M1340" s="74">
        <v>34.7706987012987</v>
      </c>
      <c r="N1340" s="74">
        <f t="shared" si="1"/>
        <v>139.0827948</v>
      </c>
      <c r="O1340" s="74" t="b">
        <v>1</v>
      </c>
    </row>
    <row r="1341" hidden="1">
      <c r="A1341" s="82"/>
      <c r="B1341" s="65" t="s">
        <v>750</v>
      </c>
      <c r="C1341" s="65" t="s">
        <v>85</v>
      </c>
      <c r="D1341" s="65" t="str">
        <f>vlookup(C1341,'Classificação p pessoal'!F:G,2,false)</f>
        <v>NP</v>
      </c>
      <c r="E1341" s="65" t="s">
        <v>159</v>
      </c>
      <c r="F1341" s="83">
        <v>0.5833333333333334</v>
      </c>
      <c r="G1341" s="83">
        <v>0.75</v>
      </c>
      <c r="H1341" s="83">
        <v>0.16666666666666666</v>
      </c>
      <c r="I1341" s="84">
        <v>44553.0</v>
      </c>
      <c r="J1341" s="65" t="b">
        <v>1</v>
      </c>
      <c r="K1341" s="65"/>
      <c r="L1341" s="85" t="b">
        <f>IF(VLOOKUP(C1341,Projetos!A:L,12,false)=TRUE,TRUE,FALSE)</f>
        <v>1</v>
      </c>
      <c r="M1341" s="74">
        <v>34.7706987012987</v>
      </c>
      <c r="N1341" s="74">
        <f t="shared" si="1"/>
        <v>139.0827948</v>
      </c>
      <c r="O1341" s="74" t="b">
        <v>1</v>
      </c>
    </row>
    <row r="1342" hidden="1">
      <c r="A1342" s="82"/>
      <c r="B1342" s="65" t="s">
        <v>750</v>
      </c>
      <c r="C1342" s="65" t="s">
        <v>85</v>
      </c>
      <c r="D1342" s="65" t="str">
        <f>vlookup(C1342,'Classificação p pessoal'!F:G,2,false)</f>
        <v>NP</v>
      </c>
      <c r="E1342" s="65" t="s">
        <v>159</v>
      </c>
      <c r="F1342" s="83">
        <v>0.4166666666666667</v>
      </c>
      <c r="G1342" s="83">
        <v>0.5</v>
      </c>
      <c r="H1342" s="83">
        <v>0.08333333333333333</v>
      </c>
      <c r="I1342" s="84">
        <v>44558.0</v>
      </c>
      <c r="J1342" s="65" t="b">
        <v>1</v>
      </c>
      <c r="K1342" s="65"/>
      <c r="L1342" s="85" t="b">
        <f>IF(VLOOKUP(C1342,Projetos!A:L,12,false)=TRUE,TRUE,FALSE)</f>
        <v>1</v>
      </c>
      <c r="M1342" s="74">
        <v>34.7706987012987</v>
      </c>
      <c r="N1342" s="74">
        <f t="shared" si="1"/>
        <v>69.5413974</v>
      </c>
      <c r="O1342" s="74" t="b">
        <v>1</v>
      </c>
    </row>
    <row r="1343" hidden="1">
      <c r="A1343" s="82"/>
      <c r="B1343" s="65" t="s">
        <v>750</v>
      </c>
      <c r="C1343" s="65" t="s">
        <v>85</v>
      </c>
      <c r="D1343" s="65" t="str">
        <f>vlookup(C1343,'Classificação p pessoal'!F:G,2,false)</f>
        <v>NP</v>
      </c>
      <c r="E1343" s="65" t="s">
        <v>159</v>
      </c>
      <c r="F1343" s="83">
        <v>0.5833333333333334</v>
      </c>
      <c r="G1343" s="83">
        <v>0.7083333333333334</v>
      </c>
      <c r="H1343" s="83">
        <v>0.125</v>
      </c>
      <c r="I1343" s="84">
        <v>44559.0</v>
      </c>
      <c r="J1343" s="65" t="b">
        <v>1</v>
      </c>
      <c r="K1343" s="65"/>
      <c r="L1343" s="85" t="b">
        <f>IF(VLOOKUP(C1343,Projetos!A:L,12,false)=TRUE,TRUE,FALSE)</f>
        <v>1</v>
      </c>
      <c r="M1343" s="74">
        <v>34.7706987012987</v>
      </c>
      <c r="N1343" s="74">
        <f t="shared" si="1"/>
        <v>104.3120961</v>
      </c>
      <c r="O1343" s="74" t="b">
        <v>1</v>
      </c>
    </row>
    <row r="1344" hidden="1">
      <c r="A1344" s="82"/>
      <c r="B1344" s="65" t="s">
        <v>750</v>
      </c>
      <c r="C1344" s="65" t="s">
        <v>85</v>
      </c>
      <c r="D1344" s="65" t="str">
        <f>vlookup(C1344,'Classificação p pessoal'!F:G,2,false)</f>
        <v>NP</v>
      </c>
      <c r="E1344" s="65" t="s">
        <v>159</v>
      </c>
      <c r="F1344" s="83">
        <v>0.375</v>
      </c>
      <c r="G1344" s="83">
        <v>0.5</v>
      </c>
      <c r="H1344" s="83">
        <v>0.125</v>
      </c>
      <c r="I1344" s="84">
        <v>44560.0</v>
      </c>
      <c r="J1344" s="65" t="b">
        <v>1</v>
      </c>
      <c r="K1344" s="65"/>
      <c r="L1344" s="85" t="b">
        <f>IF(VLOOKUP(C1344,Projetos!A:L,12,false)=TRUE,TRUE,FALSE)</f>
        <v>1</v>
      </c>
      <c r="M1344" s="74">
        <v>34.7706987012987</v>
      </c>
      <c r="N1344" s="74">
        <f t="shared" si="1"/>
        <v>104.3120961</v>
      </c>
      <c r="O1344" s="74" t="b">
        <v>1</v>
      </c>
    </row>
    <row r="1345" hidden="1">
      <c r="A1345" s="82"/>
      <c r="B1345" s="65" t="s">
        <v>750</v>
      </c>
      <c r="C1345" s="65" t="s">
        <v>85</v>
      </c>
      <c r="D1345" s="65" t="str">
        <f>vlookup(C1345,'Classificação p pessoal'!F:G,2,false)</f>
        <v>NP</v>
      </c>
      <c r="E1345" s="65" t="s">
        <v>752</v>
      </c>
      <c r="F1345" s="83">
        <v>0.375</v>
      </c>
      <c r="G1345" s="83">
        <v>0.5</v>
      </c>
      <c r="H1345" s="83">
        <v>0.125</v>
      </c>
      <c r="I1345" s="84">
        <v>44231.0</v>
      </c>
      <c r="J1345" s="65" t="b">
        <v>1</v>
      </c>
      <c r="K1345" s="65"/>
      <c r="L1345" s="85" t="b">
        <f>IF(VLOOKUP(C1345,Projetos!A:L,12,false)=TRUE,TRUE,FALSE)</f>
        <v>1</v>
      </c>
      <c r="M1345" s="74">
        <v>34.7706987012987</v>
      </c>
      <c r="N1345" s="74">
        <f t="shared" si="1"/>
        <v>104.3120961</v>
      </c>
      <c r="O1345" s="74" t="b">
        <v>1</v>
      </c>
    </row>
    <row r="1346" hidden="1">
      <c r="A1346" s="82"/>
      <c r="B1346" s="65" t="s">
        <v>495</v>
      </c>
      <c r="C1346" s="65" t="s">
        <v>117</v>
      </c>
      <c r="D1346" s="65" t="str">
        <f>vlookup(C1346,'Classificação p pessoal'!F:G,2,false)</f>
        <v>NP</v>
      </c>
      <c r="E1346" s="65" t="s">
        <v>771</v>
      </c>
      <c r="F1346" s="83">
        <v>0.3958333333333333</v>
      </c>
      <c r="G1346" s="83">
        <v>0.4375</v>
      </c>
      <c r="H1346" s="83">
        <v>0.041666666666666664</v>
      </c>
      <c r="I1346" s="84">
        <v>44543.0</v>
      </c>
      <c r="J1346" s="65" t="b">
        <v>1</v>
      </c>
      <c r="K1346" s="65"/>
      <c r="L1346" s="85" t="b">
        <f>IF(VLOOKUP(C1346,Projetos!A:L,12,false)=TRUE,TRUE,FALSE)</f>
        <v>1</v>
      </c>
      <c r="M1346" s="74">
        <v>73.7079846079846</v>
      </c>
      <c r="N1346" s="74">
        <f t="shared" si="1"/>
        <v>73.70798461</v>
      </c>
      <c r="O1346" s="74" t="b">
        <v>1</v>
      </c>
    </row>
    <row r="1347" hidden="1">
      <c r="A1347" s="82"/>
      <c r="B1347" s="65" t="s">
        <v>495</v>
      </c>
      <c r="C1347" s="65" t="s">
        <v>92</v>
      </c>
      <c r="D1347" s="65" t="str">
        <f>vlookup(C1347,'Classificação p pessoal'!F:G,2,false)</f>
        <v/>
      </c>
      <c r="E1347" s="65" t="s">
        <v>772</v>
      </c>
      <c r="F1347" s="83">
        <v>0.4652777777777778</v>
      </c>
      <c r="G1347" s="83">
        <v>0.5277777777777778</v>
      </c>
      <c r="H1347" s="83">
        <v>0.0625</v>
      </c>
      <c r="I1347" s="84">
        <v>44369.0</v>
      </c>
      <c r="J1347" s="65" t="b">
        <v>1</v>
      </c>
      <c r="K1347" s="65"/>
      <c r="L1347" s="85" t="b">
        <f>IF(VLOOKUP(C1347,Projetos!A:L,12,false)=TRUE,TRUE,FALSE)</f>
        <v>1</v>
      </c>
      <c r="M1347" s="74">
        <v>73.7079846079846</v>
      </c>
      <c r="N1347" s="74">
        <f t="shared" si="1"/>
        <v>110.5619769</v>
      </c>
      <c r="O1347" s="74" t="b">
        <v>1</v>
      </c>
    </row>
    <row r="1348" hidden="1">
      <c r="A1348" s="82"/>
      <c r="B1348" s="65" t="s">
        <v>495</v>
      </c>
      <c r="C1348" s="65" t="s">
        <v>92</v>
      </c>
      <c r="D1348" s="65" t="str">
        <f>vlookup(C1348,'Classificação p pessoal'!F:G,2,false)</f>
        <v/>
      </c>
      <c r="E1348" s="65" t="s">
        <v>772</v>
      </c>
      <c r="F1348" s="83">
        <v>0.625</v>
      </c>
      <c r="G1348" s="83">
        <v>0.7083333333333334</v>
      </c>
      <c r="H1348" s="83">
        <v>0.08333333333333333</v>
      </c>
      <c r="I1348" s="84">
        <v>44370.0</v>
      </c>
      <c r="J1348" s="65" t="b">
        <v>1</v>
      </c>
      <c r="K1348" s="65"/>
      <c r="L1348" s="85" t="b">
        <f>IF(VLOOKUP(C1348,Projetos!A:L,12,false)=TRUE,TRUE,FALSE)</f>
        <v>1</v>
      </c>
      <c r="M1348" s="74">
        <v>73.7079846079846</v>
      </c>
      <c r="N1348" s="74">
        <f t="shared" si="1"/>
        <v>147.4159692</v>
      </c>
      <c r="O1348" s="74" t="b">
        <v>1</v>
      </c>
    </row>
    <row r="1349" hidden="1">
      <c r="A1349" s="82"/>
      <c r="B1349" s="65" t="s">
        <v>495</v>
      </c>
      <c r="C1349" s="65" t="s">
        <v>92</v>
      </c>
      <c r="D1349" s="65" t="str">
        <f>vlookup(C1349,'Classificação p pessoal'!F:G,2,false)</f>
        <v/>
      </c>
      <c r="E1349" s="65" t="s">
        <v>773</v>
      </c>
      <c r="F1349" s="83">
        <v>0.3541666666666667</v>
      </c>
      <c r="G1349" s="83">
        <v>0.3958333333333333</v>
      </c>
      <c r="H1349" s="83">
        <v>0.041666666666666664</v>
      </c>
      <c r="I1349" s="84">
        <v>43852.0</v>
      </c>
      <c r="J1349" s="65" t="b">
        <v>1</v>
      </c>
      <c r="K1349" s="65"/>
      <c r="L1349" s="85" t="b">
        <f>IF(VLOOKUP(C1349,Projetos!A:L,12,false)=TRUE,TRUE,FALSE)</f>
        <v>1</v>
      </c>
      <c r="M1349" s="74">
        <v>73.7079846079846</v>
      </c>
      <c r="N1349" s="74">
        <f t="shared" si="1"/>
        <v>73.70798461</v>
      </c>
      <c r="O1349" s="74" t="b">
        <v>1</v>
      </c>
    </row>
    <row r="1350" hidden="1">
      <c r="A1350" s="82"/>
      <c r="B1350" s="65" t="s">
        <v>495</v>
      </c>
      <c r="C1350" s="65" t="s">
        <v>130</v>
      </c>
      <c r="D1350" s="65" t="str">
        <f>vlookup(C1350,'Classificação p pessoal'!F:G,2,false)</f>
        <v>NP</v>
      </c>
      <c r="E1350" s="65" t="s">
        <v>774</v>
      </c>
      <c r="F1350" s="83">
        <v>0.5833333333333334</v>
      </c>
      <c r="G1350" s="83">
        <v>0.6354166666666666</v>
      </c>
      <c r="H1350" s="83">
        <v>0.052083333333333336</v>
      </c>
      <c r="I1350" s="84">
        <v>44349.0</v>
      </c>
      <c r="J1350" s="65" t="b">
        <v>1</v>
      </c>
      <c r="K1350" s="65"/>
      <c r="L1350" s="85" t="b">
        <f>IF(VLOOKUP(C1350,Projetos!A:L,12,false)=TRUE,TRUE,FALSE)</f>
        <v>1</v>
      </c>
      <c r="M1350" s="74">
        <v>73.7079846079846</v>
      </c>
      <c r="N1350" s="74">
        <f t="shared" si="1"/>
        <v>92.13498076</v>
      </c>
      <c r="O1350" s="74" t="b">
        <v>1</v>
      </c>
    </row>
    <row r="1351" hidden="1">
      <c r="A1351" s="82"/>
      <c r="B1351" s="65" t="s">
        <v>495</v>
      </c>
      <c r="C1351" s="65" t="s">
        <v>92</v>
      </c>
      <c r="D1351" s="65"/>
      <c r="E1351" s="65" t="s">
        <v>775</v>
      </c>
      <c r="F1351" s="83">
        <v>0.375</v>
      </c>
      <c r="G1351" s="83">
        <v>0.4409722222222222</v>
      </c>
      <c r="H1351" s="83">
        <v>0.06597222222222222</v>
      </c>
      <c r="I1351" s="84">
        <v>44442.0</v>
      </c>
      <c r="J1351" s="65" t="b">
        <v>0</v>
      </c>
      <c r="K1351" s="65" t="s">
        <v>150</v>
      </c>
      <c r="L1351" s="85" t="b">
        <f>IF(VLOOKUP(C1351,Projetos!A:L,12,false)=TRUE,TRUE,FALSE)</f>
        <v>1</v>
      </c>
      <c r="M1351" s="74">
        <v>73.7079846079846</v>
      </c>
      <c r="N1351" s="74">
        <f t="shared" si="1"/>
        <v>0</v>
      </c>
      <c r="O1351" s="74" t="b">
        <v>1</v>
      </c>
    </row>
    <row r="1352" hidden="1">
      <c r="A1352" s="82"/>
      <c r="B1352" s="65" t="s">
        <v>495</v>
      </c>
      <c r="C1352" s="65" t="s">
        <v>92</v>
      </c>
      <c r="D1352" s="65"/>
      <c r="E1352" s="65" t="s">
        <v>775</v>
      </c>
      <c r="F1352" s="83">
        <v>0.625</v>
      </c>
      <c r="G1352" s="83">
        <v>0.6875</v>
      </c>
      <c r="H1352" s="83">
        <v>0.0625</v>
      </c>
      <c r="I1352" s="84">
        <v>44448.0</v>
      </c>
      <c r="J1352" s="65" t="b">
        <v>0</v>
      </c>
      <c r="K1352" s="65" t="s">
        <v>150</v>
      </c>
      <c r="L1352" s="85" t="b">
        <f>IF(VLOOKUP(C1352,Projetos!A:L,12,false)=TRUE,TRUE,FALSE)</f>
        <v>1</v>
      </c>
      <c r="M1352" s="74">
        <v>73.7079846079846</v>
      </c>
      <c r="N1352" s="74">
        <f t="shared" si="1"/>
        <v>0</v>
      </c>
      <c r="O1352" s="74" t="b">
        <v>1</v>
      </c>
    </row>
    <row r="1353" hidden="1">
      <c r="A1353" s="82"/>
      <c r="B1353" s="65" t="s">
        <v>495</v>
      </c>
      <c r="C1353" s="65" t="s">
        <v>92</v>
      </c>
      <c r="D1353" s="65"/>
      <c r="E1353" s="65" t="s">
        <v>199</v>
      </c>
      <c r="F1353" s="83">
        <v>0.5729166666666666</v>
      </c>
      <c r="G1353" s="83">
        <v>0.6354166666666666</v>
      </c>
      <c r="H1353" s="83">
        <v>0.0625</v>
      </c>
      <c r="I1353" s="84">
        <v>44425.0</v>
      </c>
      <c r="J1353" s="65" t="b">
        <v>0</v>
      </c>
      <c r="K1353" s="65" t="s">
        <v>150</v>
      </c>
      <c r="L1353" s="85" t="b">
        <f>IF(VLOOKUP(C1353,Projetos!A:L,12,false)=TRUE,TRUE,FALSE)</f>
        <v>1</v>
      </c>
      <c r="M1353" s="74">
        <v>73.7079846079846</v>
      </c>
      <c r="N1353" s="74">
        <f t="shared" si="1"/>
        <v>0</v>
      </c>
      <c r="O1353" s="74" t="b">
        <v>1</v>
      </c>
    </row>
    <row r="1354" hidden="1">
      <c r="A1354" s="82"/>
      <c r="B1354" s="65" t="s">
        <v>495</v>
      </c>
      <c r="C1354" s="65" t="s">
        <v>92</v>
      </c>
      <c r="D1354" s="65"/>
      <c r="E1354" s="65" t="s">
        <v>199</v>
      </c>
      <c r="F1354" s="83">
        <v>0.6666666666666666</v>
      </c>
      <c r="G1354" s="83">
        <v>0.7083333333333334</v>
      </c>
      <c r="H1354" s="83">
        <v>0.041666666666666664</v>
      </c>
      <c r="I1354" s="84">
        <v>44519.0</v>
      </c>
      <c r="J1354" s="65" t="b">
        <v>0</v>
      </c>
      <c r="K1354" s="65" t="s">
        <v>150</v>
      </c>
      <c r="L1354" s="85" t="b">
        <f>IF(VLOOKUP(C1354,Projetos!A:L,12,false)=TRUE,TRUE,FALSE)</f>
        <v>1</v>
      </c>
      <c r="M1354" s="74">
        <v>73.7079846079846</v>
      </c>
      <c r="N1354" s="74">
        <f t="shared" si="1"/>
        <v>0</v>
      </c>
      <c r="O1354" s="74" t="b">
        <v>1</v>
      </c>
    </row>
    <row r="1355" hidden="1">
      <c r="A1355" s="82"/>
      <c r="B1355" s="65" t="s">
        <v>495</v>
      </c>
      <c r="C1355" s="65" t="s">
        <v>92</v>
      </c>
      <c r="D1355" s="65"/>
      <c r="E1355" s="65" t="s">
        <v>776</v>
      </c>
      <c r="F1355" s="83">
        <v>0.3958333333333333</v>
      </c>
      <c r="G1355" s="83">
        <v>0.4409722222222222</v>
      </c>
      <c r="H1355" s="83">
        <v>0.04513888888888889</v>
      </c>
      <c r="I1355" s="84">
        <v>44439.0</v>
      </c>
      <c r="J1355" s="65" t="b">
        <v>0</v>
      </c>
      <c r="K1355" s="65" t="s">
        <v>150</v>
      </c>
      <c r="L1355" s="85" t="b">
        <f>IF(VLOOKUP(C1355,Projetos!A:L,12,false)=TRUE,TRUE,FALSE)</f>
        <v>1</v>
      </c>
      <c r="M1355" s="74">
        <v>73.7079846079846</v>
      </c>
      <c r="N1355" s="74">
        <f t="shared" si="1"/>
        <v>0</v>
      </c>
      <c r="O1355" s="74" t="b">
        <v>1</v>
      </c>
    </row>
    <row r="1356" hidden="1">
      <c r="A1356" s="82"/>
      <c r="B1356" s="65" t="s">
        <v>495</v>
      </c>
      <c r="C1356" s="65" t="s">
        <v>92</v>
      </c>
      <c r="D1356" s="65"/>
      <c r="E1356" s="65" t="s">
        <v>777</v>
      </c>
      <c r="F1356" s="83">
        <v>0.3854166666666667</v>
      </c>
      <c r="G1356" s="83">
        <v>0.4444444444444444</v>
      </c>
      <c r="H1356" s="83">
        <v>0.059027777777777776</v>
      </c>
      <c r="I1356" s="84">
        <v>44369.0</v>
      </c>
      <c r="J1356" s="65" t="b">
        <v>0</v>
      </c>
      <c r="K1356" s="65" t="s">
        <v>187</v>
      </c>
      <c r="L1356" s="85" t="b">
        <f>IF(VLOOKUP(C1356,Projetos!A:L,12,false)=TRUE,TRUE,FALSE)</f>
        <v>1</v>
      </c>
      <c r="M1356" s="74">
        <v>73.7079846079846</v>
      </c>
      <c r="N1356" s="74">
        <f t="shared" si="1"/>
        <v>0</v>
      </c>
      <c r="O1356" s="74" t="b">
        <v>1</v>
      </c>
    </row>
    <row r="1357" hidden="1">
      <c r="A1357" s="82"/>
      <c r="B1357" s="65" t="s">
        <v>495</v>
      </c>
      <c r="C1357" s="65" t="s">
        <v>92</v>
      </c>
      <c r="D1357" s="65"/>
      <c r="E1357" s="65" t="s">
        <v>778</v>
      </c>
      <c r="F1357" s="83">
        <v>0.375</v>
      </c>
      <c r="G1357" s="83">
        <v>0.4166666666666667</v>
      </c>
      <c r="H1357" s="83">
        <v>0.041666666666666664</v>
      </c>
      <c r="I1357" s="84">
        <v>44375.0</v>
      </c>
      <c r="J1357" s="65" t="b">
        <v>0</v>
      </c>
      <c r="K1357" s="65" t="s">
        <v>150</v>
      </c>
      <c r="L1357" s="85" t="b">
        <f>IF(VLOOKUP(C1357,Projetos!A:L,12,false)=TRUE,TRUE,FALSE)</f>
        <v>1</v>
      </c>
      <c r="M1357" s="74">
        <v>73.7079846079846</v>
      </c>
      <c r="N1357" s="74">
        <f t="shared" si="1"/>
        <v>0</v>
      </c>
      <c r="O1357" s="74" t="b">
        <v>1</v>
      </c>
    </row>
    <row r="1358" hidden="1">
      <c r="A1358" s="82"/>
      <c r="B1358" s="65" t="s">
        <v>495</v>
      </c>
      <c r="C1358" s="65" t="s">
        <v>92</v>
      </c>
      <c r="D1358" s="65"/>
      <c r="E1358" s="65" t="s">
        <v>779</v>
      </c>
      <c r="F1358" s="83">
        <v>0.6666666666666666</v>
      </c>
      <c r="G1358" s="83">
        <v>0.7083333333333334</v>
      </c>
      <c r="H1358" s="83">
        <v>0.041666666666666664</v>
      </c>
      <c r="I1358" s="84">
        <v>44526.0</v>
      </c>
      <c r="J1358" s="65" t="b">
        <v>0</v>
      </c>
      <c r="K1358" s="65" t="s">
        <v>187</v>
      </c>
      <c r="L1358" s="85" t="b">
        <f>IF(VLOOKUP(C1358,Projetos!A:L,12,false)=TRUE,TRUE,FALSE)</f>
        <v>1</v>
      </c>
      <c r="M1358" s="74">
        <v>73.7079846079846</v>
      </c>
      <c r="N1358" s="74">
        <f t="shared" si="1"/>
        <v>0</v>
      </c>
      <c r="O1358" s="74" t="b">
        <v>1</v>
      </c>
    </row>
    <row r="1359" hidden="1">
      <c r="A1359" s="82"/>
      <c r="B1359" s="65" t="s">
        <v>495</v>
      </c>
      <c r="C1359" s="65" t="s">
        <v>92</v>
      </c>
      <c r="D1359" s="65" t="str">
        <f>vlookup(C1359,'Classificação p pessoal'!F:G,2,false)</f>
        <v/>
      </c>
      <c r="E1359" s="65" t="s">
        <v>780</v>
      </c>
      <c r="F1359" s="83">
        <v>0.4375</v>
      </c>
      <c r="G1359" s="83">
        <v>0.5069444444444444</v>
      </c>
      <c r="H1359" s="83">
        <v>0.06944444444444445</v>
      </c>
      <c r="I1359" s="84">
        <v>44397.0</v>
      </c>
      <c r="J1359" s="65" t="b">
        <v>1</v>
      </c>
      <c r="K1359" s="65"/>
      <c r="L1359" s="85" t="b">
        <f>IF(VLOOKUP(C1359,Projetos!A:L,12,false)=TRUE,TRUE,FALSE)</f>
        <v>1</v>
      </c>
      <c r="M1359" s="74">
        <v>73.7079846079846</v>
      </c>
      <c r="N1359" s="74">
        <f t="shared" si="1"/>
        <v>122.846641</v>
      </c>
      <c r="O1359" s="74" t="b">
        <v>1</v>
      </c>
    </row>
    <row r="1360">
      <c r="A1360" s="82"/>
      <c r="B1360" s="65" t="s">
        <v>495</v>
      </c>
      <c r="C1360" s="65" t="s">
        <v>108</v>
      </c>
      <c r="D1360" s="65" t="str">
        <f>vlookup(C1360,'Classificação p pessoal'!F:G,2,false)</f>
        <v>NP</v>
      </c>
      <c r="E1360" s="65" t="s">
        <v>781</v>
      </c>
      <c r="F1360" s="83">
        <v>0.625</v>
      </c>
      <c r="G1360" s="83">
        <v>0.6458333333333334</v>
      </c>
      <c r="H1360" s="83">
        <v>0.020833333333333332</v>
      </c>
      <c r="I1360" s="84">
        <v>44467.0</v>
      </c>
      <c r="J1360" s="65" t="b">
        <v>1</v>
      </c>
      <c r="K1360" s="65"/>
      <c r="L1360" s="85" t="b">
        <f>IF(VLOOKUP(C1360,Projetos!A:L,12,false)=TRUE,TRUE,FALSE)</f>
        <v>1</v>
      </c>
      <c r="M1360" s="74">
        <v>73.7079846079846</v>
      </c>
      <c r="N1360" s="74">
        <f t="shared" si="1"/>
        <v>36.8539923</v>
      </c>
      <c r="O1360" s="74" t="b">
        <v>1</v>
      </c>
    </row>
    <row r="1361" hidden="1">
      <c r="A1361" s="82"/>
      <c r="B1361" s="65" t="s">
        <v>495</v>
      </c>
      <c r="C1361" s="65" t="s">
        <v>117</v>
      </c>
      <c r="D1361" s="65"/>
      <c r="E1361" s="65" t="s">
        <v>782</v>
      </c>
      <c r="F1361" s="83">
        <v>0.5</v>
      </c>
      <c r="G1361" s="83">
        <v>0.5208333333333334</v>
      </c>
      <c r="H1361" s="83">
        <v>0.020833333333333332</v>
      </c>
      <c r="I1361" s="84">
        <v>44386.0</v>
      </c>
      <c r="J1361" s="65" t="b">
        <v>0</v>
      </c>
      <c r="K1361" s="65"/>
      <c r="L1361" s="85" t="b">
        <f>IF(VLOOKUP(C1361,Projetos!A:L,12,false)=TRUE,TRUE,FALSE)</f>
        <v>1</v>
      </c>
      <c r="M1361" s="74">
        <v>73.7079846079846</v>
      </c>
      <c r="N1361" s="74">
        <f t="shared" si="1"/>
        <v>0</v>
      </c>
      <c r="O1361" s="74" t="b">
        <v>1</v>
      </c>
    </row>
    <row r="1362" hidden="1">
      <c r="A1362" s="82"/>
      <c r="B1362" s="65" t="s">
        <v>495</v>
      </c>
      <c r="C1362" s="65" t="s">
        <v>100</v>
      </c>
      <c r="D1362" s="65" t="str">
        <f>vlookup(C1362,'Classificação p pessoal'!F:G,2,false)</f>
        <v>NP</v>
      </c>
      <c r="E1362" s="65" t="s">
        <v>783</v>
      </c>
      <c r="F1362" s="83">
        <v>0.4375</v>
      </c>
      <c r="G1362" s="83">
        <v>0.4583333333333333</v>
      </c>
      <c r="H1362" s="83">
        <v>0.020833333333333332</v>
      </c>
      <c r="I1362" s="84">
        <v>44424.0</v>
      </c>
      <c r="J1362" s="65" t="b">
        <v>1</v>
      </c>
      <c r="K1362" s="65"/>
      <c r="L1362" s="85" t="b">
        <f>IF(VLOOKUP(C1362,Projetos!A:L,12,false)=TRUE,TRUE,FALSE)</f>
        <v>1</v>
      </c>
      <c r="M1362" s="74">
        <v>73.7079846079846</v>
      </c>
      <c r="N1362" s="74">
        <f t="shared" si="1"/>
        <v>36.8539923</v>
      </c>
      <c r="O1362" s="74" t="b">
        <v>1</v>
      </c>
    </row>
    <row r="1363">
      <c r="A1363" s="82"/>
      <c r="B1363" s="65" t="s">
        <v>495</v>
      </c>
      <c r="C1363" s="65" t="s">
        <v>108</v>
      </c>
      <c r="D1363" s="65"/>
      <c r="E1363" s="65" t="s">
        <v>784</v>
      </c>
      <c r="F1363" s="83">
        <v>0.6111111111111112</v>
      </c>
      <c r="G1363" s="83">
        <v>0.6666666666666666</v>
      </c>
      <c r="H1363" s="83">
        <v>0.05555555555555555</v>
      </c>
      <c r="I1363" s="84">
        <v>44358.0</v>
      </c>
      <c r="J1363" s="65" t="b">
        <v>0</v>
      </c>
      <c r="K1363" s="65"/>
      <c r="L1363" s="85" t="b">
        <f>IF(VLOOKUP(C1363,Projetos!A:L,12,false)=TRUE,TRUE,FALSE)</f>
        <v>1</v>
      </c>
      <c r="M1363" s="74">
        <v>73.7079846079846</v>
      </c>
      <c r="N1363" s="74">
        <f t="shared" si="1"/>
        <v>0</v>
      </c>
      <c r="O1363" s="74" t="b">
        <v>1</v>
      </c>
    </row>
    <row r="1364" hidden="1">
      <c r="A1364" s="82"/>
      <c r="B1364" s="65" t="s">
        <v>495</v>
      </c>
      <c r="C1364" s="65" t="s">
        <v>92</v>
      </c>
      <c r="D1364" s="65" t="str">
        <f>vlookup(C1364,'Classificação p pessoal'!F:G,2,false)</f>
        <v/>
      </c>
      <c r="E1364" s="65" t="s">
        <v>785</v>
      </c>
      <c r="F1364" s="83">
        <v>0.7083333333333334</v>
      </c>
      <c r="G1364" s="83">
        <v>0.75</v>
      </c>
      <c r="H1364" s="83">
        <v>0.041666666666666664</v>
      </c>
      <c r="I1364" s="84">
        <v>44355.0</v>
      </c>
      <c r="J1364" s="65" t="b">
        <v>1</v>
      </c>
      <c r="K1364" s="65"/>
      <c r="L1364" s="85" t="b">
        <f>IF(VLOOKUP(C1364,Projetos!A:L,12,false)=TRUE,TRUE,FALSE)</f>
        <v>1</v>
      </c>
      <c r="M1364" s="74">
        <v>73.7079846079846</v>
      </c>
      <c r="N1364" s="74">
        <f t="shared" si="1"/>
        <v>73.70798461</v>
      </c>
      <c r="O1364" s="74" t="b">
        <v>1</v>
      </c>
    </row>
    <row r="1365" hidden="1">
      <c r="A1365" s="82"/>
      <c r="B1365" s="65" t="s">
        <v>495</v>
      </c>
      <c r="C1365" s="65" t="s">
        <v>117</v>
      </c>
      <c r="D1365" s="65"/>
      <c r="E1365" s="65" t="s">
        <v>786</v>
      </c>
      <c r="F1365" s="83">
        <v>0.3541666666666667</v>
      </c>
      <c r="G1365" s="83">
        <v>0.4375</v>
      </c>
      <c r="H1365" s="83">
        <v>0.08333333333333333</v>
      </c>
      <c r="I1365" s="84">
        <v>43843.0</v>
      </c>
      <c r="J1365" s="65" t="b">
        <v>0</v>
      </c>
      <c r="K1365" s="65" t="s">
        <v>150</v>
      </c>
      <c r="L1365" s="85" t="b">
        <f>IF(VLOOKUP(C1365,Projetos!A:L,12,false)=TRUE,TRUE,FALSE)</f>
        <v>1</v>
      </c>
      <c r="M1365" s="74">
        <v>73.7079846079846</v>
      </c>
      <c r="N1365" s="74">
        <f t="shared" si="1"/>
        <v>0</v>
      </c>
      <c r="O1365" s="74" t="b">
        <v>1</v>
      </c>
    </row>
    <row r="1366" hidden="1">
      <c r="A1366" s="82"/>
      <c r="B1366" s="65" t="s">
        <v>495</v>
      </c>
      <c r="C1366" s="65" t="s">
        <v>106</v>
      </c>
      <c r="D1366" s="65"/>
      <c r="E1366" s="65" t="s">
        <v>787</v>
      </c>
      <c r="F1366" s="83">
        <v>0.4375</v>
      </c>
      <c r="G1366" s="83">
        <v>0.5</v>
      </c>
      <c r="H1366" s="83">
        <v>0.0625</v>
      </c>
      <c r="I1366" s="84">
        <v>43843.0</v>
      </c>
      <c r="J1366" s="65" t="b">
        <v>0</v>
      </c>
      <c r="K1366" s="65" t="s">
        <v>150</v>
      </c>
      <c r="L1366" s="85" t="b">
        <f>IF(VLOOKUP(C1366,Projetos!A:L,12,false)=TRUE,TRUE,FALSE)</f>
        <v>1</v>
      </c>
      <c r="M1366" s="74">
        <v>73.7079846079846</v>
      </c>
      <c r="N1366" s="74">
        <f t="shared" si="1"/>
        <v>0</v>
      </c>
      <c r="O1366" s="74" t="b">
        <v>1</v>
      </c>
    </row>
    <row r="1367" hidden="1">
      <c r="A1367" s="82"/>
      <c r="B1367" s="65" t="s">
        <v>495</v>
      </c>
      <c r="C1367" s="65" t="s">
        <v>92</v>
      </c>
      <c r="D1367" s="65" t="str">
        <f>vlookup(C1367,'Classificação p pessoal'!F:G,2,false)</f>
        <v/>
      </c>
      <c r="E1367" s="65" t="s">
        <v>788</v>
      </c>
      <c r="F1367" s="83">
        <v>0.3541666666666667</v>
      </c>
      <c r="G1367" s="83">
        <v>0.4583333333333333</v>
      </c>
      <c r="H1367" s="83">
        <v>0.10416666666666667</v>
      </c>
      <c r="I1367" s="84">
        <v>43844.0</v>
      </c>
      <c r="J1367" s="65" t="b">
        <v>1</v>
      </c>
      <c r="K1367" s="65"/>
      <c r="L1367" s="85" t="b">
        <f>IF(VLOOKUP(C1367,Projetos!A:L,12,false)=TRUE,TRUE,FALSE)</f>
        <v>1</v>
      </c>
      <c r="M1367" s="74">
        <v>73.7079846079846</v>
      </c>
      <c r="N1367" s="74">
        <f t="shared" si="1"/>
        <v>184.2699615</v>
      </c>
      <c r="O1367" s="74" t="b">
        <v>1</v>
      </c>
    </row>
    <row r="1368" hidden="1">
      <c r="A1368" s="82"/>
      <c r="B1368" s="65" t="s">
        <v>495</v>
      </c>
      <c r="C1368" s="65" t="s">
        <v>92</v>
      </c>
      <c r="D1368" s="65" t="str">
        <f>vlookup(C1368,'Classificação p pessoal'!F:G,2,false)</f>
        <v/>
      </c>
      <c r="E1368" s="65" t="s">
        <v>789</v>
      </c>
      <c r="F1368" s="83">
        <v>0.5416666666666666</v>
      </c>
      <c r="G1368" s="83">
        <v>0.75</v>
      </c>
      <c r="H1368" s="83">
        <v>0.20833333333333334</v>
      </c>
      <c r="I1368" s="84">
        <v>43845.0</v>
      </c>
      <c r="J1368" s="65" t="b">
        <v>1</v>
      </c>
      <c r="K1368" s="65"/>
      <c r="L1368" s="85" t="b">
        <f>IF(VLOOKUP(C1368,Projetos!A:L,12,false)=TRUE,TRUE,FALSE)</f>
        <v>1</v>
      </c>
      <c r="M1368" s="74">
        <v>73.7079846079846</v>
      </c>
      <c r="N1368" s="74">
        <f t="shared" si="1"/>
        <v>368.539923</v>
      </c>
      <c r="O1368" s="74" t="b">
        <v>1</v>
      </c>
    </row>
    <row r="1369" hidden="1">
      <c r="A1369" s="82"/>
      <c r="B1369" s="65" t="s">
        <v>495</v>
      </c>
      <c r="C1369" s="65" t="s">
        <v>92</v>
      </c>
      <c r="D1369" s="65" t="str">
        <f>vlookup(C1369,'Classificação p pessoal'!F:G,2,false)</f>
        <v/>
      </c>
      <c r="E1369" s="65" t="s">
        <v>790</v>
      </c>
      <c r="F1369" s="83">
        <v>0.375</v>
      </c>
      <c r="G1369" s="83">
        <v>0.4166666666666667</v>
      </c>
      <c r="H1369" s="83">
        <v>0.041666666666666664</v>
      </c>
      <c r="I1369" s="84">
        <v>43848.0</v>
      </c>
      <c r="J1369" s="65" t="b">
        <v>1</v>
      </c>
      <c r="K1369" s="65"/>
      <c r="L1369" s="85" t="b">
        <f>IF(VLOOKUP(C1369,Projetos!A:L,12,false)=TRUE,TRUE,FALSE)</f>
        <v>1</v>
      </c>
      <c r="M1369" s="74">
        <v>73.7079846079846</v>
      </c>
      <c r="N1369" s="74">
        <f t="shared" si="1"/>
        <v>73.70798461</v>
      </c>
      <c r="O1369" s="74" t="b">
        <v>1</v>
      </c>
    </row>
    <row r="1370" hidden="1">
      <c r="A1370" s="82"/>
      <c r="B1370" s="65" t="s">
        <v>495</v>
      </c>
      <c r="C1370" s="65" t="s">
        <v>92</v>
      </c>
      <c r="D1370" s="65" t="str">
        <f>vlookup(C1370,'Classificação p pessoal'!F:G,2,false)</f>
        <v/>
      </c>
      <c r="E1370" s="65" t="s">
        <v>791</v>
      </c>
      <c r="F1370" s="83">
        <v>0.4444444444444444</v>
      </c>
      <c r="G1370" s="83">
        <v>0.4791666666666667</v>
      </c>
      <c r="H1370" s="83">
        <v>0.034722222222222224</v>
      </c>
      <c r="I1370" s="84">
        <v>43848.0</v>
      </c>
      <c r="J1370" s="65" t="b">
        <v>1</v>
      </c>
      <c r="K1370" s="65"/>
      <c r="L1370" s="85" t="b">
        <f>IF(VLOOKUP(C1370,Projetos!A:L,12,false)=TRUE,TRUE,FALSE)</f>
        <v>1</v>
      </c>
      <c r="M1370" s="74">
        <v>73.7079846079846</v>
      </c>
      <c r="N1370" s="74">
        <f t="shared" si="1"/>
        <v>61.42332051</v>
      </c>
      <c r="O1370" s="74" t="b">
        <v>1</v>
      </c>
    </row>
    <row r="1371" hidden="1">
      <c r="A1371" s="82"/>
      <c r="B1371" s="65" t="s">
        <v>495</v>
      </c>
      <c r="C1371" s="65" t="s">
        <v>92</v>
      </c>
      <c r="D1371" s="65" t="str">
        <f>vlookup(C1371,'Classificação p pessoal'!F:G,2,false)</f>
        <v/>
      </c>
      <c r="E1371" s="65" t="s">
        <v>792</v>
      </c>
      <c r="F1371" s="83">
        <v>0.4375</v>
      </c>
      <c r="G1371" s="83">
        <v>0.4791666666666667</v>
      </c>
      <c r="H1371" s="83">
        <v>0.041666666666666664</v>
      </c>
      <c r="I1371" s="84">
        <v>43850.0</v>
      </c>
      <c r="J1371" s="65" t="b">
        <v>1</v>
      </c>
      <c r="K1371" s="65"/>
      <c r="L1371" s="85" t="b">
        <f>IF(VLOOKUP(C1371,Projetos!A:L,12,false)=TRUE,TRUE,FALSE)</f>
        <v>1</v>
      </c>
      <c r="M1371" s="74">
        <v>73.7079846079846</v>
      </c>
      <c r="N1371" s="74">
        <f t="shared" si="1"/>
        <v>73.70798461</v>
      </c>
      <c r="O1371" s="74" t="b">
        <v>1</v>
      </c>
    </row>
    <row r="1372">
      <c r="A1372" s="82"/>
      <c r="B1372" s="65" t="s">
        <v>495</v>
      </c>
      <c r="C1372" s="65" t="s">
        <v>108</v>
      </c>
      <c r="D1372" s="65" t="str">
        <f>vlookup(C1372,'Classificação p pessoal'!F:G,2,false)</f>
        <v>NP</v>
      </c>
      <c r="E1372" s="65" t="s">
        <v>793</v>
      </c>
      <c r="F1372" s="83">
        <v>0.6666666666666666</v>
      </c>
      <c r="G1372" s="83">
        <v>0.75</v>
      </c>
      <c r="H1372" s="83">
        <v>0.08333333333333333</v>
      </c>
      <c r="I1372" s="84">
        <v>43850.0</v>
      </c>
      <c r="J1372" s="65" t="b">
        <v>1</v>
      </c>
      <c r="K1372" s="65"/>
      <c r="L1372" s="85" t="b">
        <f>IF(VLOOKUP(C1372,Projetos!A:L,12,false)=TRUE,TRUE,FALSE)</f>
        <v>1</v>
      </c>
      <c r="M1372" s="74">
        <v>73.7079846079846</v>
      </c>
      <c r="N1372" s="74">
        <f t="shared" si="1"/>
        <v>147.4159692</v>
      </c>
      <c r="O1372" s="74" t="b">
        <v>1</v>
      </c>
    </row>
    <row r="1373" hidden="1">
      <c r="A1373" s="82"/>
      <c r="B1373" s="65" t="s">
        <v>495</v>
      </c>
      <c r="C1373" s="65" t="s">
        <v>92</v>
      </c>
      <c r="D1373" s="65" t="str">
        <f>vlookup(C1373,'Classificação p pessoal'!F:G,2,false)</f>
        <v/>
      </c>
      <c r="E1373" s="65" t="s">
        <v>788</v>
      </c>
      <c r="F1373" s="83">
        <v>0.3541666666666667</v>
      </c>
      <c r="G1373" s="83">
        <v>0.4583333333333333</v>
      </c>
      <c r="H1373" s="83">
        <v>0.10416666666666667</v>
      </c>
      <c r="I1373" s="84">
        <v>43851.0</v>
      </c>
      <c r="J1373" s="65" t="b">
        <v>1</v>
      </c>
      <c r="K1373" s="65"/>
      <c r="L1373" s="85" t="b">
        <f>IF(VLOOKUP(C1373,Projetos!A:L,12,false)=TRUE,TRUE,FALSE)</f>
        <v>1</v>
      </c>
      <c r="M1373" s="74">
        <v>73.7079846079846</v>
      </c>
      <c r="N1373" s="74">
        <f t="shared" si="1"/>
        <v>184.2699615</v>
      </c>
      <c r="O1373" s="74" t="b">
        <v>1</v>
      </c>
    </row>
    <row r="1374" hidden="1">
      <c r="A1374" s="82"/>
      <c r="B1374" s="65" t="s">
        <v>495</v>
      </c>
      <c r="C1374" s="65" t="s">
        <v>92</v>
      </c>
      <c r="D1374" s="65" t="str">
        <f>vlookup(C1374,'Classificação p pessoal'!F:G,2,false)</f>
        <v/>
      </c>
      <c r="E1374" s="65" t="s">
        <v>794</v>
      </c>
      <c r="F1374" s="83">
        <v>0.5416666666666666</v>
      </c>
      <c r="G1374" s="83">
        <v>0.7291666666666666</v>
      </c>
      <c r="H1374" s="83">
        <v>0.1875</v>
      </c>
      <c r="I1374" s="84">
        <v>43851.0</v>
      </c>
      <c r="J1374" s="65" t="b">
        <v>1</v>
      </c>
      <c r="K1374" s="65"/>
      <c r="L1374" s="85" t="b">
        <f>IF(VLOOKUP(C1374,Projetos!A:L,12,false)=TRUE,TRUE,FALSE)</f>
        <v>1</v>
      </c>
      <c r="M1374" s="74">
        <v>73.7079846079846</v>
      </c>
      <c r="N1374" s="74">
        <f t="shared" si="1"/>
        <v>331.6859307</v>
      </c>
      <c r="O1374" s="74" t="b">
        <v>1</v>
      </c>
    </row>
    <row r="1375" hidden="1">
      <c r="A1375" s="82"/>
      <c r="B1375" s="65" t="s">
        <v>467</v>
      </c>
      <c r="C1375" s="65" t="s">
        <v>113</v>
      </c>
      <c r="D1375" s="65"/>
      <c r="E1375" s="65" t="s">
        <v>795</v>
      </c>
      <c r="F1375" s="83">
        <v>0.5416666666666666</v>
      </c>
      <c r="G1375" s="83">
        <v>0.5833333333333334</v>
      </c>
      <c r="H1375" s="83">
        <v>0.041666666666666664</v>
      </c>
      <c r="I1375" s="84">
        <v>44320.0</v>
      </c>
      <c r="J1375" s="65" t="b">
        <v>0</v>
      </c>
      <c r="K1375" s="65" t="s">
        <v>150</v>
      </c>
      <c r="L1375" s="85" t="b">
        <f>IF(VLOOKUP(C1375,Projetos!A:L,12,false)=TRUE,TRUE,FALSE)</f>
        <v>1</v>
      </c>
      <c r="M1375" s="74">
        <v>52.1518759018759</v>
      </c>
      <c r="N1375" s="74">
        <f t="shared" si="1"/>
        <v>0</v>
      </c>
      <c r="O1375" s="74" t="b">
        <v>1</v>
      </c>
    </row>
    <row r="1376" hidden="1">
      <c r="A1376" s="82"/>
      <c r="B1376" s="65" t="s">
        <v>495</v>
      </c>
      <c r="C1376" s="65" t="s">
        <v>92</v>
      </c>
      <c r="D1376" s="65" t="str">
        <f>vlookup(C1376,'Classificação p pessoal'!F:G,2,false)</f>
        <v/>
      </c>
      <c r="E1376" s="65" t="s">
        <v>796</v>
      </c>
      <c r="F1376" s="83">
        <v>0.4583333333333333</v>
      </c>
      <c r="G1376" s="83">
        <v>0.5208333333333334</v>
      </c>
      <c r="H1376" s="83">
        <v>0.0625</v>
      </c>
      <c r="I1376" s="84">
        <v>43852.0</v>
      </c>
      <c r="J1376" s="65" t="b">
        <v>1</v>
      </c>
      <c r="K1376" s="65"/>
      <c r="L1376" s="85" t="b">
        <f>IF(VLOOKUP(C1376,Projetos!A:L,12,false)=TRUE,TRUE,FALSE)</f>
        <v>1</v>
      </c>
      <c r="M1376" s="74">
        <v>73.7079846079846</v>
      </c>
      <c r="N1376" s="74">
        <f t="shared" si="1"/>
        <v>110.5619769</v>
      </c>
      <c r="O1376" s="74" t="b">
        <v>1</v>
      </c>
    </row>
    <row r="1377" hidden="1">
      <c r="A1377" s="82"/>
      <c r="B1377" s="65" t="s">
        <v>495</v>
      </c>
      <c r="C1377" s="65" t="s">
        <v>92</v>
      </c>
      <c r="D1377" s="65" t="str">
        <f>vlookup(C1377,'Classificação p pessoal'!F:G,2,false)</f>
        <v/>
      </c>
      <c r="E1377" s="65" t="s">
        <v>797</v>
      </c>
      <c r="F1377" s="83">
        <v>0.5416666666666666</v>
      </c>
      <c r="G1377" s="83">
        <v>0.5625</v>
      </c>
      <c r="H1377" s="83">
        <v>0.020833333333333332</v>
      </c>
      <c r="I1377" s="84">
        <v>43852.0</v>
      </c>
      <c r="J1377" s="65" t="b">
        <v>1</v>
      </c>
      <c r="K1377" s="65"/>
      <c r="L1377" s="85" t="b">
        <f>IF(VLOOKUP(C1377,Projetos!A:L,12,false)=TRUE,TRUE,FALSE)</f>
        <v>1</v>
      </c>
      <c r="M1377" s="74">
        <v>73.7079846079846</v>
      </c>
      <c r="N1377" s="74">
        <f t="shared" si="1"/>
        <v>36.8539923</v>
      </c>
      <c r="O1377" s="74" t="b">
        <v>1</v>
      </c>
    </row>
    <row r="1378" hidden="1">
      <c r="A1378" s="82"/>
      <c r="B1378" s="65" t="s">
        <v>495</v>
      </c>
      <c r="C1378" s="65" t="s">
        <v>92</v>
      </c>
      <c r="D1378" s="65" t="str">
        <f>vlookup(C1378,'Classificação p pessoal'!F:G,2,false)</f>
        <v/>
      </c>
      <c r="E1378" s="65" t="s">
        <v>798</v>
      </c>
      <c r="F1378" s="83">
        <v>0.5833333333333334</v>
      </c>
      <c r="G1378" s="83">
        <v>0.6041666666666666</v>
      </c>
      <c r="H1378" s="83">
        <v>0.020833333333333332</v>
      </c>
      <c r="I1378" s="84">
        <v>44218.0</v>
      </c>
      <c r="J1378" s="65" t="b">
        <v>1</v>
      </c>
      <c r="K1378" s="65"/>
      <c r="L1378" s="85" t="b">
        <f>IF(VLOOKUP(C1378,Projetos!A:L,12,false)=TRUE,TRUE,FALSE)</f>
        <v>1</v>
      </c>
      <c r="M1378" s="74">
        <v>73.7079846079846</v>
      </c>
      <c r="N1378" s="74">
        <f t="shared" si="1"/>
        <v>36.8539923</v>
      </c>
      <c r="O1378" s="74" t="b">
        <v>1</v>
      </c>
    </row>
    <row r="1379" hidden="1">
      <c r="A1379" s="82"/>
      <c r="B1379" s="65" t="s">
        <v>495</v>
      </c>
      <c r="C1379" s="65" t="s">
        <v>92</v>
      </c>
      <c r="D1379" s="65" t="str">
        <f>vlookup(C1379,'Classificação p pessoal'!F:G,2,false)</f>
        <v/>
      </c>
      <c r="E1379" s="65" t="s">
        <v>799</v>
      </c>
      <c r="F1379" s="83">
        <v>0.6666666666666666</v>
      </c>
      <c r="G1379" s="83">
        <v>0.7083333333333334</v>
      </c>
      <c r="H1379" s="83">
        <v>0.041666666666666664</v>
      </c>
      <c r="I1379" s="84">
        <v>43852.0</v>
      </c>
      <c r="J1379" s="65" t="b">
        <v>1</v>
      </c>
      <c r="K1379" s="65"/>
      <c r="L1379" s="85" t="b">
        <f>IF(VLOOKUP(C1379,Projetos!A:L,12,false)=TRUE,TRUE,FALSE)</f>
        <v>1</v>
      </c>
      <c r="M1379" s="74">
        <v>73.7079846079846</v>
      </c>
      <c r="N1379" s="74">
        <f t="shared" si="1"/>
        <v>73.70798461</v>
      </c>
      <c r="O1379" s="74" t="b">
        <v>1</v>
      </c>
    </row>
    <row r="1380" hidden="1">
      <c r="A1380" s="82"/>
      <c r="B1380" s="65" t="s">
        <v>495</v>
      </c>
      <c r="C1380" s="65" t="s">
        <v>106</v>
      </c>
      <c r="D1380" s="65" t="str">
        <f>vlookup(C1380,'Classificação p pessoal'!F:G,2,false)</f>
        <v>MProcesso</v>
      </c>
      <c r="E1380" s="65" t="s">
        <v>800</v>
      </c>
      <c r="F1380" s="83">
        <v>0.4375</v>
      </c>
      <c r="G1380" s="83">
        <v>0.4791666666666667</v>
      </c>
      <c r="H1380" s="83">
        <v>0.041666666666666664</v>
      </c>
      <c r="I1380" s="84">
        <v>44221.0</v>
      </c>
      <c r="J1380" s="65" t="b">
        <v>1</v>
      </c>
      <c r="K1380" s="65"/>
      <c r="L1380" s="85" t="b">
        <f>IF(VLOOKUP(C1380,Projetos!A:L,12,false)=TRUE,TRUE,FALSE)</f>
        <v>1</v>
      </c>
      <c r="M1380" s="74">
        <v>73.7079846079846</v>
      </c>
      <c r="N1380" s="74">
        <f t="shared" si="1"/>
        <v>73.70798461</v>
      </c>
      <c r="O1380" s="74" t="b">
        <v>1</v>
      </c>
    </row>
    <row r="1381" hidden="1">
      <c r="A1381" s="82"/>
      <c r="B1381" s="65" t="s">
        <v>495</v>
      </c>
      <c r="C1381" s="65" t="s">
        <v>92</v>
      </c>
      <c r="D1381" s="65" t="str">
        <f>vlookup(C1381,'Classificação p pessoal'!F:G,2,false)</f>
        <v/>
      </c>
      <c r="E1381" s="65" t="s">
        <v>801</v>
      </c>
      <c r="F1381" s="83">
        <v>0.3333333333333333</v>
      </c>
      <c r="G1381" s="83">
        <v>0.5</v>
      </c>
      <c r="H1381" s="83">
        <v>0.16666666666666666</v>
      </c>
      <c r="I1381" s="84">
        <v>44222.0</v>
      </c>
      <c r="J1381" s="65" t="b">
        <v>1</v>
      </c>
      <c r="K1381" s="65"/>
      <c r="L1381" s="85" t="b">
        <f>IF(VLOOKUP(C1381,Projetos!A:L,12,false)=TRUE,TRUE,FALSE)</f>
        <v>1</v>
      </c>
      <c r="M1381" s="74">
        <v>73.7079846079846</v>
      </c>
      <c r="N1381" s="74">
        <f t="shared" si="1"/>
        <v>294.8319384</v>
      </c>
      <c r="O1381" s="74" t="b">
        <v>1</v>
      </c>
    </row>
    <row r="1382" hidden="1">
      <c r="A1382" s="82"/>
      <c r="B1382" s="65" t="s">
        <v>495</v>
      </c>
      <c r="C1382" s="65" t="s">
        <v>92</v>
      </c>
      <c r="D1382" s="65" t="str">
        <f>vlookup(C1382,'Classificação p pessoal'!F:G,2,false)</f>
        <v/>
      </c>
      <c r="E1382" s="65" t="s">
        <v>802</v>
      </c>
      <c r="F1382" s="83">
        <v>0.4861111111111111</v>
      </c>
      <c r="G1382" s="83">
        <v>0.5277777777777778</v>
      </c>
      <c r="H1382" s="83">
        <v>0.041666666666666664</v>
      </c>
      <c r="I1382" s="84">
        <v>43859.0</v>
      </c>
      <c r="J1382" s="65" t="b">
        <v>1</v>
      </c>
      <c r="K1382" s="65"/>
      <c r="L1382" s="85" t="b">
        <f>IF(VLOOKUP(C1382,Projetos!A:L,12,false)=TRUE,TRUE,FALSE)</f>
        <v>1</v>
      </c>
      <c r="M1382" s="74">
        <v>73.7079846079846</v>
      </c>
      <c r="N1382" s="74">
        <f t="shared" si="1"/>
        <v>73.70798461</v>
      </c>
      <c r="O1382" s="74" t="b">
        <v>1</v>
      </c>
    </row>
    <row r="1383" hidden="1">
      <c r="A1383" s="82"/>
      <c r="B1383" s="65" t="s">
        <v>495</v>
      </c>
      <c r="C1383" s="65" t="s">
        <v>92</v>
      </c>
      <c r="D1383" s="65" t="str">
        <f>vlookup(C1383,'Classificação p pessoal'!F:G,2,false)</f>
        <v/>
      </c>
      <c r="E1383" s="65" t="s">
        <v>803</v>
      </c>
      <c r="F1383" s="83">
        <v>0.53125</v>
      </c>
      <c r="G1383" s="83">
        <v>0.5416666666666666</v>
      </c>
      <c r="H1383" s="83">
        <v>0.010416666666666666</v>
      </c>
      <c r="I1383" s="84">
        <v>43859.0</v>
      </c>
      <c r="J1383" s="65" t="b">
        <v>1</v>
      </c>
      <c r="K1383" s="65"/>
      <c r="L1383" s="85" t="b">
        <f>IF(VLOOKUP(C1383,Projetos!A:L,12,false)=TRUE,TRUE,FALSE)</f>
        <v>1</v>
      </c>
      <c r="M1383" s="74">
        <v>73.7079846079846</v>
      </c>
      <c r="N1383" s="74">
        <f t="shared" si="1"/>
        <v>18.42699615</v>
      </c>
      <c r="O1383" s="74" t="b">
        <v>1</v>
      </c>
    </row>
    <row r="1384" hidden="1">
      <c r="A1384" s="82"/>
      <c r="B1384" s="65" t="s">
        <v>495</v>
      </c>
      <c r="C1384" s="65" t="s">
        <v>130</v>
      </c>
      <c r="D1384" s="65" t="str">
        <f>vlookup(C1384,'Classificação p pessoal'!F:G,2,false)</f>
        <v>NP</v>
      </c>
      <c r="E1384" s="65" t="s">
        <v>804</v>
      </c>
      <c r="F1384" s="83">
        <v>0.4375</v>
      </c>
      <c r="G1384" s="83">
        <v>0.4791666666666667</v>
      </c>
      <c r="H1384" s="83">
        <v>0.041666666666666664</v>
      </c>
      <c r="I1384" s="84">
        <v>44228.0</v>
      </c>
      <c r="J1384" s="65" t="b">
        <v>1</v>
      </c>
      <c r="K1384" s="65"/>
      <c r="L1384" s="85" t="b">
        <f>IF(VLOOKUP(C1384,Projetos!A:L,12,false)=TRUE,TRUE,FALSE)</f>
        <v>1</v>
      </c>
      <c r="M1384" s="74">
        <v>73.7079846079846</v>
      </c>
      <c r="N1384" s="74">
        <f t="shared" si="1"/>
        <v>73.70798461</v>
      </c>
      <c r="O1384" s="74" t="b">
        <v>1</v>
      </c>
    </row>
    <row r="1385">
      <c r="A1385" s="82"/>
      <c r="B1385" s="65" t="s">
        <v>495</v>
      </c>
      <c r="C1385" s="65" t="s">
        <v>108</v>
      </c>
      <c r="D1385" s="65" t="str">
        <f>vlookup(C1385,'Classificação p pessoal'!F:G,2,false)</f>
        <v>NP</v>
      </c>
      <c r="E1385" s="65" t="s">
        <v>805</v>
      </c>
      <c r="F1385" s="83">
        <v>0.6875</v>
      </c>
      <c r="G1385" s="83">
        <v>0.7013888888888888</v>
      </c>
      <c r="H1385" s="83">
        <v>0.013888888888888888</v>
      </c>
      <c r="I1385" s="84">
        <v>44228.0</v>
      </c>
      <c r="J1385" s="65" t="b">
        <v>1</v>
      </c>
      <c r="K1385" s="65"/>
      <c r="L1385" s="85" t="b">
        <f>IF(VLOOKUP(C1385,Projetos!A:L,12,false)=TRUE,TRUE,FALSE)</f>
        <v>1</v>
      </c>
      <c r="M1385" s="74">
        <v>73.7079846079846</v>
      </c>
      <c r="N1385" s="74">
        <f t="shared" si="1"/>
        <v>24.5693282</v>
      </c>
      <c r="O1385" s="74" t="b">
        <v>1</v>
      </c>
    </row>
    <row r="1386" hidden="1">
      <c r="A1386" s="82"/>
      <c r="B1386" s="65" t="s">
        <v>495</v>
      </c>
      <c r="C1386" s="65" t="s">
        <v>92</v>
      </c>
      <c r="D1386" s="65" t="str">
        <f>vlookup(C1386,'Classificação p pessoal'!F:G,2,false)</f>
        <v/>
      </c>
      <c r="E1386" s="65" t="s">
        <v>806</v>
      </c>
      <c r="F1386" s="83">
        <v>0.3333333333333333</v>
      </c>
      <c r="G1386" s="83">
        <v>0.5</v>
      </c>
      <c r="H1386" s="83">
        <v>0.16666666666666666</v>
      </c>
      <c r="I1386" s="84">
        <v>44229.0</v>
      </c>
      <c r="J1386" s="65" t="b">
        <v>1</v>
      </c>
      <c r="K1386" s="65"/>
      <c r="L1386" s="85" t="b">
        <f>IF(VLOOKUP(C1386,Projetos!A:L,12,false)=TRUE,TRUE,FALSE)</f>
        <v>1</v>
      </c>
      <c r="M1386" s="74">
        <v>73.7079846079846</v>
      </c>
      <c r="N1386" s="74">
        <f t="shared" si="1"/>
        <v>294.8319384</v>
      </c>
      <c r="O1386" s="74" t="b">
        <v>1</v>
      </c>
    </row>
    <row r="1387">
      <c r="A1387" s="82"/>
      <c r="B1387" s="65" t="s">
        <v>495</v>
      </c>
      <c r="C1387" s="65" t="s">
        <v>108</v>
      </c>
      <c r="D1387" s="65" t="str">
        <f>vlookup(C1387,'Classificação p pessoal'!F:G,2,false)</f>
        <v>NP</v>
      </c>
      <c r="E1387" s="65" t="s">
        <v>807</v>
      </c>
      <c r="F1387" s="83">
        <v>0.6666666666666666</v>
      </c>
      <c r="G1387" s="83">
        <v>0.6805555555555556</v>
      </c>
      <c r="H1387" s="83">
        <v>0.013888888888888888</v>
      </c>
      <c r="I1387" s="84">
        <v>44229.0</v>
      </c>
      <c r="J1387" s="65" t="b">
        <v>1</v>
      </c>
      <c r="K1387" s="65"/>
      <c r="L1387" s="85" t="b">
        <f>IF(VLOOKUP(C1387,Projetos!A:L,12,false)=TRUE,TRUE,FALSE)</f>
        <v>1</v>
      </c>
      <c r="M1387" s="74">
        <v>73.7079846079846</v>
      </c>
      <c r="N1387" s="74">
        <f t="shared" si="1"/>
        <v>24.5693282</v>
      </c>
      <c r="O1387" s="74" t="b">
        <v>1</v>
      </c>
    </row>
    <row r="1388">
      <c r="A1388" s="82"/>
      <c r="B1388" s="65" t="s">
        <v>495</v>
      </c>
      <c r="C1388" s="65" t="s">
        <v>108</v>
      </c>
      <c r="D1388" s="65" t="str">
        <f>vlookup(C1388,'Classificação p pessoal'!F:G,2,false)</f>
        <v>NP</v>
      </c>
      <c r="E1388" s="65" t="s">
        <v>808</v>
      </c>
      <c r="F1388" s="83">
        <v>0.6875</v>
      </c>
      <c r="G1388" s="83">
        <v>0.75</v>
      </c>
      <c r="H1388" s="83">
        <v>0.0625</v>
      </c>
      <c r="I1388" s="84">
        <v>44229.0</v>
      </c>
      <c r="J1388" s="65" t="b">
        <v>1</v>
      </c>
      <c r="K1388" s="65"/>
      <c r="L1388" s="85" t="b">
        <f>IF(VLOOKUP(C1388,Projetos!A:L,12,false)=TRUE,TRUE,FALSE)</f>
        <v>1</v>
      </c>
      <c r="M1388" s="74">
        <v>73.7079846079846</v>
      </c>
      <c r="N1388" s="74">
        <f t="shared" si="1"/>
        <v>110.5619769</v>
      </c>
      <c r="O1388" s="74" t="b">
        <v>1</v>
      </c>
    </row>
    <row r="1389">
      <c r="A1389" s="82"/>
      <c r="B1389" s="65" t="s">
        <v>495</v>
      </c>
      <c r="C1389" s="65" t="s">
        <v>108</v>
      </c>
      <c r="D1389" s="65" t="str">
        <f>vlookup(C1389,'Classificação p pessoal'!F:G,2,false)</f>
        <v>NP</v>
      </c>
      <c r="E1389" s="65" t="s">
        <v>809</v>
      </c>
      <c r="F1389" s="83">
        <v>0.3472222222222222</v>
      </c>
      <c r="G1389" s="83">
        <v>0.375</v>
      </c>
      <c r="H1389" s="83">
        <v>0.027777777777777776</v>
      </c>
      <c r="I1389" s="84">
        <v>44230.0</v>
      </c>
      <c r="J1389" s="65" t="b">
        <v>1</v>
      </c>
      <c r="K1389" s="65"/>
      <c r="L1389" s="85" t="b">
        <f>IF(VLOOKUP(C1389,Projetos!A:L,12,false)=TRUE,TRUE,FALSE)</f>
        <v>1</v>
      </c>
      <c r="M1389" s="74">
        <v>73.7079846079846</v>
      </c>
      <c r="N1389" s="74">
        <f t="shared" si="1"/>
        <v>49.13865641</v>
      </c>
      <c r="O1389" s="74" t="b">
        <v>1</v>
      </c>
    </row>
    <row r="1390" hidden="1">
      <c r="A1390" s="82"/>
      <c r="B1390" s="65" t="s">
        <v>495</v>
      </c>
      <c r="C1390" s="65" t="s">
        <v>92</v>
      </c>
      <c r="D1390" s="65" t="str">
        <f>vlookup(C1390,'Classificação p pessoal'!F:G,2,false)</f>
        <v/>
      </c>
      <c r="E1390" s="65" t="s">
        <v>810</v>
      </c>
      <c r="F1390" s="83">
        <v>0.375</v>
      </c>
      <c r="G1390" s="83">
        <v>0.4583333333333333</v>
      </c>
      <c r="H1390" s="83">
        <v>0.08333333333333333</v>
      </c>
      <c r="I1390" s="84">
        <v>44230.0</v>
      </c>
      <c r="J1390" s="65" t="b">
        <v>1</v>
      </c>
      <c r="K1390" s="65"/>
      <c r="L1390" s="85" t="b">
        <f>IF(VLOOKUP(C1390,Projetos!A:L,12,false)=TRUE,TRUE,FALSE)</f>
        <v>1</v>
      </c>
      <c r="M1390" s="74">
        <v>73.7079846079846</v>
      </c>
      <c r="N1390" s="74">
        <f t="shared" si="1"/>
        <v>147.4159692</v>
      </c>
      <c r="O1390" s="74" t="b">
        <v>1</v>
      </c>
    </row>
    <row r="1391" hidden="1">
      <c r="A1391" s="82"/>
      <c r="B1391" s="65" t="s">
        <v>495</v>
      </c>
      <c r="C1391" s="65" t="s">
        <v>92</v>
      </c>
      <c r="D1391" s="65" t="str">
        <f>vlookup(C1391,'Classificação p pessoal'!F:G,2,false)</f>
        <v/>
      </c>
      <c r="E1391" s="65" t="s">
        <v>811</v>
      </c>
      <c r="F1391" s="83">
        <v>0.4583333333333333</v>
      </c>
      <c r="G1391" s="83">
        <v>0.5416666666666666</v>
      </c>
      <c r="H1391" s="83">
        <v>0.08333333333333333</v>
      </c>
      <c r="I1391" s="84">
        <v>44230.0</v>
      </c>
      <c r="J1391" s="65" t="b">
        <v>1</v>
      </c>
      <c r="K1391" s="65"/>
      <c r="L1391" s="85" t="b">
        <f>IF(VLOOKUP(C1391,Projetos!A:L,12,false)=TRUE,TRUE,FALSE)</f>
        <v>1</v>
      </c>
      <c r="M1391" s="74">
        <v>73.7079846079846</v>
      </c>
      <c r="N1391" s="74">
        <f t="shared" si="1"/>
        <v>147.4159692</v>
      </c>
      <c r="O1391" s="74" t="b">
        <v>1</v>
      </c>
    </row>
    <row r="1392" hidden="1">
      <c r="A1392" s="82"/>
      <c r="B1392" s="65" t="s">
        <v>495</v>
      </c>
      <c r="C1392" s="65" t="s">
        <v>92</v>
      </c>
      <c r="D1392" s="65" t="str">
        <f>vlookup(C1392,'Classificação p pessoal'!F:G,2,false)</f>
        <v/>
      </c>
      <c r="E1392" s="65" t="s">
        <v>812</v>
      </c>
      <c r="F1392" s="83">
        <v>0.5833333333333334</v>
      </c>
      <c r="G1392" s="83">
        <v>0.75</v>
      </c>
      <c r="H1392" s="83">
        <v>0.16666666666666666</v>
      </c>
      <c r="I1392" s="84">
        <v>44230.0</v>
      </c>
      <c r="J1392" s="65" t="b">
        <v>1</v>
      </c>
      <c r="K1392" s="65"/>
      <c r="L1392" s="85" t="b">
        <f>IF(VLOOKUP(C1392,Projetos!A:L,12,false)=TRUE,TRUE,FALSE)</f>
        <v>1</v>
      </c>
      <c r="M1392" s="74">
        <v>73.7079846079846</v>
      </c>
      <c r="N1392" s="74">
        <f t="shared" si="1"/>
        <v>294.8319384</v>
      </c>
      <c r="O1392" s="74" t="b">
        <v>1</v>
      </c>
    </row>
    <row r="1393" hidden="1">
      <c r="A1393" s="82"/>
      <c r="B1393" s="65" t="s">
        <v>495</v>
      </c>
      <c r="C1393" s="65" t="s">
        <v>92</v>
      </c>
      <c r="D1393" s="65" t="str">
        <f>vlookup(C1393,'Classificação p pessoal'!F:G,2,false)</f>
        <v/>
      </c>
      <c r="E1393" s="65" t="s">
        <v>813</v>
      </c>
      <c r="F1393" s="83">
        <v>0.34375</v>
      </c>
      <c r="G1393" s="83">
        <v>0.4375</v>
      </c>
      <c r="H1393" s="83">
        <v>0.09375</v>
      </c>
      <c r="I1393" s="84">
        <v>44231.0</v>
      </c>
      <c r="J1393" s="65" t="b">
        <v>1</v>
      </c>
      <c r="K1393" s="65"/>
      <c r="L1393" s="85" t="b">
        <f>IF(VLOOKUP(C1393,Projetos!A:L,12,false)=TRUE,TRUE,FALSE)</f>
        <v>1</v>
      </c>
      <c r="M1393" s="74">
        <v>73.7079846079846</v>
      </c>
      <c r="N1393" s="74">
        <f t="shared" si="1"/>
        <v>165.8429654</v>
      </c>
      <c r="O1393" s="74" t="b">
        <v>1</v>
      </c>
    </row>
    <row r="1394">
      <c r="A1394" s="82"/>
      <c r="B1394" s="65" t="s">
        <v>495</v>
      </c>
      <c r="C1394" s="65" t="s">
        <v>108</v>
      </c>
      <c r="D1394" s="65" t="str">
        <f>vlookup(C1394,'Classificação p pessoal'!F:G,2,false)</f>
        <v>NP</v>
      </c>
      <c r="E1394" s="65" t="s">
        <v>814</v>
      </c>
      <c r="F1394" s="83">
        <v>0.4375</v>
      </c>
      <c r="G1394" s="83">
        <v>0.4583333333333333</v>
      </c>
      <c r="H1394" s="83">
        <v>0.020833333333333332</v>
      </c>
      <c r="I1394" s="84">
        <v>44231.0</v>
      </c>
      <c r="J1394" s="65" t="b">
        <v>1</v>
      </c>
      <c r="K1394" s="65"/>
      <c r="L1394" s="85" t="b">
        <f>IF(VLOOKUP(C1394,Projetos!A:L,12,false)=TRUE,TRUE,FALSE)</f>
        <v>1</v>
      </c>
      <c r="M1394" s="74">
        <v>73.7079846079846</v>
      </c>
      <c r="N1394" s="74">
        <f t="shared" si="1"/>
        <v>36.8539923</v>
      </c>
      <c r="O1394" s="74" t="b">
        <v>1</v>
      </c>
    </row>
    <row r="1395" hidden="1">
      <c r="A1395" s="82"/>
      <c r="B1395" s="65" t="s">
        <v>495</v>
      </c>
      <c r="C1395" s="65" t="s">
        <v>92</v>
      </c>
      <c r="D1395" s="65" t="str">
        <f>vlookup(C1395,'Classificação p pessoal'!F:G,2,false)</f>
        <v/>
      </c>
      <c r="E1395" s="65" t="s">
        <v>815</v>
      </c>
      <c r="F1395" s="83">
        <v>0.5416666666666666</v>
      </c>
      <c r="G1395" s="83">
        <v>0.75</v>
      </c>
      <c r="H1395" s="83">
        <v>0.20833333333333334</v>
      </c>
      <c r="I1395" s="84">
        <v>44231.0</v>
      </c>
      <c r="J1395" s="65" t="b">
        <v>1</v>
      </c>
      <c r="K1395" s="65"/>
      <c r="L1395" s="85" t="b">
        <f>IF(VLOOKUP(C1395,Projetos!A:L,12,false)=TRUE,TRUE,FALSE)</f>
        <v>1</v>
      </c>
      <c r="M1395" s="74">
        <v>73.7079846079846</v>
      </c>
      <c r="N1395" s="74">
        <f t="shared" si="1"/>
        <v>368.539923</v>
      </c>
      <c r="O1395" s="74" t="b">
        <v>1</v>
      </c>
    </row>
    <row r="1396" hidden="1">
      <c r="A1396" s="82"/>
      <c r="B1396" s="65" t="s">
        <v>495</v>
      </c>
      <c r="C1396" s="65" t="s">
        <v>92</v>
      </c>
      <c r="D1396" s="65" t="str">
        <f>vlookup(C1396,'Classificação p pessoal'!F:G,2,false)</f>
        <v/>
      </c>
      <c r="E1396" s="65" t="s">
        <v>813</v>
      </c>
      <c r="F1396" s="83">
        <v>0.4305555555555556</v>
      </c>
      <c r="G1396" s="83">
        <v>0.75</v>
      </c>
      <c r="H1396" s="83">
        <v>0.3194444444444444</v>
      </c>
      <c r="I1396" s="84">
        <v>44232.0</v>
      </c>
      <c r="J1396" s="65" t="b">
        <v>1</v>
      </c>
      <c r="K1396" s="65"/>
      <c r="L1396" s="85" t="b">
        <f>IF(VLOOKUP(C1396,Projetos!A:L,12,false)=TRUE,TRUE,FALSE)</f>
        <v>1</v>
      </c>
      <c r="M1396" s="74">
        <v>73.7079846079846</v>
      </c>
      <c r="N1396" s="74">
        <f t="shared" si="1"/>
        <v>565.0945487</v>
      </c>
      <c r="O1396" s="74" t="b">
        <v>1</v>
      </c>
    </row>
    <row r="1397" hidden="1">
      <c r="A1397" s="82"/>
      <c r="B1397" s="65" t="s">
        <v>495</v>
      </c>
      <c r="C1397" s="65" t="s">
        <v>92</v>
      </c>
      <c r="D1397" s="65" t="str">
        <f>vlookup(C1397,'Classificação p pessoal'!F:G,2,false)</f>
        <v/>
      </c>
      <c r="E1397" s="65" t="s">
        <v>816</v>
      </c>
      <c r="F1397" s="83">
        <v>0.34375</v>
      </c>
      <c r="G1397" s="83">
        <v>0.4583333333333333</v>
      </c>
      <c r="H1397" s="83">
        <v>0.11458333333333333</v>
      </c>
      <c r="I1397" s="84">
        <v>44235.0</v>
      </c>
      <c r="J1397" s="65" t="b">
        <v>1</v>
      </c>
      <c r="K1397" s="65"/>
      <c r="L1397" s="85" t="b">
        <f>IF(VLOOKUP(C1397,Projetos!A:L,12,false)=TRUE,TRUE,FALSE)</f>
        <v>1</v>
      </c>
      <c r="M1397" s="74">
        <v>73.7079846079846</v>
      </c>
      <c r="N1397" s="74">
        <f t="shared" si="1"/>
        <v>202.6969577</v>
      </c>
      <c r="O1397" s="74" t="b">
        <v>1</v>
      </c>
    </row>
    <row r="1398" hidden="1">
      <c r="A1398" s="82"/>
      <c r="B1398" s="65" t="s">
        <v>495</v>
      </c>
      <c r="C1398" s="65" t="s">
        <v>100</v>
      </c>
      <c r="D1398" s="65" t="str">
        <f>vlookup(C1398,'Classificação p pessoal'!F:G,2,false)</f>
        <v>NP</v>
      </c>
      <c r="E1398" s="65" t="s">
        <v>817</v>
      </c>
      <c r="F1398" s="83">
        <v>0.5</v>
      </c>
      <c r="G1398" s="83">
        <v>0.5416666666666666</v>
      </c>
      <c r="H1398" s="83">
        <v>0.041666666666666664</v>
      </c>
      <c r="I1398" s="84">
        <v>44235.0</v>
      </c>
      <c r="J1398" s="65" t="b">
        <v>1</v>
      </c>
      <c r="K1398" s="65"/>
      <c r="L1398" s="85" t="b">
        <f>IF(VLOOKUP(C1398,Projetos!A:L,12,false)=TRUE,TRUE,FALSE)</f>
        <v>1</v>
      </c>
      <c r="M1398" s="74">
        <v>73.7079846079846</v>
      </c>
      <c r="N1398" s="74">
        <f t="shared" si="1"/>
        <v>73.70798461</v>
      </c>
      <c r="O1398" s="74" t="b">
        <v>1</v>
      </c>
    </row>
    <row r="1399" hidden="1">
      <c r="A1399" s="82"/>
      <c r="B1399" s="65" t="s">
        <v>495</v>
      </c>
      <c r="C1399" s="65" t="s">
        <v>92</v>
      </c>
      <c r="D1399" s="65" t="str">
        <f>vlookup(C1399,'Classificação p pessoal'!F:G,2,false)</f>
        <v/>
      </c>
      <c r="E1399" s="65" t="s">
        <v>813</v>
      </c>
      <c r="F1399" s="83">
        <v>0.34375</v>
      </c>
      <c r="G1399" s="83">
        <v>0.4583333333333333</v>
      </c>
      <c r="H1399" s="83">
        <v>0.11458333333333333</v>
      </c>
      <c r="I1399" s="84">
        <v>44236.0</v>
      </c>
      <c r="J1399" s="65" t="b">
        <v>1</v>
      </c>
      <c r="K1399" s="65"/>
      <c r="L1399" s="85" t="b">
        <f>IF(VLOOKUP(C1399,Projetos!A:L,12,false)=TRUE,TRUE,FALSE)</f>
        <v>1</v>
      </c>
      <c r="M1399" s="74">
        <v>73.7079846079846</v>
      </c>
      <c r="N1399" s="74">
        <f t="shared" si="1"/>
        <v>202.6969577</v>
      </c>
      <c r="O1399" s="74" t="b">
        <v>1</v>
      </c>
    </row>
    <row r="1400" hidden="1">
      <c r="A1400" s="82"/>
      <c r="B1400" s="65" t="s">
        <v>495</v>
      </c>
      <c r="C1400" s="65" t="s">
        <v>92</v>
      </c>
      <c r="D1400" s="65" t="str">
        <f>vlookup(C1400,'Classificação p pessoal'!F:G,2,false)</f>
        <v/>
      </c>
      <c r="E1400" s="65" t="s">
        <v>818</v>
      </c>
      <c r="F1400" s="83">
        <v>0.4583333333333333</v>
      </c>
      <c r="G1400" s="83">
        <v>0.5</v>
      </c>
      <c r="H1400" s="83">
        <v>0.041666666666666664</v>
      </c>
      <c r="I1400" s="84">
        <v>44236.0</v>
      </c>
      <c r="J1400" s="65" t="b">
        <v>1</v>
      </c>
      <c r="K1400" s="65"/>
      <c r="L1400" s="85" t="b">
        <f>IF(VLOOKUP(C1400,Projetos!A:L,12,false)=TRUE,TRUE,FALSE)</f>
        <v>1</v>
      </c>
      <c r="M1400" s="74">
        <v>73.7079846079846</v>
      </c>
      <c r="N1400" s="74">
        <f t="shared" si="1"/>
        <v>73.70798461</v>
      </c>
      <c r="O1400" s="74" t="b">
        <v>1</v>
      </c>
    </row>
    <row r="1401" hidden="1">
      <c r="A1401" s="82"/>
      <c r="B1401" s="65" t="s">
        <v>495</v>
      </c>
      <c r="C1401" s="65" t="s">
        <v>130</v>
      </c>
      <c r="D1401" s="65" t="str">
        <f>vlookup(C1401,'Classificação p pessoal'!F:G,2,false)</f>
        <v>NP</v>
      </c>
      <c r="E1401" s="65" t="s">
        <v>819</v>
      </c>
      <c r="F1401" s="83">
        <v>0.34375</v>
      </c>
      <c r="G1401" s="83">
        <v>0.4166666666666667</v>
      </c>
      <c r="H1401" s="83">
        <v>0.07291666666666667</v>
      </c>
      <c r="I1401" s="84">
        <v>44237.0</v>
      </c>
      <c r="J1401" s="65" t="b">
        <v>1</v>
      </c>
      <c r="K1401" s="65"/>
      <c r="L1401" s="85" t="b">
        <f>IF(VLOOKUP(C1401,Projetos!A:L,12,false)=TRUE,TRUE,FALSE)</f>
        <v>1</v>
      </c>
      <c r="M1401" s="74">
        <v>73.7079846079846</v>
      </c>
      <c r="N1401" s="74">
        <f t="shared" si="1"/>
        <v>128.9889731</v>
      </c>
      <c r="O1401" s="74" t="b">
        <v>1</v>
      </c>
    </row>
    <row r="1402" hidden="1">
      <c r="A1402" s="82"/>
      <c r="B1402" s="65" t="s">
        <v>495</v>
      </c>
      <c r="C1402" s="65" t="s">
        <v>100</v>
      </c>
      <c r="D1402" s="65" t="str">
        <f>vlookup(C1402,'Classificação p pessoal'!F:G,2,false)</f>
        <v>NP</v>
      </c>
      <c r="E1402" s="65" t="s">
        <v>820</v>
      </c>
      <c r="F1402" s="83">
        <v>0.4236111111111111</v>
      </c>
      <c r="G1402" s="83">
        <v>0.75</v>
      </c>
      <c r="H1402" s="83">
        <v>0.3263888888888889</v>
      </c>
      <c r="I1402" s="84">
        <v>44237.0</v>
      </c>
      <c r="J1402" s="65" t="b">
        <v>1</v>
      </c>
      <c r="K1402" s="65"/>
      <c r="L1402" s="85" t="b">
        <f>IF(VLOOKUP(C1402,Projetos!A:L,12,false)=TRUE,TRUE,FALSE)</f>
        <v>1</v>
      </c>
      <c r="M1402" s="74">
        <v>73.7079846079846</v>
      </c>
      <c r="N1402" s="74">
        <f t="shared" si="1"/>
        <v>577.3792128</v>
      </c>
      <c r="O1402" s="74" t="b">
        <v>1</v>
      </c>
    </row>
    <row r="1403" hidden="1">
      <c r="A1403" s="82"/>
      <c r="B1403" s="65" t="s">
        <v>495</v>
      </c>
      <c r="C1403" s="65" t="s">
        <v>92</v>
      </c>
      <c r="D1403" s="65" t="str">
        <f>vlookup(C1403,'Classificação p pessoal'!F:G,2,false)</f>
        <v/>
      </c>
      <c r="E1403" s="65" t="s">
        <v>821</v>
      </c>
      <c r="F1403" s="83">
        <v>0.34375</v>
      </c>
      <c r="G1403" s="83">
        <v>0.5</v>
      </c>
      <c r="H1403" s="83">
        <v>0.15625</v>
      </c>
      <c r="I1403" s="84">
        <v>44238.0</v>
      </c>
      <c r="J1403" s="65" t="b">
        <v>1</v>
      </c>
      <c r="K1403" s="65"/>
      <c r="L1403" s="85" t="b">
        <f>IF(VLOOKUP(C1403,Projetos!A:L,12,false)=TRUE,TRUE,FALSE)</f>
        <v>1</v>
      </c>
      <c r="M1403" s="74">
        <v>73.7079846079846</v>
      </c>
      <c r="N1403" s="74">
        <f t="shared" si="1"/>
        <v>276.4049423</v>
      </c>
      <c r="O1403" s="74" t="b">
        <v>1</v>
      </c>
    </row>
    <row r="1404" hidden="1">
      <c r="A1404" s="82"/>
      <c r="B1404" s="65" t="s">
        <v>495</v>
      </c>
      <c r="C1404" s="65" t="s">
        <v>84</v>
      </c>
      <c r="D1404" s="65"/>
      <c r="E1404" s="65" t="s">
        <v>822</v>
      </c>
      <c r="F1404" s="83">
        <v>0.5833333333333334</v>
      </c>
      <c r="G1404" s="83">
        <v>0.625</v>
      </c>
      <c r="H1404" s="83">
        <v>0.041666666666666664</v>
      </c>
      <c r="I1404" s="84">
        <v>44238.0</v>
      </c>
      <c r="J1404" s="65" t="b">
        <v>0</v>
      </c>
      <c r="K1404" s="65"/>
      <c r="L1404" s="85" t="b">
        <f>IF(VLOOKUP(C1404,Projetos!A:L,12,false)=TRUE,TRUE,FALSE)</f>
        <v>0</v>
      </c>
      <c r="M1404" s="74">
        <v>73.7079846079846</v>
      </c>
      <c r="N1404" s="74">
        <f t="shared" si="1"/>
        <v>0</v>
      </c>
      <c r="O1404" s="74" t="b">
        <v>0</v>
      </c>
    </row>
    <row r="1405">
      <c r="A1405" s="82"/>
      <c r="B1405" s="65" t="s">
        <v>495</v>
      </c>
      <c r="C1405" s="65" t="s">
        <v>108</v>
      </c>
      <c r="D1405" s="65" t="str">
        <f>vlookup(C1405,'Classificação p pessoal'!F:G,2,false)</f>
        <v>NP</v>
      </c>
      <c r="E1405" s="65" t="s">
        <v>823</v>
      </c>
      <c r="F1405" s="83">
        <v>0.6319444444444444</v>
      </c>
      <c r="G1405" s="83">
        <v>0.75</v>
      </c>
      <c r="H1405" s="83">
        <v>0.11805555555555555</v>
      </c>
      <c r="I1405" s="84">
        <v>44238.0</v>
      </c>
      <c r="J1405" s="65" t="b">
        <v>1</v>
      </c>
      <c r="K1405" s="65"/>
      <c r="L1405" s="85" t="b">
        <f>IF(VLOOKUP(C1405,Projetos!A:L,12,false)=TRUE,TRUE,FALSE)</f>
        <v>1</v>
      </c>
      <c r="M1405" s="74">
        <v>73.7079846079846</v>
      </c>
      <c r="N1405" s="74">
        <f t="shared" si="1"/>
        <v>208.8392897</v>
      </c>
      <c r="O1405" s="74" t="b">
        <v>1</v>
      </c>
    </row>
    <row r="1406">
      <c r="A1406" s="82"/>
      <c r="B1406" s="65" t="s">
        <v>495</v>
      </c>
      <c r="C1406" s="65" t="s">
        <v>108</v>
      </c>
      <c r="D1406" s="65" t="str">
        <f>vlookup(C1406,'Classificação p pessoal'!F:G,2,false)</f>
        <v>NP</v>
      </c>
      <c r="E1406" s="65" t="s">
        <v>824</v>
      </c>
      <c r="F1406" s="83">
        <v>0.5416666666666666</v>
      </c>
      <c r="G1406" s="83">
        <v>0.625</v>
      </c>
      <c r="H1406" s="83">
        <v>0.08333333333333333</v>
      </c>
      <c r="I1406" s="84">
        <v>44239.0</v>
      </c>
      <c r="J1406" s="65" t="b">
        <v>1</v>
      </c>
      <c r="K1406" s="65"/>
      <c r="L1406" s="85" t="b">
        <f>IF(VLOOKUP(C1406,Projetos!A:L,12,false)=TRUE,TRUE,FALSE)</f>
        <v>1</v>
      </c>
      <c r="M1406" s="74">
        <v>73.7079846079846</v>
      </c>
      <c r="N1406" s="74">
        <f t="shared" si="1"/>
        <v>147.4159692</v>
      </c>
      <c r="O1406" s="74" t="b">
        <v>1</v>
      </c>
    </row>
    <row r="1407" hidden="1">
      <c r="A1407" s="82"/>
      <c r="B1407" s="65" t="s">
        <v>495</v>
      </c>
      <c r="C1407" s="65" t="s">
        <v>92</v>
      </c>
      <c r="D1407" s="65" t="str">
        <f>vlookup(C1407,'Classificação p pessoal'!F:G,2,false)</f>
        <v/>
      </c>
      <c r="E1407" s="65" t="s">
        <v>825</v>
      </c>
      <c r="F1407" s="83">
        <v>0.625</v>
      </c>
      <c r="G1407" s="83">
        <v>0.75</v>
      </c>
      <c r="H1407" s="83">
        <v>0.125</v>
      </c>
      <c r="I1407" s="84">
        <v>44239.0</v>
      </c>
      <c r="J1407" s="65" t="b">
        <v>1</v>
      </c>
      <c r="K1407" s="65"/>
      <c r="L1407" s="85" t="b">
        <f>IF(VLOOKUP(C1407,Projetos!A:L,12,false)=TRUE,TRUE,FALSE)</f>
        <v>1</v>
      </c>
      <c r="M1407" s="74">
        <v>73.7079846079846</v>
      </c>
      <c r="N1407" s="74">
        <f t="shared" si="1"/>
        <v>221.1239538</v>
      </c>
      <c r="O1407" s="74" t="b">
        <v>1</v>
      </c>
    </row>
    <row r="1408" hidden="1">
      <c r="A1408" s="82"/>
      <c r="B1408" s="65" t="s">
        <v>495</v>
      </c>
      <c r="C1408" s="65" t="s">
        <v>92</v>
      </c>
      <c r="D1408" s="65" t="str">
        <f>vlookup(C1408,'Classificação p pessoal'!F:G,2,false)</f>
        <v/>
      </c>
      <c r="E1408" s="65" t="s">
        <v>813</v>
      </c>
      <c r="F1408" s="83">
        <v>0.5416666666666666</v>
      </c>
      <c r="G1408" s="83">
        <v>0.75</v>
      </c>
      <c r="H1408" s="83">
        <v>0.20833333333333334</v>
      </c>
      <c r="I1408" s="84">
        <v>44244.0</v>
      </c>
      <c r="J1408" s="65" t="b">
        <v>1</v>
      </c>
      <c r="K1408" s="65"/>
      <c r="L1408" s="85" t="b">
        <f>IF(VLOOKUP(C1408,Projetos!A:L,12,false)=TRUE,TRUE,FALSE)</f>
        <v>1</v>
      </c>
      <c r="M1408" s="74">
        <v>73.7079846079846</v>
      </c>
      <c r="N1408" s="74">
        <f t="shared" si="1"/>
        <v>368.539923</v>
      </c>
      <c r="O1408" s="74" t="b">
        <v>1</v>
      </c>
    </row>
    <row r="1409" hidden="1">
      <c r="A1409" s="82"/>
      <c r="B1409" s="65" t="s">
        <v>495</v>
      </c>
      <c r="C1409" s="65" t="s">
        <v>92</v>
      </c>
      <c r="D1409" s="65" t="str">
        <f>vlookup(C1409,'Classificação p pessoal'!F:G,2,false)</f>
        <v/>
      </c>
      <c r="E1409" s="65" t="s">
        <v>813</v>
      </c>
      <c r="F1409" s="83">
        <v>0.34375</v>
      </c>
      <c r="G1409" s="83">
        <v>0.75</v>
      </c>
      <c r="H1409" s="83">
        <v>0.40625</v>
      </c>
      <c r="I1409" s="84">
        <v>44245.0</v>
      </c>
      <c r="J1409" s="65" t="b">
        <v>1</v>
      </c>
      <c r="K1409" s="65"/>
      <c r="L1409" s="85" t="b">
        <f>IF(VLOOKUP(C1409,Projetos!A:L,12,false)=TRUE,TRUE,FALSE)</f>
        <v>1</v>
      </c>
      <c r="M1409" s="74">
        <v>73.7079846079846</v>
      </c>
      <c r="N1409" s="74">
        <f t="shared" si="1"/>
        <v>718.6528499</v>
      </c>
      <c r="O1409" s="74" t="b">
        <v>1</v>
      </c>
    </row>
    <row r="1410" hidden="1">
      <c r="A1410" s="82"/>
      <c r="B1410" s="65" t="s">
        <v>495</v>
      </c>
      <c r="C1410" s="65" t="s">
        <v>92</v>
      </c>
      <c r="D1410" s="65" t="str">
        <f>vlookup(C1410,'Classificação p pessoal'!F:G,2,false)</f>
        <v/>
      </c>
      <c r="E1410" s="65" t="s">
        <v>813</v>
      </c>
      <c r="F1410" s="83">
        <v>0.34375</v>
      </c>
      <c r="G1410" s="83">
        <v>0.5416666666666666</v>
      </c>
      <c r="H1410" s="83">
        <v>0.19791666666666666</v>
      </c>
      <c r="I1410" s="84">
        <v>44246.0</v>
      </c>
      <c r="J1410" s="65" t="b">
        <v>1</v>
      </c>
      <c r="K1410" s="65"/>
      <c r="L1410" s="85" t="b">
        <f>IF(VLOOKUP(C1410,Projetos!A:L,12,false)=TRUE,TRUE,FALSE)</f>
        <v>1</v>
      </c>
      <c r="M1410" s="74">
        <v>73.7079846079846</v>
      </c>
      <c r="N1410" s="74">
        <f t="shared" si="1"/>
        <v>350.1129269</v>
      </c>
      <c r="O1410" s="74" t="b">
        <v>1</v>
      </c>
    </row>
    <row r="1411">
      <c r="A1411" s="82"/>
      <c r="B1411" s="65" t="s">
        <v>495</v>
      </c>
      <c r="C1411" s="65" t="s">
        <v>108</v>
      </c>
      <c r="D1411" s="65" t="str">
        <f>vlookup(C1411,'Classificação p pessoal'!F:G,2,false)</f>
        <v>NP</v>
      </c>
      <c r="E1411" s="65" t="s">
        <v>826</v>
      </c>
      <c r="F1411" s="83">
        <v>0.5833333333333334</v>
      </c>
      <c r="G1411" s="83">
        <v>0.6388888888888888</v>
      </c>
      <c r="H1411" s="83">
        <v>0.05555555555555555</v>
      </c>
      <c r="I1411" s="84">
        <v>44246.0</v>
      </c>
      <c r="J1411" s="65" t="b">
        <v>1</v>
      </c>
      <c r="K1411" s="65"/>
      <c r="L1411" s="85" t="b">
        <f>IF(VLOOKUP(C1411,Projetos!A:L,12,false)=TRUE,TRUE,FALSE)</f>
        <v>1</v>
      </c>
      <c r="M1411" s="74">
        <v>73.7079846079846</v>
      </c>
      <c r="N1411" s="74">
        <f t="shared" si="1"/>
        <v>98.27731281</v>
      </c>
      <c r="O1411" s="74" t="b">
        <v>1</v>
      </c>
    </row>
    <row r="1412" hidden="1">
      <c r="A1412" s="82"/>
      <c r="B1412" s="65" t="s">
        <v>495</v>
      </c>
      <c r="C1412" s="65" t="s">
        <v>92</v>
      </c>
      <c r="D1412" s="65" t="str">
        <f>vlookup(C1412,'Classificação p pessoal'!F:G,2,false)</f>
        <v/>
      </c>
      <c r="E1412" s="65" t="s">
        <v>827</v>
      </c>
      <c r="F1412" s="83">
        <v>0.6388888888888888</v>
      </c>
      <c r="G1412" s="83">
        <v>0.75</v>
      </c>
      <c r="H1412" s="83">
        <v>0.1111111111111111</v>
      </c>
      <c r="I1412" s="84">
        <v>44246.0</v>
      </c>
      <c r="J1412" s="65" t="b">
        <v>1</v>
      </c>
      <c r="K1412" s="65"/>
      <c r="L1412" s="85" t="b">
        <f>IF(VLOOKUP(C1412,Projetos!A:L,12,false)=TRUE,TRUE,FALSE)</f>
        <v>1</v>
      </c>
      <c r="M1412" s="74">
        <v>73.7079846079846</v>
      </c>
      <c r="N1412" s="74">
        <f t="shared" si="1"/>
        <v>196.5546256</v>
      </c>
      <c r="O1412" s="74" t="b">
        <v>1</v>
      </c>
    </row>
    <row r="1413" hidden="1">
      <c r="A1413" s="82"/>
      <c r="B1413" s="65" t="s">
        <v>495</v>
      </c>
      <c r="C1413" s="65" t="s">
        <v>92</v>
      </c>
      <c r="D1413" s="65" t="str">
        <f>vlookup(C1413,'Classificação p pessoal'!F:G,2,false)</f>
        <v/>
      </c>
      <c r="E1413" s="65" t="s">
        <v>813</v>
      </c>
      <c r="F1413" s="83">
        <v>0.34375</v>
      </c>
      <c r="G1413" s="83">
        <v>0.5</v>
      </c>
      <c r="H1413" s="83">
        <v>0.15625</v>
      </c>
      <c r="I1413" s="84">
        <v>44249.0</v>
      </c>
      <c r="J1413" s="65" t="b">
        <v>1</v>
      </c>
      <c r="K1413" s="65"/>
      <c r="L1413" s="85" t="b">
        <f>IF(VLOOKUP(C1413,Projetos!A:L,12,false)=TRUE,TRUE,FALSE)</f>
        <v>1</v>
      </c>
      <c r="M1413" s="74">
        <v>73.7079846079846</v>
      </c>
      <c r="N1413" s="74">
        <f t="shared" si="1"/>
        <v>276.4049423</v>
      </c>
      <c r="O1413" s="74" t="b">
        <v>1</v>
      </c>
    </row>
    <row r="1414">
      <c r="A1414" s="82"/>
      <c r="B1414" s="65" t="s">
        <v>495</v>
      </c>
      <c r="C1414" s="65" t="s">
        <v>108</v>
      </c>
      <c r="D1414" s="65" t="str">
        <f>vlookup(C1414,'Classificação p pessoal'!F:G,2,false)</f>
        <v>NP</v>
      </c>
      <c r="E1414" s="65" t="s">
        <v>813</v>
      </c>
      <c r="F1414" s="83">
        <v>0.5</v>
      </c>
      <c r="G1414" s="83">
        <v>0.5416666666666666</v>
      </c>
      <c r="H1414" s="83">
        <v>0.041666666666666664</v>
      </c>
      <c r="I1414" s="84">
        <v>44249.0</v>
      </c>
      <c r="J1414" s="65" t="b">
        <v>1</v>
      </c>
      <c r="K1414" s="65"/>
      <c r="L1414" s="85" t="b">
        <f>IF(VLOOKUP(C1414,Projetos!A:L,12,false)=TRUE,TRUE,FALSE)</f>
        <v>1</v>
      </c>
      <c r="M1414" s="74">
        <v>73.7079846079846</v>
      </c>
      <c r="N1414" s="74">
        <f t="shared" si="1"/>
        <v>73.70798461</v>
      </c>
      <c r="O1414" s="74" t="b">
        <v>1</v>
      </c>
    </row>
    <row r="1415">
      <c r="A1415" s="82"/>
      <c r="B1415" s="65" t="s">
        <v>495</v>
      </c>
      <c r="C1415" s="65" t="s">
        <v>108</v>
      </c>
      <c r="D1415" s="65" t="str">
        <f>vlookup(C1415,'Classificação p pessoal'!F:G,2,false)</f>
        <v>NP</v>
      </c>
      <c r="E1415" s="65" t="s">
        <v>827</v>
      </c>
      <c r="F1415" s="83">
        <v>0.5833333333333334</v>
      </c>
      <c r="G1415" s="83">
        <v>0.625</v>
      </c>
      <c r="H1415" s="83">
        <v>0.041666666666666664</v>
      </c>
      <c r="I1415" s="84">
        <v>44249.0</v>
      </c>
      <c r="J1415" s="65" t="b">
        <v>1</v>
      </c>
      <c r="K1415" s="65"/>
      <c r="L1415" s="85" t="b">
        <f>IF(VLOOKUP(C1415,Projetos!A:L,12,false)=TRUE,TRUE,FALSE)</f>
        <v>1</v>
      </c>
      <c r="M1415" s="74">
        <v>73.7079846079846</v>
      </c>
      <c r="N1415" s="74">
        <f t="shared" si="1"/>
        <v>73.70798461</v>
      </c>
      <c r="O1415" s="74" t="b">
        <v>1</v>
      </c>
    </row>
    <row r="1416" hidden="1">
      <c r="A1416" s="82"/>
      <c r="B1416" s="65" t="s">
        <v>495</v>
      </c>
      <c r="C1416" s="65" t="s">
        <v>92</v>
      </c>
      <c r="D1416" s="65"/>
      <c r="E1416" s="65" t="s">
        <v>828</v>
      </c>
      <c r="F1416" s="83">
        <v>0.625</v>
      </c>
      <c r="G1416" s="83">
        <v>0.6666666666666666</v>
      </c>
      <c r="H1416" s="83">
        <v>0.041666666666666664</v>
      </c>
      <c r="I1416" s="84">
        <v>44249.0</v>
      </c>
      <c r="J1416" s="65" t="b">
        <v>0</v>
      </c>
      <c r="K1416" s="65" t="s">
        <v>150</v>
      </c>
      <c r="L1416" s="85" t="b">
        <f>IF(VLOOKUP(C1416,Projetos!A:L,12,false)=TRUE,TRUE,FALSE)</f>
        <v>1</v>
      </c>
      <c r="M1416" s="74">
        <v>73.7079846079846</v>
      </c>
      <c r="N1416" s="74">
        <f t="shared" si="1"/>
        <v>0</v>
      </c>
      <c r="O1416" s="74" t="b">
        <v>1</v>
      </c>
    </row>
    <row r="1417" hidden="1">
      <c r="A1417" s="82"/>
      <c r="B1417" s="65" t="s">
        <v>495</v>
      </c>
      <c r="C1417" s="65" t="s">
        <v>117</v>
      </c>
      <c r="D1417" s="65" t="str">
        <f>vlookup(C1417,'Classificação p pessoal'!F:G,2,false)</f>
        <v>NP</v>
      </c>
      <c r="E1417" s="65" t="s">
        <v>829</v>
      </c>
      <c r="F1417" s="83">
        <v>0.6041666666666666</v>
      </c>
      <c r="G1417" s="83">
        <v>0.75</v>
      </c>
      <c r="H1417" s="83">
        <v>0.14583333333333334</v>
      </c>
      <c r="I1417" s="84">
        <v>44250.0</v>
      </c>
      <c r="J1417" s="65" t="b">
        <v>1</v>
      </c>
      <c r="K1417" s="65"/>
      <c r="L1417" s="85" t="b">
        <f>IF(VLOOKUP(C1417,Projetos!A:L,12,false)=TRUE,TRUE,FALSE)</f>
        <v>1</v>
      </c>
      <c r="M1417" s="74">
        <v>73.7079846079846</v>
      </c>
      <c r="N1417" s="74">
        <f t="shared" si="1"/>
        <v>257.9779461</v>
      </c>
      <c r="O1417" s="74" t="b">
        <v>1</v>
      </c>
    </row>
    <row r="1418" hidden="1">
      <c r="A1418" s="82"/>
      <c r="B1418" s="65" t="s">
        <v>495</v>
      </c>
      <c r="C1418" s="65" t="s">
        <v>92</v>
      </c>
      <c r="D1418" s="65" t="str">
        <f>vlookup(C1418,'Classificação p pessoal'!F:G,2,false)</f>
        <v/>
      </c>
      <c r="E1418" s="65" t="s">
        <v>830</v>
      </c>
      <c r="F1418" s="83">
        <v>0.34375</v>
      </c>
      <c r="G1418" s="83">
        <v>0.4583333333333333</v>
      </c>
      <c r="H1418" s="83">
        <v>0.11458333333333333</v>
      </c>
      <c r="I1418" s="84">
        <v>44251.0</v>
      </c>
      <c r="J1418" s="65" t="b">
        <v>1</v>
      </c>
      <c r="K1418" s="65"/>
      <c r="L1418" s="85" t="b">
        <f>IF(VLOOKUP(C1418,Projetos!A:L,12,false)=TRUE,TRUE,FALSE)</f>
        <v>1</v>
      </c>
      <c r="M1418" s="74">
        <v>73.7079846079846</v>
      </c>
      <c r="N1418" s="74">
        <f t="shared" si="1"/>
        <v>202.6969577</v>
      </c>
      <c r="O1418" s="74" t="b">
        <v>1</v>
      </c>
    </row>
    <row r="1419" hidden="1">
      <c r="A1419" s="82"/>
      <c r="B1419" s="65" t="s">
        <v>495</v>
      </c>
      <c r="C1419" s="65" t="s">
        <v>92</v>
      </c>
      <c r="D1419" s="65" t="str">
        <f>vlookup(C1419,'Classificação p pessoal'!F:G,2,false)</f>
        <v/>
      </c>
      <c r="E1419" s="65" t="s">
        <v>813</v>
      </c>
      <c r="F1419" s="83">
        <v>0.4583333333333333</v>
      </c>
      <c r="G1419" s="83">
        <v>0.5</v>
      </c>
      <c r="H1419" s="83">
        <v>0.041666666666666664</v>
      </c>
      <c r="I1419" s="84">
        <v>44251.0</v>
      </c>
      <c r="J1419" s="65" t="b">
        <v>1</v>
      </c>
      <c r="K1419" s="65"/>
      <c r="L1419" s="85" t="b">
        <f>IF(VLOOKUP(C1419,Projetos!A:L,12,false)=TRUE,TRUE,FALSE)</f>
        <v>1</v>
      </c>
      <c r="M1419" s="74">
        <v>73.7079846079846</v>
      </c>
      <c r="N1419" s="74">
        <f t="shared" si="1"/>
        <v>73.70798461</v>
      </c>
      <c r="O1419" s="74" t="b">
        <v>1</v>
      </c>
    </row>
    <row r="1420" hidden="1">
      <c r="A1420" s="82"/>
      <c r="B1420" s="65" t="s">
        <v>495</v>
      </c>
      <c r="C1420" s="65" t="s">
        <v>92</v>
      </c>
      <c r="D1420" s="65" t="str">
        <f>vlookup(C1420,'Classificação p pessoal'!F:G,2,false)</f>
        <v/>
      </c>
      <c r="E1420" s="65" t="s">
        <v>825</v>
      </c>
      <c r="F1420" s="83">
        <v>0.34375</v>
      </c>
      <c r="G1420" s="83">
        <v>0.5416666666666666</v>
      </c>
      <c r="H1420" s="83">
        <v>0.19791666666666666</v>
      </c>
      <c r="I1420" s="84">
        <v>43886.0</v>
      </c>
      <c r="J1420" s="65" t="b">
        <v>1</v>
      </c>
      <c r="K1420" s="65"/>
      <c r="L1420" s="85" t="b">
        <f>IF(VLOOKUP(C1420,Projetos!A:L,12,false)=TRUE,TRUE,FALSE)</f>
        <v>1</v>
      </c>
      <c r="M1420" s="74">
        <v>73.7079846079846</v>
      </c>
      <c r="N1420" s="74">
        <f t="shared" si="1"/>
        <v>350.1129269</v>
      </c>
      <c r="O1420" s="74" t="b">
        <v>1</v>
      </c>
    </row>
    <row r="1421" hidden="1">
      <c r="A1421" s="82"/>
      <c r="B1421" s="65" t="s">
        <v>495</v>
      </c>
      <c r="C1421" s="65" t="s">
        <v>101</v>
      </c>
      <c r="D1421" s="65" t="str">
        <f>vlookup(C1421,'Classificação p pessoal'!F:G,2,false)</f>
        <v>NP</v>
      </c>
      <c r="E1421" s="65" t="s">
        <v>831</v>
      </c>
      <c r="F1421" s="83">
        <v>0.5833333333333334</v>
      </c>
      <c r="G1421" s="83">
        <v>0.6666666666666666</v>
      </c>
      <c r="H1421" s="83">
        <v>0.08333333333333333</v>
      </c>
      <c r="I1421" s="84">
        <v>43886.0</v>
      </c>
      <c r="J1421" s="65" t="b">
        <v>1</v>
      </c>
      <c r="K1421" s="65"/>
      <c r="L1421" s="85" t="b">
        <f>IF(VLOOKUP(C1421,Projetos!A:L,12,false)=TRUE,TRUE,FALSE)</f>
        <v>1</v>
      </c>
      <c r="M1421" s="74">
        <v>73.7079846079846</v>
      </c>
      <c r="N1421" s="74">
        <f t="shared" si="1"/>
        <v>147.4159692</v>
      </c>
      <c r="O1421" s="74" t="b">
        <v>1</v>
      </c>
    </row>
    <row r="1422" hidden="1">
      <c r="A1422" s="82"/>
      <c r="B1422" s="65" t="s">
        <v>495</v>
      </c>
      <c r="C1422" s="65" t="s">
        <v>92</v>
      </c>
      <c r="D1422" s="65" t="str">
        <f>vlookup(C1422,'Classificação p pessoal'!F:G,2,false)</f>
        <v/>
      </c>
      <c r="E1422" s="65" t="s">
        <v>813</v>
      </c>
      <c r="F1422" s="83">
        <v>0.6666666666666666</v>
      </c>
      <c r="G1422" s="83">
        <v>0.75</v>
      </c>
      <c r="H1422" s="83">
        <v>0.08333333333333333</v>
      </c>
      <c r="I1422" s="84">
        <v>43886.0</v>
      </c>
      <c r="J1422" s="65" t="b">
        <v>1</v>
      </c>
      <c r="K1422" s="65"/>
      <c r="L1422" s="85" t="b">
        <f>IF(VLOOKUP(C1422,Projetos!A:L,12,false)=TRUE,TRUE,FALSE)</f>
        <v>1</v>
      </c>
      <c r="M1422" s="74">
        <v>73.7079846079846</v>
      </c>
      <c r="N1422" s="74">
        <f t="shared" si="1"/>
        <v>147.4159692</v>
      </c>
      <c r="O1422" s="74" t="b">
        <v>1</v>
      </c>
    </row>
    <row r="1423" hidden="1">
      <c r="A1423" s="82"/>
      <c r="B1423" s="65" t="s">
        <v>495</v>
      </c>
      <c r="C1423" s="65" t="s">
        <v>92</v>
      </c>
      <c r="D1423" s="65" t="str">
        <f>vlookup(C1423,'Classificação p pessoal'!F:G,2,false)</f>
        <v/>
      </c>
      <c r="E1423" s="65" t="s">
        <v>832</v>
      </c>
      <c r="F1423" s="83">
        <v>0.34375</v>
      </c>
      <c r="G1423" s="83">
        <v>0.4583333333333333</v>
      </c>
      <c r="H1423" s="83">
        <v>0.11458333333333333</v>
      </c>
      <c r="I1423" s="84">
        <v>43887.0</v>
      </c>
      <c r="J1423" s="65" t="b">
        <v>1</v>
      </c>
      <c r="K1423" s="65"/>
      <c r="L1423" s="85" t="b">
        <f>IF(VLOOKUP(C1423,Projetos!A:L,12,false)=TRUE,TRUE,FALSE)</f>
        <v>1</v>
      </c>
      <c r="M1423" s="74">
        <v>73.7079846079846</v>
      </c>
      <c r="N1423" s="74">
        <f t="shared" si="1"/>
        <v>202.6969577</v>
      </c>
      <c r="O1423" s="74" t="b">
        <v>1</v>
      </c>
    </row>
    <row r="1424">
      <c r="A1424" s="82"/>
      <c r="B1424" s="65" t="s">
        <v>495</v>
      </c>
      <c r="C1424" s="65" t="s">
        <v>108</v>
      </c>
      <c r="D1424" s="65" t="str">
        <f>vlookup(C1424,'Classificação p pessoal'!F:G,2,false)</f>
        <v>NP</v>
      </c>
      <c r="E1424" s="65" t="s">
        <v>833</v>
      </c>
      <c r="F1424" s="83">
        <v>0.34375</v>
      </c>
      <c r="G1424" s="83">
        <v>0.3854166666666667</v>
      </c>
      <c r="H1424" s="83">
        <v>0.041666666666666664</v>
      </c>
      <c r="I1424" s="84">
        <v>44256.0</v>
      </c>
      <c r="J1424" s="65" t="b">
        <v>1</v>
      </c>
      <c r="K1424" s="65"/>
      <c r="L1424" s="85" t="b">
        <f>IF(VLOOKUP(C1424,Projetos!A:L,12,false)=TRUE,TRUE,FALSE)</f>
        <v>1</v>
      </c>
      <c r="M1424" s="74">
        <v>73.7079846079846</v>
      </c>
      <c r="N1424" s="74">
        <f t="shared" si="1"/>
        <v>73.70798461</v>
      </c>
      <c r="O1424" s="74" t="b">
        <v>1</v>
      </c>
    </row>
    <row r="1425" hidden="1">
      <c r="A1425" s="82"/>
      <c r="B1425" s="65" t="s">
        <v>495</v>
      </c>
      <c r="C1425" s="65" t="s">
        <v>92</v>
      </c>
      <c r="D1425" s="65" t="str">
        <f>vlookup(C1425,'Classificação p pessoal'!F:G,2,false)</f>
        <v/>
      </c>
      <c r="E1425" s="65" t="s">
        <v>834</v>
      </c>
      <c r="F1425" s="83">
        <v>0.4166666666666667</v>
      </c>
      <c r="G1425" s="83">
        <v>0.5416666666666666</v>
      </c>
      <c r="H1425" s="83">
        <v>0.125</v>
      </c>
      <c r="I1425" s="84">
        <v>44256.0</v>
      </c>
      <c r="J1425" s="65" t="b">
        <v>1</v>
      </c>
      <c r="K1425" s="65"/>
      <c r="L1425" s="85" t="b">
        <f>IF(VLOOKUP(C1425,Projetos!A:L,12,false)=TRUE,TRUE,FALSE)</f>
        <v>1</v>
      </c>
      <c r="M1425" s="74">
        <v>73.7079846079846</v>
      </c>
      <c r="N1425" s="74">
        <f t="shared" si="1"/>
        <v>221.1239538</v>
      </c>
      <c r="O1425" s="74" t="b">
        <v>1</v>
      </c>
    </row>
    <row r="1426" hidden="1">
      <c r="A1426" s="82"/>
      <c r="B1426" s="65" t="s">
        <v>495</v>
      </c>
      <c r="C1426" s="65" t="s">
        <v>92</v>
      </c>
      <c r="D1426" s="65" t="str">
        <f>vlookup(C1426,'Classificação p pessoal'!F:G,2,false)</f>
        <v/>
      </c>
      <c r="E1426" s="65" t="s">
        <v>835</v>
      </c>
      <c r="F1426" s="83">
        <v>0.5833333333333334</v>
      </c>
      <c r="G1426" s="83">
        <v>0.75</v>
      </c>
      <c r="H1426" s="83">
        <v>0.16666666666666666</v>
      </c>
      <c r="I1426" s="84">
        <v>44256.0</v>
      </c>
      <c r="J1426" s="65" t="b">
        <v>1</v>
      </c>
      <c r="K1426" s="65"/>
      <c r="L1426" s="85" t="b">
        <f>IF(VLOOKUP(C1426,Projetos!A:L,12,false)=TRUE,TRUE,FALSE)</f>
        <v>1</v>
      </c>
      <c r="M1426" s="74">
        <v>73.7079846079846</v>
      </c>
      <c r="N1426" s="74">
        <f t="shared" si="1"/>
        <v>294.8319384</v>
      </c>
      <c r="O1426" s="74" t="b">
        <v>1</v>
      </c>
    </row>
    <row r="1427" hidden="1">
      <c r="A1427" s="82"/>
      <c r="B1427" s="65" t="s">
        <v>495</v>
      </c>
      <c r="C1427" s="65" t="s">
        <v>92</v>
      </c>
      <c r="D1427" s="65" t="str">
        <f>vlookup(C1427,'Classificação p pessoal'!F:G,2,false)</f>
        <v/>
      </c>
      <c r="E1427" s="65" t="s">
        <v>836</v>
      </c>
      <c r="F1427" s="83">
        <v>0.34375</v>
      </c>
      <c r="G1427" s="83">
        <v>0.5416666666666666</v>
      </c>
      <c r="H1427" s="83">
        <v>0.19791666666666666</v>
      </c>
      <c r="I1427" s="84">
        <v>44257.0</v>
      </c>
      <c r="J1427" s="65" t="b">
        <v>1</v>
      </c>
      <c r="K1427" s="65"/>
      <c r="L1427" s="85" t="b">
        <f>IF(VLOOKUP(C1427,Projetos!A:L,12,false)=TRUE,TRUE,FALSE)</f>
        <v>1</v>
      </c>
      <c r="M1427" s="74">
        <v>73.7079846079846</v>
      </c>
      <c r="N1427" s="74">
        <f t="shared" si="1"/>
        <v>350.1129269</v>
      </c>
      <c r="O1427" s="74" t="b">
        <v>1</v>
      </c>
    </row>
    <row r="1428" hidden="1">
      <c r="A1428" s="82"/>
      <c r="B1428" s="65" t="s">
        <v>495</v>
      </c>
      <c r="C1428" s="65" t="s">
        <v>92</v>
      </c>
      <c r="D1428" s="65" t="str">
        <f>vlookup(C1428,'Classificação p pessoal'!F:G,2,false)</f>
        <v/>
      </c>
      <c r="E1428" s="65" t="s">
        <v>837</v>
      </c>
      <c r="F1428" s="83">
        <v>0.5833333333333334</v>
      </c>
      <c r="G1428" s="83">
        <v>0.75</v>
      </c>
      <c r="H1428" s="83">
        <v>0.16666666666666666</v>
      </c>
      <c r="I1428" s="84">
        <v>44257.0</v>
      </c>
      <c r="J1428" s="65" t="b">
        <v>1</v>
      </c>
      <c r="K1428" s="65"/>
      <c r="L1428" s="85" t="b">
        <f>IF(VLOOKUP(C1428,Projetos!A:L,12,false)=TRUE,TRUE,FALSE)</f>
        <v>1</v>
      </c>
      <c r="M1428" s="74">
        <v>73.7079846079846</v>
      </c>
      <c r="N1428" s="74">
        <f t="shared" si="1"/>
        <v>294.8319384</v>
      </c>
      <c r="O1428" s="74" t="b">
        <v>1</v>
      </c>
    </row>
    <row r="1429" hidden="1">
      <c r="A1429" s="82"/>
      <c r="B1429" s="65" t="s">
        <v>495</v>
      </c>
      <c r="C1429" s="65" t="s">
        <v>92</v>
      </c>
      <c r="D1429" s="65"/>
      <c r="E1429" s="65" t="s">
        <v>838</v>
      </c>
      <c r="F1429" s="83">
        <v>0.34375</v>
      </c>
      <c r="G1429" s="83">
        <v>0.4166666666666667</v>
      </c>
      <c r="H1429" s="83">
        <v>0.07291666666666667</v>
      </c>
      <c r="I1429" s="84">
        <v>44258.0</v>
      </c>
      <c r="J1429" s="65" t="b">
        <v>0</v>
      </c>
      <c r="K1429" s="65" t="s">
        <v>150</v>
      </c>
      <c r="L1429" s="85" t="b">
        <f>IF(VLOOKUP(C1429,Projetos!A:L,12,false)=TRUE,TRUE,FALSE)</f>
        <v>1</v>
      </c>
      <c r="M1429" s="74">
        <v>73.7079846079846</v>
      </c>
      <c r="N1429" s="74">
        <f t="shared" si="1"/>
        <v>0</v>
      </c>
      <c r="O1429" s="74" t="b">
        <v>1</v>
      </c>
    </row>
    <row r="1430">
      <c r="A1430" s="82"/>
      <c r="B1430" s="65" t="s">
        <v>495</v>
      </c>
      <c r="C1430" s="65" t="s">
        <v>108</v>
      </c>
      <c r="D1430" s="65" t="str">
        <f>vlookup(C1430,'Classificação p pessoal'!F:G,2,false)</f>
        <v>NP</v>
      </c>
      <c r="E1430" s="65" t="s">
        <v>839</v>
      </c>
      <c r="F1430" s="83">
        <v>0.4166666666666667</v>
      </c>
      <c r="G1430" s="83">
        <v>0.5416666666666666</v>
      </c>
      <c r="H1430" s="83">
        <v>0.125</v>
      </c>
      <c r="I1430" s="84">
        <v>44258.0</v>
      </c>
      <c r="J1430" s="65" t="b">
        <v>1</v>
      </c>
      <c r="K1430" s="65"/>
      <c r="L1430" s="85" t="b">
        <f>IF(VLOOKUP(C1430,Projetos!A:L,12,false)=TRUE,TRUE,FALSE)</f>
        <v>1</v>
      </c>
      <c r="M1430" s="74">
        <v>73.7079846079846</v>
      </c>
      <c r="N1430" s="74">
        <f t="shared" si="1"/>
        <v>221.1239538</v>
      </c>
      <c r="O1430" s="74" t="b">
        <v>1</v>
      </c>
    </row>
    <row r="1431" hidden="1">
      <c r="A1431" s="82"/>
      <c r="B1431" s="65" t="s">
        <v>495</v>
      </c>
      <c r="C1431" s="65" t="s">
        <v>92</v>
      </c>
      <c r="D1431" s="65"/>
      <c r="E1431" s="65" t="s">
        <v>840</v>
      </c>
      <c r="F1431" s="83">
        <v>0.5833333333333334</v>
      </c>
      <c r="G1431" s="83">
        <v>0.6875</v>
      </c>
      <c r="H1431" s="83">
        <v>0.10416666666666667</v>
      </c>
      <c r="I1431" s="84">
        <v>44258.0</v>
      </c>
      <c r="J1431" s="65" t="b">
        <v>0</v>
      </c>
      <c r="K1431" s="65" t="s">
        <v>150</v>
      </c>
      <c r="L1431" s="85" t="b">
        <f>IF(VLOOKUP(C1431,Projetos!A:L,12,false)=TRUE,TRUE,FALSE)</f>
        <v>1</v>
      </c>
      <c r="M1431" s="74">
        <v>73.7079846079846</v>
      </c>
      <c r="N1431" s="74">
        <f t="shared" si="1"/>
        <v>0</v>
      </c>
      <c r="O1431" s="74" t="b">
        <v>1</v>
      </c>
    </row>
    <row r="1432" hidden="1">
      <c r="A1432" s="82"/>
      <c r="B1432" s="65" t="s">
        <v>411</v>
      </c>
      <c r="C1432" s="65" t="s">
        <v>130</v>
      </c>
      <c r="D1432" s="65"/>
      <c r="E1432" s="65" t="s">
        <v>841</v>
      </c>
      <c r="F1432" s="83">
        <v>0.6041666666666666</v>
      </c>
      <c r="G1432" s="83">
        <v>0.7083333333333334</v>
      </c>
      <c r="H1432" s="83">
        <v>0.10416666666666667</v>
      </c>
      <c r="I1432" s="84">
        <v>44286.0</v>
      </c>
      <c r="J1432" s="65" t="b">
        <v>0</v>
      </c>
      <c r="K1432" s="65"/>
      <c r="L1432" s="85" t="b">
        <f>IF(VLOOKUP(C1432,Projetos!A:L,12,false)=TRUE,TRUE,FALSE)</f>
        <v>1</v>
      </c>
      <c r="M1432" s="74">
        <v>52.48434411075036</v>
      </c>
      <c r="N1432" s="74">
        <f t="shared" si="1"/>
        <v>0</v>
      </c>
      <c r="O1432" s="74" t="b">
        <v>1</v>
      </c>
    </row>
    <row r="1433" hidden="1">
      <c r="A1433" s="82"/>
      <c r="B1433" s="65" t="s">
        <v>495</v>
      </c>
      <c r="C1433" s="65" t="s">
        <v>84</v>
      </c>
      <c r="D1433" s="65"/>
      <c r="E1433" s="65" t="s">
        <v>842</v>
      </c>
      <c r="F1433" s="83">
        <v>0.34375</v>
      </c>
      <c r="G1433" s="83">
        <v>0.4583333333333333</v>
      </c>
      <c r="H1433" s="83">
        <v>0.11458333333333333</v>
      </c>
      <c r="I1433" s="84">
        <v>44259.0</v>
      </c>
      <c r="J1433" s="65" t="b">
        <v>0</v>
      </c>
      <c r="K1433" s="65"/>
      <c r="L1433" s="85" t="b">
        <f>IF(VLOOKUP(C1433,Projetos!A:L,12,false)=TRUE,TRUE,FALSE)</f>
        <v>0</v>
      </c>
      <c r="M1433" s="74">
        <v>73.7079846079846</v>
      </c>
      <c r="N1433" s="74">
        <f t="shared" si="1"/>
        <v>0</v>
      </c>
      <c r="O1433" s="74" t="b">
        <v>0</v>
      </c>
    </row>
    <row r="1434" hidden="1">
      <c r="A1434" s="82"/>
      <c r="B1434" s="65" t="s">
        <v>495</v>
      </c>
      <c r="C1434" s="65" t="s">
        <v>92</v>
      </c>
      <c r="D1434" s="65" t="str">
        <f>vlookup(C1434,'Classificação p pessoal'!F:G,2,false)</f>
        <v/>
      </c>
      <c r="E1434" s="65" t="s">
        <v>834</v>
      </c>
      <c r="F1434" s="83">
        <v>0.46875</v>
      </c>
      <c r="G1434" s="83">
        <v>0.5416666666666666</v>
      </c>
      <c r="H1434" s="83">
        <v>0.07291666666666667</v>
      </c>
      <c r="I1434" s="84">
        <v>44259.0</v>
      </c>
      <c r="J1434" s="65" t="b">
        <v>1</v>
      </c>
      <c r="K1434" s="65"/>
      <c r="L1434" s="85" t="b">
        <f>IF(VLOOKUP(C1434,Projetos!A:L,12,false)=TRUE,TRUE,FALSE)</f>
        <v>1</v>
      </c>
      <c r="M1434" s="74">
        <v>73.7079846079846</v>
      </c>
      <c r="N1434" s="74">
        <f t="shared" si="1"/>
        <v>128.9889731</v>
      </c>
      <c r="O1434" s="74" t="b">
        <v>1</v>
      </c>
    </row>
    <row r="1435">
      <c r="A1435" s="82"/>
      <c r="B1435" s="65" t="s">
        <v>495</v>
      </c>
      <c r="C1435" s="65" t="s">
        <v>108</v>
      </c>
      <c r="D1435" s="65" t="str">
        <f>vlookup(C1435,'Classificação p pessoal'!F:G,2,false)</f>
        <v>NP</v>
      </c>
      <c r="E1435" s="65" t="s">
        <v>843</v>
      </c>
      <c r="F1435" s="83">
        <v>0.5833333333333334</v>
      </c>
      <c r="G1435" s="83">
        <v>0.7083333333333334</v>
      </c>
      <c r="H1435" s="83">
        <v>0.125</v>
      </c>
      <c r="I1435" s="84">
        <v>44259.0</v>
      </c>
      <c r="J1435" s="65" t="b">
        <v>1</v>
      </c>
      <c r="K1435" s="65"/>
      <c r="L1435" s="85" t="b">
        <f>IF(VLOOKUP(C1435,Projetos!A:L,12,false)=TRUE,TRUE,FALSE)</f>
        <v>1</v>
      </c>
      <c r="M1435" s="74">
        <v>73.7079846079846</v>
      </c>
      <c r="N1435" s="74">
        <f t="shared" si="1"/>
        <v>221.1239538</v>
      </c>
      <c r="O1435" s="74" t="b">
        <v>1</v>
      </c>
    </row>
    <row r="1436" hidden="1">
      <c r="A1436" s="82"/>
      <c r="B1436" s="65" t="s">
        <v>495</v>
      </c>
      <c r="C1436" s="65" t="s">
        <v>92</v>
      </c>
      <c r="D1436" s="65" t="str">
        <f>vlookup(C1436,'Classificação p pessoal'!F:G,2,false)</f>
        <v/>
      </c>
      <c r="E1436" s="65" t="s">
        <v>844</v>
      </c>
      <c r="F1436" s="83">
        <v>0.7083333333333334</v>
      </c>
      <c r="G1436" s="83">
        <v>0.75</v>
      </c>
      <c r="H1436" s="83">
        <v>0.041666666666666664</v>
      </c>
      <c r="I1436" s="84">
        <v>44259.0</v>
      </c>
      <c r="J1436" s="65" t="b">
        <v>1</v>
      </c>
      <c r="K1436" s="65"/>
      <c r="L1436" s="85" t="b">
        <f>IF(VLOOKUP(C1436,Projetos!A:L,12,false)=TRUE,TRUE,FALSE)</f>
        <v>1</v>
      </c>
      <c r="M1436" s="74">
        <v>73.7079846079846</v>
      </c>
      <c r="N1436" s="74">
        <f t="shared" si="1"/>
        <v>73.70798461</v>
      </c>
      <c r="O1436" s="74" t="b">
        <v>1</v>
      </c>
    </row>
    <row r="1437" hidden="1">
      <c r="A1437" s="82"/>
      <c r="B1437" s="65" t="s">
        <v>495</v>
      </c>
      <c r="C1437" s="65" t="s">
        <v>92</v>
      </c>
      <c r="D1437" s="65" t="str">
        <f>vlookup(C1437,'Classificação p pessoal'!F:G,2,false)</f>
        <v/>
      </c>
      <c r="E1437" s="65" t="s">
        <v>834</v>
      </c>
      <c r="F1437" s="83">
        <v>0.4166666666666667</v>
      </c>
      <c r="G1437" s="83">
        <v>0.5416666666666666</v>
      </c>
      <c r="H1437" s="83">
        <v>0.125</v>
      </c>
      <c r="I1437" s="84">
        <v>44260.0</v>
      </c>
      <c r="J1437" s="65" t="b">
        <v>1</v>
      </c>
      <c r="K1437" s="65"/>
      <c r="L1437" s="85" t="b">
        <f>IF(VLOOKUP(C1437,Projetos!A:L,12,false)=TRUE,TRUE,FALSE)</f>
        <v>1</v>
      </c>
      <c r="M1437" s="74">
        <v>73.7079846079846</v>
      </c>
      <c r="N1437" s="74">
        <f t="shared" si="1"/>
        <v>221.1239538</v>
      </c>
      <c r="O1437" s="74" t="b">
        <v>1</v>
      </c>
    </row>
    <row r="1438" hidden="1">
      <c r="A1438" s="82"/>
      <c r="B1438" s="65" t="s">
        <v>495</v>
      </c>
      <c r="C1438" s="65" t="s">
        <v>101</v>
      </c>
      <c r="D1438" s="65" t="str">
        <f>vlookup(C1438,'Classificação p pessoal'!F:G,2,false)</f>
        <v>NP</v>
      </c>
      <c r="E1438" s="65" t="s">
        <v>845</v>
      </c>
      <c r="F1438" s="83">
        <v>0.5833333333333334</v>
      </c>
      <c r="G1438" s="83">
        <v>0.6458333333333334</v>
      </c>
      <c r="H1438" s="83">
        <v>0.0625</v>
      </c>
      <c r="I1438" s="84">
        <v>44260.0</v>
      </c>
      <c r="J1438" s="65" t="b">
        <v>1</v>
      </c>
      <c r="K1438" s="65"/>
      <c r="L1438" s="85" t="b">
        <f>IF(VLOOKUP(C1438,Projetos!A:L,12,false)=TRUE,TRUE,FALSE)</f>
        <v>1</v>
      </c>
      <c r="M1438" s="74">
        <v>73.7079846079846</v>
      </c>
      <c r="N1438" s="74">
        <f t="shared" si="1"/>
        <v>110.5619769</v>
      </c>
      <c r="O1438" s="74" t="b">
        <v>1</v>
      </c>
    </row>
    <row r="1439" hidden="1">
      <c r="A1439" s="82"/>
      <c r="B1439" s="65" t="s">
        <v>495</v>
      </c>
      <c r="C1439" s="65" t="s">
        <v>92</v>
      </c>
      <c r="D1439" s="65" t="str">
        <f>vlookup(C1439,'Classificação p pessoal'!F:G,2,false)</f>
        <v/>
      </c>
      <c r="E1439" s="65" t="s">
        <v>846</v>
      </c>
      <c r="F1439" s="83">
        <v>0.6458333333333334</v>
      </c>
      <c r="G1439" s="83">
        <v>0.75</v>
      </c>
      <c r="H1439" s="83">
        <v>0.10416666666666667</v>
      </c>
      <c r="I1439" s="84">
        <v>44260.0</v>
      </c>
      <c r="J1439" s="65" t="b">
        <v>1</v>
      </c>
      <c r="K1439" s="65"/>
      <c r="L1439" s="85" t="b">
        <f>IF(VLOOKUP(C1439,Projetos!A:L,12,false)=TRUE,TRUE,FALSE)</f>
        <v>1</v>
      </c>
      <c r="M1439" s="74">
        <v>73.7079846079846</v>
      </c>
      <c r="N1439" s="74">
        <f t="shared" si="1"/>
        <v>184.2699615</v>
      </c>
      <c r="O1439" s="74" t="b">
        <v>1</v>
      </c>
    </row>
    <row r="1440" hidden="1">
      <c r="A1440" s="82"/>
      <c r="B1440" s="65" t="s">
        <v>495</v>
      </c>
      <c r="C1440" s="65" t="s">
        <v>92</v>
      </c>
      <c r="D1440" s="65" t="str">
        <f>vlookup(C1440,'Classificação p pessoal'!F:G,2,false)</f>
        <v/>
      </c>
      <c r="E1440" s="65" t="s">
        <v>847</v>
      </c>
      <c r="F1440" s="83">
        <v>0.34375</v>
      </c>
      <c r="G1440" s="83">
        <v>0.5416666666666666</v>
      </c>
      <c r="H1440" s="83">
        <v>0.19791666666666666</v>
      </c>
      <c r="I1440" s="84">
        <v>44263.0</v>
      </c>
      <c r="J1440" s="65" t="b">
        <v>1</v>
      </c>
      <c r="K1440" s="65"/>
      <c r="L1440" s="85" t="b">
        <f>IF(VLOOKUP(C1440,Projetos!A:L,12,false)=TRUE,TRUE,FALSE)</f>
        <v>1</v>
      </c>
      <c r="M1440" s="74">
        <v>73.7079846079846</v>
      </c>
      <c r="N1440" s="74">
        <f t="shared" si="1"/>
        <v>350.1129269</v>
      </c>
      <c r="O1440" s="74" t="b">
        <v>1</v>
      </c>
    </row>
    <row r="1441" hidden="1">
      <c r="A1441" s="82"/>
      <c r="B1441" s="65" t="s">
        <v>495</v>
      </c>
      <c r="C1441" s="65" t="s">
        <v>92</v>
      </c>
      <c r="D1441" s="65" t="str">
        <f>vlookup(C1441,'Classificação p pessoal'!F:G,2,false)</f>
        <v/>
      </c>
      <c r="E1441" s="65" t="s">
        <v>847</v>
      </c>
      <c r="F1441" s="83">
        <v>0.5833333333333334</v>
      </c>
      <c r="G1441" s="83">
        <v>0.6666666666666666</v>
      </c>
      <c r="H1441" s="83">
        <v>0.08333333333333333</v>
      </c>
      <c r="I1441" s="84">
        <v>44263.0</v>
      </c>
      <c r="J1441" s="65" t="b">
        <v>1</v>
      </c>
      <c r="K1441" s="65"/>
      <c r="L1441" s="85" t="b">
        <f>IF(VLOOKUP(C1441,Projetos!A:L,12,false)=TRUE,TRUE,FALSE)</f>
        <v>1</v>
      </c>
      <c r="M1441" s="74">
        <v>73.7079846079846</v>
      </c>
      <c r="N1441" s="74">
        <f t="shared" si="1"/>
        <v>147.4159692</v>
      </c>
      <c r="O1441" s="74" t="b">
        <v>1</v>
      </c>
    </row>
    <row r="1442" hidden="1">
      <c r="A1442" s="82"/>
      <c r="B1442" s="65" t="s">
        <v>495</v>
      </c>
      <c r="C1442" s="65" t="s">
        <v>92</v>
      </c>
      <c r="D1442" s="65" t="str">
        <f>vlookup(C1442,'Classificação p pessoal'!F:G,2,false)</f>
        <v/>
      </c>
      <c r="E1442" s="65" t="s">
        <v>848</v>
      </c>
      <c r="F1442" s="83">
        <v>0.6666666666666666</v>
      </c>
      <c r="G1442" s="83">
        <v>0.6875</v>
      </c>
      <c r="H1442" s="83">
        <v>0.020833333333333332</v>
      </c>
      <c r="I1442" s="84">
        <v>44263.0</v>
      </c>
      <c r="J1442" s="65" t="b">
        <v>1</v>
      </c>
      <c r="K1442" s="65"/>
      <c r="L1442" s="85" t="b">
        <f>IF(VLOOKUP(C1442,Projetos!A:L,12,false)=TRUE,TRUE,FALSE)</f>
        <v>1</v>
      </c>
      <c r="M1442" s="74">
        <v>73.7079846079846</v>
      </c>
      <c r="N1442" s="74">
        <f t="shared" si="1"/>
        <v>36.8539923</v>
      </c>
      <c r="O1442" s="74" t="b">
        <v>1</v>
      </c>
    </row>
    <row r="1443" hidden="1">
      <c r="A1443" s="82"/>
      <c r="B1443" s="65" t="s">
        <v>495</v>
      </c>
      <c r="C1443" s="65" t="s">
        <v>92</v>
      </c>
      <c r="D1443" s="65" t="str">
        <f>vlookup(C1443,'Classificação p pessoal'!F:G,2,false)</f>
        <v/>
      </c>
      <c r="E1443" s="65" t="s">
        <v>834</v>
      </c>
      <c r="F1443" s="83">
        <v>0.6979166666666666</v>
      </c>
      <c r="G1443" s="83">
        <v>0.75</v>
      </c>
      <c r="H1443" s="83">
        <v>0.052083333333333336</v>
      </c>
      <c r="I1443" s="84">
        <v>44263.0</v>
      </c>
      <c r="J1443" s="65" t="b">
        <v>1</v>
      </c>
      <c r="K1443" s="65"/>
      <c r="L1443" s="85" t="b">
        <f>IF(VLOOKUP(C1443,Projetos!A:L,12,false)=TRUE,TRUE,FALSE)</f>
        <v>1</v>
      </c>
      <c r="M1443" s="74">
        <v>73.7079846079846</v>
      </c>
      <c r="N1443" s="74">
        <f t="shared" si="1"/>
        <v>92.13498076</v>
      </c>
      <c r="O1443" s="74" t="b">
        <v>1</v>
      </c>
    </row>
    <row r="1444" hidden="1">
      <c r="A1444" s="82"/>
      <c r="B1444" s="65" t="s">
        <v>495</v>
      </c>
      <c r="C1444" s="65" t="s">
        <v>92</v>
      </c>
      <c r="D1444" s="65"/>
      <c r="E1444" s="65" t="s">
        <v>849</v>
      </c>
      <c r="F1444" s="83">
        <v>0.3645833333333333</v>
      </c>
      <c r="G1444" s="83">
        <v>0.5416666666666666</v>
      </c>
      <c r="H1444" s="83">
        <v>0.17708333333333334</v>
      </c>
      <c r="I1444" s="84">
        <v>44264.0</v>
      </c>
      <c r="J1444" s="65" t="b">
        <v>0</v>
      </c>
      <c r="K1444" s="65" t="s">
        <v>150</v>
      </c>
      <c r="L1444" s="85" t="b">
        <f>IF(VLOOKUP(C1444,Projetos!A:L,12,false)=TRUE,TRUE,FALSE)</f>
        <v>1</v>
      </c>
      <c r="M1444" s="74">
        <v>73.7079846079846</v>
      </c>
      <c r="N1444" s="74">
        <f t="shared" si="1"/>
        <v>0</v>
      </c>
      <c r="O1444" s="74" t="b">
        <v>1</v>
      </c>
    </row>
    <row r="1445" hidden="1">
      <c r="A1445" s="82"/>
      <c r="B1445" s="65" t="s">
        <v>495</v>
      </c>
      <c r="C1445" s="65" t="s">
        <v>92</v>
      </c>
      <c r="D1445" s="65" t="str">
        <f>vlookup(C1445,'Classificação p pessoal'!F:G,2,false)</f>
        <v/>
      </c>
      <c r="E1445" s="65" t="s">
        <v>850</v>
      </c>
      <c r="F1445" s="83">
        <v>0.5833333333333334</v>
      </c>
      <c r="G1445" s="83">
        <v>0.625</v>
      </c>
      <c r="H1445" s="83">
        <v>0.041666666666666664</v>
      </c>
      <c r="I1445" s="84">
        <v>44264.0</v>
      </c>
      <c r="J1445" s="65" t="b">
        <v>1</v>
      </c>
      <c r="K1445" s="65"/>
      <c r="L1445" s="85" t="b">
        <f>IF(VLOOKUP(C1445,Projetos!A:L,12,false)=TRUE,TRUE,FALSE)</f>
        <v>1</v>
      </c>
      <c r="M1445" s="74">
        <v>73.7079846079846</v>
      </c>
      <c r="N1445" s="74">
        <f t="shared" si="1"/>
        <v>73.70798461</v>
      </c>
      <c r="O1445" s="74" t="b">
        <v>1</v>
      </c>
    </row>
    <row r="1446">
      <c r="A1446" s="82"/>
      <c r="B1446" s="65" t="s">
        <v>495</v>
      </c>
      <c r="C1446" s="65" t="s">
        <v>108</v>
      </c>
      <c r="D1446" s="65" t="str">
        <f>vlookup(C1446,'Classificação p pessoal'!F:G,2,false)</f>
        <v>NP</v>
      </c>
      <c r="E1446" s="65" t="s">
        <v>851</v>
      </c>
      <c r="F1446" s="83">
        <v>0.625</v>
      </c>
      <c r="G1446" s="83">
        <v>0.75</v>
      </c>
      <c r="H1446" s="83">
        <v>0.125</v>
      </c>
      <c r="I1446" s="84">
        <v>44264.0</v>
      </c>
      <c r="J1446" s="65" t="b">
        <v>1</v>
      </c>
      <c r="K1446" s="65"/>
      <c r="L1446" s="85" t="b">
        <f>IF(VLOOKUP(C1446,Projetos!A:L,12,false)=TRUE,TRUE,FALSE)</f>
        <v>1</v>
      </c>
      <c r="M1446" s="74">
        <v>73.7079846079846</v>
      </c>
      <c r="N1446" s="74">
        <f t="shared" si="1"/>
        <v>221.1239538</v>
      </c>
      <c r="O1446" s="74" t="b">
        <v>1</v>
      </c>
    </row>
    <row r="1447" hidden="1">
      <c r="A1447" s="82"/>
      <c r="B1447" s="65" t="s">
        <v>495</v>
      </c>
      <c r="C1447" s="65" t="s">
        <v>92</v>
      </c>
      <c r="D1447" s="65" t="str">
        <f>vlookup(C1447,'Classificação p pessoal'!F:G,2,false)</f>
        <v/>
      </c>
      <c r="E1447" s="65" t="s">
        <v>852</v>
      </c>
      <c r="F1447" s="83">
        <v>0.3333333333333333</v>
      </c>
      <c r="G1447" s="83">
        <v>0.5416666666666666</v>
      </c>
      <c r="H1447" s="83">
        <v>0.20833333333333334</v>
      </c>
      <c r="I1447" s="84">
        <v>44265.0</v>
      </c>
      <c r="J1447" s="65" t="b">
        <v>1</v>
      </c>
      <c r="K1447" s="65"/>
      <c r="L1447" s="85" t="b">
        <f>IF(VLOOKUP(C1447,Projetos!A:L,12,false)=TRUE,TRUE,FALSE)</f>
        <v>1</v>
      </c>
      <c r="M1447" s="74">
        <v>73.7079846079846</v>
      </c>
      <c r="N1447" s="74">
        <f t="shared" si="1"/>
        <v>368.539923</v>
      </c>
      <c r="O1447" s="74" t="b">
        <v>1</v>
      </c>
    </row>
    <row r="1448">
      <c r="A1448" s="82"/>
      <c r="B1448" s="65" t="s">
        <v>495</v>
      </c>
      <c r="C1448" s="65" t="s">
        <v>108</v>
      </c>
      <c r="D1448" s="65" t="str">
        <f>vlookup(C1448,'Classificação p pessoal'!F:G,2,false)</f>
        <v>NP</v>
      </c>
      <c r="E1448" s="65" t="s">
        <v>853</v>
      </c>
      <c r="F1448" s="83">
        <v>0.5833333333333334</v>
      </c>
      <c r="G1448" s="83">
        <v>0.6041666666666666</v>
      </c>
      <c r="H1448" s="83">
        <v>0.020833333333333332</v>
      </c>
      <c r="I1448" s="84">
        <v>44265.0</v>
      </c>
      <c r="J1448" s="65" t="b">
        <v>1</v>
      </c>
      <c r="K1448" s="65"/>
      <c r="L1448" s="85" t="b">
        <f>IF(VLOOKUP(C1448,Projetos!A:L,12,false)=TRUE,TRUE,FALSE)</f>
        <v>1</v>
      </c>
      <c r="M1448" s="74">
        <v>73.7079846079846</v>
      </c>
      <c r="N1448" s="74">
        <f t="shared" si="1"/>
        <v>36.8539923</v>
      </c>
      <c r="O1448" s="74" t="b">
        <v>1</v>
      </c>
    </row>
    <row r="1449" hidden="1">
      <c r="A1449" s="82"/>
      <c r="B1449" s="65" t="s">
        <v>495</v>
      </c>
      <c r="C1449" s="65" t="s">
        <v>92</v>
      </c>
      <c r="D1449" s="65" t="str">
        <f>vlookup(C1449,'Classificação p pessoal'!F:G,2,false)</f>
        <v/>
      </c>
      <c r="E1449" s="65" t="s">
        <v>854</v>
      </c>
      <c r="F1449" s="83">
        <v>0.6041666666666666</v>
      </c>
      <c r="G1449" s="83">
        <v>0.75</v>
      </c>
      <c r="H1449" s="83">
        <v>0.14583333333333334</v>
      </c>
      <c r="I1449" s="84">
        <v>44265.0</v>
      </c>
      <c r="J1449" s="65" t="b">
        <v>1</v>
      </c>
      <c r="K1449" s="65"/>
      <c r="L1449" s="85" t="b">
        <f>IF(VLOOKUP(C1449,Projetos!A:L,12,false)=TRUE,TRUE,FALSE)</f>
        <v>1</v>
      </c>
      <c r="M1449" s="74">
        <v>73.7079846079846</v>
      </c>
      <c r="N1449" s="74">
        <f t="shared" si="1"/>
        <v>257.9779461</v>
      </c>
      <c r="O1449" s="74" t="b">
        <v>1</v>
      </c>
    </row>
    <row r="1450" hidden="1">
      <c r="A1450" s="82"/>
      <c r="B1450" s="65" t="s">
        <v>495</v>
      </c>
      <c r="C1450" s="65" t="s">
        <v>92</v>
      </c>
      <c r="D1450" s="65" t="str">
        <f>vlookup(C1450,'Classificação p pessoal'!F:G,2,false)</f>
        <v/>
      </c>
      <c r="E1450" s="65" t="s">
        <v>850</v>
      </c>
      <c r="F1450" s="83">
        <v>0.4166666666666667</v>
      </c>
      <c r="G1450" s="83">
        <v>0.5416666666666666</v>
      </c>
      <c r="H1450" s="83">
        <v>0.125</v>
      </c>
      <c r="I1450" s="84">
        <v>44266.0</v>
      </c>
      <c r="J1450" s="65" t="b">
        <v>1</v>
      </c>
      <c r="K1450" s="65"/>
      <c r="L1450" s="85" t="b">
        <f>IF(VLOOKUP(C1450,Projetos!A:L,12,false)=TRUE,TRUE,FALSE)</f>
        <v>1</v>
      </c>
      <c r="M1450" s="74">
        <v>73.7079846079846</v>
      </c>
      <c r="N1450" s="74">
        <f t="shared" si="1"/>
        <v>221.1239538</v>
      </c>
      <c r="O1450" s="74" t="b">
        <v>1</v>
      </c>
    </row>
    <row r="1451" hidden="1">
      <c r="A1451" s="82"/>
      <c r="B1451" s="65" t="s">
        <v>495</v>
      </c>
      <c r="C1451" s="65" t="s">
        <v>104</v>
      </c>
      <c r="D1451" s="65" t="str">
        <f>vlookup(C1451,'Classificação p pessoal'!F:G,2,false)</f>
        <v>NP</v>
      </c>
      <c r="E1451" s="65" t="s">
        <v>855</v>
      </c>
      <c r="F1451" s="83">
        <v>0.34375</v>
      </c>
      <c r="G1451" s="83">
        <v>0.375</v>
      </c>
      <c r="H1451" s="83">
        <v>0.03125</v>
      </c>
      <c r="I1451" s="84">
        <v>44266.0</v>
      </c>
      <c r="J1451" s="65" t="b">
        <v>1</v>
      </c>
      <c r="K1451" s="65"/>
      <c r="L1451" s="85" t="b">
        <f>IF(VLOOKUP(C1451,Projetos!A:L,12,false)=TRUE,TRUE,FALSE)</f>
        <v>1</v>
      </c>
      <c r="M1451" s="74">
        <v>73.7079846079846</v>
      </c>
      <c r="N1451" s="74">
        <f t="shared" si="1"/>
        <v>55.28098846</v>
      </c>
      <c r="O1451" s="74" t="b">
        <v>1</v>
      </c>
    </row>
    <row r="1452" hidden="1">
      <c r="A1452" s="82"/>
      <c r="B1452" s="65" t="s">
        <v>495</v>
      </c>
      <c r="C1452" s="65" t="s">
        <v>92</v>
      </c>
      <c r="D1452" s="65" t="str">
        <f>vlookup(C1452,'Classificação p pessoal'!F:G,2,false)</f>
        <v/>
      </c>
      <c r="E1452" s="65" t="s">
        <v>836</v>
      </c>
      <c r="F1452" s="83">
        <v>0.4166666666666667</v>
      </c>
      <c r="G1452" s="83">
        <v>0.5416666666666666</v>
      </c>
      <c r="H1452" s="83">
        <v>0.125</v>
      </c>
      <c r="I1452" s="84">
        <v>44266.0</v>
      </c>
      <c r="J1452" s="65" t="b">
        <v>1</v>
      </c>
      <c r="K1452" s="65"/>
      <c r="L1452" s="85" t="b">
        <f>IF(VLOOKUP(C1452,Projetos!A:L,12,false)=TRUE,TRUE,FALSE)</f>
        <v>1</v>
      </c>
      <c r="M1452" s="74">
        <v>73.7079846079846</v>
      </c>
      <c r="N1452" s="74">
        <f t="shared" si="1"/>
        <v>221.1239538</v>
      </c>
      <c r="O1452" s="74" t="b">
        <v>1</v>
      </c>
    </row>
    <row r="1453" hidden="1">
      <c r="A1453" s="82"/>
      <c r="B1453" s="65" t="s">
        <v>495</v>
      </c>
      <c r="C1453" s="65" t="s">
        <v>92</v>
      </c>
      <c r="D1453" s="65" t="str">
        <f>vlookup(C1453,'Classificação p pessoal'!F:G,2,false)</f>
        <v/>
      </c>
      <c r="E1453" s="65" t="s">
        <v>836</v>
      </c>
      <c r="F1453" s="83">
        <v>0.5833333333333334</v>
      </c>
      <c r="G1453" s="83">
        <v>0.75</v>
      </c>
      <c r="H1453" s="83">
        <v>0.16666666666666666</v>
      </c>
      <c r="I1453" s="84">
        <v>44266.0</v>
      </c>
      <c r="J1453" s="65" t="b">
        <v>1</v>
      </c>
      <c r="K1453" s="65"/>
      <c r="L1453" s="85" t="b">
        <f>IF(VLOOKUP(C1453,Projetos!A:L,12,false)=TRUE,TRUE,FALSE)</f>
        <v>1</v>
      </c>
      <c r="M1453" s="74">
        <v>73.7079846079846</v>
      </c>
      <c r="N1453" s="74">
        <f t="shared" si="1"/>
        <v>294.8319384</v>
      </c>
      <c r="O1453" s="74" t="b">
        <v>1</v>
      </c>
    </row>
    <row r="1454" hidden="1">
      <c r="A1454" s="82"/>
      <c r="B1454" s="65" t="s">
        <v>495</v>
      </c>
      <c r="C1454" s="65" t="s">
        <v>104</v>
      </c>
      <c r="D1454" s="65" t="str">
        <f>vlookup(C1454,'Classificação p pessoal'!F:G,2,false)</f>
        <v>NP</v>
      </c>
      <c r="E1454" s="65" t="s">
        <v>855</v>
      </c>
      <c r="F1454" s="83">
        <v>0.34375</v>
      </c>
      <c r="G1454" s="83">
        <v>0.375</v>
      </c>
      <c r="H1454" s="83">
        <v>0.03125</v>
      </c>
      <c r="I1454" s="84">
        <v>44267.0</v>
      </c>
      <c r="J1454" s="65" t="b">
        <v>1</v>
      </c>
      <c r="K1454" s="65"/>
      <c r="L1454" s="85" t="b">
        <f>IF(VLOOKUP(C1454,Projetos!A:L,12,false)=TRUE,TRUE,FALSE)</f>
        <v>1</v>
      </c>
      <c r="M1454" s="74">
        <v>73.7079846079846</v>
      </c>
      <c r="N1454" s="74">
        <f t="shared" si="1"/>
        <v>55.28098846</v>
      </c>
      <c r="O1454" s="74" t="b">
        <v>1</v>
      </c>
    </row>
    <row r="1455" hidden="1">
      <c r="A1455" s="82"/>
      <c r="B1455" s="65" t="s">
        <v>495</v>
      </c>
      <c r="C1455" s="65" t="s">
        <v>92</v>
      </c>
      <c r="D1455" s="65" t="str">
        <f>vlookup(C1455,'Classificação p pessoal'!F:G,2,false)</f>
        <v/>
      </c>
      <c r="E1455" s="65" t="s">
        <v>836</v>
      </c>
      <c r="F1455" s="83">
        <v>0.4583333333333333</v>
      </c>
      <c r="G1455" s="83">
        <v>0.5416666666666666</v>
      </c>
      <c r="H1455" s="83">
        <v>0.08333333333333333</v>
      </c>
      <c r="I1455" s="84">
        <v>44267.0</v>
      </c>
      <c r="J1455" s="65" t="b">
        <v>1</v>
      </c>
      <c r="K1455" s="65"/>
      <c r="L1455" s="85" t="b">
        <f>IF(VLOOKUP(C1455,Projetos!A:L,12,false)=TRUE,TRUE,FALSE)</f>
        <v>1</v>
      </c>
      <c r="M1455" s="74">
        <v>73.7079846079846</v>
      </c>
      <c r="N1455" s="74">
        <f t="shared" si="1"/>
        <v>147.4159692</v>
      </c>
      <c r="O1455" s="74" t="b">
        <v>1</v>
      </c>
    </row>
    <row r="1456" hidden="1">
      <c r="A1456" s="82"/>
      <c r="B1456" s="65" t="s">
        <v>495</v>
      </c>
      <c r="C1456" s="65" t="s">
        <v>92</v>
      </c>
      <c r="D1456" s="65" t="str">
        <f>vlookup(C1456,'Classificação p pessoal'!F:G,2,false)</f>
        <v/>
      </c>
      <c r="E1456" s="65" t="s">
        <v>836</v>
      </c>
      <c r="F1456" s="83">
        <v>0.6875</v>
      </c>
      <c r="G1456" s="83">
        <v>0.75</v>
      </c>
      <c r="H1456" s="83">
        <v>0.0625</v>
      </c>
      <c r="I1456" s="84">
        <v>44267.0</v>
      </c>
      <c r="J1456" s="65" t="b">
        <v>1</v>
      </c>
      <c r="K1456" s="65"/>
      <c r="L1456" s="85" t="b">
        <f>IF(VLOOKUP(C1456,Projetos!A:L,12,false)=TRUE,TRUE,FALSE)</f>
        <v>1</v>
      </c>
      <c r="M1456" s="74">
        <v>73.7079846079846</v>
      </c>
      <c r="N1456" s="74">
        <f t="shared" si="1"/>
        <v>110.5619769</v>
      </c>
      <c r="O1456" s="74" t="b">
        <v>1</v>
      </c>
    </row>
    <row r="1457" hidden="1">
      <c r="A1457" s="82"/>
      <c r="B1457" s="65" t="s">
        <v>495</v>
      </c>
      <c r="C1457" s="65" t="s">
        <v>117</v>
      </c>
      <c r="D1457" s="65" t="str">
        <f>vlookup(C1457,'Classificação p pessoal'!F:G,2,false)</f>
        <v>NP</v>
      </c>
      <c r="E1457" s="65" t="s">
        <v>834</v>
      </c>
      <c r="F1457" s="83">
        <v>0.4583333333333333</v>
      </c>
      <c r="G1457" s="83">
        <v>0.5625</v>
      </c>
      <c r="H1457" s="83">
        <v>0.10416666666666667</v>
      </c>
      <c r="I1457" s="84">
        <v>44270.0</v>
      </c>
      <c r="J1457" s="65" t="b">
        <v>1</v>
      </c>
      <c r="K1457" s="65"/>
      <c r="L1457" s="85" t="b">
        <f>IF(VLOOKUP(C1457,Projetos!A:L,12,false)=TRUE,TRUE,FALSE)</f>
        <v>1</v>
      </c>
      <c r="M1457" s="74">
        <v>73.7079846079846</v>
      </c>
      <c r="N1457" s="74">
        <f t="shared" si="1"/>
        <v>184.2699615</v>
      </c>
      <c r="O1457" s="74" t="b">
        <v>1</v>
      </c>
    </row>
    <row r="1458" hidden="1">
      <c r="A1458" s="82"/>
      <c r="B1458" s="65" t="s">
        <v>495</v>
      </c>
      <c r="C1458" s="65" t="s">
        <v>130</v>
      </c>
      <c r="D1458" s="65" t="str">
        <f>vlookup(C1458,'Classificação p pessoal'!F:G,2,false)</f>
        <v>NP</v>
      </c>
      <c r="E1458" s="65" t="s">
        <v>856</v>
      </c>
      <c r="F1458" s="83">
        <v>0.6666666666666666</v>
      </c>
      <c r="G1458" s="83">
        <v>0.75</v>
      </c>
      <c r="H1458" s="83">
        <v>0.08333333333333333</v>
      </c>
      <c r="I1458" s="84">
        <v>44270.0</v>
      </c>
      <c r="J1458" s="65" t="b">
        <v>1</v>
      </c>
      <c r="K1458" s="65"/>
      <c r="L1458" s="85" t="b">
        <f>IF(VLOOKUP(C1458,Projetos!A:L,12,false)=TRUE,TRUE,FALSE)</f>
        <v>1</v>
      </c>
      <c r="M1458" s="74">
        <v>73.7079846079846</v>
      </c>
      <c r="N1458" s="74">
        <f t="shared" si="1"/>
        <v>147.4159692</v>
      </c>
      <c r="O1458" s="74" t="b">
        <v>1</v>
      </c>
    </row>
    <row r="1459" hidden="1">
      <c r="A1459" s="82"/>
      <c r="B1459" s="65" t="s">
        <v>495</v>
      </c>
      <c r="C1459" s="65" t="s">
        <v>130</v>
      </c>
      <c r="D1459" s="65" t="str">
        <f>vlookup(C1459,'Classificação p pessoal'!F:G,2,false)</f>
        <v>NP</v>
      </c>
      <c r="E1459" s="65" t="s">
        <v>856</v>
      </c>
      <c r="F1459" s="83">
        <v>0.34375</v>
      </c>
      <c r="G1459" s="83">
        <v>0.5416666666666666</v>
      </c>
      <c r="H1459" s="83">
        <v>0.19791666666666666</v>
      </c>
      <c r="I1459" s="84">
        <v>44271.0</v>
      </c>
      <c r="J1459" s="65" t="b">
        <v>1</v>
      </c>
      <c r="K1459" s="65"/>
      <c r="L1459" s="85" t="b">
        <f>IF(VLOOKUP(C1459,Projetos!A:L,12,false)=TRUE,TRUE,FALSE)</f>
        <v>1</v>
      </c>
      <c r="M1459" s="74">
        <v>73.7079846079846</v>
      </c>
      <c r="N1459" s="74">
        <f t="shared" si="1"/>
        <v>350.1129269</v>
      </c>
      <c r="O1459" s="74" t="b">
        <v>1</v>
      </c>
    </row>
    <row r="1460">
      <c r="A1460" s="82"/>
      <c r="B1460" s="65" t="s">
        <v>495</v>
      </c>
      <c r="C1460" s="65" t="s">
        <v>108</v>
      </c>
      <c r="D1460" s="65" t="str">
        <f>vlookup(C1460,'Classificação p pessoal'!F:G,2,false)</f>
        <v>NP</v>
      </c>
      <c r="E1460" s="65" t="s">
        <v>853</v>
      </c>
      <c r="F1460" s="83">
        <v>0.5833333333333334</v>
      </c>
      <c r="G1460" s="83">
        <v>0.6041666666666666</v>
      </c>
      <c r="H1460" s="83">
        <v>0.020833333333333332</v>
      </c>
      <c r="I1460" s="84">
        <v>44271.0</v>
      </c>
      <c r="J1460" s="65" t="b">
        <v>1</v>
      </c>
      <c r="K1460" s="65"/>
      <c r="L1460" s="85" t="b">
        <f>IF(VLOOKUP(C1460,Projetos!A:L,12,false)=TRUE,TRUE,FALSE)</f>
        <v>1</v>
      </c>
      <c r="M1460" s="74">
        <v>73.7079846079846</v>
      </c>
      <c r="N1460" s="74">
        <f t="shared" si="1"/>
        <v>36.8539923</v>
      </c>
      <c r="O1460" s="74" t="b">
        <v>1</v>
      </c>
    </row>
    <row r="1461" hidden="1">
      <c r="A1461" s="82"/>
      <c r="B1461" s="65" t="s">
        <v>495</v>
      </c>
      <c r="C1461" s="65" t="s">
        <v>130</v>
      </c>
      <c r="D1461" s="65" t="str">
        <f>vlookup(C1461,'Classificação p pessoal'!F:G,2,false)</f>
        <v>NP</v>
      </c>
      <c r="E1461" s="65" t="s">
        <v>857</v>
      </c>
      <c r="F1461" s="83">
        <v>0.6666666666666666</v>
      </c>
      <c r="G1461" s="83">
        <v>0.75</v>
      </c>
      <c r="H1461" s="83">
        <v>0.08333333333333333</v>
      </c>
      <c r="I1461" s="84">
        <v>44271.0</v>
      </c>
      <c r="J1461" s="65" t="b">
        <v>1</v>
      </c>
      <c r="K1461" s="65"/>
      <c r="L1461" s="85" t="b">
        <f>IF(VLOOKUP(C1461,Projetos!A:L,12,false)=TRUE,TRUE,FALSE)</f>
        <v>1</v>
      </c>
      <c r="M1461" s="74">
        <v>73.7079846079846</v>
      </c>
      <c r="N1461" s="74">
        <f t="shared" si="1"/>
        <v>147.4159692</v>
      </c>
      <c r="O1461" s="74" t="b">
        <v>1</v>
      </c>
    </row>
    <row r="1462" hidden="1">
      <c r="A1462" s="82"/>
      <c r="B1462" s="65" t="s">
        <v>495</v>
      </c>
      <c r="C1462" s="65" t="s">
        <v>130</v>
      </c>
      <c r="D1462" s="65" t="str">
        <f>vlookup(C1462,'Classificação p pessoal'!F:G,2,false)</f>
        <v>NP</v>
      </c>
      <c r="E1462" s="65" t="s">
        <v>857</v>
      </c>
      <c r="F1462" s="83">
        <v>0.34375</v>
      </c>
      <c r="G1462" s="83">
        <v>0.4375</v>
      </c>
      <c r="H1462" s="83">
        <v>0.09375</v>
      </c>
      <c r="I1462" s="84">
        <v>44272.0</v>
      </c>
      <c r="J1462" s="65" t="b">
        <v>1</v>
      </c>
      <c r="K1462" s="65"/>
      <c r="L1462" s="85" t="b">
        <f>IF(VLOOKUP(C1462,Projetos!A:L,12,false)=TRUE,TRUE,FALSE)</f>
        <v>1</v>
      </c>
      <c r="M1462" s="74">
        <v>73.7079846079846</v>
      </c>
      <c r="N1462" s="74">
        <f t="shared" si="1"/>
        <v>165.8429654</v>
      </c>
      <c r="O1462" s="74" t="b">
        <v>1</v>
      </c>
    </row>
    <row r="1463">
      <c r="A1463" s="82"/>
      <c r="B1463" s="65" t="s">
        <v>495</v>
      </c>
      <c r="C1463" s="65" t="s">
        <v>108</v>
      </c>
      <c r="D1463" s="65" t="str">
        <f>vlookup(C1463,'Classificação p pessoal'!F:G,2,false)</f>
        <v>NP</v>
      </c>
      <c r="E1463" s="65" t="s">
        <v>858</v>
      </c>
      <c r="F1463" s="83">
        <v>0.4375</v>
      </c>
      <c r="G1463" s="83">
        <v>0.4791666666666667</v>
      </c>
      <c r="H1463" s="83">
        <v>0.041666666666666664</v>
      </c>
      <c r="I1463" s="84">
        <v>44272.0</v>
      </c>
      <c r="J1463" s="65" t="b">
        <v>1</v>
      </c>
      <c r="K1463" s="65"/>
      <c r="L1463" s="85" t="b">
        <f>IF(VLOOKUP(C1463,Projetos!A:L,12,false)=TRUE,TRUE,FALSE)</f>
        <v>1</v>
      </c>
      <c r="M1463" s="74">
        <v>73.7079846079846</v>
      </c>
      <c r="N1463" s="74">
        <f t="shared" si="1"/>
        <v>73.70798461</v>
      </c>
      <c r="O1463" s="74" t="b">
        <v>1</v>
      </c>
    </row>
    <row r="1464" hidden="1">
      <c r="A1464" s="82"/>
      <c r="B1464" s="65" t="s">
        <v>495</v>
      </c>
      <c r="C1464" s="65" t="s">
        <v>92</v>
      </c>
      <c r="D1464" s="65" t="str">
        <f>vlookup(C1464,'Classificação p pessoal'!F:G,2,false)</f>
        <v/>
      </c>
      <c r="E1464" s="65" t="s">
        <v>836</v>
      </c>
      <c r="F1464" s="83">
        <v>0.4791666666666667</v>
      </c>
      <c r="G1464" s="83">
        <v>0.5694444444444444</v>
      </c>
      <c r="H1464" s="83">
        <v>0.09027777777777778</v>
      </c>
      <c r="I1464" s="84">
        <v>44272.0</v>
      </c>
      <c r="J1464" s="65" t="b">
        <v>1</v>
      </c>
      <c r="K1464" s="65"/>
      <c r="L1464" s="85" t="b">
        <f>IF(VLOOKUP(C1464,Projetos!A:L,12,false)=TRUE,TRUE,FALSE)</f>
        <v>1</v>
      </c>
      <c r="M1464" s="74">
        <v>73.7079846079846</v>
      </c>
      <c r="N1464" s="74">
        <f t="shared" si="1"/>
        <v>159.7006333</v>
      </c>
      <c r="O1464" s="74" t="b">
        <v>1</v>
      </c>
    </row>
    <row r="1465" hidden="1">
      <c r="A1465" s="82"/>
      <c r="B1465" s="65" t="s">
        <v>495</v>
      </c>
      <c r="C1465" s="65" t="s">
        <v>130</v>
      </c>
      <c r="D1465" s="65" t="str">
        <f>vlookup(C1465,'Classificação p pessoal'!F:G,2,false)</f>
        <v>NP</v>
      </c>
      <c r="E1465" s="65" t="s">
        <v>859</v>
      </c>
      <c r="F1465" s="83">
        <v>0.6111111111111112</v>
      </c>
      <c r="G1465" s="83">
        <v>0.75</v>
      </c>
      <c r="H1465" s="83">
        <v>0.1388888888888889</v>
      </c>
      <c r="I1465" s="84">
        <v>44272.0</v>
      </c>
      <c r="J1465" s="65" t="b">
        <v>1</v>
      </c>
      <c r="K1465" s="65"/>
      <c r="L1465" s="85" t="b">
        <f>IF(VLOOKUP(C1465,Projetos!A:L,12,false)=TRUE,TRUE,FALSE)</f>
        <v>1</v>
      </c>
      <c r="M1465" s="74">
        <v>73.7079846079846</v>
      </c>
      <c r="N1465" s="74">
        <f t="shared" si="1"/>
        <v>245.693282</v>
      </c>
      <c r="O1465" s="74" t="b">
        <v>1</v>
      </c>
    </row>
    <row r="1466" hidden="1">
      <c r="A1466" s="82"/>
      <c r="B1466" s="65" t="s">
        <v>495</v>
      </c>
      <c r="C1466" s="65" t="s">
        <v>92</v>
      </c>
      <c r="D1466" s="65" t="str">
        <f>vlookup(C1466,'Classificação p pessoal'!F:G,2,false)</f>
        <v/>
      </c>
      <c r="E1466" s="65" t="s">
        <v>834</v>
      </c>
      <c r="F1466" s="83">
        <v>0.34375</v>
      </c>
      <c r="G1466" s="83">
        <v>0.4375</v>
      </c>
      <c r="H1466" s="83">
        <v>0.09375</v>
      </c>
      <c r="I1466" s="84">
        <v>44273.0</v>
      </c>
      <c r="J1466" s="65" t="b">
        <v>1</v>
      </c>
      <c r="K1466" s="65"/>
      <c r="L1466" s="85" t="b">
        <f>IF(VLOOKUP(C1466,Projetos!A:L,12,false)=TRUE,TRUE,FALSE)</f>
        <v>1</v>
      </c>
      <c r="M1466" s="74">
        <v>73.7079846079846</v>
      </c>
      <c r="N1466" s="74">
        <f t="shared" si="1"/>
        <v>165.8429654</v>
      </c>
      <c r="O1466" s="74" t="b">
        <v>1</v>
      </c>
    </row>
    <row r="1467" hidden="1">
      <c r="A1467" s="82"/>
      <c r="B1467" s="65" t="s">
        <v>495</v>
      </c>
      <c r="C1467" s="65" t="s">
        <v>130</v>
      </c>
      <c r="D1467" s="65" t="str">
        <f>vlookup(C1467,'Classificação p pessoal'!F:G,2,false)</f>
        <v>NP</v>
      </c>
      <c r="E1467" s="65" t="s">
        <v>857</v>
      </c>
      <c r="F1467" s="83">
        <v>0.4444444444444444</v>
      </c>
      <c r="G1467" s="83">
        <v>0.5694444444444444</v>
      </c>
      <c r="H1467" s="83">
        <v>0.125</v>
      </c>
      <c r="I1467" s="84">
        <v>44273.0</v>
      </c>
      <c r="J1467" s="65" t="b">
        <v>1</v>
      </c>
      <c r="K1467" s="65"/>
      <c r="L1467" s="85" t="b">
        <f>IF(VLOOKUP(C1467,Projetos!A:L,12,false)=TRUE,TRUE,FALSE)</f>
        <v>1</v>
      </c>
      <c r="M1467" s="74">
        <v>73.7079846079846</v>
      </c>
      <c r="N1467" s="74">
        <f t="shared" si="1"/>
        <v>221.1239538</v>
      </c>
      <c r="O1467" s="74" t="b">
        <v>1</v>
      </c>
    </row>
    <row r="1468" hidden="1">
      <c r="A1468" s="82"/>
      <c r="B1468" s="65" t="s">
        <v>495</v>
      </c>
      <c r="C1468" s="65" t="s">
        <v>106</v>
      </c>
      <c r="D1468" s="65" t="str">
        <f>vlookup(C1468,'Classificação p pessoal'!F:G,2,false)</f>
        <v>MProcesso</v>
      </c>
      <c r="E1468" s="65" t="s">
        <v>860</v>
      </c>
      <c r="F1468" s="83">
        <v>0.6111111111111112</v>
      </c>
      <c r="G1468" s="83">
        <v>0.7083333333333334</v>
      </c>
      <c r="H1468" s="83">
        <v>0.09722222222222222</v>
      </c>
      <c r="I1468" s="84">
        <v>44273.0</v>
      </c>
      <c r="J1468" s="65" t="b">
        <v>1</v>
      </c>
      <c r="K1468" s="65"/>
      <c r="L1468" s="85" t="b">
        <f>IF(VLOOKUP(C1468,Projetos!A:L,12,false)=TRUE,TRUE,FALSE)</f>
        <v>1</v>
      </c>
      <c r="M1468" s="74">
        <v>73.7079846079846</v>
      </c>
      <c r="N1468" s="74">
        <f t="shared" si="1"/>
        <v>171.9852974</v>
      </c>
      <c r="O1468" s="74" t="b">
        <v>1</v>
      </c>
    </row>
    <row r="1469" hidden="1">
      <c r="A1469" s="82"/>
      <c r="B1469" s="65" t="s">
        <v>495</v>
      </c>
      <c r="C1469" s="65" t="s">
        <v>92</v>
      </c>
      <c r="D1469" s="65" t="str">
        <f>vlookup(C1469,'Classificação p pessoal'!F:G,2,false)</f>
        <v/>
      </c>
      <c r="E1469" s="65" t="s">
        <v>861</v>
      </c>
      <c r="F1469" s="83">
        <v>0.7083333333333334</v>
      </c>
      <c r="G1469" s="83">
        <v>0.75</v>
      </c>
      <c r="H1469" s="83">
        <v>0.041666666666666664</v>
      </c>
      <c r="I1469" s="84">
        <v>44273.0</v>
      </c>
      <c r="J1469" s="65" t="b">
        <v>1</v>
      </c>
      <c r="K1469" s="65"/>
      <c r="L1469" s="85" t="b">
        <f>IF(VLOOKUP(C1469,Projetos!A:L,12,false)=TRUE,TRUE,FALSE)</f>
        <v>1</v>
      </c>
      <c r="M1469" s="74">
        <v>73.7079846079846</v>
      </c>
      <c r="N1469" s="74">
        <f t="shared" si="1"/>
        <v>73.70798461</v>
      </c>
      <c r="O1469" s="74" t="b">
        <v>1</v>
      </c>
    </row>
    <row r="1470" hidden="1">
      <c r="A1470" s="82"/>
      <c r="B1470" s="65" t="s">
        <v>495</v>
      </c>
      <c r="C1470" s="65" t="s">
        <v>92</v>
      </c>
      <c r="D1470" s="65" t="str">
        <f>vlookup(C1470,'Classificação p pessoal'!F:G,2,false)</f>
        <v/>
      </c>
      <c r="E1470" s="65" t="s">
        <v>862</v>
      </c>
      <c r="F1470" s="83">
        <v>0.34375</v>
      </c>
      <c r="G1470" s="83">
        <v>0.5625</v>
      </c>
      <c r="H1470" s="83">
        <v>0.21875</v>
      </c>
      <c r="I1470" s="84">
        <v>44274.0</v>
      </c>
      <c r="J1470" s="65" t="b">
        <v>1</v>
      </c>
      <c r="K1470" s="65"/>
      <c r="L1470" s="85" t="b">
        <f>IF(VLOOKUP(C1470,Projetos!A:L,12,false)=TRUE,TRUE,FALSE)</f>
        <v>1</v>
      </c>
      <c r="M1470" s="74">
        <v>73.7079846079846</v>
      </c>
      <c r="N1470" s="74">
        <f t="shared" si="1"/>
        <v>386.9669192</v>
      </c>
      <c r="O1470" s="74" t="b">
        <v>1</v>
      </c>
    </row>
    <row r="1471" hidden="1">
      <c r="A1471" s="82"/>
      <c r="B1471" s="65" t="s">
        <v>495</v>
      </c>
      <c r="C1471" s="65" t="s">
        <v>92</v>
      </c>
      <c r="D1471" s="65" t="str">
        <f>vlookup(C1471,'Classificação p pessoal'!F:G,2,false)</f>
        <v/>
      </c>
      <c r="E1471" s="65" t="s">
        <v>834</v>
      </c>
      <c r="F1471" s="83">
        <v>0.6111111111111112</v>
      </c>
      <c r="G1471" s="83">
        <v>0.6666666666666666</v>
      </c>
      <c r="H1471" s="83">
        <v>0.05555555555555555</v>
      </c>
      <c r="I1471" s="84">
        <v>44274.0</v>
      </c>
      <c r="J1471" s="65" t="b">
        <v>1</v>
      </c>
      <c r="K1471" s="65"/>
      <c r="L1471" s="85" t="b">
        <f>IF(VLOOKUP(C1471,Projetos!A:L,12,false)=TRUE,TRUE,FALSE)</f>
        <v>1</v>
      </c>
      <c r="M1471" s="74">
        <v>73.7079846079846</v>
      </c>
      <c r="N1471" s="74">
        <f t="shared" si="1"/>
        <v>98.27731281</v>
      </c>
      <c r="O1471" s="74" t="b">
        <v>1</v>
      </c>
    </row>
    <row r="1472" hidden="1">
      <c r="A1472" s="82"/>
      <c r="B1472" s="65" t="s">
        <v>495</v>
      </c>
      <c r="C1472" s="65" t="s">
        <v>84</v>
      </c>
      <c r="D1472" s="65"/>
      <c r="E1472" s="65" t="s">
        <v>863</v>
      </c>
      <c r="F1472" s="83">
        <v>0.6666666666666666</v>
      </c>
      <c r="G1472" s="83">
        <v>0.7083333333333334</v>
      </c>
      <c r="H1472" s="83">
        <v>0.041666666666666664</v>
      </c>
      <c r="I1472" s="84">
        <v>44274.0</v>
      </c>
      <c r="J1472" s="65" t="b">
        <v>0</v>
      </c>
      <c r="K1472" s="65"/>
      <c r="L1472" s="85" t="b">
        <f>IF(VLOOKUP(C1472,Projetos!A:L,12,false)=TRUE,TRUE,FALSE)</f>
        <v>0</v>
      </c>
      <c r="M1472" s="74">
        <v>73.7079846079846</v>
      </c>
      <c r="N1472" s="74">
        <f t="shared" si="1"/>
        <v>0</v>
      </c>
      <c r="O1472" s="74" t="b">
        <v>0</v>
      </c>
    </row>
    <row r="1473" hidden="1">
      <c r="A1473" s="82"/>
      <c r="B1473" s="65" t="s">
        <v>495</v>
      </c>
      <c r="C1473" s="65" t="s">
        <v>113</v>
      </c>
      <c r="D1473" s="65" t="str">
        <f>vlookup(C1473,'Classificação p pessoal'!F:G,2,false)</f>
        <v>NP</v>
      </c>
      <c r="E1473" s="65" t="s">
        <v>864</v>
      </c>
      <c r="F1473" s="83">
        <v>0.4166666666666667</v>
      </c>
      <c r="G1473" s="83">
        <v>0.5625</v>
      </c>
      <c r="H1473" s="83">
        <v>0.14583333333333334</v>
      </c>
      <c r="I1473" s="84">
        <v>44277.0</v>
      </c>
      <c r="J1473" s="65" t="b">
        <v>1</v>
      </c>
      <c r="K1473" s="65"/>
      <c r="L1473" s="85" t="b">
        <f>IF(VLOOKUP(C1473,Projetos!A:L,12,false)=TRUE,TRUE,FALSE)</f>
        <v>1</v>
      </c>
      <c r="M1473" s="74">
        <v>73.7079846079846</v>
      </c>
      <c r="N1473" s="74">
        <f t="shared" si="1"/>
        <v>257.9779461</v>
      </c>
      <c r="O1473" s="74" t="b">
        <v>1</v>
      </c>
    </row>
    <row r="1474" hidden="1">
      <c r="A1474" s="82"/>
      <c r="B1474" s="65" t="s">
        <v>495</v>
      </c>
      <c r="C1474" s="65" t="s">
        <v>101</v>
      </c>
      <c r="D1474" s="65" t="str">
        <f>vlookup(C1474,'Classificação p pessoal'!F:G,2,false)</f>
        <v>NP</v>
      </c>
      <c r="E1474" s="65" t="s">
        <v>845</v>
      </c>
      <c r="F1474" s="83">
        <v>0.6041666666666666</v>
      </c>
      <c r="G1474" s="83">
        <v>0.6666666666666666</v>
      </c>
      <c r="H1474" s="83">
        <v>0.0625</v>
      </c>
      <c r="I1474" s="84">
        <v>44277.0</v>
      </c>
      <c r="J1474" s="65" t="b">
        <v>1</v>
      </c>
      <c r="K1474" s="65"/>
      <c r="L1474" s="85" t="b">
        <f>IF(VLOOKUP(C1474,Projetos!A:L,12,false)=TRUE,TRUE,FALSE)</f>
        <v>1</v>
      </c>
      <c r="M1474" s="74">
        <v>73.7079846079846</v>
      </c>
      <c r="N1474" s="74">
        <f t="shared" si="1"/>
        <v>110.5619769</v>
      </c>
      <c r="O1474" s="74" t="b">
        <v>1</v>
      </c>
    </row>
    <row r="1475" hidden="1">
      <c r="A1475" s="82"/>
      <c r="B1475" s="65" t="s">
        <v>495</v>
      </c>
      <c r="C1475" s="65" t="s">
        <v>92</v>
      </c>
      <c r="D1475" s="65" t="str">
        <f>vlookup(C1475,'Classificação p pessoal'!F:G,2,false)</f>
        <v/>
      </c>
      <c r="E1475" s="65" t="s">
        <v>865</v>
      </c>
      <c r="F1475" s="83">
        <v>0.6736111111111112</v>
      </c>
      <c r="G1475" s="83">
        <v>0.7083333333333334</v>
      </c>
      <c r="H1475" s="83">
        <v>0.034722222222222224</v>
      </c>
      <c r="I1475" s="84">
        <v>44277.0</v>
      </c>
      <c r="J1475" s="65" t="b">
        <v>1</v>
      </c>
      <c r="K1475" s="65"/>
      <c r="L1475" s="85" t="b">
        <f>IF(VLOOKUP(C1475,Projetos!A:L,12,false)=TRUE,TRUE,FALSE)</f>
        <v>1</v>
      </c>
      <c r="M1475" s="74">
        <v>73.7079846079846</v>
      </c>
      <c r="N1475" s="74">
        <f t="shared" si="1"/>
        <v>61.42332051</v>
      </c>
      <c r="O1475" s="74" t="b">
        <v>1</v>
      </c>
    </row>
    <row r="1476" hidden="1">
      <c r="A1476" s="82"/>
      <c r="B1476" s="65" t="s">
        <v>495</v>
      </c>
      <c r="C1476" s="65" t="s">
        <v>92</v>
      </c>
      <c r="D1476" s="65" t="str">
        <f>vlookup(C1476,'Classificação p pessoal'!F:G,2,false)</f>
        <v/>
      </c>
      <c r="E1476" s="65" t="s">
        <v>866</v>
      </c>
      <c r="F1476" s="83">
        <v>0.34375</v>
      </c>
      <c r="G1476" s="83">
        <v>0.4166666666666667</v>
      </c>
      <c r="H1476" s="83">
        <v>0.07291666666666667</v>
      </c>
      <c r="I1476" s="84">
        <v>44278.0</v>
      </c>
      <c r="J1476" s="65" t="b">
        <v>1</v>
      </c>
      <c r="K1476" s="65"/>
      <c r="L1476" s="85" t="b">
        <f>IF(VLOOKUP(C1476,Projetos!A:L,12,false)=TRUE,TRUE,FALSE)</f>
        <v>1</v>
      </c>
      <c r="M1476" s="74">
        <v>73.7079846079846</v>
      </c>
      <c r="N1476" s="74">
        <f t="shared" si="1"/>
        <v>128.9889731</v>
      </c>
      <c r="O1476" s="74" t="b">
        <v>1</v>
      </c>
    </row>
    <row r="1477" hidden="1">
      <c r="A1477" s="82"/>
      <c r="B1477" s="65" t="s">
        <v>495</v>
      </c>
      <c r="C1477" s="65" t="s">
        <v>92</v>
      </c>
      <c r="D1477" s="65" t="str">
        <f>vlookup(C1477,'Classificação p pessoal'!F:G,2,false)</f>
        <v/>
      </c>
      <c r="E1477" s="65" t="s">
        <v>865</v>
      </c>
      <c r="F1477" s="83">
        <v>0.4166666666666667</v>
      </c>
      <c r="G1477" s="83">
        <v>0.5520833333333334</v>
      </c>
      <c r="H1477" s="83">
        <v>0.13541666666666666</v>
      </c>
      <c r="I1477" s="84">
        <v>44278.0</v>
      </c>
      <c r="J1477" s="65" t="b">
        <v>1</v>
      </c>
      <c r="K1477" s="65"/>
      <c r="L1477" s="85" t="b">
        <f>IF(VLOOKUP(C1477,Projetos!A:L,12,false)=TRUE,TRUE,FALSE)</f>
        <v>1</v>
      </c>
      <c r="M1477" s="74">
        <v>73.7079846079846</v>
      </c>
      <c r="N1477" s="74">
        <f t="shared" si="1"/>
        <v>239.55095</v>
      </c>
      <c r="O1477" s="74" t="b">
        <v>1</v>
      </c>
    </row>
    <row r="1478" hidden="1">
      <c r="A1478" s="82"/>
      <c r="B1478" s="65" t="s">
        <v>495</v>
      </c>
      <c r="C1478" s="65" t="s">
        <v>117</v>
      </c>
      <c r="D1478" s="65" t="str">
        <f>vlookup(C1478,'Classificação p pessoal'!F:G,2,false)</f>
        <v>NP</v>
      </c>
      <c r="E1478" s="65" t="s">
        <v>867</v>
      </c>
      <c r="F1478" s="83">
        <v>0.59375</v>
      </c>
      <c r="G1478" s="83">
        <v>0.6145833333333334</v>
      </c>
      <c r="H1478" s="83">
        <v>0.020833333333333332</v>
      </c>
      <c r="I1478" s="84">
        <v>44278.0</v>
      </c>
      <c r="J1478" s="65" t="b">
        <v>1</v>
      </c>
      <c r="K1478" s="65"/>
      <c r="L1478" s="85" t="b">
        <f>IF(VLOOKUP(C1478,Projetos!A:L,12,false)=TRUE,TRUE,FALSE)</f>
        <v>1</v>
      </c>
      <c r="M1478" s="74">
        <v>73.7079846079846</v>
      </c>
      <c r="N1478" s="74">
        <f t="shared" si="1"/>
        <v>36.8539923</v>
      </c>
      <c r="O1478" s="74" t="b">
        <v>1</v>
      </c>
    </row>
    <row r="1479" hidden="1">
      <c r="A1479" s="82"/>
      <c r="B1479" s="65" t="s">
        <v>495</v>
      </c>
      <c r="C1479" s="65" t="s">
        <v>92</v>
      </c>
      <c r="D1479" s="65" t="str">
        <f>vlookup(C1479,'Classificação p pessoal'!F:G,2,false)</f>
        <v/>
      </c>
      <c r="E1479" s="65" t="s">
        <v>832</v>
      </c>
      <c r="F1479" s="83">
        <v>0.625</v>
      </c>
      <c r="G1479" s="83">
        <v>0.75</v>
      </c>
      <c r="H1479" s="83">
        <v>0.125</v>
      </c>
      <c r="I1479" s="84">
        <v>44278.0</v>
      </c>
      <c r="J1479" s="65" t="b">
        <v>1</v>
      </c>
      <c r="K1479" s="65"/>
      <c r="L1479" s="85" t="b">
        <f>IF(VLOOKUP(C1479,Projetos!A:L,12,false)=TRUE,TRUE,FALSE)</f>
        <v>1</v>
      </c>
      <c r="M1479" s="74">
        <v>73.7079846079846</v>
      </c>
      <c r="N1479" s="74">
        <f t="shared" si="1"/>
        <v>221.1239538</v>
      </c>
      <c r="O1479" s="74" t="b">
        <v>1</v>
      </c>
    </row>
    <row r="1480">
      <c r="A1480" s="82"/>
      <c r="B1480" s="65" t="s">
        <v>495</v>
      </c>
      <c r="C1480" s="65" t="s">
        <v>108</v>
      </c>
      <c r="D1480" s="65" t="str">
        <f>vlookup(C1480,'Classificação p pessoal'!F:G,2,false)</f>
        <v>NP</v>
      </c>
      <c r="E1480" s="65" t="s">
        <v>868</v>
      </c>
      <c r="F1480" s="83">
        <v>0.34375</v>
      </c>
      <c r="G1480" s="83">
        <v>0.3541666666666667</v>
      </c>
      <c r="H1480" s="83">
        <v>0.010416666666666666</v>
      </c>
      <c r="I1480" s="84">
        <v>44279.0</v>
      </c>
      <c r="J1480" s="65" t="b">
        <v>1</v>
      </c>
      <c r="K1480" s="65"/>
      <c r="L1480" s="85" t="b">
        <f>IF(VLOOKUP(C1480,Projetos!A:L,12,false)=TRUE,TRUE,FALSE)</f>
        <v>1</v>
      </c>
      <c r="M1480" s="74">
        <v>73.7079846079846</v>
      </c>
      <c r="N1480" s="74">
        <f t="shared" si="1"/>
        <v>18.42699615</v>
      </c>
      <c r="O1480" s="74" t="b">
        <v>1</v>
      </c>
    </row>
    <row r="1481" hidden="1">
      <c r="A1481" s="82"/>
      <c r="B1481" s="65" t="s">
        <v>495</v>
      </c>
      <c r="C1481" s="65" t="s">
        <v>92</v>
      </c>
      <c r="D1481" s="65" t="str">
        <f>vlookup(C1481,'Classificação p pessoal'!F:G,2,false)</f>
        <v/>
      </c>
      <c r="E1481" s="65" t="s">
        <v>869</v>
      </c>
      <c r="F1481" s="83">
        <v>0.3541666666666667</v>
      </c>
      <c r="G1481" s="83">
        <v>0.5625</v>
      </c>
      <c r="H1481" s="83">
        <v>0.20833333333333334</v>
      </c>
      <c r="I1481" s="84">
        <v>44279.0</v>
      </c>
      <c r="J1481" s="65" t="b">
        <v>1</v>
      </c>
      <c r="K1481" s="65"/>
      <c r="L1481" s="85" t="b">
        <f>IF(VLOOKUP(C1481,Projetos!A:L,12,false)=TRUE,TRUE,FALSE)</f>
        <v>1</v>
      </c>
      <c r="M1481" s="74">
        <v>73.7079846079846</v>
      </c>
      <c r="N1481" s="74">
        <f t="shared" si="1"/>
        <v>368.539923</v>
      </c>
      <c r="O1481" s="74" t="b">
        <v>1</v>
      </c>
    </row>
    <row r="1482" hidden="1">
      <c r="A1482" s="82"/>
      <c r="B1482" s="65" t="s">
        <v>495</v>
      </c>
      <c r="C1482" s="65" t="s">
        <v>92</v>
      </c>
      <c r="D1482" s="65" t="str">
        <f>vlookup(C1482,'Classificação p pessoal'!F:G,2,false)</f>
        <v/>
      </c>
      <c r="E1482" s="65" t="s">
        <v>870</v>
      </c>
      <c r="F1482" s="83">
        <v>0.6041666666666666</v>
      </c>
      <c r="G1482" s="83">
        <v>0.6666666666666666</v>
      </c>
      <c r="H1482" s="83">
        <v>0.0625</v>
      </c>
      <c r="I1482" s="84">
        <v>44279.0</v>
      </c>
      <c r="J1482" s="65" t="b">
        <v>1</v>
      </c>
      <c r="K1482" s="65"/>
      <c r="L1482" s="85" t="b">
        <f>IF(VLOOKUP(C1482,Projetos!A:L,12,false)=TRUE,TRUE,FALSE)</f>
        <v>1</v>
      </c>
      <c r="M1482" s="74">
        <v>73.7079846079846</v>
      </c>
      <c r="N1482" s="74">
        <f t="shared" si="1"/>
        <v>110.5619769</v>
      </c>
      <c r="O1482" s="74" t="b">
        <v>1</v>
      </c>
    </row>
    <row r="1483" hidden="1">
      <c r="A1483" s="82"/>
      <c r="B1483" s="65" t="s">
        <v>495</v>
      </c>
      <c r="C1483" s="65" t="s">
        <v>120</v>
      </c>
      <c r="D1483" s="65"/>
      <c r="E1483" s="65" t="s">
        <v>871</v>
      </c>
      <c r="F1483" s="83">
        <v>0.6666666666666666</v>
      </c>
      <c r="G1483" s="83">
        <v>0.6875</v>
      </c>
      <c r="H1483" s="83">
        <v>0.020833333333333332</v>
      </c>
      <c r="I1483" s="84">
        <v>44279.0</v>
      </c>
      <c r="J1483" s="65" t="b">
        <v>0</v>
      </c>
      <c r="K1483" s="65" t="s">
        <v>150</v>
      </c>
      <c r="L1483" s="85" t="b">
        <f>IF(VLOOKUP(C1483,Projetos!A:L,12,false)=TRUE,TRUE,FALSE)</f>
        <v>0</v>
      </c>
      <c r="M1483" s="74">
        <v>73.7079846079846</v>
      </c>
      <c r="N1483" s="74">
        <f t="shared" si="1"/>
        <v>0</v>
      </c>
      <c r="O1483" s="74" t="b">
        <v>0</v>
      </c>
    </row>
    <row r="1484" hidden="1">
      <c r="A1484" s="82"/>
      <c r="B1484" s="65" t="s">
        <v>495</v>
      </c>
      <c r="C1484" s="65" t="s">
        <v>92</v>
      </c>
      <c r="D1484" s="65" t="str">
        <f>vlookup(C1484,'Classificação p pessoal'!F:G,2,false)</f>
        <v/>
      </c>
      <c r="E1484" s="65" t="s">
        <v>870</v>
      </c>
      <c r="F1484" s="83">
        <v>0.6979166666666666</v>
      </c>
      <c r="G1484" s="83">
        <v>0.75</v>
      </c>
      <c r="H1484" s="83">
        <v>0.052083333333333336</v>
      </c>
      <c r="I1484" s="84">
        <v>44279.0</v>
      </c>
      <c r="J1484" s="65" t="b">
        <v>1</v>
      </c>
      <c r="K1484" s="65"/>
      <c r="L1484" s="85" t="b">
        <f>IF(VLOOKUP(C1484,Projetos!A:L,12,false)=TRUE,TRUE,FALSE)</f>
        <v>1</v>
      </c>
      <c r="M1484" s="74">
        <v>73.7079846079846</v>
      </c>
      <c r="N1484" s="74">
        <f t="shared" si="1"/>
        <v>92.13498076</v>
      </c>
      <c r="O1484" s="74" t="b">
        <v>1</v>
      </c>
    </row>
    <row r="1485" hidden="1">
      <c r="A1485" s="82"/>
      <c r="B1485" s="65" t="s">
        <v>495</v>
      </c>
      <c r="C1485" s="65" t="s">
        <v>100</v>
      </c>
      <c r="D1485" s="65" t="str">
        <f>vlookup(C1485,'Classificação p pessoal'!F:G,2,false)</f>
        <v>NP</v>
      </c>
      <c r="E1485" s="65" t="s">
        <v>861</v>
      </c>
      <c r="F1485" s="83">
        <v>0.3541666666666667</v>
      </c>
      <c r="G1485" s="83">
        <v>0.4375</v>
      </c>
      <c r="H1485" s="83">
        <v>0.08333333333333333</v>
      </c>
      <c r="I1485" s="84">
        <v>44280.0</v>
      </c>
      <c r="J1485" s="65" t="b">
        <v>1</v>
      </c>
      <c r="K1485" s="65"/>
      <c r="L1485" s="85" t="b">
        <f>IF(VLOOKUP(C1485,Projetos!A:L,12,false)=TRUE,TRUE,FALSE)</f>
        <v>1</v>
      </c>
      <c r="M1485" s="74">
        <v>73.7079846079846</v>
      </c>
      <c r="N1485" s="74">
        <f t="shared" si="1"/>
        <v>147.4159692</v>
      </c>
      <c r="O1485" s="74" t="b">
        <v>1</v>
      </c>
    </row>
    <row r="1486" hidden="1">
      <c r="A1486" s="82"/>
      <c r="B1486" s="65" t="s">
        <v>495</v>
      </c>
      <c r="C1486" s="65" t="s">
        <v>107</v>
      </c>
      <c r="D1486" s="65" t="str">
        <f>vlookup(C1486,'Classificação p pessoal'!F:G,2,false)</f>
        <v>NP</v>
      </c>
      <c r="E1486" s="65" t="s">
        <v>872</v>
      </c>
      <c r="F1486" s="83">
        <v>0.4861111111111111</v>
      </c>
      <c r="G1486" s="83">
        <v>0.5208333333333334</v>
      </c>
      <c r="H1486" s="83">
        <v>0.034722222222222224</v>
      </c>
      <c r="I1486" s="84">
        <v>44280.0</v>
      </c>
      <c r="J1486" s="65" t="b">
        <v>1</v>
      </c>
      <c r="K1486" s="65"/>
      <c r="L1486" s="85" t="b">
        <f>IF(VLOOKUP(C1486,Projetos!A:L,12,false)=TRUE,TRUE,FALSE)</f>
        <v>1</v>
      </c>
      <c r="M1486" s="74">
        <v>73.7079846079846</v>
      </c>
      <c r="N1486" s="74">
        <f t="shared" si="1"/>
        <v>61.42332051</v>
      </c>
      <c r="O1486" s="74" t="b">
        <v>1</v>
      </c>
    </row>
    <row r="1487" hidden="1">
      <c r="A1487" s="82"/>
      <c r="B1487" s="65" t="s">
        <v>495</v>
      </c>
      <c r="C1487" s="65" t="s">
        <v>92</v>
      </c>
      <c r="D1487" s="65"/>
      <c r="E1487" s="65" t="s">
        <v>873</v>
      </c>
      <c r="F1487" s="83">
        <v>0.5833333333333334</v>
      </c>
      <c r="G1487" s="83">
        <v>0.75</v>
      </c>
      <c r="H1487" s="83">
        <v>0.16666666666666666</v>
      </c>
      <c r="I1487" s="84">
        <v>44280.0</v>
      </c>
      <c r="J1487" s="65" t="b">
        <v>0</v>
      </c>
      <c r="K1487" s="65" t="s">
        <v>150</v>
      </c>
      <c r="L1487" s="85" t="b">
        <f>IF(VLOOKUP(C1487,Projetos!A:L,12,false)=TRUE,TRUE,FALSE)</f>
        <v>1</v>
      </c>
      <c r="M1487" s="74">
        <v>73.7079846079846</v>
      </c>
      <c r="N1487" s="74">
        <f t="shared" si="1"/>
        <v>0</v>
      </c>
      <c r="O1487" s="74" t="b">
        <v>1</v>
      </c>
    </row>
    <row r="1488" hidden="1">
      <c r="A1488" s="82"/>
      <c r="B1488" s="65" t="s">
        <v>495</v>
      </c>
      <c r="C1488" s="65" t="s">
        <v>117</v>
      </c>
      <c r="D1488" s="65" t="str">
        <f>vlookup(C1488,'Classificação p pessoal'!F:G,2,false)</f>
        <v>NP</v>
      </c>
      <c r="E1488" s="65" t="s">
        <v>874</v>
      </c>
      <c r="F1488" s="83">
        <v>0.3541666666666667</v>
      </c>
      <c r="G1488" s="83">
        <v>0.3958333333333333</v>
      </c>
      <c r="H1488" s="83">
        <v>0.041666666666666664</v>
      </c>
      <c r="I1488" s="84">
        <v>44281.0</v>
      </c>
      <c r="J1488" s="65" t="b">
        <v>1</v>
      </c>
      <c r="K1488" s="65"/>
      <c r="L1488" s="85" t="b">
        <f>IF(VLOOKUP(C1488,Projetos!A:L,12,false)=TRUE,TRUE,FALSE)</f>
        <v>1</v>
      </c>
      <c r="M1488" s="74">
        <v>73.7079846079846</v>
      </c>
      <c r="N1488" s="74">
        <f t="shared" si="1"/>
        <v>73.70798461</v>
      </c>
      <c r="O1488" s="74" t="b">
        <v>1</v>
      </c>
    </row>
    <row r="1489">
      <c r="A1489" s="82"/>
      <c r="B1489" s="65" t="s">
        <v>495</v>
      </c>
      <c r="C1489" s="65" t="s">
        <v>108</v>
      </c>
      <c r="D1489" s="65" t="str">
        <f>vlookup(C1489,'Classificação p pessoal'!F:G,2,false)</f>
        <v>NP</v>
      </c>
      <c r="E1489" s="65" t="s">
        <v>875</v>
      </c>
      <c r="F1489" s="83">
        <v>0.4583333333333333</v>
      </c>
      <c r="G1489" s="83">
        <v>0.5555555555555556</v>
      </c>
      <c r="H1489" s="83">
        <v>0.09722222222222222</v>
      </c>
      <c r="I1489" s="84">
        <v>44281.0</v>
      </c>
      <c r="J1489" s="65" t="b">
        <v>1</v>
      </c>
      <c r="K1489" s="65"/>
      <c r="L1489" s="85" t="b">
        <f>IF(VLOOKUP(C1489,Projetos!A:L,12,false)=TRUE,TRUE,FALSE)</f>
        <v>1</v>
      </c>
      <c r="M1489" s="74">
        <v>73.7079846079846</v>
      </c>
      <c r="N1489" s="74">
        <f t="shared" si="1"/>
        <v>171.9852974</v>
      </c>
      <c r="O1489" s="74" t="b">
        <v>1</v>
      </c>
    </row>
    <row r="1490" hidden="1">
      <c r="A1490" s="82"/>
      <c r="B1490" s="65" t="s">
        <v>411</v>
      </c>
      <c r="C1490" s="65" t="s">
        <v>92</v>
      </c>
      <c r="D1490" s="65"/>
      <c r="E1490" s="65" t="s">
        <v>876</v>
      </c>
      <c r="F1490" s="83">
        <v>0.5625</v>
      </c>
      <c r="G1490" s="83">
        <v>0.6041666666666666</v>
      </c>
      <c r="H1490" s="83">
        <v>0.041666666666666664</v>
      </c>
      <c r="I1490" s="84">
        <v>44286.0</v>
      </c>
      <c r="J1490" s="65" t="b">
        <v>0</v>
      </c>
      <c r="K1490" s="65"/>
      <c r="L1490" s="85" t="b">
        <f>IF(VLOOKUP(C1490,Projetos!A:L,12,false)=TRUE,TRUE,FALSE)</f>
        <v>1</v>
      </c>
      <c r="M1490" s="74">
        <v>52.48434411075036</v>
      </c>
      <c r="N1490" s="74">
        <f t="shared" si="1"/>
        <v>0</v>
      </c>
      <c r="O1490" s="74" t="b">
        <v>1</v>
      </c>
    </row>
    <row r="1491">
      <c r="A1491" s="82"/>
      <c r="B1491" s="65" t="s">
        <v>495</v>
      </c>
      <c r="C1491" s="65" t="s">
        <v>108</v>
      </c>
      <c r="D1491" s="65" t="str">
        <f>vlookup(C1491,'Classificação p pessoal'!F:G,2,false)</f>
        <v>NP</v>
      </c>
      <c r="E1491" s="65" t="s">
        <v>877</v>
      </c>
      <c r="F1491" s="83">
        <v>0.34375</v>
      </c>
      <c r="G1491" s="83">
        <v>0.4166666666666667</v>
      </c>
      <c r="H1491" s="83">
        <v>0.07291666666666667</v>
      </c>
      <c r="I1491" s="84">
        <v>44284.0</v>
      </c>
      <c r="J1491" s="65" t="b">
        <v>1</v>
      </c>
      <c r="K1491" s="65"/>
      <c r="L1491" s="85" t="b">
        <f>IF(VLOOKUP(C1491,Projetos!A:L,12,false)=TRUE,TRUE,FALSE)</f>
        <v>1</v>
      </c>
      <c r="M1491" s="74">
        <v>73.7079846079846</v>
      </c>
      <c r="N1491" s="74">
        <f t="shared" si="1"/>
        <v>128.9889731</v>
      </c>
      <c r="O1491" s="74" t="b">
        <v>1</v>
      </c>
    </row>
    <row r="1492" hidden="1">
      <c r="A1492" s="82"/>
      <c r="B1492" s="65" t="s">
        <v>495</v>
      </c>
      <c r="C1492" s="65" t="s">
        <v>117</v>
      </c>
      <c r="D1492" s="65" t="str">
        <f>vlookup(C1492,'Classificação p pessoal'!F:G,2,false)</f>
        <v>NP</v>
      </c>
      <c r="E1492" s="65" t="s">
        <v>878</v>
      </c>
      <c r="F1492" s="83">
        <v>0.4270833333333333</v>
      </c>
      <c r="G1492" s="83">
        <v>0.4583333333333333</v>
      </c>
      <c r="H1492" s="83">
        <v>0.03125</v>
      </c>
      <c r="I1492" s="84">
        <v>44284.0</v>
      </c>
      <c r="J1492" s="65" t="b">
        <v>1</v>
      </c>
      <c r="K1492" s="65"/>
      <c r="L1492" s="85" t="b">
        <f>IF(VLOOKUP(C1492,Projetos!A:L,12,false)=TRUE,TRUE,FALSE)</f>
        <v>1</v>
      </c>
      <c r="M1492" s="74">
        <v>73.7079846079846</v>
      </c>
      <c r="N1492" s="74">
        <f t="shared" si="1"/>
        <v>55.28098846</v>
      </c>
      <c r="O1492" s="74" t="b">
        <v>1</v>
      </c>
    </row>
    <row r="1493" hidden="1">
      <c r="A1493" s="82"/>
      <c r="B1493" s="65" t="s">
        <v>495</v>
      </c>
      <c r="C1493" s="65" t="s">
        <v>130</v>
      </c>
      <c r="D1493" s="65" t="str">
        <f>vlookup(C1493,'Classificação p pessoal'!F:G,2,false)</f>
        <v>NP</v>
      </c>
      <c r="E1493" s="65" t="s">
        <v>879</v>
      </c>
      <c r="F1493" s="83">
        <v>0.4583333333333333</v>
      </c>
      <c r="G1493" s="83">
        <v>0.5625</v>
      </c>
      <c r="H1493" s="83">
        <v>0.10416666666666667</v>
      </c>
      <c r="I1493" s="84">
        <v>44284.0</v>
      </c>
      <c r="J1493" s="65" t="b">
        <v>1</v>
      </c>
      <c r="K1493" s="65"/>
      <c r="L1493" s="85" t="b">
        <f>IF(VLOOKUP(C1493,Projetos!A:L,12,false)=TRUE,TRUE,FALSE)</f>
        <v>1</v>
      </c>
      <c r="M1493" s="74">
        <v>73.7079846079846</v>
      </c>
      <c r="N1493" s="74">
        <f t="shared" si="1"/>
        <v>184.2699615</v>
      </c>
      <c r="O1493" s="74" t="b">
        <v>1</v>
      </c>
    </row>
    <row r="1494" hidden="1">
      <c r="A1494" s="82"/>
      <c r="B1494" s="65" t="s">
        <v>495</v>
      </c>
      <c r="C1494" s="65" t="s">
        <v>130</v>
      </c>
      <c r="D1494" s="65" t="str">
        <f>vlookup(C1494,'Classificação p pessoal'!F:G,2,false)</f>
        <v>NP</v>
      </c>
      <c r="E1494" s="65" t="s">
        <v>880</v>
      </c>
      <c r="F1494" s="83">
        <v>0.6458333333333334</v>
      </c>
      <c r="G1494" s="83">
        <v>0.75</v>
      </c>
      <c r="H1494" s="83">
        <v>0.10416666666666667</v>
      </c>
      <c r="I1494" s="84">
        <v>44284.0</v>
      </c>
      <c r="J1494" s="65" t="b">
        <v>1</v>
      </c>
      <c r="K1494" s="65"/>
      <c r="L1494" s="85" t="b">
        <f>IF(VLOOKUP(C1494,Projetos!A:L,12,false)=TRUE,TRUE,FALSE)</f>
        <v>1</v>
      </c>
      <c r="M1494" s="74">
        <v>73.7079846079846</v>
      </c>
      <c r="N1494" s="74">
        <f t="shared" si="1"/>
        <v>184.2699615</v>
      </c>
      <c r="O1494" s="74" t="b">
        <v>1</v>
      </c>
    </row>
    <row r="1495" hidden="1">
      <c r="A1495" s="82"/>
      <c r="B1495" s="65" t="s">
        <v>495</v>
      </c>
      <c r="C1495" s="65" t="s">
        <v>117</v>
      </c>
      <c r="D1495" s="65" t="str">
        <f>vlookup(C1495,'Classificação p pessoal'!F:G,2,false)</f>
        <v>NP</v>
      </c>
      <c r="E1495" s="65" t="s">
        <v>878</v>
      </c>
      <c r="F1495" s="83">
        <v>0.34375</v>
      </c>
      <c r="G1495" s="83">
        <v>0.3541666666666667</v>
      </c>
      <c r="H1495" s="83">
        <v>0.010416666666666666</v>
      </c>
      <c r="I1495" s="84">
        <v>44285.0</v>
      </c>
      <c r="J1495" s="65" t="b">
        <v>1</v>
      </c>
      <c r="K1495" s="65"/>
      <c r="L1495" s="85" t="b">
        <f>IF(VLOOKUP(C1495,Projetos!A:L,12,false)=TRUE,TRUE,FALSE)</f>
        <v>1</v>
      </c>
      <c r="M1495" s="74">
        <v>73.7079846079846</v>
      </c>
      <c r="N1495" s="74">
        <f t="shared" si="1"/>
        <v>18.42699615</v>
      </c>
      <c r="O1495" s="74" t="b">
        <v>1</v>
      </c>
    </row>
    <row r="1496" hidden="1">
      <c r="A1496" s="82"/>
      <c r="B1496" s="65" t="s">
        <v>495</v>
      </c>
      <c r="C1496" s="65" t="s">
        <v>84</v>
      </c>
      <c r="D1496" s="65"/>
      <c r="E1496" s="65" t="s">
        <v>881</v>
      </c>
      <c r="F1496" s="83">
        <v>0.3541666666666667</v>
      </c>
      <c r="G1496" s="83">
        <v>0.4166666666666667</v>
      </c>
      <c r="H1496" s="83">
        <v>0.0625</v>
      </c>
      <c r="I1496" s="84">
        <v>44285.0</v>
      </c>
      <c r="J1496" s="65" t="b">
        <v>0</v>
      </c>
      <c r="K1496" s="65"/>
      <c r="L1496" s="85" t="b">
        <f>IF(VLOOKUP(C1496,Projetos!A:L,12,false)=TRUE,TRUE,FALSE)</f>
        <v>0</v>
      </c>
      <c r="M1496" s="74">
        <v>73.7079846079846</v>
      </c>
      <c r="N1496" s="74">
        <f t="shared" si="1"/>
        <v>0</v>
      </c>
      <c r="O1496" s="74" t="b">
        <v>0</v>
      </c>
    </row>
    <row r="1497" hidden="1">
      <c r="A1497" s="82"/>
      <c r="B1497" s="65" t="s">
        <v>495</v>
      </c>
      <c r="C1497" s="65" t="s">
        <v>88</v>
      </c>
      <c r="D1497" s="65" t="str">
        <f>vlookup(C1497,'Classificação p pessoal'!F:G,2,false)</f>
        <v>MProduto</v>
      </c>
      <c r="E1497" s="65" t="s">
        <v>882</v>
      </c>
      <c r="F1497" s="83">
        <v>0.4166666666666667</v>
      </c>
      <c r="G1497" s="83">
        <v>0.5625</v>
      </c>
      <c r="H1497" s="83">
        <v>0.14583333333333334</v>
      </c>
      <c r="I1497" s="84">
        <v>44285.0</v>
      </c>
      <c r="J1497" s="65" t="b">
        <v>1</v>
      </c>
      <c r="K1497" s="65"/>
      <c r="L1497" s="85" t="b">
        <f>IF(VLOOKUP(C1497,Projetos!A:L,12,false)=TRUE,TRUE,FALSE)</f>
        <v>1</v>
      </c>
      <c r="M1497" s="74">
        <v>73.7079846079846</v>
      </c>
      <c r="N1497" s="74">
        <f t="shared" si="1"/>
        <v>257.9779461</v>
      </c>
      <c r="O1497" s="74" t="b">
        <v>1</v>
      </c>
    </row>
    <row r="1498" hidden="1">
      <c r="A1498" s="82"/>
      <c r="B1498" s="65" t="s">
        <v>495</v>
      </c>
      <c r="C1498" s="65" t="s">
        <v>88</v>
      </c>
      <c r="D1498" s="65" t="str">
        <f>vlookup(C1498,'Classificação p pessoal'!F:G,2,false)</f>
        <v>MProduto</v>
      </c>
      <c r="E1498" s="65" t="s">
        <v>882</v>
      </c>
      <c r="F1498" s="83">
        <v>0.6041666666666666</v>
      </c>
      <c r="G1498" s="83">
        <v>0.6666666666666666</v>
      </c>
      <c r="H1498" s="83">
        <v>0.0625</v>
      </c>
      <c r="I1498" s="84">
        <v>44285.0</v>
      </c>
      <c r="J1498" s="65" t="b">
        <v>1</v>
      </c>
      <c r="K1498" s="65"/>
      <c r="L1498" s="85" t="b">
        <f>IF(VLOOKUP(C1498,Projetos!A:L,12,false)=TRUE,TRUE,FALSE)</f>
        <v>1</v>
      </c>
      <c r="M1498" s="74">
        <v>73.7079846079846</v>
      </c>
      <c r="N1498" s="74">
        <f t="shared" si="1"/>
        <v>110.5619769</v>
      </c>
      <c r="O1498" s="74" t="b">
        <v>1</v>
      </c>
    </row>
    <row r="1499" hidden="1">
      <c r="A1499" s="82"/>
      <c r="B1499" s="65" t="s">
        <v>495</v>
      </c>
      <c r="C1499" s="65" t="s">
        <v>117</v>
      </c>
      <c r="D1499" s="65" t="str">
        <f>vlookup(C1499,'Classificação p pessoal'!F:G,2,false)</f>
        <v>NP</v>
      </c>
      <c r="E1499" s="65" t="s">
        <v>883</v>
      </c>
      <c r="F1499" s="83">
        <v>0.6666666666666666</v>
      </c>
      <c r="G1499" s="83">
        <v>0.6875</v>
      </c>
      <c r="H1499" s="83">
        <v>0.020833333333333332</v>
      </c>
      <c r="I1499" s="84">
        <v>44285.0</v>
      </c>
      <c r="J1499" s="65" t="b">
        <v>1</v>
      </c>
      <c r="K1499" s="65"/>
      <c r="L1499" s="85" t="b">
        <f>IF(VLOOKUP(C1499,Projetos!A:L,12,false)=TRUE,TRUE,FALSE)</f>
        <v>1</v>
      </c>
      <c r="M1499" s="74">
        <v>73.7079846079846</v>
      </c>
      <c r="N1499" s="74">
        <f t="shared" si="1"/>
        <v>36.8539923</v>
      </c>
      <c r="O1499" s="74" t="b">
        <v>1</v>
      </c>
    </row>
    <row r="1500" hidden="1">
      <c r="A1500" s="82"/>
      <c r="B1500" s="65" t="s">
        <v>495</v>
      </c>
      <c r="C1500" s="65" t="s">
        <v>84</v>
      </c>
      <c r="D1500" s="65"/>
      <c r="E1500" s="65" t="s">
        <v>884</v>
      </c>
      <c r="F1500" s="83">
        <v>0.7291666666666666</v>
      </c>
      <c r="G1500" s="83">
        <v>0.75</v>
      </c>
      <c r="H1500" s="83">
        <v>0.020833333333333332</v>
      </c>
      <c r="I1500" s="84">
        <v>44285.0</v>
      </c>
      <c r="J1500" s="65" t="b">
        <v>0</v>
      </c>
      <c r="K1500" s="65"/>
      <c r="L1500" s="85" t="b">
        <f>IF(VLOOKUP(C1500,Projetos!A:L,12,false)=TRUE,TRUE,FALSE)</f>
        <v>0</v>
      </c>
      <c r="M1500" s="74">
        <v>73.7079846079846</v>
      </c>
      <c r="N1500" s="74">
        <f t="shared" si="1"/>
        <v>0</v>
      </c>
      <c r="O1500" s="74" t="b">
        <v>0</v>
      </c>
    </row>
    <row r="1501" hidden="1">
      <c r="A1501" s="82"/>
      <c r="B1501" s="65" t="s">
        <v>495</v>
      </c>
      <c r="C1501" s="65" t="s">
        <v>106</v>
      </c>
      <c r="D1501" s="65" t="str">
        <f>vlookup(C1501,'Classificação p pessoal'!F:G,2,false)</f>
        <v>MProcesso</v>
      </c>
      <c r="E1501" s="65" t="s">
        <v>885</v>
      </c>
      <c r="F1501" s="83">
        <v>0.34375</v>
      </c>
      <c r="G1501" s="83">
        <v>0.4166666666666667</v>
      </c>
      <c r="H1501" s="83">
        <v>0.07291666666666667</v>
      </c>
      <c r="I1501" s="84">
        <v>44286.0</v>
      </c>
      <c r="J1501" s="65" t="b">
        <v>1</v>
      </c>
      <c r="K1501" s="65"/>
      <c r="L1501" s="85" t="b">
        <f>IF(VLOOKUP(C1501,Projetos!A:L,12,false)=TRUE,TRUE,FALSE)</f>
        <v>1</v>
      </c>
      <c r="M1501" s="74">
        <v>73.7079846079846</v>
      </c>
      <c r="N1501" s="74">
        <f t="shared" si="1"/>
        <v>128.9889731</v>
      </c>
      <c r="O1501" s="74" t="b">
        <v>1</v>
      </c>
    </row>
    <row r="1502" hidden="1">
      <c r="A1502" s="82"/>
      <c r="B1502" s="65" t="s">
        <v>495</v>
      </c>
      <c r="C1502" s="65" t="s">
        <v>106</v>
      </c>
      <c r="D1502" s="65"/>
      <c r="E1502" s="65" t="s">
        <v>886</v>
      </c>
      <c r="F1502" s="83">
        <v>0.4583333333333333</v>
      </c>
      <c r="G1502" s="83">
        <v>0.5625</v>
      </c>
      <c r="H1502" s="83">
        <v>0.10416666666666667</v>
      </c>
      <c r="I1502" s="84">
        <v>44286.0</v>
      </c>
      <c r="J1502" s="65" t="b">
        <v>0</v>
      </c>
      <c r="K1502" s="65" t="s">
        <v>150</v>
      </c>
      <c r="L1502" s="85" t="b">
        <f>IF(VLOOKUP(C1502,Projetos!A:L,12,false)=TRUE,TRUE,FALSE)</f>
        <v>1</v>
      </c>
      <c r="M1502" s="74">
        <v>73.7079846079846</v>
      </c>
      <c r="N1502" s="74">
        <f t="shared" si="1"/>
        <v>0</v>
      </c>
      <c r="O1502" s="74" t="b">
        <v>1</v>
      </c>
    </row>
    <row r="1503" hidden="1">
      <c r="A1503" s="82"/>
      <c r="B1503" s="65" t="s">
        <v>495</v>
      </c>
      <c r="C1503" s="65" t="s">
        <v>92</v>
      </c>
      <c r="D1503" s="65" t="str">
        <f>vlookup(C1503,'Classificação p pessoal'!F:G,2,false)</f>
        <v/>
      </c>
      <c r="E1503" s="65" t="s">
        <v>882</v>
      </c>
      <c r="F1503" s="83">
        <v>0.6041666666666666</v>
      </c>
      <c r="G1503" s="83">
        <v>0.6770833333333334</v>
      </c>
      <c r="H1503" s="83">
        <v>0.07291666666666667</v>
      </c>
      <c r="I1503" s="84">
        <v>44286.0</v>
      </c>
      <c r="J1503" s="65" t="b">
        <v>1</v>
      </c>
      <c r="K1503" s="65"/>
      <c r="L1503" s="85" t="b">
        <f>IF(VLOOKUP(C1503,Projetos!A:L,12,false)=TRUE,TRUE,FALSE)</f>
        <v>1</v>
      </c>
      <c r="M1503" s="74">
        <v>73.7079846079846</v>
      </c>
      <c r="N1503" s="74">
        <f t="shared" si="1"/>
        <v>128.9889731</v>
      </c>
      <c r="O1503" s="74" t="b">
        <v>1</v>
      </c>
    </row>
    <row r="1504" hidden="1">
      <c r="A1504" s="82"/>
      <c r="B1504" s="65" t="s">
        <v>495</v>
      </c>
      <c r="C1504" s="65" t="s">
        <v>117</v>
      </c>
      <c r="D1504" s="65" t="str">
        <f>vlookup(C1504,'Classificação p pessoal'!F:G,2,false)</f>
        <v>NP</v>
      </c>
      <c r="E1504" s="65" t="s">
        <v>887</v>
      </c>
      <c r="F1504" s="83">
        <v>0.6770833333333334</v>
      </c>
      <c r="G1504" s="83">
        <v>0.75</v>
      </c>
      <c r="H1504" s="83">
        <v>0.07291666666666667</v>
      </c>
      <c r="I1504" s="84" t="s">
        <v>888</v>
      </c>
      <c r="J1504" s="65" t="b">
        <v>1</v>
      </c>
      <c r="K1504" s="65"/>
      <c r="L1504" s="85" t="b">
        <f>IF(VLOOKUP(C1504,Projetos!A:L,12,false)=TRUE,TRUE,FALSE)</f>
        <v>1</v>
      </c>
      <c r="M1504" s="74">
        <v>73.7079846079846</v>
      </c>
      <c r="N1504" s="74">
        <f t="shared" si="1"/>
        <v>128.9889731</v>
      </c>
      <c r="O1504" s="74" t="b">
        <v>1</v>
      </c>
    </row>
    <row r="1505" hidden="1">
      <c r="A1505" s="82"/>
      <c r="B1505" s="65" t="s">
        <v>495</v>
      </c>
      <c r="C1505" s="65" t="s">
        <v>106</v>
      </c>
      <c r="D1505" s="65" t="str">
        <f>vlookup(C1505,'Classificação p pessoal'!F:G,2,false)</f>
        <v>MProcesso</v>
      </c>
      <c r="E1505" s="65" t="s">
        <v>889</v>
      </c>
      <c r="F1505" s="83">
        <v>0.3645833333333333</v>
      </c>
      <c r="G1505" s="83">
        <v>0.5034722222222222</v>
      </c>
      <c r="H1505" s="83">
        <v>0.1388888888888889</v>
      </c>
      <c r="I1505" s="84">
        <v>44287.0</v>
      </c>
      <c r="J1505" s="65" t="b">
        <v>1</v>
      </c>
      <c r="K1505" s="65"/>
      <c r="L1505" s="85" t="b">
        <f>IF(VLOOKUP(C1505,Projetos!A:L,12,false)=TRUE,TRUE,FALSE)</f>
        <v>1</v>
      </c>
      <c r="M1505" s="74">
        <v>73.7079846079846</v>
      </c>
      <c r="N1505" s="74">
        <f t="shared" si="1"/>
        <v>245.693282</v>
      </c>
      <c r="O1505" s="74" t="b">
        <v>1</v>
      </c>
    </row>
    <row r="1506" hidden="1">
      <c r="A1506" s="82"/>
      <c r="B1506" s="65" t="s">
        <v>495</v>
      </c>
      <c r="C1506" s="65" t="s">
        <v>84</v>
      </c>
      <c r="D1506" s="65"/>
      <c r="E1506" s="65" t="s">
        <v>890</v>
      </c>
      <c r="F1506" s="83">
        <v>0.5034722222222222</v>
      </c>
      <c r="G1506" s="83">
        <v>0.5694444444444444</v>
      </c>
      <c r="H1506" s="83">
        <v>0.06597222222222222</v>
      </c>
      <c r="I1506" s="84">
        <v>44287.0</v>
      </c>
      <c r="J1506" s="65" t="b">
        <v>0</v>
      </c>
      <c r="K1506" s="65"/>
      <c r="L1506" s="85" t="b">
        <f>IF(VLOOKUP(C1506,Projetos!A:L,12,false)=TRUE,TRUE,FALSE)</f>
        <v>0</v>
      </c>
      <c r="M1506" s="74">
        <v>73.7079846079846</v>
      </c>
      <c r="N1506" s="74">
        <f t="shared" si="1"/>
        <v>0</v>
      </c>
      <c r="O1506" s="74" t="b">
        <v>0</v>
      </c>
    </row>
    <row r="1507" hidden="1">
      <c r="A1507" s="82"/>
      <c r="B1507" s="65" t="s">
        <v>495</v>
      </c>
      <c r="C1507" s="65" t="s">
        <v>92</v>
      </c>
      <c r="D1507" s="65" t="str">
        <f>vlookup(C1507,'Classificação p pessoal'!F:G,2,false)</f>
        <v/>
      </c>
      <c r="E1507" s="65" t="s">
        <v>891</v>
      </c>
      <c r="F1507" s="83">
        <v>0.6145833333333334</v>
      </c>
      <c r="G1507" s="83">
        <v>0.6666666666666666</v>
      </c>
      <c r="H1507" s="83">
        <v>0.052083333333333336</v>
      </c>
      <c r="I1507" s="84">
        <v>44287.0</v>
      </c>
      <c r="J1507" s="65" t="b">
        <v>1</v>
      </c>
      <c r="K1507" s="65"/>
      <c r="L1507" s="85" t="b">
        <f>IF(VLOOKUP(C1507,Projetos!A:L,12,false)=TRUE,TRUE,FALSE)</f>
        <v>1</v>
      </c>
      <c r="M1507" s="74">
        <v>73.7079846079846</v>
      </c>
      <c r="N1507" s="74">
        <f t="shared" si="1"/>
        <v>92.13498076</v>
      </c>
      <c r="O1507" s="74" t="b">
        <v>1</v>
      </c>
    </row>
    <row r="1508" hidden="1">
      <c r="A1508" s="82"/>
      <c r="B1508" s="65" t="s">
        <v>495</v>
      </c>
      <c r="C1508" s="65" t="s">
        <v>130</v>
      </c>
      <c r="D1508" s="65" t="str">
        <f>vlookup(C1508,'Classificação p pessoal'!F:G,2,false)</f>
        <v>NP</v>
      </c>
      <c r="E1508" s="65" t="s">
        <v>880</v>
      </c>
      <c r="F1508" s="83">
        <v>0.6770833333333334</v>
      </c>
      <c r="G1508" s="83">
        <v>0.75</v>
      </c>
      <c r="H1508" s="83">
        <v>0.07291666666666667</v>
      </c>
      <c r="I1508" s="84">
        <v>44287.0</v>
      </c>
      <c r="J1508" s="65" t="b">
        <v>1</v>
      </c>
      <c r="K1508" s="65"/>
      <c r="L1508" s="85" t="b">
        <f>IF(VLOOKUP(C1508,Projetos!A:L,12,false)=TRUE,TRUE,FALSE)</f>
        <v>1</v>
      </c>
      <c r="M1508" s="74">
        <v>73.7079846079846</v>
      </c>
      <c r="N1508" s="74">
        <f t="shared" si="1"/>
        <v>128.9889731</v>
      </c>
      <c r="O1508" s="74" t="b">
        <v>1</v>
      </c>
    </row>
    <row r="1509" hidden="1">
      <c r="A1509" s="82"/>
      <c r="B1509" s="65" t="s">
        <v>495</v>
      </c>
      <c r="C1509" s="65" t="s">
        <v>92</v>
      </c>
      <c r="D1509" s="65" t="str">
        <f>vlookup(C1509,'Classificação p pessoal'!F:G,2,false)</f>
        <v/>
      </c>
      <c r="E1509" s="65" t="s">
        <v>882</v>
      </c>
      <c r="F1509" s="83">
        <v>0.33541666666666664</v>
      </c>
      <c r="G1509" s="83">
        <v>0.3958333333333333</v>
      </c>
      <c r="H1509" s="83">
        <v>0.06041666666666667</v>
      </c>
      <c r="I1509" s="84">
        <v>44291.0</v>
      </c>
      <c r="J1509" s="65" t="b">
        <v>1</v>
      </c>
      <c r="K1509" s="65"/>
      <c r="L1509" s="85" t="b">
        <f>IF(VLOOKUP(C1509,Projetos!A:L,12,false)=TRUE,TRUE,FALSE)</f>
        <v>1</v>
      </c>
      <c r="M1509" s="74">
        <v>73.7079846079846</v>
      </c>
      <c r="N1509" s="74">
        <f t="shared" si="1"/>
        <v>106.8765777</v>
      </c>
      <c r="O1509" s="74" t="b">
        <v>1</v>
      </c>
    </row>
    <row r="1510" hidden="1">
      <c r="A1510" s="82"/>
      <c r="B1510" s="65" t="s">
        <v>495</v>
      </c>
      <c r="C1510" s="65" t="s">
        <v>106</v>
      </c>
      <c r="D1510" s="65" t="str">
        <f>vlookup(C1510,'Classificação p pessoal'!F:G,2,false)</f>
        <v>MProcesso</v>
      </c>
      <c r="E1510" s="65" t="s">
        <v>892</v>
      </c>
      <c r="F1510" s="83">
        <v>0.3958333333333333</v>
      </c>
      <c r="G1510" s="83">
        <v>0.4166666666666667</v>
      </c>
      <c r="H1510" s="83">
        <v>0.020833333333333332</v>
      </c>
      <c r="I1510" s="84">
        <v>44291.0</v>
      </c>
      <c r="J1510" s="65" t="b">
        <v>1</v>
      </c>
      <c r="K1510" s="65"/>
      <c r="L1510" s="85" t="b">
        <f>IF(VLOOKUP(C1510,Projetos!A:L,12,false)=TRUE,TRUE,FALSE)</f>
        <v>1</v>
      </c>
      <c r="M1510" s="74">
        <v>73.7079846079846</v>
      </c>
      <c r="N1510" s="74">
        <f t="shared" si="1"/>
        <v>36.8539923</v>
      </c>
      <c r="O1510" s="74" t="b">
        <v>1</v>
      </c>
    </row>
    <row r="1511" hidden="1">
      <c r="A1511" s="82"/>
      <c r="B1511" s="65" t="s">
        <v>495</v>
      </c>
      <c r="C1511" s="65" t="s">
        <v>130</v>
      </c>
      <c r="D1511" s="65" t="str">
        <f>vlookup(C1511,'Classificação p pessoal'!F:G,2,false)</f>
        <v>NP</v>
      </c>
      <c r="E1511" s="65" t="s">
        <v>880</v>
      </c>
      <c r="F1511" s="83">
        <v>0.4270833333333333</v>
      </c>
      <c r="G1511" s="83">
        <v>0.5208333333333334</v>
      </c>
      <c r="H1511" s="83">
        <v>0.09375</v>
      </c>
      <c r="I1511" s="84">
        <v>44291.0</v>
      </c>
      <c r="J1511" s="65" t="b">
        <v>1</v>
      </c>
      <c r="K1511" s="65"/>
      <c r="L1511" s="85" t="b">
        <f>IF(VLOOKUP(C1511,Projetos!A:L,12,false)=TRUE,TRUE,FALSE)</f>
        <v>1</v>
      </c>
      <c r="M1511" s="74">
        <v>73.7079846079846</v>
      </c>
      <c r="N1511" s="74">
        <f t="shared" si="1"/>
        <v>165.8429654</v>
      </c>
      <c r="O1511" s="74" t="b">
        <v>1</v>
      </c>
    </row>
    <row r="1512" hidden="1">
      <c r="A1512" s="82"/>
      <c r="B1512" s="65" t="s">
        <v>495</v>
      </c>
      <c r="C1512" s="65" t="s">
        <v>101</v>
      </c>
      <c r="D1512" s="65" t="str">
        <f>vlookup(C1512,'Classificação p pessoal'!F:G,2,false)</f>
        <v>NP</v>
      </c>
      <c r="E1512" s="65" t="s">
        <v>893</v>
      </c>
      <c r="F1512" s="83">
        <v>0.5208333333333334</v>
      </c>
      <c r="G1512" s="83">
        <v>0.5625</v>
      </c>
      <c r="H1512" s="83">
        <v>0.041666666666666664</v>
      </c>
      <c r="I1512" s="84">
        <v>44291.0</v>
      </c>
      <c r="J1512" s="65" t="b">
        <v>1</v>
      </c>
      <c r="K1512" s="65"/>
      <c r="L1512" s="85" t="b">
        <f>IF(VLOOKUP(C1512,Projetos!A:L,12,false)=TRUE,TRUE,FALSE)</f>
        <v>1</v>
      </c>
      <c r="M1512" s="74">
        <v>73.7079846079846</v>
      </c>
      <c r="N1512" s="74">
        <f t="shared" si="1"/>
        <v>73.70798461</v>
      </c>
      <c r="O1512" s="74" t="b">
        <v>1</v>
      </c>
    </row>
    <row r="1513" hidden="1">
      <c r="A1513" s="82"/>
      <c r="B1513" s="65" t="s">
        <v>495</v>
      </c>
      <c r="C1513" s="65" t="s">
        <v>92</v>
      </c>
      <c r="D1513" s="65" t="str">
        <f>vlookup(C1513,'Classificação p pessoal'!F:G,2,false)</f>
        <v/>
      </c>
      <c r="E1513" s="65" t="s">
        <v>894</v>
      </c>
      <c r="F1513" s="83">
        <v>0.6041666666666666</v>
      </c>
      <c r="G1513" s="83">
        <v>0.75</v>
      </c>
      <c r="H1513" s="83">
        <v>0.14583333333333334</v>
      </c>
      <c r="I1513" s="84">
        <v>43926.0</v>
      </c>
      <c r="J1513" s="65" t="b">
        <v>1</v>
      </c>
      <c r="K1513" s="65"/>
      <c r="L1513" s="85" t="b">
        <f>IF(VLOOKUP(C1513,Projetos!A:L,12,false)=TRUE,TRUE,FALSE)</f>
        <v>1</v>
      </c>
      <c r="M1513" s="74">
        <v>73.7079846079846</v>
      </c>
      <c r="N1513" s="74">
        <f t="shared" si="1"/>
        <v>257.9779461</v>
      </c>
      <c r="O1513" s="74" t="b">
        <v>1</v>
      </c>
    </row>
    <row r="1514" hidden="1">
      <c r="A1514" s="82"/>
      <c r="B1514" s="65" t="s">
        <v>495</v>
      </c>
      <c r="C1514" s="65" t="s">
        <v>92</v>
      </c>
      <c r="D1514" s="65" t="str">
        <f>vlookup(C1514,'Classificação p pessoal'!F:G,2,false)</f>
        <v/>
      </c>
      <c r="E1514" s="65" t="s">
        <v>895</v>
      </c>
      <c r="F1514" s="83">
        <v>0.3541666666666667</v>
      </c>
      <c r="G1514" s="83">
        <v>0.5625</v>
      </c>
      <c r="H1514" s="83">
        <v>0.20833333333333334</v>
      </c>
      <c r="I1514" s="84">
        <v>44292.0</v>
      </c>
      <c r="J1514" s="65" t="b">
        <v>1</v>
      </c>
      <c r="K1514" s="65"/>
      <c r="L1514" s="85" t="b">
        <f>IF(VLOOKUP(C1514,Projetos!A:L,12,false)=TRUE,TRUE,FALSE)</f>
        <v>1</v>
      </c>
      <c r="M1514" s="74">
        <v>73.7079846079846</v>
      </c>
      <c r="N1514" s="74">
        <f t="shared" si="1"/>
        <v>368.539923</v>
      </c>
      <c r="O1514" s="74" t="b">
        <v>1</v>
      </c>
    </row>
    <row r="1515" hidden="1">
      <c r="A1515" s="82"/>
      <c r="B1515" s="65" t="s">
        <v>495</v>
      </c>
      <c r="C1515" s="65" t="s">
        <v>107</v>
      </c>
      <c r="D1515" s="65" t="str">
        <f>vlookup(C1515,'Classificação p pessoal'!F:G,2,false)</f>
        <v>NP</v>
      </c>
      <c r="E1515" s="65" t="s">
        <v>896</v>
      </c>
      <c r="F1515" s="83">
        <v>0.6041666666666666</v>
      </c>
      <c r="G1515" s="83">
        <v>0.6666666666666666</v>
      </c>
      <c r="H1515" s="83">
        <v>0.0625</v>
      </c>
      <c r="I1515" s="84">
        <v>44292.0</v>
      </c>
      <c r="J1515" s="65" t="b">
        <v>1</v>
      </c>
      <c r="K1515" s="65"/>
      <c r="L1515" s="85" t="b">
        <f>IF(VLOOKUP(C1515,Projetos!A:L,12,false)=TRUE,TRUE,FALSE)</f>
        <v>1</v>
      </c>
      <c r="M1515" s="74">
        <v>73.7079846079846</v>
      </c>
      <c r="N1515" s="74">
        <f t="shared" si="1"/>
        <v>110.5619769</v>
      </c>
      <c r="O1515" s="74" t="b">
        <v>1</v>
      </c>
    </row>
    <row r="1516" hidden="1">
      <c r="A1516" s="82"/>
      <c r="B1516" s="65" t="s">
        <v>495</v>
      </c>
      <c r="C1516" s="65" t="s">
        <v>104</v>
      </c>
      <c r="D1516" s="65" t="str">
        <f>vlookup(C1516,'Classificação p pessoal'!F:G,2,false)</f>
        <v>NP</v>
      </c>
      <c r="E1516" s="65" t="s">
        <v>897</v>
      </c>
      <c r="F1516" s="83">
        <v>0.6875</v>
      </c>
      <c r="G1516" s="83">
        <v>0.7291666666666666</v>
      </c>
      <c r="H1516" s="83">
        <v>0.041666666666666664</v>
      </c>
      <c r="I1516" s="84">
        <v>44292.0</v>
      </c>
      <c r="J1516" s="65" t="b">
        <v>1</v>
      </c>
      <c r="K1516" s="65"/>
      <c r="L1516" s="85" t="b">
        <f>IF(VLOOKUP(C1516,Projetos!A:L,12,false)=TRUE,TRUE,FALSE)</f>
        <v>1</v>
      </c>
      <c r="M1516" s="74">
        <v>73.7079846079846</v>
      </c>
      <c r="N1516" s="74">
        <f t="shared" si="1"/>
        <v>73.70798461</v>
      </c>
      <c r="O1516" s="74" t="b">
        <v>1</v>
      </c>
    </row>
    <row r="1517" hidden="1">
      <c r="A1517" s="82"/>
      <c r="B1517" s="65" t="s">
        <v>495</v>
      </c>
      <c r="C1517" s="65" t="s">
        <v>92</v>
      </c>
      <c r="D1517" s="65" t="str">
        <f>vlookup(C1517,'Classificação p pessoal'!F:G,2,false)</f>
        <v/>
      </c>
      <c r="E1517" s="65" t="s">
        <v>834</v>
      </c>
      <c r="F1517" s="83">
        <v>0.7291666666666666</v>
      </c>
      <c r="G1517" s="83">
        <v>0.75</v>
      </c>
      <c r="H1517" s="83">
        <v>0.020833333333333332</v>
      </c>
      <c r="I1517" s="84">
        <v>44292.0</v>
      </c>
      <c r="J1517" s="65" t="b">
        <v>1</v>
      </c>
      <c r="K1517" s="65"/>
      <c r="L1517" s="85" t="b">
        <f>IF(VLOOKUP(C1517,Projetos!A:L,12,false)=TRUE,TRUE,FALSE)</f>
        <v>1</v>
      </c>
      <c r="M1517" s="74">
        <v>73.7079846079846</v>
      </c>
      <c r="N1517" s="74">
        <f t="shared" si="1"/>
        <v>36.8539923</v>
      </c>
      <c r="O1517" s="74" t="b">
        <v>1</v>
      </c>
    </row>
    <row r="1518" hidden="1">
      <c r="A1518" s="82"/>
      <c r="B1518" s="65" t="s">
        <v>495</v>
      </c>
      <c r="C1518" s="65" t="s">
        <v>100</v>
      </c>
      <c r="D1518" s="65" t="str">
        <f>vlookup(C1518,'Classificação p pessoal'!F:G,2,false)</f>
        <v>NP</v>
      </c>
      <c r="E1518" s="65" t="s">
        <v>898</v>
      </c>
      <c r="F1518" s="83">
        <v>0.34375</v>
      </c>
      <c r="G1518" s="83">
        <v>0.3854166666666667</v>
      </c>
      <c r="H1518" s="83">
        <v>0.041666666666666664</v>
      </c>
      <c r="I1518" s="84">
        <v>44293.0</v>
      </c>
      <c r="J1518" s="65" t="b">
        <v>1</v>
      </c>
      <c r="K1518" s="65"/>
      <c r="L1518" s="85" t="b">
        <f>IF(VLOOKUP(C1518,Projetos!A:L,12,false)=TRUE,TRUE,FALSE)</f>
        <v>1</v>
      </c>
      <c r="M1518" s="74">
        <v>73.7079846079846</v>
      </c>
      <c r="N1518" s="74">
        <f t="shared" si="1"/>
        <v>73.70798461</v>
      </c>
      <c r="O1518" s="74" t="b">
        <v>1</v>
      </c>
    </row>
    <row r="1519" hidden="1">
      <c r="A1519" s="82"/>
      <c r="B1519" s="65" t="s">
        <v>495</v>
      </c>
      <c r="C1519" s="65" t="s">
        <v>104</v>
      </c>
      <c r="D1519" s="65" t="str">
        <f>vlookup(C1519,'Classificação p pessoal'!F:G,2,false)</f>
        <v>NP</v>
      </c>
      <c r="E1519" s="65" t="s">
        <v>899</v>
      </c>
      <c r="F1519" s="83">
        <v>0.3854166666666667</v>
      </c>
      <c r="G1519" s="83">
        <v>0.4375</v>
      </c>
      <c r="H1519" s="83">
        <v>0.052083333333333336</v>
      </c>
      <c r="I1519" s="84">
        <v>44293.0</v>
      </c>
      <c r="J1519" s="65" t="b">
        <v>1</v>
      </c>
      <c r="K1519" s="65"/>
      <c r="L1519" s="85" t="b">
        <f>IF(VLOOKUP(C1519,Projetos!A:L,12,false)=TRUE,TRUE,FALSE)</f>
        <v>1</v>
      </c>
      <c r="M1519" s="74">
        <v>73.7079846079846</v>
      </c>
      <c r="N1519" s="74">
        <f t="shared" si="1"/>
        <v>92.13498076</v>
      </c>
      <c r="O1519" s="74" t="b">
        <v>1</v>
      </c>
    </row>
    <row r="1520">
      <c r="A1520" s="82"/>
      <c r="B1520" s="65" t="s">
        <v>495</v>
      </c>
      <c r="C1520" s="65" t="s">
        <v>108</v>
      </c>
      <c r="D1520" s="65" t="str">
        <f>vlookup(C1520,'Classificação p pessoal'!F:G,2,false)</f>
        <v>NP</v>
      </c>
      <c r="E1520" s="65" t="s">
        <v>900</v>
      </c>
      <c r="F1520" s="83">
        <v>0.4375</v>
      </c>
      <c r="G1520" s="83">
        <v>0.5</v>
      </c>
      <c r="H1520" s="83">
        <v>0.0625</v>
      </c>
      <c r="I1520" s="84">
        <v>44293.0</v>
      </c>
      <c r="J1520" s="65" t="b">
        <v>1</v>
      </c>
      <c r="K1520" s="65"/>
      <c r="L1520" s="85" t="b">
        <f>IF(VLOOKUP(C1520,Projetos!A:L,12,false)=TRUE,TRUE,FALSE)</f>
        <v>1</v>
      </c>
      <c r="M1520" s="74">
        <v>73.7079846079846</v>
      </c>
      <c r="N1520" s="74">
        <f t="shared" si="1"/>
        <v>110.5619769</v>
      </c>
      <c r="O1520" s="74" t="b">
        <v>1</v>
      </c>
    </row>
    <row r="1521" hidden="1">
      <c r="A1521" s="82"/>
      <c r="B1521" s="65" t="s">
        <v>495</v>
      </c>
      <c r="C1521" s="65" t="s">
        <v>92</v>
      </c>
      <c r="D1521" s="65" t="str">
        <f>vlookup(C1521,'Classificação p pessoal'!F:G,2,false)</f>
        <v/>
      </c>
      <c r="E1521" s="65" t="s">
        <v>901</v>
      </c>
      <c r="F1521" s="83">
        <v>0.5</v>
      </c>
      <c r="G1521" s="83">
        <v>0.5416666666666666</v>
      </c>
      <c r="H1521" s="83">
        <v>0.041666666666666664</v>
      </c>
      <c r="I1521" s="84">
        <v>44293.0</v>
      </c>
      <c r="J1521" s="65" t="b">
        <v>1</v>
      </c>
      <c r="K1521" s="65"/>
      <c r="L1521" s="85" t="b">
        <f>IF(VLOOKUP(C1521,Projetos!A:L,12,false)=TRUE,TRUE,FALSE)</f>
        <v>1</v>
      </c>
      <c r="M1521" s="74">
        <v>73.7079846079846</v>
      </c>
      <c r="N1521" s="74">
        <f t="shared" si="1"/>
        <v>73.70798461</v>
      </c>
      <c r="O1521" s="74" t="b">
        <v>1</v>
      </c>
    </row>
    <row r="1522" hidden="1">
      <c r="A1522" s="82"/>
      <c r="B1522" s="65" t="s">
        <v>495</v>
      </c>
      <c r="C1522" s="65" t="s">
        <v>92</v>
      </c>
      <c r="D1522" s="65" t="str">
        <f>vlookup(C1522,'Classificação p pessoal'!F:G,2,false)</f>
        <v/>
      </c>
      <c r="E1522" s="65" t="s">
        <v>902</v>
      </c>
      <c r="F1522" s="83">
        <v>0.5833333333333334</v>
      </c>
      <c r="G1522" s="83">
        <v>0.625</v>
      </c>
      <c r="H1522" s="83">
        <v>0.041666666666666664</v>
      </c>
      <c r="I1522" s="84">
        <v>44293.0</v>
      </c>
      <c r="J1522" s="65" t="b">
        <v>1</v>
      </c>
      <c r="K1522" s="65"/>
      <c r="L1522" s="85" t="b">
        <f>IF(VLOOKUP(C1522,Projetos!A:L,12,false)=TRUE,TRUE,FALSE)</f>
        <v>1</v>
      </c>
      <c r="M1522" s="74">
        <v>73.7079846079846</v>
      </c>
      <c r="N1522" s="74">
        <f t="shared" si="1"/>
        <v>73.70798461</v>
      </c>
      <c r="O1522" s="74" t="b">
        <v>1</v>
      </c>
    </row>
    <row r="1523" hidden="1">
      <c r="A1523" s="82"/>
      <c r="B1523" s="65" t="s">
        <v>495</v>
      </c>
      <c r="C1523" s="65" t="s">
        <v>92</v>
      </c>
      <c r="D1523" s="65" t="str">
        <f>vlookup(C1523,'Classificação p pessoal'!F:G,2,false)</f>
        <v/>
      </c>
      <c r="E1523" s="65" t="s">
        <v>903</v>
      </c>
      <c r="F1523" s="83">
        <v>0.625</v>
      </c>
      <c r="G1523" s="83">
        <v>0.75</v>
      </c>
      <c r="H1523" s="83">
        <v>0.125</v>
      </c>
      <c r="I1523" s="84">
        <v>44293.0</v>
      </c>
      <c r="J1523" s="65" t="b">
        <v>1</v>
      </c>
      <c r="K1523" s="65"/>
      <c r="L1523" s="85" t="b">
        <f>IF(VLOOKUP(C1523,Projetos!A:L,12,false)=TRUE,TRUE,FALSE)</f>
        <v>1</v>
      </c>
      <c r="M1523" s="74">
        <v>73.7079846079846</v>
      </c>
      <c r="N1523" s="74">
        <f t="shared" si="1"/>
        <v>221.1239538</v>
      </c>
      <c r="O1523" s="74" t="b">
        <v>1</v>
      </c>
    </row>
    <row r="1524" hidden="1">
      <c r="A1524" s="82"/>
      <c r="B1524" s="65" t="s">
        <v>495</v>
      </c>
      <c r="C1524" s="65" t="s">
        <v>92</v>
      </c>
      <c r="D1524" s="65" t="str">
        <f>vlookup(C1524,'Classificação p pessoal'!F:G,2,false)</f>
        <v/>
      </c>
      <c r="E1524" s="65" t="s">
        <v>891</v>
      </c>
      <c r="F1524" s="83">
        <v>0.3541666666666667</v>
      </c>
      <c r="G1524" s="83">
        <v>0.4166666666666667</v>
      </c>
      <c r="H1524" s="83">
        <v>0.0625</v>
      </c>
      <c r="I1524" s="84">
        <v>44294.0</v>
      </c>
      <c r="J1524" s="65" t="b">
        <v>1</v>
      </c>
      <c r="K1524" s="65"/>
      <c r="L1524" s="85" t="b">
        <f>IF(VLOOKUP(C1524,Projetos!A:L,12,false)=TRUE,TRUE,FALSE)</f>
        <v>1</v>
      </c>
      <c r="M1524" s="74">
        <v>73.7079846079846</v>
      </c>
      <c r="N1524" s="74">
        <f t="shared" si="1"/>
        <v>110.5619769</v>
      </c>
      <c r="O1524" s="74" t="b">
        <v>1</v>
      </c>
    </row>
    <row r="1525" hidden="1">
      <c r="A1525" s="82"/>
      <c r="B1525" s="65" t="s">
        <v>177</v>
      </c>
      <c r="C1525" s="65" t="s">
        <v>92</v>
      </c>
      <c r="D1525" s="65"/>
      <c r="E1525" s="65" t="s">
        <v>904</v>
      </c>
      <c r="F1525" s="83">
        <v>0.6458333333333334</v>
      </c>
      <c r="G1525" s="83">
        <v>0.6979166666666666</v>
      </c>
      <c r="H1525" s="83">
        <v>0.052083333333333336</v>
      </c>
      <c r="I1525" s="84">
        <v>44370.0</v>
      </c>
      <c r="J1525" s="65" t="b">
        <v>0</v>
      </c>
      <c r="K1525" s="65"/>
      <c r="L1525" s="85" t="b">
        <f>IF(VLOOKUP(C1525,Projetos!A:L,12,false)=TRUE,TRUE,FALSE)</f>
        <v>1</v>
      </c>
      <c r="M1525" s="74">
        <v>31.02923620430495</v>
      </c>
      <c r="N1525" s="74">
        <f t="shared" si="1"/>
        <v>0</v>
      </c>
      <c r="O1525" s="74" t="b">
        <v>1</v>
      </c>
    </row>
    <row r="1526">
      <c r="A1526" s="82"/>
      <c r="B1526" s="65" t="s">
        <v>495</v>
      </c>
      <c r="C1526" s="65" t="s">
        <v>108</v>
      </c>
      <c r="D1526" s="65" t="str">
        <f>vlookup(C1526,'Classificação p pessoal'!F:G,2,false)</f>
        <v>NP</v>
      </c>
      <c r="E1526" s="65" t="s">
        <v>905</v>
      </c>
      <c r="F1526" s="83">
        <v>0.4583333333333333</v>
      </c>
      <c r="G1526" s="83">
        <v>0.5625</v>
      </c>
      <c r="H1526" s="83">
        <v>0.10416666666666667</v>
      </c>
      <c r="I1526" s="84">
        <v>44294.0</v>
      </c>
      <c r="J1526" s="65" t="b">
        <v>1</v>
      </c>
      <c r="K1526" s="65"/>
      <c r="L1526" s="85" t="b">
        <f>IF(VLOOKUP(C1526,Projetos!A:L,12,false)=TRUE,TRUE,FALSE)</f>
        <v>1</v>
      </c>
      <c r="M1526" s="74">
        <v>73.7079846079846</v>
      </c>
      <c r="N1526" s="74">
        <f t="shared" si="1"/>
        <v>184.2699615</v>
      </c>
      <c r="O1526" s="74" t="b">
        <v>1</v>
      </c>
    </row>
    <row r="1527" hidden="1">
      <c r="A1527" s="82"/>
      <c r="B1527" s="65" t="s">
        <v>495</v>
      </c>
      <c r="C1527" s="65" t="s">
        <v>92</v>
      </c>
      <c r="D1527" s="65" t="str">
        <f>vlookup(C1527,'Classificação p pessoal'!F:G,2,false)</f>
        <v/>
      </c>
      <c r="E1527" s="65" t="s">
        <v>906</v>
      </c>
      <c r="F1527" s="83">
        <v>0.6041666666666666</v>
      </c>
      <c r="G1527" s="83">
        <v>0.7083333333333334</v>
      </c>
      <c r="H1527" s="83">
        <v>0.10416666666666667</v>
      </c>
      <c r="I1527" s="84">
        <v>44294.0</v>
      </c>
      <c r="J1527" s="65" t="b">
        <v>1</v>
      </c>
      <c r="K1527" s="65"/>
      <c r="L1527" s="85" t="b">
        <f>IF(VLOOKUP(C1527,Projetos!A:L,12,false)=TRUE,TRUE,FALSE)</f>
        <v>1</v>
      </c>
      <c r="M1527" s="74">
        <v>73.7079846079846</v>
      </c>
      <c r="N1527" s="74">
        <f t="shared" si="1"/>
        <v>184.2699615</v>
      </c>
      <c r="O1527" s="74" t="b">
        <v>1</v>
      </c>
    </row>
    <row r="1528" hidden="1">
      <c r="A1528" s="82"/>
      <c r="B1528" s="65" t="s">
        <v>495</v>
      </c>
      <c r="C1528" s="65" t="s">
        <v>92</v>
      </c>
      <c r="D1528" s="65" t="str">
        <f>vlookup(C1528,'Classificação p pessoal'!F:G,2,false)</f>
        <v/>
      </c>
      <c r="E1528" s="65" t="s">
        <v>899</v>
      </c>
      <c r="F1528" s="83">
        <v>0.3541666666666667</v>
      </c>
      <c r="G1528" s="83">
        <v>0.375</v>
      </c>
      <c r="H1528" s="83">
        <v>0.020833333333333332</v>
      </c>
      <c r="I1528" s="84">
        <v>44295.0</v>
      </c>
      <c r="J1528" s="65" t="b">
        <v>1</v>
      </c>
      <c r="K1528" s="65"/>
      <c r="L1528" s="85" t="b">
        <f>IF(VLOOKUP(C1528,Projetos!A:L,12,false)=TRUE,TRUE,FALSE)</f>
        <v>1</v>
      </c>
      <c r="M1528" s="74">
        <v>73.7079846079846</v>
      </c>
      <c r="N1528" s="74">
        <f t="shared" si="1"/>
        <v>36.8539923</v>
      </c>
      <c r="O1528" s="74" t="b">
        <v>1</v>
      </c>
    </row>
    <row r="1529">
      <c r="A1529" s="82"/>
      <c r="B1529" s="65" t="s">
        <v>495</v>
      </c>
      <c r="C1529" s="65" t="s">
        <v>108</v>
      </c>
      <c r="D1529" s="65" t="str">
        <f>vlookup(C1529,'Classificação p pessoal'!F:G,2,false)</f>
        <v>NP</v>
      </c>
      <c r="E1529" s="65" t="s">
        <v>907</v>
      </c>
      <c r="F1529" s="83">
        <v>0.375</v>
      </c>
      <c r="G1529" s="83">
        <v>0.4166666666666667</v>
      </c>
      <c r="H1529" s="83">
        <v>0.041666666666666664</v>
      </c>
      <c r="I1529" s="84">
        <v>44295.0</v>
      </c>
      <c r="J1529" s="65" t="b">
        <v>1</v>
      </c>
      <c r="K1529" s="65"/>
      <c r="L1529" s="85" t="b">
        <f>IF(VLOOKUP(C1529,Projetos!A:L,12,false)=TRUE,TRUE,FALSE)</f>
        <v>1</v>
      </c>
      <c r="M1529" s="74">
        <v>73.7079846079846</v>
      </c>
      <c r="N1529" s="74">
        <f t="shared" si="1"/>
        <v>73.70798461</v>
      </c>
      <c r="O1529" s="74" t="b">
        <v>1</v>
      </c>
    </row>
    <row r="1530">
      <c r="A1530" s="82"/>
      <c r="B1530" s="65" t="s">
        <v>495</v>
      </c>
      <c r="C1530" s="65" t="s">
        <v>108</v>
      </c>
      <c r="D1530" s="65" t="str">
        <f>vlookup(C1530,'Classificação p pessoal'!F:G,2,false)</f>
        <v>NP</v>
      </c>
      <c r="E1530" s="65" t="s">
        <v>907</v>
      </c>
      <c r="F1530" s="83">
        <v>0.4583333333333333</v>
      </c>
      <c r="G1530" s="83">
        <v>0.5833333333333334</v>
      </c>
      <c r="H1530" s="83">
        <v>0.125</v>
      </c>
      <c r="I1530" s="84">
        <v>44295.0</v>
      </c>
      <c r="J1530" s="65" t="b">
        <v>1</v>
      </c>
      <c r="K1530" s="65"/>
      <c r="L1530" s="85" t="b">
        <f>IF(VLOOKUP(C1530,Projetos!A:L,12,false)=TRUE,TRUE,FALSE)</f>
        <v>1</v>
      </c>
      <c r="M1530" s="74">
        <v>73.7079846079846</v>
      </c>
      <c r="N1530" s="74">
        <f t="shared" si="1"/>
        <v>221.1239538</v>
      </c>
      <c r="O1530" s="74" t="b">
        <v>1</v>
      </c>
    </row>
    <row r="1531" hidden="1">
      <c r="A1531" s="82"/>
      <c r="B1531" s="65" t="s">
        <v>495</v>
      </c>
      <c r="C1531" s="65" t="s">
        <v>100</v>
      </c>
      <c r="D1531" s="65" t="str">
        <f>vlookup(C1531,'Classificação p pessoal'!F:G,2,false)</f>
        <v>NP</v>
      </c>
      <c r="E1531" s="65" t="s">
        <v>908</v>
      </c>
      <c r="F1531" s="83">
        <v>0.625</v>
      </c>
      <c r="G1531" s="83">
        <v>0.6666666666666666</v>
      </c>
      <c r="H1531" s="83">
        <v>0.041666666666666664</v>
      </c>
      <c r="I1531" s="84">
        <v>44295.0</v>
      </c>
      <c r="J1531" s="65" t="b">
        <v>1</v>
      </c>
      <c r="K1531" s="65"/>
      <c r="L1531" s="85" t="b">
        <f>IF(VLOOKUP(C1531,Projetos!A:L,12,false)=TRUE,TRUE,FALSE)</f>
        <v>1</v>
      </c>
      <c r="M1531" s="74">
        <v>73.7079846079846</v>
      </c>
      <c r="N1531" s="74">
        <f t="shared" si="1"/>
        <v>73.70798461</v>
      </c>
      <c r="O1531" s="74" t="b">
        <v>1</v>
      </c>
    </row>
    <row r="1532" hidden="1">
      <c r="A1532" s="82"/>
      <c r="B1532" s="65" t="s">
        <v>495</v>
      </c>
      <c r="C1532" s="65" t="s">
        <v>92</v>
      </c>
      <c r="D1532" s="65" t="str">
        <f>vlookup(C1532,'Classificação p pessoal'!F:G,2,false)</f>
        <v/>
      </c>
      <c r="E1532" s="65" t="s">
        <v>837</v>
      </c>
      <c r="F1532" s="83">
        <v>0.6666666666666666</v>
      </c>
      <c r="G1532" s="83">
        <v>0.75</v>
      </c>
      <c r="H1532" s="83">
        <v>0.08333333333333333</v>
      </c>
      <c r="I1532" s="84">
        <v>44295.0</v>
      </c>
      <c r="J1532" s="65" t="b">
        <v>1</v>
      </c>
      <c r="K1532" s="65"/>
      <c r="L1532" s="85" t="b">
        <f>IF(VLOOKUP(C1532,Projetos!A:L,12,false)=TRUE,TRUE,FALSE)</f>
        <v>1</v>
      </c>
      <c r="M1532" s="74">
        <v>73.7079846079846</v>
      </c>
      <c r="N1532" s="74">
        <f t="shared" si="1"/>
        <v>147.4159692</v>
      </c>
      <c r="O1532" s="74" t="b">
        <v>1</v>
      </c>
    </row>
    <row r="1533" hidden="1">
      <c r="A1533" s="82"/>
      <c r="B1533" s="65" t="s">
        <v>495</v>
      </c>
      <c r="C1533" s="65" t="s">
        <v>92</v>
      </c>
      <c r="D1533" s="65" t="str">
        <f>vlookup(C1533,'Classificação p pessoal'!F:G,2,false)</f>
        <v/>
      </c>
      <c r="E1533" s="65" t="s">
        <v>909</v>
      </c>
      <c r="F1533" s="83">
        <v>0.4166666666666667</v>
      </c>
      <c r="G1533" s="83">
        <v>0.4583333333333333</v>
      </c>
      <c r="H1533" s="83">
        <v>0.041666666666666664</v>
      </c>
      <c r="I1533" s="84">
        <v>44298.0</v>
      </c>
      <c r="J1533" s="65" t="b">
        <v>1</v>
      </c>
      <c r="K1533" s="65"/>
      <c r="L1533" s="85" t="b">
        <f>IF(VLOOKUP(C1533,Projetos!A:L,12,false)=TRUE,TRUE,FALSE)</f>
        <v>1</v>
      </c>
      <c r="M1533" s="74">
        <v>73.7079846079846</v>
      </c>
      <c r="N1533" s="74">
        <f t="shared" si="1"/>
        <v>73.70798461</v>
      </c>
      <c r="O1533" s="74" t="b">
        <v>1</v>
      </c>
    </row>
    <row r="1534" hidden="1">
      <c r="A1534" s="82"/>
      <c r="B1534" s="65" t="s">
        <v>495</v>
      </c>
      <c r="C1534" s="65" t="s">
        <v>130</v>
      </c>
      <c r="D1534" s="65" t="str">
        <f>vlookup(C1534,'Classificação p pessoal'!F:G,2,false)</f>
        <v>NP</v>
      </c>
      <c r="E1534" s="65" t="s">
        <v>856</v>
      </c>
      <c r="F1534" s="83">
        <v>0.4583333333333333</v>
      </c>
      <c r="G1534" s="83">
        <v>0.5729166666666666</v>
      </c>
      <c r="H1534" s="83">
        <v>0.11458333333333333</v>
      </c>
      <c r="I1534" s="84">
        <v>44298.0</v>
      </c>
      <c r="J1534" s="65" t="b">
        <v>1</v>
      </c>
      <c r="K1534" s="65"/>
      <c r="L1534" s="85" t="b">
        <f>IF(VLOOKUP(C1534,Projetos!A:L,12,false)=TRUE,TRUE,FALSE)</f>
        <v>1</v>
      </c>
      <c r="M1534" s="74">
        <v>73.7079846079846</v>
      </c>
      <c r="N1534" s="74">
        <f t="shared" si="1"/>
        <v>202.6969577</v>
      </c>
      <c r="O1534" s="74" t="b">
        <v>1</v>
      </c>
    </row>
    <row r="1535" hidden="1">
      <c r="A1535" s="82"/>
      <c r="B1535" s="65" t="s">
        <v>495</v>
      </c>
      <c r="C1535" s="65" t="s">
        <v>92</v>
      </c>
      <c r="D1535" s="65" t="str">
        <f>vlookup(C1535,'Classificação p pessoal'!F:G,2,false)</f>
        <v/>
      </c>
      <c r="E1535" s="65" t="s">
        <v>910</v>
      </c>
      <c r="F1535" s="83">
        <v>0.6145833333333334</v>
      </c>
      <c r="G1535" s="83">
        <v>0.7083333333333334</v>
      </c>
      <c r="H1535" s="83">
        <v>0.09375</v>
      </c>
      <c r="I1535" s="84">
        <v>44298.0</v>
      </c>
      <c r="J1535" s="65" t="b">
        <v>1</v>
      </c>
      <c r="K1535" s="65"/>
      <c r="L1535" s="85" t="b">
        <f>IF(VLOOKUP(C1535,Projetos!A:L,12,false)=TRUE,TRUE,FALSE)</f>
        <v>1</v>
      </c>
      <c r="M1535" s="74">
        <v>73.7079846079846</v>
      </c>
      <c r="N1535" s="74">
        <f t="shared" si="1"/>
        <v>165.8429654</v>
      </c>
      <c r="O1535" s="74" t="b">
        <v>1</v>
      </c>
    </row>
    <row r="1536" hidden="1">
      <c r="A1536" s="82"/>
      <c r="B1536" s="65" t="s">
        <v>495</v>
      </c>
      <c r="C1536" s="65" t="s">
        <v>92</v>
      </c>
      <c r="D1536" s="65" t="str">
        <f>vlookup(C1536,'Classificação p pessoal'!F:G,2,false)</f>
        <v/>
      </c>
      <c r="E1536" s="65" t="s">
        <v>911</v>
      </c>
      <c r="F1536" s="83">
        <v>0.7083333333333334</v>
      </c>
      <c r="G1536" s="83">
        <v>0.75</v>
      </c>
      <c r="H1536" s="83">
        <v>0.041666666666666664</v>
      </c>
      <c r="I1536" s="84">
        <v>44298.0</v>
      </c>
      <c r="J1536" s="65" t="b">
        <v>1</v>
      </c>
      <c r="K1536" s="65"/>
      <c r="L1536" s="85" t="b">
        <f>IF(VLOOKUP(C1536,Projetos!A:L,12,false)=TRUE,TRUE,FALSE)</f>
        <v>1</v>
      </c>
      <c r="M1536" s="74">
        <v>73.7079846079846</v>
      </c>
      <c r="N1536" s="74">
        <f t="shared" si="1"/>
        <v>73.70798461</v>
      </c>
      <c r="O1536" s="74" t="b">
        <v>1</v>
      </c>
    </row>
    <row r="1537" hidden="1">
      <c r="A1537" s="82"/>
      <c r="B1537" s="65" t="s">
        <v>495</v>
      </c>
      <c r="C1537" s="65" t="s">
        <v>84</v>
      </c>
      <c r="D1537" s="65"/>
      <c r="E1537" s="65" t="s">
        <v>912</v>
      </c>
      <c r="F1537" s="83">
        <v>0.3541666666666667</v>
      </c>
      <c r="G1537" s="83">
        <v>0.3854166666666667</v>
      </c>
      <c r="H1537" s="83">
        <v>0.03125</v>
      </c>
      <c r="I1537" s="84">
        <v>44299.0</v>
      </c>
      <c r="J1537" s="65" t="b">
        <v>0</v>
      </c>
      <c r="K1537" s="65"/>
      <c r="L1537" s="85" t="b">
        <f>IF(VLOOKUP(C1537,Projetos!A:L,12,false)=TRUE,TRUE,FALSE)</f>
        <v>0</v>
      </c>
      <c r="M1537" s="74">
        <v>73.7079846079846</v>
      </c>
      <c r="N1537" s="74">
        <f t="shared" si="1"/>
        <v>0</v>
      </c>
      <c r="O1537" s="74" t="b">
        <v>0</v>
      </c>
    </row>
    <row r="1538" hidden="1">
      <c r="A1538" s="82"/>
      <c r="B1538" s="65" t="s">
        <v>495</v>
      </c>
      <c r="C1538" s="65" t="s">
        <v>104</v>
      </c>
      <c r="D1538" s="65" t="str">
        <f>vlookup(C1538,'Classificação p pessoal'!F:G,2,false)</f>
        <v>NP</v>
      </c>
      <c r="E1538" s="65" t="s">
        <v>913</v>
      </c>
      <c r="F1538" s="83">
        <v>0.3854166666666667</v>
      </c>
      <c r="G1538" s="83">
        <v>0.3958333333333333</v>
      </c>
      <c r="H1538" s="83">
        <v>0.010416666666666666</v>
      </c>
      <c r="I1538" s="84">
        <v>44299.0</v>
      </c>
      <c r="J1538" s="65" t="b">
        <v>1</v>
      </c>
      <c r="K1538" s="65"/>
      <c r="L1538" s="85" t="b">
        <f>IF(VLOOKUP(C1538,Projetos!A:L,12,false)=TRUE,TRUE,FALSE)</f>
        <v>1</v>
      </c>
      <c r="M1538" s="74">
        <v>73.7079846079846</v>
      </c>
      <c r="N1538" s="74">
        <f t="shared" si="1"/>
        <v>18.42699615</v>
      </c>
      <c r="O1538" s="74" t="b">
        <v>1</v>
      </c>
    </row>
    <row r="1539" hidden="1">
      <c r="A1539" s="82"/>
      <c r="B1539" s="65" t="s">
        <v>495</v>
      </c>
      <c r="C1539" s="65" t="s">
        <v>84</v>
      </c>
      <c r="D1539" s="65"/>
      <c r="E1539" s="65" t="s">
        <v>914</v>
      </c>
      <c r="F1539" s="83">
        <v>0.3958333333333333</v>
      </c>
      <c r="G1539" s="83">
        <v>0.5</v>
      </c>
      <c r="H1539" s="83">
        <v>0.10416666666666667</v>
      </c>
      <c r="I1539" s="84">
        <v>44299.0</v>
      </c>
      <c r="J1539" s="65" t="b">
        <v>0</v>
      </c>
      <c r="K1539" s="65"/>
      <c r="L1539" s="85" t="b">
        <f>IF(VLOOKUP(C1539,Projetos!A:L,12,false)=TRUE,TRUE,FALSE)</f>
        <v>0</v>
      </c>
      <c r="M1539" s="74">
        <v>73.7079846079846</v>
      </c>
      <c r="N1539" s="74">
        <f t="shared" si="1"/>
        <v>0</v>
      </c>
      <c r="O1539" s="74" t="b">
        <v>0</v>
      </c>
    </row>
    <row r="1540" hidden="1">
      <c r="A1540" s="82"/>
      <c r="B1540" s="65" t="s">
        <v>495</v>
      </c>
      <c r="C1540" s="65" t="s">
        <v>92</v>
      </c>
      <c r="D1540" s="65" t="str">
        <f>vlookup(C1540,'Classificação p pessoal'!F:G,2,false)</f>
        <v/>
      </c>
      <c r="E1540" s="65" t="s">
        <v>915</v>
      </c>
      <c r="F1540" s="83">
        <v>0.4791666666666667</v>
      </c>
      <c r="G1540" s="83">
        <v>0.5694444444444444</v>
      </c>
      <c r="H1540" s="83">
        <v>0.09027777777777778</v>
      </c>
      <c r="I1540" s="84">
        <v>44299.0</v>
      </c>
      <c r="J1540" s="65" t="b">
        <v>1</v>
      </c>
      <c r="K1540" s="65"/>
      <c r="L1540" s="85" t="b">
        <f>IF(VLOOKUP(C1540,Projetos!A:L,12,false)=TRUE,TRUE,FALSE)</f>
        <v>1</v>
      </c>
      <c r="M1540" s="74">
        <v>73.7079846079846</v>
      </c>
      <c r="N1540" s="74">
        <f t="shared" si="1"/>
        <v>159.7006333</v>
      </c>
      <c r="O1540" s="74" t="b">
        <v>1</v>
      </c>
    </row>
    <row r="1541" hidden="1">
      <c r="A1541" s="82"/>
      <c r="B1541" s="65" t="s">
        <v>495</v>
      </c>
      <c r="C1541" s="65" t="s">
        <v>92</v>
      </c>
      <c r="D1541" s="65" t="str">
        <f>vlookup(C1541,'Classificação p pessoal'!F:G,2,false)</f>
        <v/>
      </c>
      <c r="E1541" s="65" t="s">
        <v>910</v>
      </c>
      <c r="F1541" s="83">
        <v>0.6145833333333334</v>
      </c>
      <c r="G1541" s="83">
        <v>0.6527777777777778</v>
      </c>
      <c r="H1541" s="83">
        <v>0.03819444444444445</v>
      </c>
      <c r="I1541" s="84">
        <v>44298.0</v>
      </c>
      <c r="J1541" s="65" t="b">
        <v>1</v>
      </c>
      <c r="K1541" s="65"/>
      <c r="L1541" s="85" t="b">
        <f>IF(VLOOKUP(C1541,Projetos!A:L,12,false)=TRUE,TRUE,FALSE)</f>
        <v>1</v>
      </c>
      <c r="M1541" s="74">
        <v>73.7079846079846</v>
      </c>
      <c r="N1541" s="74">
        <f t="shared" si="1"/>
        <v>67.56565256</v>
      </c>
      <c r="O1541" s="74" t="b">
        <v>1</v>
      </c>
    </row>
    <row r="1542" hidden="1">
      <c r="A1542" s="82"/>
      <c r="B1542" s="65" t="s">
        <v>495</v>
      </c>
      <c r="C1542" s="65" t="s">
        <v>92</v>
      </c>
      <c r="D1542" s="65" t="str">
        <f>vlookup(C1542,'Classificação p pessoal'!F:G,2,false)</f>
        <v/>
      </c>
      <c r="E1542" s="65" t="s">
        <v>915</v>
      </c>
      <c r="F1542" s="83">
        <v>0.6527777777777778</v>
      </c>
      <c r="G1542" s="83">
        <v>0.7291666666666666</v>
      </c>
      <c r="H1542" s="83">
        <v>0.0763888888888889</v>
      </c>
      <c r="I1542" s="84">
        <v>44299.0</v>
      </c>
      <c r="J1542" s="65" t="b">
        <v>1</v>
      </c>
      <c r="K1542" s="65"/>
      <c r="L1542" s="85" t="b">
        <f>IF(VLOOKUP(C1542,Projetos!A:L,12,false)=TRUE,TRUE,FALSE)</f>
        <v>1</v>
      </c>
      <c r="M1542" s="74">
        <v>73.7079846079846</v>
      </c>
      <c r="N1542" s="74">
        <f t="shared" si="1"/>
        <v>135.1313051</v>
      </c>
      <c r="O1542" s="74" t="b">
        <v>1</v>
      </c>
    </row>
    <row r="1543" hidden="1">
      <c r="A1543" s="82"/>
      <c r="B1543" s="65" t="s">
        <v>495</v>
      </c>
      <c r="C1543" s="65" t="s">
        <v>100</v>
      </c>
      <c r="D1543" s="65" t="str">
        <f>vlookup(C1543,'Classificação p pessoal'!F:G,2,false)</f>
        <v>NP</v>
      </c>
      <c r="E1543" s="65" t="s">
        <v>916</v>
      </c>
      <c r="F1543" s="83">
        <v>0.7291666666666666</v>
      </c>
      <c r="G1543" s="83">
        <v>0.75</v>
      </c>
      <c r="H1543" s="83">
        <v>0.020833333333333332</v>
      </c>
      <c r="I1543" s="84">
        <v>44299.0</v>
      </c>
      <c r="J1543" s="65" t="b">
        <v>1</v>
      </c>
      <c r="K1543" s="65"/>
      <c r="L1543" s="85" t="b">
        <f>IF(VLOOKUP(C1543,Projetos!A:L,12,false)=TRUE,TRUE,FALSE)</f>
        <v>1</v>
      </c>
      <c r="M1543" s="74">
        <v>73.7079846079846</v>
      </c>
      <c r="N1543" s="74">
        <f t="shared" si="1"/>
        <v>36.8539923</v>
      </c>
      <c r="O1543" s="74" t="b">
        <v>1</v>
      </c>
    </row>
    <row r="1544" hidden="1">
      <c r="A1544" s="82"/>
      <c r="B1544" s="65" t="s">
        <v>495</v>
      </c>
      <c r="C1544" s="65" t="s">
        <v>92</v>
      </c>
      <c r="D1544" s="65" t="str">
        <f>vlookup(C1544,'Classificação p pessoal'!F:G,2,false)</f>
        <v/>
      </c>
      <c r="E1544" s="65" t="s">
        <v>917</v>
      </c>
      <c r="F1544" s="83">
        <v>0.3541666666666667</v>
      </c>
      <c r="G1544" s="83">
        <v>0.40625</v>
      </c>
      <c r="H1544" s="83">
        <v>0.052083333333333336</v>
      </c>
      <c r="I1544" s="84">
        <v>44300.0</v>
      </c>
      <c r="J1544" s="65" t="b">
        <v>1</v>
      </c>
      <c r="K1544" s="65"/>
      <c r="L1544" s="85" t="b">
        <f>IF(VLOOKUP(C1544,Projetos!A:L,12,false)=TRUE,TRUE,FALSE)</f>
        <v>1</v>
      </c>
      <c r="M1544" s="74">
        <v>73.7079846079846</v>
      </c>
      <c r="N1544" s="74">
        <f t="shared" si="1"/>
        <v>92.13498076</v>
      </c>
      <c r="O1544" s="74" t="b">
        <v>1</v>
      </c>
    </row>
    <row r="1545" hidden="1">
      <c r="A1545" s="82"/>
      <c r="B1545" s="65" t="s">
        <v>495</v>
      </c>
      <c r="C1545" s="65" t="s">
        <v>92</v>
      </c>
      <c r="D1545" s="65" t="str">
        <f>vlookup(C1545,'Classificação p pessoal'!F:G,2,false)</f>
        <v/>
      </c>
      <c r="E1545" s="65" t="s">
        <v>918</v>
      </c>
      <c r="F1545" s="83">
        <v>0.40625</v>
      </c>
      <c r="G1545" s="83">
        <v>0.5625</v>
      </c>
      <c r="H1545" s="83">
        <v>0.15625</v>
      </c>
      <c r="I1545" s="84">
        <v>44300.0</v>
      </c>
      <c r="J1545" s="65" t="b">
        <v>1</v>
      </c>
      <c r="K1545" s="65"/>
      <c r="L1545" s="85" t="b">
        <f>IF(VLOOKUP(C1545,Projetos!A:L,12,false)=TRUE,TRUE,FALSE)</f>
        <v>1</v>
      </c>
      <c r="M1545" s="74">
        <v>73.7079846079846</v>
      </c>
      <c r="N1545" s="74">
        <f t="shared" si="1"/>
        <v>276.4049423</v>
      </c>
      <c r="O1545" s="74" t="b">
        <v>1</v>
      </c>
    </row>
    <row r="1546" hidden="1">
      <c r="A1546" s="82"/>
      <c r="B1546" s="65" t="s">
        <v>495</v>
      </c>
      <c r="C1546" s="65" t="s">
        <v>92</v>
      </c>
      <c r="D1546" s="65" t="str">
        <f>vlookup(C1546,'Classificação p pessoal'!F:G,2,false)</f>
        <v/>
      </c>
      <c r="E1546" s="65" t="s">
        <v>918</v>
      </c>
      <c r="F1546" s="83">
        <v>0.6041666666666666</v>
      </c>
      <c r="G1546" s="83">
        <v>0.6875</v>
      </c>
      <c r="H1546" s="83">
        <v>0.08333333333333333</v>
      </c>
      <c r="I1546" s="84">
        <v>44300.0</v>
      </c>
      <c r="J1546" s="65" t="b">
        <v>1</v>
      </c>
      <c r="K1546" s="65"/>
      <c r="L1546" s="85" t="b">
        <f>IF(VLOOKUP(C1546,Projetos!A:L,12,false)=TRUE,TRUE,FALSE)</f>
        <v>1</v>
      </c>
      <c r="M1546" s="74">
        <v>73.7079846079846</v>
      </c>
      <c r="N1546" s="74">
        <f t="shared" si="1"/>
        <v>147.4159692</v>
      </c>
      <c r="O1546" s="74" t="b">
        <v>1</v>
      </c>
    </row>
    <row r="1547">
      <c r="A1547" s="82"/>
      <c r="B1547" s="65" t="s">
        <v>495</v>
      </c>
      <c r="C1547" s="65" t="s">
        <v>108</v>
      </c>
      <c r="D1547" s="65" t="str">
        <f>vlookup(C1547,'Classificação p pessoal'!F:G,2,false)</f>
        <v>NP</v>
      </c>
      <c r="E1547" s="65" t="s">
        <v>919</v>
      </c>
      <c r="F1547" s="83">
        <v>0.7083333333333334</v>
      </c>
      <c r="G1547" s="83">
        <v>0.75</v>
      </c>
      <c r="H1547" s="83">
        <v>0.041666666666666664</v>
      </c>
      <c r="I1547" s="84">
        <v>44300.0</v>
      </c>
      <c r="J1547" s="65" t="b">
        <v>1</v>
      </c>
      <c r="K1547" s="65"/>
      <c r="L1547" s="85" t="b">
        <f>IF(VLOOKUP(C1547,Projetos!A:L,12,false)=TRUE,TRUE,FALSE)</f>
        <v>1</v>
      </c>
      <c r="M1547" s="74">
        <v>73.7079846079846</v>
      </c>
      <c r="N1547" s="74">
        <f t="shared" si="1"/>
        <v>73.70798461</v>
      </c>
      <c r="O1547" s="74" t="b">
        <v>1</v>
      </c>
    </row>
    <row r="1548" hidden="1">
      <c r="A1548" s="82"/>
      <c r="B1548" s="65" t="s">
        <v>495</v>
      </c>
      <c r="C1548" s="65" t="s">
        <v>100</v>
      </c>
      <c r="D1548" s="65" t="str">
        <f>vlookup(C1548,'Classificação p pessoal'!F:G,2,false)</f>
        <v>NP</v>
      </c>
      <c r="E1548" s="65" t="s">
        <v>920</v>
      </c>
      <c r="F1548" s="83">
        <v>0.3541666666666667</v>
      </c>
      <c r="G1548" s="83">
        <v>0.4166666666666667</v>
      </c>
      <c r="H1548" s="83">
        <v>0.0625</v>
      </c>
      <c r="I1548" s="84">
        <v>44301.0</v>
      </c>
      <c r="J1548" s="65" t="b">
        <v>1</v>
      </c>
      <c r="K1548" s="65"/>
      <c r="L1548" s="85" t="b">
        <f>IF(VLOOKUP(C1548,Projetos!A:L,12,false)=TRUE,TRUE,FALSE)</f>
        <v>1</v>
      </c>
      <c r="M1548" s="74">
        <v>73.7079846079846</v>
      </c>
      <c r="N1548" s="74">
        <f t="shared" si="1"/>
        <v>110.5619769</v>
      </c>
      <c r="O1548" s="74" t="b">
        <v>1</v>
      </c>
    </row>
    <row r="1549" hidden="1">
      <c r="A1549" s="82"/>
      <c r="B1549" s="65" t="s">
        <v>495</v>
      </c>
      <c r="C1549" s="65" t="s">
        <v>107</v>
      </c>
      <c r="D1549" s="65" t="str">
        <f>vlookup(C1549,'Classificação p pessoal'!F:G,2,false)</f>
        <v>NP</v>
      </c>
      <c r="E1549" s="65" t="s">
        <v>921</v>
      </c>
      <c r="F1549" s="83">
        <v>0.4166666666666667</v>
      </c>
      <c r="G1549" s="83">
        <v>0.4583333333333333</v>
      </c>
      <c r="H1549" s="83">
        <v>0.041666666666666664</v>
      </c>
      <c r="I1549" s="84">
        <v>44301.0</v>
      </c>
      <c r="J1549" s="65" t="b">
        <v>1</v>
      </c>
      <c r="K1549" s="65"/>
      <c r="L1549" s="85" t="b">
        <f>IF(VLOOKUP(C1549,Projetos!A:L,12,false)=TRUE,TRUE,FALSE)</f>
        <v>1</v>
      </c>
      <c r="M1549" s="74">
        <v>73.7079846079846</v>
      </c>
      <c r="N1549" s="74">
        <f t="shared" si="1"/>
        <v>73.70798461</v>
      </c>
      <c r="O1549" s="74" t="b">
        <v>1</v>
      </c>
    </row>
    <row r="1550" hidden="1">
      <c r="A1550" s="82"/>
      <c r="B1550" s="65" t="s">
        <v>495</v>
      </c>
      <c r="C1550" s="65" t="s">
        <v>84</v>
      </c>
      <c r="D1550" s="65"/>
      <c r="E1550" s="65" t="s">
        <v>922</v>
      </c>
      <c r="F1550" s="83">
        <v>0.4583333333333333</v>
      </c>
      <c r="G1550" s="83">
        <v>0.5</v>
      </c>
      <c r="H1550" s="83">
        <v>0.041666666666666664</v>
      </c>
      <c r="I1550" s="84">
        <v>44301.0</v>
      </c>
      <c r="J1550" s="65" t="b">
        <v>0</v>
      </c>
      <c r="K1550" s="65" t="s">
        <v>150</v>
      </c>
      <c r="L1550" s="85" t="b">
        <f>IF(VLOOKUP(C1550,Projetos!A:L,12,false)=TRUE,TRUE,FALSE)</f>
        <v>0</v>
      </c>
      <c r="M1550" s="74">
        <v>73.7079846079846</v>
      </c>
      <c r="N1550" s="74">
        <f t="shared" si="1"/>
        <v>0</v>
      </c>
      <c r="O1550" s="74" t="b">
        <v>0</v>
      </c>
    </row>
    <row r="1551" hidden="1">
      <c r="A1551" s="82"/>
      <c r="B1551" s="65" t="s">
        <v>495</v>
      </c>
      <c r="C1551" s="65" t="s">
        <v>92</v>
      </c>
      <c r="D1551" s="65" t="str">
        <f>vlookup(C1551,'Classificação p pessoal'!F:G,2,false)</f>
        <v/>
      </c>
      <c r="E1551" s="65" t="s">
        <v>923</v>
      </c>
      <c r="F1551" s="83">
        <v>0.5</v>
      </c>
      <c r="G1551" s="83">
        <v>0.5625</v>
      </c>
      <c r="H1551" s="83">
        <v>0.0625</v>
      </c>
      <c r="I1551" s="84">
        <v>44301.0</v>
      </c>
      <c r="J1551" s="65" t="b">
        <v>1</v>
      </c>
      <c r="K1551" s="65"/>
      <c r="L1551" s="85" t="b">
        <f>IF(VLOOKUP(C1551,Projetos!A:L,12,false)=TRUE,TRUE,FALSE)</f>
        <v>1</v>
      </c>
      <c r="M1551" s="74">
        <v>73.7079846079846</v>
      </c>
      <c r="N1551" s="74">
        <f t="shared" si="1"/>
        <v>110.5619769</v>
      </c>
      <c r="O1551" s="74" t="b">
        <v>1</v>
      </c>
    </row>
    <row r="1552" hidden="1">
      <c r="A1552" s="82"/>
      <c r="B1552" s="65" t="s">
        <v>495</v>
      </c>
      <c r="C1552" s="65" t="s">
        <v>100</v>
      </c>
      <c r="D1552" s="65" t="str">
        <f>vlookup(C1552,'Classificação p pessoal'!F:G,2,false)</f>
        <v>NP</v>
      </c>
      <c r="E1552" s="65" t="s">
        <v>924</v>
      </c>
      <c r="F1552" s="83">
        <v>0.3472222222222222</v>
      </c>
      <c r="G1552" s="83">
        <v>0.375</v>
      </c>
      <c r="H1552" s="83">
        <v>0.027777777777777776</v>
      </c>
      <c r="I1552" s="84">
        <v>44302.0</v>
      </c>
      <c r="J1552" s="65" t="b">
        <v>1</v>
      </c>
      <c r="K1552" s="65"/>
      <c r="L1552" s="85" t="b">
        <f>IF(VLOOKUP(C1552,Projetos!A:L,12,false)=TRUE,TRUE,FALSE)</f>
        <v>1</v>
      </c>
      <c r="M1552" s="74">
        <v>73.7079846079846</v>
      </c>
      <c r="N1552" s="74">
        <f t="shared" si="1"/>
        <v>49.13865641</v>
      </c>
      <c r="O1552" s="74" t="b">
        <v>1</v>
      </c>
    </row>
    <row r="1553" hidden="1">
      <c r="A1553" s="82"/>
      <c r="B1553" s="65" t="s">
        <v>495</v>
      </c>
      <c r="C1553" s="65" t="s">
        <v>106</v>
      </c>
      <c r="D1553" s="65" t="str">
        <f>vlookup(C1553,'Classificação p pessoal'!F:G,2,false)</f>
        <v>MProcesso</v>
      </c>
      <c r="E1553" s="65" t="s">
        <v>925</v>
      </c>
      <c r="F1553" s="83">
        <v>0.375</v>
      </c>
      <c r="G1553" s="83">
        <v>0.4166666666666667</v>
      </c>
      <c r="H1553" s="83">
        <v>0.041666666666666664</v>
      </c>
      <c r="I1553" s="84">
        <v>44302.0</v>
      </c>
      <c r="J1553" s="65" t="b">
        <v>1</v>
      </c>
      <c r="K1553" s="65"/>
      <c r="L1553" s="85" t="b">
        <f>IF(VLOOKUP(C1553,Projetos!A:L,12,false)=TRUE,TRUE,FALSE)</f>
        <v>1</v>
      </c>
      <c r="M1553" s="74">
        <v>73.7079846079846</v>
      </c>
      <c r="N1553" s="74">
        <f t="shared" si="1"/>
        <v>73.70798461</v>
      </c>
      <c r="O1553" s="74" t="b">
        <v>1</v>
      </c>
    </row>
    <row r="1554" hidden="1">
      <c r="A1554" s="82"/>
      <c r="B1554" s="65" t="s">
        <v>495</v>
      </c>
      <c r="C1554" s="65" t="s">
        <v>92</v>
      </c>
      <c r="D1554" s="65" t="str">
        <f>vlookup(C1554,'Classificação p pessoal'!F:G,2,false)</f>
        <v/>
      </c>
      <c r="E1554" s="65" t="s">
        <v>926</v>
      </c>
      <c r="F1554" s="83">
        <v>0.4583333333333333</v>
      </c>
      <c r="G1554" s="83">
        <v>0.5833333333333334</v>
      </c>
      <c r="H1554" s="83">
        <v>0.125</v>
      </c>
      <c r="I1554" s="84">
        <v>44302.0</v>
      </c>
      <c r="J1554" s="65" t="b">
        <v>1</v>
      </c>
      <c r="K1554" s="65"/>
      <c r="L1554" s="85" t="b">
        <f>IF(VLOOKUP(C1554,Projetos!A:L,12,false)=TRUE,TRUE,FALSE)</f>
        <v>1</v>
      </c>
      <c r="M1554" s="74">
        <v>73.7079846079846</v>
      </c>
      <c r="N1554" s="74">
        <f t="shared" si="1"/>
        <v>221.1239538</v>
      </c>
      <c r="O1554" s="74" t="b">
        <v>1</v>
      </c>
    </row>
    <row r="1555" hidden="1">
      <c r="A1555" s="82"/>
      <c r="B1555" s="65" t="s">
        <v>495</v>
      </c>
      <c r="C1555" s="65" t="s">
        <v>92</v>
      </c>
      <c r="D1555" s="65" t="str">
        <f>vlookup(C1555,'Classificação p pessoal'!F:G,2,false)</f>
        <v/>
      </c>
      <c r="E1555" s="65" t="s">
        <v>927</v>
      </c>
      <c r="F1555" s="83">
        <v>0.625</v>
      </c>
      <c r="G1555" s="83">
        <v>0.75</v>
      </c>
      <c r="H1555" s="83">
        <v>0.125</v>
      </c>
      <c r="I1555" s="84">
        <v>44302.0</v>
      </c>
      <c r="J1555" s="65" t="b">
        <v>1</v>
      </c>
      <c r="K1555" s="65"/>
      <c r="L1555" s="85" t="b">
        <f>IF(VLOOKUP(C1555,Projetos!A:L,12,false)=TRUE,TRUE,FALSE)</f>
        <v>1</v>
      </c>
      <c r="M1555" s="74">
        <v>73.7079846079846</v>
      </c>
      <c r="N1555" s="74">
        <f t="shared" si="1"/>
        <v>221.1239538</v>
      </c>
      <c r="O1555" s="74" t="b">
        <v>1</v>
      </c>
    </row>
    <row r="1556">
      <c r="A1556" s="82"/>
      <c r="B1556" s="65" t="s">
        <v>495</v>
      </c>
      <c r="C1556" s="65" t="s">
        <v>108</v>
      </c>
      <c r="D1556" s="65" t="str">
        <f>vlookup(C1556,'Classificação p pessoal'!F:G,2,false)</f>
        <v>NP</v>
      </c>
      <c r="E1556" s="65" t="s">
        <v>928</v>
      </c>
      <c r="F1556" s="83">
        <v>0.34375</v>
      </c>
      <c r="G1556" s="83">
        <v>0.375</v>
      </c>
      <c r="H1556" s="83">
        <v>0.03125</v>
      </c>
      <c r="I1556" s="84">
        <v>44305.0</v>
      </c>
      <c r="J1556" s="65" t="b">
        <v>1</v>
      </c>
      <c r="K1556" s="65"/>
      <c r="L1556" s="85" t="b">
        <f>IF(VLOOKUP(C1556,Projetos!A:L,12,false)=TRUE,TRUE,FALSE)</f>
        <v>1</v>
      </c>
      <c r="M1556" s="74">
        <v>73.7079846079846</v>
      </c>
      <c r="N1556" s="74">
        <f t="shared" si="1"/>
        <v>55.28098846</v>
      </c>
      <c r="O1556" s="74" t="b">
        <v>1</v>
      </c>
    </row>
    <row r="1557" hidden="1">
      <c r="A1557" s="82"/>
      <c r="B1557" s="65" t="s">
        <v>495</v>
      </c>
      <c r="C1557" s="65" t="s">
        <v>92</v>
      </c>
      <c r="D1557" s="65" t="str">
        <f>vlookup(C1557,'Classificação p pessoal'!F:G,2,false)</f>
        <v/>
      </c>
      <c r="E1557" s="65" t="s">
        <v>929</v>
      </c>
      <c r="F1557" s="83">
        <v>0.375</v>
      </c>
      <c r="G1557" s="83">
        <v>0.3958333333333333</v>
      </c>
      <c r="H1557" s="83">
        <v>0.020833333333333332</v>
      </c>
      <c r="I1557" s="84">
        <v>44305.0</v>
      </c>
      <c r="J1557" s="65" t="b">
        <v>1</v>
      </c>
      <c r="K1557" s="65"/>
      <c r="L1557" s="85" t="b">
        <f>IF(VLOOKUP(C1557,Projetos!A:L,12,false)=TRUE,TRUE,FALSE)</f>
        <v>1</v>
      </c>
      <c r="M1557" s="74">
        <v>73.7079846079846</v>
      </c>
      <c r="N1557" s="74">
        <f t="shared" si="1"/>
        <v>36.8539923</v>
      </c>
      <c r="O1557" s="74" t="b">
        <v>1</v>
      </c>
    </row>
    <row r="1558">
      <c r="A1558" s="82"/>
      <c r="B1558" s="65" t="s">
        <v>495</v>
      </c>
      <c r="C1558" s="65" t="s">
        <v>108</v>
      </c>
      <c r="D1558" s="65" t="str">
        <f>vlookup(C1558,'Classificação p pessoal'!F:G,2,false)</f>
        <v>NP</v>
      </c>
      <c r="E1558" s="65" t="s">
        <v>930</v>
      </c>
      <c r="F1558" s="83">
        <v>0.4166666666666667</v>
      </c>
      <c r="G1558" s="83">
        <v>0.5208333333333334</v>
      </c>
      <c r="H1558" s="83">
        <v>0.10416666666666667</v>
      </c>
      <c r="I1558" s="84">
        <v>44305.0</v>
      </c>
      <c r="J1558" s="65" t="b">
        <v>1</v>
      </c>
      <c r="K1558" s="65"/>
      <c r="L1558" s="85" t="b">
        <f>IF(VLOOKUP(C1558,Projetos!A:L,12,false)=TRUE,TRUE,FALSE)</f>
        <v>1</v>
      </c>
      <c r="M1558" s="74">
        <v>73.7079846079846</v>
      </c>
      <c r="N1558" s="74">
        <f t="shared" si="1"/>
        <v>184.2699615</v>
      </c>
      <c r="O1558" s="74" t="b">
        <v>1</v>
      </c>
    </row>
    <row r="1559" hidden="1">
      <c r="A1559" s="82"/>
      <c r="B1559" s="65" t="s">
        <v>495</v>
      </c>
      <c r="C1559" s="65" t="s">
        <v>92</v>
      </c>
      <c r="D1559" s="65" t="str">
        <f>vlookup(C1559,'Classificação p pessoal'!F:G,2,false)</f>
        <v/>
      </c>
      <c r="E1559" s="65" t="s">
        <v>926</v>
      </c>
      <c r="F1559" s="83">
        <v>0.5208333333333334</v>
      </c>
      <c r="G1559" s="83">
        <v>0.5520833333333334</v>
      </c>
      <c r="H1559" s="83">
        <v>0.03125</v>
      </c>
      <c r="I1559" s="84">
        <v>44305.0</v>
      </c>
      <c r="J1559" s="65" t="b">
        <v>1</v>
      </c>
      <c r="K1559" s="65"/>
      <c r="L1559" s="85" t="b">
        <f>IF(VLOOKUP(C1559,Projetos!A:L,12,false)=TRUE,TRUE,FALSE)</f>
        <v>1</v>
      </c>
      <c r="M1559" s="74">
        <v>73.7079846079846</v>
      </c>
      <c r="N1559" s="74">
        <f t="shared" si="1"/>
        <v>55.28098846</v>
      </c>
      <c r="O1559" s="74" t="b">
        <v>1</v>
      </c>
    </row>
    <row r="1560">
      <c r="A1560" s="82"/>
      <c r="B1560" s="65" t="s">
        <v>495</v>
      </c>
      <c r="C1560" s="65" t="s">
        <v>108</v>
      </c>
      <c r="D1560" s="65" t="str">
        <f>vlookup(C1560,'Classificação p pessoal'!F:G,2,false)</f>
        <v>NP</v>
      </c>
      <c r="E1560" s="65" t="s">
        <v>931</v>
      </c>
      <c r="F1560" s="83">
        <v>0.6041666666666666</v>
      </c>
      <c r="G1560" s="83">
        <v>0.6354166666666666</v>
      </c>
      <c r="H1560" s="83">
        <v>0.03125</v>
      </c>
      <c r="I1560" s="84">
        <v>44305.0</v>
      </c>
      <c r="J1560" s="65" t="b">
        <v>1</v>
      </c>
      <c r="K1560" s="65"/>
      <c r="L1560" s="85" t="b">
        <f>IF(VLOOKUP(C1560,Projetos!A:L,12,false)=TRUE,TRUE,FALSE)</f>
        <v>1</v>
      </c>
      <c r="M1560" s="74">
        <v>73.7079846079846</v>
      </c>
      <c r="N1560" s="74">
        <f t="shared" si="1"/>
        <v>55.28098846</v>
      </c>
      <c r="O1560" s="74" t="b">
        <v>1</v>
      </c>
    </row>
    <row r="1561" hidden="1">
      <c r="A1561" s="82"/>
      <c r="B1561" s="65" t="s">
        <v>495</v>
      </c>
      <c r="C1561" s="65" t="s">
        <v>92</v>
      </c>
      <c r="D1561" s="65" t="str">
        <f>vlookup(C1561,'Classificação p pessoal'!F:G,2,false)</f>
        <v/>
      </c>
      <c r="E1561" s="65" t="s">
        <v>929</v>
      </c>
      <c r="F1561" s="83">
        <v>0.6354166666666666</v>
      </c>
      <c r="G1561" s="83">
        <v>0.65625</v>
      </c>
      <c r="H1561" s="83">
        <v>0.020833333333333332</v>
      </c>
      <c r="I1561" s="84">
        <v>44305.0</v>
      </c>
      <c r="J1561" s="65" t="b">
        <v>1</v>
      </c>
      <c r="K1561" s="65"/>
      <c r="L1561" s="85" t="b">
        <f>IF(VLOOKUP(C1561,Projetos!A:L,12,false)=TRUE,TRUE,FALSE)</f>
        <v>1</v>
      </c>
      <c r="M1561" s="74">
        <v>73.7079846079846</v>
      </c>
      <c r="N1561" s="74">
        <f t="shared" si="1"/>
        <v>36.8539923</v>
      </c>
      <c r="O1561" s="74" t="b">
        <v>1</v>
      </c>
    </row>
    <row r="1562" hidden="1">
      <c r="A1562" s="82"/>
      <c r="B1562" s="65" t="s">
        <v>495</v>
      </c>
      <c r="C1562" s="65" t="s">
        <v>92</v>
      </c>
      <c r="D1562" s="65" t="str">
        <f>vlookup(C1562,'Classificação p pessoal'!F:G,2,false)</f>
        <v/>
      </c>
      <c r="E1562" s="65" t="s">
        <v>926</v>
      </c>
      <c r="F1562" s="83">
        <v>0.65625</v>
      </c>
      <c r="G1562" s="83">
        <v>0.75</v>
      </c>
      <c r="H1562" s="83">
        <v>0.09375</v>
      </c>
      <c r="I1562" s="84">
        <v>44305.0</v>
      </c>
      <c r="J1562" s="65" t="b">
        <v>1</v>
      </c>
      <c r="K1562" s="65"/>
      <c r="L1562" s="85" t="b">
        <f>IF(VLOOKUP(C1562,Projetos!A:L,12,false)=TRUE,TRUE,FALSE)</f>
        <v>1</v>
      </c>
      <c r="M1562" s="74">
        <v>73.7079846079846</v>
      </c>
      <c r="N1562" s="74">
        <f t="shared" si="1"/>
        <v>165.8429654</v>
      </c>
      <c r="O1562" s="74" t="b">
        <v>1</v>
      </c>
    </row>
    <row r="1563" hidden="1">
      <c r="A1563" s="82"/>
      <c r="B1563" s="65" t="s">
        <v>495</v>
      </c>
      <c r="C1563" s="65" t="s">
        <v>101</v>
      </c>
      <c r="D1563" s="65"/>
      <c r="E1563" s="65" t="s">
        <v>932</v>
      </c>
      <c r="F1563" s="83">
        <v>0.34375</v>
      </c>
      <c r="G1563" s="83">
        <v>0.3854166666666667</v>
      </c>
      <c r="H1563" s="83">
        <v>0.041666666666666664</v>
      </c>
      <c r="I1563" s="84">
        <v>44306.0</v>
      </c>
      <c r="J1563" s="65" t="b">
        <v>0</v>
      </c>
      <c r="K1563" s="65" t="s">
        <v>150</v>
      </c>
      <c r="L1563" s="85" t="b">
        <f>IF(VLOOKUP(C1563,Projetos!A:L,12,false)=TRUE,TRUE,FALSE)</f>
        <v>1</v>
      </c>
      <c r="M1563" s="74">
        <v>73.7079846079846</v>
      </c>
      <c r="N1563" s="74">
        <f t="shared" si="1"/>
        <v>0</v>
      </c>
      <c r="O1563" s="74" t="b">
        <v>1</v>
      </c>
    </row>
    <row r="1564" hidden="1">
      <c r="A1564" s="82"/>
      <c r="B1564" s="65" t="s">
        <v>495</v>
      </c>
      <c r="C1564" s="65" t="s">
        <v>92</v>
      </c>
      <c r="D1564" s="65"/>
      <c r="E1564" s="65" t="s">
        <v>933</v>
      </c>
      <c r="F1564" s="83">
        <v>0.3854166666666667</v>
      </c>
      <c r="G1564" s="83">
        <v>0.4270833333333333</v>
      </c>
      <c r="H1564" s="83">
        <v>0.041666666666666664</v>
      </c>
      <c r="I1564" s="84">
        <v>44306.0</v>
      </c>
      <c r="J1564" s="65" t="b">
        <v>0</v>
      </c>
      <c r="K1564" s="65" t="s">
        <v>150</v>
      </c>
      <c r="L1564" s="85" t="b">
        <f>IF(VLOOKUP(C1564,Projetos!A:L,12,false)=TRUE,TRUE,FALSE)</f>
        <v>1</v>
      </c>
      <c r="M1564" s="74">
        <v>73.7079846079846</v>
      </c>
      <c r="N1564" s="74">
        <f t="shared" si="1"/>
        <v>0</v>
      </c>
      <c r="O1564" s="74" t="b">
        <v>1</v>
      </c>
    </row>
    <row r="1565" hidden="1">
      <c r="A1565" s="82"/>
      <c r="B1565" s="65" t="s">
        <v>495</v>
      </c>
      <c r="C1565" s="65" t="s">
        <v>92</v>
      </c>
      <c r="D1565" s="65" t="str">
        <f>vlookup(C1565,'Classificação p pessoal'!F:G,2,false)</f>
        <v/>
      </c>
      <c r="E1565" s="65" t="s">
        <v>926</v>
      </c>
      <c r="F1565" s="83">
        <v>0.4375</v>
      </c>
      <c r="G1565" s="83">
        <v>0.5555555555555556</v>
      </c>
      <c r="H1565" s="83">
        <v>0.11805555555555555</v>
      </c>
      <c r="I1565" s="84">
        <v>44306.0</v>
      </c>
      <c r="J1565" s="65" t="b">
        <v>1</v>
      </c>
      <c r="K1565" s="65"/>
      <c r="L1565" s="85" t="b">
        <f>IF(VLOOKUP(C1565,Projetos!A:L,12,false)=TRUE,TRUE,FALSE)</f>
        <v>1</v>
      </c>
      <c r="M1565" s="74">
        <v>73.7079846079846</v>
      </c>
      <c r="N1565" s="74">
        <f t="shared" si="1"/>
        <v>208.8392897</v>
      </c>
      <c r="O1565" s="74" t="b">
        <v>1</v>
      </c>
    </row>
    <row r="1566" hidden="1">
      <c r="A1566" s="82"/>
      <c r="B1566" s="65" t="s">
        <v>495</v>
      </c>
      <c r="C1566" s="65" t="s">
        <v>92</v>
      </c>
      <c r="D1566" s="65" t="str">
        <f>vlookup(C1566,'Classificação p pessoal'!F:G,2,false)</f>
        <v/>
      </c>
      <c r="E1566" s="65" t="s">
        <v>834</v>
      </c>
      <c r="F1566" s="83">
        <v>0.6006944444444444</v>
      </c>
      <c r="G1566" s="83">
        <v>0.6458333333333334</v>
      </c>
      <c r="H1566" s="83">
        <v>0.04513888888888889</v>
      </c>
      <c r="I1566" s="84">
        <v>44306.0</v>
      </c>
      <c r="J1566" s="65" t="b">
        <v>1</v>
      </c>
      <c r="K1566" s="65"/>
      <c r="L1566" s="85" t="b">
        <f>IF(VLOOKUP(C1566,Projetos!A:L,12,false)=TRUE,TRUE,FALSE)</f>
        <v>1</v>
      </c>
      <c r="M1566" s="74">
        <v>73.7079846079846</v>
      </c>
      <c r="N1566" s="74">
        <f t="shared" si="1"/>
        <v>79.85031666</v>
      </c>
      <c r="O1566" s="74" t="b">
        <v>1</v>
      </c>
    </row>
    <row r="1567">
      <c r="A1567" s="82"/>
      <c r="B1567" s="65" t="s">
        <v>495</v>
      </c>
      <c r="C1567" s="65" t="s">
        <v>108</v>
      </c>
      <c r="D1567" s="65" t="str">
        <f>vlookup(C1567,'Classificação p pessoal'!F:G,2,false)</f>
        <v>NP</v>
      </c>
      <c r="E1567" s="65" t="s">
        <v>934</v>
      </c>
      <c r="F1567" s="83">
        <v>0.6458333333333334</v>
      </c>
      <c r="G1567" s="83">
        <v>0.71875</v>
      </c>
      <c r="H1567" s="83">
        <v>0.07291666666666667</v>
      </c>
      <c r="I1567" s="84">
        <v>44306.0</v>
      </c>
      <c r="J1567" s="65" t="b">
        <v>1</v>
      </c>
      <c r="K1567" s="65"/>
      <c r="L1567" s="85" t="b">
        <f>IF(VLOOKUP(C1567,Projetos!A:L,12,false)=TRUE,TRUE,FALSE)</f>
        <v>1</v>
      </c>
      <c r="M1567" s="74">
        <v>73.7079846079846</v>
      </c>
      <c r="N1567" s="74">
        <f t="shared" si="1"/>
        <v>128.9889731</v>
      </c>
      <c r="O1567" s="74" t="b">
        <v>1</v>
      </c>
    </row>
    <row r="1568" hidden="1">
      <c r="A1568" s="82"/>
      <c r="B1568" s="65" t="s">
        <v>495</v>
      </c>
      <c r="C1568" s="65" t="s">
        <v>92</v>
      </c>
      <c r="D1568" s="65" t="str">
        <f>vlookup(C1568,'Classificação p pessoal'!F:G,2,false)</f>
        <v/>
      </c>
      <c r="E1568" s="65" t="s">
        <v>935</v>
      </c>
      <c r="F1568" s="83">
        <v>0.7291666666666666</v>
      </c>
      <c r="G1568" s="83">
        <v>0.75</v>
      </c>
      <c r="H1568" s="83">
        <v>0.020833333333333332</v>
      </c>
      <c r="I1568" s="84">
        <v>44306.0</v>
      </c>
      <c r="J1568" s="65" t="b">
        <v>1</v>
      </c>
      <c r="K1568" s="65"/>
      <c r="L1568" s="85" t="b">
        <f>IF(VLOOKUP(C1568,Projetos!A:L,12,false)=TRUE,TRUE,FALSE)</f>
        <v>1</v>
      </c>
      <c r="M1568" s="74">
        <v>73.7079846079846</v>
      </c>
      <c r="N1568" s="74">
        <f t="shared" si="1"/>
        <v>36.8539923</v>
      </c>
      <c r="O1568" s="74" t="b">
        <v>1</v>
      </c>
    </row>
    <row r="1569" hidden="1">
      <c r="A1569" s="82"/>
      <c r="B1569" s="65" t="s">
        <v>495</v>
      </c>
      <c r="C1569" s="65" t="s">
        <v>92</v>
      </c>
      <c r="D1569" s="65" t="str">
        <f>vlookup(C1569,'Classificação p pessoal'!F:G,2,false)</f>
        <v/>
      </c>
      <c r="E1569" s="65" t="s">
        <v>929</v>
      </c>
      <c r="F1569" s="83">
        <v>0.34375</v>
      </c>
      <c r="G1569" s="83">
        <v>0.375</v>
      </c>
      <c r="H1569" s="83">
        <v>0.03125</v>
      </c>
      <c r="I1569" s="84">
        <v>44308.0</v>
      </c>
      <c r="J1569" s="65" t="b">
        <v>1</v>
      </c>
      <c r="K1569" s="65"/>
      <c r="L1569" s="85" t="b">
        <f>IF(VLOOKUP(C1569,Projetos!A:L,12,false)=TRUE,TRUE,FALSE)</f>
        <v>1</v>
      </c>
      <c r="M1569" s="74">
        <v>73.7079846079846</v>
      </c>
      <c r="N1569" s="74">
        <f t="shared" si="1"/>
        <v>55.28098846</v>
      </c>
      <c r="O1569" s="74" t="b">
        <v>1</v>
      </c>
    </row>
    <row r="1570" hidden="1">
      <c r="A1570" s="82"/>
      <c r="B1570" s="65" t="s">
        <v>495</v>
      </c>
      <c r="C1570" s="65" t="s">
        <v>92</v>
      </c>
      <c r="D1570" s="65" t="str">
        <f>vlookup(C1570,'Classificação p pessoal'!F:G,2,false)</f>
        <v/>
      </c>
      <c r="E1570" s="65" t="s">
        <v>936</v>
      </c>
      <c r="F1570" s="83">
        <v>0.375</v>
      </c>
      <c r="G1570" s="83">
        <v>0.4583333333333333</v>
      </c>
      <c r="H1570" s="83">
        <v>0.08333333333333333</v>
      </c>
      <c r="I1570" s="84">
        <v>44308.0</v>
      </c>
      <c r="J1570" s="65" t="b">
        <v>1</v>
      </c>
      <c r="K1570" s="65"/>
      <c r="L1570" s="85" t="b">
        <f>IF(VLOOKUP(C1570,Projetos!A:L,12,false)=TRUE,TRUE,FALSE)</f>
        <v>1</v>
      </c>
      <c r="M1570" s="74">
        <v>73.7079846079846</v>
      </c>
      <c r="N1570" s="74">
        <f t="shared" si="1"/>
        <v>147.4159692</v>
      </c>
      <c r="O1570" s="74" t="b">
        <v>1</v>
      </c>
    </row>
    <row r="1571" hidden="1">
      <c r="A1571" s="82"/>
      <c r="B1571" s="65" t="s">
        <v>495</v>
      </c>
      <c r="C1571" s="65" t="s">
        <v>92</v>
      </c>
      <c r="D1571" s="65" t="str">
        <f>vlookup(C1571,'Classificação p pessoal'!F:G,2,false)</f>
        <v/>
      </c>
      <c r="E1571" s="65" t="s">
        <v>926</v>
      </c>
      <c r="F1571" s="83">
        <v>0.4583333333333333</v>
      </c>
      <c r="G1571" s="83">
        <v>0.5625</v>
      </c>
      <c r="H1571" s="83">
        <v>0.10416666666666667</v>
      </c>
      <c r="I1571" s="84">
        <v>44308.0</v>
      </c>
      <c r="J1571" s="65" t="b">
        <v>1</v>
      </c>
      <c r="K1571" s="65"/>
      <c r="L1571" s="85" t="b">
        <f>IF(VLOOKUP(C1571,Projetos!A:L,12,false)=TRUE,TRUE,FALSE)</f>
        <v>1</v>
      </c>
      <c r="M1571" s="74">
        <v>73.7079846079846</v>
      </c>
      <c r="N1571" s="74">
        <f t="shared" si="1"/>
        <v>184.2699615</v>
      </c>
      <c r="O1571" s="74" t="b">
        <v>1</v>
      </c>
    </row>
    <row r="1572" hidden="1">
      <c r="A1572" s="82"/>
      <c r="B1572" s="65" t="s">
        <v>495</v>
      </c>
      <c r="C1572" s="65" t="s">
        <v>130</v>
      </c>
      <c r="D1572" s="65"/>
      <c r="E1572" s="65" t="s">
        <v>932</v>
      </c>
      <c r="F1572" s="83">
        <v>0.6458333333333334</v>
      </c>
      <c r="G1572" s="83">
        <v>0.7083333333333334</v>
      </c>
      <c r="H1572" s="83">
        <v>0.0625</v>
      </c>
      <c r="I1572" s="84">
        <v>44308.0</v>
      </c>
      <c r="J1572" s="65" t="b">
        <v>0</v>
      </c>
      <c r="K1572" s="65" t="s">
        <v>150</v>
      </c>
      <c r="L1572" s="85" t="b">
        <f>IF(VLOOKUP(C1572,Projetos!A:L,12,false)=TRUE,TRUE,FALSE)</f>
        <v>1</v>
      </c>
      <c r="M1572" s="74">
        <v>73.7079846079846</v>
      </c>
      <c r="N1572" s="74">
        <f t="shared" si="1"/>
        <v>0</v>
      </c>
      <c r="O1572" s="74" t="b">
        <v>1</v>
      </c>
    </row>
    <row r="1573" hidden="1">
      <c r="A1573" s="82"/>
      <c r="B1573" s="65" t="s">
        <v>495</v>
      </c>
      <c r="C1573" s="65" t="s">
        <v>106</v>
      </c>
      <c r="D1573" s="65" t="str">
        <f>vlookup(C1573,'Classificação p pessoal'!F:G,2,false)</f>
        <v>MProcesso</v>
      </c>
      <c r="E1573" s="65" t="s">
        <v>937</v>
      </c>
      <c r="F1573" s="83">
        <v>0.3541666666666667</v>
      </c>
      <c r="G1573" s="83">
        <v>0.4583333333333333</v>
      </c>
      <c r="H1573" s="83">
        <v>0.10416666666666667</v>
      </c>
      <c r="I1573" s="84">
        <v>44309.0</v>
      </c>
      <c r="J1573" s="65" t="b">
        <v>1</v>
      </c>
      <c r="K1573" s="65"/>
      <c r="L1573" s="85" t="b">
        <f>IF(VLOOKUP(C1573,Projetos!A:L,12,false)=TRUE,TRUE,FALSE)</f>
        <v>1</v>
      </c>
      <c r="M1573" s="74">
        <v>73.7079846079846</v>
      </c>
      <c r="N1573" s="74">
        <f t="shared" si="1"/>
        <v>184.2699615</v>
      </c>
      <c r="O1573" s="74" t="b">
        <v>1</v>
      </c>
    </row>
    <row r="1574" hidden="1">
      <c r="A1574" s="82"/>
      <c r="B1574" s="65" t="s">
        <v>495</v>
      </c>
      <c r="C1574" s="65" t="s">
        <v>92</v>
      </c>
      <c r="D1574" s="65" t="str">
        <f>vlookup(C1574,'Classificação p pessoal'!F:G,2,false)</f>
        <v/>
      </c>
      <c r="E1574" s="65" t="s">
        <v>926</v>
      </c>
      <c r="F1574" s="83">
        <v>0.4583333333333333</v>
      </c>
      <c r="G1574" s="83">
        <v>0.5520833333333334</v>
      </c>
      <c r="H1574" s="83">
        <v>0.09375</v>
      </c>
      <c r="I1574" s="84">
        <v>44309.0</v>
      </c>
      <c r="J1574" s="65" t="b">
        <v>1</v>
      </c>
      <c r="K1574" s="65"/>
      <c r="L1574" s="85" t="b">
        <f>IF(VLOOKUP(C1574,Projetos!A:L,12,false)=TRUE,TRUE,FALSE)</f>
        <v>1</v>
      </c>
      <c r="M1574" s="74">
        <v>73.7079846079846</v>
      </c>
      <c r="N1574" s="74">
        <f t="shared" si="1"/>
        <v>165.8429654</v>
      </c>
      <c r="O1574" s="74" t="b">
        <v>1</v>
      </c>
    </row>
    <row r="1575" hidden="1">
      <c r="A1575" s="82"/>
      <c r="B1575" s="65" t="s">
        <v>495</v>
      </c>
      <c r="C1575" s="65" t="s">
        <v>130</v>
      </c>
      <c r="D1575" s="65"/>
      <c r="E1575" s="65" t="s">
        <v>932</v>
      </c>
      <c r="F1575" s="83">
        <v>0.6041666666666666</v>
      </c>
      <c r="G1575" s="83">
        <v>0.7083333333333334</v>
      </c>
      <c r="H1575" s="83">
        <v>0.10416666666666667</v>
      </c>
      <c r="I1575" s="84">
        <v>44309.0</v>
      </c>
      <c r="J1575" s="65" t="b">
        <v>0</v>
      </c>
      <c r="K1575" s="65" t="s">
        <v>150</v>
      </c>
      <c r="L1575" s="85" t="b">
        <f>IF(VLOOKUP(C1575,Projetos!A:L,12,false)=TRUE,TRUE,FALSE)</f>
        <v>1</v>
      </c>
      <c r="M1575" s="74">
        <v>73.7079846079846</v>
      </c>
      <c r="N1575" s="74">
        <f t="shared" si="1"/>
        <v>0</v>
      </c>
      <c r="O1575" s="74" t="b">
        <v>1</v>
      </c>
    </row>
    <row r="1576" hidden="1">
      <c r="A1576" s="82"/>
      <c r="B1576" s="65" t="s">
        <v>495</v>
      </c>
      <c r="C1576" s="65" t="s">
        <v>92</v>
      </c>
      <c r="D1576" s="65" t="str">
        <f>vlookup(C1576,'Classificação p pessoal'!F:G,2,false)</f>
        <v/>
      </c>
      <c r="E1576" s="65" t="s">
        <v>938</v>
      </c>
      <c r="F1576" s="83">
        <v>0.7083333333333334</v>
      </c>
      <c r="G1576" s="83">
        <v>0.75</v>
      </c>
      <c r="H1576" s="83">
        <v>0.041666666666666664</v>
      </c>
      <c r="I1576" s="84">
        <v>44309.0</v>
      </c>
      <c r="J1576" s="65" t="b">
        <v>1</v>
      </c>
      <c r="K1576" s="65"/>
      <c r="L1576" s="85" t="b">
        <f>IF(VLOOKUP(C1576,Projetos!A:L,12,false)=TRUE,TRUE,FALSE)</f>
        <v>1</v>
      </c>
      <c r="M1576" s="74">
        <v>73.7079846079846</v>
      </c>
      <c r="N1576" s="74">
        <f t="shared" si="1"/>
        <v>73.70798461</v>
      </c>
      <c r="O1576" s="74" t="b">
        <v>1</v>
      </c>
    </row>
    <row r="1577" hidden="1">
      <c r="A1577" s="82"/>
      <c r="B1577" s="65" t="s">
        <v>495</v>
      </c>
      <c r="C1577" s="65" t="s">
        <v>130</v>
      </c>
      <c r="D1577" s="65" t="str">
        <f>vlookup(C1577,'Classificação p pessoal'!F:G,2,false)</f>
        <v>NP</v>
      </c>
      <c r="E1577" s="65" t="s">
        <v>939</v>
      </c>
      <c r="F1577" s="83">
        <v>0.3541666666666667</v>
      </c>
      <c r="G1577" s="83">
        <v>0.4166666666666667</v>
      </c>
      <c r="H1577" s="83">
        <v>0.0625</v>
      </c>
      <c r="I1577" s="84">
        <v>44312.0</v>
      </c>
      <c r="J1577" s="65" t="b">
        <v>1</v>
      </c>
      <c r="K1577" s="65"/>
      <c r="L1577" s="85" t="b">
        <f>IF(VLOOKUP(C1577,Projetos!A:L,12,false)=TRUE,TRUE,FALSE)</f>
        <v>1</v>
      </c>
      <c r="M1577" s="74">
        <v>73.7079846079846</v>
      </c>
      <c r="N1577" s="74">
        <f t="shared" si="1"/>
        <v>110.5619769</v>
      </c>
      <c r="O1577" s="74" t="b">
        <v>1</v>
      </c>
    </row>
    <row r="1578" hidden="1">
      <c r="A1578" s="82"/>
      <c r="B1578" s="65" t="s">
        <v>495</v>
      </c>
      <c r="C1578" s="65" t="s">
        <v>92</v>
      </c>
      <c r="D1578" s="65" t="str">
        <f>vlookup(C1578,'Classificação p pessoal'!F:G,2,false)</f>
        <v/>
      </c>
      <c r="E1578" s="65" t="s">
        <v>940</v>
      </c>
      <c r="F1578" s="83">
        <v>0.4583333333333333</v>
      </c>
      <c r="G1578" s="83">
        <v>0.5625</v>
      </c>
      <c r="H1578" s="83">
        <v>0.10416666666666667</v>
      </c>
      <c r="I1578" s="84">
        <v>44312.0</v>
      </c>
      <c r="J1578" s="65" t="b">
        <v>1</v>
      </c>
      <c r="K1578" s="65"/>
      <c r="L1578" s="85" t="b">
        <f>IF(VLOOKUP(C1578,Projetos!A:L,12,false)=TRUE,TRUE,FALSE)</f>
        <v>1</v>
      </c>
      <c r="M1578" s="74">
        <v>73.7079846079846</v>
      </c>
      <c r="N1578" s="74">
        <f t="shared" si="1"/>
        <v>184.2699615</v>
      </c>
      <c r="O1578" s="74" t="b">
        <v>1</v>
      </c>
    </row>
    <row r="1579" hidden="1">
      <c r="A1579" s="82"/>
      <c r="B1579" s="65" t="s">
        <v>495</v>
      </c>
      <c r="C1579" s="65" t="s">
        <v>92</v>
      </c>
      <c r="D1579" s="65" t="str">
        <f>vlookup(C1579,'Classificação p pessoal'!F:G,2,false)</f>
        <v/>
      </c>
      <c r="E1579" s="65" t="s">
        <v>941</v>
      </c>
      <c r="F1579" s="83">
        <v>0.6041666666666666</v>
      </c>
      <c r="G1579" s="83">
        <v>0.7083333333333334</v>
      </c>
      <c r="H1579" s="83">
        <v>0.10416666666666667</v>
      </c>
      <c r="I1579" s="84">
        <v>44312.0</v>
      </c>
      <c r="J1579" s="65" t="b">
        <v>1</v>
      </c>
      <c r="K1579" s="65"/>
      <c r="L1579" s="85" t="b">
        <f>IF(VLOOKUP(C1579,Projetos!A:L,12,false)=TRUE,TRUE,FALSE)</f>
        <v>1</v>
      </c>
      <c r="M1579" s="74">
        <v>73.7079846079846</v>
      </c>
      <c r="N1579" s="74">
        <f t="shared" si="1"/>
        <v>184.2699615</v>
      </c>
      <c r="O1579" s="74" t="b">
        <v>1</v>
      </c>
    </row>
    <row r="1580" hidden="1">
      <c r="A1580" s="82"/>
      <c r="B1580" s="65" t="s">
        <v>495</v>
      </c>
      <c r="C1580" s="65" t="s">
        <v>92</v>
      </c>
      <c r="D1580" s="65" t="str">
        <f>vlookup(C1580,'Classificação p pessoal'!F:G,2,false)</f>
        <v/>
      </c>
      <c r="E1580" s="65" t="s">
        <v>942</v>
      </c>
      <c r="F1580" s="83">
        <v>0.3472222222222222</v>
      </c>
      <c r="G1580" s="83">
        <v>0.4166666666666667</v>
      </c>
      <c r="H1580" s="83">
        <v>0.06944444444444445</v>
      </c>
      <c r="I1580" s="84">
        <v>44313.0</v>
      </c>
      <c r="J1580" s="65" t="b">
        <v>1</v>
      </c>
      <c r="K1580" s="65"/>
      <c r="L1580" s="85" t="b">
        <f>IF(VLOOKUP(C1580,Projetos!A:L,12,false)=TRUE,TRUE,FALSE)</f>
        <v>1</v>
      </c>
      <c r="M1580" s="74">
        <v>73.7079846079846</v>
      </c>
      <c r="N1580" s="74">
        <f t="shared" si="1"/>
        <v>122.846641</v>
      </c>
      <c r="O1580" s="74" t="b">
        <v>1</v>
      </c>
    </row>
    <row r="1581" hidden="1">
      <c r="A1581" s="82"/>
      <c r="B1581" s="65" t="s">
        <v>495</v>
      </c>
      <c r="C1581" s="65" t="s">
        <v>92</v>
      </c>
      <c r="D1581" s="65" t="str">
        <f>vlookup(C1581,'Classificação p pessoal'!F:G,2,false)</f>
        <v/>
      </c>
      <c r="E1581" s="65" t="s">
        <v>943</v>
      </c>
      <c r="F1581" s="83">
        <v>0.4166666666666667</v>
      </c>
      <c r="G1581" s="83">
        <v>0.4791666666666667</v>
      </c>
      <c r="H1581" s="83">
        <v>0.0625</v>
      </c>
      <c r="I1581" s="84">
        <v>44313.0</v>
      </c>
      <c r="J1581" s="65" t="b">
        <v>1</v>
      </c>
      <c r="K1581" s="65"/>
      <c r="L1581" s="85" t="b">
        <f>IF(VLOOKUP(C1581,Projetos!A:L,12,false)=TRUE,TRUE,FALSE)</f>
        <v>1</v>
      </c>
      <c r="M1581" s="74">
        <v>73.7079846079846</v>
      </c>
      <c r="N1581" s="74">
        <f t="shared" si="1"/>
        <v>110.5619769</v>
      </c>
      <c r="O1581" s="74" t="b">
        <v>1</v>
      </c>
    </row>
    <row r="1582" hidden="1">
      <c r="A1582" s="82"/>
      <c r="B1582" s="65" t="s">
        <v>495</v>
      </c>
      <c r="C1582" s="65" t="s">
        <v>92</v>
      </c>
      <c r="D1582" s="65" t="str">
        <f>vlookup(C1582,'Classificação p pessoal'!F:G,2,false)</f>
        <v/>
      </c>
      <c r="E1582" s="65" t="s">
        <v>944</v>
      </c>
      <c r="F1582" s="83">
        <v>0.4791666666666667</v>
      </c>
      <c r="G1582" s="83">
        <v>0.5208333333333334</v>
      </c>
      <c r="H1582" s="83">
        <v>0.041666666666666664</v>
      </c>
      <c r="I1582" s="84">
        <v>44313.0</v>
      </c>
      <c r="J1582" s="65" t="b">
        <v>1</v>
      </c>
      <c r="K1582" s="65"/>
      <c r="L1582" s="85" t="b">
        <f>IF(VLOOKUP(C1582,Projetos!A:L,12,false)=TRUE,TRUE,FALSE)</f>
        <v>1</v>
      </c>
      <c r="M1582" s="74">
        <v>73.7079846079846</v>
      </c>
      <c r="N1582" s="74">
        <f t="shared" si="1"/>
        <v>73.70798461</v>
      </c>
      <c r="O1582" s="74" t="b">
        <v>1</v>
      </c>
    </row>
    <row r="1583" hidden="1">
      <c r="A1583" s="82"/>
      <c r="B1583" s="65" t="s">
        <v>495</v>
      </c>
      <c r="C1583" s="65" t="s">
        <v>92</v>
      </c>
      <c r="D1583" s="65" t="str">
        <f>vlookup(C1583,'Classificação p pessoal'!F:G,2,false)</f>
        <v/>
      </c>
      <c r="E1583" s="65" t="s">
        <v>945</v>
      </c>
      <c r="F1583" s="83">
        <v>0.5208333333333334</v>
      </c>
      <c r="G1583" s="83">
        <v>0.5729166666666666</v>
      </c>
      <c r="H1583" s="83">
        <v>0.052083333333333336</v>
      </c>
      <c r="I1583" s="84">
        <v>44313.0</v>
      </c>
      <c r="J1583" s="65" t="b">
        <v>1</v>
      </c>
      <c r="K1583" s="65"/>
      <c r="L1583" s="85" t="b">
        <f>IF(VLOOKUP(C1583,Projetos!A:L,12,false)=TRUE,TRUE,FALSE)</f>
        <v>1</v>
      </c>
      <c r="M1583" s="74">
        <v>73.7079846079846</v>
      </c>
      <c r="N1583" s="74">
        <f t="shared" si="1"/>
        <v>92.13498076</v>
      </c>
      <c r="O1583" s="74" t="b">
        <v>1</v>
      </c>
    </row>
    <row r="1584" hidden="1">
      <c r="A1584" s="82"/>
      <c r="B1584" s="65" t="s">
        <v>495</v>
      </c>
      <c r="C1584" s="65" t="s">
        <v>92</v>
      </c>
      <c r="D1584" s="65" t="str">
        <f>vlookup(C1584,'Classificação p pessoal'!F:G,2,false)</f>
        <v/>
      </c>
      <c r="E1584" s="65" t="s">
        <v>906</v>
      </c>
      <c r="F1584" s="83">
        <v>0.6145833333333334</v>
      </c>
      <c r="G1584" s="83">
        <v>0.65625</v>
      </c>
      <c r="H1584" s="83">
        <v>0.041666666666666664</v>
      </c>
      <c r="I1584" s="84">
        <v>44313.0</v>
      </c>
      <c r="J1584" s="65" t="b">
        <v>1</v>
      </c>
      <c r="K1584" s="65"/>
      <c r="L1584" s="85" t="b">
        <f>IF(VLOOKUP(C1584,Projetos!A:L,12,false)=TRUE,TRUE,FALSE)</f>
        <v>1</v>
      </c>
      <c r="M1584" s="74">
        <v>73.7079846079846</v>
      </c>
      <c r="N1584" s="74">
        <f t="shared" si="1"/>
        <v>73.70798461</v>
      </c>
      <c r="O1584" s="74" t="b">
        <v>1</v>
      </c>
    </row>
    <row r="1585" hidden="1">
      <c r="A1585" s="82"/>
      <c r="B1585" s="65" t="s">
        <v>495</v>
      </c>
      <c r="C1585" s="65" t="s">
        <v>92</v>
      </c>
      <c r="D1585" s="65" t="str">
        <f>vlookup(C1585,'Classificação p pessoal'!F:G,2,false)</f>
        <v/>
      </c>
      <c r="E1585" s="65" t="s">
        <v>946</v>
      </c>
      <c r="F1585" s="83">
        <v>0.6666666666666666</v>
      </c>
      <c r="G1585" s="83">
        <v>0.75</v>
      </c>
      <c r="H1585" s="83">
        <v>0.08333333333333333</v>
      </c>
      <c r="I1585" s="84">
        <v>44313.0</v>
      </c>
      <c r="J1585" s="65" t="b">
        <v>1</v>
      </c>
      <c r="K1585" s="65"/>
      <c r="L1585" s="85" t="b">
        <f>IF(VLOOKUP(C1585,Projetos!A:L,12,false)=TRUE,TRUE,FALSE)</f>
        <v>1</v>
      </c>
      <c r="M1585" s="74">
        <v>73.7079846079846</v>
      </c>
      <c r="N1585" s="74">
        <f t="shared" si="1"/>
        <v>147.4159692</v>
      </c>
      <c r="O1585" s="74" t="b">
        <v>1</v>
      </c>
    </row>
    <row r="1586" hidden="1">
      <c r="A1586" s="82"/>
      <c r="B1586" s="65" t="s">
        <v>495</v>
      </c>
      <c r="C1586" s="65" t="s">
        <v>92</v>
      </c>
      <c r="D1586" s="65" t="str">
        <f>vlookup(C1586,'Classificação p pessoal'!F:G,2,false)</f>
        <v/>
      </c>
      <c r="E1586" s="65" t="s">
        <v>947</v>
      </c>
      <c r="F1586" s="83">
        <v>0.3645833333333333</v>
      </c>
      <c r="G1586" s="83">
        <v>0.4166666666666667</v>
      </c>
      <c r="H1586" s="83">
        <v>0.052083333333333336</v>
      </c>
      <c r="I1586" s="84">
        <v>44314.0</v>
      </c>
      <c r="J1586" s="65" t="b">
        <v>1</v>
      </c>
      <c r="K1586" s="65"/>
      <c r="L1586" s="85" t="b">
        <f>IF(VLOOKUP(C1586,Projetos!A:L,12,false)=TRUE,TRUE,FALSE)</f>
        <v>1</v>
      </c>
      <c r="M1586" s="74">
        <v>73.7079846079846</v>
      </c>
      <c r="N1586" s="74">
        <f t="shared" si="1"/>
        <v>92.13498076</v>
      </c>
      <c r="O1586" s="74" t="b">
        <v>1</v>
      </c>
    </row>
    <row r="1587" hidden="1">
      <c r="A1587" s="82"/>
      <c r="B1587" s="65" t="s">
        <v>495</v>
      </c>
      <c r="C1587" s="65" t="s">
        <v>92</v>
      </c>
      <c r="D1587" s="65" t="str">
        <f>vlookup(C1587,'Classificação p pessoal'!F:G,2,false)</f>
        <v/>
      </c>
      <c r="E1587" s="65" t="s">
        <v>948</v>
      </c>
      <c r="F1587" s="83">
        <v>0.4791666666666667</v>
      </c>
      <c r="G1587" s="83">
        <v>0.5729166666666666</v>
      </c>
      <c r="H1587" s="83">
        <v>0.09375</v>
      </c>
      <c r="I1587" s="84">
        <v>44314.0</v>
      </c>
      <c r="J1587" s="65" t="b">
        <v>1</v>
      </c>
      <c r="K1587" s="65"/>
      <c r="L1587" s="85" t="b">
        <f>IF(VLOOKUP(C1587,Projetos!A:L,12,false)=TRUE,TRUE,FALSE)</f>
        <v>1</v>
      </c>
      <c r="M1587" s="74">
        <v>73.7079846079846</v>
      </c>
      <c r="N1587" s="74">
        <f t="shared" si="1"/>
        <v>165.8429654</v>
      </c>
      <c r="O1587" s="74" t="b">
        <v>1</v>
      </c>
    </row>
    <row r="1588" hidden="1">
      <c r="A1588" s="82"/>
      <c r="B1588" s="65" t="s">
        <v>495</v>
      </c>
      <c r="C1588" s="65" t="s">
        <v>92</v>
      </c>
      <c r="D1588" s="65" t="str">
        <f>vlookup(C1588,'Classificação p pessoal'!F:G,2,false)</f>
        <v/>
      </c>
      <c r="E1588" s="65" t="s">
        <v>949</v>
      </c>
      <c r="F1588" s="83">
        <v>0.6145833333333334</v>
      </c>
      <c r="G1588" s="83">
        <v>0.75</v>
      </c>
      <c r="H1588" s="83">
        <v>0.13541666666666666</v>
      </c>
      <c r="I1588" s="84">
        <v>44314.0</v>
      </c>
      <c r="J1588" s="65" t="b">
        <v>1</v>
      </c>
      <c r="K1588" s="65"/>
      <c r="L1588" s="85" t="b">
        <f>IF(VLOOKUP(C1588,Projetos!A:L,12,false)=TRUE,TRUE,FALSE)</f>
        <v>1</v>
      </c>
      <c r="M1588" s="74">
        <v>73.7079846079846</v>
      </c>
      <c r="N1588" s="74">
        <f t="shared" si="1"/>
        <v>239.55095</v>
      </c>
      <c r="O1588" s="74" t="b">
        <v>1</v>
      </c>
    </row>
    <row r="1589" hidden="1">
      <c r="A1589" s="82"/>
      <c r="B1589" s="65" t="s">
        <v>495</v>
      </c>
      <c r="C1589" s="65" t="s">
        <v>92</v>
      </c>
      <c r="D1589" s="65" t="str">
        <f>vlookup(C1589,'Classificação p pessoal'!F:G,2,false)</f>
        <v/>
      </c>
      <c r="E1589" s="65" t="s">
        <v>950</v>
      </c>
      <c r="F1589" s="83">
        <v>0.34375</v>
      </c>
      <c r="G1589" s="83">
        <v>0.3645833333333333</v>
      </c>
      <c r="H1589" s="83">
        <v>0.020833333333333332</v>
      </c>
      <c r="I1589" s="84">
        <v>44315.0</v>
      </c>
      <c r="J1589" s="65" t="b">
        <v>1</v>
      </c>
      <c r="K1589" s="65"/>
      <c r="L1589" s="85" t="b">
        <f>IF(VLOOKUP(C1589,Projetos!A:L,12,false)=TRUE,TRUE,FALSE)</f>
        <v>1</v>
      </c>
      <c r="M1589" s="74">
        <v>73.7079846079846</v>
      </c>
      <c r="N1589" s="74">
        <f t="shared" si="1"/>
        <v>36.8539923</v>
      </c>
      <c r="O1589" s="74" t="b">
        <v>1</v>
      </c>
    </row>
    <row r="1590" hidden="1">
      <c r="A1590" s="82"/>
      <c r="B1590" s="65" t="s">
        <v>495</v>
      </c>
      <c r="C1590" s="65" t="s">
        <v>92</v>
      </c>
      <c r="D1590" s="65"/>
      <c r="E1590" s="65" t="s">
        <v>951</v>
      </c>
      <c r="F1590" s="83">
        <v>0.3645833333333333</v>
      </c>
      <c r="G1590" s="83">
        <v>0.375</v>
      </c>
      <c r="H1590" s="83">
        <v>0.010416666666666666</v>
      </c>
      <c r="I1590" s="84">
        <v>44315.0</v>
      </c>
      <c r="J1590" s="65" t="b">
        <v>0</v>
      </c>
      <c r="K1590" s="65" t="s">
        <v>150</v>
      </c>
      <c r="L1590" s="85" t="b">
        <f>IF(VLOOKUP(C1590,Projetos!A:L,12,false)=TRUE,TRUE,FALSE)</f>
        <v>1</v>
      </c>
      <c r="M1590" s="74">
        <v>73.7079846079846</v>
      </c>
      <c r="N1590" s="74">
        <f t="shared" si="1"/>
        <v>0</v>
      </c>
      <c r="O1590" s="74" t="b">
        <v>1</v>
      </c>
    </row>
    <row r="1591" hidden="1">
      <c r="A1591" s="82"/>
      <c r="B1591" s="65" t="s">
        <v>495</v>
      </c>
      <c r="C1591" s="65" t="s">
        <v>92</v>
      </c>
      <c r="D1591" s="65" t="str">
        <f>vlookup(C1591,'Classificação p pessoal'!F:G,2,false)</f>
        <v/>
      </c>
      <c r="E1591" s="65" t="s">
        <v>952</v>
      </c>
      <c r="F1591" s="83">
        <v>0.375</v>
      </c>
      <c r="G1591" s="83">
        <v>0.40625</v>
      </c>
      <c r="H1591" s="83">
        <v>0.03125</v>
      </c>
      <c r="I1591" s="84">
        <v>44315.0</v>
      </c>
      <c r="J1591" s="65" t="b">
        <v>1</v>
      </c>
      <c r="K1591" s="65"/>
      <c r="L1591" s="85" t="b">
        <f>IF(VLOOKUP(C1591,Projetos!A:L,12,false)=TRUE,TRUE,FALSE)</f>
        <v>1</v>
      </c>
      <c r="M1591" s="74">
        <v>73.7079846079846</v>
      </c>
      <c r="N1591" s="74">
        <f t="shared" si="1"/>
        <v>55.28098846</v>
      </c>
      <c r="O1591" s="74" t="b">
        <v>1</v>
      </c>
    </row>
    <row r="1592" hidden="1">
      <c r="A1592" s="82"/>
      <c r="B1592" s="65" t="s">
        <v>495</v>
      </c>
      <c r="C1592" s="65" t="s">
        <v>92</v>
      </c>
      <c r="D1592" s="65" t="str">
        <f>vlookup(C1592,'Classificação p pessoal'!F:G,2,false)</f>
        <v/>
      </c>
      <c r="E1592" s="65" t="s">
        <v>953</v>
      </c>
      <c r="F1592" s="83">
        <v>0.4166666666666667</v>
      </c>
      <c r="G1592" s="83">
        <v>0.4791666666666667</v>
      </c>
      <c r="H1592" s="83">
        <v>0.0625</v>
      </c>
      <c r="I1592" s="84">
        <v>44315.0</v>
      </c>
      <c r="J1592" s="65" t="b">
        <v>1</v>
      </c>
      <c r="K1592" s="65"/>
      <c r="L1592" s="85" t="b">
        <f>IF(VLOOKUP(C1592,Projetos!A:L,12,false)=TRUE,TRUE,FALSE)</f>
        <v>1</v>
      </c>
      <c r="M1592" s="74">
        <v>73.7079846079846</v>
      </c>
      <c r="N1592" s="74">
        <f t="shared" si="1"/>
        <v>110.5619769</v>
      </c>
      <c r="O1592" s="74" t="b">
        <v>1</v>
      </c>
    </row>
    <row r="1593" hidden="1">
      <c r="A1593" s="82"/>
      <c r="B1593" s="65" t="s">
        <v>495</v>
      </c>
      <c r="C1593" s="65" t="s">
        <v>106</v>
      </c>
      <c r="D1593" s="65" t="str">
        <f>vlookup(C1593,'Classificação p pessoal'!F:G,2,false)</f>
        <v>MProcesso</v>
      </c>
      <c r="E1593" s="65" t="s">
        <v>954</v>
      </c>
      <c r="F1593" s="83">
        <v>0.4791666666666667</v>
      </c>
      <c r="G1593" s="83">
        <v>0.5625</v>
      </c>
      <c r="H1593" s="83">
        <v>0.08333333333333333</v>
      </c>
      <c r="I1593" s="84">
        <v>44315.0</v>
      </c>
      <c r="J1593" s="65" t="b">
        <v>1</v>
      </c>
      <c r="K1593" s="65"/>
      <c r="L1593" s="85" t="b">
        <f>IF(VLOOKUP(C1593,Projetos!A:L,12,false)=TRUE,TRUE,FALSE)</f>
        <v>1</v>
      </c>
      <c r="M1593" s="74">
        <v>73.7079846079846</v>
      </c>
      <c r="N1593" s="74">
        <f t="shared" si="1"/>
        <v>147.4159692</v>
      </c>
      <c r="O1593" s="74" t="b">
        <v>1</v>
      </c>
    </row>
    <row r="1594" hidden="1">
      <c r="A1594" s="82"/>
      <c r="B1594" s="65" t="s">
        <v>495</v>
      </c>
      <c r="C1594" s="65" t="s">
        <v>92</v>
      </c>
      <c r="D1594" s="65" t="str">
        <f>vlookup(C1594,'Classificação p pessoal'!F:G,2,false)</f>
        <v/>
      </c>
      <c r="E1594" s="65" t="s">
        <v>834</v>
      </c>
      <c r="F1594" s="83">
        <v>0.6041666666666666</v>
      </c>
      <c r="G1594" s="83">
        <v>0.6666666666666666</v>
      </c>
      <c r="H1594" s="83">
        <v>0.0625</v>
      </c>
      <c r="I1594" s="84">
        <v>44315.0</v>
      </c>
      <c r="J1594" s="65" t="b">
        <v>1</v>
      </c>
      <c r="K1594" s="65"/>
      <c r="L1594" s="85" t="b">
        <f>IF(VLOOKUP(C1594,Projetos!A:L,12,false)=TRUE,TRUE,FALSE)</f>
        <v>1</v>
      </c>
      <c r="M1594" s="74">
        <v>73.7079846079846</v>
      </c>
      <c r="N1594" s="74">
        <f t="shared" si="1"/>
        <v>110.5619769</v>
      </c>
      <c r="O1594" s="74" t="b">
        <v>1</v>
      </c>
    </row>
    <row r="1595" hidden="1">
      <c r="A1595" s="82"/>
      <c r="B1595" s="65" t="s">
        <v>495</v>
      </c>
      <c r="C1595" s="65" t="s">
        <v>92</v>
      </c>
      <c r="D1595" s="65" t="str">
        <f>vlookup(C1595,'Classificação p pessoal'!F:G,2,false)</f>
        <v/>
      </c>
      <c r="E1595" s="65" t="s">
        <v>955</v>
      </c>
      <c r="F1595" s="83">
        <v>0.6666666666666666</v>
      </c>
      <c r="G1595" s="83">
        <v>0.75</v>
      </c>
      <c r="H1595" s="83">
        <v>0.08333333333333333</v>
      </c>
      <c r="I1595" s="84">
        <v>44315.0</v>
      </c>
      <c r="J1595" s="65" t="b">
        <v>1</v>
      </c>
      <c r="K1595" s="65"/>
      <c r="L1595" s="85" t="b">
        <f>IF(VLOOKUP(C1595,Projetos!A:L,12,false)=TRUE,TRUE,FALSE)</f>
        <v>1</v>
      </c>
      <c r="M1595" s="74">
        <v>73.7079846079846</v>
      </c>
      <c r="N1595" s="74">
        <f t="shared" si="1"/>
        <v>147.4159692</v>
      </c>
      <c r="O1595" s="74" t="b">
        <v>1</v>
      </c>
    </row>
    <row r="1596" hidden="1">
      <c r="A1596" s="82"/>
      <c r="B1596" s="65" t="s">
        <v>495</v>
      </c>
      <c r="C1596" s="65" t="s">
        <v>92</v>
      </c>
      <c r="D1596" s="65" t="str">
        <f>vlookup(C1596,'Classificação p pessoal'!F:G,2,false)</f>
        <v/>
      </c>
      <c r="E1596" s="65" t="s">
        <v>955</v>
      </c>
      <c r="F1596" s="83">
        <v>0.34375</v>
      </c>
      <c r="G1596" s="83">
        <v>0.4166666666666667</v>
      </c>
      <c r="H1596" s="83">
        <v>0.07291666666666667</v>
      </c>
      <c r="I1596" s="84">
        <v>44316.0</v>
      </c>
      <c r="J1596" s="65" t="b">
        <v>1</v>
      </c>
      <c r="K1596" s="65"/>
      <c r="L1596" s="85" t="b">
        <f>IF(VLOOKUP(C1596,Projetos!A:L,12,false)=TRUE,TRUE,FALSE)</f>
        <v>1</v>
      </c>
      <c r="M1596" s="74">
        <v>73.7079846079846</v>
      </c>
      <c r="N1596" s="74">
        <f t="shared" si="1"/>
        <v>128.9889731</v>
      </c>
      <c r="O1596" s="74" t="b">
        <v>1</v>
      </c>
    </row>
    <row r="1597" hidden="1">
      <c r="A1597" s="82"/>
      <c r="B1597" s="65" t="s">
        <v>495</v>
      </c>
      <c r="C1597" s="65" t="s">
        <v>100</v>
      </c>
      <c r="D1597" s="65" t="str">
        <f>vlookup(C1597,'Classificação p pessoal'!F:G,2,false)</f>
        <v>NP</v>
      </c>
      <c r="E1597" s="65" t="s">
        <v>956</v>
      </c>
      <c r="F1597" s="83">
        <v>0.4166666666666667</v>
      </c>
      <c r="G1597" s="83">
        <v>0.4583333333333333</v>
      </c>
      <c r="H1597" s="83">
        <v>0.041666666666666664</v>
      </c>
      <c r="I1597" s="84">
        <v>44316.0</v>
      </c>
      <c r="J1597" s="65" t="b">
        <v>1</v>
      </c>
      <c r="K1597" s="65"/>
      <c r="L1597" s="85" t="b">
        <f>IF(VLOOKUP(C1597,Projetos!A:L,12,false)=TRUE,TRUE,FALSE)</f>
        <v>1</v>
      </c>
      <c r="M1597" s="74">
        <v>73.7079846079846</v>
      </c>
      <c r="N1597" s="74">
        <f t="shared" si="1"/>
        <v>73.70798461</v>
      </c>
      <c r="O1597" s="74" t="b">
        <v>1</v>
      </c>
    </row>
    <row r="1598" hidden="1">
      <c r="A1598" s="82"/>
      <c r="B1598" s="65" t="s">
        <v>495</v>
      </c>
      <c r="C1598" s="65" t="s">
        <v>92</v>
      </c>
      <c r="D1598" s="65" t="str">
        <f>vlookup(C1598,'Classificação p pessoal'!F:G,2,false)</f>
        <v/>
      </c>
      <c r="E1598" s="65" t="s">
        <v>834</v>
      </c>
      <c r="F1598" s="83">
        <v>0.4583333333333333</v>
      </c>
      <c r="G1598" s="83">
        <v>0.5416666666666666</v>
      </c>
      <c r="H1598" s="83">
        <v>0.08333333333333333</v>
      </c>
      <c r="I1598" s="84">
        <v>44316.0</v>
      </c>
      <c r="J1598" s="65" t="b">
        <v>1</v>
      </c>
      <c r="K1598" s="65"/>
      <c r="L1598" s="85" t="b">
        <f>IF(VLOOKUP(C1598,Projetos!A:L,12,false)=TRUE,TRUE,FALSE)</f>
        <v>1</v>
      </c>
      <c r="M1598" s="74">
        <v>73.7079846079846</v>
      </c>
      <c r="N1598" s="74">
        <f t="shared" si="1"/>
        <v>147.4159692</v>
      </c>
      <c r="O1598" s="74" t="b">
        <v>1</v>
      </c>
    </row>
    <row r="1599" hidden="1">
      <c r="A1599" s="82"/>
      <c r="B1599" s="65" t="s">
        <v>495</v>
      </c>
      <c r="C1599" s="65" t="s">
        <v>117</v>
      </c>
      <c r="D1599" s="65" t="str">
        <f>vlookup(C1599,'Classificação p pessoal'!F:G,2,false)</f>
        <v>NP</v>
      </c>
      <c r="E1599" s="65" t="s">
        <v>957</v>
      </c>
      <c r="F1599" s="83">
        <v>0.5833333333333334</v>
      </c>
      <c r="G1599" s="83">
        <v>0.6041666666666666</v>
      </c>
      <c r="H1599" s="83">
        <v>0.020833333333333332</v>
      </c>
      <c r="I1599" s="84">
        <v>44316.0</v>
      </c>
      <c r="J1599" s="65" t="b">
        <v>1</v>
      </c>
      <c r="K1599" s="65"/>
      <c r="L1599" s="85" t="b">
        <f>IF(VLOOKUP(C1599,Projetos!A:L,12,false)=TRUE,TRUE,FALSE)</f>
        <v>1</v>
      </c>
      <c r="M1599" s="74">
        <v>73.7079846079846</v>
      </c>
      <c r="N1599" s="74">
        <f t="shared" si="1"/>
        <v>36.8539923</v>
      </c>
      <c r="O1599" s="74" t="b">
        <v>1</v>
      </c>
    </row>
    <row r="1600" hidden="1">
      <c r="A1600" s="82"/>
      <c r="B1600" s="65" t="s">
        <v>495</v>
      </c>
      <c r="C1600" s="65" t="s">
        <v>117</v>
      </c>
      <c r="D1600" s="65" t="str">
        <f>vlookup(C1600,'Classificação p pessoal'!F:G,2,false)</f>
        <v>NP</v>
      </c>
      <c r="E1600" s="65" t="s">
        <v>958</v>
      </c>
      <c r="F1600" s="83">
        <v>0.6041666666666666</v>
      </c>
      <c r="G1600" s="83">
        <v>0.6875</v>
      </c>
      <c r="H1600" s="83">
        <v>0.08333333333333333</v>
      </c>
      <c r="I1600" s="84">
        <v>44316.0</v>
      </c>
      <c r="J1600" s="65" t="b">
        <v>1</v>
      </c>
      <c r="K1600" s="65"/>
      <c r="L1600" s="85" t="b">
        <f>IF(VLOOKUP(C1600,Projetos!A:L,12,false)=TRUE,TRUE,FALSE)</f>
        <v>1</v>
      </c>
      <c r="M1600" s="74">
        <v>73.7079846079846</v>
      </c>
      <c r="N1600" s="74">
        <f t="shared" si="1"/>
        <v>147.4159692</v>
      </c>
      <c r="O1600" s="74" t="b">
        <v>1</v>
      </c>
    </row>
    <row r="1601" hidden="1">
      <c r="A1601" s="82"/>
      <c r="B1601" s="65" t="s">
        <v>495</v>
      </c>
      <c r="C1601" s="65" t="s">
        <v>92</v>
      </c>
      <c r="D1601" s="65" t="str">
        <f>vlookup(C1601,'Classificação p pessoal'!F:G,2,false)</f>
        <v/>
      </c>
      <c r="E1601" s="65" t="s">
        <v>959</v>
      </c>
      <c r="F1601" s="83">
        <v>0.6875</v>
      </c>
      <c r="G1601" s="83">
        <v>0.7083333333333334</v>
      </c>
      <c r="H1601" s="83">
        <v>0.020833333333333332</v>
      </c>
      <c r="I1601" s="84">
        <v>44316.0</v>
      </c>
      <c r="J1601" s="65" t="b">
        <v>1</v>
      </c>
      <c r="K1601" s="65"/>
      <c r="L1601" s="85" t="b">
        <f>IF(VLOOKUP(C1601,Projetos!A:L,12,false)=TRUE,TRUE,FALSE)</f>
        <v>1</v>
      </c>
      <c r="M1601" s="74">
        <v>73.7079846079846</v>
      </c>
      <c r="N1601" s="74">
        <f t="shared" si="1"/>
        <v>36.8539923</v>
      </c>
      <c r="O1601" s="74" t="b">
        <v>1</v>
      </c>
    </row>
    <row r="1602" hidden="1">
      <c r="A1602" s="82"/>
      <c r="B1602" s="65" t="s">
        <v>495</v>
      </c>
      <c r="C1602" s="65" t="s">
        <v>117</v>
      </c>
      <c r="D1602" s="65" t="str">
        <f>vlookup(C1602,'Classificação p pessoal'!F:G,2,false)</f>
        <v>NP</v>
      </c>
      <c r="E1602" s="65" t="s">
        <v>960</v>
      </c>
      <c r="F1602" s="83">
        <v>0.7083333333333334</v>
      </c>
      <c r="G1602" s="83">
        <v>0.75</v>
      </c>
      <c r="H1602" s="83">
        <v>0.041666666666666664</v>
      </c>
      <c r="I1602" s="84">
        <v>44316.0</v>
      </c>
      <c r="J1602" s="65" t="b">
        <v>1</v>
      </c>
      <c r="K1602" s="65"/>
      <c r="L1602" s="85" t="b">
        <f>IF(VLOOKUP(C1602,Projetos!A:L,12,false)=TRUE,TRUE,FALSE)</f>
        <v>1</v>
      </c>
      <c r="M1602" s="74">
        <v>73.7079846079846</v>
      </c>
      <c r="N1602" s="74">
        <f t="shared" si="1"/>
        <v>73.70798461</v>
      </c>
      <c r="O1602" s="74" t="b">
        <v>1</v>
      </c>
    </row>
    <row r="1603" hidden="1">
      <c r="A1603" s="82"/>
      <c r="B1603" s="65" t="s">
        <v>495</v>
      </c>
      <c r="C1603" s="65" t="s">
        <v>92</v>
      </c>
      <c r="D1603" s="65" t="str">
        <f>vlookup(C1603,'Classificação p pessoal'!F:G,2,false)</f>
        <v/>
      </c>
      <c r="E1603" s="65" t="s">
        <v>961</v>
      </c>
      <c r="F1603" s="83">
        <v>0.3541666666666667</v>
      </c>
      <c r="G1603" s="83">
        <v>0.375</v>
      </c>
      <c r="H1603" s="83">
        <v>0.020833333333333332</v>
      </c>
      <c r="I1603" s="84">
        <v>44319.0</v>
      </c>
      <c r="J1603" s="65" t="b">
        <v>1</v>
      </c>
      <c r="K1603" s="65"/>
      <c r="L1603" s="85" t="b">
        <f>IF(VLOOKUP(C1603,Projetos!A:L,12,false)=TRUE,TRUE,FALSE)</f>
        <v>1</v>
      </c>
      <c r="M1603" s="74">
        <v>73.7079846079846</v>
      </c>
      <c r="N1603" s="74">
        <f t="shared" si="1"/>
        <v>36.8539923</v>
      </c>
      <c r="O1603" s="74" t="b">
        <v>1</v>
      </c>
    </row>
    <row r="1604" hidden="1">
      <c r="A1604" s="82"/>
      <c r="B1604" s="65" t="s">
        <v>495</v>
      </c>
      <c r="C1604" s="65" t="s">
        <v>92</v>
      </c>
      <c r="D1604" s="65" t="str">
        <f>vlookup(C1604,'Classificação p pessoal'!F:G,2,false)</f>
        <v/>
      </c>
      <c r="E1604" s="65" t="s">
        <v>962</v>
      </c>
      <c r="F1604" s="83">
        <v>0.375</v>
      </c>
      <c r="G1604" s="83">
        <v>0.4270833333333333</v>
      </c>
      <c r="H1604" s="83">
        <v>0.052083333333333336</v>
      </c>
      <c r="I1604" s="84">
        <v>44319.0</v>
      </c>
      <c r="J1604" s="65" t="b">
        <v>1</v>
      </c>
      <c r="K1604" s="65"/>
      <c r="L1604" s="85" t="b">
        <f>IF(VLOOKUP(C1604,Projetos!A:L,12,false)=TRUE,TRUE,FALSE)</f>
        <v>1</v>
      </c>
      <c r="M1604" s="74">
        <v>73.7079846079846</v>
      </c>
      <c r="N1604" s="74">
        <f t="shared" si="1"/>
        <v>92.13498076</v>
      </c>
      <c r="O1604" s="74" t="b">
        <v>1</v>
      </c>
    </row>
    <row r="1605" hidden="1">
      <c r="A1605" s="82"/>
      <c r="B1605" s="65" t="s">
        <v>495</v>
      </c>
      <c r="C1605" s="65" t="s">
        <v>92</v>
      </c>
      <c r="D1605" s="65" t="str">
        <f>vlookup(C1605,'Classificação p pessoal'!F:G,2,false)</f>
        <v/>
      </c>
      <c r="E1605" s="65" t="s">
        <v>963</v>
      </c>
      <c r="F1605" s="83">
        <v>0.4270833333333333</v>
      </c>
      <c r="G1605" s="83">
        <v>0.4583333333333333</v>
      </c>
      <c r="H1605" s="83">
        <v>0.03125</v>
      </c>
      <c r="I1605" s="84">
        <v>44319.0</v>
      </c>
      <c r="J1605" s="65" t="b">
        <v>1</v>
      </c>
      <c r="K1605" s="65"/>
      <c r="L1605" s="85" t="b">
        <f>IF(VLOOKUP(C1605,Projetos!A:L,12,false)=TRUE,TRUE,FALSE)</f>
        <v>1</v>
      </c>
      <c r="M1605" s="74">
        <v>73.7079846079846</v>
      </c>
      <c r="N1605" s="74">
        <f t="shared" si="1"/>
        <v>55.28098846</v>
      </c>
      <c r="O1605" s="74" t="b">
        <v>1</v>
      </c>
    </row>
    <row r="1606" hidden="1">
      <c r="A1606" s="82"/>
      <c r="B1606" s="65" t="s">
        <v>495</v>
      </c>
      <c r="C1606" s="65" t="s">
        <v>117</v>
      </c>
      <c r="D1606" s="65" t="str">
        <f>vlookup(C1606,'Classificação p pessoal'!F:G,2,false)</f>
        <v>NP</v>
      </c>
      <c r="E1606" s="65" t="s">
        <v>964</v>
      </c>
      <c r="F1606" s="83">
        <v>0.4583333333333333</v>
      </c>
      <c r="G1606" s="83">
        <v>0.5</v>
      </c>
      <c r="H1606" s="83">
        <v>0.041666666666666664</v>
      </c>
      <c r="I1606" s="84">
        <v>44319.0</v>
      </c>
      <c r="J1606" s="65" t="b">
        <v>1</v>
      </c>
      <c r="K1606" s="65"/>
      <c r="L1606" s="85" t="b">
        <f>IF(VLOOKUP(C1606,Projetos!A:L,12,false)=TRUE,TRUE,FALSE)</f>
        <v>1</v>
      </c>
      <c r="M1606" s="74">
        <v>73.7079846079846</v>
      </c>
      <c r="N1606" s="74">
        <f t="shared" si="1"/>
        <v>73.70798461</v>
      </c>
      <c r="O1606" s="74" t="b">
        <v>1</v>
      </c>
    </row>
    <row r="1607" hidden="1">
      <c r="A1607" s="82"/>
      <c r="B1607" s="65" t="s">
        <v>495</v>
      </c>
      <c r="C1607" s="65" t="s">
        <v>92</v>
      </c>
      <c r="D1607" s="65" t="str">
        <f>vlookup(C1607,'Classificação p pessoal'!F:G,2,false)</f>
        <v/>
      </c>
      <c r="E1607" s="65" t="s">
        <v>965</v>
      </c>
      <c r="F1607" s="83">
        <v>0.5</v>
      </c>
      <c r="G1607" s="83">
        <v>0.5541666666666667</v>
      </c>
      <c r="H1607" s="83">
        <v>0.05416666666666667</v>
      </c>
      <c r="I1607" s="84">
        <v>44319.0</v>
      </c>
      <c r="J1607" s="65" t="b">
        <v>1</v>
      </c>
      <c r="K1607" s="65"/>
      <c r="L1607" s="85" t="b">
        <f>IF(VLOOKUP(C1607,Projetos!A:L,12,false)=TRUE,TRUE,FALSE)</f>
        <v>1</v>
      </c>
      <c r="M1607" s="74">
        <v>73.7079846079846</v>
      </c>
      <c r="N1607" s="74">
        <f t="shared" si="1"/>
        <v>95.82037999</v>
      </c>
      <c r="O1607" s="74" t="b">
        <v>1</v>
      </c>
    </row>
    <row r="1608" hidden="1">
      <c r="A1608" s="82"/>
      <c r="B1608" s="65" t="s">
        <v>495</v>
      </c>
      <c r="C1608" s="65" t="s">
        <v>92</v>
      </c>
      <c r="D1608" s="65" t="str">
        <f>vlookup(C1608,'Classificação p pessoal'!F:G,2,false)</f>
        <v/>
      </c>
      <c r="E1608" s="65" t="s">
        <v>965</v>
      </c>
      <c r="F1608" s="83">
        <v>0.5958333333333333</v>
      </c>
      <c r="G1608" s="83">
        <v>0.75</v>
      </c>
      <c r="H1608" s="83">
        <v>0.15416666666666667</v>
      </c>
      <c r="I1608" s="84">
        <v>44319.0</v>
      </c>
      <c r="J1608" s="65" t="b">
        <v>1</v>
      </c>
      <c r="K1608" s="65"/>
      <c r="L1608" s="85" t="b">
        <f>IF(VLOOKUP(C1608,Projetos!A:L,12,false)=TRUE,TRUE,FALSE)</f>
        <v>1</v>
      </c>
      <c r="M1608" s="74">
        <v>73.7079846079846</v>
      </c>
      <c r="N1608" s="74">
        <f t="shared" si="1"/>
        <v>272.719543</v>
      </c>
      <c r="O1608" s="74" t="b">
        <v>1</v>
      </c>
    </row>
    <row r="1609" hidden="1">
      <c r="A1609" s="82"/>
      <c r="B1609" s="65" t="s">
        <v>495</v>
      </c>
      <c r="C1609" s="65" t="s">
        <v>92</v>
      </c>
      <c r="D1609" s="65" t="str">
        <f>vlookup(C1609,'Classificação p pessoal'!F:G,2,false)</f>
        <v/>
      </c>
      <c r="E1609" s="65" t="s">
        <v>834</v>
      </c>
      <c r="F1609" s="83">
        <v>0.34375</v>
      </c>
      <c r="G1609" s="83">
        <v>0.4583333333333333</v>
      </c>
      <c r="H1609" s="83">
        <v>0.11458333333333333</v>
      </c>
      <c r="I1609" s="84">
        <v>44320.0</v>
      </c>
      <c r="J1609" s="65" t="b">
        <v>1</v>
      </c>
      <c r="K1609" s="65"/>
      <c r="L1609" s="85" t="b">
        <f>IF(VLOOKUP(C1609,Projetos!A:L,12,false)=TRUE,TRUE,FALSE)</f>
        <v>1</v>
      </c>
      <c r="M1609" s="74">
        <v>73.7079846079846</v>
      </c>
      <c r="N1609" s="74">
        <f t="shared" si="1"/>
        <v>202.6969577</v>
      </c>
      <c r="O1609" s="74" t="b">
        <v>1</v>
      </c>
    </row>
    <row r="1610" hidden="1">
      <c r="A1610" s="82"/>
      <c r="B1610" s="65" t="s">
        <v>495</v>
      </c>
      <c r="C1610" s="65" t="s">
        <v>92</v>
      </c>
      <c r="D1610" s="65" t="str">
        <f>vlookup(C1610,'Classificação p pessoal'!F:G,2,false)</f>
        <v/>
      </c>
      <c r="E1610" s="65" t="s">
        <v>965</v>
      </c>
      <c r="F1610" s="83">
        <v>0.4583333333333333</v>
      </c>
      <c r="G1610" s="83">
        <v>0.5548611111111111</v>
      </c>
      <c r="H1610" s="83">
        <v>0.09652777777777778</v>
      </c>
      <c r="I1610" s="84">
        <v>44320.0</v>
      </c>
      <c r="J1610" s="65" t="b">
        <v>1</v>
      </c>
      <c r="K1610" s="65"/>
      <c r="L1610" s="85" t="b">
        <f>IF(VLOOKUP(C1610,Projetos!A:L,12,false)=TRUE,TRUE,FALSE)</f>
        <v>1</v>
      </c>
      <c r="M1610" s="74">
        <v>73.7079846079846</v>
      </c>
      <c r="N1610" s="74">
        <f t="shared" si="1"/>
        <v>170.756831</v>
      </c>
      <c r="O1610" s="74" t="b">
        <v>1</v>
      </c>
    </row>
    <row r="1611" hidden="1">
      <c r="A1611" s="82"/>
      <c r="B1611" s="65" t="s">
        <v>495</v>
      </c>
      <c r="C1611" s="65" t="s">
        <v>92</v>
      </c>
      <c r="D1611" s="65" t="str">
        <f>vlookup(C1611,'Classificação p pessoal'!F:G,2,false)</f>
        <v/>
      </c>
      <c r="E1611" s="65" t="s">
        <v>966</v>
      </c>
      <c r="F1611" s="83">
        <v>0.5979166666666667</v>
      </c>
      <c r="G1611" s="83">
        <v>0.75</v>
      </c>
      <c r="H1611" s="83">
        <v>0.15208333333333332</v>
      </c>
      <c r="I1611" s="84">
        <v>44320.0</v>
      </c>
      <c r="J1611" s="65" t="b">
        <v>1</v>
      </c>
      <c r="K1611" s="65"/>
      <c r="L1611" s="85" t="b">
        <f>IF(VLOOKUP(C1611,Projetos!A:L,12,false)=TRUE,TRUE,FALSE)</f>
        <v>1</v>
      </c>
      <c r="M1611" s="74">
        <v>73.7079846079846</v>
      </c>
      <c r="N1611" s="74">
        <f t="shared" si="1"/>
        <v>269.0341438</v>
      </c>
      <c r="O1611" s="74" t="b">
        <v>1</v>
      </c>
    </row>
    <row r="1612" hidden="1">
      <c r="A1612" s="82"/>
      <c r="B1612" s="65" t="s">
        <v>495</v>
      </c>
      <c r="C1612" s="65" t="s">
        <v>92</v>
      </c>
      <c r="D1612" s="65" t="str">
        <f>vlookup(C1612,'Classificação p pessoal'!F:G,2,false)</f>
        <v/>
      </c>
      <c r="E1612" s="65" t="s">
        <v>967</v>
      </c>
      <c r="F1612" s="83">
        <v>0.34375</v>
      </c>
      <c r="G1612" s="83">
        <v>0.3958333333333333</v>
      </c>
      <c r="H1612" s="83">
        <v>0.052083333333333336</v>
      </c>
      <c r="I1612" s="84">
        <v>44322.0</v>
      </c>
      <c r="J1612" s="65" t="b">
        <v>1</v>
      </c>
      <c r="K1612" s="65"/>
      <c r="L1612" s="85" t="b">
        <f>IF(VLOOKUP(C1612,Projetos!A:L,12,false)=TRUE,TRUE,FALSE)</f>
        <v>1</v>
      </c>
      <c r="M1612" s="74">
        <v>73.7079846079846</v>
      </c>
      <c r="N1612" s="74">
        <f t="shared" si="1"/>
        <v>92.13498076</v>
      </c>
      <c r="O1612" s="74" t="b">
        <v>1</v>
      </c>
    </row>
    <row r="1613" hidden="1">
      <c r="A1613" s="82"/>
      <c r="B1613" s="65" t="s">
        <v>495</v>
      </c>
      <c r="C1613" s="65" t="s">
        <v>92</v>
      </c>
      <c r="D1613" s="65" t="str">
        <f>vlookup(C1613,'Classificação p pessoal'!F:G,2,false)</f>
        <v/>
      </c>
      <c r="E1613" s="65" t="s">
        <v>965</v>
      </c>
      <c r="F1613" s="83">
        <v>0.3958333333333333</v>
      </c>
      <c r="G1613" s="83">
        <v>0.5416666666666666</v>
      </c>
      <c r="H1613" s="83">
        <v>0.14583333333333334</v>
      </c>
      <c r="I1613" s="84">
        <v>44322.0</v>
      </c>
      <c r="J1613" s="65" t="b">
        <v>1</v>
      </c>
      <c r="K1613" s="65"/>
      <c r="L1613" s="85" t="b">
        <f>IF(VLOOKUP(C1613,Projetos!A:L,12,false)=TRUE,TRUE,FALSE)</f>
        <v>1</v>
      </c>
      <c r="M1613" s="74">
        <v>73.7079846079846</v>
      </c>
      <c r="N1613" s="74">
        <f t="shared" si="1"/>
        <v>257.9779461</v>
      </c>
      <c r="O1613" s="74" t="b">
        <v>1</v>
      </c>
    </row>
    <row r="1614" hidden="1">
      <c r="A1614" s="82"/>
      <c r="B1614" s="65" t="s">
        <v>495</v>
      </c>
      <c r="C1614" s="65" t="s">
        <v>92</v>
      </c>
      <c r="D1614" s="65" t="str">
        <f>vlookup(C1614,'Classificação p pessoal'!F:G,2,false)</f>
        <v/>
      </c>
      <c r="E1614" s="65" t="s">
        <v>968</v>
      </c>
      <c r="F1614" s="83">
        <v>0.5833333333333334</v>
      </c>
      <c r="G1614" s="83">
        <v>0.6666666666666666</v>
      </c>
      <c r="H1614" s="83">
        <v>0.08333333333333333</v>
      </c>
      <c r="I1614" s="84">
        <v>44322.0</v>
      </c>
      <c r="J1614" s="65" t="b">
        <v>1</v>
      </c>
      <c r="K1614" s="65"/>
      <c r="L1614" s="85" t="b">
        <f>IF(VLOOKUP(C1614,Projetos!A:L,12,false)=TRUE,TRUE,FALSE)</f>
        <v>1</v>
      </c>
      <c r="M1614" s="74">
        <v>73.7079846079846</v>
      </c>
      <c r="N1614" s="74">
        <f t="shared" si="1"/>
        <v>147.4159692</v>
      </c>
      <c r="O1614" s="74" t="b">
        <v>1</v>
      </c>
    </row>
    <row r="1615" hidden="1">
      <c r="A1615" s="82"/>
      <c r="B1615" s="65" t="s">
        <v>411</v>
      </c>
      <c r="C1615" s="65" t="s">
        <v>117</v>
      </c>
      <c r="D1615" s="65"/>
      <c r="E1615" s="65" t="s">
        <v>969</v>
      </c>
      <c r="F1615" s="83">
        <v>0.4375</v>
      </c>
      <c r="G1615" s="83">
        <v>0.5833333333333334</v>
      </c>
      <c r="H1615" s="83">
        <v>0.14583333333333334</v>
      </c>
      <c r="I1615" s="84">
        <v>44260.0</v>
      </c>
      <c r="J1615" s="65" t="b">
        <v>0</v>
      </c>
      <c r="K1615" s="65"/>
      <c r="L1615" s="85" t="b">
        <f>IF(VLOOKUP(C1615,Projetos!A:L,12,false)=TRUE,TRUE,FALSE)</f>
        <v>1</v>
      </c>
      <c r="M1615" s="74">
        <v>52.48434411075036</v>
      </c>
      <c r="N1615" s="74">
        <f t="shared" si="1"/>
        <v>0</v>
      </c>
      <c r="O1615" s="74" t="b">
        <v>1</v>
      </c>
    </row>
    <row r="1616" hidden="1">
      <c r="A1616" s="82"/>
      <c r="B1616" s="65" t="s">
        <v>495</v>
      </c>
      <c r="C1616" s="65" t="s">
        <v>117</v>
      </c>
      <c r="D1616" s="65" t="str">
        <f>vlookup(C1616,'Classificação p pessoal'!F:G,2,false)</f>
        <v>NP</v>
      </c>
      <c r="E1616" s="65" t="s">
        <v>970</v>
      </c>
      <c r="F1616" s="83">
        <v>0.34375</v>
      </c>
      <c r="G1616" s="83">
        <v>0.4166666666666667</v>
      </c>
      <c r="H1616" s="83">
        <v>0.07291666666666667</v>
      </c>
      <c r="I1616" s="84">
        <v>44323.0</v>
      </c>
      <c r="J1616" s="65" t="b">
        <v>1</v>
      </c>
      <c r="K1616" s="65"/>
      <c r="L1616" s="85" t="b">
        <f>IF(VLOOKUP(C1616,Projetos!A:L,12,false)=TRUE,TRUE,FALSE)</f>
        <v>1</v>
      </c>
      <c r="M1616" s="74">
        <v>73.7079846079846</v>
      </c>
      <c r="N1616" s="74">
        <f t="shared" si="1"/>
        <v>128.9889731</v>
      </c>
      <c r="O1616" s="74" t="b">
        <v>1</v>
      </c>
    </row>
    <row r="1617" hidden="1">
      <c r="A1617" s="82"/>
      <c r="B1617" s="65" t="s">
        <v>495</v>
      </c>
      <c r="C1617" s="65" t="s">
        <v>92</v>
      </c>
      <c r="D1617" s="65" t="str">
        <f>vlookup(C1617,'Classificação p pessoal'!F:G,2,false)</f>
        <v/>
      </c>
      <c r="E1617" s="65" t="s">
        <v>971</v>
      </c>
      <c r="F1617" s="83">
        <v>0.4166666666666667</v>
      </c>
      <c r="G1617" s="83">
        <v>0.5555555555555556</v>
      </c>
      <c r="H1617" s="83">
        <v>0.1388888888888889</v>
      </c>
      <c r="I1617" s="84">
        <v>44323.0</v>
      </c>
      <c r="J1617" s="65" t="b">
        <v>1</v>
      </c>
      <c r="K1617" s="65"/>
      <c r="L1617" s="85" t="b">
        <f>IF(VLOOKUP(C1617,Projetos!A:L,12,false)=TRUE,TRUE,FALSE)</f>
        <v>1</v>
      </c>
      <c r="M1617" s="74">
        <v>73.7079846079846</v>
      </c>
      <c r="N1617" s="74">
        <f t="shared" si="1"/>
        <v>245.693282</v>
      </c>
      <c r="O1617" s="74" t="b">
        <v>1</v>
      </c>
    </row>
    <row r="1618" hidden="1">
      <c r="A1618" s="82"/>
      <c r="B1618" s="65" t="s">
        <v>495</v>
      </c>
      <c r="C1618" s="65" t="s">
        <v>100</v>
      </c>
      <c r="D1618" s="65" t="str">
        <f>vlookup(C1618,'Classificação p pessoal'!F:G,2,false)</f>
        <v>NP</v>
      </c>
      <c r="E1618" s="65" t="s">
        <v>972</v>
      </c>
      <c r="F1618" s="83">
        <v>0.5972222222222222</v>
      </c>
      <c r="G1618" s="83">
        <v>0.6666666666666666</v>
      </c>
      <c r="H1618" s="83">
        <v>0.06944444444444445</v>
      </c>
      <c r="I1618" s="84">
        <v>44323.0</v>
      </c>
      <c r="J1618" s="65" t="b">
        <v>1</v>
      </c>
      <c r="K1618" s="65"/>
      <c r="L1618" s="85" t="b">
        <f>IF(VLOOKUP(C1618,Projetos!A:L,12,false)=TRUE,TRUE,FALSE)</f>
        <v>1</v>
      </c>
      <c r="M1618" s="74">
        <v>73.7079846079846</v>
      </c>
      <c r="N1618" s="74">
        <f t="shared" si="1"/>
        <v>122.846641</v>
      </c>
      <c r="O1618" s="74" t="b">
        <v>1</v>
      </c>
    </row>
    <row r="1619" hidden="1">
      <c r="A1619" s="82"/>
      <c r="B1619" s="65" t="s">
        <v>495</v>
      </c>
      <c r="C1619" s="65" t="s">
        <v>92</v>
      </c>
      <c r="D1619" s="65" t="str">
        <f>vlookup(C1619,'Classificação p pessoal'!F:G,2,false)</f>
        <v/>
      </c>
      <c r="E1619" s="65" t="s">
        <v>973</v>
      </c>
      <c r="F1619" s="83">
        <v>0.7083333333333334</v>
      </c>
      <c r="G1619" s="83">
        <v>0.75</v>
      </c>
      <c r="H1619" s="83">
        <v>0.041666666666666664</v>
      </c>
      <c r="I1619" s="84">
        <v>44323.0</v>
      </c>
      <c r="J1619" s="65" t="b">
        <v>1</v>
      </c>
      <c r="K1619" s="65"/>
      <c r="L1619" s="85" t="b">
        <f>IF(VLOOKUP(C1619,Projetos!A:L,12,false)=TRUE,TRUE,FALSE)</f>
        <v>1</v>
      </c>
      <c r="M1619" s="74">
        <v>73.7079846079846</v>
      </c>
      <c r="N1619" s="74">
        <f t="shared" si="1"/>
        <v>73.70798461</v>
      </c>
      <c r="O1619" s="74" t="b">
        <v>1</v>
      </c>
    </row>
    <row r="1620" hidden="1">
      <c r="A1620" s="82"/>
      <c r="B1620" s="65" t="s">
        <v>495</v>
      </c>
      <c r="C1620" s="65" t="s">
        <v>117</v>
      </c>
      <c r="D1620" s="65" t="str">
        <f>vlookup(C1620,'Classificação p pessoal'!F:G,2,false)</f>
        <v>NP</v>
      </c>
      <c r="E1620" s="65" t="s">
        <v>967</v>
      </c>
      <c r="F1620" s="83">
        <v>0.3472222222222222</v>
      </c>
      <c r="G1620" s="83">
        <v>0.3611111111111111</v>
      </c>
      <c r="H1620" s="83">
        <v>0.013888888888888888</v>
      </c>
      <c r="I1620" s="84">
        <v>44326.0</v>
      </c>
      <c r="J1620" s="65" t="b">
        <v>1</v>
      </c>
      <c r="K1620" s="65"/>
      <c r="L1620" s="85" t="b">
        <f>IF(VLOOKUP(C1620,Projetos!A:L,12,false)=TRUE,TRUE,FALSE)</f>
        <v>1</v>
      </c>
      <c r="M1620" s="74">
        <v>73.7079846079846</v>
      </c>
      <c r="N1620" s="74">
        <f t="shared" si="1"/>
        <v>24.5693282</v>
      </c>
      <c r="O1620" s="74" t="b">
        <v>1</v>
      </c>
    </row>
    <row r="1621" hidden="1">
      <c r="A1621" s="82"/>
      <c r="B1621" s="65" t="s">
        <v>495</v>
      </c>
      <c r="C1621" s="65" t="s">
        <v>92</v>
      </c>
      <c r="D1621" s="65" t="str">
        <f>vlookup(C1621,'Classificação p pessoal'!F:G,2,false)</f>
        <v/>
      </c>
      <c r="E1621" s="65" t="s">
        <v>967</v>
      </c>
      <c r="F1621" s="83">
        <v>0.3611111111111111</v>
      </c>
      <c r="G1621" s="83">
        <v>0.3854166666666667</v>
      </c>
      <c r="H1621" s="83">
        <v>0.024305555555555556</v>
      </c>
      <c r="I1621" s="84">
        <v>44326.0</v>
      </c>
      <c r="J1621" s="65" t="b">
        <v>1</v>
      </c>
      <c r="K1621" s="65"/>
      <c r="L1621" s="85" t="b">
        <f>IF(VLOOKUP(C1621,Projetos!A:L,12,false)=TRUE,TRUE,FALSE)</f>
        <v>1</v>
      </c>
      <c r="M1621" s="74">
        <v>73.7079846079846</v>
      </c>
      <c r="N1621" s="74">
        <f t="shared" si="1"/>
        <v>42.99632435</v>
      </c>
      <c r="O1621" s="74" t="b">
        <v>1</v>
      </c>
    </row>
    <row r="1622" hidden="1">
      <c r="A1622" s="82"/>
      <c r="B1622" s="65" t="s">
        <v>495</v>
      </c>
      <c r="C1622" s="65" t="s">
        <v>117</v>
      </c>
      <c r="D1622" s="65" t="str">
        <f>vlookup(C1622,'Classificação p pessoal'!F:G,2,false)</f>
        <v>NP</v>
      </c>
      <c r="E1622" s="65" t="s">
        <v>974</v>
      </c>
      <c r="F1622" s="83">
        <v>0.3854166666666667</v>
      </c>
      <c r="G1622" s="83">
        <v>0.5</v>
      </c>
      <c r="H1622" s="83">
        <v>0.11458333333333333</v>
      </c>
      <c r="I1622" s="84">
        <v>44326.0</v>
      </c>
      <c r="J1622" s="65" t="b">
        <v>1</v>
      </c>
      <c r="K1622" s="65"/>
      <c r="L1622" s="85" t="b">
        <f>IF(VLOOKUP(C1622,Projetos!A:L,12,false)=TRUE,TRUE,FALSE)</f>
        <v>1</v>
      </c>
      <c r="M1622" s="74">
        <v>73.7079846079846</v>
      </c>
      <c r="N1622" s="74">
        <f t="shared" si="1"/>
        <v>202.6969577</v>
      </c>
      <c r="O1622" s="74" t="b">
        <v>1</v>
      </c>
    </row>
    <row r="1623" hidden="1">
      <c r="A1623" s="82"/>
      <c r="B1623" s="65" t="s">
        <v>495</v>
      </c>
      <c r="C1623" s="65" t="s">
        <v>117</v>
      </c>
      <c r="D1623" s="65" t="str">
        <f>vlookup(C1623,'Classificação p pessoal'!F:G,2,false)</f>
        <v>NP</v>
      </c>
      <c r="E1623" s="65" t="s">
        <v>975</v>
      </c>
      <c r="F1623" s="83">
        <v>0.5</v>
      </c>
      <c r="G1623" s="83">
        <v>0.5208333333333334</v>
      </c>
      <c r="H1623" s="83">
        <v>0.020833333333333332</v>
      </c>
      <c r="I1623" s="84">
        <v>44326.0</v>
      </c>
      <c r="J1623" s="65" t="b">
        <v>1</v>
      </c>
      <c r="K1623" s="65"/>
      <c r="L1623" s="85" t="b">
        <f>IF(VLOOKUP(C1623,Projetos!A:L,12,false)=TRUE,TRUE,FALSE)</f>
        <v>1</v>
      </c>
      <c r="M1623" s="74">
        <v>73.7079846079846</v>
      </c>
      <c r="N1623" s="74">
        <f t="shared" si="1"/>
        <v>36.8539923</v>
      </c>
      <c r="O1623" s="74" t="b">
        <v>1</v>
      </c>
    </row>
    <row r="1624" hidden="1">
      <c r="A1624" s="82"/>
      <c r="B1624" s="65" t="s">
        <v>495</v>
      </c>
      <c r="C1624" s="65" t="s">
        <v>92</v>
      </c>
      <c r="D1624" s="65" t="str">
        <f>vlookup(C1624,'Classificação p pessoal'!F:G,2,false)</f>
        <v/>
      </c>
      <c r="E1624" s="65" t="s">
        <v>975</v>
      </c>
      <c r="F1624" s="83">
        <v>0.5208333333333334</v>
      </c>
      <c r="G1624" s="83">
        <v>0.5625</v>
      </c>
      <c r="H1624" s="83">
        <v>0.041666666666666664</v>
      </c>
      <c r="I1624" s="84">
        <v>44326.0</v>
      </c>
      <c r="J1624" s="65" t="b">
        <v>1</v>
      </c>
      <c r="K1624" s="65"/>
      <c r="L1624" s="85" t="b">
        <f>IF(VLOOKUP(C1624,Projetos!A:L,12,false)=TRUE,TRUE,FALSE)</f>
        <v>1</v>
      </c>
      <c r="M1624" s="74">
        <v>73.7079846079846</v>
      </c>
      <c r="N1624" s="74">
        <f t="shared" si="1"/>
        <v>73.70798461</v>
      </c>
      <c r="O1624" s="74" t="b">
        <v>1</v>
      </c>
    </row>
    <row r="1625" hidden="1">
      <c r="A1625" s="82"/>
      <c r="B1625" s="65" t="s">
        <v>495</v>
      </c>
      <c r="C1625" s="65" t="s">
        <v>92</v>
      </c>
      <c r="D1625" s="65" t="str">
        <f>vlookup(C1625,'Classificação p pessoal'!F:G,2,false)</f>
        <v/>
      </c>
      <c r="E1625" s="65" t="s">
        <v>976</v>
      </c>
      <c r="F1625" s="83">
        <v>0.6041666666666666</v>
      </c>
      <c r="G1625" s="83">
        <v>0.75</v>
      </c>
      <c r="H1625" s="83">
        <v>0.14583333333333334</v>
      </c>
      <c r="I1625" s="84">
        <v>44326.0</v>
      </c>
      <c r="J1625" s="65" t="b">
        <v>1</v>
      </c>
      <c r="K1625" s="65"/>
      <c r="L1625" s="85" t="b">
        <f>IF(VLOOKUP(C1625,Projetos!A:L,12,false)=TRUE,TRUE,FALSE)</f>
        <v>1</v>
      </c>
      <c r="M1625" s="74">
        <v>73.7079846079846</v>
      </c>
      <c r="N1625" s="74">
        <f t="shared" si="1"/>
        <v>257.9779461</v>
      </c>
      <c r="O1625" s="74" t="b">
        <v>1</v>
      </c>
    </row>
    <row r="1626" hidden="1">
      <c r="A1626" s="82"/>
      <c r="B1626" s="65" t="s">
        <v>495</v>
      </c>
      <c r="C1626" s="65" t="s">
        <v>92</v>
      </c>
      <c r="D1626" s="65" t="str">
        <f>vlookup(C1626,'Classificação p pessoal'!F:G,2,false)</f>
        <v/>
      </c>
      <c r="E1626" s="65" t="s">
        <v>967</v>
      </c>
      <c r="F1626" s="83">
        <v>0.3506944444444444</v>
      </c>
      <c r="G1626" s="83">
        <v>0.375</v>
      </c>
      <c r="H1626" s="83">
        <v>0.024305555555555556</v>
      </c>
      <c r="I1626" s="84">
        <v>44327.0</v>
      </c>
      <c r="J1626" s="65" t="b">
        <v>1</v>
      </c>
      <c r="K1626" s="65"/>
      <c r="L1626" s="85" t="b">
        <f>IF(VLOOKUP(C1626,Projetos!A:L,12,false)=TRUE,TRUE,FALSE)</f>
        <v>1</v>
      </c>
      <c r="M1626" s="74">
        <v>73.7079846079846</v>
      </c>
      <c r="N1626" s="74">
        <f t="shared" si="1"/>
        <v>42.99632435</v>
      </c>
      <c r="O1626" s="74" t="b">
        <v>1</v>
      </c>
    </row>
    <row r="1627" hidden="1">
      <c r="A1627" s="82"/>
      <c r="B1627" s="65" t="s">
        <v>495</v>
      </c>
      <c r="C1627" s="65" t="s">
        <v>92</v>
      </c>
      <c r="D1627" s="65" t="str">
        <f>vlookup(C1627,'Classificação p pessoal'!F:G,2,false)</f>
        <v/>
      </c>
      <c r="E1627" s="65" t="s">
        <v>976</v>
      </c>
      <c r="F1627" s="83">
        <v>0.375</v>
      </c>
      <c r="G1627" s="83">
        <v>0.5416666666666666</v>
      </c>
      <c r="H1627" s="83">
        <v>0.16666666666666666</v>
      </c>
      <c r="I1627" s="84">
        <v>44327.0</v>
      </c>
      <c r="J1627" s="65" t="b">
        <v>1</v>
      </c>
      <c r="K1627" s="65"/>
      <c r="L1627" s="85" t="b">
        <f>IF(VLOOKUP(C1627,Projetos!A:L,12,false)=TRUE,TRUE,FALSE)</f>
        <v>1</v>
      </c>
      <c r="M1627" s="74">
        <v>73.7079846079846</v>
      </c>
      <c r="N1627" s="74">
        <f t="shared" si="1"/>
        <v>294.8319384</v>
      </c>
      <c r="O1627" s="74" t="b">
        <v>1</v>
      </c>
    </row>
    <row r="1628" hidden="1">
      <c r="A1628" s="82"/>
      <c r="B1628" s="65" t="s">
        <v>495</v>
      </c>
      <c r="C1628" s="65" t="s">
        <v>117</v>
      </c>
      <c r="D1628" s="65" t="str">
        <f>vlookup(C1628,'Classificação p pessoal'!F:G,2,false)</f>
        <v>NP</v>
      </c>
      <c r="E1628" s="65" t="s">
        <v>977</v>
      </c>
      <c r="F1628" s="83">
        <v>0.5416666666666666</v>
      </c>
      <c r="G1628" s="83">
        <v>0.575</v>
      </c>
      <c r="H1628" s="83">
        <v>0.03333333333333333</v>
      </c>
      <c r="I1628" s="84">
        <v>44327.0</v>
      </c>
      <c r="J1628" s="65" t="b">
        <v>1</v>
      </c>
      <c r="K1628" s="65"/>
      <c r="L1628" s="85" t="b">
        <f>IF(VLOOKUP(C1628,Projetos!A:L,12,false)=TRUE,TRUE,FALSE)</f>
        <v>1</v>
      </c>
      <c r="M1628" s="74">
        <v>73.7079846079846</v>
      </c>
      <c r="N1628" s="74">
        <f t="shared" si="1"/>
        <v>58.96638769</v>
      </c>
      <c r="O1628" s="74" t="b">
        <v>1</v>
      </c>
    </row>
    <row r="1629" hidden="1">
      <c r="A1629" s="82"/>
      <c r="B1629" s="65" t="s">
        <v>495</v>
      </c>
      <c r="C1629" s="65" t="s">
        <v>117</v>
      </c>
      <c r="D1629" s="65" t="str">
        <f>vlookup(C1629,'Classificação p pessoal'!F:G,2,false)</f>
        <v>NP</v>
      </c>
      <c r="E1629" s="65" t="s">
        <v>860</v>
      </c>
      <c r="F1629" s="83">
        <v>0.6166666666666667</v>
      </c>
      <c r="G1629" s="83">
        <v>0.75</v>
      </c>
      <c r="H1629" s="83">
        <v>0.13333333333333333</v>
      </c>
      <c r="I1629" s="84">
        <v>44327.0</v>
      </c>
      <c r="J1629" s="65" t="b">
        <v>1</v>
      </c>
      <c r="K1629" s="65"/>
      <c r="L1629" s="85" t="b">
        <f>IF(VLOOKUP(C1629,Projetos!A:L,12,false)=TRUE,TRUE,FALSE)</f>
        <v>1</v>
      </c>
      <c r="M1629" s="74">
        <v>73.7079846079846</v>
      </c>
      <c r="N1629" s="74">
        <f t="shared" si="1"/>
        <v>235.8655507</v>
      </c>
      <c r="O1629" s="74" t="b">
        <v>1</v>
      </c>
    </row>
    <row r="1630" hidden="1">
      <c r="A1630" s="82"/>
      <c r="B1630" s="65" t="s">
        <v>177</v>
      </c>
      <c r="C1630" s="65" t="s">
        <v>101</v>
      </c>
      <c r="D1630" s="65" t="str">
        <f>vlookup(C1630,'Classificação p pessoal'!F:G,2,false)</f>
        <v>NP</v>
      </c>
      <c r="E1630" s="65" t="s">
        <v>978</v>
      </c>
      <c r="F1630" s="83">
        <v>0.7083333333333334</v>
      </c>
      <c r="G1630" s="83">
        <v>0.75</v>
      </c>
      <c r="H1630" s="83">
        <v>0.041666666666666664</v>
      </c>
      <c r="I1630" s="84">
        <v>44463.0</v>
      </c>
      <c r="J1630" s="65" t="b">
        <v>1</v>
      </c>
      <c r="K1630" s="65"/>
      <c r="L1630" s="85" t="b">
        <f>IF(VLOOKUP(C1630,Projetos!A:L,12,false)=TRUE,TRUE,FALSE)</f>
        <v>1</v>
      </c>
      <c r="M1630" s="74">
        <v>31.02923620430495</v>
      </c>
      <c r="N1630" s="74">
        <f t="shared" si="1"/>
        <v>31.0292362</v>
      </c>
      <c r="O1630" s="74" t="b">
        <v>1</v>
      </c>
    </row>
    <row r="1631" hidden="1">
      <c r="A1631" s="82"/>
      <c r="B1631" s="65" t="s">
        <v>495</v>
      </c>
      <c r="C1631" s="65" t="s">
        <v>92</v>
      </c>
      <c r="D1631" s="65" t="str">
        <f>vlookup(C1631,'Classificação p pessoal'!F:G,2,false)</f>
        <v/>
      </c>
      <c r="E1631" s="65" t="s">
        <v>979</v>
      </c>
      <c r="F1631" s="83">
        <v>0.375</v>
      </c>
      <c r="G1631" s="83">
        <v>0.4340277777777778</v>
      </c>
      <c r="H1631" s="83">
        <v>0.059027777777777776</v>
      </c>
      <c r="I1631" s="84">
        <v>44328.0</v>
      </c>
      <c r="J1631" s="65" t="b">
        <v>1</v>
      </c>
      <c r="K1631" s="65"/>
      <c r="L1631" s="85" t="b">
        <f>IF(VLOOKUP(C1631,Projetos!A:L,12,false)=TRUE,TRUE,FALSE)</f>
        <v>1</v>
      </c>
      <c r="M1631" s="74">
        <v>73.7079846079846</v>
      </c>
      <c r="N1631" s="74">
        <f t="shared" si="1"/>
        <v>104.4196449</v>
      </c>
      <c r="O1631" s="74" t="b">
        <v>1</v>
      </c>
    </row>
    <row r="1632" hidden="1">
      <c r="A1632" s="82"/>
      <c r="B1632" s="65" t="s">
        <v>495</v>
      </c>
      <c r="C1632" s="65" t="s">
        <v>84</v>
      </c>
      <c r="D1632" s="65"/>
      <c r="E1632" s="65" t="s">
        <v>980</v>
      </c>
      <c r="F1632" s="83">
        <v>0.4375</v>
      </c>
      <c r="G1632" s="83">
        <v>0.5416666666666666</v>
      </c>
      <c r="H1632" s="83">
        <v>0.10416666666666667</v>
      </c>
      <c r="I1632" s="84">
        <v>44328.0</v>
      </c>
      <c r="J1632" s="65" t="b">
        <v>0</v>
      </c>
      <c r="K1632" s="65"/>
      <c r="L1632" s="85" t="b">
        <f>IF(VLOOKUP(C1632,Projetos!A:L,12,false)=TRUE,TRUE,FALSE)</f>
        <v>0</v>
      </c>
      <c r="M1632" s="74">
        <v>73.7079846079846</v>
      </c>
      <c r="N1632" s="74">
        <f t="shared" si="1"/>
        <v>0</v>
      </c>
      <c r="O1632" s="74" t="b">
        <v>0</v>
      </c>
    </row>
    <row r="1633" hidden="1">
      <c r="A1633" s="82"/>
      <c r="B1633" s="65" t="s">
        <v>495</v>
      </c>
      <c r="C1633" s="65" t="s">
        <v>92</v>
      </c>
      <c r="D1633" s="65" t="str">
        <f>vlookup(C1633,'Classificação p pessoal'!F:G,2,false)</f>
        <v/>
      </c>
      <c r="E1633" s="65" t="s">
        <v>981</v>
      </c>
      <c r="F1633" s="83">
        <v>0.5833333333333334</v>
      </c>
      <c r="G1633" s="83">
        <v>0.6111111111111112</v>
      </c>
      <c r="H1633" s="83">
        <v>0.027777777777777776</v>
      </c>
      <c r="I1633" s="84">
        <v>44328.0</v>
      </c>
      <c r="J1633" s="65" t="b">
        <v>1</v>
      </c>
      <c r="K1633" s="65"/>
      <c r="L1633" s="85" t="b">
        <f>IF(VLOOKUP(C1633,Projetos!A:L,12,false)=TRUE,TRUE,FALSE)</f>
        <v>1</v>
      </c>
      <c r="M1633" s="74">
        <v>73.7079846079846</v>
      </c>
      <c r="N1633" s="74">
        <f t="shared" si="1"/>
        <v>49.13865641</v>
      </c>
      <c r="O1633" s="74" t="b">
        <v>1</v>
      </c>
    </row>
    <row r="1634" hidden="1">
      <c r="A1634" s="82"/>
      <c r="B1634" s="65" t="s">
        <v>495</v>
      </c>
      <c r="C1634" s="65" t="s">
        <v>92</v>
      </c>
      <c r="D1634" s="65" t="str">
        <f>vlookup(C1634,'Classificação p pessoal'!F:G,2,false)</f>
        <v/>
      </c>
      <c r="E1634" s="65" t="s">
        <v>965</v>
      </c>
      <c r="F1634" s="83">
        <v>0.625</v>
      </c>
      <c r="G1634" s="83">
        <v>0.75</v>
      </c>
      <c r="H1634" s="83">
        <v>0.125</v>
      </c>
      <c r="I1634" s="84">
        <v>44328.0</v>
      </c>
      <c r="J1634" s="65" t="b">
        <v>1</v>
      </c>
      <c r="K1634" s="65"/>
      <c r="L1634" s="85" t="b">
        <f>IF(VLOOKUP(C1634,Projetos!A:L,12,false)=TRUE,TRUE,FALSE)</f>
        <v>1</v>
      </c>
      <c r="M1634" s="74">
        <v>73.7079846079846</v>
      </c>
      <c r="N1634" s="74">
        <f t="shared" si="1"/>
        <v>221.1239538</v>
      </c>
      <c r="O1634" s="74" t="b">
        <v>1</v>
      </c>
    </row>
    <row r="1635" hidden="1">
      <c r="A1635" s="82"/>
      <c r="B1635" s="65" t="s">
        <v>495</v>
      </c>
      <c r="C1635" s="65" t="s">
        <v>92</v>
      </c>
      <c r="D1635" s="65" t="str">
        <f>vlookup(C1635,'Classificação p pessoal'!F:G,2,false)</f>
        <v/>
      </c>
      <c r="E1635" s="65" t="s">
        <v>965</v>
      </c>
      <c r="F1635" s="83">
        <v>0.3576388888888889</v>
      </c>
      <c r="G1635" s="83">
        <v>0.375</v>
      </c>
      <c r="H1635" s="83">
        <v>0.017361111111111112</v>
      </c>
      <c r="I1635" s="84">
        <v>44329.0</v>
      </c>
      <c r="J1635" s="65" t="b">
        <v>1</v>
      </c>
      <c r="K1635" s="65"/>
      <c r="L1635" s="85" t="b">
        <f>IF(VLOOKUP(C1635,Projetos!A:L,12,false)=TRUE,TRUE,FALSE)</f>
        <v>1</v>
      </c>
      <c r="M1635" s="74">
        <v>73.7079846079846</v>
      </c>
      <c r="N1635" s="74">
        <f t="shared" si="1"/>
        <v>30.71166025</v>
      </c>
      <c r="O1635" s="74" t="b">
        <v>1</v>
      </c>
    </row>
    <row r="1636" hidden="1">
      <c r="A1636" s="82"/>
      <c r="B1636" s="65" t="s">
        <v>495</v>
      </c>
      <c r="C1636" s="65" t="s">
        <v>84</v>
      </c>
      <c r="D1636" s="65"/>
      <c r="E1636" s="65" t="s">
        <v>982</v>
      </c>
      <c r="F1636" s="83">
        <v>0.375</v>
      </c>
      <c r="G1636" s="83">
        <v>0.4270833333333333</v>
      </c>
      <c r="H1636" s="83">
        <v>0.052083333333333336</v>
      </c>
      <c r="I1636" s="84">
        <v>44329.0</v>
      </c>
      <c r="J1636" s="65" t="b">
        <v>0</v>
      </c>
      <c r="K1636" s="65"/>
      <c r="L1636" s="85" t="b">
        <f>IF(VLOOKUP(C1636,Projetos!A:L,12,false)=TRUE,TRUE,FALSE)</f>
        <v>0</v>
      </c>
      <c r="M1636" s="74">
        <v>73.7079846079846</v>
      </c>
      <c r="N1636" s="74">
        <f t="shared" si="1"/>
        <v>0</v>
      </c>
      <c r="O1636" s="74" t="b">
        <v>0</v>
      </c>
    </row>
    <row r="1637" hidden="1">
      <c r="A1637" s="82"/>
      <c r="B1637" s="65" t="s">
        <v>495</v>
      </c>
      <c r="C1637" s="65" t="s">
        <v>92</v>
      </c>
      <c r="D1637" s="65" t="str">
        <f>vlookup(C1637,'Classificação p pessoal'!F:G,2,false)</f>
        <v/>
      </c>
      <c r="E1637" s="65" t="s">
        <v>965</v>
      </c>
      <c r="F1637" s="83">
        <v>0.4270833333333333</v>
      </c>
      <c r="G1637" s="83">
        <v>0.4583333333333333</v>
      </c>
      <c r="H1637" s="83">
        <v>0.03125</v>
      </c>
      <c r="I1637" s="84">
        <v>44329.0</v>
      </c>
      <c r="J1637" s="65" t="b">
        <v>1</v>
      </c>
      <c r="K1637" s="65"/>
      <c r="L1637" s="85" t="b">
        <f>IF(VLOOKUP(C1637,Projetos!A:L,12,false)=TRUE,TRUE,FALSE)</f>
        <v>1</v>
      </c>
      <c r="M1637" s="74">
        <v>73.7079846079846</v>
      </c>
      <c r="N1637" s="74">
        <f t="shared" si="1"/>
        <v>55.28098846</v>
      </c>
      <c r="O1637" s="74" t="b">
        <v>1</v>
      </c>
    </row>
    <row r="1638" hidden="1">
      <c r="A1638" s="82"/>
      <c r="B1638" s="65" t="s">
        <v>495</v>
      </c>
      <c r="C1638" s="65" t="s">
        <v>92</v>
      </c>
      <c r="D1638" s="65"/>
      <c r="E1638" s="65" t="s">
        <v>983</v>
      </c>
      <c r="F1638" s="83">
        <v>0.4583333333333333</v>
      </c>
      <c r="G1638" s="83">
        <v>0.4930555555555556</v>
      </c>
      <c r="H1638" s="83">
        <v>0.034722222222222224</v>
      </c>
      <c r="I1638" s="84">
        <v>44329.0</v>
      </c>
      <c r="J1638" s="65" t="b">
        <v>0</v>
      </c>
      <c r="K1638" s="65" t="s">
        <v>150</v>
      </c>
      <c r="L1638" s="85" t="b">
        <f>IF(VLOOKUP(C1638,Projetos!A:L,12,false)=TRUE,TRUE,FALSE)</f>
        <v>1</v>
      </c>
      <c r="M1638" s="74">
        <v>73.7079846079846</v>
      </c>
      <c r="N1638" s="74">
        <f t="shared" si="1"/>
        <v>0</v>
      </c>
      <c r="O1638" s="74" t="b">
        <v>1</v>
      </c>
    </row>
    <row r="1639" hidden="1">
      <c r="A1639" s="82"/>
      <c r="B1639" s="65" t="s">
        <v>495</v>
      </c>
      <c r="C1639" s="65" t="s">
        <v>92</v>
      </c>
      <c r="D1639" s="65" t="str">
        <f>vlookup(C1639,'Classificação p pessoal'!F:G,2,false)</f>
        <v/>
      </c>
      <c r="E1639" s="65" t="s">
        <v>965</v>
      </c>
      <c r="F1639" s="83">
        <v>0.4930555555555556</v>
      </c>
      <c r="G1639" s="83">
        <v>0.5625</v>
      </c>
      <c r="H1639" s="83">
        <v>0.06944444444444445</v>
      </c>
      <c r="I1639" s="84">
        <v>44329.0</v>
      </c>
      <c r="J1639" s="65" t="b">
        <v>1</v>
      </c>
      <c r="K1639" s="65"/>
      <c r="L1639" s="85" t="b">
        <f>IF(VLOOKUP(C1639,Projetos!A:L,12,false)=TRUE,TRUE,FALSE)</f>
        <v>1</v>
      </c>
      <c r="M1639" s="74">
        <v>73.7079846079846</v>
      </c>
      <c r="N1639" s="74">
        <f t="shared" si="1"/>
        <v>122.846641</v>
      </c>
      <c r="O1639" s="74" t="b">
        <v>1</v>
      </c>
    </row>
    <row r="1640" hidden="1">
      <c r="A1640" s="82"/>
      <c r="B1640" s="65" t="s">
        <v>495</v>
      </c>
      <c r="C1640" s="65" t="s">
        <v>92</v>
      </c>
      <c r="D1640" s="65" t="str">
        <f>vlookup(C1640,'Classificação p pessoal'!F:G,2,false)</f>
        <v/>
      </c>
      <c r="E1640" s="65" t="s">
        <v>834</v>
      </c>
      <c r="F1640" s="83">
        <v>0.6041666666666666</v>
      </c>
      <c r="G1640" s="83">
        <v>0.6458333333333334</v>
      </c>
      <c r="H1640" s="83">
        <v>0.041666666666666664</v>
      </c>
      <c r="I1640" s="84">
        <v>44329.0</v>
      </c>
      <c r="J1640" s="65" t="b">
        <v>1</v>
      </c>
      <c r="K1640" s="65"/>
      <c r="L1640" s="85" t="b">
        <f>IF(VLOOKUP(C1640,Projetos!A:L,12,false)=TRUE,TRUE,FALSE)</f>
        <v>1</v>
      </c>
      <c r="M1640" s="74">
        <v>73.7079846079846</v>
      </c>
      <c r="N1640" s="74">
        <f t="shared" si="1"/>
        <v>73.70798461</v>
      </c>
      <c r="O1640" s="74" t="b">
        <v>1</v>
      </c>
    </row>
    <row r="1641" hidden="1">
      <c r="A1641" s="82"/>
      <c r="B1641" s="65" t="s">
        <v>495</v>
      </c>
      <c r="C1641" s="65" t="s">
        <v>92</v>
      </c>
      <c r="D1641" s="65" t="str">
        <f>vlookup(C1641,'Classificação p pessoal'!F:G,2,false)</f>
        <v/>
      </c>
      <c r="E1641" s="65" t="s">
        <v>984</v>
      </c>
      <c r="F1641" s="83">
        <v>0.6458333333333334</v>
      </c>
      <c r="G1641" s="83">
        <v>0.6875</v>
      </c>
      <c r="H1641" s="83">
        <v>0.041666666666666664</v>
      </c>
      <c r="I1641" s="84">
        <v>44329.0</v>
      </c>
      <c r="J1641" s="65" t="b">
        <v>1</v>
      </c>
      <c r="K1641" s="65"/>
      <c r="L1641" s="85" t="b">
        <f>IF(VLOOKUP(C1641,Projetos!A:L,12,false)=TRUE,TRUE,FALSE)</f>
        <v>1</v>
      </c>
      <c r="M1641" s="74">
        <v>73.7079846079846</v>
      </c>
      <c r="N1641" s="74">
        <f t="shared" si="1"/>
        <v>73.70798461</v>
      </c>
      <c r="O1641" s="74" t="b">
        <v>1</v>
      </c>
    </row>
    <row r="1642" hidden="1">
      <c r="A1642" s="82"/>
      <c r="B1642" s="65" t="s">
        <v>495</v>
      </c>
      <c r="C1642" s="65" t="s">
        <v>92</v>
      </c>
      <c r="D1642" s="65" t="str">
        <f>vlookup(C1642,'Classificação p pessoal'!F:G,2,false)</f>
        <v/>
      </c>
      <c r="E1642" s="65" t="s">
        <v>834</v>
      </c>
      <c r="F1642" s="83">
        <v>0.6875</v>
      </c>
      <c r="G1642" s="83">
        <v>0.75</v>
      </c>
      <c r="H1642" s="83">
        <v>0.0625</v>
      </c>
      <c r="I1642" s="84">
        <v>44329.0</v>
      </c>
      <c r="J1642" s="65" t="b">
        <v>1</v>
      </c>
      <c r="K1642" s="65"/>
      <c r="L1642" s="85" t="b">
        <f>IF(VLOOKUP(C1642,Projetos!A:L,12,false)=TRUE,TRUE,FALSE)</f>
        <v>1</v>
      </c>
      <c r="M1642" s="74">
        <v>73.7079846079846</v>
      </c>
      <c r="N1642" s="74">
        <f t="shared" si="1"/>
        <v>110.5619769</v>
      </c>
      <c r="O1642" s="74" t="b">
        <v>1</v>
      </c>
    </row>
    <row r="1643" hidden="1">
      <c r="A1643" s="82"/>
      <c r="B1643" s="65" t="s">
        <v>495</v>
      </c>
      <c r="C1643" s="65" t="s">
        <v>92</v>
      </c>
      <c r="D1643" s="65" t="str">
        <f>vlookup(C1643,'Classificação p pessoal'!F:G,2,false)</f>
        <v/>
      </c>
      <c r="E1643" s="65" t="s">
        <v>985</v>
      </c>
      <c r="F1643" s="83">
        <v>0.3506944444444444</v>
      </c>
      <c r="G1643" s="83">
        <v>0.3819444444444444</v>
      </c>
      <c r="H1643" s="83">
        <v>0.03125</v>
      </c>
      <c r="I1643" s="84">
        <v>44330.0</v>
      </c>
      <c r="J1643" s="65" t="b">
        <v>1</v>
      </c>
      <c r="K1643" s="65"/>
      <c r="L1643" s="85" t="b">
        <f>IF(VLOOKUP(C1643,Projetos!A:L,12,false)=TRUE,TRUE,FALSE)</f>
        <v>1</v>
      </c>
      <c r="M1643" s="74">
        <v>73.7079846079846</v>
      </c>
      <c r="N1643" s="74">
        <f t="shared" si="1"/>
        <v>55.28098846</v>
      </c>
      <c r="O1643" s="74" t="b">
        <v>1</v>
      </c>
    </row>
    <row r="1644" hidden="1">
      <c r="A1644" s="82"/>
      <c r="B1644" s="65" t="s">
        <v>495</v>
      </c>
      <c r="C1644" s="65" t="s">
        <v>92</v>
      </c>
      <c r="D1644" s="65" t="str">
        <f>vlookup(C1644,'Classificação p pessoal'!F:G,2,false)</f>
        <v/>
      </c>
      <c r="E1644" s="65" t="s">
        <v>986</v>
      </c>
      <c r="F1644" s="83">
        <v>0.3819444444444444</v>
      </c>
      <c r="G1644" s="83">
        <v>0.4375</v>
      </c>
      <c r="H1644" s="83">
        <v>0.05555555555555555</v>
      </c>
      <c r="I1644" s="84">
        <v>44330.0</v>
      </c>
      <c r="J1644" s="65" t="b">
        <v>1</v>
      </c>
      <c r="K1644" s="65"/>
      <c r="L1644" s="85" t="b">
        <f>IF(VLOOKUP(C1644,Projetos!A:L,12,false)=TRUE,TRUE,FALSE)</f>
        <v>1</v>
      </c>
      <c r="M1644" s="74">
        <v>73.7079846079846</v>
      </c>
      <c r="N1644" s="74">
        <f t="shared" si="1"/>
        <v>98.27731281</v>
      </c>
      <c r="O1644" s="74" t="b">
        <v>1</v>
      </c>
    </row>
    <row r="1645" hidden="1">
      <c r="A1645" s="82"/>
      <c r="B1645" s="65" t="s">
        <v>495</v>
      </c>
      <c r="C1645" s="65" t="s">
        <v>92</v>
      </c>
      <c r="D1645" s="65" t="str">
        <f>vlookup(C1645,'Classificação p pessoal'!F:G,2,false)</f>
        <v/>
      </c>
      <c r="E1645" s="65" t="s">
        <v>987</v>
      </c>
      <c r="F1645" s="83">
        <v>0.4375</v>
      </c>
      <c r="G1645" s="83">
        <v>0.5625</v>
      </c>
      <c r="H1645" s="83">
        <v>0.125</v>
      </c>
      <c r="I1645" s="84">
        <v>44330.0</v>
      </c>
      <c r="J1645" s="65" t="b">
        <v>1</v>
      </c>
      <c r="K1645" s="65"/>
      <c r="L1645" s="85" t="b">
        <f>IF(VLOOKUP(C1645,Projetos!A:L,12,false)=TRUE,TRUE,FALSE)</f>
        <v>1</v>
      </c>
      <c r="M1645" s="74">
        <v>73.7079846079846</v>
      </c>
      <c r="N1645" s="74">
        <f t="shared" si="1"/>
        <v>221.1239538</v>
      </c>
      <c r="O1645" s="74" t="b">
        <v>1</v>
      </c>
    </row>
    <row r="1646" hidden="1">
      <c r="A1646" s="82"/>
      <c r="B1646" s="65" t="s">
        <v>495</v>
      </c>
      <c r="C1646" s="65" t="s">
        <v>92</v>
      </c>
      <c r="D1646" s="65" t="str">
        <f>vlookup(C1646,'Classificação p pessoal'!F:G,2,false)</f>
        <v/>
      </c>
      <c r="E1646" s="65" t="s">
        <v>988</v>
      </c>
      <c r="F1646" s="83">
        <v>0.6041666666666666</v>
      </c>
      <c r="G1646" s="83">
        <v>0.75</v>
      </c>
      <c r="H1646" s="83">
        <v>0.14583333333333334</v>
      </c>
      <c r="I1646" s="84">
        <v>44330.0</v>
      </c>
      <c r="J1646" s="65" t="b">
        <v>1</v>
      </c>
      <c r="K1646" s="65"/>
      <c r="L1646" s="85" t="b">
        <f>IF(VLOOKUP(C1646,Projetos!A:L,12,false)=TRUE,TRUE,FALSE)</f>
        <v>1</v>
      </c>
      <c r="M1646" s="74">
        <v>73.7079846079846</v>
      </c>
      <c r="N1646" s="74">
        <f t="shared" si="1"/>
        <v>257.9779461</v>
      </c>
      <c r="O1646" s="74" t="b">
        <v>1</v>
      </c>
    </row>
    <row r="1647" hidden="1">
      <c r="A1647" s="82"/>
      <c r="B1647" s="65" t="s">
        <v>495</v>
      </c>
      <c r="C1647" s="65" t="s">
        <v>92</v>
      </c>
      <c r="D1647" s="65" t="str">
        <f>vlookup(C1647,'Classificação p pessoal'!F:G,2,false)</f>
        <v/>
      </c>
      <c r="E1647" s="65" t="s">
        <v>989</v>
      </c>
      <c r="F1647" s="83">
        <v>0.3541666666666667</v>
      </c>
      <c r="G1647" s="83">
        <v>0.4375</v>
      </c>
      <c r="H1647" s="83">
        <v>0.08333333333333333</v>
      </c>
      <c r="I1647" s="84">
        <v>44333.0</v>
      </c>
      <c r="J1647" s="65" t="b">
        <v>1</v>
      </c>
      <c r="K1647" s="65"/>
      <c r="L1647" s="85" t="b">
        <f>IF(VLOOKUP(C1647,Projetos!A:L,12,false)=TRUE,TRUE,FALSE)</f>
        <v>1</v>
      </c>
      <c r="M1647" s="74">
        <v>73.7079846079846</v>
      </c>
      <c r="N1647" s="74">
        <f t="shared" si="1"/>
        <v>147.4159692</v>
      </c>
      <c r="O1647" s="74" t="b">
        <v>1</v>
      </c>
    </row>
    <row r="1648" hidden="1">
      <c r="A1648" s="82"/>
      <c r="B1648" s="65" t="s">
        <v>495</v>
      </c>
      <c r="C1648" s="65" t="s">
        <v>130</v>
      </c>
      <c r="D1648" s="65" t="str">
        <f>vlookup(C1648,'Classificação p pessoal'!F:G,2,false)</f>
        <v>NP</v>
      </c>
      <c r="E1648" s="65" t="s">
        <v>990</v>
      </c>
      <c r="F1648" s="83">
        <v>0.4375</v>
      </c>
      <c r="G1648" s="83">
        <v>0.4930555555555556</v>
      </c>
      <c r="H1648" s="83">
        <v>0.05555555555555555</v>
      </c>
      <c r="I1648" s="84">
        <v>44333.0</v>
      </c>
      <c r="J1648" s="65" t="b">
        <v>1</v>
      </c>
      <c r="K1648" s="65"/>
      <c r="L1648" s="85" t="b">
        <f>IF(VLOOKUP(C1648,Projetos!A:L,12,false)=TRUE,TRUE,FALSE)</f>
        <v>1</v>
      </c>
      <c r="M1648" s="74">
        <v>73.7079846079846</v>
      </c>
      <c r="N1648" s="74">
        <f t="shared" si="1"/>
        <v>98.27731281</v>
      </c>
      <c r="O1648" s="74" t="b">
        <v>1</v>
      </c>
    </row>
    <row r="1649" hidden="1">
      <c r="A1649" s="82"/>
      <c r="B1649" s="65" t="s">
        <v>495</v>
      </c>
      <c r="C1649" s="65" t="s">
        <v>117</v>
      </c>
      <c r="D1649" s="65" t="str">
        <f>vlookup(C1649,'Classificação p pessoal'!F:G,2,false)</f>
        <v>NP</v>
      </c>
      <c r="E1649" s="65" t="s">
        <v>991</v>
      </c>
      <c r="F1649" s="83">
        <v>0.5208333333333334</v>
      </c>
      <c r="G1649" s="83">
        <v>0.5694444444444444</v>
      </c>
      <c r="H1649" s="83">
        <v>0.04861111111111111</v>
      </c>
      <c r="I1649" s="84">
        <v>44333.0</v>
      </c>
      <c r="J1649" s="65" t="b">
        <v>1</v>
      </c>
      <c r="K1649" s="65"/>
      <c r="L1649" s="85" t="b">
        <f>IF(VLOOKUP(C1649,Projetos!A:L,12,false)=TRUE,TRUE,FALSE)</f>
        <v>1</v>
      </c>
      <c r="M1649" s="74">
        <v>73.7079846079846</v>
      </c>
      <c r="N1649" s="74">
        <f t="shared" si="1"/>
        <v>85.99264871</v>
      </c>
      <c r="O1649" s="74" t="b">
        <v>1</v>
      </c>
    </row>
    <row r="1650" hidden="1">
      <c r="A1650" s="82"/>
      <c r="B1650" s="65" t="s">
        <v>495</v>
      </c>
      <c r="C1650" s="65" t="s">
        <v>117</v>
      </c>
      <c r="D1650" s="65" t="str">
        <f>vlookup(C1650,'Classificação p pessoal'!F:G,2,false)</f>
        <v>NP</v>
      </c>
      <c r="E1650" s="65" t="s">
        <v>991</v>
      </c>
      <c r="F1650" s="83">
        <v>0.6111111111111112</v>
      </c>
      <c r="G1650" s="83">
        <v>0.65625</v>
      </c>
      <c r="H1650" s="83">
        <v>0.04513888888888889</v>
      </c>
      <c r="I1650" s="84">
        <v>44333.0</v>
      </c>
      <c r="J1650" s="65" t="b">
        <v>1</v>
      </c>
      <c r="K1650" s="65"/>
      <c r="L1650" s="85" t="b">
        <f>IF(VLOOKUP(C1650,Projetos!A:L,12,false)=TRUE,TRUE,FALSE)</f>
        <v>1</v>
      </c>
      <c r="M1650" s="74">
        <v>73.7079846079846</v>
      </c>
      <c r="N1650" s="74">
        <f t="shared" si="1"/>
        <v>79.85031666</v>
      </c>
      <c r="O1650" s="74" t="b">
        <v>1</v>
      </c>
    </row>
    <row r="1651" hidden="1">
      <c r="A1651" s="82"/>
      <c r="B1651" s="65" t="s">
        <v>495</v>
      </c>
      <c r="C1651" s="65" t="s">
        <v>92</v>
      </c>
      <c r="D1651" s="65" t="str">
        <f>vlookup(C1651,'Classificação p pessoal'!F:G,2,false)</f>
        <v/>
      </c>
      <c r="E1651" s="65" t="s">
        <v>992</v>
      </c>
      <c r="F1651" s="83">
        <v>0.65625</v>
      </c>
      <c r="G1651" s="83">
        <v>0.7208333333333333</v>
      </c>
      <c r="H1651" s="83">
        <v>0.06458333333333334</v>
      </c>
      <c r="I1651" s="84">
        <v>44333.0</v>
      </c>
      <c r="J1651" s="65" t="b">
        <v>1</v>
      </c>
      <c r="K1651" s="65"/>
      <c r="L1651" s="85" t="b">
        <f>IF(VLOOKUP(C1651,Projetos!A:L,12,false)=TRUE,TRUE,FALSE)</f>
        <v>1</v>
      </c>
      <c r="M1651" s="74">
        <v>73.7079846079846</v>
      </c>
      <c r="N1651" s="74">
        <f t="shared" si="1"/>
        <v>114.2473761</v>
      </c>
      <c r="O1651" s="74" t="b">
        <v>1</v>
      </c>
    </row>
    <row r="1652">
      <c r="A1652" s="82"/>
      <c r="B1652" s="65" t="s">
        <v>495</v>
      </c>
      <c r="C1652" s="65" t="s">
        <v>108</v>
      </c>
      <c r="D1652" s="65" t="str">
        <f>vlookup(C1652,'Classificação p pessoal'!F:G,2,false)</f>
        <v>NP</v>
      </c>
      <c r="E1652" s="65" t="s">
        <v>993</v>
      </c>
      <c r="F1652" s="83">
        <v>0.7208333333333333</v>
      </c>
      <c r="G1652" s="83">
        <v>0.7395833333333334</v>
      </c>
      <c r="H1652" s="83">
        <v>0.01875</v>
      </c>
      <c r="I1652" s="84">
        <v>44333.0</v>
      </c>
      <c r="J1652" s="65" t="b">
        <v>1</v>
      </c>
      <c r="K1652" s="65"/>
      <c r="L1652" s="85" t="b">
        <f>IF(VLOOKUP(C1652,Projetos!A:L,12,false)=TRUE,TRUE,FALSE)</f>
        <v>1</v>
      </c>
      <c r="M1652" s="74">
        <v>73.7079846079846</v>
      </c>
      <c r="N1652" s="74">
        <f t="shared" si="1"/>
        <v>33.16859307</v>
      </c>
      <c r="O1652" s="74" t="b">
        <v>1</v>
      </c>
    </row>
    <row r="1653" hidden="1">
      <c r="A1653" s="82"/>
      <c r="B1653" s="65" t="s">
        <v>469</v>
      </c>
      <c r="C1653" s="65" t="s">
        <v>118</v>
      </c>
      <c r="D1653" s="65"/>
      <c r="E1653" s="65" t="s">
        <v>994</v>
      </c>
      <c r="F1653" s="83">
        <v>0.34375</v>
      </c>
      <c r="G1653" s="83">
        <v>0.75</v>
      </c>
      <c r="H1653" s="83">
        <v>0.40625</v>
      </c>
      <c r="I1653" s="84">
        <v>44200.0</v>
      </c>
      <c r="J1653" s="65" t="b">
        <v>0</v>
      </c>
      <c r="K1653" s="65"/>
      <c r="L1653" s="85" t="b">
        <f>IF(VLOOKUP(C1653,Projetos!A:L,12,false)=TRUE,TRUE,FALSE)</f>
        <v>1</v>
      </c>
      <c r="M1653" s="74">
        <v>37.50928062469937</v>
      </c>
      <c r="N1653" s="74">
        <f t="shared" si="1"/>
        <v>0</v>
      </c>
      <c r="O1653" s="74" t="b">
        <v>1</v>
      </c>
    </row>
    <row r="1654" hidden="1">
      <c r="A1654" s="82"/>
      <c r="B1654" s="65" t="s">
        <v>495</v>
      </c>
      <c r="C1654" s="65" t="s">
        <v>84</v>
      </c>
      <c r="D1654" s="65"/>
      <c r="E1654" s="65" t="s">
        <v>995</v>
      </c>
      <c r="F1654" s="83">
        <v>0.34375</v>
      </c>
      <c r="G1654" s="83">
        <v>0.375</v>
      </c>
      <c r="H1654" s="83">
        <v>0.03125</v>
      </c>
      <c r="I1654" s="84">
        <v>44334.0</v>
      </c>
      <c r="J1654" s="65" t="b">
        <v>0</v>
      </c>
      <c r="K1654" s="65"/>
      <c r="L1654" s="85" t="b">
        <f>IF(VLOOKUP(C1654,Projetos!A:L,12,false)=TRUE,TRUE,FALSE)</f>
        <v>0</v>
      </c>
      <c r="M1654" s="74">
        <v>73.7079846079846</v>
      </c>
      <c r="N1654" s="74">
        <f t="shared" si="1"/>
        <v>0</v>
      </c>
      <c r="O1654" s="74" t="b">
        <v>0</v>
      </c>
    </row>
    <row r="1655" hidden="1">
      <c r="A1655" s="82"/>
      <c r="B1655" s="65" t="s">
        <v>495</v>
      </c>
      <c r="C1655" s="65" t="s">
        <v>92</v>
      </c>
      <c r="D1655" s="65" t="str">
        <f>vlookup(C1655,'Classificação p pessoal'!F:G,2,false)</f>
        <v/>
      </c>
      <c r="E1655" s="65" t="s">
        <v>996</v>
      </c>
      <c r="F1655" s="83">
        <v>0.375</v>
      </c>
      <c r="G1655" s="83">
        <v>0.4513888888888889</v>
      </c>
      <c r="H1655" s="83">
        <v>0.0763888888888889</v>
      </c>
      <c r="I1655" s="84">
        <v>44334.0</v>
      </c>
      <c r="J1655" s="65" t="b">
        <v>1</v>
      </c>
      <c r="K1655" s="65"/>
      <c r="L1655" s="85" t="b">
        <f>IF(VLOOKUP(C1655,Projetos!A:L,12,false)=TRUE,TRUE,FALSE)</f>
        <v>1</v>
      </c>
      <c r="M1655" s="74">
        <v>73.7079846079846</v>
      </c>
      <c r="N1655" s="74">
        <f t="shared" si="1"/>
        <v>135.1313051</v>
      </c>
      <c r="O1655" s="74" t="b">
        <v>1</v>
      </c>
    </row>
    <row r="1656" hidden="1">
      <c r="A1656" s="82"/>
      <c r="B1656" s="65" t="s">
        <v>495</v>
      </c>
      <c r="C1656" s="65" t="s">
        <v>92</v>
      </c>
      <c r="D1656" s="65" t="str">
        <f>vlookup(C1656,'Classificação p pessoal'!F:G,2,false)</f>
        <v/>
      </c>
      <c r="E1656" s="65" t="s">
        <v>997</v>
      </c>
      <c r="F1656" s="83">
        <v>0.4513888888888889</v>
      </c>
      <c r="G1656" s="83">
        <v>0.5694444444444444</v>
      </c>
      <c r="H1656" s="83">
        <v>0.11805555555555555</v>
      </c>
      <c r="I1656" s="84">
        <v>44334.0</v>
      </c>
      <c r="J1656" s="65" t="b">
        <v>1</v>
      </c>
      <c r="K1656" s="65"/>
      <c r="L1656" s="85" t="b">
        <f>IF(VLOOKUP(C1656,Projetos!A:L,12,false)=TRUE,TRUE,FALSE)</f>
        <v>1</v>
      </c>
      <c r="M1656" s="74">
        <v>73.7079846079846</v>
      </c>
      <c r="N1656" s="74">
        <f t="shared" si="1"/>
        <v>208.8392897</v>
      </c>
      <c r="O1656" s="74" t="b">
        <v>1</v>
      </c>
    </row>
    <row r="1657" hidden="1">
      <c r="A1657" s="82"/>
      <c r="B1657" s="65" t="s">
        <v>495</v>
      </c>
      <c r="C1657" s="65" t="s">
        <v>106</v>
      </c>
      <c r="D1657" s="65" t="str">
        <f>vlookup(C1657,'Classificação p pessoal'!F:G,2,false)</f>
        <v>MProcesso</v>
      </c>
      <c r="E1657" s="65" t="s">
        <v>998</v>
      </c>
      <c r="F1657" s="83">
        <v>0.6111111111111112</v>
      </c>
      <c r="G1657" s="83">
        <v>0.6666666666666666</v>
      </c>
      <c r="H1657" s="83">
        <v>0.05555555555555555</v>
      </c>
      <c r="I1657" s="84">
        <v>44334.0</v>
      </c>
      <c r="J1657" s="65" t="b">
        <v>1</v>
      </c>
      <c r="K1657" s="65"/>
      <c r="L1657" s="85" t="b">
        <f>IF(VLOOKUP(C1657,Projetos!A:L,12,false)=TRUE,TRUE,FALSE)</f>
        <v>1</v>
      </c>
      <c r="M1657" s="74">
        <v>73.7079846079846</v>
      </c>
      <c r="N1657" s="74">
        <f t="shared" si="1"/>
        <v>98.27731281</v>
      </c>
      <c r="O1657" s="74" t="b">
        <v>1</v>
      </c>
    </row>
    <row r="1658" hidden="1">
      <c r="A1658" s="82"/>
      <c r="B1658" s="65" t="s">
        <v>467</v>
      </c>
      <c r="C1658" s="65" t="s">
        <v>130</v>
      </c>
      <c r="D1658" s="65"/>
      <c r="E1658" s="65" t="s">
        <v>999</v>
      </c>
      <c r="F1658" s="83">
        <v>0.5416666666666666</v>
      </c>
      <c r="G1658" s="83">
        <v>0.5833333333333334</v>
      </c>
      <c r="H1658" s="83">
        <v>0.041666666666666664</v>
      </c>
      <c r="I1658" s="84">
        <v>44328.0</v>
      </c>
      <c r="J1658" s="65" t="b">
        <v>0</v>
      </c>
      <c r="K1658" s="65" t="s">
        <v>150</v>
      </c>
      <c r="L1658" s="85" t="b">
        <f>IF(VLOOKUP(C1658,Projetos!A:L,12,false)=TRUE,TRUE,FALSE)</f>
        <v>1</v>
      </c>
      <c r="M1658" s="74">
        <v>52.1518759018759</v>
      </c>
      <c r="N1658" s="74">
        <f t="shared" si="1"/>
        <v>0</v>
      </c>
      <c r="O1658" s="74" t="b">
        <v>1</v>
      </c>
    </row>
    <row r="1659" hidden="1">
      <c r="A1659" s="82"/>
      <c r="B1659" s="65" t="s">
        <v>495</v>
      </c>
      <c r="C1659" s="65" t="s">
        <v>92</v>
      </c>
      <c r="D1659" s="65" t="str">
        <f>vlookup(C1659,'Classificação p pessoal'!F:G,2,false)</f>
        <v/>
      </c>
      <c r="E1659" s="65" t="s">
        <v>1000</v>
      </c>
      <c r="F1659" s="83">
        <v>0.34375</v>
      </c>
      <c r="G1659" s="83">
        <v>0.375</v>
      </c>
      <c r="H1659" s="83">
        <v>0.03125</v>
      </c>
      <c r="I1659" s="84">
        <v>44335.0</v>
      </c>
      <c r="J1659" s="65" t="b">
        <v>1</v>
      </c>
      <c r="K1659" s="65"/>
      <c r="L1659" s="85" t="b">
        <f>IF(VLOOKUP(C1659,Projetos!A:L,12,false)=TRUE,TRUE,FALSE)</f>
        <v>1</v>
      </c>
      <c r="M1659" s="74">
        <v>73.7079846079846</v>
      </c>
      <c r="N1659" s="74">
        <f t="shared" si="1"/>
        <v>55.28098846</v>
      </c>
      <c r="O1659" s="74" t="b">
        <v>1</v>
      </c>
    </row>
    <row r="1660" hidden="1">
      <c r="A1660" s="82"/>
      <c r="B1660" s="65" t="s">
        <v>467</v>
      </c>
      <c r="C1660" s="65" t="s">
        <v>106</v>
      </c>
      <c r="D1660" s="65"/>
      <c r="E1660" s="65" t="s">
        <v>1001</v>
      </c>
      <c r="F1660" s="83">
        <v>0.3958333333333333</v>
      </c>
      <c r="G1660" s="83">
        <v>0.4791666666666667</v>
      </c>
      <c r="H1660" s="83">
        <v>0.08333333333333333</v>
      </c>
      <c r="I1660" s="84">
        <v>44517.0</v>
      </c>
      <c r="J1660" s="65" t="b">
        <v>0</v>
      </c>
      <c r="K1660" s="65" t="s">
        <v>150</v>
      </c>
      <c r="L1660" s="85" t="b">
        <f>IF(VLOOKUP(C1660,Projetos!A:L,12,false)=TRUE,TRUE,FALSE)</f>
        <v>1</v>
      </c>
      <c r="M1660" s="74">
        <v>52.1518759018759</v>
      </c>
      <c r="N1660" s="74">
        <f t="shared" si="1"/>
        <v>0</v>
      </c>
      <c r="O1660" s="74" t="b">
        <v>1</v>
      </c>
    </row>
    <row r="1661" hidden="1">
      <c r="A1661" s="82"/>
      <c r="B1661" s="65" t="s">
        <v>495</v>
      </c>
      <c r="C1661" s="65" t="s">
        <v>84</v>
      </c>
      <c r="D1661" s="65"/>
      <c r="E1661" s="65" t="s">
        <v>1002</v>
      </c>
      <c r="F1661" s="83">
        <v>0.4166666666666667</v>
      </c>
      <c r="G1661" s="83">
        <v>0.4583333333333333</v>
      </c>
      <c r="H1661" s="83">
        <v>0.041666666666666664</v>
      </c>
      <c r="I1661" s="84">
        <v>44335.0</v>
      </c>
      <c r="J1661" s="65" t="b">
        <v>0</v>
      </c>
      <c r="K1661" s="65"/>
      <c r="L1661" s="85" t="b">
        <f>IF(VLOOKUP(C1661,Projetos!A:L,12,false)=TRUE,TRUE,FALSE)</f>
        <v>0</v>
      </c>
      <c r="M1661" s="74">
        <v>73.7079846079846</v>
      </c>
      <c r="N1661" s="74">
        <f t="shared" si="1"/>
        <v>0</v>
      </c>
      <c r="O1661" s="74" t="b">
        <v>0</v>
      </c>
    </row>
    <row r="1662" hidden="1">
      <c r="A1662" s="82"/>
      <c r="B1662" s="65" t="s">
        <v>495</v>
      </c>
      <c r="C1662" s="65" t="s">
        <v>106</v>
      </c>
      <c r="D1662" s="65" t="str">
        <f>vlookup(C1662,'Classificação p pessoal'!F:G,2,false)</f>
        <v>MProcesso</v>
      </c>
      <c r="E1662" s="65" t="s">
        <v>1003</v>
      </c>
      <c r="F1662" s="83">
        <v>0.4791666666666667</v>
      </c>
      <c r="G1662" s="83">
        <v>0.5763888888888888</v>
      </c>
      <c r="H1662" s="83">
        <v>0.09722222222222222</v>
      </c>
      <c r="I1662" s="84">
        <v>44335.0</v>
      </c>
      <c r="J1662" s="65" t="b">
        <v>1</v>
      </c>
      <c r="K1662" s="65"/>
      <c r="L1662" s="85" t="b">
        <f>IF(VLOOKUP(C1662,Projetos!A:L,12,false)=TRUE,TRUE,FALSE)</f>
        <v>1</v>
      </c>
      <c r="M1662" s="74">
        <v>73.7079846079846</v>
      </c>
      <c r="N1662" s="74">
        <f t="shared" si="1"/>
        <v>171.9852974</v>
      </c>
      <c r="O1662" s="74" t="b">
        <v>1</v>
      </c>
    </row>
    <row r="1663" hidden="1">
      <c r="A1663" s="82"/>
      <c r="B1663" s="65" t="s">
        <v>495</v>
      </c>
      <c r="C1663" s="65" t="s">
        <v>106</v>
      </c>
      <c r="D1663" s="65" t="str">
        <f>vlookup(C1663,'Classificação p pessoal'!F:G,2,false)</f>
        <v>MProcesso</v>
      </c>
      <c r="E1663" s="65" t="s">
        <v>1003</v>
      </c>
      <c r="F1663" s="83">
        <v>0.6180555555555556</v>
      </c>
      <c r="G1663" s="83">
        <v>0.6666666666666666</v>
      </c>
      <c r="H1663" s="83">
        <v>0.04861111111111111</v>
      </c>
      <c r="I1663" s="84">
        <v>44335.0</v>
      </c>
      <c r="J1663" s="65" t="b">
        <v>1</v>
      </c>
      <c r="K1663" s="65"/>
      <c r="L1663" s="85" t="b">
        <f>IF(VLOOKUP(C1663,Projetos!A:L,12,false)=TRUE,TRUE,FALSE)</f>
        <v>1</v>
      </c>
      <c r="M1663" s="74">
        <v>73.7079846079846</v>
      </c>
      <c r="N1663" s="74">
        <f t="shared" si="1"/>
        <v>85.99264871</v>
      </c>
      <c r="O1663" s="74" t="b">
        <v>1</v>
      </c>
    </row>
    <row r="1664" hidden="1">
      <c r="A1664" s="82"/>
      <c r="B1664" s="65" t="s">
        <v>495</v>
      </c>
      <c r="C1664" s="65" t="s">
        <v>92</v>
      </c>
      <c r="D1664" s="65" t="str">
        <f>vlookup(C1664,'Classificação p pessoal'!F:G,2,false)</f>
        <v/>
      </c>
      <c r="E1664" s="65" t="s">
        <v>837</v>
      </c>
      <c r="F1664" s="83">
        <v>0.6666666666666666</v>
      </c>
      <c r="G1664" s="83">
        <v>0.7083333333333334</v>
      </c>
      <c r="H1664" s="83">
        <v>0.041666666666666664</v>
      </c>
      <c r="I1664" s="84">
        <v>44335.0</v>
      </c>
      <c r="J1664" s="65" t="b">
        <v>1</v>
      </c>
      <c r="K1664" s="65"/>
      <c r="L1664" s="85" t="b">
        <f>IF(VLOOKUP(C1664,Projetos!A:L,12,false)=TRUE,TRUE,FALSE)</f>
        <v>1</v>
      </c>
      <c r="M1664" s="74">
        <v>73.7079846079846</v>
      </c>
      <c r="N1664" s="74">
        <f t="shared" si="1"/>
        <v>73.70798461</v>
      </c>
      <c r="O1664" s="74" t="b">
        <v>1</v>
      </c>
    </row>
    <row r="1665" hidden="1">
      <c r="A1665" s="82"/>
      <c r="B1665" s="65" t="s">
        <v>495</v>
      </c>
      <c r="C1665" s="65" t="s">
        <v>130</v>
      </c>
      <c r="D1665" s="65"/>
      <c r="E1665" s="65" t="s">
        <v>1004</v>
      </c>
      <c r="F1665" s="83">
        <v>0.7083333333333334</v>
      </c>
      <c r="G1665" s="83">
        <v>0.75</v>
      </c>
      <c r="H1665" s="83">
        <v>0.041666666666666664</v>
      </c>
      <c r="I1665" s="84">
        <v>44335.0</v>
      </c>
      <c r="J1665" s="65" t="b">
        <v>0</v>
      </c>
      <c r="K1665" s="65" t="s">
        <v>150</v>
      </c>
      <c r="L1665" s="85" t="b">
        <f>IF(VLOOKUP(C1665,Projetos!A:L,12,false)=TRUE,TRUE,FALSE)</f>
        <v>1</v>
      </c>
      <c r="M1665" s="74">
        <v>73.7079846079846</v>
      </c>
      <c r="N1665" s="74">
        <f t="shared" si="1"/>
        <v>0</v>
      </c>
      <c r="O1665" s="74" t="b">
        <v>1</v>
      </c>
    </row>
    <row r="1666" hidden="1">
      <c r="A1666" s="82"/>
      <c r="B1666" s="65" t="s">
        <v>495</v>
      </c>
      <c r="C1666" s="65" t="s">
        <v>92</v>
      </c>
      <c r="D1666" s="65" t="str">
        <f>vlookup(C1666,'Classificação p pessoal'!F:G,2,false)</f>
        <v/>
      </c>
      <c r="E1666" s="65" t="s">
        <v>1005</v>
      </c>
      <c r="F1666" s="83">
        <v>0.3611111111111111</v>
      </c>
      <c r="G1666" s="83">
        <v>0.3958333333333333</v>
      </c>
      <c r="H1666" s="83">
        <v>0.034722222222222224</v>
      </c>
      <c r="I1666" s="84">
        <v>44336.0</v>
      </c>
      <c r="J1666" s="65" t="b">
        <v>1</v>
      </c>
      <c r="K1666" s="65"/>
      <c r="L1666" s="85" t="b">
        <f>IF(VLOOKUP(C1666,Projetos!A:L,12,false)=TRUE,TRUE,FALSE)</f>
        <v>1</v>
      </c>
      <c r="M1666" s="74">
        <v>73.7079846079846</v>
      </c>
      <c r="N1666" s="74">
        <f t="shared" si="1"/>
        <v>61.42332051</v>
      </c>
      <c r="O1666" s="74" t="b">
        <v>1</v>
      </c>
    </row>
    <row r="1667" hidden="1">
      <c r="A1667" s="82"/>
      <c r="B1667" s="65" t="s">
        <v>495</v>
      </c>
      <c r="C1667" s="65" t="s">
        <v>92</v>
      </c>
      <c r="D1667" s="65" t="str">
        <f>vlookup(C1667,'Classificação p pessoal'!F:G,2,false)</f>
        <v/>
      </c>
      <c r="E1667" s="65" t="s">
        <v>1006</v>
      </c>
      <c r="F1667" s="83">
        <v>0.4166666666666667</v>
      </c>
      <c r="G1667" s="83">
        <v>0.4791666666666667</v>
      </c>
      <c r="H1667" s="83">
        <v>0.0625</v>
      </c>
      <c r="I1667" s="84">
        <v>44336.0</v>
      </c>
      <c r="J1667" s="65" t="b">
        <v>1</v>
      </c>
      <c r="K1667" s="65"/>
      <c r="L1667" s="85" t="b">
        <f>IF(VLOOKUP(C1667,Projetos!A:L,12,false)=TRUE,TRUE,FALSE)</f>
        <v>1</v>
      </c>
      <c r="M1667" s="74">
        <v>73.7079846079846</v>
      </c>
      <c r="N1667" s="74">
        <f t="shared" si="1"/>
        <v>110.5619769</v>
      </c>
      <c r="O1667" s="74" t="b">
        <v>1</v>
      </c>
    </row>
    <row r="1668" hidden="1">
      <c r="A1668" s="82"/>
      <c r="B1668" s="65" t="s">
        <v>495</v>
      </c>
      <c r="C1668" s="65" t="s">
        <v>117</v>
      </c>
      <c r="D1668" s="65" t="str">
        <f>vlookup(C1668,'Classificação p pessoal'!F:G,2,false)</f>
        <v>NP</v>
      </c>
      <c r="E1668" s="65" t="s">
        <v>1007</v>
      </c>
      <c r="F1668" s="83">
        <v>0.4791666666666667</v>
      </c>
      <c r="G1668" s="83">
        <v>0.5</v>
      </c>
      <c r="H1668" s="83">
        <v>0.020833333333333332</v>
      </c>
      <c r="I1668" s="84">
        <v>44336.0</v>
      </c>
      <c r="J1668" s="65" t="b">
        <v>1</v>
      </c>
      <c r="K1668" s="65"/>
      <c r="L1668" s="85" t="b">
        <f>IF(VLOOKUP(C1668,Projetos!A:L,12,false)=TRUE,TRUE,FALSE)</f>
        <v>1</v>
      </c>
      <c r="M1668" s="74">
        <v>73.7079846079846</v>
      </c>
      <c r="N1668" s="74">
        <f t="shared" si="1"/>
        <v>36.8539923</v>
      </c>
      <c r="O1668" s="74" t="b">
        <v>1</v>
      </c>
    </row>
    <row r="1669" hidden="1">
      <c r="A1669" s="82"/>
      <c r="B1669" s="65" t="s">
        <v>495</v>
      </c>
      <c r="C1669" s="65" t="s">
        <v>92</v>
      </c>
      <c r="D1669" s="65" t="str">
        <f>vlookup(C1669,'Classificação p pessoal'!F:G,2,false)</f>
        <v/>
      </c>
      <c r="E1669" s="65" t="s">
        <v>1006</v>
      </c>
      <c r="F1669" s="83">
        <v>0.5</v>
      </c>
      <c r="G1669" s="83">
        <v>0.5833333333333334</v>
      </c>
      <c r="H1669" s="83">
        <v>0.08333333333333333</v>
      </c>
      <c r="I1669" s="84">
        <v>44336.0</v>
      </c>
      <c r="J1669" s="65" t="b">
        <v>1</v>
      </c>
      <c r="K1669" s="65"/>
      <c r="L1669" s="85" t="b">
        <f>IF(VLOOKUP(C1669,Projetos!A:L,12,false)=TRUE,TRUE,FALSE)</f>
        <v>1</v>
      </c>
      <c r="M1669" s="74">
        <v>73.7079846079846</v>
      </c>
      <c r="N1669" s="74">
        <f t="shared" si="1"/>
        <v>147.4159692</v>
      </c>
      <c r="O1669" s="74" t="b">
        <v>1</v>
      </c>
    </row>
    <row r="1670" hidden="1">
      <c r="A1670" s="82"/>
      <c r="B1670" s="65" t="s">
        <v>495</v>
      </c>
      <c r="C1670" s="65" t="s">
        <v>92</v>
      </c>
      <c r="D1670" s="65" t="str">
        <f>vlookup(C1670,'Classificação p pessoal'!F:G,2,false)</f>
        <v/>
      </c>
      <c r="E1670" s="65" t="s">
        <v>834</v>
      </c>
      <c r="F1670" s="83">
        <v>0.625</v>
      </c>
      <c r="G1670" s="83">
        <v>0.6666666666666666</v>
      </c>
      <c r="H1670" s="83">
        <v>0.041666666666666664</v>
      </c>
      <c r="I1670" s="84">
        <v>44336.0</v>
      </c>
      <c r="J1670" s="65" t="b">
        <v>1</v>
      </c>
      <c r="K1670" s="65"/>
      <c r="L1670" s="85" t="b">
        <f>IF(VLOOKUP(C1670,Projetos!A:L,12,false)=TRUE,TRUE,FALSE)</f>
        <v>1</v>
      </c>
      <c r="M1670" s="74">
        <v>73.7079846079846</v>
      </c>
      <c r="N1670" s="74">
        <f t="shared" si="1"/>
        <v>73.70798461</v>
      </c>
      <c r="O1670" s="74" t="b">
        <v>1</v>
      </c>
    </row>
    <row r="1671" hidden="1">
      <c r="A1671" s="82"/>
      <c r="B1671" s="65" t="s">
        <v>495</v>
      </c>
      <c r="C1671" s="65" t="s">
        <v>117</v>
      </c>
      <c r="D1671" s="65" t="str">
        <f>vlookup(C1671,'Classificação p pessoal'!F:G,2,false)</f>
        <v>NP</v>
      </c>
      <c r="E1671" s="65" t="s">
        <v>1008</v>
      </c>
      <c r="F1671" s="83">
        <v>0.6666666666666666</v>
      </c>
      <c r="G1671" s="83">
        <v>0.7291666666666666</v>
      </c>
      <c r="H1671" s="83">
        <v>0.0625</v>
      </c>
      <c r="I1671" s="84">
        <v>44336.0</v>
      </c>
      <c r="J1671" s="65" t="b">
        <v>1</v>
      </c>
      <c r="K1671" s="65"/>
      <c r="L1671" s="85" t="b">
        <f>IF(VLOOKUP(C1671,Projetos!A:L,12,false)=TRUE,TRUE,FALSE)</f>
        <v>1</v>
      </c>
      <c r="M1671" s="74">
        <v>73.7079846079846</v>
      </c>
      <c r="N1671" s="74">
        <f t="shared" si="1"/>
        <v>110.5619769</v>
      </c>
      <c r="O1671" s="74" t="b">
        <v>1</v>
      </c>
    </row>
    <row r="1672" hidden="1">
      <c r="A1672" s="82"/>
      <c r="B1672" s="65" t="s">
        <v>495</v>
      </c>
      <c r="C1672" s="65" t="s">
        <v>92</v>
      </c>
      <c r="D1672" s="65" t="str">
        <f>vlookup(C1672,'Classificação p pessoal'!F:G,2,false)</f>
        <v/>
      </c>
      <c r="E1672" s="65" t="s">
        <v>1009</v>
      </c>
      <c r="F1672" s="83">
        <v>0.375</v>
      </c>
      <c r="G1672" s="83">
        <v>0.4583333333333333</v>
      </c>
      <c r="H1672" s="83">
        <v>0.08333333333333333</v>
      </c>
      <c r="I1672" s="84">
        <v>44337.0</v>
      </c>
      <c r="J1672" s="65" t="b">
        <v>1</v>
      </c>
      <c r="K1672" s="65"/>
      <c r="L1672" s="85" t="b">
        <f>IF(VLOOKUP(C1672,Projetos!A:L,12,false)=TRUE,TRUE,FALSE)</f>
        <v>1</v>
      </c>
      <c r="M1672" s="74">
        <v>73.7079846079846</v>
      </c>
      <c r="N1672" s="74">
        <f t="shared" si="1"/>
        <v>147.4159692</v>
      </c>
      <c r="O1672" s="74" t="b">
        <v>1</v>
      </c>
    </row>
    <row r="1673" hidden="1">
      <c r="A1673" s="82"/>
      <c r="B1673" s="65" t="s">
        <v>467</v>
      </c>
      <c r="C1673" s="65" t="s">
        <v>113</v>
      </c>
      <c r="D1673" s="65"/>
      <c r="E1673" s="65" t="s">
        <v>1010</v>
      </c>
      <c r="F1673" s="83">
        <v>0.375</v>
      </c>
      <c r="G1673" s="83">
        <v>0.4375</v>
      </c>
      <c r="H1673" s="83">
        <v>0.0625</v>
      </c>
      <c r="I1673" s="84">
        <v>44509.0</v>
      </c>
      <c r="J1673" s="65" t="b">
        <v>0</v>
      </c>
      <c r="K1673" s="65" t="s">
        <v>150</v>
      </c>
      <c r="L1673" s="85" t="b">
        <f>IF(VLOOKUP(C1673,Projetos!A:L,12,false)=TRUE,TRUE,FALSE)</f>
        <v>1</v>
      </c>
      <c r="M1673" s="74">
        <v>52.1518759018759</v>
      </c>
      <c r="N1673" s="74">
        <f t="shared" si="1"/>
        <v>0</v>
      </c>
      <c r="O1673" s="74" t="b">
        <v>1</v>
      </c>
    </row>
    <row r="1674" hidden="1">
      <c r="A1674" s="82"/>
      <c r="B1674" s="65" t="s">
        <v>495</v>
      </c>
      <c r="C1674" s="65" t="s">
        <v>92</v>
      </c>
      <c r="D1674" s="65"/>
      <c r="E1674" s="65" t="s">
        <v>1011</v>
      </c>
      <c r="F1674" s="83">
        <v>0.5833333333333334</v>
      </c>
      <c r="G1674" s="83">
        <v>0.6111111111111112</v>
      </c>
      <c r="H1674" s="83">
        <v>0.027777777777777776</v>
      </c>
      <c r="I1674" s="84">
        <v>44337.0</v>
      </c>
      <c r="J1674" s="65" t="b">
        <v>0</v>
      </c>
      <c r="K1674" s="65" t="s">
        <v>150</v>
      </c>
      <c r="L1674" s="85" t="b">
        <f>IF(VLOOKUP(C1674,Projetos!A:L,12,false)=TRUE,TRUE,FALSE)</f>
        <v>1</v>
      </c>
      <c r="M1674" s="74">
        <v>73.7079846079846</v>
      </c>
      <c r="N1674" s="74">
        <f t="shared" si="1"/>
        <v>0</v>
      </c>
      <c r="O1674" s="74" t="b">
        <v>1</v>
      </c>
    </row>
    <row r="1675" hidden="1">
      <c r="A1675" s="82"/>
      <c r="B1675" s="65" t="s">
        <v>495</v>
      </c>
      <c r="C1675" s="65" t="s">
        <v>84</v>
      </c>
      <c r="D1675" s="65"/>
      <c r="E1675" s="65" t="s">
        <v>1012</v>
      </c>
      <c r="F1675" s="83">
        <v>0.625</v>
      </c>
      <c r="G1675" s="83">
        <v>0.7083333333333334</v>
      </c>
      <c r="H1675" s="83">
        <v>0.08333333333333333</v>
      </c>
      <c r="I1675" s="84">
        <v>44337.0</v>
      </c>
      <c r="J1675" s="65" t="b">
        <v>0</v>
      </c>
      <c r="K1675" s="65"/>
      <c r="L1675" s="85" t="b">
        <f>IF(VLOOKUP(C1675,Projetos!A:L,12,false)=TRUE,TRUE,FALSE)</f>
        <v>0</v>
      </c>
      <c r="M1675" s="74">
        <v>73.7079846079846</v>
      </c>
      <c r="N1675" s="74">
        <f t="shared" si="1"/>
        <v>0</v>
      </c>
      <c r="O1675" s="74" t="b">
        <v>0</v>
      </c>
    </row>
    <row r="1676" hidden="1">
      <c r="A1676" s="82"/>
      <c r="B1676" s="65" t="s">
        <v>495</v>
      </c>
      <c r="C1676" s="65" t="s">
        <v>117</v>
      </c>
      <c r="D1676" s="65" t="str">
        <f>vlookup(C1676,'Classificação p pessoal'!F:G,2,false)</f>
        <v>NP</v>
      </c>
      <c r="E1676" s="65" t="s">
        <v>1013</v>
      </c>
      <c r="F1676" s="83">
        <v>0.7083333333333334</v>
      </c>
      <c r="G1676" s="83">
        <v>0.75</v>
      </c>
      <c r="H1676" s="83">
        <v>0.041666666666666664</v>
      </c>
      <c r="I1676" s="84">
        <v>44337.0</v>
      </c>
      <c r="J1676" s="65" t="b">
        <v>1</v>
      </c>
      <c r="K1676" s="65"/>
      <c r="L1676" s="85" t="b">
        <f>IF(VLOOKUP(C1676,Projetos!A:L,12,false)=TRUE,TRUE,FALSE)</f>
        <v>1</v>
      </c>
      <c r="M1676" s="74">
        <v>73.7079846079846</v>
      </c>
      <c r="N1676" s="74">
        <f t="shared" si="1"/>
        <v>73.70798461</v>
      </c>
      <c r="O1676" s="74" t="b">
        <v>1</v>
      </c>
    </row>
    <row r="1677" hidden="1">
      <c r="A1677" s="82"/>
      <c r="B1677" s="65" t="s">
        <v>467</v>
      </c>
      <c r="C1677" s="65" t="s">
        <v>113</v>
      </c>
      <c r="D1677" s="65"/>
      <c r="E1677" s="65" t="s">
        <v>1014</v>
      </c>
      <c r="F1677" s="83">
        <v>0.5833333333333334</v>
      </c>
      <c r="G1677" s="83">
        <v>0.6458333333333334</v>
      </c>
      <c r="H1677" s="83">
        <v>0.0625</v>
      </c>
      <c r="I1677" s="84">
        <v>44490.0</v>
      </c>
      <c r="J1677" s="65" t="b">
        <v>0</v>
      </c>
      <c r="K1677" s="65" t="s">
        <v>150</v>
      </c>
      <c r="L1677" s="85" t="b">
        <f>IF(VLOOKUP(C1677,Projetos!A:L,12,false)=TRUE,TRUE,FALSE)</f>
        <v>1</v>
      </c>
      <c r="M1677" s="74">
        <v>52.1518759018759</v>
      </c>
      <c r="N1677" s="74">
        <f t="shared" si="1"/>
        <v>0</v>
      </c>
      <c r="O1677" s="74" t="b">
        <v>1</v>
      </c>
    </row>
    <row r="1678" hidden="1">
      <c r="A1678" s="82"/>
      <c r="B1678" s="65" t="s">
        <v>495</v>
      </c>
      <c r="C1678" s="65" t="s">
        <v>117</v>
      </c>
      <c r="D1678" s="65" t="str">
        <f>vlookup(C1678,'Classificação p pessoal'!F:G,2,false)</f>
        <v>NP</v>
      </c>
      <c r="E1678" s="65" t="s">
        <v>1015</v>
      </c>
      <c r="F1678" s="83">
        <v>0.3819444444444444</v>
      </c>
      <c r="G1678" s="83">
        <v>0.4583333333333333</v>
      </c>
      <c r="H1678" s="83">
        <v>0.0763888888888889</v>
      </c>
      <c r="I1678" s="84">
        <v>44340.0</v>
      </c>
      <c r="J1678" s="65" t="b">
        <v>1</v>
      </c>
      <c r="K1678" s="65"/>
      <c r="L1678" s="85" t="b">
        <f>IF(VLOOKUP(C1678,Projetos!A:L,12,false)=TRUE,TRUE,FALSE)</f>
        <v>1</v>
      </c>
      <c r="M1678" s="74">
        <v>73.7079846079846</v>
      </c>
      <c r="N1678" s="74">
        <f t="shared" si="1"/>
        <v>135.1313051</v>
      </c>
      <c r="O1678" s="74" t="b">
        <v>1</v>
      </c>
    </row>
    <row r="1679" hidden="1">
      <c r="A1679" s="82"/>
      <c r="B1679" s="65" t="s">
        <v>495</v>
      </c>
      <c r="C1679" s="65" t="s">
        <v>92</v>
      </c>
      <c r="D1679" s="65" t="str">
        <f>vlookup(C1679,'Classificação p pessoal'!F:G,2,false)</f>
        <v/>
      </c>
      <c r="E1679" s="65" t="s">
        <v>1016</v>
      </c>
      <c r="F1679" s="83">
        <v>0.4583333333333333</v>
      </c>
      <c r="G1679" s="83">
        <v>0.5416666666666666</v>
      </c>
      <c r="H1679" s="83">
        <v>0.08333333333333333</v>
      </c>
      <c r="I1679" s="84">
        <v>44340.0</v>
      </c>
      <c r="J1679" s="65" t="b">
        <v>1</v>
      </c>
      <c r="K1679" s="65"/>
      <c r="L1679" s="85" t="b">
        <f>IF(VLOOKUP(C1679,Projetos!A:L,12,false)=TRUE,TRUE,FALSE)</f>
        <v>1</v>
      </c>
      <c r="M1679" s="74">
        <v>73.7079846079846</v>
      </c>
      <c r="N1679" s="74">
        <f t="shared" si="1"/>
        <v>147.4159692</v>
      </c>
      <c r="O1679" s="74" t="b">
        <v>1</v>
      </c>
    </row>
    <row r="1680" hidden="1">
      <c r="A1680" s="82"/>
      <c r="B1680" s="65" t="s">
        <v>495</v>
      </c>
      <c r="C1680" s="65" t="s">
        <v>92</v>
      </c>
      <c r="D1680" s="65" t="str">
        <f>vlookup(C1680,'Classificação p pessoal'!F:G,2,false)</f>
        <v/>
      </c>
      <c r="E1680" s="65" t="s">
        <v>1017</v>
      </c>
      <c r="F1680" s="83">
        <v>0.5833333333333334</v>
      </c>
      <c r="G1680" s="83">
        <v>0.625</v>
      </c>
      <c r="H1680" s="83">
        <v>0.041666666666666664</v>
      </c>
      <c r="I1680" s="84">
        <v>44340.0</v>
      </c>
      <c r="J1680" s="65" t="b">
        <v>1</v>
      </c>
      <c r="K1680" s="65"/>
      <c r="L1680" s="85" t="b">
        <f>IF(VLOOKUP(C1680,Projetos!A:L,12,false)=TRUE,TRUE,FALSE)</f>
        <v>1</v>
      </c>
      <c r="M1680" s="74">
        <v>73.7079846079846</v>
      </c>
      <c r="N1680" s="74">
        <f t="shared" si="1"/>
        <v>73.70798461</v>
      </c>
      <c r="O1680" s="74" t="b">
        <v>1</v>
      </c>
    </row>
    <row r="1681" hidden="1">
      <c r="A1681" s="82"/>
      <c r="B1681" s="65" t="s">
        <v>495</v>
      </c>
      <c r="C1681" s="65" t="s">
        <v>92</v>
      </c>
      <c r="D1681" s="65" t="str">
        <f>vlookup(C1681,'Classificação p pessoal'!F:G,2,false)</f>
        <v/>
      </c>
      <c r="E1681" s="65" t="s">
        <v>1018</v>
      </c>
      <c r="F1681" s="83">
        <v>0.625</v>
      </c>
      <c r="G1681" s="83">
        <v>0.75</v>
      </c>
      <c r="H1681" s="83">
        <v>0.125</v>
      </c>
      <c r="I1681" s="84">
        <v>44340.0</v>
      </c>
      <c r="J1681" s="65" t="b">
        <v>1</v>
      </c>
      <c r="K1681" s="65"/>
      <c r="L1681" s="85" t="b">
        <f>IF(VLOOKUP(C1681,Projetos!A:L,12,false)=TRUE,TRUE,FALSE)</f>
        <v>1</v>
      </c>
      <c r="M1681" s="74">
        <v>73.7079846079846</v>
      </c>
      <c r="N1681" s="74">
        <f t="shared" si="1"/>
        <v>221.1239538</v>
      </c>
      <c r="O1681" s="74" t="b">
        <v>1</v>
      </c>
    </row>
    <row r="1682" hidden="1">
      <c r="A1682" s="82"/>
      <c r="B1682" s="65" t="s">
        <v>495</v>
      </c>
      <c r="C1682" s="65" t="s">
        <v>92</v>
      </c>
      <c r="D1682" s="65" t="str">
        <f>vlookup(C1682,'Classificação p pessoal'!F:G,2,false)</f>
        <v/>
      </c>
      <c r="E1682" s="65" t="s">
        <v>1019</v>
      </c>
      <c r="F1682" s="83">
        <v>0.375</v>
      </c>
      <c r="G1682" s="83">
        <v>0.4270833333333333</v>
      </c>
      <c r="H1682" s="83">
        <v>0.052083333333333336</v>
      </c>
      <c r="I1682" s="84">
        <v>44311.0</v>
      </c>
      <c r="J1682" s="65" t="b">
        <v>1</v>
      </c>
      <c r="K1682" s="65"/>
      <c r="L1682" s="85" t="b">
        <f>IF(VLOOKUP(C1682,Projetos!A:L,12,false)=TRUE,TRUE,FALSE)</f>
        <v>1</v>
      </c>
      <c r="M1682" s="74">
        <v>73.7079846079846</v>
      </c>
      <c r="N1682" s="74">
        <f t="shared" si="1"/>
        <v>92.13498076</v>
      </c>
      <c r="O1682" s="74" t="b">
        <v>1</v>
      </c>
    </row>
    <row r="1683" hidden="1">
      <c r="A1683" s="82"/>
      <c r="B1683" s="65" t="s">
        <v>495</v>
      </c>
      <c r="C1683" s="65" t="s">
        <v>92</v>
      </c>
      <c r="D1683" s="65" t="str">
        <f>vlookup(C1683,'Classificação p pessoal'!F:G,2,false)</f>
        <v/>
      </c>
      <c r="E1683" s="65" t="s">
        <v>1020</v>
      </c>
      <c r="F1683" s="83">
        <v>0.4583333333333333</v>
      </c>
      <c r="G1683" s="83">
        <v>0.5694444444444444</v>
      </c>
      <c r="H1683" s="83">
        <v>0.1111111111111111</v>
      </c>
      <c r="I1683" s="84">
        <v>44311.0</v>
      </c>
      <c r="J1683" s="65" t="b">
        <v>1</v>
      </c>
      <c r="K1683" s="65"/>
      <c r="L1683" s="85" t="b">
        <f>IF(VLOOKUP(C1683,Projetos!A:L,12,false)=TRUE,TRUE,FALSE)</f>
        <v>1</v>
      </c>
      <c r="M1683" s="74">
        <v>73.7079846079846</v>
      </c>
      <c r="N1683" s="74">
        <f t="shared" si="1"/>
        <v>196.5546256</v>
      </c>
      <c r="O1683" s="74" t="b">
        <v>1</v>
      </c>
    </row>
    <row r="1684" hidden="1">
      <c r="A1684" s="82"/>
      <c r="B1684" s="65" t="s">
        <v>467</v>
      </c>
      <c r="C1684" s="65" t="s">
        <v>130</v>
      </c>
      <c r="D1684" s="65"/>
      <c r="E1684" s="65" t="s">
        <v>1021</v>
      </c>
      <c r="F1684" s="83">
        <v>0.6458333333333334</v>
      </c>
      <c r="G1684" s="83">
        <v>0.6875</v>
      </c>
      <c r="H1684" s="83">
        <v>0.041666666666666664</v>
      </c>
      <c r="I1684" s="84">
        <v>44320.0</v>
      </c>
      <c r="J1684" s="65" t="b">
        <v>0</v>
      </c>
      <c r="K1684" s="65" t="s">
        <v>150</v>
      </c>
      <c r="L1684" s="85" t="b">
        <f>IF(VLOOKUP(C1684,Projetos!A:L,12,false)=TRUE,TRUE,FALSE)</f>
        <v>1</v>
      </c>
      <c r="M1684" s="74">
        <v>52.1518759018759</v>
      </c>
      <c r="N1684" s="74">
        <f t="shared" si="1"/>
        <v>0</v>
      </c>
      <c r="O1684" s="74" t="b">
        <v>1</v>
      </c>
    </row>
    <row r="1685" hidden="1">
      <c r="A1685" s="82"/>
      <c r="B1685" s="65" t="s">
        <v>495</v>
      </c>
      <c r="C1685" s="65" t="s">
        <v>92</v>
      </c>
      <c r="D1685" s="65" t="str">
        <f>vlookup(C1685,'Classificação p pessoal'!F:G,2,false)</f>
        <v/>
      </c>
      <c r="E1685" s="65" t="s">
        <v>1022</v>
      </c>
      <c r="F1685" s="83">
        <v>0.625</v>
      </c>
      <c r="G1685" s="83">
        <v>0.7083333333333334</v>
      </c>
      <c r="H1685" s="83">
        <v>0.08333333333333333</v>
      </c>
      <c r="I1685" s="84">
        <v>44311.0</v>
      </c>
      <c r="J1685" s="65" t="b">
        <v>1</v>
      </c>
      <c r="K1685" s="65"/>
      <c r="L1685" s="85" t="b">
        <f>IF(VLOOKUP(C1685,Projetos!A:L,12,false)=TRUE,TRUE,FALSE)</f>
        <v>1</v>
      </c>
      <c r="M1685" s="74">
        <v>73.7079846079846</v>
      </c>
      <c r="N1685" s="74">
        <f t="shared" si="1"/>
        <v>147.4159692</v>
      </c>
      <c r="O1685" s="74" t="b">
        <v>1</v>
      </c>
    </row>
    <row r="1686" hidden="1">
      <c r="A1686" s="82"/>
      <c r="B1686" s="65" t="s">
        <v>495</v>
      </c>
      <c r="C1686" s="65" t="s">
        <v>117</v>
      </c>
      <c r="D1686" s="65" t="str">
        <f>vlookup(C1686,'Classificação p pessoal'!F:G,2,false)</f>
        <v>NP</v>
      </c>
      <c r="E1686" s="65" t="s">
        <v>1023</v>
      </c>
      <c r="F1686" s="83">
        <v>0.7083333333333334</v>
      </c>
      <c r="G1686" s="83">
        <v>0.75</v>
      </c>
      <c r="H1686" s="83">
        <v>0.041666666666666664</v>
      </c>
      <c r="I1686" s="84">
        <v>44311.0</v>
      </c>
      <c r="J1686" s="65" t="b">
        <v>1</v>
      </c>
      <c r="K1686" s="65"/>
      <c r="L1686" s="85" t="b">
        <f>IF(VLOOKUP(C1686,Projetos!A:L,12,false)=TRUE,TRUE,FALSE)</f>
        <v>1</v>
      </c>
      <c r="M1686" s="74">
        <v>73.7079846079846</v>
      </c>
      <c r="N1686" s="74">
        <f t="shared" si="1"/>
        <v>73.70798461</v>
      </c>
      <c r="O1686" s="74" t="b">
        <v>1</v>
      </c>
    </row>
    <row r="1687" hidden="1">
      <c r="A1687" s="82"/>
      <c r="B1687" s="65" t="s">
        <v>495</v>
      </c>
      <c r="C1687" s="65" t="s">
        <v>92</v>
      </c>
      <c r="D1687" s="65" t="str">
        <f>vlookup(C1687,'Classificação p pessoal'!F:G,2,false)</f>
        <v/>
      </c>
      <c r="E1687" s="65" t="s">
        <v>1005</v>
      </c>
      <c r="F1687" s="83">
        <v>0.3541666666666667</v>
      </c>
      <c r="G1687" s="83">
        <v>0.4375</v>
      </c>
      <c r="H1687" s="83">
        <v>0.08333333333333333</v>
      </c>
      <c r="I1687" s="84">
        <v>44312.0</v>
      </c>
      <c r="J1687" s="65" t="b">
        <v>1</v>
      </c>
      <c r="K1687" s="65"/>
      <c r="L1687" s="85" t="b">
        <f>IF(VLOOKUP(C1687,Projetos!A:L,12,false)=TRUE,TRUE,FALSE)</f>
        <v>1</v>
      </c>
      <c r="M1687" s="74">
        <v>73.7079846079846</v>
      </c>
      <c r="N1687" s="74">
        <f t="shared" si="1"/>
        <v>147.4159692</v>
      </c>
      <c r="O1687" s="74" t="b">
        <v>1</v>
      </c>
    </row>
    <row r="1688" hidden="1">
      <c r="A1688" s="82"/>
      <c r="B1688" s="65" t="s">
        <v>495</v>
      </c>
      <c r="C1688" s="65" t="s">
        <v>121</v>
      </c>
      <c r="D1688" s="65" t="str">
        <f>vlookup(C1688,'Classificação p pessoal'!F:G,2,false)</f>
        <v>NP</v>
      </c>
      <c r="E1688" s="65" t="s">
        <v>1024</v>
      </c>
      <c r="F1688" s="83">
        <v>0.4583333333333333</v>
      </c>
      <c r="G1688" s="83">
        <v>0.4826388888888889</v>
      </c>
      <c r="H1688" s="83">
        <v>0.024305555555555556</v>
      </c>
      <c r="I1688" s="84">
        <v>44312.0</v>
      </c>
      <c r="J1688" s="65" t="b">
        <v>1</v>
      </c>
      <c r="K1688" s="65"/>
      <c r="L1688" s="85" t="b">
        <f>IF(VLOOKUP(C1688,Projetos!A:L,12,false)=TRUE,TRUE,FALSE)</f>
        <v>1</v>
      </c>
      <c r="M1688" s="74">
        <v>73.7079846079846</v>
      </c>
      <c r="N1688" s="74">
        <f t="shared" si="1"/>
        <v>42.99632435</v>
      </c>
      <c r="O1688" s="74" t="b">
        <v>1</v>
      </c>
    </row>
    <row r="1689" hidden="1">
      <c r="A1689" s="82"/>
      <c r="B1689" s="65" t="s">
        <v>495</v>
      </c>
      <c r="C1689" s="65" t="s">
        <v>130</v>
      </c>
      <c r="D1689" s="65"/>
      <c r="E1689" s="65" t="s">
        <v>1025</v>
      </c>
      <c r="F1689" s="83">
        <v>0.4895833333333333</v>
      </c>
      <c r="G1689" s="83">
        <v>0.5763888888888888</v>
      </c>
      <c r="H1689" s="83">
        <v>0.08680555555555555</v>
      </c>
      <c r="I1689" s="84">
        <v>44312.0</v>
      </c>
      <c r="J1689" s="65" t="b">
        <v>0</v>
      </c>
      <c r="K1689" s="65" t="s">
        <v>150</v>
      </c>
      <c r="L1689" s="85" t="b">
        <f>IF(VLOOKUP(C1689,Projetos!A:L,12,false)=TRUE,TRUE,FALSE)</f>
        <v>1</v>
      </c>
      <c r="M1689" s="74">
        <v>73.7079846079846</v>
      </c>
      <c r="N1689" s="74">
        <f t="shared" si="1"/>
        <v>0</v>
      </c>
      <c r="O1689" s="74" t="b">
        <v>1</v>
      </c>
    </row>
    <row r="1690" hidden="1">
      <c r="A1690" s="82"/>
      <c r="B1690" s="65" t="s">
        <v>495</v>
      </c>
      <c r="C1690" s="65" t="s">
        <v>92</v>
      </c>
      <c r="D1690" s="65" t="str">
        <f>vlookup(C1690,'Classificação p pessoal'!F:G,2,false)</f>
        <v/>
      </c>
      <c r="E1690" s="65" t="s">
        <v>834</v>
      </c>
      <c r="F1690" s="83">
        <v>0.6180555555555556</v>
      </c>
      <c r="G1690" s="83">
        <v>0.6666666666666666</v>
      </c>
      <c r="H1690" s="83">
        <v>0.04861111111111111</v>
      </c>
      <c r="I1690" s="84">
        <v>44312.0</v>
      </c>
      <c r="J1690" s="65" t="b">
        <v>1</v>
      </c>
      <c r="K1690" s="65"/>
      <c r="L1690" s="85" t="b">
        <f>IF(VLOOKUP(C1690,Projetos!A:L,12,false)=TRUE,TRUE,FALSE)</f>
        <v>1</v>
      </c>
      <c r="M1690" s="74">
        <v>73.7079846079846</v>
      </c>
      <c r="N1690" s="74">
        <f t="shared" si="1"/>
        <v>85.99264871</v>
      </c>
      <c r="O1690" s="74" t="b">
        <v>1</v>
      </c>
    </row>
    <row r="1691" hidden="1">
      <c r="A1691" s="82"/>
      <c r="B1691" s="65" t="s">
        <v>495</v>
      </c>
      <c r="C1691" s="65" t="s">
        <v>92</v>
      </c>
      <c r="D1691" s="65" t="str">
        <f>vlookup(C1691,'Classificação p pessoal'!F:G,2,false)</f>
        <v/>
      </c>
      <c r="E1691" s="65" t="s">
        <v>1026</v>
      </c>
      <c r="F1691" s="83">
        <v>0.6666666666666666</v>
      </c>
      <c r="G1691" s="83">
        <v>0.75</v>
      </c>
      <c r="H1691" s="83">
        <v>0.08333333333333333</v>
      </c>
      <c r="I1691" s="84">
        <v>44312.0</v>
      </c>
      <c r="J1691" s="65" t="b">
        <v>1</v>
      </c>
      <c r="K1691" s="65"/>
      <c r="L1691" s="85" t="b">
        <f>IF(VLOOKUP(C1691,Projetos!A:L,12,false)=TRUE,TRUE,FALSE)</f>
        <v>1</v>
      </c>
      <c r="M1691" s="74">
        <v>73.7079846079846</v>
      </c>
      <c r="N1691" s="74">
        <f t="shared" si="1"/>
        <v>147.4159692</v>
      </c>
      <c r="O1691" s="74" t="b">
        <v>1</v>
      </c>
    </row>
    <row r="1692" hidden="1">
      <c r="A1692" s="82"/>
      <c r="B1692" s="65" t="s">
        <v>495</v>
      </c>
      <c r="C1692" s="65" t="s">
        <v>92</v>
      </c>
      <c r="D1692" s="65" t="str">
        <f>vlookup(C1692,'Classificação p pessoal'!F:G,2,false)</f>
        <v/>
      </c>
      <c r="E1692" s="65" t="s">
        <v>1027</v>
      </c>
      <c r="F1692" s="83">
        <v>0.34375</v>
      </c>
      <c r="G1692" s="83">
        <v>0.375</v>
      </c>
      <c r="H1692" s="83">
        <v>0.03125</v>
      </c>
      <c r="I1692" s="84">
        <v>44313.0</v>
      </c>
      <c r="J1692" s="65" t="b">
        <v>1</v>
      </c>
      <c r="K1692" s="65"/>
      <c r="L1692" s="85" t="b">
        <f>IF(VLOOKUP(C1692,Projetos!A:L,12,false)=TRUE,TRUE,FALSE)</f>
        <v>1</v>
      </c>
      <c r="M1692" s="74">
        <v>73.7079846079846</v>
      </c>
      <c r="N1692" s="74">
        <f t="shared" si="1"/>
        <v>55.28098846</v>
      </c>
      <c r="O1692" s="74" t="b">
        <v>1</v>
      </c>
    </row>
    <row r="1693" hidden="1">
      <c r="A1693" s="82"/>
      <c r="B1693" s="65" t="s">
        <v>495</v>
      </c>
      <c r="C1693" s="65" t="s">
        <v>92</v>
      </c>
      <c r="D1693" s="65" t="str">
        <f>vlookup(C1693,'Classificação p pessoal'!F:G,2,false)</f>
        <v/>
      </c>
      <c r="E1693" s="65" t="s">
        <v>963</v>
      </c>
      <c r="F1693" s="83">
        <v>0.3958333333333333</v>
      </c>
      <c r="G1693" s="83">
        <v>0.4375</v>
      </c>
      <c r="H1693" s="83">
        <v>0.041666666666666664</v>
      </c>
      <c r="I1693" s="84">
        <v>44313.0</v>
      </c>
      <c r="J1693" s="65" t="b">
        <v>1</v>
      </c>
      <c r="K1693" s="65"/>
      <c r="L1693" s="85" t="b">
        <f>IF(VLOOKUP(C1693,Projetos!A:L,12,false)=TRUE,TRUE,FALSE)</f>
        <v>1</v>
      </c>
      <c r="M1693" s="74">
        <v>73.7079846079846</v>
      </c>
      <c r="N1693" s="74">
        <f t="shared" si="1"/>
        <v>73.70798461</v>
      </c>
      <c r="O1693" s="74" t="b">
        <v>1</v>
      </c>
    </row>
    <row r="1694" hidden="1">
      <c r="A1694" s="82"/>
      <c r="B1694" s="65" t="s">
        <v>495</v>
      </c>
      <c r="C1694" s="65" t="s">
        <v>92</v>
      </c>
      <c r="D1694" s="65" t="str">
        <f>vlookup(C1694,'Classificação p pessoal'!F:G,2,false)</f>
        <v/>
      </c>
      <c r="E1694" s="65" t="s">
        <v>1028</v>
      </c>
      <c r="F1694" s="83">
        <v>0.4375</v>
      </c>
      <c r="G1694" s="83">
        <v>0.5</v>
      </c>
      <c r="H1694" s="83">
        <v>0.0625</v>
      </c>
      <c r="I1694" s="84">
        <v>44313.0</v>
      </c>
      <c r="J1694" s="65" t="b">
        <v>1</v>
      </c>
      <c r="K1694" s="65"/>
      <c r="L1694" s="85" t="b">
        <f>IF(VLOOKUP(C1694,Projetos!A:L,12,false)=TRUE,TRUE,FALSE)</f>
        <v>1</v>
      </c>
      <c r="M1694" s="74">
        <v>73.7079846079846</v>
      </c>
      <c r="N1694" s="74">
        <f t="shared" si="1"/>
        <v>110.5619769</v>
      </c>
      <c r="O1694" s="74" t="b">
        <v>1</v>
      </c>
    </row>
    <row r="1695" hidden="1">
      <c r="A1695" s="82"/>
      <c r="B1695" s="65" t="s">
        <v>495</v>
      </c>
      <c r="C1695" s="65" t="s">
        <v>92</v>
      </c>
      <c r="D1695" s="65" t="str">
        <f>vlookup(C1695,'Classificação p pessoal'!F:G,2,false)</f>
        <v/>
      </c>
      <c r="E1695" s="65" t="s">
        <v>1029</v>
      </c>
      <c r="F1695" s="83">
        <v>0.5</v>
      </c>
      <c r="G1695" s="83">
        <v>0.5729166666666666</v>
      </c>
      <c r="H1695" s="83">
        <v>0.07291666666666667</v>
      </c>
      <c r="I1695" s="84">
        <v>44313.0</v>
      </c>
      <c r="J1695" s="65" t="b">
        <v>1</v>
      </c>
      <c r="K1695" s="65"/>
      <c r="L1695" s="85" t="b">
        <f>IF(VLOOKUP(C1695,Projetos!A:L,12,false)=TRUE,TRUE,FALSE)</f>
        <v>1</v>
      </c>
      <c r="M1695" s="74">
        <v>73.7079846079846</v>
      </c>
      <c r="N1695" s="74">
        <f t="shared" si="1"/>
        <v>128.9889731</v>
      </c>
      <c r="O1695" s="74" t="b">
        <v>1</v>
      </c>
    </row>
    <row r="1696" hidden="1">
      <c r="A1696" s="82"/>
      <c r="B1696" s="65" t="s">
        <v>495</v>
      </c>
      <c r="C1696" s="65" t="s">
        <v>92</v>
      </c>
      <c r="D1696" s="65" t="str">
        <f>vlookup(C1696,'Classificação p pessoal'!F:G,2,false)</f>
        <v/>
      </c>
      <c r="E1696" s="65" t="s">
        <v>1030</v>
      </c>
      <c r="F1696" s="83">
        <v>0.6145833333333334</v>
      </c>
      <c r="G1696" s="83">
        <v>0.6805555555555556</v>
      </c>
      <c r="H1696" s="83">
        <v>0.06597222222222222</v>
      </c>
      <c r="I1696" s="84">
        <v>44313.0</v>
      </c>
      <c r="J1696" s="65" t="b">
        <v>1</v>
      </c>
      <c r="K1696" s="65"/>
      <c r="L1696" s="85" t="b">
        <f>IF(VLOOKUP(C1696,Projetos!A:L,12,false)=TRUE,TRUE,FALSE)</f>
        <v>1</v>
      </c>
      <c r="M1696" s="74">
        <v>73.7079846079846</v>
      </c>
      <c r="N1696" s="74">
        <f t="shared" si="1"/>
        <v>116.704309</v>
      </c>
      <c r="O1696" s="74" t="b">
        <v>1</v>
      </c>
    </row>
    <row r="1697" hidden="1">
      <c r="A1697" s="82"/>
      <c r="B1697" s="65" t="s">
        <v>495</v>
      </c>
      <c r="C1697" s="65" t="s">
        <v>92</v>
      </c>
      <c r="D1697" s="65" t="str">
        <f>vlookup(C1697,'Classificação p pessoal'!F:G,2,false)</f>
        <v/>
      </c>
      <c r="E1697" s="65" t="s">
        <v>1031</v>
      </c>
      <c r="F1697" s="83">
        <v>0.6805555555555556</v>
      </c>
      <c r="G1697" s="83">
        <v>0.75</v>
      </c>
      <c r="H1697" s="83">
        <v>0.06944444444444445</v>
      </c>
      <c r="I1697" s="84">
        <v>44313.0</v>
      </c>
      <c r="J1697" s="65" t="b">
        <v>1</v>
      </c>
      <c r="K1697" s="65"/>
      <c r="L1697" s="85" t="b">
        <f>IF(VLOOKUP(C1697,Projetos!A:L,12,false)=TRUE,TRUE,FALSE)</f>
        <v>1</v>
      </c>
      <c r="M1697" s="74">
        <v>73.7079846079846</v>
      </c>
      <c r="N1697" s="74">
        <f t="shared" si="1"/>
        <v>122.846641</v>
      </c>
      <c r="O1697" s="74" t="b">
        <v>1</v>
      </c>
    </row>
    <row r="1698" hidden="1">
      <c r="A1698" s="82"/>
      <c r="B1698" s="65" t="s">
        <v>495</v>
      </c>
      <c r="C1698" s="65" t="s">
        <v>92</v>
      </c>
      <c r="D1698" s="65" t="str">
        <f>vlookup(C1698,'Classificação p pessoal'!F:G,2,false)</f>
        <v/>
      </c>
      <c r="E1698" s="65" t="s">
        <v>1032</v>
      </c>
      <c r="F1698" s="83">
        <v>0.3854166666666667</v>
      </c>
      <c r="G1698" s="83">
        <v>0.5763888888888888</v>
      </c>
      <c r="H1698" s="83">
        <v>0.1909722222222222</v>
      </c>
      <c r="I1698" s="84">
        <v>44344.0</v>
      </c>
      <c r="J1698" s="65" t="b">
        <v>1</v>
      </c>
      <c r="K1698" s="65"/>
      <c r="L1698" s="85" t="b">
        <f>IF(VLOOKUP(C1698,Projetos!A:L,12,false)=TRUE,TRUE,FALSE)</f>
        <v>1</v>
      </c>
      <c r="M1698" s="74">
        <v>73.7079846079846</v>
      </c>
      <c r="N1698" s="74">
        <f t="shared" si="1"/>
        <v>337.8282628</v>
      </c>
      <c r="O1698" s="74" t="b">
        <v>1</v>
      </c>
    </row>
    <row r="1699" hidden="1">
      <c r="A1699" s="82"/>
      <c r="B1699" s="65" t="s">
        <v>495</v>
      </c>
      <c r="C1699" s="65" t="s">
        <v>92</v>
      </c>
      <c r="D1699" s="65" t="str">
        <f>vlookup(C1699,'Classificação p pessoal'!F:G,2,false)</f>
        <v/>
      </c>
      <c r="E1699" s="65" t="s">
        <v>1031</v>
      </c>
      <c r="F1699" s="83">
        <v>0.6180555555555556</v>
      </c>
      <c r="G1699" s="83">
        <v>0.75</v>
      </c>
      <c r="H1699" s="83">
        <v>0.13194444444444445</v>
      </c>
      <c r="I1699" s="84">
        <v>44344.0</v>
      </c>
      <c r="J1699" s="65" t="b">
        <v>1</v>
      </c>
      <c r="K1699" s="65"/>
      <c r="L1699" s="85" t="b">
        <f>IF(VLOOKUP(C1699,Projetos!A:L,12,false)=TRUE,TRUE,FALSE)</f>
        <v>1</v>
      </c>
      <c r="M1699" s="74">
        <v>73.7079846079846</v>
      </c>
      <c r="N1699" s="74">
        <f t="shared" si="1"/>
        <v>233.4086179</v>
      </c>
      <c r="O1699" s="74" t="b">
        <v>1</v>
      </c>
    </row>
    <row r="1700" hidden="1">
      <c r="A1700" s="82"/>
      <c r="B1700" s="65" t="s">
        <v>495</v>
      </c>
      <c r="C1700" s="65" t="s">
        <v>117</v>
      </c>
      <c r="D1700" s="65" t="str">
        <f>vlookup(C1700,'Classificação p pessoal'!F:G,2,false)</f>
        <v>NP</v>
      </c>
      <c r="E1700" s="65" t="s">
        <v>1033</v>
      </c>
      <c r="F1700" s="83">
        <v>0.3541666666666667</v>
      </c>
      <c r="G1700" s="83">
        <v>0.375</v>
      </c>
      <c r="H1700" s="83">
        <v>0.020833333333333332</v>
      </c>
      <c r="I1700" s="84">
        <v>44347.0</v>
      </c>
      <c r="J1700" s="65" t="b">
        <v>1</v>
      </c>
      <c r="K1700" s="65"/>
      <c r="L1700" s="85" t="b">
        <f>IF(VLOOKUP(C1700,Projetos!A:L,12,false)=TRUE,TRUE,FALSE)</f>
        <v>1</v>
      </c>
      <c r="M1700" s="74">
        <v>73.7079846079846</v>
      </c>
      <c r="N1700" s="74">
        <f t="shared" si="1"/>
        <v>36.8539923</v>
      </c>
      <c r="O1700" s="74" t="b">
        <v>1</v>
      </c>
    </row>
    <row r="1701" hidden="1">
      <c r="A1701" s="82"/>
      <c r="B1701" s="65" t="s">
        <v>495</v>
      </c>
      <c r="C1701" s="65" t="s">
        <v>92</v>
      </c>
      <c r="D1701" s="65" t="str">
        <f>vlookup(C1701,'Classificação p pessoal'!F:G,2,false)</f>
        <v/>
      </c>
      <c r="E1701" s="65" t="s">
        <v>1034</v>
      </c>
      <c r="F1701" s="83">
        <v>0.375</v>
      </c>
      <c r="G1701" s="83">
        <v>0.4791666666666667</v>
      </c>
      <c r="H1701" s="83">
        <v>0.10416666666666667</v>
      </c>
      <c r="I1701" s="84">
        <v>44347.0</v>
      </c>
      <c r="J1701" s="65" t="b">
        <v>1</v>
      </c>
      <c r="K1701" s="65"/>
      <c r="L1701" s="85" t="b">
        <f>IF(VLOOKUP(C1701,Projetos!A:L,12,false)=TRUE,TRUE,FALSE)</f>
        <v>1</v>
      </c>
      <c r="M1701" s="74">
        <v>73.7079846079846</v>
      </c>
      <c r="N1701" s="74">
        <f t="shared" si="1"/>
        <v>184.2699615</v>
      </c>
      <c r="O1701" s="74" t="b">
        <v>1</v>
      </c>
    </row>
    <row r="1702" hidden="1">
      <c r="A1702" s="82"/>
      <c r="B1702" s="65" t="s">
        <v>495</v>
      </c>
      <c r="C1702" s="65" t="s">
        <v>92</v>
      </c>
      <c r="D1702" s="65" t="str">
        <f>vlookup(C1702,'Classificação p pessoal'!F:G,2,false)</f>
        <v/>
      </c>
      <c r="E1702" s="65" t="s">
        <v>1035</v>
      </c>
      <c r="F1702" s="83">
        <v>0.4791666666666667</v>
      </c>
      <c r="G1702" s="83">
        <v>0.5069444444444444</v>
      </c>
      <c r="H1702" s="83">
        <v>0.027777777777777776</v>
      </c>
      <c r="I1702" s="84">
        <v>44347.0</v>
      </c>
      <c r="J1702" s="65" t="b">
        <v>1</v>
      </c>
      <c r="K1702" s="65"/>
      <c r="L1702" s="85" t="b">
        <f>IF(VLOOKUP(C1702,Projetos!A:L,12,false)=TRUE,TRUE,FALSE)</f>
        <v>1</v>
      </c>
      <c r="M1702" s="74">
        <v>73.7079846079846</v>
      </c>
      <c r="N1702" s="74">
        <f t="shared" si="1"/>
        <v>49.13865641</v>
      </c>
      <c r="O1702" s="74" t="b">
        <v>1</v>
      </c>
    </row>
    <row r="1703" hidden="1">
      <c r="A1703" s="82"/>
      <c r="B1703" s="65" t="s">
        <v>495</v>
      </c>
      <c r="C1703" s="65" t="s">
        <v>92</v>
      </c>
      <c r="D1703" s="65" t="str">
        <f>vlookup(C1703,'Classificação p pessoal'!F:G,2,false)</f>
        <v/>
      </c>
      <c r="E1703" s="65" t="s">
        <v>1031</v>
      </c>
      <c r="F1703" s="83">
        <v>0.5138888888888888</v>
      </c>
      <c r="G1703" s="83">
        <v>0.5555555555555556</v>
      </c>
      <c r="H1703" s="83">
        <v>0.041666666666666664</v>
      </c>
      <c r="I1703" s="84">
        <v>44347.0</v>
      </c>
      <c r="J1703" s="65" t="b">
        <v>1</v>
      </c>
      <c r="K1703" s="65"/>
      <c r="L1703" s="85" t="b">
        <f>IF(VLOOKUP(C1703,Projetos!A:L,12,false)=TRUE,TRUE,FALSE)</f>
        <v>1</v>
      </c>
      <c r="M1703" s="74">
        <v>73.7079846079846</v>
      </c>
      <c r="N1703" s="74">
        <f t="shared" si="1"/>
        <v>73.70798461</v>
      </c>
      <c r="O1703" s="74" t="b">
        <v>1</v>
      </c>
    </row>
    <row r="1704" hidden="1">
      <c r="A1704" s="82"/>
      <c r="B1704" s="65" t="s">
        <v>495</v>
      </c>
      <c r="C1704" s="65" t="s">
        <v>92</v>
      </c>
      <c r="D1704" s="65" t="str">
        <f>vlookup(C1704,'Classificação p pessoal'!F:G,2,false)</f>
        <v/>
      </c>
      <c r="E1704" s="65" t="s">
        <v>1031</v>
      </c>
      <c r="F1704" s="83">
        <v>0.6041666666666666</v>
      </c>
      <c r="G1704" s="83">
        <v>0.6666666666666666</v>
      </c>
      <c r="H1704" s="83">
        <v>0.0625</v>
      </c>
      <c r="I1704" s="84">
        <v>44347.0</v>
      </c>
      <c r="J1704" s="65" t="b">
        <v>1</v>
      </c>
      <c r="K1704" s="65"/>
      <c r="L1704" s="85" t="b">
        <f>IF(VLOOKUP(C1704,Projetos!A:L,12,false)=TRUE,TRUE,FALSE)</f>
        <v>1</v>
      </c>
      <c r="M1704" s="74">
        <v>73.7079846079846</v>
      </c>
      <c r="N1704" s="74">
        <f t="shared" si="1"/>
        <v>110.5619769</v>
      </c>
      <c r="O1704" s="74" t="b">
        <v>1</v>
      </c>
    </row>
    <row r="1705" hidden="1">
      <c r="A1705" s="82"/>
      <c r="B1705" s="65" t="s">
        <v>495</v>
      </c>
      <c r="C1705" s="65" t="s">
        <v>92</v>
      </c>
      <c r="D1705" s="65" t="str">
        <f>vlookup(C1705,'Classificação p pessoal'!F:G,2,false)</f>
        <v/>
      </c>
      <c r="E1705" s="65" t="s">
        <v>1032</v>
      </c>
      <c r="F1705" s="83">
        <v>0.6666666666666666</v>
      </c>
      <c r="G1705" s="83">
        <v>0.7291666666666666</v>
      </c>
      <c r="H1705" s="83">
        <v>0.0625</v>
      </c>
      <c r="I1705" s="84">
        <v>44347.0</v>
      </c>
      <c r="J1705" s="65" t="b">
        <v>1</v>
      </c>
      <c r="K1705" s="65"/>
      <c r="L1705" s="85" t="b">
        <f>IF(VLOOKUP(C1705,Projetos!A:L,12,false)=TRUE,TRUE,FALSE)</f>
        <v>1</v>
      </c>
      <c r="M1705" s="74">
        <v>73.7079846079846</v>
      </c>
      <c r="N1705" s="74">
        <f t="shared" si="1"/>
        <v>110.5619769</v>
      </c>
      <c r="O1705" s="74" t="b">
        <v>1</v>
      </c>
    </row>
    <row r="1706" hidden="1">
      <c r="A1706" s="82"/>
      <c r="B1706" s="65" t="s">
        <v>467</v>
      </c>
      <c r="C1706" s="65" t="s">
        <v>92</v>
      </c>
      <c r="D1706" s="65"/>
      <c r="E1706" s="65" t="s">
        <v>1036</v>
      </c>
      <c r="F1706" s="83">
        <v>0.625</v>
      </c>
      <c r="G1706" s="83">
        <v>0.6875</v>
      </c>
      <c r="H1706" s="83">
        <v>0.0625</v>
      </c>
      <c r="I1706" s="84">
        <v>44236.0</v>
      </c>
      <c r="J1706" s="65" t="b">
        <v>0</v>
      </c>
      <c r="K1706" s="65" t="s">
        <v>150</v>
      </c>
      <c r="L1706" s="85" t="b">
        <f>IF(VLOOKUP(C1706,Projetos!A:L,12,false)=TRUE,TRUE,FALSE)</f>
        <v>1</v>
      </c>
      <c r="M1706" s="74">
        <v>52.1518759018759</v>
      </c>
      <c r="N1706" s="74">
        <f t="shared" si="1"/>
        <v>0</v>
      </c>
      <c r="O1706" s="74" t="b">
        <v>1</v>
      </c>
    </row>
    <row r="1707" hidden="1">
      <c r="A1707" s="82"/>
      <c r="B1707" s="65" t="s">
        <v>495</v>
      </c>
      <c r="C1707" s="65" t="s">
        <v>92</v>
      </c>
      <c r="D1707" s="65" t="str">
        <f>vlookup(C1707,'Classificação p pessoal'!F:G,2,false)</f>
        <v/>
      </c>
      <c r="E1707" s="65" t="s">
        <v>834</v>
      </c>
      <c r="F1707" s="83">
        <v>0.3541666666666667</v>
      </c>
      <c r="G1707" s="83">
        <v>0.375</v>
      </c>
      <c r="H1707" s="83">
        <v>0.020833333333333332</v>
      </c>
      <c r="I1707" s="84">
        <v>44348.0</v>
      </c>
      <c r="J1707" s="65" t="b">
        <v>1</v>
      </c>
      <c r="K1707" s="65"/>
      <c r="L1707" s="85" t="b">
        <f>IF(VLOOKUP(C1707,Projetos!A:L,12,false)=TRUE,TRUE,FALSE)</f>
        <v>1</v>
      </c>
      <c r="M1707" s="74">
        <v>73.7079846079846</v>
      </c>
      <c r="N1707" s="74">
        <f t="shared" si="1"/>
        <v>36.8539923</v>
      </c>
      <c r="O1707" s="74" t="b">
        <v>1</v>
      </c>
    </row>
    <row r="1708" hidden="1">
      <c r="A1708" s="82"/>
      <c r="B1708" s="65" t="s">
        <v>495</v>
      </c>
      <c r="C1708" s="65" t="s">
        <v>92</v>
      </c>
      <c r="D1708" s="65" t="str">
        <f>vlookup(C1708,'Classificação p pessoal'!F:G,2,false)</f>
        <v/>
      </c>
      <c r="E1708" s="65" t="s">
        <v>1037</v>
      </c>
      <c r="F1708" s="83">
        <v>0.375</v>
      </c>
      <c r="G1708" s="83">
        <v>0.5625</v>
      </c>
      <c r="H1708" s="83">
        <v>0.1875</v>
      </c>
      <c r="I1708" s="84">
        <v>44348.0</v>
      </c>
      <c r="J1708" s="65" t="b">
        <v>1</v>
      </c>
      <c r="K1708" s="65"/>
      <c r="L1708" s="85" t="b">
        <f>IF(VLOOKUP(C1708,Projetos!A:L,12,false)=TRUE,TRUE,FALSE)</f>
        <v>1</v>
      </c>
      <c r="M1708" s="74">
        <v>73.7079846079846</v>
      </c>
      <c r="N1708" s="74">
        <f t="shared" si="1"/>
        <v>331.6859307</v>
      </c>
      <c r="O1708" s="74" t="b">
        <v>1</v>
      </c>
    </row>
    <row r="1709" hidden="1">
      <c r="A1709" s="82"/>
      <c r="B1709" s="65" t="s">
        <v>495</v>
      </c>
      <c r="C1709" s="65" t="s">
        <v>92</v>
      </c>
      <c r="D1709" s="65" t="str">
        <f>vlookup(C1709,'Classificação p pessoal'!F:G,2,false)</f>
        <v/>
      </c>
      <c r="E1709" s="65" t="s">
        <v>1037</v>
      </c>
      <c r="F1709" s="83">
        <v>0.6041666666666666</v>
      </c>
      <c r="G1709" s="83">
        <v>0.6666666666666666</v>
      </c>
      <c r="H1709" s="83">
        <v>0.0625</v>
      </c>
      <c r="I1709" s="84">
        <v>44348.0</v>
      </c>
      <c r="J1709" s="65" t="b">
        <v>1</v>
      </c>
      <c r="K1709" s="65"/>
      <c r="L1709" s="85" t="b">
        <f>IF(VLOOKUP(C1709,Projetos!A:L,12,false)=TRUE,TRUE,FALSE)</f>
        <v>1</v>
      </c>
      <c r="M1709" s="74">
        <v>73.7079846079846</v>
      </c>
      <c r="N1709" s="74">
        <f t="shared" si="1"/>
        <v>110.5619769</v>
      </c>
      <c r="O1709" s="74" t="b">
        <v>1</v>
      </c>
    </row>
    <row r="1710" hidden="1">
      <c r="A1710" s="82"/>
      <c r="B1710" s="65" t="s">
        <v>495</v>
      </c>
      <c r="C1710" s="65" t="s">
        <v>92</v>
      </c>
      <c r="D1710" s="65" t="str">
        <f>vlookup(C1710,'Classificação p pessoal'!F:G,2,false)</f>
        <v/>
      </c>
      <c r="E1710" s="65" t="s">
        <v>1038</v>
      </c>
      <c r="F1710" s="83">
        <v>0.6666666666666666</v>
      </c>
      <c r="G1710" s="83">
        <v>0.75</v>
      </c>
      <c r="H1710" s="83">
        <v>0.08333333333333333</v>
      </c>
      <c r="I1710" s="84">
        <v>44348.0</v>
      </c>
      <c r="J1710" s="65" t="b">
        <v>1</v>
      </c>
      <c r="K1710" s="65"/>
      <c r="L1710" s="85" t="b">
        <f>IF(VLOOKUP(C1710,Projetos!A:L,12,false)=TRUE,TRUE,FALSE)</f>
        <v>1</v>
      </c>
      <c r="M1710" s="74">
        <v>73.7079846079846</v>
      </c>
      <c r="N1710" s="74">
        <f t="shared" si="1"/>
        <v>147.4159692</v>
      </c>
      <c r="O1710" s="74" t="b">
        <v>1</v>
      </c>
    </row>
    <row r="1711" hidden="1">
      <c r="A1711" s="82"/>
      <c r="B1711" s="65" t="s">
        <v>495</v>
      </c>
      <c r="C1711" s="65" t="s">
        <v>92</v>
      </c>
      <c r="D1711" s="65" t="str">
        <f>vlookup(C1711,'Classificação p pessoal'!F:G,2,false)</f>
        <v/>
      </c>
      <c r="E1711" s="65" t="s">
        <v>1039</v>
      </c>
      <c r="F1711" s="83">
        <v>0.3541666666666667</v>
      </c>
      <c r="G1711" s="83">
        <v>0.375</v>
      </c>
      <c r="H1711" s="83">
        <v>0.020833333333333332</v>
      </c>
      <c r="I1711" s="84">
        <v>44349.0</v>
      </c>
      <c r="J1711" s="65" t="b">
        <v>1</v>
      </c>
      <c r="K1711" s="65"/>
      <c r="L1711" s="85" t="b">
        <f>IF(VLOOKUP(C1711,Projetos!A:L,12,false)=TRUE,TRUE,FALSE)</f>
        <v>1</v>
      </c>
      <c r="M1711" s="74">
        <v>73.7079846079846</v>
      </c>
      <c r="N1711" s="74">
        <f t="shared" si="1"/>
        <v>36.8539923</v>
      </c>
      <c r="O1711" s="74" t="b">
        <v>1</v>
      </c>
    </row>
    <row r="1712" hidden="1">
      <c r="A1712" s="82"/>
      <c r="B1712" s="65" t="s">
        <v>495</v>
      </c>
      <c r="C1712" s="65" t="s">
        <v>92</v>
      </c>
      <c r="D1712" s="65"/>
      <c r="E1712" s="65" t="s">
        <v>1040</v>
      </c>
      <c r="F1712" s="83">
        <v>0.375</v>
      </c>
      <c r="G1712" s="83">
        <v>0.3958333333333333</v>
      </c>
      <c r="H1712" s="83">
        <v>0.020833333333333332</v>
      </c>
      <c r="I1712" s="84">
        <v>44349.0</v>
      </c>
      <c r="J1712" s="65" t="b">
        <v>0</v>
      </c>
      <c r="K1712" s="65" t="s">
        <v>150</v>
      </c>
      <c r="L1712" s="85" t="b">
        <f>IF(VLOOKUP(C1712,Projetos!A:L,12,false)=TRUE,TRUE,FALSE)</f>
        <v>1</v>
      </c>
      <c r="M1712" s="74">
        <v>73.7079846079846</v>
      </c>
      <c r="N1712" s="74">
        <f t="shared" si="1"/>
        <v>0</v>
      </c>
      <c r="O1712" s="74" t="b">
        <v>1</v>
      </c>
    </row>
    <row r="1713">
      <c r="A1713" s="82"/>
      <c r="B1713" s="65" t="s">
        <v>495</v>
      </c>
      <c r="C1713" s="65" t="s">
        <v>108</v>
      </c>
      <c r="D1713" s="65" t="str">
        <f>vlookup(C1713,'Classificação p pessoal'!F:G,2,false)</f>
        <v>NP</v>
      </c>
      <c r="E1713" s="65" t="s">
        <v>1041</v>
      </c>
      <c r="F1713" s="83">
        <v>0.3958333333333333</v>
      </c>
      <c r="G1713" s="83">
        <v>0.4270833333333333</v>
      </c>
      <c r="H1713" s="83">
        <v>0.03125</v>
      </c>
      <c r="I1713" s="84">
        <v>44349.0</v>
      </c>
      <c r="J1713" s="65" t="b">
        <v>1</v>
      </c>
      <c r="K1713" s="65"/>
      <c r="L1713" s="85" t="b">
        <f>IF(VLOOKUP(C1713,Projetos!A:L,12,false)=TRUE,TRUE,FALSE)</f>
        <v>1</v>
      </c>
      <c r="M1713" s="74">
        <v>73.7079846079846</v>
      </c>
      <c r="N1713" s="74">
        <f t="shared" si="1"/>
        <v>55.28098846</v>
      </c>
      <c r="O1713" s="74" t="b">
        <v>1</v>
      </c>
    </row>
    <row r="1714" hidden="1">
      <c r="A1714" s="82"/>
      <c r="B1714" s="65" t="s">
        <v>495</v>
      </c>
      <c r="C1714" s="65" t="s">
        <v>92</v>
      </c>
      <c r="D1714" s="65" t="str">
        <f>vlookup(C1714,'Classificação p pessoal'!F:G,2,false)</f>
        <v/>
      </c>
      <c r="E1714" s="65" t="s">
        <v>1038</v>
      </c>
      <c r="F1714" s="83">
        <v>0.4270833333333333</v>
      </c>
      <c r="G1714" s="83">
        <v>0.5416666666666666</v>
      </c>
      <c r="H1714" s="83">
        <v>0.11458333333333333</v>
      </c>
      <c r="I1714" s="84">
        <v>44349.0</v>
      </c>
      <c r="J1714" s="65" t="b">
        <v>1</v>
      </c>
      <c r="K1714" s="65"/>
      <c r="L1714" s="85" t="b">
        <f>IF(VLOOKUP(C1714,Projetos!A:L,12,false)=TRUE,TRUE,FALSE)</f>
        <v>1</v>
      </c>
      <c r="M1714" s="74">
        <v>73.7079846079846</v>
      </c>
      <c r="N1714" s="74">
        <f t="shared" si="1"/>
        <v>202.6969577</v>
      </c>
      <c r="O1714" s="74" t="b">
        <v>1</v>
      </c>
    </row>
    <row r="1715" hidden="1">
      <c r="A1715" s="82"/>
      <c r="B1715" s="65" t="s">
        <v>495</v>
      </c>
      <c r="C1715" s="65" t="s">
        <v>92</v>
      </c>
      <c r="D1715" s="65" t="str">
        <f>vlookup(C1715,'Classificação p pessoal'!F:G,2,false)</f>
        <v/>
      </c>
      <c r="E1715" s="65" t="s">
        <v>834</v>
      </c>
      <c r="F1715" s="83">
        <v>0.6770833333333334</v>
      </c>
      <c r="G1715" s="83">
        <v>0.75</v>
      </c>
      <c r="H1715" s="83">
        <v>0.07291666666666667</v>
      </c>
      <c r="I1715" s="84">
        <v>44349.0</v>
      </c>
      <c r="J1715" s="65" t="b">
        <v>1</v>
      </c>
      <c r="K1715" s="65"/>
      <c r="L1715" s="85" t="b">
        <f>IF(VLOOKUP(C1715,Projetos!A:L,12,false)=TRUE,TRUE,FALSE)</f>
        <v>1</v>
      </c>
      <c r="M1715" s="74">
        <v>73.7079846079846</v>
      </c>
      <c r="N1715" s="74">
        <f t="shared" si="1"/>
        <v>128.9889731</v>
      </c>
      <c r="O1715" s="74" t="b">
        <v>1</v>
      </c>
    </row>
    <row r="1716" hidden="1">
      <c r="A1716" s="82"/>
      <c r="B1716" s="65" t="s">
        <v>495</v>
      </c>
      <c r="C1716" s="65" t="s">
        <v>92</v>
      </c>
      <c r="D1716" s="65" t="str">
        <f>vlookup(C1716,'Classificação p pessoal'!F:G,2,false)</f>
        <v/>
      </c>
      <c r="E1716" s="65" t="s">
        <v>1039</v>
      </c>
      <c r="F1716" s="83">
        <v>0.34375</v>
      </c>
      <c r="G1716" s="83">
        <v>0.375</v>
      </c>
      <c r="H1716" s="83">
        <v>0.03125</v>
      </c>
      <c r="I1716" s="84">
        <v>44354.0</v>
      </c>
      <c r="J1716" s="65" t="b">
        <v>1</v>
      </c>
      <c r="K1716" s="65"/>
      <c r="L1716" s="85" t="b">
        <f>IF(VLOOKUP(C1716,Projetos!A:L,12,false)=TRUE,TRUE,FALSE)</f>
        <v>1</v>
      </c>
      <c r="M1716" s="74">
        <v>73.7079846079846</v>
      </c>
      <c r="N1716" s="74">
        <f t="shared" si="1"/>
        <v>55.28098846</v>
      </c>
      <c r="O1716" s="74" t="b">
        <v>1</v>
      </c>
    </row>
    <row r="1717" hidden="1">
      <c r="A1717" s="82"/>
      <c r="B1717" s="65" t="s">
        <v>495</v>
      </c>
      <c r="C1717" s="65" t="s">
        <v>92</v>
      </c>
      <c r="D1717" s="65" t="str">
        <f>vlookup(C1717,'Classificação p pessoal'!F:G,2,false)</f>
        <v/>
      </c>
      <c r="E1717" s="65" t="s">
        <v>1042</v>
      </c>
      <c r="F1717" s="83">
        <v>0.375</v>
      </c>
      <c r="G1717" s="83">
        <v>0.4166666666666667</v>
      </c>
      <c r="H1717" s="83">
        <v>0.041666666666666664</v>
      </c>
      <c r="I1717" s="84">
        <v>44354.0</v>
      </c>
      <c r="J1717" s="65" t="b">
        <v>1</v>
      </c>
      <c r="K1717" s="65"/>
      <c r="L1717" s="85" t="b">
        <f>IF(VLOOKUP(C1717,Projetos!A:L,12,false)=TRUE,TRUE,FALSE)</f>
        <v>1</v>
      </c>
      <c r="M1717" s="74">
        <v>73.7079846079846</v>
      </c>
      <c r="N1717" s="74">
        <f t="shared" si="1"/>
        <v>73.70798461</v>
      </c>
      <c r="O1717" s="74" t="b">
        <v>1</v>
      </c>
    </row>
    <row r="1718" hidden="1">
      <c r="A1718" s="82"/>
      <c r="B1718" s="65" t="s">
        <v>495</v>
      </c>
      <c r="C1718" s="65" t="s">
        <v>92</v>
      </c>
      <c r="D1718" s="65" t="str">
        <f>vlookup(C1718,'Classificação p pessoal'!F:G,2,false)</f>
        <v/>
      </c>
      <c r="E1718" s="65" t="s">
        <v>834</v>
      </c>
      <c r="F1718" s="83">
        <v>0.4166666666666667</v>
      </c>
      <c r="G1718" s="83">
        <v>0.4791666666666667</v>
      </c>
      <c r="H1718" s="83">
        <v>0.0625</v>
      </c>
      <c r="I1718" s="84">
        <v>44354.0</v>
      </c>
      <c r="J1718" s="65" t="b">
        <v>1</v>
      </c>
      <c r="K1718" s="65"/>
      <c r="L1718" s="85" t="b">
        <f>IF(VLOOKUP(C1718,Projetos!A:L,12,false)=TRUE,TRUE,FALSE)</f>
        <v>1</v>
      </c>
      <c r="M1718" s="74">
        <v>73.7079846079846</v>
      </c>
      <c r="N1718" s="74">
        <f t="shared" si="1"/>
        <v>110.5619769</v>
      </c>
      <c r="O1718" s="74" t="b">
        <v>1</v>
      </c>
    </row>
    <row r="1719" hidden="1">
      <c r="A1719" s="82"/>
      <c r="B1719" s="65" t="s">
        <v>495</v>
      </c>
      <c r="C1719" s="65" t="s">
        <v>92</v>
      </c>
      <c r="D1719" s="65" t="str">
        <f>vlookup(C1719,'Classificação p pessoal'!F:G,2,false)</f>
        <v/>
      </c>
      <c r="E1719" s="65" t="s">
        <v>1043</v>
      </c>
      <c r="F1719" s="83">
        <v>0.4791666666666667</v>
      </c>
      <c r="G1719" s="83">
        <v>0.5694444444444444</v>
      </c>
      <c r="H1719" s="83">
        <v>0.09027777777777778</v>
      </c>
      <c r="I1719" s="84">
        <v>44354.0</v>
      </c>
      <c r="J1719" s="65" t="b">
        <v>1</v>
      </c>
      <c r="K1719" s="65"/>
      <c r="L1719" s="85" t="b">
        <f>IF(VLOOKUP(C1719,Projetos!A:L,12,false)=TRUE,TRUE,FALSE)</f>
        <v>1</v>
      </c>
      <c r="M1719" s="74">
        <v>73.7079846079846</v>
      </c>
      <c r="N1719" s="74">
        <f t="shared" si="1"/>
        <v>159.7006333</v>
      </c>
      <c r="O1719" s="74" t="b">
        <v>1</v>
      </c>
    </row>
    <row r="1720" hidden="1">
      <c r="A1720" s="82"/>
      <c r="B1720" s="65" t="s">
        <v>495</v>
      </c>
      <c r="C1720" s="65" t="s">
        <v>92</v>
      </c>
      <c r="D1720" s="65" t="str">
        <f>vlookup(C1720,'Classificação p pessoal'!F:G,2,false)</f>
        <v/>
      </c>
      <c r="E1720" s="65" t="s">
        <v>1044</v>
      </c>
      <c r="F1720" s="83">
        <v>0.6111111111111112</v>
      </c>
      <c r="G1720" s="83">
        <v>0.6458333333333334</v>
      </c>
      <c r="H1720" s="83">
        <v>0.034722222222222224</v>
      </c>
      <c r="I1720" s="84">
        <v>44354.0</v>
      </c>
      <c r="J1720" s="65" t="b">
        <v>1</v>
      </c>
      <c r="K1720" s="65"/>
      <c r="L1720" s="85" t="b">
        <f>IF(VLOOKUP(C1720,Projetos!A:L,12,false)=TRUE,TRUE,FALSE)</f>
        <v>1</v>
      </c>
      <c r="M1720" s="74">
        <v>73.7079846079846</v>
      </c>
      <c r="N1720" s="74">
        <f t="shared" si="1"/>
        <v>61.42332051</v>
      </c>
      <c r="O1720" s="74" t="b">
        <v>1</v>
      </c>
    </row>
    <row r="1721" hidden="1">
      <c r="A1721" s="82"/>
      <c r="B1721" s="65" t="s">
        <v>495</v>
      </c>
      <c r="C1721" s="65" t="s">
        <v>92</v>
      </c>
      <c r="D1721" s="65" t="str">
        <f>vlookup(C1721,'Classificação p pessoal'!F:G,2,false)</f>
        <v/>
      </c>
      <c r="E1721" s="65" t="s">
        <v>1045</v>
      </c>
      <c r="F1721" s="83">
        <v>0.6458333333333334</v>
      </c>
      <c r="G1721" s="83">
        <v>0.7083333333333334</v>
      </c>
      <c r="H1721" s="83">
        <v>0.0625</v>
      </c>
      <c r="I1721" s="84">
        <v>44354.0</v>
      </c>
      <c r="J1721" s="65" t="b">
        <v>1</v>
      </c>
      <c r="K1721" s="65"/>
      <c r="L1721" s="85" t="b">
        <f>IF(VLOOKUP(C1721,Projetos!A:L,12,false)=TRUE,TRUE,FALSE)</f>
        <v>1</v>
      </c>
      <c r="M1721" s="74">
        <v>73.7079846079846</v>
      </c>
      <c r="N1721" s="74">
        <f t="shared" si="1"/>
        <v>110.5619769</v>
      </c>
      <c r="O1721" s="74" t="b">
        <v>1</v>
      </c>
    </row>
    <row r="1722" hidden="1">
      <c r="A1722" s="82"/>
      <c r="B1722" s="65" t="s">
        <v>495</v>
      </c>
      <c r="C1722" s="65" t="s">
        <v>92</v>
      </c>
      <c r="D1722" s="65" t="str">
        <f>vlookup(C1722,'Classificação p pessoal'!F:G,2,false)</f>
        <v/>
      </c>
      <c r="E1722" s="65" t="s">
        <v>1046</v>
      </c>
      <c r="F1722" s="83">
        <v>0.3541666666666667</v>
      </c>
      <c r="G1722" s="83">
        <v>0.4166666666666667</v>
      </c>
      <c r="H1722" s="83">
        <v>0.0625</v>
      </c>
      <c r="I1722" s="84">
        <v>44355.0</v>
      </c>
      <c r="J1722" s="65" t="b">
        <v>1</v>
      </c>
      <c r="K1722" s="65"/>
      <c r="L1722" s="85" t="b">
        <f>IF(VLOOKUP(C1722,Projetos!A:L,12,false)=TRUE,TRUE,FALSE)</f>
        <v>1</v>
      </c>
      <c r="M1722" s="74">
        <v>73.7079846079846</v>
      </c>
      <c r="N1722" s="74">
        <f t="shared" si="1"/>
        <v>110.5619769</v>
      </c>
      <c r="O1722" s="74" t="b">
        <v>1</v>
      </c>
    </row>
    <row r="1723" hidden="1">
      <c r="A1723" s="82"/>
      <c r="B1723" s="65" t="s">
        <v>495</v>
      </c>
      <c r="C1723" s="65" t="s">
        <v>92</v>
      </c>
      <c r="D1723" s="65" t="str">
        <f>vlookup(C1723,'Classificação p pessoal'!F:G,2,false)</f>
        <v/>
      </c>
      <c r="E1723" s="65" t="s">
        <v>1047</v>
      </c>
      <c r="F1723" s="83">
        <v>0.4375</v>
      </c>
      <c r="G1723" s="83">
        <v>0.5</v>
      </c>
      <c r="H1723" s="83">
        <v>0.0625</v>
      </c>
      <c r="I1723" s="84">
        <v>44355.0</v>
      </c>
      <c r="J1723" s="65" t="b">
        <v>1</v>
      </c>
      <c r="K1723" s="65"/>
      <c r="L1723" s="85" t="b">
        <f>IF(VLOOKUP(C1723,Projetos!A:L,12,false)=TRUE,TRUE,FALSE)</f>
        <v>1</v>
      </c>
      <c r="M1723" s="74">
        <v>73.7079846079846</v>
      </c>
      <c r="N1723" s="74">
        <f t="shared" si="1"/>
        <v>110.5619769</v>
      </c>
      <c r="O1723" s="74" t="b">
        <v>1</v>
      </c>
    </row>
    <row r="1724" hidden="1">
      <c r="A1724" s="82"/>
      <c r="B1724" s="65" t="s">
        <v>495</v>
      </c>
      <c r="C1724" s="65" t="s">
        <v>130</v>
      </c>
      <c r="D1724" s="65"/>
      <c r="E1724" s="65" t="s">
        <v>1048</v>
      </c>
      <c r="F1724" s="83">
        <v>0.5</v>
      </c>
      <c r="G1724" s="83">
        <v>0.5729166666666666</v>
      </c>
      <c r="H1724" s="83">
        <v>0.07291666666666667</v>
      </c>
      <c r="I1724" s="84">
        <v>44355.0</v>
      </c>
      <c r="J1724" s="65" t="b">
        <v>0</v>
      </c>
      <c r="K1724" s="65" t="s">
        <v>150</v>
      </c>
      <c r="L1724" s="85" t="b">
        <f>IF(VLOOKUP(C1724,Projetos!A:L,12,false)=TRUE,TRUE,FALSE)</f>
        <v>1</v>
      </c>
      <c r="M1724" s="74">
        <v>73.7079846079846</v>
      </c>
      <c r="N1724" s="74">
        <f t="shared" si="1"/>
        <v>0</v>
      </c>
      <c r="O1724" s="74" t="b">
        <v>1</v>
      </c>
    </row>
    <row r="1725" hidden="1">
      <c r="A1725" s="82"/>
      <c r="B1725" s="65" t="s">
        <v>495</v>
      </c>
      <c r="C1725" s="65" t="s">
        <v>130</v>
      </c>
      <c r="D1725" s="65"/>
      <c r="E1725" s="65" t="s">
        <v>1049</v>
      </c>
      <c r="F1725" s="83">
        <v>0.6145833333333334</v>
      </c>
      <c r="G1725" s="83">
        <v>0.6770833333333334</v>
      </c>
      <c r="H1725" s="83">
        <v>0.0625</v>
      </c>
      <c r="I1725" s="84">
        <v>44355.0</v>
      </c>
      <c r="J1725" s="65" t="b">
        <v>0</v>
      </c>
      <c r="K1725" s="65" t="s">
        <v>150</v>
      </c>
      <c r="L1725" s="85" t="b">
        <f>IF(VLOOKUP(C1725,Projetos!A:L,12,false)=TRUE,TRUE,FALSE)</f>
        <v>1</v>
      </c>
      <c r="M1725" s="74">
        <v>73.7079846079846</v>
      </c>
      <c r="N1725" s="74">
        <f t="shared" si="1"/>
        <v>0</v>
      </c>
      <c r="O1725" s="74" t="b">
        <v>1</v>
      </c>
    </row>
    <row r="1726">
      <c r="A1726" s="82"/>
      <c r="B1726" s="65" t="s">
        <v>495</v>
      </c>
      <c r="C1726" s="65" t="s">
        <v>108</v>
      </c>
      <c r="D1726" s="65" t="str">
        <f>vlookup(C1726,'Classificação p pessoal'!F:G,2,false)</f>
        <v>NP</v>
      </c>
      <c r="E1726" s="65" t="s">
        <v>1050</v>
      </c>
      <c r="F1726" s="83">
        <v>0.34375</v>
      </c>
      <c r="G1726" s="83">
        <v>0.4583333333333333</v>
      </c>
      <c r="H1726" s="83">
        <v>0.11458333333333333</v>
      </c>
      <c r="I1726" s="84">
        <v>44356.0</v>
      </c>
      <c r="J1726" s="65" t="b">
        <v>1</v>
      </c>
      <c r="K1726" s="65"/>
      <c r="L1726" s="85" t="b">
        <f>IF(VLOOKUP(C1726,Projetos!A:L,12,false)=TRUE,TRUE,FALSE)</f>
        <v>1</v>
      </c>
      <c r="M1726" s="74">
        <v>73.7079846079846</v>
      </c>
      <c r="N1726" s="74">
        <f t="shared" si="1"/>
        <v>202.6969577</v>
      </c>
      <c r="O1726" s="74" t="b">
        <v>1</v>
      </c>
    </row>
    <row r="1727" hidden="1">
      <c r="A1727" s="82"/>
      <c r="B1727" s="65" t="s">
        <v>495</v>
      </c>
      <c r="C1727" s="65" t="s">
        <v>92</v>
      </c>
      <c r="D1727" s="65" t="str">
        <f>vlookup(C1727,'Classificação p pessoal'!F:G,2,false)</f>
        <v/>
      </c>
      <c r="E1727" s="65" t="s">
        <v>834</v>
      </c>
      <c r="F1727" s="83">
        <v>0.4583333333333333</v>
      </c>
      <c r="G1727" s="83">
        <v>0.5</v>
      </c>
      <c r="H1727" s="83">
        <v>0.041666666666666664</v>
      </c>
      <c r="I1727" s="84">
        <v>44356.0</v>
      </c>
      <c r="J1727" s="65" t="b">
        <v>1</v>
      </c>
      <c r="K1727" s="65"/>
      <c r="L1727" s="85" t="b">
        <f>IF(VLOOKUP(C1727,Projetos!A:L,12,false)=TRUE,TRUE,FALSE)</f>
        <v>1</v>
      </c>
      <c r="M1727" s="74">
        <v>73.7079846079846</v>
      </c>
      <c r="N1727" s="74">
        <f t="shared" si="1"/>
        <v>73.70798461</v>
      </c>
      <c r="O1727" s="74" t="b">
        <v>1</v>
      </c>
    </row>
    <row r="1728" hidden="1">
      <c r="A1728" s="82"/>
      <c r="B1728" s="65" t="s">
        <v>495</v>
      </c>
      <c r="C1728" s="65" t="s">
        <v>130</v>
      </c>
      <c r="D1728" s="65" t="str">
        <f>vlookup(C1728,'Classificação p pessoal'!F:G,2,false)</f>
        <v>NP</v>
      </c>
      <c r="E1728" s="65" t="s">
        <v>1051</v>
      </c>
      <c r="F1728" s="83">
        <v>0.5</v>
      </c>
      <c r="G1728" s="83">
        <v>0.5694444444444444</v>
      </c>
      <c r="H1728" s="83">
        <v>0.06944444444444445</v>
      </c>
      <c r="I1728" s="84">
        <v>44356.0</v>
      </c>
      <c r="J1728" s="65" t="b">
        <v>1</v>
      </c>
      <c r="K1728" s="65"/>
      <c r="L1728" s="85" t="b">
        <f>IF(VLOOKUP(C1728,Projetos!A:L,12,false)=TRUE,TRUE,FALSE)</f>
        <v>1</v>
      </c>
      <c r="M1728" s="74">
        <v>73.7079846079846</v>
      </c>
      <c r="N1728" s="74">
        <f t="shared" si="1"/>
        <v>122.846641</v>
      </c>
      <c r="O1728" s="74" t="b">
        <v>1</v>
      </c>
    </row>
    <row r="1729" hidden="1">
      <c r="A1729" s="82"/>
      <c r="B1729" s="65" t="s">
        <v>495</v>
      </c>
      <c r="C1729" s="65" t="s">
        <v>130</v>
      </c>
      <c r="D1729" s="65" t="str">
        <f>vlookup(C1729,'Classificação p pessoal'!F:G,2,false)</f>
        <v>NP</v>
      </c>
      <c r="E1729" s="65" t="s">
        <v>1051</v>
      </c>
      <c r="F1729" s="83">
        <v>0.6111111111111112</v>
      </c>
      <c r="G1729" s="83">
        <v>0.6666666666666666</v>
      </c>
      <c r="H1729" s="83">
        <v>0.05555555555555555</v>
      </c>
      <c r="I1729" s="84">
        <v>44356.0</v>
      </c>
      <c r="J1729" s="65" t="b">
        <v>1</v>
      </c>
      <c r="K1729" s="65"/>
      <c r="L1729" s="85" t="b">
        <f>IF(VLOOKUP(C1729,Projetos!A:L,12,false)=TRUE,TRUE,FALSE)</f>
        <v>1</v>
      </c>
      <c r="M1729" s="74">
        <v>73.7079846079846</v>
      </c>
      <c r="N1729" s="74">
        <f t="shared" si="1"/>
        <v>98.27731281</v>
      </c>
      <c r="O1729" s="74" t="b">
        <v>1</v>
      </c>
    </row>
    <row r="1730" hidden="1">
      <c r="A1730" s="82"/>
      <c r="B1730" s="65" t="s">
        <v>495</v>
      </c>
      <c r="C1730" s="65" t="s">
        <v>92</v>
      </c>
      <c r="D1730" s="65" t="str">
        <f>vlookup(C1730,'Classificação p pessoal'!F:G,2,false)</f>
        <v/>
      </c>
      <c r="E1730" s="65" t="s">
        <v>1052</v>
      </c>
      <c r="F1730" s="83">
        <v>0.6666666666666666</v>
      </c>
      <c r="G1730" s="83">
        <v>0.75</v>
      </c>
      <c r="H1730" s="83">
        <v>0.08333333333333333</v>
      </c>
      <c r="I1730" s="84">
        <v>44356.0</v>
      </c>
      <c r="J1730" s="65" t="b">
        <v>1</v>
      </c>
      <c r="K1730" s="65"/>
      <c r="L1730" s="85" t="b">
        <f>IF(VLOOKUP(C1730,Projetos!A:L,12,false)=TRUE,TRUE,FALSE)</f>
        <v>1</v>
      </c>
      <c r="M1730" s="74">
        <v>73.7079846079846</v>
      </c>
      <c r="N1730" s="74">
        <f t="shared" si="1"/>
        <v>147.4159692</v>
      </c>
      <c r="O1730" s="74" t="b">
        <v>1</v>
      </c>
    </row>
    <row r="1731" hidden="1">
      <c r="A1731" s="82"/>
      <c r="B1731" s="65" t="s">
        <v>495</v>
      </c>
      <c r="C1731" s="65" t="s">
        <v>92</v>
      </c>
      <c r="D1731" s="65" t="str">
        <f>vlookup(C1731,'Classificação p pessoal'!F:G,2,false)</f>
        <v/>
      </c>
      <c r="E1731" s="65" t="s">
        <v>1053</v>
      </c>
      <c r="F1731" s="83">
        <v>0.3541666666666667</v>
      </c>
      <c r="G1731" s="83">
        <v>0.4583333333333333</v>
      </c>
      <c r="H1731" s="83">
        <v>0.10416666666666667</v>
      </c>
      <c r="I1731" s="84">
        <v>44357.0</v>
      </c>
      <c r="J1731" s="65" t="b">
        <v>1</v>
      </c>
      <c r="K1731" s="65"/>
      <c r="L1731" s="85" t="b">
        <f>IF(VLOOKUP(C1731,Projetos!A:L,12,false)=TRUE,TRUE,FALSE)</f>
        <v>1</v>
      </c>
      <c r="M1731" s="74">
        <v>73.7079846079846</v>
      </c>
      <c r="N1731" s="74">
        <f t="shared" si="1"/>
        <v>184.2699615</v>
      </c>
      <c r="O1731" s="74" t="b">
        <v>1</v>
      </c>
    </row>
    <row r="1732" hidden="1">
      <c r="A1732" s="82"/>
      <c r="B1732" s="65" t="s">
        <v>495</v>
      </c>
      <c r="C1732" s="65" t="s">
        <v>130</v>
      </c>
      <c r="D1732" s="65" t="str">
        <f>vlookup(C1732,'Classificação p pessoal'!F:G,2,false)</f>
        <v>NP</v>
      </c>
      <c r="E1732" s="65" t="s">
        <v>1054</v>
      </c>
      <c r="F1732" s="83">
        <v>0.4583333333333333</v>
      </c>
      <c r="G1732" s="83">
        <v>0.5</v>
      </c>
      <c r="H1732" s="83">
        <v>0.041666666666666664</v>
      </c>
      <c r="I1732" s="84">
        <v>44357.0</v>
      </c>
      <c r="J1732" s="65" t="b">
        <v>1</v>
      </c>
      <c r="K1732" s="65"/>
      <c r="L1732" s="85" t="b">
        <f>IF(VLOOKUP(C1732,Projetos!A:L,12,false)=TRUE,TRUE,FALSE)</f>
        <v>1</v>
      </c>
      <c r="M1732" s="74">
        <v>73.7079846079846</v>
      </c>
      <c r="N1732" s="74">
        <f t="shared" si="1"/>
        <v>73.70798461</v>
      </c>
      <c r="O1732" s="74" t="b">
        <v>1</v>
      </c>
    </row>
    <row r="1733">
      <c r="A1733" s="82"/>
      <c r="B1733" s="65" t="s">
        <v>495</v>
      </c>
      <c r="C1733" s="65" t="s">
        <v>108</v>
      </c>
      <c r="D1733" s="65"/>
      <c r="E1733" s="65" t="s">
        <v>1055</v>
      </c>
      <c r="F1733" s="83">
        <v>0.5277777777777778</v>
      </c>
      <c r="G1733" s="83">
        <v>0.625</v>
      </c>
      <c r="H1733" s="83">
        <v>0.09722222222222222</v>
      </c>
      <c r="I1733" s="84">
        <v>44357.0</v>
      </c>
      <c r="J1733" s="65" t="b">
        <v>0</v>
      </c>
      <c r="K1733" s="65" t="s">
        <v>150</v>
      </c>
      <c r="L1733" s="85" t="b">
        <f>IF(VLOOKUP(C1733,Projetos!A:L,12,false)=TRUE,TRUE,FALSE)</f>
        <v>1</v>
      </c>
      <c r="M1733" s="74">
        <v>73.7079846079846</v>
      </c>
      <c r="N1733" s="74">
        <f t="shared" si="1"/>
        <v>0</v>
      </c>
      <c r="O1733" s="74" t="b">
        <v>1</v>
      </c>
    </row>
    <row r="1734">
      <c r="A1734" s="82"/>
      <c r="B1734" s="65" t="s">
        <v>495</v>
      </c>
      <c r="C1734" s="65" t="s">
        <v>108</v>
      </c>
      <c r="D1734" s="65" t="str">
        <f>vlookup(C1734,'Classificação p pessoal'!F:G,2,false)</f>
        <v>NP</v>
      </c>
      <c r="E1734" s="65" t="s">
        <v>1056</v>
      </c>
      <c r="F1734" s="83">
        <v>0.625</v>
      </c>
      <c r="G1734" s="83">
        <v>0.7083333333333334</v>
      </c>
      <c r="H1734" s="83">
        <v>0.08333333333333333</v>
      </c>
      <c r="I1734" s="84">
        <v>44357.0</v>
      </c>
      <c r="J1734" s="65" t="b">
        <v>1</v>
      </c>
      <c r="K1734" s="65"/>
      <c r="L1734" s="85" t="b">
        <f>IF(VLOOKUP(C1734,Projetos!A:L,12,false)=TRUE,TRUE,FALSE)</f>
        <v>1</v>
      </c>
      <c r="M1734" s="74">
        <v>73.7079846079846</v>
      </c>
      <c r="N1734" s="74">
        <f t="shared" si="1"/>
        <v>147.4159692</v>
      </c>
      <c r="O1734" s="74" t="b">
        <v>1</v>
      </c>
    </row>
    <row r="1735" hidden="1">
      <c r="A1735" s="82"/>
      <c r="B1735" s="65" t="s">
        <v>495</v>
      </c>
      <c r="C1735" s="65" t="s">
        <v>92</v>
      </c>
      <c r="D1735" s="65" t="str">
        <f>vlookup(C1735,'Classificação p pessoal'!F:G,2,false)</f>
        <v/>
      </c>
      <c r="E1735" s="65" t="s">
        <v>1057</v>
      </c>
      <c r="F1735" s="83">
        <v>0.7083333333333334</v>
      </c>
      <c r="G1735" s="83">
        <v>0.75</v>
      </c>
      <c r="H1735" s="83">
        <v>0.041666666666666664</v>
      </c>
      <c r="I1735" s="84">
        <v>44357.0</v>
      </c>
      <c r="J1735" s="65" t="b">
        <v>1</v>
      </c>
      <c r="K1735" s="65"/>
      <c r="L1735" s="85" t="b">
        <f>IF(VLOOKUP(C1735,Projetos!A:L,12,false)=TRUE,TRUE,FALSE)</f>
        <v>1</v>
      </c>
      <c r="M1735" s="74">
        <v>73.7079846079846</v>
      </c>
      <c r="N1735" s="74">
        <f t="shared" si="1"/>
        <v>73.70798461</v>
      </c>
      <c r="O1735" s="74" t="b">
        <v>1</v>
      </c>
    </row>
    <row r="1736" hidden="1">
      <c r="A1736" s="82"/>
      <c r="B1736" s="65" t="s">
        <v>495</v>
      </c>
      <c r="C1736" s="65" t="s">
        <v>117</v>
      </c>
      <c r="D1736" s="65" t="str">
        <f>vlookup(C1736,'Classificação p pessoal'!F:G,2,false)</f>
        <v>NP</v>
      </c>
      <c r="E1736" s="65" t="s">
        <v>1058</v>
      </c>
      <c r="F1736" s="83">
        <v>0.3472222222222222</v>
      </c>
      <c r="G1736" s="83">
        <v>0.3854166666666667</v>
      </c>
      <c r="H1736" s="83">
        <v>0.03819444444444445</v>
      </c>
      <c r="I1736" s="84">
        <v>44358.0</v>
      </c>
      <c r="J1736" s="65" t="b">
        <v>1</v>
      </c>
      <c r="K1736" s="65"/>
      <c r="L1736" s="85" t="b">
        <f>IF(VLOOKUP(C1736,Projetos!A:L,12,false)=TRUE,TRUE,FALSE)</f>
        <v>1</v>
      </c>
      <c r="M1736" s="74">
        <v>73.7079846079846</v>
      </c>
      <c r="N1736" s="74">
        <f t="shared" si="1"/>
        <v>67.56565256</v>
      </c>
      <c r="O1736" s="74" t="b">
        <v>1</v>
      </c>
    </row>
    <row r="1737" hidden="1">
      <c r="A1737" s="82"/>
      <c r="B1737" s="65" t="s">
        <v>495</v>
      </c>
      <c r="C1737" s="65" t="s">
        <v>92</v>
      </c>
      <c r="D1737" s="65" t="str">
        <f>vlookup(C1737,'Classificação p pessoal'!F:G,2,false)</f>
        <v/>
      </c>
      <c r="E1737" s="65" t="s">
        <v>1059</v>
      </c>
      <c r="F1737" s="83">
        <v>0.3958333333333333</v>
      </c>
      <c r="G1737" s="83">
        <v>0.4166666666666667</v>
      </c>
      <c r="H1737" s="83">
        <v>0.020833333333333332</v>
      </c>
      <c r="I1737" s="84">
        <v>44358.0</v>
      </c>
      <c r="J1737" s="65" t="b">
        <v>1</v>
      </c>
      <c r="K1737" s="65"/>
      <c r="L1737" s="85" t="b">
        <f>IF(VLOOKUP(C1737,Projetos!A:L,12,false)=TRUE,TRUE,FALSE)</f>
        <v>1</v>
      </c>
      <c r="M1737" s="74">
        <v>73.7079846079846</v>
      </c>
      <c r="N1737" s="74">
        <f t="shared" si="1"/>
        <v>36.8539923</v>
      </c>
      <c r="O1737" s="74" t="b">
        <v>1</v>
      </c>
    </row>
    <row r="1738" hidden="1">
      <c r="A1738" s="82"/>
      <c r="B1738" s="65" t="s">
        <v>495</v>
      </c>
      <c r="C1738" s="65" t="s">
        <v>92</v>
      </c>
      <c r="D1738" s="65" t="str">
        <f>vlookup(C1738,'Classificação p pessoal'!F:G,2,false)</f>
        <v/>
      </c>
      <c r="E1738" s="65" t="s">
        <v>1060</v>
      </c>
      <c r="F1738" s="83">
        <v>0.4166666666666667</v>
      </c>
      <c r="G1738" s="83">
        <v>0.4270833333333333</v>
      </c>
      <c r="H1738" s="83">
        <v>0.010416666666666666</v>
      </c>
      <c r="I1738" s="84">
        <v>44358.0</v>
      </c>
      <c r="J1738" s="65" t="b">
        <v>1</v>
      </c>
      <c r="K1738" s="65"/>
      <c r="L1738" s="85" t="b">
        <f>IF(VLOOKUP(C1738,Projetos!A:L,12,false)=TRUE,TRUE,FALSE)</f>
        <v>1</v>
      </c>
      <c r="M1738" s="74">
        <v>73.7079846079846</v>
      </c>
      <c r="N1738" s="74">
        <f t="shared" si="1"/>
        <v>18.42699615</v>
      </c>
      <c r="O1738" s="74" t="b">
        <v>1</v>
      </c>
    </row>
    <row r="1739" hidden="1">
      <c r="A1739" s="82"/>
      <c r="B1739" s="65" t="s">
        <v>495</v>
      </c>
      <c r="C1739" s="65" t="s">
        <v>92</v>
      </c>
      <c r="D1739" s="65" t="str">
        <f>vlookup(C1739,'Classificação p pessoal'!F:G,2,false)</f>
        <v/>
      </c>
      <c r="E1739" s="65" t="s">
        <v>837</v>
      </c>
      <c r="F1739" s="83">
        <v>0.4270833333333333</v>
      </c>
      <c r="G1739" s="83">
        <v>0.4583333333333333</v>
      </c>
      <c r="H1739" s="83">
        <v>0.03125</v>
      </c>
      <c r="I1739" s="84">
        <v>44358.0</v>
      </c>
      <c r="J1739" s="65" t="b">
        <v>1</v>
      </c>
      <c r="K1739" s="65"/>
      <c r="L1739" s="85" t="b">
        <f>IF(VLOOKUP(C1739,Projetos!A:L,12,false)=TRUE,TRUE,FALSE)</f>
        <v>1</v>
      </c>
      <c r="M1739" s="74">
        <v>73.7079846079846</v>
      </c>
      <c r="N1739" s="74">
        <f t="shared" si="1"/>
        <v>55.28098846</v>
      </c>
      <c r="O1739" s="74" t="b">
        <v>1</v>
      </c>
    </row>
    <row r="1740">
      <c r="A1740" s="82"/>
      <c r="B1740" s="65" t="s">
        <v>495</v>
      </c>
      <c r="C1740" s="65" t="s">
        <v>108</v>
      </c>
      <c r="D1740" s="65" t="str">
        <f>vlookup(C1740,'Classificação p pessoal'!F:G,2,false)</f>
        <v>NP</v>
      </c>
      <c r="E1740" s="65" t="s">
        <v>1061</v>
      </c>
      <c r="F1740" s="83">
        <v>0.4583333333333333</v>
      </c>
      <c r="G1740" s="83">
        <v>0.5694444444444444</v>
      </c>
      <c r="H1740" s="83">
        <v>0.1111111111111111</v>
      </c>
      <c r="I1740" s="84">
        <v>44358.0</v>
      </c>
      <c r="J1740" s="65" t="b">
        <v>1</v>
      </c>
      <c r="K1740" s="65"/>
      <c r="L1740" s="85" t="b">
        <f>IF(VLOOKUP(C1740,Projetos!A:L,12,false)=TRUE,TRUE,FALSE)</f>
        <v>1</v>
      </c>
      <c r="M1740" s="74">
        <v>73.7079846079846</v>
      </c>
      <c r="N1740" s="74">
        <f t="shared" si="1"/>
        <v>196.5546256</v>
      </c>
      <c r="O1740" s="74" t="b">
        <v>1</v>
      </c>
    </row>
    <row r="1741">
      <c r="A1741" s="82"/>
      <c r="B1741" s="65" t="s">
        <v>495</v>
      </c>
      <c r="C1741" s="65" t="s">
        <v>108</v>
      </c>
      <c r="D1741" s="65" t="str">
        <f>vlookup(C1741,'Classificação p pessoal'!F:G,2,false)</f>
        <v>NP</v>
      </c>
      <c r="E1741" s="65" t="s">
        <v>1043</v>
      </c>
      <c r="F1741" s="83">
        <v>0.3541666666666667</v>
      </c>
      <c r="G1741" s="83">
        <v>0.4166666666666667</v>
      </c>
      <c r="H1741" s="83">
        <v>0.0625</v>
      </c>
      <c r="I1741" s="84">
        <v>44361.0</v>
      </c>
      <c r="J1741" s="65" t="b">
        <v>1</v>
      </c>
      <c r="K1741" s="65"/>
      <c r="L1741" s="85" t="b">
        <f>IF(VLOOKUP(C1741,Projetos!A:L,12,false)=TRUE,TRUE,FALSE)</f>
        <v>1</v>
      </c>
      <c r="M1741" s="74">
        <v>73.7079846079846</v>
      </c>
      <c r="N1741" s="74">
        <f t="shared" si="1"/>
        <v>110.5619769</v>
      </c>
      <c r="O1741" s="74" t="b">
        <v>1</v>
      </c>
    </row>
    <row r="1742" hidden="1">
      <c r="A1742" s="82"/>
      <c r="B1742" s="65" t="s">
        <v>495</v>
      </c>
      <c r="C1742" s="65" t="s">
        <v>92</v>
      </c>
      <c r="D1742" s="65" t="str">
        <f>vlookup(C1742,'Classificação p pessoal'!F:G,2,false)</f>
        <v/>
      </c>
      <c r="E1742" s="65" t="s">
        <v>1062</v>
      </c>
      <c r="F1742" s="83">
        <v>0.4375</v>
      </c>
      <c r="G1742" s="83">
        <v>0.5694444444444444</v>
      </c>
      <c r="H1742" s="83">
        <v>0.13194444444444445</v>
      </c>
      <c r="I1742" s="84">
        <v>44361.0</v>
      </c>
      <c r="J1742" s="65" t="b">
        <v>1</v>
      </c>
      <c r="K1742" s="65"/>
      <c r="L1742" s="85" t="b">
        <f>IF(VLOOKUP(C1742,Projetos!A:L,12,false)=TRUE,TRUE,FALSE)</f>
        <v>1</v>
      </c>
      <c r="M1742" s="74">
        <v>73.7079846079846</v>
      </c>
      <c r="N1742" s="74">
        <f t="shared" si="1"/>
        <v>233.4086179</v>
      </c>
      <c r="O1742" s="74" t="b">
        <v>1</v>
      </c>
    </row>
    <row r="1743" hidden="1">
      <c r="A1743" s="82"/>
      <c r="B1743" s="65" t="s">
        <v>495</v>
      </c>
      <c r="C1743" s="65" t="s">
        <v>92</v>
      </c>
      <c r="D1743" s="65" t="str">
        <f>vlookup(C1743,'Classificação p pessoal'!F:G,2,false)</f>
        <v/>
      </c>
      <c r="E1743" s="65" t="s">
        <v>1063</v>
      </c>
      <c r="F1743" s="83">
        <v>0.625</v>
      </c>
      <c r="G1743" s="83">
        <v>0.6527777777777778</v>
      </c>
      <c r="H1743" s="83">
        <v>0.027777777777777776</v>
      </c>
      <c r="I1743" s="84">
        <v>44361.0</v>
      </c>
      <c r="J1743" s="65" t="b">
        <v>1</v>
      </c>
      <c r="K1743" s="65"/>
      <c r="L1743" s="85" t="b">
        <f>IF(VLOOKUP(C1743,Projetos!A:L,12,false)=TRUE,TRUE,FALSE)</f>
        <v>1</v>
      </c>
      <c r="M1743" s="74">
        <v>73.7079846079846</v>
      </c>
      <c r="N1743" s="74">
        <f t="shared" si="1"/>
        <v>49.13865641</v>
      </c>
      <c r="O1743" s="74" t="b">
        <v>1</v>
      </c>
    </row>
    <row r="1744" hidden="1">
      <c r="A1744" s="82"/>
      <c r="B1744" s="65" t="s">
        <v>495</v>
      </c>
      <c r="C1744" s="65" t="s">
        <v>92</v>
      </c>
      <c r="D1744" s="65" t="str">
        <f>vlookup(C1744,'Classificação p pessoal'!F:G,2,false)</f>
        <v/>
      </c>
      <c r="E1744" s="65" t="s">
        <v>1064</v>
      </c>
      <c r="F1744" s="83">
        <v>0.6527777777777778</v>
      </c>
      <c r="G1744" s="83">
        <v>0.7083333333333334</v>
      </c>
      <c r="H1744" s="83">
        <v>0.05555555555555555</v>
      </c>
      <c r="I1744" s="84">
        <v>44361.0</v>
      </c>
      <c r="J1744" s="65" t="b">
        <v>1</v>
      </c>
      <c r="K1744" s="65"/>
      <c r="L1744" s="85" t="b">
        <f>IF(VLOOKUP(C1744,Projetos!A:L,12,false)=TRUE,TRUE,FALSE)</f>
        <v>1</v>
      </c>
      <c r="M1744" s="74">
        <v>73.7079846079846</v>
      </c>
      <c r="N1744" s="74">
        <f t="shared" si="1"/>
        <v>98.27731281</v>
      </c>
      <c r="O1744" s="74" t="b">
        <v>1</v>
      </c>
    </row>
    <row r="1745" hidden="1">
      <c r="A1745" s="82"/>
      <c r="B1745" s="65" t="s">
        <v>495</v>
      </c>
      <c r="C1745" s="65" t="s">
        <v>117</v>
      </c>
      <c r="D1745" s="65" t="str">
        <f>vlookup(C1745,'Classificação p pessoal'!F:G,2,false)</f>
        <v>NP</v>
      </c>
      <c r="E1745" s="65" t="s">
        <v>1065</v>
      </c>
      <c r="F1745" s="83">
        <v>0.7083333333333334</v>
      </c>
      <c r="G1745" s="83">
        <v>0.75</v>
      </c>
      <c r="H1745" s="83">
        <v>0.041666666666666664</v>
      </c>
      <c r="I1745" s="84">
        <v>44361.0</v>
      </c>
      <c r="J1745" s="65" t="b">
        <v>1</v>
      </c>
      <c r="K1745" s="65"/>
      <c r="L1745" s="85" t="b">
        <f>IF(VLOOKUP(C1745,Projetos!A:L,12,false)=TRUE,TRUE,FALSE)</f>
        <v>1</v>
      </c>
      <c r="M1745" s="74">
        <v>73.7079846079846</v>
      </c>
      <c r="N1745" s="74">
        <f t="shared" si="1"/>
        <v>73.70798461</v>
      </c>
      <c r="O1745" s="74" t="b">
        <v>1</v>
      </c>
    </row>
    <row r="1746" hidden="1">
      <c r="A1746" s="82"/>
      <c r="B1746" s="65" t="s">
        <v>495</v>
      </c>
      <c r="C1746" s="65" t="s">
        <v>100</v>
      </c>
      <c r="D1746" s="65" t="str">
        <f>vlookup(C1746,'Classificação p pessoal'!F:G,2,false)</f>
        <v>NP</v>
      </c>
      <c r="E1746" s="65" t="s">
        <v>1066</v>
      </c>
      <c r="F1746" s="83">
        <v>0.3472222222222222</v>
      </c>
      <c r="G1746" s="83">
        <v>0.375</v>
      </c>
      <c r="H1746" s="83">
        <v>0.027777777777777776</v>
      </c>
      <c r="I1746" s="84">
        <v>44362.0</v>
      </c>
      <c r="J1746" s="65" t="b">
        <v>1</v>
      </c>
      <c r="K1746" s="65"/>
      <c r="L1746" s="85" t="b">
        <f>IF(VLOOKUP(C1746,Projetos!A:L,12,false)=TRUE,TRUE,FALSE)</f>
        <v>1</v>
      </c>
      <c r="M1746" s="74">
        <v>73.7079846079846</v>
      </c>
      <c r="N1746" s="74">
        <f t="shared" si="1"/>
        <v>49.13865641</v>
      </c>
      <c r="O1746" s="74" t="b">
        <v>1</v>
      </c>
    </row>
    <row r="1747" hidden="1">
      <c r="A1747" s="82"/>
      <c r="B1747" s="65" t="s">
        <v>495</v>
      </c>
      <c r="C1747" s="65" t="s">
        <v>92</v>
      </c>
      <c r="D1747" s="65"/>
      <c r="E1747" s="65" t="s">
        <v>1067</v>
      </c>
      <c r="F1747" s="83">
        <v>0.375</v>
      </c>
      <c r="G1747" s="83">
        <v>0.4166666666666667</v>
      </c>
      <c r="H1747" s="83">
        <v>0.041666666666666664</v>
      </c>
      <c r="I1747" s="84">
        <v>44362.0</v>
      </c>
      <c r="J1747" s="65" t="b">
        <v>0</v>
      </c>
      <c r="K1747" s="65" t="s">
        <v>150</v>
      </c>
      <c r="L1747" s="85" t="b">
        <f>IF(VLOOKUP(C1747,Projetos!A:L,12,false)=TRUE,TRUE,FALSE)</f>
        <v>1</v>
      </c>
      <c r="M1747" s="74">
        <v>73.7079846079846</v>
      </c>
      <c r="N1747" s="74">
        <f t="shared" si="1"/>
        <v>0</v>
      </c>
      <c r="O1747" s="74" t="b">
        <v>1</v>
      </c>
    </row>
    <row r="1748" hidden="1">
      <c r="A1748" s="82"/>
      <c r="B1748" s="65" t="s">
        <v>495</v>
      </c>
      <c r="C1748" s="65" t="s">
        <v>92</v>
      </c>
      <c r="D1748" s="65" t="str">
        <f>vlookup(C1748,'Classificação p pessoal'!F:G,2,false)</f>
        <v/>
      </c>
      <c r="E1748" s="65" t="s">
        <v>1068</v>
      </c>
      <c r="F1748" s="83">
        <v>0.4166666666666667</v>
      </c>
      <c r="G1748" s="83">
        <v>0.4479166666666667</v>
      </c>
      <c r="H1748" s="83">
        <v>0.03125</v>
      </c>
      <c r="I1748" s="84">
        <v>44362.0</v>
      </c>
      <c r="J1748" s="65" t="b">
        <v>1</v>
      </c>
      <c r="K1748" s="65"/>
      <c r="L1748" s="85" t="b">
        <f>IF(VLOOKUP(C1748,Projetos!A:L,12,false)=TRUE,TRUE,FALSE)</f>
        <v>1</v>
      </c>
      <c r="M1748" s="74">
        <v>73.7079846079846</v>
      </c>
      <c r="N1748" s="74">
        <f t="shared" si="1"/>
        <v>55.28098846</v>
      </c>
      <c r="O1748" s="74" t="b">
        <v>1</v>
      </c>
    </row>
    <row r="1749" hidden="1">
      <c r="A1749" s="82"/>
      <c r="B1749" s="65" t="s">
        <v>495</v>
      </c>
      <c r="C1749" s="65" t="s">
        <v>92</v>
      </c>
      <c r="D1749" s="65" t="str">
        <f>vlookup(C1749,'Classificação p pessoal'!F:G,2,false)</f>
        <v/>
      </c>
      <c r="E1749" s="65" t="s">
        <v>1069</v>
      </c>
      <c r="F1749" s="83">
        <v>0.4479166666666667</v>
      </c>
      <c r="G1749" s="83">
        <v>0.5</v>
      </c>
      <c r="H1749" s="83">
        <v>0.052083333333333336</v>
      </c>
      <c r="I1749" s="84">
        <v>44362.0</v>
      </c>
      <c r="J1749" s="65" t="b">
        <v>1</v>
      </c>
      <c r="K1749" s="65"/>
      <c r="L1749" s="85" t="b">
        <f>IF(VLOOKUP(C1749,Projetos!A:L,12,false)=TRUE,TRUE,FALSE)</f>
        <v>1</v>
      </c>
      <c r="M1749" s="74">
        <v>73.7079846079846</v>
      </c>
      <c r="N1749" s="74">
        <f t="shared" si="1"/>
        <v>92.13498076</v>
      </c>
      <c r="O1749" s="74" t="b">
        <v>1</v>
      </c>
    </row>
    <row r="1750" hidden="1">
      <c r="A1750" s="82"/>
      <c r="B1750" s="65" t="s">
        <v>495</v>
      </c>
      <c r="C1750" s="65" t="s">
        <v>117</v>
      </c>
      <c r="D1750" s="65" t="str">
        <f>vlookup(C1750,'Classificação p pessoal'!F:G,2,false)</f>
        <v>NP</v>
      </c>
      <c r="E1750" s="65" t="s">
        <v>1065</v>
      </c>
      <c r="F1750" s="83">
        <v>0.5104166666666666</v>
      </c>
      <c r="G1750" s="83">
        <v>0.5729166666666666</v>
      </c>
      <c r="H1750" s="83">
        <v>0.0625</v>
      </c>
      <c r="I1750" s="84">
        <v>44362.0</v>
      </c>
      <c r="J1750" s="65" t="b">
        <v>1</v>
      </c>
      <c r="K1750" s="65"/>
      <c r="L1750" s="85" t="b">
        <f>IF(VLOOKUP(C1750,Projetos!A:L,12,false)=TRUE,TRUE,FALSE)</f>
        <v>1</v>
      </c>
      <c r="M1750" s="74">
        <v>73.7079846079846</v>
      </c>
      <c r="N1750" s="74">
        <f t="shared" si="1"/>
        <v>110.5619769</v>
      </c>
      <c r="O1750" s="74" t="b">
        <v>1</v>
      </c>
    </row>
    <row r="1751" hidden="1">
      <c r="A1751" s="82"/>
      <c r="B1751" s="65" t="s">
        <v>495</v>
      </c>
      <c r="C1751" s="65" t="s">
        <v>117</v>
      </c>
      <c r="D1751" s="65" t="str">
        <f>vlookup(C1751,'Classificação p pessoal'!F:G,2,false)</f>
        <v>NP</v>
      </c>
      <c r="E1751" s="65" t="s">
        <v>1070</v>
      </c>
      <c r="F1751" s="83">
        <v>0.6145833333333334</v>
      </c>
      <c r="G1751" s="83">
        <v>0.6666666666666666</v>
      </c>
      <c r="H1751" s="83">
        <v>0.052083333333333336</v>
      </c>
      <c r="I1751" s="84">
        <v>44362.0</v>
      </c>
      <c r="J1751" s="65" t="b">
        <v>1</v>
      </c>
      <c r="K1751" s="65"/>
      <c r="L1751" s="85" t="b">
        <f>IF(VLOOKUP(C1751,Projetos!A:L,12,false)=TRUE,TRUE,FALSE)</f>
        <v>1</v>
      </c>
      <c r="M1751" s="74">
        <v>73.7079846079846</v>
      </c>
      <c r="N1751" s="74">
        <f t="shared" si="1"/>
        <v>92.13498076</v>
      </c>
      <c r="O1751" s="74" t="b">
        <v>1</v>
      </c>
    </row>
    <row r="1752" hidden="1">
      <c r="A1752" s="82"/>
      <c r="B1752" s="65" t="s">
        <v>495</v>
      </c>
      <c r="C1752" s="65" t="s">
        <v>117</v>
      </c>
      <c r="D1752" s="65" t="str">
        <f>vlookup(C1752,'Classificação p pessoal'!F:G,2,false)</f>
        <v>NP</v>
      </c>
      <c r="E1752" s="65" t="s">
        <v>1065</v>
      </c>
      <c r="F1752" s="83">
        <v>0.6875</v>
      </c>
      <c r="G1752" s="83">
        <v>0.75</v>
      </c>
      <c r="H1752" s="83">
        <v>0.0625</v>
      </c>
      <c r="I1752" s="84">
        <v>44362.0</v>
      </c>
      <c r="J1752" s="65" t="b">
        <v>1</v>
      </c>
      <c r="K1752" s="65"/>
      <c r="L1752" s="85" t="b">
        <f>IF(VLOOKUP(C1752,Projetos!A:L,12,false)=TRUE,TRUE,FALSE)</f>
        <v>1</v>
      </c>
      <c r="M1752" s="74">
        <v>73.7079846079846</v>
      </c>
      <c r="N1752" s="74">
        <f t="shared" si="1"/>
        <v>110.5619769</v>
      </c>
      <c r="O1752" s="74" t="b">
        <v>1</v>
      </c>
    </row>
    <row r="1753" hidden="1">
      <c r="A1753" s="82"/>
      <c r="B1753" s="65" t="s">
        <v>495</v>
      </c>
      <c r="C1753" s="65" t="s">
        <v>117</v>
      </c>
      <c r="D1753" s="65" t="str">
        <f>vlookup(C1753,'Classificação p pessoal'!F:G,2,false)</f>
        <v>NP</v>
      </c>
      <c r="E1753" s="65" t="s">
        <v>1071</v>
      </c>
      <c r="F1753" s="83">
        <v>0.3541666666666667</v>
      </c>
      <c r="G1753" s="83">
        <v>0.4583333333333333</v>
      </c>
      <c r="H1753" s="83">
        <v>0.10416666666666667</v>
      </c>
      <c r="I1753" s="84">
        <v>44363.0</v>
      </c>
      <c r="J1753" s="65" t="b">
        <v>1</v>
      </c>
      <c r="K1753" s="65"/>
      <c r="L1753" s="85" t="b">
        <f>IF(VLOOKUP(C1753,Projetos!A:L,12,false)=TRUE,TRUE,FALSE)</f>
        <v>1</v>
      </c>
      <c r="M1753" s="74">
        <v>73.7079846079846</v>
      </c>
      <c r="N1753" s="74">
        <f t="shared" si="1"/>
        <v>184.2699615</v>
      </c>
      <c r="O1753" s="74" t="b">
        <v>1</v>
      </c>
    </row>
    <row r="1754" hidden="1">
      <c r="A1754" s="82"/>
      <c r="B1754" s="65" t="s">
        <v>495</v>
      </c>
      <c r="C1754" s="65" t="s">
        <v>100</v>
      </c>
      <c r="D1754" s="65" t="str">
        <f>vlookup(C1754,'Classificação p pessoal'!F:G,2,false)</f>
        <v>NP</v>
      </c>
      <c r="E1754" s="65" t="s">
        <v>1072</v>
      </c>
      <c r="F1754" s="83">
        <v>0.4583333333333333</v>
      </c>
      <c r="G1754" s="83">
        <v>0.5208333333333334</v>
      </c>
      <c r="H1754" s="83">
        <v>0.0625</v>
      </c>
      <c r="I1754" s="84">
        <v>44363.0</v>
      </c>
      <c r="J1754" s="65" t="b">
        <v>1</v>
      </c>
      <c r="K1754" s="65"/>
      <c r="L1754" s="85" t="b">
        <f>IF(VLOOKUP(C1754,Projetos!A:L,12,false)=TRUE,TRUE,FALSE)</f>
        <v>1</v>
      </c>
      <c r="M1754" s="74">
        <v>73.7079846079846</v>
      </c>
      <c r="N1754" s="74">
        <f t="shared" si="1"/>
        <v>110.5619769</v>
      </c>
      <c r="O1754" s="74" t="b">
        <v>1</v>
      </c>
    </row>
    <row r="1755" hidden="1">
      <c r="A1755" s="82"/>
      <c r="B1755" s="65" t="s">
        <v>495</v>
      </c>
      <c r="C1755" s="65" t="s">
        <v>117</v>
      </c>
      <c r="D1755" s="65" t="str">
        <f>vlookup(C1755,'Classificação p pessoal'!F:G,2,false)</f>
        <v>NP</v>
      </c>
      <c r="E1755" s="65" t="s">
        <v>1065</v>
      </c>
      <c r="F1755" s="83">
        <v>0.5208333333333334</v>
      </c>
      <c r="G1755" s="83">
        <v>0.5729166666666666</v>
      </c>
      <c r="H1755" s="83">
        <v>0.052083333333333336</v>
      </c>
      <c r="I1755" s="84">
        <v>44363.0</v>
      </c>
      <c r="J1755" s="65" t="b">
        <v>1</v>
      </c>
      <c r="K1755" s="65"/>
      <c r="L1755" s="85" t="b">
        <f>IF(VLOOKUP(C1755,Projetos!A:L,12,false)=TRUE,TRUE,FALSE)</f>
        <v>1</v>
      </c>
      <c r="M1755" s="74">
        <v>73.7079846079846</v>
      </c>
      <c r="N1755" s="74">
        <f t="shared" si="1"/>
        <v>92.13498076</v>
      </c>
      <c r="O1755" s="74" t="b">
        <v>1</v>
      </c>
    </row>
    <row r="1756" hidden="1">
      <c r="A1756" s="82"/>
      <c r="B1756" s="65" t="s">
        <v>495</v>
      </c>
      <c r="C1756" s="65" t="s">
        <v>117</v>
      </c>
      <c r="D1756" s="65" t="str">
        <f>vlookup(C1756,'Classificação p pessoal'!F:G,2,false)</f>
        <v>NP</v>
      </c>
      <c r="E1756" s="65" t="s">
        <v>1065</v>
      </c>
      <c r="F1756" s="83">
        <v>0.6145833333333334</v>
      </c>
      <c r="G1756" s="83">
        <v>0.6666666666666666</v>
      </c>
      <c r="H1756" s="83">
        <v>0.052083333333333336</v>
      </c>
      <c r="I1756" s="84">
        <v>44363.0</v>
      </c>
      <c r="J1756" s="65" t="b">
        <v>1</v>
      </c>
      <c r="K1756" s="65"/>
      <c r="L1756" s="85" t="b">
        <f>IF(VLOOKUP(C1756,Projetos!A:L,12,false)=TRUE,TRUE,FALSE)</f>
        <v>1</v>
      </c>
      <c r="M1756" s="74">
        <v>73.7079846079846</v>
      </c>
      <c r="N1756" s="74">
        <f t="shared" si="1"/>
        <v>92.13498076</v>
      </c>
      <c r="O1756" s="74" t="b">
        <v>1</v>
      </c>
    </row>
    <row r="1757" hidden="1">
      <c r="A1757" s="82"/>
      <c r="B1757" s="65" t="s">
        <v>495</v>
      </c>
      <c r="C1757" s="65" t="s">
        <v>92</v>
      </c>
      <c r="D1757" s="65" t="str">
        <f>vlookup(C1757,'Classificação p pessoal'!F:G,2,false)</f>
        <v/>
      </c>
      <c r="E1757" s="65" t="s">
        <v>1059</v>
      </c>
      <c r="F1757" s="83">
        <v>0.6666666666666666</v>
      </c>
      <c r="G1757" s="83">
        <v>0.6875</v>
      </c>
      <c r="H1757" s="83">
        <v>0.020833333333333332</v>
      </c>
      <c r="I1757" s="84">
        <v>44363.0</v>
      </c>
      <c r="J1757" s="65" t="b">
        <v>1</v>
      </c>
      <c r="K1757" s="65"/>
      <c r="L1757" s="85" t="b">
        <f>IF(VLOOKUP(C1757,Projetos!A:L,12,false)=TRUE,TRUE,FALSE)</f>
        <v>1</v>
      </c>
      <c r="M1757" s="74">
        <v>73.7079846079846</v>
      </c>
      <c r="N1757" s="74">
        <f t="shared" si="1"/>
        <v>36.8539923</v>
      </c>
      <c r="O1757" s="74" t="b">
        <v>1</v>
      </c>
    </row>
    <row r="1758" hidden="1">
      <c r="A1758" s="82"/>
      <c r="B1758" s="65" t="s">
        <v>495</v>
      </c>
      <c r="C1758" s="65" t="s">
        <v>117</v>
      </c>
      <c r="D1758" s="65" t="str">
        <f>vlookup(C1758,'Classificação p pessoal'!F:G,2,false)</f>
        <v>NP</v>
      </c>
      <c r="E1758" s="65" t="s">
        <v>1038</v>
      </c>
      <c r="F1758" s="83">
        <v>0.7083333333333334</v>
      </c>
      <c r="G1758" s="83">
        <v>0.75</v>
      </c>
      <c r="H1758" s="83">
        <v>0.041666666666666664</v>
      </c>
      <c r="I1758" s="84">
        <v>44363.0</v>
      </c>
      <c r="J1758" s="65" t="b">
        <v>1</v>
      </c>
      <c r="K1758" s="65"/>
      <c r="L1758" s="85" t="b">
        <f>IF(VLOOKUP(C1758,Projetos!A:L,12,false)=TRUE,TRUE,FALSE)</f>
        <v>1</v>
      </c>
      <c r="M1758" s="74">
        <v>73.7079846079846</v>
      </c>
      <c r="N1758" s="74">
        <f t="shared" si="1"/>
        <v>73.70798461</v>
      </c>
      <c r="O1758" s="74" t="b">
        <v>1</v>
      </c>
    </row>
    <row r="1759" hidden="1">
      <c r="A1759" s="82"/>
      <c r="B1759" s="65" t="s">
        <v>495</v>
      </c>
      <c r="C1759" s="65" t="s">
        <v>117</v>
      </c>
      <c r="D1759" s="65" t="str">
        <f>vlookup(C1759,'Classificação p pessoal'!F:G,2,false)</f>
        <v>NP</v>
      </c>
      <c r="E1759" s="65" t="s">
        <v>1038</v>
      </c>
      <c r="F1759" s="83">
        <v>0.34375</v>
      </c>
      <c r="G1759" s="83">
        <v>0.4166666666666667</v>
      </c>
      <c r="H1759" s="83">
        <v>0.07291666666666667</v>
      </c>
      <c r="I1759" s="84">
        <v>44364.0</v>
      </c>
      <c r="J1759" s="65" t="b">
        <v>1</v>
      </c>
      <c r="K1759" s="65"/>
      <c r="L1759" s="85" t="b">
        <f>IF(VLOOKUP(C1759,Projetos!A:L,12,false)=TRUE,TRUE,FALSE)</f>
        <v>1</v>
      </c>
      <c r="M1759" s="74">
        <v>73.7079846079846</v>
      </c>
      <c r="N1759" s="74">
        <f t="shared" si="1"/>
        <v>128.9889731</v>
      </c>
      <c r="O1759" s="74" t="b">
        <v>1</v>
      </c>
    </row>
    <row r="1760" hidden="1">
      <c r="A1760" s="82"/>
      <c r="B1760" s="65" t="s">
        <v>495</v>
      </c>
      <c r="C1760" s="65" t="s">
        <v>117</v>
      </c>
      <c r="D1760" s="65" t="str">
        <f>vlookup(C1760,'Classificação p pessoal'!F:G,2,false)</f>
        <v>NP</v>
      </c>
      <c r="E1760" s="65" t="s">
        <v>1065</v>
      </c>
      <c r="F1760" s="83">
        <v>0.4166666666666667</v>
      </c>
      <c r="G1760" s="83">
        <v>0.5694444444444444</v>
      </c>
      <c r="H1760" s="83">
        <v>0.1527777777777778</v>
      </c>
      <c r="I1760" s="84">
        <v>44364.0</v>
      </c>
      <c r="J1760" s="65" t="b">
        <v>1</v>
      </c>
      <c r="K1760" s="65"/>
      <c r="L1760" s="85" t="b">
        <f>IF(VLOOKUP(C1760,Projetos!A:L,12,false)=TRUE,TRUE,FALSE)</f>
        <v>1</v>
      </c>
      <c r="M1760" s="74">
        <v>73.7079846079846</v>
      </c>
      <c r="N1760" s="74">
        <f t="shared" si="1"/>
        <v>270.2626102</v>
      </c>
      <c r="O1760" s="74" t="b">
        <v>1</v>
      </c>
    </row>
    <row r="1761" hidden="1">
      <c r="A1761" s="82"/>
      <c r="B1761" s="65" t="s">
        <v>495</v>
      </c>
      <c r="C1761" s="65" t="s">
        <v>117</v>
      </c>
      <c r="D1761" s="65" t="str">
        <f>vlookup(C1761,'Classificação p pessoal'!F:G,2,false)</f>
        <v>NP</v>
      </c>
      <c r="E1761" s="65" t="s">
        <v>1065</v>
      </c>
      <c r="F1761" s="83">
        <v>0.6111111111111112</v>
      </c>
      <c r="G1761" s="83">
        <v>0.6666666666666666</v>
      </c>
      <c r="H1761" s="83">
        <v>0.05555555555555555</v>
      </c>
      <c r="I1761" s="84">
        <v>44364.0</v>
      </c>
      <c r="J1761" s="65" t="b">
        <v>1</v>
      </c>
      <c r="K1761" s="65"/>
      <c r="L1761" s="85" t="b">
        <f>IF(VLOOKUP(C1761,Projetos!A:L,12,false)=TRUE,TRUE,FALSE)</f>
        <v>1</v>
      </c>
      <c r="M1761" s="74">
        <v>73.7079846079846</v>
      </c>
      <c r="N1761" s="74">
        <f t="shared" si="1"/>
        <v>98.27731281</v>
      </c>
      <c r="O1761" s="74" t="b">
        <v>1</v>
      </c>
    </row>
    <row r="1762" hidden="1">
      <c r="A1762" s="82"/>
      <c r="B1762" s="65" t="s">
        <v>495</v>
      </c>
      <c r="C1762" s="65" t="s">
        <v>92</v>
      </c>
      <c r="D1762" s="65" t="str">
        <f>vlookup(C1762,'Classificação p pessoal'!F:G,2,false)</f>
        <v/>
      </c>
      <c r="E1762" s="65" t="s">
        <v>1059</v>
      </c>
      <c r="F1762" s="83">
        <v>0.6666666666666666</v>
      </c>
      <c r="G1762" s="83">
        <v>0.7083333333333334</v>
      </c>
      <c r="H1762" s="83">
        <v>0.041666666666666664</v>
      </c>
      <c r="I1762" s="84">
        <v>44364.0</v>
      </c>
      <c r="J1762" s="65" t="b">
        <v>1</v>
      </c>
      <c r="K1762" s="65"/>
      <c r="L1762" s="85" t="b">
        <f>IF(VLOOKUP(C1762,Projetos!A:L,12,false)=TRUE,TRUE,FALSE)</f>
        <v>1</v>
      </c>
      <c r="M1762" s="74">
        <v>73.7079846079846</v>
      </c>
      <c r="N1762" s="74">
        <f t="shared" si="1"/>
        <v>73.70798461</v>
      </c>
      <c r="O1762" s="74" t="b">
        <v>1</v>
      </c>
    </row>
    <row r="1763" hidden="1">
      <c r="A1763" s="82"/>
      <c r="B1763" s="65" t="s">
        <v>495</v>
      </c>
      <c r="C1763" s="65" t="s">
        <v>92</v>
      </c>
      <c r="D1763" s="65" t="str">
        <f>vlookup(C1763,'Classificação p pessoal'!F:G,2,false)</f>
        <v/>
      </c>
      <c r="E1763" s="65" t="s">
        <v>834</v>
      </c>
      <c r="F1763" s="83">
        <v>0.7083333333333334</v>
      </c>
      <c r="G1763" s="83">
        <v>0.75</v>
      </c>
      <c r="H1763" s="83">
        <v>0.041666666666666664</v>
      </c>
      <c r="I1763" s="84">
        <v>44364.0</v>
      </c>
      <c r="J1763" s="65" t="b">
        <v>1</v>
      </c>
      <c r="K1763" s="65"/>
      <c r="L1763" s="85" t="b">
        <f>IF(VLOOKUP(C1763,Projetos!A:L,12,false)=TRUE,TRUE,FALSE)</f>
        <v>1</v>
      </c>
      <c r="M1763" s="74">
        <v>73.7079846079846</v>
      </c>
      <c r="N1763" s="74">
        <f t="shared" si="1"/>
        <v>73.70798461</v>
      </c>
      <c r="O1763" s="74" t="b">
        <v>1</v>
      </c>
    </row>
    <row r="1764" hidden="1">
      <c r="A1764" s="82"/>
      <c r="B1764" s="65" t="s">
        <v>495</v>
      </c>
      <c r="C1764" s="65" t="s">
        <v>92</v>
      </c>
      <c r="D1764" s="65" t="str">
        <f>vlookup(C1764,'Classificação p pessoal'!F:G,2,false)</f>
        <v/>
      </c>
      <c r="E1764" s="65" t="s">
        <v>1059</v>
      </c>
      <c r="F1764" s="83">
        <v>0.3541666666666667</v>
      </c>
      <c r="G1764" s="83">
        <v>0.53125</v>
      </c>
      <c r="H1764" s="83">
        <v>0.17708333333333334</v>
      </c>
      <c r="I1764" s="84">
        <v>44365.0</v>
      </c>
      <c r="J1764" s="65" t="b">
        <v>1</v>
      </c>
      <c r="K1764" s="65"/>
      <c r="L1764" s="85" t="b">
        <f>IF(VLOOKUP(C1764,Projetos!A:L,12,false)=TRUE,TRUE,FALSE)</f>
        <v>1</v>
      </c>
      <c r="M1764" s="74">
        <v>73.7079846079846</v>
      </c>
      <c r="N1764" s="74">
        <f t="shared" si="1"/>
        <v>313.2589346</v>
      </c>
      <c r="O1764" s="74" t="b">
        <v>1</v>
      </c>
    </row>
    <row r="1765" hidden="1">
      <c r="A1765" s="82"/>
      <c r="B1765" s="65" t="s">
        <v>495</v>
      </c>
      <c r="C1765" s="65" t="s">
        <v>92</v>
      </c>
      <c r="D1765" s="65" t="str">
        <f>vlookup(C1765,'Classificação p pessoal'!F:G,2,false)</f>
        <v/>
      </c>
      <c r="E1765" s="65" t="s">
        <v>1073</v>
      </c>
      <c r="F1765" s="83">
        <v>0.53125</v>
      </c>
      <c r="G1765" s="83">
        <v>0.5729166666666666</v>
      </c>
      <c r="H1765" s="83">
        <v>0.041666666666666664</v>
      </c>
      <c r="I1765" s="84">
        <v>44365.0</v>
      </c>
      <c r="J1765" s="65" t="b">
        <v>1</v>
      </c>
      <c r="K1765" s="65"/>
      <c r="L1765" s="85" t="b">
        <f>IF(VLOOKUP(C1765,Projetos!A:L,12,false)=TRUE,TRUE,FALSE)</f>
        <v>1</v>
      </c>
      <c r="M1765" s="74">
        <v>73.7079846079846</v>
      </c>
      <c r="N1765" s="74">
        <f t="shared" si="1"/>
        <v>73.70798461</v>
      </c>
      <c r="O1765" s="74" t="b">
        <v>1</v>
      </c>
    </row>
    <row r="1766" hidden="1">
      <c r="A1766" s="82"/>
      <c r="B1766" s="65" t="s">
        <v>495</v>
      </c>
      <c r="C1766" s="65" t="s">
        <v>84</v>
      </c>
      <c r="D1766" s="65"/>
      <c r="E1766" s="65" t="s">
        <v>1074</v>
      </c>
      <c r="F1766" s="83">
        <v>0.6145833333333334</v>
      </c>
      <c r="G1766" s="83">
        <v>0.6840277777777778</v>
      </c>
      <c r="H1766" s="83">
        <v>0.06944444444444445</v>
      </c>
      <c r="I1766" s="84">
        <v>44365.0</v>
      </c>
      <c r="J1766" s="65" t="b">
        <v>0</v>
      </c>
      <c r="K1766" s="65"/>
      <c r="L1766" s="85" t="b">
        <f>IF(VLOOKUP(C1766,Projetos!A:L,12,false)=TRUE,TRUE,FALSE)</f>
        <v>0</v>
      </c>
      <c r="M1766" s="74">
        <v>73.7079846079846</v>
      </c>
      <c r="N1766" s="74">
        <f t="shared" si="1"/>
        <v>0</v>
      </c>
      <c r="O1766" s="74" t="b">
        <v>0</v>
      </c>
    </row>
    <row r="1767" hidden="1">
      <c r="A1767" s="82"/>
      <c r="B1767" s="65" t="s">
        <v>495</v>
      </c>
      <c r="C1767" s="65" t="s">
        <v>117</v>
      </c>
      <c r="D1767" s="65" t="str">
        <f>vlookup(C1767,'Classificação p pessoal'!F:G,2,false)</f>
        <v>NP</v>
      </c>
      <c r="E1767" s="65" t="s">
        <v>1075</v>
      </c>
      <c r="F1767" s="83">
        <v>0.6979166666666666</v>
      </c>
      <c r="G1767" s="83">
        <v>0.75</v>
      </c>
      <c r="H1767" s="83">
        <v>0.052083333333333336</v>
      </c>
      <c r="I1767" s="84">
        <v>44365.0</v>
      </c>
      <c r="J1767" s="65" t="b">
        <v>1</v>
      </c>
      <c r="K1767" s="65"/>
      <c r="L1767" s="85" t="b">
        <f>IF(VLOOKUP(C1767,Projetos!A:L,12,false)=TRUE,TRUE,FALSE)</f>
        <v>1</v>
      </c>
      <c r="M1767" s="74">
        <v>73.7079846079846</v>
      </c>
      <c r="N1767" s="74">
        <f t="shared" si="1"/>
        <v>92.13498076</v>
      </c>
      <c r="O1767" s="74" t="b">
        <v>1</v>
      </c>
    </row>
    <row r="1768" hidden="1">
      <c r="A1768" s="82"/>
      <c r="B1768" s="65" t="s">
        <v>495</v>
      </c>
      <c r="C1768" s="65" t="s">
        <v>84</v>
      </c>
      <c r="D1768" s="65"/>
      <c r="E1768" s="65" t="s">
        <v>1076</v>
      </c>
      <c r="F1768" s="83">
        <v>0.3541666666666667</v>
      </c>
      <c r="G1768" s="83">
        <v>0.375</v>
      </c>
      <c r="H1768" s="83">
        <v>0.020833333333333332</v>
      </c>
      <c r="I1768" s="84">
        <v>44368.0</v>
      </c>
      <c r="J1768" s="65" t="b">
        <v>0</v>
      </c>
      <c r="K1768" s="65" t="s">
        <v>150</v>
      </c>
      <c r="L1768" s="85" t="b">
        <f>IF(VLOOKUP(C1768,Projetos!A:L,12,false)=TRUE,TRUE,FALSE)</f>
        <v>0</v>
      </c>
      <c r="M1768" s="74">
        <v>73.7079846079846</v>
      </c>
      <c r="N1768" s="74">
        <f t="shared" si="1"/>
        <v>0</v>
      </c>
      <c r="O1768" s="74" t="b">
        <v>0</v>
      </c>
    </row>
    <row r="1769" hidden="1">
      <c r="A1769" s="82"/>
      <c r="B1769" s="65" t="s">
        <v>495</v>
      </c>
      <c r="C1769" s="65" t="s">
        <v>92</v>
      </c>
      <c r="D1769" s="65" t="str">
        <f>vlookup(C1769,'Classificação p pessoal'!F:G,2,false)</f>
        <v/>
      </c>
      <c r="E1769" s="65" t="s">
        <v>1077</v>
      </c>
      <c r="F1769" s="83">
        <v>0.375</v>
      </c>
      <c r="G1769" s="83">
        <v>0.4583333333333333</v>
      </c>
      <c r="H1769" s="83">
        <v>0.08333333333333333</v>
      </c>
      <c r="I1769" s="84">
        <v>44368.0</v>
      </c>
      <c r="J1769" s="65" t="b">
        <v>1</v>
      </c>
      <c r="K1769" s="65"/>
      <c r="L1769" s="85" t="b">
        <f>IF(VLOOKUP(C1769,Projetos!A:L,12,false)=TRUE,TRUE,FALSE)</f>
        <v>1</v>
      </c>
      <c r="M1769" s="74">
        <v>73.7079846079846</v>
      </c>
      <c r="N1769" s="74">
        <f t="shared" si="1"/>
        <v>147.4159692</v>
      </c>
      <c r="O1769" s="74" t="b">
        <v>1</v>
      </c>
    </row>
    <row r="1770" hidden="1">
      <c r="A1770" s="82"/>
      <c r="B1770" s="65" t="s">
        <v>495</v>
      </c>
      <c r="C1770" s="65" t="s">
        <v>117</v>
      </c>
      <c r="D1770" s="65" t="str">
        <f>vlookup(C1770,'Classificação p pessoal'!F:G,2,false)</f>
        <v>NP</v>
      </c>
      <c r="E1770" s="65" t="s">
        <v>1038</v>
      </c>
      <c r="F1770" s="83">
        <v>0.4583333333333333</v>
      </c>
      <c r="G1770" s="83">
        <v>0.5694444444444444</v>
      </c>
      <c r="H1770" s="83">
        <v>0.1111111111111111</v>
      </c>
      <c r="I1770" s="84">
        <v>44368.0</v>
      </c>
      <c r="J1770" s="65" t="b">
        <v>1</v>
      </c>
      <c r="K1770" s="65"/>
      <c r="L1770" s="85" t="b">
        <f>IF(VLOOKUP(C1770,Projetos!A:L,12,false)=TRUE,TRUE,FALSE)</f>
        <v>1</v>
      </c>
      <c r="M1770" s="74">
        <v>73.7079846079846</v>
      </c>
      <c r="N1770" s="74">
        <f t="shared" si="1"/>
        <v>196.5546256</v>
      </c>
      <c r="O1770" s="74" t="b">
        <v>1</v>
      </c>
    </row>
    <row r="1771" hidden="1">
      <c r="A1771" s="82"/>
      <c r="B1771" s="65" t="s">
        <v>495</v>
      </c>
      <c r="C1771" s="65" t="s">
        <v>117</v>
      </c>
      <c r="D1771" s="65" t="str">
        <f>vlookup(C1771,'Classificação p pessoal'!F:G,2,false)</f>
        <v>NP</v>
      </c>
      <c r="E1771" s="65" t="s">
        <v>1065</v>
      </c>
      <c r="F1771" s="83">
        <v>0.6111111111111112</v>
      </c>
      <c r="G1771" s="83">
        <v>0.7083333333333334</v>
      </c>
      <c r="H1771" s="83">
        <v>0.09722222222222222</v>
      </c>
      <c r="I1771" s="84">
        <v>44368.0</v>
      </c>
      <c r="J1771" s="65" t="b">
        <v>1</v>
      </c>
      <c r="K1771" s="65"/>
      <c r="L1771" s="85" t="b">
        <f>IF(VLOOKUP(C1771,Projetos!A:L,12,false)=TRUE,TRUE,FALSE)</f>
        <v>1</v>
      </c>
      <c r="M1771" s="74">
        <v>73.7079846079846</v>
      </c>
      <c r="N1771" s="74">
        <f t="shared" si="1"/>
        <v>171.9852974</v>
      </c>
      <c r="O1771" s="74" t="b">
        <v>1</v>
      </c>
    </row>
    <row r="1772" hidden="1">
      <c r="A1772" s="82"/>
      <c r="B1772" s="65" t="s">
        <v>495</v>
      </c>
      <c r="C1772" s="65" t="s">
        <v>92</v>
      </c>
      <c r="D1772" s="65" t="str">
        <f>vlookup(C1772,'Classificação p pessoal'!F:G,2,false)</f>
        <v/>
      </c>
      <c r="E1772" s="65" t="s">
        <v>1053</v>
      </c>
      <c r="F1772" s="83">
        <v>0.7083333333333334</v>
      </c>
      <c r="G1772" s="83">
        <v>0.75</v>
      </c>
      <c r="H1772" s="83">
        <v>0.041666666666666664</v>
      </c>
      <c r="I1772" s="84">
        <v>44368.0</v>
      </c>
      <c r="J1772" s="65" t="b">
        <v>1</v>
      </c>
      <c r="K1772" s="65"/>
      <c r="L1772" s="85" t="b">
        <f>IF(VLOOKUP(C1772,Projetos!A:L,12,false)=TRUE,TRUE,FALSE)</f>
        <v>1</v>
      </c>
      <c r="M1772" s="74">
        <v>73.7079846079846</v>
      </c>
      <c r="N1772" s="74">
        <f t="shared" si="1"/>
        <v>73.70798461</v>
      </c>
      <c r="O1772" s="74" t="b">
        <v>1</v>
      </c>
    </row>
    <row r="1773" hidden="1">
      <c r="A1773" s="82"/>
      <c r="B1773" s="65" t="s">
        <v>495</v>
      </c>
      <c r="C1773" s="65" t="s">
        <v>92</v>
      </c>
      <c r="D1773" s="65" t="str">
        <f>vlookup(C1773,'Classificação p pessoal'!F:G,2,false)</f>
        <v/>
      </c>
      <c r="E1773" s="65" t="s">
        <v>1060</v>
      </c>
      <c r="F1773" s="83">
        <v>0.3472222222222222</v>
      </c>
      <c r="G1773" s="83">
        <v>0.375</v>
      </c>
      <c r="H1773" s="83">
        <v>0.027777777777777776</v>
      </c>
      <c r="I1773" s="84">
        <v>44369.0</v>
      </c>
      <c r="J1773" s="65" t="b">
        <v>1</v>
      </c>
      <c r="K1773" s="65"/>
      <c r="L1773" s="85" t="b">
        <f>IF(VLOOKUP(C1773,Projetos!A:L,12,false)=TRUE,TRUE,FALSE)</f>
        <v>1</v>
      </c>
      <c r="M1773" s="74">
        <v>73.7079846079846</v>
      </c>
      <c r="N1773" s="74">
        <f t="shared" si="1"/>
        <v>49.13865641</v>
      </c>
      <c r="O1773" s="74" t="b">
        <v>1</v>
      </c>
    </row>
    <row r="1774" hidden="1">
      <c r="A1774" s="82"/>
      <c r="B1774" s="65" t="s">
        <v>495</v>
      </c>
      <c r="C1774" s="65" t="s">
        <v>92</v>
      </c>
      <c r="D1774" s="65" t="str">
        <f>vlookup(C1774,'Classificação p pessoal'!F:G,2,false)</f>
        <v/>
      </c>
      <c r="E1774" s="65" t="s">
        <v>834</v>
      </c>
      <c r="F1774" s="83">
        <v>0.4444444444444444</v>
      </c>
      <c r="G1774" s="83">
        <v>0.4652777777777778</v>
      </c>
      <c r="H1774" s="83">
        <v>0.020833333333333332</v>
      </c>
      <c r="I1774" s="84">
        <v>44369.0</v>
      </c>
      <c r="J1774" s="65" t="b">
        <v>1</v>
      </c>
      <c r="K1774" s="65"/>
      <c r="L1774" s="85" t="b">
        <f>IF(VLOOKUP(C1774,Projetos!A:L,12,false)=TRUE,TRUE,FALSE)</f>
        <v>1</v>
      </c>
      <c r="M1774" s="74">
        <v>73.7079846079846</v>
      </c>
      <c r="N1774" s="74">
        <f t="shared" si="1"/>
        <v>36.8539923</v>
      </c>
      <c r="O1774" s="74" t="b">
        <v>1</v>
      </c>
    </row>
    <row r="1775" hidden="1">
      <c r="A1775" s="82"/>
      <c r="B1775" s="65" t="s">
        <v>495</v>
      </c>
      <c r="C1775" s="65" t="s">
        <v>84</v>
      </c>
      <c r="D1775" s="65"/>
      <c r="E1775" s="65" t="s">
        <v>1078</v>
      </c>
      <c r="F1775" s="83">
        <v>0.5277777777777778</v>
      </c>
      <c r="G1775" s="83">
        <v>0.5416666666666666</v>
      </c>
      <c r="H1775" s="83">
        <v>0.013888888888888888</v>
      </c>
      <c r="I1775" s="84">
        <v>44369.0</v>
      </c>
      <c r="J1775" s="65" t="b">
        <v>0</v>
      </c>
      <c r="K1775" s="65" t="s">
        <v>150</v>
      </c>
      <c r="L1775" s="85" t="b">
        <f>IF(VLOOKUP(C1775,Projetos!A:L,12,false)=TRUE,TRUE,FALSE)</f>
        <v>0</v>
      </c>
      <c r="M1775" s="74">
        <v>73.7079846079846</v>
      </c>
      <c r="N1775" s="74">
        <f t="shared" si="1"/>
        <v>0</v>
      </c>
      <c r="O1775" s="74" t="b">
        <v>0</v>
      </c>
    </row>
    <row r="1776" hidden="1">
      <c r="A1776" s="82"/>
      <c r="B1776" s="65" t="s">
        <v>495</v>
      </c>
      <c r="C1776" s="65" t="s">
        <v>107</v>
      </c>
      <c r="D1776" s="65" t="str">
        <f>vlookup(C1776,'Classificação p pessoal'!F:G,2,false)</f>
        <v>NP</v>
      </c>
      <c r="E1776" s="65" t="s">
        <v>1079</v>
      </c>
      <c r="F1776" s="83">
        <v>0.5416666666666666</v>
      </c>
      <c r="G1776" s="83">
        <v>0.5729166666666666</v>
      </c>
      <c r="H1776" s="83">
        <v>0.03125</v>
      </c>
      <c r="I1776" s="84">
        <v>44369.0</v>
      </c>
      <c r="J1776" s="65" t="b">
        <v>1</v>
      </c>
      <c r="K1776" s="65"/>
      <c r="L1776" s="85" t="b">
        <f>IF(VLOOKUP(C1776,Projetos!A:L,12,false)=TRUE,TRUE,FALSE)</f>
        <v>1</v>
      </c>
      <c r="M1776" s="74">
        <v>73.7079846079846</v>
      </c>
      <c r="N1776" s="74">
        <f t="shared" si="1"/>
        <v>55.28098846</v>
      </c>
      <c r="O1776" s="74" t="b">
        <v>1</v>
      </c>
    </row>
    <row r="1777">
      <c r="A1777" s="82"/>
      <c r="B1777" s="65" t="s">
        <v>495</v>
      </c>
      <c r="C1777" s="65" t="s">
        <v>108</v>
      </c>
      <c r="D1777" s="65" t="str">
        <f>vlookup(C1777,'Classificação p pessoal'!F:G,2,false)</f>
        <v>NP</v>
      </c>
      <c r="E1777" s="65" t="s">
        <v>1059</v>
      </c>
      <c r="F1777" s="83">
        <v>0.6145833333333334</v>
      </c>
      <c r="G1777" s="83">
        <v>0.6388888888888888</v>
      </c>
      <c r="H1777" s="83">
        <v>0.024305555555555556</v>
      </c>
      <c r="I1777" s="84">
        <v>44369.0</v>
      </c>
      <c r="J1777" s="65" t="b">
        <v>1</v>
      </c>
      <c r="K1777" s="65"/>
      <c r="L1777" s="85" t="b">
        <f>IF(VLOOKUP(C1777,Projetos!A:L,12,false)=TRUE,TRUE,FALSE)</f>
        <v>1</v>
      </c>
      <c r="M1777" s="74">
        <v>73.7079846079846</v>
      </c>
      <c r="N1777" s="74">
        <f t="shared" si="1"/>
        <v>42.99632435</v>
      </c>
      <c r="O1777" s="74" t="b">
        <v>1</v>
      </c>
    </row>
    <row r="1778" hidden="1">
      <c r="A1778" s="82"/>
      <c r="B1778" s="65" t="s">
        <v>495</v>
      </c>
      <c r="C1778" s="65" t="s">
        <v>92</v>
      </c>
      <c r="D1778" s="65"/>
      <c r="E1778" s="65" t="s">
        <v>1080</v>
      </c>
      <c r="F1778" s="83">
        <v>0.6388888888888888</v>
      </c>
      <c r="G1778" s="83">
        <v>0.7083333333333334</v>
      </c>
      <c r="H1778" s="83">
        <v>0.06944444444444445</v>
      </c>
      <c r="I1778" s="84">
        <v>44369.0</v>
      </c>
      <c r="J1778" s="65" t="b">
        <v>0</v>
      </c>
      <c r="K1778" s="65" t="s">
        <v>150</v>
      </c>
      <c r="L1778" s="85" t="b">
        <f>IF(VLOOKUP(C1778,Projetos!A:L,12,false)=TRUE,TRUE,FALSE)</f>
        <v>1</v>
      </c>
      <c r="M1778" s="74">
        <v>73.7079846079846</v>
      </c>
      <c r="N1778" s="74">
        <f t="shared" si="1"/>
        <v>0</v>
      </c>
      <c r="O1778" s="74" t="b">
        <v>1</v>
      </c>
    </row>
    <row r="1779" hidden="1">
      <c r="A1779" s="82"/>
      <c r="B1779" s="65" t="s">
        <v>495</v>
      </c>
      <c r="C1779" s="65" t="s">
        <v>92</v>
      </c>
      <c r="D1779" s="65" t="str">
        <f>vlookup(C1779,'Classificação p pessoal'!F:G,2,false)</f>
        <v/>
      </c>
      <c r="E1779" s="65" t="s">
        <v>1081</v>
      </c>
      <c r="F1779" s="83">
        <v>0.7083333333333334</v>
      </c>
      <c r="G1779" s="83">
        <v>0.75</v>
      </c>
      <c r="H1779" s="83">
        <v>0.041666666666666664</v>
      </c>
      <c r="I1779" s="84">
        <v>44369.0</v>
      </c>
      <c r="J1779" s="65" t="b">
        <v>1</v>
      </c>
      <c r="K1779" s="65"/>
      <c r="L1779" s="85" t="b">
        <f>IF(VLOOKUP(C1779,Projetos!A:L,12,false)=TRUE,TRUE,FALSE)</f>
        <v>1</v>
      </c>
      <c r="M1779" s="74">
        <v>73.7079846079846</v>
      </c>
      <c r="N1779" s="74">
        <f t="shared" si="1"/>
        <v>73.70798461</v>
      </c>
      <c r="O1779" s="74" t="b">
        <v>1</v>
      </c>
    </row>
    <row r="1780" hidden="1">
      <c r="A1780" s="82"/>
      <c r="B1780" s="65" t="s">
        <v>495</v>
      </c>
      <c r="C1780" s="65" t="s">
        <v>92</v>
      </c>
      <c r="D1780" s="65" t="str">
        <f>vlookup(C1780,'Classificação p pessoal'!F:G,2,false)</f>
        <v/>
      </c>
      <c r="E1780" s="65" t="s">
        <v>898</v>
      </c>
      <c r="F1780" s="83">
        <v>0.34375</v>
      </c>
      <c r="G1780" s="83">
        <v>0.4166666666666667</v>
      </c>
      <c r="H1780" s="83">
        <v>0.07291666666666667</v>
      </c>
      <c r="I1780" s="84">
        <v>44370.0</v>
      </c>
      <c r="J1780" s="65" t="b">
        <v>1</v>
      </c>
      <c r="K1780" s="65"/>
      <c r="L1780" s="85" t="b">
        <f>IF(VLOOKUP(C1780,Projetos!A:L,12,false)=TRUE,TRUE,FALSE)</f>
        <v>1</v>
      </c>
      <c r="M1780" s="74">
        <v>73.7079846079846</v>
      </c>
      <c r="N1780" s="74">
        <f t="shared" si="1"/>
        <v>128.9889731</v>
      </c>
      <c r="O1780" s="74" t="b">
        <v>1</v>
      </c>
    </row>
    <row r="1781" hidden="1">
      <c r="A1781" s="82"/>
      <c r="B1781" s="65" t="s">
        <v>495</v>
      </c>
      <c r="C1781" s="65" t="s">
        <v>92</v>
      </c>
      <c r="D1781" s="65" t="str">
        <f>vlookup(C1781,'Classificação p pessoal'!F:G,2,false)</f>
        <v/>
      </c>
      <c r="E1781" s="65" t="s">
        <v>1082</v>
      </c>
      <c r="F1781" s="83">
        <v>0.4166666666666667</v>
      </c>
      <c r="G1781" s="83">
        <v>0.5416666666666666</v>
      </c>
      <c r="H1781" s="83">
        <v>0.125</v>
      </c>
      <c r="I1781" s="84">
        <v>44370.0</v>
      </c>
      <c r="J1781" s="65" t="b">
        <v>1</v>
      </c>
      <c r="K1781" s="65"/>
      <c r="L1781" s="85" t="b">
        <f>IF(VLOOKUP(C1781,Projetos!A:L,12,false)=TRUE,TRUE,FALSE)</f>
        <v>1</v>
      </c>
      <c r="M1781" s="74">
        <v>73.7079846079846</v>
      </c>
      <c r="N1781" s="74">
        <f t="shared" si="1"/>
        <v>221.1239538</v>
      </c>
      <c r="O1781" s="74" t="b">
        <v>1</v>
      </c>
    </row>
    <row r="1782" hidden="1">
      <c r="A1782" s="82"/>
      <c r="B1782" s="65" t="s">
        <v>495</v>
      </c>
      <c r="C1782" s="65" t="s">
        <v>106</v>
      </c>
      <c r="D1782" s="65" t="str">
        <f>vlookup(C1782,'Classificação p pessoal'!F:G,2,false)</f>
        <v>MProcesso</v>
      </c>
      <c r="E1782" s="65" t="s">
        <v>1083</v>
      </c>
      <c r="F1782" s="83">
        <v>0.5833333333333334</v>
      </c>
      <c r="G1782" s="83">
        <v>0.625</v>
      </c>
      <c r="H1782" s="83">
        <v>0.041666666666666664</v>
      </c>
      <c r="I1782" s="84">
        <v>44370.0</v>
      </c>
      <c r="J1782" s="65" t="b">
        <v>1</v>
      </c>
      <c r="K1782" s="65"/>
      <c r="L1782" s="85" t="b">
        <f>IF(VLOOKUP(C1782,Projetos!A:L,12,false)=TRUE,TRUE,FALSE)</f>
        <v>1</v>
      </c>
      <c r="M1782" s="74">
        <v>73.7079846079846</v>
      </c>
      <c r="N1782" s="74">
        <f t="shared" si="1"/>
        <v>73.70798461</v>
      </c>
      <c r="O1782" s="74" t="b">
        <v>1</v>
      </c>
    </row>
    <row r="1783">
      <c r="A1783" s="82"/>
      <c r="B1783" s="65" t="s">
        <v>469</v>
      </c>
      <c r="C1783" s="65" t="s">
        <v>108</v>
      </c>
      <c r="D1783" s="65"/>
      <c r="E1783" s="65" t="s">
        <v>1084</v>
      </c>
      <c r="F1783" s="83">
        <v>0.34375</v>
      </c>
      <c r="G1783" s="83">
        <v>0.75</v>
      </c>
      <c r="H1783" s="83">
        <v>0.40625</v>
      </c>
      <c r="I1783" s="84">
        <v>44204.0</v>
      </c>
      <c r="J1783" s="65" t="b">
        <v>0</v>
      </c>
      <c r="K1783" s="65" t="s">
        <v>150</v>
      </c>
      <c r="L1783" s="85" t="b">
        <f>IF(VLOOKUP(C1783,Projetos!A:L,12,false)=TRUE,TRUE,FALSE)</f>
        <v>1</v>
      </c>
      <c r="M1783" s="74">
        <v>37.50928062469937</v>
      </c>
      <c r="N1783" s="74">
        <f t="shared" si="1"/>
        <v>0</v>
      </c>
      <c r="O1783" s="74" t="b">
        <v>1</v>
      </c>
    </row>
    <row r="1784">
      <c r="A1784" s="82"/>
      <c r="B1784" s="65" t="s">
        <v>469</v>
      </c>
      <c r="C1784" s="65" t="s">
        <v>108</v>
      </c>
      <c r="D1784" s="65"/>
      <c r="E1784" s="65" t="s">
        <v>1085</v>
      </c>
      <c r="F1784" s="83">
        <v>0.3333333333333333</v>
      </c>
      <c r="G1784" s="83">
        <v>0.7083333333333334</v>
      </c>
      <c r="H1784" s="83">
        <v>0.375</v>
      </c>
      <c r="I1784" s="84">
        <v>44483.0</v>
      </c>
      <c r="J1784" s="65" t="b">
        <v>0</v>
      </c>
      <c r="K1784" s="65" t="s">
        <v>150</v>
      </c>
      <c r="L1784" s="85" t="b">
        <f>IF(VLOOKUP(C1784,Projetos!A:L,12,false)=TRUE,TRUE,FALSE)</f>
        <v>1</v>
      </c>
      <c r="M1784" s="74">
        <v>37.50928062469937</v>
      </c>
      <c r="N1784" s="74">
        <f t="shared" si="1"/>
        <v>0</v>
      </c>
      <c r="O1784" s="74" t="b">
        <v>1</v>
      </c>
    </row>
    <row r="1785" hidden="1">
      <c r="A1785" s="82"/>
      <c r="B1785" s="65" t="s">
        <v>177</v>
      </c>
      <c r="C1785" s="65" t="s">
        <v>91</v>
      </c>
      <c r="D1785" s="65" t="str">
        <f>vlookup(C1785,'Classificação p pessoal'!F:G,2,false)</f>
        <v>NP</v>
      </c>
      <c r="E1785" s="65" t="s">
        <v>1086</v>
      </c>
      <c r="F1785" s="83">
        <v>0.5833333333333334</v>
      </c>
      <c r="G1785" s="83">
        <v>0.6458333333333334</v>
      </c>
      <c r="H1785" s="83">
        <v>0.0625</v>
      </c>
      <c r="I1785" s="84">
        <v>44438.0</v>
      </c>
      <c r="J1785" s="65" t="b">
        <v>1</v>
      </c>
      <c r="K1785" s="65"/>
      <c r="L1785" s="85" t="b">
        <f>IF(VLOOKUP(C1785,Projetos!A:L,12,false)=TRUE,TRUE,FALSE)</f>
        <v>1</v>
      </c>
      <c r="M1785" s="74">
        <v>31.02923620430495</v>
      </c>
      <c r="N1785" s="74">
        <f t="shared" si="1"/>
        <v>46.54385431</v>
      </c>
      <c r="O1785" s="74" t="b">
        <v>1</v>
      </c>
    </row>
    <row r="1786" hidden="1">
      <c r="A1786" s="82"/>
      <c r="B1786" s="65" t="s">
        <v>495</v>
      </c>
      <c r="C1786" s="65" t="s">
        <v>92</v>
      </c>
      <c r="D1786" s="65" t="str">
        <f>vlookup(C1786,'Classificação p pessoal'!F:G,2,false)</f>
        <v/>
      </c>
      <c r="E1786" s="65" t="s">
        <v>1087</v>
      </c>
      <c r="F1786" s="83">
        <v>0.625</v>
      </c>
      <c r="G1786" s="83">
        <v>0.6666666666666666</v>
      </c>
      <c r="H1786" s="83">
        <v>0.041666666666666664</v>
      </c>
      <c r="I1786" s="84">
        <v>44371.0</v>
      </c>
      <c r="J1786" s="65" t="b">
        <v>1</v>
      </c>
      <c r="K1786" s="65"/>
      <c r="L1786" s="85" t="b">
        <f>IF(VLOOKUP(C1786,Projetos!A:L,12,false)=TRUE,TRUE,FALSE)</f>
        <v>1</v>
      </c>
      <c r="M1786" s="74">
        <v>73.7079846079846</v>
      </c>
      <c r="N1786" s="74">
        <f t="shared" si="1"/>
        <v>73.70798461</v>
      </c>
      <c r="O1786" s="74" t="b">
        <v>1</v>
      </c>
    </row>
    <row r="1787" hidden="1">
      <c r="A1787" s="82"/>
      <c r="B1787" s="65" t="s">
        <v>495</v>
      </c>
      <c r="C1787" s="65" t="s">
        <v>84</v>
      </c>
      <c r="D1787" s="65"/>
      <c r="E1787" s="65" t="s">
        <v>1088</v>
      </c>
      <c r="F1787" s="83">
        <v>0.6666666666666666</v>
      </c>
      <c r="G1787" s="83">
        <v>0.75</v>
      </c>
      <c r="H1787" s="83">
        <v>0.08333333333333333</v>
      </c>
      <c r="I1787" s="84">
        <v>44371.0</v>
      </c>
      <c r="J1787" s="65" t="b">
        <v>0</v>
      </c>
      <c r="K1787" s="65" t="s">
        <v>150</v>
      </c>
      <c r="L1787" s="85" t="b">
        <f>IF(VLOOKUP(C1787,Projetos!A:L,12,false)=TRUE,TRUE,FALSE)</f>
        <v>0</v>
      </c>
      <c r="M1787" s="74">
        <v>73.7079846079846</v>
      </c>
      <c r="N1787" s="74">
        <f t="shared" si="1"/>
        <v>0</v>
      </c>
      <c r="O1787" s="74" t="b">
        <v>0</v>
      </c>
    </row>
    <row r="1788" hidden="1">
      <c r="A1788" s="82"/>
      <c r="B1788" s="65" t="s">
        <v>495</v>
      </c>
      <c r="C1788" s="65" t="s">
        <v>92</v>
      </c>
      <c r="D1788" s="65" t="str">
        <f>vlookup(C1788,'Classificação p pessoal'!F:G,2,false)</f>
        <v/>
      </c>
      <c r="E1788" s="65" t="s">
        <v>1089</v>
      </c>
      <c r="F1788" s="83">
        <v>0.3541666666666667</v>
      </c>
      <c r="G1788" s="83">
        <v>0.4583333333333333</v>
      </c>
      <c r="H1788" s="83">
        <v>0.10416666666666667</v>
      </c>
      <c r="I1788" s="84">
        <v>44372.0</v>
      </c>
      <c r="J1788" s="65" t="b">
        <v>1</v>
      </c>
      <c r="K1788" s="65"/>
      <c r="L1788" s="85" t="b">
        <f>IF(VLOOKUP(C1788,Projetos!A:L,12,false)=TRUE,TRUE,FALSE)</f>
        <v>1</v>
      </c>
      <c r="M1788" s="74">
        <v>73.7079846079846</v>
      </c>
      <c r="N1788" s="74">
        <f t="shared" si="1"/>
        <v>184.2699615</v>
      </c>
      <c r="O1788" s="74" t="b">
        <v>1</v>
      </c>
    </row>
    <row r="1789" hidden="1">
      <c r="A1789" s="82"/>
      <c r="B1789" s="65" t="s">
        <v>495</v>
      </c>
      <c r="C1789" s="65" t="s">
        <v>92</v>
      </c>
      <c r="D1789" s="65" t="str">
        <f>vlookup(C1789,'Classificação p pessoal'!F:G,2,false)</f>
        <v/>
      </c>
      <c r="E1789" s="65" t="s">
        <v>946</v>
      </c>
      <c r="F1789" s="83">
        <v>0.4583333333333333</v>
      </c>
      <c r="G1789" s="83">
        <v>0.5</v>
      </c>
      <c r="H1789" s="83">
        <v>0.041666666666666664</v>
      </c>
      <c r="I1789" s="84">
        <v>44372.0</v>
      </c>
      <c r="J1789" s="65" t="b">
        <v>1</v>
      </c>
      <c r="K1789" s="65"/>
      <c r="L1789" s="85" t="b">
        <f>IF(VLOOKUP(C1789,Projetos!A:L,12,false)=TRUE,TRUE,FALSE)</f>
        <v>1</v>
      </c>
      <c r="M1789" s="74">
        <v>73.7079846079846</v>
      </c>
      <c r="N1789" s="74">
        <f t="shared" si="1"/>
        <v>73.70798461</v>
      </c>
      <c r="O1789" s="74" t="b">
        <v>1</v>
      </c>
    </row>
    <row r="1790" hidden="1">
      <c r="A1790" s="82"/>
      <c r="B1790" s="65" t="s">
        <v>495</v>
      </c>
      <c r="C1790" s="65" t="s">
        <v>92</v>
      </c>
      <c r="D1790" s="65" t="str">
        <f>vlookup(C1790,'Classificação p pessoal'!F:G,2,false)</f>
        <v/>
      </c>
      <c r="E1790" s="65" t="s">
        <v>1038</v>
      </c>
      <c r="F1790" s="83">
        <v>0.5</v>
      </c>
      <c r="G1790" s="83">
        <v>0.5763888888888888</v>
      </c>
      <c r="H1790" s="83">
        <v>0.0763888888888889</v>
      </c>
      <c r="I1790" s="84">
        <v>44372.0</v>
      </c>
      <c r="J1790" s="65" t="b">
        <v>1</v>
      </c>
      <c r="K1790" s="65"/>
      <c r="L1790" s="85" t="b">
        <f>IF(VLOOKUP(C1790,Projetos!A:L,12,false)=TRUE,TRUE,FALSE)</f>
        <v>1</v>
      </c>
      <c r="M1790" s="74">
        <v>73.7079846079846</v>
      </c>
      <c r="N1790" s="74">
        <f t="shared" si="1"/>
        <v>135.1313051</v>
      </c>
      <c r="O1790" s="74" t="b">
        <v>1</v>
      </c>
    </row>
    <row r="1791" hidden="1">
      <c r="A1791" s="82"/>
      <c r="B1791" s="65" t="s">
        <v>495</v>
      </c>
      <c r="C1791" s="65" t="s">
        <v>117</v>
      </c>
      <c r="D1791" s="65" t="str">
        <f>vlookup(C1791,'Classificação p pessoal'!F:G,2,false)</f>
        <v>NP</v>
      </c>
      <c r="E1791" s="65" t="s">
        <v>1090</v>
      </c>
      <c r="F1791" s="83">
        <v>0.6180555555555556</v>
      </c>
      <c r="G1791" s="83">
        <v>0.75</v>
      </c>
      <c r="H1791" s="83">
        <v>0.13194444444444445</v>
      </c>
      <c r="I1791" s="84">
        <v>44372.0</v>
      </c>
      <c r="J1791" s="65" t="b">
        <v>1</v>
      </c>
      <c r="K1791" s="65"/>
      <c r="L1791" s="85" t="b">
        <f>IF(VLOOKUP(C1791,Projetos!A:L,12,false)=TRUE,TRUE,FALSE)</f>
        <v>1</v>
      </c>
      <c r="M1791" s="74">
        <v>73.7079846079846</v>
      </c>
      <c r="N1791" s="74">
        <f t="shared" si="1"/>
        <v>233.4086179</v>
      </c>
      <c r="O1791" s="74" t="b">
        <v>1</v>
      </c>
    </row>
    <row r="1792" hidden="1">
      <c r="A1792" s="82"/>
      <c r="B1792" s="65" t="s">
        <v>495</v>
      </c>
      <c r="C1792" s="65" t="s">
        <v>92</v>
      </c>
      <c r="D1792" s="65" t="str">
        <f>vlookup(C1792,'Classificação p pessoal'!F:G,2,false)</f>
        <v/>
      </c>
      <c r="E1792" s="65" t="s">
        <v>1091</v>
      </c>
      <c r="F1792" s="83">
        <v>0.3472222222222222</v>
      </c>
      <c r="G1792" s="83">
        <v>0.375</v>
      </c>
      <c r="H1792" s="83">
        <v>0.027777777777777776</v>
      </c>
      <c r="I1792" s="84">
        <v>44375.0</v>
      </c>
      <c r="J1792" s="65" t="b">
        <v>1</v>
      </c>
      <c r="K1792" s="65"/>
      <c r="L1792" s="85" t="b">
        <f>IF(VLOOKUP(C1792,Projetos!A:L,12,false)=TRUE,TRUE,FALSE)</f>
        <v>1</v>
      </c>
      <c r="M1792" s="74">
        <v>73.7079846079846</v>
      </c>
      <c r="N1792" s="74">
        <f t="shared" si="1"/>
        <v>49.13865641</v>
      </c>
      <c r="O1792" s="74" t="b">
        <v>1</v>
      </c>
    </row>
    <row r="1793" hidden="1">
      <c r="A1793" s="82"/>
      <c r="B1793" s="65" t="s">
        <v>495</v>
      </c>
      <c r="C1793" s="65" t="s">
        <v>84</v>
      </c>
      <c r="D1793" s="65"/>
      <c r="E1793" s="65" t="s">
        <v>1092</v>
      </c>
      <c r="F1793" s="83">
        <v>0.4166666666666667</v>
      </c>
      <c r="G1793" s="83">
        <v>0.4930555555555556</v>
      </c>
      <c r="H1793" s="83">
        <v>0.0763888888888889</v>
      </c>
      <c r="I1793" s="84">
        <v>44375.0</v>
      </c>
      <c r="J1793" s="65" t="b">
        <v>0</v>
      </c>
      <c r="K1793" s="65"/>
      <c r="L1793" s="85" t="b">
        <f>IF(VLOOKUP(C1793,Projetos!A:L,12,false)=TRUE,TRUE,FALSE)</f>
        <v>0</v>
      </c>
      <c r="M1793" s="74">
        <v>73.7079846079846</v>
      </c>
      <c r="N1793" s="74">
        <f t="shared" si="1"/>
        <v>0</v>
      </c>
      <c r="O1793" s="74" t="b">
        <v>0</v>
      </c>
    </row>
    <row r="1794" hidden="1">
      <c r="A1794" s="82"/>
      <c r="B1794" s="65" t="s">
        <v>495</v>
      </c>
      <c r="C1794" s="65" t="s">
        <v>117</v>
      </c>
      <c r="D1794" s="65" t="str">
        <f>vlookup(C1794,'Classificação p pessoal'!F:G,2,false)</f>
        <v>NP</v>
      </c>
      <c r="E1794" s="65" t="s">
        <v>1090</v>
      </c>
      <c r="F1794" s="83">
        <v>0.5</v>
      </c>
      <c r="G1794" s="83">
        <v>0.5895833333333333</v>
      </c>
      <c r="H1794" s="83">
        <v>0.08958333333333333</v>
      </c>
      <c r="I1794" s="84">
        <v>44375.0</v>
      </c>
      <c r="J1794" s="65" t="b">
        <v>1</v>
      </c>
      <c r="K1794" s="65"/>
      <c r="L1794" s="85" t="b">
        <f>IF(VLOOKUP(C1794,Projetos!A:L,12,false)=TRUE,TRUE,FALSE)</f>
        <v>1</v>
      </c>
      <c r="M1794" s="74">
        <v>73.7079846079846</v>
      </c>
      <c r="N1794" s="74">
        <f t="shared" si="1"/>
        <v>158.4721669</v>
      </c>
      <c r="O1794" s="74" t="b">
        <v>1</v>
      </c>
    </row>
    <row r="1795" hidden="1">
      <c r="A1795" s="82"/>
      <c r="B1795" s="65" t="s">
        <v>495</v>
      </c>
      <c r="C1795" s="65" t="s">
        <v>117</v>
      </c>
      <c r="D1795" s="65" t="str">
        <f>vlookup(C1795,'Classificação p pessoal'!F:G,2,false)</f>
        <v>NP</v>
      </c>
      <c r="E1795" s="65" t="s">
        <v>1093</v>
      </c>
      <c r="F1795" s="83">
        <v>0.63125</v>
      </c>
      <c r="G1795" s="83">
        <v>0.75</v>
      </c>
      <c r="H1795" s="83">
        <v>0.11875</v>
      </c>
      <c r="I1795" s="84">
        <v>44375.0</v>
      </c>
      <c r="J1795" s="65" t="b">
        <v>1</v>
      </c>
      <c r="K1795" s="65"/>
      <c r="L1795" s="85" t="b">
        <f>IF(VLOOKUP(C1795,Projetos!A:L,12,false)=TRUE,TRUE,FALSE)</f>
        <v>1</v>
      </c>
      <c r="M1795" s="74">
        <v>73.7079846079846</v>
      </c>
      <c r="N1795" s="74">
        <f t="shared" si="1"/>
        <v>210.0677561</v>
      </c>
      <c r="O1795" s="74" t="b">
        <v>1</v>
      </c>
    </row>
    <row r="1796" hidden="1">
      <c r="A1796" s="82"/>
      <c r="B1796" s="65" t="s">
        <v>495</v>
      </c>
      <c r="C1796" s="65" t="s">
        <v>100</v>
      </c>
      <c r="D1796" s="65"/>
      <c r="E1796" s="65" t="s">
        <v>1094</v>
      </c>
      <c r="F1796" s="83">
        <v>0.3472222222222222</v>
      </c>
      <c r="G1796" s="83">
        <v>0.4722222222222222</v>
      </c>
      <c r="H1796" s="83">
        <v>0.125</v>
      </c>
      <c r="I1796" s="84">
        <v>44376.0</v>
      </c>
      <c r="J1796" s="65" t="b">
        <v>0</v>
      </c>
      <c r="K1796" s="65" t="s">
        <v>150</v>
      </c>
      <c r="L1796" s="85" t="b">
        <f>IF(VLOOKUP(C1796,Projetos!A:L,12,false)=TRUE,TRUE,FALSE)</f>
        <v>1</v>
      </c>
      <c r="M1796" s="74">
        <v>73.7079846079846</v>
      </c>
      <c r="N1796" s="74">
        <f t="shared" si="1"/>
        <v>0</v>
      </c>
      <c r="O1796" s="74" t="b">
        <v>1</v>
      </c>
    </row>
    <row r="1797" hidden="1">
      <c r="A1797" s="82"/>
      <c r="B1797" s="65" t="s">
        <v>495</v>
      </c>
      <c r="C1797" s="65" t="s">
        <v>92</v>
      </c>
      <c r="D1797" s="65" t="str">
        <f>vlookup(C1797,'Classificação p pessoal'!F:G,2,false)</f>
        <v/>
      </c>
      <c r="E1797" s="65" t="s">
        <v>1095</v>
      </c>
      <c r="F1797" s="83">
        <v>0.4826388888888889</v>
      </c>
      <c r="G1797" s="83">
        <v>0.53125</v>
      </c>
      <c r="H1797" s="83">
        <v>0.04861111111111111</v>
      </c>
      <c r="I1797" s="84">
        <v>44376.0</v>
      </c>
      <c r="J1797" s="65" t="b">
        <v>1</v>
      </c>
      <c r="K1797" s="65"/>
      <c r="L1797" s="85" t="b">
        <f>IF(VLOOKUP(C1797,Projetos!A:L,12,false)=TRUE,TRUE,FALSE)</f>
        <v>1</v>
      </c>
      <c r="M1797" s="74">
        <v>73.7079846079846</v>
      </c>
      <c r="N1797" s="74">
        <f t="shared" si="1"/>
        <v>85.99264871</v>
      </c>
      <c r="O1797" s="74" t="b">
        <v>1</v>
      </c>
    </row>
    <row r="1798" hidden="1">
      <c r="A1798" s="82"/>
      <c r="B1798" s="65" t="s">
        <v>495</v>
      </c>
      <c r="C1798" s="65" t="s">
        <v>117</v>
      </c>
      <c r="D1798" s="65" t="str">
        <f>vlookup(C1798,'Classificação p pessoal'!F:G,2,false)</f>
        <v>NP</v>
      </c>
      <c r="E1798" s="65" t="s">
        <v>946</v>
      </c>
      <c r="F1798" s="83">
        <v>0.5416666666666666</v>
      </c>
      <c r="G1798" s="83">
        <v>0.5729166666666666</v>
      </c>
      <c r="H1798" s="83">
        <v>0.03125</v>
      </c>
      <c r="I1798" s="84">
        <v>44376.0</v>
      </c>
      <c r="J1798" s="65" t="b">
        <v>1</v>
      </c>
      <c r="K1798" s="65"/>
      <c r="L1798" s="85" t="b">
        <f>IF(VLOOKUP(C1798,Projetos!A:L,12,false)=TRUE,TRUE,FALSE)</f>
        <v>1</v>
      </c>
      <c r="M1798" s="74">
        <v>73.7079846079846</v>
      </c>
      <c r="N1798" s="74">
        <f t="shared" si="1"/>
        <v>55.28098846</v>
      </c>
      <c r="O1798" s="74" t="b">
        <v>1</v>
      </c>
    </row>
    <row r="1799" hidden="1">
      <c r="A1799" s="82"/>
      <c r="B1799" s="65" t="s">
        <v>495</v>
      </c>
      <c r="C1799" s="65" t="s">
        <v>117</v>
      </c>
      <c r="D1799" s="65" t="str">
        <f>vlookup(C1799,'Classificação p pessoal'!F:G,2,false)</f>
        <v>NP</v>
      </c>
      <c r="E1799" s="65" t="s">
        <v>832</v>
      </c>
      <c r="F1799" s="83">
        <v>0.6145833333333334</v>
      </c>
      <c r="G1799" s="83">
        <v>0.7083333333333334</v>
      </c>
      <c r="H1799" s="83">
        <v>0.09375</v>
      </c>
      <c r="I1799" s="84">
        <v>44376.0</v>
      </c>
      <c r="J1799" s="65" t="b">
        <v>1</v>
      </c>
      <c r="K1799" s="65"/>
      <c r="L1799" s="85" t="b">
        <f>IF(VLOOKUP(C1799,Projetos!A:L,12,false)=TRUE,TRUE,FALSE)</f>
        <v>1</v>
      </c>
      <c r="M1799" s="74">
        <v>73.7079846079846</v>
      </c>
      <c r="N1799" s="74">
        <f t="shared" si="1"/>
        <v>165.8429654</v>
      </c>
      <c r="O1799" s="74" t="b">
        <v>1</v>
      </c>
    </row>
    <row r="1800" hidden="1">
      <c r="A1800" s="82"/>
      <c r="B1800" s="65" t="s">
        <v>495</v>
      </c>
      <c r="C1800" s="65" t="s">
        <v>92</v>
      </c>
      <c r="D1800" s="65" t="str">
        <f>vlookup(C1800,'Classificação p pessoal'!F:G,2,false)</f>
        <v/>
      </c>
      <c r="E1800" s="65" t="s">
        <v>1096</v>
      </c>
      <c r="F1800" s="83">
        <v>0.7083333333333334</v>
      </c>
      <c r="G1800" s="83">
        <v>0.75</v>
      </c>
      <c r="H1800" s="83">
        <v>0.041666666666666664</v>
      </c>
      <c r="I1800" s="84">
        <v>44376.0</v>
      </c>
      <c r="J1800" s="65" t="b">
        <v>1</v>
      </c>
      <c r="K1800" s="65"/>
      <c r="L1800" s="85" t="b">
        <f>IF(VLOOKUP(C1800,Projetos!A:L,12,false)=TRUE,TRUE,FALSE)</f>
        <v>1</v>
      </c>
      <c r="M1800" s="74">
        <v>73.7079846079846</v>
      </c>
      <c r="N1800" s="74">
        <f t="shared" si="1"/>
        <v>73.70798461</v>
      </c>
      <c r="O1800" s="74" t="b">
        <v>1</v>
      </c>
    </row>
    <row r="1801" hidden="1">
      <c r="A1801" s="82"/>
      <c r="B1801" s="65" t="s">
        <v>495</v>
      </c>
      <c r="C1801" s="65" t="s">
        <v>100</v>
      </c>
      <c r="D1801" s="65" t="str">
        <f>vlookup(C1801,'Classificação p pessoal'!F:G,2,false)</f>
        <v>NP</v>
      </c>
      <c r="E1801" s="65" t="s">
        <v>1097</v>
      </c>
      <c r="F1801" s="83">
        <v>0.3541666666666667</v>
      </c>
      <c r="G1801" s="83">
        <v>0.4583333333333333</v>
      </c>
      <c r="H1801" s="83">
        <v>0.10416666666666667</v>
      </c>
      <c r="I1801" s="84">
        <v>44377.0</v>
      </c>
      <c r="J1801" s="65" t="b">
        <v>1</v>
      </c>
      <c r="K1801" s="65"/>
      <c r="L1801" s="85" t="b">
        <f>IF(VLOOKUP(C1801,Projetos!A:L,12,false)=TRUE,TRUE,FALSE)</f>
        <v>1</v>
      </c>
      <c r="M1801" s="74">
        <v>73.7079846079846</v>
      </c>
      <c r="N1801" s="74">
        <f t="shared" si="1"/>
        <v>184.2699615</v>
      </c>
      <c r="O1801" s="74" t="b">
        <v>1</v>
      </c>
    </row>
    <row r="1802" hidden="1">
      <c r="A1802" s="82"/>
      <c r="B1802" s="65" t="s">
        <v>495</v>
      </c>
      <c r="C1802" s="65" t="s">
        <v>84</v>
      </c>
      <c r="D1802" s="65"/>
      <c r="E1802" s="65" t="s">
        <v>1098</v>
      </c>
      <c r="F1802" s="83">
        <v>0.4583333333333333</v>
      </c>
      <c r="G1802" s="83">
        <v>0.5173611111111112</v>
      </c>
      <c r="H1802" s="83">
        <v>0.059027777777777776</v>
      </c>
      <c r="I1802" s="84">
        <v>44377.0</v>
      </c>
      <c r="J1802" s="65" t="b">
        <v>0</v>
      </c>
      <c r="K1802" s="65"/>
      <c r="L1802" s="85" t="b">
        <f>IF(VLOOKUP(C1802,Projetos!A:L,12,false)=TRUE,TRUE,FALSE)</f>
        <v>0</v>
      </c>
      <c r="M1802" s="74">
        <v>73.7079846079846</v>
      </c>
      <c r="N1802" s="74">
        <f t="shared" si="1"/>
        <v>0</v>
      </c>
      <c r="O1802" s="74" t="b">
        <v>0</v>
      </c>
    </row>
    <row r="1803" hidden="1">
      <c r="A1803" s="82"/>
      <c r="B1803" s="65" t="s">
        <v>495</v>
      </c>
      <c r="C1803" s="65" t="s">
        <v>92</v>
      </c>
      <c r="D1803" s="65" t="str">
        <f>vlookup(C1803,'Classificação p pessoal'!F:G,2,false)</f>
        <v/>
      </c>
      <c r="E1803" s="65" t="s">
        <v>1099</v>
      </c>
      <c r="F1803" s="83">
        <v>0.5590277777777778</v>
      </c>
      <c r="G1803" s="83">
        <v>0.5833333333333334</v>
      </c>
      <c r="H1803" s="83">
        <v>0.024305555555555556</v>
      </c>
      <c r="I1803" s="84">
        <v>44377.0</v>
      </c>
      <c r="J1803" s="65" t="b">
        <v>1</v>
      </c>
      <c r="K1803" s="65"/>
      <c r="L1803" s="85" t="b">
        <f>IF(VLOOKUP(C1803,Projetos!A:L,12,false)=TRUE,TRUE,FALSE)</f>
        <v>1</v>
      </c>
      <c r="M1803" s="74">
        <v>73.7079846079846</v>
      </c>
      <c r="N1803" s="74">
        <f t="shared" si="1"/>
        <v>42.99632435</v>
      </c>
      <c r="O1803" s="74" t="b">
        <v>1</v>
      </c>
    </row>
    <row r="1804" hidden="1">
      <c r="A1804" s="82"/>
      <c r="B1804" s="65" t="s">
        <v>495</v>
      </c>
      <c r="C1804" s="65" t="s">
        <v>92</v>
      </c>
      <c r="D1804" s="65"/>
      <c r="E1804" s="65" t="s">
        <v>1100</v>
      </c>
      <c r="F1804" s="83">
        <v>0.5833333333333334</v>
      </c>
      <c r="G1804" s="83">
        <v>0.7291666666666666</v>
      </c>
      <c r="H1804" s="83">
        <v>0.14583333333333334</v>
      </c>
      <c r="I1804" s="84">
        <v>44377.0</v>
      </c>
      <c r="J1804" s="65" t="b">
        <v>0</v>
      </c>
      <c r="K1804" s="65" t="s">
        <v>150</v>
      </c>
      <c r="L1804" s="85" t="b">
        <f>IF(VLOOKUP(C1804,Projetos!A:L,12,false)=TRUE,TRUE,FALSE)</f>
        <v>1</v>
      </c>
      <c r="M1804" s="74">
        <v>73.7079846079846</v>
      </c>
      <c r="N1804" s="74">
        <f t="shared" si="1"/>
        <v>0</v>
      </c>
      <c r="O1804" s="74" t="b">
        <v>1</v>
      </c>
    </row>
    <row r="1805" hidden="1">
      <c r="A1805" s="82"/>
      <c r="B1805" s="65" t="s">
        <v>495</v>
      </c>
      <c r="C1805" s="65" t="s">
        <v>84</v>
      </c>
      <c r="D1805" s="65"/>
      <c r="E1805" s="65" t="s">
        <v>1101</v>
      </c>
      <c r="F1805" s="83">
        <v>0.3541666666666667</v>
      </c>
      <c r="G1805" s="83">
        <v>0.4166666666666667</v>
      </c>
      <c r="H1805" s="83">
        <v>0.0625</v>
      </c>
      <c r="I1805" s="84">
        <v>44378.0</v>
      </c>
      <c r="J1805" s="65" t="b">
        <v>0</v>
      </c>
      <c r="K1805" s="65"/>
      <c r="L1805" s="85" t="b">
        <f>IF(VLOOKUP(C1805,Projetos!A:L,12,false)=TRUE,TRUE,FALSE)</f>
        <v>0</v>
      </c>
      <c r="M1805" s="74">
        <v>73.7079846079846</v>
      </c>
      <c r="N1805" s="74">
        <f t="shared" si="1"/>
        <v>0</v>
      </c>
      <c r="O1805" s="74" t="b">
        <v>0</v>
      </c>
    </row>
    <row r="1806" hidden="1">
      <c r="A1806" s="82"/>
      <c r="B1806" s="65" t="s">
        <v>495</v>
      </c>
      <c r="C1806" s="65" t="s">
        <v>92</v>
      </c>
      <c r="D1806" s="65" t="str">
        <f>vlookup(C1806,'Classificação p pessoal'!F:G,2,false)</f>
        <v/>
      </c>
      <c r="E1806" s="65" t="s">
        <v>1102</v>
      </c>
      <c r="F1806" s="83">
        <v>0.4375</v>
      </c>
      <c r="G1806" s="83">
        <v>0.5555555555555556</v>
      </c>
      <c r="H1806" s="83">
        <v>0.11805555555555555</v>
      </c>
      <c r="I1806" s="84">
        <v>44378.0</v>
      </c>
      <c r="J1806" s="65" t="b">
        <v>1</v>
      </c>
      <c r="K1806" s="65"/>
      <c r="L1806" s="85" t="b">
        <f>IF(VLOOKUP(C1806,Projetos!A:L,12,false)=TRUE,TRUE,FALSE)</f>
        <v>1</v>
      </c>
      <c r="M1806" s="74">
        <v>73.7079846079846</v>
      </c>
      <c r="N1806" s="74">
        <f t="shared" si="1"/>
        <v>208.8392897</v>
      </c>
      <c r="O1806" s="74" t="b">
        <v>1</v>
      </c>
    </row>
    <row r="1807" hidden="1">
      <c r="A1807" s="82"/>
      <c r="B1807" s="65" t="s">
        <v>495</v>
      </c>
      <c r="C1807" s="65" t="s">
        <v>117</v>
      </c>
      <c r="D1807" s="65" t="str">
        <f>vlookup(C1807,'Classificação p pessoal'!F:G,2,false)</f>
        <v>NP</v>
      </c>
      <c r="E1807" s="65" t="s">
        <v>1103</v>
      </c>
      <c r="F1807" s="83">
        <v>0.6041666666666666</v>
      </c>
      <c r="G1807" s="83">
        <v>0.6458333333333334</v>
      </c>
      <c r="H1807" s="83">
        <v>0.041666666666666664</v>
      </c>
      <c r="I1807" s="84">
        <v>44378.0</v>
      </c>
      <c r="J1807" s="65" t="b">
        <v>1</v>
      </c>
      <c r="K1807" s="65"/>
      <c r="L1807" s="85" t="b">
        <f>IF(VLOOKUP(C1807,Projetos!A:L,12,false)=TRUE,TRUE,FALSE)</f>
        <v>1</v>
      </c>
      <c r="M1807" s="74">
        <v>73.7079846079846</v>
      </c>
      <c r="N1807" s="74">
        <f t="shared" si="1"/>
        <v>73.70798461</v>
      </c>
      <c r="O1807" s="74" t="b">
        <v>1</v>
      </c>
    </row>
    <row r="1808" hidden="1">
      <c r="A1808" s="82"/>
      <c r="B1808" s="65" t="s">
        <v>495</v>
      </c>
      <c r="C1808" s="65" t="s">
        <v>92</v>
      </c>
      <c r="D1808" s="65" t="str">
        <f>vlookup(C1808,'Classificação p pessoal'!F:G,2,false)</f>
        <v/>
      </c>
      <c r="E1808" s="65" t="s">
        <v>1101</v>
      </c>
      <c r="F1808" s="83">
        <v>0.6458333333333334</v>
      </c>
      <c r="G1808" s="83">
        <v>0.7083333333333334</v>
      </c>
      <c r="H1808" s="83">
        <v>0.0625</v>
      </c>
      <c r="I1808" s="84">
        <v>44378.0</v>
      </c>
      <c r="J1808" s="65" t="b">
        <v>1</v>
      </c>
      <c r="K1808" s="65"/>
      <c r="L1808" s="85" t="b">
        <f>IF(VLOOKUP(C1808,Projetos!A:L,12,false)=TRUE,TRUE,FALSE)</f>
        <v>1</v>
      </c>
      <c r="M1808" s="74">
        <v>73.7079846079846</v>
      </c>
      <c r="N1808" s="74">
        <f t="shared" si="1"/>
        <v>110.5619769</v>
      </c>
      <c r="O1808" s="74" t="b">
        <v>1</v>
      </c>
    </row>
    <row r="1809" hidden="1">
      <c r="A1809" s="82"/>
      <c r="B1809" s="65" t="s">
        <v>495</v>
      </c>
      <c r="C1809" s="65" t="s">
        <v>92</v>
      </c>
      <c r="D1809" s="65" t="str">
        <f>vlookup(C1809,'Classificação p pessoal'!F:G,2,false)</f>
        <v/>
      </c>
      <c r="E1809" s="65" t="s">
        <v>1104</v>
      </c>
      <c r="F1809" s="83">
        <v>0.7083333333333334</v>
      </c>
      <c r="G1809" s="83">
        <v>0.75</v>
      </c>
      <c r="H1809" s="83">
        <v>0.041666666666666664</v>
      </c>
      <c r="I1809" s="84">
        <v>44378.0</v>
      </c>
      <c r="J1809" s="65" t="b">
        <v>1</v>
      </c>
      <c r="K1809" s="65"/>
      <c r="L1809" s="85" t="b">
        <f>IF(VLOOKUP(C1809,Projetos!A:L,12,false)=TRUE,TRUE,FALSE)</f>
        <v>1</v>
      </c>
      <c r="M1809" s="74">
        <v>73.7079846079846</v>
      </c>
      <c r="N1809" s="74">
        <f t="shared" si="1"/>
        <v>73.70798461</v>
      </c>
      <c r="O1809" s="74" t="b">
        <v>1</v>
      </c>
    </row>
    <row r="1810" hidden="1">
      <c r="A1810" s="82"/>
      <c r="B1810" s="65" t="s">
        <v>495</v>
      </c>
      <c r="C1810" s="65" t="s">
        <v>100</v>
      </c>
      <c r="D1810" s="65"/>
      <c r="E1810" s="65" t="s">
        <v>1105</v>
      </c>
      <c r="F1810" s="83">
        <v>0.3611111111111111</v>
      </c>
      <c r="G1810" s="83">
        <v>0.4375</v>
      </c>
      <c r="H1810" s="83">
        <v>0.0763888888888889</v>
      </c>
      <c r="I1810" s="84">
        <v>44379.0</v>
      </c>
      <c r="J1810" s="65" t="b">
        <v>0</v>
      </c>
      <c r="K1810" s="65" t="s">
        <v>150</v>
      </c>
      <c r="L1810" s="85" t="b">
        <f>IF(VLOOKUP(C1810,Projetos!A:L,12,false)=TRUE,TRUE,FALSE)</f>
        <v>1</v>
      </c>
      <c r="M1810" s="74">
        <v>73.7079846079846</v>
      </c>
      <c r="N1810" s="74">
        <f t="shared" si="1"/>
        <v>0</v>
      </c>
      <c r="O1810" s="74" t="b">
        <v>1</v>
      </c>
    </row>
    <row r="1811" hidden="1">
      <c r="A1811" s="82"/>
      <c r="B1811" s="65" t="s">
        <v>411</v>
      </c>
      <c r="C1811" s="65" t="s">
        <v>119</v>
      </c>
      <c r="D1811" s="65" t="str">
        <f>vlookup(C1811,'Classificação p pessoal'!F:G,2,false)</f>
        <v>NP</v>
      </c>
      <c r="E1811" s="65" t="s">
        <v>1086</v>
      </c>
      <c r="F1811" s="83">
        <v>0.5833333333333334</v>
      </c>
      <c r="G1811" s="83">
        <v>0.6458333333333334</v>
      </c>
      <c r="H1811" s="83">
        <v>0.0625</v>
      </c>
      <c r="I1811" s="84">
        <v>44438.0</v>
      </c>
      <c r="J1811" s="65" t="b">
        <v>1</v>
      </c>
      <c r="K1811" s="65"/>
      <c r="L1811" s="85" t="b">
        <f>IF(VLOOKUP(C1811,Projetos!A:L,12,false)=TRUE,TRUE,FALSE)</f>
        <v>1</v>
      </c>
      <c r="M1811" s="74">
        <v>52.48434411075036</v>
      </c>
      <c r="N1811" s="74">
        <f t="shared" si="1"/>
        <v>78.72651617</v>
      </c>
      <c r="O1811" s="74" t="b">
        <v>1</v>
      </c>
    </row>
    <row r="1812" hidden="1">
      <c r="A1812" s="82"/>
      <c r="B1812" s="65" t="s">
        <v>495</v>
      </c>
      <c r="C1812" s="65" t="s">
        <v>92</v>
      </c>
      <c r="D1812" s="65" t="str">
        <f>vlookup(C1812,'Classificação p pessoal'!F:G,2,false)</f>
        <v/>
      </c>
      <c r="E1812" s="65" t="s">
        <v>1102</v>
      </c>
      <c r="F1812" s="83">
        <v>0.5104166666666666</v>
      </c>
      <c r="G1812" s="83">
        <v>0.5729166666666666</v>
      </c>
      <c r="H1812" s="83">
        <v>0.0625</v>
      </c>
      <c r="I1812" s="84">
        <v>44379.0</v>
      </c>
      <c r="J1812" s="65" t="b">
        <v>1</v>
      </c>
      <c r="K1812" s="65"/>
      <c r="L1812" s="85" t="b">
        <f>IF(VLOOKUP(C1812,Projetos!A:L,12,false)=TRUE,TRUE,FALSE)</f>
        <v>1</v>
      </c>
      <c r="M1812" s="74">
        <v>73.7079846079846</v>
      </c>
      <c r="N1812" s="74">
        <f t="shared" si="1"/>
        <v>110.5619769</v>
      </c>
      <c r="O1812" s="74" t="b">
        <v>1</v>
      </c>
    </row>
    <row r="1813" hidden="1">
      <c r="A1813" s="82"/>
      <c r="B1813" s="65" t="s">
        <v>495</v>
      </c>
      <c r="C1813" s="65" t="s">
        <v>92</v>
      </c>
      <c r="D1813" s="65" t="str">
        <f>vlookup(C1813,'Classificação p pessoal'!F:G,2,false)</f>
        <v/>
      </c>
      <c r="E1813" s="65" t="s">
        <v>1106</v>
      </c>
      <c r="F1813" s="83">
        <v>0.6145833333333334</v>
      </c>
      <c r="G1813" s="83">
        <v>0.6666666666666666</v>
      </c>
      <c r="H1813" s="83">
        <v>0.052083333333333336</v>
      </c>
      <c r="I1813" s="84">
        <v>44379.0</v>
      </c>
      <c r="J1813" s="65" t="b">
        <v>1</v>
      </c>
      <c r="K1813" s="65"/>
      <c r="L1813" s="85" t="b">
        <f>IF(VLOOKUP(C1813,Projetos!A:L,12,false)=TRUE,TRUE,FALSE)</f>
        <v>1</v>
      </c>
      <c r="M1813" s="74">
        <v>73.7079846079846</v>
      </c>
      <c r="N1813" s="74">
        <f t="shared" si="1"/>
        <v>92.13498076</v>
      </c>
      <c r="O1813" s="74" t="b">
        <v>1</v>
      </c>
    </row>
    <row r="1814" hidden="1">
      <c r="A1814" s="82"/>
      <c r="B1814" s="65" t="s">
        <v>495</v>
      </c>
      <c r="C1814" s="65" t="s">
        <v>92</v>
      </c>
      <c r="D1814" s="65" t="str">
        <f>vlookup(C1814,'Classificação p pessoal'!F:G,2,false)</f>
        <v/>
      </c>
      <c r="E1814" s="65" t="s">
        <v>865</v>
      </c>
      <c r="F1814" s="83">
        <v>0.6666666666666666</v>
      </c>
      <c r="G1814" s="83">
        <v>0.75</v>
      </c>
      <c r="H1814" s="83">
        <v>0.08333333333333333</v>
      </c>
      <c r="I1814" s="84">
        <v>44379.0</v>
      </c>
      <c r="J1814" s="65" t="b">
        <v>1</v>
      </c>
      <c r="K1814" s="65"/>
      <c r="L1814" s="85" t="b">
        <f>IF(VLOOKUP(C1814,Projetos!A:L,12,false)=TRUE,TRUE,FALSE)</f>
        <v>1</v>
      </c>
      <c r="M1814" s="74">
        <v>73.7079846079846</v>
      </c>
      <c r="N1814" s="74">
        <f t="shared" si="1"/>
        <v>147.4159692</v>
      </c>
      <c r="O1814" s="74" t="b">
        <v>1</v>
      </c>
    </row>
    <row r="1815" hidden="1">
      <c r="A1815" s="82"/>
      <c r="B1815" s="65" t="s">
        <v>495</v>
      </c>
      <c r="C1815" s="65" t="s">
        <v>106</v>
      </c>
      <c r="D1815" s="65"/>
      <c r="E1815" s="65" t="s">
        <v>1107</v>
      </c>
      <c r="F1815" s="83">
        <v>0.34375</v>
      </c>
      <c r="G1815" s="83">
        <v>0.375</v>
      </c>
      <c r="H1815" s="83">
        <v>0.03125</v>
      </c>
      <c r="I1815" s="84">
        <v>44382.0</v>
      </c>
      <c r="J1815" s="65" t="b">
        <v>0</v>
      </c>
      <c r="K1815" s="65" t="s">
        <v>150</v>
      </c>
      <c r="L1815" s="85" t="b">
        <f>IF(VLOOKUP(C1815,Projetos!A:L,12,false)=TRUE,TRUE,FALSE)</f>
        <v>1</v>
      </c>
      <c r="M1815" s="74">
        <v>73.7079846079846</v>
      </c>
      <c r="N1815" s="74">
        <f t="shared" si="1"/>
        <v>0</v>
      </c>
      <c r="O1815" s="74" t="b">
        <v>1</v>
      </c>
    </row>
    <row r="1816" hidden="1">
      <c r="A1816" s="82"/>
      <c r="B1816" s="65" t="s">
        <v>495</v>
      </c>
      <c r="C1816" s="65" t="s">
        <v>106</v>
      </c>
      <c r="D1816" s="65" t="str">
        <f>vlookup(C1816,'Classificação p pessoal'!F:G,2,false)</f>
        <v>MProcesso</v>
      </c>
      <c r="E1816" s="65" t="s">
        <v>1108</v>
      </c>
      <c r="F1816" s="83">
        <v>0.375</v>
      </c>
      <c r="G1816" s="83">
        <v>0.4375</v>
      </c>
      <c r="H1816" s="83">
        <v>0.0625</v>
      </c>
      <c r="I1816" s="84">
        <v>44382.0</v>
      </c>
      <c r="J1816" s="65" t="b">
        <v>1</v>
      </c>
      <c r="K1816" s="65"/>
      <c r="L1816" s="85" t="b">
        <f>IF(VLOOKUP(C1816,Projetos!A:L,12,false)=TRUE,TRUE,FALSE)</f>
        <v>1</v>
      </c>
      <c r="M1816" s="74">
        <v>73.7079846079846</v>
      </c>
      <c r="N1816" s="74">
        <f t="shared" si="1"/>
        <v>110.5619769</v>
      </c>
      <c r="O1816" s="74" t="b">
        <v>1</v>
      </c>
    </row>
    <row r="1817" hidden="1">
      <c r="A1817" s="82"/>
      <c r="B1817" s="65" t="s">
        <v>495</v>
      </c>
      <c r="C1817" s="65" t="s">
        <v>92</v>
      </c>
      <c r="D1817" s="65" t="str">
        <f>vlookup(C1817,'Classificação p pessoal'!F:G,2,false)</f>
        <v/>
      </c>
      <c r="E1817" s="65" t="s">
        <v>1109</v>
      </c>
      <c r="F1817" s="83">
        <v>0.4375</v>
      </c>
      <c r="G1817" s="83">
        <v>0.5</v>
      </c>
      <c r="H1817" s="83">
        <v>0.0625</v>
      </c>
      <c r="I1817" s="84">
        <v>44382.0</v>
      </c>
      <c r="J1817" s="65" t="b">
        <v>1</v>
      </c>
      <c r="K1817" s="65"/>
      <c r="L1817" s="85" t="b">
        <f>IF(VLOOKUP(C1817,Projetos!A:L,12,false)=TRUE,TRUE,FALSE)</f>
        <v>1</v>
      </c>
      <c r="M1817" s="74">
        <v>73.7079846079846</v>
      </c>
      <c r="N1817" s="74">
        <f t="shared" si="1"/>
        <v>110.5619769</v>
      </c>
      <c r="O1817" s="74" t="b">
        <v>1</v>
      </c>
    </row>
    <row r="1818" hidden="1">
      <c r="A1818" s="82"/>
      <c r="B1818" s="65" t="s">
        <v>495</v>
      </c>
      <c r="C1818" s="65" t="s">
        <v>100</v>
      </c>
      <c r="D1818" s="65" t="str">
        <f>vlookup(C1818,'Classificação p pessoal'!F:G,2,false)</f>
        <v>NP</v>
      </c>
      <c r="E1818" s="65" t="s">
        <v>1110</v>
      </c>
      <c r="F1818" s="83">
        <v>0.5104166666666666</v>
      </c>
      <c r="G1818" s="83">
        <v>0.5798611111111112</v>
      </c>
      <c r="H1818" s="83">
        <v>0.06944444444444445</v>
      </c>
      <c r="I1818" s="84">
        <v>44382.0</v>
      </c>
      <c r="J1818" s="65" t="b">
        <v>1</v>
      </c>
      <c r="K1818" s="65"/>
      <c r="L1818" s="85" t="b">
        <f>IF(VLOOKUP(C1818,Projetos!A:L,12,false)=TRUE,TRUE,FALSE)</f>
        <v>1</v>
      </c>
      <c r="M1818" s="74">
        <v>73.7079846079846</v>
      </c>
      <c r="N1818" s="74">
        <f t="shared" si="1"/>
        <v>122.846641</v>
      </c>
      <c r="O1818" s="74" t="b">
        <v>1</v>
      </c>
    </row>
    <row r="1819" hidden="1">
      <c r="A1819" s="82"/>
      <c r="B1819" s="65" t="s">
        <v>495</v>
      </c>
      <c r="C1819" s="65" t="s">
        <v>100</v>
      </c>
      <c r="D1819" s="65" t="str">
        <f>vlookup(C1819,'Classificação p pessoal'!F:G,2,false)</f>
        <v>NP</v>
      </c>
      <c r="E1819" s="65" t="s">
        <v>1111</v>
      </c>
      <c r="F1819" s="83">
        <v>0.6215277777777778</v>
      </c>
      <c r="G1819" s="83">
        <v>0.6527777777777778</v>
      </c>
      <c r="H1819" s="83">
        <v>0.03125</v>
      </c>
      <c r="I1819" s="84">
        <v>44382.0</v>
      </c>
      <c r="J1819" s="65" t="b">
        <v>1</v>
      </c>
      <c r="K1819" s="65"/>
      <c r="L1819" s="85" t="b">
        <f>IF(VLOOKUP(C1819,Projetos!A:L,12,false)=TRUE,TRUE,FALSE)</f>
        <v>1</v>
      </c>
      <c r="M1819" s="74">
        <v>73.7079846079846</v>
      </c>
      <c r="N1819" s="74">
        <f t="shared" si="1"/>
        <v>55.28098846</v>
      </c>
      <c r="O1819" s="74" t="b">
        <v>1</v>
      </c>
    </row>
    <row r="1820" hidden="1">
      <c r="A1820" s="82"/>
      <c r="B1820" s="65" t="s">
        <v>495</v>
      </c>
      <c r="C1820" s="65" t="s">
        <v>84</v>
      </c>
      <c r="D1820" s="65"/>
      <c r="E1820" s="65" t="s">
        <v>1112</v>
      </c>
      <c r="F1820" s="83">
        <v>0.6666666666666666</v>
      </c>
      <c r="G1820" s="83">
        <v>0.7083333333333334</v>
      </c>
      <c r="H1820" s="83">
        <v>0.041666666666666664</v>
      </c>
      <c r="I1820" s="84">
        <v>44382.0</v>
      </c>
      <c r="J1820" s="65" t="b">
        <v>0</v>
      </c>
      <c r="K1820" s="65"/>
      <c r="L1820" s="85" t="b">
        <f>IF(VLOOKUP(C1820,Projetos!A:L,12,false)=TRUE,TRUE,FALSE)</f>
        <v>0</v>
      </c>
      <c r="M1820" s="74">
        <v>73.7079846079846</v>
      </c>
      <c r="N1820" s="74">
        <f t="shared" si="1"/>
        <v>0</v>
      </c>
      <c r="O1820" s="74" t="b">
        <v>0</v>
      </c>
    </row>
    <row r="1821" hidden="1">
      <c r="A1821" s="82"/>
      <c r="B1821" s="65" t="s">
        <v>495</v>
      </c>
      <c r="C1821" s="65" t="s">
        <v>92</v>
      </c>
      <c r="D1821" s="65" t="str">
        <f>vlookup(C1821,'Classificação p pessoal'!F:G,2,false)</f>
        <v/>
      </c>
      <c r="E1821" s="65" t="s">
        <v>1113</v>
      </c>
      <c r="F1821" s="83">
        <v>0.34375</v>
      </c>
      <c r="G1821" s="83">
        <v>0.375</v>
      </c>
      <c r="H1821" s="83">
        <v>0.03125</v>
      </c>
      <c r="I1821" s="84">
        <v>44383.0</v>
      </c>
      <c r="J1821" s="65" t="b">
        <v>1</v>
      </c>
      <c r="K1821" s="65"/>
      <c r="L1821" s="85" t="b">
        <f>IF(VLOOKUP(C1821,Projetos!A:L,12,false)=TRUE,TRUE,FALSE)</f>
        <v>1</v>
      </c>
      <c r="M1821" s="74">
        <v>73.7079846079846</v>
      </c>
      <c r="N1821" s="74">
        <f t="shared" si="1"/>
        <v>55.28098846</v>
      </c>
      <c r="O1821" s="74" t="b">
        <v>1</v>
      </c>
    </row>
    <row r="1822" hidden="1">
      <c r="A1822" s="82"/>
      <c r="B1822" s="65" t="s">
        <v>495</v>
      </c>
      <c r="C1822" s="65" t="s">
        <v>92</v>
      </c>
      <c r="D1822" s="65"/>
      <c r="E1822" s="65" t="s">
        <v>1114</v>
      </c>
      <c r="F1822" s="83">
        <v>0.375</v>
      </c>
      <c r="G1822" s="83">
        <v>0.4166666666666667</v>
      </c>
      <c r="H1822" s="83">
        <v>0.041666666666666664</v>
      </c>
      <c r="I1822" s="84">
        <v>44383.0</v>
      </c>
      <c r="J1822" s="65" t="b">
        <v>0</v>
      </c>
      <c r="K1822" s="65" t="s">
        <v>150</v>
      </c>
      <c r="L1822" s="85" t="b">
        <f>IF(VLOOKUP(C1822,Projetos!A:L,12,false)=TRUE,TRUE,FALSE)</f>
        <v>1</v>
      </c>
      <c r="M1822" s="74">
        <v>73.7079846079846</v>
      </c>
      <c r="N1822" s="74">
        <f t="shared" si="1"/>
        <v>0</v>
      </c>
      <c r="O1822" s="74" t="b">
        <v>1</v>
      </c>
    </row>
    <row r="1823" hidden="1">
      <c r="A1823" s="82"/>
      <c r="B1823" s="65" t="s">
        <v>495</v>
      </c>
      <c r="C1823" s="65" t="s">
        <v>92</v>
      </c>
      <c r="D1823" s="65" t="str">
        <f>vlookup(C1823,'Classificação p pessoal'!F:G,2,false)</f>
        <v/>
      </c>
      <c r="E1823" s="65" t="s">
        <v>1115</v>
      </c>
      <c r="F1823" s="83">
        <v>0.4166666666666667</v>
      </c>
      <c r="G1823" s="83">
        <v>0.4375</v>
      </c>
      <c r="H1823" s="83">
        <v>0.020833333333333332</v>
      </c>
      <c r="I1823" s="84">
        <v>44383.0</v>
      </c>
      <c r="J1823" s="65" t="b">
        <v>1</v>
      </c>
      <c r="K1823" s="65"/>
      <c r="L1823" s="85" t="b">
        <f>IF(VLOOKUP(C1823,Projetos!A:L,12,false)=TRUE,TRUE,FALSE)</f>
        <v>1</v>
      </c>
      <c r="M1823" s="74">
        <v>73.7079846079846</v>
      </c>
      <c r="N1823" s="74">
        <f t="shared" si="1"/>
        <v>36.8539923</v>
      </c>
      <c r="O1823" s="74" t="b">
        <v>1</v>
      </c>
    </row>
    <row r="1824" hidden="1">
      <c r="A1824" s="82"/>
      <c r="B1824" s="65" t="s">
        <v>495</v>
      </c>
      <c r="C1824" s="65" t="s">
        <v>106</v>
      </c>
      <c r="D1824" s="65" t="str">
        <f>vlookup(C1824,'Classificação p pessoal'!F:G,2,false)</f>
        <v>MProcesso</v>
      </c>
      <c r="E1824" s="65" t="s">
        <v>1116</v>
      </c>
      <c r="F1824" s="83">
        <v>0.4375</v>
      </c>
      <c r="G1824" s="83">
        <v>0.46875</v>
      </c>
      <c r="H1824" s="83">
        <v>0.03125</v>
      </c>
      <c r="I1824" s="84">
        <v>44383.0</v>
      </c>
      <c r="J1824" s="65" t="b">
        <v>1</v>
      </c>
      <c r="K1824" s="65"/>
      <c r="L1824" s="85" t="b">
        <f>IF(VLOOKUP(C1824,Projetos!A:L,12,false)=TRUE,TRUE,FALSE)</f>
        <v>1</v>
      </c>
      <c r="M1824" s="74">
        <v>73.7079846079846</v>
      </c>
      <c r="N1824" s="74">
        <f t="shared" si="1"/>
        <v>55.28098846</v>
      </c>
      <c r="O1824" s="74" t="b">
        <v>1</v>
      </c>
    </row>
    <row r="1825" hidden="1">
      <c r="A1825" s="82"/>
      <c r="B1825" s="65" t="s">
        <v>495</v>
      </c>
      <c r="C1825" s="65" t="s">
        <v>117</v>
      </c>
      <c r="D1825" s="65" t="str">
        <f>vlookup(C1825,'Classificação p pessoal'!F:G,2,false)</f>
        <v>NP</v>
      </c>
      <c r="E1825" s="65" t="s">
        <v>1117</v>
      </c>
      <c r="F1825" s="83">
        <v>0.6111111111111112</v>
      </c>
      <c r="G1825" s="83">
        <v>0.7361111111111112</v>
      </c>
      <c r="H1825" s="83">
        <v>0.125</v>
      </c>
      <c r="I1825" s="84">
        <v>44383.0</v>
      </c>
      <c r="J1825" s="65" t="b">
        <v>1</v>
      </c>
      <c r="K1825" s="65"/>
      <c r="L1825" s="85" t="b">
        <f>IF(VLOOKUP(C1825,Projetos!A:L,12,false)=TRUE,TRUE,FALSE)</f>
        <v>1</v>
      </c>
      <c r="M1825" s="74">
        <v>73.7079846079846</v>
      </c>
      <c r="N1825" s="74">
        <f t="shared" si="1"/>
        <v>221.1239538</v>
      </c>
      <c r="O1825" s="74" t="b">
        <v>1</v>
      </c>
    </row>
    <row r="1826" hidden="1">
      <c r="A1826" s="82"/>
      <c r="B1826" s="65" t="s">
        <v>495</v>
      </c>
      <c r="C1826" s="65" t="s">
        <v>92</v>
      </c>
      <c r="D1826" s="65"/>
      <c r="E1826" s="65" t="s">
        <v>1118</v>
      </c>
      <c r="F1826" s="83">
        <v>0.7361111111111112</v>
      </c>
      <c r="G1826" s="83">
        <v>0.75</v>
      </c>
      <c r="H1826" s="83">
        <v>0.013888888888888888</v>
      </c>
      <c r="I1826" s="84">
        <v>44383.0</v>
      </c>
      <c r="J1826" s="65" t="b">
        <v>0</v>
      </c>
      <c r="K1826" s="65" t="s">
        <v>150</v>
      </c>
      <c r="L1826" s="85" t="b">
        <f>IF(VLOOKUP(C1826,Projetos!A:L,12,false)=TRUE,TRUE,FALSE)</f>
        <v>1</v>
      </c>
      <c r="M1826" s="74">
        <v>73.7079846079846</v>
      </c>
      <c r="N1826" s="74">
        <f t="shared" si="1"/>
        <v>0</v>
      </c>
      <c r="O1826" s="74" t="b">
        <v>1</v>
      </c>
    </row>
    <row r="1827" hidden="1">
      <c r="A1827" s="82"/>
      <c r="B1827" s="65" t="s">
        <v>495</v>
      </c>
      <c r="C1827" s="65" t="s">
        <v>92</v>
      </c>
      <c r="D1827" s="65" t="str">
        <f>vlookup(C1827,'Classificação p pessoal'!F:G,2,false)</f>
        <v/>
      </c>
      <c r="E1827" s="65" t="s">
        <v>1119</v>
      </c>
      <c r="F1827" s="83">
        <v>0.34375</v>
      </c>
      <c r="G1827" s="83">
        <v>0.375</v>
      </c>
      <c r="H1827" s="83">
        <v>0.03125</v>
      </c>
      <c r="I1827" s="84">
        <v>44384.0</v>
      </c>
      <c r="J1827" s="65" t="b">
        <v>1</v>
      </c>
      <c r="K1827" s="65"/>
      <c r="L1827" s="85" t="b">
        <f>IF(VLOOKUP(C1827,Projetos!A:L,12,false)=TRUE,TRUE,FALSE)</f>
        <v>1</v>
      </c>
      <c r="M1827" s="74">
        <v>73.7079846079846</v>
      </c>
      <c r="N1827" s="74">
        <f t="shared" si="1"/>
        <v>55.28098846</v>
      </c>
      <c r="O1827" s="74" t="b">
        <v>1</v>
      </c>
    </row>
    <row r="1828" hidden="1">
      <c r="A1828" s="82"/>
      <c r="B1828" s="65" t="s">
        <v>495</v>
      </c>
      <c r="C1828" s="65" t="s">
        <v>117</v>
      </c>
      <c r="D1828" s="65"/>
      <c r="E1828" s="65" t="s">
        <v>1120</v>
      </c>
      <c r="F1828" s="83">
        <v>0.375</v>
      </c>
      <c r="G1828" s="83">
        <v>0.4305555555555556</v>
      </c>
      <c r="H1828" s="83">
        <v>0.05555555555555555</v>
      </c>
      <c r="I1828" s="84">
        <v>44384.0</v>
      </c>
      <c r="J1828" s="65" t="b">
        <v>0</v>
      </c>
      <c r="K1828" s="65" t="s">
        <v>150</v>
      </c>
      <c r="L1828" s="85" t="b">
        <f>IF(VLOOKUP(C1828,Projetos!A:L,12,false)=TRUE,TRUE,FALSE)</f>
        <v>1</v>
      </c>
      <c r="M1828" s="74">
        <v>73.7079846079846</v>
      </c>
      <c r="N1828" s="74">
        <f t="shared" si="1"/>
        <v>0</v>
      </c>
      <c r="O1828" s="74" t="b">
        <v>1</v>
      </c>
    </row>
    <row r="1829" hidden="1">
      <c r="A1829" s="82"/>
      <c r="B1829" s="65" t="s">
        <v>495</v>
      </c>
      <c r="C1829" s="65" t="s">
        <v>117</v>
      </c>
      <c r="D1829" s="65" t="str">
        <f>vlookup(C1829,'Classificação p pessoal'!F:G,2,false)</f>
        <v>NP</v>
      </c>
      <c r="E1829" s="65" t="s">
        <v>832</v>
      </c>
      <c r="F1829" s="83">
        <v>0.4722222222222222</v>
      </c>
      <c r="G1829" s="83">
        <v>0.5625</v>
      </c>
      <c r="H1829" s="83">
        <v>0.09027777777777778</v>
      </c>
      <c r="I1829" s="84">
        <v>44384.0</v>
      </c>
      <c r="J1829" s="65" t="b">
        <v>1</v>
      </c>
      <c r="K1829" s="65"/>
      <c r="L1829" s="85" t="b">
        <f>IF(VLOOKUP(C1829,Projetos!A:L,12,false)=TRUE,TRUE,FALSE)</f>
        <v>1</v>
      </c>
      <c r="M1829" s="74">
        <v>73.7079846079846</v>
      </c>
      <c r="N1829" s="74">
        <f t="shared" si="1"/>
        <v>159.7006333</v>
      </c>
      <c r="O1829" s="74" t="b">
        <v>1</v>
      </c>
    </row>
    <row r="1830" hidden="1">
      <c r="A1830" s="82"/>
      <c r="B1830" s="65" t="s">
        <v>495</v>
      </c>
      <c r="C1830" s="65" t="s">
        <v>117</v>
      </c>
      <c r="D1830" s="65" t="str">
        <f>vlookup(C1830,'Classificação p pessoal'!F:G,2,false)</f>
        <v>NP</v>
      </c>
      <c r="E1830" s="65" t="s">
        <v>832</v>
      </c>
      <c r="F1830" s="83">
        <v>0.6041666666666666</v>
      </c>
      <c r="G1830" s="83">
        <v>0.75</v>
      </c>
      <c r="H1830" s="83">
        <v>0.14583333333333334</v>
      </c>
      <c r="I1830" s="84">
        <v>44384.0</v>
      </c>
      <c r="J1830" s="65" t="b">
        <v>1</v>
      </c>
      <c r="K1830" s="65"/>
      <c r="L1830" s="85" t="b">
        <f>IF(VLOOKUP(C1830,Projetos!A:L,12,false)=TRUE,TRUE,FALSE)</f>
        <v>1</v>
      </c>
      <c r="M1830" s="74">
        <v>73.7079846079846</v>
      </c>
      <c r="N1830" s="74">
        <f t="shared" si="1"/>
        <v>257.9779461</v>
      </c>
      <c r="O1830" s="74" t="b">
        <v>1</v>
      </c>
    </row>
    <row r="1831" hidden="1">
      <c r="A1831" s="82"/>
      <c r="B1831" s="65" t="s">
        <v>495</v>
      </c>
      <c r="C1831" s="65" t="s">
        <v>92</v>
      </c>
      <c r="D1831" s="65" t="str">
        <f>vlookup(C1831,'Classificação p pessoal'!F:G,2,false)</f>
        <v/>
      </c>
      <c r="E1831" s="65" t="s">
        <v>1121</v>
      </c>
      <c r="F1831" s="83">
        <v>0.3472222222222222</v>
      </c>
      <c r="G1831" s="83">
        <v>0.5694444444444444</v>
      </c>
      <c r="H1831" s="83">
        <v>0.2222222222222222</v>
      </c>
      <c r="I1831" s="84">
        <v>44385.0</v>
      </c>
      <c r="J1831" s="65" t="b">
        <v>1</v>
      </c>
      <c r="K1831" s="65"/>
      <c r="L1831" s="85" t="b">
        <f>IF(VLOOKUP(C1831,Projetos!A:L,12,false)=TRUE,TRUE,FALSE)</f>
        <v>1</v>
      </c>
      <c r="M1831" s="74">
        <v>73.7079846079846</v>
      </c>
      <c r="N1831" s="74">
        <f t="shared" si="1"/>
        <v>393.1092512</v>
      </c>
      <c r="O1831" s="74" t="b">
        <v>1</v>
      </c>
    </row>
    <row r="1832" hidden="1">
      <c r="A1832" s="82"/>
      <c r="B1832" s="65" t="s">
        <v>495</v>
      </c>
      <c r="C1832" s="65" t="s">
        <v>84</v>
      </c>
      <c r="D1832" s="65"/>
      <c r="E1832" s="65" t="s">
        <v>1122</v>
      </c>
      <c r="F1832" s="83">
        <v>0.6111111111111112</v>
      </c>
      <c r="G1832" s="83">
        <v>0.6458333333333334</v>
      </c>
      <c r="H1832" s="83">
        <v>0.034722222222222224</v>
      </c>
      <c r="I1832" s="84">
        <v>44385.0</v>
      </c>
      <c r="J1832" s="65" t="b">
        <v>0</v>
      </c>
      <c r="K1832" s="65"/>
      <c r="L1832" s="85" t="b">
        <f>IF(VLOOKUP(C1832,Projetos!A:L,12,false)=TRUE,TRUE,FALSE)</f>
        <v>0</v>
      </c>
      <c r="M1832" s="74">
        <v>73.7079846079846</v>
      </c>
      <c r="N1832" s="74">
        <f t="shared" si="1"/>
        <v>0</v>
      </c>
      <c r="O1832" s="74" t="b">
        <v>0</v>
      </c>
    </row>
    <row r="1833" hidden="1">
      <c r="A1833" s="82"/>
      <c r="B1833" s="65" t="s">
        <v>495</v>
      </c>
      <c r="C1833" s="65" t="s">
        <v>92</v>
      </c>
      <c r="D1833" s="65" t="str">
        <f>vlookup(C1833,'Classificação p pessoal'!F:G,2,false)</f>
        <v/>
      </c>
      <c r="E1833" s="65" t="s">
        <v>1123</v>
      </c>
      <c r="F1833" s="83">
        <v>0.6527777777777778</v>
      </c>
      <c r="G1833" s="83">
        <v>0.6861111111111111</v>
      </c>
      <c r="H1833" s="83">
        <v>0.03333333333333333</v>
      </c>
      <c r="I1833" s="84">
        <v>44385.0</v>
      </c>
      <c r="J1833" s="65" t="b">
        <v>1</v>
      </c>
      <c r="K1833" s="65"/>
      <c r="L1833" s="85" t="b">
        <f>IF(VLOOKUP(C1833,Projetos!A:L,12,false)=TRUE,TRUE,FALSE)</f>
        <v>1</v>
      </c>
      <c r="M1833" s="74">
        <v>73.7079846079846</v>
      </c>
      <c r="N1833" s="74">
        <f t="shared" si="1"/>
        <v>58.96638769</v>
      </c>
      <c r="O1833" s="74" t="b">
        <v>1</v>
      </c>
    </row>
    <row r="1834" hidden="1">
      <c r="A1834" s="82"/>
      <c r="B1834" s="65" t="s">
        <v>495</v>
      </c>
      <c r="C1834" s="65" t="s">
        <v>117</v>
      </c>
      <c r="D1834" s="65" t="str">
        <f>vlookup(C1834,'Classificação p pessoal'!F:G,2,false)</f>
        <v>NP</v>
      </c>
      <c r="E1834" s="65" t="s">
        <v>832</v>
      </c>
      <c r="F1834" s="83">
        <v>0.6979166666666666</v>
      </c>
      <c r="G1834" s="83">
        <v>0.75</v>
      </c>
      <c r="H1834" s="83">
        <v>0.052083333333333336</v>
      </c>
      <c r="I1834" s="84">
        <v>44385.0</v>
      </c>
      <c r="J1834" s="65" t="b">
        <v>1</v>
      </c>
      <c r="K1834" s="65"/>
      <c r="L1834" s="85" t="b">
        <f>IF(VLOOKUP(C1834,Projetos!A:L,12,false)=TRUE,TRUE,FALSE)</f>
        <v>1</v>
      </c>
      <c r="M1834" s="74">
        <v>73.7079846079846</v>
      </c>
      <c r="N1834" s="74">
        <f t="shared" si="1"/>
        <v>92.13498076</v>
      </c>
      <c r="O1834" s="74" t="b">
        <v>1</v>
      </c>
    </row>
    <row r="1835" hidden="1">
      <c r="A1835" s="82"/>
      <c r="B1835" s="65" t="s">
        <v>495</v>
      </c>
      <c r="C1835" s="65" t="s">
        <v>92</v>
      </c>
      <c r="D1835" s="65" t="str">
        <f>vlookup(C1835,'Classificação p pessoal'!F:G,2,false)</f>
        <v/>
      </c>
      <c r="E1835" s="65" t="s">
        <v>1124</v>
      </c>
      <c r="F1835" s="83">
        <v>0.3541666666666667</v>
      </c>
      <c r="G1835" s="83">
        <v>0.5</v>
      </c>
      <c r="H1835" s="83">
        <v>0.14583333333333334</v>
      </c>
      <c r="I1835" s="84">
        <v>44386.0</v>
      </c>
      <c r="J1835" s="65" t="b">
        <v>1</v>
      </c>
      <c r="K1835" s="65"/>
      <c r="L1835" s="85" t="b">
        <f>IF(VLOOKUP(C1835,Projetos!A:L,12,false)=TRUE,TRUE,FALSE)</f>
        <v>1</v>
      </c>
      <c r="M1835" s="74">
        <v>73.7079846079846</v>
      </c>
      <c r="N1835" s="74">
        <f t="shared" si="1"/>
        <v>257.9779461</v>
      </c>
      <c r="O1835" s="74" t="b">
        <v>1</v>
      </c>
    </row>
    <row r="1836" hidden="1">
      <c r="A1836" s="82"/>
      <c r="B1836" s="65" t="s">
        <v>495</v>
      </c>
      <c r="C1836" s="65" t="s">
        <v>92</v>
      </c>
      <c r="D1836" s="65" t="str">
        <f>vlookup(C1836,'Classificação p pessoal'!F:G,2,false)</f>
        <v/>
      </c>
      <c r="E1836" s="65" t="s">
        <v>1124</v>
      </c>
      <c r="F1836" s="83">
        <v>0.53125</v>
      </c>
      <c r="G1836" s="83">
        <v>0.6069444444444444</v>
      </c>
      <c r="H1836" s="83">
        <v>0.07569444444444444</v>
      </c>
      <c r="I1836" s="84">
        <v>44386.0</v>
      </c>
      <c r="J1836" s="65" t="b">
        <v>1</v>
      </c>
      <c r="K1836" s="65"/>
      <c r="L1836" s="85" t="b">
        <f>IF(VLOOKUP(C1836,Projetos!A:L,12,false)=TRUE,TRUE,FALSE)</f>
        <v>1</v>
      </c>
      <c r="M1836" s="74">
        <v>73.7079846079846</v>
      </c>
      <c r="N1836" s="74">
        <f t="shared" si="1"/>
        <v>133.9028387</v>
      </c>
      <c r="O1836" s="74" t="b">
        <v>1</v>
      </c>
    </row>
    <row r="1837" hidden="1">
      <c r="A1837" s="82"/>
      <c r="B1837" s="65" t="s">
        <v>495</v>
      </c>
      <c r="C1837" s="65" t="s">
        <v>92</v>
      </c>
      <c r="D1837" s="65" t="str">
        <f>vlookup(C1837,'Classificação p pessoal'!F:G,2,false)</f>
        <v/>
      </c>
      <c r="E1837" s="65" t="s">
        <v>1125</v>
      </c>
      <c r="F1837" s="83">
        <v>0.6493055555555556</v>
      </c>
      <c r="G1837" s="83">
        <v>0.7222222222222222</v>
      </c>
      <c r="H1837" s="83">
        <v>0.07291666666666667</v>
      </c>
      <c r="I1837" s="84">
        <v>44386.0</v>
      </c>
      <c r="J1837" s="65" t="b">
        <v>1</v>
      </c>
      <c r="K1837" s="65"/>
      <c r="L1837" s="85" t="b">
        <f>IF(VLOOKUP(C1837,Projetos!A:L,12,false)=TRUE,TRUE,FALSE)</f>
        <v>1</v>
      </c>
      <c r="M1837" s="74">
        <v>73.7079846079846</v>
      </c>
      <c r="N1837" s="74">
        <f t="shared" si="1"/>
        <v>128.9889731</v>
      </c>
      <c r="O1837" s="74" t="b">
        <v>1</v>
      </c>
    </row>
    <row r="1838" hidden="1">
      <c r="A1838" s="82"/>
      <c r="B1838" s="65" t="s">
        <v>495</v>
      </c>
      <c r="C1838" s="65" t="s">
        <v>117</v>
      </c>
      <c r="D1838" s="65" t="str">
        <f>vlookup(C1838,'Classificação p pessoal'!F:G,2,false)</f>
        <v>NP</v>
      </c>
      <c r="E1838" s="65" t="s">
        <v>832</v>
      </c>
      <c r="F1838" s="83">
        <v>0.7222222222222222</v>
      </c>
      <c r="G1838" s="83">
        <v>0.75</v>
      </c>
      <c r="H1838" s="83">
        <v>0.027777777777777776</v>
      </c>
      <c r="I1838" s="84">
        <v>44386.0</v>
      </c>
      <c r="J1838" s="65" t="b">
        <v>1</v>
      </c>
      <c r="K1838" s="65"/>
      <c r="L1838" s="85" t="b">
        <f>IF(VLOOKUP(C1838,Projetos!A:L,12,false)=TRUE,TRUE,FALSE)</f>
        <v>1</v>
      </c>
      <c r="M1838" s="74">
        <v>73.7079846079846</v>
      </c>
      <c r="N1838" s="74">
        <f t="shared" si="1"/>
        <v>49.13865641</v>
      </c>
      <c r="O1838" s="74" t="b">
        <v>1</v>
      </c>
    </row>
    <row r="1839" hidden="1">
      <c r="A1839" s="82"/>
      <c r="B1839" s="65" t="s">
        <v>495</v>
      </c>
      <c r="C1839" s="65" t="s">
        <v>92</v>
      </c>
      <c r="D1839" s="65" t="str">
        <f>vlookup(C1839,'Classificação p pessoal'!F:G,2,false)</f>
        <v/>
      </c>
      <c r="E1839" s="65" t="s">
        <v>1126</v>
      </c>
      <c r="F1839" s="83">
        <v>0.34375</v>
      </c>
      <c r="G1839" s="83">
        <v>0.4375</v>
      </c>
      <c r="H1839" s="83">
        <v>0.09375</v>
      </c>
      <c r="I1839" s="84">
        <v>44389.0</v>
      </c>
      <c r="J1839" s="65" t="b">
        <v>1</v>
      </c>
      <c r="K1839" s="65"/>
      <c r="L1839" s="85" t="b">
        <f>IF(VLOOKUP(C1839,Projetos!A:L,12,false)=TRUE,TRUE,FALSE)</f>
        <v>1</v>
      </c>
      <c r="M1839" s="74">
        <v>73.7079846079846</v>
      </c>
      <c r="N1839" s="74">
        <f t="shared" si="1"/>
        <v>165.8429654</v>
      </c>
      <c r="O1839" s="74" t="b">
        <v>1</v>
      </c>
    </row>
    <row r="1840" hidden="1">
      <c r="A1840" s="82"/>
      <c r="B1840" s="65" t="s">
        <v>495</v>
      </c>
      <c r="C1840" s="65" t="s">
        <v>130</v>
      </c>
      <c r="D1840" s="65"/>
      <c r="E1840" s="65" t="s">
        <v>1127</v>
      </c>
      <c r="F1840" s="83">
        <v>0.4375</v>
      </c>
      <c r="G1840" s="83">
        <v>0.4583333333333333</v>
      </c>
      <c r="H1840" s="83">
        <v>0.020833333333333332</v>
      </c>
      <c r="I1840" s="84">
        <v>44389.0</v>
      </c>
      <c r="J1840" s="65" t="b">
        <v>0</v>
      </c>
      <c r="K1840" s="65" t="s">
        <v>150</v>
      </c>
      <c r="L1840" s="85" t="b">
        <f>IF(VLOOKUP(C1840,Projetos!A:L,12,false)=TRUE,TRUE,FALSE)</f>
        <v>1</v>
      </c>
      <c r="M1840" s="74">
        <v>73.7079846079846</v>
      </c>
      <c r="N1840" s="74">
        <f t="shared" si="1"/>
        <v>0</v>
      </c>
      <c r="O1840" s="74" t="b">
        <v>1</v>
      </c>
    </row>
    <row r="1841" hidden="1">
      <c r="A1841" s="82"/>
      <c r="B1841" s="65" t="s">
        <v>495</v>
      </c>
      <c r="C1841" s="65" t="s">
        <v>117</v>
      </c>
      <c r="D1841" s="65" t="str">
        <f>vlookup(C1841,'Classificação p pessoal'!F:G,2,false)</f>
        <v>NP</v>
      </c>
      <c r="E1841" s="65" t="s">
        <v>1128</v>
      </c>
      <c r="F1841" s="83">
        <v>0.4583333333333333</v>
      </c>
      <c r="G1841" s="83">
        <v>0.5694444444444444</v>
      </c>
      <c r="H1841" s="83">
        <v>0.1111111111111111</v>
      </c>
      <c r="I1841" s="84">
        <v>44389.0</v>
      </c>
      <c r="J1841" s="65" t="b">
        <v>1</v>
      </c>
      <c r="K1841" s="65"/>
      <c r="L1841" s="85" t="b">
        <f>IF(VLOOKUP(C1841,Projetos!A:L,12,false)=TRUE,TRUE,FALSE)</f>
        <v>1</v>
      </c>
      <c r="M1841" s="74">
        <v>73.7079846079846</v>
      </c>
      <c r="N1841" s="74">
        <f t="shared" si="1"/>
        <v>196.5546256</v>
      </c>
      <c r="O1841" s="74" t="b">
        <v>1</v>
      </c>
    </row>
    <row r="1842" hidden="1">
      <c r="A1842" s="82"/>
      <c r="B1842" s="65" t="s">
        <v>495</v>
      </c>
      <c r="C1842" s="65" t="s">
        <v>92</v>
      </c>
      <c r="D1842" s="65" t="str">
        <f>vlookup(C1842,'Classificação p pessoal'!F:G,2,false)</f>
        <v/>
      </c>
      <c r="E1842" s="65" t="s">
        <v>1129</v>
      </c>
      <c r="F1842" s="83">
        <v>0.5694444444444444</v>
      </c>
      <c r="G1842" s="83">
        <v>0.5868055555555556</v>
      </c>
      <c r="H1842" s="83">
        <v>0.017361111111111112</v>
      </c>
      <c r="I1842" s="84">
        <v>44389.0</v>
      </c>
      <c r="J1842" s="65" t="b">
        <v>1</v>
      </c>
      <c r="K1842" s="65"/>
      <c r="L1842" s="85" t="b">
        <f>IF(VLOOKUP(C1842,Projetos!A:L,12,false)=TRUE,TRUE,FALSE)</f>
        <v>1</v>
      </c>
      <c r="M1842" s="74">
        <v>73.7079846079846</v>
      </c>
      <c r="N1842" s="74">
        <f t="shared" si="1"/>
        <v>30.71166025</v>
      </c>
      <c r="O1842" s="74" t="b">
        <v>1</v>
      </c>
    </row>
    <row r="1843" hidden="1">
      <c r="A1843" s="82"/>
      <c r="B1843" s="65" t="s">
        <v>495</v>
      </c>
      <c r="C1843" s="65" t="s">
        <v>92</v>
      </c>
      <c r="D1843" s="65" t="str">
        <f>vlookup(C1843,'Classificação p pessoal'!F:G,2,false)</f>
        <v/>
      </c>
      <c r="E1843" s="65" t="s">
        <v>1130</v>
      </c>
      <c r="F1843" s="83">
        <v>0.6284722222222222</v>
      </c>
      <c r="G1843" s="83">
        <v>0.75</v>
      </c>
      <c r="H1843" s="83">
        <v>0.12152777777777778</v>
      </c>
      <c r="I1843" s="84">
        <v>44389.0</v>
      </c>
      <c r="J1843" s="65" t="b">
        <v>1</v>
      </c>
      <c r="K1843" s="65"/>
      <c r="L1843" s="85" t="b">
        <f>IF(VLOOKUP(C1843,Projetos!A:L,12,false)=TRUE,TRUE,FALSE)</f>
        <v>1</v>
      </c>
      <c r="M1843" s="74">
        <v>73.7079846079846</v>
      </c>
      <c r="N1843" s="74">
        <f t="shared" si="1"/>
        <v>214.9816218</v>
      </c>
      <c r="O1843" s="74" t="b">
        <v>1</v>
      </c>
    </row>
    <row r="1844" hidden="1">
      <c r="A1844" s="82"/>
      <c r="B1844" s="65" t="s">
        <v>495</v>
      </c>
      <c r="C1844" s="65" t="s">
        <v>100</v>
      </c>
      <c r="D1844" s="65" t="str">
        <f>vlookup(C1844,'Classificação p pessoal'!F:G,2,false)</f>
        <v>NP</v>
      </c>
      <c r="E1844" s="65" t="s">
        <v>1131</v>
      </c>
      <c r="F1844" s="83">
        <v>0.3472222222222222</v>
      </c>
      <c r="G1844" s="83">
        <v>0.4930555555555556</v>
      </c>
      <c r="H1844" s="83">
        <v>0.14583333333333334</v>
      </c>
      <c r="I1844" s="84">
        <v>44390.0</v>
      </c>
      <c r="J1844" s="65" t="b">
        <v>1</v>
      </c>
      <c r="K1844" s="65"/>
      <c r="L1844" s="85" t="b">
        <f>IF(VLOOKUP(C1844,Projetos!A:L,12,false)=TRUE,TRUE,FALSE)</f>
        <v>1</v>
      </c>
      <c r="M1844" s="74">
        <v>73.7079846079846</v>
      </c>
      <c r="N1844" s="74">
        <f t="shared" si="1"/>
        <v>257.9779461</v>
      </c>
      <c r="O1844" s="74" t="b">
        <v>1</v>
      </c>
    </row>
    <row r="1845" hidden="1">
      <c r="A1845" s="82"/>
      <c r="B1845" s="65" t="s">
        <v>495</v>
      </c>
      <c r="C1845" s="65" t="s">
        <v>92</v>
      </c>
      <c r="D1845" s="65" t="str">
        <f>vlookup(C1845,'Classificação p pessoal'!F:G,2,false)</f>
        <v/>
      </c>
      <c r="E1845" s="65" t="s">
        <v>1130</v>
      </c>
      <c r="F1845" s="83">
        <v>0.4930555555555556</v>
      </c>
      <c r="G1845" s="83">
        <v>0.5798611111111112</v>
      </c>
      <c r="H1845" s="83">
        <v>0.08680555555555555</v>
      </c>
      <c r="I1845" s="84">
        <v>44390.0</v>
      </c>
      <c r="J1845" s="65" t="b">
        <v>1</v>
      </c>
      <c r="K1845" s="65"/>
      <c r="L1845" s="85" t="b">
        <f>IF(VLOOKUP(C1845,Projetos!A:L,12,false)=TRUE,TRUE,FALSE)</f>
        <v>1</v>
      </c>
      <c r="M1845" s="74">
        <v>73.7079846079846</v>
      </c>
      <c r="N1845" s="74">
        <f t="shared" si="1"/>
        <v>153.5583013</v>
      </c>
      <c r="O1845" s="74" t="b">
        <v>1</v>
      </c>
    </row>
    <row r="1846" hidden="1">
      <c r="A1846" s="82"/>
      <c r="B1846" s="65" t="s">
        <v>495</v>
      </c>
      <c r="C1846" s="65" t="s">
        <v>92</v>
      </c>
      <c r="D1846" s="65" t="str">
        <f>vlookup(C1846,'Classificação p pessoal'!F:G,2,false)</f>
        <v/>
      </c>
      <c r="E1846" s="65" t="s">
        <v>1126</v>
      </c>
      <c r="F1846" s="83">
        <v>0.6215277777777778</v>
      </c>
      <c r="G1846" s="83">
        <v>0.71875</v>
      </c>
      <c r="H1846" s="83">
        <v>0.09722222222222222</v>
      </c>
      <c r="I1846" s="84">
        <v>44390.0</v>
      </c>
      <c r="J1846" s="65" t="b">
        <v>1</v>
      </c>
      <c r="K1846" s="65"/>
      <c r="L1846" s="85" t="b">
        <f>IF(VLOOKUP(C1846,Projetos!A:L,12,false)=TRUE,TRUE,FALSE)</f>
        <v>1</v>
      </c>
      <c r="M1846" s="74">
        <v>73.7079846079846</v>
      </c>
      <c r="N1846" s="74">
        <f t="shared" si="1"/>
        <v>171.9852974</v>
      </c>
      <c r="O1846" s="74" t="b">
        <v>1</v>
      </c>
    </row>
    <row r="1847" hidden="1">
      <c r="A1847" s="82"/>
      <c r="B1847" s="65" t="s">
        <v>495</v>
      </c>
      <c r="C1847" s="65" t="s">
        <v>92</v>
      </c>
      <c r="D1847" s="65" t="str">
        <f>vlookup(C1847,'Classificação p pessoal'!F:G,2,false)</f>
        <v/>
      </c>
      <c r="E1847" s="65" t="s">
        <v>906</v>
      </c>
      <c r="F1847" s="83">
        <v>0.71875</v>
      </c>
      <c r="G1847" s="83">
        <v>0.75</v>
      </c>
      <c r="H1847" s="83">
        <v>0.03125</v>
      </c>
      <c r="I1847" s="84">
        <v>44390.0</v>
      </c>
      <c r="J1847" s="65" t="b">
        <v>1</v>
      </c>
      <c r="K1847" s="65"/>
      <c r="L1847" s="85" t="b">
        <f>IF(VLOOKUP(C1847,Projetos!A:L,12,false)=TRUE,TRUE,FALSE)</f>
        <v>1</v>
      </c>
      <c r="M1847" s="74">
        <v>73.7079846079846</v>
      </c>
      <c r="N1847" s="74">
        <f t="shared" si="1"/>
        <v>55.28098846</v>
      </c>
      <c r="O1847" s="74" t="b">
        <v>1</v>
      </c>
    </row>
    <row r="1848" hidden="1">
      <c r="A1848" s="82"/>
      <c r="B1848" s="65" t="s">
        <v>495</v>
      </c>
      <c r="C1848" s="65" t="s">
        <v>92</v>
      </c>
      <c r="D1848" s="65" t="str">
        <f>vlookup(C1848,'Classificação p pessoal'!F:G,2,false)</f>
        <v/>
      </c>
      <c r="E1848" s="65" t="s">
        <v>1126</v>
      </c>
      <c r="F1848" s="83">
        <v>0.3472222222222222</v>
      </c>
      <c r="G1848" s="83">
        <v>0.4097222222222222</v>
      </c>
      <c r="H1848" s="83">
        <v>0.0625</v>
      </c>
      <c r="I1848" s="84">
        <v>44391.0</v>
      </c>
      <c r="J1848" s="65" t="b">
        <v>1</v>
      </c>
      <c r="K1848" s="65"/>
      <c r="L1848" s="85" t="b">
        <f>IF(VLOOKUP(C1848,Projetos!A:L,12,false)=TRUE,TRUE,FALSE)</f>
        <v>1</v>
      </c>
      <c r="M1848" s="74">
        <v>73.7079846079846</v>
      </c>
      <c r="N1848" s="74">
        <f t="shared" si="1"/>
        <v>110.5619769</v>
      </c>
      <c r="O1848" s="74" t="b">
        <v>1</v>
      </c>
    </row>
    <row r="1849" hidden="1">
      <c r="A1849" s="82"/>
      <c r="B1849" s="65" t="s">
        <v>495</v>
      </c>
      <c r="C1849" s="65" t="s">
        <v>92</v>
      </c>
      <c r="D1849" s="65" t="str">
        <f>vlookup(C1849,'Classificação p pessoal'!F:G,2,false)</f>
        <v/>
      </c>
      <c r="E1849" s="65" t="s">
        <v>1132</v>
      </c>
      <c r="F1849" s="83">
        <v>0.4791666666666667</v>
      </c>
      <c r="G1849" s="83">
        <v>0.5625</v>
      </c>
      <c r="H1849" s="83">
        <v>0.08333333333333333</v>
      </c>
      <c r="I1849" s="84">
        <v>44391.0</v>
      </c>
      <c r="J1849" s="65" t="b">
        <v>1</v>
      </c>
      <c r="K1849" s="65"/>
      <c r="L1849" s="85" t="b">
        <f>IF(VLOOKUP(C1849,Projetos!A:L,12,false)=TRUE,TRUE,FALSE)</f>
        <v>1</v>
      </c>
      <c r="M1849" s="74">
        <v>73.7079846079846</v>
      </c>
      <c r="N1849" s="74">
        <f t="shared" si="1"/>
        <v>147.4159692</v>
      </c>
      <c r="O1849" s="74" t="b">
        <v>1</v>
      </c>
    </row>
    <row r="1850" hidden="1">
      <c r="A1850" s="82"/>
      <c r="B1850" s="65" t="s">
        <v>495</v>
      </c>
      <c r="C1850" s="65" t="s">
        <v>100</v>
      </c>
      <c r="D1850" s="65" t="str">
        <f>vlookup(C1850,'Classificação p pessoal'!F:G,2,false)</f>
        <v>NP</v>
      </c>
      <c r="E1850" s="65" t="s">
        <v>1133</v>
      </c>
      <c r="F1850" s="83">
        <v>0.625</v>
      </c>
      <c r="G1850" s="83">
        <v>0.6875</v>
      </c>
      <c r="H1850" s="83">
        <v>0.0625</v>
      </c>
      <c r="I1850" s="84">
        <v>44391.0</v>
      </c>
      <c r="J1850" s="65" t="b">
        <v>1</v>
      </c>
      <c r="K1850" s="65"/>
      <c r="L1850" s="85" t="b">
        <f>IF(VLOOKUP(C1850,Projetos!A:L,12,false)=TRUE,TRUE,FALSE)</f>
        <v>1</v>
      </c>
      <c r="M1850" s="74">
        <v>73.7079846079846</v>
      </c>
      <c r="N1850" s="74">
        <f t="shared" si="1"/>
        <v>110.5619769</v>
      </c>
      <c r="O1850" s="74" t="b">
        <v>1</v>
      </c>
    </row>
    <row r="1851" hidden="1">
      <c r="A1851" s="82"/>
      <c r="B1851" s="65" t="s">
        <v>495</v>
      </c>
      <c r="C1851" s="65" t="s">
        <v>92</v>
      </c>
      <c r="D1851" s="65" t="str">
        <f>vlookup(C1851,'Classificação p pessoal'!F:G,2,false)</f>
        <v/>
      </c>
      <c r="E1851" s="65" t="s">
        <v>1134</v>
      </c>
      <c r="F1851" s="83">
        <v>0.6875</v>
      </c>
      <c r="G1851" s="83">
        <v>0.75</v>
      </c>
      <c r="H1851" s="83">
        <v>0.0625</v>
      </c>
      <c r="I1851" s="84">
        <v>44391.0</v>
      </c>
      <c r="J1851" s="65" t="b">
        <v>1</v>
      </c>
      <c r="K1851" s="65"/>
      <c r="L1851" s="85" t="b">
        <f>IF(VLOOKUP(C1851,Projetos!A:L,12,false)=TRUE,TRUE,FALSE)</f>
        <v>1</v>
      </c>
      <c r="M1851" s="74">
        <v>73.7079846079846</v>
      </c>
      <c r="N1851" s="74">
        <f t="shared" si="1"/>
        <v>110.5619769</v>
      </c>
      <c r="O1851" s="74" t="b">
        <v>1</v>
      </c>
    </row>
    <row r="1852" hidden="1">
      <c r="A1852" s="82"/>
      <c r="B1852" s="65" t="s">
        <v>495</v>
      </c>
      <c r="C1852" s="65" t="s">
        <v>92</v>
      </c>
      <c r="D1852" s="65" t="str">
        <f>vlookup(C1852,'Classificação p pessoal'!F:G,2,false)</f>
        <v/>
      </c>
      <c r="E1852" s="65" t="s">
        <v>1134</v>
      </c>
      <c r="F1852" s="83">
        <v>0.3472222222222222</v>
      </c>
      <c r="G1852" s="83">
        <v>0.4166666666666667</v>
      </c>
      <c r="H1852" s="83">
        <v>0.06944444444444445</v>
      </c>
      <c r="I1852" s="84">
        <v>44392.0</v>
      </c>
      <c r="J1852" s="65" t="b">
        <v>1</v>
      </c>
      <c r="K1852" s="65"/>
      <c r="L1852" s="85" t="b">
        <f>IF(VLOOKUP(C1852,Projetos!A:L,12,false)=TRUE,TRUE,FALSE)</f>
        <v>1</v>
      </c>
      <c r="M1852" s="74">
        <v>73.7079846079846</v>
      </c>
      <c r="N1852" s="74">
        <f t="shared" si="1"/>
        <v>122.846641</v>
      </c>
      <c r="O1852" s="74" t="b">
        <v>1</v>
      </c>
    </row>
    <row r="1853">
      <c r="A1853" s="82"/>
      <c r="B1853" s="65" t="s">
        <v>495</v>
      </c>
      <c r="C1853" s="65" t="s">
        <v>108</v>
      </c>
      <c r="D1853" s="65" t="str">
        <f>vlookup(C1853,'Classificação p pessoal'!F:G,2,false)</f>
        <v>NP</v>
      </c>
      <c r="E1853" s="65" t="s">
        <v>1135</v>
      </c>
      <c r="F1853" s="83">
        <v>0.4166666666666667</v>
      </c>
      <c r="G1853" s="83">
        <v>0.5729166666666666</v>
      </c>
      <c r="H1853" s="83">
        <v>0.15625</v>
      </c>
      <c r="I1853" s="84">
        <v>44392.0</v>
      </c>
      <c r="J1853" s="65" t="b">
        <v>1</v>
      </c>
      <c r="K1853" s="65"/>
      <c r="L1853" s="85" t="b">
        <f>IF(VLOOKUP(C1853,Projetos!A:L,12,false)=TRUE,TRUE,FALSE)</f>
        <v>1</v>
      </c>
      <c r="M1853" s="74">
        <v>73.7079846079846</v>
      </c>
      <c r="N1853" s="74">
        <f t="shared" si="1"/>
        <v>276.4049423</v>
      </c>
      <c r="O1853" s="74" t="b">
        <v>1</v>
      </c>
    </row>
    <row r="1854">
      <c r="A1854" s="82"/>
      <c r="B1854" s="65" t="s">
        <v>495</v>
      </c>
      <c r="C1854" s="65" t="s">
        <v>108</v>
      </c>
      <c r="D1854" s="65" t="str">
        <f>vlookup(C1854,'Classificação p pessoal'!F:G,2,false)</f>
        <v>NP</v>
      </c>
      <c r="E1854" s="65" t="s">
        <v>1135</v>
      </c>
      <c r="F1854" s="83">
        <v>0.6145833333333334</v>
      </c>
      <c r="G1854" s="83">
        <v>0.75</v>
      </c>
      <c r="H1854" s="83">
        <v>0.13541666666666666</v>
      </c>
      <c r="I1854" s="84">
        <v>44392.0</v>
      </c>
      <c r="J1854" s="65" t="b">
        <v>1</v>
      </c>
      <c r="K1854" s="65"/>
      <c r="L1854" s="85" t="b">
        <f>IF(VLOOKUP(C1854,Projetos!A:L,12,false)=TRUE,TRUE,FALSE)</f>
        <v>1</v>
      </c>
      <c r="M1854" s="74">
        <v>73.7079846079846</v>
      </c>
      <c r="N1854" s="74">
        <f t="shared" si="1"/>
        <v>239.55095</v>
      </c>
      <c r="O1854" s="74" t="b">
        <v>1</v>
      </c>
    </row>
    <row r="1855" hidden="1">
      <c r="A1855" s="82"/>
      <c r="B1855" s="65" t="s">
        <v>495</v>
      </c>
      <c r="C1855" s="65" t="s">
        <v>106</v>
      </c>
      <c r="D1855" s="65"/>
      <c r="E1855" s="65" t="s">
        <v>1136</v>
      </c>
      <c r="F1855" s="83">
        <v>0.3472222222222222</v>
      </c>
      <c r="G1855" s="83">
        <v>0.4583333333333333</v>
      </c>
      <c r="H1855" s="83">
        <v>0.1111111111111111</v>
      </c>
      <c r="I1855" s="84">
        <v>44393.0</v>
      </c>
      <c r="J1855" s="65" t="b">
        <v>0</v>
      </c>
      <c r="K1855" s="65" t="s">
        <v>150</v>
      </c>
      <c r="L1855" s="85" t="b">
        <f>IF(VLOOKUP(C1855,Projetos!A:L,12,false)=TRUE,TRUE,FALSE)</f>
        <v>1</v>
      </c>
      <c r="M1855" s="74">
        <v>73.7079846079846</v>
      </c>
      <c r="N1855" s="74">
        <f t="shared" si="1"/>
        <v>0</v>
      </c>
      <c r="O1855" s="74" t="b">
        <v>1</v>
      </c>
    </row>
    <row r="1856" hidden="1">
      <c r="A1856" s="82"/>
      <c r="B1856" s="65" t="s">
        <v>495</v>
      </c>
      <c r="C1856" s="65" t="s">
        <v>114</v>
      </c>
      <c r="D1856" s="65"/>
      <c r="E1856" s="65" t="s">
        <v>1137</v>
      </c>
      <c r="F1856" s="83">
        <v>0.4583333333333333</v>
      </c>
      <c r="G1856" s="83">
        <v>0.5729166666666666</v>
      </c>
      <c r="H1856" s="83">
        <v>0.11458333333333333</v>
      </c>
      <c r="I1856" s="84">
        <v>44393.0</v>
      </c>
      <c r="J1856" s="65" t="b">
        <v>0</v>
      </c>
      <c r="K1856" s="65" t="s">
        <v>150</v>
      </c>
      <c r="L1856" s="85" t="b">
        <f>IF(VLOOKUP(C1856,Projetos!A:L,12,false)=TRUE,TRUE,FALSE)</f>
        <v>1</v>
      </c>
      <c r="M1856" s="74">
        <v>73.7079846079846</v>
      </c>
      <c r="N1856" s="74">
        <f t="shared" si="1"/>
        <v>0</v>
      </c>
      <c r="O1856" s="74" t="b">
        <v>1</v>
      </c>
    </row>
    <row r="1857">
      <c r="A1857" s="82"/>
      <c r="B1857" s="65" t="s">
        <v>495</v>
      </c>
      <c r="C1857" s="65" t="s">
        <v>108</v>
      </c>
      <c r="D1857" s="65" t="str">
        <f>vlookup(C1857,'Classificação p pessoal'!F:G,2,false)</f>
        <v>NP</v>
      </c>
      <c r="E1857" s="65" t="s">
        <v>1135</v>
      </c>
      <c r="F1857" s="83">
        <v>0.6145833333333334</v>
      </c>
      <c r="G1857" s="83">
        <v>0.7083333333333334</v>
      </c>
      <c r="H1857" s="83">
        <v>0.09375</v>
      </c>
      <c r="I1857" s="84">
        <v>44393.0</v>
      </c>
      <c r="J1857" s="65" t="b">
        <v>1</v>
      </c>
      <c r="K1857" s="65"/>
      <c r="L1857" s="85" t="b">
        <f>IF(VLOOKUP(C1857,Projetos!A:L,12,false)=TRUE,TRUE,FALSE)</f>
        <v>1</v>
      </c>
      <c r="M1857" s="74">
        <v>73.7079846079846</v>
      </c>
      <c r="N1857" s="74">
        <f t="shared" si="1"/>
        <v>165.8429654</v>
      </c>
      <c r="O1857" s="74" t="b">
        <v>1</v>
      </c>
    </row>
    <row r="1858" hidden="1">
      <c r="A1858" s="82"/>
      <c r="B1858" s="65" t="s">
        <v>495</v>
      </c>
      <c r="C1858" s="65" t="s">
        <v>92</v>
      </c>
      <c r="D1858" s="65" t="str">
        <f>vlookup(C1858,'Classificação p pessoal'!F:G,2,false)</f>
        <v/>
      </c>
      <c r="E1858" s="65" t="s">
        <v>865</v>
      </c>
      <c r="F1858" s="83">
        <v>0.7083333333333334</v>
      </c>
      <c r="G1858" s="83">
        <v>0.75</v>
      </c>
      <c r="H1858" s="83">
        <v>0.041666666666666664</v>
      </c>
      <c r="I1858" s="84">
        <v>44393.0</v>
      </c>
      <c r="J1858" s="65" t="b">
        <v>1</v>
      </c>
      <c r="K1858" s="65"/>
      <c r="L1858" s="85" t="b">
        <f>IF(VLOOKUP(C1858,Projetos!A:L,12,false)=TRUE,TRUE,FALSE)</f>
        <v>1</v>
      </c>
      <c r="M1858" s="74">
        <v>73.7079846079846</v>
      </c>
      <c r="N1858" s="74">
        <f t="shared" si="1"/>
        <v>73.70798461</v>
      </c>
      <c r="O1858" s="74" t="b">
        <v>1</v>
      </c>
    </row>
    <row r="1859" hidden="1">
      <c r="A1859" s="82"/>
      <c r="B1859" s="65" t="s">
        <v>495</v>
      </c>
      <c r="C1859" s="65" t="s">
        <v>117</v>
      </c>
      <c r="D1859" s="65"/>
      <c r="E1859" s="65" t="s">
        <v>1138</v>
      </c>
      <c r="F1859" s="83">
        <v>0.3472222222222222</v>
      </c>
      <c r="G1859" s="83">
        <v>0.3958333333333333</v>
      </c>
      <c r="H1859" s="83">
        <v>0.04861111111111111</v>
      </c>
      <c r="I1859" s="84">
        <v>44396.0</v>
      </c>
      <c r="J1859" s="65" t="b">
        <v>0</v>
      </c>
      <c r="K1859" s="65" t="s">
        <v>150</v>
      </c>
      <c r="L1859" s="85" t="b">
        <f>IF(VLOOKUP(C1859,Projetos!A:L,12,false)=TRUE,TRUE,FALSE)</f>
        <v>1</v>
      </c>
      <c r="M1859" s="74">
        <v>73.7079846079846</v>
      </c>
      <c r="N1859" s="74">
        <f t="shared" si="1"/>
        <v>0</v>
      </c>
      <c r="O1859" s="74" t="b">
        <v>1</v>
      </c>
    </row>
    <row r="1860" hidden="1">
      <c r="A1860" s="82"/>
      <c r="B1860" s="65" t="s">
        <v>495</v>
      </c>
      <c r="C1860" s="65" t="s">
        <v>92</v>
      </c>
      <c r="D1860" s="65" t="str">
        <f>vlookup(C1860,'Classificação p pessoal'!F:G,2,false)</f>
        <v/>
      </c>
      <c r="E1860" s="65" t="s">
        <v>1139</v>
      </c>
      <c r="F1860" s="83">
        <v>0.3958333333333333</v>
      </c>
      <c r="G1860" s="83">
        <v>0.4583333333333333</v>
      </c>
      <c r="H1860" s="83">
        <v>0.0625</v>
      </c>
      <c r="I1860" s="84">
        <v>44396.0</v>
      </c>
      <c r="J1860" s="65" t="b">
        <v>1</v>
      </c>
      <c r="K1860" s="65"/>
      <c r="L1860" s="85" t="b">
        <f>IF(VLOOKUP(C1860,Projetos!A:L,12,false)=TRUE,TRUE,FALSE)</f>
        <v>1</v>
      </c>
      <c r="M1860" s="74">
        <v>73.7079846079846</v>
      </c>
      <c r="N1860" s="74">
        <f t="shared" si="1"/>
        <v>110.5619769</v>
      </c>
      <c r="O1860" s="74" t="b">
        <v>1</v>
      </c>
    </row>
    <row r="1861" hidden="1">
      <c r="A1861" s="82"/>
      <c r="B1861" s="65" t="s">
        <v>495</v>
      </c>
      <c r="C1861" s="65" t="s">
        <v>92</v>
      </c>
      <c r="D1861" s="65" t="str">
        <f>vlookup(C1861,'Classificação p pessoal'!F:G,2,false)</f>
        <v/>
      </c>
      <c r="E1861" s="65" t="s">
        <v>1140</v>
      </c>
      <c r="F1861" s="83">
        <v>0.4583333333333333</v>
      </c>
      <c r="G1861" s="83">
        <v>0.5</v>
      </c>
      <c r="H1861" s="83">
        <v>0.041666666666666664</v>
      </c>
      <c r="I1861" s="84">
        <v>44396.0</v>
      </c>
      <c r="J1861" s="65" t="b">
        <v>1</v>
      </c>
      <c r="K1861" s="65"/>
      <c r="L1861" s="85" t="b">
        <f>IF(VLOOKUP(C1861,Projetos!A:L,12,false)=TRUE,TRUE,FALSE)</f>
        <v>1</v>
      </c>
      <c r="M1861" s="74">
        <v>73.7079846079846</v>
      </c>
      <c r="N1861" s="74">
        <f t="shared" si="1"/>
        <v>73.70798461</v>
      </c>
      <c r="O1861" s="74" t="b">
        <v>1</v>
      </c>
    </row>
    <row r="1862" hidden="1">
      <c r="A1862" s="82"/>
      <c r="B1862" s="65" t="s">
        <v>495</v>
      </c>
      <c r="C1862" s="65" t="s">
        <v>100</v>
      </c>
      <c r="D1862" s="65" t="str">
        <f>vlookup(C1862,'Classificação p pessoal'!F:G,2,false)</f>
        <v>NP</v>
      </c>
      <c r="E1862" s="65" t="s">
        <v>1141</v>
      </c>
      <c r="F1862" s="83">
        <v>0.5</v>
      </c>
      <c r="G1862" s="83">
        <v>0.5729166666666666</v>
      </c>
      <c r="H1862" s="83">
        <v>0.07291666666666667</v>
      </c>
      <c r="I1862" s="84">
        <v>44396.0</v>
      </c>
      <c r="J1862" s="65" t="b">
        <v>1</v>
      </c>
      <c r="K1862" s="65"/>
      <c r="L1862" s="85" t="b">
        <f>IF(VLOOKUP(C1862,Projetos!A:L,12,false)=TRUE,TRUE,FALSE)</f>
        <v>1</v>
      </c>
      <c r="M1862" s="74">
        <v>73.7079846079846</v>
      </c>
      <c r="N1862" s="74">
        <f t="shared" si="1"/>
        <v>128.9889731</v>
      </c>
      <c r="O1862" s="74" t="b">
        <v>1</v>
      </c>
    </row>
    <row r="1863">
      <c r="A1863" s="82"/>
      <c r="B1863" s="65" t="s">
        <v>495</v>
      </c>
      <c r="C1863" s="65" t="s">
        <v>108</v>
      </c>
      <c r="D1863" s="65" t="str">
        <f>vlookup(C1863,'Classificação p pessoal'!F:G,2,false)</f>
        <v>NP</v>
      </c>
      <c r="E1863" s="65" t="s">
        <v>1142</v>
      </c>
      <c r="F1863" s="83">
        <v>0.625</v>
      </c>
      <c r="G1863" s="83">
        <v>0.75</v>
      </c>
      <c r="H1863" s="83">
        <v>0.125</v>
      </c>
      <c r="I1863" s="84">
        <v>44396.0</v>
      </c>
      <c r="J1863" s="65" t="b">
        <v>1</v>
      </c>
      <c r="K1863" s="65"/>
      <c r="L1863" s="85" t="b">
        <f>IF(VLOOKUP(C1863,Projetos!A:L,12,false)=TRUE,TRUE,FALSE)</f>
        <v>1</v>
      </c>
      <c r="M1863" s="74">
        <v>73.7079846079846</v>
      </c>
      <c r="N1863" s="74">
        <f t="shared" si="1"/>
        <v>221.1239538</v>
      </c>
      <c r="O1863" s="74" t="b">
        <v>1</v>
      </c>
    </row>
    <row r="1864" hidden="1">
      <c r="A1864" s="82"/>
      <c r="B1864" s="65" t="s">
        <v>495</v>
      </c>
      <c r="C1864" s="65" t="s">
        <v>100</v>
      </c>
      <c r="D1864" s="65" t="str">
        <f>vlookup(C1864,'Classificação p pessoal'!F:G,2,false)</f>
        <v>NP</v>
      </c>
      <c r="E1864" s="65" t="s">
        <v>1143</v>
      </c>
      <c r="F1864" s="83">
        <v>0.375</v>
      </c>
      <c r="G1864" s="83">
        <v>0.4166666666666667</v>
      </c>
      <c r="H1864" s="83">
        <v>0.041666666666666664</v>
      </c>
      <c r="I1864" s="84">
        <v>44397.0</v>
      </c>
      <c r="J1864" s="65" t="b">
        <v>1</v>
      </c>
      <c r="K1864" s="65"/>
      <c r="L1864" s="85" t="b">
        <f>IF(VLOOKUP(C1864,Projetos!A:L,12,false)=TRUE,TRUE,FALSE)</f>
        <v>1</v>
      </c>
      <c r="M1864" s="74">
        <v>73.7079846079846</v>
      </c>
      <c r="N1864" s="74">
        <f t="shared" si="1"/>
        <v>73.70798461</v>
      </c>
      <c r="O1864" s="74" t="b">
        <v>1</v>
      </c>
    </row>
    <row r="1865" hidden="1">
      <c r="A1865" s="82"/>
      <c r="B1865" s="65" t="s">
        <v>495</v>
      </c>
      <c r="C1865" s="65" t="s">
        <v>117</v>
      </c>
      <c r="D1865" s="65" t="str">
        <f>vlookup(C1865,'Classificação p pessoal'!F:G,2,false)</f>
        <v>NP</v>
      </c>
      <c r="E1865" s="65" t="s">
        <v>1144</v>
      </c>
      <c r="F1865" s="83">
        <v>0.4166666666666667</v>
      </c>
      <c r="G1865" s="83">
        <v>0.4375</v>
      </c>
      <c r="H1865" s="83">
        <v>0.020833333333333332</v>
      </c>
      <c r="I1865" s="84">
        <v>44397.0</v>
      </c>
      <c r="J1865" s="65" t="b">
        <v>1</v>
      </c>
      <c r="K1865" s="65"/>
      <c r="L1865" s="85" t="b">
        <f>IF(VLOOKUP(C1865,Projetos!A:L,12,false)=TRUE,TRUE,FALSE)</f>
        <v>1</v>
      </c>
      <c r="M1865" s="74">
        <v>73.7079846079846</v>
      </c>
      <c r="N1865" s="74">
        <f t="shared" si="1"/>
        <v>36.8539923</v>
      </c>
      <c r="O1865" s="74" t="b">
        <v>1</v>
      </c>
    </row>
    <row r="1866" hidden="1">
      <c r="A1866" s="82"/>
      <c r="B1866" s="65" t="s">
        <v>495</v>
      </c>
      <c r="C1866" s="65" t="s">
        <v>100</v>
      </c>
      <c r="D1866" s="65" t="str">
        <f>vlookup(C1866,'Classificação p pessoal'!F:G,2,false)</f>
        <v>NP</v>
      </c>
      <c r="E1866" s="65" t="s">
        <v>832</v>
      </c>
      <c r="F1866" s="83">
        <v>0.5</v>
      </c>
      <c r="G1866" s="83">
        <v>0.5763888888888888</v>
      </c>
      <c r="H1866" s="83">
        <v>0.0763888888888889</v>
      </c>
      <c r="I1866" s="84">
        <v>44397.0</v>
      </c>
      <c r="J1866" s="65" t="b">
        <v>1</v>
      </c>
      <c r="K1866" s="65"/>
      <c r="L1866" s="85" t="b">
        <f>IF(VLOOKUP(C1866,Projetos!A:L,12,false)=TRUE,TRUE,FALSE)</f>
        <v>1</v>
      </c>
      <c r="M1866" s="74">
        <v>73.7079846079846</v>
      </c>
      <c r="N1866" s="74">
        <f t="shared" si="1"/>
        <v>135.1313051</v>
      </c>
      <c r="O1866" s="74" t="b">
        <v>1</v>
      </c>
    </row>
    <row r="1867" hidden="1">
      <c r="A1867" s="82"/>
      <c r="B1867" s="65" t="s">
        <v>495</v>
      </c>
      <c r="C1867" s="65" t="s">
        <v>117</v>
      </c>
      <c r="D1867" s="65" t="str">
        <f>vlookup(C1867,'Classificação p pessoal'!F:G,2,false)</f>
        <v>NP</v>
      </c>
      <c r="E1867" s="65" t="s">
        <v>1145</v>
      </c>
      <c r="F1867" s="83">
        <v>0.6180555555555556</v>
      </c>
      <c r="G1867" s="83">
        <v>0.75</v>
      </c>
      <c r="H1867" s="83">
        <v>0.13194444444444445</v>
      </c>
      <c r="I1867" s="84">
        <v>44397.0</v>
      </c>
      <c r="J1867" s="65" t="b">
        <v>1</v>
      </c>
      <c r="K1867" s="65"/>
      <c r="L1867" s="85" t="b">
        <f>IF(VLOOKUP(C1867,Projetos!A:L,12,false)=TRUE,TRUE,FALSE)</f>
        <v>1</v>
      </c>
      <c r="M1867" s="74">
        <v>73.7079846079846</v>
      </c>
      <c r="N1867" s="74">
        <f t="shared" si="1"/>
        <v>233.4086179</v>
      </c>
      <c r="O1867" s="74" t="b">
        <v>1</v>
      </c>
    </row>
    <row r="1868" hidden="1">
      <c r="A1868" s="82"/>
      <c r="B1868" s="65" t="s">
        <v>495</v>
      </c>
      <c r="C1868" s="65" t="s">
        <v>117</v>
      </c>
      <c r="D1868" s="65" t="str">
        <f>vlookup(C1868,'Classificação p pessoal'!F:G,2,false)</f>
        <v>NP</v>
      </c>
      <c r="E1868" s="65" t="s">
        <v>946</v>
      </c>
      <c r="F1868" s="83">
        <v>0.3541666666666667</v>
      </c>
      <c r="G1868" s="83">
        <v>0.3958333333333333</v>
      </c>
      <c r="H1868" s="83">
        <v>0.041666666666666664</v>
      </c>
      <c r="I1868" s="84">
        <v>44398.0</v>
      </c>
      <c r="J1868" s="65" t="b">
        <v>1</v>
      </c>
      <c r="K1868" s="65"/>
      <c r="L1868" s="85" t="b">
        <f>IF(VLOOKUP(C1868,Projetos!A:L,12,false)=TRUE,TRUE,FALSE)</f>
        <v>1</v>
      </c>
      <c r="M1868" s="74">
        <v>73.7079846079846</v>
      </c>
      <c r="N1868" s="74">
        <f t="shared" si="1"/>
        <v>73.70798461</v>
      </c>
      <c r="O1868" s="74" t="b">
        <v>1</v>
      </c>
    </row>
    <row r="1869" hidden="1">
      <c r="A1869" s="82"/>
      <c r="B1869" s="65" t="s">
        <v>495</v>
      </c>
      <c r="C1869" s="65" t="s">
        <v>117</v>
      </c>
      <c r="D1869" s="65"/>
      <c r="E1869" s="65" t="s">
        <v>1146</v>
      </c>
      <c r="F1869" s="83">
        <v>0.3958333333333333</v>
      </c>
      <c r="G1869" s="83">
        <v>0.4166666666666667</v>
      </c>
      <c r="H1869" s="83">
        <v>0.020833333333333332</v>
      </c>
      <c r="I1869" s="84">
        <v>44398.0</v>
      </c>
      <c r="J1869" s="65" t="b">
        <v>0</v>
      </c>
      <c r="K1869" s="65" t="s">
        <v>150</v>
      </c>
      <c r="L1869" s="85" t="b">
        <f>IF(VLOOKUP(C1869,Projetos!A:L,12,false)=TRUE,TRUE,FALSE)</f>
        <v>1</v>
      </c>
      <c r="M1869" s="74">
        <v>73.7079846079846</v>
      </c>
      <c r="N1869" s="74">
        <f t="shared" si="1"/>
        <v>0</v>
      </c>
      <c r="O1869" s="74" t="b">
        <v>1</v>
      </c>
    </row>
    <row r="1870" hidden="1">
      <c r="A1870" s="82"/>
      <c r="B1870" s="65" t="s">
        <v>495</v>
      </c>
      <c r="C1870" s="65" t="s">
        <v>117</v>
      </c>
      <c r="D1870" s="65" t="str">
        <f>vlookup(C1870,'Classificação p pessoal'!F:G,2,false)</f>
        <v>NP</v>
      </c>
      <c r="E1870" s="65" t="s">
        <v>1145</v>
      </c>
      <c r="F1870" s="83">
        <v>0.4375</v>
      </c>
      <c r="G1870" s="83">
        <v>0.5</v>
      </c>
      <c r="H1870" s="83">
        <v>0.0625</v>
      </c>
      <c r="I1870" s="84">
        <v>44398.0</v>
      </c>
      <c r="J1870" s="65" t="b">
        <v>1</v>
      </c>
      <c r="K1870" s="65"/>
      <c r="L1870" s="85" t="b">
        <f>IF(VLOOKUP(C1870,Projetos!A:L,12,false)=TRUE,TRUE,FALSE)</f>
        <v>1</v>
      </c>
      <c r="M1870" s="74">
        <v>73.7079846079846</v>
      </c>
      <c r="N1870" s="74">
        <f t="shared" si="1"/>
        <v>110.5619769</v>
      </c>
      <c r="O1870" s="74" t="b">
        <v>1</v>
      </c>
    </row>
    <row r="1871" hidden="1">
      <c r="A1871" s="82"/>
      <c r="B1871" s="65" t="s">
        <v>495</v>
      </c>
      <c r="C1871" s="65" t="s">
        <v>92</v>
      </c>
      <c r="D1871" s="65" t="str">
        <f>vlookup(C1871,'Classificação p pessoal'!F:G,2,false)</f>
        <v/>
      </c>
      <c r="E1871" s="65" t="s">
        <v>1147</v>
      </c>
      <c r="F1871" s="83">
        <v>0.5</v>
      </c>
      <c r="G1871" s="83">
        <v>0.5486111111111112</v>
      </c>
      <c r="H1871" s="83">
        <v>0.04861111111111111</v>
      </c>
      <c r="I1871" s="84">
        <v>44398.0</v>
      </c>
      <c r="J1871" s="65" t="b">
        <v>1</v>
      </c>
      <c r="K1871" s="65"/>
      <c r="L1871" s="85" t="b">
        <f>IF(VLOOKUP(C1871,Projetos!A:L,12,false)=TRUE,TRUE,FALSE)</f>
        <v>1</v>
      </c>
      <c r="M1871" s="74">
        <v>73.7079846079846</v>
      </c>
      <c r="N1871" s="74">
        <f t="shared" si="1"/>
        <v>85.99264871</v>
      </c>
      <c r="O1871" s="74" t="b">
        <v>1</v>
      </c>
    </row>
    <row r="1872" hidden="1">
      <c r="A1872" s="82"/>
      <c r="B1872" s="65" t="s">
        <v>495</v>
      </c>
      <c r="C1872" s="65" t="s">
        <v>117</v>
      </c>
      <c r="D1872" s="65" t="str">
        <f>vlookup(C1872,'Classificação p pessoal'!F:G,2,false)</f>
        <v>NP</v>
      </c>
      <c r="E1872" s="65" t="s">
        <v>1043</v>
      </c>
      <c r="F1872" s="83">
        <v>0.5486111111111112</v>
      </c>
      <c r="G1872" s="83">
        <v>0.5798611111111112</v>
      </c>
      <c r="H1872" s="83">
        <v>0.03125</v>
      </c>
      <c r="I1872" s="84">
        <v>44398.0</v>
      </c>
      <c r="J1872" s="65" t="b">
        <v>1</v>
      </c>
      <c r="K1872" s="65"/>
      <c r="L1872" s="85" t="b">
        <f>IF(VLOOKUP(C1872,Projetos!A:L,12,false)=TRUE,TRUE,FALSE)</f>
        <v>1</v>
      </c>
      <c r="M1872" s="74">
        <v>73.7079846079846</v>
      </c>
      <c r="N1872" s="74">
        <f t="shared" si="1"/>
        <v>55.28098846</v>
      </c>
      <c r="O1872" s="74" t="b">
        <v>1</v>
      </c>
    </row>
    <row r="1873" hidden="1">
      <c r="A1873" s="82"/>
      <c r="B1873" s="65" t="s">
        <v>495</v>
      </c>
      <c r="C1873" s="65" t="s">
        <v>117</v>
      </c>
      <c r="D1873" s="65" t="str">
        <f>vlookup(C1873,'Classificação p pessoal'!F:G,2,false)</f>
        <v>NP</v>
      </c>
      <c r="E1873" s="65" t="s">
        <v>1043</v>
      </c>
      <c r="F1873" s="83">
        <v>0.6215277777777778</v>
      </c>
      <c r="G1873" s="83">
        <v>0.6527777777777778</v>
      </c>
      <c r="H1873" s="83">
        <v>0.03125</v>
      </c>
      <c r="I1873" s="84">
        <v>44398.0</v>
      </c>
      <c r="J1873" s="65" t="b">
        <v>1</v>
      </c>
      <c r="K1873" s="65"/>
      <c r="L1873" s="85" t="b">
        <f>IF(VLOOKUP(C1873,Projetos!A:L,12,false)=TRUE,TRUE,FALSE)</f>
        <v>1</v>
      </c>
      <c r="M1873" s="74">
        <v>73.7079846079846</v>
      </c>
      <c r="N1873" s="74">
        <f t="shared" si="1"/>
        <v>55.28098846</v>
      </c>
      <c r="O1873" s="74" t="b">
        <v>1</v>
      </c>
    </row>
    <row r="1874">
      <c r="A1874" s="82"/>
      <c r="B1874" s="65" t="s">
        <v>495</v>
      </c>
      <c r="C1874" s="65" t="s">
        <v>108</v>
      </c>
      <c r="D1874" s="65" t="str">
        <f>vlookup(C1874,'Classificação p pessoal'!F:G,2,false)</f>
        <v>NP</v>
      </c>
      <c r="E1874" s="65" t="s">
        <v>945</v>
      </c>
      <c r="F1874" s="83">
        <v>0.6527777777777778</v>
      </c>
      <c r="G1874" s="83">
        <v>0.75</v>
      </c>
      <c r="H1874" s="83">
        <v>0.09722222222222222</v>
      </c>
      <c r="I1874" s="84">
        <v>44398.0</v>
      </c>
      <c r="J1874" s="65" t="b">
        <v>1</v>
      </c>
      <c r="K1874" s="65"/>
      <c r="L1874" s="85" t="b">
        <f>IF(VLOOKUP(C1874,Projetos!A:L,12,false)=TRUE,TRUE,FALSE)</f>
        <v>1</v>
      </c>
      <c r="M1874" s="74">
        <v>73.7079846079846</v>
      </c>
      <c r="N1874" s="74">
        <f t="shared" si="1"/>
        <v>171.9852974</v>
      </c>
      <c r="O1874" s="74" t="b">
        <v>1</v>
      </c>
    </row>
    <row r="1875" hidden="1">
      <c r="A1875" s="82"/>
      <c r="B1875" s="65" t="s">
        <v>495</v>
      </c>
      <c r="C1875" s="65" t="s">
        <v>92</v>
      </c>
      <c r="D1875" s="65"/>
      <c r="E1875" s="65" t="s">
        <v>1148</v>
      </c>
      <c r="F1875" s="83">
        <v>0.625</v>
      </c>
      <c r="G1875" s="83">
        <v>0.6944444444444444</v>
      </c>
      <c r="H1875" s="83">
        <v>0.06944444444444445</v>
      </c>
      <c r="I1875" s="84">
        <v>44523.0</v>
      </c>
      <c r="J1875" s="65" t="b">
        <v>0</v>
      </c>
      <c r="K1875" s="65" t="s">
        <v>150</v>
      </c>
      <c r="L1875" s="85" t="b">
        <f>IF(VLOOKUP(C1875,Projetos!A:L,12,false)=TRUE,TRUE,FALSE)</f>
        <v>1</v>
      </c>
      <c r="M1875" s="74">
        <v>73.7079846079846</v>
      </c>
      <c r="N1875" s="74">
        <f t="shared" si="1"/>
        <v>0</v>
      </c>
      <c r="O1875" s="74" t="b">
        <v>1</v>
      </c>
    </row>
    <row r="1876" hidden="1">
      <c r="A1876" s="82"/>
      <c r="B1876" s="65" t="s">
        <v>495</v>
      </c>
      <c r="C1876" s="65" t="s">
        <v>117</v>
      </c>
      <c r="D1876" s="65" t="str">
        <f>vlookup(C1876,'Classificação p pessoal'!F:G,2,false)</f>
        <v>NP</v>
      </c>
      <c r="E1876" s="65" t="s">
        <v>1149</v>
      </c>
      <c r="F1876" s="83">
        <v>0.4166666666666667</v>
      </c>
      <c r="G1876" s="83">
        <v>0.5694444444444444</v>
      </c>
      <c r="H1876" s="83">
        <v>0.1527777777777778</v>
      </c>
      <c r="I1876" s="84">
        <v>44399.0</v>
      </c>
      <c r="J1876" s="65" t="b">
        <v>1</v>
      </c>
      <c r="K1876" s="65"/>
      <c r="L1876" s="85" t="b">
        <f>IF(VLOOKUP(C1876,Projetos!A:L,12,false)=TRUE,TRUE,FALSE)</f>
        <v>1</v>
      </c>
      <c r="M1876" s="74">
        <v>73.7079846079846</v>
      </c>
      <c r="N1876" s="74">
        <f t="shared" si="1"/>
        <v>270.2626102</v>
      </c>
      <c r="O1876" s="74" t="b">
        <v>1</v>
      </c>
    </row>
    <row r="1877">
      <c r="A1877" s="82"/>
      <c r="B1877" s="65" t="s">
        <v>495</v>
      </c>
      <c r="C1877" s="65" t="s">
        <v>108</v>
      </c>
      <c r="D1877" s="65" t="str">
        <f>vlookup(C1877,'Classificação p pessoal'!F:G,2,false)</f>
        <v>NP</v>
      </c>
      <c r="E1877" s="65" t="s">
        <v>832</v>
      </c>
      <c r="F1877" s="83">
        <v>0.6111111111111112</v>
      </c>
      <c r="G1877" s="83">
        <v>0.75</v>
      </c>
      <c r="H1877" s="83">
        <v>0.1388888888888889</v>
      </c>
      <c r="I1877" s="84">
        <v>44399.0</v>
      </c>
      <c r="J1877" s="65" t="b">
        <v>1</v>
      </c>
      <c r="K1877" s="65"/>
      <c r="L1877" s="85" t="b">
        <f>IF(VLOOKUP(C1877,Projetos!A:L,12,false)=TRUE,TRUE,FALSE)</f>
        <v>1</v>
      </c>
      <c r="M1877" s="74">
        <v>73.7079846079846</v>
      </c>
      <c r="N1877" s="74">
        <f t="shared" si="1"/>
        <v>245.693282</v>
      </c>
      <c r="O1877" s="74" t="b">
        <v>1</v>
      </c>
    </row>
    <row r="1878" hidden="1">
      <c r="A1878" s="82"/>
      <c r="B1878" s="65" t="s">
        <v>495</v>
      </c>
      <c r="C1878" s="65" t="s">
        <v>100</v>
      </c>
      <c r="D1878" s="65"/>
      <c r="E1878" s="65" t="s">
        <v>1150</v>
      </c>
      <c r="F1878" s="83">
        <v>0.3472222222222222</v>
      </c>
      <c r="G1878" s="83">
        <v>0.4305555555555556</v>
      </c>
      <c r="H1878" s="83">
        <v>0.08333333333333333</v>
      </c>
      <c r="I1878" s="84">
        <v>44400.0</v>
      </c>
      <c r="J1878" s="65" t="b">
        <v>0</v>
      </c>
      <c r="K1878" s="65" t="s">
        <v>150</v>
      </c>
      <c r="L1878" s="85" t="b">
        <f>IF(VLOOKUP(C1878,Projetos!A:L,12,false)=TRUE,TRUE,FALSE)</f>
        <v>1</v>
      </c>
      <c r="M1878" s="74">
        <v>73.7079846079846</v>
      </c>
      <c r="N1878" s="74">
        <f t="shared" si="1"/>
        <v>0</v>
      </c>
      <c r="O1878" s="74" t="b">
        <v>1</v>
      </c>
    </row>
    <row r="1879" hidden="1">
      <c r="A1879" s="82"/>
      <c r="B1879" s="65" t="s">
        <v>495</v>
      </c>
      <c r="C1879" s="65" t="s">
        <v>92</v>
      </c>
      <c r="D1879" s="65" t="str">
        <f>vlookup(C1879,'Classificação p pessoal'!F:G,2,false)</f>
        <v/>
      </c>
      <c r="E1879" s="65" t="s">
        <v>1151</v>
      </c>
      <c r="F1879" s="83">
        <v>0.4444444444444444</v>
      </c>
      <c r="G1879" s="83">
        <v>0.5625</v>
      </c>
      <c r="H1879" s="83">
        <v>0.11805555555555555</v>
      </c>
      <c r="I1879" s="84">
        <v>44400.0</v>
      </c>
      <c r="J1879" s="65" t="b">
        <v>1</v>
      </c>
      <c r="K1879" s="65"/>
      <c r="L1879" s="85" t="b">
        <f>IF(VLOOKUP(C1879,Projetos!A:L,12,false)=TRUE,TRUE,FALSE)</f>
        <v>1</v>
      </c>
      <c r="M1879" s="74">
        <v>73.7079846079846</v>
      </c>
      <c r="N1879" s="74">
        <f t="shared" si="1"/>
        <v>208.8392897</v>
      </c>
      <c r="O1879" s="74" t="b">
        <v>1</v>
      </c>
    </row>
    <row r="1880" hidden="1">
      <c r="A1880" s="82"/>
      <c r="B1880" s="65" t="s">
        <v>495</v>
      </c>
      <c r="C1880" s="65" t="s">
        <v>100</v>
      </c>
      <c r="D1880" s="65" t="str">
        <f>vlookup(C1880,'Classificação p pessoal'!F:G,2,false)</f>
        <v>NP</v>
      </c>
      <c r="E1880" s="65" t="s">
        <v>1152</v>
      </c>
      <c r="F1880" s="83">
        <v>0.5833333333333334</v>
      </c>
      <c r="G1880" s="83">
        <v>0.6666666666666666</v>
      </c>
      <c r="H1880" s="83">
        <v>0.08333333333333333</v>
      </c>
      <c r="I1880" s="84">
        <v>44400.0</v>
      </c>
      <c r="J1880" s="65" t="b">
        <v>1</v>
      </c>
      <c r="K1880" s="65"/>
      <c r="L1880" s="85" t="b">
        <f>IF(VLOOKUP(C1880,Projetos!A:L,12,false)=TRUE,TRUE,FALSE)</f>
        <v>1</v>
      </c>
      <c r="M1880" s="74">
        <v>73.7079846079846</v>
      </c>
      <c r="N1880" s="74">
        <f t="shared" si="1"/>
        <v>147.4159692</v>
      </c>
      <c r="O1880" s="74" t="b">
        <v>1</v>
      </c>
    </row>
    <row r="1881" hidden="1">
      <c r="A1881" s="82"/>
      <c r="B1881" s="65" t="s">
        <v>495</v>
      </c>
      <c r="C1881" s="65" t="s">
        <v>117</v>
      </c>
      <c r="D1881" s="65" t="str">
        <f>vlookup(C1881,'Classificação p pessoal'!F:G,2,false)</f>
        <v>NP</v>
      </c>
      <c r="E1881" s="65" t="s">
        <v>1153</v>
      </c>
      <c r="F1881" s="83">
        <v>0.6666666666666666</v>
      </c>
      <c r="G1881" s="83">
        <v>0.75</v>
      </c>
      <c r="H1881" s="83">
        <v>0.08333333333333333</v>
      </c>
      <c r="I1881" s="84">
        <v>44400.0</v>
      </c>
      <c r="J1881" s="65" t="b">
        <v>1</v>
      </c>
      <c r="K1881" s="65"/>
      <c r="L1881" s="85" t="b">
        <f>IF(VLOOKUP(C1881,Projetos!A:L,12,false)=TRUE,TRUE,FALSE)</f>
        <v>1</v>
      </c>
      <c r="M1881" s="74">
        <v>73.7079846079846</v>
      </c>
      <c r="N1881" s="74">
        <f t="shared" si="1"/>
        <v>147.4159692</v>
      </c>
      <c r="O1881" s="74" t="b">
        <v>1</v>
      </c>
    </row>
    <row r="1882" hidden="1">
      <c r="A1882" s="82"/>
      <c r="B1882" s="65" t="s">
        <v>495</v>
      </c>
      <c r="C1882" s="65" t="s">
        <v>117</v>
      </c>
      <c r="D1882" s="65" t="str">
        <f>vlookup(C1882,'Classificação p pessoal'!F:G,2,false)</f>
        <v>NP</v>
      </c>
      <c r="E1882" s="65" t="s">
        <v>1154</v>
      </c>
      <c r="F1882" s="83">
        <v>0.3541666666666667</v>
      </c>
      <c r="G1882" s="83">
        <v>0.4583333333333333</v>
      </c>
      <c r="H1882" s="83">
        <v>0.10416666666666667</v>
      </c>
      <c r="I1882" s="84">
        <v>44403.0</v>
      </c>
      <c r="J1882" s="65" t="b">
        <v>1</v>
      </c>
      <c r="K1882" s="65"/>
      <c r="L1882" s="85" t="b">
        <f>IF(VLOOKUP(C1882,Projetos!A:L,12,false)=TRUE,TRUE,FALSE)</f>
        <v>1</v>
      </c>
      <c r="M1882" s="74">
        <v>73.7079846079846</v>
      </c>
      <c r="N1882" s="74">
        <f t="shared" si="1"/>
        <v>184.2699615</v>
      </c>
      <c r="O1882" s="74" t="b">
        <v>1</v>
      </c>
    </row>
    <row r="1883" hidden="1">
      <c r="A1883" s="82"/>
      <c r="B1883" s="65" t="s">
        <v>495</v>
      </c>
      <c r="C1883" s="65" t="s">
        <v>92</v>
      </c>
      <c r="D1883" s="65" t="str">
        <f>vlookup(C1883,'Classificação p pessoal'!F:G,2,false)</f>
        <v/>
      </c>
      <c r="E1883" s="65" t="s">
        <v>1155</v>
      </c>
      <c r="F1883" s="83">
        <v>0.4583333333333333</v>
      </c>
      <c r="G1883" s="83">
        <v>0.5694444444444444</v>
      </c>
      <c r="H1883" s="83">
        <v>0.1111111111111111</v>
      </c>
      <c r="I1883" s="84">
        <v>44403.0</v>
      </c>
      <c r="J1883" s="65" t="b">
        <v>1</v>
      </c>
      <c r="K1883" s="65"/>
      <c r="L1883" s="85" t="b">
        <f>IF(VLOOKUP(C1883,Projetos!A:L,12,false)=TRUE,TRUE,FALSE)</f>
        <v>1</v>
      </c>
      <c r="M1883" s="74">
        <v>73.7079846079846</v>
      </c>
      <c r="N1883" s="74">
        <f t="shared" si="1"/>
        <v>196.5546256</v>
      </c>
      <c r="O1883" s="74" t="b">
        <v>1</v>
      </c>
    </row>
    <row r="1884">
      <c r="A1884" s="82"/>
      <c r="B1884" s="65" t="s">
        <v>495</v>
      </c>
      <c r="C1884" s="65" t="s">
        <v>108</v>
      </c>
      <c r="D1884" s="65" t="str">
        <f>vlookup(C1884,'Classificação p pessoal'!F:G,2,false)</f>
        <v>NP</v>
      </c>
      <c r="E1884" s="65" t="s">
        <v>832</v>
      </c>
      <c r="F1884" s="83">
        <v>0.6111111111111112</v>
      </c>
      <c r="G1884" s="83">
        <v>0.75</v>
      </c>
      <c r="H1884" s="83">
        <v>0.1388888888888889</v>
      </c>
      <c r="I1884" s="84">
        <v>44403.0</v>
      </c>
      <c r="J1884" s="65" t="b">
        <v>1</v>
      </c>
      <c r="K1884" s="65"/>
      <c r="L1884" s="85" t="b">
        <f>IF(VLOOKUP(C1884,Projetos!A:L,12,false)=TRUE,TRUE,FALSE)</f>
        <v>1</v>
      </c>
      <c r="M1884" s="74">
        <v>73.7079846079846</v>
      </c>
      <c r="N1884" s="74">
        <f t="shared" si="1"/>
        <v>245.693282</v>
      </c>
      <c r="O1884" s="74" t="b">
        <v>1</v>
      </c>
    </row>
    <row r="1885" hidden="1">
      <c r="A1885" s="82"/>
      <c r="B1885" s="65" t="s">
        <v>495</v>
      </c>
      <c r="C1885" s="65" t="s">
        <v>106</v>
      </c>
      <c r="D1885" s="65" t="str">
        <f>vlookup(C1885,'Classificação p pessoal'!F:G,2,false)</f>
        <v>MProcesso</v>
      </c>
      <c r="E1885" s="65" t="s">
        <v>1156</v>
      </c>
      <c r="F1885" s="83">
        <v>0.3472222222222222</v>
      </c>
      <c r="G1885" s="83">
        <v>0.4166666666666667</v>
      </c>
      <c r="H1885" s="83">
        <v>0.06944444444444445</v>
      </c>
      <c r="I1885" s="84">
        <v>44404.0</v>
      </c>
      <c r="J1885" s="65" t="b">
        <v>1</v>
      </c>
      <c r="K1885" s="65"/>
      <c r="L1885" s="85" t="b">
        <f>IF(VLOOKUP(C1885,Projetos!A:L,12,false)=TRUE,TRUE,FALSE)</f>
        <v>1</v>
      </c>
      <c r="M1885" s="74">
        <v>73.7079846079846</v>
      </c>
      <c r="N1885" s="74">
        <f t="shared" si="1"/>
        <v>122.846641</v>
      </c>
      <c r="O1885" s="74" t="b">
        <v>1</v>
      </c>
    </row>
    <row r="1886" hidden="1">
      <c r="A1886" s="82"/>
      <c r="B1886" s="65" t="s">
        <v>495</v>
      </c>
      <c r="C1886" s="65" t="s">
        <v>92</v>
      </c>
      <c r="D1886" s="65" t="str">
        <f>vlookup(C1886,'Classificação p pessoal'!F:G,2,false)</f>
        <v/>
      </c>
      <c r="E1886" s="65" t="s">
        <v>1157</v>
      </c>
      <c r="F1886" s="83">
        <v>0.4305555555555556</v>
      </c>
      <c r="G1886" s="83">
        <v>0.5</v>
      </c>
      <c r="H1886" s="83">
        <v>0.06944444444444445</v>
      </c>
      <c r="I1886" s="84">
        <v>44404.0</v>
      </c>
      <c r="J1886" s="65" t="b">
        <v>1</v>
      </c>
      <c r="K1886" s="65"/>
      <c r="L1886" s="85" t="b">
        <f>IF(VLOOKUP(C1886,Projetos!A:L,12,false)=TRUE,TRUE,FALSE)</f>
        <v>1</v>
      </c>
      <c r="M1886" s="74">
        <v>73.7079846079846</v>
      </c>
      <c r="N1886" s="74">
        <f t="shared" si="1"/>
        <v>122.846641</v>
      </c>
      <c r="O1886" s="74" t="b">
        <v>1</v>
      </c>
    </row>
    <row r="1887" hidden="1">
      <c r="A1887" s="82"/>
      <c r="B1887" s="65" t="s">
        <v>495</v>
      </c>
      <c r="C1887" s="65" t="s">
        <v>92</v>
      </c>
      <c r="D1887" s="65" t="str">
        <f>vlookup(C1887,'Classificação p pessoal'!F:G,2,false)</f>
        <v/>
      </c>
      <c r="E1887" s="65" t="s">
        <v>834</v>
      </c>
      <c r="F1887" s="83">
        <v>0.5</v>
      </c>
      <c r="G1887" s="83">
        <v>0.5736111111111111</v>
      </c>
      <c r="H1887" s="83">
        <v>0.07361111111111111</v>
      </c>
      <c r="I1887" s="84">
        <v>44404.0</v>
      </c>
      <c r="J1887" s="65" t="b">
        <v>1</v>
      </c>
      <c r="K1887" s="65"/>
      <c r="L1887" s="85" t="b">
        <f>IF(VLOOKUP(C1887,Projetos!A:L,12,false)=TRUE,TRUE,FALSE)</f>
        <v>1</v>
      </c>
      <c r="M1887" s="74">
        <v>73.7079846079846</v>
      </c>
      <c r="N1887" s="74">
        <f t="shared" si="1"/>
        <v>130.2174395</v>
      </c>
      <c r="O1887" s="74" t="b">
        <v>1</v>
      </c>
    </row>
    <row r="1888">
      <c r="A1888" s="82"/>
      <c r="B1888" s="65" t="s">
        <v>495</v>
      </c>
      <c r="C1888" s="65" t="s">
        <v>108</v>
      </c>
      <c r="D1888" s="65" t="str">
        <f>vlookup(C1888,'Classificação p pessoal'!F:G,2,false)</f>
        <v>NP</v>
      </c>
      <c r="E1888" s="65" t="s">
        <v>832</v>
      </c>
      <c r="F1888" s="83">
        <v>0.6180555555555556</v>
      </c>
      <c r="G1888" s="83">
        <v>0.7083333333333334</v>
      </c>
      <c r="H1888" s="83">
        <v>0.09027777777777778</v>
      </c>
      <c r="I1888" s="84">
        <v>44404.0</v>
      </c>
      <c r="J1888" s="65" t="b">
        <v>1</v>
      </c>
      <c r="K1888" s="65"/>
      <c r="L1888" s="85" t="b">
        <f>IF(VLOOKUP(C1888,Projetos!A:L,12,false)=TRUE,TRUE,FALSE)</f>
        <v>1</v>
      </c>
      <c r="M1888" s="74">
        <v>73.7079846079846</v>
      </c>
      <c r="N1888" s="74">
        <f t="shared" si="1"/>
        <v>159.7006333</v>
      </c>
      <c r="O1888" s="74" t="b">
        <v>1</v>
      </c>
    </row>
    <row r="1889" hidden="1">
      <c r="A1889" s="82"/>
      <c r="B1889" s="65" t="s">
        <v>495</v>
      </c>
      <c r="C1889" s="65" t="s">
        <v>130</v>
      </c>
      <c r="D1889" s="65" t="str">
        <f>vlookup(C1889,'Classificação p pessoal'!F:G,2,false)</f>
        <v>NP</v>
      </c>
      <c r="E1889" s="65" t="s">
        <v>1158</v>
      </c>
      <c r="F1889" s="83">
        <v>0.7083333333333334</v>
      </c>
      <c r="G1889" s="83">
        <v>0.75</v>
      </c>
      <c r="H1889" s="83">
        <v>0.041666666666666664</v>
      </c>
      <c r="I1889" s="84">
        <v>44404.0</v>
      </c>
      <c r="J1889" s="65" t="b">
        <v>1</v>
      </c>
      <c r="K1889" s="65"/>
      <c r="L1889" s="85" t="b">
        <f>IF(VLOOKUP(C1889,Projetos!A:L,12,false)=TRUE,TRUE,FALSE)</f>
        <v>1</v>
      </c>
      <c r="M1889" s="74">
        <v>73.7079846079846</v>
      </c>
      <c r="N1889" s="74">
        <f t="shared" si="1"/>
        <v>73.70798461</v>
      </c>
      <c r="O1889" s="74" t="b">
        <v>1</v>
      </c>
    </row>
    <row r="1890" hidden="1">
      <c r="A1890" s="82"/>
      <c r="B1890" s="65" t="s">
        <v>495</v>
      </c>
      <c r="C1890" s="65" t="s">
        <v>130</v>
      </c>
      <c r="D1890" s="65" t="str">
        <f>vlookup(C1890,'Classificação p pessoal'!F:G,2,false)</f>
        <v>NP</v>
      </c>
      <c r="E1890" s="65" t="s">
        <v>1158</v>
      </c>
      <c r="F1890" s="83">
        <v>0.3541666666666667</v>
      </c>
      <c r="G1890" s="83">
        <v>0.375</v>
      </c>
      <c r="H1890" s="83">
        <v>0.020833333333333332</v>
      </c>
      <c r="I1890" s="84">
        <v>44405.0</v>
      </c>
      <c r="J1890" s="65" t="b">
        <v>1</v>
      </c>
      <c r="K1890" s="65"/>
      <c r="L1890" s="85" t="b">
        <f>IF(VLOOKUP(C1890,Projetos!A:L,12,false)=TRUE,TRUE,FALSE)</f>
        <v>1</v>
      </c>
      <c r="M1890" s="74">
        <v>73.7079846079846</v>
      </c>
      <c r="N1890" s="74">
        <f t="shared" si="1"/>
        <v>36.8539923</v>
      </c>
      <c r="O1890" s="74" t="b">
        <v>1</v>
      </c>
    </row>
    <row r="1891">
      <c r="A1891" s="82"/>
      <c r="B1891" s="65" t="s">
        <v>495</v>
      </c>
      <c r="C1891" s="65" t="s">
        <v>108</v>
      </c>
      <c r="D1891" s="65" t="str">
        <f>vlookup(C1891,'Classificação p pessoal'!F:G,2,false)</f>
        <v>NP</v>
      </c>
      <c r="E1891" s="65" t="s">
        <v>832</v>
      </c>
      <c r="F1891" s="83">
        <v>0.375</v>
      </c>
      <c r="G1891" s="83">
        <v>0.4444444444444444</v>
      </c>
      <c r="H1891" s="83">
        <v>0.06944444444444445</v>
      </c>
      <c r="I1891" s="84">
        <v>44405.0</v>
      </c>
      <c r="J1891" s="65" t="b">
        <v>1</v>
      </c>
      <c r="K1891" s="65"/>
      <c r="L1891" s="85" t="b">
        <f>IF(VLOOKUP(C1891,Projetos!A:L,12,false)=TRUE,TRUE,FALSE)</f>
        <v>1</v>
      </c>
      <c r="M1891" s="74">
        <v>73.7079846079846</v>
      </c>
      <c r="N1891" s="74">
        <f t="shared" si="1"/>
        <v>122.846641</v>
      </c>
      <c r="O1891" s="74" t="b">
        <v>1</v>
      </c>
    </row>
    <row r="1892" hidden="1">
      <c r="A1892" s="82"/>
      <c r="B1892" s="65" t="s">
        <v>495</v>
      </c>
      <c r="C1892" s="65" t="s">
        <v>92</v>
      </c>
      <c r="D1892" s="65" t="str">
        <f>vlookup(C1892,'Classificação p pessoal'!F:G,2,false)</f>
        <v/>
      </c>
      <c r="E1892" s="65" t="s">
        <v>1159</v>
      </c>
      <c r="F1892" s="83">
        <v>0.4444444444444444</v>
      </c>
      <c r="G1892" s="83">
        <v>0.4722222222222222</v>
      </c>
      <c r="H1892" s="83">
        <v>0.027777777777777776</v>
      </c>
      <c r="I1892" s="84">
        <v>44405.0</v>
      </c>
      <c r="J1892" s="65" t="b">
        <v>1</v>
      </c>
      <c r="K1892" s="65"/>
      <c r="L1892" s="85" t="b">
        <f>IF(VLOOKUP(C1892,Projetos!A:L,12,false)=TRUE,TRUE,FALSE)</f>
        <v>1</v>
      </c>
      <c r="M1892" s="74">
        <v>73.7079846079846</v>
      </c>
      <c r="N1892" s="74">
        <f t="shared" si="1"/>
        <v>49.13865641</v>
      </c>
      <c r="O1892" s="74" t="b">
        <v>1</v>
      </c>
    </row>
    <row r="1893" hidden="1">
      <c r="A1893" s="82"/>
      <c r="B1893" s="65" t="s">
        <v>495</v>
      </c>
      <c r="C1893" s="65" t="s">
        <v>130</v>
      </c>
      <c r="D1893" s="65"/>
      <c r="E1893" s="65" t="s">
        <v>1160</v>
      </c>
      <c r="F1893" s="83">
        <v>0.5</v>
      </c>
      <c r="G1893" s="83">
        <v>0.5729166666666666</v>
      </c>
      <c r="H1893" s="83">
        <v>0.07291666666666667</v>
      </c>
      <c r="I1893" s="84">
        <v>44405.0</v>
      </c>
      <c r="J1893" s="65" t="b">
        <v>0</v>
      </c>
      <c r="K1893" s="65" t="s">
        <v>150</v>
      </c>
      <c r="L1893" s="85" t="b">
        <f>IF(VLOOKUP(C1893,Projetos!A:L,12,false)=TRUE,TRUE,FALSE)</f>
        <v>1</v>
      </c>
      <c r="M1893" s="74">
        <v>73.7079846079846</v>
      </c>
      <c r="N1893" s="74">
        <f t="shared" si="1"/>
        <v>0</v>
      </c>
      <c r="O1893" s="74" t="b">
        <v>1</v>
      </c>
    </row>
    <row r="1894" hidden="1">
      <c r="A1894" s="82"/>
      <c r="B1894" s="65" t="s">
        <v>495</v>
      </c>
      <c r="C1894" s="65" t="s">
        <v>130</v>
      </c>
      <c r="D1894" s="65"/>
      <c r="E1894" s="65" t="s">
        <v>1160</v>
      </c>
      <c r="F1894" s="83">
        <v>0.6145833333333334</v>
      </c>
      <c r="G1894" s="83">
        <v>0.6666666666666666</v>
      </c>
      <c r="H1894" s="83">
        <v>0.052083333333333336</v>
      </c>
      <c r="I1894" s="84">
        <v>44405.0</v>
      </c>
      <c r="J1894" s="65" t="b">
        <v>0</v>
      </c>
      <c r="K1894" s="65" t="s">
        <v>150</v>
      </c>
      <c r="L1894" s="85" t="b">
        <f>IF(VLOOKUP(C1894,Projetos!A:L,12,false)=TRUE,TRUE,FALSE)</f>
        <v>1</v>
      </c>
      <c r="M1894" s="74">
        <v>73.7079846079846</v>
      </c>
      <c r="N1894" s="74">
        <f t="shared" si="1"/>
        <v>0</v>
      </c>
      <c r="O1894" s="74" t="b">
        <v>1</v>
      </c>
    </row>
    <row r="1895" hidden="1">
      <c r="A1895" s="82"/>
      <c r="B1895" s="65" t="s">
        <v>495</v>
      </c>
      <c r="C1895" s="65" t="s">
        <v>114</v>
      </c>
      <c r="D1895" s="65" t="str">
        <f>vlookup(C1895,'Classificação p pessoal'!F:G,2,false)</f>
        <v>NP</v>
      </c>
      <c r="E1895" s="65" t="s">
        <v>1161</v>
      </c>
      <c r="F1895" s="83">
        <v>0.6666666666666666</v>
      </c>
      <c r="G1895" s="83">
        <v>0.75</v>
      </c>
      <c r="H1895" s="83">
        <v>0.08333333333333333</v>
      </c>
      <c r="I1895" s="84">
        <v>44405.0</v>
      </c>
      <c r="J1895" s="65" t="b">
        <v>1</v>
      </c>
      <c r="K1895" s="65"/>
      <c r="L1895" s="85" t="b">
        <f>IF(VLOOKUP(C1895,Projetos!A:L,12,false)=TRUE,TRUE,FALSE)</f>
        <v>1</v>
      </c>
      <c r="M1895" s="74">
        <v>73.7079846079846</v>
      </c>
      <c r="N1895" s="74">
        <f t="shared" si="1"/>
        <v>147.4159692</v>
      </c>
      <c r="O1895" s="74" t="b">
        <v>1</v>
      </c>
    </row>
    <row r="1896" hidden="1">
      <c r="A1896" s="82"/>
      <c r="B1896" s="65" t="s">
        <v>495</v>
      </c>
      <c r="C1896" s="65" t="s">
        <v>92</v>
      </c>
      <c r="D1896" s="65" t="str">
        <f>vlookup(C1896,'Classificação p pessoal'!F:G,2,false)</f>
        <v/>
      </c>
      <c r="E1896" s="65" t="s">
        <v>1162</v>
      </c>
      <c r="F1896" s="83">
        <v>0.3541666666666667</v>
      </c>
      <c r="G1896" s="83">
        <v>0.3958333333333333</v>
      </c>
      <c r="H1896" s="83">
        <v>0.041666666666666664</v>
      </c>
      <c r="I1896" s="84">
        <v>44406.0</v>
      </c>
      <c r="J1896" s="65" t="b">
        <v>1</v>
      </c>
      <c r="K1896" s="65"/>
      <c r="L1896" s="85" t="b">
        <f>IF(VLOOKUP(C1896,Projetos!A:L,12,false)=TRUE,TRUE,FALSE)</f>
        <v>1</v>
      </c>
      <c r="M1896" s="74">
        <v>73.7079846079846</v>
      </c>
      <c r="N1896" s="74">
        <f t="shared" si="1"/>
        <v>73.70798461</v>
      </c>
      <c r="O1896" s="74" t="b">
        <v>1</v>
      </c>
    </row>
    <row r="1897" hidden="1">
      <c r="A1897" s="82"/>
      <c r="B1897" s="65" t="s">
        <v>495</v>
      </c>
      <c r="C1897" s="65" t="s">
        <v>114</v>
      </c>
      <c r="D1897" s="65" t="str">
        <f>vlookup(C1897,'Classificação p pessoal'!F:G,2,false)</f>
        <v>NP</v>
      </c>
      <c r="E1897" s="65" t="s">
        <v>1161</v>
      </c>
      <c r="F1897" s="83">
        <v>0.4166666666666667</v>
      </c>
      <c r="G1897" s="83">
        <v>0.5</v>
      </c>
      <c r="H1897" s="83">
        <v>0.08333333333333333</v>
      </c>
      <c r="I1897" s="84">
        <v>44406.0</v>
      </c>
      <c r="J1897" s="65" t="b">
        <v>1</v>
      </c>
      <c r="K1897" s="65"/>
      <c r="L1897" s="85" t="b">
        <f>IF(VLOOKUP(C1897,Projetos!A:L,12,false)=TRUE,TRUE,FALSE)</f>
        <v>1</v>
      </c>
      <c r="M1897" s="74">
        <v>73.7079846079846</v>
      </c>
      <c r="N1897" s="74">
        <f t="shared" si="1"/>
        <v>147.4159692</v>
      </c>
      <c r="O1897" s="74" t="b">
        <v>1</v>
      </c>
    </row>
    <row r="1898" hidden="1">
      <c r="A1898" s="82"/>
      <c r="B1898" s="65" t="s">
        <v>495</v>
      </c>
      <c r="C1898" s="65" t="s">
        <v>114</v>
      </c>
      <c r="D1898" s="65" t="str">
        <f>vlookup(C1898,'Classificação p pessoal'!F:G,2,false)</f>
        <v>NP</v>
      </c>
      <c r="E1898" s="65" t="s">
        <v>1163</v>
      </c>
      <c r="F1898" s="83">
        <v>0.5</v>
      </c>
      <c r="G1898" s="83">
        <v>0.5729166666666666</v>
      </c>
      <c r="H1898" s="83">
        <v>0.07291666666666667</v>
      </c>
      <c r="I1898" s="84">
        <v>44406.0</v>
      </c>
      <c r="J1898" s="65" t="b">
        <v>1</v>
      </c>
      <c r="K1898" s="65"/>
      <c r="L1898" s="85" t="b">
        <f>IF(VLOOKUP(C1898,Projetos!A:L,12,false)=TRUE,TRUE,FALSE)</f>
        <v>1</v>
      </c>
      <c r="M1898" s="74">
        <v>73.7079846079846</v>
      </c>
      <c r="N1898" s="74">
        <f t="shared" si="1"/>
        <v>128.9889731</v>
      </c>
      <c r="O1898" s="74" t="b">
        <v>1</v>
      </c>
    </row>
    <row r="1899" hidden="1">
      <c r="A1899" s="82"/>
      <c r="B1899" s="65" t="s">
        <v>495</v>
      </c>
      <c r="C1899" s="65" t="s">
        <v>92</v>
      </c>
      <c r="D1899" s="65" t="str">
        <f>vlookup(C1899,'Classificação p pessoal'!F:G,2,false)</f>
        <v/>
      </c>
      <c r="E1899" s="65" t="s">
        <v>1164</v>
      </c>
      <c r="F1899" s="83">
        <v>0.6180555555555556</v>
      </c>
      <c r="G1899" s="83">
        <v>0.6666666666666666</v>
      </c>
      <c r="H1899" s="83">
        <v>0.04861111111111111</v>
      </c>
      <c r="I1899" s="84">
        <v>44406.0</v>
      </c>
      <c r="J1899" s="65" t="b">
        <v>1</v>
      </c>
      <c r="K1899" s="65"/>
      <c r="L1899" s="85" t="b">
        <f>IF(VLOOKUP(C1899,Projetos!A:L,12,false)=TRUE,TRUE,FALSE)</f>
        <v>1</v>
      </c>
      <c r="M1899" s="74">
        <v>73.7079846079846</v>
      </c>
      <c r="N1899" s="74">
        <f t="shared" si="1"/>
        <v>85.99264871</v>
      </c>
      <c r="O1899" s="74" t="b">
        <v>1</v>
      </c>
    </row>
    <row r="1900">
      <c r="A1900" s="82"/>
      <c r="B1900" s="65" t="s">
        <v>495</v>
      </c>
      <c r="C1900" s="65" t="s">
        <v>108</v>
      </c>
      <c r="D1900" s="65" t="str">
        <f>vlookup(C1900,'Classificação p pessoal'!F:G,2,false)</f>
        <v>NP</v>
      </c>
      <c r="E1900" s="65" t="s">
        <v>1165</v>
      </c>
      <c r="F1900" s="83">
        <v>0.6666666666666666</v>
      </c>
      <c r="G1900" s="83">
        <v>0.7291666666666666</v>
      </c>
      <c r="H1900" s="83">
        <v>0.0625</v>
      </c>
      <c r="I1900" s="84">
        <v>44406.0</v>
      </c>
      <c r="J1900" s="65" t="b">
        <v>1</v>
      </c>
      <c r="K1900" s="65"/>
      <c r="L1900" s="85" t="b">
        <f>IF(VLOOKUP(C1900,Projetos!A:L,12,false)=TRUE,TRUE,FALSE)</f>
        <v>1</v>
      </c>
      <c r="M1900" s="74">
        <v>73.7079846079846</v>
      </c>
      <c r="N1900" s="74">
        <f t="shared" si="1"/>
        <v>110.5619769</v>
      </c>
      <c r="O1900" s="74" t="b">
        <v>1</v>
      </c>
    </row>
    <row r="1901" hidden="1">
      <c r="A1901" s="82"/>
      <c r="B1901" s="65" t="s">
        <v>495</v>
      </c>
      <c r="C1901" s="65" t="s">
        <v>92</v>
      </c>
      <c r="D1901" s="65" t="str">
        <f>vlookup(C1901,'Classificação p pessoal'!F:G,2,false)</f>
        <v/>
      </c>
      <c r="E1901" s="65" t="s">
        <v>1164</v>
      </c>
      <c r="F1901" s="83">
        <v>0.7291666666666666</v>
      </c>
      <c r="G1901" s="83">
        <v>0.75</v>
      </c>
      <c r="H1901" s="83">
        <v>0.020833333333333332</v>
      </c>
      <c r="I1901" s="84">
        <v>44406.0</v>
      </c>
      <c r="J1901" s="65" t="b">
        <v>1</v>
      </c>
      <c r="K1901" s="65"/>
      <c r="L1901" s="85" t="b">
        <f>IF(VLOOKUP(C1901,Projetos!A:L,12,false)=TRUE,TRUE,FALSE)</f>
        <v>1</v>
      </c>
      <c r="M1901" s="74">
        <v>73.7079846079846</v>
      </c>
      <c r="N1901" s="74">
        <f t="shared" si="1"/>
        <v>36.8539923</v>
      </c>
      <c r="O1901" s="74" t="b">
        <v>1</v>
      </c>
    </row>
    <row r="1902" hidden="1">
      <c r="A1902" s="82"/>
      <c r="B1902" s="65" t="s">
        <v>495</v>
      </c>
      <c r="C1902" s="65" t="s">
        <v>92</v>
      </c>
      <c r="D1902" s="65" t="str">
        <f>vlookup(C1902,'Classificação p pessoal'!F:G,2,false)</f>
        <v/>
      </c>
      <c r="E1902" s="65" t="s">
        <v>1166</v>
      </c>
      <c r="F1902" s="83">
        <v>0.3645833333333333</v>
      </c>
      <c r="G1902" s="83">
        <v>0.3958333333333333</v>
      </c>
      <c r="H1902" s="83">
        <v>0.03125</v>
      </c>
      <c r="I1902" s="84">
        <v>44407.0</v>
      </c>
      <c r="J1902" s="65" t="b">
        <v>1</v>
      </c>
      <c r="K1902" s="65"/>
      <c r="L1902" s="85" t="b">
        <f>IF(VLOOKUP(C1902,Projetos!A:L,12,false)=TRUE,TRUE,FALSE)</f>
        <v>1</v>
      </c>
      <c r="M1902" s="74">
        <v>73.7079846079846</v>
      </c>
      <c r="N1902" s="74">
        <f t="shared" si="1"/>
        <v>55.28098846</v>
      </c>
      <c r="O1902" s="74" t="b">
        <v>1</v>
      </c>
    </row>
    <row r="1903" hidden="1">
      <c r="A1903" s="82"/>
      <c r="B1903" s="65" t="s">
        <v>495</v>
      </c>
      <c r="C1903" s="65" t="s">
        <v>92</v>
      </c>
      <c r="D1903" s="65" t="str">
        <f>vlookup(C1903,'Classificação p pessoal'!F:G,2,false)</f>
        <v/>
      </c>
      <c r="E1903" s="65" t="s">
        <v>1164</v>
      </c>
      <c r="F1903" s="83">
        <v>0.3958333333333333</v>
      </c>
      <c r="G1903" s="83">
        <v>0.4583333333333333</v>
      </c>
      <c r="H1903" s="83">
        <v>0.0625</v>
      </c>
      <c r="I1903" s="84">
        <v>44407.0</v>
      </c>
      <c r="J1903" s="65" t="b">
        <v>1</v>
      </c>
      <c r="K1903" s="65"/>
      <c r="L1903" s="85" t="b">
        <f>IF(VLOOKUP(C1903,Projetos!A:L,12,false)=TRUE,TRUE,FALSE)</f>
        <v>1</v>
      </c>
      <c r="M1903" s="74">
        <v>73.7079846079846</v>
      </c>
      <c r="N1903" s="74">
        <f t="shared" si="1"/>
        <v>110.5619769</v>
      </c>
      <c r="O1903" s="74" t="b">
        <v>1</v>
      </c>
    </row>
    <row r="1904" hidden="1">
      <c r="A1904" s="82"/>
      <c r="B1904" s="65" t="s">
        <v>495</v>
      </c>
      <c r="C1904" s="65" t="s">
        <v>92</v>
      </c>
      <c r="D1904" s="65" t="str">
        <f>vlookup(C1904,'Classificação p pessoal'!F:G,2,false)</f>
        <v/>
      </c>
      <c r="E1904" s="65" t="s">
        <v>1167</v>
      </c>
      <c r="F1904" s="83">
        <v>0.4583333333333333</v>
      </c>
      <c r="G1904" s="83">
        <v>0.4791666666666667</v>
      </c>
      <c r="H1904" s="83">
        <v>0.020833333333333332</v>
      </c>
      <c r="I1904" s="84">
        <v>44407.0</v>
      </c>
      <c r="J1904" s="65" t="b">
        <v>1</v>
      </c>
      <c r="K1904" s="65"/>
      <c r="L1904" s="85" t="b">
        <f>IF(VLOOKUP(C1904,Projetos!A:L,12,false)=TRUE,TRUE,FALSE)</f>
        <v>1</v>
      </c>
      <c r="M1904" s="74">
        <v>73.7079846079846</v>
      </c>
      <c r="N1904" s="74">
        <f t="shared" si="1"/>
        <v>36.8539923</v>
      </c>
      <c r="O1904" s="74" t="b">
        <v>1</v>
      </c>
    </row>
    <row r="1905" hidden="1">
      <c r="A1905" s="82"/>
      <c r="B1905" s="65" t="s">
        <v>495</v>
      </c>
      <c r="C1905" s="65" t="s">
        <v>92</v>
      </c>
      <c r="D1905" s="65" t="str">
        <f>vlookup(C1905,'Classificação p pessoal'!F:G,2,false)</f>
        <v/>
      </c>
      <c r="E1905" s="65" t="s">
        <v>1164</v>
      </c>
      <c r="F1905" s="83">
        <v>0.4861111111111111</v>
      </c>
      <c r="G1905" s="83">
        <v>0.5729166666666666</v>
      </c>
      <c r="H1905" s="83">
        <v>0.08680555555555555</v>
      </c>
      <c r="I1905" s="84">
        <v>44407.0</v>
      </c>
      <c r="J1905" s="65" t="b">
        <v>1</v>
      </c>
      <c r="K1905" s="65"/>
      <c r="L1905" s="85" t="b">
        <f>IF(VLOOKUP(C1905,Projetos!A:L,12,false)=TRUE,TRUE,FALSE)</f>
        <v>1</v>
      </c>
      <c r="M1905" s="74">
        <v>73.7079846079846</v>
      </c>
      <c r="N1905" s="74">
        <f t="shared" si="1"/>
        <v>153.5583013</v>
      </c>
      <c r="O1905" s="74" t="b">
        <v>1</v>
      </c>
    </row>
    <row r="1906" hidden="1">
      <c r="A1906" s="82"/>
      <c r="B1906" s="65" t="s">
        <v>495</v>
      </c>
      <c r="C1906" s="65" t="s">
        <v>92</v>
      </c>
      <c r="D1906" s="65" t="str">
        <f>vlookup(C1906,'Classificação p pessoal'!F:G,2,false)</f>
        <v/>
      </c>
      <c r="E1906" s="65" t="s">
        <v>1164</v>
      </c>
      <c r="F1906" s="83">
        <v>0.6145833333333334</v>
      </c>
      <c r="G1906" s="83">
        <v>0.6666666666666666</v>
      </c>
      <c r="H1906" s="83">
        <v>0.052083333333333336</v>
      </c>
      <c r="I1906" s="84">
        <v>44407.0</v>
      </c>
      <c r="J1906" s="65" t="b">
        <v>1</v>
      </c>
      <c r="K1906" s="65"/>
      <c r="L1906" s="85" t="b">
        <f>IF(VLOOKUP(C1906,Projetos!A:L,12,false)=TRUE,TRUE,FALSE)</f>
        <v>1</v>
      </c>
      <c r="M1906" s="74">
        <v>73.7079846079846</v>
      </c>
      <c r="N1906" s="74">
        <f t="shared" si="1"/>
        <v>92.13498076</v>
      </c>
      <c r="O1906" s="74" t="b">
        <v>1</v>
      </c>
    </row>
    <row r="1907" hidden="1">
      <c r="A1907" s="82"/>
      <c r="B1907" s="65" t="s">
        <v>495</v>
      </c>
      <c r="C1907" s="65" t="s">
        <v>92</v>
      </c>
      <c r="D1907" s="65" t="str">
        <f>vlookup(C1907,'Classificação p pessoal'!F:G,2,false)</f>
        <v/>
      </c>
      <c r="E1907" s="65" t="s">
        <v>1168</v>
      </c>
      <c r="F1907" s="83">
        <v>0.6666666666666666</v>
      </c>
      <c r="G1907" s="83">
        <v>0.75</v>
      </c>
      <c r="H1907" s="83">
        <v>0.08333333333333333</v>
      </c>
      <c r="I1907" s="84">
        <v>44407.0</v>
      </c>
      <c r="J1907" s="65" t="b">
        <v>1</v>
      </c>
      <c r="K1907" s="65"/>
      <c r="L1907" s="85" t="b">
        <f>IF(VLOOKUP(C1907,Projetos!A:L,12,false)=TRUE,TRUE,FALSE)</f>
        <v>1</v>
      </c>
      <c r="M1907" s="74">
        <v>73.7079846079846</v>
      </c>
      <c r="N1907" s="74">
        <f t="shared" si="1"/>
        <v>147.4159692</v>
      </c>
      <c r="O1907" s="74" t="b">
        <v>1</v>
      </c>
    </row>
    <row r="1908" hidden="1">
      <c r="A1908" s="82"/>
      <c r="B1908" s="65" t="s">
        <v>495</v>
      </c>
      <c r="C1908" s="65" t="s">
        <v>92</v>
      </c>
      <c r="D1908" s="65" t="str">
        <f>vlookup(C1908,'Classificação p pessoal'!F:G,2,false)</f>
        <v/>
      </c>
      <c r="E1908" s="65" t="s">
        <v>1169</v>
      </c>
      <c r="F1908" s="83">
        <v>0.3541666666666667</v>
      </c>
      <c r="G1908" s="83">
        <v>0.4375</v>
      </c>
      <c r="H1908" s="83">
        <v>0.08333333333333333</v>
      </c>
      <c r="I1908" s="84">
        <v>44410.0</v>
      </c>
      <c r="J1908" s="65" t="b">
        <v>1</v>
      </c>
      <c r="K1908" s="65"/>
      <c r="L1908" s="85" t="b">
        <f>IF(VLOOKUP(C1908,Projetos!A:L,12,false)=TRUE,TRUE,FALSE)</f>
        <v>1</v>
      </c>
      <c r="M1908" s="74">
        <v>73.7079846079846</v>
      </c>
      <c r="N1908" s="74">
        <f t="shared" si="1"/>
        <v>147.4159692</v>
      </c>
      <c r="O1908" s="74" t="b">
        <v>1</v>
      </c>
    </row>
    <row r="1909" hidden="1">
      <c r="A1909" s="82"/>
      <c r="B1909" s="65" t="s">
        <v>495</v>
      </c>
      <c r="C1909" s="65" t="s">
        <v>92</v>
      </c>
      <c r="D1909" s="65" t="str">
        <f>vlookup(C1909,'Classificação p pessoal'!F:G,2,false)</f>
        <v/>
      </c>
      <c r="E1909" s="65" t="s">
        <v>1170</v>
      </c>
      <c r="F1909" s="83">
        <v>0.4375</v>
      </c>
      <c r="G1909" s="83">
        <v>0.5</v>
      </c>
      <c r="H1909" s="83">
        <v>0.0625</v>
      </c>
      <c r="I1909" s="84">
        <v>44410.0</v>
      </c>
      <c r="J1909" s="65" t="b">
        <v>1</v>
      </c>
      <c r="K1909" s="65"/>
      <c r="L1909" s="85" t="b">
        <f>IF(VLOOKUP(C1909,Projetos!A:L,12,false)=TRUE,TRUE,FALSE)</f>
        <v>1</v>
      </c>
      <c r="M1909" s="74">
        <v>73.7079846079846</v>
      </c>
      <c r="N1909" s="74">
        <f t="shared" si="1"/>
        <v>110.5619769</v>
      </c>
      <c r="O1909" s="74" t="b">
        <v>1</v>
      </c>
    </row>
    <row r="1910" hidden="1">
      <c r="A1910" s="82"/>
      <c r="B1910" s="65" t="s">
        <v>495</v>
      </c>
      <c r="C1910" s="65" t="s">
        <v>92</v>
      </c>
      <c r="D1910" s="65" t="str">
        <f>vlookup(C1910,'Classificação p pessoal'!F:G,2,false)</f>
        <v/>
      </c>
      <c r="E1910" s="65" t="s">
        <v>1169</v>
      </c>
      <c r="F1910" s="83">
        <v>0.5104166666666666</v>
      </c>
      <c r="G1910" s="83">
        <v>0.5777777777777777</v>
      </c>
      <c r="H1910" s="83">
        <v>0.06736111111111111</v>
      </c>
      <c r="I1910" s="84">
        <v>44410.0</v>
      </c>
      <c r="J1910" s="65" t="b">
        <v>1</v>
      </c>
      <c r="K1910" s="65"/>
      <c r="L1910" s="85" t="b">
        <f>IF(VLOOKUP(C1910,Projetos!A:L,12,false)=TRUE,TRUE,FALSE)</f>
        <v>1</v>
      </c>
      <c r="M1910" s="74">
        <v>73.7079846079846</v>
      </c>
      <c r="N1910" s="74">
        <f t="shared" si="1"/>
        <v>119.1612418</v>
      </c>
      <c r="O1910" s="74" t="b">
        <v>1</v>
      </c>
    </row>
    <row r="1911" hidden="1">
      <c r="A1911" s="82"/>
      <c r="B1911" s="65" t="s">
        <v>495</v>
      </c>
      <c r="C1911" s="65" t="s">
        <v>92</v>
      </c>
      <c r="D1911" s="65" t="str">
        <f>vlookup(C1911,'Classificação p pessoal'!F:G,2,false)</f>
        <v/>
      </c>
      <c r="E1911" s="65" t="s">
        <v>1169</v>
      </c>
      <c r="F1911" s="83">
        <v>0.625</v>
      </c>
      <c r="G1911" s="83">
        <v>0.6666666666666666</v>
      </c>
      <c r="H1911" s="83">
        <v>0.041666666666666664</v>
      </c>
      <c r="I1911" s="84">
        <v>44410.0</v>
      </c>
      <c r="J1911" s="65" t="b">
        <v>1</v>
      </c>
      <c r="K1911" s="65"/>
      <c r="L1911" s="85" t="b">
        <f>IF(VLOOKUP(C1911,Projetos!A:L,12,false)=TRUE,TRUE,FALSE)</f>
        <v>1</v>
      </c>
      <c r="M1911" s="74">
        <v>73.7079846079846</v>
      </c>
      <c r="N1911" s="74">
        <f t="shared" si="1"/>
        <v>73.70798461</v>
      </c>
      <c r="O1911" s="74" t="b">
        <v>1</v>
      </c>
    </row>
    <row r="1912" hidden="1">
      <c r="A1912" s="82"/>
      <c r="B1912" s="65" t="s">
        <v>495</v>
      </c>
      <c r="C1912" s="65" t="s">
        <v>92</v>
      </c>
      <c r="D1912" s="65" t="str">
        <f>vlookup(C1912,'Classificação p pessoal'!F:G,2,false)</f>
        <v/>
      </c>
      <c r="E1912" s="65" t="s">
        <v>1171</v>
      </c>
      <c r="F1912" s="83">
        <v>0.6805555555555556</v>
      </c>
      <c r="G1912" s="83">
        <v>0.75</v>
      </c>
      <c r="H1912" s="83">
        <v>0.06944444444444445</v>
      </c>
      <c r="I1912" s="84">
        <v>44410.0</v>
      </c>
      <c r="J1912" s="65" t="b">
        <v>1</v>
      </c>
      <c r="K1912" s="65"/>
      <c r="L1912" s="85" t="b">
        <f>IF(VLOOKUP(C1912,Projetos!A:L,12,false)=TRUE,TRUE,FALSE)</f>
        <v>1</v>
      </c>
      <c r="M1912" s="74">
        <v>73.7079846079846</v>
      </c>
      <c r="N1912" s="74">
        <f t="shared" si="1"/>
        <v>122.846641</v>
      </c>
      <c r="O1912" s="74" t="b">
        <v>1</v>
      </c>
    </row>
    <row r="1913" hidden="1">
      <c r="A1913" s="82"/>
      <c r="B1913" s="65" t="s">
        <v>495</v>
      </c>
      <c r="C1913" s="65" t="s">
        <v>92</v>
      </c>
      <c r="D1913" s="65" t="str">
        <f>vlookup(C1913,'Classificação p pessoal'!F:G,2,false)</f>
        <v/>
      </c>
      <c r="E1913" s="65" t="s">
        <v>1172</v>
      </c>
      <c r="F1913" s="83">
        <v>0.3472222222222222</v>
      </c>
      <c r="G1913" s="83">
        <v>0.375</v>
      </c>
      <c r="H1913" s="83">
        <v>0.027777777777777776</v>
      </c>
      <c r="I1913" s="84">
        <v>44411.0</v>
      </c>
      <c r="J1913" s="65" t="b">
        <v>1</v>
      </c>
      <c r="K1913" s="65"/>
      <c r="L1913" s="85" t="b">
        <f>IF(VLOOKUP(C1913,Projetos!A:L,12,false)=TRUE,TRUE,FALSE)</f>
        <v>1</v>
      </c>
      <c r="M1913" s="74">
        <v>73.7079846079846</v>
      </c>
      <c r="N1913" s="74">
        <f t="shared" si="1"/>
        <v>49.13865641</v>
      </c>
      <c r="O1913" s="74" t="b">
        <v>1</v>
      </c>
    </row>
    <row r="1914" hidden="1">
      <c r="A1914" s="82"/>
      <c r="B1914" s="65" t="s">
        <v>495</v>
      </c>
      <c r="C1914" s="65" t="s">
        <v>92</v>
      </c>
      <c r="D1914" s="65" t="str">
        <f>vlookup(C1914,'Classificação p pessoal'!F:G,2,false)</f>
        <v/>
      </c>
      <c r="E1914" s="65" t="s">
        <v>1173</v>
      </c>
      <c r="F1914" s="83">
        <v>0.375</v>
      </c>
      <c r="G1914" s="83">
        <v>0.3958333333333333</v>
      </c>
      <c r="H1914" s="83">
        <v>0.020833333333333332</v>
      </c>
      <c r="I1914" s="84">
        <v>44411.0</v>
      </c>
      <c r="J1914" s="65" t="b">
        <v>1</v>
      </c>
      <c r="K1914" s="65"/>
      <c r="L1914" s="85" t="b">
        <f>IF(VLOOKUP(C1914,Projetos!A:L,12,false)=TRUE,TRUE,FALSE)</f>
        <v>1</v>
      </c>
      <c r="M1914" s="74">
        <v>73.7079846079846</v>
      </c>
      <c r="N1914" s="74">
        <f t="shared" si="1"/>
        <v>36.8539923</v>
      </c>
      <c r="O1914" s="74" t="b">
        <v>1</v>
      </c>
    </row>
    <row r="1915" hidden="1">
      <c r="A1915" s="82"/>
      <c r="B1915" s="65" t="s">
        <v>495</v>
      </c>
      <c r="C1915" s="65" t="s">
        <v>117</v>
      </c>
      <c r="D1915" s="65" t="str">
        <f>vlookup(C1915,'Classificação p pessoal'!F:G,2,false)</f>
        <v>NP</v>
      </c>
      <c r="E1915" s="65" t="s">
        <v>1174</v>
      </c>
      <c r="F1915" s="83">
        <v>0.4166666666666667</v>
      </c>
      <c r="G1915" s="83">
        <v>0.5</v>
      </c>
      <c r="H1915" s="83">
        <v>0.08333333333333333</v>
      </c>
      <c r="I1915" s="84">
        <v>44411.0</v>
      </c>
      <c r="J1915" s="65" t="b">
        <v>1</v>
      </c>
      <c r="K1915" s="65"/>
      <c r="L1915" s="85" t="b">
        <f>IF(VLOOKUP(C1915,Projetos!A:L,12,false)=TRUE,TRUE,FALSE)</f>
        <v>1</v>
      </c>
      <c r="M1915" s="74">
        <v>73.7079846079846</v>
      </c>
      <c r="N1915" s="74">
        <f t="shared" si="1"/>
        <v>147.4159692</v>
      </c>
      <c r="O1915" s="74" t="b">
        <v>1</v>
      </c>
    </row>
    <row r="1916" hidden="1">
      <c r="A1916" s="82"/>
      <c r="B1916" s="65" t="s">
        <v>495</v>
      </c>
      <c r="C1916" s="65" t="s">
        <v>92</v>
      </c>
      <c r="D1916" s="65" t="str">
        <f>vlookup(C1916,'Classificação p pessoal'!F:G,2,false)</f>
        <v/>
      </c>
      <c r="E1916" s="65" t="s">
        <v>1169</v>
      </c>
      <c r="F1916" s="83">
        <v>0.5104166666666666</v>
      </c>
      <c r="G1916" s="83">
        <v>0.5694444444444444</v>
      </c>
      <c r="H1916" s="83">
        <v>0.059027777777777776</v>
      </c>
      <c r="I1916" s="84">
        <v>44411.0</v>
      </c>
      <c r="J1916" s="65" t="b">
        <v>1</v>
      </c>
      <c r="K1916" s="65"/>
      <c r="L1916" s="85" t="b">
        <f>IF(VLOOKUP(C1916,Projetos!A:L,12,false)=TRUE,TRUE,FALSE)</f>
        <v>1</v>
      </c>
      <c r="M1916" s="74">
        <v>73.7079846079846</v>
      </c>
      <c r="N1916" s="74">
        <f t="shared" si="1"/>
        <v>104.4196449</v>
      </c>
      <c r="O1916" s="74" t="b">
        <v>1</v>
      </c>
    </row>
    <row r="1917" hidden="1">
      <c r="A1917" s="82"/>
      <c r="B1917" s="65" t="s">
        <v>495</v>
      </c>
      <c r="C1917" s="65" t="s">
        <v>92</v>
      </c>
      <c r="D1917" s="65" t="str">
        <f>vlookup(C1917,'Classificação p pessoal'!F:G,2,false)</f>
        <v/>
      </c>
      <c r="E1917" s="65" t="s">
        <v>1175</v>
      </c>
      <c r="F1917" s="83">
        <v>0.6180555555555556</v>
      </c>
      <c r="G1917" s="83">
        <v>0.6979166666666666</v>
      </c>
      <c r="H1917" s="83">
        <v>0.0798611111111111</v>
      </c>
      <c r="I1917" s="84">
        <v>44411.0</v>
      </c>
      <c r="J1917" s="65" t="b">
        <v>1</v>
      </c>
      <c r="K1917" s="65"/>
      <c r="L1917" s="85" t="b">
        <f>IF(VLOOKUP(C1917,Projetos!A:L,12,false)=TRUE,TRUE,FALSE)</f>
        <v>1</v>
      </c>
      <c r="M1917" s="74">
        <v>73.7079846079846</v>
      </c>
      <c r="N1917" s="74">
        <f t="shared" si="1"/>
        <v>141.2736372</v>
      </c>
      <c r="O1917" s="74" t="b">
        <v>1</v>
      </c>
    </row>
    <row r="1918" hidden="1">
      <c r="A1918" s="82"/>
      <c r="B1918" s="65" t="s">
        <v>495</v>
      </c>
      <c r="C1918" s="65" t="s">
        <v>92</v>
      </c>
      <c r="D1918" s="65" t="str">
        <f>vlookup(C1918,'Classificação p pessoal'!F:G,2,false)</f>
        <v/>
      </c>
      <c r="E1918" s="65" t="s">
        <v>1176</v>
      </c>
      <c r="F1918" s="83">
        <v>0.6979166666666666</v>
      </c>
      <c r="G1918" s="83">
        <v>0.7152777777777778</v>
      </c>
      <c r="H1918" s="83">
        <v>0.017361111111111112</v>
      </c>
      <c r="I1918" s="84">
        <v>44411.0</v>
      </c>
      <c r="J1918" s="65" t="b">
        <v>1</v>
      </c>
      <c r="K1918" s="65"/>
      <c r="L1918" s="85" t="b">
        <f>IF(VLOOKUP(C1918,Projetos!A:L,12,false)=TRUE,TRUE,FALSE)</f>
        <v>1</v>
      </c>
      <c r="M1918" s="74">
        <v>73.7079846079846</v>
      </c>
      <c r="N1918" s="74">
        <f t="shared" si="1"/>
        <v>30.71166025</v>
      </c>
      <c r="O1918" s="74" t="b">
        <v>1</v>
      </c>
    </row>
    <row r="1919" hidden="1">
      <c r="A1919" s="82"/>
      <c r="B1919" s="65" t="s">
        <v>495</v>
      </c>
      <c r="C1919" s="65" t="s">
        <v>92</v>
      </c>
      <c r="D1919" s="65" t="str">
        <f>vlookup(C1919,'Classificação p pessoal'!F:G,2,false)</f>
        <v/>
      </c>
      <c r="E1919" s="65" t="s">
        <v>1169</v>
      </c>
      <c r="F1919" s="83">
        <v>0.7152777777777778</v>
      </c>
      <c r="G1919" s="83">
        <v>0.75</v>
      </c>
      <c r="H1919" s="83">
        <v>0.034722222222222224</v>
      </c>
      <c r="I1919" s="84">
        <v>44411.0</v>
      </c>
      <c r="J1919" s="65" t="b">
        <v>1</v>
      </c>
      <c r="K1919" s="65"/>
      <c r="L1919" s="85" t="b">
        <f>IF(VLOOKUP(C1919,Projetos!A:L,12,false)=TRUE,TRUE,FALSE)</f>
        <v>1</v>
      </c>
      <c r="M1919" s="74">
        <v>73.7079846079846</v>
      </c>
      <c r="N1919" s="74">
        <f t="shared" si="1"/>
        <v>61.42332051</v>
      </c>
      <c r="O1919" s="74" t="b">
        <v>1</v>
      </c>
    </row>
    <row r="1920" hidden="1">
      <c r="A1920" s="82"/>
      <c r="B1920" s="65" t="s">
        <v>495</v>
      </c>
      <c r="C1920" s="65" t="s">
        <v>92</v>
      </c>
      <c r="D1920" s="65" t="str">
        <f>vlookup(C1920,'Classificação p pessoal'!F:G,2,false)</f>
        <v/>
      </c>
      <c r="E1920" s="65" t="s">
        <v>1177</v>
      </c>
      <c r="F1920" s="83">
        <v>0.3541666666666667</v>
      </c>
      <c r="G1920" s="83">
        <v>0.4166666666666667</v>
      </c>
      <c r="H1920" s="83">
        <v>0.0625</v>
      </c>
      <c r="I1920" s="84">
        <v>44412.0</v>
      </c>
      <c r="J1920" s="65" t="b">
        <v>1</v>
      </c>
      <c r="K1920" s="65"/>
      <c r="L1920" s="85" t="b">
        <f>IF(VLOOKUP(C1920,Projetos!A:L,12,false)=TRUE,TRUE,FALSE)</f>
        <v>1</v>
      </c>
      <c r="M1920" s="74">
        <v>73.7079846079846</v>
      </c>
      <c r="N1920" s="74">
        <f t="shared" si="1"/>
        <v>110.5619769</v>
      </c>
      <c r="O1920" s="74" t="b">
        <v>1</v>
      </c>
    </row>
    <row r="1921" hidden="1">
      <c r="A1921" s="82"/>
      <c r="B1921" s="65" t="s">
        <v>495</v>
      </c>
      <c r="C1921" s="65" t="s">
        <v>92</v>
      </c>
      <c r="D1921" s="65" t="str">
        <f>vlookup(C1921,'Classificação p pessoal'!F:G,2,false)</f>
        <v/>
      </c>
      <c r="E1921" s="65" t="s">
        <v>1178</v>
      </c>
      <c r="F1921" s="83">
        <v>0.4166666666666667</v>
      </c>
      <c r="G1921" s="83">
        <v>0.4583333333333333</v>
      </c>
      <c r="H1921" s="83">
        <v>0.041666666666666664</v>
      </c>
      <c r="I1921" s="84">
        <v>44412.0</v>
      </c>
      <c r="J1921" s="65" t="b">
        <v>1</v>
      </c>
      <c r="K1921" s="65"/>
      <c r="L1921" s="85" t="b">
        <f>IF(VLOOKUP(C1921,Projetos!A:L,12,false)=TRUE,TRUE,FALSE)</f>
        <v>1</v>
      </c>
      <c r="M1921" s="74">
        <v>73.7079846079846</v>
      </c>
      <c r="N1921" s="74">
        <f t="shared" si="1"/>
        <v>73.70798461</v>
      </c>
      <c r="O1921" s="74" t="b">
        <v>1</v>
      </c>
    </row>
    <row r="1922" hidden="1">
      <c r="A1922" s="82"/>
      <c r="B1922" s="65" t="s">
        <v>495</v>
      </c>
      <c r="C1922" s="65" t="s">
        <v>92</v>
      </c>
      <c r="D1922" s="65" t="str">
        <f>vlookup(C1922,'Classificação p pessoal'!F:G,2,false)</f>
        <v/>
      </c>
      <c r="E1922" s="65" t="s">
        <v>1175</v>
      </c>
      <c r="F1922" s="83">
        <v>0.4583333333333333</v>
      </c>
      <c r="G1922" s="83">
        <v>0.5729166666666666</v>
      </c>
      <c r="H1922" s="83">
        <v>0.11458333333333333</v>
      </c>
      <c r="I1922" s="84">
        <v>44412.0</v>
      </c>
      <c r="J1922" s="65" t="b">
        <v>1</v>
      </c>
      <c r="K1922" s="65"/>
      <c r="L1922" s="85" t="b">
        <f>IF(VLOOKUP(C1922,Projetos!A:L,12,false)=TRUE,TRUE,FALSE)</f>
        <v>1</v>
      </c>
      <c r="M1922" s="74">
        <v>73.7079846079846</v>
      </c>
      <c r="N1922" s="74">
        <f t="shared" si="1"/>
        <v>202.6969577</v>
      </c>
      <c r="O1922" s="74" t="b">
        <v>1</v>
      </c>
    </row>
    <row r="1923" hidden="1">
      <c r="A1923" s="82"/>
      <c r="B1923" s="65" t="s">
        <v>495</v>
      </c>
      <c r="C1923" s="65" t="s">
        <v>92</v>
      </c>
      <c r="D1923" s="65" t="str">
        <f>vlookup(C1923,'Classificação p pessoal'!F:G,2,false)</f>
        <v/>
      </c>
      <c r="E1923" s="65" t="s">
        <v>1177</v>
      </c>
      <c r="F1923" s="83">
        <v>0.6145833333333334</v>
      </c>
      <c r="G1923" s="83">
        <v>0.7083333333333334</v>
      </c>
      <c r="H1923" s="83">
        <v>0.09375</v>
      </c>
      <c r="I1923" s="84">
        <v>44412.0</v>
      </c>
      <c r="J1923" s="65" t="b">
        <v>1</v>
      </c>
      <c r="K1923" s="65"/>
      <c r="L1923" s="85" t="b">
        <f>IF(VLOOKUP(C1923,Projetos!A:L,12,false)=TRUE,TRUE,FALSE)</f>
        <v>1</v>
      </c>
      <c r="M1923" s="74">
        <v>73.7079846079846</v>
      </c>
      <c r="N1923" s="74">
        <f t="shared" si="1"/>
        <v>165.8429654</v>
      </c>
      <c r="O1923" s="74" t="b">
        <v>1</v>
      </c>
    </row>
    <row r="1924" hidden="1">
      <c r="A1924" s="82"/>
      <c r="B1924" s="65" t="s">
        <v>495</v>
      </c>
      <c r="C1924" s="65" t="s">
        <v>117</v>
      </c>
      <c r="D1924" s="65" t="str">
        <f>vlookup(C1924,'Classificação p pessoal'!F:G,2,false)</f>
        <v>NP</v>
      </c>
      <c r="E1924" s="65" t="s">
        <v>1179</v>
      </c>
      <c r="F1924" s="83">
        <v>0.7083333333333334</v>
      </c>
      <c r="G1924" s="83">
        <v>0.75</v>
      </c>
      <c r="H1924" s="83">
        <v>0.041666666666666664</v>
      </c>
      <c r="I1924" s="84">
        <v>44412.0</v>
      </c>
      <c r="J1924" s="65" t="b">
        <v>1</v>
      </c>
      <c r="K1924" s="65"/>
      <c r="L1924" s="85" t="b">
        <f>IF(VLOOKUP(C1924,Projetos!A:L,12,false)=TRUE,TRUE,FALSE)</f>
        <v>1</v>
      </c>
      <c r="M1924" s="74">
        <v>73.7079846079846</v>
      </c>
      <c r="N1924" s="74">
        <f t="shared" si="1"/>
        <v>73.70798461</v>
      </c>
      <c r="O1924" s="74" t="b">
        <v>1</v>
      </c>
    </row>
    <row r="1925" hidden="1">
      <c r="A1925" s="82"/>
      <c r="B1925" s="65" t="s">
        <v>495</v>
      </c>
      <c r="C1925" s="65" t="s">
        <v>117</v>
      </c>
      <c r="D1925" s="65" t="str">
        <f>vlookup(C1925,'Classificação p pessoal'!F:G,2,false)</f>
        <v>NP</v>
      </c>
      <c r="E1925" s="65" t="s">
        <v>1180</v>
      </c>
      <c r="F1925" s="83">
        <v>0.3541666666666667</v>
      </c>
      <c r="G1925" s="83">
        <v>0.375</v>
      </c>
      <c r="H1925" s="83">
        <v>0.020833333333333332</v>
      </c>
      <c r="I1925" s="84">
        <v>44413.0</v>
      </c>
      <c r="J1925" s="65" t="b">
        <v>1</v>
      </c>
      <c r="K1925" s="65"/>
      <c r="L1925" s="85" t="b">
        <f>IF(VLOOKUP(C1925,Projetos!A:L,12,false)=TRUE,TRUE,FALSE)</f>
        <v>1</v>
      </c>
      <c r="M1925" s="74">
        <v>73.7079846079846</v>
      </c>
      <c r="N1925" s="74">
        <f t="shared" si="1"/>
        <v>36.8539923</v>
      </c>
      <c r="O1925" s="74" t="b">
        <v>1</v>
      </c>
    </row>
    <row r="1926" hidden="1">
      <c r="A1926" s="82"/>
      <c r="B1926" s="65" t="s">
        <v>495</v>
      </c>
      <c r="C1926" s="65" t="s">
        <v>92</v>
      </c>
      <c r="D1926" s="65" t="str">
        <f>vlookup(C1926,'Classificação p pessoal'!F:G,2,false)</f>
        <v/>
      </c>
      <c r="E1926" s="65" t="s">
        <v>1177</v>
      </c>
      <c r="F1926" s="83">
        <v>0.375</v>
      </c>
      <c r="G1926" s="83">
        <v>0.4375</v>
      </c>
      <c r="H1926" s="83">
        <v>0.0625</v>
      </c>
      <c r="I1926" s="84">
        <v>44413.0</v>
      </c>
      <c r="J1926" s="65" t="b">
        <v>1</v>
      </c>
      <c r="K1926" s="65"/>
      <c r="L1926" s="85" t="b">
        <f>IF(VLOOKUP(C1926,Projetos!A:L,12,false)=TRUE,TRUE,FALSE)</f>
        <v>1</v>
      </c>
      <c r="M1926" s="74">
        <v>73.7079846079846</v>
      </c>
      <c r="N1926" s="74">
        <f t="shared" si="1"/>
        <v>110.5619769</v>
      </c>
      <c r="O1926" s="74" t="b">
        <v>1</v>
      </c>
    </row>
    <row r="1927" hidden="1">
      <c r="A1927" s="82"/>
      <c r="B1927" s="65" t="s">
        <v>495</v>
      </c>
      <c r="C1927" s="65" t="s">
        <v>92</v>
      </c>
      <c r="D1927" s="65" t="str">
        <f>vlookup(C1927,'Classificação p pessoal'!F:G,2,false)</f>
        <v/>
      </c>
      <c r="E1927" s="65" t="s">
        <v>1181</v>
      </c>
      <c r="F1927" s="83">
        <v>0.4375</v>
      </c>
      <c r="G1927" s="83">
        <v>0.4652777777777778</v>
      </c>
      <c r="H1927" s="83">
        <v>0.027777777777777776</v>
      </c>
      <c r="I1927" s="84">
        <v>44413.0</v>
      </c>
      <c r="J1927" s="65" t="b">
        <v>1</v>
      </c>
      <c r="K1927" s="65"/>
      <c r="L1927" s="85" t="b">
        <f>IF(VLOOKUP(C1927,Projetos!A:L,12,false)=TRUE,TRUE,FALSE)</f>
        <v>1</v>
      </c>
      <c r="M1927" s="74">
        <v>73.7079846079846</v>
      </c>
      <c r="N1927" s="74">
        <f t="shared" si="1"/>
        <v>49.13865641</v>
      </c>
      <c r="O1927" s="74" t="b">
        <v>1</v>
      </c>
    </row>
    <row r="1928" hidden="1">
      <c r="A1928" s="82"/>
      <c r="B1928" s="65" t="s">
        <v>495</v>
      </c>
      <c r="C1928" s="65" t="s">
        <v>92</v>
      </c>
      <c r="D1928" s="65" t="str">
        <f>vlookup(C1928,'Classificação p pessoal'!F:G,2,false)</f>
        <v/>
      </c>
      <c r="E1928" s="65" t="s">
        <v>1182</v>
      </c>
      <c r="F1928" s="83">
        <v>0.4861111111111111</v>
      </c>
      <c r="G1928" s="83">
        <v>0.5347222222222222</v>
      </c>
      <c r="H1928" s="83">
        <v>0.04861111111111111</v>
      </c>
      <c r="I1928" s="84">
        <v>44413.0</v>
      </c>
      <c r="J1928" s="65" t="b">
        <v>1</v>
      </c>
      <c r="K1928" s="65"/>
      <c r="L1928" s="85" t="b">
        <f>IF(VLOOKUP(C1928,Projetos!A:L,12,false)=TRUE,TRUE,FALSE)</f>
        <v>1</v>
      </c>
      <c r="M1928" s="74">
        <v>73.7079846079846</v>
      </c>
      <c r="N1928" s="74">
        <f t="shared" si="1"/>
        <v>85.99264871</v>
      </c>
      <c r="O1928" s="74" t="b">
        <v>1</v>
      </c>
    </row>
    <row r="1929" hidden="1">
      <c r="A1929" s="82"/>
      <c r="B1929" s="65" t="s">
        <v>495</v>
      </c>
      <c r="C1929" s="65" t="s">
        <v>92</v>
      </c>
      <c r="D1929" s="65" t="str">
        <f>vlookup(C1929,'Classificação p pessoal'!F:G,2,false)</f>
        <v/>
      </c>
      <c r="E1929" s="65" t="s">
        <v>1182</v>
      </c>
      <c r="F1929" s="83">
        <v>0.625</v>
      </c>
      <c r="G1929" s="83">
        <v>0.7083333333333334</v>
      </c>
      <c r="H1929" s="83">
        <v>0.08333333333333333</v>
      </c>
      <c r="I1929" s="84">
        <v>44413.0</v>
      </c>
      <c r="J1929" s="65" t="b">
        <v>1</v>
      </c>
      <c r="K1929" s="65"/>
      <c r="L1929" s="85" t="b">
        <f>IF(VLOOKUP(C1929,Projetos!A:L,12,false)=TRUE,TRUE,FALSE)</f>
        <v>1</v>
      </c>
      <c r="M1929" s="74">
        <v>73.7079846079846</v>
      </c>
      <c r="N1929" s="74">
        <f t="shared" si="1"/>
        <v>147.4159692</v>
      </c>
      <c r="O1929" s="74" t="b">
        <v>1</v>
      </c>
    </row>
    <row r="1930" hidden="1">
      <c r="A1930" s="82"/>
      <c r="B1930" s="65" t="s">
        <v>495</v>
      </c>
      <c r="C1930" s="65" t="s">
        <v>130</v>
      </c>
      <c r="D1930" s="65" t="str">
        <f>vlookup(C1930,'Classificação p pessoal'!F:G,2,false)</f>
        <v>NP</v>
      </c>
      <c r="E1930" s="65" t="s">
        <v>1183</v>
      </c>
      <c r="F1930" s="83">
        <v>0.7083333333333334</v>
      </c>
      <c r="G1930" s="83">
        <v>0.75</v>
      </c>
      <c r="H1930" s="83">
        <v>0.041666666666666664</v>
      </c>
      <c r="I1930" s="84">
        <v>44413.0</v>
      </c>
      <c r="J1930" s="65" t="b">
        <v>1</v>
      </c>
      <c r="K1930" s="65"/>
      <c r="L1930" s="85" t="b">
        <f>IF(VLOOKUP(C1930,Projetos!A:L,12,false)=TRUE,TRUE,FALSE)</f>
        <v>1</v>
      </c>
      <c r="M1930" s="74">
        <v>73.7079846079846</v>
      </c>
      <c r="N1930" s="74">
        <f t="shared" si="1"/>
        <v>73.70798461</v>
      </c>
      <c r="O1930" s="74" t="b">
        <v>1</v>
      </c>
    </row>
    <row r="1931" hidden="1">
      <c r="A1931" s="82"/>
      <c r="B1931" s="65" t="s">
        <v>495</v>
      </c>
      <c r="C1931" s="65" t="s">
        <v>130</v>
      </c>
      <c r="D1931" s="65" t="str">
        <f>vlookup(C1931,'Classificação p pessoal'!F:G,2,false)</f>
        <v>NP</v>
      </c>
      <c r="E1931" s="65" t="s">
        <v>1184</v>
      </c>
      <c r="F1931" s="83">
        <v>0.4166666666666667</v>
      </c>
      <c r="G1931" s="83">
        <v>0.5208333333333334</v>
      </c>
      <c r="H1931" s="83">
        <v>0.10416666666666667</v>
      </c>
      <c r="I1931" s="84">
        <v>44414.0</v>
      </c>
      <c r="J1931" s="65" t="b">
        <v>1</v>
      </c>
      <c r="K1931" s="65"/>
      <c r="L1931" s="85" t="b">
        <f>IF(VLOOKUP(C1931,Projetos!A:L,12,false)=TRUE,TRUE,FALSE)</f>
        <v>1</v>
      </c>
      <c r="M1931" s="74">
        <v>73.7079846079846</v>
      </c>
      <c r="N1931" s="74">
        <f t="shared" si="1"/>
        <v>184.2699615</v>
      </c>
      <c r="O1931" s="74" t="b">
        <v>1</v>
      </c>
    </row>
    <row r="1932" hidden="1">
      <c r="A1932" s="82"/>
      <c r="B1932" s="65" t="s">
        <v>495</v>
      </c>
      <c r="C1932" s="65" t="s">
        <v>92</v>
      </c>
      <c r="D1932" s="65" t="str">
        <f>vlookup(C1932,'Classificação p pessoal'!F:G,2,false)</f>
        <v/>
      </c>
      <c r="E1932" s="65" t="s">
        <v>1185</v>
      </c>
      <c r="F1932" s="83">
        <v>0.5208333333333334</v>
      </c>
      <c r="G1932" s="83">
        <v>0.5729166666666666</v>
      </c>
      <c r="H1932" s="83">
        <v>0.052083333333333336</v>
      </c>
      <c r="I1932" s="84">
        <v>44414.0</v>
      </c>
      <c r="J1932" s="65" t="b">
        <v>1</v>
      </c>
      <c r="K1932" s="65"/>
      <c r="L1932" s="85" t="b">
        <f>IF(VLOOKUP(C1932,Projetos!A:L,12,false)=TRUE,TRUE,FALSE)</f>
        <v>1</v>
      </c>
      <c r="M1932" s="74">
        <v>73.7079846079846</v>
      </c>
      <c r="N1932" s="74">
        <f t="shared" si="1"/>
        <v>92.13498076</v>
      </c>
      <c r="O1932" s="74" t="b">
        <v>1</v>
      </c>
    </row>
    <row r="1933" hidden="1">
      <c r="A1933" s="82"/>
      <c r="B1933" s="65" t="s">
        <v>495</v>
      </c>
      <c r="C1933" s="65" t="s">
        <v>92</v>
      </c>
      <c r="D1933" s="65" t="str">
        <f>vlookup(C1933,'Classificação p pessoal'!F:G,2,false)</f>
        <v/>
      </c>
      <c r="E1933" s="65" t="s">
        <v>1182</v>
      </c>
      <c r="F1933" s="83">
        <v>0.6145833333333334</v>
      </c>
      <c r="G1933" s="83">
        <v>0.6875</v>
      </c>
      <c r="H1933" s="83">
        <v>0.07291666666666667</v>
      </c>
      <c r="I1933" s="84">
        <v>44414.0</v>
      </c>
      <c r="J1933" s="65" t="b">
        <v>1</v>
      </c>
      <c r="K1933" s="65"/>
      <c r="L1933" s="85" t="b">
        <f>IF(VLOOKUP(C1933,Projetos!A:L,12,false)=TRUE,TRUE,FALSE)</f>
        <v>1</v>
      </c>
      <c r="M1933" s="74">
        <v>73.7079846079846</v>
      </c>
      <c r="N1933" s="74">
        <f t="shared" si="1"/>
        <v>128.9889731</v>
      </c>
      <c r="O1933" s="74" t="b">
        <v>1</v>
      </c>
    </row>
    <row r="1934" hidden="1">
      <c r="A1934" s="82"/>
      <c r="B1934" s="65" t="s">
        <v>495</v>
      </c>
      <c r="C1934" s="65" t="s">
        <v>92</v>
      </c>
      <c r="D1934" s="65" t="str">
        <f>vlookup(C1934,'Classificação p pessoal'!F:G,2,false)</f>
        <v/>
      </c>
      <c r="E1934" s="65" t="s">
        <v>1186</v>
      </c>
      <c r="F1934" s="83">
        <v>0.6979166666666666</v>
      </c>
      <c r="G1934" s="83">
        <v>0.75</v>
      </c>
      <c r="H1934" s="83">
        <v>0.052083333333333336</v>
      </c>
      <c r="I1934" s="84">
        <v>44414.0</v>
      </c>
      <c r="J1934" s="65" t="b">
        <v>1</v>
      </c>
      <c r="K1934" s="65"/>
      <c r="L1934" s="85" t="b">
        <f>IF(VLOOKUP(C1934,Projetos!A:L,12,false)=TRUE,TRUE,FALSE)</f>
        <v>1</v>
      </c>
      <c r="M1934" s="74">
        <v>73.7079846079846</v>
      </c>
      <c r="N1934" s="74">
        <f t="shared" si="1"/>
        <v>92.13498076</v>
      </c>
      <c r="O1934" s="74" t="b">
        <v>1</v>
      </c>
    </row>
    <row r="1935">
      <c r="A1935" s="82"/>
      <c r="B1935" s="65" t="s">
        <v>495</v>
      </c>
      <c r="C1935" s="65" t="s">
        <v>108</v>
      </c>
      <c r="D1935" s="65" t="str">
        <f>vlookup(C1935,'Classificação p pessoal'!F:G,2,false)</f>
        <v>NP</v>
      </c>
      <c r="E1935" s="65" t="s">
        <v>1187</v>
      </c>
      <c r="F1935" s="83">
        <v>0.3541666666666667</v>
      </c>
      <c r="G1935" s="83">
        <v>0.3958333333333333</v>
      </c>
      <c r="H1935" s="83">
        <v>0.041666666666666664</v>
      </c>
      <c r="I1935" s="84">
        <v>44417.0</v>
      </c>
      <c r="J1935" s="65" t="b">
        <v>1</v>
      </c>
      <c r="K1935" s="65"/>
      <c r="L1935" s="85" t="b">
        <f>IF(VLOOKUP(C1935,Projetos!A:L,12,false)=TRUE,TRUE,FALSE)</f>
        <v>1</v>
      </c>
      <c r="M1935" s="74">
        <v>73.7079846079846</v>
      </c>
      <c r="N1935" s="74">
        <f t="shared" si="1"/>
        <v>73.70798461</v>
      </c>
      <c r="O1935" s="74" t="b">
        <v>1</v>
      </c>
    </row>
    <row r="1936" hidden="1">
      <c r="A1936" s="82"/>
      <c r="B1936" s="65" t="s">
        <v>495</v>
      </c>
      <c r="C1936" s="65" t="s">
        <v>92</v>
      </c>
      <c r="D1936" s="65" t="str">
        <f>vlookup(C1936,'Classificação p pessoal'!F:G,2,false)</f>
        <v/>
      </c>
      <c r="E1936" s="65" t="s">
        <v>1182</v>
      </c>
      <c r="F1936" s="83">
        <v>0.3958333333333333</v>
      </c>
      <c r="G1936" s="83">
        <v>0.5763888888888888</v>
      </c>
      <c r="H1936" s="83">
        <v>0.18055555555555555</v>
      </c>
      <c r="I1936" s="84">
        <v>44417.0</v>
      </c>
      <c r="J1936" s="65" t="b">
        <v>1</v>
      </c>
      <c r="K1936" s="65"/>
      <c r="L1936" s="85" t="b">
        <f>IF(VLOOKUP(C1936,Projetos!A:L,12,false)=TRUE,TRUE,FALSE)</f>
        <v>1</v>
      </c>
      <c r="M1936" s="74">
        <v>73.7079846079846</v>
      </c>
      <c r="N1936" s="74">
        <f t="shared" si="1"/>
        <v>319.4012666</v>
      </c>
      <c r="O1936" s="74" t="b">
        <v>1</v>
      </c>
    </row>
    <row r="1937" hidden="1">
      <c r="A1937" s="82"/>
      <c r="B1937" s="65" t="s">
        <v>495</v>
      </c>
      <c r="C1937" s="65" t="s">
        <v>92</v>
      </c>
      <c r="D1937" s="65" t="str">
        <f>vlookup(C1937,'Classificação p pessoal'!F:G,2,false)</f>
        <v/>
      </c>
      <c r="E1937" s="65" t="s">
        <v>1188</v>
      </c>
      <c r="F1937" s="83">
        <v>0.625</v>
      </c>
      <c r="G1937" s="83">
        <v>0.6458333333333334</v>
      </c>
      <c r="H1937" s="83">
        <v>0.020833333333333332</v>
      </c>
      <c r="I1937" s="84">
        <v>44417.0</v>
      </c>
      <c r="J1937" s="65" t="b">
        <v>1</v>
      </c>
      <c r="K1937" s="65"/>
      <c r="L1937" s="85" t="b">
        <f>IF(VLOOKUP(C1937,Projetos!A:L,12,false)=TRUE,TRUE,FALSE)</f>
        <v>1</v>
      </c>
      <c r="M1937" s="74">
        <v>73.7079846079846</v>
      </c>
      <c r="N1937" s="74">
        <f t="shared" si="1"/>
        <v>36.8539923</v>
      </c>
      <c r="O1937" s="74" t="b">
        <v>1</v>
      </c>
    </row>
    <row r="1938" hidden="1">
      <c r="A1938" s="82"/>
      <c r="B1938" s="65" t="s">
        <v>495</v>
      </c>
      <c r="C1938" s="65" t="s">
        <v>92</v>
      </c>
      <c r="D1938" s="65" t="str">
        <f>vlookup(C1938,'Classificação p pessoal'!F:G,2,false)</f>
        <v/>
      </c>
      <c r="E1938" s="65" t="s">
        <v>1182</v>
      </c>
      <c r="F1938" s="83">
        <v>0.6458333333333334</v>
      </c>
      <c r="G1938" s="83">
        <v>0.6875</v>
      </c>
      <c r="H1938" s="83">
        <v>0.041666666666666664</v>
      </c>
      <c r="I1938" s="84">
        <v>44417.0</v>
      </c>
      <c r="J1938" s="65" t="b">
        <v>1</v>
      </c>
      <c r="K1938" s="65"/>
      <c r="L1938" s="85" t="b">
        <f>IF(VLOOKUP(C1938,Projetos!A:L,12,false)=TRUE,TRUE,FALSE)</f>
        <v>1</v>
      </c>
      <c r="M1938" s="74">
        <v>73.7079846079846</v>
      </c>
      <c r="N1938" s="74">
        <f t="shared" si="1"/>
        <v>73.70798461</v>
      </c>
      <c r="O1938" s="74" t="b">
        <v>1</v>
      </c>
    </row>
    <row r="1939" hidden="1">
      <c r="A1939" s="82"/>
      <c r="B1939" s="65" t="s">
        <v>495</v>
      </c>
      <c r="C1939" s="65" t="s">
        <v>92</v>
      </c>
      <c r="D1939" s="65" t="str">
        <f>vlookup(C1939,'Classificação p pessoal'!F:G,2,false)</f>
        <v/>
      </c>
      <c r="E1939" s="65" t="s">
        <v>1189</v>
      </c>
      <c r="F1939" s="83">
        <v>0.6875</v>
      </c>
      <c r="G1939" s="83">
        <v>0.75</v>
      </c>
      <c r="H1939" s="83">
        <v>0.0625</v>
      </c>
      <c r="I1939" s="84">
        <v>44417.0</v>
      </c>
      <c r="J1939" s="65" t="b">
        <v>1</v>
      </c>
      <c r="K1939" s="65"/>
      <c r="L1939" s="85" t="b">
        <f>IF(VLOOKUP(C1939,Projetos!A:L,12,false)=TRUE,TRUE,FALSE)</f>
        <v>1</v>
      </c>
      <c r="M1939" s="74">
        <v>73.7079846079846</v>
      </c>
      <c r="N1939" s="74">
        <f t="shared" si="1"/>
        <v>110.5619769</v>
      </c>
      <c r="O1939" s="74" t="b">
        <v>1</v>
      </c>
    </row>
    <row r="1940" hidden="1">
      <c r="A1940" s="82"/>
      <c r="B1940" s="65" t="s">
        <v>495</v>
      </c>
      <c r="C1940" s="65" t="s">
        <v>117</v>
      </c>
      <c r="D1940" s="65" t="str">
        <f>vlookup(C1940,'Classificação p pessoal'!F:G,2,false)</f>
        <v>NP</v>
      </c>
      <c r="E1940" s="65" t="s">
        <v>1190</v>
      </c>
      <c r="F1940" s="83">
        <v>0.3541666666666667</v>
      </c>
      <c r="G1940" s="83">
        <v>0.4166666666666667</v>
      </c>
      <c r="H1940" s="83">
        <v>0.0625</v>
      </c>
      <c r="I1940" s="84">
        <v>44418.0</v>
      </c>
      <c r="J1940" s="65" t="b">
        <v>1</v>
      </c>
      <c r="K1940" s="65"/>
      <c r="L1940" s="85" t="b">
        <f>IF(VLOOKUP(C1940,Projetos!A:L,12,false)=TRUE,TRUE,FALSE)</f>
        <v>1</v>
      </c>
      <c r="M1940" s="74">
        <v>73.7079846079846</v>
      </c>
      <c r="N1940" s="74">
        <f t="shared" si="1"/>
        <v>110.5619769</v>
      </c>
      <c r="O1940" s="74" t="b">
        <v>1</v>
      </c>
    </row>
    <row r="1941" hidden="1">
      <c r="A1941" s="82"/>
      <c r="B1941" s="65" t="s">
        <v>495</v>
      </c>
      <c r="C1941" s="65" t="s">
        <v>117</v>
      </c>
      <c r="D1941" s="65" t="str">
        <f>vlookup(C1941,'Classificação p pessoal'!F:G,2,false)</f>
        <v>NP</v>
      </c>
      <c r="E1941" s="65" t="s">
        <v>1191</v>
      </c>
      <c r="F1941" s="83">
        <v>0.4166666666666667</v>
      </c>
      <c r="G1941" s="83">
        <v>0.5</v>
      </c>
      <c r="H1941" s="83">
        <v>0.08333333333333333</v>
      </c>
      <c r="I1941" s="84">
        <v>44418.0</v>
      </c>
      <c r="J1941" s="65" t="b">
        <v>1</v>
      </c>
      <c r="K1941" s="65"/>
      <c r="L1941" s="85" t="b">
        <f>IF(VLOOKUP(C1941,Projetos!A:L,12,false)=TRUE,TRUE,FALSE)</f>
        <v>1</v>
      </c>
      <c r="M1941" s="74">
        <v>73.7079846079846</v>
      </c>
      <c r="N1941" s="74">
        <f t="shared" si="1"/>
        <v>147.4159692</v>
      </c>
      <c r="O1941" s="74" t="b">
        <v>1</v>
      </c>
    </row>
    <row r="1942" hidden="1">
      <c r="A1942" s="82"/>
      <c r="B1942" s="65" t="s">
        <v>495</v>
      </c>
      <c r="C1942" s="65" t="s">
        <v>92</v>
      </c>
      <c r="D1942" s="65" t="str">
        <f>vlookup(C1942,'Classificação p pessoal'!F:G,2,false)</f>
        <v/>
      </c>
      <c r="E1942" s="65" t="s">
        <v>1182</v>
      </c>
      <c r="F1942" s="83">
        <v>0.5</v>
      </c>
      <c r="G1942" s="83">
        <v>0.5729166666666666</v>
      </c>
      <c r="H1942" s="83">
        <v>0.07291666666666667</v>
      </c>
      <c r="I1942" s="84">
        <v>44418.0</v>
      </c>
      <c r="J1942" s="65" t="b">
        <v>1</v>
      </c>
      <c r="K1942" s="65"/>
      <c r="L1942" s="85" t="b">
        <f>IF(VLOOKUP(C1942,Projetos!A:L,12,false)=TRUE,TRUE,FALSE)</f>
        <v>1</v>
      </c>
      <c r="M1942" s="74">
        <v>73.7079846079846</v>
      </c>
      <c r="N1942" s="74">
        <f t="shared" si="1"/>
        <v>128.9889731</v>
      </c>
      <c r="O1942" s="74" t="b">
        <v>1</v>
      </c>
    </row>
    <row r="1943" hidden="1">
      <c r="A1943" s="82"/>
      <c r="B1943" s="65" t="s">
        <v>495</v>
      </c>
      <c r="C1943" s="65" t="s">
        <v>92</v>
      </c>
      <c r="D1943" s="65" t="str">
        <f>vlookup(C1943,'Classificação p pessoal'!F:G,2,false)</f>
        <v/>
      </c>
      <c r="E1943" s="65" t="s">
        <v>1192</v>
      </c>
      <c r="F1943" s="83">
        <v>0.625</v>
      </c>
      <c r="G1943" s="83">
        <v>0.6875</v>
      </c>
      <c r="H1943" s="83">
        <v>0.0625</v>
      </c>
      <c r="I1943" s="84">
        <v>44418.0</v>
      </c>
      <c r="J1943" s="65" t="b">
        <v>1</v>
      </c>
      <c r="K1943" s="65"/>
      <c r="L1943" s="85" t="b">
        <f>IF(VLOOKUP(C1943,Projetos!A:L,12,false)=TRUE,TRUE,FALSE)</f>
        <v>1</v>
      </c>
      <c r="M1943" s="74">
        <v>73.7079846079846</v>
      </c>
      <c r="N1943" s="74">
        <f t="shared" si="1"/>
        <v>110.5619769</v>
      </c>
      <c r="O1943" s="74" t="b">
        <v>1</v>
      </c>
    </row>
    <row r="1944" hidden="1">
      <c r="A1944" s="82"/>
      <c r="B1944" s="65" t="s">
        <v>495</v>
      </c>
      <c r="C1944" s="65" t="s">
        <v>92</v>
      </c>
      <c r="D1944" s="65" t="str">
        <f>vlookup(C1944,'Classificação p pessoal'!F:G,2,false)</f>
        <v/>
      </c>
      <c r="E1944" s="65" t="s">
        <v>1182</v>
      </c>
      <c r="F1944" s="83">
        <v>0.7083333333333334</v>
      </c>
      <c r="G1944" s="83">
        <v>0.75</v>
      </c>
      <c r="H1944" s="83">
        <v>0.041666666666666664</v>
      </c>
      <c r="I1944" s="84">
        <v>44418.0</v>
      </c>
      <c r="J1944" s="65" t="b">
        <v>1</v>
      </c>
      <c r="K1944" s="65"/>
      <c r="L1944" s="85" t="b">
        <f>IF(VLOOKUP(C1944,Projetos!A:L,12,false)=TRUE,TRUE,FALSE)</f>
        <v>1</v>
      </c>
      <c r="M1944" s="74">
        <v>73.7079846079846</v>
      </c>
      <c r="N1944" s="74">
        <f t="shared" si="1"/>
        <v>73.70798461</v>
      </c>
      <c r="O1944" s="74" t="b">
        <v>1</v>
      </c>
    </row>
    <row r="1945" hidden="1">
      <c r="A1945" s="82"/>
      <c r="B1945" s="65" t="s">
        <v>495</v>
      </c>
      <c r="C1945" s="65" t="s">
        <v>92</v>
      </c>
      <c r="D1945" s="65" t="str">
        <f>vlookup(C1945,'Classificação p pessoal'!F:G,2,false)</f>
        <v/>
      </c>
      <c r="E1945" s="65" t="s">
        <v>1193</v>
      </c>
      <c r="F1945" s="83">
        <v>0.34375</v>
      </c>
      <c r="G1945" s="83">
        <v>0.4166666666666667</v>
      </c>
      <c r="H1945" s="83">
        <v>0.07291666666666667</v>
      </c>
      <c r="I1945" s="84">
        <v>44419.0</v>
      </c>
      <c r="J1945" s="65" t="b">
        <v>1</v>
      </c>
      <c r="K1945" s="65"/>
      <c r="L1945" s="85" t="b">
        <f>IF(VLOOKUP(C1945,Projetos!A:L,12,false)=TRUE,TRUE,FALSE)</f>
        <v>1</v>
      </c>
      <c r="M1945" s="74">
        <v>73.7079846079846</v>
      </c>
      <c r="N1945" s="74">
        <f t="shared" si="1"/>
        <v>128.9889731</v>
      </c>
      <c r="O1945" s="74" t="b">
        <v>1</v>
      </c>
    </row>
    <row r="1946" hidden="1">
      <c r="A1946" s="82"/>
      <c r="B1946" s="65" t="s">
        <v>495</v>
      </c>
      <c r="C1946" s="65" t="s">
        <v>92</v>
      </c>
      <c r="D1946" s="65" t="str">
        <f>vlookup(C1946,'Classificação p pessoal'!F:G,2,false)</f>
        <v/>
      </c>
      <c r="E1946" s="65" t="s">
        <v>1182</v>
      </c>
      <c r="F1946" s="83">
        <v>0.4791666666666667</v>
      </c>
      <c r="G1946" s="83">
        <v>0.5763888888888888</v>
      </c>
      <c r="H1946" s="83">
        <v>0.09722222222222222</v>
      </c>
      <c r="I1946" s="84">
        <v>44419.0</v>
      </c>
      <c r="J1946" s="65" t="b">
        <v>1</v>
      </c>
      <c r="K1946" s="65"/>
      <c r="L1946" s="85" t="b">
        <f>IF(VLOOKUP(C1946,Projetos!A:L,12,false)=TRUE,TRUE,FALSE)</f>
        <v>1</v>
      </c>
      <c r="M1946" s="74">
        <v>73.7079846079846</v>
      </c>
      <c r="N1946" s="74">
        <f t="shared" si="1"/>
        <v>171.9852974</v>
      </c>
      <c r="O1946" s="74" t="b">
        <v>1</v>
      </c>
    </row>
    <row r="1947" hidden="1">
      <c r="A1947" s="82"/>
      <c r="B1947" s="65" t="s">
        <v>495</v>
      </c>
      <c r="C1947" s="65" t="s">
        <v>92</v>
      </c>
      <c r="D1947" s="65" t="str">
        <f>vlookup(C1947,'Classificação p pessoal'!F:G,2,false)</f>
        <v/>
      </c>
      <c r="E1947" s="65" t="s">
        <v>1182</v>
      </c>
      <c r="F1947" s="83">
        <v>0.6180555555555556</v>
      </c>
      <c r="G1947" s="83">
        <v>0.75</v>
      </c>
      <c r="H1947" s="83">
        <v>0.13194444444444445</v>
      </c>
      <c r="I1947" s="84">
        <v>44419.0</v>
      </c>
      <c r="J1947" s="65" t="b">
        <v>1</v>
      </c>
      <c r="K1947" s="65"/>
      <c r="L1947" s="85" t="b">
        <f>IF(VLOOKUP(C1947,Projetos!A:L,12,false)=TRUE,TRUE,FALSE)</f>
        <v>1</v>
      </c>
      <c r="M1947" s="74">
        <v>73.7079846079846</v>
      </c>
      <c r="N1947" s="74">
        <f t="shared" si="1"/>
        <v>233.4086179</v>
      </c>
      <c r="O1947" s="74" t="b">
        <v>1</v>
      </c>
    </row>
    <row r="1948" hidden="1">
      <c r="A1948" s="82"/>
      <c r="B1948" s="65" t="s">
        <v>495</v>
      </c>
      <c r="C1948" s="65" t="s">
        <v>117</v>
      </c>
      <c r="D1948" s="65" t="str">
        <f>vlookup(C1948,'Classificação p pessoal'!F:G,2,false)</f>
        <v>NP</v>
      </c>
      <c r="E1948" s="65" t="s">
        <v>1194</v>
      </c>
      <c r="F1948" s="83">
        <v>0.3541666666666667</v>
      </c>
      <c r="G1948" s="83">
        <v>0.4583333333333333</v>
      </c>
      <c r="H1948" s="83">
        <v>0.10416666666666667</v>
      </c>
      <c r="I1948" s="84">
        <v>44420.0</v>
      </c>
      <c r="J1948" s="65" t="b">
        <v>1</v>
      </c>
      <c r="K1948" s="65"/>
      <c r="L1948" s="85" t="b">
        <f>IF(VLOOKUP(C1948,Projetos!A:L,12,false)=TRUE,TRUE,FALSE)</f>
        <v>1</v>
      </c>
      <c r="M1948" s="74">
        <v>73.7079846079846</v>
      </c>
      <c r="N1948" s="74">
        <f t="shared" si="1"/>
        <v>184.2699615</v>
      </c>
      <c r="O1948" s="74" t="b">
        <v>1</v>
      </c>
    </row>
    <row r="1949" hidden="1">
      <c r="A1949" s="82"/>
      <c r="B1949" s="65" t="s">
        <v>495</v>
      </c>
      <c r="C1949" s="65" t="s">
        <v>92</v>
      </c>
      <c r="D1949" s="65" t="str">
        <f>vlookup(C1949,'Classificação p pessoal'!F:G,2,false)</f>
        <v/>
      </c>
      <c r="E1949" s="65" t="s">
        <v>1182</v>
      </c>
      <c r="F1949" s="83">
        <v>0.4583333333333333</v>
      </c>
      <c r="G1949" s="83">
        <v>0.5729166666666666</v>
      </c>
      <c r="H1949" s="83">
        <v>0.11458333333333333</v>
      </c>
      <c r="I1949" s="84">
        <v>44420.0</v>
      </c>
      <c r="J1949" s="65" t="b">
        <v>1</v>
      </c>
      <c r="K1949" s="65"/>
      <c r="L1949" s="85" t="b">
        <f>IF(VLOOKUP(C1949,Projetos!A:L,12,false)=TRUE,TRUE,FALSE)</f>
        <v>1</v>
      </c>
      <c r="M1949" s="74">
        <v>73.7079846079846</v>
      </c>
      <c r="N1949" s="74">
        <f t="shared" si="1"/>
        <v>202.6969577</v>
      </c>
      <c r="O1949" s="74" t="b">
        <v>1</v>
      </c>
    </row>
    <row r="1950" hidden="1">
      <c r="A1950" s="82"/>
      <c r="B1950" s="65" t="s">
        <v>495</v>
      </c>
      <c r="C1950" s="65" t="s">
        <v>92</v>
      </c>
      <c r="D1950" s="65" t="str">
        <f>vlookup(C1950,'Classificação p pessoal'!F:G,2,false)</f>
        <v/>
      </c>
      <c r="E1950" s="65" t="s">
        <v>1182</v>
      </c>
      <c r="F1950" s="83">
        <v>0.625</v>
      </c>
      <c r="G1950" s="83">
        <v>0.75</v>
      </c>
      <c r="H1950" s="83">
        <v>0.125</v>
      </c>
      <c r="I1950" s="84">
        <v>44420.0</v>
      </c>
      <c r="J1950" s="65" t="b">
        <v>1</v>
      </c>
      <c r="K1950" s="65"/>
      <c r="L1950" s="85" t="b">
        <f>IF(VLOOKUP(C1950,Projetos!A:L,12,false)=TRUE,TRUE,FALSE)</f>
        <v>1</v>
      </c>
      <c r="M1950" s="74">
        <v>73.7079846079846</v>
      </c>
      <c r="N1950" s="74">
        <f t="shared" si="1"/>
        <v>221.1239538</v>
      </c>
      <c r="O1950" s="74" t="b">
        <v>1</v>
      </c>
    </row>
    <row r="1951" hidden="1">
      <c r="A1951" s="82"/>
      <c r="B1951" s="65" t="s">
        <v>495</v>
      </c>
      <c r="C1951" s="65" t="s">
        <v>84</v>
      </c>
      <c r="D1951" s="65"/>
      <c r="E1951" s="65" t="s">
        <v>1195</v>
      </c>
      <c r="F1951" s="83">
        <v>0.3541666666666667</v>
      </c>
      <c r="G1951" s="83">
        <v>0.3854166666666667</v>
      </c>
      <c r="H1951" s="83">
        <v>0.03125</v>
      </c>
      <c r="I1951" s="84">
        <v>44421.0</v>
      </c>
      <c r="J1951" s="65" t="b">
        <v>0</v>
      </c>
      <c r="K1951" s="65"/>
      <c r="L1951" s="85" t="b">
        <f>IF(VLOOKUP(C1951,Projetos!A:L,12,false)=TRUE,TRUE,FALSE)</f>
        <v>0</v>
      </c>
      <c r="M1951" s="74">
        <v>73.7079846079846</v>
      </c>
      <c r="N1951" s="74">
        <f t="shared" si="1"/>
        <v>0</v>
      </c>
      <c r="O1951" s="74" t="b">
        <v>0</v>
      </c>
    </row>
    <row r="1952" hidden="1">
      <c r="A1952" s="82"/>
      <c r="B1952" s="65" t="s">
        <v>495</v>
      </c>
      <c r="C1952" s="65" t="s">
        <v>92</v>
      </c>
      <c r="D1952" s="65" t="str">
        <f>vlookup(C1952,'Classificação p pessoal'!F:G,2,false)</f>
        <v/>
      </c>
      <c r="E1952" s="65" t="s">
        <v>1196</v>
      </c>
      <c r="F1952" s="83">
        <v>0.3854166666666667</v>
      </c>
      <c r="G1952" s="83">
        <v>0.4583333333333333</v>
      </c>
      <c r="H1952" s="83">
        <v>0.07291666666666667</v>
      </c>
      <c r="I1952" s="84">
        <v>44421.0</v>
      </c>
      <c r="J1952" s="65" t="b">
        <v>1</v>
      </c>
      <c r="K1952" s="65"/>
      <c r="L1952" s="85" t="b">
        <f>IF(VLOOKUP(C1952,Projetos!A:L,12,false)=TRUE,TRUE,FALSE)</f>
        <v>1</v>
      </c>
      <c r="M1952" s="74">
        <v>73.7079846079846</v>
      </c>
      <c r="N1952" s="74">
        <f t="shared" si="1"/>
        <v>128.9889731</v>
      </c>
      <c r="O1952" s="74" t="b">
        <v>1</v>
      </c>
    </row>
    <row r="1953" hidden="1">
      <c r="A1953" s="82"/>
      <c r="B1953" s="65" t="s">
        <v>495</v>
      </c>
      <c r="C1953" s="65" t="s">
        <v>92</v>
      </c>
      <c r="D1953" s="65" t="str">
        <f>vlookup(C1953,'Classificação p pessoal'!F:G,2,false)</f>
        <v/>
      </c>
      <c r="E1953" s="65" t="s">
        <v>1197</v>
      </c>
      <c r="F1953" s="83">
        <v>0.4583333333333333</v>
      </c>
      <c r="G1953" s="83">
        <v>0.5416666666666666</v>
      </c>
      <c r="H1953" s="83">
        <v>0.08333333333333333</v>
      </c>
      <c r="I1953" s="84">
        <v>44421.0</v>
      </c>
      <c r="J1953" s="65" t="b">
        <v>1</v>
      </c>
      <c r="K1953" s="65"/>
      <c r="L1953" s="85" t="b">
        <f>IF(VLOOKUP(C1953,Projetos!A:L,12,false)=TRUE,TRUE,FALSE)</f>
        <v>1</v>
      </c>
      <c r="M1953" s="74">
        <v>73.7079846079846</v>
      </c>
      <c r="N1953" s="74">
        <f t="shared" si="1"/>
        <v>147.4159692</v>
      </c>
      <c r="O1953" s="74" t="b">
        <v>1</v>
      </c>
    </row>
    <row r="1954" hidden="1">
      <c r="A1954" s="82"/>
      <c r="B1954" s="65" t="s">
        <v>495</v>
      </c>
      <c r="C1954" s="65" t="s">
        <v>100</v>
      </c>
      <c r="D1954" s="65"/>
      <c r="E1954" s="65" t="s">
        <v>1198</v>
      </c>
      <c r="F1954" s="83">
        <v>0.5416666666666666</v>
      </c>
      <c r="G1954" s="83">
        <v>0.5833333333333334</v>
      </c>
      <c r="H1954" s="83">
        <v>0.041666666666666664</v>
      </c>
      <c r="I1954" s="84">
        <v>44421.0</v>
      </c>
      <c r="J1954" s="65" t="b">
        <v>0</v>
      </c>
      <c r="K1954" s="65" t="s">
        <v>150</v>
      </c>
      <c r="L1954" s="85" t="b">
        <f>IF(VLOOKUP(C1954,Projetos!A:L,12,false)=TRUE,TRUE,FALSE)</f>
        <v>1</v>
      </c>
      <c r="M1954" s="74">
        <v>73.7079846079846</v>
      </c>
      <c r="N1954" s="74">
        <f t="shared" si="1"/>
        <v>0</v>
      </c>
      <c r="O1954" s="74" t="b">
        <v>1</v>
      </c>
    </row>
    <row r="1955" hidden="1">
      <c r="A1955" s="82"/>
      <c r="B1955" s="65" t="s">
        <v>495</v>
      </c>
      <c r="C1955" s="65" t="s">
        <v>130</v>
      </c>
      <c r="D1955" s="65" t="str">
        <f>vlookup(C1955,'Classificação p pessoal'!F:G,2,false)</f>
        <v>NP</v>
      </c>
      <c r="E1955" s="65" t="s">
        <v>1199</v>
      </c>
      <c r="F1955" s="83">
        <v>0.625</v>
      </c>
      <c r="G1955" s="83">
        <v>0.7083333333333334</v>
      </c>
      <c r="H1955" s="83">
        <v>0.08333333333333333</v>
      </c>
      <c r="I1955" s="84">
        <v>44421.0</v>
      </c>
      <c r="J1955" s="65" t="b">
        <v>1</v>
      </c>
      <c r="K1955" s="65"/>
      <c r="L1955" s="85" t="b">
        <f>IF(VLOOKUP(C1955,Projetos!A:L,12,false)=TRUE,TRUE,FALSE)</f>
        <v>1</v>
      </c>
      <c r="M1955" s="74">
        <v>73.7079846079846</v>
      </c>
      <c r="N1955" s="74">
        <f t="shared" si="1"/>
        <v>147.4159692</v>
      </c>
      <c r="O1955" s="74" t="b">
        <v>1</v>
      </c>
    </row>
    <row r="1956" hidden="1">
      <c r="A1956" s="82"/>
      <c r="B1956" s="65" t="s">
        <v>495</v>
      </c>
      <c r="C1956" s="65" t="s">
        <v>92</v>
      </c>
      <c r="D1956" s="65" t="str">
        <f>vlookup(C1956,'Classificação p pessoal'!F:G,2,false)</f>
        <v/>
      </c>
      <c r="E1956" s="65" t="s">
        <v>1200</v>
      </c>
      <c r="F1956" s="83">
        <v>0.7083333333333334</v>
      </c>
      <c r="G1956" s="83">
        <v>0.75</v>
      </c>
      <c r="H1956" s="83">
        <v>0.041666666666666664</v>
      </c>
      <c r="I1956" s="84">
        <v>44421.0</v>
      </c>
      <c r="J1956" s="65" t="b">
        <v>1</v>
      </c>
      <c r="K1956" s="65"/>
      <c r="L1956" s="85" t="b">
        <f>IF(VLOOKUP(C1956,Projetos!A:L,12,false)=TRUE,TRUE,FALSE)</f>
        <v>1</v>
      </c>
      <c r="M1956" s="74">
        <v>73.7079846079846</v>
      </c>
      <c r="N1956" s="74">
        <f t="shared" si="1"/>
        <v>73.70798461</v>
      </c>
      <c r="O1956" s="74" t="b">
        <v>1</v>
      </c>
    </row>
    <row r="1957" hidden="1">
      <c r="A1957" s="82"/>
      <c r="B1957" s="65" t="s">
        <v>495</v>
      </c>
      <c r="C1957" s="65" t="s">
        <v>84</v>
      </c>
      <c r="D1957" s="65"/>
      <c r="E1957" s="65" t="s">
        <v>1201</v>
      </c>
      <c r="F1957" s="83">
        <v>0.3541666666666667</v>
      </c>
      <c r="G1957" s="83">
        <v>0.4375</v>
      </c>
      <c r="H1957" s="83">
        <v>0.08333333333333333</v>
      </c>
      <c r="I1957" s="84">
        <v>44424.0</v>
      </c>
      <c r="J1957" s="65" t="b">
        <v>0</v>
      </c>
      <c r="K1957" s="65" t="s">
        <v>150</v>
      </c>
      <c r="L1957" s="85" t="b">
        <f>IF(VLOOKUP(C1957,Projetos!A:L,12,false)=TRUE,TRUE,FALSE)</f>
        <v>0</v>
      </c>
      <c r="M1957" s="74">
        <v>73.7079846079846</v>
      </c>
      <c r="N1957" s="74">
        <f t="shared" si="1"/>
        <v>0</v>
      </c>
      <c r="O1957" s="74" t="b">
        <v>0</v>
      </c>
    </row>
    <row r="1958" hidden="1">
      <c r="A1958" s="82"/>
      <c r="B1958" s="65" t="s">
        <v>495</v>
      </c>
      <c r="C1958" s="65" t="s">
        <v>92</v>
      </c>
      <c r="D1958" s="65"/>
      <c r="E1958" s="65" t="s">
        <v>1202</v>
      </c>
      <c r="F1958" s="83">
        <v>0.4583333333333333</v>
      </c>
      <c r="G1958" s="83">
        <v>0.4791666666666667</v>
      </c>
      <c r="H1958" s="83">
        <v>0.020833333333333332</v>
      </c>
      <c r="I1958" s="84">
        <v>44552.0</v>
      </c>
      <c r="J1958" s="65" t="b">
        <v>0</v>
      </c>
      <c r="K1958" s="65" t="s">
        <v>150</v>
      </c>
      <c r="L1958" s="85" t="b">
        <f>IF(VLOOKUP(C1958,Projetos!A:L,12,false)=TRUE,TRUE,FALSE)</f>
        <v>1</v>
      </c>
      <c r="M1958" s="74">
        <v>73.7079846079846</v>
      </c>
      <c r="N1958" s="74">
        <f t="shared" si="1"/>
        <v>0</v>
      </c>
      <c r="O1958" s="74" t="b">
        <v>1</v>
      </c>
    </row>
    <row r="1959" hidden="1">
      <c r="A1959" s="82"/>
      <c r="B1959" s="65" t="s">
        <v>495</v>
      </c>
      <c r="C1959" s="65" t="s">
        <v>92</v>
      </c>
      <c r="D1959" s="65" t="str">
        <f>vlookup(C1959,'Classificação p pessoal'!F:G,2,false)</f>
        <v/>
      </c>
      <c r="E1959" s="65" t="s">
        <v>1178</v>
      </c>
      <c r="F1959" s="83">
        <v>0.4583333333333333</v>
      </c>
      <c r="G1959" s="83">
        <v>0.4895833333333333</v>
      </c>
      <c r="H1959" s="83">
        <v>0.03125</v>
      </c>
      <c r="I1959" s="84">
        <v>44424.0</v>
      </c>
      <c r="J1959" s="65" t="b">
        <v>1</v>
      </c>
      <c r="K1959" s="65"/>
      <c r="L1959" s="85" t="b">
        <f>IF(VLOOKUP(C1959,Projetos!A:L,12,false)=TRUE,TRUE,FALSE)</f>
        <v>1</v>
      </c>
      <c r="M1959" s="74">
        <v>73.7079846079846</v>
      </c>
      <c r="N1959" s="74">
        <f t="shared" si="1"/>
        <v>55.28098846</v>
      </c>
      <c r="O1959" s="74" t="b">
        <v>1</v>
      </c>
    </row>
    <row r="1960" hidden="1">
      <c r="A1960" s="82"/>
      <c r="B1960" s="65" t="s">
        <v>495</v>
      </c>
      <c r="C1960" s="65" t="s">
        <v>92</v>
      </c>
      <c r="D1960" s="65" t="str">
        <f>vlookup(C1960,'Classificação p pessoal'!F:G,2,false)</f>
        <v/>
      </c>
      <c r="E1960" s="65" t="s">
        <v>1203</v>
      </c>
      <c r="F1960" s="83">
        <v>0.5</v>
      </c>
      <c r="G1960" s="83">
        <v>0.5729166666666666</v>
      </c>
      <c r="H1960" s="83">
        <v>0.07291666666666667</v>
      </c>
      <c r="I1960" s="84">
        <v>44424.0</v>
      </c>
      <c r="J1960" s="65" t="b">
        <v>1</v>
      </c>
      <c r="K1960" s="65"/>
      <c r="L1960" s="85" t="b">
        <f>IF(VLOOKUP(C1960,Projetos!A:L,12,false)=TRUE,TRUE,FALSE)</f>
        <v>1</v>
      </c>
      <c r="M1960" s="74">
        <v>73.7079846079846</v>
      </c>
      <c r="N1960" s="74">
        <f t="shared" si="1"/>
        <v>128.9889731</v>
      </c>
      <c r="O1960" s="74" t="b">
        <v>1</v>
      </c>
    </row>
    <row r="1961" hidden="1">
      <c r="A1961" s="82"/>
      <c r="B1961" s="65" t="s">
        <v>495</v>
      </c>
      <c r="C1961" s="65" t="s">
        <v>92</v>
      </c>
      <c r="D1961" s="65" t="str">
        <f>vlookup(C1961,'Classificação p pessoal'!F:G,2,false)</f>
        <v/>
      </c>
      <c r="E1961" s="65" t="s">
        <v>1204</v>
      </c>
      <c r="F1961" s="83">
        <v>0.625</v>
      </c>
      <c r="G1961" s="83">
        <v>0.7083333333333334</v>
      </c>
      <c r="H1961" s="83">
        <v>0.08333333333333333</v>
      </c>
      <c r="I1961" s="84">
        <v>44424.0</v>
      </c>
      <c r="J1961" s="65" t="b">
        <v>1</v>
      </c>
      <c r="K1961" s="65"/>
      <c r="L1961" s="85" t="b">
        <f>IF(VLOOKUP(C1961,Projetos!A:L,12,false)=TRUE,TRUE,FALSE)</f>
        <v>1</v>
      </c>
      <c r="M1961" s="74">
        <v>73.7079846079846</v>
      </c>
      <c r="N1961" s="74">
        <f t="shared" si="1"/>
        <v>147.4159692</v>
      </c>
      <c r="O1961" s="74" t="b">
        <v>1</v>
      </c>
    </row>
    <row r="1962" hidden="1">
      <c r="A1962" s="82"/>
      <c r="B1962" s="65" t="s">
        <v>495</v>
      </c>
      <c r="C1962" s="65" t="s">
        <v>100</v>
      </c>
      <c r="D1962" s="65" t="str">
        <f>vlookup(C1962,'Classificação p pessoal'!F:G,2,false)</f>
        <v>NP</v>
      </c>
      <c r="E1962" s="65" t="s">
        <v>1205</v>
      </c>
      <c r="F1962" s="83">
        <v>0.7083333333333334</v>
      </c>
      <c r="G1962" s="83">
        <v>0.75</v>
      </c>
      <c r="H1962" s="83">
        <v>0.041666666666666664</v>
      </c>
      <c r="I1962" s="84">
        <v>44424.0</v>
      </c>
      <c r="J1962" s="65" t="b">
        <v>1</v>
      </c>
      <c r="K1962" s="65"/>
      <c r="L1962" s="85" t="b">
        <f>IF(VLOOKUP(C1962,Projetos!A:L,12,false)=TRUE,TRUE,FALSE)</f>
        <v>1</v>
      </c>
      <c r="M1962" s="74">
        <v>73.7079846079846</v>
      </c>
      <c r="N1962" s="74">
        <f t="shared" si="1"/>
        <v>73.70798461</v>
      </c>
      <c r="O1962" s="74" t="b">
        <v>1</v>
      </c>
    </row>
    <row r="1963" hidden="1">
      <c r="A1963" s="82"/>
      <c r="B1963" s="65" t="s">
        <v>495</v>
      </c>
      <c r="C1963" s="65" t="s">
        <v>84</v>
      </c>
      <c r="D1963" s="65"/>
      <c r="E1963" s="65" t="s">
        <v>1201</v>
      </c>
      <c r="F1963" s="83">
        <v>0.3541666666666667</v>
      </c>
      <c r="G1963" s="83">
        <v>0.4166666666666667</v>
      </c>
      <c r="H1963" s="83">
        <v>0.0625</v>
      </c>
      <c r="I1963" s="84">
        <v>44425.0</v>
      </c>
      <c r="J1963" s="65" t="b">
        <v>0</v>
      </c>
      <c r="K1963" s="65" t="s">
        <v>150</v>
      </c>
      <c r="L1963" s="85" t="b">
        <f>IF(VLOOKUP(C1963,Projetos!A:L,12,false)=TRUE,TRUE,FALSE)</f>
        <v>0</v>
      </c>
      <c r="M1963" s="74">
        <v>73.7079846079846</v>
      </c>
      <c r="N1963" s="74">
        <f t="shared" si="1"/>
        <v>0</v>
      </c>
      <c r="O1963" s="74" t="b">
        <v>0</v>
      </c>
    </row>
    <row r="1964" hidden="1">
      <c r="A1964" s="82"/>
      <c r="B1964" s="65" t="s">
        <v>495</v>
      </c>
      <c r="C1964" s="65" t="s">
        <v>92</v>
      </c>
      <c r="D1964" s="65" t="str">
        <f>vlookup(C1964,'Classificação p pessoal'!F:G,2,false)</f>
        <v/>
      </c>
      <c r="E1964" s="65" t="s">
        <v>1204</v>
      </c>
      <c r="F1964" s="83">
        <v>0.4166666666666667</v>
      </c>
      <c r="G1964" s="83">
        <v>0.5729166666666666</v>
      </c>
      <c r="H1964" s="83">
        <v>0.15625</v>
      </c>
      <c r="I1964" s="84">
        <v>44425.0</v>
      </c>
      <c r="J1964" s="65" t="b">
        <v>1</v>
      </c>
      <c r="K1964" s="65"/>
      <c r="L1964" s="85" t="b">
        <f>IF(VLOOKUP(C1964,Projetos!A:L,12,false)=TRUE,TRUE,FALSE)</f>
        <v>1</v>
      </c>
      <c r="M1964" s="74">
        <v>73.7079846079846</v>
      </c>
      <c r="N1964" s="74">
        <f t="shared" si="1"/>
        <v>276.4049423</v>
      </c>
      <c r="O1964" s="74" t="b">
        <v>1</v>
      </c>
    </row>
    <row r="1965" hidden="1">
      <c r="A1965" s="82"/>
      <c r="B1965" s="65" t="s">
        <v>495</v>
      </c>
      <c r="C1965" s="65" t="s">
        <v>92</v>
      </c>
      <c r="D1965" s="65"/>
      <c r="E1965" s="65" t="s">
        <v>1206</v>
      </c>
      <c r="F1965" s="83">
        <v>0.7083333333333334</v>
      </c>
      <c r="G1965" s="83">
        <v>0.75</v>
      </c>
      <c r="H1965" s="83">
        <v>0.041666666666666664</v>
      </c>
      <c r="I1965" s="84">
        <v>44473.0</v>
      </c>
      <c r="J1965" s="65" t="b">
        <v>0</v>
      </c>
      <c r="K1965" s="65" t="s">
        <v>150</v>
      </c>
      <c r="L1965" s="85" t="b">
        <f>IF(VLOOKUP(C1965,Projetos!A:L,12,false)=TRUE,TRUE,FALSE)</f>
        <v>1</v>
      </c>
      <c r="M1965" s="74">
        <v>73.7079846079846</v>
      </c>
      <c r="N1965" s="74">
        <f t="shared" si="1"/>
        <v>0</v>
      </c>
      <c r="O1965" s="74" t="b">
        <v>1</v>
      </c>
    </row>
    <row r="1966" hidden="1">
      <c r="A1966" s="82"/>
      <c r="B1966" s="65" t="s">
        <v>495</v>
      </c>
      <c r="C1966" s="65" t="s">
        <v>92</v>
      </c>
      <c r="D1966" s="65" t="str">
        <f>vlookup(C1966,'Classificação p pessoal'!F:G,2,false)</f>
        <v/>
      </c>
      <c r="E1966" s="65" t="s">
        <v>1207</v>
      </c>
      <c r="F1966" s="83">
        <v>0.6354166666666666</v>
      </c>
      <c r="G1966" s="83">
        <v>0.75</v>
      </c>
      <c r="H1966" s="83">
        <v>0.11458333333333333</v>
      </c>
      <c r="I1966" s="84">
        <v>44425.0</v>
      </c>
      <c r="J1966" s="65" t="b">
        <v>1</v>
      </c>
      <c r="K1966" s="65"/>
      <c r="L1966" s="85" t="b">
        <f>IF(VLOOKUP(C1966,Projetos!A:L,12,false)=TRUE,TRUE,FALSE)</f>
        <v>1</v>
      </c>
      <c r="M1966" s="74">
        <v>73.7079846079846</v>
      </c>
      <c r="N1966" s="74">
        <f t="shared" si="1"/>
        <v>202.6969577</v>
      </c>
      <c r="O1966" s="74" t="b">
        <v>1</v>
      </c>
    </row>
    <row r="1967" hidden="1">
      <c r="A1967" s="82"/>
      <c r="B1967" s="65" t="s">
        <v>495</v>
      </c>
      <c r="C1967" s="65" t="s">
        <v>92</v>
      </c>
      <c r="D1967" s="65" t="str">
        <f>vlookup(C1967,'Classificação p pessoal'!F:G,2,false)</f>
        <v/>
      </c>
      <c r="E1967" s="65" t="s">
        <v>834</v>
      </c>
      <c r="F1967" s="83">
        <v>0.3541666666666667</v>
      </c>
      <c r="G1967" s="83">
        <v>0.4375</v>
      </c>
      <c r="H1967" s="83">
        <v>0.08333333333333333</v>
      </c>
      <c r="I1967" s="84">
        <v>44426.0</v>
      </c>
      <c r="J1967" s="65" t="b">
        <v>1</v>
      </c>
      <c r="K1967" s="65"/>
      <c r="L1967" s="85" t="b">
        <f>IF(VLOOKUP(C1967,Projetos!A:L,12,false)=TRUE,TRUE,FALSE)</f>
        <v>1</v>
      </c>
      <c r="M1967" s="74">
        <v>73.7079846079846</v>
      </c>
      <c r="N1967" s="74">
        <f t="shared" si="1"/>
        <v>147.4159692</v>
      </c>
      <c r="O1967" s="74" t="b">
        <v>1</v>
      </c>
    </row>
    <row r="1968" hidden="1">
      <c r="A1968" s="82"/>
      <c r="B1968" s="65" t="s">
        <v>495</v>
      </c>
      <c r="C1968" s="65" t="s">
        <v>84</v>
      </c>
      <c r="D1968" s="65"/>
      <c r="E1968" s="65" t="s">
        <v>1201</v>
      </c>
      <c r="F1968" s="83">
        <v>0.4444444444444444</v>
      </c>
      <c r="G1968" s="83">
        <v>0.5277777777777778</v>
      </c>
      <c r="H1968" s="83">
        <v>0.08333333333333333</v>
      </c>
      <c r="I1968" s="84">
        <v>44426.0</v>
      </c>
      <c r="J1968" s="65" t="b">
        <v>0</v>
      </c>
      <c r="K1968" s="65" t="s">
        <v>150</v>
      </c>
      <c r="L1968" s="85" t="b">
        <f>IF(VLOOKUP(C1968,Projetos!A:L,12,false)=TRUE,TRUE,FALSE)</f>
        <v>0</v>
      </c>
      <c r="M1968" s="74">
        <v>73.7079846079846</v>
      </c>
      <c r="N1968" s="74">
        <f t="shared" si="1"/>
        <v>0</v>
      </c>
      <c r="O1968" s="74" t="b">
        <v>0</v>
      </c>
    </row>
    <row r="1969">
      <c r="A1969" s="82"/>
      <c r="B1969" s="65" t="s">
        <v>495</v>
      </c>
      <c r="C1969" s="65" t="s">
        <v>108</v>
      </c>
      <c r="D1969" s="65" t="str">
        <f>vlookup(C1969,'Classificação p pessoal'!F:G,2,false)</f>
        <v>NP</v>
      </c>
      <c r="E1969" s="65" t="s">
        <v>1208</v>
      </c>
      <c r="F1969" s="83">
        <v>0.5277777777777778</v>
      </c>
      <c r="G1969" s="83">
        <v>0.5625</v>
      </c>
      <c r="H1969" s="83">
        <v>0.034722222222222224</v>
      </c>
      <c r="I1969" s="84">
        <v>44426.0</v>
      </c>
      <c r="J1969" s="65" t="b">
        <v>1</v>
      </c>
      <c r="K1969" s="65"/>
      <c r="L1969" s="85" t="b">
        <f>IF(VLOOKUP(C1969,Projetos!A:L,12,false)=TRUE,TRUE,FALSE)</f>
        <v>1</v>
      </c>
      <c r="M1969" s="74">
        <v>73.7079846079846</v>
      </c>
      <c r="N1969" s="74">
        <f t="shared" si="1"/>
        <v>61.42332051</v>
      </c>
      <c r="O1969" s="74" t="b">
        <v>1</v>
      </c>
    </row>
    <row r="1970">
      <c r="A1970" s="82"/>
      <c r="B1970" s="65" t="s">
        <v>495</v>
      </c>
      <c r="C1970" s="65" t="s">
        <v>108</v>
      </c>
      <c r="D1970" s="65" t="str">
        <f>vlookup(C1970,'Classificação p pessoal'!F:G,2,false)</f>
        <v>NP</v>
      </c>
      <c r="E1970" s="65" t="s">
        <v>1208</v>
      </c>
      <c r="F1970" s="83">
        <v>0.6111111111111112</v>
      </c>
      <c r="G1970" s="83">
        <v>0.7083333333333334</v>
      </c>
      <c r="H1970" s="83">
        <v>0.09722222222222222</v>
      </c>
      <c r="I1970" s="84">
        <v>44426.0</v>
      </c>
      <c r="J1970" s="65" t="b">
        <v>1</v>
      </c>
      <c r="K1970" s="65"/>
      <c r="L1970" s="85" t="b">
        <f>IF(VLOOKUP(C1970,Projetos!A:L,12,false)=TRUE,TRUE,FALSE)</f>
        <v>1</v>
      </c>
      <c r="M1970" s="74">
        <v>73.7079846079846</v>
      </c>
      <c r="N1970" s="74">
        <f t="shared" si="1"/>
        <v>171.9852974</v>
      </c>
      <c r="O1970" s="74" t="b">
        <v>1</v>
      </c>
    </row>
    <row r="1971" hidden="1">
      <c r="A1971" s="82"/>
      <c r="B1971" s="65" t="s">
        <v>495</v>
      </c>
      <c r="C1971" s="65" t="s">
        <v>92</v>
      </c>
      <c r="D1971" s="65" t="str">
        <f>vlookup(C1971,'Classificação p pessoal'!F:G,2,false)</f>
        <v/>
      </c>
      <c r="E1971" s="65" t="s">
        <v>1209</v>
      </c>
      <c r="F1971" s="83">
        <v>0.7083333333333334</v>
      </c>
      <c r="G1971" s="83">
        <v>0.75</v>
      </c>
      <c r="H1971" s="83">
        <v>0.041666666666666664</v>
      </c>
      <c r="I1971" s="84">
        <v>44426.0</v>
      </c>
      <c r="J1971" s="65" t="b">
        <v>1</v>
      </c>
      <c r="K1971" s="65"/>
      <c r="L1971" s="85" t="b">
        <f>IF(VLOOKUP(C1971,Projetos!A:L,12,false)=TRUE,TRUE,FALSE)</f>
        <v>1</v>
      </c>
      <c r="M1971" s="74">
        <v>73.7079846079846</v>
      </c>
      <c r="N1971" s="74">
        <f t="shared" si="1"/>
        <v>73.70798461</v>
      </c>
      <c r="O1971" s="74" t="b">
        <v>1</v>
      </c>
    </row>
    <row r="1972" hidden="1">
      <c r="A1972" s="82"/>
      <c r="B1972" s="65" t="s">
        <v>469</v>
      </c>
      <c r="C1972" s="65" t="s">
        <v>118</v>
      </c>
      <c r="D1972" s="65"/>
      <c r="E1972" s="65" t="s">
        <v>1210</v>
      </c>
      <c r="F1972" s="83">
        <v>0.4166666666666667</v>
      </c>
      <c r="G1972" s="83">
        <v>0.6666666666666666</v>
      </c>
      <c r="H1972" s="83">
        <v>0.25</v>
      </c>
      <c r="I1972" s="84">
        <v>44279.0</v>
      </c>
      <c r="J1972" s="65" t="b">
        <v>0</v>
      </c>
      <c r="K1972" s="65" t="s">
        <v>150</v>
      </c>
      <c r="L1972" s="85" t="b">
        <f>IF(VLOOKUP(C1972,Projetos!A:L,12,false)=TRUE,TRUE,FALSE)</f>
        <v>1</v>
      </c>
      <c r="M1972" s="74">
        <v>37.50928062469937</v>
      </c>
      <c r="N1972" s="74">
        <f t="shared" si="1"/>
        <v>0</v>
      </c>
      <c r="O1972" s="74" t="b">
        <v>1</v>
      </c>
    </row>
    <row r="1973" hidden="1">
      <c r="A1973" s="82"/>
      <c r="B1973" s="65" t="s">
        <v>495</v>
      </c>
      <c r="C1973" s="65" t="s">
        <v>84</v>
      </c>
      <c r="D1973" s="65"/>
      <c r="E1973" s="65" t="s">
        <v>1201</v>
      </c>
      <c r="F1973" s="83">
        <v>0.3611111111111111</v>
      </c>
      <c r="G1973" s="83">
        <v>0.3958333333333333</v>
      </c>
      <c r="H1973" s="83">
        <v>0.034722222222222224</v>
      </c>
      <c r="I1973" s="84">
        <v>44427.0</v>
      </c>
      <c r="J1973" s="65" t="b">
        <v>0</v>
      </c>
      <c r="K1973" s="65" t="s">
        <v>150</v>
      </c>
      <c r="L1973" s="85" t="b">
        <f>IF(VLOOKUP(C1973,Projetos!A:L,12,false)=TRUE,TRUE,FALSE)</f>
        <v>0</v>
      </c>
      <c r="M1973" s="74">
        <v>73.7079846079846</v>
      </c>
      <c r="N1973" s="74">
        <f t="shared" si="1"/>
        <v>0</v>
      </c>
      <c r="O1973" s="74" t="b">
        <v>0</v>
      </c>
    </row>
    <row r="1974" hidden="1">
      <c r="A1974" s="82"/>
      <c r="B1974" s="65" t="s">
        <v>495</v>
      </c>
      <c r="C1974" s="65" t="s">
        <v>100</v>
      </c>
      <c r="D1974" s="65" t="str">
        <f>vlookup(C1974,'Classificação p pessoal'!F:G,2,false)</f>
        <v>NP</v>
      </c>
      <c r="E1974" s="65" t="s">
        <v>1211</v>
      </c>
      <c r="F1974" s="83">
        <v>0.5347222222222222</v>
      </c>
      <c r="G1974" s="83">
        <v>0.5625</v>
      </c>
      <c r="H1974" s="83">
        <v>0.027777777777777776</v>
      </c>
      <c r="I1974" s="84">
        <v>44427.0</v>
      </c>
      <c r="J1974" s="65" t="b">
        <v>1</v>
      </c>
      <c r="K1974" s="65"/>
      <c r="L1974" s="85" t="b">
        <f>IF(VLOOKUP(C1974,Projetos!A:L,12,false)=TRUE,TRUE,FALSE)</f>
        <v>1</v>
      </c>
      <c r="M1974" s="74">
        <v>73.7079846079846</v>
      </c>
      <c r="N1974" s="74">
        <f t="shared" si="1"/>
        <v>49.13865641</v>
      </c>
      <c r="O1974" s="74" t="b">
        <v>1</v>
      </c>
    </row>
    <row r="1975" hidden="1">
      <c r="A1975" s="82"/>
      <c r="B1975" s="65" t="s">
        <v>495</v>
      </c>
      <c r="C1975" s="65" t="s">
        <v>84</v>
      </c>
      <c r="D1975" s="65"/>
      <c r="E1975" s="65" t="s">
        <v>1212</v>
      </c>
      <c r="F1975" s="83">
        <v>0.6458333333333334</v>
      </c>
      <c r="G1975" s="83">
        <v>0.6979166666666666</v>
      </c>
      <c r="H1975" s="83">
        <v>0.052083333333333336</v>
      </c>
      <c r="I1975" s="84">
        <v>44427.0</v>
      </c>
      <c r="J1975" s="65" t="b">
        <v>0</v>
      </c>
      <c r="K1975" s="65" t="s">
        <v>150</v>
      </c>
      <c r="L1975" s="85" t="b">
        <f>IF(VLOOKUP(C1975,Projetos!A:L,12,false)=TRUE,TRUE,FALSE)</f>
        <v>0</v>
      </c>
      <c r="M1975" s="74">
        <v>73.7079846079846</v>
      </c>
      <c r="N1975" s="74">
        <f t="shared" si="1"/>
        <v>0</v>
      </c>
      <c r="O1975" s="74" t="b">
        <v>0</v>
      </c>
    </row>
    <row r="1976" hidden="1">
      <c r="A1976" s="82"/>
      <c r="B1976" s="65" t="s">
        <v>495</v>
      </c>
      <c r="C1976" s="65" t="s">
        <v>92</v>
      </c>
      <c r="D1976" s="65" t="str">
        <f>vlookup(C1976,'Classificação p pessoal'!F:G,2,false)</f>
        <v/>
      </c>
      <c r="E1976" s="65" t="s">
        <v>1213</v>
      </c>
      <c r="F1976" s="83">
        <v>0.6979166666666666</v>
      </c>
      <c r="G1976" s="83">
        <v>0.75</v>
      </c>
      <c r="H1976" s="83">
        <v>0.052083333333333336</v>
      </c>
      <c r="I1976" s="84">
        <v>44427.0</v>
      </c>
      <c r="J1976" s="65" t="b">
        <v>1</v>
      </c>
      <c r="K1976" s="65"/>
      <c r="L1976" s="85" t="b">
        <f>IF(VLOOKUP(C1976,Projetos!A:L,12,false)=TRUE,TRUE,FALSE)</f>
        <v>1</v>
      </c>
      <c r="M1976" s="74">
        <v>73.7079846079846</v>
      </c>
      <c r="N1976" s="74">
        <f t="shared" si="1"/>
        <v>92.13498076</v>
      </c>
      <c r="O1976" s="74" t="b">
        <v>1</v>
      </c>
    </row>
    <row r="1977" hidden="1">
      <c r="A1977" s="82"/>
      <c r="B1977" s="65" t="s">
        <v>495</v>
      </c>
      <c r="C1977" s="65" t="s">
        <v>92</v>
      </c>
      <c r="D1977" s="65" t="str">
        <f>vlookup(C1977,'Classificação p pessoal'!F:G,2,false)</f>
        <v/>
      </c>
      <c r="E1977" s="65" t="s">
        <v>1214</v>
      </c>
      <c r="F1977" s="83">
        <v>0.3541666666666667</v>
      </c>
      <c r="G1977" s="83">
        <v>0.4583333333333333</v>
      </c>
      <c r="H1977" s="83">
        <v>0.10416666666666667</v>
      </c>
      <c r="I1977" s="84">
        <v>44428.0</v>
      </c>
      <c r="J1977" s="65" t="b">
        <v>1</v>
      </c>
      <c r="K1977" s="65"/>
      <c r="L1977" s="85" t="b">
        <f>IF(VLOOKUP(C1977,Projetos!A:L,12,false)=TRUE,TRUE,FALSE)</f>
        <v>1</v>
      </c>
      <c r="M1977" s="74">
        <v>73.7079846079846</v>
      </c>
      <c r="N1977" s="74">
        <f t="shared" si="1"/>
        <v>184.2699615</v>
      </c>
      <c r="O1977" s="74" t="b">
        <v>1</v>
      </c>
    </row>
    <row r="1978" hidden="1">
      <c r="A1978" s="82"/>
      <c r="B1978" s="65" t="s">
        <v>495</v>
      </c>
      <c r="C1978" s="65" t="s">
        <v>84</v>
      </c>
      <c r="D1978" s="65"/>
      <c r="E1978" s="65" t="s">
        <v>1215</v>
      </c>
      <c r="F1978" s="83">
        <v>0.4583333333333333</v>
      </c>
      <c r="G1978" s="83">
        <v>0.5833333333333334</v>
      </c>
      <c r="H1978" s="83">
        <v>0.125</v>
      </c>
      <c r="I1978" s="84">
        <v>44428.0</v>
      </c>
      <c r="J1978" s="65" t="b">
        <v>0</v>
      </c>
      <c r="K1978" s="65"/>
      <c r="L1978" s="85" t="b">
        <f>IF(VLOOKUP(C1978,Projetos!A:L,12,false)=TRUE,TRUE,FALSE)</f>
        <v>0</v>
      </c>
      <c r="M1978" s="74">
        <v>73.7079846079846</v>
      </c>
      <c r="N1978" s="74">
        <f t="shared" si="1"/>
        <v>0</v>
      </c>
      <c r="O1978" s="74" t="b">
        <v>0</v>
      </c>
    </row>
    <row r="1979" hidden="1">
      <c r="A1979" s="82"/>
      <c r="B1979" s="65" t="s">
        <v>495</v>
      </c>
      <c r="C1979" s="65" t="s">
        <v>92</v>
      </c>
      <c r="D1979" s="65" t="str">
        <f>vlookup(C1979,'Classificação p pessoal'!F:G,2,false)</f>
        <v/>
      </c>
      <c r="E1979" s="65" t="s">
        <v>1216</v>
      </c>
      <c r="F1979" s="83">
        <v>0.625</v>
      </c>
      <c r="G1979" s="83">
        <v>0.6666666666666666</v>
      </c>
      <c r="H1979" s="83">
        <v>0.041666666666666664</v>
      </c>
      <c r="I1979" s="84">
        <v>44428.0</v>
      </c>
      <c r="J1979" s="65" t="b">
        <v>1</v>
      </c>
      <c r="K1979" s="65"/>
      <c r="L1979" s="85" t="b">
        <f>IF(VLOOKUP(C1979,Projetos!A:L,12,false)=TRUE,TRUE,FALSE)</f>
        <v>1</v>
      </c>
      <c r="M1979" s="74">
        <v>73.7079846079846</v>
      </c>
      <c r="N1979" s="74">
        <f t="shared" si="1"/>
        <v>73.70798461</v>
      </c>
      <c r="O1979" s="74" t="b">
        <v>1</v>
      </c>
    </row>
    <row r="1980" hidden="1">
      <c r="A1980" s="82"/>
      <c r="B1980" s="65" t="s">
        <v>495</v>
      </c>
      <c r="C1980" s="65" t="s">
        <v>92</v>
      </c>
      <c r="D1980" s="65" t="str">
        <f>vlookup(C1980,'Classificação p pessoal'!F:G,2,false)</f>
        <v/>
      </c>
      <c r="E1980" s="65" t="s">
        <v>1217</v>
      </c>
      <c r="F1980" s="83">
        <v>0.6666666666666666</v>
      </c>
      <c r="G1980" s="83">
        <v>0.75</v>
      </c>
      <c r="H1980" s="83">
        <v>0.08333333333333333</v>
      </c>
      <c r="I1980" s="84">
        <v>44428.0</v>
      </c>
      <c r="J1980" s="65" t="b">
        <v>1</v>
      </c>
      <c r="K1980" s="65"/>
      <c r="L1980" s="85" t="b">
        <f>IF(VLOOKUP(C1980,Projetos!A:L,12,false)=TRUE,TRUE,FALSE)</f>
        <v>1</v>
      </c>
      <c r="M1980" s="74">
        <v>73.7079846079846</v>
      </c>
      <c r="N1980" s="74">
        <f t="shared" si="1"/>
        <v>147.4159692</v>
      </c>
      <c r="O1980" s="74" t="b">
        <v>1</v>
      </c>
    </row>
    <row r="1981" hidden="1">
      <c r="A1981" s="82"/>
      <c r="B1981" s="65" t="s">
        <v>495</v>
      </c>
      <c r="C1981" s="65" t="s">
        <v>92</v>
      </c>
      <c r="D1981" s="65" t="str">
        <f>vlookup(C1981,'Classificação p pessoal'!F:G,2,false)</f>
        <v/>
      </c>
      <c r="E1981" s="65" t="s">
        <v>1218</v>
      </c>
      <c r="F1981" s="83">
        <v>0.34375</v>
      </c>
      <c r="G1981" s="83">
        <v>0.4375</v>
      </c>
      <c r="H1981" s="83">
        <v>0.09375</v>
      </c>
      <c r="I1981" s="84">
        <v>44278.0</v>
      </c>
      <c r="J1981" s="65" t="b">
        <v>1</v>
      </c>
      <c r="K1981" s="65"/>
      <c r="L1981" s="85" t="b">
        <f>IF(VLOOKUP(C1981,Projetos!A:L,12,false)=TRUE,TRUE,FALSE)</f>
        <v>1</v>
      </c>
      <c r="M1981" s="74">
        <v>73.7079846079846</v>
      </c>
      <c r="N1981" s="74">
        <f t="shared" si="1"/>
        <v>165.8429654</v>
      </c>
      <c r="O1981" s="74" t="b">
        <v>1</v>
      </c>
    </row>
    <row r="1982" hidden="1">
      <c r="A1982" s="82"/>
      <c r="B1982" s="65" t="s">
        <v>495</v>
      </c>
      <c r="C1982" s="65" t="s">
        <v>92</v>
      </c>
      <c r="D1982" s="65" t="str">
        <f>vlookup(C1982,'Classificação p pessoal'!F:G,2,false)</f>
        <v/>
      </c>
      <c r="E1982" s="65" t="s">
        <v>1219</v>
      </c>
      <c r="F1982" s="83">
        <v>0.4791666666666667</v>
      </c>
      <c r="G1982" s="83">
        <v>0.5763888888888888</v>
      </c>
      <c r="H1982" s="83">
        <v>0.09722222222222222</v>
      </c>
      <c r="I1982" s="84">
        <v>44278.0</v>
      </c>
      <c r="J1982" s="65" t="b">
        <v>1</v>
      </c>
      <c r="K1982" s="65"/>
      <c r="L1982" s="85" t="b">
        <f>IF(VLOOKUP(C1982,Projetos!A:L,12,false)=TRUE,TRUE,FALSE)</f>
        <v>1</v>
      </c>
      <c r="M1982" s="74">
        <v>73.7079846079846</v>
      </c>
      <c r="N1982" s="74">
        <f t="shared" si="1"/>
        <v>171.9852974</v>
      </c>
      <c r="O1982" s="74" t="b">
        <v>1</v>
      </c>
    </row>
    <row r="1983" hidden="1">
      <c r="A1983" s="82"/>
      <c r="B1983" s="65" t="s">
        <v>495</v>
      </c>
      <c r="C1983" s="65" t="s">
        <v>92</v>
      </c>
      <c r="D1983" s="65" t="str">
        <f>vlookup(C1983,'Classificação p pessoal'!F:G,2,false)</f>
        <v/>
      </c>
      <c r="E1983" s="65" t="s">
        <v>834</v>
      </c>
      <c r="F1983" s="83">
        <v>0.6180555555555556</v>
      </c>
      <c r="G1983" s="83">
        <v>0.6597222222222222</v>
      </c>
      <c r="H1983" s="83">
        <v>0.041666666666666664</v>
      </c>
      <c r="I1983" s="84">
        <v>44278.0</v>
      </c>
      <c r="J1983" s="65" t="b">
        <v>1</v>
      </c>
      <c r="K1983" s="65"/>
      <c r="L1983" s="85" t="b">
        <f>IF(VLOOKUP(C1983,Projetos!A:L,12,false)=TRUE,TRUE,FALSE)</f>
        <v>1</v>
      </c>
      <c r="M1983" s="74">
        <v>73.7079846079846</v>
      </c>
      <c r="N1983" s="74">
        <f t="shared" si="1"/>
        <v>73.70798461</v>
      </c>
      <c r="O1983" s="74" t="b">
        <v>1</v>
      </c>
    </row>
    <row r="1984" hidden="1">
      <c r="A1984" s="82"/>
      <c r="B1984" s="65" t="s">
        <v>495</v>
      </c>
      <c r="C1984" s="65" t="s">
        <v>92</v>
      </c>
      <c r="D1984" s="65" t="str">
        <f>vlookup(C1984,'Classificação p pessoal'!F:G,2,false)</f>
        <v/>
      </c>
      <c r="E1984" s="65" t="s">
        <v>1220</v>
      </c>
      <c r="F1984" s="83">
        <v>0.6597222222222222</v>
      </c>
      <c r="G1984" s="83">
        <v>0.75</v>
      </c>
      <c r="H1984" s="83">
        <v>0.09027777777777778</v>
      </c>
      <c r="I1984" s="84">
        <v>44278.0</v>
      </c>
      <c r="J1984" s="65" t="b">
        <v>1</v>
      </c>
      <c r="K1984" s="65"/>
      <c r="L1984" s="85" t="b">
        <f>IF(VLOOKUP(C1984,Projetos!A:L,12,false)=TRUE,TRUE,FALSE)</f>
        <v>1</v>
      </c>
      <c r="M1984" s="74">
        <v>73.7079846079846</v>
      </c>
      <c r="N1984" s="74">
        <f t="shared" si="1"/>
        <v>159.7006333</v>
      </c>
      <c r="O1984" s="74" t="b">
        <v>1</v>
      </c>
    </row>
    <row r="1985" hidden="1">
      <c r="A1985" s="82"/>
      <c r="B1985" s="65" t="s">
        <v>495</v>
      </c>
      <c r="C1985" s="65" t="s">
        <v>84</v>
      </c>
      <c r="D1985" s="65"/>
      <c r="E1985" s="65" t="s">
        <v>1221</v>
      </c>
      <c r="F1985" s="83">
        <v>0.3541666666666667</v>
      </c>
      <c r="G1985" s="83">
        <v>0.375</v>
      </c>
      <c r="H1985" s="83">
        <v>0.020833333333333332</v>
      </c>
      <c r="I1985" s="84">
        <v>44279.0</v>
      </c>
      <c r="J1985" s="65" t="b">
        <v>0</v>
      </c>
      <c r="K1985" s="65" t="s">
        <v>150</v>
      </c>
      <c r="L1985" s="85" t="b">
        <f>IF(VLOOKUP(C1985,Projetos!A:L,12,false)=TRUE,TRUE,FALSE)</f>
        <v>0</v>
      </c>
      <c r="M1985" s="74">
        <v>73.7079846079846</v>
      </c>
      <c r="N1985" s="74">
        <f t="shared" si="1"/>
        <v>0</v>
      </c>
      <c r="O1985" s="74" t="b">
        <v>0</v>
      </c>
    </row>
    <row r="1986" hidden="1">
      <c r="A1986" s="82"/>
      <c r="B1986" s="65" t="s">
        <v>495</v>
      </c>
      <c r="C1986" s="65" t="s">
        <v>84</v>
      </c>
      <c r="D1986" s="65"/>
      <c r="E1986" s="65" t="s">
        <v>1222</v>
      </c>
      <c r="F1986" s="83">
        <v>0.375</v>
      </c>
      <c r="G1986" s="83">
        <v>0.4375</v>
      </c>
      <c r="H1986" s="83">
        <v>0.0625</v>
      </c>
      <c r="I1986" s="84">
        <v>44279.0</v>
      </c>
      <c r="J1986" s="65" t="b">
        <v>0</v>
      </c>
      <c r="K1986" s="65"/>
      <c r="L1986" s="85" t="b">
        <f>IF(VLOOKUP(C1986,Projetos!A:L,12,false)=TRUE,TRUE,FALSE)</f>
        <v>0</v>
      </c>
      <c r="M1986" s="74">
        <v>73.7079846079846</v>
      </c>
      <c r="N1986" s="74">
        <f t="shared" si="1"/>
        <v>0</v>
      </c>
      <c r="O1986" s="74" t="b">
        <v>0</v>
      </c>
    </row>
    <row r="1987" hidden="1">
      <c r="A1987" s="82"/>
      <c r="B1987" s="65" t="s">
        <v>495</v>
      </c>
      <c r="C1987" s="65" t="s">
        <v>92</v>
      </c>
      <c r="D1987" s="65" t="str">
        <f>vlookup(C1987,'Classificação p pessoal'!F:G,2,false)</f>
        <v/>
      </c>
      <c r="E1987" s="65" t="s">
        <v>1219</v>
      </c>
      <c r="F1987" s="83">
        <v>0.4583333333333333</v>
      </c>
      <c r="G1987" s="83">
        <v>0.5729166666666666</v>
      </c>
      <c r="H1987" s="83">
        <v>0.11458333333333333</v>
      </c>
      <c r="I1987" s="84">
        <v>44279.0</v>
      </c>
      <c r="J1987" s="65" t="b">
        <v>1</v>
      </c>
      <c r="K1987" s="65"/>
      <c r="L1987" s="85" t="b">
        <f>IF(VLOOKUP(C1987,Projetos!A:L,12,false)=TRUE,TRUE,FALSE)</f>
        <v>1</v>
      </c>
      <c r="M1987" s="74">
        <v>73.7079846079846</v>
      </c>
      <c r="N1987" s="74">
        <f t="shared" si="1"/>
        <v>202.6969577</v>
      </c>
      <c r="O1987" s="74" t="b">
        <v>1</v>
      </c>
    </row>
    <row r="1988" hidden="1">
      <c r="A1988" s="82"/>
      <c r="B1988" s="65" t="s">
        <v>495</v>
      </c>
      <c r="C1988" s="65" t="s">
        <v>100</v>
      </c>
      <c r="D1988" s="65" t="str">
        <f>vlookup(C1988,'Classificação p pessoal'!F:G,2,false)</f>
        <v>NP</v>
      </c>
      <c r="E1988" s="65" t="s">
        <v>1223</v>
      </c>
      <c r="F1988" s="83">
        <v>0.6145833333333334</v>
      </c>
      <c r="G1988" s="83">
        <v>0.6458333333333334</v>
      </c>
      <c r="H1988" s="83">
        <v>0.03125</v>
      </c>
      <c r="I1988" s="84">
        <v>44279.0</v>
      </c>
      <c r="J1988" s="65" t="b">
        <v>1</v>
      </c>
      <c r="K1988" s="65"/>
      <c r="L1988" s="85" t="b">
        <f>IF(VLOOKUP(C1988,Projetos!A:L,12,false)=TRUE,TRUE,FALSE)</f>
        <v>1</v>
      </c>
      <c r="M1988" s="74">
        <v>73.7079846079846</v>
      </c>
      <c r="N1988" s="74">
        <f t="shared" si="1"/>
        <v>55.28098846</v>
      </c>
      <c r="O1988" s="74" t="b">
        <v>1</v>
      </c>
    </row>
    <row r="1989" hidden="1">
      <c r="A1989" s="82"/>
      <c r="B1989" s="65" t="s">
        <v>495</v>
      </c>
      <c r="C1989" s="65" t="s">
        <v>92</v>
      </c>
      <c r="D1989" s="65" t="str">
        <f>vlookup(C1989,'Classificação p pessoal'!F:G,2,false)</f>
        <v/>
      </c>
      <c r="E1989" s="65" t="s">
        <v>1224</v>
      </c>
      <c r="F1989" s="83">
        <v>0.6458333333333334</v>
      </c>
      <c r="G1989" s="83">
        <v>0.6875</v>
      </c>
      <c r="H1989" s="83">
        <v>0.041666666666666664</v>
      </c>
      <c r="I1989" s="84">
        <v>44279.0</v>
      </c>
      <c r="J1989" s="65" t="b">
        <v>1</v>
      </c>
      <c r="K1989" s="65"/>
      <c r="L1989" s="85" t="b">
        <f>IF(VLOOKUP(C1989,Projetos!A:L,12,false)=TRUE,TRUE,FALSE)</f>
        <v>1</v>
      </c>
      <c r="M1989" s="74">
        <v>73.7079846079846</v>
      </c>
      <c r="N1989" s="74">
        <f t="shared" si="1"/>
        <v>73.70798461</v>
      </c>
      <c r="O1989" s="74" t="b">
        <v>1</v>
      </c>
    </row>
    <row r="1990" hidden="1">
      <c r="A1990" s="82"/>
      <c r="B1990" s="65" t="s">
        <v>495</v>
      </c>
      <c r="C1990" s="65" t="s">
        <v>92</v>
      </c>
      <c r="D1990" s="65" t="str">
        <f>vlookup(C1990,'Classificação p pessoal'!F:G,2,false)</f>
        <v/>
      </c>
      <c r="E1990" s="65" t="s">
        <v>1219</v>
      </c>
      <c r="F1990" s="83">
        <v>0.6979166666666666</v>
      </c>
      <c r="G1990" s="83">
        <v>0.75</v>
      </c>
      <c r="H1990" s="83">
        <v>0.052083333333333336</v>
      </c>
      <c r="I1990" s="84">
        <v>44279.0</v>
      </c>
      <c r="J1990" s="65" t="b">
        <v>1</v>
      </c>
      <c r="K1990" s="65"/>
      <c r="L1990" s="85" t="b">
        <f>IF(VLOOKUP(C1990,Projetos!A:L,12,false)=TRUE,TRUE,FALSE)</f>
        <v>1</v>
      </c>
      <c r="M1990" s="74">
        <v>73.7079846079846</v>
      </c>
      <c r="N1990" s="74">
        <f t="shared" si="1"/>
        <v>92.13498076</v>
      </c>
      <c r="O1990" s="74" t="b">
        <v>1</v>
      </c>
    </row>
    <row r="1991" hidden="1">
      <c r="A1991" s="82"/>
      <c r="B1991" s="65" t="s">
        <v>495</v>
      </c>
      <c r="C1991" s="65" t="s">
        <v>92</v>
      </c>
      <c r="D1991" s="65" t="str">
        <f>vlookup(C1991,'Classificação p pessoal'!F:G,2,false)</f>
        <v/>
      </c>
      <c r="E1991" s="65" t="s">
        <v>1225</v>
      </c>
      <c r="F1991" s="83">
        <v>0.375</v>
      </c>
      <c r="G1991" s="83">
        <v>0.4791666666666667</v>
      </c>
      <c r="H1991" s="83">
        <v>0.10416666666666667</v>
      </c>
      <c r="I1991" s="84">
        <v>44433.0</v>
      </c>
      <c r="J1991" s="65" t="b">
        <v>1</v>
      </c>
      <c r="K1991" s="65"/>
      <c r="L1991" s="85" t="b">
        <f>IF(VLOOKUP(C1991,Projetos!A:L,12,false)=TRUE,TRUE,FALSE)</f>
        <v>1</v>
      </c>
      <c r="M1991" s="74">
        <v>73.7079846079846</v>
      </c>
      <c r="N1991" s="74">
        <f t="shared" si="1"/>
        <v>184.2699615</v>
      </c>
      <c r="O1991" s="74" t="b">
        <v>1</v>
      </c>
    </row>
    <row r="1992" hidden="1">
      <c r="A1992" s="82"/>
      <c r="B1992" s="65" t="s">
        <v>495</v>
      </c>
      <c r="C1992" s="65" t="s">
        <v>92</v>
      </c>
      <c r="D1992" s="65" t="str">
        <f>vlookup(C1992,'Classificação p pessoal'!F:G,2,false)</f>
        <v/>
      </c>
      <c r="E1992" s="65" t="s">
        <v>1226</v>
      </c>
      <c r="F1992" s="83">
        <v>0.4791666666666667</v>
      </c>
      <c r="G1992" s="83">
        <v>0.5416666666666666</v>
      </c>
      <c r="H1992" s="83">
        <v>0.0625</v>
      </c>
      <c r="I1992" s="84">
        <v>44433.0</v>
      </c>
      <c r="J1992" s="65" t="b">
        <v>1</v>
      </c>
      <c r="K1992" s="65"/>
      <c r="L1992" s="85" t="b">
        <f>IF(VLOOKUP(C1992,Projetos!A:L,12,false)=TRUE,TRUE,FALSE)</f>
        <v>1</v>
      </c>
      <c r="M1992" s="74">
        <v>73.7079846079846</v>
      </c>
      <c r="N1992" s="74">
        <f t="shared" si="1"/>
        <v>110.5619769</v>
      </c>
      <c r="O1992" s="74" t="b">
        <v>1</v>
      </c>
    </row>
    <row r="1993" hidden="1">
      <c r="A1993" s="82"/>
      <c r="B1993" s="65" t="s">
        <v>495</v>
      </c>
      <c r="C1993" s="65" t="s">
        <v>92</v>
      </c>
      <c r="D1993" s="65" t="str">
        <f>vlookup(C1993,'Classificação p pessoal'!F:G,2,false)</f>
        <v/>
      </c>
      <c r="E1993" s="65" t="s">
        <v>1227</v>
      </c>
      <c r="F1993" s="83">
        <v>0.5833333333333334</v>
      </c>
      <c r="G1993" s="83">
        <v>0.625</v>
      </c>
      <c r="H1993" s="83">
        <v>0.041666666666666664</v>
      </c>
      <c r="I1993" s="84">
        <v>44433.0</v>
      </c>
      <c r="J1993" s="65" t="b">
        <v>1</v>
      </c>
      <c r="K1993" s="65"/>
      <c r="L1993" s="85" t="b">
        <f>IF(VLOOKUP(C1993,Projetos!A:L,12,false)=TRUE,TRUE,FALSE)</f>
        <v>1</v>
      </c>
      <c r="M1993" s="74">
        <v>73.7079846079846</v>
      </c>
      <c r="N1993" s="74">
        <f t="shared" si="1"/>
        <v>73.70798461</v>
      </c>
      <c r="O1993" s="74" t="b">
        <v>1</v>
      </c>
    </row>
    <row r="1994" hidden="1">
      <c r="A1994" s="82"/>
      <c r="B1994" s="65" t="s">
        <v>495</v>
      </c>
      <c r="C1994" s="65" t="s">
        <v>92</v>
      </c>
      <c r="D1994" s="65" t="str">
        <f>vlookup(C1994,'Classificação p pessoal'!F:G,2,false)</f>
        <v/>
      </c>
      <c r="E1994" s="65" t="s">
        <v>1219</v>
      </c>
      <c r="F1994" s="83">
        <v>0.625</v>
      </c>
      <c r="G1994" s="83">
        <v>0.6875</v>
      </c>
      <c r="H1994" s="83">
        <v>0.0625</v>
      </c>
      <c r="I1994" s="84">
        <v>44433.0</v>
      </c>
      <c r="J1994" s="65" t="b">
        <v>1</v>
      </c>
      <c r="K1994" s="65"/>
      <c r="L1994" s="85" t="b">
        <f>IF(VLOOKUP(C1994,Projetos!A:L,12,false)=TRUE,TRUE,FALSE)</f>
        <v>1</v>
      </c>
      <c r="M1994" s="74">
        <v>73.7079846079846</v>
      </c>
      <c r="N1994" s="74">
        <f t="shared" si="1"/>
        <v>110.5619769</v>
      </c>
      <c r="O1994" s="74" t="b">
        <v>1</v>
      </c>
    </row>
    <row r="1995" hidden="1">
      <c r="A1995" s="82"/>
      <c r="B1995" s="65" t="s">
        <v>495</v>
      </c>
      <c r="C1995" s="65" t="s">
        <v>117</v>
      </c>
      <c r="D1995" s="65" t="str">
        <f>vlookup(C1995,'Classificação p pessoal'!F:G,2,false)</f>
        <v>NP</v>
      </c>
      <c r="E1995" s="65" t="s">
        <v>1228</v>
      </c>
      <c r="F1995" s="83">
        <v>0.6875</v>
      </c>
      <c r="G1995" s="83">
        <v>0.7291666666666666</v>
      </c>
      <c r="H1995" s="83">
        <v>0.041666666666666664</v>
      </c>
      <c r="I1995" s="84">
        <v>44433.0</v>
      </c>
      <c r="J1995" s="65" t="b">
        <v>1</v>
      </c>
      <c r="K1995" s="65"/>
      <c r="L1995" s="85" t="b">
        <f>IF(VLOOKUP(C1995,Projetos!A:L,12,false)=TRUE,TRUE,FALSE)</f>
        <v>1</v>
      </c>
      <c r="M1995" s="74">
        <v>73.7079846079846</v>
      </c>
      <c r="N1995" s="74">
        <f t="shared" si="1"/>
        <v>73.70798461</v>
      </c>
      <c r="O1995" s="74" t="b">
        <v>1</v>
      </c>
    </row>
    <row r="1996" hidden="1">
      <c r="A1996" s="82"/>
      <c r="B1996" s="65" t="s">
        <v>495</v>
      </c>
      <c r="C1996" s="65" t="s">
        <v>100</v>
      </c>
      <c r="D1996" s="65" t="str">
        <f>vlookup(C1996,'Classificação p pessoal'!F:G,2,false)</f>
        <v>NP</v>
      </c>
      <c r="E1996" s="65" t="s">
        <v>1229</v>
      </c>
      <c r="F1996" s="83">
        <v>0.3541666666666667</v>
      </c>
      <c r="G1996" s="83">
        <v>0.40625</v>
      </c>
      <c r="H1996" s="83">
        <v>0.052083333333333336</v>
      </c>
      <c r="I1996" s="84">
        <v>44434.0</v>
      </c>
      <c r="J1996" s="65" t="b">
        <v>1</v>
      </c>
      <c r="K1996" s="65"/>
      <c r="L1996" s="85" t="b">
        <f>IF(VLOOKUP(C1996,Projetos!A:L,12,false)=TRUE,TRUE,FALSE)</f>
        <v>1</v>
      </c>
      <c r="M1996" s="74">
        <v>73.7079846079846</v>
      </c>
      <c r="N1996" s="74">
        <f t="shared" si="1"/>
        <v>92.13498076</v>
      </c>
      <c r="O1996" s="74" t="b">
        <v>1</v>
      </c>
    </row>
    <row r="1997" hidden="1">
      <c r="A1997" s="82"/>
      <c r="B1997" s="65" t="s">
        <v>495</v>
      </c>
      <c r="C1997" s="65" t="s">
        <v>92</v>
      </c>
      <c r="D1997" s="65" t="str">
        <f>vlookup(C1997,'Classificação p pessoal'!F:G,2,false)</f>
        <v/>
      </c>
      <c r="E1997" s="65" t="s">
        <v>1230</v>
      </c>
      <c r="F1997" s="83">
        <v>0.40625</v>
      </c>
      <c r="G1997" s="83">
        <v>0.4375</v>
      </c>
      <c r="H1997" s="83">
        <v>0.03125</v>
      </c>
      <c r="I1997" s="84">
        <v>44434.0</v>
      </c>
      <c r="J1997" s="65" t="b">
        <v>1</v>
      </c>
      <c r="K1997" s="65"/>
      <c r="L1997" s="85" t="b">
        <f>IF(VLOOKUP(C1997,Projetos!A:L,12,false)=TRUE,TRUE,FALSE)</f>
        <v>1</v>
      </c>
      <c r="M1997" s="74">
        <v>73.7079846079846</v>
      </c>
      <c r="N1997" s="74">
        <f t="shared" si="1"/>
        <v>55.28098846</v>
      </c>
      <c r="O1997" s="74" t="b">
        <v>1</v>
      </c>
    </row>
    <row r="1998" hidden="1">
      <c r="A1998" s="82"/>
      <c r="B1998" s="65" t="s">
        <v>495</v>
      </c>
      <c r="C1998" s="65" t="s">
        <v>92</v>
      </c>
      <c r="D1998" s="65" t="str">
        <f>vlookup(C1998,'Classificação p pessoal'!F:G,2,false)</f>
        <v/>
      </c>
      <c r="E1998" s="65" t="s">
        <v>1219</v>
      </c>
      <c r="F1998" s="83">
        <v>0.4583333333333333</v>
      </c>
      <c r="G1998" s="83">
        <v>0.5805555555555556</v>
      </c>
      <c r="H1998" s="83">
        <v>0.12222222222222222</v>
      </c>
      <c r="I1998" s="84">
        <v>44434.0</v>
      </c>
      <c r="J1998" s="65" t="b">
        <v>1</v>
      </c>
      <c r="K1998" s="65"/>
      <c r="L1998" s="85" t="b">
        <f>IF(VLOOKUP(C1998,Projetos!A:L,12,false)=TRUE,TRUE,FALSE)</f>
        <v>1</v>
      </c>
      <c r="M1998" s="74">
        <v>73.7079846079846</v>
      </c>
      <c r="N1998" s="74">
        <f t="shared" si="1"/>
        <v>216.2100882</v>
      </c>
      <c r="O1998" s="74" t="b">
        <v>1</v>
      </c>
    </row>
    <row r="1999" hidden="1">
      <c r="A1999" s="82"/>
      <c r="B1999" s="65" t="s">
        <v>495</v>
      </c>
      <c r="C1999" s="65" t="s">
        <v>92</v>
      </c>
      <c r="D1999" s="65" t="str">
        <f>vlookup(C1999,'Classificação p pessoal'!F:G,2,false)</f>
        <v/>
      </c>
      <c r="E1999" s="65" t="s">
        <v>1231</v>
      </c>
      <c r="F1999" s="83">
        <v>0.625</v>
      </c>
      <c r="G1999" s="83">
        <v>0.7083333333333334</v>
      </c>
      <c r="H1999" s="83">
        <v>0.08333333333333333</v>
      </c>
      <c r="I1999" s="84">
        <v>44434.0</v>
      </c>
      <c r="J1999" s="65" t="b">
        <v>1</v>
      </c>
      <c r="K1999" s="65"/>
      <c r="L1999" s="85" t="b">
        <f>IF(VLOOKUP(C1999,Projetos!A:L,12,false)=TRUE,TRUE,FALSE)</f>
        <v>1</v>
      </c>
      <c r="M1999" s="74">
        <v>73.7079846079846</v>
      </c>
      <c r="N1999" s="74">
        <f t="shared" si="1"/>
        <v>147.4159692</v>
      </c>
      <c r="O1999" s="74" t="b">
        <v>1</v>
      </c>
    </row>
    <row r="2000" hidden="1">
      <c r="A2000" s="82"/>
      <c r="B2000" s="65" t="s">
        <v>495</v>
      </c>
      <c r="C2000" s="65" t="s">
        <v>92</v>
      </c>
      <c r="D2000" s="65"/>
      <c r="E2000" s="65" t="s">
        <v>1232</v>
      </c>
      <c r="F2000" s="83">
        <v>0.4791666666666667</v>
      </c>
      <c r="G2000" s="83">
        <v>0.5</v>
      </c>
      <c r="H2000" s="83">
        <v>0.020833333333333332</v>
      </c>
      <c r="I2000" s="84">
        <v>44537.0</v>
      </c>
      <c r="J2000" s="65" t="b">
        <v>0</v>
      </c>
      <c r="K2000" s="65" t="s">
        <v>150</v>
      </c>
      <c r="L2000" s="85" t="b">
        <f>IF(VLOOKUP(C2000,Projetos!A:L,12,false)=TRUE,TRUE,FALSE)</f>
        <v>1</v>
      </c>
      <c r="M2000" s="74">
        <v>73.7079846079846</v>
      </c>
      <c r="N2000" s="74">
        <f t="shared" si="1"/>
        <v>0</v>
      </c>
      <c r="O2000" s="74" t="b">
        <v>1</v>
      </c>
    </row>
    <row r="2001" hidden="1">
      <c r="A2001" s="82"/>
      <c r="B2001" s="65" t="s">
        <v>495</v>
      </c>
      <c r="C2001" s="65" t="s">
        <v>92</v>
      </c>
      <c r="D2001" s="65" t="str">
        <f>vlookup(C2001,'Classificação p pessoal'!F:G,2,false)</f>
        <v/>
      </c>
      <c r="E2001" s="65" t="s">
        <v>1233</v>
      </c>
      <c r="F2001" s="83">
        <v>0.3541666666666667</v>
      </c>
      <c r="G2001" s="83">
        <v>0.4166666666666667</v>
      </c>
      <c r="H2001" s="83">
        <v>0.0625</v>
      </c>
      <c r="I2001" s="84">
        <v>44435.0</v>
      </c>
      <c r="J2001" s="65" t="b">
        <v>1</v>
      </c>
      <c r="K2001" s="65"/>
      <c r="L2001" s="85" t="b">
        <f>IF(VLOOKUP(C2001,Projetos!A:L,12,false)=TRUE,TRUE,FALSE)</f>
        <v>1</v>
      </c>
      <c r="M2001" s="74">
        <v>73.7079846079846</v>
      </c>
      <c r="N2001" s="74">
        <f t="shared" si="1"/>
        <v>110.5619769</v>
      </c>
      <c r="O2001" s="74" t="b">
        <v>1</v>
      </c>
    </row>
    <row r="2002" hidden="1">
      <c r="A2002" s="82"/>
      <c r="B2002" s="65" t="s">
        <v>495</v>
      </c>
      <c r="C2002" s="65" t="s">
        <v>92</v>
      </c>
      <c r="D2002" s="65" t="str">
        <f>vlookup(C2002,'Classificação p pessoal'!F:G,2,false)</f>
        <v/>
      </c>
      <c r="E2002" s="65" t="s">
        <v>1234</v>
      </c>
      <c r="F2002" s="83">
        <v>0.4583333333333333</v>
      </c>
      <c r="G2002" s="83">
        <v>0.5208333333333334</v>
      </c>
      <c r="H2002" s="83">
        <v>0.0625</v>
      </c>
      <c r="I2002" s="84">
        <v>44435.0</v>
      </c>
      <c r="J2002" s="65" t="b">
        <v>1</v>
      </c>
      <c r="K2002" s="65"/>
      <c r="L2002" s="85" t="b">
        <f>IF(VLOOKUP(C2002,Projetos!A:L,12,false)=TRUE,TRUE,FALSE)</f>
        <v>1</v>
      </c>
      <c r="M2002" s="74">
        <v>73.7079846079846</v>
      </c>
      <c r="N2002" s="74">
        <f t="shared" si="1"/>
        <v>110.5619769</v>
      </c>
      <c r="O2002" s="74" t="b">
        <v>1</v>
      </c>
    </row>
    <row r="2003" hidden="1">
      <c r="A2003" s="82"/>
      <c r="B2003" s="65" t="s">
        <v>495</v>
      </c>
      <c r="C2003" s="65" t="s">
        <v>92</v>
      </c>
      <c r="D2003" s="65"/>
      <c r="E2003" s="65" t="s">
        <v>1235</v>
      </c>
      <c r="F2003" s="83">
        <v>0.5208333333333334</v>
      </c>
      <c r="G2003" s="83">
        <v>0.5729166666666666</v>
      </c>
      <c r="H2003" s="83">
        <v>0.052083333333333336</v>
      </c>
      <c r="I2003" s="84">
        <v>44435.0</v>
      </c>
      <c r="J2003" s="65" t="b">
        <v>0</v>
      </c>
      <c r="K2003" s="65" t="s">
        <v>150</v>
      </c>
      <c r="L2003" s="85" t="b">
        <f>IF(VLOOKUP(C2003,Projetos!A:L,12,false)=TRUE,TRUE,FALSE)</f>
        <v>1</v>
      </c>
      <c r="M2003" s="74">
        <v>73.7079846079846</v>
      </c>
      <c r="N2003" s="74">
        <f t="shared" si="1"/>
        <v>0</v>
      </c>
      <c r="O2003" s="74" t="b">
        <v>1</v>
      </c>
    </row>
    <row r="2004" hidden="1">
      <c r="A2004" s="82"/>
      <c r="B2004" s="65" t="s">
        <v>495</v>
      </c>
      <c r="C2004" s="65" t="s">
        <v>92</v>
      </c>
      <c r="D2004" s="65"/>
      <c r="E2004" s="65" t="s">
        <v>1236</v>
      </c>
      <c r="F2004" s="83">
        <v>0.4166666666666667</v>
      </c>
      <c r="G2004" s="83">
        <v>0.4375</v>
      </c>
      <c r="H2004" s="83">
        <v>0.020833333333333332</v>
      </c>
      <c r="I2004" s="84">
        <v>44546.0</v>
      </c>
      <c r="J2004" s="65" t="b">
        <v>0</v>
      </c>
      <c r="K2004" s="65" t="s">
        <v>150</v>
      </c>
      <c r="L2004" s="85" t="b">
        <f>IF(VLOOKUP(C2004,Projetos!A:L,12,false)=TRUE,TRUE,FALSE)</f>
        <v>1</v>
      </c>
      <c r="M2004" s="74">
        <v>73.7079846079846</v>
      </c>
      <c r="N2004" s="74">
        <f t="shared" si="1"/>
        <v>0</v>
      </c>
      <c r="O2004" s="74" t="b">
        <v>1</v>
      </c>
    </row>
    <row r="2005" hidden="1">
      <c r="A2005" s="82"/>
      <c r="B2005" s="65" t="s">
        <v>495</v>
      </c>
      <c r="C2005" s="65" t="s">
        <v>92</v>
      </c>
      <c r="D2005" s="65" t="str">
        <f>vlookup(C2005,'Classificação p pessoal'!F:G,2,false)</f>
        <v/>
      </c>
      <c r="E2005" s="65" t="s">
        <v>1237</v>
      </c>
      <c r="F2005" s="83">
        <v>0.6770833333333334</v>
      </c>
      <c r="G2005" s="83">
        <v>0.75</v>
      </c>
      <c r="H2005" s="83">
        <v>0.07291666666666667</v>
      </c>
      <c r="I2005" s="84">
        <v>44435.0</v>
      </c>
      <c r="J2005" s="65" t="b">
        <v>1</v>
      </c>
      <c r="K2005" s="65"/>
      <c r="L2005" s="85" t="b">
        <f>IF(VLOOKUP(C2005,Projetos!A:L,12,false)=TRUE,TRUE,FALSE)</f>
        <v>1</v>
      </c>
      <c r="M2005" s="74">
        <v>73.7079846079846</v>
      </c>
      <c r="N2005" s="74">
        <f t="shared" si="1"/>
        <v>128.9889731</v>
      </c>
      <c r="O2005" s="74" t="b">
        <v>1</v>
      </c>
    </row>
    <row r="2006" hidden="1">
      <c r="A2006" s="82"/>
      <c r="B2006" s="65" t="s">
        <v>495</v>
      </c>
      <c r="C2006" s="65" t="s">
        <v>92</v>
      </c>
      <c r="D2006" s="65" t="str">
        <f>vlookup(C2006,'Classificação p pessoal'!F:G,2,false)</f>
        <v/>
      </c>
      <c r="E2006" s="65" t="s">
        <v>1238</v>
      </c>
      <c r="F2006" s="83">
        <v>0.3645833333333333</v>
      </c>
      <c r="G2006" s="83">
        <v>0.4583333333333333</v>
      </c>
      <c r="H2006" s="83">
        <v>0.09375</v>
      </c>
      <c r="I2006" s="84">
        <v>44438.0</v>
      </c>
      <c r="J2006" s="65" t="b">
        <v>1</v>
      </c>
      <c r="K2006" s="65"/>
      <c r="L2006" s="85" t="b">
        <f>IF(VLOOKUP(C2006,Projetos!A:L,12,false)=TRUE,TRUE,FALSE)</f>
        <v>1</v>
      </c>
      <c r="M2006" s="74">
        <v>73.7079846079846</v>
      </c>
      <c r="N2006" s="74">
        <f t="shared" si="1"/>
        <v>165.8429654</v>
      </c>
      <c r="O2006" s="74" t="b">
        <v>1</v>
      </c>
    </row>
    <row r="2007" hidden="1">
      <c r="A2007" s="82"/>
      <c r="B2007" s="65" t="s">
        <v>495</v>
      </c>
      <c r="C2007" s="65" t="s">
        <v>92</v>
      </c>
      <c r="D2007" s="65" t="str">
        <f>vlookup(C2007,'Classificação p pessoal'!F:G,2,false)</f>
        <v/>
      </c>
      <c r="E2007" s="65" t="s">
        <v>1239</v>
      </c>
      <c r="F2007" s="83">
        <v>0.4583333333333333</v>
      </c>
      <c r="G2007" s="83">
        <v>0.5416666666666666</v>
      </c>
      <c r="H2007" s="83">
        <v>0.08333333333333333</v>
      </c>
      <c r="I2007" s="84">
        <v>44438.0</v>
      </c>
      <c r="J2007" s="65" t="b">
        <v>1</v>
      </c>
      <c r="K2007" s="65"/>
      <c r="L2007" s="85" t="b">
        <f>IF(VLOOKUP(C2007,Projetos!A:L,12,false)=TRUE,TRUE,FALSE)</f>
        <v>1</v>
      </c>
      <c r="M2007" s="74">
        <v>73.7079846079846</v>
      </c>
      <c r="N2007" s="74">
        <f t="shared" si="1"/>
        <v>147.4159692</v>
      </c>
      <c r="O2007" s="74" t="b">
        <v>1</v>
      </c>
    </row>
    <row r="2008" hidden="1">
      <c r="A2008" s="82"/>
      <c r="B2008" s="65" t="s">
        <v>495</v>
      </c>
      <c r="C2008" s="65" t="s">
        <v>92</v>
      </c>
      <c r="D2008" s="65"/>
      <c r="E2008" s="65" t="s">
        <v>1240</v>
      </c>
      <c r="F2008" s="83">
        <v>0.5833333333333334</v>
      </c>
      <c r="G2008" s="83">
        <v>0.6458333333333334</v>
      </c>
      <c r="H2008" s="83">
        <v>0.0625</v>
      </c>
      <c r="I2008" s="84">
        <v>44438.0</v>
      </c>
      <c r="J2008" s="65" t="b">
        <v>0</v>
      </c>
      <c r="K2008" s="65" t="s">
        <v>150</v>
      </c>
      <c r="L2008" s="85" t="b">
        <f>IF(VLOOKUP(C2008,Projetos!A:L,12,false)=TRUE,TRUE,FALSE)</f>
        <v>1</v>
      </c>
      <c r="M2008" s="74">
        <v>73.7079846079846</v>
      </c>
      <c r="N2008" s="74">
        <f t="shared" si="1"/>
        <v>0</v>
      </c>
      <c r="O2008" s="74" t="b">
        <v>1</v>
      </c>
    </row>
    <row r="2009" hidden="1">
      <c r="A2009" s="82"/>
      <c r="B2009" s="65" t="s">
        <v>495</v>
      </c>
      <c r="C2009" s="65" t="s">
        <v>92</v>
      </c>
      <c r="D2009" s="65"/>
      <c r="E2009" s="65" t="s">
        <v>1241</v>
      </c>
      <c r="F2009" s="83">
        <v>0.71875</v>
      </c>
      <c r="G2009" s="83">
        <v>0.75</v>
      </c>
      <c r="H2009" s="83">
        <v>0.03125</v>
      </c>
      <c r="I2009" s="84">
        <v>44530.0</v>
      </c>
      <c r="J2009" s="65" t="b">
        <v>0</v>
      </c>
      <c r="K2009" s="65" t="s">
        <v>150</v>
      </c>
      <c r="L2009" s="85" t="b">
        <f>IF(VLOOKUP(C2009,Projetos!A:L,12,false)=TRUE,TRUE,FALSE)</f>
        <v>1</v>
      </c>
      <c r="M2009" s="74">
        <v>73.7079846079846</v>
      </c>
      <c r="N2009" s="74">
        <f t="shared" si="1"/>
        <v>0</v>
      </c>
      <c r="O2009" s="74" t="b">
        <v>1</v>
      </c>
    </row>
    <row r="2010" hidden="1">
      <c r="A2010" s="82"/>
      <c r="B2010" s="65" t="s">
        <v>495</v>
      </c>
      <c r="C2010" s="65" t="s">
        <v>92</v>
      </c>
      <c r="D2010" s="65" t="str">
        <f>vlookup(C2010,'Classificação p pessoal'!F:G,2,false)</f>
        <v/>
      </c>
      <c r="E2010" s="65" t="s">
        <v>1242</v>
      </c>
      <c r="F2010" s="83">
        <v>0.6979166666666666</v>
      </c>
      <c r="G2010" s="83">
        <v>0.75</v>
      </c>
      <c r="H2010" s="83">
        <v>0.052083333333333336</v>
      </c>
      <c r="I2010" s="84">
        <v>44438.0</v>
      </c>
      <c r="J2010" s="65" t="b">
        <v>1</v>
      </c>
      <c r="K2010" s="65"/>
      <c r="L2010" s="85" t="b">
        <f>IF(VLOOKUP(C2010,Projetos!A:L,12,false)=TRUE,TRUE,FALSE)</f>
        <v>1</v>
      </c>
      <c r="M2010" s="74">
        <v>73.7079846079846</v>
      </c>
      <c r="N2010" s="74">
        <f t="shared" si="1"/>
        <v>92.13498076</v>
      </c>
      <c r="O2010" s="74" t="b">
        <v>1</v>
      </c>
    </row>
    <row r="2011" hidden="1">
      <c r="A2011" s="82"/>
      <c r="B2011" s="65" t="s">
        <v>495</v>
      </c>
      <c r="C2011" s="65" t="s">
        <v>84</v>
      </c>
      <c r="D2011" s="65"/>
      <c r="E2011" s="65" t="s">
        <v>1243</v>
      </c>
      <c r="F2011" s="83">
        <v>0.3541666666666667</v>
      </c>
      <c r="G2011" s="83">
        <v>0.3958333333333333</v>
      </c>
      <c r="H2011" s="83">
        <v>0.041666666666666664</v>
      </c>
      <c r="I2011" s="84">
        <v>44439.0</v>
      </c>
      <c r="J2011" s="65" t="b">
        <v>0</v>
      </c>
      <c r="K2011" s="65"/>
      <c r="L2011" s="85" t="b">
        <f>IF(VLOOKUP(C2011,Projetos!A:L,12,false)=TRUE,TRUE,FALSE)</f>
        <v>0</v>
      </c>
      <c r="M2011" s="74">
        <v>73.7079846079846</v>
      </c>
      <c r="N2011" s="74">
        <f t="shared" si="1"/>
        <v>0</v>
      </c>
      <c r="O2011" s="74" t="b">
        <v>0</v>
      </c>
    </row>
    <row r="2012" hidden="1">
      <c r="A2012" s="82"/>
      <c r="B2012" s="65" t="s">
        <v>495</v>
      </c>
      <c r="C2012" s="65" t="s">
        <v>84</v>
      </c>
      <c r="D2012" s="65"/>
      <c r="E2012" s="65" t="s">
        <v>1244</v>
      </c>
      <c r="F2012" s="83">
        <v>0.7083333333333334</v>
      </c>
      <c r="G2012" s="83">
        <v>0.75</v>
      </c>
      <c r="H2012" s="83">
        <v>0.041666666666666664</v>
      </c>
      <c r="I2012" s="84">
        <v>44434.0</v>
      </c>
      <c r="J2012" s="65" t="b">
        <v>0</v>
      </c>
      <c r="K2012" s="65" t="s">
        <v>150</v>
      </c>
      <c r="L2012" s="85" t="b">
        <f>IF(VLOOKUP(C2012,Projetos!A:L,12,false)=TRUE,TRUE,FALSE)</f>
        <v>0</v>
      </c>
      <c r="M2012" s="74">
        <v>73.7079846079846</v>
      </c>
      <c r="N2012" s="74">
        <f t="shared" si="1"/>
        <v>0</v>
      </c>
      <c r="O2012" s="74" t="b">
        <v>0</v>
      </c>
    </row>
    <row r="2013" hidden="1">
      <c r="A2013" s="82"/>
      <c r="B2013" s="65" t="s">
        <v>495</v>
      </c>
      <c r="C2013" s="65" t="s">
        <v>117</v>
      </c>
      <c r="D2013" s="65" t="str">
        <f>vlookup(C2013,'Classificação p pessoal'!F:G,2,false)</f>
        <v>NP</v>
      </c>
      <c r="E2013" s="65" t="s">
        <v>1245</v>
      </c>
      <c r="F2013" s="83">
        <v>0.4513888888888889</v>
      </c>
      <c r="G2013" s="83">
        <v>0.5</v>
      </c>
      <c r="H2013" s="83">
        <v>0.04861111111111111</v>
      </c>
      <c r="I2013" s="84">
        <v>44439.0</v>
      </c>
      <c r="J2013" s="65" t="b">
        <v>1</v>
      </c>
      <c r="K2013" s="65"/>
      <c r="L2013" s="85" t="b">
        <f>IF(VLOOKUP(C2013,Projetos!A:L,12,false)=TRUE,TRUE,FALSE)</f>
        <v>1</v>
      </c>
      <c r="M2013" s="74">
        <v>73.7079846079846</v>
      </c>
      <c r="N2013" s="74">
        <f t="shared" si="1"/>
        <v>85.99264871</v>
      </c>
      <c r="O2013" s="74" t="b">
        <v>1</v>
      </c>
    </row>
    <row r="2014" hidden="1">
      <c r="A2014" s="82"/>
      <c r="B2014" s="65" t="s">
        <v>495</v>
      </c>
      <c r="C2014" s="65" t="s">
        <v>92</v>
      </c>
      <c r="D2014" s="65" t="str">
        <f>vlookup(C2014,'Classificação p pessoal'!F:G,2,false)</f>
        <v/>
      </c>
      <c r="E2014" s="65" t="s">
        <v>1246</v>
      </c>
      <c r="F2014" s="83">
        <v>0.5</v>
      </c>
      <c r="G2014" s="83">
        <v>0.5729166666666666</v>
      </c>
      <c r="H2014" s="83">
        <v>0.07291666666666667</v>
      </c>
      <c r="I2014" s="84">
        <v>44439.0</v>
      </c>
      <c r="J2014" s="65" t="b">
        <v>1</v>
      </c>
      <c r="K2014" s="65"/>
      <c r="L2014" s="85" t="b">
        <f>IF(VLOOKUP(C2014,Projetos!A:L,12,false)=TRUE,TRUE,FALSE)</f>
        <v>1</v>
      </c>
      <c r="M2014" s="74">
        <v>73.7079846079846</v>
      </c>
      <c r="N2014" s="74">
        <f t="shared" si="1"/>
        <v>128.9889731</v>
      </c>
      <c r="O2014" s="74" t="b">
        <v>1</v>
      </c>
    </row>
    <row r="2015" hidden="1">
      <c r="A2015" s="82"/>
      <c r="B2015" s="65" t="s">
        <v>495</v>
      </c>
      <c r="C2015" s="65" t="s">
        <v>92</v>
      </c>
      <c r="D2015" s="65" t="str">
        <f>vlookup(C2015,'Classificação p pessoal'!F:G,2,false)</f>
        <v/>
      </c>
      <c r="E2015" s="65" t="s">
        <v>1247</v>
      </c>
      <c r="F2015" s="83">
        <v>0.6145833333333334</v>
      </c>
      <c r="G2015" s="83">
        <v>0.75</v>
      </c>
      <c r="H2015" s="83">
        <v>0.13541666666666666</v>
      </c>
      <c r="I2015" s="84">
        <v>44439.0</v>
      </c>
      <c r="J2015" s="65" t="b">
        <v>1</v>
      </c>
      <c r="K2015" s="65"/>
      <c r="L2015" s="85" t="b">
        <f>IF(VLOOKUP(C2015,Projetos!A:L,12,false)=TRUE,TRUE,FALSE)</f>
        <v>1</v>
      </c>
      <c r="M2015" s="74">
        <v>73.7079846079846</v>
      </c>
      <c r="N2015" s="74">
        <f t="shared" si="1"/>
        <v>239.55095</v>
      </c>
      <c r="O2015" s="74" t="b">
        <v>1</v>
      </c>
    </row>
    <row r="2016" hidden="1">
      <c r="A2016" s="82"/>
      <c r="B2016" s="65" t="s">
        <v>495</v>
      </c>
      <c r="C2016" s="65" t="s">
        <v>92</v>
      </c>
      <c r="D2016" s="65"/>
      <c r="E2016" s="65" t="s">
        <v>1248</v>
      </c>
      <c r="F2016" s="83">
        <v>0.7291666666666666</v>
      </c>
      <c r="G2016" s="83">
        <v>0.75</v>
      </c>
      <c r="H2016" s="83">
        <v>0.020833333333333332</v>
      </c>
      <c r="I2016" s="84">
        <v>44495.0</v>
      </c>
      <c r="J2016" s="65" t="b">
        <v>0</v>
      </c>
      <c r="K2016" s="65" t="s">
        <v>150</v>
      </c>
      <c r="L2016" s="85" t="b">
        <f>IF(VLOOKUP(C2016,Projetos!A:L,12,false)=TRUE,TRUE,FALSE)</f>
        <v>1</v>
      </c>
      <c r="M2016" s="74">
        <v>73.7079846079846</v>
      </c>
      <c r="N2016" s="74">
        <f t="shared" si="1"/>
        <v>0</v>
      </c>
      <c r="O2016" s="74" t="b">
        <v>1</v>
      </c>
    </row>
    <row r="2017" hidden="1">
      <c r="A2017" s="82"/>
      <c r="B2017" s="65" t="s">
        <v>495</v>
      </c>
      <c r="C2017" s="65" t="s">
        <v>92</v>
      </c>
      <c r="D2017" s="65" t="str">
        <f>vlookup(C2017,'Classificação p pessoal'!F:G,2,false)</f>
        <v/>
      </c>
      <c r="E2017" s="65" t="s">
        <v>1249</v>
      </c>
      <c r="F2017" s="83">
        <v>0.4791666666666667</v>
      </c>
      <c r="G2017" s="83">
        <v>0.5416666666666666</v>
      </c>
      <c r="H2017" s="83">
        <v>0.0625</v>
      </c>
      <c r="I2017" s="84">
        <v>44440.0</v>
      </c>
      <c r="J2017" s="65" t="b">
        <v>1</v>
      </c>
      <c r="K2017" s="65"/>
      <c r="L2017" s="85" t="b">
        <f>IF(VLOOKUP(C2017,Projetos!A:L,12,false)=TRUE,TRUE,FALSE)</f>
        <v>1</v>
      </c>
      <c r="M2017" s="74">
        <v>73.7079846079846</v>
      </c>
      <c r="N2017" s="74">
        <f t="shared" si="1"/>
        <v>110.5619769</v>
      </c>
      <c r="O2017" s="74" t="b">
        <v>1</v>
      </c>
    </row>
    <row r="2018" hidden="1">
      <c r="A2018" s="82"/>
      <c r="B2018" s="65" t="s">
        <v>495</v>
      </c>
      <c r="C2018" s="65" t="s">
        <v>121</v>
      </c>
      <c r="D2018" s="65" t="str">
        <f>vlookup(C2018,'Classificação p pessoal'!F:G,2,false)</f>
        <v>NP</v>
      </c>
      <c r="E2018" s="65" t="s">
        <v>1250</v>
      </c>
      <c r="F2018" s="83">
        <v>0.5833333333333334</v>
      </c>
      <c r="G2018" s="83">
        <v>0.625</v>
      </c>
      <c r="H2018" s="83">
        <v>0.041666666666666664</v>
      </c>
      <c r="I2018" s="84">
        <v>44440.0</v>
      </c>
      <c r="J2018" s="65" t="b">
        <v>1</v>
      </c>
      <c r="K2018" s="65"/>
      <c r="L2018" s="85" t="b">
        <f>IF(VLOOKUP(C2018,Projetos!A:L,12,false)=TRUE,TRUE,FALSE)</f>
        <v>1</v>
      </c>
      <c r="M2018" s="74">
        <v>73.7079846079846</v>
      </c>
      <c r="N2018" s="74">
        <f t="shared" si="1"/>
        <v>73.70798461</v>
      </c>
      <c r="O2018" s="74" t="b">
        <v>1</v>
      </c>
    </row>
    <row r="2019">
      <c r="A2019" s="82"/>
      <c r="B2019" s="65" t="s">
        <v>495</v>
      </c>
      <c r="C2019" s="65" t="s">
        <v>108</v>
      </c>
      <c r="D2019" s="65" t="str">
        <f>vlookup(C2019,'Classificação p pessoal'!F:G,2,false)</f>
        <v>NP</v>
      </c>
      <c r="E2019" s="65" t="s">
        <v>1251</v>
      </c>
      <c r="F2019" s="83">
        <v>0.6666666666666666</v>
      </c>
      <c r="G2019" s="83">
        <v>0.75</v>
      </c>
      <c r="H2019" s="83">
        <v>0.08333333333333333</v>
      </c>
      <c r="I2019" s="84">
        <v>44440.0</v>
      </c>
      <c r="J2019" s="65" t="b">
        <v>1</v>
      </c>
      <c r="K2019" s="65"/>
      <c r="L2019" s="85" t="b">
        <f>IF(VLOOKUP(C2019,Projetos!A:L,12,false)=TRUE,TRUE,FALSE)</f>
        <v>1</v>
      </c>
      <c r="M2019" s="74">
        <v>73.7079846079846</v>
      </c>
      <c r="N2019" s="74">
        <f t="shared" si="1"/>
        <v>147.4159692</v>
      </c>
      <c r="O2019" s="74" t="b">
        <v>1</v>
      </c>
    </row>
    <row r="2020" hidden="1">
      <c r="A2020" s="82"/>
      <c r="B2020" s="65" t="s">
        <v>495</v>
      </c>
      <c r="C2020" s="65" t="s">
        <v>92</v>
      </c>
      <c r="D2020" s="65" t="str">
        <f>vlookup(C2020,'Classificação p pessoal'!F:G,2,false)</f>
        <v/>
      </c>
      <c r="E2020" s="65" t="s">
        <v>1252</v>
      </c>
      <c r="F2020" s="83">
        <v>0.3541666666666667</v>
      </c>
      <c r="G2020" s="83">
        <v>0.40625</v>
      </c>
      <c r="H2020" s="83">
        <v>0.052083333333333336</v>
      </c>
      <c r="I2020" s="84">
        <v>44441.0</v>
      </c>
      <c r="J2020" s="65" t="b">
        <v>1</v>
      </c>
      <c r="K2020" s="65"/>
      <c r="L2020" s="85" t="b">
        <f>IF(VLOOKUP(C2020,Projetos!A:L,12,false)=TRUE,TRUE,FALSE)</f>
        <v>1</v>
      </c>
      <c r="M2020" s="74">
        <v>73.7079846079846</v>
      </c>
      <c r="N2020" s="74">
        <f t="shared" si="1"/>
        <v>92.13498076</v>
      </c>
      <c r="O2020" s="74" t="b">
        <v>1</v>
      </c>
    </row>
    <row r="2021" hidden="1">
      <c r="A2021" s="82"/>
      <c r="B2021" s="65" t="s">
        <v>495</v>
      </c>
      <c r="C2021" s="65" t="s">
        <v>84</v>
      </c>
      <c r="D2021" s="65"/>
      <c r="E2021" s="65" t="s">
        <v>1253</v>
      </c>
      <c r="F2021" s="83">
        <v>0.40625</v>
      </c>
      <c r="G2021" s="83">
        <v>0.5</v>
      </c>
      <c r="H2021" s="83">
        <v>0.09375</v>
      </c>
      <c r="I2021" s="84">
        <v>44441.0</v>
      </c>
      <c r="J2021" s="65" t="b">
        <v>0</v>
      </c>
      <c r="K2021" s="65"/>
      <c r="L2021" s="85" t="b">
        <f>IF(VLOOKUP(C2021,Projetos!A:L,12,false)=TRUE,TRUE,FALSE)</f>
        <v>0</v>
      </c>
      <c r="M2021" s="74">
        <v>73.7079846079846</v>
      </c>
      <c r="N2021" s="74">
        <f t="shared" si="1"/>
        <v>0</v>
      </c>
      <c r="O2021" s="74" t="b">
        <v>0</v>
      </c>
    </row>
    <row r="2022" hidden="1">
      <c r="A2022" s="82"/>
      <c r="B2022" s="65" t="s">
        <v>495</v>
      </c>
      <c r="C2022" s="65" t="s">
        <v>92</v>
      </c>
      <c r="D2022" s="65" t="str">
        <f>vlookup(C2022,'Classificação p pessoal'!F:G,2,false)</f>
        <v/>
      </c>
      <c r="E2022" s="65" t="s">
        <v>1254</v>
      </c>
      <c r="F2022" s="83">
        <v>0.5</v>
      </c>
      <c r="G2022" s="83">
        <v>0.5763888888888888</v>
      </c>
      <c r="H2022" s="83">
        <v>0.0763888888888889</v>
      </c>
      <c r="I2022" s="84">
        <v>44441.0</v>
      </c>
      <c r="J2022" s="65" t="b">
        <v>1</v>
      </c>
      <c r="K2022" s="65"/>
      <c r="L2022" s="85" t="b">
        <f>IF(VLOOKUP(C2022,Projetos!A:L,12,false)=TRUE,TRUE,FALSE)</f>
        <v>1</v>
      </c>
      <c r="M2022" s="74">
        <v>73.7079846079846</v>
      </c>
      <c r="N2022" s="74">
        <f t="shared" si="1"/>
        <v>135.1313051</v>
      </c>
      <c r="O2022" s="74" t="b">
        <v>1</v>
      </c>
    </row>
    <row r="2023" hidden="1">
      <c r="A2023" s="82"/>
      <c r="B2023" s="65" t="s">
        <v>495</v>
      </c>
      <c r="C2023" s="65" t="s">
        <v>92</v>
      </c>
      <c r="D2023" s="65" t="str">
        <f>vlookup(C2023,'Classificação p pessoal'!F:G,2,false)</f>
        <v/>
      </c>
      <c r="E2023" s="65" t="s">
        <v>834</v>
      </c>
      <c r="F2023" s="83">
        <v>0.6180555555555556</v>
      </c>
      <c r="G2023" s="83">
        <v>0.6527777777777778</v>
      </c>
      <c r="H2023" s="83">
        <v>0.034722222222222224</v>
      </c>
      <c r="I2023" s="84">
        <v>44441.0</v>
      </c>
      <c r="J2023" s="65" t="b">
        <v>1</v>
      </c>
      <c r="K2023" s="65"/>
      <c r="L2023" s="85" t="b">
        <f>IF(VLOOKUP(C2023,Projetos!A:L,12,false)=TRUE,TRUE,FALSE)</f>
        <v>1</v>
      </c>
      <c r="M2023" s="74">
        <v>73.7079846079846</v>
      </c>
      <c r="N2023" s="74">
        <f t="shared" si="1"/>
        <v>61.42332051</v>
      </c>
      <c r="O2023" s="74" t="b">
        <v>1</v>
      </c>
    </row>
    <row r="2024" hidden="1">
      <c r="A2024" s="82"/>
      <c r="B2024" s="65" t="s">
        <v>495</v>
      </c>
      <c r="C2024" s="65" t="s">
        <v>117</v>
      </c>
      <c r="D2024" s="65" t="str">
        <f>vlookup(C2024,'Classificação p pessoal'!F:G,2,false)</f>
        <v>NP</v>
      </c>
      <c r="E2024" s="65" t="s">
        <v>1255</v>
      </c>
      <c r="F2024" s="83">
        <v>0.6527777777777778</v>
      </c>
      <c r="G2024" s="83">
        <v>0.75</v>
      </c>
      <c r="H2024" s="83">
        <v>0.09722222222222222</v>
      </c>
      <c r="I2024" s="84">
        <v>44441.0</v>
      </c>
      <c r="J2024" s="65" t="b">
        <v>1</v>
      </c>
      <c r="K2024" s="65"/>
      <c r="L2024" s="85" t="b">
        <f>IF(VLOOKUP(C2024,Projetos!A:L,12,false)=TRUE,TRUE,FALSE)</f>
        <v>1</v>
      </c>
      <c r="M2024" s="74">
        <v>73.7079846079846</v>
      </c>
      <c r="N2024" s="74">
        <f t="shared" si="1"/>
        <v>171.9852974</v>
      </c>
      <c r="O2024" s="74" t="b">
        <v>1</v>
      </c>
    </row>
    <row r="2025" hidden="1">
      <c r="A2025" s="82"/>
      <c r="B2025" s="65" t="s">
        <v>495</v>
      </c>
      <c r="C2025" s="65" t="s">
        <v>117</v>
      </c>
      <c r="D2025" s="65" t="str">
        <f>vlookup(C2025,'Classificação p pessoal'!F:G,2,false)</f>
        <v>NP</v>
      </c>
      <c r="E2025" s="65" t="s">
        <v>1256</v>
      </c>
      <c r="F2025" s="83">
        <v>0.3576388888888889</v>
      </c>
      <c r="G2025" s="83">
        <v>0.375</v>
      </c>
      <c r="H2025" s="83">
        <v>0.017361111111111112</v>
      </c>
      <c r="I2025" s="84">
        <v>44442.0</v>
      </c>
      <c r="J2025" s="65" t="b">
        <v>1</v>
      </c>
      <c r="K2025" s="65"/>
      <c r="L2025" s="85" t="b">
        <f>IF(VLOOKUP(C2025,Projetos!A:L,12,false)=TRUE,TRUE,FALSE)</f>
        <v>1</v>
      </c>
      <c r="M2025" s="74">
        <v>73.7079846079846</v>
      </c>
      <c r="N2025" s="74">
        <f t="shared" si="1"/>
        <v>30.71166025</v>
      </c>
      <c r="O2025" s="74" t="b">
        <v>1</v>
      </c>
    </row>
    <row r="2026" hidden="1">
      <c r="A2026" s="82"/>
      <c r="B2026" s="65" t="s">
        <v>495</v>
      </c>
      <c r="C2026" s="65" t="s">
        <v>117</v>
      </c>
      <c r="D2026" s="65"/>
      <c r="E2026" s="65" t="s">
        <v>1257</v>
      </c>
      <c r="F2026" s="83">
        <v>0.4375</v>
      </c>
      <c r="G2026" s="83">
        <v>0.4583333333333333</v>
      </c>
      <c r="H2026" s="83">
        <v>0.020833333333333332</v>
      </c>
      <c r="I2026" s="84">
        <v>44474.0</v>
      </c>
      <c r="J2026" s="65" t="b">
        <v>0</v>
      </c>
      <c r="K2026" s="65" t="s">
        <v>150</v>
      </c>
      <c r="L2026" s="85" t="b">
        <f>IF(VLOOKUP(C2026,Projetos!A:L,12,false)=TRUE,TRUE,FALSE)</f>
        <v>1</v>
      </c>
      <c r="M2026" s="74">
        <v>73.7079846079846</v>
      </c>
      <c r="N2026" s="74">
        <f t="shared" si="1"/>
        <v>0</v>
      </c>
      <c r="O2026" s="74" t="b">
        <v>1</v>
      </c>
    </row>
    <row r="2027" hidden="1">
      <c r="A2027" s="82"/>
      <c r="B2027" s="65" t="s">
        <v>495</v>
      </c>
      <c r="C2027" s="65" t="s">
        <v>100</v>
      </c>
      <c r="D2027" s="65" t="str">
        <f>vlookup(C2027,'Classificação p pessoal'!F:G,2,false)</f>
        <v>NP</v>
      </c>
      <c r="E2027" s="65" t="s">
        <v>1258</v>
      </c>
      <c r="F2027" s="83">
        <v>0.4583333333333333</v>
      </c>
      <c r="G2027" s="83">
        <v>0.5416666666666666</v>
      </c>
      <c r="H2027" s="83">
        <v>0.08333333333333333</v>
      </c>
      <c r="I2027" s="84">
        <v>44442.0</v>
      </c>
      <c r="J2027" s="65" t="b">
        <v>1</v>
      </c>
      <c r="K2027" s="65"/>
      <c r="L2027" s="85" t="b">
        <f>IF(VLOOKUP(C2027,Projetos!A:L,12,false)=TRUE,TRUE,FALSE)</f>
        <v>1</v>
      </c>
      <c r="M2027" s="74">
        <v>73.7079846079846</v>
      </c>
      <c r="N2027" s="74">
        <f t="shared" si="1"/>
        <v>147.4159692</v>
      </c>
      <c r="O2027" s="74" t="b">
        <v>1</v>
      </c>
    </row>
    <row r="2028" hidden="1">
      <c r="A2028" s="82"/>
      <c r="B2028" s="65" t="s">
        <v>495</v>
      </c>
      <c r="C2028" s="65" t="s">
        <v>92</v>
      </c>
      <c r="D2028" s="65" t="str">
        <f>vlookup(C2028,'Classificação p pessoal'!F:G,2,false)</f>
        <v/>
      </c>
      <c r="E2028" s="65" t="s">
        <v>1259</v>
      </c>
      <c r="F2028" s="83">
        <v>0.5416666666666666</v>
      </c>
      <c r="G2028" s="83">
        <v>0.5833333333333334</v>
      </c>
      <c r="H2028" s="83">
        <v>0.041666666666666664</v>
      </c>
      <c r="I2028" s="84">
        <v>44442.0</v>
      </c>
      <c r="J2028" s="65" t="b">
        <v>1</v>
      </c>
      <c r="K2028" s="65"/>
      <c r="L2028" s="85" t="b">
        <f>IF(VLOOKUP(C2028,Projetos!A:L,12,false)=TRUE,TRUE,FALSE)</f>
        <v>1</v>
      </c>
      <c r="M2028" s="74">
        <v>73.7079846079846</v>
      </c>
      <c r="N2028" s="74">
        <f t="shared" si="1"/>
        <v>73.70798461</v>
      </c>
      <c r="O2028" s="74" t="b">
        <v>1</v>
      </c>
    </row>
    <row r="2029" hidden="1">
      <c r="A2029" s="82"/>
      <c r="B2029" s="65" t="s">
        <v>495</v>
      </c>
      <c r="C2029" s="65" t="s">
        <v>92</v>
      </c>
      <c r="D2029" s="65" t="str">
        <f>vlookup(C2029,'Classificação p pessoal'!F:G,2,false)</f>
        <v/>
      </c>
      <c r="E2029" s="65" t="s">
        <v>1260</v>
      </c>
      <c r="F2029" s="83">
        <v>0.625</v>
      </c>
      <c r="G2029" s="83">
        <v>0.75</v>
      </c>
      <c r="H2029" s="83">
        <v>0.125</v>
      </c>
      <c r="I2029" s="84">
        <v>44442.0</v>
      </c>
      <c r="J2029" s="65" t="b">
        <v>1</v>
      </c>
      <c r="K2029" s="65"/>
      <c r="L2029" s="85" t="b">
        <f>IF(VLOOKUP(C2029,Projetos!A:L,12,false)=TRUE,TRUE,FALSE)</f>
        <v>1</v>
      </c>
      <c r="M2029" s="74">
        <v>73.7079846079846</v>
      </c>
      <c r="N2029" s="74">
        <f t="shared" si="1"/>
        <v>221.1239538</v>
      </c>
      <c r="O2029" s="74" t="b">
        <v>1</v>
      </c>
    </row>
    <row r="2030" hidden="1">
      <c r="A2030" s="82"/>
      <c r="B2030" s="65" t="s">
        <v>495</v>
      </c>
      <c r="C2030" s="65" t="s">
        <v>92</v>
      </c>
      <c r="D2030" s="65" t="str">
        <f>vlookup(C2030,'Classificação p pessoal'!F:G,2,false)</f>
        <v/>
      </c>
      <c r="E2030" s="65" t="s">
        <v>1261</v>
      </c>
      <c r="F2030" s="83">
        <v>0.3541666666666667</v>
      </c>
      <c r="G2030" s="83">
        <v>0.375</v>
      </c>
      <c r="H2030" s="83">
        <v>0.020833333333333332</v>
      </c>
      <c r="I2030" s="84">
        <v>44445.0</v>
      </c>
      <c r="J2030" s="65" t="b">
        <v>1</v>
      </c>
      <c r="K2030" s="65"/>
      <c r="L2030" s="85" t="b">
        <f>IF(VLOOKUP(C2030,Projetos!A:L,12,false)=TRUE,TRUE,FALSE)</f>
        <v>1</v>
      </c>
      <c r="M2030" s="74">
        <v>73.7079846079846</v>
      </c>
      <c r="N2030" s="74">
        <f t="shared" si="1"/>
        <v>36.8539923</v>
      </c>
      <c r="O2030" s="74" t="b">
        <v>1</v>
      </c>
    </row>
    <row r="2031" hidden="1">
      <c r="A2031" s="82"/>
      <c r="B2031" s="65" t="s">
        <v>495</v>
      </c>
      <c r="C2031" s="65" t="s">
        <v>92</v>
      </c>
      <c r="D2031" s="65" t="str">
        <f>vlookup(C2031,'Classificação p pessoal'!F:G,2,false)</f>
        <v/>
      </c>
      <c r="E2031" s="65" t="s">
        <v>1262</v>
      </c>
      <c r="F2031" s="83">
        <v>0.375</v>
      </c>
      <c r="G2031" s="83">
        <v>0.5</v>
      </c>
      <c r="H2031" s="83">
        <v>0.125</v>
      </c>
      <c r="I2031" s="84">
        <v>44445.0</v>
      </c>
      <c r="J2031" s="65" t="b">
        <v>1</v>
      </c>
      <c r="K2031" s="65"/>
      <c r="L2031" s="85" t="b">
        <f>IF(VLOOKUP(C2031,Projetos!A:L,12,false)=TRUE,TRUE,FALSE)</f>
        <v>1</v>
      </c>
      <c r="M2031" s="74">
        <v>73.7079846079846</v>
      </c>
      <c r="N2031" s="74">
        <f t="shared" si="1"/>
        <v>221.1239538</v>
      </c>
      <c r="O2031" s="74" t="b">
        <v>1</v>
      </c>
    </row>
    <row r="2032" hidden="1">
      <c r="A2032" s="82"/>
      <c r="B2032" s="65" t="s">
        <v>495</v>
      </c>
      <c r="C2032" s="65" t="s">
        <v>92</v>
      </c>
      <c r="D2032" s="65" t="str">
        <f>vlookup(C2032,'Classificação p pessoal'!F:G,2,false)</f>
        <v/>
      </c>
      <c r="E2032" s="65" t="s">
        <v>1263</v>
      </c>
      <c r="F2032" s="83">
        <v>0.5</v>
      </c>
      <c r="G2032" s="83">
        <v>0.5729166666666666</v>
      </c>
      <c r="H2032" s="83">
        <v>0.07291666666666667</v>
      </c>
      <c r="I2032" s="84">
        <v>44445.0</v>
      </c>
      <c r="J2032" s="65" t="b">
        <v>1</v>
      </c>
      <c r="K2032" s="65"/>
      <c r="L2032" s="85" t="b">
        <f>IF(VLOOKUP(C2032,Projetos!A:L,12,false)=TRUE,TRUE,FALSE)</f>
        <v>1</v>
      </c>
      <c r="M2032" s="74">
        <v>73.7079846079846</v>
      </c>
      <c r="N2032" s="74">
        <f t="shared" si="1"/>
        <v>128.9889731</v>
      </c>
      <c r="O2032" s="74" t="b">
        <v>1</v>
      </c>
    </row>
    <row r="2033" hidden="1">
      <c r="A2033" s="82"/>
      <c r="B2033" s="65" t="s">
        <v>495</v>
      </c>
      <c r="C2033" s="65" t="s">
        <v>92</v>
      </c>
      <c r="D2033" s="65" t="str">
        <f>vlookup(C2033,'Classificação p pessoal'!F:G,2,false)</f>
        <v/>
      </c>
      <c r="E2033" s="65" t="s">
        <v>1263</v>
      </c>
      <c r="F2033" s="83">
        <v>0.6145833333333334</v>
      </c>
      <c r="G2033" s="83">
        <v>0.7083333333333334</v>
      </c>
      <c r="H2033" s="83">
        <v>0.09375</v>
      </c>
      <c r="I2033" s="84">
        <v>44445.0</v>
      </c>
      <c r="J2033" s="65" t="b">
        <v>1</v>
      </c>
      <c r="K2033" s="65"/>
      <c r="L2033" s="85" t="b">
        <f>IF(VLOOKUP(C2033,Projetos!A:L,12,false)=TRUE,TRUE,FALSE)</f>
        <v>1</v>
      </c>
      <c r="M2033" s="74">
        <v>73.7079846079846</v>
      </c>
      <c r="N2033" s="74">
        <f t="shared" si="1"/>
        <v>165.8429654</v>
      </c>
      <c r="O2033" s="74" t="b">
        <v>1</v>
      </c>
    </row>
    <row r="2034" hidden="1">
      <c r="A2034" s="82"/>
      <c r="B2034" s="65" t="s">
        <v>495</v>
      </c>
      <c r="C2034" s="65" t="s">
        <v>92</v>
      </c>
      <c r="D2034" s="65"/>
      <c r="E2034" s="65" t="s">
        <v>1257</v>
      </c>
      <c r="F2034" s="83">
        <v>0.7256944444444444</v>
      </c>
      <c r="G2034" s="83">
        <v>0.75</v>
      </c>
      <c r="H2034" s="83">
        <v>0.024305555555555556</v>
      </c>
      <c r="I2034" s="84">
        <v>44488.0</v>
      </c>
      <c r="J2034" s="65" t="b">
        <v>0</v>
      </c>
      <c r="K2034" s="65" t="s">
        <v>150</v>
      </c>
      <c r="L2034" s="85" t="b">
        <f>IF(VLOOKUP(C2034,Projetos!A:L,12,false)=TRUE,TRUE,FALSE)</f>
        <v>1</v>
      </c>
      <c r="M2034" s="74">
        <v>73.7079846079846</v>
      </c>
      <c r="N2034" s="74">
        <f t="shared" si="1"/>
        <v>0</v>
      </c>
      <c r="O2034" s="74" t="b">
        <v>1</v>
      </c>
    </row>
    <row r="2035" hidden="1">
      <c r="A2035" s="82"/>
      <c r="B2035" s="65" t="s">
        <v>495</v>
      </c>
      <c r="C2035" s="65" t="s">
        <v>92</v>
      </c>
      <c r="D2035" s="65" t="str">
        <f>vlookup(C2035,'Classificação p pessoal'!F:G,2,false)</f>
        <v/>
      </c>
      <c r="E2035" s="65" t="s">
        <v>1261</v>
      </c>
      <c r="F2035" s="83">
        <v>0.3541666666666667</v>
      </c>
      <c r="G2035" s="83">
        <v>0.3819444444444444</v>
      </c>
      <c r="H2035" s="83">
        <v>0.027777777777777776</v>
      </c>
      <c r="I2035" s="84">
        <v>44448.0</v>
      </c>
      <c r="J2035" s="65" t="b">
        <v>1</v>
      </c>
      <c r="K2035" s="65"/>
      <c r="L2035" s="85" t="b">
        <f>IF(VLOOKUP(C2035,Projetos!A:L,12,false)=TRUE,TRUE,FALSE)</f>
        <v>1</v>
      </c>
      <c r="M2035" s="74">
        <v>73.7079846079846</v>
      </c>
      <c r="N2035" s="74">
        <f t="shared" si="1"/>
        <v>49.13865641</v>
      </c>
      <c r="O2035" s="74" t="b">
        <v>1</v>
      </c>
    </row>
    <row r="2036" hidden="1">
      <c r="A2036" s="82"/>
      <c r="B2036" s="65" t="s">
        <v>495</v>
      </c>
      <c r="C2036" s="65" t="s">
        <v>92</v>
      </c>
      <c r="D2036" s="65" t="str">
        <f>vlookup(C2036,'Classificação p pessoal'!F:G,2,false)</f>
        <v/>
      </c>
      <c r="E2036" s="65" t="s">
        <v>1264</v>
      </c>
      <c r="F2036" s="83">
        <v>0.3819444444444444</v>
      </c>
      <c r="G2036" s="83">
        <v>0.4166666666666667</v>
      </c>
      <c r="H2036" s="83">
        <v>0.034722222222222224</v>
      </c>
      <c r="I2036" s="84">
        <v>44448.0</v>
      </c>
      <c r="J2036" s="65" t="b">
        <v>1</v>
      </c>
      <c r="K2036" s="65"/>
      <c r="L2036" s="85" t="b">
        <f>IF(VLOOKUP(C2036,Projetos!A:L,12,false)=TRUE,TRUE,FALSE)</f>
        <v>1</v>
      </c>
      <c r="M2036" s="74">
        <v>73.7079846079846</v>
      </c>
      <c r="N2036" s="74">
        <f t="shared" si="1"/>
        <v>61.42332051</v>
      </c>
      <c r="O2036" s="74" t="b">
        <v>1</v>
      </c>
    </row>
    <row r="2037" hidden="1">
      <c r="A2037" s="82"/>
      <c r="B2037" s="65" t="s">
        <v>495</v>
      </c>
      <c r="C2037" s="65" t="s">
        <v>92</v>
      </c>
      <c r="D2037" s="65"/>
      <c r="E2037" s="65" t="s">
        <v>1265</v>
      </c>
      <c r="F2037" s="83">
        <v>0.5972222222222222</v>
      </c>
      <c r="G2037" s="83">
        <v>0.625</v>
      </c>
      <c r="H2037" s="83">
        <v>0.027777777777777776</v>
      </c>
      <c r="I2037" s="84">
        <v>44498.0</v>
      </c>
      <c r="J2037" s="65" t="b">
        <v>0</v>
      </c>
      <c r="K2037" s="65" t="s">
        <v>150</v>
      </c>
      <c r="L2037" s="85" t="b">
        <f>IF(VLOOKUP(C2037,Projetos!A:L,12,false)=TRUE,TRUE,FALSE)</f>
        <v>1</v>
      </c>
      <c r="M2037" s="74">
        <v>73.7079846079846</v>
      </c>
      <c r="N2037" s="74">
        <f t="shared" si="1"/>
        <v>0</v>
      </c>
      <c r="O2037" s="74" t="b">
        <v>1</v>
      </c>
    </row>
    <row r="2038" hidden="1">
      <c r="A2038" s="82"/>
      <c r="B2038" s="65" t="s">
        <v>495</v>
      </c>
      <c r="C2038" s="65" t="s">
        <v>92</v>
      </c>
      <c r="D2038" s="65" t="str">
        <f>vlookup(C2038,'Classificação p pessoal'!F:G,2,false)</f>
        <v/>
      </c>
      <c r="E2038" s="65" t="s">
        <v>1266</v>
      </c>
      <c r="F2038" s="83">
        <v>0.4583333333333333</v>
      </c>
      <c r="G2038" s="83">
        <v>0.5208333333333334</v>
      </c>
      <c r="H2038" s="83">
        <v>0.0625</v>
      </c>
      <c r="I2038" s="84">
        <v>44448.0</v>
      </c>
      <c r="J2038" s="65" t="b">
        <v>1</v>
      </c>
      <c r="K2038" s="65"/>
      <c r="L2038" s="85" t="b">
        <f>IF(VLOOKUP(C2038,Projetos!A:L,12,false)=TRUE,TRUE,FALSE)</f>
        <v>1</v>
      </c>
      <c r="M2038" s="74">
        <v>73.7079846079846</v>
      </c>
      <c r="N2038" s="74">
        <f t="shared" si="1"/>
        <v>110.5619769</v>
      </c>
      <c r="O2038" s="74" t="b">
        <v>1</v>
      </c>
    </row>
    <row r="2039" hidden="1">
      <c r="A2039" s="82"/>
      <c r="B2039" s="65" t="s">
        <v>495</v>
      </c>
      <c r="C2039" s="65" t="s">
        <v>92</v>
      </c>
      <c r="D2039" s="65"/>
      <c r="E2039" s="65" t="s">
        <v>1267</v>
      </c>
      <c r="F2039" s="83">
        <v>0.5208333333333334</v>
      </c>
      <c r="G2039" s="83">
        <v>0.5694444444444444</v>
      </c>
      <c r="H2039" s="83">
        <v>0.04861111111111111</v>
      </c>
      <c r="I2039" s="84">
        <v>44448.0</v>
      </c>
      <c r="J2039" s="65" t="b">
        <v>0</v>
      </c>
      <c r="K2039" s="65" t="s">
        <v>150</v>
      </c>
      <c r="L2039" s="85" t="b">
        <f>IF(VLOOKUP(C2039,Projetos!A:L,12,false)=TRUE,TRUE,FALSE)</f>
        <v>1</v>
      </c>
      <c r="M2039" s="74">
        <v>73.7079846079846</v>
      </c>
      <c r="N2039" s="74">
        <f t="shared" si="1"/>
        <v>0</v>
      </c>
      <c r="O2039" s="74" t="b">
        <v>1</v>
      </c>
    </row>
    <row r="2040" hidden="1">
      <c r="A2040" s="82"/>
      <c r="B2040" s="65" t="s">
        <v>495</v>
      </c>
      <c r="C2040" s="65" t="s">
        <v>92</v>
      </c>
      <c r="D2040" s="65"/>
      <c r="E2040" s="65" t="s">
        <v>1268</v>
      </c>
      <c r="F2040" s="83">
        <v>0.3541666666666667</v>
      </c>
      <c r="G2040" s="83">
        <v>0.375</v>
      </c>
      <c r="H2040" s="83">
        <v>0.020833333333333332</v>
      </c>
      <c r="I2040" s="84">
        <v>44466.0</v>
      </c>
      <c r="J2040" s="65" t="b">
        <v>0</v>
      </c>
      <c r="K2040" s="65" t="s">
        <v>150</v>
      </c>
      <c r="L2040" s="85" t="b">
        <f>IF(VLOOKUP(C2040,Projetos!A:L,12,false)=TRUE,TRUE,FALSE)</f>
        <v>1</v>
      </c>
      <c r="M2040" s="74">
        <v>73.7079846079846</v>
      </c>
      <c r="N2040" s="74">
        <f t="shared" si="1"/>
        <v>0</v>
      </c>
      <c r="O2040" s="74" t="b">
        <v>1</v>
      </c>
    </row>
    <row r="2041" hidden="1">
      <c r="A2041" s="82"/>
      <c r="B2041" s="65" t="s">
        <v>495</v>
      </c>
      <c r="C2041" s="65" t="s">
        <v>84</v>
      </c>
      <c r="D2041" s="65"/>
      <c r="E2041" s="65" t="s">
        <v>1269</v>
      </c>
      <c r="F2041" s="83">
        <v>0.7013888888888888</v>
      </c>
      <c r="G2041" s="83">
        <v>0.75</v>
      </c>
      <c r="H2041" s="83">
        <v>0.04861111111111111</v>
      </c>
      <c r="I2041" s="84">
        <v>44448.0</v>
      </c>
      <c r="J2041" s="65" t="b">
        <v>0</v>
      </c>
      <c r="K2041" s="65"/>
      <c r="L2041" s="85" t="b">
        <f>IF(VLOOKUP(C2041,Projetos!A:L,12,false)=TRUE,TRUE,FALSE)</f>
        <v>0</v>
      </c>
      <c r="M2041" s="74">
        <v>73.7079846079846</v>
      </c>
      <c r="N2041" s="74">
        <f t="shared" si="1"/>
        <v>0</v>
      </c>
      <c r="O2041" s="74" t="b">
        <v>0</v>
      </c>
    </row>
    <row r="2042">
      <c r="A2042" s="82"/>
      <c r="B2042" s="65" t="s">
        <v>495</v>
      </c>
      <c r="C2042" s="65" t="s">
        <v>108</v>
      </c>
      <c r="D2042" s="65" t="str">
        <f>vlookup(C2042,'Classificação p pessoal'!F:G,2,false)</f>
        <v>NP</v>
      </c>
      <c r="E2042" s="65" t="s">
        <v>1270</v>
      </c>
      <c r="F2042" s="83">
        <v>0.3541666666666667</v>
      </c>
      <c r="G2042" s="83">
        <v>0.4166666666666667</v>
      </c>
      <c r="H2042" s="83">
        <v>0.0625</v>
      </c>
      <c r="I2042" s="84">
        <v>44449.0</v>
      </c>
      <c r="J2042" s="65" t="b">
        <v>1</v>
      </c>
      <c r="K2042" s="65"/>
      <c r="L2042" s="85" t="b">
        <f>IF(VLOOKUP(C2042,Projetos!A:L,12,false)=TRUE,TRUE,FALSE)</f>
        <v>1</v>
      </c>
      <c r="M2042" s="74">
        <v>73.7079846079846</v>
      </c>
      <c r="N2042" s="74">
        <f t="shared" si="1"/>
        <v>110.5619769</v>
      </c>
      <c r="O2042" s="74" t="b">
        <v>1</v>
      </c>
    </row>
    <row r="2043" hidden="1">
      <c r="A2043" s="82"/>
      <c r="B2043" s="65" t="s">
        <v>495</v>
      </c>
      <c r="C2043" s="65" t="s">
        <v>117</v>
      </c>
      <c r="D2043" s="65" t="str">
        <f>vlookup(C2043,'Classificação p pessoal'!F:G,2,false)</f>
        <v>NP</v>
      </c>
      <c r="E2043" s="65" t="s">
        <v>1271</v>
      </c>
      <c r="F2043" s="83">
        <v>0.4166666666666667</v>
      </c>
      <c r="G2043" s="83">
        <v>0.5416666666666666</v>
      </c>
      <c r="H2043" s="83">
        <v>0.125</v>
      </c>
      <c r="I2043" s="84">
        <v>44449.0</v>
      </c>
      <c r="J2043" s="65" t="b">
        <v>1</v>
      </c>
      <c r="K2043" s="65"/>
      <c r="L2043" s="85" t="b">
        <f>IF(VLOOKUP(C2043,Projetos!A:L,12,false)=TRUE,TRUE,FALSE)</f>
        <v>1</v>
      </c>
      <c r="M2043" s="74">
        <v>73.7079846079846</v>
      </c>
      <c r="N2043" s="74">
        <f t="shared" si="1"/>
        <v>221.1239538</v>
      </c>
      <c r="O2043" s="74" t="b">
        <v>1</v>
      </c>
    </row>
    <row r="2044" hidden="1">
      <c r="A2044" s="82"/>
      <c r="B2044" s="65" t="s">
        <v>495</v>
      </c>
      <c r="C2044" s="65" t="s">
        <v>92</v>
      </c>
      <c r="D2044" s="65" t="str">
        <f>vlookup(C2044,'Classificação p pessoal'!F:G,2,false)</f>
        <v/>
      </c>
      <c r="E2044" s="65" t="s">
        <v>834</v>
      </c>
      <c r="F2044" s="83">
        <v>0.5416666666666666</v>
      </c>
      <c r="G2044" s="83">
        <v>0.5763888888888888</v>
      </c>
      <c r="H2044" s="83">
        <v>0.034722222222222224</v>
      </c>
      <c r="I2044" s="84">
        <v>44449.0</v>
      </c>
      <c r="J2044" s="65" t="b">
        <v>1</v>
      </c>
      <c r="K2044" s="65"/>
      <c r="L2044" s="85" t="b">
        <f>IF(VLOOKUP(C2044,Projetos!A:L,12,false)=TRUE,TRUE,FALSE)</f>
        <v>1</v>
      </c>
      <c r="M2044" s="74">
        <v>73.7079846079846</v>
      </c>
      <c r="N2044" s="74">
        <f t="shared" si="1"/>
        <v>61.42332051</v>
      </c>
      <c r="O2044" s="74" t="b">
        <v>1</v>
      </c>
    </row>
    <row r="2045">
      <c r="A2045" s="82"/>
      <c r="B2045" s="65" t="s">
        <v>495</v>
      </c>
      <c r="C2045" s="65" t="s">
        <v>108</v>
      </c>
      <c r="D2045" s="65" t="str">
        <f>vlookup(C2045,'Classificação p pessoal'!F:G,2,false)</f>
        <v>NP</v>
      </c>
      <c r="E2045" s="65" t="s">
        <v>1272</v>
      </c>
      <c r="F2045" s="83">
        <v>0.6666666666666666</v>
      </c>
      <c r="G2045" s="83">
        <v>0.75</v>
      </c>
      <c r="H2045" s="83">
        <v>0.08333333333333333</v>
      </c>
      <c r="I2045" s="84">
        <v>44449.0</v>
      </c>
      <c r="J2045" s="65" t="b">
        <v>1</v>
      </c>
      <c r="K2045" s="65"/>
      <c r="L2045" s="85" t="b">
        <f>IF(VLOOKUP(C2045,Projetos!A:L,12,false)=TRUE,TRUE,FALSE)</f>
        <v>1</v>
      </c>
      <c r="M2045" s="74">
        <v>73.7079846079846</v>
      </c>
      <c r="N2045" s="74">
        <f t="shared" si="1"/>
        <v>147.4159692</v>
      </c>
      <c r="O2045" s="74" t="b">
        <v>1</v>
      </c>
    </row>
    <row r="2046" hidden="1">
      <c r="A2046" s="82"/>
      <c r="B2046" s="65" t="s">
        <v>495</v>
      </c>
      <c r="C2046" s="65" t="s">
        <v>92</v>
      </c>
      <c r="D2046" s="65" t="str">
        <f>vlookup(C2046,'Classificação p pessoal'!F:G,2,false)</f>
        <v/>
      </c>
      <c r="E2046" s="65" t="s">
        <v>1261</v>
      </c>
      <c r="F2046" s="83">
        <v>0.3541666666666667</v>
      </c>
      <c r="G2046" s="83">
        <v>0.3854166666666667</v>
      </c>
      <c r="H2046" s="83">
        <v>0.03125</v>
      </c>
      <c r="I2046" s="84">
        <v>44452.0</v>
      </c>
      <c r="J2046" s="65" t="b">
        <v>1</v>
      </c>
      <c r="K2046" s="65"/>
      <c r="L2046" s="85" t="b">
        <f>IF(VLOOKUP(C2046,Projetos!A:L,12,false)=TRUE,TRUE,FALSE)</f>
        <v>1</v>
      </c>
      <c r="M2046" s="74">
        <v>73.7079846079846</v>
      </c>
      <c r="N2046" s="74">
        <f t="shared" si="1"/>
        <v>55.28098846</v>
      </c>
      <c r="O2046" s="74" t="b">
        <v>1</v>
      </c>
    </row>
    <row r="2047" hidden="1">
      <c r="A2047" s="82"/>
      <c r="B2047" s="65" t="s">
        <v>495</v>
      </c>
      <c r="C2047" s="65" t="s">
        <v>92</v>
      </c>
      <c r="D2047" s="65" t="str">
        <f>vlookup(C2047,'Classificação p pessoal'!F:G,2,false)</f>
        <v/>
      </c>
      <c r="E2047" s="65" t="s">
        <v>1273</v>
      </c>
      <c r="F2047" s="83">
        <v>0.3854166666666667</v>
      </c>
      <c r="G2047" s="83">
        <v>0.4270833333333333</v>
      </c>
      <c r="H2047" s="83">
        <v>0.041666666666666664</v>
      </c>
      <c r="I2047" s="84">
        <v>44452.0</v>
      </c>
      <c r="J2047" s="65" t="b">
        <v>1</v>
      </c>
      <c r="K2047" s="65"/>
      <c r="L2047" s="85" t="b">
        <f>IF(VLOOKUP(C2047,Projetos!A:L,12,false)=TRUE,TRUE,FALSE)</f>
        <v>1</v>
      </c>
      <c r="M2047" s="74">
        <v>73.7079846079846</v>
      </c>
      <c r="N2047" s="74">
        <f t="shared" si="1"/>
        <v>73.70798461</v>
      </c>
      <c r="O2047" s="74" t="b">
        <v>1</v>
      </c>
    </row>
    <row r="2048" hidden="1">
      <c r="A2048" s="82"/>
      <c r="B2048" s="65" t="s">
        <v>495</v>
      </c>
      <c r="C2048" s="65" t="s">
        <v>92</v>
      </c>
      <c r="D2048" s="65"/>
      <c r="E2048" s="65" t="s">
        <v>1274</v>
      </c>
      <c r="F2048" s="83">
        <v>0.3472222222222222</v>
      </c>
      <c r="G2048" s="83">
        <v>0.3819444444444444</v>
      </c>
      <c r="H2048" s="83">
        <v>0.034722222222222224</v>
      </c>
      <c r="I2048" s="84">
        <v>44559.0</v>
      </c>
      <c r="J2048" s="65" t="b">
        <v>0</v>
      </c>
      <c r="K2048" s="65" t="s">
        <v>150</v>
      </c>
      <c r="L2048" s="85" t="b">
        <f>IF(VLOOKUP(C2048,Projetos!A:L,12,false)=TRUE,TRUE,FALSE)</f>
        <v>1</v>
      </c>
      <c r="M2048" s="74">
        <v>73.7079846079846</v>
      </c>
      <c r="N2048" s="74">
        <f t="shared" si="1"/>
        <v>0</v>
      </c>
      <c r="O2048" s="74" t="b">
        <v>1</v>
      </c>
    </row>
    <row r="2049" hidden="1">
      <c r="A2049" s="82"/>
      <c r="B2049" s="65" t="s">
        <v>495</v>
      </c>
      <c r="C2049" s="65" t="s">
        <v>92</v>
      </c>
      <c r="D2049" s="65" t="str">
        <f>vlookup(C2049,'Classificação p pessoal'!F:G,2,false)</f>
        <v/>
      </c>
      <c r="E2049" s="65" t="s">
        <v>1261</v>
      </c>
      <c r="F2049" s="83">
        <v>0.4826388888888889</v>
      </c>
      <c r="G2049" s="83">
        <v>0.4930555555555556</v>
      </c>
      <c r="H2049" s="83">
        <v>0.010416666666666666</v>
      </c>
      <c r="I2049" s="84">
        <v>44452.0</v>
      </c>
      <c r="J2049" s="65" t="b">
        <v>1</v>
      </c>
      <c r="K2049" s="65"/>
      <c r="L2049" s="85" t="b">
        <f>IF(VLOOKUP(C2049,Projetos!A:L,12,false)=TRUE,TRUE,FALSE)</f>
        <v>1</v>
      </c>
      <c r="M2049" s="74">
        <v>73.7079846079846</v>
      </c>
      <c r="N2049" s="74">
        <f t="shared" si="1"/>
        <v>18.42699615</v>
      </c>
      <c r="O2049" s="74" t="b">
        <v>1</v>
      </c>
    </row>
    <row r="2050" hidden="1">
      <c r="A2050" s="82"/>
      <c r="B2050" s="65" t="s">
        <v>495</v>
      </c>
      <c r="C2050" s="65" t="s">
        <v>92</v>
      </c>
      <c r="D2050" s="65" t="str">
        <f>vlookup(C2050,'Classificação p pessoal'!F:G,2,false)</f>
        <v/>
      </c>
      <c r="E2050" s="65" t="s">
        <v>1254</v>
      </c>
      <c r="F2050" s="83">
        <v>0.4930555555555556</v>
      </c>
      <c r="G2050" s="83">
        <v>0.5729166666666666</v>
      </c>
      <c r="H2050" s="83">
        <v>0.0798611111111111</v>
      </c>
      <c r="I2050" s="84">
        <v>44452.0</v>
      </c>
      <c r="J2050" s="65" t="b">
        <v>1</v>
      </c>
      <c r="K2050" s="65"/>
      <c r="L2050" s="85" t="b">
        <f>IF(VLOOKUP(C2050,Projetos!A:L,12,false)=TRUE,TRUE,FALSE)</f>
        <v>1</v>
      </c>
      <c r="M2050" s="74">
        <v>73.7079846079846</v>
      </c>
      <c r="N2050" s="74">
        <f t="shared" si="1"/>
        <v>141.2736372</v>
      </c>
      <c r="O2050" s="74" t="b">
        <v>1</v>
      </c>
    </row>
    <row r="2051" hidden="1">
      <c r="A2051" s="82"/>
      <c r="B2051" s="65" t="s">
        <v>495</v>
      </c>
      <c r="C2051" s="65" t="s">
        <v>92</v>
      </c>
      <c r="D2051" s="65" t="str">
        <f>vlookup(C2051,'Classificação p pessoal'!F:G,2,false)</f>
        <v/>
      </c>
      <c r="E2051" s="65" t="s">
        <v>1275</v>
      </c>
      <c r="F2051" s="83">
        <v>0.6145833333333334</v>
      </c>
      <c r="G2051" s="83">
        <v>0.75</v>
      </c>
      <c r="H2051" s="83">
        <v>0.13541666666666666</v>
      </c>
      <c r="I2051" s="84">
        <v>44452.0</v>
      </c>
      <c r="J2051" s="65" t="b">
        <v>1</v>
      </c>
      <c r="K2051" s="65"/>
      <c r="L2051" s="85" t="b">
        <f>IF(VLOOKUP(C2051,Projetos!A:L,12,false)=TRUE,TRUE,FALSE)</f>
        <v>1</v>
      </c>
      <c r="M2051" s="74">
        <v>73.7079846079846</v>
      </c>
      <c r="N2051" s="74">
        <f t="shared" si="1"/>
        <v>239.55095</v>
      </c>
      <c r="O2051" s="74" t="b">
        <v>1</v>
      </c>
    </row>
    <row r="2052" hidden="1">
      <c r="A2052" s="82"/>
      <c r="B2052" s="65" t="s">
        <v>495</v>
      </c>
      <c r="C2052" s="65" t="s">
        <v>92</v>
      </c>
      <c r="D2052" s="65" t="str">
        <f>vlookup(C2052,'Classificação p pessoal'!F:G,2,false)</f>
        <v/>
      </c>
      <c r="E2052" s="65" t="s">
        <v>1276</v>
      </c>
      <c r="F2052" s="83">
        <v>0.3541666666666667</v>
      </c>
      <c r="G2052" s="83">
        <v>0.4583333333333333</v>
      </c>
      <c r="H2052" s="83">
        <v>0.10416666666666667</v>
      </c>
      <c r="I2052" s="84">
        <v>44453.0</v>
      </c>
      <c r="J2052" s="65" t="b">
        <v>1</v>
      </c>
      <c r="K2052" s="65"/>
      <c r="L2052" s="85" t="b">
        <f>IF(VLOOKUP(C2052,Projetos!A:L,12,false)=TRUE,TRUE,FALSE)</f>
        <v>1</v>
      </c>
      <c r="M2052" s="74">
        <v>73.7079846079846</v>
      </c>
      <c r="N2052" s="74">
        <f t="shared" si="1"/>
        <v>184.2699615</v>
      </c>
      <c r="O2052" s="74" t="b">
        <v>1</v>
      </c>
    </row>
    <row r="2053" hidden="1">
      <c r="A2053" s="82"/>
      <c r="B2053" s="65" t="s">
        <v>469</v>
      </c>
      <c r="C2053" s="65" t="s">
        <v>106</v>
      </c>
      <c r="D2053" s="65"/>
      <c r="E2053" s="65" t="s">
        <v>1277</v>
      </c>
      <c r="F2053" s="83">
        <v>0.34375</v>
      </c>
      <c r="G2053" s="83">
        <v>0.75</v>
      </c>
      <c r="H2053" s="83">
        <v>0.40625</v>
      </c>
      <c r="I2053" s="84">
        <v>44331.0</v>
      </c>
      <c r="J2053" s="65" t="b">
        <v>0</v>
      </c>
      <c r="K2053" s="65" t="s">
        <v>150</v>
      </c>
      <c r="L2053" s="85" t="b">
        <f>IF(VLOOKUP(C2053,Projetos!A:L,12,false)=TRUE,TRUE,FALSE)</f>
        <v>1</v>
      </c>
      <c r="M2053" s="74">
        <v>37.50928062469937</v>
      </c>
      <c r="N2053" s="74">
        <f t="shared" si="1"/>
        <v>0</v>
      </c>
      <c r="O2053" s="74" t="b">
        <v>1</v>
      </c>
    </row>
    <row r="2054" hidden="1">
      <c r="A2054" s="82"/>
      <c r="B2054" s="65" t="s">
        <v>495</v>
      </c>
      <c r="C2054" s="65" t="s">
        <v>92</v>
      </c>
      <c r="D2054" s="65" t="str">
        <f>vlookup(C2054,'Classificação p pessoal'!F:G,2,false)</f>
        <v/>
      </c>
      <c r="E2054" s="65" t="s">
        <v>1275</v>
      </c>
      <c r="F2054" s="83">
        <v>0.59375</v>
      </c>
      <c r="G2054" s="83">
        <v>0.7083333333333334</v>
      </c>
      <c r="H2054" s="83">
        <v>0.11458333333333333</v>
      </c>
      <c r="I2054" s="84">
        <v>44453.0</v>
      </c>
      <c r="J2054" s="65" t="b">
        <v>1</v>
      </c>
      <c r="K2054" s="65"/>
      <c r="L2054" s="85" t="b">
        <f>IF(VLOOKUP(C2054,Projetos!A:L,12,false)=TRUE,TRUE,FALSE)</f>
        <v>1</v>
      </c>
      <c r="M2054" s="74">
        <v>73.7079846079846</v>
      </c>
      <c r="N2054" s="74">
        <f t="shared" si="1"/>
        <v>202.6969577</v>
      </c>
      <c r="O2054" s="74" t="b">
        <v>1</v>
      </c>
    </row>
    <row r="2055" hidden="1">
      <c r="A2055" s="82"/>
      <c r="B2055" s="65" t="s">
        <v>495</v>
      </c>
      <c r="C2055" s="65" t="s">
        <v>92</v>
      </c>
      <c r="D2055" s="65" t="str">
        <f>vlookup(C2055,'Classificação p pessoal'!F:G,2,false)</f>
        <v/>
      </c>
      <c r="E2055" s="65" t="s">
        <v>1278</v>
      </c>
      <c r="F2055" s="83">
        <v>0.7083333333333334</v>
      </c>
      <c r="G2055" s="83">
        <v>0.75</v>
      </c>
      <c r="H2055" s="83">
        <v>0.041666666666666664</v>
      </c>
      <c r="I2055" s="84">
        <v>44453.0</v>
      </c>
      <c r="J2055" s="65" t="b">
        <v>1</v>
      </c>
      <c r="K2055" s="65"/>
      <c r="L2055" s="85" t="b">
        <f>IF(VLOOKUP(C2055,Projetos!A:L,12,false)=TRUE,TRUE,FALSE)</f>
        <v>1</v>
      </c>
      <c r="M2055" s="74">
        <v>73.7079846079846</v>
      </c>
      <c r="N2055" s="74">
        <f t="shared" si="1"/>
        <v>73.70798461</v>
      </c>
      <c r="O2055" s="74" t="b">
        <v>1</v>
      </c>
    </row>
    <row r="2056" hidden="1">
      <c r="A2056" s="82"/>
      <c r="B2056" s="65" t="s">
        <v>495</v>
      </c>
      <c r="C2056" s="65" t="s">
        <v>92</v>
      </c>
      <c r="D2056" s="65" t="str">
        <f>vlookup(C2056,'Classificação p pessoal'!F:G,2,false)</f>
        <v/>
      </c>
      <c r="E2056" s="65" t="s">
        <v>1279</v>
      </c>
      <c r="F2056" s="83">
        <v>0.3541666666666667</v>
      </c>
      <c r="G2056" s="83">
        <v>0.4583333333333333</v>
      </c>
      <c r="H2056" s="83">
        <v>0.10416666666666667</v>
      </c>
      <c r="I2056" s="84">
        <v>44454.0</v>
      </c>
      <c r="J2056" s="65" t="b">
        <v>1</v>
      </c>
      <c r="K2056" s="65"/>
      <c r="L2056" s="85" t="b">
        <f>IF(VLOOKUP(C2056,Projetos!A:L,12,false)=TRUE,TRUE,FALSE)</f>
        <v>1</v>
      </c>
      <c r="M2056" s="74">
        <v>73.7079846079846</v>
      </c>
      <c r="N2056" s="74">
        <f t="shared" si="1"/>
        <v>184.2699615</v>
      </c>
      <c r="O2056" s="74" t="b">
        <v>1</v>
      </c>
    </row>
    <row r="2057" hidden="1">
      <c r="A2057" s="82"/>
      <c r="B2057" s="65" t="s">
        <v>495</v>
      </c>
      <c r="C2057" s="65" t="s">
        <v>92</v>
      </c>
      <c r="D2057" s="65" t="str">
        <f>vlookup(C2057,'Classificação p pessoal'!F:G,2,false)</f>
        <v/>
      </c>
      <c r="E2057" s="65" t="s">
        <v>1278</v>
      </c>
      <c r="F2057" s="83">
        <v>0.4583333333333333</v>
      </c>
      <c r="G2057" s="83">
        <v>0.5729166666666666</v>
      </c>
      <c r="H2057" s="83">
        <v>0.11458333333333333</v>
      </c>
      <c r="I2057" s="84">
        <v>44454.0</v>
      </c>
      <c r="J2057" s="65" t="b">
        <v>1</v>
      </c>
      <c r="K2057" s="65"/>
      <c r="L2057" s="85" t="b">
        <f>IF(VLOOKUP(C2057,Projetos!A:L,12,false)=TRUE,TRUE,FALSE)</f>
        <v>1</v>
      </c>
      <c r="M2057" s="74">
        <v>73.7079846079846</v>
      </c>
      <c r="N2057" s="74">
        <f t="shared" si="1"/>
        <v>202.6969577</v>
      </c>
      <c r="O2057" s="74" t="b">
        <v>1</v>
      </c>
    </row>
    <row r="2058" hidden="1">
      <c r="A2058" s="82"/>
      <c r="B2058" s="65" t="s">
        <v>495</v>
      </c>
      <c r="C2058" s="65" t="s">
        <v>92</v>
      </c>
      <c r="D2058" s="65" t="str">
        <f>vlookup(C2058,'Classificação p pessoal'!F:G,2,false)</f>
        <v/>
      </c>
      <c r="E2058" s="65" t="s">
        <v>1280</v>
      </c>
      <c r="F2058" s="83">
        <v>0.6458333333333334</v>
      </c>
      <c r="G2058" s="83">
        <v>0.75</v>
      </c>
      <c r="H2058" s="83">
        <v>0.10416666666666667</v>
      </c>
      <c r="I2058" s="84">
        <v>44454.0</v>
      </c>
      <c r="J2058" s="65" t="b">
        <v>1</v>
      </c>
      <c r="K2058" s="65"/>
      <c r="L2058" s="85" t="b">
        <f>IF(VLOOKUP(C2058,Projetos!A:L,12,false)=TRUE,TRUE,FALSE)</f>
        <v>1</v>
      </c>
      <c r="M2058" s="74">
        <v>73.7079846079846</v>
      </c>
      <c r="N2058" s="74">
        <f t="shared" si="1"/>
        <v>184.2699615</v>
      </c>
      <c r="O2058" s="74" t="b">
        <v>1</v>
      </c>
    </row>
    <row r="2059" hidden="1">
      <c r="A2059" s="82"/>
      <c r="B2059" s="65" t="s">
        <v>495</v>
      </c>
      <c r="C2059" s="65" t="s">
        <v>92</v>
      </c>
      <c r="D2059" s="65" t="str">
        <f>vlookup(C2059,'Classificação p pessoal'!F:G,2,false)</f>
        <v/>
      </c>
      <c r="E2059" s="65" t="s">
        <v>1281</v>
      </c>
      <c r="F2059" s="83">
        <v>0.3541666666666667</v>
      </c>
      <c r="G2059" s="83">
        <v>0.4166666666666667</v>
      </c>
      <c r="H2059" s="83">
        <v>0.0625</v>
      </c>
      <c r="I2059" s="84">
        <v>44455.0</v>
      </c>
      <c r="J2059" s="65" t="b">
        <v>1</v>
      </c>
      <c r="K2059" s="65"/>
      <c r="L2059" s="85" t="b">
        <f>IF(VLOOKUP(C2059,Projetos!A:L,12,false)=TRUE,TRUE,FALSE)</f>
        <v>1</v>
      </c>
      <c r="M2059" s="74">
        <v>73.7079846079846</v>
      </c>
      <c r="N2059" s="74">
        <f t="shared" si="1"/>
        <v>110.5619769</v>
      </c>
      <c r="O2059" s="74" t="b">
        <v>1</v>
      </c>
    </row>
    <row r="2060" hidden="1">
      <c r="A2060" s="82"/>
      <c r="B2060" s="65" t="s">
        <v>495</v>
      </c>
      <c r="C2060" s="65" t="s">
        <v>92</v>
      </c>
      <c r="D2060" s="65" t="str">
        <f>vlookup(C2060,'Classificação p pessoal'!F:G,2,false)</f>
        <v/>
      </c>
      <c r="E2060" s="65" t="s">
        <v>1282</v>
      </c>
      <c r="F2060" s="83">
        <v>0.4166666666666667</v>
      </c>
      <c r="G2060" s="83">
        <v>0.5763888888888888</v>
      </c>
      <c r="H2060" s="83">
        <v>0.1597222222222222</v>
      </c>
      <c r="I2060" s="84">
        <v>44455.0</v>
      </c>
      <c r="J2060" s="65" t="b">
        <v>1</v>
      </c>
      <c r="K2060" s="65"/>
      <c r="L2060" s="85" t="b">
        <f>IF(VLOOKUP(C2060,Projetos!A:L,12,false)=TRUE,TRUE,FALSE)</f>
        <v>1</v>
      </c>
      <c r="M2060" s="74">
        <v>73.7079846079846</v>
      </c>
      <c r="N2060" s="74">
        <f t="shared" si="1"/>
        <v>282.5472743</v>
      </c>
      <c r="O2060" s="74" t="b">
        <v>1</v>
      </c>
    </row>
    <row r="2061" hidden="1">
      <c r="A2061" s="82"/>
      <c r="B2061" s="65" t="s">
        <v>495</v>
      </c>
      <c r="C2061" s="65" t="s">
        <v>92</v>
      </c>
      <c r="D2061" s="65" t="str">
        <f>vlookup(C2061,'Classificação p pessoal'!F:G,2,false)</f>
        <v/>
      </c>
      <c r="E2061" s="65" t="s">
        <v>1283</v>
      </c>
      <c r="F2061" s="83">
        <v>0.6354166666666666</v>
      </c>
      <c r="G2061" s="83">
        <v>0.75</v>
      </c>
      <c r="H2061" s="83">
        <v>0.11458333333333333</v>
      </c>
      <c r="I2061" s="84">
        <v>44455.0</v>
      </c>
      <c r="J2061" s="65" t="b">
        <v>1</v>
      </c>
      <c r="K2061" s="65"/>
      <c r="L2061" s="85" t="b">
        <f>IF(VLOOKUP(C2061,Projetos!A:L,12,false)=TRUE,TRUE,FALSE)</f>
        <v>1</v>
      </c>
      <c r="M2061" s="74">
        <v>73.7079846079846</v>
      </c>
      <c r="N2061" s="74">
        <f t="shared" si="1"/>
        <v>202.6969577</v>
      </c>
      <c r="O2061" s="74" t="b">
        <v>1</v>
      </c>
    </row>
    <row r="2062" hidden="1">
      <c r="A2062" s="82"/>
      <c r="B2062" s="65" t="s">
        <v>495</v>
      </c>
      <c r="C2062" s="65" t="s">
        <v>92</v>
      </c>
      <c r="D2062" s="65" t="str">
        <f>vlookup(C2062,'Classificação p pessoal'!F:G,2,false)</f>
        <v/>
      </c>
      <c r="E2062" s="65" t="s">
        <v>1284</v>
      </c>
      <c r="F2062" s="83">
        <v>0.3541666666666667</v>
      </c>
      <c r="G2062" s="83">
        <v>0.4375</v>
      </c>
      <c r="H2062" s="83">
        <v>0.08333333333333333</v>
      </c>
      <c r="I2062" s="84">
        <v>44456.0</v>
      </c>
      <c r="J2062" s="65" t="b">
        <v>1</v>
      </c>
      <c r="K2062" s="65"/>
      <c r="L2062" s="85" t="b">
        <f>IF(VLOOKUP(C2062,Projetos!A:L,12,false)=TRUE,TRUE,FALSE)</f>
        <v>1</v>
      </c>
      <c r="M2062" s="74">
        <v>73.7079846079846</v>
      </c>
      <c r="N2062" s="74">
        <f t="shared" si="1"/>
        <v>147.4159692</v>
      </c>
      <c r="O2062" s="74" t="b">
        <v>1</v>
      </c>
    </row>
    <row r="2063" hidden="1">
      <c r="A2063" s="82"/>
      <c r="B2063" s="65" t="s">
        <v>495</v>
      </c>
      <c r="C2063" s="65" t="s">
        <v>92</v>
      </c>
      <c r="D2063" s="65" t="str">
        <f>vlookup(C2063,'Classificação p pessoal'!F:G,2,false)</f>
        <v/>
      </c>
      <c r="E2063" s="65" t="s">
        <v>1285</v>
      </c>
      <c r="F2063" s="83">
        <v>0.4479166666666667</v>
      </c>
      <c r="G2063" s="83">
        <v>0.5416666666666666</v>
      </c>
      <c r="H2063" s="83">
        <v>0.09375</v>
      </c>
      <c r="I2063" s="84">
        <v>44456.0</v>
      </c>
      <c r="J2063" s="65" t="b">
        <v>1</v>
      </c>
      <c r="K2063" s="65"/>
      <c r="L2063" s="85" t="b">
        <f>IF(VLOOKUP(C2063,Projetos!A:L,12,false)=TRUE,TRUE,FALSE)</f>
        <v>1</v>
      </c>
      <c r="M2063" s="74">
        <v>73.7079846079846</v>
      </c>
      <c r="N2063" s="74">
        <f t="shared" si="1"/>
        <v>165.8429654</v>
      </c>
      <c r="O2063" s="74" t="b">
        <v>1</v>
      </c>
    </row>
    <row r="2064">
      <c r="A2064" s="82"/>
      <c r="B2064" s="65" t="s">
        <v>495</v>
      </c>
      <c r="C2064" s="65" t="s">
        <v>108</v>
      </c>
      <c r="D2064" s="65" t="str">
        <f>vlookup(C2064,'Classificação p pessoal'!F:G,2,false)</f>
        <v>NP</v>
      </c>
      <c r="E2064" s="65" t="s">
        <v>1286</v>
      </c>
      <c r="F2064" s="83">
        <v>0.5833333333333334</v>
      </c>
      <c r="G2064" s="83">
        <v>0.6111111111111112</v>
      </c>
      <c r="H2064" s="83">
        <v>0.027777777777777776</v>
      </c>
      <c r="I2064" s="84">
        <v>44456.0</v>
      </c>
      <c r="J2064" s="65" t="b">
        <v>1</v>
      </c>
      <c r="K2064" s="65"/>
      <c r="L2064" s="85" t="b">
        <f>IF(VLOOKUP(C2064,Projetos!A:L,12,false)=TRUE,TRUE,FALSE)</f>
        <v>1</v>
      </c>
      <c r="M2064" s="74">
        <v>73.7079846079846</v>
      </c>
      <c r="N2064" s="74">
        <f t="shared" si="1"/>
        <v>49.13865641</v>
      </c>
      <c r="O2064" s="74" t="b">
        <v>1</v>
      </c>
    </row>
    <row r="2065">
      <c r="A2065" s="82"/>
      <c r="B2065" s="65" t="s">
        <v>495</v>
      </c>
      <c r="C2065" s="65" t="s">
        <v>108</v>
      </c>
      <c r="D2065" s="65" t="str">
        <f>vlookup(C2065,'Classificação p pessoal'!F:G,2,false)</f>
        <v>NP</v>
      </c>
      <c r="E2065" s="65" t="s">
        <v>1287</v>
      </c>
      <c r="F2065" s="83">
        <v>0.6111111111111112</v>
      </c>
      <c r="G2065" s="83">
        <v>0.75</v>
      </c>
      <c r="H2065" s="83">
        <v>0.1388888888888889</v>
      </c>
      <c r="I2065" s="84">
        <v>44456.0</v>
      </c>
      <c r="J2065" s="65" t="b">
        <v>1</v>
      </c>
      <c r="K2065" s="65"/>
      <c r="L2065" s="85" t="b">
        <f>IF(VLOOKUP(C2065,Projetos!A:L,12,false)=TRUE,TRUE,FALSE)</f>
        <v>1</v>
      </c>
      <c r="M2065" s="74">
        <v>73.7079846079846</v>
      </c>
      <c r="N2065" s="74">
        <f t="shared" si="1"/>
        <v>245.693282</v>
      </c>
      <c r="O2065" s="74" t="b">
        <v>1</v>
      </c>
    </row>
    <row r="2066" hidden="1">
      <c r="A2066" s="82"/>
      <c r="B2066" s="65" t="s">
        <v>495</v>
      </c>
      <c r="C2066" s="65" t="s">
        <v>92</v>
      </c>
      <c r="D2066" s="65" t="str">
        <f>vlookup(C2066,'Classificação p pessoal'!F:G,2,false)</f>
        <v/>
      </c>
      <c r="E2066" s="65" t="s">
        <v>1261</v>
      </c>
      <c r="F2066" s="83">
        <v>0.34375</v>
      </c>
      <c r="G2066" s="83">
        <v>0.3541666666666667</v>
      </c>
      <c r="H2066" s="83">
        <v>0.010416666666666666</v>
      </c>
      <c r="I2066" s="84">
        <v>44459.0</v>
      </c>
      <c r="J2066" s="65" t="b">
        <v>1</v>
      </c>
      <c r="K2066" s="65"/>
      <c r="L2066" s="85" t="b">
        <f>IF(VLOOKUP(C2066,Projetos!A:L,12,false)=TRUE,TRUE,FALSE)</f>
        <v>1</v>
      </c>
      <c r="M2066" s="74">
        <v>73.7079846079846</v>
      </c>
      <c r="N2066" s="74">
        <f t="shared" si="1"/>
        <v>18.42699615</v>
      </c>
      <c r="O2066" s="74" t="b">
        <v>1</v>
      </c>
    </row>
    <row r="2067" hidden="1">
      <c r="A2067" s="82"/>
      <c r="B2067" s="65" t="s">
        <v>495</v>
      </c>
      <c r="C2067" s="65" t="s">
        <v>92</v>
      </c>
      <c r="D2067" s="65" t="str">
        <f>vlookup(C2067,'Classificação p pessoal'!F:G,2,false)</f>
        <v/>
      </c>
      <c r="E2067" s="65" t="s">
        <v>1288</v>
      </c>
      <c r="F2067" s="83">
        <v>0.3541666666666667</v>
      </c>
      <c r="G2067" s="83">
        <v>0.40625</v>
      </c>
      <c r="H2067" s="83">
        <v>0.052083333333333336</v>
      </c>
      <c r="I2067" s="84">
        <v>44459.0</v>
      </c>
      <c r="J2067" s="65" t="b">
        <v>1</v>
      </c>
      <c r="K2067" s="65"/>
      <c r="L2067" s="85" t="b">
        <f>IF(VLOOKUP(C2067,Projetos!A:L,12,false)=TRUE,TRUE,FALSE)</f>
        <v>1</v>
      </c>
      <c r="M2067" s="74">
        <v>73.7079846079846</v>
      </c>
      <c r="N2067" s="74">
        <f t="shared" si="1"/>
        <v>92.13498076</v>
      </c>
      <c r="O2067" s="74" t="b">
        <v>1</v>
      </c>
    </row>
    <row r="2068" hidden="1">
      <c r="A2068" s="82"/>
      <c r="B2068" s="65" t="s">
        <v>495</v>
      </c>
      <c r="C2068" s="65" t="s">
        <v>92</v>
      </c>
      <c r="D2068" s="65" t="str">
        <f>vlookup(C2068,'Classificação p pessoal'!F:G,2,false)</f>
        <v/>
      </c>
      <c r="E2068" s="65" t="s">
        <v>1289</v>
      </c>
      <c r="F2068" s="83">
        <v>0.40625</v>
      </c>
      <c r="G2068" s="83">
        <v>0.46875</v>
      </c>
      <c r="H2068" s="83">
        <v>0.0625</v>
      </c>
      <c r="I2068" s="84">
        <v>44459.0</v>
      </c>
      <c r="J2068" s="65" t="b">
        <v>1</v>
      </c>
      <c r="K2068" s="65"/>
      <c r="L2068" s="85" t="b">
        <f>IF(VLOOKUP(C2068,Projetos!A:L,12,false)=TRUE,TRUE,FALSE)</f>
        <v>1</v>
      </c>
      <c r="M2068" s="74">
        <v>73.7079846079846</v>
      </c>
      <c r="N2068" s="74">
        <f t="shared" si="1"/>
        <v>110.5619769</v>
      </c>
      <c r="O2068" s="74" t="b">
        <v>1</v>
      </c>
    </row>
    <row r="2069">
      <c r="A2069" s="82"/>
      <c r="B2069" s="65" t="s">
        <v>495</v>
      </c>
      <c r="C2069" s="65" t="s">
        <v>108</v>
      </c>
      <c r="D2069" s="65" t="str">
        <f>vlookup(C2069,'Classificação p pessoal'!F:G,2,false)</f>
        <v>NP</v>
      </c>
      <c r="E2069" s="65" t="s">
        <v>1290</v>
      </c>
      <c r="F2069" s="83">
        <v>0.46875</v>
      </c>
      <c r="G2069" s="83">
        <v>0.5625</v>
      </c>
      <c r="H2069" s="83">
        <v>0.09375</v>
      </c>
      <c r="I2069" s="84">
        <v>44459.0</v>
      </c>
      <c r="J2069" s="65" t="b">
        <v>1</v>
      </c>
      <c r="K2069" s="65"/>
      <c r="L2069" s="85" t="b">
        <f>IF(VLOOKUP(C2069,Projetos!A:L,12,false)=TRUE,TRUE,FALSE)</f>
        <v>1</v>
      </c>
      <c r="M2069" s="74">
        <v>73.7079846079846</v>
      </c>
      <c r="N2069" s="74">
        <f t="shared" si="1"/>
        <v>165.8429654</v>
      </c>
      <c r="O2069" s="74" t="b">
        <v>1</v>
      </c>
    </row>
    <row r="2070">
      <c r="A2070" s="82"/>
      <c r="B2070" s="65" t="s">
        <v>495</v>
      </c>
      <c r="C2070" s="65" t="s">
        <v>108</v>
      </c>
      <c r="D2070" s="65" t="str">
        <f>vlookup(C2070,'Classificação p pessoal'!F:G,2,false)</f>
        <v>NP</v>
      </c>
      <c r="E2070" s="65" t="s">
        <v>1291</v>
      </c>
      <c r="F2070" s="83">
        <v>0.6145833333333334</v>
      </c>
      <c r="G2070" s="83">
        <v>0.75</v>
      </c>
      <c r="H2070" s="83">
        <v>0.13541666666666666</v>
      </c>
      <c r="I2070" s="84">
        <v>44459.0</v>
      </c>
      <c r="J2070" s="65" t="b">
        <v>1</v>
      </c>
      <c r="K2070" s="65"/>
      <c r="L2070" s="85" t="b">
        <f>IF(VLOOKUP(C2070,Projetos!A:L,12,false)=TRUE,TRUE,FALSE)</f>
        <v>1</v>
      </c>
      <c r="M2070" s="74">
        <v>73.7079846079846</v>
      </c>
      <c r="N2070" s="74">
        <f t="shared" si="1"/>
        <v>239.55095</v>
      </c>
      <c r="O2070" s="74" t="b">
        <v>1</v>
      </c>
    </row>
    <row r="2071">
      <c r="A2071" s="82"/>
      <c r="B2071" s="65" t="s">
        <v>495</v>
      </c>
      <c r="C2071" s="65" t="s">
        <v>108</v>
      </c>
      <c r="D2071" s="65" t="str">
        <f>vlookup(C2071,'Classificação p pessoal'!F:G,2,false)</f>
        <v>NP</v>
      </c>
      <c r="E2071" s="65" t="s">
        <v>1290</v>
      </c>
      <c r="F2071" s="83">
        <v>0.3541666666666667</v>
      </c>
      <c r="G2071" s="83">
        <v>0.4375</v>
      </c>
      <c r="H2071" s="83">
        <v>0.08333333333333333</v>
      </c>
      <c r="I2071" s="84">
        <v>44460.0</v>
      </c>
      <c r="J2071" s="65" t="b">
        <v>1</v>
      </c>
      <c r="K2071" s="65"/>
      <c r="L2071" s="85" t="b">
        <f>IF(VLOOKUP(C2071,Projetos!A:L,12,false)=TRUE,TRUE,FALSE)</f>
        <v>1</v>
      </c>
      <c r="M2071" s="74">
        <v>73.7079846079846</v>
      </c>
      <c r="N2071" s="74">
        <f t="shared" si="1"/>
        <v>147.4159692</v>
      </c>
      <c r="O2071" s="74" t="b">
        <v>1</v>
      </c>
    </row>
    <row r="2072" hidden="1">
      <c r="A2072" s="82"/>
      <c r="B2072" s="65" t="s">
        <v>495</v>
      </c>
      <c r="C2072" s="65" t="s">
        <v>92</v>
      </c>
      <c r="D2072" s="65" t="str">
        <f>vlookup(C2072,'Classificação p pessoal'!F:G,2,false)</f>
        <v/>
      </c>
      <c r="E2072" s="65" t="s">
        <v>1292</v>
      </c>
      <c r="F2072" s="83">
        <v>0.4375</v>
      </c>
      <c r="G2072" s="83">
        <v>0.5208333333333334</v>
      </c>
      <c r="H2072" s="83">
        <v>0.08333333333333333</v>
      </c>
      <c r="I2072" s="84">
        <v>44460.0</v>
      </c>
      <c r="J2072" s="65" t="b">
        <v>1</v>
      </c>
      <c r="K2072" s="65"/>
      <c r="L2072" s="85" t="b">
        <f>IF(VLOOKUP(C2072,Projetos!A:L,12,false)=TRUE,TRUE,FALSE)</f>
        <v>1</v>
      </c>
      <c r="M2072" s="74">
        <v>73.7079846079846</v>
      </c>
      <c r="N2072" s="74">
        <f t="shared" si="1"/>
        <v>147.4159692</v>
      </c>
      <c r="O2072" s="74" t="b">
        <v>1</v>
      </c>
    </row>
    <row r="2073" hidden="1">
      <c r="A2073" s="82"/>
      <c r="B2073" s="65" t="s">
        <v>495</v>
      </c>
      <c r="C2073" s="65" t="s">
        <v>92</v>
      </c>
      <c r="D2073" s="65" t="str">
        <f>vlookup(C2073,'Classificação p pessoal'!F:G,2,false)</f>
        <v/>
      </c>
      <c r="E2073" s="65" t="s">
        <v>1283</v>
      </c>
      <c r="F2073" s="83">
        <v>0.5208333333333334</v>
      </c>
      <c r="G2073" s="83">
        <v>0.5694444444444444</v>
      </c>
      <c r="H2073" s="83">
        <v>0.04861111111111111</v>
      </c>
      <c r="I2073" s="84">
        <v>44460.0</v>
      </c>
      <c r="J2073" s="65" t="b">
        <v>1</v>
      </c>
      <c r="K2073" s="65"/>
      <c r="L2073" s="85" t="b">
        <f>IF(VLOOKUP(C2073,Projetos!A:L,12,false)=TRUE,TRUE,FALSE)</f>
        <v>1</v>
      </c>
      <c r="M2073" s="74">
        <v>73.7079846079846</v>
      </c>
      <c r="N2073" s="74">
        <f t="shared" si="1"/>
        <v>85.99264871</v>
      </c>
      <c r="O2073" s="74" t="b">
        <v>1</v>
      </c>
    </row>
    <row r="2074" hidden="1">
      <c r="A2074" s="82"/>
      <c r="B2074" s="65" t="s">
        <v>495</v>
      </c>
      <c r="C2074" s="65" t="s">
        <v>92</v>
      </c>
      <c r="D2074" s="65" t="str">
        <f>vlookup(C2074,'Classificação p pessoal'!F:G,2,false)</f>
        <v/>
      </c>
      <c r="E2074" s="65" t="s">
        <v>1293</v>
      </c>
      <c r="F2074" s="83">
        <v>0.6111111111111112</v>
      </c>
      <c r="G2074" s="83">
        <v>0.6666666666666666</v>
      </c>
      <c r="H2074" s="83">
        <v>0.05555555555555555</v>
      </c>
      <c r="I2074" s="84">
        <v>44460.0</v>
      </c>
      <c r="J2074" s="65" t="b">
        <v>1</v>
      </c>
      <c r="K2074" s="65"/>
      <c r="L2074" s="85" t="b">
        <f>IF(VLOOKUP(C2074,Projetos!A:L,12,false)=TRUE,TRUE,FALSE)</f>
        <v>1</v>
      </c>
      <c r="M2074" s="74">
        <v>73.7079846079846</v>
      </c>
      <c r="N2074" s="74">
        <f t="shared" si="1"/>
        <v>98.27731281</v>
      </c>
      <c r="O2074" s="74" t="b">
        <v>1</v>
      </c>
    </row>
    <row r="2075" hidden="1">
      <c r="A2075" s="82"/>
      <c r="B2075" s="65" t="s">
        <v>495</v>
      </c>
      <c r="C2075" s="65" t="s">
        <v>92</v>
      </c>
      <c r="D2075" s="65" t="str">
        <f>vlookup(C2075,'Classificação p pessoal'!F:G,2,false)</f>
        <v/>
      </c>
      <c r="E2075" s="65" t="s">
        <v>1285</v>
      </c>
      <c r="F2075" s="83">
        <v>0.6875</v>
      </c>
      <c r="G2075" s="83">
        <v>0.75</v>
      </c>
      <c r="H2075" s="83">
        <v>0.0625</v>
      </c>
      <c r="I2075" s="84">
        <v>44460.0</v>
      </c>
      <c r="J2075" s="65" t="b">
        <v>1</v>
      </c>
      <c r="K2075" s="65"/>
      <c r="L2075" s="85" t="b">
        <f>IF(VLOOKUP(C2075,Projetos!A:L,12,false)=TRUE,TRUE,FALSE)</f>
        <v>1</v>
      </c>
      <c r="M2075" s="74">
        <v>73.7079846079846</v>
      </c>
      <c r="N2075" s="74">
        <f t="shared" si="1"/>
        <v>110.5619769</v>
      </c>
      <c r="O2075" s="74" t="b">
        <v>1</v>
      </c>
    </row>
    <row r="2076" hidden="1">
      <c r="A2076" s="82"/>
      <c r="B2076" s="65" t="s">
        <v>469</v>
      </c>
      <c r="C2076" s="65" t="s">
        <v>106</v>
      </c>
      <c r="D2076" s="65"/>
      <c r="E2076" s="65" t="s">
        <v>1277</v>
      </c>
      <c r="F2076" s="83">
        <v>0.34375</v>
      </c>
      <c r="G2076" s="83">
        <v>0.75</v>
      </c>
      <c r="H2076" s="83">
        <v>0.40625</v>
      </c>
      <c r="I2076" s="84">
        <v>44332.0</v>
      </c>
      <c r="J2076" s="65" t="b">
        <v>0</v>
      </c>
      <c r="K2076" s="65" t="s">
        <v>150</v>
      </c>
      <c r="L2076" s="85" t="b">
        <f>IF(VLOOKUP(C2076,Projetos!A:L,12,false)=TRUE,TRUE,FALSE)</f>
        <v>1</v>
      </c>
      <c r="M2076" s="74">
        <v>37.50928062469937</v>
      </c>
      <c r="N2076" s="74">
        <f t="shared" si="1"/>
        <v>0</v>
      </c>
      <c r="O2076" s="74" t="b">
        <v>1</v>
      </c>
    </row>
    <row r="2077" hidden="1">
      <c r="A2077" s="82"/>
      <c r="B2077" s="65" t="s">
        <v>495</v>
      </c>
      <c r="C2077" s="65" t="s">
        <v>92</v>
      </c>
      <c r="D2077" s="65" t="str">
        <f>vlookup(C2077,'Classificação p pessoal'!F:G,2,false)</f>
        <v/>
      </c>
      <c r="E2077" s="65" t="s">
        <v>1294</v>
      </c>
      <c r="F2077" s="83">
        <v>0.4166666666666667</v>
      </c>
      <c r="G2077" s="83">
        <v>0.4583333333333333</v>
      </c>
      <c r="H2077" s="83">
        <v>0.041666666666666664</v>
      </c>
      <c r="I2077" s="84">
        <v>44461.0</v>
      </c>
      <c r="J2077" s="65" t="b">
        <v>1</v>
      </c>
      <c r="K2077" s="65"/>
      <c r="L2077" s="85" t="b">
        <f>IF(VLOOKUP(C2077,Projetos!A:L,12,false)=TRUE,TRUE,FALSE)</f>
        <v>1</v>
      </c>
      <c r="M2077" s="74">
        <v>73.7079846079846</v>
      </c>
      <c r="N2077" s="74">
        <f t="shared" si="1"/>
        <v>73.70798461</v>
      </c>
      <c r="O2077" s="74" t="b">
        <v>1</v>
      </c>
    </row>
    <row r="2078" hidden="1">
      <c r="A2078" s="82"/>
      <c r="B2078" s="65" t="s">
        <v>495</v>
      </c>
      <c r="C2078" s="65" t="s">
        <v>92</v>
      </c>
      <c r="D2078" s="65" t="str">
        <f>vlookup(C2078,'Classificação p pessoal'!F:G,2,false)</f>
        <v/>
      </c>
      <c r="E2078" s="65" t="s">
        <v>1295</v>
      </c>
      <c r="F2078" s="83">
        <v>0.4791666666666667</v>
      </c>
      <c r="G2078" s="83">
        <v>0.5833333333333334</v>
      </c>
      <c r="H2078" s="83">
        <v>0.10416666666666667</v>
      </c>
      <c r="I2078" s="84">
        <v>44461.0</v>
      </c>
      <c r="J2078" s="65" t="b">
        <v>1</v>
      </c>
      <c r="K2078" s="65"/>
      <c r="L2078" s="85" t="b">
        <f>IF(VLOOKUP(C2078,Projetos!A:L,12,false)=TRUE,TRUE,FALSE)</f>
        <v>1</v>
      </c>
      <c r="M2078" s="74">
        <v>73.7079846079846</v>
      </c>
      <c r="N2078" s="74">
        <f t="shared" si="1"/>
        <v>184.2699615</v>
      </c>
      <c r="O2078" s="74" t="b">
        <v>1</v>
      </c>
    </row>
    <row r="2079" hidden="1">
      <c r="A2079" s="82"/>
      <c r="B2079" s="65" t="s">
        <v>495</v>
      </c>
      <c r="C2079" s="65" t="s">
        <v>92</v>
      </c>
      <c r="D2079" s="65" t="str">
        <f>vlookup(C2079,'Classificação p pessoal'!F:G,2,false)</f>
        <v/>
      </c>
      <c r="E2079" s="65" t="s">
        <v>1271</v>
      </c>
      <c r="F2079" s="83">
        <v>0.625</v>
      </c>
      <c r="G2079" s="83">
        <v>0.75</v>
      </c>
      <c r="H2079" s="83">
        <v>0.125</v>
      </c>
      <c r="I2079" s="84">
        <v>44461.0</v>
      </c>
      <c r="J2079" s="65" t="b">
        <v>1</v>
      </c>
      <c r="K2079" s="65"/>
      <c r="L2079" s="85" t="b">
        <f>IF(VLOOKUP(C2079,Projetos!A:L,12,false)=TRUE,TRUE,FALSE)</f>
        <v>1</v>
      </c>
      <c r="M2079" s="74">
        <v>73.7079846079846</v>
      </c>
      <c r="N2079" s="74">
        <f t="shared" si="1"/>
        <v>221.1239538</v>
      </c>
      <c r="O2079" s="74" t="b">
        <v>1</v>
      </c>
    </row>
    <row r="2080">
      <c r="A2080" s="82"/>
      <c r="B2080" s="65" t="s">
        <v>495</v>
      </c>
      <c r="C2080" s="65" t="s">
        <v>108</v>
      </c>
      <c r="D2080" s="65" t="str">
        <f>vlookup(C2080,'Classificação p pessoal'!F:G,2,false)</f>
        <v>NP</v>
      </c>
      <c r="E2080" s="65" t="s">
        <v>1296</v>
      </c>
      <c r="F2080" s="83">
        <v>0.3472222222222222</v>
      </c>
      <c r="G2080" s="83">
        <v>0.3645833333333333</v>
      </c>
      <c r="H2080" s="83">
        <v>0.017361111111111112</v>
      </c>
      <c r="I2080" s="84">
        <v>44462.0</v>
      </c>
      <c r="J2080" s="65" t="b">
        <v>1</v>
      </c>
      <c r="K2080" s="65"/>
      <c r="L2080" s="85" t="b">
        <f>IF(VLOOKUP(C2080,Projetos!A:L,12,false)=TRUE,TRUE,FALSE)</f>
        <v>1</v>
      </c>
      <c r="M2080" s="74">
        <v>73.7079846079846</v>
      </c>
      <c r="N2080" s="74">
        <f t="shared" si="1"/>
        <v>30.71166025</v>
      </c>
      <c r="O2080" s="74" t="b">
        <v>1</v>
      </c>
    </row>
    <row r="2081" hidden="1">
      <c r="A2081" s="82"/>
      <c r="B2081" s="65" t="s">
        <v>495</v>
      </c>
      <c r="C2081" s="65" t="s">
        <v>92</v>
      </c>
      <c r="D2081" s="65" t="str">
        <f>vlookup(C2081,'Classificação p pessoal'!F:G,2,false)</f>
        <v/>
      </c>
      <c r="E2081" s="65" t="s">
        <v>1297</v>
      </c>
      <c r="F2081" s="83">
        <v>0.3645833333333333</v>
      </c>
      <c r="G2081" s="83">
        <v>0.3888888888888889</v>
      </c>
      <c r="H2081" s="83">
        <v>0.024305555555555556</v>
      </c>
      <c r="I2081" s="84">
        <v>44462.0</v>
      </c>
      <c r="J2081" s="65" t="b">
        <v>1</v>
      </c>
      <c r="K2081" s="65"/>
      <c r="L2081" s="85" t="b">
        <f>IF(VLOOKUP(C2081,Projetos!A:L,12,false)=TRUE,TRUE,FALSE)</f>
        <v>1</v>
      </c>
      <c r="M2081" s="74">
        <v>73.7079846079846</v>
      </c>
      <c r="N2081" s="74">
        <f t="shared" si="1"/>
        <v>42.99632435</v>
      </c>
      <c r="O2081" s="74" t="b">
        <v>1</v>
      </c>
    </row>
    <row r="2082" hidden="1">
      <c r="A2082" s="82"/>
      <c r="B2082" s="65" t="s">
        <v>495</v>
      </c>
      <c r="C2082" s="65" t="s">
        <v>92</v>
      </c>
      <c r="D2082" s="65" t="str">
        <f>vlookup(C2082,'Classificação p pessoal'!F:G,2,false)</f>
        <v/>
      </c>
      <c r="E2082" s="65" t="s">
        <v>1298</v>
      </c>
      <c r="F2082" s="83">
        <v>0.4166666666666667</v>
      </c>
      <c r="G2082" s="83">
        <v>0.5763888888888888</v>
      </c>
      <c r="H2082" s="83">
        <v>0.1597222222222222</v>
      </c>
      <c r="I2082" s="84">
        <v>44462.0</v>
      </c>
      <c r="J2082" s="65" t="b">
        <v>1</v>
      </c>
      <c r="K2082" s="65"/>
      <c r="L2082" s="85" t="b">
        <f>IF(VLOOKUP(C2082,Projetos!A:L,12,false)=TRUE,TRUE,FALSE)</f>
        <v>1</v>
      </c>
      <c r="M2082" s="74">
        <v>73.7079846079846</v>
      </c>
      <c r="N2082" s="74">
        <f t="shared" si="1"/>
        <v>282.5472743</v>
      </c>
      <c r="O2082" s="74" t="b">
        <v>1</v>
      </c>
    </row>
    <row r="2083" hidden="1">
      <c r="A2083" s="82"/>
      <c r="B2083" s="65" t="s">
        <v>495</v>
      </c>
      <c r="C2083" s="65" t="s">
        <v>92</v>
      </c>
      <c r="D2083" s="65" t="str">
        <f>vlookup(C2083,'Classificação p pessoal'!F:G,2,false)</f>
        <v/>
      </c>
      <c r="E2083" s="65" t="s">
        <v>1298</v>
      </c>
      <c r="F2083" s="83">
        <v>0.625</v>
      </c>
      <c r="G2083" s="83">
        <v>0.75</v>
      </c>
      <c r="H2083" s="83">
        <v>0.125</v>
      </c>
      <c r="I2083" s="84">
        <v>44462.0</v>
      </c>
      <c r="J2083" s="65" t="b">
        <v>1</v>
      </c>
      <c r="K2083" s="65"/>
      <c r="L2083" s="85" t="b">
        <f>IF(VLOOKUP(C2083,Projetos!A:L,12,false)=TRUE,TRUE,FALSE)</f>
        <v>1</v>
      </c>
      <c r="M2083" s="74">
        <v>73.7079846079846</v>
      </c>
      <c r="N2083" s="74">
        <f t="shared" si="1"/>
        <v>221.1239538</v>
      </c>
      <c r="O2083" s="74" t="b">
        <v>1</v>
      </c>
    </row>
    <row r="2084" hidden="1">
      <c r="A2084" s="82"/>
      <c r="B2084" s="65" t="s">
        <v>495</v>
      </c>
      <c r="C2084" s="65" t="s">
        <v>92</v>
      </c>
      <c r="D2084" s="65" t="str">
        <f>vlookup(C2084,'Classificação p pessoal'!F:G,2,false)</f>
        <v/>
      </c>
      <c r="E2084" s="65" t="s">
        <v>1299</v>
      </c>
      <c r="F2084" s="83">
        <v>0.3541666666666667</v>
      </c>
      <c r="G2084" s="83">
        <v>0.4583333333333333</v>
      </c>
      <c r="H2084" s="83">
        <v>0.10416666666666667</v>
      </c>
      <c r="I2084" s="84">
        <v>44463.0</v>
      </c>
      <c r="J2084" s="65" t="b">
        <v>1</v>
      </c>
      <c r="K2084" s="65"/>
      <c r="L2084" s="85" t="b">
        <f>IF(VLOOKUP(C2084,Projetos!A:L,12,false)=TRUE,TRUE,FALSE)</f>
        <v>1</v>
      </c>
      <c r="M2084" s="74">
        <v>73.7079846079846</v>
      </c>
      <c r="N2084" s="74">
        <f t="shared" si="1"/>
        <v>184.2699615</v>
      </c>
      <c r="O2084" s="74" t="b">
        <v>1</v>
      </c>
    </row>
    <row r="2085" hidden="1">
      <c r="A2085" s="82"/>
      <c r="B2085" s="65" t="s">
        <v>495</v>
      </c>
      <c r="C2085" s="65" t="s">
        <v>92</v>
      </c>
      <c r="D2085" s="65"/>
      <c r="E2085" s="65" t="s">
        <v>1300</v>
      </c>
      <c r="F2085" s="83">
        <v>0.46875</v>
      </c>
      <c r="G2085" s="83">
        <v>0.5763888888888888</v>
      </c>
      <c r="H2085" s="83">
        <v>0.1076388888888889</v>
      </c>
      <c r="I2085" s="84">
        <v>44463.0</v>
      </c>
      <c r="J2085" s="65" t="b">
        <v>0</v>
      </c>
      <c r="K2085" s="65" t="s">
        <v>150</v>
      </c>
      <c r="L2085" s="85" t="b">
        <f>IF(VLOOKUP(C2085,Projetos!A:L,12,false)=TRUE,TRUE,FALSE)</f>
        <v>1</v>
      </c>
      <c r="M2085" s="74">
        <v>73.7079846079846</v>
      </c>
      <c r="N2085" s="74">
        <f t="shared" si="1"/>
        <v>0</v>
      </c>
      <c r="O2085" s="74" t="b">
        <v>1</v>
      </c>
    </row>
    <row r="2086" hidden="1">
      <c r="A2086" s="82"/>
      <c r="B2086" s="65" t="s">
        <v>495</v>
      </c>
      <c r="C2086" s="65" t="s">
        <v>92</v>
      </c>
      <c r="D2086" s="65" t="str">
        <f>vlookup(C2086,'Classificação p pessoal'!F:G,2,false)</f>
        <v/>
      </c>
      <c r="E2086" s="65" t="s">
        <v>1301</v>
      </c>
      <c r="F2086" s="83">
        <v>0.625</v>
      </c>
      <c r="G2086" s="83">
        <v>0.71875</v>
      </c>
      <c r="H2086" s="83">
        <v>0.09375</v>
      </c>
      <c r="I2086" s="84">
        <v>44463.0</v>
      </c>
      <c r="J2086" s="65" t="b">
        <v>1</v>
      </c>
      <c r="K2086" s="65"/>
      <c r="L2086" s="85" t="b">
        <f>IF(VLOOKUP(C2086,Projetos!A:L,12,false)=TRUE,TRUE,FALSE)</f>
        <v>1</v>
      </c>
      <c r="M2086" s="74">
        <v>73.7079846079846</v>
      </c>
      <c r="N2086" s="74">
        <f t="shared" si="1"/>
        <v>165.8429654</v>
      </c>
      <c r="O2086" s="74" t="b">
        <v>1</v>
      </c>
    </row>
    <row r="2087" hidden="1">
      <c r="A2087" s="82"/>
      <c r="B2087" s="65" t="s">
        <v>495</v>
      </c>
      <c r="C2087" s="65" t="s">
        <v>92</v>
      </c>
      <c r="D2087" s="65" t="str">
        <f>vlookup(C2087,'Classificação p pessoal'!F:G,2,false)</f>
        <v/>
      </c>
      <c r="E2087" s="65" t="s">
        <v>1302</v>
      </c>
      <c r="F2087" s="83">
        <v>0.71875</v>
      </c>
      <c r="G2087" s="83">
        <v>0.7361111111111112</v>
      </c>
      <c r="H2087" s="83">
        <v>0.017361111111111112</v>
      </c>
      <c r="I2087" s="84">
        <v>44463.0</v>
      </c>
      <c r="J2087" s="65" t="b">
        <v>1</v>
      </c>
      <c r="K2087" s="65"/>
      <c r="L2087" s="85" t="b">
        <f>IF(VLOOKUP(C2087,Projetos!A:L,12,false)=TRUE,TRUE,FALSE)</f>
        <v>1</v>
      </c>
      <c r="M2087" s="74">
        <v>73.7079846079846</v>
      </c>
      <c r="N2087" s="74">
        <f t="shared" si="1"/>
        <v>30.71166025</v>
      </c>
      <c r="O2087" s="74" t="b">
        <v>1</v>
      </c>
    </row>
    <row r="2088" hidden="1">
      <c r="A2088" s="82"/>
      <c r="B2088" s="65" t="s">
        <v>495</v>
      </c>
      <c r="C2088" s="65" t="s">
        <v>117</v>
      </c>
      <c r="D2088" s="65"/>
      <c r="E2088" s="65" t="s">
        <v>1303</v>
      </c>
      <c r="F2088" s="83">
        <v>0.3472222222222222</v>
      </c>
      <c r="G2088" s="83">
        <v>0.4166666666666667</v>
      </c>
      <c r="H2088" s="83">
        <v>0.06944444444444445</v>
      </c>
      <c r="I2088" s="84">
        <v>44399.0</v>
      </c>
      <c r="J2088" s="65" t="b">
        <v>0</v>
      </c>
      <c r="K2088" s="65"/>
      <c r="L2088" s="85" t="b">
        <f>IF(VLOOKUP(C2088,Projetos!A:L,12,false)=TRUE,TRUE,FALSE)</f>
        <v>1</v>
      </c>
      <c r="M2088" s="74">
        <v>73.7079846079846</v>
      </c>
      <c r="N2088" s="74">
        <f t="shared" si="1"/>
        <v>0</v>
      </c>
      <c r="O2088" s="74" t="b">
        <v>1</v>
      </c>
    </row>
    <row r="2089">
      <c r="A2089" s="82"/>
      <c r="B2089" s="65" t="s">
        <v>495</v>
      </c>
      <c r="C2089" s="65" t="s">
        <v>108</v>
      </c>
      <c r="D2089" s="65" t="str">
        <f>vlookup(C2089,'Classificação p pessoal'!F:G,2,false)</f>
        <v>NP</v>
      </c>
      <c r="E2089" s="65" t="s">
        <v>1304</v>
      </c>
      <c r="F2089" s="83">
        <v>0.375</v>
      </c>
      <c r="G2089" s="83">
        <v>0.3958333333333333</v>
      </c>
      <c r="H2089" s="83">
        <v>0.020833333333333332</v>
      </c>
      <c r="I2089" s="84">
        <v>44466.0</v>
      </c>
      <c r="J2089" s="65" t="b">
        <v>1</v>
      </c>
      <c r="K2089" s="65"/>
      <c r="L2089" s="85" t="b">
        <f>IF(VLOOKUP(C2089,Projetos!A:L,12,false)=TRUE,TRUE,FALSE)</f>
        <v>1</v>
      </c>
      <c r="M2089" s="74">
        <v>73.7079846079846</v>
      </c>
      <c r="N2089" s="74">
        <f t="shared" si="1"/>
        <v>36.8539923</v>
      </c>
      <c r="O2089" s="74" t="b">
        <v>1</v>
      </c>
    </row>
    <row r="2090" hidden="1">
      <c r="A2090" s="82"/>
      <c r="B2090" s="65" t="s">
        <v>495</v>
      </c>
      <c r="C2090" s="65" t="s">
        <v>92</v>
      </c>
      <c r="D2090" s="65" t="str">
        <f>vlookup(C2090,'Classificação p pessoal'!F:G,2,false)</f>
        <v/>
      </c>
      <c r="E2090" s="65" t="s">
        <v>1305</v>
      </c>
      <c r="F2090" s="83">
        <v>0.3958333333333333</v>
      </c>
      <c r="G2090" s="83">
        <v>0.4583333333333333</v>
      </c>
      <c r="H2090" s="83">
        <v>0.0625</v>
      </c>
      <c r="I2090" s="84">
        <v>44466.0</v>
      </c>
      <c r="J2090" s="65" t="b">
        <v>1</v>
      </c>
      <c r="K2090" s="65"/>
      <c r="L2090" s="85" t="b">
        <f>IF(VLOOKUP(C2090,Projetos!A:L,12,false)=TRUE,TRUE,FALSE)</f>
        <v>1</v>
      </c>
      <c r="M2090" s="74">
        <v>73.7079846079846</v>
      </c>
      <c r="N2090" s="74">
        <f t="shared" si="1"/>
        <v>110.5619769</v>
      </c>
      <c r="O2090" s="74" t="b">
        <v>1</v>
      </c>
    </row>
    <row r="2091" hidden="1">
      <c r="A2091" s="82"/>
      <c r="B2091" s="65" t="s">
        <v>495</v>
      </c>
      <c r="C2091" s="65" t="s">
        <v>92</v>
      </c>
      <c r="D2091" s="65" t="str">
        <f>vlookup(C2091,'Classificação p pessoal'!F:G,2,false)</f>
        <v/>
      </c>
      <c r="E2091" s="65" t="s">
        <v>1305</v>
      </c>
      <c r="F2091" s="83">
        <v>0.4791666666666667</v>
      </c>
      <c r="G2091" s="83">
        <v>0.5763888888888888</v>
      </c>
      <c r="H2091" s="83">
        <v>0.09722222222222222</v>
      </c>
      <c r="I2091" s="84">
        <v>44466.0</v>
      </c>
      <c r="J2091" s="65" t="b">
        <v>1</v>
      </c>
      <c r="K2091" s="65"/>
      <c r="L2091" s="85" t="b">
        <f>IF(VLOOKUP(C2091,Projetos!A:L,12,false)=TRUE,TRUE,FALSE)</f>
        <v>1</v>
      </c>
      <c r="M2091" s="74">
        <v>73.7079846079846</v>
      </c>
      <c r="N2091" s="74">
        <f t="shared" si="1"/>
        <v>171.9852974</v>
      </c>
      <c r="O2091" s="74" t="b">
        <v>1</v>
      </c>
    </row>
    <row r="2092" hidden="1">
      <c r="A2092" s="82"/>
      <c r="B2092" s="65" t="s">
        <v>495</v>
      </c>
      <c r="C2092" s="65" t="s">
        <v>92</v>
      </c>
      <c r="D2092" s="65" t="str">
        <f>vlookup(C2092,'Classificação p pessoal'!F:G,2,false)</f>
        <v/>
      </c>
      <c r="E2092" s="65" t="s">
        <v>1305</v>
      </c>
      <c r="F2092" s="83">
        <v>0.625</v>
      </c>
      <c r="G2092" s="83">
        <v>0.6944444444444444</v>
      </c>
      <c r="H2092" s="83">
        <v>0.06944444444444445</v>
      </c>
      <c r="I2092" s="84">
        <v>44466.0</v>
      </c>
      <c r="J2092" s="65" t="b">
        <v>1</v>
      </c>
      <c r="K2092" s="65"/>
      <c r="L2092" s="85" t="b">
        <f>IF(VLOOKUP(C2092,Projetos!A:L,12,false)=TRUE,TRUE,FALSE)</f>
        <v>1</v>
      </c>
      <c r="M2092" s="74">
        <v>73.7079846079846</v>
      </c>
      <c r="N2092" s="74">
        <f t="shared" si="1"/>
        <v>122.846641</v>
      </c>
      <c r="O2092" s="74" t="b">
        <v>1</v>
      </c>
    </row>
    <row r="2093" hidden="1">
      <c r="A2093" s="82"/>
      <c r="B2093" s="65" t="s">
        <v>495</v>
      </c>
      <c r="C2093" s="65" t="s">
        <v>92</v>
      </c>
      <c r="D2093" s="65" t="str">
        <f>vlookup(C2093,'Classificação p pessoal'!F:G,2,false)</f>
        <v/>
      </c>
      <c r="E2093" s="65" t="s">
        <v>1306</v>
      </c>
      <c r="F2093" s="83">
        <v>0.6354166666666666</v>
      </c>
      <c r="G2093" s="83">
        <v>0.7638888888888888</v>
      </c>
      <c r="H2093" s="83">
        <v>0.1284722222222222</v>
      </c>
      <c r="I2093" s="84">
        <v>44466.0</v>
      </c>
      <c r="J2093" s="65" t="b">
        <v>1</v>
      </c>
      <c r="K2093" s="65"/>
      <c r="L2093" s="85" t="b">
        <f>IF(VLOOKUP(C2093,Projetos!A:L,12,false)=TRUE,TRUE,FALSE)</f>
        <v>1</v>
      </c>
      <c r="M2093" s="74">
        <v>73.7079846079846</v>
      </c>
      <c r="N2093" s="74">
        <f t="shared" si="1"/>
        <v>227.2662859</v>
      </c>
      <c r="O2093" s="74" t="b">
        <v>1</v>
      </c>
    </row>
    <row r="2094" hidden="1">
      <c r="A2094" s="82"/>
      <c r="B2094" s="65" t="s">
        <v>495</v>
      </c>
      <c r="C2094" s="65" t="s">
        <v>92</v>
      </c>
      <c r="D2094" s="65" t="str">
        <f>vlookup(C2094,'Classificação p pessoal'!F:G,2,false)</f>
        <v/>
      </c>
      <c r="E2094" s="65" t="s">
        <v>1306</v>
      </c>
      <c r="F2094" s="83">
        <v>0.3541666666666667</v>
      </c>
      <c r="G2094" s="83">
        <v>0.4166666666666667</v>
      </c>
      <c r="H2094" s="83">
        <v>0.0625</v>
      </c>
      <c r="I2094" s="84">
        <v>44467.0</v>
      </c>
      <c r="J2094" s="65" t="b">
        <v>1</v>
      </c>
      <c r="K2094" s="65"/>
      <c r="L2094" s="85" t="b">
        <f>IF(VLOOKUP(C2094,Projetos!A:L,12,false)=TRUE,TRUE,FALSE)</f>
        <v>1</v>
      </c>
      <c r="M2094" s="74">
        <v>73.7079846079846</v>
      </c>
      <c r="N2094" s="74">
        <f t="shared" si="1"/>
        <v>110.5619769</v>
      </c>
      <c r="O2094" s="74" t="b">
        <v>1</v>
      </c>
    </row>
    <row r="2095" hidden="1">
      <c r="A2095" s="82"/>
      <c r="B2095" s="65" t="s">
        <v>495</v>
      </c>
      <c r="C2095" s="65" t="s">
        <v>92</v>
      </c>
      <c r="D2095" s="65" t="str">
        <f>vlookup(C2095,'Classificação p pessoal'!F:G,2,false)</f>
        <v/>
      </c>
      <c r="E2095" s="65" t="s">
        <v>1307</v>
      </c>
      <c r="F2095" s="83">
        <v>0.4166666666666667</v>
      </c>
      <c r="G2095" s="83">
        <v>0.4618055555555556</v>
      </c>
      <c r="H2095" s="83">
        <v>0.04513888888888889</v>
      </c>
      <c r="I2095" s="84">
        <v>44467.0</v>
      </c>
      <c r="J2095" s="65" t="b">
        <v>1</v>
      </c>
      <c r="K2095" s="65"/>
      <c r="L2095" s="85" t="b">
        <f>IF(VLOOKUP(C2095,Projetos!A:L,12,false)=TRUE,TRUE,FALSE)</f>
        <v>1</v>
      </c>
      <c r="M2095" s="74">
        <v>73.7079846079846</v>
      </c>
      <c r="N2095" s="74">
        <f t="shared" si="1"/>
        <v>79.85031666</v>
      </c>
      <c r="O2095" s="74" t="b">
        <v>1</v>
      </c>
    </row>
    <row r="2096" hidden="1">
      <c r="A2096" s="82"/>
      <c r="B2096" s="65" t="s">
        <v>495</v>
      </c>
      <c r="C2096" s="65" t="s">
        <v>117</v>
      </c>
      <c r="D2096" s="65" t="str">
        <f>vlookup(C2096,'Classificação p pessoal'!F:G,2,false)</f>
        <v>NP</v>
      </c>
      <c r="E2096" s="65" t="s">
        <v>1308</v>
      </c>
      <c r="F2096" s="83">
        <v>0.4722222222222222</v>
      </c>
      <c r="G2096" s="83">
        <v>0.5</v>
      </c>
      <c r="H2096" s="83">
        <v>0.027777777777777776</v>
      </c>
      <c r="I2096" s="84">
        <v>44467.0</v>
      </c>
      <c r="J2096" s="65" t="b">
        <v>1</v>
      </c>
      <c r="K2096" s="65"/>
      <c r="L2096" s="85" t="b">
        <f>IF(VLOOKUP(C2096,Projetos!A:L,12,false)=TRUE,TRUE,FALSE)</f>
        <v>1</v>
      </c>
      <c r="M2096" s="74">
        <v>73.7079846079846</v>
      </c>
      <c r="N2096" s="74">
        <f t="shared" si="1"/>
        <v>49.13865641</v>
      </c>
      <c r="O2096" s="74" t="b">
        <v>1</v>
      </c>
    </row>
    <row r="2097" hidden="1">
      <c r="A2097" s="82"/>
      <c r="B2097" s="65" t="s">
        <v>495</v>
      </c>
      <c r="C2097" s="65" t="s">
        <v>92</v>
      </c>
      <c r="D2097" s="65" t="str">
        <f>vlookup(C2097,'Classificação p pessoal'!F:G,2,false)</f>
        <v/>
      </c>
      <c r="E2097" s="65" t="s">
        <v>1306</v>
      </c>
      <c r="F2097" s="83">
        <v>0.5</v>
      </c>
      <c r="G2097" s="83">
        <v>0.5763888888888888</v>
      </c>
      <c r="H2097" s="83">
        <v>0.0763888888888889</v>
      </c>
      <c r="I2097" s="84">
        <v>44467.0</v>
      </c>
      <c r="J2097" s="65" t="b">
        <v>1</v>
      </c>
      <c r="K2097" s="65"/>
      <c r="L2097" s="85" t="b">
        <f>IF(VLOOKUP(C2097,Projetos!A:L,12,false)=TRUE,TRUE,FALSE)</f>
        <v>1</v>
      </c>
      <c r="M2097" s="74">
        <v>73.7079846079846</v>
      </c>
      <c r="N2097" s="74">
        <f t="shared" si="1"/>
        <v>135.1313051</v>
      </c>
      <c r="O2097" s="74" t="b">
        <v>1</v>
      </c>
    </row>
    <row r="2098">
      <c r="A2098" s="82"/>
      <c r="B2098" s="65" t="s">
        <v>495</v>
      </c>
      <c r="C2098" s="65" t="s">
        <v>108</v>
      </c>
      <c r="D2098" s="65"/>
      <c r="E2098" s="65" t="s">
        <v>1309</v>
      </c>
      <c r="F2098" s="83">
        <v>0.4375</v>
      </c>
      <c r="G2098" s="83">
        <v>0.46875</v>
      </c>
      <c r="H2098" s="83">
        <v>0.03125</v>
      </c>
      <c r="I2098" s="84">
        <v>44452.0</v>
      </c>
      <c r="J2098" s="65" t="b">
        <v>0</v>
      </c>
      <c r="K2098" s="65"/>
      <c r="L2098" s="85" t="b">
        <f>IF(VLOOKUP(C2098,Projetos!A:L,12,false)=TRUE,TRUE,FALSE)</f>
        <v>1</v>
      </c>
      <c r="M2098" s="74">
        <v>73.7079846079846</v>
      </c>
      <c r="N2098" s="74">
        <f t="shared" si="1"/>
        <v>0</v>
      </c>
      <c r="O2098" s="74" t="b">
        <v>1</v>
      </c>
    </row>
    <row r="2099" hidden="1">
      <c r="A2099" s="82"/>
      <c r="B2099" s="65" t="s">
        <v>495</v>
      </c>
      <c r="C2099" s="65" t="s">
        <v>92</v>
      </c>
      <c r="D2099" s="65"/>
      <c r="E2099" s="65" t="s">
        <v>1310</v>
      </c>
      <c r="F2099" s="83">
        <v>0.6458333333333334</v>
      </c>
      <c r="G2099" s="83">
        <v>0.6736111111111112</v>
      </c>
      <c r="H2099" s="83">
        <v>0.027777777777777776</v>
      </c>
      <c r="I2099" s="84">
        <v>44467.0</v>
      </c>
      <c r="J2099" s="65" t="b">
        <v>0</v>
      </c>
      <c r="K2099" s="65" t="s">
        <v>150</v>
      </c>
      <c r="L2099" s="85" t="b">
        <f>IF(VLOOKUP(C2099,Projetos!A:L,12,false)=TRUE,TRUE,FALSE)</f>
        <v>1</v>
      </c>
      <c r="M2099" s="74">
        <v>73.7079846079846</v>
      </c>
      <c r="N2099" s="74">
        <f t="shared" si="1"/>
        <v>0</v>
      </c>
      <c r="O2099" s="74" t="b">
        <v>1</v>
      </c>
    </row>
    <row r="2100" hidden="1">
      <c r="A2100" s="82"/>
      <c r="B2100" s="65" t="s">
        <v>495</v>
      </c>
      <c r="C2100" s="65" t="s">
        <v>92</v>
      </c>
      <c r="D2100" s="65" t="str">
        <f>vlookup(C2100,'Classificação p pessoal'!F:G,2,false)</f>
        <v/>
      </c>
      <c r="E2100" s="65" t="s">
        <v>1306</v>
      </c>
      <c r="F2100" s="83">
        <v>0.6736111111111112</v>
      </c>
      <c r="G2100" s="83">
        <v>0.6944444444444444</v>
      </c>
      <c r="H2100" s="83">
        <v>0.020833333333333332</v>
      </c>
      <c r="I2100" s="84">
        <v>44467.0</v>
      </c>
      <c r="J2100" s="65" t="b">
        <v>1</v>
      </c>
      <c r="K2100" s="65"/>
      <c r="L2100" s="85" t="b">
        <f>IF(VLOOKUP(C2100,Projetos!A:L,12,false)=TRUE,TRUE,FALSE)</f>
        <v>1</v>
      </c>
      <c r="M2100" s="74">
        <v>73.7079846079846</v>
      </c>
      <c r="N2100" s="74">
        <f t="shared" si="1"/>
        <v>36.8539923</v>
      </c>
      <c r="O2100" s="74" t="b">
        <v>1</v>
      </c>
    </row>
    <row r="2101" hidden="1">
      <c r="A2101" s="82"/>
      <c r="B2101" s="65" t="s">
        <v>495</v>
      </c>
      <c r="C2101" s="65" t="s">
        <v>92</v>
      </c>
      <c r="D2101" s="65" t="str">
        <f>vlookup(C2101,'Classificação p pessoal'!F:G,2,false)</f>
        <v/>
      </c>
      <c r="E2101" s="65" t="s">
        <v>1306</v>
      </c>
      <c r="F2101" s="83">
        <v>0.7152777777777778</v>
      </c>
      <c r="G2101" s="83">
        <v>0.7638888888888888</v>
      </c>
      <c r="H2101" s="83">
        <v>0.04861111111111111</v>
      </c>
      <c r="I2101" s="84">
        <v>44467.0</v>
      </c>
      <c r="J2101" s="65" t="b">
        <v>1</v>
      </c>
      <c r="K2101" s="65"/>
      <c r="L2101" s="85" t="b">
        <f>IF(VLOOKUP(C2101,Projetos!A:L,12,false)=TRUE,TRUE,FALSE)</f>
        <v>1</v>
      </c>
      <c r="M2101" s="74">
        <v>73.7079846079846</v>
      </c>
      <c r="N2101" s="74">
        <f t="shared" si="1"/>
        <v>85.99264871</v>
      </c>
      <c r="O2101" s="74" t="b">
        <v>1</v>
      </c>
    </row>
    <row r="2102" hidden="1">
      <c r="A2102" s="82"/>
      <c r="B2102" s="65" t="s">
        <v>495</v>
      </c>
      <c r="C2102" s="65" t="s">
        <v>117</v>
      </c>
      <c r="D2102" s="65" t="str">
        <f>vlookup(C2102,'Classificação p pessoal'!F:G,2,false)</f>
        <v>NP</v>
      </c>
      <c r="E2102" s="65" t="s">
        <v>1311</v>
      </c>
      <c r="F2102" s="83">
        <v>0.3541666666666667</v>
      </c>
      <c r="G2102" s="83">
        <v>0.3854166666666667</v>
      </c>
      <c r="H2102" s="83">
        <v>0.03125</v>
      </c>
      <c r="I2102" s="84">
        <v>44468.0</v>
      </c>
      <c r="J2102" s="65" t="b">
        <v>1</v>
      </c>
      <c r="K2102" s="65"/>
      <c r="L2102" s="85" t="b">
        <f>IF(VLOOKUP(C2102,Projetos!A:L,12,false)=TRUE,TRUE,FALSE)</f>
        <v>1</v>
      </c>
      <c r="M2102" s="74">
        <v>73.7079846079846</v>
      </c>
      <c r="N2102" s="74">
        <f t="shared" si="1"/>
        <v>55.28098846</v>
      </c>
      <c r="O2102" s="74" t="b">
        <v>1</v>
      </c>
    </row>
    <row r="2103" hidden="1">
      <c r="A2103" s="82"/>
      <c r="B2103" s="65" t="s">
        <v>495</v>
      </c>
      <c r="C2103" s="65" t="s">
        <v>92</v>
      </c>
      <c r="D2103" s="65" t="str">
        <f>vlookup(C2103,'Classificação p pessoal'!F:G,2,false)</f>
        <v/>
      </c>
      <c r="E2103" s="65" t="s">
        <v>1312</v>
      </c>
      <c r="F2103" s="83">
        <v>0.3854166666666667</v>
      </c>
      <c r="G2103" s="83">
        <v>0.4270833333333333</v>
      </c>
      <c r="H2103" s="83">
        <v>0.041666666666666664</v>
      </c>
      <c r="I2103" s="84">
        <v>44468.0</v>
      </c>
      <c r="J2103" s="65" t="b">
        <v>1</v>
      </c>
      <c r="K2103" s="65"/>
      <c r="L2103" s="85" t="b">
        <f>IF(VLOOKUP(C2103,Projetos!A:L,12,false)=TRUE,TRUE,FALSE)</f>
        <v>1</v>
      </c>
      <c r="M2103" s="74">
        <v>73.7079846079846</v>
      </c>
      <c r="N2103" s="74">
        <f t="shared" si="1"/>
        <v>73.70798461</v>
      </c>
      <c r="O2103" s="74" t="b">
        <v>1</v>
      </c>
    </row>
    <row r="2104" hidden="1">
      <c r="A2104" s="82"/>
      <c r="B2104" s="65" t="s">
        <v>495</v>
      </c>
      <c r="C2104" s="65" t="s">
        <v>117</v>
      </c>
      <c r="D2104" s="65" t="str">
        <f>vlookup(C2104,'Classificação p pessoal'!F:G,2,false)</f>
        <v>NP</v>
      </c>
      <c r="E2104" s="65" t="s">
        <v>1313</v>
      </c>
      <c r="F2104" s="83">
        <v>0.4270833333333333</v>
      </c>
      <c r="G2104" s="83">
        <v>0.4479166666666667</v>
      </c>
      <c r="H2104" s="83">
        <v>0.020833333333333332</v>
      </c>
      <c r="I2104" s="84">
        <v>44468.0</v>
      </c>
      <c r="J2104" s="65" t="b">
        <v>1</v>
      </c>
      <c r="K2104" s="65"/>
      <c r="L2104" s="85" t="b">
        <f>IF(VLOOKUP(C2104,Projetos!A:L,12,false)=TRUE,TRUE,FALSE)</f>
        <v>1</v>
      </c>
      <c r="M2104" s="74">
        <v>73.7079846079846</v>
      </c>
      <c r="N2104" s="74">
        <f t="shared" si="1"/>
        <v>36.8539923</v>
      </c>
      <c r="O2104" s="74" t="b">
        <v>1</v>
      </c>
    </row>
    <row r="2105" hidden="1">
      <c r="A2105" s="82"/>
      <c r="B2105" s="65" t="s">
        <v>495</v>
      </c>
      <c r="C2105" s="65" t="s">
        <v>92</v>
      </c>
      <c r="D2105" s="65" t="str">
        <f>vlookup(C2105,'Classificação p pessoal'!F:G,2,false)</f>
        <v/>
      </c>
      <c r="E2105" s="65" t="s">
        <v>1306</v>
      </c>
      <c r="F2105" s="83">
        <v>0.4583333333333333</v>
      </c>
      <c r="G2105" s="83">
        <v>0.5729166666666666</v>
      </c>
      <c r="H2105" s="83">
        <v>0.11458333333333333</v>
      </c>
      <c r="I2105" s="84">
        <v>44468.0</v>
      </c>
      <c r="J2105" s="65" t="b">
        <v>1</v>
      </c>
      <c r="K2105" s="65"/>
      <c r="L2105" s="85" t="b">
        <f>IF(VLOOKUP(C2105,Projetos!A:L,12,false)=TRUE,TRUE,FALSE)</f>
        <v>1</v>
      </c>
      <c r="M2105" s="74">
        <v>73.7079846079846</v>
      </c>
      <c r="N2105" s="74">
        <f t="shared" si="1"/>
        <v>202.6969577</v>
      </c>
      <c r="O2105" s="74" t="b">
        <v>1</v>
      </c>
    </row>
    <row r="2106" hidden="1">
      <c r="A2106" s="82"/>
      <c r="B2106" s="65" t="s">
        <v>495</v>
      </c>
      <c r="C2106" s="65" t="s">
        <v>92</v>
      </c>
      <c r="D2106" s="65" t="str">
        <f>vlookup(C2106,'Classificação p pessoal'!F:G,2,false)</f>
        <v/>
      </c>
      <c r="E2106" s="65" t="s">
        <v>1306</v>
      </c>
      <c r="F2106" s="83">
        <v>0.6145833333333334</v>
      </c>
      <c r="G2106" s="83">
        <v>0.6944444444444444</v>
      </c>
      <c r="H2106" s="83">
        <v>0.0798611111111111</v>
      </c>
      <c r="I2106" s="84">
        <v>44468.0</v>
      </c>
      <c r="J2106" s="65" t="b">
        <v>1</v>
      </c>
      <c r="K2106" s="65"/>
      <c r="L2106" s="85" t="b">
        <f>IF(VLOOKUP(C2106,Projetos!A:L,12,false)=TRUE,TRUE,FALSE)</f>
        <v>1</v>
      </c>
      <c r="M2106" s="74">
        <v>73.7079846079846</v>
      </c>
      <c r="N2106" s="74">
        <f t="shared" si="1"/>
        <v>141.2736372</v>
      </c>
      <c r="O2106" s="74" t="b">
        <v>1</v>
      </c>
    </row>
    <row r="2107" hidden="1">
      <c r="A2107" s="82"/>
      <c r="B2107" s="65" t="s">
        <v>495</v>
      </c>
      <c r="C2107" s="65" t="s">
        <v>92</v>
      </c>
      <c r="D2107" s="65" t="str">
        <f>vlookup(C2107,'Classificação p pessoal'!F:G,2,false)</f>
        <v/>
      </c>
      <c r="E2107" s="65" t="s">
        <v>1306</v>
      </c>
      <c r="F2107" s="83">
        <v>0.6319444444444444</v>
      </c>
      <c r="G2107" s="83">
        <v>0.7638888888888888</v>
      </c>
      <c r="H2107" s="83">
        <v>0.13194444444444445</v>
      </c>
      <c r="I2107" s="84">
        <v>44468.0</v>
      </c>
      <c r="J2107" s="65" t="b">
        <v>1</v>
      </c>
      <c r="K2107" s="65"/>
      <c r="L2107" s="85" t="b">
        <f>IF(VLOOKUP(C2107,Projetos!A:L,12,false)=TRUE,TRUE,FALSE)</f>
        <v>1</v>
      </c>
      <c r="M2107" s="74">
        <v>73.7079846079846</v>
      </c>
      <c r="N2107" s="74">
        <f t="shared" si="1"/>
        <v>233.4086179</v>
      </c>
      <c r="O2107" s="74" t="b">
        <v>1</v>
      </c>
    </row>
    <row r="2108" hidden="1">
      <c r="A2108" s="82"/>
      <c r="B2108" s="65" t="s">
        <v>495</v>
      </c>
      <c r="C2108" s="65" t="s">
        <v>92</v>
      </c>
      <c r="D2108" s="65" t="str">
        <f>vlookup(C2108,'Classificação p pessoal'!F:G,2,false)</f>
        <v/>
      </c>
      <c r="E2108" s="65" t="s">
        <v>1306</v>
      </c>
      <c r="F2108" s="83">
        <v>0.3541666666666667</v>
      </c>
      <c r="G2108" s="83">
        <v>0.5</v>
      </c>
      <c r="H2108" s="83">
        <v>0.14583333333333334</v>
      </c>
      <c r="I2108" s="84">
        <v>44469.0</v>
      </c>
      <c r="J2108" s="65" t="b">
        <v>1</v>
      </c>
      <c r="K2108" s="65"/>
      <c r="L2108" s="85" t="b">
        <f>IF(VLOOKUP(C2108,Projetos!A:L,12,false)=TRUE,TRUE,FALSE)</f>
        <v>1</v>
      </c>
      <c r="M2108" s="74">
        <v>73.7079846079846</v>
      </c>
      <c r="N2108" s="74">
        <f t="shared" si="1"/>
        <v>257.9779461</v>
      </c>
      <c r="O2108" s="74" t="b">
        <v>1</v>
      </c>
    </row>
    <row r="2109" hidden="1">
      <c r="A2109" s="82"/>
      <c r="B2109" s="65" t="s">
        <v>495</v>
      </c>
      <c r="C2109" s="65" t="s">
        <v>92</v>
      </c>
      <c r="D2109" s="65" t="str">
        <f>vlookup(C2109,'Classificação p pessoal'!F:G,2,false)</f>
        <v/>
      </c>
      <c r="E2109" s="65" t="s">
        <v>1314</v>
      </c>
      <c r="F2109" s="83">
        <v>0.5138888888888888</v>
      </c>
      <c r="G2109" s="83">
        <v>0.5763888888888888</v>
      </c>
      <c r="H2109" s="83">
        <v>0.0625</v>
      </c>
      <c r="I2109" s="84">
        <v>44469.0</v>
      </c>
      <c r="J2109" s="65" t="b">
        <v>1</v>
      </c>
      <c r="K2109" s="65"/>
      <c r="L2109" s="85" t="b">
        <f>IF(VLOOKUP(C2109,Projetos!A:L,12,false)=TRUE,TRUE,FALSE)</f>
        <v>1</v>
      </c>
      <c r="M2109" s="74">
        <v>73.7079846079846</v>
      </c>
      <c r="N2109" s="74">
        <f t="shared" si="1"/>
        <v>110.5619769</v>
      </c>
      <c r="O2109" s="74" t="b">
        <v>1</v>
      </c>
    </row>
    <row r="2110" hidden="1">
      <c r="A2110" s="82"/>
      <c r="B2110" s="65" t="s">
        <v>495</v>
      </c>
      <c r="C2110" s="65" t="s">
        <v>92</v>
      </c>
      <c r="D2110" s="65" t="str">
        <f>vlookup(C2110,'Classificação p pessoal'!F:G,2,false)</f>
        <v/>
      </c>
      <c r="E2110" s="65" t="s">
        <v>1315</v>
      </c>
      <c r="F2110" s="83">
        <v>0.6180555555555556</v>
      </c>
      <c r="G2110" s="83">
        <v>0.6527777777777778</v>
      </c>
      <c r="H2110" s="83">
        <v>0.034722222222222224</v>
      </c>
      <c r="I2110" s="84">
        <v>44469.0</v>
      </c>
      <c r="J2110" s="65" t="b">
        <v>1</v>
      </c>
      <c r="K2110" s="65"/>
      <c r="L2110" s="85" t="b">
        <f>IF(VLOOKUP(C2110,Projetos!A:L,12,false)=TRUE,TRUE,FALSE)</f>
        <v>1</v>
      </c>
      <c r="M2110" s="74">
        <v>73.7079846079846</v>
      </c>
      <c r="N2110" s="74">
        <f t="shared" si="1"/>
        <v>61.42332051</v>
      </c>
      <c r="O2110" s="74" t="b">
        <v>1</v>
      </c>
    </row>
    <row r="2111" hidden="1">
      <c r="A2111" s="82"/>
      <c r="B2111" s="65" t="s">
        <v>495</v>
      </c>
      <c r="C2111" s="65" t="s">
        <v>92</v>
      </c>
      <c r="D2111" s="65" t="str">
        <f>vlookup(C2111,'Classificação p pessoal'!F:G,2,false)</f>
        <v/>
      </c>
      <c r="E2111" s="65" t="s">
        <v>1316</v>
      </c>
      <c r="F2111" s="83">
        <v>0.6527777777777778</v>
      </c>
      <c r="G2111" s="83">
        <v>0.6944444444444444</v>
      </c>
      <c r="H2111" s="83">
        <v>0.041666666666666664</v>
      </c>
      <c r="I2111" s="84">
        <v>44469.0</v>
      </c>
      <c r="J2111" s="65" t="b">
        <v>1</v>
      </c>
      <c r="K2111" s="65"/>
      <c r="L2111" s="85" t="b">
        <f>IF(VLOOKUP(C2111,Projetos!A:L,12,false)=TRUE,TRUE,FALSE)</f>
        <v>1</v>
      </c>
      <c r="M2111" s="74">
        <v>73.7079846079846</v>
      </c>
      <c r="N2111" s="74">
        <f t="shared" si="1"/>
        <v>73.70798461</v>
      </c>
      <c r="O2111" s="74" t="b">
        <v>1</v>
      </c>
    </row>
    <row r="2112" hidden="1">
      <c r="A2112" s="82"/>
      <c r="B2112" s="65" t="s">
        <v>495</v>
      </c>
      <c r="C2112" s="65" t="s">
        <v>92</v>
      </c>
      <c r="D2112" s="65" t="str">
        <f>vlookup(C2112,'Classificação p pessoal'!F:G,2,false)</f>
        <v/>
      </c>
      <c r="E2112" s="65" t="s">
        <v>1317</v>
      </c>
      <c r="F2112" s="83">
        <v>0.71875</v>
      </c>
      <c r="G2112" s="83">
        <v>0.7638888888888888</v>
      </c>
      <c r="H2112" s="83">
        <v>0.04513888888888889</v>
      </c>
      <c r="I2112" s="84">
        <v>44469.0</v>
      </c>
      <c r="J2112" s="65" t="b">
        <v>1</v>
      </c>
      <c r="K2112" s="65"/>
      <c r="L2112" s="85" t="b">
        <f>IF(VLOOKUP(C2112,Projetos!A:L,12,false)=TRUE,TRUE,FALSE)</f>
        <v>1</v>
      </c>
      <c r="M2112" s="74">
        <v>73.7079846079846</v>
      </c>
      <c r="N2112" s="74">
        <f t="shared" si="1"/>
        <v>79.85031666</v>
      </c>
      <c r="O2112" s="74" t="b">
        <v>1</v>
      </c>
    </row>
    <row r="2113" hidden="1">
      <c r="A2113" s="82"/>
      <c r="B2113" s="65" t="s">
        <v>495</v>
      </c>
      <c r="C2113" s="65" t="s">
        <v>117</v>
      </c>
      <c r="D2113" s="65" t="str">
        <f>vlookup(C2113,'Classificação p pessoal'!F:G,2,false)</f>
        <v>NP</v>
      </c>
      <c r="E2113" s="65" t="s">
        <v>1318</v>
      </c>
      <c r="F2113" s="83">
        <v>0.4375</v>
      </c>
      <c r="G2113" s="83">
        <v>0.5</v>
      </c>
      <c r="H2113" s="83">
        <v>0.0625</v>
      </c>
      <c r="I2113" s="84">
        <v>44470.0</v>
      </c>
      <c r="J2113" s="65" t="b">
        <v>1</v>
      </c>
      <c r="K2113" s="65"/>
      <c r="L2113" s="85" t="b">
        <f>IF(VLOOKUP(C2113,Projetos!A:L,12,false)=TRUE,TRUE,FALSE)</f>
        <v>1</v>
      </c>
      <c r="M2113" s="74">
        <v>73.7079846079846</v>
      </c>
      <c r="N2113" s="74">
        <f t="shared" si="1"/>
        <v>110.5619769</v>
      </c>
      <c r="O2113" s="74" t="b">
        <v>1</v>
      </c>
    </row>
    <row r="2114" hidden="1">
      <c r="A2114" s="82"/>
      <c r="B2114" s="65" t="s">
        <v>495</v>
      </c>
      <c r="C2114" s="65" t="s">
        <v>117</v>
      </c>
      <c r="D2114" s="65" t="str">
        <f>vlookup(C2114,'Classificação p pessoal'!F:G,2,false)</f>
        <v>NP</v>
      </c>
      <c r="E2114" s="65" t="s">
        <v>1319</v>
      </c>
      <c r="F2114" s="83">
        <v>0.5</v>
      </c>
      <c r="G2114" s="83">
        <v>0.5694444444444444</v>
      </c>
      <c r="H2114" s="83">
        <v>0.06944444444444445</v>
      </c>
      <c r="I2114" s="84">
        <v>44470.0</v>
      </c>
      <c r="J2114" s="65" t="b">
        <v>1</v>
      </c>
      <c r="K2114" s="65"/>
      <c r="L2114" s="85" t="b">
        <f>IF(VLOOKUP(C2114,Projetos!A:L,12,false)=TRUE,TRUE,FALSE)</f>
        <v>1</v>
      </c>
      <c r="M2114" s="74">
        <v>73.7079846079846</v>
      </c>
      <c r="N2114" s="74">
        <f t="shared" si="1"/>
        <v>122.846641</v>
      </c>
      <c r="O2114" s="74" t="b">
        <v>1</v>
      </c>
    </row>
    <row r="2115" hidden="1">
      <c r="A2115" s="82"/>
      <c r="B2115" s="65" t="s">
        <v>495</v>
      </c>
      <c r="C2115" s="65" t="s">
        <v>92</v>
      </c>
      <c r="D2115" s="65" t="str">
        <f>vlookup(C2115,'Classificação p pessoal'!F:G,2,false)</f>
        <v/>
      </c>
      <c r="E2115" s="65" t="s">
        <v>1320</v>
      </c>
      <c r="F2115" s="83">
        <v>0.6111111111111112</v>
      </c>
      <c r="G2115" s="83">
        <v>0.6354166666666666</v>
      </c>
      <c r="H2115" s="83">
        <v>0.024305555555555556</v>
      </c>
      <c r="I2115" s="84">
        <v>44470.0</v>
      </c>
      <c r="J2115" s="65" t="b">
        <v>1</v>
      </c>
      <c r="K2115" s="65"/>
      <c r="L2115" s="85" t="b">
        <f>IF(VLOOKUP(C2115,Projetos!A:L,12,false)=TRUE,TRUE,FALSE)</f>
        <v>1</v>
      </c>
      <c r="M2115" s="74">
        <v>73.7079846079846</v>
      </c>
      <c r="N2115" s="74">
        <f t="shared" si="1"/>
        <v>42.99632435</v>
      </c>
      <c r="O2115" s="74" t="b">
        <v>1</v>
      </c>
    </row>
    <row r="2116" hidden="1">
      <c r="A2116" s="82"/>
      <c r="B2116" s="65" t="s">
        <v>495</v>
      </c>
      <c r="C2116" s="65" t="s">
        <v>92</v>
      </c>
      <c r="D2116" s="65" t="str">
        <f>vlookup(C2116,'Classificação p pessoal'!F:G,2,false)</f>
        <v/>
      </c>
      <c r="E2116" s="65" t="s">
        <v>1321</v>
      </c>
      <c r="F2116" s="83">
        <v>0.6354166666666666</v>
      </c>
      <c r="G2116" s="83">
        <v>0.7083333333333334</v>
      </c>
      <c r="H2116" s="83">
        <v>0.07291666666666667</v>
      </c>
      <c r="I2116" s="84">
        <v>44470.0</v>
      </c>
      <c r="J2116" s="65" t="b">
        <v>1</v>
      </c>
      <c r="K2116" s="65"/>
      <c r="L2116" s="85" t="b">
        <f>IF(VLOOKUP(C2116,Projetos!A:L,12,false)=TRUE,TRUE,FALSE)</f>
        <v>1</v>
      </c>
      <c r="M2116" s="74">
        <v>73.7079846079846</v>
      </c>
      <c r="N2116" s="74">
        <f t="shared" si="1"/>
        <v>128.9889731</v>
      </c>
      <c r="O2116" s="74" t="b">
        <v>1</v>
      </c>
    </row>
    <row r="2117" hidden="1">
      <c r="A2117" s="82"/>
      <c r="B2117" s="65" t="s">
        <v>495</v>
      </c>
      <c r="C2117" s="65" t="s">
        <v>117</v>
      </c>
      <c r="D2117" s="65" t="str">
        <f>vlookup(C2117,'Classificação p pessoal'!F:G,2,false)</f>
        <v>NP</v>
      </c>
      <c r="E2117" s="65" t="s">
        <v>1322</v>
      </c>
      <c r="F2117" s="83">
        <v>0.7083333333333334</v>
      </c>
      <c r="G2117" s="83">
        <v>0.75</v>
      </c>
      <c r="H2117" s="83">
        <v>0.041666666666666664</v>
      </c>
      <c r="I2117" s="84">
        <v>44470.0</v>
      </c>
      <c r="J2117" s="65" t="b">
        <v>1</v>
      </c>
      <c r="K2117" s="65"/>
      <c r="L2117" s="85" t="b">
        <f>IF(VLOOKUP(C2117,Projetos!A:L,12,false)=TRUE,TRUE,FALSE)</f>
        <v>1</v>
      </c>
      <c r="M2117" s="74">
        <v>73.7079846079846</v>
      </c>
      <c r="N2117" s="74">
        <f t="shared" si="1"/>
        <v>73.70798461</v>
      </c>
      <c r="O2117" s="74" t="b">
        <v>1</v>
      </c>
    </row>
    <row r="2118" hidden="1">
      <c r="A2118" s="82"/>
      <c r="B2118" s="65" t="s">
        <v>495</v>
      </c>
      <c r="C2118" s="65" t="s">
        <v>92</v>
      </c>
      <c r="D2118" s="65" t="str">
        <f>vlookup(C2118,'Classificação p pessoal'!F:G,2,false)</f>
        <v/>
      </c>
      <c r="E2118" s="65" t="s">
        <v>1323</v>
      </c>
      <c r="F2118" s="83">
        <v>0.3541666666666667</v>
      </c>
      <c r="G2118" s="83">
        <v>0.3819444444444444</v>
      </c>
      <c r="H2118" s="83">
        <v>0.027777777777777776</v>
      </c>
      <c r="I2118" s="84">
        <v>44473.0</v>
      </c>
      <c r="J2118" s="65" t="b">
        <v>1</v>
      </c>
      <c r="K2118" s="65"/>
      <c r="L2118" s="85" t="b">
        <f>IF(VLOOKUP(C2118,Projetos!A:L,12,false)=TRUE,TRUE,FALSE)</f>
        <v>1</v>
      </c>
      <c r="M2118" s="74">
        <v>73.7079846079846</v>
      </c>
      <c r="N2118" s="74">
        <f t="shared" si="1"/>
        <v>49.13865641</v>
      </c>
      <c r="O2118" s="74" t="b">
        <v>1</v>
      </c>
    </row>
    <row r="2119" hidden="1">
      <c r="A2119" s="82"/>
      <c r="B2119" s="65" t="s">
        <v>495</v>
      </c>
      <c r="C2119" s="65" t="s">
        <v>92</v>
      </c>
      <c r="D2119" s="65" t="str">
        <f>vlookup(C2119,'Classificação p pessoal'!F:G,2,false)</f>
        <v/>
      </c>
      <c r="E2119" s="65" t="s">
        <v>1324</v>
      </c>
      <c r="F2119" s="83">
        <v>0.3958333333333333</v>
      </c>
      <c r="G2119" s="83">
        <v>0.4166666666666667</v>
      </c>
      <c r="H2119" s="83">
        <v>0.020833333333333332</v>
      </c>
      <c r="I2119" s="84">
        <v>44473.0</v>
      </c>
      <c r="J2119" s="65" t="b">
        <v>1</v>
      </c>
      <c r="K2119" s="65"/>
      <c r="L2119" s="85" t="b">
        <f>IF(VLOOKUP(C2119,Projetos!A:L,12,false)=TRUE,TRUE,FALSE)</f>
        <v>1</v>
      </c>
      <c r="M2119" s="74">
        <v>73.7079846079846</v>
      </c>
      <c r="N2119" s="74">
        <f t="shared" si="1"/>
        <v>36.8539923</v>
      </c>
      <c r="O2119" s="74" t="b">
        <v>1</v>
      </c>
    </row>
    <row r="2120" hidden="1">
      <c r="A2120" s="82"/>
      <c r="B2120" s="65" t="s">
        <v>495</v>
      </c>
      <c r="C2120" s="65" t="s">
        <v>92</v>
      </c>
      <c r="D2120" s="65" t="str">
        <f>vlookup(C2120,'Classificação p pessoal'!F:G,2,false)</f>
        <v/>
      </c>
      <c r="E2120" s="65" t="s">
        <v>1325</v>
      </c>
      <c r="F2120" s="83">
        <v>0.4166666666666667</v>
      </c>
      <c r="G2120" s="83">
        <v>0.4583333333333333</v>
      </c>
      <c r="H2120" s="83">
        <v>0.041666666666666664</v>
      </c>
      <c r="I2120" s="84">
        <v>44473.0</v>
      </c>
      <c r="J2120" s="65" t="b">
        <v>1</v>
      </c>
      <c r="K2120" s="65"/>
      <c r="L2120" s="85" t="b">
        <f>IF(VLOOKUP(C2120,Projetos!A:L,12,false)=TRUE,TRUE,FALSE)</f>
        <v>1</v>
      </c>
      <c r="M2120" s="74">
        <v>73.7079846079846</v>
      </c>
      <c r="N2120" s="74">
        <f t="shared" si="1"/>
        <v>73.70798461</v>
      </c>
      <c r="O2120" s="74" t="b">
        <v>1</v>
      </c>
    </row>
    <row r="2121" hidden="1">
      <c r="A2121" s="82"/>
      <c r="B2121" s="65" t="s">
        <v>495</v>
      </c>
      <c r="C2121" s="65" t="s">
        <v>92</v>
      </c>
      <c r="D2121" s="65" t="str">
        <f>vlookup(C2121,'Classificação p pessoal'!F:G,2,false)</f>
        <v/>
      </c>
      <c r="E2121" s="65" t="s">
        <v>1326</v>
      </c>
      <c r="F2121" s="83">
        <v>0.4583333333333333</v>
      </c>
      <c r="G2121" s="83">
        <v>0.5833333333333334</v>
      </c>
      <c r="H2121" s="83">
        <v>0.125</v>
      </c>
      <c r="I2121" s="84">
        <v>44473.0</v>
      </c>
      <c r="J2121" s="65" t="b">
        <v>1</v>
      </c>
      <c r="K2121" s="65"/>
      <c r="L2121" s="85" t="b">
        <f>IF(VLOOKUP(C2121,Projetos!A:L,12,false)=TRUE,TRUE,FALSE)</f>
        <v>1</v>
      </c>
      <c r="M2121" s="74">
        <v>73.7079846079846</v>
      </c>
      <c r="N2121" s="74">
        <f t="shared" si="1"/>
        <v>221.1239538</v>
      </c>
      <c r="O2121" s="74" t="b">
        <v>1</v>
      </c>
    </row>
    <row r="2122" hidden="1">
      <c r="A2122" s="82"/>
      <c r="B2122" s="65" t="s">
        <v>495</v>
      </c>
      <c r="C2122" s="65" t="s">
        <v>92</v>
      </c>
      <c r="D2122" s="65" t="str">
        <f>vlookup(C2122,'Classificação p pessoal'!F:G,2,false)</f>
        <v/>
      </c>
      <c r="E2122" s="65" t="s">
        <v>1327</v>
      </c>
      <c r="F2122" s="83">
        <v>0.6354166666666666</v>
      </c>
      <c r="G2122" s="83">
        <v>0.6527777777777778</v>
      </c>
      <c r="H2122" s="83">
        <v>0.017361111111111112</v>
      </c>
      <c r="I2122" s="84">
        <v>44473.0</v>
      </c>
      <c r="J2122" s="65" t="b">
        <v>1</v>
      </c>
      <c r="K2122" s="65"/>
      <c r="L2122" s="85" t="b">
        <f>IF(VLOOKUP(C2122,Projetos!A:L,12,false)=TRUE,TRUE,FALSE)</f>
        <v>1</v>
      </c>
      <c r="M2122" s="74">
        <v>73.7079846079846</v>
      </c>
      <c r="N2122" s="74">
        <f t="shared" si="1"/>
        <v>30.71166025</v>
      </c>
      <c r="O2122" s="74" t="b">
        <v>1</v>
      </c>
    </row>
    <row r="2123" hidden="1">
      <c r="A2123" s="82"/>
      <c r="B2123" s="65" t="s">
        <v>495</v>
      </c>
      <c r="C2123" s="65" t="s">
        <v>92</v>
      </c>
      <c r="D2123" s="65" t="str">
        <f>vlookup(C2123,'Classificação p pessoal'!F:G,2,false)</f>
        <v/>
      </c>
      <c r="E2123" s="65" t="s">
        <v>1328</v>
      </c>
      <c r="F2123" s="83">
        <v>0.6527777777777778</v>
      </c>
      <c r="G2123" s="83">
        <v>0.7083333333333334</v>
      </c>
      <c r="H2123" s="83">
        <v>0.05555555555555555</v>
      </c>
      <c r="I2123" s="84">
        <v>44473.0</v>
      </c>
      <c r="J2123" s="65" t="b">
        <v>1</v>
      </c>
      <c r="K2123" s="65"/>
      <c r="L2123" s="85" t="b">
        <f>IF(VLOOKUP(C2123,Projetos!A:L,12,false)=TRUE,TRUE,FALSE)</f>
        <v>1</v>
      </c>
      <c r="M2123" s="74">
        <v>73.7079846079846</v>
      </c>
      <c r="N2123" s="74">
        <f t="shared" si="1"/>
        <v>98.27731281</v>
      </c>
      <c r="O2123" s="74" t="b">
        <v>1</v>
      </c>
    </row>
    <row r="2124" hidden="1">
      <c r="A2124" s="82"/>
      <c r="B2124" s="65" t="s">
        <v>495</v>
      </c>
      <c r="C2124" s="65" t="s">
        <v>92</v>
      </c>
      <c r="D2124" s="65" t="str">
        <f>vlookup(C2124,'Classificação p pessoal'!F:G,2,false)</f>
        <v/>
      </c>
      <c r="E2124" s="65" t="s">
        <v>1297</v>
      </c>
      <c r="F2124" s="83">
        <v>0.34375</v>
      </c>
      <c r="G2124" s="83">
        <v>0.375</v>
      </c>
      <c r="H2124" s="83">
        <v>0.03125</v>
      </c>
      <c r="I2124" s="84">
        <v>44474.0</v>
      </c>
      <c r="J2124" s="65" t="b">
        <v>1</v>
      </c>
      <c r="K2124" s="65"/>
      <c r="L2124" s="85" t="b">
        <f>IF(VLOOKUP(C2124,Projetos!A:L,12,false)=TRUE,TRUE,FALSE)</f>
        <v>1</v>
      </c>
      <c r="M2124" s="74">
        <v>73.7079846079846</v>
      </c>
      <c r="N2124" s="74">
        <f t="shared" si="1"/>
        <v>55.28098846</v>
      </c>
      <c r="O2124" s="74" t="b">
        <v>1</v>
      </c>
    </row>
    <row r="2125" hidden="1">
      <c r="A2125" s="82"/>
      <c r="B2125" s="65" t="s">
        <v>495</v>
      </c>
      <c r="C2125" s="65" t="s">
        <v>92</v>
      </c>
      <c r="D2125" s="65"/>
      <c r="E2125" s="65" t="s">
        <v>1329</v>
      </c>
      <c r="F2125" s="83">
        <v>0.375</v>
      </c>
      <c r="G2125" s="83">
        <v>0.4375</v>
      </c>
      <c r="H2125" s="83">
        <v>0.0625</v>
      </c>
      <c r="I2125" s="84">
        <v>44474.0</v>
      </c>
      <c r="J2125" s="65" t="b">
        <v>0</v>
      </c>
      <c r="K2125" s="65" t="s">
        <v>150</v>
      </c>
      <c r="L2125" s="85" t="b">
        <f>IF(VLOOKUP(C2125,Projetos!A:L,12,false)=TRUE,TRUE,FALSE)</f>
        <v>1</v>
      </c>
      <c r="M2125" s="74">
        <v>73.7079846079846</v>
      </c>
      <c r="N2125" s="74">
        <f t="shared" si="1"/>
        <v>0</v>
      </c>
      <c r="O2125" s="74" t="b">
        <v>1</v>
      </c>
    </row>
    <row r="2126" hidden="1">
      <c r="A2126" s="82"/>
      <c r="B2126" s="65" t="s">
        <v>495</v>
      </c>
      <c r="C2126" s="65" t="s">
        <v>92</v>
      </c>
      <c r="D2126" s="65"/>
      <c r="E2126" s="65" t="s">
        <v>1330</v>
      </c>
      <c r="F2126" s="83">
        <v>0.6666666666666666</v>
      </c>
      <c r="G2126" s="83">
        <v>0.6979166666666666</v>
      </c>
      <c r="H2126" s="83">
        <v>0.03125</v>
      </c>
      <c r="I2126" s="84">
        <v>44438.0</v>
      </c>
      <c r="J2126" s="65" t="b">
        <v>0</v>
      </c>
      <c r="K2126" s="65"/>
      <c r="L2126" s="85" t="b">
        <f>IF(VLOOKUP(C2126,Projetos!A:L,12,false)=TRUE,TRUE,FALSE)</f>
        <v>1</v>
      </c>
      <c r="M2126" s="74">
        <v>73.7079846079846</v>
      </c>
      <c r="N2126" s="74">
        <f t="shared" si="1"/>
        <v>0</v>
      </c>
      <c r="O2126" s="74" t="b">
        <v>1</v>
      </c>
    </row>
    <row r="2127" hidden="1">
      <c r="A2127" s="82"/>
      <c r="B2127" s="65" t="s">
        <v>495</v>
      </c>
      <c r="C2127" s="65" t="s">
        <v>92</v>
      </c>
      <c r="D2127" s="65" t="str">
        <f>vlookup(C2127,'Classificação p pessoal'!F:G,2,false)</f>
        <v/>
      </c>
      <c r="E2127" s="65" t="s">
        <v>1331</v>
      </c>
      <c r="F2127" s="83">
        <v>0.4583333333333333</v>
      </c>
      <c r="G2127" s="83">
        <v>0.5</v>
      </c>
      <c r="H2127" s="83">
        <v>0.041666666666666664</v>
      </c>
      <c r="I2127" s="84">
        <v>44474.0</v>
      </c>
      <c r="J2127" s="65" t="b">
        <v>1</v>
      </c>
      <c r="K2127" s="65"/>
      <c r="L2127" s="85" t="b">
        <f>IF(VLOOKUP(C2127,Projetos!A:L,12,false)=TRUE,TRUE,FALSE)</f>
        <v>1</v>
      </c>
      <c r="M2127" s="74">
        <v>73.7079846079846</v>
      </c>
      <c r="N2127" s="74">
        <f t="shared" si="1"/>
        <v>73.70798461</v>
      </c>
      <c r="O2127" s="74" t="b">
        <v>1</v>
      </c>
    </row>
    <row r="2128" hidden="1">
      <c r="A2128" s="82"/>
      <c r="B2128" s="65" t="s">
        <v>495</v>
      </c>
      <c r="C2128" s="65" t="s">
        <v>92</v>
      </c>
      <c r="D2128" s="65" t="str">
        <f>vlookup(C2128,'Classificação p pessoal'!F:G,2,false)</f>
        <v/>
      </c>
      <c r="E2128" s="65" t="s">
        <v>1332</v>
      </c>
      <c r="F2128" s="83">
        <v>0.5104166666666666</v>
      </c>
      <c r="G2128" s="83">
        <v>0.5763888888888888</v>
      </c>
      <c r="H2128" s="83">
        <v>0.06597222222222222</v>
      </c>
      <c r="I2128" s="84">
        <v>44474.0</v>
      </c>
      <c r="J2128" s="65" t="b">
        <v>1</v>
      </c>
      <c r="K2128" s="65"/>
      <c r="L2128" s="85" t="b">
        <f>IF(VLOOKUP(C2128,Projetos!A:L,12,false)=TRUE,TRUE,FALSE)</f>
        <v>1</v>
      </c>
      <c r="M2128" s="74">
        <v>73.7079846079846</v>
      </c>
      <c r="N2128" s="74">
        <f t="shared" si="1"/>
        <v>116.704309</v>
      </c>
      <c r="O2128" s="74" t="b">
        <v>1</v>
      </c>
    </row>
    <row r="2129" hidden="1">
      <c r="A2129" s="82"/>
      <c r="B2129" s="65" t="s">
        <v>495</v>
      </c>
      <c r="C2129" s="65" t="s">
        <v>92</v>
      </c>
      <c r="D2129" s="65"/>
      <c r="E2129" s="65" t="s">
        <v>1333</v>
      </c>
      <c r="F2129" s="83">
        <v>0.375</v>
      </c>
      <c r="G2129" s="83">
        <v>0.3854166666666667</v>
      </c>
      <c r="H2129" s="83">
        <v>0.010416666666666666</v>
      </c>
      <c r="I2129" s="84">
        <v>44369.0</v>
      </c>
      <c r="J2129" s="65" t="b">
        <v>0</v>
      </c>
      <c r="K2129" s="65"/>
      <c r="L2129" s="85" t="b">
        <f>IF(VLOOKUP(C2129,Projetos!A:L,12,false)=TRUE,TRUE,FALSE)</f>
        <v>1</v>
      </c>
      <c r="M2129" s="74">
        <v>73.7079846079846</v>
      </c>
      <c r="N2129" s="74">
        <f t="shared" si="1"/>
        <v>0</v>
      </c>
      <c r="O2129" s="74" t="b">
        <v>1</v>
      </c>
    </row>
    <row r="2130" hidden="1">
      <c r="A2130" s="82"/>
      <c r="B2130" s="65" t="s">
        <v>495</v>
      </c>
      <c r="C2130" s="65" t="s">
        <v>92</v>
      </c>
      <c r="D2130" s="65" t="str">
        <f>vlookup(C2130,'Classificação p pessoal'!F:G,2,false)</f>
        <v/>
      </c>
      <c r="E2130" s="65" t="s">
        <v>1334</v>
      </c>
      <c r="F2130" s="83">
        <v>0.7083333333333334</v>
      </c>
      <c r="G2130" s="83">
        <v>0.7291666666666666</v>
      </c>
      <c r="H2130" s="83">
        <v>0.020833333333333332</v>
      </c>
      <c r="I2130" s="84">
        <v>44474.0</v>
      </c>
      <c r="J2130" s="65" t="b">
        <v>1</v>
      </c>
      <c r="K2130" s="65"/>
      <c r="L2130" s="85" t="b">
        <f>IF(VLOOKUP(C2130,Projetos!A:L,12,false)=TRUE,TRUE,FALSE)</f>
        <v>1</v>
      </c>
      <c r="M2130" s="74">
        <v>73.7079846079846</v>
      </c>
      <c r="N2130" s="74">
        <f t="shared" si="1"/>
        <v>36.8539923</v>
      </c>
      <c r="O2130" s="74" t="b">
        <v>1</v>
      </c>
    </row>
    <row r="2131" hidden="1">
      <c r="A2131" s="82"/>
      <c r="B2131" s="65" t="s">
        <v>495</v>
      </c>
      <c r="C2131" s="65" t="s">
        <v>92</v>
      </c>
      <c r="D2131" s="65" t="str">
        <f>vlookup(C2131,'Classificação p pessoal'!F:G,2,false)</f>
        <v/>
      </c>
      <c r="E2131" s="65" t="s">
        <v>1335</v>
      </c>
      <c r="F2131" s="83">
        <v>0.7291666666666666</v>
      </c>
      <c r="G2131" s="83">
        <v>0.75</v>
      </c>
      <c r="H2131" s="83">
        <v>0.020833333333333332</v>
      </c>
      <c r="I2131" s="84">
        <v>44474.0</v>
      </c>
      <c r="J2131" s="65" t="b">
        <v>1</v>
      </c>
      <c r="K2131" s="65"/>
      <c r="L2131" s="85" t="b">
        <f>IF(VLOOKUP(C2131,Projetos!A:L,12,false)=TRUE,TRUE,FALSE)</f>
        <v>1</v>
      </c>
      <c r="M2131" s="74">
        <v>73.7079846079846</v>
      </c>
      <c r="N2131" s="74">
        <f t="shared" si="1"/>
        <v>36.8539923</v>
      </c>
      <c r="O2131" s="74" t="b">
        <v>1</v>
      </c>
    </row>
    <row r="2132" hidden="1">
      <c r="A2132" s="82"/>
      <c r="B2132" s="65" t="s">
        <v>495</v>
      </c>
      <c r="C2132" s="65" t="s">
        <v>117</v>
      </c>
      <c r="D2132" s="65" t="str">
        <f>vlookup(C2132,'Classificação p pessoal'!F:G,2,false)</f>
        <v>NP</v>
      </c>
      <c r="E2132" s="65" t="s">
        <v>1336</v>
      </c>
      <c r="F2132" s="83">
        <v>0.3541666666666667</v>
      </c>
      <c r="G2132" s="83">
        <v>0.4583333333333333</v>
      </c>
      <c r="H2132" s="83">
        <v>0.10416666666666667</v>
      </c>
      <c r="I2132" s="84">
        <v>44475.0</v>
      </c>
      <c r="J2132" s="65" t="b">
        <v>1</v>
      </c>
      <c r="K2132" s="65"/>
      <c r="L2132" s="85" t="b">
        <f>IF(VLOOKUP(C2132,Projetos!A:L,12,false)=TRUE,TRUE,FALSE)</f>
        <v>1</v>
      </c>
      <c r="M2132" s="74">
        <v>73.7079846079846</v>
      </c>
      <c r="N2132" s="74">
        <f t="shared" si="1"/>
        <v>184.2699615</v>
      </c>
      <c r="O2132" s="74" t="b">
        <v>1</v>
      </c>
    </row>
    <row r="2133" hidden="1">
      <c r="A2133" s="82"/>
      <c r="B2133" s="65" t="s">
        <v>495</v>
      </c>
      <c r="C2133" s="65" t="s">
        <v>92</v>
      </c>
      <c r="D2133" s="65" t="str">
        <f>vlookup(C2133,'Classificação p pessoal'!F:G,2,false)</f>
        <v/>
      </c>
      <c r="E2133" s="65" t="s">
        <v>1327</v>
      </c>
      <c r="F2133" s="83">
        <v>0.4583333333333333</v>
      </c>
      <c r="G2133" s="83">
        <v>0.5</v>
      </c>
      <c r="H2133" s="83">
        <v>0.041666666666666664</v>
      </c>
      <c r="I2133" s="84">
        <v>44475.0</v>
      </c>
      <c r="J2133" s="65" t="b">
        <v>1</v>
      </c>
      <c r="K2133" s="65"/>
      <c r="L2133" s="85" t="b">
        <f>IF(VLOOKUP(C2133,Projetos!A:L,12,false)=TRUE,TRUE,FALSE)</f>
        <v>1</v>
      </c>
      <c r="M2133" s="74">
        <v>73.7079846079846</v>
      </c>
      <c r="N2133" s="74">
        <f t="shared" si="1"/>
        <v>73.70798461</v>
      </c>
      <c r="O2133" s="74" t="b">
        <v>1</v>
      </c>
    </row>
    <row r="2134" hidden="1">
      <c r="A2134" s="82"/>
      <c r="B2134" s="65" t="s">
        <v>495</v>
      </c>
      <c r="C2134" s="65" t="s">
        <v>117</v>
      </c>
      <c r="D2134" s="65" t="str">
        <f>vlookup(C2134,'Classificação p pessoal'!F:G,2,false)</f>
        <v>NP</v>
      </c>
      <c r="E2134" s="65" t="s">
        <v>1337</v>
      </c>
      <c r="F2134" s="83">
        <v>0.5</v>
      </c>
      <c r="G2134" s="83">
        <v>0.5694444444444444</v>
      </c>
      <c r="H2134" s="83">
        <v>0.06944444444444445</v>
      </c>
      <c r="I2134" s="84">
        <v>44475.0</v>
      </c>
      <c r="J2134" s="65" t="b">
        <v>1</v>
      </c>
      <c r="K2134" s="65"/>
      <c r="L2134" s="85" t="b">
        <f>IF(VLOOKUP(C2134,Projetos!A:L,12,false)=TRUE,TRUE,FALSE)</f>
        <v>1</v>
      </c>
      <c r="M2134" s="74">
        <v>73.7079846079846</v>
      </c>
      <c r="N2134" s="74">
        <f t="shared" si="1"/>
        <v>122.846641</v>
      </c>
      <c r="O2134" s="74" t="b">
        <v>1</v>
      </c>
    </row>
    <row r="2135" hidden="1">
      <c r="A2135" s="82"/>
      <c r="B2135" s="65" t="s">
        <v>495</v>
      </c>
      <c r="C2135" s="65" t="s">
        <v>117</v>
      </c>
      <c r="D2135" s="65" t="str">
        <f>vlookup(C2135,'Classificação p pessoal'!F:G,2,false)</f>
        <v>NP</v>
      </c>
      <c r="E2135" s="65" t="s">
        <v>1337</v>
      </c>
      <c r="F2135" s="83">
        <v>0.6111111111111112</v>
      </c>
      <c r="G2135" s="83">
        <v>0.6666666666666666</v>
      </c>
      <c r="H2135" s="83">
        <v>0.05555555555555555</v>
      </c>
      <c r="I2135" s="84">
        <v>44475.0</v>
      </c>
      <c r="J2135" s="65" t="b">
        <v>1</v>
      </c>
      <c r="K2135" s="65"/>
      <c r="L2135" s="85" t="b">
        <f>IF(VLOOKUP(C2135,Projetos!A:L,12,false)=TRUE,TRUE,FALSE)</f>
        <v>1</v>
      </c>
      <c r="M2135" s="74">
        <v>73.7079846079846</v>
      </c>
      <c r="N2135" s="74">
        <f t="shared" si="1"/>
        <v>98.27731281</v>
      </c>
      <c r="O2135" s="74" t="b">
        <v>1</v>
      </c>
    </row>
    <row r="2136" hidden="1">
      <c r="A2136" s="82"/>
      <c r="B2136" s="65" t="s">
        <v>495</v>
      </c>
      <c r="C2136" s="65" t="s">
        <v>92</v>
      </c>
      <c r="D2136" s="65" t="str">
        <f>vlookup(C2136,'Classificação p pessoal'!F:G,2,false)</f>
        <v/>
      </c>
      <c r="E2136" s="65" t="s">
        <v>1338</v>
      </c>
      <c r="F2136" s="83">
        <v>0.6805555555555556</v>
      </c>
      <c r="G2136" s="83">
        <v>0.75</v>
      </c>
      <c r="H2136" s="83">
        <v>0.06944444444444445</v>
      </c>
      <c r="I2136" s="84">
        <v>44475.0</v>
      </c>
      <c r="J2136" s="65" t="b">
        <v>1</v>
      </c>
      <c r="K2136" s="65"/>
      <c r="L2136" s="85" t="b">
        <f>IF(VLOOKUP(C2136,Projetos!A:L,12,false)=TRUE,TRUE,FALSE)</f>
        <v>1</v>
      </c>
      <c r="M2136" s="74">
        <v>73.7079846079846</v>
      </c>
      <c r="N2136" s="74">
        <f t="shared" si="1"/>
        <v>122.846641</v>
      </c>
      <c r="O2136" s="74" t="b">
        <v>1</v>
      </c>
    </row>
    <row r="2137" hidden="1">
      <c r="A2137" s="82"/>
      <c r="B2137" s="65" t="s">
        <v>495</v>
      </c>
      <c r="C2137" s="65" t="s">
        <v>92</v>
      </c>
      <c r="D2137" s="65" t="str">
        <f>vlookup(C2137,'Classificação p pessoal'!F:G,2,false)</f>
        <v/>
      </c>
      <c r="E2137" s="65" t="s">
        <v>1339</v>
      </c>
      <c r="F2137" s="83">
        <v>0.3541666666666667</v>
      </c>
      <c r="G2137" s="83">
        <v>0.4791666666666667</v>
      </c>
      <c r="H2137" s="83">
        <v>0.125</v>
      </c>
      <c r="I2137" s="84">
        <v>44476.0</v>
      </c>
      <c r="J2137" s="65" t="b">
        <v>1</v>
      </c>
      <c r="K2137" s="65"/>
      <c r="L2137" s="85" t="b">
        <f>IF(VLOOKUP(C2137,Projetos!A:L,12,false)=TRUE,TRUE,FALSE)</f>
        <v>1</v>
      </c>
      <c r="M2137" s="74">
        <v>73.7079846079846</v>
      </c>
      <c r="N2137" s="74">
        <f t="shared" si="1"/>
        <v>221.1239538</v>
      </c>
      <c r="O2137" s="74" t="b">
        <v>1</v>
      </c>
    </row>
    <row r="2138" hidden="1">
      <c r="A2138" s="82"/>
      <c r="B2138" s="65" t="s">
        <v>495</v>
      </c>
      <c r="C2138" s="65" t="s">
        <v>92</v>
      </c>
      <c r="D2138" s="65" t="str">
        <f>vlookup(C2138,'Classificação p pessoal'!F:G,2,false)</f>
        <v/>
      </c>
      <c r="E2138" s="65" t="s">
        <v>1340</v>
      </c>
      <c r="F2138" s="83">
        <v>0.5</v>
      </c>
      <c r="G2138" s="83">
        <v>0.5833333333333334</v>
      </c>
      <c r="H2138" s="83">
        <v>0.08333333333333333</v>
      </c>
      <c r="I2138" s="84">
        <v>44476.0</v>
      </c>
      <c r="J2138" s="65" t="b">
        <v>1</v>
      </c>
      <c r="K2138" s="65"/>
      <c r="L2138" s="85" t="b">
        <f>IF(VLOOKUP(C2138,Projetos!A:L,12,false)=TRUE,TRUE,FALSE)</f>
        <v>1</v>
      </c>
      <c r="M2138" s="74">
        <v>73.7079846079846</v>
      </c>
      <c r="N2138" s="74">
        <f t="shared" si="1"/>
        <v>147.4159692</v>
      </c>
      <c r="O2138" s="74" t="b">
        <v>1</v>
      </c>
    </row>
    <row r="2139" hidden="1">
      <c r="A2139" s="82"/>
      <c r="B2139" s="65" t="s">
        <v>495</v>
      </c>
      <c r="C2139" s="65" t="s">
        <v>117</v>
      </c>
      <c r="D2139" s="65" t="str">
        <f>vlookup(C2139,'Classificação p pessoal'!F:G,2,false)</f>
        <v>NP</v>
      </c>
      <c r="E2139" s="65" t="s">
        <v>1341</v>
      </c>
      <c r="F2139" s="83">
        <v>0.625</v>
      </c>
      <c r="G2139" s="83">
        <v>0.75</v>
      </c>
      <c r="H2139" s="83">
        <v>0.125</v>
      </c>
      <c r="I2139" s="84">
        <v>44476.0</v>
      </c>
      <c r="J2139" s="65" t="b">
        <v>1</v>
      </c>
      <c r="K2139" s="65"/>
      <c r="L2139" s="85" t="b">
        <f>IF(VLOOKUP(C2139,Projetos!A:L,12,false)=TRUE,TRUE,FALSE)</f>
        <v>1</v>
      </c>
      <c r="M2139" s="74">
        <v>73.7079846079846</v>
      </c>
      <c r="N2139" s="74">
        <f t="shared" si="1"/>
        <v>221.1239538</v>
      </c>
      <c r="O2139" s="74" t="b">
        <v>1</v>
      </c>
    </row>
    <row r="2140" hidden="1">
      <c r="A2140" s="82"/>
      <c r="B2140" s="65" t="s">
        <v>495</v>
      </c>
      <c r="C2140" s="65" t="s">
        <v>117</v>
      </c>
      <c r="D2140" s="65" t="str">
        <f>vlookup(C2140,'Classificação p pessoal'!F:G,2,false)</f>
        <v>NP</v>
      </c>
      <c r="E2140" s="65" t="s">
        <v>1342</v>
      </c>
      <c r="F2140" s="83">
        <v>0.3541666666666667</v>
      </c>
      <c r="G2140" s="83">
        <v>0.375</v>
      </c>
      <c r="H2140" s="83">
        <v>0.020833333333333332</v>
      </c>
      <c r="I2140" s="84">
        <v>44477.0</v>
      </c>
      <c r="J2140" s="65" t="b">
        <v>1</v>
      </c>
      <c r="K2140" s="65"/>
      <c r="L2140" s="85" t="b">
        <f>IF(VLOOKUP(C2140,Projetos!A:L,12,false)=TRUE,TRUE,FALSE)</f>
        <v>1</v>
      </c>
      <c r="M2140" s="74">
        <v>73.7079846079846</v>
      </c>
      <c r="N2140" s="74">
        <f t="shared" si="1"/>
        <v>36.8539923</v>
      </c>
      <c r="O2140" s="74" t="b">
        <v>1</v>
      </c>
    </row>
    <row r="2141" hidden="1">
      <c r="A2141" s="82"/>
      <c r="B2141" s="65" t="s">
        <v>495</v>
      </c>
      <c r="C2141" s="65" t="s">
        <v>92</v>
      </c>
      <c r="D2141" s="65" t="str">
        <f>vlookup(C2141,'Classificação p pessoal'!F:G,2,false)</f>
        <v/>
      </c>
      <c r="E2141" s="65" t="s">
        <v>1343</v>
      </c>
      <c r="F2141" s="83">
        <v>0.375</v>
      </c>
      <c r="G2141" s="83">
        <v>0.4791666666666667</v>
      </c>
      <c r="H2141" s="83">
        <v>0.10416666666666667</v>
      </c>
      <c r="I2141" s="84">
        <v>44477.0</v>
      </c>
      <c r="J2141" s="65" t="b">
        <v>1</v>
      </c>
      <c r="K2141" s="65"/>
      <c r="L2141" s="85" t="b">
        <f>IF(VLOOKUP(C2141,Projetos!A:L,12,false)=TRUE,TRUE,FALSE)</f>
        <v>1</v>
      </c>
      <c r="M2141" s="74">
        <v>73.7079846079846</v>
      </c>
      <c r="N2141" s="74">
        <f t="shared" si="1"/>
        <v>184.2699615</v>
      </c>
      <c r="O2141" s="74" t="b">
        <v>1</v>
      </c>
    </row>
    <row r="2142" hidden="1">
      <c r="A2142" s="82"/>
      <c r="B2142" s="65" t="s">
        <v>495</v>
      </c>
      <c r="C2142" s="65" t="s">
        <v>117</v>
      </c>
      <c r="D2142" s="65" t="str">
        <f>vlookup(C2142,'Classificação p pessoal'!F:G,2,false)</f>
        <v>NP</v>
      </c>
      <c r="E2142" s="65" t="s">
        <v>1344</v>
      </c>
      <c r="F2142" s="83">
        <v>0.5</v>
      </c>
      <c r="G2142" s="83">
        <v>0.53125</v>
      </c>
      <c r="H2142" s="83">
        <v>0.03125</v>
      </c>
      <c r="I2142" s="84">
        <v>44477.0</v>
      </c>
      <c r="J2142" s="65" t="b">
        <v>1</v>
      </c>
      <c r="K2142" s="65"/>
      <c r="L2142" s="85" t="b">
        <f>IF(VLOOKUP(C2142,Projetos!A:L,12,false)=TRUE,TRUE,FALSE)</f>
        <v>1</v>
      </c>
      <c r="M2142" s="74">
        <v>73.7079846079846</v>
      </c>
      <c r="N2142" s="74">
        <f t="shared" si="1"/>
        <v>55.28098846</v>
      </c>
      <c r="O2142" s="74" t="b">
        <v>1</v>
      </c>
    </row>
    <row r="2143" hidden="1">
      <c r="A2143" s="82"/>
      <c r="B2143" s="65" t="s">
        <v>495</v>
      </c>
      <c r="C2143" s="65" t="s">
        <v>92</v>
      </c>
      <c r="D2143" s="65" t="str">
        <f>vlookup(C2143,'Classificação p pessoal'!F:G,2,false)</f>
        <v/>
      </c>
      <c r="E2143" s="65" t="s">
        <v>1345</v>
      </c>
      <c r="F2143" s="83">
        <v>0.53125</v>
      </c>
      <c r="G2143" s="83">
        <v>0.5729166666666666</v>
      </c>
      <c r="H2143" s="83">
        <v>0.041666666666666664</v>
      </c>
      <c r="I2143" s="84">
        <v>44477.0</v>
      </c>
      <c r="J2143" s="65" t="b">
        <v>1</v>
      </c>
      <c r="K2143" s="65"/>
      <c r="L2143" s="85" t="b">
        <f>IF(VLOOKUP(C2143,Projetos!A:L,12,false)=TRUE,TRUE,FALSE)</f>
        <v>1</v>
      </c>
      <c r="M2143" s="74">
        <v>73.7079846079846</v>
      </c>
      <c r="N2143" s="74">
        <f t="shared" si="1"/>
        <v>73.70798461</v>
      </c>
      <c r="O2143" s="74" t="b">
        <v>1</v>
      </c>
    </row>
    <row r="2144" hidden="1">
      <c r="A2144" s="82"/>
      <c r="B2144" s="65" t="s">
        <v>495</v>
      </c>
      <c r="C2144" s="65" t="s">
        <v>92</v>
      </c>
      <c r="D2144" s="65" t="str">
        <f>vlookup(C2144,'Classificação p pessoal'!F:G,2,false)</f>
        <v/>
      </c>
      <c r="E2144" s="65" t="s">
        <v>1345</v>
      </c>
      <c r="F2144" s="83">
        <v>0.625</v>
      </c>
      <c r="G2144" s="83">
        <v>0.75</v>
      </c>
      <c r="H2144" s="83">
        <v>0.125</v>
      </c>
      <c r="I2144" s="84">
        <v>44477.0</v>
      </c>
      <c r="J2144" s="65" t="b">
        <v>1</v>
      </c>
      <c r="K2144" s="65"/>
      <c r="L2144" s="85" t="b">
        <f>IF(VLOOKUP(C2144,Projetos!A:L,12,false)=TRUE,TRUE,FALSE)</f>
        <v>1</v>
      </c>
      <c r="M2144" s="74">
        <v>73.7079846079846</v>
      </c>
      <c r="N2144" s="74">
        <f t="shared" si="1"/>
        <v>221.1239538</v>
      </c>
      <c r="O2144" s="74" t="b">
        <v>1</v>
      </c>
    </row>
    <row r="2145" hidden="1">
      <c r="A2145" s="82"/>
      <c r="B2145" s="65" t="s">
        <v>495</v>
      </c>
      <c r="C2145" s="65" t="s">
        <v>92</v>
      </c>
      <c r="D2145" s="65" t="str">
        <f>vlookup(C2145,'Classificação p pessoal'!F:G,2,false)</f>
        <v/>
      </c>
      <c r="E2145" s="65" t="s">
        <v>1346</v>
      </c>
      <c r="F2145" s="83">
        <v>0.3541666666666667</v>
      </c>
      <c r="G2145" s="83">
        <v>0.5</v>
      </c>
      <c r="H2145" s="83">
        <v>0.14583333333333334</v>
      </c>
      <c r="I2145" s="84">
        <v>44480.0</v>
      </c>
      <c r="J2145" s="65" t="b">
        <v>1</v>
      </c>
      <c r="K2145" s="65"/>
      <c r="L2145" s="85" t="b">
        <f>IF(VLOOKUP(C2145,Projetos!A:L,12,false)=TRUE,TRUE,FALSE)</f>
        <v>1</v>
      </c>
      <c r="M2145" s="74">
        <v>73.7079846079846</v>
      </c>
      <c r="N2145" s="74">
        <f t="shared" si="1"/>
        <v>257.9779461</v>
      </c>
      <c r="O2145" s="74" t="b">
        <v>1</v>
      </c>
    </row>
    <row r="2146" hidden="1">
      <c r="A2146" s="82"/>
      <c r="B2146" s="65" t="s">
        <v>495</v>
      </c>
      <c r="C2146" s="65" t="s">
        <v>92</v>
      </c>
      <c r="D2146" s="65" t="str">
        <f>vlookup(C2146,'Classificação p pessoal'!F:G,2,false)</f>
        <v/>
      </c>
      <c r="E2146" s="65" t="s">
        <v>1347</v>
      </c>
      <c r="F2146" s="83">
        <v>0.5</v>
      </c>
      <c r="G2146" s="83">
        <v>0.5694444444444444</v>
      </c>
      <c r="H2146" s="83">
        <v>0.06944444444444445</v>
      </c>
      <c r="I2146" s="84">
        <v>44480.0</v>
      </c>
      <c r="J2146" s="65" t="b">
        <v>1</v>
      </c>
      <c r="K2146" s="65"/>
      <c r="L2146" s="85" t="b">
        <f>IF(VLOOKUP(C2146,Projetos!A:L,12,false)=TRUE,TRUE,FALSE)</f>
        <v>1</v>
      </c>
      <c r="M2146" s="74">
        <v>73.7079846079846</v>
      </c>
      <c r="N2146" s="74">
        <f t="shared" si="1"/>
        <v>122.846641</v>
      </c>
      <c r="O2146" s="74" t="b">
        <v>1</v>
      </c>
    </row>
    <row r="2147" hidden="1">
      <c r="A2147" s="82"/>
      <c r="B2147" s="65" t="s">
        <v>495</v>
      </c>
      <c r="C2147" s="65" t="s">
        <v>92</v>
      </c>
      <c r="D2147" s="65" t="str">
        <f>vlookup(C2147,'Classificação p pessoal'!F:G,2,false)</f>
        <v/>
      </c>
      <c r="E2147" s="65" t="s">
        <v>1347</v>
      </c>
      <c r="F2147" s="83">
        <v>0.6111111111111112</v>
      </c>
      <c r="G2147" s="83">
        <v>0.6458333333333334</v>
      </c>
      <c r="H2147" s="83">
        <v>0.034722222222222224</v>
      </c>
      <c r="I2147" s="84">
        <v>44480.0</v>
      </c>
      <c r="J2147" s="65" t="b">
        <v>1</v>
      </c>
      <c r="K2147" s="65"/>
      <c r="L2147" s="85" t="b">
        <f>IF(VLOOKUP(C2147,Projetos!A:L,12,false)=TRUE,TRUE,FALSE)</f>
        <v>1</v>
      </c>
      <c r="M2147" s="74">
        <v>73.7079846079846</v>
      </c>
      <c r="N2147" s="74">
        <f t="shared" si="1"/>
        <v>61.42332051</v>
      </c>
      <c r="O2147" s="74" t="b">
        <v>1</v>
      </c>
    </row>
    <row r="2148" hidden="1">
      <c r="A2148" s="82"/>
      <c r="B2148" s="65" t="s">
        <v>495</v>
      </c>
      <c r="C2148" s="65" t="s">
        <v>92</v>
      </c>
      <c r="D2148" s="65" t="str">
        <f>vlookup(C2148,'Classificação p pessoal'!F:G,2,false)</f>
        <v/>
      </c>
      <c r="E2148" s="65" t="s">
        <v>1348</v>
      </c>
      <c r="F2148" s="83">
        <v>0.6666666666666666</v>
      </c>
      <c r="G2148" s="83">
        <v>0.75</v>
      </c>
      <c r="H2148" s="83">
        <v>0.08333333333333333</v>
      </c>
      <c r="I2148" s="84">
        <v>44480.0</v>
      </c>
      <c r="J2148" s="65" t="b">
        <v>1</v>
      </c>
      <c r="K2148" s="65"/>
      <c r="L2148" s="85" t="b">
        <f>IF(VLOOKUP(C2148,Projetos!A:L,12,false)=TRUE,TRUE,FALSE)</f>
        <v>1</v>
      </c>
      <c r="M2148" s="74">
        <v>73.7079846079846</v>
      </c>
      <c r="N2148" s="74">
        <f t="shared" si="1"/>
        <v>147.4159692</v>
      </c>
      <c r="O2148" s="74" t="b">
        <v>1</v>
      </c>
    </row>
    <row r="2149" hidden="1">
      <c r="A2149" s="82"/>
      <c r="B2149" s="65" t="s">
        <v>495</v>
      </c>
      <c r="C2149" s="65" t="s">
        <v>92</v>
      </c>
      <c r="D2149" s="65" t="str">
        <f>vlookup(C2149,'Classificação p pessoal'!F:G,2,false)</f>
        <v/>
      </c>
      <c r="E2149" s="65" t="s">
        <v>1349</v>
      </c>
      <c r="F2149" s="83">
        <v>0.3541666666666667</v>
      </c>
      <c r="G2149" s="83">
        <v>0.4583333333333333</v>
      </c>
      <c r="H2149" s="83">
        <v>0.10416666666666667</v>
      </c>
      <c r="I2149" s="84">
        <v>44482.0</v>
      </c>
      <c r="J2149" s="65" t="b">
        <v>1</v>
      </c>
      <c r="K2149" s="65"/>
      <c r="L2149" s="85" t="b">
        <f>IF(VLOOKUP(C2149,Projetos!A:L,12,false)=TRUE,TRUE,FALSE)</f>
        <v>1</v>
      </c>
      <c r="M2149" s="74">
        <v>73.7079846079846</v>
      </c>
      <c r="N2149" s="74">
        <f t="shared" si="1"/>
        <v>184.2699615</v>
      </c>
      <c r="O2149" s="74" t="b">
        <v>1</v>
      </c>
    </row>
    <row r="2150">
      <c r="A2150" s="82"/>
      <c r="B2150" s="65" t="s">
        <v>495</v>
      </c>
      <c r="C2150" s="65" t="s">
        <v>108</v>
      </c>
      <c r="D2150" s="65" t="str">
        <f>vlookup(C2150,'Classificação p pessoal'!F:G,2,false)</f>
        <v>NP</v>
      </c>
      <c r="E2150" s="65" t="s">
        <v>837</v>
      </c>
      <c r="F2150" s="83">
        <v>0.46875</v>
      </c>
      <c r="G2150" s="83">
        <v>0.5104166666666666</v>
      </c>
      <c r="H2150" s="83">
        <v>0.041666666666666664</v>
      </c>
      <c r="I2150" s="84">
        <v>44482.0</v>
      </c>
      <c r="J2150" s="65" t="b">
        <v>1</v>
      </c>
      <c r="K2150" s="65"/>
      <c r="L2150" s="85" t="b">
        <f>IF(VLOOKUP(C2150,Projetos!A:L,12,false)=TRUE,TRUE,FALSE)</f>
        <v>1</v>
      </c>
      <c r="M2150" s="74">
        <v>73.7079846079846</v>
      </c>
      <c r="N2150" s="74">
        <f t="shared" si="1"/>
        <v>73.70798461</v>
      </c>
      <c r="O2150" s="74" t="b">
        <v>1</v>
      </c>
    </row>
    <row r="2151" hidden="1">
      <c r="A2151" s="82"/>
      <c r="B2151" s="65" t="s">
        <v>495</v>
      </c>
      <c r="C2151" s="65" t="s">
        <v>92</v>
      </c>
      <c r="D2151" s="65"/>
      <c r="E2151" s="65" t="s">
        <v>1350</v>
      </c>
      <c r="F2151" s="83">
        <v>0.5104166666666666</v>
      </c>
      <c r="G2151" s="83">
        <v>0.5763888888888888</v>
      </c>
      <c r="H2151" s="83">
        <v>0.06597222222222222</v>
      </c>
      <c r="I2151" s="84">
        <v>44482.0</v>
      </c>
      <c r="J2151" s="65" t="b">
        <v>0</v>
      </c>
      <c r="K2151" s="65" t="s">
        <v>150</v>
      </c>
      <c r="L2151" s="85" t="b">
        <f>IF(VLOOKUP(C2151,Projetos!A:L,12,false)=TRUE,TRUE,FALSE)</f>
        <v>1</v>
      </c>
      <c r="M2151" s="74">
        <v>73.7079846079846</v>
      </c>
      <c r="N2151" s="74">
        <f t="shared" si="1"/>
        <v>0</v>
      </c>
      <c r="O2151" s="74" t="b">
        <v>1</v>
      </c>
    </row>
    <row r="2152" hidden="1">
      <c r="A2152" s="82"/>
      <c r="B2152" s="65" t="s">
        <v>495</v>
      </c>
      <c r="C2152" s="65" t="s">
        <v>100</v>
      </c>
      <c r="D2152" s="65" t="str">
        <f>vlookup(C2152,'Classificação p pessoal'!F:G,2,false)</f>
        <v>NP</v>
      </c>
      <c r="E2152" s="65" t="s">
        <v>1351</v>
      </c>
      <c r="F2152" s="83">
        <v>0.625</v>
      </c>
      <c r="G2152" s="83">
        <v>0.6458333333333334</v>
      </c>
      <c r="H2152" s="83">
        <v>0.020833333333333332</v>
      </c>
      <c r="I2152" s="84">
        <v>44482.0</v>
      </c>
      <c r="J2152" s="65" t="b">
        <v>1</v>
      </c>
      <c r="K2152" s="65"/>
      <c r="L2152" s="85" t="b">
        <f>IF(VLOOKUP(C2152,Projetos!A:L,12,false)=TRUE,TRUE,FALSE)</f>
        <v>1</v>
      </c>
      <c r="M2152" s="74">
        <v>73.7079846079846</v>
      </c>
      <c r="N2152" s="74">
        <f t="shared" si="1"/>
        <v>36.8539923</v>
      </c>
      <c r="O2152" s="74" t="b">
        <v>1</v>
      </c>
    </row>
    <row r="2153" hidden="1">
      <c r="A2153" s="82"/>
      <c r="B2153" s="65" t="s">
        <v>495</v>
      </c>
      <c r="C2153" s="65" t="s">
        <v>130</v>
      </c>
      <c r="D2153" s="65" t="str">
        <f>vlookup(C2153,'Classificação p pessoal'!F:G,2,false)</f>
        <v>NP</v>
      </c>
      <c r="E2153" s="65" t="s">
        <v>1351</v>
      </c>
      <c r="F2153" s="83">
        <v>0.6458333333333334</v>
      </c>
      <c r="G2153" s="83">
        <v>0.6666666666666666</v>
      </c>
      <c r="H2153" s="83">
        <v>0.020833333333333332</v>
      </c>
      <c r="I2153" s="84">
        <v>44482.0</v>
      </c>
      <c r="J2153" s="65" t="b">
        <v>1</v>
      </c>
      <c r="K2153" s="65"/>
      <c r="L2153" s="85" t="b">
        <f>IF(VLOOKUP(C2153,Projetos!A:L,12,false)=TRUE,TRUE,FALSE)</f>
        <v>1</v>
      </c>
      <c r="M2153" s="74">
        <v>73.7079846079846</v>
      </c>
      <c r="N2153" s="74">
        <f t="shared" si="1"/>
        <v>36.8539923</v>
      </c>
      <c r="O2153" s="74" t="b">
        <v>1</v>
      </c>
    </row>
    <row r="2154" hidden="1">
      <c r="A2154" s="82"/>
      <c r="B2154" s="65" t="s">
        <v>495</v>
      </c>
      <c r="C2154" s="65" t="s">
        <v>92</v>
      </c>
      <c r="D2154" s="65" t="str">
        <f>vlookup(C2154,'Classificação p pessoal'!F:G,2,false)</f>
        <v/>
      </c>
      <c r="E2154" s="65" t="s">
        <v>1352</v>
      </c>
      <c r="F2154" s="83">
        <v>0.6666666666666666</v>
      </c>
      <c r="G2154" s="83">
        <v>0.6875</v>
      </c>
      <c r="H2154" s="83">
        <v>0.020833333333333332</v>
      </c>
      <c r="I2154" s="84">
        <v>44482.0</v>
      </c>
      <c r="J2154" s="65" t="b">
        <v>1</v>
      </c>
      <c r="K2154" s="65"/>
      <c r="L2154" s="85" t="b">
        <f>IF(VLOOKUP(C2154,Projetos!A:L,12,false)=TRUE,TRUE,FALSE)</f>
        <v>1</v>
      </c>
      <c r="M2154" s="74">
        <v>73.7079846079846</v>
      </c>
      <c r="N2154" s="74">
        <f t="shared" si="1"/>
        <v>36.8539923</v>
      </c>
      <c r="O2154" s="74" t="b">
        <v>1</v>
      </c>
    </row>
    <row r="2155" hidden="1">
      <c r="A2155" s="82"/>
      <c r="B2155" s="65" t="s">
        <v>495</v>
      </c>
      <c r="C2155" s="65" t="s">
        <v>92</v>
      </c>
      <c r="D2155" s="65" t="str">
        <f>vlookup(C2155,'Classificação p pessoal'!F:G,2,false)</f>
        <v/>
      </c>
      <c r="E2155" s="65" t="s">
        <v>1353</v>
      </c>
      <c r="F2155" s="83">
        <v>0.6875</v>
      </c>
      <c r="G2155" s="83">
        <v>0.7291666666666666</v>
      </c>
      <c r="H2155" s="83">
        <v>0.041666666666666664</v>
      </c>
      <c r="I2155" s="84">
        <v>44482.0</v>
      </c>
      <c r="J2155" s="65" t="b">
        <v>1</v>
      </c>
      <c r="K2155" s="65"/>
      <c r="L2155" s="85" t="b">
        <f>IF(VLOOKUP(C2155,Projetos!A:L,12,false)=TRUE,TRUE,FALSE)</f>
        <v>1</v>
      </c>
      <c r="M2155" s="74">
        <v>73.7079846079846</v>
      </c>
      <c r="N2155" s="74">
        <f t="shared" si="1"/>
        <v>73.70798461</v>
      </c>
      <c r="O2155" s="74" t="b">
        <v>1</v>
      </c>
    </row>
    <row r="2156" hidden="1">
      <c r="A2156" s="82"/>
      <c r="B2156" s="65" t="s">
        <v>495</v>
      </c>
      <c r="C2156" s="65" t="s">
        <v>92</v>
      </c>
      <c r="D2156" s="65" t="str">
        <f>vlookup(C2156,'Classificação p pessoal'!F:G,2,false)</f>
        <v/>
      </c>
      <c r="E2156" s="65" t="s">
        <v>1354</v>
      </c>
      <c r="F2156" s="83">
        <v>0.7291666666666666</v>
      </c>
      <c r="G2156" s="83">
        <v>0.75</v>
      </c>
      <c r="H2156" s="83">
        <v>0.020833333333333332</v>
      </c>
      <c r="I2156" s="84">
        <v>44482.0</v>
      </c>
      <c r="J2156" s="65" t="b">
        <v>1</v>
      </c>
      <c r="K2156" s="65"/>
      <c r="L2156" s="85" t="b">
        <f>IF(VLOOKUP(C2156,Projetos!A:L,12,false)=TRUE,TRUE,FALSE)</f>
        <v>1</v>
      </c>
      <c r="M2156" s="74">
        <v>73.7079846079846</v>
      </c>
      <c r="N2156" s="74">
        <f t="shared" si="1"/>
        <v>36.8539923</v>
      </c>
      <c r="O2156" s="74" t="b">
        <v>1</v>
      </c>
    </row>
    <row r="2157" hidden="1">
      <c r="A2157" s="82"/>
      <c r="B2157" s="65" t="s">
        <v>495</v>
      </c>
      <c r="C2157" s="65" t="s">
        <v>92</v>
      </c>
      <c r="D2157" s="65" t="str">
        <f>vlookup(C2157,'Classificação p pessoal'!F:G,2,false)</f>
        <v/>
      </c>
      <c r="E2157" s="65" t="s">
        <v>1355</v>
      </c>
      <c r="F2157" s="83">
        <v>0.3541666666666667</v>
      </c>
      <c r="G2157" s="83">
        <v>0.375</v>
      </c>
      <c r="H2157" s="83">
        <v>0.020833333333333332</v>
      </c>
      <c r="I2157" s="84">
        <v>44483.0</v>
      </c>
      <c r="J2157" s="65" t="b">
        <v>1</v>
      </c>
      <c r="K2157" s="65"/>
      <c r="L2157" s="85" t="b">
        <f>IF(VLOOKUP(C2157,Projetos!A:L,12,false)=TRUE,TRUE,FALSE)</f>
        <v>1</v>
      </c>
      <c r="M2157" s="74">
        <v>73.7079846079846</v>
      </c>
      <c r="N2157" s="74">
        <f t="shared" si="1"/>
        <v>36.8539923</v>
      </c>
      <c r="O2157" s="74" t="b">
        <v>1</v>
      </c>
    </row>
    <row r="2158">
      <c r="A2158" s="82"/>
      <c r="B2158" s="65" t="s">
        <v>495</v>
      </c>
      <c r="C2158" s="65" t="s">
        <v>108</v>
      </c>
      <c r="D2158" s="65" t="str">
        <f>vlookup(C2158,'Classificação p pessoal'!F:G,2,false)</f>
        <v>NP</v>
      </c>
      <c r="E2158" s="65" t="s">
        <v>1356</v>
      </c>
      <c r="F2158" s="83">
        <v>0.375</v>
      </c>
      <c r="G2158" s="83">
        <v>0.3958333333333333</v>
      </c>
      <c r="H2158" s="83">
        <v>0.020833333333333332</v>
      </c>
      <c r="I2158" s="84">
        <v>44483.0</v>
      </c>
      <c r="J2158" s="65" t="b">
        <v>1</v>
      </c>
      <c r="K2158" s="65"/>
      <c r="L2158" s="85" t="b">
        <f>IF(VLOOKUP(C2158,Projetos!A:L,12,false)=TRUE,TRUE,FALSE)</f>
        <v>1</v>
      </c>
      <c r="M2158" s="74">
        <v>73.7079846079846</v>
      </c>
      <c r="N2158" s="74">
        <f t="shared" si="1"/>
        <v>36.8539923</v>
      </c>
      <c r="O2158" s="74" t="b">
        <v>1</v>
      </c>
    </row>
    <row r="2159" hidden="1">
      <c r="A2159" s="82"/>
      <c r="B2159" s="65" t="s">
        <v>495</v>
      </c>
      <c r="C2159" s="65" t="s">
        <v>92</v>
      </c>
      <c r="D2159" s="65"/>
      <c r="E2159" s="65" t="s">
        <v>1357</v>
      </c>
      <c r="F2159" s="83">
        <v>0.6875</v>
      </c>
      <c r="G2159" s="83">
        <v>0.7361111111111112</v>
      </c>
      <c r="H2159" s="83">
        <v>0.04861111111111111</v>
      </c>
      <c r="I2159" s="84">
        <v>44258.0</v>
      </c>
      <c r="J2159" s="65" t="b">
        <v>0</v>
      </c>
      <c r="K2159" s="65" t="s">
        <v>150</v>
      </c>
      <c r="L2159" s="85" t="b">
        <f>IF(VLOOKUP(C2159,Projetos!A:L,12,false)=TRUE,TRUE,FALSE)</f>
        <v>1</v>
      </c>
      <c r="M2159" s="74">
        <v>73.7079846079846</v>
      </c>
      <c r="N2159" s="74">
        <f t="shared" si="1"/>
        <v>0</v>
      </c>
      <c r="O2159" s="74" t="b">
        <v>1</v>
      </c>
    </row>
    <row r="2160" hidden="1">
      <c r="A2160" s="82"/>
      <c r="B2160" s="65" t="s">
        <v>495</v>
      </c>
      <c r="C2160" s="65" t="s">
        <v>92</v>
      </c>
      <c r="D2160" s="65" t="str">
        <f>vlookup(C2160,'Classificação p pessoal'!F:G,2,false)</f>
        <v/>
      </c>
      <c r="E2160" s="65" t="s">
        <v>1358</v>
      </c>
      <c r="F2160" s="83">
        <v>0.4166666666666667</v>
      </c>
      <c r="G2160" s="83">
        <v>0.4791666666666667</v>
      </c>
      <c r="H2160" s="83">
        <v>0.0625</v>
      </c>
      <c r="I2160" s="84">
        <v>44483.0</v>
      </c>
      <c r="J2160" s="65" t="b">
        <v>1</v>
      </c>
      <c r="K2160" s="65"/>
      <c r="L2160" s="85" t="b">
        <f>IF(VLOOKUP(C2160,Projetos!A:L,12,false)=TRUE,TRUE,FALSE)</f>
        <v>1</v>
      </c>
      <c r="M2160" s="74">
        <v>73.7079846079846</v>
      </c>
      <c r="N2160" s="74">
        <f t="shared" si="1"/>
        <v>110.5619769</v>
      </c>
      <c r="O2160" s="74" t="b">
        <v>1</v>
      </c>
    </row>
    <row r="2161" hidden="1">
      <c r="A2161" s="82"/>
      <c r="B2161" s="65" t="s">
        <v>495</v>
      </c>
      <c r="C2161" s="65" t="s">
        <v>92</v>
      </c>
      <c r="D2161" s="65" t="str">
        <f>vlookup(C2161,'Classificação p pessoal'!F:G,2,false)</f>
        <v/>
      </c>
      <c r="E2161" s="65" t="s">
        <v>1359</v>
      </c>
      <c r="F2161" s="83">
        <v>0.5</v>
      </c>
      <c r="G2161" s="83">
        <v>0.5763888888888888</v>
      </c>
      <c r="H2161" s="83">
        <v>0.0763888888888889</v>
      </c>
      <c r="I2161" s="84">
        <v>44483.0</v>
      </c>
      <c r="J2161" s="65" t="b">
        <v>1</v>
      </c>
      <c r="K2161" s="65"/>
      <c r="L2161" s="85" t="b">
        <f>IF(VLOOKUP(C2161,Projetos!A:L,12,false)=TRUE,TRUE,FALSE)</f>
        <v>1</v>
      </c>
      <c r="M2161" s="74">
        <v>73.7079846079846</v>
      </c>
      <c r="N2161" s="74">
        <f t="shared" si="1"/>
        <v>135.1313051</v>
      </c>
      <c r="O2161" s="74" t="b">
        <v>1</v>
      </c>
    </row>
    <row r="2162" hidden="1">
      <c r="A2162" s="82"/>
      <c r="B2162" s="65" t="s">
        <v>495</v>
      </c>
      <c r="C2162" s="65" t="s">
        <v>92</v>
      </c>
      <c r="D2162" s="65" t="str">
        <f>vlookup(C2162,'Classificação p pessoal'!F:G,2,false)</f>
        <v/>
      </c>
      <c r="E2162" s="65" t="s">
        <v>1360</v>
      </c>
      <c r="F2162" s="83">
        <v>0.6180555555555556</v>
      </c>
      <c r="G2162" s="83">
        <v>0.6458333333333334</v>
      </c>
      <c r="H2162" s="83">
        <v>0.027777777777777776</v>
      </c>
      <c r="I2162" s="84">
        <v>44483.0</v>
      </c>
      <c r="J2162" s="65" t="b">
        <v>1</v>
      </c>
      <c r="K2162" s="65"/>
      <c r="L2162" s="85" t="b">
        <f>IF(VLOOKUP(C2162,Projetos!A:L,12,false)=TRUE,TRUE,FALSE)</f>
        <v>1</v>
      </c>
      <c r="M2162" s="74">
        <v>73.7079846079846</v>
      </c>
      <c r="N2162" s="74">
        <f t="shared" si="1"/>
        <v>49.13865641</v>
      </c>
      <c r="O2162" s="74" t="b">
        <v>1</v>
      </c>
    </row>
    <row r="2163" hidden="1">
      <c r="A2163" s="82"/>
      <c r="B2163" s="65" t="s">
        <v>495</v>
      </c>
      <c r="C2163" s="65" t="s">
        <v>100</v>
      </c>
      <c r="D2163" s="65" t="str">
        <f>vlookup(C2163,'Classificação p pessoal'!F:G,2,false)</f>
        <v>NP</v>
      </c>
      <c r="E2163" s="65" t="s">
        <v>1361</v>
      </c>
      <c r="F2163" s="83">
        <v>0.6458333333333334</v>
      </c>
      <c r="G2163" s="83">
        <v>0.6666666666666666</v>
      </c>
      <c r="H2163" s="83">
        <v>0.020833333333333332</v>
      </c>
      <c r="I2163" s="84">
        <v>44483.0</v>
      </c>
      <c r="J2163" s="65" t="b">
        <v>1</v>
      </c>
      <c r="K2163" s="65"/>
      <c r="L2163" s="85" t="b">
        <f>IF(VLOOKUP(C2163,Projetos!A:L,12,false)=TRUE,TRUE,FALSE)</f>
        <v>1</v>
      </c>
      <c r="M2163" s="74">
        <v>73.7079846079846</v>
      </c>
      <c r="N2163" s="74">
        <f t="shared" si="1"/>
        <v>36.8539923</v>
      </c>
      <c r="O2163" s="74" t="b">
        <v>1</v>
      </c>
    </row>
    <row r="2164" hidden="1">
      <c r="A2164" s="82"/>
      <c r="B2164" s="65" t="s">
        <v>495</v>
      </c>
      <c r="C2164" s="65" t="s">
        <v>84</v>
      </c>
      <c r="D2164" s="65"/>
      <c r="E2164" s="65" t="s">
        <v>1362</v>
      </c>
      <c r="F2164" s="83">
        <v>0.6666666666666666</v>
      </c>
      <c r="G2164" s="83">
        <v>0.7083333333333334</v>
      </c>
      <c r="H2164" s="83">
        <v>0.041666666666666664</v>
      </c>
      <c r="I2164" s="84">
        <v>44483.0</v>
      </c>
      <c r="J2164" s="65" t="b">
        <v>0</v>
      </c>
      <c r="K2164" s="65"/>
      <c r="L2164" s="85" t="b">
        <f>IF(VLOOKUP(C2164,Projetos!A:L,12,false)=TRUE,TRUE,FALSE)</f>
        <v>0</v>
      </c>
      <c r="M2164" s="74">
        <v>73.7079846079846</v>
      </c>
      <c r="N2164" s="74">
        <f t="shared" si="1"/>
        <v>0</v>
      </c>
      <c r="O2164" s="74" t="b">
        <v>0</v>
      </c>
    </row>
    <row r="2165" hidden="1">
      <c r="A2165" s="82"/>
      <c r="B2165" s="65" t="s">
        <v>495</v>
      </c>
      <c r="C2165" s="65" t="s">
        <v>117</v>
      </c>
      <c r="D2165" s="65" t="str">
        <f>vlookup(C2165,'Classificação p pessoal'!F:G,2,false)</f>
        <v>NP</v>
      </c>
      <c r="E2165" s="65" t="s">
        <v>1363</v>
      </c>
      <c r="F2165" s="83">
        <v>0.7083333333333334</v>
      </c>
      <c r="G2165" s="83">
        <v>0.75</v>
      </c>
      <c r="H2165" s="83">
        <v>0.041666666666666664</v>
      </c>
      <c r="I2165" s="84">
        <v>44483.0</v>
      </c>
      <c r="J2165" s="65" t="b">
        <v>1</v>
      </c>
      <c r="K2165" s="65"/>
      <c r="L2165" s="85" t="b">
        <f>IF(VLOOKUP(C2165,Projetos!A:L,12,false)=TRUE,TRUE,FALSE)</f>
        <v>1</v>
      </c>
      <c r="M2165" s="74">
        <v>73.7079846079846</v>
      </c>
      <c r="N2165" s="74">
        <f t="shared" si="1"/>
        <v>73.70798461</v>
      </c>
      <c r="O2165" s="74" t="b">
        <v>1</v>
      </c>
    </row>
    <row r="2166" hidden="1">
      <c r="A2166" s="82"/>
      <c r="B2166" s="65" t="s">
        <v>495</v>
      </c>
      <c r="C2166" s="65" t="s">
        <v>92</v>
      </c>
      <c r="D2166" s="65" t="str">
        <f>vlookup(C2166,'Classificação p pessoal'!F:G,2,false)</f>
        <v/>
      </c>
      <c r="E2166" s="65" t="s">
        <v>1364</v>
      </c>
      <c r="F2166" s="83">
        <v>0.3541666666666667</v>
      </c>
      <c r="G2166" s="83">
        <v>0.3819444444444444</v>
      </c>
      <c r="H2166" s="83">
        <v>0.027777777777777776</v>
      </c>
      <c r="I2166" s="84">
        <v>44484.0</v>
      </c>
      <c r="J2166" s="65" t="b">
        <v>1</v>
      </c>
      <c r="K2166" s="65"/>
      <c r="L2166" s="85" t="b">
        <f>IF(VLOOKUP(C2166,Projetos!A:L,12,false)=TRUE,TRUE,FALSE)</f>
        <v>1</v>
      </c>
      <c r="M2166" s="74">
        <v>73.7079846079846</v>
      </c>
      <c r="N2166" s="74">
        <f t="shared" si="1"/>
        <v>49.13865641</v>
      </c>
      <c r="O2166" s="74" t="b">
        <v>1</v>
      </c>
    </row>
    <row r="2167" hidden="1">
      <c r="A2167" s="82"/>
      <c r="B2167" s="65" t="s">
        <v>495</v>
      </c>
      <c r="C2167" s="65" t="s">
        <v>117</v>
      </c>
      <c r="D2167" s="65" t="str">
        <f>vlookup(C2167,'Classificação p pessoal'!F:G,2,false)</f>
        <v>NP</v>
      </c>
      <c r="E2167" s="65" t="s">
        <v>1365</v>
      </c>
      <c r="F2167" s="83">
        <v>0.3888888888888889</v>
      </c>
      <c r="G2167" s="83">
        <v>0.5</v>
      </c>
      <c r="H2167" s="83">
        <v>0.1111111111111111</v>
      </c>
      <c r="I2167" s="84">
        <v>44484.0</v>
      </c>
      <c r="J2167" s="65" t="b">
        <v>1</v>
      </c>
      <c r="K2167" s="65"/>
      <c r="L2167" s="85" t="b">
        <f>IF(VLOOKUP(C2167,Projetos!A:L,12,false)=TRUE,TRUE,FALSE)</f>
        <v>1</v>
      </c>
      <c r="M2167" s="74">
        <v>73.7079846079846</v>
      </c>
      <c r="N2167" s="74">
        <f t="shared" si="1"/>
        <v>196.5546256</v>
      </c>
      <c r="O2167" s="74" t="b">
        <v>1</v>
      </c>
    </row>
    <row r="2168" hidden="1">
      <c r="A2168" s="82"/>
      <c r="B2168" s="65" t="s">
        <v>495</v>
      </c>
      <c r="C2168" s="65" t="s">
        <v>117</v>
      </c>
      <c r="D2168" s="65" t="str">
        <f>vlookup(C2168,'Classificação p pessoal'!F:G,2,false)</f>
        <v>NP</v>
      </c>
      <c r="E2168" s="65" t="s">
        <v>1366</v>
      </c>
      <c r="F2168" s="83">
        <v>0.5104166666666666</v>
      </c>
      <c r="G2168" s="83">
        <v>0.53125</v>
      </c>
      <c r="H2168" s="83">
        <v>0.020833333333333332</v>
      </c>
      <c r="I2168" s="84">
        <v>44484.0</v>
      </c>
      <c r="J2168" s="65" t="b">
        <v>1</v>
      </c>
      <c r="K2168" s="65"/>
      <c r="L2168" s="85" t="b">
        <f>IF(VLOOKUP(C2168,Projetos!A:L,12,false)=TRUE,TRUE,FALSE)</f>
        <v>1</v>
      </c>
      <c r="M2168" s="74">
        <v>73.7079846079846</v>
      </c>
      <c r="N2168" s="74">
        <f t="shared" si="1"/>
        <v>36.8539923</v>
      </c>
      <c r="O2168" s="74" t="b">
        <v>1</v>
      </c>
    </row>
    <row r="2169" hidden="1">
      <c r="A2169" s="82"/>
      <c r="B2169" s="65" t="s">
        <v>495</v>
      </c>
      <c r="C2169" s="65" t="s">
        <v>92</v>
      </c>
      <c r="D2169" s="65" t="str">
        <f>vlookup(C2169,'Classificação p pessoal'!F:G,2,false)</f>
        <v/>
      </c>
      <c r="E2169" s="65" t="s">
        <v>1367</v>
      </c>
      <c r="F2169" s="83">
        <v>0.53125</v>
      </c>
      <c r="G2169" s="83">
        <v>0.5763888888888888</v>
      </c>
      <c r="H2169" s="83">
        <v>0.04513888888888889</v>
      </c>
      <c r="I2169" s="84">
        <v>44484.0</v>
      </c>
      <c r="J2169" s="65" t="b">
        <v>1</v>
      </c>
      <c r="K2169" s="65"/>
      <c r="L2169" s="85" t="b">
        <f>IF(VLOOKUP(C2169,Projetos!A:L,12,false)=TRUE,TRUE,FALSE)</f>
        <v>1</v>
      </c>
      <c r="M2169" s="74">
        <v>73.7079846079846</v>
      </c>
      <c r="N2169" s="74">
        <f t="shared" si="1"/>
        <v>79.85031666</v>
      </c>
      <c r="O2169" s="74" t="b">
        <v>1</v>
      </c>
    </row>
    <row r="2170" hidden="1">
      <c r="A2170" s="82"/>
      <c r="B2170" s="65" t="s">
        <v>495</v>
      </c>
      <c r="C2170" s="65" t="s">
        <v>92</v>
      </c>
      <c r="D2170" s="65"/>
      <c r="E2170" s="65" t="s">
        <v>1368</v>
      </c>
      <c r="F2170" s="83">
        <v>0.625</v>
      </c>
      <c r="G2170" s="83">
        <v>0.6666666666666666</v>
      </c>
      <c r="H2170" s="83">
        <v>0.041666666666666664</v>
      </c>
      <c r="I2170" s="84">
        <v>44484.0</v>
      </c>
      <c r="J2170" s="65" t="b">
        <v>0</v>
      </c>
      <c r="K2170" s="65" t="s">
        <v>150</v>
      </c>
      <c r="L2170" s="85" t="b">
        <f>IF(VLOOKUP(C2170,Projetos!A:L,12,false)=TRUE,TRUE,FALSE)</f>
        <v>1</v>
      </c>
      <c r="M2170" s="74">
        <v>73.7079846079846</v>
      </c>
      <c r="N2170" s="74">
        <f t="shared" si="1"/>
        <v>0</v>
      </c>
      <c r="O2170" s="74" t="b">
        <v>1</v>
      </c>
    </row>
    <row r="2171" hidden="1">
      <c r="A2171" s="82"/>
      <c r="B2171" s="65" t="s">
        <v>495</v>
      </c>
      <c r="C2171" s="65" t="s">
        <v>92</v>
      </c>
      <c r="D2171" s="65" t="str">
        <f>vlookup(C2171,'Classificação p pessoal'!F:G,2,false)</f>
        <v/>
      </c>
      <c r="E2171" s="65" t="s">
        <v>1367</v>
      </c>
      <c r="F2171" s="83">
        <v>0.6666666666666666</v>
      </c>
      <c r="G2171" s="83">
        <v>0.75</v>
      </c>
      <c r="H2171" s="83">
        <v>0.08333333333333333</v>
      </c>
      <c r="I2171" s="84">
        <v>44484.0</v>
      </c>
      <c r="J2171" s="65" t="b">
        <v>1</v>
      </c>
      <c r="K2171" s="65"/>
      <c r="L2171" s="85" t="b">
        <f>IF(VLOOKUP(C2171,Projetos!A:L,12,false)=TRUE,TRUE,FALSE)</f>
        <v>1</v>
      </c>
      <c r="M2171" s="74">
        <v>73.7079846079846</v>
      </c>
      <c r="N2171" s="74">
        <f t="shared" si="1"/>
        <v>147.4159692</v>
      </c>
      <c r="O2171" s="74" t="b">
        <v>1</v>
      </c>
    </row>
    <row r="2172">
      <c r="A2172" s="82"/>
      <c r="B2172" s="65" t="s">
        <v>495</v>
      </c>
      <c r="C2172" s="65" t="s">
        <v>108</v>
      </c>
      <c r="D2172" s="65" t="str">
        <f>vlookup(C2172,'Classificação p pessoal'!F:G,2,false)</f>
        <v>NP</v>
      </c>
      <c r="E2172" s="65" t="s">
        <v>1369</v>
      </c>
      <c r="F2172" s="83">
        <v>0.3472222222222222</v>
      </c>
      <c r="G2172" s="83">
        <v>0.4166666666666667</v>
      </c>
      <c r="H2172" s="83">
        <v>0.06944444444444445</v>
      </c>
      <c r="I2172" s="84">
        <v>44487.0</v>
      </c>
      <c r="J2172" s="65" t="b">
        <v>1</v>
      </c>
      <c r="K2172" s="65"/>
      <c r="L2172" s="85" t="b">
        <f>IF(VLOOKUP(C2172,Projetos!A:L,12,false)=TRUE,TRUE,FALSE)</f>
        <v>1</v>
      </c>
      <c r="M2172" s="74">
        <v>73.7079846079846</v>
      </c>
      <c r="N2172" s="74">
        <f t="shared" si="1"/>
        <v>122.846641</v>
      </c>
      <c r="O2172" s="74" t="b">
        <v>1</v>
      </c>
    </row>
    <row r="2173">
      <c r="A2173" s="82"/>
      <c r="B2173" s="65" t="s">
        <v>495</v>
      </c>
      <c r="C2173" s="65" t="s">
        <v>108</v>
      </c>
      <c r="D2173" s="65" t="str">
        <f>vlookup(C2173,'Classificação p pessoal'!F:G,2,false)</f>
        <v>NP</v>
      </c>
      <c r="E2173" s="65" t="s">
        <v>1370</v>
      </c>
      <c r="F2173" s="83">
        <v>0.4583333333333333</v>
      </c>
      <c r="G2173" s="83">
        <v>0.5625</v>
      </c>
      <c r="H2173" s="83">
        <v>0.10416666666666667</v>
      </c>
      <c r="I2173" s="84">
        <v>44487.0</v>
      </c>
      <c r="J2173" s="65" t="b">
        <v>1</v>
      </c>
      <c r="K2173" s="65"/>
      <c r="L2173" s="85" t="b">
        <f>IF(VLOOKUP(C2173,Projetos!A:L,12,false)=TRUE,TRUE,FALSE)</f>
        <v>1</v>
      </c>
      <c r="M2173" s="74">
        <v>73.7079846079846</v>
      </c>
      <c r="N2173" s="74">
        <f t="shared" si="1"/>
        <v>184.2699615</v>
      </c>
      <c r="O2173" s="74" t="b">
        <v>1</v>
      </c>
    </row>
    <row r="2174">
      <c r="A2174" s="82"/>
      <c r="B2174" s="65" t="s">
        <v>495</v>
      </c>
      <c r="C2174" s="65" t="s">
        <v>108</v>
      </c>
      <c r="D2174" s="65" t="str">
        <f>vlookup(C2174,'Classificação p pessoal'!F:G,2,false)</f>
        <v>NP</v>
      </c>
      <c r="E2174" s="65" t="s">
        <v>853</v>
      </c>
      <c r="F2174" s="83">
        <v>0.6041666666666666</v>
      </c>
      <c r="G2174" s="83">
        <v>0.6458333333333334</v>
      </c>
      <c r="H2174" s="83">
        <v>0.041666666666666664</v>
      </c>
      <c r="I2174" s="84">
        <v>44487.0</v>
      </c>
      <c r="J2174" s="65" t="b">
        <v>1</v>
      </c>
      <c r="K2174" s="65"/>
      <c r="L2174" s="85" t="b">
        <f>IF(VLOOKUP(C2174,Projetos!A:L,12,false)=TRUE,TRUE,FALSE)</f>
        <v>1</v>
      </c>
      <c r="M2174" s="74">
        <v>73.7079846079846</v>
      </c>
      <c r="N2174" s="74">
        <f t="shared" si="1"/>
        <v>73.70798461</v>
      </c>
      <c r="O2174" s="74" t="b">
        <v>1</v>
      </c>
    </row>
    <row r="2175" hidden="1">
      <c r="A2175" s="82"/>
      <c r="B2175" s="65" t="s">
        <v>495</v>
      </c>
      <c r="C2175" s="65" t="s">
        <v>92</v>
      </c>
      <c r="D2175" s="65" t="str">
        <f>vlookup(C2175,'Classificação p pessoal'!F:G,2,false)</f>
        <v/>
      </c>
      <c r="E2175" s="65" t="s">
        <v>1371</v>
      </c>
      <c r="F2175" s="83">
        <v>0.65625</v>
      </c>
      <c r="G2175" s="83">
        <v>0.6944444444444444</v>
      </c>
      <c r="H2175" s="83">
        <v>0.03819444444444445</v>
      </c>
      <c r="I2175" s="84">
        <v>44487.0</v>
      </c>
      <c r="J2175" s="65" t="b">
        <v>1</v>
      </c>
      <c r="K2175" s="65"/>
      <c r="L2175" s="85" t="b">
        <f>IF(VLOOKUP(C2175,Projetos!A:L,12,false)=TRUE,TRUE,FALSE)</f>
        <v>1</v>
      </c>
      <c r="M2175" s="74">
        <v>73.7079846079846</v>
      </c>
      <c r="N2175" s="74">
        <f t="shared" si="1"/>
        <v>67.56565256</v>
      </c>
      <c r="O2175" s="74" t="b">
        <v>1</v>
      </c>
    </row>
    <row r="2176" hidden="1">
      <c r="A2176" s="82"/>
      <c r="B2176" s="65" t="s">
        <v>495</v>
      </c>
      <c r="C2176" s="65" t="s">
        <v>92</v>
      </c>
      <c r="D2176" s="65" t="str">
        <f>vlookup(C2176,'Classificação p pessoal'!F:G,2,false)</f>
        <v/>
      </c>
      <c r="E2176" s="65" t="s">
        <v>837</v>
      </c>
      <c r="F2176" s="83">
        <v>0.7125</v>
      </c>
      <c r="G2176" s="83">
        <v>0.7604166666666666</v>
      </c>
      <c r="H2176" s="83">
        <v>0.04791666666666667</v>
      </c>
      <c r="I2176" s="84">
        <v>44487.0</v>
      </c>
      <c r="J2176" s="65" t="b">
        <v>1</v>
      </c>
      <c r="K2176" s="65"/>
      <c r="L2176" s="85" t="b">
        <f>IF(VLOOKUP(C2176,Projetos!A:L,12,false)=TRUE,TRUE,FALSE)</f>
        <v>1</v>
      </c>
      <c r="M2176" s="74">
        <v>73.7079846079846</v>
      </c>
      <c r="N2176" s="74">
        <f t="shared" si="1"/>
        <v>84.7641823</v>
      </c>
      <c r="O2176" s="74" t="b">
        <v>1</v>
      </c>
    </row>
    <row r="2177" hidden="1">
      <c r="A2177" s="82"/>
      <c r="B2177" s="65" t="s">
        <v>495</v>
      </c>
      <c r="C2177" s="65" t="s">
        <v>84</v>
      </c>
      <c r="D2177" s="65"/>
      <c r="E2177" s="65" t="s">
        <v>1372</v>
      </c>
      <c r="F2177" s="83">
        <v>0.3263888888888889</v>
      </c>
      <c r="G2177" s="83">
        <v>0.3541666666666667</v>
      </c>
      <c r="H2177" s="83">
        <v>0.027777777777777776</v>
      </c>
      <c r="I2177" s="84">
        <v>44488.0</v>
      </c>
      <c r="J2177" s="65" t="b">
        <v>0</v>
      </c>
      <c r="K2177" s="65" t="s">
        <v>150</v>
      </c>
      <c r="L2177" s="85" t="b">
        <f>IF(VLOOKUP(C2177,Projetos!A:L,12,false)=TRUE,TRUE,FALSE)</f>
        <v>0</v>
      </c>
      <c r="M2177" s="74">
        <v>73.7079846079846</v>
      </c>
      <c r="N2177" s="74">
        <f t="shared" si="1"/>
        <v>0</v>
      </c>
      <c r="O2177" s="74" t="b">
        <v>0</v>
      </c>
    </row>
    <row r="2178" hidden="1">
      <c r="A2178" s="82"/>
      <c r="B2178" s="65" t="s">
        <v>495</v>
      </c>
      <c r="C2178" s="65" t="s">
        <v>92</v>
      </c>
      <c r="D2178" s="65" t="str">
        <f>vlookup(C2178,'Classificação p pessoal'!F:G,2,false)</f>
        <v/>
      </c>
      <c r="E2178" s="65" t="s">
        <v>929</v>
      </c>
      <c r="F2178" s="83">
        <v>0.3541666666666667</v>
      </c>
      <c r="G2178" s="83">
        <v>0.3715277777777778</v>
      </c>
      <c r="H2178" s="83">
        <v>0.017361111111111112</v>
      </c>
      <c r="I2178" s="84">
        <v>44488.0</v>
      </c>
      <c r="J2178" s="65" t="b">
        <v>1</v>
      </c>
      <c r="K2178" s="65"/>
      <c r="L2178" s="85" t="b">
        <f>IF(VLOOKUP(C2178,Projetos!A:L,12,false)=TRUE,TRUE,FALSE)</f>
        <v>1</v>
      </c>
      <c r="M2178" s="74">
        <v>73.7079846079846</v>
      </c>
      <c r="N2178" s="74">
        <f t="shared" si="1"/>
        <v>30.71166025</v>
      </c>
      <c r="O2178" s="74" t="b">
        <v>1</v>
      </c>
    </row>
    <row r="2179" hidden="1">
      <c r="A2179" s="82"/>
      <c r="B2179" s="65" t="s">
        <v>495</v>
      </c>
      <c r="C2179" s="65" t="s">
        <v>92</v>
      </c>
      <c r="D2179" s="65"/>
      <c r="E2179" s="65" t="s">
        <v>1373</v>
      </c>
      <c r="F2179" s="83">
        <v>0.3715277777777778</v>
      </c>
      <c r="G2179" s="83">
        <v>0.4583333333333333</v>
      </c>
      <c r="H2179" s="83">
        <v>0.08680555555555555</v>
      </c>
      <c r="I2179" s="84">
        <v>44488.0</v>
      </c>
      <c r="J2179" s="65" t="b">
        <v>0</v>
      </c>
      <c r="K2179" s="65" t="s">
        <v>150</v>
      </c>
      <c r="L2179" s="85" t="b">
        <f>IF(VLOOKUP(C2179,Projetos!A:L,12,false)=TRUE,TRUE,FALSE)</f>
        <v>1</v>
      </c>
      <c r="M2179" s="74">
        <v>73.7079846079846</v>
      </c>
      <c r="N2179" s="74">
        <f t="shared" si="1"/>
        <v>0</v>
      </c>
      <c r="O2179" s="74" t="b">
        <v>1</v>
      </c>
    </row>
    <row r="2180" hidden="1">
      <c r="A2180" s="82"/>
      <c r="B2180" s="65" t="s">
        <v>495</v>
      </c>
      <c r="C2180" s="65" t="s">
        <v>92</v>
      </c>
      <c r="D2180" s="65" t="str">
        <f>vlookup(C2180,'Classificação p pessoal'!F:G,2,false)</f>
        <v/>
      </c>
      <c r="E2180" s="65" t="s">
        <v>1374</v>
      </c>
      <c r="F2180" s="83">
        <v>0.4583333333333333</v>
      </c>
      <c r="G2180" s="83">
        <v>0.5729166666666666</v>
      </c>
      <c r="H2180" s="83">
        <v>0.11458333333333333</v>
      </c>
      <c r="I2180" s="84">
        <v>44488.0</v>
      </c>
      <c r="J2180" s="65" t="b">
        <v>1</v>
      </c>
      <c r="K2180" s="65"/>
      <c r="L2180" s="85" t="b">
        <f>IF(VLOOKUP(C2180,Projetos!A:L,12,false)=TRUE,TRUE,FALSE)</f>
        <v>1</v>
      </c>
      <c r="M2180" s="74">
        <v>73.7079846079846</v>
      </c>
      <c r="N2180" s="74">
        <f t="shared" si="1"/>
        <v>202.6969577</v>
      </c>
      <c r="O2180" s="74" t="b">
        <v>1</v>
      </c>
    </row>
    <row r="2181" hidden="1">
      <c r="A2181" s="82"/>
      <c r="B2181" s="65" t="s">
        <v>495</v>
      </c>
      <c r="C2181" s="65" t="s">
        <v>92</v>
      </c>
      <c r="D2181" s="65" t="str">
        <f>vlookup(C2181,'Classificação p pessoal'!F:G,2,false)</f>
        <v/>
      </c>
      <c r="E2181" s="65" t="s">
        <v>1375</v>
      </c>
      <c r="F2181" s="83">
        <v>0.6180555555555556</v>
      </c>
      <c r="G2181" s="83">
        <v>0.6458333333333334</v>
      </c>
      <c r="H2181" s="83">
        <v>0.027777777777777776</v>
      </c>
      <c r="I2181" s="84">
        <v>44488.0</v>
      </c>
      <c r="J2181" s="65" t="b">
        <v>1</v>
      </c>
      <c r="K2181" s="65"/>
      <c r="L2181" s="85" t="b">
        <f>IF(VLOOKUP(C2181,Projetos!A:L,12,false)=TRUE,TRUE,FALSE)</f>
        <v>1</v>
      </c>
      <c r="M2181" s="74">
        <v>73.7079846079846</v>
      </c>
      <c r="N2181" s="74">
        <f t="shared" si="1"/>
        <v>49.13865641</v>
      </c>
      <c r="O2181" s="74" t="b">
        <v>1</v>
      </c>
    </row>
    <row r="2182" hidden="1">
      <c r="A2182" s="82"/>
      <c r="B2182" s="65" t="s">
        <v>495</v>
      </c>
      <c r="C2182" s="65" t="s">
        <v>92</v>
      </c>
      <c r="D2182" s="65" t="str">
        <f>vlookup(C2182,'Classificação p pessoal'!F:G,2,false)</f>
        <v/>
      </c>
      <c r="E2182" s="65" t="s">
        <v>1297</v>
      </c>
      <c r="F2182" s="83">
        <v>0.6458333333333334</v>
      </c>
      <c r="G2182" s="83">
        <v>0.7013888888888888</v>
      </c>
      <c r="H2182" s="83">
        <v>0.05555555555555555</v>
      </c>
      <c r="I2182" s="84">
        <v>44488.0</v>
      </c>
      <c r="J2182" s="65" t="b">
        <v>1</v>
      </c>
      <c r="K2182" s="65"/>
      <c r="L2182" s="85" t="b">
        <f>IF(VLOOKUP(C2182,Projetos!A:L,12,false)=TRUE,TRUE,FALSE)</f>
        <v>1</v>
      </c>
      <c r="M2182" s="74">
        <v>73.7079846079846</v>
      </c>
      <c r="N2182" s="74">
        <f t="shared" si="1"/>
        <v>98.27731281</v>
      </c>
      <c r="O2182" s="74" t="b">
        <v>1</v>
      </c>
    </row>
    <row r="2183">
      <c r="A2183" s="82"/>
      <c r="B2183" s="65" t="s">
        <v>495</v>
      </c>
      <c r="C2183" s="65" t="s">
        <v>108</v>
      </c>
      <c r="D2183" s="65"/>
      <c r="E2183" s="65" t="s">
        <v>1376</v>
      </c>
      <c r="F2183" s="83">
        <v>0.3541666666666667</v>
      </c>
      <c r="G2183" s="83">
        <v>0.4791666666666667</v>
      </c>
      <c r="H2183" s="83">
        <v>0.125</v>
      </c>
      <c r="I2183" s="84">
        <v>44440.0</v>
      </c>
      <c r="J2183" s="65" t="b">
        <v>0</v>
      </c>
      <c r="K2183" s="65"/>
      <c r="L2183" s="85" t="b">
        <f>IF(VLOOKUP(C2183,Projetos!A:L,12,false)=TRUE,TRUE,FALSE)</f>
        <v>1</v>
      </c>
      <c r="M2183" s="74">
        <v>73.7079846079846</v>
      </c>
      <c r="N2183" s="74">
        <f t="shared" si="1"/>
        <v>0</v>
      </c>
      <c r="O2183" s="74" t="b">
        <v>1</v>
      </c>
    </row>
    <row r="2184" hidden="1">
      <c r="A2184" s="82"/>
      <c r="B2184" s="65" t="s">
        <v>495</v>
      </c>
      <c r="C2184" s="65" t="s">
        <v>92</v>
      </c>
      <c r="D2184" s="65" t="str">
        <f>vlookup(C2184,'Classificação p pessoal'!F:G,2,false)</f>
        <v/>
      </c>
      <c r="E2184" s="65" t="s">
        <v>1377</v>
      </c>
      <c r="F2184" s="83">
        <v>0.3298611111111111</v>
      </c>
      <c r="G2184" s="83">
        <v>0.3541666666666667</v>
      </c>
      <c r="H2184" s="83">
        <v>0.024305555555555556</v>
      </c>
      <c r="I2184" s="84">
        <v>44489.0</v>
      </c>
      <c r="J2184" s="65" t="b">
        <v>1</v>
      </c>
      <c r="K2184" s="65"/>
      <c r="L2184" s="85" t="b">
        <f>IF(VLOOKUP(C2184,Projetos!A:L,12,false)=TRUE,TRUE,FALSE)</f>
        <v>1</v>
      </c>
      <c r="M2184" s="74">
        <v>73.7079846079846</v>
      </c>
      <c r="N2184" s="74">
        <f t="shared" si="1"/>
        <v>42.99632435</v>
      </c>
      <c r="O2184" s="74" t="b">
        <v>1</v>
      </c>
    </row>
    <row r="2185" hidden="1">
      <c r="A2185" s="82"/>
      <c r="B2185" s="65" t="s">
        <v>495</v>
      </c>
      <c r="C2185" s="65" t="s">
        <v>92</v>
      </c>
      <c r="D2185" s="65" t="str">
        <f>vlookup(C2185,'Classificação p pessoal'!F:G,2,false)</f>
        <v/>
      </c>
      <c r="E2185" s="65" t="s">
        <v>929</v>
      </c>
      <c r="F2185" s="83">
        <v>0.3541666666666667</v>
      </c>
      <c r="G2185" s="83">
        <v>0.375</v>
      </c>
      <c r="H2185" s="83">
        <v>0.020833333333333332</v>
      </c>
      <c r="I2185" s="84">
        <v>44489.0</v>
      </c>
      <c r="J2185" s="65" t="b">
        <v>1</v>
      </c>
      <c r="K2185" s="65"/>
      <c r="L2185" s="85" t="b">
        <f>IF(VLOOKUP(C2185,Projetos!A:L,12,false)=TRUE,TRUE,FALSE)</f>
        <v>1</v>
      </c>
      <c r="M2185" s="74">
        <v>73.7079846079846</v>
      </c>
      <c r="N2185" s="74">
        <f t="shared" si="1"/>
        <v>36.8539923</v>
      </c>
      <c r="O2185" s="74" t="b">
        <v>1</v>
      </c>
    </row>
    <row r="2186">
      <c r="A2186" s="82"/>
      <c r="B2186" s="65" t="s">
        <v>495</v>
      </c>
      <c r="C2186" s="65" t="s">
        <v>108</v>
      </c>
      <c r="D2186" s="65" t="str">
        <f>vlookup(C2186,'Classificação p pessoal'!F:G,2,false)</f>
        <v>NP</v>
      </c>
      <c r="E2186" s="65" t="s">
        <v>1378</v>
      </c>
      <c r="F2186" s="83">
        <v>0.375</v>
      </c>
      <c r="G2186" s="83">
        <v>0.4166666666666667</v>
      </c>
      <c r="H2186" s="83">
        <v>0.041666666666666664</v>
      </c>
      <c r="I2186" s="84">
        <v>44489.0</v>
      </c>
      <c r="J2186" s="65" t="b">
        <v>1</v>
      </c>
      <c r="K2186" s="65"/>
      <c r="L2186" s="85" t="b">
        <f>IF(VLOOKUP(C2186,Projetos!A:L,12,false)=TRUE,TRUE,FALSE)</f>
        <v>1</v>
      </c>
      <c r="M2186" s="74">
        <v>73.7079846079846</v>
      </c>
      <c r="N2186" s="74">
        <f t="shared" si="1"/>
        <v>73.70798461</v>
      </c>
      <c r="O2186" s="74" t="b">
        <v>1</v>
      </c>
    </row>
    <row r="2187" hidden="1">
      <c r="A2187" s="82"/>
      <c r="B2187" s="65" t="s">
        <v>495</v>
      </c>
      <c r="C2187" s="65" t="s">
        <v>92</v>
      </c>
      <c r="D2187" s="65" t="str">
        <f>vlookup(C2187,'Classificação p pessoal'!F:G,2,false)</f>
        <v/>
      </c>
      <c r="E2187" s="65" t="s">
        <v>1375</v>
      </c>
      <c r="F2187" s="83">
        <v>0.4166666666666667</v>
      </c>
      <c r="G2187" s="83">
        <v>0.4791666666666667</v>
      </c>
      <c r="H2187" s="83">
        <v>0.0625</v>
      </c>
      <c r="I2187" s="84">
        <v>44489.0</v>
      </c>
      <c r="J2187" s="65" t="b">
        <v>1</v>
      </c>
      <c r="K2187" s="65"/>
      <c r="L2187" s="85" t="b">
        <f>IF(VLOOKUP(C2187,Projetos!A:L,12,false)=TRUE,TRUE,FALSE)</f>
        <v>1</v>
      </c>
      <c r="M2187" s="74">
        <v>73.7079846079846</v>
      </c>
      <c r="N2187" s="74">
        <f t="shared" si="1"/>
        <v>110.5619769</v>
      </c>
      <c r="O2187" s="74" t="b">
        <v>1</v>
      </c>
    </row>
    <row r="2188" hidden="1">
      <c r="A2188" s="82"/>
      <c r="B2188" s="65" t="s">
        <v>495</v>
      </c>
      <c r="C2188" s="65" t="s">
        <v>92</v>
      </c>
      <c r="D2188" s="65" t="str">
        <f>vlookup(C2188,'Classificação p pessoal'!F:G,2,false)</f>
        <v/>
      </c>
      <c r="E2188" s="65" t="s">
        <v>1379</v>
      </c>
      <c r="F2188" s="83">
        <v>0.4930555555555556</v>
      </c>
      <c r="G2188" s="83">
        <v>0.5729166666666666</v>
      </c>
      <c r="H2188" s="83">
        <v>0.0798611111111111</v>
      </c>
      <c r="I2188" s="84">
        <v>44489.0</v>
      </c>
      <c r="J2188" s="65" t="b">
        <v>1</v>
      </c>
      <c r="K2188" s="65"/>
      <c r="L2188" s="85" t="b">
        <f>IF(VLOOKUP(C2188,Projetos!A:L,12,false)=TRUE,TRUE,FALSE)</f>
        <v>1</v>
      </c>
      <c r="M2188" s="74">
        <v>73.7079846079846</v>
      </c>
      <c r="N2188" s="74">
        <f t="shared" si="1"/>
        <v>141.2736372</v>
      </c>
      <c r="O2188" s="74" t="b">
        <v>1</v>
      </c>
    </row>
    <row r="2189" hidden="1">
      <c r="A2189" s="82"/>
      <c r="B2189" s="65" t="s">
        <v>495</v>
      </c>
      <c r="C2189" s="65" t="s">
        <v>92</v>
      </c>
      <c r="D2189" s="65" t="str">
        <f>vlookup(C2189,'Classificação p pessoal'!F:G,2,false)</f>
        <v/>
      </c>
      <c r="E2189" s="65" t="s">
        <v>1380</v>
      </c>
      <c r="F2189" s="83">
        <v>0.6145833333333334</v>
      </c>
      <c r="G2189" s="83">
        <v>0.65625</v>
      </c>
      <c r="H2189" s="83">
        <v>0.041666666666666664</v>
      </c>
      <c r="I2189" s="84">
        <v>44489.0</v>
      </c>
      <c r="J2189" s="65" t="b">
        <v>1</v>
      </c>
      <c r="K2189" s="65"/>
      <c r="L2189" s="85" t="b">
        <f>IF(VLOOKUP(C2189,Projetos!A:L,12,false)=TRUE,TRUE,FALSE)</f>
        <v>1</v>
      </c>
      <c r="M2189" s="74">
        <v>73.7079846079846</v>
      </c>
      <c r="N2189" s="74">
        <f t="shared" si="1"/>
        <v>73.70798461</v>
      </c>
      <c r="O2189" s="74" t="b">
        <v>1</v>
      </c>
    </row>
    <row r="2190" hidden="1">
      <c r="A2190" s="82"/>
      <c r="B2190" s="65" t="s">
        <v>495</v>
      </c>
      <c r="C2190" s="65" t="s">
        <v>92</v>
      </c>
      <c r="D2190" s="65" t="str">
        <f>vlookup(C2190,'Classificação p pessoal'!F:G,2,false)</f>
        <v/>
      </c>
      <c r="E2190" s="65" t="s">
        <v>1381</v>
      </c>
      <c r="F2190" s="83">
        <v>0.65625</v>
      </c>
      <c r="G2190" s="83">
        <v>0.6875</v>
      </c>
      <c r="H2190" s="83">
        <v>0.03125</v>
      </c>
      <c r="I2190" s="84">
        <v>44489.0</v>
      </c>
      <c r="J2190" s="65" t="b">
        <v>1</v>
      </c>
      <c r="K2190" s="65"/>
      <c r="L2190" s="85" t="b">
        <f>IF(VLOOKUP(C2190,Projetos!A:L,12,false)=TRUE,TRUE,FALSE)</f>
        <v>1</v>
      </c>
      <c r="M2190" s="74">
        <v>73.7079846079846</v>
      </c>
      <c r="N2190" s="74">
        <f t="shared" si="1"/>
        <v>55.28098846</v>
      </c>
      <c r="O2190" s="74" t="b">
        <v>1</v>
      </c>
    </row>
    <row r="2191" hidden="1">
      <c r="A2191" s="82"/>
      <c r="B2191" s="65" t="s">
        <v>495</v>
      </c>
      <c r="C2191" s="65" t="s">
        <v>92</v>
      </c>
      <c r="D2191" s="65" t="str">
        <f>vlookup(C2191,'Classificação p pessoal'!F:G,2,false)</f>
        <v/>
      </c>
      <c r="E2191" s="65" t="s">
        <v>1382</v>
      </c>
      <c r="F2191" s="83">
        <v>0.71875</v>
      </c>
      <c r="G2191" s="83">
        <v>0.75</v>
      </c>
      <c r="H2191" s="83">
        <v>0.03125</v>
      </c>
      <c r="I2191" s="84">
        <v>44489.0</v>
      </c>
      <c r="J2191" s="65" t="b">
        <v>1</v>
      </c>
      <c r="K2191" s="65"/>
      <c r="L2191" s="85" t="b">
        <f>IF(VLOOKUP(C2191,Projetos!A:L,12,false)=TRUE,TRUE,FALSE)</f>
        <v>1</v>
      </c>
      <c r="M2191" s="74">
        <v>73.7079846079846</v>
      </c>
      <c r="N2191" s="74">
        <f t="shared" si="1"/>
        <v>55.28098846</v>
      </c>
      <c r="O2191" s="74" t="b">
        <v>1</v>
      </c>
    </row>
    <row r="2192" hidden="1">
      <c r="A2192" s="82"/>
      <c r="B2192" s="65" t="s">
        <v>495</v>
      </c>
      <c r="C2192" s="65" t="s">
        <v>92</v>
      </c>
      <c r="D2192" s="65" t="str">
        <f>vlookup(C2192,'Classificação p pessoal'!F:G,2,false)</f>
        <v/>
      </c>
      <c r="E2192" s="65" t="s">
        <v>1382</v>
      </c>
      <c r="F2192" s="83">
        <v>0.3298611111111111</v>
      </c>
      <c r="G2192" s="83">
        <v>0.3680555555555556</v>
      </c>
      <c r="H2192" s="83">
        <v>0.03819444444444445</v>
      </c>
      <c r="I2192" s="84">
        <v>44490.0</v>
      </c>
      <c r="J2192" s="65" t="b">
        <v>1</v>
      </c>
      <c r="K2192" s="65"/>
      <c r="L2192" s="85" t="b">
        <f>IF(VLOOKUP(C2192,Projetos!A:L,12,false)=TRUE,TRUE,FALSE)</f>
        <v>1</v>
      </c>
      <c r="M2192" s="74">
        <v>73.7079846079846</v>
      </c>
      <c r="N2192" s="74">
        <f t="shared" si="1"/>
        <v>67.56565256</v>
      </c>
      <c r="O2192" s="74" t="b">
        <v>1</v>
      </c>
    </row>
    <row r="2193" hidden="1">
      <c r="A2193" s="82"/>
      <c r="B2193" s="65" t="s">
        <v>495</v>
      </c>
      <c r="C2193" s="65" t="s">
        <v>92</v>
      </c>
      <c r="D2193" s="65" t="str">
        <f>vlookup(C2193,'Classificação p pessoal'!F:G,2,false)</f>
        <v/>
      </c>
      <c r="E2193" s="65" t="s">
        <v>1383</v>
      </c>
      <c r="F2193" s="83">
        <v>0.3680555555555556</v>
      </c>
      <c r="G2193" s="83">
        <v>0.4166666666666667</v>
      </c>
      <c r="H2193" s="83">
        <v>0.04861111111111111</v>
      </c>
      <c r="I2193" s="84">
        <v>44490.0</v>
      </c>
      <c r="J2193" s="65" t="b">
        <v>1</v>
      </c>
      <c r="K2193" s="65"/>
      <c r="L2193" s="85" t="b">
        <f>IF(VLOOKUP(C2193,Projetos!A:L,12,false)=TRUE,TRUE,FALSE)</f>
        <v>1</v>
      </c>
      <c r="M2193" s="74">
        <v>73.7079846079846</v>
      </c>
      <c r="N2193" s="74">
        <f t="shared" si="1"/>
        <v>85.99264871</v>
      </c>
      <c r="O2193" s="74" t="b">
        <v>1</v>
      </c>
    </row>
    <row r="2194" hidden="1">
      <c r="A2194" s="82"/>
      <c r="B2194" s="65" t="s">
        <v>495</v>
      </c>
      <c r="C2194" s="65" t="s">
        <v>92</v>
      </c>
      <c r="D2194" s="65" t="str">
        <f>vlookup(C2194,'Classificação p pessoal'!F:G,2,false)</f>
        <v/>
      </c>
      <c r="E2194" s="65" t="s">
        <v>1384</v>
      </c>
      <c r="F2194" s="83">
        <v>0.4270833333333333</v>
      </c>
      <c r="G2194" s="83">
        <v>0.5208333333333334</v>
      </c>
      <c r="H2194" s="83">
        <v>0.09375</v>
      </c>
      <c r="I2194" s="84">
        <v>44490.0</v>
      </c>
      <c r="J2194" s="65" t="b">
        <v>1</v>
      </c>
      <c r="K2194" s="65"/>
      <c r="L2194" s="85" t="b">
        <f>IF(VLOOKUP(C2194,Projetos!A:L,12,false)=TRUE,TRUE,FALSE)</f>
        <v>1</v>
      </c>
      <c r="M2194" s="74">
        <v>73.7079846079846</v>
      </c>
      <c r="N2194" s="74">
        <f t="shared" si="1"/>
        <v>165.8429654</v>
      </c>
      <c r="O2194" s="74" t="b">
        <v>1</v>
      </c>
    </row>
    <row r="2195" hidden="1">
      <c r="A2195" s="82"/>
      <c r="B2195" s="65" t="s">
        <v>495</v>
      </c>
      <c r="C2195" s="65" t="s">
        <v>92</v>
      </c>
      <c r="D2195" s="65"/>
      <c r="E2195" s="65" t="s">
        <v>1385</v>
      </c>
      <c r="F2195" s="83">
        <v>0.5208333333333334</v>
      </c>
      <c r="G2195" s="83">
        <v>0.5694444444444444</v>
      </c>
      <c r="H2195" s="83">
        <v>0.04861111111111111</v>
      </c>
      <c r="I2195" s="84">
        <v>44490.0</v>
      </c>
      <c r="J2195" s="65" t="b">
        <v>0</v>
      </c>
      <c r="K2195" s="65" t="s">
        <v>150</v>
      </c>
      <c r="L2195" s="85" t="b">
        <f>IF(VLOOKUP(C2195,Projetos!A:L,12,false)=TRUE,TRUE,FALSE)</f>
        <v>1</v>
      </c>
      <c r="M2195" s="74">
        <v>73.7079846079846</v>
      </c>
      <c r="N2195" s="74">
        <f t="shared" si="1"/>
        <v>0</v>
      </c>
      <c r="O2195" s="74" t="b">
        <v>1</v>
      </c>
    </row>
    <row r="2196" hidden="1">
      <c r="A2196" s="82"/>
      <c r="B2196" s="65" t="s">
        <v>495</v>
      </c>
      <c r="C2196" s="65" t="s">
        <v>92</v>
      </c>
      <c r="D2196" s="65" t="str">
        <f>vlookup(C2196,'Classificação p pessoal'!F:G,2,false)</f>
        <v/>
      </c>
      <c r="E2196" s="65" t="s">
        <v>832</v>
      </c>
      <c r="F2196" s="83">
        <v>0.6111111111111112</v>
      </c>
      <c r="G2196" s="83">
        <v>0.6979166666666666</v>
      </c>
      <c r="H2196" s="83">
        <v>0.08680555555555555</v>
      </c>
      <c r="I2196" s="84">
        <v>44490.0</v>
      </c>
      <c r="J2196" s="65" t="b">
        <v>1</v>
      </c>
      <c r="K2196" s="65"/>
      <c r="L2196" s="85" t="b">
        <f>IF(VLOOKUP(C2196,Projetos!A:L,12,false)=TRUE,TRUE,FALSE)</f>
        <v>1</v>
      </c>
      <c r="M2196" s="74">
        <v>73.7079846079846</v>
      </c>
      <c r="N2196" s="74">
        <f t="shared" si="1"/>
        <v>153.5583013</v>
      </c>
      <c r="O2196" s="74" t="b">
        <v>1</v>
      </c>
    </row>
    <row r="2197" hidden="1">
      <c r="A2197" s="82"/>
      <c r="B2197" s="65" t="s">
        <v>495</v>
      </c>
      <c r="C2197" s="65" t="s">
        <v>92</v>
      </c>
      <c r="D2197" s="65" t="str">
        <f>vlookup(C2197,'Classificação p pessoal'!F:G,2,false)</f>
        <v/>
      </c>
      <c r="E2197" s="65" t="s">
        <v>1386</v>
      </c>
      <c r="F2197" s="83">
        <v>0.71875</v>
      </c>
      <c r="G2197" s="83">
        <v>0.75</v>
      </c>
      <c r="H2197" s="83">
        <v>0.03125</v>
      </c>
      <c r="I2197" s="84">
        <v>44490.0</v>
      </c>
      <c r="J2197" s="65" t="b">
        <v>1</v>
      </c>
      <c r="K2197" s="65"/>
      <c r="L2197" s="85" t="b">
        <f>IF(VLOOKUP(C2197,Projetos!A:L,12,false)=TRUE,TRUE,FALSE)</f>
        <v>1</v>
      </c>
      <c r="M2197" s="74">
        <v>73.7079846079846</v>
      </c>
      <c r="N2197" s="74">
        <f t="shared" si="1"/>
        <v>55.28098846</v>
      </c>
      <c r="O2197" s="74" t="b">
        <v>1</v>
      </c>
    </row>
    <row r="2198" hidden="1">
      <c r="A2198" s="82"/>
      <c r="B2198" s="65" t="s">
        <v>495</v>
      </c>
      <c r="C2198" s="65" t="s">
        <v>92</v>
      </c>
      <c r="D2198" s="65" t="str">
        <f>vlookup(C2198,'Classificação p pessoal'!F:G,2,false)</f>
        <v/>
      </c>
      <c r="E2198" s="65" t="s">
        <v>1387</v>
      </c>
      <c r="F2198" s="83">
        <v>0.3298611111111111</v>
      </c>
      <c r="G2198" s="83">
        <v>0.375</v>
      </c>
      <c r="H2198" s="83">
        <v>0.04513888888888889</v>
      </c>
      <c r="I2198" s="84">
        <v>44491.0</v>
      </c>
      <c r="J2198" s="65" t="b">
        <v>1</v>
      </c>
      <c r="K2198" s="65"/>
      <c r="L2198" s="85" t="b">
        <f>IF(VLOOKUP(C2198,Projetos!A:L,12,false)=TRUE,TRUE,FALSE)</f>
        <v>1</v>
      </c>
      <c r="M2198" s="74">
        <v>73.7079846079846</v>
      </c>
      <c r="N2198" s="74">
        <f t="shared" si="1"/>
        <v>79.85031666</v>
      </c>
      <c r="O2198" s="74" t="b">
        <v>1</v>
      </c>
    </row>
    <row r="2199" hidden="1">
      <c r="A2199" s="82"/>
      <c r="B2199" s="65" t="s">
        <v>495</v>
      </c>
      <c r="C2199" s="65" t="s">
        <v>92</v>
      </c>
      <c r="D2199" s="65" t="str">
        <f>vlookup(C2199,'Classificação p pessoal'!F:G,2,false)</f>
        <v/>
      </c>
      <c r="E2199" s="65" t="s">
        <v>1388</v>
      </c>
      <c r="F2199" s="83">
        <v>0.375</v>
      </c>
      <c r="G2199" s="83">
        <v>0.4444444444444444</v>
      </c>
      <c r="H2199" s="83">
        <v>0.06944444444444445</v>
      </c>
      <c r="I2199" s="84">
        <v>44491.0</v>
      </c>
      <c r="J2199" s="65" t="b">
        <v>1</v>
      </c>
      <c r="K2199" s="65"/>
      <c r="L2199" s="85" t="b">
        <f>IF(VLOOKUP(C2199,Projetos!A:L,12,false)=TRUE,TRUE,FALSE)</f>
        <v>1</v>
      </c>
      <c r="M2199" s="74">
        <v>73.7079846079846</v>
      </c>
      <c r="N2199" s="74">
        <f t="shared" si="1"/>
        <v>122.846641</v>
      </c>
      <c r="O2199" s="74" t="b">
        <v>1</v>
      </c>
    </row>
    <row r="2200" hidden="1">
      <c r="A2200" s="82"/>
      <c r="B2200" s="65" t="s">
        <v>495</v>
      </c>
      <c r="C2200" s="65" t="s">
        <v>92</v>
      </c>
      <c r="D2200" s="65" t="str">
        <f>vlookup(C2200,'Classificação p pessoal'!F:G,2,false)</f>
        <v/>
      </c>
      <c r="E2200" s="65" t="s">
        <v>1389</v>
      </c>
      <c r="F2200" s="83">
        <v>0.4444444444444444</v>
      </c>
      <c r="G2200" s="83">
        <v>0.5416666666666666</v>
      </c>
      <c r="H2200" s="83">
        <v>0.09722222222222222</v>
      </c>
      <c r="I2200" s="84">
        <v>44491.0</v>
      </c>
      <c r="J2200" s="65" t="b">
        <v>1</v>
      </c>
      <c r="K2200" s="65"/>
      <c r="L2200" s="85" t="b">
        <f>IF(VLOOKUP(C2200,Projetos!A:L,12,false)=TRUE,TRUE,FALSE)</f>
        <v>1</v>
      </c>
      <c r="M2200" s="74">
        <v>73.7079846079846</v>
      </c>
      <c r="N2200" s="74">
        <f t="shared" si="1"/>
        <v>171.9852974</v>
      </c>
      <c r="O2200" s="74" t="b">
        <v>1</v>
      </c>
    </row>
    <row r="2201" hidden="1">
      <c r="A2201" s="82"/>
      <c r="B2201" s="65" t="s">
        <v>495</v>
      </c>
      <c r="C2201" s="65" t="s">
        <v>92</v>
      </c>
      <c r="D2201" s="65" t="str">
        <f>vlookup(C2201,'Classificação p pessoal'!F:G,2,false)</f>
        <v/>
      </c>
      <c r="E2201" s="65" t="s">
        <v>1390</v>
      </c>
      <c r="F2201" s="83">
        <v>0.625</v>
      </c>
      <c r="G2201" s="83">
        <v>0.6979166666666666</v>
      </c>
      <c r="H2201" s="83">
        <v>0.07291666666666667</v>
      </c>
      <c r="I2201" s="84">
        <v>44491.0</v>
      </c>
      <c r="J2201" s="65" t="b">
        <v>1</v>
      </c>
      <c r="K2201" s="65"/>
      <c r="L2201" s="85" t="b">
        <f>IF(VLOOKUP(C2201,Projetos!A:L,12,false)=TRUE,TRUE,FALSE)</f>
        <v>1</v>
      </c>
      <c r="M2201" s="74">
        <v>73.7079846079846</v>
      </c>
      <c r="N2201" s="74">
        <f t="shared" si="1"/>
        <v>128.9889731</v>
      </c>
      <c r="O2201" s="74" t="b">
        <v>1</v>
      </c>
    </row>
    <row r="2202" hidden="1">
      <c r="A2202" s="82"/>
      <c r="B2202" s="65" t="s">
        <v>495</v>
      </c>
      <c r="C2202" s="65" t="s">
        <v>84</v>
      </c>
      <c r="D2202" s="65"/>
      <c r="E2202" s="65" t="s">
        <v>1362</v>
      </c>
      <c r="F2202" s="83">
        <v>0.7222222222222222</v>
      </c>
      <c r="G2202" s="83">
        <v>0.7708333333333334</v>
      </c>
      <c r="H2202" s="83">
        <v>0.04861111111111111</v>
      </c>
      <c r="I2202" s="84">
        <v>44491.0</v>
      </c>
      <c r="J2202" s="65" t="b">
        <v>0</v>
      </c>
      <c r="K2202" s="65"/>
      <c r="L2202" s="85" t="b">
        <f>IF(VLOOKUP(C2202,Projetos!A:L,12,false)=TRUE,TRUE,FALSE)</f>
        <v>0</v>
      </c>
      <c r="M2202" s="74">
        <v>73.7079846079846</v>
      </c>
      <c r="N2202" s="74">
        <f t="shared" si="1"/>
        <v>0</v>
      </c>
      <c r="O2202" s="74" t="b">
        <v>0</v>
      </c>
    </row>
    <row r="2203" hidden="1">
      <c r="A2203" s="82"/>
      <c r="B2203" s="65" t="s">
        <v>495</v>
      </c>
      <c r="C2203" s="65" t="s">
        <v>92</v>
      </c>
      <c r="D2203" s="65" t="str">
        <f>vlookup(C2203,'Classificação p pessoal'!F:G,2,false)</f>
        <v/>
      </c>
      <c r="E2203" s="65" t="s">
        <v>1391</v>
      </c>
      <c r="F2203" s="83">
        <v>0.3298611111111111</v>
      </c>
      <c r="G2203" s="83">
        <v>0.3958333333333333</v>
      </c>
      <c r="H2203" s="83">
        <v>0.06597222222222222</v>
      </c>
      <c r="I2203" s="84">
        <v>44494.0</v>
      </c>
      <c r="J2203" s="65" t="b">
        <v>1</v>
      </c>
      <c r="K2203" s="65"/>
      <c r="L2203" s="85" t="b">
        <f>IF(VLOOKUP(C2203,Projetos!A:L,12,false)=TRUE,TRUE,FALSE)</f>
        <v>1</v>
      </c>
      <c r="M2203" s="74">
        <v>73.7079846079846</v>
      </c>
      <c r="N2203" s="74">
        <f t="shared" si="1"/>
        <v>116.704309</v>
      </c>
      <c r="O2203" s="74" t="b">
        <v>1</v>
      </c>
    </row>
    <row r="2204" hidden="1">
      <c r="A2204" s="82"/>
      <c r="B2204" s="65" t="s">
        <v>495</v>
      </c>
      <c r="C2204" s="65" t="s">
        <v>130</v>
      </c>
      <c r="D2204" s="65" t="str">
        <f>vlookup(C2204,'Classificação p pessoal'!F:G,2,false)</f>
        <v>NP</v>
      </c>
      <c r="E2204" s="65" t="s">
        <v>1392</v>
      </c>
      <c r="F2204" s="83">
        <v>0.3958333333333333</v>
      </c>
      <c r="G2204" s="83">
        <v>0.4375</v>
      </c>
      <c r="H2204" s="83">
        <v>0.041666666666666664</v>
      </c>
      <c r="I2204" s="84">
        <v>44494.0</v>
      </c>
      <c r="J2204" s="65" t="b">
        <v>1</v>
      </c>
      <c r="K2204" s="65"/>
      <c r="L2204" s="85" t="b">
        <f>IF(VLOOKUP(C2204,Projetos!A:L,12,false)=TRUE,TRUE,FALSE)</f>
        <v>1</v>
      </c>
      <c r="M2204" s="74">
        <v>73.7079846079846</v>
      </c>
      <c r="N2204" s="74">
        <f t="shared" si="1"/>
        <v>73.70798461</v>
      </c>
      <c r="O2204" s="74" t="b">
        <v>1</v>
      </c>
    </row>
    <row r="2205" hidden="1">
      <c r="A2205" s="82"/>
      <c r="B2205" s="65" t="s">
        <v>411</v>
      </c>
      <c r="C2205" s="65" t="s">
        <v>117</v>
      </c>
      <c r="D2205" s="65"/>
      <c r="E2205" s="65" t="s">
        <v>1393</v>
      </c>
      <c r="F2205" s="83">
        <v>0.6041666666666666</v>
      </c>
      <c r="G2205" s="83">
        <v>0.625</v>
      </c>
      <c r="H2205" s="83">
        <v>0.020833333333333332</v>
      </c>
      <c r="I2205" s="84">
        <v>44378.0</v>
      </c>
      <c r="J2205" s="65" t="b">
        <v>0</v>
      </c>
      <c r="K2205" s="65" t="s">
        <v>150</v>
      </c>
      <c r="L2205" s="85" t="b">
        <f>IF(VLOOKUP(C2205,Projetos!A:L,12,false)=TRUE,TRUE,FALSE)</f>
        <v>1</v>
      </c>
      <c r="M2205" s="74">
        <v>52.48434411075036</v>
      </c>
      <c r="N2205" s="74">
        <f t="shared" si="1"/>
        <v>0</v>
      </c>
      <c r="O2205" s="74" t="b">
        <v>1</v>
      </c>
    </row>
    <row r="2206" hidden="1">
      <c r="A2206" s="82"/>
      <c r="B2206" s="65" t="s">
        <v>495</v>
      </c>
      <c r="C2206" s="65" t="s">
        <v>92</v>
      </c>
      <c r="D2206" s="65" t="str">
        <f>vlookup(C2206,'Classificação p pessoal'!F:G,2,false)</f>
        <v/>
      </c>
      <c r="E2206" s="65" t="s">
        <v>1394</v>
      </c>
      <c r="F2206" s="83">
        <v>0.4722222222222222</v>
      </c>
      <c r="G2206" s="83">
        <v>0.5</v>
      </c>
      <c r="H2206" s="83">
        <v>0.027777777777777776</v>
      </c>
      <c r="I2206" s="84">
        <v>44494.0</v>
      </c>
      <c r="J2206" s="65" t="b">
        <v>1</v>
      </c>
      <c r="K2206" s="65"/>
      <c r="L2206" s="85" t="b">
        <f>IF(VLOOKUP(C2206,Projetos!A:L,12,false)=TRUE,TRUE,FALSE)</f>
        <v>1</v>
      </c>
      <c r="M2206" s="74">
        <v>73.7079846079846</v>
      </c>
      <c r="N2206" s="74">
        <f t="shared" si="1"/>
        <v>49.13865641</v>
      </c>
      <c r="O2206" s="74" t="b">
        <v>1</v>
      </c>
    </row>
    <row r="2207" hidden="1">
      <c r="A2207" s="82"/>
      <c r="B2207" s="65" t="s">
        <v>495</v>
      </c>
      <c r="C2207" s="65" t="s">
        <v>117</v>
      </c>
      <c r="D2207" s="65" t="str">
        <f>vlookup(C2207,'Classificação p pessoal'!F:G,2,false)</f>
        <v>NP</v>
      </c>
      <c r="E2207" s="65" t="s">
        <v>1395</v>
      </c>
      <c r="F2207" s="83">
        <v>0.5</v>
      </c>
      <c r="G2207" s="83">
        <v>0.5486111111111112</v>
      </c>
      <c r="H2207" s="83">
        <v>0.04861111111111111</v>
      </c>
      <c r="I2207" s="84">
        <v>44494.0</v>
      </c>
      <c r="J2207" s="65" t="b">
        <v>1</v>
      </c>
      <c r="K2207" s="65"/>
      <c r="L2207" s="85" t="b">
        <f>IF(VLOOKUP(C2207,Projetos!A:L,12,false)=TRUE,TRUE,FALSE)</f>
        <v>1</v>
      </c>
      <c r="M2207" s="74">
        <v>73.7079846079846</v>
      </c>
      <c r="N2207" s="74">
        <f t="shared" si="1"/>
        <v>85.99264871</v>
      </c>
      <c r="O2207" s="74" t="b">
        <v>1</v>
      </c>
    </row>
    <row r="2208" hidden="1">
      <c r="A2208" s="82"/>
      <c r="B2208" s="65" t="s">
        <v>495</v>
      </c>
      <c r="C2208" s="65" t="s">
        <v>92</v>
      </c>
      <c r="D2208" s="65" t="str">
        <f>vlookup(C2208,'Classificação p pessoal'!F:G,2,false)</f>
        <v/>
      </c>
      <c r="E2208" s="65" t="s">
        <v>1396</v>
      </c>
      <c r="F2208" s="83">
        <v>0.5486111111111112</v>
      </c>
      <c r="G2208" s="83">
        <v>0.5694444444444444</v>
      </c>
      <c r="H2208" s="83">
        <v>0.020833333333333332</v>
      </c>
      <c r="I2208" s="84">
        <v>44494.0</v>
      </c>
      <c r="J2208" s="65" t="b">
        <v>1</v>
      </c>
      <c r="K2208" s="65"/>
      <c r="L2208" s="85" t="b">
        <f>IF(VLOOKUP(C2208,Projetos!A:L,12,false)=TRUE,TRUE,FALSE)</f>
        <v>1</v>
      </c>
      <c r="M2208" s="74">
        <v>73.7079846079846</v>
      </c>
      <c r="N2208" s="74">
        <f t="shared" si="1"/>
        <v>36.8539923</v>
      </c>
      <c r="O2208" s="74" t="b">
        <v>1</v>
      </c>
    </row>
    <row r="2209" hidden="1">
      <c r="A2209" s="82"/>
      <c r="B2209" s="65" t="s">
        <v>495</v>
      </c>
      <c r="C2209" s="65" t="s">
        <v>130</v>
      </c>
      <c r="D2209" s="65" t="str">
        <f>vlookup(C2209,'Classificação p pessoal'!F:G,2,false)</f>
        <v>NP</v>
      </c>
      <c r="E2209" s="65" t="s">
        <v>1397</v>
      </c>
      <c r="F2209" s="83">
        <v>0.6180555555555556</v>
      </c>
      <c r="G2209" s="83">
        <v>0.6875</v>
      </c>
      <c r="H2209" s="83">
        <v>0.06944444444444445</v>
      </c>
      <c r="I2209" s="84">
        <v>44494.0</v>
      </c>
      <c r="J2209" s="65" t="b">
        <v>1</v>
      </c>
      <c r="K2209" s="65"/>
      <c r="L2209" s="85" t="b">
        <f>IF(VLOOKUP(C2209,Projetos!A:L,12,false)=TRUE,TRUE,FALSE)</f>
        <v>1</v>
      </c>
      <c r="M2209" s="74">
        <v>73.7079846079846</v>
      </c>
      <c r="N2209" s="74">
        <f t="shared" si="1"/>
        <v>122.846641</v>
      </c>
      <c r="O2209" s="74" t="b">
        <v>1</v>
      </c>
    </row>
    <row r="2210" hidden="1">
      <c r="A2210" s="82"/>
      <c r="B2210" s="65" t="s">
        <v>411</v>
      </c>
      <c r="C2210" s="65" t="s">
        <v>88</v>
      </c>
      <c r="D2210" s="65"/>
      <c r="E2210" s="65" t="s">
        <v>1398</v>
      </c>
      <c r="F2210" s="83">
        <v>0.375</v>
      </c>
      <c r="G2210" s="83">
        <v>0.3958333333333333</v>
      </c>
      <c r="H2210" s="83">
        <v>0.020833333333333332</v>
      </c>
      <c r="I2210" s="84">
        <v>44271.0</v>
      </c>
      <c r="J2210" s="65" t="b">
        <v>0</v>
      </c>
      <c r="K2210" s="65" t="s">
        <v>150</v>
      </c>
      <c r="L2210" s="85" t="b">
        <f>IF(VLOOKUP(C2210,Projetos!A:L,12,false)=TRUE,TRUE,FALSE)</f>
        <v>1</v>
      </c>
      <c r="M2210" s="74">
        <v>52.48434411075036</v>
      </c>
      <c r="N2210" s="74">
        <f t="shared" si="1"/>
        <v>0</v>
      </c>
      <c r="O2210" s="74" t="b">
        <v>1</v>
      </c>
    </row>
    <row r="2211" hidden="1">
      <c r="A2211" s="82"/>
      <c r="B2211" s="65" t="s">
        <v>177</v>
      </c>
      <c r="C2211" s="65" t="s">
        <v>100</v>
      </c>
      <c r="D2211" s="65"/>
      <c r="E2211" s="65" t="s">
        <v>1399</v>
      </c>
      <c r="F2211" s="83">
        <v>0.5416666666666666</v>
      </c>
      <c r="G2211" s="83">
        <v>0.5625</v>
      </c>
      <c r="H2211" s="83">
        <v>0.020833333333333332</v>
      </c>
      <c r="I2211" s="84">
        <v>44431.0</v>
      </c>
      <c r="J2211" s="65" t="b">
        <v>0</v>
      </c>
      <c r="K2211" s="65" t="s">
        <v>150</v>
      </c>
      <c r="L2211" s="85" t="b">
        <f>IF(VLOOKUP(C2211,Projetos!A:L,12,false)=TRUE,TRUE,FALSE)</f>
        <v>1</v>
      </c>
      <c r="M2211" s="74">
        <v>31.02923620430495</v>
      </c>
      <c r="N2211" s="74">
        <f t="shared" si="1"/>
        <v>0</v>
      </c>
      <c r="O2211" s="74" t="b">
        <v>1</v>
      </c>
    </row>
    <row r="2212" hidden="1">
      <c r="A2212" s="82"/>
      <c r="B2212" s="65" t="s">
        <v>495</v>
      </c>
      <c r="C2212" s="65" t="s">
        <v>92</v>
      </c>
      <c r="D2212" s="65" t="str">
        <f>vlookup(C2212,'Classificação p pessoal'!F:G,2,false)</f>
        <v/>
      </c>
      <c r="E2212" s="65" t="s">
        <v>1400</v>
      </c>
      <c r="F2212" s="83">
        <v>0.3958333333333333</v>
      </c>
      <c r="G2212" s="83">
        <v>0.4166666666666667</v>
      </c>
      <c r="H2212" s="83">
        <v>0.020833333333333332</v>
      </c>
      <c r="I2212" s="84">
        <v>44495.0</v>
      </c>
      <c r="J2212" s="65" t="b">
        <v>1</v>
      </c>
      <c r="K2212" s="65"/>
      <c r="L2212" s="85" t="b">
        <f>IF(VLOOKUP(C2212,Projetos!A:L,12,false)=TRUE,TRUE,FALSE)</f>
        <v>1</v>
      </c>
      <c r="M2212" s="74">
        <v>73.7079846079846</v>
      </c>
      <c r="N2212" s="74">
        <f t="shared" si="1"/>
        <v>36.8539923</v>
      </c>
      <c r="O2212" s="74" t="b">
        <v>1</v>
      </c>
    </row>
    <row r="2213" hidden="1">
      <c r="A2213" s="82"/>
      <c r="B2213" s="65" t="s">
        <v>495</v>
      </c>
      <c r="C2213" s="65" t="s">
        <v>117</v>
      </c>
      <c r="D2213" s="65" t="str">
        <f>vlookup(C2213,'Classificação p pessoal'!F:G,2,false)</f>
        <v>NP</v>
      </c>
      <c r="E2213" s="65" t="s">
        <v>1401</v>
      </c>
      <c r="F2213" s="83">
        <v>0.4166666666666667</v>
      </c>
      <c r="G2213" s="83">
        <v>0.4444444444444444</v>
      </c>
      <c r="H2213" s="83">
        <v>0.027777777777777776</v>
      </c>
      <c r="I2213" s="84">
        <v>44495.0</v>
      </c>
      <c r="J2213" s="65" t="b">
        <v>1</v>
      </c>
      <c r="K2213" s="65"/>
      <c r="L2213" s="85" t="b">
        <f>IF(VLOOKUP(C2213,Projetos!A:L,12,false)=TRUE,TRUE,FALSE)</f>
        <v>1</v>
      </c>
      <c r="M2213" s="74">
        <v>73.7079846079846</v>
      </c>
      <c r="N2213" s="74">
        <f t="shared" si="1"/>
        <v>49.13865641</v>
      </c>
      <c r="O2213" s="74" t="b">
        <v>1</v>
      </c>
    </row>
    <row r="2214" hidden="1">
      <c r="A2214" s="82"/>
      <c r="B2214" s="65" t="s">
        <v>495</v>
      </c>
      <c r="C2214" s="65" t="s">
        <v>92</v>
      </c>
      <c r="D2214" s="65" t="str">
        <f>vlookup(C2214,'Classificação p pessoal'!F:G,2,false)</f>
        <v/>
      </c>
      <c r="E2214" s="65" t="s">
        <v>1402</v>
      </c>
      <c r="F2214" s="83">
        <v>0.4583333333333333</v>
      </c>
      <c r="G2214" s="83">
        <v>0.5659722222222222</v>
      </c>
      <c r="H2214" s="83">
        <v>0.1076388888888889</v>
      </c>
      <c r="I2214" s="84">
        <v>44495.0</v>
      </c>
      <c r="J2214" s="65" t="b">
        <v>1</v>
      </c>
      <c r="K2214" s="65"/>
      <c r="L2214" s="85" t="b">
        <f>IF(VLOOKUP(C2214,Projetos!A:L,12,false)=TRUE,TRUE,FALSE)</f>
        <v>1</v>
      </c>
      <c r="M2214" s="74">
        <v>73.7079846079846</v>
      </c>
      <c r="N2214" s="74">
        <f t="shared" si="1"/>
        <v>190.4122936</v>
      </c>
      <c r="O2214" s="74" t="b">
        <v>1</v>
      </c>
    </row>
    <row r="2215" hidden="1">
      <c r="A2215" s="82"/>
      <c r="B2215" s="65" t="s">
        <v>495</v>
      </c>
      <c r="C2215" s="65" t="s">
        <v>117</v>
      </c>
      <c r="D2215" s="65" t="str">
        <f>vlookup(C2215,'Classificação p pessoal'!F:G,2,false)</f>
        <v>NP</v>
      </c>
      <c r="E2215" s="65" t="s">
        <v>1403</v>
      </c>
      <c r="F2215" s="83">
        <v>0.6145833333333334</v>
      </c>
      <c r="G2215" s="83">
        <v>0.7291666666666666</v>
      </c>
      <c r="H2215" s="83">
        <v>0.11458333333333333</v>
      </c>
      <c r="I2215" s="84">
        <v>44495.0</v>
      </c>
      <c r="J2215" s="65" t="b">
        <v>1</v>
      </c>
      <c r="K2215" s="65"/>
      <c r="L2215" s="85" t="b">
        <f>IF(VLOOKUP(C2215,Projetos!A:L,12,false)=TRUE,TRUE,FALSE)</f>
        <v>1</v>
      </c>
      <c r="M2215" s="74">
        <v>73.7079846079846</v>
      </c>
      <c r="N2215" s="74">
        <f t="shared" si="1"/>
        <v>202.6969577</v>
      </c>
      <c r="O2215" s="74" t="b">
        <v>1</v>
      </c>
    </row>
    <row r="2216">
      <c r="A2216" s="82"/>
      <c r="B2216" s="65" t="s">
        <v>495</v>
      </c>
      <c r="C2216" s="65" t="s">
        <v>108</v>
      </c>
      <c r="D2216" s="65"/>
      <c r="E2216" s="65" t="s">
        <v>1404</v>
      </c>
      <c r="F2216" s="83">
        <v>0.4166666666666667</v>
      </c>
      <c r="G2216" s="83">
        <v>0.4583333333333333</v>
      </c>
      <c r="H2216" s="83">
        <v>0.041666666666666664</v>
      </c>
      <c r="I2216" s="84">
        <v>44448.0</v>
      </c>
      <c r="J2216" s="65" t="b">
        <v>0</v>
      </c>
      <c r="K2216" s="65"/>
      <c r="L2216" s="85" t="b">
        <f>IF(VLOOKUP(C2216,Projetos!A:L,12,false)=TRUE,TRUE,FALSE)</f>
        <v>1</v>
      </c>
      <c r="M2216" s="74">
        <v>73.7079846079846</v>
      </c>
      <c r="N2216" s="74">
        <f t="shared" si="1"/>
        <v>0</v>
      </c>
      <c r="O2216" s="74" t="b">
        <v>1</v>
      </c>
    </row>
    <row r="2217" hidden="1">
      <c r="A2217" s="82"/>
      <c r="B2217" s="65" t="s">
        <v>495</v>
      </c>
      <c r="C2217" s="65" t="s">
        <v>117</v>
      </c>
      <c r="D2217" s="65" t="str">
        <f>vlookup(C2217,'Classificação p pessoal'!F:G,2,false)</f>
        <v>NP</v>
      </c>
      <c r="E2217" s="65" t="s">
        <v>1403</v>
      </c>
      <c r="F2217" s="83">
        <v>0.3541666666666667</v>
      </c>
      <c r="G2217" s="83">
        <v>0.4375</v>
      </c>
      <c r="H2217" s="83">
        <v>0.08333333333333333</v>
      </c>
      <c r="I2217" s="84">
        <v>44496.0</v>
      </c>
      <c r="J2217" s="65" t="b">
        <v>1</v>
      </c>
      <c r="K2217" s="65"/>
      <c r="L2217" s="85" t="b">
        <f>IF(VLOOKUP(C2217,Projetos!A:L,12,false)=TRUE,TRUE,FALSE)</f>
        <v>1</v>
      </c>
      <c r="M2217" s="74">
        <v>73.7079846079846</v>
      </c>
      <c r="N2217" s="74">
        <f t="shared" si="1"/>
        <v>147.4159692</v>
      </c>
      <c r="O2217" s="74" t="b">
        <v>1</v>
      </c>
    </row>
    <row r="2218" hidden="1">
      <c r="A2218" s="82"/>
      <c r="B2218" s="65" t="s">
        <v>495</v>
      </c>
      <c r="C2218" s="65" t="s">
        <v>92</v>
      </c>
      <c r="D2218" s="65" t="str">
        <f>vlookup(C2218,'Classificação p pessoal'!F:G,2,false)</f>
        <v/>
      </c>
      <c r="E2218" s="65" t="s">
        <v>1405</v>
      </c>
      <c r="F2218" s="83">
        <v>0.4375</v>
      </c>
      <c r="G2218" s="83">
        <v>0.4583333333333333</v>
      </c>
      <c r="H2218" s="83">
        <v>0.020833333333333332</v>
      </c>
      <c r="I2218" s="84">
        <v>44496.0</v>
      </c>
      <c r="J2218" s="65" t="b">
        <v>1</v>
      </c>
      <c r="K2218" s="65"/>
      <c r="L2218" s="85" t="b">
        <f>IF(VLOOKUP(C2218,Projetos!A:L,12,false)=TRUE,TRUE,FALSE)</f>
        <v>1</v>
      </c>
      <c r="M2218" s="74">
        <v>73.7079846079846</v>
      </c>
      <c r="N2218" s="74">
        <f t="shared" si="1"/>
        <v>36.8539923</v>
      </c>
      <c r="O2218" s="74" t="b">
        <v>1</v>
      </c>
    </row>
    <row r="2219" hidden="1">
      <c r="A2219" s="82"/>
      <c r="B2219" s="65" t="s">
        <v>495</v>
      </c>
      <c r="C2219" s="65" t="s">
        <v>92</v>
      </c>
      <c r="D2219" s="65" t="str">
        <f>vlookup(C2219,'Classificação p pessoal'!F:G,2,false)</f>
        <v/>
      </c>
      <c r="E2219" s="65" t="s">
        <v>837</v>
      </c>
      <c r="F2219" s="83">
        <v>0.46875</v>
      </c>
      <c r="G2219" s="83">
        <v>0.5</v>
      </c>
      <c r="H2219" s="83">
        <v>0.03125</v>
      </c>
      <c r="I2219" s="84">
        <v>44496.0</v>
      </c>
      <c r="J2219" s="65" t="b">
        <v>1</v>
      </c>
      <c r="K2219" s="65"/>
      <c r="L2219" s="85" t="b">
        <f>IF(VLOOKUP(C2219,Projetos!A:L,12,false)=TRUE,TRUE,FALSE)</f>
        <v>1</v>
      </c>
      <c r="M2219" s="74">
        <v>73.7079846079846</v>
      </c>
      <c r="N2219" s="74">
        <f t="shared" si="1"/>
        <v>55.28098846</v>
      </c>
      <c r="O2219" s="74" t="b">
        <v>1</v>
      </c>
    </row>
    <row r="2220" hidden="1">
      <c r="A2220" s="82"/>
      <c r="B2220" s="65" t="s">
        <v>495</v>
      </c>
      <c r="C2220" s="65" t="s">
        <v>92</v>
      </c>
      <c r="D2220" s="65"/>
      <c r="E2220" s="65" t="s">
        <v>1406</v>
      </c>
      <c r="F2220" s="83">
        <v>0.5</v>
      </c>
      <c r="G2220" s="83">
        <v>0.5694444444444444</v>
      </c>
      <c r="H2220" s="83">
        <v>0.06944444444444445</v>
      </c>
      <c r="I2220" s="84">
        <v>44496.0</v>
      </c>
      <c r="J2220" s="65" t="b">
        <v>0</v>
      </c>
      <c r="K2220" s="65" t="s">
        <v>150</v>
      </c>
      <c r="L2220" s="85" t="b">
        <f>IF(VLOOKUP(C2220,Projetos!A:L,12,false)=TRUE,TRUE,FALSE)</f>
        <v>1</v>
      </c>
      <c r="M2220" s="74">
        <v>73.7079846079846</v>
      </c>
      <c r="N2220" s="74">
        <f t="shared" si="1"/>
        <v>0</v>
      </c>
      <c r="O2220" s="74" t="b">
        <v>1</v>
      </c>
    </row>
    <row r="2221" hidden="1">
      <c r="A2221" s="82"/>
      <c r="B2221" s="65" t="s">
        <v>495</v>
      </c>
      <c r="C2221" s="65" t="s">
        <v>130</v>
      </c>
      <c r="D2221" s="65" t="str">
        <f>vlookup(C2221,'Classificação p pessoal'!F:G,2,false)</f>
        <v>NP</v>
      </c>
      <c r="E2221" s="65" t="s">
        <v>1407</v>
      </c>
      <c r="F2221" s="83">
        <v>0.6111111111111112</v>
      </c>
      <c r="G2221" s="83">
        <v>0.6388888888888888</v>
      </c>
      <c r="H2221" s="83">
        <v>0.027777777777777776</v>
      </c>
      <c r="I2221" s="84">
        <v>44496.0</v>
      </c>
      <c r="J2221" s="65" t="b">
        <v>1</v>
      </c>
      <c r="K2221" s="65"/>
      <c r="L2221" s="85" t="b">
        <f>IF(VLOOKUP(C2221,Projetos!A:L,12,false)=TRUE,TRUE,FALSE)</f>
        <v>1</v>
      </c>
      <c r="M2221" s="74">
        <v>73.7079846079846</v>
      </c>
      <c r="N2221" s="74">
        <f t="shared" si="1"/>
        <v>49.13865641</v>
      </c>
      <c r="O2221" s="74" t="b">
        <v>1</v>
      </c>
    </row>
    <row r="2222" hidden="1">
      <c r="A2222" s="82"/>
      <c r="B2222" s="65" t="s">
        <v>495</v>
      </c>
      <c r="C2222" s="65" t="s">
        <v>92</v>
      </c>
      <c r="D2222" s="65" t="str">
        <f>vlookup(C2222,'Classificação p pessoal'!F:G,2,false)</f>
        <v/>
      </c>
      <c r="E2222" s="65" t="s">
        <v>1408</v>
      </c>
      <c r="F2222" s="83">
        <v>0.6527777777777778</v>
      </c>
      <c r="G2222" s="83">
        <v>0.7083333333333334</v>
      </c>
      <c r="H2222" s="83">
        <v>0.05555555555555555</v>
      </c>
      <c r="I2222" s="84">
        <v>44496.0</v>
      </c>
      <c r="J2222" s="65" t="b">
        <v>1</v>
      </c>
      <c r="K2222" s="65"/>
      <c r="L2222" s="85" t="b">
        <f>IF(VLOOKUP(C2222,Projetos!A:L,12,false)=TRUE,TRUE,FALSE)</f>
        <v>1</v>
      </c>
      <c r="M2222" s="74">
        <v>73.7079846079846</v>
      </c>
      <c r="N2222" s="74">
        <f t="shared" si="1"/>
        <v>98.27731281</v>
      </c>
      <c r="O2222" s="74" t="b">
        <v>1</v>
      </c>
    </row>
    <row r="2223" hidden="1">
      <c r="A2223" s="82"/>
      <c r="B2223" s="65" t="s">
        <v>495</v>
      </c>
      <c r="C2223" s="65" t="s">
        <v>92</v>
      </c>
      <c r="D2223" s="65" t="str">
        <f>vlookup(C2223,'Classificação p pessoal'!F:G,2,false)</f>
        <v/>
      </c>
      <c r="E2223" s="65" t="s">
        <v>837</v>
      </c>
      <c r="F2223" s="83">
        <v>0.7083333333333334</v>
      </c>
      <c r="G2223" s="83">
        <v>0.75</v>
      </c>
      <c r="H2223" s="83">
        <v>0.041666666666666664</v>
      </c>
      <c r="I2223" s="84">
        <v>44496.0</v>
      </c>
      <c r="J2223" s="65" t="b">
        <v>1</v>
      </c>
      <c r="K2223" s="65"/>
      <c r="L2223" s="85" t="b">
        <f>IF(VLOOKUP(C2223,Projetos!A:L,12,false)=TRUE,TRUE,FALSE)</f>
        <v>1</v>
      </c>
      <c r="M2223" s="74">
        <v>73.7079846079846</v>
      </c>
      <c r="N2223" s="74">
        <f t="shared" si="1"/>
        <v>73.70798461</v>
      </c>
      <c r="O2223" s="74" t="b">
        <v>1</v>
      </c>
    </row>
    <row r="2224" hidden="1">
      <c r="A2224" s="82"/>
      <c r="B2224" s="65" t="s">
        <v>495</v>
      </c>
      <c r="C2224" s="65" t="s">
        <v>92</v>
      </c>
      <c r="D2224" s="65" t="str">
        <f>vlookup(C2224,'Classificação p pessoal'!F:G,2,false)</f>
        <v/>
      </c>
      <c r="E2224" s="65" t="s">
        <v>1409</v>
      </c>
      <c r="F2224" s="83">
        <v>0.3541666666666667</v>
      </c>
      <c r="G2224" s="83">
        <v>0.4166666666666667</v>
      </c>
      <c r="H2224" s="83">
        <v>0.0625</v>
      </c>
      <c r="I2224" s="84">
        <v>44497.0</v>
      </c>
      <c r="J2224" s="65" t="b">
        <v>1</v>
      </c>
      <c r="K2224" s="65"/>
      <c r="L2224" s="85" t="b">
        <f>IF(VLOOKUP(C2224,Projetos!A:L,12,false)=TRUE,TRUE,FALSE)</f>
        <v>1</v>
      </c>
      <c r="M2224" s="74">
        <v>73.7079846079846</v>
      </c>
      <c r="N2224" s="74">
        <f t="shared" si="1"/>
        <v>110.5619769</v>
      </c>
      <c r="O2224" s="74" t="b">
        <v>1</v>
      </c>
    </row>
    <row r="2225" hidden="1">
      <c r="A2225" s="82"/>
      <c r="B2225" s="65" t="s">
        <v>495</v>
      </c>
      <c r="C2225" s="65" t="s">
        <v>92</v>
      </c>
      <c r="D2225" s="65" t="str">
        <f>vlookup(C2225,'Classificação p pessoal'!F:G,2,false)</f>
        <v/>
      </c>
      <c r="E2225" s="65" t="s">
        <v>1410</v>
      </c>
      <c r="F2225" s="83">
        <v>0.4305555555555556</v>
      </c>
      <c r="G2225" s="83">
        <v>0.5138888888888888</v>
      </c>
      <c r="H2225" s="83">
        <v>0.08333333333333333</v>
      </c>
      <c r="I2225" s="84">
        <v>44497.0</v>
      </c>
      <c r="J2225" s="65" t="b">
        <v>1</v>
      </c>
      <c r="K2225" s="65"/>
      <c r="L2225" s="85" t="b">
        <f>IF(VLOOKUP(C2225,Projetos!A:L,12,false)=TRUE,TRUE,FALSE)</f>
        <v>1</v>
      </c>
      <c r="M2225" s="74">
        <v>73.7079846079846</v>
      </c>
      <c r="N2225" s="74">
        <f t="shared" si="1"/>
        <v>147.4159692</v>
      </c>
      <c r="O2225" s="74" t="b">
        <v>1</v>
      </c>
    </row>
    <row r="2226" hidden="1">
      <c r="A2226" s="82"/>
      <c r="B2226" s="65" t="s">
        <v>495</v>
      </c>
      <c r="C2226" s="65" t="s">
        <v>117</v>
      </c>
      <c r="D2226" s="65"/>
      <c r="E2226" s="65" t="s">
        <v>1411</v>
      </c>
      <c r="F2226" s="83">
        <v>0.7083333333333334</v>
      </c>
      <c r="G2226" s="83">
        <v>0.75</v>
      </c>
      <c r="H2226" s="83">
        <v>0.041666666666666664</v>
      </c>
      <c r="I2226" s="84">
        <v>44382.0</v>
      </c>
      <c r="J2226" s="65" t="b">
        <v>0</v>
      </c>
      <c r="K2226" s="65"/>
      <c r="L2226" s="85" t="b">
        <f>IF(VLOOKUP(C2226,Projetos!A:L,12,false)=TRUE,TRUE,FALSE)</f>
        <v>1</v>
      </c>
      <c r="M2226" s="74">
        <v>73.7079846079846</v>
      </c>
      <c r="N2226" s="74">
        <f t="shared" si="1"/>
        <v>0</v>
      </c>
      <c r="O2226" s="74" t="b">
        <v>1</v>
      </c>
    </row>
    <row r="2227" hidden="1">
      <c r="A2227" s="82"/>
      <c r="B2227" s="65" t="s">
        <v>495</v>
      </c>
      <c r="C2227" s="65" t="s">
        <v>92</v>
      </c>
      <c r="D2227" s="65" t="str">
        <f>vlookup(C2227,'Classificação p pessoal'!F:G,2,false)</f>
        <v/>
      </c>
      <c r="E2227" s="65" t="s">
        <v>1412</v>
      </c>
      <c r="F2227" s="83">
        <v>0.5833333333333334</v>
      </c>
      <c r="G2227" s="83">
        <v>0.6041666666666666</v>
      </c>
      <c r="H2227" s="83">
        <v>0.020833333333333332</v>
      </c>
      <c r="I2227" s="84">
        <v>44497.0</v>
      </c>
      <c r="J2227" s="65" t="b">
        <v>1</v>
      </c>
      <c r="K2227" s="65"/>
      <c r="L2227" s="85" t="b">
        <f>IF(VLOOKUP(C2227,Projetos!A:L,12,false)=TRUE,TRUE,FALSE)</f>
        <v>1</v>
      </c>
      <c r="M2227" s="74">
        <v>73.7079846079846</v>
      </c>
      <c r="N2227" s="74">
        <f t="shared" si="1"/>
        <v>36.8539923</v>
      </c>
      <c r="O2227" s="74" t="b">
        <v>1</v>
      </c>
    </row>
    <row r="2228" hidden="1">
      <c r="A2228" s="82"/>
      <c r="B2228" s="65" t="s">
        <v>495</v>
      </c>
      <c r="C2228" s="65" t="s">
        <v>92</v>
      </c>
      <c r="D2228" s="65" t="str">
        <f>vlookup(C2228,'Classificação p pessoal'!F:G,2,false)</f>
        <v/>
      </c>
      <c r="E2228" s="65" t="s">
        <v>837</v>
      </c>
      <c r="F2228" s="83">
        <v>0.6458333333333334</v>
      </c>
      <c r="G2228" s="83">
        <v>0.7083333333333334</v>
      </c>
      <c r="H2228" s="83">
        <v>0.0625</v>
      </c>
      <c r="I2228" s="84">
        <v>44497.0</v>
      </c>
      <c r="J2228" s="65" t="b">
        <v>1</v>
      </c>
      <c r="K2228" s="65"/>
      <c r="L2228" s="85" t="b">
        <f>IF(VLOOKUP(C2228,Projetos!A:L,12,false)=TRUE,TRUE,FALSE)</f>
        <v>1</v>
      </c>
      <c r="M2228" s="74">
        <v>73.7079846079846</v>
      </c>
      <c r="N2228" s="74">
        <f t="shared" si="1"/>
        <v>110.5619769</v>
      </c>
      <c r="O2228" s="74" t="b">
        <v>1</v>
      </c>
    </row>
    <row r="2229" hidden="1">
      <c r="A2229" s="82"/>
      <c r="B2229" s="65" t="s">
        <v>495</v>
      </c>
      <c r="C2229" s="65" t="s">
        <v>92</v>
      </c>
      <c r="D2229" s="65" t="str">
        <f>vlookup(C2229,'Classificação p pessoal'!F:G,2,false)</f>
        <v/>
      </c>
      <c r="E2229" s="65" t="s">
        <v>1413</v>
      </c>
      <c r="F2229" s="83">
        <v>0.7083333333333334</v>
      </c>
      <c r="G2229" s="83">
        <v>0.75</v>
      </c>
      <c r="H2229" s="83">
        <v>0.041666666666666664</v>
      </c>
      <c r="I2229" s="84">
        <v>44497.0</v>
      </c>
      <c r="J2229" s="65" t="b">
        <v>1</v>
      </c>
      <c r="K2229" s="65"/>
      <c r="L2229" s="85" t="b">
        <f>IF(VLOOKUP(C2229,Projetos!A:L,12,false)=TRUE,TRUE,FALSE)</f>
        <v>1</v>
      </c>
      <c r="M2229" s="74">
        <v>73.7079846079846</v>
      </c>
      <c r="N2229" s="74">
        <f t="shared" si="1"/>
        <v>73.70798461</v>
      </c>
      <c r="O2229" s="74" t="b">
        <v>1</v>
      </c>
    </row>
    <row r="2230" hidden="1">
      <c r="A2230" s="82"/>
      <c r="B2230" s="65" t="s">
        <v>495</v>
      </c>
      <c r="C2230" s="65" t="s">
        <v>92</v>
      </c>
      <c r="D2230" s="65" t="str">
        <f>vlookup(C2230,'Classificação p pessoal'!F:G,2,false)</f>
        <v/>
      </c>
      <c r="E2230" s="65" t="s">
        <v>1414</v>
      </c>
      <c r="F2230" s="83">
        <v>0.3541666666666667</v>
      </c>
      <c r="G2230" s="83">
        <v>0.4375</v>
      </c>
      <c r="H2230" s="83">
        <v>0.08333333333333333</v>
      </c>
      <c r="I2230" s="84">
        <v>44498.0</v>
      </c>
      <c r="J2230" s="65" t="b">
        <v>1</v>
      </c>
      <c r="K2230" s="65"/>
      <c r="L2230" s="85" t="b">
        <f>IF(VLOOKUP(C2230,Projetos!A:L,12,false)=TRUE,TRUE,FALSE)</f>
        <v>1</v>
      </c>
      <c r="M2230" s="74">
        <v>73.7079846079846</v>
      </c>
      <c r="N2230" s="74">
        <f t="shared" si="1"/>
        <v>147.4159692</v>
      </c>
      <c r="O2230" s="74" t="b">
        <v>1</v>
      </c>
    </row>
    <row r="2231" hidden="1">
      <c r="A2231" s="82"/>
      <c r="B2231" s="65" t="s">
        <v>495</v>
      </c>
      <c r="C2231" s="65" t="s">
        <v>92</v>
      </c>
      <c r="D2231" s="65"/>
      <c r="E2231" s="65" t="s">
        <v>1415</v>
      </c>
      <c r="F2231" s="83">
        <v>0.4375</v>
      </c>
      <c r="G2231" s="83">
        <v>0.5208333333333334</v>
      </c>
      <c r="H2231" s="83">
        <v>0.08333333333333333</v>
      </c>
      <c r="I2231" s="84">
        <v>44498.0</v>
      </c>
      <c r="J2231" s="65" t="b">
        <v>0</v>
      </c>
      <c r="K2231" s="65" t="s">
        <v>150</v>
      </c>
      <c r="L2231" s="85" t="b">
        <f>IF(VLOOKUP(C2231,Projetos!A:L,12,false)=TRUE,TRUE,FALSE)</f>
        <v>1</v>
      </c>
      <c r="M2231" s="74">
        <v>73.7079846079846</v>
      </c>
      <c r="N2231" s="74">
        <f t="shared" si="1"/>
        <v>0</v>
      </c>
      <c r="O2231" s="74" t="b">
        <v>1</v>
      </c>
    </row>
    <row r="2232" hidden="1">
      <c r="A2232" s="82"/>
      <c r="B2232" s="65" t="s">
        <v>495</v>
      </c>
      <c r="C2232" s="65" t="s">
        <v>92</v>
      </c>
      <c r="D2232" s="65" t="str">
        <f>vlookup(C2232,'Classificação p pessoal'!F:G,2,false)</f>
        <v/>
      </c>
      <c r="E2232" s="65" t="s">
        <v>1416</v>
      </c>
      <c r="F2232" s="83">
        <v>0.5208333333333334</v>
      </c>
      <c r="G2232" s="83">
        <v>0.5416666666666666</v>
      </c>
      <c r="H2232" s="83">
        <v>0.020833333333333332</v>
      </c>
      <c r="I2232" s="84">
        <v>44498.0</v>
      </c>
      <c r="J2232" s="65" t="b">
        <v>1</v>
      </c>
      <c r="K2232" s="65"/>
      <c r="L2232" s="85" t="b">
        <f>IF(VLOOKUP(C2232,Projetos!A:L,12,false)=TRUE,TRUE,FALSE)</f>
        <v>1</v>
      </c>
      <c r="M2232" s="74">
        <v>73.7079846079846</v>
      </c>
      <c r="N2232" s="74">
        <f t="shared" si="1"/>
        <v>36.8539923</v>
      </c>
      <c r="O2232" s="74" t="b">
        <v>1</v>
      </c>
    </row>
    <row r="2233" hidden="1">
      <c r="A2233" s="82"/>
      <c r="B2233" s="65" t="s">
        <v>495</v>
      </c>
      <c r="C2233" s="65" t="s">
        <v>117</v>
      </c>
      <c r="D2233" s="65"/>
      <c r="E2233" s="65" t="s">
        <v>1411</v>
      </c>
      <c r="F2233" s="83">
        <v>0.4722222222222222</v>
      </c>
      <c r="G2233" s="83">
        <v>0.5520833333333334</v>
      </c>
      <c r="H2233" s="83">
        <v>0.0798611111111111</v>
      </c>
      <c r="I2233" s="84">
        <v>44383.0</v>
      </c>
      <c r="J2233" s="65" t="b">
        <v>0</v>
      </c>
      <c r="K2233" s="65"/>
      <c r="L2233" s="85" t="b">
        <f>IF(VLOOKUP(C2233,Projetos!A:L,12,false)=TRUE,TRUE,FALSE)</f>
        <v>1</v>
      </c>
      <c r="M2233" s="74">
        <v>73.7079846079846</v>
      </c>
      <c r="N2233" s="74">
        <f t="shared" si="1"/>
        <v>0</v>
      </c>
      <c r="O2233" s="74" t="b">
        <v>1</v>
      </c>
    </row>
    <row r="2234" hidden="1">
      <c r="A2234" s="82"/>
      <c r="B2234" s="65" t="s">
        <v>495</v>
      </c>
      <c r="C2234" s="65" t="s">
        <v>92</v>
      </c>
      <c r="D2234" s="65" t="str">
        <f>vlookup(C2234,'Classificação p pessoal'!F:G,2,false)</f>
        <v/>
      </c>
      <c r="E2234" s="65" t="s">
        <v>1005</v>
      </c>
      <c r="F2234" s="83">
        <v>0.6458333333333334</v>
      </c>
      <c r="G2234" s="83">
        <v>0.75</v>
      </c>
      <c r="H2234" s="83">
        <v>0.10416666666666667</v>
      </c>
      <c r="I2234" s="84">
        <v>44498.0</v>
      </c>
      <c r="J2234" s="65" t="b">
        <v>1</v>
      </c>
      <c r="K2234" s="65"/>
      <c r="L2234" s="85" t="b">
        <f>IF(VLOOKUP(C2234,Projetos!A:L,12,false)=TRUE,TRUE,FALSE)</f>
        <v>1</v>
      </c>
      <c r="M2234" s="74">
        <v>73.7079846079846</v>
      </c>
      <c r="N2234" s="74">
        <f t="shared" si="1"/>
        <v>184.2699615</v>
      </c>
      <c r="O2234" s="74" t="b">
        <v>1</v>
      </c>
    </row>
    <row r="2235" hidden="1">
      <c r="A2235" s="82"/>
      <c r="B2235" s="65" t="s">
        <v>411</v>
      </c>
      <c r="C2235" s="65" t="s">
        <v>132</v>
      </c>
      <c r="D2235" s="65"/>
      <c r="E2235" s="65" t="s">
        <v>1417</v>
      </c>
      <c r="F2235" s="83">
        <v>0.3541666666666667</v>
      </c>
      <c r="G2235" s="83">
        <v>0.4375</v>
      </c>
      <c r="H2235" s="83">
        <v>0.08333333333333333</v>
      </c>
      <c r="I2235" s="84">
        <v>44364.0</v>
      </c>
      <c r="J2235" s="65" t="b">
        <v>1</v>
      </c>
      <c r="K2235" s="65"/>
      <c r="L2235" s="85" t="b">
        <f>IF(VLOOKUP(C2235,Projetos!A:L,12,false)=TRUE,TRUE,FALSE)</f>
        <v>0</v>
      </c>
      <c r="M2235" s="74">
        <v>52.48434411075036</v>
      </c>
      <c r="N2235" s="74">
        <f t="shared" si="1"/>
        <v>0</v>
      </c>
      <c r="O2235" s="74" t="b">
        <v>0</v>
      </c>
    </row>
    <row r="2236" hidden="1">
      <c r="A2236" s="82"/>
      <c r="B2236" s="65" t="s">
        <v>495</v>
      </c>
      <c r="C2236" s="65" t="s">
        <v>92</v>
      </c>
      <c r="D2236" s="65" t="str">
        <f>vlookup(C2236,'Classificação p pessoal'!F:G,2,false)</f>
        <v/>
      </c>
      <c r="E2236" s="65" t="s">
        <v>1418</v>
      </c>
      <c r="F2236" s="83">
        <v>0.5208333333333334</v>
      </c>
      <c r="G2236" s="83">
        <v>0.5416666666666666</v>
      </c>
      <c r="H2236" s="83">
        <v>0.020833333333333332</v>
      </c>
      <c r="I2236" s="84">
        <v>44501.0</v>
      </c>
      <c r="J2236" s="65" t="b">
        <v>1</v>
      </c>
      <c r="K2236" s="65"/>
      <c r="L2236" s="85" t="b">
        <f>IF(VLOOKUP(C2236,Projetos!A:L,12,false)=TRUE,TRUE,FALSE)</f>
        <v>1</v>
      </c>
      <c r="M2236" s="74">
        <v>73.7079846079846</v>
      </c>
      <c r="N2236" s="74">
        <f t="shared" si="1"/>
        <v>36.8539923</v>
      </c>
      <c r="O2236" s="74" t="b">
        <v>1</v>
      </c>
    </row>
    <row r="2237" hidden="1">
      <c r="A2237" s="82"/>
      <c r="B2237" s="65" t="s">
        <v>495</v>
      </c>
      <c r="C2237" s="65" t="s">
        <v>92</v>
      </c>
      <c r="D2237" s="65" t="str">
        <f>vlookup(C2237,'Classificação p pessoal'!F:G,2,false)</f>
        <v/>
      </c>
      <c r="E2237" s="65" t="s">
        <v>1419</v>
      </c>
      <c r="F2237" s="83">
        <v>0.5833333333333334</v>
      </c>
      <c r="G2237" s="83">
        <v>0.6041666666666666</v>
      </c>
      <c r="H2237" s="83">
        <v>0.020833333333333332</v>
      </c>
      <c r="I2237" s="84">
        <v>44501.0</v>
      </c>
      <c r="J2237" s="65" t="b">
        <v>1</v>
      </c>
      <c r="K2237" s="65"/>
      <c r="L2237" s="85" t="b">
        <f>IF(VLOOKUP(C2237,Projetos!A:L,12,false)=TRUE,TRUE,FALSE)</f>
        <v>1</v>
      </c>
      <c r="M2237" s="74">
        <v>73.7079846079846</v>
      </c>
      <c r="N2237" s="74">
        <f t="shared" si="1"/>
        <v>36.8539923</v>
      </c>
      <c r="O2237" s="74" t="b">
        <v>1</v>
      </c>
    </row>
    <row r="2238" hidden="1">
      <c r="A2238" s="82"/>
      <c r="B2238" s="65" t="s">
        <v>495</v>
      </c>
      <c r="C2238" s="65" t="s">
        <v>92</v>
      </c>
      <c r="D2238" s="65" t="str">
        <f>vlookup(C2238,'Classificação p pessoal'!F:G,2,false)</f>
        <v/>
      </c>
      <c r="E2238" s="65" t="s">
        <v>1420</v>
      </c>
      <c r="F2238" s="83">
        <v>0.6041666666666666</v>
      </c>
      <c r="G2238" s="83">
        <v>0.6458333333333334</v>
      </c>
      <c r="H2238" s="83">
        <v>0.041666666666666664</v>
      </c>
      <c r="I2238" s="84">
        <v>44501.0</v>
      </c>
      <c r="J2238" s="65" t="b">
        <v>1</v>
      </c>
      <c r="K2238" s="65"/>
      <c r="L2238" s="85" t="b">
        <f>IF(VLOOKUP(C2238,Projetos!A:L,12,false)=TRUE,TRUE,FALSE)</f>
        <v>1</v>
      </c>
      <c r="M2238" s="74">
        <v>73.7079846079846</v>
      </c>
      <c r="N2238" s="74">
        <f t="shared" si="1"/>
        <v>73.70798461</v>
      </c>
      <c r="O2238" s="74" t="b">
        <v>1</v>
      </c>
    </row>
    <row r="2239" hidden="1">
      <c r="A2239" s="82"/>
      <c r="B2239" s="65" t="s">
        <v>495</v>
      </c>
      <c r="C2239" s="65" t="s">
        <v>100</v>
      </c>
      <c r="D2239" s="65" t="str">
        <f>vlookup(C2239,'Classificação p pessoal'!F:G,2,false)</f>
        <v>NP</v>
      </c>
      <c r="E2239" s="65" t="s">
        <v>1421</v>
      </c>
      <c r="F2239" s="83">
        <v>0.6458333333333334</v>
      </c>
      <c r="G2239" s="83">
        <v>0.6770833333333334</v>
      </c>
      <c r="H2239" s="83">
        <v>0.03125</v>
      </c>
      <c r="I2239" s="84">
        <v>44501.0</v>
      </c>
      <c r="J2239" s="65" t="b">
        <v>1</v>
      </c>
      <c r="K2239" s="65"/>
      <c r="L2239" s="85" t="b">
        <f>IF(VLOOKUP(C2239,Projetos!A:L,12,false)=TRUE,TRUE,FALSE)</f>
        <v>1</v>
      </c>
      <c r="M2239" s="74">
        <v>73.7079846079846</v>
      </c>
      <c r="N2239" s="74">
        <f t="shared" si="1"/>
        <v>55.28098846</v>
      </c>
      <c r="O2239" s="74" t="b">
        <v>1</v>
      </c>
    </row>
    <row r="2240" hidden="1">
      <c r="A2240" s="82"/>
      <c r="B2240" s="65" t="s">
        <v>495</v>
      </c>
      <c r="C2240" s="65" t="s">
        <v>92</v>
      </c>
      <c r="D2240" s="65" t="str">
        <f>vlookup(C2240,'Classificação p pessoal'!F:G,2,false)</f>
        <v/>
      </c>
      <c r="E2240" s="65" t="s">
        <v>1422</v>
      </c>
      <c r="F2240" s="83">
        <v>0.6875</v>
      </c>
      <c r="G2240" s="83">
        <v>0.75</v>
      </c>
      <c r="H2240" s="83">
        <v>0.0625</v>
      </c>
      <c r="I2240" s="84">
        <v>44501.0</v>
      </c>
      <c r="J2240" s="65" t="b">
        <v>1</v>
      </c>
      <c r="K2240" s="65"/>
      <c r="L2240" s="85" t="b">
        <f>IF(VLOOKUP(C2240,Projetos!A:L,12,false)=TRUE,TRUE,FALSE)</f>
        <v>1</v>
      </c>
      <c r="M2240" s="74">
        <v>73.7079846079846</v>
      </c>
      <c r="N2240" s="74">
        <f t="shared" si="1"/>
        <v>110.5619769</v>
      </c>
      <c r="O2240" s="74" t="b">
        <v>1</v>
      </c>
    </row>
    <row r="2241">
      <c r="A2241" s="82"/>
      <c r="B2241" s="65" t="s">
        <v>495</v>
      </c>
      <c r="C2241" s="65" t="s">
        <v>108</v>
      </c>
      <c r="D2241" s="65" t="str">
        <f>vlookup(C2241,'Classificação p pessoal'!F:G,2,false)</f>
        <v>NP</v>
      </c>
      <c r="E2241" s="65" t="s">
        <v>1423</v>
      </c>
      <c r="F2241" s="83">
        <v>0.3541666666666667</v>
      </c>
      <c r="G2241" s="83">
        <v>0.4375</v>
      </c>
      <c r="H2241" s="83">
        <v>0.08333333333333333</v>
      </c>
      <c r="I2241" s="84">
        <v>44199.0</v>
      </c>
      <c r="J2241" s="65" t="b">
        <v>1</v>
      </c>
      <c r="K2241" s="65"/>
      <c r="L2241" s="85" t="b">
        <f>IF(VLOOKUP(C2241,Projetos!A:L,12,false)=TRUE,TRUE,FALSE)</f>
        <v>1</v>
      </c>
      <c r="M2241" s="74">
        <v>73.7079846079846</v>
      </c>
      <c r="N2241" s="74">
        <f t="shared" si="1"/>
        <v>147.4159692</v>
      </c>
      <c r="O2241" s="74" t="b">
        <v>1</v>
      </c>
    </row>
    <row r="2242" hidden="1">
      <c r="A2242" s="82"/>
      <c r="B2242" s="65" t="s">
        <v>495</v>
      </c>
      <c r="C2242" s="65" t="s">
        <v>117</v>
      </c>
      <c r="D2242" s="65" t="str">
        <f>vlookup(C2242,'Classificação p pessoal'!F:G,2,false)</f>
        <v>NP</v>
      </c>
      <c r="E2242" s="65" t="s">
        <v>1424</v>
      </c>
      <c r="F2242" s="83">
        <v>0.4479166666666667</v>
      </c>
      <c r="G2242" s="83">
        <v>0.5729166666666666</v>
      </c>
      <c r="H2242" s="83">
        <v>0.125</v>
      </c>
      <c r="I2242" s="84">
        <v>44199.0</v>
      </c>
      <c r="J2242" s="65" t="b">
        <v>1</v>
      </c>
      <c r="K2242" s="65"/>
      <c r="L2242" s="85" t="b">
        <f>IF(VLOOKUP(C2242,Projetos!A:L,12,false)=TRUE,TRUE,FALSE)</f>
        <v>1</v>
      </c>
      <c r="M2242" s="74">
        <v>73.7079846079846</v>
      </c>
      <c r="N2242" s="74">
        <f t="shared" si="1"/>
        <v>221.1239538</v>
      </c>
      <c r="O2242" s="74" t="b">
        <v>1</v>
      </c>
    </row>
    <row r="2243" hidden="1">
      <c r="A2243" s="82"/>
      <c r="B2243" s="65" t="s">
        <v>495</v>
      </c>
      <c r="C2243" s="65" t="s">
        <v>117</v>
      </c>
      <c r="D2243" s="65" t="str">
        <f>vlookup(C2243,'Classificação p pessoal'!F:G,2,false)</f>
        <v>NP</v>
      </c>
      <c r="E2243" s="65" t="s">
        <v>1425</v>
      </c>
      <c r="F2243" s="83">
        <v>0.6145833333333334</v>
      </c>
      <c r="G2243" s="83">
        <v>0.6979166666666666</v>
      </c>
      <c r="H2243" s="83">
        <v>0.08333333333333333</v>
      </c>
      <c r="I2243" s="84">
        <v>44199.0</v>
      </c>
      <c r="J2243" s="65" t="b">
        <v>1</v>
      </c>
      <c r="K2243" s="65"/>
      <c r="L2243" s="85" t="b">
        <f>IF(VLOOKUP(C2243,Projetos!A:L,12,false)=TRUE,TRUE,FALSE)</f>
        <v>1</v>
      </c>
      <c r="M2243" s="74">
        <v>73.7079846079846</v>
      </c>
      <c r="N2243" s="74">
        <f t="shared" si="1"/>
        <v>147.4159692</v>
      </c>
      <c r="O2243" s="74" t="b">
        <v>1</v>
      </c>
    </row>
    <row r="2244" hidden="1">
      <c r="A2244" s="82"/>
      <c r="B2244" s="65" t="s">
        <v>495</v>
      </c>
      <c r="C2244" s="65" t="s">
        <v>130</v>
      </c>
      <c r="D2244" s="65" t="str">
        <f>vlookup(C2244,'Classificação p pessoal'!F:G,2,false)</f>
        <v>NP</v>
      </c>
      <c r="E2244" s="65" t="s">
        <v>1426</v>
      </c>
      <c r="F2244" s="83">
        <v>0.7152777777777778</v>
      </c>
      <c r="G2244" s="83">
        <v>0.7638888888888888</v>
      </c>
      <c r="H2244" s="83">
        <v>0.04861111111111111</v>
      </c>
      <c r="I2244" s="84">
        <v>44199.0</v>
      </c>
      <c r="J2244" s="65" t="b">
        <v>1</v>
      </c>
      <c r="K2244" s="65"/>
      <c r="L2244" s="85" t="b">
        <f>IF(VLOOKUP(C2244,Projetos!A:L,12,false)=TRUE,TRUE,FALSE)</f>
        <v>1</v>
      </c>
      <c r="M2244" s="74">
        <v>73.7079846079846</v>
      </c>
      <c r="N2244" s="74">
        <f t="shared" si="1"/>
        <v>85.99264871</v>
      </c>
      <c r="O2244" s="74" t="b">
        <v>1</v>
      </c>
    </row>
    <row r="2245" hidden="1">
      <c r="A2245" s="82"/>
      <c r="B2245" s="65" t="s">
        <v>495</v>
      </c>
      <c r="C2245" s="65" t="s">
        <v>117</v>
      </c>
      <c r="D2245" s="65" t="str">
        <f>vlookup(C2245,'Classificação p pessoal'!F:G,2,false)</f>
        <v>NP</v>
      </c>
      <c r="E2245" s="65" t="s">
        <v>929</v>
      </c>
      <c r="F2245" s="83">
        <v>0.3541666666666667</v>
      </c>
      <c r="G2245" s="83">
        <v>0.3645833333333333</v>
      </c>
      <c r="H2245" s="83">
        <v>0.010416666666666666</v>
      </c>
      <c r="I2245" s="84">
        <v>44504.0</v>
      </c>
      <c r="J2245" s="65" t="b">
        <v>1</v>
      </c>
      <c r="K2245" s="65"/>
      <c r="L2245" s="85" t="b">
        <f>IF(VLOOKUP(C2245,Projetos!A:L,12,false)=TRUE,TRUE,FALSE)</f>
        <v>1</v>
      </c>
      <c r="M2245" s="74">
        <v>73.7079846079846</v>
      </c>
      <c r="N2245" s="74">
        <f t="shared" si="1"/>
        <v>18.42699615</v>
      </c>
      <c r="O2245" s="74" t="b">
        <v>1</v>
      </c>
    </row>
    <row r="2246" hidden="1">
      <c r="A2246" s="82"/>
      <c r="B2246" s="65" t="s">
        <v>495</v>
      </c>
      <c r="C2246" s="65" t="s">
        <v>92</v>
      </c>
      <c r="D2246" s="65" t="str">
        <f>vlookup(C2246,'Classificação p pessoal'!F:G,2,false)</f>
        <v/>
      </c>
      <c r="E2246" s="65" t="s">
        <v>1427</v>
      </c>
      <c r="F2246" s="83">
        <v>0.3645833333333333</v>
      </c>
      <c r="G2246" s="83">
        <v>0.4097222222222222</v>
      </c>
      <c r="H2246" s="83">
        <v>0.04513888888888889</v>
      </c>
      <c r="I2246" s="84">
        <v>44504.0</v>
      </c>
      <c r="J2246" s="65" t="b">
        <v>1</v>
      </c>
      <c r="K2246" s="65"/>
      <c r="L2246" s="85" t="b">
        <f>IF(VLOOKUP(C2246,Projetos!A:L,12,false)=TRUE,TRUE,FALSE)</f>
        <v>1</v>
      </c>
      <c r="M2246" s="74">
        <v>73.7079846079846</v>
      </c>
      <c r="N2246" s="74">
        <f t="shared" si="1"/>
        <v>79.85031666</v>
      </c>
      <c r="O2246" s="74" t="b">
        <v>1</v>
      </c>
    </row>
    <row r="2247" hidden="1">
      <c r="A2247" s="82"/>
      <c r="B2247" s="65" t="s">
        <v>495</v>
      </c>
      <c r="C2247" s="65" t="s">
        <v>117</v>
      </c>
      <c r="D2247" s="65"/>
      <c r="E2247" s="65" t="s">
        <v>1428</v>
      </c>
      <c r="F2247" s="83">
        <v>0.4097222222222222</v>
      </c>
      <c r="G2247" s="83">
        <v>0.5416666666666666</v>
      </c>
      <c r="H2247" s="83">
        <v>0.13194444444444445</v>
      </c>
      <c r="I2247" s="84">
        <v>44504.0</v>
      </c>
      <c r="J2247" s="65" t="b">
        <v>0</v>
      </c>
      <c r="K2247" s="65" t="s">
        <v>150</v>
      </c>
      <c r="L2247" s="85" t="b">
        <f>IF(VLOOKUP(C2247,Projetos!A:L,12,false)=TRUE,TRUE,FALSE)</f>
        <v>1</v>
      </c>
      <c r="M2247" s="74">
        <v>73.7079846079846</v>
      </c>
      <c r="N2247" s="74">
        <f t="shared" si="1"/>
        <v>0</v>
      </c>
      <c r="O2247" s="74" t="b">
        <v>1</v>
      </c>
    </row>
    <row r="2248" hidden="1">
      <c r="A2248" s="82"/>
      <c r="B2248" s="65" t="s">
        <v>495</v>
      </c>
      <c r="C2248" s="65" t="s">
        <v>92</v>
      </c>
      <c r="D2248" s="65" t="str">
        <f>vlookup(C2248,'Classificação p pessoal'!F:G,2,false)</f>
        <v/>
      </c>
      <c r="E2248" s="65" t="s">
        <v>1429</v>
      </c>
      <c r="F2248" s="83">
        <v>0.5416666666666666</v>
      </c>
      <c r="G2248" s="83">
        <v>0.5729166666666666</v>
      </c>
      <c r="H2248" s="83">
        <v>0.03125</v>
      </c>
      <c r="I2248" s="84">
        <v>44504.0</v>
      </c>
      <c r="J2248" s="65" t="b">
        <v>1</v>
      </c>
      <c r="K2248" s="65"/>
      <c r="L2248" s="85" t="b">
        <f>IF(VLOOKUP(C2248,Projetos!A:L,12,false)=TRUE,TRUE,FALSE)</f>
        <v>1</v>
      </c>
      <c r="M2248" s="74">
        <v>73.7079846079846</v>
      </c>
      <c r="N2248" s="74">
        <f t="shared" si="1"/>
        <v>55.28098846</v>
      </c>
      <c r="O2248" s="74" t="b">
        <v>1</v>
      </c>
    </row>
    <row r="2249" hidden="1">
      <c r="A2249" s="82"/>
      <c r="B2249" s="65" t="s">
        <v>495</v>
      </c>
      <c r="C2249" s="65" t="s">
        <v>130</v>
      </c>
      <c r="D2249" s="65" t="str">
        <f>vlookup(C2249,'Classificação p pessoal'!F:G,2,false)</f>
        <v>NP</v>
      </c>
      <c r="E2249" s="65" t="s">
        <v>1426</v>
      </c>
      <c r="F2249" s="83">
        <v>0.6666666666666666</v>
      </c>
      <c r="G2249" s="83">
        <v>0.75</v>
      </c>
      <c r="H2249" s="83">
        <v>0.08333333333333333</v>
      </c>
      <c r="I2249" s="84">
        <v>44504.0</v>
      </c>
      <c r="J2249" s="65" t="b">
        <v>1</v>
      </c>
      <c r="K2249" s="65"/>
      <c r="L2249" s="85" t="b">
        <f>IF(VLOOKUP(C2249,Projetos!A:L,12,false)=TRUE,TRUE,FALSE)</f>
        <v>1</v>
      </c>
      <c r="M2249" s="74">
        <v>73.7079846079846</v>
      </c>
      <c r="N2249" s="74">
        <f t="shared" si="1"/>
        <v>147.4159692</v>
      </c>
      <c r="O2249" s="74" t="b">
        <v>1</v>
      </c>
    </row>
    <row r="2250" hidden="1">
      <c r="A2250" s="82"/>
      <c r="B2250" s="65" t="s">
        <v>495</v>
      </c>
      <c r="C2250" s="65" t="s">
        <v>92</v>
      </c>
      <c r="D2250" s="65"/>
      <c r="E2250" s="65" t="s">
        <v>1430</v>
      </c>
      <c r="F2250" s="83">
        <v>0.3263888888888889</v>
      </c>
      <c r="G2250" s="83">
        <v>0.34375</v>
      </c>
      <c r="H2250" s="83">
        <v>0.017361111111111112</v>
      </c>
      <c r="I2250" s="84">
        <v>44505.0</v>
      </c>
      <c r="J2250" s="65" t="b">
        <v>0</v>
      </c>
      <c r="K2250" s="65" t="s">
        <v>150</v>
      </c>
      <c r="L2250" s="85" t="b">
        <f>IF(VLOOKUP(C2250,Projetos!A:L,12,false)=TRUE,TRUE,FALSE)</f>
        <v>1</v>
      </c>
      <c r="M2250" s="74">
        <v>73.7079846079846</v>
      </c>
      <c r="N2250" s="74">
        <f t="shared" si="1"/>
        <v>0</v>
      </c>
      <c r="O2250" s="74" t="b">
        <v>1</v>
      </c>
    </row>
    <row r="2251" hidden="1">
      <c r="A2251" s="82"/>
      <c r="B2251" s="65" t="s">
        <v>495</v>
      </c>
      <c r="C2251" s="65" t="s">
        <v>117</v>
      </c>
      <c r="D2251" s="65" t="str">
        <f>vlookup(C2251,'Classificação p pessoal'!F:G,2,false)</f>
        <v>NP</v>
      </c>
      <c r="E2251" s="65" t="s">
        <v>1431</v>
      </c>
      <c r="F2251" s="83">
        <v>0.34375</v>
      </c>
      <c r="G2251" s="83">
        <v>0.375</v>
      </c>
      <c r="H2251" s="83">
        <v>0.03125</v>
      </c>
      <c r="I2251" s="84">
        <v>44505.0</v>
      </c>
      <c r="J2251" s="65" t="b">
        <v>1</v>
      </c>
      <c r="K2251" s="65"/>
      <c r="L2251" s="85" t="b">
        <f>IF(VLOOKUP(C2251,Projetos!A:L,12,false)=TRUE,TRUE,FALSE)</f>
        <v>1</v>
      </c>
      <c r="M2251" s="74">
        <v>73.7079846079846</v>
      </c>
      <c r="N2251" s="74">
        <f t="shared" si="1"/>
        <v>55.28098846</v>
      </c>
      <c r="O2251" s="74" t="b">
        <v>1</v>
      </c>
    </row>
    <row r="2252" hidden="1">
      <c r="A2252" s="82"/>
      <c r="B2252" s="65" t="s">
        <v>495</v>
      </c>
      <c r="C2252" s="65" t="s">
        <v>92</v>
      </c>
      <c r="D2252" s="65" t="str">
        <f>vlookup(C2252,'Classificação p pessoal'!F:G,2,false)</f>
        <v/>
      </c>
      <c r="E2252" s="65" t="s">
        <v>1426</v>
      </c>
      <c r="F2252" s="83">
        <v>0.3958333333333333</v>
      </c>
      <c r="G2252" s="83">
        <v>0.4791666666666667</v>
      </c>
      <c r="H2252" s="83">
        <v>0.08333333333333333</v>
      </c>
      <c r="I2252" s="84">
        <v>44505.0</v>
      </c>
      <c r="J2252" s="65" t="b">
        <v>1</v>
      </c>
      <c r="K2252" s="65"/>
      <c r="L2252" s="85" t="b">
        <f>IF(VLOOKUP(C2252,Projetos!A:L,12,false)=TRUE,TRUE,FALSE)</f>
        <v>1</v>
      </c>
      <c r="M2252" s="74">
        <v>73.7079846079846</v>
      </c>
      <c r="N2252" s="74">
        <f t="shared" si="1"/>
        <v>147.4159692</v>
      </c>
      <c r="O2252" s="74" t="b">
        <v>1</v>
      </c>
    </row>
    <row r="2253" hidden="1">
      <c r="A2253" s="82"/>
      <c r="B2253" s="65" t="s">
        <v>495</v>
      </c>
      <c r="C2253" s="65" t="s">
        <v>92</v>
      </c>
      <c r="D2253" s="65" t="str">
        <f>vlookup(C2253,'Classificação p pessoal'!F:G,2,false)</f>
        <v/>
      </c>
      <c r="E2253" s="65" t="s">
        <v>1432</v>
      </c>
      <c r="F2253" s="83">
        <v>0.4861111111111111</v>
      </c>
      <c r="G2253" s="83">
        <v>0.5694444444444444</v>
      </c>
      <c r="H2253" s="83">
        <v>0.08333333333333333</v>
      </c>
      <c r="I2253" s="84">
        <v>44505.0</v>
      </c>
      <c r="J2253" s="65" t="b">
        <v>1</v>
      </c>
      <c r="K2253" s="65"/>
      <c r="L2253" s="85" t="b">
        <f>IF(VLOOKUP(C2253,Projetos!A:L,12,false)=TRUE,TRUE,FALSE)</f>
        <v>1</v>
      </c>
      <c r="M2253" s="74">
        <v>73.7079846079846</v>
      </c>
      <c r="N2253" s="74">
        <f t="shared" si="1"/>
        <v>147.4159692</v>
      </c>
      <c r="O2253" s="74" t="b">
        <v>1</v>
      </c>
    </row>
    <row r="2254" hidden="1">
      <c r="A2254" s="82"/>
      <c r="B2254" s="65" t="s">
        <v>495</v>
      </c>
      <c r="C2254" s="65" t="s">
        <v>92</v>
      </c>
      <c r="D2254" s="65" t="str">
        <f>vlookup(C2254,'Classificação p pessoal'!F:G,2,false)</f>
        <v/>
      </c>
      <c r="E2254" s="65" t="s">
        <v>834</v>
      </c>
      <c r="F2254" s="83">
        <v>0.6111111111111112</v>
      </c>
      <c r="G2254" s="83">
        <v>0.6666666666666666</v>
      </c>
      <c r="H2254" s="83">
        <v>0.05555555555555555</v>
      </c>
      <c r="I2254" s="84">
        <v>44505.0</v>
      </c>
      <c r="J2254" s="65" t="b">
        <v>1</v>
      </c>
      <c r="K2254" s="65"/>
      <c r="L2254" s="85" t="b">
        <f>IF(VLOOKUP(C2254,Projetos!A:L,12,false)=TRUE,TRUE,FALSE)</f>
        <v>1</v>
      </c>
      <c r="M2254" s="74">
        <v>73.7079846079846</v>
      </c>
      <c r="N2254" s="74">
        <f t="shared" si="1"/>
        <v>98.27731281</v>
      </c>
      <c r="O2254" s="74" t="b">
        <v>1</v>
      </c>
    </row>
    <row r="2255" hidden="1">
      <c r="A2255" s="82"/>
      <c r="B2255" s="65" t="s">
        <v>495</v>
      </c>
      <c r="C2255" s="65" t="s">
        <v>117</v>
      </c>
      <c r="D2255" s="65" t="str">
        <f>vlookup(C2255,'Classificação p pessoal'!F:G,2,false)</f>
        <v>NP</v>
      </c>
      <c r="E2255" s="65" t="s">
        <v>1433</v>
      </c>
      <c r="F2255" s="83">
        <v>0.6666666666666666</v>
      </c>
      <c r="G2255" s="83">
        <v>0.7083333333333334</v>
      </c>
      <c r="H2255" s="83">
        <v>0.041666666666666664</v>
      </c>
      <c r="I2255" s="84">
        <v>44505.0</v>
      </c>
      <c r="J2255" s="65" t="b">
        <v>1</v>
      </c>
      <c r="K2255" s="65"/>
      <c r="L2255" s="85" t="b">
        <f>IF(VLOOKUP(C2255,Projetos!A:L,12,false)=TRUE,TRUE,FALSE)</f>
        <v>1</v>
      </c>
      <c r="M2255" s="74">
        <v>73.7079846079846</v>
      </c>
      <c r="N2255" s="74">
        <f t="shared" si="1"/>
        <v>73.70798461</v>
      </c>
      <c r="O2255" s="74" t="b">
        <v>1</v>
      </c>
    </row>
    <row r="2256" hidden="1">
      <c r="A2256" s="82"/>
      <c r="B2256" s="65" t="s">
        <v>495</v>
      </c>
      <c r="C2256" s="65" t="s">
        <v>117</v>
      </c>
      <c r="D2256" s="65" t="str">
        <f>vlookup(C2256,'Classificação p pessoal'!F:G,2,false)</f>
        <v>NP</v>
      </c>
      <c r="E2256" s="65" t="s">
        <v>865</v>
      </c>
      <c r="F2256" s="83">
        <v>0.7291666666666666</v>
      </c>
      <c r="G2256" s="83">
        <v>0.75</v>
      </c>
      <c r="H2256" s="83">
        <v>0.020833333333333332</v>
      </c>
      <c r="I2256" s="84">
        <v>44505.0</v>
      </c>
      <c r="J2256" s="65" t="b">
        <v>1</v>
      </c>
      <c r="K2256" s="65"/>
      <c r="L2256" s="85" t="b">
        <f>IF(VLOOKUP(C2256,Projetos!A:L,12,false)=TRUE,TRUE,FALSE)</f>
        <v>1</v>
      </c>
      <c r="M2256" s="74">
        <v>73.7079846079846</v>
      </c>
      <c r="N2256" s="74">
        <f t="shared" si="1"/>
        <v>36.8539923</v>
      </c>
      <c r="O2256" s="74" t="b">
        <v>1</v>
      </c>
    </row>
    <row r="2257" hidden="1">
      <c r="A2257" s="82"/>
      <c r="B2257" s="65" t="s">
        <v>495</v>
      </c>
      <c r="C2257" s="65" t="s">
        <v>92</v>
      </c>
      <c r="D2257" s="65" t="str">
        <f>vlookup(C2257,'Classificação p pessoal'!F:G,2,false)</f>
        <v/>
      </c>
      <c r="E2257" s="65" t="s">
        <v>1434</v>
      </c>
      <c r="F2257" s="83">
        <v>0.3541666666666667</v>
      </c>
      <c r="G2257" s="83">
        <v>0.3958333333333333</v>
      </c>
      <c r="H2257" s="83">
        <v>0.041666666666666664</v>
      </c>
      <c r="I2257" s="84">
        <v>44508.0</v>
      </c>
      <c r="J2257" s="65" t="b">
        <v>1</v>
      </c>
      <c r="K2257" s="65"/>
      <c r="L2257" s="85" t="b">
        <f>IF(VLOOKUP(C2257,Projetos!A:L,12,false)=TRUE,TRUE,FALSE)</f>
        <v>1</v>
      </c>
      <c r="M2257" s="74">
        <v>73.7079846079846</v>
      </c>
      <c r="N2257" s="74">
        <f t="shared" si="1"/>
        <v>73.70798461</v>
      </c>
      <c r="O2257" s="74" t="b">
        <v>1</v>
      </c>
    </row>
    <row r="2258" hidden="1">
      <c r="A2258" s="82"/>
      <c r="B2258" s="65" t="s">
        <v>495</v>
      </c>
      <c r="C2258" s="65" t="s">
        <v>92</v>
      </c>
      <c r="D2258" s="65" t="str">
        <f>vlookup(C2258,'Classificação p pessoal'!F:G,2,false)</f>
        <v/>
      </c>
      <c r="E2258" s="65" t="s">
        <v>1435</v>
      </c>
      <c r="F2258" s="83">
        <v>0.4027777777777778</v>
      </c>
      <c r="G2258" s="83">
        <v>0.4583333333333333</v>
      </c>
      <c r="H2258" s="83">
        <v>0.05555555555555555</v>
      </c>
      <c r="I2258" s="84">
        <v>44508.0</v>
      </c>
      <c r="J2258" s="65" t="b">
        <v>1</v>
      </c>
      <c r="K2258" s="65"/>
      <c r="L2258" s="85" t="b">
        <f>IF(VLOOKUP(C2258,Projetos!A:L,12,false)=TRUE,TRUE,FALSE)</f>
        <v>1</v>
      </c>
      <c r="M2258" s="74">
        <v>73.7079846079846</v>
      </c>
      <c r="N2258" s="74">
        <f t="shared" si="1"/>
        <v>98.27731281</v>
      </c>
      <c r="O2258" s="74" t="b">
        <v>1</v>
      </c>
    </row>
    <row r="2259" hidden="1">
      <c r="A2259" s="82"/>
      <c r="B2259" s="65" t="s">
        <v>495</v>
      </c>
      <c r="C2259" s="65" t="s">
        <v>92</v>
      </c>
      <c r="D2259" s="65" t="str">
        <f>vlookup(C2259,'Classificação p pessoal'!F:G,2,false)</f>
        <v/>
      </c>
      <c r="E2259" s="65" t="s">
        <v>1436</v>
      </c>
      <c r="F2259" s="83">
        <v>0.4583333333333333</v>
      </c>
      <c r="G2259" s="83">
        <v>0.4791666666666667</v>
      </c>
      <c r="H2259" s="83">
        <v>0.020833333333333332</v>
      </c>
      <c r="I2259" s="84">
        <v>44508.0</v>
      </c>
      <c r="J2259" s="65" t="b">
        <v>1</v>
      </c>
      <c r="K2259" s="65"/>
      <c r="L2259" s="85" t="b">
        <f>IF(VLOOKUP(C2259,Projetos!A:L,12,false)=TRUE,TRUE,FALSE)</f>
        <v>1</v>
      </c>
      <c r="M2259" s="74">
        <v>73.7079846079846</v>
      </c>
      <c r="N2259" s="74">
        <f t="shared" si="1"/>
        <v>36.8539923</v>
      </c>
      <c r="O2259" s="74" t="b">
        <v>1</v>
      </c>
    </row>
    <row r="2260" hidden="1">
      <c r="A2260" s="82"/>
      <c r="B2260" s="65" t="s">
        <v>495</v>
      </c>
      <c r="C2260" s="65" t="s">
        <v>92</v>
      </c>
      <c r="D2260" s="65" t="str">
        <f>vlookup(C2260,'Classificação p pessoal'!F:G,2,false)</f>
        <v/>
      </c>
      <c r="E2260" s="65" t="s">
        <v>1437</v>
      </c>
      <c r="F2260" s="83">
        <v>0.4791666666666667</v>
      </c>
      <c r="G2260" s="83">
        <v>0.5208333333333334</v>
      </c>
      <c r="H2260" s="83">
        <v>0.041666666666666664</v>
      </c>
      <c r="I2260" s="84">
        <v>44508.0</v>
      </c>
      <c r="J2260" s="65" t="b">
        <v>1</v>
      </c>
      <c r="K2260" s="65"/>
      <c r="L2260" s="85" t="b">
        <f>IF(VLOOKUP(C2260,Projetos!A:L,12,false)=TRUE,TRUE,FALSE)</f>
        <v>1</v>
      </c>
      <c r="M2260" s="74">
        <v>73.7079846079846</v>
      </c>
      <c r="N2260" s="74">
        <f t="shared" si="1"/>
        <v>73.70798461</v>
      </c>
      <c r="O2260" s="74" t="b">
        <v>1</v>
      </c>
    </row>
    <row r="2261" hidden="1">
      <c r="A2261" s="82"/>
      <c r="B2261" s="65" t="s">
        <v>495</v>
      </c>
      <c r="C2261" s="65" t="s">
        <v>117</v>
      </c>
      <c r="D2261" s="65" t="str">
        <f>vlookup(C2261,'Classificação p pessoal'!F:G,2,false)</f>
        <v>NP</v>
      </c>
      <c r="E2261" s="65" t="s">
        <v>865</v>
      </c>
      <c r="F2261" s="83">
        <v>0.5208333333333334</v>
      </c>
      <c r="G2261" s="83">
        <v>0.5763888888888888</v>
      </c>
      <c r="H2261" s="83">
        <v>0.05555555555555555</v>
      </c>
      <c r="I2261" s="84">
        <v>44508.0</v>
      </c>
      <c r="J2261" s="65" t="b">
        <v>1</v>
      </c>
      <c r="K2261" s="65"/>
      <c r="L2261" s="85" t="b">
        <f>IF(VLOOKUP(C2261,Projetos!A:L,12,false)=TRUE,TRUE,FALSE)</f>
        <v>1</v>
      </c>
      <c r="M2261" s="74">
        <v>73.7079846079846</v>
      </c>
      <c r="N2261" s="74">
        <f t="shared" si="1"/>
        <v>98.27731281</v>
      </c>
      <c r="O2261" s="74" t="b">
        <v>1</v>
      </c>
    </row>
    <row r="2262" hidden="1">
      <c r="A2262" s="82"/>
      <c r="B2262" s="65" t="s">
        <v>495</v>
      </c>
      <c r="C2262" s="65" t="s">
        <v>117</v>
      </c>
      <c r="D2262" s="65" t="str">
        <f>vlookup(C2262,'Classificação p pessoal'!F:G,2,false)</f>
        <v>NP</v>
      </c>
      <c r="E2262" s="65" t="s">
        <v>1438</v>
      </c>
      <c r="F2262" s="83">
        <v>0.625</v>
      </c>
      <c r="G2262" s="83">
        <v>0.6979166666666666</v>
      </c>
      <c r="H2262" s="83">
        <v>0.07291666666666667</v>
      </c>
      <c r="I2262" s="84">
        <v>44508.0</v>
      </c>
      <c r="J2262" s="65" t="b">
        <v>1</v>
      </c>
      <c r="K2262" s="65"/>
      <c r="L2262" s="85" t="b">
        <f>IF(VLOOKUP(C2262,Projetos!A:L,12,false)=TRUE,TRUE,FALSE)</f>
        <v>1</v>
      </c>
      <c r="M2262" s="74">
        <v>73.7079846079846</v>
      </c>
      <c r="N2262" s="74">
        <f t="shared" si="1"/>
        <v>128.9889731</v>
      </c>
      <c r="O2262" s="74" t="b">
        <v>1</v>
      </c>
    </row>
    <row r="2263" hidden="1">
      <c r="A2263" s="82"/>
      <c r="B2263" s="65" t="s">
        <v>495</v>
      </c>
      <c r="C2263" s="65" t="s">
        <v>92</v>
      </c>
      <c r="D2263" s="65" t="str">
        <f>vlookup(C2263,'Classificação p pessoal'!F:G,2,false)</f>
        <v/>
      </c>
      <c r="E2263" s="65" t="s">
        <v>1439</v>
      </c>
      <c r="F2263" s="83">
        <v>0.71875</v>
      </c>
      <c r="G2263" s="83">
        <v>0.75</v>
      </c>
      <c r="H2263" s="83">
        <v>0.03125</v>
      </c>
      <c r="I2263" s="84">
        <v>44508.0</v>
      </c>
      <c r="J2263" s="65" t="b">
        <v>1</v>
      </c>
      <c r="K2263" s="65"/>
      <c r="L2263" s="85" t="b">
        <f>IF(VLOOKUP(C2263,Projetos!A:L,12,false)=TRUE,TRUE,FALSE)</f>
        <v>1</v>
      </c>
      <c r="M2263" s="74">
        <v>73.7079846079846</v>
      </c>
      <c r="N2263" s="74">
        <f t="shared" si="1"/>
        <v>55.28098846</v>
      </c>
      <c r="O2263" s="74" t="b">
        <v>1</v>
      </c>
    </row>
    <row r="2264" hidden="1">
      <c r="A2264" s="82"/>
      <c r="B2264" s="65" t="s">
        <v>495</v>
      </c>
      <c r="C2264" s="65" t="s">
        <v>117</v>
      </c>
      <c r="D2264" s="65" t="str">
        <f>vlookup(C2264,'Classificação p pessoal'!F:G,2,false)</f>
        <v>NP</v>
      </c>
      <c r="E2264" s="65" t="s">
        <v>1438</v>
      </c>
      <c r="F2264" s="83">
        <v>0.3333333333333333</v>
      </c>
      <c r="G2264" s="83">
        <v>0.4166666666666667</v>
      </c>
      <c r="H2264" s="83">
        <v>0.08333333333333333</v>
      </c>
      <c r="I2264" s="84">
        <v>44509.0</v>
      </c>
      <c r="J2264" s="65" t="b">
        <v>1</v>
      </c>
      <c r="K2264" s="65"/>
      <c r="L2264" s="85" t="b">
        <f>IF(VLOOKUP(C2264,Projetos!A:L,12,false)=TRUE,TRUE,FALSE)</f>
        <v>1</v>
      </c>
      <c r="M2264" s="74">
        <v>73.7079846079846</v>
      </c>
      <c r="N2264" s="74">
        <f t="shared" si="1"/>
        <v>147.4159692</v>
      </c>
      <c r="O2264" s="74" t="b">
        <v>1</v>
      </c>
    </row>
    <row r="2265" hidden="1">
      <c r="A2265" s="82"/>
      <c r="B2265" s="65" t="s">
        <v>495</v>
      </c>
      <c r="C2265" s="65" t="s">
        <v>130</v>
      </c>
      <c r="D2265" s="65" t="str">
        <f>vlookup(C2265,'Classificação p pessoal'!F:G,2,false)</f>
        <v>NP</v>
      </c>
      <c r="E2265" s="65" t="s">
        <v>1440</v>
      </c>
      <c r="F2265" s="83">
        <v>0.4166666666666667</v>
      </c>
      <c r="G2265" s="83">
        <v>0.4375</v>
      </c>
      <c r="H2265" s="83">
        <v>0.020833333333333332</v>
      </c>
      <c r="I2265" s="84">
        <v>44509.0</v>
      </c>
      <c r="J2265" s="65" t="b">
        <v>1</v>
      </c>
      <c r="K2265" s="65"/>
      <c r="L2265" s="85" t="b">
        <f>IF(VLOOKUP(C2265,Projetos!A:L,12,false)=TRUE,TRUE,FALSE)</f>
        <v>1</v>
      </c>
      <c r="M2265" s="74">
        <v>73.7079846079846</v>
      </c>
      <c r="N2265" s="74">
        <f t="shared" si="1"/>
        <v>36.8539923</v>
      </c>
      <c r="O2265" s="74" t="b">
        <v>1</v>
      </c>
    </row>
    <row r="2266" hidden="1">
      <c r="A2266" s="82"/>
      <c r="B2266" s="65" t="s">
        <v>495</v>
      </c>
      <c r="C2266" s="65" t="s">
        <v>130</v>
      </c>
      <c r="D2266" s="65" t="str">
        <f>vlookup(C2266,'Classificação p pessoal'!F:G,2,false)</f>
        <v>NP</v>
      </c>
      <c r="E2266" s="65" t="s">
        <v>1441</v>
      </c>
      <c r="F2266" s="83">
        <v>0.4375</v>
      </c>
      <c r="G2266" s="83">
        <v>0.5</v>
      </c>
      <c r="H2266" s="83">
        <v>0.0625</v>
      </c>
      <c r="I2266" s="84">
        <v>44509.0</v>
      </c>
      <c r="J2266" s="65" t="b">
        <v>1</v>
      </c>
      <c r="K2266" s="65"/>
      <c r="L2266" s="85" t="b">
        <f>IF(VLOOKUP(C2266,Projetos!A:L,12,false)=TRUE,TRUE,FALSE)</f>
        <v>1</v>
      </c>
      <c r="M2266" s="74">
        <v>73.7079846079846</v>
      </c>
      <c r="N2266" s="74">
        <f t="shared" si="1"/>
        <v>110.5619769</v>
      </c>
      <c r="O2266" s="74" t="b">
        <v>1</v>
      </c>
    </row>
    <row r="2267" hidden="1">
      <c r="A2267" s="82"/>
      <c r="B2267" s="65" t="s">
        <v>495</v>
      </c>
      <c r="C2267" s="65" t="s">
        <v>117</v>
      </c>
      <c r="D2267" s="65" t="str">
        <f>vlookup(C2267,'Classificação p pessoal'!F:G,2,false)</f>
        <v>NP</v>
      </c>
      <c r="E2267" s="65" t="s">
        <v>1442</v>
      </c>
      <c r="F2267" s="83">
        <v>0.5</v>
      </c>
      <c r="G2267" s="83">
        <v>0.5833333333333334</v>
      </c>
      <c r="H2267" s="83">
        <v>0.08333333333333333</v>
      </c>
      <c r="I2267" s="84">
        <v>44509.0</v>
      </c>
      <c r="J2267" s="65" t="b">
        <v>1</v>
      </c>
      <c r="K2267" s="65"/>
      <c r="L2267" s="85" t="b">
        <f>IF(VLOOKUP(C2267,Projetos!A:L,12,false)=TRUE,TRUE,FALSE)</f>
        <v>1</v>
      </c>
      <c r="M2267" s="74">
        <v>73.7079846079846</v>
      </c>
      <c r="N2267" s="74">
        <f t="shared" si="1"/>
        <v>147.4159692</v>
      </c>
      <c r="O2267" s="74" t="b">
        <v>1</v>
      </c>
    </row>
    <row r="2268" hidden="1">
      <c r="A2268" s="82"/>
      <c r="B2268" s="65" t="s">
        <v>495</v>
      </c>
      <c r="C2268" s="65" t="s">
        <v>117</v>
      </c>
      <c r="D2268" s="65" t="str">
        <f>vlookup(C2268,'Classificação p pessoal'!F:G,2,false)</f>
        <v>NP</v>
      </c>
      <c r="E2268" s="65" t="s">
        <v>1443</v>
      </c>
      <c r="F2268" s="83">
        <v>0.625</v>
      </c>
      <c r="G2268" s="83">
        <v>0.65625</v>
      </c>
      <c r="H2268" s="83">
        <v>0.03125</v>
      </c>
      <c r="I2268" s="84">
        <v>44509.0</v>
      </c>
      <c r="J2268" s="65" t="b">
        <v>1</v>
      </c>
      <c r="K2268" s="65"/>
      <c r="L2268" s="85" t="b">
        <f>IF(VLOOKUP(C2268,Projetos!A:L,12,false)=TRUE,TRUE,FALSE)</f>
        <v>1</v>
      </c>
      <c r="M2268" s="74">
        <v>73.7079846079846</v>
      </c>
      <c r="N2268" s="74">
        <f t="shared" si="1"/>
        <v>55.28098846</v>
      </c>
      <c r="O2268" s="74" t="b">
        <v>1</v>
      </c>
    </row>
    <row r="2269" hidden="1">
      <c r="A2269" s="82"/>
      <c r="B2269" s="65" t="s">
        <v>495</v>
      </c>
      <c r="C2269" s="65" t="s">
        <v>92</v>
      </c>
      <c r="D2269" s="65" t="str">
        <f>vlookup(C2269,'Classificação p pessoal'!F:G,2,false)</f>
        <v/>
      </c>
      <c r="E2269" s="65" t="s">
        <v>1444</v>
      </c>
      <c r="F2269" s="83">
        <v>0.6666666666666666</v>
      </c>
      <c r="G2269" s="83">
        <v>0.6979166666666666</v>
      </c>
      <c r="H2269" s="83">
        <v>0.03125</v>
      </c>
      <c r="I2269" s="84">
        <v>44509.0</v>
      </c>
      <c r="J2269" s="65" t="b">
        <v>1</v>
      </c>
      <c r="K2269" s="65"/>
      <c r="L2269" s="85" t="b">
        <f>IF(VLOOKUP(C2269,Projetos!A:L,12,false)=TRUE,TRUE,FALSE)</f>
        <v>1</v>
      </c>
      <c r="M2269" s="74">
        <v>73.7079846079846</v>
      </c>
      <c r="N2269" s="74">
        <f t="shared" si="1"/>
        <v>55.28098846</v>
      </c>
      <c r="O2269" s="74" t="b">
        <v>1</v>
      </c>
    </row>
    <row r="2270" hidden="1">
      <c r="A2270" s="82"/>
      <c r="B2270" s="65" t="s">
        <v>495</v>
      </c>
      <c r="C2270" s="65" t="s">
        <v>92</v>
      </c>
      <c r="D2270" s="65" t="str">
        <f>vlookup(C2270,'Classificação p pessoal'!F:G,2,false)</f>
        <v/>
      </c>
      <c r="E2270" s="65" t="s">
        <v>1439</v>
      </c>
      <c r="F2270" s="83">
        <v>0.71875</v>
      </c>
      <c r="G2270" s="83">
        <v>0.75</v>
      </c>
      <c r="H2270" s="83">
        <v>0.03125</v>
      </c>
      <c r="I2270" s="84">
        <v>44509.0</v>
      </c>
      <c r="J2270" s="65" t="b">
        <v>1</v>
      </c>
      <c r="K2270" s="65"/>
      <c r="L2270" s="85" t="b">
        <f>IF(VLOOKUP(C2270,Projetos!A:L,12,false)=TRUE,TRUE,FALSE)</f>
        <v>1</v>
      </c>
      <c r="M2270" s="74">
        <v>73.7079846079846</v>
      </c>
      <c r="N2270" s="74">
        <f t="shared" si="1"/>
        <v>55.28098846</v>
      </c>
      <c r="O2270" s="74" t="b">
        <v>1</v>
      </c>
    </row>
    <row r="2271" hidden="1">
      <c r="A2271" s="82"/>
      <c r="B2271" s="65" t="s">
        <v>495</v>
      </c>
      <c r="C2271" s="65" t="s">
        <v>92</v>
      </c>
      <c r="D2271" s="65" t="str">
        <f>vlookup(C2271,'Classificação p pessoal'!F:G,2,false)</f>
        <v/>
      </c>
      <c r="E2271" s="65" t="s">
        <v>1442</v>
      </c>
      <c r="F2271" s="83">
        <v>0.34375</v>
      </c>
      <c r="G2271" s="83">
        <v>0.4375</v>
      </c>
      <c r="H2271" s="83">
        <v>0.09375</v>
      </c>
      <c r="I2271" s="84">
        <v>44510.0</v>
      </c>
      <c r="J2271" s="65" t="b">
        <v>1</v>
      </c>
      <c r="K2271" s="65"/>
      <c r="L2271" s="85" t="b">
        <f>IF(VLOOKUP(C2271,Projetos!A:L,12,false)=TRUE,TRUE,FALSE)</f>
        <v>1</v>
      </c>
      <c r="M2271" s="74">
        <v>73.7079846079846</v>
      </c>
      <c r="N2271" s="74">
        <f t="shared" si="1"/>
        <v>165.8429654</v>
      </c>
      <c r="O2271" s="74" t="b">
        <v>1</v>
      </c>
    </row>
    <row r="2272" hidden="1">
      <c r="A2272" s="82"/>
      <c r="B2272" s="65" t="s">
        <v>411</v>
      </c>
      <c r="C2272" s="65" t="s">
        <v>117</v>
      </c>
      <c r="D2272" s="65" t="str">
        <f>vlookup(C2272,'Classificação p pessoal'!F:G,2,false)</f>
        <v>NP</v>
      </c>
      <c r="E2272" s="65" t="s">
        <v>1445</v>
      </c>
      <c r="F2272" s="83">
        <v>0.6875</v>
      </c>
      <c r="G2272" s="83">
        <v>0.75</v>
      </c>
      <c r="H2272" s="83">
        <v>0.0625</v>
      </c>
      <c r="I2272" s="84">
        <v>44503.0</v>
      </c>
      <c r="J2272" s="65" t="b">
        <v>1</v>
      </c>
      <c r="K2272" s="65"/>
      <c r="L2272" s="85" t="b">
        <f>IF(VLOOKUP(C2272,Projetos!A:L,12,false)=TRUE,TRUE,FALSE)</f>
        <v>1</v>
      </c>
      <c r="M2272" s="74">
        <v>52.48434411075036</v>
      </c>
      <c r="N2272" s="74">
        <f t="shared" si="1"/>
        <v>78.72651617</v>
      </c>
      <c r="O2272" s="74" t="b">
        <v>1</v>
      </c>
    </row>
    <row r="2273" hidden="1">
      <c r="A2273" s="82"/>
      <c r="B2273" s="65" t="s">
        <v>495</v>
      </c>
      <c r="C2273" s="65" t="s">
        <v>92</v>
      </c>
      <c r="D2273" s="65" t="str">
        <f>vlookup(C2273,'Classificação p pessoal'!F:G,2,false)</f>
        <v/>
      </c>
      <c r="E2273" s="65" t="s">
        <v>1446</v>
      </c>
      <c r="F2273" s="83">
        <v>0.34375</v>
      </c>
      <c r="G2273" s="83">
        <v>0.5</v>
      </c>
      <c r="H2273" s="83">
        <v>0.15625</v>
      </c>
      <c r="I2273" s="84">
        <v>44511.0</v>
      </c>
      <c r="J2273" s="65" t="b">
        <v>1</v>
      </c>
      <c r="K2273" s="65"/>
      <c r="L2273" s="85" t="b">
        <f>IF(VLOOKUP(C2273,Projetos!A:L,12,false)=TRUE,TRUE,FALSE)</f>
        <v>1</v>
      </c>
      <c r="M2273" s="74">
        <v>73.7079846079846</v>
      </c>
      <c r="N2273" s="74">
        <f t="shared" si="1"/>
        <v>276.4049423</v>
      </c>
      <c r="O2273" s="74" t="b">
        <v>1</v>
      </c>
    </row>
    <row r="2274" hidden="1">
      <c r="A2274" s="82"/>
      <c r="B2274" s="65" t="s">
        <v>495</v>
      </c>
      <c r="C2274" s="65" t="s">
        <v>92</v>
      </c>
      <c r="D2274" s="65"/>
      <c r="E2274" s="65" t="s">
        <v>1447</v>
      </c>
      <c r="F2274" s="83">
        <v>0.5625</v>
      </c>
      <c r="G2274" s="83">
        <v>0.8125</v>
      </c>
      <c r="H2274" s="83">
        <v>0.25</v>
      </c>
      <c r="I2274" s="84">
        <v>44511.0</v>
      </c>
      <c r="J2274" s="65" t="b">
        <v>0</v>
      </c>
      <c r="K2274" s="65" t="s">
        <v>150</v>
      </c>
      <c r="L2274" s="85" t="b">
        <f>IF(VLOOKUP(C2274,Projetos!A:L,12,false)=TRUE,TRUE,FALSE)</f>
        <v>1</v>
      </c>
      <c r="M2274" s="74">
        <v>73.7079846079846</v>
      </c>
      <c r="N2274" s="74">
        <f t="shared" si="1"/>
        <v>0</v>
      </c>
      <c r="O2274" s="74" t="b">
        <v>1</v>
      </c>
    </row>
    <row r="2275" hidden="1">
      <c r="A2275" s="82"/>
      <c r="B2275" s="65" t="s">
        <v>495</v>
      </c>
      <c r="C2275" s="65" t="s">
        <v>92</v>
      </c>
      <c r="D2275" s="65" t="str">
        <f>vlookup(C2275,'Classificação p pessoal'!F:G,2,false)</f>
        <v/>
      </c>
      <c r="E2275" s="65" t="s">
        <v>1448</v>
      </c>
      <c r="F2275" s="83">
        <v>0.53125</v>
      </c>
      <c r="G2275" s="83">
        <v>0.65625</v>
      </c>
      <c r="H2275" s="83">
        <v>0.125</v>
      </c>
      <c r="I2275" s="84">
        <v>44512.0</v>
      </c>
      <c r="J2275" s="65" t="b">
        <v>1</v>
      </c>
      <c r="K2275" s="65"/>
      <c r="L2275" s="85" t="b">
        <f>IF(VLOOKUP(C2275,Projetos!A:L,12,false)=TRUE,TRUE,FALSE)</f>
        <v>1</v>
      </c>
      <c r="M2275" s="74">
        <v>73.7079846079846</v>
      </c>
      <c r="N2275" s="74">
        <f t="shared" si="1"/>
        <v>221.1239538</v>
      </c>
      <c r="O2275" s="74" t="b">
        <v>1</v>
      </c>
    </row>
    <row r="2276" hidden="1">
      <c r="A2276" s="82"/>
      <c r="B2276" s="65" t="s">
        <v>495</v>
      </c>
      <c r="C2276" s="65" t="s">
        <v>117</v>
      </c>
      <c r="D2276" s="65" t="str">
        <f>vlookup(C2276,'Classificação p pessoal'!F:G,2,false)</f>
        <v>NP</v>
      </c>
      <c r="E2276" s="65" t="s">
        <v>1449</v>
      </c>
      <c r="F2276" s="83">
        <v>0.65625</v>
      </c>
      <c r="G2276" s="83">
        <v>0.6770833333333334</v>
      </c>
      <c r="H2276" s="83">
        <v>0.020833333333333332</v>
      </c>
      <c r="I2276" s="84">
        <v>44512.0</v>
      </c>
      <c r="J2276" s="65" t="b">
        <v>1</v>
      </c>
      <c r="K2276" s="65"/>
      <c r="L2276" s="85" t="b">
        <f>IF(VLOOKUP(C2276,Projetos!A:L,12,false)=TRUE,TRUE,FALSE)</f>
        <v>1</v>
      </c>
      <c r="M2276" s="74">
        <v>73.7079846079846</v>
      </c>
      <c r="N2276" s="74">
        <f t="shared" si="1"/>
        <v>36.8539923</v>
      </c>
      <c r="O2276" s="74" t="b">
        <v>1</v>
      </c>
    </row>
    <row r="2277" hidden="1">
      <c r="A2277" s="82"/>
      <c r="B2277" s="65" t="s">
        <v>495</v>
      </c>
      <c r="C2277" s="65" t="s">
        <v>117</v>
      </c>
      <c r="D2277" s="65" t="str">
        <f>vlookup(C2277,'Classificação p pessoal'!F:G,2,false)</f>
        <v>NP</v>
      </c>
      <c r="E2277" s="65" t="s">
        <v>1442</v>
      </c>
      <c r="F2277" s="83">
        <v>0.6770833333333334</v>
      </c>
      <c r="G2277" s="83">
        <v>0.75</v>
      </c>
      <c r="H2277" s="83">
        <v>0.07291666666666667</v>
      </c>
      <c r="I2277" s="84">
        <v>44512.0</v>
      </c>
      <c r="J2277" s="65" t="b">
        <v>1</v>
      </c>
      <c r="K2277" s="65"/>
      <c r="L2277" s="85" t="b">
        <f>IF(VLOOKUP(C2277,Projetos!A:L,12,false)=TRUE,TRUE,FALSE)</f>
        <v>1</v>
      </c>
      <c r="M2277" s="74">
        <v>73.7079846079846</v>
      </c>
      <c r="N2277" s="74">
        <f t="shared" si="1"/>
        <v>128.9889731</v>
      </c>
      <c r="O2277" s="74" t="b">
        <v>1</v>
      </c>
    </row>
    <row r="2278" hidden="1">
      <c r="A2278" s="82"/>
      <c r="B2278" s="65" t="s">
        <v>495</v>
      </c>
      <c r="C2278" s="65" t="s">
        <v>117</v>
      </c>
      <c r="D2278" s="65" t="str">
        <f>vlookup(C2278,'Classificação p pessoal'!F:G,2,false)</f>
        <v>NP</v>
      </c>
      <c r="E2278" s="65" t="s">
        <v>1442</v>
      </c>
      <c r="F2278" s="83">
        <v>0.3263888888888889</v>
      </c>
      <c r="G2278" s="83">
        <v>0.4444444444444444</v>
      </c>
      <c r="H2278" s="83">
        <v>0.11805555555555555</v>
      </c>
      <c r="I2278" s="84">
        <v>44516.0</v>
      </c>
      <c r="J2278" s="65" t="b">
        <v>1</v>
      </c>
      <c r="K2278" s="65"/>
      <c r="L2278" s="85" t="b">
        <f>IF(VLOOKUP(C2278,Projetos!A:L,12,false)=TRUE,TRUE,FALSE)</f>
        <v>1</v>
      </c>
      <c r="M2278" s="74">
        <v>73.7079846079846</v>
      </c>
      <c r="N2278" s="74">
        <f t="shared" si="1"/>
        <v>208.8392897</v>
      </c>
      <c r="O2278" s="74" t="b">
        <v>1</v>
      </c>
    </row>
    <row r="2279" hidden="1">
      <c r="A2279" s="82"/>
      <c r="B2279" s="65" t="s">
        <v>495</v>
      </c>
      <c r="C2279" s="65" t="s">
        <v>92</v>
      </c>
      <c r="D2279" s="65" t="str">
        <f>vlookup(C2279,'Classificação p pessoal'!F:G,2,false)</f>
        <v/>
      </c>
      <c r="E2279" s="65" t="s">
        <v>1450</v>
      </c>
      <c r="F2279" s="83">
        <v>0.4513888888888889</v>
      </c>
      <c r="G2279" s="83">
        <v>0.5729166666666666</v>
      </c>
      <c r="H2279" s="83">
        <v>0.12152777777777778</v>
      </c>
      <c r="I2279" s="84">
        <v>44516.0</v>
      </c>
      <c r="J2279" s="65" t="b">
        <v>1</v>
      </c>
      <c r="K2279" s="65"/>
      <c r="L2279" s="85" t="b">
        <f>IF(VLOOKUP(C2279,Projetos!A:L,12,false)=TRUE,TRUE,FALSE)</f>
        <v>1</v>
      </c>
      <c r="M2279" s="74">
        <v>73.7079846079846</v>
      </c>
      <c r="N2279" s="74">
        <f t="shared" si="1"/>
        <v>214.9816218</v>
      </c>
      <c r="O2279" s="74" t="b">
        <v>1</v>
      </c>
    </row>
    <row r="2280" hidden="1">
      <c r="A2280" s="82"/>
      <c r="B2280" s="65" t="s">
        <v>495</v>
      </c>
      <c r="C2280" s="65" t="s">
        <v>92</v>
      </c>
      <c r="D2280" s="65"/>
      <c r="E2280" s="65" t="s">
        <v>1451</v>
      </c>
      <c r="F2280" s="83">
        <v>0.625</v>
      </c>
      <c r="G2280" s="83">
        <v>0.6944444444444444</v>
      </c>
      <c r="H2280" s="83">
        <v>0.06944444444444445</v>
      </c>
      <c r="I2280" s="84">
        <v>44516.0</v>
      </c>
      <c r="J2280" s="65" t="b">
        <v>0</v>
      </c>
      <c r="K2280" s="65" t="s">
        <v>150</v>
      </c>
      <c r="L2280" s="85" t="b">
        <f>IF(VLOOKUP(C2280,Projetos!A:L,12,false)=TRUE,TRUE,FALSE)</f>
        <v>1</v>
      </c>
      <c r="M2280" s="74">
        <v>73.7079846079846</v>
      </c>
      <c r="N2280" s="74">
        <f t="shared" si="1"/>
        <v>0</v>
      </c>
      <c r="O2280" s="74" t="b">
        <v>1</v>
      </c>
    </row>
    <row r="2281" hidden="1">
      <c r="A2281" s="82"/>
      <c r="B2281" s="65" t="s">
        <v>495</v>
      </c>
      <c r="C2281" s="65" t="s">
        <v>92</v>
      </c>
      <c r="D2281" s="65"/>
      <c r="E2281" s="65" t="s">
        <v>1452</v>
      </c>
      <c r="F2281" s="83">
        <v>0.7152777777777778</v>
      </c>
      <c r="G2281" s="83">
        <v>0.75</v>
      </c>
      <c r="H2281" s="83">
        <v>0.034722222222222224</v>
      </c>
      <c r="I2281" s="84">
        <v>44516.0</v>
      </c>
      <c r="J2281" s="65" t="b">
        <v>0</v>
      </c>
      <c r="K2281" s="65" t="s">
        <v>150</v>
      </c>
      <c r="L2281" s="85" t="b">
        <f>IF(VLOOKUP(C2281,Projetos!A:L,12,false)=TRUE,TRUE,FALSE)</f>
        <v>1</v>
      </c>
      <c r="M2281" s="74">
        <v>73.7079846079846</v>
      </c>
      <c r="N2281" s="74">
        <f t="shared" si="1"/>
        <v>0</v>
      </c>
      <c r="O2281" s="74" t="b">
        <v>1</v>
      </c>
    </row>
    <row r="2282" hidden="1">
      <c r="A2282" s="82"/>
      <c r="B2282" s="65" t="s">
        <v>495</v>
      </c>
      <c r="C2282" s="65" t="s">
        <v>92</v>
      </c>
      <c r="D2282" s="65" t="str">
        <f>vlookup(C2282,'Classificação p pessoal'!F:G,2,false)</f>
        <v/>
      </c>
      <c r="E2282" s="65" t="s">
        <v>1453</v>
      </c>
      <c r="F2282" s="83">
        <v>0.3506944444444444</v>
      </c>
      <c r="G2282" s="83">
        <v>0.4583333333333333</v>
      </c>
      <c r="H2282" s="83">
        <v>0.1076388888888889</v>
      </c>
      <c r="I2282" s="84">
        <v>44517.0</v>
      </c>
      <c r="J2282" s="65" t="b">
        <v>1</v>
      </c>
      <c r="K2282" s="65"/>
      <c r="L2282" s="85" t="b">
        <f>IF(VLOOKUP(C2282,Projetos!A:L,12,false)=TRUE,TRUE,FALSE)</f>
        <v>1</v>
      </c>
      <c r="M2282" s="74">
        <v>73.7079846079846</v>
      </c>
      <c r="N2282" s="74">
        <f t="shared" si="1"/>
        <v>190.4122936</v>
      </c>
      <c r="O2282" s="74" t="b">
        <v>1</v>
      </c>
    </row>
    <row r="2283" hidden="1">
      <c r="A2283" s="82"/>
      <c r="B2283" s="65" t="s">
        <v>495</v>
      </c>
      <c r="C2283" s="65" t="s">
        <v>117</v>
      </c>
      <c r="D2283" s="65" t="str">
        <f>vlookup(C2283,'Classificação p pessoal'!F:G,2,false)</f>
        <v>NP</v>
      </c>
      <c r="E2283" s="65" t="s">
        <v>1454</v>
      </c>
      <c r="F2283" s="83">
        <v>0.4583333333333333</v>
      </c>
      <c r="G2283" s="83">
        <v>0.5208333333333334</v>
      </c>
      <c r="H2283" s="83">
        <v>0.0625</v>
      </c>
      <c r="I2283" s="84">
        <v>44517.0</v>
      </c>
      <c r="J2283" s="65" t="b">
        <v>1</v>
      </c>
      <c r="K2283" s="65"/>
      <c r="L2283" s="85" t="b">
        <f>IF(VLOOKUP(C2283,Projetos!A:L,12,false)=TRUE,TRUE,FALSE)</f>
        <v>1</v>
      </c>
      <c r="M2283" s="74">
        <v>73.7079846079846</v>
      </c>
      <c r="N2283" s="74">
        <f t="shared" si="1"/>
        <v>110.5619769</v>
      </c>
      <c r="O2283" s="74" t="b">
        <v>1</v>
      </c>
    </row>
    <row r="2284" hidden="1">
      <c r="A2284" s="82"/>
      <c r="B2284" s="65" t="s">
        <v>495</v>
      </c>
      <c r="C2284" s="65" t="s">
        <v>92</v>
      </c>
      <c r="D2284" s="65" t="str">
        <f>vlookup(C2284,'Classificação p pessoal'!F:G,2,false)</f>
        <v/>
      </c>
      <c r="E2284" s="65" t="s">
        <v>1455</v>
      </c>
      <c r="F2284" s="83">
        <v>0.5798611111111112</v>
      </c>
      <c r="G2284" s="83">
        <v>0.6215277777777778</v>
      </c>
      <c r="H2284" s="83">
        <v>0.041666666666666664</v>
      </c>
      <c r="I2284" s="84">
        <v>44517.0</v>
      </c>
      <c r="J2284" s="65" t="b">
        <v>1</v>
      </c>
      <c r="K2284" s="65"/>
      <c r="L2284" s="85" t="b">
        <f>IF(VLOOKUP(C2284,Projetos!A:L,12,false)=TRUE,TRUE,FALSE)</f>
        <v>1</v>
      </c>
      <c r="M2284" s="74">
        <v>73.7079846079846</v>
      </c>
      <c r="N2284" s="74">
        <f t="shared" si="1"/>
        <v>73.70798461</v>
      </c>
      <c r="O2284" s="74" t="b">
        <v>1</v>
      </c>
    </row>
    <row r="2285" hidden="1">
      <c r="A2285" s="82"/>
      <c r="B2285" s="65" t="s">
        <v>495</v>
      </c>
      <c r="C2285" s="65" t="s">
        <v>92</v>
      </c>
      <c r="D2285" s="65" t="str">
        <f>vlookup(C2285,'Classificação p pessoal'!F:G,2,false)</f>
        <v/>
      </c>
      <c r="E2285" s="65" t="s">
        <v>1043</v>
      </c>
      <c r="F2285" s="83">
        <v>0.6215277777777778</v>
      </c>
      <c r="G2285" s="83">
        <v>0.6944444444444444</v>
      </c>
      <c r="H2285" s="83">
        <v>0.07291666666666667</v>
      </c>
      <c r="I2285" s="84">
        <v>44517.0</v>
      </c>
      <c r="J2285" s="65" t="b">
        <v>1</v>
      </c>
      <c r="K2285" s="65"/>
      <c r="L2285" s="85" t="b">
        <f>IF(VLOOKUP(C2285,Projetos!A:L,12,false)=TRUE,TRUE,FALSE)</f>
        <v>1</v>
      </c>
      <c r="M2285" s="74">
        <v>73.7079846079846</v>
      </c>
      <c r="N2285" s="74">
        <f t="shared" si="1"/>
        <v>128.9889731</v>
      </c>
      <c r="O2285" s="74" t="b">
        <v>1</v>
      </c>
    </row>
    <row r="2286" hidden="1">
      <c r="A2286" s="82"/>
      <c r="B2286" s="65" t="s">
        <v>495</v>
      </c>
      <c r="C2286" s="65" t="s">
        <v>117</v>
      </c>
      <c r="D2286" s="65" t="str">
        <f>vlookup(C2286,'Classificação p pessoal'!F:G,2,false)</f>
        <v>NP</v>
      </c>
      <c r="E2286" s="65" t="s">
        <v>1456</v>
      </c>
      <c r="F2286" s="83">
        <v>0.71875</v>
      </c>
      <c r="G2286" s="83">
        <v>0.7395833333333334</v>
      </c>
      <c r="H2286" s="83">
        <v>0.020833333333333332</v>
      </c>
      <c r="I2286" s="84">
        <v>44517.0</v>
      </c>
      <c r="J2286" s="65" t="b">
        <v>1</v>
      </c>
      <c r="K2286" s="65"/>
      <c r="L2286" s="85" t="b">
        <f>IF(VLOOKUP(C2286,Projetos!A:L,12,false)=TRUE,TRUE,FALSE)</f>
        <v>1</v>
      </c>
      <c r="M2286" s="74">
        <v>73.7079846079846</v>
      </c>
      <c r="N2286" s="74">
        <f t="shared" si="1"/>
        <v>36.8539923</v>
      </c>
      <c r="O2286" s="74" t="b">
        <v>1</v>
      </c>
    </row>
    <row r="2287" hidden="1">
      <c r="A2287" s="82"/>
      <c r="B2287" s="65" t="s">
        <v>495</v>
      </c>
      <c r="C2287" s="65" t="s">
        <v>117</v>
      </c>
      <c r="D2287" s="65" t="str">
        <f>vlookup(C2287,'Classificação p pessoal'!F:G,2,false)</f>
        <v>NP</v>
      </c>
      <c r="E2287" s="65" t="s">
        <v>1457</v>
      </c>
      <c r="F2287" s="83">
        <v>0.7395833333333334</v>
      </c>
      <c r="G2287" s="83">
        <v>0.75</v>
      </c>
      <c r="H2287" s="83">
        <v>0.010416666666666666</v>
      </c>
      <c r="I2287" s="84">
        <v>44517.0</v>
      </c>
      <c r="J2287" s="65" t="b">
        <v>1</v>
      </c>
      <c r="K2287" s="65"/>
      <c r="L2287" s="85" t="b">
        <f>IF(VLOOKUP(C2287,Projetos!A:L,12,false)=TRUE,TRUE,FALSE)</f>
        <v>1</v>
      </c>
      <c r="M2287" s="74">
        <v>73.7079846079846</v>
      </c>
      <c r="N2287" s="74">
        <f t="shared" si="1"/>
        <v>18.42699615</v>
      </c>
      <c r="O2287" s="74" t="b">
        <v>1</v>
      </c>
    </row>
    <row r="2288" hidden="1">
      <c r="A2288" s="82"/>
      <c r="B2288" s="65" t="s">
        <v>495</v>
      </c>
      <c r="C2288" s="65" t="s">
        <v>92</v>
      </c>
      <c r="D2288" s="65"/>
      <c r="E2288" s="65" t="s">
        <v>1458</v>
      </c>
      <c r="F2288" s="83">
        <v>0.5138888888888888</v>
      </c>
      <c r="G2288" s="83">
        <v>0.5833333333333334</v>
      </c>
      <c r="H2288" s="83">
        <v>0.06944444444444445</v>
      </c>
      <c r="I2288" s="84">
        <v>44497.0</v>
      </c>
      <c r="J2288" s="65" t="b">
        <v>0</v>
      </c>
      <c r="K2288" s="65"/>
      <c r="L2288" s="85" t="b">
        <f>IF(VLOOKUP(C2288,Projetos!A:L,12,false)=TRUE,TRUE,FALSE)</f>
        <v>1</v>
      </c>
      <c r="M2288" s="74">
        <v>73.7079846079846</v>
      </c>
      <c r="N2288" s="74">
        <f t="shared" si="1"/>
        <v>0</v>
      </c>
      <c r="O2288" s="74" t="b">
        <v>1</v>
      </c>
    </row>
    <row r="2289" hidden="1">
      <c r="A2289" s="82"/>
      <c r="B2289" s="65" t="s">
        <v>495</v>
      </c>
      <c r="C2289" s="65" t="s">
        <v>92</v>
      </c>
      <c r="D2289" s="65" t="str">
        <f>vlookup(C2289,'Classificação p pessoal'!F:G,2,false)</f>
        <v/>
      </c>
      <c r="E2289" s="65" t="s">
        <v>1459</v>
      </c>
      <c r="F2289" s="83">
        <v>0.4375</v>
      </c>
      <c r="G2289" s="83">
        <v>0.4895833333333333</v>
      </c>
      <c r="H2289" s="83">
        <v>0.052083333333333336</v>
      </c>
      <c r="I2289" s="84">
        <v>44518.0</v>
      </c>
      <c r="J2289" s="65" t="b">
        <v>1</v>
      </c>
      <c r="K2289" s="65"/>
      <c r="L2289" s="85" t="b">
        <f>IF(VLOOKUP(C2289,Projetos!A:L,12,false)=TRUE,TRUE,FALSE)</f>
        <v>1</v>
      </c>
      <c r="M2289" s="74">
        <v>73.7079846079846</v>
      </c>
      <c r="N2289" s="74">
        <f t="shared" si="1"/>
        <v>92.13498076</v>
      </c>
      <c r="O2289" s="74" t="b">
        <v>1</v>
      </c>
    </row>
    <row r="2290" hidden="1">
      <c r="A2290" s="82"/>
      <c r="B2290" s="65" t="s">
        <v>495</v>
      </c>
      <c r="C2290" s="65" t="s">
        <v>92</v>
      </c>
      <c r="D2290" s="65"/>
      <c r="E2290" s="65" t="s">
        <v>1460</v>
      </c>
      <c r="F2290" s="83">
        <v>0.4895833333333333</v>
      </c>
      <c r="G2290" s="83">
        <v>0.5798611111111112</v>
      </c>
      <c r="H2290" s="83">
        <v>0.09027777777777778</v>
      </c>
      <c r="I2290" s="84">
        <v>44518.0</v>
      </c>
      <c r="J2290" s="65" t="b">
        <v>0</v>
      </c>
      <c r="K2290" s="65" t="s">
        <v>150</v>
      </c>
      <c r="L2290" s="85" t="b">
        <f>IF(VLOOKUP(C2290,Projetos!A:L,12,false)=TRUE,TRUE,FALSE)</f>
        <v>1</v>
      </c>
      <c r="M2290" s="74">
        <v>73.7079846079846</v>
      </c>
      <c r="N2290" s="74">
        <f t="shared" si="1"/>
        <v>0</v>
      </c>
      <c r="O2290" s="74" t="b">
        <v>1</v>
      </c>
    </row>
    <row r="2291" hidden="1">
      <c r="A2291" s="82"/>
      <c r="B2291" s="65" t="s">
        <v>495</v>
      </c>
      <c r="C2291" s="65" t="s">
        <v>92</v>
      </c>
      <c r="D2291" s="65" t="str">
        <f>vlookup(C2291,'Classificação p pessoal'!F:G,2,false)</f>
        <v/>
      </c>
      <c r="E2291" s="65" t="s">
        <v>1461</v>
      </c>
      <c r="F2291" s="83">
        <v>0.625</v>
      </c>
      <c r="G2291" s="83">
        <v>0.6666666666666666</v>
      </c>
      <c r="H2291" s="83">
        <v>0.041666666666666664</v>
      </c>
      <c r="I2291" s="84">
        <v>44518.0</v>
      </c>
      <c r="J2291" s="65" t="b">
        <v>1</v>
      </c>
      <c r="K2291" s="65"/>
      <c r="L2291" s="85" t="b">
        <f>IF(VLOOKUP(C2291,Projetos!A:L,12,false)=TRUE,TRUE,FALSE)</f>
        <v>1</v>
      </c>
      <c r="M2291" s="74">
        <v>73.7079846079846</v>
      </c>
      <c r="N2291" s="74">
        <f t="shared" si="1"/>
        <v>73.70798461</v>
      </c>
      <c r="O2291" s="74" t="b">
        <v>1</v>
      </c>
    </row>
    <row r="2292" hidden="1">
      <c r="A2292" s="82"/>
      <c r="B2292" s="65" t="s">
        <v>495</v>
      </c>
      <c r="C2292" s="65" t="s">
        <v>117</v>
      </c>
      <c r="D2292" s="65" t="str">
        <f>vlookup(C2292,'Classificação p pessoal'!F:G,2,false)</f>
        <v>NP</v>
      </c>
      <c r="E2292" s="65" t="s">
        <v>865</v>
      </c>
      <c r="F2292" s="83">
        <v>0.6666666666666666</v>
      </c>
      <c r="G2292" s="83">
        <v>0.6979166666666666</v>
      </c>
      <c r="H2292" s="83">
        <v>0.03125</v>
      </c>
      <c r="I2292" s="84">
        <v>44518.0</v>
      </c>
      <c r="J2292" s="65" t="b">
        <v>1</v>
      </c>
      <c r="K2292" s="65"/>
      <c r="L2292" s="85" t="b">
        <f>IF(VLOOKUP(C2292,Projetos!A:L,12,false)=TRUE,TRUE,FALSE)</f>
        <v>1</v>
      </c>
      <c r="M2292" s="74">
        <v>73.7079846079846</v>
      </c>
      <c r="N2292" s="74">
        <f t="shared" si="1"/>
        <v>55.28098846</v>
      </c>
      <c r="O2292" s="74" t="b">
        <v>1</v>
      </c>
    </row>
    <row r="2293" hidden="1">
      <c r="A2293" s="82"/>
      <c r="B2293" s="65" t="s">
        <v>495</v>
      </c>
      <c r="C2293" s="65" t="s">
        <v>117</v>
      </c>
      <c r="D2293" s="65" t="str">
        <f>vlookup(C2293,'Classificação p pessoal'!F:G,2,false)</f>
        <v>NP</v>
      </c>
      <c r="E2293" s="65" t="s">
        <v>865</v>
      </c>
      <c r="F2293" s="83">
        <v>0.6388888888888888</v>
      </c>
      <c r="G2293" s="83">
        <v>0.75</v>
      </c>
      <c r="H2293" s="83">
        <v>0.1111111111111111</v>
      </c>
      <c r="I2293" s="84">
        <v>44518.0</v>
      </c>
      <c r="J2293" s="65" t="b">
        <v>1</v>
      </c>
      <c r="K2293" s="65"/>
      <c r="L2293" s="85" t="b">
        <f>IF(VLOOKUP(C2293,Projetos!A:L,12,false)=TRUE,TRUE,FALSE)</f>
        <v>1</v>
      </c>
      <c r="M2293" s="74">
        <v>73.7079846079846</v>
      </c>
      <c r="N2293" s="74">
        <f t="shared" si="1"/>
        <v>196.5546256</v>
      </c>
      <c r="O2293" s="74" t="b">
        <v>1</v>
      </c>
    </row>
    <row r="2294" hidden="1">
      <c r="A2294" s="82"/>
      <c r="B2294" s="65" t="s">
        <v>495</v>
      </c>
      <c r="C2294" s="65" t="s">
        <v>117</v>
      </c>
      <c r="D2294" s="65" t="str">
        <f>vlookup(C2294,'Classificação p pessoal'!F:G,2,false)</f>
        <v>NP</v>
      </c>
      <c r="E2294" s="65" t="s">
        <v>865</v>
      </c>
      <c r="F2294" s="83">
        <v>0.3472222222222222</v>
      </c>
      <c r="G2294" s="83">
        <v>0.4166666666666667</v>
      </c>
      <c r="H2294" s="83">
        <v>0.06944444444444445</v>
      </c>
      <c r="I2294" s="84">
        <v>44519.0</v>
      </c>
      <c r="J2294" s="65" t="b">
        <v>1</v>
      </c>
      <c r="K2294" s="65"/>
      <c r="L2294" s="85" t="b">
        <f>IF(VLOOKUP(C2294,Projetos!A:L,12,false)=TRUE,TRUE,FALSE)</f>
        <v>1</v>
      </c>
      <c r="M2294" s="74">
        <v>73.7079846079846</v>
      </c>
      <c r="N2294" s="74">
        <f t="shared" si="1"/>
        <v>122.846641</v>
      </c>
      <c r="O2294" s="74" t="b">
        <v>1</v>
      </c>
    </row>
    <row r="2295" hidden="1">
      <c r="A2295" s="82"/>
      <c r="B2295" s="65" t="s">
        <v>495</v>
      </c>
      <c r="C2295" s="65" t="s">
        <v>117</v>
      </c>
      <c r="D2295" s="65" t="str">
        <f>vlookup(C2295,'Classificação p pessoal'!F:G,2,false)</f>
        <v>NP</v>
      </c>
      <c r="E2295" s="65" t="s">
        <v>1462</v>
      </c>
      <c r="F2295" s="83">
        <v>0.4166666666666667</v>
      </c>
      <c r="G2295" s="83">
        <v>0.4583333333333333</v>
      </c>
      <c r="H2295" s="83">
        <v>0.041666666666666664</v>
      </c>
      <c r="I2295" s="84">
        <v>44519.0</v>
      </c>
      <c r="J2295" s="65" t="b">
        <v>1</v>
      </c>
      <c r="K2295" s="65"/>
      <c r="L2295" s="85" t="b">
        <f>IF(VLOOKUP(C2295,Projetos!A:L,12,false)=TRUE,TRUE,FALSE)</f>
        <v>1</v>
      </c>
      <c r="M2295" s="74">
        <v>73.7079846079846</v>
      </c>
      <c r="N2295" s="74">
        <f t="shared" si="1"/>
        <v>73.70798461</v>
      </c>
      <c r="O2295" s="74" t="b">
        <v>1</v>
      </c>
    </row>
    <row r="2296" hidden="1">
      <c r="A2296" s="82"/>
      <c r="B2296" s="65" t="s">
        <v>495</v>
      </c>
      <c r="C2296" s="65" t="s">
        <v>117</v>
      </c>
      <c r="D2296" s="65" t="str">
        <f>vlookup(C2296,'Classificação p pessoal'!F:G,2,false)</f>
        <v>NP</v>
      </c>
      <c r="E2296" s="65" t="s">
        <v>1442</v>
      </c>
      <c r="F2296" s="83">
        <v>0.4583333333333333</v>
      </c>
      <c r="G2296" s="83">
        <v>0.5763888888888888</v>
      </c>
      <c r="H2296" s="83">
        <v>0.11805555555555555</v>
      </c>
      <c r="I2296" s="84">
        <v>44519.0</v>
      </c>
      <c r="J2296" s="65" t="b">
        <v>1</v>
      </c>
      <c r="K2296" s="65"/>
      <c r="L2296" s="85" t="b">
        <f>IF(VLOOKUP(C2296,Projetos!A:L,12,false)=TRUE,TRUE,FALSE)</f>
        <v>1</v>
      </c>
      <c r="M2296" s="74">
        <v>73.7079846079846</v>
      </c>
      <c r="N2296" s="74">
        <f t="shared" si="1"/>
        <v>208.8392897</v>
      </c>
      <c r="O2296" s="74" t="b">
        <v>1</v>
      </c>
    </row>
    <row r="2297" hidden="1">
      <c r="A2297" s="82"/>
      <c r="B2297" s="65" t="s">
        <v>495</v>
      </c>
      <c r="C2297" s="65" t="s">
        <v>117</v>
      </c>
      <c r="D2297" s="65" t="str">
        <f>vlookup(C2297,'Classificação p pessoal'!F:G,2,false)</f>
        <v>NP</v>
      </c>
      <c r="E2297" s="65" t="s">
        <v>1462</v>
      </c>
      <c r="F2297" s="83">
        <v>0.625</v>
      </c>
      <c r="G2297" s="83">
        <v>0.6666666666666666</v>
      </c>
      <c r="H2297" s="83">
        <v>0.041666666666666664</v>
      </c>
      <c r="I2297" s="84">
        <v>44519.0</v>
      </c>
      <c r="J2297" s="65" t="b">
        <v>1</v>
      </c>
      <c r="K2297" s="65"/>
      <c r="L2297" s="85" t="b">
        <f>IF(VLOOKUP(C2297,Projetos!A:L,12,false)=TRUE,TRUE,FALSE)</f>
        <v>1</v>
      </c>
      <c r="M2297" s="74">
        <v>73.7079846079846</v>
      </c>
      <c r="N2297" s="74">
        <f t="shared" si="1"/>
        <v>73.70798461</v>
      </c>
      <c r="O2297" s="74" t="b">
        <v>1</v>
      </c>
    </row>
    <row r="2298">
      <c r="A2298" s="82"/>
      <c r="B2298" s="65" t="s">
        <v>495</v>
      </c>
      <c r="C2298" s="65" t="s">
        <v>108</v>
      </c>
      <c r="D2298" s="65"/>
      <c r="E2298" s="65" t="s">
        <v>1463</v>
      </c>
      <c r="F2298" s="83">
        <v>0.7222222222222222</v>
      </c>
      <c r="G2298" s="83">
        <v>0.75</v>
      </c>
      <c r="H2298" s="83">
        <v>0.027777777777777776</v>
      </c>
      <c r="I2298" s="84">
        <v>44445.0</v>
      </c>
      <c r="J2298" s="65" t="b">
        <v>0</v>
      </c>
      <c r="K2298" s="65"/>
      <c r="L2298" s="85" t="b">
        <f>IF(VLOOKUP(C2298,Projetos!A:L,12,false)=TRUE,TRUE,FALSE)</f>
        <v>1</v>
      </c>
      <c r="M2298" s="74">
        <v>73.7079846079846</v>
      </c>
      <c r="N2298" s="74">
        <f t="shared" si="1"/>
        <v>0</v>
      </c>
      <c r="O2298" s="74" t="b">
        <v>1</v>
      </c>
    </row>
    <row r="2299" hidden="1">
      <c r="A2299" s="82"/>
      <c r="B2299" s="65" t="s">
        <v>495</v>
      </c>
      <c r="C2299" s="65" t="s">
        <v>117</v>
      </c>
      <c r="D2299" s="65" t="str">
        <f>vlookup(C2299,'Classificação p pessoal'!F:G,2,false)</f>
        <v>NP</v>
      </c>
      <c r="E2299" s="65" t="s">
        <v>1464</v>
      </c>
      <c r="F2299" s="83">
        <v>0.7083333333333334</v>
      </c>
      <c r="G2299" s="83">
        <v>0.75</v>
      </c>
      <c r="H2299" s="83">
        <v>0.041666666666666664</v>
      </c>
      <c r="I2299" s="84">
        <v>44519.0</v>
      </c>
      <c r="J2299" s="65" t="b">
        <v>1</v>
      </c>
      <c r="K2299" s="65"/>
      <c r="L2299" s="85" t="b">
        <f>IF(VLOOKUP(C2299,Projetos!A:L,12,false)=TRUE,TRUE,FALSE)</f>
        <v>1</v>
      </c>
      <c r="M2299" s="74">
        <v>73.7079846079846</v>
      </c>
      <c r="N2299" s="74">
        <f t="shared" si="1"/>
        <v>73.70798461</v>
      </c>
      <c r="O2299" s="74" t="b">
        <v>1</v>
      </c>
    </row>
    <row r="2300" hidden="1">
      <c r="A2300" s="82"/>
      <c r="B2300" s="65" t="s">
        <v>495</v>
      </c>
      <c r="C2300" s="65" t="s">
        <v>92</v>
      </c>
      <c r="D2300" s="65" t="str">
        <f>vlookup(C2300,'Classificação p pessoal'!F:G,2,false)</f>
        <v/>
      </c>
      <c r="E2300" s="65" t="s">
        <v>929</v>
      </c>
      <c r="F2300" s="83">
        <v>0.3541666666666667</v>
      </c>
      <c r="G2300" s="83">
        <v>0.375</v>
      </c>
      <c r="H2300" s="83">
        <v>0.020833333333333332</v>
      </c>
      <c r="I2300" s="84">
        <v>44522.0</v>
      </c>
      <c r="J2300" s="65" t="b">
        <v>1</v>
      </c>
      <c r="K2300" s="65"/>
      <c r="L2300" s="85" t="b">
        <f>IF(VLOOKUP(C2300,Projetos!A:L,12,false)=TRUE,TRUE,FALSE)</f>
        <v>1</v>
      </c>
      <c r="M2300" s="74">
        <v>73.7079846079846</v>
      </c>
      <c r="N2300" s="74">
        <f t="shared" si="1"/>
        <v>36.8539923</v>
      </c>
      <c r="O2300" s="74" t="b">
        <v>1</v>
      </c>
    </row>
    <row r="2301" hidden="1">
      <c r="A2301" s="82"/>
      <c r="B2301" s="65" t="s">
        <v>495</v>
      </c>
      <c r="C2301" s="65" t="s">
        <v>117</v>
      </c>
      <c r="D2301" s="65" t="str">
        <f>vlookup(C2301,'Classificação p pessoal'!F:G,2,false)</f>
        <v>NP</v>
      </c>
      <c r="E2301" s="65" t="s">
        <v>1465</v>
      </c>
      <c r="F2301" s="83">
        <v>0.375</v>
      </c>
      <c r="G2301" s="83">
        <v>0.4166666666666667</v>
      </c>
      <c r="H2301" s="83">
        <v>0.041666666666666664</v>
      </c>
      <c r="I2301" s="84">
        <v>44522.0</v>
      </c>
      <c r="J2301" s="65" t="b">
        <v>1</v>
      </c>
      <c r="K2301" s="65"/>
      <c r="L2301" s="85" t="b">
        <f>IF(VLOOKUP(C2301,Projetos!A:L,12,false)=TRUE,TRUE,FALSE)</f>
        <v>1</v>
      </c>
      <c r="M2301" s="74">
        <v>73.7079846079846</v>
      </c>
      <c r="N2301" s="74">
        <f t="shared" si="1"/>
        <v>73.70798461</v>
      </c>
      <c r="O2301" s="74" t="b">
        <v>1</v>
      </c>
    </row>
    <row r="2302" hidden="1">
      <c r="A2302" s="82"/>
      <c r="B2302" s="65" t="s">
        <v>495</v>
      </c>
      <c r="C2302" s="65" t="s">
        <v>92</v>
      </c>
      <c r="D2302" s="65" t="str">
        <f>vlookup(C2302,'Classificação p pessoal'!F:G,2,false)</f>
        <v/>
      </c>
      <c r="E2302" s="65" t="s">
        <v>1466</v>
      </c>
      <c r="F2302" s="83">
        <v>0.4166666666666667</v>
      </c>
      <c r="G2302" s="83">
        <v>0.4583333333333333</v>
      </c>
      <c r="H2302" s="83">
        <v>0.041666666666666664</v>
      </c>
      <c r="I2302" s="84">
        <v>44522.0</v>
      </c>
      <c r="J2302" s="65" t="b">
        <v>1</v>
      </c>
      <c r="K2302" s="65"/>
      <c r="L2302" s="85" t="b">
        <f>IF(VLOOKUP(C2302,Projetos!A:L,12,false)=TRUE,TRUE,FALSE)</f>
        <v>1</v>
      </c>
      <c r="M2302" s="74">
        <v>73.7079846079846</v>
      </c>
      <c r="N2302" s="74">
        <f t="shared" si="1"/>
        <v>73.70798461</v>
      </c>
      <c r="O2302" s="74" t="b">
        <v>1</v>
      </c>
    </row>
    <row r="2303" hidden="1">
      <c r="A2303" s="82"/>
      <c r="B2303" s="65" t="s">
        <v>495</v>
      </c>
      <c r="C2303" s="65" t="s">
        <v>117</v>
      </c>
      <c r="D2303" s="65" t="str">
        <f>vlookup(C2303,'Classificação p pessoal'!F:G,2,false)</f>
        <v>NP</v>
      </c>
      <c r="E2303" s="65" t="s">
        <v>1465</v>
      </c>
      <c r="F2303" s="83">
        <v>0.4722222222222222</v>
      </c>
      <c r="G2303" s="83">
        <v>0.5729166666666666</v>
      </c>
      <c r="H2303" s="83">
        <v>0.10069444444444445</v>
      </c>
      <c r="I2303" s="84">
        <v>44522.0</v>
      </c>
      <c r="J2303" s="65" t="b">
        <v>1</v>
      </c>
      <c r="K2303" s="65"/>
      <c r="L2303" s="85" t="b">
        <f>IF(VLOOKUP(C2303,Projetos!A:L,12,false)=TRUE,TRUE,FALSE)</f>
        <v>1</v>
      </c>
      <c r="M2303" s="74">
        <v>73.7079846079846</v>
      </c>
      <c r="N2303" s="74">
        <f t="shared" si="1"/>
        <v>178.1276295</v>
      </c>
      <c r="O2303" s="74" t="b">
        <v>1</v>
      </c>
    </row>
    <row r="2304" hidden="1">
      <c r="A2304" s="82"/>
      <c r="B2304" s="65" t="s">
        <v>495</v>
      </c>
      <c r="C2304" s="65" t="s">
        <v>117</v>
      </c>
      <c r="D2304" s="65" t="str">
        <f>vlookup(C2304,'Classificação p pessoal'!F:G,2,false)</f>
        <v>NP</v>
      </c>
      <c r="E2304" s="65" t="s">
        <v>1467</v>
      </c>
      <c r="F2304" s="83">
        <v>0.6180555555555556</v>
      </c>
      <c r="G2304" s="83">
        <v>0.6666666666666666</v>
      </c>
      <c r="H2304" s="83">
        <v>0.04861111111111111</v>
      </c>
      <c r="I2304" s="84">
        <v>44522.0</v>
      </c>
      <c r="J2304" s="65" t="b">
        <v>1</v>
      </c>
      <c r="K2304" s="65"/>
      <c r="L2304" s="85" t="b">
        <f>IF(VLOOKUP(C2304,Projetos!A:L,12,false)=TRUE,TRUE,FALSE)</f>
        <v>1</v>
      </c>
      <c r="M2304" s="74">
        <v>73.7079846079846</v>
      </c>
      <c r="N2304" s="74">
        <f t="shared" si="1"/>
        <v>85.99264871</v>
      </c>
      <c r="O2304" s="74" t="b">
        <v>1</v>
      </c>
    </row>
    <row r="2305" hidden="1">
      <c r="A2305" s="82"/>
      <c r="B2305" s="65" t="s">
        <v>495</v>
      </c>
      <c r="C2305" s="65" t="s">
        <v>117</v>
      </c>
      <c r="D2305" s="65" t="str">
        <f>vlookup(C2305,'Classificação p pessoal'!F:G,2,false)</f>
        <v>NP</v>
      </c>
      <c r="E2305" s="65" t="s">
        <v>1468</v>
      </c>
      <c r="F2305" s="83">
        <v>0.6666666666666666</v>
      </c>
      <c r="G2305" s="83">
        <v>0.6944444444444444</v>
      </c>
      <c r="H2305" s="83">
        <v>0.027777777777777776</v>
      </c>
      <c r="I2305" s="84">
        <v>44522.0</v>
      </c>
      <c r="J2305" s="65" t="b">
        <v>1</v>
      </c>
      <c r="K2305" s="65"/>
      <c r="L2305" s="85" t="b">
        <f>IF(VLOOKUP(C2305,Projetos!A:L,12,false)=TRUE,TRUE,FALSE)</f>
        <v>1</v>
      </c>
      <c r="M2305" s="74">
        <v>73.7079846079846</v>
      </c>
      <c r="N2305" s="74">
        <f t="shared" si="1"/>
        <v>49.13865641</v>
      </c>
      <c r="O2305" s="74" t="b">
        <v>1</v>
      </c>
    </row>
    <row r="2306" hidden="1">
      <c r="A2306" s="82"/>
      <c r="B2306" s="65" t="s">
        <v>495</v>
      </c>
      <c r="C2306" s="65" t="s">
        <v>117</v>
      </c>
      <c r="D2306" s="65" t="str">
        <f>vlookup(C2306,'Classificação p pessoal'!F:G,2,false)</f>
        <v>NP</v>
      </c>
      <c r="E2306" s="65" t="s">
        <v>1469</v>
      </c>
      <c r="F2306" s="83">
        <v>0.71875</v>
      </c>
      <c r="G2306" s="83">
        <v>0.75</v>
      </c>
      <c r="H2306" s="83">
        <v>0.03125</v>
      </c>
      <c r="I2306" s="84">
        <v>44522.0</v>
      </c>
      <c r="J2306" s="65" t="b">
        <v>1</v>
      </c>
      <c r="K2306" s="65"/>
      <c r="L2306" s="85" t="b">
        <f>IF(VLOOKUP(C2306,Projetos!A:L,12,false)=TRUE,TRUE,FALSE)</f>
        <v>1</v>
      </c>
      <c r="M2306" s="74">
        <v>73.7079846079846</v>
      </c>
      <c r="N2306" s="74">
        <f t="shared" si="1"/>
        <v>55.28098846</v>
      </c>
      <c r="O2306" s="74" t="b">
        <v>1</v>
      </c>
    </row>
    <row r="2307" hidden="1">
      <c r="A2307" s="82"/>
      <c r="B2307" s="65" t="s">
        <v>411</v>
      </c>
      <c r="C2307" s="65" t="s">
        <v>92</v>
      </c>
      <c r="D2307" s="65" t="str">
        <f>vlookup(C2307,'Classificação p pessoal'!F:G,2,false)</f>
        <v/>
      </c>
      <c r="E2307" s="65" t="s">
        <v>1470</v>
      </c>
      <c r="F2307" s="83">
        <v>0.4270833333333333</v>
      </c>
      <c r="G2307" s="83">
        <v>0.4583333333333333</v>
      </c>
      <c r="H2307" s="83">
        <v>0.03125</v>
      </c>
      <c r="I2307" s="84">
        <v>44347.0</v>
      </c>
      <c r="J2307" s="65" t="b">
        <v>1</v>
      </c>
      <c r="K2307" s="65"/>
      <c r="L2307" s="85" t="b">
        <f>IF(VLOOKUP(C2307,Projetos!A:L,12,false)=TRUE,TRUE,FALSE)</f>
        <v>1</v>
      </c>
      <c r="M2307" s="74">
        <v>52.48434411075036</v>
      </c>
      <c r="N2307" s="74">
        <f t="shared" si="1"/>
        <v>39.36325808</v>
      </c>
      <c r="O2307" s="74" t="b">
        <v>1</v>
      </c>
    </row>
    <row r="2308" hidden="1">
      <c r="A2308" s="82"/>
      <c r="B2308" s="65" t="s">
        <v>495</v>
      </c>
      <c r="C2308" s="65" t="s">
        <v>92</v>
      </c>
      <c r="D2308" s="65"/>
      <c r="E2308" s="65" t="s">
        <v>1471</v>
      </c>
      <c r="F2308" s="83">
        <v>0.4166666666666667</v>
      </c>
      <c r="G2308" s="83">
        <v>0.5798611111111112</v>
      </c>
      <c r="H2308" s="83">
        <v>0.16319444444444445</v>
      </c>
      <c r="I2308" s="84">
        <v>44523.0</v>
      </c>
      <c r="J2308" s="65" t="b">
        <v>0</v>
      </c>
      <c r="K2308" s="65" t="s">
        <v>150</v>
      </c>
      <c r="L2308" s="85" t="b">
        <f>IF(VLOOKUP(C2308,Projetos!A:L,12,false)=TRUE,TRUE,FALSE)</f>
        <v>1</v>
      </c>
      <c r="M2308" s="74">
        <v>73.7079846079846</v>
      </c>
      <c r="N2308" s="74">
        <f t="shared" si="1"/>
        <v>0</v>
      </c>
      <c r="O2308" s="74" t="b">
        <v>1</v>
      </c>
    </row>
    <row r="2309" hidden="1">
      <c r="A2309" s="82"/>
      <c r="B2309" s="65" t="s">
        <v>495</v>
      </c>
      <c r="C2309" s="65" t="s">
        <v>92</v>
      </c>
      <c r="D2309" s="65"/>
      <c r="E2309" s="65" t="s">
        <v>1472</v>
      </c>
      <c r="F2309" s="83">
        <v>0.6180555555555556</v>
      </c>
      <c r="G2309" s="83">
        <v>0.6666666666666666</v>
      </c>
      <c r="H2309" s="83">
        <v>0.04861111111111111</v>
      </c>
      <c r="I2309" s="84">
        <v>44474.0</v>
      </c>
      <c r="J2309" s="65" t="b">
        <v>0</v>
      </c>
      <c r="K2309" s="65"/>
      <c r="L2309" s="85" t="b">
        <f>IF(VLOOKUP(C2309,Projetos!A:L,12,false)=TRUE,TRUE,FALSE)</f>
        <v>1</v>
      </c>
      <c r="M2309" s="74">
        <v>73.7079846079846</v>
      </c>
      <c r="N2309" s="74">
        <f t="shared" si="1"/>
        <v>0</v>
      </c>
      <c r="O2309" s="74" t="b">
        <v>1</v>
      </c>
    </row>
    <row r="2310" hidden="1">
      <c r="A2310" s="82"/>
      <c r="B2310" s="65" t="s">
        <v>495</v>
      </c>
      <c r="C2310" s="65" t="s">
        <v>117</v>
      </c>
      <c r="D2310" s="65" t="str">
        <f>vlookup(C2310,'Classificação p pessoal'!F:G,2,false)</f>
        <v>NP</v>
      </c>
      <c r="E2310" s="65" t="s">
        <v>1473</v>
      </c>
      <c r="F2310" s="83">
        <v>0.71875</v>
      </c>
      <c r="G2310" s="83">
        <v>0.75</v>
      </c>
      <c r="H2310" s="83">
        <v>0.03125</v>
      </c>
      <c r="I2310" s="84">
        <v>44523.0</v>
      </c>
      <c r="J2310" s="65" t="b">
        <v>1</v>
      </c>
      <c r="K2310" s="65"/>
      <c r="L2310" s="85" t="b">
        <f>IF(VLOOKUP(C2310,Projetos!A:L,12,false)=TRUE,TRUE,FALSE)</f>
        <v>1</v>
      </c>
      <c r="M2310" s="74">
        <v>73.7079846079846</v>
      </c>
      <c r="N2310" s="74">
        <f t="shared" si="1"/>
        <v>55.28098846</v>
      </c>
      <c r="O2310" s="74" t="b">
        <v>1</v>
      </c>
    </row>
    <row r="2311" hidden="1">
      <c r="A2311" s="82"/>
      <c r="B2311" s="65" t="s">
        <v>411</v>
      </c>
      <c r="C2311" s="65" t="s">
        <v>88</v>
      </c>
      <c r="D2311" s="65" t="str">
        <f>vlookup(C2311,'Classificação p pessoal'!F:G,2,false)</f>
        <v>MProduto</v>
      </c>
      <c r="E2311" s="65" t="s">
        <v>1474</v>
      </c>
      <c r="F2311" s="83">
        <v>0.34375</v>
      </c>
      <c r="G2311" s="83">
        <v>0.4166666666666667</v>
      </c>
      <c r="H2311" s="83">
        <v>0.07291666666666667</v>
      </c>
      <c r="I2311" s="84">
        <v>44323.0</v>
      </c>
      <c r="J2311" s="65" t="b">
        <v>1</v>
      </c>
      <c r="K2311" s="65"/>
      <c r="L2311" s="85" t="b">
        <f>IF(VLOOKUP(C2311,Projetos!A:L,12,false)=TRUE,TRUE,FALSE)</f>
        <v>1</v>
      </c>
      <c r="M2311" s="74">
        <v>52.48434411075036</v>
      </c>
      <c r="N2311" s="74">
        <f t="shared" si="1"/>
        <v>91.84760219</v>
      </c>
      <c r="O2311" s="74" t="b">
        <v>1</v>
      </c>
    </row>
    <row r="2312" hidden="1">
      <c r="A2312" s="82"/>
      <c r="B2312" s="65" t="s">
        <v>495</v>
      </c>
      <c r="C2312" s="65" t="s">
        <v>117</v>
      </c>
      <c r="D2312" s="65" t="str">
        <f>vlookup(C2312,'Classificação p pessoal'!F:G,2,false)</f>
        <v>NP</v>
      </c>
      <c r="E2312" s="65" t="s">
        <v>1473</v>
      </c>
      <c r="F2312" s="83">
        <v>0.6215277777777778</v>
      </c>
      <c r="G2312" s="83">
        <v>0.6666666666666666</v>
      </c>
      <c r="H2312" s="83">
        <v>0.04513888888888889</v>
      </c>
      <c r="I2312" s="84">
        <v>44524.0</v>
      </c>
      <c r="J2312" s="65" t="b">
        <v>1</v>
      </c>
      <c r="K2312" s="65"/>
      <c r="L2312" s="85" t="b">
        <f>IF(VLOOKUP(C2312,Projetos!A:L,12,false)=TRUE,TRUE,FALSE)</f>
        <v>1</v>
      </c>
      <c r="M2312" s="74">
        <v>73.7079846079846</v>
      </c>
      <c r="N2312" s="74">
        <f t="shared" si="1"/>
        <v>79.85031666</v>
      </c>
      <c r="O2312" s="74" t="b">
        <v>1</v>
      </c>
    </row>
    <row r="2313" hidden="1">
      <c r="A2313" s="82"/>
      <c r="B2313" s="65" t="s">
        <v>495</v>
      </c>
      <c r="C2313" s="65" t="s">
        <v>117</v>
      </c>
      <c r="D2313" s="65" t="str">
        <f>vlookup(C2313,'Classificação p pessoal'!F:G,2,false)</f>
        <v>NP</v>
      </c>
      <c r="E2313" s="65" t="s">
        <v>1475</v>
      </c>
      <c r="F2313" s="83">
        <v>0.6666666666666666</v>
      </c>
      <c r="G2313" s="83">
        <v>0.7013888888888888</v>
      </c>
      <c r="H2313" s="83">
        <v>0.034722222222222224</v>
      </c>
      <c r="I2313" s="84">
        <v>44524.0</v>
      </c>
      <c r="J2313" s="65" t="b">
        <v>1</v>
      </c>
      <c r="K2313" s="65"/>
      <c r="L2313" s="85" t="b">
        <f>IF(VLOOKUP(C2313,Projetos!A:L,12,false)=TRUE,TRUE,FALSE)</f>
        <v>1</v>
      </c>
      <c r="M2313" s="74">
        <v>73.7079846079846</v>
      </c>
      <c r="N2313" s="74">
        <f t="shared" si="1"/>
        <v>61.42332051</v>
      </c>
      <c r="O2313" s="74" t="b">
        <v>1</v>
      </c>
    </row>
    <row r="2314" hidden="1">
      <c r="A2314" s="82"/>
      <c r="B2314" s="65" t="s">
        <v>495</v>
      </c>
      <c r="C2314" s="65" t="s">
        <v>92</v>
      </c>
      <c r="D2314" s="65" t="str">
        <f>vlookup(C2314,'Classificação p pessoal'!F:G,2,false)</f>
        <v/>
      </c>
      <c r="E2314" s="65" t="s">
        <v>1476</v>
      </c>
      <c r="F2314" s="83">
        <v>0.3263888888888889</v>
      </c>
      <c r="G2314" s="83">
        <v>0.3958333333333333</v>
      </c>
      <c r="H2314" s="83">
        <v>0.06944444444444445</v>
      </c>
      <c r="I2314" s="84">
        <v>44525.0</v>
      </c>
      <c r="J2314" s="65" t="b">
        <v>1</v>
      </c>
      <c r="K2314" s="65"/>
      <c r="L2314" s="85" t="b">
        <f>IF(VLOOKUP(C2314,Projetos!A:L,12,false)=TRUE,TRUE,FALSE)</f>
        <v>1</v>
      </c>
      <c r="M2314" s="74">
        <v>73.7079846079846</v>
      </c>
      <c r="N2314" s="74">
        <f t="shared" si="1"/>
        <v>122.846641</v>
      </c>
      <c r="O2314" s="74" t="b">
        <v>1</v>
      </c>
    </row>
    <row r="2315" hidden="1">
      <c r="A2315" s="82"/>
      <c r="B2315" s="65" t="s">
        <v>495</v>
      </c>
      <c r="C2315" s="65" t="s">
        <v>89</v>
      </c>
      <c r="D2315" s="65" t="str">
        <f>vlookup(C2315,'Classificação p pessoal'!F:G,2,false)</f>
        <v>NP</v>
      </c>
      <c r="E2315" s="65" t="s">
        <v>856</v>
      </c>
      <c r="F2315" s="83">
        <v>0.40625</v>
      </c>
      <c r="G2315" s="83">
        <v>0.5</v>
      </c>
      <c r="H2315" s="83">
        <v>0.09375</v>
      </c>
      <c r="I2315" s="84">
        <v>44525.0</v>
      </c>
      <c r="J2315" s="65" t="b">
        <v>1</v>
      </c>
      <c r="K2315" s="65"/>
      <c r="L2315" s="85" t="b">
        <f>IF(VLOOKUP(C2315,Projetos!A:L,12,false)=TRUE,TRUE,FALSE)</f>
        <v>1</v>
      </c>
      <c r="M2315" s="74">
        <v>73.7079846079846</v>
      </c>
      <c r="N2315" s="74">
        <f t="shared" si="1"/>
        <v>165.8429654</v>
      </c>
      <c r="O2315" s="74" t="b">
        <v>1</v>
      </c>
    </row>
    <row r="2316" hidden="1">
      <c r="A2316" s="82"/>
      <c r="B2316" s="65" t="s">
        <v>495</v>
      </c>
      <c r="C2316" s="65" t="s">
        <v>92</v>
      </c>
      <c r="D2316" s="65" t="str">
        <f>vlookup(C2316,'Classificação p pessoal'!F:G,2,false)</f>
        <v/>
      </c>
      <c r="E2316" s="65" t="s">
        <v>1477</v>
      </c>
      <c r="F2316" s="83">
        <v>0.5</v>
      </c>
      <c r="G2316" s="83">
        <v>0.5763888888888888</v>
      </c>
      <c r="H2316" s="83">
        <v>0.0763888888888889</v>
      </c>
      <c r="I2316" s="84">
        <v>44525.0</v>
      </c>
      <c r="J2316" s="65" t="b">
        <v>1</v>
      </c>
      <c r="K2316" s="65"/>
      <c r="L2316" s="85" t="b">
        <f>IF(VLOOKUP(C2316,Projetos!A:L,12,false)=TRUE,TRUE,FALSE)</f>
        <v>1</v>
      </c>
      <c r="M2316" s="74">
        <v>73.7079846079846</v>
      </c>
      <c r="N2316" s="74">
        <f t="shared" si="1"/>
        <v>135.1313051</v>
      </c>
      <c r="O2316" s="74" t="b">
        <v>1</v>
      </c>
    </row>
    <row r="2317" hidden="1">
      <c r="A2317" s="82"/>
      <c r="B2317" s="65" t="s">
        <v>495</v>
      </c>
      <c r="C2317" s="65" t="s">
        <v>98</v>
      </c>
      <c r="D2317" s="65" t="str">
        <f>vlookup(C2317,'Classificação p pessoal'!F:G,2,false)</f>
        <v>NP</v>
      </c>
      <c r="E2317" s="65" t="s">
        <v>856</v>
      </c>
      <c r="F2317" s="83">
        <v>0.6180555555555556</v>
      </c>
      <c r="G2317" s="83">
        <v>0.6958333333333333</v>
      </c>
      <c r="H2317" s="83">
        <v>0.07777777777777778</v>
      </c>
      <c r="I2317" s="84">
        <v>44525.0</v>
      </c>
      <c r="J2317" s="65" t="b">
        <v>1</v>
      </c>
      <c r="K2317" s="65"/>
      <c r="L2317" s="85" t="b">
        <f>IF(VLOOKUP(C2317,Projetos!A:L,12,false)=TRUE,TRUE,FALSE)</f>
        <v>1</v>
      </c>
      <c r="M2317" s="74">
        <v>73.7079846079846</v>
      </c>
      <c r="N2317" s="74">
        <f t="shared" si="1"/>
        <v>137.5882379</v>
      </c>
      <c r="O2317" s="74" t="b">
        <v>1</v>
      </c>
    </row>
    <row r="2318" hidden="1">
      <c r="A2318" s="82"/>
      <c r="B2318" s="65" t="s">
        <v>495</v>
      </c>
      <c r="C2318" s="65" t="s">
        <v>92</v>
      </c>
      <c r="D2318" s="65"/>
      <c r="E2318" s="65" t="s">
        <v>1478</v>
      </c>
      <c r="F2318" s="83">
        <v>0.71875</v>
      </c>
      <c r="G2318" s="83">
        <v>0.75</v>
      </c>
      <c r="H2318" s="83">
        <v>0.03125</v>
      </c>
      <c r="I2318" s="84">
        <v>44525.0</v>
      </c>
      <c r="J2318" s="65" t="b">
        <v>0</v>
      </c>
      <c r="K2318" s="65" t="s">
        <v>150</v>
      </c>
      <c r="L2318" s="85" t="b">
        <f>IF(VLOOKUP(C2318,Projetos!A:L,12,false)=TRUE,TRUE,FALSE)</f>
        <v>1</v>
      </c>
      <c r="M2318" s="74">
        <v>73.7079846079846</v>
      </c>
      <c r="N2318" s="74">
        <f t="shared" si="1"/>
        <v>0</v>
      </c>
      <c r="O2318" s="74" t="b">
        <v>1</v>
      </c>
    </row>
    <row r="2319" hidden="1">
      <c r="A2319" s="82"/>
      <c r="B2319" s="65" t="s">
        <v>495</v>
      </c>
      <c r="C2319" s="65" t="s">
        <v>92</v>
      </c>
      <c r="D2319" s="65" t="str">
        <f>vlookup(C2319,'Classificação p pessoal'!F:G,2,false)</f>
        <v/>
      </c>
      <c r="E2319" s="65" t="s">
        <v>1477</v>
      </c>
      <c r="F2319" s="83">
        <v>0.3298611111111111</v>
      </c>
      <c r="G2319" s="83">
        <v>0.4166666666666667</v>
      </c>
      <c r="H2319" s="83">
        <v>0.08680555555555555</v>
      </c>
      <c r="I2319" s="84">
        <v>44526.0</v>
      </c>
      <c r="J2319" s="65" t="b">
        <v>1</v>
      </c>
      <c r="K2319" s="65"/>
      <c r="L2319" s="85" t="b">
        <f>IF(VLOOKUP(C2319,Projetos!A:L,12,false)=TRUE,TRUE,FALSE)</f>
        <v>1</v>
      </c>
      <c r="M2319" s="74">
        <v>73.7079846079846</v>
      </c>
      <c r="N2319" s="74">
        <f t="shared" si="1"/>
        <v>153.5583013</v>
      </c>
      <c r="O2319" s="74" t="b">
        <v>1</v>
      </c>
    </row>
    <row r="2320" hidden="1">
      <c r="A2320" s="82"/>
      <c r="B2320" s="65" t="s">
        <v>495</v>
      </c>
      <c r="C2320" s="65" t="s">
        <v>89</v>
      </c>
      <c r="D2320" s="65" t="str">
        <f>vlookup(C2320,'Classificação p pessoal'!F:G,2,false)</f>
        <v>NP</v>
      </c>
      <c r="E2320" s="65" t="s">
        <v>856</v>
      </c>
      <c r="F2320" s="83">
        <v>0.4166666666666667</v>
      </c>
      <c r="G2320" s="83">
        <v>0.5416666666666666</v>
      </c>
      <c r="H2320" s="83">
        <v>0.125</v>
      </c>
      <c r="I2320" s="84">
        <v>44526.0</v>
      </c>
      <c r="J2320" s="65" t="b">
        <v>1</v>
      </c>
      <c r="K2320" s="65"/>
      <c r="L2320" s="85" t="b">
        <f>IF(VLOOKUP(C2320,Projetos!A:L,12,false)=TRUE,TRUE,FALSE)</f>
        <v>1</v>
      </c>
      <c r="M2320" s="74">
        <v>73.7079846079846</v>
      </c>
      <c r="N2320" s="74">
        <f t="shared" si="1"/>
        <v>221.1239538</v>
      </c>
      <c r="O2320" s="74" t="b">
        <v>1</v>
      </c>
    </row>
    <row r="2321" hidden="1">
      <c r="A2321" s="82"/>
      <c r="B2321" s="65" t="s">
        <v>495</v>
      </c>
      <c r="C2321" s="65" t="s">
        <v>92</v>
      </c>
      <c r="D2321" s="65" t="str">
        <f>vlookup(C2321,'Classificação p pessoal'!F:G,2,false)</f>
        <v/>
      </c>
      <c r="E2321" s="65" t="s">
        <v>1479</v>
      </c>
      <c r="F2321" s="83">
        <v>0.5833333333333334</v>
      </c>
      <c r="G2321" s="83">
        <v>0.6041666666666666</v>
      </c>
      <c r="H2321" s="83">
        <v>0.020833333333333332</v>
      </c>
      <c r="I2321" s="84">
        <v>44526.0</v>
      </c>
      <c r="J2321" s="65" t="b">
        <v>1</v>
      </c>
      <c r="K2321" s="65"/>
      <c r="L2321" s="85" t="b">
        <f>IF(VLOOKUP(C2321,Projetos!A:L,12,false)=TRUE,TRUE,FALSE)</f>
        <v>1</v>
      </c>
      <c r="M2321" s="74">
        <v>73.7079846079846</v>
      </c>
      <c r="N2321" s="74">
        <f t="shared" si="1"/>
        <v>36.8539923</v>
      </c>
      <c r="O2321" s="74" t="b">
        <v>1</v>
      </c>
    </row>
    <row r="2322" hidden="1">
      <c r="A2322" s="82"/>
      <c r="B2322" s="65" t="s">
        <v>495</v>
      </c>
      <c r="C2322" s="65" t="s">
        <v>92</v>
      </c>
      <c r="D2322" s="65" t="str">
        <f>vlookup(C2322,'Classificação p pessoal'!F:G,2,false)</f>
        <v/>
      </c>
      <c r="E2322" s="65" t="s">
        <v>1480</v>
      </c>
      <c r="F2322" s="83">
        <v>0.7291666666666666</v>
      </c>
      <c r="G2322" s="83">
        <v>0.75</v>
      </c>
      <c r="H2322" s="83">
        <v>0.020833333333333332</v>
      </c>
      <c r="I2322" s="84">
        <v>44526.0</v>
      </c>
      <c r="J2322" s="65" t="b">
        <v>1</v>
      </c>
      <c r="K2322" s="65"/>
      <c r="L2322" s="85" t="b">
        <f>IF(VLOOKUP(C2322,Projetos!A:L,12,false)=TRUE,TRUE,FALSE)</f>
        <v>1</v>
      </c>
      <c r="M2322" s="74">
        <v>73.7079846079846</v>
      </c>
      <c r="N2322" s="74">
        <f t="shared" si="1"/>
        <v>36.8539923</v>
      </c>
      <c r="O2322" s="74" t="b">
        <v>1</v>
      </c>
    </row>
    <row r="2323" hidden="1">
      <c r="A2323" s="82"/>
      <c r="B2323" s="65" t="s">
        <v>495</v>
      </c>
      <c r="C2323" s="65" t="s">
        <v>92</v>
      </c>
      <c r="D2323" s="65"/>
      <c r="E2323" s="65" t="s">
        <v>1481</v>
      </c>
      <c r="F2323" s="83">
        <v>0.3263888888888889</v>
      </c>
      <c r="G2323" s="83">
        <v>0.375</v>
      </c>
      <c r="H2323" s="83">
        <v>0.04861111111111111</v>
      </c>
      <c r="I2323" s="84">
        <v>44529.0</v>
      </c>
      <c r="J2323" s="65" t="b">
        <v>0</v>
      </c>
      <c r="K2323" s="65" t="s">
        <v>150</v>
      </c>
      <c r="L2323" s="85" t="b">
        <f>IF(VLOOKUP(C2323,Projetos!A:L,12,false)=TRUE,TRUE,FALSE)</f>
        <v>1</v>
      </c>
      <c r="M2323" s="74">
        <v>73.7079846079846</v>
      </c>
      <c r="N2323" s="74">
        <f t="shared" si="1"/>
        <v>0</v>
      </c>
      <c r="O2323" s="74" t="b">
        <v>1</v>
      </c>
    </row>
    <row r="2324" hidden="1">
      <c r="A2324" s="82"/>
      <c r="B2324" s="65" t="s">
        <v>495</v>
      </c>
      <c r="C2324" s="65" t="s">
        <v>92</v>
      </c>
      <c r="D2324" s="65" t="str">
        <f>vlookup(C2324,'Classificação p pessoal'!F:G,2,false)</f>
        <v/>
      </c>
      <c r="E2324" s="65" t="s">
        <v>1482</v>
      </c>
      <c r="F2324" s="83">
        <v>0.375</v>
      </c>
      <c r="G2324" s="83">
        <v>0.4166666666666667</v>
      </c>
      <c r="H2324" s="83">
        <v>0.041666666666666664</v>
      </c>
      <c r="I2324" s="84">
        <v>44529.0</v>
      </c>
      <c r="J2324" s="65" t="b">
        <v>1</v>
      </c>
      <c r="K2324" s="65"/>
      <c r="L2324" s="85" t="b">
        <f>IF(VLOOKUP(C2324,Projetos!A:L,12,false)=TRUE,TRUE,FALSE)</f>
        <v>1</v>
      </c>
      <c r="M2324" s="74">
        <v>73.7079846079846</v>
      </c>
      <c r="N2324" s="74">
        <f t="shared" si="1"/>
        <v>73.70798461</v>
      </c>
      <c r="O2324" s="74" t="b">
        <v>1</v>
      </c>
    </row>
    <row r="2325" hidden="1">
      <c r="A2325" s="82"/>
      <c r="B2325" s="65" t="s">
        <v>495</v>
      </c>
      <c r="C2325" s="65" t="s">
        <v>117</v>
      </c>
      <c r="D2325" s="65" t="str">
        <f>vlookup(C2325,'Classificação p pessoal'!F:G,2,false)</f>
        <v>NP</v>
      </c>
      <c r="E2325" s="65" t="s">
        <v>1483</v>
      </c>
      <c r="F2325" s="83">
        <v>0.4305555555555556</v>
      </c>
      <c r="G2325" s="83">
        <v>0.5729166666666666</v>
      </c>
      <c r="H2325" s="83">
        <v>0.1423611111111111</v>
      </c>
      <c r="I2325" s="84">
        <v>44529.0</v>
      </c>
      <c r="J2325" s="65" t="b">
        <v>1</v>
      </c>
      <c r="K2325" s="65"/>
      <c r="L2325" s="85" t="b">
        <f>IF(VLOOKUP(C2325,Projetos!A:L,12,false)=TRUE,TRUE,FALSE)</f>
        <v>1</v>
      </c>
      <c r="M2325" s="74">
        <v>73.7079846079846</v>
      </c>
      <c r="N2325" s="74">
        <f t="shared" si="1"/>
        <v>251.8356141</v>
      </c>
      <c r="O2325" s="74" t="b">
        <v>1</v>
      </c>
    </row>
    <row r="2326" hidden="1">
      <c r="A2326" s="82"/>
      <c r="B2326" s="65" t="s">
        <v>495</v>
      </c>
      <c r="C2326" s="65" t="s">
        <v>92</v>
      </c>
      <c r="D2326" s="65" t="str">
        <f>vlookup(C2326,'Classificação p pessoal'!F:G,2,false)</f>
        <v/>
      </c>
      <c r="E2326" s="65" t="s">
        <v>1484</v>
      </c>
      <c r="F2326" s="83">
        <v>0.6458333333333334</v>
      </c>
      <c r="G2326" s="83">
        <v>0.6979166666666666</v>
      </c>
      <c r="H2326" s="83">
        <v>0.052083333333333336</v>
      </c>
      <c r="I2326" s="84">
        <v>44529.0</v>
      </c>
      <c r="J2326" s="65" t="b">
        <v>1</v>
      </c>
      <c r="K2326" s="65"/>
      <c r="L2326" s="85" t="b">
        <f>IF(VLOOKUP(C2326,Projetos!A:L,12,false)=TRUE,TRUE,FALSE)</f>
        <v>1</v>
      </c>
      <c r="M2326" s="74">
        <v>73.7079846079846</v>
      </c>
      <c r="N2326" s="74">
        <f t="shared" si="1"/>
        <v>92.13498076</v>
      </c>
      <c r="O2326" s="74" t="b">
        <v>1</v>
      </c>
    </row>
    <row r="2327" hidden="1">
      <c r="A2327" s="82"/>
      <c r="B2327" s="65" t="s">
        <v>495</v>
      </c>
      <c r="C2327" s="65" t="s">
        <v>92</v>
      </c>
      <c r="D2327" s="65" t="str">
        <f>vlookup(C2327,'Classificação p pessoal'!F:G,2,false)</f>
        <v/>
      </c>
      <c r="E2327" s="65" t="s">
        <v>1484</v>
      </c>
      <c r="F2327" s="83">
        <v>0.71875</v>
      </c>
      <c r="G2327" s="83">
        <v>0.75</v>
      </c>
      <c r="H2327" s="83">
        <v>0.03125</v>
      </c>
      <c r="I2327" s="84">
        <v>44529.0</v>
      </c>
      <c r="J2327" s="65" t="b">
        <v>1</v>
      </c>
      <c r="K2327" s="65"/>
      <c r="L2327" s="85" t="b">
        <f>IF(VLOOKUP(C2327,Projetos!A:L,12,false)=TRUE,TRUE,FALSE)</f>
        <v>1</v>
      </c>
      <c r="M2327" s="74">
        <v>73.7079846079846</v>
      </c>
      <c r="N2327" s="74">
        <f t="shared" si="1"/>
        <v>55.28098846</v>
      </c>
      <c r="O2327" s="74" t="b">
        <v>1</v>
      </c>
    </row>
    <row r="2328" hidden="1">
      <c r="A2328" s="82"/>
      <c r="B2328" s="65" t="s">
        <v>495</v>
      </c>
      <c r="C2328" s="65" t="s">
        <v>117</v>
      </c>
      <c r="D2328" s="65"/>
      <c r="E2328" s="65" t="s">
        <v>1485</v>
      </c>
      <c r="F2328" s="83">
        <v>0.3263888888888889</v>
      </c>
      <c r="G2328" s="83">
        <v>0.3958333333333333</v>
      </c>
      <c r="H2328" s="83">
        <v>0.06944444444444445</v>
      </c>
      <c r="I2328" s="84">
        <v>44530.0</v>
      </c>
      <c r="J2328" s="65" t="b">
        <v>0</v>
      </c>
      <c r="K2328" s="65" t="s">
        <v>150</v>
      </c>
      <c r="L2328" s="85" t="b">
        <f>IF(VLOOKUP(C2328,Projetos!A:L,12,false)=TRUE,TRUE,FALSE)</f>
        <v>1</v>
      </c>
      <c r="M2328" s="74">
        <v>73.7079846079846</v>
      </c>
      <c r="N2328" s="74">
        <f t="shared" si="1"/>
        <v>0</v>
      </c>
      <c r="O2328" s="74" t="b">
        <v>1</v>
      </c>
    </row>
    <row r="2329" hidden="1">
      <c r="A2329" s="82"/>
      <c r="B2329" s="65" t="s">
        <v>495</v>
      </c>
      <c r="C2329" s="65" t="s">
        <v>92</v>
      </c>
      <c r="D2329" s="65"/>
      <c r="E2329" s="65" t="s">
        <v>1486</v>
      </c>
      <c r="F2329" s="83">
        <v>0.3958333333333333</v>
      </c>
      <c r="G2329" s="83">
        <v>0.4375</v>
      </c>
      <c r="H2329" s="83">
        <v>0.041666666666666664</v>
      </c>
      <c r="I2329" s="84">
        <v>44530.0</v>
      </c>
      <c r="J2329" s="65" t="b">
        <v>0</v>
      </c>
      <c r="K2329" s="65" t="s">
        <v>150</v>
      </c>
      <c r="L2329" s="85" t="b">
        <f>IF(VLOOKUP(C2329,Projetos!A:L,12,false)=TRUE,TRUE,FALSE)</f>
        <v>1</v>
      </c>
      <c r="M2329" s="74">
        <v>73.7079846079846</v>
      </c>
      <c r="N2329" s="74">
        <f t="shared" si="1"/>
        <v>0</v>
      </c>
      <c r="O2329" s="74" t="b">
        <v>1</v>
      </c>
    </row>
    <row r="2330" hidden="1">
      <c r="A2330" s="82"/>
      <c r="B2330" s="65" t="s">
        <v>495</v>
      </c>
      <c r="C2330" s="65" t="s">
        <v>98</v>
      </c>
      <c r="D2330" s="65" t="str">
        <f>vlookup(C2330,'Classificação p pessoal'!F:G,2,false)</f>
        <v>NP</v>
      </c>
      <c r="E2330" s="65" t="s">
        <v>856</v>
      </c>
      <c r="F2330" s="83">
        <v>0.4375</v>
      </c>
      <c r="G2330" s="83">
        <v>0.5833333333333334</v>
      </c>
      <c r="H2330" s="83">
        <v>0.14583333333333334</v>
      </c>
      <c r="I2330" s="84">
        <v>44530.0</v>
      </c>
      <c r="J2330" s="65" t="b">
        <v>1</v>
      </c>
      <c r="K2330" s="65"/>
      <c r="L2330" s="85" t="b">
        <f>IF(VLOOKUP(C2330,Projetos!A:L,12,false)=TRUE,TRUE,FALSE)</f>
        <v>1</v>
      </c>
      <c r="M2330" s="74">
        <v>73.7079846079846</v>
      </c>
      <c r="N2330" s="74">
        <f t="shared" si="1"/>
        <v>257.9779461</v>
      </c>
      <c r="O2330" s="74" t="b">
        <v>1</v>
      </c>
    </row>
    <row r="2331" hidden="1">
      <c r="A2331" s="82"/>
      <c r="B2331" s="65" t="s">
        <v>495</v>
      </c>
      <c r="C2331" s="65" t="s">
        <v>92</v>
      </c>
      <c r="D2331" s="65" t="str">
        <f>vlookup(C2331,'Classificação p pessoal'!F:G,2,false)</f>
        <v/>
      </c>
      <c r="E2331" s="65" t="s">
        <v>1487</v>
      </c>
      <c r="F2331" s="83">
        <v>0.625</v>
      </c>
      <c r="G2331" s="83">
        <v>0.6666666666666666</v>
      </c>
      <c r="H2331" s="83">
        <v>0.041666666666666664</v>
      </c>
      <c r="I2331" s="84">
        <v>44530.0</v>
      </c>
      <c r="J2331" s="65" t="b">
        <v>1</v>
      </c>
      <c r="K2331" s="65"/>
      <c r="L2331" s="85" t="b">
        <f>IF(VLOOKUP(C2331,Projetos!A:L,12,false)=TRUE,TRUE,FALSE)</f>
        <v>1</v>
      </c>
      <c r="M2331" s="74">
        <v>73.7079846079846</v>
      </c>
      <c r="N2331" s="74">
        <f t="shared" si="1"/>
        <v>73.70798461</v>
      </c>
      <c r="O2331" s="74" t="b">
        <v>1</v>
      </c>
    </row>
    <row r="2332" hidden="1">
      <c r="A2332" s="82"/>
      <c r="B2332" s="65" t="s">
        <v>495</v>
      </c>
      <c r="C2332" s="65" t="s">
        <v>92</v>
      </c>
      <c r="D2332" s="65" t="str">
        <f>vlookup(C2332,'Classificação p pessoal'!F:G,2,false)</f>
        <v/>
      </c>
      <c r="E2332" s="65" t="s">
        <v>1488</v>
      </c>
      <c r="F2332" s="83">
        <v>0.6666666666666666</v>
      </c>
      <c r="G2332" s="83">
        <v>0.6979166666666666</v>
      </c>
      <c r="H2332" s="83">
        <v>0.03125</v>
      </c>
      <c r="I2332" s="84">
        <v>44530.0</v>
      </c>
      <c r="J2332" s="65" t="b">
        <v>1</v>
      </c>
      <c r="K2332" s="65"/>
      <c r="L2332" s="85" t="b">
        <f>IF(VLOOKUP(C2332,Projetos!A:L,12,false)=TRUE,TRUE,FALSE)</f>
        <v>1</v>
      </c>
      <c r="M2332" s="74">
        <v>73.7079846079846</v>
      </c>
      <c r="N2332" s="74">
        <f t="shared" si="1"/>
        <v>55.28098846</v>
      </c>
      <c r="O2332" s="74" t="b">
        <v>1</v>
      </c>
    </row>
    <row r="2333" hidden="1">
      <c r="A2333" s="82"/>
      <c r="B2333" s="65" t="s">
        <v>495</v>
      </c>
      <c r="C2333" s="65" t="s">
        <v>92</v>
      </c>
      <c r="D2333" s="65" t="str">
        <f>vlookup(C2333,'Classificação p pessoal'!F:G,2,false)</f>
        <v/>
      </c>
      <c r="E2333" s="65" t="s">
        <v>1489</v>
      </c>
      <c r="F2333" s="83">
        <v>0.3298611111111111</v>
      </c>
      <c r="G2333" s="83">
        <v>0.3958333333333333</v>
      </c>
      <c r="H2333" s="83">
        <v>0.06597222222222222</v>
      </c>
      <c r="I2333" s="84">
        <v>44531.0</v>
      </c>
      <c r="J2333" s="65" t="b">
        <v>1</v>
      </c>
      <c r="K2333" s="65"/>
      <c r="L2333" s="85" t="b">
        <f>IF(VLOOKUP(C2333,Projetos!A:L,12,false)=TRUE,TRUE,FALSE)</f>
        <v>1</v>
      </c>
      <c r="M2333" s="74">
        <v>73.7079846079846</v>
      </c>
      <c r="N2333" s="74">
        <f t="shared" si="1"/>
        <v>116.704309</v>
      </c>
      <c r="O2333" s="74" t="b">
        <v>1</v>
      </c>
    </row>
    <row r="2334" hidden="1">
      <c r="A2334" s="82"/>
      <c r="B2334" s="65" t="s">
        <v>495</v>
      </c>
      <c r="C2334" s="65" t="s">
        <v>117</v>
      </c>
      <c r="D2334" s="65" t="str">
        <f>vlookup(C2334,'Classificação p pessoal'!F:G,2,false)</f>
        <v>NP</v>
      </c>
      <c r="E2334" s="65" t="s">
        <v>1490</v>
      </c>
      <c r="F2334" s="83">
        <v>0.3958333333333333</v>
      </c>
      <c r="G2334" s="83">
        <v>0.4375</v>
      </c>
      <c r="H2334" s="83">
        <v>0.041666666666666664</v>
      </c>
      <c r="I2334" s="84">
        <v>44531.0</v>
      </c>
      <c r="J2334" s="65" t="b">
        <v>1</v>
      </c>
      <c r="K2334" s="65"/>
      <c r="L2334" s="85" t="b">
        <f>IF(VLOOKUP(C2334,Projetos!A:L,12,false)=TRUE,TRUE,FALSE)</f>
        <v>1</v>
      </c>
      <c r="M2334" s="74">
        <v>73.7079846079846</v>
      </c>
      <c r="N2334" s="74">
        <f t="shared" si="1"/>
        <v>73.70798461</v>
      </c>
      <c r="O2334" s="74" t="b">
        <v>1</v>
      </c>
    </row>
    <row r="2335" hidden="1">
      <c r="A2335" s="82"/>
      <c r="B2335" s="65" t="s">
        <v>495</v>
      </c>
      <c r="C2335" s="65" t="s">
        <v>130</v>
      </c>
      <c r="D2335" s="65" t="str">
        <f>vlookup(C2335,'Classificação p pessoal'!F:G,2,false)</f>
        <v>NP</v>
      </c>
      <c r="E2335" s="65" t="s">
        <v>1491</v>
      </c>
      <c r="F2335" s="83">
        <v>0.4375</v>
      </c>
      <c r="G2335" s="83">
        <v>0.5</v>
      </c>
      <c r="H2335" s="83">
        <v>0.0625</v>
      </c>
      <c r="I2335" s="84">
        <v>44531.0</v>
      </c>
      <c r="J2335" s="65" t="b">
        <v>1</v>
      </c>
      <c r="K2335" s="65"/>
      <c r="L2335" s="85" t="b">
        <f>IF(VLOOKUP(C2335,Projetos!A:L,12,false)=TRUE,TRUE,FALSE)</f>
        <v>1</v>
      </c>
      <c r="M2335" s="74">
        <v>73.7079846079846</v>
      </c>
      <c r="N2335" s="74">
        <f t="shared" si="1"/>
        <v>110.5619769</v>
      </c>
      <c r="O2335" s="74" t="b">
        <v>1</v>
      </c>
    </row>
    <row r="2336" hidden="1">
      <c r="A2336" s="82"/>
      <c r="B2336" s="65" t="s">
        <v>495</v>
      </c>
      <c r="C2336" s="65" t="s">
        <v>92</v>
      </c>
      <c r="D2336" s="65"/>
      <c r="E2336" s="65" t="s">
        <v>1492</v>
      </c>
      <c r="F2336" s="83">
        <v>0.5069444444444444</v>
      </c>
      <c r="G2336" s="83">
        <v>0.5701388888888889</v>
      </c>
      <c r="H2336" s="83">
        <v>0.06319444444444444</v>
      </c>
      <c r="I2336" s="84">
        <v>44531.0</v>
      </c>
      <c r="J2336" s="65" t="b">
        <v>0</v>
      </c>
      <c r="K2336" s="65" t="s">
        <v>150</v>
      </c>
      <c r="L2336" s="85" t="b">
        <f>IF(VLOOKUP(C2336,Projetos!A:L,12,false)=TRUE,TRUE,FALSE)</f>
        <v>1</v>
      </c>
      <c r="M2336" s="74">
        <v>73.7079846079846</v>
      </c>
      <c r="N2336" s="74">
        <f t="shared" si="1"/>
        <v>0</v>
      </c>
      <c r="O2336" s="74" t="b">
        <v>1</v>
      </c>
    </row>
    <row r="2337" hidden="1">
      <c r="A2337" s="82"/>
      <c r="B2337" s="65" t="s">
        <v>495</v>
      </c>
      <c r="C2337" s="65" t="s">
        <v>92</v>
      </c>
      <c r="D2337" s="65" t="str">
        <f>vlookup(C2337,'Classificação p pessoal'!F:G,2,false)</f>
        <v/>
      </c>
      <c r="E2337" s="65" t="s">
        <v>1493</v>
      </c>
      <c r="F2337" s="83">
        <v>0.625</v>
      </c>
      <c r="G2337" s="83">
        <v>0.6979166666666666</v>
      </c>
      <c r="H2337" s="83">
        <v>0.07291666666666667</v>
      </c>
      <c r="I2337" s="84">
        <v>44531.0</v>
      </c>
      <c r="J2337" s="65" t="b">
        <v>1</v>
      </c>
      <c r="K2337" s="65"/>
      <c r="L2337" s="85" t="b">
        <f>IF(VLOOKUP(C2337,Projetos!A:L,12,false)=TRUE,TRUE,FALSE)</f>
        <v>1</v>
      </c>
      <c r="M2337" s="74">
        <v>73.7079846079846</v>
      </c>
      <c r="N2337" s="74">
        <f t="shared" si="1"/>
        <v>128.9889731</v>
      </c>
      <c r="O2337" s="74" t="b">
        <v>1</v>
      </c>
    </row>
    <row r="2338" hidden="1">
      <c r="A2338" s="82"/>
      <c r="B2338" s="65" t="s">
        <v>495</v>
      </c>
      <c r="C2338" s="65" t="s">
        <v>92</v>
      </c>
      <c r="D2338" s="65" t="str">
        <f>vlookup(C2338,'Classificação p pessoal'!F:G,2,false)</f>
        <v/>
      </c>
      <c r="E2338" s="65" t="s">
        <v>1494</v>
      </c>
      <c r="F2338" s="83">
        <v>0.71875</v>
      </c>
      <c r="G2338" s="83">
        <v>0.75</v>
      </c>
      <c r="H2338" s="83">
        <v>0.03125</v>
      </c>
      <c r="I2338" s="84">
        <v>44531.0</v>
      </c>
      <c r="J2338" s="65" t="b">
        <v>1</v>
      </c>
      <c r="K2338" s="65"/>
      <c r="L2338" s="85" t="b">
        <f>IF(VLOOKUP(C2338,Projetos!A:L,12,false)=TRUE,TRUE,FALSE)</f>
        <v>1</v>
      </c>
      <c r="M2338" s="74">
        <v>73.7079846079846</v>
      </c>
      <c r="N2338" s="74">
        <f t="shared" si="1"/>
        <v>55.28098846</v>
      </c>
      <c r="O2338" s="74" t="b">
        <v>1</v>
      </c>
    </row>
    <row r="2339" hidden="1">
      <c r="A2339" s="82"/>
      <c r="B2339" s="65" t="s">
        <v>495</v>
      </c>
      <c r="C2339" s="65" t="s">
        <v>92</v>
      </c>
      <c r="D2339" s="65" t="str">
        <f>vlookup(C2339,'Classificação p pessoal'!F:G,2,false)</f>
        <v/>
      </c>
      <c r="E2339" s="65" t="s">
        <v>1495</v>
      </c>
      <c r="F2339" s="83">
        <v>0.3263888888888889</v>
      </c>
      <c r="G2339" s="83">
        <v>0.4375</v>
      </c>
      <c r="H2339" s="83">
        <v>0.1111111111111111</v>
      </c>
      <c r="I2339" s="84">
        <v>44532.0</v>
      </c>
      <c r="J2339" s="65" t="b">
        <v>1</v>
      </c>
      <c r="K2339" s="65"/>
      <c r="L2339" s="85" t="b">
        <f>IF(VLOOKUP(C2339,Projetos!A:L,12,false)=TRUE,TRUE,FALSE)</f>
        <v>1</v>
      </c>
      <c r="M2339" s="74">
        <v>73.7079846079846</v>
      </c>
      <c r="N2339" s="74">
        <f t="shared" si="1"/>
        <v>196.5546256</v>
      </c>
      <c r="O2339" s="74" t="b">
        <v>1</v>
      </c>
    </row>
    <row r="2340" hidden="1">
      <c r="A2340" s="82"/>
      <c r="B2340" s="65" t="s">
        <v>495</v>
      </c>
      <c r="C2340" s="65" t="s">
        <v>92</v>
      </c>
      <c r="D2340" s="65" t="str">
        <f>vlookup(C2340,'Classificação p pessoal'!F:G,2,false)</f>
        <v/>
      </c>
      <c r="E2340" s="65" t="s">
        <v>1496</v>
      </c>
      <c r="F2340" s="83">
        <v>0.4375</v>
      </c>
      <c r="G2340" s="83">
        <v>0.5347222222222222</v>
      </c>
      <c r="H2340" s="83">
        <v>0.09722222222222222</v>
      </c>
      <c r="I2340" s="84">
        <v>44532.0</v>
      </c>
      <c r="J2340" s="65" t="b">
        <v>1</v>
      </c>
      <c r="K2340" s="65"/>
      <c r="L2340" s="85" t="b">
        <f>IF(VLOOKUP(C2340,Projetos!A:L,12,false)=TRUE,TRUE,FALSE)</f>
        <v>1</v>
      </c>
      <c r="M2340" s="74">
        <v>73.7079846079846</v>
      </c>
      <c r="N2340" s="74">
        <f t="shared" si="1"/>
        <v>171.9852974</v>
      </c>
      <c r="O2340" s="74" t="b">
        <v>1</v>
      </c>
    </row>
    <row r="2341" hidden="1">
      <c r="A2341" s="82"/>
      <c r="B2341" s="65" t="s">
        <v>495</v>
      </c>
      <c r="C2341" s="65" t="s">
        <v>117</v>
      </c>
      <c r="D2341" s="65" t="str">
        <f>vlookup(C2341,'Classificação p pessoal'!F:G,2,false)</f>
        <v>NP</v>
      </c>
      <c r="E2341" s="65" t="s">
        <v>1497</v>
      </c>
      <c r="F2341" s="83">
        <v>0.5833333333333334</v>
      </c>
      <c r="G2341" s="83">
        <v>0.625</v>
      </c>
      <c r="H2341" s="83">
        <v>0.041666666666666664</v>
      </c>
      <c r="I2341" s="84">
        <v>44532.0</v>
      </c>
      <c r="J2341" s="65" t="b">
        <v>1</v>
      </c>
      <c r="K2341" s="65"/>
      <c r="L2341" s="85" t="b">
        <f>IF(VLOOKUP(C2341,Projetos!A:L,12,false)=TRUE,TRUE,FALSE)</f>
        <v>1</v>
      </c>
      <c r="M2341" s="74">
        <v>73.7079846079846</v>
      </c>
      <c r="N2341" s="74">
        <f t="shared" si="1"/>
        <v>73.70798461</v>
      </c>
      <c r="O2341" s="74" t="b">
        <v>1</v>
      </c>
    </row>
    <row r="2342" hidden="1">
      <c r="A2342" s="82"/>
      <c r="B2342" s="65" t="s">
        <v>495</v>
      </c>
      <c r="C2342" s="65" t="s">
        <v>92</v>
      </c>
      <c r="D2342" s="65" t="str">
        <f>vlookup(C2342,'Classificação p pessoal'!F:G,2,false)</f>
        <v/>
      </c>
      <c r="E2342" s="65" t="s">
        <v>1498</v>
      </c>
      <c r="F2342" s="83">
        <v>0.625</v>
      </c>
      <c r="G2342" s="83">
        <v>0.6979166666666666</v>
      </c>
      <c r="H2342" s="83">
        <v>0.07291666666666667</v>
      </c>
      <c r="I2342" s="84">
        <v>44532.0</v>
      </c>
      <c r="J2342" s="65" t="b">
        <v>1</v>
      </c>
      <c r="K2342" s="65"/>
      <c r="L2342" s="85" t="b">
        <f>IF(VLOOKUP(C2342,Projetos!A:L,12,false)=TRUE,TRUE,FALSE)</f>
        <v>1</v>
      </c>
      <c r="M2342" s="74">
        <v>73.7079846079846</v>
      </c>
      <c r="N2342" s="74">
        <f t="shared" si="1"/>
        <v>128.9889731</v>
      </c>
      <c r="O2342" s="74" t="b">
        <v>1</v>
      </c>
    </row>
    <row r="2343" hidden="1">
      <c r="A2343" s="82"/>
      <c r="B2343" s="65" t="s">
        <v>495</v>
      </c>
      <c r="C2343" s="65" t="s">
        <v>92</v>
      </c>
      <c r="D2343" s="65" t="str">
        <f>vlookup(C2343,'Classificação p pessoal'!F:G,2,false)</f>
        <v/>
      </c>
      <c r="E2343" s="65" t="s">
        <v>1499</v>
      </c>
      <c r="F2343" s="83">
        <v>0.71875</v>
      </c>
      <c r="G2343" s="83">
        <v>0.75</v>
      </c>
      <c r="H2343" s="83">
        <v>0.03125</v>
      </c>
      <c r="I2343" s="84">
        <v>44532.0</v>
      </c>
      <c r="J2343" s="65" t="b">
        <v>1</v>
      </c>
      <c r="K2343" s="65"/>
      <c r="L2343" s="85" t="b">
        <f>IF(VLOOKUP(C2343,Projetos!A:L,12,false)=TRUE,TRUE,FALSE)</f>
        <v>1</v>
      </c>
      <c r="M2343" s="74">
        <v>73.7079846079846</v>
      </c>
      <c r="N2343" s="74">
        <f t="shared" si="1"/>
        <v>55.28098846</v>
      </c>
      <c r="O2343" s="74" t="b">
        <v>1</v>
      </c>
    </row>
    <row r="2344" hidden="1">
      <c r="A2344" s="82"/>
      <c r="B2344" s="65" t="s">
        <v>495</v>
      </c>
      <c r="C2344" s="65" t="s">
        <v>117</v>
      </c>
      <c r="D2344" s="65" t="str">
        <f>vlookup(C2344,'Classificação p pessoal'!F:G,2,false)</f>
        <v>NP</v>
      </c>
      <c r="E2344" s="65" t="s">
        <v>1500</v>
      </c>
      <c r="F2344" s="83">
        <v>0.3263888888888889</v>
      </c>
      <c r="G2344" s="83">
        <v>0.4583333333333333</v>
      </c>
      <c r="H2344" s="83">
        <v>0.13194444444444445</v>
      </c>
      <c r="I2344" s="84">
        <v>44533.0</v>
      </c>
      <c r="J2344" s="65" t="b">
        <v>1</v>
      </c>
      <c r="K2344" s="65"/>
      <c r="L2344" s="85" t="b">
        <f>IF(VLOOKUP(C2344,Projetos!A:L,12,false)=TRUE,TRUE,FALSE)</f>
        <v>1</v>
      </c>
      <c r="M2344" s="74">
        <v>73.7079846079846</v>
      </c>
      <c r="N2344" s="74">
        <f t="shared" si="1"/>
        <v>233.4086179</v>
      </c>
      <c r="O2344" s="74" t="b">
        <v>1</v>
      </c>
    </row>
    <row r="2345" hidden="1">
      <c r="A2345" s="82"/>
      <c r="B2345" s="65" t="s">
        <v>495</v>
      </c>
      <c r="C2345" s="65" t="s">
        <v>92</v>
      </c>
      <c r="D2345" s="65" t="str">
        <f>vlookup(C2345,'Classificação p pessoal'!F:G,2,false)</f>
        <v/>
      </c>
      <c r="E2345" s="65" t="s">
        <v>1501</v>
      </c>
      <c r="F2345" s="83">
        <v>0.4583333333333333</v>
      </c>
      <c r="G2345" s="83">
        <v>0.4791666666666667</v>
      </c>
      <c r="H2345" s="83">
        <v>0.020833333333333332</v>
      </c>
      <c r="I2345" s="84">
        <v>44533.0</v>
      </c>
      <c r="J2345" s="65" t="b">
        <v>1</v>
      </c>
      <c r="K2345" s="65"/>
      <c r="L2345" s="85" t="b">
        <f>IF(VLOOKUP(C2345,Projetos!A:L,12,false)=TRUE,TRUE,FALSE)</f>
        <v>1</v>
      </c>
      <c r="M2345" s="74">
        <v>73.7079846079846</v>
      </c>
      <c r="N2345" s="74">
        <f t="shared" si="1"/>
        <v>36.8539923</v>
      </c>
      <c r="O2345" s="74" t="b">
        <v>1</v>
      </c>
    </row>
    <row r="2346" hidden="1">
      <c r="A2346" s="82"/>
      <c r="B2346" s="65" t="s">
        <v>495</v>
      </c>
      <c r="C2346" s="65" t="s">
        <v>92</v>
      </c>
      <c r="D2346" s="65" t="str">
        <f>vlookup(C2346,'Classificação p pessoal'!F:G,2,false)</f>
        <v/>
      </c>
      <c r="E2346" s="65" t="s">
        <v>1495</v>
      </c>
      <c r="F2346" s="83">
        <v>0.4895833333333333</v>
      </c>
      <c r="G2346" s="83">
        <v>0.5833333333333334</v>
      </c>
      <c r="H2346" s="83">
        <v>0.09375</v>
      </c>
      <c r="I2346" s="84">
        <v>44533.0</v>
      </c>
      <c r="J2346" s="65" t="b">
        <v>1</v>
      </c>
      <c r="K2346" s="65"/>
      <c r="L2346" s="85" t="b">
        <f>IF(VLOOKUP(C2346,Projetos!A:L,12,false)=TRUE,TRUE,FALSE)</f>
        <v>1</v>
      </c>
      <c r="M2346" s="74">
        <v>73.7079846079846</v>
      </c>
      <c r="N2346" s="74">
        <f t="shared" si="1"/>
        <v>165.8429654</v>
      </c>
      <c r="O2346" s="74" t="b">
        <v>1</v>
      </c>
    </row>
    <row r="2347" hidden="1">
      <c r="A2347" s="82"/>
      <c r="B2347" s="65" t="s">
        <v>495</v>
      </c>
      <c r="C2347" s="65" t="s">
        <v>117</v>
      </c>
      <c r="D2347" s="65" t="str">
        <f>vlookup(C2347,'Classificação p pessoal'!F:G,2,false)</f>
        <v>NP</v>
      </c>
      <c r="E2347" s="65" t="s">
        <v>1502</v>
      </c>
      <c r="F2347" s="83">
        <v>0.625</v>
      </c>
      <c r="G2347" s="83">
        <v>0.6979166666666666</v>
      </c>
      <c r="H2347" s="83">
        <v>0.07291666666666667</v>
      </c>
      <c r="I2347" s="84">
        <v>44533.0</v>
      </c>
      <c r="J2347" s="65" t="b">
        <v>1</v>
      </c>
      <c r="K2347" s="65"/>
      <c r="L2347" s="85" t="b">
        <f>IF(VLOOKUP(C2347,Projetos!A:L,12,false)=TRUE,TRUE,FALSE)</f>
        <v>1</v>
      </c>
      <c r="M2347" s="74">
        <v>73.7079846079846</v>
      </c>
      <c r="N2347" s="74">
        <f t="shared" si="1"/>
        <v>128.9889731</v>
      </c>
      <c r="O2347" s="74" t="b">
        <v>1</v>
      </c>
    </row>
    <row r="2348" hidden="1">
      <c r="A2348" s="82"/>
      <c r="B2348" s="65" t="s">
        <v>495</v>
      </c>
      <c r="C2348" s="65" t="s">
        <v>92</v>
      </c>
      <c r="D2348" s="65" t="str">
        <f>vlookup(C2348,'Classificação p pessoal'!F:G,2,false)</f>
        <v/>
      </c>
      <c r="E2348" s="65" t="s">
        <v>1503</v>
      </c>
      <c r="F2348" s="83">
        <v>0.71875</v>
      </c>
      <c r="G2348" s="83">
        <v>0.75</v>
      </c>
      <c r="H2348" s="83">
        <v>0.03125</v>
      </c>
      <c r="I2348" s="84">
        <v>44533.0</v>
      </c>
      <c r="J2348" s="65" t="b">
        <v>1</v>
      </c>
      <c r="K2348" s="65"/>
      <c r="L2348" s="85" t="b">
        <f>IF(VLOOKUP(C2348,Projetos!A:L,12,false)=TRUE,TRUE,FALSE)</f>
        <v>1</v>
      </c>
      <c r="M2348" s="74">
        <v>73.7079846079846</v>
      </c>
      <c r="N2348" s="74">
        <f t="shared" si="1"/>
        <v>55.28098846</v>
      </c>
      <c r="O2348" s="74" t="b">
        <v>1</v>
      </c>
    </row>
    <row r="2349" hidden="1">
      <c r="A2349" s="82"/>
      <c r="B2349" s="65" t="s">
        <v>495</v>
      </c>
      <c r="C2349" s="65" t="s">
        <v>92</v>
      </c>
      <c r="D2349" s="65" t="str">
        <f>vlookup(C2349,'Classificação p pessoal'!F:G,2,false)</f>
        <v/>
      </c>
      <c r="E2349" s="65" t="s">
        <v>1504</v>
      </c>
      <c r="F2349" s="83">
        <v>0.3194444444444444</v>
      </c>
      <c r="G2349" s="83">
        <v>0.4166666666666667</v>
      </c>
      <c r="H2349" s="83">
        <v>0.09722222222222222</v>
      </c>
      <c r="I2349" s="84">
        <v>44536.0</v>
      </c>
      <c r="J2349" s="65" t="b">
        <v>1</v>
      </c>
      <c r="K2349" s="65"/>
      <c r="L2349" s="85" t="b">
        <f>IF(VLOOKUP(C2349,Projetos!A:L,12,false)=TRUE,TRUE,FALSE)</f>
        <v>1</v>
      </c>
      <c r="M2349" s="74">
        <v>73.7079846079846</v>
      </c>
      <c r="N2349" s="74">
        <f t="shared" si="1"/>
        <v>171.9852974</v>
      </c>
      <c r="O2349" s="74" t="b">
        <v>1</v>
      </c>
    </row>
    <row r="2350" hidden="1">
      <c r="A2350" s="82"/>
      <c r="B2350" s="65" t="s">
        <v>495</v>
      </c>
      <c r="C2350" s="65" t="s">
        <v>92</v>
      </c>
      <c r="D2350" s="65" t="str">
        <f>vlookup(C2350,'Classificação p pessoal'!F:G,2,false)</f>
        <v/>
      </c>
      <c r="E2350" s="65" t="s">
        <v>1505</v>
      </c>
      <c r="F2350" s="83">
        <v>0.4166666666666667</v>
      </c>
      <c r="G2350" s="83">
        <v>0.4583333333333333</v>
      </c>
      <c r="H2350" s="83">
        <v>0.041666666666666664</v>
      </c>
      <c r="I2350" s="84">
        <v>44536.0</v>
      </c>
      <c r="J2350" s="65" t="b">
        <v>1</v>
      </c>
      <c r="K2350" s="65"/>
      <c r="L2350" s="85" t="b">
        <f>IF(VLOOKUP(C2350,Projetos!A:L,12,false)=TRUE,TRUE,FALSE)</f>
        <v>1</v>
      </c>
      <c r="M2350" s="74">
        <v>73.7079846079846</v>
      </c>
      <c r="N2350" s="74">
        <f t="shared" si="1"/>
        <v>73.70798461</v>
      </c>
      <c r="O2350" s="74" t="b">
        <v>1</v>
      </c>
    </row>
    <row r="2351" hidden="1">
      <c r="A2351" s="82"/>
      <c r="B2351" s="65" t="s">
        <v>495</v>
      </c>
      <c r="C2351" s="65" t="s">
        <v>92</v>
      </c>
      <c r="D2351" s="65" t="str">
        <f>vlookup(C2351,'Classificação p pessoal'!F:G,2,false)</f>
        <v/>
      </c>
      <c r="E2351" s="65" t="s">
        <v>1496</v>
      </c>
      <c r="F2351" s="83">
        <v>0.4583333333333333</v>
      </c>
      <c r="G2351" s="83">
        <v>0.5416666666666666</v>
      </c>
      <c r="H2351" s="83">
        <v>0.08333333333333333</v>
      </c>
      <c r="I2351" s="84">
        <v>44536.0</v>
      </c>
      <c r="J2351" s="65" t="b">
        <v>1</v>
      </c>
      <c r="K2351" s="65"/>
      <c r="L2351" s="85" t="b">
        <f>IF(VLOOKUP(C2351,Projetos!A:L,12,false)=TRUE,TRUE,FALSE)</f>
        <v>1</v>
      </c>
      <c r="M2351" s="74">
        <v>73.7079846079846</v>
      </c>
      <c r="N2351" s="74">
        <f t="shared" si="1"/>
        <v>147.4159692</v>
      </c>
      <c r="O2351" s="74" t="b">
        <v>1</v>
      </c>
    </row>
    <row r="2352" hidden="1">
      <c r="A2352" s="82"/>
      <c r="B2352" s="65" t="s">
        <v>495</v>
      </c>
      <c r="C2352" s="65" t="s">
        <v>92</v>
      </c>
      <c r="D2352" s="65" t="str">
        <f>vlookup(C2352,'Classificação p pessoal'!F:G,2,false)</f>
        <v/>
      </c>
      <c r="E2352" s="65" t="s">
        <v>1506</v>
      </c>
      <c r="F2352" s="83">
        <v>0.5416666666666666</v>
      </c>
      <c r="G2352" s="83">
        <v>0.5763888888888888</v>
      </c>
      <c r="H2352" s="83">
        <v>0.034722222222222224</v>
      </c>
      <c r="I2352" s="84">
        <v>44536.0</v>
      </c>
      <c r="J2352" s="65" t="b">
        <v>1</v>
      </c>
      <c r="K2352" s="65"/>
      <c r="L2352" s="85" t="b">
        <f>IF(VLOOKUP(C2352,Projetos!A:L,12,false)=TRUE,TRUE,FALSE)</f>
        <v>1</v>
      </c>
      <c r="M2352" s="74">
        <v>73.7079846079846</v>
      </c>
      <c r="N2352" s="74">
        <f t="shared" si="1"/>
        <v>61.42332051</v>
      </c>
      <c r="O2352" s="74" t="b">
        <v>1</v>
      </c>
    </row>
    <row r="2353" hidden="1">
      <c r="A2353" s="82"/>
      <c r="B2353" s="65" t="s">
        <v>495</v>
      </c>
      <c r="C2353" s="65" t="s">
        <v>92</v>
      </c>
      <c r="D2353" s="65" t="str">
        <f>vlookup(C2353,'Classificação p pessoal'!F:G,2,false)</f>
        <v/>
      </c>
      <c r="E2353" s="65" t="s">
        <v>1507</v>
      </c>
      <c r="F2353" s="83">
        <v>0.6215277777777778</v>
      </c>
      <c r="G2353" s="83">
        <v>0.6979166666666666</v>
      </c>
      <c r="H2353" s="83">
        <v>0.0763888888888889</v>
      </c>
      <c r="I2353" s="84">
        <v>44536.0</v>
      </c>
      <c r="J2353" s="65" t="b">
        <v>1</v>
      </c>
      <c r="K2353" s="65"/>
      <c r="L2353" s="85" t="b">
        <f>IF(VLOOKUP(C2353,Projetos!A:L,12,false)=TRUE,TRUE,FALSE)</f>
        <v>1</v>
      </c>
      <c r="M2353" s="74">
        <v>73.7079846079846</v>
      </c>
      <c r="N2353" s="74">
        <f t="shared" si="1"/>
        <v>135.1313051</v>
      </c>
      <c r="O2353" s="74" t="b">
        <v>1</v>
      </c>
    </row>
    <row r="2354" hidden="1">
      <c r="A2354" s="82"/>
      <c r="B2354" s="65" t="s">
        <v>495</v>
      </c>
      <c r="C2354" s="65" t="s">
        <v>92</v>
      </c>
      <c r="D2354" s="65" t="str">
        <f>vlookup(C2354,'Classificação p pessoal'!F:G,2,false)</f>
        <v/>
      </c>
      <c r="E2354" s="65" t="s">
        <v>1507</v>
      </c>
      <c r="F2354" s="83">
        <v>0.71875</v>
      </c>
      <c r="G2354" s="83">
        <v>0.75</v>
      </c>
      <c r="H2354" s="83">
        <v>0.03125</v>
      </c>
      <c r="I2354" s="84">
        <v>44536.0</v>
      </c>
      <c r="J2354" s="65" t="b">
        <v>1</v>
      </c>
      <c r="K2354" s="65"/>
      <c r="L2354" s="85" t="b">
        <f>IF(VLOOKUP(C2354,Projetos!A:L,12,false)=TRUE,TRUE,FALSE)</f>
        <v>1</v>
      </c>
      <c r="M2354" s="74">
        <v>73.7079846079846</v>
      </c>
      <c r="N2354" s="74">
        <f t="shared" si="1"/>
        <v>55.28098846</v>
      </c>
      <c r="O2354" s="74" t="b">
        <v>1</v>
      </c>
    </row>
    <row r="2355">
      <c r="A2355" s="82"/>
      <c r="B2355" s="65" t="s">
        <v>495</v>
      </c>
      <c r="C2355" s="65" t="s">
        <v>108</v>
      </c>
      <c r="D2355" s="65" t="str">
        <f>vlookup(C2355,'Classificação p pessoal'!F:G,2,false)</f>
        <v>NP</v>
      </c>
      <c r="E2355" s="65" t="s">
        <v>1508</v>
      </c>
      <c r="F2355" s="83">
        <v>0.3229166666666667</v>
      </c>
      <c r="G2355" s="83">
        <v>0.4166666666666667</v>
      </c>
      <c r="H2355" s="83">
        <v>0.09375</v>
      </c>
      <c r="I2355" s="84">
        <v>44537.0</v>
      </c>
      <c r="J2355" s="65" t="b">
        <v>1</v>
      </c>
      <c r="K2355" s="65"/>
      <c r="L2355" s="85" t="b">
        <f>IF(VLOOKUP(C2355,Projetos!A:L,12,false)=TRUE,TRUE,FALSE)</f>
        <v>1</v>
      </c>
      <c r="M2355" s="74">
        <v>73.7079846079846</v>
      </c>
      <c r="N2355" s="74">
        <f t="shared" si="1"/>
        <v>165.8429654</v>
      </c>
      <c r="O2355" s="74" t="b">
        <v>1</v>
      </c>
    </row>
    <row r="2356" hidden="1">
      <c r="A2356" s="82"/>
      <c r="B2356" s="65" t="s">
        <v>495</v>
      </c>
      <c r="C2356" s="65" t="s">
        <v>92</v>
      </c>
      <c r="D2356" s="65" t="str">
        <f>vlookup(C2356,'Classificação p pessoal'!F:G,2,false)</f>
        <v/>
      </c>
      <c r="E2356" s="65" t="s">
        <v>1509</v>
      </c>
      <c r="F2356" s="83">
        <v>0.4166666666666667</v>
      </c>
      <c r="G2356" s="83">
        <v>0.4791666666666667</v>
      </c>
      <c r="H2356" s="83">
        <v>0.0625</v>
      </c>
      <c r="I2356" s="84">
        <v>44537.0</v>
      </c>
      <c r="J2356" s="65" t="b">
        <v>1</v>
      </c>
      <c r="K2356" s="65"/>
      <c r="L2356" s="85" t="b">
        <f>IF(VLOOKUP(C2356,Projetos!A:L,12,false)=TRUE,TRUE,FALSE)</f>
        <v>1</v>
      </c>
      <c r="M2356" s="74">
        <v>73.7079846079846</v>
      </c>
      <c r="N2356" s="74">
        <f t="shared" si="1"/>
        <v>110.5619769</v>
      </c>
      <c r="O2356" s="74" t="b">
        <v>1</v>
      </c>
    </row>
    <row r="2357" hidden="1">
      <c r="A2357" s="82"/>
      <c r="B2357" s="65" t="s">
        <v>495</v>
      </c>
      <c r="C2357" s="65" t="s">
        <v>92</v>
      </c>
      <c r="D2357" s="65" t="str">
        <f>vlookup(C2357,'Classificação p pessoal'!F:G,2,false)</f>
        <v/>
      </c>
      <c r="E2357" s="65" t="s">
        <v>1510</v>
      </c>
      <c r="F2357" s="83">
        <v>0.5104166666666666</v>
      </c>
      <c r="G2357" s="83">
        <v>0.5763888888888888</v>
      </c>
      <c r="H2357" s="83">
        <v>0.06597222222222222</v>
      </c>
      <c r="I2357" s="84">
        <v>44537.0</v>
      </c>
      <c r="J2357" s="65" t="b">
        <v>1</v>
      </c>
      <c r="K2357" s="65"/>
      <c r="L2357" s="85" t="b">
        <f>IF(VLOOKUP(C2357,Projetos!A:L,12,false)=TRUE,TRUE,FALSE)</f>
        <v>1</v>
      </c>
      <c r="M2357" s="74">
        <v>73.7079846079846</v>
      </c>
      <c r="N2357" s="74">
        <f t="shared" si="1"/>
        <v>116.704309</v>
      </c>
      <c r="O2357" s="74" t="b">
        <v>1</v>
      </c>
    </row>
    <row r="2358" hidden="1">
      <c r="A2358" s="82"/>
      <c r="B2358" s="65" t="s">
        <v>495</v>
      </c>
      <c r="C2358" s="65" t="s">
        <v>92</v>
      </c>
      <c r="D2358" s="65" t="str">
        <f>vlookup(C2358,'Classificação p pessoal'!F:G,2,false)</f>
        <v/>
      </c>
      <c r="E2358" s="65" t="s">
        <v>1511</v>
      </c>
      <c r="F2358" s="83">
        <v>0.625</v>
      </c>
      <c r="G2358" s="83">
        <v>0.65625</v>
      </c>
      <c r="H2358" s="83">
        <v>0.03125</v>
      </c>
      <c r="I2358" s="84">
        <v>44537.0</v>
      </c>
      <c r="J2358" s="65" t="b">
        <v>1</v>
      </c>
      <c r="K2358" s="65"/>
      <c r="L2358" s="85" t="b">
        <f>IF(VLOOKUP(C2358,Projetos!A:L,12,false)=TRUE,TRUE,FALSE)</f>
        <v>1</v>
      </c>
      <c r="M2358" s="74">
        <v>73.7079846079846</v>
      </c>
      <c r="N2358" s="74">
        <f t="shared" si="1"/>
        <v>55.28098846</v>
      </c>
      <c r="O2358" s="74" t="b">
        <v>1</v>
      </c>
    </row>
    <row r="2359" hidden="1">
      <c r="A2359" s="82"/>
      <c r="B2359" s="65" t="s">
        <v>495</v>
      </c>
      <c r="C2359" s="65" t="s">
        <v>92</v>
      </c>
      <c r="D2359" s="65" t="str">
        <f>vlookup(C2359,'Classificação p pessoal'!F:G,2,false)</f>
        <v/>
      </c>
      <c r="E2359" s="65" t="s">
        <v>1512</v>
      </c>
      <c r="F2359" s="83">
        <v>0.65625</v>
      </c>
      <c r="G2359" s="83">
        <v>0.6979166666666666</v>
      </c>
      <c r="H2359" s="83">
        <v>0.041666666666666664</v>
      </c>
      <c r="I2359" s="84">
        <v>44537.0</v>
      </c>
      <c r="J2359" s="65" t="b">
        <v>1</v>
      </c>
      <c r="K2359" s="65"/>
      <c r="L2359" s="85" t="b">
        <f>IF(VLOOKUP(C2359,Projetos!A:L,12,false)=TRUE,TRUE,FALSE)</f>
        <v>1</v>
      </c>
      <c r="M2359" s="74">
        <v>73.7079846079846</v>
      </c>
      <c r="N2359" s="74">
        <f t="shared" si="1"/>
        <v>73.70798461</v>
      </c>
      <c r="O2359" s="74" t="b">
        <v>1</v>
      </c>
    </row>
    <row r="2360" hidden="1">
      <c r="A2360" s="82"/>
      <c r="B2360" s="65" t="s">
        <v>495</v>
      </c>
      <c r="C2360" s="65" t="s">
        <v>92</v>
      </c>
      <c r="D2360" s="65" t="str">
        <f>vlookup(C2360,'Classificação p pessoal'!F:G,2,false)</f>
        <v/>
      </c>
      <c r="E2360" s="65" t="s">
        <v>1513</v>
      </c>
      <c r="F2360" s="83">
        <v>0.7152777777777778</v>
      </c>
      <c r="G2360" s="83">
        <v>0.75</v>
      </c>
      <c r="H2360" s="83">
        <v>0.034722222222222224</v>
      </c>
      <c r="I2360" s="84">
        <v>44537.0</v>
      </c>
      <c r="J2360" s="65" t="b">
        <v>1</v>
      </c>
      <c r="K2360" s="65"/>
      <c r="L2360" s="85" t="b">
        <f>IF(VLOOKUP(C2360,Projetos!A:L,12,false)=TRUE,TRUE,FALSE)</f>
        <v>1</v>
      </c>
      <c r="M2360" s="74">
        <v>73.7079846079846</v>
      </c>
      <c r="N2360" s="74">
        <f t="shared" si="1"/>
        <v>61.42332051</v>
      </c>
      <c r="O2360" s="74" t="b">
        <v>1</v>
      </c>
    </row>
    <row r="2361" hidden="1">
      <c r="A2361" s="82"/>
      <c r="B2361" s="65" t="s">
        <v>495</v>
      </c>
      <c r="C2361" s="65" t="s">
        <v>92</v>
      </c>
      <c r="D2361" s="65" t="str">
        <f>vlookup(C2361,'Classificação p pessoal'!F:G,2,false)</f>
        <v/>
      </c>
      <c r="E2361" s="65" t="s">
        <v>1514</v>
      </c>
      <c r="F2361" s="83">
        <v>0.3298611111111111</v>
      </c>
      <c r="G2361" s="83">
        <v>0.4583333333333333</v>
      </c>
      <c r="H2361" s="83">
        <v>0.1284722222222222</v>
      </c>
      <c r="I2361" s="84">
        <v>44538.0</v>
      </c>
      <c r="J2361" s="65" t="b">
        <v>1</v>
      </c>
      <c r="K2361" s="65"/>
      <c r="L2361" s="85" t="b">
        <f>IF(VLOOKUP(C2361,Projetos!A:L,12,false)=TRUE,TRUE,FALSE)</f>
        <v>1</v>
      </c>
      <c r="M2361" s="74">
        <v>73.7079846079846</v>
      </c>
      <c r="N2361" s="74">
        <f t="shared" si="1"/>
        <v>227.2662859</v>
      </c>
      <c r="O2361" s="74" t="b">
        <v>1</v>
      </c>
    </row>
    <row r="2362" hidden="1">
      <c r="A2362" s="82"/>
      <c r="B2362" s="65" t="s">
        <v>411</v>
      </c>
      <c r="C2362" s="65" t="s">
        <v>117</v>
      </c>
      <c r="D2362" s="65" t="str">
        <f>vlookup(C2362,'Classificação p pessoal'!F:G,2,false)</f>
        <v>NP</v>
      </c>
      <c r="E2362" s="65" t="s">
        <v>1515</v>
      </c>
      <c r="F2362" s="83">
        <v>0.375</v>
      </c>
      <c r="G2362" s="83">
        <v>0.4583333333333333</v>
      </c>
      <c r="H2362" s="83">
        <v>0.08333333333333333</v>
      </c>
      <c r="I2362" s="84">
        <v>44544.0</v>
      </c>
      <c r="J2362" s="65" t="b">
        <v>1</v>
      </c>
      <c r="K2362" s="65"/>
      <c r="L2362" s="85" t="b">
        <f>IF(VLOOKUP(C2362,Projetos!A:L,12,false)=TRUE,TRUE,FALSE)</f>
        <v>1</v>
      </c>
      <c r="M2362" s="74">
        <v>52.48434411075036</v>
      </c>
      <c r="N2362" s="74">
        <f t="shared" si="1"/>
        <v>104.9686882</v>
      </c>
      <c r="O2362" s="74" t="b">
        <v>1</v>
      </c>
    </row>
    <row r="2363" hidden="1">
      <c r="A2363" s="82"/>
      <c r="B2363" s="65" t="s">
        <v>495</v>
      </c>
      <c r="C2363" s="65" t="s">
        <v>92</v>
      </c>
      <c r="D2363" s="65" t="str">
        <f>vlookup(C2363,'Classificação p pessoal'!F:G,2,false)</f>
        <v/>
      </c>
      <c r="E2363" s="65" t="s">
        <v>1516</v>
      </c>
      <c r="F2363" s="83">
        <v>0.5</v>
      </c>
      <c r="G2363" s="83">
        <v>0.5798611111111112</v>
      </c>
      <c r="H2363" s="83">
        <v>0.0798611111111111</v>
      </c>
      <c r="I2363" s="84">
        <v>44538.0</v>
      </c>
      <c r="J2363" s="65" t="b">
        <v>1</v>
      </c>
      <c r="K2363" s="65"/>
      <c r="L2363" s="85" t="b">
        <f>IF(VLOOKUP(C2363,Projetos!A:L,12,false)=TRUE,TRUE,FALSE)</f>
        <v>1</v>
      </c>
      <c r="M2363" s="74">
        <v>73.7079846079846</v>
      </c>
      <c r="N2363" s="74">
        <f t="shared" si="1"/>
        <v>141.2736372</v>
      </c>
      <c r="O2363" s="74" t="b">
        <v>1</v>
      </c>
    </row>
    <row r="2364" hidden="1">
      <c r="A2364" s="82"/>
      <c r="B2364" s="65" t="s">
        <v>495</v>
      </c>
      <c r="C2364" s="65" t="s">
        <v>92</v>
      </c>
      <c r="D2364" s="65" t="str">
        <f>vlookup(C2364,'Classificação p pessoal'!F:G,2,false)</f>
        <v/>
      </c>
      <c r="E2364" s="65" t="s">
        <v>1517</v>
      </c>
      <c r="F2364" s="83">
        <v>0.625</v>
      </c>
      <c r="G2364" s="83">
        <v>0.6527777777777778</v>
      </c>
      <c r="H2364" s="83">
        <v>0.027777777777777776</v>
      </c>
      <c r="I2364" s="84">
        <v>44538.0</v>
      </c>
      <c r="J2364" s="65" t="b">
        <v>1</v>
      </c>
      <c r="K2364" s="65"/>
      <c r="L2364" s="85" t="b">
        <f>IF(VLOOKUP(C2364,Projetos!A:L,12,false)=TRUE,TRUE,FALSE)</f>
        <v>1</v>
      </c>
      <c r="M2364" s="74">
        <v>73.7079846079846</v>
      </c>
      <c r="N2364" s="74">
        <f t="shared" si="1"/>
        <v>49.13865641</v>
      </c>
      <c r="O2364" s="74" t="b">
        <v>1</v>
      </c>
    </row>
    <row r="2365" hidden="1">
      <c r="A2365" s="82"/>
      <c r="B2365" s="65" t="s">
        <v>495</v>
      </c>
      <c r="C2365" s="65" t="s">
        <v>92</v>
      </c>
      <c r="D2365" s="65" t="str">
        <f>vlookup(C2365,'Classificação p pessoal'!F:G,2,false)</f>
        <v/>
      </c>
      <c r="E2365" s="65" t="s">
        <v>1516</v>
      </c>
      <c r="F2365" s="83">
        <v>0.6527777777777778</v>
      </c>
      <c r="G2365" s="83">
        <v>0.7395833333333334</v>
      </c>
      <c r="H2365" s="83">
        <v>0.08680555555555555</v>
      </c>
      <c r="I2365" s="84">
        <v>44538.0</v>
      </c>
      <c r="J2365" s="65" t="b">
        <v>1</v>
      </c>
      <c r="K2365" s="65"/>
      <c r="L2365" s="85" t="b">
        <f>IF(VLOOKUP(C2365,Projetos!A:L,12,false)=TRUE,TRUE,FALSE)</f>
        <v>1</v>
      </c>
      <c r="M2365" s="74">
        <v>73.7079846079846</v>
      </c>
      <c r="N2365" s="74">
        <f t="shared" si="1"/>
        <v>153.5583013</v>
      </c>
      <c r="O2365" s="74" t="b">
        <v>1</v>
      </c>
    </row>
    <row r="2366" hidden="1">
      <c r="A2366" s="82"/>
      <c r="B2366" s="65" t="s">
        <v>495</v>
      </c>
      <c r="C2366" s="65" t="s">
        <v>92</v>
      </c>
      <c r="D2366" s="65"/>
      <c r="E2366" s="65" t="s">
        <v>1518</v>
      </c>
      <c r="F2366" s="83">
        <v>0.3229166666666667</v>
      </c>
      <c r="G2366" s="83">
        <v>0.4166666666666667</v>
      </c>
      <c r="H2366" s="83">
        <v>0.09375</v>
      </c>
      <c r="I2366" s="84">
        <v>44539.0</v>
      </c>
      <c r="J2366" s="65" t="b">
        <v>0</v>
      </c>
      <c r="K2366" s="65" t="s">
        <v>150</v>
      </c>
      <c r="L2366" s="85" t="b">
        <f>IF(VLOOKUP(C2366,Projetos!A:L,12,false)=TRUE,TRUE,FALSE)</f>
        <v>1</v>
      </c>
      <c r="M2366" s="74">
        <v>73.7079846079846</v>
      </c>
      <c r="N2366" s="74">
        <f t="shared" si="1"/>
        <v>0</v>
      </c>
      <c r="O2366" s="74" t="b">
        <v>1</v>
      </c>
    </row>
    <row r="2367" hidden="1">
      <c r="A2367" s="82"/>
      <c r="B2367" s="65" t="s">
        <v>495</v>
      </c>
      <c r="C2367" s="65" t="s">
        <v>92</v>
      </c>
      <c r="D2367" s="65" t="str">
        <f>vlookup(C2367,'Classificação p pessoal'!F:G,2,false)</f>
        <v/>
      </c>
      <c r="E2367" s="65" t="s">
        <v>1519</v>
      </c>
      <c r="F2367" s="83">
        <v>0.5</v>
      </c>
      <c r="G2367" s="83">
        <v>0.5833333333333334</v>
      </c>
      <c r="H2367" s="83">
        <v>0.08333333333333333</v>
      </c>
      <c r="I2367" s="84">
        <v>44539.0</v>
      </c>
      <c r="J2367" s="65" t="b">
        <v>1</v>
      </c>
      <c r="K2367" s="65"/>
      <c r="L2367" s="85" t="b">
        <f>IF(VLOOKUP(C2367,Projetos!A:L,12,false)=TRUE,TRUE,FALSE)</f>
        <v>1</v>
      </c>
      <c r="M2367" s="74">
        <v>73.7079846079846</v>
      </c>
      <c r="N2367" s="74">
        <f t="shared" si="1"/>
        <v>147.4159692</v>
      </c>
      <c r="O2367" s="74" t="b">
        <v>1</v>
      </c>
    </row>
    <row r="2368" hidden="1">
      <c r="A2368" s="82"/>
      <c r="B2368" s="65" t="s">
        <v>495</v>
      </c>
      <c r="C2368" s="65" t="s">
        <v>92</v>
      </c>
      <c r="D2368" s="65" t="str">
        <f>vlookup(C2368,'Classificação p pessoal'!F:G,2,false)</f>
        <v/>
      </c>
      <c r="E2368" s="65" t="s">
        <v>1060</v>
      </c>
      <c r="F2368" s="83">
        <v>0.625</v>
      </c>
      <c r="G2368" s="83">
        <v>0.6458333333333334</v>
      </c>
      <c r="H2368" s="83">
        <v>0.020833333333333332</v>
      </c>
      <c r="I2368" s="84">
        <v>44539.0</v>
      </c>
      <c r="J2368" s="65" t="b">
        <v>1</v>
      </c>
      <c r="K2368" s="65"/>
      <c r="L2368" s="85" t="b">
        <f>IF(VLOOKUP(C2368,Projetos!A:L,12,false)=TRUE,TRUE,FALSE)</f>
        <v>1</v>
      </c>
      <c r="M2368" s="74">
        <v>73.7079846079846</v>
      </c>
      <c r="N2368" s="74">
        <f t="shared" si="1"/>
        <v>36.8539923</v>
      </c>
      <c r="O2368" s="74" t="b">
        <v>1</v>
      </c>
    </row>
    <row r="2369" hidden="1">
      <c r="A2369" s="82"/>
      <c r="B2369" s="65" t="s">
        <v>495</v>
      </c>
      <c r="C2369" s="65" t="s">
        <v>92</v>
      </c>
      <c r="D2369" s="65" t="str">
        <f>vlookup(C2369,'Classificação p pessoal'!F:G,2,false)</f>
        <v/>
      </c>
      <c r="E2369" s="65" t="s">
        <v>1520</v>
      </c>
      <c r="F2369" s="83">
        <v>0.65625</v>
      </c>
      <c r="G2369" s="83">
        <v>0.6979166666666666</v>
      </c>
      <c r="H2369" s="83">
        <v>0.041666666666666664</v>
      </c>
      <c r="I2369" s="84">
        <v>44539.0</v>
      </c>
      <c r="J2369" s="65" t="b">
        <v>1</v>
      </c>
      <c r="K2369" s="65"/>
      <c r="L2369" s="85" t="b">
        <f>IF(VLOOKUP(C2369,Projetos!A:L,12,false)=TRUE,TRUE,FALSE)</f>
        <v>1</v>
      </c>
      <c r="M2369" s="74">
        <v>73.7079846079846</v>
      </c>
      <c r="N2369" s="74">
        <f t="shared" si="1"/>
        <v>73.70798461</v>
      </c>
      <c r="O2369" s="74" t="b">
        <v>1</v>
      </c>
    </row>
    <row r="2370" hidden="1">
      <c r="A2370" s="82"/>
      <c r="B2370" s="65" t="s">
        <v>495</v>
      </c>
      <c r="C2370" s="65" t="s">
        <v>92</v>
      </c>
      <c r="D2370" s="65" t="str">
        <f>vlookup(C2370,'Classificação p pessoal'!F:G,2,false)</f>
        <v/>
      </c>
      <c r="E2370" s="65" t="s">
        <v>837</v>
      </c>
      <c r="F2370" s="83">
        <v>0.7152777777777778</v>
      </c>
      <c r="G2370" s="83">
        <v>0.75</v>
      </c>
      <c r="H2370" s="83">
        <v>0.034722222222222224</v>
      </c>
      <c r="I2370" s="84">
        <v>44539.0</v>
      </c>
      <c r="J2370" s="65" t="b">
        <v>1</v>
      </c>
      <c r="K2370" s="65"/>
      <c r="L2370" s="85" t="b">
        <f>IF(VLOOKUP(C2370,Projetos!A:L,12,false)=TRUE,TRUE,FALSE)</f>
        <v>1</v>
      </c>
      <c r="M2370" s="74">
        <v>73.7079846079846</v>
      </c>
      <c r="N2370" s="74">
        <f t="shared" si="1"/>
        <v>61.42332051</v>
      </c>
      <c r="O2370" s="74" t="b">
        <v>1</v>
      </c>
    </row>
    <row r="2371" hidden="1">
      <c r="A2371" s="82"/>
      <c r="B2371" s="65" t="s">
        <v>495</v>
      </c>
      <c r="C2371" s="65" t="s">
        <v>92</v>
      </c>
      <c r="D2371" s="65" t="str">
        <f>vlookup(C2371,'Classificação p pessoal'!F:G,2,false)</f>
        <v/>
      </c>
      <c r="E2371" s="65" t="s">
        <v>1521</v>
      </c>
      <c r="F2371" s="83">
        <v>0.3298611111111111</v>
      </c>
      <c r="G2371" s="83">
        <v>0.375</v>
      </c>
      <c r="H2371" s="83">
        <v>0.04513888888888889</v>
      </c>
      <c r="I2371" s="84">
        <v>44540.0</v>
      </c>
      <c r="J2371" s="65" t="b">
        <v>1</v>
      </c>
      <c r="K2371" s="65"/>
      <c r="L2371" s="85" t="b">
        <f>IF(VLOOKUP(C2371,Projetos!A:L,12,false)=TRUE,TRUE,FALSE)</f>
        <v>1</v>
      </c>
      <c r="M2371" s="74">
        <v>73.7079846079846</v>
      </c>
      <c r="N2371" s="74">
        <f t="shared" si="1"/>
        <v>79.85031666</v>
      </c>
      <c r="O2371" s="74" t="b">
        <v>1</v>
      </c>
    </row>
    <row r="2372" hidden="1">
      <c r="A2372" s="82"/>
      <c r="B2372" s="65" t="s">
        <v>495</v>
      </c>
      <c r="C2372" s="65" t="s">
        <v>92</v>
      </c>
      <c r="D2372" s="65" t="str">
        <f>vlookup(C2372,'Classificação p pessoal'!F:G,2,false)</f>
        <v/>
      </c>
      <c r="E2372" s="65" t="s">
        <v>1522</v>
      </c>
      <c r="F2372" s="83">
        <v>0.3819444444444444</v>
      </c>
      <c r="G2372" s="83">
        <v>0.4791666666666667</v>
      </c>
      <c r="H2372" s="83">
        <v>0.09722222222222222</v>
      </c>
      <c r="I2372" s="84">
        <v>44540.0</v>
      </c>
      <c r="J2372" s="65" t="b">
        <v>1</v>
      </c>
      <c r="K2372" s="65"/>
      <c r="L2372" s="85" t="b">
        <f>IF(VLOOKUP(C2372,Projetos!A:L,12,false)=TRUE,TRUE,FALSE)</f>
        <v>1</v>
      </c>
      <c r="M2372" s="74">
        <v>73.7079846079846</v>
      </c>
      <c r="N2372" s="74">
        <f t="shared" si="1"/>
        <v>171.9852974</v>
      </c>
      <c r="O2372" s="74" t="b">
        <v>1</v>
      </c>
    </row>
    <row r="2373" hidden="1">
      <c r="A2373" s="82"/>
      <c r="B2373" s="65" t="s">
        <v>495</v>
      </c>
      <c r="C2373" s="65" t="s">
        <v>117</v>
      </c>
      <c r="D2373" s="65" t="str">
        <f>vlookup(C2373,'Classificação p pessoal'!F:G,2,false)</f>
        <v>NP</v>
      </c>
      <c r="E2373" s="65" t="s">
        <v>1523</v>
      </c>
      <c r="F2373" s="83">
        <v>0.4791666666666667</v>
      </c>
      <c r="G2373" s="83">
        <v>0.5763888888888888</v>
      </c>
      <c r="H2373" s="83">
        <v>0.09722222222222222</v>
      </c>
      <c r="I2373" s="84">
        <v>44540.0</v>
      </c>
      <c r="J2373" s="65" t="b">
        <v>1</v>
      </c>
      <c r="K2373" s="65"/>
      <c r="L2373" s="85" t="b">
        <f>IF(VLOOKUP(C2373,Projetos!A:L,12,false)=TRUE,TRUE,FALSE)</f>
        <v>1</v>
      </c>
      <c r="M2373" s="74">
        <v>73.7079846079846</v>
      </c>
      <c r="N2373" s="74">
        <f t="shared" si="1"/>
        <v>171.9852974</v>
      </c>
      <c r="O2373" s="74" t="b">
        <v>1</v>
      </c>
    </row>
    <row r="2374" hidden="1">
      <c r="A2374" s="82"/>
      <c r="B2374" s="65" t="s">
        <v>495</v>
      </c>
      <c r="C2374" s="65" t="s">
        <v>117</v>
      </c>
      <c r="D2374" s="65" t="str">
        <f>vlookup(C2374,'Classificação p pessoal'!F:G,2,false)</f>
        <v>NP</v>
      </c>
      <c r="E2374" s="65" t="s">
        <v>1524</v>
      </c>
      <c r="F2374" s="83">
        <v>0.3472222222222222</v>
      </c>
      <c r="G2374" s="83">
        <v>0.3958333333333333</v>
      </c>
      <c r="H2374" s="83">
        <v>0.04861111111111111</v>
      </c>
      <c r="I2374" s="84">
        <v>44543.0</v>
      </c>
      <c r="J2374" s="65" t="b">
        <v>1</v>
      </c>
      <c r="K2374" s="65"/>
      <c r="L2374" s="85" t="b">
        <f>IF(VLOOKUP(C2374,Projetos!A:L,12,false)=TRUE,TRUE,FALSE)</f>
        <v>1</v>
      </c>
      <c r="M2374" s="74">
        <v>73.7079846079846</v>
      </c>
      <c r="N2374" s="74">
        <f t="shared" si="1"/>
        <v>85.99264871</v>
      </c>
      <c r="O2374" s="74" t="b">
        <v>1</v>
      </c>
    </row>
    <row r="2375" hidden="1">
      <c r="A2375" s="82"/>
      <c r="B2375" s="65" t="s">
        <v>495</v>
      </c>
      <c r="C2375" s="65" t="s">
        <v>117</v>
      </c>
      <c r="D2375" s="65" t="str">
        <f>vlookup(C2375,'Classificação p pessoal'!F:G,2,false)</f>
        <v>NP</v>
      </c>
      <c r="E2375" s="65" t="s">
        <v>1525</v>
      </c>
      <c r="F2375" s="83">
        <v>0.4479166666666667</v>
      </c>
      <c r="G2375" s="83">
        <v>0.4583333333333333</v>
      </c>
      <c r="H2375" s="83">
        <v>0.010416666666666666</v>
      </c>
      <c r="I2375" s="84">
        <v>44543.0</v>
      </c>
      <c r="J2375" s="65" t="b">
        <v>1</v>
      </c>
      <c r="K2375" s="65"/>
      <c r="L2375" s="85" t="b">
        <f>IF(VLOOKUP(C2375,Projetos!A:L,12,false)=TRUE,TRUE,FALSE)</f>
        <v>1</v>
      </c>
      <c r="M2375" s="74">
        <v>73.7079846079846</v>
      </c>
      <c r="N2375" s="74">
        <f t="shared" si="1"/>
        <v>18.42699615</v>
      </c>
      <c r="O2375" s="74" t="b">
        <v>1</v>
      </c>
    </row>
    <row r="2376" hidden="1">
      <c r="A2376" s="82"/>
      <c r="B2376" s="65" t="s">
        <v>495</v>
      </c>
      <c r="C2376" s="65" t="s">
        <v>92</v>
      </c>
      <c r="D2376" s="65" t="str">
        <f>vlookup(C2376,'Classificação p pessoal'!F:G,2,false)</f>
        <v/>
      </c>
      <c r="E2376" s="65" t="s">
        <v>1526</v>
      </c>
      <c r="F2376" s="83">
        <v>0.4583333333333333</v>
      </c>
      <c r="G2376" s="83">
        <v>0.5416666666666666</v>
      </c>
      <c r="H2376" s="83">
        <v>0.08333333333333333</v>
      </c>
      <c r="I2376" s="84">
        <v>44543.0</v>
      </c>
      <c r="J2376" s="65" t="b">
        <v>1</v>
      </c>
      <c r="K2376" s="65"/>
      <c r="L2376" s="85" t="b">
        <f>IF(VLOOKUP(C2376,Projetos!A:L,12,false)=TRUE,TRUE,FALSE)</f>
        <v>1</v>
      </c>
      <c r="M2376" s="74">
        <v>73.7079846079846</v>
      </c>
      <c r="N2376" s="74">
        <f t="shared" si="1"/>
        <v>147.4159692</v>
      </c>
      <c r="O2376" s="74" t="b">
        <v>1</v>
      </c>
    </row>
    <row r="2377" hidden="1">
      <c r="A2377" s="82"/>
      <c r="B2377" s="65" t="s">
        <v>495</v>
      </c>
      <c r="C2377" s="65" t="s">
        <v>92</v>
      </c>
      <c r="D2377" s="65" t="str">
        <f>vlookup(C2377,'Classificação p pessoal'!F:G,2,false)</f>
        <v/>
      </c>
      <c r="E2377" s="65" t="s">
        <v>1527</v>
      </c>
      <c r="F2377" s="83">
        <v>0.5833333333333334</v>
      </c>
      <c r="G2377" s="83">
        <v>0.625</v>
      </c>
      <c r="H2377" s="83">
        <v>0.041666666666666664</v>
      </c>
      <c r="I2377" s="84">
        <v>44543.0</v>
      </c>
      <c r="J2377" s="65" t="b">
        <v>1</v>
      </c>
      <c r="K2377" s="65"/>
      <c r="L2377" s="85" t="b">
        <f>IF(VLOOKUP(C2377,Projetos!A:L,12,false)=TRUE,TRUE,FALSE)</f>
        <v>1</v>
      </c>
      <c r="M2377" s="74">
        <v>73.7079846079846</v>
      </c>
      <c r="N2377" s="74">
        <f t="shared" si="1"/>
        <v>73.70798461</v>
      </c>
      <c r="O2377" s="74" t="b">
        <v>1</v>
      </c>
    </row>
    <row r="2378" hidden="1">
      <c r="A2378" s="82"/>
      <c r="B2378" s="65" t="s">
        <v>495</v>
      </c>
      <c r="C2378" s="65" t="s">
        <v>117</v>
      </c>
      <c r="D2378" s="65" t="str">
        <f>vlookup(C2378,'Classificação p pessoal'!F:G,2,false)</f>
        <v>NP</v>
      </c>
      <c r="E2378" s="65" t="s">
        <v>1528</v>
      </c>
      <c r="F2378" s="83">
        <v>0.625</v>
      </c>
      <c r="G2378" s="83">
        <v>0.75</v>
      </c>
      <c r="H2378" s="83">
        <v>0.125</v>
      </c>
      <c r="I2378" s="84">
        <v>44543.0</v>
      </c>
      <c r="J2378" s="65" t="b">
        <v>1</v>
      </c>
      <c r="K2378" s="65"/>
      <c r="L2378" s="85" t="b">
        <f>IF(VLOOKUP(C2378,Projetos!A:L,12,false)=TRUE,TRUE,FALSE)</f>
        <v>1</v>
      </c>
      <c r="M2378" s="74">
        <v>73.7079846079846</v>
      </c>
      <c r="N2378" s="74">
        <f t="shared" si="1"/>
        <v>221.1239538</v>
      </c>
      <c r="O2378" s="74" t="b">
        <v>1</v>
      </c>
    </row>
    <row r="2379" hidden="1">
      <c r="A2379" s="82"/>
      <c r="B2379" s="65" t="s">
        <v>495</v>
      </c>
      <c r="C2379" s="65" t="s">
        <v>92</v>
      </c>
      <c r="D2379" s="65" t="str">
        <f>vlookup(C2379,'Classificação p pessoal'!F:G,2,false)</f>
        <v/>
      </c>
      <c r="E2379" s="65" t="s">
        <v>834</v>
      </c>
      <c r="F2379" s="83">
        <v>0.3472222222222222</v>
      </c>
      <c r="G2379" s="83">
        <v>0.3958333333333333</v>
      </c>
      <c r="H2379" s="83">
        <v>0.04861111111111111</v>
      </c>
      <c r="I2379" s="84">
        <v>44544.0</v>
      </c>
      <c r="J2379" s="65" t="b">
        <v>1</v>
      </c>
      <c r="K2379" s="65"/>
      <c r="L2379" s="85" t="b">
        <f>IF(VLOOKUP(C2379,Projetos!A:L,12,false)=TRUE,TRUE,FALSE)</f>
        <v>1</v>
      </c>
      <c r="M2379" s="74">
        <v>73.7079846079846</v>
      </c>
      <c r="N2379" s="74">
        <f t="shared" si="1"/>
        <v>85.99264871</v>
      </c>
      <c r="O2379" s="74" t="b">
        <v>1</v>
      </c>
    </row>
    <row r="2380" hidden="1">
      <c r="A2380" s="82"/>
      <c r="B2380" s="65" t="s">
        <v>495</v>
      </c>
      <c r="C2380" s="65" t="s">
        <v>92</v>
      </c>
      <c r="D2380" s="65" t="str">
        <f>vlookup(C2380,'Classificação p pessoal'!F:G,2,false)</f>
        <v/>
      </c>
      <c r="E2380" s="65" t="s">
        <v>1529</v>
      </c>
      <c r="F2380" s="83">
        <v>0.3958333333333333</v>
      </c>
      <c r="G2380" s="83">
        <v>0.4375</v>
      </c>
      <c r="H2380" s="83">
        <v>0.041666666666666664</v>
      </c>
      <c r="I2380" s="84">
        <v>44544.0</v>
      </c>
      <c r="J2380" s="65" t="b">
        <v>1</v>
      </c>
      <c r="K2380" s="65"/>
      <c r="L2380" s="85" t="b">
        <f>IF(VLOOKUP(C2380,Projetos!A:L,12,false)=TRUE,TRUE,FALSE)</f>
        <v>1</v>
      </c>
      <c r="M2380" s="74">
        <v>73.7079846079846</v>
      </c>
      <c r="N2380" s="74">
        <f t="shared" si="1"/>
        <v>73.70798461</v>
      </c>
      <c r="O2380" s="74" t="b">
        <v>1</v>
      </c>
    </row>
    <row r="2381" hidden="1">
      <c r="A2381" s="82"/>
      <c r="B2381" s="65" t="s">
        <v>495</v>
      </c>
      <c r="C2381" s="65" t="s">
        <v>92</v>
      </c>
      <c r="D2381" s="65"/>
      <c r="E2381" s="65" t="s">
        <v>1530</v>
      </c>
      <c r="F2381" s="83">
        <v>0.4375</v>
      </c>
      <c r="G2381" s="83">
        <v>0.4583333333333333</v>
      </c>
      <c r="H2381" s="83">
        <v>0.020833333333333332</v>
      </c>
      <c r="I2381" s="84">
        <v>44544.0</v>
      </c>
      <c r="J2381" s="65" t="b">
        <v>0</v>
      </c>
      <c r="K2381" s="65" t="s">
        <v>150</v>
      </c>
      <c r="L2381" s="85" t="b">
        <f>IF(VLOOKUP(C2381,Projetos!A:L,12,false)=TRUE,TRUE,FALSE)</f>
        <v>1</v>
      </c>
      <c r="M2381" s="74">
        <v>73.7079846079846</v>
      </c>
      <c r="N2381" s="74">
        <f t="shared" si="1"/>
        <v>0</v>
      </c>
      <c r="O2381" s="74" t="b">
        <v>1</v>
      </c>
    </row>
    <row r="2382" hidden="1">
      <c r="A2382" s="82"/>
      <c r="B2382" s="65" t="s">
        <v>495</v>
      </c>
      <c r="C2382" s="65" t="s">
        <v>92</v>
      </c>
      <c r="D2382" s="65" t="str">
        <f>vlookup(C2382,'Classificação p pessoal'!F:G,2,false)</f>
        <v/>
      </c>
      <c r="E2382" s="65" t="s">
        <v>1531</v>
      </c>
      <c r="F2382" s="83">
        <v>0.4583333333333333</v>
      </c>
      <c r="G2382" s="83">
        <v>0.5</v>
      </c>
      <c r="H2382" s="83">
        <v>0.041666666666666664</v>
      </c>
      <c r="I2382" s="84">
        <v>44544.0</v>
      </c>
      <c r="J2382" s="65" t="b">
        <v>1</v>
      </c>
      <c r="K2382" s="65"/>
      <c r="L2382" s="85" t="b">
        <f>IF(VLOOKUP(C2382,Projetos!A:L,12,false)=TRUE,TRUE,FALSE)</f>
        <v>1</v>
      </c>
      <c r="M2382" s="74">
        <v>73.7079846079846</v>
      </c>
      <c r="N2382" s="74">
        <f t="shared" si="1"/>
        <v>73.70798461</v>
      </c>
      <c r="O2382" s="74" t="b">
        <v>1</v>
      </c>
    </row>
    <row r="2383" hidden="1">
      <c r="A2383" s="82"/>
      <c r="B2383" s="65" t="s">
        <v>495</v>
      </c>
      <c r="C2383" s="65" t="s">
        <v>92</v>
      </c>
      <c r="D2383" s="65" t="str">
        <f>vlookup(C2383,'Classificação p pessoal'!F:G,2,false)</f>
        <v/>
      </c>
      <c r="E2383" s="65" t="s">
        <v>1532</v>
      </c>
      <c r="F2383" s="83">
        <v>0.5</v>
      </c>
      <c r="G2383" s="83">
        <v>0.5555555555555556</v>
      </c>
      <c r="H2383" s="83">
        <v>0.05555555555555555</v>
      </c>
      <c r="I2383" s="84">
        <v>44544.0</v>
      </c>
      <c r="J2383" s="65" t="b">
        <v>1</v>
      </c>
      <c r="K2383" s="65"/>
      <c r="L2383" s="85" t="b">
        <f>IF(VLOOKUP(C2383,Projetos!A:L,12,false)=TRUE,TRUE,FALSE)</f>
        <v>1</v>
      </c>
      <c r="M2383" s="74">
        <v>73.7079846079846</v>
      </c>
      <c r="N2383" s="74">
        <f t="shared" si="1"/>
        <v>98.27731281</v>
      </c>
      <c r="O2383" s="74" t="b">
        <v>1</v>
      </c>
    </row>
    <row r="2384" hidden="1">
      <c r="A2384" s="82"/>
      <c r="B2384" s="65" t="s">
        <v>495</v>
      </c>
      <c r="C2384" s="65" t="s">
        <v>92</v>
      </c>
      <c r="D2384" s="65" t="str">
        <f>vlookup(C2384,'Classificação p pessoal'!F:G,2,false)</f>
        <v/>
      </c>
      <c r="E2384" s="65" t="s">
        <v>1059</v>
      </c>
      <c r="F2384" s="83">
        <v>0.5555555555555556</v>
      </c>
      <c r="G2384" s="83">
        <v>0.5763888888888888</v>
      </c>
      <c r="H2384" s="83">
        <v>0.020833333333333332</v>
      </c>
      <c r="I2384" s="84">
        <v>44544.0</v>
      </c>
      <c r="J2384" s="65" t="b">
        <v>1</v>
      </c>
      <c r="K2384" s="65"/>
      <c r="L2384" s="85" t="b">
        <f>IF(VLOOKUP(C2384,Projetos!A:L,12,false)=TRUE,TRUE,FALSE)</f>
        <v>1</v>
      </c>
      <c r="M2384" s="74">
        <v>73.7079846079846</v>
      </c>
      <c r="N2384" s="74">
        <f t="shared" si="1"/>
        <v>36.8539923</v>
      </c>
      <c r="O2384" s="74" t="b">
        <v>1</v>
      </c>
    </row>
    <row r="2385" hidden="1">
      <c r="A2385" s="82"/>
      <c r="B2385" s="65" t="s">
        <v>495</v>
      </c>
      <c r="C2385" s="65" t="s">
        <v>92</v>
      </c>
      <c r="D2385" s="65" t="str">
        <f>vlookup(C2385,'Classificação p pessoal'!F:G,2,false)</f>
        <v/>
      </c>
      <c r="E2385" s="65" t="s">
        <v>1059</v>
      </c>
      <c r="F2385" s="83">
        <v>0.6180555555555556</v>
      </c>
      <c r="G2385" s="83">
        <v>0.6666666666666666</v>
      </c>
      <c r="H2385" s="83">
        <v>0.04861111111111111</v>
      </c>
      <c r="I2385" s="84">
        <v>44544.0</v>
      </c>
      <c r="J2385" s="65" t="b">
        <v>1</v>
      </c>
      <c r="K2385" s="65"/>
      <c r="L2385" s="85" t="b">
        <f>IF(VLOOKUP(C2385,Projetos!A:L,12,false)=TRUE,TRUE,FALSE)</f>
        <v>1</v>
      </c>
      <c r="M2385" s="74">
        <v>73.7079846079846</v>
      </c>
      <c r="N2385" s="74">
        <f t="shared" si="1"/>
        <v>85.99264871</v>
      </c>
      <c r="O2385" s="74" t="b">
        <v>1</v>
      </c>
    </row>
    <row r="2386" hidden="1">
      <c r="A2386" s="82"/>
      <c r="B2386" s="65" t="s">
        <v>495</v>
      </c>
      <c r="C2386" s="65" t="s">
        <v>100</v>
      </c>
      <c r="D2386" s="65" t="str">
        <f>vlookup(C2386,'Classificação p pessoal'!F:G,2,false)</f>
        <v>NP</v>
      </c>
      <c r="E2386" s="65" t="s">
        <v>1533</v>
      </c>
      <c r="F2386" s="83">
        <v>0.6666666666666666</v>
      </c>
      <c r="G2386" s="83">
        <v>0.75</v>
      </c>
      <c r="H2386" s="83">
        <v>0.08333333333333333</v>
      </c>
      <c r="I2386" s="84">
        <v>44544.0</v>
      </c>
      <c r="J2386" s="65" t="b">
        <v>1</v>
      </c>
      <c r="K2386" s="65"/>
      <c r="L2386" s="85" t="b">
        <f>IF(VLOOKUP(C2386,Projetos!A:L,12,false)=TRUE,TRUE,FALSE)</f>
        <v>1</v>
      </c>
      <c r="M2386" s="74">
        <v>73.7079846079846</v>
      </c>
      <c r="N2386" s="74">
        <f t="shared" si="1"/>
        <v>147.4159692</v>
      </c>
      <c r="O2386" s="74" t="b">
        <v>1</v>
      </c>
    </row>
    <row r="2387" hidden="1">
      <c r="A2387" s="82"/>
      <c r="B2387" s="65" t="s">
        <v>495</v>
      </c>
      <c r="C2387" s="65" t="s">
        <v>92</v>
      </c>
      <c r="D2387" s="65"/>
      <c r="E2387" s="65" t="s">
        <v>1534</v>
      </c>
      <c r="F2387" s="83">
        <v>0.4166666666666667</v>
      </c>
      <c r="G2387" s="83">
        <v>0.4583333333333333</v>
      </c>
      <c r="H2387" s="83">
        <v>0.041666666666666664</v>
      </c>
      <c r="I2387" s="84">
        <v>44545.0</v>
      </c>
      <c r="J2387" s="65" t="b">
        <v>0</v>
      </c>
      <c r="K2387" s="65" t="s">
        <v>150</v>
      </c>
      <c r="L2387" s="85" t="b">
        <f>IF(VLOOKUP(C2387,Projetos!A:L,12,false)=TRUE,TRUE,FALSE)</f>
        <v>1</v>
      </c>
      <c r="M2387" s="74">
        <v>73.7079846079846</v>
      </c>
      <c r="N2387" s="74">
        <f t="shared" si="1"/>
        <v>0</v>
      </c>
      <c r="O2387" s="74" t="b">
        <v>1</v>
      </c>
    </row>
    <row r="2388" hidden="1">
      <c r="A2388" s="82"/>
      <c r="B2388" s="65" t="s">
        <v>495</v>
      </c>
      <c r="C2388" s="65" t="s">
        <v>92</v>
      </c>
      <c r="D2388" s="65" t="str">
        <f>vlookup(C2388,'Classificação p pessoal'!F:G,2,false)</f>
        <v/>
      </c>
      <c r="E2388" s="65" t="s">
        <v>1529</v>
      </c>
      <c r="F2388" s="83">
        <v>0.4583333333333333</v>
      </c>
      <c r="G2388" s="83">
        <v>0.5833333333333334</v>
      </c>
      <c r="H2388" s="83">
        <v>0.125</v>
      </c>
      <c r="I2388" s="84">
        <v>44545.0</v>
      </c>
      <c r="J2388" s="65" t="b">
        <v>1</v>
      </c>
      <c r="K2388" s="65"/>
      <c r="L2388" s="85" t="b">
        <f>IF(VLOOKUP(C2388,Projetos!A:L,12,false)=TRUE,TRUE,FALSE)</f>
        <v>1</v>
      </c>
      <c r="M2388" s="74">
        <v>73.7079846079846</v>
      </c>
      <c r="N2388" s="74">
        <f t="shared" si="1"/>
        <v>221.1239538</v>
      </c>
      <c r="O2388" s="74" t="b">
        <v>1</v>
      </c>
    </row>
    <row r="2389" hidden="1">
      <c r="A2389" s="82"/>
      <c r="B2389" s="65" t="s">
        <v>495</v>
      </c>
      <c r="C2389" s="65" t="s">
        <v>92</v>
      </c>
      <c r="D2389" s="65" t="str">
        <f>vlookup(C2389,'Classificação p pessoal'!F:G,2,false)</f>
        <v/>
      </c>
      <c r="E2389" s="65" t="s">
        <v>1535</v>
      </c>
      <c r="F2389" s="83">
        <v>0.625</v>
      </c>
      <c r="G2389" s="83">
        <v>0.6979166666666666</v>
      </c>
      <c r="H2389" s="83">
        <v>0.07291666666666667</v>
      </c>
      <c r="I2389" s="84">
        <v>44545.0</v>
      </c>
      <c r="J2389" s="65" t="b">
        <v>1</v>
      </c>
      <c r="K2389" s="65"/>
      <c r="L2389" s="85" t="b">
        <f>IF(VLOOKUP(C2389,Projetos!A:L,12,false)=TRUE,TRUE,FALSE)</f>
        <v>1</v>
      </c>
      <c r="M2389" s="74">
        <v>73.7079846079846</v>
      </c>
      <c r="N2389" s="74">
        <f t="shared" si="1"/>
        <v>128.9889731</v>
      </c>
      <c r="O2389" s="74" t="b">
        <v>1</v>
      </c>
    </row>
    <row r="2390" hidden="1">
      <c r="A2390" s="82"/>
      <c r="B2390" s="65" t="s">
        <v>495</v>
      </c>
      <c r="C2390" s="65" t="s">
        <v>92</v>
      </c>
      <c r="D2390" s="65" t="str">
        <f>vlookup(C2390,'Classificação p pessoal'!F:G,2,false)</f>
        <v/>
      </c>
      <c r="E2390" s="65" t="s">
        <v>1536</v>
      </c>
      <c r="F2390" s="83">
        <v>0.71875</v>
      </c>
      <c r="G2390" s="83">
        <v>0.7638888888888888</v>
      </c>
      <c r="H2390" s="83">
        <v>0.04513888888888889</v>
      </c>
      <c r="I2390" s="84">
        <v>44545.0</v>
      </c>
      <c r="J2390" s="65" t="b">
        <v>1</v>
      </c>
      <c r="K2390" s="65"/>
      <c r="L2390" s="85" t="b">
        <f>IF(VLOOKUP(C2390,Projetos!A:L,12,false)=TRUE,TRUE,FALSE)</f>
        <v>1</v>
      </c>
      <c r="M2390" s="74">
        <v>73.7079846079846</v>
      </c>
      <c r="N2390" s="74">
        <f t="shared" si="1"/>
        <v>79.85031666</v>
      </c>
      <c r="O2390" s="74" t="b">
        <v>1</v>
      </c>
    </row>
    <row r="2391">
      <c r="A2391" s="82"/>
      <c r="B2391" s="65" t="s">
        <v>495</v>
      </c>
      <c r="C2391" s="65" t="s">
        <v>108</v>
      </c>
      <c r="D2391" s="65" t="str">
        <f>vlookup(C2391,'Classificação p pessoal'!F:G,2,false)</f>
        <v>NP</v>
      </c>
      <c r="E2391" s="65" t="s">
        <v>1537</v>
      </c>
      <c r="F2391" s="83">
        <v>0.3472222222222222</v>
      </c>
      <c r="G2391" s="83">
        <v>0.4166666666666667</v>
      </c>
      <c r="H2391" s="83">
        <v>0.06944444444444445</v>
      </c>
      <c r="I2391" s="84">
        <v>44546.0</v>
      </c>
      <c r="J2391" s="65" t="b">
        <v>1</v>
      </c>
      <c r="K2391" s="65"/>
      <c r="L2391" s="85" t="b">
        <f>IF(VLOOKUP(C2391,Projetos!A:L,12,false)=TRUE,TRUE,FALSE)</f>
        <v>1</v>
      </c>
      <c r="M2391" s="74">
        <v>73.7079846079846</v>
      </c>
      <c r="N2391" s="74">
        <f t="shared" si="1"/>
        <v>122.846641</v>
      </c>
      <c r="O2391" s="74" t="b">
        <v>1</v>
      </c>
    </row>
    <row r="2392" hidden="1">
      <c r="A2392" s="82"/>
      <c r="B2392" s="65" t="s">
        <v>495</v>
      </c>
      <c r="C2392" s="65" t="s">
        <v>92</v>
      </c>
      <c r="D2392" s="65" t="str">
        <f>vlookup(C2392,'Classificação p pessoal'!F:G,2,false)</f>
        <v/>
      </c>
      <c r="E2392" s="65" t="s">
        <v>1538</v>
      </c>
      <c r="F2392" s="83">
        <v>0.4375</v>
      </c>
      <c r="G2392" s="83">
        <v>0.5416666666666666</v>
      </c>
      <c r="H2392" s="83">
        <v>0.10416666666666667</v>
      </c>
      <c r="I2392" s="84">
        <v>44546.0</v>
      </c>
      <c r="J2392" s="65" t="b">
        <v>1</v>
      </c>
      <c r="K2392" s="65"/>
      <c r="L2392" s="85" t="b">
        <f>IF(VLOOKUP(C2392,Projetos!A:L,12,false)=TRUE,TRUE,FALSE)</f>
        <v>1</v>
      </c>
      <c r="M2392" s="74">
        <v>73.7079846079846</v>
      </c>
      <c r="N2392" s="74">
        <f t="shared" si="1"/>
        <v>184.2699615</v>
      </c>
      <c r="O2392" s="74" t="b">
        <v>1</v>
      </c>
    </row>
    <row r="2393" hidden="1">
      <c r="A2393" s="82"/>
      <c r="B2393" s="65" t="s">
        <v>495</v>
      </c>
      <c r="C2393" s="65" t="s">
        <v>92</v>
      </c>
      <c r="D2393" s="65" t="str">
        <f>vlookup(C2393,'Classificação p pessoal'!F:G,2,false)</f>
        <v/>
      </c>
      <c r="E2393" s="65" t="s">
        <v>1539</v>
      </c>
      <c r="F2393" s="83">
        <v>0.5833333333333334</v>
      </c>
      <c r="G2393" s="83">
        <v>0.625</v>
      </c>
      <c r="H2393" s="83">
        <v>0.041666666666666664</v>
      </c>
      <c r="I2393" s="84">
        <v>44546.0</v>
      </c>
      <c r="J2393" s="65" t="b">
        <v>1</v>
      </c>
      <c r="K2393" s="65"/>
      <c r="L2393" s="85" t="b">
        <f>IF(VLOOKUP(C2393,Projetos!A:L,12,false)=TRUE,TRUE,FALSE)</f>
        <v>1</v>
      </c>
      <c r="M2393" s="74">
        <v>73.7079846079846</v>
      </c>
      <c r="N2393" s="74">
        <f t="shared" si="1"/>
        <v>73.70798461</v>
      </c>
      <c r="O2393" s="74" t="b">
        <v>1</v>
      </c>
    </row>
    <row r="2394" hidden="1">
      <c r="A2394" s="82"/>
      <c r="B2394" s="65" t="s">
        <v>495</v>
      </c>
      <c r="C2394" s="65" t="s">
        <v>92</v>
      </c>
      <c r="D2394" s="65"/>
      <c r="E2394" s="65" t="s">
        <v>1118</v>
      </c>
      <c r="F2394" s="83">
        <v>0.625</v>
      </c>
      <c r="G2394" s="83">
        <v>0.6875</v>
      </c>
      <c r="H2394" s="83">
        <v>0.0625</v>
      </c>
      <c r="I2394" s="84">
        <v>44546.0</v>
      </c>
      <c r="J2394" s="65" t="b">
        <v>0</v>
      </c>
      <c r="K2394" s="65" t="s">
        <v>150</v>
      </c>
      <c r="L2394" s="85" t="b">
        <f>IF(VLOOKUP(C2394,Projetos!A:L,12,false)=TRUE,TRUE,FALSE)</f>
        <v>1</v>
      </c>
      <c r="M2394" s="74">
        <v>73.7079846079846</v>
      </c>
      <c r="N2394" s="74">
        <f t="shared" si="1"/>
        <v>0</v>
      </c>
      <c r="O2394" s="74" t="b">
        <v>1</v>
      </c>
    </row>
    <row r="2395">
      <c r="A2395" s="82"/>
      <c r="B2395" s="65" t="s">
        <v>495</v>
      </c>
      <c r="C2395" s="65" t="s">
        <v>108</v>
      </c>
      <c r="D2395" s="65" t="str">
        <f>vlookup(C2395,'Classificação p pessoal'!F:G,2,false)</f>
        <v>NP</v>
      </c>
      <c r="E2395" s="65" t="s">
        <v>1540</v>
      </c>
      <c r="F2395" s="83">
        <v>0.6944444444444444</v>
      </c>
      <c r="G2395" s="83">
        <v>0.7083333333333334</v>
      </c>
      <c r="H2395" s="83">
        <v>0.013888888888888888</v>
      </c>
      <c r="I2395" s="84">
        <v>44546.0</v>
      </c>
      <c r="J2395" s="65" t="b">
        <v>1</v>
      </c>
      <c r="K2395" s="65"/>
      <c r="L2395" s="85" t="b">
        <f>IF(VLOOKUP(C2395,Projetos!A:L,12,false)=TRUE,TRUE,FALSE)</f>
        <v>1</v>
      </c>
      <c r="M2395" s="74">
        <v>73.7079846079846</v>
      </c>
      <c r="N2395" s="74">
        <f t="shared" si="1"/>
        <v>24.5693282</v>
      </c>
      <c r="O2395" s="74" t="b">
        <v>1</v>
      </c>
    </row>
    <row r="2396" hidden="1">
      <c r="A2396" s="82"/>
      <c r="B2396" s="65" t="s">
        <v>495</v>
      </c>
      <c r="C2396" s="65" t="s">
        <v>92</v>
      </c>
      <c r="D2396" s="65" t="str">
        <f>vlookup(C2396,'Classificação p pessoal'!F:G,2,false)</f>
        <v/>
      </c>
      <c r="E2396" s="65" t="s">
        <v>1541</v>
      </c>
      <c r="F2396" s="83">
        <v>0.7083333333333334</v>
      </c>
      <c r="G2396" s="83">
        <v>0.75</v>
      </c>
      <c r="H2396" s="83">
        <v>0.041666666666666664</v>
      </c>
      <c r="I2396" s="84">
        <v>44546.0</v>
      </c>
      <c r="J2396" s="65" t="b">
        <v>1</v>
      </c>
      <c r="K2396" s="65"/>
      <c r="L2396" s="85" t="b">
        <f>IF(VLOOKUP(C2396,Projetos!A:L,12,false)=TRUE,TRUE,FALSE)</f>
        <v>1</v>
      </c>
      <c r="M2396" s="74">
        <v>73.7079846079846</v>
      </c>
      <c r="N2396" s="74">
        <f t="shared" si="1"/>
        <v>73.70798461</v>
      </c>
      <c r="O2396" s="74" t="b">
        <v>1</v>
      </c>
    </row>
    <row r="2397" hidden="1">
      <c r="A2397" s="82"/>
      <c r="B2397" s="65" t="s">
        <v>495</v>
      </c>
      <c r="C2397" s="65" t="s">
        <v>92</v>
      </c>
      <c r="D2397" s="65" t="str">
        <f>vlookup(C2397,'Classificação p pessoal'!F:G,2,false)</f>
        <v/>
      </c>
      <c r="E2397" s="65" t="s">
        <v>1489</v>
      </c>
      <c r="F2397" s="83">
        <v>0.3472222222222222</v>
      </c>
      <c r="G2397" s="83">
        <v>0.4583333333333333</v>
      </c>
      <c r="H2397" s="83">
        <v>0.1111111111111111</v>
      </c>
      <c r="I2397" s="84">
        <v>44550.0</v>
      </c>
      <c r="J2397" s="65" t="b">
        <v>1</v>
      </c>
      <c r="K2397" s="65"/>
      <c r="L2397" s="85" t="b">
        <f>IF(VLOOKUP(C2397,Projetos!A:L,12,false)=TRUE,TRUE,FALSE)</f>
        <v>1</v>
      </c>
      <c r="M2397" s="74">
        <v>73.7079846079846</v>
      </c>
      <c r="N2397" s="74">
        <f t="shared" si="1"/>
        <v>196.5546256</v>
      </c>
      <c r="O2397" s="74" t="b">
        <v>1</v>
      </c>
    </row>
    <row r="2398" hidden="1">
      <c r="A2398" s="82"/>
      <c r="B2398" s="65" t="s">
        <v>495</v>
      </c>
      <c r="C2398" s="65" t="s">
        <v>92</v>
      </c>
      <c r="D2398" s="65" t="str">
        <f>vlookup(C2398,'Classificação p pessoal'!F:G,2,false)</f>
        <v/>
      </c>
      <c r="E2398" s="65" t="s">
        <v>1542</v>
      </c>
      <c r="F2398" s="83">
        <v>0.4722222222222222</v>
      </c>
      <c r="G2398" s="83">
        <v>0.5763888888888888</v>
      </c>
      <c r="H2398" s="83">
        <v>0.10416666666666667</v>
      </c>
      <c r="I2398" s="84">
        <v>44550.0</v>
      </c>
      <c r="J2398" s="65" t="b">
        <v>1</v>
      </c>
      <c r="K2398" s="65"/>
      <c r="L2398" s="85" t="b">
        <f>IF(VLOOKUP(C2398,Projetos!A:L,12,false)=TRUE,TRUE,FALSE)</f>
        <v>1</v>
      </c>
      <c r="M2398" s="74">
        <v>73.7079846079846</v>
      </c>
      <c r="N2398" s="74">
        <f t="shared" si="1"/>
        <v>184.2699615</v>
      </c>
      <c r="O2398" s="74" t="b">
        <v>1</v>
      </c>
    </row>
    <row r="2399" hidden="1">
      <c r="A2399" s="82"/>
      <c r="B2399" s="65" t="s">
        <v>495</v>
      </c>
      <c r="C2399" s="65" t="s">
        <v>130</v>
      </c>
      <c r="D2399" s="65" t="str">
        <f>vlookup(C2399,'Classificação p pessoal'!F:G,2,false)</f>
        <v>NP</v>
      </c>
      <c r="E2399" s="65" t="s">
        <v>1543</v>
      </c>
      <c r="F2399" s="83">
        <v>0.6180555555555556</v>
      </c>
      <c r="G2399" s="83">
        <v>0.75</v>
      </c>
      <c r="H2399" s="83">
        <v>0.13194444444444445</v>
      </c>
      <c r="I2399" s="84">
        <v>44550.0</v>
      </c>
      <c r="J2399" s="65" t="b">
        <v>1</v>
      </c>
      <c r="K2399" s="65"/>
      <c r="L2399" s="85" t="b">
        <f>IF(VLOOKUP(C2399,Projetos!A:L,12,false)=TRUE,TRUE,FALSE)</f>
        <v>1</v>
      </c>
      <c r="M2399" s="74">
        <v>73.7079846079846</v>
      </c>
      <c r="N2399" s="74">
        <f t="shared" si="1"/>
        <v>233.4086179</v>
      </c>
      <c r="O2399" s="74" t="b">
        <v>1</v>
      </c>
    </row>
    <row r="2400" hidden="1">
      <c r="A2400" s="82"/>
      <c r="B2400" s="65" t="s">
        <v>495</v>
      </c>
      <c r="C2400" s="65" t="s">
        <v>130</v>
      </c>
      <c r="D2400" s="65" t="str">
        <f>vlookup(C2400,'Classificação p pessoal'!F:G,2,false)</f>
        <v>NP</v>
      </c>
      <c r="E2400" s="65" t="s">
        <v>1544</v>
      </c>
      <c r="F2400" s="83">
        <v>0.3541666666666667</v>
      </c>
      <c r="G2400" s="83">
        <v>0.4583333333333333</v>
      </c>
      <c r="H2400" s="83">
        <v>0.10416666666666667</v>
      </c>
      <c r="I2400" s="84">
        <v>44551.0</v>
      </c>
      <c r="J2400" s="65" t="b">
        <v>1</v>
      </c>
      <c r="K2400" s="65"/>
      <c r="L2400" s="85" t="b">
        <f>IF(VLOOKUP(C2400,Projetos!A:L,12,false)=TRUE,TRUE,FALSE)</f>
        <v>1</v>
      </c>
      <c r="M2400" s="74">
        <v>73.7079846079846</v>
      </c>
      <c r="N2400" s="74">
        <f t="shared" si="1"/>
        <v>184.2699615</v>
      </c>
      <c r="O2400" s="74" t="b">
        <v>1</v>
      </c>
    </row>
    <row r="2401" hidden="1">
      <c r="A2401" s="82"/>
      <c r="B2401" s="65" t="s">
        <v>495</v>
      </c>
      <c r="C2401" s="65" t="s">
        <v>130</v>
      </c>
      <c r="D2401" s="65" t="str">
        <f>vlookup(C2401,'Classificação p pessoal'!F:G,2,false)</f>
        <v>NP</v>
      </c>
      <c r="E2401" s="65" t="s">
        <v>1528</v>
      </c>
      <c r="F2401" s="83">
        <v>0.4722222222222222</v>
      </c>
      <c r="G2401" s="83">
        <v>0.5833333333333334</v>
      </c>
      <c r="H2401" s="83">
        <v>0.1111111111111111</v>
      </c>
      <c r="I2401" s="84">
        <v>44551.0</v>
      </c>
      <c r="J2401" s="65" t="b">
        <v>1</v>
      </c>
      <c r="K2401" s="65"/>
      <c r="L2401" s="85" t="b">
        <f>IF(VLOOKUP(C2401,Projetos!A:L,12,false)=TRUE,TRUE,FALSE)</f>
        <v>1</v>
      </c>
      <c r="M2401" s="74">
        <v>73.7079846079846</v>
      </c>
      <c r="N2401" s="74">
        <f t="shared" si="1"/>
        <v>196.5546256</v>
      </c>
      <c r="O2401" s="74" t="b">
        <v>1</v>
      </c>
    </row>
    <row r="2402" hidden="1">
      <c r="A2402" s="82"/>
      <c r="B2402" s="65" t="s">
        <v>495</v>
      </c>
      <c r="C2402" s="65" t="s">
        <v>92</v>
      </c>
      <c r="D2402" s="65" t="str">
        <f>vlookup(C2402,'Classificação p pessoal'!F:G,2,false)</f>
        <v/>
      </c>
      <c r="E2402" s="65" t="s">
        <v>1528</v>
      </c>
      <c r="F2402" s="83">
        <v>0.625</v>
      </c>
      <c r="G2402" s="83">
        <v>0.6458333333333334</v>
      </c>
      <c r="H2402" s="83">
        <v>0.020833333333333332</v>
      </c>
      <c r="I2402" s="84">
        <v>44551.0</v>
      </c>
      <c r="J2402" s="65" t="b">
        <v>1</v>
      </c>
      <c r="K2402" s="65"/>
      <c r="L2402" s="85" t="b">
        <f>IF(VLOOKUP(C2402,Projetos!A:L,12,false)=TRUE,TRUE,FALSE)</f>
        <v>1</v>
      </c>
      <c r="M2402" s="74">
        <v>73.7079846079846</v>
      </c>
      <c r="N2402" s="74">
        <f t="shared" si="1"/>
        <v>36.8539923</v>
      </c>
      <c r="O2402" s="74" t="b">
        <v>1</v>
      </c>
    </row>
    <row r="2403" hidden="1">
      <c r="A2403" s="82"/>
      <c r="B2403" s="65" t="s">
        <v>495</v>
      </c>
      <c r="C2403" s="65" t="s">
        <v>92</v>
      </c>
      <c r="D2403" s="65"/>
      <c r="E2403" s="65" t="s">
        <v>1118</v>
      </c>
      <c r="F2403" s="83">
        <v>0.6458333333333334</v>
      </c>
      <c r="G2403" s="83">
        <v>0.6666666666666666</v>
      </c>
      <c r="H2403" s="83">
        <v>0.020833333333333332</v>
      </c>
      <c r="I2403" s="84">
        <v>44551.0</v>
      </c>
      <c r="J2403" s="65" t="b">
        <v>0</v>
      </c>
      <c r="K2403" s="65" t="s">
        <v>150</v>
      </c>
      <c r="L2403" s="85" t="b">
        <f>IF(VLOOKUP(C2403,Projetos!A:L,12,false)=TRUE,TRUE,FALSE)</f>
        <v>1</v>
      </c>
      <c r="M2403" s="74">
        <v>73.7079846079846</v>
      </c>
      <c r="N2403" s="74">
        <f t="shared" si="1"/>
        <v>0</v>
      </c>
      <c r="O2403" s="74" t="b">
        <v>1</v>
      </c>
    </row>
    <row r="2404" hidden="1">
      <c r="A2404" s="82"/>
      <c r="B2404" s="65" t="s">
        <v>495</v>
      </c>
      <c r="C2404" s="65" t="s">
        <v>92</v>
      </c>
      <c r="D2404" s="65"/>
      <c r="E2404" s="65" t="s">
        <v>1545</v>
      </c>
      <c r="F2404" s="83">
        <v>0.6666666666666666</v>
      </c>
      <c r="G2404" s="83">
        <v>0.7291666666666666</v>
      </c>
      <c r="H2404" s="83">
        <v>0.0625</v>
      </c>
      <c r="I2404" s="84">
        <v>44551.0</v>
      </c>
      <c r="J2404" s="65" t="b">
        <v>0</v>
      </c>
      <c r="K2404" s="65" t="s">
        <v>150</v>
      </c>
      <c r="L2404" s="85" t="b">
        <f>IF(VLOOKUP(C2404,Projetos!A:L,12,false)=TRUE,TRUE,FALSE)</f>
        <v>1</v>
      </c>
      <c r="M2404" s="74">
        <v>73.7079846079846</v>
      </c>
      <c r="N2404" s="74">
        <f t="shared" si="1"/>
        <v>0</v>
      </c>
      <c r="O2404" s="74" t="b">
        <v>1</v>
      </c>
    </row>
    <row r="2405" hidden="1">
      <c r="A2405" s="82"/>
      <c r="B2405" s="65" t="s">
        <v>495</v>
      </c>
      <c r="C2405" s="65" t="s">
        <v>92</v>
      </c>
      <c r="D2405" s="65"/>
      <c r="E2405" s="65" t="s">
        <v>1118</v>
      </c>
      <c r="F2405" s="83">
        <v>0.7291666666666666</v>
      </c>
      <c r="G2405" s="83">
        <v>0.75</v>
      </c>
      <c r="H2405" s="83">
        <v>0.020833333333333332</v>
      </c>
      <c r="I2405" s="84">
        <v>44551.0</v>
      </c>
      <c r="J2405" s="65" t="b">
        <v>0</v>
      </c>
      <c r="K2405" s="65" t="s">
        <v>150</v>
      </c>
      <c r="L2405" s="85" t="b">
        <f>IF(VLOOKUP(C2405,Projetos!A:L,12,false)=TRUE,TRUE,FALSE)</f>
        <v>1</v>
      </c>
      <c r="M2405" s="74">
        <v>73.7079846079846</v>
      </c>
      <c r="N2405" s="74">
        <f t="shared" si="1"/>
        <v>0</v>
      </c>
      <c r="O2405" s="74" t="b">
        <v>1</v>
      </c>
    </row>
    <row r="2406" hidden="1">
      <c r="A2406" s="82"/>
      <c r="B2406" s="65" t="s">
        <v>495</v>
      </c>
      <c r="C2406" s="65" t="s">
        <v>92</v>
      </c>
      <c r="D2406" s="65" t="str">
        <f>vlookup(C2406,'Classificação p pessoal'!F:G,2,false)</f>
        <v/>
      </c>
      <c r="E2406" s="65" t="s">
        <v>1546</v>
      </c>
      <c r="F2406" s="83">
        <v>0.3472222222222222</v>
      </c>
      <c r="G2406" s="83">
        <v>0.40625</v>
      </c>
      <c r="H2406" s="83">
        <v>0.059027777777777776</v>
      </c>
      <c r="I2406" s="84">
        <v>44552.0</v>
      </c>
      <c r="J2406" s="65" t="b">
        <v>1</v>
      </c>
      <c r="K2406" s="65"/>
      <c r="L2406" s="85" t="b">
        <f>IF(VLOOKUP(C2406,Projetos!A:L,12,false)=TRUE,TRUE,FALSE)</f>
        <v>1</v>
      </c>
      <c r="M2406" s="74">
        <v>73.7079846079846</v>
      </c>
      <c r="N2406" s="74">
        <f t="shared" si="1"/>
        <v>104.4196449</v>
      </c>
      <c r="O2406" s="74" t="b">
        <v>1</v>
      </c>
    </row>
    <row r="2407" hidden="1">
      <c r="A2407" s="82"/>
      <c r="B2407" s="65" t="s">
        <v>495</v>
      </c>
      <c r="C2407" s="65" t="s">
        <v>130</v>
      </c>
      <c r="D2407" s="65" t="str">
        <f>vlookup(C2407,'Classificação p pessoal'!F:G,2,false)</f>
        <v>NP</v>
      </c>
      <c r="E2407" s="65" t="s">
        <v>1547</v>
      </c>
      <c r="F2407" s="83">
        <v>0.40625</v>
      </c>
      <c r="G2407" s="83">
        <v>0.4583333333333333</v>
      </c>
      <c r="H2407" s="83">
        <v>0.052083333333333336</v>
      </c>
      <c r="I2407" s="84">
        <v>44552.0</v>
      </c>
      <c r="J2407" s="65" t="b">
        <v>1</v>
      </c>
      <c r="K2407" s="65"/>
      <c r="L2407" s="85" t="b">
        <f>IF(VLOOKUP(C2407,Projetos!A:L,12,false)=TRUE,TRUE,FALSE)</f>
        <v>1</v>
      </c>
      <c r="M2407" s="74">
        <v>73.7079846079846</v>
      </c>
      <c r="N2407" s="74">
        <f t="shared" si="1"/>
        <v>92.13498076</v>
      </c>
      <c r="O2407" s="74" t="b">
        <v>1</v>
      </c>
    </row>
    <row r="2408">
      <c r="A2408" s="82"/>
      <c r="B2408" s="65" t="s">
        <v>495</v>
      </c>
      <c r="C2408" s="65" t="s">
        <v>108</v>
      </c>
      <c r="D2408" s="65"/>
      <c r="E2408" s="65" t="s">
        <v>1548</v>
      </c>
      <c r="F2408" s="83">
        <v>0.6145833333333334</v>
      </c>
      <c r="G2408" s="83">
        <v>0.6458333333333334</v>
      </c>
      <c r="H2408" s="83">
        <v>0.03125</v>
      </c>
      <c r="I2408" s="84">
        <v>44454.0</v>
      </c>
      <c r="J2408" s="65" t="b">
        <v>0</v>
      </c>
      <c r="K2408" s="65" t="s">
        <v>150</v>
      </c>
      <c r="L2408" s="85" t="b">
        <f>IF(VLOOKUP(C2408,Projetos!A:L,12,false)=TRUE,TRUE,FALSE)</f>
        <v>1</v>
      </c>
      <c r="M2408" s="74">
        <v>73.7079846079846</v>
      </c>
      <c r="N2408" s="74">
        <f t="shared" si="1"/>
        <v>0</v>
      </c>
      <c r="O2408" s="74" t="b">
        <v>1</v>
      </c>
    </row>
    <row r="2409" hidden="1">
      <c r="A2409" s="82"/>
      <c r="B2409" s="65" t="s">
        <v>495</v>
      </c>
      <c r="C2409" s="65" t="s">
        <v>92</v>
      </c>
      <c r="D2409" s="65" t="str">
        <f>vlookup(C2409,'Classificação p pessoal'!F:G,2,false)</f>
        <v/>
      </c>
      <c r="E2409" s="65" t="s">
        <v>1549</v>
      </c>
      <c r="F2409" s="83">
        <v>0.4791666666666667</v>
      </c>
      <c r="G2409" s="83">
        <v>0.5520833333333334</v>
      </c>
      <c r="H2409" s="83">
        <v>0.07291666666666667</v>
      </c>
      <c r="I2409" s="84">
        <v>44552.0</v>
      </c>
      <c r="J2409" s="65" t="b">
        <v>1</v>
      </c>
      <c r="K2409" s="65"/>
      <c r="L2409" s="85" t="b">
        <f>IF(VLOOKUP(C2409,Projetos!A:L,12,false)=TRUE,TRUE,FALSE)</f>
        <v>1</v>
      </c>
      <c r="M2409" s="74">
        <v>73.7079846079846</v>
      </c>
      <c r="N2409" s="74">
        <f t="shared" si="1"/>
        <v>128.9889731</v>
      </c>
      <c r="O2409" s="74" t="b">
        <v>1</v>
      </c>
    </row>
    <row r="2410" hidden="1">
      <c r="A2410" s="82"/>
      <c r="B2410" s="65" t="s">
        <v>495</v>
      </c>
      <c r="C2410" s="65" t="s">
        <v>130</v>
      </c>
      <c r="D2410" s="65" t="str">
        <f>vlookup(C2410,'Classificação p pessoal'!F:G,2,false)</f>
        <v>NP</v>
      </c>
      <c r="E2410" s="65" t="s">
        <v>1550</v>
      </c>
      <c r="F2410" s="83">
        <v>0.5520833333333334</v>
      </c>
      <c r="G2410" s="83">
        <v>0.5763888888888888</v>
      </c>
      <c r="H2410" s="83">
        <v>0.024305555555555556</v>
      </c>
      <c r="I2410" s="84">
        <v>44552.0</v>
      </c>
      <c r="J2410" s="65" t="b">
        <v>1</v>
      </c>
      <c r="K2410" s="65"/>
      <c r="L2410" s="85" t="b">
        <f>IF(VLOOKUP(C2410,Projetos!A:L,12,false)=TRUE,TRUE,FALSE)</f>
        <v>1</v>
      </c>
      <c r="M2410" s="74">
        <v>73.7079846079846</v>
      </c>
      <c r="N2410" s="74">
        <f t="shared" si="1"/>
        <v>42.99632435</v>
      </c>
      <c r="O2410" s="74" t="b">
        <v>1</v>
      </c>
    </row>
    <row r="2411" hidden="1">
      <c r="A2411" s="82"/>
      <c r="B2411" s="65" t="s">
        <v>495</v>
      </c>
      <c r="C2411" s="65" t="s">
        <v>92</v>
      </c>
      <c r="D2411" s="65" t="str">
        <f>vlookup(C2411,'Classificação p pessoal'!F:G,2,false)</f>
        <v/>
      </c>
      <c r="E2411" s="65" t="s">
        <v>1551</v>
      </c>
      <c r="F2411" s="83">
        <v>0.6180555555555556</v>
      </c>
      <c r="G2411" s="83">
        <v>0.6875</v>
      </c>
      <c r="H2411" s="83">
        <v>0.06944444444444445</v>
      </c>
      <c r="I2411" s="84">
        <v>44552.0</v>
      </c>
      <c r="J2411" s="65" t="b">
        <v>1</v>
      </c>
      <c r="K2411" s="65"/>
      <c r="L2411" s="85" t="b">
        <f>IF(VLOOKUP(C2411,Projetos!A:L,12,false)=TRUE,TRUE,FALSE)</f>
        <v>1</v>
      </c>
      <c r="M2411" s="74">
        <v>73.7079846079846</v>
      </c>
      <c r="N2411" s="74">
        <f t="shared" si="1"/>
        <v>122.846641</v>
      </c>
      <c r="O2411" s="74" t="b">
        <v>1</v>
      </c>
    </row>
    <row r="2412" hidden="1">
      <c r="A2412" s="82"/>
      <c r="B2412" s="65" t="s">
        <v>495</v>
      </c>
      <c r="C2412" s="65" t="s">
        <v>130</v>
      </c>
      <c r="D2412" s="65" t="str">
        <f>vlookup(C2412,'Classificação p pessoal'!F:G,2,false)</f>
        <v>NP</v>
      </c>
      <c r="E2412" s="65" t="s">
        <v>1552</v>
      </c>
      <c r="F2412" s="83">
        <v>0.6875</v>
      </c>
      <c r="G2412" s="83">
        <v>0.75</v>
      </c>
      <c r="H2412" s="83">
        <v>0.0625</v>
      </c>
      <c r="I2412" s="84">
        <v>44552.0</v>
      </c>
      <c r="J2412" s="65" t="b">
        <v>1</v>
      </c>
      <c r="K2412" s="65"/>
      <c r="L2412" s="85" t="b">
        <f>IF(VLOOKUP(C2412,Projetos!A:L,12,false)=TRUE,TRUE,FALSE)</f>
        <v>1</v>
      </c>
      <c r="M2412" s="74">
        <v>73.7079846079846</v>
      </c>
      <c r="N2412" s="74">
        <f t="shared" si="1"/>
        <v>110.5619769</v>
      </c>
      <c r="O2412" s="74" t="b">
        <v>1</v>
      </c>
    </row>
    <row r="2413" hidden="1">
      <c r="A2413" s="82"/>
      <c r="B2413" s="65" t="s">
        <v>495</v>
      </c>
      <c r="C2413" s="65" t="s">
        <v>117</v>
      </c>
      <c r="D2413" s="65" t="str">
        <f>vlookup(C2413,'Classificação p pessoal'!F:G,2,false)</f>
        <v>NP</v>
      </c>
      <c r="E2413" s="65" t="s">
        <v>1553</v>
      </c>
      <c r="F2413" s="83">
        <v>0.3472222222222222</v>
      </c>
      <c r="G2413" s="83">
        <v>0.375</v>
      </c>
      <c r="H2413" s="83">
        <v>0.027777777777777776</v>
      </c>
      <c r="I2413" s="84">
        <v>44553.0</v>
      </c>
      <c r="J2413" s="65" t="b">
        <v>1</v>
      </c>
      <c r="K2413" s="65"/>
      <c r="L2413" s="85" t="b">
        <f>IF(VLOOKUP(C2413,Projetos!A:L,12,false)=TRUE,TRUE,FALSE)</f>
        <v>1</v>
      </c>
      <c r="M2413" s="74">
        <v>73.7079846079846</v>
      </c>
      <c r="N2413" s="74">
        <f t="shared" si="1"/>
        <v>49.13865641</v>
      </c>
      <c r="O2413" s="74" t="b">
        <v>1</v>
      </c>
    </row>
    <row r="2414" hidden="1">
      <c r="A2414" s="82"/>
      <c r="B2414" s="65" t="s">
        <v>495</v>
      </c>
      <c r="C2414" s="65" t="s">
        <v>117</v>
      </c>
      <c r="D2414" s="65" t="str">
        <f>vlookup(C2414,'Classificação p pessoal'!F:G,2,false)</f>
        <v>NP</v>
      </c>
      <c r="E2414" s="65" t="s">
        <v>1554</v>
      </c>
      <c r="F2414" s="83">
        <v>0.375</v>
      </c>
      <c r="G2414" s="83">
        <v>0.40625</v>
      </c>
      <c r="H2414" s="83">
        <v>0.03125</v>
      </c>
      <c r="I2414" s="84">
        <v>44553.0</v>
      </c>
      <c r="J2414" s="65" t="b">
        <v>1</v>
      </c>
      <c r="K2414" s="65"/>
      <c r="L2414" s="85" t="b">
        <f>IF(VLOOKUP(C2414,Projetos!A:L,12,false)=TRUE,TRUE,FALSE)</f>
        <v>1</v>
      </c>
      <c r="M2414" s="74">
        <v>73.7079846079846</v>
      </c>
      <c r="N2414" s="74">
        <f t="shared" si="1"/>
        <v>55.28098846</v>
      </c>
      <c r="O2414" s="74" t="b">
        <v>1</v>
      </c>
    </row>
    <row r="2415" hidden="1">
      <c r="A2415" s="82"/>
      <c r="B2415" s="65" t="s">
        <v>495</v>
      </c>
      <c r="C2415" s="65" t="s">
        <v>92</v>
      </c>
      <c r="D2415" s="65" t="str">
        <f>vlookup(C2415,'Classificação p pessoal'!F:G,2,false)</f>
        <v/>
      </c>
      <c r="E2415" s="65" t="s">
        <v>1555</v>
      </c>
      <c r="F2415" s="83">
        <v>0.4166666666666667</v>
      </c>
      <c r="G2415" s="83">
        <v>0.5833333333333334</v>
      </c>
      <c r="H2415" s="83">
        <v>0.16666666666666666</v>
      </c>
      <c r="I2415" s="84">
        <v>44553.0</v>
      </c>
      <c r="J2415" s="65" t="b">
        <v>1</v>
      </c>
      <c r="K2415" s="65"/>
      <c r="L2415" s="85" t="b">
        <f>IF(VLOOKUP(C2415,Projetos!A:L,12,false)=TRUE,TRUE,FALSE)</f>
        <v>1</v>
      </c>
      <c r="M2415" s="74">
        <v>73.7079846079846</v>
      </c>
      <c r="N2415" s="74">
        <f t="shared" si="1"/>
        <v>294.8319384</v>
      </c>
      <c r="O2415" s="74" t="b">
        <v>1</v>
      </c>
    </row>
    <row r="2416" hidden="1">
      <c r="A2416" s="82"/>
      <c r="B2416" s="65" t="s">
        <v>495</v>
      </c>
      <c r="C2416" s="65" t="s">
        <v>92</v>
      </c>
      <c r="D2416" s="65" t="str">
        <f>vlookup(C2416,'Classificação p pessoal'!F:G,2,false)</f>
        <v/>
      </c>
      <c r="E2416" s="65" t="s">
        <v>1556</v>
      </c>
      <c r="F2416" s="83">
        <v>0.625</v>
      </c>
      <c r="G2416" s="83">
        <v>0.6666666666666666</v>
      </c>
      <c r="H2416" s="83">
        <v>0.041666666666666664</v>
      </c>
      <c r="I2416" s="84">
        <v>44553.0</v>
      </c>
      <c r="J2416" s="65" t="b">
        <v>1</v>
      </c>
      <c r="K2416" s="65"/>
      <c r="L2416" s="85" t="b">
        <f>IF(VLOOKUP(C2416,Projetos!A:L,12,false)=TRUE,TRUE,FALSE)</f>
        <v>1</v>
      </c>
      <c r="M2416" s="74">
        <v>73.7079846079846</v>
      </c>
      <c r="N2416" s="74">
        <f t="shared" si="1"/>
        <v>73.70798461</v>
      </c>
      <c r="O2416" s="74" t="b">
        <v>1</v>
      </c>
    </row>
    <row r="2417" hidden="1">
      <c r="A2417" s="82"/>
      <c r="B2417" s="65" t="s">
        <v>495</v>
      </c>
      <c r="C2417" s="65" t="s">
        <v>92</v>
      </c>
      <c r="D2417" s="65" t="str">
        <f>vlookup(C2417,'Classificação p pessoal'!F:G,2,false)</f>
        <v/>
      </c>
      <c r="E2417" s="65" t="s">
        <v>1557</v>
      </c>
      <c r="F2417" s="83">
        <v>0.6666666666666666</v>
      </c>
      <c r="G2417" s="83">
        <v>0.75</v>
      </c>
      <c r="H2417" s="83">
        <v>0.08333333333333333</v>
      </c>
      <c r="I2417" s="84">
        <v>44553.0</v>
      </c>
      <c r="J2417" s="65" t="b">
        <v>1</v>
      </c>
      <c r="K2417" s="65"/>
      <c r="L2417" s="85" t="b">
        <f>IF(VLOOKUP(C2417,Projetos!A:L,12,false)=TRUE,TRUE,FALSE)</f>
        <v>1</v>
      </c>
      <c r="M2417" s="74">
        <v>73.7079846079846</v>
      </c>
      <c r="N2417" s="74">
        <f t="shared" si="1"/>
        <v>147.4159692</v>
      </c>
      <c r="O2417" s="74" t="b">
        <v>1</v>
      </c>
    </row>
    <row r="2418" hidden="1">
      <c r="A2418" s="82"/>
      <c r="B2418" s="65" t="s">
        <v>495</v>
      </c>
      <c r="C2418" s="65" t="s">
        <v>92</v>
      </c>
      <c r="D2418" s="65" t="str">
        <f>vlookup(C2418,'Classificação p pessoal'!F:G,2,false)</f>
        <v/>
      </c>
      <c r="E2418" s="65" t="s">
        <v>1557</v>
      </c>
      <c r="F2418" s="83">
        <v>0.3472222222222222</v>
      </c>
      <c r="G2418" s="83">
        <v>0.3888888888888889</v>
      </c>
      <c r="H2418" s="83">
        <v>0.041666666666666664</v>
      </c>
      <c r="I2418" s="84">
        <v>44557.0</v>
      </c>
      <c r="J2418" s="65" t="b">
        <v>1</v>
      </c>
      <c r="K2418" s="65"/>
      <c r="L2418" s="85" t="b">
        <f>IF(VLOOKUP(C2418,Projetos!A:L,12,false)=TRUE,TRUE,FALSE)</f>
        <v>1</v>
      </c>
      <c r="M2418" s="74">
        <v>73.7079846079846</v>
      </c>
      <c r="N2418" s="74">
        <f t="shared" si="1"/>
        <v>73.70798461</v>
      </c>
      <c r="O2418" s="74" t="b">
        <v>1</v>
      </c>
    </row>
    <row r="2419" hidden="1">
      <c r="A2419" s="82"/>
      <c r="B2419" s="65" t="s">
        <v>495</v>
      </c>
      <c r="C2419" s="65" t="s">
        <v>117</v>
      </c>
      <c r="D2419" s="65" t="str">
        <f>vlookup(C2419,'Classificação p pessoal'!F:G,2,false)</f>
        <v>NP</v>
      </c>
      <c r="E2419" s="65" t="s">
        <v>1558</v>
      </c>
      <c r="F2419" s="83">
        <v>0.3888888888888889</v>
      </c>
      <c r="G2419" s="83">
        <v>0.4583333333333333</v>
      </c>
      <c r="H2419" s="83">
        <v>0.06944444444444445</v>
      </c>
      <c r="I2419" s="84">
        <v>44557.0</v>
      </c>
      <c r="J2419" s="65" t="b">
        <v>1</v>
      </c>
      <c r="K2419" s="65"/>
      <c r="L2419" s="85" t="b">
        <f>IF(VLOOKUP(C2419,Projetos!A:L,12,false)=TRUE,TRUE,FALSE)</f>
        <v>1</v>
      </c>
      <c r="M2419" s="74">
        <v>73.7079846079846</v>
      </c>
      <c r="N2419" s="74">
        <f t="shared" si="1"/>
        <v>122.846641</v>
      </c>
      <c r="O2419" s="74" t="b">
        <v>1</v>
      </c>
    </row>
    <row r="2420" hidden="1">
      <c r="A2420" s="82"/>
      <c r="B2420" s="65" t="s">
        <v>495</v>
      </c>
      <c r="C2420" s="65" t="s">
        <v>117</v>
      </c>
      <c r="D2420" s="65"/>
      <c r="E2420" s="65" t="s">
        <v>1559</v>
      </c>
      <c r="F2420" s="83">
        <v>0.4583333333333333</v>
      </c>
      <c r="G2420" s="83">
        <v>0.5416666666666666</v>
      </c>
      <c r="H2420" s="83">
        <v>0.08333333333333333</v>
      </c>
      <c r="I2420" s="84">
        <v>44557.0</v>
      </c>
      <c r="J2420" s="65" t="b">
        <v>0</v>
      </c>
      <c r="K2420" s="65" t="s">
        <v>150</v>
      </c>
      <c r="L2420" s="85" t="b">
        <f>IF(VLOOKUP(C2420,Projetos!A:L,12,false)=TRUE,TRUE,FALSE)</f>
        <v>1</v>
      </c>
      <c r="M2420" s="74">
        <v>73.7079846079846</v>
      </c>
      <c r="N2420" s="74">
        <f t="shared" si="1"/>
        <v>0</v>
      </c>
      <c r="O2420" s="74" t="b">
        <v>1</v>
      </c>
    </row>
    <row r="2421" hidden="1">
      <c r="A2421" s="82"/>
      <c r="B2421" s="65" t="s">
        <v>495</v>
      </c>
      <c r="C2421" s="65" t="s">
        <v>92</v>
      </c>
      <c r="D2421" s="65" t="str">
        <f>vlookup(C2421,'Classificação p pessoal'!F:G,2,false)</f>
        <v/>
      </c>
      <c r="E2421" s="65" t="s">
        <v>1560</v>
      </c>
      <c r="F2421" s="83">
        <v>0.5833333333333334</v>
      </c>
      <c r="G2421" s="83">
        <v>0.625</v>
      </c>
      <c r="H2421" s="83">
        <v>0.041666666666666664</v>
      </c>
      <c r="I2421" s="84">
        <v>44557.0</v>
      </c>
      <c r="J2421" s="65" t="b">
        <v>1</v>
      </c>
      <c r="K2421" s="65"/>
      <c r="L2421" s="85" t="b">
        <f>IF(VLOOKUP(C2421,Projetos!A:L,12,false)=TRUE,TRUE,FALSE)</f>
        <v>1</v>
      </c>
      <c r="M2421" s="74">
        <v>73.7079846079846</v>
      </c>
      <c r="N2421" s="74">
        <f t="shared" si="1"/>
        <v>73.70798461</v>
      </c>
      <c r="O2421" s="74" t="b">
        <v>1</v>
      </c>
    </row>
    <row r="2422" hidden="1">
      <c r="A2422" s="82"/>
      <c r="B2422" s="65" t="s">
        <v>495</v>
      </c>
      <c r="C2422" s="65" t="s">
        <v>117</v>
      </c>
      <c r="D2422" s="65"/>
      <c r="E2422" s="65" t="s">
        <v>1561</v>
      </c>
      <c r="F2422" s="83">
        <v>0.625</v>
      </c>
      <c r="G2422" s="83">
        <v>0.7083333333333334</v>
      </c>
      <c r="H2422" s="83">
        <v>0.08333333333333333</v>
      </c>
      <c r="I2422" s="84">
        <v>44557.0</v>
      </c>
      <c r="J2422" s="65" t="b">
        <v>0</v>
      </c>
      <c r="K2422" s="65" t="s">
        <v>150</v>
      </c>
      <c r="L2422" s="85" t="b">
        <f>IF(VLOOKUP(C2422,Projetos!A:L,12,false)=TRUE,TRUE,FALSE)</f>
        <v>1</v>
      </c>
      <c r="M2422" s="74">
        <v>73.7079846079846</v>
      </c>
      <c r="N2422" s="74">
        <f t="shared" si="1"/>
        <v>0</v>
      </c>
      <c r="O2422" s="74" t="b">
        <v>1</v>
      </c>
    </row>
    <row r="2423" hidden="1">
      <c r="A2423" s="82"/>
      <c r="B2423" s="65" t="s">
        <v>495</v>
      </c>
      <c r="C2423" s="65" t="s">
        <v>92</v>
      </c>
      <c r="D2423" s="65" t="str">
        <f>vlookup(C2423,'Classificação p pessoal'!F:G,2,false)</f>
        <v/>
      </c>
      <c r="E2423" s="65" t="s">
        <v>1555</v>
      </c>
      <c r="F2423" s="83">
        <v>0.7222222222222222</v>
      </c>
      <c r="G2423" s="83">
        <v>0.75</v>
      </c>
      <c r="H2423" s="83">
        <v>0.027777777777777776</v>
      </c>
      <c r="I2423" s="84">
        <v>44557.0</v>
      </c>
      <c r="J2423" s="65" t="b">
        <v>1</v>
      </c>
      <c r="K2423" s="65"/>
      <c r="L2423" s="85" t="b">
        <f>IF(VLOOKUP(C2423,Projetos!A:L,12,false)=TRUE,TRUE,FALSE)</f>
        <v>1</v>
      </c>
      <c r="M2423" s="74">
        <v>73.7079846079846</v>
      </c>
      <c r="N2423" s="74">
        <f t="shared" si="1"/>
        <v>49.13865641</v>
      </c>
      <c r="O2423" s="74" t="b">
        <v>1</v>
      </c>
    </row>
    <row r="2424" hidden="1">
      <c r="A2424" s="82"/>
      <c r="B2424" s="65" t="s">
        <v>495</v>
      </c>
      <c r="C2424" s="65" t="s">
        <v>92</v>
      </c>
      <c r="D2424" s="65" t="str">
        <f>vlookup(C2424,'Classificação p pessoal'!F:G,2,false)</f>
        <v/>
      </c>
      <c r="E2424" s="65" t="s">
        <v>1555</v>
      </c>
      <c r="F2424" s="83">
        <v>0.3506944444444444</v>
      </c>
      <c r="G2424" s="83">
        <v>0.4375</v>
      </c>
      <c r="H2424" s="83">
        <v>0.08680555555555555</v>
      </c>
      <c r="I2424" s="84">
        <v>44558.0</v>
      </c>
      <c r="J2424" s="65" t="b">
        <v>1</v>
      </c>
      <c r="K2424" s="65"/>
      <c r="L2424" s="85" t="b">
        <f>IF(VLOOKUP(C2424,Projetos!A:L,12,false)=TRUE,TRUE,FALSE)</f>
        <v>1</v>
      </c>
      <c r="M2424" s="74">
        <v>73.7079846079846</v>
      </c>
      <c r="N2424" s="74">
        <f t="shared" si="1"/>
        <v>153.5583013</v>
      </c>
      <c r="O2424" s="74" t="b">
        <v>1</v>
      </c>
    </row>
    <row r="2425" hidden="1">
      <c r="A2425" s="82"/>
      <c r="B2425" s="65" t="s">
        <v>495</v>
      </c>
      <c r="C2425" s="65" t="s">
        <v>92</v>
      </c>
      <c r="D2425" s="65" t="str">
        <f>vlookup(C2425,'Classificação p pessoal'!F:G,2,false)</f>
        <v/>
      </c>
      <c r="E2425" s="65" t="s">
        <v>1562</v>
      </c>
      <c r="F2425" s="83">
        <v>0.4375</v>
      </c>
      <c r="G2425" s="83">
        <v>0.4583333333333333</v>
      </c>
      <c r="H2425" s="83">
        <v>0.020833333333333332</v>
      </c>
      <c r="I2425" s="84">
        <v>44558.0</v>
      </c>
      <c r="J2425" s="65" t="b">
        <v>1</v>
      </c>
      <c r="K2425" s="65"/>
      <c r="L2425" s="85" t="b">
        <f>IF(VLOOKUP(C2425,Projetos!A:L,12,false)=TRUE,TRUE,FALSE)</f>
        <v>1</v>
      </c>
      <c r="M2425" s="74">
        <v>73.7079846079846</v>
      </c>
      <c r="N2425" s="74">
        <f t="shared" si="1"/>
        <v>36.8539923</v>
      </c>
      <c r="O2425" s="74" t="b">
        <v>1</v>
      </c>
    </row>
    <row r="2426" hidden="1">
      <c r="A2426" s="82"/>
      <c r="B2426" s="65" t="s">
        <v>495</v>
      </c>
      <c r="C2426" s="65" t="s">
        <v>92</v>
      </c>
      <c r="D2426" s="65" t="str">
        <f>vlookup(C2426,'Classificação p pessoal'!F:G,2,false)</f>
        <v/>
      </c>
      <c r="E2426" s="65" t="s">
        <v>1563</v>
      </c>
      <c r="F2426" s="83">
        <v>0.4583333333333333</v>
      </c>
      <c r="G2426" s="83">
        <v>0.4895833333333333</v>
      </c>
      <c r="H2426" s="83">
        <v>0.03125</v>
      </c>
      <c r="I2426" s="84">
        <v>44558.0</v>
      </c>
      <c r="J2426" s="65" t="b">
        <v>1</v>
      </c>
      <c r="K2426" s="65"/>
      <c r="L2426" s="85" t="b">
        <f>IF(VLOOKUP(C2426,Projetos!A:L,12,false)=TRUE,TRUE,FALSE)</f>
        <v>1</v>
      </c>
      <c r="M2426" s="74">
        <v>73.7079846079846</v>
      </c>
      <c r="N2426" s="74">
        <f t="shared" si="1"/>
        <v>55.28098846</v>
      </c>
      <c r="O2426" s="74" t="b">
        <v>1</v>
      </c>
    </row>
    <row r="2427" hidden="1">
      <c r="A2427" s="82"/>
      <c r="B2427" s="65" t="s">
        <v>495</v>
      </c>
      <c r="C2427" s="65" t="s">
        <v>92</v>
      </c>
      <c r="D2427" s="65" t="str">
        <f>vlookup(C2427,'Classificação p pessoal'!F:G,2,false)</f>
        <v/>
      </c>
      <c r="E2427" s="65" t="s">
        <v>1564</v>
      </c>
      <c r="F2427" s="83">
        <v>0.5</v>
      </c>
      <c r="G2427" s="83">
        <v>0.5659722222222222</v>
      </c>
      <c r="H2427" s="83">
        <v>0.06597222222222222</v>
      </c>
      <c r="I2427" s="84">
        <v>44558.0</v>
      </c>
      <c r="J2427" s="65" t="b">
        <v>1</v>
      </c>
      <c r="K2427" s="65"/>
      <c r="L2427" s="85" t="b">
        <f>IF(VLOOKUP(C2427,Projetos!A:L,12,false)=TRUE,TRUE,FALSE)</f>
        <v>1</v>
      </c>
      <c r="M2427" s="74">
        <v>73.7079846079846</v>
      </c>
      <c r="N2427" s="74">
        <f t="shared" si="1"/>
        <v>116.704309</v>
      </c>
      <c r="O2427" s="74" t="b">
        <v>1</v>
      </c>
    </row>
    <row r="2428" hidden="1">
      <c r="A2428" s="82"/>
      <c r="B2428" s="65" t="s">
        <v>495</v>
      </c>
      <c r="C2428" s="65" t="s">
        <v>92</v>
      </c>
      <c r="D2428" s="65" t="str">
        <f>vlookup(C2428,'Classificação p pessoal'!F:G,2,false)</f>
        <v/>
      </c>
      <c r="E2428" s="65" t="s">
        <v>1564</v>
      </c>
      <c r="F2428" s="83">
        <v>0.6215277777777778</v>
      </c>
      <c r="G2428" s="83">
        <v>0.6944444444444444</v>
      </c>
      <c r="H2428" s="83">
        <v>0.07291666666666667</v>
      </c>
      <c r="I2428" s="84">
        <v>44558.0</v>
      </c>
      <c r="J2428" s="65" t="b">
        <v>1</v>
      </c>
      <c r="K2428" s="65"/>
      <c r="L2428" s="85" t="b">
        <f>IF(VLOOKUP(C2428,Projetos!A:L,12,false)=TRUE,TRUE,FALSE)</f>
        <v>1</v>
      </c>
      <c r="M2428" s="74">
        <v>73.7079846079846</v>
      </c>
      <c r="N2428" s="74">
        <f t="shared" si="1"/>
        <v>128.9889731</v>
      </c>
      <c r="O2428" s="74" t="b">
        <v>1</v>
      </c>
    </row>
    <row r="2429" hidden="1">
      <c r="A2429" s="82"/>
      <c r="B2429" s="65" t="s">
        <v>495</v>
      </c>
      <c r="C2429" s="65" t="s">
        <v>98</v>
      </c>
      <c r="D2429" s="65" t="str">
        <f>vlookup(C2429,'Classificação p pessoal'!F:G,2,false)</f>
        <v>NP</v>
      </c>
      <c r="E2429" s="65" t="s">
        <v>1565</v>
      </c>
      <c r="F2429" s="83">
        <v>0.6944444444444444</v>
      </c>
      <c r="G2429" s="83">
        <v>0.75</v>
      </c>
      <c r="H2429" s="83">
        <v>0.05555555555555555</v>
      </c>
      <c r="I2429" s="84">
        <v>44558.0</v>
      </c>
      <c r="J2429" s="65" t="b">
        <v>1</v>
      </c>
      <c r="K2429" s="65"/>
      <c r="L2429" s="85" t="b">
        <f>IF(VLOOKUP(C2429,Projetos!A:L,12,false)=TRUE,TRUE,FALSE)</f>
        <v>1</v>
      </c>
      <c r="M2429" s="74">
        <v>73.7079846079846</v>
      </c>
      <c r="N2429" s="74">
        <f t="shared" si="1"/>
        <v>98.27731281</v>
      </c>
      <c r="O2429" s="74" t="b">
        <v>1</v>
      </c>
    </row>
    <row r="2430" hidden="1">
      <c r="A2430" s="82"/>
      <c r="B2430" s="65" t="s">
        <v>495</v>
      </c>
      <c r="C2430" s="65" t="s">
        <v>92</v>
      </c>
      <c r="D2430" s="65"/>
      <c r="E2430" s="65" t="s">
        <v>1566</v>
      </c>
      <c r="F2430" s="83">
        <v>0.3472222222222222</v>
      </c>
      <c r="G2430" s="83">
        <v>0.4166666666666667</v>
      </c>
      <c r="H2430" s="83">
        <v>0.06944444444444445</v>
      </c>
      <c r="I2430" s="84">
        <v>44545.0</v>
      </c>
      <c r="J2430" s="65" t="b">
        <v>0</v>
      </c>
      <c r="K2430" s="65" t="s">
        <v>150</v>
      </c>
      <c r="L2430" s="85" t="b">
        <f>IF(VLOOKUP(C2430,Projetos!A:L,12,false)=TRUE,TRUE,FALSE)</f>
        <v>1</v>
      </c>
      <c r="M2430" s="74">
        <v>73.7079846079846</v>
      </c>
      <c r="N2430" s="74">
        <f t="shared" si="1"/>
        <v>0</v>
      </c>
      <c r="O2430" s="74" t="b">
        <v>1</v>
      </c>
    </row>
    <row r="2431" hidden="1">
      <c r="A2431" s="82"/>
      <c r="B2431" s="65" t="s">
        <v>495</v>
      </c>
      <c r="C2431" s="65" t="s">
        <v>92</v>
      </c>
      <c r="D2431" s="65" t="str">
        <f>vlookup(C2431,'Classificação p pessoal'!F:G,2,false)</f>
        <v/>
      </c>
      <c r="E2431" s="65" t="s">
        <v>1567</v>
      </c>
      <c r="F2431" s="83">
        <v>0.3819444444444444</v>
      </c>
      <c r="G2431" s="83">
        <v>0.4583333333333333</v>
      </c>
      <c r="H2431" s="83">
        <v>0.0763888888888889</v>
      </c>
      <c r="I2431" s="84">
        <v>44559.0</v>
      </c>
      <c r="J2431" s="65" t="b">
        <v>1</v>
      </c>
      <c r="K2431" s="65"/>
      <c r="L2431" s="85" t="b">
        <f>IF(VLOOKUP(C2431,Projetos!A:L,12,false)=TRUE,TRUE,FALSE)</f>
        <v>1</v>
      </c>
      <c r="M2431" s="74">
        <v>73.7079846079846</v>
      </c>
      <c r="N2431" s="74">
        <f t="shared" si="1"/>
        <v>135.1313051</v>
      </c>
      <c r="O2431" s="74" t="b">
        <v>1</v>
      </c>
    </row>
    <row r="2432" hidden="1">
      <c r="A2432" s="82"/>
      <c r="B2432" s="65" t="s">
        <v>495</v>
      </c>
      <c r="C2432" s="65" t="s">
        <v>98</v>
      </c>
      <c r="D2432" s="65" t="str">
        <f>vlookup(C2432,'Classificação p pessoal'!F:G,2,false)</f>
        <v>NP</v>
      </c>
      <c r="E2432" s="65" t="s">
        <v>1568</v>
      </c>
      <c r="F2432" s="83">
        <v>0.4722222222222222</v>
      </c>
      <c r="G2432" s="83">
        <v>0.5625</v>
      </c>
      <c r="H2432" s="83">
        <v>0.09027777777777778</v>
      </c>
      <c r="I2432" s="84">
        <v>44559.0</v>
      </c>
      <c r="J2432" s="65" t="b">
        <v>1</v>
      </c>
      <c r="K2432" s="65"/>
      <c r="L2432" s="85" t="b">
        <f>IF(VLOOKUP(C2432,Projetos!A:L,12,false)=TRUE,TRUE,FALSE)</f>
        <v>1</v>
      </c>
      <c r="M2432" s="74">
        <v>73.7079846079846</v>
      </c>
      <c r="N2432" s="74">
        <f t="shared" si="1"/>
        <v>159.7006333</v>
      </c>
      <c r="O2432" s="74" t="b">
        <v>1</v>
      </c>
    </row>
    <row r="2433" hidden="1">
      <c r="A2433" s="82"/>
      <c r="B2433" s="65" t="s">
        <v>495</v>
      </c>
      <c r="C2433" s="65" t="s">
        <v>98</v>
      </c>
      <c r="D2433" s="65" t="str">
        <f>vlookup(C2433,'Classificação p pessoal'!F:G,2,false)</f>
        <v>NP</v>
      </c>
      <c r="E2433" s="65" t="s">
        <v>1568</v>
      </c>
      <c r="F2433" s="83">
        <v>0.6041666666666666</v>
      </c>
      <c r="G2433" s="83">
        <v>0.6666666666666666</v>
      </c>
      <c r="H2433" s="83">
        <v>0.0625</v>
      </c>
      <c r="I2433" s="84">
        <v>44559.0</v>
      </c>
      <c r="J2433" s="65" t="b">
        <v>1</v>
      </c>
      <c r="K2433" s="65"/>
      <c r="L2433" s="85" t="b">
        <f>IF(VLOOKUP(C2433,Projetos!A:L,12,false)=TRUE,TRUE,FALSE)</f>
        <v>1</v>
      </c>
      <c r="M2433" s="74">
        <v>73.7079846079846</v>
      </c>
      <c r="N2433" s="74">
        <f t="shared" si="1"/>
        <v>110.5619769</v>
      </c>
      <c r="O2433" s="74" t="b">
        <v>1</v>
      </c>
    </row>
    <row r="2434" hidden="1">
      <c r="A2434" s="82"/>
      <c r="B2434" s="65" t="s">
        <v>495</v>
      </c>
      <c r="C2434" s="65" t="s">
        <v>92</v>
      </c>
      <c r="D2434" s="65" t="str">
        <f>vlookup(C2434,'Classificação p pessoal'!F:G,2,false)</f>
        <v/>
      </c>
      <c r="E2434" s="65" t="s">
        <v>1569</v>
      </c>
      <c r="F2434" s="83">
        <v>0.6666666666666666</v>
      </c>
      <c r="G2434" s="83">
        <v>0.7083333333333334</v>
      </c>
      <c r="H2434" s="83">
        <v>0.041666666666666664</v>
      </c>
      <c r="I2434" s="84">
        <v>44559.0</v>
      </c>
      <c r="J2434" s="65" t="b">
        <v>1</v>
      </c>
      <c r="K2434" s="65"/>
      <c r="L2434" s="85" t="b">
        <f>IF(VLOOKUP(C2434,Projetos!A:L,12,false)=TRUE,TRUE,FALSE)</f>
        <v>1</v>
      </c>
      <c r="M2434" s="74">
        <v>73.7079846079846</v>
      </c>
      <c r="N2434" s="74">
        <f t="shared" si="1"/>
        <v>73.70798461</v>
      </c>
      <c r="O2434" s="74" t="b">
        <v>1</v>
      </c>
    </row>
    <row r="2435" hidden="1">
      <c r="A2435" s="82"/>
      <c r="B2435" s="65" t="s">
        <v>495</v>
      </c>
      <c r="C2435" s="65" t="s">
        <v>92</v>
      </c>
      <c r="D2435" s="65" t="str">
        <f>vlookup(C2435,'Classificação p pessoal'!F:G,2,false)</f>
        <v/>
      </c>
      <c r="E2435" s="65" t="s">
        <v>1570</v>
      </c>
      <c r="F2435" s="83">
        <v>0.7083333333333334</v>
      </c>
      <c r="G2435" s="83">
        <v>0.75</v>
      </c>
      <c r="H2435" s="83">
        <v>0.041666666666666664</v>
      </c>
      <c r="I2435" s="84">
        <v>44559.0</v>
      </c>
      <c r="J2435" s="65" t="b">
        <v>1</v>
      </c>
      <c r="K2435" s="65"/>
      <c r="L2435" s="85" t="b">
        <f>IF(VLOOKUP(C2435,Projetos!A:L,12,false)=TRUE,TRUE,FALSE)</f>
        <v>1</v>
      </c>
      <c r="M2435" s="74">
        <v>73.7079846079846</v>
      </c>
      <c r="N2435" s="74">
        <f t="shared" si="1"/>
        <v>73.70798461</v>
      </c>
      <c r="O2435" s="74" t="b">
        <v>1</v>
      </c>
    </row>
    <row r="2436" hidden="1">
      <c r="A2436" s="82"/>
      <c r="B2436" s="65" t="s">
        <v>495</v>
      </c>
      <c r="C2436" s="65" t="s">
        <v>92</v>
      </c>
      <c r="D2436" s="65" t="str">
        <f>vlookup(C2436,'Classificação p pessoal'!F:G,2,false)</f>
        <v/>
      </c>
      <c r="E2436" s="65" t="s">
        <v>1571</v>
      </c>
      <c r="F2436" s="83">
        <v>0.34375</v>
      </c>
      <c r="G2436" s="83">
        <v>0.3888888888888889</v>
      </c>
      <c r="H2436" s="83">
        <v>0.04513888888888889</v>
      </c>
      <c r="I2436" s="84">
        <v>44560.0</v>
      </c>
      <c r="J2436" s="65" t="b">
        <v>1</v>
      </c>
      <c r="K2436" s="65"/>
      <c r="L2436" s="85" t="b">
        <f>IF(VLOOKUP(C2436,Projetos!A:L,12,false)=TRUE,TRUE,FALSE)</f>
        <v>1</v>
      </c>
      <c r="M2436" s="74">
        <v>73.7079846079846</v>
      </c>
      <c r="N2436" s="74">
        <f t="shared" si="1"/>
        <v>79.85031666</v>
      </c>
      <c r="O2436" s="74" t="b">
        <v>1</v>
      </c>
    </row>
    <row r="2437" hidden="1">
      <c r="A2437" s="82"/>
      <c r="B2437" s="65" t="s">
        <v>495</v>
      </c>
      <c r="C2437" s="65" t="s">
        <v>92</v>
      </c>
      <c r="D2437" s="65" t="str">
        <f>vlookup(C2437,'Classificação p pessoal'!F:G,2,false)</f>
        <v/>
      </c>
      <c r="E2437" s="65" t="s">
        <v>1572</v>
      </c>
      <c r="F2437" s="83">
        <v>0.3888888888888889</v>
      </c>
      <c r="G2437" s="83">
        <v>0.5</v>
      </c>
      <c r="H2437" s="83">
        <v>0.1111111111111111</v>
      </c>
      <c r="I2437" s="84">
        <v>44560.0</v>
      </c>
      <c r="J2437" s="65" t="b">
        <v>1</v>
      </c>
      <c r="K2437" s="65"/>
      <c r="L2437" s="85" t="b">
        <f>IF(VLOOKUP(C2437,Projetos!A:L,12,false)=TRUE,TRUE,FALSE)</f>
        <v>1</v>
      </c>
      <c r="M2437" s="74">
        <v>73.7079846079846</v>
      </c>
      <c r="N2437" s="74">
        <f t="shared" si="1"/>
        <v>196.5546256</v>
      </c>
      <c r="O2437" s="74" t="b">
        <v>1</v>
      </c>
    </row>
    <row r="2438" hidden="1">
      <c r="A2438" s="82"/>
      <c r="B2438" s="65" t="s">
        <v>495</v>
      </c>
      <c r="C2438" s="65" t="s">
        <v>92</v>
      </c>
      <c r="D2438" s="65" t="str">
        <f>vlookup(C2438,'Classificação p pessoal'!F:G,2,false)</f>
        <v/>
      </c>
      <c r="E2438" s="65" t="s">
        <v>1573</v>
      </c>
      <c r="F2438" s="83">
        <v>0.5</v>
      </c>
      <c r="G2438" s="83">
        <v>0.5520833333333334</v>
      </c>
      <c r="H2438" s="83">
        <v>0.052083333333333336</v>
      </c>
      <c r="I2438" s="84">
        <v>44560.0</v>
      </c>
      <c r="J2438" s="65" t="b">
        <v>1</v>
      </c>
      <c r="K2438" s="65"/>
      <c r="L2438" s="85" t="b">
        <f>IF(VLOOKUP(C2438,Projetos!A:L,12,false)=TRUE,TRUE,FALSE)</f>
        <v>1</v>
      </c>
      <c r="M2438" s="74">
        <v>73.7079846079846</v>
      </c>
      <c r="N2438" s="74">
        <f t="shared" si="1"/>
        <v>92.13498076</v>
      </c>
      <c r="O2438" s="74" t="b">
        <v>1</v>
      </c>
    </row>
    <row r="2439" hidden="1">
      <c r="A2439" s="82"/>
      <c r="B2439" s="65" t="s">
        <v>495</v>
      </c>
      <c r="C2439" s="65" t="s">
        <v>92</v>
      </c>
      <c r="D2439" s="65" t="str">
        <f>vlookup(C2439,'Classificação p pessoal'!F:G,2,false)</f>
        <v/>
      </c>
      <c r="E2439" s="65" t="s">
        <v>1574</v>
      </c>
      <c r="F2439" s="83">
        <v>0.5520833333333334</v>
      </c>
      <c r="G2439" s="83">
        <v>0.5763888888888888</v>
      </c>
      <c r="H2439" s="83">
        <v>0.024305555555555556</v>
      </c>
      <c r="I2439" s="84">
        <v>44560.0</v>
      </c>
      <c r="J2439" s="65" t="b">
        <v>1</v>
      </c>
      <c r="K2439" s="65"/>
      <c r="L2439" s="85" t="b">
        <f>IF(VLOOKUP(C2439,Projetos!A:L,12,false)=TRUE,TRUE,FALSE)</f>
        <v>1</v>
      </c>
      <c r="M2439" s="74">
        <v>73.7079846079846</v>
      </c>
      <c r="N2439" s="74">
        <f t="shared" si="1"/>
        <v>42.99632435</v>
      </c>
      <c r="O2439" s="74" t="b">
        <v>1</v>
      </c>
    </row>
    <row r="2440" hidden="1">
      <c r="A2440" s="82"/>
      <c r="B2440" s="65" t="s">
        <v>495</v>
      </c>
      <c r="C2440" s="65" t="s">
        <v>92</v>
      </c>
      <c r="D2440" s="65" t="str">
        <f>vlookup(C2440,'Classificação p pessoal'!F:G,2,false)</f>
        <v/>
      </c>
      <c r="E2440" s="65" t="s">
        <v>1575</v>
      </c>
      <c r="F2440" s="83">
        <v>0.625</v>
      </c>
      <c r="G2440" s="83">
        <v>0.71875</v>
      </c>
      <c r="H2440" s="83">
        <v>0.09375</v>
      </c>
      <c r="I2440" s="84">
        <v>44560.0</v>
      </c>
      <c r="J2440" s="65" t="b">
        <v>1</v>
      </c>
      <c r="K2440" s="65"/>
      <c r="L2440" s="85" t="b">
        <f>IF(VLOOKUP(C2440,Projetos!A:L,12,false)=TRUE,TRUE,FALSE)</f>
        <v>1</v>
      </c>
      <c r="M2440" s="74">
        <v>73.7079846079846</v>
      </c>
      <c r="N2440" s="74">
        <f t="shared" si="1"/>
        <v>165.8429654</v>
      </c>
      <c r="O2440" s="74" t="b">
        <v>1</v>
      </c>
    </row>
    <row r="2441">
      <c r="A2441" s="82"/>
      <c r="B2441" s="65" t="s">
        <v>495</v>
      </c>
      <c r="C2441" s="65" t="s">
        <v>108</v>
      </c>
      <c r="D2441" s="65" t="str">
        <f>vlookup(C2441,'Classificação p pessoal'!F:G,2,false)</f>
        <v>NP</v>
      </c>
      <c r="E2441" s="65" t="s">
        <v>1576</v>
      </c>
      <c r="F2441" s="83">
        <v>0.71875</v>
      </c>
      <c r="G2441" s="83">
        <v>0.75</v>
      </c>
      <c r="H2441" s="83">
        <v>0.03125</v>
      </c>
      <c r="I2441" s="84">
        <v>44560.0</v>
      </c>
      <c r="J2441" s="65" t="b">
        <v>1</v>
      </c>
      <c r="K2441" s="65"/>
      <c r="L2441" s="85" t="b">
        <f>IF(VLOOKUP(C2441,Projetos!A:L,12,false)=TRUE,TRUE,FALSE)</f>
        <v>1</v>
      </c>
      <c r="M2441" s="74">
        <v>73.7079846079846</v>
      </c>
      <c r="N2441" s="74">
        <f t="shared" si="1"/>
        <v>55.28098846</v>
      </c>
      <c r="O2441" s="74" t="b">
        <v>1</v>
      </c>
    </row>
    <row r="2442" hidden="1">
      <c r="A2442" s="82"/>
      <c r="B2442" s="65" t="s">
        <v>495</v>
      </c>
      <c r="C2442" s="65" t="s">
        <v>89</v>
      </c>
      <c r="D2442" s="65"/>
      <c r="E2442" s="65" t="s">
        <v>1577</v>
      </c>
      <c r="F2442" s="83">
        <v>0.3472222222222222</v>
      </c>
      <c r="G2442" s="83">
        <v>0.4375</v>
      </c>
      <c r="H2442" s="83">
        <v>0.09027777777777778</v>
      </c>
      <c r="I2442" s="84">
        <v>44518.0</v>
      </c>
      <c r="J2442" s="65" t="b">
        <v>0</v>
      </c>
      <c r="K2442" s="65"/>
      <c r="L2442" s="85" t="b">
        <f>IF(VLOOKUP(C2442,Projetos!A:L,12,false)=TRUE,TRUE,FALSE)</f>
        <v>1</v>
      </c>
      <c r="M2442" s="74">
        <v>73.7079846079846</v>
      </c>
      <c r="N2442" s="74">
        <f t="shared" si="1"/>
        <v>0</v>
      </c>
      <c r="O2442" s="74" t="b">
        <v>1</v>
      </c>
    </row>
    <row r="2443">
      <c r="A2443" s="82"/>
      <c r="B2443" s="65" t="s">
        <v>495</v>
      </c>
      <c r="C2443" s="65" t="s">
        <v>108</v>
      </c>
      <c r="D2443" s="65"/>
      <c r="E2443" s="65" t="s">
        <v>1578</v>
      </c>
      <c r="F2443" s="83">
        <v>0.6145833333333334</v>
      </c>
      <c r="G2443" s="83">
        <v>0.6458333333333334</v>
      </c>
      <c r="H2443" s="83">
        <v>0.03125</v>
      </c>
      <c r="I2443" s="84">
        <v>44529.0</v>
      </c>
      <c r="J2443" s="65" t="b">
        <v>0</v>
      </c>
      <c r="K2443" s="65"/>
      <c r="L2443" s="85" t="b">
        <f>IF(VLOOKUP(C2443,Projetos!A:L,12,false)=TRUE,TRUE,FALSE)</f>
        <v>1</v>
      </c>
      <c r="M2443" s="74">
        <v>73.7079846079846</v>
      </c>
      <c r="N2443" s="74">
        <f t="shared" si="1"/>
        <v>0</v>
      </c>
      <c r="O2443" s="74" t="b">
        <v>1</v>
      </c>
    </row>
    <row r="2444" hidden="1">
      <c r="A2444" s="82"/>
      <c r="B2444" s="65" t="s">
        <v>495</v>
      </c>
      <c r="C2444" s="65" t="s">
        <v>117</v>
      </c>
      <c r="D2444" s="65"/>
      <c r="E2444" s="65" t="s">
        <v>1579</v>
      </c>
      <c r="F2444" s="83">
        <v>0.6041666666666666</v>
      </c>
      <c r="G2444" s="83">
        <v>0.6666666666666666</v>
      </c>
      <c r="H2444" s="83">
        <v>0.0625</v>
      </c>
      <c r="I2444" s="84">
        <v>44526.0</v>
      </c>
      <c r="J2444" s="65" t="b">
        <v>0</v>
      </c>
      <c r="K2444" s="65"/>
      <c r="L2444" s="85" t="b">
        <f>IF(VLOOKUP(C2444,Projetos!A:L,12,false)=TRUE,TRUE,FALSE)</f>
        <v>1</v>
      </c>
      <c r="M2444" s="74">
        <v>73.7079846079846</v>
      </c>
      <c r="N2444" s="74">
        <f t="shared" si="1"/>
        <v>0</v>
      </c>
      <c r="O2444" s="74" t="b">
        <v>1</v>
      </c>
    </row>
    <row r="2445" hidden="1">
      <c r="A2445" s="82"/>
      <c r="B2445" s="65" t="s">
        <v>495</v>
      </c>
      <c r="C2445" s="65" t="s">
        <v>92</v>
      </c>
      <c r="D2445" s="65" t="str">
        <f>vlookup(C2445,'Classificação p pessoal'!F:G,2,false)</f>
        <v/>
      </c>
      <c r="E2445" s="65" t="s">
        <v>1580</v>
      </c>
      <c r="F2445" s="83">
        <v>0.4166666666666667</v>
      </c>
      <c r="G2445" s="83">
        <v>0.5</v>
      </c>
      <c r="H2445" s="83">
        <v>0.08333333333333333</v>
      </c>
      <c r="I2445" s="84">
        <v>44539.0</v>
      </c>
      <c r="J2445" s="65" t="b">
        <v>1</v>
      </c>
      <c r="K2445" s="65"/>
      <c r="L2445" s="85" t="b">
        <f>IF(VLOOKUP(C2445,Projetos!A:L,12,false)=TRUE,TRUE,FALSE)</f>
        <v>1</v>
      </c>
      <c r="M2445" s="74">
        <v>73.7079846079846</v>
      </c>
      <c r="N2445" s="74">
        <f t="shared" si="1"/>
        <v>147.4159692</v>
      </c>
      <c r="O2445" s="74" t="b">
        <v>1</v>
      </c>
    </row>
    <row r="2446" hidden="1">
      <c r="A2446" s="82"/>
      <c r="B2446" s="65" t="s">
        <v>495</v>
      </c>
      <c r="C2446" s="65" t="s">
        <v>92</v>
      </c>
      <c r="D2446" s="65" t="str">
        <f>vlookup(C2446,'Classificação p pessoal'!F:G,2,false)</f>
        <v/>
      </c>
      <c r="E2446" s="65" t="s">
        <v>1581</v>
      </c>
      <c r="F2446" s="83">
        <v>0.625</v>
      </c>
      <c r="G2446" s="83">
        <v>0.6770833333333334</v>
      </c>
      <c r="H2446" s="83">
        <v>0.052083333333333336</v>
      </c>
      <c r="I2446" s="84">
        <v>44435.0</v>
      </c>
      <c r="J2446" s="65" t="b">
        <v>1</v>
      </c>
      <c r="K2446" s="65"/>
      <c r="L2446" s="85" t="b">
        <f>IF(VLOOKUP(C2446,Projetos!A:L,12,false)=TRUE,TRUE,FALSE)</f>
        <v>1</v>
      </c>
      <c r="M2446" s="74">
        <v>73.7079846079846</v>
      </c>
      <c r="N2446" s="74">
        <f t="shared" si="1"/>
        <v>92.13498076</v>
      </c>
      <c r="O2446" s="74" t="b">
        <v>1</v>
      </c>
    </row>
    <row r="2447" hidden="1">
      <c r="A2447" s="82"/>
      <c r="B2447" s="65" t="s">
        <v>495</v>
      </c>
      <c r="C2447" s="65" t="s">
        <v>92</v>
      </c>
      <c r="D2447" s="65"/>
      <c r="E2447" s="65" t="s">
        <v>1582</v>
      </c>
      <c r="F2447" s="83">
        <v>0.625</v>
      </c>
      <c r="G2447" s="83">
        <v>0.6979166666666666</v>
      </c>
      <c r="H2447" s="83">
        <v>0.07291666666666667</v>
      </c>
      <c r="I2447" s="84">
        <v>44540.0</v>
      </c>
      <c r="J2447" s="65" t="b">
        <v>0</v>
      </c>
      <c r="K2447" s="65" t="s">
        <v>150</v>
      </c>
      <c r="L2447" s="85" t="b">
        <f>IF(VLOOKUP(C2447,Projetos!A:L,12,false)=TRUE,TRUE,FALSE)</f>
        <v>1</v>
      </c>
      <c r="M2447" s="74">
        <v>73.7079846079846</v>
      </c>
      <c r="N2447" s="74">
        <f t="shared" si="1"/>
        <v>0</v>
      </c>
      <c r="O2447" s="74" t="b">
        <v>1</v>
      </c>
    </row>
    <row r="2448" hidden="1">
      <c r="A2448" s="82"/>
      <c r="B2448" s="65" t="s">
        <v>495</v>
      </c>
      <c r="C2448" s="65" t="s">
        <v>92</v>
      </c>
      <c r="D2448" s="65"/>
      <c r="E2448" s="65" t="s">
        <v>1582</v>
      </c>
      <c r="F2448" s="83">
        <v>0.71875</v>
      </c>
      <c r="G2448" s="83">
        <v>0.75</v>
      </c>
      <c r="H2448" s="83">
        <v>0.03125</v>
      </c>
      <c r="I2448" s="84">
        <v>44540.0</v>
      </c>
      <c r="J2448" s="65" t="b">
        <v>0</v>
      </c>
      <c r="K2448" s="65" t="s">
        <v>150</v>
      </c>
      <c r="L2448" s="85" t="b">
        <f>IF(VLOOKUP(C2448,Projetos!A:L,12,false)=TRUE,TRUE,FALSE)</f>
        <v>1</v>
      </c>
      <c r="M2448" s="74">
        <v>73.7079846079846</v>
      </c>
      <c r="N2448" s="74">
        <f t="shared" si="1"/>
        <v>0</v>
      </c>
      <c r="O2448" s="74" t="b">
        <v>1</v>
      </c>
    </row>
    <row r="2449" hidden="1">
      <c r="A2449" s="82"/>
      <c r="B2449" s="65" t="s">
        <v>495</v>
      </c>
      <c r="C2449" s="65" t="s">
        <v>92</v>
      </c>
      <c r="D2449" s="65"/>
      <c r="E2449" s="65" t="s">
        <v>1583</v>
      </c>
      <c r="F2449" s="83">
        <v>0.4791666666666667</v>
      </c>
      <c r="G2449" s="83">
        <v>0.5729166666666666</v>
      </c>
      <c r="H2449" s="83">
        <v>0.09375</v>
      </c>
      <c r="I2449" s="84">
        <v>44524.0</v>
      </c>
      <c r="J2449" s="65" t="b">
        <v>0</v>
      </c>
      <c r="K2449" s="65" t="s">
        <v>150</v>
      </c>
      <c r="L2449" s="85" t="b">
        <f>IF(VLOOKUP(C2449,Projetos!A:L,12,false)=TRUE,TRUE,FALSE)</f>
        <v>1</v>
      </c>
      <c r="M2449" s="74">
        <v>73.7079846079846</v>
      </c>
      <c r="N2449" s="74">
        <f t="shared" si="1"/>
        <v>0</v>
      </c>
      <c r="O2449" s="74" t="b">
        <v>1</v>
      </c>
    </row>
    <row r="2450" hidden="1">
      <c r="A2450" s="82"/>
      <c r="B2450" s="65" t="s">
        <v>495</v>
      </c>
      <c r="C2450" s="65" t="s">
        <v>92</v>
      </c>
      <c r="D2450" s="65"/>
      <c r="E2450" s="65" t="s">
        <v>1583</v>
      </c>
      <c r="F2450" s="83">
        <v>0.71875</v>
      </c>
      <c r="G2450" s="83">
        <v>0.75</v>
      </c>
      <c r="H2450" s="83">
        <v>0.03125</v>
      </c>
      <c r="I2450" s="84">
        <v>44524.0</v>
      </c>
      <c r="J2450" s="65" t="b">
        <v>0</v>
      </c>
      <c r="K2450" s="65" t="s">
        <v>150</v>
      </c>
      <c r="L2450" s="85" t="b">
        <f>IF(VLOOKUP(C2450,Projetos!A:L,12,false)=TRUE,TRUE,FALSE)</f>
        <v>1</v>
      </c>
      <c r="M2450" s="74">
        <v>73.7079846079846</v>
      </c>
      <c r="N2450" s="74">
        <f t="shared" si="1"/>
        <v>0</v>
      </c>
      <c r="O2450" s="74" t="b">
        <v>1</v>
      </c>
    </row>
    <row r="2451" hidden="1">
      <c r="A2451" s="82"/>
      <c r="B2451" s="65" t="s">
        <v>469</v>
      </c>
      <c r="C2451" s="65" t="s">
        <v>101</v>
      </c>
      <c r="D2451" s="65" t="str">
        <f>vlookup(C2451,'Classificação p pessoal'!F:G,2,false)</f>
        <v>NP</v>
      </c>
      <c r="E2451" s="65" t="s">
        <v>1584</v>
      </c>
      <c r="F2451" s="83">
        <v>0.6666666666666666</v>
      </c>
      <c r="G2451" s="83">
        <v>0.7083333333333334</v>
      </c>
      <c r="H2451" s="83">
        <v>0.041666666666666664</v>
      </c>
      <c r="I2451" s="84">
        <v>44405.0</v>
      </c>
      <c r="J2451" s="65" t="b">
        <v>1</v>
      </c>
      <c r="K2451" s="65"/>
      <c r="L2451" s="85" t="b">
        <f>IF(VLOOKUP(C2451,Projetos!A:L,12,false)=TRUE,TRUE,FALSE)</f>
        <v>1</v>
      </c>
      <c r="M2451" s="74">
        <v>37.50928062469937</v>
      </c>
      <c r="N2451" s="74">
        <f t="shared" si="1"/>
        <v>37.50928062</v>
      </c>
      <c r="O2451" s="74" t="b">
        <v>1</v>
      </c>
    </row>
    <row r="2452" hidden="1">
      <c r="A2452" s="82"/>
      <c r="B2452" s="65" t="s">
        <v>469</v>
      </c>
      <c r="C2452" s="65" t="s">
        <v>117</v>
      </c>
      <c r="D2452" s="65"/>
      <c r="E2452" s="65" t="s">
        <v>1585</v>
      </c>
      <c r="F2452" s="83">
        <v>0.375</v>
      </c>
      <c r="G2452" s="83">
        <v>0.5</v>
      </c>
      <c r="H2452" s="83">
        <v>0.125</v>
      </c>
      <c r="I2452" s="84">
        <v>44235.0</v>
      </c>
      <c r="J2452" s="65" t="b">
        <v>0</v>
      </c>
      <c r="K2452" s="65"/>
      <c r="L2452" s="85" t="b">
        <f>IF(VLOOKUP(C2452,Projetos!A:L,12,false)=TRUE,TRUE,FALSE)</f>
        <v>1</v>
      </c>
      <c r="M2452" s="74">
        <v>37.50928062469937</v>
      </c>
      <c r="N2452" s="74">
        <f t="shared" si="1"/>
        <v>0</v>
      </c>
      <c r="O2452" s="74" t="b">
        <v>1</v>
      </c>
    </row>
    <row r="2453" hidden="1">
      <c r="A2453" s="82"/>
      <c r="B2453" s="65" t="s">
        <v>469</v>
      </c>
      <c r="C2453" s="65" t="s">
        <v>118</v>
      </c>
      <c r="D2453" s="65" t="str">
        <f>vlookup(C2453,'Classificação p pessoal'!F:G,2,false)</f>
        <v>MProduto</v>
      </c>
      <c r="E2453" s="65" t="s">
        <v>1586</v>
      </c>
      <c r="F2453" s="83">
        <v>0.4583333333333333</v>
      </c>
      <c r="G2453" s="83">
        <v>0.5</v>
      </c>
      <c r="H2453" s="83">
        <v>0.041666666666666664</v>
      </c>
      <c r="I2453" s="84">
        <v>44392.0</v>
      </c>
      <c r="J2453" s="65" t="b">
        <v>1</v>
      </c>
      <c r="K2453" s="65"/>
      <c r="L2453" s="85" t="b">
        <f>IF(VLOOKUP(C2453,Projetos!A:L,12,false)=TRUE,TRUE,FALSE)</f>
        <v>1</v>
      </c>
      <c r="M2453" s="74">
        <v>37.50928062469937</v>
      </c>
      <c r="N2453" s="74">
        <f t="shared" si="1"/>
        <v>37.50928062</v>
      </c>
      <c r="O2453" s="74" t="b">
        <v>1</v>
      </c>
    </row>
    <row r="2454" hidden="1">
      <c r="A2454" s="82"/>
      <c r="B2454" s="65" t="s">
        <v>469</v>
      </c>
      <c r="C2454" s="65" t="s">
        <v>106</v>
      </c>
      <c r="D2454" s="65" t="str">
        <f>vlookup(C2454,'Classificação p pessoal'!F:G,2,false)</f>
        <v>MProcesso</v>
      </c>
      <c r="E2454" s="65" t="s">
        <v>1587</v>
      </c>
      <c r="F2454" s="83">
        <v>0.4166666666666667</v>
      </c>
      <c r="G2454" s="83">
        <v>0.4583333333333333</v>
      </c>
      <c r="H2454" s="83">
        <v>0.041666666666666664</v>
      </c>
      <c r="I2454" s="84">
        <v>44404.0</v>
      </c>
      <c r="J2454" s="65" t="b">
        <v>1</v>
      </c>
      <c r="K2454" s="65"/>
      <c r="L2454" s="85" t="b">
        <f>IF(VLOOKUP(C2454,Projetos!A:L,12,false)=TRUE,TRUE,FALSE)</f>
        <v>1</v>
      </c>
      <c r="M2454" s="74">
        <v>37.50928062469937</v>
      </c>
      <c r="N2454" s="74">
        <f t="shared" si="1"/>
        <v>37.50928062</v>
      </c>
      <c r="O2454" s="74" t="b">
        <v>1</v>
      </c>
    </row>
    <row r="2455" hidden="1">
      <c r="A2455" s="82"/>
      <c r="B2455" s="65" t="s">
        <v>469</v>
      </c>
      <c r="C2455" s="65" t="s">
        <v>100</v>
      </c>
      <c r="D2455" s="65" t="str">
        <f>vlookup(C2455,'Classificação p pessoal'!F:G,2,false)</f>
        <v>NP</v>
      </c>
      <c r="E2455" s="65" t="s">
        <v>1588</v>
      </c>
      <c r="F2455" s="83">
        <v>0.6458333333333334</v>
      </c>
      <c r="G2455" s="83">
        <v>0.6875</v>
      </c>
      <c r="H2455" s="83">
        <v>0.041666666666666664</v>
      </c>
      <c r="I2455" s="84">
        <v>44312.0</v>
      </c>
      <c r="J2455" s="65" t="b">
        <v>1</v>
      </c>
      <c r="K2455" s="65"/>
      <c r="L2455" s="85" t="b">
        <f>IF(VLOOKUP(C2455,Projetos!A:L,12,false)=TRUE,TRUE,FALSE)</f>
        <v>1</v>
      </c>
      <c r="M2455" s="74">
        <v>37.50928062469937</v>
      </c>
      <c r="N2455" s="74">
        <f t="shared" si="1"/>
        <v>37.50928062</v>
      </c>
      <c r="O2455" s="74" t="b">
        <v>1</v>
      </c>
    </row>
    <row r="2456">
      <c r="A2456" s="82"/>
      <c r="B2456" s="65" t="s">
        <v>411</v>
      </c>
      <c r="C2456" s="65" t="s">
        <v>108</v>
      </c>
      <c r="D2456" s="65" t="str">
        <f>vlookup(C2456,'Classificação p pessoal'!F:G,2,false)</f>
        <v>NP</v>
      </c>
      <c r="E2456" s="65" t="s">
        <v>1589</v>
      </c>
      <c r="F2456" s="83">
        <v>0.4270833333333333</v>
      </c>
      <c r="G2456" s="83">
        <v>0.46875</v>
      </c>
      <c r="H2456" s="83">
        <v>0.041666666666666664</v>
      </c>
      <c r="I2456" s="84">
        <v>44336.0</v>
      </c>
      <c r="J2456" s="65" t="b">
        <v>1</v>
      </c>
      <c r="K2456" s="65"/>
      <c r="L2456" s="85" t="b">
        <f>IF(VLOOKUP(C2456,Projetos!A:L,12,false)=TRUE,TRUE,FALSE)</f>
        <v>1</v>
      </c>
      <c r="M2456" s="74">
        <v>52.48434411075036</v>
      </c>
      <c r="N2456" s="74">
        <f t="shared" si="1"/>
        <v>52.48434411</v>
      </c>
      <c r="O2456" s="74" t="b">
        <v>1</v>
      </c>
    </row>
    <row r="2457">
      <c r="A2457" s="82"/>
      <c r="B2457" s="65" t="s">
        <v>411</v>
      </c>
      <c r="C2457" s="65" t="s">
        <v>108</v>
      </c>
      <c r="D2457" s="65" t="str">
        <f>vlookup(C2457,'Classificação p pessoal'!F:G,2,false)</f>
        <v>NP</v>
      </c>
      <c r="E2457" s="65" t="s">
        <v>1590</v>
      </c>
      <c r="F2457" s="83">
        <v>0.4166666666666667</v>
      </c>
      <c r="G2457" s="83">
        <v>0.4583333333333333</v>
      </c>
      <c r="H2457" s="83">
        <v>0.041666666666666664</v>
      </c>
      <c r="I2457" s="84">
        <v>44329.0</v>
      </c>
      <c r="J2457" s="65" t="b">
        <v>1</v>
      </c>
      <c r="K2457" s="65"/>
      <c r="L2457" s="85" t="b">
        <f>IF(VLOOKUP(C2457,Projetos!A:L,12,false)=TRUE,TRUE,FALSE)</f>
        <v>1</v>
      </c>
      <c r="M2457" s="74">
        <v>52.48434411075036</v>
      </c>
      <c r="N2457" s="74">
        <f t="shared" si="1"/>
        <v>52.48434411</v>
      </c>
      <c r="O2457" s="74" t="b">
        <v>1</v>
      </c>
    </row>
    <row r="2458">
      <c r="A2458" s="82"/>
      <c r="B2458" s="65" t="s">
        <v>469</v>
      </c>
      <c r="C2458" s="65" t="s">
        <v>108</v>
      </c>
      <c r="D2458" s="65" t="str">
        <f>vlookup(C2458,'Classificação p pessoal'!F:G,2,false)</f>
        <v>NP</v>
      </c>
      <c r="E2458" s="65" t="s">
        <v>1591</v>
      </c>
      <c r="F2458" s="83">
        <v>0.34375</v>
      </c>
      <c r="G2458" s="83">
        <v>0.75</v>
      </c>
      <c r="H2458" s="83">
        <v>0.40625</v>
      </c>
      <c r="I2458" s="84">
        <v>44207.0</v>
      </c>
      <c r="J2458" s="65" t="b">
        <v>1</v>
      </c>
      <c r="K2458" s="65"/>
      <c r="L2458" s="85" t="b">
        <f>IF(VLOOKUP(C2458,Projetos!A:L,12,false)=TRUE,TRUE,FALSE)</f>
        <v>1</v>
      </c>
      <c r="M2458" s="74">
        <v>37.50928062469937</v>
      </c>
      <c r="N2458" s="74">
        <f t="shared" si="1"/>
        <v>365.7154861</v>
      </c>
      <c r="O2458" s="74" t="b">
        <v>1</v>
      </c>
    </row>
    <row r="2459">
      <c r="A2459" s="82"/>
      <c r="B2459" s="65" t="s">
        <v>469</v>
      </c>
      <c r="C2459" s="65" t="s">
        <v>108</v>
      </c>
      <c r="D2459" s="65" t="str">
        <f>vlookup(C2459,'Classificação p pessoal'!F:G,2,false)</f>
        <v>NP</v>
      </c>
      <c r="E2459" s="65" t="s">
        <v>1591</v>
      </c>
      <c r="F2459" s="83">
        <v>0.34375</v>
      </c>
      <c r="G2459" s="83">
        <v>0.75</v>
      </c>
      <c r="H2459" s="83">
        <v>0.40625</v>
      </c>
      <c r="I2459" s="84">
        <v>44208.0</v>
      </c>
      <c r="J2459" s="65" t="b">
        <v>1</v>
      </c>
      <c r="K2459" s="65"/>
      <c r="L2459" s="85" t="b">
        <f>IF(VLOOKUP(C2459,Projetos!A:L,12,false)=TRUE,TRUE,FALSE)</f>
        <v>1</v>
      </c>
      <c r="M2459" s="74">
        <v>37.50928062469937</v>
      </c>
      <c r="N2459" s="74">
        <f t="shared" si="1"/>
        <v>365.7154861</v>
      </c>
      <c r="O2459" s="74" t="b">
        <v>1</v>
      </c>
    </row>
    <row r="2460" hidden="1">
      <c r="A2460" s="82"/>
      <c r="B2460" s="65" t="s">
        <v>469</v>
      </c>
      <c r="C2460" s="65" t="s">
        <v>107</v>
      </c>
      <c r="D2460" s="65" t="str">
        <f>vlookup(C2460,'Classificação p pessoal'!F:G,2,false)</f>
        <v>NP</v>
      </c>
      <c r="E2460" s="65" t="s">
        <v>1592</v>
      </c>
      <c r="F2460" s="83">
        <v>0.34375</v>
      </c>
      <c r="G2460" s="83">
        <v>0.5833333333333334</v>
      </c>
      <c r="H2460" s="83">
        <v>0.23958333333333334</v>
      </c>
      <c r="I2460" s="84">
        <v>44207.0</v>
      </c>
      <c r="J2460" s="65" t="b">
        <v>1</v>
      </c>
      <c r="K2460" s="65"/>
      <c r="L2460" s="85" t="b">
        <f>IF(VLOOKUP(C2460,Projetos!A:L,12,false)=TRUE,TRUE,FALSE)</f>
        <v>1</v>
      </c>
      <c r="M2460" s="74">
        <v>37.50928062469937</v>
      </c>
      <c r="N2460" s="74">
        <f t="shared" si="1"/>
        <v>215.6783636</v>
      </c>
      <c r="O2460" s="74" t="b">
        <v>1</v>
      </c>
    </row>
    <row r="2461" hidden="1">
      <c r="A2461" s="82"/>
      <c r="B2461" s="65" t="s">
        <v>469</v>
      </c>
      <c r="C2461" s="65" t="s">
        <v>105</v>
      </c>
      <c r="D2461" s="65" t="str">
        <f>vlookup(C2461,'Classificação p pessoal'!F:G,2,false)</f>
        <v>NP</v>
      </c>
      <c r="E2461" s="65" t="s">
        <v>1593</v>
      </c>
      <c r="F2461" s="83">
        <v>0.34375</v>
      </c>
      <c r="G2461" s="83">
        <v>0.6875</v>
      </c>
      <c r="H2461" s="83">
        <v>0.34375</v>
      </c>
      <c r="I2461" s="84">
        <v>44208.0</v>
      </c>
      <c r="J2461" s="65" t="b">
        <v>1</v>
      </c>
      <c r="K2461" s="65"/>
      <c r="L2461" s="85" t="b">
        <f>IF(VLOOKUP(C2461,Projetos!A:L,12,false)=TRUE,TRUE,FALSE)</f>
        <v>1</v>
      </c>
      <c r="M2461" s="74">
        <v>37.50928062469937</v>
      </c>
      <c r="N2461" s="74">
        <f t="shared" si="1"/>
        <v>309.4515652</v>
      </c>
      <c r="O2461" s="74" t="b">
        <v>1</v>
      </c>
    </row>
    <row r="2462" hidden="1">
      <c r="A2462" s="82"/>
      <c r="B2462" s="65" t="s">
        <v>469</v>
      </c>
      <c r="C2462" s="65" t="s">
        <v>132</v>
      </c>
      <c r="D2462" s="65"/>
      <c r="E2462" s="65" t="s">
        <v>1594</v>
      </c>
      <c r="F2462" s="83">
        <v>0.6875</v>
      </c>
      <c r="G2462" s="83">
        <v>0.7291666666666666</v>
      </c>
      <c r="H2462" s="83">
        <v>0.041666666666666664</v>
      </c>
      <c r="I2462" s="84">
        <v>44208.0</v>
      </c>
      <c r="J2462" s="65" t="b">
        <v>0</v>
      </c>
      <c r="K2462" s="65" t="s">
        <v>150</v>
      </c>
      <c r="L2462" s="85" t="b">
        <f>IF(VLOOKUP(C2462,Projetos!A:L,12,false)=TRUE,TRUE,FALSE)</f>
        <v>0</v>
      </c>
      <c r="M2462" s="74">
        <v>37.50928062469937</v>
      </c>
      <c r="N2462" s="74">
        <f t="shared" si="1"/>
        <v>0</v>
      </c>
      <c r="O2462" s="74" t="b">
        <v>0</v>
      </c>
    </row>
    <row r="2463" hidden="1">
      <c r="A2463" s="82"/>
      <c r="B2463" s="65" t="s">
        <v>411</v>
      </c>
      <c r="C2463" s="65" t="s">
        <v>117</v>
      </c>
      <c r="D2463" s="65" t="str">
        <f>vlookup(C2463,'Classificação p pessoal'!F:G,2,false)</f>
        <v>NP</v>
      </c>
      <c r="E2463" s="65" t="s">
        <v>1595</v>
      </c>
      <c r="F2463" s="83">
        <v>0.5833333333333334</v>
      </c>
      <c r="G2463" s="83">
        <v>0.75</v>
      </c>
      <c r="H2463" s="83">
        <v>0.16666666666666666</v>
      </c>
      <c r="I2463" s="84">
        <v>44557.0</v>
      </c>
      <c r="J2463" s="65" t="b">
        <v>1</v>
      </c>
      <c r="K2463" s="65"/>
      <c r="L2463" s="85" t="b">
        <f>IF(VLOOKUP(C2463,Projetos!A:L,12,false)=TRUE,TRUE,FALSE)</f>
        <v>1</v>
      </c>
      <c r="M2463" s="74">
        <v>52.48434411075036</v>
      </c>
      <c r="N2463" s="74">
        <f t="shared" si="1"/>
        <v>209.9373764</v>
      </c>
      <c r="O2463" s="74" t="b">
        <v>1</v>
      </c>
    </row>
    <row r="2464" hidden="1">
      <c r="A2464" s="82"/>
      <c r="B2464" s="65" t="s">
        <v>411</v>
      </c>
      <c r="C2464" s="65" t="s">
        <v>152</v>
      </c>
      <c r="D2464" s="65" t="str">
        <f>vlookup(C2464,'Classificação p pessoal'!F:G,2,false)</f>
        <v>MProduto</v>
      </c>
      <c r="E2464" s="65" t="s">
        <v>1596</v>
      </c>
      <c r="F2464" s="83">
        <v>0.6041666666666666</v>
      </c>
      <c r="G2464" s="83">
        <v>0.6458333333333334</v>
      </c>
      <c r="H2464" s="83">
        <v>0.041666666666666664</v>
      </c>
      <c r="I2464" s="84">
        <v>44329.0</v>
      </c>
      <c r="J2464" s="65" t="b">
        <v>1</v>
      </c>
      <c r="K2464" s="65"/>
      <c r="L2464" s="85" t="b">
        <f>IF(VLOOKUP(C2464,Projetos!A:L,12,false)=TRUE,TRUE,FALSE)</f>
        <v>1</v>
      </c>
      <c r="M2464" s="74">
        <v>52.48434411075036</v>
      </c>
      <c r="N2464" s="74">
        <f t="shared" si="1"/>
        <v>52.48434411</v>
      </c>
      <c r="O2464" s="74" t="b">
        <v>1</v>
      </c>
    </row>
    <row r="2465" hidden="1">
      <c r="A2465" s="82"/>
      <c r="B2465" s="65" t="s">
        <v>469</v>
      </c>
      <c r="C2465" s="65" t="s">
        <v>118</v>
      </c>
      <c r="D2465" s="65" t="str">
        <f>vlookup(C2465,'Classificação p pessoal'!F:G,2,false)</f>
        <v>MProduto</v>
      </c>
      <c r="E2465" s="65" t="s">
        <v>1597</v>
      </c>
      <c r="F2465" s="83">
        <v>0.34375</v>
      </c>
      <c r="G2465" s="83">
        <v>0.75</v>
      </c>
      <c r="H2465" s="83">
        <v>0.40625</v>
      </c>
      <c r="I2465" s="84">
        <v>44210.0</v>
      </c>
      <c r="J2465" s="65" t="b">
        <v>1</v>
      </c>
      <c r="K2465" s="65"/>
      <c r="L2465" s="85" t="b">
        <f>IF(VLOOKUP(C2465,Projetos!A:L,12,false)=TRUE,TRUE,FALSE)</f>
        <v>1</v>
      </c>
      <c r="M2465" s="74">
        <v>37.50928062469937</v>
      </c>
      <c r="N2465" s="74">
        <f t="shared" si="1"/>
        <v>365.7154861</v>
      </c>
      <c r="O2465" s="74" t="b">
        <v>1</v>
      </c>
    </row>
    <row r="2466" hidden="1">
      <c r="A2466" s="82"/>
      <c r="B2466" s="65" t="s">
        <v>469</v>
      </c>
      <c r="C2466" s="65" t="s">
        <v>118</v>
      </c>
      <c r="D2466" s="65" t="str">
        <f>vlookup(C2466,'Classificação p pessoal'!F:G,2,false)</f>
        <v>MProduto</v>
      </c>
      <c r="E2466" s="65" t="s">
        <v>1598</v>
      </c>
      <c r="F2466" s="83">
        <v>0.34375</v>
      </c>
      <c r="G2466" s="83">
        <v>0.75</v>
      </c>
      <c r="H2466" s="83">
        <v>0.40625</v>
      </c>
      <c r="I2466" s="84">
        <v>44235.0</v>
      </c>
      <c r="J2466" s="65" t="b">
        <v>1</v>
      </c>
      <c r="K2466" s="65"/>
      <c r="L2466" s="85" t="b">
        <f>IF(VLOOKUP(C2466,Projetos!A:L,12,false)=TRUE,TRUE,FALSE)</f>
        <v>1</v>
      </c>
      <c r="M2466" s="74">
        <v>37.50928062469937</v>
      </c>
      <c r="N2466" s="74">
        <f t="shared" si="1"/>
        <v>365.7154861</v>
      </c>
      <c r="O2466" s="74" t="b">
        <v>1</v>
      </c>
    </row>
    <row r="2467" hidden="1">
      <c r="A2467" s="82"/>
      <c r="B2467" s="65" t="s">
        <v>469</v>
      </c>
      <c r="C2467" s="65" t="s">
        <v>118</v>
      </c>
      <c r="D2467" s="65" t="str">
        <f>vlookup(C2467,'Classificação p pessoal'!F:G,2,false)</f>
        <v>MProduto</v>
      </c>
      <c r="E2467" s="65" t="s">
        <v>1598</v>
      </c>
      <c r="F2467" s="83">
        <v>0.34375</v>
      </c>
      <c r="G2467" s="83">
        <v>0.75</v>
      </c>
      <c r="H2467" s="83">
        <v>0.40625</v>
      </c>
      <c r="I2467" s="84">
        <v>44236.0</v>
      </c>
      <c r="J2467" s="65" t="b">
        <v>1</v>
      </c>
      <c r="K2467" s="65"/>
      <c r="L2467" s="85" t="b">
        <f>IF(VLOOKUP(C2467,Projetos!A:L,12,false)=TRUE,TRUE,FALSE)</f>
        <v>1</v>
      </c>
      <c r="M2467" s="74">
        <v>37.50928062469937</v>
      </c>
      <c r="N2467" s="74">
        <f t="shared" si="1"/>
        <v>365.7154861</v>
      </c>
      <c r="O2467" s="74" t="b">
        <v>1</v>
      </c>
    </row>
    <row r="2468" hidden="1">
      <c r="A2468" s="82"/>
      <c r="B2468" s="65" t="s">
        <v>469</v>
      </c>
      <c r="C2468" s="65" t="s">
        <v>118</v>
      </c>
      <c r="D2468" s="65" t="str">
        <f>vlookup(C2468,'Classificação p pessoal'!F:G,2,false)</f>
        <v>MProduto</v>
      </c>
      <c r="E2468" s="65" t="s">
        <v>1598</v>
      </c>
      <c r="F2468" s="83">
        <v>0.34375</v>
      </c>
      <c r="G2468" s="83">
        <v>0.75</v>
      </c>
      <c r="H2468" s="83">
        <v>0.40625</v>
      </c>
      <c r="I2468" s="84">
        <v>44237.0</v>
      </c>
      <c r="J2468" s="65" t="b">
        <v>1</v>
      </c>
      <c r="K2468" s="65"/>
      <c r="L2468" s="85" t="b">
        <f>IF(VLOOKUP(C2468,Projetos!A:L,12,false)=TRUE,TRUE,FALSE)</f>
        <v>1</v>
      </c>
      <c r="M2468" s="74">
        <v>37.50928062469937</v>
      </c>
      <c r="N2468" s="74">
        <f t="shared" si="1"/>
        <v>365.7154861</v>
      </c>
      <c r="O2468" s="74" t="b">
        <v>1</v>
      </c>
    </row>
    <row r="2469" hidden="1">
      <c r="A2469" s="82"/>
      <c r="B2469" s="65" t="s">
        <v>469</v>
      </c>
      <c r="C2469" s="65" t="s">
        <v>118</v>
      </c>
      <c r="D2469" s="65" t="str">
        <f>vlookup(C2469,'Classificação p pessoal'!F:G,2,false)</f>
        <v>MProduto</v>
      </c>
      <c r="E2469" s="65" t="s">
        <v>1599</v>
      </c>
      <c r="F2469" s="83">
        <v>0.34375</v>
      </c>
      <c r="G2469" s="83">
        <v>0.625</v>
      </c>
      <c r="H2469" s="83">
        <v>0.28125</v>
      </c>
      <c r="I2469" s="84">
        <v>44238.0</v>
      </c>
      <c r="J2469" s="65" t="b">
        <v>1</v>
      </c>
      <c r="K2469" s="65"/>
      <c r="L2469" s="85" t="b">
        <f>IF(VLOOKUP(C2469,Projetos!A:L,12,false)=TRUE,TRUE,FALSE)</f>
        <v>1</v>
      </c>
      <c r="M2469" s="74">
        <v>37.50928062469937</v>
      </c>
      <c r="N2469" s="74">
        <f t="shared" si="1"/>
        <v>253.1876442</v>
      </c>
      <c r="O2469" s="74" t="b">
        <v>1</v>
      </c>
    </row>
    <row r="2470" hidden="1">
      <c r="A2470" s="82"/>
      <c r="B2470" s="65" t="s">
        <v>469</v>
      </c>
      <c r="C2470" s="65" t="s">
        <v>106</v>
      </c>
      <c r="D2470" s="65" t="str">
        <f>vlookup(C2470,'Classificação p pessoal'!F:G,2,false)</f>
        <v>MProcesso</v>
      </c>
      <c r="E2470" s="65" t="s">
        <v>1600</v>
      </c>
      <c r="F2470" s="83">
        <v>0.625</v>
      </c>
      <c r="G2470" s="83">
        <v>0.6666666666666666</v>
      </c>
      <c r="H2470" s="83">
        <v>0.041666666666666664</v>
      </c>
      <c r="I2470" s="84">
        <v>44238.0</v>
      </c>
      <c r="J2470" s="65" t="b">
        <v>1</v>
      </c>
      <c r="K2470" s="65"/>
      <c r="L2470" s="85" t="b">
        <f>IF(VLOOKUP(C2470,Projetos!A:L,12,false)=TRUE,TRUE,FALSE)</f>
        <v>1</v>
      </c>
      <c r="M2470" s="74">
        <v>37.50928062469937</v>
      </c>
      <c r="N2470" s="74">
        <f t="shared" si="1"/>
        <v>37.50928062</v>
      </c>
      <c r="O2470" s="74" t="b">
        <v>1</v>
      </c>
    </row>
    <row r="2471" hidden="1">
      <c r="A2471" s="82"/>
      <c r="B2471" s="65" t="s">
        <v>469</v>
      </c>
      <c r="C2471" s="65" t="s">
        <v>132</v>
      </c>
      <c r="D2471" s="65"/>
      <c r="E2471" s="65" t="s">
        <v>1601</v>
      </c>
      <c r="F2471" s="83">
        <v>0.375</v>
      </c>
      <c r="G2471" s="83">
        <v>0.3958333333333333</v>
      </c>
      <c r="H2471" s="83">
        <v>0.020833333333333332</v>
      </c>
      <c r="I2471" s="84">
        <v>44236.0</v>
      </c>
      <c r="J2471" s="65" t="b">
        <v>1</v>
      </c>
      <c r="K2471" s="65"/>
      <c r="L2471" s="85" t="b">
        <f>IF(VLOOKUP(C2471,Projetos!A:L,12,false)=TRUE,TRUE,FALSE)</f>
        <v>0</v>
      </c>
      <c r="M2471" s="74">
        <v>37.50928062469937</v>
      </c>
      <c r="N2471" s="74">
        <f t="shared" si="1"/>
        <v>0</v>
      </c>
      <c r="O2471" s="74" t="b">
        <v>0</v>
      </c>
    </row>
    <row r="2472" hidden="1">
      <c r="A2472" s="82"/>
      <c r="B2472" s="65" t="s">
        <v>469</v>
      </c>
      <c r="C2472" s="65" t="s">
        <v>132</v>
      </c>
      <c r="D2472" s="65"/>
      <c r="E2472" s="65" t="s">
        <v>1602</v>
      </c>
      <c r="F2472" s="83">
        <v>0.34375</v>
      </c>
      <c r="G2472" s="83">
        <v>0.5</v>
      </c>
      <c r="H2472" s="83">
        <v>0.15625</v>
      </c>
      <c r="I2472" s="84">
        <v>44237.0</v>
      </c>
      <c r="J2472" s="65" t="b">
        <v>1</v>
      </c>
      <c r="K2472" s="65"/>
      <c r="L2472" s="85" t="b">
        <f>IF(VLOOKUP(C2472,Projetos!A:L,12,false)=TRUE,TRUE,FALSE)</f>
        <v>0</v>
      </c>
      <c r="M2472" s="74">
        <v>37.50928062469937</v>
      </c>
      <c r="N2472" s="74">
        <f t="shared" si="1"/>
        <v>0</v>
      </c>
      <c r="O2472" s="74" t="b">
        <v>0</v>
      </c>
    </row>
    <row r="2473" hidden="1">
      <c r="A2473" s="82"/>
      <c r="B2473" s="65" t="s">
        <v>469</v>
      </c>
      <c r="C2473" s="65" t="s">
        <v>117</v>
      </c>
      <c r="D2473" s="65"/>
      <c r="E2473" s="65" t="s">
        <v>1603</v>
      </c>
      <c r="F2473" s="83">
        <v>0.3541666666666667</v>
      </c>
      <c r="G2473" s="83">
        <v>0.7083333333333334</v>
      </c>
      <c r="H2473" s="83">
        <v>0.3541666666666667</v>
      </c>
      <c r="I2473" s="84">
        <v>43870.0</v>
      </c>
      <c r="J2473" s="65" t="b">
        <v>0</v>
      </c>
      <c r="K2473" s="65" t="s">
        <v>150</v>
      </c>
      <c r="L2473" s="85" t="b">
        <f>IF(VLOOKUP(C2473,Projetos!A:L,12,false)=TRUE,TRUE,FALSE)</f>
        <v>1</v>
      </c>
      <c r="M2473" s="74">
        <v>37.50928062469937</v>
      </c>
      <c r="N2473" s="74">
        <f t="shared" si="1"/>
        <v>0</v>
      </c>
      <c r="O2473" s="74" t="b">
        <v>1</v>
      </c>
    </row>
    <row r="2474" hidden="1">
      <c r="A2474" s="82"/>
      <c r="B2474" s="65" t="s">
        <v>411</v>
      </c>
      <c r="C2474" s="65" t="s">
        <v>121</v>
      </c>
      <c r="D2474" s="65"/>
      <c r="E2474" s="65" t="s">
        <v>1604</v>
      </c>
      <c r="F2474" s="83">
        <v>0.4583333333333333</v>
      </c>
      <c r="G2474" s="83">
        <v>0.5</v>
      </c>
      <c r="H2474" s="83">
        <v>0.041666666666666664</v>
      </c>
      <c r="I2474" s="84">
        <v>44342.0</v>
      </c>
      <c r="J2474" s="65" t="b">
        <v>0</v>
      </c>
      <c r="K2474" s="65" t="s">
        <v>150</v>
      </c>
      <c r="L2474" s="85" t="b">
        <f>IF(VLOOKUP(C2474,Projetos!A:L,12,false)=TRUE,TRUE,FALSE)</f>
        <v>1</v>
      </c>
      <c r="M2474" s="74">
        <v>52.48434411075036</v>
      </c>
      <c r="N2474" s="74">
        <f t="shared" si="1"/>
        <v>0</v>
      </c>
      <c r="O2474" s="74" t="b">
        <v>1</v>
      </c>
    </row>
    <row r="2475" hidden="1">
      <c r="A2475" s="82"/>
      <c r="B2475" s="65" t="s">
        <v>495</v>
      </c>
      <c r="C2475" s="65" t="s">
        <v>117</v>
      </c>
      <c r="D2475" s="65"/>
      <c r="E2475" s="65" t="s">
        <v>1605</v>
      </c>
      <c r="F2475" s="83">
        <v>0.4375</v>
      </c>
      <c r="G2475" s="83">
        <v>0.4791666666666667</v>
      </c>
      <c r="H2475" s="83">
        <v>0.041666666666666664</v>
      </c>
      <c r="I2475" s="84">
        <v>44510.0</v>
      </c>
      <c r="J2475" s="65" t="b">
        <v>0</v>
      </c>
      <c r="K2475" s="65" t="s">
        <v>150</v>
      </c>
      <c r="L2475" s="85" t="b">
        <f>IF(VLOOKUP(C2475,Projetos!A:L,12,false)=TRUE,TRUE,FALSE)</f>
        <v>1</v>
      </c>
      <c r="M2475" s="74">
        <v>73.7079846079846</v>
      </c>
      <c r="N2475" s="74">
        <f t="shared" si="1"/>
        <v>0</v>
      </c>
      <c r="O2475" s="74" t="b">
        <v>1</v>
      </c>
    </row>
    <row r="2476" hidden="1">
      <c r="A2476" s="82"/>
      <c r="B2476" s="65" t="s">
        <v>469</v>
      </c>
      <c r="C2476" s="65" t="s">
        <v>106</v>
      </c>
      <c r="D2476" s="65"/>
      <c r="E2476" s="65" t="s">
        <v>1594</v>
      </c>
      <c r="F2476" s="83">
        <v>0.4583333333333333</v>
      </c>
      <c r="G2476" s="83">
        <v>0.5</v>
      </c>
      <c r="H2476" s="83">
        <v>0.041666666666666664</v>
      </c>
      <c r="I2476" s="84">
        <v>44239.0</v>
      </c>
      <c r="J2476" s="65" t="b">
        <v>0</v>
      </c>
      <c r="K2476" s="65" t="s">
        <v>150</v>
      </c>
      <c r="L2476" s="85" t="b">
        <f>IF(VLOOKUP(C2476,Projetos!A:L,12,false)=TRUE,TRUE,FALSE)</f>
        <v>1</v>
      </c>
      <c r="M2476" s="74">
        <v>37.50928062469937</v>
      </c>
      <c r="N2476" s="74">
        <f t="shared" si="1"/>
        <v>0</v>
      </c>
      <c r="O2476" s="74" t="b">
        <v>1</v>
      </c>
    </row>
    <row r="2477" hidden="1">
      <c r="A2477" s="82"/>
      <c r="B2477" s="65" t="s">
        <v>411</v>
      </c>
      <c r="C2477" s="65" t="s">
        <v>88</v>
      </c>
      <c r="D2477" s="65"/>
      <c r="E2477" s="65" t="s">
        <v>1606</v>
      </c>
      <c r="F2477" s="83">
        <v>0.375</v>
      </c>
      <c r="G2477" s="83">
        <v>0.4583333333333333</v>
      </c>
      <c r="H2477" s="83">
        <v>0.08333333333333333</v>
      </c>
      <c r="I2477" s="84">
        <v>44378.0</v>
      </c>
      <c r="J2477" s="65" t="b">
        <v>0</v>
      </c>
      <c r="K2477" s="65" t="s">
        <v>150</v>
      </c>
      <c r="L2477" s="85" t="b">
        <f>IF(VLOOKUP(C2477,Projetos!A:L,12,false)=TRUE,TRUE,FALSE)</f>
        <v>1</v>
      </c>
      <c r="M2477" s="74">
        <v>52.48434411075036</v>
      </c>
      <c r="N2477" s="74">
        <f t="shared" si="1"/>
        <v>0</v>
      </c>
      <c r="O2477" s="74" t="b">
        <v>1</v>
      </c>
    </row>
    <row r="2478" hidden="1">
      <c r="A2478" s="82"/>
      <c r="B2478" s="65" t="s">
        <v>467</v>
      </c>
      <c r="C2478" s="65" t="s">
        <v>122</v>
      </c>
      <c r="D2478" s="65"/>
      <c r="E2478" s="65" t="s">
        <v>1607</v>
      </c>
      <c r="F2478" s="83">
        <v>0.3958333333333333</v>
      </c>
      <c r="G2478" s="83">
        <v>0.4583333333333333</v>
      </c>
      <c r="H2478" s="83">
        <v>0.0625</v>
      </c>
      <c r="I2478" s="84">
        <v>44505.0</v>
      </c>
      <c r="J2478" s="65" t="b">
        <v>0</v>
      </c>
      <c r="K2478" s="65" t="s">
        <v>150</v>
      </c>
      <c r="L2478" s="85" t="b">
        <f>IF(VLOOKUP(C2478,Projetos!A:L,12,false)=TRUE,TRUE,FALSE)</f>
        <v>1</v>
      </c>
      <c r="M2478" s="74">
        <v>52.1518759018759</v>
      </c>
      <c r="N2478" s="74">
        <f t="shared" si="1"/>
        <v>0</v>
      </c>
      <c r="O2478" s="74" t="b">
        <v>1</v>
      </c>
    </row>
    <row r="2479" hidden="1">
      <c r="A2479" s="82"/>
      <c r="B2479" s="65" t="s">
        <v>469</v>
      </c>
      <c r="C2479" s="65" t="s">
        <v>132</v>
      </c>
      <c r="D2479" s="65"/>
      <c r="E2479" s="65" t="s">
        <v>1594</v>
      </c>
      <c r="F2479" s="83">
        <v>0.4583333333333333</v>
      </c>
      <c r="G2479" s="83">
        <v>0.5</v>
      </c>
      <c r="H2479" s="83">
        <v>0.041666666666666664</v>
      </c>
      <c r="I2479" s="84">
        <v>44250.0</v>
      </c>
      <c r="J2479" s="65" t="b">
        <v>0</v>
      </c>
      <c r="K2479" s="65" t="s">
        <v>150</v>
      </c>
      <c r="L2479" s="85" t="b">
        <f>IF(VLOOKUP(C2479,Projetos!A:L,12,false)=TRUE,TRUE,FALSE)</f>
        <v>0</v>
      </c>
      <c r="M2479" s="74">
        <v>37.50928062469937</v>
      </c>
      <c r="N2479" s="74">
        <f t="shared" si="1"/>
        <v>0</v>
      </c>
      <c r="O2479" s="74" t="b">
        <v>0</v>
      </c>
    </row>
    <row r="2480" hidden="1">
      <c r="A2480" s="82"/>
      <c r="B2480" s="65" t="s">
        <v>469</v>
      </c>
      <c r="C2480" s="65" t="s">
        <v>118</v>
      </c>
      <c r="D2480" s="65" t="str">
        <f>vlookup(C2480,'Classificação p pessoal'!F:G,2,false)</f>
        <v>MProduto</v>
      </c>
      <c r="E2480" s="65" t="s">
        <v>1598</v>
      </c>
      <c r="F2480" s="83">
        <v>0.5416666666666666</v>
      </c>
      <c r="G2480" s="83">
        <v>0.7291666666666666</v>
      </c>
      <c r="H2480" s="83">
        <v>0.1875</v>
      </c>
      <c r="I2480" s="84">
        <v>44250.0</v>
      </c>
      <c r="J2480" s="65" t="b">
        <v>1</v>
      </c>
      <c r="K2480" s="65"/>
      <c r="L2480" s="85" t="b">
        <f>IF(VLOOKUP(C2480,Projetos!A:L,12,false)=TRUE,TRUE,FALSE)</f>
        <v>1</v>
      </c>
      <c r="M2480" s="74">
        <v>37.50928062469937</v>
      </c>
      <c r="N2480" s="74">
        <f t="shared" si="1"/>
        <v>168.7917628</v>
      </c>
      <c r="O2480" s="74" t="b">
        <v>1</v>
      </c>
    </row>
    <row r="2481" hidden="1">
      <c r="A2481" s="82"/>
      <c r="B2481" s="65" t="s">
        <v>469</v>
      </c>
      <c r="C2481" s="65" t="s">
        <v>118</v>
      </c>
      <c r="D2481" s="65" t="str">
        <f>vlookup(C2481,'Classificação p pessoal'!F:G,2,false)</f>
        <v>MProduto</v>
      </c>
      <c r="E2481" s="65" t="s">
        <v>1598</v>
      </c>
      <c r="F2481" s="83">
        <v>0.3541666666666667</v>
      </c>
      <c r="G2481" s="83">
        <v>0.7291666666666666</v>
      </c>
      <c r="H2481" s="83">
        <v>0.375</v>
      </c>
      <c r="I2481" s="84">
        <v>44251.0</v>
      </c>
      <c r="J2481" s="65" t="b">
        <v>1</v>
      </c>
      <c r="K2481" s="65"/>
      <c r="L2481" s="85" t="b">
        <f>IF(VLOOKUP(C2481,Projetos!A:L,12,false)=TRUE,TRUE,FALSE)</f>
        <v>1</v>
      </c>
      <c r="M2481" s="74">
        <v>37.50928062469937</v>
      </c>
      <c r="N2481" s="74">
        <f t="shared" si="1"/>
        <v>337.5835256</v>
      </c>
      <c r="O2481" s="74" t="b">
        <v>1</v>
      </c>
    </row>
    <row r="2482" hidden="1">
      <c r="A2482" s="82"/>
      <c r="B2482" s="65" t="s">
        <v>469</v>
      </c>
      <c r="C2482" s="65" t="s">
        <v>118</v>
      </c>
      <c r="D2482" s="65" t="str">
        <f>vlookup(C2482,'Classificação p pessoal'!F:G,2,false)</f>
        <v>MProduto</v>
      </c>
      <c r="E2482" s="65" t="s">
        <v>1598</v>
      </c>
      <c r="F2482" s="83">
        <v>0.3541666666666667</v>
      </c>
      <c r="G2482" s="83">
        <v>0.7291666666666666</v>
      </c>
      <c r="H2482" s="83">
        <v>0.375</v>
      </c>
      <c r="I2482" s="84">
        <v>44252.0</v>
      </c>
      <c r="J2482" s="65" t="b">
        <v>1</v>
      </c>
      <c r="K2482" s="65"/>
      <c r="L2482" s="85" t="b">
        <f>IF(VLOOKUP(C2482,Projetos!A:L,12,false)=TRUE,TRUE,FALSE)</f>
        <v>1</v>
      </c>
      <c r="M2482" s="74">
        <v>37.50928062469937</v>
      </c>
      <c r="N2482" s="74">
        <f t="shared" si="1"/>
        <v>337.5835256</v>
      </c>
      <c r="O2482" s="74" t="b">
        <v>1</v>
      </c>
    </row>
    <row r="2483" hidden="1">
      <c r="A2483" s="82"/>
      <c r="B2483" s="65" t="s">
        <v>469</v>
      </c>
      <c r="C2483" s="65" t="s">
        <v>118</v>
      </c>
      <c r="D2483" s="65" t="str">
        <f>vlookup(C2483,'Classificação p pessoal'!F:G,2,false)</f>
        <v>MProduto</v>
      </c>
      <c r="E2483" s="65" t="s">
        <v>1598</v>
      </c>
      <c r="F2483" s="83">
        <v>0.3541666666666667</v>
      </c>
      <c r="G2483" s="83">
        <v>0.7291666666666666</v>
      </c>
      <c r="H2483" s="83">
        <v>0.375</v>
      </c>
      <c r="I2483" s="84">
        <v>44253.0</v>
      </c>
      <c r="J2483" s="65" t="b">
        <v>1</v>
      </c>
      <c r="K2483" s="65"/>
      <c r="L2483" s="85" t="b">
        <f>IF(VLOOKUP(C2483,Projetos!A:L,12,false)=TRUE,TRUE,FALSE)</f>
        <v>1</v>
      </c>
      <c r="M2483" s="74">
        <v>37.50928062469937</v>
      </c>
      <c r="N2483" s="74">
        <f t="shared" si="1"/>
        <v>337.5835256</v>
      </c>
      <c r="O2483" s="74" t="b">
        <v>1</v>
      </c>
    </row>
    <row r="2484" hidden="1">
      <c r="A2484" s="82"/>
      <c r="B2484" s="65" t="s">
        <v>177</v>
      </c>
      <c r="C2484" s="65" t="s">
        <v>122</v>
      </c>
      <c r="D2484" s="65"/>
      <c r="E2484" s="65" t="s">
        <v>1608</v>
      </c>
      <c r="F2484" s="83">
        <v>0.4583333333333333</v>
      </c>
      <c r="G2484" s="83">
        <v>0.5</v>
      </c>
      <c r="H2484" s="83">
        <v>0.041666666666666664</v>
      </c>
      <c r="I2484" s="84">
        <v>44505.0</v>
      </c>
      <c r="J2484" s="65" t="b">
        <v>0</v>
      </c>
      <c r="K2484" s="65" t="s">
        <v>150</v>
      </c>
      <c r="L2484" s="85" t="b">
        <f>IF(VLOOKUP(C2484,Projetos!A:L,12,false)=TRUE,TRUE,FALSE)</f>
        <v>1</v>
      </c>
      <c r="M2484" s="74">
        <v>31.02923620430495</v>
      </c>
      <c r="N2484" s="74">
        <f t="shared" si="1"/>
        <v>0</v>
      </c>
      <c r="O2484" s="74" t="b">
        <v>1</v>
      </c>
    </row>
    <row r="2485" hidden="1">
      <c r="A2485" s="82"/>
      <c r="B2485" s="65" t="s">
        <v>469</v>
      </c>
      <c r="C2485" s="65" t="s">
        <v>118</v>
      </c>
      <c r="D2485" s="65" t="str">
        <f>vlookup(C2485,'Classificação p pessoal'!F:G,2,false)</f>
        <v>MProduto</v>
      </c>
      <c r="E2485" s="65" t="s">
        <v>1609</v>
      </c>
      <c r="F2485" s="83">
        <v>0.3541666666666667</v>
      </c>
      <c r="G2485" s="83">
        <v>0.75</v>
      </c>
      <c r="H2485" s="83">
        <v>0.3958333333333333</v>
      </c>
      <c r="I2485" s="84">
        <v>44257.0</v>
      </c>
      <c r="J2485" s="65" t="b">
        <v>1</v>
      </c>
      <c r="K2485" s="65"/>
      <c r="L2485" s="85" t="b">
        <f>IF(VLOOKUP(C2485,Projetos!A:L,12,false)=TRUE,TRUE,FALSE)</f>
        <v>1</v>
      </c>
      <c r="M2485" s="74">
        <v>37.50928062469937</v>
      </c>
      <c r="N2485" s="74">
        <f t="shared" si="1"/>
        <v>356.3381659</v>
      </c>
      <c r="O2485" s="74" t="b">
        <v>1</v>
      </c>
    </row>
    <row r="2486" hidden="1">
      <c r="A2486" s="82"/>
      <c r="B2486" s="65" t="s">
        <v>469</v>
      </c>
      <c r="C2486" s="65" t="s">
        <v>118</v>
      </c>
      <c r="D2486" s="65" t="str">
        <f>vlookup(C2486,'Classificação p pessoal'!F:G,2,false)</f>
        <v>MProduto</v>
      </c>
      <c r="E2486" s="65" t="s">
        <v>1598</v>
      </c>
      <c r="F2486" s="83">
        <v>0.3541666666666667</v>
      </c>
      <c r="G2486" s="83">
        <v>0.7291666666666666</v>
      </c>
      <c r="H2486" s="83">
        <v>0.375</v>
      </c>
      <c r="I2486" s="84">
        <v>44258.0</v>
      </c>
      <c r="J2486" s="65" t="b">
        <v>1</v>
      </c>
      <c r="K2486" s="65"/>
      <c r="L2486" s="85" t="b">
        <f>IF(VLOOKUP(C2486,Projetos!A:L,12,false)=TRUE,TRUE,FALSE)</f>
        <v>1</v>
      </c>
      <c r="M2486" s="74">
        <v>37.50928062469937</v>
      </c>
      <c r="N2486" s="74">
        <f t="shared" si="1"/>
        <v>337.5835256</v>
      </c>
      <c r="O2486" s="74" t="b">
        <v>1</v>
      </c>
    </row>
    <row r="2487" hidden="1">
      <c r="A2487" s="82"/>
      <c r="B2487" s="65" t="s">
        <v>469</v>
      </c>
      <c r="C2487" s="65" t="s">
        <v>118</v>
      </c>
      <c r="D2487" s="65" t="str">
        <f>vlookup(C2487,'Classificação p pessoal'!F:G,2,false)</f>
        <v>MProduto</v>
      </c>
      <c r="E2487" s="65" t="s">
        <v>1598</v>
      </c>
      <c r="F2487" s="83">
        <v>0.3541666666666667</v>
      </c>
      <c r="G2487" s="83">
        <v>0.7291666666666666</v>
      </c>
      <c r="H2487" s="83">
        <v>0.375</v>
      </c>
      <c r="I2487" s="84">
        <v>44259.0</v>
      </c>
      <c r="J2487" s="65" t="b">
        <v>1</v>
      </c>
      <c r="K2487" s="65"/>
      <c r="L2487" s="85" t="b">
        <f>IF(VLOOKUP(C2487,Projetos!A:L,12,false)=TRUE,TRUE,FALSE)</f>
        <v>1</v>
      </c>
      <c r="M2487" s="74">
        <v>37.50928062469937</v>
      </c>
      <c r="N2487" s="74">
        <f t="shared" si="1"/>
        <v>337.5835256</v>
      </c>
      <c r="O2487" s="74" t="b">
        <v>1</v>
      </c>
    </row>
    <row r="2488" hidden="1">
      <c r="A2488" s="82"/>
      <c r="B2488" s="65" t="s">
        <v>469</v>
      </c>
      <c r="C2488" s="65" t="s">
        <v>106</v>
      </c>
      <c r="D2488" s="65"/>
      <c r="E2488" s="65" t="s">
        <v>1610</v>
      </c>
      <c r="F2488" s="83">
        <v>0.3541666666666667</v>
      </c>
      <c r="G2488" s="83">
        <v>0.3819444444444444</v>
      </c>
      <c r="H2488" s="83">
        <v>0.027777777777777776</v>
      </c>
      <c r="I2488" s="84">
        <v>44259.0</v>
      </c>
      <c r="J2488" s="65" t="b">
        <v>0</v>
      </c>
      <c r="K2488" s="65" t="s">
        <v>150</v>
      </c>
      <c r="L2488" s="85" t="b">
        <f>IF(VLOOKUP(C2488,Projetos!A:L,12,false)=TRUE,TRUE,FALSE)</f>
        <v>1</v>
      </c>
      <c r="M2488" s="74">
        <v>37.50928062469937</v>
      </c>
      <c r="N2488" s="74">
        <f t="shared" si="1"/>
        <v>0</v>
      </c>
      <c r="O2488" s="74" t="b">
        <v>1</v>
      </c>
    </row>
    <row r="2489" hidden="1">
      <c r="A2489" s="82"/>
      <c r="B2489" s="65" t="s">
        <v>469</v>
      </c>
      <c r="C2489" s="65" t="s">
        <v>118</v>
      </c>
      <c r="D2489" s="65" t="str">
        <f>vlookup(C2489,'Classificação p pessoal'!F:G,2,false)</f>
        <v>MProduto</v>
      </c>
      <c r="E2489" s="65" t="s">
        <v>1598</v>
      </c>
      <c r="F2489" s="83">
        <v>0.4166666666666667</v>
      </c>
      <c r="G2489" s="83">
        <v>0.7291666666666666</v>
      </c>
      <c r="H2489" s="83">
        <v>0.3125</v>
      </c>
      <c r="I2489" s="84">
        <v>44260.0</v>
      </c>
      <c r="J2489" s="65" t="b">
        <v>1</v>
      </c>
      <c r="K2489" s="65"/>
      <c r="L2489" s="85" t="b">
        <f>IF(VLOOKUP(C2489,Projetos!A:L,12,false)=TRUE,TRUE,FALSE)</f>
        <v>1</v>
      </c>
      <c r="M2489" s="74">
        <v>37.50928062469937</v>
      </c>
      <c r="N2489" s="74">
        <f t="shared" si="1"/>
        <v>281.3196047</v>
      </c>
      <c r="O2489" s="74" t="b">
        <v>1</v>
      </c>
    </row>
    <row r="2490" hidden="1">
      <c r="A2490" s="82"/>
      <c r="B2490" s="65" t="s">
        <v>469</v>
      </c>
      <c r="C2490" s="65" t="s">
        <v>132</v>
      </c>
      <c r="D2490" s="65"/>
      <c r="E2490" s="65" t="s">
        <v>1611</v>
      </c>
      <c r="F2490" s="83">
        <v>0.34375</v>
      </c>
      <c r="G2490" s="83">
        <v>0.7083333333333334</v>
      </c>
      <c r="H2490" s="83">
        <v>0.3645833333333333</v>
      </c>
      <c r="I2490" s="84">
        <v>44263.0</v>
      </c>
      <c r="J2490" s="65" t="b">
        <v>1</v>
      </c>
      <c r="K2490" s="65"/>
      <c r="L2490" s="85" t="b">
        <f>IF(VLOOKUP(C2490,Projetos!A:L,12,false)=TRUE,TRUE,FALSE)</f>
        <v>0</v>
      </c>
      <c r="M2490" s="74">
        <v>37.50928062469937</v>
      </c>
      <c r="N2490" s="74">
        <f t="shared" si="1"/>
        <v>0</v>
      </c>
      <c r="O2490" s="74" t="b">
        <v>0</v>
      </c>
    </row>
    <row r="2491" hidden="1">
      <c r="A2491" s="82"/>
      <c r="B2491" s="65" t="s">
        <v>469</v>
      </c>
      <c r="C2491" s="65" t="s">
        <v>132</v>
      </c>
      <c r="D2491" s="65"/>
      <c r="E2491" s="65" t="s">
        <v>1611</v>
      </c>
      <c r="F2491" s="83">
        <v>0.34375</v>
      </c>
      <c r="G2491" s="83">
        <v>0.7083333333333334</v>
      </c>
      <c r="H2491" s="83">
        <v>0.3645833333333333</v>
      </c>
      <c r="I2491" s="84">
        <v>44264.0</v>
      </c>
      <c r="J2491" s="65" t="b">
        <v>1</v>
      </c>
      <c r="K2491" s="65"/>
      <c r="L2491" s="85" t="b">
        <f>IF(VLOOKUP(C2491,Projetos!A:L,12,false)=TRUE,TRUE,FALSE)</f>
        <v>0</v>
      </c>
      <c r="M2491" s="74">
        <v>37.50928062469937</v>
      </c>
      <c r="N2491" s="74">
        <f t="shared" si="1"/>
        <v>0</v>
      </c>
      <c r="O2491" s="74" t="b">
        <v>0</v>
      </c>
    </row>
    <row r="2492" hidden="1">
      <c r="A2492" s="82"/>
      <c r="B2492" s="65" t="s">
        <v>469</v>
      </c>
      <c r="C2492" s="65" t="s">
        <v>132</v>
      </c>
      <c r="D2492" s="65"/>
      <c r="E2492" s="65" t="s">
        <v>1611</v>
      </c>
      <c r="F2492" s="83">
        <v>0.34375</v>
      </c>
      <c r="G2492" s="83">
        <v>0.7083333333333334</v>
      </c>
      <c r="H2492" s="83">
        <v>0.3645833333333333</v>
      </c>
      <c r="I2492" s="84">
        <v>44265.0</v>
      </c>
      <c r="J2492" s="65" t="b">
        <v>1</v>
      </c>
      <c r="K2492" s="65"/>
      <c r="L2492" s="85" t="b">
        <f>IF(VLOOKUP(C2492,Projetos!A:L,12,false)=TRUE,TRUE,FALSE)</f>
        <v>0</v>
      </c>
      <c r="M2492" s="74">
        <v>37.50928062469937</v>
      </c>
      <c r="N2492" s="74">
        <f t="shared" si="1"/>
        <v>0</v>
      </c>
      <c r="O2492" s="74" t="b">
        <v>0</v>
      </c>
    </row>
    <row r="2493" hidden="1">
      <c r="A2493" s="82"/>
      <c r="B2493" s="65" t="s">
        <v>469</v>
      </c>
      <c r="C2493" s="65" t="s">
        <v>132</v>
      </c>
      <c r="D2493" s="65"/>
      <c r="E2493" s="65" t="s">
        <v>1612</v>
      </c>
      <c r="F2493" s="83">
        <v>0.34375</v>
      </c>
      <c r="G2493" s="83">
        <v>0.7083333333333334</v>
      </c>
      <c r="H2493" s="83">
        <v>0.3645833333333333</v>
      </c>
      <c r="I2493" s="84">
        <v>44266.0</v>
      </c>
      <c r="J2493" s="65" t="b">
        <v>1</v>
      </c>
      <c r="K2493" s="65"/>
      <c r="L2493" s="85" t="b">
        <f>IF(VLOOKUP(C2493,Projetos!A:L,12,false)=TRUE,TRUE,FALSE)</f>
        <v>0</v>
      </c>
      <c r="M2493" s="74">
        <v>37.50928062469937</v>
      </c>
      <c r="N2493" s="74">
        <f t="shared" si="1"/>
        <v>0</v>
      </c>
      <c r="O2493" s="74" t="b">
        <v>0</v>
      </c>
    </row>
    <row r="2494" hidden="1">
      <c r="A2494" s="82"/>
      <c r="B2494" s="65" t="s">
        <v>469</v>
      </c>
      <c r="C2494" s="65" t="s">
        <v>132</v>
      </c>
      <c r="D2494" s="65"/>
      <c r="E2494" s="65" t="s">
        <v>1612</v>
      </c>
      <c r="F2494" s="83">
        <v>0.34375</v>
      </c>
      <c r="G2494" s="83">
        <v>0.7083333333333334</v>
      </c>
      <c r="H2494" s="83">
        <v>0.3645833333333333</v>
      </c>
      <c r="I2494" s="84">
        <v>44267.0</v>
      </c>
      <c r="J2494" s="65" t="b">
        <v>1</v>
      </c>
      <c r="K2494" s="65"/>
      <c r="L2494" s="85" t="b">
        <f>IF(VLOOKUP(C2494,Projetos!A:L,12,false)=TRUE,TRUE,FALSE)</f>
        <v>0</v>
      </c>
      <c r="M2494" s="74">
        <v>37.50928062469937</v>
      </c>
      <c r="N2494" s="74">
        <f t="shared" si="1"/>
        <v>0</v>
      </c>
      <c r="O2494" s="74" t="b">
        <v>0</v>
      </c>
    </row>
    <row r="2495" hidden="1">
      <c r="A2495" s="82"/>
      <c r="B2495" s="65" t="s">
        <v>411</v>
      </c>
      <c r="C2495" s="65" t="s">
        <v>125</v>
      </c>
      <c r="D2495" s="65"/>
      <c r="E2495" s="65" t="s">
        <v>1613</v>
      </c>
      <c r="F2495" s="83">
        <v>0.3958333333333333</v>
      </c>
      <c r="G2495" s="83">
        <v>0.4375</v>
      </c>
      <c r="H2495" s="83">
        <v>0.041666666666666664</v>
      </c>
      <c r="I2495" s="84">
        <v>44505.0</v>
      </c>
      <c r="J2495" s="65" t="b">
        <v>0</v>
      </c>
      <c r="K2495" s="65" t="s">
        <v>150</v>
      </c>
      <c r="L2495" s="85" t="b">
        <f>IF(VLOOKUP(C2495,Projetos!A:L,12,false)=TRUE,TRUE,FALSE)</f>
        <v>1</v>
      </c>
      <c r="M2495" s="74">
        <v>52.48434411075036</v>
      </c>
      <c r="N2495" s="74">
        <f t="shared" si="1"/>
        <v>0</v>
      </c>
      <c r="O2495" s="74" t="b">
        <v>1</v>
      </c>
    </row>
    <row r="2496" hidden="1">
      <c r="A2496" s="82"/>
      <c r="B2496" s="65" t="s">
        <v>177</v>
      </c>
      <c r="C2496" s="65" t="s">
        <v>118</v>
      </c>
      <c r="D2496" s="65"/>
      <c r="E2496" s="65" t="s">
        <v>1614</v>
      </c>
      <c r="F2496" s="83">
        <v>0.5833333333333334</v>
      </c>
      <c r="G2496" s="83">
        <v>0.6041666666666666</v>
      </c>
      <c r="H2496" s="83">
        <v>0.020833333333333332</v>
      </c>
      <c r="I2496" s="84">
        <v>44425.0</v>
      </c>
      <c r="J2496" s="65" t="b">
        <v>0</v>
      </c>
      <c r="K2496" s="65" t="s">
        <v>150</v>
      </c>
      <c r="L2496" s="85" t="b">
        <f>IF(VLOOKUP(C2496,Projetos!A:L,12,false)=TRUE,TRUE,FALSE)</f>
        <v>1</v>
      </c>
      <c r="M2496" s="74">
        <v>31.02923620430495</v>
      </c>
      <c r="N2496" s="74">
        <f t="shared" si="1"/>
        <v>0</v>
      </c>
      <c r="O2496" s="74" t="b">
        <v>1</v>
      </c>
    </row>
    <row r="2497" hidden="1">
      <c r="A2497" s="82"/>
      <c r="B2497" s="65" t="s">
        <v>469</v>
      </c>
      <c r="C2497" s="65" t="s">
        <v>118</v>
      </c>
      <c r="D2497" s="65" t="str">
        <f>vlookup(C2497,'Classificação p pessoal'!F:G,2,false)</f>
        <v>MProduto</v>
      </c>
      <c r="E2497" s="65" t="s">
        <v>1615</v>
      </c>
      <c r="F2497" s="83">
        <v>0.5416666666666666</v>
      </c>
      <c r="G2497" s="83">
        <v>0.6875</v>
      </c>
      <c r="H2497" s="83">
        <v>0.14583333333333334</v>
      </c>
      <c r="I2497" s="84">
        <v>44280.0</v>
      </c>
      <c r="J2497" s="65" t="b">
        <v>1</v>
      </c>
      <c r="K2497" s="65"/>
      <c r="L2497" s="85" t="b">
        <f>IF(VLOOKUP(C2497,Projetos!A:L,12,false)=TRUE,TRUE,FALSE)</f>
        <v>1</v>
      </c>
      <c r="M2497" s="74">
        <v>37.50928062469937</v>
      </c>
      <c r="N2497" s="74">
        <f t="shared" si="1"/>
        <v>131.2824822</v>
      </c>
      <c r="O2497" s="74" t="b">
        <v>1</v>
      </c>
    </row>
    <row r="2498" hidden="1">
      <c r="A2498" s="82"/>
      <c r="B2498" s="65" t="s">
        <v>469</v>
      </c>
      <c r="C2498" s="65" t="s">
        <v>118</v>
      </c>
      <c r="D2498" s="65" t="str">
        <f>vlookup(C2498,'Classificação p pessoal'!F:G,2,false)</f>
        <v>MProduto</v>
      </c>
      <c r="E2498" s="65" t="s">
        <v>1616</v>
      </c>
      <c r="F2498" s="83">
        <v>0.3541666666666667</v>
      </c>
      <c r="G2498" s="83">
        <v>0.5</v>
      </c>
      <c r="H2498" s="83">
        <v>0.14583333333333334</v>
      </c>
      <c r="I2498" s="84">
        <v>44281.0</v>
      </c>
      <c r="J2498" s="65" t="b">
        <v>1</v>
      </c>
      <c r="K2498" s="65"/>
      <c r="L2498" s="85" t="b">
        <f>IF(VLOOKUP(C2498,Projetos!A:L,12,false)=TRUE,TRUE,FALSE)</f>
        <v>1</v>
      </c>
      <c r="M2498" s="74">
        <v>37.50928062469937</v>
      </c>
      <c r="N2498" s="74">
        <f t="shared" si="1"/>
        <v>131.2824822</v>
      </c>
      <c r="O2498" s="74" t="b">
        <v>1</v>
      </c>
    </row>
    <row r="2499" hidden="1">
      <c r="A2499" s="82"/>
      <c r="B2499" s="65" t="s">
        <v>469</v>
      </c>
      <c r="C2499" s="65" t="s">
        <v>92</v>
      </c>
      <c r="D2499" s="65" t="str">
        <f>vlookup(C2499,'Classificação p pessoal'!F:G,2,false)</f>
        <v/>
      </c>
      <c r="E2499" s="65" t="s">
        <v>1617</v>
      </c>
      <c r="F2499" s="83">
        <v>0.375</v>
      </c>
      <c r="G2499" s="83">
        <v>0.4166666666666667</v>
      </c>
      <c r="H2499" s="83">
        <v>0.041666666666666664</v>
      </c>
      <c r="I2499" s="84">
        <v>44281.0</v>
      </c>
      <c r="J2499" s="65" t="b">
        <v>1</v>
      </c>
      <c r="K2499" s="65"/>
      <c r="L2499" s="85" t="b">
        <f>IF(VLOOKUP(C2499,Projetos!A:L,12,false)=TRUE,TRUE,FALSE)</f>
        <v>1</v>
      </c>
      <c r="M2499" s="74">
        <v>37.50928062469937</v>
      </c>
      <c r="N2499" s="74">
        <f t="shared" si="1"/>
        <v>37.50928062</v>
      </c>
      <c r="O2499" s="74" t="b">
        <v>1</v>
      </c>
    </row>
    <row r="2500" hidden="1">
      <c r="A2500" s="82"/>
      <c r="B2500" s="65" t="s">
        <v>469</v>
      </c>
      <c r="C2500" s="65" t="s">
        <v>105</v>
      </c>
      <c r="D2500" s="65" t="str">
        <f>vlookup(C2500,'Classificação p pessoal'!F:G,2,false)</f>
        <v>NP</v>
      </c>
      <c r="E2500" s="65" t="s">
        <v>1618</v>
      </c>
      <c r="F2500" s="83">
        <v>0.4166666666666667</v>
      </c>
      <c r="G2500" s="83">
        <v>0.4583333333333333</v>
      </c>
      <c r="H2500" s="83">
        <v>0.041666666666666664</v>
      </c>
      <c r="I2500" s="84">
        <v>44281.0</v>
      </c>
      <c r="J2500" s="65" t="b">
        <v>1</v>
      </c>
      <c r="K2500" s="65"/>
      <c r="L2500" s="85" t="b">
        <f>IF(VLOOKUP(C2500,Projetos!A:L,12,false)=TRUE,TRUE,FALSE)</f>
        <v>1</v>
      </c>
      <c r="M2500" s="74">
        <v>37.50928062469937</v>
      </c>
      <c r="N2500" s="74">
        <f t="shared" si="1"/>
        <v>37.50928062</v>
      </c>
      <c r="O2500" s="74" t="b">
        <v>1</v>
      </c>
    </row>
    <row r="2501">
      <c r="A2501" s="82"/>
      <c r="B2501" s="65" t="s">
        <v>469</v>
      </c>
      <c r="C2501" s="65" t="s">
        <v>108</v>
      </c>
      <c r="D2501" s="65" t="str">
        <f>vlookup(C2501,'Classificação p pessoal'!F:G,2,false)</f>
        <v>NP</v>
      </c>
      <c r="E2501" s="65" t="s">
        <v>1619</v>
      </c>
      <c r="F2501" s="83">
        <v>0.375</v>
      </c>
      <c r="G2501" s="83">
        <v>0.625</v>
      </c>
      <c r="H2501" s="83">
        <v>0.25</v>
      </c>
      <c r="I2501" s="84">
        <v>44285.0</v>
      </c>
      <c r="J2501" s="65" t="b">
        <v>1</v>
      </c>
      <c r="K2501" s="65"/>
      <c r="L2501" s="85" t="b">
        <f>IF(VLOOKUP(C2501,Projetos!A:L,12,false)=TRUE,TRUE,FALSE)</f>
        <v>1</v>
      </c>
      <c r="M2501" s="74">
        <v>37.50928062469937</v>
      </c>
      <c r="N2501" s="74">
        <f t="shared" si="1"/>
        <v>225.0556837</v>
      </c>
      <c r="O2501" s="74" t="b">
        <v>1</v>
      </c>
    </row>
    <row r="2502" hidden="1">
      <c r="A2502" s="82"/>
      <c r="B2502" s="65" t="s">
        <v>469</v>
      </c>
      <c r="C2502" s="65" t="s">
        <v>118</v>
      </c>
      <c r="D2502" s="65" t="str">
        <f>vlookup(C2502,'Classificação p pessoal'!F:G,2,false)</f>
        <v>MProduto</v>
      </c>
      <c r="E2502" s="65" t="s">
        <v>1620</v>
      </c>
      <c r="F2502" s="83">
        <v>0.625</v>
      </c>
      <c r="G2502" s="83">
        <v>0.75</v>
      </c>
      <c r="H2502" s="83">
        <v>0.125</v>
      </c>
      <c r="I2502" s="84">
        <v>44285.0</v>
      </c>
      <c r="J2502" s="65" t="b">
        <v>1</v>
      </c>
      <c r="K2502" s="65"/>
      <c r="L2502" s="85" t="b">
        <f>IF(VLOOKUP(C2502,Projetos!A:L,12,false)=TRUE,TRUE,FALSE)</f>
        <v>1</v>
      </c>
      <c r="M2502" s="74">
        <v>37.50928062469937</v>
      </c>
      <c r="N2502" s="74">
        <f t="shared" si="1"/>
        <v>112.5278419</v>
      </c>
      <c r="O2502" s="74" t="b">
        <v>1</v>
      </c>
    </row>
    <row r="2503" hidden="1">
      <c r="A2503" s="82"/>
      <c r="B2503" s="65" t="s">
        <v>469</v>
      </c>
      <c r="C2503" s="65" t="s">
        <v>101</v>
      </c>
      <c r="D2503" s="65" t="str">
        <f>vlookup(C2503,'Classificação p pessoal'!F:G,2,false)</f>
        <v>NP</v>
      </c>
      <c r="E2503" s="65" t="s">
        <v>1621</v>
      </c>
      <c r="F2503" s="83">
        <v>0.3541666666666667</v>
      </c>
      <c r="G2503" s="83">
        <v>0.4166666666666667</v>
      </c>
      <c r="H2503" s="83">
        <v>0.0625</v>
      </c>
      <c r="I2503" s="84">
        <v>44286.0</v>
      </c>
      <c r="J2503" s="65" t="b">
        <v>1</v>
      </c>
      <c r="K2503" s="65"/>
      <c r="L2503" s="85" t="b">
        <f>IF(VLOOKUP(C2503,Projetos!A:L,12,false)=TRUE,TRUE,FALSE)</f>
        <v>1</v>
      </c>
      <c r="M2503" s="74">
        <v>37.50928062469937</v>
      </c>
      <c r="N2503" s="74">
        <f t="shared" si="1"/>
        <v>56.26392094</v>
      </c>
      <c r="O2503" s="74" t="b">
        <v>1</v>
      </c>
    </row>
    <row r="2504" hidden="1">
      <c r="A2504" s="82"/>
      <c r="B2504" s="65" t="s">
        <v>469</v>
      </c>
      <c r="C2504" s="65" t="s">
        <v>118</v>
      </c>
      <c r="D2504" s="65" t="str">
        <f>vlookup(C2504,'Classificação p pessoal'!F:G,2,false)</f>
        <v>MProduto</v>
      </c>
      <c r="E2504" s="65" t="s">
        <v>1622</v>
      </c>
      <c r="F2504" s="83">
        <v>0.4166666666666667</v>
      </c>
      <c r="G2504" s="83">
        <v>0.5416666666666666</v>
      </c>
      <c r="H2504" s="83">
        <v>0.125</v>
      </c>
      <c r="I2504" s="84">
        <v>44286.0</v>
      </c>
      <c r="J2504" s="65" t="b">
        <v>1</v>
      </c>
      <c r="K2504" s="65"/>
      <c r="L2504" s="85" t="b">
        <f>IF(VLOOKUP(C2504,Projetos!A:L,12,false)=TRUE,TRUE,FALSE)</f>
        <v>1</v>
      </c>
      <c r="M2504" s="74">
        <v>37.50928062469937</v>
      </c>
      <c r="N2504" s="74">
        <f t="shared" si="1"/>
        <v>112.5278419</v>
      </c>
      <c r="O2504" s="74" t="b">
        <v>1</v>
      </c>
    </row>
    <row r="2505" hidden="1">
      <c r="A2505" s="82"/>
      <c r="B2505" s="65" t="s">
        <v>469</v>
      </c>
      <c r="C2505" s="65" t="s">
        <v>105</v>
      </c>
      <c r="D2505" s="65" t="str">
        <f>vlookup(C2505,'Classificação p pessoal'!F:G,2,false)</f>
        <v>NP</v>
      </c>
      <c r="E2505" s="65" t="s">
        <v>1623</v>
      </c>
      <c r="F2505" s="83">
        <v>0.4166666666666667</v>
      </c>
      <c r="G2505" s="83">
        <v>0.5</v>
      </c>
      <c r="H2505" s="83">
        <v>0.08333333333333333</v>
      </c>
      <c r="I2505" s="84">
        <v>44287.0</v>
      </c>
      <c r="J2505" s="65" t="b">
        <v>1</v>
      </c>
      <c r="K2505" s="65"/>
      <c r="L2505" s="85" t="b">
        <f>IF(VLOOKUP(C2505,Projetos!A:L,12,false)=TRUE,TRUE,FALSE)</f>
        <v>1</v>
      </c>
      <c r="M2505" s="74">
        <v>37.50928062469937</v>
      </c>
      <c r="N2505" s="74">
        <f t="shared" si="1"/>
        <v>75.01856125</v>
      </c>
      <c r="O2505" s="74" t="b">
        <v>1</v>
      </c>
    </row>
    <row r="2506" hidden="1">
      <c r="A2506" s="82"/>
      <c r="B2506" s="65" t="s">
        <v>469</v>
      </c>
      <c r="C2506" s="65" t="s">
        <v>118</v>
      </c>
      <c r="D2506" s="65" t="str">
        <f>vlookup(C2506,'Classificação p pessoal'!F:G,2,false)</f>
        <v>MProduto</v>
      </c>
      <c r="E2506" s="65" t="s">
        <v>1624</v>
      </c>
      <c r="F2506" s="83">
        <v>0.375</v>
      </c>
      <c r="G2506" s="83">
        <v>0.4375</v>
      </c>
      <c r="H2506" s="83">
        <v>0.0625</v>
      </c>
      <c r="I2506" s="84">
        <v>44287.0</v>
      </c>
      <c r="J2506" s="65" t="b">
        <v>1</v>
      </c>
      <c r="K2506" s="65"/>
      <c r="L2506" s="85" t="b">
        <f>IF(VLOOKUP(C2506,Projetos!A:L,12,false)=TRUE,TRUE,FALSE)</f>
        <v>1</v>
      </c>
      <c r="M2506" s="74">
        <v>37.50928062469937</v>
      </c>
      <c r="N2506" s="74">
        <f t="shared" si="1"/>
        <v>56.26392094</v>
      </c>
      <c r="O2506" s="74" t="b">
        <v>1</v>
      </c>
    </row>
    <row r="2507" hidden="1">
      <c r="A2507" s="82"/>
      <c r="B2507" s="65" t="s">
        <v>469</v>
      </c>
      <c r="C2507" s="65" t="s">
        <v>118</v>
      </c>
      <c r="D2507" s="65" t="str">
        <f>vlookup(C2507,'Classificação p pessoal'!F:G,2,false)</f>
        <v>MProduto</v>
      </c>
      <c r="E2507" s="65" t="s">
        <v>1625</v>
      </c>
      <c r="F2507" s="83">
        <v>0.4027777777777778</v>
      </c>
      <c r="G2507" s="83">
        <v>0.4722222222222222</v>
      </c>
      <c r="H2507" s="83">
        <v>0.06944444444444445</v>
      </c>
      <c r="I2507" s="84">
        <v>44288.0</v>
      </c>
      <c r="J2507" s="65" t="b">
        <v>1</v>
      </c>
      <c r="K2507" s="65"/>
      <c r="L2507" s="85" t="b">
        <f>IF(VLOOKUP(C2507,Projetos!A:L,12,false)=TRUE,TRUE,FALSE)</f>
        <v>1</v>
      </c>
      <c r="M2507" s="74">
        <v>37.50928062469937</v>
      </c>
      <c r="N2507" s="74">
        <f t="shared" si="1"/>
        <v>62.51546771</v>
      </c>
      <c r="O2507" s="74" t="b">
        <v>1</v>
      </c>
    </row>
    <row r="2508" hidden="1">
      <c r="A2508" s="82"/>
      <c r="B2508" s="65" t="s">
        <v>469</v>
      </c>
      <c r="C2508" s="65" t="s">
        <v>105</v>
      </c>
      <c r="D2508" s="65" t="str">
        <f>vlookup(C2508,'Classificação p pessoal'!F:G,2,false)</f>
        <v>NP</v>
      </c>
      <c r="E2508" s="65" t="s">
        <v>1626</v>
      </c>
      <c r="F2508" s="83">
        <v>0.34375</v>
      </c>
      <c r="G2508" s="83">
        <v>0.5833333333333334</v>
      </c>
      <c r="H2508" s="83">
        <v>0.23958333333333334</v>
      </c>
      <c r="I2508" s="84">
        <v>44291.0</v>
      </c>
      <c r="J2508" s="65" t="b">
        <v>1</v>
      </c>
      <c r="K2508" s="65"/>
      <c r="L2508" s="85" t="b">
        <f>IF(VLOOKUP(C2508,Projetos!A:L,12,false)=TRUE,TRUE,FALSE)</f>
        <v>1</v>
      </c>
      <c r="M2508" s="74">
        <v>37.50928062469937</v>
      </c>
      <c r="N2508" s="74">
        <f t="shared" si="1"/>
        <v>215.6783636</v>
      </c>
      <c r="O2508" s="74" t="b">
        <v>1</v>
      </c>
    </row>
    <row r="2509" hidden="1">
      <c r="A2509" s="82"/>
      <c r="B2509" s="65" t="s">
        <v>469</v>
      </c>
      <c r="C2509" s="65" t="s">
        <v>118</v>
      </c>
      <c r="D2509" s="65" t="str">
        <f>vlookup(C2509,'Classificação p pessoal'!F:G,2,false)</f>
        <v>MProduto</v>
      </c>
      <c r="E2509" s="65" t="s">
        <v>1627</v>
      </c>
      <c r="F2509" s="83">
        <v>0.375</v>
      </c>
      <c r="G2509" s="83">
        <v>0.4791666666666667</v>
      </c>
      <c r="H2509" s="83">
        <v>0.10416666666666667</v>
      </c>
      <c r="I2509" s="84">
        <v>44291.0</v>
      </c>
      <c r="J2509" s="65" t="b">
        <v>1</v>
      </c>
      <c r="K2509" s="65"/>
      <c r="L2509" s="85" t="b">
        <f>IF(VLOOKUP(C2509,Projetos!A:L,12,false)=TRUE,TRUE,FALSE)</f>
        <v>1</v>
      </c>
      <c r="M2509" s="74">
        <v>37.50928062469937</v>
      </c>
      <c r="N2509" s="74">
        <f t="shared" si="1"/>
        <v>93.77320156</v>
      </c>
      <c r="O2509" s="74" t="b">
        <v>1</v>
      </c>
    </row>
    <row r="2510" hidden="1">
      <c r="A2510" s="82"/>
      <c r="B2510" s="65" t="s">
        <v>469</v>
      </c>
      <c r="C2510" s="65" t="s">
        <v>118</v>
      </c>
      <c r="D2510" s="65" t="str">
        <f>vlookup(C2510,'Classificação p pessoal'!F:G,2,false)</f>
        <v>MProduto</v>
      </c>
      <c r="E2510" s="65" t="s">
        <v>1628</v>
      </c>
      <c r="F2510" s="83">
        <v>0.3333333333333333</v>
      </c>
      <c r="G2510" s="83">
        <v>0.6458333333333334</v>
      </c>
      <c r="H2510" s="83">
        <v>0.3125</v>
      </c>
      <c r="I2510" s="84">
        <v>44292.0</v>
      </c>
      <c r="J2510" s="65" t="b">
        <v>1</v>
      </c>
      <c r="K2510" s="65"/>
      <c r="L2510" s="85" t="b">
        <f>IF(VLOOKUP(C2510,Projetos!A:L,12,false)=TRUE,TRUE,FALSE)</f>
        <v>1</v>
      </c>
      <c r="M2510" s="74">
        <v>37.50928062469937</v>
      </c>
      <c r="N2510" s="74">
        <f t="shared" si="1"/>
        <v>281.3196047</v>
      </c>
      <c r="O2510" s="74" t="b">
        <v>1</v>
      </c>
    </row>
    <row r="2511" hidden="1">
      <c r="A2511" s="82"/>
      <c r="B2511" s="65" t="s">
        <v>469</v>
      </c>
      <c r="C2511" s="65" t="s">
        <v>106</v>
      </c>
      <c r="D2511" s="65" t="str">
        <f>vlookup(C2511,'Classificação p pessoal'!F:G,2,false)</f>
        <v>MProcesso</v>
      </c>
      <c r="E2511" s="65" t="s">
        <v>1629</v>
      </c>
      <c r="F2511" s="83">
        <v>0.5833333333333334</v>
      </c>
      <c r="G2511" s="83">
        <v>0.625</v>
      </c>
      <c r="H2511" s="83">
        <v>0.041666666666666664</v>
      </c>
      <c r="I2511" s="84">
        <v>44292.0</v>
      </c>
      <c r="J2511" s="65" t="b">
        <v>1</v>
      </c>
      <c r="K2511" s="65"/>
      <c r="L2511" s="85" t="b">
        <f>IF(VLOOKUP(C2511,Projetos!A:L,12,false)=TRUE,TRUE,FALSE)</f>
        <v>1</v>
      </c>
      <c r="M2511" s="74">
        <v>37.50928062469937</v>
      </c>
      <c r="N2511" s="74">
        <f t="shared" si="1"/>
        <v>37.50928062</v>
      </c>
      <c r="O2511" s="74" t="b">
        <v>1</v>
      </c>
    </row>
    <row r="2512" hidden="1">
      <c r="A2512" s="82"/>
      <c r="B2512" s="65" t="s">
        <v>469</v>
      </c>
      <c r="C2512" s="65" t="s">
        <v>118</v>
      </c>
      <c r="D2512" s="65" t="str">
        <f>vlookup(C2512,'Classificação p pessoal'!F:G,2,false)</f>
        <v>MProduto</v>
      </c>
      <c r="E2512" s="65" t="s">
        <v>1628</v>
      </c>
      <c r="F2512" s="83">
        <v>0.3958333333333333</v>
      </c>
      <c r="G2512" s="83">
        <v>0.625</v>
      </c>
      <c r="H2512" s="83">
        <v>0.22916666666666666</v>
      </c>
      <c r="I2512" s="84">
        <v>44293.0</v>
      </c>
      <c r="J2512" s="65" t="b">
        <v>1</v>
      </c>
      <c r="K2512" s="65"/>
      <c r="L2512" s="85" t="b">
        <f>IF(VLOOKUP(C2512,Projetos!A:L,12,false)=TRUE,TRUE,FALSE)</f>
        <v>1</v>
      </c>
      <c r="M2512" s="74">
        <v>37.50928062469937</v>
      </c>
      <c r="N2512" s="74">
        <f t="shared" si="1"/>
        <v>206.3010434</v>
      </c>
      <c r="O2512" s="74" t="b">
        <v>1</v>
      </c>
    </row>
    <row r="2513" hidden="1">
      <c r="A2513" s="82"/>
      <c r="B2513" s="65" t="s">
        <v>469</v>
      </c>
      <c r="C2513" s="65" t="s">
        <v>118</v>
      </c>
      <c r="D2513" s="65" t="str">
        <f>vlookup(C2513,'Classificação p pessoal'!F:G,2,false)</f>
        <v>MProduto</v>
      </c>
      <c r="E2513" s="65" t="s">
        <v>1628</v>
      </c>
      <c r="F2513" s="83">
        <v>0.3333333333333333</v>
      </c>
      <c r="G2513" s="83">
        <v>0.6111111111111112</v>
      </c>
      <c r="H2513" s="83">
        <v>0.2777777777777778</v>
      </c>
      <c r="I2513" s="84">
        <v>44294.0</v>
      </c>
      <c r="J2513" s="65" t="b">
        <v>1</v>
      </c>
      <c r="K2513" s="65"/>
      <c r="L2513" s="85" t="b">
        <f>IF(VLOOKUP(C2513,Projetos!A:L,12,false)=TRUE,TRUE,FALSE)</f>
        <v>1</v>
      </c>
      <c r="M2513" s="74">
        <v>37.50928062469937</v>
      </c>
      <c r="N2513" s="74">
        <f t="shared" si="1"/>
        <v>250.0618708</v>
      </c>
      <c r="O2513" s="74" t="b">
        <v>1</v>
      </c>
    </row>
    <row r="2514" hidden="1">
      <c r="A2514" s="82"/>
      <c r="B2514" s="65" t="s">
        <v>469</v>
      </c>
      <c r="C2514" s="65" t="s">
        <v>118</v>
      </c>
      <c r="D2514" s="65" t="str">
        <f>vlookup(C2514,'Classificação p pessoal'!F:G,2,false)</f>
        <v>MProduto</v>
      </c>
      <c r="E2514" s="65" t="s">
        <v>1628</v>
      </c>
      <c r="F2514" s="83">
        <v>0.3888888888888889</v>
      </c>
      <c r="G2514" s="83">
        <v>0.7083333333333334</v>
      </c>
      <c r="H2514" s="83">
        <v>0.3194444444444444</v>
      </c>
      <c r="I2514" s="84">
        <v>44295.0</v>
      </c>
      <c r="J2514" s="65" t="b">
        <v>1</v>
      </c>
      <c r="K2514" s="65"/>
      <c r="L2514" s="85" t="b">
        <f>IF(VLOOKUP(C2514,Projetos!A:L,12,false)=TRUE,TRUE,FALSE)</f>
        <v>1</v>
      </c>
      <c r="M2514" s="74">
        <v>37.50928062469937</v>
      </c>
      <c r="N2514" s="74">
        <f t="shared" si="1"/>
        <v>287.5711515</v>
      </c>
      <c r="O2514" s="74" t="b">
        <v>1</v>
      </c>
    </row>
    <row r="2515" hidden="1">
      <c r="A2515" s="82"/>
      <c r="B2515" s="65" t="s">
        <v>469</v>
      </c>
      <c r="C2515" s="65" t="s">
        <v>107</v>
      </c>
      <c r="D2515" s="65" t="str">
        <f>vlookup(C2515,'Classificação p pessoal'!F:G,2,false)</f>
        <v>NP</v>
      </c>
      <c r="E2515" s="65" t="s">
        <v>1630</v>
      </c>
      <c r="F2515" s="83">
        <v>0.34375</v>
      </c>
      <c r="G2515" s="83">
        <v>0.5833333333333334</v>
      </c>
      <c r="H2515" s="83">
        <v>0.23958333333333334</v>
      </c>
      <c r="I2515" s="84">
        <v>44298.0</v>
      </c>
      <c r="J2515" s="65" t="b">
        <v>1</v>
      </c>
      <c r="K2515" s="65"/>
      <c r="L2515" s="85" t="b">
        <f>IF(VLOOKUP(C2515,Projetos!A:L,12,false)=TRUE,TRUE,FALSE)</f>
        <v>1</v>
      </c>
      <c r="M2515" s="74">
        <v>37.50928062469937</v>
      </c>
      <c r="N2515" s="74">
        <f t="shared" si="1"/>
        <v>215.6783636</v>
      </c>
      <c r="O2515" s="74" t="b">
        <v>1</v>
      </c>
    </row>
    <row r="2516" hidden="1">
      <c r="A2516" s="82"/>
      <c r="B2516" s="65" t="s">
        <v>469</v>
      </c>
      <c r="C2516" s="65" t="s">
        <v>132</v>
      </c>
      <c r="D2516" s="65"/>
      <c r="E2516" s="65" t="s">
        <v>1631</v>
      </c>
      <c r="F2516" s="83">
        <v>0.34375</v>
      </c>
      <c r="G2516" s="83">
        <v>0.75</v>
      </c>
      <c r="H2516" s="83">
        <v>0.40625</v>
      </c>
      <c r="I2516" s="84">
        <v>44299.0</v>
      </c>
      <c r="J2516" s="65" t="b">
        <v>1</v>
      </c>
      <c r="K2516" s="65"/>
      <c r="L2516" s="85" t="b">
        <f>IF(VLOOKUP(C2516,Projetos!A:L,12,false)=TRUE,TRUE,FALSE)</f>
        <v>0</v>
      </c>
      <c r="M2516" s="74">
        <v>37.50928062469937</v>
      </c>
      <c r="N2516" s="74">
        <f t="shared" si="1"/>
        <v>0</v>
      </c>
      <c r="O2516" s="74" t="b">
        <v>0</v>
      </c>
    </row>
    <row r="2517" hidden="1">
      <c r="A2517" s="82"/>
      <c r="B2517" s="65" t="s">
        <v>469</v>
      </c>
      <c r="C2517" s="65" t="s">
        <v>132</v>
      </c>
      <c r="D2517" s="65"/>
      <c r="E2517" s="65" t="s">
        <v>1631</v>
      </c>
      <c r="F2517" s="83">
        <v>0.34375</v>
      </c>
      <c r="G2517" s="83">
        <v>0.75</v>
      </c>
      <c r="H2517" s="83">
        <v>0.40625</v>
      </c>
      <c r="I2517" s="84">
        <v>44300.0</v>
      </c>
      <c r="J2517" s="65" t="b">
        <v>1</v>
      </c>
      <c r="K2517" s="65"/>
      <c r="L2517" s="85" t="b">
        <f>IF(VLOOKUP(C2517,Projetos!A:L,12,false)=TRUE,TRUE,FALSE)</f>
        <v>0</v>
      </c>
      <c r="M2517" s="74">
        <v>37.50928062469937</v>
      </c>
      <c r="N2517" s="74">
        <f t="shared" si="1"/>
        <v>0</v>
      </c>
      <c r="O2517" s="74" t="b">
        <v>0</v>
      </c>
    </row>
    <row r="2518" hidden="1">
      <c r="A2518" s="82"/>
      <c r="B2518" s="65" t="s">
        <v>469</v>
      </c>
      <c r="C2518" s="65" t="s">
        <v>118</v>
      </c>
      <c r="D2518" s="65" t="str">
        <f>vlookup(C2518,'Classificação p pessoal'!F:G,2,false)</f>
        <v>MProduto</v>
      </c>
      <c r="E2518" s="65" t="s">
        <v>1632</v>
      </c>
      <c r="F2518" s="83">
        <v>0.34375</v>
      </c>
      <c r="G2518" s="83">
        <v>0.75</v>
      </c>
      <c r="H2518" s="83">
        <v>0.40625</v>
      </c>
      <c r="I2518" s="84">
        <v>44300.0</v>
      </c>
      <c r="J2518" s="65" t="b">
        <v>1</v>
      </c>
      <c r="K2518" s="65"/>
      <c r="L2518" s="85" t="b">
        <f>IF(VLOOKUP(C2518,Projetos!A:L,12,false)=TRUE,TRUE,FALSE)</f>
        <v>1</v>
      </c>
      <c r="M2518" s="74">
        <v>37.50928062469937</v>
      </c>
      <c r="N2518" s="74">
        <f t="shared" si="1"/>
        <v>365.7154861</v>
      </c>
      <c r="O2518" s="74" t="b">
        <v>1</v>
      </c>
    </row>
    <row r="2519" hidden="1">
      <c r="A2519" s="82"/>
      <c r="B2519" s="65" t="s">
        <v>469</v>
      </c>
      <c r="C2519" s="65" t="s">
        <v>132</v>
      </c>
      <c r="D2519" s="65"/>
      <c r="E2519" s="65" t="s">
        <v>1631</v>
      </c>
      <c r="F2519" s="83">
        <v>0.34375</v>
      </c>
      <c r="G2519" s="83">
        <v>0.75</v>
      </c>
      <c r="H2519" s="83">
        <v>0.40625</v>
      </c>
      <c r="I2519" s="84">
        <v>44301.0</v>
      </c>
      <c r="J2519" s="65" t="b">
        <v>1</v>
      </c>
      <c r="K2519" s="65"/>
      <c r="L2519" s="85" t="b">
        <f>IF(VLOOKUP(C2519,Projetos!A:L,12,false)=TRUE,TRUE,FALSE)</f>
        <v>0</v>
      </c>
      <c r="M2519" s="74">
        <v>37.50928062469937</v>
      </c>
      <c r="N2519" s="74">
        <f t="shared" si="1"/>
        <v>0</v>
      </c>
      <c r="O2519" s="74" t="b">
        <v>0</v>
      </c>
    </row>
    <row r="2520" hidden="1">
      <c r="A2520" s="82"/>
      <c r="B2520" s="65" t="s">
        <v>469</v>
      </c>
      <c r="C2520" s="65" t="s">
        <v>118</v>
      </c>
      <c r="D2520" s="65" t="str">
        <f>vlookup(C2520,'Classificação p pessoal'!F:G,2,false)</f>
        <v>MProduto</v>
      </c>
      <c r="E2520" s="65" t="s">
        <v>1632</v>
      </c>
      <c r="F2520" s="83">
        <v>0.34375</v>
      </c>
      <c r="G2520" s="83">
        <v>0.75</v>
      </c>
      <c r="H2520" s="83">
        <v>0.40625</v>
      </c>
      <c r="I2520" s="84">
        <v>44301.0</v>
      </c>
      <c r="J2520" s="65" t="b">
        <v>1</v>
      </c>
      <c r="K2520" s="65"/>
      <c r="L2520" s="85" t="b">
        <f>IF(VLOOKUP(C2520,Projetos!A:L,12,false)=TRUE,TRUE,FALSE)</f>
        <v>1</v>
      </c>
      <c r="M2520" s="74">
        <v>37.50928062469937</v>
      </c>
      <c r="N2520" s="74">
        <f t="shared" si="1"/>
        <v>365.7154861</v>
      </c>
      <c r="O2520" s="74" t="b">
        <v>1</v>
      </c>
    </row>
    <row r="2521" hidden="1">
      <c r="A2521" s="82"/>
      <c r="B2521" s="65" t="s">
        <v>469</v>
      </c>
      <c r="C2521" s="65" t="s">
        <v>132</v>
      </c>
      <c r="D2521" s="65"/>
      <c r="E2521" s="65" t="s">
        <v>1631</v>
      </c>
      <c r="F2521" s="83">
        <v>0.34375</v>
      </c>
      <c r="G2521" s="83">
        <v>0.75</v>
      </c>
      <c r="H2521" s="83">
        <v>0.40625</v>
      </c>
      <c r="I2521" s="84">
        <v>44302.0</v>
      </c>
      <c r="J2521" s="65" t="b">
        <v>1</v>
      </c>
      <c r="K2521" s="65"/>
      <c r="L2521" s="85" t="b">
        <f>IF(VLOOKUP(C2521,Projetos!A:L,12,false)=TRUE,TRUE,FALSE)</f>
        <v>0</v>
      </c>
      <c r="M2521" s="74">
        <v>37.50928062469937</v>
      </c>
      <c r="N2521" s="74">
        <f t="shared" si="1"/>
        <v>0</v>
      </c>
      <c r="O2521" s="74" t="b">
        <v>0</v>
      </c>
    </row>
    <row r="2522" hidden="1">
      <c r="A2522" s="82"/>
      <c r="B2522" s="65" t="s">
        <v>469</v>
      </c>
      <c r="C2522" s="65" t="s">
        <v>118</v>
      </c>
      <c r="D2522" s="65" t="str">
        <f>vlookup(C2522,'Classificação p pessoal'!F:G,2,false)</f>
        <v>MProduto</v>
      </c>
      <c r="E2522" s="65" t="s">
        <v>1632</v>
      </c>
      <c r="F2522" s="83">
        <v>0.34375</v>
      </c>
      <c r="G2522" s="83">
        <v>0.75</v>
      </c>
      <c r="H2522" s="83">
        <v>0.40625</v>
      </c>
      <c r="I2522" s="84">
        <v>44302.0</v>
      </c>
      <c r="J2522" s="65" t="b">
        <v>1</v>
      </c>
      <c r="K2522" s="65"/>
      <c r="L2522" s="85" t="b">
        <f>IF(VLOOKUP(C2522,Projetos!A:L,12,false)=TRUE,TRUE,FALSE)</f>
        <v>1</v>
      </c>
      <c r="M2522" s="74">
        <v>37.50928062469937</v>
      </c>
      <c r="N2522" s="74">
        <f t="shared" si="1"/>
        <v>365.7154861</v>
      </c>
      <c r="O2522" s="74" t="b">
        <v>1</v>
      </c>
    </row>
    <row r="2523" hidden="1">
      <c r="A2523" s="82"/>
      <c r="B2523" s="65" t="s">
        <v>469</v>
      </c>
      <c r="C2523" s="65" t="s">
        <v>118</v>
      </c>
      <c r="D2523" s="65" t="str">
        <f>vlookup(C2523,'Classificação p pessoal'!F:G,2,false)</f>
        <v>MProduto</v>
      </c>
      <c r="E2523" s="65" t="s">
        <v>1632</v>
      </c>
      <c r="F2523" s="83">
        <v>0.34375</v>
      </c>
      <c r="G2523" s="83">
        <v>0.75</v>
      </c>
      <c r="H2523" s="83">
        <v>0.40625</v>
      </c>
      <c r="I2523" s="84">
        <v>44305.0</v>
      </c>
      <c r="J2523" s="65" t="b">
        <v>1</v>
      </c>
      <c r="K2523" s="65"/>
      <c r="L2523" s="85" t="b">
        <f>IF(VLOOKUP(C2523,Projetos!A:L,12,false)=TRUE,TRUE,FALSE)</f>
        <v>1</v>
      </c>
      <c r="M2523" s="74">
        <v>37.50928062469937</v>
      </c>
      <c r="N2523" s="74">
        <f t="shared" si="1"/>
        <v>365.7154861</v>
      </c>
      <c r="O2523" s="74" t="b">
        <v>1</v>
      </c>
    </row>
    <row r="2524" hidden="1">
      <c r="A2524" s="82"/>
      <c r="B2524" s="65" t="s">
        <v>469</v>
      </c>
      <c r="C2524" s="65" t="s">
        <v>106</v>
      </c>
      <c r="D2524" s="65"/>
      <c r="E2524" s="65" t="s">
        <v>1633</v>
      </c>
      <c r="F2524" s="83">
        <v>0.5833333333333334</v>
      </c>
      <c r="G2524" s="83">
        <v>0.6388888888888888</v>
      </c>
      <c r="H2524" s="83">
        <v>0.05555555555555555</v>
      </c>
      <c r="I2524" s="84">
        <v>44306.0</v>
      </c>
      <c r="J2524" s="65" t="b">
        <v>0</v>
      </c>
      <c r="K2524" s="65" t="s">
        <v>150</v>
      </c>
      <c r="L2524" s="85" t="b">
        <f>IF(VLOOKUP(C2524,Projetos!A:L,12,false)=TRUE,TRUE,FALSE)</f>
        <v>1</v>
      </c>
      <c r="M2524" s="74">
        <v>37.50928062469937</v>
      </c>
      <c r="N2524" s="74">
        <f t="shared" si="1"/>
        <v>0</v>
      </c>
      <c r="O2524" s="74" t="b">
        <v>1</v>
      </c>
    </row>
    <row r="2525" hidden="1">
      <c r="A2525" s="82"/>
      <c r="B2525" s="65" t="s">
        <v>469</v>
      </c>
      <c r="C2525" s="65" t="s">
        <v>118</v>
      </c>
      <c r="D2525" s="65" t="str">
        <f>vlookup(C2525,'Classificação p pessoal'!F:G,2,false)</f>
        <v>MProduto</v>
      </c>
      <c r="E2525" s="65" t="s">
        <v>1632</v>
      </c>
      <c r="F2525" s="83">
        <v>0.34375</v>
      </c>
      <c r="G2525" s="83">
        <v>0.75</v>
      </c>
      <c r="H2525" s="83">
        <v>0.40625</v>
      </c>
      <c r="I2525" s="84">
        <v>44308.0</v>
      </c>
      <c r="J2525" s="65" t="b">
        <v>1</v>
      </c>
      <c r="K2525" s="65"/>
      <c r="L2525" s="85" t="b">
        <f>IF(VLOOKUP(C2525,Projetos!A:L,12,false)=TRUE,TRUE,FALSE)</f>
        <v>1</v>
      </c>
      <c r="M2525" s="74">
        <v>37.50928062469937</v>
      </c>
      <c r="N2525" s="74">
        <f t="shared" si="1"/>
        <v>365.7154861</v>
      </c>
      <c r="O2525" s="74" t="b">
        <v>1</v>
      </c>
    </row>
    <row r="2526" hidden="1">
      <c r="A2526" s="82"/>
      <c r="B2526" s="65" t="s">
        <v>469</v>
      </c>
      <c r="C2526" s="65" t="s">
        <v>118</v>
      </c>
      <c r="D2526" s="65" t="str">
        <f>vlookup(C2526,'Classificação p pessoal'!F:G,2,false)</f>
        <v>MProduto</v>
      </c>
      <c r="E2526" s="65" t="s">
        <v>1632</v>
      </c>
      <c r="F2526" s="83">
        <v>0.34375</v>
      </c>
      <c r="G2526" s="83">
        <v>0.75</v>
      </c>
      <c r="H2526" s="83">
        <v>0.40625</v>
      </c>
      <c r="I2526" s="84">
        <v>44309.0</v>
      </c>
      <c r="J2526" s="65" t="b">
        <v>1</v>
      </c>
      <c r="K2526" s="65"/>
      <c r="L2526" s="85" t="b">
        <f>IF(VLOOKUP(C2526,Projetos!A:L,12,false)=TRUE,TRUE,FALSE)</f>
        <v>1</v>
      </c>
      <c r="M2526" s="74">
        <v>37.50928062469937</v>
      </c>
      <c r="N2526" s="74">
        <f t="shared" si="1"/>
        <v>365.7154861</v>
      </c>
      <c r="O2526" s="74" t="b">
        <v>1</v>
      </c>
    </row>
    <row r="2527" hidden="1">
      <c r="A2527" s="82"/>
      <c r="B2527" s="65" t="s">
        <v>469</v>
      </c>
      <c r="C2527" s="65" t="s">
        <v>118</v>
      </c>
      <c r="D2527" s="65" t="str">
        <f>vlookup(C2527,'Classificação p pessoal'!F:G,2,false)</f>
        <v>MProduto</v>
      </c>
      <c r="E2527" s="65" t="s">
        <v>1634</v>
      </c>
      <c r="F2527" s="83">
        <v>0.34375</v>
      </c>
      <c r="G2527" s="83">
        <v>0.75</v>
      </c>
      <c r="H2527" s="83">
        <v>0.40625</v>
      </c>
      <c r="I2527" s="84">
        <v>44313.0</v>
      </c>
      <c r="J2527" s="65" t="b">
        <v>1</v>
      </c>
      <c r="K2527" s="65"/>
      <c r="L2527" s="85" t="b">
        <f>IF(VLOOKUP(C2527,Projetos!A:L,12,false)=TRUE,TRUE,FALSE)</f>
        <v>1</v>
      </c>
      <c r="M2527" s="74">
        <v>37.50928062469937</v>
      </c>
      <c r="N2527" s="74">
        <f t="shared" si="1"/>
        <v>365.7154861</v>
      </c>
      <c r="O2527" s="74" t="b">
        <v>1</v>
      </c>
    </row>
    <row r="2528" hidden="1">
      <c r="A2528" s="82"/>
      <c r="B2528" s="65" t="s">
        <v>469</v>
      </c>
      <c r="C2528" s="65" t="s">
        <v>106</v>
      </c>
      <c r="D2528" s="65"/>
      <c r="E2528" s="65" t="s">
        <v>1635</v>
      </c>
      <c r="F2528" s="83">
        <v>0.375</v>
      </c>
      <c r="G2528" s="83">
        <v>0.4166666666666667</v>
      </c>
      <c r="H2528" s="83">
        <v>0.041666666666666664</v>
      </c>
      <c r="I2528" s="84">
        <v>44314.0</v>
      </c>
      <c r="J2528" s="65" t="b">
        <v>0</v>
      </c>
      <c r="K2528" s="65" t="s">
        <v>150</v>
      </c>
      <c r="L2528" s="85" t="b">
        <f>IF(VLOOKUP(C2528,Projetos!A:L,12,false)=TRUE,TRUE,FALSE)</f>
        <v>1</v>
      </c>
      <c r="M2528" s="74">
        <v>37.50928062469937</v>
      </c>
      <c r="N2528" s="74">
        <f t="shared" si="1"/>
        <v>0</v>
      </c>
      <c r="O2528" s="74" t="b">
        <v>1</v>
      </c>
    </row>
    <row r="2529" hidden="1">
      <c r="A2529" s="82"/>
      <c r="B2529" s="65" t="s">
        <v>469</v>
      </c>
      <c r="C2529" s="65" t="s">
        <v>106</v>
      </c>
      <c r="D2529" s="65"/>
      <c r="E2529" s="65" t="s">
        <v>1636</v>
      </c>
      <c r="F2529" s="83">
        <v>0.5833333333333334</v>
      </c>
      <c r="G2529" s="83">
        <v>0.625</v>
      </c>
      <c r="H2529" s="83">
        <v>0.041666666666666664</v>
      </c>
      <c r="I2529" s="84">
        <v>44315.0</v>
      </c>
      <c r="J2529" s="65" t="b">
        <v>0</v>
      </c>
      <c r="K2529" s="65" t="s">
        <v>150</v>
      </c>
      <c r="L2529" s="85" t="b">
        <f>IF(VLOOKUP(C2529,Projetos!A:L,12,false)=TRUE,TRUE,FALSE)</f>
        <v>1</v>
      </c>
      <c r="M2529" s="74">
        <v>37.50928062469937</v>
      </c>
      <c r="N2529" s="74">
        <f t="shared" si="1"/>
        <v>0</v>
      </c>
      <c r="O2529" s="74" t="b">
        <v>1</v>
      </c>
    </row>
    <row r="2530" hidden="1">
      <c r="A2530" s="82"/>
      <c r="B2530" s="65" t="s">
        <v>469</v>
      </c>
      <c r="C2530" s="65" t="s">
        <v>118</v>
      </c>
      <c r="D2530" s="65" t="str">
        <f>vlookup(C2530,'Classificação p pessoal'!F:G,2,false)</f>
        <v>MProduto</v>
      </c>
      <c r="E2530" s="65" t="s">
        <v>1634</v>
      </c>
      <c r="F2530" s="83">
        <v>0.34375</v>
      </c>
      <c r="G2530" s="83">
        <v>0.75</v>
      </c>
      <c r="H2530" s="83">
        <v>0.40625</v>
      </c>
      <c r="I2530" s="84">
        <v>44314.0</v>
      </c>
      <c r="J2530" s="65" t="b">
        <v>1</v>
      </c>
      <c r="K2530" s="65"/>
      <c r="L2530" s="85" t="b">
        <f>IF(VLOOKUP(C2530,Projetos!A:L,12,false)=TRUE,TRUE,FALSE)</f>
        <v>1</v>
      </c>
      <c r="M2530" s="74">
        <v>37.50928062469937</v>
      </c>
      <c r="N2530" s="74">
        <f t="shared" si="1"/>
        <v>365.7154861</v>
      </c>
      <c r="O2530" s="74" t="b">
        <v>1</v>
      </c>
    </row>
    <row r="2531" hidden="1">
      <c r="A2531" s="82"/>
      <c r="B2531" s="65" t="s">
        <v>469</v>
      </c>
      <c r="C2531" s="65" t="s">
        <v>118</v>
      </c>
      <c r="D2531" s="65" t="str">
        <f>vlookup(C2531,'Classificação p pessoal'!F:G,2,false)</f>
        <v>MProduto</v>
      </c>
      <c r="E2531" s="65" t="s">
        <v>1634</v>
      </c>
      <c r="F2531" s="83">
        <v>0.34375</v>
      </c>
      <c r="G2531" s="83">
        <v>0.75</v>
      </c>
      <c r="H2531" s="83">
        <v>0.40625</v>
      </c>
      <c r="I2531" s="84">
        <v>44315.0</v>
      </c>
      <c r="J2531" s="65" t="b">
        <v>1</v>
      </c>
      <c r="K2531" s="65"/>
      <c r="L2531" s="85" t="b">
        <f>IF(VLOOKUP(C2531,Projetos!A:L,12,false)=TRUE,TRUE,FALSE)</f>
        <v>1</v>
      </c>
      <c r="M2531" s="74">
        <v>37.50928062469937</v>
      </c>
      <c r="N2531" s="74">
        <f t="shared" si="1"/>
        <v>365.7154861</v>
      </c>
      <c r="O2531" s="74" t="b">
        <v>1</v>
      </c>
    </row>
    <row r="2532" hidden="1">
      <c r="A2532" s="82"/>
      <c r="B2532" s="65" t="s">
        <v>469</v>
      </c>
      <c r="C2532" s="65" t="s">
        <v>118</v>
      </c>
      <c r="D2532" s="65" t="str">
        <f>vlookup(C2532,'Classificação p pessoal'!F:G,2,false)</f>
        <v>MProduto</v>
      </c>
      <c r="E2532" s="65" t="s">
        <v>1634</v>
      </c>
      <c r="F2532" s="83">
        <v>0.34375</v>
      </c>
      <c r="G2532" s="83">
        <v>0.75</v>
      </c>
      <c r="H2532" s="83">
        <v>0.40625</v>
      </c>
      <c r="I2532" s="84">
        <v>44316.0</v>
      </c>
      <c r="J2532" s="65" t="b">
        <v>1</v>
      </c>
      <c r="K2532" s="65"/>
      <c r="L2532" s="85" t="b">
        <f>IF(VLOOKUP(C2532,Projetos!A:L,12,false)=TRUE,TRUE,FALSE)</f>
        <v>1</v>
      </c>
      <c r="M2532" s="74">
        <v>37.50928062469937</v>
      </c>
      <c r="N2532" s="74">
        <f t="shared" si="1"/>
        <v>365.7154861</v>
      </c>
      <c r="O2532" s="74" t="b">
        <v>1</v>
      </c>
    </row>
    <row r="2533" hidden="1">
      <c r="A2533" s="82"/>
      <c r="B2533" s="65" t="s">
        <v>469</v>
      </c>
      <c r="C2533" s="65" t="s">
        <v>118</v>
      </c>
      <c r="D2533" s="65" t="str">
        <f>vlookup(C2533,'Classificação p pessoal'!F:G,2,false)</f>
        <v>MProduto</v>
      </c>
      <c r="E2533" s="65" t="s">
        <v>1634</v>
      </c>
      <c r="F2533" s="83">
        <v>0.34375</v>
      </c>
      <c r="G2533" s="83">
        <v>0.75</v>
      </c>
      <c r="H2533" s="83">
        <v>0.40625</v>
      </c>
      <c r="I2533" s="84">
        <v>44319.0</v>
      </c>
      <c r="J2533" s="65" t="b">
        <v>1</v>
      </c>
      <c r="K2533" s="65"/>
      <c r="L2533" s="85" t="b">
        <f>IF(VLOOKUP(C2533,Projetos!A:L,12,false)=TRUE,TRUE,FALSE)</f>
        <v>1</v>
      </c>
      <c r="M2533" s="74">
        <v>37.50928062469937</v>
      </c>
      <c r="N2533" s="74">
        <f t="shared" si="1"/>
        <v>365.7154861</v>
      </c>
      <c r="O2533" s="74" t="b">
        <v>1</v>
      </c>
    </row>
    <row r="2534" hidden="1">
      <c r="A2534" s="82"/>
      <c r="B2534" s="65" t="s">
        <v>469</v>
      </c>
      <c r="C2534" s="65" t="s">
        <v>118</v>
      </c>
      <c r="D2534" s="65" t="str">
        <f>vlookup(C2534,'Classificação p pessoal'!F:G,2,false)</f>
        <v>MProduto</v>
      </c>
      <c r="E2534" s="65" t="s">
        <v>1634</v>
      </c>
      <c r="F2534" s="83">
        <v>0.34375</v>
      </c>
      <c r="G2534" s="83">
        <v>0.75</v>
      </c>
      <c r="H2534" s="83">
        <v>0.40625</v>
      </c>
      <c r="I2534" s="84">
        <v>44320.0</v>
      </c>
      <c r="J2534" s="65" t="b">
        <v>1</v>
      </c>
      <c r="K2534" s="65"/>
      <c r="L2534" s="85" t="b">
        <f>IF(VLOOKUP(C2534,Projetos!A:L,12,false)=TRUE,TRUE,FALSE)</f>
        <v>1</v>
      </c>
      <c r="M2534" s="74">
        <v>37.50928062469937</v>
      </c>
      <c r="N2534" s="74">
        <f t="shared" si="1"/>
        <v>365.7154861</v>
      </c>
      <c r="O2534" s="74" t="b">
        <v>1</v>
      </c>
    </row>
    <row r="2535" hidden="1">
      <c r="A2535" s="82"/>
      <c r="B2535" s="65" t="s">
        <v>469</v>
      </c>
      <c r="C2535" s="65" t="s">
        <v>118</v>
      </c>
      <c r="D2535" s="65" t="str">
        <f>vlookup(C2535,'Classificação p pessoal'!F:G,2,false)</f>
        <v>MProduto</v>
      </c>
      <c r="E2535" s="65" t="s">
        <v>1634</v>
      </c>
      <c r="F2535" s="83">
        <v>0.34375</v>
      </c>
      <c r="G2535" s="83">
        <v>0.75</v>
      </c>
      <c r="H2535" s="83">
        <v>0.40625</v>
      </c>
      <c r="I2535" s="84">
        <v>44321.0</v>
      </c>
      <c r="J2535" s="65" t="b">
        <v>1</v>
      </c>
      <c r="K2535" s="65"/>
      <c r="L2535" s="85" t="b">
        <f>IF(VLOOKUP(C2535,Projetos!A:L,12,false)=TRUE,TRUE,FALSE)</f>
        <v>1</v>
      </c>
      <c r="M2535" s="74">
        <v>37.50928062469937</v>
      </c>
      <c r="N2535" s="74">
        <f t="shared" si="1"/>
        <v>365.7154861</v>
      </c>
      <c r="O2535" s="74" t="b">
        <v>1</v>
      </c>
    </row>
    <row r="2536" hidden="1">
      <c r="A2536" s="82"/>
      <c r="B2536" s="65" t="s">
        <v>469</v>
      </c>
      <c r="C2536" s="65" t="s">
        <v>118</v>
      </c>
      <c r="D2536" s="65" t="str">
        <f>vlookup(C2536,'Classificação p pessoal'!F:G,2,false)</f>
        <v>MProduto</v>
      </c>
      <c r="E2536" s="65" t="s">
        <v>1634</v>
      </c>
      <c r="F2536" s="83">
        <v>0.34375</v>
      </c>
      <c r="G2536" s="83">
        <v>0.75</v>
      </c>
      <c r="H2536" s="83">
        <v>0.40625</v>
      </c>
      <c r="I2536" s="84">
        <v>44322.0</v>
      </c>
      <c r="J2536" s="65" t="b">
        <v>1</v>
      </c>
      <c r="K2536" s="65"/>
      <c r="L2536" s="85" t="b">
        <f>IF(VLOOKUP(C2536,Projetos!A:L,12,false)=TRUE,TRUE,FALSE)</f>
        <v>1</v>
      </c>
      <c r="M2536" s="74">
        <v>37.50928062469937</v>
      </c>
      <c r="N2536" s="74">
        <f t="shared" si="1"/>
        <v>365.7154861</v>
      </c>
      <c r="O2536" s="74" t="b">
        <v>1</v>
      </c>
    </row>
    <row r="2537" hidden="1">
      <c r="A2537" s="82"/>
      <c r="B2537" s="65" t="s">
        <v>469</v>
      </c>
      <c r="C2537" s="65" t="s">
        <v>132</v>
      </c>
      <c r="D2537" s="65"/>
      <c r="E2537" s="65" t="s">
        <v>1637</v>
      </c>
      <c r="F2537" s="83">
        <v>0.34375</v>
      </c>
      <c r="G2537" s="83">
        <v>0.75</v>
      </c>
      <c r="H2537" s="83">
        <v>0.40625</v>
      </c>
      <c r="I2537" s="84">
        <v>44322.0</v>
      </c>
      <c r="J2537" s="65" t="b">
        <v>1</v>
      </c>
      <c r="K2537" s="65"/>
      <c r="L2537" s="85" t="b">
        <f>IF(VLOOKUP(C2537,Projetos!A:L,12,false)=TRUE,TRUE,FALSE)</f>
        <v>0</v>
      </c>
      <c r="M2537" s="74">
        <v>37.50928062469937</v>
      </c>
      <c r="N2537" s="74">
        <f t="shared" si="1"/>
        <v>0</v>
      </c>
      <c r="O2537" s="74" t="b">
        <v>0</v>
      </c>
    </row>
    <row r="2538" hidden="1">
      <c r="A2538" s="82"/>
      <c r="B2538" s="65" t="s">
        <v>469</v>
      </c>
      <c r="C2538" s="65" t="s">
        <v>118</v>
      </c>
      <c r="D2538" s="65" t="str">
        <f>vlookup(C2538,'Classificação p pessoal'!F:G,2,false)</f>
        <v>MProduto</v>
      </c>
      <c r="E2538" s="65" t="s">
        <v>1634</v>
      </c>
      <c r="F2538" s="83">
        <v>0.34375</v>
      </c>
      <c r="G2538" s="83">
        <v>0.75</v>
      </c>
      <c r="H2538" s="83">
        <v>0.40625</v>
      </c>
      <c r="I2538" s="84">
        <v>44323.0</v>
      </c>
      <c r="J2538" s="65" t="b">
        <v>1</v>
      </c>
      <c r="K2538" s="65"/>
      <c r="L2538" s="85" t="b">
        <f>IF(VLOOKUP(C2538,Projetos!A:L,12,false)=TRUE,TRUE,FALSE)</f>
        <v>1</v>
      </c>
      <c r="M2538" s="74">
        <v>37.50928062469937</v>
      </c>
      <c r="N2538" s="74">
        <f t="shared" si="1"/>
        <v>365.7154861</v>
      </c>
      <c r="O2538" s="74" t="b">
        <v>1</v>
      </c>
    </row>
    <row r="2539" hidden="1">
      <c r="A2539" s="82"/>
      <c r="B2539" s="65" t="s">
        <v>469</v>
      </c>
      <c r="C2539" s="65" t="s">
        <v>132</v>
      </c>
      <c r="D2539" s="65"/>
      <c r="E2539" s="65" t="s">
        <v>1637</v>
      </c>
      <c r="F2539" s="83">
        <v>0.34375</v>
      </c>
      <c r="G2539" s="83">
        <v>0.75</v>
      </c>
      <c r="H2539" s="83">
        <v>0.40625</v>
      </c>
      <c r="I2539" s="84">
        <v>44323.0</v>
      </c>
      <c r="J2539" s="65" t="b">
        <v>1</v>
      </c>
      <c r="K2539" s="65"/>
      <c r="L2539" s="85" t="b">
        <f>IF(VLOOKUP(C2539,Projetos!A:L,12,false)=TRUE,TRUE,FALSE)</f>
        <v>0</v>
      </c>
      <c r="M2539" s="74">
        <v>37.50928062469937</v>
      </c>
      <c r="N2539" s="74">
        <f t="shared" si="1"/>
        <v>0</v>
      </c>
      <c r="O2539" s="74" t="b">
        <v>0</v>
      </c>
    </row>
    <row r="2540" hidden="1">
      <c r="A2540" s="82"/>
      <c r="B2540" s="65" t="s">
        <v>469</v>
      </c>
      <c r="C2540" s="65" t="s">
        <v>132</v>
      </c>
      <c r="D2540" s="65"/>
      <c r="E2540" s="65" t="s">
        <v>1638</v>
      </c>
      <c r="F2540" s="83">
        <v>0.3020833333333333</v>
      </c>
      <c r="G2540" s="83">
        <v>0.5</v>
      </c>
      <c r="H2540" s="83">
        <v>0.19791666666666666</v>
      </c>
      <c r="I2540" s="84">
        <v>44324.0</v>
      </c>
      <c r="J2540" s="65" t="b">
        <v>1</v>
      </c>
      <c r="K2540" s="65"/>
      <c r="L2540" s="85" t="b">
        <f>IF(VLOOKUP(C2540,Projetos!A:L,12,false)=TRUE,TRUE,FALSE)</f>
        <v>0</v>
      </c>
      <c r="M2540" s="74">
        <v>37.50928062469937</v>
      </c>
      <c r="N2540" s="74">
        <f t="shared" si="1"/>
        <v>0</v>
      </c>
      <c r="O2540" s="74" t="b">
        <v>0</v>
      </c>
    </row>
    <row r="2541" hidden="1">
      <c r="A2541" s="82"/>
      <c r="B2541" s="65" t="s">
        <v>469</v>
      </c>
      <c r="C2541" s="65" t="s">
        <v>132</v>
      </c>
      <c r="D2541" s="65"/>
      <c r="E2541" s="65" t="s">
        <v>1638</v>
      </c>
      <c r="F2541" s="83">
        <v>0.34375</v>
      </c>
      <c r="G2541" s="83">
        <v>0.6666666666666666</v>
      </c>
      <c r="H2541" s="83">
        <v>0.3229166666666667</v>
      </c>
      <c r="I2541" s="84">
        <v>44326.0</v>
      </c>
      <c r="J2541" s="65" t="b">
        <v>1</v>
      </c>
      <c r="K2541" s="65"/>
      <c r="L2541" s="85" t="b">
        <f>IF(VLOOKUP(C2541,Projetos!A:L,12,false)=TRUE,TRUE,FALSE)</f>
        <v>0</v>
      </c>
      <c r="M2541" s="74">
        <v>37.50928062469937</v>
      </c>
      <c r="N2541" s="74">
        <f t="shared" si="1"/>
        <v>0</v>
      </c>
      <c r="O2541" s="74" t="b">
        <v>0</v>
      </c>
    </row>
    <row r="2542" hidden="1">
      <c r="A2542" s="82"/>
      <c r="B2542" s="65" t="s">
        <v>469</v>
      </c>
      <c r="C2542" s="65" t="s">
        <v>132</v>
      </c>
      <c r="D2542" s="65"/>
      <c r="E2542" s="65" t="s">
        <v>1639</v>
      </c>
      <c r="F2542" s="83">
        <v>0.6666666666666666</v>
      </c>
      <c r="G2542" s="83">
        <v>0.75</v>
      </c>
      <c r="H2542" s="83">
        <v>0.08333333333333333</v>
      </c>
      <c r="I2542" s="84">
        <v>44326.0</v>
      </c>
      <c r="J2542" s="65" t="b">
        <v>1</v>
      </c>
      <c r="K2542" s="65"/>
      <c r="L2542" s="85" t="b">
        <f>IF(VLOOKUP(C2542,Projetos!A:L,12,false)=TRUE,TRUE,FALSE)</f>
        <v>0</v>
      </c>
      <c r="M2542" s="74">
        <v>37.50928062469937</v>
      </c>
      <c r="N2542" s="74">
        <f t="shared" si="1"/>
        <v>0</v>
      </c>
      <c r="O2542" s="74" t="b">
        <v>0</v>
      </c>
    </row>
    <row r="2543" hidden="1">
      <c r="A2543" s="82"/>
      <c r="B2543" s="65" t="s">
        <v>469</v>
      </c>
      <c r="C2543" s="65" t="s">
        <v>132</v>
      </c>
      <c r="D2543" s="65"/>
      <c r="E2543" s="65" t="s">
        <v>1639</v>
      </c>
      <c r="F2543" s="83">
        <v>0.34375</v>
      </c>
      <c r="G2543" s="83">
        <v>0.75</v>
      </c>
      <c r="H2543" s="83">
        <v>0.40625</v>
      </c>
      <c r="I2543" s="84">
        <v>44327.0</v>
      </c>
      <c r="J2543" s="65" t="b">
        <v>1</v>
      </c>
      <c r="K2543" s="65"/>
      <c r="L2543" s="85" t="b">
        <f>IF(VLOOKUP(C2543,Projetos!A:L,12,false)=TRUE,TRUE,FALSE)</f>
        <v>0</v>
      </c>
      <c r="M2543" s="74">
        <v>37.50928062469937</v>
      </c>
      <c r="N2543" s="74">
        <f t="shared" si="1"/>
        <v>0</v>
      </c>
      <c r="O2543" s="74" t="b">
        <v>0</v>
      </c>
    </row>
    <row r="2544" hidden="1">
      <c r="A2544" s="82"/>
      <c r="B2544" s="65" t="s">
        <v>469</v>
      </c>
      <c r="C2544" s="65" t="s">
        <v>132</v>
      </c>
      <c r="D2544" s="65"/>
      <c r="E2544" s="65" t="s">
        <v>1639</v>
      </c>
      <c r="F2544" s="83">
        <v>0.34375</v>
      </c>
      <c r="G2544" s="83">
        <v>0.75</v>
      </c>
      <c r="H2544" s="83">
        <v>0.40625</v>
      </c>
      <c r="I2544" s="84">
        <v>44328.0</v>
      </c>
      <c r="J2544" s="65" t="b">
        <v>1</v>
      </c>
      <c r="K2544" s="65"/>
      <c r="L2544" s="85" t="b">
        <f>IF(VLOOKUP(C2544,Projetos!A:L,12,false)=TRUE,TRUE,FALSE)</f>
        <v>0</v>
      </c>
      <c r="M2544" s="74">
        <v>37.50928062469937</v>
      </c>
      <c r="N2544" s="74">
        <f t="shared" si="1"/>
        <v>0</v>
      </c>
      <c r="O2544" s="74" t="b">
        <v>0</v>
      </c>
    </row>
    <row r="2545" hidden="1">
      <c r="A2545" s="82"/>
      <c r="B2545" s="65" t="s">
        <v>469</v>
      </c>
      <c r="C2545" s="65" t="s">
        <v>132</v>
      </c>
      <c r="D2545" s="65"/>
      <c r="E2545" s="65" t="s">
        <v>1639</v>
      </c>
      <c r="F2545" s="83">
        <v>0.34375</v>
      </c>
      <c r="G2545" s="83">
        <v>0.75</v>
      </c>
      <c r="H2545" s="83">
        <v>0.40625</v>
      </c>
      <c r="I2545" s="84">
        <v>44329.0</v>
      </c>
      <c r="J2545" s="65" t="b">
        <v>1</v>
      </c>
      <c r="K2545" s="65"/>
      <c r="L2545" s="85" t="b">
        <f>IF(VLOOKUP(C2545,Projetos!A:L,12,false)=TRUE,TRUE,FALSE)</f>
        <v>0</v>
      </c>
      <c r="M2545" s="74">
        <v>37.50928062469937</v>
      </c>
      <c r="N2545" s="74">
        <f t="shared" si="1"/>
        <v>0</v>
      </c>
      <c r="O2545" s="74" t="b">
        <v>0</v>
      </c>
    </row>
    <row r="2546" hidden="1">
      <c r="A2546" s="82"/>
      <c r="B2546" s="65" t="s">
        <v>469</v>
      </c>
      <c r="C2546" s="65" t="s">
        <v>100</v>
      </c>
      <c r="D2546" s="65" t="str">
        <f>vlookup(C2546,'Classificação p pessoal'!F:G,2,false)</f>
        <v>NP</v>
      </c>
      <c r="E2546" s="65" t="s">
        <v>1640</v>
      </c>
      <c r="F2546" s="83">
        <v>0.6666666666666666</v>
      </c>
      <c r="G2546" s="83">
        <v>0.75</v>
      </c>
      <c r="H2546" s="83">
        <v>0.08333333333333333</v>
      </c>
      <c r="I2546" s="84">
        <v>44330.0</v>
      </c>
      <c r="J2546" s="65" t="b">
        <v>1</v>
      </c>
      <c r="K2546" s="65"/>
      <c r="L2546" s="85" t="b">
        <f>IF(VLOOKUP(C2546,Projetos!A:L,12,false)=TRUE,TRUE,FALSE)</f>
        <v>1</v>
      </c>
      <c r="M2546" s="74">
        <v>37.50928062469937</v>
      </c>
      <c r="N2546" s="74">
        <f t="shared" si="1"/>
        <v>75.01856125</v>
      </c>
      <c r="O2546" s="74" t="b">
        <v>1</v>
      </c>
    </row>
    <row r="2547" hidden="1">
      <c r="A2547" s="82"/>
      <c r="B2547" s="65" t="s">
        <v>469</v>
      </c>
      <c r="C2547" s="65" t="s">
        <v>105</v>
      </c>
      <c r="D2547" s="65" t="str">
        <f>vlookup(C2547,'Classificação p pessoal'!F:G,2,false)</f>
        <v>NP</v>
      </c>
      <c r="E2547" s="65" t="s">
        <v>1641</v>
      </c>
      <c r="F2547" s="83">
        <v>0.6666666666666666</v>
      </c>
      <c r="G2547" s="83">
        <v>0.75</v>
      </c>
      <c r="H2547" s="83">
        <v>0.08333333333333333</v>
      </c>
      <c r="I2547" s="84">
        <v>44330.0</v>
      </c>
      <c r="J2547" s="65" t="b">
        <v>1</v>
      </c>
      <c r="K2547" s="65"/>
      <c r="L2547" s="85" t="b">
        <f>IF(VLOOKUP(C2547,Projetos!A:L,12,false)=TRUE,TRUE,FALSE)</f>
        <v>1</v>
      </c>
      <c r="M2547" s="74">
        <v>37.50928062469937</v>
      </c>
      <c r="N2547" s="74">
        <f t="shared" si="1"/>
        <v>75.01856125</v>
      </c>
      <c r="O2547" s="74" t="b">
        <v>1</v>
      </c>
    </row>
    <row r="2548" hidden="1">
      <c r="A2548" s="82"/>
      <c r="B2548" s="65" t="s">
        <v>411</v>
      </c>
      <c r="C2548" s="65" t="s">
        <v>105</v>
      </c>
      <c r="D2548" s="65"/>
      <c r="E2548" s="65" t="s">
        <v>1642</v>
      </c>
      <c r="F2548" s="83">
        <v>0.6875</v>
      </c>
      <c r="G2548" s="83">
        <v>0.75</v>
      </c>
      <c r="H2548" s="83">
        <v>0.0625</v>
      </c>
      <c r="I2548" s="84">
        <v>44384.0</v>
      </c>
      <c r="J2548" s="65" t="b">
        <v>0</v>
      </c>
      <c r="K2548" s="65" t="s">
        <v>150</v>
      </c>
      <c r="L2548" s="85" t="b">
        <f>IF(VLOOKUP(C2548,Projetos!A:L,12,false)=TRUE,TRUE,FALSE)</f>
        <v>1</v>
      </c>
      <c r="M2548" s="74">
        <v>52.48434411075036</v>
      </c>
      <c r="N2548" s="74">
        <f t="shared" si="1"/>
        <v>0</v>
      </c>
      <c r="O2548" s="74" t="b">
        <v>1</v>
      </c>
    </row>
    <row r="2549" hidden="1">
      <c r="A2549" s="82"/>
      <c r="B2549" s="65" t="s">
        <v>469</v>
      </c>
      <c r="C2549" s="65" t="s">
        <v>118</v>
      </c>
      <c r="D2549" s="65"/>
      <c r="E2549" s="65" t="s">
        <v>1643</v>
      </c>
      <c r="F2549" s="83">
        <v>0.375</v>
      </c>
      <c r="G2549" s="83">
        <v>0.6875</v>
      </c>
      <c r="H2549" s="83">
        <v>0.3125</v>
      </c>
      <c r="I2549" s="84">
        <v>44249.0</v>
      </c>
      <c r="J2549" s="65" t="b">
        <v>0</v>
      </c>
      <c r="K2549" s="65" t="s">
        <v>150</v>
      </c>
      <c r="L2549" s="85" t="b">
        <f>IF(VLOOKUP(C2549,Projetos!A:L,12,false)=TRUE,TRUE,FALSE)</f>
        <v>1</v>
      </c>
      <c r="M2549" s="74">
        <v>37.50928062469937</v>
      </c>
      <c r="N2549" s="74">
        <f t="shared" si="1"/>
        <v>0</v>
      </c>
      <c r="O2549" s="74" t="b">
        <v>1</v>
      </c>
    </row>
    <row r="2550" hidden="1">
      <c r="A2550" s="82"/>
      <c r="B2550" s="65" t="s">
        <v>469</v>
      </c>
      <c r="C2550" s="65" t="s">
        <v>118</v>
      </c>
      <c r="D2550" s="65"/>
      <c r="E2550" s="65" t="s">
        <v>1644</v>
      </c>
      <c r="F2550" s="83">
        <v>0.3541666666666667</v>
      </c>
      <c r="G2550" s="83">
        <v>0.7361111111111112</v>
      </c>
      <c r="H2550" s="83">
        <v>0.3819444444444444</v>
      </c>
      <c r="I2550" s="84">
        <v>44256.0</v>
      </c>
      <c r="J2550" s="65" t="b">
        <v>0</v>
      </c>
      <c r="K2550" s="65" t="s">
        <v>150</v>
      </c>
      <c r="L2550" s="85" t="b">
        <f>IF(VLOOKUP(C2550,Projetos!A:L,12,false)=TRUE,TRUE,FALSE)</f>
        <v>1</v>
      </c>
      <c r="M2550" s="74">
        <v>37.50928062469937</v>
      </c>
      <c r="N2550" s="74">
        <f t="shared" si="1"/>
        <v>0</v>
      </c>
      <c r="O2550" s="74" t="b">
        <v>1</v>
      </c>
    </row>
    <row r="2551">
      <c r="A2551" s="82"/>
      <c r="B2551" s="65" t="s">
        <v>177</v>
      </c>
      <c r="C2551" s="65" t="s">
        <v>108</v>
      </c>
      <c r="D2551" s="65" t="str">
        <f>vlookup(C2551,'Classificação p pessoal'!F:G,2,false)</f>
        <v>NP</v>
      </c>
      <c r="E2551" s="65" t="s">
        <v>1645</v>
      </c>
      <c r="F2551" s="83">
        <v>0.5</v>
      </c>
      <c r="G2551" s="83">
        <v>0.5416666666666666</v>
      </c>
      <c r="H2551" s="83">
        <v>0.041666666666666664</v>
      </c>
      <c r="I2551" s="84">
        <v>44448.0</v>
      </c>
      <c r="J2551" s="65" t="b">
        <v>1</v>
      </c>
      <c r="K2551" s="65"/>
      <c r="L2551" s="85" t="b">
        <f>IF(VLOOKUP(C2551,Projetos!A:L,12,false)=TRUE,TRUE,FALSE)</f>
        <v>1</v>
      </c>
      <c r="M2551" s="74">
        <v>31.02923620430495</v>
      </c>
      <c r="N2551" s="74">
        <f t="shared" si="1"/>
        <v>31.0292362</v>
      </c>
      <c r="O2551" s="74" t="b">
        <v>1</v>
      </c>
    </row>
    <row r="2552" hidden="1">
      <c r="A2552" s="82"/>
      <c r="B2552" s="65" t="s">
        <v>469</v>
      </c>
      <c r="C2552" s="65" t="s">
        <v>106</v>
      </c>
      <c r="D2552" s="65" t="str">
        <f>vlookup(C2552,'Classificação p pessoal'!F:G,2,false)</f>
        <v>MProcesso</v>
      </c>
      <c r="E2552" s="65" t="s">
        <v>1646</v>
      </c>
      <c r="F2552" s="83">
        <v>0.34375</v>
      </c>
      <c r="G2552" s="83">
        <v>0.5</v>
      </c>
      <c r="H2552" s="83">
        <v>0.15625</v>
      </c>
      <c r="I2552" s="84">
        <v>44340.0</v>
      </c>
      <c r="J2552" s="65" t="b">
        <v>1</v>
      </c>
      <c r="K2552" s="65"/>
      <c r="L2552" s="85" t="b">
        <f>IF(VLOOKUP(C2552,Projetos!A:L,12,false)=TRUE,TRUE,FALSE)</f>
        <v>1</v>
      </c>
      <c r="M2552" s="74">
        <v>37.50928062469937</v>
      </c>
      <c r="N2552" s="74">
        <f t="shared" si="1"/>
        <v>140.6598023</v>
      </c>
      <c r="O2552" s="74" t="b">
        <v>1</v>
      </c>
    </row>
    <row r="2553" hidden="1">
      <c r="A2553" s="82"/>
      <c r="B2553" s="65" t="s">
        <v>469</v>
      </c>
      <c r="C2553" s="65" t="s">
        <v>106</v>
      </c>
      <c r="D2553" s="65" t="str">
        <f>vlookup(C2553,'Classificação p pessoal'!F:G,2,false)</f>
        <v>MProcesso</v>
      </c>
      <c r="E2553" s="65" t="s">
        <v>1646</v>
      </c>
      <c r="F2553" s="83">
        <v>0.375</v>
      </c>
      <c r="G2553" s="83">
        <v>0.6666666666666666</v>
      </c>
      <c r="H2553" s="83">
        <v>0.2916666666666667</v>
      </c>
      <c r="I2553" s="84">
        <v>44341.0</v>
      </c>
      <c r="J2553" s="65" t="b">
        <v>1</v>
      </c>
      <c r="K2553" s="65"/>
      <c r="L2553" s="85" t="b">
        <f>IF(VLOOKUP(C2553,Projetos!A:L,12,false)=TRUE,TRUE,FALSE)</f>
        <v>1</v>
      </c>
      <c r="M2553" s="74">
        <v>37.50928062469937</v>
      </c>
      <c r="N2553" s="74">
        <f t="shared" si="1"/>
        <v>262.5649644</v>
      </c>
      <c r="O2553" s="74" t="b">
        <v>1</v>
      </c>
    </row>
    <row r="2554" hidden="1">
      <c r="A2554" s="82"/>
      <c r="B2554" s="65" t="s">
        <v>469</v>
      </c>
      <c r="C2554" s="65" t="s">
        <v>106</v>
      </c>
      <c r="D2554" s="65" t="str">
        <f>vlookup(C2554,'Classificação p pessoal'!F:G,2,false)</f>
        <v>MProcesso</v>
      </c>
      <c r="E2554" s="65" t="s">
        <v>1646</v>
      </c>
      <c r="F2554" s="83">
        <v>0.375</v>
      </c>
      <c r="G2554" s="83">
        <v>0.5833333333333334</v>
      </c>
      <c r="H2554" s="83">
        <v>0.20833333333333334</v>
      </c>
      <c r="I2554" s="84">
        <v>44342.0</v>
      </c>
      <c r="J2554" s="65" t="b">
        <v>1</v>
      </c>
      <c r="K2554" s="65"/>
      <c r="L2554" s="85" t="b">
        <f>IF(VLOOKUP(C2554,Projetos!A:L,12,false)=TRUE,TRUE,FALSE)</f>
        <v>1</v>
      </c>
      <c r="M2554" s="74">
        <v>37.50928062469937</v>
      </c>
      <c r="N2554" s="74">
        <f t="shared" si="1"/>
        <v>187.5464031</v>
      </c>
      <c r="O2554" s="74" t="b">
        <v>1</v>
      </c>
    </row>
    <row r="2555" hidden="1">
      <c r="A2555" s="82"/>
      <c r="B2555" s="65" t="s">
        <v>411</v>
      </c>
      <c r="C2555" s="65" t="s">
        <v>88</v>
      </c>
      <c r="D2555" s="65" t="str">
        <f>vlookup(C2555,'Classificação p pessoal'!F:G,2,false)</f>
        <v>MProduto</v>
      </c>
      <c r="E2555" s="65" t="s">
        <v>1647</v>
      </c>
      <c r="F2555" s="83">
        <v>0.375</v>
      </c>
      <c r="G2555" s="83">
        <v>0.3958333333333333</v>
      </c>
      <c r="H2555" s="83">
        <v>0.020833333333333332</v>
      </c>
      <c r="I2555" s="84">
        <v>44221.0</v>
      </c>
      <c r="J2555" s="65" t="b">
        <v>1</v>
      </c>
      <c r="K2555" s="65"/>
      <c r="L2555" s="85" t="b">
        <f>IF(VLOOKUP(C2555,Projetos!A:L,12,false)=TRUE,TRUE,FALSE)</f>
        <v>1</v>
      </c>
      <c r="M2555" s="74">
        <v>52.48434411075036</v>
      </c>
      <c r="N2555" s="74">
        <f t="shared" si="1"/>
        <v>26.24217206</v>
      </c>
      <c r="O2555" s="74" t="b">
        <v>1</v>
      </c>
    </row>
    <row r="2556" hidden="1">
      <c r="A2556" s="82"/>
      <c r="B2556" s="65" t="s">
        <v>469</v>
      </c>
      <c r="C2556" s="65" t="s">
        <v>118</v>
      </c>
      <c r="D2556" s="65" t="str">
        <f>vlookup(C2556,'Classificação p pessoal'!F:G,2,false)</f>
        <v>MProduto</v>
      </c>
      <c r="E2556" s="65" t="s">
        <v>1648</v>
      </c>
      <c r="F2556" s="83">
        <v>0.3611111111111111</v>
      </c>
      <c r="G2556" s="83">
        <v>0.75</v>
      </c>
      <c r="H2556" s="83">
        <v>0.3888888888888889</v>
      </c>
      <c r="I2556" s="84">
        <v>44359.0</v>
      </c>
      <c r="J2556" s="65" t="b">
        <v>1</v>
      </c>
      <c r="K2556" s="65"/>
      <c r="L2556" s="85" t="b">
        <f>IF(VLOOKUP(C2556,Projetos!A:L,12,false)=TRUE,TRUE,FALSE)</f>
        <v>1</v>
      </c>
      <c r="M2556" s="74">
        <v>37.50928062469937</v>
      </c>
      <c r="N2556" s="74">
        <f t="shared" si="1"/>
        <v>350.0866192</v>
      </c>
      <c r="O2556" s="74" t="b">
        <v>1</v>
      </c>
    </row>
    <row r="2557" hidden="1">
      <c r="A2557" s="82"/>
      <c r="B2557" s="65" t="s">
        <v>469</v>
      </c>
      <c r="C2557" s="65" t="s">
        <v>118</v>
      </c>
      <c r="D2557" s="65" t="str">
        <f>vlookup(C2557,'Classificação p pessoal'!F:G,2,false)</f>
        <v>MProduto</v>
      </c>
      <c r="E2557" s="65" t="s">
        <v>1648</v>
      </c>
      <c r="F2557" s="83">
        <v>0.3541666666666667</v>
      </c>
      <c r="G2557" s="83">
        <v>0.75</v>
      </c>
      <c r="H2557" s="83">
        <v>0.3958333333333333</v>
      </c>
      <c r="I2557" s="84">
        <v>44361.0</v>
      </c>
      <c r="J2557" s="65" t="b">
        <v>1</v>
      </c>
      <c r="K2557" s="65"/>
      <c r="L2557" s="85" t="b">
        <f>IF(VLOOKUP(C2557,Projetos!A:L,12,false)=TRUE,TRUE,FALSE)</f>
        <v>1</v>
      </c>
      <c r="M2557" s="74">
        <v>37.50928062469937</v>
      </c>
      <c r="N2557" s="74">
        <f t="shared" si="1"/>
        <v>356.3381659</v>
      </c>
      <c r="O2557" s="74" t="b">
        <v>1</v>
      </c>
    </row>
    <row r="2558" hidden="1">
      <c r="A2558" s="82"/>
      <c r="B2558" s="65" t="s">
        <v>469</v>
      </c>
      <c r="C2558" s="65" t="s">
        <v>118</v>
      </c>
      <c r="D2558" s="65" t="str">
        <f>vlookup(C2558,'Classificação p pessoal'!F:G,2,false)</f>
        <v>MProduto</v>
      </c>
      <c r="E2558" s="65" t="s">
        <v>1648</v>
      </c>
      <c r="F2558" s="83">
        <v>0.3020833333333333</v>
      </c>
      <c r="G2558" s="83">
        <v>0.7083333333333334</v>
      </c>
      <c r="H2558" s="83">
        <v>0.40625</v>
      </c>
      <c r="I2558" s="84">
        <v>44362.0</v>
      </c>
      <c r="J2558" s="65" t="b">
        <v>1</v>
      </c>
      <c r="K2558" s="65"/>
      <c r="L2558" s="85" t="b">
        <f>IF(VLOOKUP(C2558,Projetos!A:L,12,false)=TRUE,TRUE,FALSE)</f>
        <v>1</v>
      </c>
      <c r="M2558" s="74">
        <v>37.50928062469937</v>
      </c>
      <c r="N2558" s="74">
        <f t="shared" si="1"/>
        <v>365.7154861</v>
      </c>
      <c r="O2558" s="74" t="b">
        <v>1</v>
      </c>
    </row>
    <row r="2559" hidden="1">
      <c r="A2559" s="82"/>
      <c r="B2559" s="65" t="s">
        <v>469</v>
      </c>
      <c r="C2559" s="65" t="s">
        <v>118</v>
      </c>
      <c r="D2559" s="65" t="str">
        <f>vlookup(C2559,'Classificação p pessoal'!F:G,2,false)</f>
        <v>MProduto</v>
      </c>
      <c r="E2559" s="65" t="s">
        <v>1648</v>
      </c>
      <c r="F2559" s="83">
        <v>0.3020833333333333</v>
      </c>
      <c r="G2559" s="83">
        <v>0.7083333333333334</v>
      </c>
      <c r="H2559" s="83">
        <v>0.40625</v>
      </c>
      <c r="I2559" s="84">
        <v>44363.0</v>
      </c>
      <c r="J2559" s="65" t="b">
        <v>1</v>
      </c>
      <c r="K2559" s="65"/>
      <c r="L2559" s="85" t="b">
        <f>IF(VLOOKUP(C2559,Projetos!A:L,12,false)=TRUE,TRUE,FALSE)</f>
        <v>1</v>
      </c>
      <c r="M2559" s="74">
        <v>37.50928062469937</v>
      </c>
      <c r="N2559" s="74">
        <f t="shared" si="1"/>
        <v>365.7154861</v>
      </c>
      <c r="O2559" s="74" t="b">
        <v>1</v>
      </c>
    </row>
    <row r="2560" hidden="1">
      <c r="A2560" s="82"/>
      <c r="B2560" s="65" t="s">
        <v>469</v>
      </c>
      <c r="C2560" s="65" t="s">
        <v>118</v>
      </c>
      <c r="D2560" s="65" t="str">
        <f>vlookup(C2560,'Classificação p pessoal'!F:G,2,false)</f>
        <v>MProduto</v>
      </c>
      <c r="E2560" s="65" t="s">
        <v>1648</v>
      </c>
      <c r="F2560" s="83">
        <v>0.3020833333333333</v>
      </c>
      <c r="G2560" s="83">
        <v>0.7083333333333334</v>
      </c>
      <c r="H2560" s="83">
        <v>0.40625</v>
      </c>
      <c r="I2560" s="84">
        <v>44364.0</v>
      </c>
      <c r="J2560" s="65" t="b">
        <v>1</v>
      </c>
      <c r="K2560" s="65"/>
      <c r="L2560" s="85" t="b">
        <f>IF(VLOOKUP(C2560,Projetos!A:L,12,false)=TRUE,TRUE,FALSE)</f>
        <v>1</v>
      </c>
      <c r="M2560" s="74">
        <v>37.50928062469937</v>
      </c>
      <c r="N2560" s="74">
        <f t="shared" si="1"/>
        <v>365.7154861</v>
      </c>
      <c r="O2560" s="74" t="b">
        <v>1</v>
      </c>
    </row>
    <row r="2561" hidden="1">
      <c r="A2561" s="82"/>
      <c r="B2561" s="65" t="s">
        <v>469</v>
      </c>
      <c r="C2561" s="65" t="s">
        <v>101</v>
      </c>
      <c r="D2561" s="65"/>
      <c r="E2561" s="65" t="s">
        <v>1649</v>
      </c>
      <c r="F2561" s="83">
        <v>0.5</v>
      </c>
      <c r="G2561" s="83">
        <v>0.6041666666666666</v>
      </c>
      <c r="H2561" s="83">
        <v>0.10416666666666667</v>
      </c>
      <c r="I2561" s="84">
        <v>44364.0</v>
      </c>
      <c r="J2561" s="65" t="b">
        <v>0</v>
      </c>
      <c r="K2561" s="65" t="s">
        <v>150</v>
      </c>
      <c r="L2561" s="85" t="b">
        <f>IF(VLOOKUP(C2561,Projetos!A:L,12,false)=TRUE,TRUE,FALSE)</f>
        <v>1</v>
      </c>
      <c r="M2561" s="74">
        <v>37.50928062469937</v>
      </c>
      <c r="N2561" s="74">
        <f t="shared" si="1"/>
        <v>0</v>
      </c>
      <c r="O2561" s="74" t="b">
        <v>1</v>
      </c>
    </row>
    <row r="2562" hidden="1">
      <c r="A2562" s="82"/>
      <c r="B2562" s="65" t="s">
        <v>469</v>
      </c>
      <c r="C2562" s="65" t="s">
        <v>118</v>
      </c>
      <c r="D2562" s="65" t="str">
        <f>vlookup(C2562,'Classificação p pessoal'!F:G,2,false)</f>
        <v>MProduto</v>
      </c>
      <c r="E2562" s="65" t="s">
        <v>1648</v>
      </c>
      <c r="F2562" s="83">
        <v>0.3125</v>
      </c>
      <c r="G2562" s="83">
        <v>0.4583333333333333</v>
      </c>
      <c r="H2562" s="83">
        <v>0.14583333333333334</v>
      </c>
      <c r="I2562" s="84">
        <v>44368.0</v>
      </c>
      <c r="J2562" s="65" t="b">
        <v>1</v>
      </c>
      <c r="K2562" s="65"/>
      <c r="L2562" s="85" t="b">
        <f>IF(VLOOKUP(C2562,Projetos!A:L,12,false)=TRUE,TRUE,FALSE)</f>
        <v>1</v>
      </c>
      <c r="M2562" s="74">
        <v>37.50928062469937</v>
      </c>
      <c r="N2562" s="74">
        <f t="shared" si="1"/>
        <v>131.2824822</v>
      </c>
      <c r="O2562" s="74" t="b">
        <v>1</v>
      </c>
    </row>
    <row r="2563" hidden="1">
      <c r="A2563" s="82"/>
      <c r="B2563" s="65" t="s">
        <v>469</v>
      </c>
      <c r="C2563" s="65" t="s">
        <v>106</v>
      </c>
      <c r="D2563" s="65"/>
      <c r="E2563" s="65" t="s">
        <v>1650</v>
      </c>
      <c r="F2563" s="83">
        <v>0.3541666666666667</v>
      </c>
      <c r="G2563" s="83">
        <v>0.7083333333333334</v>
      </c>
      <c r="H2563" s="83">
        <v>0.3541666666666667</v>
      </c>
      <c r="I2563" s="84">
        <v>44368.0</v>
      </c>
      <c r="J2563" s="65" t="b">
        <v>0</v>
      </c>
      <c r="K2563" s="65" t="s">
        <v>150</v>
      </c>
      <c r="L2563" s="85" t="b">
        <f>IF(VLOOKUP(C2563,Projetos!A:L,12,false)=TRUE,TRUE,FALSE)</f>
        <v>1</v>
      </c>
      <c r="M2563" s="74">
        <v>37.50928062469937</v>
      </c>
      <c r="N2563" s="74">
        <f t="shared" si="1"/>
        <v>0</v>
      </c>
      <c r="O2563" s="74" t="b">
        <v>1</v>
      </c>
    </row>
    <row r="2564" hidden="1">
      <c r="A2564" s="82"/>
      <c r="B2564" s="65" t="s">
        <v>469</v>
      </c>
      <c r="C2564" s="65" t="s">
        <v>106</v>
      </c>
      <c r="D2564" s="65"/>
      <c r="E2564" s="65" t="s">
        <v>1650</v>
      </c>
      <c r="F2564" s="83">
        <v>0.375</v>
      </c>
      <c r="G2564" s="83">
        <v>0.7083333333333334</v>
      </c>
      <c r="H2564" s="83">
        <v>0.3333333333333333</v>
      </c>
      <c r="I2564" s="84">
        <v>44369.0</v>
      </c>
      <c r="J2564" s="65" t="b">
        <v>0</v>
      </c>
      <c r="K2564" s="65" t="s">
        <v>150</v>
      </c>
      <c r="L2564" s="85" t="b">
        <f>IF(VLOOKUP(C2564,Projetos!A:L,12,false)=TRUE,TRUE,FALSE)</f>
        <v>1</v>
      </c>
      <c r="M2564" s="74">
        <v>37.50928062469937</v>
      </c>
      <c r="N2564" s="74">
        <f t="shared" si="1"/>
        <v>0</v>
      </c>
      <c r="O2564" s="74" t="b">
        <v>1</v>
      </c>
    </row>
    <row r="2565" hidden="1">
      <c r="A2565" s="82"/>
      <c r="B2565" s="65" t="s">
        <v>469</v>
      </c>
      <c r="C2565" s="65" t="s">
        <v>106</v>
      </c>
      <c r="D2565" s="65"/>
      <c r="E2565" s="65" t="s">
        <v>1651</v>
      </c>
      <c r="F2565" s="83">
        <v>0.375</v>
      </c>
      <c r="G2565" s="83">
        <v>0.5</v>
      </c>
      <c r="H2565" s="83">
        <v>0.125</v>
      </c>
      <c r="I2565" s="84">
        <v>44371.0</v>
      </c>
      <c r="J2565" s="65" t="b">
        <v>0</v>
      </c>
      <c r="K2565" s="65" t="s">
        <v>150</v>
      </c>
      <c r="L2565" s="85" t="b">
        <f>IF(VLOOKUP(C2565,Projetos!A:L,12,false)=TRUE,TRUE,FALSE)</f>
        <v>1</v>
      </c>
      <c r="M2565" s="74">
        <v>37.50928062469937</v>
      </c>
      <c r="N2565" s="74">
        <f t="shared" si="1"/>
        <v>0</v>
      </c>
      <c r="O2565" s="74" t="b">
        <v>1</v>
      </c>
    </row>
    <row r="2566" hidden="1">
      <c r="A2566" s="82"/>
      <c r="B2566" s="65" t="s">
        <v>469</v>
      </c>
      <c r="C2566" s="65" t="s">
        <v>106</v>
      </c>
      <c r="D2566" s="65" t="str">
        <f>vlookup(C2566,'Classificação p pessoal'!F:G,2,false)</f>
        <v>MProcesso</v>
      </c>
      <c r="E2566" s="65" t="s">
        <v>1652</v>
      </c>
      <c r="F2566" s="83">
        <v>0.2916666666666667</v>
      </c>
      <c r="G2566" s="83">
        <v>0.3229166666666667</v>
      </c>
      <c r="H2566" s="83">
        <v>0.03125</v>
      </c>
      <c r="I2566" s="84">
        <v>44372.0</v>
      </c>
      <c r="J2566" s="65" t="b">
        <v>1</v>
      </c>
      <c r="K2566" s="65"/>
      <c r="L2566" s="85" t="b">
        <f>IF(VLOOKUP(C2566,Projetos!A:L,12,false)=TRUE,TRUE,FALSE)</f>
        <v>1</v>
      </c>
      <c r="M2566" s="74">
        <v>37.50928062469937</v>
      </c>
      <c r="N2566" s="74">
        <f t="shared" si="1"/>
        <v>28.13196047</v>
      </c>
      <c r="O2566" s="74" t="b">
        <v>1</v>
      </c>
    </row>
    <row r="2567" hidden="1">
      <c r="A2567" s="82"/>
      <c r="B2567" s="65" t="s">
        <v>469</v>
      </c>
      <c r="C2567" s="65" t="s">
        <v>101</v>
      </c>
      <c r="D2567" s="65" t="str">
        <f>vlookup(C2567,'Classificação p pessoal'!F:G,2,false)</f>
        <v>NP</v>
      </c>
      <c r="E2567" s="65" t="s">
        <v>1653</v>
      </c>
      <c r="F2567" s="83">
        <v>0.5</v>
      </c>
      <c r="G2567" s="83">
        <v>0.625</v>
      </c>
      <c r="H2567" s="83">
        <v>0.125</v>
      </c>
      <c r="I2567" s="84">
        <v>44372.0</v>
      </c>
      <c r="J2567" s="65" t="b">
        <v>1</v>
      </c>
      <c r="K2567" s="65"/>
      <c r="L2567" s="85" t="b">
        <f>IF(VLOOKUP(C2567,Projetos!A:L,12,false)=TRUE,TRUE,FALSE)</f>
        <v>1</v>
      </c>
      <c r="M2567" s="74">
        <v>37.50928062469937</v>
      </c>
      <c r="N2567" s="74">
        <f t="shared" si="1"/>
        <v>112.5278419</v>
      </c>
      <c r="O2567" s="74" t="b">
        <v>1</v>
      </c>
    </row>
    <row r="2568" hidden="1">
      <c r="A2568" s="82"/>
      <c r="B2568" s="65" t="s">
        <v>469</v>
      </c>
      <c r="C2568" s="65" t="s">
        <v>118</v>
      </c>
      <c r="D2568" s="65"/>
      <c r="E2568" s="65" t="s">
        <v>1654</v>
      </c>
      <c r="F2568" s="83">
        <v>0.3125</v>
      </c>
      <c r="G2568" s="83">
        <v>0.3958333333333333</v>
      </c>
      <c r="H2568" s="83">
        <v>0.08333333333333333</v>
      </c>
      <c r="I2568" s="84">
        <v>44375.0</v>
      </c>
      <c r="J2568" s="65" t="b">
        <v>0</v>
      </c>
      <c r="K2568" s="65" t="s">
        <v>150</v>
      </c>
      <c r="L2568" s="85" t="b">
        <f>IF(VLOOKUP(C2568,Projetos!A:L,12,false)=TRUE,TRUE,FALSE)</f>
        <v>1</v>
      </c>
      <c r="M2568" s="74">
        <v>37.50928062469937</v>
      </c>
      <c r="N2568" s="74">
        <f t="shared" si="1"/>
        <v>0</v>
      </c>
      <c r="O2568" s="74" t="b">
        <v>1</v>
      </c>
    </row>
    <row r="2569" hidden="1">
      <c r="A2569" s="82"/>
      <c r="B2569" s="65" t="s">
        <v>469</v>
      </c>
      <c r="C2569" s="65" t="s">
        <v>106</v>
      </c>
      <c r="D2569" s="65" t="str">
        <f>vlookup(C2569,'Classificação p pessoal'!F:G,2,false)</f>
        <v>MProcesso</v>
      </c>
      <c r="E2569" s="65" t="s">
        <v>1655</v>
      </c>
      <c r="F2569" s="83">
        <v>0.3958333333333333</v>
      </c>
      <c r="G2569" s="83">
        <v>0.4166666666666667</v>
      </c>
      <c r="H2569" s="83">
        <v>0.020833333333333332</v>
      </c>
      <c r="I2569" s="84">
        <v>44375.0</v>
      </c>
      <c r="J2569" s="65" t="b">
        <v>1</v>
      </c>
      <c r="K2569" s="65"/>
      <c r="L2569" s="85" t="b">
        <f>IF(VLOOKUP(C2569,Projetos!A:L,12,false)=TRUE,TRUE,FALSE)</f>
        <v>1</v>
      </c>
      <c r="M2569" s="74">
        <v>37.50928062469937</v>
      </c>
      <c r="N2569" s="74">
        <f t="shared" si="1"/>
        <v>18.75464031</v>
      </c>
      <c r="O2569" s="74" t="b">
        <v>1</v>
      </c>
    </row>
    <row r="2570" hidden="1">
      <c r="A2570" s="82"/>
      <c r="B2570" s="65" t="s">
        <v>469</v>
      </c>
      <c r="C2570" s="65" t="s">
        <v>118</v>
      </c>
      <c r="D2570" s="65"/>
      <c r="E2570" s="65" t="s">
        <v>1656</v>
      </c>
      <c r="F2570" s="83">
        <v>0.4583333333333333</v>
      </c>
      <c r="G2570" s="83">
        <v>0.5833333333333334</v>
      </c>
      <c r="H2570" s="83">
        <v>0.125</v>
      </c>
      <c r="I2570" s="84">
        <v>44376.0</v>
      </c>
      <c r="J2570" s="65" t="b">
        <v>0</v>
      </c>
      <c r="K2570" s="65" t="s">
        <v>150</v>
      </c>
      <c r="L2570" s="85" t="b">
        <f>IF(VLOOKUP(C2570,Projetos!A:L,12,false)=TRUE,TRUE,FALSE)</f>
        <v>1</v>
      </c>
      <c r="M2570" s="74">
        <v>37.50928062469937</v>
      </c>
      <c r="N2570" s="74">
        <f t="shared" si="1"/>
        <v>0</v>
      </c>
      <c r="O2570" s="74" t="b">
        <v>1</v>
      </c>
    </row>
    <row r="2571" hidden="1">
      <c r="A2571" s="82"/>
      <c r="B2571" s="65" t="s">
        <v>469</v>
      </c>
      <c r="C2571" s="65" t="s">
        <v>118</v>
      </c>
      <c r="D2571" s="65"/>
      <c r="E2571" s="65" t="s">
        <v>1657</v>
      </c>
      <c r="F2571" s="83">
        <v>0.5833333333333334</v>
      </c>
      <c r="G2571" s="83">
        <v>0.6666666666666666</v>
      </c>
      <c r="H2571" s="83">
        <v>0.08333333333333333</v>
      </c>
      <c r="I2571" s="84">
        <v>44377.0</v>
      </c>
      <c r="J2571" s="65" t="b">
        <v>0</v>
      </c>
      <c r="K2571" s="65" t="s">
        <v>150</v>
      </c>
      <c r="L2571" s="85" t="b">
        <f>IF(VLOOKUP(C2571,Projetos!A:L,12,false)=TRUE,TRUE,FALSE)</f>
        <v>1</v>
      </c>
      <c r="M2571" s="74">
        <v>37.50928062469937</v>
      </c>
      <c r="N2571" s="74">
        <f t="shared" si="1"/>
        <v>0</v>
      </c>
      <c r="O2571" s="74" t="b">
        <v>1</v>
      </c>
    </row>
    <row r="2572">
      <c r="A2572" s="82"/>
      <c r="B2572" s="65" t="s">
        <v>469</v>
      </c>
      <c r="C2572" s="65" t="s">
        <v>108</v>
      </c>
      <c r="D2572" s="65"/>
      <c r="E2572" s="65" t="s">
        <v>1658</v>
      </c>
      <c r="F2572" s="83">
        <v>0.5</v>
      </c>
      <c r="G2572" s="83">
        <v>0.7083333333333334</v>
      </c>
      <c r="H2572" s="83">
        <v>0.20833333333333334</v>
      </c>
      <c r="I2572" s="84">
        <v>44378.0</v>
      </c>
      <c r="J2572" s="65" t="b">
        <v>0</v>
      </c>
      <c r="K2572" s="65" t="s">
        <v>150</v>
      </c>
      <c r="L2572" s="85" t="b">
        <f>IF(VLOOKUP(C2572,Projetos!A:L,12,false)=TRUE,TRUE,FALSE)</f>
        <v>1</v>
      </c>
      <c r="M2572" s="74">
        <v>37.50928062469937</v>
      </c>
      <c r="N2572" s="74">
        <f t="shared" si="1"/>
        <v>0</v>
      </c>
      <c r="O2572" s="74" t="b">
        <v>1</v>
      </c>
    </row>
    <row r="2573">
      <c r="A2573" s="82"/>
      <c r="B2573" s="65" t="s">
        <v>469</v>
      </c>
      <c r="C2573" s="65" t="s">
        <v>108</v>
      </c>
      <c r="D2573" s="65"/>
      <c r="E2573" s="65" t="s">
        <v>1659</v>
      </c>
      <c r="F2573" s="83">
        <v>0.5833333333333334</v>
      </c>
      <c r="G2573" s="83">
        <v>0.6666666666666666</v>
      </c>
      <c r="H2573" s="83">
        <v>0.08333333333333333</v>
      </c>
      <c r="I2573" s="84">
        <v>44379.0</v>
      </c>
      <c r="J2573" s="65" t="b">
        <v>0</v>
      </c>
      <c r="K2573" s="65" t="s">
        <v>150</v>
      </c>
      <c r="L2573" s="85" t="b">
        <f>IF(VLOOKUP(C2573,Projetos!A:L,12,false)=TRUE,TRUE,FALSE)</f>
        <v>1</v>
      </c>
      <c r="M2573" s="74">
        <v>37.50928062469937</v>
      </c>
      <c r="N2573" s="74">
        <f t="shared" si="1"/>
        <v>0</v>
      </c>
      <c r="O2573" s="74" t="b">
        <v>1</v>
      </c>
    </row>
    <row r="2574" hidden="1">
      <c r="A2574" s="82"/>
      <c r="B2574" s="65" t="s">
        <v>469</v>
      </c>
      <c r="C2574" s="65" t="s">
        <v>132</v>
      </c>
      <c r="D2574" s="65"/>
      <c r="E2574" s="65" t="s">
        <v>1660</v>
      </c>
      <c r="F2574" s="83">
        <v>0.3333333333333333</v>
      </c>
      <c r="G2574" s="83">
        <v>0.7083333333333334</v>
      </c>
      <c r="H2574" s="83">
        <v>0.375</v>
      </c>
      <c r="I2574" s="84">
        <v>44379.0</v>
      </c>
      <c r="J2574" s="65" t="b">
        <v>0</v>
      </c>
      <c r="K2574" s="65" t="s">
        <v>150</v>
      </c>
      <c r="L2574" s="85" t="b">
        <f>IF(VLOOKUP(C2574,Projetos!A:L,12,false)=TRUE,TRUE,FALSE)</f>
        <v>0</v>
      </c>
      <c r="M2574" s="74">
        <v>37.50928062469937</v>
      </c>
      <c r="N2574" s="74">
        <f t="shared" si="1"/>
        <v>0</v>
      </c>
      <c r="O2574" s="74" t="b">
        <v>0</v>
      </c>
    </row>
    <row r="2575" hidden="1">
      <c r="A2575" s="82"/>
      <c r="B2575" s="65" t="s">
        <v>469</v>
      </c>
      <c r="C2575" s="65" t="s">
        <v>132</v>
      </c>
      <c r="D2575" s="65"/>
      <c r="E2575" s="65" t="s">
        <v>1661</v>
      </c>
      <c r="F2575" s="83">
        <v>0.3020833333333333</v>
      </c>
      <c r="G2575" s="83">
        <v>0.6875</v>
      </c>
      <c r="H2575" s="83">
        <v>0.3854166666666667</v>
      </c>
      <c r="I2575" s="84">
        <v>44382.0</v>
      </c>
      <c r="J2575" s="65" t="b">
        <v>0</v>
      </c>
      <c r="K2575" s="65" t="s">
        <v>150</v>
      </c>
      <c r="L2575" s="85" t="b">
        <f>IF(VLOOKUP(C2575,Projetos!A:L,12,false)=TRUE,TRUE,FALSE)</f>
        <v>0</v>
      </c>
      <c r="M2575" s="74">
        <v>37.50928062469937</v>
      </c>
      <c r="N2575" s="74">
        <f t="shared" si="1"/>
        <v>0</v>
      </c>
      <c r="O2575" s="74" t="b">
        <v>0</v>
      </c>
    </row>
    <row r="2576" hidden="1">
      <c r="A2576" s="82"/>
      <c r="B2576" s="65" t="s">
        <v>177</v>
      </c>
      <c r="C2576" s="65" t="s">
        <v>100</v>
      </c>
      <c r="D2576" s="65" t="str">
        <f>vlookup(C2576,'Classificação p pessoal'!F:G,2,false)</f>
        <v>NP</v>
      </c>
      <c r="E2576" s="65" t="s">
        <v>1662</v>
      </c>
      <c r="F2576" s="83">
        <v>0.4166666666666667</v>
      </c>
      <c r="G2576" s="83">
        <v>0.5416666666666666</v>
      </c>
      <c r="H2576" s="83">
        <v>0.125</v>
      </c>
      <c r="I2576" s="84">
        <v>44376.0</v>
      </c>
      <c r="J2576" s="65" t="b">
        <v>1</v>
      </c>
      <c r="K2576" s="65"/>
      <c r="L2576" s="85" t="b">
        <f>IF(VLOOKUP(C2576,Projetos!A:L,12,false)=TRUE,TRUE,FALSE)</f>
        <v>1</v>
      </c>
      <c r="M2576" s="74">
        <v>31.02923620430495</v>
      </c>
      <c r="N2576" s="74">
        <f t="shared" si="1"/>
        <v>93.08770861</v>
      </c>
      <c r="O2576" s="74" t="b">
        <v>1</v>
      </c>
    </row>
    <row r="2577" hidden="1">
      <c r="A2577" s="82"/>
      <c r="B2577" s="65" t="s">
        <v>469</v>
      </c>
      <c r="C2577" s="65" t="s">
        <v>132</v>
      </c>
      <c r="D2577" s="65"/>
      <c r="E2577" s="65" t="s">
        <v>1661</v>
      </c>
      <c r="F2577" s="83">
        <v>0.3020833333333333</v>
      </c>
      <c r="G2577" s="83">
        <v>0.7083333333333334</v>
      </c>
      <c r="H2577" s="83">
        <v>0.40625</v>
      </c>
      <c r="I2577" s="84">
        <v>44383.0</v>
      </c>
      <c r="J2577" s="65" t="b">
        <v>0</v>
      </c>
      <c r="K2577" s="65" t="s">
        <v>150</v>
      </c>
      <c r="L2577" s="85" t="b">
        <f>IF(VLOOKUP(C2577,Projetos!A:L,12,false)=TRUE,TRUE,FALSE)</f>
        <v>0</v>
      </c>
      <c r="M2577" s="74">
        <v>37.50928062469937</v>
      </c>
      <c r="N2577" s="74">
        <f t="shared" si="1"/>
        <v>0</v>
      </c>
      <c r="O2577" s="74" t="b">
        <v>0</v>
      </c>
    </row>
    <row r="2578" hidden="1">
      <c r="A2578" s="82"/>
      <c r="B2578" s="65" t="s">
        <v>469</v>
      </c>
      <c r="C2578" s="65" t="s">
        <v>105</v>
      </c>
      <c r="D2578" s="65"/>
      <c r="E2578" s="65" t="s">
        <v>1663</v>
      </c>
      <c r="F2578" s="83">
        <v>0.4583333333333333</v>
      </c>
      <c r="G2578" s="83">
        <v>0.625</v>
      </c>
      <c r="H2578" s="83">
        <v>0.16666666666666666</v>
      </c>
      <c r="I2578" s="84">
        <v>44384.0</v>
      </c>
      <c r="J2578" s="65" t="b">
        <v>0</v>
      </c>
      <c r="K2578" s="65" t="s">
        <v>150</v>
      </c>
      <c r="L2578" s="85" t="b">
        <f>IF(VLOOKUP(C2578,Projetos!A:L,12,false)=TRUE,TRUE,FALSE)</f>
        <v>1</v>
      </c>
      <c r="M2578" s="74">
        <v>37.50928062469937</v>
      </c>
      <c r="N2578" s="74">
        <f t="shared" si="1"/>
        <v>0</v>
      </c>
      <c r="O2578" s="74" t="b">
        <v>1</v>
      </c>
    </row>
    <row r="2579" hidden="1">
      <c r="A2579" s="82"/>
      <c r="B2579" s="65" t="s">
        <v>469</v>
      </c>
      <c r="C2579" s="65" t="s">
        <v>107</v>
      </c>
      <c r="D2579" s="65"/>
      <c r="E2579" s="65" t="s">
        <v>1664</v>
      </c>
      <c r="F2579" s="83">
        <v>0.625</v>
      </c>
      <c r="G2579" s="83">
        <v>0.7083333333333334</v>
      </c>
      <c r="H2579" s="83">
        <v>0.08333333333333333</v>
      </c>
      <c r="I2579" s="84">
        <v>44384.0</v>
      </c>
      <c r="J2579" s="65" t="b">
        <v>0</v>
      </c>
      <c r="K2579" s="65" t="s">
        <v>150</v>
      </c>
      <c r="L2579" s="85" t="b">
        <f>IF(VLOOKUP(C2579,Projetos!A:L,12,false)=TRUE,TRUE,FALSE)</f>
        <v>1</v>
      </c>
      <c r="M2579" s="74">
        <v>37.50928062469937</v>
      </c>
      <c r="N2579" s="74">
        <f t="shared" si="1"/>
        <v>0</v>
      </c>
      <c r="O2579" s="74" t="b">
        <v>1</v>
      </c>
    </row>
    <row r="2580" hidden="1">
      <c r="A2580" s="82"/>
      <c r="B2580" s="65" t="s">
        <v>469</v>
      </c>
      <c r="C2580" s="65" t="s">
        <v>106</v>
      </c>
      <c r="D2580" s="65" t="str">
        <f>vlookup(C2580,'Classificação p pessoal'!F:G,2,false)</f>
        <v>MProcesso</v>
      </c>
      <c r="E2580" s="65" t="s">
        <v>1665</v>
      </c>
      <c r="F2580" s="83">
        <v>0.5833333333333334</v>
      </c>
      <c r="G2580" s="83">
        <v>0.6458333333333334</v>
      </c>
      <c r="H2580" s="83">
        <v>0.0625</v>
      </c>
      <c r="I2580" s="84">
        <v>44385.0</v>
      </c>
      <c r="J2580" s="65" t="b">
        <v>1</v>
      </c>
      <c r="K2580" s="65"/>
      <c r="L2580" s="85" t="b">
        <f>IF(VLOOKUP(C2580,Projetos!A:L,12,false)=TRUE,TRUE,FALSE)</f>
        <v>1</v>
      </c>
      <c r="M2580" s="74">
        <v>37.50928062469937</v>
      </c>
      <c r="N2580" s="74">
        <f t="shared" si="1"/>
        <v>56.26392094</v>
      </c>
      <c r="O2580" s="74" t="b">
        <v>1</v>
      </c>
    </row>
    <row r="2581" hidden="1">
      <c r="A2581" s="82"/>
      <c r="B2581" s="65" t="s">
        <v>469</v>
      </c>
      <c r="C2581" s="65" t="s">
        <v>118</v>
      </c>
      <c r="D2581" s="65" t="str">
        <f>vlookup(C2581,'Classificação p pessoal'!F:G,2,false)</f>
        <v>MProduto</v>
      </c>
      <c r="E2581" s="65" t="s">
        <v>1666</v>
      </c>
      <c r="F2581" s="83">
        <v>0.3333333333333333</v>
      </c>
      <c r="G2581" s="83">
        <v>0.6458333333333334</v>
      </c>
      <c r="H2581" s="83">
        <v>0.3125</v>
      </c>
      <c r="I2581" s="84">
        <v>44384.0</v>
      </c>
      <c r="J2581" s="65" t="b">
        <v>1</v>
      </c>
      <c r="K2581" s="65"/>
      <c r="L2581" s="85" t="b">
        <f>IF(VLOOKUP(C2581,Projetos!A:L,12,false)=TRUE,TRUE,FALSE)</f>
        <v>1</v>
      </c>
      <c r="M2581" s="74">
        <v>37.50928062469937</v>
      </c>
      <c r="N2581" s="74">
        <f t="shared" si="1"/>
        <v>281.3196047</v>
      </c>
      <c r="O2581" s="74" t="b">
        <v>1</v>
      </c>
    </row>
    <row r="2582" hidden="1">
      <c r="A2582" s="82"/>
      <c r="B2582" s="65" t="s">
        <v>469</v>
      </c>
      <c r="C2582" s="65" t="s">
        <v>118</v>
      </c>
      <c r="D2582" s="65" t="str">
        <f>vlookup(C2582,'Classificação p pessoal'!F:G,2,false)</f>
        <v>MProduto</v>
      </c>
      <c r="E2582" s="65" t="s">
        <v>1666</v>
      </c>
      <c r="F2582" s="83">
        <v>0.3333333333333333</v>
      </c>
      <c r="G2582" s="83">
        <v>0.6458333333333334</v>
      </c>
      <c r="H2582" s="83">
        <v>0.3125</v>
      </c>
      <c r="I2582" s="84">
        <v>44385.0</v>
      </c>
      <c r="J2582" s="65" t="b">
        <v>1</v>
      </c>
      <c r="K2582" s="65"/>
      <c r="L2582" s="85" t="b">
        <f>IF(VLOOKUP(C2582,Projetos!A:L,12,false)=TRUE,TRUE,FALSE)</f>
        <v>1</v>
      </c>
      <c r="M2582" s="74">
        <v>37.50928062469937</v>
      </c>
      <c r="N2582" s="74">
        <f t="shared" si="1"/>
        <v>281.3196047</v>
      </c>
      <c r="O2582" s="74" t="b">
        <v>1</v>
      </c>
    </row>
    <row r="2583" hidden="1">
      <c r="A2583" s="82"/>
      <c r="B2583" s="65" t="s">
        <v>469</v>
      </c>
      <c r="C2583" s="65" t="s">
        <v>118</v>
      </c>
      <c r="D2583" s="65" t="str">
        <f>vlookup(C2583,'Classificação p pessoal'!F:G,2,false)</f>
        <v>MProduto</v>
      </c>
      <c r="E2583" s="65" t="s">
        <v>1666</v>
      </c>
      <c r="F2583" s="83">
        <v>0.3333333333333333</v>
      </c>
      <c r="G2583" s="83">
        <v>0.7083333333333334</v>
      </c>
      <c r="H2583" s="83">
        <v>0.375</v>
      </c>
      <c r="I2583" s="84">
        <v>44386.0</v>
      </c>
      <c r="J2583" s="65" t="b">
        <v>1</v>
      </c>
      <c r="K2583" s="65"/>
      <c r="L2583" s="85" t="b">
        <f>IF(VLOOKUP(C2583,Projetos!A:L,12,false)=TRUE,TRUE,FALSE)</f>
        <v>1</v>
      </c>
      <c r="M2583" s="74">
        <v>37.50928062469937</v>
      </c>
      <c r="N2583" s="74">
        <f t="shared" si="1"/>
        <v>337.5835256</v>
      </c>
      <c r="O2583" s="74" t="b">
        <v>1</v>
      </c>
    </row>
    <row r="2584" hidden="1">
      <c r="A2584" s="82"/>
      <c r="B2584" s="65" t="s">
        <v>469</v>
      </c>
      <c r="C2584" s="65" t="s">
        <v>118</v>
      </c>
      <c r="D2584" s="65" t="str">
        <f>vlookup(C2584,'Classificação p pessoal'!F:G,2,false)</f>
        <v>MProduto</v>
      </c>
      <c r="E2584" s="65" t="s">
        <v>1666</v>
      </c>
      <c r="F2584" s="83">
        <v>0.3333333333333333</v>
      </c>
      <c r="G2584" s="83">
        <v>0.7083333333333334</v>
      </c>
      <c r="H2584" s="83">
        <v>0.375</v>
      </c>
      <c r="I2584" s="84">
        <v>44387.0</v>
      </c>
      <c r="J2584" s="65" t="b">
        <v>1</v>
      </c>
      <c r="K2584" s="65"/>
      <c r="L2584" s="85" t="b">
        <f>IF(VLOOKUP(C2584,Projetos!A:L,12,false)=TRUE,TRUE,FALSE)</f>
        <v>1</v>
      </c>
      <c r="M2584" s="74">
        <v>37.50928062469937</v>
      </c>
      <c r="N2584" s="74">
        <f t="shared" si="1"/>
        <v>337.5835256</v>
      </c>
      <c r="O2584" s="74" t="b">
        <v>1</v>
      </c>
    </row>
    <row r="2585" hidden="1">
      <c r="A2585" s="82"/>
      <c r="B2585" s="65" t="s">
        <v>411</v>
      </c>
      <c r="C2585" s="65" t="s">
        <v>114</v>
      </c>
      <c r="D2585" s="65" t="str">
        <f>vlookup(C2585,'Classificação p pessoal'!F:G,2,false)</f>
        <v>NP</v>
      </c>
      <c r="E2585" s="65" t="s">
        <v>1667</v>
      </c>
      <c r="F2585" s="83">
        <v>0.4791666666666667</v>
      </c>
      <c r="G2585" s="83">
        <v>0.5416666666666666</v>
      </c>
      <c r="H2585" s="83">
        <v>0.0625</v>
      </c>
      <c r="I2585" s="84">
        <v>44400.0</v>
      </c>
      <c r="J2585" s="65" t="b">
        <v>1</v>
      </c>
      <c r="K2585" s="65"/>
      <c r="L2585" s="85" t="b">
        <f>IF(VLOOKUP(C2585,Projetos!A:L,12,false)=TRUE,TRUE,FALSE)</f>
        <v>1</v>
      </c>
      <c r="M2585" s="74">
        <v>52.48434411075036</v>
      </c>
      <c r="N2585" s="74">
        <f t="shared" si="1"/>
        <v>78.72651617</v>
      </c>
      <c r="O2585" s="74" t="b">
        <v>1</v>
      </c>
    </row>
    <row r="2586" hidden="1">
      <c r="A2586" s="82"/>
      <c r="B2586" s="65" t="s">
        <v>469</v>
      </c>
      <c r="C2586" s="65" t="s">
        <v>118</v>
      </c>
      <c r="D2586" s="65" t="str">
        <f>vlookup(C2586,'Classificação p pessoal'!F:G,2,false)</f>
        <v>MProduto</v>
      </c>
      <c r="E2586" s="65" t="s">
        <v>1668</v>
      </c>
      <c r="F2586" s="83">
        <v>0.3125</v>
      </c>
      <c r="G2586" s="83">
        <v>0.7083333333333334</v>
      </c>
      <c r="H2586" s="83">
        <v>0.3958333333333333</v>
      </c>
      <c r="I2586" s="84">
        <v>44398.0</v>
      </c>
      <c r="J2586" s="65" t="b">
        <v>1</v>
      </c>
      <c r="K2586" s="65"/>
      <c r="L2586" s="85" t="b">
        <f>IF(VLOOKUP(C2586,Projetos!A:L,12,false)=TRUE,TRUE,FALSE)</f>
        <v>1</v>
      </c>
      <c r="M2586" s="74">
        <v>37.50928062469937</v>
      </c>
      <c r="N2586" s="74">
        <f t="shared" si="1"/>
        <v>356.3381659</v>
      </c>
      <c r="O2586" s="74" t="b">
        <v>1</v>
      </c>
    </row>
    <row r="2587" hidden="1">
      <c r="A2587" s="82"/>
      <c r="B2587" s="65" t="s">
        <v>469</v>
      </c>
      <c r="C2587" s="65" t="s">
        <v>117</v>
      </c>
      <c r="D2587" s="65"/>
      <c r="E2587" s="65" t="s">
        <v>1669</v>
      </c>
      <c r="F2587" s="83">
        <v>0.4166666666666667</v>
      </c>
      <c r="G2587" s="83">
        <v>0.6666666666666666</v>
      </c>
      <c r="H2587" s="83">
        <v>0.25</v>
      </c>
      <c r="I2587" s="84">
        <v>44398.0</v>
      </c>
      <c r="J2587" s="65" t="b">
        <v>0</v>
      </c>
      <c r="K2587" s="65" t="s">
        <v>150</v>
      </c>
      <c r="L2587" s="85" t="b">
        <f>IF(VLOOKUP(C2587,Projetos!A:L,12,false)=TRUE,TRUE,FALSE)</f>
        <v>1</v>
      </c>
      <c r="M2587" s="74">
        <v>37.50928062469937</v>
      </c>
      <c r="N2587" s="74">
        <f t="shared" si="1"/>
        <v>0</v>
      </c>
      <c r="O2587" s="74" t="b">
        <v>1</v>
      </c>
    </row>
    <row r="2588" hidden="1">
      <c r="A2588" s="82"/>
      <c r="B2588" s="65" t="s">
        <v>469</v>
      </c>
      <c r="C2588" s="65" t="s">
        <v>117</v>
      </c>
      <c r="D2588" s="65"/>
      <c r="E2588" s="65" t="s">
        <v>1669</v>
      </c>
      <c r="F2588" s="83">
        <v>0.3333333333333333</v>
      </c>
      <c r="G2588" s="83">
        <v>0.7083333333333334</v>
      </c>
      <c r="H2588" s="83">
        <v>0.375</v>
      </c>
      <c r="I2588" s="84">
        <v>44399.0</v>
      </c>
      <c r="J2588" s="65" t="b">
        <v>0</v>
      </c>
      <c r="K2588" s="65" t="s">
        <v>150</v>
      </c>
      <c r="L2588" s="85" t="b">
        <f>IF(VLOOKUP(C2588,Projetos!A:L,12,false)=TRUE,TRUE,FALSE)</f>
        <v>1</v>
      </c>
      <c r="M2588" s="74">
        <v>37.50928062469937</v>
      </c>
      <c r="N2588" s="74">
        <f t="shared" si="1"/>
        <v>0</v>
      </c>
      <c r="O2588" s="74" t="b">
        <v>1</v>
      </c>
    </row>
    <row r="2589" hidden="1">
      <c r="A2589" s="82"/>
      <c r="B2589" s="65" t="s">
        <v>469</v>
      </c>
      <c r="C2589" s="65" t="s">
        <v>106</v>
      </c>
      <c r="D2589" s="65"/>
      <c r="E2589" s="65" t="s">
        <v>1670</v>
      </c>
      <c r="F2589" s="83">
        <v>0.5208333333333334</v>
      </c>
      <c r="G2589" s="83">
        <v>0.6666666666666666</v>
      </c>
      <c r="H2589" s="83">
        <v>0.14583333333333334</v>
      </c>
      <c r="I2589" s="84">
        <v>44403.0</v>
      </c>
      <c r="J2589" s="65" t="b">
        <v>0</v>
      </c>
      <c r="K2589" s="65" t="s">
        <v>150</v>
      </c>
      <c r="L2589" s="85" t="b">
        <f>IF(VLOOKUP(C2589,Projetos!A:L,12,false)=TRUE,TRUE,FALSE)</f>
        <v>1</v>
      </c>
      <c r="M2589" s="74">
        <v>37.50928062469937</v>
      </c>
      <c r="N2589" s="74">
        <f t="shared" si="1"/>
        <v>0</v>
      </c>
      <c r="O2589" s="74" t="b">
        <v>1</v>
      </c>
    </row>
    <row r="2590" hidden="1">
      <c r="A2590" s="82"/>
      <c r="B2590" s="65" t="s">
        <v>469</v>
      </c>
      <c r="C2590" s="65" t="s">
        <v>117</v>
      </c>
      <c r="D2590" s="65" t="str">
        <f>vlookup(C2590,'Classificação p pessoal'!F:G,2,false)</f>
        <v>NP</v>
      </c>
      <c r="E2590" s="65" t="s">
        <v>1671</v>
      </c>
      <c r="F2590" s="83">
        <v>0.5833333333333334</v>
      </c>
      <c r="G2590" s="83">
        <v>0.7083333333333334</v>
      </c>
      <c r="H2590" s="83">
        <v>0.125</v>
      </c>
      <c r="I2590" s="84">
        <v>44406.0</v>
      </c>
      <c r="J2590" s="65" t="b">
        <v>1</v>
      </c>
      <c r="K2590" s="65"/>
      <c r="L2590" s="85" t="b">
        <f>IF(VLOOKUP(C2590,Projetos!A:L,12,false)=TRUE,TRUE,FALSE)</f>
        <v>1</v>
      </c>
      <c r="M2590" s="74">
        <v>37.50928062469937</v>
      </c>
      <c r="N2590" s="74">
        <f t="shared" si="1"/>
        <v>112.5278419</v>
      </c>
      <c r="O2590" s="74" t="b">
        <v>1</v>
      </c>
    </row>
    <row r="2591" hidden="1">
      <c r="A2591" s="82"/>
      <c r="B2591" s="65" t="s">
        <v>177</v>
      </c>
      <c r="C2591" s="65" t="s">
        <v>99</v>
      </c>
      <c r="D2591" s="65" t="str">
        <f>vlookup(C2591,'Classificação p pessoal'!F:G,2,false)</f>
        <v>NP</v>
      </c>
      <c r="E2591" s="65" t="s">
        <v>1672</v>
      </c>
      <c r="F2591" s="83">
        <v>0.5416666666666666</v>
      </c>
      <c r="G2591" s="83">
        <v>0.75</v>
      </c>
      <c r="H2591" s="83">
        <v>0.20833333333333334</v>
      </c>
      <c r="I2591" s="84">
        <v>44523.0</v>
      </c>
      <c r="J2591" s="65" t="b">
        <v>1</v>
      </c>
      <c r="K2591" s="65"/>
      <c r="L2591" s="85" t="b">
        <f>IF(VLOOKUP(C2591,Projetos!A:L,12,false)=TRUE,TRUE,FALSE)</f>
        <v>1</v>
      </c>
      <c r="M2591" s="74">
        <v>31.02923620430495</v>
      </c>
      <c r="N2591" s="74">
        <f t="shared" si="1"/>
        <v>155.146181</v>
      </c>
      <c r="O2591" s="74" t="b">
        <v>1</v>
      </c>
    </row>
    <row r="2592" hidden="1">
      <c r="A2592" s="82"/>
      <c r="B2592" s="65" t="s">
        <v>469</v>
      </c>
      <c r="C2592" s="65" t="s">
        <v>118</v>
      </c>
      <c r="D2592" s="65"/>
      <c r="E2592" s="65" t="s">
        <v>1673</v>
      </c>
      <c r="F2592" s="83">
        <v>0.3333333333333333</v>
      </c>
      <c r="G2592" s="83">
        <v>0.625</v>
      </c>
      <c r="H2592" s="83">
        <v>0.2916666666666667</v>
      </c>
      <c r="I2592" s="84">
        <v>44410.0</v>
      </c>
      <c r="J2592" s="65" t="b">
        <v>0</v>
      </c>
      <c r="K2592" s="65" t="s">
        <v>150</v>
      </c>
      <c r="L2592" s="85" t="b">
        <f>IF(VLOOKUP(C2592,Projetos!A:L,12,false)=TRUE,TRUE,FALSE)</f>
        <v>1</v>
      </c>
      <c r="M2592" s="74">
        <v>37.50928062469937</v>
      </c>
      <c r="N2592" s="74">
        <f t="shared" si="1"/>
        <v>0</v>
      </c>
      <c r="O2592" s="74" t="b">
        <v>1</v>
      </c>
    </row>
    <row r="2593" hidden="1">
      <c r="A2593" s="82"/>
      <c r="B2593" s="65" t="s">
        <v>469</v>
      </c>
      <c r="C2593" s="65" t="s">
        <v>118</v>
      </c>
      <c r="D2593" s="65"/>
      <c r="E2593" s="65" t="s">
        <v>1673</v>
      </c>
      <c r="F2593" s="83">
        <v>0.2916666666666667</v>
      </c>
      <c r="G2593" s="83">
        <v>0.625</v>
      </c>
      <c r="H2593" s="83">
        <v>0.3333333333333333</v>
      </c>
      <c r="I2593" s="84">
        <v>44411.0</v>
      </c>
      <c r="J2593" s="65" t="b">
        <v>0</v>
      </c>
      <c r="K2593" s="65" t="s">
        <v>150</v>
      </c>
      <c r="L2593" s="85" t="b">
        <f>IF(VLOOKUP(C2593,Projetos!A:L,12,false)=TRUE,TRUE,FALSE)</f>
        <v>1</v>
      </c>
      <c r="M2593" s="74">
        <v>37.50928062469937</v>
      </c>
      <c r="N2593" s="74">
        <f t="shared" si="1"/>
        <v>0</v>
      </c>
      <c r="O2593" s="74" t="b">
        <v>1</v>
      </c>
    </row>
    <row r="2594" hidden="1">
      <c r="A2594" s="82"/>
      <c r="B2594" s="65" t="s">
        <v>469</v>
      </c>
      <c r="C2594" s="65" t="s">
        <v>117</v>
      </c>
      <c r="D2594" s="65"/>
      <c r="E2594" s="65" t="s">
        <v>1674</v>
      </c>
      <c r="F2594" s="83">
        <v>0.3020833333333333</v>
      </c>
      <c r="G2594" s="83">
        <v>0.7083333333333334</v>
      </c>
      <c r="H2594" s="83">
        <v>0.40625</v>
      </c>
      <c r="I2594" s="84">
        <v>44411.0</v>
      </c>
      <c r="J2594" s="65" t="b">
        <v>0</v>
      </c>
      <c r="K2594" s="65" t="s">
        <v>150</v>
      </c>
      <c r="L2594" s="85" t="b">
        <f>IF(VLOOKUP(C2594,Projetos!A:L,12,false)=TRUE,TRUE,FALSE)</f>
        <v>1</v>
      </c>
      <c r="M2594" s="74">
        <v>37.50928062469937</v>
      </c>
      <c r="N2594" s="74">
        <f t="shared" si="1"/>
        <v>0</v>
      </c>
      <c r="O2594" s="74" t="b">
        <v>1</v>
      </c>
    </row>
    <row r="2595" hidden="1">
      <c r="A2595" s="82"/>
      <c r="B2595" s="65" t="s">
        <v>469</v>
      </c>
      <c r="C2595" s="65" t="s">
        <v>118</v>
      </c>
      <c r="D2595" s="65"/>
      <c r="E2595" s="65" t="s">
        <v>1673</v>
      </c>
      <c r="F2595" s="83">
        <v>0.2916666666666667</v>
      </c>
      <c r="G2595" s="83">
        <v>0.625</v>
      </c>
      <c r="H2595" s="83">
        <v>0.3333333333333333</v>
      </c>
      <c r="I2595" s="84">
        <v>44411.0</v>
      </c>
      <c r="J2595" s="65" t="b">
        <v>0</v>
      </c>
      <c r="K2595" s="65" t="s">
        <v>150</v>
      </c>
      <c r="L2595" s="85" t="b">
        <f>IF(VLOOKUP(C2595,Projetos!A:L,12,false)=TRUE,TRUE,FALSE)</f>
        <v>1</v>
      </c>
      <c r="M2595" s="74">
        <v>37.50928062469937</v>
      </c>
      <c r="N2595" s="74">
        <f t="shared" si="1"/>
        <v>0</v>
      </c>
      <c r="O2595" s="74" t="b">
        <v>1</v>
      </c>
    </row>
    <row r="2596" hidden="1">
      <c r="A2596" s="82"/>
      <c r="B2596" s="65" t="s">
        <v>469</v>
      </c>
      <c r="C2596" s="65" t="s">
        <v>132</v>
      </c>
      <c r="D2596" s="65"/>
      <c r="E2596" s="65" t="s">
        <v>1675</v>
      </c>
      <c r="F2596" s="83">
        <v>0.3020833333333333</v>
      </c>
      <c r="G2596" s="83">
        <v>0.7083333333333334</v>
      </c>
      <c r="H2596" s="83">
        <v>0.40625</v>
      </c>
      <c r="I2596" s="84">
        <v>44412.0</v>
      </c>
      <c r="J2596" s="65" t="b">
        <v>1</v>
      </c>
      <c r="K2596" s="65"/>
      <c r="L2596" s="85" t="b">
        <f>IF(VLOOKUP(C2596,Projetos!A:L,12,false)=TRUE,TRUE,FALSE)</f>
        <v>0</v>
      </c>
      <c r="M2596" s="74">
        <v>37.50928062469937</v>
      </c>
      <c r="N2596" s="74">
        <f t="shared" si="1"/>
        <v>0</v>
      </c>
      <c r="O2596" s="74" t="b">
        <v>0</v>
      </c>
    </row>
    <row r="2597" hidden="1">
      <c r="A2597" s="82"/>
      <c r="B2597" s="65" t="s">
        <v>469</v>
      </c>
      <c r="C2597" s="65" t="s">
        <v>132</v>
      </c>
      <c r="D2597" s="65"/>
      <c r="E2597" s="65" t="s">
        <v>1675</v>
      </c>
      <c r="F2597" s="83">
        <v>0.3020833333333333</v>
      </c>
      <c r="G2597" s="83">
        <v>0.7083333333333334</v>
      </c>
      <c r="H2597" s="83">
        <v>0.40625</v>
      </c>
      <c r="I2597" s="84">
        <v>44413.0</v>
      </c>
      <c r="J2597" s="65" t="b">
        <v>1</v>
      </c>
      <c r="K2597" s="65"/>
      <c r="L2597" s="85" t="b">
        <f>IF(VLOOKUP(C2597,Projetos!A:L,12,false)=TRUE,TRUE,FALSE)</f>
        <v>0</v>
      </c>
      <c r="M2597" s="74">
        <v>37.50928062469937</v>
      </c>
      <c r="N2597" s="74">
        <f t="shared" si="1"/>
        <v>0</v>
      </c>
      <c r="O2597" s="74" t="b">
        <v>0</v>
      </c>
    </row>
    <row r="2598" hidden="1">
      <c r="A2598" s="82"/>
      <c r="B2598" s="65" t="s">
        <v>469</v>
      </c>
      <c r="C2598" s="65" t="s">
        <v>132</v>
      </c>
      <c r="D2598" s="65"/>
      <c r="E2598" s="65" t="s">
        <v>1675</v>
      </c>
      <c r="F2598" s="83">
        <v>0.3020833333333333</v>
      </c>
      <c r="G2598" s="83">
        <v>0.625</v>
      </c>
      <c r="H2598" s="83">
        <v>0.3229166666666667</v>
      </c>
      <c r="I2598" s="84">
        <v>44414.0</v>
      </c>
      <c r="J2598" s="65" t="b">
        <v>1</v>
      </c>
      <c r="K2598" s="65"/>
      <c r="L2598" s="85" t="b">
        <f>IF(VLOOKUP(C2598,Projetos!A:L,12,false)=TRUE,TRUE,FALSE)</f>
        <v>0</v>
      </c>
      <c r="M2598" s="74">
        <v>37.50928062469937</v>
      </c>
      <c r="N2598" s="74">
        <f t="shared" si="1"/>
        <v>0</v>
      </c>
      <c r="O2598" s="74" t="b">
        <v>0</v>
      </c>
    </row>
    <row r="2599" hidden="1">
      <c r="A2599" s="82"/>
      <c r="B2599" s="65" t="s">
        <v>469</v>
      </c>
      <c r="C2599" s="65" t="s">
        <v>117</v>
      </c>
      <c r="D2599" s="65"/>
      <c r="E2599" s="65" t="s">
        <v>1676</v>
      </c>
      <c r="F2599" s="83">
        <v>0.4166666666666667</v>
      </c>
      <c r="G2599" s="83">
        <v>0.5</v>
      </c>
      <c r="H2599" s="83">
        <v>0.08333333333333333</v>
      </c>
      <c r="I2599" s="84">
        <v>44414.0</v>
      </c>
      <c r="J2599" s="65" t="b">
        <v>0</v>
      </c>
      <c r="K2599" s="65" t="s">
        <v>150</v>
      </c>
      <c r="L2599" s="85" t="b">
        <f>IF(VLOOKUP(C2599,Projetos!A:L,12,false)=TRUE,TRUE,FALSE)</f>
        <v>1</v>
      </c>
      <c r="M2599" s="74">
        <v>37.50928062469937</v>
      </c>
      <c r="N2599" s="74">
        <f t="shared" si="1"/>
        <v>0</v>
      </c>
      <c r="O2599" s="74" t="b">
        <v>1</v>
      </c>
    </row>
    <row r="2600" hidden="1">
      <c r="A2600" s="82"/>
      <c r="B2600" s="65" t="s">
        <v>469</v>
      </c>
      <c r="C2600" s="65" t="s">
        <v>107</v>
      </c>
      <c r="D2600" s="65" t="str">
        <f>vlookup(C2600,'Classificação p pessoal'!F:G,2,false)</f>
        <v>NP</v>
      </c>
      <c r="E2600" s="65" t="s">
        <v>1677</v>
      </c>
      <c r="F2600" s="83">
        <v>0.625</v>
      </c>
      <c r="G2600" s="83">
        <v>0.7083333333333334</v>
      </c>
      <c r="H2600" s="83">
        <v>0.08333333333333333</v>
      </c>
      <c r="I2600" s="84">
        <v>44414.0</v>
      </c>
      <c r="J2600" s="65" t="b">
        <v>1</v>
      </c>
      <c r="K2600" s="65"/>
      <c r="L2600" s="85" t="b">
        <f>IF(VLOOKUP(C2600,Projetos!A:L,12,false)=TRUE,TRUE,FALSE)</f>
        <v>1</v>
      </c>
      <c r="M2600" s="74">
        <v>37.50928062469937</v>
      </c>
      <c r="N2600" s="74">
        <f t="shared" si="1"/>
        <v>75.01856125</v>
      </c>
      <c r="O2600" s="74" t="b">
        <v>1</v>
      </c>
    </row>
    <row r="2601" hidden="1">
      <c r="A2601" s="82"/>
      <c r="B2601" s="65" t="s">
        <v>467</v>
      </c>
      <c r="C2601" s="65" t="s">
        <v>92</v>
      </c>
      <c r="D2601" s="65" t="str">
        <f>vlookup(C2601,'Classificação p pessoal'!F:G,2,false)</f>
        <v/>
      </c>
      <c r="E2601" s="65" t="s">
        <v>1678</v>
      </c>
      <c r="F2601" s="83">
        <v>0.5625</v>
      </c>
      <c r="G2601" s="83">
        <v>0.625</v>
      </c>
      <c r="H2601" s="83">
        <v>0.0625</v>
      </c>
      <c r="I2601" s="84">
        <v>44552.0</v>
      </c>
      <c r="J2601" s="65" t="b">
        <v>1</v>
      </c>
      <c r="K2601" s="65"/>
      <c r="L2601" s="85" t="b">
        <f>IF(VLOOKUP(C2601,Projetos!A:L,12,false)=TRUE,TRUE,FALSE)</f>
        <v>1</v>
      </c>
      <c r="M2601" s="74">
        <v>52.1518759018759</v>
      </c>
      <c r="N2601" s="74">
        <f t="shared" si="1"/>
        <v>78.22781385</v>
      </c>
      <c r="O2601" s="74" t="b">
        <v>1</v>
      </c>
    </row>
    <row r="2602" hidden="1">
      <c r="A2602" s="82"/>
      <c r="B2602" s="65" t="s">
        <v>469</v>
      </c>
      <c r="C2602" s="65" t="s">
        <v>118</v>
      </c>
      <c r="D2602" s="65"/>
      <c r="E2602" s="65" t="s">
        <v>1679</v>
      </c>
      <c r="F2602" s="83">
        <v>0.3333333333333333</v>
      </c>
      <c r="G2602" s="83">
        <v>0.7083333333333334</v>
      </c>
      <c r="H2602" s="83">
        <v>0.375</v>
      </c>
      <c r="I2602" s="84">
        <v>44414.0</v>
      </c>
      <c r="J2602" s="65" t="b">
        <v>0</v>
      </c>
      <c r="K2602" s="65"/>
      <c r="L2602" s="85" t="b">
        <f>IF(VLOOKUP(C2602,Projetos!A:L,12,false)=TRUE,TRUE,FALSE)</f>
        <v>1</v>
      </c>
      <c r="M2602" s="74">
        <v>37.50928062469937</v>
      </c>
      <c r="N2602" s="74">
        <f t="shared" si="1"/>
        <v>0</v>
      </c>
      <c r="O2602" s="74" t="b">
        <v>1</v>
      </c>
    </row>
    <row r="2603" hidden="1">
      <c r="A2603" s="82"/>
      <c r="B2603" s="65" t="s">
        <v>469</v>
      </c>
      <c r="C2603" s="65" t="s">
        <v>118</v>
      </c>
      <c r="D2603" s="65"/>
      <c r="E2603" s="65" t="s">
        <v>1680</v>
      </c>
      <c r="F2603" s="83">
        <v>0.3333333333333333</v>
      </c>
      <c r="G2603" s="83">
        <v>0.7083333333333334</v>
      </c>
      <c r="H2603" s="83">
        <v>0.375</v>
      </c>
      <c r="I2603" s="84">
        <v>44417.0</v>
      </c>
      <c r="J2603" s="65" t="b">
        <v>0</v>
      </c>
      <c r="K2603" s="65" t="s">
        <v>150</v>
      </c>
      <c r="L2603" s="85" t="b">
        <f>IF(VLOOKUP(C2603,Projetos!A:L,12,false)=TRUE,TRUE,FALSE)</f>
        <v>1</v>
      </c>
      <c r="M2603" s="74">
        <v>37.50928062469937</v>
      </c>
      <c r="N2603" s="74">
        <f t="shared" si="1"/>
        <v>0</v>
      </c>
      <c r="O2603" s="74" t="b">
        <v>1</v>
      </c>
    </row>
    <row r="2604" hidden="1">
      <c r="A2604" s="82"/>
      <c r="B2604" s="65" t="s">
        <v>469</v>
      </c>
      <c r="C2604" s="65" t="s">
        <v>118</v>
      </c>
      <c r="D2604" s="65" t="str">
        <f>vlookup(C2604,'Classificação p pessoal'!F:G,2,false)</f>
        <v>MProduto</v>
      </c>
      <c r="E2604" s="65" t="s">
        <v>1681</v>
      </c>
      <c r="F2604" s="83">
        <v>0.3020833333333333</v>
      </c>
      <c r="G2604" s="83">
        <v>0.625</v>
      </c>
      <c r="H2604" s="83">
        <v>0.3229166666666667</v>
      </c>
      <c r="I2604" s="84">
        <v>44418.0</v>
      </c>
      <c r="J2604" s="65" t="b">
        <v>1</v>
      </c>
      <c r="K2604" s="65"/>
      <c r="L2604" s="85" t="b">
        <f>IF(VLOOKUP(C2604,Projetos!A:L,12,false)=TRUE,TRUE,FALSE)</f>
        <v>1</v>
      </c>
      <c r="M2604" s="74">
        <v>37.50928062469937</v>
      </c>
      <c r="N2604" s="74">
        <f t="shared" si="1"/>
        <v>290.6969248</v>
      </c>
      <c r="O2604" s="74" t="b">
        <v>1</v>
      </c>
    </row>
    <row r="2605" hidden="1">
      <c r="A2605" s="82"/>
      <c r="B2605" s="65" t="s">
        <v>469</v>
      </c>
      <c r="C2605" s="65" t="s">
        <v>132</v>
      </c>
      <c r="D2605" s="65"/>
      <c r="E2605" s="65" t="s">
        <v>1682</v>
      </c>
      <c r="F2605" s="83">
        <v>0.3020833333333333</v>
      </c>
      <c r="G2605" s="83">
        <v>0.7083333333333334</v>
      </c>
      <c r="H2605" s="83">
        <v>0.40625</v>
      </c>
      <c r="I2605" s="84">
        <v>44418.0</v>
      </c>
      <c r="J2605" s="65" t="b">
        <v>1</v>
      </c>
      <c r="K2605" s="65"/>
      <c r="L2605" s="85" t="b">
        <f>IF(VLOOKUP(C2605,Projetos!A:L,12,false)=TRUE,TRUE,FALSE)</f>
        <v>0</v>
      </c>
      <c r="M2605" s="74">
        <v>37.50928062469937</v>
      </c>
      <c r="N2605" s="74">
        <f t="shared" si="1"/>
        <v>0</v>
      </c>
      <c r="O2605" s="74" t="b">
        <v>0</v>
      </c>
    </row>
    <row r="2606" hidden="1">
      <c r="A2606" s="82"/>
      <c r="B2606" s="65" t="s">
        <v>469</v>
      </c>
      <c r="C2606" s="65" t="s">
        <v>132</v>
      </c>
      <c r="D2606" s="65"/>
      <c r="E2606" s="65" t="s">
        <v>1682</v>
      </c>
      <c r="F2606" s="83">
        <v>0.3020833333333333</v>
      </c>
      <c r="G2606" s="83">
        <v>0.7083333333333334</v>
      </c>
      <c r="H2606" s="83">
        <v>0.40625</v>
      </c>
      <c r="I2606" s="84">
        <v>44419.0</v>
      </c>
      <c r="J2606" s="65" t="b">
        <v>1</v>
      </c>
      <c r="K2606" s="65"/>
      <c r="L2606" s="85" t="b">
        <f>IF(VLOOKUP(C2606,Projetos!A:L,12,false)=TRUE,TRUE,FALSE)</f>
        <v>0</v>
      </c>
      <c r="M2606" s="74">
        <v>37.50928062469937</v>
      </c>
      <c r="N2606" s="74">
        <f t="shared" si="1"/>
        <v>0</v>
      </c>
      <c r="O2606" s="74" t="b">
        <v>0</v>
      </c>
    </row>
    <row r="2607" hidden="1">
      <c r="A2607" s="82"/>
      <c r="B2607" s="65" t="s">
        <v>469</v>
      </c>
      <c r="C2607" s="65" t="s">
        <v>118</v>
      </c>
      <c r="D2607" s="65" t="str">
        <f>vlookup(C2607,'Classificação p pessoal'!F:G,2,false)</f>
        <v>MProduto</v>
      </c>
      <c r="E2607" s="65" t="s">
        <v>1683</v>
      </c>
      <c r="F2607" s="83">
        <v>0.3020833333333333</v>
      </c>
      <c r="G2607" s="83">
        <v>0.7083333333333334</v>
      </c>
      <c r="H2607" s="83">
        <v>0.40625</v>
      </c>
      <c r="I2607" s="84">
        <v>44419.0</v>
      </c>
      <c r="J2607" s="65" t="b">
        <v>1</v>
      </c>
      <c r="K2607" s="65"/>
      <c r="L2607" s="85" t="b">
        <f>IF(VLOOKUP(C2607,Projetos!A:L,12,false)=TRUE,TRUE,FALSE)</f>
        <v>1</v>
      </c>
      <c r="M2607" s="74">
        <v>37.50928062469937</v>
      </c>
      <c r="N2607" s="74">
        <f t="shared" si="1"/>
        <v>365.7154861</v>
      </c>
      <c r="O2607" s="74" t="b">
        <v>1</v>
      </c>
    </row>
    <row r="2608" hidden="1">
      <c r="A2608" s="82"/>
      <c r="B2608" s="65" t="s">
        <v>469</v>
      </c>
      <c r="C2608" s="65" t="s">
        <v>118</v>
      </c>
      <c r="D2608" s="65"/>
      <c r="E2608" s="65" t="s">
        <v>1684</v>
      </c>
      <c r="F2608" s="83">
        <v>0.3020833333333333</v>
      </c>
      <c r="G2608" s="83">
        <v>0.7083333333333334</v>
      </c>
      <c r="H2608" s="83">
        <v>0.40625</v>
      </c>
      <c r="I2608" s="84">
        <v>44420.0</v>
      </c>
      <c r="J2608" s="65" t="b">
        <v>0</v>
      </c>
      <c r="K2608" s="65" t="s">
        <v>150</v>
      </c>
      <c r="L2608" s="85" t="b">
        <f>IF(VLOOKUP(C2608,Projetos!A:L,12,false)=TRUE,TRUE,FALSE)</f>
        <v>1</v>
      </c>
      <c r="M2608" s="74">
        <v>37.50928062469937</v>
      </c>
      <c r="N2608" s="74">
        <f t="shared" si="1"/>
        <v>0</v>
      </c>
      <c r="O2608" s="74" t="b">
        <v>1</v>
      </c>
    </row>
    <row r="2609" hidden="1">
      <c r="A2609" s="82"/>
      <c r="B2609" s="65" t="s">
        <v>469</v>
      </c>
      <c r="C2609" s="65" t="s">
        <v>118</v>
      </c>
      <c r="D2609" s="65"/>
      <c r="E2609" s="65" t="s">
        <v>1684</v>
      </c>
      <c r="F2609" s="83">
        <v>0.3020833333333333</v>
      </c>
      <c r="G2609" s="83">
        <v>0.7083333333333334</v>
      </c>
      <c r="H2609" s="83">
        <v>0.40625</v>
      </c>
      <c r="I2609" s="84">
        <v>44421.0</v>
      </c>
      <c r="J2609" s="65" t="b">
        <v>0</v>
      </c>
      <c r="K2609" s="65" t="s">
        <v>150</v>
      </c>
      <c r="L2609" s="85" t="b">
        <f>IF(VLOOKUP(C2609,Projetos!A:L,12,false)=TRUE,TRUE,FALSE)</f>
        <v>1</v>
      </c>
      <c r="M2609" s="74">
        <v>37.50928062469937</v>
      </c>
      <c r="N2609" s="74">
        <f t="shared" si="1"/>
        <v>0</v>
      </c>
      <c r="O2609" s="74" t="b">
        <v>1</v>
      </c>
    </row>
    <row r="2610" hidden="1">
      <c r="A2610" s="82"/>
      <c r="B2610" s="65" t="s">
        <v>469</v>
      </c>
      <c r="C2610" s="65" t="s">
        <v>118</v>
      </c>
      <c r="D2610" s="65" t="str">
        <f>vlookup(C2610,'Classificação p pessoal'!F:G,2,false)</f>
        <v>MProduto</v>
      </c>
      <c r="E2610" s="65" t="s">
        <v>1683</v>
      </c>
      <c r="F2610" s="83">
        <v>0.3020833333333333</v>
      </c>
      <c r="G2610" s="83">
        <v>0.7083333333333334</v>
      </c>
      <c r="H2610" s="83">
        <v>0.40625</v>
      </c>
      <c r="I2610" s="84">
        <v>44424.0</v>
      </c>
      <c r="J2610" s="65" t="b">
        <v>1</v>
      </c>
      <c r="K2610" s="65"/>
      <c r="L2610" s="85" t="b">
        <f>IF(VLOOKUP(C2610,Projetos!A:L,12,false)=TRUE,TRUE,FALSE)</f>
        <v>1</v>
      </c>
      <c r="M2610" s="74">
        <v>37.50928062469937</v>
      </c>
      <c r="N2610" s="74">
        <f t="shared" si="1"/>
        <v>365.7154861</v>
      </c>
      <c r="O2610" s="74" t="b">
        <v>1</v>
      </c>
    </row>
    <row r="2611" hidden="1">
      <c r="A2611" s="82"/>
      <c r="B2611" s="65" t="s">
        <v>469</v>
      </c>
      <c r="C2611" s="65" t="s">
        <v>118</v>
      </c>
      <c r="D2611" s="65"/>
      <c r="E2611" s="65" t="s">
        <v>1685</v>
      </c>
      <c r="F2611" s="83">
        <v>0.3020833333333333</v>
      </c>
      <c r="G2611" s="83">
        <v>0.7083333333333334</v>
      </c>
      <c r="H2611" s="83">
        <v>0.40625</v>
      </c>
      <c r="I2611" s="84">
        <v>44427.0</v>
      </c>
      <c r="J2611" s="65" t="b">
        <v>0</v>
      </c>
      <c r="K2611" s="65" t="s">
        <v>150</v>
      </c>
      <c r="L2611" s="85" t="b">
        <f>IF(VLOOKUP(C2611,Projetos!A:L,12,false)=TRUE,TRUE,FALSE)</f>
        <v>1</v>
      </c>
      <c r="M2611" s="74">
        <v>37.50928062469937</v>
      </c>
      <c r="N2611" s="74">
        <f t="shared" si="1"/>
        <v>0</v>
      </c>
      <c r="O2611" s="74" t="b">
        <v>1</v>
      </c>
    </row>
    <row r="2612" hidden="1">
      <c r="A2612" s="82"/>
      <c r="B2612" s="65" t="s">
        <v>469</v>
      </c>
      <c r="C2612" s="65" t="s">
        <v>118</v>
      </c>
      <c r="D2612" s="65"/>
      <c r="E2612" s="65" t="s">
        <v>1685</v>
      </c>
      <c r="F2612" s="83">
        <v>0.3020833333333333</v>
      </c>
      <c r="G2612" s="83">
        <v>0.7083333333333334</v>
      </c>
      <c r="H2612" s="83">
        <v>0.40625</v>
      </c>
      <c r="I2612" s="84">
        <v>44428.0</v>
      </c>
      <c r="J2612" s="65" t="b">
        <v>0</v>
      </c>
      <c r="K2612" s="65" t="s">
        <v>150</v>
      </c>
      <c r="L2612" s="85" t="b">
        <f>IF(VLOOKUP(C2612,Projetos!A:L,12,false)=TRUE,TRUE,FALSE)</f>
        <v>1</v>
      </c>
      <c r="M2612" s="74">
        <v>37.50928062469937</v>
      </c>
      <c r="N2612" s="74">
        <f t="shared" si="1"/>
        <v>0</v>
      </c>
      <c r="O2612" s="74" t="b">
        <v>1</v>
      </c>
    </row>
    <row r="2613" hidden="1">
      <c r="A2613" s="82"/>
      <c r="B2613" s="65" t="s">
        <v>469</v>
      </c>
      <c r="C2613" s="65" t="s">
        <v>118</v>
      </c>
      <c r="D2613" s="65"/>
      <c r="E2613" s="65" t="s">
        <v>1685</v>
      </c>
      <c r="F2613" s="83">
        <v>0.3020833333333333</v>
      </c>
      <c r="G2613" s="83">
        <v>0.7083333333333334</v>
      </c>
      <c r="H2613" s="83">
        <v>0.40625</v>
      </c>
      <c r="I2613" s="84">
        <v>44431.0</v>
      </c>
      <c r="J2613" s="65" t="b">
        <v>0</v>
      </c>
      <c r="K2613" s="65" t="s">
        <v>150</v>
      </c>
      <c r="L2613" s="85" t="b">
        <f>IF(VLOOKUP(C2613,Projetos!A:L,12,false)=TRUE,TRUE,FALSE)</f>
        <v>1</v>
      </c>
      <c r="M2613" s="74">
        <v>37.50928062469937</v>
      </c>
      <c r="N2613" s="74">
        <f t="shared" si="1"/>
        <v>0</v>
      </c>
      <c r="O2613" s="74" t="b">
        <v>1</v>
      </c>
    </row>
    <row r="2614" hidden="1">
      <c r="A2614" s="82"/>
      <c r="B2614" s="65" t="s">
        <v>469</v>
      </c>
      <c r="C2614" s="65" t="s">
        <v>118</v>
      </c>
      <c r="D2614" s="65"/>
      <c r="E2614" s="65" t="s">
        <v>1685</v>
      </c>
      <c r="F2614" s="83">
        <v>0.3020833333333333</v>
      </c>
      <c r="G2614" s="83">
        <v>0.7083333333333334</v>
      </c>
      <c r="H2614" s="83">
        <v>0.40625</v>
      </c>
      <c r="I2614" s="84">
        <v>44432.0</v>
      </c>
      <c r="J2614" s="65" t="b">
        <v>0</v>
      </c>
      <c r="K2614" s="65" t="s">
        <v>150</v>
      </c>
      <c r="L2614" s="85" t="b">
        <f>IF(VLOOKUP(C2614,Projetos!A:L,12,false)=TRUE,TRUE,FALSE)</f>
        <v>1</v>
      </c>
      <c r="M2614" s="74">
        <v>37.50928062469937</v>
      </c>
      <c r="N2614" s="74">
        <f t="shared" si="1"/>
        <v>0</v>
      </c>
      <c r="O2614" s="74" t="b">
        <v>1</v>
      </c>
    </row>
    <row r="2615" hidden="1">
      <c r="A2615" s="82"/>
      <c r="B2615" s="65" t="s">
        <v>469</v>
      </c>
      <c r="C2615" s="65" t="s">
        <v>101</v>
      </c>
      <c r="D2615" s="65"/>
      <c r="E2615" s="65" t="s">
        <v>1686</v>
      </c>
      <c r="F2615" s="83">
        <v>0.5833333333333334</v>
      </c>
      <c r="G2615" s="83">
        <v>0.7083333333333334</v>
      </c>
      <c r="H2615" s="83">
        <v>0.125</v>
      </c>
      <c r="I2615" s="84">
        <v>44435.0</v>
      </c>
      <c r="J2615" s="65" t="b">
        <v>0</v>
      </c>
      <c r="K2615" s="65" t="s">
        <v>150</v>
      </c>
      <c r="L2615" s="85" t="b">
        <f>IF(VLOOKUP(C2615,Projetos!A:L,12,false)=TRUE,TRUE,FALSE)</f>
        <v>1</v>
      </c>
      <c r="M2615" s="74">
        <v>37.50928062469937</v>
      </c>
      <c r="N2615" s="74">
        <f t="shared" si="1"/>
        <v>0</v>
      </c>
      <c r="O2615" s="74" t="b">
        <v>1</v>
      </c>
    </row>
    <row r="2616">
      <c r="A2616" s="82"/>
      <c r="B2616" s="65" t="s">
        <v>469</v>
      </c>
      <c r="C2616" s="65" t="s">
        <v>108</v>
      </c>
      <c r="D2616" s="65"/>
      <c r="E2616" s="65" t="s">
        <v>1687</v>
      </c>
      <c r="F2616" s="83">
        <v>0.3020833333333333</v>
      </c>
      <c r="G2616" s="83">
        <v>0.7083333333333334</v>
      </c>
      <c r="H2616" s="83">
        <v>0.40625</v>
      </c>
      <c r="I2616" s="84">
        <v>44438.0</v>
      </c>
      <c r="J2616" s="65" t="b">
        <v>0</v>
      </c>
      <c r="K2616" s="65" t="s">
        <v>150</v>
      </c>
      <c r="L2616" s="85" t="b">
        <f>IF(VLOOKUP(C2616,Projetos!A:L,12,false)=TRUE,TRUE,FALSE)</f>
        <v>1</v>
      </c>
      <c r="M2616" s="74">
        <v>37.50928062469937</v>
      </c>
      <c r="N2616" s="74">
        <f t="shared" si="1"/>
        <v>0</v>
      </c>
      <c r="O2616" s="74" t="b">
        <v>1</v>
      </c>
    </row>
    <row r="2617">
      <c r="A2617" s="82"/>
      <c r="B2617" s="65" t="s">
        <v>469</v>
      </c>
      <c r="C2617" s="65" t="s">
        <v>108</v>
      </c>
      <c r="D2617" s="65"/>
      <c r="E2617" s="65" t="s">
        <v>1688</v>
      </c>
      <c r="F2617" s="83">
        <v>0.3020833333333333</v>
      </c>
      <c r="G2617" s="83">
        <v>0.7083333333333334</v>
      </c>
      <c r="H2617" s="83">
        <v>0.40625</v>
      </c>
      <c r="I2617" s="84">
        <v>44439.0</v>
      </c>
      <c r="J2617" s="65" t="b">
        <v>0</v>
      </c>
      <c r="K2617" s="65" t="s">
        <v>150</v>
      </c>
      <c r="L2617" s="85" t="b">
        <f>IF(VLOOKUP(C2617,Projetos!A:L,12,false)=TRUE,TRUE,FALSE)</f>
        <v>1</v>
      </c>
      <c r="M2617" s="74">
        <v>37.50928062469937</v>
      </c>
      <c r="N2617" s="74">
        <f t="shared" si="1"/>
        <v>0</v>
      </c>
      <c r="O2617" s="74" t="b">
        <v>1</v>
      </c>
    </row>
    <row r="2618" hidden="1">
      <c r="A2618" s="82"/>
      <c r="B2618" s="65" t="s">
        <v>469</v>
      </c>
      <c r="C2618" s="65" t="s">
        <v>118</v>
      </c>
      <c r="D2618" s="65" t="str">
        <f>vlookup(C2618,'Classificação p pessoal'!F:G,2,false)</f>
        <v>MProduto</v>
      </c>
      <c r="E2618" s="65" t="s">
        <v>1689</v>
      </c>
      <c r="F2618" s="83">
        <v>0.3020833333333333</v>
      </c>
      <c r="G2618" s="83">
        <v>0.7083333333333334</v>
      </c>
      <c r="H2618" s="83">
        <v>0.40625</v>
      </c>
      <c r="I2618" s="84">
        <v>44440.0</v>
      </c>
      <c r="J2618" s="65" t="b">
        <v>1</v>
      </c>
      <c r="K2618" s="65"/>
      <c r="L2618" s="85" t="b">
        <f>IF(VLOOKUP(C2618,Projetos!A:L,12,false)=TRUE,TRUE,FALSE)</f>
        <v>1</v>
      </c>
      <c r="M2618" s="74">
        <v>37.50928062469937</v>
      </c>
      <c r="N2618" s="74">
        <f t="shared" si="1"/>
        <v>365.7154861</v>
      </c>
      <c r="O2618" s="74" t="b">
        <v>1</v>
      </c>
    </row>
    <row r="2619" hidden="1">
      <c r="A2619" s="82"/>
      <c r="B2619" s="65" t="s">
        <v>469</v>
      </c>
      <c r="C2619" s="65" t="s">
        <v>106</v>
      </c>
      <c r="D2619" s="65" t="str">
        <f>vlookup(C2619,'Classificação p pessoal'!F:G,2,false)</f>
        <v>MProcesso</v>
      </c>
      <c r="E2619" s="65" t="s">
        <v>1690</v>
      </c>
      <c r="F2619" s="83">
        <v>0.625</v>
      </c>
      <c r="G2619" s="83">
        <v>0.6458333333333334</v>
      </c>
      <c r="H2619" s="83">
        <v>0.020833333333333332</v>
      </c>
      <c r="I2619" s="84">
        <v>44440.0</v>
      </c>
      <c r="J2619" s="65" t="b">
        <v>1</v>
      </c>
      <c r="K2619" s="65"/>
      <c r="L2619" s="85" t="b">
        <f>IF(VLOOKUP(C2619,Projetos!A:L,12,false)=TRUE,TRUE,FALSE)</f>
        <v>1</v>
      </c>
      <c r="M2619" s="74">
        <v>37.50928062469937</v>
      </c>
      <c r="N2619" s="74">
        <f t="shared" si="1"/>
        <v>18.75464031</v>
      </c>
      <c r="O2619" s="74" t="b">
        <v>1</v>
      </c>
    </row>
    <row r="2620" hidden="1">
      <c r="A2620" s="82"/>
      <c r="B2620" s="65" t="s">
        <v>177</v>
      </c>
      <c r="C2620" s="65" t="s">
        <v>100</v>
      </c>
      <c r="D2620" s="65"/>
      <c r="E2620" s="65" t="s">
        <v>1691</v>
      </c>
      <c r="F2620" s="83">
        <v>0.375</v>
      </c>
      <c r="G2620" s="83">
        <v>0.3854166666666667</v>
      </c>
      <c r="H2620" s="83">
        <v>0.010416666666666666</v>
      </c>
      <c r="I2620" s="84">
        <v>44434.0</v>
      </c>
      <c r="J2620" s="65" t="b">
        <v>0</v>
      </c>
      <c r="K2620" s="65" t="s">
        <v>150</v>
      </c>
      <c r="L2620" s="85" t="b">
        <f>IF(VLOOKUP(C2620,Projetos!A:L,12,false)=TRUE,TRUE,FALSE)</f>
        <v>1</v>
      </c>
      <c r="M2620" s="74">
        <v>31.02923620430495</v>
      </c>
      <c r="N2620" s="74">
        <f t="shared" si="1"/>
        <v>0</v>
      </c>
      <c r="O2620" s="74" t="b">
        <v>1</v>
      </c>
    </row>
    <row r="2621" hidden="1">
      <c r="A2621" s="82"/>
      <c r="B2621" s="65" t="s">
        <v>469</v>
      </c>
      <c r="C2621" s="65" t="s">
        <v>101</v>
      </c>
      <c r="D2621" s="65"/>
      <c r="E2621" s="65" t="s">
        <v>1692</v>
      </c>
      <c r="F2621" s="83">
        <v>0.3020833333333333</v>
      </c>
      <c r="G2621" s="83">
        <v>0.3680555555555556</v>
      </c>
      <c r="H2621" s="83">
        <v>0.06597222222222222</v>
      </c>
      <c r="I2621" s="84">
        <v>44441.0</v>
      </c>
      <c r="J2621" s="65" t="b">
        <v>0</v>
      </c>
      <c r="K2621" s="65" t="s">
        <v>150</v>
      </c>
      <c r="L2621" s="85" t="b">
        <f>IF(VLOOKUP(C2621,Projetos!A:L,12,false)=TRUE,TRUE,FALSE)</f>
        <v>1</v>
      </c>
      <c r="M2621" s="74">
        <v>37.50928062469937</v>
      </c>
      <c r="N2621" s="74">
        <f t="shared" si="1"/>
        <v>0</v>
      </c>
      <c r="O2621" s="74" t="b">
        <v>1</v>
      </c>
    </row>
    <row r="2622" hidden="1">
      <c r="A2622" s="82"/>
      <c r="B2622" s="65" t="s">
        <v>469</v>
      </c>
      <c r="C2622" s="65" t="s">
        <v>101</v>
      </c>
      <c r="D2622" s="65" t="str">
        <f>vlookup(C2622,'Classificação p pessoal'!F:G,2,false)</f>
        <v>NP</v>
      </c>
      <c r="E2622" s="65" t="s">
        <v>1693</v>
      </c>
      <c r="F2622" s="83">
        <v>0.375</v>
      </c>
      <c r="G2622" s="83">
        <v>0.4166666666666667</v>
      </c>
      <c r="H2622" s="83">
        <v>0.041666666666666664</v>
      </c>
      <c r="I2622" s="84">
        <v>44441.0</v>
      </c>
      <c r="J2622" s="65" t="b">
        <v>1</v>
      </c>
      <c r="K2622" s="65"/>
      <c r="L2622" s="85" t="b">
        <f>IF(VLOOKUP(C2622,Projetos!A:L,12,false)=TRUE,TRUE,FALSE)</f>
        <v>1</v>
      </c>
      <c r="M2622" s="74">
        <v>37.50928062469937</v>
      </c>
      <c r="N2622" s="74">
        <f t="shared" si="1"/>
        <v>37.50928062</v>
      </c>
      <c r="O2622" s="74" t="b">
        <v>1</v>
      </c>
    </row>
    <row r="2623" hidden="1">
      <c r="A2623" s="82"/>
      <c r="B2623" s="65" t="s">
        <v>469</v>
      </c>
      <c r="C2623" s="65" t="s">
        <v>106</v>
      </c>
      <c r="D2623" s="65" t="str">
        <f>vlookup(C2623,'Classificação p pessoal'!F:G,2,false)</f>
        <v>MProcesso</v>
      </c>
      <c r="E2623" s="65" t="s">
        <v>1694</v>
      </c>
      <c r="F2623" s="83">
        <v>0.3680555555555556</v>
      </c>
      <c r="G2623" s="83">
        <v>0.375</v>
      </c>
      <c r="H2623" s="83">
        <v>0.006944444444444444</v>
      </c>
      <c r="I2623" s="84">
        <v>44441.0</v>
      </c>
      <c r="J2623" s="65" t="b">
        <v>1</v>
      </c>
      <c r="K2623" s="65"/>
      <c r="L2623" s="85" t="b">
        <f>IF(VLOOKUP(C2623,Projetos!A:L,12,false)=TRUE,TRUE,FALSE)</f>
        <v>1</v>
      </c>
      <c r="M2623" s="74">
        <v>37.50928062469937</v>
      </c>
      <c r="N2623" s="74">
        <f t="shared" si="1"/>
        <v>6.251546771</v>
      </c>
      <c r="O2623" s="74" t="b">
        <v>1</v>
      </c>
    </row>
    <row r="2624">
      <c r="A2624" s="82"/>
      <c r="B2624" s="65" t="s">
        <v>469</v>
      </c>
      <c r="C2624" s="65" t="s">
        <v>108</v>
      </c>
      <c r="D2624" s="65" t="str">
        <f>vlookup(C2624,'Classificação p pessoal'!F:G,2,false)</f>
        <v>NP</v>
      </c>
      <c r="E2624" s="65" t="s">
        <v>1695</v>
      </c>
      <c r="F2624" s="83">
        <v>0.3333333333333333</v>
      </c>
      <c r="G2624" s="83">
        <v>0.7083333333333334</v>
      </c>
      <c r="H2624" s="83">
        <v>0.375</v>
      </c>
      <c r="I2624" s="84">
        <v>44448.0</v>
      </c>
      <c r="J2624" s="65" t="b">
        <v>1</v>
      </c>
      <c r="K2624" s="65"/>
      <c r="L2624" s="85" t="b">
        <f>IF(VLOOKUP(C2624,Projetos!A:L,12,false)=TRUE,TRUE,FALSE)</f>
        <v>1</v>
      </c>
      <c r="M2624" s="74">
        <v>37.50928062469937</v>
      </c>
      <c r="N2624" s="74">
        <f t="shared" si="1"/>
        <v>337.5835256</v>
      </c>
      <c r="O2624" s="74" t="b">
        <v>1</v>
      </c>
    </row>
    <row r="2625">
      <c r="A2625" s="82"/>
      <c r="B2625" s="65" t="s">
        <v>469</v>
      </c>
      <c r="C2625" s="65" t="s">
        <v>108</v>
      </c>
      <c r="D2625" s="65" t="str">
        <f>vlookup(C2625,'Classificação p pessoal'!F:G,2,false)</f>
        <v>NP</v>
      </c>
      <c r="E2625" s="65" t="s">
        <v>1695</v>
      </c>
      <c r="F2625" s="83">
        <v>0.3125</v>
      </c>
      <c r="G2625" s="83">
        <v>0.7083333333333334</v>
      </c>
      <c r="H2625" s="83">
        <v>0.3958333333333333</v>
      </c>
      <c r="I2625" s="84">
        <v>44449.0</v>
      </c>
      <c r="J2625" s="65" t="b">
        <v>1</v>
      </c>
      <c r="K2625" s="65"/>
      <c r="L2625" s="85" t="b">
        <f>IF(VLOOKUP(C2625,Projetos!A:L,12,false)=TRUE,TRUE,FALSE)</f>
        <v>1</v>
      </c>
      <c r="M2625" s="74">
        <v>37.50928062469937</v>
      </c>
      <c r="N2625" s="74">
        <f t="shared" si="1"/>
        <v>356.3381659</v>
      </c>
      <c r="O2625" s="74" t="b">
        <v>1</v>
      </c>
    </row>
    <row r="2626">
      <c r="A2626" s="82"/>
      <c r="B2626" s="65" t="s">
        <v>469</v>
      </c>
      <c r="C2626" s="65" t="s">
        <v>108</v>
      </c>
      <c r="D2626" s="65" t="str">
        <f>vlookup(C2626,'Classificação p pessoal'!F:G,2,false)</f>
        <v>NP</v>
      </c>
      <c r="E2626" s="65" t="s">
        <v>1695</v>
      </c>
      <c r="F2626" s="83">
        <v>0.4166666666666667</v>
      </c>
      <c r="G2626" s="83">
        <v>0.625</v>
      </c>
      <c r="H2626" s="83">
        <v>0.20833333333333334</v>
      </c>
      <c r="I2626" s="84">
        <v>44452.0</v>
      </c>
      <c r="J2626" s="65" t="b">
        <v>1</v>
      </c>
      <c r="K2626" s="65"/>
      <c r="L2626" s="85" t="b">
        <f>IF(VLOOKUP(C2626,Projetos!A:L,12,false)=TRUE,TRUE,FALSE)</f>
        <v>1</v>
      </c>
      <c r="M2626" s="74">
        <v>37.50928062469937</v>
      </c>
      <c r="N2626" s="74">
        <f t="shared" si="1"/>
        <v>187.5464031</v>
      </c>
      <c r="O2626" s="74" t="b">
        <v>1</v>
      </c>
    </row>
    <row r="2627" hidden="1">
      <c r="A2627" s="82"/>
      <c r="B2627" s="65" t="s">
        <v>469</v>
      </c>
      <c r="C2627" s="65" t="s">
        <v>107</v>
      </c>
      <c r="D2627" s="65" t="str">
        <f>vlookup(C2627,'Classificação p pessoal'!F:G,2,false)</f>
        <v>NP</v>
      </c>
      <c r="E2627" s="65" t="s">
        <v>1695</v>
      </c>
      <c r="F2627" s="83">
        <v>0.625</v>
      </c>
      <c r="G2627" s="83">
        <v>0.7083333333333334</v>
      </c>
      <c r="H2627" s="83">
        <v>0.08333333333333333</v>
      </c>
      <c r="I2627" s="84">
        <v>44452.0</v>
      </c>
      <c r="J2627" s="65" t="b">
        <v>1</v>
      </c>
      <c r="K2627" s="65"/>
      <c r="L2627" s="85" t="b">
        <f>IF(VLOOKUP(C2627,Projetos!A:L,12,false)=TRUE,TRUE,FALSE)</f>
        <v>1</v>
      </c>
      <c r="M2627" s="74">
        <v>37.50928062469937</v>
      </c>
      <c r="N2627" s="74">
        <f t="shared" si="1"/>
        <v>75.01856125</v>
      </c>
      <c r="O2627" s="74" t="b">
        <v>1</v>
      </c>
    </row>
    <row r="2628" hidden="1">
      <c r="A2628" s="82"/>
      <c r="B2628" s="65" t="s">
        <v>469</v>
      </c>
      <c r="C2628" s="65" t="s">
        <v>107</v>
      </c>
      <c r="D2628" s="65" t="str">
        <f>vlookup(C2628,'Classificação p pessoal'!F:G,2,false)</f>
        <v>NP</v>
      </c>
      <c r="E2628" s="65" t="s">
        <v>1695</v>
      </c>
      <c r="F2628" s="83">
        <v>0.3020833333333333</v>
      </c>
      <c r="G2628" s="83">
        <v>0.5</v>
      </c>
      <c r="H2628" s="83">
        <v>0.19791666666666666</v>
      </c>
      <c r="I2628" s="84">
        <v>44453.0</v>
      </c>
      <c r="J2628" s="65" t="b">
        <v>1</v>
      </c>
      <c r="K2628" s="65"/>
      <c r="L2628" s="85" t="b">
        <f>IF(VLOOKUP(C2628,Projetos!A:L,12,false)=TRUE,TRUE,FALSE)</f>
        <v>1</v>
      </c>
      <c r="M2628" s="74">
        <v>37.50928062469937</v>
      </c>
      <c r="N2628" s="74">
        <f t="shared" si="1"/>
        <v>178.169083</v>
      </c>
      <c r="O2628" s="74" t="b">
        <v>1</v>
      </c>
    </row>
    <row r="2629">
      <c r="A2629" s="82"/>
      <c r="B2629" s="65" t="s">
        <v>469</v>
      </c>
      <c r="C2629" s="65" t="s">
        <v>108</v>
      </c>
      <c r="D2629" s="65" t="str">
        <f>vlookup(C2629,'Classificação p pessoal'!F:G,2,false)</f>
        <v>NP</v>
      </c>
      <c r="E2629" s="65" t="s">
        <v>1695</v>
      </c>
      <c r="F2629" s="83">
        <v>0.4166666666666667</v>
      </c>
      <c r="G2629" s="83">
        <v>0.7083333333333334</v>
      </c>
      <c r="H2629" s="83">
        <v>0.2916666666666667</v>
      </c>
      <c r="I2629" s="84">
        <v>44453.0</v>
      </c>
      <c r="J2629" s="65" t="b">
        <v>1</v>
      </c>
      <c r="K2629" s="65"/>
      <c r="L2629" s="85" t="b">
        <f>IF(VLOOKUP(C2629,Projetos!A:L,12,false)=TRUE,TRUE,FALSE)</f>
        <v>1</v>
      </c>
      <c r="M2629" s="74">
        <v>37.50928062469937</v>
      </c>
      <c r="N2629" s="74">
        <f t="shared" si="1"/>
        <v>262.5649644</v>
      </c>
      <c r="O2629" s="74" t="b">
        <v>1</v>
      </c>
    </row>
    <row r="2630" hidden="1">
      <c r="A2630" s="82"/>
      <c r="B2630" s="65" t="s">
        <v>469</v>
      </c>
      <c r="C2630" s="65" t="s">
        <v>117</v>
      </c>
      <c r="D2630" s="65"/>
      <c r="E2630" s="65" t="s">
        <v>1696</v>
      </c>
      <c r="F2630" s="83">
        <v>0.625</v>
      </c>
      <c r="G2630" s="83">
        <v>0.7083333333333334</v>
      </c>
      <c r="H2630" s="83">
        <v>0.08333333333333333</v>
      </c>
      <c r="I2630" s="84">
        <v>44454.0</v>
      </c>
      <c r="J2630" s="65" t="b">
        <v>0</v>
      </c>
      <c r="K2630" s="65" t="s">
        <v>150</v>
      </c>
      <c r="L2630" s="85" t="b">
        <f>IF(VLOOKUP(C2630,Projetos!A:L,12,false)=TRUE,TRUE,FALSE)</f>
        <v>1</v>
      </c>
      <c r="M2630" s="74">
        <v>37.50928062469937</v>
      </c>
      <c r="N2630" s="74">
        <f t="shared" si="1"/>
        <v>0</v>
      </c>
      <c r="O2630" s="74" t="b">
        <v>1</v>
      </c>
    </row>
    <row r="2631" hidden="1">
      <c r="A2631" s="82"/>
      <c r="B2631" s="65" t="s">
        <v>469</v>
      </c>
      <c r="C2631" s="65" t="s">
        <v>123</v>
      </c>
      <c r="D2631" s="65" t="str">
        <f>vlookup(C2631,'Classificação p pessoal'!F:G,2,false)</f>
        <v>NP</v>
      </c>
      <c r="E2631" s="65" t="s">
        <v>1697</v>
      </c>
      <c r="F2631" s="83">
        <v>0.3333333333333333</v>
      </c>
      <c r="G2631" s="83">
        <v>0.7083333333333334</v>
      </c>
      <c r="H2631" s="83">
        <v>0.375</v>
      </c>
      <c r="I2631" s="84">
        <v>44456.0</v>
      </c>
      <c r="J2631" s="65" t="b">
        <v>1</v>
      </c>
      <c r="K2631" s="65"/>
      <c r="L2631" s="85" t="b">
        <f>IF(VLOOKUP(C2631,Projetos!A:L,12,false)=TRUE,TRUE,FALSE)</f>
        <v>1</v>
      </c>
      <c r="M2631" s="74">
        <v>37.50928062469937</v>
      </c>
      <c r="N2631" s="74">
        <f t="shared" si="1"/>
        <v>337.5835256</v>
      </c>
      <c r="O2631" s="74" t="b">
        <v>1</v>
      </c>
    </row>
    <row r="2632" hidden="1">
      <c r="A2632" s="82"/>
      <c r="B2632" s="65" t="s">
        <v>469</v>
      </c>
      <c r="C2632" s="65" t="s">
        <v>123</v>
      </c>
      <c r="D2632" s="65"/>
      <c r="E2632" s="65" t="s">
        <v>1698</v>
      </c>
      <c r="F2632" s="83">
        <v>0.3333333333333333</v>
      </c>
      <c r="G2632" s="83">
        <v>0.7083333333333334</v>
      </c>
      <c r="H2632" s="83">
        <v>0.375</v>
      </c>
      <c r="I2632" s="84">
        <v>44459.0</v>
      </c>
      <c r="J2632" s="65" t="b">
        <v>0</v>
      </c>
      <c r="K2632" s="65" t="s">
        <v>150</v>
      </c>
      <c r="L2632" s="85" t="b">
        <f>IF(VLOOKUP(C2632,Projetos!A:L,12,false)=TRUE,TRUE,FALSE)</f>
        <v>1</v>
      </c>
      <c r="M2632" s="74">
        <v>37.50928062469937</v>
      </c>
      <c r="N2632" s="74">
        <f t="shared" si="1"/>
        <v>0</v>
      </c>
      <c r="O2632" s="74" t="b">
        <v>1</v>
      </c>
    </row>
    <row r="2633">
      <c r="A2633" s="82"/>
      <c r="B2633" s="65" t="s">
        <v>469</v>
      </c>
      <c r="C2633" s="65" t="s">
        <v>108</v>
      </c>
      <c r="D2633" s="65" t="str">
        <f>vlookup(C2633,'Classificação p pessoal'!F:G,2,false)</f>
        <v>NP</v>
      </c>
      <c r="E2633" s="65" t="s">
        <v>1695</v>
      </c>
      <c r="F2633" s="83">
        <v>0.4166666666666667</v>
      </c>
      <c r="G2633" s="83">
        <v>0.625</v>
      </c>
      <c r="H2633" s="83">
        <v>0.20833333333333334</v>
      </c>
      <c r="I2633" s="84">
        <v>44461.0</v>
      </c>
      <c r="J2633" s="65" t="b">
        <v>1</v>
      </c>
      <c r="K2633" s="65"/>
      <c r="L2633" s="85" t="b">
        <f>IF(VLOOKUP(C2633,Projetos!A:L,12,false)=TRUE,TRUE,FALSE)</f>
        <v>1</v>
      </c>
      <c r="M2633" s="74">
        <v>37.50928062469937</v>
      </c>
      <c r="N2633" s="74">
        <f t="shared" si="1"/>
        <v>187.5464031</v>
      </c>
      <c r="O2633" s="74" t="b">
        <v>1</v>
      </c>
    </row>
    <row r="2634">
      <c r="A2634" s="82"/>
      <c r="B2634" s="65" t="s">
        <v>469</v>
      </c>
      <c r="C2634" s="65" t="s">
        <v>108</v>
      </c>
      <c r="D2634" s="65" t="str">
        <f>vlookup(C2634,'Classificação p pessoal'!F:G,2,false)</f>
        <v>NP</v>
      </c>
      <c r="E2634" s="65" t="s">
        <v>1695</v>
      </c>
      <c r="F2634" s="83">
        <v>0.3020833333333333</v>
      </c>
      <c r="G2634" s="83">
        <v>0.625</v>
      </c>
      <c r="H2634" s="83">
        <v>0.3229166666666667</v>
      </c>
      <c r="I2634" s="84">
        <v>44462.0</v>
      </c>
      <c r="J2634" s="65" t="b">
        <v>1</v>
      </c>
      <c r="K2634" s="65"/>
      <c r="L2634" s="85" t="b">
        <f>IF(VLOOKUP(C2634,Projetos!A:L,12,false)=TRUE,TRUE,FALSE)</f>
        <v>1</v>
      </c>
      <c r="M2634" s="74">
        <v>37.50928062469937</v>
      </c>
      <c r="N2634" s="74">
        <f t="shared" si="1"/>
        <v>290.6969248</v>
      </c>
      <c r="O2634" s="74" t="b">
        <v>1</v>
      </c>
    </row>
    <row r="2635">
      <c r="A2635" s="82"/>
      <c r="B2635" s="65" t="s">
        <v>469</v>
      </c>
      <c r="C2635" s="65" t="s">
        <v>108</v>
      </c>
      <c r="D2635" s="65" t="str">
        <f>vlookup(C2635,'Classificação p pessoal'!F:G,2,false)</f>
        <v>NP</v>
      </c>
      <c r="E2635" s="65" t="s">
        <v>1695</v>
      </c>
      <c r="F2635" s="83">
        <v>0.3020833333333333</v>
      </c>
      <c r="G2635" s="83">
        <v>0.625</v>
      </c>
      <c r="H2635" s="83">
        <v>0.3229166666666667</v>
      </c>
      <c r="I2635" s="84">
        <v>44463.0</v>
      </c>
      <c r="J2635" s="65" t="b">
        <v>1</v>
      </c>
      <c r="K2635" s="65"/>
      <c r="L2635" s="85" t="b">
        <f>IF(VLOOKUP(C2635,Projetos!A:L,12,false)=TRUE,TRUE,FALSE)</f>
        <v>1</v>
      </c>
      <c r="M2635" s="74">
        <v>37.50928062469937</v>
      </c>
      <c r="N2635" s="74">
        <f t="shared" si="1"/>
        <v>290.6969248</v>
      </c>
      <c r="O2635" s="74" t="b">
        <v>1</v>
      </c>
    </row>
    <row r="2636" hidden="1">
      <c r="A2636" s="82"/>
      <c r="B2636" s="65" t="s">
        <v>469</v>
      </c>
      <c r="C2636" s="65" t="s">
        <v>118</v>
      </c>
      <c r="D2636" s="65" t="str">
        <f>vlookup(C2636,'Classificação p pessoal'!F:G,2,false)</f>
        <v>MProduto</v>
      </c>
      <c r="E2636" s="65" t="s">
        <v>1699</v>
      </c>
      <c r="F2636" s="83">
        <v>0.3020833333333333</v>
      </c>
      <c r="G2636" s="83">
        <v>0.7083333333333334</v>
      </c>
      <c r="H2636" s="83">
        <v>0.40625</v>
      </c>
      <c r="I2636" s="84">
        <v>44469.0</v>
      </c>
      <c r="J2636" s="65" t="b">
        <v>1</v>
      </c>
      <c r="K2636" s="65"/>
      <c r="L2636" s="85" t="b">
        <f>IF(VLOOKUP(C2636,Projetos!A:L,12,false)=TRUE,TRUE,FALSE)</f>
        <v>1</v>
      </c>
      <c r="M2636" s="74">
        <v>37.50928062469937</v>
      </c>
      <c r="N2636" s="74">
        <f t="shared" si="1"/>
        <v>365.7154861</v>
      </c>
      <c r="O2636" s="74" t="b">
        <v>1</v>
      </c>
    </row>
    <row r="2637" hidden="1">
      <c r="A2637" s="82"/>
      <c r="B2637" s="65" t="s">
        <v>469</v>
      </c>
      <c r="C2637" s="65" t="s">
        <v>106</v>
      </c>
      <c r="D2637" s="65" t="str">
        <f>vlookup(C2637,'Classificação p pessoal'!F:G,2,false)</f>
        <v>MProcesso</v>
      </c>
      <c r="E2637" s="65" t="s">
        <v>1700</v>
      </c>
      <c r="F2637" s="83">
        <v>0.5833333333333334</v>
      </c>
      <c r="G2637" s="83">
        <v>0.625</v>
      </c>
      <c r="H2637" s="83">
        <v>0.041666666666666664</v>
      </c>
      <c r="I2637" s="84">
        <v>44470.0</v>
      </c>
      <c r="J2637" s="65" t="b">
        <v>1</v>
      </c>
      <c r="K2637" s="65"/>
      <c r="L2637" s="85" t="b">
        <f>IF(VLOOKUP(C2637,Projetos!A:L,12,false)=TRUE,TRUE,FALSE)</f>
        <v>1</v>
      </c>
      <c r="M2637" s="74">
        <v>37.50928062469937</v>
      </c>
      <c r="N2637" s="74">
        <f t="shared" si="1"/>
        <v>37.50928062</v>
      </c>
      <c r="O2637" s="74" t="b">
        <v>1</v>
      </c>
    </row>
    <row r="2638" hidden="1">
      <c r="A2638" s="82"/>
      <c r="B2638" s="65" t="s">
        <v>469</v>
      </c>
      <c r="C2638" s="65" t="s">
        <v>118</v>
      </c>
      <c r="D2638" s="65" t="str">
        <f>vlookup(C2638,'Classificação p pessoal'!F:G,2,false)</f>
        <v>MProduto</v>
      </c>
      <c r="E2638" s="65" t="s">
        <v>1699</v>
      </c>
      <c r="F2638" s="83">
        <v>0.3333333333333333</v>
      </c>
      <c r="G2638" s="83">
        <v>0.7083333333333334</v>
      </c>
      <c r="H2638" s="83">
        <v>0.375</v>
      </c>
      <c r="I2638" s="84">
        <v>44473.0</v>
      </c>
      <c r="J2638" s="65" t="b">
        <v>1</v>
      </c>
      <c r="K2638" s="65"/>
      <c r="L2638" s="85" t="b">
        <f>IF(VLOOKUP(C2638,Projetos!A:L,12,false)=TRUE,TRUE,FALSE)</f>
        <v>1</v>
      </c>
      <c r="M2638" s="74">
        <v>37.50928062469937</v>
      </c>
      <c r="N2638" s="74">
        <f t="shared" si="1"/>
        <v>337.5835256</v>
      </c>
      <c r="O2638" s="74" t="b">
        <v>1</v>
      </c>
    </row>
    <row r="2639" hidden="1">
      <c r="A2639" s="82"/>
      <c r="B2639" s="65" t="s">
        <v>469</v>
      </c>
      <c r="C2639" s="65" t="s">
        <v>118</v>
      </c>
      <c r="D2639" s="65" t="str">
        <f>vlookup(C2639,'Classificação p pessoal'!F:G,2,false)</f>
        <v>MProduto</v>
      </c>
      <c r="E2639" s="65" t="s">
        <v>1701</v>
      </c>
      <c r="F2639" s="83">
        <v>0.3333333333333333</v>
      </c>
      <c r="G2639" s="83">
        <v>0.7083333333333334</v>
      </c>
      <c r="H2639" s="83">
        <v>0.375</v>
      </c>
      <c r="I2639" s="84">
        <v>44474.0</v>
      </c>
      <c r="J2639" s="65" t="b">
        <v>1</v>
      </c>
      <c r="K2639" s="65"/>
      <c r="L2639" s="85" t="b">
        <f>IF(VLOOKUP(C2639,Projetos!A:L,12,false)=TRUE,TRUE,FALSE)</f>
        <v>1</v>
      </c>
      <c r="M2639" s="74">
        <v>37.50928062469937</v>
      </c>
      <c r="N2639" s="74">
        <f t="shared" si="1"/>
        <v>337.5835256</v>
      </c>
      <c r="O2639" s="74" t="b">
        <v>1</v>
      </c>
    </row>
    <row r="2640" hidden="1">
      <c r="A2640" s="82"/>
      <c r="B2640" s="65" t="s">
        <v>469</v>
      </c>
      <c r="C2640" s="65" t="s">
        <v>118</v>
      </c>
      <c r="D2640" s="65" t="str">
        <f>vlookup(C2640,'Classificação p pessoal'!F:G,2,false)</f>
        <v>MProduto</v>
      </c>
      <c r="E2640" s="65" t="s">
        <v>1701</v>
      </c>
      <c r="F2640" s="83">
        <v>0.3333333333333333</v>
      </c>
      <c r="G2640" s="83">
        <v>0.7083333333333334</v>
      </c>
      <c r="H2640" s="83">
        <v>0.375</v>
      </c>
      <c r="I2640" s="84">
        <v>44475.0</v>
      </c>
      <c r="J2640" s="65" t="b">
        <v>1</v>
      </c>
      <c r="K2640" s="65"/>
      <c r="L2640" s="85" t="b">
        <f>IF(VLOOKUP(C2640,Projetos!A:L,12,false)=TRUE,TRUE,FALSE)</f>
        <v>1</v>
      </c>
      <c r="M2640" s="74">
        <v>37.50928062469937</v>
      </c>
      <c r="N2640" s="74">
        <f t="shared" si="1"/>
        <v>337.5835256</v>
      </c>
      <c r="O2640" s="74" t="b">
        <v>1</v>
      </c>
    </row>
    <row r="2641" hidden="1">
      <c r="A2641" s="82"/>
      <c r="B2641" s="65" t="s">
        <v>469</v>
      </c>
      <c r="C2641" s="65" t="s">
        <v>123</v>
      </c>
      <c r="D2641" s="65" t="str">
        <f>vlookup(C2641,'Classificação p pessoal'!F:G,2,false)</f>
        <v>NP</v>
      </c>
      <c r="E2641" s="65" t="s">
        <v>1702</v>
      </c>
      <c r="F2641" s="83">
        <v>0.3333333333333333</v>
      </c>
      <c r="G2641" s="83">
        <v>0.7083333333333334</v>
      </c>
      <c r="H2641" s="83">
        <v>0.375</v>
      </c>
      <c r="I2641" s="84">
        <v>44477.0</v>
      </c>
      <c r="J2641" s="65" t="b">
        <v>1</v>
      </c>
      <c r="K2641" s="65"/>
      <c r="L2641" s="85" t="b">
        <f>IF(VLOOKUP(C2641,Projetos!A:L,12,false)=TRUE,TRUE,FALSE)</f>
        <v>1</v>
      </c>
      <c r="M2641" s="74">
        <v>37.50928062469937</v>
      </c>
      <c r="N2641" s="74">
        <f t="shared" si="1"/>
        <v>337.5835256</v>
      </c>
      <c r="O2641" s="74" t="b">
        <v>1</v>
      </c>
    </row>
    <row r="2642" hidden="1">
      <c r="A2642" s="82"/>
      <c r="B2642" s="65" t="s">
        <v>469</v>
      </c>
      <c r="C2642" s="65" t="s">
        <v>117</v>
      </c>
      <c r="D2642" s="65"/>
      <c r="E2642" s="65" t="s">
        <v>1703</v>
      </c>
      <c r="F2642" s="83">
        <v>0.3020833333333333</v>
      </c>
      <c r="G2642" s="83">
        <v>0.4166666666666667</v>
      </c>
      <c r="H2642" s="83">
        <v>0.11458333333333333</v>
      </c>
      <c r="I2642" s="84">
        <v>44482.0</v>
      </c>
      <c r="J2642" s="65" t="b">
        <v>0</v>
      </c>
      <c r="K2642" s="65" t="s">
        <v>150</v>
      </c>
      <c r="L2642" s="85" t="b">
        <f>IF(VLOOKUP(C2642,Projetos!A:L,12,false)=TRUE,TRUE,FALSE)</f>
        <v>1</v>
      </c>
      <c r="M2642" s="74">
        <v>37.50928062469937</v>
      </c>
      <c r="N2642" s="74">
        <f t="shared" si="1"/>
        <v>0</v>
      </c>
      <c r="O2642" s="74" t="b">
        <v>1</v>
      </c>
    </row>
    <row r="2643" hidden="1">
      <c r="A2643" s="82"/>
      <c r="B2643" s="65" t="s">
        <v>469</v>
      </c>
      <c r="C2643" s="65" t="s">
        <v>123</v>
      </c>
      <c r="D2643" s="65" t="str">
        <f>vlookup(C2643,'Classificação p pessoal'!F:G,2,false)</f>
        <v>NP</v>
      </c>
      <c r="E2643" s="65" t="s">
        <v>1702</v>
      </c>
      <c r="F2643" s="83">
        <v>0.3333333333333333</v>
      </c>
      <c r="G2643" s="83">
        <v>0.7083333333333334</v>
      </c>
      <c r="H2643" s="83">
        <v>0.375</v>
      </c>
      <c r="I2643" s="84">
        <v>44482.0</v>
      </c>
      <c r="J2643" s="65" t="b">
        <v>1</v>
      </c>
      <c r="K2643" s="65"/>
      <c r="L2643" s="85" t="b">
        <f>IF(VLOOKUP(C2643,Projetos!A:L,12,false)=TRUE,TRUE,FALSE)</f>
        <v>1</v>
      </c>
      <c r="M2643" s="74">
        <v>37.50928062469937</v>
      </c>
      <c r="N2643" s="74">
        <f t="shared" si="1"/>
        <v>337.5835256</v>
      </c>
      <c r="O2643" s="74" t="b">
        <v>1</v>
      </c>
    </row>
    <row r="2644" hidden="1">
      <c r="A2644" s="82"/>
      <c r="B2644" s="65" t="s">
        <v>469</v>
      </c>
      <c r="C2644" s="65" t="s">
        <v>123</v>
      </c>
      <c r="D2644" s="65" t="str">
        <f>vlookup(C2644,'Classificação p pessoal'!F:G,2,false)</f>
        <v>NP</v>
      </c>
      <c r="E2644" s="65" t="s">
        <v>1702</v>
      </c>
      <c r="F2644" s="83">
        <v>0.3333333333333333</v>
      </c>
      <c r="G2644" s="83">
        <v>0.7083333333333334</v>
      </c>
      <c r="H2644" s="83">
        <v>0.375</v>
      </c>
      <c r="I2644" s="84">
        <v>44483.0</v>
      </c>
      <c r="J2644" s="65" t="b">
        <v>1</v>
      </c>
      <c r="K2644" s="65"/>
      <c r="L2644" s="85" t="b">
        <f>IF(VLOOKUP(C2644,Projetos!A:L,12,false)=TRUE,TRUE,FALSE)</f>
        <v>1</v>
      </c>
      <c r="M2644" s="74">
        <v>37.50928062469937</v>
      </c>
      <c r="N2644" s="74">
        <f t="shared" si="1"/>
        <v>337.5835256</v>
      </c>
      <c r="O2644" s="74" t="b">
        <v>1</v>
      </c>
    </row>
    <row r="2645" hidden="1">
      <c r="A2645" s="82"/>
      <c r="B2645" s="65" t="s">
        <v>469</v>
      </c>
      <c r="C2645" s="65" t="s">
        <v>123</v>
      </c>
      <c r="D2645" s="65" t="str">
        <f>vlookup(C2645,'Classificação p pessoal'!F:G,2,false)</f>
        <v>NP</v>
      </c>
      <c r="E2645" s="65" t="s">
        <v>1702</v>
      </c>
      <c r="F2645" s="83">
        <v>0.3333333333333333</v>
      </c>
      <c r="G2645" s="83">
        <v>0.7083333333333334</v>
      </c>
      <c r="H2645" s="83">
        <v>0.375</v>
      </c>
      <c r="I2645" s="84">
        <v>44484.0</v>
      </c>
      <c r="J2645" s="65" t="b">
        <v>1</v>
      </c>
      <c r="K2645" s="65"/>
      <c r="L2645" s="85" t="b">
        <f>IF(VLOOKUP(C2645,Projetos!A:L,12,false)=TRUE,TRUE,FALSE)</f>
        <v>1</v>
      </c>
      <c r="M2645" s="74">
        <v>37.50928062469937</v>
      </c>
      <c r="N2645" s="74">
        <f t="shared" si="1"/>
        <v>337.5835256</v>
      </c>
      <c r="O2645" s="74" t="b">
        <v>1</v>
      </c>
    </row>
    <row r="2646" hidden="1">
      <c r="A2646" s="82"/>
      <c r="B2646" s="65" t="s">
        <v>467</v>
      </c>
      <c r="C2646" s="65" t="s">
        <v>84</v>
      </c>
      <c r="D2646" s="65"/>
      <c r="E2646" s="65" t="s">
        <v>1704</v>
      </c>
      <c r="F2646" s="83">
        <v>0.3229166666666667</v>
      </c>
      <c r="G2646" s="83">
        <v>0.5069444444444444</v>
      </c>
      <c r="H2646" s="83">
        <v>0.1840277777777778</v>
      </c>
      <c r="I2646" s="84">
        <v>44469.0</v>
      </c>
      <c r="J2646" s="65" t="b">
        <v>0</v>
      </c>
      <c r="K2646" s="65" t="s">
        <v>150</v>
      </c>
      <c r="L2646" s="85" t="b">
        <f>IF(VLOOKUP(C2646,Projetos!A:L,12,false)=TRUE,TRUE,FALSE)</f>
        <v>0</v>
      </c>
      <c r="M2646" s="74">
        <v>52.1518759018759</v>
      </c>
      <c r="N2646" s="74">
        <f t="shared" si="1"/>
        <v>0</v>
      </c>
      <c r="O2646" s="74" t="b">
        <v>0</v>
      </c>
    </row>
    <row r="2647">
      <c r="A2647" s="82"/>
      <c r="B2647" s="65" t="s">
        <v>469</v>
      </c>
      <c r="C2647" s="65" t="s">
        <v>108</v>
      </c>
      <c r="D2647" s="65" t="str">
        <f>vlookup(C2647,'Classificação p pessoal'!F:G,2,false)</f>
        <v>NP</v>
      </c>
      <c r="E2647" s="65" t="s">
        <v>1705</v>
      </c>
      <c r="F2647" s="83">
        <v>0.3333333333333333</v>
      </c>
      <c r="G2647" s="83">
        <v>0.7083333333333334</v>
      </c>
      <c r="H2647" s="83">
        <v>0.375</v>
      </c>
      <c r="I2647" s="84">
        <v>44484.0</v>
      </c>
      <c r="J2647" s="65" t="b">
        <v>1</v>
      </c>
      <c r="K2647" s="65"/>
      <c r="L2647" s="85" t="b">
        <f>IF(VLOOKUP(C2647,Projetos!A:L,12,false)=TRUE,TRUE,FALSE)</f>
        <v>1</v>
      </c>
      <c r="M2647" s="74">
        <v>37.50928062469937</v>
      </c>
      <c r="N2647" s="74">
        <f t="shared" si="1"/>
        <v>337.5835256</v>
      </c>
      <c r="O2647" s="74" t="b">
        <v>1</v>
      </c>
    </row>
    <row r="2648" hidden="1">
      <c r="A2648" s="82"/>
      <c r="B2648" s="65" t="s">
        <v>469</v>
      </c>
      <c r="C2648" s="65" t="s">
        <v>100</v>
      </c>
      <c r="D2648" s="65" t="str">
        <f>vlookup(C2648,'Classificação p pessoal'!F:G,2,false)</f>
        <v>NP</v>
      </c>
      <c r="E2648" s="65" t="s">
        <v>1706</v>
      </c>
      <c r="F2648" s="83">
        <v>0.4583333333333333</v>
      </c>
      <c r="G2648" s="83">
        <v>0.4791666666666667</v>
      </c>
      <c r="H2648" s="83">
        <v>0.020833333333333332</v>
      </c>
      <c r="I2648" s="84">
        <v>44484.0</v>
      </c>
      <c r="J2648" s="65" t="b">
        <v>1</v>
      </c>
      <c r="K2648" s="65"/>
      <c r="L2648" s="85" t="b">
        <f>IF(VLOOKUP(C2648,Projetos!A:L,12,false)=TRUE,TRUE,FALSE)</f>
        <v>1</v>
      </c>
      <c r="M2648" s="74">
        <v>37.50928062469937</v>
      </c>
      <c r="N2648" s="74">
        <f t="shared" si="1"/>
        <v>18.75464031</v>
      </c>
      <c r="O2648" s="74" t="b">
        <v>1</v>
      </c>
    </row>
    <row r="2649" hidden="1">
      <c r="A2649" s="82"/>
      <c r="B2649" s="65" t="s">
        <v>469</v>
      </c>
      <c r="C2649" s="65" t="s">
        <v>152</v>
      </c>
      <c r="D2649" s="65" t="str">
        <f>vlookup(C2649,'Classificação p pessoal'!F:G,2,false)</f>
        <v>MProduto</v>
      </c>
      <c r="E2649" s="65" t="s">
        <v>1707</v>
      </c>
      <c r="F2649" s="83">
        <v>0.4791666666666667</v>
      </c>
      <c r="G2649" s="83">
        <v>0.4930555555555556</v>
      </c>
      <c r="H2649" s="83">
        <v>0.013888888888888888</v>
      </c>
      <c r="I2649" s="84">
        <v>44484.0</v>
      </c>
      <c r="J2649" s="65" t="b">
        <v>1</v>
      </c>
      <c r="K2649" s="65"/>
      <c r="L2649" s="85" t="b">
        <f>IF(VLOOKUP(C2649,Projetos!A:L,12,false)=TRUE,TRUE,FALSE)</f>
        <v>1</v>
      </c>
      <c r="M2649" s="74">
        <v>37.50928062469937</v>
      </c>
      <c r="N2649" s="74">
        <f t="shared" si="1"/>
        <v>12.50309354</v>
      </c>
      <c r="O2649" s="74" t="b">
        <v>1</v>
      </c>
    </row>
    <row r="2650" hidden="1">
      <c r="A2650" s="82"/>
      <c r="B2650" s="65" t="s">
        <v>469</v>
      </c>
      <c r="C2650" s="65" t="s">
        <v>105</v>
      </c>
      <c r="D2650" s="65" t="str">
        <f>vlookup(C2650,'Classificação p pessoal'!F:G,2,false)</f>
        <v>NP</v>
      </c>
      <c r="E2650" s="65" t="s">
        <v>1708</v>
      </c>
      <c r="F2650" s="83">
        <v>0.4930555555555556</v>
      </c>
      <c r="G2650" s="83">
        <v>0.5138888888888888</v>
      </c>
      <c r="H2650" s="83">
        <v>0.020833333333333332</v>
      </c>
      <c r="I2650" s="84">
        <v>44484.0</v>
      </c>
      <c r="J2650" s="65" t="b">
        <v>1</v>
      </c>
      <c r="K2650" s="65"/>
      <c r="L2650" s="85" t="b">
        <f>IF(VLOOKUP(C2650,Projetos!A:L,12,false)=TRUE,TRUE,FALSE)</f>
        <v>1</v>
      </c>
      <c r="M2650" s="74">
        <v>37.50928062469937</v>
      </c>
      <c r="N2650" s="74">
        <f t="shared" si="1"/>
        <v>18.75464031</v>
      </c>
      <c r="O2650" s="74" t="b">
        <v>1</v>
      </c>
    </row>
    <row r="2651" hidden="1">
      <c r="A2651" s="82"/>
      <c r="B2651" s="65" t="s">
        <v>469</v>
      </c>
      <c r="C2651" s="65" t="s">
        <v>106</v>
      </c>
      <c r="D2651" s="65" t="str">
        <f>vlookup(C2651,'Classificação p pessoal'!F:G,2,false)</f>
        <v>MProcesso</v>
      </c>
      <c r="E2651" s="65" t="s">
        <v>1709</v>
      </c>
      <c r="F2651" s="83">
        <v>0.5138888888888888</v>
      </c>
      <c r="G2651" s="83">
        <v>0.5347222222222222</v>
      </c>
      <c r="H2651" s="83">
        <v>0.020833333333333332</v>
      </c>
      <c r="I2651" s="84">
        <v>44484.0</v>
      </c>
      <c r="J2651" s="65" t="b">
        <v>1</v>
      </c>
      <c r="K2651" s="65"/>
      <c r="L2651" s="85" t="b">
        <f>IF(VLOOKUP(C2651,Projetos!A:L,12,false)=TRUE,TRUE,FALSE)</f>
        <v>1</v>
      </c>
      <c r="M2651" s="74">
        <v>37.50928062469937</v>
      </c>
      <c r="N2651" s="74">
        <f t="shared" si="1"/>
        <v>18.75464031</v>
      </c>
      <c r="O2651" s="74" t="b">
        <v>1</v>
      </c>
    </row>
    <row r="2652" hidden="1">
      <c r="A2652" s="82"/>
      <c r="B2652" s="65" t="s">
        <v>177</v>
      </c>
      <c r="C2652" s="65" t="s">
        <v>84</v>
      </c>
      <c r="D2652" s="65"/>
      <c r="E2652" s="65" t="s">
        <v>1710</v>
      </c>
      <c r="F2652" s="83">
        <v>0.3333333333333333</v>
      </c>
      <c r="G2652" s="83">
        <v>0.4583333333333333</v>
      </c>
      <c r="H2652" s="83">
        <v>0.125</v>
      </c>
      <c r="I2652" s="84">
        <v>44468.0</v>
      </c>
      <c r="J2652" s="65" t="b">
        <v>0</v>
      </c>
      <c r="K2652" s="65" t="s">
        <v>150</v>
      </c>
      <c r="L2652" s="85" t="b">
        <f>IF(VLOOKUP(C2652,Projetos!A:L,12,false)=TRUE,TRUE,FALSE)</f>
        <v>0</v>
      </c>
      <c r="M2652" s="74">
        <v>31.02923620430495</v>
      </c>
      <c r="N2652" s="74">
        <f t="shared" si="1"/>
        <v>0</v>
      </c>
      <c r="O2652" s="74" t="b">
        <v>0</v>
      </c>
    </row>
    <row r="2653" hidden="1">
      <c r="A2653" s="82"/>
      <c r="B2653" s="65" t="s">
        <v>469</v>
      </c>
      <c r="C2653" s="65" t="s">
        <v>123</v>
      </c>
      <c r="D2653" s="65" t="str">
        <f>vlookup(C2653,'Classificação p pessoal'!F:G,2,false)</f>
        <v>NP</v>
      </c>
      <c r="E2653" s="65" t="s">
        <v>1711</v>
      </c>
      <c r="F2653" s="83">
        <v>0.3020833333333333</v>
      </c>
      <c r="G2653" s="83">
        <v>0.7083333333333334</v>
      </c>
      <c r="H2653" s="83">
        <v>0.40625</v>
      </c>
      <c r="I2653" s="84">
        <v>44503.0</v>
      </c>
      <c r="J2653" s="65" t="b">
        <v>1</v>
      </c>
      <c r="K2653" s="65"/>
      <c r="L2653" s="85" t="b">
        <f>IF(VLOOKUP(C2653,Projetos!A:L,12,false)=TRUE,TRUE,FALSE)</f>
        <v>1</v>
      </c>
      <c r="M2653" s="74">
        <v>37.50928062469937</v>
      </c>
      <c r="N2653" s="74">
        <f t="shared" si="1"/>
        <v>365.7154861</v>
      </c>
      <c r="O2653" s="74" t="b">
        <v>1</v>
      </c>
    </row>
    <row r="2654" hidden="1">
      <c r="A2654" s="82"/>
      <c r="B2654" s="65" t="s">
        <v>469</v>
      </c>
      <c r="C2654" s="65" t="s">
        <v>152</v>
      </c>
      <c r="D2654" s="65"/>
      <c r="E2654" s="65" t="s">
        <v>1712</v>
      </c>
      <c r="F2654" s="83">
        <v>0.4166666666666667</v>
      </c>
      <c r="G2654" s="83">
        <v>0.5</v>
      </c>
      <c r="H2654" s="83">
        <v>0.08333333333333333</v>
      </c>
      <c r="I2654" s="84">
        <v>44513.0</v>
      </c>
      <c r="J2654" s="65" t="b">
        <v>0</v>
      </c>
      <c r="K2654" s="65" t="s">
        <v>150</v>
      </c>
      <c r="L2654" s="85" t="b">
        <f>IF(VLOOKUP(C2654,Projetos!A:L,12,false)=TRUE,TRUE,FALSE)</f>
        <v>1</v>
      </c>
      <c r="M2654" s="74">
        <v>37.50928062469937</v>
      </c>
      <c r="N2654" s="74">
        <f t="shared" si="1"/>
        <v>0</v>
      </c>
      <c r="O2654" s="74" t="b">
        <v>1</v>
      </c>
    </row>
    <row r="2655" hidden="1">
      <c r="A2655" s="82"/>
      <c r="B2655" s="65" t="s">
        <v>469</v>
      </c>
      <c r="C2655" s="65" t="s">
        <v>123</v>
      </c>
      <c r="D2655" s="65"/>
      <c r="E2655" s="65" t="s">
        <v>1713</v>
      </c>
      <c r="F2655" s="83">
        <v>0.5</v>
      </c>
      <c r="G2655" s="83">
        <v>0.75</v>
      </c>
      <c r="H2655" s="83">
        <v>0.25</v>
      </c>
      <c r="I2655" s="84">
        <v>44517.0</v>
      </c>
      <c r="J2655" s="65" t="b">
        <v>0</v>
      </c>
      <c r="K2655" s="65" t="s">
        <v>150</v>
      </c>
      <c r="L2655" s="85" t="b">
        <f>IF(VLOOKUP(C2655,Projetos!A:L,12,false)=TRUE,TRUE,FALSE)</f>
        <v>1</v>
      </c>
      <c r="M2655" s="74">
        <v>37.50928062469937</v>
      </c>
      <c r="N2655" s="74">
        <f t="shared" si="1"/>
        <v>0</v>
      </c>
      <c r="O2655" s="74" t="b">
        <v>1</v>
      </c>
    </row>
    <row r="2656" hidden="1">
      <c r="A2656" s="82"/>
      <c r="B2656" s="65" t="s">
        <v>469</v>
      </c>
      <c r="C2656" s="65" t="s">
        <v>106</v>
      </c>
      <c r="D2656" s="65"/>
      <c r="E2656" s="65" t="s">
        <v>1714</v>
      </c>
      <c r="F2656" s="83">
        <v>0.3333333333333333</v>
      </c>
      <c r="G2656" s="83">
        <v>0.6666666666666666</v>
      </c>
      <c r="H2656" s="83">
        <v>0.3333333333333333</v>
      </c>
      <c r="I2656" s="84">
        <v>44518.0</v>
      </c>
      <c r="J2656" s="65" t="b">
        <v>0</v>
      </c>
      <c r="K2656" s="65" t="s">
        <v>150</v>
      </c>
      <c r="L2656" s="85" t="b">
        <f>IF(VLOOKUP(C2656,Projetos!A:L,12,false)=TRUE,TRUE,FALSE)</f>
        <v>1</v>
      </c>
      <c r="M2656" s="74">
        <v>37.50928062469937</v>
      </c>
      <c r="N2656" s="74">
        <f t="shared" si="1"/>
        <v>0</v>
      </c>
      <c r="O2656" s="74" t="b">
        <v>1</v>
      </c>
    </row>
    <row r="2657" hidden="1">
      <c r="A2657" s="82"/>
      <c r="B2657" s="65" t="s">
        <v>469</v>
      </c>
      <c r="C2657" s="65" t="s">
        <v>100</v>
      </c>
      <c r="D2657" s="65" t="str">
        <f>vlookup(C2657,'Classificação p pessoal'!F:G,2,false)</f>
        <v>NP</v>
      </c>
      <c r="E2657" s="65" t="s">
        <v>1715</v>
      </c>
      <c r="F2657" s="83">
        <v>0.5</v>
      </c>
      <c r="G2657" s="83">
        <v>0.5416666666666666</v>
      </c>
      <c r="H2657" s="83">
        <v>0.041666666666666664</v>
      </c>
      <c r="I2657" s="84">
        <v>44522.0</v>
      </c>
      <c r="J2657" s="65" t="b">
        <v>1</v>
      </c>
      <c r="K2657" s="65"/>
      <c r="L2657" s="85" t="b">
        <f>IF(VLOOKUP(C2657,Projetos!A:L,12,false)=TRUE,TRUE,FALSE)</f>
        <v>1</v>
      </c>
      <c r="M2657" s="74">
        <v>37.50928062469937</v>
      </c>
      <c r="N2657" s="74">
        <f t="shared" si="1"/>
        <v>37.50928062</v>
      </c>
      <c r="O2657" s="74" t="b">
        <v>1</v>
      </c>
    </row>
    <row r="2658" hidden="1">
      <c r="A2658" s="82"/>
      <c r="B2658" s="65" t="s">
        <v>469</v>
      </c>
      <c r="C2658" s="65" t="s">
        <v>118</v>
      </c>
      <c r="D2658" s="65"/>
      <c r="E2658" s="65" t="s">
        <v>1716</v>
      </c>
      <c r="F2658" s="83">
        <v>0.375</v>
      </c>
      <c r="G2658" s="83">
        <v>0.7083333333333334</v>
      </c>
      <c r="H2658" s="83">
        <v>0.3333333333333333</v>
      </c>
      <c r="I2658" s="84">
        <v>44536.0</v>
      </c>
      <c r="J2658" s="65" t="b">
        <v>0</v>
      </c>
      <c r="K2658" s="65" t="s">
        <v>150</v>
      </c>
      <c r="L2658" s="85" t="b">
        <f>IF(VLOOKUP(C2658,Projetos!A:L,12,false)=TRUE,TRUE,FALSE)</f>
        <v>1</v>
      </c>
      <c r="M2658" s="74">
        <v>37.50928062469937</v>
      </c>
      <c r="N2658" s="74">
        <f t="shared" si="1"/>
        <v>0</v>
      </c>
      <c r="O2658" s="74" t="b">
        <v>1</v>
      </c>
    </row>
    <row r="2659" hidden="1">
      <c r="A2659" s="82"/>
      <c r="B2659" s="65" t="s">
        <v>469</v>
      </c>
      <c r="C2659" s="65" t="s">
        <v>105</v>
      </c>
      <c r="D2659" s="65"/>
      <c r="E2659" s="65" t="s">
        <v>1717</v>
      </c>
      <c r="F2659" s="83">
        <v>0.34375</v>
      </c>
      <c r="G2659" s="83">
        <v>0.75</v>
      </c>
      <c r="H2659" s="83">
        <v>0.40625</v>
      </c>
      <c r="I2659" s="84">
        <v>44537.0</v>
      </c>
      <c r="J2659" s="65" t="b">
        <v>0</v>
      </c>
      <c r="K2659" s="65" t="s">
        <v>150</v>
      </c>
      <c r="L2659" s="85" t="b">
        <f>IF(VLOOKUP(C2659,Projetos!A:L,12,false)=TRUE,TRUE,FALSE)</f>
        <v>1</v>
      </c>
      <c r="M2659" s="74">
        <v>37.50928062469937</v>
      </c>
      <c r="N2659" s="74">
        <f t="shared" si="1"/>
        <v>0</v>
      </c>
      <c r="O2659" s="74" t="b">
        <v>1</v>
      </c>
    </row>
    <row r="2660" hidden="1">
      <c r="A2660" s="82"/>
      <c r="B2660" s="65" t="s">
        <v>469</v>
      </c>
      <c r="C2660" s="65" t="s">
        <v>107</v>
      </c>
      <c r="D2660" s="65"/>
      <c r="E2660" s="65" t="s">
        <v>1664</v>
      </c>
      <c r="F2660" s="83">
        <v>0.5833333333333334</v>
      </c>
      <c r="G2660" s="83">
        <v>0.75</v>
      </c>
      <c r="H2660" s="83">
        <v>0.16666666666666666</v>
      </c>
      <c r="I2660" s="84">
        <v>44539.0</v>
      </c>
      <c r="J2660" s="65" t="b">
        <v>0</v>
      </c>
      <c r="K2660" s="65" t="s">
        <v>150</v>
      </c>
      <c r="L2660" s="85" t="b">
        <f>IF(VLOOKUP(C2660,Projetos!A:L,12,false)=TRUE,TRUE,FALSE)</f>
        <v>1</v>
      </c>
      <c r="M2660" s="74">
        <v>37.50928062469937</v>
      </c>
      <c r="N2660" s="74">
        <f t="shared" si="1"/>
        <v>0</v>
      </c>
      <c r="O2660" s="74" t="b">
        <v>1</v>
      </c>
    </row>
    <row r="2661" hidden="1">
      <c r="A2661" s="82"/>
      <c r="B2661" s="65" t="s">
        <v>469</v>
      </c>
      <c r="C2661" s="65" t="s">
        <v>101</v>
      </c>
      <c r="D2661" s="65"/>
      <c r="E2661" s="65" t="s">
        <v>1718</v>
      </c>
      <c r="F2661" s="83">
        <v>0.34375</v>
      </c>
      <c r="G2661" s="83">
        <v>0.75</v>
      </c>
      <c r="H2661" s="83">
        <v>0.40625</v>
      </c>
      <c r="I2661" s="84">
        <v>44543.0</v>
      </c>
      <c r="J2661" s="65" t="b">
        <v>0</v>
      </c>
      <c r="K2661" s="65" t="s">
        <v>150</v>
      </c>
      <c r="L2661" s="85" t="b">
        <f>IF(VLOOKUP(C2661,Projetos!A:L,12,false)=TRUE,TRUE,FALSE)</f>
        <v>1</v>
      </c>
      <c r="M2661" s="74">
        <v>37.50928062469937</v>
      </c>
      <c r="N2661" s="74">
        <f t="shared" si="1"/>
        <v>0</v>
      </c>
      <c r="O2661" s="74" t="b">
        <v>1</v>
      </c>
    </row>
    <row r="2662" hidden="1">
      <c r="A2662" s="82"/>
      <c r="B2662" s="65" t="s">
        <v>469</v>
      </c>
      <c r="C2662" s="65" t="s">
        <v>105</v>
      </c>
      <c r="D2662" s="65"/>
      <c r="E2662" s="65" t="s">
        <v>1719</v>
      </c>
      <c r="F2662" s="83">
        <v>0.34375</v>
      </c>
      <c r="G2662" s="83">
        <v>0.75</v>
      </c>
      <c r="H2662" s="83">
        <v>0.40625</v>
      </c>
      <c r="I2662" s="84">
        <v>44544.0</v>
      </c>
      <c r="J2662" s="65" t="b">
        <v>0</v>
      </c>
      <c r="K2662" s="65" t="s">
        <v>150</v>
      </c>
      <c r="L2662" s="85" t="b">
        <f>IF(VLOOKUP(C2662,Projetos!A:L,12,false)=TRUE,TRUE,FALSE)</f>
        <v>1</v>
      </c>
      <c r="M2662" s="74">
        <v>37.50928062469937</v>
      </c>
      <c r="N2662" s="74">
        <f t="shared" si="1"/>
        <v>0</v>
      </c>
      <c r="O2662" s="74" t="b">
        <v>1</v>
      </c>
    </row>
    <row r="2663" hidden="1">
      <c r="A2663" s="82"/>
      <c r="B2663" s="65" t="s">
        <v>469</v>
      </c>
      <c r="C2663" s="65" t="s">
        <v>118</v>
      </c>
      <c r="D2663" s="65"/>
      <c r="E2663" s="65" t="s">
        <v>1720</v>
      </c>
      <c r="F2663" s="83">
        <v>0.3020833333333333</v>
      </c>
      <c r="G2663" s="83">
        <v>0.7083333333333334</v>
      </c>
      <c r="H2663" s="83">
        <v>0.40625</v>
      </c>
      <c r="I2663" s="84">
        <v>44426.0</v>
      </c>
      <c r="J2663" s="65" t="b">
        <v>0</v>
      </c>
      <c r="K2663" s="65"/>
      <c r="L2663" s="85" t="b">
        <f>IF(VLOOKUP(C2663,Projetos!A:L,12,false)=TRUE,TRUE,FALSE)</f>
        <v>1</v>
      </c>
      <c r="M2663" s="74">
        <v>37.50928062469937</v>
      </c>
      <c r="N2663" s="74">
        <f t="shared" si="1"/>
        <v>0</v>
      </c>
      <c r="O2663" s="74" t="b">
        <v>1</v>
      </c>
    </row>
    <row r="2664">
      <c r="A2664" s="82"/>
      <c r="B2664" s="65" t="s">
        <v>469</v>
      </c>
      <c r="C2664" s="65" t="s">
        <v>108</v>
      </c>
      <c r="D2664" s="65"/>
      <c r="E2664" s="65" t="s">
        <v>1721</v>
      </c>
      <c r="F2664" s="83">
        <v>0.3333333333333333</v>
      </c>
      <c r="G2664" s="83">
        <v>0.7083333333333334</v>
      </c>
      <c r="H2664" s="83">
        <v>0.375</v>
      </c>
      <c r="I2664" s="84">
        <v>44482.0</v>
      </c>
      <c r="J2664" s="65" t="b">
        <v>0</v>
      </c>
      <c r="K2664" s="65"/>
      <c r="L2664" s="85" t="b">
        <f>IF(VLOOKUP(C2664,Projetos!A:L,12,false)=TRUE,TRUE,FALSE)</f>
        <v>1</v>
      </c>
      <c r="M2664" s="74">
        <v>37.50928062469937</v>
      </c>
      <c r="N2664" s="74">
        <f t="shared" si="1"/>
        <v>0</v>
      </c>
      <c r="O2664" s="74" t="b">
        <v>1</v>
      </c>
    </row>
    <row r="2665" hidden="1">
      <c r="A2665" s="82"/>
      <c r="B2665" s="65" t="s">
        <v>469</v>
      </c>
      <c r="C2665" s="65" t="s">
        <v>132</v>
      </c>
      <c r="D2665" s="65"/>
      <c r="E2665" s="65" t="s">
        <v>1722</v>
      </c>
      <c r="F2665" s="83">
        <v>0.6875</v>
      </c>
      <c r="G2665" s="83">
        <v>0.75</v>
      </c>
      <c r="H2665" s="83">
        <v>0.0625</v>
      </c>
      <c r="I2665" s="84">
        <v>44236.0</v>
      </c>
      <c r="J2665" s="65" t="b">
        <v>0</v>
      </c>
      <c r="K2665" s="65"/>
      <c r="L2665" s="85" t="b">
        <f>IF(VLOOKUP(C2665,Projetos!A:L,12,false)=TRUE,TRUE,FALSE)</f>
        <v>0</v>
      </c>
      <c r="M2665" s="74">
        <v>37.50928062469937</v>
      </c>
      <c r="N2665" s="74">
        <f t="shared" si="1"/>
        <v>0</v>
      </c>
      <c r="O2665" s="74" t="b">
        <v>0</v>
      </c>
    </row>
    <row r="2666">
      <c r="A2666" s="82"/>
      <c r="B2666" s="65" t="s">
        <v>469</v>
      </c>
      <c r="C2666" s="65" t="s">
        <v>108</v>
      </c>
      <c r="D2666" s="65"/>
      <c r="E2666" s="65" t="s">
        <v>1723</v>
      </c>
      <c r="F2666" s="83">
        <v>0.4166666666666667</v>
      </c>
      <c r="G2666" s="83">
        <v>0.7083333333333334</v>
      </c>
      <c r="H2666" s="83">
        <v>0.2916666666666667</v>
      </c>
      <c r="I2666" s="84">
        <v>44441.0</v>
      </c>
      <c r="J2666" s="65" t="b">
        <v>0</v>
      </c>
      <c r="K2666" s="65"/>
      <c r="L2666" s="85" t="b">
        <f>IF(VLOOKUP(C2666,Projetos!A:L,12,false)=TRUE,TRUE,FALSE)</f>
        <v>1</v>
      </c>
      <c r="M2666" s="74">
        <v>37.50928062469937</v>
      </c>
      <c r="N2666" s="74">
        <f t="shared" si="1"/>
        <v>0</v>
      </c>
      <c r="O2666" s="74" t="b">
        <v>1</v>
      </c>
    </row>
    <row r="2667" hidden="1">
      <c r="A2667" s="82"/>
      <c r="B2667" s="65" t="s">
        <v>469</v>
      </c>
      <c r="C2667" s="65" t="s">
        <v>118</v>
      </c>
      <c r="D2667" s="65"/>
      <c r="E2667" s="65" t="s">
        <v>1724</v>
      </c>
      <c r="F2667" s="83">
        <v>0.3020833333333333</v>
      </c>
      <c r="G2667" s="83">
        <v>0.7083333333333334</v>
      </c>
      <c r="H2667" s="83">
        <v>0.40625</v>
      </c>
      <c r="I2667" s="84">
        <v>44468.0</v>
      </c>
      <c r="J2667" s="65" t="b">
        <v>0</v>
      </c>
      <c r="K2667" s="65"/>
      <c r="L2667" s="85" t="b">
        <f>IF(VLOOKUP(C2667,Projetos!A:L,12,false)=TRUE,TRUE,FALSE)</f>
        <v>1</v>
      </c>
      <c r="M2667" s="74">
        <v>37.50928062469937</v>
      </c>
      <c r="N2667" s="74">
        <f t="shared" si="1"/>
        <v>0</v>
      </c>
      <c r="O2667" s="74" t="b">
        <v>1</v>
      </c>
    </row>
    <row r="2668" hidden="1">
      <c r="A2668" s="82"/>
      <c r="B2668" s="65" t="s">
        <v>469</v>
      </c>
      <c r="C2668" s="65" t="s">
        <v>118</v>
      </c>
      <c r="D2668" s="65"/>
      <c r="E2668" s="65" t="s">
        <v>1725</v>
      </c>
      <c r="F2668" s="83">
        <v>0.3333333333333333</v>
      </c>
      <c r="G2668" s="83">
        <v>0.5</v>
      </c>
      <c r="H2668" s="83">
        <v>0.16666666666666666</v>
      </c>
      <c r="I2668" s="84">
        <v>44517.0</v>
      </c>
      <c r="J2668" s="65" t="b">
        <v>0</v>
      </c>
      <c r="K2668" s="65"/>
      <c r="L2668" s="85" t="b">
        <f>IF(VLOOKUP(C2668,Projetos!A:L,12,false)=TRUE,TRUE,FALSE)</f>
        <v>1</v>
      </c>
      <c r="M2668" s="74">
        <v>37.50928062469937</v>
      </c>
      <c r="N2668" s="74">
        <f t="shared" si="1"/>
        <v>0</v>
      </c>
      <c r="O2668" s="74" t="b">
        <v>1</v>
      </c>
    </row>
    <row r="2669" hidden="1">
      <c r="A2669" s="82"/>
      <c r="B2669" s="65" t="s">
        <v>469</v>
      </c>
      <c r="C2669" s="65" t="s">
        <v>132</v>
      </c>
      <c r="D2669" s="65"/>
      <c r="E2669" s="65" t="s">
        <v>1726</v>
      </c>
      <c r="F2669" s="83">
        <v>0.34375</v>
      </c>
      <c r="G2669" s="83">
        <v>0.75</v>
      </c>
      <c r="H2669" s="83">
        <v>0.40625</v>
      </c>
      <c r="I2669" s="84">
        <v>44533.0</v>
      </c>
      <c r="J2669" s="65" t="b">
        <v>0</v>
      </c>
      <c r="K2669" s="65"/>
      <c r="L2669" s="85" t="b">
        <f>IF(VLOOKUP(C2669,Projetos!A:L,12,false)=TRUE,TRUE,FALSE)</f>
        <v>0</v>
      </c>
      <c r="M2669" s="74">
        <v>37.50928062469937</v>
      </c>
      <c r="N2669" s="74">
        <f t="shared" si="1"/>
        <v>0</v>
      </c>
      <c r="O2669" s="74" t="b">
        <v>0</v>
      </c>
    </row>
    <row r="2670" hidden="1">
      <c r="A2670" s="82"/>
      <c r="B2670" s="65" t="s">
        <v>469</v>
      </c>
      <c r="C2670" s="65" t="s">
        <v>123</v>
      </c>
      <c r="D2670" s="65"/>
      <c r="E2670" s="65" t="s">
        <v>1727</v>
      </c>
      <c r="F2670" s="83">
        <v>0.3333333333333333</v>
      </c>
      <c r="G2670" s="83">
        <v>0.7083333333333334</v>
      </c>
      <c r="H2670" s="83">
        <v>0.375</v>
      </c>
      <c r="I2670" s="84">
        <v>44455.0</v>
      </c>
      <c r="J2670" s="65" t="b">
        <v>0</v>
      </c>
      <c r="K2670" s="65"/>
      <c r="L2670" s="85" t="b">
        <f>IF(VLOOKUP(C2670,Projetos!A:L,12,false)=TRUE,TRUE,FALSE)</f>
        <v>1</v>
      </c>
      <c r="M2670" s="74">
        <v>37.50928062469937</v>
      </c>
      <c r="N2670" s="74">
        <f t="shared" si="1"/>
        <v>0</v>
      </c>
      <c r="O2670" s="74" t="b">
        <v>1</v>
      </c>
    </row>
    <row r="2671" hidden="1">
      <c r="A2671" s="82"/>
      <c r="B2671" s="65" t="s">
        <v>469</v>
      </c>
      <c r="C2671" s="65" t="s">
        <v>106</v>
      </c>
      <c r="D2671" s="65"/>
      <c r="E2671" s="65" t="s">
        <v>1728</v>
      </c>
      <c r="F2671" s="83">
        <v>0.5</v>
      </c>
      <c r="G2671" s="83">
        <v>0.7083333333333334</v>
      </c>
      <c r="H2671" s="83">
        <v>0.20833333333333334</v>
      </c>
      <c r="I2671" s="84">
        <v>44461.0</v>
      </c>
      <c r="J2671" s="65" t="b">
        <v>0</v>
      </c>
      <c r="K2671" s="65"/>
      <c r="L2671" s="85" t="b">
        <f>IF(VLOOKUP(C2671,Projetos!A:L,12,false)=TRUE,TRUE,FALSE)</f>
        <v>1</v>
      </c>
      <c r="M2671" s="74">
        <v>37.50928062469937</v>
      </c>
      <c r="N2671" s="74">
        <f t="shared" si="1"/>
        <v>0</v>
      </c>
      <c r="O2671" s="74" t="b">
        <v>1</v>
      </c>
    </row>
    <row r="2672" hidden="1">
      <c r="A2672" s="82"/>
      <c r="B2672" s="65" t="s">
        <v>469</v>
      </c>
      <c r="C2672" s="65" t="s">
        <v>107</v>
      </c>
      <c r="D2672" s="65"/>
      <c r="E2672" s="65" t="s">
        <v>1729</v>
      </c>
      <c r="F2672" s="83">
        <v>0.34375</v>
      </c>
      <c r="G2672" s="83">
        <v>0.5</v>
      </c>
      <c r="H2672" s="83">
        <v>0.15625</v>
      </c>
      <c r="I2672" s="84">
        <v>44277.0</v>
      </c>
      <c r="J2672" s="65" t="b">
        <v>0</v>
      </c>
      <c r="K2672" s="65"/>
      <c r="L2672" s="85" t="b">
        <f>IF(VLOOKUP(C2672,Projetos!A:L,12,false)=TRUE,TRUE,FALSE)</f>
        <v>1</v>
      </c>
      <c r="M2672" s="74">
        <v>37.50928062469937</v>
      </c>
      <c r="N2672" s="74">
        <f t="shared" si="1"/>
        <v>0</v>
      </c>
      <c r="O2672" s="74" t="b">
        <v>1</v>
      </c>
    </row>
    <row r="2673" hidden="1">
      <c r="A2673" s="82"/>
      <c r="B2673" s="65" t="s">
        <v>469</v>
      </c>
      <c r="C2673" s="65" t="s">
        <v>132</v>
      </c>
      <c r="D2673" s="65"/>
      <c r="E2673" s="65" t="s">
        <v>1730</v>
      </c>
      <c r="F2673" s="83">
        <v>0.3020833333333333</v>
      </c>
      <c r="G2673" s="83">
        <v>0.5</v>
      </c>
      <c r="H2673" s="83">
        <v>0.19791666666666666</v>
      </c>
      <c r="I2673" s="84">
        <v>44461.0</v>
      </c>
      <c r="J2673" s="65" t="b">
        <v>0</v>
      </c>
      <c r="K2673" s="65"/>
      <c r="L2673" s="85" t="b">
        <f>IF(VLOOKUP(C2673,Projetos!A:L,12,false)=TRUE,TRUE,FALSE)</f>
        <v>0</v>
      </c>
      <c r="M2673" s="74">
        <v>37.50928062469937</v>
      </c>
      <c r="N2673" s="74">
        <f t="shared" si="1"/>
        <v>0</v>
      </c>
      <c r="O2673" s="74" t="b">
        <v>0</v>
      </c>
    </row>
    <row r="2674" hidden="1">
      <c r="A2674" s="82"/>
      <c r="B2674" s="65" t="s">
        <v>469</v>
      </c>
      <c r="C2674" s="65" t="s">
        <v>132</v>
      </c>
      <c r="D2674" s="65"/>
      <c r="E2674" s="65" t="s">
        <v>1730</v>
      </c>
      <c r="F2674" s="83">
        <v>0.3020833333333333</v>
      </c>
      <c r="G2674" s="83">
        <v>0.7083333333333334</v>
      </c>
      <c r="H2674" s="83">
        <v>0.40625</v>
      </c>
      <c r="I2674" s="84">
        <v>44462.0</v>
      </c>
      <c r="J2674" s="65" t="b">
        <v>0</v>
      </c>
      <c r="K2674" s="65"/>
      <c r="L2674" s="85" t="b">
        <f>IF(VLOOKUP(C2674,Projetos!A:L,12,false)=TRUE,TRUE,FALSE)</f>
        <v>0</v>
      </c>
      <c r="M2674" s="74">
        <v>37.50928062469937</v>
      </c>
      <c r="N2674" s="74">
        <f t="shared" si="1"/>
        <v>0</v>
      </c>
      <c r="O2674" s="74" t="b">
        <v>0</v>
      </c>
    </row>
    <row r="2675" hidden="1">
      <c r="A2675" s="82"/>
      <c r="B2675" s="65" t="s">
        <v>469</v>
      </c>
      <c r="C2675" s="65" t="s">
        <v>132</v>
      </c>
      <c r="D2675" s="65"/>
      <c r="E2675" s="65" t="s">
        <v>1730</v>
      </c>
      <c r="F2675" s="83">
        <v>0.3020833333333333</v>
      </c>
      <c r="G2675" s="83">
        <v>0.7083333333333334</v>
      </c>
      <c r="H2675" s="83">
        <v>0.40625</v>
      </c>
      <c r="I2675" s="84">
        <v>44466.0</v>
      </c>
      <c r="J2675" s="65" t="b">
        <v>0</v>
      </c>
      <c r="K2675" s="65"/>
      <c r="L2675" s="85" t="b">
        <f>IF(VLOOKUP(C2675,Projetos!A:L,12,false)=TRUE,TRUE,FALSE)</f>
        <v>0</v>
      </c>
      <c r="M2675" s="74">
        <v>37.50928062469937</v>
      </c>
      <c r="N2675" s="74">
        <f t="shared" si="1"/>
        <v>0</v>
      </c>
      <c r="O2675" s="74" t="b">
        <v>0</v>
      </c>
    </row>
    <row r="2676" hidden="1">
      <c r="A2676" s="82"/>
      <c r="B2676" s="65" t="s">
        <v>469</v>
      </c>
      <c r="C2676" s="65" t="s">
        <v>132</v>
      </c>
      <c r="D2676" s="65"/>
      <c r="E2676" s="65" t="s">
        <v>1730</v>
      </c>
      <c r="F2676" s="83">
        <v>0.3020833333333333</v>
      </c>
      <c r="G2676" s="83">
        <v>0.4166666666666667</v>
      </c>
      <c r="H2676" s="83">
        <v>0.11458333333333333</v>
      </c>
      <c r="I2676" s="84">
        <v>44467.0</v>
      </c>
      <c r="J2676" s="65" t="b">
        <v>0</v>
      </c>
      <c r="K2676" s="65"/>
      <c r="L2676" s="85" t="b">
        <f>IF(VLOOKUP(C2676,Projetos!A:L,12,false)=TRUE,TRUE,FALSE)</f>
        <v>0</v>
      </c>
      <c r="M2676" s="74">
        <v>37.50928062469937</v>
      </c>
      <c r="N2676" s="74">
        <f t="shared" si="1"/>
        <v>0</v>
      </c>
      <c r="O2676" s="74" t="b">
        <v>0</v>
      </c>
    </row>
    <row r="2677" hidden="1">
      <c r="A2677" s="82"/>
      <c r="B2677" s="65" t="s">
        <v>469</v>
      </c>
      <c r="C2677" s="65" t="s">
        <v>132</v>
      </c>
      <c r="D2677" s="65"/>
      <c r="E2677" s="65" t="s">
        <v>1731</v>
      </c>
      <c r="F2677" s="83">
        <v>0.3020833333333333</v>
      </c>
      <c r="G2677" s="83">
        <v>0.7083333333333334</v>
      </c>
      <c r="H2677" s="83">
        <v>0.40625</v>
      </c>
      <c r="I2677" s="84">
        <v>44411.0</v>
      </c>
      <c r="J2677" s="65" t="b">
        <v>0</v>
      </c>
      <c r="K2677" s="65"/>
      <c r="L2677" s="85" t="b">
        <f>IF(VLOOKUP(C2677,Projetos!A:L,12,false)=TRUE,TRUE,FALSE)</f>
        <v>0</v>
      </c>
      <c r="M2677" s="74">
        <v>37.50928062469937</v>
      </c>
      <c r="N2677" s="74">
        <f t="shared" si="1"/>
        <v>0</v>
      </c>
      <c r="O2677" s="74" t="b">
        <v>0</v>
      </c>
    </row>
    <row r="2678" hidden="1">
      <c r="A2678" s="82"/>
      <c r="B2678" s="65" t="s">
        <v>469</v>
      </c>
      <c r="C2678" s="65" t="s">
        <v>106</v>
      </c>
      <c r="D2678" s="65"/>
      <c r="E2678" s="65" t="s">
        <v>1732</v>
      </c>
      <c r="F2678" s="83">
        <v>0.3020833333333333</v>
      </c>
      <c r="G2678" s="83">
        <v>0.5</v>
      </c>
      <c r="H2678" s="83">
        <v>0.19791666666666666</v>
      </c>
      <c r="I2678" s="84">
        <v>44468.0</v>
      </c>
      <c r="J2678" s="65" t="b">
        <v>0</v>
      </c>
      <c r="K2678" s="65"/>
      <c r="L2678" s="85" t="b">
        <f>IF(VLOOKUP(C2678,Projetos!A:L,12,false)=TRUE,TRUE,FALSE)</f>
        <v>1</v>
      </c>
      <c r="M2678" s="74">
        <v>37.50928062469937</v>
      </c>
      <c r="N2678" s="74">
        <f t="shared" si="1"/>
        <v>0</v>
      </c>
      <c r="O2678" s="74" t="b">
        <v>1</v>
      </c>
    </row>
    <row r="2679">
      <c r="A2679" s="82"/>
      <c r="B2679" s="65" t="s">
        <v>469</v>
      </c>
      <c r="C2679" s="65" t="s">
        <v>108</v>
      </c>
      <c r="D2679" s="65"/>
      <c r="E2679" s="65" t="s">
        <v>1733</v>
      </c>
      <c r="F2679" s="83">
        <v>0.34375</v>
      </c>
      <c r="G2679" s="83">
        <v>0.75</v>
      </c>
      <c r="H2679" s="83">
        <v>0.40625</v>
      </c>
      <c r="I2679" s="84">
        <v>44203.0</v>
      </c>
      <c r="J2679" s="65" t="b">
        <v>0</v>
      </c>
      <c r="K2679" s="65"/>
      <c r="L2679" s="85" t="b">
        <f>IF(VLOOKUP(C2679,Projetos!A:L,12,false)=TRUE,TRUE,FALSE)</f>
        <v>1</v>
      </c>
      <c r="M2679" s="74">
        <v>37.50928062469937</v>
      </c>
      <c r="N2679" s="74">
        <f t="shared" si="1"/>
        <v>0</v>
      </c>
      <c r="O2679" s="74" t="b">
        <v>1</v>
      </c>
    </row>
    <row r="2680" hidden="1">
      <c r="A2680" s="82"/>
      <c r="B2680" s="65" t="s">
        <v>469</v>
      </c>
      <c r="C2680" s="65" t="s">
        <v>118</v>
      </c>
      <c r="D2680" s="65"/>
      <c r="E2680" s="65" t="s">
        <v>1734</v>
      </c>
      <c r="F2680" s="83">
        <v>0.34375</v>
      </c>
      <c r="G2680" s="83">
        <v>0.75</v>
      </c>
      <c r="H2680" s="83">
        <v>0.40625</v>
      </c>
      <c r="I2680" s="84">
        <v>44201.0</v>
      </c>
      <c r="J2680" s="65" t="b">
        <v>0</v>
      </c>
      <c r="K2680" s="65"/>
      <c r="L2680" s="85" t="b">
        <f>IF(VLOOKUP(C2680,Projetos!A:L,12,false)=TRUE,TRUE,FALSE)</f>
        <v>1</v>
      </c>
      <c r="M2680" s="74">
        <v>37.50928062469937</v>
      </c>
      <c r="N2680" s="74">
        <f t="shared" si="1"/>
        <v>0</v>
      </c>
      <c r="O2680" s="74" t="b">
        <v>1</v>
      </c>
    </row>
    <row r="2681">
      <c r="A2681" s="82"/>
      <c r="B2681" s="65" t="s">
        <v>469</v>
      </c>
      <c r="C2681" s="65" t="s">
        <v>108</v>
      </c>
      <c r="D2681" s="65"/>
      <c r="E2681" s="65" t="s">
        <v>1734</v>
      </c>
      <c r="F2681" s="83">
        <v>0.34375</v>
      </c>
      <c r="G2681" s="83">
        <v>0.75</v>
      </c>
      <c r="H2681" s="83">
        <v>0.40625</v>
      </c>
      <c r="I2681" s="84">
        <v>44202.0</v>
      </c>
      <c r="J2681" s="65" t="b">
        <v>0</v>
      </c>
      <c r="K2681" s="65"/>
      <c r="L2681" s="85" t="b">
        <f>IF(VLOOKUP(C2681,Projetos!A:L,12,false)=TRUE,TRUE,FALSE)</f>
        <v>1</v>
      </c>
      <c r="M2681" s="74">
        <v>37.50928062469937</v>
      </c>
      <c r="N2681" s="74">
        <f t="shared" si="1"/>
        <v>0</v>
      </c>
      <c r="O2681" s="74" t="b">
        <v>1</v>
      </c>
    </row>
    <row r="2682" hidden="1">
      <c r="A2682" s="82"/>
      <c r="B2682" s="65" t="s">
        <v>469</v>
      </c>
      <c r="C2682" s="65" t="s">
        <v>118</v>
      </c>
      <c r="D2682" s="65"/>
      <c r="E2682" s="65" t="s">
        <v>1735</v>
      </c>
      <c r="F2682" s="83">
        <v>0.625</v>
      </c>
      <c r="G2682" s="83">
        <v>0.6666666666666666</v>
      </c>
      <c r="H2682" s="83">
        <v>0.041666666666666664</v>
      </c>
      <c r="I2682" s="84">
        <v>44397.0</v>
      </c>
      <c r="J2682" s="65" t="b">
        <v>0</v>
      </c>
      <c r="K2682" s="65"/>
      <c r="L2682" s="85" t="b">
        <f>IF(VLOOKUP(C2682,Projetos!A:L,12,false)=TRUE,TRUE,FALSE)</f>
        <v>1</v>
      </c>
      <c r="M2682" s="74">
        <v>37.50928062469937</v>
      </c>
      <c r="N2682" s="74">
        <f t="shared" si="1"/>
        <v>0</v>
      </c>
      <c r="O2682" s="74" t="b">
        <v>1</v>
      </c>
    </row>
    <row r="2683" hidden="1">
      <c r="A2683" s="82"/>
      <c r="B2683" s="65" t="s">
        <v>469</v>
      </c>
      <c r="C2683" s="65" t="s">
        <v>105</v>
      </c>
      <c r="D2683" s="65"/>
      <c r="E2683" s="65" t="s">
        <v>1736</v>
      </c>
      <c r="F2683" s="83">
        <v>0.4375</v>
      </c>
      <c r="G2683" s="83">
        <v>0.7083333333333334</v>
      </c>
      <c r="H2683" s="83">
        <v>0.2708333333333333</v>
      </c>
      <c r="I2683" s="84">
        <v>44467.0</v>
      </c>
      <c r="J2683" s="65" t="b">
        <v>0</v>
      </c>
      <c r="K2683" s="65"/>
      <c r="L2683" s="85" t="b">
        <f>IF(VLOOKUP(C2683,Projetos!A:L,12,false)=TRUE,TRUE,FALSE)</f>
        <v>1</v>
      </c>
      <c r="M2683" s="74">
        <v>37.50928062469937</v>
      </c>
      <c r="N2683" s="74">
        <f t="shared" si="1"/>
        <v>0</v>
      </c>
      <c r="O2683" s="74" t="b">
        <v>1</v>
      </c>
    </row>
    <row r="2684" hidden="1">
      <c r="A2684" s="82"/>
      <c r="B2684" s="65" t="s">
        <v>411</v>
      </c>
      <c r="C2684" s="65" t="s">
        <v>84</v>
      </c>
      <c r="D2684" s="65"/>
      <c r="E2684" s="65" t="s">
        <v>1737</v>
      </c>
      <c r="F2684" s="83">
        <v>0.5625</v>
      </c>
      <c r="G2684" s="83">
        <v>0.8125</v>
      </c>
      <c r="H2684" s="83">
        <v>0.25</v>
      </c>
      <c r="I2684" s="84">
        <v>44511.0</v>
      </c>
      <c r="J2684" s="65" t="b">
        <v>0</v>
      </c>
      <c r="K2684" s="65"/>
      <c r="L2684" s="85" t="b">
        <f>IF(VLOOKUP(C2684,Projetos!A:L,12,false)=TRUE,TRUE,FALSE)</f>
        <v>0</v>
      </c>
      <c r="M2684" s="74">
        <v>52.48434411075036</v>
      </c>
      <c r="N2684" s="74">
        <f t="shared" si="1"/>
        <v>0</v>
      </c>
      <c r="O2684" s="74" t="b">
        <v>0</v>
      </c>
    </row>
    <row r="2685" hidden="1">
      <c r="A2685" s="82"/>
      <c r="B2685" s="65" t="s">
        <v>411</v>
      </c>
      <c r="C2685" s="65" t="s">
        <v>92</v>
      </c>
      <c r="D2685" s="65"/>
      <c r="E2685" s="65" t="s">
        <v>1738</v>
      </c>
      <c r="F2685" s="83">
        <v>0.5833333333333334</v>
      </c>
      <c r="G2685" s="83">
        <v>0.625</v>
      </c>
      <c r="H2685" s="83">
        <v>0.041666666666666664</v>
      </c>
      <c r="I2685" s="84">
        <v>44337.0</v>
      </c>
      <c r="J2685" s="65" t="b">
        <v>0</v>
      </c>
      <c r="K2685" s="65"/>
      <c r="L2685" s="85" t="b">
        <f>IF(VLOOKUP(C2685,Projetos!A:L,12,false)=TRUE,TRUE,FALSE)</f>
        <v>1</v>
      </c>
      <c r="M2685" s="74">
        <v>52.48434411075036</v>
      </c>
      <c r="N2685" s="74">
        <f t="shared" si="1"/>
        <v>0</v>
      </c>
      <c r="O2685" s="74" t="b">
        <v>1</v>
      </c>
    </row>
    <row r="2686" hidden="1">
      <c r="A2686" s="82"/>
      <c r="B2686" s="65" t="s">
        <v>411</v>
      </c>
      <c r="C2686" s="65" t="s">
        <v>117</v>
      </c>
      <c r="D2686" s="65"/>
      <c r="E2686" s="65" t="s">
        <v>1739</v>
      </c>
      <c r="F2686" s="83">
        <v>0.34375</v>
      </c>
      <c r="G2686" s="83">
        <v>0.375</v>
      </c>
      <c r="H2686" s="83">
        <v>0.03125</v>
      </c>
      <c r="I2686" s="84">
        <v>44560.0</v>
      </c>
      <c r="J2686" s="65" t="b">
        <v>0</v>
      </c>
      <c r="K2686" s="65"/>
      <c r="L2686" s="85" t="b">
        <f>IF(VLOOKUP(C2686,Projetos!A:L,12,false)=TRUE,TRUE,FALSE)</f>
        <v>1</v>
      </c>
      <c r="M2686" s="74">
        <v>52.48434411075036</v>
      </c>
      <c r="N2686" s="74">
        <f t="shared" si="1"/>
        <v>0</v>
      </c>
      <c r="O2686" s="74" t="b">
        <v>1</v>
      </c>
    </row>
    <row r="2687" hidden="1">
      <c r="A2687" s="82"/>
      <c r="B2687" s="65" t="s">
        <v>411</v>
      </c>
      <c r="C2687" s="65" t="s">
        <v>92</v>
      </c>
      <c r="D2687" s="65"/>
      <c r="E2687" s="65" t="s">
        <v>1740</v>
      </c>
      <c r="F2687" s="83">
        <v>0.5833333333333334</v>
      </c>
      <c r="G2687" s="83">
        <v>0.6041666666666666</v>
      </c>
      <c r="H2687" s="83">
        <v>0.020833333333333332</v>
      </c>
      <c r="I2687" s="84">
        <v>44497.0</v>
      </c>
      <c r="J2687" s="65" t="b">
        <v>0</v>
      </c>
      <c r="K2687" s="65"/>
      <c r="L2687" s="85" t="b">
        <f>IF(VLOOKUP(C2687,Projetos!A:L,12,false)=TRUE,TRUE,FALSE)</f>
        <v>1</v>
      </c>
      <c r="M2687" s="74">
        <v>52.48434411075036</v>
      </c>
      <c r="N2687" s="74">
        <f t="shared" si="1"/>
        <v>0</v>
      </c>
      <c r="O2687" s="74" t="b">
        <v>1</v>
      </c>
    </row>
    <row r="2688" hidden="1">
      <c r="A2688" s="82"/>
      <c r="B2688" s="65" t="s">
        <v>411</v>
      </c>
      <c r="C2688" s="65" t="s">
        <v>100</v>
      </c>
      <c r="D2688" s="65" t="str">
        <f>vlookup(C2688,'Classificação p pessoal'!F:G,2,false)</f>
        <v>NP</v>
      </c>
      <c r="E2688" s="65" t="s">
        <v>1741</v>
      </c>
      <c r="F2688" s="83">
        <v>0.4583333333333333</v>
      </c>
      <c r="G2688" s="83">
        <v>0.5</v>
      </c>
      <c r="H2688" s="83">
        <v>0.041666666666666664</v>
      </c>
      <c r="I2688" s="84">
        <v>44284.0</v>
      </c>
      <c r="J2688" s="65" t="b">
        <v>1</v>
      </c>
      <c r="K2688" s="65"/>
      <c r="L2688" s="85" t="b">
        <f>IF(VLOOKUP(C2688,Projetos!A:L,12,false)=TRUE,TRUE,FALSE)</f>
        <v>1</v>
      </c>
      <c r="M2688" s="74">
        <v>52.48434411075036</v>
      </c>
      <c r="N2688" s="74">
        <f t="shared" si="1"/>
        <v>52.48434411</v>
      </c>
      <c r="O2688" s="74" t="b">
        <v>1</v>
      </c>
    </row>
    <row r="2689" hidden="1">
      <c r="A2689" s="82"/>
      <c r="B2689" s="65" t="s">
        <v>411</v>
      </c>
      <c r="C2689" s="65" t="s">
        <v>125</v>
      </c>
      <c r="D2689" s="65"/>
      <c r="E2689" s="65" t="s">
        <v>1742</v>
      </c>
      <c r="F2689" s="83">
        <v>0.6666666666666666</v>
      </c>
      <c r="G2689" s="83">
        <v>0.6875</v>
      </c>
      <c r="H2689" s="83">
        <v>0.020833333333333332</v>
      </c>
      <c r="I2689" s="84">
        <v>44407.0</v>
      </c>
      <c r="J2689" s="65" t="b">
        <v>0</v>
      </c>
      <c r="K2689" s="65" t="s">
        <v>187</v>
      </c>
      <c r="L2689" s="85" t="b">
        <f>IF(VLOOKUP(C2689,Projetos!A:L,12,false)=TRUE,TRUE,FALSE)</f>
        <v>1</v>
      </c>
      <c r="M2689" s="74">
        <v>52.48434411075036</v>
      </c>
      <c r="N2689" s="74">
        <f t="shared" si="1"/>
        <v>0</v>
      </c>
      <c r="O2689" s="74" t="b">
        <v>1</v>
      </c>
    </row>
    <row r="2690" hidden="1">
      <c r="A2690" s="82"/>
      <c r="B2690" s="65" t="s">
        <v>411</v>
      </c>
      <c r="C2690" s="65" t="s">
        <v>92</v>
      </c>
      <c r="D2690" s="65"/>
      <c r="E2690" s="65" t="s">
        <v>1743</v>
      </c>
      <c r="F2690" s="83">
        <v>0.4791666666666667</v>
      </c>
      <c r="G2690" s="83">
        <v>0.5625</v>
      </c>
      <c r="H2690" s="83">
        <v>0.08333333333333333</v>
      </c>
      <c r="I2690" s="84">
        <v>44519.0</v>
      </c>
      <c r="J2690" s="65" t="b">
        <v>0</v>
      </c>
      <c r="K2690" s="65"/>
      <c r="L2690" s="85" t="b">
        <f>IF(VLOOKUP(C2690,Projetos!A:L,12,false)=TRUE,TRUE,FALSE)</f>
        <v>1</v>
      </c>
      <c r="M2690" s="74">
        <v>52.48434411075036</v>
      </c>
      <c r="N2690" s="74">
        <f t="shared" si="1"/>
        <v>0</v>
      </c>
      <c r="O2690" s="74" t="b">
        <v>1</v>
      </c>
    </row>
    <row r="2691" hidden="1">
      <c r="A2691" s="82"/>
      <c r="B2691" s="65" t="s">
        <v>411</v>
      </c>
      <c r="C2691" s="65" t="s">
        <v>132</v>
      </c>
      <c r="D2691" s="65"/>
      <c r="E2691" s="65" t="s">
        <v>1744</v>
      </c>
      <c r="F2691" s="83">
        <v>0.6041666666666666</v>
      </c>
      <c r="G2691" s="83">
        <v>0.6458333333333334</v>
      </c>
      <c r="H2691" s="83">
        <v>0.041666666666666664</v>
      </c>
      <c r="I2691" s="84">
        <v>44281.0</v>
      </c>
      <c r="J2691" s="65" t="b">
        <v>0</v>
      </c>
      <c r="K2691" s="65" t="s">
        <v>187</v>
      </c>
      <c r="L2691" s="85" t="b">
        <f>IF(VLOOKUP(C2691,Projetos!A:L,12,false)=TRUE,TRUE,FALSE)</f>
        <v>0</v>
      </c>
      <c r="M2691" s="74">
        <v>52.48434411075036</v>
      </c>
      <c r="N2691" s="74">
        <f t="shared" si="1"/>
        <v>0</v>
      </c>
      <c r="O2691" s="74" t="b">
        <v>0</v>
      </c>
    </row>
    <row r="2692" hidden="1">
      <c r="A2692" s="82"/>
      <c r="B2692" s="65" t="s">
        <v>411</v>
      </c>
      <c r="C2692" s="65" t="s">
        <v>100</v>
      </c>
      <c r="D2692" s="65" t="str">
        <f>vlookup(C2692,'Classificação p pessoal'!F:G,2,false)</f>
        <v>NP</v>
      </c>
      <c r="E2692" s="65" t="s">
        <v>1745</v>
      </c>
      <c r="F2692" s="83">
        <v>0.3958333333333333</v>
      </c>
      <c r="G2692" s="83">
        <v>0.4166666666666667</v>
      </c>
      <c r="H2692" s="83">
        <v>0.020833333333333332</v>
      </c>
      <c r="I2692" s="84">
        <v>44455.0</v>
      </c>
      <c r="J2692" s="65" t="b">
        <v>1</v>
      </c>
      <c r="K2692" s="65"/>
      <c r="L2692" s="85" t="b">
        <f>IF(VLOOKUP(C2692,Projetos!A:L,12,false)=TRUE,TRUE,FALSE)</f>
        <v>1</v>
      </c>
      <c r="M2692" s="74">
        <v>52.48434411075036</v>
      </c>
      <c r="N2692" s="74">
        <f t="shared" si="1"/>
        <v>26.24217206</v>
      </c>
      <c r="O2692" s="74" t="b">
        <v>1</v>
      </c>
    </row>
    <row r="2693" hidden="1">
      <c r="A2693" s="82"/>
      <c r="B2693" s="65" t="s">
        <v>411</v>
      </c>
      <c r="C2693" s="65" t="s">
        <v>92</v>
      </c>
      <c r="D2693" s="65" t="str">
        <f>vlookup(C2693,'Classificação p pessoal'!F:G,2,false)</f>
        <v/>
      </c>
      <c r="E2693" s="65" t="s">
        <v>1746</v>
      </c>
      <c r="F2693" s="83">
        <v>0.5833333333333334</v>
      </c>
      <c r="G2693" s="83">
        <v>0.625</v>
      </c>
      <c r="H2693" s="83">
        <v>0.041666666666666664</v>
      </c>
      <c r="I2693" s="84">
        <v>44285.0</v>
      </c>
      <c r="J2693" s="65" t="b">
        <v>1</v>
      </c>
      <c r="K2693" s="65"/>
      <c r="L2693" s="85" t="b">
        <f>IF(VLOOKUP(C2693,Projetos!A:L,12,false)=TRUE,TRUE,FALSE)</f>
        <v>1</v>
      </c>
      <c r="M2693" s="74">
        <v>52.48434411075036</v>
      </c>
      <c r="N2693" s="74">
        <f t="shared" si="1"/>
        <v>52.48434411</v>
      </c>
      <c r="O2693" s="74" t="b">
        <v>1</v>
      </c>
    </row>
    <row r="2694" hidden="1">
      <c r="A2694" s="82"/>
      <c r="B2694" s="65" t="s">
        <v>411</v>
      </c>
      <c r="C2694" s="65" t="s">
        <v>92</v>
      </c>
      <c r="D2694" s="65" t="str">
        <f>vlookup(C2694,'Classificação p pessoal'!F:G,2,false)</f>
        <v/>
      </c>
      <c r="E2694" s="65" t="s">
        <v>1747</v>
      </c>
      <c r="F2694" s="83">
        <v>0.4583333333333333</v>
      </c>
      <c r="G2694" s="83">
        <v>0.5208333333333334</v>
      </c>
      <c r="H2694" s="83">
        <v>0.0625</v>
      </c>
      <c r="I2694" s="84">
        <v>44280.0</v>
      </c>
      <c r="J2694" s="65" t="b">
        <v>1</v>
      </c>
      <c r="K2694" s="65"/>
      <c r="L2694" s="85" t="b">
        <f>IF(VLOOKUP(C2694,Projetos!A:L,12,false)=TRUE,TRUE,FALSE)</f>
        <v>1</v>
      </c>
      <c r="M2694" s="74">
        <v>52.48434411075036</v>
      </c>
      <c r="N2694" s="74">
        <f t="shared" si="1"/>
        <v>78.72651617</v>
      </c>
      <c r="O2694" s="74" t="b">
        <v>1</v>
      </c>
    </row>
    <row r="2695" hidden="1">
      <c r="A2695" s="82"/>
      <c r="B2695" s="65" t="s">
        <v>411</v>
      </c>
      <c r="C2695" s="65" t="s">
        <v>120</v>
      </c>
      <c r="D2695" s="65"/>
      <c r="E2695" s="65" t="s">
        <v>1748</v>
      </c>
      <c r="F2695" s="83">
        <v>0.5625</v>
      </c>
      <c r="G2695" s="83">
        <v>0.5833333333333334</v>
      </c>
      <c r="H2695" s="83">
        <v>0.020833333333333332</v>
      </c>
      <c r="I2695" s="84">
        <v>44406.0</v>
      </c>
      <c r="J2695" s="65" t="b">
        <v>0</v>
      </c>
      <c r="K2695" s="65"/>
      <c r="L2695" s="85" t="b">
        <f>IF(VLOOKUP(C2695,Projetos!A:L,12,false)=TRUE,TRUE,FALSE)</f>
        <v>0</v>
      </c>
      <c r="M2695" s="74">
        <v>52.48434411075036</v>
      </c>
      <c r="N2695" s="74">
        <f t="shared" si="1"/>
        <v>0</v>
      </c>
      <c r="O2695" s="74" t="b">
        <v>0</v>
      </c>
    </row>
    <row r="2696" hidden="1">
      <c r="A2696" s="82"/>
      <c r="B2696" s="65" t="s">
        <v>411</v>
      </c>
      <c r="C2696" s="65" t="s">
        <v>120</v>
      </c>
      <c r="D2696" s="65"/>
      <c r="E2696" s="65" t="s">
        <v>1748</v>
      </c>
      <c r="F2696" s="83">
        <v>0.375</v>
      </c>
      <c r="G2696" s="83">
        <v>0.3854166666666667</v>
      </c>
      <c r="H2696" s="83">
        <v>0.010416666666666666</v>
      </c>
      <c r="I2696" s="84">
        <v>44407.0</v>
      </c>
      <c r="J2696" s="65" t="b">
        <v>0</v>
      </c>
      <c r="K2696" s="65"/>
      <c r="L2696" s="85" t="b">
        <f>IF(VLOOKUP(C2696,Projetos!A:L,12,false)=TRUE,TRUE,FALSE)</f>
        <v>0</v>
      </c>
      <c r="M2696" s="74">
        <v>52.48434411075036</v>
      </c>
      <c r="N2696" s="74">
        <f t="shared" si="1"/>
        <v>0</v>
      </c>
      <c r="O2696" s="74" t="b">
        <v>0</v>
      </c>
    </row>
    <row r="2697" hidden="1">
      <c r="A2697" s="82"/>
      <c r="B2697" s="65" t="s">
        <v>411</v>
      </c>
      <c r="C2697" s="65" t="s">
        <v>117</v>
      </c>
      <c r="D2697" s="65" t="str">
        <f>vlookup(C2697,'Classificação p pessoal'!F:G,2,false)</f>
        <v>NP</v>
      </c>
      <c r="E2697" s="65" t="s">
        <v>1749</v>
      </c>
      <c r="F2697" s="83">
        <v>0.375</v>
      </c>
      <c r="G2697" s="83">
        <v>0.3958333333333333</v>
      </c>
      <c r="H2697" s="83">
        <v>0.020833333333333332</v>
      </c>
      <c r="I2697" s="84">
        <v>44277.0</v>
      </c>
      <c r="J2697" s="65" t="b">
        <v>1</v>
      </c>
      <c r="K2697" s="65"/>
      <c r="L2697" s="85" t="b">
        <f>IF(VLOOKUP(C2697,Projetos!A:L,12,false)=TRUE,TRUE,FALSE)</f>
        <v>1</v>
      </c>
      <c r="M2697" s="74">
        <v>52.48434411075036</v>
      </c>
      <c r="N2697" s="74">
        <f t="shared" si="1"/>
        <v>26.24217206</v>
      </c>
      <c r="O2697" s="74" t="b">
        <v>1</v>
      </c>
    </row>
    <row r="2698" hidden="1">
      <c r="A2698" s="82"/>
      <c r="B2698" s="65" t="s">
        <v>411</v>
      </c>
      <c r="C2698" s="65" t="s">
        <v>117</v>
      </c>
      <c r="D2698" s="65"/>
      <c r="E2698" s="65" t="s">
        <v>1750</v>
      </c>
      <c r="F2698" s="83">
        <v>0.6875</v>
      </c>
      <c r="G2698" s="83">
        <v>0.7083333333333334</v>
      </c>
      <c r="H2698" s="83">
        <v>0.020833333333333332</v>
      </c>
      <c r="I2698" s="84">
        <v>44407.0</v>
      </c>
      <c r="J2698" s="65" t="b">
        <v>0</v>
      </c>
      <c r="K2698" s="65" t="s">
        <v>150</v>
      </c>
      <c r="L2698" s="85" t="b">
        <f>IF(VLOOKUP(C2698,Projetos!A:L,12,false)=TRUE,TRUE,FALSE)</f>
        <v>1</v>
      </c>
      <c r="M2698" s="74">
        <v>52.48434411075036</v>
      </c>
      <c r="N2698" s="74">
        <f t="shared" si="1"/>
        <v>0</v>
      </c>
      <c r="O2698" s="74" t="b">
        <v>1</v>
      </c>
    </row>
    <row r="2699" hidden="1">
      <c r="A2699" s="82"/>
      <c r="B2699" s="65" t="s">
        <v>411</v>
      </c>
      <c r="C2699" s="65" t="s">
        <v>114</v>
      </c>
      <c r="D2699" s="65"/>
      <c r="E2699" s="65" t="s">
        <v>1750</v>
      </c>
      <c r="F2699" s="83">
        <v>0.7083333333333334</v>
      </c>
      <c r="G2699" s="83">
        <v>0.7291666666666666</v>
      </c>
      <c r="H2699" s="83">
        <v>0.020833333333333332</v>
      </c>
      <c r="I2699" s="84">
        <v>44407.0</v>
      </c>
      <c r="J2699" s="65" t="b">
        <v>0</v>
      </c>
      <c r="K2699" s="65" t="s">
        <v>150</v>
      </c>
      <c r="L2699" s="85" t="b">
        <f>IF(VLOOKUP(C2699,Projetos!A:L,12,false)=TRUE,TRUE,FALSE)</f>
        <v>1</v>
      </c>
      <c r="M2699" s="74">
        <v>52.48434411075036</v>
      </c>
      <c r="N2699" s="74">
        <f t="shared" si="1"/>
        <v>0</v>
      </c>
      <c r="O2699" s="74" t="b">
        <v>1</v>
      </c>
    </row>
    <row r="2700" hidden="1">
      <c r="A2700" s="82"/>
      <c r="B2700" s="65" t="s">
        <v>411</v>
      </c>
      <c r="C2700" s="65" t="s">
        <v>120</v>
      </c>
      <c r="D2700" s="65"/>
      <c r="E2700" s="65" t="s">
        <v>1751</v>
      </c>
      <c r="F2700" s="83">
        <v>0.6770833333333334</v>
      </c>
      <c r="G2700" s="83">
        <v>0.7048611111111112</v>
      </c>
      <c r="H2700" s="83">
        <v>0.027777777777777776</v>
      </c>
      <c r="I2700" s="84">
        <v>44477.0</v>
      </c>
      <c r="J2700" s="65" t="b">
        <v>0</v>
      </c>
      <c r="K2700" s="65"/>
      <c r="L2700" s="85" t="b">
        <f>IF(VLOOKUP(C2700,Projetos!A:L,12,false)=TRUE,TRUE,FALSE)</f>
        <v>0</v>
      </c>
      <c r="M2700" s="74">
        <v>52.48434411075036</v>
      </c>
      <c r="N2700" s="74">
        <f t="shared" si="1"/>
        <v>0</v>
      </c>
      <c r="O2700" s="74" t="b">
        <v>0</v>
      </c>
    </row>
    <row r="2701" hidden="1">
      <c r="A2701" s="82"/>
      <c r="B2701" s="65" t="s">
        <v>411</v>
      </c>
      <c r="C2701" s="65" t="s">
        <v>125</v>
      </c>
      <c r="D2701" s="65" t="str">
        <f>vlookup(C2701,'Classificação p pessoal'!F:G,2,false)</f>
        <v>MProduto</v>
      </c>
      <c r="E2701" s="65" t="s">
        <v>1752</v>
      </c>
      <c r="F2701" s="83">
        <v>0.3541666666666667</v>
      </c>
      <c r="G2701" s="83">
        <v>0.4375</v>
      </c>
      <c r="H2701" s="83">
        <v>0.08333333333333333</v>
      </c>
      <c r="I2701" s="84">
        <v>44389.0</v>
      </c>
      <c r="J2701" s="65" t="b">
        <v>1</v>
      </c>
      <c r="K2701" s="65"/>
      <c r="L2701" s="85" t="b">
        <f>IF(VLOOKUP(C2701,Projetos!A:L,12,false)=TRUE,TRUE,FALSE)</f>
        <v>1</v>
      </c>
      <c r="M2701" s="74">
        <v>52.48434411075036</v>
      </c>
      <c r="N2701" s="74">
        <f t="shared" si="1"/>
        <v>104.9686882</v>
      </c>
      <c r="O2701" s="74" t="b">
        <v>1</v>
      </c>
    </row>
    <row r="2702" hidden="1">
      <c r="A2702" s="82"/>
      <c r="B2702" s="65" t="s">
        <v>411</v>
      </c>
      <c r="C2702" s="65" t="s">
        <v>120</v>
      </c>
      <c r="D2702" s="65"/>
      <c r="E2702" s="65" t="s">
        <v>1753</v>
      </c>
      <c r="F2702" s="83">
        <v>0.6041666666666666</v>
      </c>
      <c r="G2702" s="83">
        <v>0.6458333333333334</v>
      </c>
      <c r="H2702" s="83">
        <v>0.041666666666666664</v>
      </c>
      <c r="I2702" s="84">
        <v>44284.0</v>
      </c>
      <c r="J2702" s="65" t="b">
        <v>0</v>
      </c>
      <c r="K2702" s="65"/>
      <c r="L2702" s="85" t="b">
        <f>IF(VLOOKUP(C2702,Projetos!A:L,12,false)=TRUE,TRUE,FALSE)</f>
        <v>0</v>
      </c>
      <c r="M2702" s="74">
        <v>52.48434411075036</v>
      </c>
      <c r="N2702" s="74">
        <f t="shared" si="1"/>
        <v>0</v>
      </c>
      <c r="O2702" s="74" t="b">
        <v>0</v>
      </c>
    </row>
    <row r="2703" hidden="1">
      <c r="A2703" s="82"/>
      <c r="B2703" s="65" t="s">
        <v>411</v>
      </c>
      <c r="C2703" s="65" t="s">
        <v>92</v>
      </c>
      <c r="D2703" s="65" t="str">
        <f>vlookup(C2703,'Classificação p pessoal'!F:G,2,false)</f>
        <v/>
      </c>
      <c r="E2703" s="65" t="s">
        <v>1754</v>
      </c>
      <c r="F2703" s="83">
        <v>0.4791666666666667</v>
      </c>
      <c r="G2703" s="83">
        <v>0.5208333333333334</v>
      </c>
      <c r="H2703" s="83">
        <v>0.041666666666666664</v>
      </c>
      <c r="I2703" s="84">
        <v>44390.0</v>
      </c>
      <c r="J2703" s="65" t="b">
        <v>1</v>
      </c>
      <c r="K2703" s="65"/>
      <c r="L2703" s="85" t="b">
        <f>IF(VLOOKUP(C2703,Projetos!A:L,12,false)=TRUE,TRUE,FALSE)</f>
        <v>1</v>
      </c>
      <c r="M2703" s="74">
        <v>52.48434411075036</v>
      </c>
      <c r="N2703" s="74">
        <f t="shared" si="1"/>
        <v>52.48434411</v>
      </c>
      <c r="O2703" s="74" t="b">
        <v>1</v>
      </c>
    </row>
    <row r="2704" hidden="1">
      <c r="A2704" s="82"/>
      <c r="B2704" s="65" t="s">
        <v>411</v>
      </c>
      <c r="C2704" s="65" t="s">
        <v>152</v>
      </c>
      <c r="D2704" s="65" t="str">
        <f>vlookup(C2704,'Classificação p pessoal'!F:G,2,false)</f>
        <v>MProduto</v>
      </c>
      <c r="E2704" s="65" t="s">
        <v>1755</v>
      </c>
      <c r="F2704" s="83">
        <v>0.3958333333333333</v>
      </c>
      <c r="G2704" s="83">
        <v>0.4375</v>
      </c>
      <c r="H2704" s="83">
        <v>0.041666666666666664</v>
      </c>
      <c r="I2704" s="84">
        <v>44218.0</v>
      </c>
      <c r="J2704" s="65" t="b">
        <v>1</v>
      </c>
      <c r="K2704" s="65"/>
      <c r="L2704" s="85" t="b">
        <f>IF(VLOOKUP(C2704,Projetos!A:L,12,false)=TRUE,TRUE,FALSE)</f>
        <v>1</v>
      </c>
      <c r="M2704" s="74">
        <v>52.48434411075036</v>
      </c>
      <c r="N2704" s="74">
        <f t="shared" si="1"/>
        <v>52.48434411</v>
      </c>
      <c r="O2704" s="74" t="b">
        <v>1</v>
      </c>
    </row>
    <row r="2705" hidden="1">
      <c r="A2705" s="82"/>
      <c r="B2705" s="65" t="s">
        <v>411</v>
      </c>
      <c r="C2705" s="65" t="s">
        <v>117</v>
      </c>
      <c r="D2705" s="65" t="str">
        <f>vlookup(C2705,'Classificação p pessoal'!F:G,2,false)</f>
        <v>NP</v>
      </c>
      <c r="E2705" s="65" t="s">
        <v>1756</v>
      </c>
      <c r="F2705" s="83">
        <v>0.5833333333333334</v>
      </c>
      <c r="G2705" s="83">
        <v>0.6458333333333334</v>
      </c>
      <c r="H2705" s="83">
        <v>0.0625</v>
      </c>
      <c r="I2705" s="84">
        <v>44543.0</v>
      </c>
      <c r="J2705" s="65" t="b">
        <v>1</v>
      </c>
      <c r="K2705" s="65"/>
      <c r="L2705" s="85" t="b">
        <f>IF(VLOOKUP(C2705,Projetos!A:L,12,false)=TRUE,TRUE,FALSE)</f>
        <v>1</v>
      </c>
      <c r="M2705" s="74">
        <v>52.48434411075036</v>
      </c>
      <c r="N2705" s="74">
        <f t="shared" si="1"/>
        <v>78.72651617</v>
      </c>
      <c r="O2705" s="74" t="b">
        <v>1</v>
      </c>
    </row>
    <row r="2706" hidden="1">
      <c r="A2706" s="82"/>
      <c r="B2706" s="65" t="s">
        <v>411</v>
      </c>
      <c r="C2706" s="65" t="s">
        <v>127</v>
      </c>
      <c r="D2706" s="65" t="str">
        <f>vlookup(C2706,'Classificação p pessoal'!F:G,2,false)</f>
        <v>NP</v>
      </c>
      <c r="E2706" s="65" t="s">
        <v>1757</v>
      </c>
      <c r="F2706" s="83">
        <v>0.6875</v>
      </c>
      <c r="G2706" s="83">
        <v>0.7083333333333334</v>
      </c>
      <c r="H2706" s="83">
        <v>0.020833333333333332</v>
      </c>
      <c r="I2706" s="84">
        <v>44229.0</v>
      </c>
      <c r="J2706" s="65" t="b">
        <v>1</v>
      </c>
      <c r="K2706" s="65"/>
      <c r="L2706" s="85" t="b">
        <f>IF(VLOOKUP(C2706,Projetos!A:L,12,false)=TRUE,TRUE,FALSE)</f>
        <v>1</v>
      </c>
      <c r="M2706" s="74">
        <v>52.48434411075036</v>
      </c>
      <c r="N2706" s="74">
        <f t="shared" si="1"/>
        <v>26.24217206</v>
      </c>
      <c r="O2706" s="74" t="b">
        <v>1</v>
      </c>
    </row>
    <row r="2707" hidden="1">
      <c r="A2707" s="82"/>
      <c r="B2707" s="65" t="s">
        <v>411</v>
      </c>
      <c r="C2707" s="65" t="s">
        <v>92</v>
      </c>
      <c r="D2707" s="65" t="str">
        <f>vlookup(C2707,'Classificação p pessoal'!F:G,2,false)</f>
        <v/>
      </c>
      <c r="E2707" s="65" t="s">
        <v>1758</v>
      </c>
      <c r="F2707" s="83">
        <v>0.6666666666666666</v>
      </c>
      <c r="G2707" s="83">
        <v>0.6875</v>
      </c>
      <c r="H2707" s="83">
        <v>0.020833333333333332</v>
      </c>
      <c r="I2707" s="84">
        <v>44285.0</v>
      </c>
      <c r="J2707" s="65" t="b">
        <v>1</v>
      </c>
      <c r="K2707" s="65"/>
      <c r="L2707" s="85" t="b">
        <f>IF(VLOOKUP(C2707,Projetos!A:L,12,false)=TRUE,TRUE,FALSE)</f>
        <v>1</v>
      </c>
      <c r="M2707" s="74">
        <v>52.48434411075036</v>
      </c>
      <c r="N2707" s="74">
        <f t="shared" si="1"/>
        <v>26.24217206</v>
      </c>
      <c r="O2707" s="74" t="b">
        <v>1</v>
      </c>
    </row>
    <row r="2708">
      <c r="A2708" s="82"/>
      <c r="B2708" s="65" t="s">
        <v>411</v>
      </c>
      <c r="C2708" s="65" t="s">
        <v>108</v>
      </c>
      <c r="D2708" s="65" t="str">
        <f>vlookup(C2708,'Classificação p pessoal'!F:G,2,false)</f>
        <v>NP</v>
      </c>
      <c r="E2708" s="65" t="s">
        <v>1759</v>
      </c>
      <c r="F2708" s="83">
        <v>0.4375</v>
      </c>
      <c r="G2708" s="83">
        <v>0.4583333333333333</v>
      </c>
      <c r="H2708" s="83">
        <v>0.020833333333333332</v>
      </c>
      <c r="I2708" s="84">
        <v>44462.0</v>
      </c>
      <c r="J2708" s="65" t="b">
        <v>1</v>
      </c>
      <c r="K2708" s="65"/>
      <c r="L2708" s="85" t="b">
        <f>IF(VLOOKUP(C2708,Projetos!A:L,12,false)=TRUE,TRUE,FALSE)</f>
        <v>1</v>
      </c>
      <c r="M2708" s="74">
        <v>52.48434411075036</v>
      </c>
      <c r="N2708" s="74">
        <f t="shared" si="1"/>
        <v>26.24217206</v>
      </c>
      <c r="O2708" s="74" t="b">
        <v>1</v>
      </c>
    </row>
    <row r="2709" hidden="1">
      <c r="A2709" s="82"/>
      <c r="B2709" s="65" t="s">
        <v>411</v>
      </c>
      <c r="C2709" s="65" t="s">
        <v>88</v>
      </c>
      <c r="D2709" s="65"/>
      <c r="E2709" s="65" t="s">
        <v>1760</v>
      </c>
      <c r="F2709" s="83">
        <v>0.625</v>
      </c>
      <c r="G2709" s="83">
        <v>0.6666666666666666</v>
      </c>
      <c r="H2709" s="83">
        <v>0.041666666666666664</v>
      </c>
      <c r="I2709" s="84">
        <v>44266.0</v>
      </c>
      <c r="J2709" s="65" t="b">
        <v>0</v>
      </c>
      <c r="K2709" s="65" t="s">
        <v>187</v>
      </c>
      <c r="L2709" s="85" t="b">
        <f>IF(VLOOKUP(C2709,Projetos!A:L,12,false)=TRUE,TRUE,FALSE)</f>
        <v>1</v>
      </c>
      <c r="M2709" s="74">
        <v>52.48434411075036</v>
      </c>
      <c r="N2709" s="74">
        <f t="shared" si="1"/>
        <v>0</v>
      </c>
      <c r="O2709" s="74" t="b">
        <v>1</v>
      </c>
    </row>
    <row r="2710" hidden="1">
      <c r="A2710" s="82"/>
      <c r="B2710" s="65" t="s">
        <v>411</v>
      </c>
      <c r="C2710" s="65" t="s">
        <v>88</v>
      </c>
      <c r="D2710" s="65" t="str">
        <f>vlookup(C2710,'Classificação p pessoal'!F:G,2,false)</f>
        <v>MProduto</v>
      </c>
      <c r="E2710" s="65" t="s">
        <v>1761</v>
      </c>
      <c r="F2710" s="83">
        <v>0.4375</v>
      </c>
      <c r="G2710" s="83">
        <v>0.4583333333333333</v>
      </c>
      <c r="H2710" s="83">
        <v>0.020833333333333332</v>
      </c>
      <c r="I2710" s="84">
        <v>44218.0</v>
      </c>
      <c r="J2710" s="65" t="b">
        <v>1</v>
      </c>
      <c r="K2710" s="65"/>
      <c r="L2710" s="85" t="b">
        <f>IF(VLOOKUP(C2710,Projetos!A:L,12,false)=TRUE,TRUE,FALSE)</f>
        <v>1</v>
      </c>
      <c r="M2710" s="74">
        <v>52.48434411075036</v>
      </c>
      <c r="N2710" s="74">
        <f t="shared" si="1"/>
        <v>26.24217206</v>
      </c>
      <c r="O2710" s="74" t="b">
        <v>1</v>
      </c>
    </row>
    <row r="2711" hidden="1">
      <c r="A2711" s="82"/>
      <c r="B2711" s="65" t="s">
        <v>411</v>
      </c>
      <c r="C2711" s="65" t="s">
        <v>92</v>
      </c>
      <c r="D2711" s="65" t="str">
        <f>vlookup(C2711,'Classificação p pessoal'!F:G,2,false)</f>
        <v/>
      </c>
      <c r="E2711" s="65" t="s">
        <v>1762</v>
      </c>
      <c r="F2711" s="83">
        <v>0.4583333333333333</v>
      </c>
      <c r="G2711" s="83">
        <v>0.5</v>
      </c>
      <c r="H2711" s="83">
        <v>0.041666666666666664</v>
      </c>
      <c r="I2711" s="84">
        <v>44546.0</v>
      </c>
      <c r="J2711" s="65" t="b">
        <v>1</v>
      </c>
      <c r="K2711" s="65"/>
      <c r="L2711" s="85" t="b">
        <f>IF(VLOOKUP(C2711,Projetos!A:L,12,false)=TRUE,TRUE,FALSE)</f>
        <v>1</v>
      </c>
      <c r="M2711" s="74">
        <v>52.48434411075036</v>
      </c>
      <c r="N2711" s="74">
        <f t="shared" si="1"/>
        <v>52.48434411</v>
      </c>
      <c r="O2711" s="74" t="b">
        <v>1</v>
      </c>
    </row>
    <row r="2712" hidden="1">
      <c r="A2712" s="82"/>
      <c r="B2712" s="65" t="s">
        <v>411</v>
      </c>
      <c r="C2712" s="65" t="s">
        <v>100</v>
      </c>
      <c r="D2712" s="65" t="str">
        <f>vlookup(C2712,'Classificação p pessoal'!F:G,2,false)</f>
        <v>NP</v>
      </c>
      <c r="E2712" s="65" t="s">
        <v>1763</v>
      </c>
      <c r="F2712" s="83">
        <v>0.375</v>
      </c>
      <c r="G2712" s="83">
        <v>0.4583333333333333</v>
      </c>
      <c r="H2712" s="83">
        <v>0.08333333333333333</v>
      </c>
      <c r="I2712" s="84">
        <v>44343.0</v>
      </c>
      <c r="J2712" s="65" t="b">
        <v>1</v>
      </c>
      <c r="K2712" s="65"/>
      <c r="L2712" s="85" t="b">
        <f>IF(VLOOKUP(C2712,Projetos!A:L,12,false)=TRUE,TRUE,FALSE)</f>
        <v>1</v>
      </c>
      <c r="M2712" s="74">
        <v>52.48434411075036</v>
      </c>
      <c r="N2712" s="74">
        <f t="shared" si="1"/>
        <v>104.9686882</v>
      </c>
      <c r="O2712" s="74" t="b">
        <v>1</v>
      </c>
    </row>
    <row r="2713" hidden="1">
      <c r="A2713" s="82"/>
      <c r="B2713" s="65" t="s">
        <v>411</v>
      </c>
      <c r="C2713" s="65" t="s">
        <v>117</v>
      </c>
      <c r="D2713" s="65" t="str">
        <f>vlookup(C2713,'Classificação p pessoal'!F:G,2,false)</f>
        <v>NP</v>
      </c>
      <c r="E2713" s="65" t="s">
        <v>1764</v>
      </c>
      <c r="F2713" s="83">
        <v>0.3854166666666667</v>
      </c>
      <c r="G2713" s="83">
        <v>0.4375</v>
      </c>
      <c r="H2713" s="83">
        <v>0.052083333333333336</v>
      </c>
      <c r="I2713" s="84">
        <v>44516.0</v>
      </c>
      <c r="J2713" s="65" t="b">
        <v>1</v>
      </c>
      <c r="K2713" s="65"/>
      <c r="L2713" s="85" t="b">
        <f>IF(VLOOKUP(C2713,Projetos!A:L,12,false)=TRUE,TRUE,FALSE)</f>
        <v>1</v>
      </c>
      <c r="M2713" s="74">
        <v>52.48434411075036</v>
      </c>
      <c r="N2713" s="74">
        <f t="shared" si="1"/>
        <v>65.60543014</v>
      </c>
      <c r="O2713" s="74" t="b">
        <v>1</v>
      </c>
    </row>
    <row r="2714" hidden="1">
      <c r="A2714" s="82"/>
      <c r="B2714" s="65" t="s">
        <v>411</v>
      </c>
      <c r="C2714" s="65" t="s">
        <v>119</v>
      </c>
      <c r="D2714" s="65" t="str">
        <f>vlookup(C2714,'Classificação p pessoal'!F:G,2,false)</f>
        <v>NP</v>
      </c>
      <c r="E2714" s="65" t="s">
        <v>1765</v>
      </c>
      <c r="F2714" s="83">
        <v>0.4895833333333333</v>
      </c>
      <c r="G2714" s="83">
        <v>0.5208333333333334</v>
      </c>
      <c r="H2714" s="83">
        <v>0.03125</v>
      </c>
      <c r="I2714" s="84">
        <v>44251.0</v>
      </c>
      <c r="J2714" s="65" t="b">
        <v>1</v>
      </c>
      <c r="K2714" s="65"/>
      <c r="L2714" s="85" t="b">
        <f>IF(VLOOKUP(C2714,Projetos!A:L,12,false)=TRUE,TRUE,FALSE)</f>
        <v>1</v>
      </c>
      <c r="M2714" s="74">
        <v>52.48434411075036</v>
      </c>
      <c r="N2714" s="74">
        <f t="shared" si="1"/>
        <v>39.36325808</v>
      </c>
      <c r="O2714" s="74" t="b">
        <v>1</v>
      </c>
    </row>
    <row r="2715" hidden="1">
      <c r="A2715" s="82"/>
      <c r="B2715" s="65" t="s">
        <v>411</v>
      </c>
      <c r="C2715" s="65" t="s">
        <v>92</v>
      </c>
      <c r="D2715" s="65" t="str">
        <f>vlookup(C2715,'Classificação p pessoal'!F:G,2,false)</f>
        <v/>
      </c>
      <c r="E2715" s="65" t="s">
        <v>1766</v>
      </c>
      <c r="F2715" s="83">
        <v>0.4583333333333333</v>
      </c>
      <c r="G2715" s="83">
        <v>0.4791666666666667</v>
      </c>
      <c r="H2715" s="83">
        <v>0.020833333333333332</v>
      </c>
      <c r="I2715" s="84">
        <v>44417.0</v>
      </c>
      <c r="J2715" s="65" t="b">
        <v>1</v>
      </c>
      <c r="K2715" s="65"/>
      <c r="L2715" s="85" t="b">
        <f>IF(VLOOKUP(C2715,Projetos!A:L,12,false)=TRUE,TRUE,FALSE)</f>
        <v>1</v>
      </c>
      <c r="M2715" s="74">
        <v>52.48434411075036</v>
      </c>
      <c r="N2715" s="74">
        <f t="shared" si="1"/>
        <v>26.24217206</v>
      </c>
      <c r="O2715" s="74" t="b">
        <v>1</v>
      </c>
    </row>
    <row r="2716" hidden="1">
      <c r="A2716" s="82"/>
      <c r="B2716" s="65" t="s">
        <v>411</v>
      </c>
      <c r="C2716" s="65" t="s">
        <v>92</v>
      </c>
      <c r="D2716" s="65" t="str">
        <f>vlookup(C2716,'Classificação p pessoal'!F:G,2,false)</f>
        <v/>
      </c>
      <c r="E2716" s="65" t="s">
        <v>1767</v>
      </c>
      <c r="F2716" s="83">
        <v>0.5625</v>
      </c>
      <c r="G2716" s="83">
        <v>0.6041666666666666</v>
      </c>
      <c r="H2716" s="83">
        <v>0.041666666666666664</v>
      </c>
      <c r="I2716" s="84">
        <v>44336.0</v>
      </c>
      <c r="J2716" s="65" t="b">
        <v>1</v>
      </c>
      <c r="K2716" s="65"/>
      <c r="L2716" s="85" t="b">
        <f>IF(VLOOKUP(C2716,Projetos!A:L,12,false)=TRUE,TRUE,FALSE)</f>
        <v>1</v>
      </c>
      <c r="M2716" s="74">
        <v>52.48434411075036</v>
      </c>
      <c r="N2716" s="74">
        <f t="shared" si="1"/>
        <v>52.48434411</v>
      </c>
      <c r="O2716" s="74" t="b">
        <v>1</v>
      </c>
    </row>
    <row r="2717" hidden="1">
      <c r="A2717" s="82"/>
      <c r="B2717" s="65" t="s">
        <v>411</v>
      </c>
      <c r="C2717" s="65" t="s">
        <v>92</v>
      </c>
      <c r="D2717" s="65" t="str">
        <f>vlookup(C2717,'Classificação p pessoal'!F:G,2,false)</f>
        <v/>
      </c>
      <c r="E2717" s="65" t="s">
        <v>1768</v>
      </c>
      <c r="F2717" s="83">
        <v>0.4375</v>
      </c>
      <c r="G2717" s="83">
        <v>0.5416666666666666</v>
      </c>
      <c r="H2717" s="83">
        <v>0.10416666666666667</v>
      </c>
      <c r="I2717" s="84">
        <v>44327.0</v>
      </c>
      <c r="J2717" s="65" t="b">
        <v>1</v>
      </c>
      <c r="K2717" s="65"/>
      <c r="L2717" s="85" t="b">
        <f>IF(VLOOKUP(C2717,Projetos!A:L,12,false)=TRUE,TRUE,FALSE)</f>
        <v>1</v>
      </c>
      <c r="M2717" s="74">
        <v>52.48434411075036</v>
      </c>
      <c r="N2717" s="74">
        <f t="shared" si="1"/>
        <v>131.2108603</v>
      </c>
      <c r="O2717" s="74" t="b">
        <v>1</v>
      </c>
    </row>
    <row r="2718" hidden="1">
      <c r="A2718" s="82"/>
      <c r="B2718" s="65" t="s">
        <v>411</v>
      </c>
      <c r="C2718" s="65" t="s">
        <v>107</v>
      </c>
      <c r="D2718" s="65" t="str">
        <f>vlookup(C2718,'Classificação p pessoal'!F:G,2,false)</f>
        <v>NP</v>
      </c>
      <c r="E2718" s="65" t="s">
        <v>1769</v>
      </c>
      <c r="F2718" s="83">
        <v>0.4791666666666667</v>
      </c>
      <c r="G2718" s="83">
        <v>0.5208333333333334</v>
      </c>
      <c r="H2718" s="83">
        <v>0.041666666666666664</v>
      </c>
      <c r="I2718" s="84">
        <v>44278.0</v>
      </c>
      <c r="J2718" s="65" t="b">
        <v>1</v>
      </c>
      <c r="K2718" s="65"/>
      <c r="L2718" s="85" t="b">
        <f>IF(VLOOKUP(C2718,Projetos!A:L,12,false)=TRUE,TRUE,FALSE)</f>
        <v>1</v>
      </c>
      <c r="M2718" s="74">
        <v>52.48434411075036</v>
      </c>
      <c r="N2718" s="74">
        <f t="shared" si="1"/>
        <v>52.48434411</v>
      </c>
      <c r="O2718" s="74" t="b">
        <v>1</v>
      </c>
    </row>
    <row r="2719" hidden="1">
      <c r="A2719" s="82"/>
      <c r="B2719" s="65" t="s">
        <v>411</v>
      </c>
      <c r="C2719" s="65" t="s">
        <v>92</v>
      </c>
      <c r="D2719" s="65"/>
      <c r="E2719" s="65" t="s">
        <v>1770</v>
      </c>
      <c r="F2719" s="83">
        <v>0.5833333333333334</v>
      </c>
      <c r="G2719" s="83">
        <v>0.625</v>
      </c>
      <c r="H2719" s="83">
        <v>0.041666666666666664</v>
      </c>
      <c r="I2719" s="84">
        <v>44349.0</v>
      </c>
      <c r="J2719" s="65" t="b">
        <v>0</v>
      </c>
      <c r="K2719" s="65"/>
      <c r="L2719" s="85" t="b">
        <f>IF(VLOOKUP(C2719,Projetos!A:L,12,false)=TRUE,TRUE,FALSE)</f>
        <v>1</v>
      </c>
      <c r="M2719" s="74">
        <v>52.48434411075036</v>
      </c>
      <c r="N2719" s="74">
        <f t="shared" si="1"/>
        <v>0</v>
      </c>
      <c r="O2719" s="74" t="b">
        <v>1</v>
      </c>
    </row>
    <row r="2720" hidden="1">
      <c r="A2720" s="82"/>
      <c r="B2720" s="65" t="s">
        <v>411</v>
      </c>
      <c r="C2720" s="65" t="s">
        <v>117</v>
      </c>
      <c r="D2720" s="65"/>
      <c r="E2720" s="65" t="s">
        <v>1771</v>
      </c>
      <c r="F2720" s="83">
        <v>0.3541666666666667</v>
      </c>
      <c r="G2720" s="83">
        <v>0.375</v>
      </c>
      <c r="H2720" s="83">
        <v>0.020833333333333332</v>
      </c>
      <c r="I2720" s="84">
        <v>44260.0</v>
      </c>
      <c r="J2720" s="65" t="b">
        <v>0</v>
      </c>
      <c r="K2720" s="65" t="s">
        <v>187</v>
      </c>
      <c r="L2720" s="85" t="b">
        <f>IF(VLOOKUP(C2720,Projetos!A:L,12,false)=TRUE,TRUE,FALSE)</f>
        <v>1</v>
      </c>
      <c r="M2720" s="74">
        <v>52.48434411075036</v>
      </c>
      <c r="N2720" s="74">
        <f t="shared" si="1"/>
        <v>0</v>
      </c>
      <c r="O2720" s="74" t="b">
        <v>1</v>
      </c>
    </row>
    <row r="2721" hidden="1">
      <c r="A2721" s="82"/>
      <c r="B2721" s="65" t="s">
        <v>411</v>
      </c>
      <c r="C2721" s="65" t="s">
        <v>92</v>
      </c>
      <c r="D2721" s="65" t="str">
        <f>vlookup(C2721,'Classificação p pessoal'!F:G,2,false)</f>
        <v/>
      </c>
      <c r="E2721" s="65" t="s">
        <v>1772</v>
      </c>
      <c r="F2721" s="83">
        <v>0.7291666666666666</v>
      </c>
      <c r="G2721" s="83">
        <v>0.75</v>
      </c>
      <c r="H2721" s="83">
        <v>0.020833333333333332</v>
      </c>
      <c r="I2721" s="84">
        <v>44553.0</v>
      </c>
      <c r="J2721" s="65" t="b">
        <v>1</v>
      </c>
      <c r="K2721" s="65"/>
      <c r="L2721" s="85" t="b">
        <f>IF(VLOOKUP(C2721,Projetos!A:L,12,false)=TRUE,TRUE,FALSE)</f>
        <v>1</v>
      </c>
      <c r="M2721" s="74">
        <v>52.48434411075036</v>
      </c>
      <c r="N2721" s="74">
        <f t="shared" si="1"/>
        <v>26.24217206</v>
      </c>
      <c r="O2721" s="74" t="b">
        <v>1</v>
      </c>
    </row>
    <row r="2722" hidden="1">
      <c r="A2722" s="82"/>
      <c r="B2722" s="65" t="s">
        <v>411</v>
      </c>
      <c r="C2722" s="65" t="s">
        <v>107</v>
      </c>
      <c r="D2722" s="65" t="str">
        <f>vlookup(C2722,'Classificação p pessoal'!F:G,2,false)</f>
        <v>NP</v>
      </c>
      <c r="E2722" s="65" t="s">
        <v>1773</v>
      </c>
      <c r="F2722" s="83">
        <v>0.625</v>
      </c>
      <c r="G2722" s="83">
        <v>0.7083333333333334</v>
      </c>
      <c r="H2722" s="83">
        <v>0.08333333333333333</v>
      </c>
      <c r="I2722" s="84">
        <v>44280.0</v>
      </c>
      <c r="J2722" s="65" t="b">
        <v>1</v>
      </c>
      <c r="K2722" s="65"/>
      <c r="L2722" s="85" t="b">
        <f>IF(VLOOKUP(C2722,Projetos!A:L,12,false)=TRUE,TRUE,FALSE)</f>
        <v>1</v>
      </c>
      <c r="M2722" s="74">
        <v>52.48434411075036</v>
      </c>
      <c r="N2722" s="74">
        <f t="shared" si="1"/>
        <v>104.9686882</v>
      </c>
      <c r="O2722" s="74" t="b">
        <v>1</v>
      </c>
    </row>
    <row r="2723" hidden="1">
      <c r="A2723" s="82"/>
      <c r="B2723" s="65" t="s">
        <v>411</v>
      </c>
      <c r="C2723" s="65" t="s">
        <v>92</v>
      </c>
      <c r="D2723" s="65"/>
      <c r="E2723" s="65" t="s">
        <v>1774</v>
      </c>
      <c r="F2723" s="83">
        <v>0.625</v>
      </c>
      <c r="G2723" s="83">
        <v>0.6875</v>
      </c>
      <c r="H2723" s="83">
        <v>0.0625</v>
      </c>
      <c r="I2723" s="84">
        <v>44270.0</v>
      </c>
      <c r="J2723" s="65" t="b">
        <v>0</v>
      </c>
      <c r="K2723" s="65"/>
      <c r="L2723" s="85" t="b">
        <f>IF(VLOOKUP(C2723,Projetos!A:L,12,false)=TRUE,TRUE,FALSE)</f>
        <v>1</v>
      </c>
      <c r="M2723" s="74">
        <v>52.48434411075036</v>
      </c>
      <c r="N2723" s="74">
        <f t="shared" si="1"/>
        <v>0</v>
      </c>
      <c r="O2723" s="74" t="b">
        <v>1</v>
      </c>
    </row>
    <row r="2724" hidden="1">
      <c r="A2724" s="82"/>
      <c r="B2724" s="65" t="s">
        <v>411</v>
      </c>
      <c r="C2724" s="65" t="s">
        <v>92</v>
      </c>
      <c r="D2724" s="65" t="str">
        <f>vlookup(C2724,'Classificação p pessoal'!F:G,2,false)</f>
        <v/>
      </c>
      <c r="E2724" s="65" t="s">
        <v>1775</v>
      </c>
      <c r="F2724" s="83">
        <v>0.6666666666666666</v>
      </c>
      <c r="G2724" s="83">
        <v>0.7083333333333334</v>
      </c>
      <c r="H2724" s="83">
        <v>0.041666666666666664</v>
      </c>
      <c r="I2724" s="84">
        <v>44263.0</v>
      </c>
      <c r="J2724" s="65" t="b">
        <v>1</v>
      </c>
      <c r="K2724" s="65"/>
      <c r="L2724" s="85" t="b">
        <f>IF(VLOOKUP(C2724,Projetos!A:L,12,false)=TRUE,TRUE,FALSE)</f>
        <v>1</v>
      </c>
      <c r="M2724" s="74">
        <v>52.48434411075036</v>
      </c>
      <c r="N2724" s="74">
        <f t="shared" si="1"/>
        <v>52.48434411</v>
      </c>
      <c r="O2724" s="74" t="b">
        <v>1</v>
      </c>
    </row>
    <row r="2725" hidden="1">
      <c r="A2725" s="82"/>
      <c r="B2725" s="65" t="s">
        <v>411</v>
      </c>
      <c r="C2725" s="65" t="s">
        <v>125</v>
      </c>
      <c r="D2725" s="65"/>
      <c r="E2725" s="65" t="s">
        <v>1776</v>
      </c>
      <c r="F2725" s="83">
        <v>0.4166666666666667</v>
      </c>
      <c r="G2725" s="83">
        <v>0.4583333333333333</v>
      </c>
      <c r="H2725" s="83">
        <v>0.041666666666666664</v>
      </c>
      <c r="I2725" s="84">
        <v>44271.0</v>
      </c>
      <c r="J2725" s="65" t="b">
        <v>0</v>
      </c>
      <c r="K2725" s="65"/>
      <c r="L2725" s="85" t="b">
        <f>IF(VLOOKUP(C2725,Projetos!A:L,12,false)=TRUE,TRUE,FALSE)</f>
        <v>1</v>
      </c>
      <c r="M2725" s="74">
        <v>52.48434411075036</v>
      </c>
      <c r="N2725" s="74">
        <f t="shared" si="1"/>
        <v>0</v>
      </c>
      <c r="O2725" s="74" t="b">
        <v>1</v>
      </c>
    </row>
    <row r="2726" hidden="1">
      <c r="A2726" s="82"/>
      <c r="B2726" s="65" t="s">
        <v>411</v>
      </c>
      <c r="C2726" s="65" t="s">
        <v>125</v>
      </c>
      <c r="D2726" s="65"/>
      <c r="E2726" s="65" t="s">
        <v>1777</v>
      </c>
      <c r="F2726" s="83">
        <v>0.375</v>
      </c>
      <c r="G2726" s="83">
        <v>0.3958333333333333</v>
      </c>
      <c r="H2726" s="83">
        <v>0.020833333333333332</v>
      </c>
      <c r="I2726" s="84">
        <v>44273.0</v>
      </c>
      <c r="J2726" s="65" t="b">
        <v>0</v>
      </c>
      <c r="K2726" s="65"/>
      <c r="L2726" s="85" t="b">
        <f>IF(VLOOKUP(C2726,Projetos!A:L,12,false)=TRUE,TRUE,FALSE)</f>
        <v>1</v>
      </c>
      <c r="M2726" s="74">
        <v>52.48434411075036</v>
      </c>
      <c r="N2726" s="74">
        <f t="shared" si="1"/>
        <v>0</v>
      </c>
      <c r="O2726" s="74" t="b">
        <v>1</v>
      </c>
    </row>
    <row r="2727" hidden="1">
      <c r="A2727" s="82"/>
      <c r="B2727" s="65" t="s">
        <v>411</v>
      </c>
      <c r="C2727" s="65" t="s">
        <v>92</v>
      </c>
      <c r="D2727" s="65"/>
      <c r="E2727" s="65" t="s">
        <v>1778</v>
      </c>
      <c r="F2727" s="83">
        <v>0.625</v>
      </c>
      <c r="G2727" s="83">
        <v>0.6458333333333334</v>
      </c>
      <c r="H2727" s="83">
        <v>0.020833333333333332</v>
      </c>
      <c r="I2727" s="84">
        <v>44364.0</v>
      </c>
      <c r="J2727" s="65" t="b">
        <v>0</v>
      </c>
      <c r="K2727" s="65" t="s">
        <v>187</v>
      </c>
      <c r="L2727" s="85" t="b">
        <f>IF(VLOOKUP(C2727,Projetos!A:L,12,false)=TRUE,TRUE,FALSE)</f>
        <v>1</v>
      </c>
      <c r="M2727" s="74">
        <v>52.48434411075036</v>
      </c>
      <c r="N2727" s="74">
        <f t="shared" si="1"/>
        <v>0</v>
      </c>
      <c r="O2727" s="74" t="b">
        <v>1</v>
      </c>
    </row>
    <row r="2728" hidden="1">
      <c r="A2728" s="82"/>
      <c r="B2728" s="65" t="s">
        <v>411</v>
      </c>
      <c r="C2728" s="65" t="s">
        <v>127</v>
      </c>
      <c r="D2728" s="65"/>
      <c r="E2728" s="65" t="s">
        <v>1779</v>
      </c>
      <c r="F2728" s="83">
        <v>0.6458333333333334</v>
      </c>
      <c r="G2728" s="83">
        <v>0.7083333333333334</v>
      </c>
      <c r="H2728" s="83">
        <v>0.0625</v>
      </c>
      <c r="I2728" s="84">
        <v>44323.0</v>
      </c>
      <c r="J2728" s="65" t="b">
        <v>0</v>
      </c>
      <c r="K2728" s="65"/>
      <c r="L2728" s="85" t="b">
        <f>IF(VLOOKUP(C2728,Projetos!A:L,12,false)=TRUE,TRUE,FALSE)</f>
        <v>1</v>
      </c>
      <c r="M2728" s="74">
        <v>52.48434411075036</v>
      </c>
      <c r="N2728" s="74">
        <f t="shared" si="1"/>
        <v>0</v>
      </c>
      <c r="O2728" s="74" t="b">
        <v>1</v>
      </c>
    </row>
    <row r="2729" hidden="1">
      <c r="A2729" s="82"/>
      <c r="B2729" s="65" t="s">
        <v>411</v>
      </c>
      <c r="C2729" s="65" t="s">
        <v>125</v>
      </c>
      <c r="D2729" s="65" t="str">
        <f>vlookup(C2729,'Classificação p pessoal'!F:G,2,false)</f>
        <v>MProduto</v>
      </c>
      <c r="E2729" s="65" t="s">
        <v>1780</v>
      </c>
      <c r="F2729" s="83">
        <v>0.375</v>
      </c>
      <c r="G2729" s="83">
        <v>0.4166666666666667</v>
      </c>
      <c r="H2729" s="83">
        <v>0.041666666666666664</v>
      </c>
      <c r="I2729" s="84">
        <v>44369.0</v>
      </c>
      <c r="J2729" s="65" t="b">
        <v>1</v>
      </c>
      <c r="K2729" s="65"/>
      <c r="L2729" s="85" t="b">
        <f>IF(VLOOKUP(C2729,Projetos!A:L,12,false)=TRUE,TRUE,FALSE)</f>
        <v>1</v>
      </c>
      <c r="M2729" s="74">
        <v>52.48434411075036</v>
      </c>
      <c r="N2729" s="74">
        <f t="shared" si="1"/>
        <v>52.48434411</v>
      </c>
      <c r="O2729" s="74" t="b">
        <v>1</v>
      </c>
    </row>
    <row r="2730" hidden="1">
      <c r="A2730" s="82"/>
      <c r="B2730" s="65" t="s">
        <v>411</v>
      </c>
      <c r="C2730" s="65" t="s">
        <v>92</v>
      </c>
      <c r="D2730" s="65" t="str">
        <f>vlookup(C2730,'Classificação p pessoal'!F:G,2,false)</f>
        <v/>
      </c>
      <c r="E2730" s="65" t="s">
        <v>1781</v>
      </c>
      <c r="F2730" s="83">
        <v>0.6458333333333334</v>
      </c>
      <c r="G2730" s="83">
        <v>0.6875</v>
      </c>
      <c r="H2730" s="83">
        <v>0.041666666666666664</v>
      </c>
      <c r="I2730" s="84">
        <v>44340.0</v>
      </c>
      <c r="J2730" s="65" t="b">
        <v>1</v>
      </c>
      <c r="K2730" s="65"/>
      <c r="L2730" s="85" t="b">
        <f>IF(VLOOKUP(C2730,Projetos!A:L,12,false)=TRUE,TRUE,FALSE)</f>
        <v>1</v>
      </c>
      <c r="M2730" s="74">
        <v>52.48434411075036</v>
      </c>
      <c r="N2730" s="74">
        <f t="shared" si="1"/>
        <v>52.48434411</v>
      </c>
      <c r="O2730" s="74" t="b">
        <v>1</v>
      </c>
    </row>
    <row r="2731" hidden="1">
      <c r="A2731" s="82"/>
      <c r="B2731" s="65" t="s">
        <v>411</v>
      </c>
      <c r="C2731" s="65" t="s">
        <v>117</v>
      </c>
      <c r="D2731" s="65" t="str">
        <f>vlookup(C2731,'Classificação p pessoal'!F:G,2,false)</f>
        <v>NP</v>
      </c>
      <c r="E2731" s="65" t="s">
        <v>1782</v>
      </c>
      <c r="F2731" s="83">
        <v>0.4583333333333333</v>
      </c>
      <c r="G2731" s="83">
        <v>0.5208333333333334</v>
      </c>
      <c r="H2731" s="83">
        <v>0.0625</v>
      </c>
      <c r="I2731" s="84">
        <v>44543.0</v>
      </c>
      <c r="J2731" s="65" t="b">
        <v>1</v>
      </c>
      <c r="K2731" s="65"/>
      <c r="L2731" s="85" t="b">
        <f>IF(VLOOKUP(C2731,Projetos!A:L,12,false)=TRUE,TRUE,FALSE)</f>
        <v>1</v>
      </c>
      <c r="M2731" s="74">
        <v>52.48434411075036</v>
      </c>
      <c r="N2731" s="74">
        <f t="shared" si="1"/>
        <v>78.72651617</v>
      </c>
      <c r="O2731" s="74" t="b">
        <v>1</v>
      </c>
    </row>
    <row r="2732" hidden="1">
      <c r="A2732" s="82"/>
      <c r="B2732" s="65" t="s">
        <v>411</v>
      </c>
      <c r="C2732" s="65" t="s">
        <v>120</v>
      </c>
      <c r="D2732" s="65"/>
      <c r="E2732" s="65" t="s">
        <v>1783</v>
      </c>
      <c r="F2732" s="83">
        <v>0.34375</v>
      </c>
      <c r="G2732" s="83">
        <v>0.4166666666666667</v>
      </c>
      <c r="H2732" s="83">
        <v>0.07291666666666667</v>
      </c>
      <c r="I2732" s="84">
        <v>44497.0</v>
      </c>
      <c r="J2732" s="65" t="b">
        <v>0</v>
      </c>
      <c r="K2732" s="65"/>
      <c r="L2732" s="85" t="b">
        <f>IF(VLOOKUP(C2732,Projetos!A:L,12,false)=TRUE,TRUE,FALSE)</f>
        <v>0</v>
      </c>
      <c r="M2732" s="74">
        <v>52.48434411075036</v>
      </c>
      <c r="N2732" s="74">
        <f t="shared" si="1"/>
        <v>0</v>
      </c>
      <c r="O2732" s="74" t="b">
        <v>0</v>
      </c>
    </row>
    <row r="2733" hidden="1">
      <c r="A2733" s="82"/>
      <c r="B2733" s="65" t="s">
        <v>411</v>
      </c>
      <c r="C2733" s="65" t="s">
        <v>117</v>
      </c>
      <c r="D2733" s="65" t="str">
        <f>vlookup(C2733,'Classificação p pessoal'!F:G,2,false)</f>
        <v>NP</v>
      </c>
      <c r="E2733" s="65" t="s">
        <v>1784</v>
      </c>
      <c r="F2733" s="83">
        <v>0.34375</v>
      </c>
      <c r="G2733" s="83">
        <v>0.375</v>
      </c>
      <c r="H2733" s="83">
        <v>0.03125</v>
      </c>
      <c r="I2733" s="84">
        <v>44285.0</v>
      </c>
      <c r="J2733" s="65" t="b">
        <v>1</v>
      </c>
      <c r="K2733" s="65"/>
      <c r="L2733" s="85" t="b">
        <f>IF(VLOOKUP(C2733,Projetos!A:L,12,false)=TRUE,TRUE,FALSE)</f>
        <v>1</v>
      </c>
      <c r="M2733" s="74">
        <v>52.48434411075036</v>
      </c>
      <c r="N2733" s="74">
        <f t="shared" si="1"/>
        <v>39.36325808</v>
      </c>
      <c r="O2733" s="74" t="b">
        <v>1</v>
      </c>
    </row>
    <row r="2734" hidden="1">
      <c r="A2734" s="82"/>
      <c r="B2734" s="65" t="s">
        <v>411</v>
      </c>
      <c r="C2734" s="65" t="s">
        <v>92</v>
      </c>
      <c r="D2734" s="65" t="str">
        <f>vlookup(C2734,'Classificação p pessoal'!F:G,2,false)</f>
        <v/>
      </c>
      <c r="E2734" s="65" t="s">
        <v>1785</v>
      </c>
      <c r="F2734" s="83">
        <v>0.3541666666666667</v>
      </c>
      <c r="G2734" s="83">
        <v>0.4166666666666667</v>
      </c>
      <c r="H2734" s="83">
        <v>0.0625</v>
      </c>
      <c r="I2734" s="84">
        <v>44293.0</v>
      </c>
      <c r="J2734" s="65" t="b">
        <v>1</v>
      </c>
      <c r="K2734" s="65"/>
      <c r="L2734" s="85" t="b">
        <f>IF(VLOOKUP(C2734,Projetos!A:L,12,false)=TRUE,TRUE,FALSE)</f>
        <v>1</v>
      </c>
      <c r="M2734" s="74">
        <v>52.48434411075036</v>
      </c>
      <c r="N2734" s="74">
        <f t="shared" si="1"/>
        <v>78.72651617</v>
      </c>
      <c r="O2734" s="74" t="b">
        <v>1</v>
      </c>
    </row>
    <row r="2735" hidden="1">
      <c r="A2735" s="82"/>
      <c r="B2735" s="65" t="s">
        <v>411</v>
      </c>
      <c r="C2735" s="65" t="s">
        <v>92</v>
      </c>
      <c r="D2735" s="65" t="str">
        <f>vlookup(C2735,'Classificação p pessoal'!F:G,2,false)</f>
        <v/>
      </c>
      <c r="E2735" s="65" t="s">
        <v>1786</v>
      </c>
      <c r="F2735" s="83">
        <v>0.375</v>
      </c>
      <c r="G2735" s="83">
        <v>0.3958333333333333</v>
      </c>
      <c r="H2735" s="83">
        <v>0.020833333333333332</v>
      </c>
      <c r="I2735" s="84">
        <v>44480.0</v>
      </c>
      <c r="J2735" s="65" t="b">
        <v>1</v>
      </c>
      <c r="K2735" s="65"/>
      <c r="L2735" s="85" t="b">
        <f>IF(VLOOKUP(C2735,Projetos!A:L,12,false)=TRUE,TRUE,FALSE)</f>
        <v>1</v>
      </c>
      <c r="M2735" s="74">
        <v>52.48434411075036</v>
      </c>
      <c r="N2735" s="74">
        <f t="shared" si="1"/>
        <v>26.24217206</v>
      </c>
      <c r="O2735" s="74" t="b">
        <v>1</v>
      </c>
    </row>
    <row r="2736" hidden="1">
      <c r="A2736" s="82"/>
      <c r="B2736" s="65" t="s">
        <v>411</v>
      </c>
      <c r="C2736" s="65" t="s">
        <v>132</v>
      </c>
      <c r="D2736" s="65"/>
      <c r="E2736" s="65" t="s">
        <v>1787</v>
      </c>
      <c r="F2736" s="83">
        <v>0.7291666666666666</v>
      </c>
      <c r="G2736" s="83">
        <v>0.75</v>
      </c>
      <c r="H2736" s="83">
        <v>0.020833333333333332</v>
      </c>
      <c r="I2736" s="84">
        <v>44279.0</v>
      </c>
      <c r="J2736" s="65" t="b">
        <v>1</v>
      </c>
      <c r="K2736" s="65"/>
      <c r="L2736" s="85" t="b">
        <f>IF(VLOOKUP(C2736,Projetos!A:L,12,false)=TRUE,TRUE,FALSE)</f>
        <v>0</v>
      </c>
      <c r="M2736" s="74">
        <v>52.48434411075036</v>
      </c>
      <c r="N2736" s="74">
        <f t="shared" si="1"/>
        <v>0</v>
      </c>
      <c r="O2736" s="74" t="b">
        <v>0</v>
      </c>
    </row>
    <row r="2737" hidden="1">
      <c r="A2737" s="82"/>
      <c r="B2737" s="65" t="s">
        <v>411</v>
      </c>
      <c r="C2737" s="65" t="s">
        <v>132</v>
      </c>
      <c r="D2737" s="65"/>
      <c r="E2737" s="65" t="s">
        <v>1788</v>
      </c>
      <c r="F2737" s="83">
        <v>0.34375</v>
      </c>
      <c r="G2737" s="83">
        <v>0.3854166666666667</v>
      </c>
      <c r="H2737" s="83">
        <v>0.041666666666666664</v>
      </c>
      <c r="I2737" s="84">
        <v>44405.0</v>
      </c>
      <c r="J2737" s="65" t="b">
        <v>0</v>
      </c>
      <c r="K2737" s="65" t="s">
        <v>150</v>
      </c>
      <c r="L2737" s="85" t="b">
        <f>IF(VLOOKUP(C2737,Projetos!A:L,12,false)=TRUE,TRUE,FALSE)</f>
        <v>0</v>
      </c>
      <c r="M2737" s="74">
        <v>52.48434411075036</v>
      </c>
      <c r="N2737" s="74">
        <f t="shared" si="1"/>
        <v>0</v>
      </c>
      <c r="O2737" s="74" t="b">
        <v>0</v>
      </c>
    </row>
    <row r="2738" hidden="1">
      <c r="A2738" s="82"/>
      <c r="B2738" s="65" t="s">
        <v>411</v>
      </c>
      <c r="C2738" s="65" t="s">
        <v>117</v>
      </c>
      <c r="D2738" s="65"/>
      <c r="E2738" s="65" t="s">
        <v>1789</v>
      </c>
      <c r="F2738" s="83">
        <v>0.3854166666666667</v>
      </c>
      <c r="G2738" s="83">
        <v>0.3993055555555556</v>
      </c>
      <c r="H2738" s="83">
        <v>0.013888888888888888</v>
      </c>
      <c r="I2738" s="84">
        <v>44405.0</v>
      </c>
      <c r="J2738" s="65" t="b">
        <v>0</v>
      </c>
      <c r="K2738" s="65" t="s">
        <v>150</v>
      </c>
      <c r="L2738" s="85" t="b">
        <f>IF(VLOOKUP(C2738,Projetos!A:L,12,false)=TRUE,TRUE,FALSE)</f>
        <v>1</v>
      </c>
      <c r="M2738" s="74">
        <v>52.48434411075036</v>
      </c>
      <c r="N2738" s="74">
        <f t="shared" si="1"/>
        <v>0</v>
      </c>
      <c r="O2738" s="74" t="b">
        <v>1</v>
      </c>
    </row>
    <row r="2739" hidden="1">
      <c r="A2739" s="82"/>
      <c r="B2739" s="65" t="s">
        <v>411</v>
      </c>
      <c r="C2739" s="65" t="s">
        <v>92</v>
      </c>
      <c r="D2739" s="65" t="str">
        <f>vlookup(C2739,'Classificação p pessoal'!F:G,2,false)</f>
        <v/>
      </c>
      <c r="E2739" s="65" t="s">
        <v>1790</v>
      </c>
      <c r="F2739" s="83">
        <v>0.6875</v>
      </c>
      <c r="G2739" s="83">
        <v>0.75</v>
      </c>
      <c r="H2739" s="83">
        <v>0.0625</v>
      </c>
      <c r="I2739" s="84">
        <v>44393.0</v>
      </c>
      <c r="J2739" s="65" t="b">
        <v>1</v>
      </c>
      <c r="K2739" s="65"/>
      <c r="L2739" s="85" t="b">
        <f>IF(VLOOKUP(C2739,Projetos!A:L,12,false)=TRUE,TRUE,FALSE)</f>
        <v>1</v>
      </c>
      <c r="M2739" s="74">
        <v>52.48434411075036</v>
      </c>
      <c r="N2739" s="74">
        <f t="shared" si="1"/>
        <v>78.72651617</v>
      </c>
      <c r="O2739" s="74" t="b">
        <v>1</v>
      </c>
    </row>
    <row r="2740" hidden="1">
      <c r="A2740" s="82"/>
      <c r="B2740" s="65" t="s">
        <v>411</v>
      </c>
      <c r="C2740" s="65" t="s">
        <v>117</v>
      </c>
      <c r="D2740" s="65" t="str">
        <f>vlookup(C2740,'Classificação p pessoal'!F:G,2,false)</f>
        <v>NP</v>
      </c>
      <c r="E2740" s="65" t="s">
        <v>1791</v>
      </c>
      <c r="F2740" s="83">
        <v>0.71875</v>
      </c>
      <c r="G2740" s="83">
        <v>0.7395833333333334</v>
      </c>
      <c r="H2740" s="83">
        <v>0.020833333333333332</v>
      </c>
      <c r="I2740" s="84">
        <v>44517.0</v>
      </c>
      <c r="J2740" s="65" t="b">
        <v>1</v>
      </c>
      <c r="K2740" s="65"/>
      <c r="L2740" s="85" t="b">
        <f>IF(VLOOKUP(C2740,Projetos!A:L,12,false)=TRUE,TRUE,FALSE)</f>
        <v>1</v>
      </c>
      <c r="M2740" s="74">
        <v>52.48434411075036</v>
      </c>
      <c r="N2740" s="74">
        <f t="shared" si="1"/>
        <v>26.24217206</v>
      </c>
      <c r="O2740" s="74" t="b">
        <v>1</v>
      </c>
    </row>
    <row r="2741" hidden="1">
      <c r="A2741" s="82"/>
      <c r="B2741" s="65" t="s">
        <v>411</v>
      </c>
      <c r="C2741" s="65" t="s">
        <v>125</v>
      </c>
      <c r="D2741" s="65" t="str">
        <f>vlookup(C2741,'Classificação p pessoal'!F:G,2,false)</f>
        <v>MProduto</v>
      </c>
      <c r="E2741" s="65" t="s">
        <v>1792</v>
      </c>
      <c r="F2741" s="83">
        <v>0.4166666666666667</v>
      </c>
      <c r="G2741" s="83">
        <v>0.4583333333333333</v>
      </c>
      <c r="H2741" s="83">
        <v>0.041666666666666664</v>
      </c>
      <c r="I2741" s="84">
        <v>44266.0</v>
      </c>
      <c r="J2741" s="65" t="b">
        <v>1</v>
      </c>
      <c r="K2741" s="65"/>
      <c r="L2741" s="85" t="b">
        <f>IF(VLOOKUP(C2741,Projetos!A:L,12,false)=TRUE,TRUE,FALSE)</f>
        <v>1</v>
      </c>
      <c r="M2741" s="74">
        <v>52.48434411075036</v>
      </c>
      <c r="N2741" s="74">
        <f t="shared" si="1"/>
        <v>52.48434411</v>
      </c>
      <c r="O2741" s="74" t="b">
        <v>1</v>
      </c>
    </row>
    <row r="2742" hidden="1">
      <c r="A2742" s="82"/>
      <c r="B2742" s="65" t="s">
        <v>411</v>
      </c>
      <c r="C2742" s="65" t="s">
        <v>125</v>
      </c>
      <c r="D2742" s="65" t="str">
        <f>vlookup(C2742,'Classificação p pessoal'!F:G,2,false)</f>
        <v>MProduto</v>
      </c>
      <c r="E2742" s="65" t="s">
        <v>1793</v>
      </c>
      <c r="F2742" s="83">
        <v>0.4166666666666667</v>
      </c>
      <c r="G2742" s="83">
        <v>0.4270833333333333</v>
      </c>
      <c r="H2742" s="83">
        <v>0.010416666666666666</v>
      </c>
      <c r="I2742" s="84">
        <v>44319.0</v>
      </c>
      <c r="J2742" s="65" t="b">
        <v>1</v>
      </c>
      <c r="K2742" s="65"/>
      <c r="L2742" s="85" t="b">
        <f>IF(VLOOKUP(C2742,Projetos!A:L,12,false)=TRUE,TRUE,FALSE)</f>
        <v>1</v>
      </c>
      <c r="M2742" s="74">
        <v>52.48434411075036</v>
      </c>
      <c r="N2742" s="74">
        <f t="shared" si="1"/>
        <v>13.12108603</v>
      </c>
      <c r="O2742" s="74" t="b">
        <v>1</v>
      </c>
    </row>
    <row r="2743" hidden="1">
      <c r="A2743" s="82"/>
      <c r="B2743" s="65" t="s">
        <v>411</v>
      </c>
      <c r="C2743" s="65" t="s">
        <v>125</v>
      </c>
      <c r="D2743" s="65"/>
      <c r="E2743" s="65" t="s">
        <v>1794</v>
      </c>
      <c r="F2743" s="83">
        <v>0.7083333333333334</v>
      </c>
      <c r="G2743" s="83">
        <v>0.75</v>
      </c>
      <c r="H2743" s="83">
        <v>0.041666666666666664</v>
      </c>
      <c r="I2743" s="84">
        <v>44278.0</v>
      </c>
      <c r="J2743" s="65" t="b">
        <v>0</v>
      </c>
      <c r="K2743" s="65"/>
      <c r="L2743" s="85" t="b">
        <f>IF(VLOOKUP(C2743,Projetos!A:L,12,false)=TRUE,TRUE,FALSE)</f>
        <v>1</v>
      </c>
      <c r="M2743" s="74">
        <v>52.48434411075036</v>
      </c>
      <c r="N2743" s="74">
        <f t="shared" si="1"/>
        <v>0</v>
      </c>
      <c r="O2743" s="74" t="b">
        <v>1</v>
      </c>
    </row>
    <row r="2744" hidden="1">
      <c r="A2744" s="82"/>
      <c r="B2744" s="65" t="s">
        <v>411</v>
      </c>
      <c r="C2744" s="65" t="s">
        <v>92</v>
      </c>
      <c r="D2744" s="65"/>
      <c r="E2744" s="65" t="s">
        <v>1795</v>
      </c>
      <c r="F2744" s="83">
        <v>0.6875</v>
      </c>
      <c r="G2744" s="83">
        <v>0.7083333333333334</v>
      </c>
      <c r="H2744" s="83">
        <v>0.020833333333333332</v>
      </c>
      <c r="I2744" s="84">
        <v>44225.0</v>
      </c>
      <c r="J2744" s="65" t="b">
        <v>0</v>
      </c>
      <c r="K2744" s="65"/>
      <c r="L2744" s="85" t="b">
        <f>IF(VLOOKUP(C2744,Projetos!A:L,12,false)=TRUE,TRUE,FALSE)</f>
        <v>1</v>
      </c>
      <c r="M2744" s="74">
        <v>52.48434411075036</v>
      </c>
      <c r="N2744" s="74">
        <f t="shared" si="1"/>
        <v>0</v>
      </c>
      <c r="O2744" s="74" t="b">
        <v>1</v>
      </c>
    </row>
    <row r="2745" hidden="1">
      <c r="A2745" s="82"/>
      <c r="B2745" s="65" t="s">
        <v>411</v>
      </c>
      <c r="C2745" s="65" t="s">
        <v>106</v>
      </c>
      <c r="D2745" s="65"/>
      <c r="E2745" s="65" t="s">
        <v>1796</v>
      </c>
      <c r="F2745" s="83">
        <v>0.5416666666666666</v>
      </c>
      <c r="G2745" s="83">
        <v>0.75</v>
      </c>
      <c r="H2745" s="83">
        <v>0.20833333333333334</v>
      </c>
      <c r="I2745" s="84">
        <v>44363.0</v>
      </c>
      <c r="J2745" s="65" t="b">
        <v>0</v>
      </c>
      <c r="K2745" s="65" t="s">
        <v>150</v>
      </c>
      <c r="L2745" s="85" t="b">
        <f>IF(VLOOKUP(C2745,Projetos!A:L,12,false)=TRUE,TRUE,FALSE)</f>
        <v>1</v>
      </c>
      <c r="M2745" s="74">
        <v>52.48434411075036</v>
      </c>
      <c r="N2745" s="74">
        <f t="shared" si="1"/>
        <v>0</v>
      </c>
      <c r="O2745" s="74" t="b">
        <v>1</v>
      </c>
    </row>
    <row r="2746" hidden="1">
      <c r="A2746" s="82"/>
      <c r="B2746" s="65" t="s">
        <v>411</v>
      </c>
      <c r="C2746" s="65" t="s">
        <v>92</v>
      </c>
      <c r="D2746" s="65"/>
      <c r="E2746" s="65" t="s">
        <v>1797</v>
      </c>
      <c r="F2746" s="83">
        <v>0.34375</v>
      </c>
      <c r="G2746" s="83">
        <v>0.3958333333333333</v>
      </c>
      <c r="H2746" s="83">
        <v>0.052083333333333336</v>
      </c>
      <c r="I2746" s="84">
        <v>44231.0</v>
      </c>
      <c r="J2746" s="65" t="b">
        <v>0</v>
      </c>
      <c r="K2746" s="65"/>
      <c r="L2746" s="85" t="b">
        <f>IF(VLOOKUP(C2746,Projetos!A:L,12,false)=TRUE,TRUE,FALSE)</f>
        <v>1</v>
      </c>
      <c r="M2746" s="74">
        <v>52.48434411075036</v>
      </c>
      <c r="N2746" s="74">
        <f t="shared" si="1"/>
        <v>0</v>
      </c>
      <c r="O2746" s="74" t="b">
        <v>1</v>
      </c>
    </row>
    <row r="2747" hidden="1">
      <c r="A2747" s="82"/>
      <c r="B2747" s="65" t="s">
        <v>411</v>
      </c>
      <c r="C2747" s="65" t="s">
        <v>92</v>
      </c>
      <c r="D2747" s="65"/>
      <c r="E2747" s="65" t="s">
        <v>1798</v>
      </c>
      <c r="F2747" s="83">
        <v>0.3958333333333333</v>
      </c>
      <c r="G2747" s="83">
        <v>0.4375</v>
      </c>
      <c r="H2747" s="83">
        <v>0.041666666666666664</v>
      </c>
      <c r="I2747" s="84">
        <v>44217.0</v>
      </c>
      <c r="J2747" s="65" t="b">
        <v>0</v>
      </c>
      <c r="K2747" s="65" t="s">
        <v>150</v>
      </c>
      <c r="L2747" s="85" t="b">
        <f>IF(VLOOKUP(C2747,Projetos!A:L,12,false)=TRUE,TRUE,FALSE)</f>
        <v>1</v>
      </c>
      <c r="M2747" s="74">
        <v>52.48434411075036</v>
      </c>
      <c r="N2747" s="74">
        <f t="shared" si="1"/>
        <v>0</v>
      </c>
      <c r="O2747" s="74" t="b">
        <v>1</v>
      </c>
    </row>
    <row r="2748" hidden="1">
      <c r="A2748" s="82"/>
      <c r="B2748" s="65" t="s">
        <v>411</v>
      </c>
      <c r="C2748" s="65" t="s">
        <v>122</v>
      </c>
      <c r="D2748" s="65"/>
      <c r="E2748" s="65" t="s">
        <v>1799</v>
      </c>
      <c r="F2748" s="83">
        <v>0.5</v>
      </c>
      <c r="G2748" s="83">
        <v>0.5416666666666666</v>
      </c>
      <c r="H2748" s="83">
        <v>0.041666666666666664</v>
      </c>
      <c r="I2748" s="84">
        <v>44232.0</v>
      </c>
      <c r="J2748" s="65" t="b">
        <v>0</v>
      </c>
      <c r="K2748" s="65"/>
      <c r="L2748" s="85" t="b">
        <f>IF(VLOOKUP(C2748,Projetos!A:L,12,false)=TRUE,TRUE,FALSE)</f>
        <v>1</v>
      </c>
      <c r="M2748" s="74">
        <v>52.48434411075036</v>
      </c>
      <c r="N2748" s="74">
        <f t="shared" si="1"/>
        <v>0</v>
      </c>
      <c r="O2748" s="74" t="b">
        <v>1</v>
      </c>
    </row>
    <row r="2749" hidden="1">
      <c r="A2749" s="82"/>
      <c r="B2749" s="65" t="s">
        <v>411</v>
      </c>
      <c r="C2749" s="65" t="s">
        <v>92</v>
      </c>
      <c r="D2749" s="65"/>
      <c r="E2749" s="65" t="s">
        <v>1800</v>
      </c>
      <c r="F2749" s="83">
        <v>0.4166666666666667</v>
      </c>
      <c r="G2749" s="83">
        <v>0.4583333333333333</v>
      </c>
      <c r="H2749" s="83">
        <v>0.041666666666666664</v>
      </c>
      <c r="I2749" s="84">
        <v>44284.0</v>
      </c>
      <c r="J2749" s="65" t="b">
        <v>0</v>
      </c>
      <c r="K2749" s="65" t="s">
        <v>150</v>
      </c>
      <c r="L2749" s="85" t="b">
        <f>IF(VLOOKUP(C2749,Projetos!A:L,12,false)=TRUE,TRUE,FALSE)</f>
        <v>1</v>
      </c>
      <c r="M2749" s="74">
        <v>52.48434411075036</v>
      </c>
      <c r="N2749" s="74">
        <f t="shared" si="1"/>
        <v>0</v>
      </c>
      <c r="O2749" s="74" t="b">
        <v>1</v>
      </c>
    </row>
    <row r="2750" hidden="1">
      <c r="A2750" s="82"/>
      <c r="B2750" s="65" t="s">
        <v>411</v>
      </c>
      <c r="C2750" s="65" t="s">
        <v>125</v>
      </c>
      <c r="D2750" s="65"/>
      <c r="E2750" s="65" t="s">
        <v>1801</v>
      </c>
      <c r="F2750" s="83">
        <v>0.4166666666666667</v>
      </c>
      <c r="G2750" s="83">
        <v>0.4583333333333333</v>
      </c>
      <c r="H2750" s="83">
        <v>0.041666666666666664</v>
      </c>
      <c r="I2750" s="84">
        <v>44424.0</v>
      </c>
      <c r="J2750" s="65" t="b">
        <v>0</v>
      </c>
      <c r="K2750" s="65" t="s">
        <v>150</v>
      </c>
      <c r="L2750" s="85" t="b">
        <f>IF(VLOOKUP(C2750,Projetos!A:L,12,false)=TRUE,TRUE,FALSE)</f>
        <v>1</v>
      </c>
      <c r="M2750" s="74">
        <v>52.48434411075036</v>
      </c>
      <c r="N2750" s="74">
        <f t="shared" si="1"/>
        <v>0</v>
      </c>
      <c r="O2750" s="74" t="b">
        <v>1</v>
      </c>
    </row>
    <row r="2751" hidden="1">
      <c r="A2751" s="82"/>
      <c r="B2751" s="65" t="s">
        <v>411</v>
      </c>
      <c r="C2751" s="65" t="s">
        <v>118</v>
      </c>
      <c r="D2751" s="65" t="str">
        <f>vlookup(C2751,'Classificação p pessoal'!F:G,2,false)</f>
        <v>MProduto</v>
      </c>
      <c r="E2751" s="65" t="s">
        <v>1802</v>
      </c>
      <c r="F2751" s="83">
        <v>0.4375</v>
      </c>
      <c r="G2751" s="83">
        <v>0.5</v>
      </c>
      <c r="H2751" s="83">
        <v>0.0625</v>
      </c>
      <c r="I2751" s="84">
        <v>44456.0</v>
      </c>
      <c r="J2751" s="65" t="b">
        <v>1</v>
      </c>
      <c r="K2751" s="65"/>
      <c r="L2751" s="85" t="b">
        <f>IF(VLOOKUP(C2751,Projetos!A:L,12,false)=TRUE,TRUE,FALSE)</f>
        <v>1</v>
      </c>
      <c r="M2751" s="74">
        <v>52.48434411075036</v>
      </c>
      <c r="N2751" s="74">
        <f t="shared" si="1"/>
        <v>78.72651617</v>
      </c>
      <c r="O2751" s="74" t="b">
        <v>1</v>
      </c>
    </row>
    <row r="2752" hidden="1">
      <c r="A2752" s="82"/>
      <c r="B2752" s="65" t="s">
        <v>411</v>
      </c>
      <c r="C2752" s="65" t="s">
        <v>117</v>
      </c>
      <c r="D2752" s="65" t="str">
        <f>vlookup(C2752,'Classificação p pessoal'!F:G,2,false)</f>
        <v>NP</v>
      </c>
      <c r="E2752" s="65" t="s">
        <v>1803</v>
      </c>
      <c r="F2752" s="83">
        <v>0.5625</v>
      </c>
      <c r="G2752" s="83">
        <v>0.75</v>
      </c>
      <c r="H2752" s="83">
        <v>0.1875</v>
      </c>
      <c r="I2752" s="84">
        <v>44475.0</v>
      </c>
      <c r="J2752" s="65" t="b">
        <v>1</v>
      </c>
      <c r="K2752" s="65"/>
      <c r="L2752" s="85" t="b">
        <f>IF(VLOOKUP(C2752,Projetos!A:L,12,false)=TRUE,TRUE,FALSE)</f>
        <v>1</v>
      </c>
      <c r="M2752" s="74">
        <v>52.48434411075036</v>
      </c>
      <c r="N2752" s="74">
        <f t="shared" si="1"/>
        <v>236.1795485</v>
      </c>
      <c r="O2752" s="74" t="b">
        <v>1</v>
      </c>
    </row>
    <row r="2753" hidden="1">
      <c r="A2753" s="82"/>
      <c r="B2753" s="65" t="s">
        <v>411</v>
      </c>
      <c r="C2753" s="65" t="s">
        <v>92</v>
      </c>
      <c r="D2753" s="65" t="str">
        <f>vlookup(C2753,'Classificação p pessoal'!F:G,2,false)</f>
        <v/>
      </c>
      <c r="E2753" s="65" t="s">
        <v>1804</v>
      </c>
      <c r="F2753" s="83">
        <v>0.625</v>
      </c>
      <c r="G2753" s="83">
        <v>0.75</v>
      </c>
      <c r="H2753" s="83">
        <v>0.125</v>
      </c>
      <c r="I2753" s="84">
        <v>44293.0</v>
      </c>
      <c r="J2753" s="65" t="b">
        <v>1</v>
      </c>
      <c r="K2753" s="65"/>
      <c r="L2753" s="85" t="b">
        <f>IF(VLOOKUP(C2753,Projetos!A:L,12,false)=TRUE,TRUE,FALSE)</f>
        <v>1</v>
      </c>
      <c r="M2753" s="74">
        <v>52.48434411075036</v>
      </c>
      <c r="N2753" s="74">
        <f t="shared" si="1"/>
        <v>157.4530323</v>
      </c>
      <c r="O2753" s="74" t="b">
        <v>1</v>
      </c>
    </row>
    <row r="2754" hidden="1">
      <c r="A2754" s="82"/>
      <c r="B2754" s="65" t="s">
        <v>411</v>
      </c>
      <c r="C2754" s="65" t="s">
        <v>92</v>
      </c>
      <c r="D2754" s="65"/>
      <c r="E2754" s="65" t="s">
        <v>1805</v>
      </c>
      <c r="F2754" s="83">
        <v>0.34375</v>
      </c>
      <c r="G2754" s="83">
        <v>0.4479166666666667</v>
      </c>
      <c r="H2754" s="83">
        <v>0.10416666666666667</v>
      </c>
      <c r="I2754" s="84">
        <v>44201.0</v>
      </c>
      <c r="J2754" s="65" t="b">
        <v>0</v>
      </c>
      <c r="K2754" s="65" t="s">
        <v>150</v>
      </c>
      <c r="L2754" s="85" t="b">
        <f>IF(VLOOKUP(C2754,Projetos!A:L,12,false)=TRUE,TRUE,FALSE)</f>
        <v>1</v>
      </c>
      <c r="M2754" s="74">
        <v>52.48434411075036</v>
      </c>
      <c r="N2754" s="74">
        <f t="shared" si="1"/>
        <v>0</v>
      </c>
      <c r="O2754" s="74" t="b">
        <v>1</v>
      </c>
    </row>
    <row r="2755" hidden="1">
      <c r="A2755" s="82"/>
      <c r="B2755" s="65" t="s">
        <v>411</v>
      </c>
      <c r="C2755" s="65" t="s">
        <v>101</v>
      </c>
      <c r="D2755" s="65"/>
      <c r="E2755" s="65" t="s">
        <v>1806</v>
      </c>
      <c r="F2755" s="83">
        <v>0.34375</v>
      </c>
      <c r="G2755" s="83">
        <v>0.5416666666666666</v>
      </c>
      <c r="H2755" s="83">
        <v>0.19791666666666666</v>
      </c>
      <c r="I2755" s="84">
        <v>44427.0</v>
      </c>
      <c r="J2755" s="65" t="b">
        <v>0</v>
      </c>
      <c r="K2755" s="65" t="s">
        <v>150</v>
      </c>
      <c r="L2755" s="85" t="b">
        <f>IF(VLOOKUP(C2755,Projetos!A:L,12,false)=TRUE,TRUE,FALSE)</f>
        <v>1</v>
      </c>
      <c r="M2755" s="74">
        <v>52.48434411075036</v>
      </c>
      <c r="N2755" s="74">
        <f t="shared" si="1"/>
        <v>0</v>
      </c>
      <c r="O2755" s="74" t="b">
        <v>1</v>
      </c>
    </row>
    <row r="2756" hidden="1">
      <c r="A2756" s="82"/>
      <c r="B2756" s="65" t="s">
        <v>411</v>
      </c>
      <c r="C2756" s="65" t="s">
        <v>130</v>
      </c>
      <c r="D2756" s="65" t="str">
        <f>vlookup(C2756,'Classificação p pessoal'!F:G,2,false)</f>
        <v>NP</v>
      </c>
      <c r="E2756" s="65" t="s">
        <v>1807</v>
      </c>
      <c r="F2756" s="83">
        <v>0.4791666666666667</v>
      </c>
      <c r="G2756" s="83">
        <v>0.5416666666666666</v>
      </c>
      <c r="H2756" s="83">
        <v>0.0625</v>
      </c>
      <c r="I2756" s="84">
        <v>44201.0</v>
      </c>
      <c r="J2756" s="65" t="b">
        <v>1</v>
      </c>
      <c r="K2756" s="65"/>
      <c r="L2756" s="85" t="b">
        <f>IF(VLOOKUP(C2756,Projetos!A:L,12,false)=TRUE,TRUE,FALSE)</f>
        <v>1</v>
      </c>
      <c r="M2756" s="74">
        <v>52.48434411075036</v>
      </c>
      <c r="N2756" s="74">
        <f t="shared" si="1"/>
        <v>78.72651617</v>
      </c>
      <c r="O2756" s="74" t="b">
        <v>1</v>
      </c>
    </row>
    <row r="2757" hidden="1">
      <c r="A2757" s="82"/>
      <c r="B2757" s="65" t="s">
        <v>411</v>
      </c>
      <c r="C2757" s="65" t="s">
        <v>92</v>
      </c>
      <c r="D2757" s="65" t="str">
        <f>vlookup(C2757,'Classificação p pessoal'!F:G,2,false)</f>
        <v/>
      </c>
      <c r="E2757" s="65" t="s">
        <v>1808</v>
      </c>
      <c r="F2757" s="83">
        <v>0.5833333333333334</v>
      </c>
      <c r="G2757" s="83">
        <v>0.625</v>
      </c>
      <c r="H2757" s="83">
        <v>0.041666666666666664</v>
      </c>
      <c r="I2757" s="84">
        <v>44201.0</v>
      </c>
      <c r="J2757" s="65" t="b">
        <v>1</v>
      </c>
      <c r="K2757" s="65"/>
      <c r="L2757" s="85" t="b">
        <f>IF(VLOOKUP(C2757,Projetos!A:L,12,false)=TRUE,TRUE,FALSE)</f>
        <v>1</v>
      </c>
      <c r="M2757" s="74">
        <v>52.48434411075036</v>
      </c>
      <c r="N2757" s="74">
        <f t="shared" si="1"/>
        <v>52.48434411</v>
      </c>
      <c r="O2757" s="74" t="b">
        <v>1</v>
      </c>
    </row>
    <row r="2758" hidden="1">
      <c r="A2758" s="82"/>
      <c r="B2758" s="65" t="s">
        <v>411</v>
      </c>
      <c r="C2758" s="65" t="s">
        <v>122</v>
      </c>
      <c r="D2758" s="65" t="str">
        <f>vlookup(C2758,'Classificação p pessoal'!F:G,2,false)</f>
        <v>NP</v>
      </c>
      <c r="E2758" s="65" t="s">
        <v>1809</v>
      </c>
      <c r="F2758" s="83">
        <v>0.625</v>
      </c>
      <c r="G2758" s="83">
        <v>0.6666666666666666</v>
      </c>
      <c r="H2758" s="83">
        <v>0.041666666666666664</v>
      </c>
      <c r="I2758" s="84">
        <v>44201.0</v>
      </c>
      <c r="J2758" s="65" t="b">
        <v>1</v>
      </c>
      <c r="K2758" s="65"/>
      <c r="L2758" s="85" t="b">
        <f>IF(VLOOKUP(C2758,Projetos!A:L,12,false)=TRUE,TRUE,FALSE)</f>
        <v>1</v>
      </c>
      <c r="M2758" s="74">
        <v>52.48434411075036</v>
      </c>
      <c r="N2758" s="74">
        <f t="shared" si="1"/>
        <v>52.48434411</v>
      </c>
      <c r="O2758" s="74" t="b">
        <v>1</v>
      </c>
    </row>
    <row r="2759" hidden="1">
      <c r="A2759" s="82"/>
      <c r="B2759" s="65" t="s">
        <v>411</v>
      </c>
      <c r="C2759" s="65" t="s">
        <v>117</v>
      </c>
      <c r="D2759" s="65" t="str">
        <f>vlookup(C2759,'Classificação p pessoal'!F:G,2,false)</f>
        <v>NP</v>
      </c>
      <c r="E2759" s="65" t="s">
        <v>1810</v>
      </c>
      <c r="F2759" s="83">
        <v>0.6666666666666666</v>
      </c>
      <c r="G2759" s="83">
        <v>0.6979166666666666</v>
      </c>
      <c r="H2759" s="83">
        <v>0.03125</v>
      </c>
      <c r="I2759" s="84">
        <v>44201.0</v>
      </c>
      <c r="J2759" s="65" t="b">
        <v>1</v>
      </c>
      <c r="K2759" s="65"/>
      <c r="L2759" s="85" t="b">
        <f>IF(VLOOKUP(C2759,Projetos!A:L,12,false)=TRUE,TRUE,FALSE)</f>
        <v>1</v>
      </c>
      <c r="M2759" s="74">
        <v>52.48434411075036</v>
      </c>
      <c r="N2759" s="74">
        <f t="shared" si="1"/>
        <v>39.36325808</v>
      </c>
      <c r="O2759" s="74" t="b">
        <v>1</v>
      </c>
    </row>
    <row r="2760" hidden="1">
      <c r="A2760" s="82"/>
      <c r="B2760" s="65" t="s">
        <v>411</v>
      </c>
      <c r="C2760" s="65" t="s">
        <v>88</v>
      </c>
      <c r="D2760" s="65" t="str">
        <f>vlookup(C2760,'Classificação p pessoal'!F:G,2,false)</f>
        <v>MProduto</v>
      </c>
      <c r="E2760" s="65" t="s">
        <v>1811</v>
      </c>
      <c r="F2760" s="83">
        <v>0.6979166666666666</v>
      </c>
      <c r="G2760" s="83">
        <v>0.75</v>
      </c>
      <c r="H2760" s="83">
        <v>0.052083333333333336</v>
      </c>
      <c r="I2760" s="84">
        <v>44201.0</v>
      </c>
      <c r="J2760" s="65" t="b">
        <v>1</v>
      </c>
      <c r="K2760" s="65"/>
      <c r="L2760" s="85" t="b">
        <f>IF(VLOOKUP(C2760,Projetos!A:L,12,false)=TRUE,TRUE,FALSE)</f>
        <v>1</v>
      </c>
      <c r="M2760" s="74">
        <v>52.48434411075036</v>
      </c>
      <c r="N2760" s="74">
        <f t="shared" si="1"/>
        <v>65.60543014</v>
      </c>
      <c r="O2760" s="74" t="b">
        <v>1</v>
      </c>
    </row>
    <row r="2761" hidden="1">
      <c r="A2761" s="82"/>
      <c r="B2761" s="65" t="s">
        <v>411</v>
      </c>
      <c r="C2761" s="65" t="s">
        <v>117</v>
      </c>
      <c r="D2761" s="65" t="str">
        <f>vlookup(C2761,'Classificação p pessoal'!F:G,2,false)</f>
        <v>NP</v>
      </c>
      <c r="E2761" s="65" t="s">
        <v>1812</v>
      </c>
      <c r="F2761" s="83">
        <v>0.34375</v>
      </c>
      <c r="G2761" s="83">
        <v>0.375</v>
      </c>
      <c r="H2761" s="83">
        <v>0.03125</v>
      </c>
      <c r="I2761" s="84">
        <v>44202.0</v>
      </c>
      <c r="J2761" s="65" t="b">
        <v>1</v>
      </c>
      <c r="K2761" s="65"/>
      <c r="L2761" s="85" t="b">
        <f>IF(VLOOKUP(C2761,Projetos!A:L,12,false)=TRUE,TRUE,FALSE)</f>
        <v>1</v>
      </c>
      <c r="M2761" s="74">
        <v>52.48434411075036</v>
      </c>
      <c r="N2761" s="74">
        <f t="shared" si="1"/>
        <v>39.36325808</v>
      </c>
      <c r="O2761" s="74" t="b">
        <v>1</v>
      </c>
    </row>
    <row r="2762" hidden="1">
      <c r="A2762" s="82"/>
      <c r="B2762" s="65" t="s">
        <v>411</v>
      </c>
      <c r="C2762" s="65" t="s">
        <v>92</v>
      </c>
      <c r="D2762" s="65" t="str">
        <f>vlookup(C2762,'Classificação p pessoal'!F:G,2,false)</f>
        <v/>
      </c>
      <c r="E2762" s="65" t="s">
        <v>1813</v>
      </c>
      <c r="F2762" s="83">
        <v>0.375</v>
      </c>
      <c r="G2762" s="83">
        <v>0.3958333333333333</v>
      </c>
      <c r="H2762" s="83">
        <v>0.020833333333333332</v>
      </c>
      <c r="I2762" s="84">
        <v>44202.0</v>
      </c>
      <c r="J2762" s="65" t="b">
        <v>1</v>
      </c>
      <c r="K2762" s="65"/>
      <c r="L2762" s="85" t="b">
        <f>IF(VLOOKUP(C2762,Projetos!A:L,12,false)=TRUE,TRUE,FALSE)</f>
        <v>1</v>
      </c>
      <c r="M2762" s="74">
        <v>52.48434411075036</v>
      </c>
      <c r="N2762" s="74">
        <f t="shared" si="1"/>
        <v>26.24217206</v>
      </c>
      <c r="O2762" s="74" t="b">
        <v>1</v>
      </c>
    </row>
    <row r="2763" hidden="1">
      <c r="A2763" s="82"/>
      <c r="B2763" s="65" t="s">
        <v>411</v>
      </c>
      <c r="C2763" s="65" t="s">
        <v>127</v>
      </c>
      <c r="D2763" s="65" t="str">
        <f>vlookup(C2763,'Classificação p pessoal'!F:G,2,false)</f>
        <v>NP</v>
      </c>
      <c r="E2763" s="65" t="s">
        <v>1814</v>
      </c>
      <c r="F2763" s="83">
        <v>0.3958333333333333</v>
      </c>
      <c r="G2763" s="83">
        <v>0.5</v>
      </c>
      <c r="H2763" s="83">
        <v>0.10416666666666667</v>
      </c>
      <c r="I2763" s="84">
        <v>44202.0</v>
      </c>
      <c r="J2763" s="65" t="b">
        <v>1</v>
      </c>
      <c r="K2763" s="65"/>
      <c r="L2763" s="85" t="b">
        <f>IF(VLOOKUP(C2763,Projetos!A:L,12,false)=TRUE,TRUE,FALSE)</f>
        <v>1</v>
      </c>
      <c r="M2763" s="74">
        <v>52.48434411075036</v>
      </c>
      <c r="N2763" s="74">
        <f t="shared" si="1"/>
        <v>131.2108603</v>
      </c>
      <c r="O2763" s="74" t="b">
        <v>1</v>
      </c>
    </row>
    <row r="2764" hidden="1">
      <c r="A2764" s="82"/>
      <c r="B2764" s="65" t="s">
        <v>411</v>
      </c>
      <c r="C2764" s="65" t="s">
        <v>117</v>
      </c>
      <c r="D2764" s="65" t="str">
        <f>vlookup(C2764,'Classificação p pessoal'!F:G,2,false)</f>
        <v>NP</v>
      </c>
      <c r="E2764" s="65" t="s">
        <v>1815</v>
      </c>
      <c r="F2764" s="83">
        <v>0.5416666666666666</v>
      </c>
      <c r="G2764" s="83">
        <v>0.75</v>
      </c>
      <c r="H2764" s="83">
        <v>0.20833333333333334</v>
      </c>
      <c r="I2764" s="84">
        <v>44202.0</v>
      </c>
      <c r="J2764" s="65" t="b">
        <v>1</v>
      </c>
      <c r="K2764" s="65"/>
      <c r="L2764" s="85" t="b">
        <f>IF(VLOOKUP(C2764,Projetos!A:L,12,false)=TRUE,TRUE,FALSE)</f>
        <v>1</v>
      </c>
      <c r="M2764" s="74">
        <v>52.48434411075036</v>
      </c>
      <c r="N2764" s="74">
        <f t="shared" si="1"/>
        <v>262.4217206</v>
      </c>
      <c r="O2764" s="74" t="b">
        <v>1</v>
      </c>
    </row>
    <row r="2765" hidden="1">
      <c r="A2765" s="82"/>
      <c r="B2765" s="65" t="s">
        <v>411</v>
      </c>
      <c r="C2765" s="65" t="s">
        <v>117</v>
      </c>
      <c r="D2765" s="65" t="str">
        <f>vlookup(C2765,'Classificação p pessoal'!F:G,2,false)</f>
        <v>NP</v>
      </c>
      <c r="E2765" s="65" t="s">
        <v>1814</v>
      </c>
      <c r="F2765" s="83">
        <v>0.34375</v>
      </c>
      <c r="G2765" s="83">
        <v>0.4166666666666667</v>
      </c>
      <c r="H2765" s="83">
        <v>0.07291666666666667</v>
      </c>
      <c r="I2765" s="84">
        <v>44203.0</v>
      </c>
      <c r="J2765" s="65" t="b">
        <v>1</v>
      </c>
      <c r="K2765" s="65"/>
      <c r="L2765" s="85" t="b">
        <f>IF(VLOOKUP(C2765,Projetos!A:L,12,false)=TRUE,TRUE,FALSE)</f>
        <v>1</v>
      </c>
      <c r="M2765" s="74">
        <v>52.48434411075036</v>
      </c>
      <c r="N2765" s="74">
        <f t="shared" si="1"/>
        <v>91.84760219</v>
      </c>
      <c r="O2765" s="74" t="b">
        <v>1</v>
      </c>
    </row>
    <row r="2766" hidden="1">
      <c r="A2766" s="82"/>
      <c r="B2766" s="65" t="s">
        <v>411</v>
      </c>
      <c r="C2766" s="65" t="s">
        <v>92</v>
      </c>
      <c r="D2766" s="65" t="str">
        <f>vlookup(C2766,'Classificação p pessoal'!F:G,2,false)</f>
        <v/>
      </c>
      <c r="E2766" s="65" t="s">
        <v>1816</v>
      </c>
      <c r="F2766" s="83">
        <v>0.4166666666666667</v>
      </c>
      <c r="G2766" s="83">
        <v>0.4583333333333333</v>
      </c>
      <c r="H2766" s="83">
        <v>0.041666666666666664</v>
      </c>
      <c r="I2766" s="84">
        <v>44203.0</v>
      </c>
      <c r="J2766" s="65" t="b">
        <v>1</v>
      </c>
      <c r="K2766" s="65"/>
      <c r="L2766" s="85" t="b">
        <f>IF(VLOOKUP(C2766,Projetos!A:L,12,false)=TRUE,TRUE,FALSE)</f>
        <v>1</v>
      </c>
      <c r="M2766" s="74">
        <v>52.48434411075036</v>
      </c>
      <c r="N2766" s="74">
        <f t="shared" si="1"/>
        <v>52.48434411</v>
      </c>
      <c r="O2766" s="74" t="b">
        <v>1</v>
      </c>
    </row>
    <row r="2767" hidden="1">
      <c r="A2767" s="82"/>
      <c r="B2767" s="65" t="s">
        <v>411</v>
      </c>
      <c r="C2767" s="65" t="s">
        <v>117</v>
      </c>
      <c r="D2767" s="65" t="str">
        <f>vlookup(C2767,'Classificação p pessoal'!F:G,2,false)</f>
        <v>NP</v>
      </c>
      <c r="E2767" s="65" t="s">
        <v>1817</v>
      </c>
      <c r="F2767" s="83">
        <v>0.4583333333333333</v>
      </c>
      <c r="G2767" s="83">
        <v>0.4930555555555556</v>
      </c>
      <c r="H2767" s="83">
        <v>0.034722222222222224</v>
      </c>
      <c r="I2767" s="84">
        <v>44203.0</v>
      </c>
      <c r="J2767" s="65" t="b">
        <v>1</v>
      </c>
      <c r="K2767" s="65"/>
      <c r="L2767" s="85" t="b">
        <f>IF(VLOOKUP(C2767,Projetos!A:L,12,false)=TRUE,TRUE,FALSE)</f>
        <v>1</v>
      </c>
      <c r="M2767" s="74">
        <v>52.48434411075036</v>
      </c>
      <c r="N2767" s="74">
        <f t="shared" si="1"/>
        <v>43.73695343</v>
      </c>
      <c r="O2767" s="74" t="b">
        <v>1</v>
      </c>
    </row>
    <row r="2768" hidden="1">
      <c r="A2768" s="82"/>
      <c r="B2768" s="65" t="s">
        <v>411</v>
      </c>
      <c r="C2768" s="65" t="s">
        <v>92</v>
      </c>
      <c r="D2768" s="65"/>
      <c r="E2768" s="65" t="s">
        <v>1805</v>
      </c>
      <c r="F2768" s="83">
        <v>0.4930555555555556</v>
      </c>
      <c r="G2768" s="83">
        <v>0.5833333333333334</v>
      </c>
      <c r="H2768" s="83">
        <v>0.09027777777777778</v>
      </c>
      <c r="I2768" s="84">
        <v>44203.0</v>
      </c>
      <c r="J2768" s="65" t="b">
        <v>0</v>
      </c>
      <c r="K2768" s="65" t="s">
        <v>150</v>
      </c>
      <c r="L2768" s="85" t="b">
        <f>IF(VLOOKUP(C2768,Projetos!A:L,12,false)=TRUE,TRUE,FALSE)</f>
        <v>1</v>
      </c>
      <c r="M2768" s="74">
        <v>52.48434411075036</v>
      </c>
      <c r="N2768" s="74">
        <f t="shared" si="1"/>
        <v>0</v>
      </c>
      <c r="O2768" s="74" t="b">
        <v>1</v>
      </c>
    </row>
    <row r="2769" hidden="1">
      <c r="A2769" s="82"/>
      <c r="B2769" s="65" t="s">
        <v>411</v>
      </c>
      <c r="C2769" s="65" t="s">
        <v>132</v>
      </c>
      <c r="D2769" s="65"/>
      <c r="E2769" s="65" t="s">
        <v>1818</v>
      </c>
      <c r="F2769" s="83">
        <v>0.625</v>
      </c>
      <c r="G2769" s="83">
        <v>0.6875</v>
      </c>
      <c r="H2769" s="83">
        <v>0.0625</v>
      </c>
      <c r="I2769" s="84">
        <v>44203.0</v>
      </c>
      <c r="J2769" s="65" t="b">
        <v>1</v>
      </c>
      <c r="K2769" s="65"/>
      <c r="L2769" s="85" t="b">
        <f>IF(VLOOKUP(C2769,Projetos!A:L,12,false)=TRUE,TRUE,FALSE)</f>
        <v>0</v>
      </c>
      <c r="M2769" s="74">
        <v>52.48434411075036</v>
      </c>
      <c r="N2769" s="74">
        <f t="shared" si="1"/>
        <v>0</v>
      </c>
      <c r="O2769" s="74" t="b">
        <v>0</v>
      </c>
    </row>
    <row r="2770" hidden="1">
      <c r="A2770" s="82"/>
      <c r="B2770" s="65" t="s">
        <v>411</v>
      </c>
      <c r="C2770" s="65" t="s">
        <v>92</v>
      </c>
      <c r="D2770" s="65" t="str">
        <f>vlookup(C2770,'Classificação p pessoal'!F:G,2,false)</f>
        <v/>
      </c>
      <c r="E2770" s="65" t="s">
        <v>1808</v>
      </c>
      <c r="F2770" s="83">
        <v>0.6875</v>
      </c>
      <c r="G2770" s="83">
        <v>0.7083333333333334</v>
      </c>
      <c r="H2770" s="83">
        <v>0.020833333333333332</v>
      </c>
      <c r="I2770" s="84">
        <v>44203.0</v>
      </c>
      <c r="J2770" s="65" t="b">
        <v>1</v>
      </c>
      <c r="K2770" s="65"/>
      <c r="L2770" s="85" t="b">
        <f>IF(VLOOKUP(C2770,Projetos!A:L,12,false)=TRUE,TRUE,FALSE)</f>
        <v>1</v>
      </c>
      <c r="M2770" s="74">
        <v>52.48434411075036</v>
      </c>
      <c r="N2770" s="74">
        <f t="shared" si="1"/>
        <v>26.24217206</v>
      </c>
      <c r="O2770" s="74" t="b">
        <v>1</v>
      </c>
    </row>
    <row r="2771" hidden="1">
      <c r="A2771" s="82"/>
      <c r="B2771" s="65" t="s">
        <v>411</v>
      </c>
      <c r="C2771" s="65" t="s">
        <v>117</v>
      </c>
      <c r="D2771" s="65" t="str">
        <f>vlookup(C2771,'Classificação p pessoal'!F:G,2,false)</f>
        <v>NP</v>
      </c>
      <c r="E2771" s="65" t="s">
        <v>1815</v>
      </c>
      <c r="F2771" s="83">
        <v>0.7083333333333334</v>
      </c>
      <c r="G2771" s="83">
        <v>0.75</v>
      </c>
      <c r="H2771" s="83">
        <v>0.041666666666666664</v>
      </c>
      <c r="I2771" s="84">
        <v>44203.0</v>
      </c>
      <c r="J2771" s="65" t="b">
        <v>1</v>
      </c>
      <c r="K2771" s="65"/>
      <c r="L2771" s="85" t="b">
        <f>IF(VLOOKUP(C2771,Projetos!A:L,12,false)=TRUE,TRUE,FALSE)</f>
        <v>1</v>
      </c>
      <c r="M2771" s="74">
        <v>52.48434411075036</v>
      </c>
      <c r="N2771" s="74">
        <f t="shared" si="1"/>
        <v>52.48434411</v>
      </c>
      <c r="O2771" s="74" t="b">
        <v>1</v>
      </c>
    </row>
    <row r="2772" hidden="1">
      <c r="A2772" s="82"/>
      <c r="B2772" s="65" t="s">
        <v>411</v>
      </c>
      <c r="C2772" s="65" t="s">
        <v>92</v>
      </c>
      <c r="D2772" s="65" t="str">
        <f>vlookup(C2772,'Classificação p pessoal'!F:G,2,false)</f>
        <v/>
      </c>
      <c r="E2772" s="65" t="s">
        <v>1819</v>
      </c>
      <c r="F2772" s="83">
        <v>0.34375</v>
      </c>
      <c r="G2772" s="83">
        <v>0.4375</v>
      </c>
      <c r="H2772" s="83">
        <v>0.09375</v>
      </c>
      <c r="I2772" s="84">
        <v>44204.0</v>
      </c>
      <c r="J2772" s="65" t="b">
        <v>1</v>
      </c>
      <c r="K2772" s="65"/>
      <c r="L2772" s="85" t="b">
        <f>IF(VLOOKUP(C2772,Projetos!A:L,12,false)=TRUE,TRUE,FALSE)</f>
        <v>1</v>
      </c>
      <c r="M2772" s="74">
        <v>52.48434411075036</v>
      </c>
      <c r="N2772" s="74">
        <f t="shared" si="1"/>
        <v>118.0897742</v>
      </c>
      <c r="O2772" s="74" t="b">
        <v>1</v>
      </c>
    </row>
    <row r="2773" hidden="1">
      <c r="A2773" s="82"/>
      <c r="B2773" s="65" t="s">
        <v>411</v>
      </c>
      <c r="C2773" s="65" t="s">
        <v>117</v>
      </c>
      <c r="D2773" s="65" t="str">
        <f>vlookup(C2773,'Classificação p pessoal'!F:G,2,false)</f>
        <v>NP</v>
      </c>
      <c r="E2773" s="65" t="s">
        <v>1820</v>
      </c>
      <c r="F2773" s="83">
        <v>0.4375</v>
      </c>
      <c r="G2773" s="83">
        <v>0.4791666666666667</v>
      </c>
      <c r="H2773" s="83">
        <v>0.041666666666666664</v>
      </c>
      <c r="I2773" s="84">
        <v>44204.0</v>
      </c>
      <c r="J2773" s="65" t="b">
        <v>1</v>
      </c>
      <c r="K2773" s="65"/>
      <c r="L2773" s="85" t="b">
        <f>IF(VLOOKUP(C2773,Projetos!A:L,12,false)=TRUE,TRUE,FALSE)</f>
        <v>1</v>
      </c>
      <c r="M2773" s="74">
        <v>52.48434411075036</v>
      </c>
      <c r="N2773" s="74">
        <f t="shared" si="1"/>
        <v>52.48434411</v>
      </c>
      <c r="O2773" s="74" t="b">
        <v>1</v>
      </c>
    </row>
    <row r="2774" hidden="1">
      <c r="A2774" s="82"/>
      <c r="B2774" s="65" t="s">
        <v>411</v>
      </c>
      <c r="C2774" s="65" t="s">
        <v>130</v>
      </c>
      <c r="D2774" s="65" t="str">
        <f>vlookup(C2774,'Classificação p pessoal'!F:G,2,false)</f>
        <v>NP</v>
      </c>
      <c r="E2774" s="65" t="s">
        <v>1821</v>
      </c>
      <c r="F2774" s="83">
        <v>0.4791666666666667</v>
      </c>
      <c r="G2774" s="83">
        <v>0.5</v>
      </c>
      <c r="H2774" s="83">
        <v>0.020833333333333332</v>
      </c>
      <c r="I2774" s="84">
        <v>44204.0</v>
      </c>
      <c r="J2774" s="65" t="b">
        <v>1</v>
      </c>
      <c r="K2774" s="65"/>
      <c r="L2774" s="85" t="b">
        <f>IF(VLOOKUP(C2774,Projetos!A:L,12,false)=TRUE,TRUE,FALSE)</f>
        <v>1</v>
      </c>
      <c r="M2774" s="74">
        <v>52.48434411075036</v>
      </c>
      <c r="N2774" s="74">
        <f t="shared" si="1"/>
        <v>26.24217206</v>
      </c>
      <c r="O2774" s="74" t="b">
        <v>1</v>
      </c>
    </row>
    <row r="2775" hidden="1">
      <c r="A2775" s="82"/>
      <c r="B2775" s="65" t="s">
        <v>411</v>
      </c>
      <c r="C2775" s="65" t="s">
        <v>127</v>
      </c>
      <c r="D2775" s="65" t="str">
        <f>vlookup(C2775,'Classificação p pessoal'!F:G,2,false)</f>
        <v>NP</v>
      </c>
      <c r="E2775" s="65" t="s">
        <v>1822</v>
      </c>
      <c r="F2775" s="83">
        <v>0.5416666666666666</v>
      </c>
      <c r="G2775" s="83">
        <v>0.6041666666666666</v>
      </c>
      <c r="H2775" s="83">
        <v>0.0625</v>
      </c>
      <c r="I2775" s="84">
        <v>44204.0</v>
      </c>
      <c r="J2775" s="65" t="b">
        <v>1</v>
      </c>
      <c r="K2775" s="65"/>
      <c r="L2775" s="85" t="b">
        <f>IF(VLOOKUP(C2775,Projetos!A:L,12,false)=TRUE,TRUE,FALSE)</f>
        <v>1</v>
      </c>
      <c r="M2775" s="74">
        <v>52.48434411075036</v>
      </c>
      <c r="N2775" s="74">
        <f t="shared" si="1"/>
        <v>78.72651617</v>
      </c>
      <c r="O2775" s="74" t="b">
        <v>1</v>
      </c>
    </row>
    <row r="2776" hidden="1">
      <c r="A2776" s="82"/>
      <c r="B2776" s="65" t="s">
        <v>411</v>
      </c>
      <c r="C2776" s="65" t="s">
        <v>92</v>
      </c>
      <c r="D2776" s="65" t="str">
        <f>vlookup(C2776,'Classificação p pessoal'!F:G,2,false)</f>
        <v/>
      </c>
      <c r="E2776" s="65" t="s">
        <v>1823</v>
      </c>
      <c r="F2776" s="83">
        <v>0.6041666666666666</v>
      </c>
      <c r="G2776" s="83">
        <v>0.75</v>
      </c>
      <c r="H2776" s="83">
        <v>0.14583333333333334</v>
      </c>
      <c r="I2776" s="84">
        <v>44204.0</v>
      </c>
      <c r="J2776" s="65" t="b">
        <v>1</v>
      </c>
      <c r="K2776" s="65"/>
      <c r="L2776" s="85" t="b">
        <f>IF(VLOOKUP(C2776,Projetos!A:L,12,false)=TRUE,TRUE,FALSE)</f>
        <v>1</v>
      </c>
      <c r="M2776" s="74">
        <v>52.48434411075036</v>
      </c>
      <c r="N2776" s="74">
        <f t="shared" si="1"/>
        <v>183.6952044</v>
      </c>
      <c r="O2776" s="74" t="b">
        <v>1</v>
      </c>
    </row>
    <row r="2777" hidden="1">
      <c r="A2777" s="82"/>
      <c r="B2777" s="65" t="s">
        <v>411</v>
      </c>
      <c r="C2777" s="65" t="s">
        <v>92</v>
      </c>
      <c r="D2777" s="65" t="str">
        <f>vlookup(C2777,'Classificação p pessoal'!F:G,2,false)</f>
        <v/>
      </c>
      <c r="E2777" s="65" t="s">
        <v>1824</v>
      </c>
      <c r="F2777" s="83">
        <v>0.34375</v>
      </c>
      <c r="G2777" s="83">
        <v>0.375</v>
      </c>
      <c r="H2777" s="83">
        <v>0.03125</v>
      </c>
      <c r="I2777" s="84">
        <v>44208.0</v>
      </c>
      <c r="J2777" s="65" t="b">
        <v>1</v>
      </c>
      <c r="K2777" s="65"/>
      <c r="L2777" s="85" t="b">
        <f>IF(VLOOKUP(C2777,Projetos!A:L,12,false)=TRUE,TRUE,FALSE)</f>
        <v>1</v>
      </c>
      <c r="M2777" s="74">
        <v>52.48434411075036</v>
      </c>
      <c r="N2777" s="74">
        <f t="shared" si="1"/>
        <v>39.36325808</v>
      </c>
      <c r="O2777" s="74" t="b">
        <v>1</v>
      </c>
    </row>
    <row r="2778" hidden="1">
      <c r="A2778" s="82"/>
      <c r="B2778" s="65" t="s">
        <v>411</v>
      </c>
      <c r="C2778" s="65" t="s">
        <v>130</v>
      </c>
      <c r="D2778" s="65" t="str">
        <f>vlookup(C2778,'Classificação p pessoal'!F:G,2,false)</f>
        <v>NP</v>
      </c>
      <c r="E2778" s="65" t="s">
        <v>1821</v>
      </c>
      <c r="F2778" s="83">
        <v>0.375</v>
      </c>
      <c r="G2778" s="83">
        <v>0.3854166666666667</v>
      </c>
      <c r="H2778" s="83">
        <v>0.010416666666666666</v>
      </c>
      <c r="I2778" s="84">
        <v>44208.0</v>
      </c>
      <c r="J2778" s="65" t="b">
        <v>1</v>
      </c>
      <c r="K2778" s="65"/>
      <c r="L2778" s="85" t="b">
        <f>IF(VLOOKUP(C2778,Projetos!A:L,12,false)=TRUE,TRUE,FALSE)</f>
        <v>1</v>
      </c>
      <c r="M2778" s="74">
        <v>52.48434411075036</v>
      </c>
      <c r="N2778" s="74">
        <f t="shared" si="1"/>
        <v>13.12108603</v>
      </c>
      <c r="O2778" s="74" t="b">
        <v>1</v>
      </c>
    </row>
    <row r="2779" hidden="1">
      <c r="A2779" s="82"/>
      <c r="B2779" s="65" t="s">
        <v>411</v>
      </c>
      <c r="C2779" s="65" t="s">
        <v>152</v>
      </c>
      <c r="D2779" s="65" t="str">
        <f>vlookup(C2779,'Classificação p pessoal'!F:G,2,false)</f>
        <v>MProduto</v>
      </c>
      <c r="E2779" s="65" t="s">
        <v>1825</v>
      </c>
      <c r="F2779" s="83">
        <v>0.3854166666666667</v>
      </c>
      <c r="G2779" s="83">
        <v>0.40625</v>
      </c>
      <c r="H2779" s="83">
        <v>0.020833333333333332</v>
      </c>
      <c r="I2779" s="84">
        <v>44208.0</v>
      </c>
      <c r="J2779" s="65" t="b">
        <v>1</v>
      </c>
      <c r="K2779" s="65"/>
      <c r="L2779" s="85" t="b">
        <f>IF(VLOOKUP(C2779,Projetos!A:L,12,false)=TRUE,TRUE,FALSE)</f>
        <v>1</v>
      </c>
      <c r="M2779" s="74">
        <v>52.48434411075036</v>
      </c>
      <c r="N2779" s="74">
        <f t="shared" si="1"/>
        <v>26.24217206</v>
      </c>
      <c r="O2779" s="74" t="b">
        <v>1</v>
      </c>
    </row>
    <row r="2780" hidden="1">
      <c r="A2780" s="82"/>
      <c r="B2780" s="65" t="s">
        <v>411</v>
      </c>
      <c r="C2780" s="65" t="s">
        <v>117</v>
      </c>
      <c r="D2780" s="65" t="str">
        <f>vlookup(C2780,'Classificação p pessoal'!F:G,2,false)</f>
        <v>NP</v>
      </c>
      <c r="E2780" s="65" t="s">
        <v>1826</v>
      </c>
      <c r="F2780" s="83">
        <v>0.40625</v>
      </c>
      <c r="G2780" s="83">
        <v>0.4583333333333333</v>
      </c>
      <c r="H2780" s="83">
        <v>0.052083333333333336</v>
      </c>
      <c r="I2780" s="84">
        <v>44208.0</v>
      </c>
      <c r="J2780" s="65" t="b">
        <v>1</v>
      </c>
      <c r="K2780" s="65"/>
      <c r="L2780" s="85" t="b">
        <f>IF(VLOOKUP(C2780,Projetos!A:L,12,false)=TRUE,TRUE,FALSE)</f>
        <v>1</v>
      </c>
      <c r="M2780" s="74">
        <v>52.48434411075036</v>
      </c>
      <c r="N2780" s="74">
        <f t="shared" si="1"/>
        <v>65.60543014</v>
      </c>
      <c r="O2780" s="74" t="b">
        <v>1</v>
      </c>
    </row>
    <row r="2781" hidden="1">
      <c r="A2781" s="82"/>
      <c r="B2781" s="65" t="s">
        <v>411</v>
      </c>
      <c r="C2781" s="65" t="s">
        <v>88</v>
      </c>
      <c r="D2781" s="65" t="str">
        <f>vlookup(C2781,'Classificação p pessoal'!F:G,2,false)</f>
        <v>MProduto</v>
      </c>
      <c r="E2781" s="65" t="s">
        <v>1827</v>
      </c>
      <c r="F2781" s="83">
        <v>0.4583333333333333</v>
      </c>
      <c r="G2781" s="83">
        <v>0.5208333333333334</v>
      </c>
      <c r="H2781" s="83">
        <v>0.0625</v>
      </c>
      <c r="I2781" s="84">
        <v>44208.0</v>
      </c>
      <c r="J2781" s="65" t="b">
        <v>1</v>
      </c>
      <c r="K2781" s="65"/>
      <c r="L2781" s="85" t="b">
        <f>IF(VLOOKUP(C2781,Projetos!A:L,12,false)=TRUE,TRUE,FALSE)</f>
        <v>1</v>
      </c>
      <c r="M2781" s="74">
        <v>52.48434411075036</v>
      </c>
      <c r="N2781" s="74">
        <f t="shared" si="1"/>
        <v>78.72651617</v>
      </c>
      <c r="O2781" s="74" t="b">
        <v>1</v>
      </c>
    </row>
    <row r="2782" hidden="1">
      <c r="A2782" s="82"/>
      <c r="B2782" s="65" t="s">
        <v>411</v>
      </c>
      <c r="C2782" s="65" t="s">
        <v>92</v>
      </c>
      <c r="D2782" s="65" t="str">
        <f>vlookup(C2782,'Classificação p pessoal'!F:G,2,false)</f>
        <v/>
      </c>
      <c r="E2782" s="65" t="s">
        <v>1828</v>
      </c>
      <c r="F2782" s="83">
        <v>0.5208333333333334</v>
      </c>
      <c r="G2782" s="83">
        <v>0.5833333333333334</v>
      </c>
      <c r="H2782" s="83">
        <v>0.0625</v>
      </c>
      <c r="I2782" s="84">
        <v>44208.0</v>
      </c>
      <c r="J2782" s="65" t="b">
        <v>1</v>
      </c>
      <c r="K2782" s="65"/>
      <c r="L2782" s="85" t="b">
        <f>IF(VLOOKUP(C2782,Projetos!A:L,12,false)=TRUE,TRUE,FALSE)</f>
        <v>1</v>
      </c>
      <c r="M2782" s="74">
        <v>52.48434411075036</v>
      </c>
      <c r="N2782" s="74">
        <f t="shared" si="1"/>
        <v>78.72651617</v>
      </c>
      <c r="O2782" s="74" t="b">
        <v>1</v>
      </c>
    </row>
    <row r="2783" hidden="1">
      <c r="A2783" s="82"/>
      <c r="B2783" s="65" t="s">
        <v>411</v>
      </c>
      <c r="C2783" s="65" t="s">
        <v>119</v>
      </c>
      <c r="D2783" s="65" t="str">
        <f>vlookup(C2783,'Classificação p pessoal'!F:G,2,false)</f>
        <v>NP</v>
      </c>
      <c r="E2783" s="65" t="s">
        <v>1829</v>
      </c>
      <c r="F2783" s="83">
        <v>0.4791666666666667</v>
      </c>
      <c r="G2783" s="83">
        <v>0.5416666666666666</v>
      </c>
      <c r="H2783" s="83">
        <v>0.0625</v>
      </c>
      <c r="I2783" s="84">
        <v>44370.0</v>
      </c>
      <c r="J2783" s="65" t="b">
        <v>1</v>
      </c>
      <c r="K2783" s="65"/>
      <c r="L2783" s="85" t="b">
        <f>IF(VLOOKUP(C2783,Projetos!A:L,12,false)=TRUE,TRUE,FALSE)</f>
        <v>1</v>
      </c>
      <c r="M2783" s="74">
        <v>52.48434411075036</v>
      </c>
      <c r="N2783" s="74">
        <f t="shared" si="1"/>
        <v>78.72651617</v>
      </c>
      <c r="O2783" s="74" t="b">
        <v>1</v>
      </c>
    </row>
    <row r="2784" hidden="1">
      <c r="A2784" s="82"/>
      <c r="B2784" s="65" t="s">
        <v>411</v>
      </c>
      <c r="C2784" s="65" t="s">
        <v>132</v>
      </c>
      <c r="D2784" s="65"/>
      <c r="E2784" s="65" t="s">
        <v>1830</v>
      </c>
      <c r="F2784" s="83">
        <v>0.6875</v>
      </c>
      <c r="G2784" s="83">
        <v>0.75</v>
      </c>
      <c r="H2784" s="83">
        <v>0.0625</v>
      </c>
      <c r="I2784" s="84">
        <v>44208.0</v>
      </c>
      <c r="J2784" s="65" t="b">
        <v>1</v>
      </c>
      <c r="K2784" s="65"/>
      <c r="L2784" s="85" t="b">
        <f>IF(VLOOKUP(C2784,Projetos!A:L,12,false)=TRUE,TRUE,FALSE)</f>
        <v>0</v>
      </c>
      <c r="M2784" s="74">
        <v>52.48434411075036</v>
      </c>
      <c r="N2784" s="74">
        <f t="shared" si="1"/>
        <v>0</v>
      </c>
      <c r="O2784" s="74" t="b">
        <v>0</v>
      </c>
    </row>
    <row r="2785" hidden="1">
      <c r="A2785" s="82"/>
      <c r="B2785" s="65" t="s">
        <v>411</v>
      </c>
      <c r="C2785" s="65" t="s">
        <v>117</v>
      </c>
      <c r="D2785" s="65" t="str">
        <f>vlookup(C2785,'Classificação p pessoal'!F:G,2,false)</f>
        <v>NP</v>
      </c>
      <c r="E2785" s="65" t="s">
        <v>1831</v>
      </c>
      <c r="F2785" s="83">
        <v>0.34375</v>
      </c>
      <c r="G2785" s="83">
        <v>0.4270833333333333</v>
      </c>
      <c r="H2785" s="83">
        <v>0.08333333333333333</v>
      </c>
      <c r="I2785" s="84">
        <v>44209.0</v>
      </c>
      <c r="J2785" s="65" t="b">
        <v>1</v>
      </c>
      <c r="K2785" s="65"/>
      <c r="L2785" s="85" t="b">
        <f>IF(VLOOKUP(C2785,Projetos!A:L,12,false)=TRUE,TRUE,FALSE)</f>
        <v>1</v>
      </c>
      <c r="M2785" s="74">
        <v>52.48434411075036</v>
      </c>
      <c r="N2785" s="74">
        <f t="shared" si="1"/>
        <v>104.9686882</v>
      </c>
      <c r="O2785" s="74" t="b">
        <v>1</v>
      </c>
    </row>
    <row r="2786" hidden="1">
      <c r="A2786" s="82"/>
      <c r="B2786" s="65" t="s">
        <v>411</v>
      </c>
      <c r="C2786" s="65" t="s">
        <v>92</v>
      </c>
      <c r="D2786" s="65" t="str">
        <f>vlookup(C2786,'Classificação p pessoal'!F:G,2,false)</f>
        <v/>
      </c>
      <c r="E2786" s="65" t="s">
        <v>1832</v>
      </c>
      <c r="F2786" s="83">
        <v>0.4375</v>
      </c>
      <c r="G2786" s="83">
        <v>0.5</v>
      </c>
      <c r="H2786" s="83">
        <v>0.0625</v>
      </c>
      <c r="I2786" s="84">
        <v>44209.0</v>
      </c>
      <c r="J2786" s="65" t="b">
        <v>1</v>
      </c>
      <c r="K2786" s="65"/>
      <c r="L2786" s="85" t="b">
        <f>IF(VLOOKUP(C2786,Projetos!A:L,12,false)=TRUE,TRUE,FALSE)</f>
        <v>1</v>
      </c>
      <c r="M2786" s="74">
        <v>52.48434411075036</v>
      </c>
      <c r="N2786" s="74">
        <f t="shared" si="1"/>
        <v>78.72651617</v>
      </c>
      <c r="O2786" s="74" t="b">
        <v>1</v>
      </c>
    </row>
    <row r="2787" hidden="1">
      <c r="A2787" s="82"/>
      <c r="B2787" s="65" t="s">
        <v>411</v>
      </c>
      <c r="C2787" s="65" t="s">
        <v>132</v>
      </c>
      <c r="D2787" s="65"/>
      <c r="E2787" s="65" t="s">
        <v>1833</v>
      </c>
      <c r="F2787" s="83">
        <v>0.5</v>
      </c>
      <c r="G2787" s="83">
        <v>0.5208333333333334</v>
      </c>
      <c r="H2787" s="83">
        <v>0.020833333333333332</v>
      </c>
      <c r="I2787" s="84">
        <v>44209.0</v>
      </c>
      <c r="J2787" s="65" t="b">
        <v>1</v>
      </c>
      <c r="K2787" s="65"/>
      <c r="L2787" s="85" t="b">
        <f>IF(VLOOKUP(C2787,Projetos!A:L,12,false)=TRUE,TRUE,FALSE)</f>
        <v>0</v>
      </c>
      <c r="M2787" s="74">
        <v>52.48434411075036</v>
      </c>
      <c r="N2787" s="74">
        <f t="shared" si="1"/>
        <v>0</v>
      </c>
      <c r="O2787" s="74" t="b">
        <v>0</v>
      </c>
    </row>
    <row r="2788" hidden="1">
      <c r="A2788" s="82"/>
      <c r="B2788" s="65" t="s">
        <v>411</v>
      </c>
      <c r="C2788" s="65" t="s">
        <v>92</v>
      </c>
      <c r="D2788" s="65" t="str">
        <f>vlookup(C2788,'Classificação p pessoal'!F:G,2,false)</f>
        <v/>
      </c>
      <c r="E2788" s="65" t="s">
        <v>1834</v>
      </c>
      <c r="F2788" s="83">
        <v>0.5625</v>
      </c>
      <c r="G2788" s="83">
        <v>0.7291666666666666</v>
      </c>
      <c r="H2788" s="83">
        <v>0.16666666666666666</v>
      </c>
      <c r="I2788" s="84">
        <v>44209.0</v>
      </c>
      <c r="J2788" s="65" t="b">
        <v>1</v>
      </c>
      <c r="K2788" s="65"/>
      <c r="L2788" s="85" t="b">
        <f>IF(VLOOKUP(C2788,Projetos!A:L,12,false)=TRUE,TRUE,FALSE)</f>
        <v>1</v>
      </c>
      <c r="M2788" s="74">
        <v>52.48434411075036</v>
      </c>
      <c r="N2788" s="74">
        <f t="shared" si="1"/>
        <v>209.9373764</v>
      </c>
      <c r="O2788" s="74" t="b">
        <v>1</v>
      </c>
    </row>
    <row r="2789" hidden="1">
      <c r="A2789" s="82"/>
      <c r="B2789" s="65" t="s">
        <v>411</v>
      </c>
      <c r="C2789" s="65" t="s">
        <v>117</v>
      </c>
      <c r="D2789" s="65" t="str">
        <f>vlookup(C2789,'Classificação p pessoal'!F:G,2,false)</f>
        <v>NP</v>
      </c>
      <c r="E2789" s="65" t="s">
        <v>1835</v>
      </c>
      <c r="F2789" s="83">
        <v>0.7291666666666666</v>
      </c>
      <c r="G2789" s="83">
        <v>0.75</v>
      </c>
      <c r="H2789" s="83">
        <v>0.020833333333333332</v>
      </c>
      <c r="I2789" s="84">
        <v>44209.0</v>
      </c>
      <c r="J2789" s="65" t="b">
        <v>1</v>
      </c>
      <c r="K2789" s="65"/>
      <c r="L2789" s="85" t="b">
        <f>IF(VLOOKUP(C2789,Projetos!A:L,12,false)=TRUE,TRUE,FALSE)</f>
        <v>1</v>
      </c>
      <c r="M2789" s="74">
        <v>52.48434411075036</v>
      </c>
      <c r="N2789" s="74">
        <f t="shared" si="1"/>
        <v>26.24217206</v>
      </c>
      <c r="O2789" s="74" t="b">
        <v>1</v>
      </c>
    </row>
    <row r="2790" hidden="1">
      <c r="A2790" s="82"/>
      <c r="B2790" s="65" t="s">
        <v>411</v>
      </c>
      <c r="C2790" s="65" t="s">
        <v>88</v>
      </c>
      <c r="D2790" s="65" t="str">
        <f>vlookup(C2790,'Classificação p pessoal'!F:G,2,false)</f>
        <v>MProduto</v>
      </c>
      <c r="E2790" s="65" t="s">
        <v>1836</v>
      </c>
      <c r="F2790" s="83">
        <v>0.34375</v>
      </c>
      <c r="G2790" s="83">
        <v>0.4166666666666667</v>
      </c>
      <c r="H2790" s="83">
        <v>0.07291666666666667</v>
      </c>
      <c r="I2790" s="84">
        <v>44210.0</v>
      </c>
      <c r="J2790" s="65" t="b">
        <v>1</v>
      </c>
      <c r="K2790" s="65"/>
      <c r="L2790" s="85" t="b">
        <f>IF(VLOOKUP(C2790,Projetos!A:L,12,false)=TRUE,TRUE,FALSE)</f>
        <v>1</v>
      </c>
      <c r="M2790" s="74">
        <v>52.48434411075036</v>
      </c>
      <c r="N2790" s="74">
        <f t="shared" si="1"/>
        <v>91.84760219</v>
      </c>
      <c r="O2790" s="74" t="b">
        <v>1</v>
      </c>
    </row>
    <row r="2791" hidden="1">
      <c r="A2791" s="82"/>
      <c r="B2791" s="65" t="s">
        <v>411</v>
      </c>
      <c r="C2791" s="65" t="s">
        <v>92</v>
      </c>
      <c r="D2791" s="65"/>
      <c r="E2791" s="65" t="s">
        <v>1837</v>
      </c>
      <c r="F2791" s="83">
        <v>0.4166666666666667</v>
      </c>
      <c r="G2791" s="83">
        <v>0.4375</v>
      </c>
      <c r="H2791" s="83">
        <v>0.020833333333333332</v>
      </c>
      <c r="I2791" s="84">
        <v>44210.0</v>
      </c>
      <c r="J2791" s="65" t="b">
        <v>0</v>
      </c>
      <c r="K2791" s="65" t="s">
        <v>150</v>
      </c>
      <c r="L2791" s="85" t="b">
        <f>IF(VLOOKUP(C2791,Projetos!A:L,12,false)=TRUE,TRUE,FALSE)</f>
        <v>1</v>
      </c>
      <c r="M2791" s="74">
        <v>52.48434411075036</v>
      </c>
      <c r="N2791" s="74">
        <f t="shared" si="1"/>
        <v>0</v>
      </c>
      <c r="O2791" s="74" t="b">
        <v>1</v>
      </c>
    </row>
    <row r="2792" hidden="1">
      <c r="A2792" s="82"/>
      <c r="B2792" s="65" t="s">
        <v>411</v>
      </c>
      <c r="C2792" s="65" t="s">
        <v>132</v>
      </c>
      <c r="D2792" s="65"/>
      <c r="E2792" s="65" t="s">
        <v>1838</v>
      </c>
      <c r="F2792" s="83">
        <v>0.4375</v>
      </c>
      <c r="G2792" s="83">
        <v>0.4583333333333333</v>
      </c>
      <c r="H2792" s="83">
        <v>0.020833333333333332</v>
      </c>
      <c r="I2792" s="84">
        <v>44210.0</v>
      </c>
      <c r="J2792" s="65" t="b">
        <v>1</v>
      </c>
      <c r="K2792" s="65"/>
      <c r="L2792" s="85" t="b">
        <f>IF(VLOOKUP(C2792,Projetos!A:L,12,false)=TRUE,TRUE,FALSE)</f>
        <v>0</v>
      </c>
      <c r="M2792" s="74">
        <v>52.48434411075036</v>
      </c>
      <c r="N2792" s="74">
        <f t="shared" si="1"/>
        <v>0</v>
      </c>
      <c r="O2792" s="74" t="b">
        <v>0</v>
      </c>
    </row>
    <row r="2793" hidden="1">
      <c r="A2793" s="82"/>
      <c r="B2793" s="65" t="s">
        <v>411</v>
      </c>
      <c r="C2793" s="65" t="s">
        <v>127</v>
      </c>
      <c r="D2793" s="65" t="str">
        <f>vlookup(C2793,'Classificação p pessoal'!F:G,2,false)</f>
        <v>NP</v>
      </c>
      <c r="E2793" s="65" t="s">
        <v>1839</v>
      </c>
      <c r="F2793" s="83">
        <v>0.4583333333333333</v>
      </c>
      <c r="G2793" s="83">
        <v>0.5416666666666666</v>
      </c>
      <c r="H2793" s="83">
        <v>0.08333333333333333</v>
      </c>
      <c r="I2793" s="84">
        <v>44210.0</v>
      </c>
      <c r="J2793" s="65" t="b">
        <v>1</v>
      </c>
      <c r="K2793" s="65"/>
      <c r="L2793" s="85" t="b">
        <f>IF(VLOOKUP(C2793,Projetos!A:L,12,false)=TRUE,TRUE,FALSE)</f>
        <v>1</v>
      </c>
      <c r="M2793" s="74">
        <v>52.48434411075036</v>
      </c>
      <c r="N2793" s="74">
        <f t="shared" si="1"/>
        <v>104.9686882</v>
      </c>
      <c r="O2793" s="74" t="b">
        <v>1</v>
      </c>
    </row>
    <row r="2794" hidden="1">
      <c r="A2794" s="82"/>
      <c r="B2794" s="65" t="s">
        <v>411</v>
      </c>
      <c r="C2794" s="65" t="s">
        <v>127</v>
      </c>
      <c r="D2794" s="65" t="str">
        <f>vlookup(C2794,'Classificação p pessoal'!F:G,2,false)</f>
        <v>NP</v>
      </c>
      <c r="E2794" s="65" t="s">
        <v>1840</v>
      </c>
      <c r="F2794" s="83">
        <v>0.5833333333333334</v>
      </c>
      <c r="G2794" s="83">
        <v>0.6458333333333334</v>
      </c>
      <c r="H2794" s="83">
        <v>0.0625</v>
      </c>
      <c r="I2794" s="84">
        <v>44210.0</v>
      </c>
      <c r="J2794" s="65" t="b">
        <v>1</v>
      </c>
      <c r="K2794" s="65"/>
      <c r="L2794" s="85" t="b">
        <f>IF(VLOOKUP(C2794,Projetos!A:L,12,false)=TRUE,TRUE,FALSE)</f>
        <v>1</v>
      </c>
      <c r="M2794" s="74">
        <v>52.48434411075036</v>
      </c>
      <c r="N2794" s="74">
        <f t="shared" si="1"/>
        <v>78.72651617</v>
      </c>
      <c r="O2794" s="74" t="b">
        <v>1</v>
      </c>
    </row>
    <row r="2795" hidden="1">
      <c r="A2795" s="82"/>
      <c r="B2795" s="65" t="s">
        <v>411</v>
      </c>
      <c r="C2795" s="65" t="s">
        <v>117</v>
      </c>
      <c r="D2795" s="65" t="str">
        <f>vlookup(C2795,'Classificação p pessoal'!F:G,2,false)</f>
        <v>NP</v>
      </c>
      <c r="E2795" s="65" t="s">
        <v>1841</v>
      </c>
      <c r="F2795" s="83">
        <v>0.6458333333333334</v>
      </c>
      <c r="G2795" s="83">
        <v>0.75</v>
      </c>
      <c r="H2795" s="83">
        <v>0.10416666666666667</v>
      </c>
      <c r="I2795" s="84">
        <v>44210.0</v>
      </c>
      <c r="J2795" s="65" t="b">
        <v>1</v>
      </c>
      <c r="K2795" s="65"/>
      <c r="L2795" s="85" t="b">
        <f>IF(VLOOKUP(C2795,Projetos!A:L,12,false)=TRUE,TRUE,FALSE)</f>
        <v>1</v>
      </c>
      <c r="M2795" s="74">
        <v>52.48434411075036</v>
      </c>
      <c r="N2795" s="74">
        <f t="shared" si="1"/>
        <v>131.2108603</v>
      </c>
      <c r="O2795" s="74" t="b">
        <v>1</v>
      </c>
    </row>
    <row r="2796" hidden="1">
      <c r="A2796" s="82"/>
      <c r="B2796" s="65" t="s">
        <v>411</v>
      </c>
      <c r="C2796" s="65" t="s">
        <v>92</v>
      </c>
      <c r="D2796" s="65" t="str">
        <f>vlookup(C2796,'Classificação p pessoal'!F:G,2,false)</f>
        <v/>
      </c>
      <c r="E2796" s="65" t="s">
        <v>1842</v>
      </c>
      <c r="F2796" s="83">
        <v>0.34375</v>
      </c>
      <c r="G2796" s="83">
        <v>0.4166666666666667</v>
      </c>
      <c r="H2796" s="83">
        <v>0.07291666666666667</v>
      </c>
      <c r="I2796" s="84">
        <v>44211.0</v>
      </c>
      <c r="J2796" s="65" t="b">
        <v>1</v>
      </c>
      <c r="K2796" s="65"/>
      <c r="L2796" s="85" t="b">
        <f>IF(VLOOKUP(C2796,Projetos!A:L,12,false)=TRUE,TRUE,FALSE)</f>
        <v>1</v>
      </c>
      <c r="M2796" s="74">
        <v>52.48434411075036</v>
      </c>
      <c r="N2796" s="74">
        <f t="shared" si="1"/>
        <v>91.84760219</v>
      </c>
      <c r="O2796" s="74" t="b">
        <v>1</v>
      </c>
    </row>
    <row r="2797" hidden="1">
      <c r="A2797" s="82"/>
      <c r="B2797" s="65" t="s">
        <v>411</v>
      </c>
      <c r="C2797" s="65" t="s">
        <v>92</v>
      </c>
      <c r="D2797" s="65" t="str">
        <f>vlookup(C2797,'Classificação p pessoal'!F:G,2,false)</f>
        <v/>
      </c>
      <c r="E2797" s="65" t="s">
        <v>1843</v>
      </c>
      <c r="F2797" s="83">
        <v>0.4166666666666667</v>
      </c>
      <c r="G2797" s="83">
        <v>0.4375</v>
      </c>
      <c r="H2797" s="83">
        <v>0.020833333333333332</v>
      </c>
      <c r="I2797" s="84">
        <v>44211.0</v>
      </c>
      <c r="J2797" s="65" t="b">
        <v>1</v>
      </c>
      <c r="K2797" s="65"/>
      <c r="L2797" s="85" t="b">
        <f>IF(VLOOKUP(C2797,Projetos!A:L,12,false)=TRUE,TRUE,FALSE)</f>
        <v>1</v>
      </c>
      <c r="M2797" s="74">
        <v>52.48434411075036</v>
      </c>
      <c r="N2797" s="74">
        <f t="shared" si="1"/>
        <v>26.24217206</v>
      </c>
      <c r="O2797" s="74" t="b">
        <v>1</v>
      </c>
    </row>
    <row r="2798" hidden="1">
      <c r="A2798" s="82"/>
      <c r="B2798" s="65" t="s">
        <v>411</v>
      </c>
      <c r="C2798" s="65" t="s">
        <v>117</v>
      </c>
      <c r="D2798" s="65" t="str">
        <f>vlookup(C2798,'Classificação p pessoal'!F:G,2,false)</f>
        <v>NP</v>
      </c>
      <c r="E2798" s="65" t="s">
        <v>1844</v>
      </c>
      <c r="F2798" s="83">
        <v>0.4375</v>
      </c>
      <c r="G2798" s="83">
        <v>0.5</v>
      </c>
      <c r="H2798" s="83">
        <v>0.0625</v>
      </c>
      <c r="I2798" s="84">
        <v>44211.0</v>
      </c>
      <c r="J2798" s="65" t="b">
        <v>1</v>
      </c>
      <c r="K2798" s="65"/>
      <c r="L2798" s="85" t="b">
        <f>IF(VLOOKUP(C2798,Projetos!A:L,12,false)=TRUE,TRUE,FALSE)</f>
        <v>1</v>
      </c>
      <c r="M2798" s="74">
        <v>52.48434411075036</v>
      </c>
      <c r="N2798" s="74">
        <f t="shared" si="1"/>
        <v>78.72651617</v>
      </c>
      <c r="O2798" s="74" t="b">
        <v>1</v>
      </c>
    </row>
    <row r="2799" hidden="1">
      <c r="A2799" s="82"/>
      <c r="B2799" s="65" t="s">
        <v>411</v>
      </c>
      <c r="C2799" s="65" t="s">
        <v>132</v>
      </c>
      <c r="D2799" s="65"/>
      <c r="E2799" s="65" t="s">
        <v>1845</v>
      </c>
      <c r="F2799" s="83">
        <v>0.5</v>
      </c>
      <c r="G2799" s="83">
        <v>0.5416666666666666</v>
      </c>
      <c r="H2799" s="83">
        <v>0.041666666666666664</v>
      </c>
      <c r="I2799" s="84">
        <v>44211.0</v>
      </c>
      <c r="J2799" s="65" t="b">
        <v>1</v>
      </c>
      <c r="K2799" s="65"/>
      <c r="L2799" s="85" t="b">
        <f>IF(VLOOKUP(C2799,Projetos!A:L,12,false)=TRUE,TRUE,FALSE)</f>
        <v>0</v>
      </c>
      <c r="M2799" s="74">
        <v>52.48434411075036</v>
      </c>
      <c r="N2799" s="74">
        <f t="shared" si="1"/>
        <v>0</v>
      </c>
      <c r="O2799" s="74" t="b">
        <v>0</v>
      </c>
    </row>
    <row r="2800" hidden="1">
      <c r="A2800" s="82"/>
      <c r="B2800" s="65" t="s">
        <v>411</v>
      </c>
      <c r="C2800" s="65" t="s">
        <v>92</v>
      </c>
      <c r="D2800" s="65" t="str">
        <f>vlookup(C2800,'Classificação p pessoal'!F:G,2,false)</f>
        <v/>
      </c>
      <c r="E2800" s="65" t="s">
        <v>1846</v>
      </c>
      <c r="F2800" s="83">
        <v>0.5833333333333334</v>
      </c>
      <c r="G2800" s="83">
        <v>0.75</v>
      </c>
      <c r="H2800" s="83">
        <v>0.16666666666666666</v>
      </c>
      <c r="I2800" s="84">
        <v>44211.0</v>
      </c>
      <c r="J2800" s="65" t="b">
        <v>1</v>
      </c>
      <c r="K2800" s="65"/>
      <c r="L2800" s="85" t="b">
        <f>IF(VLOOKUP(C2800,Projetos!A:L,12,false)=TRUE,TRUE,FALSE)</f>
        <v>1</v>
      </c>
      <c r="M2800" s="74">
        <v>52.48434411075036</v>
      </c>
      <c r="N2800" s="74">
        <f t="shared" si="1"/>
        <v>209.9373764</v>
      </c>
      <c r="O2800" s="74" t="b">
        <v>1</v>
      </c>
    </row>
    <row r="2801" hidden="1">
      <c r="A2801" s="82"/>
      <c r="B2801" s="65" t="s">
        <v>411</v>
      </c>
      <c r="C2801" s="65" t="s">
        <v>127</v>
      </c>
      <c r="D2801" s="65" t="str">
        <f>vlookup(C2801,'Classificação p pessoal'!F:G,2,false)</f>
        <v>NP</v>
      </c>
      <c r="E2801" s="65" t="s">
        <v>1847</v>
      </c>
      <c r="F2801" s="83">
        <v>0.34375</v>
      </c>
      <c r="G2801" s="83">
        <v>0.3541666666666667</v>
      </c>
      <c r="H2801" s="83">
        <v>0.010416666666666666</v>
      </c>
      <c r="I2801" s="84">
        <v>44214.0</v>
      </c>
      <c r="J2801" s="65" t="b">
        <v>1</v>
      </c>
      <c r="K2801" s="65"/>
      <c r="L2801" s="85" t="b">
        <f>IF(VLOOKUP(C2801,Projetos!A:L,12,false)=TRUE,TRUE,FALSE)</f>
        <v>1</v>
      </c>
      <c r="M2801" s="74">
        <v>52.48434411075036</v>
      </c>
      <c r="N2801" s="74">
        <f t="shared" si="1"/>
        <v>13.12108603</v>
      </c>
      <c r="O2801" s="74" t="b">
        <v>1</v>
      </c>
    </row>
    <row r="2802" hidden="1">
      <c r="A2802" s="82"/>
      <c r="B2802" s="65" t="s">
        <v>411</v>
      </c>
      <c r="C2802" s="65" t="s">
        <v>92</v>
      </c>
      <c r="D2802" s="65" t="str">
        <f>vlookup(C2802,'Classificação p pessoal'!F:G,2,false)</f>
        <v/>
      </c>
      <c r="E2802" s="65" t="s">
        <v>1848</v>
      </c>
      <c r="F2802" s="83">
        <v>0.3541666666666667</v>
      </c>
      <c r="G2802" s="83">
        <v>0.4166666666666667</v>
      </c>
      <c r="H2802" s="83">
        <v>0.0625</v>
      </c>
      <c r="I2802" s="84">
        <v>44214.0</v>
      </c>
      <c r="J2802" s="65" t="b">
        <v>1</v>
      </c>
      <c r="K2802" s="65"/>
      <c r="L2802" s="85" t="b">
        <f>IF(VLOOKUP(C2802,Projetos!A:L,12,false)=TRUE,TRUE,FALSE)</f>
        <v>1</v>
      </c>
      <c r="M2802" s="74">
        <v>52.48434411075036</v>
      </c>
      <c r="N2802" s="74">
        <f t="shared" si="1"/>
        <v>78.72651617</v>
      </c>
      <c r="O2802" s="74" t="b">
        <v>1</v>
      </c>
    </row>
    <row r="2803" hidden="1">
      <c r="A2803" s="82"/>
      <c r="B2803" s="65" t="s">
        <v>411</v>
      </c>
      <c r="C2803" s="65" t="s">
        <v>117</v>
      </c>
      <c r="D2803" s="65" t="str">
        <f>vlookup(C2803,'Classificação p pessoal'!F:G,2,false)</f>
        <v>NP</v>
      </c>
      <c r="E2803" s="65" t="s">
        <v>1849</v>
      </c>
      <c r="F2803" s="83">
        <v>0.4166666666666667</v>
      </c>
      <c r="G2803" s="83">
        <v>0.4270833333333333</v>
      </c>
      <c r="H2803" s="83">
        <v>0.010416666666666666</v>
      </c>
      <c r="I2803" s="84">
        <v>44214.0</v>
      </c>
      <c r="J2803" s="65" t="b">
        <v>1</v>
      </c>
      <c r="K2803" s="65"/>
      <c r="L2803" s="85" t="b">
        <f>IF(VLOOKUP(C2803,Projetos!A:L,12,false)=TRUE,TRUE,FALSE)</f>
        <v>1</v>
      </c>
      <c r="M2803" s="74">
        <v>52.48434411075036</v>
      </c>
      <c r="N2803" s="74">
        <f t="shared" si="1"/>
        <v>13.12108603</v>
      </c>
      <c r="O2803" s="74" t="b">
        <v>1</v>
      </c>
    </row>
    <row r="2804" hidden="1">
      <c r="A2804" s="82"/>
      <c r="B2804" s="65" t="s">
        <v>411</v>
      </c>
      <c r="C2804" s="65" t="s">
        <v>127</v>
      </c>
      <c r="D2804" s="65" t="str">
        <f>vlookup(C2804,'Classificação p pessoal'!F:G,2,false)</f>
        <v>NP</v>
      </c>
      <c r="E2804" s="65" t="s">
        <v>1850</v>
      </c>
      <c r="F2804" s="83">
        <v>0.4270833333333333</v>
      </c>
      <c r="G2804" s="83">
        <v>0.4583333333333333</v>
      </c>
      <c r="H2804" s="83">
        <v>0.03125</v>
      </c>
      <c r="I2804" s="84">
        <v>44214.0</v>
      </c>
      <c r="J2804" s="65" t="b">
        <v>1</v>
      </c>
      <c r="K2804" s="65"/>
      <c r="L2804" s="85" t="b">
        <f>IF(VLOOKUP(C2804,Projetos!A:L,12,false)=TRUE,TRUE,FALSE)</f>
        <v>1</v>
      </c>
      <c r="M2804" s="74">
        <v>52.48434411075036</v>
      </c>
      <c r="N2804" s="74">
        <f t="shared" si="1"/>
        <v>39.36325808</v>
      </c>
      <c r="O2804" s="74" t="b">
        <v>1</v>
      </c>
    </row>
    <row r="2805" hidden="1">
      <c r="A2805" s="82"/>
      <c r="B2805" s="65" t="s">
        <v>411</v>
      </c>
      <c r="C2805" s="65" t="s">
        <v>119</v>
      </c>
      <c r="D2805" s="65" t="str">
        <f>vlookup(C2805,'Classificação p pessoal'!F:G,2,false)</f>
        <v>NP</v>
      </c>
      <c r="E2805" s="65" t="s">
        <v>1829</v>
      </c>
      <c r="F2805" s="83">
        <v>0.6041666666666666</v>
      </c>
      <c r="G2805" s="83">
        <v>0.6458333333333334</v>
      </c>
      <c r="H2805" s="83">
        <v>0.041666666666666664</v>
      </c>
      <c r="I2805" s="84">
        <v>44371.0</v>
      </c>
      <c r="J2805" s="65" t="b">
        <v>1</v>
      </c>
      <c r="K2805" s="65"/>
      <c r="L2805" s="85" t="b">
        <f>IF(VLOOKUP(C2805,Projetos!A:L,12,false)=TRUE,TRUE,FALSE)</f>
        <v>1</v>
      </c>
      <c r="M2805" s="74">
        <v>52.48434411075036</v>
      </c>
      <c r="N2805" s="74">
        <f t="shared" si="1"/>
        <v>52.48434411</v>
      </c>
      <c r="O2805" s="74" t="b">
        <v>1</v>
      </c>
    </row>
    <row r="2806" hidden="1">
      <c r="A2806" s="82"/>
      <c r="B2806" s="65" t="s">
        <v>411</v>
      </c>
      <c r="C2806" s="65" t="s">
        <v>92</v>
      </c>
      <c r="D2806" s="65" t="str">
        <f>vlookup(C2806,'Classificação p pessoal'!F:G,2,false)</f>
        <v/>
      </c>
      <c r="E2806" s="65" t="s">
        <v>1851</v>
      </c>
      <c r="F2806" s="83">
        <v>0.5</v>
      </c>
      <c r="G2806" s="83">
        <v>0.5416666666666666</v>
      </c>
      <c r="H2806" s="83">
        <v>0.041666666666666664</v>
      </c>
      <c r="I2806" s="84">
        <v>44214.0</v>
      </c>
      <c r="J2806" s="65" t="b">
        <v>1</v>
      </c>
      <c r="K2806" s="65"/>
      <c r="L2806" s="85" t="b">
        <f>IF(VLOOKUP(C2806,Projetos!A:L,12,false)=TRUE,TRUE,FALSE)</f>
        <v>1</v>
      </c>
      <c r="M2806" s="74">
        <v>52.48434411075036</v>
      </c>
      <c r="N2806" s="74">
        <f t="shared" si="1"/>
        <v>52.48434411</v>
      </c>
      <c r="O2806" s="74" t="b">
        <v>1</v>
      </c>
    </row>
    <row r="2807" hidden="1">
      <c r="A2807" s="82"/>
      <c r="B2807" s="65" t="s">
        <v>411</v>
      </c>
      <c r="C2807" s="65" t="s">
        <v>88</v>
      </c>
      <c r="D2807" s="65" t="str">
        <f>vlookup(C2807,'Classificação p pessoal'!F:G,2,false)</f>
        <v>MProduto</v>
      </c>
      <c r="E2807" s="65" t="s">
        <v>1852</v>
      </c>
      <c r="F2807" s="83">
        <v>0.5833333333333334</v>
      </c>
      <c r="G2807" s="83">
        <v>0.75</v>
      </c>
      <c r="H2807" s="83">
        <v>0.16666666666666666</v>
      </c>
      <c r="I2807" s="84">
        <v>44214.0</v>
      </c>
      <c r="J2807" s="65" t="b">
        <v>1</v>
      </c>
      <c r="K2807" s="65"/>
      <c r="L2807" s="85" t="b">
        <f>IF(VLOOKUP(C2807,Projetos!A:L,12,false)=TRUE,TRUE,FALSE)</f>
        <v>1</v>
      </c>
      <c r="M2807" s="74">
        <v>52.48434411075036</v>
      </c>
      <c r="N2807" s="74">
        <f t="shared" si="1"/>
        <v>209.9373764</v>
      </c>
      <c r="O2807" s="74" t="b">
        <v>1</v>
      </c>
    </row>
    <row r="2808" hidden="1">
      <c r="A2808" s="82"/>
      <c r="B2808" s="65" t="s">
        <v>411</v>
      </c>
      <c r="C2808" s="65" t="s">
        <v>127</v>
      </c>
      <c r="D2808" s="65" t="str">
        <f>vlookup(C2808,'Classificação p pessoal'!F:G,2,false)</f>
        <v>NP</v>
      </c>
      <c r="E2808" s="65" t="s">
        <v>1850</v>
      </c>
      <c r="F2808" s="83">
        <v>0.34375</v>
      </c>
      <c r="G2808" s="83">
        <v>0.375</v>
      </c>
      <c r="H2808" s="83">
        <v>0.03125</v>
      </c>
      <c r="I2808" s="84">
        <v>44215.0</v>
      </c>
      <c r="J2808" s="65" t="b">
        <v>1</v>
      </c>
      <c r="K2808" s="65"/>
      <c r="L2808" s="85" t="b">
        <f>IF(VLOOKUP(C2808,Projetos!A:L,12,false)=TRUE,TRUE,FALSE)</f>
        <v>1</v>
      </c>
      <c r="M2808" s="74">
        <v>52.48434411075036</v>
      </c>
      <c r="N2808" s="74">
        <f t="shared" si="1"/>
        <v>39.36325808</v>
      </c>
      <c r="O2808" s="74" t="b">
        <v>1</v>
      </c>
    </row>
    <row r="2809" hidden="1">
      <c r="A2809" s="82"/>
      <c r="B2809" s="65" t="s">
        <v>411</v>
      </c>
      <c r="C2809" s="65" t="s">
        <v>117</v>
      </c>
      <c r="D2809" s="65" t="str">
        <f>vlookup(C2809,'Classificação p pessoal'!F:G,2,false)</f>
        <v>NP</v>
      </c>
      <c r="E2809" s="65" t="s">
        <v>1853</v>
      </c>
      <c r="F2809" s="83">
        <v>0.625</v>
      </c>
      <c r="G2809" s="83">
        <v>0.75</v>
      </c>
      <c r="H2809" s="83">
        <v>0.125</v>
      </c>
      <c r="I2809" s="84">
        <v>44369.0</v>
      </c>
      <c r="J2809" s="65" t="b">
        <v>1</v>
      </c>
      <c r="K2809" s="65"/>
      <c r="L2809" s="85" t="b">
        <f>IF(VLOOKUP(C2809,Projetos!A:L,12,false)=TRUE,TRUE,FALSE)</f>
        <v>1</v>
      </c>
      <c r="M2809" s="74">
        <v>52.48434411075036</v>
      </c>
      <c r="N2809" s="74">
        <f t="shared" si="1"/>
        <v>157.4530323</v>
      </c>
      <c r="O2809" s="74" t="b">
        <v>1</v>
      </c>
    </row>
    <row r="2810" hidden="1">
      <c r="A2810" s="82"/>
      <c r="B2810" s="65" t="s">
        <v>411</v>
      </c>
      <c r="C2810" s="65" t="s">
        <v>119</v>
      </c>
      <c r="D2810" s="65"/>
      <c r="E2810" s="65" t="s">
        <v>1854</v>
      </c>
      <c r="F2810" s="83">
        <v>0.5</v>
      </c>
      <c r="G2810" s="83">
        <v>0.5208333333333334</v>
      </c>
      <c r="H2810" s="83">
        <v>0.020833333333333332</v>
      </c>
      <c r="I2810" s="84">
        <v>44414.0</v>
      </c>
      <c r="J2810" s="65" t="b">
        <v>0</v>
      </c>
      <c r="K2810" s="65" t="s">
        <v>150</v>
      </c>
      <c r="L2810" s="85" t="b">
        <f>IF(VLOOKUP(C2810,Projetos!A:L,12,false)=TRUE,TRUE,FALSE)</f>
        <v>1</v>
      </c>
      <c r="M2810" s="74">
        <v>52.48434411075036</v>
      </c>
      <c r="N2810" s="74">
        <f t="shared" si="1"/>
        <v>0</v>
      </c>
      <c r="O2810" s="74" t="b">
        <v>1</v>
      </c>
    </row>
    <row r="2811" hidden="1">
      <c r="A2811" s="82"/>
      <c r="B2811" s="65" t="s">
        <v>411</v>
      </c>
      <c r="C2811" s="65" t="s">
        <v>127</v>
      </c>
      <c r="D2811" s="65" t="str">
        <f>vlookup(C2811,'Classificação p pessoal'!F:G,2,false)</f>
        <v>NP</v>
      </c>
      <c r="E2811" s="65" t="s">
        <v>1850</v>
      </c>
      <c r="F2811" s="83">
        <v>0.3958333333333333</v>
      </c>
      <c r="G2811" s="83">
        <v>0.4375</v>
      </c>
      <c r="H2811" s="83">
        <v>0.041666666666666664</v>
      </c>
      <c r="I2811" s="84">
        <v>44215.0</v>
      </c>
      <c r="J2811" s="65" t="b">
        <v>1</v>
      </c>
      <c r="K2811" s="65"/>
      <c r="L2811" s="85" t="b">
        <f>IF(VLOOKUP(C2811,Projetos!A:L,12,false)=TRUE,TRUE,FALSE)</f>
        <v>1</v>
      </c>
      <c r="M2811" s="74">
        <v>52.48434411075036</v>
      </c>
      <c r="N2811" s="74">
        <f t="shared" si="1"/>
        <v>52.48434411</v>
      </c>
      <c r="O2811" s="74" t="b">
        <v>1</v>
      </c>
    </row>
    <row r="2812" hidden="1">
      <c r="A2812" s="82"/>
      <c r="B2812" s="65" t="s">
        <v>411</v>
      </c>
      <c r="C2812" s="65" t="s">
        <v>117</v>
      </c>
      <c r="D2812" s="65" t="str">
        <f>vlookup(C2812,'Classificação p pessoal'!F:G,2,false)</f>
        <v>NP</v>
      </c>
      <c r="E2812" s="65" t="s">
        <v>1855</v>
      </c>
      <c r="F2812" s="83">
        <v>0.4375</v>
      </c>
      <c r="G2812" s="83">
        <v>0.4791666666666667</v>
      </c>
      <c r="H2812" s="83">
        <v>0.041666666666666664</v>
      </c>
      <c r="I2812" s="84">
        <v>44215.0</v>
      </c>
      <c r="J2812" s="65" t="b">
        <v>1</v>
      </c>
      <c r="K2812" s="65"/>
      <c r="L2812" s="85" t="b">
        <f>IF(VLOOKUP(C2812,Projetos!A:L,12,false)=TRUE,TRUE,FALSE)</f>
        <v>1</v>
      </c>
      <c r="M2812" s="74">
        <v>52.48434411075036</v>
      </c>
      <c r="N2812" s="74">
        <f t="shared" si="1"/>
        <v>52.48434411</v>
      </c>
      <c r="O2812" s="74" t="b">
        <v>1</v>
      </c>
    </row>
    <row r="2813" hidden="1">
      <c r="A2813" s="82"/>
      <c r="B2813" s="65" t="s">
        <v>411</v>
      </c>
      <c r="C2813" s="65" t="s">
        <v>127</v>
      </c>
      <c r="D2813" s="65" t="str">
        <f>vlookup(C2813,'Classificação p pessoal'!F:G,2,false)</f>
        <v>NP</v>
      </c>
      <c r="E2813" s="65" t="s">
        <v>1856</v>
      </c>
      <c r="F2813" s="83">
        <v>0.4791666666666667</v>
      </c>
      <c r="G2813" s="83">
        <v>0.5416666666666666</v>
      </c>
      <c r="H2813" s="83">
        <v>0.0625</v>
      </c>
      <c r="I2813" s="84">
        <v>44215.0</v>
      </c>
      <c r="J2813" s="65" t="b">
        <v>1</v>
      </c>
      <c r="K2813" s="65"/>
      <c r="L2813" s="85" t="b">
        <f>IF(VLOOKUP(C2813,Projetos!A:L,12,false)=TRUE,TRUE,FALSE)</f>
        <v>1</v>
      </c>
      <c r="M2813" s="74">
        <v>52.48434411075036</v>
      </c>
      <c r="N2813" s="74">
        <f t="shared" si="1"/>
        <v>78.72651617</v>
      </c>
      <c r="O2813" s="74" t="b">
        <v>1</v>
      </c>
    </row>
    <row r="2814" hidden="1">
      <c r="A2814" s="82"/>
      <c r="B2814" s="65" t="s">
        <v>411</v>
      </c>
      <c r="C2814" s="65" t="s">
        <v>92</v>
      </c>
      <c r="D2814" s="65" t="str">
        <f>vlookup(C2814,'Classificação p pessoal'!F:G,2,false)</f>
        <v/>
      </c>
      <c r="E2814" s="65" t="s">
        <v>1857</v>
      </c>
      <c r="F2814" s="83">
        <v>0.5833333333333334</v>
      </c>
      <c r="G2814" s="83">
        <v>0.625</v>
      </c>
      <c r="H2814" s="83">
        <v>0.041666666666666664</v>
      </c>
      <c r="I2814" s="84">
        <v>44215.0</v>
      </c>
      <c r="J2814" s="65" t="b">
        <v>1</v>
      </c>
      <c r="K2814" s="65"/>
      <c r="L2814" s="85" t="b">
        <f>IF(VLOOKUP(C2814,Projetos!A:L,12,false)=TRUE,TRUE,FALSE)</f>
        <v>1</v>
      </c>
      <c r="M2814" s="74">
        <v>52.48434411075036</v>
      </c>
      <c r="N2814" s="74">
        <f t="shared" si="1"/>
        <v>52.48434411</v>
      </c>
      <c r="O2814" s="74" t="b">
        <v>1</v>
      </c>
    </row>
    <row r="2815" hidden="1">
      <c r="A2815" s="82"/>
      <c r="B2815" s="65" t="s">
        <v>411</v>
      </c>
      <c r="C2815" s="65" t="s">
        <v>117</v>
      </c>
      <c r="D2815" s="65" t="str">
        <f>vlookup(C2815,'Classificação p pessoal'!F:G,2,false)</f>
        <v>NP</v>
      </c>
      <c r="E2815" s="65" t="s">
        <v>1858</v>
      </c>
      <c r="F2815" s="83">
        <v>0.6875</v>
      </c>
      <c r="G2815" s="83">
        <v>0.75</v>
      </c>
      <c r="H2815" s="83">
        <v>0.0625</v>
      </c>
      <c r="I2815" s="84">
        <v>44215.0</v>
      </c>
      <c r="J2815" s="65" t="b">
        <v>1</v>
      </c>
      <c r="K2815" s="65"/>
      <c r="L2815" s="85" t="b">
        <f>IF(VLOOKUP(C2815,Projetos!A:L,12,false)=TRUE,TRUE,FALSE)</f>
        <v>1</v>
      </c>
      <c r="M2815" s="74">
        <v>52.48434411075036</v>
      </c>
      <c r="N2815" s="74">
        <f t="shared" si="1"/>
        <v>78.72651617</v>
      </c>
      <c r="O2815" s="74" t="b">
        <v>1</v>
      </c>
    </row>
    <row r="2816" hidden="1">
      <c r="A2816" s="82"/>
      <c r="B2816" s="65" t="s">
        <v>411</v>
      </c>
      <c r="C2816" s="65" t="s">
        <v>127</v>
      </c>
      <c r="D2816" s="65" t="str">
        <f>vlookup(C2816,'Classificação p pessoal'!F:G,2,false)</f>
        <v>NP</v>
      </c>
      <c r="E2816" s="65" t="s">
        <v>1859</v>
      </c>
      <c r="F2816" s="83">
        <v>0.34375</v>
      </c>
      <c r="G2816" s="83">
        <v>0.3645833333333333</v>
      </c>
      <c r="H2816" s="83">
        <v>0.020833333333333332</v>
      </c>
      <c r="I2816" s="84">
        <v>44216.0</v>
      </c>
      <c r="J2816" s="65" t="b">
        <v>1</v>
      </c>
      <c r="K2816" s="65"/>
      <c r="L2816" s="85" t="b">
        <f>IF(VLOOKUP(C2816,Projetos!A:L,12,false)=TRUE,TRUE,FALSE)</f>
        <v>1</v>
      </c>
      <c r="M2816" s="74">
        <v>52.48434411075036</v>
      </c>
      <c r="N2816" s="74">
        <f t="shared" si="1"/>
        <v>26.24217206</v>
      </c>
      <c r="O2816" s="74" t="b">
        <v>1</v>
      </c>
    </row>
    <row r="2817" hidden="1">
      <c r="A2817" s="82"/>
      <c r="B2817" s="65" t="s">
        <v>411</v>
      </c>
      <c r="C2817" s="65" t="s">
        <v>92</v>
      </c>
      <c r="D2817" s="65" t="str">
        <f>vlookup(C2817,'Classificação p pessoal'!F:G,2,false)</f>
        <v/>
      </c>
      <c r="E2817" s="65" t="s">
        <v>1860</v>
      </c>
      <c r="F2817" s="83">
        <v>0.3645833333333333</v>
      </c>
      <c r="G2817" s="83">
        <v>0.4375</v>
      </c>
      <c r="H2817" s="83">
        <v>0.07291666666666667</v>
      </c>
      <c r="I2817" s="84">
        <v>44216.0</v>
      </c>
      <c r="J2817" s="65" t="b">
        <v>1</v>
      </c>
      <c r="K2817" s="65"/>
      <c r="L2817" s="85" t="b">
        <f>IF(VLOOKUP(C2817,Projetos!A:L,12,false)=TRUE,TRUE,FALSE)</f>
        <v>1</v>
      </c>
      <c r="M2817" s="74">
        <v>52.48434411075036</v>
      </c>
      <c r="N2817" s="74">
        <f t="shared" si="1"/>
        <v>91.84760219</v>
      </c>
      <c r="O2817" s="74" t="b">
        <v>1</v>
      </c>
    </row>
    <row r="2818" hidden="1">
      <c r="A2818" s="82"/>
      <c r="B2818" s="65" t="s">
        <v>411</v>
      </c>
      <c r="C2818" s="65" t="s">
        <v>117</v>
      </c>
      <c r="D2818" s="65" t="str">
        <f>vlookup(C2818,'Classificação p pessoal'!F:G,2,false)</f>
        <v>NP</v>
      </c>
      <c r="E2818" s="65" t="s">
        <v>1815</v>
      </c>
      <c r="F2818" s="83">
        <v>0.4375</v>
      </c>
      <c r="G2818" s="83">
        <v>0.4791666666666667</v>
      </c>
      <c r="H2818" s="83">
        <v>0.041666666666666664</v>
      </c>
      <c r="I2818" s="84">
        <v>44216.0</v>
      </c>
      <c r="J2818" s="65" t="b">
        <v>1</v>
      </c>
      <c r="K2818" s="65"/>
      <c r="L2818" s="85" t="b">
        <f>IF(VLOOKUP(C2818,Projetos!A:L,12,false)=TRUE,TRUE,FALSE)</f>
        <v>1</v>
      </c>
      <c r="M2818" s="74">
        <v>52.48434411075036</v>
      </c>
      <c r="N2818" s="74">
        <f t="shared" si="1"/>
        <v>52.48434411</v>
      </c>
      <c r="O2818" s="74" t="b">
        <v>1</v>
      </c>
    </row>
    <row r="2819" hidden="1">
      <c r="A2819" s="82"/>
      <c r="B2819" s="65" t="s">
        <v>411</v>
      </c>
      <c r="C2819" s="65" t="s">
        <v>92</v>
      </c>
      <c r="D2819" s="65" t="str">
        <f>vlookup(C2819,'Classificação p pessoal'!F:G,2,false)</f>
        <v/>
      </c>
      <c r="E2819" s="65" t="s">
        <v>1861</v>
      </c>
      <c r="F2819" s="83">
        <v>0.4791666666666667</v>
      </c>
      <c r="G2819" s="83">
        <v>0.5208333333333334</v>
      </c>
      <c r="H2819" s="83">
        <v>0.041666666666666664</v>
      </c>
      <c r="I2819" s="84">
        <v>44216.0</v>
      </c>
      <c r="J2819" s="65" t="b">
        <v>1</v>
      </c>
      <c r="K2819" s="65"/>
      <c r="L2819" s="85" t="b">
        <f>IF(VLOOKUP(C2819,Projetos!A:L,12,false)=TRUE,TRUE,FALSE)</f>
        <v>1</v>
      </c>
      <c r="M2819" s="74">
        <v>52.48434411075036</v>
      </c>
      <c r="N2819" s="74">
        <f t="shared" si="1"/>
        <v>52.48434411</v>
      </c>
      <c r="O2819" s="74" t="b">
        <v>1</v>
      </c>
    </row>
    <row r="2820" hidden="1">
      <c r="A2820" s="82"/>
      <c r="B2820" s="65" t="s">
        <v>411</v>
      </c>
      <c r="C2820" s="65" t="s">
        <v>117</v>
      </c>
      <c r="D2820" s="65" t="str">
        <f>vlookup(C2820,'Classificação p pessoal'!F:G,2,false)</f>
        <v>NP</v>
      </c>
      <c r="E2820" s="65" t="s">
        <v>1862</v>
      </c>
      <c r="F2820" s="83">
        <v>0.5625</v>
      </c>
      <c r="G2820" s="83">
        <v>0.7083333333333334</v>
      </c>
      <c r="H2820" s="83">
        <v>0.14583333333333334</v>
      </c>
      <c r="I2820" s="84">
        <v>44216.0</v>
      </c>
      <c r="J2820" s="65" t="b">
        <v>1</v>
      </c>
      <c r="K2820" s="65"/>
      <c r="L2820" s="85" t="b">
        <f>IF(VLOOKUP(C2820,Projetos!A:L,12,false)=TRUE,TRUE,FALSE)</f>
        <v>1</v>
      </c>
      <c r="M2820" s="74">
        <v>52.48434411075036</v>
      </c>
      <c r="N2820" s="74">
        <f t="shared" si="1"/>
        <v>183.6952044</v>
      </c>
      <c r="O2820" s="74" t="b">
        <v>1</v>
      </c>
    </row>
    <row r="2821" hidden="1">
      <c r="A2821" s="82"/>
      <c r="B2821" s="65" t="s">
        <v>411</v>
      </c>
      <c r="C2821" s="65" t="s">
        <v>92</v>
      </c>
      <c r="D2821" s="65" t="str">
        <f>vlookup(C2821,'Classificação p pessoal'!F:G,2,false)</f>
        <v/>
      </c>
      <c r="E2821" s="65" t="s">
        <v>1863</v>
      </c>
      <c r="F2821" s="83">
        <v>0.7083333333333334</v>
      </c>
      <c r="G2821" s="83">
        <v>0.75</v>
      </c>
      <c r="H2821" s="83">
        <v>0.041666666666666664</v>
      </c>
      <c r="I2821" s="84">
        <v>44216.0</v>
      </c>
      <c r="J2821" s="65" t="b">
        <v>1</v>
      </c>
      <c r="K2821" s="65"/>
      <c r="L2821" s="85" t="b">
        <f>IF(VLOOKUP(C2821,Projetos!A:L,12,false)=TRUE,TRUE,FALSE)</f>
        <v>1</v>
      </c>
      <c r="M2821" s="74">
        <v>52.48434411075036</v>
      </c>
      <c r="N2821" s="74">
        <f t="shared" si="1"/>
        <v>52.48434411</v>
      </c>
      <c r="O2821" s="74" t="b">
        <v>1</v>
      </c>
    </row>
    <row r="2822" hidden="1">
      <c r="A2822" s="82"/>
      <c r="B2822" s="65" t="s">
        <v>411</v>
      </c>
      <c r="C2822" s="65" t="s">
        <v>130</v>
      </c>
      <c r="D2822" s="65" t="str">
        <f>vlookup(C2822,'Classificação p pessoal'!F:G,2,false)</f>
        <v>NP</v>
      </c>
      <c r="E2822" s="65" t="s">
        <v>1864</v>
      </c>
      <c r="F2822" s="83">
        <v>0.34375</v>
      </c>
      <c r="G2822" s="83">
        <v>0.3541666666666667</v>
      </c>
      <c r="H2822" s="83">
        <v>0.010416666666666666</v>
      </c>
      <c r="I2822" s="84">
        <v>44217.0</v>
      </c>
      <c r="J2822" s="65" t="b">
        <v>1</v>
      </c>
      <c r="K2822" s="65"/>
      <c r="L2822" s="85" t="b">
        <f>IF(VLOOKUP(C2822,Projetos!A:L,12,false)=TRUE,TRUE,FALSE)</f>
        <v>1</v>
      </c>
      <c r="M2822" s="74">
        <v>52.48434411075036</v>
      </c>
      <c r="N2822" s="74">
        <f t="shared" si="1"/>
        <v>13.12108603</v>
      </c>
      <c r="O2822" s="74" t="b">
        <v>1</v>
      </c>
    </row>
    <row r="2823" hidden="1">
      <c r="A2823" s="82"/>
      <c r="B2823" s="65" t="s">
        <v>411</v>
      </c>
      <c r="C2823" s="65" t="s">
        <v>92</v>
      </c>
      <c r="D2823" s="65" t="str">
        <f>vlookup(C2823,'Classificação p pessoal'!F:G,2,false)</f>
        <v/>
      </c>
      <c r="E2823" s="65" t="s">
        <v>1865</v>
      </c>
      <c r="F2823" s="83">
        <v>0.3541666666666667</v>
      </c>
      <c r="G2823" s="83">
        <v>0.375</v>
      </c>
      <c r="H2823" s="83">
        <v>0.020833333333333332</v>
      </c>
      <c r="I2823" s="84">
        <v>44217.0</v>
      </c>
      <c r="J2823" s="65" t="b">
        <v>1</v>
      </c>
      <c r="K2823" s="65"/>
      <c r="L2823" s="85" t="b">
        <f>IF(VLOOKUP(C2823,Projetos!A:L,12,false)=TRUE,TRUE,FALSE)</f>
        <v>1</v>
      </c>
      <c r="M2823" s="74">
        <v>52.48434411075036</v>
      </c>
      <c r="N2823" s="74">
        <f t="shared" si="1"/>
        <v>26.24217206</v>
      </c>
      <c r="O2823" s="74" t="b">
        <v>1</v>
      </c>
    </row>
    <row r="2824" hidden="1">
      <c r="A2824" s="82"/>
      <c r="B2824" s="65" t="s">
        <v>411</v>
      </c>
      <c r="C2824" s="65" t="s">
        <v>88</v>
      </c>
      <c r="D2824" s="65" t="str">
        <f>vlookup(C2824,'Classificação p pessoal'!F:G,2,false)</f>
        <v>MProduto</v>
      </c>
      <c r="E2824" s="65" t="s">
        <v>1866</v>
      </c>
      <c r="F2824" s="83">
        <v>0.4375</v>
      </c>
      <c r="G2824" s="83">
        <v>0.4583333333333333</v>
      </c>
      <c r="H2824" s="83">
        <v>0.020833333333333332</v>
      </c>
      <c r="I2824" s="84">
        <v>44319.0</v>
      </c>
      <c r="J2824" s="65" t="b">
        <v>1</v>
      </c>
      <c r="K2824" s="65"/>
      <c r="L2824" s="85" t="b">
        <f>IF(VLOOKUP(C2824,Projetos!A:L,12,false)=TRUE,TRUE,FALSE)</f>
        <v>1</v>
      </c>
      <c r="M2824" s="74">
        <v>52.48434411075036</v>
      </c>
      <c r="N2824" s="74">
        <f t="shared" si="1"/>
        <v>26.24217206</v>
      </c>
      <c r="O2824" s="74" t="b">
        <v>1</v>
      </c>
    </row>
    <row r="2825" hidden="1">
      <c r="A2825" s="82"/>
      <c r="B2825" s="65" t="s">
        <v>411</v>
      </c>
      <c r="C2825" s="65" t="s">
        <v>92</v>
      </c>
      <c r="D2825" s="65" t="str">
        <f>vlookup(C2825,'Classificação p pessoal'!F:G,2,false)</f>
        <v/>
      </c>
      <c r="E2825" s="65" t="s">
        <v>1867</v>
      </c>
      <c r="F2825" s="83">
        <v>0.4375</v>
      </c>
      <c r="G2825" s="83">
        <v>0.5</v>
      </c>
      <c r="H2825" s="83">
        <v>0.0625</v>
      </c>
      <c r="I2825" s="84">
        <v>44217.0</v>
      </c>
      <c r="J2825" s="65" t="b">
        <v>1</v>
      </c>
      <c r="K2825" s="65"/>
      <c r="L2825" s="85" t="b">
        <f>IF(VLOOKUP(C2825,Projetos!A:L,12,false)=TRUE,TRUE,FALSE)</f>
        <v>1</v>
      </c>
      <c r="M2825" s="74">
        <v>52.48434411075036</v>
      </c>
      <c r="N2825" s="74">
        <f t="shared" si="1"/>
        <v>78.72651617</v>
      </c>
      <c r="O2825" s="74" t="b">
        <v>1</v>
      </c>
    </row>
    <row r="2826" hidden="1">
      <c r="A2826" s="82"/>
      <c r="B2826" s="65" t="s">
        <v>411</v>
      </c>
      <c r="C2826" s="65" t="s">
        <v>127</v>
      </c>
      <c r="D2826" s="65" t="str">
        <f>vlookup(C2826,'Classificação p pessoal'!F:G,2,false)</f>
        <v>NP</v>
      </c>
      <c r="E2826" s="65" t="s">
        <v>1868</v>
      </c>
      <c r="F2826" s="83">
        <v>0.5</v>
      </c>
      <c r="G2826" s="83">
        <v>0.5416666666666666</v>
      </c>
      <c r="H2826" s="83">
        <v>0.041666666666666664</v>
      </c>
      <c r="I2826" s="84">
        <v>44217.0</v>
      </c>
      <c r="J2826" s="65" t="b">
        <v>1</v>
      </c>
      <c r="K2826" s="65"/>
      <c r="L2826" s="85" t="b">
        <f>IF(VLOOKUP(C2826,Projetos!A:L,12,false)=TRUE,TRUE,FALSE)</f>
        <v>1</v>
      </c>
      <c r="M2826" s="74">
        <v>52.48434411075036</v>
      </c>
      <c r="N2826" s="74">
        <f t="shared" si="1"/>
        <v>52.48434411</v>
      </c>
      <c r="O2826" s="74" t="b">
        <v>1</v>
      </c>
    </row>
    <row r="2827" hidden="1">
      <c r="A2827" s="82"/>
      <c r="B2827" s="65" t="s">
        <v>411</v>
      </c>
      <c r="C2827" s="65" t="s">
        <v>117</v>
      </c>
      <c r="D2827" s="65" t="str">
        <f>vlookup(C2827,'Classificação p pessoal'!F:G,2,false)</f>
        <v>NP</v>
      </c>
      <c r="E2827" s="65" t="s">
        <v>1869</v>
      </c>
      <c r="F2827" s="83">
        <v>0.5833333333333334</v>
      </c>
      <c r="G2827" s="83">
        <v>0.6458333333333334</v>
      </c>
      <c r="H2827" s="83">
        <v>0.0625</v>
      </c>
      <c r="I2827" s="84">
        <v>44217.0</v>
      </c>
      <c r="J2827" s="65" t="b">
        <v>1</v>
      </c>
      <c r="K2827" s="65"/>
      <c r="L2827" s="85" t="b">
        <f>IF(VLOOKUP(C2827,Projetos!A:L,12,false)=TRUE,TRUE,FALSE)</f>
        <v>1</v>
      </c>
      <c r="M2827" s="74">
        <v>52.48434411075036</v>
      </c>
      <c r="N2827" s="74">
        <f t="shared" si="1"/>
        <v>78.72651617</v>
      </c>
      <c r="O2827" s="74" t="b">
        <v>1</v>
      </c>
    </row>
    <row r="2828" hidden="1">
      <c r="A2828" s="82"/>
      <c r="B2828" s="65" t="s">
        <v>411</v>
      </c>
      <c r="C2828" s="65" t="s">
        <v>92</v>
      </c>
      <c r="D2828" s="65"/>
      <c r="E2828" s="65" t="s">
        <v>1870</v>
      </c>
      <c r="F2828" s="83">
        <v>0.6458333333333334</v>
      </c>
      <c r="G2828" s="83">
        <v>0.75</v>
      </c>
      <c r="H2828" s="83">
        <v>0.10416666666666667</v>
      </c>
      <c r="I2828" s="84">
        <v>44217.0</v>
      </c>
      <c r="J2828" s="65" t="b">
        <v>0</v>
      </c>
      <c r="K2828" s="65" t="s">
        <v>150</v>
      </c>
      <c r="L2828" s="85" t="b">
        <f>IF(VLOOKUP(C2828,Projetos!A:L,12,false)=TRUE,TRUE,FALSE)</f>
        <v>1</v>
      </c>
      <c r="M2828" s="74">
        <v>52.48434411075036</v>
      </c>
      <c r="N2828" s="74">
        <f t="shared" si="1"/>
        <v>0</v>
      </c>
      <c r="O2828" s="74" t="b">
        <v>1</v>
      </c>
    </row>
    <row r="2829" hidden="1">
      <c r="A2829" s="82"/>
      <c r="B2829" s="65" t="s">
        <v>411</v>
      </c>
      <c r="C2829" s="65" t="s">
        <v>92</v>
      </c>
      <c r="D2829" s="65" t="str">
        <f>vlookup(C2829,'Classificação p pessoal'!F:G,2,false)</f>
        <v/>
      </c>
      <c r="E2829" s="65" t="s">
        <v>1871</v>
      </c>
      <c r="F2829" s="83">
        <v>0.34375</v>
      </c>
      <c r="G2829" s="83">
        <v>0.3958333333333333</v>
      </c>
      <c r="H2829" s="83">
        <v>0.052083333333333336</v>
      </c>
      <c r="I2829" s="84">
        <v>44218.0</v>
      </c>
      <c r="J2829" s="65" t="b">
        <v>1</v>
      </c>
      <c r="K2829" s="65"/>
      <c r="L2829" s="85" t="b">
        <f>IF(VLOOKUP(C2829,Projetos!A:L,12,false)=TRUE,TRUE,FALSE)</f>
        <v>1</v>
      </c>
      <c r="M2829" s="74">
        <v>52.48434411075036</v>
      </c>
      <c r="N2829" s="74">
        <f t="shared" si="1"/>
        <v>65.60543014</v>
      </c>
      <c r="O2829" s="74" t="b">
        <v>1</v>
      </c>
    </row>
    <row r="2830" hidden="1">
      <c r="A2830" s="82"/>
      <c r="B2830" s="65" t="s">
        <v>411</v>
      </c>
      <c r="C2830" s="65" t="s">
        <v>117</v>
      </c>
      <c r="D2830" s="65" t="str">
        <f>vlookup(C2830,'Classificação p pessoal'!F:G,2,false)</f>
        <v>NP</v>
      </c>
      <c r="E2830" s="65" t="s">
        <v>1872</v>
      </c>
      <c r="F2830" s="83">
        <v>0.4583333333333333</v>
      </c>
      <c r="G2830" s="83">
        <v>0.5208333333333334</v>
      </c>
      <c r="H2830" s="83">
        <v>0.0625</v>
      </c>
      <c r="I2830" s="84">
        <v>44218.0</v>
      </c>
      <c r="J2830" s="65" t="b">
        <v>1</v>
      </c>
      <c r="K2830" s="65"/>
      <c r="L2830" s="85" t="b">
        <f>IF(VLOOKUP(C2830,Projetos!A:L,12,false)=TRUE,TRUE,FALSE)</f>
        <v>1</v>
      </c>
      <c r="M2830" s="74">
        <v>52.48434411075036</v>
      </c>
      <c r="N2830" s="74">
        <f t="shared" si="1"/>
        <v>78.72651617</v>
      </c>
      <c r="O2830" s="74" t="b">
        <v>1</v>
      </c>
    </row>
    <row r="2831" hidden="1">
      <c r="A2831" s="82"/>
      <c r="B2831" s="65" t="s">
        <v>411</v>
      </c>
      <c r="C2831" s="65" t="s">
        <v>92</v>
      </c>
      <c r="D2831" s="65" t="str">
        <f>vlookup(C2831,'Classificação p pessoal'!F:G,2,false)</f>
        <v/>
      </c>
      <c r="E2831" s="65" t="s">
        <v>1873</v>
      </c>
      <c r="F2831" s="83">
        <v>0.5625</v>
      </c>
      <c r="G2831" s="83">
        <v>0.6875</v>
      </c>
      <c r="H2831" s="83">
        <v>0.125</v>
      </c>
      <c r="I2831" s="84">
        <v>44218.0</v>
      </c>
      <c r="J2831" s="65" t="b">
        <v>1</v>
      </c>
      <c r="K2831" s="65"/>
      <c r="L2831" s="85" t="b">
        <f>IF(VLOOKUP(C2831,Projetos!A:L,12,false)=TRUE,TRUE,FALSE)</f>
        <v>1</v>
      </c>
      <c r="M2831" s="74">
        <v>52.48434411075036</v>
      </c>
      <c r="N2831" s="74">
        <f t="shared" si="1"/>
        <v>157.4530323</v>
      </c>
      <c r="O2831" s="74" t="b">
        <v>1</v>
      </c>
    </row>
    <row r="2832" hidden="1">
      <c r="A2832" s="82"/>
      <c r="B2832" s="65" t="s">
        <v>411</v>
      </c>
      <c r="C2832" s="65" t="s">
        <v>127</v>
      </c>
      <c r="D2832" s="65"/>
      <c r="E2832" s="65" t="s">
        <v>270</v>
      </c>
      <c r="F2832" s="83">
        <v>0.6875</v>
      </c>
      <c r="G2832" s="83">
        <v>0.7083333333333334</v>
      </c>
      <c r="H2832" s="83">
        <v>0.020833333333333332</v>
      </c>
      <c r="I2832" s="84">
        <v>44218.0</v>
      </c>
      <c r="J2832" s="65" t="b">
        <v>0</v>
      </c>
      <c r="K2832" s="65" t="s">
        <v>150</v>
      </c>
      <c r="L2832" s="85" t="b">
        <f>IF(VLOOKUP(C2832,Projetos!A:L,12,false)=TRUE,TRUE,FALSE)</f>
        <v>1</v>
      </c>
      <c r="M2832" s="74">
        <v>52.48434411075036</v>
      </c>
      <c r="N2832" s="74">
        <f t="shared" si="1"/>
        <v>0</v>
      </c>
      <c r="O2832" s="74" t="b">
        <v>1</v>
      </c>
    </row>
    <row r="2833" hidden="1">
      <c r="A2833" s="82"/>
      <c r="B2833" s="65" t="s">
        <v>411</v>
      </c>
      <c r="C2833" s="65" t="s">
        <v>88</v>
      </c>
      <c r="D2833" s="65"/>
      <c r="E2833" s="65" t="s">
        <v>270</v>
      </c>
      <c r="F2833" s="83">
        <v>0.7083333333333334</v>
      </c>
      <c r="G2833" s="83">
        <v>0.7291666666666666</v>
      </c>
      <c r="H2833" s="83">
        <v>0.020833333333333332</v>
      </c>
      <c r="I2833" s="84">
        <v>44218.0</v>
      </c>
      <c r="J2833" s="65" t="b">
        <v>0</v>
      </c>
      <c r="K2833" s="65" t="s">
        <v>150</v>
      </c>
      <c r="L2833" s="85" t="b">
        <f>IF(VLOOKUP(C2833,Projetos!A:L,12,false)=TRUE,TRUE,FALSE)</f>
        <v>1</v>
      </c>
      <c r="M2833" s="74">
        <v>52.48434411075036</v>
      </c>
      <c r="N2833" s="74">
        <f t="shared" si="1"/>
        <v>0</v>
      </c>
      <c r="O2833" s="74" t="b">
        <v>1</v>
      </c>
    </row>
    <row r="2834" hidden="1">
      <c r="A2834" s="82"/>
      <c r="B2834" s="65" t="s">
        <v>411</v>
      </c>
      <c r="C2834" s="65" t="s">
        <v>127</v>
      </c>
      <c r="D2834" s="65" t="str">
        <f>vlookup(C2834,'Classificação p pessoal'!F:G,2,false)</f>
        <v>NP</v>
      </c>
      <c r="E2834" s="65" t="s">
        <v>1874</v>
      </c>
      <c r="F2834" s="83">
        <v>0.7291666666666666</v>
      </c>
      <c r="G2834" s="83">
        <v>0.75</v>
      </c>
      <c r="H2834" s="83">
        <v>0.020833333333333332</v>
      </c>
      <c r="I2834" s="84">
        <v>44218.0</v>
      </c>
      <c r="J2834" s="65" t="b">
        <v>1</v>
      </c>
      <c r="K2834" s="65"/>
      <c r="L2834" s="85" t="b">
        <f>IF(VLOOKUP(C2834,Projetos!A:L,12,false)=TRUE,TRUE,FALSE)</f>
        <v>1</v>
      </c>
      <c r="M2834" s="74">
        <v>52.48434411075036</v>
      </c>
      <c r="N2834" s="74">
        <f t="shared" si="1"/>
        <v>26.24217206</v>
      </c>
      <c r="O2834" s="74" t="b">
        <v>1</v>
      </c>
    </row>
    <row r="2835" hidden="1">
      <c r="A2835" s="82"/>
      <c r="B2835" s="65" t="s">
        <v>411</v>
      </c>
      <c r="C2835" s="65" t="s">
        <v>117</v>
      </c>
      <c r="D2835" s="65"/>
      <c r="E2835" s="65" t="s">
        <v>1875</v>
      </c>
      <c r="F2835" s="83">
        <v>0.34375</v>
      </c>
      <c r="G2835" s="83">
        <v>0.375</v>
      </c>
      <c r="H2835" s="83">
        <v>0.03125</v>
      </c>
      <c r="I2835" s="84">
        <v>44221.0</v>
      </c>
      <c r="J2835" s="65" t="b">
        <v>0</v>
      </c>
      <c r="K2835" s="65" t="s">
        <v>150</v>
      </c>
      <c r="L2835" s="85" t="b">
        <f>IF(VLOOKUP(C2835,Projetos!A:L,12,false)=TRUE,TRUE,FALSE)</f>
        <v>1</v>
      </c>
      <c r="M2835" s="74">
        <v>52.48434411075036</v>
      </c>
      <c r="N2835" s="74">
        <f t="shared" si="1"/>
        <v>0</v>
      </c>
      <c r="O2835" s="74" t="b">
        <v>1</v>
      </c>
    </row>
    <row r="2836" hidden="1">
      <c r="A2836" s="82"/>
      <c r="B2836" s="65" t="s">
        <v>495</v>
      </c>
      <c r="C2836" s="65" t="s">
        <v>100</v>
      </c>
      <c r="D2836" s="65" t="str">
        <f>vlookup(C2836,'Classificação p pessoal'!F:G,2,false)</f>
        <v>NP</v>
      </c>
      <c r="E2836" s="65" t="s">
        <v>1876</v>
      </c>
      <c r="F2836" s="83">
        <v>0.4166666666666667</v>
      </c>
      <c r="G2836" s="83">
        <v>0.4583333333333333</v>
      </c>
      <c r="H2836" s="83">
        <v>0.041666666666666664</v>
      </c>
      <c r="I2836" s="84">
        <v>44218.0</v>
      </c>
      <c r="J2836" s="65" t="b">
        <v>1</v>
      </c>
      <c r="K2836" s="65"/>
      <c r="L2836" s="85" t="b">
        <f>IF(VLOOKUP(C2836,Projetos!A:L,12,false)=TRUE,TRUE,FALSE)</f>
        <v>1</v>
      </c>
      <c r="M2836" s="74">
        <v>73.7079846079846</v>
      </c>
      <c r="N2836" s="74">
        <f t="shared" si="1"/>
        <v>73.70798461</v>
      </c>
      <c r="O2836" s="74" t="b">
        <v>1</v>
      </c>
    </row>
    <row r="2837" hidden="1">
      <c r="A2837" s="82"/>
      <c r="B2837" s="65" t="s">
        <v>411</v>
      </c>
      <c r="C2837" s="65" t="s">
        <v>127</v>
      </c>
      <c r="D2837" s="65" t="str">
        <f>vlookup(C2837,'Classificação p pessoal'!F:G,2,false)</f>
        <v>NP</v>
      </c>
      <c r="E2837" s="65" t="s">
        <v>1877</v>
      </c>
      <c r="F2837" s="83">
        <v>0.3958333333333333</v>
      </c>
      <c r="G2837" s="83">
        <v>0.4375</v>
      </c>
      <c r="H2837" s="83">
        <v>0.041666666666666664</v>
      </c>
      <c r="I2837" s="84">
        <v>44221.0</v>
      </c>
      <c r="J2837" s="65" t="b">
        <v>1</v>
      </c>
      <c r="K2837" s="65"/>
      <c r="L2837" s="85" t="b">
        <f>IF(VLOOKUP(C2837,Projetos!A:L,12,false)=TRUE,TRUE,FALSE)</f>
        <v>1</v>
      </c>
      <c r="M2837" s="74">
        <v>52.48434411075036</v>
      </c>
      <c r="N2837" s="74">
        <f t="shared" si="1"/>
        <v>52.48434411</v>
      </c>
      <c r="O2837" s="74" t="b">
        <v>1</v>
      </c>
    </row>
    <row r="2838" hidden="1">
      <c r="A2838" s="82"/>
      <c r="B2838" s="65" t="s">
        <v>411</v>
      </c>
      <c r="C2838" s="65" t="s">
        <v>92</v>
      </c>
      <c r="D2838" s="65" t="str">
        <f>vlookup(C2838,'Classificação p pessoal'!F:G,2,false)</f>
        <v/>
      </c>
      <c r="E2838" s="65" t="s">
        <v>1878</v>
      </c>
      <c r="F2838" s="83">
        <v>0.4375</v>
      </c>
      <c r="G2838" s="83">
        <v>0.5</v>
      </c>
      <c r="H2838" s="83">
        <v>0.0625</v>
      </c>
      <c r="I2838" s="84">
        <v>44221.0</v>
      </c>
      <c r="J2838" s="65" t="b">
        <v>1</v>
      </c>
      <c r="K2838" s="65"/>
      <c r="L2838" s="85" t="b">
        <f>IF(VLOOKUP(C2838,Projetos!A:L,12,false)=TRUE,TRUE,FALSE)</f>
        <v>1</v>
      </c>
      <c r="M2838" s="74">
        <v>52.48434411075036</v>
      </c>
      <c r="N2838" s="74">
        <f t="shared" si="1"/>
        <v>78.72651617</v>
      </c>
      <c r="O2838" s="74" t="b">
        <v>1</v>
      </c>
    </row>
    <row r="2839" hidden="1">
      <c r="A2839" s="82"/>
      <c r="B2839" s="65" t="s">
        <v>411</v>
      </c>
      <c r="C2839" s="65" t="s">
        <v>127</v>
      </c>
      <c r="D2839" s="65" t="str">
        <f>vlookup(C2839,'Classificação p pessoal'!F:G,2,false)</f>
        <v>NP</v>
      </c>
      <c r="E2839" s="65" t="s">
        <v>1879</v>
      </c>
      <c r="F2839" s="83">
        <v>0.5</v>
      </c>
      <c r="G2839" s="83">
        <v>0.5416666666666666</v>
      </c>
      <c r="H2839" s="83">
        <v>0.041666666666666664</v>
      </c>
      <c r="I2839" s="84">
        <v>44221.0</v>
      </c>
      <c r="J2839" s="65" t="b">
        <v>1</v>
      </c>
      <c r="K2839" s="65"/>
      <c r="L2839" s="85" t="b">
        <f>IF(VLOOKUP(C2839,Projetos!A:L,12,false)=TRUE,TRUE,FALSE)</f>
        <v>1</v>
      </c>
      <c r="M2839" s="74">
        <v>52.48434411075036</v>
      </c>
      <c r="N2839" s="74">
        <f t="shared" si="1"/>
        <v>52.48434411</v>
      </c>
      <c r="O2839" s="74" t="b">
        <v>1</v>
      </c>
    </row>
    <row r="2840" hidden="1">
      <c r="A2840" s="82"/>
      <c r="B2840" s="65" t="s">
        <v>411</v>
      </c>
      <c r="C2840" s="65" t="s">
        <v>92</v>
      </c>
      <c r="D2840" s="65" t="str">
        <f>vlookup(C2840,'Classificação p pessoal'!F:G,2,false)</f>
        <v/>
      </c>
      <c r="E2840" s="65" t="s">
        <v>1880</v>
      </c>
      <c r="F2840" s="83">
        <v>0.5833333333333334</v>
      </c>
      <c r="G2840" s="83">
        <v>0.6458333333333334</v>
      </c>
      <c r="H2840" s="83">
        <v>0.0625</v>
      </c>
      <c r="I2840" s="84">
        <v>44221.0</v>
      </c>
      <c r="J2840" s="65" t="b">
        <v>1</v>
      </c>
      <c r="K2840" s="65"/>
      <c r="L2840" s="85" t="b">
        <f>IF(VLOOKUP(C2840,Projetos!A:L,12,false)=TRUE,TRUE,FALSE)</f>
        <v>1</v>
      </c>
      <c r="M2840" s="74">
        <v>52.48434411075036</v>
      </c>
      <c r="N2840" s="74">
        <f t="shared" si="1"/>
        <v>78.72651617</v>
      </c>
      <c r="O2840" s="74" t="b">
        <v>1</v>
      </c>
    </row>
    <row r="2841" hidden="1">
      <c r="A2841" s="82"/>
      <c r="B2841" s="65" t="s">
        <v>411</v>
      </c>
      <c r="C2841" s="65" t="s">
        <v>117</v>
      </c>
      <c r="D2841" s="65" t="str">
        <f>vlookup(C2841,'Classificação p pessoal'!F:G,2,false)</f>
        <v>NP</v>
      </c>
      <c r="E2841" s="65" t="s">
        <v>1881</v>
      </c>
      <c r="F2841" s="83">
        <v>0.6458333333333334</v>
      </c>
      <c r="G2841" s="83">
        <v>0.6875</v>
      </c>
      <c r="H2841" s="83">
        <v>0.041666666666666664</v>
      </c>
      <c r="I2841" s="84">
        <v>44221.0</v>
      </c>
      <c r="J2841" s="65" t="b">
        <v>1</v>
      </c>
      <c r="K2841" s="65"/>
      <c r="L2841" s="85" t="b">
        <f>IF(VLOOKUP(C2841,Projetos!A:L,12,false)=TRUE,TRUE,FALSE)</f>
        <v>1</v>
      </c>
      <c r="M2841" s="74">
        <v>52.48434411075036</v>
      </c>
      <c r="N2841" s="74">
        <f t="shared" si="1"/>
        <v>52.48434411</v>
      </c>
      <c r="O2841" s="74" t="b">
        <v>1</v>
      </c>
    </row>
    <row r="2842" hidden="1">
      <c r="A2842" s="82"/>
      <c r="B2842" s="65" t="s">
        <v>411</v>
      </c>
      <c r="C2842" s="65" t="s">
        <v>92</v>
      </c>
      <c r="D2842" s="65" t="str">
        <f>vlookup(C2842,'Classificação p pessoal'!F:G,2,false)</f>
        <v/>
      </c>
      <c r="E2842" s="65" t="s">
        <v>1882</v>
      </c>
      <c r="F2842" s="83">
        <v>0.6875</v>
      </c>
      <c r="G2842" s="83">
        <v>0.7083333333333334</v>
      </c>
      <c r="H2842" s="83">
        <v>0.020833333333333332</v>
      </c>
      <c r="I2842" s="84">
        <v>44221.0</v>
      </c>
      <c r="J2842" s="65" t="b">
        <v>1</v>
      </c>
      <c r="K2842" s="65"/>
      <c r="L2842" s="85" t="b">
        <f>IF(VLOOKUP(C2842,Projetos!A:L,12,false)=TRUE,TRUE,FALSE)</f>
        <v>1</v>
      </c>
      <c r="M2842" s="74">
        <v>52.48434411075036</v>
      </c>
      <c r="N2842" s="74">
        <f t="shared" si="1"/>
        <v>26.24217206</v>
      </c>
      <c r="O2842" s="74" t="b">
        <v>1</v>
      </c>
    </row>
    <row r="2843" hidden="1">
      <c r="A2843" s="82"/>
      <c r="B2843" s="65" t="s">
        <v>177</v>
      </c>
      <c r="C2843" s="65" t="s">
        <v>101</v>
      </c>
      <c r="D2843" s="65" t="str">
        <f>vlookup(C2843,'Classificação p pessoal'!F:G,2,false)</f>
        <v>NP</v>
      </c>
      <c r="E2843" s="65" t="s">
        <v>1883</v>
      </c>
      <c r="F2843" s="83">
        <v>0.6666666666666666</v>
      </c>
      <c r="G2843" s="83">
        <v>0.6944444444444444</v>
      </c>
      <c r="H2843" s="83">
        <v>0.027777777777777776</v>
      </c>
      <c r="I2843" s="84">
        <v>44537.0</v>
      </c>
      <c r="J2843" s="65" t="b">
        <v>1</v>
      </c>
      <c r="K2843" s="65"/>
      <c r="L2843" s="85" t="b">
        <f>IF(VLOOKUP(C2843,Projetos!A:L,12,false)=TRUE,TRUE,FALSE)</f>
        <v>1</v>
      </c>
      <c r="M2843" s="74">
        <v>31.02923620430495</v>
      </c>
      <c r="N2843" s="74">
        <f t="shared" si="1"/>
        <v>20.68615747</v>
      </c>
      <c r="O2843" s="74" t="b">
        <v>1</v>
      </c>
    </row>
    <row r="2844" hidden="1">
      <c r="A2844" s="82"/>
      <c r="B2844" s="65" t="s">
        <v>411</v>
      </c>
      <c r="C2844" s="65" t="s">
        <v>117</v>
      </c>
      <c r="D2844" s="65" t="str">
        <f>vlookup(C2844,'Classificação p pessoal'!F:G,2,false)</f>
        <v>NP</v>
      </c>
      <c r="E2844" s="65" t="s">
        <v>1884</v>
      </c>
      <c r="F2844" s="83">
        <v>0.4479166666666667</v>
      </c>
      <c r="G2844" s="83">
        <v>0.5833333333333334</v>
      </c>
      <c r="H2844" s="83">
        <v>0.13541666666666666</v>
      </c>
      <c r="I2844" s="84">
        <v>44222.0</v>
      </c>
      <c r="J2844" s="65" t="b">
        <v>1</v>
      </c>
      <c r="K2844" s="65"/>
      <c r="L2844" s="85" t="b">
        <f>IF(VLOOKUP(C2844,Projetos!A:L,12,false)=TRUE,TRUE,FALSE)</f>
        <v>1</v>
      </c>
      <c r="M2844" s="74">
        <v>52.48434411075036</v>
      </c>
      <c r="N2844" s="74">
        <f t="shared" si="1"/>
        <v>170.5741184</v>
      </c>
      <c r="O2844" s="74" t="b">
        <v>1</v>
      </c>
    </row>
    <row r="2845" hidden="1">
      <c r="A2845" s="82"/>
      <c r="B2845" s="65" t="s">
        <v>411</v>
      </c>
      <c r="C2845" s="65" t="s">
        <v>88</v>
      </c>
      <c r="D2845" s="65" t="str">
        <f>vlookup(C2845,'Classificação p pessoal'!F:G,2,false)</f>
        <v>MProduto</v>
      </c>
      <c r="E2845" s="65" t="s">
        <v>1885</v>
      </c>
      <c r="F2845" s="83">
        <v>0.625</v>
      </c>
      <c r="G2845" s="83">
        <v>0.6458333333333334</v>
      </c>
      <c r="H2845" s="83">
        <v>0.020833333333333332</v>
      </c>
      <c r="I2845" s="84">
        <v>44222.0</v>
      </c>
      <c r="J2845" s="65" t="b">
        <v>1</v>
      </c>
      <c r="K2845" s="65"/>
      <c r="L2845" s="85" t="b">
        <f>IF(VLOOKUP(C2845,Projetos!A:L,12,false)=TRUE,TRUE,FALSE)</f>
        <v>1</v>
      </c>
      <c r="M2845" s="74">
        <v>52.48434411075036</v>
      </c>
      <c r="N2845" s="74">
        <f t="shared" si="1"/>
        <v>26.24217206</v>
      </c>
      <c r="O2845" s="74" t="b">
        <v>1</v>
      </c>
    </row>
    <row r="2846" hidden="1">
      <c r="A2846" s="82"/>
      <c r="B2846" s="65" t="s">
        <v>411</v>
      </c>
      <c r="C2846" s="65" t="s">
        <v>117</v>
      </c>
      <c r="D2846" s="65"/>
      <c r="E2846" s="65" t="s">
        <v>1886</v>
      </c>
      <c r="F2846" s="83">
        <v>0.6458333333333334</v>
      </c>
      <c r="G2846" s="83">
        <v>0.6875</v>
      </c>
      <c r="H2846" s="83">
        <v>0.041666666666666664</v>
      </c>
      <c r="I2846" s="84">
        <v>44222.0</v>
      </c>
      <c r="J2846" s="65" t="b">
        <v>0</v>
      </c>
      <c r="K2846" s="65" t="s">
        <v>150</v>
      </c>
      <c r="L2846" s="85" t="b">
        <f>IF(VLOOKUP(C2846,Projetos!A:L,12,false)=TRUE,TRUE,FALSE)</f>
        <v>1</v>
      </c>
      <c r="M2846" s="74">
        <v>52.48434411075036</v>
      </c>
      <c r="N2846" s="74">
        <f t="shared" si="1"/>
        <v>0</v>
      </c>
      <c r="O2846" s="74" t="b">
        <v>1</v>
      </c>
    </row>
    <row r="2847" hidden="1">
      <c r="A2847" s="82"/>
      <c r="B2847" s="65" t="s">
        <v>411</v>
      </c>
      <c r="C2847" s="65" t="s">
        <v>92</v>
      </c>
      <c r="D2847" s="65" t="str">
        <f>vlookup(C2847,'Classificação p pessoal'!F:G,2,false)</f>
        <v/>
      </c>
      <c r="E2847" s="65" t="s">
        <v>1887</v>
      </c>
      <c r="F2847" s="83">
        <v>0.6875</v>
      </c>
      <c r="G2847" s="83">
        <v>0.7083333333333334</v>
      </c>
      <c r="H2847" s="83">
        <v>0.020833333333333332</v>
      </c>
      <c r="I2847" s="84">
        <v>44222.0</v>
      </c>
      <c r="J2847" s="65" t="b">
        <v>1</v>
      </c>
      <c r="K2847" s="65"/>
      <c r="L2847" s="85" t="b">
        <f>IF(VLOOKUP(C2847,Projetos!A:L,12,false)=TRUE,TRUE,FALSE)</f>
        <v>1</v>
      </c>
      <c r="M2847" s="74">
        <v>52.48434411075036</v>
      </c>
      <c r="N2847" s="74">
        <f t="shared" si="1"/>
        <v>26.24217206</v>
      </c>
      <c r="O2847" s="74" t="b">
        <v>1</v>
      </c>
    </row>
    <row r="2848" hidden="1">
      <c r="A2848" s="82"/>
      <c r="B2848" s="65" t="s">
        <v>411</v>
      </c>
      <c r="C2848" s="65" t="s">
        <v>117</v>
      </c>
      <c r="D2848" s="65" t="str">
        <f>vlookup(C2848,'Classificação p pessoal'!F:G,2,false)</f>
        <v>NP</v>
      </c>
      <c r="E2848" s="65" t="s">
        <v>1888</v>
      </c>
      <c r="F2848" s="83">
        <v>0.34375</v>
      </c>
      <c r="G2848" s="83">
        <v>0.375</v>
      </c>
      <c r="H2848" s="83">
        <v>0.03125</v>
      </c>
      <c r="I2848" s="84">
        <v>44223.0</v>
      </c>
      <c r="J2848" s="65" t="b">
        <v>1</v>
      </c>
      <c r="K2848" s="65"/>
      <c r="L2848" s="85" t="b">
        <f>IF(VLOOKUP(C2848,Projetos!A:L,12,false)=TRUE,TRUE,FALSE)</f>
        <v>1</v>
      </c>
      <c r="M2848" s="74">
        <v>52.48434411075036</v>
      </c>
      <c r="N2848" s="74">
        <f t="shared" si="1"/>
        <v>39.36325808</v>
      </c>
      <c r="O2848" s="74" t="b">
        <v>1</v>
      </c>
    </row>
    <row r="2849" hidden="1">
      <c r="A2849" s="82"/>
      <c r="B2849" s="65" t="s">
        <v>411</v>
      </c>
      <c r="C2849" s="65" t="s">
        <v>88</v>
      </c>
      <c r="D2849" s="65" t="str">
        <f>vlookup(C2849,'Classificação p pessoal'!F:G,2,false)</f>
        <v>MProduto</v>
      </c>
      <c r="E2849" s="65" t="s">
        <v>1889</v>
      </c>
      <c r="F2849" s="83">
        <v>0.375</v>
      </c>
      <c r="G2849" s="83">
        <v>0.4166666666666667</v>
      </c>
      <c r="H2849" s="83">
        <v>0.041666666666666664</v>
      </c>
      <c r="I2849" s="84">
        <v>44223.0</v>
      </c>
      <c r="J2849" s="65" t="b">
        <v>1</v>
      </c>
      <c r="K2849" s="65"/>
      <c r="L2849" s="85" t="b">
        <f>IF(VLOOKUP(C2849,Projetos!A:L,12,false)=TRUE,TRUE,FALSE)</f>
        <v>1</v>
      </c>
      <c r="M2849" s="74">
        <v>52.48434411075036</v>
      </c>
      <c r="N2849" s="74">
        <f t="shared" si="1"/>
        <v>52.48434411</v>
      </c>
      <c r="O2849" s="74" t="b">
        <v>1</v>
      </c>
    </row>
    <row r="2850" hidden="1">
      <c r="A2850" s="82"/>
      <c r="B2850" s="65" t="s">
        <v>411</v>
      </c>
      <c r="C2850" s="65" t="s">
        <v>127</v>
      </c>
      <c r="D2850" s="65" t="str">
        <f>vlookup(C2850,'Classificação p pessoal'!F:G,2,false)</f>
        <v>NP</v>
      </c>
      <c r="E2850" s="65" t="s">
        <v>1890</v>
      </c>
      <c r="F2850" s="83">
        <v>0.4166666666666667</v>
      </c>
      <c r="G2850" s="83">
        <v>0.4583333333333333</v>
      </c>
      <c r="H2850" s="83">
        <v>0.041666666666666664</v>
      </c>
      <c r="I2850" s="84">
        <v>44223.0</v>
      </c>
      <c r="J2850" s="65" t="b">
        <v>1</v>
      </c>
      <c r="K2850" s="65"/>
      <c r="L2850" s="85" t="b">
        <f>IF(VLOOKUP(C2850,Projetos!A:L,12,false)=TRUE,TRUE,FALSE)</f>
        <v>1</v>
      </c>
      <c r="M2850" s="74">
        <v>52.48434411075036</v>
      </c>
      <c r="N2850" s="74">
        <f t="shared" si="1"/>
        <v>52.48434411</v>
      </c>
      <c r="O2850" s="74" t="b">
        <v>1</v>
      </c>
    </row>
    <row r="2851" hidden="1">
      <c r="A2851" s="82"/>
      <c r="B2851" s="65" t="s">
        <v>411</v>
      </c>
      <c r="C2851" s="65" t="s">
        <v>117</v>
      </c>
      <c r="D2851" s="65" t="str">
        <f>vlookup(C2851,'Classificação p pessoal'!F:G,2,false)</f>
        <v>NP</v>
      </c>
      <c r="E2851" s="65" t="s">
        <v>1891</v>
      </c>
      <c r="F2851" s="83">
        <v>0.4583333333333333</v>
      </c>
      <c r="G2851" s="83">
        <v>0.5</v>
      </c>
      <c r="H2851" s="83">
        <v>0.041666666666666664</v>
      </c>
      <c r="I2851" s="84">
        <v>44223.0</v>
      </c>
      <c r="J2851" s="65" t="b">
        <v>1</v>
      </c>
      <c r="K2851" s="65"/>
      <c r="L2851" s="85" t="b">
        <f>IF(VLOOKUP(C2851,Projetos!A:L,12,false)=TRUE,TRUE,FALSE)</f>
        <v>1</v>
      </c>
      <c r="M2851" s="74">
        <v>52.48434411075036</v>
      </c>
      <c r="N2851" s="74">
        <f t="shared" si="1"/>
        <v>52.48434411</v>
      </c>
      <c r="O2851" s="74" t="b">
        <v>1</v>
      </c>
    </row>
    <row r="2852" hidden="1">
      <c r="A2852" s="82"/>
      <c r="B2852" s="65" t="s">
        <v>411</v>
      </c>
      <c r="C2852" s="65" t="s">
        <v>92</v>
      </c>
      <c r="D2852" s="65" t="str">
        <f>vlookup(C2852,'Classificação p pessoal'!F:G,2,false)</f>
        <v/>
      </c>
      <c r="E2852" s="65" t="s">
        <v>1882</v>
      </c>
      <c r="F2852" s="83">
        <v>0.5</v>
      </c>
      <c r="G2852" s="83">
        <v>0.5208333333333334</v>
      </c>
      <c r="H2852" s="83">
        <v>0.020833333333333332</v>
      </c>
      <c r="I2852" s="84">
        <v>44223.0</v>
      </c>
      <c r="J2852" s="65" t="b">
        <v>1</v>
      </c>
      <c r="K2852" s="65"/>
      <c r="L2852" s="85" t="b">
        <f>IF(VLOOKUP(C2852,Projetos!A:L,12,false)=TRUE,TRUE,FALSE)</f>
        <v>1</v>
      </c>
      <c r="M2852" s="74">
        <v>52.48434411075036</v>
      </c>
      <c r="N2852" s="74">
        <f t="shared" si="1"/>
        <v>26.24217206</v>
      </c>
      <c r="O2852" s="74" t="b">
        <v>1</v>
      </c>
    </row>
    <row r="2853" hidden="1">
      <c r="A2853" s="82"/>
      <c r="B2853" s="65" t="s">
        <v>411</v>
      </c>
      <c r="C2853" s="65" t="s">
        <v>92</v>
      </c>
      <c r="D2853" s="65" t="str">
        <f>vlookup(C2853,'Classificação p pessoal'!F:G,2,false)</f>
        <v/>
      </c>
      <c r="E2853" s="65" t="s">
        <v>1892</v>
      </c>
      <c r="F2853" s="83">
        <v>0.5625</v>
      </c>
      <c r="G2853" s="83">
        <v>0.5833333333333334</v>
      </c>
      <c r="H2853" s="83">
        <v>0.020833333333333332</v>
      </c>
      <c r="I2853" s="84">
        <v>44223.0</v>
      </c>
      <c r="J2853" s="65" t="b">
        <v>1</v>
      </c>
      <c r="K2853" s="65"/>
      <c r="L2853" s="85" t="b">
        <f>IF(VLOOKUP(C2853,Projetos!A:L,12,false)=TRUE,TRUE,FALSE)</f>
        <v>1</v>
      </c>
      <c r="M2853" s="74">
        <v>52.48434411075036</v>
      </c>
      <c r="N2853" s="74">
        <f t="shared" si="1"/>
        <v>26.24217206</v>
      </c>
      <c r="O2853" s="74" t="b">
        <v>1</v>
      </c>
    </row>
    <row r="2854" hidden="1">
      <c r="A2854" s="82"/>
      <c r="B2854" s="65" t="s">
        <v>411</v>
      </c>
      <c r="C2854" s="65" t="s">
        <v>117</v>
      </c>
      <c r="D2854" s="65" t="str">
        <f>vlookup(C2854,'Classificação p pessoal'!F:G,2,false)</f>
        <v>NP</v>
      </c>
      <c r="E2854" s="65" t="s">
        <v>1893</v>
      </c>
      <c r="F2854" s="83">
        <v>0.5833333333333334</v>
      </c>
      <c r="G2854" s="83">
        <v>0.625</v>
      </c>
      <c r="H2854" s="83">
        <v>0.041666666666666664</v>
      </c>
      <c r="I2854" s="84">
        <v>44223.0</v>
      </c>
      <c r="J2854" s="65" t="b">
        <v>1</v>
      </c>
      <c r="K2854" s="65"/>
      <c r="L2854" s="85" t="b">
        <f>IF(VLOOKUP(C2854,Projetos!A:L,12,false)=TRUE,TRUE,FALSE)</f>
        <v>1</v>
      </c>
      <c r="M2854" s="74">
        <v>52.48434411075036</v>
      </c>
      <c r="N2854" s="74">
        <f t="shared" si="1"/>
        <v>52.48434411</v>
      </c>
      <c r="O2854" s="74" t="b">
        <v>1</v>
      </c>
    </row>
    <row r="2855" hidden="1">
      <c r="A2855" s="82"/>
      <c r="B2855" s="65" t="s">
        <v>411</v>
      </c>
      <c r="C2855" s="65" t="s">
        <v>92</v>
      </c>
      <c r="D2855" s="65" t="str">
        <f>vlookup(C2855,'Classificação p pessoal'!F:G,2,false)</f>
        <v/>
      </c>
      <c r="E2855" s="65" t="s">
        <v>1894</v>
      </c>
      <c r="F2855" s="83">
        <v>0.625</v>
      </c>
      <c r="G2855" s="83">
        <v>0.75</v>
      </c>
      <c r="H2855" s="83">
        <v>0.125</v>
      </c>
      <c r="I2855" s="84">
        <v>44223.0</v>
      </c>
      <c r="J2855" s="65" t="b">
        <v>1</v>
      </c>
      <c r="K2855" s="65"/>
      <c r="L2855" s="85" t="b">
        <f>IF(VLOOKUP(C2855,Projetos!A:L,12,false)=TRUE,TRUE,FALSE)</f>
        <v>1</v>
      </c>
      <c r="M2855" s="74">
        <v>52.48434411075036</v>
      </c>
      <c r="N2855" s="74">
        <f t="shared" si="1"/>
        <v>157.4530323</v>
      </c>
      <c r="O2855" s="74" t="b">
        <v>1</v>
      </c>
    </row>
    <row r="2856" hidden="1">
      <c r="A2856" s="82"/>
      <c r="B2856" s="65" t="s">
        <v>411</v>
      </c>
      <c r="C2856" s="65" t="s">
        <v>92</v>
      </c>
      <c r="D2856" s="65" t="str">
        <f>vlookup(C2856,'Classificação p pessoal'!F:G,2,false)</f>
        <v/>
      </c>
      <c r="E2856" s="65" t="s">
        <v>1895</v>
      </c>
      <c r="F2856" s="83">
        <v>0.34375</v>
      </c>
      <c r="G2856" s="83">
        <v>0.4166666666666667</v>
      </c>
      <c r="H2856" s="83">
        <v>0.07291666666666667</v>
      </c>
      <c r="I2856" s="84">
        <v>44224.0</v>
      </c>
      <c r="J2856" s="65" t="b">
        <v>1</v>
      </c>
      <c r="K2856" s="65"/>
      <c r="L2856" s="85" t="b">
        <f>IF(VLOOKUP(C2856,Projetos!A:L,12,false)=TRUE,TRUE,FALSE)</f>
        <v>1</v>
      </c>
      <c r="M2856" s="74">
        <v>52.48434411075036</v>
      </c>
      <c r="N2856" s="74">
        <f t="shared" si="1"/>
        <v>91.84760219</v>
      </c>
      <c r="O2856" s="74" t="b">
        <v>1</v>
      </c>
    </row>
    <row r="2857" hidden="1">
      <c r="A2857" s="82"/>
      <c r="B2857" s="65" t="s">
        <v>411</v>
      </c>
      <c r="C2857" s="65" t="s">
        <v>117</v>
      </c>
      <c r="D2857" s="65" t="str">
        <f>vlookup(C2857,'Classificação p pessoal'!F:G,2,false)</f>
        <v>NP</v>
      </c>
      <c r="E2857" s="65" t="s">
        <v>1896</v>
      </c>
      <c r="F2857" s="83">
        <v>0.4166666666666667</v>
      </c>
      <c r="G2857" s="83">
        <v>0.4583333333333333</v>
      </c>
      <c r="H2857" s="83">
        <v>0.041666666666666664</v>
      </c>
      <c r="I2857" s="84">
        <v>44224.0</v>
      </c>
      <c r="J2857" s="65" t="b">
        <v>1</v>
      </c>
      <c r="K2857" s="65"/>
      <c r="L2857" s="85" t="b">
        <f>IF(VLOOKUP(C2857,Projetos!A:L,12,false)=TRUE,TRUE,FALSE)</f>
        <v>1</v>
      </c>
      <c r="M2857" s="74">
        <v>52.48434411075036</v>
      </c>
      <c r="N2857" s="74">
        <f t="shared" si="1"/>
        <v>52.48434411</v>
      </c>
      <c r="O2857" s="74" t="b">
        <v>1</v>
      </c>
    </row>
    <row r="2858" hidden="1">
      <c r="A2858" s="82"/>
      <c r="B2858" s="65" t="s">
        <v>411</v>
      </c>
      <c r="C2858" s="65" t="s">
        <v>92</v>
      </c>
      <c r="D2858" s="65" t="str">
        <f>vlookup(C2858,'Classificação p pessoal'!F:G,2,false)</f>
        <v/>
      </c>
      <c r="E2858" s="65" t="s">
        <v>1897</v>
      </c>
      <c r="F2858" s="83">
        <v>0.4583333333333333</v>
      </c>
      <c r="G2858" s="83">
        <v>0.5208333333333334</v>
      </c>
      <c r="H2858" s="83">
        <v>0.0625</v>
      </c>
      <c r="I2858" s="84">
        <v>44224.0</v>
      </c>
      <c r="J2858" s="65" t="b">
        <v>1</v>
      </c>
      <c r="K2858" s="65"/>
      <c r="L2858" s="85" t="b">
        <f>IF(VLOOKUP(C2858,Projetos!A:L,12,false)=TRUE,TRUE,FALSE)</f>
        <v>1</v>
      </c>
      <c r="M2858" s="74">
        <v>52.48434411075036</v>
      </c>
      <c r="N2858" s="74">
        <f t="shared" si="1"/>
        <v>78.72651617</v>
      </c>
      <c r="O2858" s="74" t="b">
        <v>1</v>
      </c>
    </row>
    <row r="2859" hidden="1">
      <c r="A2859" s="82"/>
      <c r="B2859" s="65" t="s">
        <v>411</v>
      </c>
      <c r="C2859" s="65" t="s">
        <v>117</v>
      </c>
      <c r="D2859" s="65" t="str">
        <f>vlookup(C2859,'Classificação p pessoal'!F:G,2,false)</f>
        <v>NP</v>
      </c>
      <c r="E2859" s="65" t="s">
        <v>1898</v>
      </c>
      <c r="F2859" s="83">
        <v>0.5208333333333334</v>
      </c>
      <c r="G2859" s="83">
        <v>0.5625</v>
      </c>
      <c r="H2859" s="83">
        <v>0.041666666666666664</v>
      </c>
      <c r="I2859" s="84">
        <v>44224.0</v>
      </c>
      <c r="J2859" s="65" t="b">
        <v>1</v>
      </c>
      <c r="K2859" s="65"/>
      <c r="L2859" s="85" t="b">
        <f>IF(VLOOKUP(C2859,Projetos!A:L,12,false)=TRUE,TRUE,FALSE)</f>
        <v>1</v>
      </c>
      <c r="M2859" s="74">
        <v>52.48434411075036</v>
      </c>
      <c r="N2859" s="74">
        <f t="shared" si="1"/>
        <v>52.48434411</v>
      </c>
      <c r="O2859" s="74" t="b">
        <v>1</v>
      </c>
    </row>
    <row r="2860" hidden="1">
      <c r="A2860" s="82"/>
      <c r="B2860" s="65" t="s">
        <v>411</v>
      </c>
      <c r="C2860" s="65" t="s">
        <v>92</v>
      </c>
      <c r="D2860" s="65" t="str">
        <f>vlookup(C2860,'Classificação p pessoal'!F:G,2,false)</f>
        <v/>
      </c>
      <c r="E2860" s="65" t="s">
        <v>1899</v>
      </c>
      <c r="F2860" s="83">
        <v>0.6041666666666666</v>
      </c>
      <c r="G2860" s="83">
        <v>0.7291666666666666</v>
      </c>
      <c r="H2860" s="83">
        <v>0.125</v>
      </c>
      <c r="I2860" s="84">
        <v>44224.0</v>
      </c>
      <c r="J2860" s="65" t="b">
        <v>1</v>
      </c>
      <c r="K2860" s="65"/>
      <c r="L2860" s="85" t="b">
        <f>IF(VLOOKUP(C2860,Projetos!A:L,12,false)=TRUE,TRUE,FALSE)</f>
        <v>1</v>
      </c>
      <c r="M2860" s="74">
        <v>52.48434411075036</v>
      </c>
      <c r="N2860" s="74">
        <f t="shared" si="1"/>
        <v>157.4530323</v>
      </c>
      <c r="O2860" s="74" t="b">
        <v>1</v>
      </c>
    </row>
    <row r="2861" hidden="1">
      <c r="A2861" s="82"/>
      <c r="B2861" s="65" t="s">
        <v>411</v>
      </c>
      <c r="C2861" s="65" t="s">
        <v>92</v>
      </c>
      <c r="D2861" s="65" t="str">
        <f>vlookup(C2861,'Classificação p pessoal'!F:G,2,false)</f>
        <v/>
      </c>
      <c r="E2861" s="65" t="s">
        <v>1900</v>
      </c>
      <c r="F2861" s="83">
        <v>0.34375</v>
      </c>
      <c r="G2861" s="83">
        <v>0.3541666666666667</v>
      </c>
      <c r="H2861" s="83">
        <v>0.010416666666666666</v>
      </c>
      <c r="I2861" s="84">
        <v>44225.0</v>
      </c>
      <c r="J2861" s="65" t="b">
        <v>1</v>
      </c>
      <c r="K2861" s="65"/>
      <c r="L2861" s="85" t="b">
        <f>IF(VLOOKUP(C2861,Projetos!A:L,12,false)=TRUE,TRUE,FALSE)</f>
        <v>1</v>
      </c>
      <c r="M2861" s="74">
        <v>52.48434411075036</v>
      </c>
      <c r="N2861" s="74">
        <f t="shared" si="1"/>
        <v>13.12108603</v>
      </c>
      <c r="O2861" s="74" t="b">
        <v>1</v>
      </c>
    </row>
    <row r="2862" hidden="1">
      <c r="A2862" s="82"/>
      <c r="B2862" s="65" t="s">
        <v>411</v>
      </c>
      <c r="C2862" s="65" t="s">
        <v>122</v>
      </c>
      <c r="D2862" s="65" t="str">
        <f>vlookup(C2862,'Classificação p pessoal'!F:G,2,false)</f>
        <v>NP</v>
      </c>
      <c r="E2862" s="65" t="s">
        <v>1901</v>
      </c>
      <c r="F2862" s="83">
        <v>0.3541666666666667</v>
      </c>
      <c r="G2862" s="83">
        <v>0.3958333333333333</v>
      </c>
      <c r="H2862" s="83">
        <v>0.041666666666666664</v>
      </c>
      <c r="I2862" s="84">
        <v>44225.0</v>
      </c>
      <c r="J2862" s="65" t="b">
        <v>1</v>
      </c>
      <c r="K2862" s="65"/>
      <c r="L2862" s="85" t="b">
        <f>IF(VLOOKUP(C2862,Projetos!A:L,12,false)=TRUE,TRUE,FALSE)</f>
        <v>1</v>
      </c>
      <c r="M2862" s="74">
        <v>52.48434411075036</v>
      </c>
      <c r="N2862" s="74">
        <f t="shared" si="1"/>
        <v>52.48434411</v>
      </c>
      <c r="O2862" s="74" t="b">
        <v>1</v>
      </c>
    </row>
    <row r="2863" hidden="1">
      <c r="A2863" s="82"/>
      <c r="B2863" s="65" t="s">
        <v>411</v>
      </c>
      <c r="C2863" s="65" t="s">
        <v>130</v>
      </c>
      <c r="D2863" s="65" t="str">
        <f>vlookup(C2863,'Classificação p pessoal'!F:G,2,false)</f>
        <v>NP</v>
      </c>
      <c r="E2863" s="65" t="s">
        <v>1902</v>
      </c>
      <c r="F2863" s="83">
        <v>0.3958333333333333</v>
      </c>
      <c r="G2863" s="83">
        <v>0.4375</v>
      </c>
      <c r="H2863" s="83">
        <v>0.041666666666666664</v>
      </c>
      <c r="I2863" s="84">
        <v>44225.0</v>
      </c>
      <c r="J2863" s="65" t="b">
        <v>1</v>
      </c>
      <c r="K2863" s="65"/>
      <c r="L2863" s="85" t="b">
        <f>IF(VLOOKUP(C2863,Projetos!A:L,12,false)=TRUE,TRUE,FALSE)</f>
        <v>1</v>
      </c>
      <c r="M2863" s="74">
        <v>52.48434411075036</v>
      </c>
      <c r="N2863" s="74">
        <f t="shared" si="1"/>
        <v>52.48434411</v>
      </c>
      <c r="O2863" s="74" t="b">
        <v>1</v>
      </c>
    </row>
    <row r="2864" hidden="1">
      <c r="A2864" s="82"/>
      <c r="B2864" s="65" t="s">
        <v>411</v>
      </c>
      <c r="C2864" s="65" t="s">
        <v>122</v>
      </c>
      <c r="D2864" s="65" t="str">
        <f>vlookup(C2864,'Classificação p pessoal'!F:G,2,false)</f>
        <v>NP</v>
      </c>
      <c r="E2864" s="65" t="s">
        <v>1903</v>
      </c>
      <c r="F2864" s="83">
        <v>0.4375</v>
      </c>
      <c r="G2864" s="83">
        <v>0.4791666666666667</v>
      </c>
      <c r="H2864" s="83">
        <v>0.041666666666666664</v>
      </c>
      <c r="I2864" s="84">
        <v>44225.0</v>
      </c>
      <c r="J2864" s="65" t="b">
        <v>1</v>
      </c>
      <c r="K2864" s="65"/>
      <c r="L2864" s="85" t="b">
        <f>IF(VLOOKUP(C2864,Projetos!A:L,12,false)=TRUE,TRUE,FALSE)</f>
        <v>1</v>
      </c>
      <c r="M2864" s="74">
        <v>52.48434411075036</v>
      </c>
      <c r="N2864" s="74">
        <f t="shared" si="1"/>
        <v>52.48434411</v>
      </c>
      <c r="O2864" s="74" t="b">
        <v>1</v>
      </c>
    </row>
    <row r="2865" hidden="1">
      <c r="A2865" s="82"/>
      <c r="B2865" s="65" t="s">
        <v>411</v>
      </c>
      <c r="C2865" s="65" t="s">
        <v>117</v>
      </c>
      <c r="D2865" s="65" t="str">
        <f>vlookup(C2865,'Classificação p pessoal'!F:G,2,false)</f>
        <v>NP</v>
      </c>
      <c r="E2865" s="65" t="s">
        <v>1904</v>
      </c>
      <c r="F2865" s="83">
        <v>0.4791666666666667</v>
      </c>
      <c r="G2865" s="83">
        <v>0.6041666666666666</v>
      </c>
      <c r="H2865" s="83">
        <v>0.125</v>
      </c>
      <c r="I2865" s="84">
        <v>44225.0</v>
      </c>
      <c r="J2865" s="65" t="b">
        <v>1</v>
      </c>
      <c r="K2865" s="65"/>
      <c r="L2865" s="85" t="b">
        <f>IF(VLOOKUP(C2865,Projetos!A:L,12,false)=TRUE,TRUE,FALSE)</f>
        <v>1</v>
      </c>
      <c r="M2865" s="74">
        <v>52.48434411075036</v>
      </c>
      <c r="N2865" s="74">
        <f t="shared" si="1"/>
        <v>157.4530323</v>
      </c>
      <c r="O2865" s="74" t="b">
        <v>1</v>
      </c>
    </row>
    <row r="2866" hidden="1">
      <c r="A2866" s="82"/>
      <c r="B2866" s="65" t="s">
        <v>411</v>
      </c>
      <c r="C2866" s="65" t="s">
        <v>117</v>
      </c>
      <c r="D2866" s="65" t="str">
        <f>vlookup(C2866,'Classificação p pessoal'!F:G,2,false)</f>
        <v>NP</v>
      </c>
      <c r="E2866" s="65" t="s">
        <v>1905</v>
      </c>
      <c r="F2866" s="83">
        <v>0.6458333333333334</v>
      </c>
      <c r="G2866" s="83">
        <v>0.6875</v>
      </c>
      <c r="H2866" s="83">
        <v>0.041666666666666664</v>
      </c>
      <c r="I2866" s="84">
        <v>44225.0</v>
      </c>
      <c r="J2866" s="65" t="b">
        <v>1</v>
      </c>
      <c r="K2866" s="65"/>
      <c r="L2866" s="85" t="b">
        <f>IF(VLOOKUP(C2866,Projetos!A:L,12,false)=TRUE,TRUE,FALSE)</f>
        <v>1</v>
      </c>
      <c r="M2866" s="74">
        <v>52.48434411075036</v>
      </c>
      <c r="N2866" s="74">
        <f t="shared" si="1"/>
        <v>52.48434411</v>
      </c>
      <c r="O2866" s="74" t="b">
        <v>1</v>
      </c>
    </row>
    <row r="2867" hidden="1">
      <c r="A2867" s="82"/>
      <c r="B2867" s="65" t="s">
        <v>411</v>
      </c>
      <c r="C2867" s="65" t="s">
        <v>132</v>
      </c>
      <c r="D2867" s="65"/>
      <c r="E2867" s="65" t="s">
        <v>1906</v>
      </c>
      <c r="F2867" s="83">
        <v>0.7083333333333334</v>
      </c>
      <c r="G2867" s="83">
        <v>0.7291666666666666</v>
      </c>
      <c r="H2867" s="83">
        <v>0.020833333333333332</v>
      </c>
      <c r="I2867" s="84">
        <v>44225.0</v>
      </c>
      <c r="J2867" s="65" t="b">
        <v>1</v>
      </c>
      <c r="K2867" s="65"/>
      <c r="L2867" s="85" t="b">
        <f>IF(VLOOKUP(C2867,Projetos!A:L,12,false)=TRUE,TRUE,FALSE)</f>
        <v>0</v>
      </c>
      <c r="M2867" s="74">
        <v>52.48434411075036</v>
      </c>
      <c r="N2867" s="74">
        <f t="shared" si="1"/>
        <v>0</v>
      </c>
      <c r="O2867" s="74" t="b">
        <v>0</v>
      </c>
    </row>
    <row r="2868" hidden="1">
      <c r="A2868" s="82"/>
      <c r="B2868" s="65" t="s">
        <v>411</v>
      </c>
      <c r="C2868" s="65" t="s">
        <v>117</v>
      </c>
      <c r="D2868" s="65" t="str">
        <f>vlookup(C2868,'Classificação p pessoal'!F:G,2,false)</f>
        <v>NP</v>
      </c>
      <c r="E2868" s="65" t="s">
        <v>1907</v>
      </c>
      <c r="F2868" s="83">
        <v>0.7291666666666666</v>
      </c>
      <c r="G2868" s="83">
        <v>0.75</v>
      </c>
      <c r="H2868" s="83">
        <v>0.020833333333333332</v>
      </c>
      <c r="I2868" s="84">
        <v>44225.0</v>
      </c>
      <c r="J2868" s="65" t="b">
        <v>1</v>
      </c>
      <c r="K2868" s="65"/>
      <c r="L2868" s="85" t="b">
        <f>IF(VLOOKUP(C2868,Projetos!A:L,12,false)=TRUE,TRUE,FALSE)</f>
        <v>1</v>
      </c>
      <c r="M2868" s="74">
        <v>52.48434411075036</v>
      </c>
      <c r="N2868" s="74">
        <f t="shared" si="1"/>
        <v>26.24217206</v>
      </c>
      <c r="O2868" s="74" t="b">
        <v>1</v>
      </c>
    </row>
    <row r="2869" hidden="1">
      <c r="A2869" s="82"/>
      <c r="B2869" s="65" t="s">
        <v>411</v>
      </c>
      <c r="C2869" s="65" t="s">
        <v>92</v>
      </c>
      <c r="D2869" s="65" t="str">
        <f>vlookup(C2869,'Classificação p pessoal'!F:G,2,false)</f>
        <v/>
      </c>
      <c r="E2869" s="65" t="s">
        <v>1908</v>
      </c>
      <c r="F2869" s="83">
        <v>0.34375</v>
      </c>
      <c r="G2869" s="83">
        <v>0.4166666666666667</v>
      </c>
      <c r="H2869" s="83">
        <v>0.07291666666666667</v>
      </c>
      <c r="I2869" s="84">
        <v>44228.0</v>
      </c>
      <c r="J2869" s="65" t="b">
        <v>1</v>
      </c>
      <c r="K2869" s="65"/>
      <c r="L2869" s="85" t="b">
        <f>IF(VLOOKUP(C2869,Projetos!A:L,12,false)=TRUE,TRUE,FALSE)</f>
        <v>1</v>
      </c>
      <c r="M2869" s="74">
        <v>52.48434411075036</v>
      </c>
      <c r="N2869" s="74">
        <f t="shared" si="1"/>
        <v>91.84760219</v>
      </c>
      <c r="O2869" s="74" t="b">
        <v>1</v>
      </c>
    </row>
    <row r="2870" hidden="1">
      <c r="A2870" s="82"/>
      <c r="B2870" s="65" t="s">
        <v>411</v>
      </c>
      <c r="C2870" s="65" t="s">
        <v>130</v>
      </c>
      <c r="D2870" s="65" t="str">
        <f>vlookup(C2870,'Classificação p pessoal'!F:G,2,false)</f>
        <v>NP</v>
      </c>
      <c r="E2870" s="65" t="s">
        <v>1909</v>
      </c>
      <c r="F2870" s="83">
        <v>0.4166666666666667</v>
      </c>
      <c r="G2870" s="83">
        <v>0.4583333333333333</v>
      </c>
      <c r="H2870" s="83">
        <v>0.041666666666666664</v>
      </c>
      <c r="I2870" s="84">
        <v>44228.0</v>
      </c>
      <c r="J2870" s="65" t="b">
        <v>1</v>
      </c>
      <c r="K2870" s="65"/>
      <c r="L2870" s="85" t="b">
        <f>IF(VLOOKUP(C2870,Projetos!A:L,12,false)=TRUE,TRUE,FALSE)</f>
        <v>1</v>
      </c>
      <c r="M2870" s="74">
        <v>52.48434411075036</v>
      </c>
      <c r="N2870" s="74">
        <f t="shared" si="1"/>
        <v>52.48434411</v>
      </c>
      <c r="O2870" s="74" t="b">
        <v>1</v>
      </c>
    </row>
    <row r="2871" hidden="1">
      <c r="A2871" s="82"/>
      <c r="B2871" s="65" t="s">
        <v>411</v>
      </c>
      <c r="C2871" s="65" t="s">
        <v>92</v>
      </c>
      <c r="D2871" s="65" t="str">
        <f>vlookup(C2871,'Classificação p pessoal'!F:G,2,false)</f>
        <v/>
      </c>
      <c r="E2871" s="65" t="s">
        <v>1910</v>
      </c>
      <c r="F2871" s="83">
        <v>0.4583333333333333</v>
      </c>
      <c r="G2871" s="83">
        <v>0.6666666666666666</v>
      </c>
      <c r="H2871" s="83">
        <v>0.20833333333333334</v>
      </c>
      <c r="I2871" s="84">
        <v>44228.0</v>
      </c>
      <c r="J2871" s="65" t="b">
        <v>1</v>
      </c>
      <c r="K2871" s="65"/>
      <c r="L2871" s="85" t="b">
        <f>IF(VLOOKUP(C2871,Projetos!A:L,12,false)=TRUE,TRUE,FALSE)</f>
        <v>1</v>
      </c>
      <c r="M2871" s="74">
        <v>52.48434411075036</v>
      </c>
      <c r="N2871" s="74">
        <f t="shared" si="1"/>
        <v>262.4217206</v>
      </c>
      <c r="O2871" s="74" t="b">
        <v>1</v>
      </c>
    </row>
    <row r="2872" hidden="1">
      <c r="A2872" s="82"/>
      <c r="B2872" s="65" t="s">
        <v>411</v>
      </c>
      <c r="C2872" s="65" t="s">
        <v>117</v>
      </c>
      <c r="D2872" s="65" t="str">
        <f>vlookup(C2872,'Classificação p pessoal'!F:G,2,false)</f>
        <v>NP</v>
      </c>
      <c r="E2872" s="65" t="s">
        <v>1911</v>
      </c>
      <c r="F2872" s="83">
        <v>0.6666666666666666</v>
      </c>
      <c r="G2872" s="83">
        <v>0.6875</v>
      </c>
      <c r="H2872" s="83">
        <v>0.020833333333333332</v>
      </c>
      <c r="I2872" s="84">
        <v>44228.0</v>
      </c>
      <c r="J2872" s="65" t="b">
        <v>1</v>
      </c>
      <c r="K2872" s="65"/>
      <c r="L2872" s="85" t="b">
        <f>IF(VLOOKUP(C2872,Projetos!A:L,12,false)=TRUE,TRUE,FALSE)</f>
        <v>1</v>
      </c>
      <c r="M2872" s="74">
        <v>52.48434411075036</v>
      </c>
      <c r="N2872" s="74">
        <f t="shared" si="1"/>
        <v>26.24217206</v>
      </c>
      <c r="O2872" s="74" t="b">
        <v>1</v>
      </c>
    </row>
    <row r="2873" hidden="1">
      <c r="A2873" s="82"/>
      <c r="B2873" s="65" t="s">
        <v>469</v>
      </c>
      <c r="C2873" s="65" t="s">
        <v>117</v>
      </c>
      <c r="D2873" s="65" t="str">
        <f>vlookup(C2873,'Classificação p pessoal'!F:G,2,false)</f>
        <v>NP</v>
      </c>
      <c r="E2873" s="65" t="s">
        <v>1912</v>
      </c>
      <c r="F2873" s="83">
        <v>0.3541666666666667</v>
      </c>
      <c r="G2873" s="83">
        <v>0.4583333333333333</v>
      </c>
      <c r="H2873" s="83">
        <v>0.10416666666666667</v>
      </c>
      <c r="I2873" s="84">
        <v>44237.0</v>
      </c>
      <c r="J2873" s="65" t="b">
        <v>1</v>
      </c>
      <c r="K2873" s="65"/>
      <c r="L2873" s="85" t="b">
        <f>IF(VLOOKUP(C2873,Projetos!A:L,12,false)=TRUE,TRUE,FALSE)</f>
        <v>1</v>
      </c>
      <c r="M2873" s="74">
        <v>37.50928062469937</v>
      </c>
      <c r="N2873" s="74">
        <f t="shared" si="1"/>
        <v>93.77320156</v>
      </c>
      <c r="O2873" s="74" t="b">
        <v>1</v>
      </c>
    </row>
    <row r="2874" hidden="1">
      <c r="A2874" s="82"/>
      <c r="B2874" s="65" t="s">
        <v>411</v>
      </c>
      <c r="C2874" s="65" t="s">
        <v>92</v>
      </c>
      <c r="D2874" s="65" t="str">
        <f>vlookup(C2874,'Classificação p pessoal'!F:G,2,false)</f>
        <v/>
      </c>
      <c r="E2874" s="65" t="s">
        <v>1913</v>
      </c>
      <c r="F2874" s="83">
        <v>0.34375</v>
      </c>
      <c r="G2874" s="83">
        <v>0.4375</v>
      </c>
      <c r="H2874" s="83">
        <v>0.09375</v>
      </c>
      <c r="I2874" s="84">
        <v>44229.0</v>
      </c>
      <c r="J2874" s="65" t="b">
        <v>1</v>
      </c>
      <c r="K2874" s="65"/>
      <c r="L2874" s="85" t="b">
        <f>IF(VLOOKUP(C2874,Projetos!A:L,12,false)=TRUE,TRUE,FALSE)</f>
        <v>1</v>
      </c>
      <c r="M2874" s="74">
        <v>52.48434411075036</v>
      </c>
      <c r="N2874" s="74">
        <f t="shared" si="1"/>
        <v>118.0897742</v>
      </c>
      <c r="O2874" s="74" t="b">
        <v>1</v>
      </c>
    </row>
    <row r="2875" hidden="1">
      <c r="A2875" s="82"/>
      <c r="B2875" s="65" t="s">
        <v>411</v>
      </c>
      <c r="C2875" s="65" t="s">
        <v>92</v>
      </c>
      <c r="D2875" s="65" t="str">
        <f>vlookup(C2875,'Classificação p pessoal'!F:G,2,false)</f>
        <v/>
      </c>
      <c r="E2875" s="65" t="s">
        <v>1914</v>
      </c>
      <c r="F2875" s="83">
        <v>0.4375</v>
      </c>
      <c r="G2875" s="83">
        <v>0.5208333333333334</v>
      </c>
      <c r="H2875" s="83">
        <v>0.08333333333333333</v>
      </c>
      <c r="I2875" s="84">
        <v>44229.0</v>
      </c>
      <c r="J2875" s="65" t="b">
        <v>1</v>
      </c>
      <c r="K2875" s="65"/>
      <c r="L2875" s="85" t="b">
        <f>IF(VLOOKUP(C2875,Projetos!A:L,12,false)=TRUE,TRUE,FALSE)</f>
        <v>1</v>
      </c>
      <c r="M2875" s="74">
        <v>52.48434411075036</v>
      </c>
      <c r="N2875" s="74">
        <f t="shared" si="1"/>
        <v>104.9686882</v>
      </c>
      <c r="O2875" s="74" t="b">
        <v>1</v>
      </c>
    </row>
    <row r="2876" hidden="1">
      <c r="A2876" s="82"/>
      <c r="B2876" s="65" t="s">
        <v>411</v>
      </c>
      <c r="C2876" s="65" t="s">
        <v>117</v>
      </c>
      <c r="D2876" s="65" t="str">
        <f>vlookup(C2876,'Classificação p pessoal'!F:G,2,false)</f>
        <v>NP</v>
      </c>
      <c r="E2876" s="65" t="s">
        <v>1915</v>
      </c>
      <c r="F2876" s="83">
        <v>0.5625</v>
      </c>
      <c r="G2876" s="83">
        <v>0.6875</v>
      </c>
      <c r="H2876" s="83">
        <v>0.125</v>
      </c>
      <c r="I2876" s="84">
        <v>44229.0</v>
      </c>
      <c r="J2876" s="65" t="b">
        <v>1</v>
      </c>
      <c r="K2876" s="65"/>
      <c r="L2876" s="85" t="b">
        <f>IF(VLOOKUP(C2876,Projetos!A:L,12,false)=TRUE,TRUE,FALSE)</f>
        <v>1</v>
      </c>
      <c r="M2876" s="74">
        <v>52.48434411075036</v>
      </c>
      <c r="N2876" s="74">
        <f t="shared" si="1"/>
        <v>157.4530323</v>
      </c>
      <c r="O2876" s="74" t="b">
        <v>1</v>
      </c>
    </row>
    <row r="2877" hidden="1">
      <c r="A2877" s="82"/>
      <c r="B2877" s="65" t="s">
        <v>411</v>
      </c>
      <c r="C2877" s="65" t="s">
        <v>117</v>
      </c>
      <c r="D2877" s="65" t="str">
        <f>vlookup(C2877,'Classificação p pessoal'!F:G,2,false)</f>
        <v>NP</v>
      </c>
      <c r="E2877" s="65" t="s">
        <v>1916</v>
      </c>
      <c r="F2877" s="83">
        <v>0.7083333333333334</v>
      </c>
      <c r="G2877" s="83">
        <v>0.7291666666666666</v>
      </c>
      <c r="H2877" s="83">
        <v>0.020833333333333332</v>
      </c>
      <c r="I2877" s="84">
        <v>44229.0</v>
      </c>
      <c r="J2877" s="65" t="b">
        <v>1</v>
      </c>
      <c r="K2877" s="65"/>
      <c r="L2877" s="85" t="b">
        <f>IF(VLOOKUP(C2877,Projetos!A:L,12,false)=TRUE,TRUE,FALSE)</f>
        <v>1</v>
      </c>
      <c r="M2877" s="74">
        <v>52.48434411075036</v>
      </c>
      <c r="N2877" s="74">
        <f t="shared" si="1"/>
        <v>26.24217206</v>
      </c>
      <c r="O2877" s="74" t="b">
        <v>1</v>
      </c>
    </row>
    <row r="2878" hidden="1">
      <c r="A2878" s="82"/>
      <c r="B2878" s="65" t="s">
        <v>411</v>
      </c>
      <c r="C2878" s="65" t="s">
        <v>92</v>
      </c>
      <c r="D2878" s="65" t="str">
        <f>vlookup(C2878,'Classificação p pessoal'!F:G,2,false)</f>
        <v/>
      </c>
      <c r="E2878" s="65" t="s">
        <v>1917</v>
      </c>
      <c r="F2878" s="83">
        <v>0.3541666666666667</v>
      </c>
      <c r="G2878" s="83">
        <v>0.375</v>
      </c>
      <c r="H2878" s="83">
        <v>0.020833333333333332</v>
      </c>
      <c r="I2878" s="84">
        <v>44230.0</v>
      </c>
      <c r="J2878" s="65" t="b">
        <v>1</v>
      </c>
      <c r="K2878" s="65"/>
      <c r="L2878" s="85" t="b">
        <f>IF(VLOOKUP(C2878,Projetos!A:L,12,false)=TRUE,TRUE,FALSE)</f>
        <v>1</v>
      </c>
      <c r="M2878" s="74">
        <v>52.48434411075036</v>
      </c>
      <c r="N2878" s="74">
        <f t="shared" si="1"/>
        <v>26.24217206</v>
      </c>
      <c r="O2878" s="74" t="b">
        <v>1</v>
      </c>
    </row>
    <row r="2879" hidden="1">
      <c r="A2879" s="82"/>
      <c r="B2879" s="65" t="s">
        <v>411</v>
      </c>
      <c r="C2879" s="65" t="s">
        <v>132</v>
      </c>
      <c r="D2879" s="65"/>
      <c r="E2879" s="65" t="s">
        <v>1918</v>
      </c>
      <c r="F2879" s="83">
        <v>0.4375</v>
      </c>
      <c r="G2879" s="83">
        <v>0.4791666666666667</v>
      </c>
      <c r="H2879" s="83">
        <v>0.041666666666666664</v>
      </c>
      <c r="I2879" s="84">
        <v>44230.0</v>
      </c>
      <c r="J2879" s="65" t="b">
        <v>1</v>
      </c>
      <c r="K2879" s="65"/>
      <c r="L2879" s="85" t="b">
        <f>IF(VLOOKUP(C2879,Projetos!A:L,12,false)=TRUE,TRUE,FALSE)</f>
        <v>0</v>
      </c>
      <c r="M2879" s="74">
        <v>52.48434411075036</v>
      </c>
      <c r="N2879" s="74">
        <f t="shared" si="1"/>
        <v>0</v>
      </c>
      <c r="O2879" s="74" t="b">
        <v>0</v>
      </c>
    </row>
    <row r="2880" hidden="1">
      <c r="A2880" s="82"/>
      <c r="B2880" s="65" t="s">
        <v>411</v>
      </c>
      <c r="C2880" s="65" t="s">
        <v>92</v>
      </c>
      <c r="D2880" s="65" t="str">
        <f>vlookup(C2880,'Classificação p pessoal'!F:G,2,false)</f>
        <v/>
      </c>
      <c r="E2880" s="65" t="s">
        <v>1919</v>
      </c>
      <c r="F2880" s="83">
        <v>0.4791666666666667</v>
      </c>
      <c r="G2880" s="83">
        <v>0.5208333333333334</v>
      </c>
      <c r="H2880" s="83">
        <v>0.041666666666666664</v>
      </c>
      <c r="I2880" s="84">
        <v>44230.0</v>
      </c>
      <c r="J2880" s="65" t="b">
        <v>1</v>
      </c>
      <c r="K2880" s="65"/>
      <c r="L2880" s="85" t="b">
        <f>IF(VLOOKUP(C2880,Projetos!A:L,12,false)=TRUE,TRUE,FALSE)</f>
        <v>1</v>
      </c>
      <c r="M2880" s="74">
        <v>52.48434411075036</v>
      </c>
      <c r="N2880" s="74">
        <f t="shared" si="1"/>
        <v>52.48434411</v>
      </c>
      <c r="O2880" s="74" t="b">
        <v>1</v>
      </c>
    </row>
    <row r="2881" hidden="1">
      <c r="A2881" s="82"/>
      <c r="B2881" s="65" t="s">
        <v>411</v>
      </c>
      <c r="C2881" s="65" t="s">
        <v>132</v>
      </c>
      <c r="D2881" s="65"/>
      <c r="E2881" s="65" t="s">
        <v>1920</v>
      </c>
      <c r="F2881" s="83">
        <v>0.5625</v>
      </c>
      <c r="G2881" s="83">
        <v>0.6458333333333334</v>
      </c>
      <c r="H2881" s="83">
        <v>0.08333333333333333</v>
      </c>
      <c r="I2881" s="84">
        <v>44230.0</v>
      </c>
      <c r="J2881" s="65" t="b">
        <v>1</v>
      </c>
      <c r="K2881" s="65"/>
      <c r="L2881" s="85" t="b">
        <f>IF(VLOOKUP(C2881,Projetos!A:L,12,false)=TRUE,TRUE,FALSE)</f>
        <v>0</v>
      </c>
      <c r="M2881" s="74">
        <v>52.48434411075036</v>
      </c>
      <c r="N2881" s="74">
        <f t="shared" si="1"/>
        <v>0</v>
      </c>
      <c r="O2881" s="74" t="b">
        <v>0</v>
      </c>
    </row>
    <row r="2882" hidden="1">
      <c r="A2882" s="82"/>
      <c r="B2882" s="65" t="s">
        <v>411</v>
      </c>
      <c r="C2882" s="65" t="s">
        <v>117</v>
      </c>
      <c r="D2882" s="65" t="str">
        <f>vlookup(C2882,'Classificação p pessoal'!F:G,2,false)</f>
        <v>NP</v>
      </c>
      <c r="E2882" s="65" t="s">
        <v>1921</v>
      </c>
      <c r="F2882" s="83">
        <v>0.6458333333333334</v>
      </c>
      <c r="G2882" s="83">
        <v>0.6875</v>
      </c>
      <c r="H2882" s="83">
        <v>0.041666666666666664</v>
      </c>
      <c r="I2882" s="84">
        <v>44230.0</v>
      </c>
      <c r="J2882" s="65" t="b">
        <v>1</v>
      </c>
      <c r="K2882" s="65"/>
      <c r="L2882" s="85" t="b">
        <f>IF(VLOOKUP(C2882,Projetos!A:L,12,false)=TRUE,TRUE,FALSE)</f>
        <v>1</v>
      </c>
      <c r="M2882" s="74">
        <v>52.48434411075036</v>
      </c>
      <c r="N2882" s="74">
        <f t="shared" si="1"/>
        <v>52.48434411</v>
      </c>
      <c r="O2882" s="74" t="b">
        <v>1</v>
      </c>
    </row>
    <row r="2883" hidden="1">
      <c r="A2883" s="82"/>
      <c r="B2883" s="65" t="s">
        <v>411</v>
      </c>
      <c r="C2883" s="65" t="s">
        <v>127</v>
      </c>
      <c r="D2883" s="65" t="str">
        <f>vlookup(C2883,'Classificação p pessoal'!F:G,2,false)</f>
        <v>NP</v>
      </c>
      <c r="E2883" s="65" t="s">
        <v>1922</v>
      </c>
      <c r="F2883" s="83">
        <v>0.6875</v>
      </c>
      <c r="G2883" s="83">
        <v>0.7083333333333334</v>
      </c>
      <c r="H2883" s="83">
        <v>0.020833333333333332</v>
      </c>
      <c r="I2883" s="84">
        <v>44230.0</v>
      </c>
      <c r="J2883" s="65" t="b">
        <v>1</v>
      </c>
      <c r="K2883" s="65"/>
      <c r="L2883" s="85" t="b">
        <f>IF(VLOOKUP(C2883,Projetos!A:L,12,false)=TRUE,TRUE,FALSE)</f>
        <v>1</v>
      </c>
      <c r="M2883" s="74">
        <v>52.48434411075036</v>
      </c>
      <c r="N2883" s="74">
        <f t="shared" si="1"/>
        <v>26.24217206</v>
      </c>
      <c r="O2883" s="74" t="b">
        <v>1</v>
      </c>
    </row>
    <row r="2884" hidden="1">
      <c r="A2884" s="82"/>
      <c r="B2884" s="65" t="s">
        <v>411</v>
      </c>
      <c r="C2884" s="65" t="s">
        <v>152</v>
      </c>
      <c r="D2884" s="65" t="str">
        <f>vlookup(C2884,'Classificação p pessoal'!F:G,2,false)</f>
        <v>MProduto</v>
      </c>
      <c r="E2884" s="65" t="s">
        <v>1923</v>
      </c>
      <c r="F2884" s="83">
        <v>0.7083333333333334</v>
      </c>
      <c r="G2884" s="83">
        <v>0.75</v>
      </c>
      <c r="H2884" s="83">
        <v>0.041666666666666664</v>
      </c>
      <c r="I2884" s="84">
        <v>44230.0</v>
      </c>
      <c r="J2884" s="65" t="b">
        <v>1</v>
      </c>
      <c r="K2884" s="65"/>
      <c r="L2884" s="85" t="b">
        <f>IF(VLOOKUP(C2884,Projetos!A:L,12,false)=TRUE,TRUE,FALSE)</f>
        <v>1</v>
      </c>
      <c r="M2884" s="74">
        <v>52.48434411075036</v>
      </c>
      <c r="N2884" s="74">
        <f t="shared" si="1"/>
        <v>52.48434411</v>
      </c>
      <c r="O2884" s="74" t="b">
        <v>1</v>
      </c>
    </row>
    <row r="2885" hidden="1">
      <c r="A2885" s="82"/>
      <c r="B2885" s="65" t="s">
        <v>411</v>
      </c>
      <c r="C2885" s="65" t="s">
        <v>127</v>
      </c>
      <c r="D2885" s="65"/>
      <c r="E2885" s="65" t="s">
        <v>1924</v>
      </c>
      <c r="F2885" s="83">
        <v>0.3958333333333333</v>
      </c>
      <c r="G2885" s="83">
        <v>0.4166666666666667</v>
      </c>
      <c r="H2885" s="83">
        <v>0.020833333333333332</v>
      </c>
      <c r="I2885" s="84">
        <v>44231.0</v>
      </c>
      <c r="J2885" s="65" t="b">
        <v>0</v>
      </c>
      <c r="K2885" s="65" t="s">
        <v>150</v>
      </c>
      <c r="L2885" s="85" t="b">
        <f>IF(VLOOKUP(C2885,Projetos!A:L,12,false)=TRUE,TRUE,FALSE)</f>
        <v>1</v>
      </c>
      <c r="M2885" s="74">
        <v>52.48434411075036</v>
      </c>
      <c r="N2885" s="74">
        <f t="shared" si="1"/>
        <v>0</v>
      </c>
      <c r="O2885" s="74" t="b">
        <v>1</v>
      </c>
    </row>
    <row r="2886" hidden="1">
      <c r="A2886" s="82"/>
      <c r="B2886" s="65" t="s">
        <v>411</v>
      </c>
      <c r="C2886" s="65" t="s">
        <v>92</v>
      </c>
      <c r="D2886" s="65" t="str">
        <f>vlookup(C2886,'Classificação p pessoal'!F:G,2,false)</f>
        <v/>
      </c>
      <c r="E2886" s="65" t="s">
        <v>1925</v>
      </c>
      <c r="F2886" s="83">
        <v>0.4166666666666667</v>
      </c>
      <c r="G2886" s="83">
        <v>0.4583333333333333</v>
      </c>
      <c r="H2886" s="83">
        <v>0.041666666666666664</v>
      </c>
      <c r="I2886" s="84">
        <v>44231.0</v>
      </c>
      <c r="J2886" s="65" t="b">
        <v>1</v>
      </c>
      <c r="K2886" s="65"/>
      <c r="L2886" s="85" t="b">
        <f>IF(VLOOKUP(C2886,Projetos!A:L,12,false)=TRUE,TRUE,FALSE)</f>
        <v>1</v>
      </c>
      <c r="M2886" s="74">
        <v>52.48434411075036</v>
      </c>
      <c r="N2886" s="74">
        <f t="shared" si="1"/>
        <v>52.48434411</v>
      </c>
      <c r="O2886" s="74" t="b">
        <v>1</v>
      </c>
    </row>
    <row r="2887" hidden="1">
      <c r="A2887" s="82"/>
      <c r="B2887" s="65" t="s">
        <v>411</v>
      </c>
      <c r="C2887" s="65" t="s">
        <v>152</v>
      </c>
      <c r="D2887" s="65" t="str">
        <f>vlookup(C2887,'Classificação p pessoal'!F:G,2,false)</f>
        <v>MProduto</v>
      </c>
      <c r="E2887" s="65" t="s">
        <v>1926</v>
      </c>
      <c r="F2887" s="83">
        <v>0.4583333333333333</v>
      </c>
      <c r="G2887" s="83">
        <v>0.5</v>
      </c>
      <c r="H2887" s="83">
        <v>0.041666666666666664</v>
      </c>
      <c r="I2887" s="84">
        <v>44231.0</v>
      </c>
      <c r="J2887" s="65" t="b">
        <v>1</v>
      </c>
      <c r="K2887" s="65"/>
      <c r="L2887" s="85" t="b">
        <f>IF(VLOOKUP(C2887,Projetos!A:L,12,false)=TRUE,TRUE,FALSE)</f>
        <v>1</v>
      </c>
      <c r="M2887" s="74">
        <v>52.48434411075036</v>
      </c>
      <c r="N2887" s="74">
        <f t="shared" si="1"/>
        <v>52.48434411</v>
      </c>
      <c r="O2887" s="74" t="b">
        <v>1</v>
      </c>
    </row>
    <row r="2888" hidden="1">
      <c r="A2888" s="82"/>
      <c r="B2888" s="65" t="s">
        <v>411</v>
      </c>
      <c r="C2888" s="65" t="s">
        <v>132</v>
      </c>
      <c r="D2888" s="65"/>
      <c r="E2888" s="65" t="s">
        <v>1920</v>
      </c>
      <c r="F2888" s="83">
        <v>0.5</v>
      </c>
      <c r="G2888" s="83">
        <v>0.6041666666666666</v>
      </c>
      <c r="H2888" s="83">
        <v>0.10416666666666667</v>
      </c>
      <c r="I2888" s="84">
        <v>44231.0</v>
      </c>
      <c r="J2888" s="65" t="b">
        <v>1</v>
      </c>
      <c r="K2888" s="65"/>
      <c r="L2888" s="85" t="b">
        <f>IF(VLOOKUP(C2888,Projetos!A:L,12,false)=TRUE,TRUE,FALSE)</f>
        <v>0</v>
      </c>
      <c r="M2888" s="74">
        <v>52.48434411075036</v>
      </c>
      <c r="N2888" s="74">
        <f t="shared" si="1"/>
        <v>0</v>
      </c>
      <c r="O2888" s="74" t="b">
        <v>0</v>
      </c>
    </row>
    <row r="2889" hidden="1">
      <c r="A2889" s="82"/>
      <c r="B2889" s="65" t="s">
        <v>411</v>
      </c>
      <c r="C2889" s="65" t="s">
        <v>130</v>
      </c>
      <c r="D2889" s="65" t="str">
        <f>vlookup(C2889,'Classificação p pessoal'!F:G,2,false)</f>
        <v>NP</v>
      </c>
      <c r="E2889" s="65" t="s">
        <v>1927</v>
      </c>
      <c r="F2889" s="83">
        <v>0.6458333333333334</v>
      </c>
      <c r="G2889" s="83">
        <v>0.6875</v>
      </c>
      <c r="H2889" s="83">
        <v>0.041666666666666664</v>
      </c>
      <c r="I2889" s="84">
        <v>44231.0</v>
      </c>
      <c r="J2889" s="65" t="b">
        <v>1</v>
      </c>
      <c r="K2889" s="65"/>
      <c r="L2889" s="85" t="b">
        <f>IF(VLOOKUP(C2889,Projetos!A:L,12,false)=TRUE,TRUE,FALSE)</f>
        <v>1</v>
      </c>
      <c r="M2889" s="74">
        <v>52.48434411075036</v>
      </c>
      <c r="N2889" s="74">
        <f t="shared" si="1"/>
        <v>52.48434411</v>
      </c>
      <c r="O2889" s="74" t="b">
        <v>1</v>
      </c>
    </row>
    <row r="2890" hidden="1">
      <c r="A2890" s="82"/>
      <c r="B2890" s="65" t="s">
        <v>411</v>
      </c>
      <c r="C2890" s="65" t="s">
        <v>104</v>
      </c>
      <c r="D2890" s="65" t="str">
        <f>vlookup(C2890,'Classificação p pessoal'!F:G,2,false)</f>
        <v>NP</v>
      </c>
      <c r="E2890" s="65" t="s">
        <v>1928</v>
      </c>
      <c r="F2890" s="83">
        <v>0.6875</v>
      </c>
      <c r="G2890" s="83">
        <v>0.7083333333333334</v>
      </c>
      <c r="H2890" s="83">
        <v>0.020833333333333332</v>
      </c>
      <c r="I2890" s="84">
        <v>44231.0</v>
      </c>
      <c r="J2890" s="65" t="b">
        <v>1</v>
      </c>
      <c r="K2890" s="65"/>
      <c r="L2890" s="85" t="b">
        <f>IF(VLOOKUP(C2890,Projetos!A:L,12,false)=TRUE,TRUE,FALSE)</f>
        <v>1</v>
      </c>
      <c r="M2890" s="74">
        <v>52.48434411075036</v>
      </c>
      <c r="N2890" s="74">
        <f t="shared" si="1"/>
        <v>26.24217206</v>
      </c>
      <c r="O2890" s="74" t="b">
        <v>1</v>
      </c>
    </row>
    <row r="2891" hidden="1">
      <c r="A2891" s="82"/>
      <c r="B2891" s="65" t="s">
        <v>411</v>
      </c>
      <c r="C2891" s="65" t="s">
        <v>117</v>
      </c>
      <c r="D2891" s="65" t="str">
        <f>vlookup(C2891,'Classificação p pessoal'!F:G,2,false)</f>
        <v>NP</v>
      </c>
      <c r="E2891" s="65" t="s">
        <v>1929</v>
      </c>
      <c r="F2891" s="83">
        <v>0.7083333333333334</v>
      </c>
      <c r="G2891" s="83">
        <v>0.75</v>
      </c>
      <c r="H2891" s="83">
        <v>0.041666666666666664</v>
      </c>
      <c r="I2891" s="84">
        <v>44231.0</v>
      </c>
      <c r="J2891" s="65" t="b">
        <v>1</v>
      </c>
      <c r="K2891" s="65"/>
      <c r="L2891" s="85" t="b">
        <f>IF(VLOOKUP(C2891,Projetos!A:L,12,false)=TRUE,TRUE,FALSE)</f>
        <v>1</v>
      </c>
      <c r="M2891" s="74">
        <v>52.48434411075036</v>
      </c>
      <c r="N2891" s="74">
        <f t="shared" si="1"/>
        <v>52.48434411</v>
      </c>
      <c r="O2891" s="74" t="b">
        <v>1</v>
      </c>
    </row>
    <row r="2892" hidden="1">
      <c r="A2892" s="82"/>
      <c r="B2892" s="65" t="s">
        <v>469</v>
      </c>
      <c r="C2892" s="65" t="s">
        <v>117</v>
      </c>
      <c r="D2892" s="65" t="str">
        <f>vlookup(C2892,'Classificação p pessoal'!F:G,2,false)</f>
        <v>NP</v>
      </c>
      <c r="E2892" s="65" t="s">
        <v>1930</v>
      </c>
      <c r="F2892" s="83">
        <v>0.34375</v>
      </c>
      <c r="G2892" s="83">
        <v>0.375</v>
      </c>
      <c r="H2892" s="83">
        <v>0.03125</v>
      </c>
      <c r="I2892" s="84">
        <v>44249.0</v>
      </c>
      <c r="J2892" s="65" t="b">
        <v>1</v>
      </c>
      <c r="K2892" s="65"/>
      <c r="L2892" s="85" t="b">
        <f>IF(VLOOKUP(C2892,Projetos!A:L,12,false)=TRUE,TRUE,FALSE)</f>
        <v>1</v>
      </c>
      <c r="M2892" s="74">
        <v>37.50928062469937</v>
      </c>
      <c r="N2892" s="74">
        <f t="shared" si="1"/>
        <v>28.13196047</v>
      </c>
      <c r="O2892" s="74" t="b">
        <v>1</v>
      </c>
    </row>
    <row r="2893" hidden="1">
      <c r="A2893" s="82"/>
      <c r="B2893" s="65" t="s">
        <v>411</v>
      </c>
      <c r="C2893" s="65" t="s">
        <v>132</v>
      </c>
      <c r="D2893" s="65"/>
      <c r="E2893" s="65" t="s">
        <v>1920</v>
      </c>
      <c r="F2893" s="83">
        <v>0.3958333333333333</v>
      </c>
      <c r="G2893" s="83">
        <v>0.4583333333333333</v>
      </c>
      <c r="H2893" s="83">
        <v>0.0625</v>
      </c>
      <c r="I2893" s="84">
        <v>44232.0</v>
      </c>
      <c r="J2893" s="65" t="b">
        <v>1</v>
      </c>
      <c r="K2893" s="65"/>
      <c r="L2893" s="85" t="b">
        <f>IF(VLOOKUP(C2893,Projetos!A:L,12,false)=TRUE,TRUE,FALSE)</f>
        <v>0</v>
      </c>
      <c r="M2893" s="74">
        <v>52.48434411075036</v>
      </c>
      <c r="N2893" s="74">
        <f t="shared" si="1"/>
        <v>0</v>
      </c>
      <c r="O2893" s="74" t="b">
        <v>0</v>
      </c>
    </row>
    <row r="2894" hidden="1">
      <c r="A2894" s="82"/>
      <c r="B2894" s="65" t="s">
        <v>411</v>
      </c>
      <c r="C2894" s="65" t="s">
        <v>117</v>
      </c>
      <c r="D2894" s="65" t="str">
        <f>vlookup(C2894,'Classificação p pessoal'!F:G,2,false)</f>
        <v>NP</v>
      </c>
      <c r="E2894" s="65" t="s">
        <v>1931</v>
      </c>
      <c r="F2894" s="83">
        <v>0.4583333333333333</v>
      </c>
      <c r="G2894" s="83">
        <v>0.5</v>
      </c>
      <c r="H2894" s="83">
        <v>0.041666666666666664</v>
      </c>
      <c r="I2894" s="84">
        <v>44232.0</v>
      </c>
      <c r="J2894" s="65" t="b">
        <v>1</v>
      </c>
      <c r="K2894" s="65"/>
      <c r="L2894" s="85" t="b">
        <f>IF(VLOOKUP(C2894,Projetos!A:L,12,false)=TRUE,TRUE,FALSE)</f>
        <v>1</v>
      </c>
      <c r="M2894" s="74">
        <v>52.48434411075036</v>
      </c>
      <c r="N2894" s="74">
        <f t="shared" si="1"/>
        <v>52.48434411</v>
      </c>
      <c r="O2894" s="74" t="b">
        <v>1</v>
      </c>
    </row>
    <row r="2895" hidden="1">
      <c r="A2895" s="82"/>
      <c r="B2895" s="65" t="s">
        <v>411</v>
      </c>
      <c r="C2895" s="65" t="s">
        <v>130</v>
      </c>
      <c r="D2895" s="65" t="str">
        <f>vlookup(C2895,'Classificação p pessoal'!F:G,2,false)</f>
        <v>NP</v>
      </c>
      <c r="E2895" s="65" t="s">
        <v>1932</v>
      </c>
      <c r="F2895" s="83">
        <v>0.5833333333333334</v>
      </c>
      <c r="G2895" s="83">
        <v>0.6458333333333334</v>
      </c>
      <c r="H2895" s="83">
        <v>0.0625</v>
      </c>
      <c r="I2895" s="84">
        <v>44232.0</v>
      </c>
      <c r="J2895" s="65" t="b">
        <v>1</v>
      </c>
      <c r="K2895" s="65"/>
      <c r="L2895" s="85" t="b">
        <f>IF(VLOOKUP(C2895,Projetos!A:L,12,false)=TRUE,TRUE,FALSE)</f>
        <v>1</v>
      </c>
      <c r="M2895" s="74">
        <v>52.48434411075036</v>
      </c>
      <c r="N2895" s="74">
        <f t="shared" si="1"/>
        <v>78.72651617</v>
      </c>
      <c r="O2895" s="74" t="b">
        <v>1</v>
      </c>
    </row>
    <row r="2896" hidden="1">
      <c r="A2896" s="82"/>
      <c r="B2896" s="65" t="s">
        <v>411</v>
      </c>
      <c r="C2896" s="65" t="s">
        <v>92</v>
      </c>
      <c r="D2896" s="65" t="str">
        <f>vlookup(C2896,'Classificação p pessoal'!F:G,2,false)</f>
        <v/>
      </c>
      <c r="E2896" s="65" t="s">
        <v>1933</v>
      </c>
      <c r="F2896" s="83">
        <v>0.6458333333333334</v>
      </c>
      <c r="G2896" s="83">
        <v>0.7083333333333334</v>
      </c>
      <c r="H2896" s="83">
        <v>0.0625</v>
      </c>
      <c r="I2896" s="84">
        <v>44232.0</v>
      </c>
      <c r="J2896" s="65" t="b">
        <v>1</v>
      </c>
      <c r="K2896" s="65"/>
      <c r="L2896" s="85" t="b">
        <f>IF(VLOOKUP(C2896,Projetos!A:L,12,false)=TRUE,TRUE,FALSE)</f>
        <v>1</v>
      </c>
      <c r="M2896" s="74">
        <v>52.48434411075036</v>
      </c>
      <c r="N2896" s="74">
        <f t="shared" si="1"/>
        <v>78.72651617</v>
      </c>
      <c r="O2896" s="74" t="b">
        <v>1</v>
      </c>
    </row>
    <row r="2897" hidden="1">
      <c r="A2897" s="82"/>
      <c r="B2897" s="65" t="s">
        <v>411</v>
      </c>
      <c r="C2897" s="65" t="s">
        <v>130</v>
      </c>
      <c r="D2897" s="65" t="str">
        <f>vlookup(C2897,'Classificação p pessoal'!F:G,2,false)</f>
        <v>NP</v>
      </c>
      <c r="E2897" s="65" t="s">
        <v>1934</v>
      </c>
      <c r="F2897" s="83">
        <v>0.7083333333333334</v>
      </c>
      <c r="G2897" s="83">
        <v>0.75</v>
      </c>
      <c r="H2897" s="83">
        <v>0.041666666666666664</v>
      </c>
      <c r="I2897" s="84">
        <v>44232.0</v>
      </c>
      <c r="J2897" s="65" t="b">
        <v>1</v>
      </c>
      <c r="K2897" s="65"/>
      <c r="L2897" s="85" t="b">
        <f>IF(VLOOKUP(C2897,Projetos!A:L,12,false)=TRUE,TRUE,FALSE)</f>
        <v>1</v>
      </c>
      <c r="M2897" s="74">
        <v>52.48434411075036</v>
      </c>
      <c r="N2897" s="74">
        <f t="shared" si="1"/>
        <v>52.48434411</v>
      </c>
      <c r="O2897" s="74" t="b">
        <v>1</v>
      </c>
    </row>
    <row r="2898" hidden="1">
      <c r="A2898" s="82"/>
      <c r="B2898" s="65" t="s">
        <v>411</v>
      </c>
      <c r="C2898" s="65" t="s">
        <v>92</v>
      </c>
      <c r="D2898" s="65" t="str">
        <f>vlookup(C2898,'Classificação p pessoal'!F:G,2,false)</f>
        <v/>
      </c>
      <c r="E2898" s="65" t="s">
        <v>1935</v>
      </c>
      <c r="F2898" s="83">
        <v>0.34375</v>
      </c>
      <c r="G2898" s="83">
        <v>0.5833333333333334</v>
      </c>
      <c r="H2898" s="83">
        <v>0.23958333333333334</v>
      </c>
      <c r="I2898" s="84">
        <v>44235.0</v>
      </c>
      <c r="J2898" s="65" t="b">
        <v>1</v>
      </c>
      <c r="K2898" s="65"/>
      <c r="L2898" s="85" t="b">
        <f>IF(VLOOKUP(C2898,Projetos!A:L,12,false)=TRUE,TRUE,FALSE)</f>
        <v>1</v>
      </c>
      <c r="M2898" s="74">
        <v>52.48434411075036</v>
      </c>
      <c r="N2898" s="74">
        <f t="shared" si="1"/>
        <v>301.7849786</v>
      </c>
      <c r="O2898" s="74" t="b">
        <v>1</v>
      </c>
    </row>
    <row r="2899" hidden="1">
      <c r="A2899" s="82"/>
      <c r="B2899" s="65" t="s">
        <v>411</v>
      </c>
      <c r="C2899" s="65" t="s">
        <v>132</v>
      </c>
      <c r="D2899" s="65"/>
      <c r="E2899" s="65" t="s">
        <v>1936</v>
      </c>
      <c r="F2899" s="83">
        <v>0.625</v>
      </c>
      <c r="G2899" s="83">
        <v>0.75</v>
      </c>
      <c r="H2899" s="83">
        <v>0.125</v>
      </c>
      <c r="I2899" s="84">
        <v>44235.0</v>
      </c>
      <c r="J2899" s="65" t="b">
        <v>1</v>
      </c>
      <c r="K2899" s="65"/>
      <c r="L2899" s="85" t="b">
        <f>IF(VLOOKUP(C2899,Projetos!A:L,12,false)=TRUE,TRUE,FALSE)</f>
        <v>0</v>
      </c>
      <c r="M2899" s="74">
        <v>52.48434411075036</v>
      </c>
      <c r="N2899" s="74">
        <f t="shared" si="1"/>
        <v>0</v>
      </c>
      <c r="O2899" s="74" t="b">
        <v>0</v>
      </c>
    </row>
    <row r="2900" hidden="1">
      <c r="A2900" s="82"/>
      <c r="B2900" s="65" t="s">
        <v>411</v>
      </c>
      <c r="C2900" s="65" t="s">
        <v>117</v>
      </c>
      <c r="D2900" s="65"/>
      <c r="E2900" s="65" t="s">
        <v>1937</v>
      </c>
      <c r="F2900" s="83">
        <v>0.34375</v>
      </c>
      <c r="G2900" s="83">
        <v>0.375</v>
      </c>
      <c r="H2900" s="83">
        <v>0.03125</v>
      </c>
      <c r="I2900" s="84">
        <v>44236.0</v>
      </c>
      <c r="J2900" s="65" t="b">
        <v>0</v>
      </c>
      <c r="K2900" s="65" t="s">
        <v>150</v>
      </c>
      <c r="L2900" s="85" t="b">
        <f>IF(VLOOKUP(C2900,Projetos!A:L,12,false)=TRUE,TRUE,FALSE)</f>
        <v>1</v>
      </c>
      <c r="M2900" s="74">
        <v>52.48434411075036</v>
      </c>
      <c r="N2900" s="74">
        <f t="shared" si="1"/>
        <v>0</v>
      </c>
      <c r="O2900" s="74" t="b">
        <v>1</v>
      </c>
    </row>
    <row r="2901" hidden="1">
      <c r="A2901" s="82"/>
      <c r="B2901" s="65" t="s">
        <v>411</v>
      </c>
      <c r="C2901" s="65" t="s">
        <v>130</v>
      </c>
      <c r="D2901" s="65" t="str">
        <f>vlookup(C2901,'Classificação p pessoal'!F:G,2,false)</f>
        <v>NP</v>
      </c>
      <c r="E2901" s="65" t="s">
        <v>1938</v>
      </c>
      <c r="F2901" s="83">
        <v>0.4166666666666667</v>
      </c>
      <c r="G2901" s="83">
        <v>0.4583333333333333</v>
      </c>
      <c r="H2901" s="83">
        <v>0.041666666666666664</v>
      </c>
      <c r="I2901" s="84">
        <v>44236.0</v>
      </c>
      <c r="J2901" s="65" t="b">
        <v>1</v>
      </c>
      <c r="K2901" s="65"/>
      <c r="L2901" s="85" t="b">
        <f>IF(VLOOKUP(C2901,Projetos!A:L,12,false)=TRUE,TRUE,FALSE)</f>
        <v>1</v>
      </c>
      <c r="M2901" s="74">
        <v>52.48434411075036</v>
      </c>
      <c r="N2901" s="74">
        <f t="shared" si="1"/>
        <v>52.48434411</v>
      </c>
      <c r="O2901" s="74" t="b">
        <v>1</v>
      </c>
    </row>
    <row r="2902" hidden="1">
      <c r="A2902" s="82"/>
      <c r="B2902" s="65" t="s">
        <v>411</v>
      </c>
      <c r="C2902" s="65" t="s">
        <v>132</v>
      </c>
      <c r="D2902" s="65"/>
      <c r="E2902" s="65" t="s">
        <v>1939</v>
      </c>
      <c r="F2902" s="83">
        <v>0.4583333333333333</v>
      </c>
      <c r="G2902" s="83">
        <v>0.6041666666666666</v>
      </c>
      <c r="H2902" s="83">
        <v>0.14583333333333334</v>
      </c>
      <c r="I2902" s="84">
        <v>44236.0</v>
      </c>
      <c r="J2902" s="65" t="b">
        <v>1</v>
      </c>
      <c r="K2902" s="65"/>
      <c r="L2902" s="85" t="b">
        <f>IF(VLOOKUP(C2902,Projetos!A:L,12,false)=TRUE,TRUE,FALSE)</f>
        <v>0</v>
      </c>
      <c r="M2902" s="74">
        <v>52.48434411075036</v>
      </c>
      <c r="N2902" s="74">
        <f t="shared" si="1"/>
        <v>0</v>
      </c>
      <c r="O2902" s="74" t="b">
        <v>0</v>
      </c>
    </row>
    <row r="2903" hidden="1">
      <c r="A2903" s="82"/>
      <c r="B2903" s="65" t="s">
        <v>411</v>
      </c>
      <c r="C2903" s="65" t="s">
        <v>117</v>
      </c>
      <c r="D2903" s="65" t="str">
        <f>vlookup(C2903,'Classificação p pessoal'!F:G,2,false)</f>
        <v>NP</v>
      </c>
      <c r="E2903" s="65" t="s">
        <v>1940</v>
      </c>
      <c r="F2903" s="83">
        <v>0.625</v>
      </c>
      <c r="G2903" s="83">
        <v>0.6666666666666666</v>
      </c>
      <c r="H2903" s="83">
        <v>0.041666666666666664</v>
      </c>
      <c r="I2903" s="84">
        <v>44236.0</v>
      </c>
      <c r="J2903" s="65" t="b">
        <v>1</v>
      </c>
      <c r="K2903" s="65"/>
      <c r="L2903" s="85" t="b">
        <f>IF(VLOOKUP(C2903,Projetos!A:L,12,false)=TRUE,TRUE,FALSE)</f>
        <v>1</v>
      </c>
      <c r="M2903" s="74">
        <v>52.48434411075036</v>
      </c>
      <c r="N2903" s="74">
        <f t="shared" si="1"/>
        <v>52.48434411</v>
      </c>
      <c r="O2903" s="74" t="b">
        <v>1</v>
      </c>
    </row>
    <row r="2904" hidden="1">
      <c r="A2904" s="82"/>
      <c r="B2904" s="65" t="s">
        <v>411</v>
      </c>
      <c r="C2904" s="65" t="s">
        <v>130</v>
      </c>
      <c r="D2904" s="65" t="str">
        <f>vlookup(C2904,'Classificação p pessoal'!F:G,2,false)</f>
        <v>NP</v>
      </c>
      <c r="E2904" s="65" t="s">
        <v>1941</v>
      </c>
      <c r="F2904" s="83">
        <v>0.6666666666666666</v>
      </c>
      <c r="G2904" s="83">
        <v>0.7083333333333334</v>
      </c>
      <c r="H2904" s="83">
        <v>0.041666666666666664</v>
      </c>
      <c r="I2904" s="84">
        <v>44236.0</v>
      </c>
      <c r="J2904" s="65" t="b">
        <v>1</v>
      </c>
      <c r="K2904" s="65"/>
      <c r="L2904" s="85" t="b">
        <f>IF(VLOOKUP(C2904,Projetos!A:L,12,false)=TRUE,TRUE,FALSE)</f>
        <v>1</v>
      </c>
      <c r="M2904" s="74">
        <v>52.48434411075036</v>
      </c>
      <c r="N2904" s="74">
        <f t="shared" si="1"/>
        <v>52.48434411</v>
      </c>
      <c r="O2904" s="74" t="b">
        <v>1</v>
      </c>
    </row>
    <row r="2905">
      <c r="A2905" s="82"/>
      <c r="B2905" s="65" t="s">
        <v>411</v>
      </c>
      <c r="C2905" s="65" t="s">
        <v>108</v>
      </c>
      <c r="D2905" s="65" t="str">
        <f>vlookup(C2905,'Classificação p pessoal'!F:G,2,false)</f>
        <v>NP</v>
      </c>
      <c r="E2905" s="65" t="s">
        <v>1942</v>
      </c>
      <c r="F2905" s="83">
        <v>0.7083333333333334</v>
      </c>
      <c r="G2905" s="83">
        <v>0.75</v>
      </c>
      <c r="H2905" s="83">
        <v>0.041666666666666664</v>
      </c>
      <c r="I2905" s="84">
        <v>44236.0</v>
      </c>
      <c r="J2905" s="65" t="b">
        <v>1</v>
      </c>
      <c r="K2905" s="65"/>
      <c r="L2905" s="85" t="b">
        <f>IF(VLOOKUP(C2905,Projetos!A:L,12,false)=TRUE,TRUE,FALSE)</f>
        <v>1</v>
      </c>
      <c r="M2905" s="74">
        <v>52.48434411075036</v>
      </c>
      <c r="N2905" s="74">
        <f t="shared" si="1"/>
        <v>52.48434411</v>
      </c>
      <c r="O2905" s="74" t="b">
        <v>1</v>
      </c>
    </row>
    <row r="2906" hidden="1">
      <c r="A2906" s="82"/>
      <c r="B2906" s="65" t="s">
        <v>411</v>
      </c>
      <c r="C2906" s="65" t="s">
        <v>92</v>
      </c>
      <c r="D2906" s="65" t="str">
        <f>vlookup(C2906,'Classificação p pessoal'!F:G,2,false)</f>
        <v/>
      </c>
      <c r="E2906" s="65" t="s">
        <v>1943</v>
      </c>
      <c r="F2906" s="83">
        <v>0.34375</v>
      </c>
      <c r="G2906" s="83">
        <v>0.4479166666666667</v>
      </c>
      <c r="H2906" s="83">
        <v>0.10416666666666667</v>
      </c>
      <c r="I2906" s="84">
        <v>44237.0</v>
      </c>
      <c r="J2906" s="65" t="b">
        <v>1</v>
      </c>
      <c r="K2906" s="65"/>
      <c r="L2906" s="85" t="b">
        <f>IF(VLOOKUP(C2906,Projetos!A:L,12,false)=TRUE,TRUE,FALSE)</f>
        <v>1</v>
      </c>
      <c r="M2906" s="74">
        <v>52.48434411075036</v>
      </c>
      <c r="N2906" s="74">
        <f t="shared" si="1"/>
        <v>131.2108603</v>
      </c>
      <c r="O2906" s="74" t="b">
        <v>1</v>
      </c>
    </row>
    <row r="2907" hidden="1">
      <c r="A2907" s="82"/>
      <c r="B2907" s="65" t="s">
        <v>411</v>
      </c>
      <c r="C2907" s="65" t="s">
        <v>88</v>
      </c>
      <c r="D2907" s="65" t="str">
        <f>vlookup(C2907,'Classificação p pessoal'!F:G,2,false)</f>
        <v>MProduto</v>
      </c>
      <c r="E2907" s="65" t="s">
        <v>1944</v>
      </c>
      <c r="F2907" s="83">
        <v>0.4479166666666667</v>
      </c>
      <c r="G2907" s="83">
        <v>0.5</v>
      </c>
      <c r="H2907" s="83">
        <v>0.052083333333333336</v>
      </c>
      <c r="I2907" s="84">
        <v>44237.0</v>
      </c>
      <c r="J2907" s="65" t="b">
        <v>1</v>
      </c>
      <c r="K2907" s="65"/>
      <c r="L2907" s="85" t="b">
        <f>IF(VLOOKUP(C2907,Projetos!A:L,12,false)=TRUE,TRUE,FALSE)</f>
        <v>1</v>
      </c>
      <c r="M2907" s="74">
        <v>52.48434411075036</v>
      </c>
      <c r="N2907" s="74">
        <f t="shared" si="1"/>
        <v>65.60543014</v>
      </c>
      <c r="O2907" s="74" t="b">
        <v>1</v>
      </c>
    </row>
    <row r="2908" hidden="1">
      <c r="A2908" s="82"/>
      <c r="B2908" s="65" t="s">
        <v>411</v>
      </c>
      <c r="C2908" s="65" t="s">
        <v>132</v>
      </c>
      <c r="D2908" s="65"/>
      <c r="E2908" s="65" t="s">
        <v>1945</v>
      </c>
      <c r="F2908" s="83">
        <v>0.5416666666666666</v>
      </c>
      <c r="G2908" s="83">
        <v>0.5625</v>
      </c>
      <c r="H2908" s="83">
        <v>0.020833333333333332</v>
      </c>
      <c r="I2908" s="84">
        <v>44237.0</v>
      </c>
      <c r="J2908" s="65" t="b">
        <v>1</v>
      </c>
      <c r="K2908" s="65"/>
      <c r="L2908" s="85" t="b">
        <f>IF(VLOOKUP(C2908,Projetos!A:L,12,false)=TRUE,TRUE,FALSE)</f>
        <v>0</v>
      </c>
      <c r="M2908" s="74">
        <v>52.48434411075036</v>
      </c>
      <c r="N2908" s="74">
        <f t="shared" si="1"/>
        <v>0</v>
      </c>
      <c r="O2908" s="74" t="b">
        <v>0</v>
      </c>
    </row>
    <row r="2909" hidden="1">
      <c r="A2909" s="82"/>
      <c r="B2909" s="65" t="s">
        <v>411</v>
      </c>
      <c r="C2909" s="65" t="s">
        <v>117</v>
      </c>
      <c r="D2909" s="65" t="str">
        <f>vlookup(C2909,'Classificação p pessoal'!F:G,2,false)</f>
        <v>NP</v>
      </c>
      <c r="E2909" s="65" t="s">
        <v>1946</v>
      </c>
      <c r="F2909" s="83">
        <v>0.5625</v>
      </c>
      <c r="G2909" s="83">
        <v>0.7083333333333334</v>
      </c>
      <c r="H2909" s="83">
        <v>0.14583333333333334</v>
      </c>
      <c r="I2909" s="84">
        <v>44237.0</v>
      </c>
      <c r="J2909" s="65" t="b">
        <v>1</v>
      </c>
      <c r="K2909" s="65"/>
      <c r="L2909" s="85" t="b">
        <f>IF(VLOOKUP(C2909,Projetos!A:L,12,false)=TRUE,TRUE,FALSE)</f>
        <v>1</v>
      </c>
      <c r="M2909" s="74">
        <v>52.48434411075036</v>
      </c>
      <c r="N2909" s="74">
        <f t="shared" si="1"/>
        <v>183.6952044</v>
      </c>
      <c r="O2909" s="74" t="b">
        <v>1</v>
      </c>
    </row>
    <row r="2910" hidden="1">
      <c r="A2910" s="82"/>
      <c r="B2910" s="65" t="s">
        <v>411</v>
      </c>
      <c r="C2910" s="65" t="s">
        <v>130</v>
      </c>
      <c r="D2910" s="65" t="str">
        <f>vlookup(C2910,'Classificação p pessoal'!F:G,2,false)</f>
        <v>NP</v>
      </c>
      <c r="E2910" s="65" t="s">
        <v>1947</v>
      </c>
      <c r="F2910" s="83">
        <v>0.34375</v>
      </c>
      <c r="G2910" s="83">
        <v>0.375</v>
      </c>
      <c r="H2910" s="83">
        <v>0.03125</v>
      </c>
      <c r="I2910" s="84">
        <v>44238.0</v>
      </c>
      <c r="J2910" s="65" t="b">
        <v>1</v>
      </c>
      <c r="K2910" s="65"/>
      <c r="L2910" s="85" t="b">
        <f>IF(VLOOKUP(C2910,Projetos!A:L,12,false)=TRUE,TRUE,FALSE)</f>
        <v>1</v>
      </c>
      <c r="M2910" s="74">
        <v>52.48434411075036</v>
      </c>
      <c r="N2910" s="74">
        <f t="shared" si="1"/>
        <v>39.36325808</v>
      </c>
      <c r="O2910" s="74" t="b">
        <v>1</v>
      </c>
    </row>
    <row r="2911" hidden="1">
      <c r="A2911" s="82"/>
      <c r="B2911" s="65" t="s">
        <v>411</v>
      </c>
      <c r="C2911" s="65" t="s">
        <v>117</v>
      </c>
      <c r="D2911" s="65" t="str">
        <f>vlookup(C2911,'Classificação p pessoal'!F:G,2,false)</f>
        <v>NP</v>
      </c>
      <c r="E2911" s="65" t="s">
        <v>1948</v>
      </c>
      <c r="F2911" s="83">
        <v>0.375</v>
      </c>
      <c r="G2911" s="83">
        <v>0.4375</v>
      </c>
      <c r="H2911" s="83">
        <v>0.0625</v>
      </c>
      <c r="I2911" s="84">
        <v>44238.0</v>
      </c>
      <c r="J2911" s="65" t="b">
        <v>1</v>
      </c>
      <c r="K2911" s="65"/>
      <c r="L2911" s="85" t="b">
        <f>IF(VLOOKUP(C2911,Projetos!A:L,12,false)=TRUE,TRUE,FALSE)</f>
        <v>1</v>
      </c>
      <c r="M2911" s="74">
        <v>52.48434411075036</v>
      </c>
      <c r="N2911" s="74">
        <f t="shared" si="1"/>
        <v>78.72651617</v>
      </c>
      <c r="O2911" s="74" t="b">
        <v>1</v>
      </c>
    </row>
    <row r="2912" hidden="1">
      <c r="A2912" s="82"/>
      <c r="B2912" s="65" t="s">
        <v>411</v>
      </c>
      <c r="C2912" s="65" t="s">
        <v>92</v>
      </c>
      <c r="D2912" s="65" t="str">
        <f>vlookup(C2912,'Classificação p pessoal'!F:G,2,false)</f>
        <v/>
      </c>
      <c r="E2912" s="65" t="s">
        <v>1949</v>
      </c>
      <c r="F2912" s="83">
        <v>0.4375</v>
      </c>
      <c r="G2912" s="83">
        <v>0.4791666666666667</v>
      </c>
      <c r="H2912" s="83">
        <v>0.041666666666666664</v>
      </c>
      <c r="I2912" s="84">
        <v>44238.0</v>
      </c>
      <c r="J2912" s="65" t="b">
        <v>1</v>
      </c>
      <c r="K2912" s="65"/>
      <c r="L2912" s="85" t="b">
        <f>IF(VLOOKUP(C2912,Projetos!A:L,12,false)=TRUE,TRUE,FALSE)</f>
        <v>1</v>
      </c>
      <c r="M2912" s="74">
        <v>52.48434411075036</v>
      </c>
      <c r="N2912" s="74">
        <f t="shared" si="1"/>
        <v>52.48434411</v>
      </c>
      <c r="O2912" s="74" t="b">
        <v>1</v>
      </c>
    </row>
    <row r="2913" hidden="1">
      <c r="A2913" s="82"/>
      <c r="B2913" s="65" t="s">
        <v>411</v>
      </c>
      <c r="C2913" s="65" t="s">
        <v>152</v>
      </c>
      <c r="D2913" s="65" t="str">
        <f>vlookup(C2913,'Classificação p pessoal'!F:G,2,false)</f>
        <v>MProduto</v>
      </c>
      <c r="E2913" s="65" t="s">
        <v>1923</v>
      </c>
      <c r="F2913" s="83">
        <v>0.4791666666666667</v>
      </c>
      <c r="G2913" s="83">
        <v>0.5416666666666666</v>
      </c>
      <c r="H2913" s="83">
        <v>0.0625</v>
      </c>
      <c r="I2913" s="84">
        <v>44238.0</v>
      </c>
      <c r="J2913" s="65" t="b">
        <v>1</v>
      </c>
      <c r="K2913" s="65"/>
      <c r="L2913" s="85" t="b">
        <f>IF(VLOOKUP(C2913,Projetos!A:L,12,false)=TRUE,TRUE,FALSE)</f>
        <v>1</v>
      </c>
      <c r="M2913" s="74">
        <v>52.48434411075036</v>
      </c>
      <c r="N2913" s="74">
        <f t="shared" si="1"/>
        <v>78.72651617</v>
      </c>
      <c r="O2913" s="74" t="b">
        <v>1</v>
      </c>
    </row>
    <row r="2914" hidden="1">
      <c r="A2914" s="82"/>
      <c r="B2914" s="65" t="s">
        <v>411</v>
      </c>
      <c r="C2914" s="65" t="s">
        <v>132</v>
      </c>
      <c r="D2914" s="65"/>
      <c r="E2914" s="65" t="s">
        <v>1945</v>
      </c>
      <c r="F2914" s="83">
        <v>0.5833333333333334</v>
      </c>
      <c r="G2914" s="83">
        <v>0.625</v>
      </c>
      <c r="H2914" s="83">
        <v>0.041666666666666664</v>
      </c>
      <c r="I2914" s="84">
        <v>44238.0</v>
      </c>
      <c r="J2914" s="65" t="b">
        <v>1</v>
      </c>
      <c r="K2914" s="65"/>
      <c r="L2914" s="85" t="b">
        <f>IF(VLOOKUP(C2914,Projetos!A:L,12,false)=TRUE,TRUE,FALSE)</f>
        <v>0</v>
      </c>
      <c r="M2914" s="74">
        <v>52.48434411075036</v>
      </c>
      <c r="N2914" s="74">
        <f t="shared" si="1"/>
        <v>0</v>
      </c>
      <c r="O2914" s="74" t="b">
        <v>0</v>
      </c>
    </row>
    <row r="2915" hidden="1">
      <c r="A2915" s="82"/>
      <c r="B2915" s="65" t="s">
        <v>411</v>
      </c>
      <c r="C2915" s="65" t="s">
        <v>117</v>
      </c>
      <c r="D2915" s="65"/>
      <c r="E2915" s="65" t="s">
        <v>1950</v>
      </c>
      <c r="F2915" s="83">
        <v>0.625</v>
      </c>
      <c r="G2915" s="83">
        <v>0.6458333333333334</v>
      </c>
      <c r="H2915" s="83">
        <v>0.020833333333333332</v>
      </c>
      <c r="I2915" s="84">
        <v>44238.0</v>
      </c>
      <c r="J2915" s="65" t="b">
        <v>0</v>
      </c>
      <c r="K2915" s="65" t="s">
        <v>150</v>
      </c>
      <c r="L2915" s="85" t="b">
        <f>IF(VLOOKUP(C2915,Projetos!A:L,12,false)=TRUE,TRUE,FALSE)</f>
        <v>1</v>
      </c>
      <c r="M2915" s="74">
        <v>52.48434411075036</v>
      </c>
      <c r="N2915" s="74">
        <f t="shared" si="1"/>
        <v>0</v>
      </c>
      <c r="O2915" s="74" t="b">
        <v>1</v>
      </c>
    </row>
    <row r="2916" hidden="1">
      <c r="A2916" s="82"/>
      <c r="B2916" s="65" t="s">
        <v>411</v>
      </c>
      <c r="C2916" s="65" t="s">
        <v>92</v>
      </c>
      <c r="D2916" s="65" t="str">
        <f>vlookup(C2916,'Classificação p pessoal'!F:G,2,false)</f>
        <v/>
      </c>
      <c r="E2916" s="65" t="s">
        <v>1951</v>
      </c>
      <c r="F2916" s="83">
        <v>0.6458333333333334</v>
      </c>
      <c r="G2916" s="83">
        <v>0.6875</v>
      </c>
      <c r="H2916" s="83">
        <v>0.041666666666666664</v>
      </c>
      <c r="I2916" s="84">
        <v>44238.0</v>
      </c>
      <c r="J2916" s="65" t="b">
        <v>1</v>
      </c>
      <c r="K2916" s="65"/>
      <c r="L2916" s="85" t="b">
        <f>IF(VLOOKUP(C2916,Projetos!A:L,12,false)=TRUE,TRUE,FALSE)</f>
        <v>1</v>
      </c>
      <c r="M2916" s="74">
        <v>52.48434411075036</v>
      </c>
      <c r="N2916" s="74">
        <f t="shared" si="1"/>
        <v>52.48434411</v>
      </c>
      <c r="O2916" s="74" t="b">
        <v>1</v>
      </c>
    </row>
    <row r="2917" hidden="1">
      <c r="A2917" s="82"/>
      <c r="B2917" s="65" t="s">
        <v>411</v>
      </c>
      <c r="C2917" s="65" t="s">
        <v>132</v>
      </c>
      <c r="D2917" s="65"/>
      <c r="E2917" s="65" t="s">
        <v>1920</v>
      </c>
      <c r="F2917" s="83">
        <v>0.6875</v>
      </c>
      <c r="G2917" s="83">
        <v>0.7291666666666666</v>
      </c>
      <c r="H2917" s="83">
        <v>0.041666666666666664</v>
      </c>
      <c r="I2917" s="84">
        <v>44238.0</v>
      </c>
      <c r="J2917" s="65" t="b">
        <v>1</v>
      </c>
      <c r="K2917" s="65"/>
      <c r="L2917" s="85" t="b">
        <f>IF(VLOOKUP(C2917,Projetos!A:L,12,false)=TRUE,TRUE,FALSE)</f>
        <v>0</v>
      </c>
      <c r="M2917" s="74">
        <v>52.48434411075036</v>
      </c>
      <c r="N2917" s="74">
        <f t="shared" si="1"/>
        <v>0</v>
      </c>
      <c r="O2917" s="74" t="b">
        <v>0</v>
      </c>
    </row>
    <row r="2918" hidden="1">
      <c r="A2918" s="82"/>
      <c r="B2918" s="65" t="s">
        <v>411</v>
      </c>
      <c r="C2918" s="65" t="s">
        <v>119</v>
      </c>
      <c r="D2918" s="65" t="str">
        <f>vlookup(C2918,'Classificação p pessoal'!F:G,2,false)</f>
        <v>NP</v>
      </c>
      <c r="E2918" s="65" t="s">
        <v>1952</v>
      </c>
      <c r="F2918" s="83">
        <v>0.7291666666666666</v>
      </c>
      <c r="G2918" s="83">
        <v>0.75</v>
      </c>
      <c r="H2918" s="83">
        <v>0.020833333333333332</v>
      </c>
      <c r="I2918" s="84">
        <v>44238.0</v>
      </c>
      <c r="J2918" s="65" t="b">
        <v>1</v>
      </c>
      <c r="K2918" s="65"/>
      <c r="L2918" s="85" t="b">
        <f>IF(VLOOKUP(C2918,Projetos!A:L,12,false)=TRUE,TRUE,FALSE)</f>
        <v>1</v>
      </c>
      <c r="M2918" s="74">
        <v>52.48434411075036</v>
      </c>
      <c r="N2918" s="74">
        <f t="shared" si="1"/>
        <v>26.24217206</v>
      </c>
      <c r="O2918" s="74" t="b">
        <v>1</v>
      </c>
    </row>
    <row r="2919" hidden="1">
      <c r="A2919" s="82"/>
      <c r="B2919" s="65" t="s">
        <v>411</v>
      </c>
      <c r="C2919" s="65" t="s">
        <v>118</v>
      </c>
      <c r="D2919" s="65"/>
      <c r="E2919" s="65" t="s">
        <v>1953</v>
      </c>
      <c r="F2919" s="83">
        <v>0.34375</v>
      </c>
      <c r="G2919" s="83">
        <v>0.5</v>
      </c>
      <c r="H2919" s="83">
        <v>0.15625</v>
      </c>
      <c r="I2919" s="84">
        <v>44239.0</v>
      </c>
      <c r="J2919" s="65" t="b">
        <v>0</v>
      </c>
      <c r="K2919" s="65" t="s">
        <v>150</v>
      </c>
      <c r="L2919" s="85" t="b">
        <f>IF(VLOOKUP(C2919,Projetos!A:L,12,false)=TRUE,TRUE,FALSE)</f>
        <v>1</v>
      </c>
      <c r="M2919" s="74">
        <v>52.48434411075036</v>
      </c>
      <c r="N2919" s="74">
        <f t="shared" si="1"/>
        <v>0</v>
      </c>
      <c r="O2919" s="74" t="b">
        <v>1</v>
      </c>
    </row>
    <row r="2920" hidden="1">
      <c r="A2920" s="82"/>
      <c r="B2920" s="65" t="s">
        <v>411</v>
      </c>
      <c r="C2920" s="65" t="s">
        <v>117</v>
      </c>
      <c r="D2920" s="65" t="str">
        <f>vlookup(C2920,'Classificação p pessoal'!F:G,2,false)</f>
        <v>NP</v>
      </c>
      <c r="E2920" s="65" t="s">
        <v>1954</v>
      </c>
      <c r="F2920" s="83">
        <v>0.5</v>
      </c>
      <c r="G2920" s="83">
        <v>0.5416666666666666</v>
      </c>
      <c r="H2920" s="83">
        <v>0.041666666666666664</v>
      </c>
      <c r="I2920" s="84">
        <v>44239.0</v>
      </c>
      <c r="J2920" s="65" t="b">
        <v>1</v>
      </c>
      <c r="K2920" s="65"/>
      <c r="L2920" s="85" t="b">
        <f>IF(VLOOKUP(C2920,Projetos!A:L,12,false)=TRUE,TRUE,FALSE)</f>
        <v>1</v>
      </c>
      <c r="M2920" s="74">
        <v>52.48434411075036</v>
      </c>
      <c r="N2920" s="74">
        <f t="shared" si="1"/>
        <v>52.48434411</v>
      </c>
      <c r="O2920" s="74" t="b">
        <v>1</v>
      </c>
    </row>
    <row r="2921" hidden="1">
      <c r="A2921" s="82"/>
      <c r="B2921" s="65" t="s">
        <v>411</v>
      </c>
      <c r="C2921" s="65" t="s">
        <v>132</v>
      </c>
      <c r="D2921" s="65"/>
      <c r="E2921" s="65" t="s">
        <v>1955</v>
      </c>
      <c r="F2921" s="83">
        <v>0.5833333333333334</v>
      </c>
      <c r="G2921" s="83">
        <v>0.7291666666666666</v>
      </c>
      <c r="H2921" s="83">
        <v>0.14583333333333334</v>
      </c>
      <c r="I2921" s="84">
        <v>44239.0</v>
      </c>
      <c r="J2921" s="65" t="b">
        <v>1</v>
      </c>
      <c r="K2921" s="65"/>
      <c r="L2921" s="85" t="b">
        <f>IF(VLOOKUP(C2921,Projetos!A:L,12,false)=TRUE,TRUE,FALSE)</f>
        <v>0</v>
      </c>
      <c r="M2921" s="74">
        <v>52.48434411075036</v>
      </c>
      <c r="N2921" s="74">
        <f t="shared" si="1"/>
        <v>0</v>
      </c>
      <c r="O2921" s="74" t="b">
        <v>0</v>
      </c>
    </row>
    <row r="2922" hidden="1">
      <c r="A2922" s="82"/>
      <c r="B2922" s="65" t="s">
        <v>411</v>
      </c>
      <c r="C2922" s="65" t="s">
        <v>92</v>
      </c>
      <c r="D2922" s="65"/>
      <c r="E2922" s="65" t="s">
        <v>1956</v>
      </c>
      <c r="F2922" s="83">
        <v>0.7291666666666666</v>
      </c>
      <c r="G2922" s="83">
        <v>0.7916666666666666</v>
      </c>
      <c r="H2922" s="83">
        <v>0.0625</v>
      </c>
      <c r="I2922" s="84">
        <v>44239.0</v>
      </c>
      <c r="J2922" s="65" t="b">
        <v>0</v>
      </c>
      <c r="K2922" s="65" t="s">
        <v>150</v>
      </c>
      <c r="L2922" s="85" t="b">
        <f>IF(VLOOKUP(C2922,Projetos!A:L,12,false)=TRUE,TRUE,FALSE)</f>
        <v>1</v>
      </c>
      <c r="M2922" s="74">
        <v>52.48434411075036</v>
      </c>
      <c r="N2922" s="74">
        <f t="shared" si="1"/>
        <v>0</v>
      </c>
      <c r="O2922" s="74" t="b">
        <v>1</v>
      </c>
    </row>
    <row r="2923" hidden="1">
      <c r="A2923" s="82"/>
      <c r="B2923" s="65" t="s">
        <v>411</v>
      </c>
      <c r="C2923" s="65" t="s">
        <v>92</v>
      </c>
      <c r="D2923" s="65" t="str">
        <f>vlookup(C2923,'Classificação p pessoal'!F:G,2,false)</f>
        <v/>
      </c>
      <c r="E2923" s="65" t="s">
        <v>1951</v>
      </c>
      <c r="F2923" s="83">
        <v>0.5416666666666666</v>
      </c>
      <c r="G2923" s="83">
        <v>0.625</v>
      </c>
      <c r="H2923" s="83">
        <v>0.08333333333333333</v>
      </c>
      <c r="I2923" s="84">
        <v>44244.0</v>
      </c>
      <c r="J2923" s="65" t="b">
        <v>1</v>
      </c>
      <c r="K2923" s="65"/>
      <c r="L2923" s="85" t="b">
        <f>IF(VLOOKUP(C2923,Projetos!A:L,12,false)=TRUE,TRUE,FALSE)</f>
        <v>1</v>
      </c>
      <c r="M2923" s="74">
        <v>52.48434411075036</v>
      </c>
      <c r="N2923" s="74">
        <f t="shared" si="1"/>
        <v>104.9686882</v>
      </c>
      <c r="O2923" s="74" t="b">
        <v>1</v>
      </c>
    </row>
    <row r="2924" hidden="1">
      <c r="A2924" s="82"/>
      <c r="B2924" s="65" t="s">
        <v>411</v>
      </c>
      <c r="C2924" s="65" t="s">
        <v>132</v>
      </c>
      <c r="D2924" s="65"/>
      <c r="E2924" s="65" t="s">
        <v>1939</v>
      </c>
      <c r="F2924" s="83">
        <v>0.625</v>
      </c>
      <c r="G2924" s="83">
        <v>0.7083333333333334</v>
      </c>
      <c r="H2924" s="83">
        <v>0.08333333333333333</v>
      </c>
      <c r="I2924" s="84">
        <v>44244.0</v>
      </c>
      <c r="J2924" s="65" t="b">
        <v>1</v>
      </c>
      <c r="K2924" s="65"/>
      <c r="L2924" s="85" t="b">
        <f>IF(VLOOKUP(C2924,Projetos!A:L,12,false)=TRUE,TRUE,FALSE)</f>
        <v>0</v>
      </c>
      <c r="M2924" s="74">
        <v>52.48434411075036</v>
      </c>
      <c r="N2924" s="74">
        <f t="shared" si="1"/>
        <v>0</v>
      </c>
      <c r="O2924" s="74" t="b">
        <v>0</v>
      </c>
    </row>
    <row r="2925" hidden="1">
      <c r="A2925" s="82"/>
      <c r="B2925" s="65" t="s">
        <v>411</v>
      </c>
      <c r="C2925" s="65" t="s">
        <v>92</v>
      </c>
      <c r="D2925" s="65" t="str">
        <f>vlookup(C2925,'Classificação p pessoal'!F:G,2,false)</f>
        <v/>
      </c>
      <c r="E2925" s="65" t="s">
        <v>1957</v>
      </c>
      <c r="F2925" s="83">
        <v>0.7083333333333334</v>
      </c>
      <c r="G2925" s="83">
        <v>0.75</v>
      </c>
      <c r="H2925" s="83">
        <v>0.041666666666666664</v>
      </c>
      <c r="I2925" s="84">
        <v>44244.0</v>
      </c>
      <c r="J2925" s="65" t="b">
        <v>1</v>
      </c>
      <c r="K2925" s="65"/>
      <c r="L2925" s="85" t="b">
        <f>IF(VLOOKUP(C2925,Projetos!A:L,12,false)=TRUE,TRUE,FALSE)</f>
        <v>1</v>
      </c>
      <c r="M2925" s="74">
        <v>52.48434411075036</v>
      </c>
      <c r="N2925" s="74">
        <f t="shared" si="1"/>
        <v>52.48434411</v>
      </c>
      <c r="O2925" s="74" t="b">
        <v>1</v>
      </c>
    </row>
    <row r="2926" hidden="1">
      <c r="A2926" s="82"/>
      <c r="B2926" s="65" t="s">
        <v>411</v>
      </c>
      <c r="C2926" s="65" t="s">
        <v>92</v>
      </c>
      <c r="D2926" s="65" t="str">
        <f>vlookup(C2926,'Classificação p pessoal'!F:G,2,false)</f>
        <v/>
      </c>
      <c r="E2926" s="65" t="s">
        <v>1951</v>
      </c>
      <c r="F2926" s="83">
        <v>0.34375</v>
      </c>
      <c r="G2926" s="83">
        <v>0.4166666666666667</v>
      </c>
      <c r="H2926" s="83">
        <v>0.07291666666666667</v>
      </c>
      <c r="I2926" s="84">
        <v>44245.0</v>
      </c>
      <c r="J2926" s="65" t="b">
        <v>1</v>
      </c>
      <c r="K2926" s="65"/>
      <c r="L2926" s="85" t="b">
        <f>IF(VLOOKUP(C2926,Projetos!A:L,12,false)=TRUE,TRUE,FALSE)</f>
        <v>1</v>
      </c>
      <c r="M2926" s="74">
        <v>52.48434411075036</v>
      </c>
      <c r="N2926" s="74">
        <f t="shared" si="1"/>
        <v>91.84760219</v>
      </c>
      <c r="O2926" s="74" t="b">
        <v>1</v>
      </c>
    </row>
    <row r="2927">
      <c r="A2927" s="82"/>
      <c r="B2927" s="65" t="s">
        <v>411</v>
      </c>
      <c r="C2927" s="65" t="s">
        <v>108</v>
      </c>
      <c r="D2927" s="65" t="str">
        <f>vlookup(C2927,'Classificação p pessoal'!F:G,2,false)</f>
        <v>NP</v>
      </c>
      <c r="E2927" s="65" t="s">
        <v>1958</v>
      </c>
      <c r="F2927" s="83">
        <v>0.4166666666666667</v>
      </c>
      <c r="G2927" s="83">
        <v>0.4583333333333333</v>
      </c>
      <c r="H2927" s="83">
        <v>0.041666666666666664</v>
      </c>
      <c r="I2927" s="84">
        <v>44245.0</v>
      </c>
      <c r="J2927" s="65" t="b">
        <v>1</v>
      </c>
      <c r="K2927" s="65"/>
      <c r="L2927" s="85" t="b">
        <f>IF(VLOOKUP(C2927,Projetos!A:L,12,false)=TRUE,TRUE,FALSE)</f>
        <v>1</v>
      </c>
      <c r="M2927" s="74">
        <v>52.48434411075036</v>
      </c>
      <c r="N2927" s="74">
        <f t="shared" si="1"/>
        <v>52.48434411</v>
      </c>
      <c r="O2927" s="74" t="b">
        <v>1</v>
      </c>
    </row>
    <row r="2928" hidden="1">
      <c r="A2928" s="82"/>
      <c r="B2928" s="65" t="s">
        <v>411</v>
      </c>
      <c r="C2928" s="65" t="s">
        <v>120</v>
      </c>
      <c r="D2928" s="65"/>
      <c r="E2928" s="65" t="s">
        <v>1959</v>
      </c>
      <c r="F2928" s="83">
        <v>0.4583333333333333</v>
      </c>
      <c r="G2928" s="83">
        <v>0.5</v>
      </c>
      <c r="H2928" s="83">
        <v>0.041666666666666664</v>
      </c>
      <c r="I2928" s="84">
        <v>44245.0</v>
      </c>
      <c r="J2928" s="65" t="b">
        <v>0</v>
      </c>
      <c r="K2928" s="65"/>
      <c r="L2928" s="85" t="b">
        <f>IF(VLOOKUP(C2928,Projetos!A:L,12,false)=TRUE,TRUE,FALSE)</f>
        <v>0</v>
      </c>
      <c r="M2928" s="74">
        <v>52.48434411075036</v>
      </c>
      <c r="N2928" s="74">
        <f t="shared" si="1"/>
        <v>0</v>
      </c>
      <c r="O2928" s="74" t="b">
        <v>0</v>
      </c>
    </row>
    <row r="2929" hidden="1">
      <c r="A2929" s="82"/>
      <c r="B2929" s="65" t="s">
        <v>411</v>
      </c>
      <c r="C2929" s="65" t="s">
        <v>117</v>
      </c>
      <c r="D2929" s="65" t="str">
        <f>vlookup(C2929,'Classificação p pessoal'!F:G,2,false)</f>
        <v>NP</v>
      </c>
      <c r="E2929" s="65" t="s">
        <v>1960</v>
      </c>
      <c r="F2929" s="83">
        <v>0.5</v>
      </c>
      <c r="G2929" s="83">
        <v>0.5833333333333334</v>
      </c>
      <c r="H2929" s="83">
        <v>0.08333333333333333</v>
      </c>
      <c r="I2929" s="84">
        <v>44245.0</v>
      </c>
      <c r="J2929" s="65" t="b">
        <v>1</v>
      </c>
      <c r="K2929" s="65"/>
      <c r="L2929" s="85" t="b">
        <f>IF(VLOOKUP(C2929,Projetos!A:L,12,false)=TRUE,TRUE,FALSE)</f>
        <v>1</v>
      </c>
      <c r="M2929" s="74">
        <v>52.48434411075036</v>
      </c>
      <c r="N2929" s="74">
        <f t="shared" si="1"/>
        <v>104.9686882</v>
      </c>
      <c r="O2929" s="74" t="b">
        <v>1</v>
      </c>
    </row>
    <row r="2930" hidden="1">
      <c r="A2930" s="82"/>
      <c r="B2930" s="65" t="s">
        <v>411</v>
      </c>
      <c r="C2930" s="65" t="s">
        <v>92</v>
      </c>
      <c r="D2930" s="65" t="str">
        <f>vlookup(C2930,'Classificação p pessoal'!F:G,2,false)</f>
        <v/>
      </c>
      <c r="E2930" s="65" t="s">
        <v>1961</v>
      </c>
      <c r="F2930" s="83">
        <v>0.625</v>
      </c>
      <c r="G2930" s="83">
        <v>0.6875</v>
      </c>
      <c r="H2930" s="83">
        <v>0.0625</v>
      </c>
      <c r="I2930" s="84">
        <v>44245.0</v>
      </c>
      <c r="J2930" s="65" t="b">
        <v>1</v>
      </c>
      <c r="K2930" s="65"/>
      <c r="L2930" s="85" t="b">
        <f>IF(VLOOKUP(C2930,Projetos!A:L,12,false)=TRUE,TRUE,FALSE)</f>
        <v>1</v>
      </c>
      <c r="M2930" s="74">
        <v>52.48434411075036</v>
      </c>
      <c r="N2930" s="74">
        <f t="shared" si="1"/>
        <v>78.72651617</v>
      </c>
      <c r="O2930" s="74" t="b">
        <v>1</v>
      </c>
    </row>
    <row r="2931" hidden="1">
      <c r="A2931" s="82"/>
      <c r="B2931" s="65" t="s">
        <v>411</v>
      </c>
      <c r="C2931" s="65" t="s">
        <v>132</v>
      </c>
      <c r="D2931" s="65"/>
      <c r="E2931" s="65" t="s">
        <v>1962</v>
      </c>
      <c r="F2931" s="83">
        <v>0.6875</v>
      </c>
      <c r="G2931" s="83">
        <v>0.75</v>
      </c>
      <c r="H2931" s="83">
        <v>0.0625</v>
      </c>
      <c r="I2931" s="84">
        <v>44245.0</v>
      </c>
      <c r="J2931" s="65" t="b">
        <v>1</v>
      </c>
      <c r="K2931" s="65"/>
      <c r="L2931" s="85" t="b">
        <f>IF(VLOOKUP(C2931,Projetos!A:L,12,false)=TRUE,TRUE,FALSE)</f>
        <v>0</v>
      </c>
      <c r="M2931" s="74">
        <v>52.48434411075036</v>
      </c>
      <c r="N2931" s="74">
        <f t="shared" si="1"/>
        <v>0</v>
      </c>
      <c r="O2931" s="74" t="b">
        <v>0</v>
      </c>
    </row>
    <row r="2932" hidden="1">
      <c r="A2932" s="82"/>
      <c r="B2932" s="65" t="s">
        <v>411</v>
      </c>
      <c r="C2932" s="65" t="s">
        <v>117</v>
      </c>
      <c r="D2932" s="65"/>
      <c r="E2932" s="65" t="s">
        <v>1963</v>
      </c>
      <c r="F2932" s="83">
        <v>0.34375</v>
      </c>
      <c r="G2932" s="83">
        <v>0.4166666666666667</v>
      </c>
      <c r="H2932" s="83">
        <v>0.07291666666666667</v>
      </c>
      <c r="I2932" s="84">
        <v>44246.0</v>
      </c>
      <c r="J2932" s="65" t="b">
        <v>0</v>
      </c>
      <c r="K2932" s="65" t="s">
        <v>150</v>
      </c>
      <c r="L2932" s="85" t="b">
        <f>IF(VLOOKUP(C2932,Projetos!A:L,12,false)=TRUE,TRUE,FALSE)</f>
        <v>1</v>
      </c>
      <c r="M2932" s="74">
        <v>52.48434411075036</v>
      </c>
      <c r="N2932" s="74">
        <f t="shared" si="1"/>
        <v>0</v>
      </c>
      <c r="O2932" s="74" t="b">
        <v>1</v>
      </c>
    </row>
    <row r="2933" hidden="1">
      <c r="A2933" s="82"/>
      <c r="B2933" s="65" t="s">
        <v>411</v>
      </c>
      <c r="C2933" s="65" t="s">
        <v>92</v>
      </c>
      <c r="D2933" s="65" t="str">
        <f>vlookup(C2933,'Classificação p pessoal'!F:G,2,false)</f>
        <v/>
      </c>
      <c r="E2933" s="65" t="s">
        <v>1951</v>
      </c>
      <c r="F2933" s="83">
        <v>0.4166666666666667</v>
      </c>
      <c r="G2933" s="83">
        <v>0.5</v>
      </c>
      <c r="H2933" s="83">
        <v>0.08333333333333333</v>
      </c>
      <c r="I2933" s="84">
        <v>44246.0</v>
      </c>
      <c r="J2933" s="65" t="b">
        <v>1</v>
      </c>
      <c r="K2933" s="65"/>
      <c r="L2933" s="85" t="b">
        <f>IF(VLOOKUP(C2933,Projetos!A:L,12,false)=TRUE,TRUE,FALSE)</f>
        <v>1</v>
      </c>
      <c r="M2933" s="74">
        <v>52.48434411075036</v>
      </c>
      <c r="N2933" s="74">
        <f t="shared" si="1"/>
        <v>104.9686882</v>
      </c>
      <c r="O2933" s="74" t="b">
        <v>1</v>
      </c>
    </row>
    <row r="2934" hidden="1">
      <c r="A2934" s="82"/>
      <c r="B2934" s="65" t="s">
        <v>411</v>
      </c>
      <c r="C2934" s="65" t="s">
        <v>152</v>
      </c>
      <c r="D2934" s="65" t="str">
        <f>vlookup(C2934,'Classificação p pessoal'!F:G,2,false)</f>
        <v>MProduto</v>
      </c>
      <c r="E2934" s="65" t="s">
        <v>1964</v>
      </c>
      <c r="F2934" s="83">
        <v>0.5416666666666666</v>
      </c>
      <c r="G2934" s="83">
        <v>0.75</v>
      </c>
      <c r="H2934" s="83">
        <v>0.20833333333333334</v>
      </c>
      <c r="I2934" s="84">
        <v>44246.0</v>
      </c>
      <c r="J2934" s="65" t="b">
        <v>1</v>
      </c>
      <c r="K2934" s="65"/>
      <c r="L2934" s="85" t="b">
        <f>IF(VLOOKUP(C2934,Projetos!A:L,12,false)=TRUE,TRUE,FALSE)</f>
        <v>1</v>
      </c>
      <c r="M2934" s="74">
        <v>52.48434411075036</v>
      </c>
      <c r="N2934" s="74">
        <f t="shared" si="1"/>
        <v>262.4217206</v>
      </c>
      <c r="O2934" s="74" t="b">
        <v>1</v>
      </c>
    </row>
    <row r="2935" hidden="1">
      <c r="A2935" s="82"/>
      <c r="B2935" s="65" t="s">
        <v>411</v>
      </c>
      <c r="C2935" s="65" t="s">
        <v>92</v>
      </c>
      <c r="D2935" s="65" t="str">
        <f>vlookup(C2935,'Classificação p pessoal'!F:G,2,false)</f>
        <v/>
      </c>
      <c r="E2935" s="65" t="s">
        <v>1951</v>
      </c>
      <c r="F2935" s="83">
        <v>0.34375</v>
      </c>
      <c r="G2935" s="83">
        <v>0.4166666666666667</v>
      </c>
      <c r="H2935" s="83">
        <v>0.07291666666666667</v>
      </c>
      <c r="I2935" s="84">
        <v>44249.0</v>
      </c>
      <c r="J2935" s="65" t="b">
        <v>1</v>
      </c>
      <c r="K2935" s="65"/>
      <c r="L2935" s="85" t="b">
        <f>IF(VLOOKUP(C2935,Projetos!A:L,12,false)=TRUE,TRUE,FALSE)</f>
        <v>1</v>
      </c>
      <c r="M2935" s="74">
        <v>52.48434411075036</v>
      </c>
      <c r="N2935" s="74">
        <f t="shared" si="1"/>
        <v>91.84760219</v>
      </c>
      <c r="O2935" s="74" t="b">
        <v>1</v>
      </c>
    </row>
    <row r="2936" hidden="1">
      <c r="A2936" s="82"/>
      <c r="B2936" s="65" t="s">
        <v>411</v>
      </c>
      <c r="C2936" s="65" t="s">
        <v>152</v>
      </c>
      <c r="D2936" s="65" t="str">
        <f>vlookup(C2936,'Classificação p pessoal'!F:G,2,false)</f>
        <v>MProduto</v>
      </c>
      <c r="E2936" s="65" t="s">
        <v>1965</v>
      </c>
      <c r="F2936" s="83">
        <v>0.4166666666666667</v>
      </c>
      <c r="G2936" s="83">
        <v>0.4583333333333333</v>
      </c>
      <c r="H2936" s="83">
        <v>0.041666666666666664</v>
      </c>
      <c r="I2936" s="84">
        <v>44249.0</v>
      </c>
      <c r="J2936" s="65" t="b">
        <v>1</v>
      </c>
      <c r="K2936" s="65"/>
      <c r="L2936" s="85" t="b">
        <f>IF(VLOOKUP(C2936,Projetos!A:L,12,false)=TRUE,TRUE,FALSE)</f>
        <v>1</v>
      </c>
      <c r="M2936" s="74">
        <v>52.48434411075036</v>
      </c>
      <c r="N2936" s="74">
        <f t="shared" si="1"/>
        <v>52.48434411</v>
      </c>
      <c r="O2936" s="74" t="b">
        <v>1</v>
      </c>
    </row>
    <row r="2937" hidden="1">
      <c r="A2937" s="82"/>
      <c r="B2937" s="65" t="s">
        <v>177</v>
      </c>
      <c r="C2937" s="65" t="s">
        <v>118</v>
      </c>
      <c r="D2937" s="65" t="str">
        <f>vlookup(C2937,'Classificação p pessoal'!F:G,2,false)</f>
        <v>MProduto</v>
      </c>
      <c r="E2937" s="65" t="s">
        <v>1966</v>
      </c>
      <c r="F2937" s="83">
        <v>0.4166666666666667</v>
      </c>
      <c r="G2937" s="83">
        <v>0.4375</v>
      </c>
      <c r="H2937" s="83">
        <v>0.020833333333333332</v>
      </c>
      <c r="I2937" s="84">
        <v>44425.0</v>
      </c>
      <c r="J2937" s="65" t="b">
        <v>1</v>
      </c>
      <c r="K2937" s="65"/>
      <c r="L2937" s="85" t="b">
        <f>IF(VLOOKUP(C2937,Projetos!A:L,12,false)=TRUE,TRUE,FALSE)</f>
        <v>1</v>
      </c>
      <c r="M2937" s="74">
        <v>31.02923620430495</v>
      </c>
      <c r="N2937" s="74">
        <f t="shared" si="1"/>
        <v>15.5146181</v>
      </c>
      <c r="O2937" s="74" t="b">
        <v>1</v>
      </c>
    </row>
    <row r="2938" hidden="1">
      <c r="A2938" s="82"/>
      <c r="B2938" s="65" t="s">
        <v>411</v>
      </c>
      <c r="C2938" s="65" t="s">
        <v>117</v>
      </c>
      <c r="D2938" s="65" t="str">
        <f>vlookup(C2938,'Classificação p pessoal'!F:G,2,false)</f>
        <v>NP</v>
      </c>
      <c r="E2938" s="65" t="s">
        <v>1967</v>
      </c>
      <c r="F2938" s="83">
        <v>0.5208333333333334</v>
      </c>
      <c r="G2938" s="83">
        <v>0.5625</v>
      </c>
      <c r="H2938" s="83">
        <v>0.041666666666666664</v>
      </c>
      <c r="I2938" s="84">
        <v>44249.0</v>
      </c>
      <c r="J2938" s="65" t="b">
        <v>1</v>
      </c>
      <c r="K2938" s="65"/>
      <c r="L2938" s="85" t="b">
        <f>IF(VLOOKUP(C2938,Projetos!A:L,12,false)=TRUE,TRUE,FALSE)</f>
        <v>1</v>
      </c>
      <c r="M2938" s="74">
        <v>52.48434411075036</v>
      </c>
      <c r="N2938" s="74">
        <f t="shared" si="1"/>
        <v>52.48434411</v>
      </c>
      <c r="O2938" s="74" t="b">
        <v>1</v>
      </c>
    </row>
    <row r="2939" hidden="1">
      <c r="A2939" s="82"/>
      <c r="B2939" s="65" t="s">
        <v>411</v>
      </c>
      <c r="C2939" s="65" t="s">
        <v>92</v>
      </c>
      <c r="D2939" s="65" t="str">
        <f>vlookup(C2939,'Classificação p pessoal'!F:G,2,false)</f>
        <v/>
      </c>
      <c r="E2939" s="65" t="s">
        <v>1961</v>
      </c>
      <c r="F2939" s="83">
        <v>0.6041666666666666</v>
      </c>
      <c r="G2939" s="83">
        <v>0.6458333333333334</v>
      </c>
      <c r="H2939" s="83">
        <v>0.041666666666666664</v>
      </c>
      <c r="I2939" s="84">
        <v>44249.0</v>
      </c>
      <c r="J2939" s="65" t="b">
        <v>1</v>
      </c>
      <c r="K2939" s="65"/>
      <c r="L2939" s="85" t="b">
        <f>IF(VLOOKUP(C2939,Projetos!A:L,12,false)=TRUE,TRUE,FALSE)</f>
        <v>1</v>
      </c>
      <c r="M2939" s="74">
        <v>52.48434411075036</v>
      </c>
      <c r="N2939" s="74">
        <f t="shared" si="1"/>
        <v>52.48434411</v>
      </c>
      <c r="O2939" s="74" t="b">
        <v>1</v>
      </c>
    </row>
    <row r="2940" hidden="1">
      <c r="A2940" s="82"/>
      <c r="B2940" s="65" t="s">
        <v>411</v>
      </c>
      <c r="C2940" s="65" t="s">
        <v>122</v>
      </c>
      <c r="D2940" s="65" t="str">
        <f>vlookup(C2940,'Classificação p pessoal'!F:G,2,false)</f>
        <v>NP</v>
      </c>
      <c r="E2940" s="65" t="s">
        <v>1968</v>
      </c>
      <c r="F2940" s="83">
        <v>0.6666666666666666</v>
      </c>
      <c r="G2940" s="83">
        <v>0.6875</v>
      </c>
      <c r="H2940" s="83">
        <v>0.020833333333333332</v>
      </c>
      <c r="I2940" s="84">
        <v>44249.0</v>
      </c>
      <c r="J2940" s="65" t="b">
        <v>1</v>
      </c>
      <c r="K2940" s="65"/>
      <c r="L2940" s="85" t="b">
        <f>IF(VLOOKUP(C2940,Projetos!A:L,12,false)=TRUE,TRUE,FALSE)</f>
        <v>1</v>
      </c>
      <c r="M2940" s="74">
        <v>52.48434411075036</v>
      </c>
      <c r="N2940" s="74">
        <f t="shared" si="1"/>
        <v>26.24217206</v>
      </c>
      <c r="O2940" s="74" t="b">
        <v>1</v>
      </c>
    </row>
    <row r="2941" hidden="1">
      <c r="A2941" s="82"/>
      <c r="B2941" s="65" t="s">
        <v>467</v>
      </c>
      <c r="C2941" s="65" t="s">
        <v>92</v>
      </c>
      <c r="D2941" s="65"/>
      <c r="E2941" s="65" t="s">
        <v>1969</v>
      </c>
      <c r="F2941" s="83">
        <v>0.3958333333333333</v>
      </c>
      <c r="G2941" s="83">
        <v>0.4375</v>
      </c>
      <c r="H2941" s="83">
        <v>0.041666666666666664</v>
      </c>
      <c r="I2941" s="84">
        <v>44414.0</v>
      </c>
      <c r="J2941" s="65" t="b">
        <v>0</v>
      </c>
      <c r="K2941" s="65"/>
      <c r="L2941" s="85" t="b">
        <f>IF(VLOOKUP(C2941,Projetos!A:L,12,false)=TRUE,TRUE,FALSE)</f>
        <v>1</v>
      </c>
      <c r="M2941" s="74">
        <v>52.1518759018759</v>
      </c>
      <c r="N2941" s="74">
        <f t="shared" si="1"/>
        <v>0</v>
      </c>
      <c r="O2941" s="74" t="b">
        <v>1</v>
      </c>
    </row>
    <row r="2942" hidden="1">
      <c r="A2942" s="82"/>
      <c r="B2942" s="65" t="s">
        <v>411</v>
      </c>
      <c r="C2942" s="65" t="s">
        <v>119</v>
      </c>
      <c r="D2942" s="65" t="str">
        <f>vlookup(C2942,'Classificação p pessoal'!F:G,2,false)</f>
        <v>NP</v>
      </c>
      <c r="E2942" s="65" t="s">
        <v>1970</v>
      </c>
      <c r="F2942" s="83">
        <v>0.7083333333333334</v>
      </c>
      <c r="G2942" s="83">
        <v>0.75</v>
      </c>
      <c r="H2942" s="83">
        <v>0.041666666666666664</v>
      </c>
      <c r="I2942" s="84">
        <v>44249.0</v>
      </c>
      <c r="J2942" s="65" t="b">
        <v>1</v>
      </c>
      <c r="K2942" s="65"/>
      <c r="L2942" s="85" t="b">
        <f>IF(VLOOKUP(C2942,Projetos!A:L,12,false)=TRUE,TRUE,FALSE)</f>
        <v>1</v>
      </c>
      <c r="M2942" s="74">
        <v>52.48434411075036</v>
      </c>
      <c r="N2942" s="74">
        <f t="shared" si="1"/>
        <v>52.48434411</v>
      </c>
      <c r="O2942" s="74" t="b">
        <v>1</v>
      </c>
    </row>
    <row r="2943" hidden="1">
      <c r="A2943" s="82"/>
      <c r="B2943" s="65" t="s">
        <v>411</v>
      </c>
      <c r="C2943" s="65" t="s">
        <v>92</v>
      </c>
      <c r="D2943" s="65" t="str">
        <f>vlookup(C2943,'Classificação p pessoal'!F:G,2,false)</f>
        <v/>
      </c>
      <c r="E2943" s="65" t="s">
        <v>1951</v>
      </c>
      <c r="F2943" s="83">
        <v>0.34375</v>
      </c>
      <c r="G2943" s="83">
        <v>0.375</v>
      </c>
      <c r="H2943" s="83">
        <v>0.03125</v>
      </c>
      <c r="I2943" s="84">
        <v>44250.0</v>
      </c>
      <c r="J2943" s="65" t="b">
        <v>1</v>
      </c>
      <c r="K2943" s="65"/>
      <c r="L2943" s="85" t="b">
        <f>IF(VLOOKUP(C2943,Projetos!A:L,12,false)=TRUE,TRUE,FALSE)</f>
        <v>1</v>
      </c>
      <c r="M2943" s="74">
        <v>52.48434411075036</v>
      </c>
      <c r="N2943" s="74">
        <f t="shared" si="1"/>
        <v>39.36325808</v>
      </c>
      <c r="O2943" s="74" t="b">
        <v>1</v>
      </c>
    </row>
    <row r="2944" hidden="1">
      <c r="A2944" s="82"/>
      <c r="B2944" s="65" t="s">
        <v>411</v>
      </c>
      <c r="C2944" s="65" t="s">
        <v>122</v>
      </c>
      <c r="D2944" s="65"/>
      <c r="E2944" s="65" t="s">
        <v>1971</v>
      </c>
      <c r="F2944" s="83">
        <v>0.375</v>
      </c>
      <c r="G2944" s="83">
        <v>0.4375</v>
      </c>
      <c r="H2944" s="83">
        <v>0.0625</v>
      </c>
      <c r="I2944" s="84">
        <v>44250.0</v>
      </c>
      <c r="J2944" s="65" t="b">
        <v>0</v>
      </c>
      <c r="K2944" s="65" t="s">
        <v>150</v>
      </c>
      <c r="L2944" s="85" t="b">
        <f>IF(VLOOKUP(C2944,Projetos!A:L,12,false)=TRUE,TRUE,FALSE)</f>
        <v>1</v>
      </c>
      <c r="M2944" s="74">
        <v>52.48434411075036</v>
      </c>
      <c r="N2944" s="74">
        <f t="shared" si="1"/>
        <v>0</v>
      </c>
      <c r="O2944" s="74" t="b">
        <v>1</v>
      </c>
    </row>
    <row r="2945" hidden="1">
      <c r="A2945" s="82"/>
      <c r="B2945" s="65" t="s">
        <v>467</v>
      </c>
      <c r="C2945" s="65" t="s">
        <v>92</v>
      </c>
      <c r="D2945" s="65"/>
      <c r="E2945" s="65" t="s">
        <v>1972</v>
      </c>
      <c r="F2945" s="83">
        <v>0.5833333333333334</v>
      </c>
      <c r="G2945" s="83">
        <v>0.625</v>
      </c>
      <c r="H2945" s="83">
        <v>0.041666666666666664</v>
      </c>
      <c r="I2945" s="84">
        <v>44320.0</v>
      </c>
      <c r="J2945" s="65" t="b">
        <v>0</v>
      </c>
      <c r="K2945" s="65"/>
      <c r="L2945" s="85" t="b">
        <f>IF(VLOOKUP(C2945,Projetos!A:L,12,false)=TRUE,TRUE,FALSE)</f>
        <v>1</v>
      </c>
      <c r="M2945" s="74">
        <v>52.1518759018759</v>
      </c>
      <c r="N2945" s="74">
        <f t="shared" si="1"/>
        <v>0</v>
      </c>
      <c r="O2945" s="74" t="b">
        <v>1</v>
      </c>
    </row>
    <row r="2946" hidden="1">
      <c r="A2946" s="82"/>
      <c r="B2946" s="65" t="s">
        <v>411</v>
      </c>
      <c r="C2946" s="65" t="s">
        <v>117</v>
      </c>
      <c r="D2946" s="65" t="str">
        <f>vlookup(C2946,'Classificação p pessoal'!F:G,2,false)</f>
        <v>NP</v>
      </c>
      <c r="E2946" s="65" t="s">
        <v>1973</v>
      </c>
      <c r="F2946" s="83">
        <v>0.4583333333333333</v>
      </c>
      <c r="G2946" s="83">
        <v>0.5208333333333334</v>
      </c>
      <c r="H2946" s="83">
        <v>0.0625</v>
      </c>
      <c r="I2946" s="84">
        <v>44250.0</v>
      </c>
      <c r="J2946" s="65" t="b">
        <v>1</v>
      </c>
      <c r="K2946" s="65"/>
      <c r="L2946" s="85" t="b">
        <f>IF(VLOOKUP(C2946,Projetos!A:L,12,false)=TRUE,TRUE,FALSE)</f>
        <v>1</v>
      </c>
      <c r="M2946" s="74">
        <v>52.48434411075036</v>
      </c>
      <c r="N2946" s="74">
        <f t="shared" si="1"/>
        <v>78.72651617</v>
      </c>
      <c r="O2946" s="74" t="b">
        <v>1</v>
      </c>
    </row>
    <row r="2947" hidden="1">
      <c r="A2947" s="82"/>
      <c r="B2947" s="65" t="s">
        <v>411</v>
      </c>
      <c r="C2947" s="65" t="s">
        <v>92</v>
      </c>
      <c r="D2947" s="65" t="str">
        <f>vlookup(C2947,'Classificação p pessoal'!F:G,2,false)</f>
        <v/>
      </c>
      <c r="E2947" s="65" t="s">
        <v>1974</v>
      </c>
      <c r="F2947" s="83">
        <v>0.5833333333333334</v>
      </c>
      <c r="G2947" s="83">
        <v>0.625</v>
      </c>
      <c r="H2947" s="83">
        <v>0.041666666666666664</v>
      </c>
      <c r="I2947" s="84">
        <v>44250.0</v>
      </c>
      <c r="J2947" s="65" t="b">
        <v>1</v>
      </c>
      <c r="K2947" s="65"/>
      <c r="L2947" s="85" t="b">
        <f>IF(VLOOKUP(C2947,Projetos!A:L,12,false)=TRUE,TRUE,FALSE)</f>
        <v>1</v>
      </c>
      <c r="M2947" s="74">
        <v>52.48434411075036</v>
      </c>
      <c r="N2947" s="74">
        <f t="shared" si="1"/>
        <v>52.48434411</v>
      </c>
      <c r="O2947" s="74" t="b">
        <v>1</v>
      </c>
    </row>
    <row r="2948" hidden="1">
      <c r="A2948" s="82"/>
      <c r="B2948" s="65" t="s">
        <v>177</v>
      </c>
      <c r="C2948" s="65" t="s">
        <v>92</v>
      </c>
      <c r="D2948" s="65" t="str">
        <f>vlookup(C2948,'Classificação p pessoal'!F:G,2,false)</f>
        <v/>
      </c>
      <c r="E2948" s="65" t="s">
        <v>1975</v>
      </c>
      <c r="F2948" s="83">
        <v>0.3958333333333333</v>
      </c>
      <c r="G2948" s="83">
        <v>0.4166666666666667</v>
      </c>
      <c r="H2948" s="83">
        <v>0.020833333333333332</v>
      </c>
      <c r="I2948" s="84">
        <v>44520.0</v>
      </c>
      <c r="J2948" s="65" t="b">
        <v>1</v>
      </c>
      <c r="K2948" s="65"/>
      <c r="L2948" s="85" t="b">
        <f>IF(VLOOKUP(C2948,Projetos!A:L,12,false)=TRUE,TRUE,FALSE)</f>
        <v>1</v>
      </c>
      <c r="M2948" s="74">
        <v>31.02923620430495</v>
      </c>
      <c r="N2948" s="74">
        <f t="shared" si="1"/>
        <v>15.5146181</v>
      </c>
      <c r="O2948" s="74" t="b">
        <v>1</v>
      </c>
    </row>
    <row r="2949" hidden="1">
      <c r="A2949" s="82"/>
      <c r="B2949" s="65" t="s">
        <v>411</v>
      </c>
      <c r="C2949" s="65" t="s">
        <v>119</v>
      </c>
      <c r="D2949" s="65" t="str">
        <f>vlookup(C2949,'Classificação p pessoal'!F:G,2,false)</f>
        <v>NP</v>
      </c>
      <c r="E2949" s="65" t="s">
        <v>1976</v>
      </c>
      <c r="F2949" s="83">
        <v>0.6458333333333334</v>
      </c>
      <c r="G2949" s="83">
        <v>0.6875</v>
      </c>
      <c r="H2949" s="83">
        <v>0.041666666666666664</v>
      </c>
      <c r="I2949" s="84">
        <v>44250.0</v>
      </c>
      <c r="J2949" s="65" t="b">
        <v>1</v>
      </c>
      <c r="K2949" s="65"/>
      <c r="L2949" s="85" t="b">
        <f>IF(VLOOKUP(C2949,Projetos!A:L,12,false)=TRUE,TRUE,FALSE)</f>
        <v>1</v>
      </c>
      <c r="M2949" s="74">
        <v>52.48434411075036</v>
      </c>
      <c r="N2949" s="74">
        <f t="shared" si="1"/>
        <v>52.48434411</v>
      </c>
      <c r="O2949" s="74" t="b">
        <v>1</v>
      </c>
    </row>
    <row r="2950" hidden="1">
      <c r="A2950" s="82"/>
      <c r="B2950" s="65" t="s">
        <v>411</v>
      </c>
      <c r="C2950" s="65" t="s">
        <v>117</v>
      </c>
      <c r="D2950" s="65" t="str">
        <f>vlookup(C2950,'Classificação p pessoal'!F:G,2,false)</f>
        <v>NP</v>
      </c>
      <c r="E2950" s="65" t="s">
        <v>1977</v>
      </c>
      <c r="F2950" s="83">
        <v>0.6875</v>
      </c>
      <c r="G2950" s="83">
        <v>0.7291666666666666</v>
      </c>
      <c r="H2950" s="83">
        <v>0.041666666666666664</v>
      </c>
      <c r="I2950" s="84">
        <v>44250.0</v>
      </c>
      <c r="J2950" s="65" t="b">
        <v>1</v>
      </c>
      <c r="K2950" s="65"/>
      <c r="L2950" s="85" t="b">
        <f>IF(VLOOKUP(C2950,Projetos!A:L,12,false)=TRUE,TRUE,FALSE)</f>
        <v>1</v>
      </c>
      <c r="M2950" s="74">
        <v>52.48434411075036</v>
      </c>
      <c r="N2950" s="74">
        <f t="shared" si="1"/>
        <v>52.48434411</v>
      </c>
      <c r="O2950" s="74" t="b">
        <v>1</v>
      </c>
    </row>
    <row r="2951" hidden="1">
      <c r="A2951" s="82"/>
      <c r="B2951" s="65" t="s">
        <v>411</v>
      </c>
      <c r="C2951" s="65" t="s">
        <v>117</v>
      </c>
      <c r="D2951" s="65" t="str">
        <f>vlookup(C2951,'Classificação p pessoal'!F:G,2,false)</f>
        <v>NP</v>
      </c>
      <c r="E2951" s="65" t="s">
        <v>1978</v>
      </c>
      <c r="F2951" s="83">
        <v>0.34375</v>
      </c>
      <c r="G2951" s="83">
        <v>0.4895833333333333</v>
      </c>
      <c r="H2951" s="83">
        <v>0.14583333333333334</v>
      </c>
      <c r="I2951" s="84">
        <v>44251.0</v>
      </c>
      <c r="J2951" s="65" t="b">
        <v>1</v>
      </c>
      <c r="K2951" s="65"/>
      <c r="L2951" s="85" t="b">
        <f>IF(VLOOKUP(C2951,Projetos!A:L,12,false)=TRUE,TRUE,FALSE)</f>
        <v>1</v>
      </c>
      <c r="M2951" s="74">
        <v>52.48434411075036</v>
      </c>
      <c r="N2951" s="74">
        <f t="shared" si="1"/>
        <v>183.6952044</v>
      </c>
      <c r="O2951" s="74" t="b">
        <v>1</v>
      </c>
    </row>
    <row r="2952" hidden="1">
      <c r="A2952" s="82"/>
      <c r="B2952" s="65" t="s">
        <v>411</v>
      </c>
      <c r="C2952" s="65" t="s">
        <v>117</v>
      </c>
      <c r="D2952" s="65" t="str">
        <f>vlookup(C2952,'Classificação p pessoal'!F:G,2,false)</f>
        <v>NP</v>
      </c>
      <c r="E2952" s="65" t="s">
        <v>1979</v>
      </c>
      <c r="F2952" s="83">
        <v>0.5625</v>
      </c>
      <c r="G2952" s="83">
        <v>0.625</v>
      </c>
      <c r="H2952" s="83">
        <v>0.0625</v>
      </c>
      <c r="I2952" s="84">
        <v>44251.0</v>
      </c>
      <c r="J2952" s="65" t="b">
        <v>1</v>
      </c>
      <c r="K2952" s="65"/>
      <c r="L2952" s="85" t="b">
        <f>IF(VLOOKUP(C2952,Projetos!A:L,12,false)=TRUE,TRUE,FALSE)</f>
        <v>1</v>
      </c>
      <c r="M2952" s="74">
        <v>52.48434411075036</v>
      </c>
      <c r="N2952" s="74">
        <f t="shared" si="1"/>
        <v>78.72651617</v>
      </c>
      <c r="O2952" s="74" t="b">
        <v>1</v>
      </c>
    </row>
    <row r="2953" hidden="1">
      <c r="A2953" s="82"/>
      <c r="B2953" s="65" t="s">
        <v>177</v>
      </c>
      <c r="C2953" s="65" t="s">
        <v>130</v>
      </c>
      <c r="D2953" s="65" t="str">
        <f>vlookup(C2953,'Classificação p pessoal'!F:G,2,false)</f>
        <v>NP</v>
      </c>
      <c r="E2953" s="65" t="s">
        <v>1980</v>
      </c>
      <c r="F2953" s="83">
        <v>0.375</v>
      </c>
      <c r="G2953" s="83">
        <v>0.5</v>
      </c>
      <c r="H2953" s="83">
        <v>0.125</v>
      </c>
      <c r="I2953" s="84">
        <v>44431.0</v>
      </c>
      <c r="J2953" s="65" t="b">
        <v>1</v>
      </c>
      <c r="K2953" s="65"/>
      <c r="L2953" s="85" t="b">
        <f>IF(VLOOKUP(C2953,Projetos!A:L,12,false)=TRUE,TRUE,FALSE)</f>
        <v>1</v>
      </c>
      <c r="M2953" s="74">
        <v>31.02923620430495</v>
      </c>
      <c r="N2953" s="74">
        <f t="shared" si="1"/>
        <v>93.08770861</v>
      </c>
      <c r="O2953" s="74" t="b">
        <v>1</v>
      </c>
    </row>
    <row r="2954" hidden="1">
      <c r="A2954" s="82"/>
      <c r="B2954" s="65" t="s">
        <v>411</v>
      </c>
      <c r="C2954" s="65" t="s">
        <v>92</v>
      </c>
      <c r="D2954" s="65" t="str">
        <f>vlookup(C2954,'Classificação p pessoal'!F:G,2,false)</f>
        <v/>
      </c>
      <c r="E2954" s="65" t="s">
        <v>1981</v>
      </c>
      <c r="F2954" s="83">
        <v>0.6666666666666666</v>
      </c>
      <c r="G2954" s="83">
        <v>0.6875</v>
      </c>
      <c r="H2954" s="83">
        <v>0.020833333333333332</v>
      </c>
      <c r="I2954" s="84">
        <v>44251.0</v>
      </c>
      <c r="J2954" s="65" t="b">
        <v>1</v>
      </c>
      <c r="K2954" s="65"/>
      <c r="L2954" s="85" t="b">
        <f>IF(VLOOKUP(C2954,Projetos!A:L,12,false)=TRUE,TRUE,FALSE)</f>
        <v>1</v>
      </c>
      <c r="M2954" s="74">
        <v>52.48434411075036</v>
      </c>
      <c r="N2954" s="74">
        <f t="shared" si="1"/>
        <v>26.24217206</v>
      </c>
      <c r="O2954" s="74" t="b">
        <v>1</v>
      </c>
    </row>
    <row r="2955" hidden="1">
      <c r="A2955" s="82"/>
      <c r="B2955" s="65" t="s">
        <v>411</v>
      </c>
      <c r="C2955" s="65" t="s">
        <v>118</v>
      </c>
      <c r="D2955" s="65" t="str">
        <f>vlookup(C2955,'Classificação p pessoal'!F:G,2,false)</f>
        <v>MProduto</v>
      </c>
      <c r="E2955" s="65" t="s">
        <v>1982</v>
      </c>
      <c r="F2955" s="83">
        <v>0.6875</v>
      </c>
      <c r="G2955" s="83">
        <v>0.7083333333333334</v>
      </c>
      <c r="H2955" s="83">
        <v>0.020833333333333332</v>
      </c>
      <c r="I2955" s="84">
        <v>44251.0</v>
      </c>
      <c r="J2955" s="65" t="b">
        <v>1</v>
      </c>
      <c r="K2955" s="65"/>
      <c r="L2955" s="85" t="b">
        <f>IF(VLOOKUP(C2955,Projetos!A:L,12,false)=TRUE,TRUE,FALSE)</f>
        <v>1</v>
      </c>
      <c r="M2955" s="74">
        <v>52.48434411075036</v>
      </c>
      <c r="N2955" s="74">
        <f t="shared" si="1"/>
        <v>26.24217206</v>
      </c>
      <c r="O2955" s="74" t="b">
        <v>1</v>
      </c>
    </row>
    <row r="2956" hidden="1">
      <c r="A2956" s="82"/>
      <c r="B2956" s="65" t="s">
        <v>411</v>
      </c>
      <c r="C2956" s="65" t="s">
        <v>122</v>
      </c>
      <c r="D2956" s="65" t="str">
        <f>vlookup(C2956,'Classificação p pessoal'!F:G,2,false)</f>
        <v>NP</v>
      </c>
      <c r="E2956" s="65" t="s">
        <v>1983</v>
      </c>
      <c r="F2956" s="83">
        <v>0.34375</v>
      </c>
      <c r="G2956" s="83">
        <v>0.4375</v>
      </c>
      <c r="H2956" s="83">
        <v>0.09375</v>
      </c>
      <c r="I2956" s="84">
        <v>44252.0</v>
      </c>
      <c r="J2956" s="65" t="b">
        <v>1</v>
      </c>
      <c r="K2956" s="65"/>
      <c r="L2956" s="85" t="b">
        <f>IF(VLOOKUP(C2956,Projetos!A:L,12,false)=TRUE,TRUE,FALSE)</f>
        <v>1</v>
      </c>
      <c r="M2956" s="74">
        <v>52.48434411075036</v>
      </c>
      <c r="N2956" s="74">
        <f t="shared" si="1"/>
        <v>118.0897742</v>
      </c>
      <c r="O2956" s="74" t="b">
        <v>1</v>
      </c>
    </row>
    <row r="2957" hidden="1">
      <c r="A2957" s="82"/>
      <c r="B2957" s="65" t="s">
        <v>411</v>
      </c>
      <c r="C2957" s="65" t="s">
        <v>92</v>
      </c>
      <c r="D2957" s="65" t="str">
        <f>vlookup(C2957,'Classificação p pessoal'!F:G,2,false)</f>
        <v/>
      </c>
      <c r="E2957" s="65" t="s">
        <v>1984</v>
      </c>
      <c r="F2957" s="83">
        <v>0.4375</v>
      </c>
      <c r="G2957" s="83">
        <v>0.4791666666666667</v>
      </c>
      <c r="H2957" s="83">
        <v>0.041666666666666664</v>
      </c>
      <c r="I2957" s="84">
        <v>44252.0</v>
      </c>
      <c r="J2957" s="65" t="b">
        <v>1</v>
      </c>
      <c r="K2957" s="65"/>
      <c r="L2957" s="85" t="b">
        <f>IF(VLOOKUP(C2957,Projetos!A:L,12,false)=TRUE,TRUE,FALSE)</f>
        <v>1</v>
      </c>
      <c r="M2957" s="74">
        <v>52.48434411075036</v>
      </c>
      <c r="N2957" s="74">
        <f t="shared" si="1"/>
        <v>52.48434411</v>
      </c>
      <c r="O2957" s="74" t="b">
        <v>1</v>
      </c>
    </row>
    <row r="2958" hidden="1">
      <c r="A2958" s="82"/>
      <c r="B2958" s="65" t="s">
        <v>411</v>
      </c>
      <c r="C2958" s="65" t="s">
        <v>92</v>
      </c>
      <c r="D2958" s="65"/>
      <c r="E2958" s="65" t="s">
        <v>1985</v>
      </c>
      <c r="F2958" s="83">
        <v>0.6666666666666666</v>
      </c>
      <c r="G2958" s="83">
        <v>0.7083333333333334</v>
      </c>
      <c r="H2958" s="83">
        <v>0.041666666666666664</v>
      </c>
      <c r="I2958" s="84">
        <v>44252.0</v>
      </c>
      <c r="J2958" s="65" t="b">
        <v>0</v>
      </c>
      <c r="K2958" s="65" t="s">
        <v>150</v>
      </c>
      <c r="L2958" s="85" t="b">
        <f>IF(VLOOKUP(C2958,Projetos!A:L,12,false)=TRUE,TRUE,FALSE)</f>
        <v>1</v>
      </c>
      <c r="M2958" s="74">
        <v>52.48434411075036</v>
      </c>
      <c r="N2958" s="74">
        <f t="shared" si="1"/>
        <v>0</v>
      </c>
      <c r="O2958" s="74" t="b">
        <v>1</v>
      </c>
    </row>
    <row r="2959" hidden="1">
      <c r="A2959" s="82"/>
      <c r="B2959" s="65" t="s">
        <v>411</v>
      </c>
      <c r="C2959" s="65" t="s">
        <v>117</v>
      </c>
      <c r="D2959" s="65" t="str">
        <f>vlookup(C2959,'Classificação p pessoal'!F:G,2,false)</f>
        <v>NP</v>
      </c>
      <c r="E2959" s="65" t="s">
        <v>1986</v>
      </c>
      <c r="F2959" s="83">
        <v>0.7083333333333334</v>
      </c>
      <c r="G2959" s="83">
        <v>0.75</v>
      </c>
      <c r="H2959" s="83">
        <v>0.041666666666666664</v>
      </c>
      <c r="I2959" s="84">
        <v>44252.0</v>
      </c>
      <c r="J2959" s="65" t="b">
        <v>1</v>
      </c>
      <c r="K2959" s="65"/>
      <c r="L2959" s="85" t="b">
        <f>IF(VLOOKUP(C2959,Projetos!A:L,12,false)=TRUE,TRUE,FALSE)</f>
        <v>1</v>
      </c>
      <c r="M2959" s="74">
        <v>52.48434411075036</v>
      </c>
      <c r="N2959" s="74">
        <f t="shared" si="1"/>
        <v>52.48434411</v>
      </c>
      <c r="O2959" s="74" t="b">
        <v>1</v>
      </c>
    </row>
    <row r="2960" hidden="1">
      <c r="A2960" s="82"/>
      <c r="B2960" s="65" t="s">
        <v>411</v>
      </c>
      <c r="C2960" s="65" t="s">
        <v>92</v>
      </c>
      <c r="D2960" s="65" t="str">
        <f>vlookup(C2960,'Classificação p pessoal'!F:G,2,false)</f>
        <v/>
      </c>
      <c r="E2960" s="65" t="s">
        <v>1987</v>
      </c>
      <c r="F2960" s="83">
        <v>0.34375</v>
      </c>
      <c r="G2960" s="83">
        <v>0.4895833333333333</v>
      </c>
      <c r="H2960" s="83">
        <v>0.14583333333333334</v>
      </c>
      <c r="I2960" s="84">
        <v>44253.0</v>
      </c>
      <c r="J2960" s="65" t="b">
        <v>1</v>
      </c>
      <c r="K2960" s="65"/>
      <c r="L2960" s="85" t="b">
        <f>IF(VLOOKUP(C2960,Projetos!A:L,12,false)=TRUE,TRUE,FALSE)</f>
        <v>1</v>
      </c>
      <c r="M2960" s="74">
        <v>52.48434411075036</v>
      </c>
      <c r="N2960" s="74">
        <f t="shared" si="1"/>
        <v>183.6952044</v>
      </c>
      <c r="O2960" s="74" t="b">
        <v>1</v>
      </c>
    </row>
    <row r="2961" hidden="1">
      <c r="A2961" s="82"/>
      <c r="B2961" s="65" t="s">
        <v>411</v>
      </c>
      <c r="C2961" s="65" t="s">
        <v>132</v>
      </c>
      <c r="D2961" s="65"/>
      <c r="E2961" s="65" t="s">
        <v>1920</v>
      </c>
      <c r="F2961" s="83">
        <v>0.4895833333333333</v>
      </c>
      <c r="G2961" s="83">
        <v>0.5208333333333334</v>
      </c>
      <c r="H2961" s="83">
        <v>0.03125</v>
      </c>
      <c r="I2961" s="84">
        <v>44253.0</v>
      </c>
      <c r="J2961" s="65" t="b">
        <v>1</v>
      </c>
      <c r="K2961" s="65"/>
      <c r="L2961" s="85" t="b">
        <f>IF(VLOOKUP(C2961,Projetos!A:L,12,false)=TRUE,TRUE,FALSE)</f>
        <v>0</v>
      </c>
      <c r="M2961" s="74">
        <v>52.48434411075036</v>
      </c>
      <c r="N2961" s="74">
        <f t="shared" si="1"/>
        <v>0</v>
      </c>
      <c r="O2961" s="74" t="b">
        <v>0</v>
      </c>
    </row>
    <row r="2962" hidden="1">
      <c r="A2962" s="82"/>
      <c r="B2962" s="65" t="s">
        <v>411</v>
      </c>
      <c r="C2962" s="65" t="s">
        <v>122</v>
      </c>
      <c r="D2962" s="65" t="str">
        <f>vlookup(C2962,'Classificação p pessoal'!F:G,2,false)</f>
        <v>NP</v>
      </c>
      <c r="E2962" s="65" t="s">
        <v>1988</v>
      </c>
      <c r="F2962" s="83">
        <v>0.5625</v>
      </c>
      <c r="G2962" s="83">
        <v>0.6458333333333334</v>
      </c>
      <c r="H2962" s="83">
        <v>0.08333333333333333</v>
      </c>
      <c r="I2962" s="84">
        <v>44253.0</v>
      </c>
      <c r="J2962" s="65" t="b">
        <v>1</v>
      </c>
      <c r="K2962" s="65"/>
      <c r="L2962" s="85" t="b">
        <f>IF(VLOOKUP(C2962,Projetos!A:L,12,false)=TRUE,TRUE,FALSE)</f>
        <v>1</v>
      </c>
      <c r="M2962" s="74">
        <v>52.48434411075036</v>
      </c>
      <c r="N2962" s="74">
        <f t="shared" si="1"/>
        <v>104.9686882</v>
      </c>
      <c r="O2962" s="74" t="b">
        <v>1</v>
      </c>
    </row>
    <row r="2963" hidden="1">
      <c r="A2963" s="82"/>
      <c r="B2963" s="65" t="s">
        <v>411</v>
      </c>
      <c r="C2963" s="65" t="s">
        <v>92</v>
      </c>
      <c r="D2963" s="65" t="str">
        <f>vlookup(C2963,'Classificação p pessoal'!F:G,2,false)</f>
        <v/>
      </c>
      <c r="E2963" s="65" t="s">
        <v>1989</v>
      </c>
      <c r="F2963" s="83">
        <v>0.6458333333333334</v>
      </c>
      <c r="G2963" s="83">
        <v>0.6875</v>
      </c>
      <c r="H2963" s="83">
        <v>0.041666666666666664</v>
      </c>
      <c r="I2963" s="84">
        <v>44253.0</v>
      </c>
      <c r="J2963" s="65" t="b">
        <v>1</v>
      </c>
      <c r="K2963" s="65"/>
      <c r="L2963" s="85" t="b">
        <f>IF(VLOOKUP(C2963,Projetos!A:L,12,false)=TRUE,TRUE,FALSE)</f>
        <v>1</v>
      </c>
      <c r="M2963" s="74">
        <v>52.48434411075036</v>
      </c>
      <c r="N2963" s="74">
        <f t="shared" si="1"/>
        <v>52.48434411</v>
      </c>
      <c r="O2963" s="74" t="b">
        <v>1</v>
      </c>
    </row>
    <row r="2964" hidden="1">
      <c r="A2964" s="82"/>
      <c r="B2964" s="65" t="s">
        <v>411</v>
      </c>
      <c r="C2964" s="65" t="s">
        <v>117</v>
      </c>
      <c r="D2964" s="65" t="str">
        <f>vlookup(C2964,'Classificação p pessoal'!F:G,2,false)</f>
        <v>NP</v>
      </c>
      <c r="E2964" s="65" t="s">
        <v>1990</v>
      </c>
      <c r="F2964" s="83">
        <v>0.6875</v>
      </c>
      <c r="G2964" s="83">
        <v>0.7083333333333334</v>
      </c>
      <c r="H2964" s="83">
        <v>0.020833333333333332</v>
      </c>
      <c r="I2964" s="84">
        <v>44253.0</v>
      </c>
      <c r="J2964" s="65" t="b">
        <v>1</v>
      </c>
      <c r="K2964" s="65"/>
      <c r="L2964" s="85" t="b">
        <f>IF(VLOOKUP(C2964,Projetos!A:L,12,false)=TRUE,TRUE,FALSE)</f>
        <v>1</v>
      </c>
      <c r="M2964" s="74">
        <v>52.48434411075036</v>
      </c>
      <c r="N2964" s="74">
        <f t="shared" si="1"/>
        <v>26.24217206</v>
      </c>
      <c r="O2964" s="74" t="b">
        <v>1</v>
      </c>
    </row>
    <row r="2965" hidden="1">
      <c r="A2965" s="82"/>
      <c r="B2965" s="65" t="s">
        <v>411</v>
      </c>
      <c r="C2965" s="65" t="s">
        <v>92</v>
      </c>
      <c r="D2965" s="65" t="str">
        <f>vlookup(C2965,'Classificação p pessoal'!F:G,2,false)</f>
        <v/>
      </c>
      <c r="E2965" s="65" t="s">
        <v>1951</v>
      </c>
      <c r="F2965" s="83">
        <v>0.7083333333333334</v>
      </c>
      <c r="G2965" s="83">
        <v>0.75</v>
      </c>
      <c r="H2965" s="83">
        <v>0.041666666666666664</v>
      </c>
      <c r="I2965" s="84">
        <v>44253.0</v>
      </c>
      <c r="J2965" s="65" t="b">
        <v>1</v>
      </c>
      <c r="K2965" s="65"/>
      <c r="L2965" s="85" t="b">
        <f>IF(VLOOKUP(C2965,Projetos!A:L,12,false)=TRUE,TRUE,FALSE)</f>
        <v>1</v>
      </c>
      <c r="M2965" s="74">
        <v>52.48434411075036</v>
      </c>
      <c r="N2965" s="74">
        <f t="shared" si="1"/>
        <v>52.48434411</v>
      </c>
      <c r="O2965" s="74" t="b">
        <v>1</v>
      </c>
    </row>
    <row r="2966" hidden="1">
      <c r="A2966" s="82"/>
      <c r="B2966" s="65" t="s">
        <v>411</v>
      </c>
      <c r="C2966" s="65" t="s">
        <v>117</v>
      </c>
      <c r="D2966" s="65" t="str">
        <f>vlookup(C2966,'Classificação p pessoal'!F:G,2,false)</f>
        <v>NP</v>
      </c>
      <c r="E2966" s="65" t="s">
        <v>1951</v>
      </c>
      <c r="F2966" s="83">
        <v>0.34375</v>
      </c>
      <c r="G2966" s="83">
        <v>0.375</v>
      </c>
      <c r="H2966" s="83">
        <v>0.03125</v>
      </c>
      <c r="I2966" s="84">
        <v>44256.0</v>
      </c>
      <c r="J2966" s="65" t="b">
        <v>1</v>
      </c>
      <c r="K2966" s="65"/>
      <c r="L2966" s="85" t="b">
        <f>IF(VLOOKUP(C2966,Projetos!A:L,12,false)=TRUE,TRUE,FALSE)</f>
        <v>1</v>
      </c>
      <c r="M2966" s="74">
        <v>52.48434411075036</v>
      </c>
      <c r="N2966" s="74">
        <f t="shared" si="1"/>
        <v>39.36325808</v>
      </c>
      <c r="O2966" s="74" t="b">
        <v>1</v>
      </c>
    </row>
    <row r="2967" hidden="1">
      <c r="A2967" s="82"/>
      <c r="B2967" s="65" t="s">
        <v>467</v>
      </c>
      <c r="C2967" s="65" t="s">
        <v>92</v>
      </c>
      <c r="D2967" s="65" t="str">
        <f>vlookup(C2967,'Classificação p pessoal'!F:G,2,false)</f>
        <v/>
      </c>
      <c r="E2967" s="65" t="s">
        <v>1991</v>
      </c>
      <c r="F2967" s="83">
        <v>0.6666666666666666</v>
      </c>
      <c r="G2967" s="83">
        <v>0.75</v>
      </c>
      <c r="H2967" s="83">
        <v>0.08333333333333333</v>
      </c>
      <c r="I2967" s="84">
        <v>44230.0</v>
      </c>
      <c r="J2967" s="65" t="b">
        <v>1</v>
      </c>
      <c r="K2967" s="65"/>
      <c r="L2967" s="85" t="b">
        <f>IF(VLOOKUP(C2967,Projetos!A:L,12,false)=TRUE,TRUE,FALSE)</f>
        <v>1</v>
      </c>
      <c r="M2967" s="74">
        <v>52.1518759018759</v>
      </c>
      <c r="N2967" s="74">
        <f t="shared" si="1"/>
        <v>104.3037518</v>
      </c>
      <c r="O2967" s="74" t="b">
        <v>1</v>
      </c>
    </row>
    <row r="2968" hidden="1">
      <c r="A2968" s="82"/>
      <c r="B2968" s="65" t="s">
        <v>411</v>
      </c>
      <c r="C2968" s="65" t="s">
        <v>91</v>
      </c>
      <c r="D2968" s="65" t="str">
        <f>vlookup(C2968,'Classificação p pessoal'!F:G,2,false)</f>
        <v>NP</v>
      </c>
      <c r="E2968" s="65" t="s">
        <v>1992</v>
      </c>
      <c r="F2968" s="83">
        <v>0.4166666666666667</v>
      </c>
      <c r="G2968" s="83">
        <v>0.4375</v>
      </c>
      <c r="H2968" s="83">
        <v>0.020833333333333332</v>
      </c>
      <c r="I2968" s="84">
        <v>44256.0</v>
      </c>
      <c r="J2968" s="65" t="b">
        <v>1</v>
      </c>
      <c r="K2968" s="65"/>
      <c r="L2968" s="85" t="b">
        <f>IF(VLOOKUP(C2968,Projetos!A:L,12,false)=TRUE,TRUE,FALSE)</f>
        <v>1</v>
      </c>
      <c r="M2968" s="74">
        <v>52.48434411075036</v>
      </c>
      <c r="N2968" s="74">
        <f t="shared" si="1"/>
        <v>26.24217206</v>
      </c>
      <c r="O2968" s="74" t="b">
        <v>1</v>
      </c>
    </row>
    <row r="2969" hidden="1">
      <c r="A2969" s="82"/>
      <c r="B2969" s="65" t="s">
        <v>177</v>
      </c>
      <c r="C2969" s="65" t="s">
        <v>92</v>
      </c>
      <c r="D2969" s="65" t="str">
        <f>vlookup(C2969,'Classificação p pessoal'!F:G,2,false)</f>
        <v/>
      </c>
      <c r="E2969" s="65" t="s">
        <v>1993</v>
      </c>
      <c r="F2969" s="83">
        <v>0.4166666666666667</v>
      </c>
      <c r="G2969" s="83">
        <v>0.4583333333333333</v>
      </c>
      <c r="H2969" s="83">
        <v>0.041666666666666664</v>
      </c>
      <c r="I2969" s="84">
        <v>44418.0</v>
      </c>
      <c r="J2969" s="65" t="b">
        <v>1</v>
      </c>
      <c r="K2969" s="65"/>
      <c r="L2969" s="85" t="b">
        <f>IF(VLOOKUP(C2969,Projetos!A:L,12,false)=TRUE,TRUE,FALSE)</f>
        <v>1</v>
      </c>
      <c r="M2969" s="74">
        <v>31.02923620430495</v>
      </c>
      <c r="N2969" s="74">
        <f t="shared" si="1"/>
        <v>31.0292362</v>
      </c>
      <c r="O2969" s="74" t="b">
        <v>1</v>
      </c>
    </row>
    <row r="2970" hidden="1">
      <c r="A2970" s="82"/>
      <c r="B2970" s="65" t="s">
        <v>411</v>
      </c>
      <c r="C2970" s="65" t="s">
        <v>117</v>
      </c>
      <c r="D2970" s="65" t="str">
        <f>vlookup(C2970,'Classificação p pessoal'!F:G,2,false)</f>
        <v>NP</v>
      </c>
      <c r="E2970" s="65" t="s">
        <v>1994</v>
      </c>
      <c r="F2970" s="83">
        <v>0.4791666666666667</v>
      </c>
      <c r="G2970" s="83">
        <v>0.5208333333333334</v>
      </c>
      <c r="H2970" s="83">
        <v>0.041666666666666664</v>
      </c>
      <c r="I2970" s="84">
        <v>44256.0</v>
      </c>
      <c r="J2970" s="65" t="b">
        <v>1</v>
      </c>
      <c r="K2970" s="65"/>
      <c r="L2970" s="85" t="b">
        <f>IF(VLOOKUP(C2970,Projetos!A:L,12,false)=TRUE,TRUE,FALSE)</f>
        <v>1</v>
      </c>
      <c r="M2970" s="74">
        <v>52.48434411075036</v>
      </c>
      <c r="N2970" s="74">
        <f t="shared" si="1"/>
        <v>52.48434411</v>
      </c>
      <c r="O2970" s="74" t="b">
        <v>1</v>
      </c>
    </row>
    <row r="2971" hidden="1">
      <c r="A2971" s="82"/>
      <c r="B2971" s="65" t="s">
        <v>411</v>
      </c>
      <c r="C2971" s="65" t="s">
        <v>132</v>
      </c>
      <c r="D2971" s="65"/>
      <c r="E2971" s="65" t="s">
        <v>1995</v>
      </c>
      <c r="F2971" s="83">
        <v>0.5208333333333334</v>
      </c>
      <c r="G2971" s="83">
        <v>0.5416666666666666</v>
      </c>
      <c r="H2971" s="83">
        <v>0.020833333333333332</v>
      </c>
      <c r="I2971" s="84">
        <v>44256.0</v>
      </c>
      <c r="J2971" s="65" t="b">
        <v>1</v>
      </c>
      <c r="K2971" s="65"/>
      <c r="L2971" s="85" t="b">
        <f>IF(VLOOKUP(C2971,Projetos!A:L,12,false)=TRUE,TRUE,FALSE)</f>
        <v>0</v>
      </c>
      <c r="M2971" s="74">
        <v>52.48434411075036</v>
      </c>
      <c r="N2971" s="74">
        <f t="shared" si="1"/>
        <v>0</v>
      </c>
      <c r="O2971" s="74" t="b">
        <v>0</v>
      </c>
    </row>
    <row r="2972" hidden="1">
      <c r="A2972" s="82"/>
      <c r="B2972" s="65" t="s">
        <v>411</v>
      </c>
      <c r="C2972" s="65" t="s">
        <v>92</v>
      </c>
      <c r="D2972" s="65" t="str">
        <f>vlookup(C2972,'Classificação p pessoal'!F:G,2,false)</f>
        <v/>
      </c>
      <c r="E2972" s="65" t="s">
        <v>1996</v>
      </c>
      <c r="F2972" s="83">
        <v>0.5</v>
      </c>
      <c r="G2972" s="83">
        <v>0.5416666666666666</v>
      </c>
      <c r="H2972" s="83">
        <v>0.041666666666666664</v>
      </c>
      <c r="I2972" s="84">
        <v>44407.0</v>
      </c>
      <c r="J2972" s="65" t="b">
        <v>1</v>
      </c>
      <c r="K2972" s="65"/>
      <c r="L2972" s="85" t="b">
        <f>IF(VLOOKUP(C2972,Projetos!A:L,12,false)=TRUE,TRUE,FALSE)</f>
        <v>1</v>
      </c>
      <c r="M2972" s="74">
        <v>52.48434411075036</v>
      </c>
      <c r="N2972" s="74">
        <f t="shared" si="1"/>
        <v>52.48434411</v>
      </c>
      <c r="O2972" s="74" t="b">
        <v>1</v>
      </c>
    </row>
    <row r="2973" hidden="1">
      <c r="A2973" s="82"/>
      <c r="B2973" s="65" t="s">
        <v>411</v>
      </c>
      <c r="C2973" s="65" t="s">
        <v>132</v>
      </c>
      <c r="D2973" s="65"/>
      <c r="E2973" s="65" t="s">
        <v>1997</v>
      </c>
      <c r="F2973" s="83">
        <v>0.625</v>
      </c>
      <c r="G2973" s="83">
        <v>0.6875</v>
      </c>
      <c r="H2973" s="83">
        <v>0.0625</v>
      </c>
      <c r="I2973" s="84">
        <v>44256.0</v>
      </c>
      <c r="J2973" s="65" t="b">
        <v>1</v>
      </c>
      <c r="K2973" s="65"/>
      <c r="L2973" s="85" t="b">
        <f>IF(VLOOKUP(C2973,Projetos!A:L,12,false)=TRUE,TRUE,FALSE)</f>
        <v>0</v>
      </c>
      <c r="M2973" s="74">
        <v>52.48434411075036</v>
      </c>
      <c r="N2973" s="74">
        <f t="shared" si="1"/>
        <v>0</v>
      </c>
      <c r="O2973" s="74" t="b">
        <v>0</v>
      </c>
    </row>
    <row r="2974" hidden="1">
      <c r="A2974" s="82"/>
      <c r="B2974" s="65" t="s">
        <v>411</v>
      </c>
      <c r="C2974" s="65" t="s">
        <v>92</v>
      </c>
      <c r="D2974" s="65" t="str">
        <f>vlookup(C2974,'Classificação p pessoal'!F:G,2,false)</f>
        <v/>
      </c>
      <c r="E2974" s="65" t="s">
        <v>1998</v>
      </c>
      <c r="F2974" s="83">
        <v>0.6875</v>
      </c>
      <c r="G2974" s="83">
        <v>0.7083333333333334</v>
      </c>
      <c r="H2974" s="83">
        <v>0.020833333333333332</v>
      </c>
      <c r="I2974" s="84">
        <v>44256.0</v>
      </c>
      <c r="J2974" s="65" t="b">
        <v>1</v>
      </c>
      <c r="K2974" s="65"/>
      <c r="L2974" s="85" t="b">
        <f>IF(VLOOKUP(C2974,Projetos!A:L,12,false)=TRUE,TRUE,FALSE)</f>
        <v>1</v>
      </c>
      <c r="M2974" s="74">
        <v>52.48434411075036</v>
      </c>
      <c r="N2974" s="74">
        <f t="shared" si="1"/>
        <v>26.24217206</v>
      </c>
      <c r="O2974" s="74" t="b">
        <v>1</v>
      </c>
    </row>
    <row r="2975" hidden="1">
      <c r="A2975" s="82"/>
      <c r="B2975" s="65" t="s">
        <v>411</v>
      </c>
      <c r="C2975" s="65" t="s">
        <v>122</v>
      </c>
      <c r="D2975" s="65" t="str">
        <f>vlookup(C2975,'Classificação p pessoal'!F:G,2,false)</f>
        <v>NP</v>
      </c>
      <c r="E2975" s="65" t="s">
        <v>1999</v>
      </c>
      <c r="F2975" s="83">
        <v>0.7083333333333334</v>
      </c>
      <c r="G2975" s="83">
        <v>0.7291666666666666</v>
      </c>
      <c r="H2975" s="83">
        <v>0.020833333333333332</v>
      </c>
      <c r="I2975" s="84">
        <v>44256.0</v>
      </c>
      <c r="J2975" s="65" t="b">
        <v>1</v>
      </c>
      <c r="K2975" s="65"/>
      <c r="L2975" s="85" t="b">
        <f>IF(VLOOKUP(C2975,Projetos!A:L,12,false)=TRUE,TRUE,FALSE)</f>
        <v>1</v>
      </c>
      <c r="M2975" s="74">
        <v>52.48434411075036</v>
      </c>
      <c r="N2975" s="74">
        <f t="shared" si="1"/>
        <v>26.24217206</v>
      </c>
      <c r="O2975" s="74" t="b">
        <v>1</v>
      </c>
    </row>
    <row r="2976" hidden="1">
      <c r="A2976" s="82"/>
      <c r="B2976" s="65" t="s">
        <v>411</v>
      </c>
      <c r="C2976" s="65" t="s">
        <v>119</v>
      </c>
      <c r="D2976" s="65"/>
      <c r="E2976" s="65" t="s">
        <v>2000</v>
      </c>
      <c r="F2976" s="83">
        <v>0.7291666666666666</v>
      </c>
      <c r="G2976" s="83">
        <v>0.75</v>
      </c>
      <c r="H2976" s="83">
        <v>0.020833333333333332</v>
      </c>
      <c r="I2976" s="84">
        <v>44256.0</v>
      </c>
      <c r="J2976" s="65" t="b">
        <v>0</v>
      </c>
      <c r="K2976" s="65" t="s">
        <v>150</v>
      </c>
      <c r="L2976" s="85" t="b">
        <f>IF(VLOOKUP(C2976,Projetos!A:L,12,false)=TRUE,TRUE,FALSE)</f>
        <v>1</v>
      </c>
      <c r="M2976" s="74">
        <v>52.48434411075036</v>
      </c>
      <c r="N2976" s="74">
        <f t="shared" si="1"/>
        <v>0</v>
      </c>
      <c r="O2976" s="74" t="b">
        <v>1</v>
      </c>
    </row>
    <row r="2977" hidden="1">
      <c r="A2977" s="82"/>
      <c r="B2977" s="65" t="s">
        <v>411</v>
      </c>
      <c r="C2977" s="65" t="s">
        <v>119</v>
      </c>
      <c r="D2977" s="65"/>
      <c r="E2977" s="65" t="s">
        <v>2001</v>
      </c>
      <c r="F2977" s="83">
        <v>0.3541666666666667</v>
      </c>
      <c r="G2977" s="83">
        <v>0.375</v>
      </c>
      <c r="H2977" s="83">
        <v>0.020833333333333332</v>
      </c>
      <c r="I2977" s="84">
        <v>44257.0</v>
      </c>
      <c r="J2977" s="65" t="b">
        <v>0</v>
      </c>
      <c r="K2977" s="65" t="s">
        <v>150</v>
      </c>
      <c r="L2977" s="85" t="b">
        <f>IF(VLOOKUP(C2977,Projetos!A:L,12,false)=TRUE,TRUE,FALSE)</f>
        <v>1</v>
      </c>
      <c r="M2977" s="74">
        <v>52.48434411075036</v>
      </c>
      <c r="N2977" s="74">
        <f t="shared" si="1"/>
        <v>0</v>
      </c>
      <c r="O2977" s="74" t="b">
        <v>1</v>
      </c>
    </row>
    <row r="2978" hidden="1">
      <c r="A2978" s="82"/>
      <c r="B2978" s="65" t="s">
        <v>411</v>
      </c>
      <c r="C2978" s="65" t="s">
        <v>127</v>
      </c>
      <c r="D2978" s="65" t="str">
        <f>vlookup(C2978,'Classificação p pessoal'!F:G,2,false)</f>
        <v>NP</v>
      </c>
      <c r="E2978" s="65" t="s">
        <v>2002</v>
      </c>
      <c r="F2978" s="83">
        <v>0.375</v>
      </c>
      <c r="G2978" s="83">
        <v>0.3958333333333333</v>
      </c>
      <c r="H2978" s="83">
        <v>0.020833333333333332</v>
      </c>
      <c r="I2978" s="84">
        <v>44257.0</v>
      </c>
      <c r="J2978" s="65" t="b">
        <v>1</v>
      </c>
      <c r="K2978" s="65"/>
      <c r="L2978" s="85" t="b">
        <f>IF(VLOOKUP(C2978,Projetos!A:L,12,false)=TRUE,TRUE,FALSE)</f>
        <v>1</v>
      </c>
      <c r="M2978" s="74">
        <v>52.48434411075036</v>
      </c>
      <c r="N2978" s="74">
        <f t="shared" si="1"/>
        <v>26.24217206</v>
      </c>
      <c r="O2978" s="74" t="b">
        <v>1</v>
      </c>
    </row>
    <row r="2979" hidden="1">
      <c r="A2979" s="82"/>
      <c r="B2979" s="65" t="s">
        <v>411</v>
      </c>
      <c r="C2979" s="65" t="s">
        <v>117</v>
      </c>
      <c r="D2979" s="65"/>
      <c r="E2979" s="65" t="s">
        <v>2003</v>
      </c>
      <c r="F2979" s="83">
        <v>0.34375</v>
      </c>
      <c r="G2979" s="83">
        <v>0.4791666666666667</v>
      </c>
      <c r="H2979" s="83">
        <v>0.13541666666666666</v>
      </c>
      <c r="I2979" s="84">
        <v>44469.0</v>
      </c>
      <c r="J2979" s="65" t="b">
        <v>0</v>
      </c>
      <c r="K2979" s="65" t="s">
        <v>150</v>
      </c>
      <c r="L2979" s="85" t="b">
        <f>IF(VLOOKUP(C2979,Projetos!A:L,12,false)=TRUE,TRUE,FALSE)</f>
        <v>1</v>
      </c>
      <c r="M2979" s="74">
        <v>52.48434411075036</v>
      </c>
      <c r="N2979" s="74">
        <f t="shared" si="1"/>
        <v>0</v>
      </c>
      <c r="O2979" s="74" t="b">
        <v>1</v>
      </c>
    </row>
    <row r="2980" hidden="1">
      <c r="A2980" s="82"/>
      <c r="B2980" s="65" t="s">
        <v>411</v>
      </c>
      <c r="C2980" s="65" t="s">
        <v>117</v>
      </c>
      <c r="D2980" s="65" t="str">
        <f>vlookup(C2980,'Classificação p pessoal'!F:G,2,false)</f>
        <v>NP</v>
      </c>
      <c r="E2980" s="65" t="s">
        <v>1986</v>
      </c>
      <c r="F2980" s="83">
        <v>0.6041666666666666</v>
      </c>
      <c r="G2980" s="83">
        <v>0.625</v>
      </c>
      <c r="H2980" s="83">
        <v>0.020833333333333332</v>
      </c>
      <c r="I2980" s="84">
        <v>44257.0</v>
      </c>
      <c r="J2980" s="65" t="b">
        <v>1</v>
      </c>
      <c r="K2980" s="65"/>
      <c r="L2980" s="85" t="b">
        <f>IF(VLOOKUP(C2980,Projetos!A:L,12,false)=TRUE,TRUE,FALSE)</f>
        <v>1</v>
      </c>
      <c r="M2980" s="74">
        <v>52.48434411075036</v>
      </c>
      <c r="N2980" s="74">
        <f t="shared" si="1"/>
        <v>26.24217206</v>
      </c>
      <c r="O2980" s="74" t="b">
        <v>1</v>
      </c>
    </row>
    <row r="2981" hidden="1">
      <c r="A2981" s="82"/>
      <c r="B2981" s="65" t="s">
        <v>411</v>
      </c>
      <c r="C2981" s="65" t="s">
        <v>92</v>
      </c>
      <c r="D2981" s="65" t="str">
        <f>vlookup(C2981,'Classificação p pessoal'!F:G,2,false)</f>
        <v/>
      </c>
      <c r="E2981" s="65" t="s">
        <v>2004</v>
      </c>
      <c r="F2981" s="83">
        <v>0.625</v>
      </c>
      <c r="G2981" s="83">
        <v>0.6666666666666666</v>
      </c>
      <c r="H2981" s="83">
        <v>0.041666666666666664</v>
      </c>
      <c r="I2981" s="84">
        <v>44257.0</v>
      </c>
      <c r="J2981" s="65" t="b">
        <v>1</v>
      </c>
      <c r="K2981" s="65"/>
      <c r="L2981" s="85" t="b">
        <f>IF(VLOOKUP(C2981,Projetos!A:L,12,false)=TRUE,TRUE,FALSE)</f>
        <v>1</v>
      </c>
      <c r="M2981" s="74">
        <v>52.48434411075036</v>
      </c>
      <c r="N2981" s="74">
        <f t="shared" si="1"/>
        <v>52.48434411</v>
      </c>
      <c r="O2981" s="74" t="b">
        <v>1</v>
      </c>
    </row>
    <row r="2982" hidden="1">
      <c r="A2982" s="82"/>
      <c r="B2982" s="65" t="s">
        <v>411</v>
      </c>
      <c r="C2982" s="65" t="s">
        <v>88</v>
      </c>
      <c r="D2982" s="65" t="str">
        <f>vlookup(C2982,'Classificação p pessoal'!F:G,2,false)</f>
        <v>MProduto</v>
      </c>
      <c r="E2982" s="65" t="s">
        <v>2005</v>
      </c>
      <c r="F2982" s="83">
        <v>0.6666666666666666</v>
      </c>
      <c r="G2982" s="83">
        <v>0.7083333333333334</v>
      </c>
      <c r="H2982" s="83">
        <v>0.041666666666666664</v>
      </c>
      <c r="I2982" s="84">
        <v>44257.0</v>
      </c>
      <c r="J2982" s="65" t="b">
        <v>1</v>
      </c>
      <c r="K2982" s="65"/>
      <c r="L2982" s="85" t="b">
        <f>IF(VLOOKUP(C2982,Projetos!A:L,12,false)=TRUE,TRUE,FALSE)</f>
        <v>1</v>
      </c>
      <c r="M2982" s="74">
        <v>52.48434411075036</v>
      </c>
      <c r="N2982" s="74">
        <f t="shared" si="1"/>
        <v>52.48434411</v>
      </c>
      <c r="O2982" s="74" t="b">
        <v>1</v>
      </c>
    </row>
    <row r="2983" hidden="1">
      <c r="A2983" s="82"/>
      <c r="B2983" s="65" t="s">
        <v>411</v>
      </c>
      <c r="C2983" s="65" t="s">
        <v>125</v>
      </c>
      <c r="D2983" s="65" t="str">
        <f>vlookup(C2983,'Classificação p pessoal'!F:G,2,false)</f>
        <v>MProduto</v>
      </c>
      <c r="E2983" s="65" t="s">
        <v>2006</v>
      </c>
      <c r="F2983" s="83">
        <v>0.34375</v>
      </c>
      <c r="G2983" s="83">
        <v>0.375</v>
      </c>
      <c r="H2983" s="83">
        <v>0.03125</v>
      </c>
      <c r="I2983" s="84">
        <v>44258.0</v>
      </c>
      <c r="J2983" s="65" t="b">
        <v>1</v>
      </c>
      <c r="K2983" s="65"/>
      <c r="L2983" s="85" t="b">
        <f>IF(VLOOKUP(C2983,Projetos!A:L,12,false)=TRUE,TRUE,FALSE)</f>
        <v>1</v>
      </c>
      <c r="M2983" s="74">
        <v>52.48434411075036</v>
      </c>
      <c r="N2983" s="74">
        <f t="shared" si="1"/>
        <v>39.36325808</v>
      </c>
      <c r="O2983" s="74" t="b">
        <v>1</v>
      </c>
    </row>
    <row r="2984" hidden="1">
      <c r="A2984" s="82"/>
      <c r="B2984" s="65" t="s">
        <v>411</v>
      </c>
      <c r="C2984" s="65" t="s">
        <v>106</v>
      </c>
      <c r="D2984" s="65" t="str">
        <f>vlookup(C2984,'Classificação p pessoal'!F:G,2,false)</f>
        <v>MProcesso</v>
      </c>
      <c r="E2984" s="65" t="s">
        <v>2007</v>
      </c>
      <c r="F2984" s="83">
        <v>0.375</v>
      </c>
      <c r="G2984" s="83">
        <v>0.4375</v>
      </c>
      <c r="H2984" s="83">
        <v>0.0625</v>
      </c>
      <c r="I2984" s="84">
        <v>44258.0</v>
      </c>
      <c r="J2984" s="65" t="b">
        <v>1</v>
      </c>
      <c r="K2984" s="65"/>
      <c r="L2984" s="85" t="b">
        <f>IF(VLOOKUP(C2984,Projetos!A:L,12,false)=TRUE,TRUE,FALSE)</f>
        <v>1</v>
      </c>
      <c r="M2984" s="74">
        <v>52.48434411075036</v>
      </c>
      <c r="N2984" s="74">
        <f t="shared" si="1"/>
        <v>78.72651617</v>
      </c>
      <c r="O2984" s="74" t="b">
        <v>1</v>
      </c>
    </row>
    <row r="2985" hidden="1">
      <c r="A2985" s="82"/>
      <c r="B2985" s="65" t="s">
        <v>467</v>
      </c>
      <c r="C2985" s="65" t="s">
        <v>113</v>
      </c>
      <c r="D2985" s="65"/>
      <c r="E2985" s="65" t="s">
        <v>2008</v>
      </c>
      <c r="F2985" s="83">
        <v>0.4583333333333333</v>
      </c>
      <c r="G2985" s="83">
        <v>0.5208333333333334</v>
      </c>
      <c r="H2985" s="83">
        <v>0.0625</v>
      </c>
      <c r="I2985" s="84">
        <v>44398.0</v>
      </c>
      <c r="J2985" s="65" t="b">
        <v>0</v>
      </c>
      <c r="K2985" s="65" t="s">
        <v>150</v>
      </c>
      <c r="L2985" s="85" t="b">
        <f>IF(VLOOKUP(C2985,Projetos!A:L,12,false)=TRUE,TRUE,FALSE)</f>
        <v>1</v>
      </c>
      <c r="M2985" s="74">
        <v>52.1518759018759</v>
      </c>
      <c r="N2985" s="74">
        <f t="shared" si="1"/>
        <v>0</v>
      </c>
      <c r="O2985" s="74" t="b">
        <v>1</v>
      </c>
    </row>
    <row r="2986" hidden="1">
      <c r="A2986" s="82"/>
      <c r="B2986" s="65" t="s">
        <v>411</v>
      </c>
      <c r="C2986" s="65" t="s">
        <v>92</v>
      </c>
      <c r="D2986" s="65" t="str">
        <f>vlookup(C2986,'Classificação p pessoal'!F:G,2,false)</f>
        <v/>
      </c>
      <c r="E2986" s="65" t="s">
        <v>2009</v>
      </c>
      <c r="F2986" s="83">
        <v>0.625</v>
      </c>
      <c r="G2986" s="83">
        <v>0.6666666666666666</v>
      </c>
      <c r="H2986" s="83">
        <v>0.041666666666666664</v>
      </c>
      <c r="I2986" s="84">
        <v>44258.0</v>
      </c>
      <c r="J2986" s="65" t="b">
        <v>1</v>
      </c>
      <c r="K2986" s="65"/>
      <c r="L2986" s="85" t="b">
        <f>IF(VLOOKUP(C2986,Projetos!A:L,12,false)=TRUE,TRUE,FALSE)</f>
        <v>1</v>
      </c>
      <c r="M2986" s="74">
        <v>52.48434411075036</v>
      </c>
      <c r="N2986" s="74">
        <f t="shared" si="1"/>
        <v>52.48434411</v>
      </c>
      <c r="O2986" s="74" t="b">
        <v>1</v>
      </c>
    </row>
    <row r="2987" hidden="1">
      <c r="A2987" s="82"/>
      <c r="B2987" s="65" t="s">
        <v>411</v>
      </c>
      <c r="C2987" s="65" t="s">
        <v>91</v>
      </c>
      <c r="D2987" s="65" t="str">
        <f>vlookup(C2987,'Classificação p pessoal'!F:G,2,false)</f>
        <v>NP</v>
      </c>
      <c r="E2987" s="65" t="s">
        <v>2010</v>
      </c>
      <c r="F2987" s="83">
        <v>0.6666666666666666</v>
      </c>
      <c r="G2987" s="83">
        <v>0.6875</v>
      </c>
      <c r="H2987" s="83">
        <v>0.020833333333333332</v>
      </c>
      <c r="I2987" s="84">
        <v>44258.0</v>
      </c>
      <c r="J2987" s="65" t="b">
        <v>1</v>
      </c>
      <c r="K2987" s="65"/>
      <c r="L2987" s="85" t="b">
        <f>IF(VLOOKUP(C2987,Projetos!A:L,12,false)=TRUE,TRUE,FALSE)</f>
        <v>1</v>
      </c>
      <c r="M2987" s="74">
        <v>52.48434411075036</v>
      </c>
      <c r="N2987" s="74">
        <f t="shared" si="1"/>
        <v>26.24217206</v>
      </c>
      <c r="O2987" s="74" t="b">
        <v>1</v>
      </c>
    </row>
    <row r="2988" hidden="1">
      <c r="A2988" s="82"/>
      <c r="B2988" s="65" t="s">
        <v>411</v>
      </c>
      <c r="C2988" s="65" t="s">
        <v>125</v>
      </c>
      <c r="D2988" s="65" t="str">
        <f>vlookup(C2988,'Classificação p pessoal'!F:G,2,false)</f>
        <v>MProduto</v>
      </c>
      <c r="E2988" s="65" t="s">
        <v>2011</v>
      </c>
      <c r="F2988" s="83">
        <v>0.6875</v>
      </c>
      <c r="G2988" s="83">
        <v>0.75</v>
      </c>
      <c r="H2988" s="83">
        <v>0.0625</v>
      </c>
      <c r="I2988" s="84">
        <v>44258.0</v>
      </c>
      <c r="J2988" s="65" t="b">
        <v>1</v>
      </c>
      <c r="K2988" s="65"/>
      <c r="L2988" s="85" t="b">
        <f>IF(VLOOKUP(C2988,Projetos!A:L,12,false)=TRUE,TRUE,FALSE)</f>
        <v>1</v>
      </c>
      <c r="M2988" s="74">
        <v>52.48434411075036</v>
      </c>
      <c r="N2988" s="74">
        <f t="shared" si="1"/>
        <v>78.72651617</v>
      </c>
      <c r="O2988" s="74" t="b">
        <v>1</v>
      </c>
    </row>
    <row r="2989" hidden="1">
      <c r="A2989" s="82"/>
      <c r="B2989" s="65" t="s">
        <v>411</v>
      </c>
      <c r="C2989" s="65" t="s">
        <v>92</v>
      </c>
      <c r="D2989" s="65" t="str">
        <f>vlookup(C2989,'Classificação p pessoal'!F:G,2,false)</f>
        <v/>
      </c>
      <c r="E2989" s="65" t="s">
        <v>2009</v>
      </c>
      <c r="F2989" s="83">
        <v>0.34375</v>
      </c>
      <c r="G2989" s="83">
        <v>0.3958333333333333</v>
      </c>
      <c r="H2989" s="83">
        <v>0.052083333333333336</v>
      </c>
      <c r="I2989" s="84">
        <v>44259.0</v>
      </c>
      <c r="J2989" s="65" t="b">
        <v>1</v>
      </c>
      <c r="K2989" s="65"/>
      <c r="L2989" s="85" t="b">
        <f>IF(VLOOKUP(C2989,Projetos!A:L,12,false)=TRUE,TRUE,FALSE)</f>
        <v>1</v>
      </c>
      <c r="M2989" s="74">
        <v>52.48434411075036</v>
      </c>
      <c r="N2989" s="74">
        <f t="shared" si="1"/>
        <v>65.60543014</v>
      </c>
      <c r="O2989" s="74" t="b">
        <v>1</v>
      </c>
    </row>
    <row r="2990" hidden="1">
      <c r="A2990" s="82"/>
      <c r="B2990" s="65" t="s">
        <v>411</v>
      </c>
      <c r="C2990" s="65" t="s">
        <v>92</v>
      </c>
      <c r="D2990" s="65" t="str">
        <f>vlookup(C2990,'Classificação p pessoal'!F:G,2,false)</f>
        <v/>
      </c>
      <c r="E2990" s="65" t="s">
        <v>2012</v>
      </c>
      <c r="F2990" s="83">
        <v>0.3958333333333333</v>
      </c>
      <c r="G2990" s="83">
        <v>0.5416666666666666</v>
      </c>
      <c r="H2990" s="83">
        <v>0.14583333333333334</v>
      </c>
      <c r="I2990" s="84">
        <v>44259.0</v>
      </c>
      <c r="J2990" s="65" t="b">
        <v>1</v>
      </c>
      <c r="K2990" s="65"/>
      <c r="L2990" s="85" t="b">
        <f>IF(VLOOKUP(C2990,Projetos!A:L,12,false)=TRUE,TRUE,FALSE)</f>
        <v>1</v>
      </c>
      <c r="M2990" s="74">
        <v>52.48434411075036</v>
      </c>
      <c r="N2990" s="74">
        <f t="shared" si="1"/>
        <v>183.6952044</v>
      </c>
      <c r="O2990" s="74" t="b">
        <v>1</v>
      </c>
    </row>
    <row r="2991" hidden="1">
      <c r="A2991" s="82"/>
      <c r="B2991" s="65" t="s">
        <v>411</v>
      </c>
      <c r="C2991" s="65" t="s">
        <v>152</v>
      </c>
      <c r="D2991" s="65"/>
      <c r="E2991" s="65" t="s">
        <v>2013</v>
      </c>
      <c r="F2991" s="83">
        <v>0.5833333333333334</v>
      </c>
      <c r="G2991" s="83">
        <v>0.6458333333333334</v>
      </c>
      <c r="H2991" s="83">
        <v>0.0625</v>
      </c>
      <c r="I2991" s="84">
        <v>44259.0</v>
      </c>
      <c r="J2991" s="65" t="b">
        <v>0</v>
      </c>
      <c r="K2991" s="65" t="s">
        <v>150</v>
      </c>
      <c r="L2991" s="85" t="b">
        <f>IF(VLOOKUP(C2991,Projetos!A:L,12,false)=TRUE,TRUE,FALSE)</f>
        <v>1</v>
      </c>
      <c r="M2991" s="74">
        <v>52.48434411075036</v>
      </c>
      <c r="N2991" s="74">
        <f t="shared" si="1"/>
        <v>0</v>
      </c>
      <c r="O2991" s="74" t="b">
        <v>1</v>
      </c>
    </row>
    <row r="2992" hidden="1">
      <c r="A2992" s="82"/>
      <c r="B2992" s="65" t="s">
        <v>411</v>
      </c>
      <c r="C2992" s="65" t="s">
        <v>92</v>
      </c>
      <c r="D2992" s="65"/>
      <c r="E2992" s="65" t="s">
        <v>2014</v>
      </c>
      <c r="F2992" s="83">
        <v>0.6458333333333334</v>
      </c>
      <c r="G2992" s="83">
        <v>0.6666666666666666</v>
      </c>
      <c r="H2992" s="83">
        <v>0.020833333333333332</v>
      </c>
      <c r="I2992" s="84">
        <v>44259.0</v>
      </c>
      <c r="J2992" s="65" t="b">
        <v>0</v>
      </c>
      <c r="K2992" s="65" t="s">
        <v>150</v>
      </c>
      <c r="L2992" s="85" t="b">
        <f>IF(VLOOKUP(C2992,Projetos!A:L,12,false)=TRUE,TRUE,FALSE)</f>
        <v>1</v>
      </c>
      <c r="M2992" s="74">
        <v>52.48434411075036</v>
      </c>
      <c r="N2992" s="74">
        <f t="shared" si="1"/>
        <v>0</v>
      </c>
      <c r="O2992" s="74" t="b">
        <v>1</v>
      </c>
    </row>
    <row r="2993" hidden="1">
      <c r="A2993" s="82"/>
      <c r="B2993" s="65" t="s">
        <v>411</v>
      </c>
      <c r="C2993" s="65" t="s">
        <v>117</v>
      </c>
      <c r="D2993" s="65" t="str">
        <f>vlookup(C2993,'Classificação p pessoal'!F:G,2,false)</f>
        <v>NP</v>
      </c>
      <c r="E2993" s="65" t="s">
        <v>2015</v>
      </c>
      <c r="F2993" s="83">
        <v>0.6666666666666666</v>
      </c>
      <c r="G2993" s="83">
        <v>0.6875</v>
      </c>
      <c r="H2993" s="83">
        <v>0.020833333333333332</v>
      </c>
      <c r="I2993" s="84">
        <v>44259.0</v>
      </c>
      <c r="J2993" s="65" t="b">
        <v>1</v>
      </c>
      <c r="K2993" s="65"/>
      <c r="L2993" s="85" t="b">
        <f>IF(VLOOKUP(C2993,Projetos!A:L,12,false)=TRUE,TRUE,FALSE)</f>
        <v>1</v>
      </c>
      <c r="M2993" s="74">
        <v>52.48434411075036</v>
      </c>
      <c r="N2993" s="74">
        <f t="shared" si="1"/>
        <v>26.24217206</v>
      </c>
      <c r="O2993" s="74" t="b">
        <v>1</v>
      </c>
    </row>
    <row r="2994" hidden="1">
      <c r="A2994" s="82"/>
      <c r="B2994" s="65" t="s">
        <v>411</v>
      </c>
      <c r="C2994" s="65" t="s">
        <v>125</v>
      </c>
      <c r="D2994" s="65" t="str">
        <f>vlookup(C2994,'Classificação p pessoal'!F:G,2,false)</f>
        <v>MProduto</v>
      </c>
      <c r="E2994" s="65" t="s">
        <v>2011</v>
      </c>
      <c r="F2994" s="83">
        <v>0.6875</v>
      </c>
      <c r="G2994" s="83">
        <v>0.75</v>
      </c>
      <c r="H2994" s="83">
        <v>0.0625</v>
      </c>
      <c r="I2994" s="84">
        <v>44259.0</v>
      </c>
      <c r="J2994" s="65" t="b">
        <v>1</v>
      </c>
      <c r="K2994" s="65"/>
      <c r="L2994" s="85" t="b">
        <f>IF(VLOOKUP(C2994,Projetos!A:L,12,false)=TRUE,TRUE,FALSE)</f>
        <v>1</v>
      </c>
      <c r="M2994" s="74">
        <v>52.48434411075036</v>
      </c>
      <c r="N2994" s="74">
        <f t="shared" si="1"/>
        <v>78.72651617</v>
      </c>
      <c r="O2994" s="74" t="b">
        <v>1</v>
      </c>
    </row>
    <row r="2995" hidden="1">
      <c r="A2995" s="82"/>
      <c r="B2995" s="65" t="s">
        <v>411</v>
      </c>
      <c r="C2995" s="65" t="s">
        <v>92</v>
      </c>
      <c r="D2995" s="65" t="str">
        <f>vlookup(C2995,'Classificação p pessoal'!F:G,2,false)</f>
        <v/>
      </c>
      <c r="E2995" s="65" t="s">
        <v>2016</v>
      </c>
      <c r="F2995" s="83">
        <v>0.375</v>
      </c>
      <c r="G2995" s="83">
        <v>0.4375</v>
      </c>
      <c r="H2995" s="83">
        <v>0.0625</v>
      </c>
      <c r="I2995" s="84">
        <v>44260.0</v>
      </c>
      <c r="J2995" s="65" t="b">
        <v>1</v>
      </c>
      <c r="K2995" s="65"/>
      <c r="L2995" s="85" t="b">
        <f>IF(VLOOKUP(C2995,Projetos!A:L,12,false)=TRUE,TRUE,FALSE)</f>
        <v>1</v>
      </c>
      <c r="M2995" s="74">
        <v>52.48434411075036</v>
      </c>
      <c r="N2995" s="74">
        <f t="shared" si="1"/>
        <v>78.72651617</v>
      </c>
      <c r="O2995" s="74" t="b">
        <v>1</v>
      </c>
    </row>
    <row r="2996" hidden="1">
      <c r="A2996" s="82"/>
      <c r="B2996" s="65" t="s">
        <v>411</v>
      </c>
      <c r="C2996" s="65" t="s">
        <v>130</v>
      </c>
      <c r="D2996" s="65"/>
      <c r="E2996" s="65" t="s">
        <v>2017</v>
      </c>
      <c r="F2996" s="83">
        <v>0.6875</v>
      </c>
      <c r="G2996" s="83">
        <v>0.7083333333333334</v>
      </c>
      <c r="H2996" s="83">
        <v>0.020833333333333332</v>
      </c>
      <c r="I2996" s="84">
        <v>44249.0</v>
      </c>
      <c r="J2996" s="65" t="b">
        <v>0</v>
      </c>
      <c r="K2996" s="65" t="s">
        <v>150</v>
      </c>
      <c r="L2996" s="85" t="b">
        <f>IF(VLOOKUP(C2996,Projetos!A:L,12,false)=TRUE,TRUE,FALSE)</f>
        <v>1</v>
      </c>
      <c r="M2996" s="74">
        <v>52.48434411075036</v>
      </c>
      <c r="N2996" s="74">
        <f t="shared" si="1"/>
        <v>0</v>
      </c>
      <c r="O2996" s="74" t="b">
        <v>1</v>
      </c>
    </row>
    <row r="2997" hidden="1">
      <c r="A2997" s="82"/>
      <c r="B2997" s="65" t="s">
        <v>411</v>
      </c>
      <c r="C2997" s="65" t="s">
        <v>132</v>
      </c>
      <c r="D2997" s="65"/>
      <c r="E2997" s="65" t="s">
        <v>2018</v>
      </c>
      <c r="F2997" s="83">
        <v>0.625</v>
      </c>
      <c r="G2997" s="83">
        <v>0.6666666666666666</v>
      </c>
      <c r="H2997" s="83">
        <v>0.041666666666666664</v>
      </c>
      <c r="I2997" s="84">
        <v>44260.0</v>
      </c>
      <c r="J2997" s="65" t="b">
        <v>1</v>
      </c>
      <c r="K2997" s="65"/>
      <c r="L2997" s="85" t="b">
        <f>IF(VLOOKUP(C2997,Projetos!A:L,12,false)=TRUE,TRUE,FALSE)</f>
        <v>0</v>
      </c>
      <c r="M2997" s="74">
        <v>52.48434411075036</v>
      </c>
      <c r="N2997" s="74">
        <f t="shared" si="1"/>
        <v>0</v>
      </c>
      <c r="O2997" s="74" t="b">
        <v>0</v>
      </c>
    </row>
    <row r="2998" hidden="1">
      <c r="A2998" s="82"/>
      <c r="B2998" s="65" t="s">
        <v>411</v>
      </c>
      <c r="C2998" s="65" t="s">
        <v>117</v>
      </c>
      <c r="D2998" s="65" t="str">
        <f>vlookup(C2998,'Classificação p pessoal'!F:G,2,false)</f>
        <v>NP</v>
      </c>
      <c r="E2998" s="65" t="s">
        <v>2019</v>
      </c>
      <c r="F2998" s="83">
        <v>0.6666666666666666</v>
      </c>
      <c r="G2998" s="83">
        <v>0.6875</v>
      </c>
      <c r="H2998" s="83">
        <v>0.020833333333333332</v>
      </c>
      <c r="I2998" s="84">
        <v>44260.0</v>
      </c>
      <c r="J2998" s="65" t="b">
        <v>1</v>
      </c>
      <c r="K2998" s="65"/>
      <c r="L2998" s="85" t="b">
        <f>IF(VLOOKUP(C2998,Projetos!A:L,12,false)=TRUE,TRUE,FALSE)</f>
        <v>1</v>
      </c>
      <c r="M2998" s="74">
        <v>52.48434411075036</v>
      </c>
      <c r="N2998" s="74">
        <f t="shared" si="1"/>
        <v>26.24217206</v>
      </c>
      <c r="O2998" s="74" t="b">
        <v>1</v>
      </c>
    </row>
    <row r="2999" hidden="1">
      <c r="A2999" s="82"/>
      <c r="B2999" s="65" t="s">
        <v>411</v>
      </c>
      <c r="C2999" s="65" t="s">
        <v>130</v>
      </c>
      <c r="D2999" s="65" t="str">
        <f>vlookup(C2999,'Classificação p pessoal'!F:G,2,false)</f>
        <v>NP</v>
      </c>
      <c r="E2999" s="65" t="s">
        <v>2020</v>
      </c>
      <c r="F2999" s="83">
        <v>0.6875</v>
      </c>
      <c r="G2999" s="83">
        <v>0.7083333333333334</v>
      </c>
      <c r="H2999" s="83">
        <v>0.020833333333333332</v>
      </c>
      <c r="I2999" s="84">
        <v>44260.0</v>
      </c>
      <c r="J2999" s="65" t="b">
        <v>1</v>
      </c>
      <c r="K2999" s="65"/>
      <c r="L2999" s="85" t="b">
        <f>IF(VLOOKUP(C2999,Projetos!A:L,12,false)=TRUE,TRUE,FALSE)</f>
        <v>1</v>
      </c>
      <c r="M2999" s="74">
        <v>52.48434411075036</v>
      </c>
      <c r="N2999" s="74">
        <f t="shared" si="1"/>
        <v>26.24217206</v>
      </c>
      <c r="O2999" s="74" t="b">
        <v>1</v>
      </c>
    </row>
    <row r="3000" hidden="1">
      <c r="A3000" s="82"/>
      <c r="B3000" s="65" t="s">
        <v>411</v>
      </c>
      <c r="C3000" s="65" t="s">
        <v>92</v>
      </c>
      <c r="D3000" s="65" t="str">
        <f>vlookup(C3000,'Classificação p pessoal'!F:G,2,false)</f>
        <v/>
      </c>
      <c r="E3000" s="65" t="s">
        <v>2021</v>
      </c>
      <c r="F3000" s="83">
        <v>0.7083333333333334</v>
      </c>
      <c r="G3000" s="83">
        <v>0.75</v>
      </c>
      <c r="H3000" s="83">
        <v>0.041666666666666664</v>
      </c>
      <c r="I3000" s="84">
        <v>44260.0</v>
      </c>
      <c r="J3000" s="65" t="b">
        <v>1</v>
      </c>
      <c r="K3000" s="65"/>
      <c r="L3000" s="85" t="b">
        <f>IF(VLOOKUP(C3000,Projetos!A:L,12,false)=TRUE,TRUE,FALSE)</f>
        <v>1</v>
      </c>
      <c r="M3000" s="74">
        <v>52.48434411075036</v>
      </c>
      <c r="N3000" s="74">
        <f t="shared" si="1"/>
        <v>52.48434411</v>
      </c>
      <c r="O3000" s="74" t="b">
        <v>1</v>
      </c>
    </row>
    <row r="3001" hidden="1">
      <c r="A3001" s="82"/>
      <c r="B3001" s="65" t="s">
        <v>411</v>
      </c>
      <c r="C3001" s="65" t="s">
        <v>84</v>
      </c>
      <c r="D3001" s="65"/>
      <c r="E3001" s="65" t="s">
        <v>2022</v>
      </c>
      <c r="F3001" s="83">
        <v>0.34375</v>
      </c>
      <c r="G3001" s="83">
        <v>0.3645833333333333</v>
      </c>
      <c r="H3001" s="83">
        <v>0.020833333333333332</v>
      </c>
      <c r="I3001" s="84">
        <v>44263.0</v>
      </c>
      <c r="J3001" s="65" t="b">
        <v>0</v>
      </c>
      <c r="K3001" s="65"/>
      <c r="L3001" s="85" t="b">
        <f>IF(VLOOKUP(C3001,Projetos!A:L,12,false)=TRUE,TRUE,FALSE)</f>
        <v>0</v>
      </c>
      <c r="M3001" s="74">
        <v>52.48434411075036</v>
      </c>
      <c r="N3001" s="74">
        <f t="shared" si="1"/>
        <v>0</v>
      </c>
      <c r="O3001" s="74" t="b">
        <v>0</v>
      </c>
    </row>
    <row r="3002" hidden="1">
      <c r="A3002" s="82"/>
      <c r="B3002" s="65" t="s">
        <v>411</v>
      </c>
      <c r="C3002" s="65" t="s">
        <v>101</v>
      </c>
      <c r="D3002" s="65" t="str">
        <f>vlookup(C3002,'Classificação p pessoal'!F:G,2,false)</f>
        <v>NP</v>
      </c>
      <c r="E3002" s="65" t="s">
        <v>2023</v>
      </c>
      <c r="F3002" s="83">
        <v>0.3645833333333333</v>
      </c>
      <c r="G3002" s="83">
        <v>0.40625</v>
      </c>
      <c r="H3002" s="83">
        <v>0.041666666666666664</v>
      </c>
      <c r="I3002" s="84">
        <v>44263.0</v>
      </c>
      <c r="J3002" s="65" t="b">
        <v>1</v>
      </c>
      <c r="K3002" s="65"/>
      <c r="L3002" s="85" t="b">
        <f>IF(VLOOKUP(C3002,Projetos!A:L,12,false)=TRUE,TRUE,FALSE)</f>
        <v>1</v>
      </c>
      <c r="M3002" s="74">
        <v>52.48434411075036</v>
      </c>
      <c r="N3002" s="74">
        <f t="shared" si="1"/>
        <v>52.48434411</v>
      </c>
      <c r="O3002" s="74" t="b">
        <v>1</v>
      </c>
    </row>
    <row r="3003" hidden="1">
      <c r="A3003" s="82"/>
      <c r="B3003" s="65" t="s">
        <v>411</v>
      </c>
      <c r="C3003" s="65" t="s">
        <v>117</v>
      </c>
      <c r="D3003" s="65" t="str">
        <f>vlookup(C3003,'Classificação p pessoal'!F:G,2,false)</f>
        <v>NP</v>
      </c>
      <c r="E3003" s="65" t="s">
        <v>2024</v>
      </c>
      <c r="F3003" s="83">
        <v>0.4166666666666667</v>
      </c>
      <c r="G3003" s="83">
        <v>0.4791666666666667</v>
      </c>
      <c r="H3003" s="83">
        <v>0.0625</v>
      </c>
      <c r="I3003" s="84">
        <v>44263.0</v>
      </c>
      <c r="J3003" s="65" t="b">
        <v>1</v>
      </c>
      <c r="K3003" s="65"/>
      <c r="L3003" s="85" t="b">
        <f>IF(VLOOKUP(C3003,Projetos!A:L,12,false)=TRUE,TRUE,FALSE)</f>
        <v>1</v>
      </c>
      <c r="M3003" s="74">
        <v>52.48434411075036</v>
      </c>
      <c r="N3003" s="74">
        <f t="shared" si="1"/>
        <v>78.72651617</v>
      </c>
      <c r="O3003" s="74" t="b">
        <v>1</v>
      </c>
    </row>
    <row r="3004" hidden="1">
      <c r="A3004" s="82"/>
      <c r="B3004" s="65" t="s">
        <v>411</v>
      </c>
      <c r="C3004" s="65" t="s">
        <v>117</v>
      </c>
      <c r="D3004" s="65" t="str">
        <f>vlookup(C3004,'Classificação p pessoal'!F:G,2,false)</f>
        <v>NP</v>
      </c>
      <c r="E3004" s="65" t="s">
        <v>2025</v>
      </c>
      <c r="F3004" s="83">
        <v>0.4791666666666667</v>
      </c>
      <c r="G3004" s="83">
        <v>0.5833333333333334</v>
      </c>
      <c r="H3004" s="83">
        <v>0.10416666666666667</v>
      </c>
      <c r="I3004" s="84">
        <v>44263.0</v>
      </c>
      <c r="J3004" s="65" t="b">
        <v>1</v>
      </c>
      <c r="K3004" s="65"/>
      <c r="L3004" s="85" t="b">
        <f>IF(VLOOKUP(C3004,Projetos!A:L,12,false)=TRUE,TRUE,FALSE)</f>
        <v>1</v>
      </c>
      <c r="M3004" s="74">
        <v>52.48434411075036</v>
      </c>
      <c r="N3004" s="74">
        <f t="shared" si="1"/>
        <v>131.2108603</v>
      </c>
      <c r="O3004" s="74" t="b">
        <v>1</v>
      </c>
    </row>
    <row r="3005" hidden="1">
      <c r="A3005" s="82"/>
      <c r="B3005" s="65" t="s">
        <v>411</v>
      </c>
      <c r="C3005" s="65" t="s">
        <v>132</v>
      </c>
      <c r="D3005" s="65"/>
      <c r="E3005" s="65" t="s">
        <v>2026</v>
      </c>
      <c r="F3005" s="83">
        <v>0.625</v>
      </c>
      <c r="G3005" s="83">
        <v>0.6458333333333334</v>
      </c>
      <c r="H3005" s="83">
        <v>0.020833333333333332</v>
      </c>
      <c r="I3005" s="84">
        <v>44263.0</v>
      </c>
      <c r="J3005" s="65" t="b">
        <v>1</v>
      </c>
      <c r="K3005" s="65"/>
      <c r="L3005" s="85" t="b">
        <f>IF(VLOOKUP(C3005,Projetos!A:L,12,false)=TRUE,TRUE,FALSE)</f>
        <v>0</v>
      </c>
      <c r="M3005" s="74">
        <v>52.48434411075036</v>
      </c>
      <c r="N3005" s="74">
        <f t="shared" si="1"/>
        <v>0</v>
      </c>
      <c r="O3005" s="74" t="b">
        <v>0</v>
      </c>
    </row>
    <row r="3006" hidden="1">
      <c r="A3006" s="82"/>
      <c r="B3006" s="65" t="s">
        <v>411</v>
      </c>
      <c r="C3006" s="65" t="s">
        <v>101</v>
      </c>
      <c r="D3006" s="65" t="str">
        <f>vlookup(C3006,'Classificação p pessoal'!F:G,2,false)</f>
        <v>NP</v>
      </c>
      <c r="E3006" s="65" t="s">
        <v>2027</v>
      </c>
      <c r="F3006" s="83">
        <v>0.7083333333333334</v>
      </c>
      <c r="G3006" s="83">
        <v>0.7361111111111112</v>
      </c>
      <c r="H3006" s="83">
        <v>0.027777777777777776</v>
      </c>
      <c r="I3006" s="84">
        <v>44263.0</v>
      </c>
      <c r="J3006" s="65" t="b">
        <v>1</v>
      </c>
      <c r="K3006" s="65"/>
      <c r="L3006" s="85" t="b">
        <f>IF(VLOOKUP(C3006,Projetos!A:L,12,false)=TRUE,TRUE,FALSE)</f>
        <v>1</v>
      </c>
      <c r="M3006" s="74">
        <v>52.48434411075036</v>
      </c>
      <c r="N3006" s="74">
        <f t="shared" si="1"/>
        <v>34.98956274</v>
      </c>
      <c r="O3006" s="74" t="b">
        <v>1</v>
      </c>
    </row>
    <row r="3007" hidden="1">
      <c r="A3007" s="82"/>
      <c r="B3007" s="65" t="s">
        <v>411</v>
      </c>
      <c r="C3007" s="65" t="s">
        <v>132</v>
      </c>
      <c r="D3007" s="65"/>
      <c r="E3007" s="65" t="s">
        <v>2028</v>
      </c>
      <c r="F3007" s="83">
        <v>0.34375</v>
      </c>
      <c r="G3007" s="83">
        <v>0.3958333333333333</v>
      </c>
      <c r="H3007" s="83">
        <v>0.052083333333333336</v>
      </c>
      <c r="I3007" s="84">
        <v>44264.0</v>
      </c>
      <c r="J3007" s="65" t="b">
        <v>1</v>
      </c>
      <c r="K3007" s="65"/>
      <c r="L3007" s="85" t="b">
        <f>IF(VLOOKUP(C3007,Projetos!A:L,12,false)=TRUE,TRUE,FALSE)</f>
        <v>0</v>
      </c>
      <c r="M3007" s="74">
        <v>52.48434411075036</v>
      </c>
      <c r="N3007" s="74">
        <f t="shared" si="1"/>
        <v>0</v>
      </c>
      <c r="O3007" s="74" t="b">
        <v>0</v>
      </c>
    </row>
    <row r="3008" hidden="1">
      <c r="A3008" s="82"/>
      <c r="B3008" s="65" t="s">
        <v>411</v>
      </c>
      <c r="C3008" s="65" t="s">
        <v>106</v>
      </c>
      <c r="D3008" s="65"/>
      <c r="E3008" s="65" t="s">
        <v>2029</v>
      </c>
      <c r="F3008" s="83">
        <v>0.3958333333333333</v>
      </c>
      <c r="G3008" s="83">
        <v>0.4791666666666667</v>
      </c>
      <c r="H3008" s="83">
        <v>0.08333333333333333</v>
      </c>
      <c r="I3008" s="84">
        <v>44264.0</v>
      </c>
      <c r="J3008" s="65" t="b">
        <v>0</v>
      </c>
      <c r="K3008" s="65" t="s">
        <v>150</v>
      </c>
      <c r="L3008" s="85" t="b">
        <f>IF(VLOOKUP(C3008,Projetos!A:L,12,false)=TRUE,TRUE,FALSE)</f>
        <v>1</v>
      </c>
      <c r="M3008" s="74">
        <v>52.48434411075036</v>
      </c>
      <c r="N3008" s="74">
        <f t="shared" si="1"/>
        <v>0</v>
      </c>
      <c r="O3008" s="74" t="b">
        <v>1</v>
      </c>
    </row>
    <row r="3009" hidden="1">
      <c r="A3009" s="82"/>
      <c r="B3009" s="65" t="s">
        <v>411</v>
      </c>
      <c r="C3009" s="65" t="s">
        <v>125</v>
      </c>
      <c r="D3009" s="65" t="str">
        <f>vlookup(C3009,'Classificação p pessoal'!F:G,2,false)</f>
        <v>MProduto</v>
      </c>
      <c r="E3009" s="65" t="s">
        <v>2030</v>
      </c>
      <c r="F3009" s="83">
        <v>0.4791666666666667</v>
      </c>
      <c r="G3009" s="83">
        <v>0.5208333333333334</v>
      </c>
      <c r="H3009" s="83">
        <v>0.041666666666666664</v>
      </c>
      <c r="I3009" s="84">
        <v>44264.0</v>
      </c>
      <c r="J3009" s="65" t="b">
        <v>1</v>
      </c>
      <c r="K3009" s="65"/>
      <c r="L3009" s="85" t="b">
        <f>IF(VLOOKUP(C3009,Projetos!A:L,12,false)=TRUE,TRUE,FALSE)</f>
        <v>1</v>
      </c>
      <c r="M3009" s="74">
        <v>52.48434411075036</v>
      </c>
      <c r="N3009" s="74">
        <f t="shared" si="1"/>
        <v>52.48434411</v>
      </c>
      <c r="O3009" s="74" t="b">
        <v>1</v>
      </c>
    </row>
    <row r="3010" hidden="1">
      <c r="A3010" s="82"/>
      <c r="B3010" s="65" t="s">
        <v>411</v>
      </c>
      <c r="C3010" s="65" t="s">
        <v>92</v>
      </c>
      <c r="D3010" s="65" t="str">
        <f>vlookup(C3010,'Classificação p pessoal'!F:G,2,false)</f>
        <v/>
      </c>
      <c r="E3010" s="65" t="s">
        <v>2031</v>
      </c>
      <c r="F3010" s="83">
        <v>0.5208333333333334</v>
      </c>
      <c r="G3010" s="83">
        <v>0.5625</v>
      </c>
      <c r="H3010" s="83">
        <v>0.041666666666666664</v>
      </c>
      <c r="I3010" s="84">
        <v>44264.0</v>
      </c>
      <c r="J3010" s="65" t="b">
        <v>1</v>
      </c>
      <c r="K3010" s="65"/>
      <c r="L3010" s="85" t="b">
        <f>IF(VLOOKUP(C3010,Projetos!A:L,12,false)=TRUE,TRUE,FALSE)</f>
        <v>1</v>
      </c>
      <c r="M3010" s="74">
        <v>52.48434411075036</v>
      </c>
      <c r="N3010" s="74">
        <f t="shared" si="1"/>
        <v>52.48434411</v>
      </c>
      <c r="O3010" s="74" t="b">
        <v>1</v>
      </c>
    </row>
    <row r="3011" hidden="1">
      <c r="A3011" s="82"/>
      <c r="B3011" s="65" t="s">
        <v>411</v>
      </c>
      <c r="C3011" s="65" t="s">
        <v>104</v>
      </c>
      <c r="D3011" s="65" t="str">
        <f>vlookup(C3011,'Classificação p pessoal'!F:G,2,false)</f>
        <v>NP</v>
      </c>
      <c r="E3011" s="65" t="s">
        <v>2032</v>
      </c>
      <c r="F3011" s="83">
        <v>0.5625</v>
      </c>
      <c r="G3011" s="83">
        <v>0.5833333333333334</v>
      </c>
      <c r="H3011" s="83">
        <v>0.020833333333333332</v>
      </c>
      <c r="I3011" s="84">
        <v>44264.0</v>
      </c>
      <c r="J3011" s="65" t="b">
        <v>1</v>
      </c>
      <c r="K3011" s="65"/>
      <c r="L3011" s="85" t="b">
        <f>IF(VLOOKUP(C3011,Projetos!A:L,12,false)=TRUE,TRUE,FALSE)</f>
        <v>1</v>
      </c>
      <c r="M3011" s="74">
        <v>52.48434411075036</v>
      </c>
      <c r="N3011" s="74">
        <f t="shared" si="1"/>
        <v>26.24217206</v>
      </c>
      <c r="O3011" s="74" t="b">
        <v>1</v>
      </c>
    </row>
    <row r="3012" hidden="1">
      <c r="A3012" s="82"/>
      <c r="B3012" s="65" t="s">
        <v>411</v>
      </c>
      <c r="C3012" s="65" t="s">
        <v>92</v>
      </c>
      <c r="D3012" s="65"/>
      <c r="E3012" s="65" t="s">
        <v>2033</v>
      </c>
      <c r="F3012" s="83">
        <v>0.6875</v>
      </c>
      <c r="G3012" s="83">
        <v>0.6979166666666666</v>
      </c>
      <c r="H3012" s="83">
        <v>0.010416666666666666</v>
      </c>
      <c r="I3012" s="84">
        <v>44378.0</v>
      </c>
      <c r="J3012" s="65" t="b">
        <v>0</v>
      </c>
      <c r="K3012" s="65" t="s">
        <v>150</v>
      </c>
      <c r="L3012" s="85" t="b">
        <f>IF(VLOOKUP(C3012,Projetos!A:L,12,false)=TRUE,TRUE,FALSE)</f>
        <v>1</v>
      </c>
      <c r="M3012" s="74">
        <v>52.48434411075036</v>
      </c>
      <c r="N3012" s="74">
        <f t="shared" si="1"/>
        <v>0</v>
      </c>
      <c r="O3012" s="74" t="b">
        <v>1</v>
      </c>
    </row>
    <row r="3013" hidden="1">
      <c r="A3013" s="82"/>
      <c r="B3013" s="65" t="s">
        <v>411</v>
      </c>
      <c r="C3013" s="65" t="s">
        <v>101</v>
      </c>
      <c r="D3013" s="65" t="str">
        <f>vlookup(C3013,'Classificação p pessoal'!F:G,2,false)</f>
        <v>NP</v>
      </c>
      <c r="E3013" s="65" t="s">
        <v>2034</v>
      </c>
      <c r="F3013" s="83">
        <v>0.7083333333333334</v>
      </c>
      <c r="G3013" s="83">
        <v>0.7291666666666666</v>
      </c>
      <c r="H3013" s="83">
        <v>0.020833333333333332</v>
      </c>
      <c r="I3013" s="84">
        <v>44264.0</v>
      </c>
      <c r="J3013" s="65" t="b">
        <v>1</v>
      </c>
      <c r="K3013" s="65"/>
      <c r="L3013" s="85" t="b">
        <f>IF(VLOOKUP(C3013,Projetos!A:L,12,false)=TRUE,TRUE,FALSE)</f>
        <v>1</v>
      </c>
      <c r="M3013" s="74">
        <v>52.48434411075036</v>
      </c>
      <c r="N3013" s="74">
        <f t="shared" si="1"/>
        <v>26.24217206</v>
      </c>
      <c r="O3013" s="74" t="b">
        <v>1</v>
      </c>
    </row>
    <row r="3014" hidden="1">
      <c r="A3014" s="82"/>
      <c r="B3014" s="65" t="s">
        <v>411</v>
      </c>
      <c r="C3014" s="65" t="s">
        <v>130</v>
      </c>
      <c r="D3014" s="65" t="str">
        <f>vlookup(C3014,'Classificação p pessoal'!F:G,2,false)</f>
        <v>NP</v>
      </c>
      <c r="E3014" s="65" t="s">
        <v>2035</v>
      </c>
      <c r="F3014" s="83">
        <v>0.7291666666666666</v>
      </c>
      <c r="G3014" s="83">
        <v>0.75</v>
      </c>
      <c r="H3014" s="83">
        <v>0.020833333333333332</v>
      </c>
      <c r="I3014" s="84">
        <v>44264.0</v>
      </c>
      <c r="J3014" s="65" t="b">
        <v>1</v>
      </c>
      <c r="K3014" s="65"/>
      <c r="L3014" s="85" t="b">
        <f>IF(VLOOKUP(C3014,Projetos!A:L,12,false)=TRUE,TRUE,FALSE)</f>
        <v>1</v>
      </c>
      <c r="M3014" s="74">
        <v>52.48434411075036</v>
      </c>
      <c r="N3014" s="74">
        <f t="shared" si="1"/>
        <v>26.24217206</v>
      </c>
      <c r="O3014" s="74" t="b">
        <v>1</v>
      </c>
    </row>
    <row r="3015" hidden="1">
      <c r="A3015" s="82"/>
      <c r="B3015" s="65" t="s">
        <v>411</v>
      </c>
      <c r="C3015" s="65" t="s">
        <v>92</v>
      </c>
      <c r="D3015" s="65" t="str">
        <f>vlookup(C3015,'Classificação p pessoal'!F:G,2,false)</f>
        <v/>
      </c>
      <c r="E3015" s="65" t="s">
        <v>2036</v>
      </c>
      <c r="F3015" s="83">
        <v>0.34375</v>
      </c>
      <c r="G3015" s="83">
        <v>0.4375</v>
      </c>
      <c r="H3015" s="83">
        <v>0.09375</v>
      </c>
      <c r="I3015" s="84">
        <v>44265.0</v>
      </c>
      <c r="J3015" s="65" t="b">
        <v>1</v>
      </c>
      <c r="K3015" s="65"/>
      <c r="L3015" s="85" t="b">
        <f>IF(VLOOKUP(C3015,Projetos!A:L,12,false)=TRUE,TRUE,FALSE)</f>
        <v>1</v>
      </c>
      <c r="M3015" s="74">
        <v>52.48434411075036</v>
      </c>
      <c r="N3015" s="74">
        <f t="shared" si="1"/>
        <v>118.0897742</v>
      </c>
      <c r="O3015" s="74" t="b">
        <v>1</v>
      </c>
    </row>
    <row r="3016" hidden="1">
      <c r="A3016" s="82"/>
      <c r="B3016" s="65" t="s">
        <v>411</v>
      </c>
      <c r="C3016" s="65" t="s">
        <v>125</v>
      </c>
      <c r="D3016" s="65" t="str">
        <f>vlookup(C3016,'Classificação p pessoal'!F:G,2,false)</f>
        <v>MProduto</v>
      </c>
      <c r="E3016" s="65" t="s">
        <v>2037</v>
      </c>
      <c r="F3016" s="83">
        <v>0.4375</v>
      </c>
      <c r="G3016" s="83">
        <v>0.4791666666666667</v>
      </c>
      <c r="H3016" s="83">
        <v>0.041666666666666664</v>
      </c>
      <c r="I3016" s="84">
        <v>44265.0</v>
      </c>
      <c r="J3016" s="65" t="b">
        <v>1</v>
      </c>
      <c r="K3016" s="65"/>
      <c r="L3016" s="85" t="b">
        <f>IF(VLOOKUP(C3016,Projetos!A:L,12,false)=TRUE,TRUE,FALSE)</f>
        <v>1</v>
      </c>
      <c r="M3016" s="74">
        <v>52.48434411075036</v>
      </c>
      <c r="N3016" s="74">
        <f t="shared" si="1"/>
        <v>52.48434411</v>
      </c>
      <c r="O3016" s="74" t="b">
        <v>1</v>
      </c>
    </row>
    <row r="3017" hidden="1">
      <c r="A3017" s="82"/>
      <c r="B3017" s="65" t="s">
        <v>411</v>
      </c>
      <c r="C3017" s="65" t="s">
        <v>152</v>
      </c>
      <c r="D3017" s="65" t="str">
        <f>vlookup(C3017,'Classificação p pessoal'!F:G,2,false)</f>
        <v>MProduto</v>
      </c>
      <c r="E3017" s="65" t="s">
        <v>2038</v>
      </c>
      <c r="F3017" s="83">
        <v>0.4791666666666667</v>
      </c>
      <c r="G3017" s="83">
        <v>0.5104166666666666</v>
      </c>
      <c r="H3017" s="83">
        <v>0.03125</v>
      </c>
      <c r="I3017" s="84">
        <v>44265.0</v>
      </c>
      <c r="J3017" s="65" t="b">
        <v>1</v>
      </c>
      <c r="K3017" s="65"/>
      <c r="L3017" s="85" t="b">
        <f>IF(VLOOKUP(C3017,Projetos!A:L,12,false)=TRUE,TRUE,FALSE)</f>
        <v>1</v>
      </c>
      <c r="M3017" s="74">
        <v>52.48434411075036</v>
      </c>
      <c r="N3017" s="74">
        <f t="shared" si="1"/>
        <v>39.36325808</v>
      </c>
      <c r="O3017" s="74" t="b">
        <v>1</v>
      </c>
    </row>
    <row r="3018" hidden="1">
      <c r="A3018" s="82"/>
      <c r="B3018" s="65" t="s">
        <v>411</v>
      </c>
      <c r="C3018" s="65" t="s">
        <v>92</v>
      </c>
      <c r="D3018" s="65" t="str">
        <f>vlookup(C3018,'Classificação p pessoal'!F:G,2,false)</f>
        <v/>
      </c>
      <c r="E3018" s="65" t="s">
        <v>2039</v>
      </c>
      <c r="F3018" s="83">
        <v>0.5520833333333334</v>
      </c>
      <c r="G3018" s="83">
        <v>0.75</v>
      </c>
      <c r="H3018" s="83">
        <v>0.19791666666666666</v>
      </c>
      <c r="I3018" s="84">
        <v>44265.0</v>
      </c>
      <c r="J3018" s="65" t="b">
        <v>1</v>
      </c>
      <c r="K3018" s="65"/>
      <c r="L3018" s="85" t="b">
        <f>IF(VLOOKUP(C3018,Projetos!A:L,12,false)=TRUE,TRUE,FALSE)</f>
        <v>1</v>
      </c>
      <c r="M3018" s="74">
        <v>52.48434411075036</v>
      </c>
      <c r="N3018" s="74">
        <f t="shared" si="1"/>
        <v>249.3006345</v>
      </c>
      <c r="O3018" s="74" t="b">
        <v>1</v>
      </c>
    </row>
    <row r="3019" hidden="1">
      <c r="A3019" s="82"/>
      <c r="B3019" s="65" t="s">
        <v>411</v>
      </c>
      <c r="C3019" s="65" t="s">
        <v>92</v>
      </c>
      <c r="D3019" s="65" t="str">
        <f>vlookup(C3019,'Classificação p pessoal'!F:G,2,false)</f>
        <v/>
      </c>
      <c r="E3019" s="65" t="s">
        <v>2040</v>
      </c>
      <c r="F3019" s="83">
        <v>0.34375</v>
      </c>
      <c r="G3019" s="83">
        <v>0.4166666666666667</v>
      </c>
      <c r="H3019" s="83">
        <v>0.07291666666666667</v>
      </c>
      <c r="I3019" s="84">
        <v>44266.0</v>
      </c>
      <c r="J3019" s="65" t="b">
        <v>1</v>
      </c>
      <c r="K3019" s="65"/>
      <c r="L3019" s="85" t="b">
        <f>IF(VLOOKUP(C3019,Projetos!A:L,12,false)=TRUE,TRUE,FALSE)</f>
        <v>1</v>
      </c>
      <c r="M3019" s="74">
        <v>52.48434411075036</v>
      </c>
      <c r="N3019" s="74">
        <f t="shared" si="1"/>
        <v>91.84760219</v>
      </c>
      <c r="O3019" s="74" t="b">
        <v>1</v>
      </c>
    </row>
    <row r="3020" hidden="1">
      <c r="A3020" s="82"/>
      <c r="B3020" s="65" t="s">
        <v>411</v>
      </c>
      <c r="C3020" s="65" t="s">
        <v>117</v>
      </c>
      <c r="D3020" s="65"/>
      <c r="E3020" s="65" t="s">
        <v>2041</v>
      </c>
      <c r="F3020" s="83">
        <v>0.4583333333333333</v>
      </c>
      <c r="G3020" s="83">
        <v>0.5833333333333334</v>
      </c>
      <c r="H3020" s="83">
        <v>0.125</v>
      </c>
      <c r="I3020" s="84">
        <v>44266.0</v>
      </c>
      <c r="J3020" s="65" t="b">
        <v>0</v>
      </c>
      <c r="K3020" s="65" t="s">
        <v>150</v>
      </c>
      <c r="L3020" s="85" t="b">
        <f>IF(VLOOKUP(C3020,Projetos!A:L,12,false)=TRUE,TRUE,FALSE)</f>
        <v>1</v>
      </c>
      <c r="M3020" s="74">
        <v>52.48434411075036</v>
      </c>
      <c r="N3020" s="74">
        <f t="shared" si="1"/>
        <v>0</v>
      </c>
      <c r="O3020" s="74" t="b">
        <v>1</v>
      </c>
    </row>
    <row r="3021" hidden="1">
      <c r="A3021" s="82"/>
      <c r="B3021" s="65" t="s">
        <v>411</v>
      </c>
      <c r="C3021" s="65" t="s">
        <v>117</v>
      </c>
      <c r="D3021" s="65" t="str">
        <f>vlookup(C3021,'Classificação p pessoal'!F:G,2,false)</f>
        <v>NP</v>
      </c>
      <c r="E3021" s="65" t="s">
        <v>2042</v>
      </c>
      <c r="F3021" s="83">
        <v>0.6666666666666666</v>
      </c>
      <c r="G3021" s="83">
        <v>0.75</v>
      </c>
      <c r="H3021" s="83">
        <v>0.08333333333333333</v>
      </c>
      <c r="I3021" s="84">
        <v>44266.0</v>
      </c>
      <c r="J3021" s="65" t="b">
        <v>1</v>
      </c>
      <c r="K3021" s="65"/>
      <c r="L3021" s="85" t="b">
        <f>IF(VLOOKUP(C3021,Projetos!A:L,12,false)=TRUE,TRUE,FALSE)</f>
        <v>1</v>
      </c>
      <c r="M3021" s="74">
        <v>52.48434411075036</v>
      </c>
      <c r="N3021" s="74">
        <f t="shared" si="1"/>
        <v>104.9686882</v>
      </c>
      <c r="O3021" s="74" t="b">
        <v>1</v>
      </c>
    </row>
    <row r="3022" hidden="1">
      <c r="A3022" s="82"/>
      <c r="B3022" s="65" t="s">
        <v>411</v>
      </c>
      <c r="C3022" s="65" t="s">
        <v>130</v>
      </c>
      <c r="D3022" s="65" t="str">
        <f>vlookup(C3022,'Classificação p pessoal'!F:G,2,false)</f>
        <v>NP</v>
      </c>
      <c r="E3022" s="65" t="s">
        <v>2043</v>
      </c>
      <c r="F3022" s="83">
        <v>0.34375</v>
      </c>
      <c r="G3022" s="83">
        <v>0.4583333333333333</v>
      </c>
      <c r="H3022" s="83">
        <v>0.11458333333333333</v>
      </c>
      <c r="I3022" s="84">
        <v>44267.0</v>
      </c>
      <c r="J3022" s="65" t="b">
        <v>1</v>
      </c>
      <c r="K3022" s="65"/>
      <c r="L3022" s="85" t="b">
        <f>IF(VLOOKUP(C3022,Projetos!A:L,12,false)=TRUE,TRUE,FALSE)</f>
        <v>1</v>
      </c>
      <c r="M3022" s="74">
        <v>52.48434411075036</v>
      </c>
      <c r="N3022" s="74">
        <f t="shared" si="1"/>
        <v>144.3319463</v>
      </c>
      <c r="O3022" s="74" t="b">
        <v>1</v>
      </c>
    </row>
    <row r="3023" hidden="1">
      <c r="A3023" s="82"/>
      <c r="B3023" s="65" t="s">
        <v>411</v>
      </c>
      <c r="C3023" s="65" t="s">
        <v>117</v>
      </c>
      <c r="D3023" s="65" t="str">
        <f>vlookup(C3023,'Classificação p pessoal'!F:G,2,false)</f>
        <v>NP</v>
      </c>
      <c r="E3023" s="65" t="s">
        <v>2044</v>
      </c>
      <c r="F3023" s="83">
        <v>0.4583333333333333</v>
      </c>
      <c r="G3023" s="83">
        <v>0.46875</v>
      </c>
      <c r="H3023" s="83">
        <v>0.010416666666666666</v>
      </c>
      <c r="I3023" s="84">
        <v>44267.0</v>
      </c>
      <c r="J3023" s="65" t="b">
        <v>1</v>
      </c>
      <c r="K3023" s="65"/>
      <c r="L3023" s="85" t="b">
        <f>IF(VLOOKUP(C3023,Projetos!A:L,12,false)=TRUE,TRUE,FALSE)</f>
        <v>1</v>
      </c>
      <c r="M3023" s="74">
        <v>52.48434411075036</v>
      </c>
      <c r="N3023" s="74">
        <f t="shared" si="1"/>
        <v>13.12108603</v>
      </c>
      <c r="O3023" s="74" t="b">
        <v>1</v>
      </c>
    </row>
    <row r="3024" hidden="1">
      <c r="A3024" s="82"/>
      <c r="B3024" s="65" t="s">
        <v>411</v>
      </c>
      <c r="C3024" s="65" t="s">
        <v>152</v>
      </c>
      <c r="D3024" s="65" t="str">
        <f>vlookup(C3024,'Classificação p pessoal'!F:G,2,false)</f>
        <v>MProduto</v>
      </c>
      <c r="E3024" s="65" t="s">
        <v>2038</v>
      </c>
      <c r="F3024" s="83">
        <v>0.46875</v>
      </c>
      <c r="G3024" s="83">
        <v>0.5</v>
      </c>
      <c r="H3024" s="83">
        <v>0.03125</v>
      </c>
      <c r="I3024" s="84">
        <v>44267.0</v>
      </c>
      <c r="J3024" s="65" t="b">
        <v>1</v>
      </c>
      <c r="K3024" s="65"/>
      <c r="L3024" s="85" t="b">
        <f>IF(VLOOKUP(C3024,Projetos!A:L,12,false)=TRUE,TRUE,FALSE)</f>
        <v>1</v>
      </c>
      <c r="M3024" s="74">
        <v>52.48434411075036</v>
      </c>
      <c r="N3024" s="74">
        <f t="shared" si="1"/>
        <v>39.36325808</v>
      </c>
      <c r="O3024" s="74" t="b">
        <v>1</v>
      </c>
    </row>
    <row r="3025" hidden="1">
      <c r="A3025" s="82"/>
      <c r="B3025" s="65" t="s">
        <v>411</v>
      </c>
      <c r="C3025" s="65" t="s">
        <v>88</v>
      </c>
      <c r="D3025" s="65" t="str">
        <f>vlookup(C3025,'Classificação p pessoal'!F:G,2,false)</f>
        <v>MProduto</v>
      </c>
      <c r="E3025" s="65" t="s">
        <v>2045</v>
      </c>
      <c r="F3025" s="83">
        <v>0.5</v>
      </c>
      <c r="G3025" s="83">
        <v>0.5208333333333334</v>
      </c>
      <c r="H3025" s="83">
        <v>0.020833333333333332</v>
      </c>
      <c r="I3025" s="84">
        <v>44267.0</v>
      </c>
      <c r="J3025" s="65" t="b">
        <v>1</v>
      </c>
      <c r="K3025" s="65"/>
      <c r="L3025" s="85" t="b">
        <f>IF(VLOOKUP(C3025,Projetos!A:L,12,false)=TRUE,TRUE,FALSE)</f>
        <v>1</v>
      </c>
      <c r="M3025" s="74">
        <v>52.48434411075036</v>
      </c>
      <c r="N3025" s="74">
        <f t="shared" si="1"/>
        <v>26.24217206</v>
      </c>
      <c r="O3025" s="74" t="b">
        <v>1</v>
      </c>
    </row>
    <row r="3026" hidden="1">
      <c r="A3026" s="82"/>
      <c r="B3026" s="65" t="s">
        <v>411</v>
      </c>
      <c r="C3026" s="65" t="s">
        <v>117</v>
      </c>
      <c r="D3026" s="65"/>
      <c r="E3026" s="65" t="s">
        <v>2046</v>
      </c>
      <c r="F3026" s="83">
        <v>0.5625</v>
      </c>
      <c r="G3026" s="83">
        <v>0.75</v>
      </c>
      <c r="H3026" s="83">
        <v>0.1875</v>
      </c>
      <c r="I3026" s="84">
        <v>44267.0</v>
      </c>
      <c r="J3026" s="65" t="b">
        <v>0</v>
      </c>
      <c r="K3026" s="65" t="s">
        <v>150</v>
      </c>
      <c r="L3026" s="85" t="b">
        <f>IF(VLOOKUP(C3026,Projetos!A:L,12,false)=TRUE,TRUE,FALSE)</f>
        <v>1</v>
      </c>
      <c r="M3026" s="74">
        <v>52.48434411075036</v>
      </c>
      <c r="N3026" s="74">
        <f t="shared" si="1"/>
        <v>0</v>
      </c>
      <c r="O3026" s="74" t="b">
        <v>1</v>
      </c>
    </row>
    <row r="3027" hidden="1">
      <c r="A3027" s="82"/>
      <c r="B3027" s="65" t="s">
        <v>411</v>
      </c>
      <c r="C3027" s="65" t="s">
        <v>92</v>
      </c>
      <c r="D3027" s="65" t="str">
        <f>vlookup(C3027,'Classificação p pessoal'!F:G,2,false)</f>
        <v/>
      </c>
      <c r="E3027" s="65" t="s">
        <v>2047</v>
      </c>
      <c r="F3027" s="83">
        <v>0.34375</v>
      </c>
      <c r="G3027" s="83">
        <v>0.3958333333333333</v>
      </c>
      <c r="H3027" s="83">
        <v>0.052083333333333336</v>
      </c>
      <c r="I3027" s="84">
        <v>44270.0</v>
      </c>
      <c r="J3027" s="65" t="b">
        <v>1</v>
      </c>
      <c r="K3027" s="65"/>
      <c r="L3027" s="85" t="b">
        <f>IF(VLOOKUP(C3027,Projetos!A:L,12,false)=TRUE,TRUE,FALSE)</f>
        <v>1</v>
      </c>
      <c r="M3027" s="74">
        <v>52.48434411075036</v>
      </c>
      <c r="N3027" s="74">
        <f t="shared" si="1"/>
        <v>65.60543014</v>
      </c>
      <c r="O3027" s="74" t="b">
        <v>1</v>
      </c>
    </row>
    <row r="3028" hidden="1">
      <c r="A3028" s="82"/>
      <c r="B3028" s="65" t="s">
        <v>411</v>
      </c>
      <c r="C3028" s="65" t="s">
        <v>117</v>
      </c>
      <c r="D3028" s="65" t="str">
        <f>vlookup(C3028,'Classificação p pessoal'!F:G,2,false)</f>
        <v>NP</v>
      </c>
      <c r="E3028" s="65" t="s">
        <v>2048</v>
      </c>
      <c r="F3028" s="83">
        <v>0.3958333333333333</v>
      </c>
      <c r="G3028" s="83">
        <v>0.4583333333333333</v>
      </c>
      <c r="H3028" s="83">
        <v>0.0625</v>
      </c>
      <c r="I3028" s="84">
        <v>44270.0</v>
      </c>
      <c r="J3028" s="65" t="b">
        <v>1</v>
      </c>
      <c r="K3028" s="65"/>
      <c r="L3028" s="85" t="b">
        <f>IF(VLOOKUP(C3028,Projetos!A:L,12,false)=TRUE,TRUE,FALSE)</f>
        <v>1</v>
      </c>
      <c r="M3028" s="74">
        <v>52.48434411075036</v>
      </c>
      <c r="N3028" s="74">
        <f t="shared" si="1"/>
        <v>78.72651617</v>
      </c>
      <c r="O3028" s="74" t="b">
        <v>1</v>
      </c>
    </row>
    <row r="3029" hidden="1">
      <c r="A3029" s="82"/>
      <c r="B3029" s="65" t="s">
        <v>411</v>
      </c>
      <c r="C3029" s="65" t="s">
        <v>92</v>
      </c>
      <c r="D3029" s="65" t="str">
        <f>vlookup(C3029,'Classificação p pessoal'!F:G,2,false)</f>
        <v/>
      </c>
      <c r="E3029" s="65" t="s">
        <v>2049</v>
      </c>
      <c r="F3029" s="83">
        <v>0.4583333333333333</v>
      </c>
      <c r="G3029" s="83">
        <v>0.4895833333333333</v>
      </c>
      <c r="H3029" s="83">
        <v>0.03125</v>
      </c>
      <c r="I3029" s="84">
        <v>44270.0</v>
      </c>
      <c r="J3029" s="65" t="b">
        <v>1</v>
      </c>
      <c r="K3029" s="65"/>
      <c r="L3029" s="85" t="b">
        <f>IF(VLOOKUP(C3029,Projetos!A:L,12,false)=TRUE,TRUE,FALSE)</f>
        <v>1</v>
      </c>
      <c r="M3029" s="74">
        <v>52.48434411075036</v>
      </c>
      <c r="N3029" s="74">
        <f t="shared" si="1"/>
        <v>39.36325808</v>
      </c>
      <c r="O3029" s="74" t="b">
        <v>1</v>
      </c>
    </row>
    <row r="3030" hidden="1">
      <c r="A3030" s="82"/>
      <c r="B3030" s="65" t="s">
        <v>411</v>
      </c>
      <c r="C3030" s="65" t="s">
        <v>117</v>
      </c>
      <c r="D3030" s="65" t="str">
        <f>vlookup(C3030,'Classificação p pessoal'!F:G,2,false)</f>
        <v>NP</v>
      </c>
      <c r="E3030" s="65" t="s">
        <v>2050</v>
      </c>
      <c r="F3030" s="83">
        <v>0.4895833333333333</v>
      </c>
      <c r="G3030" s="83">
        <v>0.5416666666666666</v>
      </c>
      <c r="H3030" s="83">
        <v>0.052083333333333336</v>
      </c>
      <c r="I3030" s="84">
        <v>44270.0</v>
      </c>
      <c r="J3030" s="65" t="b">
        <v>1</v>
      </c>
      <c r="K3030" s="65"/>
      <c r="L3030" s="85" t="b">
        <f>IF(VLOOKUP(C3030,Projetos!A:L,12,false)=TRUE,TRUE,FALSE)</f>
        <v>1</v>
      </c>
      <c r="M3030" s="74">
        <v>52.48434411075036</v>
      </c>
      <c r="N3030" s="74">
        <f t="shared" si="1"/>
        <v>65.60543014</v>
      </c>
      <c r="O3030" s="74" t="b">
        <v>1</v>
      </c>
    </row>
    <row r="3031" hidden="1">
      <c r="A3031" s="82"/>
      <c r="B3031" s="65" t="s">
        <v>177</v>
      </c>
      <c r="C3031" s="65" t="s">
        <v>117</v>
      </c>
      <c r="D3031" s="65" t="str">
        <f>vlookup(C3031,'Classificação p pessoal'!F:G,2,false)</f>
        <v>NP</v>
      </c>
      <c r="E3031" s="65" t="s">
        <v>2051</v>
      </c>
      <c r="F3031" s="83">
        <v>0.4375</v>
      </c>
      <c r="G3031" s="83">
        <v>0.4791666666666667</v>
      </c>
      <c r="H3031" s="83">
        <v>0.041666666666666664</v>
      </c>
      <c r="I3031" s="84">
        <v>44510.0</v>
      </c>
      <c r="J3031" s="65" t="b">
        <v>1</v>
      </c>
      <c r="K3031" s="65"/>
      <c r="L3031" s="85" t="b">
        <f>IF(VLOOKUP(C3031,Projetos!A:L,12,false)=TRUE,TRUE,FALSE)</f>
        <v>1</v>
      </c>
      <c r="M3031" s="74">
        <v>31.02923620430495</v>
      </c>
      <c r="N3031" s="74">
        <f t="shared" si="1"/>
        <v>31.0292362</v>
      </c>
      <c r="O3031" s="74" t="b">
        <v>1</v>
      </c>
    </row>
    <row r="3032" hidden="1">
      <c r="A3032" s="82"/>
      <c r="B3032" s="65" t="s">
        <v>411</v>
      </c>
      <c r="C3032" s="65" t="s">
        <v>117</v>
      </c>
      <c r="D3032" s="65" t="str">
        <f>vlookup(C3032,'Classificação p pessoal'!F:G,2,false)</f>
        <v>NP</v>
      </c>
      <c r="E3032" s="65" t="s">
        <v>2052</v>
      </c>
      <c r="F3032" s="83">
        <v>0.6875</v>
      </c>
      <c r="G3032" s="83">
        <v>0.75</v>
      </c>
      <c r="H3032" s="83">
        <v>0.0625</v>
      </c>
      <c r="I3032" s="84">
        <v>44270.0</v>
      </c>
      <c r="J3032" s="65" t="b">
        <v>1</v>
      </c>
      <c r="K3032" s="65"/>
      <c r="L3032" s="85" t="b">
        <f>IF(VLOOKUP(C3032,Projetos!A:L,12,false)=TRUE,TRUE,FALSE)</f>
        <v>1</v>
      </c>
      <c r="M3032" s="74">
        <v>52.48434411075036</v>
      </c>
      <c r="N3032" s="74">
        <f t="shared" si="1"/>
        <v>78.72651617</v>
      </c>
      <c r="O3032" s="74" t="b">
        <v>1</v>
      </c>
    </row>
    <row r="3033" hidden="1">
      <c r="A3033" s="82"/>
      <c r="B3033" s="65" t="s">
        <v>411</v>
      </c>
      <c r="C3033" s="65" t="s">
        <v>130</v>
      </c>
      <c r="D3033" s="65" t="str">
        <f>vlookup(C3033,'Classificação p pessoal'!F:G,2,false)</f>
        <v>NP</v>
      </c>
      <c r="E3033" s="65" t="s">
        <v>2053</v>
      </c>
      <c r="F3033" s="83">
        <v>0.34375</v>
      </c>
      <c r="G3033" s="83">
        <v>0.375</v>
      </c>
      <c r="H3033" s="83">
        <v>0.03125</v>
      </c>
      <c r="I3033" s="84">
        <v>44271.0</v>
      </c>
      <c r="J3033" s="65" t="b">
        <v>1</v>
      </c>
      <c r="K3033" s="65"/>
      <c r="L3033" s="85" t="b">
        <f>IF(VLOOKUP(C3033,Projetos!A:L,12,false)=TRUE,TRUE,FALSE)</f>
        <v>1</v>
      </c>
      <c r="M3033" s="74">
        <v>52.48434411075036</v>
      </c>
      <c r="N3033" s="74">
        <f t="shared" si="1"/>
        <v>39.36325808</v>
      </c>
      <c r="O3033" s="74" t="b">
        <v>1</v>
      </c>
    </row>
    <row r="3034" hidden="1">
      <c r="A3034" s="82"/>
      <c r="B3034" s="65" t="s">
        <v>411</v>
      </c>
      <c r="C3034" s="65" t="s">
        <v>120</v>
      </c>
      <c r="D3034" s="65"/>
      <c r="E3034" s="65" t="s">
        <v>2054</v>
      </c>
      <c r="F3034" s="83">
        <v>0.4791666666666667</v>
      </c>
      <c r="G3034" s="83">
        <v>0.5</v>
      </c>
      <c r="H3034" s="83">
        <v>0.020833333333333332</v>
      </c>
      <c r="I3034" s="84">
        <v>44509.0</v>
      </c>
      <c r="J3034" s="65" t="b">
        <v>0</v>
      </c>
      <c r="K3034" s="65" t="s">
        <v>150</v>
      </c>
      <c r="L3034" s="85" t="b">
        <f>IF(VLOOKUP(C3034,Projetos!A:L,12,false)=TRUE,TRUE,FALSE)</f>
        <v>0</v>
      </c>
      <c r="M3034" s="74">
        <v>52.48434411075036</v>
      </c>
      <c r="N3034" s="74">
        <f t="shared" si="1"/>
        <v>0</v>
      </c>
      <c r="O3034" s="74" t="b">
        <v>0</v>
      </c>
    </row>
    <row r="3035" hidden="1">
      <c r="A3035" s="82"/>
      <c r="B3035" s="65" t="s">
        <v>411</v>
      </c>
      <c r="C3035" s="65" t="s">
        <v>117</v>
      </c>
      <c r="D3035" s="65"/>
      <c r="E3035" s="65" t="s">
        <v>2055</v>
      </c>
      <c r="F3035" s="83">
        <v>0.3958333333333333</v>
      </c>
      <c r="G3035" s="83">
        <v>0.4166666666666667</v>
      </c>
      <c r="H3035" s="83">
        <v>0.020833333333333332</v>
      </c>
      <c r="I3035" s="84">
        <v>44271.0</v>
      </c>
      <c r="J3035" s="65" t="b">
        <v>0</v>
      </c>
      <c r="K3035" s="65" t="s">
        <v>150</v>
      </c>
      <c r="L3035" s="85" t="b">
        <f>IF(VLOOKUP(C3035,Projetos!A:L,12,false)=TRUE,TRUE,FALSE)</f>
        <v>1</v>
      </c>
      <c r="M3035" s="74">
        <v>52.48434411075036</v>
      </c>
      <c r="N3035" s="74">
        <f t="shared" si="1"/>
        <v>0</v>
      </c>
      <c r="O3035" s="74" t="b">
        <v>1</v>
      </c>
    </row>
    <row r="3036" hidden="1">
      <c r="A3036" s="82"/>
      <c r="B3036" s="65" t="s">
        <v>411</v>
      </c>
      <c r="C3036" s="65" t="s">
        <v>117</v>
      </c>
      <c r="D3036" s="65" t="str">
        <f>vlookup(C3036,'Classificação p pessoal'!F:G,2,false)</f>
        <v>NP</v>
      </c>
      <c r="E3036" s="65" t="s">
        <v>2056</v>
      </c>
      <c r="F3036" s="83">
        <v>0.4583333333333333</v>
      </c>
      <c r="G3036" s="83">
        <v>0.5</v>
      </c>
      <c r="H3036" s="83">
        <v>0.041666666666666664</v>
      </c>
      <c r="I3036" s="84">
        <v>44271.0</v>
      </c>
      <c r="J3036" s="65" t="b">
        <v>1</v>
      </c>
      <c r="K3036" s="65"/>
      <c r="L3036" s="85" t="b">
        <f>IF(VLOOKUP(C3036,Projetos!A:L,12,false)=TRUE,TRUE,FALSE)</f>
        <v>1</v>
      </c>
      <c r="M3036" s="74">
        <v>52.48434411075036</v>
      </c>
      <c r="N3036" s="74">
        <f t="shared" si="1"/>
        <v>52.48434411</v>
      </c>
      <c r="O3036" s="74" t="b">
        <v>1</v>
      </c>
    </row>
    <row r="3037" hidden="1">
      <c r="A3037" s="82"/>
      <c r="B3037" s="65" t="s">
        <v>411</v>
      </c>
      <c r="C3037" s="65" t="s">
        <v>117</v>
      </c>
      <c r="D3037" s="65"/>
      <c r="E3037" s="65" t="s">
        <v>2057</v>
      </c>
      <c r="F3037" s="83">
        <v>0.5416666666666666</v>
      </c>
      <c r="G3037" s="83">
        <v>0.75</v>
      </c>
      <c r="H3037" s="83">
        <v>0.20833333333333334</v>
      </c>
      <c r="I3037" s="84">
        <v>44271.0</v>
      </c>
      <c r="J3037" s="65" t="b">
        <v>0</v>
      </c>
      <c r="K3037" s="65" t="s">
        <v>150</v>
      </c>
      <c r="L3037" s="85" t="b">
        <f>IF(VLOOKUP(C3037,Projetos!A:L,12,false)=TRUE,TRUE,FALSE)</f>
        <v>1</v>
      </c>
      <c r="M3037" s="74">
        <v>52.48434411075036</v>
      </c>
      <c r="N3037" s="74">
        <f t="shared" si="1"/>
        <v>0</v>
      </c>
      <c r="O3037" s="74" t="b">
        <v>1</v>
      </c>
    </row>
    <row r="3038" hidden="1">
      <c r="A3038" s="82"/>
      <c r="B3038" s="65" t="s">
        <v>411</v>
      </c>
      <c r="C3038" s="65" t="s">
        <v>117</v>
      </c>
      <c r="D3038" s="65" t="str">
        <f>vlookup(C3038,'Classificação p pessoal'!F:G,2,false)</f>
        <v>NP</v>
      </c>
      <c r="E3038" s="65" t="s">
        <v>2056</v>
      </c>
      <c r="F3038" s="83">
        <v>0.34375</v>
      </c>
      <c r="G3038" s="83">
        <v>0.3854166666666667</v>
      </c>
      <c r="H3038" s="83">
        <v>0.041666666666666664</v>
      </c>
      <c r="I3038" s="84">
        <v>44272.0</v>
      </c>
      <c r="J3038" s="65" t="b">
        <v>1</v>
      </c>
      <c r="K3038" s="65"/>
      <c r="L3038" s="85" t="b">
        <f>IF(VLOOKUP(C3038,Projetos!A:L,12,false)=TRUE,TRUE,FALSE)</f>
        <v>1</v>
      </c>
      <c r="M3038" s="74">
        <v>52.48434411075036</v>
      </c>
      <c r="N3038" s="74">
        <f t="shared" si="1"/>
        <v>52.48434411</v>
      </c>
      <c r="O3038" s="74" t="b">
        <v>1</v>
      </c>
    </row>
    <row r="3039" hidden="1">
      <c r="A3039" s="82"/>
      <c r="B3039" s="65" t="s">
        <v>411</v>
      </c>
      <c r="C3039" s="65" t="s">
        <v>117</v>
      </c>
      <c r="D3039" s="65"/>
      <c r="E3039" s="65" t="s">
        <v>2058</v>
      </c>
      <c r="F3039" s="83">
        <v>0.3854166666666667</v>
      </c>
      <c r="G3039" s="83">
        <v>0.625</v>
      </c>
      <c r="H3039" s="83">
        <v>0.23958333333333334</v>
      </c>
      <c r="I3039" s="84">
        <v>44272.0</v>
      </c>
      <c r="J3039" s="65" t="b">
        <v>0</v>
      </c>
      <c r="K3039" s="65" t="s">
        <v>150</v>
      </c>
      <c r="L3039" s="85" t="b">
        <f>IF(VLOOKUP(C3039,Projetos!A:L,12,false)=TRUE,TRUE,FALSE)</f>
        <v>1</v>
      </c>
      <c r="M3039" s="74">
        <v>52.48434411075036</v>
      </c>
      <c r="N3039" s="74">
        <f t="shared" si="1"/>
        <v>0</v>
      </c>
      <c r="O3039" s="74" t="b">
        <v>1</v>
      </c>
    </row>
    <row r="3040" hidden="1">
      <c r="A3040" s="82"/>
      <c r="B3040" s="65" t="s">
        <v>411</v>
      </c>
      <c r="C3040" s="65" t="s">
        <v>117</v>
      </c>
      <c r="D3040" s="65" t="str">
        <f>vlookup(C3040,'Classificação p pessoal'!F:G,2,false)</f>
        <v>NP</v>
      </c>
      <c r="E3040" s="65" t="s">
        <v>2059</v>
      </c>
      <c r="F3040" s="83">
        <v>0.6666666666666666</v>
      </c>
      <c r="G3040" s="83">
        <v>0.6875</v>
      </c>
      <c r="H3040" s="83">
        <v>0.020833333333333332</v>
      </c>
      <c r="I3040" s="84">
        <v>44272.0</v>
      </c>
      <c r="J3040" s="65" t="b">
        <v>1</v>
      </c>
      <c r="K3040" s="65"/>
      <c r="L3040" s="85" t="b">
        <f>IF(VLOOKUP(C3040,Projetos!A:L,12,false)=TRUE,TRUE,FALSE)</f>
        <v>1</v>
      </c>
      <c r="M3040" s="74">
        <v>52.48434411075036</v>
      </c>
      <c r="N3040" s="74">
        <f t="shared" si="1"/>
        <v>26.24217206</v>
      </c>
      <c r="O3040" s="74" t="b">
        <v>1</v>
      </c>
    </row>
    <row r="3041" hidden="1">
      <c r="A3041" s="82"/>
      <c r="B3041" s="65" t="s">
        <v>411</v>
      </c>
      <c r="C3041" s="65" t="s">
        <v>130</v>
      </c>
      <c r="D3041" s="65" t="str">
        <f>vlookup(C3041,'Classificação p pessoal'!F:G,2,false)</f>
        <v>NP</v>
      </c>
      <c r="E3041" s="65" t="s">
        <v>2060</v>
      </c>
      <c r="F3041" s="83">
        <v>0.6875</v>
      </c>
      <c r="G3041" s="83">
        <v>0.75</v>
      </c>
      <c r="H3041" s="83">
        <v>0.0625</v>
      </c>
      <c r="I3041" s="84">
        <v>44272.0</v>
      </c>
      <c r="J3041" s="65" t="b">
        <v>1</v>
      </c>
      <c r="K3041" s="65"/>
      <c r="L3041" s="85" t="b">
        <f>IF(VLOOKUP(C3041,Projetos!A:L,12,false)=TRUE,TRUE,FALSE)</f>
        <v>1</v>
      </c>
      <c r="M3041" s="74">
        <v>52.48434411075036</v>
      </c>
      <c r="N3041" s="74">
        <f t="shared" si="1"/>
        <v>78.72651617</v>
      </c>
      <c r="O3041" s="74" t="b">
        <v>1</v>
      </c>
    </row>
    <row r="3042" hidden="1">
      <c r="A3042" s="82"/>
      <c r="B3042" s="65" t="s">
        <v>411</v>
      </c>
      <c r="C3042" s="65" t="s">
        <v>92</v>
      </c>
      <c r="D3042" s="65"/>
      <c r="E3042" s="65" t="s">
        <v>2061</v>
      </c>
      <c r="F3042" s="83">
        <v>0.34375</v>
      </c>
      <c r="G3042" s="83">
        <v>0.375</v>
      </c>
      <c r="H3042" s="83">
        <v>0.03125</v>
      </c>
      <c r="I3042" s="84">
        <v>44273.0</v>
      </c>
      <c r="J3042" s="65" t="b">
        <v>0</v>
      </c>
      <c r="K3042" s="65" t="s">
        <v>150</v>
      </c>
      <c r="L3042" s="85" t="b">
        <f>IF(VLOOKUP(C3042,Projetos!A:L,12,false)=TRUE,TRUE,FALSE)</f>
        <v>1</v>
      </c>
      <c r="M3042" s="74">
        <v>52.48434411075036</v>
      </c>
      <c r="N3042" s="74">
        <f t="shared" si="1"/>
        <v>0</v>
      </c>
      <c r="O3042" s="74" t="b">
        <v>1</v>
      </c>
    </row>
    <row r="3043" hidden="1">
      <c r="A3043" s="82"/>
      <c r="B3043" s="65" t="s">
        <v>411</v>
      </c>
      <c r="C3043" s="65" t="s">
        <v>120</v>
      </c>
      <c r="D3043" s="65"/>
      <c r="E3043" s="65" t="s">
        <v>2062</v>
      </c>
      <c r="F3043" s="83">
        <v>0.3958333333333333</v>
      </c>
      <c r="G3043" s="83">
        <v>0.4166666666666667</v>
      </c>
      <c r="H3043" s="83">
        <v>0.020833333333333332</v>
      </c>
      <c r="I3043" s="84">
        <v>44273.0</v>
      </c>
      <c r="J3043" s="65" t="b">
        <v>0</v>
      </c>
      <c r="K3043" s="65" t="s">
        <v>150</v>
      </c>
      <c r="L3043" s="85" t="b">
        <f>IF(VLOOKUP(C3043,Projetos!A:L,12,false)=TRUE,TRUE,FALSE)</f>
        <v>0</v>
      </c>
      <c r="M3043" s="74">
        <v>52.48434411075036</v>
      </c>
      <c r="N3043" s="74">
        <f t="shared" si="1"/>
        <v>0</v>
      </c>
      <c r="O3043" s="74" t="b">
        <v>0</v>
      </c>
    </row>
    <row r="3044" hidden="1">
      <c r="A3044" s="82"/>
      <c r="B3044" s="65" t="s">
        <v>411</v>
      </c>
      <c r="C3044" s="65" t="s">
        <v>117</v>
      </c>
      <c r="D3044" s="65" t="str">
        <f>vlookup(C3044,'Classificação p pessoal'!F:G,2,false)</f>
        <v>NP</v>
      </c>
      <c r="E3044" s="65" t="s">
        <v>2063</v>
      </c>
      <c r="F3044" s="83">
        <v>0.4166666666666667</v>
      </c>
      <c r="G3044" s="83">
        <v>0.4479166666666667</v>
      </c>
      <c r="H3044" s="83">
        <v>0.03125</v>
      </c>
      <c r="I3044" s="84">
        <v>44273.0</v>
      </c>
      <c r="J3044" s="65" t="b">
        <v>1</v>
      </c>
      <c r="K3044" s="65"/>
      <c r="L3044" s="85" t="b">
        <f>IF(VLOOKUP(C3044,Projetos!A:L,12,false)=TRUE,TRUE,FALSE)</f>
        <v>1</v>
      </c>
      <c r="M3044" s="74">
        <v>52.48434411075036</v>
      </c>
      <c r="N3044" s="74">
        <f t="shared" si="1"/>
        <v>39.36325808</v>
      </c>
      <c r="O3044" s="74" t="b">
        <v>1</v>
      </c>
    </row>
    <row r="3045" hidden="1">
      <c r="A3045" s="82"/>
      <c r="B3045" s="65" t="s">
        <v>411</v>
      </c>
      <c r="C3045" s="65" t="s">
        <v>117</v>
      </c>
      <c r="D3045" s="65" t="str">
        <f>vlookup(C3045,'Classificação p pessoal'!F:G,2,false)</f>
        <v>NP</v>
      </c>
      <c r="E3045" s="65" t="s">
        <v>2064</v>
      </c>
      <c r="F3045" s="83">
        <v>0.4479166666666667</v>
      </c>
      <c r="G3045" s="83">
        <v>0.5208333333333334</v>
      </c>
      <c r="H3045" s="83">
        <v>0.07291666666666667</v>
      </c>
      <c r="I3045" s="84">
        <v>44273.0</v>
      </c>
      <c r="J3045" s="65" t="b">
        <v>1</v>
      </c>
      <c r="K3045" s="65"/>
      <c r="L3045" s="85" t="b">
        <f>IF(VLOOKUP(C3045,Projetos!A:L,12,false)=TRUE,TRUE,FALSE)</f>
        <v>1</v>
      </c>
      <c r="M3045" s="74">
        <v>52.48434411075036</v>
      </c>
      <c r="N3045" s="74">
        <f t="shared" si="1"/>
        <v>91.84760219</v>
      </c>
      <c r="O3045" s="74" t="b">
        <v>1</v>
      </c>
    </row>
    <row r="3046" hidden="1">
      <c r="A3046" s="82"/>
      <c r="B3046" s="65" t="s">
        <v>411</v>
      </c>
      <c r="C3046" s="65" t="s">
        <v>117</v>
      </c>
      <c r="D3046" s="65"/>
      <c r="E3046" s="65" t="s">
        <v>2065</v>
      </c>
      <c r="F3046" s="83">
        <v>0.5625</v>
      </c>
      <c r="G3046" s="83">
        <v>0.75</v>
      </c>
      <c r="H3046" s="83">
        <v>0.1875</v>
      </c>
      <c r="I3046" s="84">
        <v>44273.0</v>
      </c>
      <c r="J3046" s="65" t="b">
        <v>0</v>
      </c>
      <c r="K3046" s="65" t="s">
        <v>150</v>
      </c>
      <c r="L3046" s="85" t="b">
        <f>IF(VLOOKUP(C3046,Projetos!A:L,12,false)=TRUE,TRUE,FALSE)</f>
        <v>1</v>
      </c>
      <c r="M3046" s="74">
        <v>52.48434411075036</v>
      </c>
      <c r="N3046" s="74">
        <f t="shared" si="1"/>
        <v>0</v>
      </c>
      <c r="O3046" s="74" t="b">
        <v>1</v>
      </c>
    </row>
    <row r="3047" hidden="1">
      <c r="A3047" s="82"/>
      <c r="B3047" s="65" t="s">
        <v>411</v>
      </c>
      <c r="C3047" s="65" t="s">
        <v>92</v>
      </c>
      <c r="D3047" s="65" t="str">
        <f>vlookup(C3047,'Classificação p pessoal'!F:G,2,false)</f>
        <v/>
      </c>
      <c r="E3047" s="65" t="s">
        <v>2066</v>
      </c>
      <c r="F3047" s="83">
        <v>0.34375</v>
      </c>
      <c r="G3047" s="83">
        <v>0.3541666666666667</v>
      </c>
      <c r="H3047" s="83">
        <v>0.010416666666666666</v>
      </c>
      <c r="I3047" s="84">
        <v>44274.0</v>
      </c>
      <c r="J3047" s="65" t="b">
        <v>1</v>
      </c>
      <c r="K3047" s="65"/>
      <c r="L3047" s="85" t="b">
        <f>IF(VLOOKUP(C3047,Projetos!A:L,12,false)=TRUE,TRUE,FALSE)</f>
        <v>1</v>
      </c>
      <c r="M3047" s="74">
        <v>52.48434411075036</v>
      </c>
      <c r="N3047" s="74">
        <f t="shared" si="1"/>
        <v>13.12108603</v>
      </c>
      <c r="O3047" s="74" t="b">
        <v>1</v>
      </c>
    </row>
    <row r="3048" hidden="1">
      <c r="A3048" s="82"/>
      <c r="B3048" s="65" t="s">
        <v>411</v>
      </c>
      <c r="C3048" s="65" t="s">
        <v>119</v>
      </c>
      <c r="D3048" s="65" t="str">
        <f>vlookup(C3048,'Classificação p pessoal'!F:G,2,false)</f>
        <v>NP</v>
      </c>
      <c r="E3048" s="65" t="s">
        <v>2067</v>
      </c>
      <c r="F3048" s="83">
        <v>0.3541666666666667</v>
      </c>
      <c r="G3048" s="83">
        <v>0.375</v>
      </c>
      <c r="H3048" s="83">
        <v>0.020833333333333332</v>
      </c>
      <c r="I3048" s="84">
        <v>44274.0</v>
      </c>
      <c r="J3048" s="65" t="b">
        <v>1</v>
      </c>
      <c r="K3048" s="65"/>
      <c r="L3048" s="85" t="b">
        <f>IF(VLOOKUP(C3048,Projetos!A:L,12,false)=TRUE,TRUE,FALSE)</f>
        <v>1</v>
      </c>
      <c r="M3048" s="74">
        <v>52.48434411075036</v>
      </c>
      <c r="N3048" s="74">
        <f t="shared" si="1"/>
        <v>26.24217206</v>
      </c>
      <c r="O3048" s="74" t="b">
        <v>1</v>
      </c>
    </row>
    <row r="3049" hidden="1">
      <c r="A3049" s="82"/>
      <c r="B3049" s="65" t="s">
        <v>411</v>
      </c>
      <c r="C3049" s="65" t="s">
        <v>101</v>
      </c>
      <c r="D3049" s="65" t="str">
        <f>vlookup(C3049,'Classificação p pessoal'!F:G,2,false)</f>
        <v>NP</v>
      </c>
      <c r="E3049" s="65" t="s">
        <v>2068</v>
      </c>
      <c r="F3049" s="83">
        <v>0.375</v>
      </c>
      <c r="G3049" s="83">
        <v>0.4166666666666667</v>
      </c>
      <c r="H3049" s="83">
        <v>0.041666666666666664</v>
      </c>
      <c r="I3049" s="84">
        <v>44274.0</v>
      </c>
      <c r="J3049" s="65" t="b">
        <v>1</v>
      </c>
      <c r="K3049" s="65"/>
      <c r="L3049" s="85" t="b">
        <f>IF(VLOOKUP(C3049,Projetos!A:L,12,false)=TRUE,TRUE,FALSE)</f>
        <v>1</v>
      </c>
      <c r="M3049" s="74">
        <v>52.48434411075036</v>
      </c>
      <c r="N3049" s="74">
        <f t="shared" si="1"/>
        <v>52.48434411</v>
      </c>
      <c r="O3049" s="74" t="b">
        <v>1</v>
      </c>
    </row>
    <row r="3050" hidden="1">
      <c r="A3050" s="82"/>
      <c r="B3050" s="65" t="s">
        <v>411</v>
      </c>
      <c r="C3050" s="65" t="s">
        <v>117</v>
      </c>
      <c r="D3050" s="65" t="str">
        <f>vlookup(C3050,'Classificação p pessoal'!F:G,2,false)</f>
        <v>NP</v>
      </c>
      <c r="E3050" s="65" t="s">
        <v>2069</v>
      </c>
      <c r="F3050" s="83">
        <v>0.4166666666666667</v>
      </c>
      <c r="G3050" s="83">
        <v>0.5208333333333334</v>
      </c>
      <c r="H3050" s="83">
        <v>0.10416666666666667</v>
      </c>
      <c r="I3050" s="84">
        <v>44274.0</v>
      </c>
      <c r="J3050" s="65" t="b">
        <v>1</v>
      </c>
      <c r="K3050" s="65"/>
      <c r="L3050" s="85" t="b">
        <f>IF(VLOOKUP(C3050,Projetos!A:L,12,false)=TRUE,TRUE,FALSE)</f>
        <v>1</v>
      </c>
      <c r="M3050" s="74">
        <v>52.48434411075036</v>
      </c>
      <c r="N3050" s="74">
        <f t="shared" si="1"/>
        <v>131.2108603</v>
      </c>
      <c r="O3050" s="74" t="b">
        <v>1</v>
      </c>
    </row>
    <row r="3051" hidden="1">
      <c r="A3051" s="82"/>
      <c r="B3051" s="65" t="s">
        <v>411</v>
      </c>
      <c r="C3051" s="65" t="s">
        <v>119</v>
      </c>
      <c r="D3051" s="65"/>
      <c r="E3051" s="65" t="s">
        <v>2070</v>
      </c>
      <c r="F3051" s="83">
        <v>0.3958333333333333</v>
      </c>
      <c r="G3051" s="83">
        <v>0.4166666666666667</v>
      </c>
      <c r="H3051" s="83">
        <v>0.020833333333333332</v>
      </c>
      <c r="I3051" s="84">
        <v>44411.0</v>
      </c>
      <c r="J3051" s="65" t="b">
        <v>0</v>
      </c>
      <c r="K3051" s="65" t="s">
        <v>150</v>
      </c>
      <c r="L3051" s="85" t="b">
        <f>IF(VLOOKUP(C3051,Projetos!A:L,12,false)=TRUE,TRUE,FALSE)</f>
        <v>1</v>
      </c>
      <c r="M3051" s="74">
        <v>52.48434411075036</v>
      </c>
      <c r="N3051" s="74">
        <f t="shared" si="1"/>
        <v>0</v>
      </c>
      <c r="O3051" s="74" t="b">
        <v>1</v>
      </c>
    </row>
    <row r="3052" hidden="1">
      <c r="A3052" s="82"/>
      <c r="B3052" s="65" t="s">
        <v>411</v>
      </c>
      <c r="C3052" s="65" t="s">
        <v>125</v>
      </c>
      <c r="D3052" s="65" t="str">
        <f>vlookup(C3052,'Classificação p pessoal'!F:G,2,false)</f>
        <v>MProduto</v>
      </c>
      <c r="E3052" s="65" t="s">
        <v>2071</v>
      </c>
      <c r="F3052" s="83">
        <v>0.625</v>
      </c>
      <c r="G3052" s="83">
        <v>0.7083333333333334</v>
      </c>
      <c r="H3052" s="83">
        <v>0.08333333333333333</v>
      </c>
      <c r="I3052" s="84">
        <v>44274.0</v>
      </c>
      <c r="J3052" s="65" t="b">
        <v>1</v>
      </c>
      <c r="K3052" s="65"/>
      <c r="L3052" s="85" t="b">
        <f>IF(VLOOKUP(C3052,Projetos!A:L,12,false)=TRUE,TRUE,FALSE)</f>
        <v>1</v>
      </c>
      <c r="M3052" s="74">
        <v>52.48434411075036</v>
      </c>
      <c r="N3052" s="74">
        <f t="shared" si="1"/>
        <v>104.9686882</v>
      </c>
      <c r="O3052" s="74" t="b">
        <v>1</v>
      </c>
    </row>
    <row r="3053" hidden="1">
      <c r="A3053" s="82"/>
      <c r="B3053" s="65" t="s">
        <v>411</v>
      </c>
      <c r="C3053" s="65" t="s">
        <v>117</v>
      </c>
      <c r="D3053" s="65" t="str">
        <f>vlookup(C3053,'Classificação p pessoal'!F:G,2,false)</f>
        <v>NP</v>
      </c>
      <c r="E3053" s="65" t="s">
        <v>2072</v>
      </c>
      <c r="F3053" s="83">
        <v>0.7083333333333334</v>
      </c>
      <c r="G3053" s="83">
        <v>0.7291666666666666</v>
      </c>
      <c r="H3053" s="83">
        <v>0.020833333333333332</v>
      </c>
      <c r="I3053" s="84">
        <v>44274.0</v>
      </c>
      <c r="J3053" s="65" t="b">
        <v>1</v>
      </c>
      <c r="K3053" s="65"/>
      <c r="L3053" s="85" t="b">
        <f>IF(VLOOKUP(C3053,Projetos!A:L,12,false)=TRUE,TRUE,FALSE)</f>
        <v>1</v>
      </c>
      <c r="M3053" s="74">
        <v>52.48434411075036</v>
      </c>
      <c r="N3053" s="74">
        <f t="shared" si="1"/>
        <v>26.24217206</v>
      </c>
      <c r="O3053" s="74" t="b">
        <v>1</v>
      </c>
    </row>
    <row r="3054" hidden="1">
      <c r="A3054" s="82"/>
      <c r="B3054" s="65" t="s">
        <v>411</v>
      </c>
      <c r="C3054" s="65" t="s">
        <v>125</v>
      </c>
      <c r="D3054" s="65" t="str">
        <f>vlookup(C3054,'Classificação p pessoal'!F:G,2,false)</f>
        <v>MProduto</v>
      </c>
      <c r="E3054" s="65" t="s">
        <v>2073</v>
      </c>
      <c r="F3054" s="83">
        <v>0.34375</v>
      </c>
      <c r="G3054" s="83">
        <v>0.375</v>
      </c>
      <c r="H3054" s="83">
        <v>0.03125</v>
      </c>
      <c r="I3054" s="84">
        <v>44277.0</v>
      </c>
      <c r="J3054" s="65" t="b">
        <v>1</v>
      </c>
      <c r="K3054" s="65"/>
      <c r="L3054" s="85" t="b">
        <f>IF(VLOOKUP(C3054,Projetos!A:L,12,false)=TRUE,TRUE,FALSE)</f>
        <v>1</v>
      </c>
      <c r="M3054" s="74">
        <v>52.48434411075036</v>
      </c>
      <c r="N3054" s="74">
        <f t="shared" si="1"/>
        <v>39.36325808</v>
      </c>
      <c r="O3054" s="74" t="b">
        <v>1</v>
      </c>
    </row>
    <row r="3055" hidden="1">
      <c r="A3055" s="82"/>
      <c r="B3055" s="65" t="s">
        <v>411</v>
      </c>
      <c r="C3055" s="65" t="s">
        <v>92</v>
      </c>
      <c r="D3055" s="65" t="str">
        <f>vlookup(C3055,'Classificação p pessoal'!F:G,2,false)</f>
        <v/>
      </c>
      <c r="E3055" s="65" t="s">
        <v>2074</v>
      </c>
      <c r="F3055" s="83">
        <v>0.3958333333333333</v>
      </c>
      <c r="G3055" s="83">
        <v>0.4166666666666667</v>
      </c>
      <c r="H3055" s="83">
        <v>0.020833333333333332</v>
      </c>
      <c r="I3055" s="84">
        <v>44277.0</v>
      </c>
      <c r="J3055" s="65" t="b">
        <v>1</v>
      </c>
      <c r="K3055" s="65"/>
      <c r="L3055" s="85" t="b">
        <f>IF(VLOOKUP(C3055,Projetos!A:L,12,false)=TRUE,TRUE,FALSE)</f>
        <v>1</v>
      </c>
      <c r="M3055" s="74">
        <v>52.48434411075036</v>
      </c>
      <c r="N3055" s="74">
        <f t="shared" si="1"/>
        <v>26.24217206</v>
      </c>
      <c r="O3055" s="74" t="b">
        <v>1</v>
      </c>
    </row>
    <row r="3056" hidden="1">
      <c r="A3056" s="82"/>
      <c r="B3056" s="65" t="s">
        <v>411</v>
      </c>
      <c r="C3056" s="65" t="s">
        <v>119</v>
      </c>
      <c r="D3056" s="65" t="str">
        <f>vlookup(C3056,'Classificação p pessoal'!F:G,2,false)</f>
        <v>NP</v>
      </c>
      <c r="E3056" s="65" t="s">
        <v>2075</v>
      </c>
      <c r="F3056" s="83">
        <v>0.4166666666666667</v>
      </c>
      <c r="G3056" s="83">
        <v>0.4583333333333333</v>
      </c>
      <c r="H3056" s="83">
        <v>0.041666666666666664</v>
      </c>
      <c r="I3056" s="84">
        <v>44277.0</v>
      </c>
      <c r="J3056" s="65" t="b">
        <v>1</v>
      </c>
      <c r="K3056" s="65"/>
      <c r="L3056" s="85" t="b">
        <f>IF(VLOOKUP(C3056,Projetos!A:L,12,false)=TRUE,TRUE,FALSE)</f>
        <v>1</v>
      </c>
      <c r="M3056" s="74">
        <v>52.48434411075036</v>
      </c>
      <c r="N3056" s="74">
        <f t="shared" si="1"/>
        <v>52.48434411</v>
      </c>
      <c r="O3056" s="74" t="b">
        <v>1</v>
      </c>
    </row>
    <row r="3057" hidden="1">
      <c r="A3057" s="82"/>
      <c r="B3057" s="65" t="s">
        <v>411</v>
      </c>
      <c r="C3057" s="65" t="s">
        <v>92</v>
      </c>
      <c r="D3057" s="65" t="str">
        <f>vlookup(C3057,'Classificação p pessoal'!F:G,2,false)</f>
        <v/>
      </c>
      <c r="E3057" s="65" t="s">
        <v>2076</v>
      </c>
      <c r="F3057" s="83">
        <v>0.4583333333333333</v>
      </c>
      <c r="G3057" s="83">
        <v>0.5208333333333334</v>
      </c>
      <c r="H3057" s="83">
        <v>0.0625</v>
      </c>
      <c r="I3057" s="84">
        <v>44277.0</v>
      </c>
      <c r="J3057" s="65" t="b">
        <v>1</v>
      </c>
      <c r="K3057" s="65"/>
      <c r="L3057" s="85" t="b">
        <f>IF(VLOOKUP(C3057,Projetos!A:L,12,false)=TRUE,TRUE,FALSE)</f>
        <v>1</v>
      </c>
      <c r="M3057" s="74">
        <v>52.48434411075036</v>
      </c>
      <c r="N3057" s="74">
        <f t="shared" si="1"/>
        <v>78.72651617</v>
      </c>
      <c r="O3057" s="74" t="b">
        <v>1</v>
      </c>
    </row>
    <row r="3058" hidden="1">
      <c r="A3058" s="82"/>
      <c r="B3058" s="65" t="s">
        <v>411</v>
      </c>
      <c r="C3058" s="65" t="s">
        <v>100</v>
      </c>
      <c r="D3058" s="65" t="str">
        <f>vlookup(C3058,'Classificação p pessoal'!F:G,2,false)</f>
        <v>NP</v>
      </c>
      <c r="E3058" s="65" t="s">
        <v>2077</v>
      </c>
      <c r="F3058" s="83">
        <v>0.5208333333333334</v>
      </c>
      <c r="G3058" s="83">
        <v>0.5833333333333334</v>
      </c>
      <c r="H3058" s="83">
        <v>0.0625</v>
      </c>
      <c r="I3058" s="84">
        <v>44277.0</v>
      </c>
      <c r="J3058" s="65" t="b">
        <v>1</v>
      </c>
      <c r="K3058" s="65"/>
      <c r="L3058" s="85" t="b">
        <f>IF(VLOOKUP(C3058,Projetos!A:L,12,false)=TRUE,TRUE,FALSE)</f>
        <v>1</v>
      </c>
      <c r="M3058" s="74">
        <v>52.48434411075036</v>
      </c>
      <c r="N3058" s="74">
        <f t="shared" si="1"/>
        <v>78.72651617</v>
      </c>
      <c r="O3058" s="74" t="b">
        <v>1</v>
      </c>
    </row>
    <row r="3059" hidden="1">
      <c r="A3059" s="82"/>
      <c r="B3059" s="65" t="s">
        <v>411</v>
      </c>
      <c r="C3059" s="65" t="s">
        <v>117</v>
      </c>
      <c r="D3059" s="65" t="str">
        <f>vlookup(C3059,'Classificação p pessoal'!F:G,2,false)</f>
        <v>NP</v>
      </c>
      <c r="E3059" s="65" t="s">
        <v>2078</v>
      </c>
      <c r="F3059" s="83">
        <v>0.625</v>
      </c>
      <c r="G3059" s="83">
        <v>0.6875</v>
      </c>
      <c r="H3059" s="83">
        <v>0.0625</v>
      </c>
      <c r="I3059" s="84">
        <v>44277.0</v>
      </c>
      <c r="J3059" s="65" t="b">
        <v>1</v>
      </c>
      <c r="K3059" s="65"/>
      <c r="L3059" s="85" t="b">
        <f>IF(VLOOKUP(C3059,Projetos!A:L,12,false)=TRUE,TRUE,FALSE)</f>
        <v>1</v>
      </c>
      <c r="M3059" s="74">
        <v>52.48434411075036</v>
      </c>
      <c r="N3059" s="74">
        <f t="shared" si="1"/>
        <v>78.72651617</v>
      </c>
      <c r="O3059" s="74" t="b">
        <v>1</v>
      </c>
    </row>
    <row r="3060" hidden="1">
      <c r="A3060" s="82"/>
      <c r="B3060" s="65" t="s">
        <v>411</v>
      </c>
      <c r="C3060" s="65" t="s">
        <v>92</v>
      </c>
      <c r="D3060" s="65" t="str">
        <f>vlookup(C3060,'Classificação p pessoal'!F:G,2,false)</f>
        <v/>
      </c>
      <c r="E3060" s="65" t="s">
        <v>2079</v>
      </c>
      <c r="F3060" s="83">
        <v>0.6875</v>
      </c>
      <c r="G3060" s="83">
        <v>0.7083333333333334</v>
      </c>
      <c r="H3060" s="83">
        <v>0.020833333333333332</v>
      </c>
      <c r="I3060" s="84">
        <v>44277.0</v>
      </c>
      <c r="J3060" s="65" t="b">
        <v>1</v>
      </c>
      <c r="K3060" s="65"/>
      <c r="L3060" s="85" t="b">
        <f>IF(VLOOKUP(C3060,Projetos!A:L,12,false)=TRUE,TRUE,FALSE)</f>
        <v>1</v>
      </c>
      <c r="M3060" s="74">
        <v>52.48434411075036</v>
      </c>
      <c r="N3060" s="74">
        <f t="shared" si="1"/>
        <v>26.24217206</v>
      </c>
      <c r="O3060" s="74" t="b">
        <v>1</v>
      </c>
    </row>
    <row r="3061" hidden="1">
      <c r="A3061" s="82"/>
      <c r="B3061" s="65" t="s">
        <v>411</v>
      </c>
      <c r="C3061" s="65" t="s">
        <v>88</v>
      </c>
      <c r="D3061" s="65" t="str">
        <f>vlookup(C3061,'Classificação p pessoal'!F:G,2,false)</f>
        <v>MProduto</v>
      </c>
      <c r="E3061" s="65" t="s">
        <v>2080</v>
      </c>
      <c r="F3061" s="83">
        <v>0.7083333333333334</v>
      </c>
      <c r="G3061" s="83">
        <v>0.75</v>
      </c>
      <c r="H3061" s="83">
        <v>0.041666666666666664</v>
      </c>
      <c r="I3061" s="84">
        <v>44277.0</v>
      </c>
      <c r="J3061" s="65" t="b">
        <v>1</v>
      </c>
      <c r="K3061" s="65"/>
      <c r="L3061" s="85" t="b">
        <f>IF(VLOOKUP(C3061,Projetos!A:L,12,false)=TRUE,TRUE,FALSE)</f>
        <v>1</v>
      </c>
      <c r="M3061" s="74">
        <v>52.48434411075036</v>
      </c>
      <c r="N3061" s="74">
        <f t="shared" si="1"/>
        <v>52.48434411</v>
      </c>
      <c r="O3061" s="74" t="b">
        <v>1</v>
      </c>
    </row>
    <row r="3062" hidden="1">
      <c r="A3062" s="82"/>
      <c r="B3062" s="65" t="s">
        <v>411</v>
      </c>
      <c r="C3062" s="65" t="s">
        <v>117</v>
      </c>
      <c r="D3062" s="65" t="str">
        <f>vlookup(C3062,'Classificação p pessoal'!F:G,2,false)</f>
        <v>NP</v>
      </c>
      <c r="E3062" s="65" t="s">
        <v>2081</v>
      </c>
      <c r="F3062" s="83">
        <v>0.34375</v>
      </c>
      <c r="G3062" s="83">
        <v>0.4166666666666667</v>
      </c>
      <c r="H3062" s="83">
        <v>0.07291666666666667</v>
      </c>
      <c r="I3062" s="84">
        <v>44278.0</v>
      </c>
      <c r="J3062" s="65" t="b">
        <v>1</v>
      </c>
      <c r="K3062" s="65"/>
      <c r="L3062" s="85" t="b">
        <f>IF(VLOOKUP(C3062,Projetos!A:L,12,false)=TRUE,TRUE,FALSE)</f>
        <v>1</v>
      </c>
      <c r="M3062" s="74">
        <v>52.48434411075036</v>
      </c>
      <c r="N3062" s="74">
        <f t="shared" si="1"/>
        <v>91.84760219</v>
      </c>
      <c r="O3062" s="74" t="b">
        <v>1</v>
      </c>
    </row>
    <row r="3063" hidden="1">
      <c r="A3063" s="82"/>
      <c r="B3063" s="65" t="s">
        <v>411</v>
      </c>
      <c r="C3063" s="65" t="s">
        <v>92</v>
      </c>
      <c r="D3063" s="65" t="str">
        <f>vlookup(C3063,'Classificação p pessoal'!F:G,2,false)</f>
        <v/>
      </c>
      <c r="E3063" s="65" t="s">
        <v>2082</v>
      </c>
      <c r="F3063" s="83">
        <v>0.4166666666666667</v>
      </c>
      <c r="G3063" s="83">
        <v>0.4791666666666667</v>
      </c>
      <c r="H3063" s="83">
        <v>0.0625</v>
      </c>
      <c r="I3063" s="84">
        <v>44278.0</v>
      </c>
      <c r="J3063" s="65" t="b">
        <v>1</v>
      </c>
      <c r="K3063" s="65"/>
      <c r="L3063" s="85" t="b">
        <f>IF(VLOOKUP(C3063,Projetos!A:L,12,false)=TRUE,TRUE,FALSE)</f>
        <v>1</v>
      </c>
      <c r="M3063" s="74">
        <v>52.48434411075036</v>
      </c>
      <c r="N3063" s="74">
        <f t="shared" si="1"/>
        <v>78.72651617</v>
      </c>
      <c r="O3063" s="74" t="b">
        <v>1</v>
      </c>
    </row>
    <row r="3064" hidden="1">
      <c r="A3064" s="82"/>
      <c r="B3064" s="65" t="s">
        <v>411</v>
      </c>
      <c r="C3064" s="65" t="s">
        <v>152</v>
      </c>
      <c r="D3064" s="65" t="str">
        <f>vlookup(C3064,'Classificação p pessoal'!F:G,2,false)</f>
        <v>MProduto</v>
      </c>
      <c r="E3064" s="65" t="s">
        <v>2083</v>
      </c>
      <c r="F3064" s="83">
        <v>0.5208333333333334</v>
      </c>
      <c r="G3064" s="83">
        <v>0.5625</v>
      </c>
      <c r="H3064" s="83">
        <v>0.041666666666666664</v>
      </c>
      <c r="I3064" s="84">
        <v>44278.0</v>
      </c>
      <c r="J3064" s="65" t="b">
        <v>1</v>
      </c>
      <c r="K3064" s="65"/>
      <c r="L3064" s="85" t="b">
        <f>IF(VLOOKUP(C3064,Projetos!A:L,12,false)=TRUE,TRUE,FALSE)</f>
        <v>1</v>
      </c>
      <c r="M3064" s="74">
        <v>52.48434411075036</v>
      </c>
      <c r="N3064" s="74">
        <f t="shared" si="1"/>
        <v>52.48434411</v>
      </c>
      <c r="O3064" s="74" t="b">
        <v>1</v>
      </c>
    </row>
    <row r="3065" hidden="1">
      <c r="A3065" s="82"/>
      <c r="B3065" s="65" t="s">
        <v>411</v>
      </c>
      <c r="C3065" s="65" t="s">
        <v>92</v>
      </c>
      <c r="D3065" s="65" t="str">
        <f>vlookup(C3065,'Classificação p pessoal'!F:G,2,false)</f>
        <v/>
      </c>
      <c r="E3065" s="65" t="s">
        <v>2084</v>
      </c>
      <c r="F3065" s="83">
        <v>0.6041666666666666</v>
      </c>
      <c r="G3065" s="83">
        <v>0.6666666666666666</v>
      </c>
      <c r="H3065" s="83">
        <v>0.0625</v>
      </c>
      <c r="I3065" s="84">
        <v>44278.0</v>
      </c>
      <c r="J3065" s="65" t="b">
        <v>1</v>
      </c>
      <c r="K3065" s="65"/>
      <c r="L3065" s="85" t="b">
        <f>IF(VLOOKUP(C3065,Projetos!A:L,12,false)=TRUE,TRUE,FALSE)</f>
        <v>1</v>
      </c>
      <c r="M3065" s="74">
        <v>52.48434411075036</v>
      </c>
      <c r="N3065" s="74">
        <f t="shared" si="1"/>
        <v>78.72651617</v>
      </c>
      <c r="O3065" s="74" t="b">
        <v>1</v>
      </c>
    </row>
    <row r="3066" hidden="1">
      <c r="A3066" s="82"/>
      <c r="B3066" s="65" t="s">
        <v>411</v>
      </c>
      <c r="C3066" s="65" t="s">
        <v>152</v>
      </c>
      <c r="D3066" s="65" t="str">
        <f>vlookup(C3066,'Classificação p pessoal'!F:G,2,false)</f>
        <v>MProduto</v>
      </c>
      <c r="E3066" s="65" t="s">
        <v>2085</v>
      </c>
      <c r="F3066" s="83">
        <v>0.6666666666666666</v>
      </c>
      <c r="G3066" s="83">
        <v>0.7083333333333334</v>
      </c>
      <c r="H3066" s="83">
        <v>0.041666666666666664</v>
      </c>
      <c r="I3066" s="84">
        <v>44278.0</v>
      </c>
      <c r="J3066" s="65" t="b">
        <v>1</v>
      </c>
      <c r="K3066" s="65"/>
      <c r="L3066" s="85" t="b">
        <f>IF(VLOOKUP(C3066,Projetos!A:L,12,false)=TRUE,TRUE,FALSE)</f>
        <v>1</v>
      </c>
      <c r="M3066" s="74">
        <v>52.48434411075036</v>
      </c>
      <c r="N3066" s="74">
        <f t="shared" si="1"/>
        <v>52.48434411</v>
      </c>
      <c r="O3066" s="74" t="b">
        <v>1</v>
      </c>
    </row>
    <row r="3067" hidden="1">
      <c r="A3067" s="82"/>
      <c r="B3067" s="65" t="s">
        <v>411</v>
      </c>
      <c r="C3067" s="65" t="s">
        <v>92</v>
      </c>
      <c r="D3067" s="65" t="str">
        <f>vlookup(C3067,'Classificação p pessoal'!F:G,2,false)</f>
        <v/>
      </c>
      <c r="E3067" s="65" t="s">
        <v>2083</v>
      </c>
      <c r="F3067" s="83">
        <v>0.34375</v>
      </c>
      <c r="G3067" s="83">
        <v>0.375</v>
      </c>
      <c r="H3067" s="83">
        <v>0.03125</v>
      </c>
      <c r="I3067" s="84">
        <v>44279.0</v>
      </c>
      <c r="J3067" s="65" t="b">
        <v>1</v>
      </c>
      <c r="K3067" s="65"/>
      <c r="L3067" s="85" t="b">
        <f>IF(VLOOKUP(C3067,Projetos!A:L,12,false)=TRUE,TRUE,FALSE)</f>
        <v>1</v>
      </c>
      <c r="M3067" s="74">
        <v>52.48434411075036</v>
      </c>
      <c r="N3067" s="74">
        <f t="shared" si="1"/>
        <v>39.36325808</v>
      </c>
      <c r="O3067" s="74" t="b">
        <v>1</v>
      </c>
    </row>
    <row r="3068" hidden="1">
      <c r="A3068" s="82"/>
      <c r="B3068" s="65" t="s">
        <v>411</v>
      </c>
      <c r="C3068" s="65" t="s">
        <v>117</v>
      </c>
      <c r="D3068" s="65" t="str">
        <f>vlookup(C3068,'Classificação p pessoal'!F:G,2,false)</f>
        <v>NP</v>
      </c>
      <c r="E3068" s="65" t="s">
        <v>2086</v>
      </c>
      <c r="F3068" s="83">
        <v>0.375</v>
      </c>
      <c r="G3068" s="83">
        <v>0.4375</v>
      </c>
      <c r="H3068" s="83">
        <v>0.0625</v>
      </c>
      <c r="I3068" s="84">
        <v>44279.0</v>
      </c>
      <c r="J3068" s="65" t="b">
        <v>1</v>
      </c>
      <c r="K3068" s="65"/>
      <c r="L3068" s="85" t="b">
        <f>IF(VLOOKUP(C3068,Projetos!A:L,12,false)=TRUE,TRUE,FALSE)</f>
        <v>1</v>
      </c>
      <c r="M3068" s="74">
        <v>52.48434411075036</v>
      </c>
      <c r="N3068" s="74">
        <f t="shared" si="1"/>
        <v>78.72651617</v>
      </c>
      <c r="O3068" s="74" t="b">
        <v>1</v>
      </c>
    </row>
    <row r="3069" hidden="1">
      <c r="A3069" s="82"/>
      <c r="B3069" s="65" t="s">
        <v>411</v>
      </c>
      <c r="C3069" s="65" t="s">
        <v>92</v>
      </c>
      <c r="D3069" s="65" t="str">
        <f>vlookup(C3069,'Classificação p pessoal'!F:G,2,false)</f>
        <v/>
      </c>
      <c r="E3069" s="65" t="s">
        <v>2087</v>
      </c>
      <c r="F3069" s="83">
        <v>0.4375</v>
      </c>
      <c r="G3069" s="83">
        <v>0.5208333333333334</v>
      </c>
      <c r="H3069" s="83">
        <v>0.08333333333333333</v>
      </c>
      <c r="I3069" s="84">
        <v>44279.0</v>
      </c>
      <c r="J3069" s="65" t="b">
        <v>1</v>
      </c>
      <c r="K3069" s="65"/>
      <c r="L3069" s="85" t="b">
        <f>IF(VLOOKUP(C3069,Projetos!A:L,12,false)=TRUE,TRUE,FALSE)</f>
        <v>1</v>
      </c>
      <c r="M3069" s="74">
        <v>52.48434411075036</v>
      </c>
      <c r="N3069" s="74">
        <f t="shared" si="1"/>
        <v>104.9686882</v>
      </c>
      <c r="O3069" s="74" t="b">
        <v>1</v>
      </c>
    </row>
    <row r="3070" hidden="1">
      <c r="A3070" s="82"/>
      <c r="B3070" s="65" t="s">
        <v>411</v>
      </c>
      <c r="C3070" s="65" t="s">
        <v>152</v>
      </c>
      <c r="D3070" s="65" t="str">
        <f>vlookup(C3070,'Classificação p pessoal'!F:G,2,false)</f>
        <v>MProduto</v>
      </c>
      <c r="E3070" s="65" t="s">
        <v>2088</v>
      </c>
      <c r="F3070" s="83">
        <v>0.5208333333333334</v>
      </c>
      <c r="G3070" s="83">
        <v>0.5625</v>
      </c>
      <c r="H3070" s="83">
        <v>0.041666666666666664</v>
      </c>
      <c r="I3070" s="84">
        <v>44279.0</v>
      </c>
      <c r="J3070" s="65" t="b">
        <v>1</v>
      </c>
      <c r="K3070" s="65"/>
      <c r="L3070" s="85" t="b">
        <f>IF(VLOOKUP(C3070,Projetos!A:L,12,false)=TRUE,TRUE,FALSE)</f>
        <v>1</v>
      </c>
      <c r="M3070" s="74">
        <v>52.48434411075036</v>
      </c>
      <c r="N3070" s="74">
        <f t="shared" si="1"/>
        <v>52.48434411</v>
      </c>
      <c r="O3070" s="74" t="b">
        <v>1</v>
      </c>
    </row>
    <row r="3071" hidden="1">
      <c r="A3071" s="82"/>
      <c r="B3071" s="65" t="s">
        <v>411</v>
      </c>
      <c r="C3071" s="65" t="s">
        <v>117</v>
      </c>
      <c r="D3071" s="65" t="str">
        <f>vlookup(C3071,'Classificação p pessoal'!F:G,2,false)</f>
        <v>NP</v>
      </c>
      <c r="E3071" s="65" t="s">
        <v>2089</v>
      </c>
      <c r="F3071" s="83">
        <v>0.6041666666666666</v>
      </c>
      <c r="G3071" s="83">
        <v>0.6458333333333334</v>
      </c>
      <c r="H3071" s="83">
        <v>0.041666666666666664</v>
      </c>
      <c r="I3071" s="84">
        <v>44279.0</v>
      </c>
      <c r="J3071" s="65" t="b">
        <v>1</v>
      </c>
      <c r="K3071" s="65"/>
      <c r="L3071" s="85" t="b">
        <f>IF(VLOOKUP(C3071,Projetos!A:L,12,false)=TRUE,TRUE,FALSE)</f>
        <v>1</v>
      </c>
      <c r="M3071" s="74">
        <v>52.48434411075036</v>
      </c>
      <c r="N3071" s="74">
        <f t="shared" si="1"/>
        <v>52.48434411</v>
      </c>
      <c r="O3071" s="74" t="b">
        <v>1</v>
      </c>
    </row>
    <row r="3072" hidden="1">
      <c r="A3072" s="82"/>
      <c r="B3072" s="65" t="s">
        <v>411</v>
      </c>
      <c r="C3072" s="65" t="s">
        <v>120</v>
      </c>
      <c r="D3072" s="65"/>
      <c r="E3072" s="65" t="s">
        <v>2090</v>
      </c>
      <c r="F3072" s="83">
        <v>0.6666666666666666</v>
      </c>
      <c r="G3072" s="83">
        <v>0.6875</v>
      </c>
      <c r="H3072" s="83">
        <v>0.020833333333333332</v>
      </c>
      <c r="I3072" s="84">
        <v>44279.0</v>
      </c>
      <c r="J3072" s="65" t="b">
        <v>0</v>
      </c>
      <c r="K3072" s="65"/>
      <c r="L3072" s="85" t="b">
        <f>IF(VLOOKUP(C3072,Projetos!A:L,12,false)=TRUE,TRUE,FALSE)</f>
        <v>0</v>
      </c>
      <c r="M3072" s="74">
        <v>52.48434411075036</v>
      </c>
      <c r="N3072" s="74">
        <f t="shared" si="1"/>
        <v>0</v>
      </c>
      <c r="O3072" s="74" t="b">
        <v>0</v>
      </c>
    </row>
    <row r="3073" hidden="1">
      <c r="A3073" s="82"/>
      <c r="B3073" s="65" t="s">
        <v>411</v>
      </c>
      <c r="C3073" s="65" t="s">
        <v>92</v>
      </c>
      <c r="D3073" s="65" t="str">
        <f>vlookup(C3073,'Classificação p pessoal'!F:G,2,false)</f>
        <v/>
      </c>
      <c r="E3073" s="65" t="s">
        <v>2091</v>
      </c>
      <c r="F3073" s="83">
        <v>0.6875</v>
      </c>
      <c r="G3073" s="83">
        <v>0.7291666666666666</v>
      </c>
      <c r="H3073" s="83">
        <v>0.041666666666666664</v>
      </c>
      <c r="I3073" s="84">
        <v>44279.0</v>
      </c>
      <c r="J3073" s="65" t="b">
        <v>1</v>
      </c>
      <c r="K3073" s="65"/>
      <c r="L3073" s="85" t="b">
        <f>IF(VLOOKUP(C3073,Projetos!A:L,12,false)=TRUE,TRUE,FALSE)</f>
        <v>1</v>
      </c>
      <c r="M3073" s="74">
        <v>52.48434411075036</v>
      </c>
      <c r="N3073" s="74">
        <f t="shared" si="1"/>
        <v>52.48434411</v>
      </c>
      <c r="O3073" s="74" t="b">
        <v>1</v>
      </c>
    </row>
    <row r="3074" hidden="1">
      <c r="A3074" s="82"/>
      <c r="B3074" s="65" t="s">
        <v>411</v>
      </c>
      <c r="C3074" s="65" t="s">
        <v>92</v>
      </c>
      <c r="D3074" s="65" t="str">
        <f>vlookup(C3074,'Classificação p pessoal'!F:G,2,false)</f>
        <v/>
      </c>
      <c r="E3074" s="65" t="s">
        <v>2092</v>
      </c>
      <c r="F3074" s="83">
        <v>0.34375</v>
      </c>
      <c r="G3074" s="83">
        <v>0.4166666666666667</v>
      </c>
      <c r="H3074" s="83">
        <v>0.07291666666666667</v>
      </c>
      <c r="I3074" s="84">
        <v>44280.0</v>
      </c>
      <c r="J3074" s="65" t="b">
        <v>1</v>
      </c>
      <c r="K3074" s="65"/>
      <c r="L3074" s="85" t="b">
        <f>IF(VLOOKUP(C3074,Projetos!A:L,12,false)=TRUE,TRUE,FALSE)</f>
        <v>1</v>
      </c>
      <c r="M3074" s="74">
        <v>52.48434411075036</v>
      </c>
      <c r="N3074" s="74">
        <f t="shared" si="1"/>
        <v>91.84760219</v>
      </c>
      <c r="O3074" s="74" t="b">
        <v>1</v>
      </c>
    </row>
    <row r="3075" hidden="1">
      <c r="A3075" s="82"/>
      <c r="B3075" s="65" t="s">
        <v>411</v>
      </c>
      <c r="C3075" s="65" t="s">
        <v>127</v>
      </c>
      <c r="D3075" s="65"/>
      <c r="E3075" s="65" t="s">
        <v>2093</v>
      </c>
      <c r="F3075" s="83">
        <v>0.4166666666666667</v>
      </c>
      <c r="G3075" s="83">
        <v>0.4375</v>
      </c>
      <c r="H3075" s="83">
        <v>0.020833333333333332</v>
      </c>
      <c r="I3075" s="84">
        <v>44280.0</v>
      </c>
      <c r="J3075" s="65" t="b">
        <v>0</v>
      </c>
      <c r="K3075" s="65" t="s">
        <v>150</v>
      </c>
      <c r="L3075" s="85" t="b">
        <f>IF(VLOOKUP(C3075,Projetos!A:L,12,false)=TRUE,TRUE,FALSE)</f>
        <v>1</v>
      </c>
      <c r="M3075" s="74">
        <v>52.48434411075036</v>
      </c>
      <c r="N3075" s="74">
        <f t="shared" si="1"/>
        <v>0</v>
      </c>
      <c r="O3075" s="74" t="b">
        <v>1</v>
      </c>
    </row>
    <row r="3076" hidden="1">
      <c r="A3076" s="82"/>
      <c r="B3076" s="65" t="s">
        <v>411</v>
      </c>
      <c r="C3076" s="65" t="s">
        <v>88</v>
      </c>
      <c r="D3076" s="65"/>
      <c r="E3076" s="65" t="s">
        <v>2094</v>
      </c>
      <c r="F3076" s="83">
        <v>0.5833333333333334</v>
      </c>
      <c r="G3076" s="83">
        <v>0.625</v>
      </c>
      <c r="H3076" s="83">
        <v>0.041666666666666664</v>
      </c>
      <c r="I3076" s="84">
        <v>44270.0</v>
      </c>
      <c r="J3076" s="65" t="b">
        <v>0</v>
      </c>
      <c r="K3076" s="65" t="s">
        <v>150</v>
      </c>
      <c r="L3076" s="85" t="b">
        <f>IF(VLOOKUP(C3076,Projetos!A:L,12,false)=TRUE,TRUE,FALSE)</f>
        <v>1</v>
      </c>
      <c r="M3076" s="74">
        <v>52.48434411075036</v>
      </c>
      <c r="N3076" s="74">
        <f t="shared" si="1"/>
        <v>0</v>
      </c>
      <c r="O3076" s="74" t="b">
        <v>1</v>
      </c>
    </row>
    <row r="3077" hidden="1">
      <c r="A3077" s="82"/>
      <c r="B3077" s="65" t="s">
        <v>411</v>
      </c>
      <c r="C3077" s="65" t="s">
        <v>120</v>
      </c>
      <c r="D3077" s="65"/>
      <c r="E3077" s="65" t="s">
        <v>2095</v>
      </c>
      <c r="F3077" s="83">
        <v>0.5625</v>
      </c>
      <c r="G3077" s="83">
        <v>0.625</v>
      </c>
      <c r="H3077" s="83">
        <v>0.0625</v>
      </c>
      <c r="I3077" s="84">
        <v>44280.0</v>
      </c>
      <c r="J3077" s="65" t="b">
        <v>0</v>
      </c>
      <c r="K3077" s="65"/>
      <c r="L3077" s="85" t="b">
        <f>IF(VLOOKUP(C3077,Projetos!A:L,12,false)=TRUE,TRUE,FALSE)</f>
        <v>0</v>
      </c>
      <c r="M3077" s="74">
        <v>52.48434411075036</v>
      </c>
      <c r="N3077" s="74">
        <f t="shared" si="1"/>
        <v>0</v>
      </c>
      <c r="O3077" s="74" t="b">
        <v>0</v>
      </c>
    </row>
    <row r="3078" hidden="1">
      <c r="A3078" s="82"/>
      <c r="B3078" s="65" t="s">
        <v>411</v>
      </c>
      <c r="C3078" s="65" t="s">
        <v>117</v>
      </c>
      <c r="D3078" s="65" t="str">
        <f>vlookup(C3078,'Classificação p pessoal'!F:G,2,false)</f>
        <v>NP</v>
      </c>
      <c r="E3078" s="65" t="s">
        <v>2096</v>
      </c>
      <c r="F3078" s="83">
        <v>0.7083333333333334</v>
      </c>
      <c r="G3078" s="83">
        <v>0.7291666666666666</v>
      </c>
      <c r="H3078" s="83">
        <v>0.020833333333333332</v>
      </c>
      <c r="I3078" s="84">
        <v>44280.0</v>
      </c>
      <c r="J3078" s="65" t="b">
        <v>1</v>
      </c>
      <c r="K3078" s="65"/>
      <c r="L3078" s="85" t="b">
        <f>IF(VLOOKUP(C3078,Projetos!A:L,12,false)=TRUE,TRUE,FALSE)</f>
        <v>1</v>
      </c>
      <c r="M3078" s="74">
        <v>52.48434411075036</v>
      </c>
      <c r="N3078" s="74">
        <f t="shared" si="1"/>
        <v>26.24217206</v>
      </c>
      <c r="O3078" s="74" t="b">
        <v>1</v>
      </c>
    </row>
    <row r="3079" hidden="1">
      <c r="A3079" s="82"/>
      <c r="B3079" s="65" t="s">
        <v>411</v>
      </c>
      <c r="C3079" s="65" t="s">
        <v>132</v>
      </c>
      <c r="D3079" s="65"/>
      <c r="E3079" s="65" t="s">
        <v>2097</v>
      </c>
      <c r="F3079" s="83">
        <v>0.34375</v>
      </c>
      <c r="G3079" s="83">
        <v>0.375</v>
      </c>
      <c r="H3079" s="83">
        <v>0.03125</v>
      </c>
      <c r="I3079" s="84">
        <v>44281.0</v>
      </c>
      <c r="J3079" s="65" t="b">
        <v>1</v>
      </c>
      <c r="K3079" s="65"/>
      <c r="L3079" s="85" t="b">
        <f>IF(VLOOKUP(C3079,Projetos!A:L,12,false)=TRUE,TRUE,FALSE)</f>
        <v>0</v>
      </c>
      <c r="M3079" s="74">
        <v>52.48434411075036</v>
      </c>
      <c r="N3079" s="74">
        <f t="shared" si="1"/>
        <v>0</v>
      </c>
      <c r="O3079" s="74" t="b">
        <v>0</v>
      </c>
    </row>
    <row r="3080" hidden="1">
      <c r="A3080" s="82"/>
      <c r="B3080" s="65" t="s">
        <v>411</v>
      </c>
      <c r="C3080" s="65" t="s">
        <v>125</v>
      </c>
      <c r="D3080" s="65" t="str">
        <f>vlookup(C3080,'Classificação p pessoal'!F:G,2,false)</f>
        <v>MProduto</v>
      </c>
      <c r="E3080" s="65" t="s">
        <v>2098</v>
      </c>
      <c r="F3080" s="83">
        <v>0.375</v>
      </c>
      <c r="G3080" s="83">
        <v>0.4375</v>
      </c>
      <c r="H3080" s="83">
        <v>0.0625</v>
      </c>
      <c r="I3080" s="84">
        <v>44281.0</v>
      </c>
      <c r="J3080" s="65" t="b">
        <v>1</v>
      </c>
      <c r="K3080" s="65"/>
      <c r="L3080" s="85" t="b">
        <f>IF(VLOOKUP(C3080,Projetos!A:L,12,false)=TRUE,TRUE,FALSE)</f>
        <v>1</v>
      </c>
      <c r="M3080" s="74">
        <v>52.48434411075036</v>
      </c>
      <c r="N3080" s="74">
        <f t="shared" si="1"/>
        <v>78.72651617</v>
      </c>
      <c r="O3080" s="74" t="b">
        <v>1</v>
      </c>
    </row>
    <row r="3081" hidden="1">
      <c r="A3081" s="82"/>
      <c r="B3081" s="65" t="s">
        <v>411</v>
      </c>
      <c r="C3081" s="65" t="s">
        <v>114</v>
      </c>
      <c r="D3081" s="65"/>
      <c r="E3081" s="65" t="s">
        <v>2099</v>
      </c>
      <c r="F3081" s="83">
        <v>0.4791666666666667</v>
      </c>
      <c r="G3081" s="83">
        <v>0.5208333333333334</v>
      </c>
      <c r="H3081" s="83">
        <v>0.041666666666666664</v>
      </c>
      <c r="I3081" s="84">
        <v>44418.0</v>
      </c>
      <c r="J3081" s="65" t="b">
        <v>0</v>
      </c>
      <c r="K3081" s="65" t="s">
        <v>150</v>
      </c>
      <c r="L3081" s="85" t="b">
        <f>IF(VLOOKUP(C3081,Projetos!A:L,12,false)=TRUE,TRUE,FALSE)</f>
        <v>1</v>
      </c>
      <c r="M3081" s="74">
        <v>52.48434411075036</v>
      </c>
      <c r="N3081" s="74">
        <f t="shared" si="1"/>
        <v>0</v>
      </c>
      <c r="O3081" s="74" t="b">
        <v>1</v>
      </c>
    </row>
    <row r="3082" hidden="1">
      <c r="A3082" s="82"/>
      <c r="B3082" s="65" t="s">
        <v>411</v>
      </c>
      <c r="C3082" s="65" t="s">
        <v>107</v>
      </c>
      <c r="D3082" s="65" t="str">
        <f>vlookup(C3082,'Classificação p pessoal'!F:G,2,false)</f>
        <v>NP</v>
      </c>
      <c r="E3082" s="65" t="s">
        <v>2100</v>
      </c>
      <c r="F3082" s="83">
        <v>0.4791666666666667</v>
      </c>
      <c r="G3082" s="83">
        <v>0.5625</v>
      </c>
      <c r="H3082" s="83">
        <v>0.08333333333333333</v>
      </c>
      <c r="I3082" s="84">
        <v>44281.0</v>
      </c>
      <c r="J3082" s="65" t="b">
        <v>1</v>
      </c>
      <c r="K3082" s="65"/>
      <c r="L3082" s="85" t="b">
        <f>IF(VLOOKUP(C3082,Projetos!A:L,12,false)=TRUE,TRUE,FALSE)</f>
        <v>1</v>
      </c>
      <c r="M3082" s="74">
        <v>52.48434411075036</v>
      </c>
      <c r="N3082" s="74">
        <f t="shared" si="1"/>
        <v>104.9686882</v>
      </c>
      <c r="O3082" s="74" t="b">
        <v>1</v>
      </c>
    </row>
    <row r="3083" hidden="1">
      <c r="A3083" s="82"/>
      <c r="B3083" s="65" t="s">
        <v>411</v>
      </c>
      <c r="C3083" s="65" t="s">
        <v>92</v>
      </c>
      <c r="D3083" s="65" t="str">
        <f>vlookup(C3083,'Classificação p pessoal'!F:G,2,false)</f>
        <v/>
      </c>
      <c r="E3083" s="65" t="s">
        <v>2101</v>
      </c>
      <c r="F3083" s="83">
        <v>0.6666666666666666</v>
      </c>
      <c r="G3083" s="83">
        <v>0.7083333333333334</v>
      </c>
      <c r="H3083" s="83">
        <v>0.041666666666666664</v>
      </c>
      <c r="I3083" s="84">
        <v>44281.0</v>
      </c>
      <c r="J3083" s="65" t="b">
        <v>1</v>
      </c>
      <c r="K3083" s="65"/>
      <c r="L3083" s="85" t="b">
        <f>IF(VLOOKUP(C3083,Projetos!A:L,12,false)=TRUE,TRUE,FALSE)</f>
        <v>1</v>
      </c>
      <c r="M3083" s="74">
        <v>52.48434411075036</v>
      </c>
      <c r="N3083" s="74">
        <f t="shared" si="1"/>
        <v>52.48434411</v>
      </c>
      <c r="O3083" s="74" t="b">
        <v>1</v>
      </c>
    </row>
    <row r="3084" hidden="1">
      <c r="A3084" s="82"/>
      <c r="B3084" s="65" t="s">
        <v>411</v>
      </c>
      <c r="C3084" s="65" t="s">
        <v>117</v>
      </c>
      <c r="D3084" s="65"/>
      <c r="E3084" s="65" t="s">
        <v>2102</v>
      </c>
      <c r="F3084" s="83">
        <v>0.7083333333333334</v>
      </c>
      <c r="G3084" s="83">
        <v>0.75</v>
      </c>
      <c r="H3084" s="83">
        <v>0.041666666666666664</v>
      </c>
      <c r="I3084" s="84">
        <v>44281.0</v>
      </c>
      <c r="J3084" s="65" t="b">
        <v>0</v>
      </c>
      <c r="K3084" s="65" t="s">
        <v>150</v>
      </c>
      <c r="L3084" s="85" t="b">
        <f>IF(VLOOKUP(C3084,Projetos!A:L,12,false)=TRUE,TRUE,FALSE)</f>
        <v>1</v>
      </c>
      <c r="M3084" s="74">
        <v>52.48434411075036</v>
      </c>
      <c r="N3084" s="74">
        <f t="shared" si="1"/>
        <v>0</v>
      </c>
      <c r="O3084" s="74" t="b">
        <v>1</v>
      </c>
    </row>
    <row r="3085" hidden="1">
      <c r="A3085" s="82"/>
      <c r="B3085" s="65" t="s">
        <v>411</v>
      </c>
      <c r="C3085" s="65" t="s">
        <v>130</v>
      </c>
      <c r="D3085" s="65" t="str">
        <f>vlookup(C3085,'Classificação p pessoal'!F:G,2,false)</f>
        <v>NP</v>
      </c>
      <c r="E3085" s="65" t="s">
        <v>2103</v>
      </c>
      <c r="F3085" s="83">
        <v>0.34375</v>
      </c>
      <c r="G3085" s="83">
        <v>0.4166666666666667</v>
      </c>
      <c r="H3085" s="83">
        <v>0.07291666666666667</v>
      </c>
      <c r="I3085" s="84">
        <v>44284.0</v>
      </c>
      <c r="J3085" s="65" t="b">
        <v>1</v>
      </c>
      <c r="K3085" s="65"/>
      <c r="L3085" s="85" t="b">
        <f>IF(VLOOKUP(C3085,Projetos!A:L,12,false)=TRUE,TRUE,FALSE)</f>
        <v>1</v>
      </c>
      <c r="M3085" s="74">
        <v>52.48434411075036</v>
      </c>
      <c r="N3085" s="74">
        <f t="shared" si="1"/>
        <v>91.84760219</v>
      </c>
      <c r="O3085" s="74" t="b">
        <v>1</v>
      </c>
    </row>
    <row r="3086" hidden="1">
      <c r="A3086" s="82"/>
      <c r="B3086" s="65" t="s">
        <v>411</v>
      </c>
      <c r="C3086" s="65" t="s">
        <v>117</v>
      </c>
      <c r="D3086" s="65" t="str">
        <f>vlookup(C3086,'Classificação p pessoal'!F:G,2,false)</f>
        <v>NP</v>
      </c>
      <c r="E3086" s="65" t="s">
        <v>2104</v>
      </c>
      <c r="F3086" s="83">
        <v>0.4583333333333333</v>
      </c>
      <c r="G3086" s="83">
        <v>0.5</v>
      </c>
      <c r="H3086" s="83">
        <v>0.041666666666666664</v>
      </c>
      <c r="I3086" s="84">
        <v>44508.0</v>
      </c>
      <c r="J3086" s="65" t="b">
        <v>1</v>
      </c>
      <c r="K3086" s="65"/>
      <c r="L3086" s="85" t="b">
        <f>IF(VLOOKUP(C3086,Projetos!A:L,12,false)=TRUE,TRUE,FALSE)</f>
        <v>1</v>
      </c>
      <c r="M3086" s="74">
        <v>52.48434411075036</v>
      </c>
      <c r="N3086" s="74">
        <f t="shared" si="1"/>
        <v>52.48434411</v>
      </c>
      <c r="O3086" s="74" t="b">
        <v>1</v>
      </c>
    </row>
    <row r="3087" hidden="1">
      <c r="A3087" s="82"/>
      <c r="B3087" s="65" t="s">
        <v>411</v>
      </c>
      <c r="C3087" s="65" t="s">
        <v>117</v>
      </c>
      <c r="D3087" s="65"/>
      <c r="E3087" s="65" t="s">
        <v>2105</v>
      </c>
      <c r="F3087" s="83">
        <v>0.5</v>
      </c>
      <c r="G3087" s="83">
        <v>0.5416666666666666</v>
      </c>
      <c r="H3087" s="83">
        <v>0.041666666666666664</v>
      </c>
      <c r="I3087" s="84">
        <v>44284.0</v>
      </c>
      <c r="J3087" s="65" t="b">
        <v>0</v>
      </c>
      <c r="K3087" s="65" t="s">
        <v>150</v>
      </c>
      <c r="L3087" s="85" t="b">
        <f>IF(VLOOKUP(C3087,Projetos!A:L,12,false)=TRUE,TRUE,FALSE)</f>
        <v>1</v>
      </c>
      <c r="M3087" s="74">
        <v>52.48434411075036</v>
      </c>
      <c r="N3087" s="74">
        <f t="shared" si="1"/>
        <v>0</v>
      </c>
      <c r="O3087" s="74" t="b">
        <v>1</v>
      </c>
    </row>
    <row r="3088" hidden="1">
      <c r="A3088" s="82"/>
      <c r="B3088" s="65" t="s">
        <v>411</v>
      </c>
      <c r="C3088" s="65" t="s">
        <v>132</v>
      </c>
      <c r="D3088" s="65"/>
      <c r="E3088" s="65" t="s">
        <v>2097</v>
      </c>
      <c r="F3088" s="83">
        <v>0.6458333333333334</v>
      </c>
      <c r="G3088" s="83">
        <v>0.6666666666666666</v>
      </c>
      <c r="H3088" s="83">
        <v>0.020833333333333332</v>
      </c>
      <c r="I3088" s="84">
        <v>44284.0</v>
      </c>
      <c r="J3088" s="65" t="b">
        <v>1</v>
      </c>
      <c r="K3088" s="65"/>
      <c r="L3088" s="85" t="b">
        <f>IF(VLOOKUP(C3088,Projetos!A:L,12,false)=TRUE,TRUE,FALSE)</f>
        <v>0</v>
      </c>
      <c r="M3088" s="74">
        <v>52.48434411075036</v>
      </c>
      <c r="N3088" s="74">
        <f t="shared" si="1"/>
        <v>0</v>
      </c>
      <c r="O3088" s="74" t="b">
        <v>0</v>
      </c>
    </row>
    <row r="3089" hidden="1">
      <c r="A3089" s="82"/>
      <c r="B3089" s="65" t="s">
        <v>411</v>
      </c>
      <c r="C3089" s="65" t="s">
        <v>117</v>
      </c>
      <c r="D3089" s="65" t="str">
        <f>vlookup(C3089,'Classificação p pessoal'!F:G,2,false)</f>
        <v>NP</v>
      </c>
      <c r="E3089" s="65" t="s">
        <v>2106</v>
      </c>
      <c r="F3089" s="83">
        <v>0.6666666666666666</v>
      </c>
      <c r="G3089" s="83">
        <v>0.7083333333333334</v>
      </c>
      <c r="H3089" s="83">
        <v>0.041666666666666664</v>
      </c>
      <c r="I3089" s="84">
        <v>44284.0</v>
      </c>
      <c r="J3089" s="65" t="b">
        <v>1</v>
      </c>
      <c r="K3089" s="65"/>
      <c r="L3089" s="85" t="b">
        <f>IF(VLOOKUP(C3089,Projetos!A:L,12,false)=TRUE,TRUE,FALSE)</f>
        <v>1</v>
      </c>
      <c r="M3089" s="74">
        <v>52.48434411075036</v>
      </c>
      <c r="N3089" s="74">
        <f t="shared" si="1"/>
        <v>52.48434411</v>
      </c>
      <c r="O3089" s="74" t="b">
        <v>1</v>
      </c>
    </row>
    <row r="3090" hidden="1">
      <c r="A3090" s="82"/>
      <c r="B3090" s="65" t="s">
        <v>411</v>
      </c>
      <c r="C3090" s="65" t="s">
        <v>92</v>
      </c>
      <c r="D3090" s="65" t="str">
        <f>vlookup(C3090,'Classificação p pessoal'!F:G,2,false)</f>
        <v/>
      </c>
      <c r="E3090" s="65" t="s">
        <v>2107</v>
      </c>
      <c r="F3090" s="83">
        <v>0.7083333333333334</v>
      </c>
      <c r="G3090" s="83">
        <v>0.75</v>
      </c>
      <c r="H3090" s="83">
        <v>0.041666666666666664</v>
      </c>
      <c r="I3090" s="84">
        <v>44284.0</v>
      </c>
      <c r="J3090" s="65" t="b">
        <v>1</v>
      </c>
      <c r="K3090" s="65"/>
      <c r="L3090" s="85" t="b">
        <f>IF(VLOOKUP(C3090,Projetos!A:L,12,false)=TRUE,TRUE,FALSE)</f>
        <v>1</v>
      </c>
      <c r="M3090" s="74">
        <v>52.48434411075036</v>
      </c>
      <c r="N3090" s="74">
        <f t="shared" si="1"/>
        <v>52.48434411</v>
      </c>
      <c r="O3090" s="74" t="b">
        <v>1</v>
      </c>
    </row>
    <row r="3091" hidden="1">
      <c r="A3091" s="82"/>
      <c r="B3091" s="65" t="s">
        <v>411</v>
      </c>
      <c r="C3091" s="65" t="s">
        <v>119</v>
      </c>
      <c r="D3091" s="65" t="str">
        <f>vlookup(C3091,'Classificação p pessoal'!F:G,2,false)</f>
        <v>NP</v>
      </c>
      <c r="E3091" s="65" t="s">
        <v>2075</v>
      </c>
      <c r="F3091" s="83">
        <v>0.375</v>
      </c>
      <c r="G3091" s="83">
        <v>0.4166666666666667</v>
      </c>
      <c r="H3091" s="83">
        <v>0.041666666666666664</v>
      </c>
      <c r="I3091" s="84">
        <v>44285.0</v>
      </c>
      <c r="J3091" s="65" t="b">
        <v>1</v>
      </c>
      <c r="K3091" s="65"/>
      <c r="L3091" s="85" t="b">
        <f>IF(VLOOKUP(C3091,Projetos!A:L,12,false)=TRUE,TRUE,FALSE)</f>
        <v>1</v>
      </c>
      <c r="M3091" s="74">
        <v>52.48434411075036</v>
      </c>
      <c r="N3091" s="74">
        <f t="shared" si="1"/>
        <v>52.48434411</v>
      </c>
      <c r="O3091" s="74" t="b">
        <v>1</v>
      </c>
    </row>
    <row r="3092" hidden="1">
      <c r="A3092" s="82"/>
      <c r="B3092" s="65" t="s">
        <v>411</v>
      </c>
      <c r="C3092" s="65" t="s">
        <v>101</v>
      </c>
      <c r="D3092" s="65" t="str">
        <f>vlookup(C3092,'Classificação p pessoal'!F:G,2,false)</f>
        <v>NP</v>
      </c>
      <c r="E3092" s="65" t="s">
        <v>2108</v>
      </c>
      <c r="F3092" s="83">
        <v>0.4166666666666667</v>
      </c>
      <c r="G3092" s="83">
        <v>0.4791666666666667</v>
      </c>
      <c r="H3092" s="83">
        <v>0.0625</v>
      </c>
      <c r="I3092" s="84">
        <v>44285.0</v>
      </c>
      <c r="J3092" s="65" t="b">
        <v>1</v>
      </c>
      <c r="K3092" s="65"/>
      <c r="L3092" s="85" t="b">
        <f>IF(VLOOKUP(C3092,Projetos!A:L,12,false)=TRUE,TRUE,FALSE)</f>
        <v>1</v>
      </c>
      <c r="M3092" s="74">
        <v>52.48434411075036</v>
      </c>
      <c r="N3092" s="74">
        <f t="shared" si="1"/>
        <v>78.72651617</v>
      </c>
      <c r="O3092" s="74" t="b">
        <v>1</v>
      </c>
    </row>
    <row r="3093" hidden="1">
      <c r="A3093" s="82"/>
      <c r="B3093" s="65" t="s">
        <v>411</v>
      </c>
      <c r="C3093" s="65" t="s">
        <v>84</v>
      </c>
      <c r="D3093" s="65"/>
      <c r="E3093" s="65" t="s">
        <v>2109</v>
      </c>
      <c r="F3093" s="83">
        <v>0.4791666666666667</v>
      </c>
      <c r="G3093" s="83">
        <v>0.5</v>
      </c>
      <c r="H3093" s="83">
        <v>0.020833333333333332</v>
      </c>
      <c r="I3093" s="84">
        <v>44285.0</v>
      </c>
      <c r="J3093" s="65" t="b">
        <v>0</v>
      </c>
      <c r="K3093" s="65"/>
      <c r="L3093" s="85" t="b">
        <f>IF(VLOOKUP(C3093,Projetos!A:L,12,false)=TRUE,TRUE,FALSE)</f>
        <v>0</v>
      </c>
      <c r="M3093" s="74">
        <v>52.48434411075036</v>
      </c>
      <c r="N3093" s="74">
        <f t="shared" si="1"/>
        <v>0</v>
      </c>
      <c r="O3093" s="74" t="b">
        <v>0</v>
      </c>
    </row>
    <row r="3094" hidden="1">
      <c r="A3094" s="82"/>
      <c r="B3094" s="65" t="s">
        <v>411</v>
      </c>
      <c r="C3094" s="65" t="s">
        <v>107</v>
      </c>
      <c r="D3094" s="65" t="str">
        <f>vlookup(C3094,'Classificação p pessoal'!F:G,2,false)</f>
        <v>NP</v>
      </c>
      <c r="E3094" s="65" t="s">
        <v>2110</v>
      </c>
      <c r="F3094" s="83">
        <v>0.5</v>
      </c>
      <c r="G3094" s="83">
        <v>0.5416666666666666</v>
      </c>
      <c r="H3094" s="83">
        <v>0.041666666666666664</v>
      </c>
      <c r="I3094" s="84">
        <v>44285.0</v>
      </c>
      <c r="J3094" s="65" t="b">
        <v>1</v>
      </c>
      <c r="K3094" s="65"/>
      <c r="L3094" s="85" t="b">
        <f>IF(VLOOKUP(C3094,Projetos!A:L,12,false)=TRUE,TRUE,FALSE)</f>
        <v>1</v>
      </c>
      <c r="M3094" s="74">
        <v>52.48434411075036</v>
      </c>
      <c r="N3094" s="74">
        <f t="shared" si="1"/>
        <v>52.48434411</v>
      </c>
      <c r="O3094" s="74" t="b">
        <v>1</v>
      </c>
    </row>
    <row r="3095" hidden="1">
      <c r="A3095" s="82"/>
      <c r="B3095" s="65" t="s">
        <v>411</v>
      </c>
      <c r="C3095" s="65" t="s">
        <v>117</v>
      </c>
      <c r="D3095" s="65" t="str">
        <f>vlookup(C3095,'Classificação p pessoal'!F:G,2,false)</f>
        <v>NP</v>
      </c>
      <c r="E3095" s="65" t="s">
        <v>2074</v>
      </c>
      <c r="F3095" s="83">
        <v>0.5416666666666666</v>
      </c>
      <c r="G3095" s="83">
        <v>0.5833333333333334</v>
      </c>
      <c r="H3095" s="83">
        <v>0.041666666666666664</v>
      </c>
      <c r="I3095" s="84">
        <v>44285.0</v>
      </c>
      <c r="J3095" s="65" t="b">
        <v>1</v>
      </c>
      <c r="K3095" s="65"/>
      <c r="L3095" s="85" t="b">
        <f>IF(VLOOKUP(C3095,Projetos!A:L,12,false)=TRUE,TRUE,FALSE)</f>
        <v>1</v>
      </c>
      <c r="M3095" s="74">
        <v>52.48434411075036</v>
      </c>
      <c r="N3095" s="74">
        <f t="shared" si="1"/>
        <v>52.48434411</v>
      </c>
      <c r="O3095" s="74" t="b">
        <v>1</v>
      </c>
    </row>
    <row r="3096" hidden="1">
      <c r="A3096" s="82"/>
      <c r="B3096" s="65" t="s">
        <v>411</v>
      </c>
      <c r="C3096" s="65" t="s">
        <v>130</v>
      </c>
      <c r="D3096" s="65" t="str">
        <f>vlookup(C3096,'Classificação p pessoal'!F:G,2,false)</f>
        <v>NP</v>
      </c>
      <c r="E3096" s="65" t="s">
        <v>2111</v>
      </c>
      <c r="F3096" s="83">
        <v>0.625</v>
      </c>
      <c r="G3096" s="83">
        <v>0.6666666666666666</v>
      </c>
      <c r="H3096" s="83">
        <v>0.041666666666666664</v>
      </c>
      <c r="I3096" s="84">
        <v>44285.0</v>
      </c>
      <c r="J3096" s="65" t="b">
        <v>1</v>
      </c>
      <c r="K3096" s="65"/>
      <c r="L3096" s="85" t="b">
        <f>IF(VLOOKUP(C3096,Projetos!A:L,12,false)=TRUE,TRUE,FALSE)</f>
        <v>1</v>
      </c>
      <c r="M3096" s="74">
        <v>52.48434411075036</v>
      </c>
      <c r="N3096" s="74">
        <f t="shared" si="1"/>
        <v>52.48434411</v>
      </c>
      <c r="O3096" s="74" t="b">
        <v>1</v>
      </c>
    </row>
    <row r="3097" hidden="1">
      <c r="A3097" s="82"/>
      <c r="B3097" s="65" t="s">
        <v>411</v>
      </c>
      <c r="C3097" s="65" t="s">
        <v>117</v>
      </c>
      <c r="D3097" s="65" t="str">
        <f>vlookup(C3097,'Classificação p pessoal'!F:G,2,false)</f>
        <v>NP</v>
      </c>
      <c r="E3097" s="65" t="s">
        <v>2112</v>
      </c>
      <c r="F3097" s="83">
        <v>0.6875</v>
      </c>
      <c r="G3097" s="83">
        <v>0.75</v>
      </c>
      <c r="H3097" s="83">
        <v>0.0625</v>
      </c>
      <c r="I3097" s="84">
        <v>44285.0</v>
      </c>
      <c r="J3097" s="65" t="b">
        <v>1</v>
      </c>
      <c r="K3097" s="65"/>
      <c r="L3097" s="85" t="b">
        <f>IF(VLOOKUP(C3097,Projetos!A:L,12,false)=TRUE,TRUE,FALSE)</f>
        <v>1</v>
      </c>
      <c r="M3097" s="74">
        <v>52.48434411075036</v>
      </c>
      <c r="N3097" s="74">
        <f t="shared" si="1"/>
        <v>78.72651617</v>
      </c>
      <c r="O3097" s="74" t="b">
        <v>1</v>
      </c>
    </row>
    <row r="3098" hidden="1">
      <c r="A3098" s="82"/>
      <c r="B3098" s="65" t="s">
        <v>411</v>
      </c>
      <c r="C3098" s="65" t="s">
        <v>92</v>
      </c>
      <c r="D3098" s="65" t="str">
        <f>vlookup(C3098,'Classificação p pessoal'!F:G,2,false)</f>
        <v/>
      </c>
      <c r="E3098" s="65" t="s">
        <v>2113</v>
      </c>
      <c r="F3098" s="83">
        <v>0.34375</v>
      </c>
      <c r="G3098" s="83">
        <v>0.3958333333333333</v>
      </c>
      <c r="H3098" s="83">
        <v>0.052083333333333336</v>
      </c>
      <c r="I3098" s="84">
        <v>44286.0</v>
      </c>
      <c r="J3098" s="65" t="b">
        <v>1</v>
      </c>
      <c r="K3098" s="65"/>
      <c r="L3098" s="85" t="b">
        <f>IF(VLOOKUP(C3098,Projetos!A:L,12,false)=TRUE,TRUE,FALSE)</f>
        <v>1</v>
      </c>
      <c r="M3098" s="74">
        <v>52.48434411075036</v>
      </c>
      <c r="N3098" s="74">
        <f t="shared" si="1"/>
        <v>65.60543014</v>
      </c>
      <c r="O3098" s="74" t="b">
        <v>1</v>
      </c>
    </row>
    <row r="3099" hidden="1">
      <c r="A3099" s="82"/>
      <c r="B3099" s="65" t="s">
        <v>411</v>
      </c>
      <c r="C3099" s="65" t="s">
        <v>117</v>
      </c>
      <c r="D3099" s="65" t="str">
        <f>vlookup(C3099,'Classificação p pessoal'!F:G,2,false)</f>
        <v>NP</v>
      </c>
      <c r="E3099" s="65" t="s">
        <v>2114</v>
      </c>
      <c r="F3099" s="83">
        <v>0.3958333333333333</v>
      </c>
      <c r="G3099" s="83">
        <v>0.5208333333333334</v>
      </c>
      <c r="H3099" s="83">
        <v>0.125</v>
      </c>
      <c r="I3099" s="84">
        <v>44286.0</v>
      </c>
      <c r="J3099" s="65" t="b">
        <v>1</v>
      </c>
      <c r="K3099" s="65"/>
      <c r="L3099" s="85" t="b">
        <f>IF(VLOOKUP(C3099,Projetos!A:L,12,false)=TRUE,TRUE,FALSE)</f>
        <v>1</v>
      </c>
      <c r="M3099" s="74">
        <v>52.48434411075036</v>
      </c>
      <c r="N3099" s="74">
        <f t="shared" si="1"/>
        <v>157.4530323</v>
      </c>
      <c r="O3099" s="74" t="b">
        <v>1</v>
      </c>
    </row>
    <row r="3100" hidden="1">
      <c r="A3100" s="82"/>
      <c r="B3100" s="65" t="s">
        <v>411</v>
      </c>
      <c r="C3100" s="65" t="s">
        <v>114</v>
      </c>
      <c r="D3100" s="65"/>
      <c r="E3100" s="65" t="s">
        <v>2115</v>
      </c>
      <c r="F3100" s="83">
        <v>0.7083333333333334</v>
      </c>
      <c r="G3100" s="83">
        <v>0.75</v>
      </c>
      <c r="H3100" s="83">
        <v>0.041666666666666664</v>
      </c>
      <c r="I3100" s="84">
        <v>44413.0</v>
      </c>
      <c r="J3100" s="65" t="b">
        <v>0</v>
      </c>
      <c r="K3100" s="65" t="s">
        <v>150</v>
      </c>
      <c r="L3100" s="85" t="b">
        <f>IF(VLOOKUP(C3100,Projetos!A:L,12,false)=TRUE,TRUE,FALSE)</f>
        <v>1</v>
      </c>
      <c r="M3100" s="74">
        <v>52.48434411075036</v>
      </c>
      <c r="N3100" s="74">
        <f t="shared" si="1"/>
        <v>0</v>
      </c>
      <c r="O3100" s="74" t="b">
        <v>1</v>
      </c>
    </row>
    <row r="3101" hidden="1">
      <c r="A3101" s="82"/>
      <c r="B3101" s="65" t="s">
        <v>411</v>
      </c>
      <c r="C3101" s="65" t="s">
        <v>119</v>
      </c>
      <c r="D3101" s="65"/>
      <c r="E3101" s="65" t="s">
        <v>2116</v>
      </c>
      <c r="F3101" s="83">
        <v>0.4270833333333333</v>
      </c>
      <c r="G3101" s="83">
        <v>0.4791666666666667</v>
      </c>
      <c r="H3101" s="83">
        <v>0.052083333333333336</v>
      </c>
      <c r="I3101" s="84">
        <v>44341.0</v>
      </c>
      <c r="J3101" s="65" t="b">
        <v>0</v>
      </c>
      <c r="K3101" s="65" t="s">
        <v>150</v>
      </c>
      <c r="L3101" s="85" t="b">
        <f>IF(VLOOKUP(C3101,Projetos!A:L,12,false)=TRUE,TRUE,FALSE)</f>
        <v>1</v>
      </c>
      <c r="M3101" s="74">
        <v>52.48434411075036</v>
      </c>
      <c r="N3101" s="74">
        <f t="shared" si="1"/>
        <v>0</v>
      </c>
      <c r="O3101" s="74" t="b">
        <v>1</v>
      </c>
    </row>
    <row r="3102" hidden="1">
      <c r="A3102" s="82"/>
      <c r="B3102" s="65" t="s">
        <v>411</v>
      </c>
      <c r="C3102" s="65" t="s">
        <v>92</v>
      </c>
      <c r="D3102" s="65" t="str">
        <f>vlookup(C3102,'Classificação p pessoal'!F:G,2,false)</f>
        <v/>
      </c>
      <c r="E3102" s="65" t="s">
        <v>2117</v>
      </c>
      <c r="F3102" s="83">
        <v>0.7083333333333334</v>
      </c>
      <c r="G3102" s="83">
        <v>0.75</v>
      </c>
      <c r="H3102" s="83">
        <v>0.041666666666666664</v>
      </c>
      <c r="I3102" s="84">
        <v>44286.0</v>
      </c>
      <c r="J3102" s="65" t="b">
        <v>1</v>
      </c>
      <c r="K3102" s="65"/>
      <c r="L3102" s="85" t="b">
        <f>IF(VLOOKUP(C3102,Projetos!A:L,12,false)=TRUE,TRUE,FALSE)</f>
        <v>1</v>
      </c>
      <c r="M3102" s="74">
        <v>52.48434411075036</v>
      </c>
      <c r="N3102" s="74">
        <f t="shared" si="1"/>
        <v>52.48434411</v>
      </c>
      <c r="O3102" s="74" t="b">
        <v>1</v>
      </c>
    </row>
    <row r="3103" hidden="1">
      <c r="A3103" s="82"/>
      <c r="B3103" s="65" t="s">
        <v>411</v>
      </c>
      <c r="C3103" s="65" t="s">
        <v>117</v>
      </c>
      <c r="D3103" s="65" t="str">
        <f>vlookup(C3103,'Classificação p pessoal'!F:G,2,false)</f>
        <v>NP</v>
      </c>
      <c r="E3103" s="65" t="s">
        <v>2114</v>
      </c>
      <c r="F3103" s="83">
        <v>0.34375</v>
      </c>
      <c r="G3103" s="83">
        <v>0.5</v>
      </c>
      <c r="H3103" s="83">
        <v>0.15625</v>
      </c>
      <c r="I3103" s="84">
        <v>44287.0</v>
      </c>
      <c r="J3103" s="65" t="b">
        <v>1</v>
      </c>
      <c r="K3103" s="65"/>
      <c r="L3103" s="85" t="b">
        <f>IF(VLOOKUP(C3103,Projetos!A:L,12,false)=TRUE,TRUE,FALSE)</f>
        <v>1</v>
      </c>
      <c r="M3103" s="74">
        <v>52.48434411075036</v>
      </c>
      <c r="N3103" s="74">
        <f t="shared" si="1"/>
        <v>196.8162904</v>
      </c>
      <c r="O3103" s="74" t="b">
        <v>1</v>
      </c>
    </row>
    <row r="3104" hidden="1">
      <c r="A3104" s="82"/>
      <c r="B3104" s="65" t="s">
        <v>411</v>
      </c>
      <c r="C3104" s="65" t="s">
        <v>152</v>
      </c>
      <c r="D3104" s="65" t="str">
        <f>vlookup(C3104,'Classificação p pessoal'!F:G,2,false)</f>
        <v>MProduto</v>
      </c>
      <c r="E3104" s="65" t="s">
        <v>2118</v>
      </c>
      <c r="F3104" s="83">
        <v>0.5</v>
      </c>
      <c r="G3104" s="83">
        <v>0.5625</v>
      </c>
      <c r="H3104" s="83">
        <v>0.0625</v>
      </c>
      <c r="I3104" s="84">
        <v>44287.0</v>
      </c>
      <c r="J3104" s="65" t="b">
        <v>1</v>
      </c>
      <c r="K3104" s="65"/>
      <c r="L3104" s="85" t="b">
        <f>IF(VLOOKUP(C3104,Projetos!A:L,12,false)=TRUE,TRUE,FALSE)</f>
        <v>1</v>
      </c>
      <c r="M3104" s="74">
        <v>52.48434411075036</v>
      </c>
      <c r="N3104" s="74">
        <f t="shared" si="1"/>
        <v>78.72651617</v>
      </c>
      <c r="O3104" s="74" t="b">
        <v>1</v>
      </c>
    </row>
    <row r="3105" hidden="1">
      <c r="A3105" s="82"/>
      <c r="B3105" s="65" t="s">
        <v>411</v>
      </c>
      <c r="C3105" s="65" t="s">
        <v>117</v>
      </c>
      <c r="D3105" s="65" t="str">
        <f>vlookup(C3105,'Classificação p pessoal'!F:G,2,false)</f>
        <v>NP</v>
      </c>
      <c r="E3105" s="65" t="s">
        <v>2119</v>
      </c>
      <c r="F3105" s="83">
        <v>0.6041666666666666</v>
      </c>
      <c r="G3105" s="83">
        <v>0.7083333333333334</v>
      </c>
      <c r="H3105" s="83">
        <v>0.10416666666666667</v>
      </c>
      <c r="I3105" s="84">
        <v>44287.0</v>
      </c>
      <c r="J3105" s="65" t="b">
        <v>1</v>
      </c>
      <c r="K3105" s="65"/>
      <c r="L3105" s="85" t="b">
        <f>IF(VLOOKUP(C3105,Projetos!A:L,12,false)=TRUE,TRUE,FALSE)</f>
        <v>1</v>
      </c>
      <c r="M3105" s="74">
        <v>52.48434411075036</v>
      </c>
      <c r="N3105" s="74">
        <f t="shared" si="1"/>
        <v>131.2108603</v>
      </c>
      <c r="O3105" s="74" t="b">
        <v>1</v>
      </c>
    </row>
    <row r="3106" hidden="1">
      <c r="A3106" s="82"/>
      <c r="B3106" s="65" t="s">
        <v>495</v>
      </c>
      <c r="C3106" s="65" t="s">
        <v>92</v>
      </c>
      <c r="D3106" s="65" t="str">
        <f>vlookup(C3106,'Classificação p pessoal'!F:G,2,false)</f>
        <v/>
      </c>
      <c r="E3106" s="65" t="s">
        <v>2120</v>
      </c>
      <c r="F3106" s="83">
        <v>0.3958333333333333</v>
      </c>
      <c r="G3106" s="83">
        <v>0.4166666666666667</v>
      </c>
      <c r="H3106" s="83">
        <v>0.020833333333333332</v>
      </c>
      <c r="I3106" s="84">
        <v>44483.0</v>
      </c>
      <c r="J3106" s="65" t="b">
        <v>1</v>
      </c>
      <c r="K3106" s="65"/>
      <c r="L3106" s="85" t="b">
        <f>IF(VLOOKUP(C3106,Projetos!A:L,12,false)=TRUE,TRUE,FALSE)</f>
        <v>1</v>
      </c>
      <c r="M3106" s="74">
        <v>73.7079846079846</v>
      </c>
      <c r="N3106" s="74">
        <f t="shared" si="1"/>
        <v>36.8539923</v>
      </c>
      <c r="O3106" s="74" t="b">
        <v>1</v>
      </c>
    </row>
    <row r="3107" hidden="1">
      <c r="A3107" s="82"/>
      <c r="B3107" s="65" t="s">
        <v>411</v>
      </c>
      <c r="C3107" s="65" t="s">
        <v>125</v>
      </c>
      <c r="D3107" s="65" t="str">
        <f>vlookup(C3107,'Classificação p pessoal'!F:G,2,false)</f>
        <v>MProduto</v>
      </c>
      <c r="E3107" s="65" t="s">
        <v>2121</v>
      </c>
      <c r="F3107" s="83">
        <v>0.34375</v>
      </c>
      <c r="G3107" s="83">
        <v>0.4375</v>
      </c>
      <c r="H3107" s="83">
        <v>0.09375</v>
      </c>
      <c r="I3107" s="84">
        <v>44291.0</v>
      </c>
      <c r="J3107" s="65" t="b">
        <v>1</v>
      </c>
      <c r="K3107" s="65"/>
      <c r="L3107" s="85" t="b">
        <f>IF(VLOOKUP(C3107,Projetos!A:L,12,false)=TRUE,TRUE,FALSE)</f>
        <v>1</v>
      </c>
      <c r="M3107" s="74">
        <v>52.48434411075036</v>
      </c>
      <c r="N3107" s="74">
        <f t="shared" si="1"/>
        <v>118.0897742</v>
      </c>
      <c r="O3107" s="74" t="b">
        <v>1</v>
      </c>
    </row>
    <row r="3108" hidden="1">
      <c r="A3108" s="82"/>
      <c r="B3108" s="65" t="s">
        <v>411</v>
      </c>
      <c r="C3108" s="65" t="s">
        <v>152</v>
      </c>
      <c r="D3108" s="65" t="str">
        <f>vlookup(C3108,'Classificação p pessoal'!F:G,2,false)</f>
        <v>MProduto</v>
      </c>
      <c r="E3108" s="65" t="s">
        <v>2122</v>
      </c>
      <c r="F3108" s="83">
        <v>0.4375</v>
      </c>
      <c r="G3108" s="83">
        <v>0.5</v>
      </c>
      <c r="H3108" s="83">
        <v>0.0625</v>
      </c>
      <c r="I3108" s="84">
        <v>44291.0</v>
      </c>
      <c r="J3108" s="65" t="b">
        <v>1</v>
      </c>
      <c r="K3108" s="65"/>
      <c r="L3108" s="85" t="b">
        <f>IF(VLOOKUP(C3108,Projetos!A:L,12,false)=TRUE,TRUE,FALSE)</f>
        <v>1</v>
      </c>
      <c r="M3108" s="74">
        <v>52.48434411075036</v>
      </c>
      <c r="N3108" s="74">
        <f t="shared" si="1"/>
        <v>78.72651617</v>
      </c>
      <c r="O3108" s="74" t="b">
        <v>1</v>
      </c>
    </row>
    <row r="3109" hidden="1">
      <c r="A3109" s="82"/>
      <c r="B3109" s="65" t="s">
        <v>411</v>
      </c>
      <c r="C3109" s="65" t="s">
        <v>117</v>
      </c>
      <c r="D3109" s="65" t="str">
        <f>vlookup(C3109,'Classificação p pessoal'!F:G,2,false)</f>
        <v>NP</v>
      </c>
      <c r="E3109" s="65" t="s">
        <v>2123</v>
      </c>
      <c r="F3109" s="83">
        <v>0.5</v>
      </c>
      <c r="G3109" s="83">
        <v>0.5208333333333334</v>
      </c>
      <c r="H3109" s="83">
        <v>0.020833333333333332</v>
      </c>
      <c r="I3109" s="84">
        <v>44291.0</v>
      </c>
      <c r="J3109" s="65" t="b">
        <v>1</v>
      </c>
      <c r="K3109" s="65"/>
      <c r="L3109" s="85" t="b">
        <f>IF(VLOOKUP(C3109,Projetos!A:L,12,false)=TRUE,TRUE,FALSE)</f>
        <v>1</v>
      </c>
      <c r="M3109" s="74">
        <v>52.48434411075036</v>
      </c>
      <c r="N3109" s="74">
        <f t="shared" si="1"/>
        <v>26.24217206</v>
      </c>
      <c r="O3109" s="74" t="b">
        <v>1</v>
      </c>
    </row>
    <row r="3110" hidden="1">
      <c r="A3110" s="82"/>
      <c r="B3110" s="65" t="s">
        <v>411</v>
      </c>
      <c r="C3110" s="65" t="s">
        <v>119</v>
      </c>
      <c r="D3110" s="65" t="str">
        <f>vlookup(C3110,'Classificação p pessoal'!F:G,2,false)</f>
        <v>NP</v>
      </c>
      <c r="E3110" s="65" t="s">
        <v>2124</v>
      </c>
      <c r="F3110" s="83">
        <v>0.5208333333333334</v>
      </c>
      <c r="G3110" s="83">
        <v>0.5625</v>
      </c>
      <c r="H3110" s="83">
        <v>0.041666666666666664</v>
      </c>
      <c r="I3110" s="84">
        <v>44291.0</v>
      </c>
      <c r="J3110" s="65" t="b">
        <v>1</v>
      </c>
      <c r="K3110" s="65"/>
      <c r="L3110" s="85" t="b">
        <f>IF(VLOOKUP(C3110,Projetos!A:L,12,false)=TRUE,TRUE,FALSE)</f>
        <v>1</v>
      </c>
      <c r="M3110" s="74">
        <v>52.48434411075036</v>
      </c>
      <c r="N3110" s="74">
        <f t="shared" si="1"/>
        <v>52.48434411</v>
      </c>
      <c r="O3110" s="74" t="b">
        <v>1</v>
      </c>
    </row>
    <row r="3111" hidden="1">
      <c r="A3111" s="82"/>
      <c r="B3111" s="65" t="s">
        <v>411</v>
      </c>
      <c r="C3111" s="65" t="s">
        <v>127</v>
      </c>
      <c r="D3111" s="65" t="str">
        <f>vlookup(C3111,'Classificação p pessoal'!F:G,2,false)</f>
        <v>NP</v>
      </c>
      <c r="E3111" s="65" t="s">
        <v>2125</v>
      </c>
      <c r="F3111" s="83">
        <v>0.5625</v>
      </c>
      <c r="G3111" s="83">
        <v>0.6041666666666666</v>
      </c>
      <c r="H3111" s="83">
        <v>0.041666666666666664</v>
      </c>
      <c r="I3111" s="84">
        <v>44291.0</v>
      </c>
      <c r="J3111" s="65" t="b">
        <v>1</v>
      </c>
      <c r="K3111" s="65"/>
      <c r="L3111" s="85" t="b">
        <f>IF(VLOOKUP(C3111,Projetos!A:L,12,false)=TRUE,TRUE,FALSE)</f>
        <v>1</v>
      </c>
      <c r="M3111" s="74">
        <v>52.48434411075036</v>
      </c>
      <c r="N3111" s="74">
        <f t="shared" si="1"/>
        <v>52.48434411</v>
      </c>
      <c r="O3111" s="74" t="b">
        <v>1</v>
      </c>
    </row>
    <row r="3112" hidden="1">
      <c r="A3112" s="82"/>
      <c r="B3112" s="65" t="s">
        <v>411</v>
      </c>
      <c r="C3112" s="65" t="s">
        <v>117</v>
      </c>
      <c r="D3112" s="65" t="str">
        <f>vlookup(C3112,'Classificação p pessoal'!F:G,2,false)</f>
        <v>NP</v>
      </c>
      <c r="E3112" s="65" t="s">
        <v>2126</v>
      </c>
      <c r="F3112" s="83">
        <v>0.625</v>
      </c>
      <c r="G3112" s="83">
        <v>0.6875</v>
      </c>
      <c r="H3112" s="83">
        <v>0.0625</v>
      </c>
      <c r="I3112" s="84">
        <v>44291.0</v>
      </c>
      <c r="J3112" s="65" t="b">
        <v>1</v>
      </c>
      <c r="K3112" s="65"/>
      <c r="L3112" s="85" t="b">
        <f>IF(VLOOKUP(C3112,Projetos!A:L,12,false)=TRUE,TRUE,FALSE)</f>
        <v>1</v>
      </c>
      <c r="M3112" s="74">
        <v>52.48434411075036</v>
      </c>
      <c r="N3112" s="74">
        <f t="shared" si="1"/>
        <v>78.72651617</v>
      </c>
      <c r="O3112" s="74" t="b">
        <v>1</v>
      </c>
    </row>
    <row r="3113" hidden="1">
      <c r="A3113" s="82"/>
      <c r="B3113" s="65" t="s">
        <v>411</v>
      </c>
      <c r="C3113" s="65" t="s">
        <v>92</v>
      </c>
      <c r="D3113" s="65" t="str">
        <f>vlookup(C3113,'Classificação p pessoal'!F:G,2,false)</f>
        <v/>
      </c>
      <c r="E3113" s="65" t="s">
        <v>2021</v>
      </c>
      <c r="F3113" s="83">
        <v>0.6875</v>
      </c>
      <c r="G3113" s="83">
        <v>0.75</v>
      </c>
      <c r="H3113" s="83">
        <v>0.0625</v>
      </c>
      <c r="I3113" s="84">
        <v>44291.0</v>
      </c>
      <c r="J3113" s="65" t="b">
        <v>1</v>
      </c>
      <c r="K3113" s="65"/>
      <c r="L3113" s="85" t="b">
        <f>IF(VLOOKUP(C3113,Projetos!A:L,12,false)=TRUE,TRUE,FALSE)</f>
        <v>1</v>
      </c>
      <c r="M3113" s="74">
        <v>52.48434411075036</v>
      </c>
      <c r="N3113" s="74">
        <f t="shared" si="1"/>
        <v>78.72651617</v>
      </c>
      <c r="O3113" s="74" t="b">
        <v>1</v>
      </c>
    </row>
    <row r="3114" hidden="1">
      <c r="A3114" s="82"/>
      <c r="B3114" s="65" t="s">
        <v>411</v>
      </c>
      <c r="C3114" s="65" t="s">
        <v>91</v>
      </c>
      <c r="D3114" s="65" t="str">
        <f>vlookup(C3114,'Classificação p pessoal'!F:G,2,false)</f>
        <v>NP</v>
      </c>
      <c r="E3114" s="65" t="s">
        <v>2127</v>
      </c>
      <c r="F3114" s="83">
        <v>0.34375</v>
      </c>
      <c r="G3114" s="83">
        <v>0.3958333333333333</v>
      </c>
      <c r="H3114" s="83">
        <v>0.052083333333333336</v>
      </c>
      <c r="I3114" s="84">
        <v>44292.0</v>
      </c>
      <c r="J3114" s="65" t="b">
        <v>1</v>
      </c>
      <c r="K3114" s="65"/>
      <c r="L3114" s="85" t="b">
        <f>IF(VLOOKUP(C3114,Projetos!A:L,12,false)=TRUE,TRUE,FALSE)</f>
        <v>1</v>
      </c>
      <c r="M3114" s="74">
        <v>52.48434411075036</v>
      </c>
      <c r="N3114" s="74">
        <f t="shared" si="1"/>
        <v>65.60543014</v>
      </c>
      <c r="O3114" s="74" t="b">
        <v>1</v>
      </c>
    </row>
    <row r="3115" hidden="1">
      <c r="A3115" s="82"/>
      <c r="B3115" s="65" t="s">
        <v>411</v>
      </c>
      <c r="C3115" s="65" t="s">
        <v>130</v>
      </c>
      <c r="D3115" s="65" t="str">
        <f>vlookup(C3115,'Classificação p pessoal'!F:G,2,false)</f>
        <v>NP</v>
      </c>
      <c r="E3115" s="65" t="s">
        <v>2128</v>
      </c>
      <c r="F3115" s="83">
        <v>0.3958333333333333</v>
      </c>
      <c r="G3115" s="83">
        <v>0.4166666666666667</v>
      </c>
      <c r="H3115" s="83">
        <v>0.020833333333333332</v>
      </c>
      <c r="I3115" s="84">
        <v>44292.0</v>
      </c>
      <c r="J3115" s="65" t="b">
        <v>1</v>
      </c>
      <c r="K3115" s="65"/>
      <c r="L3115" s="85" t="b">
        <f>IF(VLOOKUP(C3115,Projetos!A:L,12,false)=TRUE,TRUE,FALSE)</f>
        <v>1</v>
      </c>
      <c r="M3115" s="74">
        <v>52.48434411075036</v>
      </c>
      <c r="N3115" s="74">
        <f t="shared" si="1"/>
        <v>26.24217206</v>
      </c>
      <c r="O3115" s="74" t="b">
        <v>1</v>
      </c>
    </row>
    <row r="3116" hidden="1">
      <c r="A3116" s="82"/>
      <c r="B3116" s="65" t="s">
        <v>411</v>
      </c>
      <c r="C3116" s="65" t="s">
        <v>104</v>
      </c>
      <c r="D3116" s="65" t="str">
        <f>vlookup(C3116,'Classificação p pessoal'!F:G,2,false)</f>
        <v>NP</v>
      </c>
      <c r="E3116" s="65" t="s">
        <v>2129</v>
      </c>
      <c r="F3116" s="83">
        <v>0.4166666666666667</v>
      </c>
      <c r="G3116" s="83">
        <v>0.4375</v>
      </c>
      <c r="H3116" s="83">
        <v>0.020833333333333332</v>
      </c>
      <c r="I3116" s="84">
        <v>44292.0</v>
      </c>
      <c r="J3116" s="65" t="b">
        <v>1</v>
      </c>
      <c r="K3116" s="65"/>
      <c r="L3116" s="85" t="b">
        <f>IF(VLOOKUP(C3116,Projetos!A:L,12,false)=TRUE,TRUE,FALSE)</f>
        <v>1</v>
      </c>
      <c r="M3116" s="74">
        <v>52.48434411075036</v>
      </c>
      <c r="N3116" s="74">
        <f t="shared" si="1"/>
        <v>26.24217206</v>
      </c>
      <c r="O3116" s="74" t="b">
        <v>1</v>
      </c>
    </row>
    <row r="3117" hidden="1">
      <c r="A3117" s="82"/>
      <c r="B3117" s="65" t="s">
        <v>411</v>
      </c>
      <c r="C3117" s="65" t="s">
        <v>117</v>
      </c>
      <c r="D3117" s="65" t="str">
        <f>vlookup(C3117,'Classificação p pessoal'!F:G,2,false)</f>
        <v>NP</v>
      </c>
      <c r="E3117" s="65" t="s">
        <v>2130</v>
      </c>
      <c r="F3117" s="83">
        <v>0.4375</v>
      </c>
      <c r="G3117" s="83">
        <v>0.4583333333333333</v>
      </c>
      <c r="H3117" s="83">
        <v>0.020833333333333332</v>
      </c>
      <c r="I3117" s="84">
        <v>44292.0</v>
      </c>
      <c r="J3117" s="65" t="b">
        <v>1</v>
      </c>
      <c r="K3117" s="65"/>
      <c r="L3117" s="85" t="b">
        <f>IF(VLOOKUP(C3117,Projetos!A:L,12,false)=TRUE,TRUE,FALSE)</f>
        <v>1</v>
      </c>
      <c r="M3117" s="74">
        <v>52.48434411075036</v>
      </c>
      <c r="N3117" s="74">
        <f t="shared" si="1"/>
        <v>26.24217206</v>
      </c>
      <c r="O3117" s="74" t="b">
        <v>1</v>
      </c>
    </row>
    <row r="3118" hidden="1">
      <c r="A3118" s="82"/>
      <c r="B3118" s="65" t="s">
        <v>411</v>
      </c>
      <c r="C3118" s="65" t="s">
        <v>92</v>
      </c>
      <c r="D3118" s="65" t="str">
        <f>vlookup(C3118,'Classificação p pessoal'!F:G,2,false)</f>
        <v/>
      </c>
      <c r="E3118" s="65" t="s">
        <v>2131</v>
      </c>
      <c r="F3118" s="83">
        <v>0.4583333333333333</v>
      </c>
      <c r="G3118" s="83">
        <v>0.5208333333333334</v>
      </c>
      <c r="H3118" s="83">
        <v>0.0625</v>
      </c>
      <c r="I3118" s="84">
        <v>44292.0</v>
      </c>
      <c r="J3118" s="65" t="b">
        <v>1</v>
      </c>
      <c r="K3118" s="65"/>
      <c r="L3118" s="85" t="b">
        <f>IF(VLOOKUP(C3118,Projetos!A:L,12,false)=TRUE,TRUE,FALSE)</f>
        <v>1</v>
      </c>
      <c r="M3118" s="74">
        <v>52.48434411075036</v>
      </c>
      <c r="N3118" s="74">
        <f t="shared" si="1"/>
        <v>78.72651617</v>
      </c>
      <c r="O3118" s="74" t="b">
        <v>1</v>
      </c>
    </row>
    <row r="3119" hidden="1">
      <c r="A3119" s="82"/>
      <c r="B3119" s="65" t="s">
        <v>411</v>
      </c>
      <c r="C3119" s="65" t="s">
        <v>117</v>
      </c>
      <c r="D3119" s="65" t="str">
        <f>vlookup(C3119,'Classificação p pessoal'!F:G,2,false)</f>
        <v>NP</v>
      </c>
      <c r="E3119" s="65" t="s">
        <v>2132</v>
      </c>
      <c r="F3119" s="83">
        <v>0.5208333333333334</v>
      </c>
      <c r="G3119" s="83">
        <v>0.5625</v>
      </c>
      <c r="H3119" s="83">
        <v>0.041666666666666664</v>
      </c>
      <c r="I3119" s="84">
        <v>44292.0</v>
      </c>
      <c r="J3119" s="65" t="b">
        <v>1</v>
      </c>
      <c r="K3119" s="65"/>
      <c r="L3119" s="85" t="b">
        <f>IF(VLOOKUP(C3119,Projetos!A:L,12,false)=TRUE,TRUE,FALSE)</f>
        <v>1</v>
      </c>
      <c r="M3119" s="74">
        <v>52.48434411075036</v>
      </c>
      <c r="N3119" s="74">
        <f t="shared" si="1"/>
        <v>52.48434411</v>
      </c>
      <c r="O3119" s="74" t="b">
        <v>1</v>
      </c>
    </row>
    <row r="3120" hidden="1">
      <c r="A3120" s="82"/>
      <c r="B3120" s="65" t="s">
        <v>411</v>
      </c>
      <c r="C3120" s="65" t="s">
        <v>119</v>
      </c>
      <c r="D3120" s="65" t="str">
        <f>vlookup(C3120,'Classificação p pessoal'!F:G,2,false)</f>
        <v>NP</v>
      </c>
      <c r="E3120" s="65" t="s">
        <v>2124</v>
      </c>
      <c r="F3120" s="83">
        <v>0.6041666666666666</v>
      </c>
      <c r="G3120" s="83">
        <v>0.6458333333333334</v>
      </c>
      <c r="H3120" s="83">
        <v>0.041666666666666664</v>
      </c>
      <c r="I3120" s="84">
        <v>44292.0</v>
      </c>
      <c r="J3120" s="65" t="b">
        <v>1</v>
      </c>
      <c r="K3120" s="65"/>
      <c r="L3120" s="85" t="b">
        <f>IF(VLOOKUP(C3120,Projetos!A:L,12,false)=TRUE,TRUE,FALSE)</f>
        <v>1</v>
      </c>
      <c r="M3120" s="74">
        <v>52.48434411075036</v>
      </c>
      <c r="N3120" s="74">
        <f t="shared" si="1"/>
        <v>52.48434411</v>
      </c>
      <c r="O3120" s="74" t="b">
        <v>1</v>
      </c>
    </row>
    <row r="3121" hidden="1">
      <c r="A3121" s="82"/>
      <c r="B3121" s="65" t="s">
        <v>411</v>
      </c>
      <c r="C3121" s="65" t="s">
        <v>132</v>
      </c>
      <c r="D3121" s="65"/>
      <c r="E3121" s="65" t="s">
        <v>2133</v>
      </c>
      <c r="F3121" s="83">
        <v>0.6458333333333334</v>
      </c>
      <c r="G3121" s="83">
        <v>0.6666666666666666</v>
      </c>
      <c r="H3121" s="83">
        <v>0.020833333333333332</v>
      </c>
      <c r="I3121" s="84">
        <v>44292.0</v>
      </c>
      <c r="J3121" s="65" t="b">
        <v>0</v>
      </c>
      <c r="K3121" s="65" t="s">
        <v>150</v>
      </c>
      <c r="L3121" s="85" t="b">
        <f>IF(VLOOKUP(C3121,Projetos!A:L,12,false)=TRUE,TRUE,FALSE)</f>
        <v>0</v>
      </c>
      <c r="M3121" s="74">
        <v>52.48434411075036</v>
      </c>
      <c r="N3121" s="74">
        <f t="shared" si="1"/>
        <v>0</v>
      </c>
      <c r="O3121" s="74" t="b">
        <v>0</v>
      </c>
    </row>
    <row r="3122" hidden="1">
      <c r="A3122" s="82"/>
      <c r="B3122" s="65" t="s">
        <v>411</v>
      </c>
      <c r="C3122" s="65" t="s">
        <v>117</v>
      </c>
      <c r="D3122" s="65" t="str">
        <f>vlookup(C3122,'Classificação p pessoal'!F:G,2,false)</f>
        <v>NP</v>
      </c>
      <c r="E3122" s="65" t="s">
        <v>2134</v>
      </c>
      <c r="F3122" s="83">
        <v>0.6666666666666666</v>
      </c>
      <c r="G3122" s="83">
        <v>0.75</v>
      </c>
      <c r="H3122" s="83">
        <v>0.08333333333333333</v>
      </c>
      <c r="I3122" s="84">
        <v>44292.0</v>
      </c>
      <c r="J3122" s="65" t="b">
        <v>1</v>
      </c>
      <c r="K3122" s="65"/>
      <c r="L3122" s="85" t="b">
        <f>IF(VLOOKUP(C3122,Projetos!A:L,12,false)=TRUE,TRUE,FALSE)</f>
        <v>1</v>
      </c>
      <c r="M3122" s="74">
        <v>52.48434411075036</v>
      </c>
      <c r="N3122" s="74">
        <f t="shared" si="1"/>
        <v>104.9686882</v>
      </c>
      <c r="O3122" s="74" t="b">
        <v>1</v>
      </c>
    </row>
    <row r="3123" hidden="1">
      <c r="A3123" s="82"/>
      <c r="B3123" s="65" t="s">
        <v>411</v>
      </c>
      <c r="C3123" s="65" t="s">
        <v>117</v>
      </c>
      <c r="D3123" s="65" t="str">
        <f>vlookup(C3123,'Classificação p pessoal'!F:G,2,false)</f>
        <v>NP</v>
      </c>
      <c r="E3123" s="65" t="s">
        <v>2132</v>
      </c>
      <c r="F3123" s="83">
        <v>0.34375</v>
      </c>
      <c r="G3123" s="83">
        <v>0.3541666666666667</v>
      </c>
      <c r="H3123" s="83">
        <v>0.010416666666666666</v>
      </c>
      <c r="I3123" s="84">
        <v>44293.0</v>
      </c>
      <c r="J3123" s="65" t="b">
        <v>1</v>
      </c>
      <c r="K3123" s="65"/>
      <c r="L3123" s="85" t="b">
        <f>IF(VLOOKUP(C3123,Projetos!A:L,12,false)=TRUE,TRUE,FALSE)</f>
        <v>1</v>
      </c>
      <c r="M3123" s="74">
        <v>52.48434411075036</v>
      </c>
      <c r="N3123" s="74">
        <f t="shared" si="1"/>
        <v>13.12108603</v>
      </c>
      <c r="O3123" s="74" t="b">
        <v>1</v>
      </c>
    </row>
    <row r="3124" hidden="1">
      <c r="A3124" s="82"/>
      <c r="B3124" s="65" t="s">
        <v>411</v>
      </c>
      <c r="C3124" s="65" t="s">
        <v>117</v>
      </c>
      <c r="D3124" s="65" t="str">
        <f>vlookup(C3124,'Classificação p pessoal'!F:G,2,false)</f>
        <v>NP</v>
      </c>
      <c r="E3124" s="65" t="s">
        <v>2135</v>
      </c>
      <c r="F3124" s="83">
        <v>0.4166666666666667</v>
      </c>
      <c r="G3124" s="83">
        <v>0.4375</v>
      </c>
      <c r="H3124" s="83">
        <v>0.020833333333333332</v>
      </c>
      <c r="I3124" s="84">
        <v>44293.0</v>
      </c>
      <c r="J3124" s="65" t="b">
        <v>1</v>
      </c>
      <c r="K3124" s="65"/>
      <c r="L3124" s="85" t="b">
        <f>IF(VLOOKUP(C3124,Projetos!A:L,12,false)=TRUE,TRUE,FALSE)</f>
        <v>1</v>
      </c>
      <c r="M3124" s="74">
        <v>52.48434411075036</v>
      </c>
      <c r="N3124" s="74">
        <f t="shared" si="1"/>
        <v>26.24217206</v>
      </c>
      <c r="O3124" s="74" t="b">
        <v>1</v>
      </c>
    </row>
    <row r="3125" hidden="1">
      <c r="A3125" s="82"/>
      <c r="B3125" s="65" t="s">
        <v>411</v>
      </c>
      <c r="C3125" s="65" t="s">
        <v>92</v>
      </c>
      <c r="D3125" s="65" t="str">
        <f>vlookup(C3125,'Classificação p pessoal'!F:G,2,false)</f>
        <v/>
      </c>
      <c r="E3125" s="65" t="s">
        <v>2131</v>
      </c>
      <c r="F3125" s="83">
        <v>0.4375</v>
      </c>
      <c r="G3125" s="83">
        <v>0.5</v>
      </c>
      <c r="H3125" s="83">
        <v>0.0625</v>
      </c>
      <c r="I3125" s="84">
        <v>44293.0</v>
      </c>
      <c r="J3125" s="65" t="b">
        <v>1</v>
      </c>
      <c r="K3125" s="65"/>
      <c r="L3125" s="85" t="b">
        <f>IF(VLOOKUP(C3125,Projetos!A:L,12,false)=TRUE,TRUE,FALSE)</f>
        <v>1</v>
      </c>
      <c r="M3125" s="74">
        <v>52.48434411075036</v>
      </c>
      <c r="N3125" s="74">
        <f t="shared" si="1"/>
        <v>78.72651617</v>
      </c>
      <c r="O3125" s="74" t="b">
        <v>1</v>
      </c>
    </row>
    <row r="3126" hidden="1">
      <c r="A3126" s="82"/>
      <c r="B3126" s="65" t="s">
        <v>411</v>
      </c>
      <c r="C3126" s="65" t="s">
        <v>125</v>
      </c>
      <c r="D3126" s="65" t="str">
        <f>vlookup(C3126,'Classificação p pessoal'!F:G,2,false)</f>
        <v>MProduto</v>
      </c>
      <c r="E3126" s="65" t="s">
        <v>2136</v>
      </c>
      <c r="F3126" s="83">
        <v>0.5416666666666666</v>
      </c>
      <c r="G3126" s="83">
        <v>0.6041666666666666</v>
      </c>
      <c r="H3126" s="83">
        <v>0.0625</v>
      </c>
      <c r="I3126" s="84">
        <v>44293.0</v>
      </c>
      <c r="J3126" s="65" t="b">
        <v>1</v>
      </c>
      <c r="K3126" s="65"/>
      <c r="L3126" s="85" t="b">
        <f>IF(VLOOKUP(C3126,Projetos!A:L,12,false)=TRUE,TRUE,FALSE)</f>
        <v>1</v>
      </c>
      <c r="M3126" s="74">
        <v>52.48434411075036</v>
      </c>
      <c r="N3126" s="74">
        <f t="shared" si="1"/>
        <v>78.72651617</v>
      </c>
      <c r="O3126" s="74" t="b">
        <v>1</v>
      </c>
    </row>
    <row r="3127" hidden="1">
      <c r="A3127" s="82"/>
      <c r="B3127" s="65" t="s">
        <v>411</v>
      </c>
      <c r="C3127" s="65" t="s">
        <v>117</v>
      </c>
      <c r="D3127" s="65"/>
      <c r="E3127" s="65" t="s">
        <v>2137</v>
      </c>
      <c r="F3127" s="83">
        <v>0.6041666666666666</v>
      </c>
      <c r="G3127" s="83">
        <v>0.625</v>
      </c>
      <c r="H3127" s="83">
        <v>0.020833333333333332</v>
      </c>
      <c r="I3127" s="84">
        <v>44293.0</v>
      </c>
      <c r="J3127" s="65" t="b">
        <v>0</v>
      </c>
      <c r="K3127" s="65" t="s">
        <v>150</v>
      </c>
      <c r="L3127" s="85" t="b">
        <f>IF(VLOOKUP(C3127,Projetos!A:L,12,false)=TRUE,TRUE,FALSE)</f>
        <v>1</v>
      </c>
      <c r="M3127" s="74">
        <v>52.48434411075036</v>
      </c>
      <c r="N3127" s="74">
        <f t="shared" si="1"/>
        <v>0</v>
      </c>
      <c r="O3127" s="74" t="b">
        <v>1</v>
      </c>
    </row>
    <row r="3128" hidden="1">
      <c r="A3128" s="82"/>
      <c r="B3128" s="65" t="s">
        <v>411</v>
      </c>
      <c r="C3128" s="65" t="s">
        <v>92</v>
      </c>
      <c r="D3128" s="65" t="str">
        <f>vlookup(C3128,'Classificação p pessoal'!F:G,2,false)</f>
        <v/>
      </c>
      <c r="E3128" s="65" t="s">
        <v>2138</v>
      </c>
      <c r="F3128" s="83">
        <v>0.34375</v>
      </c>
      <c r="G3128" s="83">
        <v>0.5208333333333334</v>
      </c>
      <c r="H3128" s="83">
        <v>0.17708333333333334</v>
      </c>
      <c r="I3128" s="84">
        <v>44294.0</v>
      </c>
      <c r="J3128" s="65" t="b">
        <v>1</v>
      </c>
      <c r="K3128" s="65"/>
      <c r="L3128" s="85" t="b">
        <f>IF(VLOOKUP(C3128,Projetos!A:L,12,false)=TRUE,TRUE,FALSE)</f>
        <v>1</v>
      </c>
      <c r="M3128" s="74">
        <v>52.48434411075036</v>
      </c>
      <c r="N3128" s="74">
        <f t="shared" si="1"/>
        <v>223.0584625</v>
      </c>
      <c r="O3128" s="74" t="b">
        <v>1</v>
      </c>
    </row>
    <row r="3129" hidden="1">
      <c r="A3129" s="82"/>
      <c r="B3129" s="65" t="s">
        <v>411</v>
      </c>
      <c r="C3129" s="65" t="s">
        <v>117</v>
      </c>
      <c r="D3129" s="65" t="str">
        <f>vlookup(C3129,'Classificação p pessoal'!F:G,2,false)</f>
        <v>NP</v>
      </c>
      <c r="E3129" s="65" t="s">
        <v>2139</v>
      </c>
      <c r="F3129" s="83">
        <v>0.5208333333333334</v>
      </c>
      <c r="G3129" s="83">
        <v>0.5416666666666666</v>
      </c>
      <c r="H3129" s="83">
        <v>0.020833333333333332</v>
      </c>
      <c r="I3129" s="84">
        <v>44294.0</v>
      </c>
      <c r="J3129" s="65" t="b">
        <v>1</v>
      </c>
      <c r="K3129" s="65"/>
      <c r="L3129" s="85" t="b">
        <f>IF(VLOOKUP(C3129,Projetos!A:L,12,false)=TRUE,TRUE,FALSE)</f>
        <v>1</v>
      </c>
      <c r="M3129" s="74">
        <v>52.48434411075036</v>
      </c>
      <c r="N3129" s="74">
        <f t="shared" si="1"/>
        <v>26.24217206</v>
      </c>
      <c r="O3129" s="74" t="b">
        <v>1</v>
      </c>
    </row>
    <row r="3130" hidden="1">
      <c r="A3130" s="82"/>
      <c r="B3130" s="65" t="s">
        <v>411</v>
      </c>
      <c r="C3130" s="65" t="s">
        <v>117</v>
      </c>
      <c r="D3130" s="65" t="str">
        <f>vlookup(C3130,'Classificação p pessoal'!F:G,2,false)</f>
        <v>NP</v>
      </c>
      <c r="E3130" s="65" t="s">
        <v>2140</v>
      </c>
      <c r="F3130" s="83">
        <v>0.7291666666666666</v>
      </c>
      <c r="G3130" s="83">
        <v>0.8125</v>
      </c>
      <c r="H3130" s="83">
        <v>0.08333333333333333</v>
      </c>
      <c r="I3130" s="84">
        <v>44294.0</v>
      </c>
      <c r="J3130" s="65" t="b">
        <v>1</v>
      </c>
      <c r="K3130" s="65"/>
      <c r="L3130" s="85" t="b">
        <f>IF(VLOOKUP(C3130,Projetos!A:L,12,false)=TRUE,TRUE,FALSE)</f>
        <v>1</v>
      </c>
      <c r="M3130" s="74">
        <v>52.48434411075036</v>
      </c>
      <c r="N3130" s="74">
        <f t="shared" si="1"/>
        <v>104.9686882</v>
      </c>
      <c r="O3130" s="74" t="b">
        <v>1</v>
      </c>
    </row>
    <row r="3131" hidden="1">
      <c r="A3131" s="82"/>
      <c r="B3131" s="65" t="s">
        <v>411</v>
      </c>
      <c r="C3131" s="65" t="s">
        <v>117</v>
      </c>
      <c r="D3131" s="65" t="str">
        <f>vlookup(C3131,'Classificação p pessoal'!F:G,2,false)</f>
        <v>NP</v>
      </c>
      <c r="E3131" s="65" t="s">
        <v>2141</v>
      </c>
      <c r="F3131" s="83">
        <v>0.5</v>
      </c>
      <c r="G3131" s="83">
        <v>0.5208333333333334</v>
      </c>
      <c r="H3131" s="83">
        <v>0.020833333333333332</v>
      </c>
      <c r="I3131" s="84">
        <v>44295.0</v>
      </c>
      <c r="J3131" s="65" t="b">
        <v>1</v>
      </c>
      <c r="K3131" s="65"/>
      <c r="L3131" s="85" t="b">
        <f>IF(VLOOKUP(C3131,Projetos!A:L,12,false)=TRUE,TRUE,FALSE)</f>
        <v>1</v>
      </c>
      <c r="M3131" s="74">
        <v>52.48434411075036</v>
      </c>
      <c r="N3131" s="74">
        <f t="shared" si="1"/>
        <v>26.24217206</v>
      </c>
      <c r="O3131" s="74" t="b">
        <v>1</v>
      </c>
    </row>
    <row r="3132" hidden="1">
      <c r="A3132" s="82"/>
      <c r="B3132" s="65" t="s">
        <v>411</v>
      </c>
      <c r="C3132" s="65" t="s">
        <v>127</v>
      </c>
      <c r="D3132" s="65" t="str">
        <f>vlookup(C3132,'Classificação p pessoal'!F:G,2,false)</f>
        <v>NP</v>
      </c>
      <c r="E3132" s="65" t="s">
        <v>2142</v>
      </c>
      <c r="F3132" s="83">
        <v>0.5208333333333334</v>
      </c>
      <c r="G3132" s="83">
        <v>0.5416666666666666</v>
      </c>
      <c r="H3132" s="83">
        <v>0.020833333333333332</v>
      </c>
      <c r="I3132" s="84">
        <v>44295.0</v>
      </c>
      <c r="J3132" s="65" t="b">
        <v>1</v>
      </c>
      <c r="K3132" s="65"/>
      <c r="L3132" s="85" t="b">
        <f>IF(VLOOKUP(C3132,Projetos!A:L,12,false)=TRUE,TRUE,FALSE)</f>
        <v>1</v>
      </c>
      <c r="M3132" s="74">
        <v>52.48434411075036</v>
      </c>
      <c r="N3132" s="74">
        <f t="shared" si="1"/>
        <v>26.24217206</v>
      </c>
      <c r="O3132" s="74" t="b">
        <v>1</v>
      </c>
    </row>
    <row r="3133" hidden="1">
      <c r="A3133" s="82"/>
      <c r="B3133" s="65" t="s">
        <v>411</v>
      </c>
      <c r="C3133" s="65" t="s">
        <v>130</v>
      </c>
      <c r="D3133" s="65" t="str">
        <f>vlookup(C3133,'Classificação p pessoal'!F:G,2,false)</f>
        <v>NP</v>
      </c>
      <c r="E3133" s="65" t="s">
        <v>2143</v>
      </c>
      <c r="F3133" s="83">
        <v>0.4583333333333333</v>
      </c>
      <c r="G3133" s="83">
        <v>0.5208333333333334</v>
      </c>
      <c r="H3133" s="83">
        <v>0.0625</v>
      </c>
      <c r="I3133" s="84">
        <v>44249.0</v>
      </c>
      <c r="J3133" s="65" t="b">
        <v>1</v>
      </c>
      <c r="K3133" s="65"/>
      <c r="L3133" s="85" t="b">
        <f>IF(VLOOKUP(C3133,Projetos!A:L,12,false)=TRUE,TRUE,FALSE)</f>
        <v>1</v>
      </c>
      <c r="M3133" s="74">
        <v>52.48434411075036</v>
      </c>
      <c r="N3133" s="74">
        <f t="shared" si="1"/>
        <v>78.72651617</v>
      </c>
      <c r="O3133" s="74" t="b">
        <v>1</v>
      </c>
    </row>
    <row r="3134" hidden="1">
      <c r="A3134" s="82"/>
      <c r="B3134" s="65" t="s">
        <v>411</v>
      </c>
      <c r="C3134" s="65" t="s">
        <v>117</v>
      </c>
      <c r="D3134" s="65" t="str">
        <f>vlookup(C3134,'Classificação p pessoal'!F:G,2,false)</f>
        <v>NP</v>
      </c>
      <c r="E3134" s="65" t="s">
        <v>2144</v>
      </c>
      <c r="F3134" s="83">
        <v>0.7291666666666666</v>
      </c>
      <c r="G3134" s="83">
        <v>0.7708333333333334</v>
      </c>
      <c r="H3134" s="83">
        <v>0.041666666666666664</v>
      </c>
      <c r="I3134" s="84">
        <v>44295.0</v>
      </c>
      <c r="J3134" s="65" t="b">
        <v>1</v>
      </c>
      <c r="K3134" s="65"/>
      <c r="L3134" s="85" t="b">
        <f>IF(VLOOKUP(C3134,Projetos!A:L,12,false)=TRUE,TRUE,FALSE)</f>
        <v>1</v>
      </c>
      <c r="M3134" s="74">
        <v>52.48434411075036</v>
      </c>
      <c r="N3134" s="74">
        <f t="shared" si="1"/>
        <v>52.48434411</v>
      </c>
      <c r="O3134" s="74" t="b">
        <v>1</v>
      </c>
    </row>
    <row r="3135" hidden="1">
      <c r="A3135" s="82"/>
      <c r="B3135" s="65" t="s">
        <v>411</v>
      </c>
      <c r="C3135" s="65" t="s">
        <v>119</v>
      </c>
      <c r="D3135" s="65" t="str">
        <f>vlookup(C3135,'Classificação p pessoal'!F:G,2,false)</f>
        <v>NP</v>
      </c>
      <c r="E3135" s="65" t="s">
        <v>2124</v>
      </c>
      <c r="F3135" s="83">
        <v>0.7708333333333334</v>
      </c>
      <c r="G3135" s="83">
        <v>0.7916666666666666</v>
      </c>
      <c r="H3135" s="83">
        <v>0.020833333333333332</v>
      </c>
      <c r="I3135" s="84">
        <v>44295.0</v>
      </c>
      <c r="J3135" s="65" t="b">
        <v>1</v>
      </c>
      <c r="K3135" s="65"/>
      <c r="L3135" s="85" t="b">
        <f>IF(VLOOKUP(C3135,Projetos!A:L,12,false)=TRUE,TRUE,FALSE)</f>
        <v>1</v>
      </c>
      <c r="M3135" s="74">
        <v>52.48434411075036</v>
      </c>
      <c r="N3135" s="74">
        <f t="shared" si="1"/>
        <v>26.24217206</v>
      </c>
      <c r="O3135" s="74" t="b">
        <v>1</v>
      </c>
    </row>
    <row r="3136" hidden="1">
      <c r="A3136" s="82"/>
      <c r="B3136" s="65" t="s">
        <v>411</v>
      </c>
      <c r="C3136" s="65" t="s">
        <v>117</v>
      </c>
      <c r="D3136" s="65" t="str">
        <f>vlookup(C3136,'Classificação p pessoal'!F:G,2,false)</f>
        <v>NP</v>
      </c>
      <c r="E3136" s="65" t="s">
        <v>2145</v>
      </c>
      <c r="F3136" s="83">
        <v>0.34375</v>
      </c>
      <c r="G3136" s="83">
        <v>0.3854166666666667</v>
      </c>
      <c r="H3136" s="83">
        <v>0.041666666666666664</v>
      </c>
      <c r="I3136" s="84">
        <v>44308.0</v>
      </c>
      <c r="J3136" s="65" t="b">
        <v>1</v>
      </c>
      <c r="K3136" s="65"/>
      <c r="L3136" s="85" t="b">
        <f>IF(VLOOKUP(C3136,Projetos!A:L,12,false)=TRUE,TRUE,FALSE)</f>
        <v>1</v>
      </c>
      <c r="M3136" s="74">
        <v>52.48434411075036</v>
      </c>
      <c r="N3136" s="74">
        <f t="shared" si="1"/>
        <v>52.48434411</v>
      </c>
      <c r="O3136" s="74" t="b">
        <v>1</v>
      </c>
    </row>
    <row r="3137" hidden="1">
      <c r="A3137" s="82"/>
      <c r="B3137" s="65" t="s">
        <v>411</v>
      </c>
      <c r="C3137" s="65" t="s">
        <v>88</v>
      </c>
      <c r="D3137" s="65" t="str">
        <f>vlookup(C3137,'Classificação p pessoal'!F:G,2,false)</f>
        <v>MProduto</v>
      </c>
      <c r="E3137" s="65" t="s">
        <v>2146</v>
      </c>
      <c r="F3137" s="83">
        <v>0.3854166666666667</v>
      </c>
      <c r="G3137" s="83">
        <v>0.40625</v>
      </c>
      <c r="H3137" s="83">
        <v>0.020833333333333332</v>
      </c>
      <c r="I3137" s="84">
        <v>44308.0</v>
      </c>
      <c r="J3137" s="65" t="b">
        <v>1</v>
      </c>
      <c r="K3137" s="65"/>
      <c r="L3137" s="85" t="b">
        <f>IF(VLOOKUP(C3137,Projetos!A:L,12,false)=TRUE,TRUE,FALSE)</f>
        <v>1</v>
      </c>
      <c r="M3137" s="74">
        <v>52.48434411075036</v>
      </c>
      <c r="N3137" s="74">
        <f t="shared" si="1"/>
        <v>26.24217206</v>
      </c>
      <c r="O3137" s="74" t="b">
        <v>1</v>
      </c>
    </row>
    <row r="3138" hidden="1">
      <c r="A3138" s="82"/>
      <c r="B3138" s="65" t="s">
        <v>411</v>
      </c>
      <c r="C3138" s="65" t="s">
        <v>117</v>
      </c>
      <c r="D3138" s="65" t="str">
        <f>vlookup(C3138,'Classificação p pessoal'!F:G,2,false)</f>
        <v>NP</v>
      </c>
      <c r="E3138" s="65" t="s">
        <v>2147</v>
      </c>
      <c r="F3138" s="83">
        <v>0.40625</v>
      </c>
      <c r="G3138" s="83">
        <v>0.5416666666666666</v>
      </c>
      <c r="H3138" s="83">
        <v>0.13541666666666666</v>
      </c>
      <c r="I3138" s="84">
        <v>44308.0</v>
      </c>
      <c r="J3138" s="65" t="b">
        <v>1</v>
      </c>
      <c r="K3138" s="65"/>
      <c r="L3138" s="85" t="b">
        <f>IF(VLOOKUP(C3138,Projetos!A:L,12,false)=TRUE,TRUE,FALSE)</f>
        <v>1</v>
      </c>
      <c r="M3138" s="74">
        <v>52.48434411075036</v>
      </c>
      <c r="N3138" s="74">
        <f t="shared" si="1"/>
        <v>170.5741184</v>
      </c>
      <c r="O3138" s="74" t="b">
        <v>1</v>
      </c>
    </row>
    <row r="3139" hidden="1">
      <c r="A3139" s="82"/>
      <c r="B3139" s="65" t="s">
        <v>411</v>
      </c>
      <c r="C3139" s="65" t="s">
        <v>117</v>
      </c>
      <c r="D3139" s="65" t="str">
        <f>vlookup(C3139,'Classificação p pessoal'!F:G,2,false)</f>
        <v>NP</v>
      </c>
      <c r="E3139" s="65" t="s">
        <v>2148</v>
      </c>
      <c r="F3139" s="83">
        <v>0.625</v>
      </c>
      <c r="G3139" s="83">
        <v>0.75</v>
      </c>
      <c r="H3139" s="83">
        <v>0.125</v>
      </c>
      <c r="I3139" s="84">
        <v>44308.0</v>
      </c>
      <c r="J3139" s="65" t="b">
        <v>1</v>
      </c>
      <c r="K3139" s="65"/>
      <c r="L3139" s="85" t="b">
        <f>IF(VLOOKUP(C3139,Projetos!A:L,12,false)=TRUE,TRUE,FALSE)</f>
        <v>1</v>
      </c>
      <c r="M3139" s="74">
        <v>52.48434411075036</v>
      </c>
      <c r="N3139" s="74">
        <f t="shared" si="1"/>
        <v>157.4530323</v>
      </c>
      <c r="O3139" s="74" t="b">
        <v>1</v>
      </c>
    </row>
    <row r="3140" hidden="1">
      <c r="A3140" s="82"/>
      <c r="B3140" s="65" t="s">
        <v>411</v>
      </c>
      <c r="C3140" s="65" t="s">
        <v>119</v>
      </c>
      <c r="D3140" s="65" t="str">
        <f>vlookup(C3140,'Classificação p pessoal'!F:G,2,false)</f>
        <v>NP</v>
      </c>
      <c r="E3140" s="65" t="s">
        <v>2124</v>
      </c>
      <c r="F3140" s="83">
        <v>0.34375</v>
      </c>
      <c r="G3140" s="83">
        <v>0.3541666666666667</v>
      </c>
      <c r="H3140" s="83">
        <v>0.010416666666666666</v>
      </c>
      <c r="I3140" s="84">
        <v>44309.0</v>
      </c>
      <c r="J3140" s="65" t="b">
        <v>1</v>
      </c>
      <c r="K3140" s="65"/>
      <c r="L3140" s="85" t="b">
        <f>IF(VLOOKUP(C3140,Projetos!A:L,12,false)=TRUE,TRUE,FALSE)</f>
        <v>1</v>
      </c>
      <c r="M3140" s="74">
        <v>52.48434411075036</v>
      </c>
      <c r="N3140" s="74">
        <f t="shared" si="1"/>
        <v>13.12108603</v>
      </c>
      <c r="O3140" s="74" t="b">
        <v>1</v>
      </c>
    </row>
    <row r="3141" hidden="1">
      <c r="A3141" s="82"/>
      <c r="B3141" s="65" t="s">
        <v>411</v>
      </c>
      <c r="C3141" s="65" t="s">
        <v>88</v>
      </c>
      <c r="D3141" s="65" t="str">
        <f>vlookup(C3141,'Classificação p pessoal'!F:G,2,false)</f>
        <v>MProduto</v>
      </c>
      <c r="E3141" s="65" t="s">
        <v>2149</v>
      </c>
      <c r="F3141" s="83">
        <v>0.3541666666666667</v>
      </c>
      <c r="G3141" s="83">
        <v>0.3645833333333333</v>
      </c>
      <c r="H3141" s="83">
        <v>0.010416666666666666</v>
      </c>
      <c r="I3141" s="84">
        <v>44309.0</v>
      </c>
      <c r="J3141" s="65" t="b">
        <v>1</v>
      </c>
      <c r="K3141" s="65"/>
      <c r="L3141" s="85" t="b">
        <f>IF(VLOOKUP(C3141,Projetos!A:L,12,false)=TRUE,TRUE,FALSE)</f>
        <v>1</v>
      </c>
      <c r="M3141" s="74">
        <v>52.48434411075036</v>
      </c>
      <c r="N3141" s="74">
        <f t="shared" si="1"/>
        <v>13.12108603</v>
      </c>
      <c r="O3141" s="74" t="b">
        <v>1</v>
      </c>
    </row>
    <row r="3142" hidden="1">
      <c r="A3142" s="82"/>
      <c r="B3142" s="65" t="s">
        <v>411</v>
      </c>
      <c r="C3142" s="65" t="s">
        <v>117</v>
      </c>
      <c r="D3142" s="65" t="str">
        <f>vlookup(C3142,'Classificação p pessoal'!F:G,2,false)</f>
        <v>NP</v>
      </c>
      <c r="E3142" s="65" t="s">
        <v>2145</v>
      </c>
      <c r="F3142" s="83">
        <v>0.3645833333333333</v>
      </c>
      <c r="G3142" s="83">
        <v>0.5625</v>
      </c>
      <c r="H3142" s="83">
        <v>0.19791666666666666</v>
      </c>
      <c r="I3142" s="84">
        <v>44309.0</v>
      </c>
      <c r="J3142" s="65" t="b">
        <v>1</v>
      </c>
      <c r="K3142" s="65"/>
      <c r="L3142" s="85" t="b">
        <f>IF(VLOOKUP(C3142,Projetos!A:L,12,false)=TRUE,TRUE,FALSE)</f>
        <v>1</v>
      </c>
      <c r="M3142" s="74">
        <v>52.48434411075036</v>
      </c>
      <c r="N3142" s="74">
        <f t="shared" si="1"/>
        <v>249.3006345</v>
      </c>
      <c r="O3142" s="74" t="b">
        <v>1</v>
      </c>
    </row>
    <row r="3143" hidden="1">
      <c r="A3143" s="82"/>
      <c r="B3143" s="65" t="s">
        <v>411</v>
      </c>
      <c r="C3143" s="65" t="s">
        <v>125</v>
      </c>
      <c r="D3143" s="65" t="str">
        <f>vlookup(C3143,'Classificação p pessoal'!F:G,2,false)</f>
        <v>MProduto</v>
      </c>
      <c r="E3143" s="65" t="s">
        <v>2150</v>
      </c>
      <c r="F3143" s="83">
        <v>0.6041666666666666</v>
      </c>
      <c r="G3143" s="83">
        <v>0.625</v>
      </c>
      <c r="H3143" s="83">
        <v>0.020833333333333332</v>
      </c>
      <c r="I3143" s="84">
        <v>44309.0</v>
      </c>
      <c r="J3143" s="65" t="b">
        <v>1</v>
      </c>
      <c r="K3143" s="65"/>
      <c r="L3143" s="85" t="b">
        <f>IF(VLOOKUP(C3143,Projetos!A:L,12,false)=TRUE,TRUE,FALSE)</f>
        <v>1</v>
      </c>
      <c r="M3143" s="74">
        <v>52.48434411075036</v>
      </c>
      <c r="N3143" s="74">
        <f t="shared" si="1"/>
        <v>26.24217206</v>
      </c>
      <c r="O3143" s="74" t="b">
        <v>1</v>
      </c>
    </row>
    <row r="3144" hidden="1">
      <c r="A3144" s="82"/>
      <c r="B3144" s="65" t="s">
        <v>411</v>
      </c>
      <c r="C3144" s="65" t="s">
        <v>117</v>
      </c>
      <c r="D3144" s="65" t="str">
        <f>vlookup(C3144,'Classificação p pessoal'!F:G,2,false)</f>
        <v>NP</v>
      </c>
      <c r="E3144" s="65" t="s">
        <v>2151</v>
      </c>
      <c r="F3144" s="83">
        <v>0.625</v>
      </c>
      <c r="G3144" s="83">
        <v>0.7291666666666666</v>
      </c>
      <c r="H3144" s="83">
        <v>0.10416666666666667</v>
      </c>
      <c r="I3144" s="84">
        <v>44309.0</v>
      </c>
      <c r="J3144" s="65" t="b">
        <v>1</v>
      </c>
      <c r="K3144" s="65"/>
      <c r="L3144" s="85" t="b">
        <f>IF(VLOOKUP(C3144,Projetos!A:L,12,false)=TRUE,TRUE,FALSE)</f>
        <v>1</v>
      </c>
      <c r="M3144" s="74">
        <v>52.48434411075036</v>
      </c>
      <c r="N3144" s="74">
        <f t="shared" si="1"/>
        <v>131.2108603</v>
      </c>
      <c r="O3144" s="74" t="b">
        <v>1</v>
      </c>
    </row>
    <row r="3145" hidden="1">
      <c r="A3145" s="82"/>
      <c r="B3145" s="65" t="s">
        <v>411</v>
      </c>
      <c r="C3145" s="65" t="s">
        <v>127</v>
      </c>
      <c r="D3145" s="65" t="str">
        <f>vlookup(C3145,'Classificação p pessoal'!F:G,2,false)</f>
        <v>NP</v>
      </c>
      <c r="E3145" s="65" t="s">
        <v>2152</v>
      </c>
      <c r="F3145" s="83">
        <v>0.7291666666666666</v>
      </c>
      <c r="G3145" s="83">
        <v>0.75</v>
      </c>
      <c r="H3145" s="83">
        <v>0.020833333333333332</v>
      </c>
      <c r="I3145" s="84">
        <v>44309.0</v>
      </c>
      <c r="J3145" s="65" t="b">
        <v>1</v>
      </c>
      <c r="K3145" s="65"/>
      <c r="L3145" s="85" t="b">
        <f>IF(VLOOKUP(C3145,Projetos!A:L,12,false)=TRUE,TRUE,FALSE)</f>
        <v>1</v>
      </c>
      <c r="M3145" s="74">
        <v>52.48434411075036</v>
      </c>
      <c r="N3145" s="74">
        <f t="shared" si="1"/>
        <v>26.24217206</v>
      </c>
      <c r="O3145" s="74" t="b">
        <v>1</v>
      </c>
    </row>
    <row r="3146" hidden="1">
      <c r="A3146" s="82"/>
      <c r="B3146" s="65" t="s">
        <v>411</v>
      </c>
      <c r="C3146" s="65" t="s">
        <v>117</v>
      </c>
      <c r="D3146" s="65" t="str">
        <f>vlookup(C3146,'Classificação p pessoal'!F:G,2,false)</f>
        <v>NP</v>
      </c>
      <c r="E3146" s="65" t="s">
        <v>2153</v>
      </c>
      <c r="F3146" s="83">
        <v>0.34375</v>
      </c>
      <c r="G3146" s="83">
        <v>0.4583333333333333</v>
      </c>
      <c r="H3146" s="83">
        <v>0.11458333333333333</v>
      </c>
      <c r="I3146" s="84">
        <v>44312.0</v>
      </c>
      <c r="J3146" s="65" t="b">
        <v>1</v>
      </c>
      <c r="K3146" s="65"/>
      <c r="L3146" s="85" t="b">
        <f>IF(VLOOKUP(C3146,Projetos!A:L,12,false)=TRUE,TRUE,FALSE)</f>
        <v>1</v>
      </c>
      <c r="M3146" s="74">
        <v>52.48434411075036</v>
      </c>
      <c r="N3146" s="74">
        <f t="shared" si="1"/>
        <v>144.3319463</v>
      </c>
      <c r="O3146" s="74" t="b">
        <v>1</v>
      </c>
    </row>
    <row r="3147" hidden="1">
      <c r="A3147" s="82"/>
      <c r="B3147" s="65" t="s">
        <v>411</v>
      </c>
      <c r="C3147" s="65" t="s">
        <v>92</v>
      </c>
      <c r="D3147" s="65" t="str">
        <f>vlookup(C3147,'Classificação p pessoal'!F:G,2,false)</f>
        <v/>
      </c>
      <c r="E3147" s="65" t="s">
        <v>2154</v>
      </c>
      <c r="F3147" s="83">
        <v>0.4583333333333333</v>
      </c>
      <c r="G3147" s="83">
        <v>0.5</v>
      </c>
      <c r="H3147" s="83">
        <v>0.041666666666666664</v>
      </c>
      <c r="I3147" s="84">
        <v>44312.0</v>
      </c>
      <c r="J3147" s="65" t="b">
        <v>1</v>
      </c>
      <c r="K3147" s="65"/>
      <c r="L3147" s="85" t="b">
        <f>IF(VLOOKUP(C3147,Projetos!A:L,12,false)=TRUE,TRUE,FALSE)</f>
        <v>1</v>
      </c>
      <c r="M3147" s="74">
        <v>52.48434411075036</v>
      </c>
      <c r="N3147" s="74">
        <f t="shared" si="1"/>
        <v>52.48434411</v>
      </c>
      <c r="O3147" s="74" t="b">
        <v>1</v>
      </c>
    </row>
    <row r="3148" hidden="1">
      <c r="A3148" s="82"/>
      <c r="B3148" s="65" t="s">
        <v>411</v>
      </c>
      <c r="C3148" s="65" t="s">
        <v>117</v>
      </c>
      <c r="D3148" s="65" t="str">
        <f>vlookup(C3148,'Classificação p pessoal'!F:G,2,false)</f>
        <v>NP</v>
      </c>
      <c r="E3148" s="65" t="s">
        <v>2155</v>
      </c>
      <c r="F3148" s="83">
        <v>0.5416666666666666</v>
      </c>
      <c r="G3148" s="83">
        <v>0.0</v>
      </c>
      <c r="H3148" s="83">
        <v>0.4583333333333333</v>
      </c>
      <c r="I3148" s="84">
        <v>44312.0</v>
      </c>
      <c r="J3148" s="65" t="b">
        <v>1</v>
      </c>
      <c r="K3148" s="65"/>
      <c r="L3148" s="85" t="b">
        <f>IF(VLOOKUP(C3148,Projetos!A:L,12,false)=TRUE,TRUE,FALSE)</f>
        <v>1</v>
      </c>
      <c r="M3148" s="74">
        <v>52.48434411075036</v>
      </c>
      <c r="N3148" s="74">
        <f t="shared" si="1"/>
        <v>577.3277852</v>
      </c>
      <c r="O3148" s="74" t="b">
        <v>1</v>
      </c>
    </row>
    <row r="3149" hidden="1">
      <c r="A3149" s="82"/>
      <c r="B3149" s="65" t="s">
        <v>411</v>
      </c>
      <c r="C3149" s="65" t="s">
        <v>117</v>
      </c>
      <c r="D3149" s="65" t="str">
        <f>vlookup(C3149,'Classificação p pessoal'!F:G,2,false)</f>
        <v>NP</v>
      </c>
      <c r="E3149" s="65" t="s">
        <v>2156</v>
      </c>
      <c r="F3149" s="83">
        <v>0.3333333333333333</v>
      </c>
      <c r="G3149" s="83">
        <v>0.75</v>
      </c>
      <c r="H3149" s="83">
        <v>0.4166666666666667</v>
      </c>
      <c r="I3149" s="84">
        <v>44312.0</v>
      </c>
      <c r="J3149" s="65" t="b">
        <v>1</v>
      </c>
      <c r="K3149" s="65"/>
      <c r="L3149" s="85" t="b">
        <f>IF(VLOOKUP(C3149,Projetos!A:L,12,false)=TRUE,TRUE,FALSE)</f>
        <v>1</v>
      </c>
      <c r="M3149" s="74">
        <v>52.48434411075036</v>
      </c>
      <c r="N3149" s="74">
        <f t="shared" si="1"/>
        <v>524.8434411</v>
      </c>
      <c r="O3149" s="74" t="b">
        <v>1</v>
      </c>
    </row>
    <row r="3150" hidden="1">
      <c r="A3150" s="82"/>
      <c r="B3150" s="65" t="s">
        <v>411</v>
      </c>
      <c r="C3150" s="65" t="s">
        <v>117</v>
      </c>
      <c r="D3150" s="65" t="str">
        <f>vlookup(C3150,'Classificação p pessoal'!F:G,2,false)</f>
        <v>NP</v>
      </c>
      <c r="E3150" s="65" t="s">
        <v>2156</v>
      </c>
      <c r="F3150" s="83">
        <v>0.3125</v>
      </c>
      <c r="G3150" s="83">
        <v>0.75</v>
      </c>
      <c r="H3150" s="83">
        <v>0.4375</v>
      </c>
      <c r="I3150" s="84">
        <v>44313.0</v>
      </c>
      <c r="J3150" s="65" t="b">
        <v>1</v>
      </c>
      <c r="K3150" s="65"/>
      <c r="L3150" s="85" t="b">
        <f>IF(VLOOKUP(C3150,Projetos!A:L,12,false)=TRUE,TRUE,FALSE)</f>
        <v>1</v>
      </c>
      <c r="M3150" s="74">
        <v>52.48434411075036</v>
      </c>
      <c r="N3150" s="74">
        <f t="shared" si="1"/>
        <v>551.0856132</v>
      </c>
      <c r="O3150" s="74" t="b">
        <v>1</v>
      </c>
    </row>
    <row r="3151" hidden="1">
      <c r="A3151" s="82"/>
      <c r="B3151" s="65" t="s">
        <v>411</v>
      </c>
      <c r="C3151" s="65" t="s">
        <v>117</v>
      </c>
      <c r="D3151" s="65" t="str">
        <f>vlookup(C3151,'Classificação p pessoal'!F:G,2,false)</f>
        <v>NP</v>
      </c>
      <c r="E3151" s="65" t="s">
        <v>2157</v>
      </c>
      <c r="F3151" s="83">
        <v>0.34375</v>
      </c>
      <c r="G3151" s="83">
        <v>0.875</v>
      </c>
      <c r="H3151" s="83">
        <v>0.53125</v>
      </c>
      <c r="I3151" s="84">
        <v>44313.0</v>
      </c>
      <c r="J3151" s="65" t="b">
        <v>1</v>
      </c>
      <c r="K3151" s="65"/>
      <c r="L3151" s="85" t="b">
        <f>IF(VLOOKUP(C3151,Projetos!A:L,12,false)=TRUE,TRUE,FALSE)</f>
        <v>1</v>
      </c>
      <c r="M3151" s="74">
        <v>52.48434411075036</v>
      </c>
      <c r="N3151" s="74">
        <f t="shared" si="1"/>
        <v>669.1753874</v>
      </c>
      <c r="O3151" s="74" t="b">
        <v>1</v>
      </c>
    </row>
    <row r="3152" hidden="1">
      <c r="A3152" s="82"/>
      <c r="B3152" s="65" t="s">
        <v>411</v>
      </c>
      <c r="C3152" s="65" t="s">
        <v>117</v>
      </c>
      <c r="D3152" s="65" t="str">
        <f>vlookup(C3152,'Classificação p pessoal'!F:G,2,false)</f>
        <v>NP</v>
      </c>
      <c r="E3152" s="65" t="s">
        <v>2158</v>
      </c>
      <c r="F3152" s="83">
        <v>0.34375</v>
      </c>
      <c r="G3152" s="83">
        <v>0.4166666666666667</v>
      </c>
      <c r="H3152" s="83">
        <v>0.07291666666666667</v>
      </c>
      <c r="I3152" s="84">
        <v>44316.0</v>
      </c>
      <c r="J3152" s="65" t="b">
        <v>1</v>
      </c>
      <c r="K3152" s="65"/>
      <c r="L3152" s="85" t="b">
        <f>IF(VLOOKUP(C3152,Projetos!A:L,12,false)=TRUE,TRUE,FALSE)</f>
        <v>1</v>
      </c>
      <c r="M3152" s="74">
        <v>52.48434411075036</v>
      </c>
      <c r="N3152" s="74">
        <f t="shared" si="1"/>
        <v>91.84760219</v>
      </c>
      <c r="O3152" s="74" t="b">
        <v>1</v>
      </c>
    </row>
    <row r="3153" hidden="1">
      <c r="A3153" s="82"/>
      <c r="B3153" s="65" t="s">
        <v>411</v>
      </c>
      <c r="C3153" s="65" t="s">
        <v>100</v>
      </c>
      <c r="D3153" s="65" t="str">
        <f>vlookup(C3153,'Classificação p pessoal'!F:G,2,false)</f>
        <v>NP</v>
      </c>
      <c r="E3153" s="65" t="s">
        <v>2159</v>
      </c>
      <c r="F3153" s="83">
        <v>0.4166666666666667</v>
      </c>
      <c r="G3153" s="83">
        <v>0.4375</v>
      </c>
      <c r="H3153" s="83">
        <v>0.020833333333333332</v>
      </c>
      <c r="I3153" s="84">
        <v>44316.0</v>
      </c>
      <c r="J3153" s="65" t="b">
        <v>1</v>
      </c>
      <c r="K3153" s="65"/>
      <c r="L3153" s="85" t="b">
        <f>IF(VLOOKUP(C3153,Projetos!A:L,12,false)=TRUE,TRUE,FALSE)</f>
        <v>1</v>
      </c>
      <c r="M3153" s="74">
        <v>52.48434411075036</v>
      </c>
      <c r="N3153" s="74">
        <f t="shared" si="1"/>
        <v>26.24217206</v>
      </c>
      <c r="O3153" s="74" t="b">
        <v>1</v>
      </c>
    </row>
    <row r="3154" hidden="1">
      <c r="A3154" s="82"/>
      <c r="B3154" s="65" t="s">
        <v>411</v>
      </c>
      <c r="C3154" s="65" t="s">
        <v>88</v>
      </c>
      <c r="D3154" s="65" t="str">
        <f>vlookup(C3154,'Classificação p pessoal'!F:G,2,false)</f>
        <v>MProduto</v>
      </c>
      <c r="E3154" s="65" t="s">
        <v>2160</v>
      </c>
      <c r="F3154" s="83">
        <v>0.4375</v>
      </c>
      <c r="G3154" s="83">
        <v>0.4583333333333333</v>
      </c>
      <c r="H3154" s="83">
        <v>0.020833333333333332</v>
      </c>
      <c r="I3154" s="84">
        <v>44316.0</v>
      </c>
      <c r="J3154" s="65" t="b">
        <v>1</v>
      </c>
      <c r="K3154" s="65"/>
      <c r="L3154" s="85" t="b">
        <f>IF(VLOOKUP(C3154,Projetos!A:L,12,false)=TRUE,TRUE,FALSE)</f>
        <v>1</v>
      </c>
      <c r="M3154" s="74">
        <v>52.48434411075036</v>
      </c>
      <c r="N3154" s="74">
        <f t="shared" si="1"/>
        <v>26.24217206</v>
      </c>
      <c r="O3154" s="74" t="b">
        <v>1</v>
      </c>
    </row>
    <row r="3155" hidden="1">
      <c r="A3155" s="82"/>
      <c r="B3155" s="65" t="s">
        <v>411</v>
      </c>
      <c r="C3155" s="65" t="s">
        <v>125</v>
      </c>
      <c r="D3155" s="65" t="str">
        <f>vlookup(C3155,'Classificação p pessoal'!F:G,2,false)</f>
        <v>MProduto</v>
      </c>
      <c r="E3155" s="65" t="s">
        <v>2161</v>
      </c>
      <c r="F3155" s="83">
        <v>0.4583333333333333</v>
      </c>
      <c r="G3155" s="83">
        <v>0.4722222222222222</v>
      </c>
      <c r="H3155" s="83">
        <v>0.013888888888888888</v>
      </c>
      <c r="I3155" s="84">
        <v>44316.0</v>
      </c>
      <c r="J3155" s="65" t="b">
        <v>1</v>
      </c>
      <c r="K3155" s="65"/>
      <c r="L3155" s="85" t="b">
        <f>IF(VLOOKUP(C3155,Projetos!A:L,12,false)=TRUE,TRUE,FALSE)</f>
        <v>1</v>
      </c>
      <c r="M3155" s="74">
        <v>52.48434411075036</v>
      </c>
      <c r="N3155" s="74">
        <f t="shared" si="1"/>
        <v>17.49478137</v>
      </c>
      <c r="O3155" s="74" t="b">
        <v>1</v>
      </c>
    </row>
    <row r="3156" hidden="1">
      <c r="A3156" s="82"/>
      <c r="B3156" s="65" t="s">
        <v>411</v>
      </c>
      <c r="C3156" s="65" t="s">
        <v>119</v>
      </c>
      <c r="D3156" s="65" t="str">
        <f>vlookup(C3156,'Classificação p pessoal'!F:G,2,false)</f>
        <v>NP</v>
      </c>
      <c r="E3156" s="65" t="s">
        <v>2162</v>
      </c>
      <c r="F3156" s="83">
        <v>0.4791666666666667</v>
      </c>
      <c r="G3156" s="83">
        <v>0.5</v>
      </c>
      <c r="H3156" s="83">
        <v>0.020833333333333332</v>
      </c>
      <c r="I3156" s="84">
        <v>44316.0</v>
      </c>
      <c r="J3156" s="65" t="b">
        <v>1</v>
      </c>
      <c r="K3156" s="65"/>
      <c r="L3156" s="85" t="b">
        <f>IF(VLOOKUP(C3156,Projetos!A:L,12,false)=TRUE,TRUE,FALSE)</f>
        <v>1</v>
      </c>
      <c r="M3156" s="74">
        <v>52.48434411075036</v>
      </c>
      <c r="N3156" s="74">
        <f t="shared" si="1"/>
        <v>26.24217206</v>
      </c>
      <c r="O3156" s="74" t="b">
        <v>1</v>
      </c>
    </row>
    <row r="3157" hidden="1">
      <c r="A3157" s="82"/>
      <c r="B3157" s="65" t="s">
        <v>411</v>
      </c>
      <c r="C3157" s="65" t="s">
        <v>92</v>
      </c>
      <c r="D3157" s="65" t="str">
        <f>vlookup(C3157,'Classificação p pessoal'!F:G,2,false)</f>
        <v/>
      </c>
      <c r="E3157" s="65" t="s">
        <v>2163</v>
      </c>
      <c r="F3157" s="83">
        <v>0.5</v>
      </c>
      <c r="G3157" s="83">
        <v>0.5208333333333334</v>
      </c>
      <c r="H3157" s="83">
        <v>0.020833333333333332</v>
      </c>
      <c r="I3157" s="84">
        <v>44316.0</v>
      </c>
      <c r="J3157" s="65" t="b">
        <v>1</v>
      </c>
      <c r="K3157" s="65"/>
      <c r="L3157" s="85" t="b">
        <f>IF(VLOOKUP(C3157,Projetos!A:L,12,false)=TRUE,TRUE,FALSE)</f>
        <v>1</v>
      </c>
      <c r="M3157" s="74">
        <v>52.48434411075036</v>
      </c>
      <c r="N3157" s="74">
        <f t="shared" si="1"/>
        <v>26.24217206</v>
      </c>
      <c r="O3157" s="74" t="b">
        <v>1</v>
      </c>
    </row>
    <row r="3158" hidden="1">
      <c r="A3158" s="82"/>
      <c r="B3158" s="65" t="s">
        <v>411</v>
      </c>
      <c r="C3158" s="65" t="s">
        <v>117</v>
      </c>
      <c r="D3158" s="65" t="str">
        <f>vlookup(C3158,'Classificação p pessoal'!F:G,2,false)</f>
        <v>NP</v>
      </c>
      <c r="E3158" s="65" t="s">
        <v>2164</v>
      </c>
      <c r="F3158" s="83">
        <v>0.5208333333333334</v>
      </c>
      <c r="G3158" s="83">
        <v>0.5416666666666666</v>
      </c>
      <c r="H3158" s="83">
        <v>0.020833333333333332</v>
      </c>
      <c r="I3158" s="84">
        <v>44316.0</v>
      </c>
      <c r="J3158" s="65" t="b">
        <v>1</v>
      </c>
      <c r="K3158" s="65"/>
      <c r="L3158" s="85" t="b">
        <f>IF(VLOOKUP(C3158,Projetos!A:L,12,false)=TRUE,TRUE,FALSE)</f>
        <v>1</v>
      </c>
      <c r="M3158" s="74">
        <v>52.48434411075036</v>
      </c>
      <c r="N3158" s="74">
        <f t="shared" si="1"/>
        <v>26.24217206</v>
      </c>
      <c r="O3158" s="74" t="b">
        <v>1</v>
      </c>
    </row>
    <row r="3159" hidden="1">
      <c r="A3159" s="82"/>
      <c r="B3159" s="65" t="s">
        <v>411</v>
      </c>
      <c r="C3159" s="65" t="s">
        <v>117</v>
      </c>
      <c r="D3159" s="65"/>
      <c r="E3159" s="65" t="s">
        <v>2165</v>
      </c>
      <c r="F3159" s="83">
        <v>0.5833333333333334</v>
      </c>
      <c r="G3159" s="83">
        <v>0.6041666666666666</v>
      </c>
      <c r="H3159" s="83">
        <v>0.020833333333333332</v>
      </c>
      <c r="I3159" s="84">
        <v>44316.0</v>
      </c>
      <c r="J3159" s="65" t="b">
        <v>0</v>
      </c>
      <c r="K3159" s="65" t="s">
        <v>150</v>
      </c>
      <c r="L3159" s="85" t="b">
        <f>IF(VLOOKUP(C3159,Projetos!A:L,12,false)=TRUE,TRUE,FALSE)</f>
        <v>1</v>
      </c>
      <c r="M3159" s="74">
        <v>52.48434411075036</v>
      </c>
      <c r="N3159" s="74">
        <f t="shared" si="1"/>
        <v>0</v>
      </c>
      <c r="O3159" s="74" t="b">
        <v>1</v>
      </c>
    </row>
    <row r="3160" hidden="1">
      <c r="A3160" s="82"/>
      <c r="B3160" s="65" t="s">
        <v>411</v>
      </c>
      <c r="C3160" s="65" t="s">
        <v>92</v>
      </c>
      <c r="D3160" s="65"/>
      <c r="E3160" s="65" t="s">
        <v>2166</v>
      </c>
      <c r="F3160" s="83">
        <v>0.6875</v>
      </c>
      <c r="G3160" s="83">
        <v>0.7083333333333334</v>
      </c>
      <c r="H3160" s="83">
        <v>0.020833333333333332</v>
      </c>
      <c r="I3160" s="84">
        <v>44316.0</v>
      </c>
      <c r="J3160" s="65" t="b">
        <v>0</v>
      </c>
      <c r="K3160" s="65" t="s">
        <v>150</v>
      </c>
      <c r="L3160" s="85" t="b">
        <f>IF(VLOOKUP(C3160,Projetos!A:L,12,false)=TRUE,TRUE,FALSE)</f>
        <v>1</v>
      </c>
      <c r="M3160" s="74">
        <v>52.48434411075036</v>
      </c>
      <c r="N3160" s="74">
        <f t="shared" si="1"/>
        <v>0</v>
      </c>
      <c r="O3160" s="74" t="b">
        <v>1</v>
      </c>
    </row>
    <row r="3161" hidden="1">
      <c r="A3161" s="82"/>
      <c r="B3161" s="65" t="s">
        <v>411</v>
      </c>
      <c r="C3161" s="65" t="s">
        <v>117</v>
      </c>
      <c r="D3161" s="65" t="str">
        <f>vlookup(C3161,'Classificação p pessoal'!F:G,2,false)</f>
        <v>NP</v>
      </c>
      <c r="E3161" s="65" t="s">
        <v>2167</v>
      </c>
      <c r="F3161" s="83">
        <v>0.7083333333333334</v>
      </c>
      <c r="G3161" s="83">
        <v>0.75</v>
      </c>
      <c r="H3161" s="83">
        <v>0.041666666666666664</v>
      </c>
      <c r="I3161" s="84">
        <v>44316.0</v>
      </c>
      <c r="J3161" s="65" t="b">
        <v>1</v>
      </c>
      <c r="K3161" s="65"/>
      <c r="L3161" s="85" t="b">
        <f>IF(VLOOKUP(C3161,Projetos!A:L,12,false)=TRUE,TRUE,FALSE)</f>
        <v>1</v>
      </c>
      <c r="M3161" s="74">
        <v>52.48434411075036</v>
      </c>
      <c r="N3161" s="74">
        <f t="shared" si="1"/>
        <v>52.48434411</v>
      </c>
      <c r="O3161" s="74" t="b">
        <v>1</v>
      </c>
    </row>
    <row r="3162" hidden="1">
      <c r="A3162" s="82"/>
      <c r="B3162" s="65" t="s">
        <v>411</v>
      </c>
      <c r="C3162" s="65" t="s">
        <v>117</v>
      </c>
      <c r="D3162" s="65" t="str">
        <f>vlookup(C3162,'Classificação p pessoal'!F:G,2,false)</f>
        <v>NP</v>
      </c>
      <c r="E3162" s="65" t="s">
        <v>2168</v>
      </c>
      <c r="F3162" s="83">
        <v>0.34375</v>
      </c>
      <c r="G3162" s="83">
        <v>0.375</v>
      </c>
      <c r="H3162" s="83">
        <v>0.03125</v>
      </c>
      <c r="I3162" s="84">
        <v>44319.0</v>
      </c>
      <c r="J3162" s="65" t="b">
        <v>1</v>
      </c>
      <c r="K3162" s="65"/>
      <c r="L3162" s="85" t="b">
        <f>IF(VLOOKUP(C3162,Projetos!A:L,12,false)=TRUE,TRUE,FALSE)</f>
        <v>1</v>
      </c>
      <c r="M3162" s="74">
        <v>52.48434411075036</v>
      </c>
      <c r="N3162" s="74">
        <f t="shared" si="1"/>
        <v>39.36325808</v>
      </c>
      <c r="O3162" s="74" t="b">
        <v>1</v>
      </c>
    </row>
    <row r="3163" hidden="1">
      <c r="A3163" s="82"/>
      <c r="B3163" s="65" t="s">
        <v>411</v>
      </c>
      <c r="C3163" s="65" t="s">
        <v>130</v>
      </c>
      <c r="D3163" s="65" t="str">
        <f>vlookup(C3163,'Classificação p pessoal'!F:G,2,false)</f>
        <v>NP</v>
      </c>
      <c r="E3163" s="65" t="s">
        <v>2169</v>
      </c>
      <c r="F3163" s="83">
        <v>0.375</v>
      </c>
      <c r="G3163" s="83">
        <v>0.3958333333333333</v>
      </c>
      <c r="H3163" s="83">
        <v>0.020833333333333332</v>
      </c>
      <c r="I3163" s="84">
        <v>44319.0</v>
      </c>
      <c r="J3163" s="65" t="b">
        <v>1</v>
      </c>
      <c r="K3163" s="65"/>
      <c r="L3163" s="85" t="b">
        <f>IF(VLOOKUP(C3163,Projetos!A:L,12,false)=TRUE,TRUE,FALSE)</f>
        <v>1</v>
      </c>
      <c r="M3163" s="74">
        <v>52.48434411075036</v>
      </c>
      <c r="N3163" s="74">
        <f t="shared" si="1"/>
        <v>26.24217206</v>
      </c>
      <c r="O3163" s="74" t="b">
        <v>1</v>
      </c>
    </row>
    <row r="3164" hidden="1">
      <c r="A3164" s="82"/>
      <c r="B3164" s="65" t="s">
        <v>411</v>
      </c>
      <c r="C3164" s="65" t="s">
        <v>117</v>
      </c>
      <c r="D3164" s="65" t="str">
        <f>vlookup(C3164,'Classificação p pessoal'!F:G,2,false)</f>
        <v>NP</v>
      </c>
      <c r="E3164" s="65" t="s">
        <v>2170</v>
      </c>
      <c r="F3164" s="83">
        <v>0.3958333333333333</v>
      </c>
      <c r="G3164" s="83">
        <v>0.4166666666666667</v>
      </c>
      <c r="H3164" s="83">
        <v>0.020833333333333332</v>
      </c>
      <c r="I3164" s="84">
        <v>44319.0</v>
      </c>
      <c r="J3164" s="65" t="b">
        <v>1</v>
      </c>
      <c r="K3164" s="65"/>
      <c r="L3164" s="85" t="b">
        <f>IF(VLOOKUP(C3164,Projetos!A:L,12,false)=TRUE,TRUE,FALSE)</f>
        <v>1</v>
      </c>
      <c r="M3164" s="74">
        <v>52.48434411075036</v>
      </c>
      <c r="N3164" s="74">
        <f t="shared" si="1"/>
        <v>26.24217206</v>
      </c>
      <c r="O3164" s="74" t="b">
        <v>1</v>
      </c>
    </row>
    <row r="3165" hidden="1">
      <c r="A3165" s="82"/>
      <c r="B3165" s="65" t="s">
        <v>411</v>
      </c>
      <c r="C3165" s="65" t="s">
        <v>92</v>
      </c>
      <c r="D3165" s="65"/>
      <c r="E3165" s="65" t="s">
        <v>2171</v>
      </c>
      <c r="F3165" s="83">
        <v>0.4270833333333333</v>
      </c>
      <c r="G3165" s="83">
        <v>0.4375</v>
      </c>
      <c r="H3165" s="83">
        <v>0.010416666666666666</v>
      </c>
      <c r="I3165" s="84">
        <v>44319.0</v>
      </c>
      <c r="J3165" s="65" t="b">
        <v>0</v>
      </c>
      <c r="K3165" s="65" t="s">
        <v>150</v>
      </c>
      <c r="L3165" s="85" t="b">
        <f>IF(VLOOKUP(C3165,Projetos!A:L,12,false)=TRUE,TRUE,FALSE)</f>
        <v>1</v>
      </c>
      <c r="M3165" s="74">
        <v>52.48434411075036</v>
      </c>
      <c r="N3165" s="74">
        <f t="shared" si="1"/>
        <v>0</v>
      </c>
      <c r="O3165" s="74" t="b">
        <v>1</v>
      </c>
    </row>
    <row r="3166" hidden="1">
      <c r="A3166" s="82"/>
      <c r="B3166" s="65" t="s">
        <v>411</v>
      </c>
      <c r="C3166" s="65" t="s">
        <v>130</v>
      </c>
      <c r="D3166" s="65" t="str">
        <f>vlookup(C3166,'Classificação p pessoal'!F:G,2,false)</f>
        <v>NP</v>
      </c>
      <c r="E3166" s="65" t="s">
        <v>2143</v>
      </c>
      <c r="F3166" s="83">
        <v>0.4375</v>
      </c>
      <c r="G3166" s="83">
        <v>0.4583333333333333</v>
      </c>
      <c r="H3166" s="83">
        <v>0.020833333333333332</v>
      </c>
      <c r="I3166" s="84">
        <v>44250.0</v>
      </c>
      <c r="J3166" s="65" t="b">
        <v>1</v>
      </c>
      <c r="K3166" s="65"/>
      <c r="L3166" s="85" t="b">
        <f>IF(VLOOKUP(C3166,Projetos!A:L,12,false)=TRUE,TRUE,FALSE)</f>
        <v>1</v>
      </c>
      <c r="M3166" s="74">
        <v>52.48434411075036</v>
      </c>
      <c r="N3166" s="74">
        <f t="shared" si="1"/>
        <v>26.24217206</v>
      </c>
      <c r="O3166" s="74" t="b">
        <v>1</v>
      </c>
    </row>
    <row r="3167" hidden="1">
      <c r="A3167" s="82"/>
      <c r="B3167" s="65" t="s">
        <v>411</v>
      </c>
      <c r="C3167" s="65" t="s">
        <v>117</v>
      </c>
      <c r="D3167" s="65"/>
      <c r="E3167" s="65" t="s">
        <v>2172</v>
      </c>
      <c r="F3167" s="83">
        <v>0.4583333333333333</v>
      </c>
      <c r="G3167" s="83">
        <v>0.5</v>
      </c>
      <c r="H3167" s="83">
        <v>0.041666666666666664</v>
      </c>
      <c r="I3167" s="84">
        <v>44319.0</v>
      </c>
      <c r="J3167" s="65" t="b">
        <v>0</v>
      </c>
      <c r="K3167" s="65" t="s">
        <v>150</v>
      </c>
      <c r="L3167" s="85" t="b">
        <f>IF(VLOOKUP(C3167,Projetos!A:L,12,false)=TRUE,TRUE,FALSE)</f>
        <v>1</v>
      </c>
      <c r="M3167" s="74">
        <v>52.48434411075036</v>
      </c>
      <c r="N3167" s="74">
        <f t="shared" si="1"/>
        <v>0</v>
      </c>
      <c r="O3167" s="74" t="b">
        <v>1</v>
      </c>
    </row>
    <row r="3168" hidden="1">
      <c r="A3168" s="82"/>
      <c r="B3168" s="65" t="s">
        <v>411</v>
      </c>
      <c r="C3168" s="65" t="s">
        <v>132</v>
      </c>
      <c r="D3168" s="65"/>
      <c r="E3168" s="65" t="s">
        <v>2173</v>
      </c>
      <c r="F3168" s="83">
        <v>0.5</v>
      </c>
      <c r="G3168" s="83">
        <v>0.5208333333333334</v>
      </c>
      <c r="H3168" s="83">
        <v>0.020833333333333332</v>
      </c>
      <c r="I3168" s="84">
        <v>44319.0</v>
      </c>
      <c r="J3168" s="65" t="b">
        <v>0</v>
      </c>
      <c r="K3168" s="65" t="s">
        <v>150</v>
      </c>
      <c r="L3168" s="85" t="b">
        <f>IF(VLOOKUP(C3168,Projetos!A:L,12,false)=TRUE,TRUE,FALSE)</f>
        <v>0</v>
      </c>
      <c r="M3168" s="74">
        <v>52.48434411075036</v>
      </c>
      <c r="N3168" s="74">
        <f t="shared" si="1"/>
        <v>0</v>
      </c>
      <c r="O3168" s="74" t="b">
        <v>0</v>
      </c>
    </row>
    <row r="3169" hidden="1">
      <c r="A3169" s="82"/>
      <c r="B3169" s="65" t="s">
        <v>411</v>
      </c>
      <c r="C3169" s="65" t="s">
        <v>117</v>
      </c>
      <c r="D3169" s="65" t="str">
        <f>vlookup(C3169,'Classificação p pessoal'!F:G,2,false)</f>
        <v>NP</v>
      </c>
      <c r="E3169" s="65" t="s">
        <v>2174</v>
      </c>
      <c r="F3169" s="83">
        <v>0.5208333333333334</v>
      </c>
      <c r="G3169" s="83">
        <v>0.5833333333333334</v>
      </c>
      <c r="H3169" s="83">
        <v>0.0625</v>
      </c>
      <c r="I3169" s="84">
        <v>44319.0</v>
      </c>
      <c r="J3169" s="65" t="b">
        <v>1</v>
      </c>
      <c r="K3169" s="65"/>
      <c r="L3169" s="85" t="b">
        <f>IF(VLOOKUP(C3169,Projetos!A:L,12,false)=TRUE,TRUE,FALSE)</f>
        <v>1</v>
      </c>
      <c r="M3169" s="74">
        <v>52.48434411075036</v>
      </c>
      <c r="N3169" s="74">
        <f t="shared" si="1"/>
        <v>78.72651617</v>
      </c>
      <c r="O3169" s="74" t="b">
        <v>1</v>
      </c>
    </row>
    <row r="3170" hidden="1">
      <c r="A3170" s="82"/>
      <c r="B3170" s="65" t="s">
        <v>411</v>
      </c>
      <c r="C3170" s="65" t="s">
        <v>85</v>
      </c>
      <c r="D3170" s="65" t="str">
        <f>vlookup(C3170,'Classificação p pessoal'!F:G,2,false)</f>
        <v>NP</v>
      </c>
      <c r="E3170" s="65" t="s">
        <v>2175</v>
      </c>
      <c r="F3170" s="83">
        <v>0.625</v>
      </c>
      <c r="G3170" s="83">
        <v>0.6458333333333334</v>
      </c>
      <c r="H3170" s="83">
        <v>0.020833333333333332</v>
      </c>
      <c r="I3170" s="84">
        <v>44319.0</v>
      </c>
      <c r="J3170" s="65" t="b">
        <v>1</v>
      </c>
      <c r="K3170" s="65"/>
      <c r="L3170" s="85" t="b">
        <f>IF(VLOOKUP(C3170,Projetos!A:L,12,false)=TRUE,TRUE,FALSE)</f>
        <v>1</v>
      </c>
      <c r="M3170" s="74">
        <v>52.48434411075036</v>
      </c>
      <c r="N3170" s="74">
        <f t="shared" si="1"/>
        <v>26.24217206</v>
      </c>
      <c r="O3170" s="74" t="b">
        <v>1</v>
      </c>
    </row>
    <row r="3171" hidden="1">
      <c r="A3171" s="82"/>
      <c r="B3171" s="65" t="s">
        <v>411</v>
      </c>
      <c r="C3171" s="65" t="s">
        <v>117</v>
      </c>
      <c r="D3171" s="65" t="str">
        <f>vlookup(C3171,'Classificação p pessoal'!F:G,2,false)</f>
        <v>NP</v>
      </c>
      <c r="E3171" s="65" t="s">
        <v>2176</v>
      </c>
      <c r="F3171" s="83">
        <v>0.6458333333333334</v>
      </c>
      <c r="G3171" s="83">
        <v>0.7291666666666666</v>
      </c>
      <c r="H3171" s="83">
        <v>0.08333333333333333</v>
      </c>
      <c r="I3171" s="84">
        <v>44319.0</v>
      </c>
      <c r="J3171" s="65" t="b">
        <v>1</v>
      </c>
      <c r="K3171" s="65"/>
      <c r="L3171" s="85" t="b">
        <f>IF(VLOOKUP(C3171,Projetos!A:L,12,false)=TRUE,TRUE,FALSE)</f>
        <v>1</v>
      </c>
      <c r="M3171" s="74">
        <v>52.48434411075036</v>
      </c>
      <c r="N3171" s="74">
        <f t="shared" si="1"/>
        <v>104.9686882</v>
      </c>
      <c r="O3171" s="74" t="b">
        <v>1</v>
      </c>
    </row>
    <row r="3172" hidden="1">
      <c r="A3172" s="82"/>
      <c r="B3172" s="65" t="s">
        <v>411</v>
      </c>
      <c r="C3172" s="65" t="s">
        <v>117</v>
      </c>
      <c r="D3172" s="65" t="str">
        <f>vlookup(C3172,'Classificação p pessoal'!F:G,2,false)</f>
        <v>NP</v>
      </c>
      <c r="E3172" s="65" t="s">
        <v>2177</v>
      </c>
      <c r="F3172" s="83">
        <v>0.34375</v>
      </c>
      <c r="G3172" s="83">
        <v>0.375</v>
      </c>
      <c r="H3172" s="83">
        <v>0.03125</v>
      </c>
      <c r="I3172" s="84">
        <v>44320.0</v>
      </c>
      <c r="J3172" s="65" t="b">
        <v>1</v>
      </c>
      <c r="K3172" s="65"/>
      <c r="L3172" s="85" t="b">
        <f>IF(VLOOKUP(C3172,Projetos!A:L,12,false)=TRUE,TRUE,FALSE)</f>
        <v>1</v>
      </c>
      <c r="M3172" s="74">
        <v>52.48434411075036</v>
      </c>
      <c r="N3172" s="74">
        <f t="shared" si="1"/>
        <v>39.36325808</v>
      </c>
      <c r="O3172" s="74" t="b">
        <v>1</v>
      </c>
    </row>
    <row r="3173" hidden="1">
      <c r="A3173" s="82"/>
      <c r="B3173" s="65" t="s">
        <v>411</v>
      </c>
      <c r="C3173" s="65" t="s">
        <v>120</v>
      </c>
      <c r="D3173" s="65"/>
      <c r="E3173" s="65" t="s">
        <v>2178</v>
      </c>
      <c r="F3173" s="83">
        <v>0.375</v>
      </c>
      <c r="G3173" s="83">
        <v>0.3958333333333333</v>
      </c>
      <c r="H3173" s="83">
        <v>0.020833333333333332</v>
      </c>
      <c r="I3173" s="84">
        <v>44320.0</v>
      </c>
      <c r="J3173" s="65" t="b">
        <v>0</v>
      </c>
      <c r="K3173" s="65"/>
      <c r="L3173" s="85" t="b">
        <f>IF(VLOOKUP(C3173,Projetos!A:L,12,false)=TRUE,TRUE,FALSE)</f>
        <v>0</v>
      </c>
      <c r="M3173" s="74">
        <v>52.48434411075036</v>
      </c>
      <c r="N3173" s="74">
        <f t="shared" si="1"/>
        <v>0</v>
      </c>
      <c r="O3173" s="74" t="b">
        <v>0</v>
      </c>
    </row>
    <row r="3174" hidden="1">
      <c r="A3174" s="82"/>
      <c r="B3174" s="65" t="s">
        <v>411</v>
      </c>
      <c r="C3174" s="65" t="s">
        <v>130</v>
      </c>
      <c r="D3174" s="65" t="str">
        <f>vlookup(C3174,'Classificação p pessoal'!F:G,2,false)</f>
        <v>NP</v>
      </c>
      <c r="E3174" s="65" t="s">
        <v>2143</v>
      </c>
      <c r="F3174" s="83">
        <v>0.625</v>
      </c>
      <c r="G3174" s="83">
        <v>0.6666666666666666</v>
      </c>
      <c r="H3174" s="83">
        <v>0.041666666666666664</v>
      </c>
      <c r="I3174" s="84">
        <v>44251.0</v>
      </c>
      <c r="J3174" s="65" t="b">
        <v>1</v>
      </c>
      <c r="K3174" s="65"/>
      <c r="L3174" s="85" t="b">
        <f>IF(VLOOKUP(C3174,Projetos!A:L,12,false)=TRUE,TRUE,FALSE)</f>
        <v>1</v>
      </c>
      <c r="M3174" s="74">
        <v>52.48434411075036</v>
      </c>
      <c r="N3174" s="74">
        <f t="shared" si="1"/>
        <v>52.48434411</v>
      </c>
      <c r="O3174" s="74" t="b">
        <v>1</v>
      </c>
    </row>
    <row r="3175" hidden="1">
      <c r="A3175" s="82"/>
      <c r="B3175" s="65" t="s">
        <v>411</v>
      </c>
      <c r="C3175" s="65" t="s">
        <v>107</v>
      </c>
      <c r="D3175" s="65" t="str">
        <f>vlookup(C3175,'Classificação p pessoal'!F:G,2,false)</f>
        <v>NP</v>
      </c>
      <c r="E3175" s="65" t="s">
        <v>2179</v>
      </c>
      <c r="F3175" s="83">
        <v>0.4375</v>
      </c>
      <c r="G3175" s="83">
        <v>0.4583333333333333</v>
      </c>
      <c r="H3175" s="83">
        <v>0.020833333333333332</v>
      </c>
      <c r="I3175" s="84">
        <v>44320.0</v>
      </c>
      <c r="J3175" s="65" t="b">
        <v>1</v>
      </c>
      <c r="K3175" s="65"/>
      <c r="L3175" s="85" t="b">
        <f>IF(VLOOKUP(C3175,Projetos!A:L,12,false)=TRUE,TRUE,FALSE)</f>
        <v>1</v>
      </c>
      <c r="M3175" s="74">
        <v>52.48434411075036</v>
      </c>
      <c r="N3175" s="74">
        <f t="shared" si="1"/>
        <v>26.24217206</v>
      </c>
      <c r="O3175" s="74" t="b">
        <v>1</v>
      </c>
    </row>
    <row r="3176" hidden="1">
      <c r="A3176" s="82"/>
      <c r="B3176" s="65" t="s">
        <v>411</v>
      </c>
      <c r="C3176" s="65" t="s">
        <v>125</v>
      </c>
      <c r="D3176" s="65" t="str">
        <f>vlookup(C3176,'Classificação p pessoal'!F:G,2,false)</f>
        <v>MProduto</v>
      </c>
      <c r="E3176" s="65" t="s">
        <v>2180</v>
      </c>
      <c r="F3176" s="83">
        <v>0.4583333333333333</v>
      </c>
      <c r="G3176" s="83">
        <v>0.5</v>
      </c>
      <c r="H3176" s="83">
        <v>0.041666666666666664</v>
      </c>
      <c r="I3176" s="84">
        <v>44320.0</v>
      </c>
      <c r="J3176" s="65" t="b">
        <v>1</v>
      </c>
      <c r="K3176" s="65"/>
      <c r="L3176" s="85" t="b">
        <f>IF(VLOOKUP(C3176,Projetos!A:L,12,false)=TRUE,TRUE,FALSE)</f>
        <v>1</v>
      </c>
      <c r="M3176" s="74">
        <v>52.48434411075036</v>
      </c>
      <c r="N3176" s="74">
        <f t="shared" si="1"/>
        <v>52.48434411</v>
      </c>
      <c r="O3176" s="74" t="b">
        <v>1</v>
      </c>
    </row>
    <row r="3177" hidden="1">
      <c r="A3177" s="82"/>
      <c r="B3177" s="65" t="s">
        <v>411</v>
      </c>
      <c r="C3177" s="65" t="s">
        <v>117</v>
      </c>
      <c r="D3177" s="65" t="str">
        <f>vlookup(C3177,'Classificação p pessoal'!F:G,2,false)</f>
        <v>NP</v>
      </c>
      <c r="E3177" s="65" t="s">
        <v>1826</v>
      </c>
      <c r="F3177" s="83">
        <v>0.5</v>
      </c>
      <c r="G3177" s="83">
        <v>0.5833333333333334</v>
      </c>
      <c r="H3177" s="83">
        <v>0.08333333333333333</v>
      </c>
      <c r="I3177" s="84">
        <v>44320.0</v>
      </c>
      <c r="J3177" s="65" t="b">
        <v>1</v>
      </c>
      <c r="K3177" s="65"/>
      <c r="L3177" s="85" t="b">
        <f>IF(VLOOKUP(C3177,Projetos!A:L,12,false)=TRUE,TRUE,FALSE)</f>
        <v>1</v>
      </c>
      <c r="M3177" s="74">
        <v>52.48434411075036</v>
      </c>
      <c r="N3177" s="74">
        <f t="shared" si="1"/>
        <v>104.9686882</v>
      </c>
      <c r="O3177" s="74" t="b">
        <v>1</v>
      </c>
    </row>
    <row r="3178" hidden="1">
      <c r="A3178" s="82"/>
      <c r="B3178" s="65" t="s">
        <v>411</v>
      </c>
      <c r="C3178" s="65" t="s">
        <v>107</v>
      </c>
      <c r="D3178" s="65" t="str">
        <f>vlookup(C3178,'Classificação p pessoal'!F:G,2,false)</f>
        <v>NP</v>
      </c>
      <c r="E3178" s="65" t="s">
        <v>2181</v>
      </c>
      <c r="F3178" s="83">
        <v>0.625</v>
      </c>
      <c r="G3178" s="83">
        <v>0.6458333333333334</v>
      </c>
      <c r="H3178" s="83">
        <v>0.020833333333333332</v>
      </c>
      <c r="I3178" s="84">
        <v>44320.0</v>
      </c>
      <c r="J3178" s="65" t="b">
        <v>1</v>
      </c>
      <c r="K3178" s="65"/>
      <c r="L3178" s="85" t="b">
        <f>IF(VLOOKUP(C3178,Projetos!A:L,12,false)=TRUE,TRUE,FALSE)</f>
        <v>1</v>
      </c>
      <c r="M3178" s="74">
        <v>52.48434411075036</v>
      </c>
      <c r="N3178" s="74">
        <f t="shared" si="1"/>
        <v>26.24217206</v>
      </c>
      <c r="O3178" s="74" t="b">
        <v>1</v>
      </c>
    </row>
    <row r="3179" hidden="1">
      <c r="A3179" s="82"/>
      <c r="B3179" s="65" t="s">
        <v>411</v>
      </c>
      <c r="C3179" s="65" t="s">
        <v>117</v>
      </c>
      <c r="D3179" s="65" t="str">
        <f>vlookup(C3179,'Classificação p pessoal'!F:G,2,false)</f>
        <v>NP</v>
      </c>
      <c r="E3179" s="65" t="s">
        <v>2182</v>
      </c>
      <c r="F3179" s="83">
        <v>0.6458333333333334</v>
      </c>
      <c r="G3179" s="83">
        <v>0.75</v>
      </c>
      <c r="H3179" s="83">
        <v>0.10416666666666667</v>
      </c>
      <c r="I3179" s="84">
        <v>44320.0</v>
      </c>
      <c r="J3179" s="65" t="b">
        <v>1</v>
      </c>
      <c r="K3179" s="65"/>
      <c r="L3179" s="85" t="b">
        <f>IF(VLOOKUP(C3179,Projetos!A:L,12,false)=TRUE,TRUE,FALSE)</f>
        <v>1</v>
      </c>
      <c r="M3179" s="74">
        <v>52.48434411075036</v>
      </c>
      <c r="N3179" s="74">
        <f t="shared" si="1"/>
        <v>131.2108603</v>
      </c>
      <c r="O3179" s="74" t="b">
        <v>1</v>
      </c>
    </row>
    <row r="3180" hidden="1">
      <c r="A3180" s="82"/>
      <c r="B3180" s="65" t="s">
        <v>411</v>
      </c>
      <c r="C3180" s="65" t="s">
        <v>117</v>
      </c>
      <c r="D3180" s="65" t="str">
        <f>vlookup(C3180,'Classificação p pessoal'!F:G,2,false)</f>
        <v>NP</v>
      </c>
      <c r="E3180" s="65" t="s">
        <v>2183</v>
      </c>
      <c r="F3180" s="83">
        <v>0.34375</v>
      </c>
      <c r="G3180" s="83">
        <v>0.4583333333333333</v>
      </c>
      <c r="H3180" s="83">
        <v>0.11458333333333333</v>
      </c>
      <c r="I3180" s="84">
        <v>44321.0</v>
      </c>
      <c r="J3180" s="65" t="b">
        <v>1</v>
      </c>
      <c r="K3180" s="65"/>
      <c r="L3180" s="85" t="b">
        <f>IF(VLOOKUP(C3180,Projetos!A:L,12,false)=TRUE,TRUE,FALSE)</f>
        <v>1</v>
      </c>
      <c r="M3180" s="74">
        <v>52.48434411075036</v>
      </c>
      <c r="N3180" s="74">
        <f t="shared" si="1"/>
        <v>144.3319463</v>
      </c>
      <c r="O3180" s="74" t="b">
        <v>1</v>
      </c>
    </row>
    <row r="3181" hidden="1">
      <c r="A3181" s="82"/>
      <c r="B3181" s="65" t="s">
        <v>411</v>
      </c>
      <c r="C3181" s="65" t="s">
        <v>88</v>
      </c>
      <c r="D3181" s="65" t="str">
        <f>vlookup(C3181,'Classificação p pessoal'!F:G,2,false)</f>
        <v>MProduto</v>
      </c>
      <c r="E3181" s="65" t="s">
        <v>2184</v>
      </c>
      <c r="F3181" s="83">
        <v>0.4583333333333333</v>
      </c>
      <c r="G3181" s="83">
        <v>0.5</v>
      </c>
      <c r="H3181" s="83">
        <v>0.041666666666666664</v>
      </c>
      <c r="I3181" s="84">
        <v>44321.0</v>
      </c>
      <c r="J3181" s="65" t="b">
        <v>1</v>
      </c>
      <c r="K3181" s="65"/>
      <c r="L3181" s="85" t="b">
        <f>IF(VLOOKUP(C3181,Projetos!A:L,12,false)=TRUE,TRUE,FALSE)</f>
        <v>1</v>
      </c>
      <c r="M3181" s="74">
        <v>52.48434411075036</v>
      </c>
      <c r="N3181" s="74">
        <f t="shared" si="1"/>
        <v>52.48434411</v>
      </c>
      <c r="O3181" s="74" t="b">
        <v>1</v>
      </c>
    </row>
    <row r="3182" hidden="1">
      <c r="A3182" s="82"/>
      <c r="B3182" s="65" t="s">
        <v>411</v>
      </c>
      <c r="C3182" s="65" t="s">
        <v>152</v>
      </c>
      <c r="D3182" s="65" t="str">
        <f>vlookup(C3182,'Classificação p pessoal'!F:G,2,false)</f>
        <v>MProduto</v>
      </c>
      <c r="E3182" s="65" t="s">
        <v>2185</v>
      </c>
      <c r="F3182" s="83">
        <v>0.5</v>
      </c>
      <c r="G3182" s="83">
        <v>0.5833333333333334</v>
      </c>
      <c r="H3182" s="83">
        <v>0.08333333333333333</v>
      </c>
      <c r="I3182" s="84">
        <v>44321.0</v>
      </c>
      <c r="J3182" s="65" t="b">
        <v>1</v>
      </c>
      <c r="K3182" s="65"/>
      <c r="L3182" s="85" t="b">
        <f>IF(VLOOKUP(C3182,Projetos!A:L,12,false)=TRUE,TRUE,FALSE)</f>
        <v>1</v>
      </c>
      <c r="M3182" s="74">
        <v>52.48434411075036</v>
      </c>
      <c r="N3182" s="74">
        <f t="shared" si="1"/>
        <v>104.9686882</v>
      </c>
      <c r="O3182" s="74" t="b">
        <v>1</v>
      </c>
    </row>
    <row r="3183" hidden="1">
      <c r="A3183" s="82"/>
      <c r="B3183" s="65" t="s">
        <v>411</v>
      </c>
      <c r="C3183" s="65" t="s">
        <v>117</v>
      </c>
      <c r="D3183" s="65" t="str">
        <f>vlookup(C3183,'Classificação p pessoal'!F:G,2,false)</f>
        <v>NP</v>
      </c>
      <c r="E3183" s="65" t="s">
        <v>1826</v>
      </c>
      <c r="F3183" s="83">
        <v>0.625</v>
      </c>
      <c r="G3183" s="83">
        <v>0.7083333333333334</v>
      </c>
      <c r="H3183" s="83">
        <v>0.08333333333333333</v>
      </c>
      <c r="I3183" s="84">
        <v>44321.0</v>
      </c>
      <c r="J3183" s="65" t="b">
        <v>1</v>
      </c>
      <c r="K3183" s="65"/>
      <c r="L3183" s="85" t="b">
        <f>IF(VLOOKUP(C3183,Projetos!A:L,12,false)=TRUE,TRUE,FALSE)</f>
        <v>1</v>
      </c>
      <c r="M3183" s="74">
        <v>52.48434411075036</v>
      </c>
      <c r="N3183" s="74">
        <f t="shared" si="1"/>
        <v>104.9686882</v>
      </c>
      <c r="O3183" s="74" t="b">
        <v>1</v>
      </c>
    </row>
    <row r="3184" hidden="1">
      <c r="A3184" s="82"/>
      <c r="B3184" s="65" t="s">
        <v>411</v>
      </c>
      <c r="C3184" s="65" t="s">
        <v>119</v>
      </c>
      <c r="D3184" s="65" t="str">
        <f>vlookup(C3184,'Classificação p pessoal'!F:G,2,false)</f>
        <v>NP</v>
      </c>
      <c r="E3184" s="65" t="s">
        <v>2186</v>
      </c>
      <c r="F3184" s="83">
        <v>0.7083333333333334</v>
      </c>
      <c r="G3184" s="83">
        <v>0.75</v>
      </c>
      <c r="H3184" s="83">
        <v>0.041666666666666664</v>
      </c>
      <c r="I3184" s="84">
        <v>44321.0</v>
      </c>
      <c r="J3184" s="65" t="b">
        <v>1</v>
      </c>
      <c r="K3184" s="65"/>
      <c r="L3184" s="85" t="b">
        <f>IF(VLOOKUP(C3184,Projetos!A:L,12,false)=TRUE,TRUE,FALSE)</f>
        <v>1</v>
      </c>
      <c r="M3184" s="74">
        <v>52.48434411075036</v>
      </c>
      <c r="N3184" s="74">
        <f t="shared" si="1"/>
        <v>52.48434411</v>
      </c>
      <c r="O3184" s="74" t="b">
        <v>1</v>
      </c>
    </row>
    <row r="3185" hidden="1">
      <c r="A3185" s="82"/>
      <c r="B3185" s="65" t="s">
        <v>411</v>
      </c>
      <c r="C3185" s="65" t="s">
        <v>119</v>
      </c>
      <c r="D3185" s="65" t="str">
        <f>vlookup(C3185,'Classificação p pessoal'!F:G,2,false)</f>
        <v>NP</v>
      </c>
      <c r="E3185" s="65" t="s">
        <v>2186</v>
      </c>
      <c r="F3185" s="83">
        <v>0.34375</v>
      </c>
      <c r="G3185" s="83">
        <v>0.3645833333333333</v>
      </c>
      <c r="H3185" s="83">
        <v>0.020833333333333332</v>
      </c>
      <c r="I3185" s="84">
        <v>44322.0</v>
      </c>
      <c r="J3185" s="65" t="b">
        <v>1</v>
      </c>
      <c r="K3185" s="65"/>
      <c r="L3185" s="85" t="b">
        <f>IF(VLOOKUP(C3185,Projetos!A:L,12,false)=TRUE,TRUE,FALSE)</f>
        <v>1</v>
      </c>
      <c r="M3185" s="74">
        <v>52.48434411075036</v>
      </c>
      <c r="N3185" s="74">
        <f t="shared" si="1"/>
        <v>26.24217206</v>
      </c>
      <c r="O3185" s="74" t="b">
        <v>1</v>
      </c>
    </row>
    <row r="3186" hidden="1">
      <c r="A3186" s="82"/>
      <c r="B3186" s="65" t="s">
        <v>411</v>
      </c>
      <c r="C3186" s="65" t="s">
        <v>152</v>
      </c>
      <c r="D3186" s="65" t="str">
        <f>vlookup(C3186,'Classificação p pessoal'!F:G,2,false)</f>
        <v>MProduto</v>
      </c>
      <c r="E3186" s="65" t="s">
        <v>2187</v>
      </c>
      <c r="F3186" s="83">
        <v>0.3645833333333333</v>
      </c>
      <c r="G3186" s="83">
        <v>0.4166666666666667</v>
      </c>
      <c r="H3186" s="83">
        <v>0.052083333333333336</v>
      </c>
      <c r="I3186" s="84">
        <v>44322.0</v>
      </c>
      <c r="J3186" s="65" t="b">
        <v>1</v>
      </c>
      <c r="K3186" s="65"/>
      <c r="L3186" s="85" t="b">
        <f>IF(VLOOKUP(C3186,Projetos!A:L,12,false)=TRUE,TRUE,FALSE)</f>
        <v>1</v>
      </c>
      <c r="M3186" s="74">
        <v>52.48434411075036</v>
      </c>
      <c r="N3186" s="74">
        <f t="shared" si="1"/>
        <v>65.60543014</v>
      </c>
      <c r="O3186" s="74" t="b">
        <v>1</v>
      </c>
    </row>
    <row r="3187" hidden="1">
      <c r="A3187" s="82"/>
      <c r="B3187" s="65" t="s">
        <v>411</v>
      </c>
      <c r="C3187" s="65" t="s">
        <v>92</v>
      </c>
      <c r="D3187" s="65" t="str">
        <f>vlookup(C3187,'Classificação p pessoal'!F:G,2,false)</f>
        <v/>
      </c>
      <c r="E3187" s="65" t="s">
        <v>2188</v>
      </c>
      <c r="F3187" s="83">
        <v>0.4166666666666667</v>
      </c>
      <c r="G3187" s="83">
        <v>0.46875</v>
      </c>
      <c r="H3187" s="83">
        <v>0.052083333333333336</v>
      </c>
      <c r="I3187" s="84">
        <v>44322.0</v>
      </c>
      <c r="J3187" s="65" t="b">
        <v>1</v>
      </c>
      <c r="K3187" s="65"/>
      <c r="L3187" s="85" t="b">
        <f>IF(VLOOKUP(C3187,Projetos!A:L,12,false)=TRUE,TRUE,FALSE)</f>
        <v>1</v>
      </c>
      <c r="M3187" s="74">
        <v>52.48434411075036</v>
      </c>
      <c r="N3187" s="74">
        <f t="shared" si="1"/>
        <v>65.60543014</v>
      </c>
      <c r="O3187" s="74" t="b">
        <v>1</v>
      </c>
    </row>
    <row r="3188" hidden="1">
      <c r="A3188" s="82"/>
      <c r="B3188" s="65" t="s">
        <v>411</v>
      </c>
      <c r="C3188" s="65" t="s">
        <v>117</v>
      </c>
      <c r="D3188" s="65" t="str">
        <f>vlookup(C3188,'Classificação p pessoal'!F:G,2,false)</f>
        <v>NP</v>
      </c>
      <c r="E3188" s="65" t="s">
        <v>2189</v>
      </c>
      <c r="F3188" s="83">
        <v>0.46875</v>
      </c>
      <c r="G3188" s="83">
        <v>0.5104166666666666</v>
      </c>
      <c r="H3188" s="83">
        <v>0.041666666666666664</v>
      </c>
      <c r="I3188" s="84">
        <v>44322.0</v>
      </c>
      <c r="J3188" s="65" t="b">
        <v>1</v>
      </c>
      <c r="K3188" s="65"/>
      <c r="L3188" s="85" t="b">
        <f>IF(VLOOKUP(C3188,Projetos!A:L,12,false)=TRUE,TRUE,FALSE)</f>
        <v>1</v>
      </c>
      <c r="M3188" s="74">
        <v>52.48434411075036</v>
      </c>
      <c r="N3188" s="74">
        <f t="shared" si="1"/>
        <v>52.48434411</v>
      </c>
      <c r="O3188" s="74" t="b">
        <v>1</v>
      </c>
    </row>
    <row r="3189" hidden="1">
      <c r="A3189" s="82"/>
      <c r="B3189" s="65" t="s">
        <v>411</v>
      </c>
      <c r="C3189" s="65" t="s">
        <v>127</v>
      </c>
      <c r="D3189" s="65" t="str">
        <f>vlookup(C3189,'Classificação p pessoal'!F:G,2,false)</f>
        <v>NP</v>
      </c>
      <c r="E3189" s="65" t="s">
        <v>2190</v>
      </c>
      <c r="F3189" s="83">
        <v>0.5104166666666666</v>
      </c>
      <c r="G3189" s="83">
        <v>0.5833333333333334</v>
      </c>
      <c r="H3189" s="83">
        <v>0.07291666666666667</v>
      </c>
      <c r="I3189" s="84">
        <v>44322.0</v>
      </c>
      <c r="J3189" s="65" t="b">
        <v>1</v>
      </c>
      <c r="K3189" s="65"/>
      <c r="L3189" s="85" t="b">
        <f>IF(VLOOKUP(C3189,Projetos!A:L,12,false)=TRUE,TRUE,FALSE)</f>
        <v>1</v>
      </c>
      <c r="M3189" s="74">
        <v>52.48434411075036</v>
      </c>
      <c r="N3189" s="74">
        <f t="shared" si="1"/>
        <v>91.84760219</v>
      </c>
      <c r="O3189" s="74" t="b">
        <v>1</v>
      </c>
    </row>
    <row r="3190" hidden="1">
      <c r="A3190" s="82"/>
      <c r="B3190" s="65" t="s">
        <v>411</v>
      </c>
      <c r="C3190" s="65" t="s">
        <v>117</v>
      </c>
      <c r="D3190" s="65" t="str">
        <f>vlookup(C3190,'Classificação p pessoal'!F:G,2,false)</f>
        <v>NP</v>
      </c>
      <c r="E3190" s="65" t="s">
        <v>1826</v>
      </c>
      <c r="F3190" s="83">
        <v>0.625</v>
      </c>
      <c r="G3190" s="83">
        <v>0.6458333333333334</v>
      </c>
      <c r="H3190" s="83">
        <v>0.020833333333333332</v>
      </c>
      <c r="I3190" s="84">
        <v>44322.0</v>
      </c>
      <c r="J3190" s="65" t="b">
        <v>1</v>
      </c>
      <c r="K3190" s="65"/>
      <c r="L3190" s="85" t="b">
        <f>IF(VLOOKUP(C3190,Projetos!A:L,12,false)=TRUE,TRUE,FALSE)</f>
        <v>1</v>
      </c>
      <c r="M3190" s="74">
        <v>52.48434411075036</v>
      </c>
      <c r="N3190" s="74">
        <f t="shared" si="1"/>
        <v>26.24217206</v>
      </c>
      <c r="O3190" s="74" t="b">
        <v>1</v>
      </c>
    </row>
    <row r="3191" hidden="1">
      <c r="A3191" s="82"/>
      <c r="B3191" s="65" t="s">
        <v>411</v>
      </c>
      <c r="C3191" s="65" t="s">
        <v>92</v>
      </c>
      <c r="D3191" s="65" t="str">
        <f>vlookup(C3191,'Classificação p pessoal'!F:G,2,false)</f>
        <v/>
      </c>
      <c r="E3191" s="65" t="s">
        <v>2188</v>
      </c>
      <c r="F3191" s="83">
        <v>0.6458333333333334</v>
      </c>
      <c r="G3191" s="83">
        <v>0.75</v>
      </c>
      <c r="H3191" s="83">
        <v>0.10416666666666667</v>
      </c>
      <c r="I3191" s="84">
        <v>44322.0</v>
      </c>
      <c r="J3191" s="65" t="b">
        <v>1</v>
      </c>
      <c r="K3191" s="65"/>
      <c r="L3191" s="85" t="b">
        <f>IF(VLOOKUP(C3191,Projetos!A:L,12,false)=TRUE,TRUE,FALSE)</f>
        <v>1</v>
      </c>
      <c r="M3191" s="74">
        <v>52.48434411075036</v>
      </c>
      <c r="N3191" s="74">
        <f t="shared" si="1"/>
        <v>131.2108603</v>
      </c>
      <c r="O3191" s="74" t="b">
        <v>1</v>
      </c>
    </row>
    <row r="3192" hidden="1">
      <c r="A3192" s="82"/>
      <c r="B3192" s="65" t="s">
        <v>177</v>
      </c>
      <c r="C3192" s="65" t="s">
        <v>118</v>
      </c>
      <c r="D3192" s="65" t="str">
        <f>vlookup(C3192,'Classificação p pessoal'!F:G,2,false)</f>
        <v>MProduto</v>
      </c>
      <c r="E3192" s="65" t="s">
        <v>2191</v>
      </c>
      <c r="F3192" s="83">
        <v>0.5833333333333334</v>
      </c>
      <c r="G3192" s="83">
        <v>0.6041666666666666</v>
      </c>
      <c r="H3192" s="83">
        <v>0.020833333333333332</v>
      </c>
      <c r="I3192" s="84">
        <v>44512.0</v>
      </c>
      <c r="J3192" s="65" t="b">
        <v>1</v>
      </c>
      <c r="K3192" s="65"/>
      <c r="L3192" s="85" t="b">
        <f>IF(VLOOKUP(C3192,Projetos!A:L,12,false)=TRUE,TRUE,FALSE)</f>
        <v>1</v>
      </c>
      <c r="M3192" s="74">
        <v>31.02923620430495</v>
      </c>
      <c r="N3192" s="74">
        <f t="shared" si="1"/>
        <v>15.5146181</v>
      </c>
      <c r="O3192" s="74" t="b">
        <v>1</v>
      </c>
    </row>
    <row r="3193" hidden="1">
      <c r="A3193" s="82"/>
      <c r="B3193" s="65" t="s">
        <v>411</v>
      </c>
      <c r="C3193" s="65" t="s">
        <v>120</v>
      </c>
      <c r="D3193" s="65"/>
      <c r="E3193" s="65" t="s">
        <v>2178</v>
      </c>
      <c r="F3193" s="83">
        <v>0.4583333333333333</v>
      </c>
      <c r="G3193" s="83">
        <v>0.5</v>
      </c>
      <c r="H3193" s="83">
        <v>0.041666666666666664</v>
      </c>
      <c r="I3193" s="84">
        <v>44323.0</v>
      </c>
      <c r="J3193" s="65" t="b">
        <v>0</v>
      </c>
      <c r="K3193" s="65"/>
      <c r="L3193" s="85" t="b">
        <f>IF(VLOOKUP(C3193,Projetos!A:L,12,false)=TRUE,TRUE,FALSE)</f>
        <v>0</v>
      </c>
      <c r="M3193" s="74">
        <v>52.48434411075036</v>
      </c>
      <c r="N3193" s="74">
        <f t="shared" si="1"/>
        <v>0</v>
      </c>
      <c r="O3193" s="74" t="b">
        <v>0</v>
      </c>
    </row>
    <row r="3194" hidden="1">
      <c r="A3194" s="82"/>
      <c r="B3194" s="65" t="s">
        <v>411</v>
      </c>
      <c r="C3194" s="65" t="s">
        <v>117</v>
      </c>
      <c r="D3194" s="65" t="str">
        <f>vlookup(C3194,'Classificação p pessoal'!F:G,2,false)</f>
        <v>NP</v>
      </c>
      <c r="E3194" s="65" t="s">
        <v>1944</v>
      </c>
      <c r="F3194" s="83">
        <v>0.5</v>
      </c>
      <c r="G3194" s="83">
        <v>0.5208333333333334</v>
      </c>
      <c r="H3194" s="83">
        <v>0.020833333333333332</v>
      </c>
      <c r="I3194" s="84">
        <v>44323.0</v>
      </c>
      <c r="J3194" s="65" t="b">
        <v>1</v>
      </c>
      <c r="K3194" s="65"/>
      <c r="L3194" s="85" t="b">
        <f>IF(VLOOKUP(C3194,Projetos!A:L,12,false)=TRUE,TRUE,FALSE)</f>
        <v>1</v>
      </c>
      <c r="M3194" s="74">
        <v>52.48434411075036</v>
      </c>
      <c r="N3194" s="74">
        <f t="shared" si="1"/>
        <v>26.24217206</v>
      </c>
      <c r="O3194" s="74" t="b">
        <v>1</v>
      </c>
    </row>
    <row r="3195" hidden="1">
      <c r="A3195" s="82"/>
      <c r="B3195" s="65" t="s">
        <v>411</v>
      </c>
      <c r="C3195" s="65" t="s">
        <v>117</v>
      </c>
      <c r="D3195" s="65" t="str">
        <f>vlookup(C3195,'Classificação p pessoal'!F:G,2,false)</f>
        <v>NP</v>
      </c>
      <c r="E3195" s="65" t="s">
        <v>1826</v>
      </c>
      <c r="F3195" s="83">
        <v>0.5625</v>
      </c>
      <c r="G3195" s="83">
        <v>0.6458333333333334</v>
      </c>
      <c r="H3195" s="83">
        <v>0.08333333333333333</v>
      </c>
      <c r="I3195" s="84">
        <v>44323.0</v>
      </c>
      <c r="J3195" s="65" t="b">
        <v>1</v>
      </c>
      <c r="K3195" s="65"/>
      <c r="L3195" s="85" t="b">
        <f>IF(VLOOKUP(C3195,Projetos!A:L,12,false)=TRUE,TRUE,FALSE)</f>
        <v>1</v>
      </c>
      <c r="M3195" s="74">
        <v>52.48434411075036</v>
      </c>
      <c r="N3195" s="74">
        <f t="shared" si="1"/>
        <v>104.9686882</v>
      </c>
      <c r="O3195" s="74" t="b">
        <v>1</v>
      </c>
    </row>
    <row r="3196" hidden="1">
      <c r="A3196" s="82"/>
      <c r="B3196" s="65" t="s">
        <v>411</v>
      </c>
      <c r="C3196" s="65" t="s">
        <v>88</v>
      </c>
      <c r="D3196" s="65" t="str">
        <f>vlookup(C3196,'Classificação p pessoal'!F:G,2,false)</f>
        <v>MProduto</v>
      </c>
      <c r="E3196" s="65" t="s">
        <v>2192</v>
      </c>
      <c r="F3196" s="83">
        <v>0.34375</v>
      </c>
      <c r="G3196" s="83">
        <v>0.4166666666666667</v>
      </c>
      <c r="H3196" s="83">
        <v>0.07291666666666667</v>
      </c>
      <c r="I3196" s="84">
        <v>44326.0</v>
      </c>
      <c r="J3196" s="65" t="b">
        <v>1</v>
      </c>
      <c r="K3196" s="65"/>
      <c r="L3196" s="85" t="b">
        <f>IF(VLOOKUP(C3196,Projetos!A:L,12,false)=TRUE,TRUE,FALSE)</f>
        <v>1</v>
      </c>
      <c r="M3196" s="74">
        <v>52.48434411075036</v>
      </c>
      <c r="N3196" s="74">
        <f t="shared" si="1"/>
        <v>91.84760219</v>
      </c>
      <c r="O3196" s="74" t="b">
        <v>1</v>
      </c>
    </row>
    <row r="3197" hidden="1">
      <c r="A3197" s="82"/>
      <c r="B3197" s="65" t="s">
        <v>411</v>
      </c>
      <c r="C3197" s="65" t="s">
        <v>85</v>
      </c>
      <c r="D3197" s="65" t="str">
        <f>vlookup(C3197,'Classificação p pessoal'!F:G,2,false)</f>
        <v>NP</v>
      </c>
      <c r="E3197" s="65" t="s">
        <v>2193</v>
      </c>
      <c r="F3197" s="83">
        <v>0.4166666666666667</v>
      </c>
      <c r="G3197" s="83">
        <v>0.4583333333333333</v>
      </c>
      <c r="H3197" s="83">
        <v>0.041666666666666664</v>
      </c>
      <c r="I3197" s="84">
        <v>44326.0</v>
      </c>
      <c r="J3197" s="65" t="b">
        <v>1</v>
      </c>
      <c r="K3197" s="65"/>
      <c r="L3197" s="85" t="b">
        <f>IF(VLOOKUP(C3197,Projetos!A:L,12,false)=TRUE,TRUE,FALSE)</f>
        <v>1</v>
      </c>
      <c r="M3197" s="74">
        <v>52.48434411075036</v>
      </c>
      <c r="N3197" s="74">
        <f t="shared" si="1"/>
        <v>52.48434411</v>
      </c>
      <c r="O3197" s="74" t="b">
        <v>1</v>
      </c>
    </row>
    <row r="3198" hidden="1">
      <c r="A3198" s="82"/>
      <c r="B3198" s="65" t="s">
        <v>411</v>
      </c>
      <c r="C3198" s="65" t="s">
        <v>117</v>
      </c>
      <c r="D3198" s="65" t="str">
        <f>vlookup(C3198,'Classificação p pessoal'!F:G,2,false)</f>
        <v>NP</v>
      </c>
      <c r="E3198" s="65" t="s">
        <v>2194</v>
      </c>
      <c r="F3198" s="83">
        <v>0.4583333333333333</v>
      </c>
      <c r="G3198" s="83">
        <v>0.5833333333333334</v>
      </c>
      <c r="H3198" s="83">
        <v>0.125</v>
      </c>
      <c r="I3198" s="84">
        <v>44326.0</v>
      </c>
      <c r="J3198" s="65" t="b">
        <v>1</v>
      </c>
      <c r="K3198" s="65"/>
      <c r="L3198" s="85" t="b">
        <f>IF(VLOOKUP(C3198,Projetos!A:L,12,false)=TRUE,TRUE,FALSE)</f>
        <v>1</v>
      </c>
      <c r="M3198" s="74">
        <v>52.48434411075036</v>
      </c>
      <c r="N3198" s="74">
        <f t="shared" si="1"/>
        <v>157.4530323</v>
      </c>
      <c r="O3198" s="74" t="b">
        <v>1</v>
      </c>
    </row>
    <row r="3199" hidden="1">
      <c r="A3199" s="82"/>
      <c r="B3199" s="65" t="s">
        <v>411</v>
      </c>
      <c r="C3199" s="65" t="s">
        <v>92</v>
      </c>
      <c r="D3199" s="65" t="str">
        <f>vlookup(C3199,'Classificação p pessoal'!F:G,2,false)</f>
        <v/>
      </c>
      <c r="E3199" s="65" t="s">
        <v>2195</v>
      </c>
      <c r="F3199" s="83">
        <v>0.5833333333333334</v>
      </c>
      <c r="G3199" s="83">
        <v>0.625</v>
      </c>
      <c r="H3199" s="83">
        <v>0.041666666666666664</v>
      </c>
      <c r="I3199" s="84">
        <v>44326.0</v>
      </c>
      <c r="J3199" s="65" t="b">
        <v>1</v>
      </c>
      <c r="K3199" s="65"/>
      <c r="L3199" s="85" t="b">
        <f>IF(VLOOKUP(C3199,Projetos!A:L,12,false)=TRUE,TRUE,FALSE)</f>
        <v>1</v>
      </c>
      <c r="M3199" s="74">
        <v>52.48434411075036</v>
      </c>
      <c r="N3199" s="74">
        <f t="shared" si="1"/>
        <v>52.48434411</v>
      </c>
      <c r="O3199" s="74" t="b">
        <v>1</v>
      </c>
    </row>
    <row r="3200" hidden="1">
      <c r="A3200" s="82"/>
      <c r="B3200" s="65" t="s">
        <v>411</v>
      </c>
      <c r="C3200" s="65" t="s">
        <v>119</v>
      </c>
      <c r="D3200" s="65" t="str">
        <f>vlookup(C3200,'Classificação p pessoal'!F:G,2,false)</f>
        <v>NP</v>
      </c>
      <c r="E3200" s="65" t="s">
        <v>2196</v>
      </c>
      <c r="F3200" s="83">
        <v>0.6666666666666666</v>
      </c>
      <c r="G3200" s="83">
        <v>0.7083333333333334</v>
      </c>
      <c r="H3200" s="83">
        <v>0.041666666666666664</v>
      </c>
      <c r="I3200" s="84">
        <v>44326.0</v>
      </c>
      <c r="J3200" s="65" t="b">
        <v>1</v>
      </c>
      <c r="K3200" s="65"/>
      <c r="L3200" s="85" t="b">
        <f>IF(VLOOKUP(C3200,Projetos!A:L,12,false)=TRUE,TRUE,FALSE)</f>
        <v>1</v>
      </c>
      <c r="M3200" s="74">
        <v>52.48434411075036</v>
      </c>
      <c r="N3200" s="74">
        <f t="shared" si="1"/>
        <v>52.48434411</v>
      </c>
      <c r="O3200" s="74" t="b">
        <v>1</v>
      </c>
    </row>
    <row r="3201" hidden="1">
      <c r="A3201" s="82"/>
      <c r="B3201" s="65" t="s">
        <v>495</v>
      </c>
      <c r="C3201" s="65" t="s">
        <v>130</v>
      </c>
      <c r="D3201" s="65"/>
      <c r="E3201" s="65" t="s">
        <v>2197</v>
      </c>
      <c r="F3201" s="83">
        <v>0.7395833333333334</v>
      </c>
      <c r="G3201" s="83">
        <v>0.75</v>
      </c>
      <c r="H3201" s="83">
        <v>0.010416666666666666</v>
      </c>
      <c r="I3201" s="84">
        <v>44333.0</v>
      </c>
      <c r="J3201" s="65" t="b">
        <v>0</v>
      </c>
      <c r="K3201" s="65" t="s">
        <v>150</v>
      </c>
      <c r="L3201" s="85" t="b">
        <f>IF(VLOOKUP(C3201,Projetos!A:L,12,false)=TRUE,TRUE,FALSE)</f>
        <v>1</v>
      </c>
      <c r="M3201" s="74">
        <v>73.7079846079846</v>
      </c>
      <c r="N3201" s="74">
        <f t="shared" si="1"/>
        <v>0</v>
      </c>
      <c r="O3201" s="74" t="b">
        <v>1</v>
      </c>
    </row>
    <row r="3202" hidden="1">
      <c r="A3202" s="82"/>
      <c r="B3202" s="65" t="s">
        <v>411</v>
      </c>
      <c r="C3202" s="65" t="s">
        <v>117</v>
      </c>
      <c r="D3202" s="65" t="str">
        <f>vlookup(C3202,'Classificação p pessoal'!F:G,2,false)</f>
        <v>NP</v>
      </c>
      <c r="E3202" s="65" t="s">
        <v>2198</v>
      </c>
      <c r="F3202" s="83">
        <v>0.7291666666666666</v>
      </c>
      <c r="G3202" s="83">
        <v>0.75</v>
      </c>
      <c r="H3202" s="83">
        <v>0.020833333333333332</v>
      </c>
      <c r="I3202" s="84">
        <v>44326.0</v>
      </c>
      <c r="J3202" s="65" t="b">
        <v>1</v>
      </c>
      <c r="K3202" s="65"/>
      <c r="L3202" s="85" t="b">
        <f>IF(VLOOKUP(C3202,Projetos!A:L,12,false)=TRUE,TRUE,FALSE)</f>
        <v>1</v>
      </c>
      <c r="M3202" s="74">
        <v>52.48434411075036</v>
      </c>
      <c r="N3202" s="74">
        <f t="shared" si="1"/>
        <v>26.24217206</v>
      </c>
      <c r="O3202" s="74" t="b">
        <v>1</v>
      </c>
    </row>
    <row r="3203" hidden="1">
      <c r="A3203" s="82"/>
      <c r="B3203" s="65" t="s">
        <v>411</v>
      </c>
      <c r="C3203" s="65" t="s">
        <v>117</v>
      </c>
      <c r="D3203" s="65" t="str">
        <f>vlookup(C3203,'Classificação p pessoal'!F:G,2,false)</f>
        <v>NP</v>
      </c>
      <c r="E3203" s="65" t="s">
        <v>2199</v>
      </c>
      <c r="F3203" s="83">
        <v>0.3541666666666667</v>
      </c>
      <c r="G3203" s="83">
        <v>0.3958333333333333</v>
      </c>
      <c r="H3203" s="83">
        <v>0.041666666666666664</v>
      </c>
      <c r="I3203" s="84">
        <v>44327.0</v>
      </c>
      <c r="J3203" s="65" t="b">
        <v>1</v>
      </c>
      <c r="K3203" s="65"/>
      <c r="L3203" s="85" t="b">
        <f>IF(VLOOKUP(C3203,Projetos!A:L,12,false)=TRUE,TRUE,FALSE)</f>
        <v>1</v>
      </c>
      <c r="M3203" s="74">
        <v>52.48434411075036</v>
      </c>
      <c r="N3203" s="74">
        <f t="shared" si="1"/>
        <v>52.48434411</v>
      </c>
      <c r="O3203" s="74" t="b">
        <v>1</v>
      </c>
    </row>
    <row r="3204" hidden="1">
      <c r="A3204" s="82"/>
      <c r="B3204" s="65" t="s">
        <v>411</v>
      </c>
      <c r="C3204" s="65" t="s">
        <v>117</v>
      </c>
      <c r="D3204" s="65" t="str">
        <f>vlookup(C3204,'Classificação p pessoal'!F:G,2,false)</f>
        <v>NP</v>
      </c>
      <c r="E3204" s="65" t="s">
        <v>2200</v>
      </c>
      <c r="F3204" s="83">
        <v>0.5833333333333334</v>
      </c>
      <c r="G3204" s="83">
        <v>0.75</v>
      </c>
      <c r="H3204" s="83">
        <v>0.16666666666666666</v>
      </c>
      <c r="I3204" s="84">
        <v>44327.0</v>
      </c>
      <c r="J3204" s="65" t="b">
        <v>1</v>
      </c>
      <c r="K3204" s="65"/>
      <c r="L3204" s="85" t="b">
        <f>IF(VLOOKUP(C3204,Projetos!A:L,12,false)=TRUE,TRUE,FALSE)</f>
        <v>1</v>
      </c>
      <c r="M3204" s="74">
        <v>52.48434411075036</v>
      </c>
      <c r="N3204" s="74">
        <f t="shared" si="1"/>
        <v>209.9373764</v>
      </c>
      <c r="O3204" s="74" t="b">
        <v>1</v>
      </c>
    </row>
    <row r="3205" hidden="1">
      <c r="A3205" s="82"/>
      <c r="B3205" s="65" t="s">
        <v>411</v>
      </c>
      <c r="C3205" s="65" t="s">
        <v>127</v>
      </c>
      <c r="D3205" s="65" t="str">
        <f>vlookup(C3205,'Classificação p pessoal'!F:G,2,false)</f>
        <v>NP</v>
      </c>
      <c r="E3205" s="65" t="s">
        <v>2201</v>
      </c>
      <c r="F3205" s="83">
        <v>0.34375</v>
      </c>
      <c r="G3205" s="83">
        <v>0.3854166666666667</v>
      </c>
      <c r="H3205" s="83">
        <v>0.041666666666666664</v>
      </c>
      <c r="I3205" s="84">
        <v>44328.0</v>
      </c>
      <c r="J3205" s="65" t="b">
        <v>1</v>
      </c>
      <c r="K3205" s="65"/>
      <c r="L3205" s="85" t="b">
        <f>IF(VLOOKUP(C3205,Projetos!A:L,12,false)=TRUE,TRUE,FALSE)</f>
        <v>1</v>
      </c>
      <c r="M3205" s="74">
        <v>52.48434411075036</v>
      </c>
      <c r="N3205" s="74">
        <f t="shared" si="1"/>
        <v>52.48434411</v>
      </c>
      <c r="O3205" s="74" t="b">
        <v>1</v>
      </c>
    </row>
    <row r="3206" hidden="1">
      <c r="A3206" s="82"/>
      <c r="B3206" s="65" t="s">
        <v>411</v>
      </c>
      <c r="C3206" s="65" t="s">
        <v>117</v>
      </c>
      <c r="D3206" s="65" t="str">
        <f>vlookup(C3206,'Classificação p pessoal'!F:G,2,false)</f>
        <v>NP</v>
      </c>
      <c r="E3206" s="65" t="s">
        <v>2202</v>
      </c>
      <c r="F3206" s="83">
        <v>0.3854166666666667</v>
      </c>
      <c r="G3206" s="83">
        <v>0.5208333333333334</v>
      </c>
      <c r="H3206" s="83">
        <v>0.13541666666666666</v>
      </c>
      <c r="I3206" s="84">
        <v>44328.0</v>
      </c>
      <c r="J3206" s="65" t="b">
        <v>1</v>
      </c>
      <c r="K3206" s="65"/>
      <c r="L3206" s="85" t="b">
        <f>IF(VLOOKUP(C3206,Projetos!A:L,12,false)=TRUE,TRUE,FALSE)</f>
        <v>1</v>
      </c>
      <c r="M3206" s="74">
        <v>52.48434411075036</v>
      </c>
      <c r="N3206" s="74">
        <f t="shared" si="1"/>
        <v>170.5741184</v>
      </c>
      <c r="O3206" s="74" t="b">
        <v>1</v>
      </c>
    </row>
    <row r="3207" hidden="1">
      <c r="A3207" s="82"/>
      <c r="B3207" s="65" t="s">
        <v>411</v>
      </c>
      <c r="C3207" s="65" t="s">
        <v>127</v>
      </c>
      <c r="D3207" s="65" t="str">
        <f>vlookup(C3207,'Classificação p pessoal'!F:G,2,false)</f>
        <v>NP</v>
      </c>
      <c r="E3207" s="65" t="s">
        <v>2203</v>
      </c>
      <c r="F3207" s="83">
        <v>0.5625</v>
      </c>
      <c r="G3207" s="83">
        <v>0.7083333333333334</v>
      </c>
      <c r="H3207" s="83">
        <v>0.14583333333333334</v>
      </c>
      <c r="I3207" s="84">
        <v>44328.0</v>
      </c>
      <c r="J3207" s="65" t="b">
        <v>1</v>
      </c>
      <c r="K3207" s="65"/>
      <c r="L3207" s="85" t="b">
        <f>IF(VLOOKUP(C3207,Projetos!A:L,12,false)=TRUE,TRUE,FALSE)</f>
        <v>1</v>
      </c>
      <c r="M3207" s="74">
        <v>52.48434411075036</v>
      </c>
      <c r="N3207" s="74">
        <f t="shared" si="1"/>
        <v>183.6952044</v>
      </c>
      <c r="O3207" s="74" t="b">
        <v>1</v>
      </c>
    </row>
    <row r="3208">
      <c r="A3208" s="82"/>
      <c r="B3208" s="65" t="s">
        <v>411</v>
      </c>
      <c r="C3208" s="65" t="s">
        <v>108</v>
      </c>
      <c r="D3208" s="65"/>
      <c r="E3208" s="65" t="s">
        <v>2204</v>
      </c>
      <c r="F3208" s="83">
        <v>0.7083333333333334</v>
      </c>
      <c r="G3208" s="83">
        <v>0.7291666666666666</v>
      </c>
      <c r="H3208" s="83">
        <v>0.020833333333333332</v>
      </c>
      <c r="I3208" s="84">
        <v>44328.0</v>
      </c>
      <c r="J3208" s="65" t="b">
        <v>0</v>
      </c>
      <c r="K3208" s="65" t="s">
        <v>150</v>
      </c>
      <c r="L3208" s="85" t="b">
        <f>IF(VLOOKUP(C3208,Projetos!A:L,12,false)=TRUE,TRUE,FALSE)</f>
        <v>1</v>
      </c>
      <c r="M3208" s="74">
        <v>52.48434411075036</v>
      </c>
      <c r="N3208" s="74">
        <f t="shared" si="1"/>
        <v>0</v>
      </c>
      <c r="O3208" s="74" t="b">
        <v>1</v>
      </c>
    </row>
    <row r="3209" hidden="1">
      <c r="A3209" s="82"/>
      <c r="B3209" s="65" t="s">
        <v>411</v>
      </c>
      <c r="C3209" s="65" t="s">
        <v>127</v>
      </c>
      <c r="D3209" s="65" t="str">
        <f>vlookup(C3209,'Classificação p pessoal'!F:G,2,false)</f>
        <v>NP</v>
      </c>
      <c r="E3209" s="65" t="s">
        <v>2205</v>
      </c>
      <c r="F3209" s="83">
        <v>0.34375</v>
      </c>
      <c r="G3209" s="83">
        <v>0.375</v>
      </c>
      <c r="H3209" s="83">
        <v>0.03125</v>
      </c>
      <c r="I3209" s="84">
        <v>44329.0</v>
      </c>
      <c r="J3209" s="65" t="b">
        <v>1</v>
      </c>
      <c r="K3209" s="65"/>
      <c r="L3209" s="85" t="b">
        <f>IF(VLOOKUP(C3209,Projetos!A:L,12,false)=TRUE,TRUE,FALSE)</f>
        <v>1</v>
      </c>
      <c r="M3209" s="74">
        <v>52.48434411075036</v>
      </c>
      <c r="N3209" s="74">
        <f t="shared" si="1"/>
        <v>39.36325808</v>
      </c>
      <c r="O3209" s="74" t="b">
        <v>1</v>
      </c>
    </row>
    <row r="3210" hidden="1">
      <c r="A3210" s="82"/>
      <c r="B3210" s="65" t="s">
        <v>411</v>
      </c>
      <c r="C3210" s="65" t="s">
        <v>117</v>
      </c>
      <c r="D3210" s="65" t="str">
        <f>vlookup(C3210,'Classificação p pessoal'!F:G,2,false)</f>
        <v>NP</v>
      </c>
      <c r="E3210" s="65" t="s">
        <v>2206</v>
      </c>
      <c r="F3210" s="83">
        <v>0.375</v>
      </c>
      <c r="G3210" s="83">
        <v>0.4166666666666667</v>
      </c>
      <c r="H3210" s="83">
        <v>0.041666666666666664</v>
      </c>
      <c r="I3210" s="84">
        <v>44329.0</v>
      </c>
      <c r="J3210" s="65" t="b">
        <v>1</v>
      </c>
      <c r="K3210" s="65"/>
      <c r="L3210" s="85" t="b">
        <f>IF(VLOOKUP(C3210,Projetos!A:L,12,false)=TRUE,TRUE,FALSE)</f>
        <v>1</v>
      </c>
      <c r="M3210" s="74">
        <v>52.48434411075036</v>
      </c>
      <c r="N3210" s="74">
        <f t="shared" si="1"/>
        <v>52.48434411</v>
      </c>
      <c r="O3210" s="74" t="b">
        <v>1</v>
      </c>
    </row>
    <row r="3211" hidden="1">
      <c r="A3211" s="82"/>
      <c r="B3211" s="65" t="s">
        <v>495</v>
      </c>
      <c r="C3211" s="65" t="s">
        <v>92</v>
      </c>
      <c r="D3211" s="65" t="str">
        <f>vlookup(C3211,'Classificação p pessoal'!F:G,2,false)</f>
        <v/>
      </c>
      <c r="E3211" s="65" t="s">
        <v>2207</v>
      </c>
      <c r="F3211" s="83">
        <v>0.3472222222222222</v>
      </c>
      <c r="G3211" s="83">
        <v>0.375</v>
      </c>
      <c r="H3211" s="83">
        <v>0.027777777777777776</v>
      </c>
      <c r="I3211" s="84">
        <v>44328.0</v>
      </c>
      <c r="J3211" s="65" t="b">
        <v>1</v>
      </c>
      <c r="K3211" s="65"/>
      <c r="L3211" s="85" t="b">
        <f>IF(VLOOKUP(C3211,Projetos!A:L,12,false)=TRUE,TRUE,FALSE)</f>
        <v>1</v>
      </c>
      <c r="M3211" s="74">
        <v>73.7079846079846</v>
      </c>
      <c r="N3211" s="74">
        <f t="shared" si="1"/>
        <v>49.13865641</v>
      </c>
      <c r="O3211" s="74" t="b">
        <v>1</v>
      </c>
    </row>
    <row r="3212" hidden="1">
      <c r="A3212" s="82"/>
      <c r="B3212" s="65" t="s">
        <v>411</v>
      </c>
      <c r="C3212" s="65" t="s">
        <v>117</v>
      </c>
      <c r="D3212" s="65" t="str">
        <f>vlookup(C3212,'Classificação p pessoal'!F:G,2,false)</f>
        <v>NP</v>
      </c>
      <c r="E3212" s="65" t="s">
        <v>2208</v>
      </c>
      <c r="F3212" s="83">
        <v>0.4583333333333333</v>
      </c>
      <c r="G3212" s="83">
        <v>0.5</v>
      </c>
      <c r="H3212" s="83">
        <v>0.041666666666666664</v>
      </c>
      <c r="I3212" s="84">
        <v>44329.0</v>
      </c>
      <c r="J3212" s="65" t="b">
        <v>1</v>
      </c>
      <c r="K3212" s="65"/>
      <c r="L3212" s="85" t="b">
        <f>IF(VLOOKUP(C3212,Projetos!A:L,12,false)=TRUE,TRUE,FALSE)</f>
        <v>1</v>
      </c>
      <c r="M3212" s="74">
        <v>52.48434411075036</v>
      </c>
      <c r="N3212" s="74">
        <f t="shared" si="1"/>
        <v>52.48434411</v>
      </c>
      <c r="O3212" s="74" t="b">
        <v>1</v>
      </c>
    </row>
    <row r="3213" hidden="1">
      <c r="A3213" s="82"/>
      <c r="B3213" s="65" t="s">
        <v>411</v>
      </c>
      <c r="C3213" s="65" t="s">
        <v>92</v>
      </c>
      <c r="D3213" s="65" t="str">
        <f>vlookup(C3213,'Classificação p pessoal'!F:G,2,false)</f>
        <v/>
      </c>
      <c r="E3213" s="65" t="s">
        <v>2209</v>
      </c>
      <c r="F3213" s="83">
        <v>0.5</v>
      </c>
      <c r="G3213" s="83">
        <v>0.5416666666666666</v>
      </c>
      <c r="H3213" s="83">
        <v>0.041666666666666664</v>
      </c>
      <c r="I3213" s="84">
        <v>44329.0</v>
      </c>
      <c r="J3213" s="65" t="b">
        <v>1</v>
      </c>
      <c r="K3213" s="65"/>
      <c r="L3213" s="85" t="b">
        <f>IF(VLOOKUP(C3213,Projetos!A:L,12,false)=TRUE,TRUE,FALSE)</f>
        <v>1</v>
      </c>
      <c r="M3213" s="74">
        <v>52.48434411075036</v>
      </c>
      <c r="N3213" s="74">
        <f t="shared" si="1"/>
        <v>52.48434411</v>
      </c>
      <c r="O3213" s="74" t="b">
        <v>1</v>
      </c>
    </row>
    <row r="3214" hidden="1">
      <c r="A3214" s="82"/>
      <c r="B3214" s="65" t="s">
        <v>411</v>
      </c>
      <c r="C3214" s="65" t="s">
        <v>117</v>
      </c>
      <c r="D3214" s="65"/>
      <c r="E3214" s="65" t="s">
        <v>2210</v>
      </c>
      <c r="F3214" s="83">
        <v>0.5416666666666666</v>
      </c>
      <c r="G3214" s="83">
        <v>0.5625</v>
      </c>
      <c r="H3214" s="83">
        <v>0.020833333333333332</v>
      </c>
      <c r="I3214" s="84">
        <v>44329.0</v>
      </c>
      <c r="J3214" s="65" t="b">
        <v>0</v>
      </c>
      <c r="K3214" s="65" t="s">
        <v>150</v>
      </c>
      <c r="L3214" s="85" t="b">
        <f>IF(VLOOKUP(C3214,Projetos!A:L,12,false)=TRUE,TRUE,FALSE)</f>
        <v>1</v>
      </c>
      <c r="M3214" s="74">
        <v>52.48434411075036</v>
      </c>
      <c r="N3214" s="74">
        <f t="shared" si="1"/>
        <v>0</v>
      </c>
      <c r="O3214" s="74" t="b">
        <v>1</v>
      </c>
    </row>
    <row r="3215" hidden="1">
      <c r="A3215" s="82"/>
      <c r="B3215" s="65" t="s">
        <v>495</v>
      </c>
      <c r="C3215" s="65" t="s">
        <v>92</v>
      </c>
      <c r="D3215" s="65" t="str">
        <f>vlookup(C3215,'Classificação p pessoal'!F:G,2,false)</f>
        <v/>
      </c>
      <c r="E3215" s="65" t="s">
        <v>2211</v>
      </c>
      <c r="F3215" s="83">
        <v>0.3472222222222222</v>
      </c>
      <c r="G3215" s="83">
        <v>0.3819444444444444</v>
      </c>
      <c r="H3215" s="83">
        <v>0.034722222222222224</v>
      </c>
      <c r="I3215" s="84">
        <v>44340.0</v>
      </c>
      <c r="J3215" s="65" t="b">
        <v>1</v>
      </c>
      <c r="K3215" s="65"/>
      <c r="L3215" s="85" t="b">
        <f>IF(VLOOKUP(C3215,Projetos!A:L,12,false)=TRUE,TRUE,FALSE)</f>
        <v>1</v>
      </c>
      <c r="M3215" s="74">
        <v>73.7079846079846</v>
      </c>
      <c r="N3215" s="74">
        <f t="shared" si="1"/>
        <v>61.42332051</v>
      </c>
      <c r="O3215" s="74" t="b">
        <v>1</v>
      </c>
    </row>
    <row r="3216" hidden="1">
      <c r="A3216" s="82"/>
      <c r="B3216" s="65" t="s">
        <v>411</v>
      </c>
      <c r="C3216" s="65" t="s">
        <v>92</v>
      </c>
      <c r="D3216" s="65" t="str">
        <f>vlookup(C3216,'Classificação p pessoal'!F:G,2,false)</f>
        <v/>
      </c>
      <c r="E3216" s="65" t="s">
        <v>2212</v>
      </c>
      <c r="F3216" s="83">
        <v>0.6458333333333334</v>
      </c>
      <c r="G3216" s="83">
        <v>0.6875</v>
      </c>
      <c r="H3216" s="83">
        <v>0.041666666666666664</v>
      </c>
      <c r="I3216" s="84">
        <v>44329.0</v>
      </c>
      <c r="J3216" s="65" t="b">
        <v>1</v>
      </c>
      <c r="K3216" s="65"/>
      <c r="L3216" s="85" t="b">
        <f>IF(VLOOKUP(C3216,Projetos!A:L,12,false)=TRUE,TRUE,FALSE)</f>
        <v>1</v>
      </c>
      <c r="M3216" s="74">
        <v>52.48434411075036</v>
      </c>
      <c r="N3216" s="74">
        <f t="shared" si="1"/>
        <v>52.48434411</v>
      </c>
      <c r="O3216" s="74" t="b">
        <v>1</v>
      </c>
    </row>
    <row r="3217" hidden="1">
      <c r="A3217" s="82"/>
      <c r="B3217" s="65" t="s">
        <v>411</v>
      </c>
      <c r="C3217" s="65" t="s">
        <v>132</v>
      </c>
      <c r="D3217" s="65"/>
      <c r="E3217" s="65" t="s">
        <v>2213</v>
      </c>
      <c r="F3217" s="83">
        <v>0.6875</v>
      </c>
      <c r="G3217" s="83">
        <v>0.7083333333333334</v>
      </c>
      <c r="H3217" s="83">
        <v>0.020833333333333332</v>
      </c>
      <c r="I3217" s="84">
        <v>44329.0</v>
      </c>
      <c r="J3217" s="65" t="b">
        <v>1</v>
      </c>
      <c r="K3217" s="65"/>
      <c r="L3217" s="85" t="b">
        <f>IF(VLOOKUP(C3217,Projetos!A:L,12,false)=TRUE,TRUE,FALSE)</f>
        <v>0</v>
      </c>
      <c r="M3217" s="74">
        <v>52.48434411075036</v>
      </c>
      <c r="N3217" s="74">
        <f t="shared" si="1"/>
        <v>0</v>
      </c>
      <c r="O3217" s="74" t="b">
        <v>0</v>
      </c>
    </row>
    <row r="3218" hidden="1">
      <c r="A3218" s="82"/>
      <c r="B3218" s="65" t="s">
        <v>411</v>
      </c>
      <c r="C3218" s="65" t="s">
        <v>117</v>
      </c>
      <c r="D3218" s="65" t="str">
        <f>vlookup(C3218,'Classificação p pessoal'!F:G,2,false)</f>
        <v>NP</v>
      </c>
      <c r="E3218" s="65" t="s">
        <v>2214</v>
      </c>
      <c r="F3218" s="83">
        <v>0.7083333333333334</v>
      </c>
      <c r="G3218" s="83">
        <v>0.75</v>
      </c>
      <c r="H3218" s="83">
        <v>0.041666666666666664</v>
      </c>
      <c r="I3218" s="84">
        <v>44329.0</v>
      </c>
      <c r="J3218" s="65" t="b">
        <v>1</v>
      </c>
      <c r="K3218" s="65"/>
      <c r="L3218" s="85" t="b">
        <f>IF(VLOOKUP(C3218,Projetos!A:L,12,false)=TRUE,TRUE,FALSE)</f>
        <v>1</v>
      </c>
      <c r="M3218" s="74">
        <v>52.48434411075036</v>
      </c>
      <c r="N3218" s="74">
        <f t="shared" si="1"/>
        <v>52.48434411</v>
      </c>
      <c r="O3218" s="74" t="b">
        <v>1</v>
      </c>
    </row>
    <row r="3219" hidden="1">
      <c r="A3219" s="82"/>
      <c r="B3219" s="65" t="s">
        <v>411</v>
      </c>
      <c r="C3219" s="65" t="s">
        <v>117</v>
      </c>
      <c r="D3219" s="65" t="str">
        <f>vlookup(C3219,'Classificação p pessoal'!F:G,2,false)</f>
        <v>NP</v>
      </c>
      <c r="E3219" s="65" t="s">
        <v>2215</v>
      </c>
      <c r="F3219" s="83">
        <v>0.34375</v>
      </c>
      <c r="G3219" s="83">
        <v>0.4375</v>
      </c>
      <c r="H3219" s="83">
        <v>0.09375</v>
      </c>
      <c r="I3219" s="84">
        <v>44330.0</v>
      </c>
      <c r="J3219" s="65" t="b">
        <v>1</v>
      </c>
      <c r="K3219" s="65"/>
      <c r="L3219" s="85" t="b">
        <f>IF(VLOOKUP(C3219,Projetos!A:L,12,false)=TRUE,TRUE,FALSE)</f>
        <v>1</v>
      </c>
      <c r="M3219" s="74">
        <v>52.48434411075036</v>
      </c>
      <c r="N3219" s="74">
        <f t="shared" si="1"/>
        <v>118.0897742</v>
      </c>
      <c r="O3219" s="74" t="b">
        <v>1</v>
      </c>
    </row>
    <row r="3220" hidden="1">
      <c r="A3220" s="82"/>
      <c r="B3220" s="65" t="s">
        <v>411</v>
      </c>
      <c r="C3220" s="65" t="s">
        <v>107</v>
      </c>
      <c r="D3220" s="65" t="str">
        <f>vlookup(C3220,'Classificação p pessoal'!F:G,2,false)</f>
        <v>NP</v>
      </c>
      <c r="E3220" s="65" t="s">
        <v>2216</v>
      </c>
      <c r="F3220" s="83">
        <v>0.4375</v>
      </c>
      <c r="G3220" s="83">
        <v>0.46875</v>
      </c>
      <c r="H3220" s="83">
        <v>0.03125</v>
      </c>
      <c r="I3220" s="84">
        <v>44330.0</v>
      </c>
      <c r="J3220" s="65" t="b">
        <v>1</v>
      </c>
      <c r="K3220" s="65"/>
      <c r="L3220" s="85" t="b">
        <f>IF(VLOOKUP(C3220,Projetos!A:L,12,false)=TRUE,TRUE,FALSE)</f>
        <v>1</v>
      </c>
      <c r="M3220" s="74">
        <v>52.48434411075036</v>
      </c>
      <c r="N3220" s="74">
        <f t="shared" si="1"/>
        <v>39.36325808</v>
      </c>
      <c r="O3220" s="74" t="b">
        <v>1</v>
      </c>
    </row>
    <row r="3221" hidden="1">
      <c r="A3221" s="82"/>
      <c r="B3221" s="65" t="s">
        <v>411</v>
      </c>
      <c r="C3221" s="65" t="s">
        <v>125</v>
      </c>
      <c r="D3221" s="65" t="str">
        <f>vlookup(C3221,'Classificação p pessoal'!F:G,2,false)</f>
        <v>MProduto</v>
      </c>
      <c r="E3221" s="65" t="s">
        <v>2180</v>
      </c>
      <c r="F3221" s="83">
        <v>0.46875</v>
      </c>
      <c r="G3221" s="83">
        <v>0.5208333333333334</v>
      </c>
      <c r="H3221" s="83">
        <v>0.052083333333333336</v>
      </c>
      <c r="I3221" s="84">
        <v>44330.0</v>
      </c>
      <c r="J3221" s="65" t="b">
        <v>1</v>
      </c>
      <c r="K3221" s="65"/>
      <c r="L3221" s="85" t="b">
        <f>IF(VLOOKUP(C3221,Projetos!A:L,12,false)=TRUE,TRUE,FALSE)</f>
        <v>1</v>
      </c>
      <c r="M3221" s="74">
        <v>52.48434411075036</v>
      </c>
      <c r="N3221" s="74">
        <f t="shared" si="1"/>
        <v>65.60543014</v>
      </c>
      <c r="O3221" s="74" t="b">
        <v>1</v>
      </c>
    </row>
    <row r="3222" hidden="1">
      <c r="A3222" s="82"/>
      <c r="B3222" s="65" t="s">
        <v>411</v>
      </c>
      <c r="C3222" s="65" t="s">
        <v>125</v>
      </c>
      <c r="D3222" s="65" t="str">
        <f>vlookup(C3222,'Classificação p pessoal'!F:G,2,false)</f>
        <v>MProduto</v>
      </c>
      <c r="E3222" s="65" t="s">
        <v>2217</v>
      </c>
      <c r="F3222" s="83">
        <v>0.5625</v>
      </c>
      <c r="G3222" s="83">
        <v>0.7083333333333334</v>
      </c>
      <c r="H3222" s="83">
        <v>0.14583333333333334</v>
      </c>
      <c r="I3222" s="84">
        <v>44330.0</v>
      </c>
      <c r="J3222" s="65" t="b">
        <v>1</v>
      </c>
      <c r="K3222" s="65"/>
      <c r="L3222" s="85" t="b">
        <f>IF(VLOOKUP(C3222,Projetos!A:L,12,false)=TRUE,TRUE,FALSE)</f>
        <v>1</v>
      </c>
      <c r="M3222" s="74">
        <v>52.48434411075036</v>
      </c>
      <c r="N3222" s="74">
        <f t="shared" si="1"/>
        <v>183.6952044</v>
      </c>
      <c r="O3222" s="74" t="b">
        <v>1</v>
      </c>
    </row>
    <row r="3223" hidden="1">
      <c r="A3223" s="82"/>
      <c r="B3223" s="65" t="s">
        <v>411</v>
      </c>
      <c r="C3223" s="65" t="s">
        <v>117</v>
      </c>
      <c r="D3223" s="65" t="str">
        <f>vlookup(C3223,'Classificação p pessoal'!F:G,2,false)</f>
        <v>NP</v>
      </c>
      <c r="E3223" s="65" t="s">
        <v>2218</v>
      </c>
      <c r="F3223" s="83">
        <v>0.34375</v>
      </c>
      <c r="G3223" s="83">
        <v>0.3958333333333333</v>
      </c>
      <c r="H3223" s="83">
        <v>0.052083333333333336</v>
      </c>
      <c r="I3223" s="84">
        <v>44333.0</v>
      </c>
      <c r="J3223" s="65" t="b">
        <v>1</v>
      </c>
      <c r="K3223" s="65"/>
      <c r="L3223" s="85" t="b">
        <f>IF(VLOOKUP(C3223,Projetos!A:L,12,false)=TRUE,TRUE,FALSE)</f>
        <v>1</v>
      </c>
      <c r="M3223" s="74">
        <v>52.48434411075036</v>
      </c>
      <c r="N3223" s="74">
        <f t="shared" si="1"/>
        <v>65.60543014</v>
      </c>
      <c r="O3223" s="74" t="b">
        <v>1</v>
      </c>
    </row>
    <row r="3224" hidden="1">
      <c r="A3224" s="82"/>
      <c r="B3224" s="65" t="s">
        <v>411</v>
      </c>
      <c r="C3224" s="65" t="s">
        <v>125</v>
      </c>
      <c r="D3224" s="65" t="str">
        <f>vlookup(C3224,'Classificação p pessoal'!F:G,2,false)</f>
        <v>MProduto</v>
      </c>
      <c r="E3224" s="65" t="s">
        <v>2219</v>
      </c>
      <c r="F3224" s="83">
        <v>0.3958333333333333</v>
      </c>
      <c r="G3224" s="83">
        <v>0.4375</v>
      </c>
      <c r="H3224" s="83">
        <v>0.041666666666666664</v>
      </c>
      <c r="I3224" s="84">
        <v>44333.0</v>
      </c>
      <c r="J3224" s="65" t="b">
        <v>1</v>
      </c>
      <c r="K3224" s="65"/>
      <c r="L3224" s="85" t="b">
        <f>IF(VLOOKUP(C3224,Projetos!A:L,12,false)=TRUE,TRUE,FALSE)</f>
        <v>1</v>
      </c>
      <c r="M3224" s="74">
        <v>52.48434411075036</v>
      </c>
      <c r="N3224" s="74">
        <f t="shared" si="1"/>
        <v>52.48434411</v>
      </c>
      <c r="O3224" s="74" t="b">
        <v>1</v>
      </c>
    </row>
    <row r="3225" hidden="1">
      <c r="A3225" s="82"/>
      <c r="B3225" s="65" t="s">
        <v>411</v>
      </c>
      <c r="C3225" s="65" t="s">
        <v>130</v>
      </c>
      <c r="D3225" s="65" t="str">
        <f>vlookup(C3225,'Classificação p pessoal'!F:G,2,false)</f>
        <v>NP</v>
      </c>
      <c r="E3225" s="65" t="s">
        <v>2220</v>
      </c>
      <c r="F3225" s="83">
        <v>0.4375</v>
      </c>
      <c r="G3225" s="83">
        <v>0.4791666666666667</v>
      </c>
      <c r="H3225" s="83">
        <v>0.041666666666666664</v>
      </c>
      <c r="I3225" s="84">
        <v>44333.0</v>
      </c>
      <c r="J3225" s="65" t="b">
        <v>1</v>
      </c>
      <c r="K3225" s="65"/>
      <c r="L3225" s="85" t="b">
        <f>IF(VLOOKUP(C3225,Projetos!A:L,12,false)=TRUE,TRUE,FALSE)</f>
        <v>1</v>
      </c>
      <c r="M3225" s="74">
        <v>52.48434411075036</v>
      </c>
      <c r="N3225" s="74">
        <f t="shared" si="1"/>
        <v>52.48434411</v>
      </c>
      <c r="O3225" s="74" t="b">
        <v>1</v>
      </c>
    </row>
    <row r="3226" hidden="1">
      <c r="A3226" s="82"/>
      <c r="B3226" s="65" t="s">
        <v>411</v>
      </c>
      <c r="C3226" s="65" t="s">
        <v>92</v>
      </c>
      <c r="D3226" s="65" t="str">
        <f>vlookup(C3226,'Classificação p pessoal'!F:G,2,false)</f>
        <v/>
      </c>
      <c r="E3226" s="65" t="s">
        <v>2221</v>
      </c>
      <c r="F3226" s="83">
        <v>0.4791666666666667</v>
      </c>
      <c r="G3226" s="83">
        <v>0.5208333333333334</v>
      </c>
      <c r="H3226" s="83">
        <v>0.041666666666666664</v>
      </c>
      <c r="I3226" s="84">
        <v>44333.0</v>
      </c>
      <c r="J3226" s="65" t="b">
        <v>1</v>
      </c>
      <c r="K3226" s="65"/>
      <c r="L3226" s="85" t="b">
        <f>IF(VLOOKUP(C3226,Projetos!A:L,12,false)=TRUE,TRUE,FALSE)</f>
        <v>1</v>
      </c>
      <c r="M3226" s="74">
        <v>52.48434411075036</v>
      </c>
      <c r="N3226" s="74">
        <f t="shared" si="1"/>
        <v>52.48434411</v>
      </c>
      <c r="O3226" s="74" t="b">
        <v>1</v>
      </c>
    </row>
    <row r="3227" hidden="1">
      <c r="A3227" s="82"/>
      <c r="B3227" s="65" t="s">
        <v>411</v>
      </c>
      <c r="C3227" s="65" t="s">
        <v>117</v>
      </c>
      <c r="D3227" s="65" t="str">
        <f>vlookup(C3227,'Classificação p pessoal'!F:G,2,false)</f>
        <v>NP</v>
      </c>
      <c r="E3227" s="65" t="s">
        <v>2222</v>
      </c>
      <c r="F3227" s="83">
        <v>0.5625</v>
      </c>
      <c r="G3227" s="83">
        <v>0.875</v>
      </c>
      <c r="H3227" s="83">
        <v>0.3125</v>
      </c>
      <c r="I3227" s="84">
        <v>44333.0</v>
      </c>
      <c r="J3227" s="65" t="b">
        <v>1</v>
      </c>
      <c r="K3227" s="65"/>
      <c r="L3227" s="85" t="b">
        <f>IF(VLOOKUP(C3227,Projetos!A:L,12,false)=TRUE,TRUE,FALSE)</f>
        <v>1</v>
      </c>
      <c r="M3227" s="74">
        <v>52.48434411075036</v>
      </c>
      <c r="N3227" s="74">
        <f t="shared" si="1"/>
        <v>393.6325808</v>
      </c>
      <c r="O3227" s="74" t="b">
        <v>1</v>
      </c>
    </row>
    <row r="3228" hidden="1">
      <c r="A3228" s="82"/>
      <c r="B3228" s="65" t="s">
        <v>411</v>
      </c>
      <c r="C3228" s="65" t="s">
        <v>117</v>
      </c>
      <c r="D3228" s="65" t="str">
        <f>vlookup(C3228,'Classificação p pessoal'!F:G,2,false)</f>
        <v>NP</v>
      </c>
      <c r="E3228" s="65" t="s">
        <v>2223</v>
      </c>
      <c r="F3228" s="83">
        <v>0.34375</v>
      </c>
      <c r="G3228" s="83">
        <v>0.5416666666666666</v>
      </c>
      <c r="H3228" s="83">
        <v>0.19791666666666666</v>
      </c>
      <c r="I3228" s="84">
        <v>44334.0</v>
      </c>
      <c r="J3228" s="65" t="b">
        <v>1</v>
      </c>
      <c r="K3228" s="65"/>
      <c r="L3228" s="85" t="b">
        <f>IF(VLOOKUP(C3228,Projetos!A:L,12,false)=TRUE,TRUE,FALSE)</f>
        <v>1</v>
      </c>
      <c r="M3228" s="74">
        <v>52.48434411075036</v>
      </c>
      <c r="N3228" s="74">
        <f t="shared" si="1"/>
        <v>249.3006345</v>
      </c>
      <c r="O3228" s="74" t="b">
        <v>1</v>
      </c>
    </row>
    <row r="3229" hidden="1">
      <c r="A3229" s="82"/>
      <c r="B3229" s="65" t="s">
        <v>411</v>
      </c>
      <c r="C3229" s="65" t="s">
        <v>117</v>
      </c>
      <c r="D3229" s="65" t="str">
        <f>vlookup(C3229,'Classificação p pessoal'!F:G,2,false)</f>
        <v>NP</v>
      </c>
      <c r="E3229" s="65" t="s">
        <v>2223</v>
      </c>
      <c r="F3229" s="83">
        <v>0.5833333333333334</v>
      </c>
      <c r="G3229" s="83">
        <v>0.75</v>
      </c>
      <c r="H3229" s="83">
        <v>0.16666666666666666</v>
      </c>
      <c r="I3229" s="84">
        <v>44334.0</v>
      </c>
      <c r="J3229" s="65" t="b">
        <v>1</v>
      </c>
      <c r="K3229" s="65"/>
      <c r="L3229" s="85" t="b">
        <f>IF(VLOOKUP(C3229,Projetos!A:L,12,false)=TRUE,TRUE,FALSE)</f>
        <v>1</v>
      </c>
      <c r="M3229" s="74">
        <v>52.48434411075036</v>
      </c>
      <c r="N3229" s="74">
        <f t="shared" si="1"/>
        <v>209.9373764</v>
      </c>
      <c r="O3229" s="74" t="b">
        <v>1</v>
      </c>
    </row>
    <row r="3230" hidden="1">
      <c r="A3230" s="82"/>
      <c r="B3230" s="65" t="s">
        <v>411</v>
      </c>
      <c r="C3230" s="65" t="s">
        <v>117</v>
      </c>
      <c r="D3230" s="65" t="str">
        <f>vlookup(C3230,'Classificação p pessoal'!F:G,2,false)</f>
        <v>NP</v>
      </c>
      <c r="E3230" s="65" t="s">
        <v>2223</v>
      </c>
      <c r="F3230" s="83">
        <v>0.34375</v>
      </c>
      <c r="G3230" s="83">
        <v>0.5416666666666666</v>
      </c>
      <c r="H3230" s="83">
        <v>0.19791666666666666</v>
      </c>
      <c r="I3230" s="84">
        <v>44335.0</v>
      </c>
      <c r="J3230" s="65" t="b">
        <v>1</v>
      </c>
      <c r="K3230" s="65"/>
      <c r="L3230" s="85" t="b">
        <f>IF(VLOOKUP(C3230,Projetos!A:L,12,false)=TRUE,TRUE,FALSE)</f>
        <v>1</v>
      </c>
      <c r="M3230" s="74">
        <v>52.48434411075036</v>
      </c>
      <c r="N3230" s="74">
        <f t="shared" si="1"/>
        <v>249.3006345</v>
      </c>
      <c r="O3230" s="74" t="b">
        <v>1</v>
      </c>
    </row>
    <row r="3231" hidden="1">
      <c r="A3231" s="82"/>
      <c r="B3231" s="65" t="s">
        <v>411</v>
      </c>
      <c r="C3231" s="65" t="s">
        <v>117</v>
      </c>
      <c r="D3231" s="65" t="str">
        <f>vlookup(C3231,'Classificação p pessoal'!F:G,2,false)</f>
        <v>NP</v>
      </c>
      <c r="E3231" s="65" t="s">
        <v>2224</v>
      </c>
      <c r="F3231" s="83">
        <v>0.5833333333333334</v>
      </c>
      <c r="G3231" s="83">
        <v>0.9652777777777778</v>
      </c>
      <c r="H3231" s="83">
        <v>0.3819444444444444</v>
      </c>
      <c r="I3231" s="84">
        <v>44335.0</v>
      </c>
      <c r="J3231" s="65" t="b">
        <v>1</v>
      </c>
      <c r="K3231" s="65"/>
      <c r="L3231" s="85" t="b">
        <f>IF(VLOOKUP(C3231,Projetos!A:L,12,false)=TRUE,TRUE,FALSE)</f>
        <v>1</v>
      </c>
      <c r="M3231" s="74">
        <v>52.48434411075036</v>
      </c>
      <c r="N3231" s="74">
        <f t="shared" si="1"/>
        <v>481.1064877</v>
      </c>
      <c r="O3231" s="74" t="b">
        <v>1</v>
      </c>
    </row>
    <row r="3232" hidden="1">
      <c r="A3232" s="82"/>
      <c r="B3232" s="65" t="s">
        <v>495</v>
      </c>
      <c r="C3232" s="65" t="s">
        <v>92</v>
      </c>
      <c r="D3232" s="65" t="str">
        <f>vlookup(C3232,'Classificação p pessoal'!F:G,2,false)</f>
        <v/>
      </c>
      <c r="E3232" s="65" t="s">
        <v>2225</v>
      </c>
      <c r="F3232" s="83">
        <v>0.6111111111111112</v>
      </c>
      <c r="G3232" s="83">
        <v>0.625</v>
      </c>
      <c r="H3232" s="83">
        <v>0.013888888888888888</v>
      </c>
      <c r="I3232" s="84">
        <v>44311.0</v>
      </c>
      <c r="J3232" s="65" t="b">
        <v>1</v>
      </c>
      <c r="K3232" s="65"/>
      <c r="L3232" s="85" t="b">
        <f>IF(VLOOKUP(C3232,Projetos!A:L,12,false)=TRUE,TRUE,FALSE)</f>
        <v>1</v>
      </c>
      <c r="M3232" s="74">
        <v>73.7079846079846</v>
      </c>
      <c r="N3232" s="74">
        <f t="shared" si="1"/>
        <v>24.5693282</v>
      </c>
      <c r="O3232" s="74" t="b">
        <v>1</v>
      </c>
    </row>
    <row r="3233" hidden="1">
      <c r="A3233" s="82"/>
      <c r="B3233" s="65" t="s">
        <v>411</v>
      </c>
      <c r="C3233" s="65" t="s">
        <v>117</v>
      </c>
      <c r="D3233" s="65" t="str">
        <f>vlookup(C3233,'Classificação p pessoal'!F:G,2,false)</f>
        <v>NP</v>
      </c>
      <c r="E3233" s="65" t="s">
        <v>1826</v>
      </c>
      <c r="F3233" s="83">
        <v>0.46875</v>
      </c>
      <c r="G3233" s="83">
        <v>0.5625</v>
      </c>
      <c r="H3233" s="83">
        <v>0.09375</v>
      </c>
      <c r="I3233" s="84">
        <v>44336.0</v>
      </c>
      <c r="J3233" s="65" t="b">
        <v>1</v>
      </c>
      <c r="K3233" s="65"/>
      <c r="L3233" s="85" t="b">
        <f>IF(VLOOKUP(C3233,Projetos!A:L,12,false)=TRUE,TRUE,FALSE)</f>
        <v>1</v>
      </c>
      <c r="M3233" s="74">
        <v>52.48434411075036</v>
      </c>
      <c r="N3233" s="74">
        <f t="shared" si="1"/>
        <v>118.0897742</v>
      </c>
      <c r="O3233" s="74" t="b">
        <v>1</v>
      </c>
    </row>
    <row r="3234" hidden="1">
      <c r="A3234" s="82"/>
      <c r="B3234" s="65" t="s">
        <v>411</v>
      </c>
      <c r="C3234" s="65" t="s">
        <v>100</v>
      </c>
      <c r="D3234" s="65"/>
      <c r="E3234" s="65" t="s">
        <v>2226</v>
      </c>
      <c r="F3234" s="83">
        <v>0.6458333333333334</v>
      </c>
      <c r="G3234" s="83">
        <v>0.7083333333333334</v>
      </c>
      <c r="H3234" s="83">
        <v>0.0625</v>
      </c>
      <c r="I3234" s="84">
        <v>44336.0</v>
      </c>
      <c r="J3234" s="65" t="b">
        <v>0</v>
      </c>
      <c r="K3234" s="65" t="s">
        <v>150</v>
      </c>
      <c r="L3234" s="85" t="b">
        <f>IF(VLOOKUP(C3234,Projetos!A:L,12,false)=TRUE,TRUE,FALSE)</f>
        <v>1</v>
      </c>
      <c r="M3234" s="74">
        <v>52.48434411075036</v>
      </c>
      <c r="N3234" s="74">
        <f t="shared" si="1"/>
        <v>0</v>
      </c>
      <c r="O3234" s="74" t="b">
        <v>1</v>
      </c>
    </row>
    <row r="3235" hidden="1">
      <c r="A3235" s="82"/>
      <c r="B3235" s="65" t="s">
        <v>411</v>
      </c>
      <c r="C3235" s="65" t="s">
        <v>132</v>
      </c>
      <c r="D3235" s="65"/>
      <c r="E3235" s="65" t="s">
        <v>2227</v>
      </c>
      <c r="F3235" s="83">
        <v>0.7083333333333334</v>
      </c>
      <c r="G3235" s="83">
        <v>0.75</v>
      </c>
      <c r="H3235" s="83">
        <v>0.041666666666666664</v>
      </c>
      <c r="I3235" s="84">
        <v>44336.0</v>
      </c>
      <c r="J3235" s="65" t="b">
        <v>1</v>
      </c>
      <c r="K3235" s="65"/>
      <c r="L3235" s="85" t="b">
        <f>IF(VLOOKUP(C3235,Projetos!A:L,12,false)=TRUE,TRUE,FALSE)</f>
        <v>0</v>
      </c>
      <c r="M3235" s="74">
        <v>52.48434411075036</v>
      </c>
      <c r="N3235" s="74">
        <f t="shared" si="1"/>
        <v>0</v>
      </c>
      <c r="O3235" s="74" t="b">
        <v>0</v>
      </c>
    </row>
    <row r="3236" hidden="1">
      <c r="A3236" s="82"/>
      <c r="B3236" s="65" t="s">
        <v>411</v>
      </c>
      <c r="C3236" s="65" t="s">
        <v>117</v>
      </c>
      <c r="D3236" s="65"/>
      <c r="E3236" s="65" t="s">
        <v>2228</v>
      </c>
      <c r="F3236" s="83">
        <v>0.34375</v>
      </c>
      <c r="G3236" s="83">
        <v>0.5</v>
      </c>
      <c r="H3236" s="83">
        <v>0.15625</v>
      </c>
      <c r="I3236" s="84">
        <v>44337.0</v>
      </c>
      <c r="J3236" s="65" t="b">
        <v>0</v>
      </c>
      <c r="K3236" s="65" t="s">
        <v>150</v>
      </c>
      <c r="L3236" s="85" t="b">
        <f>IF(VLOOKUP(C3236,Projetos!A:L,12,false)=TRUE,TRUE,FALSE)</f>
        <v>1</v>
      </c>
      <c r="M3236" s="74">
        <v>52.48434411075036</v>
      </c>
      <c r="N3236" s="74">
        <f t="shared" si="1"/>
        <v>0</v>
      </c>
      <c r="O3236" s="74" t="b">
        <v>1</v>
      </c>
    </row>
    <row r="3237" hidden="1">
      <c r="A3237" s="82"/>
      <c r="B3237" s="65" t="s">
        <v>411</v>
      </c>
      <c r="C3237" s="65" t="s">
        <v>132</v>
      </c>
      <c r="D3237" s="65"/>
      <c r="E3237" s="65" t="s">
        <v>2213</v>
      </c>
      <c r="F3237" s="83">
        <v>0.5</v>
      </c>
      <c r="G3237" s="83">
        <v>0.5208333333333334</v>
      </c>
      <c r="H3237" s="83">
        <v>0.020833333333333332</v>
      </c>
      <c r="I3237" s="84">
        <v>44337.0</v>
      </c>
      <c r="J3237" s="65" t="b">
        <v>1</v>
      </c>
      <c r="K3237" s="65"/>
      <c r="L3237" s="85" t="b">
        <f>IF(VLOOKUP(C3237,Projetos!A:L,12,false)=TRUE,TRUE,FALSE)</f>
        <v>0</v>
      </c>
      <c r="M3237" s="74">
        <v>52.48434411075036</v>
      </c>
      <c r="N3237" s="74">
        <f t="shared" si="1"/>
        <v>0</v>
      </c>
      <c r="O3237" s="74" t="b">
        <v>0</v>
      </c>
    </row>
    <row r="3238" hidden="1">
      <c r="A3238" s="82"/>
      <c r="B3238" s="65" t="s">
        <v>411</v>
      </c>
      <c r="C3238" s="65" t="s">
        <v>132</v>
      </c>
      <c r="D3238" s="65"/>
      <c r="E3238" s="65" t="s">
        <v>2229</v>
      </c>
      <c r="F3238" s="83">
        <v>0.625</v>
      </c>
      <c r="G3238" s="83">
        <v>0.6666666666666666</v>
      </c>
      <c r="H3238" s="83">
        <v>0.041666666666666664</v>
      </c>
      <c r="I3238" s="84">
        <v>44337.0</v>
      </c>
      <c r="J3238" s="65" t="b">
        <v>0</v>
      </c>
      <c r="K3238" s="65" t="s">
        <v>150</v>
      </c>
      <c r="L3238" s="85" t="b">
        <f>IF(VLOOKUP(C3238,Projetos!A:L,12,false)=TRUE,TRUE,FALSE)</f>
        <v>0</v>
      </c>
      <c r="M3238" s="74">
        <v>52.48434411075036</v>
      </c>
      <c r="N3238" s="74">
        <f t="shared" si="1"/>
        <v>0</v>
      </c>
      <c r="O3238" s="74" t="b">
        <v>0</v>
      </c>
    </row>
    <row r="3239" hidden="1">
      <c r="A3239" s="82"/>
      <c r="B3239" s="65" t="s">
        <v>411</v>
      </c>
      <c r="C3239" s="65" t="s">
        <v>119</v>
      </c>
      <c r="D3239" s="65" t="str">
        <f>vlookup(C3239,'Classificação p pessoal'!F:G,2,false)</f>
        <v>NP</v>
      </c>
      <c r="E3239" s="65" t="s">
        <v>2230</v>
      </c>
      <c r="F3239" s="83">
        <v>0.6666666666666666</v>
      </c>
      <c r="G3239" s="83">
        <v>0.7291666666666666</v>
      </c>
      <c r="H3239" s="83">
        <v>0.0625</v>
      </c>
      <c r="I3239" s="84">
        <v>44337.0</v>
      </c>
      <c r="J3239" s="65" t="b">
        <v>1</v>
      </c>
      <c r="K3239" s="65"/>
      <c r="L3239" s="85" t="b">
        <f>IF(VLOOKUP(C3239,Projetos!A:L,12,false)=TRUE,TRUE,FALSE)</f>
        <v>1</v>
      </c>
      <c r="M3239" s="74">
        <v>52.48434411075036</v>
      </c>
      <c r="N3239" s="74">
        <f t="shared" si="1"/>
        <v>78.72651617</v>
      </c>
      <c r="O3239" s="74" t="b">
        <v>1</v>
      </c>
    </row>
    <row r="3240" hidden="1">
      <c r="A3240" s="82"/>
      <c r="B3240" s="65" t="s">
        <v>411</v>
      </c>
      <c r="C3240" s="65" t="s">
        <v>117</v>
      </c>
      <c r="D3240" s="65" t="str">
        <f>vlookup(C3240,'Classificação p pessoal'!F:G,2,false)</f>
        <v>NP</v>
      </c>
      <c r="E3240" s="65" t="s">
        <v>2231</v>
      </c>
      <c r="F3240" s="83">
        <v>0.34375</v>
      </c>
      <c r="G3240" s="83">
        <v>0.6041666666666666</v>
      </c>
      <c r="H3240" s="83">
        <v>0.2604166666666667</v>
      </c>
      <c r="I3240" s="84">
        <v>44340.0</v>
      </c>
      <c r="J3240" s="65" t="b">
        <v>1</v>
      </c>
      <c r="K3240" s="65"/>
      <c r="L3240" s="85" t="b">
        <f>IF(VLOOKUP(C3240,Projetos!A:L,12,false)=TRUE,TRUE,FALSE)</f>
        <v>1</v>
      </c>
      <c r="M3240" s="74">
        <v>52.48434411075036</v>
      </c>
      <c r="N3240" s="74">
        <f t="shared" si="1"/>
        <v>328.0271507</v>
      </c>
      <c r="O3240" s="74" t="b">
        <v>1</v>
      </c>
    </row>
    <row r="3241" hidden="1">
      <c r="A3241" s="82"/>
      <c r="B3241" s="65" t="s">
        <v>411</v>
      </c>
      <c r="C3241" s="65" t="s">
        <v>117</v>
      </c>
      <c r="D3241" s="65"/>
      <c r="E3241" s="65" t="s">
        <v>2232</v>
      </c>
      <c r="F3241" s="83">
        <v>0.34375</v>
      </c>
      <c r="G3241" s="83">
        <v>0.4270833333333333</v>
      </c>
      <c r="H3241" s="83">
        <v>0.08333333333333333</v>
      </c>
      <c r="I3241" s="84">
        <v>44341.0</v>
      </c>
      <c r="J3241" s="65" t="b">
        <v>0</v>
      </c>
      <c r="K3241" s="65" t="s">
        <v>150</v>
      </c>
      <c r="L3241" s="85" t="b">
        <f>IF(VLOOKUP(C3241,Projetos!A:L,12,false)=TRUE,TRUE,FALSE)</f>
        <v>1</v>
      </c>
      <c r="M3241" s="74">
        <v>52.48434411075036</v>
      </c>
      <c r="N3241" s="74">
        <f t="shared" si="1"/>
        <v>0</v>
      </c>
      <c r="O3241" s="74" t="b">
        <v>1</v>
      </c>
    </row>
    <row r="3242" hidden="1">
      <c r="A3242" s="82"/>
      <c r="B3242" s="65" t="s">
        <v>495</v>
      </c>
      <c r="C3242" s="65" t="s">
        <v>92</v>
      </c>
      <c r="D3242" s="65" t="str">
        <f>vlookup(C3242,'Classificação p pessoal'!F:G,2,false)</f>
        <v/>
      </c>
      <c r="E3242" s="65" t="s">
        <v>2233</v>
      </c>
      <c r="F3242" s="83">
        <v>0.7291666666666666</v>
      </c>
      <c r="G3242" s="83">
        <v>0.75</v>
      </c>
      <c r="H3242" s="83">
        <v>0.020833333333333332</v>
      </c>
      <c r="I3242" s="84">
        <v>44347.0</v>
      </c>
      <c r="J3242" s="65" t="b">
        <v>1</v>
      </c>
      <c r="K3242" s="65"/>
      <c r="L3242" s="85" t="b">
        <f>IF(VLOOKUP(C3242,Projetos!A:L,12,false)=TRUE,TRUE,FALSE)</f>
        <v>1</v>
      </c>
      <c r="M3242" s="74">
        <v>73.7079846079846</v>
      </c>
      <c r="N3242" s="74">
        <f t="shared" si="1"/>
        <v>36.8539923</v>
      </c>
      <c r="O3242" s="74" t="b">
        <v>1</v>
      </c>
    </row>
    <row r="3243" hidden="1">
      <c r="A3243" s="82"/>
      <c r="B3243" s="65" t="s">
        <v>411</v>
      </c>
      <c r="C3243" s="65" t="s">
        <v>92</v>
      </c>
      <c r="D3243" s="65" t="str">
        <f>vlookup(C3243,'Classificação p pessoal'!F:G,2,false)</f>
        <v/>
      </c>
      <c r="E3243" s="65" t="s">
        <v>2234</v>
      </c>
      <c r="F3243" s="83">
        <v>0.4791666666666667</v>
      </c>
      <c r="G3243" s="83">
        <v>0.5416666666666666</v>
      </c>
      <c r="H3243" s="83">
        <v>0.0625</v>
      </c>
      <c r="I3243" s="84">
        <v>44341.0</v>
      </c>
      <c r="J3243" s="65" t="b">
        <v>1</v>
      </c>
      <c r="K3243" s="65"/>
      <c r="L3243" s="85" t="b">
        <f>IF(VLOOKUP(C3243,Projetos!A:L,12,false)=TRUE,TRUE,FALSE)</f>
        <v>1</v>
      </c>
      <c r="M3243" s="74">
        <v>52.48434411075036</v>
      </c>
      <c r="N3243" s="74">
        <f t="shared" si="1"/>
        <v>78.72651617</v>
      </c>
      <c r="O3243" s="74" t="b">
        <v>1</v>
      </c>
    </row>
    <row r="3244" hidden="1">
      <c r="A3244" s="82"/>
      <c r="B3244" s="65" t="s">
        <v>411</v>
      </c>
      <c r="C3244" s="65" t="s">
        <v>85</v>
      </c>
      <c r="D3244" s="65" t="str">
        <f>vlookup(C3244,'Classificação p pessoal'!F:G,2,false)</f>
        <v>NP</v>
      </c>
      <c r="E3244" s="65" t="s">
        <v>2175</v>
      </c>
      <c r="F3244" s="83">
        <v>0.5833333333333334</v>
      </c>
      <c r="G3244" s="83">
        <v>0.625</v>
      </c>
      <c r="H3244" s="83">
        <v>0.041666666666666664</v>
      </c>
      <c r="I3244" s="84">
        <v>44341.0</v>
      </c>
      <c r="J3244" s="65" t="b">
        <v>1</v>
      </c>
      <c r="K3244" s="65"/>
      <c r="L3244" s="85" t="b">
        <f>IF(VLOOKUP(C3244,Projetos!A:L,12,false)=TRUE,TRUE,FALSE)</f>
        <v>1</v>
      </c>
      <c r="M3244" s="74">
        <v>52.48434411075036</v>
      </c>
      <c r="N3244" s="74">
        <f t="shared" si="1"/>
        <v>52.48434411</v>
      </c>
      <c r="O3244" s="74" t="b">
        <v>1</v>
      </c>
    </row>
    <row r="3245" hidden="1">
      <c r="A3245" s="82"/>
      <c r="B3245" s="65" t="s">
        <v>411</v>
      </c>
      <c r="C3245" s="65" t="s">
        <v>117</v>
      </c>
      <c r="D3245" s="65" t="str">
        <f>vlookup(C3245,'Classificação p pessoal'!F:G,2,false)</f>
        <v>NP</v>
      </c>
      <c r="E3245" s="65" t="s">
        <v>2235</v>
      </c>
      <c r="F3245" s="83">
        <v>0.625</v>
      </c>
      <c r="G3245" s="83">
        <v>0.75</v>
      </c>
      <c r="H3245" s="83">
        <v>0.125</v>
      </c>
      <c r="I3245" s="84">
        <v>44341.0</v>
      </c>
      <c r="J3245" s="65" t="b">
        <v>1</v>
      </c>
      <c r="K3245" s="65"/>
      <c r="L3245" s="85" t="b">
        <f>IF(VLOOKUP(C3245,Projetos!A:L,12,false)=TRUE,TRUE,FALSE)</f>
        <v>1</v>
      </c>
      <c r="M3245" s="74">
        <v>52.48434411075036</v>
      </c>
      <c r="N3245" s="74">
        <f t="shared" si="1"/>
        <v>157.4530323</v>
      </c>
      <c r="O3245" s="74" t="b">
        <v>1</v>
      </c>
    </row>
    <row r="3246" hidden="1">
      <c r="A3246" s="82"/>
      <c r="B3246" s="65" t="s">
        <v>411</v>
      </c>
      <c r="C3246" s="65" t="s">
        <v>92</v>
      </c>
      <c r="D3246" s="65" t="str">
        <f>vlookup(C3246,'Classificação p pessoal'!F:G,2,false)</f>
        <v/>
      </c>
      <c r="E3246" s="65" t="s">
        <v>2236</v>
      </c>
      <c r="F3246" s="83">
        <v>0.34375</v>
      </c>
      <c r="G3246" s="83">
        <v>0.4375</v>
      </c>
      <c r="H3246" s="83">
        <v>0.09375</v>
      </c>
      <c r="I3246" s="84">
        <v>44342.0</v>
      </c>
      <c r="J3246" s="65" t="b">
        <v>1</v>
      </c>
      <c r="K3246" s="65"/>
      <c r="L3246" s="85" t="b">
        <f>IF(VLOOKUP(C3246,Projetos!A:L,12,false)=TRUE,TRUE,FALSE)</f>
        <v>1</v>
      </c>
      <c r="M3246" s="74">
        <v>52.48434411075036</v>
      </c>
      <c r="N3246" s="74">
        <f t="shared" si="1"/>
        <v>118.0897742</v>
      </c>
      <c r="O3246" s="74" t="b">
        <v>1</v>
      </c>
    </row>
    <row r="3247" hidden="1">
      <c r="A3247" s="82"/>
      <c r="B3247" s="65" t="s">
        <v>469</v>
      </c>
      <c r="C3247" s="65" t="s">
        <v>118</v>
      </c>
      <c r="D3247" s="65"/>
      <c r="E3247" s="65" t="s">
        <v>2237</v>
      </c>
      <c r="F3247" s="83">
        <v>0.6458333333333334</v>
      </c>
      <c r="G3247" s="83">
        <v>0.7361111111111112</v>
      </c>
      <c r="H3247" s="83">
        <v>0.09027777777777778</v>
      </c>
      <c r="I3247" s="84">
        <v>44278.0</v>
      </c>
      <c r="J3247" s="65" t="b">
        <v>0</v>
      </c>
      <c r="K3247" s="65" t="s">
        <v>150</v>
      </c>
      <c r="L3247" s="85" t="b">
        <f>IF(VLOOKUP(C3247,Projetos!A:L,12,false)=TRUE,TRUE,FALSE)</f>
        <v>1</v>
      </c>
      <c r="M3247" s="74">
        <v>37.50928062469937</v>
      </c>
      <c r="N3247" s="74">
        <f t="shared" si="1"/>
        <v>0</v>
      </c>
      <c r="O3247" s="74" t="b">
        <v>1</v>
      </c>
    </row>
    <row r="3248" hidden="1">
      <c r="A3248" s="82"/>
      <c r="B3248" s="65" t="s">
        <v>411</v>
      </c>
      <c r="C3248" s="65" t="s">
        <v>119</v>
      </c>
      <c r="D3248" s="65" t="str">
        <f>vlookup(C3248,'Classificação p pessoal'!F:G,2,false)</f>
        <v>NP</v>
      </c>
      <c r="E3248" s="65" t="s">
        <v>2238</v>
      </c>
      <c r="F3248" s="83">
        <v>0.5</v>
      </c>
      <c r="G3248" s="83">
        <v>0.5625</v>
      </c>
      <c r="H3248" s="83">
        <v>0.0625</v>
      </c>
      <c r="I3248" s="84">
        <v>44342.0</v>
      </c>
      <c r="J3248" s="65" t="b">
        <v>1</v>
      </c>
      <c r="K3248" s="65"/>
      <c r="L3248" s="85" t="b">
        <f>IF(VLOOKUP(C3248,Projetos!A:L,12,false)=TRUE,TRUE,FALSE)</f>
        <v>1</v>
      </c>
      <c r="M3248" s="74">
        <v>52.48434411075036</v>
      </c>
      <c r="N3248" s="74">
        <f t="shared" si="1"/>
        <v>78.72651617</v>
      </c>
      <c r="O3248" s="74" t="b">
        <v>1</v>
      </c>
    </row>
    <row r="3249" hidden="1">
      <c r="A3249" s="82"/>
      <c r="B3249" s="65" t="s">
        <v>411</v>
      </c>
      <c r="C3249" s="65" t="s">
        <v>88</v>
      </c>
      <c r="D3249" s="65"/>
      <c r="E3249" s="65" t="s">
        <v>2239</v>
      </c>
      <c r="F3249" s="83">
        <v>0.5833333333333334</v>
      </c>
      <c r="G3249" s="83">
        <v>0.6458333333333334</v>
      </c>
      <c r="H3249" s="83">
        <v>0.0625</v>
      </c>
      <c r="I3249" s="84">
        <v>44342.0</v>
      </c>
      <c r="J3249" s="65" t="b">
        <v>0</v>
      </c>
      <c r="K3249" s="65" t="s">
        <v>150</v>
      </c>
      <c r="L3249" s="85" t="b">
        <f>IF(VLOOKUP(C3249,Projetos!A:L,12,false)=TRUE,TRUE,FALSE)</f>
        <v>1</v>
      </c>
      <c r="M3249" s="74">
        <v>52.48434411075036</v>
      </c>
      <c r="N3249" s="74">
        <f t="shared" si="1"/>
        <v>0</v>
      </c>
      <c r="O3249" s="74" t="b">
        <v>1</v>
      </c>
    </row>
    <row r="3250" hidden="1">
      <c r="A3250" s="82"/>
      <c r="B3250" s="65" t="s">
        <v>411</v>
      </c>
      <c r="C3250" s="65" t="s">
        <v>117</v>
      </c>
      <c r="D3250" s="65" t="str">
        <f>vlookup(C3250,'Classificação p pessoal'!F:G,2,false)</f>
        <v>NP</v>
      </c>
      <c r="E3250" s="65" t="s">
        <v>2240</v>
      </c>
      <c r="F3250" s="83">
        <v>0.6458333333333334</v>
      </c>
      <c r="G3250" s="83">
        <v>0.7083333333333334</v>
      </c>
      <c r="H3250" s="83">
        <v>0.0625</v>
      </c>
      <c r="I3250" s="84">
        <v>44342.0</v>
      </c>
      <c r="J3250" s="65" t="b">
        <v>1</v>
      </c>
      <c r="K3250" s="65"/>
      <c r="L3250" s="85" t="b">
        <f>IF(VLOOKUP(C3250,Projetos!A:L,12,false)=TRUE,TRUE,FALSE)</f>
        <v>1</v>
      </c>
      <c r="M3250" s="74">
        <v>52.48434411075036</v>
      </c>
      <c r="N3250" s="74">
        <f t="shared" si="1"/>
        <v>78.72651617</v>
      </c>
      <c r="O3250" s="74" t="b">
        <v>1</v>
      </c>
    </row>
    <row r="3251" hidden="1">
      <c r="A3251" s="82"/>
      <c r="B3251" s="65" t="s">
        <v>411</v>
      </c>
      <c r="C3251" s="65" t="s">
        <v>117</v>
      </c>
      <c r="D3251" s="65" t="str">
        <f>vlookup(C3251,'Classificação p pessoal'!F:G,2,false)</f>
        <v>NP</v>
      </c>
      <c r="E3251" s="65" t="s">
        <v>2241</v>
      </c>
      <c r="F3251" s="83">
        <v>0.34375</v>
      </c>
      <c r="G3251" s="83">
        <v>0.375</v>
      </c>
      <c r="H3251" s="83">
        <v>0.03125</v>
      </c>
      <c r="I3251" s="84">
        <v>44343.0</v>
      </c>
      <c r="J3251" s="65" t="b">
        <v>1</v>
      </c>
      <c r="K3251" s="65"/>
      <c r="L3251" s="85" t="b">
        <f>IF(VLOOKUP(C3251,Projetos!A:L,12,false)=TRUE,TRUE,FALSE)</f>
        <v>1</v>
      </c>
      <c r="M3251" s="74">
        <v>52.48434411075036</v>
      </c>
      <c r="N3251" s="74">
        <f t="shared" si="1"/>
        <v>39.36325808</v>
      </c>
      <c r="O3251" s="74" t="b">
        <v>1</v>
      </c>
    </row>
    <row r="3252" hidden="1">
      <c r="A3252" s="82"/>
      <c r="B3252" s="65" t="s">
        <v>411</v>
      </c>
      <c r="C3252" s="65" t="s">
        <v>92</v>
      </c>
      <c r="D3252" s="65" t="str">
        <f>vlookup(C3252,'Classificação p pessoal'!F:G,2,false)</f>
        <v/>
      </c>
      <c r="E3252" s="65" t="s">
        <v>2242</v>
      </c>
      <c r="F3252" s="83">
        <v>0.4583333333333333</v>
      </c>
      <c r="G3252" s="83">
        <v>0.5</v>
      </c>
      <c r="H3252" s="83">
        <v>0.041666666666666664</v>
      </c>
      <c r="I3252" s="84">
        <v>44343.0</v>
      </c>
      <c r="J3252" s="65" t="b">
        <v>1</v>
      </c>
      <c r="K3252" s="65"/>
      <c r="L3252" s="85" t="b">
        <f>IF(VLOOKUP(C3252,Projetos!A:L,12,false)=TRUE,TRUE,FALSE)</f>
        <v>1</v>
      </c>
      <c r="M3252" s="74">
        <v>52.48434411075036</v>
      </c>
      <c r="N3252" s="74">
        <f t="shared" si="1"/>
        <v>52.48434411</v>
      </c>
      <c r="O3252" s="74" t="b">
        <v>1</v>
      </c>
    </row>
    <row r="3253" hidden="1">
      <c r="A3253" s="82"/>
      <c r="B3253" s="65" t="s">
        <v>411</v>
      </c>
      <c r="C3253" s="65" t="s">
        <v>120</v>
      </c>
      <c r="D3253" s="65"/>
      <c r="E3253" s="65" t="s">
        <v>2243</v>
      </c>
      <c r="F3253" s="83">
        <v>0.5416666666666666</v>
      </c>
      <c r="G3253" s="83">
        <v>0.75</v>
      </c>
      <c r="H3253" s="83">
        <v>0.20833333333333334</v>
      </c>
      <c r="I3253" s="84">
        <v>44343.0</v>
      </c>
      <c r="J3253" s="65" t="b">
        <v>0</v>
      </c>
      <c r="K3253" s="65"/>
      <c r="L3253" s="85" t="b">
        <f>IF(VLOOKUP(C3253,Projetos!A:L,12,false)=TRUE,TRUE,FALSE)</f>
        <v>0</v>
      </c>
      <c r="M3253" s="74">
        <v>52.48434411075036</v>
      </c>
      <c r="N3253" s="74">
        <f t="shared" si="1"/>
        <v>0</v>
      </c>
      <c r="O3253" s="74" t="b">
        <v>0</v>
      </c>
    </row>
    <row r="3254" hidden="1">
      <c r="A3254" s="82"/>
      <c r="B3254" s="65" t="s">
        <v>411</v>
      </c>
      <c r="C3254" s="65" t="s">
        <v>92</v>
      </c>
      <c r="D3254" s="65" t="str">
        <f>vlookup(C3254,'Classificação p pessoal'!F:G,2,false)</f>
        <v/>
      </c>
      <c r="E3254" s="65" t="s">
        <v>2244</v>
      </c>
      <c r="F3254" s="83">
        <v>0.34375</v>
      </c>
      <c r="G3254" s="83">
        <v>0.375</v>
      </c>
      <c r="H3254" s="83">
        <v>0.03125</v>
      </c>
      <c r="I3254" s="84">
        <v>44344.0</v>
      </c>
      <c r="J3254" s="65" t="b">
        <v>1</v>
      </c>
      <c r="K3254" s="65"/>
      <c r="L3254" s="85" t="b">
        <f>IF(VLOOKUP(C3254,Projetos!A:L,12,false)=TRUE,TRUE,FALSE)</f>
        <v>1</v>
      </c>
      <c r="M3254" s="74">
        <v>52.48434411075036</v>
      </c>
      <c r="N3254" s="74">
        <f t="shared" si="1"/>
        <v>39.36325808</v>
      </c>
      <c r="O3254" s="74" t="b">
        <v>1</v>
      </c>
    </row>
    <row r="3255" hidden="1">
      <c r="A3255" s="82"/>
      <c r="B3255" s="65" t="s">
        <v>411</v>
      </c>
      <c r="C3255" s="65" t="s">
        <v>125</v>
      </c>
      <c r="D3255" s="65" t="str">
        <f>vlookup(C3255,'Classificação p pessoal'!F:G,2,false)</f>
        <v>MProduto</v>
      </c>
      <c r="E3255" s="65" t="s">
        <v>2245</v>
      </c>
      <c r="F3255" s="83">
        <v>0.375</v>
      </c>
      <c r="G3255" s="83">
        <v>0.4375</v>
      </c>
      <c r="H3255" s="83">
        <v>0.0625</v>
      </c>
      <c r="I3255" s="84">
        <v>44344.0</v>
      </c>
      <c r="J3255" s="65" t="b">
        <v>1</v>
      </c>
      <c r="K3255" s="65"/>
      <c r="L3255" s="85" t="b">
        <f>IF(VLOOKUP(C3255,Projetos!A:L,12,false)=TRUE,TRUE,FALSE)</f>
        <v>1</v>
      </c>
      <c r="M3255" s="74">
        <v>52.48434411075036</v>
      </c>
      <c r="N3255" s="74">
        <f t="shared" si="1"/>
        <v>78.72651617</v>
      </c>
      <c r="O3255" s="74" t="b">
        <v>1</v>
      </c>
    </row>
    <row r="3256" hidden="1">
      <c r="A3256" s="82"/>
      <c r="B3256" s="65" t="s">
        <v>411</v>
      </c>
      <c r="C3256" s="65" t="s">
        <v>100</v>
      </c>
      <c r="D3256" s="65"/>
      <c r="E3256" s="65" t="s">
        <v>2246</v>
      </c>
      <c r="F3256" s="83">
        <v>0.4375</v>
      </c>
      <c r="G3256" s="83">
        <v>0.5416666666666666</v>
      </c>
      <c r="H3256" s="83">
        <v>0.10416666666666667</v>
      </c>
      <c r="I3256" s="84">
        <v>44344.0</v>
      </c>
      <c r="J3256" s="65" t="b">
        <v>0</v>
      </c>
      <c r="K3256" s="65" t="s">
        <v>150</v>
      </c>
      <c r="L3256" s="85" t="b">
        <f>IF(VLOOKUP(C3256,Projetos!A:L,12,false)=TRUE,TRUE,FALSE)</f>
        <v>1</v>
      </c>
      <c r="M3256" s="74">
        <v>52.48434411075036</v>
      </c>
      <c r="N3256" s="74">
        <f t="shared" si="1"/>
        <v>0</v>
      </c>
      <c r="O3256" s="74" t="b">
        <v>1</v>
      </c>
    </row>
    <row r="3257" hidden="1">
      <c r="A3257" s="82"/>
      <c r="B3257" s="65" t="s">
        <v>411</v>
      </c>
      <c r="C3257" s="65" t="s">
        <v>117</v>
      </c>
      <c r="D3257" s="65" t="str">
        <f>vlookup(C3257,'Classificação p pessoal'!F:G,2,false)</f>
        <v>NP</v>
      </c>
      <c r="E3257" s="65" t="s">
        <v>2247</v>
      </c>
      <c r="F3257" s="83">
        <v>0.5833333333333334</v>
      </c>
      <c r="G3257" s="83">
        <v>0.7083333333333334</v>
      </c>
      <c r="H3257" s="83">
        <v>0.125</v>
      </c>
      <c r="I3257" s="84">
        <v>44344.0</v>
      </c>
      <c r="J3257" s="65" t="b">
        <v>1</v>
      </c>
      <c r="K3257" s="65"/>
      <c r="L3257" s="85" t="b">
        <f>IF(VLOOKUP(C3257,Projetos!A:L,12,false)=TRUE,TRUE,FALSE)</f>
        <v>1</v>
      </c>
      <c r="M3257" s="74">
        <v>52.48434411075036</v>
      </c>
      <c r="N3257" s="74">
        <f t="shared" si="1"/>
        <v>157.4530323</v>
      </c>
      <c r="O3257" s="74" t="b">
        <v>1</v>
      </c>
    </row>
    <row r="3258" hidden="1">
      <c r="A3258" s="82"/>
      <c r="B3258" s="65" t="s">
        <v>411</v>
      </c>
      <c r="C3258" s="65" t="s">
        <v>120</v>
      </c>
      <c r="D3258" s="65"/>
      <c r="E3258" s="65" t="s">
        <v>2248</v>
      </c>
      <c r="F3258" s="83">
        <v>0.7083333333333334</v>
      </c>
      <c r="G3258" s="83">
        <v>0.75</v>
      </c>
      <c r="H3258" s="83">
        <v>0.041666666666666664</v>
      </c>
      <c r="I3258" s="84">
        <v>44344.0</v>
      </c>
      <c r="J3258" s="65" t="b">
        <v>0</v>
      </c>
      <c r="K3258" s="65" t="s">
        <v>150</v>
      </c>
      <c r="L3258" s="85" t="b">
        <f>IF(VLOOKUP(C3258,Projetos!A:L,12,false)=TRUE,TRUE,FALSE)</f>
        <v>0</v>
      </c>
      <c r="M3258" s="74">
        <v>52.48434411075036</v>
      </c>
      <c r="N3258" s="74">
        <f t="shared" si="1"/>
        <v>0</v>
      </c>
      <c r="O3258" s="74" t="b">
        <v>0</v>
      </c>
    </row>
    <row r="3259" hidden="1">
      <c r="A3259" s="82"/>
      <c r="B3259" s="65" t="s">
        <v>411</v>
      </c>
      <c r="C3259" s="65" t="s">
        <v>92</v>
      </c>
      <c r="D3259" s="65" t="str">
        <f>vlookup(C3259,'Classificação p pessoal'!F:G,2,false)</f>
        <v/>
      </c>
      <c r="E3259" s="65" t="s">
        <v>2234</v>
      </c>
      <c r="F3259" s="83">
        <v>0.34375</v>
      </c>
      <c r="G3259" s="83">
        <v>0.4270833333333333</v>
      </c>
      <c r="H3259" s="83">
        <v>0.08333333333333333</v>
      </c>
      <c r="I3259" s="84">
        <v>44347.0</v>
      </c>
      <c r="J3259" s="65" t="b">
        <v>1</v>
      </c>
      <c r="K3259" s="65"/>
      <c r="L3259" s="85" t="b">
        <f>IF(VLOOKUP(C3259,Projetos!A:L,12,false)=TRUE,TRUE,FALSE)</f>
        <v>1</v>
      </c>
      <c r="M3259" s="74">
        <v>52.48434411075036</v>
      </c>
      <c r="N3259" s="74">
        <f t="shared" si="1"/>
        <v>104.9686882</v>
      </c>
      <c r="O3259" s="74" t="b">
        <v>1</v>
      </c>
    </row>
    <row r="3260" hidden="1">
      <c r="A3260" s="82"/>
      <c r="B3260" s="65" t="s">
        <v>411</v>
      </c>
      <c r="C3260" s="65" t="s">
        <v>119</v>
      </c>
      <c r="D3260" s="65"/>
      <c r="E3260" s="65" t="s">
        <v>2249</v>
      </c>
      <c r="F3260" s="83">
        <v>0.5833333333333334</v>
      </c>
      <c r="G3260" s="83">
        <v>0.6041666666666666</v>
      </c>
      <c r="H3260" s="83">
        <v>0.020833333333333332</v>
      </c>
      <c r="I3260" s="84">
        <v>44256.0</v>
      </c>
      <c r="J3260" s="65" t="b">
        <v>0</v>
      </c>
      <c r="K3260" s="65" t="s">
        <v>150</v>
      </c>
      <c r="L3260" s="85" t="b">
        <f>IF(VLOOKUP(C3260,Projetos!A:L,12,false)=TRUE,TRUE,FALSE)</f>
        <v>1</v>
      </c>
      <c r="M3260" s="74">
        <v>52.48434411075036</v>
      </c>
      <c r="N3260" s="74">
        <f t="shared" si="1"/>
        <v>0</v>
      </c>
      <c r="O3260" s="74" t="b">
        <v>1</v>
      </c>
    </row>
    <row r="3261" hidden="1">
      <c r="A3261" s="82"/>
      <c r="B3261" s="65" t="s">
        <v>411</v>
      </c>
      <c r="C3261" s="65" t="s">
        <v>117</v>
      </c>
      <c r="D3261" s="65" t="str">
        <f>vlookup(C3261,'Classificação p pessoal'!F:G,2,false)</f>
        <v>NP</v>
      </c>
      <c r="E3261" s="65" t="s">
        <v>2247</v>
      </c>
      <c r="F3261" s="83">
        <v>0.4583333333333333</v>
      </c>
      <c r="G3261" s="83">
        <v>0.5</v>
      </c>
      <c r="H3261" s="83">
        <v>0.041666666666666664</v>
      </c>
      <c r="I3261" s="84">
        <v>44347.0</v>
      </c>
      <c r="J3261" s="65" t="b">
        <v>1</v>
      </c>
      <c r="K3261" s="65"/>
      <c r="L3261" s="85" t="b">
        <f>IF(VLOOKUP(C3261,Projetos!A:L,12,false)=TRUE,TRUE,FALSE)</f>
        <v>1</v>
      </c>
      <c r="M3261" s="74">
        <v>52.48434411075036</v>
      </c>
      <c r="N3261" s="74">
        <f t="shared" si="1"/>
        <v>52.48434411</v>
      </c>
      <c r="O3261" s="74" t="b">
        <v>1</v>
      </c>
    </row>
    <row r="3262" hidden="1">
      <c r="A3262" s="82"/>
      <c r="B3262" s="65" t="s">
        <v>411</v>
      </c>
      <c r="C3262" s="65" t="s">
        <v>132</v>
      </c>
      <c r="D3262" s="65"/>
      <c r="E3262" s="65" t="s">
        <v>2250</v>
      </c>
      <c r="F3262" s="83">
        <v>0.5</v>
      </c>
      <c r="G3262" s="83">
        <v>0.5625</v>
      </c>
      <c r="H3262" s="83">
        <v>0.0625</v>
      </c>
      <c r="I3262" s="84">
        <v>44347.0</v>
      </c>
      <c r="J3262" s="65" t="b">
        <v>1</v>
      </c>
      <c r="K3262" s="65"/>
      <c r="L3262" s="85" t="b">
        <f>IF(VLOOKUP(C3262,Projetos!A:L,12,false)=TRUE,TRUE,FALSE)</f>
        <v>0</v>
      </c>
      <c r="M3262" s="74">
        <v>52.48434411075036</v>
      </c>
      <c r="N3262" s="74">
        <f t="shared" si="1"/>
        <v>0</v>
      </c>
      <c r="O3262" s="74" t="b">
        <v>0</v>
      </c>
    </row>
    <row r="3263" hidden="1">
      <c r="A3263" s="82"/>
      <c r="B3263" s="65" t="s">
        <v>411</v>
      </c>
      <c r="C3263" s="65" t="s">
        <v>117</v>
      </c>
      <c r="D3263" s="65" t="str">
        <f>vlookup(C3263,'Classificação p pessoal'!F:G,2,false)</f>
        <v>NP</v>
      </c>
      <c r="E3263" s="65" t="s">
        <v>2251</v>
      </c>
      <c r="F3263" s="83">
        <v>0.6041666666666666</v>
      </c>
      <c r="G3263" s="83">
        <v>0.875</v>
      </c>
      <c r="H3263" s="83">
        <v>0.2708333333333333</v>
      </c>
      <c r="I3263" s="84">
        <v>44347.0</v>
      </c>
      <c r="J3263" s="65" t="b">
        <v>1</v>
      </c>
      <c r="K3263" s="65"/>
      <c r="L3263" s="85" t="b">
        <f>IF(VLOOKUP(C3263,Projetos!A:L,12,false)=TRUE,TRUE,FALSE)</f>
        <v>1</v>
      </c>
      <c r="M3263" s="74">
        <v>52.48434411075036</v>
      </c>
      <c r="N3263" s="74">
        <f t="shared" si="1"/>
        <v>341.1482367</v>
      </c>
      <c r="O3263" s="74" t="b">
        <v>1</v>
      </c>
    </row>
    <row r="3264" hidden="1">
      <c r="A3264" s="82"/>
      <c r="B3264" s="65" t="s">
        <v>411</v>
      </c>
      <c r="C3264" s="65" t="s">
        <v>117</v>
      </c>
      <c r="D3264" s="65" t="str">
        <f>vlookup(C3264,'Classificação p pessoal'!F:G,2,false)</f>
        <v>NP</v>
      </c>
      <c r="E3264" s="65" t="s">
        <v>2223</v>
      </c>
      <c r="F3264" s="83">
        <v>0.3333333333333333</v>
      </c>
      <c r="G3264" s="83">
        <v>0.5416666666666666</v>
      </c>
      <c r="H3264" s="83">
        <v>0.20833333333333334</v>
      </c>
      <c r="I3264" s="84">
        <v>44348.0</v>
      </c>
      <c r="J3264" s="65" t="b">
        <v>1</v>
      </c>
      <c r="K3264" s="65"/>
      <c r="L3264" s="85" t="b">
        <f>IF(VLOOKUP(C3264,Projetos!A:L,12,false)=TRUE,TRUE,FALSE)</f>
        <v>1</v>
      </c>
      <c r="M3264" s="74">
        <v>52.48434411075036</v>
      </c>
      <c r="N3264" s="74">
        <f t="shared" si="1"/>
        <v>262.4217206</v>
      </c>
      <c r="O3264" s="74" t="b">
        <v>1</v>
      </c>
    </row>
    <row r="3265" hidden="1">
      <c r="A3265" s="82"/>
      <c r="B3265" s="65" t="s">
        <v>411</v>
      </c>
      <c r="C3265" s="65" t="s">
        <v>117</v>
      </c>
      <c r="D3265" s="65" t="str">
        <f>vlookup(C3265,'Classificação p pessoal'!F:G,2,false)</f>
        <v>NP</v>
      </c>
      <c r="E3265" s="65" t="s">
        <v>2224</v>
      </c>
      <c r="F3265" s="83">
        <v>0.5833333333333334</v>
      </c>
      <c r="G3265" s="83">
        <v>0.8333333333333334</v>
      </c>
      <c r="H3265" s="83">
        <v>0.25</v>
      </c>
      <c r="I3265" s="84">
        <v>44348.0</v>
      </c>
      <c r="J3265" s="65" t="b">
        <v>1</v>
      </c>
      <c r="K3265" s="65"/>
      <c r="L3265" s="85" t="b">
        <f>IF(VLOOKUP(C3265,Projetos!A:L,12,false)=TRUE,TRUE,FALSE)</f>
        <v>1</v>
      </c>
      <c r="M3265" s="74">
        <v>52.48434411075036</v>
      </c>
      <c r="N3265" s="74">
        <f t="shared" si="1"/>
        <v>314.9060647</v>
      </c>
      <c r="O3265" s="74" t="b">
        <v>1</v>
      </c>
    </row>
    <row r="3266" hidden="1">
      <c r="A3266" s="82"/>
      <c r="B3266" s="65" t="s">
        <v>411</v>
      </c>
      <c r="C3266" s="65" t="s">
        <v>117</v>
      </c>
      <c r="D3266" s="65" t="str">
        <f>vlookup(C3266,'Classificação p pessoal'!F:G,2,false)</f>
        <v>NP</v>
      </c>
      <c r="E3266" s="65" t="s">
        <v>1944</v>
      </c>
      <c r="F3266" s="83">
        <v>0.34375</v>
      </c>
      <c r="G3266" s="83">
        <v>0.3958333333333333</v>
      </c>
      <c r="H3266" s="83">
        <v>0.052083333333333336</v>
      </c>
      <c r="I3266" s="84">
        <v>44349.0</v>
      </c>
      <c r="J3266" s="65" t="b">
        <v>1</v>
      </c>
      <c r="K3266" s="65"/>
      <c r="L3266" s="85" t="b">
        <f>IF(VLOOKUP(C3266,Projetos!A:L,12,false)=TRUE,TRUE,FALSE)</f>
        <v>1</v>
      </c>
      <c r="M3266" s="74">
        <v>52.48434411075036</v>
      </c>
      <c r="N3266" s="74">
        <f t="shared" si="1"/>
        <v>65.60543014</v>
      </c>
      <c r="O3266" s="74" t="b">
        <v>1</v>
      </c>
    </row>
    <row r="3267">
      <c r="A3267" s="82"/>
      <c r="B3267" s="65" t="s">
        <v>411</v>
      </c>
      <c r="C3267" s="65" t="s">
        <v>108</v>
      </c>
      <c r="D3267" s="65" t="str">
        <f>vlookup(C3267,'Classificação p pessoal'!F:G,2,false)</f>
        <v>NP</v>
      </c>
      <c r="E3267" s="65" t="s">
        <v>2252</v>
      </c>
      <c r="F3267" s="83">
        <v>0.3958333333333333</v>
      </c>
      <c r="G3267" s="83">
        <v>0.4166666666666667</v>
      </c>
      <c r="H3267" s="83">
        <v>0.020833333333333332</v>
      </c>
      <c r="I3267" s="84">
        <v>44349.0</v>
      </c>
      <c r="J3267" s="65" t="b">
        <v>1</v>
      </c>
      <c r="K3267" s="65"/>
      <c r="L3267" s="85" t="b">
        <f>IF(VLOOKUP(C3267,Projetos!A:L,12,false)=TRUE,TRUE,FALSE)</f>
        <v>1</v>
      </c>
      <c r="M3267" s="74">
        <v>52.48434411075036</v>
      </c>
      <c r="N3267" s="74">
        <f t="shared" si="1"/>
        <v>26.24217206</v>
      </c>
      <c r="O3267" s="74" t="b">
        <v>1</v>
      </c>
    </row>
    <row r="3268" hidden="1">
      <c r="A3268" s="82"/>
      <c r="B3268" s="65" t="s">
        <v>177</v>
      </c>
      <c r="C3268" s="65" t="s">
        <v>101</v>
      </c>
      <c r="D3268" s="65" t="str">
        <f>vlookup(C3268,'Classificação p pessoal'!F:G,2,false)</f>
        <v>NP</v>
      </c>
      <c r="E3268" s="65" t="s">
        <v>2253</v>
      </c>
      <c r="F3268" s="83">
        <v>0.5833333333333334</v>
      </c>
      <c r="G3268" s="83">
        <v>0.6458333333333334</v>
      </c>
      <c r="H3268" s="83">
        <v>0.0625</v>
      </c>
      <c r="I3268" s="84">
        <v>44538.0</v>
      </c>
      <c r="J3268" s="65" t="b">
        <v>1</v>
      </c>
      <c r="K3268" s="65"/>
      <c r="L3268" s="85" t="b">
        <f>IF(VLOOKUP(C3268,Projetos!A:L,12,false)=TRUE,TRUE,FALSE)</f>
        <v>1</v>
      </c>
      <c r="M3268" s="74">
        <v>31.02923620430495</v>
      </c>
      <c r="N3268" s="74">
        <f t="shared" si="1"/>
        <v>46.54385431</v>
      </c>
      <c r="O3268" s="74" t="b">
        <v>1</v>
      </c>
    </row>
    <row r="3269">
      <c r="A3269" s="82"/>
      <c r="B3269" s="65" t="s">
        <v>411</v>
      </c>
      <c r="C3269" s="65" t="s">
        <v>108</v>
      </c>
      <c r="D3269" s="65" t="str">
        <f>vlookup(C3269,'Classificação p pessoal'!F:G,2,false)</f>
        <v>NP</v>
      </c>
      <c r="E3269" s="65" t="s">
        <v>2254</v>
      </c>
      <c r="F3269" s="83">
        <v>0.6875</v>
      </c>
      <c r="G3269" s="83">
        <v>0.75</v>
      </c>
      <c r="H3269" s="83">
        <v>0.0625</v>
      </c>
      <c r="I3269" s="84">
        <v>44349.0</v>
      </c>
      <c r="J3269" s="65" t="b">
        <v>1</v>
      </c>
      <c r="K3269" s="65"/>
      <c r="L3269" s="85" t="b">
        <f>IF(VLOOKUP(C3269,Projetos!A:L,12,false)=TRUE,TRUE,FALSE)</f>
        <v>1</v>
      </c>
      <c r="M3269" s="74">
        <v>52.48434411075036</v>
      </c>
      <c r="N3269" s="74">
        <f t="shared" si="1"/>
        <v>78.72651617</v>
      </c>
      <c r="O3269" s="74" t="b">
        <v>1</v>
      </c>
    </row>
    <row r="3270" hidden="1">
      <c r="A3270" s="82"/>
      <c r="B3270" s="65" t="s">
        <v>411</v>
      </c>
      <c r="C3270" s="65" t="s">
        <v>92</v>
      </c>
      <c r="D3270" s="65" t="str">
        <f>vlookup(C3270,'Classificação p pessoal'!F:G,2,false)</f>
        <v/>
      </c>
      <c r="E3270" s="65" t="s">
        <v>2221</v>
      </c>
      <c r="F3270" s="83">
        <v>0.34375</v>
      </c>
      <c r="G3270" s="83">
        <v>0.3541666666666667</v>
      </c>
      <c r="H3270" s="83">
        <v>0.010416666666666666</v>
      </c>
      <c r="I3270" s="84">
        <v>44355.0</v>
      </c>
      <c r="J3270" s="65" t="b">
        <v>1</v>
      </c>
      <c r="K3270" s="65"/>
      <c r="L3270" s="85" t="b">
        <f>IF(VLOOKUP(C3270,Projetos!A:L,12,false)=TRUE,TRUE,FALSE)</f>
        <v>1</v>
      </c>
      <c r="M3270" s="74">
        <v>52.48434411075036</v>
      </c>
      <c r="N3270" s="74">
        <f t="shared" si="1"/>
        <v>13.12108603</v>
      </c>
      <c r="O3270" s="74" t="b">
        <v>1</v>
      </c>
    </row>
    <row r="3271" hidden="1">
      <c r="A3271" s="82"/>
      <c r="B3271" s="65" t="s">
        <v>411</v>
      </c>
      <c r="C3271" s="65" t="s">
        <v>120</v>
      </c>
      <c r="D3271" s="65"/>
      <c r="E3271" s="65" t="s">
        <v>2255</v>
      </c>
      <c r="F3271" s="83">
        <v>0.3541666666666667</v>
      </c>
      <c r="G3271" s="83">
        <v>0.4166666666666667</v>
      </c>
      <c r="H3271" s="83">
        <v>0.0625</v>
      </c>
      <c r="I3271" s="84">
        <v>44355.0</v>
      </c>
      <c r="J3271" s="65" t="b">
        <v>0</v>
      </c>
      <c r="K3271" s="65"/>
      <c r="L3271" s="85" t="b">
        <f>IF(VLOOKUP(C3271,Projetos!A:L,12,false)=TRUE,TRUE,FALSE)</f>
        <v>0</v>
      </c>
      <c r="M3271" s="74">
        <v>52.48434411075036</v>
      </c>
      <c r="N3271" s="74">
        <f t="shared" si="1"/>
        <v>0</v>
      </c>
      <c r="O3271" s="74" t="b">
        <v>0</v>
      </c>
    </row>
    <row r="3272" hidden="1">
      <c r="A3272" s="82"/>
      <c r="B3272" s="65" t="s">
        <v>411</v>
      </c>
      <c r="C3272" s="65" t="s">
        <v>92</v>
      </c>
      <c r="D3272" s="65" t="str">
        <f>vlookup(C3272,'Classificação p pessoal'!F:G,2,false)</f>
        <v/>
      </c>
      <c r="E3272" s="65" t="s">
        <v>434</v>
      </c>
      <c r="F3272" s="83">
        <v>0.4166666666666667</v>
      </c>
      <c r="G3272" s="83">
        <v>0.4583333333333333</v>
      </c>
      <c r="H3272" s="83">
        <v>0.041666666666666664</v>
      </c>
      <c r="I3272" s="84">
        <v>44355.0</v>
      </c>
      <c r="J3272" s="65" t="b">
        <v>1</v>
      </c>
      <c r="K3272" s="65"/>
      <c r="L3272" s="85" t="b">
        <f>IF(VLOOKUP(C3272,Projetos!A:L,12,false)=TRUE,TRUE,FALSE)</f>
        <v>1</v>
      </c>
      <c r="M3272" s="74">
        <v>52.48434411075036</v>
      </c>
      <c r="N3272" s="74">
        <f t="shared" si="1"/>
        <v>52.48434411</v>
      </c>
      <c r="O3272" s="74" t="b">
        <v>1</v>
      </c>
    </row>
    <row r="3273" hidden="1">
      <c r="A3273" s="82"/>
      <c r="B3273" s="65" t="s">
        <v>411</v>
      </c>
      <c r="C3273" s="65" t="s">
        <v>125</v>
      </c>
      <c r="D3273" s="65" t="str">
        <f>vlookup(C3273,'Classificação p pessoal'!F:G,2,false)</f>
        <v>MProduto</v>
      </c>
      <c r="E3273" s="65" t="s">
        <v>1944</v>
      </c>
      <c r="F3273" s="83">
        <v>0.4583333333333333</v>
      </c>
      <c r="G3273" s="83">
        <v>0.4791666666666667</v>
      </c>
      <c r="H3273" s="83">
        <v>0.020833333333333332</v>
      </c>
      <c r="I3273" s="84">
        <v>44355.0</v>
      </c>
      <c r="J3273" s="65" t="b">
        <v>1</v>
      </c>
      <c r="K3273" s="65"/>
      <c r="L3273" s="85" t="b">
        <f>IF(VLOOKUP(C3273,Projetos!A:L,12,false)=TRUE,TRUE,FALSE)</f>
        <v>1</v>
      </c>
      <c r="M3273" s="74">
        <v>52.48434411075036</v>
      </c>
      <c r="N3273" s="74">
        <f t="shared" si="1"/>
        <v>26.24217206</v>
      </c>
      <c r="O3273" s="74" t="b">
        <v>1</v>
      </c>
    </row>
    <row r="3274" hidden="1">
      <c r="A3274" s="82"/>
      <c r="B3274" s="65" t="s">
        <v>411</v>
      </c>
      <c r="C3274" s="65" t="s">
        <v>92</v>
      </c>
      <c r="D3274" s="65" t="str">
        <f>vlookup(C3274,'Classificação p pessoal'!F:G,2,false)</f>
        <v/>
      </c>
      <c r="E3274" s="65" t="s">
        <v>2234</v>
      </c>
      <c r="F3274" s="83">
        <v>0.4791666666666667</v>
      </c>
      <c r="G3274" s="83">
        <v>0.5416666666666666</v>
      </c>
      <c r="H3274" s="83">
        <v>0.0625</v>
      </c>
      <c r="I3274" s="84">
        <v>44355.0</v>
      </c>
      <c r="J3274" s="65" t="b">
        <v>1</v>
      </c>
      <c r="K3274" s="65"/>
      <c r="L3274" s="85" t="b">
        <f>IF(VLOOKUP(C3274,Projetos!A:L,12,false)=TRUE,TRUE,FALSE)</f>
        <v>1</v>
      </c>
      <c r="M3274" s="74">
        <v>52.48434411075036</v>
      </c>
      <c r="N3274" s="74">
        <f t="shared" si="1"/>
        <v>78.72651617</v>
      </c>
      <c r="O3274" s="74" t="b">
        <v>1</v>
      </c>
    </row>
    <row r="3275" hidden="1">
      <c r="A3275" s="82"/>
      <c r="B3275" s="65" t="s">
        <v>411</v>
      </c>
      <c r="C3275" s="65" t="s">
        <v>120</v>
      </c>
      <c r="D3275" s="65"/>
      <c r="E3275" s="65" t="s">
        <v>2255</v>
      </c>
      <c r="F3275" s="83">
        <v>0.5833333333333334</v>
      </c>
      <c r="G3275" s="83">
        <v>0.75</v>
      </c>
      <c r="H3275" s="83">
        <v>0.16666666666666666</v>
      </c>
      <c r="I3275" s="84">
        <v>44355.0</v>
      </c>
      <c r="J3275" s="65" t="b">
        <v>0</v>
      </c>
      <c r="K3275" s="65"/>
      <c r="L3275" s="85" t="b">
        <f>IF(VLOOKUP(C3275,Projetos!A:L,12,false)=TRUE,TRUE,FALSE)</f>
        <v>0</v>
      </c>
      <c r="M3275" s="74">
        <v>52.48434411075036</v>
      </c>
      <c r="N3275" s="74">
        <f t="shared" si="1"/>
        <v>0</v>
      </c>
      <c r="O3275" s="74" t="b">
        <v>0</v>
      </c>
    </row>
    <row r="3276" hidden="1">
      <c r="A3276" s="82"/>
      <c r="B3276" s="65" t="s">
        <v>411</v>
      </c>
      <c r="C3276" s="65" t="s">
        <v>125</v>
      </c>
      <c r="D3276" s="65"/>
      <c r="E3276" s="65" t="s">
        <v>2256</v>
      </c>
      <c r="F3276" s="83">
        <v>0.5520833333333334</v>
      </c>
      <c r="G3276" s="83">
        <v>0.5729166666666666</v>
      </c>
      <c r="H3276" s="83">
        <v>0.020833333333333332</v>
      </c>
      <c r="I3276" s="84">
        <v>44356.0</v>
      </c>
      <c r="J3276" s="65" t="b">
        <v>0</v>
      </c>
      <c r="K3276" s="65" t="s">
        <v>150</v>
      </c>
      <c r="L3276" s="85" t="b">
        <f>IF(VLOOKUP(C3276,Projetos!A:L,12,false)=TRUE,TRUE,FALSE)</f>
        <v>1</v>
      </c>
      <c r="M3276" s="74">
        <v>52.48434411075036</v>
      </c>
      <c r="N3276" s="74">
        <f t="shared" si="1"/>
        <v>0</v>
      </c>
      <c r="O3276" s="74" t="b">
        <v>1</v>
      </c>
    </row>
    <row r="3277" hidden="1">
      <c r="A3277" s="82"/>
      <c r="B3277" s="65" t="s">
        <v>411</v>
      </c>
      <c r="C3277" s="65" t="s">
        <v>120</v>
      </c>
      <c r="D3277" s="65"/>
      <c r="E3277" s="65" t="s">
        <v>2255</v>
      </c>
      <c r="F3277" s="83">
        <v>0.5729166666666666</v>
      </c>
      <c r="G3277" s="83">
        <v>0.6666666666666666</v>
      </c>
      <c r="H3277" s="83">
        <v>0.09375</v>
      </c>
      <c r="I3277" s="84">
        <v>44356.0</v>
      </c>
      <c r="J3277" s="65" t="b">
        <v>0</v>
      </c>
      <c r="K3277" s="65"/>
      <c r="L3277" s="85" t="b">
        <f>IF(VLOOKUP(C3277,Projetos!A:L,12,false)=TRUE,TRUE,FALSE)</f>
        <v>0</v>
      </c>
      <c r="M3277" s="74">
        <v>52.48434411075036</v>
      </c>
      <c r="N3277" s="74">
        <f t="shared" si="1"/>
        <v>0</v>
      </c>
      <c r="O3277" s="74" t="b">
        <v>0</v>
      </c>
    </row>
    <row r="3278" hidden="1">
      <c r="A3278" s="82"/>
      <c r="B3278" s="65" t="s">
        <v>411</v>
      </c>
      <c r="C3278" s="65" t="s">
        <v>92</v>
      </c>
      <c r="D3278" s="65" t="str">
        <f>vlookup(C3278,'Classificação p pessoal'!F:G,2,false)</f>
        <v/>
      </c>
      <c r="E3278" s="65" t="s">
        <v>2257</v>
      </c>
      <c r="F3278" s="83">
        <v>0.6666666666666666</v>
      </c>
      <c r="G3278" s="83">
        <v>0.7083333333333334</v>
      </c>
      <c r="H3278" s="83">
        <v>0.041666666666666664</v>
      </c>
      <c r="I3278" s="84">
        <v>44356.0</v>
      </c>
      <c r="J3278" s="65" t="b">
        <v>1</v>
      </c>
      <c r="K3278" s="65"/>
      <c r="L3278" s="85" t="b">
        <f>IF(VLOOKUP(C3278,Projetos!A:L,12,false)=TRUE,TRUE,FALSE)</f>
        <v>1</v>
      </c>
      <c r="M3278" s="74">
        <v>52.48434411075036</v>
      </c>
      <c r="N3278" s="74">
        <f t="shared" si="1"/>
        <v>52.48434411</v>
      </c>
      <c r="O3278" s="74" t="b">
        <v>1</v>
      </c>
    </row>
    <row r="3279" hidden="1">
      <c r="A3279" s="82"/>
      <c r="B3279" s="65" t="s">
        <v>411</v>
      </c>
      <c r="C3279" s="65" t="s">
        <v>120</v>
      </c>
      <c r="D3279" s="65"/>
      <c r="E3279" s="65" t="s">
        <v>2258</v>
      </c>
      <c r="F3279" s="83">
        <v>0.7083333333333334</v>
      </c>
      <c r="G3279" s="83">
        <v>0.75</v>
      </c>
      <c r="H3279" s="83">
        <v>0.041666666666666664</v>
      </c>
      <c r="I3279" s="84">
        <v>44356.0</v>
      </c>
      <c r="J3279" s="65" t="b">
        <v>0</v>
      </c>
      <c r="K3279" s="65"/>
      <c r="L3279" s="85" t="b">
        <f>IF(VLOOKUP(C3279,Projetos!A:L,12,false)=TRUE,TRUE,FALSE)</f>
        <v>0</v>
      </c>
      <c r="M3279" s="74">
        <v>52.48434411075036</v>
      </c>
      <c r="N3279" s="74">
        <f t="shared" si="1"/>
        <v>0</v>
      </c>
      <c r="O3279" s="74" t="b">
        <v>0</v>
      </c>
    </row>
    <row r="3280" hidden="1">
      <c r="A3280" s="82"/>
      <c r="B3280" s="65" t="s">
        <v>411</v>
      </c>
      <c r="C3280" s="65" t="s">
        <v>92</v>
      </c>
      <c r="D3280" s="65" t="str">
        <f>vlookup(C3280,'Classificação p pessoal'!F:G,2,false)</f>
        <v/>
      </c>
      <c r="E3280" s="65" t="s">
        <v>2259</v>
      </c>
      <c r="F3280" s="83">
        <v>0.75</v>
      </c>
      <c r="G3280" s="83">
        <v>0.7916666666666666</v>
      </c>
      <c r="H3280" s="83">
        <v>0.041666666666666664</v>
      </c>
      <c r="I3280" s="84">
        <v>44356.0</v>
      </c>
      <c r="J3280" s="65" t="b">
        <v>1</v>
      </c>
      <c r="K3280" s="65"/>
      <c r="L3280" s="85" t="b">
        <f>IF(VLOOKUP(C3280,Projetos!A:L,12,false)=TRUE,TRUE,FALSE)</f>
        <v>1</v>
      </c>
      <c r="M3280" s="74">
        <v>52.48434411075036</v>
      </c>
      <c r="N3280" s="74">
        <f t="shared" si="1"/>
        <v>52.48434411</v>
      </c>
      <c r="O3280" s="74" t="b">
        <v>1</v>
      </c>
    </row>
    <row r="3281" hidden="1">
      <c r="A3281" s="82"/>
      <c r="B3281" s="65" t="s">
        <v>411</v>
      </c>
      <c r="C3281" s="65" t="s">
        <v>127</v>
      </c>
      <c r="D3281" s="65" t="str">
        <f>vlookup(C3281,'Classificação p pessoal'!F:G,2,false)</f>
        <v>NP</v>
      </c>
      <c r="E3281" s="65" t="s">
        <v>2260</v>
      </c>
      <c r="F3281" s="83">
        <v>0.7916666666666666</v>
      </c>
      <c r="G3281" s="83">
        <v>0.875</v>
      </c>
      <c r="H3281" s="83">
        <v>0.08333333333333333</v>
      </c>
      <c r="I3281" s="84">
        <v>44356.0</v>
      </c>
      <c r="J3281" s="65" t="b">
        <v>1</v>
      </c>
      <c r="K3281" s="65"/>
      <c r="L3281" s="85" t="b">
        <f>IF(VLOOKUP(C3281,Projetos!A:L,12,false)=TRUE,TRUE,FALSE)</f>
        <v>1</v>
      </c>
      <c r="M3281" s="74">
        <v>52.48434411075036</v>
      </c>
      <c r="N3281" s="74">
        <f t="shared" si="1"/>
        <v>104.9686882</v>
      </c>
      <c r="O3281" s="74" t="b">
        <v>1</v>
      </c>
    </row>
    <row r="3282" hidden="1">
      <c r="A3282" s="82"/>
      <c r="B3282" s="65" t="s">
        <v>411</v>
      </c>
      <c r="C3282" s="65" t="s">
        <v>117</v>
      </c>
      <c r="D3282" s="65" t="str">
        <f>vlookup(C3282,'Classificação p pessoal'!F:G,2,false)</f>
        <v>NP</v>
      </c>
      <c r="E3282" s="65" t="s">
        <v>2261</v>
      </c>
      <c r="F3282" s="83">
        <v>0.875</v>
      </c>
      <c r="G3282" s="83">
        <v>0.9166666666666666</v>
      </c>
      <c r="H3282" s="83">
        <v>0.041666666666666664</v>
      </c>
      <c r="I3282" s="84">
        <v>44356.0</v>
      </c>
      <c r="J3282" s="65" t="b">
        <v>1</v>
      </c>
      <c r="K3282" s="65"/>
      <c r="L3282" s="85" t="b">
        <f>IF(VLOOKUP(C3282,Projetos!A:L,12,false)=TRUE,TRUE,FALSE)</f>
        <v>1</v>
      </c>
      <c r="M3282" s="74">
        <v>52.48434411075036</v>
      </c>
      <c r="N3282" s="74">
        <f t="shared" si="1"/>
        <v>52.48434411</v>
      </c>
      <c r="O3282" s="74" t="b">
        <v>1</v>
      </c>
    </row>
    <row r="3283" hidden="1">
      <c r="A3283" s="82"/>
      <c r="B3283" s="65" t="s">
        <v>411</v>
      </c>
      <c r="C3283" s="65" t="s">
        <v>120</v>
      </c>
      <c r="D3283" s="65"/>
      <c r="E3283" s="65" t="s">
        <v>2258</v>
      </c>
      <c r="F3283" s="83">
        <v>0.375</v>
      </c>
      <c r="G3283" s="83">
        <v>0.4166666666666667</v>
      </c>
      <c r="H3283" s="83">
        <v>0.041666666666666664</v>
      </c>
      <c r="I3283" s="84">
        <v>44357.0</v>
      </c>
      <c r="J3283" s="65" t="b">
        <v>0</v>
      </c>
      <c r="K3283" s="65"/>
      <c r="L3283" s="85" t="b">
        <f>IF(VLOOKUP(C3283,Projetos!A:L,12,false)=TRUE,TRUE,FALSE)</f>
        <v>0</v>
      </c>
      <c r="M3283" s="74">
        <v>52.48434411075036</v>
      </c>
      <c r="N3283" s="74">
        <f t="shared" si="1"/>
        <v>0</v>
      </c>
      <c r="O3283" s="74" t="b">
        <v>0</v>
      </c>
    </row>
    <row r="3284" hidden="1">
      <c r="A3284" s="82"/>
      <c r="B3284" s="65" t="s">
        <v>411</v>
      </c>
      <c r="C3284" s="65" t="s">
        <v>117</v>
      </c>
      <c r="D3284" s="65" t="str">
        <f>vlookup(C3284,'Classificação p pessoal'!F:G,2,false)</f>
        <v>NP</v>
      </c>
      <c r="E3284" s="65" t="s">
        <v>2262</v>
      </c>
      <c r="F3284" s="83">
        <v>0.4166666666666667</v>
      </c>
      <c r="G3284" s="83">
        <v>0.4375</v>
      </c>
      <c r="H3284" s="83">
        <v>0.020833333333333332</v>
      </c>
      <c r="I3284" s="84">
        <v>44357.0</v>
      </c>
      <c r="J3284" s="65" t="b">
        <v>1</v>
      </c>
      <c r="K3284" s="65"/>
      <c r="L3284" s="85" t="b">
        <f>IF(VLOOKUP(C3284,Projetos!A:L,12,false)=TRUE,TRUE,FALSE)</f>
        <v>1</v>
      </c>
      <c r="M3284" s="74">
        <v>52.48434411075036</v>
      </c>
      <c r="N3284" s="74">
        <f t="shared" si="1"/>
        <v>26.24217206</v>
      </c>
      <c r="O3284" s="74" t="b">
        <v>1</v>
      </c>
    </row>
    <row r="3285" hidden="1">
      <c r="A3285" s="82"/>
      <c r="B3285" s="65" t="s">
        <v>411</v>
      </c>
      <c r="C3285" s="65" t="s">
        <v>119</v>
      </c>
      <c r="D3285" s="65" t="str">
        <f>vlookup(C3285,'Classificação p pessoal'!F:G,2,false)</f>
        <v>NP</v>
      </c>
      <c r="E3285" s="65" t="s">
        <v>2263</v>
      </c>
      <c r="F3285" s="83">
        <v>0.4375</v>
      </c>
      <c r="G3285" s="83">
        <v>0.4791666666666667</v>
      </c>
      <c r="H3285" s="83">
        <v>0.041666666666666664</v>
      </c>
      <c r="I3285" s="84">
        <v>44357.0</v>
      </c>
      <c r="J3285" s="65" t="b">
        <v>1</v>
      </c>
      <c r="K3285" s="65"/>
      <c r="L3285" s="85" t="b">
        <f>IF(VLOOKUP(C3285,Projetos!A:L,12,false)=TRUE,TRUE,FALSE)</f>
        <v>1</v>
      </c>
      <c r="M3285" s="74">
        <v>52.48434411075036</v>
      </c>
      <c r="N3285" s="74">
        <f t="shared" si="1"/>
        <v>52.48434411</v>
      </c>
      <c r="O3285" s="74" t="b">
        <v>1</v>
      </c>
    </row>
    <row r="3286" hidden="1">
      <c r="A3286" s="82"/>
      <c r="B3286" s="65" t="s">
        <v>411</v>
      </c>
      <c r="C3286" s="65" t="s">
        <v>120</v>
      </c>
      <c r="D3286" s="65"/>
      <c r="E3286" s="65" t="s">
        <v>2264</v>
      </c>
      <c r="F3286" s="83">
        <v>0.4791666666666667</v>
      </c>
      <c r="G3286" s="83">
        <v>0.5208333333333334</v>
      </c>
      <c r="H3286" s="83">
        <v>0.041666666666666664</v>
      </c>
      <c r="I3286" s="84">
        <v>44357.0</v>
      </c>
      <c r="J3286" s="65" t="b">
        <v>0</v>
      </c>
      <c r="K3286" s="65"/>
      <c r="L3286" s="85" t="b">
        <f>IF(VLOOKUP(C3286,Projetos!A:L,12,false)=TRUE,TRUE,FALSE)</f>
        <v>0</v>
      </c>
      <c r="M3286" s="74">
        <v>52.48434411075036</v>
      </c>
      <c r="N3286" s="74">
        <f t="shared" si="1"/>
        <v>0</v>
      </c>
      <c r="O3286" s="74" t="b">
        <v>0</v>
      </c>
    </row>
    <row r="3287" hidden="1">
      <c r="A3287" s="82"/>
      <c r="B3287" s="65" t="s">
        <v>411</v>
      </c>
      <c r="C3287" s="65" t="s">
        <v>117</v>
      </c>
      <c r="D3287" s="65" t="str">
        <f>vlookup(C3287,'Classificação p pessoal'!F:G,2,false)</f>
        <v>NP</v>
      </c>
      <c r="E3287" s="65" t="s">
        <v>2265</v>
      </c>
      <c r="F3287" s="83">
        <v>0.71875</v>
      </c>
      <c r="G3287" s="83">
        <v>0.75</v>
      </c>
      <c r="H3287" s="83">
        <v>0.03125</v>
      </c>
      <c r="I3287" s="84">
        <v>44357.0</v>
      </c>
      <c r="J3287" s="65" t="b">
        <v>1</v>
      </c>
      <c r="K3287" s="65"/>
      <c r="L3287" s="85" t="b">
        <f>IF(VLOOKUP(C3287,Projetos!A:L,12,false)=TRUE,TRUE,FALSE)</f>
        <v>1</v>
      </c>
      <c r="M3287" s="74">
        <v>52.48434411075036</v>
      </c>
      <c r="N3287" s="74">
        <f t="shared" si="1"/>
        <v>39.36325808</v>
      </c>
      <c r="O3287" s="74" t="b">
        <v>1</v>
      </c>
    </row>
    <row r="3288" hidden="1">
      <c r="A3288" s="82"/>
      <c r="B3288" s="65" t="s">
        <v>411</v>
      </c>
      <c r="C3288" s="65" t="s">
        <v>92</v>
      </c>
      <c r="D3288" s="65" t="str">
        <f>vlookup(C3288,'Classificação p pessoal'!F:G,2,false)</f>
        <v/>
      </c>
      <c r="E3288" s="65" t="s">
        <v>2266</v>
      </c>
      <c r="F3288" s="83">
        <v>0.75</v>
      </c>
      <c r="G3288" s="83">
        <v>0.7916666666666666</v>
      </c>
      <c r="H3288" s="83">
        <v>0.041666666666666664</v>
      </c>
      <c r="I3288" s="84">
        <v>44357.0</v>
      </c>
      <c r="J3288" s="65" t="b">
        <v>1</v>
      </c>
      <c r="K3288" s="65"/>
      <c r="L3288" s="85" t="b">
        <f>IF(VLOOKUP(C3288,Projetos!A:L,12,false)=TRUE,TRUE,FALSE)</f>
        <v>1</v>
      </c>
      <c r="M3288" s="74">
        <v>52.48434411075036</v>
      </c>
      <c r="N3288" s="74">
        <f t="shared" si="1"/>
        <v>52.48434411</v>
      </c>
      <c r="O3288" s="74" t="b">
        <v>1</v>
      </c>
    </row>
    <row r="3289" hidden="1">
      <c r="A3289" s="82"/>
      <c r="B3289" s="65" t="s">
        <v>411</v>
      </c>
      <c r="C3289" s="65" t="s">
        <v>117</v>
      </c>
      <c r="D3289" s="65" t="str">
        <f>vlookup(C3289,'Classificação p pessoal'!F:G,2,false)</f>
        <v>NP</v>
      </c>
      <c r="E3289" s="65" t="s">
        <v>2267</v>
      </c>
      <c r="F3289" s="83">
        <v>0.7916666666666666</v>
      </c>
      <c r="G3289" s="83">
        <v>0.8333333333333334</v>
      </c>
      <c r="H3289" s="83">
        <v>0.041666666666666664</v>
      </c>
      <c r="I3289" s="84">
        <v>44357.0</v>
      </c>
      <c r="J3289" s="65" t="b">
        <v>1</v>
      </c>
      <c r="K3289" s="65"/>
      <c r="L3289" s="85" t="b">
        <f>IF(VLOOKUP(C3289,Projetos!A:L,12,false)=TRUE,TRUE,FALSE)</f>
        <v>1</v>
      </c>
      <c r="M3289" s="74">
        <v>52.48434411075036</v>
      </c>
      <c r="N3289" s="74">
        <f t="shared" si="1"/>
        <v>52.48434411</v>
      </c>
      <c r="O3289" s="74" t="b">
        <v>1</v>
      </c>
    </row>
    <row r="3290" hidden="1">
      <c r="A3290" s="82"/>
      <c r="B3290" s="65" t="s">
        <v>411</v>
      </c>
      <c r="C3290" s="65" t="s">
        <v>92</v>
      </c>
      <c r="D3290" s="65" t="str">
        <f>vlookup(C3290,'Classificação p pessoal'!F:G,2,false)</f>
        <v/>
      </c>
      <c r="E3290" s="65" t="s">
        <v>2268</v>
      </c>
      <c r="F3290" s="83">
        <v>0.8333333333333334</v>
      </c>
      <c r="G3290" s="83">
        <v>0.9166666666666666</v>
      </c>
      <c r="H3290" s="83">
        <v>0.08333333333333333</v>
      </c>
      <c r="I3290" s="84">
        <v>44357.0</v>
      </c>
      <c r="J3290" s="65" t="b">
        <v>1</v>
      </c>
      <c r="K3290" s="65"/>
      <c r="L3290" s="85" t="b">
        <f>IF(VLOOKUP(C3290,Projetos!A:L,12,false)=TRUE,TRUE,FALSE)</f>
        <v>1</v>
      </c>
      <c r="M3290" s="74">
        <v>52.48434411075036</v>
      </c>
      <c r="N3290" s="74">
        <f t="shared" si="1"/>
        <v>104.9686882</v>
      </c>
      <c r="O3290" s="74" t="b">
        <v>1</v>
      </c>
    </row>
    <row r="3291" hidden="1">
      <c r="A3291" s="82"/>
      <c r="B3291" s="65" t="s">
        <v>411</v>
      </c>
      <c r="C3291" s="65" t="s">
        <v>117</v>
      </c>
      <c r="D3291" s="65" t="str">
        <f>vlookup(C3291,'Classificação p pessoal'!F:G,2,false)</f>
        <v>NP</v>
      </c>
      <c r="E3291" s="65" t="s">
        <v>2269</v>
      </c>
      <c r="F3291" s="83">
        <v>0.375</v>
      </c>
      <c r="G3291" s="83">
        <v>0.5625</v>
      </c>
      <c r="H3291" s="83">
        <v>0.1875</v>
      </c>
      <c r="I3291" s="84">
        <v>44358.0</v>
      </c>
      <c r="J3291" s="65" t="b">
        <v>1</v>
      </c>
      <c r="K3291" s="65"/>
      <c r="L3291" s="85" t="b">
        <f>IF(VLOOKUP(C3291,Projetos!A:L,12,false)=TRUE,TRUE,FALSE)</f>
        <v>1</v>
      </c>
      <c r="M3291" s="74">
        <v>52.48434411075036</v>
      </c>
      <c r="N3291" s="74">
        <f t="shared" si="1"/>
        <v>236.1795485</v>
      </c>
      <c r="O3291" s="74" t="b">
        <v>1</v>
      </c>
    </row>
    <row r="3292" hidden="1">
      <c r="A3292" s="82"/>
      <c r="B3292" s="65" t="s">
        <v>411</v>
      </c>
      <c r="C3292" s="65" t="s">
        <v>92</v>
      </c>
      <c r="D3292" s="65" t="str">
        <f>vlookup(C3292,'Classificação p pessoal'!F:G,2,false)</f>
        <v/>
      </c>
      <c r="E3292" s="65" t="s">
        <v>2270</v>
      </c>
      <c r="F3292" s="83">
        <v>0.5625</v>
      </c>
      <c r="G3292" s="83">
        <v>0.5833333333333334</v>
      </c>
      <c r="H3292" s="83">
        <v>0.020833333333333332</v>
      </c>
      <c r="I3292" s="84">
        <v>44358.0</v>
      </c>
      <c r="J3292" s="65" t="b">
        <v>1</v>
      </c>
      <c r="K3292" s="65"/>
      <c r="L3292" s="85" t="b">
        <f>IF(VLOOKUP(C3292,Projetos!A:L,12,false)=TRUE,TRUE,FALSE)</f>
        <v>1</v>
      </c>
      <c r="M3292" s="74">
        <v>52.48434411075036</v>
      </c>
      <c r="N3292" s="74">
        <f t="shared" si="1"/>
        <v>26.24217206</v>
      </c>
      <c r="O3292" s="74" t="b">
        <v>1</v>
      </c>
    </row>
    <row r="3293" hidden="1">
      <c r="A3293" s="82"/>
      <c r="B3293" s="65" t="s">
        <v>411</v>
      </c>
      <c r="C3293" s="65" t="s">
        <v>92</v>
      </c>
      <c r="D3293" s="65" t="str">
        <f>vlookup(C3293,'Classificação p pessoal'!F:G,2,false)</f>
        <v/>
      </c>
      <c r="E3293" s="65" t="s">
        <v>2271</v>
      </c>
      <c r="F3293" s="83">
        <v>0.625</v>
      </c>
      <c r="G3293" s="83">
        <v>0.7083333333333334</v>
      </c>
      <c r="H3293" s="83">
        <v>0.08333333333333333</v>
      </c>
      <c r="I3293" s="84">
        <v>44358.0</v>
      </c>
      <c r="J3293" s="65" t="b">
        <v>1</v>
      </c>
      <c r="K3293" s="65"/>
      <c r="L3293" s="85" t="b">
        <f>IF(VLOOKUP(C3293,Projetos!A:L,12,false)=TRUE,TRUE,FALSE)</f>
        <v>1</v>
      </c>
      <c r="M3293" s="74">
        <v>52.48434411075036</v>
      </c>
      <c r="N3293" s="74">
        <f t="shared" si="1"/>
        <v>104.9686882</v>
      </c>
      <c r="O3293" s="74" t="b">
        <v>1</v>
      </c>
    </row>
    <row r="3294" hidden="1">
      <c r="A3294" s="82"/>
      <c r="B3294" s="65" t="s">
        <v>411</v>
      </c>
      <c r="C3294" s="65" t="s">
        <v>120</v>
      </c>
      <c r="D3294" s="65"/>
      <c r="E3294" s="65" t="s">
        <v>2272</v>
      </c>
      <c r="F3294" s="83">
        <v>0.7083333333333334</v>
      </c>
      <c r="G3294" s="83">
        <v>0.75</v>
      </c>
      <c r="H3294" s="83">
        <v>0.041666666666666664</v>
      </c>
      <c r="I3294" s="84">
        <v>44358.0</v>
      </c>
      <c r="J3294" s="65" t="b">
        <v>0</v>
      </c>
      <c r="K3294" s="65" t="s">
        <v>150</v>
      </c>
      <c r="L3294" s="85" t="b">
        <f>IF(VLOOKUP(C3294,Projetos!A:L,12,false)=TRUE,TRUE,FALSE)</f>
        <v>0</v>
      </c>
      <c r="M3294" s="74">
        <v>52.48434411075036</v>
      </c>
      <c r="N3294" s="74">
        <f t="shared" si="1"/>
        <v>0</v>
      </c>
      <c r="O3294" s="74" t="b">
        <v>0</v>
      </c>
    </row>
    <row r="3295" hidden="1">
      <c r="A3295" s="82"/>
      <c r="B3295" s="65" t="s">
        <v>411</v>
      </c>
      <c r="C3295" s="65" t="s">
        <v>117</v>
      </c>
      <c r="D3295" s="65" t="str">
        <f>vlookup(C3295,'Classificação p pessoal'!F:G,2,false)</f>
        <v>NP</v>
      </c>
      <c r="E3295" s="65" t="s">
        <v>2273</v>
      </c>
      <c r="F3295" s="83">
        <v>0.34375</v>
      </c>
      <c r="G3295" s="83">
        <v>0.375</v>
      </c>
      <c r="H3295" s="83">
        <v>0.03125</v>
      </c>
      <c r="I3295" s="84">
        <v>44362.0</v>
      </c>
      <c r="J3295" s="65" t="b">
        <v>1</v>
      </c>
      <c r="K3295" s="65"/>
      <c r="L3295" s="85" t="b">
        <f>IF(VLOOKUP(C3295,Projetos!A:L,12,false)=TRUE,TRUE,FALSE)</f>
        <v>1</v>
      </c>
      <c r="M3295" s="74">
        <v>52.48434411075036</v>
      </c>
      <c r="N3295" s="74">
        <f t="shared" si="1"/>
        <v>39.36325808</v>
      </c>
      <c r="O3295" s="74" t="b">
        <v>1</v>
      </c>
    </row>
    <row r="3296" hidden="1">
      <c r="A3296" s="82"/>
      <c r="B3296" s="65" t="s">
        <v>411</v>
      </c>
      <c r="C3296" s="65" t="s">
        <v>130</v>
      </c>
      <c r="D3296" s="65"/>
      <c r="E3296" s="65" t="s">
        <v>2274</v>
      </c>
      <c r="F3296" s="83">
        <v>0.375</v>
      </c>
      <c r="G3296" s="83">
        <v>0.4166666666666667</v>
      </c>
      <c r="H3296" s="83">
        <v>0.041666666666666664</v>
      </c>
      <c r="I3296" s="84">
        <v>44362.0</v>
      </c>
      <c r="J3296" s="65" t="b">
        <v>0</v>
      </c>
      <c r="K3296" s="65" t="s">
        <v>150</v>
      </c>
      <c r="L3296" s="85" t="b">
        <f>IF(VLOOKUP(C3296,Projetos!A:L,12,false)=TRUE,TRUE,FALSE)</f>
        <v>1</v>
      </c>
      <c r="M3296" s="74">
        <v>52.48434411075036</v>
      </c>
      <c r="N3296" s="74">
        <f t="shared" si="1"/>
        <v>0</v>
      </c>
      <c r="O3296" s="74" t="b">
        <v>1</v>
      </c>
    </row>
    <row r="3297" hidden="1">
      <c r="A3297" s="82"/>
      <c r="B3297" s="65" t="s">
        <v>411</v>
      </c>
      <c r="C3297" s="65" t="s">
        <v>120</v>
      </c>
      <c r="D3297" s="65"/>
      <c r="E3297" s="65" t="s">
        <v>2272</v>
      </c>
      <c r="F3297" s="83">
        <v>0.4166666666666667</v>
      </c>
      <c r="G3297" s="83">
        <v>0.5</v>
      </c>
      <c r="H3297" s="83">
        <v>0.08333333333333333</v>
      </c>
      <c r="I3297" s="84">
        <v>44362.0</v>
      </c>
      <c r="J3297" s="65" t="b">
        <v>0</v>
      </c>
      <c r="K3297" s="65" t="s">
        <v>150</v>
      </c>
      <c r="L3297" s="85" t="b">
        <f>IF(VLOOKUP(C3297,Projetos!A:L,12,false)=TRUE,TRUE,FALSE)</f>
        <v>0</v>
      </c>
      <c r="M3297" s="74">
        <v>52.48434411075036</v>
      </c>
      <c r="N3297" s="74">
        <f t="shared" si="1"/>
        <v>0</v>
      </c>
      <c r="O3297" s="74" t="b">
        <v>0</v>
      </c>
    </row>
    <row r="3298" hidden="1">
      <c r="A3298" s="82"/>
      <c r="B3298" s="65" t="s">
        <v>411</v>
      </c>
      <c r="C3298" s="65" t="s">
        <v>119</v>
      </c>
      <c r="D3298" s="65" t="str">
        <f>vlookup(C3298,'Classificação p pessoal'!F:G,2,false)</f>
        <v>NP</v>
      </c>
      <c r="E3298" s="65" t="s">
        <v>2275</v>
      </c>
      <c r="F3298" s="83">
        <v>0.5</v>
      </c>
      <c r="G3298" s="83">
        <v>0.5625</v>
      </c>
      <c r="H3298" s="83">
        <v>0.0625</v>
      </c>
      <c r="I3298" s="84">
        <v>44362.0</v>
      </c>
      <c r="J3298" s="65" t="b">
        <v>1</v>
      </c>
      <c r="K3298" s="65"/>
      <c r="L3298" s="85" t="b">
        <f>IF(VLOOKUP(C3298,Projetos!A:L,12,false)=TRUE,TRUE,FALSE)</f>
        <v>1</v>
      </c>
      <c r="M3298" s="74">
        <v>52.48434411075036</v>
      </c>
      <c r="N3298" s="74">
        <f t="shared" si="1"/>
        <v>78.72651617</v>
      </c>
      <c r="O3298" s="74" t="b">
        <v>1</v>
      </c>
    </row>
    <row r="3299" hidden="1">
      <c r="A3299" s="82"/>
      <c r="B3299" s="65" t="s">
        <v>411</v>
      </c>
      <c r="C3299" s="65" t="s">
        <v>92</v>
      </c>
      <c r="D3299" s="65" t="str">
        <f>vlookup(C3299,'Classificação p pessoal'!F:G,2,false)</f>
        <v/>
      </c>
      <c r="E3299" s="65" t="s">
        <v>2276</v>
      </c>
      <c r="F3299" s="83">
        <v>0.6041666666666666</v>
      </c>
      <c r="G3299" s="83">
        <v>0.6458333333333334</v>
      </c>
      <c r="H3299" s="83">
        <v>0.041666666666666664</v>
      </c>
      <c r="I3299" s="84">
        <v>44362.0</v>
      </c>
      <c r="J3299" s="65" t="b">
        <v>1</v>
      </c>
      <c r="K3299" s="65"/>
      <c r="L3299" s="85" t="b">
        <f>IF(VLOOKUP(C3299,Projetos!A:L,12,false)=TRUE,TRUE,FALSE)</f>
        <v>1</v>
      </c>
      <c r="M3299" s="74">
        <v>52.48434411075036</v>
      </c>
      <c r="N3299" s="74">
        <f t="shared" si="1"/>
        <v>52.48434411</v>
      </c>
      <c r="O3299" s="74" t="b">
        <v>1</v>
      </c>
    </row>
    <row r="3300" hidden="1">
      <c r="A3300" s="82"/>
      <c r="B3300" s="65" t="s">
        <v>411</v>
      </c>
      <c r="C3300" s="65" t="s">
        <v>119</v>
      </c>
      <c r="D3300" s="65"/>
      <c r="E3300" s="65" t="s">
        <v>2277</v>
      </c>
      <c r="F3300" s="83">
        <v>0.6458333333333334</v>
      </c>
      <c r="G3300" s="83">
        <v>0.7083333333333334</v>
      </c>
      <c r="H3300" s="83">
        <v>0.0625</v>
      </c>
      <c r="I3300" s="84">
        <v>44362.0</v>
      </c>
      <c r="J3300" s="65" t="b">
        <v>0</v>
      </c>
      <c r="K3300" s="65" t="s">
        <v>150</v>
      </c>
      <c r="L3300" s="85" t="b">
        <f>IF(VLOOKUP(C3300,Projetos!A:L,12,false)=TRUE,TRUE,FALSE)</f>
        <v>1</v>
      </c>
      <c r="M3300" s="74">
        <v>52.48434411075036</v>
      </c>
      <c r="N3300" s="74">
        <f t="shared" si="1"/>
        <v>0</v>
      </c>
      <c r="O3300" s="74" t="b">
        <v>1</v>
      </c>
    </row>
    <row r="3301" hidden="1">
      <c r="A3301" s="82"/>
      <c r="B3301" s="65" t="s">
        <v>411</v>
      </c>
      <c r="C3301" s="65" t="s">
        <v>92</v>
      </c>
      <c r="D3301" s="65" t="str">
        <f>vlookup(C3301,'Classificação p pessoal'!F:G,2,false)</f>
        <v/>
      </c>
      <c r="E3301" s="65" t="s">
        <v>2278</v>
      </c>
      <c r="F3301" s="83">
        <v>0.7083333333333334</v>
      </c>
      <c r="G3301" s="83">
        <v>0.75</v>
      </c>
      <c r="H3301" s="83">
        <v>0.041666666666666664</v>
      </c>
      <c r="I3301" s="84">
        <v>44362.0</v>
      </c>
      <c r="J3301" s="65" t="b">
        <v>1</v>
      </c>
      <c r="K3301" s="65"/>
      <c r="L3301" s="85" t="b">
        <f>IF(VLOOKUP(C3301,Projetos!A:L,12,false)=TRUE,TRUE,FALSE)</f>
        <v>1</v>
      </c>
      <c r="M3301" s="74">
        <v>52.48434411075036</v>
      </c>
      <c r="N3301" s="74">
        <f t="shared" si="1"/>
        <v>52.48434411</v>
      </c>
      <c r="O3301" s="74" t="b">
        <v>1</v>
      </c>
    </row>
    <row r="3302" hidden="1">
      <c r="A3302" s="82"/>
      <c r="B3302" s="65" t="s">
        <v>411</v>
      </c>
      <c r="C3302" s="65" t="s">
        <v>117</v>
      </c>
      <c r="D3302" s="65"/>
      <c r="E3302" s="65" t="s">
        <v>2279</v>
      </c>
      <c r="F3302" s="83">
        <v>0.3541666666666667</v>
      </c>
      <c r="G3302" s="83">
        <v>0.4166666666666667</v>
      </c>
      <c r="H3302" s="83">
        <v>0.0625</v>
      </c>
      <c r="I3302" s="84">
        <v>44363.0</v>
      </c>
      <c r="J3302" s="65" t="b">
        <v>0</v>
      </c>
      <c r="K3302" s="65" t="s">
        <v>150</v>
      </c>
      <c r="L3302" s="85" t="b">
        <f>IF(VLOOKUP(C3302,Projetos!A:L,12,false)=TRUE,TRUE,FALSE)</f>
        <v>1</v>
      </c>
      <c r="M3302" s="74">
        <v>52.48434411075036</v>
      </c>
      <c r="N3302" s="74">
        <f t="shared" si="1"/>
        <v>0</v>
      </c>
      <c r="O3302" s="74" t="b">
        <v>1</v>
      </c>
    </row>
    <row r="3303" hidden="1">
      <c r="A3303" s="82"/>
      <c r="B3303" s="65" t="s">
        <v>411</v>
      </c>
      <c r="C3303" s="65" t="s">
        <v>92</v>
      </c>
      <c r="D3303" s="65"/>
      <c r="E3303" s="65" t="s">
        <v>2280</v>
      </c>
      <c r="F3303" s="83">
        <v>0.4166666666666667</v>
      </c>
      <c r="G3303" s="83">
        <v>0.5</v>
      </c>
      <c r="H3303" s="83">
        <v>0.08333333333333333</v>
      </c>
      <c r="I3303" s="84">
        <v>44363.0</v>
      </c>
      <c r="J3303" s="65" t="b">
        <v>0</v>
      </c>
      <c r="K3303" s="65" t="s">
        <v>150</v>
      </c>
      <c r="L3303" s="85" t="b">
        <f>IF(VLOOKUP(C3303,Projetos!A:L,12,false)=TRUE,TRUE,FALSE)</f>
        <v>1</v>
      </c>
      <c r="M3303" s="74">
        <v>52.48434411075036</v>
      </c>
      <c r="N3303" s="74">
        <f t="shared" si="1"/>
        <v>0</v>
      </c>
      <c r="O3303" s="74" t="b">
        <v>1</v>
      </c>
    </row>
    <row r="3304" hidden="1">
      <c r="A3304" s="82"/>
      <c r="B3304" s="65" t="s">
        <v>411</v>
      </c>
      <c r="C3304" s="65" t="s">
        <v>92</v>
      </c>
      <c r="D3304" s="65" t="str">
        <f>vlookup(C3304,'Classificação p pessoal'!F:G,2,false)</f>
        <v/>
      </c>
      <c r="E3304" s="65" t="s">
        <v>2281</v>
      </c>
      <c r="F3304" s="83">
        <v>0.34375</v>
      </c>
      <c r="G3304" s="83">
        <v>0.3541666666666667</v>
      </c>
      <c r="H3304" s="83">
        <v>0.010416666666666666</v>
      </c>
      <c r="I3304" s="84">
        <v>44364.0</v>
      </c>
      <c r="J3304" s="65" t="b">
        <v>1</v>
      </c>
      <c r="K3304" s="65"/>
      <c r="L3304" s="85" t="b">
        <f>IF(VLOOKUP(C3304,Projetos!A:L,12,false)=TRUE,TRUE,FALSE)</f>
        <v>1</v>
      </c>
      <c r="M3304" s="74">
        <v>52.48434411075036</v>
      </c>
      <c r="N3304" s="74">
        <f t="shared" si="1"/>
        <v>13.12108603</v>
      </c>
      <c r="O3304" s="74" t="b">
        <v>1</v>
      </c>
    </row>
    <row r="3305" hidden="1">
      <c r="A3305" s="82"/>
      <c r="B3305" s="65" t="s">
        <v>177</v>
      </c>
      <c r="C3305" s="65" t="s">
        <v>101</v>
      </c>
      <c r="D3305" s="65" t="str">
        <f>vlookup(C3305,'Classificação p pessoal'!F:G,2,false)</f>
        <v>NP</v>
      </c>
      <c r="E3305" s="65" t="s">
        <v>2282</v>
      </c>
      <c r="F3305" s="83">
        <v>0.6458333333333334</v>
      </c>
      <c r="G3305" s="83">
        <v>0.7083333333333334</v>
      </c>
      <c r="H3305" s="83">
        <v>0.0625</v>
      </c>
      <c r="I3305" s="84">
        <v>44538.0</v>
      </c>
      <c r="J3305" s="65" t="b">
        <v>1</v>
      </c>
      <c r="K3305" s="65"/>
      <c r="L3305" s="85" t="b">
        <f>IF(VLOOKUP(C3305,Projetos!A:L,12,false)=TRUE,TRUE,FALSE)</f>
        <v>1</v>
      </c>
      <c r="M3305" s="74">
        <v>31.02923620430495</v>
      </c>
      <c r="N3305" s="74">
        <f t="shared" si="1"/>
        <v>46.54385431</v>
      </c>
      <c r="O3305" s="74" t="b">
        <v>1</v>
      </c>
    </row>
    <row r="3306" hidden="1">
      <c r="A3306" s="82"/>
      <c r="B3306" s="65" t="s">
        <v>411</v>
      </c>
      <c r="C3306" s="65" t="s">
        <v>92</v>
      </c>
      <c r="D3306" s="65" t="str">
        <f>vlookup(C3306,'Classificação p pessoal'!F:G,2,false)</f>
        <v/>
      </c>
      <c r="E3306" s="65" t="s">
        <v>2283</v>
      </c>
      <c r="F3306" s="83">
        <v>0.4375</v>
      </c>
      <c r="G3306" s="83">
        <v>0.4791666666666667</v>
      </c>
      <c r="H3306" s="83">
        <v>0.041666666666666664</v>
      </c>
      <c r="I3306" s="84">
        <v>44364.0</v>
      </c>
      <c r="J3306" s="65" t="b">
        <v>1</v>
      </c>
      <c r="K3306" s="65"/>
      <c r="L3306" s="85" t="b">
        <f>IF(VLOOKUP(C3306,Projetos!A:L,12,false)=TRUE,TRUE,FALSE)</f>
        <v>1</v>
      </c>
      <c r="M3306" s="74">
        <v>52.48434411075036</v>
      </c>
      <c r="N3306" s="74">
        <f t="shared" si="1"/>
        <v>52.48434411</v>
      </c>
      <c r="O3306" s="74" t="b">
        <v>1</v>
      </c>
    </row>
    <row r="3307" hidden="1">
      <c r="A3307" s="82"/>
      <c r="B3307" s="65" t="s">
        <v>411</v>
      </c>
      <c r="C3307" s="65" t="s">
        <v>119</v>
      </c>
      <c r="D3307" s="65" t="str">
        <f>vlookup(C3307,'Classificação p pessoal'!F:G,2,false)</f>
        <v>NP</v>
      </c>
      <c r="E3307" s="65" t="s">
        <v>2284</v>
      </c>
      <c r="F3307" s="83">
        <v>0.4791666666666667</v>
      </c>
      <c r="G3307" s="83">
        <v>0.5208333333333334</v>
      </c>
      <c r="H3307" s="83">
        <v>0.041666666666666664</v>
      </c>
      <c r="I3307" s="84">
        <v>44364.0</v>
      </c>
      <c r="J3307" s="65" t="b">
        <v>1</v>
      </c>
      <c r="K3307" s="65"/>
      <c r="L3307" s="85" t="b">
        <f>IF(VLOOKUP(C3307,Projetos!A:L,12,false)=TRUE,TRUE,FALSE)</f>
        <v>1</v>
      </c>
      <c r="M3307" s="74">
        <v>52.48434411075036</v>
      </c>
      <c r="N3307" s="74">
        <f t="shared" si="1"/>
        <v>52.48434411</v>
      </c>
      <c r="O3307" s="74" t="b">
        <v>1</v>
      </c>
    </row>
    <row r="3308" hidden="1">
      <c r="A3308" s="82"/>
      <c r="B3308" s="65" t="s">
        <v>411</v>
      </c>
      <c r="C3308" s="65" t="s">
        <v>132</v>
      </c>
      <c r="D3308" s="65"/>
      <c r="E3308" s="65" t="s">
        <v>2285</v>
      </c>
      <c r="F3308" s="83">
        <v>0.5208333333333334</v>
      </c>
      <c r="G3308" s="83">
        <v>0.5833333333333334</v>
      </c>
      <c r="H3308" s="83">
        <v>0.0625</v>
      </c>
      <c r="I3308" s="84">
        <v>44364.0</v>
      </c>
      <c r="J3308" s="65" t="b">
        <v>1</v>
      </c>
      <c r="K3308" s="65"/>
      <c r="L3308" s="85" t="b">
        <f>IF(VLOOKUP(C3308,Projetos!A:L,12,false)=TRUE,TRUE,FALSE)</f>
        <v>0</v>
      </c>
      <c r="M3308" s="74">
        <v>52.48434411075036</v>
      </c>
      <c r="N3308" s="74">
        <f t="shared" si="1"/>
        <v>0</v>
      </c>
      <c r="O3308" s="74" t="b">
        <v>0</v>
      </c>
    </row>
    <row r="3309" hidden="1">
      <c r="A3309" s="82"/>
      <c r="B3309" s="65" t="s">
        <v>411</v>
      </c>
      <c r="C3309" s="65" t="s">
        <v>152</v>
      </c>
      <c r="D3309" s="65" t="str">
        <f>vlookup(C3309,'Classificação p pessoal'!F:G,2,false)</f>
        <v>MProduto</v>
      </c>
      <c r="E3309" s="65" t="s">
        <v>2286</v>
      </c>
      <c r="F3309" s="83">
        <v>0.6458333333333334</v>
      </c>
      <c r="G3309" s="83">
        <v>0.6875</v>
      </c>
      <c r="H3309" s="83">
        <v>0.041666666666666664</v>
      </c>
      <c r="I3309" s="84">
        <v>44364.0</v>
      </c>
      <c r="J3309" s="65" t="b">
        <v>1</v>
      </c>
      <c r="K3309" s="65"/>
      <c r="L3309" s="85" t="b">
        <f>IF(VLOOKUP(C3309,Projetos!A:L,12,false)=TRUE,TRUE,FALSE)</f>
        <v>1</v>
      </c>
      <c r="M3309" s="74">
        <v>52.48434411075036</v>
      </c>
      <c r="N3309" s="74">
        <f t="shared" si="1"/>
        <v>52.48434411</v>
      </c>
      <c r="O3309" s="74" t="b">
        <v>1</v>
      </c>
    </row>
    <row r="3310" hidden="1">
      <c r="A3310" s="82"/>
      <c r="B3310" s="65" t="s">
        <v>411</v>
      </c>
      <c r="C3310" s="65" t="s">
        <v>117</v>
      </c>
      <c r="D3310" s="65" t="str">
        <f>vlookup(C3310,'Classificação p pessoal'!F:G,2,false)</f>
        <v>NP</v>
      </c>
      <c r="E3310" s="65" t="s">
        <v>2287</v>
      </c>
      <c r="F3310" s="83">
        <v>0.6875</v>
      </c>
      <c r="G3310" s="83">
        <v>0.7083333333333334</v>
      </c>
      <c r="H3310" s="83">
        <v>0.020833333333333332</v>
      </c>
      <c r="I3310" s="84">
        <v>44364.0</v>
      </c>
      <c r="J3310" s="65" t="b">
        <v>1</v>
      </c>
      <c r="K3310" s="65"/>
      <c r="L3310" s="85" t="b">
        <f>IF(VLOOKUP(C3310,Projetos!A:L,12,false)=TRUE,TRUE,FALSE)</f>
        <v>1</v>
      </c>
      <c r="M3310" s="74">
        <v>52.48434411075036</v>
      </c>
      <c r="N3310" s="74">
        <f t="shared" si="1"/>
        <v>26.24217206</v>
      </c>
      <c r="O3310" s="74" t="b">
        <v>1</v>
      </c>
    </row>
    <row r="3311" hidden="1">
      <c r="A3311" s="82"/>
      <c r="B3311" s="65" t="s">
        <v>411</v>
      </c>
      <c r="C3311" s="65" t="s">
        <v>117</v>
      </c>
      <c r="D3311" s="65" t="str">
        <f>vlookup(C3311,'Classificação p pessoal'!F:G,2,false)</f>
        <v>NP</v>
      </c>
      <c r="E3311" s="65" t="s">
        <v>2288</v>
      </c>
      <c r="F3311" s="83">
        <v>0.7083333333333334</v>
      </c>
      <c r="G3311" s="83">
        <v>0.75</v>
      </c>
      <c r="H3311" s="83">
        <v>0.041666666666666664</v>
      </c>
      <c r="I3311" s="84">
        <v>44364.0</v>
      </c>
      <c r="J3311" s="65" t="b">
        <v>1</v>
      </c>
      <c r="K3311" s="65"/>
      <c r="L3311" s="85" t="b">
        <f>IF(VLOOKUP(C3311,Projetos!A:L,12,false)=TRUE,TRUE,FALSE)</f>
        <v>1</v>
      </c>
      <c r="M3311" s="74">
        <v>52.48434411075036</v>
      </c>
      <c r="N3311" s="74">
        <f t="shared" si="1"/>
        <v>52.48434411</v>
      </c>
      <c r="O3311" s="74" t="b">
        <v>1</v>
      </c>
    </row>
    <row r="3312" hidden="1">
      <c r="A3312" s="82"/>
      <c r="B3312" s="65" t="s">
        <v>411</v>
      </c>
      <c r="C3312" s="65" t="s">
        <v>117</v>
      </c>
      <c r="D3312" s="65" t="str">
        <f>vlookup(C3312,'Classificação p pessoal'!F:G,2,false)</f>
        <v>NP</v>
      </c>
      <c r="E3312" s="65" t="s">
        <v>2289</v>
      </c>
      <c r="F3312" s="83">
        <v>0.34375</v>
      </c>
      <c r="G3312" s="83">
        <v>0.3541666666666667</v>
      </c>
      <c r="H3312" s="83">
        <v>0.010416666666666666</v>
      </c>
      <c r="I3312" s="84">
        <v>44365.0</v>
      </c>
      <c r="J3312" s="65" t="b">
        <v>1</v>
      </c>
      <c r="K3312" s="65"/>
      <c r="L3312" s="85" t="b">
        <f>IF(VLOOKUP(C3312,Projetos!A:L,12,false)=TRUE,TRUE,FALSE)</f>
        <v>1</v>
      </c>
      <c r="M3312" s="74">
        <v>52.48434411075036</v>
      </c>
      <c r="N3312" s="74">
        <f t="shared" si="1"/>
        <v>13.12108603</v>
      </c>
      <c r="O3312" s="74" t="b">
        <v>1</v>
      </c>
    </row>
    <row r="3313" hidden="1">
      <c r="A3313" s="82"/>
      <c r="B3313" s="65" t="s">
        <v>411</v>
      </c>
      <c r="C3313" s="65" t="s">
        <v>92</v>
      </c>
      <c r="D3313" s="65" t="str">
        <f>vlookup(C3313,'Classificação p pessoal'!F:G,2,false)</f>
        <v/>
      </c>
      <c r="E3313" s="65" t="s">
        <v>2290</v>
      </c>
      <c r="F3313" s="83">
        <v>0.3541666666666667</v>
      </c>
      <c r="G3313" s="83">
        <v>0.4166666666666667</v>
      </c>
      <c r="H3313" s="83">
        <v>0.0625</v>
      </c>
      <c r="I3313" s="84">
        <v>44365.0</v>
      </c>
      <c r="J3313" s="65" t="b">
        <v>1</v>
      </c>
      <c r="K3313" s="65"/>
      <c r="L3313" s="85" t="b">
        <f>IF(VLOOKUP(C3313,Projetos!A:L,12,false)=TRUE,TRUE,FALSE)</f>
        <v>1</v>
      </c>
      <c r="M3313" s="74">
        <v>52.48434411075036</v>
      </c>
      <c r="N3313" s="74">
        <f t="shared" si="1"/>
        <v>78.72651617</v>
      </c>
      <c r="O3313" s="74" t="b">
        <v>1</v>
      </c>
    </row>
    <row r="3314" hidden="1">
      <c r="A3314" s="82"/>
      <c r="B3314" s="65" t="s">
        <v>411</v>
      </c>
      <c r="C3314" s="65" t="s">
        <v>101</v>
      </c>
      <c r="D3314" s="65"/>
      <c r="E3314" s="65" t="s">
        <v>2291</v>
      </c>
      <c r="F3314" s="83">
        <v>0.4166666666666667</v>
      </c>
      <c r="G3314" s="83">
        <v>0.5</v>
      </c>
      <c r="H3314" s="83">
        <v>0.08333333333333333</v>
      </c>
      <c r="I3314" s="84">
        <v>44365.0</v>
      </c>
      <c r="J3314" s="65" t="b">
        <v>0</v>
      </c>
      <c r="K3314" s="65" t="s">
        <v>150</v>
      </c>
      <c r="L3314" s="85" t="b">
        <f>IF(VLOOKUP(C3314,Projetos!A:L,12,false)=TRUE,TRUE,FALSE)</f>
        <v>1</v>
      </c>
      <c r="M3314" s="74">
        <v>52.48434411075036</v>
      </c>
      <c r="N3314" s="74">
        <f t="shared" si="1"/>
        <v>0</v>
      </c>
      <c r="O3314" s="74" t="b">
        <v>1</v>
      </c>
    </row>
    <row r="3315" hidden="1">
      <c r="A3315" s="82"/>
      <c r="B3315" s="65" t="s">
        <v>411</v>
      </c>
      <c r="C3315" s="65" t="s">
        <v>119</v>
      </c>
      <c r="D3315" s="65" t="str">
        <f>vlookup(C3315,'Classificação p pessoal'!F:G,2,false)</f>
        <v>NP</v>
      </c>
      <c r="E3315" s="65" t="s">
        <v>2292</v>
      </c>
      <c r="F3315" s="83">
        <v>0.5</v>
      </c>
      <c r="G3315" s="83">
        <v>0.5208333333333334</v>
      </c>
      <c r="H3315" s="83">
        <v>0.020833333333333332</v>
      </c>
      <c r="I3315" s="84">
        <v>44365.0</v>
      </c>
      <c r="J3315" s="65" t="b">
        <v>1</v>
      </c>
      <c r="K3315" s="65"/>
      <c r="L3315" s="85" t="b">
        <f>IF(VLOOKUP(C3315,Projetos!A:L,12,false)=TRUE,TRUE,FALSE)</f>
        <v>1</v>
      </c>
      <c r="M3315" s="74">
        <v>52.48434411075036</v>
      </c>
      <c r="N3315" s="74">
        <f t="shared" si="1"/>
        <v>26.24217206</v>
      </c>
      <c r="O3315" s="74" t="b">
        <v>1</v>
      </c>
    </row>
    <row r="3316" hidden="1">
      <c r="A3316" s="82"/>
      <c r="B3316" s="65" t="s">
        <v>411</v>
      </c>
      <c r="C3316" s="65" t="s">
        <v>92</v>
      </c>
      <c r="D3316" s="65" t="str">
        <f>vlookup(C3316,'Classificação p pessoal'!F:G,2,false)</f>
        <v/>
      </c>
      <c r="E3316" s="65" t="s">
        <v>2293</v>
      </c>
      <c r="F3316" s="83">
        <v>0.5625</v>
      </c>
      <c r="G3316" s="83">
        <v>0.625</v>
      </c>
      <c r="H3316" s="83">
        <v>0.0625</v>
      </c>
      <c r="I3316" s="84">
        <v>44365.0</v>
      </c>
      <c r="J3316" s="65" t="b">
        <v>1</v>
      </c>
      <c r="K3316" s="65"/>
      <c r="L3316" s="85" t="b">
        <f>IF(VLOOKUP(C3316,Projetos!A:L,12,false)=TRUE,TRUE,FALSE)</f>
        <v>1</v>
      </c>
      <c r="M3316" s="74">
        <v>52.48434411075036</v>
      </c>
      <c r="N3316" s="74">
        <f t="shared" si="1"/>
        <v>78.72651617</v>
      </c>
      <c r="O3316" s="74" t="b">
        <v>1</v>
      </c>
    </row>
    <row r="3317" hidden="1">
      <c r="A3317" s="82"/>
      <c r="B3317" s="65" t="s">
        <v>411</v>
      </c>
      <c r="C3317" s="65" t="s">
        <v>132</v>
      </c>
      <c r="D3317" s="65"/>
      <c r="E3317" s="65" t="s">
        <v>2294</v>
      </c>
      <c r="F3317" s="83">
        <v>0.625</v>
      </c>
      <c r="G3317" s="83">
        <v>0.75</v>
      </c>
      <c r="H3317" s="83">
        <v>0.125</v>
      </c>
      <c r="I3317" s="84">
        <v>44365.0</v>
      </c>
      <c r="J3317" s="65" t="b">
        <v>1</v>
      </c>
      <c r="K3317" s="65"/>
      <c r="L3317" s="85" t="b">
        <f>IF(VLOOKUP(C3317,Projetos!A:L,12,false)=TRUE,TRUE,FALSE)</f>
        <v>0</v>
      </c>
      <c r="M3317" s="74">
        <v>52.48434411075036</v>
      </c>
      <c r="N3317" s="74">
        <f t="shared" si="1"/>
        <v>0</v>
      </c>
      <c r="O3317" s="74" t="b">
        <v>0</v>
      </c>
    </row>
    <row r="3318" hidden="1">
      <c r="A3318" s="82"/>
      <c r="B3318" s="65" t="s">
        <v>411</v>
      </c>
      <c r="C3318" s="65" t="s">
        <v>117</v>
      </c>
      <c r="D3318" s="65" t="str">
        <f>vlookup(C3318,'Classificação p pessoal'!F:G,2,false)</f>
        <v>NP</v>
      </c>
      <c r="E3318" s="65" t="s">
        <v>2295</v>
      </c>
      <c r="F3318" s="83">
        <v>0.34375</v>
      </c>
      <c r="G3318" s="83">
        <v>0.375</v>
      </c>
      <c r="H3318" s="83">
        <v>0.03125</v>
      </c>
      <c r="I3318" s="84">
        <v>44368.0</v>
      </c>
      <c r="J3318" s="65" t="b">
        <v>1</v>
      </c>
      <c r="K3318" s="65"/>
      <c r="L3318" s="85" t="b">
        <f>IF(VLOOKUP(C3318,Projetos!A:L,12,false)=TRUE,TRUE,FALSE)</f>
        <v>1</v>
      </c>
      <c r="M3318" s="74">
        <v>52.48434411075036</v>
      </c>
      <c r="N3318" s="74">
        <f t="shared" si="1"/>
        <v>39.36325808</v>
      </c>
      <c r="O3318" s="74" t="b">
        <v>1</v>
      </c>
    </row>
    <row r="3319" hidden="1">
      <c r="A3319" s="82"/>
      <c r="B3319" s="65" t="s">
        <v>411</v>
      </c>
      <c r="C3319" s="65" t="s">
        <v>132</v>
      </c>
      <c r="D3319" s="65"/>
      <c r="E3319" s="65" t="s">
        <v>2296</v>
      </c>
      <c r="F3319" s="83">
        <v>0.375</v>
      </c>
      <c r="G3319" s="83">
        <v>0.4166666666666667</v>
      </c>
      <c r="H3319" s="83">
        <v>0.041666666666666664</v>
      </c>
      <c r="I3319" s="84">
        <v>44368.0</v>
      </c>
      <c r="J3319" s="65" t="b">
        <v>1</v>
      </c>
      <c r="K3319" s="65"/>
      <c r="L3319" s="85" t="b">
        <f>IF(VLOOKUP(C3319,Projetos!A:L,12,false)=TRUE,TRUE,FALSE)</f>
        <v>0</v>
      </c>
      <c r="M3319" s="74">
        <v>52.48434411075036</v>
      </c>
      <c r="N3319" s="74">
        <f t="shared" si="1"/>
        <v>0</v>
      </c>
      <c r="O3319" s="74" t="b">
        <v>0</v>
      </c>
    </row>
    <row r="3320" hidden="1">
      <c r="A3320" s="82"/>
      <c r="B3320" s="65" t="s">
        <v>411</v>
      </c>
      <c r="C3320" s="65" t="s">
        <v>92</v>
      </c>
      <c r="D3320" s="65" t="str">
        <f>vlookup(C3320,'Classificação p pessoal'!F:G,2,false)</f>
        <v/>
      </c>
      <c r="E3320" s="65" t="s">
        <v>2297</v>
      </c>
      <c r="F3320" s="83">
        <v>0.4166666666666667</v>
      </c>
      <c r="G3320" s="83">
        <v>0.4583333333333333</v>
      </c>
      <c r="H3320" s="83">
        <v>0.041666666666666664</v>
      </c>
      <c r="I3320" s="84">
        <v>44368.0</v>
      </c>
      <c r="J3320" s="65" t="b">
        <v>1</v>
      </c>
      <c r="K3320" s="65"/>
      <c r="L3320" s="85" t="b">
        <f>IF(VLOOKUP(C3320,Projetos!A:L,12,false)=TRUE,TRUE,FALSE)</f>
        <v>1</v>
      </c>
      <c r="M3320" s="74">
        <v>52.48434411075036</v>
      </c>
      <c r="N3320" s="74">
        <f t="shared" si="1"/>
        <v>52.48434411</v>
      </c>
      <c r="O3320" s="74" t="b">
        <v>1</v>
      </c>
    </row>
    <row r="3321" hidden="1">
      <c r="A3321" s="82"/>
      <c r="B3321" s="65" t="s">
        <v>411</v>
      </c>
      <c r="C3321" s="65" t="s">
        <v>117</v>
      </c>
      <c r="D3321" s="65" t="str">
        <f>vlookup(C3321,'Classificação p pessoal'!F:G,2,false)</f>
        <v>NP</v>
      </c>
      <c r="E3321" s="65" t="s">
        <v>2298</v>
      </c>
      <c r="F3321" s="83">
        <v>0.4583333333333333</v>
      </c>
      <c r="G3321" s="83">
        <v>0.5</v>
      </c>
      <c r="H3321" s="83">
        <v>0.041666666666666664</v>
      </c>
      <c r="I3321" s="84">
        <v>44368.0</v>
      </c>
      <c r="J3321" s="65" t="b">
        <v>1</v>
      </c>
      <c r="K3321" s="65"/>
      <c r="L3321" s="85" t="b">
        <f>IF(VLOOKUP(C3321,Projetos!A:L,12,false)=TRUE,TRUE,FALSE)</f>
        <v>1</v>
      </c>
      <c r="M3321" s="74">
        <v>52.48434411075036</v>
      </c>
      <c r="N3321" s="74">
        <f t="shared" si="1"/>
        <v>52.48434411</v>
      </c>
      <c r="O3321" s="74" t="b">
        <v>1</v>
      </c>
    </row>
    <row r="3322" hidden="1">
      <c r="A3322" s="82"/>
      <c r="B3322" s="65" t="s">
        <v>411</v>
      </c>
      <c r="C3322" s="65" t="s">
        <v>120</v>
      </c>
      <c r="D3322" s="65"/>
      <c r="E3322" s="65" t="s">
        <v>2299</v>
      </c>
      <c r="F3322" s="83">
        <v>0.5</v>
      </c>
      <c r="G3322" s="83">
        <v>0.5625</v>
      </c>
      <c r="H3322" s="83">
        <v>0.0625</v>
      </c>
      <c r="I3322" s="84">
        <v>44368.0</v>
      </c>
      <c r="J3322" s="65" t="b">
        <v>0</v>
      </c>
      <c r="K3322" s="65" t="s">
        <v>150</v>
      </c>
      <c r="L3322" s="85" t="b">
        <f>IF(VLOOKUP(C3322,Projetos!A:L,12,false)=TRUE,TRUE,FALSE)</f>
        <v>0</v>
      </c>
      <c r="M3322" s="74">
        <v>52.48434411075036</v>
      </c>
      <c r="N3322" s="74">
        <f t="shared" si="1"/>
        <v>0</v>
      </c>
      <c r="O3322" s="74" t="b">
        <v>0</v>
      </c>
    </row>
    <row r="3323" hidden="1">
      <c r="A3323" s="82"/>
      <c r="B3323" s="65" t="s">
        <v>411</v>
      </c>
      <c r="C3323" s="65" t="s">
        <v>117</v>
      </c>
      <c r="D3323" s="65" t="str">
        <f>vlookup(C3323,'Classificação p pessoal'!F:G,2,false)</f>
        <v>NP</v>
      </c>
      <c r="E3323" s="65" t="s">
        <v>2300</v>
      </c>
      <c r="F3323" s="83">
        <v>0.5625</v>
      </c>
      <c r="G3323" s="83">
        <v>0.5833333333333334</v>
      </c>
      <c r="H3323" s="83">
        <v>0.020833333333333332</v>
      </c>
      <c r="I3323" s="84">
        <v>44368.0</v>
      </c>
      <c r="J3323" s="65" t="b">
        <v>1</v>
      </c>
      <c r="K3323" s="65"/>
      <c r="L3323" s="85" t="b">
        <f>IF(VLOOKUP(C3323,Projetos!A:L,12,false)=TRUE,TRUE,FALSE)</f>
        <v>1</v>
      </c>
      <c r="M3323" s="74">
        <v>52.48434411075036</v>
      </c>
      <c r="N3323" s="74">
        <f t="shared" si="1"/>
        <v>26.24217206</v>
      </c>
      <c r="O3323" s="74" t="b">
        <v>1</v>
      </c>
    </row>
    <row r="3324" hidden="1">
      <c r="A3324" s="82"/>
      <c r="B3324" s="65" t="s">
        <v>411</v>
      </c>
      <c r="C3324" s="65" t="s">
        <v>119</v>
      </c>
      <c r="D3324" s="65"/>
      <c r="E3324" s="65" t="s">
        <v>2301</v>
      </c>
      <c r="F3324" s="83">
        <v>0.625</v>
      </c>
      <c r="G3324" s="83">
        <v>0.6666666666666666</v>
      </c>
      <c r="H3324" s="83">
        <v>0.041666666666666664</v>
      </c>
      <c r="I3324" s="84">
        <v>44368.0</v>
      </c>
      <c r="J3324" s="65" t="b">
        <v>0</v>
      </c>
      <c r="K3324" s="65" t="s">
        <v>150</v>
      </c>
      <c r="L3324" s="85" t="b">
        <f>IF(VLOOKUP(C3324,Projetos!A:L,12,false)=TRUE,TRUE,FALSE)</f>
        <v>1</v>
      </c>
      <c r="M3324" s="74">
        <v>52.48434411075036</v>
      </c>
      <c r="N3324" s="74">
        <f t="shared" si="1"/>
        <v>0</v>
      </c>
      <c r="O3324" s="74" t="b">
        <v>1</v>
      </c>
    </row>
    <row r="3325" hidden="1">
      <c r="A3325" s="82"/>
      <c r="B3325" s="65" t="s">
        <v>411</v>
      </c>
      <c r="C3325" s="65" t="s">
        <v>117</v>
      </c>
      <c r="D3325" s="65" t="str">
        <f>vlookup(C3325,'Classificação p pessoal'!F:G,2,false)</f>
        <v>NP</v>
      </c>
      <c r="E3325" s="65" t="s">
        <v>2302</v>
      </c>
      <c r="F3325" s="83">
        <v>0.6666666666666666</v>
      </c>
      <c r="G3325" s="83">
        <v>0.75</v>
      </c>
      <c r="H3325" s="83">
        <v>0.08333333333333333</v>
      </c>
      <c r="I3325" s="84">
        <v>44368.0</v>
      </c>
      <c r="J3325" s="65" t="b">
        <v>1</v>
      </c>
      <c r="K3325" s="65"/>
      <c r="L3325" s="85" t="b">
        <f>IF(VLOOKUP(C3325,Projetos!A:L,12,false)=TRUE,TRUE,FALSE)</f>
        <v>1</v>
      </c>
      <c r="M3325" s="74">
        <v>52.48434411075036</v>
      </c>
      <c r="N3325" s="74">
        <f t="shared" si="1"/>
        <v>104.9686882</v>
      </c>
      <c r="O3325" s="74" t="b">
        <v>1</v>
      </c>
    </row>
    <row r="3326" hidden="1">
      <c r="A3326" s="82"/>
      <c r="B3326" s="65" t="s">
        <v>411</v>
      </c>
      <c r="C3326" s="65" t="s">
        <v>92</v>
      </c>
      <c r="D3326" s="65" t="str">
        <f>vlookup(C3326,'Classificação p pessoal'!F:G,2,false)</f>
        <v/>
      </c>
      <c r="E3326" s="65" t="s">
        <v>2303</v>
      </c>
      <c r="F3326" s="83">
        <v>0.34375</v>
      </c>
      <c r="G3326" s="83">
        <v>0.375</v>
      </c>
      <c r="H3326" s="83">
        <v>0.03125</v>
      </c>
      <c r="I3326" s="84">
        <v>44369.0</v>
      </c>
      <c r="J3326" s="65" t="b">
        <v>1</v>
      </c>
      <c r="K3326" s="65"/>
      <c r="L3326" s="85" t="b">
        <f>IF(VLOOKUP(C3326,Projetos!A:L,12,false)=TRUE,TRUE,FALSE)</f>
        <v>1</v>
      </c>
      <c r="M3326" s="74">
        <v>52.48434411075036</v>
      </c>
      <c r="N3326" s="74">
        <f t="shared" si="1"/>
        <v>39.36325808</v>
      </c>
      <c r="O3326" s="74" t="b">
        <v>1</v>
      </c>
    </row>
    <row r="3327" hidden="1">
      <c r="A3327" s="82"/>
      <c r="B3327" s="65" t="s">
        <v>411</v>
      </c>
      <c r="C3327" s="65" t="s">
        <v>132</v>
      </c>
      <c r="D3327" s="65"/>
      <c r="E3327" s="65" t="s">
        <v>2304</v>
      </c>
      <c r="F3327" s="83">
        <v>0.4166666666666667</v>
      </c>
      <c r="G3327" s="83">
        <v>0.4479166666666667</v>
      </c>
      <c r="H3327" s="83">
        <v>0.03125</v>
      </c>
      <c r="I3327" s="84">
        <v>44369.0</v>
      </c>
      <c r="J3327" s="65" t="b">
        <v>0</v>
      </c>
      <c r="K3327" s="65" t="s">
        <v>150</v>
      </c>
      <c r="L3327" s="85" t="b">
        <f>IF(VLOOKUP(C3327,Projetos!A:L,12,false)=TRUE,TRUE,FALSE)</f>
        <v>0</v>
      </c>
      <c r="M3327" s="74">
        <v>52.48434411075036</v>
      </c>
      <c r="N3327" s="74">
        <f t="shared" si="1"/>
        <v>0</v>
      </c>
      <c r="O3327" s="74" t="b">
        <v>0</v>
      </c>
    </row>
    <row r="3328" hidden="1">
      <c r="A3328" s="82"/>
      <c r="B3328" s="65" t="s">
        <v>411</v>
      </c>
      <c r="C3328" s="65" t="s">
        <v>92</v>
      </c>
      <c r="D3328" s="65" t="str">
        <f>vlookup(C3328,'Classificação p pessoal'!F:G,2,false)</f>
        <v/>
      </c>
      <c r="E3328" s="65" t="s">
        <v>2305</v>
      </c>
      <c r="F3328" s="83">
        <v>0.4479166666666667</v>
      </c>
      <c r="G3328" s="83">
        <v>0.5729166666666666</v>
      </c>
      <c r="H3328" s="83">
        <v>0.125</v>
      </c>
      <c r="I3328" s="84">
        <v>44369.0</v>
      </c>
      <c r="J3328" s="65" t="b">
        <v>1</v>
      </c>
      <c r="K3328" s="65"/>
      <c r="L3328" s="85" t="b">
        <f>IF(VLOOKUP(C3328,Projetos!A:L,12,false)=TRUE,TRUE,FALSE)</f>
        <v>1</v>
      </c>
      <c r="M3328" s="74">
        <v>52.48434411075036</v>
      </c>
      <c r="N3328" s="74">
        <f t="shared" si="1"/>
        <v>157.4530323</v>
      </c>
      <c r="O3328" s="74" t="b">
        <v>1</v>
      </c>
    </row>
    <row r="3329" hidden="1">
      <c r="A3329" s="82"/>
      <c r="B3329" s="65" t="s">
        <v>177</v>
      </c>
      <c r="C3329" s="65" t="s">
        <v>101</v>
      </c>
      <c r="D3329" s="65" t="str">
        <f>vlookup(C3329,'Classificação p pessoal'!F:G,2,false)</f>
        <v>NP</v>
      </c>
      <c r="E3329" s="65" t="s">
        <v>2306</v>
      </c>
      <c r="F3329" s="83">
        <v>0.5833333333333334</v>
      </c>
      <c r="G3329" s="83">
        <v>0.7083333333333334</v>
      </c>
      <c r="H3329" s="83">
        <v>0.125</v>
      </c>
      <c r="I3329" s="84">
        <v>44530.0</v>
      </c>
      <c r="J3329" s="65" t="b">
        <v>1</v>
      </c>
      <c r="K3329" s="65"/>
      <c r="L3329" s="85" t="b">
        <f>IF(VLOOKUP(C3329,Projetos!A:L,12,false)=TRUE,TRUE,FALSE)</f>
        <v>1</v>
      </c>
      <c r="M3329" s="74">
        <v>31.02923620430495</v>
      </c>
      <c r="N3329" s="74">
        <f t="shared" si="1"/>
        <v>93.08770861</v>
      </c>
      <c r="O3329" s="74" t="b">
        <v>1</v>
      </c>
    </row>
    <row r="3330" hidden="1">
      <c r="A3330" s="82"/>
      <c r="B3330" s="65" t="s">
        <v>411</v>
      </c>
      <c r="C3330" s="65" t="s">
        <v>132</v>
      </c>
      <c r="D3330" s="65"/>
      <c r="E3330" s="65" t="s">
        <v>2307</v>
      </c>
      <c r="F3330" s="83">
        <v>0.34375</v>
      </c>
      <c r="G3330" s="83">
        <v>0.375</v>
      </c>
      <c r="H3330" s="83">
        <v>0.03125</v>
      </c>
      <c r="I3330" s="84">
        <v>44370.0</v>
      </c>
      <c r="J3330" s="65" t="b">
        <v>0</v>
      </c>
      <c r="K3330" s="65" t="s">
        <v>150</v>
      </c>
      <c r="L3330" s="85" t="b">
        <f>IF(VLOOKUP(C3330,Projetos!A:L,12,false)=TRUE,TRUE,FALSE)</f>
        <v>0</v>
      </c>
      <c r="M3330" s="74">
        <v>52.48434411075036</v>
      </c>
      <c r="N3330" s="74">
        <f t="shared" si="1"/>
        <v>0</v>
      </c>
      <c r="O3330" s="74" t="b">
        <v>0</v>
      </c>
    </row>
    <row r="3331" hidden="1">
      <c r="A3331" s="82"/>
      <c r="B3331" s="65" t="s">
        <v>411</v>
      </c>
      <c r="C3331" s="65" t="s">
        <v>117</v>
      </c>
      <c r="D3331" s="65" t="str">
        <f>vlookup(C3331,'Classificação p pessoal'!F:G,2,false)</f>
        <v>NP</v>
      </c>
      <c r="E3331" s="65" t="s">
        <v>2308</v>
      </c>
      <c r="F3331" s="83">
        <v>0.375</v>
      </c>
      <c r="G3331" s="83">
        <v>0.4166666666666667</v>
      </c>
      <c r="H3331" s="83">
        <v>0.041666666666666664</v>
      </c>
      <c r="I3331" s="84">
        <v>44370.0</v>
      </c>
      <c r="J3331" s="65" t="b">
        <v>1</v>
      </c>
      <c r="K3331" s="65"/>
      <c r="L3331" s="85" t="b">
        <f>IF(VLOOKUP(C3331,Projetos!A:L,12,false)=TRUE,TRUE,FALSE)</f>
        <v>1</v>
      </c>
      <c r="M3331" s="74">
        <v>52.48434411075036</v>
      </c>
      <c r="N3331" s="74">
        <f t="shared" si="1"/>
        <v>52.48434411</v>
      </c>
      <c r="O3331" s="74" t="b">
        <v>1</v>
      </c>
    </row>
    <row r="3332" hidden="1">
      <c r="A3332" s="82"/>
      <c r="B3332" s="65" t="s">
        <v>411</v>
      </c>
      <c r="C3332" s="65" t="s">
        <v>120</v>
      </c>
      <c r="D3332" s="65"/>
      <c r="E3332" s="65" t="s">
        <v>2309</v>
      </c>
      <c r="F3332" s="83">
        <v>0.4166666666666667</v>
      </c>
      <c r="G3332" s="83">
        <v>0.4791666666666667</v>
      </c>
      <c r="H3332" s="83">
        <v>0.0625</v>
      </c>
      <c r="I3332" s="84">
        <v>44370.0</v>
      </c>
      <c r="J3332" s="65" t="b">
        <v>0</v>
      </c>
      <c r="K3332" s="65"/>
      <c r="L3332" s="85" t="b">
        <f>IF(VLOOKUP(C3332,Projetos!A:L,12,false)=TRUE,TRUE,FALSE)</f>
        <v>0</v>
      </c>
      <c r="M3332" s="74">
        <v>52.48434411075036</v>
      </c>
      <c r="N3332" s="74">
        <f t="shared" si="1"/>
        <v>0</v>
      </c>
      <c r="O3332" s="74" t="b">
        <v>0</v>
      </c>
    </row>
    <row r="3333" hidden="1">
      <c r="A3333" s="82"/>
      <c r="B3333" s="65" t="s">
        <v>177</v>
      </c>
      <c r="C3333" s="65" t="s">
        <v>101</v>
      </c>
      <c r="D3333" s="65" t="str">
        <f>vlookup(C3333,'Classificação p pessoal'!F:G,2,false)</f>
        <v>NP</v>
      </c>
      <c r="E3333" s="65" t="s">
        <v>2310</v>
      </c>
      <c r="F3333" s="83">
        <v>0.3958333333333333</v>
      </c>
      <c r="G3333" s="83">
        <v>0.4583333333333333</v>
      </c>
      <c r="H3333" s="83">
        <v>0.0625</v>
      </c>
      <c r="I3333" s="84">
        <v>44538.0</v>
      </c>
      <c r="J3333" s="65" t="b">
        <v>1</v>
      </c>
      <c r="K3333" s="65"/>
      <c r="L3333" s="85" t="b">
        <f>IF(VLOOKUP(C3333,Projetos!A:L,12,false)=TRUE,TRUE,FALSE)</f>
        <v>1</v>
      </c>
      <c r="M3333" s="74">
        <v>31.02923620430495</v>
      </c>
      <c r="N3333" s="74">
        <f t="shared" si="1"/>
        <v>46.54385431</v>
      </c>
      <c r="O3333" s="74" t="b">
        <v>1</v>
      </c>
    </row>
    <row r="3334" hidden="1">
      <c r="A3334" s="82"/>
      <c r="B3334" s="65" t="s">
        <v>411</v>
      </c>
      <c r="C3334" s="65" t="s">
        <v>92</v>
      </c>
      <c r="D3334" s="65" t="str">
        <f>vlookup(C3334,'Classificação p pessoal'!F:G,2,false)</f>
        <v/>
      </c>
      <c r="E3334" s="65" t="s">
        <v>2311</v>
      </c>
      <c r="F3334" s="83">
        <v>0.5833333333333334</v>
      </c>
      <c r="G3334" s="83">
        <v>0.625</v>
      </c>
      <c r="H3334" s="83">
        <v>0.041666666666666664</v>
      </c>
      <c r="I3334" s="84">
        <v>44370.0</v>
      </c>
      <c r="J3334" s="65" t="b">
        <v>1</v>
      </c>
      <c r="K3334" s="65"/>
      <c r="L3334" s="85" t="b">
        <f>IF(VLOOKUP(C3334,Projetos!A:L,12,false)=TRUE,TRUE,FALSE)</f>
        <v>1</v>
      </c>
      <c r="M3334" s="74">
        <v>52.48434411075036</v>
      </c>
      <c r="N3334" s="74">
        <f t="shared" si="1"/>
        <v>52.48434411</v>
      </c>
      <c r="O3334" s="74" t="b">
        <v>1</v>
      </c>
    </row>
    <row r="3335" hidden="1">
      <c r="A3335" s="82"/>
      <c r="B3335" s="65" t="s">
        <v>411</v>
      </c>
      <c r="C3335" s="65" t="s">
        <v>92</v>
      </c>
      <c r="D3335" s="65" t="str">
        <f>vlookup(C3335,'Classificação p pessoal'!F:G,2,false)</f>
        <v/>
      </c>
      <c r="E3335" s="65" t="s">
        <v>2312</v>
      </c>
      <c r="F3335" s="83">
        <v>0.625</v>
      </c>
      <c r="G3335" s="83">
        <v>0.75</v>
      </c>
      <c r="H3335" s="83">
        <v>0.125</v>
      </c>
      <c r="I3335" s="84">
        <v>44370.0</v>
      </c>
      <c r="J3335" s="65" t="b">
        <v>1</v>
      </c>
      <c r="K3335" s="65"/>
      <c r="L3335" s="85" t="b">
        <f>IF(VLOOKUP(C3335,Projetos!A:L,12,false)=TRUE,TRUE,FALSE)</f>
        <v>1</v>
      </c>
      <c r="M3335" s="74">
        <v>52.48434411075036</v>
      </c>
      <c r="N3335" s="74">
        <f t="shared" si="1"/>
        <v>157.4530323</v>
      </c>
      <c r="O3335" s="74" t="b">
        <v>1</v>
      </c>
    </row>
    <row r="3336" hidden="1">
      <c r="A3336" s="82"/>
      <c r="B3336" s="65" t="s">
        <v>411</v>
      </c>
      <c r="C3336" s="65" t="s">
        <v>92</v>
      </c>
      <c r="D3336" s="65" t="str">
        <f>vlookup(C3336,'Classificação p pessoal'!F:G,2,false)</f>
        <v/>
      </c>
      <c r="E3336" s="65" t="s">
        <v>2313</v>
      </c>
      <c r="F3336" s="83">
        <v>0.34375</v>
      </c>
      <c r="G3336" s="83">
        <v>0.5625</v>
      </c>
      <c r="H3336" s="83">
        <v>0.21875</v>
      </c>
      <c r="I3336" s="84">
        <v>44371.0</v>
      </c>
      <c r="J3336" s="65" t="b">
        <v>1</v>
      </c>
      <c r="K3336" s="65"/>
      <c r="L3336" s="85" t="b">
        <f>IF(VLOOKUP(C3336,Projetos!A:L,12,false)=TRUE,TRUE,FALSE)</f>
        <v>1</v>
      </c>
      <c r="M3336" s="74">
        <v>52.48434411075036</v>
      </c>
      <c r="N3336" s="74">
        <f t="shared" si="1"/>
        <v>275.5428066</v>
      </c>
      <c r="O3336" s="74" t="b">
        <v>1</v>
      </c>
    </row>
    <row r="3337" hidden="1">
      <c r="A3337" s="82"/>
      <c r="B3337" s="65" t="s">
        <v>177</v>
      </c>
      <c r="C3337" s="65" t="s">
        <v>101</v>
      </c>
      <c r="D3337" s="65" t="str">
        <f>vlookup(C3337,'Classificação p pessoal'!F:G,2,false)</f>
        <v>NP</v>
      </c>
      <c r="E3337" s="65" t="s">
        <v>2314</v>
      </c>
      <c r="F3337" s="83">
        <v>0.4583333333333333</v>
      </c>
      <c r="G3337" s="83">
        <v>0.5208333333333334</v>
      </c>
      <c r="H3337" s="83">
        <v>0.0625</v>
      </c>
      <c r="I3337" s="84">
        <v>44538.0</v>
      </c>
      <c r="J3337" s="65" t="b">
        <v>1</v>
      </c>
      <c r="K3337" s="65"/>
      <c r="L3337" s="85" t="b">
        <f>IF(VLOOKUP(C3337,Projetos!A:L,12,false)=TRUE,TRUE,FALSE)</f>
        <v>1</v>
      </c>
      <c r="M3337" s="74">
        <v>31.02923620430495</v>
      </c>
      <c r="N3337" s="74">
        <f t="shared" si="1"/>
        <v>46.54385431</v>
      </c>
      <c r="O3337" s="74" t="b">
        <v>1</v>
      </c>
    </row>
    <row r="3338" hidden="1">
      <c r="A3338" s="82"/>
      <c r="B3338" s="65" t="s">
        <v>411</v>
      </c>
      <c r="C3338" s="65" t="s">
        <v>92</v>
      </c>
      <c r="D3338" s="65" t="str">
        <f>vlookup(C3338,'Classificação p pessoal'!F:G,2,false)</f>
        <v/>
      </c>
      <c r="E3338" s="65" t="s">
        <v>2313</v>
      </c>
      <c r="F3338" s="83">
        <v>0.6458333333333334</v>
      </c>
      <c r="G3338" s="83">
        <v>0.75</v>
      </c>
      <c r="H3338" s="83">
        <v>0.10416666666666667</v>
      </c>
      <c r="I3338" s="84">
        <v>44371.0</v>
      </c>
      <c r="J3338" s="65" t="b">
        <v>1</v>
      </c>
      <c r="K3338" s="65"/>
      <c r="L3338" s="85" t="b">
        <f>IF(VLOOKUP(C3338,Projetos!A:L,12,false)=TRUE,TRUE,FALSE)</f>
        <v>1</v>
      </c>
      <c r="M3338" s="74">
        <v>52.48434411075036</v>
      </c>
      <c r="N3338" s="74">
        <f t="shared" si="1"/>
        <v>131.2108603</v>
      </c>
      <c r="O3338" s="74" t="b">
        <v>1</v>
      </c>
    </row>
    <row r="3339" hidden="1">
      <c r="A3339" s="82"/>
      <c r="B3339" s="65" t="s">
        <v>411</v>
      </c>
      <c r="C3339" s="65" t="s">
        <v>92</v>
      </c>
      <c r="D3339" s="65" t="str">
        <f>vlookup(C3339,'Classificação p pessoal'!F:G,2,false)</f>
        <v/>
      </c>
      <c r="E3339" s="65" t="s">
        <v>2313</v>
      </c>
      <c r="F3339" s="83">
        <v>0.34375</v>
      </c>
      <c r="G3339" s="83">
        <v>0.4166666666666667</v>
      </c>
      <c r="H3339" s="83">
        <v>0.07291666666666667</v>
      </c>
      <c r="I3339" s="84">
        <v>44372.0</v>
      </c>
      <c r="J3339" s="65" t="b">
        <v>1</v>
      </c>
      <c r="K3339" s="65"/>
      <c r="L3339" s="85" t="b">
        <f>IF(VLOOKUP(C3339,Projetos!A:L,12,false)=TRUE,TRUE,FALSE)</f>
        <v>1</v>
      </c>
      <c r="M3339" s="74">
        <v>52.48434411075036</v>
      </c>
      <c r="N3339" s="74">
        <f t="shared" si="1"/>
        <v>91.84760219</v>
      </c>
      <c r="O3339" s="74" t="b">
        <v>1</v>
      </c>
    </row>
    <row r="3340" hidden="1">
      <c r="A3340" s="82"/>
      <c r="B3340" s="65" t="s">
        <v>411</v>
      </c>
      <c r="C3340" s="65" t="s">
        <v>119</v>
      </c>
      <c r="D3340" s="65" t="str">
        <f>vlookup(C3340,'Classificação p pessoal'!F:G,2,false)</f>
        <v>NP</v>
      </c>
      <c r="E3340" s="65" t="s">
        <v>2315</v>
      </c>
      <c r="F3340" s="83">
        <v>0.4166666666666667</v>
      </c>
      <c r="G3340" s="83">
        <v>0.4583333333333333</v>
      </c>
      <c r="H3340" s="83">
        <v>0.041666666666666664</v>
      </c>
      <c r="I3340" s="84">
        <v>44372.0</v>
      </c>
      <c r="J3340" s="65" t="b">
        <v>1</v>
      </c>
      <c r="K3340" s="65"/>
      <c r="L3340" s="85" t="b">
        <f>IF(VLOOKUP(C3340,Projetos!A:L,12,false)=TRUE,TRUE,FALSE)</f>
        <v>1</v>
      </c>
      <c r="M3340" s="74">
        <v>52.48434411075036</v>
      </c>
      <c r="N3340" s="74">
        <f t="shared" si="1"/>
        <v>52.48434411</v>
      </c>
      <c r="O3340" s="74" t="b">
        <v>1</v>
      </c>
    </row>
    <row r="3341" hidden="1">
      <c r="A3341" s="82"/>
      <c r="B3341" s="65" t="s">
        <v>411</v>
      </c>
      <c r="C3341" s="65" t="s">
        <v>132</v>
      </c>
      <c r="D3341" s="65"/>
      <c r="E3341" s="65" t="s">
        <v>2316</v>
      </c>
      <c r="F3341" s="83">
        <v>0.4583333333333333</v>
      </c>
      <c r="G3341" s="83">
        <v>0.5</v>
      </c>
      <c r="H3341" s="83">
        <v>0.041666666666666664</v>
      </c>
      <c r="I3341" s="84">
        <v>44372.0</v>
      </c>
      <c r="J3341" s="65" t="b">
        <v>0</v>
      </c>
      <c r="K3341" s="65" t="s">
        <v>150</v>
      </c>
      <c r="L3341" s="85" t="b">
        <f>IF(VLOOKUP(C3341,Projetos!A:L,12,false)=TRUE,TRUE,FALSE)</f>
        <v>0</v>
      </c>
      <c r="M3341" s="74">
        <v>52.48434411075036</v>
      </c>
      <c r="N3341" s="74">
        <f t="shared" si="1"/>
        <v>0</v>
      </c>
      <c r="O3341" s="74" t="b">
        <v>0</v>
      </c>
    </row>
    <row r="3342" hidden="1">
      <c r="A3342" s="82"/>
      <c r="B3342" s="65" t="s">
        <v>411</v>
      </c>
      <c r="C3342" s="65" t="s">
        <v>117</v>
      </c>
      <c r="D3342" s="65"/>
      <c r="E3342" s="65" t="s">
        <v>615</v>
      </c>
      <c r="F3342" s="83">
        <v>0.5</v>
      </c>
      <c r="G3342" s="83">
        <v>0.5833333333333334</v>
      </c>
      <c r="H3342" s="83">
        <v>0.08333333333333333</v>
      </c>
      <c r="I3342" s="84">
        <v>44372.0</v>
      </c>
      <c r="J3342" s="65" t="b">
        <v>0</v>
      </c>
      <c r="K3342" s="65" t="s">
        <v>150</v>
      </c>
      <c r="L3342" s="85" t="b">
        <f>IF(VLOOKUP(C3342,Projetos!A:L,12,false)=TRUE,TRUE,FALSE)</f>
        <v>1</v>
      </c>
      <c r="M3342" s="74">
        <v>52.48434411075036</v>
      </c>
      <c r="N3342" s="74">
        <f t="shared" si="1"/>
        <v>0</v>
      </c>
      <c r="O3342" s="74" t="b">
        <v>1</v>
      </c>
    </row>
    <row r="3343" hidden="1">
      <c r="A3343" s="82"/>
      <c r="B3343" s="65" t="s">
        <v>411</v>
      </c>
      <c r="C3343" s="65" t="s">
        <v>117</v>
      </c>
      <c r="D3343" s="65"/>
      <c r="E3343" s="65" t="s">
        <v>2317</v>
      </c>
      <c r="F3343" s="83">
        <v>0.625</v>
      </c>
      <c r="G3343" s="83">
        <v>0.7083333333333334</v>
      </c>
      <c r="H3343" s="83">
        <v>0.08333333333333333</v>
      </c>
      <c r="I3343" s="84">
        <v>44372.0</v>
      </c>
      <c r="J3343" s="65" t="b">
        <v>0</v>
      </c>
      <c r="K3343" s="65" t="s">
        <v>150</v>
      </c>
      <c r="L3343" s="85" t="b">
        <f>IF(VLOOKUP(C3343,Projetos!A:L,12,false)=TRUE,TRUE,FALSE)</f>
        <v>1</v>
      </c>
      <c r="M3343" s="74">
        <v>52.48434411075036</v>
      </c>
      <c r="N3343" s="74">
        <f t="shared" si="1"/>
        <v>0</v>
      </c>
      <c r="O3343" s="74" t="b">
        <v>1</v>
      </c>
    </row>
    <row r="3344" hidden="1">
      <c r="A3344" s="82"/>
      <c r="B3344" s="65" t="s">
        <v>411</v>
      </c>
      <c r="C3344" s="65" t="s">
        <v>88</v>
      </c>
      <c r="D3344" s="65" t="str">
        <f>vlookup(C3344,'Classificação p pessoal'!F:G,2,false)</f>
        <v>MProduto</v>
      </c>
      <c r="E3344" s="65" t="s">
        <v>2318</v>
      </c>
      <c r="F3344" s="83">
        <v>0.7083333333333334</v>
      </c>
      <c r="G3344" s="83">
        <v>0.75</v>
      </c>
      <c r="H3344" s="83">
        <v>0.041666666666666664</v>
      </c>
      <c r="I3344" s="84">
        <v>44372.0</v>
      </c>
      <c r="J3344" s="65" t="b">
        <v>1</v>
      </c>
      <c r="K3344" s="65"/>
      <c r="L3344" s="85" t="b">
        <f>IF(VLOOKUP(C3344,Projetos!A:L,12,false)=TRUE,TRUE,FALSE)</f>
        <v>1</v>
      </c>
      <c r="M3344" s="74">
        <v>52.48434411075036</v>
      </c>
      <c r="N3344" s="74">
        <f t="shared" si="1"/>
        <v>52.48434411</v>
      </c>
      <c r="O3344" s="74" t="b">
        <v>1</v>
      </c>
    </row>
    <row r="3345" hidden="1">
      <c r="A3345" s="82"/>
      <c r="B3345" s="65" t="s">
        <v>411</v>
      </c>
      <c r="C3345" s="65" t="s">
        <v>117</v>
      </c>
      <c r="D3345" s="65" t="str">
        <f>vlookup(C3345,'Classificação p pessoal'!F:G,2,false)</f>
        <v>NP</v>
      </c>
      <c r="E3345" s="65" t="s">
        <v>2319</v>
      </c>
      <c r="F3345" s="83">
        <v>0.34375</v>
      </c>
      <c r="G3345" s="83">
        <v>0.5416666666666666</v>
      </c>
      <c r="H3345" s="83">
        <v>0.19791666666666666</v>
      </c>
      <c r="I3345" s="84">
        <v>44375.0</v>
      </c>
      <c r="J3345" s="65" t="b">
        <v>1</v>
      </c>
      <c r="K3345" s="65"/>
      <c r="L3345" s="85" t="b">
        <f>IF(VLOOKUP(C3345,Projetos!A:L,12,false)=TRUE,TRUE,FALSE)</f>
        <v>1</v>
      </c>
      <c r="M3345" s="74">
        <v>52.48434411075036</v>
      </c>
      <c r="N3345" s="74">
        <f t="shared" si="1"/>
        <v>249.3006345</v>
      </c>
      <c r="O3345" s="74" t="b">
        <v>1</v>
      </c>
    </row>
    <row r="3346" hidden="1">
      <c r="A3346" s="82"/>
      <c r="B3346" s="65" t="s">
        <v>411</v>
      </c>
      <c r="C3346" s="65" t="s">
        <v>92</v>
      </c>
      <c r="D3346" s="65" t="str">
        <f>vlookup(C3346,'Classificação p pessoal'!F:G,2,false)</f>
        <v/>
      </c>
      <c r="E3346" s="65" t="s">
        <v>2313</v>
      </c>
      <c r="F3346" s="83">
        <v>0.5833333333333334</v>
      </c>
      <c r="G3346" s="83">
        <v>0.625</v>
      </c>
      <c r="H3346" s="83">
        <v>0.041666666666666664</v>
      </c>
      <c r="I3346" s="84">
        <v>44375.0</v>
      </c>
      <c r="J3346" s="65" t="b">
        <v>1</v>
      </c>
      <c r="K3346" s="65"/>
      <c r="L3346" s="85" t="b">
        <f>IF(VLOOKUP(C3346,Projetos!A:L,12,false)=TRUE,TRUE,FALSE)</f>
        <v>1</v>
      </c>
      <c r="M3346" s="74">
        <v>52.48434411075036</v>
      </c>
      <c r="N3346" s="74">
        <f t="shared" si="1"/>
        <v>52.48434411</v>
      </c>
      <c r="O3346" s="74" t="b">
        <v>1</v>
      </c>
    </row>
    <row r="3347" hidden="1">
      <c r="A3347" s="82"/>
      <c r="B3347" s="65" t="s">
        <v>411</v>
      </c>
      <c r="C3347" s="65" t="s">
        <v>117</v>
      </c>
      <c r="D3347" s="65" t="str">
        <f>vlookup(C3347,'Classificação p pessoal'!F:G,2,false)</f>
        <v>NP</v>
      </c>
      <c r="E3347" s="65" t="s">
        <v>2320</v>
      </c>
      <c r="F3347" s="83">
        <v>0.625</v>
      </c>
      <c r="G3347" s="83">
        <v>0.75</v>
      </c>
      <c r="H3347" s="83">
        <v>0.125</v>
      </c>
      <c r="I3347" s="84">
        <v>44375.0</v>
      </c>
      <c r="J3347" s="65" t="b">
        <v>1</v>
      </c>
      <c r="K3347" s="65"/>
      <c r="L3347" s="85" t="b">
        <f>IF(VLOOKUP(C3347,Projetos!A:L,12,false)=TRUE,TRUE,FALSE)</f>
        <v>1</v>
      </c>
      <c r="M3347" s="74">
        <v>52.48434411075036</v>
      </c>
      <c r="N3347" s="74">
        <f t="shared" si="1"/>
        <v>157.4530323</v>
      </c>
      <c r="O3347" s="74" t="b">
        <v>1</v>
      </c>
    </row>
    <row r="3348" hidden="1">
      <c r="A3348" s="82"/>
      <c r="B3348" s="65" t="s">
        <v>411</v>
      </c>
      <c r="C3348" s="65" t="s">
        <v>92</v>
      </c>
      <c r="D3348" s="65" t="str">
        <f>vlookup(C3348,'Classificação p pessoal'!F:G,2,false)</f>
        <v/>
      </c>
      <c r="E3348" s="65" t="s">
        <v>2321</v>
      </c>
      <c r="F3348" s="83">
        <v>0.34375</v>
      </c>
      <c r="G3348" s="83">
        <v>0.5416666666666666</v>
      </c>
      <c r="H3348" s="83">
        <v>0.19791666666666666</v>
      </c>
      <c r="I3348" s="84">
        <v>44376.0</v>
      </c>
      <c r="J3348" s="65" t="b">
        <v>1</v>
      </c>
      <c r="K3348" s="65"/>
      <c r="L3348" s="85" t="b">
        <f>IF(VLOOKUP(C3348,Projetos!A:L,12,false)=TRUE,TRUE,FALSE)</f>
        <v>1</v>
      </c>
      <c r="M3348" s="74">
        <v>52.48434411075036</v>
      </c>
      <c r="N3348" s="74">
        <f t="shared" si="1"/>
        <v>249.3006345</v>
      </c>
      <c r="O3348" s="74" t="b">
        <v>1</v>
      </c>
    </row>
    <row r="3349" hidden="1">
      <c r="A3349" s="82"/>
      <c r="B3349" s="65" t="s">
        <v>411</v>
      </c>
      <c r="C3349" s="65" t="s">
        <v>117</v>
      </c>
      <c r="D3349" s="65"/>
      <c r="E3349" s="65" t="s">
        <v>2322</v>
      </c>
      <c r="F3349" s="83">
        <v>0.5416666666666666</v>
      </c>
      <c r="G3349" s="83">
        <v>0.5833333333333334</v>
      </c>
      <c r="H3349" s="83">
        <v>0.041666666666666664</v>
      </c>
      <c r="I3349" s="84">
        <v>44376.0</v>
      </c>
      <c r="J3349" s="65" t="b">
        <v>0</v>
      </c>
      <c r="K3349" s="65" t="s">
        <v>150</v>
      </c>
      <c r="L3349" s="85" t="b">
        <f>IF(VLOOKUP(C3349,Projetos!A:L,12,false)=TRUE,TRUE,FALSE)</f>
        <v>1</v>
      </c>
      <c r="M3349" s="74">
        <v>52.48434411075036</v>
      </c>
      <c r="N3349" s="74">
        <f t="shared" si="1"/>
        <v>0</v>
      </c>
      <c r="O3349" s="74" t="b">
        <v>1</v>
      </c>
    </row>
    <row r="3350" hidden="1">
      <c r="A3350" s="82"/>
      <c r="B3350" s="65" t="s">
        <v>411</v>
      </c>
      <c r="C3350" s="65" t="s">
        <v>92</v>
      </c>
      <c r="D3350" s="65" t="str">
        <f>vlookup(C3350,'Classificação p pessoal'!F:G,2,false)</f>
        <v/>
      </c>
      <c r="E3350" s="65" t="s">
        <v>2323</v>
      </c>
      <c r="F3350" s="83">
        <v>0.625</v>
      </c>
      <c r="G3350" s="83">
        <v>0.6666666666666666</v>
      </c>
      <c r="H3350" s="83">
        <v>0.041666666666666664</v>
      </c>
      <c r="I3350" s="84">
        <v>44376.0</v>
      </c>
      <c r="J3350" s="65" t="b">
        <v>1</v>
      </c>
      <c r="K3350" s="65"/>
      <c r="L3350" s="85" t="b">
        <f>IF(VLOOKUP(C3350,Projetos!A:L,12,false)=TRUE,TRUE,FALSE)</f>
        <v>1</v>
      </c>
      <c r="M3350" s="74">
        <v>52.48434411075036</v>
      </c>
      <c r="N3350" s="74">
        <f t="shared" si="1"/>
        <v>52.48434411</v>
      </c>
      <c r="O3350" s="74" t="b">
        <v>1</v>
      </c>
    </row>
    <row r="3351" hidden="1">
      <c r="A3351" s="82"/>
      <c r="B3351" s="65" t="s">
        <v>411</v>
      </c>
      <c r="C3351" s="65" t="s">
        <v>117</v>
      </c>
      <c r="D3351" s="65" t="str">
        <f>vlookup(C3351,'Classificação p pessoal'!F:G,2,false)</f>
        <v>NP</v>
      </c>
      <c r="E3351" s="65" t="s">
        <v>2324</v>
      </c>
      <c r="F3351" s="83">
        <v>0.6666666666666666</v>
      </c>
      <c r="G3351" s="83">
        <v>0.75</v>
      </c>
      <c r="H3351" s="83">
        <v>0.08333333333333333</v>
      </c>
      <c r="I3351" s="84">
        <v>44376.0</v>
      </c>
      <c r="J3351" s="65" t="b">
        <v>1</v>
      </c>
      <c r="K3351" s="65"/>
      <c r="L3351" s="85" t="b">
        <f>IF(VLOOKUP(C3351,Projetos!A:L,12,false)=TRUE,TRUE,FALSE)</f>
        <v>1</v>
      </c>
      <c r="M3351" s="74">
        <v>52.48434411075036</v>
      </c>
      <c r="N3351" s="74">
        <f t="shared" si="1"/>
        <v>104.9686882</v>
      </c>
      <c r="O3351" s="74" t="b">
        <v>1</v>
      </c>
    </row>
    <row r="3352" hidden="1">
      <c r="A3352" s="82"/>
      <c r="B3352" s="65" t="s">
        <v>411</v>
      </c>
      <c r="C3352" s="65" t="s">
        <v>117</v>
      </c>
      <c r="D3352" s="65" t="str">
        <f>vlookup(C3352,'Classificação p pessoal'!F:G,2,false)</f>
        <v>NP</v>
      </c>
      <c r="E3352" s="65" t="s">
        <v>2325</v>
      </c>
      <c r="F3352" s="83">
        <v>0.34375</v>
      </c>
      <c r="G3352" s="83">
        <v>0.4375</v>
      </c>
      <c r="H3352" s="83">
        <v>0.09375</v>
      </c>
      <c r="I3352" s="84">
        <v>44377.0</v>
      </c>
      <c r="J3352" s="65" t="b">
        <v>1</v>
      </c>
      <c r="K3352" s="65"/>
      <c r="L3352" s="85" t="b">
        <f>IF(VLOOKUP(C3352,Projetos!A:L,12,false)=TRUE,TRUE,FALSE)</f>
        <v>1</v>
      </c>
      <c r="M3352" s="74">
        <v>52.48434411075036</v>
      </c>
      <c r="N3352" s="74">
        <f t="shared" si="1"/>
        <v>118.0897742</v>
      </c>
      <c r="O3352" s="74" t="b">
        <v>1</v>
      </c>
    </row>
    <row r="3353" hidden="1">
      <c r="A3353" s="82"/>
      <c r="B3353" s="65" t="s">
        <v>411</v>
      </c>
      <c r="C3353" s="65" t="s">
        <v>130</v>
      </c>
      <c r="D3353" s="65"/>
      <c r="E3353" s="65" t="s">
        <v>2326</v>
      </c>
      <c r="F3353" s="83">
        <v>0.4375</v>
      </c>
      <c r="G3353" s="83">
        <v>0.5416666666666666</v>
      </c>
      <c r="H3353" s="83">
        <v>0.10416666666666667</v>
      </c>
      <c r="I3353" s="84">
        <v>44377.0</v>
      </c>
      <c r="J3353" s="65" t="b">
        <v>0</v>
      </c>
      <c r="K3353" s="65" t="s">
        <v>150</v>
      </c>
      <c r="L3353" s="85" t="b">
        <f>IF(VLOOKUP(C3353,Projetos!A:L,12,false)=TRUE,TRUE,FALSE)</f>
        <v>1</v>
      </c>
      <c r="M3353" s="74">
        <v>52.48434411075036</v>
      </c>
      <c r="N3353" s="74">
        <f t="shared" si="1"/>
        <v>0</v>
      </c>
      <c r="O3353" s="74" t="b">
        <v>1</v>
      </c>
    </row>
    <row r="3354" hidden="1">
      <c r="A3354" s="82"/>
      <c r="B3354" s="65" t="s">
        <v>411</v>
      </c>
      <c r="C3354" s="65" t="s">
        <v>117</v>
      </c>
      <c r="D3354" s="65" t="str">
        <f>vlookup(C3354,'Classificação p pessoal'!F:G,2,false)</f>
        <v>NP</v>
      </c>
      <c r="E3354" s="65" t="s">
        <v>2327</v>
      </c>
      <c r="F3354" s="83">
        <v>0.5833333333333334</v>
      </c>
      <c r="G3354" s="83">
        <v>0.625</v>
      </c>
      <c r="H3354" s="83">
        <v>0.041666666666666664</v>
      </c>
      <c r="I3354" s="84">
        <v>44377.0</v>
      </c>
      <c r="J3354" s="65" t="b">
        <v>1</v>
      </c>
      <c r="K3354" s="65"/>
      <c r="L3354" s="85" t="b">
        <f>IF(VLOOKUP(C3354,Projetos!A:L,12,false)=TRUE,TRUE,FALSE)</f>
        <v>1</v>
      </c>
      <c r="M3354" s="74">
        <v>52.48434411075036</v>
      </c>
      <c r="N3354" s="74">
        <f t="shared" si="1"/>
        <v>52.48434411</v>
      </c>
      <c r="O3354" s="74" t="b">
        <v>1</v>
      </c>
    </row>
    <row r="3355" hidden="1">
      <c r="A3355" s="82"/>
      <c r="B3355" s="65" t="s">
        <v>411</v>
      </c>
      <c r="C3355" s="65" t="s">
        <v>132</v>
      </c>
      <c r="D3355" s="65"/>
      <c r="E3355" s="65" t="s">
        <v>2328</v>
      </c>
      <c r="F3355" s="83">
        <v>0.625</v>
      </c>
      <c r="G3355" s="83">
        <v>0.6666666666666666</v>
      </c>
      <c r="H3355" s="83">
        <v>0.041666666666666664</v>
      </c>
      <c r="I3355" s="84">
        <v>44377.0</v>
      </c>
      <c r="J3355" s="65" t="b">
        <v>0</v>
      </c>
      <c r="K3355" s="65" t="s">
        <v>150</v>
      </c>
      <c r="L3355" s="85" t="b">
        <f>IF(VLOOKUP(C3355,Projetos!A:L,12,false)=TRUE,TRUE,FALSE)</f>
        <v>0</v>
      </c>
      <c r="M3355" s="74">
        <v>52.48434411075036</v>
      </c>
      <c r="N3355" s="74">
        <f t="shared" si="1"/>
        <v>0</v>
      </c>
      <c r="O3355" s="74" t="b">
        <v>0</v>
      </c>
    </row>
    <row r="3356" hidden="1">
      <c r="A3356" s="82"/>
      <c r="B3356" s="65" t="s">
        <v>411</v>
      </c>
      <c r="C3356" s="65" t="s">
        <v>92</v>
      </c>
      <c r="D3356" s="65" t="str">
        <f>vlookup(C3356,'Classificação p pessoal'!F:G,2,false)</f>
        <v/>
      </c>
      <c r="E3356" s="65" t="s">
        <v>2329</v>
      </c>
      <c r="F3356" s="83">
        <v>0.34375</v>
      </c>
      <c r="G3356" s="83">
        <v>0.375</v>
      </c>
      <c r="H3356" s="83">
        <v>0.03125</v>
      </c>
      <c r="I3356" s="84">
        <v>44378.0</v>
      </c>
      <c r="J3356" s="65" t="b">
        <v>1</v>
      </c>
      <c r="K3356" s="65"/>
      <c r="L3356" s="85" t="b">
        <f>IF(VLOOKUP(C3356,Projetos!A:L,12,false)=TRUE,TRUE,FALSE)</f>
        <v>1</v>
      </c>
      <c r="M3356" s="74">
        <v>52.48434411075036</v>
      </c>
      <c r="N3356" s="74">
        <f t="shared" si="1"/>
        <v>39.36325808</v>
      </c>
      <c r="O3356" s="74" t="b">
        <v>1</v>
      </c>
    </row>
    <row r="3357" hidden="1">
      <c r="A3357" s="82"/>
      <c r="B3357" s="65" t="s">
        <v>177</v>
      </c>
      <c r="C3357" s="65" t="s">
        <v>101</v>
      </c>
      <c r="D3357" s="65" t="str">
        <f>vlookup(C3357,'Classificação p pessoal'!F:G,2,false)</f>
        <v>NP</v>
      </c>
      <c r="E3357" s="65" t="s">
        <v>2330</v>
      </c>
      <c r="F3357" s="83">
        <v>0.7083333333333334</v>
      </c>
      <c r="G3357" s="83">
        <v>0.75</v>
      </c>
      <c r="H3357" s="83">
        <v>0.041666666666666664</v>
      </c>
      <c r="I3357" s="84">
        <v>44538.0</v>
      </c>
      <c r="J3357" s="65" t="b">
        <v>1</v>
      </c>
      <c r="K3357" s="65"/>
      <c r="L3357" s="85" t="b">
        <f>IF(VLOOKUP(C3357,Projetos!A:L,12,false)=TRUE,TRUE,FALSE)</f>
        <v>1</v>
      </c>
      <c r="M3357" s="74">
        <v>31.02923620430495</v>
      </c>
      <c r="N3357" s="74">
        <f t="shared" si="1"/>
        <v>31.0292362</v>
      </c>
      <c r="O3357" s="74" t="b">
        <v>1</v>
      </c>
    </row>
    <row r="3358">
      <c r="A3358" s="82"/>
      <c r="B3358" s="65" t="s">
        <v>411</v>
      </c>
      <c r="C3358" s="65" t="s">
        <v>108</v>
      </c>
      <c r="D3358" s="65" t="str">
        <f>vlookup(C3358,'Classificação p pessoal'!F:G,2,false)</f>
        <v>NP</v>
      </c>
      <c r="E3358" s="65" t="s">
        <v>2331</v>
      </c>
      <c r="F3358" s="83">
        <v>0.46875</v>
      </c>
      <c r="G3358" s="83">
        <v>0.5104166666666666</v>
      </c>
      <c r="H3358" s="83">
        <v>0.041666666666666664</v>
      </c>
      <c r="I3358" s="84">
        <v>44378.0</v>
      </c>
      <c r="J3358" s="65" t="b">
        <v>1</v>
      </c>
      <c r="K3358" s="65"/>
      <c r="L3358" s="85" t="b">
        <f>IF(VLOOKUP(C3358,Projetos!A:L,12,false)=TRUE,TRUE,FALSE)</f>
        <v>1</v>
      </c>
      <c r="M3358" s="74">
        <v>52.48434411075036</v>
      </c>
      <c r="N3358" s="74">
        <f t="shared" si="1"/>
        <v>52.48434411</v>
      </c>
      <c r="O3358" s="74" t="b">
        <v>1</v>
      </c>
    </row>
    <row r="3359" hidden="1">
      <c r="A3359" s="82"/>
      <c r="B3359" s="65" t="s">
        <v>411</v>
      </c>
      <c r="C3359" s="65" t="s">
        <v>92</v>
      </c>
      <c r="D3359" s="65"/>
      <c r="E3359" s="65" t="s">
        <v>2332</v>
      </c>
      <c r="F3359" s="83">
        <v>0.5104166666666666</v>
      </c>
      <c r="G3359" s="83">
        <v>0.5625</v>
      </c>
      <c r="H3359" s="83">
        <v>0.052083333333333336</v>
      </c>
      <c r="I3359" s="84">
        <v>44378.0</v>
      </c>
      <c r="J3359" s="65" t="b">
        <v>0</v>
      </c>
      <c r="K3359" s="65" t="s">
        <v>150</v>
      </c>
      <c r="L3359" s="85" t="b">
        <f>IF(VLOOKUP(C3359,Projetos!A:L,12,false)=TRUE,TRUE,FALSE)</f>
        <v>1</v>
      </c>
      <c r="M3359" s="74">
        <v>52.48434411075036</v>
      </c>
      <c r="N3359" s="74">
        <f t="shared" si="1"/>
        <v>0</v>
      </c>
      <c r="O3359" s="74" t="b">
        <v>1</v>
      </c>
    </row>
    <row r="3360" hidden="1">
      <c r="A3360" s="82"/>
      <c r="B3360" s="65" t="s">
        <v>177</v>
      </c>
      <c r="C3360" s="65" t="s">
        <v>101</v>
      </c>
      <c r="D3360" s="65" t="str">
        <f>vlookup(C3360,'Classificação p pessoal'!F:G,2,false)</f>
        <v>NP</v>
      </c>
      <c r="E3360" s="65" t="s">
        <v>2333</v>
      </c>
      <c r="F3360" s="83">
        <v>0.3958333333333333</v>
      </c>
      <c r="G3360" s="83">
        <v>0.5208333333333334</v>
      </c>
      <c r="H3360" s="83">
        <v>0.125</v>
      </c>
      <c r="I3360" s="84">
        <v>44546.0</v>
      </c>
      <c r="J3360" s="65" t="b">
        <v>1</v>
      </c>
      <c r="K3360" s="65"/>
      <c r="L3360" s="85" t="b">
        <f>IF(VLOOKUP(C3360,Projetos!A:L,12,false)=TRUE,TRUE,FALSE)</f>
        <v>1</v>
      </c>
      <c r="M3360" s="74">
        <v>31.02923620430495</v>
      </c>
      <c r="N3360" s="74">
        <f t="shared" si="1"/>
        <v>93.08770861</v>
      </c>
      <c r="O3360" s="74" t="b">
        <v>1</v>
      </c>
    </row>
    <row r="3361">
      <c r="A3361" s="82"/>
      <c r="B3361" s="65" t="s">
        <v>411</v>
      </c>
      <c r="C3361" s="65" t="s">
        <v>108</v>
      </c>
      <c r="D3361" s="65" t="str">
        <f>vlookup(C3361,'Classificação p pessoal'!F:G,2,false)</f>
        <v>NP</v>
      </c>
      <c r="E3361" s="65" t="s">
        <v>2334</v>
      </c>
      <c r="F3361" s="83">
        <v>0.625</v>
      </c>
      <c r="G3361" s="83">
        <v>0.6875</v>
      </c>
      <c r="H3361" s="83">
        <v>0.0625</v>
      </c>
      <c r="I3361" s="84">
        <v>44378.0</v>
      </c>
      <c r="J3361" s="65" t="b">
        <v>1</v>
      </c>
      <c r="K3361" s="65"/>
      <c r="L3361" s="85" t="b">
        <f>IF(VLOOKUP(C3361,Projetos!A:L,12,false)=TRUE,TRUE,FALSE)</f>
        <v>1</v>
      </c>
      <c r="M3361" s="74">
        <v>52.48434411075036</v>
      </c>
      <c r="N3361" s="74">
        <f t="shared" si="1"/>
        <v>78.72651617</v>
      </c>
      <c r="O3361" s="74" t="b">
        <v>1</v>
      </c>
    </row>
    <row r="3362" hidden="1">
      <c r="A3362" s="82"/>
      <c r="B3362" s="65" t="s">
        <v>177</v>
      </c>
      <c r="C3362" s="65" t="s">
        <v>106</v>
      </c>
      <c r="D3362" s="65" t="str">
        <f>vlookup(C3362,'Classificação p pessoal'!F:G,2,false)</f>
        <v>MProcesso</v>
      </c>
      <c r="E3362" s="65" t="s">
        <v>2335</v>
      </c>
      <c r="F3362" s="83">
        <v>0.4375</v>
      </c>
      <c r="G3362" s="83">
        <v>0.4583333333333333</v>
      </c>
      <c r="H3362" s="83">
        <v>0.020833333333333332</v>
      </c>
      <c r="I3362" s="84">
        <v>44482.0</v>
      </c>
      <c r="J3362" s="65" t="b">
        <v>1</v>
      </c>
      <c r="K3362" s="65"/>
      <c r="L3362" s="85" t="b">
        <f>IF(VLOOKUP(C3362,Projetos!A:L,12,false)=TRUE,TRUE,FALSE)</f>
        <v>1</v>
      </c>
      <c r="M3362" s="74">
        <v>31.02923620430495</v>
      </c>
      <c r="N3362" s="74">
        <f t="shared" si="1"/>
        <v>15.5146181</v>
      </c>
      <c r="O3362" s="74" t="b">
        <v>1</v>
      </c>
    </row>
    <row r="3363" hidden="1">
      <c r="A3363" s="82"/>
      <c r="B3363" s="65" t="s">
        <v>411</v>
      </c>
      <c r="C3363" s="65" t="s">
        <v>125</v>
      </c>
      <c r="D3363" s="65" t="str">
        <f>vlookup(C3363,'Classificação p pessoal'!F:G,2,false)</f>
        <v>MProduto</v>
      </c>
      <c r="E3363" s="65" t="s">
        <v>2336</v>
      </c>
      <c r="F3363" s="83">
        <v>0.6979166666666666</v>
      </c>
      <c r="G3363" s="83">
        <v>0.7083333333333334</v>
      </c>
      <c r="H3363" s="83">
        <v>0.010416666666666666</v>
      </c>
      <c r="I3363" s="84">
        <v>44378.0</v>
      </c>
      <c r="J3363" s="65" t="b">
        <v>1</v>
      </c>
      <c r="K3363" s="65"/>
      <c r="L3363" s="85" t="b">
        <f>IF(VLOOKUP(C3363,Projetos!A:L,12,false)=TRUE,TRUE,FALSE)</f>
        <v>1</v>
      </c>
      <c r="M3363" s="74">
        <v>52.48434411075036</v>
      </c>
      <c r="N3363" s="74">
        <f t="shared" si="1"/>
        <v>13.12108603</v>
      </c>
      <c r="O3363" s="74" t="b">
        <v>1</v>
      </c>
    </row>
    <row r="3364" hidden="1">
      <c r="A3364" s="82"/>
      <c r="B3364" s="65" t="s">
        <v>411</v>
      </c>
      <c r="C3364" s="65" t="s">
        <v>117</v>
      </c>
      <c r="D3364" s="65"/>
      <c r="E3364" s="65" t="s">
        <v>2337</v>
      </c>
      <c r="F3364" s="83">
        <v>0.7083333333333334</v>
      </c>
      <c r="G3364" s="83">
        <v>0.75</v>
      </c>
      <c r="H3364" s="83">
        <v>0.041666666666666664</v>
      </c>
      <c r="I3364" s="84">
        <v>44378.0</v>
      </c>
      <c r="J3364" s="65" t="b">
        <v>0</v>
      </c>
      <c r="K3364" s="65" t="s">
        <v>150</v>
      </c>
      <c r="L3364" s="85" t="b">
        <f>IF(VLOOKUP(C3364,Projetos!A:L,12,false)=TRUE,TRUE,FALSE)</f>
        <v>1</v>
      </c>
      <c r="M3364" s="74">
        <v>52.48434411075036</v>
      </c>
      <c r="N3364" s="74">
        <f t="shared" si="1"/>
        <v>0</v>
      </c>
      <c r="O3364" s="74" t="b">
        <v>1</v>
      </c>
    </row>
    <row r="3365" hidden="1">
      <c r="A3365" s="82"/>
      <c r="B3365" s="65" t="s">
        <v>411</v>
      </c>
      <c r="C3365" s="65" t="s">
        <v>114</v>
      </c>
      <c r="D3365" s="65" t="str">
        <f>vlookup(C3365,'Classificação p pessoal'!F:G,2,false)</f>
        <v>NP</v>
      </c>
      <c r="E3365" s="65" t="s">
        <v>2338</v>
      </c>
      <c r="F3365" s="83">
        <v>0.34375</v>
      </c>
      <c r="G3365" s="83">
        <v>0.375</v>
      </c>
      <c r="H3365" s="83">
        <v>0.03125</v>
      </c>
      <c r="I3365" s="84">
        <v>44379.0</v>
      </c>
      <c r="J3365" s="65" t="b">
        <v>1</v>
      </c>
      <c r="K3365" s="65"/>
      <c r="L3365" s="85" t="b">
        <f>IF(VLOOKUP(C3365,Projetos!A:L,12,false)=TRUE,TRUE,FALSE)</f>
        <v>1</v>
      </c>
      <c r="M3365" s="74">
        <v>52.48434411075036</v>
      </c>
      <c r="N3365" s="74">
        <f t="shared" si="1"/>
        <v>39.36325808</v>
      </c>
      <c r="O3365" s="74" t="b">
        <v>1</v>
      </c>
    </row>
    <row r="3366" hidden="1">
      <c r="A3366" s="82"/>
      <c r="B3366" s="65" t="s">
        <v>411</v>
      </c>
      <c r="C3366" s="65" t="s">
        <v>119</v>
      </c>
      <c r="D3366" s="65" t="str">
        <f>vlookup(C3366,'Classificação p pessoal'!F:G,2,false)</f>
        <v>NP</v>
      </c>
      <c r="E3366" s="65" t="s">
        <v>2339</v>
      </c>
      <c r="F3366" s="83">
        <v>0.375</v>
      </c>
      <c r="G3366" s="83">
        <v>0.3854166666666667</v>
      </c>
      <c r="H3366" s="83">
        <v>0.010416666666666666</v>
      </c>
      <c r="I3366" s="84">
        <v>44379.0</v>
      </c>
      <c r="J3366" s="65" t="b">
        <v>1</v>
      </c>
      <c r="K3366" s="65"/>
      <c r="L3366" s="85" t="b">
        <f>IF(VLOOKUP(C3366,Projetos!A:L,12,false)=TRUE,TRUE,FALSE)</f>
        <v>1</v>
      </c>
      <c r="M3366" s="74">
        <v>52.48434411075036</v>
      </c>
      <c r="N3366" s="74">
        <f t="shared" si="1"/>
        <v>13.12108603</v>
      </c>
      <c r="O3366" s="74" t="b">
        <v>1</v>
      </c>
    </row>
    <row r="3367" hidden="1">
      <c r="A3367" s="82"/>
      <c r="B3367" s="65" t="s">
        <v>411</v>
      </c>
      <c r="C3367" s="65" t="s">
        <v>117</v>
      </c>
      <c r="D3367" s="65" t="str">
        <f>vlookup(C3367,'Classificação p pessoal'!F:G,2,false)</f>
        <v>NP</v>
      </c>
      <c r="E3367" s="65" t="s">
        <v>2340</v>
      </c>
      <c r="F3367" s="83">
        <v>0.3854166666666667</v>
      </c>
      <c r="G3367" s="83">
        <v>0.4375</v>
      </c>
      <c r="H3367" s="83">
        <v>0.052083333333333336</v>
      </c>
      <c r="I3367" s="84">
        <v>44379.0</v>
      </c>
      <c r="J3367" s="65" t="b">
        <v>1</v>
      </c>
      <c r="K3367" s="65"/>
      <c r="L3367" s="85" t="b">
        <f>IF(VLOOKUP(C3367,Projetos!A:L,12,false)=TRUE,TRUE,FALSE)</f>
        <v>1</v>
      </c>
      <c r="M3367" s="74">
        <v>52.48434411075036</v>
      </c>
      <c r="N3367" s="74">
        <f t="shared" si="1"/>
        <v>65.60543014</v>
      </c>
      <c r="O3367" s="74" t="b">
        <v>1</v>
      </c>
    </row>
    <row r="3368" hidden="1">
      <c r="A3368" s="82"/>
      <c r="B3368" s="65" t="s">
        <v>411</v>
      </c>
      <c r="C3368" s="65" t="s">
        <v>121</v>
      </c>
      <c r="D3368" s="65"/>
      <c r="E3368" s="65" t="s">
        <v>484</v>
      </c>
      <c r="F3368" s="83">
        <v>0.4375</v>
      </c>
      <c r="G3368" s="83">
        <v>0.5208333333333334</v>
      </c>
      <c r="H3368" s="83">
        <v>0.08333333333333333</v>
      </c>
      <c r="I3368" s="84">
        <v>44379.0</v>
      </c>
      <c r="J3368" s="65" t="b">
        <v>0</v>
      </c>
      <c r="K3368" s="65" t="s">
        <v>150</v>
      </c>
      <c r="L3368" s="85" t="b">
        <f>IF(VLOOKUP(C3368,Projetos!A:L,12,false)=TRUE,TRUE,FALSE)</f>
        <v>1</v>
      </c>
      <c r="M3368" s="74">
        <v>52.48434411075036</v>
      </c>
      <c r="N3368" s="74">
        <f t="shared" si="1"/>
        <v>0</v>
      </c>
      <c r="O3368" s="74" t="b">
        <v>1</v>
      </c>
    </row>
    <row r="3369" hidden="1">
      <c r="A3369" s="82"/>
      <c r="B3369" s="65" t="s">
        <v>411</v>
      </c>
      <c r="C3369" s="65" t="s">
        <v>117</v>
      </c>
      <c r="D3369" s="65" t="str">
        <f>vlookup(C3369,'Classificação p pessoal'!F:G,2,false)</f>
        <v>NP</v>
      </c>
      <c r="E3369" s="65" t="s">
        <v>2341</v>
      </c>
      <c r="F3369" s="83">
        <v>0.5208333333333334</v>
      </c>
      <c r="G3369" s="83">
        <v>0.5833333333333334</v>
      </c>
      <c r="H3369" s="83">
        <v>0.0625</v>
      </c>
      <c r="I3369" s="84">
        <v>44379.0</v>
      </c>
      <c r="J3369" s="65" t="b">
        <v>1</v>
      </c>
      <c r="K3369" s="65"/>
      <c r="L3369" s="85" t="b">
        <f>IF(VLOOKUP(C3369,Projetos!A:L,12,false)=TRUE,TRUE,FALSE)</f>
        <v>1</v>
      </c>
      <c r="M3369" s="74">
        <v>52.48434411075036</v>
      </c>
      <c r="N3369" s="74">
        <f t="shared" si="1"/>
        <v>78.72651617</v>
      </c>
      <c r="O3369" s="74" t="b">
        <v>1</v>
      </c>
    </row>
    <row r="3370" hidden="1">
      <c r="A3370" s="82"/>
      <c r="B3370" s="65" t="s">
        <v>411</v>
      </c>
      <c r="C3370" s="65" t="s">
        <v>117</v>
      </c>
      <c r="D3370" s="65" t="str">
        <f>vlookup(C3370,'Classificação p pessoal'!F:G,2,false)</f>
        <v>NP</v>
      </c>
      <c r="E3370" s="65" t="s">
        <v>2342</v>
      </c>
      <c r="F3370" s="83">
        <v>0.625</v>
      </c>
      <c r="G3370" s="83">
        <v>0.75</v>
      </c>
      <c r="H3370" s="83">
        <v>0.125</v>
      </c>
      <c r="I3370" s="84">
        <v>44379.0</v>
      </c>
      <c r="J3370" s="65" t="b">
        <v>1</v>
      </c>
      <c r="K3370" s="65"/>
      <c r="L3370" s="85" t="b">
        <f>IF(VLOOKUP(C3370,Projetos!A:L,12,false)=TRUE,TRUE,FALSE)</f>
        <v>1</v>
      </c>
      <c r="M3370" s="74">
        <v>52.48434411075036</v>
      </c>
      <c r="N3370" s="74">
        <f t="shared" si="1"/>
        <v>157.4530323</v>
      </c>
      <c r="O3370" s="74" t="b">
        <v>1</v>
      </c>
    </row>
    <row r="3371" hidden="1">
      <c r="A3371" s="82"/>
      <c r="B3371" s="65" t="s">
        <v>411</v>
      </c>
      <c r="C3371" s="65" t="s">
        <v>117</v>
      </c>
      <c r="D3371" s="65" t="str">
        <f>vlookup(C3371,'Classificação p pessoal'!F:G,2,false)</f>
        <v>NP</v>
      </c>
      <c r="E3371" s="65" t="s">
        <v>2343</v>
      </c>
      <c r="F3371" s="83">
        <v>0.34375</v>
      </c>
      <c r="G3371" s="83">
        <v>0.375</v>
      </c>
      <c r="H3371" s="83">
        <v>0.03125</v>
      </c>
      <c r="I3371" s="84">
        <v>44382.0</v>
      </c>
      <c r="J3371" s="65" t="b">
        <v>1</v>
      </c>
      <c r="K3371" s="65"/>
      <c r="L3371" s="85" t="b">
        <f>IF(VLOOKUP(C3371,Projetos!A:L,12,false)=TRUE,TRUE,FALSE)</f>
        <v>1</v>
      </c>
      <c r="M3371" s="74">
        <v>52.48434411075036</v>
      </c>
      <c r="N3371" s="74">
        <f t="shared" si="1"/>
        <v>39.36325808</v>
      </c>
      <c r="O3371" s="74" t="b">
        <v>1</v>
      </c>
    </row>
    <row r="3372" hidden="1">
      <c r="A3372" s="82"/>
      <c r="B3372" s="65" t="s">
        <v>411</v>
      </c>
      <c r="C3372" s="65" t="s">
        <v>92</v>
      </c>
      <c r="D3372" s="65" t="str">
        <f>vlookup(C3372,'Classificação p pessoal'!F:G,2,false)</f>
        <v/>
      </c>
      <c r="E3372" s="65" t="s">
        <v>2344</v>
      </c>
      <c r="F3372" s="83">
        <v>0.375</v>
      </c>
      <c r="G3372" s="83">
        <v>0.4375</v>
      </c>
      <c r="H3372" s="83">
        <v>0.0625</v>
      </c>
      <c r="I3372" s="84">
        <v>44382.0</v>
      </c>
      <c r="J3372" s="65" t="b">
        <v>1</v>
      </c>
      <c r="K3372" s="65"/>
      <c r="L3372" s="85" t="b">
        <f>IF(VLOOKUP(C3372,Projetos!A:L,12,false)=TRUE,TRUE,FALSE)</f>
        <v>1</v>
      </c>
      <c r="M3372" s="74">
        <v>52.48434411075036</v>
      </c>
      <c r="N3372" s="74">
        <f t="shared" si="1"/>
        <v>78.72651617</v>
      </c>
      <c r="O3372" s="74" t="b">
        <v>1</v>
      </c>
    </row>
    <row r="3373" hidden="1">
      <c r="A3373" s="82"/>
      <c r="B3373" s="65" t="s">
        <v>411</v>
      </c>
      <c r="C3373" s="65" t="s">
        <v>119</v>
      </c>
      <c r="D3373" s="65" t="str">
        <f>vlookup(C3373,'Classificação p pessoal'!F:G,2,false)</f>
        <v>NP</v>
      </c>
      <c r="E3373" s="65" t="s">
        <v>2345</v>
      </c>
      <c r="F3373" s="83">
        <v>0.4375</v>
      </c>
      <c r="G3373" s="83">
        <v>0.4583333333333333</v>
      </c>
      <c r="H3373" s="83">
        <v>0.020833333333333332</v>
      </c>
      <c r="I3373" s="84">
        <v>44382.0</v>
      </c>
      <c r="J3373" s="65" t="b">
        <v>1</v>
      </c>
      <c r="K3373" s="65"/>
      <c r="L3373" s="85" t="b">
        <f>IF(VLOOKUP(C3373,Projetos!A:L,12,false)=TRUE,TRUE,FALSE)</f>
        <v>1</v>
      </c>
      <c r="M3373" s="74">
        <v>52.48434411075036</v>
      </c>
      <c r="N3373" s="74">
        <f t="shared" si="1"/>
        <v>26.24217206</v>
      </c>
      <c r="O3373" s="74" t="b">
        <v>1</v>
      </c>
    </row>
    <row r="3374" hidden="1">
      <c r="A3374" s="82"/>
      <c r="B3374" s="65" t="s">
        <v>411</v>
      </c>
      <c r="C3374" s="65" t="s">
        <v>85</v>
      </c>
      <c r="D3374" s="65" t="str">
        <f>vlookup(C3374,'Classificação p pessoal'!F:G,2,false)</f>
        <v>NP</v>
      </c>
      <c r="E3374" s="65" t="s">
        <v>2346</v>
      </c>
      <c r="F3374" s="83">
        <v>0.4583333333333333</v>
      </c>
      <c r="G3374" s="83">
        <v>0.4791666666666667</v>
      </c>
      <c r="H3374" s="83">
        <v>0.020833333333333332</v>
      </c>
      <c r="I3374" s="84">
        <v>44382.0</v>
      </c>
      <c r="J3374" s="65" t="b">
        <v>1</v>
      </c>
      <c r="K3374" s="65"/>
      <c r="L3374" s="85" t="b">
        <f>IF(VLOOKUP(C3374,Projetos!A:L,12,false)=TRUE,TRUE,FALSE)</f>
        <v>1</v>
      </c>
      <c r="M3374" s="74">
        <v>52.48434411075036</v>
      </c>
      <c r="N3374" s="74">
        <f t="shared" si="1"/>
        <v>26.24217206</v>
      </c>
      <c r="O3374" s="74" t="b">
        <v>1</v>
      </c>
    </row>
    <row r="3375" hidden="1">
      <c r="A3375" s="82"/>
      <c r="B3375" s="65" t="s">
        <v>411</v>
      </c>
      <c r="C3375" s="65" t="s">
        <v>114</v>
      </c>
      <c r="D3375" s="65" t="str">
        <f>vlookup(C3375,'Classificação p pessoal'!F:G,2,false)</f>
        <v>NP</v>
      </c>
      <c r="E3375" s="65" t="s">
        <v>2347</v>
      </c>
      <c r="F3375" s="83">
        <v>0.4791666666666667</v>
      </c>
      <c r="G3375" s="83">
        <v>0.5833333333333334</v>
      </c>
      <c r="H3375" s="83">
        <v>0.10416666666666667</v>
      </c>
      <c r="I3375" s="84">
        <v>44382.0</v>
      </c>
      <c r="J3375" s="65" t="b">
        <v>1</v>
      </c>
      <c r="K3375" s="65"/>
      <c r="L3375" s="85" t="b">
        <f>IF(VLOOKUP(C3375,Projetos!A:L,12,false)=TRUE,TRUE,FALSE)</f>
        <v>1</v>
      </c>
      <c r="M3375" s="74">
        <v>52.48434411075036</v>
      </c>
      <c r="N3375" s="74">
        <f t="shared" si="1"/>
        <v>131.2108603</v>
      </c>
      <c r="O3375" s="74" t="b">
        <v>1</v>
      </c>
    </row>
    <row r="3376" hidden="1">
      <c r="A3376" s="82"/>
      <c r="B3376" s="65" t="s">
        <v>411</v>
      </c>
      <c r="C3376" s="65" t="s">
        <v>117</v>
      </c>
      <c r="D3376" s="65"/>
      <c r="E3376" s="65" t="s">
        <v>2348</v>
      </c>
      <c r="F3376" s="83">
        <v>0.625</v>
      </c>
      <c r="G3376" s="83">
        <v>0.7083333333333334</v>
      </c>
      <c r="H3376" s="83">
        <v>0.08333333333333333</v>
      </c>
      <c r="I3376" s="84">
        <v>44382.0</v>
      </c>
      <c r="J3376" s="65" t="b">
        <v>0</v>
      </c>
      <c r="K3376" s="65" t="s">
        <v>150</v>
      </c>
      <c r="L3376" s="85" t="b">
        <f>IF(VLOOKUP(C3376,Projetos!A:L,12,false)=TRUE,TRUE,FALSE)</f>
        <v>1</v>
      </c>
      <c r="M3376" s="74">
        <v>52.48434411075036</v>
      </c>
      <c r="N3376" s="74">
        <f t="shared" si="1"/>
        <v>0</v>
      </c>
      <c r="O3376" s="74" t="b">
        <v>1</v>
      </c>
    </row>
    <row r="3377" hidden="1">
      <c r="A3377" s="82"/>
      <c r="B3377" s="65" t="s">
        <v>411</v>
      </c>
      <c r="C3377" s="65" t="s">
        <v>92</v>
      </c>
      <c r="D3377" s="65" t="str">
        <f>vlookup(C3377,'Classificação p pessoal'!F:G,2,false)</f>
        <v/>
      </c>
      <c r="E3377" s="65" t="s">
        <v>2349</v>
      </c>
      <c r="F3377" s="83">
        <v>0.7083333333333334</v>
      </c>
      <c r="G3377" s="83">
        <v>0.75</v>
      </c>
      <c r="H3377" s="83">
        <v>0.041666666666666664</v>
      </c>
      <c r="I3377" s="84">
        <v>44382.0</v>
      </c>
      <c r="J3377" s="65" t="b">
        <v>1</v>
      </c>
      <c r="K3377" s="65"/>
      <c r="L3377" s="85" t="b">
        <f>IF(VLOOKUP(C3377,Projetos!A:L,12,false)=TRUE,TRUE,FALSE)</f>
        <v>1</v>
      </c>
      <c r="M3377" s="74">
        <v>52.48434411075036</v>
      </c>
      <c r="N3377" s="74">
        <f t="shared" si="1"/>
        <v>52.48434411</v>
      </c>
      <c r="O3377" s="74" t="b">
        <v>1</v>
      </c>
    </row>
    <row r="3378" hidden="1">
      <c r="A3378" s="82"/>
      <c r="B3378" s="65" t="s">
        <v>411</v>
      </c>
      <c r="C3378" s="65" t="s">
        <v>117</v>
      </c>
      <c r="D3378" s="65" t="str">
        <f>vlookup(C3378,'Classificação p pessoal'!F:G,2,false)</f>
        <v>NP</v>
      </c>
      <c r="E3378" s="65" t="s">
        <v>2350</v>
      </c>
      <c r="F3378" s="83">
        <v>0.34375</v>
      </c>
      <c r="G3378" s="83">
        <v>0.3958333333333333</v>
      </c>
      <c r="H3378" s="83">
        <v>0.052083333333333336</v>
      </c>
      <c r="I3378" s="84">
        <v>44383.0</v>
      </c>
      <c r="J3378" s="65" t="b">
        <v>1</v>
      </c>
      <c r="K3378" s="65"/>
      <c r="L3378" s="85" t="b">
        <f>IF(VLOOKUP(C3378,Projetos!A:L,12,false)=TRUE,TRUE,FALSE)</f>
        <v>1</v>
      </c>
      <c r="M3378" s="74">
        <v>52.48434411075036</v>
      </c>
      <c r="N3378" s="74">
        <f t="shared" si="1"/>
        <v>65.60543014</v>
      </c>
      <c r="O3378" s="74" t="b">
        <v>1</v>
      </c>
    </row>
    <row r="3379" hidden="1">
      <c r="A3379" s="82"/>
      <c r="B3379" s="65" t="s">
        <v>411</v>
      </c>
      <c r="C3379" s="65" t="s">
        <v>92</v>
      </c>
      <c r="D3379" s="65"/>
      <c r="E3379" s="65" t="s">
        <v>2351</v>
      </c>
      <c r="F3379" s="83">
        <v>0.3958333333333333</v>
      </c>
      <c r="G3379" s="83">
        <v>0.4375</v>
      </c>
      <c r="H3379" s="83">
        <v>0.041666666666666664</v>
      </c>
      <c r="I3379" s="84">
        <v>44383.0</v>
      </c>
      <c r="J3379" s="65" t="b">
        <v>0</v>
      </c>
      <c r="K3379" s="65" t="s">
        <v>150</v>
      </c>
      <c r="L3379" s="85" t="b">
        <f>IF(VLOOKUP(C3379,Projetos!A:L,12,false)=TRUE,TRUE,FALSE)</f>
        <v>1</v>
      </c>
      <c r="M3379" s="74">
        <v>52.48434411075036</v>
      </c>
      <c r="N3379" s="74">
        <f t="shared" si="1"/>
        <v>0</v>
      </c>
      <c r="O3379" s="74" t="b">
        <v>1</v>
      </c>
    </row>
    <row r="3380" hidden="1">
      <c r="A3380" s="82"/>
      <c r="B3380" s="65" t="s">
        <v>411</v>
      </c>
      <c r="C3380" s="65" t="s">
        <v>117</v>
      </c>
      <c r="D3380" s="65" t="str">
        <f>vlookup(C3380,'Classificação p pessoal'!F:G,2,false)</f>
        <v>NP</v>
      </c>
      <c r="E3380" s="65" t="s">
        <v>2352</v>
      </c>
      <c r="F3380" s="83">
        <v>0.4375</v>
      </c>
      <c r="G3380" s="83">
        <v>0.5625</v>
      </c>
      <c r="H3380" s="83">
        <v>0.125</v>
      </c>
      <c r="I3380" s="84">
        <v>44383.0</v>
      </c>
      <c r="J3380" s="65" t="b">
        <v>1</v>
      </c>
      <c r="K3380" s="65"/>
      <c r="L3380" s="85" t="b">
        <f>IF(VLOOKUP(C3380,Projetos!A:L,12,false)=TRUE,TRUE,FALSE)</f>
        <v>1</v>
      </c>
      <c r="M3380" s="74">
        <v>52.48434411075036</v>
      </c>
      <c r="N3380" s="74">
        <f t="shared" si="1"/>
        <v>157.4530323</v>
      </c>
      <c r="O3380" s="74" t="b">
        <v>1</v>
      </c>
    </row>
    <row r="3381" hidden="1">
      <c r="A3381" s="82"/>
      <c r="B3381" s="65" t="s">
        <v>411</v>
      </c>
      <c r="C3381" s="65" t="s">
        <v>92</v>
      </c>
      <c r="D3381" s="65" t="str">
        <f>vlookup(C3381,'Classificação p pessoal'!F:G,2,false)</f>
        <v/>
      </c>
      <c r="E3381" s="65" t="s">
        <v>2353</v>
      </c>
      <c r="F3381" s="83">
        <v>0.5625</v>
      </c>
      <c r="G3381" s="83">
        <v>0.5833333333333334</v>
      </c>
      <c r="H3381" s="83">
        <v>0.020833333333333332</v>
      </c>
      <c r="I3381" s="84">
        <v>44383.0</v>
      </c>
      <c r="J3381" s="65" t="b">
        <v>1</v>
      </c>
      <c r="K3381" s="65"/>
      <c r="L3381" s="85" t="b">
        <f>IF(VLOOKUP(C3381,Projetos!A:L,12,false)=TRUE,TRUE,FALSE)</f>
        <v>1</v>
      </c>
      <c r="M3381" s="74">
        <v>52.48434411075036</v>
      </c>
      <c r="N3381" s="74">
        <f t="shared" si="1"/>
        <v>26.24217206</v>
      </c>
      <c r="O3381" s="74" t="b">
        <v>1</v>
      </c>
    </row>
    <row r="3382" hidden="1">
      <c r="A3382" s="82"/>
      <c r="B3382" s="65" t="s">
        <v>411</v>
      </c>
      <c r="C3382" s="65" t="s">
        <v>117</v>
      </c>
      <c r="D3382" s="65" t="str">
        <f>vlookup(C3382,'Classificação p pessoal'!F:G,2,false)</f>
        <v>NP</v>
      </c>
      <c r="E3382" s="65" t="s">
        <v>2354</v>
      </c>
      <c r="F3382" s="83">
        <v>0.625</v>
      </c>
      <c r="G3382" s="83">
        <v>0.6458333333333334</v>
      </c>
      <c r="H3382" s="83">
        <v>0.020833333333333332</v>
      </c>
      <c r="I3382" s="84">
        <v>44383.0</v>
      </c>
      <c r="J3382" s="65" t="b">
        <v>1</v>
      </c>
      <c r="K3382" s="65"/>
      <c r="L3382" s="85" t="b">
        <f>IF(VLOOKUP(C3382,Projetos!A:L,12,false)=TRUE,TRUE,FALSE)</f>
        <v>1</v>
      </c>
      <c r="M3382" s="74">
        <v>52.48434411075036</v>
      </c>
      <c r="N3382" s="74">
        <f t="shared" si="1"/>
        <v>26.24217206</v>
      </c>
      <c r="O3382" s="74" t="b">
        <v>1</v>
      </c>
    </row>
    <row r="3383" hidden="1">
      <c r="A3383" s="82"/>
      <c r="B3383" s="65" t="s">
        <v>411</v>
      </c>
      <c r="C3383" s="65" t="s">
        <v>85</v>
      </c>
      <c r="D3383" s="65" t="str">
        <f>vlookup(C3383,'Classificação p pessoal'!F:G,2,false)</f>
        <v>NP</v>
      </c>
      <c r="E3383" s="65" t="s">
        <v>2355</v>
      </c>
      <c r="F3383" s="83">
        <v>0.6458333333333334</v>
      </c>
      <c r="G3383" s="83">
        <v>0.6875</v>
      </c>
      <c r="H3383" s="83">
        <v>0.041666666666666664</v>
      </c>
      <c r="I3383" s="84">
        <v>44383.0</v>
      </c>
      <c r="J3383" s="65" t="b">
        <v>1</v>
      </c>
      <c r="K3383" s="65"/>
      <c r="L3383" s="85" t="b">
        <f>IF(VLOOKUP(C3383,Projetos!A:L,12,false)=TRUE,TRUE,FALSE)</f>
        <v>1</v>
      </c>
      <c r="M3383" s="74">
        <v>52.48434411075036</v>
      </c>
      <c r="N3383" s="74">
        <f t="shared" si="1"/>
        <v>52.48434411</v>
      </c>
      <c r="O3383" s="74" t="b">
        <v>1</v>
      </c>
    </row>
    <row r="3384" hidden="1">
      <c r="A3384" s="82"/>
      <c r="B3384" s="65" t="s">
        <v>411</v>
      </c>
      <c r="C3384" s="65" t="s">
        <v>123</v>
      </c>
      <c r="D3384" s="65"/>
      <c r="E3384" s="65" t="s">
        <v>2356</v>
      </c>
      <c r="F3384" s="83">
        <v>0.6875</v>
      </c>
      <c r="G3384" s="83">
        <v>0.7083333333333334</v>
      </c>
      <c r="H3384" s="83">
        <v>0.020833333333333332</v>
      </c>
      <c r="I3384" s="84">
        <v>44383.0</v>
      </c>
      <c r="J3384" s="65" t="b">
        <v>0</v>
      </c>
      <c r="K3384" s="65" t="s">
        <v>150</v>
      </c>
      <c r="L3384" s="85" t="b">
        <f>IF(VLOOKUP(C3384,Projetos!A:L,12,false)=TRUE,TRUE,FALSE)</f>
        <v>1</v>
      </c>
      <c r="M3384" s="74">
        <v>52.48434411075036</v>
      </c>
      <c r="N3384" s="74">
        <f t="shared" si="1"/>
        <v>0</v>
      </c>
      <c r="O3384" s="74" t="b">
        <v>1</v>
      </c>
    </row>
    <row r="3385" hidden="1">
      <c r="A3385" s="82"/>
      <c r="B3385" s="65" t="s">
        <v>411</v>
      </c>
      <c r="C3385" s="65" t="s">
        <v>92</v>
      </c>
      <c r="D3385" s="65"/>
      <c r="E3385" s="65" t="s">
        <v>2357</v>
      </c>
      <c r="F3385" s="83">
        <v>0.7083333333333334</v>
      </c>
      <c r="G3385" s="83">
        <v>0.75</v>
      </c>
      <c r="H3385" s="83">
        <v>0.041666666666666664</v>
      </c>
      <c r="I3385" s="84">
        <v>44383.0</v>
      </c>
      <c r="J3385" s="65" t="b">
        <v>0</v>
      </c>
      <c r="K3385" s="65" t="s">
        <v>150</v>
      </c>
      <c r="L3385" s="85" t="b">
        <f>IF(VLOOKUP(C3385,Projetos!A:L,12,false)=TRUE,TRUE,FALSE)</f>
        <v>1</v>
      </c>
      <c r="M3385" s="74">
        <v>52.48434411075036</v>
      </c>
      <c r="N3385" s="74">
        <f t="shared" si="1"/>
        <v>0</v>
      </c>
      <c r="O3385" s="74" t="b">
        <v>1</v>
      </c>
    </row>
    <row r="3386" hidden="1">
      <c r="A3386" s="82"/>
      <c r="B3386" s="65" t="s">
        <v>411</v>
      </c>
      <c r="C3386" s="65" t="s">
        <v>92</v>
      </c>
      <c r="D3386" s="65" t="str">
        <f>vlookup(C3386,'Classificação p pessoal'!F:G,2,false)</f>
        <v/>
      </c>
      <c r="E3386" s="65" t="s">
        <v>2358</v>
      </c>
      <c r="F3386" s="83">
        <v>0.34375</v>
      </c>
      <c r="G3386" s="83">
        <v>0.3958333333333333</v>
      </c>
      <c r="H3386" s="83">
        <v>0.052083333333333336</v>
      </c>
      <c r="I3386" s="84">
        <v>44384.0</v>
      </c>
      <c r="J3386" s="65" t="b">
        <v>1</v>
      </c>
      <c r="K3386" s="65"/>
      <c r="L3386" s="85" t="b">
        <f>IF(VLOOKUP(C3386,Projetos!A:L,12,false)=TRUE,TRUE,FALSE)</f>
        <v>1</v>
      </c>
      <c r="M3386" s="74">
        <v>52.48434411075036</v>
      </c>
      <c r="N3386" s="74">
        <f t="shared" si="1"/>
        <v>65.60543014</v>
      </c>
      <c r="O3386" s="74" t="b">
        <v>1</v>
      </c>
    </row>
    <row r="3387" hidden="1">
      <c r="A3387" s="82"/>
      <c r="B3387" s="65" t="s">
        <v>411</v>
      </c>
      <c r="C3387" s="65" t="s">
        <v>130</v>
      </c>
      <c r="D3387" s="65" t="str">
        <f>vlookup(C3387,'Classificação p pessoal'!F:G,2,false)</f>
        <v>NP</v>
      </c>
      <c r="E3387" s="65" t="s">
        <v>2359</v>
      </c>
      <c r="F3387" s="83">
        <v>0.3958333333333333</v>
      </c>
      <c r="G3387" s="83">
        <v>0.4166666666666667</v>
      </c>
      <c r="H3387" s="83">
        <v>0.020833333333333332</v>
      </c>
      <c r="I3387" s="84">
        <v>44384.0</v>
      </c>
      <c r="J3387" s="65" t="b">
        <v>1</v>
      </c>
      <c r="K3387" s="65"/>
      <c r="L3387" s="85" t="b">
        <f>IF(VLOOKUP(C3387,Projetos!A:L,12,false)=TRUE,TRUE,FALSE)</f>
        <v>1</v>
      </c>
      <c r="M3387" s="74">
        <v>52.48434411075036</v>
      </c>
      <c r="N3387" s="74">
        <f t="shared" si="1"/>
        <v>26.24217206</v>
      </c>
      <c r="O3387" s="74" t="b">
        <v>1</v>
      </c>
    </row>
    <row r="3388" hidden="1">
      <c r="A3388" s="82"/>
      <c r="B3388" s="65" t="s">
        <v>411</v>
      </c>
      <c r="C3388" s="65" t="s">
        <v>117</v>
      </c>
      <c r="D3388" s="65" t="str">
        <f>vlookup(C3388,'Classificação p pessoal'!F:G,2,false)</f>
        <v>NP</v>
      </c>
      <c r="E3388" s="65" t="s">
        <v>2360</v>
      </c>
      <c r="F3388" s="83">
        <v>0.4166666666666667</v>
      </c>
      <c r="G3388" s="83">
        <v>0.4583333333333333</v>
      </c>
      <c r="H3388" s="83">
        <v>0.041666666666666664</v>
      </c>
      <c r="I3388" s="84">
        <v>44384.0</v>
      </c>
      <c r="J3388" s="65" t="b">
        <v>1</v>
      </c>
      <c r="K3388" s="65"/>
      <c r="L3388" s="85" t="b">
        <f>IF(VLOOKUP(C3388,Projetos!A:L,12,false)=TRUE,TRUE,FALSE)</f>
        <v>1</v>
      </c>
      <c r="M3388" s="74">
        <v>52.48434411075036</v>
      </c>
      <c r="N3388" s="74">
        <f t="shared" si="1"/>
        <v>52.48434411</v>
      </c>
      <c r="O3388" s="74" t="b">
        <v>1</v>
      </c>
    </row>
    <row r="3389" hidden="1">
      <c r="A3389" s="82"/>
      <c r="B3389" s="65" t="s">
        <v>411</v>
      </c>
      <c r="C3389" s="65" t="s">
        <v>125</v>
      </c>
      <c r="D3389" s="65"/>
      <c r="E3389" s="65" t="s">
        <v>2361</v>
      </c>
      <c r="F3389" s="83">
        <v>0.4583333333333333</v>
      </c>
      <c r="G3389" s="83">
        <v>0.4791666666666667</v>
      </c>
      <c r="H3389" s="83">
        <v>0.020833333333333332</v>
      </c>
      <c r="I3389" s="84">
        <v>44384.0</v>
      </c>
      <c r="J3389" s="65" t="b">
        <v>0</v>
      </c>
      <c r="K3389" s="65" t="s">
        <v>150</v>
      </c>
      <c r="L3389" s="85" t="b">
        <f>IF(VLOOKUP(C3389,Projetos!A:L,12,false)=TRUE,TRUE,FALSE)</f>
        <v>1</v>
      </c>
      <c r="M3389" s="74">
        <v>52.48434411075036</v>
      </c>
      <c r="N3389" s="74">
        <f t="shared" si="1"/>
        <v>0</v>
      </c>
      <c r="O3389" s="74" t="b">
        <v>1</v>
      </c>
    </row>
    <row r="3390" hidden="1">
      <c r="A3390" s="82"/>
      <c r="B3390" s="65" t="s">
        <v>411</v>
      </c>
      <c r="C3390" s="65" t="s">
        <v>109</v>
      </c>
      <c r="D3390" s="65" t="str">
        <f>vlookup(C3390,'Classificação p pessoal'!F:G,2,false)</f>
        <v>NP</v>
      </c>
      <c r="E3390" s="65" t="s">
        <v>2362</v>
      </c>
      <c r="F3390" s="83">
        <v>0.4791666666666667</v>
      </c>
      <c r="G3390" s="83">
        <v>0.5</v>
      </c>
      <c r="H3390" s="83">
        <v>0.020833333333333332</v>
      </c>
      <c r="I3390" s="84">
        <v>44384.0</v>
      </c>
      <c r="J3390" s="65" t="b">
        <v>1</v>
      </c>
      <c r="K3390" s="65"/>
      <c r="L3390" s="85" t="b">
        <f>IF(VLOOKUP(C3390,Projetos!A:L,12,false)=TRUE,TRUE,FALSE)</f>
        <v>1</v>
      </c>
      <c r="M3390" s="74">
        <v>52.48434411075036</v>
      </c>
      <c r="N3390" s="74">
        <f t="shared" si="1"/>
        <v>26.24217206</v>
      </c>
      <c r="O3390" s="74" t="b">
        <v>1</v>
      </c>
    </row>
    <row r="3391" hidden="1">
      <c r="A3391" s="82"/>
      <c r="B3391" s="65" t="s">
        <v>411</v>
      </c>
      <c r="C3391" s="65" t="s">
        <v>130</v>
      </c>
      <c r="D3391" s="65" t="str">
        <f>vlookup(C3391,'Classificação p pessoal'!F:G,2,false)</f>
        <v>NP</v>
      </c>
      <c r="E3391" s="65" t="s">
        <v>2363</v>
      </c>
      <c r="F3391" s="83">
        <v>0.5416666666666666</v>
      </c>
      <c r="G3391" s="83">
        <v>0.6666666666666666</v>
      </c>
      <c r="H3391" s="83">
        <v>0.125</v>
      </c>
      <c r="I3391" s="84">
        <v>44384.0</v>
      </c>
      <c r="J3391" s="65" t="b">
        <v>1</v>
      </c>
      <c r="K3391" s="65"/>
      <c r="L3391" s="85" t="b">
        <f>IF(VLOOKUP(C3391,Projetos!A:L,12,false)=TRUE,TRUE,FALSE)</f>
        <v>1</v>
      </c>
      <c r="M3391" s="74">
        <v>52.48434411075036</v>
      </c>
      <c r="N3391" s="74">
        <f t="shared" si="1"/>
        <v>157.4530323</v>
      </c>
      <c r="O3391" s="74" t="b">
        <v>1</v>
      </c>
    </row>
    <row r="3392" hidden="1">
      <c r="A3392" s="82"/>
      <c r="B3392" s="65" t="s">
        <v>411</v>
      </c>
      <c r="C3392" s="65" t="s">
        <v>125</v>
      </c>
      <c r="D3392" s="65" t="str">
        <f>vlookup(C3392,'Classificação p pessoal'!F:G,2,false)</f>
        <v>MProduto</v>
      </c>
      <c r="E3392" s="65" t="s">
        <v>2364</v>
      </c>
      <c r="F3392" s="83">
        <v>0.6666666666666666</v>
      </c>
      <c r="G3392" s="83">
        <v>0.6875</v>
      </c>
      <c r="H3392" s="83">
        <v>0.020833333333333332</v>
      </c>
      <c r="I3392" s="84">
        <v>44384.0</v>
      </c>
      <c r="J3392" s="65" t="b">
        <v>1</v>
      </c>
      <c r="K3392" s="65"/>
      <c r="L3392" s="85" t="b">
        <f>IF(VLOOKUP(C3392,Projetos!A:L,12,false)=TRUE,TRUE,FALSE)</f>
        <v>1</v>
      </c>
      <c r="M3392" s="74">
        <v>52.48434411075036</v>
      </c>
      <c r="N3392" s="74">
        <f t="shared" si="1"/>
        <v>26.24217206</v>
      </c>
      <c r="O3392" s="74" t="b">
        <v>1</v>
      </c>
    </row>
    <row r="3393" hidden="1">
      <c r="A3393" s="82"/>
      <c r="B3393" s="65" t="s">
        <v>467</v>
      </c>
      <c r="C3393" s="65" t="s">
        <v>92</v>
      </c>
      <c r="D3393" s="65" t="str">
        <f>vlookup(C3393,'Classificação p pessoal'!F:G,2,false)</f>
        <v/>
      </c>
      <c r="E3393" s="65" t="s">
        <v>2365</v>
      </c>
      <c r="F3393" s="83">
        <v>0.3958333333333333</v>
      </c>
      <c r="G3393" s="83">
        <v>0.4583333333333333</v>
      </c>
      <c r="H3393" s="83">
        <v>0.0625</v>
      </c>
      <c r="I3393" s="84">
        <v>44529.0</v>
      </c>
      <c r="J3393" s="65" t="b">
        <v>1</v>
      </c>
      <c r="K3393" s="65"/>
      <c r="L3393" s="85" t="b">
        <f>IF(VLOOKUP(C3393,Projetos!A:L,12,false)=TRUE,TRUE,FALSE)</f>
        <v>1</v>
      </c>
      <c r="M3393" s="74">
        <v>52.1518759018759</v>
      </c>
      <c r="N3393" s="74">
        <f t="shared" si="1"/>
        <v>78.22781385</v>
      </c>
      <c r="O3393" s="74" t="b">
        <v>1</v>
      </c>
    </row>
    <row r="3394" hidden="1">
      <c r="A3394" s="82"/>
      <c r="B3394" s="65" t="s">
        <v>411</v>
      </c>
      <c r="C3394" s="65" t="s">
        <v>85</v>
      </c>
      <c r="D3394" s="65" t="str">
        <f>vlookup(C3394,'Classificação p pessoal'!F:G,2,false)</f>
        <v>NP</v>
      </c>
      <c r="E3394" s="65" t="s">
        <v>2366</v>
      </c>
      <c r="F3394" s="83">
        <v>0.34375</v>
      </c>
      <c r="G3394" s="83">
        <v>0.3645833333333333</v>
      </c>
      <c r="H3394" s="83">
        <v>0.020833333333333332</v>
      </c>
      <c r="I3394" s="84">
        <v>44385.0</v>
      </c>
      <c r="J3394" s="65" t="b">
        <v>1</v>
      </c>
      <c r="K3394" s="65"/>
      <c r="L3394" s="85" t="b">
        <f>IF(VLOOKUP(C3394,Projetos!A:L,12,false)=TRUE,TRUE,FALSE)</f>
        <v>1</v>
      </c>
      <c r="M3394" s="74">
        <v>52.48434411075036</v>
      </c>
      <c r="N3394" s="74">
        <f t="shared" si="1"/>
        <v>26.24217206</v>
      </c>
      <c r="O3394" s="74" t="b">
        <v>1</v>
      </c>
    </row>
    <row r="3395" hidden="1">
      <c r="A3395" s="82"/>
      <c r="B3395" s="65" t="s">
        <v>411</v>
      </c>
      <c r="C3395" s="65" t="s">
        <v>117</v>
      </c>
      <c r="D3395" s="65"/>
      <c r="E3395" s="65" t="s">
        <v>2337</v>
      </c>
      <c r="F3395" s="83">
        <v>0.3645833333333333</v>
      </c>
      <c r="G3395" s="83">
        <v>0.3958333333333333</v>
      </c>
      <c r="H3395" s="83">
        <v>0.03125</v>
      </c>
      <c r="I3395" s="84">
        <v>44385.0</v>
      </c>
      <c r="J3395" s="65" t="b">
        <v>0</v>
      </c>
      <c r="K3395" s="65" t="s">
        <v>150</v>
      </c>
      <c r="L3395" s="85" t="b">
        <f>IF(VLOOKUP(C3395,Projetos!A:L,12,false)=TRUE,TRUE,FALSE)</f>
        <v>1</v>
      </c>
      <c r="M3395" s="74">
        <v>52.48434411075036</v>
      </c>
      <c r="N3395" s="74">
        <f t="shared" si="1"/>
        <v>0</v>
      </c>
      <c r="O3395" s="74" t="b">
        <v>1</v>
      </c>
    </row>
    <row r="3396" hidden="1">
      <c r="A3396" s="82"/>
      <c r="B3396" s="65" t="s">
        <v>411</v>
      </c>
      <c r="C3396" s="65" t="s">
        <v>92</v>
      </c>
      <c r="D3396" s="65" t="str">
        <f>vlookup(C3396,'Classificação p pessoal'!F:G,2,false)</f>
        <v/>
      </c>
      <c r="E3396" s="65" t="s">
        <v>2358</v>
      </c>
      <c r="F3396" s="83">
        <v>0.3958333333333333</v>
      </c>
      <c r="G3396" s="83">
        <v>0.4375</v>
      </c>
      <c r="H3396" s="83">
        <v>0.041666666666666664</v>
      </c>
      <c r="I3396" s="84">
        <v>44385.0</v>
      </c>
      <c r="J3396" s="65" t="b">
        <v>1</v>
      </c>
      <c r="K3396" s="65"/>
      <c r="L3396" s="85" t="b">
        <f>IF(VLOOKUP(C3396,Projetos!A:L,12,false)=TRUE,TRUE,FALSE)</f>
        <v>1</v>
      </c>
      <c r="M3396" s="74">
        <v>52.48434411075036</v>
      </c>
      <c r="N3396" s="74">
        <f t="shared" si="1"/>
        <v>52.48434411</v>
      </c>
      <c r="O3396" s="74" t="b">
        <v>1</v>
      </c>
    </row>
    <row r="3397" hidden="1">
      <c r="A3397" s="82"/>
      <c r="B3397" s="65" t="s">
        <v>411</v>
      </c>
      <c r="C3397" s="65" t="s">
        <v>127</v>
      </c>
      <c r="D3397" s="65" t="str">
        <f>vlookup(C3397,'Classificação p pessoal'!F:G,2,false)</f>
        <v>NP</v>
      </c>
      <c r="E3397" s="65" t="s">
        <v>2367</v>
      </c>
      <c r="F3397" s="83">
        <v>0.4375</v>
      </c>
      <c r="G3397" s="83">
        <v>0.5</v>
      </c>
      <c r="H3397" s="83">
        <v>0.0625</v>
      </c>
      <c r="I3397" s="84">
        <v>44385.0</v>
      </c>
      <c r="J3397" s="65" t="b">
        <v>1</v>
      </c>
      <c r="K3397" s="65"/>
      <c r="L3397" s="85" t="b">
        <f>IF(VLOOKUP(C3397,Projetos!A:L,12,false)=TRUE,TRUE,FALSE)</f>
        <v>1</v>
      </c>
      <c r="M3397" s="74">
        <v>52.48434411075036</v>
      </c>
      <c r="N3397" s="74">
        <f t="shared" si="1"/>
        <v>78.72651617</v>
      </c>
      <c r="O3397" s="74" t="b">
        <v>1</v>
      </c>
    </row>
    <row r="3398" hidden="1">
      <c r="A3398" s="82"/>
      <c r="B3398" s="65" t="s">
        <v>411</v>
      </c>
      <c r="C3398" s="65" t="s">
        <v>117</v>
      </c>
      <c r="D3398" s="65" t="str">
        <f>vlookup(C3398,'Classificação p pessoal'!F:G,2,false)</f>
        <v>NP</v>
      </c>
      <c r="E3398" s="65" t="s">
        <v>2368</v>
      </c>
      <c r="F3398" s="83">
        <v>0.5</v>
      </c>
      <c r="G3398" s="83">
        <v>0.5833333333333334</v>
      </c>
      <c r="H3398" s="83">
        <v>0.08333333333333333</v>
      </c>
      <c r="I3398" s="84">
        <v>44385.0</v>
      </c>
      <c r="J3398" s="65" t="b">
        <v>1</v>
      </c>
      <c r="K3398" s="65"/>
      <c r="L3398" s="85" t="b">
        <f>IF(VLOOKUP(C3398,Projetos!A:L,12,false)=TRUE,TRUE,FALSE)</f>
        <v>1</v>
      </c>
      <c r="M3398" s="74">
        <v>52.48434411075036</v>
      </c>
      <c r="N3398" s="74">
        <f t="shared" si="1"/>
        <v>104.9686882</v>
      </c>
      <c r="O3398" s="74" t="b">
        <v>1</v>
      </c>
    </row>
    <row r="3399" hidden="1">
      <c r="A3399" s="82"/>
      <c r="B3399" s="65" t="s">
        <v>411</v>
      </c>
      <c r="C3399" s="65" t="s">
        <v>117</v>
      </c>
      <c r="D3399" s="65" t="str">
        <f>vlookup(C3399,'Classificação p pessoal'!F:G,2,false)</f>
        <v>NP</v>
      </c>
      <c r="E3399" s="65" t="s">
        <v>2369</v>
      </c>
      <c r="F3399" s="83">
        <v>0.625</v>
      </c>
      <c r="G3399" s="83">
        <v>0.6666666666666666</v>
      </c>
      <c r="H3399" s="83">
        <v>0.041666666666666664</v>
      </c>
      <c r="I3399" s="84">
        <v>44385.0</v>
      </c>
      <c r="J3399" s="65" t="b">
        <v>1</v>
      </c>
      <c r="K3399" s="65"/>
      <c r="L3399" s="85" t="b">
        <f>IF(VLOOKUP(C3399,Projetos!A:L,12,false)=TRUE,TRUE,FALSE)</f>
        <v>1</v>
      </c>
      <c r="M3399" s="74">
        <v>52.48434411075036</v>
      </c>
      <c r="N3399" s="74">
        <f t="shared" si="1"/>
        <v>52.48434411</v>
      </c>
      <c r="O3399" s="74" t="b">
        <v>1</v>
      </c>
    </row>
    <row r="3400" hidden="1">
      <c r="A3400" s="82"/>
      <c r="B3400" s="65" t="s">
        <v>411</v>
      </c>
      <c r="C3400" s="65" t="s">
        <v>85</v>
      </c>
      <c r="D3400" s="65" t="str">
        <f>vlookup(C3400,'Classificação p pessoal'!F:G,2,false)</f>
        <v>NP</v>
      </c>
      <c r="E3400" s="65" t="s">
        <v>2370</v>
      </c>
      <c r="F3400" s="83">
        <v>0.6666666666666666</v>
      </c>
      <c r="G3400" s="83">
        <v>0.7083333333333334</v>
      </c>
      <c r="H3400" s="83">
        <v>0.041666666666666664</v>
      </c>
      <c r="I3400" s="84">
        <v>44385.0</v>
      </c>
      <c r="J3400" s="65" t="b">
        <v>1</v>
      </c>
      <c r="K3400" s="65"/>
      <c r="L3400" s="85" t="b">
        <f>IF(VLOOKUP(C3400,Projetos!A:L,12,false)=TRUE,TRUE,FALSE)</f>
        <v>1</v>
      </c>
      <c r="M3400" s="74">
        <v>52.48434411075036</v>
      </c>
      <c r="N3400" s="74">
        <f t="shared" si="1"/>
        <v>52.48434411</v>
      </c>
      <c r="O3400" s="74" t="b">
        <v>1</v>
      </c>
    </row>
    <row r="3401" hidden="1">
      <c r="A3401" s="82"/>
      <c r="B3401" s="65" t="s">
        <v>411</v>
      </c>
      <c r="C3401" s="65" t="s">
        <v>117</v>
      </c>
      <c r="D3401" s="65" t="str">
        <f>vlookup(C3401,'Classificação p pessoal'!F:G,2,false)</f>
        <v>NP</v>
      </c>
      <c r="E3401" s="65" t="s">
        <v>2371</v>
      </c>
      <c r="F3401" s="83">
        <v>0.7083333333333334</v>
      </c>
      <c r="G3401" s="83">
        <v>0.75</v>
      </c>
      <c r="H3401" s="83">
        <v>0.041666666666666664</v>
      </c>
      <c r="I3401" s="84">
        <v>44385.0</v>
      </c>
      <c r="J3401" s="65" t="b">
        <v>1</v>
      </c>
      <c r="K3401" s="65"/>
      <c r="L3401" s="85" t="b">
        <f>IF(VLOOKUP(C3401,Projetos!A:L,12,false)=TRUE,TRUE,FALSE)</f>
        <v>1</v>
      </c>
      <c r="M3401" s="74">
        <v>52.48434411075036</v>
      </c>
      <c r="N3401" s="74">
        <f t="shared" si="1"/>
        <v>52.48434411</v>
      </c>
      <c r="O3401" s="74" t="b">
        <v>1</v>
      </c>
    </row>
    <row r="3402" hidden="1">
      <c r="A3402" s="82"/>
      <c r="B3402" s="65" t="s">
        <v>411</v>
      </c>
      <c r="C3402" s="65" t="s">
        <v>117</v>
      </c>
      <c r="D3402" s="65"/>
      <c r="E3402" s="65" t="s">
        <v>2372</v>
      </c>
      <c r="F3402" s="83">
        <v>0.34375</v>
      </c>
      <c r="G3402" s="83">
        <v>0.4166666666666667</v>
      </c>
      <c r="H3402" s="83">
        <v>0.07291666666666667</v>
      </c>
      <c r="I3402" s="84">
        <v>44386.0</v>
      </c>
      <c r="J3402" s="65" t="b">
        <v>0</v>
      </c>
      <c r="K3402" s="65" t="s">
        <v>150</v>
      </c>
      <c r="L3402" s="85" t="b">
        <f>IF(VLOOKUP(C3402,Projetos!A:L,12,false)=TRUE,TRUE,FALSE)</f>
        <v>1</v>
      </c>
      <c r="M3402" s="74">
        <v>52.48434411075036</v>
      </c>
      <c r="N3402" s="74">
        <f t="shared" si="1"/>
        <v>0</v>
      </c>
      <c r="O3402" s="74" t="b">
        <v>1</v>
      </c>
    </row>
    <row r="3403">
      <c r="A3403" s="82"/>
      <c r="B3403" s="65" t="s">
        <v>411</v>
      </c>
      <c r="C3403" s="65" t="s">
        <v>108</v>
      </c>
      <c r="D3403" s="65" t="str">
        <f>vlookup(C3403,'Classificação p pessoal'!F:G,2,false)</f>
        <v>NP</v>
      </c>
      <c r="E3403" s="65" t="s">
        <v>2373</v>
      </c>
      <c r="F3403" s="83">
        <v>0.4166666666666667</v>
      </c>
      <c r="G3403" s="83">
        <v>0.4583333333333333</v>
      </c>
      <c r="H3403" s="83">
        <v>0.041666666666666664</v>
      </c>
      <c r="I3403" s="84">
        <v>44386.0</v>
      </c>
      <c r="J3403" s="65" t="b">
        <v>1</v>
      </c>
      <c r="K3403" s="65"/>
      <c r="L3403" s="85" t="b">
        <f>IF(VLOOKUP(C3403,Projetos!A:L,12,false)=TRUE,TRUE,FALSE)</f>
        <v>1</v>
      </c>
      <c r="M3403" s="74">
        <v>52.48434411075036</v>
      </c>
      <c r="N3403" s="74">
        <f t="shared" si="1"/>
        <v>52.48434411</v>
      </c>
      <c r="O3403" s="74" t="b">
        <v>1</v>
      </c>
    </row>
    <row r="3404" hidden="1">
      <c r="A3404" s="82"/>
      <c r="B3404" s="65" t="s">
        <v>411</v>
      </c>
      <c r="C3404" s="65" t="s">
        <v>127</v>
      </c>
      <c r="D3404" s="65" t="str">
        <f>vlookup(C3404,'Classificação p pessoal'!F:G,2,false)</f>
        <v>NP</v>
      </c>
      <c r="E3404" s="65" t="s">
        <v>2374</v>
      </c>
      <c r="F3404" s="83">
        <v>0.4583333333333333</v>
      </c>
      <c r="G3404" s="83">
        <v>0.5625</v>
      </c>
      <c r="H3404" s="83">
        <v>0.10416666666666667</v>
      </c>
      <c r="I3404" s="84">
        <v>44386.0</v>
      </c>
      <c r="J3404" s="65" t="b">
        <v>1</v>
      </c>
      <c r="K3404" s="65"/>
      <c r="L3404" s="85" t="b">
        <f>IF(VLOOKUP(C3404,Projetos!A:L,12,false)=TRUE,TRUE,FALSE)</f>
        <v>1</v>
      </c>
      <c r="M3404" s="74">
        <v>52.48434411075036</v>
      </c>
      <c r="N3404" s="74">
        <f t="shared" si="1"/>
        <v>131.2108603</v>
      </c>
      <c r="O3404" s="74" t="b">
        <v>1</v>
      </c>
    </row>
    <row r="3405" hidden="1">
      <c r="A3405" s="82"/>
      <c r="B3405" s="65" t="s">
        <v>411</v>
      </c>
      <c r="C3405" s="65" t="s">
        <v>117</v>
      </c>
      <c r="D3405" s="65" t="str">
        <f>vlookup(C3405,'Classificação p pessoal'!F:G,2,false)</f>
        <v>NP</v>
      </c>
      <c r="E3405" s="65" t="s">
        <v>2375</v>
      </c>
      <c r="F3405" s="83">
        <v>0.6041666666666666</v>
      </c>
      <c r="G3405" s="83">
        <v>0.6875</v>
      </c>
      <c r="H3405" s="83">
        <v>0.08333333333333333</v>
      </c>
      <c r="I3405" s="84">
        <v>44386.0</v>
      </c>
      <c r="J3405" s="65" t="b">
        <v>1</v>
      </c>
      <c r="K3405" s="65"/>
      <c r="L3405" s="85" t="b">
        <f>IF(VLOOKUP(C3405,Projetos!A:L,12,false)=TRUE,TRUE,FALSE)</f>
        <v>1</v>
      </c>
      <c r="M3405" s="74">
        <v>52.48434411075036</v>
      </c>
      <c r="N3405" s="74">
        <f t="shared" si="1"/>
        <v>104.9686882</v>
      </c>
      <c r="O3405" s="74" t="b">
        <v>1</v>
      </c>
    </row>
    <row r="3406" hidden="1">
      <c r="A3406" s="82"/>
      <c r="B3406" s="65" t="s">
        <v>411</v>
      </c>
      <c r="C3406" s="65" t="s">
        <v>92</v>
      </c>
      <c r="D3406" s="65" t="str">
        <f>vlookup(C3406,'Classificação p pessoal'!F:G,2,false)</f>
        <v/>
      </c>
      <c r="E3406" s="65" t="s">
        <v>2376</v>
      </c>
      <c r="F3406" s="83">
        <v>0.6875</v>
      </c>
      <c r="G3406" s="83">
        <v>0.75</v>
      </c>
      <c r="H3406" s="83">
        <v>0.0625</v>
      </c>
      <c r="I3406" s="84">
        <v>44386.0</v>
      </c>
      <c r="J3406" s="65" t="b">
        <v>1</v>
      </c>
      <c r="K3406" s="65"/>
      <c r="L3406" s="85" t="b">
        <f>IF(VLOOKUP(C3406,Projetos!A:L,12,false)=TRUE,TRUE,FALSE)</f>
        <v>1</v>
      </c>
      <c r="M3406" s="74">
        <v>52.48434411075036</v>
      </c>
      <c r="N3406" s="74">
        <f t="shared" si="1"/>
        <v>78.72651617</v>
      </c>
      <c r="O3406" s="74" t="b">
        <v>1</v>
      </c>
    </row>
    <row r="3407" hidden="1">
      <c r="A3407" s="82"/>
      <c r="B3407" s="65" t="s">
        <v>411</v>
      </c>
      <c r="C3407" s="65" t="s">
        <v>117</v>
      </c>
      <c r="D3407" s="65" t="str">
        <f>vlookup(C3407,'Classificação p pessoal'!F:G,2,false)</f>
        <v>NP</v>
      </c>
      <c r="E3407" s="65" t="s">
        <v>2130</v>
      </c>
      <c r="F3407" s="83">
        <v>0.34375</v>
      </c>
      <c r="G3407" s="83">
        <v>0.3541666666666667</v>
      </c>
      <c r="H3407" s="83">
        <v>0.010416666666666666</v>
      </c>
      <c r="I3407" s="84">
        <v>44389.0</v>
      </c>
      <c r="J3407" s="65" t="b">
        <v>1</v>
      </c>
      <c r="K3407" s="65"/>
      <c r="L3407" s="85" t="b">
        <f>IF(VLOOKUP(C3407,Projetos!A:L,12,false)=TRUE,TRUE,FALSE)</f>
        <v>1</v>
      </c>
      <c r="M3407" s="74">
        <v>52.48434411075036</v>
      </c>
      <c r="N3407" s="74">
        <f t="shared" si="1"/>
        <v>13.12108603</v>
      </c>
      <c r="O3407" s="74" t="b">
        <v>1</v>
      </c>
    </row>
    <row r="3408" hidden="1">
      <c r="A3408" s="82"/>
      <c r="B3408" s="65" t="s">
        <v>411</v>
      </c>
      <c r="C3408" s="65" t="s">
        <v>123</v>
      </c>
      <c r="D3408" s="65" t="str">
        <f>vlookup(C3408,'Classificação p pessoal'!F:G,2,false)</f>
        <v>NP</v>
      </c>
      <c r="E3408" s="65" t="s">
        <v>2377</v>
      </c>
      <c r="F3408" s="83">
        <v>0.4375</v>
      </c>
      <c r="G3408" s="83">
        <v>0.4583333333333333</v>
      </c>
      <c r="H3408" s="83">
        <v>0.020833333333333332</v>
      </c>
      <c r="I3408" s="84">
        <v>44389.0</v>
      </c>
      <c r="J3408" s="65" t="b">
        <v>1</v>
      </c>
      <c r="K3408" s="65"/>
      <c r="L3408" s="85" t="b">
        <f>IF(VLOOKUP(C3408,Projetos!A:L,12,false)=TRUE,TRUE,FALSE)</f>
        <v>1</v>
      </c>
      <c r="M3408" s="74">
        <v>52.48434411075036</v>
      </c>
      <c r="N3408" s="74">
        <f t="shared" si="1"/>
        <v>26.24217206</v>
      </c>
      <c r="O3408" s="74" t="b">
        <v>1</v>
      </c>
    </row>
    <row r="3409" hidden="1">
      <c r="A3409" s="82"/>
      <c r="B3409" s="65" t="s">
        <v>411</v>
      </c>
      <c r="C3409" s="65" t="s">
        <v>109</v>
      </c>
      <c r="D3409" s="65" t="str">
        <f>vlookup(C3409,'Classificação p pessoal'!F:G,2,false)</f>
        <v>NP</v>
      </c>
      <c r="E3409" s="65" t="s">
        <v>2378</v>
      </c>
      <c r="F3409" s="83">
        <v>0.4583333333333333</v>
      </c>
      <c r="G3409" s="83">
        <v>0.4791666666666667</v>
      </c>
      <c r="H3409" s="83">
        <v>0.020833333333333332</v>
      </c>
      <c r="I3409" s="84">
        <v>44389.0</v>
      </c>
      <c r="J3409" s="65" t="b">
        <v>1</v>
      </c>
      <c r="K3409" s="65"/>
      <c r="L3409" s="85" t="b">
        <f>IF(VLOOKUP(C3409,Projetos!A:L,12,false)=TRUE,TRUE,FALSE)</f>
        <v>1</v>
      </c>
      <c r="M3409" s="74">
        <v>52.48434411075036</v>
      </c>
      <c r="N3409" s="74">
        <f t="shared" si="1"/>
        <v>26.24217206</v>
      </c>
      <c r="O3409" s="74" t="b">
        <v>1</v>
      </c>
    </row>
    <row r="3410" hidden="1">
      <c r="A3410" s="82"/>
      <c r="B3410" s="65" t="s">
        <v>411</v>
      </c>
      <c r="C3410" s="65" t="s">
        <v>117</v>
      </c>
      <c r="D3410" s="65" t="str">
        <f>vlookup(C3410,'Classificação p pessoal'!F:G,2,false)</f>
        <v>NP</v>
      </c>
      <c r="E3410" s="65" t="s">
        <v>2379</v>
      </c>
      <c r="F3410" s="83">
        <v>0.4791666666666667</v>
      </c>
      <c r="G3410" s="83">
        <v>0.5416666666666666</v>
      </c>
      <c r="H3410" s="83">
        <v>0.0625</v>
      </c>
      <c r="I3410" s="84">
        <v>44389.0</v>
      </c>
      <c r="J3410" s="65" t="b">
        <v>1</v>
      </c>
      <c r="K3410" s="65"/>
      <c r="L3410" s="85" t="b">
        <f>IF(VLOOKUP(C3410,Projetos!A:L,12,false)=TRUE,TRUE,FALSE)</f>
        <v>1</v>
      </c>
      <c r="M3410" s="74">
        <v>52.48434411075036</v>
      </c>
      <c r="N3410" s="74">
        <f t="shared" si="1"/>
        <v>78.72651617</v>
      </c>
      <c r="O3410" s="74" t="b">
        <v>1</v>
      </c>
    </row>
    <row r="3411" hidden="1">
      <c r="A3411" s="82"/>
      <c r="B3411" s="65" t="s">
        <v>411</v>
      </c>
      <c r="C3411" s="65" t="s">
        <v>117</v>
      </c>
      <c r="D3411" s="65" t="str">
        <f>vlookup(C3411,'Classificação p pessoal'!F:G,2,false)</f>
        <v>NP</v>
      </c>
      <c r="E3411" s="65" t="s">
        <v>2380</v>
      </c>
      <c r="F3411" s="83">
        <v>0.5833333333333334</v>
      </c>
      <c r="G3411" s="83">
        <v>0.625</v>
      </c>
      <c r="H3411" s="83">
        <v>0.041666666666666664</v>
      </c>
      <c r="I3411" s="84">
        <v>44389.0</v>
      </c>
      <c r="J3411" s="65" t="b">
        <v>1</v>
      </c>
      <c r="K3411" s="65"/>
      <c r="L3411" s="85" t="b">
        <f>IF(VLOOKUP(C3411,Projetos!A:L,12,false)=TRUE,TRUE,FALSE)</f>
        <v>1</v>
      </c>
      <c r="M3411" s="74">
        <v>52.48434411075036</v>
      </c>
      <c r="N3411" s="74">
        <f t="shared" si="1"/>
        <v>52.48434411</v>
      </c>
      <c r="O3411" s="74" t="b">
        <v>1</v>
      </c>
    </row>
    <row r="3412" hidden="1">
      <c r="A3412" s="82"/>
      <c r="B3412" s="65" t="s">
        <v>411</v>
      </c>
      <c r="C3412" s="65" t="s">
        <v>127</v>
      </c>
      <c r="D3412" s="65" t="str">
        <f>vlookup(C3412,'Classificação p pessoal'!F:G,2,false)</f>
        <v>NP</v>
      </c>
      <c r="E3412" s="65" t="s">
        <v>2381</v>
      </c>
      <c r="F3412" s="83">
        <v>0.625</v>
      </c>
      <c r="G3412" s="83">
        <v>0.6354166666666666</v>
      </c>
      <c r="H3412" s="83">
        <v>0.010416666666666666</v>
      </c>
      <c r="I3412" s="84">
        <v>44389.0</v>
      </c>
      <c r="J3412" s="65" t="b">
        <v>1</v>
      </c>
      <c r="K3412" s="65"/>
      <c r="L3412" s="85" t="b">
        <f>IF(VLOOKUP(C3412,Projetos!A:L,12,false)=TRUE,TRUE,FALSE)</f>
        <v>1</v>
      </c>
      <c r="M3412" s="74">
        <v>52.48434411075036</v>
      </c>
      <c r="N3412" s="74">
        <f t="shared" si="1"/>
        <v>13.12108603</v>
      </c>
      <c r="O3412" s="74" t="b">
        <v>1</v>
      </c>
    </row>
    <row r="3413" hidden="1">
      <c r="A3413" s="82"/>
      <c r="B3413" s="65" t="s">
        <v>411</v>
      </c>
      <c r="C3413" s="65" t="s">
        <v>114</v>
      </c>
      <c r="D3413" s="65" t="str">
        <f>vlookup(C3413,'Classificação p pessoal'!F:G,2,false)</f>
        <v>NP</v>
      </c>
      <c r="E3413" s="65" t="s">
        <v>2382</v>
      </c>
      <c r="F3413" s="83">
        <v>0.6354166666666666</v>
      </c>
      <c r="G3413" s="83">
        <v>0.75</v>
      </c>
      <c r="H3413" s="83">
        <v>0.11458333333333333</v>
      </c>
      <c r="I3413" s="84">
        <v>44389.0</v>
      </c>
      <c r="J3413" s="65" t="b">
        <v>1</v>
      </c>
      <c r="K3413" s="65"/>
      <c r="L3413" s="85" t="b">
        <f>IF(VLOOKUP(C3413,Projetos!A:L,12,false)=TRUE,TRUE,FALSE)</f>
        <v>1</v>
      </c>
      <c r="M3413" s="74">
        <v>52.48434411075036</v>
      </c>
      <c r="N3413" s="74">
        <f t="shared" si="1"/>
        <v>144.3319463</v>
      </c>
      <c r="O3413" s="74" t="b">
        <v>1</v>
      </c>
    </row>
    <row r="3414" hidden="1">
      <c r="A3414" s="82"/>
      <c r="B3414" s="65" t="s">
        <v>411</v>
      </c>
      <c r="C3414" s="65" t="s">
        <v>114</v>
      </c>
      <c r="D3414" s="65" t="str">
        <f>vlookup(C3414,'Classificação p pessoal'!F:G,2,false)</f>
        <v>NP</v>
      </c>
      <c r="E3414" s="65" t="s">
        <v>2186</v>
      </c>
      <c r="F3414" s="83">
        <v>0.34375</v>
      </c>
      <c r="G3414" s="83">
        <v>0.375</v>
      </c>
      <c r="H3414" s="83">
        <v>0.03125</v>
      </c>
      <c r="I3414" s="84">
        <v>44390.0</v>
      </c>
      <c r="J3414" s="65" t="b">
        <v>1</v>
      </c>
      <c r="K3414" s="65"/>
      <c r="L3414" s="85" t="b">
        <f>IF(VLOOKUP(C3414,Projetos!A:L,12,false)=TRUE,TRUE,FALSE)</f>
        <v>1</v>
      </c>
      <c r="M3414" s="74">
        <v>52.48434411075036</v>
      </c>
      <c r="N3414" s="74">
        <f t="shared" si="1"/>
        <v>39.36325808</v>
      </c>
      <c r="O3414" s="74" t="b">
        <v>1</v>
      </c>
    </row>
    <row r="3415" hidden="1">
      <c r="A3415" s="82"/>
      <c r="B3415" s="65" t="s">
        <v>411</v>
      </c>
      <c r="C3415" s="65" t="s">
        <v>120</v>
      </c>
      <c r="D3415" s="65"/>
      <c r="E3415" s="65" t="s">
        <v>2383</v>
      </c>
      <c r="F3415" s="83">
        <v>0.375</v>
      </c>
      <c r="G3415" s="83">
        <v>0.3958333333333333</v>
      </c>
      <c r="H3415" s="83">
        <v>0.020833333333333332</v>
      </c>
      <c r="I3415" s="84">
        <v>44390.0</v>
      </c>
      <c r="J3415" s="65" t="b">
        <v>0</v>
      </c>
      <c r="K3415" s="65"/>
      <c r="L3415" s="85" t="b">
        <f>IF(VLOOKUP(C3415,Projetos!A:L,12,false)=TRUE,TRUE,FALSE)</f>
        <v>0</v>
      </c>
      <c r="M3415" s="74">
        <v>52.48434411075036</v>
      </c>
      <c r="N3415" s="74">
        <f t="shared" si="1"/>
        <v>0</v>
      </c>
      <c r="O3415" s="74" t="b">
        <v>0</v>
      </c>
    </row>
    <row r="3416" hidden="1">
      <c r="A3416" s="82"/>
      <c r="B3416" s="65" t="s">
        <v>411</v>
      </c>
      <c r="C3416" s="65" t="s">
        <v>127</v>
      </c>
      <c r="D3416" s="65" t="str">
        <f>vlookup(C3416,'Classificação p pessoal'!F:G,2,false)</f>
        <v>NP</v>
      </c>
      <c r="E3416" s="65" t="s">
        <v>2384</v>
      </c>
      <c r="F3416" s="83">
        <v>0.3958333333333333</v>
      </c>
      <c r="G3416" s="83">
        <v>0.4166666666666667</v>
      </c>
      <c r="H3416" s="83">
        <v>0.020833333333333332</v>
      </c>
      <c r="I3416" s="84">
        <v>44390.0</v>
      </c>
      <c r="J3416" s="65" t="b">
        <v>1</v>
      </c>
      <c r="K3416" s="65"/>
      <c r="L3416" s="85" t="b">
        <f>IF(VLOOKUP(C3416,Projetos!A:L,12,false)=TRUE,TRUE,FALSE)</f>
        <v>1</v>
      </c>
      <c r="M3416" s="74">
        <v>52.48434411075036</v>
      </c>
      <c r="N3416" s="74">
        <f t="shared" si="1"/>
        <v>26.24217206</v>
      </c>
      <c r="O3416" s="74" t="b">
        <v>1</v>
      </c>
    </row>
    <row r="3417" hidden="1">
      <c r="A3417" s="82"/>
      <c r="B3417" s="65" t="s">
        <v>411</v>
      </c>
      <c r="C3417" s="65" t="s">
        <v>109</v>
      </c>
      <c r="D3417" s="65" t="str">
        <f>vlookup(C3417,'Classificação p pessoal'!F:G,2,false)</f>
        <v>NP</v>
      </c>
      <c r="E3417" s="65" t="s">
        <v>2378</v>
      </c>
      <c r="F3417" s="83">
        <v>0.4166666666666667</v>
      </c>
      <c r="G3417" s="83">
        <v>0.4375</v>
      </c>
      <c r="H3417" s="83">
        <v>0.020833333333333332</v>
      </c>
      <c r="I3417" s="84">
        <v>44390.0</v>
      </c>
      <c r="J3417" s="65" t="b">
        <v>1</v>
      </c>
      <c r="K3417" s="65"/>
      <c r="L3417" s="85" t="b">
        <f>IF(VLOOKUP(C3417,Projetos!A:L,12,false)=TRUE,TRUE,FALSE)</f>
        <v>1</v>
      </c>
      <c r="M3417" s="74">
        <v>52.48434411075036</v>
      </c>
      <c r="N3417" s="74">
        <f t="shared" si="1"/>
        <v>26.24217206</v>
      </c>
      <c r="O3417" s="74" t="b">
        <v>1</v>
      </c>
    </row>
    <row r="3418" hidden="1">
      <c r="A3418" s="82"/>
      <c r="B3418" s="65" t="s">
        <v>411</v>
      </c>
      <c r="C3418" s="65" t="s">
        <v>117</v>
      </c>
      <c r="D3418" s="65" t="str">
        <f>vlookup(C3418,'Classificação p pessoal'!F:G,2,false)</f>
        <v>NP</v>
      </c>
      <c r="E3418" s="65" t="s">
        <v>2385</v>
      </c>
      <c r="F3418" s="83">
        <v>0.4375</v>
      </c>
      <c r="G3418" s="83">
        <v>0.4791666666666667</v>
      </c>
      <c r="H3418" s="83">
        <v>0.041666666666666664</v>
      </c>
      <c r="I3418" s="84">
        <v>44390.0</v>
      </c>
      <c r="J3418" s="65" t="b">
        <v>1</v>
      </c>
      <c r="K3418" s="65"/>
      <c r="L3418" s="85" t="b">
        <f>IF(VLOOKUP(C3418,Projetos!A:L,12,false)=TRUE,TRUE,FALSE)</f>
        <v>1</v>
      </c>
      <c r="M3418" s="74">
        <v>52.48434411075036</v>
      </c>
      <c r="N3418" s="74">
        <f t="shared" si="1"/>
        <v>52.48434411</v>
      </c>
      <c r="O3418" s="74" t="b">
        <v>1</v>
      </c>
    </row>
    <row r="3419" hidden="1">
      <c r="A3419" s="82"/>
      <c r="B3419" s="65" t="s">
        <v>411</v>
      </c>
      <c r="C3419" s="65" t="s">
        <v>130</v>
      </c>
      <c r="D3419" s="65" t="str">
        <f>vlookup(C3419,'Classificação p pessoal'!F:G,2,false)</f>
        <v>NP</v>
      </c>
      <c r="E3419" s="65" t="s">
        <v>2386</v>
      </c>
      <c r="F3419" s="83">
        <v>0.5625</v>
      </c>
      <c r="G3419" s="83">
        <v>0.6458333333333334</v>
      </c>
      <c r="H3419" s="83">
        <v>0.08333333333333333</v>
      </c>
      <c r="I3419" s="84">
        <v>44390.0</v>
      </c>
      <c r="J3419" s="65" t="b">
        <v>1</v>
      </c>
      <c r="K3419" s="65"/>
      <c r="L3419" s="85" t="b">
        <f>IF(VLOOKUP(C3419,Projetos!A:L,12,false)=TRUE,TRUE,FALSE)</f>
        <v>1</v>
      </c>
      <c r="M3419" s="74">
        <v>52.48434411075036</v>
      </c>
      <c r="N3419" s="74">
        <f t="shared" si="1"/>
        <v>104.9686882</v>
      </c>
      <c r="O3419" s="74" t="b">
        <v>1</v>
      </c>
    </row>
    <row r="3420" hidden="1">
      <c r="A3420" s="82"/>
      <c r="B3420" s="65" t="s">
        <v>411</v>
      </c>
      <c r="C3420" s="65" t="s">
        <v>125</v>
      </c>
      <c r="D3420" s="65" t="str">
        <f>vlookup(C3420,'Classificação p pessoal'!F:G,2,false)</f>
        <v>MProduto</v>
      </c>
      <c r="E3420" s="65" t="s">
        <v>2387</v>
      </c>
      <c r="F3420" s="83">
        <v>0.6458333333333334</v>
      </c>
      <c r="G3420" s="83">
        <v>0.6875</v>
      </c>
      <c r="H3420" s="83">
        <v>0.041666666666666664</v>
      </c>
      <c r="I3420" s="84">
        <v>44390.0</v>
      </c>
      <c r="J3420" s="65" t="b">
        <v>1</v>
      </c>
      <c r="K3420" s="65"/>
      <c r="L3420" s="85" t="b">
        <f>IF(VLOOKUP(C3420,Projetos!A:L,12,false)=TRUE,TRUE,FALSE)</f>
        <v>1</v>
      </c>
      <c r="M3420" s="74">
        <v>52.48434411075036</v>
      </c>
      <c r="N3420" s="74">
        <f t="shared" si="1"/>
        <v>52.48434411</v>
      </c>
      <c r="O3420" s="74" t="b">
        <v>1</v>
      </c>
    </row>
    <row r="3421" hidden="1">
      <c r="A3421" s="82"/>
      <c r="B3421" s="65" t="s">
        <v>411</v>
      </c>
      <c r="C3421" s="65" t="s">
        <v>85</v>
      </c>
      <c r="D3421" s="65" t="str">
        <f>vlookup(C3421,'Classificação p pessoal'!F:G,2,false)</f>
        <v>NP</v>
      </c>
      <c r="E3421" s="65" t="s">
        <v>2370</v>
      </c>
      <c r="F3421" s="83">
        <v>0.6875</v>
      </c>
      <c r="G3421" s="83">
        <v>0.7083333333333334</v>
      </c>
      <c r="H3421" s="83">
        <v>0.020833333333333332</v>
      </c>
      <c r="I3421" s="84">
        <v>44390.0</v>
      </c>
      <c r="J3421" s="65" t="b">
        <v>1</v>
      </c>
      <c r="K3421" s="65"/>
      <c r="L3421" s="85" t="b">
        <f>IF(VLOOKUP(C3421,Projetos!A:L,12,false)=TRUE,TRUE,FALSE)</f>
        <v>1</v>
      </c>
      <c r="M3421" s="74">
        <v>52.48434411075036</v>
      </c>
      <c r="N3421" s="74">
        <f t="shared" si="1"/>
        <v>26.24217206</v>
      </c>
      <c r="O3421" s="74" t="b">
        <v>1</v>
      </c>
    </row>
    <row r="3422" hidden="1">
      <c r="A3422" s="82"/>
      <c r="B3422" s="65" t="s">
        <v>411</v>
      </c>
      <c r="C3422" s="65" t="s">
        <v>120</v>
      </c>
      <c r="D3422" s="65"/>
      <c r="E3422" s="65" t="s">
        <v>2388</v>
      </c>
      <c r="F3422" s="83">
        <v>0.7083333333333334</v>
      </c>
      <c r="G3422" s="83">
        <v>0.7291666666666666</v>
      </c>
      <c r="H3422" s="83">
        <v>0.020833333333333332</v>
      </c>
      <c r="I3422" s="84">
        <v>44390.0</v>
      </c>
      <c r="J3422" s="65" t="b">
        <v>0</v>
      </c>
      <c r="K3422" s="65"/>
      <c r="L3422" s="85" t="b">
        <f>IF(VLOOKUP(C3422,Projetos!A:L,12,false)=TRUE,TRUE,FALSE)</f>
        <v>0</v>
      </c>
      <c r="M3422" s="74">
        <v>52.48434411075036</v>
      </c>
      <c r="N3422" s="74">
        <f t="shared" si="1"/>
        <v>0</v>
      </c>
      <c r="O3422" s="74" t="b">
        <v>0</v>
      </c>
    </row>
    <row r="3423" hidden="1">
      <c r="A3423" s="82"/>
      <c r="B3423" s="65" t="s">
        <v>411</v>
      </c>
      <c r="C3423" s="65" t="s">
        <v>125</v>
      </c>
      <c r="D3423" s="65" t="str">
        <f>vlookup(C3423,'Classificação p pessoal'!F:G,2,false)</f>
        <v>MProduto</v>
      </c>
      <c r="E3423" s="65" t="s">
        <v>2389</v>
      </c>
      <c r="F3423" s="83">
        <v>0.34375</v>
      </c>
      <c r="G3423" s="83">
        <v>0.3541666666666667</v>
      </c>
      <c r="H3423" s="83">
        <v>0.010416666666666666</v>
      </c>
      <c r="I3423" s="84">
        <v>44391.0</v>
      </c>
      <c r="J3423" s="65" t="b">
        <v>1</v>
      </c>
      <c r="K3423" s="65"/>
      <c r="L3423" s="85" t="b">
        <f>IF(VLOOKUP(C3423,Projetos!A:L,12,false)=TRUE,TRUE,FALSE)</f>
        <v>1</v>
      </c>
      <c r="M3423" s="74">
        <v>52.48434411075036</v>
      </c>
      <c r="N3423" s="74">
        <f t="shared" si="1"/>
        <v>13.12108603</v>
      </c>
      <c r="O3423" s="74" t="b">
        <v>1</v>
      </c>
    </row>
    <row r="3424" hidden="1">
      <c r="A3424" s="82"/>
      <c r="B3424" s="65" t="s">
        <v>411</v>
      </c>
      <c r="C3424" s="65" t="s">
        <v>117</v>
      </c>
      <c r="D3424" s="65" t="str">
        <f>vlookup(C3424,'Classificação p pessoal'!F:G,2,false)</f>
        <v>NP</v>
      </c>
      <c r="E3424" s="65" t="s">
        <v>2390</v>
      </c>
      <c r="F3424" s="83">
        <v>0.3541666666666667</v>
      </c>
      <c r="G3424" s="83">
        <v>0.3958333333333333</v>
      </c>
      <c r="H3424" s="83">
        <v>0.041666666666666664</v>
      </c>
      <c r="I3424" s="84">
        <v>44391.0</v>
      </c>
      <c r="J3424" s="65" t="b">
        <v>1</v>
      </c>
      <c r="K3424" s="65"/>
      <c r="L3424" s="85" t="b">
        <f>IF(VLOOKUP(C3424,Projetos!A:L,12,false)=TRUE,TRUE,FALSE)</f>
        <v>1</v>
      </c>
      <c r="M3424" s="74">
        <v>52.48434411075036</v>
      </c>
      <c r="N3424" s="74">
        <f t="shared" si="1"/>
        <v>52.48434411</v>
      </c>
      <c r="O3424" s="74" t="b">
        <v>1</v>
      </c>
    </row>
    <row r="3425" hidden="1">
      <c r="A3425" s="82"/>
      <c r="B3425" s="65" t="s">
        <v>411</v>
      </c>
      <c r="C3425" s="65" t="s">
        <v>130</v>
      </c>
      <c r="D3425" s="65" t="str">
        <f>vlookup(C3425,'Classificação p pessoal'!F:G,2,false)</f>
        <v>NP</v>
      </c>
      <c r="E3425" s="65" t="s">
        <v>2391</v>
      </c>
      <c r="F3425" s="83">
        <v>0.3958333333333333</v>
      </c>
      <c r="G3425" s="83">
        <v>0.4375</v>
      </c>
      <c r="H3425" s="83">
        <v>0.041666666666666664</v>
      </c>
      <c r="I3425" s="84">
        <v>44391.0</v>
      </c>
      <c r="J3425" s="65" t="b">
        <v>1</v>
      </c>
      <c r="K3425" s="65"/>
      <c r="L3425" s="85" t="b">
        <f>IF(VLOOKUP(C3425,Projetos!A:L,12,false)=TRUE,TRUE,FALSE)</f>
        <v>1</v>
      </c>
      <c r="M3425" s="74">
        <v>52.48434411075036</v>
      </c>
      <c r="N3425" s="74">
        <f t="shared" si="1"/>
        <v>52.48434411</v>
      </c>
      <c r="O3425" s="74" t="b">
        <v>1</v>
      </c>
    </row>
    <row r="3426" hidden="1">
      <c r="A3426" s="82"/>
      <c r="B3426" s="65" t="s">
        <v>411</v>
      </c>
      <c r="C3426" s="65" t="s">
        <v>128</v>
      </c>
      <c r="D3426" s="65" t="str">
        <f>vlookup(C3426,'Classificação p pessoal'!F:G,2,false)</f>
        <v>NP</v>
      </c>
      <c r="E3426" s="65" t="s">
        <v>2392</v>
      </c>
      <c r="F3426" s="83">
        <v>0.4375</v>
      </c>
      <c r="G3426" s="83">
        <v>0.4791666666666667</v>
      </c>
      <c r="H3426" s="83">
        <v>0.041666666666666664</v>
      </c>
      <c r="I3426" s="84">
        <v>44391.0</v>
      </c>
      <c r="J3426" s="65" t="b">
        <v>1</v>
      </c>
      <c r="K3426" s="65"/>
      <c r="L3426" s="85" t="b">
        <f>IF(VLOOKUP(C3426,Projetos!A:L,12,false)=TRUE,TRUE,FALSE)</f>
        <v>1</v>
      </c>
      <c r="M3426" s="74">
        <v>52.48434411075036</v>
      </c>
      <c r="N3426" s="74">
        <f t="shared" si="1"/>
        <v>52.48434411</v>
      </c>
      <c r="O3426" s="74" t="b">
        <v>1</v>
      </c>
    </row>
    <row r="3427" hidden="1">
      <c r="A3427" s="82"/>
      <c r="B3427" s="65" t="s">
        <v>411</v>
      </c>
      <c r="C3427" s="65" t="s">
        <v>92</v>
      </c>
      <c r="D3427" s="65" t="str">
        <f>vlookup(C3427,'Classificação p pessoal'!F:G,2,false)</f>
        <v/>
      </c>
      <c r="E3427" s="65" t="s">
        <v>2358</v>
      </c>
      <c r="F3427" s="83">
        <v>0.4791666666666667</v>
      </c>
      <c r="G3427" s="83">
        <v>0.5208333333333334</v>
      </c>
      <c r="H3427" s="83">
        <v>0.041666666666666664</v>
      </c>
      <c r="I3427" s="84">
        <v>44391.0</v>
      </c>
      <c r="J3427" s="65" t="b">
        <v>1</v>
      </c>
      <c r="K3427" s="65"/>
      <c r="L3427" s="85" t="b">
        <f>IF(VLOOKUP(C3427,Projetos!A:L,12,false)=TRUE,TRUE,FALSE)</f>
        <v>1</v>
      </c>
      <c r="M3427" s="74">
        <v>52.48434411075036</v>
      </c>
      <c r="N3427" s="74">
        <f t="shared" si="1"/>
        <v>52.48434411</v>
      </c>
      <c r="O3427" s="74" t="b">
        <v>1</v>
      </c>
    </row>
    <row r="3428" hidden="1">
      <c r="A3428" s="82"/>
      <c r="B3428" s="65" t="s">
        <v>411</v>
      </c>
      <c r="C3428" s="65" t="s">
        <v>117</v>
      </c>
      <c r="D3428" s="65" t="str">
        <f>vlookup(C3428,'Classificação p pessoal'!F:G,2,false)</f>
        <v>NP</v>
      </c>
      <c r="E3428" s="65" t="s">
        <v>2393</v>
      </c>
      <c r="F3428" s="83">
        <v>0.5625</v>
      </c>
      <c r="G3428" s="83">
        <v>0.6458333333333334</v>
      </c>
      <c r="H3428" s="83">
        <v>0.08333333333333333</v>
      </c>
      <c r="I3428" s="84">
        <v>44391.0</v>
      </c>
      <c r="J3428" s="65" t="b">
        <v>1</v>
      </c>
      <c r="K3428" s="65"/>
      <c r="L3428" s="85" t="b">
        <f>IF(VLOOKUP(C3428,Projetos!A:L,12,false)=TRUE,TRUE,FALSE)</f>
        <v>1</v>
      </c>
      <c r="M3428" s="74">
        <v>52.48434411075036</v>
      </c>
      <c r="N3428" s="74">
        <f t="shared" si="1"/>
        <v>104.9686882</v>
      </c>
      <c r="O3428" s="74" t="b">
        <v>1</v>
      </c>
    </row>
    <row r="3429" hidden="1">
      <c r="A3429" s="82"/>
      <c r="B3429" s="65" t="s">
        <v>411</v>
      </c>
      <c r="C3429" s="65" t="s">
        <v>114</v>
      </c>
      <c r="D3429" s="65" t="str">
        <f>vlookup(C3429,'Classificação p pessoal'!F:G,2,false)</f>
        <v>NP</v>
      </c>
      <c r="E3429" s="65" t="s">
        <v>2394</v>
      </c>
      <c r="F3429" s="83">
        <v>0.6458333333333334</v>
      </c>
      <c r="G3429" s="83">
        <v>0.6875</v>
      </c>
      <c r="H3429" s="83">
        <v>0.041666666666666664</v>
      </c>
      <c r="I3429" s="84">
        <v>44391.0</v>
      </c>
      <c r="J3429" s="65" t="b">
        <v>1</v>
      </c>
      <c r="K3429" s="65"/>
      <c r="L3429" s="85" t="b">
        <f>IF(VLOOKUP(C3429,Projetos!A:L,12,false)=TRUE,TRUE,FALSE)</f>
        <v>1</v>
      </c>
      <c r="M3429" s="74">
        <v>52.48434411075036</v>
      </c>
      <c r="N3429" s="74">
        <f t="shared" si="1"/>
        <v>52.48434411</v>
      </c>
      <c r="O3429" s="74" t="b">
        <v>1</v>
      </c>
    </row>
    <row r="3430">
      <c r="A3430" s="82"/>
      <c r="B3430" s="65" t="s">
        <v>411</v>
      </c>
      <c r="C3430" s="65" t="s">
        <v>108</v>
      </c>
      <c r="D3430" s="65" t="str">
        <f>vlookup(C3430,'Classificação p pessoal'!F:G,2,false)</f>
        <v>NP</v>
      </c>
      <c r="E3430" s="65" t="s">
        <v>2395</v>
      </c>
      <c r="F3430" s="83">
        <v>0.6875</v>
      </c>
      <c r="G3430" s="83">
        <v>0.7083333333333334</v>
      </c>
      <c r="H3430" s="83">
        <v>0.020833333333333332</v>
      </c>
      <c r="I3430" s="84">
        <v>44391.0</v>
      </c>
      <c r="J3430" s="65" t="b">
        <v>1</v>
      </c>
      <c r="K3430" s="65"/>
      <c r="L3430" s="85" t="b">
        <f>IF(VLOOKUP(C3430,Projetos!A:L,12,false)=TRUE,TRUE,FALSE)</f>
        <v>1</v>
      </c>
      <c r="M3430" s="74">
        <v>52.48434411075036</v>
      </c>
      <c r="N3430" s="74">
        <f t="shared" si="1"/>
        <v>26.24217206</v>
      </c>
      <c r="O3430" s="74" t="b">
        <v>1</v>
      </c>
    </row>
    <row r="3431" hidden="1">
      <c r="A3431" s="82"/>
      <c r="B3431" s="65" t="s">
        <v>411</v>
      </c>
      <c r="C3431" s="65" t="s">
        <v>88</v>
      </c>
      <c r="D3431" s="65" t="str">
        <f>vlookup(C3431,'Classificação p pessoal'!F:G,2,false)</f>
        <v>MProduto</v>
      </c>
      <c r="E3431" s="65" t="s">
        <v>2396</v>
      </c>
      <c r="F3431" s="83">
        <v>0.7083333333333334</v>
      </c>
      <c r="G3431" s="83">
        <v>0.75</v>
      </c>
      <c r="H3431" s="83">
        <v>0.041666666666666664</v>
      </c>
      <c r="I3431" s="84">
        <v>44391.0</v>
      </c>
      <c r="J3431" s="65" t="b">
        <v>1</v>
      </c>
      <c r="K3431" s="65"/>
      <c r="L3431" s="85" t="b">
        <f>IF(VLOOKUP(C3431,Projetos!A:L,12,false)=TRUE,TRUE,FALSE)</f>
        <v>1</v>
      </c>
      <c r="M3431" s="74">
        <v>52.48434411075036</v>
      </c>
      <c r="N3431" s="74">
        <f t="shared" si="1"/>
        <v>52.48434411</v>
      </c>
      <c r="O3431" s="74" t="b">
        <v>1</v>
      </c>
    </row>
    <row r="3432" hidden="1">
      <c r="A3432" s="82"/>
      <c r="B3432" s="65" t="s">
        <v>411</v>
      </c>
      <c r="C3432" s="65" t="s">
        <v>101</v>
      </c>
      <c r="D3432" s="65" t="str">
        <f>vlookup(C3432,'Classificação p pessoal'!F:G,2,false)</f>
        <v>NP</v>
      </c>
      <c r="E3432" s="65" t="s">
        <v>2397</v>
      </c>
      <c r="F3432" s="83">
        <v>0.34375</v>
      </c>
      <c r="G3432" s="83">
        <v>0.375</v>
      </c>
      <c r="H3432" s="83">
        <v>0.03125</v>
      </c>
      <c r="I3432" s="84">
        <v>44392.0</v>
      </c>
      <c r="J3432" s="65" t="b">
        <v>1</v>
      </c>
      <c r="K3432" s="65"/>
      <c r="L3432" s="85" t="b">
        <f>IF(VLOOKUP(C3432,Projetos!A:L,12,false)=TRUE,TRUE,FALSE)</f>
        <v>1</v>
      </c>
      <c r="M3432" s="74">
        <v>52.48434411075036</v>
      </c>
      <c r="N3432" s="74">
        <f t="shared" si="1"/>
        <v>39.36325808</v>
      </c>
      <c r="O3432" s="74" t="b">
        <v>1</v>
      </c>
    </row>
    <row r="3433" hidden="1">
      <c r="A3433" s="82"/>
      <c r="B3433" s="65" t="s">
        <v>411</v>
      </c>
      <c r="C3433" s="65" t="s">
        <v>132</v>
      </c>
      <c r="D3433" s="65"/>
      <c r="E3433" s="65" t="s">
        <v>2398</v>
      </c>
      <c r="F3433" s="83">
        <v>0.375</v>
      </c>
      <c r="G3433" s="83">
        <v>0.4791666666666667</v>
      </c>
      <c r="H3433" s="83">
        <v>0.10416666666666667</v>
      </c>
      <c r="I3433" s="84">
        <v>44392.0</v>
      </c>
      <c r="J3433" s="65" t="b">
        <v>1</v>
      </c>
      <c r="K3433" s="65"/>
      <c r="L3433" s="85" t="b">
        <f>IF(VLOOKUP(C3433,Projetos!A:L,12,false)=TRUE,TRUE,FALSE)</f>
        <v>0</v>
      </c>
      <c r="M3433" s="74">
        <v>52.48434411075036</v>
      </c>
      <c r="N3433" s="74">
        <f t="shared" si="1"/>
        <v>0</v>
      </c>
      <c r="O3433" s="74" t="b">
        <v>0</v>
      </c>
    </row>
    <row r="3434" hidden="1">
      <c r="A3434" s="82"/>
      <c r="B3434" s="65" t="s">
        <v>411</v>
      </c>
      <c r="C3434" s="65" t="s">
        <v>92</v>
      </c>
      <c r="D3434" s="65" t="str">
        <f>vlookup(C3434,'Classificação p pessoal'!F:G,2,false)</f>
        <v/>
      </c>
      <c r="E3434" s="65" t="s">
        <v>2399</v>
      </c>
      <c r="F3434" s="83">
        <v>0.4791666666666667</v>
      </c>
      <c r="G3434" s="83">
        <v>0.5</v>
      </c>
      <c r="H3434" s="83">
        <v>0.020833333333333332</v>
      </c>
      <c r="I3434" s="84">
        <v>44392.0</v>
      </c>
      <c r="J3434" s="65" t="b">
        <v>1</v>
      </c>
      <c r="K3434" s="65"/>
      <c r="L3434" s="85" t="b">
        <f>IF(VLOOKUP(C3434,Projetos!A:L,12,false)=TRUE,TRUE,FALSE)</f>
        <v>1</v>
      </c>
      <c r="M3434" s="74">
        <v>52.48434411075036</v>
      </c>
      <c r="N3434" s="74">
        <f t="shared" si="1"/>
        <v>26.24217206</v>
      </c>
      <c r="O3434" s="74" t="b">
        <v>1</v>
      </c>
    </row>
    <row r="3435" hidden="1">
      <c r="A3435" s="82"/>
      <c r="B3435" s="65" t="s">
        <v>411</v>
      </c>
      <c r="C3435" s="65" t="s">
        <v>85</v>
      </c>
      <c r="D3435" s="65" t="str">
        <f>vlookup(C3435,'Classificação p pessoal'!F:G,2,false)</f>
        <v>NP</v>
      </c>
      <c r="E3435" s="65" t="s">
        <v>2370</v>
      </c>
      <c r="F3435" s="83">
        <v>0.5</v>
      </c>
      <c r="G3435" s="83">
        <v>0.5208333333333334</v>
      </c>
      <c r="H3435" s="83">
        <v>0.020833333333333332</v>
      </c>
      <c r="I3435" s="84">
        <v>44392.0</v>
      </c>
      <c r="J3435" s="65" t="b">
        <v>1</v>
      </c>
      <c r="K3435" s="65"/>
      <c r="L3435" s="85" t="b">
        <f>IF(VLOOKUP(C3435,Projetos!A:L,12,false)=TRUE,TRUE,FALSE)</f>
        <v>1</v>
      </c>
      <c r="M3435" s="74">
        <v>52.48434411075036</v>
      </c>
      <c r="N3435" s="74">
        <f t="shared" si="1"/>
        <v>26.24217206</v>
      </c>
      <c r="O3435" s="74" t="b">
        <v>1</v>
      </c>
    </row>
    <row r="3436" hidden="1">
      <c r="A3436" s="82"/>
      <c r="B3436" s="65" t="s">
        <v>411</v>
      </c>
      <c r="C3436" s="65" t="s">
        <v>117</v>
      </c>
      <c r="D3436" s="65" t="str">
        <f>vlookup(C3436,'Classificação p pessoal'!F:G,2,false)</f>
        <v>NP</v>
      </c>
      <c r="E3436" s="65" t="s">
        <v>2400</v>
      </c>
      <c r="F3436" s="83">
        <v>0.5208333333333334</v>
      </c>
      <c r="G3436" s="83">
        <v>0.5833333333333334</v>
      </c>
      <c r="H3436" s="83">
        <v>0.0625</v>
      </c>
      <c r="I3436" s="84">
        <v>44392.0</v>
      </c>
      <c r="J3436" s="65" t="b">
        <v>1</v>
      </c>
      <c r="K3436" s="65"/>
      <c r="L3436" s="85" t="b">
        <f>IF(VLOOKUP(C3436,Projetos!A:L,12,false)=TRUE,TRUE,FALSE)</f>
        <v>1</v>
      </c>
      <c r="M3436" s="74">
        <v>52.48434411075036</v>
      </c>
      <c r="N3436" s="74">
        <f t="shared" si="1"/>
        <v>78.72651617</v>
      </c>
      <c r="O3436" s="74" t="b">
        <v>1</v>
      </c>
    </row>
    <row r="3437" hidden="1">
      <c r="A3437" s="82"/>
      <c r="B3437" s="65" t="s">
        <v>411</v>
      </c>
      <c r="C3437" s="65" t="s">
        <v>132</v>
      </c>
      <c r="D3437" s="65"/>
      <c r="E3437" s="65" t="s">
        <v>2401</v>
      </c>
      <c r="F3437" s="83">
        <v>0.625</v>
      </c>
      <c r="G3437" s="83">
        <v>0.6875</v>
      </c>
      <c r="H3437" s="83">
        <v>0.0625</v>
      </c>
      <c r="I3437" s="84">
        <v>44392.0</v>
      </c>
      <c r="J3437" s="65" t="b">
        <v>1</v>
      </c>
      <c r="K3437" s="65"/>
      <c r="L3437" s="85" t="b">
        <f>IF(VLOOKUP(C3437,Projetos!A:L,12,false)=TRUE,TRUE,FALSE)</f>
        <v>0</v>
      </c>
      <c r="M3437" s="74">
        <v>52.48434411075036</v>
      </c>
      <c r="N3437" s="74">
        <f t="shared" si="1"/>
        <v>0</v>
      </c>
      <c r="O3437" s="74" t="b">
        <v>0</v>
      </c>
    </row>
    <row r="3438" hidden="1">
      <c r="A3438" s="82"/>
      <c r="B3438" s="65" t="s">
        <v>411</v>
      </c>
      <c r="C3438" s="65" t="s">
        <v>132</v>
      </c>
      <c r="D3438" s="65"/>
      <c r="E3438" s="65" t="s">
        <v>2402</v>
      </c>
      <c r="F3438" s="83">
        <v>0.34375</v>
      </c>
      <c r="G3438" s="83">
        <v>0.4375</v>
      </c>
      <c r="H3438" s="83">
        <v>0.09375</v>
      </c>
      <c r="I3438" s="84">
        <v>44393.0</v>
      </c>
      <c r="J3438" s="65" t="b">
        <v>1</v>
      </c>
      <c r="K3438" s="65"/>
      <c r="L3438" s="85" t="b">
        <f>IF(VLOOKUP(C3438,Projetos!A:L,12,false)=TRUE,TRUE,FALSE)</f>
        <v>0</v>
      </c>
      <c r="M3438" s="74">
        <v>52.48434411075036</v>
      </c>
      <c r="N3438" s="74">
        <f t="shared" si="1"/>
        <v>0</v>
      </c>
      <c r="O3438" s="74" t="b">
        <v>0</v>
      </c>
    </row>
    <row r="3439" hidden="1">
      <c r="A3439" s="82"/>
      <c r="B3439" s="65" t="s">
        <v>411</v>
      </c>
      <c r="C3439" s="65" t="s">
        <v>117</v>
      </c>
      <c r="D3439" s="65" t="str">
        <f>vlookup(C3439,'Classificação p pessoal'!F:G,2,false)</f>
        <v>NP</v>
      </c>
      <c r="E3439" s="65" t="s">
        <v>2403</v>
      </c>
      <c r="F3439" s="83">
        <v>0.4375</v>
      </c>
      <c r="G3439" s="83">
        <v>0.4791666666666667</v>
      </c>
      <c r="H3439" s="83">
        <v>0.041666666666666664</v>
      </c>
      <c r="I3439" s="84">
        <v>44393.0</v>
      </c>
      <c r="J3439" s="65" t="b">
        <v>1</v>
      </c>
      <c r="K3439" s="65"/>
      <c r="L3439" s="85" t="b">
        <f>IF(VLOOKUP(C3439,Projetos!A:L,12,false)=TRUE,TRUE,FALSE)</f>
        <v>1</v>
      </c>
      <c r="M3439" s="74">
        <v>52.48434411075036</v>
      </c>
      <c r="N3439" s="74">
        <f t="shared" si="1"/>
        <v>52.48434411</v>
      </c>
      <c r="O3439" s="74" t="b">
        <v>1</v>
      </c>
    </row>
    <row r="3440" hidden="1">
      <c r="A3440" s="82"/>
      <c r="B3440" s="65" t="s">
        <v>411</v>
      </c>
      <c r="C3440" s="65" t="s">
        <v>132</v>
      </c>
      <c r="D3440" s="65"/>
      <c r="E3440" s="65" t="s">
        <v>2404</v>
      </c>
      <c r="F3440" s="83">
        <v>0.4791666666666667</v>
      </c>
      <c r="G3440" s="83">
        <v>0.5208333333333334</v>
      </c>
      <c r="H3440" s="83">
        <v>0.041666666666666664</v>
      </c>
      <c r="I3440" s="84">
        <v>44393.0</v>
      </c>
      <c r="J3440" s="65" t="b">
        <v>1</v>
      </c>
      <c r="K3440" s="65"/>
      <c r="L3440" s="85" t="b">
        <f>IF(VLOOKUP(C3440,Projetos!A:L,12,false)=TRUE,TRUE,FALSE)</f>
        <v>0</v>
      </c>
      <c r="M3440" s="74">
        <v>52.48434411075036</v>
      </c>
      <c r="N3440" s="74">
        <f t="shared" si="1"/>
        <v>0</v>
      </c>
      <c r="O3440" s="74" t="b">
        <v>0</v>
      </c>
    </row>
    <row r="3441" hidden="1">
      <c r="A3441" s="82"/>
      <c r="B3441" s="65" t="s">
        <v>411</v>
      </c>
      <c r="C3441" s="65" t="s">
        <v>117</v>
      </c>
      <c r="D3441" s="65" t="str">
        <f>vlookup(C3441,'Classificação p pessoal'!F:G,2,false)</f>
        <v>NP</v>
      </c>
      <c r="E3441" s="65" t="s">
        <v>2405</v>
      </c>
      <c r="F3441" s="83">
        <v>0.5208333333333334</v>
      </c>
      <c r="G3441" s="83">
        <v>0.5625</v>
      </c>
      <c r="H3441" s="83">
        <v>0.041666666666666664</v>
      </c>
      <c r="I3441" s="84">
        <v>44393.0</v>
      </c>
      <c r="J3441" s="65" t="b">
        <v>1</v>
      </c>
      <c r="K3441" s="65"/>
      <c r="L3441" s="85" t="b">
        <f>IF(VLOOKUP(C3441,Projetos!A:L,12,false)=TRUE,TRUE,FALSE)</f>
        <v>1</v>
      </c>
      <c r="M3441" s="74">
        <v>52.48434411075036</v>
      </c>
      <c r="N3441" s="74">
        <f t="shared" si="1"/>
        <v>52.48434411</v>
      </c>
      <c r="O3441" s="74" t="b">
        <v>1</v>
      </c>
    </row>
    <row r="3442" hidden="1">
      <c r="A3442" s="82"/>
      <c r="B3442" s="65" t="s">
        <v>411</v>
      </c>
      <c r="C3442" s="65" t="s">
        <v>117</v>
      </c>
      <c r="D3442" s="65" t="str">
        <f>vlookup(C3442,'Classificação p pessoal'!F:G,2,false)</f>
        <v>NP</v>
      </c>
      <c r="E3442" s="65" t="s">
        <v>2406</v>
      </c>
      <c r="F3442" s="83">
        <v>0.6041666666666666</v>
      </c>
      <c r="G3442" s="83">
        <v>0.6875</v>
      </c>
      <c r="H3442" s="83">
        <v>0.08333333333333333</v>
      </c>
      <c r="I3442" s="84">
        <v>44393.0</v>
      </c>
      <c r="J3442" s="65" t="b">
        <v>1</v>
      </c>
      <c r="K3442" s="65"/>
      <c r="L3442" s="85" t="b">
        <f>IF(VLOOKUP(C3442,Projetos!A:L,12,false)=TRUE,TRUE,FALSE)</f>
        <v>1</v>
      </c>
      <c r="M3442" s="74">
        <v>52.48434411075036</v>
      </c>
      <c r="N3442" s="74">
        <f t="shared" si="1"/>
        <v>104.9686882</v>
      </c>
      <c r="O3442" s="74" t="b">
        <v>1</v>
      </c>
    </row>
    <row r="3443" hidden="1">
      <c r="A3443" s="82"/>
      <c r="B3443" s="65" t="s">
        <v>411</v>
      </c>
      <c r="C3443" s="65" t="s">
        <v>117</v>
      </c>
      <c r="D3443" s="65" t="str">
        <f>vlookup(C3443,'Classificação p pessoal'!F:G,2,false)</f>
        <v>NP</v>
      </c>
      <c r="E3443" s="65" t="s">
        <v>2405</v>
      </c>
      <c r="F3443" s="83">
        <v>0.34375</v>
      </c>
      <c r="G3443" s="83">
        <v>0.375</v>
      </c>
      <c r="H3443" s="83">
        <v>0.03125</v>
      </c>
      <c r="I3443" s="84">
        <v>44396.0</v>
      </c>
      <c r="J3443" s="65" t="b">
        <v>1</v>
      </c>
      <c r="K3443" s="65"/>
      <c r="L3443" s="85" t="b">
        <f>IF(VLOOKUP(C3443,Projetos!A:L,12,false)=TRUE,TRUE,FALSE)</f>
        <v>1</v>
      </c>
      <c r="M3443" s="74">
        <v>52.48434411075036</v>
      </c>
      <c r="N3443" s="74">
        <f t="shared" si="1"/>
        <v>39.36325808</v>
      </c>
      <c r="O3443" s="74" t="b">
        <v>1</v>
      </c>
    </row>
    <row r="3444" hidden="1">
      <c r="A3444" s="82"/>
      <c r="B3444" s="65" t="s">
        <v>411</v>
      </c>
      <c r="C3444" s="65" t="s">
        <v>92</v>
      </c>
      <c r="D3444" s="65" t="str">
        <f>vlookup(C3444,'Classificação p pessoal'!F:G,2,false)</f>
        <v/>
      </c>
      <c r="E3444" s="65" t="s">
        <v>2407</v>
      </c>
      <c r="F3444" s="83">
        <v>0.375</v>
      </c>
      <c r="G3444" s="83">
        <v>0.4166666666666667</v>
      </c>
      <c r="H3444" s="83">
        <v>0.041666666666666664</v>
      </c>
      <c r="I3444" s="84">
        <v>44396.0</v>
      </c>
      <c r="J3444" s="65" t="b">
        <v>1</v>
      </c>
      <c r="K3444" s="65"/>
      <c r="L3444" s="85" t="b">
        <f>IF(VLOOKUP(C3444,Projetos!A:L,12,false)=TRUE,TRUE,FALSE)</f>
        <v>1</v>
      </c>
      <c r="M3444" s="74">
        <v>52.48434411075036</v>
      </c>
      <c r="N3444" s="74">
        <f t="shared" si="1"/>
        <v>52.48434411</v>
      </c>
      <c r="O3444" s="74" t="b">
        <v>1</v>
      </c>
    </row>
    <row r="3445" hidden="1">
      <c r="A3445" s="82"/>
      <c r="B3445" s="65" t="s">
        <v>411</v>
      </c>
      <c r="C3445" s="65" t="s">
        <v>120</v>
      </c>
      <c r="D3445" s="65"/>
      <c r="E3445" s="65" t="s">
        <v>2408</v>
      </c>
      <c r="F3445" s="83">
        <v>0.4166666666666667</v>
      </c>
      <c r="G3445" s="83">
        <v>0.4791666666666667</v>
      </c>
      <c r="H3445" s="83">
        <v>0.0625</v>
      </c>
      <c r="I3445" s="84">
        <v>44396.0</v>
      </c>
      <c r="J3445" s="65" t="b">
        <v>0</v>
      </c>
      <c r="K3445" s="65"/>
      <c r="L3445" s="85" t="b">
        <f>IF(VLOOKUP(C3445,Projetos!A:L,12,false)=TRUE,TRUE,FALSE)</f>
        <v>0</v>
      </c>
      <c r="M3445" s="74">
        <v>52.48434411075036</v>
      </c>
      <c r="N3445" s="74">
        <f t="shared" si="1"/>
        <v>0</v>
      </c>
      <c r="O3445" s="74" t="b">
        <v>0</v>
      </c>
    </row>
    <row r="3446" hidden="1">
      <c r="A3446" s="82"/>
      <c r="B3446" s="65" t="s">
        <v>411</v>
      </c>
      <c r="C3446" s="65" t="s">
        <v>125</v>
      </c>
      <c r="D3446" s="65"/>
      <c r="E3446" s="65" t="s">
        <v>2409</v>
      </c>
      <c r="F3446" s="83">
        <v>0.4791666666666667</v>
      </c>
      <c r="G3446" s="83">
        <v>0.5208333333333334</v>
      </c>
      <c r="H3446" s="83">
        <v>0.041666666666666664</v>
      </c>
      <c r="I3446" s="84">
        <v>44396.0</v>
      </c>
      <c r="J3446" s="65" t="b">
        <v>0</v>
      </c>
      <c r="K3446" s="65" t="s">
        <v>150</v>
      </c>
      <c r="L3446" s="85" t="b">
        <f>IF(VLOOKUP(C3446,Projetos!A:L,12,false)=TRUE,TRUE,FALSE)</f>
        <v>1</v>
      </c>
      <c r="M3446" s="74">
        <v>52.48434411075036</v>
      </c>
      <c r="N3446" s="74">
        <f t="shared" si="1"/>
        <v>0</v>
      </c>
      <c r="O3446" s="74" t="b">
        <v>1</v>
      </c>
    </row>
    <row r="3447" hidden="1">
      <c r="A3447" s="82"/>
      <c r="B3447" s="65" t="s">
        <v>411</v>
      </c>
      <c r="C3447" s="65" t="s">
        <v>117</v>
      </c>
      <c r="D3447" s="65" t="str">
        <f>vlookup(C3447,'Classificação p pessoal'!F:G,2,false)</f>
        <v>NP</v>
      </c>
      <c r="E3447" s="65" t="s">
        <v>2410</v>
      </c>
      <c r="F3447" s="83">
        <v>0.5208333333333334</v>
      </c>
      <c r="G3447" s="83">
        <v>0.5833333333333334</v>
      </c>
      <c r="H3447" s="83">
        <v>0.0625</v>
      </c>
      <c r="I3447" s="84">
        <v>44396.0</v>
      </c>
      <c r="J3447" s="65" t="b">
        <v>1</v>
      </c>
      <c r="K3447" s="65"/>
      <c r="L3447" s="85" t="b">
        <f>IF(VLOOKUP(C3447,Projetos!A:L,12,false)=TRUE,TRUE,FALSE)</f>
        <v>1</v>
      </c>
      <c r="M3447" s="74">
        <v>52.48434411075036</v>
      </c>
      <c r="N3447" s="74">
        <f t="shared" si="1"/>
        <v>78.72651617</v>
      </c>
      <c r="O3447" s="74" t="b">
        <v>1</v>
      </c>
    </row>
    <row r="3448" hidden="1">
      <c r="A3448" s="82"/>
      <c r="B3448" s="65" t="s">
        <v>411</v>
      </c>
      <c r="C3448" s="65" t="s">
        <v>125</v>
      </c>
      <c r="D3448" s="65" t="str">
        <f>vlookup(C3448,'Classificação p pessoal'!F:G,2,false)</f>
        <v>MProduto</v>
      </c>
      <c r="E3448" s="65" t="s">
        <v>2411</v>
      </c>
      <c r="F3448" s="83">
        <v>0.625</v>
      </c>
      <c r="G3448" s="83">
        <v>0.6458333333333334</v>
      </c>
      <c r="H3448" s="83">
        <v>0.020833333333333332</v>
      </c>
      <c r="I3448" s="84">
        <v>44396.0</v>
      </c>
      <c r="J3448" s="65" t="b">
        <v>1</v>
      </c>
      <c r="K3448" s="65"/>
      <c r="L3448" s="85" t="b">
        <f>IF(VLOOKUP(C3448,Projetos!A:L,12,false)=TRUE,TRUE,FALSE)</f>
        <v>1</v>
      </c>
      <c r="M3448" s="74">
        <v>52.48434411075036</v>
      </c>
      <c r="N3448" s="74">
        <f t="shared" si="1"/>
        <v>26.24217206</v>
      </c>
      <c r="O3448" s="74" t="b">
        <v>1</v>
      </c>
    </row>
    <row r="3449" hidden="1">
      <c r="A3449" s="82"/>
      <c r="B3449" s="65" t="s">
        <v>411</v>
      </c>
      <c r="C3449" s="65" t="s">
        <v>85</v>
      </c>
      <c r="D3449" s="65" t="str">
        <f>vlookup(C3449,'Classificação p pessoal'!F:G,2,false)</f>
        <v>NP</v>
      </c>
      <c r="E3449" s="65" t="s">
        <v>2412</v>
      </c>
      <c r="F3449" s="83">
        <v>0.6458333333333334</v>
      </c>
      <c r="G3449" s="83">
        <v>0.6875</v>
      </c>
      <c r="H3449" s="83">
        <v>0.041666666666666664</v>
      </c>
      <c r="I3449" s="84">
        <v>44396.0</v>
      </c>
      <c r="J3449" s="65" t="b">
        <v>1</v>
      </c>
      <c r="K3449" s="65"/>
      <c r="L3449" s="85" t="b">
        <f>IF(VLOOKUP(C3449,Projetos!A:L,12,false)=TRUE,TRUE,FALSE)</f>
        <v>1</v>
      </c>
      <c r="M3449" s="74">
        <v>52.48434411075036</v>
      </c>
      <c r="N3449" s="74">
        <f t="shared" si="1"/>
        <v>52.48434411</v>
      </c>
      <c r="O3449" s="74" t="b">
        <v>1</v>
      </c>
    </row>
    <row r="3450" hidden="1">
      <c r="A3450" s="82"/>
      <c r="B3450" s="65" t="s">
        <v>411</v>
      </c>
      <c r="C3450" s="65" t="s">
        <v>117</v>
      </c>
      <c r="D3450" s="65" t="str">
        <f>vlookup(C3450,'Classificação p pessoal'!F:G,2,false)</f>
        <v>NP</v>
      </c>
      <c r="E3450" s="65" t="s">
        <v>2413</v>
      </c>
      <c r="F3450" s="83">
        <v>0.6875</v>
      </c>
      <c r="G3450" s="83">
        <v>0.75</v>
      </c>
      <c r="H3450" s="83">
        <v>0.0625</v>
      </c>
      <c r="I3450" s="84">
        <v>44396.0</v>
      </c>
      <c r="J3450" s="65" t="b">
        <v>1</v>
      </c>
      <c r="K3450" s="65"/>
      <c r="L3450" s="85" t="b">
        <f>IF(VLOOKUP(C3450,Projetos!A:L,12,false)=TRUE,TRUE,FALSE)</f>
        <v>1</v>
      </c>
      <c r="M3450" s="74">
        <v>52.48434411075036</v>
      </c>
      <c r="N3450" s="74">
        <f t="shared" si="1"/>
        <v>78.72651617</v>
      </c>
      <c r="O3450" s="74" t="b">
        <v>1</v>
      </c>
    </row>
    <row r="3451" hidden="1">
      <c r="A3451" s="82"/>
      <c r="B3451" s="65" t="s">
        <v>411</v>
      </c>
      <c r="C3451" s="65" t="s">
        <v>117</v>
      </c>
      <c r="D3451" s="65" t="str">
        <f>vlookup(C3451,'Classificação p pessoal'!F:G,2,false)</f>
        <v>NP</v>
      </c>
      <c r="E3451" s="65" t="s">
        <v>2414</v>
      </c>
      <c r="F3451" s="83">
        <v>0.34375</v>
      </c>
      <c r="G3451" s="83">
        <v>0.4166666666666667</v>
      </c>
      <c r="H3451" s="83">
        <v>0.07291666666666667</v>
      </c>
      <c r="I3451" s="84">
        <v>44397.0</v>
      </c>
      <c r="J3451" s="65" t="b">
        <v>1</v>
      </c>
      <c r="K3451" s="65"/>
      <c r="L3451" s="85" t="b">
        <f>IF(VLOOKUP(C3451,Projetos!A:L,12,false)=TRUE,TRUE,FALSE)</f>
        <v>1</v>
      </c>
      <c r="M3451" s="74">
        <v>52.48434411075036</v>
      </c>
      <c r="N3451" s="74">
        <f t="shared" si="1"/>
        <v>91.84760219</v>
      </c>
      <c r="O3451" s="74" t="b">
        <v>1</v>
      </c>
    </row>
    <row r="3452" hidden="1">
      <c r="A3452" s="82"/>
      <c r="B3452" s="65" t="s">
        <v>411</v>
      </c>
      <c r="C3452" s="65" t="s">
        <v>92</v>
      </c>
      <c r="D3452" s="65" t="str">
        <f>vlookup(C3452,'Classificação p pessoal'!F:G,2,false)</f>
        <v/>
      </c>
      <c r="E3452" s="65" t="s">
        <v>2415</v>
      </c>
      <c r="F3452" s="83">
        <v>0.4166666666666667</v>
      </c>
      <c r="G3452" s="83">
        <v>0.5625</v>
      </c>
      <c r="H3452" s="83">
        <v>0.14583333333333334</v>
      </c>
      <c r="I3452" s="84">
        <v>44397.0</v>
      </c>
      <c r="J3452" s="65" t="b">
        <v>1</v>
      </c>
      <c r="K3452" s="65"/>
      <c r="L3452" s="85" t="b">
        <f>IF(VLOOKUP(C3452,Projetos!A:L,12,false)=TRUE,TRUE,FALSE)</f>
        <v>1</v>
      </c>
      <c r="M3452" s="74">
        <v>52.48434411075036</v>
      </c>
      <c r="N3452" s="74">
        <f t="shared" si="1"/>
        <v>183.6952044</v>
      </c>
      <c r="O3452" s="74" t="b">
        <v>1</v>
      </c>
    </row>
    <row r="3453" hidden="1">
      <c r="A3453" s="82"/>
      <c r="B3453" s="65" t="s">
        <v>411</v>
      </c>
      <c r="C3453" s="65" t="s">
        <v>117</v>
      </c>
      <c r="D3453" s="65" t="str">
        <f>vlookup(C3453,'Classificação p pessoal'!F:G,2,false)</f>
        <v>NP</v>
      </c>
      <c r="E3453" s="65" t="s">
        <v>2416</v>
      </c>
      <c r="F3453" s="83">
        <v>0.6041666666666666</v>
      </c>
      <c r="G3453" s="83">
        <v>0.6666666666666666</v>
      </c>
      <c r="H3453" s="83">
        <v>0.0625</v>
      </c>
      <c r="I3453" s="84">
        <v>44397.0</v>
      </c>
      <c r="J3453" s="65" t="b">
        <v>1</v>
      </c>
      <c r="K3453" s="65"/>
      <c r="L3453" s="85" t="b">
        <f>IF(VLOOKUP(C3453,Projetos!A:L,12,false)=TRUE,TRUE,FALSE)</f>
        <v>1</v>
      </c>
      <c r="M3453" s="74">
        <v>52.48434411075036</v>
      </c>
      <c r="N3453" s="74">
        <f t="shared" si="1"/>
        <v>78.72651617</v>
      </c>
      <c r="O3453" s="74" t="b">
        <v>1</v>
      </c>
    </row>
    <row r="3454" hidden="1">
      <c r="A3454" s="82"/>
      <c r="B3454" s="65" t="s">
        <v>411</v>
      </c>
      <c r="C3454" s="65" t="s">
        <v>114</v>
      </c>
      <c r="D3454" s="65" t="str">
        <f>vlookup(C3454,'Classificação p pessoal'!F:G,2,false)</f>
        <v>NP</v>
      </c>
      <c r="E3454" s="65" t="s">
        <v>2347</v>
      </c>
      <c r="F3454" s="83">
        <v>0.6666666666666666</v>
      </c>
      <c r="G3454" s="83">
        <v>0.7083333333333334</v>
      </c>
      <c r="H3454" s="83">
        <v>0.041666666666666664</v>
      </c>
      <c r="I3454" s="84">
        <v>44397.0</v>
      </c>
      <c r="J3454" s="65" t="b">
        <v>1</v>
      </c>
      <c r="K3454" s="65"/>
      <c r="L3454" s="85" t="b">
        <f>IF(VLOOKUP(C3454,Projetos!A:L,12,false)=TRUE,TRUE,FALSE)</f>
        <v>1</v>
      </c>
      <c r="M3454" s="74">
        <v>52.48434411075036</v>
      </c>
      <c r="N3454" s="74">
        <f t="shared" si="1"/>
        <v>52.48434411</v>
      </c>
      <c r="O3454" s="74" t="b">
        <v>1</v>
      </c>
    </row>
    <row r="3455" hidden="1">
      <c r="A3455" s="82"/>
      <c r="B3455" s="65" t="s">
        <v>411</v>
      </c>
      <c r="C3455" s="65" t="s">
        <v>132</v>
      </c>
      <c r="D3455" s="65"/>
      <c r="E3455" s="65" t="s">
        <v>2417</v>
      </c>
      <c r="F3455" s="83">
        <v>0.7083333333333334</v>
      </c>
      <c r="G3455" s="83">
        <v>0.75</v>
      </c>
      <c r="H3455" s="83">
        <v>0.041666666666666664</v>
      </c>
      <c r="I3455" s="84">
        <v>44397.0</v>
      </c>
      <c r="J3455" s="65" t="b">
        <v>1</v>
      </c>
      <c r="K3455" s="65"/>
      <c r="L3455" s="85" t="b">
        <f>IF(VLOOKUP(C3455,Projetos!A:L,12,false)=TRUE,TRUE,FALSE)</f>
        <v>0</v>
      </c>
      <c r="M3455" s="74">
        <v>52.48434411075036</v>
      </c>
      <c r="N3455" s="74">
        <f t="shared" si="1"/>
        <v>0</v>
      </c>
      <c r="O3455" s="74" t="b">
        <v>0</v>
      </c>
    </row>
    <row r="3456" hidden="1">
      <c r="A3456" s="82"/>
      <c r="B3456" s="65" t="s">
        <v>411</v>
      </c>
      <c r="C3456" s="65" t="s">
        <v>125</v>
      </c>
      <c r="D3456" s="65" t="str">
        <f>vlookup(C3456,'Classificação p pessoal'!F:G,2,false)</f>
        <v>MProduto</v>
      </c>
      <c r="E3456" s="65" t="s">
        <v>2418</v>
      </c>
      <c r="F3456" s="83">
        <v>0.34375</v>
      </c>
      <c r="G3456" s="83">
        <v>0.3541666666666667</v>
      </c>
      <c r="H3456" s="83">
        <v>0.010416666666666666</v>
      </c>
      <c r="I3456" s="84">
        <v>44398.0</v>
      </c>
      <c r="J3456" s="65" t="b">
        <v>1</v>
      </c>
      <c r="K3456" s="65"/>
      <c r="L3456" s="85" t="b">
        <f>IF(VLOOKUP(C3456,Projetos!A:L,12,false)=TRUE,TRUE,FALSE)</f>
        <v>1</v>
      </c>
      <c r="M3456" s="74">
        <v>52.48434411075036</v>
      </c>
      <c r="N3456" s="74">
        <f t="shared" si="1"/>
        <v>13.12108603</v>
      </c>
      <c r="O3456" s="74" t="b">
        <v>1</v>
      </c>
    </row>
    <row r="3457" hidden="1">
      <c r="A3457" s="82"/>
      <c r="B3457" s="65" t="s">
        <v>411</v>
      </c>
      <c r="C3457" s="65" t="s">
        <v>117</v>
      </c>
      <c r="D3457" s="65" t="str">
        <f>vlookup(C3457,'Classificação p pessoal'!F:G,2,false)</f>
        <v>NP</v>
      </c>
      <c r="E3457" s="65" t="s">
        <v>2419</v>
      </c>
      <c r="F3457" s="83">
        <v>0.3541666666666667</v>
      </c>
      <c r="G3457" s="83">
        <v>0.4375</v>
      </c>
      <c r="H3457" s="83">
        <v>0.08333333333333333</v>
      </c>
      <c r="I3457" s="84">
        <v>44398.0</v>
      </c>
      <c r="J3457" s="65" t="b">
        <v>1</v>
      </c>
      <c r="K3457" s="65"/>
      <c r="L3457" s="85" t="b">
        <f>IF(VLOOKUP(C3457,Projetos!A:L,12,false)=TRUE,TRUE,FALSE)</f>
        <v>1</v>
      </c>
      <c r="M3457" s="74">
        <v>52.48434411075036</v>
      </c>
      <c r="N3457" s="74">
        <f t="shared" si="1"/>
        <v>104.9686882</v>
      </c>
      <c r="O3457" s="74" t="b">
        <v>1</v>
      </c>
    </row>
    <row r="3458" hidden="1">
      <c r="A3458" s="82"/>
      <c r="B3458" s="65" t="s">
        <v>411</v>
      </c>
      <c r="C3458" s="65" t="s">
        <v>114</v>
      </c>
      <c r="D3458" s="65" t="str">
        <f>vlookup(C3458,'Classificação p pessoal'!F:G,2,false)</f>
        <v>NP</v>
      </c>
      <c r="E3458" s="65" t="s">
        <v>2420</v>
      </c>
      <c r="F3458" s="83">
        <v>0.4375</v>
      </c>
      <c r="G3458" s="83">
        <v>0.4791666666666667</v>
      </c>
      <c r="H3458" s="83">
        <v>0.041666666666666664</v>
      </c>
      <c r="I3458" s="84">
        <v>44398.0</v>
      </c>
      <c r="J3458" s="65" t="b">
        <v>1</v>
      </c>
      <c r="K3458" s="65"/>
      <c r="L3458" s="85" t="b">
        <f>IF(VLOOKUP(C3458,Projetos!A:L,12,false)=TRUE,TRUE,FALSE)</f>
        <v>1</v>
      </c>
      <c r="M3458" s="74">
        <v>52.48434411075036</v>
      </c>
      <c r="N3458" s="74">
        <f t="shared" si="1"/>
        <v>52.48434411</v>
      </c>
      <c r="O3458" s="74" t="b">
        <v>1</v>
      </c>
    </row>
    <row r="3459" hidden="1">
      <c r="A3459" s="82"/>
      <c r="B3459" s="65" t="s">
        <v>411</v>
      </c>
      <c r="C3459" s="65" t="s">
        <v>117</v>
      </c>
      <c r="D3459" s="65" t="str">
        <f>vlookup(C3459,'Classificação p pessoal'!F:G,2,false)</f>
        <v>NP</v>
      </c>
      <c r="E3459" s="65" t="s">
        <v>2421</v>
      </c>
      <c r="F3459" s="83">
        <v>0.4791666666666667</v>
      </c>
      <c r="G3459" s="83">
        <v>0.5208333333333334</v>
      </c>
      <c r="H3459" s="83">
        <v>0.041666666666666664</v>
      </c>
      <c r="I3459" s="84">
        <v>44398.0</v>
      </c>
      <c r="J3459" s="65" t="b">
        <v>1</v>
      </c>
      <c r="K3459" s="65"/>
      <c r="L3459" s="85" t="b">
        <f>IF(VLOOKUP(C3459,Projetos!A:L,12,false)=TRUE,TRUE,FALSE)</f>
        <v>1</v>
      </c>
      <c r="M3459" s="74">
        <v>52.48434411075036</v>
      </c>
      <c r="N3459" s="74">
        <f t="shared" si="1"/>
        <v>52.48434411</v>
      </c>
      <c r="O3459" s="74" t="b">
        <v>1</v>
      </c>
    </row>
    <row r="3460" hidden="1">
      <c r="A3460" s="82"/>
      <c r="B3460" s="65" t="s">
        <v>411</v>
      </c>
      <c r="C3460" s="65" t="s">
        <v>130</v>
      </c>
      <c r="D3460" s="65" t="str">
        <f>vlookup(C3460,'Classificação p pessoal'!F:G,2,false)</f>
        <v>NP</v>
      </c>
      <c r="E3460" s="65" t="s">
        <v>2422</v>
      </c>
      <c r="F3460" s="83">
        <v>0.5625</v>
      </c>
      <c r="G3460" s="83">
        <v>0.7083333333333334</v>
      </c>
      <c r="H3460" s="83">
        <v>0.14583333333333334</v>
      </c>
      <c r="I3460" s="84">
        <v>44398.0</v>
      </c>
      <c r="J3460" s="65" t="b">
        <v>1</v>
      </c>
      <c r="K3460" s="65"/>
      <c r="L3460" s="85" t="b">
        <f>IF(VLOOKUP(C3460,Projetos!A:L,12,false)=TRUE,TRUE,FALSE)</f>
        <v>1</v>
      </c>
      <c r="M3460" s="74">
        <v>52.48434411075036</v>
      </c>
      <c r="N3460" s="74">
        <f t="shared" si="1"/>
        <v>183.6952044</v>
      </c>
      <c r="O3460" s="74" t="b">
        <v>1</v>
      </c>
    </row>
    <row r="3461" hidden="1">
      <c r="A3461" s="82"/>
      <c r="B3461" s="65" t="s">
        <v>411</v>
      </c>
      <c r="C3461" s="65" t="s">
        <v>117</v>
      </c>
      <c r="D3461" s="65" t="str">
        <f>vlookup(C3461,'Classificação p pessoal'!F:G,2,false)</f>
        <v>NP</v>
      </c>
      <c r="E3461" s="65" t="s">
        <v>2423</v>
      </c>
      <c r="F3461" s="83">
        <v>0.7083333333333334</v>
      </c>
      <c r="G3461" s="83">
        <v>0.75</v>
      </c>
      <c r="H3461" s="83">
        <v>0.041666666666666664</v>
      </c>
      <c r="I3461" s="84">
        <v>44398.0</v>
      </c>
      <c r="J3461" s="65" t="b">
        <v>1</v>
      </c>
      <c r="K3461" s="65"/>
      <c r="L3461" s="85" t="b">
        <f>IF(VLOOKUP(C3461,Projetos!A:L,12,false)=TRUE,TRUE,FALSE)</f>
        <v>1</v>
      </c>
      <c r="M3461" s="74">
        <v>52.48434411075036</v>
      </c>
      <c r="N3461" s="74">
        <f t="shared" si="1"/>
        <v>52.48434411</v>
      </c>
      <c r="O3461" s="74" t="b">
        <v>1</v>
      </c>
    </row>
    <row r="3462" hidden="1">
      <c r="A3462" s="82"/>
      <c r="B3462" s="65" t="s">
        <v>411</v>
      </c>
      <c r="C3462" s="65" t="s">
        <v>92</v>
      </c>
      <c r="D3462" s="65" t="str">
        <f>vlookup(C3462,'Classificação p pessoal'!F:G,2,false)</f>
        <v/>
      </c>
      <c r="E3462" s="65" t="s">
        <v>2424</v>
      </c>
      <c r="F3462" s="83">
        <v>0.34375</v>
      </c>
      <c r="G3462" s="83">
        <v>0.3958333333333333</v>
      </c>
      <c r="H3462" s="83">
        <v>0.052083333333333336</v>
      </c>
      <c r="I3462" s="84">
        <v>44399.0</v>
      </c>
      <c r="J3462" s="65" t="b">
        <v>1</v>
      </c>
      <c r="K3462" s="65"/>
      <c r="L3462" s="85" t="b">
        <f>IF(VLOOKUP(C3462,Projetos!A:L,12,false)=TRUE,TRUE,FALSE)</f>
        <v>1</v>
      </c>
      <c r="M3462" s="74">
        <v>52.48434411075036</v>
      </c>
      <c r="N3462" s="74">
        <f t="shared" si="1"/>
        <v>65.60543014</v>
      </c>
      <c r="O3462" s="74" t="b">
        <v>1</v>
      </c>
    </row>
    <row r="3463" hidden="1">
      <c r="A3463" s="82"/>
      <c r="B3463" s="65" t="s">
        <v>411</v>
      </c>
      <c r="C3463" s="65" t="s">
        <v>117</v>
      </c>
      <c r="D3463" s="65" t="str">
        <f>vlookup(C3463,'Classificação p pessoal'!F:G,2,false)</f>
        <v>NP</v>
      </c>
      <c r="E3463" s="65" t="s">
        <v>2425</v>
      </c>
      <c r="F3463" s="83">
        <v>0.3958333333333333</v>
      </c>
      <c r="G3463" s="83">
        <v>0.4166666666666667</v>
      </c>
      <c r="H3463" s="83">
        <v>0.020833333333333332</v>
      </c>
      <c r="I3463" s="84">
        <v>44399.0</v>
      </c>
      <c r="J3463" s="65" t="b">
        <v>1</v>
      </c>
      <c r="K3463" s="65"/>
      <c r="L3463" s="85" t="b">
        <f>IF(VLOOKUP(C3463,Projetos!A:L,12,false)=TRUE,TRUE,FALSE)</f>
        <v>1</v>
      </c>
      <c r="M3463" s="74">
        <v>52.48434411075036</v>
      </c>
      <c r="N3463" s="74">
        <f t="shared" si="1"/>
        <v>26.24217206</v>
      </c>
      <c r="O3463" s="74" t="b">
        <v>1</v>
      </c>
    </row>
    <row r="3464" hidden="1">
      <c r="A3464" s="82"/>
      <c r="B3464" s="65" t="s">
        <v>411</v>
      </c>
      <c r="C3464" s="65" t="s">
        <v>92</v>
      </c>
      <c r="D3464" s="65" t="str">
        <f>vlookup(C3464,'Classificação p pessoal'!F:G,2,false)</f>
        <v/>
      </c>
      <c r="E3464" s="65" t="s">
        <v>2426</v>
      </c>
      <c r="F3464" s="83">
        <v>0.4166666666666667</v>
      </c>
      <c r="G3464" s="83">
        <v>0.4791666666666667</v>
      </c>
      <c r="H3464" s="83">
        <v>0.0625</v>
      </c>
      <c r="I3464" s="84">
        <v>44399.0</v>
      </c>
      <c r="J3464" s="65" t="b">
        <v>1</v>
      </c>
      <c r="K3464" s="65"/>
      <c r="L3464" s="85" t="b">
        <f>IF(VLOOKUP(C3464,Projetos!A:L,12,false)=TRUE,TRUE,FALSE)</f>
        <v>1</v>
      </c>
      <c r="M3464" s="74">
        <v>52.48434411075036</v>
      </c>
      <c r="N3464" s="74">
        <f t="shared" si="1"/>
        <v>78.72651617</v>
      </c>
      <c r="O3464" s="74" t="b">
        <v>1</v>
      </c>
    </row>
    <row r="3465" hidden="1">
      <c r="A3465" s="82"/>
      <c r="B3465" s="65" t="s">
        <v>411</v>
      </c>
      <c r="C3465" s="65" t="s">
        <v>106</v>
      </c>
      <c r="D3465" s="65" t="str">
        <f>vlookup(C3465,'Classificação p pessoal'!F:G,2,false)</f>
        <v>MProcesso</v>
      </c>
      <c r="E3465" s="65" t="s">
        <v>2427</v>
      </c>
      <c r="F3465" s="83">
        <v>0.4791666666666667</v>
      </c>
      <c r="G3465" s="83">
        <v>0.5208333333333334</v>
      </c>
      <c r="H3465" s="83">
        <v>0.041666666666666664</v>
      </c>
      <c r="I3465" s="84">
        <v>44399.0</v>
      </c>
      <c r="J3465" s="65" t="b">
        <v>1</v>
      </c>
      <c r="K3465" s="65"/>
      <c r="L3465" s="85" t="b">
        <f>IF(VLOOKUP(C3465,Projetos!A:L,12,false)=TRUE,TRUE,FALSE)</f>
        <v>1</v>
      </c>
      <c r="M3465" s="74">
        <v>52.48434411075036</v>
      </c>
      <c r="N3465" s="74">
        <f t="shared" si="1"/>
        <v>52.48434411</v>
      </c>
      <c r="O3465" s="74" t="b">
        <v>1</v>
      </c>
    </row>
    <row r="3466" hidden="1">
      <c r="A3466" s="82"/>
      <c r="B3466" s="65" t="s">
        <v>411</v>
      </c>
      <c r="C3466" s="65" t="s">
        <v>117</v>
      </c>
      <c r="D3466" s="65" t="str">
        <f>vlookup(C3466,'Classificação p pessoal'!F:G,2,false)</f>
        <v>NP</v>
      </c>
      <c r="E3466" s="65" t="s">
        <v>2428</v>
      </c>
      <c r="F3466" s="83">
        <v>0.5625</v>
      </c>
      <c r="G3466" s="83">
        <v>0.6666666666666666</v>
      </c>
      <c r="H3466" s="83">
        <v>0.10416666666666667</v>
      </c>
      <c r="I3466" s="84">
        <v>44399.0</v>
      </c>
      <c r="J3466" s="65" t="b">
        <v>1</v>
      </c>
      <c r="K3466" s="65"/>
      <c r="L3466" s="85" t="b">
        <f>IF(VLOOKUP(C3466,Projetos!A:L,12,false)=TRUE,TRUE,FALSE)</f>
        <v>1</v>
      </c>
      <c r="M3466" s="74">
        <v>52.48434411075036</v>
      </c>
      <c r="N3466" s="74">
        <f t="shared" si="1"/>
        <v>131.2108603</v>
      </c>
      <c r="O3466" s="74" t="b">
        <v>1</v>
      </c>
    </row>
    <row r="3467" hidden="1">
      <c r="A3467" s="82"/>
      <c r="B3467" s="65" t="s">
        <v>411</v>
      </c>
      <c r="C3467" s="65" t="s">
        <v>92</v>
      </c>
      <c r="D3467" s="65" t="str">
        <f>vlookup(C3467,'Classificação p pessoal'!F:G,2,false)</f>
        <v/>
      </c>
      <c r="E3467" s="65" t="s">
        <v>2429</v>
      </c>
      <c r="F3467" s="83">
        <v>0.6666666666666666</v>
      </c>
      <c r="G3467" s="83">
        <v>0.7083333333333334</v>
      </c>
      <c r="H3467" s="83">
        <v>0.041666666666666664</v>
      </c>
      <c r="I3467" s="84">
        <v>44399.0</v>
      </c>
      <c r="J3467" s="65" t="b">
        <v>1</v>
      </c>
      <c r="K3467" s="65"/>
      <c r="L3467" s="85" t="b">
        <f>IF(VLOOKUP(C3467,Projetos!A:L,12,false)=TRUE,TRUE,FALSE)</f>
        <v>1</v>
      </c>
      <c r="M3467" s="74">
        <v>52.48434411075036</v>
      </c>
      <c r="N3467" s="74">
        <f t="shared" si="1"/>
        <v>52.48434411</v>
      </c>
      <c r="O3467" s="74" t="b">
        <v>1</v>
      </c>
    </row>
    <row r="3468" hidden="1">
      <c r="A3468" s="82"/>
      <c r="B3468" s="65" t="s">
        <v>411</v>
      </c>
      <c r="C3468" s="65" t="s">
        <v>106</v>
      </c>
      <c r="D3468" s="65" t="str">
        <f>vlookup(C3468,'Classificação p pessoal'!F:G,2,false)</f>
        <v>MProcesso</v>
      </c>
      <c r="E3468" s="65" t="s">
        <v>2430</v>
      </c>
      <c r="F3468" s="83">
        <v>0.7083333333333334</v>
      </c>
      <c r="G3468" s="83">
        <v>0.7777777777777778</v>
      </c>
      <c r="H3468" s="83">
        <v>0.06944444444444445</v>
      </c>
      <c r="I3468" s="84">
        <v>44399.0</v>
      </c>
      <c r="J3468" s="65" t="b">
        <v>1</v>
      </c>
      <c r="K3468" s="65"/>
      <c r="L3468" s="85" t="b">
        <f>IF(VLOOKUP(C3468,Projetos!A:L,12,false)=TRUE,TRUE,FALSE)</f>
        <v>1</v>
      </c>
      <c r="M3468" s="74">
        <v>52.48434411075036</v>
      </c>
      <c r="N3468" s="74">
        <f t="shared" si="1"/>
        <v>87.47390685</v>
      </c>
      <c r="O3468" s="74" t="b">
        <v>1</v>
      </c>
    </row>
    <row r="3469" hidden="1">
      <c r="A3469" s="82"/>
      <c r="B3469" s="65" t="s">
        <v>411</v>
      </c>
      <c r="C3469" s="65" t="s">
        <v>117</v>
      </c>
      <c r="D3469" s="65" t="str">
        <f>vlookup(C3469,'Classificação p pessoal'!F:G,2,false)</f>
        <v>NP</v>
      </c>
      <c r="E3469" s="65" t="s">
        <v>2431</v>
      </c>
      <c r="F3469" s="83">
        <v>0.34375</v>
      </c>
      <c r="G3469" s="83">
        <v>0.4375</v>
      </c>
      <c r="H3469" s="83">
        <v>0.09375</v>
      </c>
      <c r="I3469" s="84">
        <v>44400.0</v>
      </c>
      <c r="J3469" s="65" t="b">
        <v>1</v>
      </c>
      <c r="K3469" s="65"/>
      <c r="L3469" s="85" t="b">
        <f>IF(VLOOKUP(C3469,Projetos!A:L,12,false)=TRUE,TRUE,FALSE)</f>
        <v>1</v>
      </c>
      <c r="M3469" s="74">
        <v>52.48434411075036</v>
      </c>
      <c r="N3469" s="74">
        <f t="shared" si="1"/>
        <v>118.0897742</v>
      </c>
      <c r="O3469" s="74" t="b">
        <v>1</v>
      </c>
    </row>
    <row r="3470" hidden="1">
      <c r="A3470" s="82"/>
      <c r="B3470" s="65" t="s">
        <v>411</v>
      </c>
      <c r="C3470" s="65" t="s">
        <v>117</v>
      </c>
      <c r="D3470" s="65" t="str">
        <f>vlookup(C3470,'Classificação p pessoal'!F:G,2,false)</f>
        <v>NP</v>
      </c>
      <c r="E3470" s="65" t="s">
        <v>2432</v>
      </c>
      <c r="F3470" s="83">
        <v>0.4375</v>
      </c>
      <c r="G3470" s="83">
        <v>0.4791666666666667</v>
      </c>
      <c r="H3470" s="83">
        <v>0.041666666666666664</v>
      </c>
      <c r="I3470" s="84">
        <v>44400.0</v>
      </c>
      <c r="J3470" s="65" t="b">
        <v>1</v>
      </c>
      <c r="K3470" s="65"/>
      <c r="L3470" s="85" t="b">
        <f>IF(VLOOKUP(C3470,Projetos!A:L,12,false)=TRUE,TRUE,FALSE)</f>
        <v>1</v>
      </c>
      <c r="M3470" s="74">
        <v>52.48434411075036</v>
      </c>
      <c r="N3470" s="74">
        <f t="shared" si="1"/>
        <v>52.48434411</v>
      </c>
      <c r="O3470" s="74" t="b">
        <v>1</v>
      </c>
    </row>
    <row r="3471" hidden="1">
      <c r="A3471" s="82"/>
      <c r="B3471" s="65" t="s">
        <v>467</v>
      </c>
      <c r="C3471" s="65" t="s">
        <v>84</v>
      </c>
      <c r="D3471" s="65"/>
      <c r="E3471" s="65" t="s">
        <v>2433</v>
      </c>
      <c r="F3471" s="83">
        <v>0.4375</v>
      </c>
      <c r="G3471" s="83">
        <v>0.4583333333333333</v>
      </c>
      <c r="H3471" s="83">
        <v>0.020833333333333332</v>
      </c>
      <c r="I3471" s="84">
        <v>44537.0</v>
      </c>
      <c r="J3471" s="65" t="b">
        <v>0</v>
      </c>
      <c r="K3471" s="65"/>
      <c r="L3471" s="85" t="b">
        <f>IF(VLOOKUP(C3471,Projetos!A:L,12,false)=TRUE,TRUE,FALSE)</f>
        <v>0</v>
      </c>
      <c r="M3471" s="74">
        <v>52.1518759018759</v>
      </c>
      <c r="N3471" s="74">
        <f t="shared" si="1"/>
        <v>0</v>
      </c>
      <c r="O3471" s="74" t="b">
        <v>0</v>
      </c>
    </row>
    <row r="3472" hidden="1">
      <c r="A3472" s="82"/>
      <c r="B3472" s="65" t="s">
        <v>411</v>
      </c>
      <c r="C3472" s="65" t="s">
        <v>92</v>
      </c>
      <c r="D3472" s="65" t="str">
        <f>vlookup(C3472,'Classificação p pessoal'!F:G,2,false)</f>
        <v/>
      </c>
      <c r="E3472" s="65" t="s">
        <v>2434</v>
      </c>
      <c r="F3472" s="83">
        <v>0.5833333333333334</v>
      </c>
      <c r="G3472" s="83">
        <v>0.625</v>
      </c>
      <c r="H3472" s="83">
        <v>0.041666666666666664</v>
      </c>
      <c r="I3472" s="84">
        <v>44400.0</v>
      </c>
      <c r="J3472" s="65" t="b">
        <v>1</v>
      </c>
      <c r="K3472" s="65"/>
      <c r="L3472" s="85" t="b">
        <f>IF(VLOOKUP(C3472,Projetos!A:L,12,false)=TRUE,TRUE,FALSE)</f>
        <v>1</v>
      </c>
      <c r="M3472" s="74">
        <v>52.48434411075036</v>
      </c>
      <c r="N3472" s="74">
        <f t="shared" si="1"/>
        <v>52.48434411</v>
      </c>
      <c r="O3472" s="74" t="b">
        <v>1</v>
      </c>
    </row>
    <row r="3473" hidden="1">
      <c r="A3473" s="82"/>
      <c r="B3473" s="65" t="s">
        <v>411</v>
      </c>
      <c r="C3473" s="65" t="s">
        <v>114</v>
      </c>
      <c r="D3473" s="65" t="str">
        <f>vlookup(C3473,'Classificação p pessoal'!F:G,2,false)</f>
        <v>NP</v>
      </c>
      <c r="E3473" s="65" t="s">
        <v>2435</v>
      </c>
      <c r="F3473" s="83">
        <v>0.625</v>
      </c>
      <c r="G3473" s="83">
        <v>0.75</v>
      </c>
      <c r="H3473" s="83">
        <v>0.125</v>
      </c>
      <c r="I3473" s="84">
        <v>44400.0</v>
      </c>
      <c r="J3473" s="65" t="b">
        <v>1</v>
      </c>
      <c r="K3473" s="65"/>
      <c r="L3473" s="85" t="b">
        <f>IF(VLOOKUP(C3473,Projetos!A:L,12,false)=TRUE,TRUE,FALSE)</f>
        <v>1</v>
      </c>
      <c r="M3473" s="74">
        <v>52.48434411075036</v>
      </c>
      <c r="N3473" s="74">
        <f t="shared" si="1"/>
        <v>157.4530323</v>
      </c>
      <c r="O3473" s="74" t="b">
        <v>1</v>
      </c>
    </row>
    <row r="3474" hidden="1">
      <c r="A3474" s="82"/>
      <c r="B3474" s="65" t="s">
        <v>411</v>
      </c>
      <c r="C3474" s="65" t="s">
        <v>92</v>
      </c>
      <c r="D3474" s="65"/>
      <c r="E3474" s="65" t="s">
        <v>2436</v>
      </c>
      <c r="F3474" s="83">
        <v>0.34375</v>
      </c>
      <c r="G3474" s="83">
        <v>0.375</v>
      </c>
      <c r="H3474" s="83">
        <v>0.03125</v>
      </c>
      <c r="I3474" s="84">
        <v>44403.0</v>
      </c>
      <c r="J3474" s="65" t="b">
        <v>0</v>
      </c>
      <c r="K3474" s="65" t="s">
        <v>150</v>
      </c>
      <c r="L3474" s="85" t="b">
        <f>IF(VLOOKUP(C3474,Projetos!A:L,12,false)=TRUE,TRUE,FALSE)</f>
        <v>1</v>
      </c>
      <c r="M3474" s="74">
        <v>52.48434411075036</v>
      </c>
      <c r="N3474" s="74">
        <f t="shared" si="1"/>
        <v>0</v>
      </c>
      <c r="O3474" s="74" t="b">
        <v>1</v>
      </c>
    </row>
    <row r="3475" hidden="1">
      <c r="A3475" s="82"/>
      <c r="B3475" s="65" t="s">
        <v>411</v>
      </c>
      <c r="C3475" s="65" t="s">
        <v>117</v>
      </c>
      <c r="D3475" s="65" t="str">
        <f>vlookup(C3475,'Classificação p pessoal'!F:G,2,false)</f>
        <v>NP</v>
      </c>
      <c r="E3475" s="65" t="s">
        <v>2437</v>
      </c>
      <c r="F3475" s="83">
        <v>0.375</v>
      </c>
      <c r="G3475" s="83">
        <v>0.4166666666666667</v>
      </c>
      <c r="H3475" s="83">
        <v>0.041666666666666664</v>
      </c>
      <c r="I3475" s="84">
        <v>44403.0</v>
      </c>
      <c r="J3475" s="65" t="b">
        <v>1</v>
      </c>
      <c r="K3475" s="65"/>
      <c r="L3475" s="85" t="b">
        <f>IF(VLOOKUP(C3475,Projetos!A:L,12,false)=TRUE,TRUE,FALSE)</f>
        <v>1</v>
      </c>
      <c r="M3475" s="74">
        <v>52.48434411075036</v>
      </c>
      <c r="N3475" s="74">
        <f t="shared" si="1"/>
        <v>52.48434411</v>
      </c>
      <c r="O3475" s="74" t="b">
        <v>1</v>
      </c>
    </row>
    <row r="3476" hidden="1">
      <c r="A3476" s="82"/>
      <c r="B3476" s="65" t="s">
        <v>411</v>
      </c>
      <c r="C3476" s="65" t="s">
        <v>106</v>
      </c>
      <c r="D3476" s="65" t="str">
        <f>vlookup(C3476,'Classificação p pessoal'!F:G,2,false)</f>
        <v>MProcesso</v>
      </c>
      <c r="E3476" s="65" t="s">
        <v>2438</v>
      </c>
      <c r="F3476" s="83">
        <v>0.4166666666666667</v>
      </c>
      <c r="G3476" s="83">
        <v>0.4583333333333333</v>
      </c>
      <c r="H3476" s="83">
        <v>0.041666666666666664</v>
      </c>
      <c r="I3476" s="84">
        <v>44403.0</v>
      </c>
      <c r="J3476" s="65" t="b">
        <v>1</v>
      </c>
      <c r="K3476" s="65"/>
      <c r="L3476" s="85" t="b">
        <f>IF(VLOOKUP(C3476,Projetos!A:L,12,false)=TRUE,TRUE,FALSE)</f>
        <v>1</v>
      </c>
      <c r="M3476" s="74">
        <v>52.48434411075036</v>
      </c>
      <c r="N3476" s="74">
        <f t="shared" si="1"/>
        <v>52.48434411</v>
      </c>
      <c r="O3476" s="74" t="b">
        <v>1</v>
      </c>
    </row>
    <row r="3477" hidden="1">
      <c r="A3477" s="82"/>
      <c r="B3477" s="65" t="s">
        <v>411</v>
      </c>
      <c r="C3477" s="65" t="s">
        <v>117</v>
      </c>
      <c r="D3477" s="65" t="str">
        <f>vlookup(C3477,'Classificação p pessoal'!F:G,2,false)</f>
        <v>NP</v>
      </c>
      <c r="E3477" s="65" t="s">
        <v>2439</v>
      </c>
      <c r="F3477" s="83">
        <v>0.4583333333333333</v>
      </c>
      <c r="G3477" s="83">
        <v>0.4791666666666667</v>
      </c>
      <c r="H3477" s="83">
        <v>0.020833333333333332</v>
      </c>
      <c r="I3477" s="84">
        <v>44403.0</v>
      </c>
      <c r="J3477" s="65" t="b">
        <v>1</v>
      </c>
      <c r="K3477" s="65"/>
      <c r="L3477" s="85" t="b">
        <f>IF(VLOOKUP(C3477,Projetos!A:L,12,false)=TRUE,TRUE,FALSE)</f>
        <v>1</v>
      </c>
      <c r="M3477" s="74">
        <v>52.48434411075036</v>
      </c>
      <c r="N3477" s="74">
        <f t="shared" si="1"/>
        <v>26.24217206</v>
      </c>
      <c r="O3477" s="74" t="b">
        <v>1</v>
      </c>
    </row>
    <row r="3478" hidden="1">
      <c r="A3478" s="82"/>
      <c r="B3478" s="65" t="s">
        <v>411</v>
      </c>
      <c r="C3478" s="65" t="s">
        <v>92</v>
      </c>
      <c r="D3478" s="65" t="str">
        <f>vlookup(C3478,'Classificação p pessoal'!F:G,2,false)</f>
        <v/>
      </c>
      <c r="E3478" s="65" t="s">
        <v>2440</v>
      </c>
      <c r="F3478" s="83">
        <v>0.4791666666666667</v>
      </c>
      <c r="G3478" s="83">
        <v>0.5416666666666666</v>
      </c>
      <c r="H3478" s="83">
        <v>0.0625</v>
      </c>
      <c r="I3478" s="84">
        <v>44403.0</v>
      </c>
      <c r="J3478" s="65" t="b">
        <v>1</v>
      </c>
      <c r="K3478" s="65"/>
      <c r="L3478" s="85" t="b">
        <f>IF(VLOOKUP(C3478,Projetos!A:L,12,false)=TRUE,TRUE,FALSE)</f>
        <v>1</v>
      </c>
      <c r="M3478" s="74">
        <v>52.48434411075036</v>
      </c>
      <c r="N3478" s="74">
        <f t="shared" si="1"/>
        <v>78.72651617</v>
      </c>
      <c r="O3478" s="74" t="b">
        <v>1</v>
      </c>
    </row>
    <row r="3479" hidden="1">
      <c r="A3479" s="82"/>
      <c r="B3479" s="65" t="s">
        <v>411</v>
      </c>
      <c r="C3479" s="65" t="s">
        <v>120</v>
      </c>
      <c r="D3479" s="65"/>
      <c r="E3479" s="65" t="s">
        <v>2441</v>
      </c>
      <c r="F3479" s="83">
        <v>0.5833333333333334</v>
      </c>
      <c r="G3479" s="83">
        <v>0.6041666666666666</v>
      </c>
      <c r="H3479" s="83">
        <v>0.020833333333333332</v>
      </c>
      <c r="I3479" s="84">
        <v>44403.0</v>
      </c>
      <c r="J3479" s="65" t="b">
        <v>0</v>
      </c>
      <c r="K3479" s="65"/>
      <c r="L3479" s="85" t="b">
        <f>IF(VLOOKUP(C3479,Projetos!A:L,12,false)=TRUE,TRUE,FALSE)</f>
        <v>0</v>
      </c>
      <c r="M3479" s="74">
        <v>52.48434411075036</v>
      </c>
      <c r="N3479" s="74">
        <f t="shared" si="1"/>
        <v>0</v>
      </c>
      <c r="O3479" s="74" t="b">
        <v>0</v>
      </c>
    </row>
    <row r="3480" hidden="1">
      <c r="A3480" s="82"/>
      <c r="B3480" s="65" t="s">
        <v>411</v>
      </c>
      <c r="C3480" s="65" t="s">
        <v>130</v>
      </c>
      <c r="D3480" s="65" t="str">
        <f>vlookup(C3480,'Classificação p pessoal'!F:G,2,false)</f>
        <v>NP</v>
      </c>
      <c r="E3480" s="65" t="s">
        <v>2442</v>
      </c>
      <c r="F3480" s="83">
        <v>0.6041666666666666</v>
      </c>
      <c r="G3480" s="83">
        <v>0.6458333333333334</v>
      </c>
      <c r="H3480" s="83">
        <v>0.041666666666666664</v>
      </c>
      <c r="I3480" s="84">
        <v>44403.0</v>
      </c>
      <c r="J3480" s="65" t="b">
        <v>1</v>
      </c>
      <c r="K3480" s="65"/>
      <c r="L3480" s="85" t="b">
        <f>IF(VLOOKUP(C3480,Projetos!A:L,12,false)=TRUE,TRUE,FALSE)</f>
        <v>1</v>
      </c>
      <c r="M3480" s="74">
        <v>52.48434411075036</v>
      </c>
      <c r="N3480" s="74">
        <f t="shared" si="1"/>
        <v>52.48434411</v>
      </c>
      <c r="O3480" s="74" t="b">
        <v>1</v>
      </c>
    </row>
    <row r="3481" hidden="1">
      <c r="A3481" s="82"/>
      <c r="B3481" s="65" t="s">
        <v>411</v>
      </c>
      <c r="C3481" s="65" t="s">
        <v>92</v>
      </c>
      <c r="D3481" s="65" t="str">
        <f>vlookup(C3481,'Classificação p pessoal'!F:G,2,false)</f>
        <v/>
      </c>
      <c r="E3481" s="65" t="s">
        <v>2443</v>
      </c>
      <c r="F3481" s="83">
        <v>0.6458333333333334</v>
      </c>
      <c r="G3481" s="83">
        <v>0.6875</v>
      </c>
      <c r="H3481" s="83">
        <v>0.041666666666666664</v>
      </c>
      <c r="I3481" s="84">
        <v>44403.0</v>
      </c>
      <c r="J3481" s="65" t="b">
        <v>1</v>
      </c>
      <c r="K3481" s="65"/>
      <c r="L3481" s="85" t="b">
        <f>IF(VLOOKUP(C3481,Projetos!A:L,12,false)=TRUE,TRUE,FALSE)</f>
        <v>1</v>
      </c>
      <c r="M3481" s="74">
        <v>52.48434411075036</v>
      </c>
      <c r="N3481" s="74">
        <f t="shared" si="1"/>
        <v>52.48434411</v>
      </c>
      <c r="O3481" s="74" t="b">
        <v>1</v>
      </c>
    </row>
    <row r="3482" hidden="1">
      <c r="A3482" s="82"/>
      <c r="B3482" s="65" t="s">
        <v>411</v>
      </c>
      <c r="C3482" s="65" t="s">
        <v>120</v>
      </c>
      <c r="D3482" s="65"/>
      <c r="E3482" s="65" t="s">
        <v>2441</v>
      </c>
      <c r="F3482" s="83">
        <v>0.6875</v>
      </c>
      <c r="G3482" s="83">
        <v>0.7083333333333334</v>
      </c>
      <c r="H3482" s="83">
        <v>0.020833333333333332</v>
      </c>
      <c r="I3482" s="84">
        <v>44403.0</v>
      </c>
      <c r="J3482" s="65" t="b">
        <v>0</v>
      </c>
      <c r="K3482" s="65"/>
      <c r="L3482" s="85" t="b">
        <f>IF(VLOOKUP(C3482,Projetos!A:L,12,false)=TRUE,TRUE,FALSE)</f>
        <v>0</v>
      </c>
      <c r="M3482" s="74">
        <v>52.48434411075036</v>
      </c>
      <c r="N3482" s="74">
        <f t="shared" si="1"/>
        <v>0</v>
      </c>
      <c r="O3482" s="74" t="b">
        <v>0</v>
      </c>
    </row>
    <row r="3483" hidden="1">
      <c r="A3483" s="82"/>
      <c r="B3483" s="65" t="s">
        <v>411</v>
      </c>
      <c r="C3483" s="65" t="s">
        <v>92</v>
      </c>
      <c r="D3483" s="65" t="str">
        <f>vlookup(C3483,'Classificação p pessoal'!F:G,2,false)</f>
        <v/>
      </c>
      <c r="E3483" s="65" t="s">
        <v>2444</v>
      </c>
      <c r="F3483" s="83">
        <v>0.34375</v>
      </c>
      <c r="G3483" s="83">
        <v>0.4375</v>
      </c>
      <c r="H3483" s="83">
        <v>0.09375</v>
      </c>
      <c r="I3483" s="84">
        <v>44404.0</v>
      </c>
      <c r="J3483" s="65" t="b">
        <v>1</v>
      </c>
      <c r="K3483" s="65"/>
      <c r="L3483" s="85" t="b">
        <f>IF(VLOOKUP(C3483,Projetos!A:L,12,false)=TRUE,TRUE,FALSE)</f>
        <v>1</v>
      </c>
      <c r="M3483" s="74">
        <v>52.48434411075036</v>
      </c>
      <c r="N3483" s="74">
        <f t="shared" si="1"/>
        <v>118.0897742</v>
      </c>
      <c r="O3483" s="74" t="b">
        <v>1</v>
      </c>
    </row>
    <row r="3484" hidden="1">
      <c r="A3484" s="82"/>
      <c r="B3484" s="65" t="s">
        <v>411</v>
      </c>
      <c r="C3484" s="65" t="s">
        <v>117</v>
      </c>
      <c r="D3484" s="65" t="str">
        <f>vlookup(C3484,'Classificação p pessoal'!F:G,2,false)</f>
        <v>NP</v>
      </c>
      <c r="E3484" s="65" t="s">
        <v>2445</v>
      </c>
      <c r="F3484" s="83">
        <v>0.4375</v>
      </c>
      <c r="G3484" s="83">
        <v>0.4583333333333333</v>
      </c>
      <c r="H3484" s="83">
        <v>0.020833333333333332</v>
      </c>
      <c r="I3484" s="84">
        <v>44404.0</v>
      </c>
      <c r="J3484" s="65" t="b">
        <v>1</v>
      </c>
      <c r="K3484" s="65"/>
      <c r="L3484" s="85" t="b">
        <f>IF(VLOOKUP(C3484,Projetos!A:L,12,false)=TRUE,TRUE,FALSE)</f>
        <v>1</v>
      </c>
      <c r="M3484" s="74">
        <v>52.48434411075036</v>
      </c>
      <c r="N3484" s="74">
        <f t="shared" si="1"/>
        <v>26.24217206</v>
      </c>
      <c r="O3484" s="74" t="b">
        <v>1</v>
      </c>
    </row>
    <row r="3485" hidden="1">
      <c r="A3485" s="82"/>
      <c r="B3485" s="65" t="s">
        <v>411</v>
      </c>
      <c r="C3485" s="65" t="s">
        <v>92</v>
      </c>
      <c r="D3485" s="65" t="str">
        <f>vlookup(C3485,'Classificação p pessoal'!F:G,2,false)</f>
        <v/>
      </c>
      <c r="E3485" s="65" t="s">
        <v>2443</v>
      </c>
      <c r="F3485" s="83">
        <v>0.4583333333333333</v>
      </c>
      <c r="G3485" s="83">
        <v>0.4791666666666667</v>
      </c>
      <c r="H3485" s="83">
        <v>0.020833333333333332</v>
      </c>
      <c r="I3485" s="84">
        <v>44404.0</v>
      </c>
      <c r="J3485" s="65" t="b">
        <v>1</v>
      </c>
      <c r="K3485" s="65"/>
      <c r="L3485" s="85" t="b">
        <f>IF(VLOOKUP(C3485,Projetos!A:L,12,false)=TRUE,TRUE,FALSE)</f>
        <v>1</v>
      </c>
      <c r="M3485" s="74">
        <v>52.48434411075036</v>
      </c>
      <c r="N3485" s="74">
        <f t="shared" si="1"/>
        <v>26.24217206</v>
      </c>
      <c r="O3485" s="74" t="b">
        <v>1</v>
      </c>
    </row>
    <row r="3486" hidden="1">
      <c r="A3486" s="82"/>
      <c r="B3486" s="65" t="s">
        <v>411</v>
      </c>
      <c r="C3486" s="65" t="s">
        <v>117</v>
      </c>
      <c r="D3486" s="65" t="str">
        <f>vlookup(C3486,'Classificação p pessoal'!F:G,2,false)</f>
        <v>NP</v>
      </c>
      <c r="E3486" s="65" t="s">
        <v>2446</v>
      </c>
      <c r="F3486" s="83">
        <v>0.4791666666666667</v>
      </c>
      <c r="G3486" s="83">
        <v>0.5416666666666666</v>
      </c>
      <c r="H3486" s="83">
        <v>0.0625</v>
      </c>
      <c r="I3486" s="84">
        <v>44404.0</v>
      </c>
      <c r="J3486" s="65" t="b">
        <v>1</v>
      </c>
      <c r="K3486" s="65"/>
      <c r="L3486" s="85" t="b">
        <f>IF(VLOOKUP(C3486,Projetos!A:L,12,false)=TRUE,TRUE,FALSE)</f>
        <v>1</v>
      </c>
      <c r="M3486" s="74">
        <v>52.48434411075036</v>
      </c>
      <c r="N3486" s="74">
        <f t="shared" si="1"/>
        <v>78.72651617</v>
      </c>
      <c r="O3486" s="74" t="b">
        <v>1</v>
      </c>
    </row>
    <row r="3487" hidden="1">
      <c r="A3487" s="82"/>
      <c r="B3487" s="65" t="s">
        <v>411</v>
      </c>
      <c r="C3487" s="65" t="s">
        <v>132</v>
      </c>
      <c r="D3487" s="65"/>
      <c r="E3487" s="65" t="s">
        <v>2447</v>
      </c>
      <c r="F3487" s="83">
        <v>0.5833333333333334</v>
      </c>
      <c r="G3487" s="83">
        <v>0.6458333333333334</v>
      </c>
      <c r="H3487" s="83">
        <v>0.0625</v>
      </c>
      <c r="I3487" s="84">
        <v>44404.0</v>
      </c>
      <c r="J3487" s="65" t="b">
        <v>1</v>
      </c>
      <c r="K3487" s="65"/>
      <c r="L3487" s="85" t="b">
        <f>IF(VLOOKUP(C3487,Projetos!A:L,12,false)=TRUE,TRUE,FALSE)</f>
        <v>0</v>
      </c>
      <c r="M3487" s="74">
        <v>52.48434411075036</v>
      </c>
      <c r="N3487" s="74">
        <f t="shared" si="1"/>
        <v>0</v>
      </c>
      <c r="O3487" s="74" t="b">
        <v>0</v>
      </c>
    </row>
    <row r="3488" hidden="1">
      <c r="A3488" s="82"/>
      <c r="B3488" s="65" t="s">
        <v>411</v>
      </c>
      <c r="C3488" s="65" t="s">
        <v>117</v>
      </c>
      <c r="D3488" s="65" t="str">
        <f>vlookup(C3488,'Classificação p pessoal'!F:G,2,false)</f>
        <v>NP</v>
      </c>
      <c r="E3488" s="65" t="s">
        <v>2448</v>
      </c>
      <c r="F3488" s="83">
        <v>0.6458333333333334</v>
      </c>
      <c r="G3488" s="83">
        <v>0.6666666666666666</v>
      </c>
      <c r="H3488" s="83">
        <v>0.020833333333333332</v>
      </c>
      <c r="I3488" s="84">
        <v>44404.0</v>
      </c>
      <c r="J3488" s="65" t="b">
        <v>1</v>
      </c>
      <c r="K3488" s="65"/>
      <c r="L3488" s="85" t="b">
        <f>IF(VLOOKUP(C3488,Projetos!A:L,12,false)=TRUE,TRUE,FALSE)</f>
        <v>1</v>
      </c>
      <c r="M3488" s="74">
        <v>52.48434411075036</v>
      </c>
      <c r="N3488" s="74">
        <f t="shared" si="1"/>
        <v>26.24217206</v>
      </c>
      <c r="O3488" s="74" t="b">
        <v>1</v>
      </c>
    </row>
    <row r="3489" hidden="1">
      <c r="A3489" s="82"/>
      <c r="B3489" s="65" t="s">
        <v>411</v>
      </c>
      <c r="C3489" s="65" t="s">
        <v>114</v>
      </c>
      <c r="D3489" s="65" t="str">
        <f>vlookup(C3489,'Classificação p pessoal'!F:G,2,false)</f>
        <v>NP</v>
      </c>
      <c r="E3489" s="65" t="s">
        <v>2449</v>
      </c>
      <c r="F3489" s="83">
        <v>0.3993055555555556</v>
      </c>
      <c r="G3489" s="83">
        <v>0.4166666666666667</v>
      </c>
      <c r="H3489" s="83">
        <v>0.017361111111111112</v>
      </c>
      <c r="I3489" s="84">
        <v>44405.0</v>
      </c>
      <c r="J3489" s="65" t="b">
        <v>1</v>
      </c>
      <c r="K3489" s="65"/>
      <c r="L3489" s="85" t="b">
        <f>IF(VLOOKUP(C3489,Projetos!A:L,12,false)=TRUE,TRUE,FALSE)</f>
        <v>1</v>
      </c>
      <c r="M3489" s="74">
        <v>52.48434411075036</v>
      </c>
      <c r="N3489" s="74">
        <f t="shared" si="1"/>
        <v>21.86847671</v>
      </c>
      <c r="O3489" s="74" t="b">
        <v>1</v>
      </c>
    </row>
    <row r="3490" hidden="1">
      <c r="A3490" s="82"/>
      <c r="B3490" s="65" t="s">
        <v>411</v>
      </c>
      <c r="C3490" s="65" t="s">
        <v>92</v>
      </c>
      <c r="D3490" s="65" t="str">
        <f>vlookup(C3490,'Classificação p pessoal'!F:G,2,false)</f>
        <v/>
      </c>
      <c r="E3490" s="65" t="s">
        <v>2450</v>
      </c>
      <c r="F3490" s="83">
        <v>0.4166666666666667</v>
      </c>
      <c r="G3490" s="83">
        <v>0.4583333333333333</v>
      </c>
      <c r="H3490" s="83">
        <v>0.041666666666666664</v>
      </c>
      <c r="I3490" s="84">
        <v>44405.0</v>
      </c>
      <c r="J3490" s="65" t="b">
        <v>1</v>
      </c>
      <c r="K3490" s="65"/>
      <c r="L3490" s="85" t="b">
        <f>IF(VLOOKUP(C3490,Projetos!A:L,12,false)=TRUE,TRUE,FALSE)</f>
        <v>1</v>
      </c>
      <c r="M3490" s="74">
        <v>52.48434411075036</v>
      </c>
      <c r="N3490" s="74">
        <f t="shared" si="1"/>
        <v>52.48434411</v>
      </c>
      <c r="O3490" s="74" t="b">
        <v>1</v>
      </c>
    </row>
    <row r="3491" hidden="1">
      <c r="A3491" s="82"/>
      <c r="B3491" s="65" t="s">
        <v>411</v>
      </c>
      <c r="C3491" s="65" t="s">
        <v>117</v>
      </c>
      <c r="D3491" s="65" t="str">
        <f>vlookup(C3491,'Classificação p pessoal'!F:G,2,false)</f>
        <v>NP</v>
      </c>
      <c r="E3491" s="65" t="s">
        <v>2451</v>
      </c>
      <c r="F3491" s="83">
        <v>0.5625</v>
      </c>
      <c r="G3491" s="83">
        <v>0.6041666666666666</v>
      </c>
      <c r="H3491" s="83">
        <v>0.041666666666666664</v>
      </c>
      <c r="I3491" s="84">
        <v>44405.0</v>
      </c>
      <c r="J3491" s="65" t="b">
        <v>1</v>
      </c>
      <c r="K3491" s="65"/>
      <c r="L3491" s="85" t="b">
        <f>IF(VLOOKUP(C3491,Projetos!A:L,12,false)=TRUE,TRUE,FALSE)</f>
        <v>1</v>
      </c>
      <c r="M3491" s="74">
        <v>52.48434411075036</v>
      </c>
      <c r="N3491" s="74">
        <f t="shared" si="1"/>
        <v>52.48434411</v>
      </c>
      <c r="O3491" s="74" t="b">
        <v>1</v>
      </c>
    </row>
    <row r="3492" hidden="1">
      <c r="A3492" s="82"/>
      <c r="B3492" s="65" t="s">
        <v>411</v>
      </c>
      <c r="C3492" s="65" t="s">
        <v>92</v>
      </c>
      <c r="D3492" s="65" t="str">
        <f>vlookup(C3492,'Classificação p pessoal'!F:G,2,false)</f>
        <v/>
      </c>
      <c r="E3492" s="65" t="s">
        <v>2452</v>
      </c>
      <c r="F3492" s="83">
        <v>0.6041666666666666</v>
      </c>
      <c r="G3492" s="83">
        <v>0.7083333333333334</v>
      </c>
      <c r="H3492" s="83">
        <v>0.10416666666666667</v>
      </c>
      <c r="I3492" s="84">
        <v>44405.0</v>
      </c>
      <c r="J3492" s="65" t="b">
        <v>1</v>
      </c>
      <c r="K3492" s="65"/>
      <c r="L3492" s="85" t="b">
        <f>IF(VLOOKUP(C3492,Projetos!A:L,12,false)=TRUE,TRUE,FALSE)</f>
        <v>1</v>
      </c>
      <c r="M3492" s="74">
        <v>52.48434411075036</v>
      </c>
      <c r="N3492" s="74">
        <f t="shared" si="1"/>
        <v>131.2108603</v>
      </c>
      <c r="O3492" s="74" t="b">
        <v>1</v>
      </c>
    </row>
    <row r="3493" hidden="1">
      <c r="A3493" s="82"/>
      <c r="B3493" s="65" t="s">
        <v>467</v>
      </c>
      <c r="C3493" s="65" t="s">
        <v>92</v>
      </c>
      <c r="D3493" s="65" t="str">
        <f>vlookup(C3493,'Classificação p pessoal'!F:G,2,false)</f>
        <v/>
      </c>
      <c r="E3493" s="65" t="s">
        <v>2453</v>
      </c>
      <c r="F3493" s="83">
        <v>0.375</v>
      </c>
      <c r="G3493" s="83">
        <v>0.3958333333333333</v>
      </c>
      <c r="H3493" s="83">
        <v>0.020833333333333332</v>
      </c>
      <c r="I3493" s="84">
        <v>44449.0</v>
      </c>
      <c r="J3493" s="65" t="b">
        <v>1</v>
      </c>
      <c r="K3493" s="65"/>
      <c r="L3493" s="85" t="b">
        <f>IF(VLOOKUP(C3493,Projetos!A:L,12,false)=TRUE,TRUE,FALSE)</f>
        <v>1</v>
      </c>
      <c r="M3493" s="74">
        <v>52.1518759018759</v>
      </c>
      <c r="N3493" s="74">
        <f t="shared" si="1"/>
        <v>26.07593795</v>
      </c>
      <c r="O3493" s="74" t="b">
        <v>1</v>
      </c>
    </row>
    <row r="3494" hidden="1">
      <c r="A3494" s="82"/>
      <c r="B3494" s="65" t="s">
        <v>411</v>
      </c>
      <c r="C3494" s="65" t="s">
        <v>120</v>
      </c>
      <c r="D3494" s="65"/>
      <c r="E3494" s="65" t="s">
        <v>2454</v>
      </c>
      <c r="F3494" s="83">
        <v>0.34375</v>
      </c>
      <c r="G3494" s="83">
        <v>0.4166666666666667</v>
      </c>
      <c r="H3494" s="83">
        <v>0.07291666666666667</v>
      </c>
      <c r="I3494" s="84">
        <v>44406.0</v>
      </c>
      <c r="J3494" s="65" t="b">
        <v>0</v>
      </c>
      <c r="K3494" s="65"/>
      <c r="L3494" s="85" t="b">
        <f>IF(VLOOKUP(C3494,Projetos!A:L,12,false)=TRUE,TRUE,FALSE)</f>
        <v>0</v>
      </c>
      <c r="M3494" s="74">
        <v>52.48434411075036</v>
      </c>
      <c r="N3494" s="74">
        <f t="shared" si="1"/>
        <v>0</v>
      </c>
      <c r="O3494" s="74" t="b">
        <v>0</v>
      </c>
    </row>
    <row r="3495" hidden="1">
      <c r="A3495" s="82"/>
      <c r="B3495" s="65" t="s">
        <v>411</v>
      </c>
      <c r="C3495" s="65" t="s">
        <v>92</v>
      </c>
      <c r="D3495" s="65" t="str">
        <f>vlookup(C3495,'Classificação p pessoal'!F:G,2,false)</f>
        <v/>
      </c>
      <c r="E3495" s="65" t="s">
        <v>2455</v>
      </c>
      <c r="F3495" s="83">
        <v>0.4166666666666667</v>
      </c>
      <c r="G3495" s="83">
        <v>0.5</v>
      </c>
      <c r="H3495" s="83">
        <v>0.08333333333333333</v>
      </c>
      <c r="I3495" s="84">
        <v>44406.0</v>
      </c>
      <c r="J3495" s="65" t="b">
        <v>1</v>
      </c>
      <c r="K3495" s="65"/>
      <c r="L3495" s="85" t="b">
        <f>IF(VLOOKUP(C3495,Projetos!A:L,12,false)=TRUE,TRUE,FALSE)</f>
        <v>1</v>
      </c>
      <c r="M3495" s="74">
        <v>52.48434411075036</v>
      </c>
      <c r="N3495" s="74">
        <f t="shared" si="1"/>
        <v>104.9686882</v>
      </c>
      <c r="O3495" s="74" t="b">
        <v>1</v>
      </c>
    </row>
    <row r="3496" hidden="1">
      <c r="A3496" s="82"/>
      <c r="B3496" s="65" t="s">
        <v>411</v>
      </c>
      <c r="C3496" s="65" t="s">
        <v>114</v>
      </c>
      <c r="D3496" s="65" t="str">
        <f>vlookup(C3496,'Classificação p pessoal'!F:G,2,false)</f>
        <v>NP</v>
      </c>
      <c r="E3496" s="65" t="s">
        <v>2456</v>
      </c>
      <c r="F3496" s="83">
        <v>0.5</v>
      </c>
      <c r="G3496" s="83">
        <v>0.5625</v>
      </c>
      <c r="H3496" s="83">
        <v>0.0625</v>
      </c>
      <c r="I3496" s="84">
        <v>44406.0</v>
      </c>
      <c r="J3496" s="65" t="b">
        <v>1</v>
      </c>
      <c r="K3496" s="65"/>
      <c r="L3496" s="85" t="b">
        <f>IF(VLOOKUP(C3496,Projetos!A:L,12,false)=TRUE,TRUE,FALSE)</f>
        <v>1</v>
      </c>
      <c r="M3496" s="74">
        <v>52.48434411075036</v>
      </c>
      <c r="N3496" s="74">
        <f t="shared" si="1"/>
        <v>78.72651617</v>
      </c>
      <c r="O3496" s="74" t="b">
        <v>1</v>
      </c>
    </row>
    <row r="3497" hidden="1">
      <c r="A3497" s="82"/>
      <c r="B3497" s="65" t="s">
        <v>411</v>
      </c>
      <c r="C3497" s="65" t="s">
        <v>120</v>
      </c>
      <c r="D3497" s="65"/>
      <c r="E3497" s="65" t="s">
        <v>2457</v>
      </c>
      <c r="F3497" s="83">
        <v>0.6666666666666666</v>
      </c>
      <c r="G3497" s="83">
        <v>0.7083333333333334</v>
      </c>
      <c r="H3497" s="83">
        <v>0.041666666666666664</v>
      </c>
      <c r="I3497" s="84">
        <v>44406.0</v>
      </c>
      <c r="J3497" s="65" t="b">
        <v>0</v>
      </c>
      <c r="K3497" s="65" t="s">
        <v>150</v>
      </c>
      <c r="L3497" s="85" t="b">
        <f>IF(VLOOKUP(C3497,Projetos!A:L,12,false)=TRUE,TRUE,FALSE)</f>
        <v>0</v>
      </c>
      <c r="M3497" s="74">
        <v>52.48434411075036</v>
      </c>
      <c r="N3497" s="74">
        <f t="shared" si="1"/>
        <v>0</v>
      </c>
      <c r="O3497" s="74" t="b">
        <v>0</v>
      </c>
    </row>
    <row r="3498" hidden="1">
      <c r="A3498" s="82"/>
      <c r="B3498" s="65" t="s">
        <v>411</v>
      </c>
      <c r="C3498" s="65" t="s">
        <v>92</v>
      </c>
      <c r="D3498" s="65" t="str">
        <f>vlookup(C3498,'Classificação p pessoal'!F:G,2,false)</f>
        <v/>
      </c>
      <c r="E3498" s="65" t="s">
        <v>2458</v>
      </c>
      <c r="F3498" s="83">
        <v>0.7083333333333334</v>
      </c>
      <c r="G3498" s="83">
        <v>0.7291666666666666</v>
      </c>
      <c r="H3498" s="83">
        <v>0.020833333333333332</v>
      </c>
      <c r="I3498" s="84">
        <v>44406.0</v>
      </c>
      <c r="J3498" s="65" t="b">
        <v>1</v>
      </c>
      <c r="K3498" s="65"/>
      <c r="L3498" s="85" t="b">
        <f>IF(VLOOKUP(C3498,Projetos!A:L,12,false)=TRUE,TRUE,FALSE)</f>
        <v>1</v>
      </c>
      <c r="M3498" s="74">
        <v>52.48434411075036</v>
      </c>
      <c r="N3498" s="74">
        <f t="shared" si="1"/>
        <v>26.24217206</v>
      </c>
      <c r="O3498" s="74" t="b">
        <v>1</v>
      </c>
    </row>
    <row r="3499" hidden="1">
      <c r="A3499" s="82"/>
      <c r="B3499" s="65" t="s">
        <v>411</v>
      </c>
      <c r="C3499" s="65" t="s">
        <v>92</v>
      </c>
      <c r="D3499" s="65" t="str">
        <f>vlookup(C3499,'Classificação p pessoal'!F:G,2,false)</f>
        <v/>
      </c>
      <c r="E3499" s="65" t="s">
        <v>2257</v>
      </c>
      <c r="F3499" s="83">
        <v>0.34375</v>
      </c>
      <c r="G3499" s="83">
        <v>0.375</v>
      </c>
      <c r="H3499" s="83">
        <v>0.03125</v>
      </c>
      <c r="I3499" s="84">
        <v>44407.0</v>
      </c>
      <c r="J3499" s="65" t="b">
        <v>1</v>
      </c>
      <c r="K3499" s="65"/>
      <c r="L3499" s="85" t="b">
        <f>IF(VLOOKUP(C3499,Projetos!A:L,12,false)=TRUE,TRUE,FALSE)</f>
        <v>1</v>
      </c>
      <c r="M3499" s="74">
        <v>52.48434411075036</v>
      </c>
      <c r="N3499" s="74">
        <f t="shared" si="1"/>
        <v>39.36325808</v>
      </c>
      <c r="O3499" s="74" t="b">
        <v>1</v>
      </c>
    </row>
    <row r="3500" hidden="1">
      <c r="A3500" s="82"/>
      <c r="B3500" s="65" t="s">
        <v>411</v>
      </c>
      <c r="C3500" s="65" t="s">
        <v>92</v>
      </c>
      <c r="D3500" s="65" t="str">
        <f>vlookup(C3500,'Classificação p pessoal'!F:G,2,false)</f>
        <v/>
      </c>
      <c r="E3500" s="65" t="s">
        <v>2459</v>
      </c>
      <c r="F3500" s="83">
        <v>0.3854166666666667</v>
      </c>
      <c r="G3500" s="83">
        <v>0.4270833333333333</v>
      </c>
      <c r="H3500" s="83">
        <v>0.041666666666666664</v>
      </c>
      <c r="I3500" s="84">
        <v>44407.0</v>
      </c>
      <c r="J3500" s="65" t="b">
        <v>1</v>
      </c>
      <c r="K3500" s="65"/>
      <c r="L3500" s="85" t="b">
        <f>IF(VLOOKUP(C3500,Projetos!A:L,12,false)=TRUE,TRUE,FALSE)</f>
        <v>1</v>
      </c>
      <c r="M3500" s="74">
        <v>52.48434411075036</v>
      </c>
      <c r="N3500" s="74">
        <f t="shared" si="1"/>
        <v>52.48434411</v>
      </c>
      <c r="O3500" s="74" t="b">
        <v>1</v>
      </c>
    </row>
    <row r="3501" hidden="1">
      <c r="A3501" s="82"/>
      <c r="B3501" s="65" t="s">
        <v>411</v>
      </c>
      <c r="C3501" s="65" t="s">
        <v>117</v>
      </c>
      <c r="D3501" s="65" t="str">
        <f>vlookup(C3501,'Classificação p pessoal'!F:G,2,false)</f>
        <v>NP</v>
      </c>
      <c r="E3501" s="65" t="s">
        <v>2451</v>
      </c>
      <c r="F3501" s="83">
        <v>0.4270833333333333</v>
      </c>
      <c r="G3501" s="83">
        <v>0.4583333333333333</v>
      </c>
      <c r="H3501" s="83">
        <v>0.03125</v>
      </c>
      <c r="I3501" s="84">
        <v>44407.0</v>
      </c>
      <c r="J3501" s="65" t="b">
        <v>1</v>
      </c>
      <c r="K3501" s="65"/>
      <c r="L3501" s="85" t="b">
        <f>IF(VLOOKUP(C3501,Projetos!A:L,12,false)=TRUE,TRUE,FALSE)</f>
        <v>1</v>
      </c>
      <c r="M3501" s="74">
        <v>52.48434411075036</v>
      </c>
      <c r="N3501" s="74">
        <f t="shared" si="1"/>
        <v>39.36325808</v>
      </c>
      <c r="O3501" s="74" t="b">
        <v>1</v>
      </c>
    </row>
    <row r="3502" hidden="1">
      <c r="A3502" s="82"/>
      <c r="B3502" s="65" t="s">
        <v>411</v>
      </c>
      <c r="C3502" s="65" t="s">
        <v>88</v>
      </c>
      <c r="D3502" s="65"/>
      <c r="E3502" s="65" t="s">
        <v>2460</v>
      </c>
      <c r="F3502" s="83">
        <v>0.625</v>
      </c>
      <c r="G3502" s="83">
        <v>0.6458333333333334</v>
      </c>
      <c r="H3502" s="83">
        <v>0.020833333333333332</v>
      </c>
      <c r="I3502" s="84">
        <v>44250.0</v>
      </c>
      <c r="J3502" s="65" t="b">
        <v>0</v>
      </c>
      <c r="K3502" s="65" t="s">
        <v>150</v>
      </c>
      <c r="L3502" s="85" t="b">
        <f>IF(VLOOKUP(C3502,Projetos!A:L,12,false)=TRUE,TRUE,FALSE)</f>
        <v>1</v>
      </c>
      <c r="M3502" s="74">
        <v>52.48434411075036</v>
      </c>
      <c r="N3502" s="74">
        <f t="shared" si="1"/>
        <v>0</v>
      </c>
      <c r="O3502" s="74" t="b">
        <v>1</v>
      </c>
    </row>
    <row r="3503" hidden="1">
      <c r="A3503" s="82"/>
      <c r="B3503" s="65" t="s">
        <v>411</v>
      </c>
      <c r="C3503" s="65" t="s">
        <v>120</v>
      </c>
      <c r="D3503" s="65"/>
      <c r="E3503" s="65" t="s">
        <v>2461</v>
      </c>
      <c r="F3503" s="83">
        <v>0.5416666666666666</v>
      </c>
      <c r="G3503" s="83">
        <v>0.5625</v>
      </c>
      <c r="H3503" s="83">
        <v>0.020833333333333332</v>
      </c>
      <c r="I3503" s="84">
        <v>44407.0</v>
      </c>
      <c r="J3503" s="65" t="b">
        <v>0</v>
      </c>
      <c r="K3503" s="65"/>
      <c r="L3503" s="85" t="b">
        <f>IF(VLOOKUP(C3503,Projetos!A:L,12,false)=TRUE,TRUE,FALSE)</f>
        <v>0</v>
      </c>
      <c r="M3503" s="74">
        <v>52.48434411075036</v>
      </c>
      <c r="N3503" s="74">
        <f t="shared" si="1"/>
        <v>0</v>
      </c>
      <c r="O3503" s="74" t="b">
        <v>0</v>
      </c>
    </row>
    <row r="3504" hidden="1">
      <c r="A3504" s="82"/>
      <c r="B3504" s="65" t="s">
        <v>411</v>
      </c>
      <c r="C3504" s="65" t="s">
        <v>92</v>
      </c>
      <c r="D3504" s="65" t="str">
        <f>vlookup(C3504,'Classificação p pessoal'!F:G,2,false)</f>
        <v/>
      </c>
      <c r="E3504" s="65" t="s">
        <v>2462</v>
      </c>
      <c r="F3504" s="83">
        <v>0.5625</v>
      </c>
      <c r="G3504" s="83">
        <v>0.6388888888888888</v>
      </c>
      <c r="H3504" s="83">
        <v>0.0763888888888889</v>
      </c>
      <c r="I3504" s="84">
        <v>44407.0</v>
      </c>
      <c r="J3504" s="65" t="b">
        <v>1</v>
      </c>
      <c r="K3504" s="65"/>
      <c r="L3504" s="85" t="b">
        <f>IF(VLOOKUP(C3504,Projetos!A:L,12,false)=TRUE,TRUE,FALSE)</f>
        <v>1</v>
      </c>
      <c r="M3504" s="74">
        <v>52.48434411075036</v>
      </c>
      <c r="N3504" s="74">
        <f t="shared" si="1"/>
        <v>96.22129754</v>
      </c>
      <c r="O3504" s="74" t="b">
        <v>1</v>
      </c>
    </row>
    <row r="3505" hidden="1">
      <c r="A3505" s="82"/>
      <c r="B3505" s="65" t="s">
        <v>411</v>
      </c>
      <c r="C3505" s="65" t="s">
        <v>117</v>
      </c>
      <c r="D3505" s="65" t="str">
        <f>vlookup(C3505,'Classificação p pessoal'!F:G,2,false)</f>
        <v>NP</v>
      </c>
      <c r="E3505" s="65" t="s">
        <v>2130</v>
      </c>
      <c r="F3505" s="83">
        <v>0.34375</v>
      </c>
      <c r="G3505" s="83">
        <v>0.4583333333333333</v>
      </c>
      <c r="H3505" s="83">
        <v>0.11458333333333333</v>
      </c>
      <c r="I3505" s="84">
        <v>44410.0</v>
      </c>
      <c r="J3505" s="65" t="b">
        <v>1</v>
      </c>
      <c r="K3505" s="65"/>
      <c r="L3505" s="85" t="b">
        <f>IF(VLOOKUP(C3505,Projetos!A:L,12,false)=TRUE,TRUE,FALSE)</f>
        <v>1</v>
      </c>
      <c r="M3505" s="74">
        <v>52.48434411075036</v>
      </c>
      <c r="N3505" s="74">
        <f t="shared" si="1"/>
        <v>144.3319463</v>
      </c>
      <c r="O3505" s="74" t="b">
        <v>1</v>
      </c>
    </row>
    <row r="3506" hidden="1">
      <c r="A3506" s="82"/>
      <c r="B3506" s="65" t="s">
        <v>411</v>
      </c>
      <c r="C3506" s="65" t="s">
        <v>92</v>
      </c>
      <c r="D3506" s="65" t="str">
        <f>vlookup(C3506,'Classificação p pessoal'!F:G,2,false)</f>
        <v/>
      </c>
      <c r="E3506" s="65" t="s">
        <v>2463</v>
      </c>
      <c r="F3506" s="83">
        <v>0.4583333333333333</v>
      </c>
      <c r="G3506" s="83">
        <v>0.5</v>
      </c>
      <c r="H3506" s="83">
        <v>0.041666666666666664</v>
      </c>
      <c r="I3506" s="84">
        <v>44410.0</v>
      </c>
      <c r="J3506" s="65" t="b">
        <v>1</v>
      </c>
      <c r="K3506" s="65"/>
      <c r="L3506" s="85" t="b">
        <f>IF(VLOOKUP(C3506,Projetos!A:L,12,false)=TRUE,TRUE,FALSE)</f>
        <v>1</v>
      </c>
      <c r="M3506" s="74">
        <v>52.48434411075036</v>
      </c>
      <c r="N3506" s="74">
        <f t="shared" si="1"/>
        <v>52.48434411</v>
      </c>
      <c r="O3506" s="74" t="b">
        <v>1</v>
      </c>
    </row>
    <row r="3507" hidden="1">
      <c r="A3507" s="82"/>
      <c r="B3507" s="65" t="s">
        <v>411</v>
      </c>
      <c r="C3507" s="65" t="s">
        <v>92</v>
      </c>
      <c r="D3507" s="65" t="str">
        <f>vlookup(C3507,'Classificação p pessoal'!F:G,2,false)</f>
        <v/>
      </c>
      <c r="E3507" s="65" t="s">
        <v>2464</v>
      </c>
      <c r="F3507" s="83">
        <v>0.5416666666666666</v>
      </c>
      <c r="G3507" s="83">
        <v>0.6041666666666666</v>
      </c>
      <c r="H3507" s="83">
        <v>0.0625</v>
      </c>
      <c r="I3507" s="84">
        <v>44410.0</v>
      </c>
      <c r="J3507" s="65" t="b">
        <v>1</v>
      </c>
      <c r="K3507" s="65"/>
      <c r="L3507" s="85" t="b">
        <f>IF(VLOOKUP(C3507,Projetos!A:L,12,false)=TRUE,TRUE,FALSE)</f>
        <v>1</v>
      </c>
      <c r="M3507" s="74">
        <v>52.48434411075036</v>
      </c>
      <c r="N3507" s="74">
        <f t="shared" si="1"/>
        <v>78.72651617</v>
      </c>
      <c r="O3507" s="74" t="b">
        <v>1</v>
      </c>
    </row>
    <row r="3508" hidden="1">
      <c r="A3508" s="82"/>
      <c r="B3508" s="65" t="s">
        <v>411</v>
      </c>
      <c r="C3508" s="65" t="s">
        <v>117</v>
      </c>
      <c r="D3508" s="65" t="str">
        <f>vlookup(C3508,'Classificação p pessoal'!F:G,2,false)</f>
        <v>NP</v>
      </c>
      <c r="E3508" s="65" t="s">
        <v>2465</v>
      </c>
      <c r="F3508" s="83">
        <v>0.6041666666666666</v>
      </c>
      <c r="G3508" s="83">
        <v>0.7083333333333334</v>
      </c>
      <c r="H3508" s="83">
        <v>0.10416666666666667</v>
      </c>
      <c r="I3508" s="84">
        <v>44410.0</v>
      </c>
      <c r="J3508" s="65" t="b">
        <v>1</v>
      </c>
      <c r="K3508" s="65"/>
      <c r="L3508" s="85" t="b">
        <f>IF(VLOOKUP(C3508,Projetos!A:L,12,false)=TRUE,TRUE,FALSE)</f>
        <v>1</v>
      </c>
      <c r="M3508" s="74">
        <v>52.48434411075036</v>
      </c>
      <c r="N3508" s="74">
        <f t="shared" si="1"/>
        <v>131.2108603</v>
      </c>
      <c r="O3508" s="74" t="b">
        <v>1</v>
      </c>
    </row>
    <row r="3509" hidden="1">
      <c r="A3509" s="82"/>
      <c r="B3509" s="65" t="s">
        <v>411</v>
      </c>
      <c r="C3509" s="65" t="s">
        <v>92</v>
      </c>
      <c r="D3509" s="65" t="str">
        <f>vlookup(C3509,'Classificação p pessoal'!F:G,2,false)</f>
        <v/>
      </c>
      <c r="E3509" s="65" t="s">
        <v>2466</v>
      </c>
      <c r="F3509" s="83">
        <v>0.34375</v>
      </c>
      <c r="G3509" s="83">
        <v>0.3958333333333333</v>
      </c>
      <c r="H3509" s="83">
        <v>0.052083333333333336</v>
      </c>
      <c r="I3509" s="84">
        <v>44411.0</v>
      </c>
      <c r="J3509" s="65" t="b">
        <v>1</v>
      </c>
      <c r="K3509" s="65"/>
      <c r="L3509" s="85" t="b">
        <f>IF(VLOOKUP(C3509,Projetos!A:L,12,false)=TRUE,TRUE,FALSE)</f>
        <v>1</v>
      </c>
      <c r="M3509" s="74">
        <v>52.48434411075036</v>
      </c>
      <c r="N3509" s="74">
        <f t="shared" si="1"/>
        <v>65.60543014</v>
      </c>
      <c r="O3509" s="74" t="b">
        <v>1</v>
      </c>
    </row>
    <row r="3510" hidden="1">
      <c r="A3510" s="82"/>
      <c r="B3510" s="65" t="s">
        <v>411</v>
      </c>
      <c r="C3510" s="65" t="s">
        <v>92</v>
      </c>
      <c r="D3510" s="65"/>
      <c r="E3510" s="65" t="s">
        <v>2467</v>
      </c>
      <c r="F3510" s="83">
        <v>0.34375</v>
      </c>
      <c r="G3510" s="83">
        <v>0.375</v>
      </c>
      <c r="H3510" s="83">
        <v>0.03125</v>
      </c>
      <c r="I3510" s="84">
        <v>44222.0</v>
      </c>
      <c r="J3510" s="65" t="b">
        <v>0</v>
      </c>
      <c r="K3510" s="65" t="s">
        <v>150</v>
      </c>
      <c r="L3510" s="85" t="b">
        <f>IF(VLOOKUP(C3510,Projetos!A:L,12,false)=TRUE,TRUE,FALSE)</f>
        <v>1</v>
      </c>
      <c r="M3510" s="74">
        <v>52.48434411075036</v>
      </c>
      <c r="N3510" s="74">
        <f t="shared" si="1"/>
        <v>0</v>
      </c>
      <c r="O3510" s="74" t="b">
        <v>1</v>
      </c>
    </row>
    <row r="3511" hidden="1">
      <c r="A3511" s="82"/>
      <c r="B3511" s="65" t="s">
        <v>411</v>
      </c>
      <c r="C3511" s="65" t="s">
        <v>117</v>
      </c>
      <c r="D3511" s="65" t="str">
        <f>vlookup(C3511,'Classificação p pessoal'!F:G,2,false)</f>
        <v>NP</v>
      </c>
      <c r="E3511" s="65" t="s">
        <v>2468</v>
      </c>
      <c r="F3511" s="83">
        <v>0.4166666666666667</v>
      </c>
      <c r="G3511" s="83">
        <v>0.4583333333333333</v>
      </c>
      <c r="H3511" s="83">
        <v>0.041666666666666664</v>
      </c>
      <c r="I3511" s="84">
        <v>44411.0</v>
      </c>
      <c r="J3511" s="65" t="b">
        <v>1</v>
      </c>
      <c r="K3511" s="65"/>
      <c r="L3511" s="85" t="b">
        <f>IF(VLOOKUP(C3511,Projetos!A:L,12,false)=TRUE,TRUE,FALSE)</f>
        <v>1</v>
      </c>
      <c r="M3511" s="74">
        <v>52.48434411075036</v>
      </c>
      <c r="N3511" s="74">
        <f t="shared" si="1"/>
        <v>52.48434411</v>
      </c>
      <c r="O3511" s="74" t="b">
        <v>1</v>
      </c>
    </row>
    <row r="3512" hidden="1">
      <c r="A3512" s="82"/>
      <c r="B3512" s="65" t="s">
        <v>411</v>
      </c>
      <c r="C3512" s="65" t="s">
        <v>92</v>
      </c>
      <c r="D3512" s="65" t="str">
        <f>vlookup(C3512,'Classificação p pessoal'!F:G,2,false)</f>
        <v/>
      </c>
      <c r="E3512" s="65" t="s">
        <v>2469</v>
      </c>
      <c r="F3512" s="83">
        <v>0.4583333333333333</v>
      </c>
      <c r="G3512" s="83">
        <v>0.5416666666666666</v>
      </c>
      <c r="H3512" s="83">
        <v>0.08333333333333333</v>
      </c>
      <c r="I3512" s="84">
        <v>44411.0</v>
      </c>
      <c r="J3512" s="65" t="b">
        <v>1</v>
      </c>
      <c r="K3512" s="65"/>
      <c r="L3512" s="85" t="b">
        <f>IF(VLOOKUP(C3512,Projetos!A:L,12,false)=TRUE,TRUE,FALSE)</f>
        <v>1</v>
      </c>
      <c r="M3512" s="74">
        <v>52.48434411075036</v>
      </c>
      <c r="N3512" s="74">
        <f t="shared" si="1"/>
        <v>104.9686882</v>
      </c>
      <c r="O3512" s="74" t="b">
        <v>1</v>
      </c>
    </row>
    <row r="3513" hidden="1">
      <c r="A3513" s="82"/>
      <c r="B3513" s="65" t="s">
        <v>411</v>
      </c>
      <c r="C3513" s="65" t="s">
        <v>120</v>
      </c>
      <c r="D3513" s="65"/>
      <c r="E3513" s="65" t="s">
        <v>2470</v>
      </c>
      <c r="F3513" s="83">
        <v>0.5833333333333334</v>
      </c>
      <c r="G3513" s="83">
        <v>0.625</v>
      </c>
      <c r="H3513" s="83">
        <v>0.041666666666666664</v>
      </c>
      <c r="I3513" s="84">
        <v>44411.0</v>
      </c>
      <c r="J3513" s="65" t="b">
        <v>0</v>
      </c>
      <c r="K3513" s="65"/>
      <c r="L3513" s="85" t="b">
        <f>IF(VLOOKUP(C3513,Projetos!A:L,12,false)=TRUE,TRUE,FALSE)</f>
        <v>0</v>
      </c>
      <c r="M3513" s="74">
        <v>52.48434411075036</v>
      </c>
      <c r="N3513" s="74">
        <f t="shared" si="1"/>
        <v>0</v>
      </c>
      <c r="O3513" s="74" t="b">
        <v>0</v>
      </c>
    </row>
    <row r="3514" hidden="1">
      <c r="A3514" s="82"/>
      <c r="B3514" s="65" t="s">
        <v>411</v>
      </c>
      <c r="C3514" s="65" t="s">
        <v>92</v>
      </c>
      <c r="D3514" s="65" t="str">
        <f>vlookup(C3514,'Classificação p pessoal'!F:G,2,false)</f>
        <v/>
      </c>
      <c r="E3514" s="65" t="s">
        <v>2471</v>
      </c>
      <c r="F3514" s="83">
        <v>0.625</v>
      </c>
      <c r="G3514" s="83">
        <v>0.7083333333333334</v>
      </c>
      <c r="H3514" s="83">
        <v>0.08333333333333333</v>
      </c>
      <c r="I3514" s="84">
        <v>44411.0</v>
      </c>
      <c r="J3514" s="65" t="b">
        <v>1</v>
      </c>
      <c r="K3514" s="65"/>
      <c r="L3514" s="85" t="b">
        <f>IF(VLOOKUP(C3514,Projetos!A:L,12,false)=TRUE,TRUE,FALSE)</f>
        <v>1</v>
      </c>
      <c r="M3514" s="74">
        <v>52.48434411075036</v>
      </c>
      <c r="N3514" s="74">
        <f t="shared" si="1"/>
        <v>104.9686882</v>
      </c>
      <c r="O3514" s="74" t="b">
        <v>1</v>
      </c>
    </row>
    <row r="3515" hidden="1">
      <c r="A3515" s="82"/>
      <c r="B3515" s="65" t="s">
        <v>411</v>
      </c>
      <c r="C3515" s="65" t="s">
        <v>117</v>
      </c>
      <c r="D3515" s="65" t="str">
        <f>vlookup(C3515,'Classificação p pessoal'!F:G,2,false)</f>
        <v>NP</v>
      </c>
      <c r="E3515" s="65" t="s">
        <v>2472</v>
      </c>
      <c r="F3515" s="83">
        <v>0.34375</v>
      </c>
      <c r="G3515" s="83">
        <v>0.3854166666666667</v>
      </c>
      <c r="H3515" s="83">
        <v>0.041666666666666664</v>
      </c>
      <c r="I3515" s="84">
        <v>44412.0</v>
      </c>
      <c r="J3515" s="65" t="b">
        <v>1</v>
      </c>
      <c r="K3515" s="65"/>
      <c r="L3515" s="85" t="b">
        <f>IF(VLOOKUP(C3515,Projetos!A:L,12,false)=TRUE,TRUE,FALSE)</f>
        <v>1</v>
      </c>
      <c r="M3515" s="74">
        <v>52.48434411075036</v>
      </c>
      <c r="N3515" s="74">
        <f t="shared" si="1"/>
        <v>52.48434411</v>
      </c>
      <c r="O3515" s="74" t="b">
        <v>1</v>
      </c>
    </row>
    <row r="3516" hidden="1">
      <c r="A3516" s="82"/>
      <c r="B3516" s="65" t="s">
        <v>411</v>
      </c>
      <c r="C3516" s="65" t="s">
        <v>92</v>
      </c>
      <c r="D3516" s="65" t="str">
        <f>vlookup(C3516,'Classificação p pessoal'!F:G,2,false)</f>
        <v/>
      </c>
      <c r="E3516" s="65" t="s">
        <v>2473</v>
      </c>
      <c r="F3516" s="83">
        <v>0.3854166666666667</v>
      </c>
      <c r="G3516" s="83">
        <v>0.3958333333333333</v>
      </c>
      <c r="H3516" s="83">
        <v>0.010416666666666666</v>
      </c>
      <c r="I3516" s="84">
        <v>44412.0</v>
      </c>
      <c r="J3516" s="65" t="b">
        <v>1</v>
      </c>
      <c r="K3516" s="65"/>
      <c r="L3516" s="85" t="b">
        <f>IF(VLOOKUP(C3516,Projetos!A:L,12,false)=TRUE,TRUE,FALSE)</f>
        <v>1</v>
      </c>
      <c r="M3516" s="74">
        <v>52.48434411075036</v>
      </c>
      <c r="N3516" s="74">
        <f t="shared" si="1"/>
        <v>13.12108603</v>
      </c>
      <c r="O3516" s="74" t="b">
        <v>1</v>
      </c>
    </row>
    <row r="3517" hidden="1">
      <c r="A3517" s="82"/>
      <c r="B3517" s="65" t="s">
        <v>411</v>
      </c>
      <c r="C3517" s="65" t="s">
        <v>117</v>
      </c>
      <c r="D3517" s="65" t="str">
        <f>vlookup(C3517,'Classificação p pessoal'!F:G,2,false)</f>
        <v>NP</v>
      </c>
      <c r="E3517" s="65" t="s">
        <v>2474</v>
      </c>
      <c r="F3517" s="83">
        <v>0.3958333333333333</v>
      </c>
      <c r="G3517" s="83">
        <v>0.5416666666666666</v>
      </c>
      <c r="H3517" s="83">
        <v>0.14583333333333334</v>
      </c>
      <c r="I3517" s="84">
        <v>44412.0</v>
      </c>
      <c r="J3517" s="65" t="b">
        <v>1</v>
      </c>
      <c r="K3517" s="65"/>
      <c r="L3517" s="85" t="b">
        <f>IF(VLOOKUP(C3517,Projetos!A:L,12,false)=TRUE,TRUE,FALSE)</f>
        <v>1</v>
      </c>
      <c r="M3517" s="74">
        <v>52.48434411075036</v>
      </c>
      <c r="N3517" s="74">
        <f t="shared" si="1"/>
        <v>183.6952044</v>
      </c>
      <c r="O3517" s="74" t="b">
        <v>1</v>
      </c>
    </row>
    <row r="3518" hidden="1">
      <c r="A3518" s="82"/>
      <c r="B3518" s="65" t="s">
        <v>411</v>
      </c>
      <c r="C3518" s="65" t="s">
        <v>100</v>
      </c>
      <c r="D3518" s="65"/>
      <c r="E3518" s="65" t="s">
        <v>2475</v>
      </c>
      <c r="F3518" s="83">
        <v>0.5833333333333334</v>
      </c>
      <c r="G3518" s="83">
        <v>0.6458333333333334</v>
      </c>
      <c r="H3518" s="83">
        <v>0.0625</v>
      </c>
      <c r="I3518" s="84">
        <v>44412.0</v>
      </c>
      <c r="J3518" s="65" t="b">
        <v>0</v>
      </c>
      <c r="K3518" s="65" t="s">
        <v>150</v>
      </c>
      <c r="L3518" s="85" t="b">
        <f>IF(VLOOKUP(C3518,Projetos!A:L,12,false)=TRUE,TRUE,FALSE)</f>
        <v>1</v>
      </c>
      <c r="M3518" s="74">
        <v>52.48434411075036</v>
      </c>
      <c r="N3518" s="74">
        <f t="shared" si="1"/>
        <v>0</v>
      </c>
      <c r="O3518" s="74" t="b">
        <v>1</v>
      </c>
    </row>
    <row r="3519" hidden="1">
      <c r="A3519" s="82"/>
      <c r="B3519" s="65" t="s">
        <v>411</v>
      </c>
      <c r="C3519" s="65" t="s">
        <v>117</v>
      </c>
      <c r="D3519" s="65"/>
      <c r="E3519" s="65" t="s">
        <v>2476</v>
      </c>
      <c r="F3519" s="83">
        <v>0.6458333333333334</v>
      </c>
      <c r="G3519" s="83">
        <v>0.75</v>
      </c>
      <c r="H3519" s="83">
        <v>0.10416666666666667</v>
      </c>
      <c r="I3519" s="84">
        <v>44412.0</v>
      </c>
      <c r="J3519" s="65" t="b">
        <v>0</v>
      </c>
      <c r="K3519" s="65" t="s">
        <v>150</v>
      </c>
      <c r="L3519" s="85" t="b">
        <f>IF(VLOOKUP(C3519,Projetos!A:L,12,false)=TRUE,TRUE,FALSE)</f>
        <v>1</v>
      </c>
      <c r="M3519" s="74">
        <v>52.48434411075036</v>
      </c>
      <c r="N3519" s="74">
        <f t="shared" si="1"/>
        <v>0</v>
      </c>
      <c r="O3519" s="74" t="b">
        <v>1</v>
      </c>
    </row>
    <row r="3520" hidden="1">
      <c r="A3520" s="82"/>
      <c r="B3520" s="65" t="s">
        <v>411</v>
      </c>
      <c r="C3520" s="65" t="s">
        <v>92</v>
      </c>
      <c r="D3520" s="65" t="str">
        <f>vlookup(C3520,'Classificação p pessoal'!F:G,2,false)</f>
        <v/>
      </c>
      <c r="E3520" s="65" t="s">
        <v>2477</v>
      </c>
      <c r="F3520" s="83">
        <v>0.34375</v>
      </c>
      <c r="G3520" s="83">
        <v>0.4791666666666667</v>
      </c>
      <c r="H3520" s="83">
        <v>0.13541666666666666</v>
      </c>
      <c r="I3520" s="84">
        <v>44413.0</v>
      </c>
      <c r="J3520" s="65" t="b">
        <v>1</v>
      </c>
      <c r="K3520" s="65"/>
      <c r="L3520" s="85" t="b">
        <f>IF(VLOOKUP(C3520,Projetos!A:L,12,false)=TRUE,TRUE,FALSE)</f>
        <v>1</v>
      </c>
      <c r="M3520" s="74">
        <v>52.48434411075036</v>
      </c>
      <c r="N3520" s="74">
        <f t="shared" si="1"/>
        <v>170.5741184</v>
      </c>
      <c r="O3520" s="74" t="b">
        <v>1</v>
      </c>
    </row>
    <row r="3521" hidden="1">
      <c r="A3521" s="82"/>
      <c r="B3521" s="65" t="s">
        <v>411</v>
      </c>
      <c r="C3521" s="65" t="s">
        <v>117</v>
      </c>
      <c r="D3521" s="65" t="str">
        <f>vlookup(C3521,'Classificação p pessoal'!F:G,2,false)</f>
        <v>NP</v>
      </c>
      <c r="E3521" s="65" t="s">
        <v>2130</v>
      </c>
      <c r="F3521" s="83">
        <v>0.4791666666666667</v>
      </c>
      <c r="G3521" s="83">
        <v>0.5208333333333334</v>
      </c>
      <c r="H3521" s="83">
        <v>0.041666666666666664</v>
      </c>
      <c r="I3521" s="84">
        <v>44413.0</v>
      </c>
      <c r="J3521" s="65" t="b">
        <v>1</v>
      </c>
      <c r="K3521" s="65"/>
      <c r="L3521" s="85" t="b">
        <f>IF(VLOOKUP(C3521,Projetos!A:L,12,false)=TRUE,TRUE,FALSE)</f>
        <v>1</v>
      </c>
      <c r="M3521" s="74">
        <v>52.48434411075036</v>
      </c>
      <c r="N3521" s="74">
        <f t="shared" si="1"/>
        <v>52.48434411</v>
      </c>
      <c r="O3521" s="74" t="b">
        <v>1</v>
      </c>
    </row>
    <row r="3522" hidden="1">
      <c r="A3522" s="82"/>
      <c r="B3522" s="65" t="s">
        <v>411</v>
      </c>
      <c r="C3522" s="65" t="s">
        <v>92</v>
      </c>
      <c r="D3522" s="65" t="str">
        <f>vlookup(C3522,'Classificação p pessoal'!F:G,2,false)</f>
        <v/>
      </c>
      <c r="E3522" s="65" t="s">
        <v>2478</v>
      </c>
      <c r="F3522" s="83">
        <v>0.5625</v>
      </c>
      <c r="G3522" s="83">
        <v>0.7083333333333334</v>
      </c>
      <c r="H3522" s="83">
        <v>0.14583333333333334</v>
      </c>
      <c r="I3522" s="84">
        <v>44413.0</v>
      </c>
      <c r="J3522" s="65" t="b">
        <v>1</v>
      </c>
      <c r="K3522" s="65"/>
      <c r="L3522" s="85" t="b">
        <f>IF(VLOOKUP(C3522,Projetos!A:L,12,false)=TRUE,TRUE,FALSE)</f>
        <v>1</v>
      </c>
      <c r="M3522" s="74">
        <v>52.48434411075036</v>
      </c>
      <c r="N3522" s="74">
        <f t="shared" si="1"/>
        <v>183.6952044</v>
      </c>
      <c r="O3522" s="74" t="b">
        <v>1</v>
      </c>
    </row>
    <row r="3523" hidden="1">
      <c r="A3523" s="82"/>
      <c r="B3523" s="65" t="s">
        <v>411</v>
      </c>
      <c r="C3523" s="65" t="s">
        <v>92</v>
      </c>
      <c r="D3523" s="65" t="str">
        <f>vlookup(C3523,'Classificação p pessoal'!F:G,2,false)</f>
        <v/>
      </c>
      <c r="E3523" s="65" t="s">
        <v>2479</v>
      </c>
      <c r="F3523" s="83">
        <v>0.6875</v>
      </c>
      <c r="G3523" s="83">
        <v>0.75</v>
      </c>
      <c r="H3523" s="83">
        <v>0.0625</v>
      </c>
      <c r="I3523" s="84">
        <v>44228.0</v>
      </c>
      <c r="J3523" s="65" t="b">
        <v>1</v>
      </c>
      <c r="K3523" s="65"/>
      <c r="L3523" s="85" t="b">
        <f>IF(VLOOKUP(C3523,Projetos!A:L,12,false)=TRUE,TRUE,FALSE)</f>
        <v>1</v>
      </c>
      <c r="M3523" s="74">
        <v>52.48434411075036</v>
      </c>
      <c r="N3523" s="74">
        <f t="shared" si="1"/>
        <v>78.72651617</v>
      </c>
      <c r="O3523" s="74" t="b">
        <v>1</v>
      </c>
    </row>
    <row r="3524" hidden="1">
      <c r="A3524" s="82"/>
      <c r="B3524" s="65" t="s">
        <v>411</v>
      </c>
      <c r="C3524" s="65" t="s">
        <v>109</v>
      </c>
      <c r="D3524" s="65" t="str">
        <f>vlookup(C3524,'Classificação p pessoal'!F:G,2,false)</f>
        <v>NP</v>
      </c>
      <c r="E3524" s="65" t="s">
        <v>2480</v>
      </c>
      <c r="F3524" s="83">
        <v>0.34375</v>
      </c>
      <c r="G3524" s="83">
        <v>0.3958333333333333</v>
      </c>
      <c r="H3524" s="83">
        <v>0.052083333333333336</v>
      </c>
      <c r="I3524" s="84">
        <v>44414.0</v>
      </c>
      <c r="J3524" s="65" t="b">
        <v>1</v>
      </c>
      <c r="K3524" s="65"/>
      <c r="L3524" s="85" t="b">
        <f>IF(VLOOKUP(C3524,Projetos!A:L,12,false)=TRUE,TRUE,FALSE)</f>
        <v>1</v>
      </c>
      <c r="M3524" s="74">
        <v>52.48434411075036</v>
      </c>
      <c r="N3524" s="74">
        <f t="shared" si="1"/>
        <v>65.60543014</v>
      </c>
      <c r="O3524" s="74" t="b">
        <v>1</v>
      </c>
    </row>
    <row r="3525" hidden="1">
      <c r="A3525" s="82"/>
      <c r="B3525" s="65" t="s">
        <v>411</v>
      </c>
      <c r="C3525" s="65" t="s">
        <v>92</v>
      </c>
      <c r="D3525" s="65" t="str">
        <f>vlookup(C3525,'Classificação p pessoal'!F:G,2,false)</f>
        <v/>
      </c>
      <c r="E3525" s="65" t="s">
        <v>2471</v>
      </c>
      <c r="F3525" s="83">
        <v>0.3958333333333333</v>
      </c>
      <c r="G3525" s="83">
        <v>0.4375</v>
      </c>
      <c r="H3525" s="83">
        <v>0.041666666666666664</v>
      </c>
      <c r="I3525" s="84">
        <v>44414.0</v>
      </c>
      <c r="J3525" s="65" t="b">
        <v>1</v>
      </c>
      <c r="K3525" s="65"/>
      <c r="L3525" s="85" t="b">
        <f>IF(VLOOKUP(C3525,Projetos!A:L,12,false)=TRUE,TRUE,FALSE)</f>
        <v>1</v>
      </c>
      <c r="M3525" s="74">
        <v>52.48434411075036</v>
      </c>
      <c r="N3525" s="74">
        <f t="shared" si="1"/>
        <v>52.48434411</v>
      </c>
      <c r="O3525" s="74" t="b">
        <v>1</v>
      </c>
    </row>
    <row r="3526" hidden="1">
      <c r="A3526" s="82"/>
      <c r="B3526" s="65" t="s">
        <v>411</v>
      </c>
      <c r="C3526" s="65" t="s">
        <v>117</v>
      </c>
      <c r="D3526" s="65" t="str">
        <f>vlookup(C3526,'Classificação p pessoal'!F:G,2,false)</f>
        <v>NP</v>
      </c>
      <c r="E3526" s="65" t="s">
        <v>2481</v>
      </c>
      <c r="F3526" s="83">
        <v>0.4375</v>
      </c>
      <c r="G3526" s="83">
        <v>0.5</v>
      </c>
      <c r="H3526" s="83">
        <v>0.0625</v>
      </c>
      <c r="I3526" s="84">
        <v>44414.0</v>
      </c>
      <c r="J3526" s="65" t="b">
        <v>1</v>
      </c>
      <c r="K3526" s="65"/>
      <c r="L3526" s="85" t="b">
        <f>IF(VLOOKUP(C3526,Projetos!A:L,12,false)=TRUE,TRUE,FALSE)</f>
        <v>1</v>
      </c>
      <c r="M3526" s="74">
        <v>52.48434411075036</v>
      </c>
      <c r="N3526" s="74">
        <f t="shared" si="1"/>
        <v>78.72651617</v>
      </c>
      <c r="O3526" s="74" t="b">
        <v>1</v>
      </c>
    </row>
    <row r="3527" hidden="1">
      <c r="A3527" s="82"/>
      <c r="B3527" s="65" t="s">
        <v>411</v>
      </c>
      <c r="C3527" s="65" t="s">
        <v>92</v>
      </c>
      <c r="D3527" s="65" t="str">
        <f>vlookup(C3527,'Classificação p pessoal'!F:G,2,false)</f>
        <v/>
      </c>
      <c r="E3527" s="65" t="s">
        <v>2482</v>
      </c>
      <c r="F3527" s="83">
        <v>0.6666666666666666</v>
      </c>
      <c r="G3527" s="83">
        <v>0.7083333333333334</v>
      </c>
      <c r="H3527" s="83">
        <v>0.041666666666666664</v>
      </c>
      <c r="I3527" s="84">
        <v>44517.0</v>
      </c>
      <c r="J3527" s="65" t="b">
        <v>1</v>
      </c>
      <c r="K3527" s="65"/>
      <c r="L3527" s="85" t="b">
        <f>IF(VLOOKUP(C3527,Projetos!A:L,12,false)=TRUE,TRUE,FALSE)</f>
        <v>1</v>
      </c>
      <c r="M3527" s="74">
        <v>52.48434411075036</v>
      </c>
      <c r="N3527" s="74">
        <f t="shared" si="1"/>
        <v>52.48434411</v>
      </c>
      <c r="O3527" s="74" t="b">
        <v>1</v>
      </c>
    </row>
    <row r="3528" hidden="1">
      <c r="A3528" s="82"/>
      <c r="B3528" s="65" t="s">
        <v>411</v>
      </c>
      <c r="C3528" s="65" t="s">
        <v>117</v>
      </c>
      <c r="D3528" s="65" t="str">
        <f>vlookup(C3528,'Classificação p pessoal'!F:G,2,false)</f>
        <v>NP</v>
      </c>
      <c r="E3528" s="65" t="s">
        <v>2483</v>
      </c>
      <c r="F3528" s="83">
        <v>0.5625</v>
      </c>
      <c r="G3528" s="83">
        <v>0.75</v>
      </c>
      <c r="H3528" s="83">
        <v>0.1875</v>
      </c>
      <c r="I3528" s="84">
        <v>44414.0</v>
      </c>
      <c r="J3528" s="65" t="b">
        <v>1</v>
      </c>
      <c r="K3528" s="65"/>
      <c r="L3528" s="85" t="b">
        <f>IF(VLOOKUP(C3528,Projetos!A:L,12,false)=TRUE,TRUE,FALSE)</f>
        <v>1</v>
      </c>
      <c r="M3528" s="74">
        <v>52.48434411075036</v>
      </c>
      <c r="N3528" s="74">
        <f t="shared" si="1"/>
        <v>236.1795485</v>
      </c>
      <c r="O3528" s="74" t="b">
        <v>1</v>
      </c>
    </row>
    <row r="3529" hidden="1">
      <c r="A3529" s="82"/>
      <c r="B3529" s="65" t="s">
        <v>411</v>
      </c>
      <c r="C3529" s="65" t="s">
        <v>117</v>
      </c>
      <c r="D3529" s="65" t="str">
        <f>vlookup(C3529,'Classificação p pessoal'!F:G,2,false)</f>
        <v>NP</v>
      </c>
      <c r="E3529" s="65" t="s">
        <v>2484</v>
      </c>
      <c r="F3529" s="83">
        <v>0.34375</v>
      </c>
      <c r="G3529" s="83">
        <v>0.4583333333333333</v>
      </c>
      <c r="H3529" s="83">
        <v>0.11458333333333333</v>
      </c>
      <c r="I3529" s="84">
        <v>44417.0</v>
      </c>
      <c r="J3529" s="65" t="b">
        <v>1</v>
      </c>
      <c r="K3529" s="65"/>
      <c r="L3529" s="85" t="b">
        <f>IF(VLOOKUP(C3529,Projetos!A:L,12,false)=TRUE,TRUE,FALSE)</f>
        <v>1</v>
      </c>
      <c r="M3529" s="74">
        <v>52.48434411075036</v>
      </c>
      <c r="N3529" s="74">
        <f t="shared" si="1"/>
        <v>144.3319463</v>
      </c>
      <c r="O3529" s="74" t="b">
        <v>1</v>
      </c>
    </row>
    <row r="3530" hidden="1">
      <c r="A3530" s="82"/>
      <c r="B3530" s="65" t="s">
        <v>411</v>
      </c>
      <c r="C3530" s="65" t="s">
        <v>84</v>
      </c>
      <c r="D3530" s="65"/>
      <c r="E3530" s="65" t="s">
        <v>2485</v>
      </c>
      <c r="F3530" s="83">
        <v>0.4791666666666667</v>
      </c>
      <c r="G3530" s="83">
        <v>0.5208333333333334</v>
      </c>
      <c r="H3530" s="83">
        <v>0.041666666666666664</v>
      </c>
      <c r="I3530" s="84">
        <v>44417.0</v>
      </c>
      <c r="J3530" s="65" t="b">
        <v>0</v>
      </c>
      <c r="K3530" s="65" t="s">
        <v>150</v>
      </c>
      <c r="L3530" s="85" t="b">
        <f>IF(VLOOKUP(C3530,Projetos!A:L,12,false)=TRUE,TRUE,FALSE)</f>
        <v>0</v>
      </c>
      <c r="M3530" s="74">
        <v>52.48434411075036</v>
      </c>
      <c r="N3530" s="74">
        <f t="shared" si="1"/>
        <v>0</v>
      </c>
      <c r="O3530" s="74" t="b">
        <v>0</v>
      </c>
    </row>
    <row r="3531" hidden="1">
      <c r="A3531" s="82"/>
      <c r="B3531" s="65" t="s">
        <v>411</v>
      </c>
      <c r="C3531" s="65" t="s">
        <v>92</v>
      </c>
      <c r="D3531" s="65" t="str">
        <f>vlookup(C3531,'Classificação p pessoal'!F:G,2,false)</f>
        <v/>
      </c>
      <c r="E3531" s="65" t="s">
        <v>2486</v>
      </c>
      <c r="F3531" s="83">
        <v>0.5625</v>
      </c>
      <c r="G3531" s="83">
        <v>0.6458333333333334</v>
      </c>
      <c r="H3531" s="83">
        <v>0.08333333333333333</v>
      </c>
      <c r="I3531" s="84">
        <v>44417.0</v>
      </c>
      <c r="J3531" s="65" t="b">
        <v>1</v>
      </c>
      <c r="K3531" s="65"/>
      <c r="L3531" s="85" t="b">
        <f>IF(VLOOKUP(C3531,Projetos!A:L,12,false)=TRUE,TRUE,FALSE)</f>
        <v>1</v>
      </c>
      <c r="M3531" s="74">
        <v>52.48434411075036</v>
      </c>
      <c r="N3531" s="74">
        <f t="shared" si="1"/>
        <v>104.9686882</v>
      </c>
      <c r="O3531" s="74" t="b">
        <v>1</v>
      </c>
    </row>
    <row r="3532" hidden="1">
      <c r="A3532" s="82"/>
      <c r="B3532" s="65" t="s">
        <v>411</v>
      </c>
      <c r="C3532" s="65" t="s">
        <v>119</v>
      </c>
      <c r="D3532" s="65"/>
      <c r="E3532" s="65" t="s">
        <v>2487</v>
      </c>
      <c r="F3532" s="83">
        <v>0.6458333333333334</v>
      </c>
      <c r="G3532" s="83">
        <v>0.75</v>
      </c>
      <c r="H3532" s="83">
        <v>0.10416666666666667</v>
      </c>
      <c r="I3532" s="84">
        <v>44417.0</v>
      </c>
      <c r="J3532" s="65" t="b">
        <v>0</v>
      </c>
      <c r="K3532" s="65" t="s">
        <v>150</v>
      </c>
      <c r="L3532" s="85" t="b">
        <f>IF(VLOOKUP(C3532,Projetos!A:L,12,false)=TRUE,TRUE,FALSE)</f>
        <v>1</v>
      </c>
      <c r="M3532" s="74">
        <v>52.48434411075036</v>
      </c>
      <c r="N3532" s="74">
        <f t="shared" si="1"/>
        <v>0</v>
      </c>
      <c r="O3532" s="74" t="b">
        <v>1</v>
      </c>
    </row>
    <row r="3533" hidden="1">
      <c r="A3533" s="82"/>
      <c r="B3533" s="65" t="s">
        <v>411</v>
      </c>
      <c r="C3533" s="65" t="s">
        <v>117</v>
      </c>
      <c r="D3533" s="65"/>
      <c r="E3533" s="65" t="s">
        <v>615</v>
      </c>
      <c r="F3533" s="83">
        <v>0.34375</v>
      </c>
      <c r="G3533" s="83">
        <v>0.3819444444444444</v>
      </c>
      <c r="H3533" s="83">
        <v>0.03819444444444445</v>
      </c>
      <c r="I3533" s="84">
        <v>44418.0</v>
      </c>
      <c r="J3533" s="65" t="b">
        <v>0</v>
      </c>
      <c r="K3533" s="65" t="s">
        <v>150</v>
      </c>
      <c r="L3533" s="85" t="b">
        <f>IF(VLOOKUP(C3533,Projetos!A:L,12,false)=TRUE,TRUE,FALSE)</f>
        <v>1</v>
      </c>
      <c r="M3533" s="74">
        <v>52.48434411075036</v>
      </c>
      <c r="N3533" s="74">
        <f t="shared" si="1"/>
        <v>0</v>
      </c>
      <c r="O3533" s="74" t="b">
        <v>1</v>
      </c>
    </row>
    <row r="3534" hidden="1">
      <c r="A3534" s="82"/>
      <c r="B3534" s="65" t="s">
        <v>467</v>
      </c>
      <c r="C3534" s="65" t="s">
        <v>113</v>
      </c>
      <c r="D3534" s="65" t="str">
        <f>vlookup(C3534,'Classificação p pessoal'!F:G,2,false)</f>
        <v>NP</v>
      </c>
      <c r="E3534" s="65" t="s">
        <v>2488</v>
      </c>
      <c r="F3534" s="83">
        <v>0.5625</v>
      </c>
      <c r="G3534" s="83">
        <v>0.625</v>
      </c>
      <c r="H3534" s="83">
        <v>0.0625</v>
      </c>
      <c r="I3534" s="84">
        <v>44398.0</v>
      </c>
      <c r="J3534" s="65" t="b">
        <v>1</v>
      </c>
      <c r="K3534" s="65"/>
      <c r="L3534" s="85" t="b">
        <f>IF(VLOOKUP(C3534,Projetos!A:L,12,false)=TRUE,TRUE,FALSE)</f>
        <v>1</v>
      </c>
      <c r="M3534" s="74">
        <v>52.1518759018759</v>
      </c>
      <c r="N3534" s="74">
        <f t="shared" si="1"/>
        <v>78.22781385</v>
      </c>
      <c r="O3534" s="74" t="b">
        <v>1</v>
      </c>
    </row>
    <row r="3535" hidden="1">
      <c r="A3535" s="82"/>
      <c r="B3535" s="65" t="s">
        <v>411</v>
      </c>
      <c r="C3535" s="65" t="s">
        <v>92</v>
      </c>
      <c r="D3535" s="65" t="str">
        <f>vlookup(C3535,'Classificação p pessoal'!F:G,2,false)</f>
        <v/>
      </c>
      <c r="E3535" s="65" t="s">
        <v>2489</v>
      </c>
      <c r="F3535" s="83">
        <v>0.4583333333333333</v>
      </c>
      <c r="G3535" s="83">
        <v>0.4791666666666667</v>
      </c>
      <c r="H3535" s="83">
        <v>0.020833333333333332</v>
      </c>
      <c r="I3535" s="84">
        <v>44418.0</v>
      </c>
      <c r="J3535" s="65" t="b">
        <v>1</v>
      </c>
      <c r="K3535" s="65"/>
      <c r="L3535" s="85" t="b">
        <f>IF(VLOOKUP(C3535,Projetos!A:L,12,false)=TRUE,TRUE,FALSE)</f>
        <v>1</v>
      </c>
      <c r="M3535" s="74">
        <v>52.48434411075036</v>
      </c>
      <c r="N3535" s="74">
        <f t="shared" si="1"/>
        <v>26.24217206</v>
      </c>
      <c r="O3535" s="74" t="b">
        <v>1</v>
      </c>
    </row>
    <row r="3536" hidden="1">
      <c r="A3536" s="82"/>
      <c r="B3536" s="65" t="s">
        <v>495</v>
      </c>
      <c r="C3536" s="65" t="s">
        <v>92</v>
      </c>
      <c r="D3536" s="65" t="str">
        <f>vlookup(C3536,'Classificação p pessoal'!F:G,2,false)</f>
        <v/>
      </c>
      <c r="E3536" s="65" t="s">
        <v>2490</v>
      </c>
      <c r="F3536" s="83">
        <v>0.4583333333333333</v>
      </c>
      <c r="G3536" s="83">
        <v>0.4930555555555556</v>
      </c>
      <c r="H3536" s="83">
        <v>0.034722222222222224</v>
      </c>
      <c r="I3536" s="84">
        <v>44538.0</v>
      </c>
      <c r="J3536" s="65" t="b">
        <v>1</v>
      </c>
      <c r="K3536" s="65"/>
      <c r="L3536" s="85" t="b">
        <f>IF(VLOOKUP(C3536,Projetos!A:L,12,false)=TRUE,TRUE,FALSE)</f>
        <v>1</v>
      </c>
      <c r="M3536" s="74">
        <v>73.7079846079846</v>
      </c>
      <c r="N3536" s="74">
        <f t="shared" si="1"/>
        <v>61.42332051</v>
      </c>
      <c r="O3536" s="74" t="b">
        <v>1</v>
      </c>
    </row>
    <row r="3537" hidden="1">
      <c r="A3537" s="82"/>
      <c r="B3537" s="65" t="s">
        <v>411</v>
      </c>
      <c r="C3537" s="65" t="s">
        <v>92</v>
      </c>
      <c r="D3537" s="65" t="str">
        <f>vlookup(C3537,'Classificação p pessoal'!F:G,2,false)</f>
        <v/>
      </c>
      <c r="E3537" s="65" t="s">
        <v>2469</v>
      </c>
      <c r="F3537" s="83">
        <v>0.5625</v>
      </c>
      <c r="G3537" s="83">
        <v>0.7083333333333334</v>
      </c>
      <c r="H3537" s="83">
        <v>0.14583333333333334</v>
      </c>
      <c r="I3537" s="84">
        <v>44418.0</v>
      </c>
      <c r="J3537" s="65" t="b">
        <v>1</v>
      </c>
      <c r="K3537" s="65"/>
      <c r="L3537" s="85" t="b">
        <f>IF(VLOOKUP(C3537,Projetos!A:L,12,false)=TRUE,TRUE,FALSE)</f>
        <v>1</v>
      </c>
      <c r="M3537" s="74">
        <v>52.48434411075036</v>
      </c>
      <c r="N3537" s="74">
        <f t="shared" si="1"/>
        <v>183.6952044</v>
      </c>
      <c r="O3537" s="74" t="b">
        <v>1</v>
      </c>
    </row>
    <row r="3538" hidden="1">
      <c r="A3538" s="82"/>
      <c r="B3538" s="65" t="s">
        <v>467</v>
      </c>
      <c r="C3538" s="65" t="s">
        <v>120</v>
      </c>
      <c r="D3538" s="65"/>
      <c r="E3538" s="65" t="s">
        <v>2491</v>
      </c>
      <c r="F3538" s="83">
        <v>0.4166666666666667</v>
      </c>
      <c r="G3538" s="83">
        <v>0.4583333333333333</v>
      </c>
      <c r="H3538" s="83">
        <v>0.041666666666666664</v>
      </c>
      <c r="I3538" s="84">
        <v>44370.0</v>
      </c>
      <c r="J3538" s="65" t="b">
        <v>0</v>
      </c>
      <c r="K3538" s="65"/>
      <c r="L3538" s="85" t="b">
        <f>IF(VLOOKUP(C3538,Projetos!A:L,12,false)=TRUE,TRUE,FALSE)</f>
        <v>0</v>
      </c>
      <c r="M3538" s="74">
        <v>52.1518759018759</v>
      </c>
      <c r="N3538" s="74">
        <f t="shared" si="1"/>
        <v>0</v>
      </c>
      <c r="O3538" s="74" t="b">
        <v>0</v>
      </c>
    </row>
    <row r="3539" hidden="1">
      <c r="A3539" s="82"/>
      <c r="B3539" s="65" t="s">
        <v>411</v>
      </c>
      <c r="C3539" s="65" t="s">
        <v>92</v>
      </c>
      <c r="D3539" s="65" t="str">
        <f>vlookup(C3539,'Classificação p pessoal'!F:G,2,false)</f>
        <v/>
      </c>
      <c r="E3539" s="65" t="s">
        <v>2492</v>
      </c>
      <c r="F3539" s="83">
        <v>0.34375</v>
      </c>
      <c r="G3539" s="83">
        <v>0.5208333333333334</v>
      </c>
      <c r="H3539" s="83">
        <v>0.17708333333333334</v>
      </c>
      <c r="I3539" s="84">
        <v>44419.0</v>
      </c>
      <c r="J3539" s="65" t="b">
        <v>1</v>
      </c>
      <c r="K3539" s="65"/>
      <c r="L3539" s="85" t="b">
        <f>IF(VLOOKUP(C3539,Projetos!A:L,12,false)=TRUE,TRUE,FALSE)</f>
        <v>1</v>
      </c>
      <c r="M3539" s="74">
        <v>52.48434411075036</v>
      </c>
      <c r="N3539" s="74">
        <f t="shared" si="1"/>
        <v>223.0584625</v>
      </c>
      <c r="O3539" s="74" t="b">
        <v>1</v>
      </c>
    </row>
    <row r="3540" hidden="1">
      <c r="A3540" s="82"/>
      <c r="B3540" s="65" t="s">
        <v>411</v>
      </c>
      <c r="C3540" s="65" t="s">
        <v>117</v>
      </c>
      <c r="D3540" s="65" t="str">
        <f>vlookup(C3540,'Classificação p pessoal'!F:G,2,false)</f>
        <v>NP</v>
      </c>
      <c r="E3540" s="65" t="s">
        <v>2493</v>
      </c>
      <c r="F3540" s="83">
        <v>0.5625</v>
      </c>
      <c r="G3540" s="83">
        <v>0.75</v>
      </c>
      <c r="H3540" s="83">
        <v>0.1875</v>
      </c>
      <c r="I3540" s="84">
        <v>44419.0</v>
      </c>
      <c r="J3540" s="65" t="b">
        <v>1</v>
      </c>
      <c r="K3540" s="65"/>
      <c r="L3540" s="85" t="b">
        <f>IF(VLOOKUP(C3540,Projetos!A:L,12,false)=TRUE,TRUE,FALSE)</f>
        <v>1</v>
      </c>
      <c r="M3540" s="74">
        <v>52.48434411075036</v>
      </c>
      <c r="N3540" s="74">
        <f t="shared" si="1"/>
        <v>236.1795485</v>
      </c>
      <c r="O3540" s="74" t="b">
        <v>1</v>
      </c>
    </row>
    <row r="3541" hidden="1">
      <c r="A3541" s="82"/>
      <c r="B3541" s="65" t="s">
        <v>411</v>
      </c>
      <c r="C3541" s="65" t="s">
        <v>92</v>
      </c>
      <c r="D3541" s="65" t="str">
        <f>vlookup(C3541,'Classificação p pessoal'!F:G,2,false)</f>
        <v/>
      </c>
      <c r="E3541" s="65" t="s">
        <v>2492</v>
      </c>
      <c r="F3541" s="83">
        <v>0.34375</v>
      </c>
      <c r="G3541" s="83">
        <v>0.5625</v>
      </c>
      <c r="H3541" s="83">
        <v>0.21875</v>
      </c>
      <c r="I3541" s="84">
        <v>44420.0</v>
      </c>
      <c r="J3541" s="65" t="b">
        <v>1</v>
      </c>
      <c r="K3541" s="65"/>
      <c r="L3541" s="85" t="b">
        <f>IF(VLOOKUP(C3541,Projetos!A:L,12,false)=TRUE,TRUE,FALSE)</f>
        <v>1</v>
      </c>
      <c r="M3541" s="74">
        <v>52.48434411075036</v>
      </c>
      <c r="N3541" s="74">
        <f t="shared" si="1"/>
        <v>275.5428066</v>
      </c>
      <c r="O3541" s="74" t="b">
        <v>1</v>
      </c>
    </row>
    <row r="3542" hidden="1">
      <c r="A3542" s="82"/>
      <c r="B3542" s="65" t="s">
        <v>411</v>
      </c>
      <c r="C3542" s="65" t="s">
        <v>114</v>
      </c>
      <c r="D3542" s="65" t="str">
        <f>vlookup(C3542,'Classificação p pessoal'!F:G,2,false)</f>
        <v>NP</v>
      </c>
      <c r="E3542" s="65" t="s">
        <v>2494</v>
      </c>
      <c r="F3542" s="83">
        <v>0.6041666666666666</v>
      </c>
      <c r="G3542" s="83">
        <v>0.6458333333333334</v>
      </c>
      <c r="H3542" s="83">
        <v>0.041666666666666664</v>
      </c>
      <c r="I3542" s="84">
        <v>44420.0</v>
      </c>
      <c r="J3542" s="65" t="b">
        <v>1</v>
      </c>
      <c r="K3542" s="65"/>
      <c r="L3542" s="85" t="b">
        <f>IF(VLOOKUP(C3542,Projetos!A:L,12,false)=TRUE,TRUE,FALSE)</f>
        <v>1</v>
      </c>
      <c r="M3542" s="74">
        <v>52.48434411075036</v>
      </c>
      <c r="N3542" s="74">
        <f t="shared" si="1"/>
        <v>52.48434411</v>
      </c>
      <c r="O3542" s="74" t="b">
        <v>1</v>
      </c>
    </row>
    <row r="3543" hidden="1">
      <c r="A3543" s="82"/>
      <c r="B3543" s="65" t="s">
        <v>411</v>
      </c>
      <c r="C3543" s="65" t="s">
        <v>109</v>
      </c>
      <c r="D3543" s="65" t="str">
        <f>vlookup(C3543,'Classificação p pessoal'!F:G,2,false)</f>
        <v>NP</v>
      </c>
      <c r="E3543" s="65" t="s">
        <v>2480</v>
      </c>
      <c r="F3543" s="83">
        <v>0.6458333333333334</v>
      </c>
      <c r="G3543" s="83">
        <v>0.6875</v>
      </c>
      <c r="H3543" s="83">
        <v>0.041666666666666664</v>
      </c>
      <c r="I3543" s="84">
        <v>44420.0</v>
      </c>
      <c r="J3543" s="65" t="b">
        <v>1</v>
      </c>
      <c r="K3543" s="65"/>
      <c r="L3543" s="85" t="b">
        <f>IF(VLOOKUP(C3543,Projetos!A:L,12,false)=TRUE,TRUE,FALSE)</f>
        <v>1</v>
      </c>
      <c r="M3543" s="74">
        <v>52.48434411075036</v>
      </c>
      <c r="N3543" s="74">
        <f t="shared" si="1"/>
        <v>52.48434411</v>
      </c>
      <c r="O3543" s="74" t="b">
        <v>1</v>
      </c>
    </row>
    <row r="3544" hidden="1">
      <c r="A3544" s="82"/>
      <c r="B3544" s="65" t="s">
        <v>411</v>
      </c>
      <c r="C3544" s="65" t="s">
        <v>117</v>
      </c>
      <c r="D3544" s="65" t="str">
        <f>vlookup(C3544,'Classificação p pessoal'!F:G,2,false)</f>
        <v>NP</v>
      </c>
      <c r="E3544" s="65" t="s">
        <v>2495</v>
      </c>
      <c r="F3544" s="83">
        <v>0.6875</v>
      </c>
      <c r="G3544" s="83">
        <v>0.75</v>
      </c>
      <c r="H3544" s="83">
        <v>0.0625</v>
      </c>
      <c r="I3544" s="84">
        <v>44420.0</v>
      </c>
      <c r="J3544" s="65" t="b">
        <v>1</v>
      </c>
      <c r="K3544" s="65"/>
      <c r="L3544" s="85" t="b">
        <f>IF(VLOOKUP(C3544,Projetos!A:L,12,false)=TRUE,TRUE,FALSE)</f>
        <v>1</v>
      </c>
      <c r="M3544" s="74">
        <v>52.48434411075036</v>
      </c>
      <c r="N3544" s="74">
        <f t="shared" si="1"/>
        <v>78.72651617</v>
      </c>
      <c r="O3544" s="74" t="b">
        <v>1</v>
      </c>
    </row>
    <row r="3545" hidden="1">
      <c r="A3545" s="82"/>
      <c r="B3545" s="65" t="s">
        <v>411</v>
      </c>
      <c r="C3545" s="65" t="s">
        <v>114</v>
      </c>
      <c r="D3545" s="65" t="str">
        <f>vlookup(C3545,'Classificação p pessoal'!F:G,2,false)</f>
        <v>NP</v>
      </c>
      <c r="E3545" s="65" t="s">
        <v>2494</v>
      </c>
      <c r="F3545" s="83">
        <v>0.34375</v>
      </c>
      <c r="G3545" s="83">
        <v>0.3645833333333333</v>
      </c>
      <c r="H3545" s="83">
        <v>0.020833333333333332</v>
      </c>
      <c r="I3545" s="84">
        <v>44421.0</v>
      </c>
      <c r="J3545" s="65" t="b">
        <v>1</v>
      </c>
      <c r="K3545" s="65"/>
      <c r="L3545" s="85" t="b">
        <f>IF(VLOOKUP(C3545,Projetos!A:L,12,false)=TRUE,TRUE,FALSE)</f>
        <v>1</v>
      </c>
      <c r="M3545" s="74">
        <v>52.48434411075036</v>
      </c>
      <c r="N3545" s="74">
        <f t="shared" si="1"/>
        <v>26.24217206</v>
      </c>
      <c r="O3545" s="74" t="b">
        <v>1</v>
      </c>
    </row>
    <row r="3546" hidden="1">
      <c r="A3546" s="82"/>
      <c r="B3546" s="65" t="s">
        <v>411</v>
      </c>
      <c r="C3546" s="65" t="s">
        <v>109</v>
      </c>
      <c r="D3546" s="65" t="str">
        <f>vlookup(C3546,'Classificação p pessoal'!F:G,2,false)</f>
        <v>NP</v>
      </c>
      <c r="E3546" s="65" t="s">
        <v>2480</v>
      </c>
      <c r="F3546" s="83">
        <v>0.3645833333333333</v>
      </c>
      <c r="G3546" s="83">
        <v>0.4166666666666667</v>
      </c>
      <c r="H3546" s="83">
        <v>0.052083333333333336</v>
      </c>
      <c r="I3546" s="84">
        <v>44421.0</v>
      </c>
      <c r="J3546" s="65" t="b">
        <v>1</v>
      </c>
      <c r="K3546" s="65"/>
      <c r="L3546" s="85" t="b">
        <f>IF(VLOOKUP(C3546,Projetos!A:L,12,false)=TRUE,TRUE,FALSE)</f>
        <v>1</v>
      </c>
      <c r="M3546" s="74">
        <v>52.48434411075036</v>
      </c>
      <c r="N3546" s="74">
        <f t="shared" si="1"/>
        <v>65.60543014</v>
      </c>
      <c r="O3546" s="74" t="b">
        <v>1</v>
      </c>
    </row>
    <row r="3547" hidden="1">
      <c r="A3547" s="82"/>
      <c r="B3547" s="65" t="s">
        <v>411</v>
      </c>
      <c r="C3547" s="65" t="s">
        <v>92</v>
      </c>
      <c r="D3547" s="65" t="str">
        <f>vlookup(C3547,'Classificação p pessoal'!F:G,2,false)</f>
        <v/>
      </c>
      <c r="E3547" s="65" t="s">
        <v>2496</v>
      </c>
      <c r="F3547" s="83">
        <v>0.4166666666666667</v>
      </c>
      <c r="G3547" s="83">
        <v>0.4791666666666667</v>
      </c>
      <c r="H3547" s="83">
        <v>0.0625</v>
      </c>
      <c r="I3547" s="84">
        <v>44421.0</v>
      </c>
      <c r="J3547" s="65" t="b">
        <v>1</v>
      </c>
      <c r="K3547" s="65"/>
      <c r="L3547" s="85" t="b">
        <f>IF(VLOOKUP(C3547,Projetos!A:L,12,false)=TRUE,TRUE,FALSE)</f>
        <v>1</v>
      </c>
      <c r="M3547" s="74">
        <v>52.48434411075036</v>
      </c>
      <c r="N3547" s="74">
        <f t="shared" si="1"/>
        <v>78.72651617</v>
      </c>
      <c r="O3547" s="74" t="b">
        <v>1</v>
      </c>
    </row>
    <row r="3548" hidden="1">
      <c r="A3548" s="82"/>
      <c r="B3548" s="65" t="s">
        <v>411</v>
      </c>
      <c r="C3548" s="65" t="s">
        <v>117</v>
      </c>
      <c r="D3548" s="65" t="str">
        <f>vlookup(C3548,'Classificação p pessoal'!F:G,2,false)</f>
        <v>NP</v>
      </c>
      <c r="E3548" s="65" t="s">
        <v>2497</v>
      </c>
      <c r="F3548" s="83">
        <v>0.4791666666666667</v>
      </c>
      <c r="G3548" s="83">
        <v>0.5208333333333334</v>
      </c>
      <c r="H3548" s="83">
        <v>0.041666666666666664</v>
      </c>
      <c r="I3548" s="84">
        <v>44421.0</v>
      </c>
      <c r="J3548" s="65" t="b">
        <v>1</v>
      </c>
      <c r="K3548" s="65"/>
      <c r="L3548" s="85" t="b">
        <f>IF(VLOOKUP(C3548,Projetos!A:L,12,false)=TRUE,TRUE,FALSE)</f>
        <v>1</v>
      </c>
      <c r="M3548" s="74">
        <v>52.48434411075036</v>
      </c>
      <c r="N3548" s="74">
        <f t="shared" si="1"/>
        <v>52.48434411</v>
      </c>
      <c r="O3548" s="74" t="b">
        <v>1</v>
      </c>
    </row>
    <row r="3549" hidden="1">
      <c r="A3549" s="82"/>
      <c r="B3549" s="65" t="s">
        <v>467</v>
      </c>
      <c r="C3549" s="65" t="s">
        <v>84</v>
      </c>
      <c r="D3549" s="65"/>
      <c r="E3549" s="65" t="s">
        <v>2498</v>
      </c>
      <c r="F3549" s="83">
        <v>0.4166666666666667</v>
      </c>
      <c r="G3549" s="83">
        <v>0.4583333333333333</v>
      </c>
      <c r="H3549" s="83">
        <v>0.041666666666666664</v>
      </c>
      <c r="I3549" s="84">
        <v>44539.0</v>
      </c>
      <c r="J3549" s="65" t="b">
        <v>0</v>
      </c>
      <c r="K3549" s="65"/>
      <c r="L3549" s="85" t="b">
        <f>IF(VLOOKUP(C3549,Projetos!A:L,12,false)=TRUE,TRUE,FALSE)</f>
        <v>0</v>
      </c>
      <c r="M3549" s="74">
        <v>52.1518759018759</v>
      </c>
      <c r="N3549" s="74">
        <f t="shared" si="1"/>
        <v>0</v>
      </c>
      <c r="O3549" s="74" t="b">
        <v>0</v>
      </c>
    </row>
    <row r="3550" hidden="1">
      <c r="A3550" s="82"/>
      <c r="B3550" s="65" t="s">
        <v>411</v>
      </c>
      <c r="C3550" s="65" t="s">
        <v>109</v>
      </c>
      <c r="D3550" s="65"/>
      <c r="E3550" s="65" t="s">
        <v>2499</v>
      </c>
      <c r="F3550" s="83">
        <v>0.6666666666666666</v>
      </c>
      <c r="G3550" s="83">
        <v>0.7291666666666666</v>
      </c>
      <c r="H3550" s="83">
        <v>0.0625</v>
      </c>
      <c r="I3550" s="84">
        <v>44421.0</v>
      </c>
      <c r="J3550" s="65" t="b">
        <v>0</v>
      </c>
      <c r="K3550" s="65" t="s">
        <v>150</v>
      </c>
      <c r="L3550" s="85" t="b">
        <f>IF(VLOOKUP(C3550,Projetos!A:L,12,false)=TRUE,TRUE,FALSE)</f>
        <v>1</v>
      </c>
      <c r="M3550" s="74">
        <v>52.48434411075036</v>
      </c>
      <c r="N3550" s="74">
        <f t="shared" si="1"/>
        <v>0</v>
      </c>
      <c r="O3550" s="74" t="b">
        <v>1</v>
      </c>
    </row>
    <row r="3551" hidden="1">
      <c r="A3551" s="82"/>
      <c r="B3551" s="65" t="s">
        <v>411</v>
      </c>
      <c r="C3551" s="65" t="s">
        <v>92</v>
      </c>
      <c r="D3551" s="65" t="str">
        <f>vlookup(C3551,'Classificação p pessoal'!F:G,2,false)</f>
        <v/>
      </c>
      <c r="E3551" s="65" t="s">
        <v>2500</v>
      </c>
      <c r="F3551" s="83">
        <v>0.34375</v>
      </c>
      <c r="G3551" s="83">
        <v>0.4166666666666667</v>
      </c>
      <c r="H3551" s="83">
        <v>0.07291666666666667</v>
      </c>
      <c r="I3551" s="84">
        <v>44424.0</v>
      </c>
      <c r="J3551" s="65" t="b">
        <v>1</v>
      </c>
      <c r="K3551" s="65"/>
      <c r="L3551" s="85" t="b">
        <f>IF(VLOOKUP(C3551,Projetos!A:L,12,false)=TRUE,TRUE,FALSE)</f>
        <v>1</v>
      </c>
      <c r="M3551" s="74">
        <v>52.48434411075036</v>
      </c>
      <c r="N3551" s="74">
        <f t="shared" si="1"/>
        <v>91.84760219</v>
      </c>
      <c r="O3551" s="74" t="b">
        <v>1</v>
      </c>
    </row>
    <row r="3552" hidden="1">
      <c r="A3552" s="82"/>
      <c r="B3552" s="65" t="s">
        <v>411</v>
      </c>
      <c r="C3552" s="65" t="s">
        <v>109</v>
      </c>
      <c r="D3552" s="65" t="str">
        <f>vlookup(C3552,'Classificação p pessoal'!F:G,2,false)</f>
        <v>NP</v>
      </c>
      <c r="E3552" s="65" t="s">
        <v>2501</v>
      </c>
      <c r="F3552" s="83">
        <v>0.4583333333333333</v>
      </c>
      <c r="G3552" s="83">
        <v>0.5416666666666666</v>
      </c>
      <c r="H3552" s="83">
        <v>0.08333333333333333</v>
      </c>
      <c r="I3552" s="84">
        <v>44424.0</v>
      </c>
      <c r="J3552" s="65" t="b">
        <v>1</v>
      </c>
      <c r="K3552" s="65"/>
      <c r="L3552" s="85" t="b">
        <f>IF(VLOOKUP(C3552,Projetos!A:L,12,false)=TRUE,TRUE,FALSE)</f>
        <v>1</v>
      </c>
      <c r="M3552" s="74">
        <v>52.48434411075036</v>
      </c>
      <c r="N3552" s="74">
        <f t="shared" si="1"/>
        <v>104.9686882</v>
      </c>
      <c r="O3552" s="74" t="b">
        <v>1</v>
      </c>
    </row>
    <row r="3553" hidden="1">
      <c r="A3553" s="82"/>
      <c r="B3553" s="65" t="s">
        <v>411</v>
      </c>
      <c r="C3553" s="65" t="s">
        <v>92</v>
      </c>
      <c r="D3553" s="65" t="str">
        <f>vlookup(C3553,'Classificação p pessoal'!F:G,2,false)</f>
        <v/>
      </c>
      <c r="E3553" s="65" t="s">
        <v>2502</v>
      </c>
      <c r="F3553" s="83">
        <v>0.5833333333333334</v>
      </c>
      <c r="G3553" s="83">
        <v>0.625</v>
      </c>
      <c r="H3553" s="83">
        <v>0.041666666666666664</v>
      </c>
      <c r="I3553" s="84">
        <v>44424.0</v>
      </c>
      <c r="J3553" s="65" t="b">
        <v>1</v>
      </c>
      <c r="K3553" s="65"/>
      <c r="L3553" s="85" t="b">
        <f>IF(VLOOKUP(C3553,Projetos!A:L,12,false)=TRUE,TRUE,FALSE)</f>
        <v>1</v>
      </c>
      <c r="M3553" s="74">
        <v>52.48434411075036</v>
      </c>
      <c r="N3553" s="74">
        <f t="shared" si="1"/>
        <v>52.48434411</v>
      </c>
      <c r="O3553" s="74" t="b">
        <v>1</v>
      </c>
    </row>
    <row r="3554" hidden="1">
      <c r="A3554" s="82"/>
      <c r="B3554" s="65" t="s">
        <v>177</v>
      </c>
      <c r="C3554" s="65" t="s">
        <v>91</v>
      </c>
      <c r="D3554" s="65" t="str">
        <f>vlookup(C3554,'Classificação p pessoal'!F:G,2,false)</f>
        <v>NP</v>
      </c>
      <c r="E3554" s="65" t="s">
        <v>2503</v>
      </c>
      <c r="F3554" s="83">
        <v>0.5833333333333334</v>
      </c>
      <c r="G3554" s="83">
        <v>0.625</v>
      </c>
      <c r="H3554" s="83">
        <v>0.041666666666666664</v>
      </c>
      <c r="I3554" s="84">
        <v>44421.0</v>
      </c>
      <c r="J3554" s="65" t="b">
        <v>1</v>
      </c>
      <c r="K3554" s="65"/>
      <c r="L3554" s="85" t="b">
        <f>IF(VLOOKUP(C3554,Projetos!A:L,12,false)=TRUE,TRUE,FALSE)</f>
        <v>1</v>
      </c>
      <c r="M3554" s="74">
        <v>31.02923620430495</v>
      </c>
      <c r="N3554" s="74">
        <f t="shared" si="1"/>
        <v>31.0292362</v>
      </c>
      <c r="O3554" s="74" t="b">
        <v>1</v>
      </c>
    </row>
    <row r="3555" hidden="1">
      <c r="A3555" s="82"/>
      <c r="B3555" s="65" t="s">
        <v>411</v>
      </c>
      <c r="C3555" s="65" t="s">
        <v>117</v>
      </c>
      <c r="D3555" s="65" t="str">
        <f>vlookup(C3555,'Classificação p pessoal'!F:G,2,false)</f>
        <v>NP</v>
      </c>
      <c r="E3555" s="65" t="s">
        <v>2504</v>
      </c>
      <c r="F3555" s="83">
        <v>0.6666666666666666</v>
      </c>
      <c r="G3555" s="83">
        <v>0.75</v>
      </c>
      <c r="H3555" s="83">
        <v>0.08333333333333333</v>
      </c>
      <c r="I3555" s="84">
        <v>44424.0</v>
      </c>
      <c r="J3555" s="65" t="b">
        <v>1</v>
      </c>
      <c r="K3555" s="65"/>
      <c r="L3555" s="85" t="b">
        <f>IF(VLOOKUP(C3555,Projetos!A:L,12,false)=TRUE,TRUE,FALSE)</f>
        <v>1</v>
      </c>
      <c r="M3555" s="74">
        <v>52.48434411075036</v>
      </c>
      <c r="N3555" s="74">
        <f t="shared" si="1"/>
        <v>104.9686882</v>
      </c>
      <c r="O3555" s="74" t="b">
        <v>1</v>
      </c>
    </row>
    <row r="3556" hidden="1">
      <c r="A3556" s="82"/>
      <c r="B3556" s="65" t="s">
        <v>411</v>
      </c>
      <c r="C3556" s="65" t="s">
        <v>114</v>
      </c>
      <c r="D3556" s="65" t="str">
        <f>vlookup(C3556,'Classificação p pessoal'!F:G,2,false)</f>
        <v>NP</v>
      </c>
      <c r="E3556" s="65" t="s">
        <v>2505</v>
      </c>
      <c r="F3556" s="83">
        <v>0.34375</v>
      </c>
      <c r="G3556" s="83">
        <v>0.3541666666666667</v>
      </c>
      <c r="H3556" s="83">
        <v>0.010416666666666666</v>
      </c>
      <c r="I3556" s="84">
        <v>44425.0</v>
      </c>
      <c r="J3556" s="65" t="b">
        <v>1</v>
      </c>
      <c r="K3556" s="65"/>
      <c r="L3556" s="85" t="b">
        <f>IF(VLOOKUP(C3556,Projetos!A:L,12,false)=TRUE,TRUE,FALSE)</f>
        <v>1</v>
      </c>
      <c r="M3556" s="74">
        <v>52.48434411075036</v>
      </c>
      <c r="N3556" s="74">
        <f t="shared" si="1"/>
        <v>13.12108603</v>
      </c>
      <c r="O3556" s="74" t="b">
        <v>1</v>
      </c>
    </row>
    <row r="3557" hidden="1">
      <c r="A3557" s="82"/>
      <c r="B3557" s="65" t="s">
        <v>411</v>
      </c>
      <c r="C3557" s="65" t="s">
        <v>105</v>
      </c>
      <c r="D3557" s="65" t="str">
        <f>vlookup(C3557,'Classificação p pessoal'!F:G,2,false)</f>
        <v>NP</v>
      </c>
      <c r="E3557" s="65" t="s">
        <v>2506</v>
      </c>
      <c r="F3557" s="83">
        <v>0.3541666666666667</v>
      </c>
      <c r="G3557" s="83">
        <v>0.3958333333333333</v>
      </c>
      <c r="H3557" s="83">
        <v>0.041666666666666664</v>
      </c>
      <c r="I3557" s="84">
        <v>44425.0</v>
      </c>
      <c r="J3557" s="65" t="b">
        <v>1</v>
      </c>
      <c r="K3557" s="65"/>
      <c r="L3557" s="85" t="b">
        <f>IF(VLOOKUP(C3557,Projetos!A:L,12,false)=TRUE,TRUE,FALSE)</f>
        <v>1</v>
      </c>
      <c r="M3557" s="74">
        <v>52.48434411075036</v>
      </c>
      <c r="N3557" s="74">
        <f t="shared" si="1"/>
        <v>52.48434411</v>
      </c>
      <c r="O3557" s="74" t="b">
        <v>1</v>
      </c>
    </row>
    <row r="3558" hidden="1">
      <c r="A3558" s="82"/>
      <c r="B3558" s="65" t="s">
        <v>411</v>
      </c>
      <c r="C3558" s="65" t="s">
        <v>117</v>
      </c>
      <c r="D3558" s="65" t="str">
        <f>vlookup(C3558,'Classificação p pessoal'!F:G,2,false)</f>
        <v>NP</v>
      </c>
      <c r="E3558" s="65" t="s">
        <v>2507</v>
      </c>
      <c r="F3558" s="83">
        <v>0.3958333333333333</v>
      </c>
      <c r="G3558" s="83">
        <v>0.4583333333333333</v>
      </c>
      <c r="H3558" s="83">
        <v>0.0625</v>
      </c>
      <c r="I3558" s="84">
        <v>44425.0</v>
      </c>
      <c r="J3558" s="65" t="b">
        <v>1</v>
      </c>
      <c r="K3558" s="65"/>
      <c r="L3558" s="85" t="b">
        <f>IF(VLOOKUP(C3558,Projetos!A:L,12,false)=TRUE,TRUE,FALSE)</f>
        <v>1</v>
      </c>
      <c r="M3558" s="74">
        <v>52.48434411075036</v>
      </c>
      <c r="N3558" s="74">
        <f t="shared" si="1"/>
        <v>78.72651617</v>
      </c>
      <c r="O3558" s="74" t="b">
        <v>1</v>
      </c>
    </row>
    <row r="3559" hidden="1">
      <c r="A3559" s="82"/>
      <c r="B3559" s="65" t="s">
        <v>411</v>
      </c>
      <c r="C3559" s="65" t="s">
        <v>125</v>
      </c>
      <c r="D3559" s="65" t="str">
        <f>vlookup(C3559,'Classificação p pessoal'!F:G,2,false)</f>
        <v>MProduto</v>
      </c>
      <c r="E3559" s="65" t="s">
        <v>2508</v>
      </c>
      <c r="F3559" s="83">
        <v>0.4583333333333333</v>
      </c>
      <c r="G3559" s="83">
        <v>0.5416666666666666</v>
      </c>
      <c r="H3559" s="83">
        <v>0.08333333333333333</v>
      </c>
      <c r="I3559" s="84">
        <v>44425.0</v>
      </c>
      <c r="J3559" s="65" t="b">
        <v>1</v>
      </c>
      <c r="K3559" s="65"/>
      <c r="L3559" s="85" t="b">
        <f>IF(VLOOKUP(C3559,Projetos!A:L,12,false)=TRUE,TRUE,FALSE)</f>
        <v>1</v>
      </c>
      <c r="M3559" s="74">
        <v>52.48434411075036</v>
      </c>
      <c r="N3559" s="74">
        <f t="shared" si="1"/>
        <v>104.9686882</v>
      </c>
      <c r="O3559" s="74" t="b">
        <v>1</v>
      </c>
    </row>
    <row r="3560" hidden="1">
      <c r="A3560" s="82"/>
      <c r="B3560" s="65" t="s">
        <v>411</v>
      </c>
      <c r="C3560" s="65" t="s">
        <v>117</v>
      </c>
      <c r="D3560" s="65" t="str">
        <f>vlookup(C3560,'Classificação p pessoal'!F:G,2,false)</f>
        <v>NP</v>
      </c>
      <c r="E3560" s="65" t="s">
        <v>2509</v>
      </c>
      <c r="F3560" s="83">
        <v>0.5833333333333334</v>
      </c>
      <c r="G3560" s="83">
        <v>0.7083333333333334</v>
      </c>
      <c r="H3560" s="83">
        <v>0.125</v>
      </c>
      <c r="I3560" s="84">
        <v>44425.0</v>
      </c>
      <c r="J3560" s="65" t="b">
        <v>1</v>
      </c>
      <c r="K3560" s="65"/>
      <c r="L3560" s="85" t="b">
        <f>IF(VLOOKUP(C3560,Projetos!A:L,12,false)=TRUE,TRUE,FALSE)</f>
        <v>1</v>
      </c>
      <c r="M3560" s="74">
        <v>52.48434411075036</v>
      </c>
      <c r="N3560" s="74">
        <f t="shared" si="1"/>
        <v>157.4530323</v>
      </c>
      <c r="O3560" s="74" t="b">
        <v>1</v>
      </c>
    </row>
    <row r="3561" hidden="1">
      <c r="A3561" s="82"/>
      <c r="B3561" s="65" t="s">
        <v>411</v>
      </c>
      <c r="C3561" s="65" t="s">
        <v>117</v>
      </c>
      <c r="D3561" s="65" t="str">
        <f>vlookup(C3561,'Classificação p pessoal'!F:G,2,false)</f>
        <v>NP</v>
      </c>
      <c r="E3561" s="65" t="s">
        <v>2510</v>
      </c>
      <c r="F3561" s="83">
        <v>0.34375</v>
      </c>
      <c r="G3561" s="83">
        <v>0.5</v>
      </c>
      <c r="H3561" s="83">
        <v>0.15625</v>
      </c>
      <c r="I3561" s="84">
        <v>44426.0</v>
      </c>
      <c r="J3561" s="65" t="b">
        <v>1</v>
      </c>
      <c r="K3561" s="65"/>
      <c r="L3561" s="85" t="b">
        <f>IF(VLOOKUP(C3561,Projetos!A:L,12,false)=TRUE,TRUE,FALSE)</f>
        <v>1</v>
      </c>
      <c r="M3561" s="74">
        <v>52.48434411075036</v>
      </c>
      <c r="N3561" s="74">
        <f t="shared" si="1"/>
        <v>196.8162904</v>
      </c>
      <c r="O3561" s="74" t="b">
        <v>1</v>
      </c>
    </row>
    <row r="3562" hidden="1">
      <c r="A3562" s="82"/>
      <c r="B3562" s="65" t="s">
        <v>411</v>
      </c>
      <c r="C3562" s="65" t="s">
        <v>117</v>
      </c>
      <c r="D3562" s="65" t="str">
        <f>vlookup(C3562,'Classificação p pessoal'!F:G,2,false)</f>
        <v>NP</v>
      </c>
      <c r="E3562" s="65" t="s">
        <v>2511</v>
      </c>
      <c r="F3562" s="83">
        <v>0.5416666666666666</v>
      </c>
      <c r="G3562" s="83">
        <v>0.75</v>
      </c>
      <c r="H3562" s="83">
        <v>0.20833333333333334</v>
      </c>
      <c r="I3562" s="84">
        <v>44426.0</v>
      </c>
      <c r="J3562" s="65" t="b">
        <v>1</v>
      </c>
      <c r="K3562" s="65"/>
      <c r="L3562" s="85" t="b">
        <f>IF(VLOOKUP(C3562,Projetos!A:L,12,false)=TRUE,TRUE,FALSE)</f>
        <v>1</v>
      </c>
      <c r="M3562" s="74">
        <v>52.48434411075036</v>
      </c>
      <c r="N3562" s="74">
        <f t="shared" si="1"/>
        <v>262.4217206</v>
      </c>
      <c r="O3562" s="74" t="b">
        <v>1</v>
      </c>
    </row>
    <row r="3563">
      <c r="A3563" s="82"/>
      <c r="B3563" s="65" t="s">
        <v>177</v>
      </c>
      <c r="C3563" s="65" t="s">
        <v>108</v>
      </c>
      <c r="D3563" s="65" t="str">
        <f>vlookup(C3563,'Classificação p pessoal'!F:G,2,false)</f>
        <v>NP</v>
      </c>
      <c r="E3563" s="65" t="s">
        <v>2512</v>
      </c>
      <c r="F3563" s="83">
        <v>0.46875</v>
      </c>
      <c r="G3563" s="83">
        <v>0.5104166666666666</v>
      </c>
      <c r="H3563" s="83">
        <v>0.041666666666666664</v>
      </c>
      <c r="I3563" s="84">
        <v>44378.0</v>
      </c>
      <c r="J3563" s="65" t="b">
        <v>1</v>
      </c>
      <c r="K3563" s="65"/>
      <c r="L3563" s="85" t="b">
        <f>IF(VLOOKUP(C3563,Projetos!A:L,12,false)=TRUE,TRUE,FALSE)</f>
        <v>1</v>
      </c>
      <c r="M3563" s="74">
        <v>31.02923620430495</v>
      </c>
      <c r="N3563" s="74">
        <f t="shared" si="1"/>
        <v>31.0292362</v>
      </c>
      <c r="O3563" s="74" t="b">
        <v>1</v>
      </c>
    </row>
    <row r="3564" hidden="1">
      <c r="A3564" s="82"/>
      <c r="B3564" s="65" t="s">
        <v>411</v>
      </c>
      <c r="C3564" s="65" t="s">
        <v>117</v>
      </c>
      <c r="D3564" s="65" t="str">
        <f>vlookup(C3564,'Classificação p pessoal'!F:G,2,false)</f>
        <v>NP</v>
      </c>
      <c r="E3564" s="65" t="s">
        <v>2513</v>
      </c>
      <c r="F3564" s="83">
        <v>0.5833333333333334</v>
      </c>
      <c r="G3564" s="83">
        <v>0.75</v>
      </c>
      <c r="H3564" s="83">
        <v>0.16666666666666666</v>
      </c>
      <c r="I3564" s="84">
        <v>44427.0</v>
      </c>
      <c r="J3564" s="65" t="b">
        <v>1</v>
      </c>
      <c r="K3564" s="65"/>
      <c r="L3564" s="85" t="b">
        <f>IF(VLOOKUP(C3564,Projetos!A:L,12,false)=TRUE,TRUE,FALSE)</f>
        <v>1</v>
      </c>
      <c r="M3564" s="74">
        <v>52.48434411075036</v>
      </c>
      <c r="N3564" s="74">
        <f t="shared" si="1"/>
        <v>209.9373764</v>
      </c>
      <c r="O3564" s="74" t="b">
        <v>1</v>
      </c>
    </row>
    <row r="3565" hidden="1">
      <c r="A3565" s="82"/>
      <c r="B3565" s="65" t="s">
        <v>411</v>
      </c>
      <c r="C3565" s="65" t="s">
        <v>92</v>
      </c>
      <c r="D3565" s="65" t="str">
        <f>vlookup(C3565,'Classificação p pessoal'!F:G,2,false)</f>
        <v/>
      </c>
      <c r="E3565" s="65" t="s">
        <v>2514</v>
      </c>
      <c r="F3565" s="83">
        <v>0.34375</v>
      </c>
      <c r="G3565" s="83">
        <v>0.375</v>
      </c>
      <c r="H3565" s="83">
        <v>0.03125</v>
      </c>
      <c r="I3565" s="84">
        <v>44428.0</v>
      </c>
      <c r="J3565" s="65" t="b">
        <v>1</v>
      </c>
      <c r="K3565" s="65"/>
      <c r="L3565" s="85" t="b">
        <f>IF(VLOOKUP(C3565,Projetos!A:L,12,false)=TRUE,TRUE,FALSE)</f>
        <v>1</v>
      </c>
      <c r="M3565" s="74">
        <v>52.48434411075036</v>
      </c>
      <c r="N3565" s="74">
        <f t="shared" si="1"/>
        <v>39.36325808</v>
      </c>
      <c r="O3565" s="74" t="b">
        <v>1</v>
      </c>
    </row>
    <row r="3566" hidden="1">
      <c r="A3566" s="82"/>
      <c r="B3566" s="65" t="s">
        <v>411</v>
      </c>
      <c r="C3566" s="65" t="s">
        <v>117</v>
      </c>
      <c r="D3566" s="65" t="str">
        <f>vlookup(C3566,'Classificação p pessoal'!F:G,2,false)</f>
        <v>NP</v>
      </c>
      <c r="E3566" s="65" t="s">
        <v>2515</v>
      </c>
      <c r="F3566" s="83">
        <v>0.375</v>
      </c>
      <c r="G3566" s="83">
        <v>0.4375</v>
      </c>
      <c r="H3566" s="83">
        <v>0.0625</v>
      </c>
      <c r="I3566" s="84">
        <v>44428.0</v>
      </c>
      <c r="J3566" s="65" t="b">
        <v>1</v>
      </c>
      <c r="K3566" s="65"/>
      <c r="L3566" s="85" t="b">
        <f>IF(VLOOKUP(C3566,Projetos!A:L,12,false)=TRUE,TRUE,FALSE)</f>
        <v>1</v>
      </c>
      <c r="M3566" s="74">
        <v>52.48434411075036</v>
      </c>
      <c r="N3566" s="74">
        <f t="shared" si="1"/>
        <v>78.72651617</v>
      </c>
      <c r="O3566" s="74" t="b">
        <v>1</v>
      </c>
    </row>
    <row r="3567" hidden="1">
      <c r="A3567" s="82"/>
      <c r="B3567" s="65" t="s">
        <v>411</v>
      </c>
      <c r="C3567" s="65" t="s">
        <v>128</v>
      </c>
      <c r="D3567" s="65" t="str">
        <f>vlookup(C3567,'Classificação p pessoal'!F:G,2,false)</f>
        <v>NP</v>
      </c>
      <c r="E3567" s="65" t="s">
        <v>2516</v>
      </c>
      <c r="F3567" s="83">
        <v>0.4375</v>
      </c>
      <c r="G3567" s="83">
        <v>0.5</v>
      </c>
      <c r="H3567" s="83">
        <v>0.0625</v>
      </c>
      <c r="I3567" s="84">
        <v>44428.0</v>
      </c>
      <c r="J3567" s="65" t="b">
        <v>1</v>
      </c>
      <c r="K3567" s="65"/>
      <c r="L3567" s="85" t="b">
        <f>IF(VLOOKUP(C3567,Projetos!A:L,12,false)=TRUE,TRUE,FALSE)</f>
        <v>1</v>
      </c>
      <c r="M3567" s="74">
        <v>52.48434411075036</v>
      </c>
      <c r="N3567" s="74">
        <f t="shared" si="1"/>
        <v>78.72651617</v>
      </c>
      <c r="O3567" s="74" t="b">
        <v>1</v>
      </c>
    </row>
    <row r="3568" hidden="1">
      <c r="A3568" s="82"/>
      <c r="B3568" s="65" t="s">
        <v>411</v>
      </c>
      <c r="C3568" s="65" t="s">
        <v>117</v>
      </c>
      <c r="D3568" s="65"/>
      <c r="E3568" s="65" t="s">
        <v>2517</v>
      </c>
      <c r="F3568" s="83">
        <v>0.5</v>
      </c>
      <c r="G3568" s="83">
        <v>0.6041666666666666</v>
      </c>
      <c r="H3568" s="83">
        <v>0.10416666666666667</v>
      </c>
      <c r="I3568" s="84">
        <v>44428.0</v>
      </c>
      <c r="J3568" s="65" t="b">
        <v>0</v>
      </c>
      <c r="K3568" s="65" t="s">
        <v>150</v>
      </c>
      <c r="L3568" s="85" t="b">
        <f>IF(VLOOKUP(C3568,Projetos!A:L,12,false)=TRUE,TRUE,FALSE)</f>
        <v>1</v>
      </c>
      <c r="M3568" s="74">
        <v>52.48434411075036</v>
      </c>
      <c r="N3568" s="74">
        <f t="shared" si="1"/>
        <v>0</v>
      </c>
      <c r="O3568" s="74" t="b">
        <v>1</v>
      </c>
    </row>
    <row r="3569" hidden="1">
      <c r="A3569" s="82"/>
      <c r="B3569" s="65" t="s">
        <v>469</v>
      </c>
      <c r="C3569" s="65" t="s">
        <v>152</v>
      </c>
      <c r="D3569" s="65" t="str">
        <f>vlookup(C3569,'Classificação p pessoal'!F:G,2,false)</f>
        <v>MProduto</v>
      </c>
      <c r="E3569" s="65" t="s">
        <v>2518</v>
      </c>
      <c r="F3569" s="83">
        <v>0.6458333333333334</v>
      </c>
      <c r="G3569" s="83">
        <v>0.7083333333333334</v>
      </c>
      <c r="H3569" s="83">
        <v>0.0625</v>
      </c>
      <c r="I3569" s="84">
        <v>44440.0</v>
      </c>
      <c r="J3569" s="65" t="b">
        <v>1</v>
      </c>
      <c r="K3569" s="65"/>
      <c r="L3569" s="85" t="b">
        <f>IF(VLOOKUP(C3569,Projetos!A:L,12,false)=TRUE,TRUE,FALSE)</f>
        <v>1</v>
      </c>
      <c r="M3569" s="74">
        <v>37.50928062469937</v>
      </c>
      <c r="N3569" s="74">
        <f t="shared" si="1"/>
        <v>56.26392094</v>
      </c>
      <c r="O3569" s="74" t="b">
        <v>1</v>
      </c>
    </row>
    <row r="3570" hidden="1">
      <c r="A3570" s="82"/>
      <c r="B3570" s="65" t="s">
        <v>411</v>
      </c>
      <c r="C3570" s="65" t="s">
        <v>92</v>
      </c>
      <c r="D3570" s="65" t="str">
        <f>vlookup(C3570,'Classificação p pessoal'!F:G,2,false)</f>
        <v/>
      </c>
      <c r="E3570" s="65" t="s">
        <v>2519</v>
      </c>
      <c r="F3570" s="83">
        <v>0.6875</v>
      </c>
      <c r="G3570" s="83">
        <v>0.75</v>
      </c>
      <c r="H3570" s="83">
        <v>0.0625</v>
      </c>
      <c r="I3570" s="84">
        <v>44428.0</v>
      </c>
      <c r="J3570" s="65" t="b">
        <v>1</v>
      </c>
      <c r="K3570" s="65"/>
      <c r="L3570" s="85" t="b">
        <f>IF(VLOOKUP(C3570,Projetos!A:L,12,false)=TRUE,TRUE,FALSE)</f>
        <v>1</v>
      </c>
      <c r="M3570" s="74">
        <v>52.48434411075036</v>
      </c>
      <c r="N3570" s="74">
        <f t="shared" si="1"/>
        <v>78.72651617</v>
      </c>
      <c r="O3570" s="74" t="b">
        <v>1</v>
      </c>
    </row>
    <row r="3571" hidden="1">
      <c r="A3571" s="82"/>
      <c r="B3571" s="65" t="s">
        <v>411</v>
      </c>
      <c r="C3571" s="65" t="s">
        <v>117</v>
      </c>
      <c r="D3571" s="65" t="str">
        <f>vlookup(C3571,'Classificação p pessoal'!F:G,2,false)</f>
        <v>NP</v>
      </c>
      <c r="E3571" s="65" t="s">
        <v>2520</v>
      </c>
      <c r="F3571" s="83">
        <v>0.3333333333333333</v>
      </c>
      <c r="G3571" s="83">
        <v>0.75</v>
      </c>
      <c r="H3571" s="83">
        <v>0.4166666666666667</v>
      </c>
      <c r="I3571" s="84">
        <v>44431.0</v>
      </c>
      <c r="J3571" s="65" t="b">
        <v>1</v>
      </c>
      <c r="K3571" s="65"/>
      <c r="L3571" s="85" t="b">
        <f>IF(VLOOKUP(C3571,Projetos!A:L,12,false)=TRUE,TRUE,FALSE)</f>
        <v>1</v>
      </c>
      <c r="M3571" s="74">
        <v>52.48434411075036</v>
      </c>
      <c r="N3571" s="74">
        <f t="shared" si="1"/>
        <v>524.8434411</v>
      </c>
      <c r="O3571" s="74" t="b">
        <v>1</v>
      </c>
    </row>
    <row r="3572" hidden="1">
      <c r="A3572" s="82"/>
      <c r="B3572" s="65" t="s">
        <v>411</v>
      </c>
      <c r="C3572" s="65" t="s">
        <v>117</v>
      </c>
      <c r="D3572" s="65" t="str">
        <f>vlookup(C3572,'Classificação p pessoal'!F:G,2,false)</f>
        <v>NP</v>
      </c>
      <c r="E3572" s="65" t="s">
        <v>2521</v>
      </c>
      <c r="F3572" s="83">
        <v>0.3333333333333333</v>
      </c>
      <c r="G3572" s="83">
        <v>0.75</v>
      </c>
      <c r="H3572" s="83">
        <v>0.4166666666666667</v>
      </c>
      <c r="I3572" s="84">
        <v>44432.0</v>
      </c>
      <c r="J3572" s="65" t="b">
        <v>1</v>
      </c>
      <c r="K3572" s="65"/>
      <c r="L3572" s="85" t="b">
        <f>IF(VLOOKUP(C3572,Projetos!A:L,12,false)=TRUE,TRUE,FALSE)</f>
        <v>1</v>
      </c>
      <c r="M3572" s="74">
        <v>52.48434411075036</v>
      </c>
      <c r="N3572" s="74">
        <f t="shared" si="1"/>
        <v>524.8434411</v>
      </c>
      <c r="O3572" s="74" t="b">
        <v>1</v>
      </c>
    </row>
    <row r="3573" hidden="1">
      <c r="A3573" s="82"/>
      <c r="B3573" s="65" t="s">
        <v>411</v>
      </c>
      <c r="C3573" s="65" t="s">
        <v>117</v>
      </c>
      <c r="D3573" s="65" t="str">
        <f>vlookup(C3573,'Classificação p pessoal'!F:G,2,false)</f>
        <v>NP</v>
      </c>
      <c r="E3573" s="65" t="s">
        <v>2522</v>
      </c>
      <c r="F3573" s="83">
        <v>0.3333333333333333</v>
      </c>
      <c r="G3573" s="83">
        <v>0.75</v>
      </c>
      <c r="H3573" s="83">
        <v>0.4166666666666667</v>
      </c>
      <c r="I3573" s="84">
        <v>44433.0</v>
      </c>
      <c r="J3573" s="65" t="b">
        <v>1</v>
      </c>
      <c r="K3573" s="65"/>
      <c r="L3573" s="85" t="b">
        <f>IF(VLOOKUP(C3573,Projetos!A:L,12,false)=TRUE,TRUE,FALSE)</f>
        <v>1</v>
      </c>
      <c r="M3573" s="74">
        <v>52.48434411075036</v>
      </c>
      <c r="N3573" s="74">
        <f t="shared" si="1"/>
        <v>524.8434411</v>
      </c>
      <c r="O3573" s="74" t="b">
        <v>1</v>
      </c>
    </row>
    <row r="3574" hidden="1">
      <c r="A3574" s="82"/>
      <c r="B3574" s="65" t="s">
        <v>411</v>
      </c>
      <c r="C3574" s="65" t="s">
        <v>117</v>
      </c>
      <c r="D3574" s="65" t="str">
        <f>vlookup(C3574,'Classificação p pessoal'!F:G,2,false)</f>
        <v>NP</v>
      </c>
      <c r="E3574" s="65" t="s">
        <v>2523</v>
      </c>
      <c r="F3574" s="83">
        <v>0.3333333333333333</v>
      </c>
      <c r="G3574" s="83">
        <v>0.75</v>
      </c>
      <c r="H3574" s="83">
        <v>0.4166666666666667</v>
      </c>
      <c r="I3574" s="84">
        <v>44434.0</v>
      </c>
      <c r="J3574" s="65" t="b">
        <v>1</v>
      </c>
      <c r="K3574" s="65"/>
      <c r="L3574" s="85" t="b">
        <f>IF(VLOOKUP(C3574,Projetos!A:L,12,false)=TRUE,TRUE,FALSE)</f>
        <v>1</v>
      </c>
      <c r="M3574" s="74">
        <v>52.48434411075036</v>
      </c>
      <c r="N3574" s="74">
        <f t="shared" si="1"/>
        <v>524.8434411</v>
      </c>
      <c r="O3574" s="74" t="b">
        <v>1</v>
      </c>
    </row>
    <row r="3575" hidden="1">
      <c r="A3575" s="82"/>
      <c r="B3575" s="65" t="s">
        <v>411</v>
      </c>
      <c r="C3575" s="65" t="s">
        <v>117</v>
      </c>
      <c r="D3575" s="65"/>
      <c r="E3575" s="65" t="s">
        <v>2524</v>
      </c>
      <c r="F3575" s="83">
        <v>0.34375</v>
      </c>
      <c r="G3575" s="83">
        <v>0.5833333333333334</v>
      </c>
      <c r="H3575" s="83">
        <v>0.23958333333333334</v>
      </c>
      <c r="I3575" s="84">
        <v>44435.0</v>
      </c>
      <c r="J3575" s="65" t="b">
        <v>0</v>
      </c>
      <c r="K3575" s="65" t="s">
        <v>150</v>
      </c>
      <c r="L3575" s="85" t="b">
        <f>IF(VLOOKUP(C3575,Projetos!A:L,12,false)=TRUE,TRUE,FALSE)</f>
        <v>1</v>
      </c>
      <c r="M3575" s="74">
        <v>52.48434411075036</v>
      </c>
      <c r="N3575" s="74">
        <f t="shared" si="1"/>
        <v>0</v>
      </c>
      <c r="O3575" s="74" t="b">
        <v>1</v>
      </c>
    </row>
    <row r="3576" hidden="1">
      <c r="A3576" s="82"/>
      <c r="B3576" s="65" t="s">
        <v>411</v>
      </c>
      <c r="C3576" s="65" t="s">
        <v>117</v>
      </c>
      <c r="D3576" s="65"/>
      <c r="E3576" s="65" t="s">
        <v>2524</v>
      </c>
      <c r="F3576" s="83">
        <v>0.625</v>
      </c>
      <c r="G3576" s="83">
        <v>0.6666666666666666</v>
      </c>
      <c r="H3576" s="83">
        <v>0.041666666666666664</v>
      </c>
      <c r="I3576" s="84">
        <v>44435.0</v>
      </c>
      <c r="J3576" s="65" t="b">
        <v>0</v>
      </c>
      <c r="K3576" s="65" t="s">
        <v>150</v>
      </c>
      <c r="L3576" s="85" t="b">
        <f>IF(VLOOKUP(C3576,Projetos!A:L,12,false)=TRUE,TRUE,FALSE)</f>
        <v>1</v>
      </c>
      <c r="M3576" s="74">
        <v>52.48434411075036</v>
      </c>
      <c r="N3576" s="74">
        <f t="shared" si="1"/>
        <v>0</v>
      </c>
      <c r="O3576" s="74" t="b">
        <v>1</v>
      </c>
    </row>
    <row r="3577" hidden="1">
      <c r="A3577" s="82"/>
      <c r="B3577" s="65" t="s">
        <v>411</v>
      </c>
      <c r="C3577" s="65" t="s">
        <v>120</v>
      </c>
      <c r="D3577" s="65"/>
      <c r="E3577" s="65" t="s">
        <v>2525</v>
      </c>
      <c r="F3577" s="83">
        <v>0.6666666666666666</v>
      </c>
      <c r="G3577" s="83">
        <v>0.7291666666666666</v>
      </c>
      <c r="H3577" s="83">
        <v>0.0625</v>
      </c>
      <c r="I3577" s="84">
        <v>44435.0</v>
      </c>
      <c r="J3577" s="65" t="b">
        <v>0</v>
      </c>
      <c r="K3577" s="65"/>
      <c r="L3577" s="85" t="b">
        <f>IF(VLOOKUP(C3577,Projetos!A:L,12,false)=TRUE,TRUE,FALSE)</f>
        <v>0</v>
      </c>
      <c r="M3577" s="74">
        <v>52.48434411075036</v>
      </c>
      <c r="N3577" s="74">
        <f t="shared" si="1"/>
        <v>0</v>
      </c>
      <c r="O3577" s="74" t="b">
        <v>0</v>
      </c>
    </row>
    <row r="3578" hidden="1">
      <c r="A3578" s="82"/>
      <c r="B3578" s="65" t="s">
        <v>411</v>
      </c>
      <c r="C3578" s="65" t="s">
        <v>117</v>
      </c>
      <c r="D3578" s="65" t="str">
        <f>vlookup(C3578,'Classificação p pessoal'!F:G,2,false)</f>
        <v>NP</v>
      </c>
      <c r="E3578" s="65" t="s">
        <v>2526</v>
      </c>
      <c r="F3578" s="83">
        <v>0.34375</v>
      </c>
      <c r="G3578" s="83">
        <v>0.4166666666666667</v>
      </c>
      <c r="H3578" s="83">
        <v>0.07291666666666667</v>
      </c>
      <c r="I3578" s="84">
        <v>44438.0</v>
      </c>
      <c r="J3578" s="65" t="b">
        <v>1</v>
      </c>
      <c r="K3578" s="65"/>
      <c r="L3578" s="85" t="b">
        <f>IF(VLOOKUP(C3578,Projetos!A:L,12,false)=TRUE,TRUE,FALSE)</f>
        <v>1</v>
      </c>
      <c r="M3578" s="74">
        <v>52.48434411075036</v>
      </c>
      <c r="N3578" s="74">
        <f t="shared" si="1"/>
        <v>91.84760219</v>
      </c>
      <c r="O3578" s="74" t="b">
        <v>1</v>
      </c>
    </row>
    <row r="3579" hidden="1">
      <c r="A3579" s="82"/>
      <c r="B3579" s="65" t="s">
        <v>411</v>
      </c>
      <c r="C3579" s="65" t="s">
        <v>109</v>
      </c>
      <c r="D3579" s="65" t="str">
        <f>vlookup(C3579,'Classificação p pessoal'!F:G,2,false)</f>
        <v>NP</v>
      </c>
      <c r="E3579" s="65" t="s">
        <v>2527</v>
      </c>
      <c r="F3579" s="83">
        <v>0.4166666666666667</v>
      </c>
      <c r="G3579" s="83">
        <v>0.4583333333333333</v>
      </c>
      <c r="H3579" s="83">
        <v>0.041666666666666664</v>
      </c>
      <c r="I3579" s="84">
        <v>44438.0</v>
      </c>
      <c r="J3579" s="65" t="b">
        <v>1</v>
      </c>
      <c r="K3579" s="65"/>
      <c r="L3579" s="85" t="b">
        <f>IF(VLOOKUP(C3579,Projetos!A:L,12,false)=TRUE,TRUE,FALSE)</f>
        <v>1</v>
      </c>
      <c r="M3579" s="74">
        <v>52.48434411075036</v>
      </c>
      <c r="N3579" s="74">
        <f t="shared" si="1"/>
        <v>52.48434411</v>
      </c>
      <c r="O3579" s="74" t="b">
        <v>1</v>
      </c>
    </row>
    <row r="3580" hidden="1">
      <c r="A3580" s="82"/>
      <c r="B3580" s="65" t="s">
        <v>411</v>
      </c>
      <c r="C3580" s="65" t="s">
        <v>117</v>
      </c>
      <c r="D3580" s="65" t="str">
        <f>vlookup(C3580,'Classificação p pessoal'!F:G,2,false)</f>
        <v>NP</v>
      </c>
      <c r="E3580" s="65" t="s">
        <v>2528</v>
      </c>
      <c r="F3580" s="83">
        <v>0.4583333333333333</v>
      </c>
      <c r="G3580" s="83">
        <v>0.5416666666666666</v>
      </c>
      <c r="H3580" s="83">
        <v>0.08333333333333333</v>
      </c>
      <c r="I3580" s="84">
        <v>44438.0</v>
      </c>
      <c r="J3580" s="65" t="b">
        <v>1</v>
      </c>
      <c r="K3580" s="65"/>
      <c r="L3580" s="85" t="b">
        <f>IF(VLOOKUP(C3580,Projetos!A:L,12,false)=TRUE,TRUE,FALSE)</f>
        <v>1</v>
      </c>
      <c r="M3580" s="74">
        <v>52.48434411075036</v>
      </c>
      <c r="N3580" s="74">
        <f t="shared" si="1"/>
        <v>104.9686882</v>
      </c>
      <c r="O3580" s="74" t="b">
        <v>1</v>
      </c>
    </row>
    <row r="3581" hidden="1">
      <c r="A3581" s="82"/>
      <c r="B3581" s="65" t="s">
        <v>177</v>
      </c>
      <c r="C3581" s="65" t="s">
        <v>106</v>
      </c>
      <c r="D3581" s="65" t="str">
        <f>vlookup(C3581,'Classificação p pessoal'!F:G,2,false)</f>
        <v>MProcesso</v>
      </c>
      <c r="E3581" s="65" t="s">
        <v>2529</v>
      </c>
      <c r="F3581" s="83">
        <v>0.6979166666666666</v>
      </c>
      <c r="G3581" s="83">
        <v>0.7395833333333334</v>
      </c>
      <c r="H3581" s="83">
        <v>0.041666666666666664</v>
      </c>
      <c r="I3581" s="84">
        <v>44370.0</v>
      </c>
      <c r="J3581" s="65" t="b">
        <v>1</v>
      </c>
      <c r="K3581" s="65"/>
      <c r="L3581" s="85" t="b">
        <f>IF(VLOOKUP(C3581,Projetos!A:L,12,false)=TRUE,TRUE,FALSE)</f>
        <v>1</v>
      </c>
      <c r="M3581" s="74">
        <v>31.02923620430495</v>
      </c>
      <c r="N3581" s="74">
        <f t="shared" si="1"/>
        <v>31.0292362</v>
      </c>
      <c r="O3581" s="74" t="b">
        <v>1</v>
      </c>
    </row>
    <row r="3582" hidden="1">
      <c r="A3582" s="82"/>
      <c r="B3582" s="65" t="s">
        <v>411</v>
      </c>
      <c r="C3582" s="65" t="s">
        <v>120</v>
      </c>
      <c r="D3582" s="65"/>
      <c r="E3582" s="65" t="s">
        <v>2530</v>
      </c>
      <c r="F3582" s="83">
        <v>0.6458333333333334</v>
      </c>
      <c r="G3582" s="83">
        <v>0.75</v>
      </c>
      <c r="H3582" s="83">
        <v>0.10416666666666667</v>
      </c>
      <c r="I3582" s="84">
        <v>44438.0</v>
      </c>
      <c r="J3582" s="65" t="b">
        <v>0</v>
      </c>
      <c r="K3582" s="65" t="s">
        <v>150</v>
      </c>
      <c r="L3582" s="85" t="b">
        <f>IF(VLOOKUP(C3582,Projetos!A:L,12,false)=TRUE,TRUE,FALSE)</f>
        <v>0</v>
      </c>
      <c r="M3582" s="74">
        <v>52.48434411075036</v>
      </c>
      <c r="N3582" s="74">
        <f t="shared" si="1"/>
        <v>0</v>
      </c>
      <c r="O3582" s="74" t="b">
        <v>0</v>
      </c>
    </row>
    <row r="3583" hidden="1">
      <c r="A3583" s="82"/>
      <c r="B3583" s="65" t="s">
        <v>411</v>
      </c>
      <c r="C3583" s="65" t="s">
        <v>117</v>
      </c>
      <c r="D3583" s="65" t="str">
        <f>vlookup(C3583,'Classificação p pessoal'!F:G,2,false)</f>
        <v>NP</v>
      </c>
      <c r="E3583" s="65" t="s">
        <v>2167</v>
      </c>
      <c r="F3583" s="83">
        <v>0.34375</v>
      </c>
      <c r="G3583" s="83">
        <v>0.3958333333333333</v>
      </c>
      <c r="H3583" s="83">
        <v>0.052083333333333336</v>
      </c>
      <c r="I3583" s="84">
        <v>44439.0</v>
      </c>
      <c r="J3583" s="65" t="b">
        <v>1</v>
      </c>
      <c r="K3583" s="65"/>
      <c r="L3583" s="85" t="b">
        <f>IF(VLOOKUP(C3583,Projetos!A:L,12,false)=TRUE,TRUE,FALSE)</f>
        <v>1</v>
      </c>
      <c r="M3583" s="74">
        <v>52.48434411075036</v>
      </c>
      <c r="N3583" s="74">
        <f t="shared" si="1"/>
        <v>65.60543014</v>
      </c>
      <c r="O3583" s="74" t="b">
        <v>1</v>
      </c>
    </row>
    <row r="3584" hidden="1">
      <c r="A3584" s="82"/>
      <c r="B3584" s="65" t="s">
        <v>411</v>
      </c>
      <c r="C3584" s="65" t="s">
        <v>125</v>
      </c>
      <c r="D3584" s="65" t="str">
        <f>vlookup(C3584,'Classificação p pessoal'!F:G,2,false)</f>
        <v>MProduto</v>
      </c>
      <c r="E3584" s="65" t="s">
        <v>2531</v>
      </c>
      <c r="F3584" s="83">
        <v>0.3958333333333333</v>
      </c>
      <c r="G3584" s="83">
        <v>0.4375</v>
      </c>
      <c r="H3584" s="83">
        <v>0.041666666666666664</v>
      </c>
      <c r="I3584" s="84">
        <v>44439.0</v>
      </c>
      <c r="J3584" s="65" t="b">
        <v>1</v>
      </c>
      <c r="K3584" s="65"/>
      <c r="L3584" s="85" t="b">
        <f>IF(VLOOKUP(C3584,Projetos!A:L,12,false)=TRUE,TRUE,FALSE)</f>
        <v>1</v>
      </c>
      <c r="M3584" s="74">
        <v>52.48434411075036</v>
      </c>
      <c r="N3584" s="74">
        <f t="shared" si="1"/>
        <v>52.48434411</v>
      </c>
      <c r="O3584" s="74" t="b">
        <v>1</v>
      </c>
    </row>
    <row r="3585" hidden="1">
      <c r="A3585" s="82"/>
      <c r="B3585" s="65" t="s">
        <v>411</v>
      </c>
      <c r="C3585" s="65" t="s">
        <v>114</v>
      </c>
      <c r="D3585" s="65" t="str">
        <f>vlookup(C3585,'Classificação p pessoal'!F:G,2,false)</f>
        <v>NP</v>
      </c>
      <c r="E3585" s="65" t="s">
        <v>2532</v>
      </c>
      <c r="F3585" s="83">
        <v>0.4375</v>
      </c>
      <c r="G3585" s="83">
        <v>0.4791666666666667</v>
      </c>
      <c r="H3585" s="83">
        <v>0.041666666666666664</v>
      </c>
      <c r="I3585" s="84">
        <v>44439.0</v>
      </c>
      <c r="J3585" s="65" t="b">
        <v>1</v>
      </c>
      <c r="K3585" s="65"/>
      <c r="L3585" s="85" t="b">
        <f>IF(VLOOKUP(C3585,Projetos!A:L,12,false)=TRUE,TRUE,FALSE)</f>
        <v>1</v>
      </c>
      <c r="M3585" s="74">
        <v>52.48434411075036</v>
      </c>
      <c r="N3585" s="74">
        <f t="shared" si="1"/>
        <v>52.48434411</v>
      </c>
      <c r="O3585" s="74" t="b">
        <v>1</v>
      </c>
    </row>
    <row r="3586" hidden="1">
      <c r="A3586" s="82"/>
      <c r="B3586" s="65" t="s">
        <v>411</v>
      </c>
      <c r="C3586" s="65" t="s">
        <v>117</v>
      </c>
      <c r="D3586" s="65" t="str">
        <f>vlookup(C3586,'Classificação p pessoal'!F:G,2,false)</f>
        <v>NP</v>
      </c>
      <c r="E3586" s="65" t="s">
        <v>2533</v>
      </c>
      <c r="F3586" s="83">
        <v>0.4791666666666667</v>
      </c>
      <c r="G3586" s="83">
        <v>0.5833333333333334</v>
      </c>
      <c r="H3586" s="83">
        <v>0.10416666666666667</v>
      </c>
      <c r="I3586" s="84">
        <v>44439.0</v>
      </c>
      <c r="J3586" s="65" t="b">
        <v>1</v>
      </c>
      <c r="K3586" s="65"/>
      <c r="L3586" s="85" t="b">
        <f>IF(VLOOKUP(C3586,Projetos!A:L,12,false)=TRUE,TRUE,FALSE)</f>
        <v>1</v>
      </c>
      <c r="M3586" s="74">
        <v>52.48434411075036</v>
      </c>
      <c r="N3586" s="74">
        <f t="shared" si="1"/>
        <v>131.2108603</v>
      </c>
      <c r="O3586" s="74" t="b">
        <v>1</v>
      </c>
    </row>
    <row r="3587" hidden="1">
      <c r="A3587" s="82"/>
      <c r="B3587" s="65" t="s">
        <v>411</v>
      </c>
      <c r="C3587" s="65" t="s">
        <v>117</v>
      </c>
      <c r="D3587" s="65" t="str">
        <f>vlookup(C3587,'Classificação p pessoal'!F:G,2,false)</f>
        <v>NP</v>
      </c>
      <c r="E3587" s="65" t="s">
        <v>2534</v>
      </c>
      <c r="F3587" s="83">
        <v>0.625</v>
      </c>
      <c r="G3587" s="83">
        <v>0.6875</v>
      </c>
      <c r="H3587" s="83">
        <v>0.0625</v>
      </c>
      <c r="I3587" s="84">
        <v>44439.0</v>
      </c>
      <c r="J3587" s="65" t="b">
        <v>1</v>
      </c>
      <c r="K3587" s="65"/>
      <c r="L3587" s="85" t="b">
        <f>IF(VLOOKUP(C3587,Projetos!A:L,12,false)=TRUE,TRUE,FALSE)</f>
        <v>1</v>
      </c>
      <c r="M3587" s="74">
        <v>52.48434411075036</v>
      </c>
      <c r="N3587" s="74">
        <f t="shared" si="1"/>
        <v>78.72651617</v>
      </c>
      <c r="O3587" s="74" t="b">
        <v>1</v>
      </c>
    </row>
    <row r="3588" hidden="1">
      <c r="A3588" s="82"/>
      <c r="B3588" s="65" t="s">
        <v>411</v>
      </c>
      <c r="C3588" s="65" t="s">
        <v>92</v>
      </c>
      <c r="D3588" s="65" t="str">
        <f>vlookup(C3588,'Classificação p pessoal'!F:G,2,false)</f>
        <v/>
      </c>
      <c r="E3588" s="65" t="s">
        <v>2471</v>
      </c>
      <c r="F3588" s="83">
        <v>0.6875</v>
      </c>
      <c r="G3588" s="83">
        <v>0.75</v>
      </c>
      <c r="H3588" s="83">
        <v>0.0625</v>
      </c>
      <c r="I3588" s="84">
        <v>44439.0</v>
      </c>
      <c r="J3588" s="65" t="b">
        <v>1</v>
      </c>
      <c r="K3588" s="65"/>
      <c r="L3588" s="85" t="b">
        <f>IF(VLOOKUP(C3588,Projetos!A:L,12,false)=TRUE,TRUE,FALSE)</f>
        <v>1</v>
      </c>
      <c r="M3588" s="74">
        <v>52.48434411075036</v>
      </c>
      <c r="N3588" s="74">
        <f t="shared" si="1"/>
        <v>78.72651617</v>
      </c>
      <c r="O3588" s="74" t="b">
        <v>1</v>
      </c>
    </row>
    <row r="3589" hidden="1">
      <c r="A3589" s="82"/>
      <c r="B3589" s="65" t="s">
        <v>411</v>
      </c>
      <c r="C3589" s="65" t="s">
        <v>132</v>
      </c>
      <c r="D3589" s="65"/>
      <c r="E3589" s="65" t="s">
        <v>2535</v>
      </c>
      <c r="F3589" s="83">
        <v>0.34375</v>
      </c>
      <c r="G3589" s="83">
        <v>0.3854166666666667</v>
      </c>
      <c r="H3589" s="83">
        <v>0.041666666666666664</v>
      </c>
      <c r="I3589" s="84">
        <v>44440.0</v>
      </c>
      <c r="J3589" s="65" t="b">
        <v>1</v>
      </c>
      <c r="K3589" s="65"/>
      <c r="L3589" s="85" t="b">
        <f>IF(VLOOKUP(C3589,Projetos!A:L,12,false)=TRUE,TRUE,FALSE)</f>
        <v>0</v>
      </c>
      <c r="M3589" s="74">
        <v>52.48434411075036</v>
      </c>
      <c r="N3589" s="74">
        <f t="shared" si="1"/>
        <v>0</v>
      </c>
      <c r="O3589" s="74" t="b">
        <v>0</v>
      </c>
    </row>
    <row r="3590" hidden="1">
      <c r="A3590" s="82"/>
      <c r="B3590" s="65" t="s">
        <v>411</v>
      </c>
      <c r="C3590" s="65" t="s">
        <v>117</v>
      </c>
      <c r="D3590" s="65"/>
      <c r="E3590" s="65" t="s">
        <v>2536</v>
      </c>
      <c r="F3590" s="83">
        <v>0.3854166666666667</v>
      </c>
      <c r="G3590" s="83">
        <v>0.5416666666666666</v>
      </c>
      <c r="H3590" s="83">
        <v>0.15625</v>
      </c>
      <c r="I3590" s="84">
        <v>44440.0</v>
      </c>
      <c r="J3590" s="65" t="b">
        <v>0</v>
      </c>
      <c r="K3590" s="65" t="s">
        <v>150</v>
      </c>
      <c r="L3590" s="85" t="b">
        <f>IF(VLOOKUP(C3590,Projetos!A:L,12,false)=TRUE,TRUE,FALSE)</f>
        <v>1</v>
      </c>
      <c r="M3590" s="74">
        <v>52.48434411075036</v>
      </c>
      <c r="N3590" s="74">
        <f t="shared" si="1"/>
        <v>0</v>
      </c>
      <c r="O3590" s="74" t="b">
        <v>1</v>
      </c>
    </row>
    <row r="3591" hidden="1">
      <c r="A3591" s="82"/>
      <c r="B3591" s="65" t="s">
        <v>411</v>
      </c>
      <c r="C3591" s="65" t="s">
        <v>119</v>
      </c>
      <c r="D3591" s="65"/>
      <c r="E3591" s="65" t="s">
        <v>2537</v>
      </c>
      <c r="F3591" s="83">
        <v>0.5833333333333334</v>
      </c>
      <c r="G3591" s="83">
        <v>0.625</v>
      </c>
      <c r="H3591" s="83">
        <v>0.041666666666666664</v>
      </c>
      <c r="I3591" s="84">
        <v>44440.0</v>
      </c>
      <c r="J3591" s="65" t="b">
        <v>0</v>
      </c>
      <c r="K3591" s="65" t="s">
        <v>150</v>
      </c>
      <c r="L3591" s="85" t="b">
        <f>IF(VLOOKUP(C3591,Projetos!A:L,12,false)=TRUE,TRUE,FALSE)</f>
        <v>1</v>
      </c>
      <c r="M3591" s="74">
        <v>52.48434411075036</v>
      </c>
      <c r="N3591" s="74">
        <f t="shared" si="1"/>
        <v>0</v>
      </c>
      <c r="O3591" s="74" t="b">
        <v>1</v>
      </c>
    </row>
    <row r="3592" hidden="1">
      <c r="A3592" s="82"/>
      <c r="B3592" s="65" t="s">
        <v>411</v>
      </c>
      <c r="C3592" s="65" t="s">
        <v>92</v>
      </c>
      <c r="D3592" s="65" t="str">
        <f>vlookup(C3592,'Classificação p pessoal'!F:G,2,false)</f>
        <v/>
      </c>
      <c r="E3592" s="65" t="s">
        <v>2538</v>
      </c>
      <c r="F3592" s="83">
        <v>0.625</v>
      </c>
      <c r="G3592" s="83">
        <v>0.6666666666666666</v>
      </c>
      <c r="H3592" s="83">
        <v>0.041666666666666664</v>
      </c>
      <c r="I3592" s="84">
        <v>44440.0</v>
      </c>
      <c r="J3592" s="65" t="b">
        <v>1</v>
      </c>
      <c r="K3592" s="65"/>
      <c r="L3592" s="85" t="b">
        <f>IF(VLOOKUP(C3592,Projetos!A:L,12,false)=TRUE,TRUE,FALSE)</f>
        <v>1</v>
      </c>
      <c r="M3592" s="74">
        <v>52.48434411075036</v>
      </c>
      <c r="N3592" s="74">
        <f t="shared" si="1"/>
        <v>52.48434411</v>
      </c>
      <c r="O3592" s="74" t="b">
        <v>1</v>
      </c>
    </row>
    <row r="3593" hidden="1">
      <c r="A3593" s="82"/>
      <c r="B3593" s="65" t="s">
        <v>411</v>
      </c>
      <c r="C3593" s="65" t="s">
        <v>117</v>
      </c>
      <c r="D3593" s="65" t="str">
        <f>vlookup(C3593,'Classificação p pessoal'!F:G,2,false)</f>
        <v>NP</v>
      </c>
      <c r="E3593" s="65" t="s">
        <v>2539</v>
      </c>
      <c r="F3593" s="83">
        <v>0.6666666666666666</v>
      </c>
      <c r="G3593" s="83">
        <v>0.75</v>
      </c>
      <c r="H3593" s="83">
        <v>0.08333333333333333</v>
      </c>
      <c r="I3593" s="84">
        <v>44440.0</v>
      </c>
      <c r="J3593" s="65" t="b">
        <v>1</v>
      </c>
      <c r="K3593" s="65"/>
      <c r="L3593" s="85" t="b">
        <f>IF(VLOOKUP(C3593,Projetos!A:L,12,false)=TRUE,TRUE,FALSE)</f>
        <v>1</v>
      </c>
      <c r="M3593" s="74">
        <v>52.48434411075036</v>
      </c>
      <c r="N3593" s="74">
        <f t="shared" si="1"/>
        <v>104.9686882</v>
      </c>
      <c r="O3593" s="74" t="b">
        <v>1</v>
      </c>
    </row>
    <row r="3594" hidden="1">
      <c r="A3594" s="82"/>
      <c r="B3594" s="65" t="s">
        <v>411</v>
      </c>
      <c r="C3594" s="65" t="s">
        <v>132</v>
      </c>
      <c r="D3594" s="65"/>
      <c r="E3594" s="65" t="s">
        <v>2540</v>
      </c>
      <c r="F3594" s="83">
        <v>0.34375</v>
      </c>
      <c r="G3594" s="83">
        <v>0.4166666666666667</v>
      </c>
      <c r="H3594" s="83">
        <v>0.07291666666666667</v>
      </c>
      <c r="I3594" s="84">
        <v>44441.0</v>
      </c>
      <c r="J3594" s="65" t="b">
        <v>1</v>
      </c>
      <c r="K3594" s="65"/>
      <c r="L3594" s="85" t="b">
        <f>IF(VLOOKUP(C3594,Projetos!A:L,12,false)=TRUE,TRUE,FALSE)</f>
        <v>0</v>
      </c>
      <c r="M3594" s="74">
        <v>52.48434411075036</v>
      </c>
      <c r="N3594" s="74">
        <f t="shared" si="1"/>
        <v>0</v>
      </c>
      <c r="O3594" s="74" t="b">
        <v>0</v>
      </c>
    </row>
    <row r="3595" hidden="1">
      <c r="A3595" s="82"/>
      <c r="B3595" s="65" t="s">
        <v>411</v>
      </c>
      <c r="C3595" s="65" t="s">
        <v>117</v>
      </c>
      <c r="D3595" s="65"/>
      <c r="E3595" s="65" t="s">
        <v>2541</v>
      </c>
      <c r="F3595" s="83">
        <v>0.4166666666666667</v>
      </c>
      <c r="G3595" s="83">
        <v>0.5416666666666666</v>
      </c>
      <c r="H3595" s="83">
        <v>0.125</v>
      </c>
      <c r="I3595" s="84">
        <v>44441.0</v>
      </c>
      <c r="J3595" s="65" t="b">
        <v>0</v>
      </c>
      <c r="K3595" s="65" t="s">
        <v>150</v>
      </c>
      <c r="L3595" s="85" t="b">
        <f>IF(VLOOKUP(C3595,Projetos!A:L,12,false)=TRUE,TRUE,FALSE)</f>
        <v>1</v>
      </c>
      <c r="M3595" s="74">
        <v>52.48434411075036</v>
      </c>
      <c r="N3595" s="74">
        <f t="shared" si="1"/>
        <v>0</v>
      </c>
      <c r="O3595" s="74" t="b">
        <v>1</v>
      </c>
    </row>
    <row r="3596" hidden="1">
      <c r="A3596" s="82"/>
      <c r="B3596" s="65" t="s">
        <v>411</v>
      </c>
      <c r="C3596" s="65" t="s">
        <v>117</v>
      </c>
      <c r="D3596" s="65" t="str">
        <f>vlookup(C3596,'Classificação p pessoal'!F:G,2,false)</f>
        <v>NP</v>
      </c>
      <c r="E3596" s="65" t="s">
        <v>2542</v>
      </c>
      <c r="F3596" s="83">
        <v>0.5833333333333334</v>
      </c>
      <c r="G3596" s="83">
        <v>0.75</v>
      </c>
      <c r="H3596" s="83">
        <v>0.16666666666666666</v>
      </c>
      <c r="I3596" s="84">
        <v>44441.0</v>
      </c>
      <c r="J3596" s="65" t="b">
        <v>1</v>
      </c>
      <c r="K3596" s="65"/>
      <c r="L3596" s="85" t="b">
        <f>IF(VLOOKUP(C3596,Projetos!A:L,12,false)=TRUE,TRUE,FALSE)</f>
        <v>1</v>
      </c>
      <c r="M3596" s="74">
        <v>52.48434411075036</v>
      </c>
      <c r="N3596" s="74">
        <f t="shared" si="1"/>
        <v>209.9373764</v>
      </c>
      <c r="O3596" s="74" t="b">
        <v>1</v>
      </c>
    </row>
    <row r="3597" hidden="1">
      <c r="A3597" s="82"/>
      <c r="B3597" s="65" t="s">
        <v>411</v>
      </c>
      <c r="C3597" s="65" t="s">
        <v>117</v>
      </c>
      <c r="D3597" s="65" t="str">
        <f>vlookup(C3597,'Classificação p pessoal'!F:G,2,false)</f>
        <v>NP</v>
      </c>
      <c r="E3597" s="65" t="s">
        <v>2543</v>
      </c>
      <c r="F3597" s="83">
        <v>0.34375</v>
      </c>
      <c r="G3597" s="83">
        <v>0.375</v>
      </c>
      <c r="H3597" s="83">
        <v>0.03125</v>
      </c>
      <c r="I3597" s="84">
        <v>44442.0</v>
      </c>
      <c r="J3597" s="65" t="b">
        <v>1</v>
      </c>
      <c r="K3597" s="65"/>
      <c r="L3597" s="85" t="b">
        <f>IF(VLOOKUP(C3597,Projetos!A:L,12,false)=TRUE,TRUE,FALSE)</f>
        <v>1</v>
      </c>
      <c r="M3597" s="74">
        <v>52.48434411075036</v>
      </c>
      <c r="N3597" s="74">
        <f t="shared" si="1"/>
        <v>39.36325808</v>
      </c>
      <c r="O3597" s="74" t="b">
        <v>1</v>
      </c>
    </row>
    <row r="3598" hidden="1">
      <c r="A3598" s="82"/>
      <c r="B3598" s="65" t="s">
        <v>411</v>
      </c>
      <c r="C3598" s="65" t="s">
        <v>101</v>
      </c>
      <c r="D3598" s="65" t="str">
        <f>vlookup(C3598,'Classificação p pessoal'!F:G,2,false)</f>
        <v>NP</v>
      </c>
      <c r="E3598" s="65" t="s">
        <v>2544</v>
      </c>
      <c r="F3598" s="83">
        <v>0.375</v>
      </c>
      <c r="G3598" s="83">
        <v>0.4166666666666667</v>
      </c>
      <c r="H3598" s="83">
        <v>0.041666666666666664</v>
      </c>
      <c r="I3598" s="84">
        <v>44442.0</v>
      </c>
      <c r="J3598" s="65" t="b">
        <v>1</v>
      </c>
      <c r="K3598" s="65"/>
      <c r="L3598" s="85" t="b">
        <f>IF(VLOOKUP(C3598,Projetos!A:L,12,false)=TRUE,TRUE,FALSE)</f>
        <v>1</v>
      </c>
      <c r="M3598" s="74">
        <v>52.48434411075036</v>
      </c>
      <c r="N3598" s="74">
        <f t="shared" si="1"/>
        <v>52.48434411</v>
      </c>
      <c r="O3598" s="74" t="b">
        <v>1</v>
      </c>
    </row>
    <row r="3599" hidden="1">
      <c r="A3599" s="82"/>
      <c r="B3599" s="65" t="s">
        <v>411</v>
      </c>
      <c r="C3599" s="65" t="s">
        <v>132</v>
      </c>
      <c r="D3599" s="65"/>
      <c r="E3599" s="65" t="s">
        <v>2545</v>
      </c>
      <c r="F3599" s="83">
        <v>0.4166666666666667</v>
      </c>
      <c r="G3599" s="83">
        <v>0.4375</v>
      </c>
      <c r="H3599" s="83">
        <v>0.020833333333333332</v>
      </c>
      <c r="I3599" s="84">
        <v>44442.0</v>
      </c>
      <c r="J3599" s="65" t="b">
        <v>1</v>
      </c>
      <c r="K3599" s="65"/>
      <c r="L3599" s="85" t="b">
        <f>IF(VLOOKUP(C3599,Projetos!A:L,12,false)=TRUE,TRUE,FALSE)</f>
        <v>0</v>
      </c>
      <c r="M3599" s="74">
        <v>52.48434411075036</v>
      </c>
      <c r="N3599" s="74">
        <f t="shared" si="1"/>
        <v>0</v>
      </c>
      <c r="O3599" s="74" t="b">
        <v>0</v>
      </c>
    </row>
    <row r="3600" hidden="1">
      <c r="A3600" s="82"/>
      <c r="B3600" s="65" t="s">
        <v>411</v>
      </c>
      <c r="C3600" s="65" t="s">
        <v>120</v>
      </c>
      <c r="D3600" s="65"/>
      <c r="E3600" s="65" t="s">
        <v>2546</v>
      </c>
      <c r="F3600" s="83">
        <v>0.4375</v>
      </c>
      <c r="G3600" s="83">
        <v>0.4791666666666667</v>
      </c>
      <c r="H3600" s="83">
        <v>0.041666666666666664</v>
      </c>
      <c r="I3600" s="84">
        <v>44442.0</v>
      </c>
      <c r="J3600" s="65" t="b">
        <v>0</v>
      </c>
      <c r="K3600" s="65"/>
      <c r="L3600" s="85" t="b">
        <f>IF(VLOOKUP(C3600,Projetos!A:L,12,false)=TRUE,TRUE,FALSE)</f>
        <v>0</v>
      </c>
      <c r="M3600" s="74">
        <v>52.48434411075036</v>
      </c>
      <c r="N3600" s="74">
        <f t="shared" si="1"/>
        <v>0</v>
      </c>
      <c r="O3600" s="74" t="b">
        <v>0</v>
      </c>
    </row>
    <row r="3601" hidden="1">
      <c r="A3601" s="82"/>
      <c r="B3601" s="65" t="s">
        <v>411</v>
      </c>
      <c r="C3601" s="65" t="s">
        <v>117</v>
      </c>
      <c r="D3601" s="65" t="str">
        <f>vlookup(C3601,'Classificação p pessoal'!F:G,2,false)</f>
        <v>NP</v>
      </c>
      <c r="E3601" s="65" t="s">
        <v>2547</v>
      </c>
      <c r="F3601" s="83">
        <v>0.4791666666666667</v>
      </c>
      <c r="G3601" s="83">
        <v>0.5208333333333334</v>
      </c>
      <c r="H3601" s="83">
        <v>0.041666666666666664</v>
      </c>
      <c r="I3601" s="84">
        <v>44442.0</v>
      </c>
      <c r="J3601" s="65" t="b">
        <v>1</v>
      </c>
      <c r="K3601" s="65"/>
      <c r="L3601" s="85" t="b">
        <f>IF(VLOOKUP(C3601,Projetos!A:L,12,false)=TRUE,TRUE,FALSE)</f>
        <v>1</v>
      </c>
      <c r="M3601" s="74">
        <v>52.48434411075036</v>
      </c>
      <c r="N3601" s="74">
        <f t="shared" si="1"/>
        <v>52.48434411</v>
      </c>
      <c r="O3601" s="74" t="b">
        <v>1</v>
      </c>
    </row>
    <row r="3602" hidden="1">
      <c r="A3602" s="82"/>
      <c r="B3602" s="65" t="s">
        <v>411</v>
      </c>
      <c r="C3602" s="65" t="s">
        <v>117</v>
      </c>
      <c r="D3602" s="65" t="str">
        <f>vlookup(C3602,'Classificação p pessoal'!F:G,2,false)</f>
        <v>NP</v>
      </c>
      <c r="E3602" s="65" t="s">
        <v>2548</v>
      </c>
      <c r="F3602" s="83">
        <v>0.5625</v>
      </c>
      <c r="G3602" s="83">
        <v>0.75</v>
      </c>
      <c r="H3602" s="83">
        <v>0.1875</v>
      </c>
      <c r="I3602" s="84">
        <v>44442.0</v>
      </c>
      <c r="J3602" s="65" t="b">
        <v>1</v>
      </c>
      <c r="K3602" s="65"/>
      <c r="L3602" s="85" t="b">
        <f>IF(VLOOKUP(C3602,Projetos!A:L,12,false)=TRUE,TRUE,FALSE)</f>
        <v>1</v>
      </c>
      <c r="M3602" s="74">
        <v>52.48434411075036</v>
      </c>
      <c r="N3602" s="74">
        <f t="shared" si="1"/>
        <v>236.1795485</v>
      </c>
      <c r="O3602" s="74" t="b">
        <v>1</v>
      </c>
    </row>
    <row r="3603" hidden="1">
      <c r="A3603" s="82"/>
      <c r="B3603" s="65" t="s">
        <v>411</v>
      </c>
      <c r="C3603" s="65" t="s">
        <v>92</v>
      </c>
      <c r="D3603" s="65" t="str">
        <f>vlookup(C3603,'Classificação p pessoal'!F:G,2,false)</f>
        <v/>
      </c>
      <c r="E3603" s="65" t="s">
        <v>2549</v>
      </c>
      <c r="F3603" s="83">
        <v>0.34375</v>
      </c>
      <c r="G3603" s="83">
        <v>0.3645833333333333</v>
      </c>
      <c r="H3603" s="83">
        <v>0.020833333333333332</v>
      </c>
      <c r="I3603" s="84">
        <v>44445.0</v>
      </c>
      <c r="J3603" s="65" t="b">
        <v>1</v>
      </c>
      <c r="K3603" s="65"/>
      <c r="L3603" s="85" t="b">
        <f>IF(VLOOKUP(C3603,Projetos!A:L,12,false)=TRUE,TRUE,FALSE)</f>
        <v>1</v>
      </c>
      <c r="M3603" s="74">
        <v>52.48434411075036</v>
      </c>
      <c r="N3603" s="74">
        <f t="shared" si="1"/>
        <v>26.24217206</v>
      </c>
      <c r="O3603" s="74" t="b">
        <v>1</v>
      </c>
    </row>
    <row r="3604" hidden="1">
      <c r="A3604" s="82"/>
      <c r="B3604" s="65" t="s">
        <v>411</v>
      </c>
      <c r="C3604" s="65" t="s">
        <v>114</v>
      </c>
      <c r="D3604" s="65" t="str">
        <f>vlookup(C3604,'Classificação p pessoal'!F:G,2,false)</f>
        <v>NP</v>
      </c>
      <c r="E3604" s="65" t="s">
        <v>2550</v>
      </c>
      <c r="F3604" s="83">
        <v>0.3645833333333333</v>
      </c>
      <c r="G3604" s="83">
        <v>0.6041666666666666</v>
      </c>
      <c r="H3604" s="83">
        <v>0.23958333333333334</v>
      </c>
      <c r="I3604" s="84">
        <v>44445.0</v>
      </c>
      <c r="J3604" s="65" t="b">
        <v>1</v>
      </c>
      <c r="K3604" s="65"/>
      <c r="L3604" s="85" t="b">
        <f>IF(VLOOKUP(C3604,Projetos!A:L,12,false)=TRUE,TRUE,FALSE)</f>
        <v>1</v>
      </c>
      <c r="M3604" s="74">
        <v>52.48434411075036</v>
      </c>
      <c r="N3604" s="74">
        <f t="shared" si="1"/>
        <v>301.7849786</v>
      </c>
      <c r="O3604" s="74" t="b">
        <v>1</v>
      </c>
    </row>
    <row r="3605" hidden="1">
      <c r="A3605" s="82"/>
      <c r="B3605" s="65" t="s">
        <v>411</v>
      </c>
      <c r="C3605" s="65" t="s">
        <v>92</v>
      </c>
      <c r="D3605" s="65" t="str">
        <f>vlookup(C3605,'Classificação p pessoal'!F:G,2,false)</f>
        <v/>
      </c>
      <c r="E3605" s="65" t="s">
        <v>2551</v>
      </c>
      <c r="F3605" s="83">
        <v>0.6458333333333334</v>
      </c>
      <c r="G3605" s="83">
        <v>0.6875</v>
      </c>
      <c r="H3605" s="83">
        <v>0.041666666666666664</v>
      </c>
      <c r="I3605" s="84">
        <v>44445.0</v>
      </c>
      <c r="J3605" s="65" t="b">
        <v>1</v>
      </c>
      <c r="K3605" s="65"/>
      <c r="L3605" s="85" t="b">
        <f>IF(VLOOKUP(C3605,Projetos!A:L,12,false)=TRUE,TRUE,FALSE)</f>
        <v>1</v>
      </c>
      <c r="M3605" s="74">
        <v>52.48434411075036</v>
      </c>
      <c r="N3605" s="74">
        <f t="shared" si="1"/>
        <v>52.48434411</v>
      </c>
      <c r="O3605" s="74" t="b">
        <v>1</v>
      </c>
    </row>
    <row r="3606" hidden="1">
      <c r="A3606" s="82"/>
      <c r="B3606" s="65" t="s">
        <v>411</v>
      </c>
      <c r="C3606" s="65" t="s">
        <v>117</v>
      </c>
      <c r="D3606" s="65" t="str">
        <f>vlookup(C3606,'Classificação p pessoal'!F:G,2,false)</f>
        <v>NP</v>
      </c>
      <c r="E3606" s="65" t="s">
        <v>2552</v>
      </c>
      <c r="F3606" s="83">
        <v>0.6875</v>
      </c>
      <c r="G3606" s="83">
        <v>0.75</v>
      </c>
      <c r="H3606" s="83">
        <v>0.0625</v>
      </c>
      <c r="I3606" s="84">
        <v>44445.0</v>
      </c>
      <c r="J3606" s="65" t="b">
        <v>1</v>
      </c>
      <c r="K3606" s="65"/>
      <c r="L3606" s="85" t="b">
        <f>IF(VLOOKUP(C3606,Projetos!A:L,12,false)=TRUE,TRUE,FALSE)</f>
        <v>1</v>
      </c>
      <c r="M3606" s="74">
        <v>52.48434411075036</v>
      </c>
      <c r="N3606" s="74">
        <f t="shared" si="1"/>
        <v>78.72651617</v>
      </c>
      <c r="O3606" s="74" t="b">
        <v>1</v>
      </c>
    </row>
    <row r="3607" hidden="1">
      <c r="A3607" s="82"/>
      <c r="B3607" s="65" t="s">
        <v>411</v>
      </c>
      <c r="C3607" s="65" t="s">
        <v>132</v>
      </c>
      <c r="D3607" s="65"/>
      <c r="E3607" s="65" t="s">
        <v>2553</v>
      </c>
      <c r="F3607" s="83">
        <v>0.34375</v>
      </c>
      <c r="G3607" s="83">
        <v>0.3958333333333333</v>
      </c>
      <c r="H3607" s="83">
        <v>0.052083333333333336</v>
      </c>
      <c r="I3607" s="84">
        <v>44448.0</v>
      </c>
      <c r="J3607" s="65" t="b">
        <v>0</v>
      </c>
      <c r="K3607" s="65" t="s">
        <v>150</v>
      </c>
      <c r="L3607" s="85" t="b">
        <f>IF(VLOOKUP(C3607,Projetos!A:L,12,false)=TRUE,TRUE,FALSE)</f>
        <v>0</v>
      </c>
      <c r="M3607" s="74">
        <v>52.48434411075036</v>
      </c>
      <c r="N3607" s="74">
        <f t="shared" si="1"/>
        <v>0</v>
      </c>
      <c r="O3607" s="74" t="b">
        <v>0</v>
      </c>
    </row>
    <row r="3608" hidden="1">
      <c r="A3608" s="82"/>
      <c r="B3608" s="65" t="s">
        <v>411</v>
      </c>
      <c r="C3608" s="65" t="s">
        <v>119</v>
      </c>
      <c r="D3608" s="65" t="str">
        <f>vlookup(C3608,'Classificação p pessoal'!F:G,2,false)</f>
        <v>NP</v>
      </c>
      <c r="E3608" s="65" t="s">
        <v>2554</v>
      </c>
      <c r="F3608" s="83">
        <v>0.3958333333333333</v>
      </c>
      <c r="G3608" s="83">
        <v>0.4791666666666667</v>
      </c>
      <c r="H3608" s="83">
        <v>0.08333333333333333</v>
      </c>
      <c r="I3608" s="84">
        <v>44448.0</v>
      </c>
      <c r="J3608" s="65" t="b">
        <v>1</v>
      </c>
      <c r="K3608" s="65"/>
      <c r="L3608" s="85" t="b">
        <f>IF(VLOOKUP(C3608,Projetos!A:L,12,false)=TRUE,TRUE,FALSE)</f>
        <v>1</v>
      </c>
      <c r="M3608" s="74">
        <v>52.48434411075036</v>
      </c>
      <c r="N3608" s="74">
        <f t="shared" si="1"/>
        <v>104.9686882</v>
      </c>
      <c r="O3608" s="74" t="b">
        <v>1</v>
      </c>
    </row>
    <row r="3609" hidden="1">
      <c r="A3609" s="82"/>
      <c r="B3609" s="65" t="s">
        <v>411</v>
      </c>
      <c r="C3609" s="65" t="s">
        <v>117</v>
      </c>
      <c r="D3609" s="65" t="str">
        <f>vlookup(C3609,'Classificação p pessoal'!F:G,2,false)</f>
        <v>NP</v>
      </c>
      <c r="E3609" s="65" t="s">
        <v>2555</v>
      </c>
      <c r="F3609" s="83">
        <v>0.4791666666666667</v>
      </c>
      <c r="G3609" s="83">
        <v>0.5208333333333334</v>
      </c>
      <c r="H3609" s="83">
        <v>0.041666666666666664</v>
      </c>
      <c r="I3609" s="84">
        <v>44448.0</v>
      </c>
      <c r="J3609" s="65" t="b">
        <v>1</v>
      </c>
      <c r="K3609" s="65"/>
      <c r="L3609" s="85" t="b">
        <f>IF(VLOOKUP(C3609,Projetos!A:L,12,false)=TRUE,TRUE,FALSE)</f>
        <v>1</v>
      </c>
      <c r="M3609" s="74">
        <v>52.48434411075036</v>
      </c>
      <c r="N3609" s="74">
        <f t="shared" si="1"/>
        <v>52.48434411</v>
      </c>
      <c r="O3609" s="74" t="b">
        <v>1</v>
      </c>
    </row>
    <row r="3610" hidden="1">
      <c r="A3610" s="82"/>
      <c r="B3610" s="65" t="s">
        <v>411</v>
      </c>
      <c r="C3610" s="65" t="s">
        <v>130</v>
      </c>
      <c r="D3610" s="65" t="str">
        <f>vlookup(C3610,'Classificação p pessoal'!F:G,2,false)</f>
        <v>NP</v>
      </c>
      <c r="E3610" s="65" t="s">
        <v>2556</v>
      </c>
      <c r="F3610" s="83">
        <v>0.5208333333333334</v>
      </c>
      <c r="G3610" s="83">
        <v>0.5833333333333334</v>
      </c>
      <c r="H3610" s="83">
        <v>0.0625</v>
      </c>
      <c r="I3610" s="84">
        <v>44448.0</v>
      </c>
      <c r="J3610" s="65" t="b">
        <v>1</v>
      </c>
      <c r="K3610" s="65"/>
      <c r="L3610" s="85" t="b">
        <f>IF(VLOOKUP(C3610,Projetos!A:L,12,false)=TRUE,TRUE,FALSE)</f>
        <v>1</v>
      </c>
      <c r="M3610" s="74">
        <v>52.48434411075036</v>
      </c>
      <c r="N3610" s="74">
        <f t="shared" si="1"/>
        <v>78.72651617</v>
      </c>
      <c r="O3610" s="74" t="b">
        <v>1</v>
      </c>
    </row>
    <row r="3611" hidden="1">
      <c r="A3611" s="82"/>
      <c r="B3611" s="65" t="s">
        <v>177</v>
      </c>
      <c r="C3611" s="65" t="s">
        <v>101</v>
      </c>
      <c r="D3611" s="65" t="str">
        <f>vlookup(C3611,'Classificação p pessoal'!F:G,2,false)</f>
        <v>NP</v>
      </c>
      <c r="E3611" s="65" t="s">
        <v>2557</v>
      </c>
      <c r="F3611" s="83">
        <v>0.6041666666666666</v>
      </c>
      <c r="G3611" s="83">
        <v>0.625</v>
      </c>
      <c r="H3611" s="83">
        <v>0.020833333333333332</v>
      </c>
      <c r="I3611" s="84">
        <v>44518.0</v>
      </c>
      <c r="J3611" s="65" t="b">
        <v>1</v>
      </c>
      <c r="K3611" s="65"/>
      <c r="L3611" s="85" t="b">
        <f>IF(VLOOKUP(C3611,Projetos!A:L,12,false)=TRUE,TRUE,FALSE)</f>
        <v>1</v>
      </c>
      <c r="M3611" s="74">
        <v>31.02923620430495</v>
      </c>
      <c r="N3611" s="74">
        <f t="shared" si="1"/>
        <v>15.5146181</v>
      </c>
      <c r="O3611" s="74" t="b">
        <v>1</v>
      </c>
    </row>
    <row r="3612" hidden="1">
      <c r="A3612" s="82"/>
      <c r="B3612" s="65" t="s">
        <v>411</v>
      </c>
      <c r="C3612" s="65" t="s">
        <v>92</v>
      </c>
      <c r="D3612" s="65" t="str">
        <f>vlookup(C3612,'Classificação p pessoal'!F:G,2,false)</f>
        <v/>
      </c>
      <c r="E3612" s="65" t="s">
        <v>2558</v>
      </c>
      <c r="F3612" s="83">
        <v>0.6458333333333334</v>
      </c>
      <c r="G3612" s="83">
        <v>0.6875</v>
      </c>
      <c r="H3612" s="83">
        <v>0.041666666666666664</v>
      </c>
      <c r="I3612" s="84">
        <v>44448.0</v>
      </c>
      <c r="J3612" s="65" t="b">
        <v>1</v>
      </c>
      <c r="K3612" s="65"/>
      <c r="L3612" s="85" t="b">
        <f>IF(VLOOKUP(C3612,Projetos!A:L,12,false)=TRUE,TRUE,FALSE)</f>
        <v>1</v>
      </c>
      <c r="M3612" s="74">
        <v>52.48434411075036</v>
      </c>
      <c r="N3612" s="74">
        <f t="shared" si="1"/>
        <v>52.48434411</v>
      </c>
      <c r="O3612" s="74" t="b">
        <v>1</v>
      </c>
    </row>
    <row r="3613" hidden="1">
      <c r="A3613" s="82"/>
      <c r="B3613" s="65" t="s">
        <v>411</v>
      </c>
      <c r="C3613" s="65" t="s">
        <v>117</v>
      </c>
      <c r="D3613" s="65" t="str">
        <f>vlookup(C3613,'Classificação p pessoal'!F:G,2,false)</f>
        <v>NP</v>
      </c>
      <c r="E3613" s="65" t="s">
        <v>2559</v>
      </c>
      <c r="F3613" s="83">
        <v>0.7083333333333334</v>
      </c>
      <c r="G3613" s="83">
        <v>0.75</v>
      </c>
      <c r="H3613" s="83">
        <v>0.041666666666666664</v>
      </c>
      <c r="I3613" s="84">
        <v>44405.0</v>
      </c>
      <c r="J3613" s="65" t="b">
        <v>1</v>
      </c>
      <c r="K3613" s="65"/>
      <c r="L3613" s="85" t="b">
        <f>IF(VLOOKUP(C3613,Projetos!A:L,12,false)=TRUE,TRUE,FALSE)</f>
        <v>1</v>
      </c>
      <c r="M3613" s="74">
        <v>52.48434411075036</v>
      </c>
      <c r="N3613" s="74">
        <f t="shared" si="1"/>
        <v>52.48434411</v>
      </c>
      <c r="O3613" s="74" t="b">
        <v>1</v>
      </c>
    </row>
    <row r="3614" hidden="1">
      <c r="A3614" s="82"/>
      <c r="B3614" s="65" t="s">
        <v>411</v>
      </c>
      <c r="C3614" s="65" t="s">
        <v>92</v>
      </c>
      <c r="D3614" s="65" t="str">
        <f>vlookup(C3614,'Classificação p pessoal'!F:G,2,false)</f>
        <v/>
      </c>
      <c r="E3614" s="65" t="s">
        <v>2560</v>
      </c>
      <c r="F3614" s="83">
        <v>0.4375</v>
      </c>
      <c r="G3614" s="83">
        <v>0.4791666666666667</v>
      </c>
      <c r="H3614" s="83">
        <v>0.041666666666666664</v>
      </c>
      <c r="I3614" s="84">
        <v>44281.0</v>
      </c>
      <c r="J3614" s="65" t="b">
        <v>1</v>
      </c>
      <c r="K3614" s="65"/>
      <c r="L3614" s="85" t="b">
        <f>IF(VLOOKUP(C3614,Projetos!A:L,12,false)=TRUE,TRUE,FALSE)</f>
        <v>1</v>
      </c>
      <c r="M3614" s="74">
        <v>52.48434411075036</v>
      </c>
      <c r="N3614" s="74">
        <f t="shared" si="1"/>
        <v>52.48434411</v>
      </c>
      <c r="O3614" s="74" t="b">
        <v>1</v>
      </c>
    </row>
    <row r="3615" hidden="1">
      <c r="A3615" s="82"/>
      <c r="B3615" s="65" t="s">
        <v>411</v>
      </c>
      <c r="C3615" s="65" t="s">
        <v>92</v>
      </c>
      <c r="D3615" s="65" t="str">
        <f>vlookup(C3615,'Classificação p pessoal'!F:G,2,false)</f>
        <v/>
      </c>
      <c r="E3615" s="65" t="s">
        <v>2561</v>
      </c>
      <c r="F3615" s="83">
        <v>0.34375</v>
      </c>
      <c r="G3615" s="83">
        <v>0.4375</v>
      </c>
      <c r="H3615" s="83">
        <v>0.09375</v>
      </c>
      <c r="I3615" s="84">
        <v>44449.0</v>
      </c>
      <c r="J3615" s="65" t="b">
        <v>1</v>
      </c>
      <c r="K3615" s="65"/>
      <c r="L3615" s="85" t="b">
        <f>IF(VLOOKUP(C3615,Projetos!A:L,12,false)=TRUE,TRUE,FALSE)</f>
        <v>1</v>
      </c>
      <c r="M3615" s="74">
        <v>52.48434411075036</v>
      </c>
      <c r="N3615" s="74">
        <f t="shared" si="1"/>
        <v>118.0897742</v>
      </c>
      <c r="O3615" s="74" t="b">
        <v>1</v>
      </c>
    </row>
    <row r="3616" hidden="1">
      <c r="A3616" s="82"/>
      <c r="B3616" s="65" t="s">
        <v>411</v>
      </c>
      <c r="C3616" s="65" t="s">
        <v>117</v>
      </c>
      <c r="D3616" s="65" t="str">
        <f>vlookup(C3616,'Classificação p pessoal'!F:G,2,false)</f>
        <v>NP</v>
      </c>
      <c r="E3616" s="65" t="s">
        <v>2562</v>
      </c>
      <c r="F3616" s="83">
        <v>0.4375</v>
      </c>
      <c r="G3616" s="83">
        <v>0.5208333333333334</v>
      </c>
      <c r="H3616" s="83">
        <v>0.08333333333333333</v>
      </c>
      <c r="I3616" s="84">
        <v>44449.0</v>
      </c>
      <c r="J3616" s="65" t="b">
        <v>1</v>
      </c>
      <c r="K3616" s="65"/>
      <c r="L3616" s="85" t="b">
        <f>IF(VLOOKUP(C3616,Projetos!A:L,12,false)=TRUE,TRUE,FALSE)</f>
        <v>1</v>
      </c>
      <c r="M3616" s="74">
        <v>52.48434411075036</v>
      </c>
      <c r="N3616" s="74">
        <f t="shared" si="1"/>
        <v>104.9686882</v>
      </c>
      <c r="O3616" s="74" t="b">
        <v>1</v>
      </c>
    </row>
    <row r="3617" hidden="1">
      <c r="A3617" s="82"/>
      <c r="B3617" s="65" t="s">
        <v>411</v>
      </c>
      <c r="C3617" s="65" t="s">
        <v>117</v>
      </c>
      <c r="D3617" s="65" t="str">
        <f>vlookup(C3617,'Classificação p pessoal'!F:G,2,false)</f>
        <v>NP</v>
      </c>
      <c r="E3617" s="65" t="s">
        <v>2563</v>
      </c>
      <c r="F3617" s="83">
        <v>0.5625</v>
      </c>
      <c r="G3617" s="83">
        <v>0.75</v>
      </c>
      <c r="H3617" s="83">
        <v>0.1875</v>
      </c>
      <c r="I3617" s="84">
        <v>44449.0</v>
      </c>
      <c r="J3617" s="65" t="b">
        <v>1</v>
      </c>
      <c r="K3617" s="65"/>
      <c r="L3617" s="85" t="b">
        <f>IF(VLOOKUP(C3617,Projetos!A:L,12,false)=TRUE,TRUE,FALSE)</f>
        <v>1</v>
      </c>
      <c r="M3617" s="74">
        <v>52.48434411075036</v>
      </c>
      <c r="N3617" s="74">
        <f t="shared" si="1"/>
        <v>236.1795485</v>
      </c>
      <c r="O3617" s="74" t="b">
        <v>1</v>
      </c>
    </row>
    <row r="3618" hidden="1">
      <c r="A3618" s="82"/>
      <c r="B3618" s="65" t="s">
        <v>411</v>
      </c>
      <c r="C3618" s="65" t="s">
        <v>117</v>
      </c>
      <c r="D3618" s="65" t="str">
        <f>vlookup(C3618,'Classificação p pessoal'!F:G,2,false)</f>
        <v>NP</v>
      </c>
      <c r="E3618" s="65" t="s">
        <v>2564</v>
      </c>
      <c r="F3618" s="83">
        <v>0.34375</v>
      </c>
      <c r="G3618" s="83">
        <v>0.5833333333333334</v>
      </c>
      <c r="H3618" s="83">
        <v>0.23958333333333334</v>
      </c>
      <c r="I3618" s="84">
        <v>44452.0</v>
      </c>
      <c r="J3618" s="65" t="b">
        <v>1</v>
      </c>
      <c r="K3618" s="65"/>
      <c r="L3618" s="85" t="b">
        <f>IF(VLOOKUP(C3618,Projetos!A:L,12,false)=TRUE,TRUE,FALSE)</f>
        <v>1</v>
      </c>
      <c r="M3618" s="74">
        <v>52.48434411075036</v>
      </c>
      <c r="N3618" s="74">
        <f t="shared" si="1"/>
        <v>301.7849786</v>
      </c>
      <c r="O3618" s="74" t="b">
        <v>1</v>
      </c>
    </row>
    <row r="3619" hidden="1">
      <c r="A3619" s="82"/>
      <c r="B3619" s="65" t="s">
        <v>411</v>
      </c>
      <c r="C3619" s="65" t="s">
        <v>92</v>
      </c>
      <c r="D3619" s="65" t="str">
        <f>vlookup(C3619,'Classificação p pessoal'!F:G,2,false)</f>
        <v/>
      </c>
      <c r="E3619" s="65" t="s">
        <v>2565</v>
      </c>
      <c r="F3619" s="83">
        <v>0.625</v>
      </c>
      <c r="G3619" s="83">
        <v>0.6666666666666666</v>
      </c>
      <c r="H3619" s="83">
        <v>0.041666666666666664</v>
      </c>
      <c r="I3619" s="84">
        <v>44452.0</v>
      </c>
      <c r="J3619" s="65" t="b">
        <v>1</v>
      </c>
      <c r="K3619" s="65"/>
      <c r="L3619" s="85" t="b">
        <f>IF(VLOOKUP(C3619,Projetos!A:L,12,false)=TRUE,TRUE,FALSE)</f>
        <v>1</v>
      </c>
      <c r="M3619" s="74">
        <v>52.48434411075036</v>
      </c>
      <c r="N3619" s="74">
        <f t="shared" si="1"/>
        <v>52.48434411</v>
      </c>
      <c r="O3619" s="74" t="b">
        <v>1</v>
      </c>
    </row>
    <row r="3620" hidden="1">
      <c r="A3620" s="82"/>
      <c r="B3620" s="65" t="s">
        <v>411</v>
      </c>
      <c r="C3620" s="65" t="s">
        <v>117</v>
      </c>
      <c r="D3620" s="65" t="str">
        <f>vlookup(C3620,'Classificação p pessoal'!F:G,2,false)</f>
        <v>NP</v>
      </c>
      <c r="E3620" s="65" t="s">
        <v>2566</v>
      </c>
      <c r="F3620" s="83">
        <v>0.6666666666666666</v>
      </c>
      <c r="G3620" s="83">
        <v>0.7291666666666666</v>
      </c>
      <c r="H3620" s="83">
        <v>0.0625</v>
      </c>
      <c r="I3620" s="84">
        <v>44452.0</v>
      </c>
      <c r="J3620" s="65" t="b">
        <v>1</v>
      </c>
      <c r="K3620" s="65"/>
      <c r="L3620" s="85" t="b">
        <f>IF(VLOOKUP(C3620,Projetos!A:L,12,false)=TRUE,TRUE,FALSE)</f>
        <v>1</v>
      </c>
      <c r="M3620" s="74">
        <v>52.48434411075036</v>
      </c>
      <c r="N3620" s="74">
        <f t="shared" si="1"/>
        <v>78.72651617</v>
      </c>
      <c r="O3620" s="74" t="b">
        <v>1</v>
      </c>
    </row>
    <row r="3621" hidden="1">
      <c r="A3621" s="82"/>
      <c r="B3621" s="65" t="s">
        <v>411</v>
      </c>
      <c r="C3621" s="65" t="s">
        <v>118</v>
      </c>
      <c r="D3621" s="65" t="str">
        <f>vlookup(C3621,'Classificação p pessoal'!F:G,2,false)</f>
        <v>MProduto</v>
      </c>
      <c r="E3621" s="65" t="s">
        <v>2567</v>
      </c>
      <c r="F3621" s="83">
        <v>0.7291666666666666</v>
      </c>
      <c r="G3621" s="83">
        <v>0.75</v>
      </c>
      <c r="H3621" s="83">
        <v>0.020833333333333332</v>
      </c>
      <c r="I3621" s="84">
        <v>44452.0</v>
      </c>
      <c r="J3621" s="65" t="b">
        <v>1</v>
      </c>
      <c r="K3621" s="65"/>
      <c r="L3621" s="85" t="b">
        <f>IF(VLOOKUP(C3621,Projetos!A:L,12,false)=TRUE,TRUE,FALSE)</f>
        <v>1</v>
      </c>
      <c r="M3621" s="74">
        <v>52.48434411075036</v>
      </c>
      <c r="N3621" s="74">
        <f t="shared" si="1"/>
        <v>26.24217206</v>
      </c>
      <c r="O3621" s="74" t="b">
        <v>1</v>
      </c>
    </row>
    <row r="3622" hidden="1">
      <c r="A3622" s="82"/>
      <c r="B3622" s="65" t="s">
        <v>411</v>
      </c>
      <c r="C3622" s="65" t="s">
        <v>118</v>
      </c>
      <c r="D3622" s="65" t="str">
        <f>vlookup(C3622,'Classificação p pessoal'!F:G,2,false)</f>
        <v>MProduto</v>
      </c>
      <c r="E3622" s="65" t="s">
        <v>2567</v>
      </c>
      <c r="F3622" s="83">
        <v>0.34375</v>
      </c>
      <c r="G3622" s="83">
        <v>0.3541666666666667</v>
      </c>
      <c r="H3622" s="83">
        <v>0.010416666666666666</v>
      </c>
      <c r="I3622" s="84">
        <v>44453.0</v>
      </c>
      <c r="J3622" s="65" t="b">
        <v>1</v>
      </c>
      <c r="K3622" s="65"/>
      <c r="L3622" s="85" t="b">
        <f>IF(VLOOKUP(C3622,Projetos!A:L,12,false)=TRUE,TRUE,FALSE)</f>
        <v>1</v>
      </c>
      <c r="M3622" s="74">
        <v>52.48434411075036</v>
      </c>
      <c r="N3622" s="74">
        <f t="shared" si="1"/>
        <v>13.12108603</v>
      </c>
      <c r="O3622" s="74" t="b">
        <v>1</v>
      </c>
    </row>
    <row r="3623" hidden="1">
      <c r="A3623" s="82"/>
      <c r="B3623" s="65" t="s">
        <v>411</v>
      </c>
      <c r="C3623" s="65" t="s">
        <v>152</v>
      </c>
      <c r="D3623" s="65" t="str">
        <f>vlookup(C3623,'Classificação p pessoal'!F:G,2,false)</f>
        <v>MProduto</v>
      </c>
      <c r="E3623" s="65" t="s">
        <v>2568</v>
      </c>
      <c r="F3623" s="83">
        <v>0.3541666666666667</v>
      </c>
      <c r="G3623" s="83">
        <v>0.3958333333333333</v>
      </c>
      <c r="H3623" s="83">
        <v>0.041666666666666664</v>
      </c>
      <c r="I3623" s="84">
        <v>44453.0</v>
      </c>
      <c r="J3623" s="65" t="b">
        <v>1</v>
      </c>
      <c r="K3623" s="65"/>
      <c r="L3623" s="85" t="b">
        <f>IF(VLOOKUP(C3623,Projetos!A:L,12,false)=TRUE,TRUE,FALSE)</f>
        <v>1</v>
      </c>
      <c r="M3623" s="74">
        <v>52.48434411075036</v>
      </c>
      <c r="N3623" s="74">
        <f t="shared" si="1"/>
        <v>52.48434411</v>
      </c>
      <c r="O3623" s="74" t="b">
        <v>1</v>
      </c>
    </row>
    <row r="3624" hidden="1">
      <c r="A3624" s="82"/>
      <c r="B3624" s="65" t="s">
        <v>411</v>
      </c>
      <c r="C3624" s="65" t="s">
        <v>117</v>
      </c>
      <c r="D3624" s="65" t="str">
        <f>vlookup(C3624,'Classificação p pessoal'!F:G,2,false)</f>
        <v>NP</v>
      </c>
      <c r="E3624" s="65" t="s">
        <v>2569</v>
      </c>
      <c r="F3624" s="83">
        <v>0.3958333333333333</v>
      </c>
      <c r="G3624" s="83">
        <v>0.4583333333333333</v>
      </c>
      <c r="H3624" s="83">
        <v>0.0625</v>
      </c>
      <c r="I3624" s="84">
        <v>44453.0</v>
      </c>
      <c r="J3624" s="65" t="b">
        <v>1</v>
      </c>
      <c r="K3624" s="65"/>
      <c r="L3624" s="85" t="b">
        <f>IF(VLOOKUP(C3624,Projetos!A:L,12,false)=TRUE,TRUE,FALSE)</f>
        <v>1</v>
      </c>
      <c r="M3624" s="74">
        <v>52.48434411075036</v>
      </c>
      <c r="N3624" s="74">
        <f t="shared" si="1"/>
        <v>78.72651617</v>
      </c>
      <c r="O3624" s="74" t="b">
        <v>1</v>
      </c>
    </row>
    <row r="3625">
      <c r="A3625" s="82"/>
      <c r="B3625" s="65" t="s">
        <v>411</v>
      </c>
      <c r="C3625" s="65" t="s">
        <v>108</v>
      </c>
      <c r="D3625" s="65" t="str">
        <f>vlookup(C3625,'Classificação p pessoal'!F:G,2,false)</f>
        <v>NP</v>
      </c>
      <c r="E3625" s="65" t="s">
        <v>2570</v>
      </c>
      <c r="F3625" s="83">
        <v>0.4583333333333333</v>
      </c>
      <c r="G3625" s="83">
        <v>0.5</v>
      </c>
      <c r="H3625" s="83">
        <v>0.041666666666666664</v>
      </c>
      <c r="I3625" s="84">
        <v>44453.0</v>
      </c>
      <c r="J3625" s="65" t="b">
        <v>1</v>
      </c>
      <c r="K3625" s="65"/>
      <c r="L3625" s="85" t="b">
        <f>IF(VLOOKUP(C3625,Projetos!A:L,12,false)=TRUE,TRUE,FALSE)</f>
        <v>1</v>
      </c>
      <c r="M3625" s="74">
        <v>52.48434411075036</v>
      </c>
      <c r="N3625" s="74">
        <f t="shared" si="1"/>
        <v>52.48434411</v>
      </c>
      <c r="O3625" s="74" t="b">
        <v>1</v>
      </c>
    </row>
    <row r="3626" hidden="1">
      <c r="A3626" s="82"/>
      <c r="B3626" s="65" t="s">
        <v>411</v>
      </c>
      <c r="C3626" s="65" t="s">
        <v>132</v>
      </c>
      <c r="D3626" s="65"/>
      <c r="E3626" s="65" t="s">
        <v>2571</v>
      </c>
      <c r="F3626" s="83">
        <v>0.5416666666666666</v>
      </c>
      <c r="G3626" s="83">
        <v>0.5833333333333334</v>
      </c>
      <c r="H3626" s="83">
        <v>0.041666666666666664</v>
      </c>
      <c r="I3626" s="84">
        <v>44453.0</v>
      </c>
      <c r="J3626" s="65" t="b">
        <v>1</v>
      </c>
      <c r="K3626" s="65"/>
      <c r="L3626" s="85" t="b">
        <f>IF(VLOOKUP(C3626,Projetos!A:L,12,false)=TRUE,TRUE,FALSE)</f>
        <v>0</v>
      </c>
      <c r="M3626" s="74">
        <v>52.48434411075036</v>
      </c>
      <c r="N3626" s="74">
        <f t="shared" si="1"/>
        <v>0</v>
      </c>
      <c r="O3626" s="74" t="b">
        <v>0</v>
      </c>
    </row>
    <row r="3627" hidden="1">
      <c r="A3627" s="82"/>
      <c r="B3627" s="65" t="s">
        <v>411</v>
      </c>
      <c r="C3627" s="65" t="s">
        <v>117</v>
      </c>
      <c r="D3627" s="65" t="str">
        <f>vlookup(C3627,'Classificação p pessoal'!F:G,2,false)</f>
        <v>NP</v>
      </c>
      <c r="E3627" s="65" t="s">
        <v>2572</v>
      </c>
      <c r="F3627" s="83">
        <v>0.5833333333333334</v>
      </c>
      <c r="G3627" s="83">
        <v>0.75</v>
      </c>
      <c r="H3627" s="83">
        <v>0.16666666666666666</v>
      </c>
      <c r="I3627" s="84">
        <v>44453.0</v>
      </c>
      <c r="J3627" s="65" t="b">
        <v>1</v>
      </c>
      <c r="K3627" s="65"/>
      <c r="L3627" s="85" t="b">
        <f>IF(VLOOKUP(C3627,Projetos!A:L,12,false)=TRUE,TRUE,FALSE)</f>
        <v>1</v>
      </c>
      <c r="M3627" s="74">
        <v>52.48434411075036</v>
      </c>
      <c r="N3627" s="74">
        <f t="shared" si="1"/>
        <v>209.9373764</v>
      </c>
      <c r="O3627" s="74" t="b">
        <v>1</v>
      </c>
    </row>
    <row r="3628" hidden="1">
      <c r="A3628" s="82"/>
      <c r="B3628" s="65" t="s">
        <v>411</v>
      </c>
      <c r="C3628" s="65" t="s">
        <v>117</v>
      </c>
      <c r="D3628" s="65" t="str">
        <f>vlookup(C3628,'Classificação p pessoal'!F:G,2,false)</f>
        <v>NP</v>
      </c>
      <c r="E3628" s="65" t="s">
        <v>2573</v>
      </c>
      <c r="F3628" s="83">
        <v>0.34375</v>
      </c>
      <c r="G3628" s="83">
        <v>0.4166666666666667</v>
      </c>
      <c r="H3628" s="83">
        <v>0.07291666666666667</v>
      </c>
      <c r="I3628" s="84">
        <v>44454.0</v>
      </c>
      <c r="J3628" s="65" t="b">
        <v>1</v>
      </c>
      <c r="K3628" s="65"/>
      <c r="L3628" s="85" t="b">
        <f>IF(VLOOKUP(C3628,Projetos!A:L,12,false)=TRUE,TRUE,FALSE)</f>
        <v>1</v>
      </c>
      <c r="M3628" s="74">
        <v>52.48434411075036</v>
      </c>
      <c r="N3628" s="74">
        <f t="shared" si="1"/>
        <v>91.84760219</v>
      </c>
      <c r="O3628" s="74" t="b">
        <v>1</v>
      </c>
    </row>
    <row r="3629" hidden="1">
      <c r="A3629" s="82"/>
      <c r="B3629" s="65" t="s">
        <v>411</v>
      </c>
      <c r="C3629" s="65" t="s">
        <v>117</v>
      </c>
      <c r="D3629" s="65" t="str">
        <f>vlookup(C3629,'Classificação p pessoal'!F:G,2,false)</f>
        <v>NP</v>
      </c>
      <c r="E3629" s="65" t="s">
        <v>2574</v>
      </c>
      <c r="F3629" s="83">
        <v>0.5625</v>
      </c>
      <c r="G3629" s="83">
        <v>0.625</v>
      </c>
      <c r="H3629" s="83">
        <v>0.0625</v>
      </c>
      <c r="I3629" s="84">
        <v>44274.0</v>
      </c>
      <c r="J3629" s="65" t="b">
        <v>1</v>
      </c>
      <c r="K3629" s="65"/>
      <c r="L3629" s="85" t="b">
        <f>IF(VLOOKUP(C3629,Projetos!A:L,12,false)=TRUE,TRUE,FALSE)</f>
        <v>1</v>
      </c>
      <c r="M3629" s="74">
        <v>52.48434411075036</v>
      </c>
      <c r="N3629" s="74">
        <f t="shared" si="1"/>
        <v>78.72651617</v>
      </c>
      <c r="O3629" s="74" t="b">
        <v>1</v>
      </c>
    </row>
    <row r="3630" hidden="1">
      <c r="A3630" s="82"/>
      <c r="B3630" s="65" t="s">
        <v>411</v>
      </c>
      <c r="C3630" s="65" t="s">
        <v>117</v>
      </c>
      <c r="D3630" s="65" t="str">
        <f>vlookup(C3630,'Classificação p pessoal'!F:G,2,false)</f>
        <v>NP</v>
      </c>
      <c r="E3630" s="65" t="s">
        <v>2575</v>
      </c>
      <c r="F3630" s="83">
        <v>0.5416666666666666</v>
      </c>
      <c r="G3630" s="83">
        <v>0.75</v>
      </c>
      <c r="H3630" s="83">
        <v>0.20833333333333334</v>
      </c>
      <c r="I3630" s="84">
        <v>44454.0</v>
      </c>
      <c r="J3630" s="65" t="b">
        <v>1</v>
      </c>
      <c r="K3630" s="65"/>
      <c r="L3630" s="85" t="b">
        <f>IF(VLOOKUP(C3630,Projetos!A:L,12,false)=TRUE,TRUE,FALSE)</f>
        <v>1</v>
      </c>
      <c r="M3630" s="74">
        <v>52.48434411075036</v>
      </c>
      <c r="N3630" s="74">
        <f t="shared" si="1"/>
        <v>262.4217206</v>
      </c>
      <c r="O3630" s="74" t="b">
        <v>1</v>
      </c>
    </row>
    <row r="3631" hidden="1">
      <c r="A3631" s="82"/>
      <c r="B3631" s="65" t="s">
        <v>411</v>
      </c>
      <c r="C3631" s="65" t="s">
        <v>117</v>
      </c>
      <c r="D3631" s="65" t="str">
        <f>vlookup(C3631,'Classificação p pessoal'!F:G,2,false)</f>
        <v>NP</v>
      </c>
      <c r="E3631" s="65" t="s">
        <v>2576</v>
      </c>
      <c r="F3631" s="83">
        <v>0.34375</v>
      </c>
      <c r="G3631" s="83">
        <v>0.3958333333333333</v>
      </c>
      <c r="H3631" s="83">
        <v>0.052083333333333336</v>
      </c>
      <c r="I3631" s="84">
        <v>44455.0</v>
      </c>
      <c r="J3631" s="65" t="b">
        <v>1</v>
      </c>
      <c r="K3631" s="65"/>
      <c r="L3631" s="85" t="b">
        <f>IF(VLOOKUP(C3631,Projetos!A:L,12,false)=TRUE,TRUE,FALSE)</f>
        <v>1</v>
      </c>
      <c r="M3631" s="74">
        <v>52.48434411075036</v>
      </c>
      <c r="N3631" s="74">
        <f t="shared" si="1"/>
        <v>65.60543014</v>
      </c>
      <c r="O3631" s="74" t="b">
        <v>1</v>
      </c>
    </row>
    <row r="3632" hidden="1">
      <c r="A3632" s="82"/>
      <c r="B3632" s="65" t="s">
        <v>411</v>
      </c>
      <c r="C3632" s="65" t="s">
        <v>107</v>
      </c>
      <c r="D3632" s="65" t="str">
        <f>vlookup(C3632,'Classificação p pessoal'!F:G,2,false)</f>
        <v>NP</v>
      </c>
      <c r="E3632" s="65" t="s">
        <v>2577</v>
      </c>
      <c r="F3632" s="83">
        <v>0.4166666666666667</v>
      </c>
      <c r="G3632" s="83">
        <v>0.4583333333333333</v>
      </c>
      <c r="H3632" s="83">
        <v>0.041666666666666664</v>
      </c>
      <c r="I3632" s="84">
        <v>44455.0</v>
      </c>
      <c r="J3632" s="65" t="b">
        <v>1</v>
      </c>
      <c r="K3632" s="65"/>
      <c r="L3632" s="85" t="b">
        <f>IF(VLOOKUP(C3632,Projetos!A:L,12,false)=TRUE,TRUE,FALSE)</f>
        <v>1</v>
      </c>
      <c r="M3632" s="74">
        <v>52.48434411075036</v>
      </c>
      <c r="N3632" s="74">
        <f t="shared" si="1"/>
        <v>52.48434411</v>
      </c>
      <c r="O3632" s="74" t="b">
        <v>1</v>
      </c>
    </row>
    <row r="3633" hidden="1">
      <c r="A3633" s="82"/>
      <c r="B3633" s="65" t="s">
        <v>411</v>
      </c>
      <c r="C3633" s="65" t="s">
        <v>92</v>
      </c>
      <c r="D3633" s="65" t="str">
        <f>vlookup(C3633,'Classificação p pessoal'!F:G,2,false)</f>
        <v/>
      </c>
      <c r="E3633" s="65" t="s">
        <v>2578</v>
      </c>
      <c r="F3633" s="83">
        <v>0.4583333333333333</v>
      </c>
      <c r="G3633" s="83">
        <v>0.5416666666666666</v>
      </c>
      <c r="H3633" s="83">
        <v>0.08333333333333333</v>
      </c>
      <c r="I3633" s="84">
        <v>44455.0</v>
      </c>
      <c r="J3633" s="65" t="b">
        <v>1</v>
      </c>
      <c r="K3633" s="65"/>
      <c r="L3633" s="85" t="b">
        <f>IF(VLOOKUP(C3633,Projetos!A:L,12,false)=TRUE,TRUE,FALSE)</f>
        <v>1</v>
      </c>
      <c r="M3633" s="74">
        <v>52.48434411075036</v>
      </c>
      <c r="N3633" s="74">
        <f t="shared" si="1"/>
        <v>104.9686882</v>
      </c>
      <c r="O3633" s="74" t="b">
        <v>1</v>
      </c>
    </row>
    <row r="3634" hidden="1">
      <c r="A3634" s="82"/>
      <c r="B3634" s="65" t="s">
        <v>411</v>
      </c>
      <c r="C3634" s="65" t="s">
        <v>117</v>
      </c>
      <c r="D3634" s="65" t="str">
        <f>vlookup(C3634,'Classificação p pessoal'!F:G,2,false)</f>
        <v>NP</v>
      </c>
      <c r="E3634" s="65" t="s">
        <v>2579</v>
      </c>
      <c r="F3634" s="83">
        <v>0.5833333333333334</v>
      </c>
      <c r="G3634" s="83">
        <v>0.75</v>
      </c>
      <c r="H3634" s="83">
        <v>0.16666666666666666</v>
      </c>
      <c r="I3634" s="84">
        <v>44455.0</v>
      </c>
      <c r="J3634" s="65" t="b">
        <v>1</v>
      </c>
      <c r="K3634" s="65"/>
      <c r="L3634" s="85" t="b">
        <f>IF(VLOOKUP(C3634,Projetos!A:L,12,false)=TRUE,TRUE,FALSE)</f>
        <v>1</v>
      </c>
      <c r="M3634" s="74">
        <v>52.48434411075036</v>
      </c>
      <c r="N3634" s="74">
        <f t="shared" si="1"/>
        <v>209.9373764</v>
      </c>
      <c r="O3634" s="74" t="b">
        <v>1</v>
      </c>
    </row>
    <row r="3635" hidden="1">
      <c r="A3635" s="82"/>
      <c r="B3635" s="65" t="s">
        <v>411</v>
      </c>
      <c r="C3635" s="65" t="s">
        <v>92</v>
      </c>
      <c r="D3635" s="65"/>
      <c r="E3635" s="65" t="s">
        <v>2580</v>
      </c>
      <c r="F3635" s="83">
        <v>0.34375</v>
      </c>
      <c r="G3635" s="83">
        <v>0.3854166666666667</v>
      </c>
      <c r="H3635" s="83">
        <v>0.041666666666666664</v>
      </c>
      <c r="I3635" s="84">
        <v>44456.0</v>
      </c>
      <c r="J3635" s="65" t="b">
        <v>0</v>
      </c>
      <c r="K3635" s="65" t="s">
        <v>150</v>
      </c>
      <c r="L3635" s="85" t="b">
        <f>IF(VLOOKUP(C3635,Projetos!A:L,12,false)=TRUE,TRUE,FALSE)</f>
        <v>1</v>
      </c>
      <c r="M3635" s="74">
        <v>52.48434411075036</v>
      </c>
      <c r="N3635" s="74">
        <f t="shared" si="1"/>
        <v>0</v>
      </c>
      <c r="O3635" s="74" t="b">
        <v>1</v>
      </c>
    </row>
    <row r="3636" hidden="1">
      <c r="A3636" s="82"/>
      <c r="B3636" s="65" t="s">
        <v>411</v>
      </c>
      <c r="C3636" s="65" t="s">
        <v>117</v>
      </c>
      <c r="D3636" s="65" t="str">
        <f>vlookup(C3636,'Classificação p pessoal'!F:G,2,false)</f>
        <v>NP</v>
      </c>
      <c r="E3636" s="65" t="s">
        <v>2581</v>
      </c>
      <c r="F3636" s="83">
        <v>0.3854166666666667</v>
      </c>
      <c r="G3636" s="83">
        <v>0.4375</v>
      </c>
      <c r="H3636" s="83">
        <v>0.052083333333333336</v>
      </c>
      <c r="I3636" s="84">
        <v>44456.0</v>
      </c>
      <c r="J3636" s="65" t="b">
        <v>1</v>
      </c>
      <c r="K3636" s="65"/>
      <c r="L3636" s="85" t="b">
        <f>IF(VLOOKUP(C3636,Projetos!A:L,12,false)=TRUE,TRUE,FALSE)</f>
        <v>1</v>
      </c>
      <c r="M3636" s="74">
        <v>52.48434411075036</v>
      </c>
      <c r="N3636" s="74">
        <f t="shared" si="1"/>
        <v>65.60543014</v>
      </c>
      <c r="O3636" s="74" t="b">
        <v>1</v>
      </c>
    </row>
    <row r="3637" hidden="1">
      <c r="A3637" s="82"/>
      <c r="B3637" s="65" t="s">
        <v>411</v>
      </c>
      <c r="C3637" s="65" t="s">
        <v>117</v>
      </c>
      <c r="D3637" s="65" t="str">
        <f>vlookup(C3637,'Classificação p pessoal'!F:G,2,false)</f>
        <v>NP</v>
      </c>
      <c r="E3637" s="65" t="s">
        <v>2582</v>
      </c>
      <c r="F3637" s="83">
        <v>0.5416666666666666</v>
      </c>
      <c r="G3637" s="83">
        <v>0.75</v>
      </c>
      <c r="H3637" s="83">
        <v>0.20833333333333334</v>
      </c>
      <c r="I3637" s="84">
        <v>44456.0</v>
      </c>
      <c r="J3637" s="65" t="b">
        <v>1</v>
      </c>
      <c r="K3637" s="65"/>
      <c r="L3637" s="85" t="b">
        <f>IF(VLOOKUP(C3637,Projetos!A:L,12,false)=TRUE,TRUE,FALSE)</f>
        <v>1</v>
      </c>
      <c r="M3637" s="74">
        <v>52.48434411075036</v>
      </c>
      <c r="N3637" s="74">
        <f t="shared" si="1"/>
        <v>262.4217206</v>
      </c>
      <c r="O3637" s="74" t="b">
        <v>1</v>
      </c>
    </row>
    <row r="3638" hidden="1">
      <c r="A3638" s="82"/>
      <c r="B3638" s="65" t="s">
        <v>411</v>
      </c>
      <c r="C3638" s="65" t="s">
        <v>92</v>
      </c>
      <c r="D3638" s="65" t="str">
        <f>vlookup(C3638,'Classificação p pessoal'!F:G,2,false)</f>
        <v/>
      </c>
      <c r="E3638" s="65" t="s">
        <v>2583</v>
      </c>
      <c r="F3638" s="83">
        <v>0.34375</v>
      </c>
      <c r="G3638" s="83">
        <v>0.4375</v>
      </c>
      <c r="H3638" s="83">
        <v>0.09375</v>
      </c>
      <c r="I3638" s="84">
        <v>44460.0</v>
      </c>
      <c r="J3638" s="65" t="b">
        <v>1</v>
      </c>
      <c r="K3638" s="65"/>
      <c r="L3638" s="85" t="b">
        <f>IF(VLOOKUP(C3638,Projetos!A:L,12,false)=TRUE,TRUE,FALSE)</f>
        <v>1</v>
      </c>
      <c r="M3638" s="74">
        <v>52.48434411075036</v>
      </c>
      <c r="N3638" s="74">
        <f t="shared" si="1"/>
        <v>118.0897742</v>
      </c>
      <c r="O3638" s="74" t="b">
        <v>1</v>
      </c>
    </row>
    <row r="3639" hidden="1">
      <c r="A3639" s="82"/>
      <c r="B3639" s="65" t="s">
        <v>411</v>
      </c>
      <c r="C3639" s="65" t="s">
        <v>117</v>
      </c>
      <c r="D3639" s="65" t="str">
        <f>vlookup(C3639,'Classificação p pessoal'!F:G,2,false)</f>
        <v>NP</v>
      </c>
      <c r="E3639" s="65" t="s">
        <v>2205</v>
      </c>
      <c r="F3639" s="83">
        <v>0.4375</v>
      </c>
      <c r="G3639" s="83">
        <v>0.4791666666666667</v>
      </c>
      <c r="H3639" s="83">
        <v>0.041666666666666664</v>
      </c>
      <c r="I3639" s="84">
        <v>44460.0</v>
      </c>
      <c r="J3639" s="65" t="b">
        <v>1</v>
      </c>
      <c r="K3639" s="65"/>
      <c r="L3639" s="85" t="b">
        <f>IF(VLOOKUP(C3639,Projetos!A:L,12,false)=TRUE,TRUE,FALSE)</f>
        <v>1</v>
      </c>
      <c r="M3639" s="74">
        <v>52.48434411075036</v>
      </c>
      <c r="N3639" s="74">
        <f t="shared" si="1"/>
        <v>52.48434411</v>
      </c>
      <c r="O3639" s="74" t="b">
        <v>1</v>
      </c>
    </row>
    <row r="3640" hidden="1">
      <c r="A3640" s="82"/>
      <c r="B3640" s="65" t="s">
        <v>411</v>
      </c>
      <c r="C3640" s="65" t="s">
        <v>132</v>
      </c>
      <c r="D3640" s="65"/>
      <c r="E3640" s="65" t="s">
        <v>2584</v>
      </c>
      <c r="F3640" s="83">
        <v>0.4791666666666667</v>
      </c>
      <c r="G3640" s="83">
        <v>0.5208333333333334</v>
      </c>
      <c r="H3640" s="83">
        <v>0.041666666666666664</v>
      </c>
      <c r="I3640" s="84">
        <v>44460.0</v>
      </c>
      <c r="J3640" s="65" t="b">
        <v>1</v>
      </c>
      <c r="K3640" s="65"/>
      <c r="L3640" s="85" t="b">
        <f>IF(VLOOKUP(C3640,Projetos!A:L,12,false)=TRUE,TRUE,FALSE)</f>
        <v>0</v>
      </c>
      <c r="M3640" s="74">
        <v>52.48434411075036</v>
      </c>
      <c r="N3640" s="74">
        <f t="shared" si="1"/>
        <v>0</v>
      </c>
      <c r="O3640" s="74" t="b">
        <v>0</v>
      </c>
    </row>
    <row r="3641" hidden="1">
      <c r="A3641" s="82"/>
      <c r="B3641" s="65" t="s">
        <v>411</v>
      </c>
      <c r="C3641" s="65" t="s">
        <v>92</v>
      </c>
      <c r="D3641" s="65" t="str">
        <f>vlookup(C3641,'Classificação p pessoal'!F:G,2,false)</f>
        <v/>
      </c>
      <c r="E3641" s="65" t="s">
        <v>2585</v>
      </c>
      <c r="F3641" s="83">
        <v>0.5208333333333334</v>
      </c>
      <c r="G3641" s="83">
        <v>0.5833333333333334</v>
      </c>
      <c r="H3641" s="83">
        <v>0.0625</v>
      </c>
      <c r="I3641" s="84">
        <v>44460.0</v>
      </c>
      <c r="J3641" s="65" t="b">
        <v>1</v>
      </c>
      <c r="K3641" s="65"/>
      <c r="L3641" s="85" t="b">
        <f>IF(VLOOKUP(C3641,Projetos!A:L,12,false)=TRUE,TRUE,FALSE)</f>
        <v>1</v>
      </c>
      <c r="M3641" s="74">
        <v>52.48434411075036</v>
      </c>
      <c r="N3641" s="74">
        <f t="shared" si="1"/>
        <v>78.72651617</v>
      </c>
      <c r="O3641" s="74" t="b">
        <v>1</v>
      </c>
    </row>
    <row r="3642" hidden="1">
      <c r="A3642" s="82"/>
      <c r="B3642" s="65" t="s">
        <v>411</v>
      </c>
      <c r="C3642" s="65" t="s">
        <v>92</v>
      </c>
      <c r="D3642" s="65" t="str">
        <f>vlookup(C3642,'Classificação p pessoal'!F:G,2,false)</f>
        <v/>
      </c>
      <c r="E3642" s="65" t="s">
        <v>2586</v>
      </c>
      <c r="F3642" s="83">
        <v>0.625</v>
      </c>
      <c r="G3642" s="83">
        <v>0.6666666666666666</v>
      </c>
      <c r="H3642" s="83">
        <v>0.041666666666666664</v>
      </c>
      <c r="I3642" s="84">
        <v>44460.0</v>
      </c>
      <c r="J3642" s="65" t="b">
        <v>1</v>
      </c>
      <c r="K3642" s="65"/>
      <c r="L3642" s="85" t="b">
        <f>IF(VLOOKUP(C3642,Projetos!A:L,12,false)=TRUE,TRUE,FALSE)</f>
        <v>1</v>
      </c>
      <c r="M3642" s="74">
        <v>52.48434411075036</v>
      </c>
      <c r="N3642" s="74">
        <f t="shared" si="1"/>
        <v>52.48434411</v>
      </c>
      <c r="O3642" s="74" t="b">
        <v>1</v>
      </c>
    </row>
    <row r="3643" hidden="1">
      <c r="A3643" s="82"/>
      <c r="B3643" s="65" t="s">
        <v>411</v>
      </c>
      <c r="C3643" s="65" t="s">
        <v>117</v>
      </c>
      <c r="D3643" s="65"/>
      <c r="E3643" s="65" t="s">
        <v>615</v>
      </c>
      <c r="F3643" s="83">
        <v>0.6666666666666666</v>
      </c>
      <c r="G3643" s="83">
        <v>0.7083333333333334</v>
      </c>
      <c r="H3643" s="83">
        <v>0.041666666666666664</v>
      </c>
      <c r="I3643" s="84">
        <v>44460.0</v>
      </c>
      <c r="J3643" s="65" t="b">
        <v>0</v>
      </c>
      <c r="K3643" s="65" t="s">
        <v>150</v>
      </c>
      <c r="L3643" s="85" t="b">
        <f>IF(VLOOKUP(C3643,Projetos!A:L,12,false)=TRUE,TRUE,FALSE)</f>
        <v>1</v>
      </c>
      <c r="M3643" s="74">
        <v>52.48434411075036</v>
      </c>
      <c r="N3643" s="74">
        <f t="shared" si="1"/>
        <v>0</v>
      </c>
      <c r="O3643" s="74" t="b">
        <v>1</v>
      </c>
    </row>
    <row r="3644" hidden="1">
      <c r="A3644" s="82"/>
      <c r="B3644" s="65" t="s">
        <v>411</v>
      </c>
      <c r="C3644" s="65" t="s">
        <v>118</v>
      </c>
      <c r="D3644" s="65" t="str">
        <f>vlookup(C3644,'Classificação p pessoal'!F:G,2,false)</f>
        <v>MProduto</v>
      </c>
      <c r="E3644" s="65" t="s">
        <v>2587</v>
      </c>
      <c r="F3644" s="83">
        <v>0.34375</v>
      </c>
      <c r="G3644" s="83">
        <v>0.3854166666666667</v>
      </c>
      <c r="H3644" s="83">
        <v>0.041666666666666664</v>
      </c>
      <c r="I3644" s="84">
        <v>44461.0</v>
      </c>
      <c r="J3644" s="65" t="b">
        <v>1</v>
      </c>
      <c r="K3644" s="65"/>
      <c r="L3644" s="85" t="b">
        <f>IF(VLOOKUP(C3644,Projetos!A:L,12,false)=TRUE,TRUE,FALSE)</f>
        <v>1</v>
      </c>
      <c r="M3644" s="74">
        <v>52.48434411075036</v>
      </c>
      <c r="N3644" s="74">
        <f t="shared" si="1"/>
        <v>52.48434411</v>
      </c>
      <c r="O3644" s="74" t="b">
        <v>1</v>
      </c>
    </row>
    <row r="3645">
      <c r="A3645" s="82"/>
      <c r="B3645" s="65" t="s">
        <v>411</v>
      </c>
      <c r="C3645" s="65" t="s">
        <v>108</v>
      </c>
      <c r="D3645" s="65" t="str">
        <f>vlookup(C3645,'Classificação p pessoal'!F:G,2,false)</f>
        <v>NP</v>
      </c>
      <c r="E3645" s="65" t="s">
        <v>2587</v>
      </c>
      <c r="F3645" s="83">
        <v>0.3854166666666667</v>
      </c>
      <c r="G3645" s="83">
        <v>0.4791666666666667</v>
      </c>
      <c r="H3645" s="83">
        <v>0.09375</v>
      </c>
      <c r="I3645" s="84">
        <v>44461.0</v>
      </c>
      <c r="J3645" s="65" t="b">
        <v>1</v>
      </c>
      <c r="K3645" s="65"/>
      <c r="L3645" s="85" t="b">
        <f>IF(VLOOKUP(C3645,Projetos!A:L,12,false)=TRUE,TRUE,FALSE)</f>
        <v>1</v>
      </c>
      <c r="M3645" s="74">
        <v>52.48434411075036</v>
      </c>
      <c r="N3645" s="74">
        <f t="shared" si="1"/>
        <v>118.0897742</v>
      </c>
      <c r="O3645" s="74" t="b">
        <v>1</v>
      </c>
    </row>
    <row r="3646" hidden="1">
      <c r="A3646" s="82"/>
      <c r="B3646" s="65" t="s">
        <v>411</v>
      </c>
      <c r="C3646" s="65" t="s">
        <v>120</v>
      </c>
      <c r="D3646" s="65"/>
      <c r="E3646" s="65" t="s">
        <v>2588</v>
      </c>
      <c r="F3646" s="83">
        <v>0.4583333333333333</v>
      </c>
      <c r="G3646" s="83">
        <v>0.5</v>
      </c>
      <c r="H3646" s="83">
        <v>0.041666666666666664</v>
      </c>
      <c r="I3646" s="84">
        <v>44454.0</v>
      </c>
      <c r="J3646" s="65" t="b">
        <v>0</v>
      </c>
      <c r="K3646" s="65"/>
      <c r="L3646" s="85" t="b">
        <f>IF(VLOOKUP(C3646,Projetos!A:L,12,false)=TRUE,TRUE,FALSE)</f>
        <v>0</v>
      </c>
      <c r="M3646" s="74">
        <v>52.48434411075036</v>
      </c>
      <c r="N3646" s="74">
        <f t="shared" si="1"/>
        <v>0</v>
      </c>
      <c r="O3646" s="74" t="b">
        <v>0</v>
      </c>
    </row>
    <row r="3647" hidden="1">
      <c r="A3647" s="82"/>
      <c r="B3647" s="65" t="s">
        <v>411</v>
      </c>
      <c r="C3647" s="65" t="s">
        <v>117</v>
      </c>
      <c r="D3647" s="65" t="str">
        <f>vlookup(C3647,'Classificação p pessoal'!F:G,2,false)</f>
        <v>NP</v>
      </c>
      <c r="E3647" s="65" t="s">
        <v>2589</v>
      </c>
      <c r="F3647" s="83">
        <v>0.5833333333333334</v>
      </c>
      <c r="G3647" s="83">
        <v>0.6666666666666666</v>
      </c>
      <c r="H3647" s="83">
        <v>0.08333333333333333</v>
      </c>
      <c r="I3647" s="84">
        <v>44461.0</v>
      </c>
      <c r="J3647" s="65" t="b">
        <v>1</v>
      </c>
      <c r="K3647" s="65"/>
      <c r="L3647" s="85" t="b">
        <f>IF(VLOOKUP(C3647,Projetos!A:L,12,false)=TRUE,TRUE,FALSE)</f>
        <v>1</v>
      </c>
      <c r="M3647" s="74">
        <v>52.48434411075036</v>
      </c>
      <c r="N3647" s="74">
        <f t="shared" si="1"/>
        <v>104.9686882</v>
      </c>
      <c r="O3647" s="74" t="b">
        <v>1</v>
      </c>
    </row>
    <row r="3648" hidden="1">
      <c r="A3648" s="82"/>
      <c r="B3648" s="65" t="s">
        <v>411</v>
      </c>
      <c r="C3648" s="65" t="s">
        <v>84</v>
      </c>
      <c r="D3648" s="65"/>
      <c r="E3648" s="65" t="s">
        <v>2590</v>
      </c>
      <c r="F3648" s="83">
        <v>0.6666666666666666</v>
      </c>
      <c r="G3648" s="83">
        <v>0.7083333333333334</v>
      </c>
      <c r="H3648" s="83">
        <v>0.041666666666666664</v>
      </c>
      <c r="I3648" s="84">
        <v>44461.0</v>
      </c>
      <c r="J3648" s="65" t="b">
        <v>0</v>
      </c>
      <c r="K3648" s="65"/>
      <c r="L3648" s="85" t="b">
        <f>IF(VLOOKUP(C3648,Projetos!A:L,12,false)=TRUE,TRUE,FALSE)</f>
        <v>0</v>
      </c>
      <c r="M3648" s="74">
        <v>52.48434411075036</v>
      </c>
      <c r="N3648" s="74">
        <f t="shared" si="1"/>
        <v>0</v>
      </c>
      <c r="O3648" s="74" t="b">
        <v>0</v>
      </c>
    </row>
    <row r="3649" hidden="1">
      <c r="A3649" s="82"/>
      <c r="B3649" s="65" t="s">
        <v>411</v>
      </c>
      <c r="C3649" s="65" t="s">
        <v>117</v>
      </c>
      <c r="D3649" s="65" t="str">
        <f>vlookup(C3649,'Classificação p pessoal'!F:G,2,false)</f>
        <v>NP</v>
      </c>
      <c r="E3649" s="65" t="s">
        <v>2591</v>
      </c>
      <c r="F3649" s="83">
        <v>0.7083333333333334</v>
      </c>
      <c r="G3649" s="83">
        <v>0.75</v>
      </c>
      <c r="H3649" s="83">
        <v>0.041666666666666664</v>
      </c>
      <c r="I3649" s="84">
        <v>44461.0</v>
      </c>
      <c r="J3649" s="65" t="b">
        <v>1</v>
      </c>
      <c r="K3649" s="65"/>
      <c r="L3649" s="85" t="b">
        <f>IF(VLOOKUP(C3649,Projetos!A:L,12,false)=TRUE,TRUE,FALSE)</f>
        <v>1</v>
      </c>
      <c r="M3649" s="74">
        <v>52.48434411075036</v>
      </c>
      <c r="N3649" s="74">
        <f t="shared" si="1"/>
        <v>52.48434411</v>
      </c>
      <c r="O3649" s="74" t="b">
        <v>1</v>
      </c>
    </row>
    <row r="3650" hidden="1">
      <c r="A3650" s="82"/>
      <c r="B3650" s="65" t="s">
        <v>411</v>
      </c>
      <c r="C3650" s="65" t="s">
        <v>117</v>
      </c>
      <c r="D3650" s="65"/>
      <c r="E3650" s="65" t="s">
        <v>615</v>
      </c>
      <c r="F3650" s="83">
        <v>0.34375</v>
      </c>
      <c r="G3650" s="83">
        <v>0.40625</v>
      </c>
      <c r="H3650" s="83">
        <v>0.0625</v>
      </c>
      <c r="I3650" s="84">
        <v>44462.0</v>
      </c>
      <c r="J3650" s="65" t="b">
        <v>0</v>
      </c>
      <c r="K3650" s="65" t="s">
        <v>150</v>
      </c>
      <c r="L3650" s="85" t="b">
        <f>IF(VLOOKUP(C3650,Projetos!A:L,12,false)=TRUE,TRUE,FALSE)</f>
        <v>1</v>
      </c>
      <c r="M3650" s="74">
        <v>52.48434411075036</v>
      </c>
      <c r="N3650" s="74">
        <f t="shared" si="1"/>
        <v>0</v>
      </c>
      <c r="O3650" s="74" t="b">
        <v>1</v>
      </c>
    </row>
    <row r="3651" hidden="1">
      <c r="A3651" s="82"/>
      <c r="B3651" s="65" t="s">
        <v>411</v>
      </c>
      <c r="C3651" s="65" t="s">
        <v>84</v>
      </c>
      <c r="D3651" s="65"/>
      <c r="E3651" s="65" t="s">
        <v>2592</v>
      </c>
      <c r="F3651" s="83">
        <v>0.40625</v>
      </c>
      <c r="G3651" s="83">
        <v>0.4375</v>
      </c>
      <c r="H3651" s="83">
        <v>0.03125</v>
      </c>
      <c r="I3651" s="84">
        <v>44462.0</v>
      </c>
      <c r="J3651" s="65" t="b">
        <v>0</v>
      </c>
      <c r="K3651" s="65"/>
      <c r="L3651" s="85" t="b">
        <f>IF(VLOOKUP(C3651,Projetos!A:L,12,false)=TRUE,TRUE,FALSE)</f>
        <v>0</v>
      </c>
      <c r="M3651" s="74">
        <v>52.48434411075036</v>
      </c>
      <c r="N3651" s="74">
        <f t="shared" si="1"/>
        <v>0</v>
      </c>
      <c r="O3651" s="74" t="b">
        <v>0</v>
      </c>
    </row>
    <row r="3652" hidden="1">
      <c r="A3652" s="82"/>
      <c r="B3652" s="65" t="s">
        <v>411</v>
      </c>
      <c r="C3652" s="65" t="s">
        <v>120</v>
      </c>
      <c r="D3652" s="65"/>
      <c r="E3652" s="65" t="s">
        <v>2546</v>
      </c>
      <c r="F3652" s="83">
        <v>0.4583333333333333</v>
      </c>
      <c r="G3652" s="83">
        <v>0.5</v>
      </c>
      <c r="H3652" s="83">
        <v>0.041666666666666664</v>
      </c>
      <c r="I3652" s="84">
        <v>44462.0</v>
      </c>
      <c r="J3652" s="65" t="b">
        <v>0</v>
      </c>
      <c r="K3652" s="65"/>
      <c r="L3652" s="85" t="b">
        <f>IF(VLOOKUP(C3652,Projetos!A:L,12,false)=TRUE,TRUE,FALSE)</f>
        <v>0</v>
      </c>
      <c r="M3652" s="74">
        <v>52.48434411075036</v>
      </c>
      <c r="N3652" s="74">
        <f t="shared" si="1"/>
        <v>0</v>
      </c>
      <c r="O3652" s="74" t="b">
        <v>0</v>
      </c>
    </row>
    <row r="3653" hidden="1">
      <c r="A3653" s="82"/>
      <c r="B3653" s="65" t="s">
        <v>411</v>
      </c>
      <c r="C3653" s="65" t="s">
        <v>92</v>
      </c>
      <c r="D3653" s="65" t="str">
        <f>vlookup(C3653,'Classificação p pessoal'!F:G,2,false)</f>
        <v/>
      </c>
      <c r="E3653" s="65" t="s">
        <v>2593</v>
      </c>
      <c r="F3653" s="83">
        <v>0.5</v>
      </c>
      <c r="G3653" s="83">
        <v>0.5416666666666666</v>
      </c>
      <c r="H3653" s="83">
        <v>0.041666666666666664</v>
      </c>
      <c r="I3653" s="84">
        <v>44462.0</v>
      </c>
      <c r="J3653" s="65" t="b">
        <v>1</v>
      </c>
      <c r="K3653" s="65"/>
      <c r="L3653" s="85" t="b">
        <f>IF(VLOOKUP(C3653,Projetos!A:L,12,false)=TRUE,TRUE,FALSE)</f>
        <v>1</v>
      </c>
      <c r="M3653" s="74">
        <v>52.48434411075036</v>
      </c>
      <c r="N3653" s="74">
        <f t="shared" si="1"/>
        <v>52.48434411</v>
      </c>
      <c r="O3653" s="74" t="b">
        <v>1</v>
      </c>
    </row>
    <row r="3654" hidden="1">
      <c r="A3654" s="82"/>
      <c r="B3654" s="65" t="s">
        <v>411</v>
      </c>
      <c r="C3654" s="65" t="s">
        <v>120</v>
      </c>
      <c r="D3654" s="65"/>
      <c r="E3654" s="65" t="s">
        <v>2594</v>
      </c>
      <c r="F3654" s="83">
        <v>0.5833333333333334</v>
      </c>
      <c r="G3654" s="83">
        <v>0.625</v>
      </c>
      <c r="H3654" s="83">
        <v>0.041666666666666664</v>
      </c>
      <c r="I3654" s="84">
        <v>44462.0</v>
      </c>
      <c r="J3654" s="65" t="b">
        <v>0</v>
      </c>
      <c r="K3654" s="65"/>
      <c r="L3654" s="85" t="b">
        <f>IF(VLOOKUP(C3654,Projetos!A:L,12,false)=TRUE,TRUE,FALSE)</f>
        <v>0</v>
      </c>
      <c r="M3654" s="74">
        <v>52.48434411075036</v>
      </c>
      <c r="N3654" s="74">
        <f t="shared" si="1"/>
        <v>0</v>
      </c>
      <c r="O3654" s="74" t="b">
        <v>0</v>
      </c>
    </row>
    <row r="3655" hidden="1">
      <c r="A3655" s="82"/>
      <c r="B3655" s="65" t="s">
        <v>411</v>
      </c>
      <c r="C3655" s="65" t="s">
        <v>119</v>
      </c>
      <c r="D3655" s="65" t="str">
        <f>vlookup(C3655,'Classificação p pessoal'!F:G,2,false)</f>
        <v>NP</v>
      </c>
      <c r="E3655" s="65" t="s">
        <v>2595</v>
      </c>
      <c r="F3655" s="83">
        <v>0.625</v>
      </c>
      <c r="G3655" s="83">
        <v>0.6666666666666666</v>
      </c>
      <c r="H3655" s="83">
        <v>0.041666666666666664</v>
      </c>
      <c r="I3655" s="84">
        <v>44462.0</v>
      </c>
      <c r="J3655" s="65" t="b">
        <v>1</v>
      </c>
      <c r="K3655" s="65"/>
      <c r="L3655" s="85" t="b">
        <f>IF(VLOOKUP(C3655,Projetos!A:L,12,false)=TRUE,TRUE,FALSE)</f>
        <v>1</v>
      </c>
      <c r="M3655" s="74">
        <v>52.48434411075036</v>
      </c>
      <c r="N3655" s="74">
        <f t="shared" si="1"/>
        <v>52.48434411</v>
      </c>
      <c r="O3655" s="74" t="b">
        <v>1</v>
      </c>
    </row>
    <row r="3656" hidden="1">
      <c r="A3656" s="82"/>
      <c r="B3656" s="65" t="s">
        <v>411</v>
      </c>
      <c r="C3656" s="65" t="s">
        <v>117</v>
      </c>
      <c r="D3656" s="65" t="str">
        <f>vlookup(C3656,'Classificação p pessoal'!F:G,2,false)</f>
        <v>NP</v>
      </c>
      <c r="E3656" s="65" t="s">
        <v>2596</v>
      </c>
      <c r="F3656" s="83">
        <v>0.6666666666666666</v>
      </c>
      <c r="G3656" s="83">
        <v>0.75</v>
      </c>
      <c r="H3656" s="83">
        <v>0.08333333333333333</v>
      </c>
      <c r="I3656" s="84">
        <v>44462.0</v>
      </c>
      <c r="J3656" s="65" t="b">
        <v>1</v>
      </c>
      <c r="K3656" s="65"/>
      <c r="L3656" s="85" t="b">
        <f>IF(VLOOKUP(C3656,Projetos!A:L,12,false)=TRUE,TRUE,FALSE)</f>
        <v>1</v>
      </c>
      <c r="M3656" s="74">
        <v>52.48434411075036</v>
      </c>
      <c r="N3656" s="74">
        <f t="shared" si="1"/>
        <v>104.9686882</v>
      </c>
      <c r="O3656" s="74" t="b">
        <v>1</v>
      </c>
    </row>
    <row r="3657" hidden="1">
      <c r="A3657" s="82"/>
      <c r="B3657" s="65" t="s">
        <v>467</v>
      </c>
      <c r="C3657" s="65" t="s">
        <v>113</v>
      </c>
      <c r="D3657" s="65" t="str">
        <f>vlookup(C3657,'Classificação p pessoal'!F:G,2,false)</f>
        <v>NP</v>
      </c>
      <c r="E3657" s="65" t="s">
        <v>2597</v>
      </c>
      <c r="F3657" s="83">
        <v>0.5729166666666666</v>
      </c>
      <c r="G3657" s="83">
        <v>0.625</v>
      </c>
      <c r="H3657" s="83">
        <v>0.052083333333333336</v>
      </c>
      <c r="I3657" s="84">
        <v>44438.0</v>
      </c>
      <c r="J3657" s="65" t="b">
        <v>1</v>
      </c>
      <c r="K3657" s="65"/>
      <c r="L3657" s="85" t="b">
        <f>IF(VLOOKUP(C3657,Projetos!A:L,12,false)=TRUE,TRUE,FALSE)</f>
        <v>1</v>
      </c>
      <c r="M3657" s="74">
        <v>52.1518759018759</v>
      </c>
      <c r="N3657" s="74">
        <f t="shared" si="1"/>
        <v>65.18984488</v>
      </c>
      <c r="O3657" s="74" t="b">
        <v>1</v>
      </c>
    </row>
    <row r="3658" hidden="1">
      <c r="A3658" s="82"/>
      <c r="B3658" s="65" t="s">
        <v>411</v>
      </c>
      <c r="C3658" s="65" t="s">
        <v>84</v>
      </c>
      <c r="D3658" s="65"/>
      <c r="E3658" s="65" t="s">
        <v>2592</v>
      </c>
      <c r="F3658" s="83">
        <v>0.4583333333333333</v>
      </c>
      <c r="G3658" s="83">
        <v>0.4791666666666667</v>
      </c>
      <c r="H3658" s="83">
        <v>0.020833333333333332</v>
      </c>
      <c r="I3658" s="84">
        <v>44463.0</v>
      </c>
      <c r="J3658" s="65" t="b">
        <v>0</v>
      </c>
      <c r="K3658" s="65"/>
      <c r="L3658" s="85" t="b">
        <f>IF(VLOOKUP(C3658,Projetos!A:L,12,false)=TRUE,TRUE,FALSE)</f>
        <v>0</v>
      </c>
      <c r="M3658" s="74">
        <v>52.48434411075036</v>
      </c>
      <c r="N3658" s="74">
        <f t="shared" si="1"/>
        <v>0</v>
      </c>
      <c r="O3658" s="74" t="b">
        <v>0</v>
      </c>
    </row>
    <row r="3659" hidden="1">
      <c r="A3659" s="82"/>
      <c r="B3659" s="65" t="s">
        <v>411</v>
      </c>
      <c r="C3659" s="65" t="s">
        <v>120</v>
      </c>
      <c r="D3659" s="65"/>
      <c r="E3659" s="65" t="s">
        <v>2598</v>
      </c>
      <c r="F3659" s="83">
        <v>0.4791666666666667</v>
      </c>
      <c r="G3659" s="83">
        <v>0.5208333333333334</v>
      </c>
      <c r="H3659" s="83">
        <v>0.041666666666666664</v>
      </c>
      <c r="I3659" s="84">
        <v>44463.0</v>
      </c>
      <c r="J3659" s="65" t="b">
        <v>0</v>
      </c>
      <c r="K3659" s="65" t="s">
        <v>150</v>
      </c>
      <c r="L3659" s="85" t="b">
        <f>IF(VLOOKUP(C3659,Projetos!A:L,12,false)=TRUE,TRUE,FALSE)</f>
        <v>0</v>
      </c>
      <c r="M3659" s="74">
        <v>52.48434411075036</v>
      </c>
      <c r="N3659" s="74">
        <f t="shared" si="1"/>
        <v>0</v>
      </c>
      <c r="O3659" s="74" t="b">
        <v>0</v>
      </c>
    </row>
    <row r="3660" hidden="1">
      <c r="A3660" s="82"/>
      <c r="B3660" s="65" t="s">
        <v>411</v>
      </c>
      <c r="C3660" s="65" t="s">
        <v>92</v>
      </c>
      <c r="D3660" s="65" t="str">
        <f>vlookup(C3660,'Classificação p pessoal'!F:G,2,false)</f>
        <v/>
      </c>
      <c r="E3660" s="65" t="s">
        <v>2593</v>
      </c>
      <c r="F3660" s="83">
        <v>0.5625</v>
      </c>
      <c r="G3660" s="83">
        <v>0.625</v>
      </c>
      <c r="H3660" s="83">
        <v>0.0625</v>
      </c>
      <c r="I3660" s="84">
        <v>44463.0</v>
      </c>
      <c r="J3660" s="65" t="b">
        <v>1</v>
      </c>
      <c r="K3660" s="65"/>
      <c r="L3660" s="85" t="b">
        <f>IF(VLOOKUP(C3660,Projetos!A:L,12,false)=TRUE,TRUE,FALSE)</f>
        <v>1</v>
      </c>
      <c r="M3660" s="74">
        <v>52.48434411075036</v>
      </c>
      <c r="N3660" s="74">
        <f t="shared" si="1"/>
        <v>78.72651617</v>
      </c>
      <c r="O3660" s="74" t="b">
        <v>1</v>
      </c>
    </row>
    <row r="3661" hidden="1">
      <c r="A3661" s="82"/>
      <c r="B3661" s="65" t="s">
        <v>411</v>
      </c>
      <c r="C3661" s="65" t="s">
        <v>117</v>
      </c>
      <c r="D3661" s="65" t="str">
        <f>vlookup(C3661,'Classificação p pessoal'!F:G,2,false)</f>
        <v>NP</v>
      </c>
      <c r="E3661" s="65" t="s">
        <v>2599</v>
      </c>
      <c r="F3661" s="83">
        <v>0.625</v>
      </c>
      <c r="G3661" s="83">
        <v>0.6875</v>
      </c>
      <c r="H3661" s="83">
        <v>0.0625</v>
      </c>
      <c r="I3661" s="84">
        <v>44463.0</v>
      </c>
      <c r="J3661" s="65" t="b">
        <v>1</v>
      </c>
      <c r="K3661" s="65"/>
      <c r="L3661" s="85" t="b">
        <f>IF(VLOOKUP(C3661,Projetos!A:L,12,false)=TRUE,TRUE,FALSE)</f>
        <v>1</v>
      </c>
      <c r="M3661" s="74">
        <v>52.48434411075036</v>
      </c>
      <c r="N3661" s="74">
        <f t="shared" si="1"/>
        <v>78.72651617</v>
      </c>
      <c r="O3661" s="74" t="b">
        <v>1</v>
      </c>
    </row>
    <row r="3662" hidden="1">
      <c r="A3662" s="82"/>
      <c r="B3662" s="65" t="s">
        <v>411</v>
      </c>
      <c r="C3662" s="65" t="s">
        <v>120</v>
      </c>
      <c r="D3662" s="65"/>
      <c r="E3662" s="65" t="s">
        <v>2594</v>
      </c>
      <c r="F3662" s="83">
        <v>0.6875</v>
      </c>
      <c r="G3662" s="83">
        <v>0.7291666666666666</v>
      </c>
      <c r="H3662" s="83">
        <v>0.041666666666666664</v>
      </c>
      <c r="I3662" s="84">
        <v>44463.0</v>
      </c>
      <c r="J3662" s="65" t="b">
        <v>0</v>
      </c>
      <c r="K3662" s="65"/>
      <c r="L3662" s="85" t="b">
        <f>IF(VLOOKUP(C3662,Projetos!A:L,12,false)=TRUE,TRUE,FALSE)</f>
        <v>0</v>
      </c>
      <c r="M3662" s="74">
        <v>52.48434411075036</v>
      </c>
      <c r="N3662" s="74">
        <f t="shared" si="1"/>
        <v>0</v>
      </c>
      <c r="O3662" s="74" t="b">
        <v>0</v>
      </c>
    </row>
    <row r="3663" hidden="1">
      <c r="A3663" s="82"/>
      <c r="B3663" s="65" t="s">
        <v>411</v>
      </c>
      <c r="C3663" s="65" t="s">
        <v>117</v>
      </c>
      <c r="D3663" s="65" t="str">
        <f>vlookup(C3663,'Classificação p pessoal'!F:G,2,false)</f>
        <v>NP</v>
      </c>
      <c r="E3663" s="65" t="s">
        <v>2600</v>
      </c>
      <c r="F3663" s="83">
        <v>0.7291666666666666</v>
      </c>
      <c r="G3663" s="83">
        <v>0.75</v>
      </c>
      <c r="H3663" s="83">
        <v>0.020833333333333332</v>
      </c>
      <c r="I3663" s="84">
        <v>44463.0</v>
      </c>
      <c r="J3663" s="65" t="b">
        <v>1</v>
      </c>
      <c r="K3663" s="65"/>
      <c r="L3663" s="85" t="b">
        <f>IF(VLOOKUP(C3663,Projetos!A:L,12,false)=TRUE,TRUE,FALSE)</f>
        <v>1</v>
      </c>
      <c r="M3663" s="74">
        <v>52.48434411075036</v>
      </c>
      <c r="N3663" s="74">
        <f t="shared" si="1"/>
        <v>26.24217206</v>
      </c>
      <c r="O3663" s="74" t="b">
        <v>1</v>
      </c>
    </row>
    <row r="3664" hidden="1">
      <c r="A3664" s="82"/>
      <c r="B3664" s="65" t="s">
        <v>411</v>
      </c>
      <c r="C3664" s="65" t="s">
        <v>117</v>
      </c>
      <c r="D3664" s="65" t="str">
        <f>vlookup(C3664,'Classificação p pessoal'!F:G,2,false)</f>
        <v>NP</v>
      </c>
      <c r="E3664" s="65" t="s">
        <v>2601</v>
      </c>
      <c r="F3664" s="83">
        <v>0.3333333333333333</v>
      </c>
      <c r="G3664" s="83">
        <v>0.75</v>
      </c>
      <c r="H3664" s="83">
        <v>0.4166666666666667</v>
      </c>
      <c r="I3664" s="84">
        <v>44466.0</v>
      </c>
      <c r="J3664" s="65" t="b">
        <v>1</v>
      </c>
      <c r="K3664" s="65"/>
      <c r="L3664" s="85" t="b">
        <f>IF(VLOOKUP(C3664,Projetos!A:L,12,false)=TRUE,TRUE,FALSE)</f>
        <v>1</v>
      </c>
      <c r="M3664" s="74">
        <v>52.48434411075036</v>
      </c>
      <c r="N3664" s="74">
        <f t="shared" si="1"/>
        <v>524.8434411</v>
      </c>
      <c r="O3664" s="74" t="b">
        <v>1</v>
      </c>
    </row>
    <row r="3665" hidden="1">
      <c r="A3665" s="82"/>
      <c r="B3665" s="65" t="s">
        <v>411</v>
      </c>
      <c r="C3665" s="65" t="s">
        <v>117</v>
      </c>
      <c r="D3665" s="65" t="str">
        <f>vlookup(C3665,'Classificação p pessoal'!F:G,2,false)</f>
        <v>NP</v>
      </c>
      <c r="E3665" s="65" t="s">
        <v>2602</v>
      </c>
      <c r="F3665" s="83">
        <v>0.3333333333333333</v>
      </c>
      <c r="G3665" s="83">
        <v>0.75</v>
      </c>
      <c r="H3665" s="83">
        <v>0.4166666666666667</v>
      </c>
      <c r="I3665" s="84">
        <v>44467.0</v>
      </c>
      <c r="J3665" s="65" t="b">
        <v>1</v>
      </c>
      <c r="K3665" s="65"/>
      <c r="L3665" s="85" t="b">
        <f>IF(VLOOKUP(C3665,Projetos!A:L,12,false)=TRUE,TRUE,FALSE)</f>
        <v>1</v>
      </c>
      <c r="M3665" s="74">
        <v>52.48434411075036</v>
      </c>
      <c r="N3665" s="74">
        <f t="shared" si="1"/>
        <v>524.8434411</v>
      </c>
      <c r="O3665" s="74" t="b">
        <v>1</v>
      </c>
    </row>
    <row r="3666" hidden="1">
      <c r="A3666" s="82"/>
      <c r="B3666" s="65" t="s">
        <v>411</v>
      </c>
      <c r="C3666" s="65" t="s">
        <v>117</v>
      </c>
      <c r="D3666" s="65" t="str">
        <f>vlookup(C3666,'Classificação p pessoal'!F:G,2,false)</f>
        <v>NP</v>
      </c>
      <c r="E3666" s="65" t="s">
        <v>2603</v>
      </c>
      <c r="F3666" s="83">
        <v>0.34375</v>
      </c>
      <c r="G3666" s="83">
        <v>0.375</v>
      </c>
      <c r="H3666" s="83">
        <v>0.03125</v>
      </c>
      <c r="I3666" s="84">
        <v>44468.0</v>
      </c>
      <c r="J3666" s="65" t="b">
        <v>1</v>
      </c>
      <c r="K3666" s="65"/>
      <c r="L3666" s="85" t="b">
        <f>IF(VLOOKUP(C3666,Projetos!A:L,12,false)=TRUE,TRUE,FALSE)</f>
        <v>1</v>
      </c>
      <c r="M3666" s="74">
        <v>52.48434411075036</v>
      </c>
      <c r="N3666" s="74">
        <f t="shared" si="1"/>
        <v>39.36325808</v>
      </c>
      <c r="O3666" s="74" t="b">
        <v>1</v>
      </c>
    </row>
    <row r="3667">
      <c r="A3667" s="82"/>
      <c r="B3667" s="65" t="s">
        <v>411</v>
      </c>
      <c r="C3667" s="65" t="s">
        <v>108</v>
      </c>
      <c r="D3667" s="65" t="str">
        <f>vlookup(C3667,'Classificação p pessoal'!F:G,2,false)</f>
        <v>NP</v>
      </c>
      <c r="E3667" s="65" t="s">
        <v>2604</v>
      </c>
      <c r="F3667" s="83">
        <v>0.375</v>
      </c>
      <c r="G3667" s="83">
        <v>0.3958333333333333</v>
      </c>
      <c r="H3667" s="83">
        <v>0.020833333333333332</v>
      </c>
      <c r="I3667" s="84">
        <v>44468.0</v>
      </c>
      <c r="J3667" s="65" t="b">
        <v>1</v>
      </c>
      <c r="K3667" s="65"/>
      <c r="L3667" s="85" t="b">
        <f>IF(VLOOKUP(C3667,Projetos!A:L,12,false)=TRUE,TRUE,FALSE)</f>
        <v>1</v>
      </c>
      <c r="M3667" s="74">
        <v>52.48434411075036</v>
      </c>
      <c r="N3667" s="74">
        <f t="shared" si="1"/>
        <v>26.24217206</v>
      </c>
      <c r="O3667" s="74" t="b">
        <v>1</v>
      </c>
    </row>
    <row r="3668" hidden="1">
      <c r="A3668" s="82"/>
      <c r="B3668" s="65" t="s">
        <v>411</v>
      </c>
      <c r="C3668" s="65" t="s">
        <v>117</v>
      </c>
      <c r="D3668" s="65" t="str">
        <f>vlookup(C3668,'Classificação p pessoal'!F:G,2,false)</f>
        <v>NP</v>
      </c>
      <c r="E3668" s="65" t="s">
        <v>2605</v>
      </c>
      <c r="F3668" s="83">
        <v>0.3958333333333333</v>
      </c>
      <c r="G3668" s="83">
        <v>0.75</v>
      </c>
      <c r="H3668" s="83">
        <v>0.3541666666666667</v>
      </c>
      <c r="I3668" s="84">
        <v>44468.0</v>
      </c>
      <c r="J3668" s="65" t="b">
        <v>1</v>
      </c>
      <c r="K3668" s="65"/>
      <c r="L3668" s="85" t="b">
        <f>IF(VLOOKUP(C3668,Projetos!A:L,12,false)=TRUE,TRUE,FALSE)</f>
        <v>1</v>
      </c>
      <c r="M3668" s="74">
        <v>52.48434411075036</v>
      </c>
      <c r="N3668" s="74">
        <f t="shared" si="1"/>
        <v>446.1169249</v>
      </c>
      <c r="O3668" s="74" t="b">
        <v>1</v>
      </c>
    </row>
    <row r="3669" hidden="1">
      <c r="A3669" s="82"/>
      <c r="B3669" s="65" t="s">
        <v>467</v>
      </c>
      <c r="C3669" s="65" t="s">
        <v>113</v>
      </c>
      <c r="D3669" s="65" t="str">
        <f>vlookup(C3669,'Classificação p pessoal'!F:G,2,false)</f>
        <v>NP</v>
      </c>
      <c r="E3669" s="65" t="s">
        <v>2606</v>
      </c>
      <c r="F3669" s="83">
        <v>0.6458333333333334</v>
      </c>
      <c r="G3669" s="83">
        <v>0.7291666666666666</v>
      </c>
      <c r="H3669" s="83">
        <v>0.08333333333333333</v>
      </c>
      <c r="I3669" s="84">
        <v>44438.0</v>
      </c>
      <c r="J3669" s="65" t="b">
        <v>1</v>
      </c>
      <c r="K3669" s="65"/>
      <c r="L3669" s="85" t="b">
        <f>IF(VLOOKUP(C3669,Projetos!A:L,12,false)=TRUE,TRUE,FALSE)</f>
        <v>1</v>
      </c>
      <c r="M3669" s="74">
        <v>52.1518759018759</v>
      </c>
      <c r="N3669" s="74">
        <f t="shared" si="1"/>
        <v>104.3037518</v>
      </c>
      <c r="O3669" s="74" t="b">
        <v>1</v>
      </c>
    </row>
    <row r="3670" hidden="1">
      <c r="A3670" s="82"/>
      <c r="B3670" s="65" t="s">
        <v>411</v>
      </c>
      <c r="C3670" s="65" t="s">
        <v>84</v>
      </c>
      <c r="D3670" s="65"/>
      <c r="E3670" s="65" t="s">
        <v>2607</v>
      </c>
      <c r="F3670" s="83">
        <v>0.4791666666666667</v>
      </c>
      <c r="G3670" s="83">
        <v>0.5</v>
      </c>
      <c r="H3670" s="83">
        <v>0.020833333333333332</v>
      </c>
      <c r="I3670" s="84">
        <v>44469.0</v>
      </c>
      <c r="J3670" s="65" t="b">
        <v>0</v>
      </c>
      <c r="K3670" s="65"/>
      <c r="L3670" s="85" t="b">
        <f>IF(VLOOKUP(C3670,Projetos!A:L,12,false)=TRUE,TRUE,FALSE)</f>
        <v>0</v>
      </c>
      <c r="M3670" s="74">
        <v>52.48434411075036</v>
      </c>
      <c r="N3670" s="74">
        <f t="shared" si="1"/>
        <v>0</v>
      </c>
      <c r="O3670" s="74" t="b">
        <v>0</v>
      </c>
    </row>
    <row r="3671" hidden="1">
      <c r="A3671" s="82"/>
      <c r="B3671" s="65" t="s">
        <v>411</v>
      </c>
      <c r="C3671" s="65" t="s">
        <v>117</v>
      </c>
      <c r="D3671" s="65" t="str">
        <f>vlookup(C3671,'Classificação p pessoal'!F:G,2,false)</f>
        <v>NP</v>
      </c>
      <c r="E3671" s="65" t="s">
        <v>2608</v>
      </c>
      <c r="F3671" s="83">
        <v>0.5</v>
      </c>
      <c r="G3671" s="83">
        <v>0.5416666666666666</v>
      </c>
      <c r="H3671" s="83">
        <v>0.041666666666666664</v>
      </c>
      <c r="I3671" s="84">
        <v>44469.0</v>
      </c>
      <c r="J3671" s="65" t="b">
        <v>1</v>
      </c>
      <c r="K3671" s="65"/>
      <c r="L3671" s="85" t="b">
        <f>IF(VLOOKUP(C3671,Projetos!A:L,12,false)=TRUE,TRUE,FALSE)</f>
        <v>1</v>
      </c>
      <c r="M3671" s="74">
        <v>52.48434411075036</v>
      </c>
      <c r="N3671" s="74">
        <f t="shared" si="1"/>
        <v>52.48434411</v>
      </c>
      <c r="O3671" s="74" t="b">
        <v>1</v>
      </c>
    </row>
    <row r="3672" hidden="1">
      <c r="A3672" s="82"/>
      <c r="B3672" s="65" t="s">
        <v>411</v>
      </c>
      <c r="C3672" s="65" t="s">
        <v>120</v>
      </c>
      <c r="D3672" s="65"/>
      <c r="E3672" s="65" t="s">
        <v>2609</v>
      </c>
      <c r="F3672" s="83">
        <v>0.5833333333333334</v>
      </c>
      <c r="G3672" s="83">
        <v>0.6319444444444444</v>
      </c>
      <c r="H3672" s="83">
        <v>0.04861111111111111</v>
      </c>
      <c r="I3672" s="84">
        <v>44469.0</v>
      </c>
      <c r="J3672" s="65" t="b">
        <v>0</v>
      </c>
      <c r="K3672" s="65"/>
      <c r="L3672" s="85" t="b">
        <f>IF(VLOOKUP(C3672,Projetos!A:L,12,false)=TRUE,TRUE,FALSE)</f>
        <v>0</v>
      </c>
      <c r="M3672" s="74">
        <v>52.48434411075036</v>
      </c>
      <c r="N3672" s="74">
        <f t="shared" si="1"/>
        <v>0</v>
      </c>
      <c r="O3672" s="74" t="b">
        <v>0</v>
      </c>
    </row>
    <row r="3673" hidden="1">
      <c r="A3673" s="82"/>
      <c r="B3673" s="65" t="s">
        <v>411</v>
      </c>
      <c r="C3673" s="65" t="s">
        <v>117</v>
      </c>
      <c r="D3673" s="65" t="str">
        <f>vlookup(C3673,'Classificação p pessoal'!F:G,2,false)</f>
        <v>NP</v>
      </c>
      <c r="E3673" s="65" t="s">
        <v>2610</v>
      </c>
      <c r="F3673" s="83">
        <v>0.6319444444444444</v>
      </c>
      <c r="G3673" s="83">
        <v>0.75</v>
      </c>
      <c r="H3673" s="83">
        <v>0.11805555555555555</v>
      </c>
      <c r="I3673" s="84">
        <v>44469.0</v>
      </c>
      <c r="J3673" s="65" t="b">
        <v>1</v>
      </c>
      <c r="K3673" s="65"/>
      <c r="L3673" s="85" t="b">
        <f>IF(VLOOKUP(C3673,Projetos!A:L,12,false)=TRUE,TRUE,FALSE)</f>
        <v>1</v>
      </c>
      <c r="M3673" s="74">
        <v>52.48434411075036</v>
      </c>
      <c r="N3673" s="74">
        <f t="shared" si="1"/>
        <v>148.7056416</v>
      </c>
      <c r="O3673" s="74" t="b">
        <v>1</v>
      </c>
    </row>
    <row r="3674" hidden="1">
      <c r="A3674" s="82"/>
      <c r="B3674" s="65" t="s">
        <v>411</v>
      </c>
      <c r="C3674" s="65" t="s">
        <v>117</v>
      </c>
      <c r="D3674" s="65" t="str">
        <f>vlookup(C3674,'Classificação p pessoal'!F:G,2,false)</f>
        <v>NP</v>
      </c>
      <c r="E3674" s="65" t="s">
        <v>2611</v>
      </c>
      <c r="F3674" s="83">
        <v>0.34375</v>
      </c>
      <c r="G3674" s="83">
        <v>0.4375</v>
      </c>
      <c r="H3674" s="83">
        <v>0.09375</v>
      </c>
      <c r="I3674" s="84">
        <v>44470.0</v>
      </c>
      <c r="J3674" s="65" t="b">
        <v>1</v>
      </c>
      <c r="K3674" s="65"/>
      <c r="L3674" s="85" t="b">
        <f>IF(VLOOKUP(C3674,Projetos!A:L,12,false)=TRUE,TRUE,FALSE)</f>
        <v>1</v>
      </c>
      <c r="M3674" s="74">
        <v>52.48434411075036</v>
      </c>
      <c r="N3674" s="74">
        <f t="shared" si="1"/>
        <v>118.0897742</v>
      </c>
      <c r="O3674" s="74" t="b">
        <v>1</v>
      </c>
    </row>
    <row r="3675" hidden="1">
      <c r="A3675" s="82"/>
      <c r="B3675" s="65" t="s">
        <v>411</v>
      </c>
      <c r="C3675" s="65" t="s">
        <v>120</v>
      </c>
      <c r="D3675" s="65"/>
      <c r="E3675" s="65" t="s">
        <v>2612</v>
      </c>
      <c r="F3675" s="83">
        <v>0.4375</v>
      </c>
      <c r="G3675" s="83">
        <v>0.4791666666666667</v>
      </c>
      <c r="H3675" s="83">
        <v>0.041666666666666664</v>
      </c>
      <c r="I3675" s="84">
        <v>44470.0</v>
      </c>
      <c r="J3675" s="65" t="b">
        <v>0</v>
      </c>
      <c r="K3675" s="65"/>
      <c r="L3675" s="85" t="b">
        <f>IF(VLOOKUP(C3675,Projetos!A:L,12,false)=TRUE,TRUE,FALSE)</f>
        <v>0</v>
      </c>
      <c r="M3675" s="74">
        <v>52.48434411075036</v>
      </c>
      <c r="N3675" s="74">
        <f t="shared" si="1"/>
        <v>0</v>
      </c>
      <c r="O3675" s="74" t="b">
        <v>0</v>
      </c>
    </row>
    <row r="3676" hidden="1">
      <c r="A3676" s="82"/>
      <c r="B3676" s="65" t="s">
        <v>411</v>
      </c>
      <c r="C3676" s="65" t="s">
        <v>101</v>
      </c>
      <c r="D3676" s="65"/>
      <c r="E3676" s="65" t="s">
        <v>2613</v>
      </c>
      <c r="F3676" s="83">
        <v>0.4791666666666667</v>
      </c>
      <c r="G3676" s="83">
        <v>0.5208333333333334</v>
      </c>
      <c r="H3676" s="83">
        <v>0.041666666666666664</v>
      </c>
      <c r="I3676" s="84">
        <v>44470.0</v>
      </c>
      <c r="J3676" s="65" t="b">
        <v>0</v>
      </c>
      <c r="K3676" s="65" t="s">
        <v>150</v>
      </c>
      <c r="L3676" s="85" t="b">
        <f>IF(VLOOKUP(C3676,Projetos!A:L,12,false)=TRUE,TRUE,FALSE)</f>
        <v>1</v>
      </c>
      <c r="M3676" s="74">
        <v>52.48434411075036</v>
      </c>
      <c r="N3676" s="74">
        <f t="shared" si="1"/>
        <v>0</v>
      </c>
      <c r="O3676" s="74" t="b">
        <v>1</v>
      </c>
    </row>
    <row r="3677" hidden="1">
      <c r="A3677" s="82"/>
      <c r="B3677" s="65" t="s">
        <v>411</v>
      </c>
      <c r="C3677" s="65" t="s">
        <v>117</v>
      </c>
      <c r="D3677" s="65" t="str">
        <f>vlookup(C3677,'Classificação p pessoal'!F:G,2,false)</f>
        <v>NP</v>
      </c>
      <c r="E3677" s="65" t="s">
        <v>2614</v>
      </c>
      <c r="F3677" s="83">
        <v>0.5208333333333334</v>
      </c>
      <c r="G3677" s="83">
        <v>0.5625</v>
      </c>
      <c r="H3677" s="83">
        <v>0.041666666666666664</v>
      </c>
      <c r="I3677" s="84">
        <v>44470.0</v>
      </c>
      <c r="J3677" s="65" t="b">
        <v>1</v>
      </c>
      <c r="K3677" s="65"/>
      <c r="L3677" s="85" t="b">
        <f>IF(VLOOKUP(C3677,Projetos!A:L,12,false)=TRUE,TRUE,FALSE)</f>
        <v>1</v>
      </c>
      <c r="M3677" s="74">
        <v>52.48434411075036</v>
      </c>
      <c r="N3677" s="74">
        <f t="shared" si="1"/>
        <v>52.48434411</v>
      </c>
      <c r="O3677" s="74" t="b">
        <v>1</v>
      </c>
    </row>
    <row r="3678" hidden="1">
      <c r="A3678" s="82"/>
      <c r="B3678" s="65" t="s">
        <v>411</v>
      </c>
      <c r="C3678" s="65" t="s">
        <v>117</v>
      </c>
      <c r="D3678" s="65"/>
      <c r="E3678" s="65" t="s">
        <v>2615</v>
      </c>
      <c r="F3678" s="83">
        <v>0.6041666666666666</v>
      </c>
      <c r="G3678" s="83">
        <v>0.75</v>
      </c>
      <c r="H3678" s="83">
        <v>0.14583333333333334</v>
      </c>
      <c r="I3678" s="84">
        <v>44470.0</v>
      </c>
      <c r="J3678" s="65" t="b">
        <v>0</v>
      </c>
      <c r="K3678" s="65" t="s">
        <v>150</v>
      </c>
      <c r="L3678" s="85" t="b">
        <f>IF(VLOOKUP(C3678,Projetos!A:L,12,false)=TRUE,TRUE,FALSE)</f>
        <v>1</v>
      </c>
      <c r="M3678" s="74">
        <v>52.48434411075036</v>
      </c>
      <c r="N3678" s="74">
        <f t="shared" si="1"/>
        <v>0</v>
      </c>
      <c r="O3678" s="74" t="b">
        <v>1</v>
      </c>
    </row>
    <row r="3679" hidden="1">
      <c r="A3679" s="82"/>
      <c r="B3679" s="65" t="s">
        <v>411</v>
      </c>
      <c r="C3679" s="65" t="s">
        <v>101</v>
      </c>
      <c r="D3679" s="65"/>
      <c r="E3679" s="65" t="s">
        <v>2616</v>
      </c>
      <c r="F3679" s="83">
        <v>0.34375</v>
      </c>
      <c r="G3679" s="83">
        <v>0.375</v>
      </c>
      <c r="H3679" s="83">
        <v>0.03125</v>
      </c>
      <c r="I3679" s="84">
        <v>44474.0</v>
      </c>
      <c r="J3679" s="65" t="b">
        <v>0</v>
      </c>
      <c r="K3679" s="65" t="s">
        <v>150</v>
      </c>
      <c r="L3679" s="85" t="b">
        <f>IF(VLOOKUP(C3679,Projetos!A:L,12,false)=TRUE,TRUE,FALSE)</f>
        <v>1</v>
      </c>
      <c r="M3679" s="74">
        <v>52.48434411075036</v>
      </c>
      <c r="N3679" s="74">
        <f t="shared" si="1"/>
        <v>0</v>
      </c>
      <c r="O3679" s="74" t="b">
        <v>1</v>
      </c>
    </row>
    <row r="3680" hidden="1">
      <c r="A3680" s="82"/>
      <c r="B3680" s="65" t="s">
        <v>411</v>
      </c>
      <c r="C3680" s="65" t="s">
        <v>121</v>
      </c>
      <c r="D3680" s="65"/>
      <c r="E3680" s="65" t="s">
        <v>2617</v>
      </c>
      <c r="F3680" s="83">
        <v>0.375</v>
      </c>
      <c r="G3680" s="83">
        <v>0.4375</v>
      </c>
      <c r="H3680" s="83">
        <v>0.0625</v>
      </c>
      <c r="I3680" s="84">
        <v>44474.0</v>
      </c>
      <c r="J3680" s="65" t="b">
        <v>0</v>
      </c>
      <c r="K3680" s="65" t="s">
        <v>150</v>
      </c>
      <c r="L3680" s="85" t="b">
        <f>IF(VLOOKUP(C3680,Projetos!A:L,12,false)=TRUE,TRUE,FALSE)</f>
        <v>1</v>
      </c>
      <c r="M3680" s="74">
        <v>52.48434411075036</v>
      </c>
      <c r="N3680" s="74">
        <f t="shared" si="1"/>
        <v>0</v>
      </c>
      <c r="O3680" s="74" t="b">
        <v>1</v>
      </c>
    </row>
    <row r="3681" hidden="1">
      <c r="A3681" s="82"/>
      <c r="B3681" s="65" t="s">
        <v>411</v>
      </c>
      <c r="C3681" s="65" t="s">
        <v>120</v>
      </c>
      <c r="D3681" s="65"/>
      <c r="E3681" s="65" t="s">
        <v>2618</v>
      </c>
      <c r="F3681" s="83">
        <v>0.4375</v>
      </c>
      <c r="G3681" s="83">
        <v>0.4583333333333333</v>
      </c>
      <c r="H3681" s="83">
        <v>0.020833333333333332</v>
      </c>
      <c r="I3681" s="84">
        <v>44474.0</v>
      </c>
      <c r="J3681" s="65" t="b">
        <v>0</v>
      </c>
      <c r="K3681" s="65"/>
      <c r="L3681" s="85" t="b">
        <f>IF(VLOOKUP(C3681,Projetos!A:L,12,false)=TRUE,TRUE,FALSE)</f>
        <v>0</v>
      </c>
      <c r="M3681" s="74">
        <v>52.48434411075036</v>
      </c>
      <c r="N3681" s="74">
        <f t="shared" si="1"/>
        <v>0</v>
      </c>
      <c r="O3681" s="74" t="b">
        <v>0</v>
      </c>
    </row>
    <row r="3682" hidden="1">
      <c r="A3682" s="82"/>
      <c r="B3682" s="65" t="s">
        <v>411</v>
      </c>
      <c r="C3682" s="65" t="s">
        <v>117</v>
      </c>
      <c r="D3682" s="65" t="str">
        <f>vlookup(C3682,'Classificação p pessoal'!F:G,2,false)</f>
        <v>NP</v>
      </c>
      <c r="E3682" s="65" t="s">
        <v>2619</v>
      </c>
      <c r="F3682" s="83">
        <v>0.4583333333333333</v>
      </c>
      <c r="G3682" s="83">
        <v>0.5833333333333334</v>
      </c>
      <c r="H3682" s="83">
        <v>0.125</v>
      </c>
      <c r="I3682" s="84">
        <v>44474.0</v>
      </c>
      <c r="J3682" s="65" t="b">
        <v>1</v>
      </c>
      <c r="K3682" s="65"/>
      <c r="L3682" s="85" t="b">
        <f>IF(VLOOKUP(C3682,Projetos!A:L,12,false)=TRUE,TRUE,FALSE)</f>
        <v>1</v>
      </c>
      <c r="M3682" s="74">
        <v>52.48434411075036</v>
      </c>
      <c r="N3682" s="74">
        <f t="shared" si="1"/>
        <v>157.4530323</v>
      </c>
      <c r="O3682" s="74" t="b">
        <v>1</v>
      </c>
    </row>
    <row r="3683" hidden="1">
      <c r="A3683" s="82"/>
      <c r="B3683" s="65" t="s">
        <v>411</v>
      </c>
      <c r="C3683" s="65" t="s">
        <v>84</v>
      </c>
      <c r="D3683" s="65"/>
      <c r="E3683" s="65" t="s">
        <v>2620</v>
      </c>
      <c r="F3683" s="83">
        <v>0.625</v>
      </c>
      <c r="G3683" s="83">
        <v>0.6666666666666666</v>
      </c>
      <c r="H3683" s="83">
        <v>0.041666666666666664</v>
      </c>
      <c r="I3683" s="84">
        <v>44474.0</v>
      </c>
      <c r="J3683" s="65" t="b">
        <v>0</v>
      </c>
      <c r="K3683" s="65"/>
      <c r="L3683" s="85" t="b">
        <f>IF(VLOOKUP(C3683,Projetos!A:L,12,false)=TRUE,TRUE,FALSE)</f>
        <v>0</v>
      </c>
      <c r="M3683" s="74">
        <v>52.48434411075036</v>
      </c>
      <c r="N3683" s="74">
        <f t="shared" si="1"/>
        <v>0</v>
      </c>
      <c r="O3683" s="74" t="b">
        <v>0</v>
      </c>
    </row>
    <row r="3684" hidden="1">
      <c r="A3684" s="82"/>
      <c r="B3684" s="65" t="s">
        <v>411</v>
      </c>
      <c r="C3684" s="65" t="s">
        <v>117</v>
      </c>
      <c r="D3684" s="65" t="str">
        <f>vlookup(C3684,'Classificação p pessoal'!F:G,2,false)</f>
        <v>NP</v>
      </c>
      <c r="E3684" s="65" t="s">
        <v>2621</v>
      </c>
      <c r="F3684" s="83">
        <v>0.6666666666666666</v>
      </c>
      <c r="G3684" s="83">
        <v>0.75</v>
      </c>
      <c r="H3684" s="83">
        <v>0.08333333333333333</v>
      </c>
      <c r="I3684" s="84">
        <v>44474.0</v>
      </c>
      <c r="J3684" s="65" t="b">
        <v>1</v>
      </c>
      <c r="K3684" s="65"/>
      <c r="L3684" s="85" t="b">
        <f>IF(VLOOKUP(C3684,Projetos!A:L,12,false)=TRUE,TRUE,FALSE)</f>
        <v>1</v>
      </c>
      <c r="M3684" s="74">
        <v>52.48434411075036</v>
      </c>
      <c r="N3684" s="74">
        <f t="shared" si="1"/>
        <v>104.9686882</v>
      </c>
      <c r="O3684" s="74" t="b">
        <v>1</v>
      </c>
    </row>
    <row r="3685" hidden="1">
      <c r="A3685" s="82"/>
      <c r="B3685" s="65" t="s">
        <v>411</v>
      </c>
      <c r="C3685" s="65" t="s">
        <v>120</v>
      </c>
      <c r="D3685" s="65"/>
      <c r="E3685" s="65" t="s">
        <v>2383</v>
      </c>
      <c r="F3685" s="83">
        <v>0.34375</v>
      </c>
      <c r="G3685" s="83">
        <v>0.375</v>
      </c>
      <c r="H3685" s="83">
        <v>0.03125</v>
      </c>
      <c r="I3685" s="84">
        <v>44475.0</v>
      </c>
      <c r="J3685" s="65" t="b">
        <v>0</v>
      </c>
      <c r="K3685" s="65"/>
      <c r="L3685" s="85" t="b">
        <f>IF(VLOOKUP(C3685,Projetos!A:L,12,false)=TRUE,TRUE,FALSE)</f>
        <v>0</v>
      </c>
      <c r="M3685" s="74">
        <v>52.48434411075036</v>
      </c>
      <c r="N3685" s="74">
        <f t="shared" si="1"/>
        <v>0</v>
      </c>
      <c r="O3685" s="74" t="b">
        <v>0</v>
      </c>
    </row>
    <row r="3686" hidden="1">
      <c r="A3686" s="82"/>
      <c r="B3686" s="65" t="s">
        <v>411</v>
      </c>
      <c r="C3686" s="65" t="s">
        <v>117</v>
      </c>
      <c r="D3686" s="65" t="str">
        <f>vlookup(C3686,'Classificação p pessoal'!F:G,2,false)</f>
        <v>NP</v>
      </c>
      <c r="E3686" s="65" t="s">
        <v>2622</v>
      </c>
      <c r="F3686" s="83">
        <v>0.375</v>
      </c>
      <c r="G3686" s="83">
        <v>0.5208333333333334</v>
      </c>
      <c r="H3686" s="83">
        <v>0.14583333333333334</v>
      </c>
      <c r="I3686" s="84">
        <v>44475.0</v>
      </c>
      <c r="J3686" s="65" t="b">
        <v>1</v>
      </c>
      <c r="K3686" s="65"/>
      <c r="L3686" s="85" t="b">
        <f>IF(VLOOKUP(C3686,Projetos!A:L,12,false)=TRUE,TRUE,FALSE)</f>
        <v>1</v>
      </c>
      <c r="M3686" s="74">
        <v>52.48434411075036</v>
      </c>
      <c r="N3686" s="74">
        <f t="shared" si="1"/>
        <v>183.6952044</v>
      </c>
      <c r="O3686" s="74" t="b">
        <v>1</v>
      </c>
    </row>
    <row r="3687" hidden="1">
      <c r="A3687" s="82"/>
      <c r="B3687" s="65" t="s">
        <v>411</v>
      </c>
      <c r="C3687" s="65" t="s">
        <v>117</v>
      </c>
      <c r="D3687" s="65" t="str">
        <f>vlookup(C3687,'Classificação p pessoal'!F:G,2,false)</f>
        <v>NP</v>
      </c>
      <c r="E3687" s="65" t="s">
        <v>2623</v>
      </c>
      <c r="F3687" s="83">
        <v>0.34375</v>
      </c>
      <c r="G3687" s="83">
        <v>0.375</v>
      </c>
      <c r="H3687" s="83">
        <v>0.03125</v>
      </c>
      <c r="I3687" s="84">
        <v>44476.0</v>
      </c>
      <c r="J3687" s="65" t="b">
        <v>1</v>
      </c>
      <c r="K3687" s="65"/>
      <c r="L3687" s="85" t="b">
        <f>IF(VLOOKUP(C3687,Projetos!A:L,12,false)=TRUE,TRUE,FALSE)</f>
        <v>1</v>
      </c>
      <c r="M3687" s="74">
        <v>52.48434411075036</v>
      </c>
      <c r="N3687" s="74">
        <f t="shared" si="1"/>
        <v>39.36325808</v>
      </c>
      <c r="O3687" s="74" t="b">
        <v>1</v>
      </c>
    </row>
    <row r="3688" hidden="1">
      <c r="A3688" s="82"/>
      <c r="B3688" s="65" t="s">
        <v>411</v>
      </c>
      <c r="C3688" s="65" t="s">
        <v>132</v>
      </c>
      <c r="D3688" s="65"/>
      <c r="E3688" s="65" t="s">
        <v>2624</v>
      </c>
      <c r="F3688" s="83">
        <v>0.375</v>
      </c>
      <c r="G3688" s="83">
        <v>0.3958333333333333</v>
      </c>
      <c r="H3688" s="83">
        <v>0.020833333333333332</v>
      </c>
      <c r="I3688" s="84">
        <v>44476.0</v>
      </c>
      <c r="J3688" s="65" t="b">
        <v>1</v>
      </c>
      <c r="K3688" s="65"/>
      <c r="L3688" s="85" t="b">
        <f>IF(VLOOKUP(C3688,Projetos!A:L,12,false)=TRUE,TRUE,FALSE)</f>
        <v>0</v>
      </c>
      <c r="M3688" s="74">
        <v>52.48434411075036</v>
      </c>
      <c r="N3688" s="74">
        <f t="shared" si="1"/>
        <v>0</v>
      </c>
      <c r="O3688" s="74" t="b">
        <v>0</v>
      </c>
    </row>
    <row r="3689" hidden="1">
      <c r="A3689" s="82"/>
      <c r="B3689" s="65" t="s">
        <v>411</v>
      </c>
      <c r="C3689" s="65" t="s">
        <v>92</v>
      </c>
      <c r="D3689" s="65" t="str">
        <f>vlookup(C3689,'Classificação p pessoal'!F:G,2,false)</f>
        <v/>
      </c>
      <c r="E3689" s="65" t="s">
        <v>2625</v>
      </c>
      <c r="F3689" s="83">
        <v>0.3958333333333333</v>
      </c>
      <c r="G3689" s="83">
        <v>0.4375</v>
      </c>
      <c r="H3689" s="83">
        <v>0.041666666666666664</v>
      </c>
      <c r="I3689" s="84">
        <v>44476.0</v>
      </c>
      <c r="J3689" s="65" t="b">
        <v>1</v>
      </c>
      <c r="K3689" s="65"/>
      <c r="L3689" s="85" t="b">
        <f>IF(VLOOKUP(C3689,Projetos!A:L,12,false)=TRUE,TRUE,FALSE)</f>
        <v>1</v>
      </c>
      <c r="M3689" s="74">
        <v>52.48434411075036</v>
      </c>
      <c r="N3689" s="74">
        <f t="shared" si="1"/>
        <v>52.48434411</v>
      </c>
      <c r="O3689" s="74" t="b">
        <v>1</v>
      </c>
    </row>
    <row r="3690" hidden="1">
      <c r="A3690" s="82"/>
      <c r="B3690" s="65" t="s">
        <v>411</v>
      </c>
      <c r="C3690" s="65" t="s">
        <v>117</v>
      </c>
      <c r="D3690" s="65" t="str">
        <f>vlookup(C3690,'Classificação p pessoal'!F:G,2,false)</f>
        <v>NP</v>
      </c>
      <c r="E3690" s="65" t="s">
        <v>2626</v>
      </c>
      <c r="F3690" s="83">
        <v>0.4375</v>
      </c>
      <c r="G3690" s="83">
        <v>0.5625</v>
      </c>
      <c r="H3690" s="83">
        <v>0.125</v>
      </c>
      <c r="I3690" s="84">
        <v>44476.0</v>
      </c>
      <c r="J3690" s="65" t="b">
        <v>1</v>
      </c>
      <c r="K3690" s="65"/>
      <c r="L3690" s="85" t="b">
        <f>IF(VLOOKUP(C3690,Projetos!A:L,12,false)=TRUE,TRUE,FALSE)</f>
        <v>1</v>
      </c>
      <c r="M3690" s="74">
        <v>52.48434411075036</v>
      </c>
      <c r="N3690" s="74">
        <f t="shared" si="1"/>
        <v>157.4530323</v>
      </c>
      <c r="O3690" s="74" t="b">
        <v>1</v>
      </c>
    </row>
    <row r="3691" hidden="1">
      <c r="A3691" s="82"/>
      <c r="B3691" s="65" t="s">
        <v>411</v>
      </c>
      <c r="C3691" s="65" t="s">
        <v>117</v>
      </c>
      <c r="D3691" s="65" t="str">
        <f>vlookup(C3691,'Classificação p pessoal'!F:G,2,false)</f>
        <v>NP</v>
      </c>
      <c r="E3691" s="65" t="s">
        <v>2627</v>
      </c>
      <c r="F3691" s="83">
        <v>0.6458333333333334</v>
      </c>
      <c r="G3691" s="83">
        <v>0.7291666666666666</v>
      </c>
      <c r="H3691" s="83">
        <v>0.08333333333333333</v>
      </c>
      <c r="I3691" s="84">
        <v>44476.0</v>
      </c>
      <c r="J3691" s="65" t="b">
        <v>1</v>
      </c>
      <c r="K3691" s="65"/>
      <c r="L3691" s="85" t="b">
        <f>IF(VLOOKUP(C3691,Projetos!A:L,12,false)=TRUE,TRUE,FALSE)</f>
        <v>1</v>
      </c>
      <c r="M3691" s="74">
        <v>52.48434411075036</v>
      </c>
      <c r="N3691" s="74">
        <f t="shared" si="1"/>
        <v>104.9686882</v>
      </c>
      <c r="O3691" s="74" t="b">
        <v>1</v>
      </c>
    </row>
    <row r="3692" hidden="1">
      <c r="A3692" s="82"/>
      <c r="B3692" s="65" t="s">
        <v>411</v>
      </c>
      <c r="C3692" s="65" t="s">
        <v>120</v>
      </c>
      <c r="D3692" s="65"/>
      <c r="E3692" s="65" t="s">
        <v>2628</v>
      </c>
      <c r="F3692" s="83">
        <v>0.7291666666666666</v>
      </c>
      <c r="G3692" s="83">
        <v>0.75</v>
      </c>
      <c r="H3692" s="83">
        <v>0.020833333333333332</v>
      </c>
      <c r="I3692" s="84">
        <v>44476.0</v>
      </c>
      <c r="J3692" s="65" t="b">
        <v>0</v>
      </c>
      <c r="K3692" s="65"/>
      <c r="L3692" s="85" t="b">
        <f>IF(VLOOKUP(C3692,Projetos!A:L,12,false)=TRUE,TRUE,FALSE)</f>
        <v>0</v>
      </c>
      <c r="M3692" s="74">
        <v>52.48434411075036</v>
      </c>
      <c r="N3692" s="74">
        <f t="shared" si="1"/>
        <v>0</v>
      </c>
      <c r="O3692" s="74" t="b">
        <v>0</v>
      </c>
    </row>
    <row r="3693" hidden="1">
      <c r="A3693" s="82"/>
      <c r="B3693" s="65" t="s">
        <v>411</v>
      </c>
      <c r="C3693" s="65" t="s">
        <v>117</v>
      </c>
      <c r="D3693" s="65"/>
      <c r="E3693" s="65" t="s">
        <v>2629</v>
      </c>
      <c r="F3693" s="83">
        <v>0.34375</v>
      </c>
      <c r="G3693" s="83">
        <v>0.375</v>
      </c>
      <c r="H3693" s="83">
        <v>0.03125</v>
      </c>
      <c r="I3693" s="84">
        <v>44477.0</v>
      </c>
      <c r="J3693" s="65" t="b">
        <v>0</v>
      </c>
      <c r="K3693" s="65" t="s">
        <v>150</v>
      </c>
      <c r="L3693" s="85" t="b">
        <f>IF(VLOOKUP(C3693,Projetos!A:L,12,false)=TRUE,TRUE,FALSE)</f>
        <v>1</v>
      </c>
      <c r="M3693" s="74">
        <v>52.48434411075036</v>
      </c>
      <c r="N3693" s="74">
        <f t="shared" si="1"/>
        <v>0</v>
      </c>
      <c r="O3693" s="74" t="b">
        <v>1</v>
      </c>
    </row>
    <row r="3694" hidden="1">
      <c r="A3694" s="82"/>
      <c r="B3694" s="65" t="s">
        <v>411</v>
      </c>
      <c r="C3694" s="65" t="s">
        <v>114</v>
      </c>
      <c r="D3694" s="65" t="str">
        <f>vlookup(C3694,'Classificação p pessoal'!F:G,2,false)</f>
        <v>NP</v>
      </c>
      <c r="E3694" s="65" t="s">
        <v>2630</v>
      </c>
      <c r="F3694" s="83">
        <v>0.375</v>
      </c>
      <c r="G3694" s="83">
        <v>0.4166666666666667</v>
      </c>
      <c r="H3694" s="83">
        <v>0.041666666666666664</v>
      </c>
      <c r="I3694" s="84">
        <v>44477.0</v>
      </c>
      <c r="J3694" s="65" t="b">
        <v>1</v>
      </c>
      <c r="K3694" s="65"/>
      <c r="L3694" s="85" t="b">
        <f>IF(VLOOKUP(C3694,Projetos!A:L,12,false)=TRUE,TRUE,FALSE)</f>
        <v>1</v>
      </c>
      <c r="M3694" s="74">
        <v>52.48434411075036</v>
      </c>
      <c r="N3694" s="74">
        <f t="shared" si="1"/>
        <v>52.48434411</v>
      </c>
      <c r="O3694" s="74" t="b">
        <v>1</v>
      </c>
    </row>
    <row r="3695" hidden="1">
      <c r="A3695" s="82"/>
      <c r="B3695" s="65" t="s">
        <v>411</v>
      </c>
      <c r="C3695" s="65" t="s">
        <v>117</v>
      </c>
      <c r="D3695" s="65" t="str">
        <f>vlookup(C3695,'Classificação p pessoal'!F:G,2,false)</f>
        <v>NP</v>
      </c>
      <c r="E3695" s="65" t="s">
        <v>2628</v>
      </c>
      <c r="F3695" s="83">
        <v>0.4166666666666667</v>
      </c>
      <c r="G3695" s="83">
        <v>0.5</v>
      </c>
      <c r="H3695" s="83">
        <v>0.08333333333333333</v>
      </c>
      <c r="I3695" s="84">
        <v>44477.0</v>
      </c>
      <c r="J3695" s="65" t="b">
        <v>1</v>
      </c>
      <c r="K3695" s="65"/>
      <c r="L3695" s="85" t="b">
        <f>IF(VLOOKUP(C3695,Projetos!A:L,12,false)=TRUE,TRUE,FALSE)</f>
        <v>1</v>
      </c>
      <c r="M3695" s="74">
        <v>52.48434411075036</v>
      </c>
      <c r="N3695" s="74">
        <f t="shared" si="1"/>
        <v>104.9686882</v>
      </c>
      <c r="O3695" s="74" t="b">
        <v>1</v>
      </c>
    </row>
    <row r="3696" hidden="1">
      <c r="A3696" s="82"/>
      <c r="B3696" s="65" t="s">
        <v>411</v>
      </c>
      <c r="C3696" s="65" t="s">
        <v>101</v>
      </c>
      <c r="D3696" s="65"/>
      <c r="E3696" s="65" t="s">
        <v>2631</v>
      </c>
      <c r="F3696" s="83">
        <v>0.5</v>
      </c>
      <c r="G3696" s="83">
        <v>0.5416666666666666</v>
      </c>
      <c r="H3696" s="83">
        <v>0.041666666666666664</v>
      </c>
      <c r="I3696" s="84">
        <v>44477.0</v>
      </c>
      <c r="J3696" s="65" t="b">
        <v>0</v>
      </c>
      <c r="K3696" s="65" t="s">
        <v>150</v>
      </c>
      <c r="L3696" s="85" t="b">
        <f>IF(VLOOKUP(C3696,Projetos!A:L,12,false)=TRUE,TRUE,FALSE)</f>
        <v>1</v>
      </c>
      <c r="M3696" s="74">
        <v>52.48434411075036</v>
      </c>
      <c r="N3696" s="74">
        <f t="shared" si="1"/>
        <v>0</v>
      </c>
      <c r="O3696" s="74" t="b">
        <v>1</v>
      </c>
    </row>
    <row r="3697" hidden="1">
      <c r="A3697" s="82"/>
      <c r="B3697" s="65" t="s">
        <v>411</v>
      </c>
      <c r="C3697" s="65" t="s">
        <v>117</v>
      </c>
      <c r="D3697" s="65" t="str">
        <f>vlookup(C3697,'Classificação p pessoal'!F:G,2,false)</f>
        <v>NP</v>
      </c>
      <c r="E3697" s="65" t="s">
        <v>2632</v>
      </c>
      <c r="F3697" s="83">
        <v>0.5833333333333334</v>
      </c>
      <c r="G3697" s="83">
        <v>0.6770833333333334</v>
      </c>
      <c r="H3697" s="83">
        <v>0.09375</v>
      </c>
      <c r="I3697" s="84">
        <v>44477.0</v>
      </c>
      <c r="J3697" s="65" t="b">
        <v>1</v>
      </c>
      <c r="K3697" s="65"/>
      <c r="L3697" s="85" t="b">
        <f>IF(VLOOKUP(C3697,Projetos!A:L,12,false)=TRUE,TRUE,FALSE)</f>
        <v>1</v>
      </c>
      <c r="M3697" s="74">
        <v>52.48434411075036</v>
      </c>
      <c r="N3697" s="74">
        <f t="shared" si="1"/>
        <v>118.0897742</v>
      </c>
      <c r="O3697" s="74" t="b">
        <v>1</v>
      </c>
    </row>
    <row r="3698" hidden="1">
      <c r="A3698" s="82"/>
      <c r="B3698" s="65" t="s">
        <v>411</v>
      </c>
      <c r="C3698" s="65" t="s">
        <v>117</v>
      </c>
      <c r="D3698" s="65" t="str">
        <f>vlookup(C3698,'Classificação p pessoal'!F:G,2,false)</f>
        <v>NP</v>
      </c>
      <c r="E3698" s="65" t="s">
        <v>2633</v>
      </c>
      <c r="F3698" s="83">
        <v>0.7048611111111112</v>
      </c>
      <c r="G3698" s="83">
        <v>0.75</v>
      </c>
      <c r="H3698" s="83">
        <v>0.04513888888888889</v>
      </c>
      <c r="I3698" s="84">
        <v>44477.0</v>
      </c>
      <c r="J3698" s="65" t="b">
        <v>1</v>
      </c>
      <c r="K3698" s="65"/>
      <c r="L3698" s="85" t="b">
        <f>IF(VLOOKUP(C3698,Projetos!A:L,12,false)=TRUE,TRUE,FALSE)</f>
        <v>1</v>
      </c>
      <c r="M3698" s="74">
        <v>52.48434411075036</v>
      </c>
      <c r="N3698" s="74">
        <f t="shared" si="1"/>
        <v>56.85803945</v>
      </c>
      <c r="O3698" s="74" t="b">
        <v>1</v>
      </c>
    </row>
    <row r="3699" hidden="1">
      <c r="A3699" s="82"/>
      <c r="B3699" s="65" t="s">
        <v>411</v>
      </c>
      <c r="C3699" s="65" t="s">
        <v>117</v>
      </c>
      <c r="D3699" s="65" t="str">
        <f>vlookup(C3699,'Classificação p pessoal'!F:G,2,false)</f>
        <v>NP</v>
      </c>
      <c r="E3699" s="65" t="s">
        <v>2634</v>
      </c>
      <c r="F3699" s="83">
        <v>0.34375</v>
      </c>
      <c r="G3699" s="83">
        <v>0.375</v>
      </c>
      <c r="H3699" s="83">
        <v>0.03125</v>
      </c>
      <c r="I3699" s="84">
        <v>44480.0</v>
      </c>
      <c r="J3699" s="65" t="b">
        <v>1</v>
      </c>
      <c r="K3699" s="65"/>
      <c r="L3699" s="85" t="b">
        <f>IF(VLOOKUP(C3699,Projetos!A:L,12,false)=TRUE,TRUE,FALSE)</f>
        <v>1</v>
      </c>
      <c r="M3699" s="74">
        <v>52.48434411075036</v>
      </c>
      <c r="N3699" s="74">
        <f t="shared" si="1"/>
        <v>39.36325808</v>
      </c>
      <c r="O3699" s="74" t="b">
        <v>1</v>
      </c>
    </row>
    <row r="3700" hidden="1">
      <c r="A3700" s="82"/>
      <c r="B3700" s="65" t="s">
        <v>411</v>
      </c>
      <c r="C3700" s="65" t="s">
        <v>117</v>
      </c>
      <c r="D3700" s="65" t="str">
        <f>vlookup(C3700,'Classificação p pessoal'!F:G,2,false)</f>
        <v>NP</v>
      </c>
      <c r="E3700" s="65" t="s">
        <v>2635</v>
      </c>
      <c r="F3700" s="83">
        <v>0.3958333333333333</v>
      </c>
      <c r="G3700" s="83">
        <v>0.5833333333333334</v>
      </c>
      <c r="H3700" s="83">
        <v>0.1875</v>
      </c>
      <c r="I3700" s="84">
        <v>44480.0</v>
      </c>
      <c r="J3700" s="65" t="b">
        <v>1</v>
      </c>
      <c r="K3700" s="65"/>
      <c r="L3700" s="85" t="b">
        <f>IF(VLOOKUP(C3700,Projetos!A:L,12,false)=TRUE,TRUE,FALSE)</f>
        <v>1</v>
      </c>
      <c r="M3700" s="74">
        <v>52.48434411075036</v>
      </c>
      <c r="N3700" s="74">
        <f t="shared" si="1"/>
        <v>236.1795485</v>
      </c>
      <c r="O3700" s="74" t="b">
        <v>1</v>
      </c>
    </row>
    <row r="3701" hidden="1">
      <c r="A3701" s="82"/>
      <c r="B3701" s="65" t="s">
        <v>411</v>
      </c>
      <c r="C3701" s="65" t="s">
        <v>117</v>
      </c>
      <c r="D3701" s="65" t="str">
        <f>vlookup(C3701,'Classificação p pessoal'!F:G,2,false)</f>
        <v>NP</v>
      </c>
      <c r="E3701" s="65" t="s">
        <v>2635</v>
      </c>
      <c r="F3701" s="83">
        <v>0.625</v>
      </c>
      <c r="G3701" s="83">
        <v>0.75</v>
      </c>
      <c r="H3701" s="83">
        <v>0.125</v>
      </c>
      <c r="I3701" s="84">
        <v>44480.0</v>
      </c>
      <c r="J3701" s="65" t="b">
        <v>1</v>
      </c>
      <c r="K3701" s="65"/>
      <c r="L3701" s="85" t="b">
        <f>IF(VLOOKUP(C3701,Projetos!A:L,12,false)=TRUE,TRUE,FALSE)</f>
        <v>1</v>
      </c>
      <c r="M3701" s="74">
        <v>52.48434411075036</v>
      </c>
      <c r="N3701" s="74">
        <f t="shared" si="1"/>
        <v>157.4530323</v>
      </c>
      <c r="O3701" s="74" t="b">
        <v>1</v>
      </c>
    </row>
    <row r="3702" hidden="1">
      <c r="A3702" s="82"/>
      <c r="B3702" s="65" t="s">
        <v>411</v>
      </c>
      <c r="C3702" s="65" t="s">
        <v>117</v>
      </c>
      <c r="D3702" s="65" t="str">
        <f>vlookup(C3702,'Classificação p pessoal'!F:G,2,false)</f>
        <v>NP</v>
      </c>
      <c r="E3702" s="65" t="s">
        <v>2636</v>
      </c>
      <c r="F3702" s="83">
        <v>0.34375</v>
      </c>
      <c r="G3702" s="83">
        <v>0.5625</v>
      </c>
      <c r="H3702" s="83">
        <v>0.21875</v>
      </c>
      <c r="I3702" s="84">
        <v>44482.0</v>
      </c>
      <c r="J3702" s="65" t="b">
        <v>1</v>
      </c>
      <c r="K3702" s="65"/>
      <c r="L3702" s="85" t="b">
        <f>IF(VLOOKUP(C3702,Projetos!A:L,12,false)=TRUE,TRUE,FALSE)</f>
        <v>1</v>
      </c>
      <c r="M3702" s="74">
        <v>52.48434411075036</v>
      </c>
      <c r="N3702" s="74">
        <f t="shared" si="1"/>
        <v>275.5428066</v>
      </c>
      <c r="O3702" s="74" t="b">
        <v>1</v>
      </c>
    </row>
    <row r="3703" hidden="1">
      <c r="A3703" s="82"/>
      <c r="B3703" s="65" t="s">
        <v>411</v>
      </c>
      <c r="C3703" s="65" t="s">
        <v>117</v>
      </c>
      <c r="D3703" s="65" t="str">
        <f>vlookup(C3703,'Classificação p pessoal'!F:G,2,false)</f>
        <v>NP</v>
      </c>
      <c r="E3703" s="65" t="s">
        <v>2637</v>
      </c>
      <c r="F3703" s="83">
        <v>0.6041666666666666</v>
      </c>
      <c r="G3703" s="83">
        <v>0.75</v>
      </c>
      <c r="H3703" s="83">
        <v>0.14583333333333334</v>
      </c>
      <c r="I3703" s="84">
        <v>44482.0</v>
      </c>
      <c r="J3703" s="65" t="b">
        <v>1</v>
      </c>
      <c r="K3703" s="65"/>
      <c r="L3703" s="85" t="b">
        <f>IF(VLOOKUP(C3703,Projetos!A:L,12,false)=TRUE,TRUE,FALSE)</f>
        <v>1</v>
      </c>
      <c r="M3703" s="74">
        <v>52.48434411075036</v>
      </c>
      <c r="N3703" s="74">
        <f t="shared" si="1"/>
        <v>183.6952044</v>
      </c>
      <c r="O3703" s="74" t="b">
        <v>1</v>
      </c>
    </row>
    <row r="3704" hidden="1">
      <c r="A3704" s="82"/>
      <c r="B3704" s="65" t="s">
        <v>411</v>
      </c>
      <c r="C3704" s="65" t="s">
        <v>117</v>
      </c>
      <c r="D3704" s="65" t="str">
        <f>vlookup(C3704,'Classificação p pessoal'!F:G,2,false)</f>
        <v>NP</v>
      </c>
      <c r="E3704" s="65" t="s">
        <v>2638</v>
      </c>
      <c r="F3704" s="83">
        <v>0.34375</v>
      </c>
      <c r="G3704" s="83">
        <v>0.6041666666666666</v>
      </c>
      <c r="H3704" s="83">
        <v>0.2604166666666667</v>
      </c>
      <c r="I3704" s="84">
        <v>44483.0</v>
      </c>
      <c r="J3704" s="65" t="b">
        <v>1</v>
      </c>
      <c r="K3704" s="65"/>
      <c r="L3704" s="85" t="b">
        <f>IF(VLOOKUP(C3704,Projetos!A:L,12,false)=TRUE,TRUE,FALSE)</f>
        <v>1</v>
      </c>
      <c r="M3704" s="74">
        <v>52.48434411075036</v>
      </c>
      <c r="N3704" s="74">
        <f t="shared" si="1"/>
        <v>328.0271507</v>
      </c>
      <c r="O3704" s="74" t="b">
        <v>1</v>
      </c>
    </row>
    <row r="3705" hidden="1">
      <c r="A3705" s="82"/>
      <c r="B3705" s="65" t="s">
        <v>411</v>
      </c>
      <c r="C3705" s="65" t="s">
        <v>120</v>
      </c>
      <c r="D3705" s="65"/>
      <c r="E3705" s="65" t="s">
        <v>2639</v>
      </c>
      <c r="F3705" s="83">
        <v>0.6458333333333334</v>
      </c>
      <c r="G3705" s="83">
        <v>0.7083333333333334</v>
      </c>
      <c r="H3705" s="83">
        <v>0.0625</v>
      </c>
      <c r="I3705" s="84">
        <v>44483.0</v>
      </c>
      <c r="J3705" s="65" t="b">
        <v>0</v>
      </c>
      <c r="K3705" s="65"/>
      <c r="L3705" s="85" t="b">
        <f>IF(VLOOKUP(C3705,Projetos!A:L,12,false)=TRUE,TRUE,FALSE)</f>
        <v>0</v>
      </c>
      <c r="M3705" s="74">
        <v>52.48434411075036</v>
      </c>
      <c r="N3705" s="74">
        <f t="shared" si="1"/>
        <v>0</v>
      </c>
      <c r="O3705" s="74" t="b">
        <v>0</v>
      </c>
    </row>
    <row r="3706" hidden="1">
      <c r="A3706" s="82"/>
      <c r="B3706" s="65" t="s">
        <v>411</v>
      </c>
      <c r="C3706" s="65" t="s">
        <v>117</v>
      </c>
      <c r="D3706" s="65" t="str">
        <f>vlookup(C3706,'Classificação p pessoal'!F:G,2,false)</f>
        <v>NP</v>
      </c>
      <c r="E3706" s="65" t="s">
        <v>2425</v>
      </c>
      <c r="F3706" s="83">
        <v>0.7083333333333334</v>
      </c>
      <c r="G3706" s="83">
        <v>0.75</v>
      </c>
      <c r="H3706" s="83">
        <v>0.041666666666666664</v>
      </c>
      <c r="I3706" s="84">
        <v>44483.0</v>
      </c>
      <c r="J3706" s="65" t="b">
        <v>1</v>
      </c>
      <c r="K3706" s="65"/>
      <c r="L3706" s="85" t="b">
        <f>IF(VLOOKUP(C3706,Projetos!A:L,12,false)=TRUE,TRUE,FALSE)</f>
        <v>1</v>
      </c>
      <c r="M3706" s="74">
        <v>52.48434411075036</v>
      </c>
      <c r="N3706" s="74">
        <f t="shared" si="1"/>
        <v>52.48434411</v>
      </c>
      <c r="O3706" s="74" t="b">
        <v>1</v>
      </c>
    </row>
    <row r="3707" hidden="1">
      <c r="A3707" s="82"/>
      <c r="B3707" s="65" t="s">
        <v>411</v>
      </c>
      <c r="C3707" s="65" t="s">
        <v>117</v>
      </c>
      <c r="D3707" s="65" t="str">
        <f>vlookup(C3707,'Classificação p pessoal'!F:G,2,false)</f>
        <v>NP</v>
      </c>
      <c r="E3707" s="65" t="s">
        <v>2640</v>
      </c>
      <c r="F3707" s="83">
        <v>0.34375</v>
      </c>
      <c r="G3707" s="83">
        <v>0.5</v>
      </c>
      <c r="H3707" s="83">
        <v>0.15625</v>
      </c>
      <c r="I3707" s="84">
        <v>44484.0</v>
      </c>
      <c r="J3707" s="65" t="b">
        <v>1</v>
      </c>
      <c r="K3707" s="65"/>
      <c r="L3707" s="85" t="b">
        <f>IF(VLOOKUP(C3707,Projetos!A:L,12,false)=TRUE,TRUE,FALSE)</f>
        <v>1</v>
      </c>
      <c r="M3707" s="74">
        <v>52.48434411075036</v>
      </c>
      <c r="N3707" s="74">
        <f t="shared" si="1"/>
        <v>196.8162904</v>
      </c>
      <c r="O3707" s="74" t="b">
        <v>1</v>
      </c>
    </row>
    <row r="3708" hidden="1">
      <c r="A3708" s="82"/>
      <c r="B3708" s="65" t="s">
        <v>411</v>
      </c>
      <c r="C3708" s="65" t="s">
        <v>117</v>
      </c>
      <c r="D3708" s="65" t="str">
        <f>vlookup(C3708,'Classificação p pessoal'!F:G,2,false)</f>
        <v>NP</v>
      </c>
      <c r="E3708" s="65" t="s">
        <v>2425</v>
      </c>
      <c r="F3708" s="83">
        <v>0.5416666666666666</v>
      </c>
      <c r="G3708" s="83">
        <v>0.625</v>
      </c>
      <c r="H3708" s="83">
        <v>0.08333333333333333</v>
      </c>
      <c r="I3708" s="84">
        <v>44484.0</v>
      </c>
      <c r="J3708" s="65" t="b">
        <v>1</v>
      </c>
      <c r="K3708" s="65"/>
      <c r="L3708" s="85" t="b">
        <f>IF(VLOOKUP(C3708,Projetos!A:L,12,false)=TRUE,TRUE,FALSE)</f>
        <v>1</v>
      </c>
      <c r="M3708" s="74">
        <v>52.48434411075036</v>
      </c>
      <c r="N3708" s="74">
        <f t="shared" si="1"/>
        <v>104.9686882</v>
      </c>
      <c r="O3708" s="74" t="b">
        <v>1</v>
      </c>
    </row>
    <row r="3709" hidden="1">
      <c r="A3709" s="82"/>
      <c r="B3709" s="65" t="s">
        <v>411</v>
      </c>
      <c r="C3709" s="65" t="s">
        <v>88</v>
      </c>
      <c r="D3709" s="65"/>
      <c r="E3709" s="65" t="s">
        <v>2641</v>
      </c>
      <c r="F3709" s="83">
        <v>0.625</v>
      </c>
      <c r="G3709" s="83">
        <v>0.6666666666666666</v>
      </c>
      <c r="H3709" s="83">
        <v>0.041666666666666664</v>
      </c>
      <c r="I3709" s="84">
        <v>44484.0</v>
      </c>
      <c r="J3709" s="65" t="b">
        <v>0</v>
      </c>
      <c r="K3709" s="65" t="s">
        <v>150</v>
      </c>
      <c r="L3709" s="85" t="b">
        <f>IF(VLOOKUP(C3709,Projetos!A:L,12,false)=TRUE,TRUE,FALSE)</f>
        <v>1</v>
      </c>
      <c r="M3709" s="74">
        <v>52.48434411075036</v>
      </c>
      <c r="N3709" s="74">
        <f t="shared" si="1"/>
        <v>0</v>
      </c>
      <c r="O3709" s="74" t="b">
        <v>1</v>
      </c>
    </row>
    <row r="3710" hidden="1">
      <c r="A3710" s="82"/>
      <c r="B3710" s="65" t="s">
        <v>411</v>
      </c>
      <c r="C3710" s="65" t="s">
        <v>101</v>
      </c>
      <c r="D3710" s="65" t="str">
        <f>vlookup(C3710,'Classificação p pessoal'!F:G,2,false)</f>
        <v>NP</v>
      </c>
      <c r="E3710" s="65" t="s">
        <v>2642</v>
      </c>
      <c r="F3710" s="83">
        <v>0.6666666666666666</v>
      </c>
      <c r="G3710" s="83">
        <v>0.7083333333333334</v>
      </c>
      <c r="H3710" s="83">
        <v>0.041666666666666664</v>
      </c>
      <c r="I3710" s="84">
        <v>44484.0</v>
      </c>
      <c r="J3710" s="65" t="b">
        <v>1</v>
      </c>
      <c r="K3710" s="65"/>
      <c r="L3710" s="85" t="b">
        <f>IF(VLOOKUP(C3710,Projetos!A:L,12,false)=TRUE,TRUE,FALSE)</f>
        <v>1</v>
      </c>
      <c r="M3710" s="74">
        <v>52.48434411075036</v>
      </c>
      <c r="N3710" s="74">
        <f t="shared" si="1"/>
        <v>52.48434411</v>
      </c>
      <c r="O3710" s="74" t="b">
        <v>1</v>
      </c>
    </row>
    <row r="3711" hidden="1">
      <c r="A3711" s="82"/>
      <c r="B3711" s="65" t="s">
        <v>411</v>
      </c>
      <c r="C3711" s="65" t="s">
        <v>117</v>
      </c>
      <c r="D3711" s="65" t="str">
        <f>vlookup(C3711,'Classificação p pessoal'!F:G,2,false)</f>
        <v>NP</v>
      </c>
      <c r="E3711" s="65" t="s">
        <v>2643</v>
      </c>
      <c r="F3711" s="83">
        <v>0.34375</v>
      </c>
      <c r="G3711" s="83">
        <v>0.5625</v>
      </c>
      <c r="H3711" s="83">
        <v>0.21875</v>
      </c>
      <c r="I3711" s="84">
        <v>44487.0</v>
      </c>
      <c r="J3711" s="65" t="b">
        <v>1</v>
      </c>
      <c r="K3711" s="65"/>
      <c r="L3711" s="85" t="b">
        <f>IF(VLOOKUP(C3711,Projetos!A:L,12,false)=TRUE,TRUE,FALSE)</f>
        <v>1</v>
      </c>
      <c r="M3711" s="74">
        <v>52.48434411075036</v>
      </c>
      <c r="N3711" s="74">
        <f t="shared" si="1"/>
        <v>275.5428066</v>
      </c>
      <c r="O3711" s="74" t="b">
        <v>1</v>
      </c>
    </row>
    <row r="3712" hidden="1">
      <c r="A3712" s="82"/>
      <c r="B3712" s="65" t="s">
        <v>411</v>
      </c>
      <c r="C3712" s="65" t="s">
        <v>101</v>
      </c>
      <c r="D3712" s="65" t="str">
        <f>vlookup(C3712,'Classificação p pessoal'!F:G,2,false)</f>
        <v>NP</v>
      </c>
      <c r="E3712" s="65" t="s">
        <v>2644</v>
      </c>
      <c r="F3712" s="83">
        <v>0.5625</v>
      </c>
      <c r="G3712" s="83">
        <v>0.6041666666666666</v>
      </c>
      <c r="H3712" s="83">
        <v>0.041666666666666664</v>
      </c>
      <c r="I3712" s="84">
        <v>44487.0</v>
      </c>
      <c r="J3712" s="65" t="b">
        <v>1</v>
      </c>
      <c r="K3712" s="65"/>
      <c r="L3712" s="85" t="b">
        <f>IF(VLOOKUP(C3712,Projetos!A:L,12,false)=TRUE,TRUE,FALSE)</f>
        <v>1</v>
      </c>
      <c r="M3712" s="74">
        <v>52.48434411075036</v>
      </c>
      <c r="N3712" s="74">
        <f t="shared" si="1"/>
        <v>52.48434411</v>
      </c>
      <c r="O3712" s="74" t="b">
        <v>1</v>
      </c>
    </row>
    <row r="3713" hidden="1">
      <c r="A3713" s="82"/>
      <c r="B3713" s="65" t="s">
        <v>411</v>
      </c>
      <c r="C3713" s="65" t="s">
        <v>117</v>
      </c>
      <c r="D3713" s="65" t="str">
        <f>vlookup(C3713,'Classificação p pessoal'!F:G,2,false)</f>
        <v>NP</v>
      </c>
      <c r="E3713" s="65" t="s">
        <v>2425</v>
      </c>
      <c r="F3713" s="83">
        <v>0.6458333333333334</v>
      </c>
      <c r="G3713" s="83">
        <v>0.7083333333333334</v>
      </c>
      <c r="H3713" s="83">
        <v>0.0625</v>
      </c>
      <c r="I3713" s="84">
        <v>44487.0</v>
      </c>
      <c r="J3713" s="65" t="b">
        <v>1</v>
      </c>
      <c r="K3713" s="65"/>
      <c r="L3713" s="85" t="b">
        <f>IF(VLOOKUP(C3713,Projetos!A:L,12,false)=TRUE,TRUE,FALSE)</f>
        <v>1</v>
      </c>
      <c r="M3713" s="74">
        <v>52.48434411075036</v>
      </c>
      <c r="N3713" s="74">
        <f t="shared" si="1"/>
        <v>78.72651617</v>
      </c>
      <c r="O3713" s="74" t="b">
        <v>1</v>
      </c>
    </row>
    <row r="3714" hidden="1">
      <c r="A3714" s="82"/>
      <c r="B3714" s="65" t="s">
        <v>411</v>
      </c>
      <c r="C3714" s="65" t="s">
        <v>101</v>
      </c>
      <c r="D3714" s="65" t="str">
        <f>vlookup(C3714,'Classificação p pessoal'!F:G,2,false)</f>
        <v>NP</v>
      </c>
      <c r="E3714" s="65" t="s">
        <v>2645</v>
      </c>
      <c r="F3714" s="83">
        <v>0.7083333333333334</v>
      </c>
      <c r="G3714" s="83">
        <v>0.75</v>
      </c>
      <c r="H3714" s="83">
        <v>0.041666666666666664</v>
      </c>
      <c r="I3714" s="84">
        <v>44487.0</v>
      </c>
      <c r="J3714" s="65" t="b">
        <v>1</v>
      </c>
      <c r="K3714" s="65"/>
      <c r="L3714" s="85" t="b">
        <f>IF(VLOOKUP(C3714,Projetos!A:L,12,false)=TRUE,TRUE,FALSE)</f>
        <v>1</v>
      </c>
      <c r="M3714" s="74">
        <v>52.48434411075036</v>
      </c>
      <c r="N3714" s="74">
        <f t="shared" si="1"/>
        <v>52.48434411</v>
      </c>
      <c r="O3714" s="74" t="b">
        <v>1</v>
      </c>
    </row>
    <row r="3715" hidden="1">
      <c r="A3715" s="82"/>
      <c r="B3715" s="65" t="s">
        <v>411</v>
      </c>
      <c r="C3715" s="65" t="s">
        <v>117</v>
      </c>
      <c r="D3715" s="65"/>
      <c r="E3715" s="65" t="s">
        <v>2646</v>
      </c>
      <c r="F3715" s="83">
        <v>0.34375</v>
      </c>
      <c r="G3715" s="83">
        <v>0.6041666666666666</v>
      </c>
      <c r="H3715" s="83">
        <v>0.2604166666666667</v>
      </c>
      <c r="I3715" s="84">
        <v>44488.0</v>
      </c>
      <c r="J3715" s="65" t="b">
        <v>0</v>
      </c>
      <c r="K3715" s="65" t="s">
        <v>150</v>
      </c>
      <c r="L3715" s="85" t="b">
        <f>IF(VLOOKUP(C3715,Projetos!A:L,12,false)=TRUE,TRUE,FALSE)</f>
        <v>1</v>
      </c>
      <c r="M3715" s="74">
        <v>52.48434411075036</v>
      </c>
      <c r="N3715" s="74">
        <f t="shared" si="1"/>
        <v>0</v>
      </c>
      <c r="O3715" s="74" t="b">
        <v>1</v>
      </c>
    </row>
    <row r="3716" hidden="1">
      <c r="A3716" s="82"/>
      <c r="B3716" s="65" t="s">
        <v>411</v>
      </c>
      <c r="C3716" s="65" t="s">
        <v>117</v>
      </c>
      <c r="D3716" s="65" t="str">
        <f>vlookup(C3716,'Classificação p pessoal'!F:G,2,false)</f>
        <v>NP</v>
      </c>
      <c r="E3716" s="65" t="s">
        <v>2647</v>
      </c>
      <c r="F3716" s="83">
        <v>0.6041666666666666</v>
      </c>
      <c r="G3716" s="83">
        <v>0.75</v>
      </c>
      <c r="H3716" s="83">
        <v>0.14583333333333334</v>
      </c>
      <c r="I3716" s="84">
        <v>44488.0</v>
      </c>
      <c r="J3716" s="65" t="b">
        <v>1</v>
      </c>
      <c r="K3716" s="65"/>
      <c r="L3716" s="85" t="b">
        <f>IF(VLOOKUP(C3716,Projetos!A:L,12,false)=TRUE,TRUE,FALSE)</f>
        <v>1</v>
      </c>
      <c r="M3716" s="74">
        <v>52.48434411075036</v>
      </c>
      <c r="N3716" s="74">
        <f t="shared" si="1"/>
        <v>183.6952044</v>
      </c>
      <c r="O3716" s="74" t="b">
        <v>1</v>
      </c>
    </row>
    <row r="3717" hidden="1">
      <c r="A3717" s="82"/>
      <c r="B3717" s="65" t="s">
        <v>411</v>
      </c>
      <c r="C3717" s="65" t="s">
        <v>117</v>
      </c>
      <c r="D3717" s="65" t="str">
        <f>vlookup(C3717,'Classificação p pessoal'!F:G,2,false)</f>
        <v>NP</v>
      </c>
      <c r="E3717" s="65" t="s">
        <v>2621</v>
      </c>
      <c r="F3717" s="83">
        <v>0.34375</v>
      </c>
      <c r="G3717" s="83">
        <v>0.4166666666666667</v>
      </c>
      <c r="H3717" s="83">
        <v>0.07291666666666667</v>
      </c>
      <c r="I3717" s="84">
        <v>44489.0</v>
      </c>
      <c r="J3717" s="65" t="b">
        <v>1</v>
      </c>
      <c r="K3717" s="65"/>
      <c r="L3717" s="85" t="b">
        <f>IF(VLOOKUP(C3717,Projetos!A:L,12,false)=TRUE,TRUE,FALSE)</f>
        <v>1</v>
      </c>
      <c r="M3717" s="74">
        <v>52.48434411075036</v>
      </c>
      <c r="N3717" s="74">
        <f t="shared" si="1"/>
        <v>91.84760219</v>
      </c>
      <c r="O3717" s="74" t="b">
        <v>1</v>
      </c>
    </row>
    <row r="3718" hidden="1">
      <c r="A3718" s="82"/>
      <c r="B3718" s="65" t="s">
        <v>411</v>
      </c>
      <c r="C3718" s="65" t="s">
        <v>101</v>
      </c>
      <c r="D3718" s="65" t="str">
        <f>vlookup(C3718,'Classificação p pessoal'!F:G,2,false)</f>
        <v>NP</v>
      </c>
      <c r="E3718" s="65" t="s">
        <v>2648</v>
      </c>
      <c r="F3718" s="83">
        <v>0.4166666666666667</v>
      </c>
      <c r="G3718" s="83">
        <v>0.5</v>
      </c>
      <c r="H3718" s="83">
        <v>0.08333333333333333</v>
      </c>
      <c r="I3718" s="84">
        <v>44489.0</v>
      </c>
      <c r="J3718" s="65" t="b">
        <v>1</v>
      </c>
      <c r="K3718" s="65"/>
      <c r="L3718" s="85" t="b">
        <f>IF(VLOOKUP(C3718,Projetos!A:L,12,false)=TRUE,TRUE,FALSE)</f>
        <v>1</v>
      </c>
      <c r="M3718" s="74">
        <v>52.48434411075036</v>
      </c>
      <c r="N3718" s="74">
        <f t="shared" si="1"/>
        <v>104.9686882</v>
      </c>
      <c r="O3718" s="74" t="b">
        <v>1</v>
      </c>
    </row>
    <row r="3719" hidden="1">
      <c r="A3719" s="82"/>
      <c r="B3719" s="65" t="s">
        <v>411</v>
      </c>
      <c r="C3719" s="65" t="s">
        <v>117</v>
      </c>
      <c r="D3719" s="65" t="str">
        <f>vlookup(C3719,'Classificação p pessoal'!F:G,2,false)</f>
        <v>NP</v>
      </c>
      <c r="E3719" s="65" t="s">
        <v>2649</v>
      </c>
      <c r="F3719" s="83">
        <v>0.6041666666666666</v>
      </c>
      <c r="G3719" s="83">
        <v>0.9583333333333334</v>
      </c>
      <c r="H3719" s="83">
        <v>0.3541666666666667</v>
      </c>
      <c r="I3719" s="84">
        <v>44489.0</v>
      </c>
      <c r="J3719" s="65" t="b">
        <v>1</v>
      </c>
      <c r="K3719" s="65"/>
      <c r="L3719" s="85" t="b">
        <f>IF(VLOOKUP(C3719,Projetos!A:L,12,false)=TRUE,TRUE,FALSE)</f>
        <v>1</v>
      </c>
      <c r="M3719" s="74">
        <v>52.48434411075036</v>
      </c>
      <c r="N3719" s="74">
        <f t="shared" si="1"/>
        <v>446.1169249</v>
      </c>
      <c r="O3719" s="74" t="b">
        <v>1</v>
      </c>
    </row>
    <row r="3720" hidden="1">
      <c r="A3720" s="82"/>
      <c r="B3720" s="65" t="s">
        <v>411</v>
      </c>
      <c r="C3720" s="65" t="s">
        <v>117</v>
      </c>
      <c r="D3720" s="65" t="str">
        <f>vlookup(C3720,'Classificação p pessoal'!F:G,2,false)</f>
        <v>NP</v>
      </c>
      <c r="E3720" s="65" t="s">
        <v>2650</v>
      </c>
      <c r="F3720" s="83">
        <v>0.34375</v>
      </c>
      <c r="G3720" s="83">
        <v>0.75</v>
      </c>
      <c r="H3720" s="83">
        <v>0.40625</v>
      </c>
      <c r="I3720" s="84">
        <v>44490.0</v>
      </c>
      <c r="J3720" s="65" t="b">
        <v>1</v>
      </c>
      <c r="K3720" s="65"/>
      <c r="L3720" s="85" t="b">
        <f>IF(VLOOKUP(C3720,Projetos!A:L,12,false)=TRUE,TRUE,FALSE)</f>
        <v>1</v>
      </c>
      <c r="M3720" s="74">
        <v>52.48434411075036</v>
      </c>
      <c r="N3720" s="74">
        <f t="shared" si="1"/>
        <v>511.7223551</v>
      </c>
      <c r="O3720" s="74" t="b">
        <v>1</v>
      </c>
    </row>
    <row r="3721" hidden="1">
      <c r="A3721" s="82"/>
      <c r="B3721" s="65" t="s">
        <v>411</v>
      </c>
      <c r="C3721" s="65" t="s">
        <v>117</v>
      </c>
      <c r="D3721" s="65" t="str">
        <f>vlookup(C3721,'Classificação p pessoal'!F:G,2,false)</f>
        <v>NP</v>
      </c>
      <c r="E3721" s="65" t="s">
        <v>2651</v>
      </c>
      <c r="F3721" s="83">
        <v>0.34375</v>
      </c>
      <c r="G3721" s="83">
        <v>0.8263888888888888</v>
      </c>
      <c r="H3721" s="83">
        <v>0.4826388888888889</v>
      </c>
      <c r="I3721" s="84">
        <v>44491.0</v>
      </c>
      <c r="J3721" s="65" t="b">
        <v>1</v>
      </c>
      <c r="K3721" s="65"/>
      <c r="L3721" s="85" t="b">
        <f>IF(VLOOKUP(C3721,Projetos!A:L,12,false)=TRUE,TRUE,FALSE)</f>
        <v>1</v>
      </c>
      <c r="M3721" s="74">
        <v>52.48434411075036</v>
      </c>
      <c r="N3721" s="74">
        <f t="shared" si="1"/>
        <v>607.9436526</v>
      </c>
      <c r="O3721" s="74" t="b">
        <v>1</v>
      </c>
    </row>
    <row r="3722" hidden="1">
      <c r="A3722" s="82"/>
      <c r="B3722" s="65" t="s">
        <v>411</v>
      </c>
      <c r="C3722" s="65" t="s">
        <v>117</v>
      </c>
      <c r="D3722" s="65" t="str">
        <f>vlookup(C3722,'Classificação p pessoal'!F:G,2,false)</f>
        <v>NP</v>
      </c>
      <c r="E3722" s="65" t="s">
        <v>2652</v>
      </c>
      <c r="F3722" s="83">
        <v>0.34375</v>
      </c>
      <c r="G3722" s="83">
        <v>0.5</v>
      </c>
      <c r="H3722" s="83">
        <v>0.15625</v>
      </c>
      <c r="I3722" s="84">
        <v>44494.0</v>
      </c>
      <c r="J3722" s="65" t="b">
        <v>1</v>
      </c>
      <c r="K3722" s="65"/>
      <c r="L3722" s="85" t="b">
        <f>IF(VLOOKUP(C3722,Projetos!A:L,12,false)=TRUE,TRUE,FALSE)</f>
        <v>1</v>
      </c>
      <c r="M3722" s="74">
        <v>52.48434411075036</v>
      </c>
      <c r="N3722" s="74">
        <f t="shared" si="1"/>
        <v>196.8162904</v>
      </c>
      <c r="O3722" s="74" t="b">
        <v>1</v>
      </c>
    </row>
    <row r="3723" hidden="1">
      <c r="A3723" s="82"/>
      <c r="B3723" s="65" t="s">
        <v>411</v>
      </c>
      <c r="C3723" s="65" t="s">
        <v>117</v>
      </c>
      <c r="D3723" s="65" t="str">
        <f>vlookup(C3723,'Classificação p pessoal'!F:G,2,false)</f>
        <v>NP</v>
      </c>
      <c r="E3723" s="65" t="s">
        <v>2653</v>
      </c>
      <c r="F3723" s="83">
        <v>0.5416666666666666</v>
      </c>
      <c r="G3723" s="83">
        <v>0.75</v>
      </c>
      <c r="H3723" s="83">
        <v>0.20833333333333334</v>
      </c>
      <c r="I3723" s="84">
        <v>44494.0</v>
      </c>
      <c r="J3723" s="65" t="b">
        <v>1</v>
      </c>
      <c r="K3723" s="65"/>
      <c r="L3723" s="85" t="b">
        <f>IF(VLOOKUP(C3723,Projetos!A:L,12,false)=TRUE,TRUE,FALSE)</f>
        <v>1</v>
      </c>
      <c r="M3723" s="74">
        <v>52.48434411075036</v>
      </c>
      <c r="N3723" s="74">
        <f t="shared" si="1"/>
        <v>262.4217206</v>
      </c>
      <c r="O3723" s="74" t="b">
        <v>1</v>
      </c>
    </row>
    <row r="3724" hidden="1">
      <c r="A3724" s="82"/>
      <c r="B3724" s="65" t="s">
        <v>411</v>
      </c>
      <c r="C3724" s="65" t="s">
        <v>117</v>
      </c>
      <c r="D3724" s="65" t="str">
        <f>vlookup(C3724,'Classificação p pessoal'!F:G,2,false)</f>
        <v>NP</v>
      </c>
      <c r="E3724" s="65" t="s">
        <v>2654</v>
      </c>
      <c r="F3724" s="83">
        <v>0.34375</v>
      </c>
      <c r="G3724" s="83">
        <v>0.75</v>
      </c>
      <c r="H3724" s="83">
        <v>0.40625</v>
      </c>
      <c r="I3724" s="84">
        <v>44495.0</v>
      </c>
      <c r="J3724" s="65" t="b">
        <v>1</v>
      </c>
      <c r="K3724" s="65"/>
      <c r="L3724" s="85" t="b">
        <f>IF(VLOOKUP(C3724,Projetos!A:L,12,false)=TRUE,TRUE,FALSE)</f>
        <v>1</v>
      </c>
      <c r="M3724" s="74">
        <v>52.48434411075036</v>
      </c>
      <c r="N3724" s="74">
        <f t="shared" si="1"/>
        <v>511.7223551</v>
      </c>
      <c r="O3724" s="74" t="b">
        <v>1</v>
      </c>
    </row>
    <row r="3725" hidden="1">
      <c r="A3725" s="82"/>
      <c r="B3725" s="65" t="s">
        <v>411</v>
      </c>
      <c r="C3725" s="65" t="s">
        <v>117</v>
      </c>
      <c r="D3725" s="65" t="str">
        <f>vlookup(C3725,'Classificação p pessoal'!F:G,2,false)</f>
        <v>NP</v>
      </c>
      <c r="E3725" s="65" t="s">
        <v>2655</v>
      </c>
      <c r="F3725" s="83">
        <v>0.34375</v>
      </c>
      <c r="G3725" s="83">
        <v>0.75</v>
      </c>
      <c r="H3725" s="83">
        <v>0.40625</v>
      </c>
      <c r="I3725" s="84">
        <v>44496.0</v>
      </c>
      <c r="J3725" s="65" t="b">
        <v>1</v>
      </c>
      <c r="K3725" s="65"/>
      <c r="L3725" s="85" t="b">
        <f>IF(VLOOKUP(C3725,Projetos!A:L,12,false)=TRUE,TRUE,FALSE)</f>
        <v>1</v>
      </c>
      <c r="M3725" s="74">
        <v>52.48434411075036</v>
      </c>
      <c r="N3725" s="74">
        <f t="shared" si="1"/>
        <v>511.7223551</v>
      </c>
      <c r="O3725" s="74" t="b">
        <v>1</v>
      </c>
    </row>
    <row r="3726" hidden="1">
      <c r="A3726" s="82"/>
      <c r="B3726" s="65" t="s">
        <v>411</v>
      </c>
      <c r="C3726" s="65" t="s">
        <v>101</v>
      </c>
      <c r="D3726" s="65" t="str">
        <f>vlookup(C3726,'Classificação p pessoal'!F:G,2,false)</f>
        <v>NP</v>
      </c>
      <c r="E3726" s="65" t="s">
        <v>2656</v>
      </c>
      <c r="F3726" s="83">
        <v>0.4166666666666667</v>
      </c>
      <c r="G3726" s="83">
        <v>0.5625</v>
      </c>
      <c r="H3726" s="83">
        <v>0.14583333333333334</v>
      </c>
      <c r="I3726" s="84">
        <v>44497.0</v>
      </c>
      <c r="J3726" s="65" t="b">
        <v>1</v>
      </c>
      <c r="K3726" s="65"/>
      <c r="L3726" s="85" t="b">
        <f>IF(VLOOKUP(C3726,Projetos!A:L,12,false)=TRUE,TRUE,FALSE)</f>
        <v>1</v>
      </c>
      <c r="M3726" s="74">
        <v>52.48434411075036</v>
      </c>
      <c r="N3726" s="74">
        <f t="shared" si="1"/>
        <v>183.6952044</v>
      </c>
      <c r="O3726" s="74" t="b">
        <v>1</v>
      </c>
    </row>
    <row r="3727" hidden="1">
      <c r="A3727" s="82"/>
      <c r="B3727" s="65" t="s">
        <v>411</v>
      </c>
      <c r="C3727" s="65" t="s">
        <v>101</v>
      </c>
      <c r="D3727" s="65"/>
      <c r="E3727" s="65" t="s">
        <v>2657</v>
      </c>
      <c r="F3727" s="83">
        <v>0.625</v>
      </c>
      <c r="G3727" s="83">
        <v>0.6875</v>
      </c>
      <c r="H3727" s="83">
        <v>0.0625</v>
      </c>
      <c r="I3727" s="84">
        <v>44497.0</v>
      </c>
      <c r="J3727" s="65" t="b">
        <v>0</v>
      </c>
      <c r="K3727" s="65" t="s">
        <v>150</v>
      </c>
      <c r="L3727" s="85" t="b">
        <f>IF(VLOOKUP(C3727,Projetos!A:L,12,false)=TRUE,TRUE,FALSE)</f>
        <v>1</v>
      </c>
      <c r="M3727" s="74">
        <v>52.48434411075036</v>
      </c>
      <c r="N3727" s="74">
        <f t="shared" si="1"/>
        <v>0</v>
      </c>
      <c r="O3727" s="74" t="b">
        <v>1</v>
      </c>
    </row>
    <row r="3728" hidden="1">
      <c r="A3728" s="82"/>
      <c r="B3728" s="65" t="s">
        <v>411</v>
      </c>
      <c r="C3728" s="65" t="s">
        <v>117</v>
      </c>
      <c r="D3728" s="65" t="str">
        <f>vlookup(C3728,'Classificação p pessoal'!F:G,2,false)</f>
        <v>NP</v>
      </c>
      <c r="E3728" s="65" t="s">
        <v>2658</v>
      </c>
      <c r="F3728" s="83">
        <v>0.6875</v>
      </c>
      <c r="G3728" s="83">
        <v>0.75</v>
      </c>
      <c r="H3728" s="83">
        <v>0.0625</v>
      </c>
      <c r="I3728" s="84">
        <v>44497.0</v>
      </c>
      <c r="J3728" s="65" t="b">
        <v>1</v>
      </c>
      <c r="K3728" s="65"/>
      <c r="L3728" s="85" t="b">
        <f>IF(VLOOKUP(C3728,Projetos!A:L,12,false)=TRUE,TRUE,FALSE)</f>
        <v>1</v>
      </c>
      <c r="M3728" s="74">
        <v>52.48434411075036</v>
      </c>
      <c r="N3728" s="74">
        <f t="shared" si="1"/>
        <v>78.72651617</v>
      </c>
      <c r="O3728" s="74" t="b">
        <v>1</v>
      </c>
    </row>
    <row r="3729" hidden="1">
      <c r="A3729" s="82"/>
      <c r="B3729" s="65" t="s">
        <v>411</v>
      </c>
      <c r="C3729" s="65" t="s">
        <v>117</v>
      </c>
      <c r="D3729" s="65" t="str">
        <f>vlookup(C3729,'Classificação p pessoal'!F:G,2,false)</f>
        <v>NP</v>
      </c>
      <c r="E3729" s="65" t="s">
        <v>2659</v>
      </c>
      <c r="F3729" s="83">
        <v>0.34375</v>
      </c>
      <c r="G3729" s="83">
        <v>0.6458333333333334</v>
      </c>
      <c r="H3729" s="83">
        <v>0.3020833333333333</v>
      </c>
      <c r="I3729" s="84">
        <v>44498.0</v>
      </c>
      <c r="J3729" s="65" t="b">
        <v>1</v>
      </c>
      <c r="K3729" s="65"/>
      <c r="L3729" s="85" t="b">
        <f>IF(VLOOKUP(C3729,Projetos!A:L,12,false)=TRUE,TRUE,FALSE)</f>
        <v>1</v>
      </c>
      <c r="M3729" s="74">
        <v>52.48434411075036</v>
      </c>
      <c r="N3729" s="74">
        <f t="shared" si="1"/>
        <v>380.5114948</v>
      </c>
      <c r="O3729" s="74" t="b">
        <v>1</v>
      </c>
    </row>
    <row r="3730" hidden="1">
      <c r="A3730" s="82"/>
      <c r="B3730" s="65" t="s">
        <v>411</v>
      </c>
      <c r="C3730" s="65" t="s">
        <v>120</v>
      </c>
      <c r="D3730" s="65"/>
      <c r="E3730" s="65" t="s">
        <v>2660</v>
      </c>
      <c r="F3730" s="83">
        <v>0.6875</v>
      </c>
      <c r="G3730" s="83">
        <v>0.7291666666666666</v>
      </c>
      <c r="H3730" s="83">
        <v>0.041666666666666664</v>
      </c>
      <c r="I3730" s="84">
        <v>44498.0</v>
      </c>
      <c r="J3730" s="65" t="b">
        <v>0</v>
      </c>
      <c r="K3730" s="65"/>
      <c r="L3730" s="85" t="b">
        <f>IF(VLOOKUP(C3730,Projetos!A:L,12,false)=TRUE,TRUE,FALSE)</f>
        <v>0</v>
      </c>
      <c r="M3730" s="74">
        <v>52.48434411075036</v>
      </c>
      <c r="N3730" s="74">
        <f t="shared" si="1"/>
        <v>0</v>
      </c>
      <c r="O3730" s="74" t="b">
        <v>0</v>
      </c>
    </row>
    <row r="3731" hidden="1">
      <c r="A3731" s="82"/>
      <c r="B3731" s="65" t="s">
        <v>411</v>
      </c>
      <c r="C3731" s="65" t="s">
        <v>117</v>
      </c>
      <c r="D3731" s="65" t="str">
        <f>vlookup(C3731,'Classificação p pessoal'!F:G,2,false)</f>
        <v>NP</v>
      </c>
      <c r="E3731" s="65" t="s">
        <v>2661</v>
      </c>
      <c r="F3731" s="83">
        <v>0.34375</v>
      </c>
      <c r="G3731" s="83">
        <v>0.5833333333333334</v>
      </c>
      <c r="H3731" s="83">
        <v>0.23958333333333334</v>
      </c>
      <c r="I3731" s="84">
        <v>44501.0</v>
      </c>
      <c r="J3731" s="65" t="b">
        <v>1</v>
      </c>
      <c r="K3731" s="65"/>
      <c r="L3731" s="85" t="b">
        <f>IF(VLOOKUP(C3731,Projetos!A:L,12,false)=TRUE,TRUE,FALSE)</f>
        <v>1</v>
      </c>
      <c r="M3731" s="74">
        <v>52.48434411075036</v>
      </c>
      <c r="N3731" s="74">
        <f t="shared" si="1"/>
        <v>301.7849786</v>
      </c>
      <c r="O3731" s="74" t="b">
        <v>1</v>
      </c>
    </row>
    <row r="3732" hidden="1">
      <c r="A3732" s="82"/>
      <c r="B3732" s="65" t="s">
        <v>411</v>
      </c>
      <c r="C3732" s="65" t="s">
        <v>117</v>
      </c>
      <c r="D3732" s="65" t="str">
        <f>vlookup(C3732,'Classificação p pessoal'!F:G,2,false)</f>
        <v>NP</v>
      </c>
      <c r="E3732" s="65" t="s">
        <v>2662</v>
      </c>
      <c r="F3732" s="83">
        <v>0.625</v>
      </c>
      <c r="G3732" s="83">
        <v>0.75</v>
      </c>
      <c r="H3732" s="83">
        <v>0.125</v>
      </c>
      <c r="I3732" s="84">
        <v>44501.0</v>
      </c>
      <c r="J3732" s="65" t="b">
        <v>1</v>
      </c>
      <c r="K3732" s="65"/>
      <c r="L3732" s="85" t="b">
        <f>IF(VLOOKUP(C3732,Projetos!A:L,12,false)=TRUE,TRUE,FALSE)</f>
        <v>1</v>
      </c>
      <c r="M3732" s="74">
        <v>52.48434411075036</v>
      </c>
      <c r="N3732" s="74">
        <f t="shared" si="1"/>
        <v>157.4530323</v>
      </c>
      <c r="O3732" s="74" t="b">
        <v>1</v>
      </c>
    </row>
    <row r="3733" hidden="1">
      <c r="A3733" s="82"/>
      <c r="B3733" s="65" t="s">
        <v>411</v>
      </c>
      <c r="C3733" s="65" t="s">
        <v>117</v>
      </c>
      <c r="D3733" s="65" t="str">
        <f>vlookup(C3733,'Classificação p pessoal'!F:G,2,false)</f>
        <v>NP</v>
      </c>
      <c r="E3733" s="65" t="s">
        <v>2663</v>
      </c>
      <c r="F3733" s="83">
        <v>0.34375</v>
      </c>
      <c r="G3733" s="83">
        <v>0.625</v>
      </c>
      <c r="H3733" s="83">
        <v>0.28125</v>
      </c>
      <c r="I3733" s="84">
        <v>44503.0</v>
      </c>
      <c r="J3733" s="65" t="b">
        <v>1</v>
      </c>
      <c r="K3733" s="65"/>
      <c r="L3733" s="85" t="b">
        <f>IF(VLOOKUP(C3733,Projetos!A:L,12,false)=TRUE,TRUE,FALSE)</f>
        <v>1</v>
      </c>
      <c r="M3733" s="74">
        <v>52.48434411075036</v>
      </c>
      <c r="N3733" s="74">
        <f t="shared" si="1"/>
        <v>354.2693227</v>
      </c>
      <c r="O3733" s="74" t="b">
        <v>1</v>
      </c>
    </row>
    <row r="3734">
      <c r="A3734" s="82"/>
      <c r="B3734" s="65" t="s">
        <v>411</v>
      </c>
      <c r="C3734" s="65" t="s">
        <v>108</v>
      </c>
      <c r="D3734" s="65" t="str">
        <f>vlookup(C3734,'Classificação p pessoal'!F:G,2,false)</f>
        <v>NP</v>
      </c>
      <c r="E3734" s="65" t="s">
        <v>2664</v>
      </c>
      <c r="F3734" s="83">
        <v>0.6666666666666666</v>
      </c>
      <c r="G3734" s="83">
        <v>0.6875</v>
      </c>
      <c r="H3734" s="83">
        <v>0.020833333333333332</v>
      </c>
      <c r="I3734" s="84">
        <v>44503.0</v>
      </c>
      <c r="J3734" s="65" t="b">
        <v>1</v>
      </c>
      <c r="K3734" s="65"/>
      <c r="L3734" s="85" t="b">
        <f>IF(VLOOKUP(C3734,Projetos!A:L,12,false)=TRUE,TRUE,FALSE)</f>
        <v>1</v>
      </c>
      <c r="M3734" s="74">
        <v>52.48434411075036</v>
      </c>
      <c r="N3734" s="74">
        <f t="shared" si="1"/>
        <v>26.24217206</v>
      </c>
      <c r="O3734" s="74" t="b">
        <v>1</v>
      </c>
    </row>
    <row r="3735" hidden="1">
      <c r="A3735" s="82"/>
      <c r="B3735" s="65" t="s">
        <v>467</v>
      </c>
      <c r="C3735" s="65" t="s">
        <v>113</v>
      </c>
      <c r="D3735" s="65" t="str">
        <f>vlookup(C3735,'Classificação p pessoal'!F:G,2,false)</f>
        <v>NP</v>
      </c>
      <c r="E3735" s="65" t="s">
        <v>2606</v>
      </c>
      <c r="F3735" s="83">
        <v>0.625</v>
      </c>
      <c r="G3735" s="83">
        <v>0.7083333333333334</v>
      </c>
      <c r="H3735" s="83">
        <v>0.08333333333333333</v>
      </c>
      <c r="I3735" s="84">
        <v>44439.0</v>
      </c>
      <c r="J3735" s="65" t="b">
        <v>1</v>
      </c>
      <c r="K3735" s="65"/>
      <c r="L3735" s="85" t="b">
        <f>IF(VLOOKUP(C3735,Projetos!A:L,12,false)=TRUE,TRUE,FALSE)</f>
        <v>1</v>
      </c>
      <c r="M3735" s="74">
        <v>52.1518759018759</v>
      </c>
      <c r="N3735" s="74">
        <f t="shared" si="1"/>
        <v>104.3037518</v>
      </c>
      <c r="O3735" s="74" t="b">
        <v>1</v>
      </c>
    </row>
    <row r="3736" hidden="1">
      <c r="A3736" s="82"/>
      <c r="B3736" s="65" t="s">
        <v>411</v>
      </c>
      <c r="C3736" s="65" t="s">
        <v>132</v>
      </c>
      <c r="D3736" s="65"/>
      <c r="E3736" s="65" t="s">
        <v>2665</v>
      </c>
      <c r="F3736" s="83">
        <v>0.34375</v>
      </c>
      <c r="G3736" s="83">
        <v>0.4166666666666667</v>
      </c>
      <c r="H3736" s="83">
        <v>0.07291666666666667</v>
      </c>
      <c r="I3736" s="84">
        <v>44504.0</v>
      </c>
      <c r="J3736" s="65" t="b">
        <v>1</v>
      </c>
      <c r="K3736" s="65"/>
      <c r="L3736" s="85" t="b">
        <f>IF(VLOOKUP(C3736,Projetos!A:L,12,false)=TRUE,TRUE,FALSE)</f>
        <v>0</v>
      </c>
      <c r="M3736" s="74">
        <v>52.48434411075036</v>
      </c>
      <c r="N3736" s="74">
        <f t="shared" si="1"/>
        <v>0</v>
      </c>
      <c r="O3736" s="74" t="b">
        <v>0</v>
      </c>
    </row>
    <row r="3737" hidden="1">
      <c r="A3737" s="82"/>
      <c r="B3737" s="65" t="s">
        <v>411</v>
      </c>
      <c r="C3737" s="65" t="s">
        <v>117</v>
      </c>
      <c r="D3737" s="65" t="str">
        <f>vlookup(C3737,'Classificação p pessoal'!F:G,2,false)</f>
        <v>NP</v>
      </c>
      <c r="E3737" s="65" t="s">
        <v>2666</v>
      </c>
      <c r="F3737" s="83">
        <v>0.4583333333333333</v>
      </c>
      <c r="G3737" s="83">
        <v>0.5833333333333334</v>
      </c>
      <c r="H3737" s="83">
        <v>0.125</v>
      </c>
      <c r="I3737" s="84">
        <v>44504.0</v>
      </c>
      <c r="J3737" s="65" t="b">
        <v>1</v>
      </c>
      <c r="K3737" s="65"/>
      <c r="L3737" s="85" t="b">
        <f>IF(VLOOKUP(C3737,Projetos!A:L,12,false)=TRUE,TRUE,FALSE)</f>
        <v>1</v>
      </c>
      <c r="M3737" s="74">
        <v>52.48434411075036</v>
      </c>
      <c r="N3737" s="74">
        <f t="shared" si="1"/>
        <v>157.4530323</v>
      </c>
      <c r="O3737" s="74" t="b">
        <v>1</v>
      </c>
    </row>
    <row r="3738" hidden="1">
      <c r="A3738" s="82"/>
      <c r="B3738" s="65" t="s">
        <v>411</v>
      </c>
      <c r="C3738" s="65" t="s">
        <v>92</v>
      </c>
      <c r="D3738" s="65" t="str">
        <f>vlookup(C3738,'Classificação p pessoal'!F:G,2,false)</f>
        <v/>
      </c>
      <c r="E3738" s="65" t="s">
        <v>2667</v>
      </c>
      <c r="F3738" s="83">
        <v>0.625</v>
      </c>
      <c r="G3738" s="83">
        <v>0.6875</v>
      </c>
      <c r="H3738" s="83">
        <v>0.0625</v>
      </c>
      <c r="I3738" s="84">
        <v>44504.0</v>
      </c>
      <c r="J3738" s="65" t="b">
        <v>1</v>
      </c>
      <c r="K3738" s="65"/>
      <c r="L3738" s="85" t="b">
        <f>IF(VLOOKUP(C3738,Projetos!A:L,12,false)=TRUE,TRUE,FALSE)</f>
        <v>1</v>
      </c>
      <c r="M3738" s="74">
        <v>52.48434411075036</v>
      </c>
      <c r="N3738" s="74">
        <f t="shared" si="1"/>
        <v>78.72651617</v>
      </c>
      <c r="O3738" s="74" t="b">
        <v>1</v>
      </c>
    </row>
    <row r="3739" hidden="1">
      <c r="A3739" s="82"/>
      <c r="B3739" s="65" t="s">
        <v>411</v>
      </c>
      <c r="C3739" s="65" t="s">
        <v>117</v>
      </c>
      <c r="D3739" s="65" t="str">
        <f>vlookup(C3739,'Classificação p pessoal'!F:G,2,false)</f>
        <v>NP</v>
      </c>
      <c r="E3739" s="65" t="s">
        <v>2668</v>
      </c>
      <c r="F3739" s="83">
        <v>0.6875</v>
      </c>
      <c r="G3739" s="83">
        <v>0.75</v>
      </c>
      <c r="H3739" s="83">
        <v>0.0625</v>
      </c>
      <c r="I3739" s="84">
        <v>44504.0</v>
      </c>
      <c r="J3739" s="65" t="b">
        <v>1</v>
      </c>
      <c r="K3739" s="65"/>
      <c r="L3739" s="85" t="b">
        <f>IF(VLOOKUP(C3739,Projetos!A:L,12,false)=TRUE,TRUE,FALSE)</f>
        <v>1</v>
      </c>
      <c r="M3739" s="74">
        <v>52.48434411075036</v>
      </c>
      <c r="N3739" s="74">
        <f t="shared" si="1"/>
        <v>78.72651617</v>
      </c>
      <c r="O3739" s="74" t="b">
        <v>1</v>
      </c>
    </row>
    <row r="3740" hidden="1">
      <c r="A3740" s="82"/>
      <c r="B3740" s="65" t="s">
        <v>411</v>
      </c>
      <c r="C3740" s="65" t="s">
        <v>117</v>
      </c>
      <c r="D3740" s="65" t="str">
        <f>vlookup(C3740,'Classificação p pessoal'!F:G,2,false)</f>
        <v>NP</v>
      </c>
      <c r="E3740" s="65" t="s">
        <v>2205</v>
      </c>
      <c r="F3740" s="83">
        <v>0.34375</v>
      </c>
      <c r="G3740" s="83">
        <v>0.375</v>
      </c>
      <c r="H3740" s="83">
        <v>0.03125</v>
      </c>
      <c r="I3740" s="84">
        <v>44505.0</v>
      </c>
      <c r="J3740" s="65" t="b">
        <v>1</v>
      </c>
      <c r="K3740" s="65"/>
      <c r="L3740" s="85" t="b">
        <f>IF(VLOOKUP(C3740,Projetos!A:L,12,false)=TRUE,TRUE,FALSE)</f>
        <v>1</v>
      </c>
      <c r="M3740" s="74">
        <v>52.48434411075036</v>
      </c>
      <c r="N3740" s="74">
        <f t="shared" si="1"/>
        <v>39.36325808</v>
      </c>
      <c r="O3740" s="74" t="b">
        <v>1</v>
      </c>
    </row>
    <row r="3741" hidden="1">
      <c r="A3741" s="82"/>
      <c r="B3741" s="65" t="s">
        <v>411</v>
      </c>
      <c r="C3741" s="65" t="s">
        <v>120</v>
      </c>
      <c r="D3741" s="65"/>
      <c r="E3741" s="65" t="s">
        <v>2669</v>
      </c>
      <c r="F3741" s="83">
        <v>0.625</v>
      </c>
      <c r="G3741" s="83">
        <v>0.7083333333333334</v>
      </c>
      <c r="H3741" s="83">
        <v>0.08333333333333333</v>
      </c>
      <c r="I3741" s="84">
        <v>44264.0</v>
      </c>
      <c r="J3741" s="65" t="b">
        <v>0</v>
      </c>
      <c r="K3741" s="65"/>
      <c r="L3741" s="85" t="b">
        <f>IF(VLOOKUP(C3741,Projetos!A:L,12,false)=TRUE,TRUE,FALSE)</f>
        <v>0</v>
      </c>
      <c r="M3741" s="74">
        <v>52.48434411075036</v>
      </c>
      <c r="N3741" s="74">
        <f t="shared" si="1"/>
        <v>0</v>
      </c>
      <c r="O3741" s="74" t="b">
        <v>0</v>
      </c>
    </row>
    <row r="3742" hidden="1">
      <c r="A3742" s="82"/>
      <c r="B3742" s="65" t="s">
        <v>411</v>
      </c>
      <c r="C3742" s="65" t="s">
        <v>92</v>
      </c>
      <c r="D3742" s="65" t="str">
        <f>vlookup(C3742,'Classificação p pessoal'!F:G,2,false)</f>
        <v/>
      </c>
      <c r="E3742" s="65" t="s">
        <v>2670</v>
      </c>
      <c r="F3742" s="83">
        <v>0.4375</v>
      </c>
      <c r="G3742" s="83">
        <v>0.4583333333333333</v>
      </c>
      <c r="H3742" s="83">
        <v>0.020833333333333332</v>
      </c>
      <c r="I3742" s="84">
        <v>44505.0</v>
      </c>
      <c r="J3742" s="65" t="b">
        <v>1</v>
      </c>
      <c r="K3742" s="65"/>
      <c r="L3742" s="85" t="b">
        <f>IF(VLOOKUP(C3742,Projetos!A:L,12,false)=TRUE,TRUE,FALSE)</f>
        <v>1</v>
      </c>
      <c r="M3742" s="74">
        <v>52.48434411075036</v>
      </c>
      <c r="N3742" s="74">
        <f t="shared" si="1"/>
        <v>26.24217206</v>
      </c>
      <c r="O3742" s="74" t="b">
        <v>1</v>
      </c>
    </row>
    <row r="3743" hidden="1">
      <c r="A3743" s="82"/>
      <c r="B3743" s="65" t="s">
        <v>411</v>
      </c>
      <c r="C3743" s="65" t="s">
        <v>117</v>
      </c>
      <c r="D3743" s="65" t="str">
        <f>vlookup(C3743,'Classificação p pessoal'!F:G,2,false)</f>
        <v>NP</v>
      </c>
      <c r="E3743" s="65" t="s">
        <v>2671</v>
      </c>
      <c r="F3743" s="83">
        <v>0.4583333333333333</v>
      </c>
      <c r="G3743" s="83">
        <v>0.5833333333333334</v>
      </c>
      <c r="H3743" s="83">
        <v>0.125</v>
      </c>
      <c r="I3743" s="84">
        <v>44505.0</v>
      </c>
      <c r="J3743" s="65" t="b">
        <v>1</v>
      </c>
      <c r="K3743" s="65"/>
      <c r="L3743" s="85" t="b">
        <f>IF(VLOOKUP(C3743,Projetos!A:L,12,false)=TRUE,TRUE,FALSE)</f>
        <v>1</v>
      </c>
      <c r="M3743" s="74">
        <v>52.48434411075036</v>
      </c>
      <c r="N3743" s="74">
        <f t="shared" si="1"/>
        <v>157.4530323</v>
      </c>
      <c r="O3743" s="74" t="b">
        <v>1</v>
      </c>
    </row>
    <row r="3744" hidden="1">
      <c r="A3744" s="82"/>
      <c r="B3744" s="65" t="s">
        <v>411</v>
      </c>
      <c r="C3744" s="65" t="s">
        <v>117</v>
      </c>
      <c r="D3744" s="65" t="str">
        <f>vlookup(C3744,'Classificação p pessoal'!F:G,2,false)</f>
        <v>NP</v>
      </c>
      <c r="E3744" s="65" t="s">
        <v>2672</v>
      </c>
      <c r="F3744" s="83">
        <v>0.625</v>
      </c>
      <c r="G3744" s="83">
        <v>0.7083333333333334</v>
      </c>
      <c r="H3744" s="83">
        <v>0.08333333333333333</v>
      </c>
      <c r="I3744" s="84">
        <v>44505.0</v>
      </c>
      <c r="J3744" s="65" t="b">
        <v>1</v>
      </c>
      <c r="K3744" s="65"/>
      <c r="L3744" s="85" t="b">
        <f>IF(VLOOKUP(C3744,Projetos!A:L,12,false)=TRUE,TRUE,FALSE)</f>
        <v>1</v>
      </c>
      <c r="M3744" s="74">
        <v>52.48434411075036</v>
      </c>
      <c r="N3744" s="74">
        <f t="shared" si="1"/>
        <v>104.9686882</v>
      </c>
      <c r="O3744" s="74" t="b">
        <v>1</v>
      </c>
    </row>
    <row r="3745" hidden="1">
      <c r="A3745" s="82"/>
      <c r="B3745" s="65" t="s">
        <v>411</v>
      </c>
      <c r="C3745" s="65" t="s">
        <v>92</v>
      </c>
      <c r="D3745" s="65" t="str">
        <f>vlookup(C3745,'Classificação p pessoal'!F:G,2,false)</f>
        <v/>
      </c>
      <c r="E3745" s="65" t="s">
        <v>2673</v>
      </c>
      <c r="F3745" s="83">
        <v>0.7083333333333334</v>
      </c>
      <c r="G3745" s="83">
        <v>0.75</v>
      </c>
      <c r="H3745" s="83">
        <v>0.041666666666666664</v>
      </c>
      <c r="I3745" s="84">
        <v>44505.0</v>
      </c>
      <c r="J3745" s="65" t="b">
        <v>1</v>
      </c>
      <c r="K3745" s="65"/>
      <c r="L3745" s="85" t="b">
        <f>IF(VLOOKUP(C3745,Projetos!A:L,12,false)=TRUE,TRUE,FALSE)</f>
        <v>1</v>
      </c>
      <c r="M3745" s="74">
        <v>52.48434411075036</v>
      </c>
      <c r="N3745" s="74">
        <f t="shared" si="1"/>
        <v>52.48434411</v>
      </c>
      <c r="O3745" s="74" t="b">
        <v>1</v>
      </c>
    </row>
    <row r="3746" hidden="1">
      <c r="A3746" s="82"/>
      <c r="B3746" s="65" t="s">
        <v>411</v>
      </c>
      <c r="C3746" s="65" t="s">
        <v>92</v>
      </c>
      <c r="D3746" s="65" t="str">
        <f>vlookup(C3746,'Classificação p pessoal'!F:G,2,false)</f>
        <v/>
      </c>
      <c r="E3746" s="65" t="s">
        <v>2674</v>
      </c>
      <c r="F3746" s="83">
        <v>0.34375</v>
      </c>
      <c r="G3746" s="83">
        <v>0.4583333333333333</v>
      </c>
      <c r="H3746" s="83">
        <v>0.11458333333333333</v>
      </c>
      <c r="I3746" s="84">
        <v>44508.0</v>
      </c>
      <c r="J3746" s="65" t="b">
        <v>1</v>
      </c>
      <c r="K3746" s="65"/>
      <c r="L3746" s="85" t="b">
        <f>IF(VLOOKUP(C3746,Projetos!A:L,12,false)=TRUE,TRUE,FALSE)</f>
        <v>1</v>
      </c>
      <c r="M3746" s="74">
        <v>52.48434411075036</v>
      </c>
      <c r="N3746" s="74">
        <f t="shared" si="1"/>
        <v>144.3319463</v>
      </c>
      <c r="O3746" s="74" t="b">
        <v>1</v>
      </c>
    </row>
    <row r="3747" hidden="1">
      <c r="A3747" s="82"/>
      <c r="B3747" s="65" t="s">
        <v>411</v>
      </c>
      <c r="C3747" s="65" t="s">
        <v>132</v>
      </c>
      <c r="D3747" s="65"/>
      <c r="E3747" s="65" t="s">
        <v>2675</v>
      </c>
      <c r="F3747" s="83">
        <v>0.5</v>
      </c>
      <c r="G3747" s="83">
        <v>0.5416666666666666</v>
      </c>
      <c r="H3747" s="83">
        <v>0.041666666666666664</v>
      </c>
      <c r="I3747" s="84">
        <v>44508.0</v>
      </c>
      <c r="J3747" s="65" t="b">
        <v>1</v>
      </c>
      <c r="K3747" s="65"/>
      <c r="L3747" s="85" t="b">
        <f>IF(VLOOKUP(C3747,Projetos!A:L,12,false)=TRUE,TRUE,FALSE)</f>
        <v>0</v>
      </c>
      <c r="M3747" s="74">
        <v>52.48434411075036</v>
      </c>
      <c r="N3747" s="74">
        <f t="shared" si="1"/>
        <v>0</v>
      </c>
      <c r="O3747" s="74" t="b">
        <v>0</v>
      </c>
    </row>
    <row r="3748" hidden="1">
      <c r="A3748" s="82"/>
      <c r="B3748" s="65" t="s">
        <v>411</v>
      </c>
      <c r="C3748" s="65" t="s">
        <v>92</v>
      </c>
      <c r="D3748" s="65" t="str">
        <f>vlookup(C3748,'Classificação p pessoal'!F:G,2,false)</f>
        <v/>
      </c>
      <c r="E3748" s="65" t="s">
        <v>2676</v>
      </c>
      <c r="F3748" s="83">
        <v>0.5833333333333334</v>
      </c>
      <c r="G3748" s="83">
        <v>0.625</v>
      </c>
      <c r="H3748" s="83">
        <v>0.041666666666666664</v>
      </c>
      <c r="I3748" s="84">
        <v>44508.0</v>
      </c>
      <c r="J3748" s="65" t="b">
        <v>1</v>
      </c>
      <c r="K3748" s="65"/>
      <c r="L3748" s="85" t="b">
        <f>IF(VLOOKUP(C3748,Projetos!A:L,12,false)=TRUE,TRUE,FALSE)</f>
        <v>1</v>
      </c>
      <c r="M3748" s="74">
        <v>52.48434411075036</v>
      </c>
      <c r="N3748" s="74">
        <f t="shared" si="1"/>
        <v>52.48434411</v>
      </c>
      <c r="O3748" s="74" t="b">
        <v>1</v>
      </c>
    </row>
    <row r="3749" hidden="1">
      <c r="A3749" s="82"/>
      <c r="B3749" s="65" t="s">
        <v>411</v>
      </c>
      <c r="C3749" s="65" t="s">
        <v>117</v>
      </c>
      <c r="D3749" s="65"/>
      <c r="E3749" s="65" t="s">
        <v>2677</v>
      </c>
      <c r="F3749" s="83">
        <v>0.625</v>
      </c>
      <c r="G3749" s="83">
        <v>0.7777777777777778</v>
      </c>
      <c r="H3749" s="83">
        <v>0.1527777777777778</v>
      </c>
      <c r="I3749" s="84">
        <v>44508.0</v>
      </c>
      <c r="J3749" s="65" t="b">
        <v>0</v>
      </c>
      <c r="K3749" s="65" t="s">
        <v>150</v>
      </c>
      <c r="L3749" s="85" t="b">
        <f>IF(VLOOKUP(C3749,Projetos!A:L,12,false)=TRUE,TRUE,FALSE)</f>
        <v>1</v>
      </c>
      <c r="M3749" s="74">
        <v>52.48434411075036</v>
      </c>
      <c r="N3749" s="74">
        <f t="shared" si="1"/>
        <v>0</v>
      </c>
      <c r="O3749" s="74" t="b">
        <v>1</v>
      </c>
    </row>
    <row r="3750" hidden="1">
      <c r="A3750" s="82"/>
      <c r="B3750" s="65" t="s">
        <v>411</v>
      </c>
      <c r="C3750" s="65" t="s">
        <v>92</v>
      </c>
      <c r="D3750" s="65" t="str">
        <f>vlookup(C3750,'Classificação p pessoal'!F:G,2,false)</f>
        <v/>
      </c>
      <c r="E3750" s="65" t="s">
        <v>2678</v>
      </c>
      <c r="F3750" s="83">
        <v>0.34375</v>
      </c>
      <c r="G3750" s="83">
        <v>0.4375</v>
      </c>
      <c r="H3750" s="83">
        <v>0.09375</v>
      </c>
      <c r="I3750" s="84">
        <v>44509.0</v>
      </c>
      <c r="J3750" s="65" t="b">
        <v>1</v>
      </c>
      <c r="K3750" s="65"/>
      <c r="L3750" s="85" t="b">
        <f>IF(VLOOKUP(C3750,Projetos!A:L,12,false)=TRUE,TRUE,FALSE)</f>
        <v>1</v>
      </c>
      <c r="M3750" s="74">
        <v>52.48434411075036</v>
      </c>
      <c r="N3750" s="74">
        <f t="shared" si="1"/>
        <v>118.0897742</v>
      </c>
      <c r="O3750" s="74" t="b">
        <v>1</v>
      </c>
    </row>
    <row r="3751" hidden="1">
      <c r="A3751" s="82"/>
      <c r="B3751" s="65" t="s">
        <v>411</v>
      </c>
      <c r="C3751" s="65" t="s">
        <v>117</v>
      </c>
      <c r="D3751" s="65" t="str">
        <f>vlookup(C3751,'Classificação p pessoal'!F:G,2,false)</f>
        <v>NP</v>
      </c>
      <c r="E3751" s="65" t="s">
        <v>2679</v>
      </c>
      <c r="F3751" s="83">
        <v>0.4375</v>
      </c>
      <c r="G3751" s="83">
        <v>0.4791666666666667</v>
      </c>
      <c r="H3751" s="83">
        <v>0.041666666666666664</v>
      </c>
      <c r="I3751" s="84">
        <v>44509.0</v>
      </c>
      <c r="J3751" s="65" t="b">
        <v>1</v>
      </c>
      <c r="K3751" s="65"/>
      <c r="L3751" s="85" t="b">
        <f>IF(VLOOKUP(C3751,Projetos!A:L,12,false)=TRUE,TRUE,FALSE)</f>
        <v>1</v>
      </c>
      <c r="M3751" s="74">
        <v>52.48434411075036</v>
      </c>
      <c r="N3751" s="74">
        <f t="shared" si="1"/>
        <v>52.48434411</v>
      </c>
      <c r="O3751" s="74" t="b">
        <v>1</v>
      </c>
    </row>
    <row r="3752" hidden="1">
      <c r="A3752" s="82"/>
      <c r="B3752" s="65" t="s">
        <v>177</v>
      </c>
      <c r="C3752" s="65" t="s">
        <v>100</v>
      </c>
      <c r="D3752" s="65" t="str">
        <f>vlookup(C3752,'Classificação p pessoal'!F:G,2,false)</f>
        <v>NP</v>
      </c>
      <c r="E3752" s="65" t="s">
        <v>2680</v>
      </c>
      <c r="F3752" s="83">
        <v>0.6458333333333334</v>
      </c>
      <c r="G3752" s="83">
        <v>0.75</v>
      </c>
      <c r="H3752" s="83">
        <v>0.10416666666666667</v>
      </c>
      <c r="I3752" s="84">
        <v>44344.0</v>
      </c>
      <c r="J3752" s="65" t="b">
        <v>1</v>
      </c>
      <c r="K3752" s="65"/>
      <c r="L3752" s="85" t="b">
        <f>IF(VLOOKUP(C3752,Projetos!A:L,12,false)=TRUE,TRUE,FALSE)</f>
        <v>1</v>
      </c>
      <c r="M3752" s="74">
        <v>31.02923620430495</v>
      </c>
      <c r="N3752" s="74">
        <f t="shared" si="1"/>
        <v>77.57309051</v>
      </c>
      <c r="O3752" s="74" t="b">
        <v>1</v>
      </c>
    </row>
    <row r="3753" hidden="1">
      <c r="A3753" s="82"/>
      <c r="B3753" s="65" t="s">
        <v>411</v>
      </c>
      <c r="C3753" s="65" t="s">
        <v>92</v>
      </c>
      <c r="D3753" s="65" t="str">
        <f>vlookup(C3753,'Classificação p pessoal'!F:G,2,false)</f>
        <v/>
      </c>
      <c r="E3753" s="65" t="s">
        <v>2681</v>
      </c>
      <c r="F3753" s="83">
        <v>0.5</v>
      </c>
      <c r="G3753" s="83">
        <v>0.6041666666666666</v>
      </c>
      <c r="H3753" s="83">
        <v>0.10416666666666667</v>
      </c>
      <c r="I3753" s="84">
        <v>44509.0</v>
      </c>
      <c r="J3753" s="65" t="b">
        <v>1</v>
      </c>
      <c r="K3753" s="65"/>
      <c r="L3753" s="85" t="b">
        <f>IF(VLOOKUP(C3753,Projetos!A:L,12,false)=TRUE,TRUE,FALSE)</f>
        <v>1</v>
      </c>
      <c r="M3753" s="74">
        <v>52.48434411075036</v>
      </c>
      <c r="N3753" s="74">
        <f t="shared" si="1"/>
        <v>131.2108603</v>
      </c>
      <c r="O3753" s="74" t="b">
        <v>1</v>
      </c>
    </row>
    <row r="3754" hidden="1">
      <c r="A3754" s="82"/>
      <c r="B3754" s="65" t="s">
        <v>411</v>
      </c>
      <c r="C3754" s="65" t="s">
        <v>117</v>
      </c>
      <c r="D3754" s="65" t="str">
        <f>vlookup(C3754,'Classificação p pessoal'!F:G,2,false)</f>
        <v>NP</v>
      </c>
      <c r="E3754" s="65" t="s">
        <v>1944</v>
      </c>
      <c r="F3754" s="83">
        <v>0.6458333333333334</v>
      </c>
      <c r="G3754" s="83">
        <v>0.6875</v>
      </c>
      <c r="H3754" s="83">
        <v>0.041666666666666664</v>
      </c>
      <c r="I3754" s="84">
        <v>44509.0</v>
      </c>
      <c r="J3754" s="65" t="b">
        <v>1</v>
      </c>
      <c r="K3754" s="65"/>
      <c r="L3754" s="85" t="b">
        <f>IF(VLOOKUP(C3754,Projetos!A:L,12,false)=TRUE,TRUE,FALSE)</f>
        <v>1</v>
      </c>
      <c r="M3754" s="74">
        <v>52.48434411075036</v>
      </c>
      <c r="N3754" s="74">
        <f t="shared" si="1"/>
        <v>52.48434411</v>
      </c>
      <c r="O3754" s="74" t="b">
        <v>1</v>
      </c>
    </row>
    <row r="3755" hidden="1">
      <c r="A3755" s="82"/>
      <c r="B3755" s="65" t="s">
        <v>411</v>
      </c>
      <c r="C3755" s="65" t="s">
        <v>92</v>
      </c>
      <c r="D3755" s="65" t="str">
        <f>vlookup(C3755,'Classificação p pessoal'!F:G,2,false)</f>
        <v/>
      </c>
      <c r="E3755" s="65" t="s">
        <v>2682</v>
      </c>
      <c r="F3755" s="83">
        <v>0.6875</v>
      </c>
      <c r="G3755" s="83">
        <v>0.75</v>
      </c>
      <c r="H3755" s="83">
        <v>0.0625</v>
      </c>
      <c r="I3755" s="84">
        <v>44509.0</v>
      </c>
      <c r="J3755" s="65" t="b">
        <v>1</v>
      </c>
      <c r="K3755" s="65"/>
      <c r="L3755" s="85" t="b">
        <f>IF(VLOOKUP(C3755,Projetos!A:L,12,false)=TRUE,TRUE,FALSE)</f>
        <v>1</v>
      </c>
      <c r="M3755" s="74">
        <v>52.48434411075036</v>
      </c>
      <c r="N3755" s="74">
        <f t="shared" si="1"/>
        <v>78.72651617</v>
      </c>
      <c r="O3755" s="74" t="b">
        <v>1</v>
      </c>
    </row>
    <row r="3756" hidden="1">
      <c r="A3756" s="82"/>
      <c r="B3756" s="65" t="s">
        <v>411</v>
      </c>
      <c r="C3756" s="65" t="s">
        <v>92</v>
      </c>
      <c r="D3756" s="65" t="str">
        <f>vlookup(C3756,'Classificação p pessoal'!F:G,2,false)</f>
        <v/>
      </c>
      <c r="E3756" s="65" t="s">
        <v>2683</v>
      </c>
      <c r="F3756" s="83">
        <v>0.34375</v>
      </c>
      <c r="G3756" s="83">
        <v>0.4375</v>
      </c>
      <c r="H3756" s="83">
        <v>0.09375</v>
      </c>
      <c r="I3756" s="84">
        <v>44510.0</v>
      </c>
      <c r="J3756" s="65" t="b">
        <v>1</v>
      </c>
      <c r="K3756" s="65"/>
      <c r="L3756" s="85" t="b">
        <f>IF(VLOOKUP(C3756,Projetos!A:L,12,false)=TRUE,TRUE,FALSE)</f>
        <v>1</v>
      </c>
      <c r="M3756" s="74">
        <v>52.48434411075036</v>
      </c>
      <c r="N3756" s="74">
        <f t="shared" si="1"/>
        <v>118.0897742</v>
      </c>
      <c r="O3756" s="74" t="b">
        <v>1</v>
      </c>
    </row>
    <row r="3757" hidden="1">
      <c r="A3757" s="82"/>
      <c r="B3757" s="65" t="s">
        <v>411</v>
      </c>
      <c r="C3757" s="65" t="s">
        <v>117</v>
      </c>
      <c r="D3757" s="65"/>
      <c r="E3757" s="65" t="s">
        <v>2684</v>
      </c>
      <c r="F3757" s="83">
        <v>0.4375</v>
      </c>
      <c r="G3757" s="83">
        <v>0.4791666666666667</v>
      </c>
      <c r="H3757" s="83">
        <v>0.041666666666666664</v>
      </c>
      <c r="I3757" s="84">
        <v>44510.0</v>
      </c>
      <c r="J3757" s="65" t="b">
        <v>0</v>
      </c>
      <c r="K3757" s="65" t="s">
        <v>150</v>
      </c>
      <c r="L3757" s="85" t="b">
        <f>IF(VLOOKUP(C3757,Projetos!A:L,12,false)=TRUE,TRUE,FALSE)</f>
        <v>1</v>
      </c>
      <c r="M3757" s="74">
        <v>52.48434411075036</v>
      </c>
      <c r="N3757" s="74">
        <f t="shared" si="1"/>
        <v>0</v>
      </c>
      <c r="O3757" s="74" t="b">
        <v>1</v>
      </c>
    </row>
    <row r="3758" hidden="1">
      <c r="A3758" s="82"/>
      <c r="B3758" s="65" t="s">
        <v>411</v>
      </c>
      <c r="C3758" s="65" t="s">
        <v>120</v>
      </c>
      <c r="D3758" s="65"/>
      <c r="E3758" s="65" t="s">
        <v>2685</v>
      </c>
      <c r="F3758" s="83">
        <v>0.4791666666666667</v>
      </c>
      <c r="G3758" s="83">
        <v>0.5208333333333334</v>
      </c>
      <c r="H3758" s="83">
        <v>0.041666666666666664</v>
      </c>
      <c r="I3758" s="84">
        <v>44510.0</v>
      </c>
      <c r="J3758" s="65" t="b">
        <v>0</v>
      </c>
      <c r="K3758" s="65"/>
      <c r="L3758" s="85" t="b">
        <f>IF(VLOOKUP(C3758,Projetos!A:L,12,false)=TRUE,TRUE,FALSE)</f>
        <v>0</v>
      </c>
      <c r="M3758" s="74">
        <v>52.48434411075036</v>
      </c>
      <c r="N3758" s="74">
        <f t="shared" si="1"/>
        <v>0</v>
      </c>
      <c r="O3758" s="74" t="b">
        <v>0</v>
      </c>
    </row>
    <row r="3759" hidden="1">
      <c r="A3759" s="82"/>
      <c r="B3759" s="65" t="s">
        <v>411</v>
      </c>
      <c r="C3759" s="65" t="s">
        <v>117</v>
      </c>
      <c r="D3759" s="65" t="str">
        <f>vlookup(C3759,'Classificação p pessoal'!F:G,2,false)</f>
        <v>NP</v>
      </c>
      <c r="E3759" s="65" t="s">
        <v>2686</v>
      </c>
      <c r="F3759" s="83">
        <v>0.5208333333333334</v>
      </c>
      <c r="G3759" s="83">
        <v>0.5625</v>
      </c>
      <c r="H3759" s="83">
        <v>0.041666666666666664</v>
      </c>
      <c r="I3759" s="84">
        <v>44510.0</v>
      </c>
      <c r="J3759" s="65" t="b">
        <v>1</v>
      </c>
      <c r="K3759" s="65"/>
      <c r="L3759" s="85" t="b">
        <f>IF(VLOOKUP(C3759,Projetos!A:L,12,false)=TRUE,TRUE,FALSE)</f>
        <v>1</v>
      </c>
      <c r="M3759" s="74">
        <v>52.48434411075036</v>
      </c>
      <c r="N3759" s="74">
        <f t="shared" si="1"/>
        <v>52.48434411</v>
      </c>
      <c r="O3759" s="74" t="b">
        <v>1</v>
      </c>
    </row>
    <row r="3760" hidden="1">
      <c r="A3760" s="82"/>
      <c r="B3760" s="65" t="s">
        <v>411</v>
      </c>
      <c r="C3760" s="65" t="s">
        <v>132</v>
      </c>
      <c r="D3760" s="65"/>
      <c r="E3760" s="65" t="s">
        <v>2687</v>
      </c>
      <c r="F3760" s="83">
        <v>0.6041666666666666</v>
      </c>
      <c r="G3760" s="83">
        <v>0.6458333333333334</v>
      </c>
      <c r="H3760" s="83">
        <v>0.041666666666666664</v>
      </c>
      <c r="I3760" s="84">
        <v>44510.0</v>
      </c>
      <c r="J3760" s="65" t="b">
        <v>1</v>
      </c>
      <c r="K3760" s="65"/>
      <c r="L3760" s="85" t="b">
        <f>IF(VLOOKUP(C3760,Projetos!A:L,12,false)=TRUE,TRUE,FALSE)</f>
        <v>0</v>
      </c>
      <c r="M3760" s="74">
        <v>52.48434411075036</v>
      </c>
      <c r="N3760" s="74">
        <f t="shared" si="1"/>
        <v>0</v>
      </c>
      <c r="O3760" s="74" t="b">
        <v>0</v>
      </c>
    </row>
    <row r="3761" hidden="1">
      <c r="A3761" s="82"/>
      <c r="B3761" s="65" t="s">
        <v>411</v>
      </c>
      <c r="C3761" s="65" t="s">
        <v>117</v>
      </c>
      <c r="D3761" s="65" t="str">
        <f>vlookup(C3761,'Classificação p pessoal'!F:G,2,false)</f>
        <v>NP</v>
      </c>
      <c r="E3761" s="65" t="s">
        <v>2257</v>
      </c>
      <c r="F3761" s="83">
        <v>0.6458333333333334</v>
      </c>
      <c r="G3761" s="83">
        <v>0.6875</v>
      </c>
      <c r="H3761" s="83">
        <v>0.041666666666666664</v>
      </c>
      <c r="I3761" s="84">
        <v>44510.0</v>
      </c>
      <c r="J3761" s="65" t="b">
        <v>1</v>
      </c>
      <c r="K3761" s="65"/>
      <c r="L3761" s="85" t="b">
        <f>IF(VLOOKUP(C3761,Projetos!A:L,12,false)=TRUE,TRUE,FALSE)</f>
        <v>1</v>
      </c>
      <c r="M3761" s="74">
        <v>52.48434411075036</v>
      </c>
      <c r="N3761" s="74">
        <f t="shared" si="1"/>
        <v>52.48434411</v>
      </c>
      <c r="O3761" s="74" t="b">
        <v>1</v>
      </c>
    </row>
    <row r="3762" hidden="1">
      <c r="A3762" s="82"/>
      <c r="B3762" s="65" t="s">
        <v>411</v>
      </c>
      <c r="C3762" s="65" t="s">
        <v>117</v>
      </c>
      <c r="D3762" s="65" t="str">
        <f>vlookup(C3762,'Classificação p pessoal'!F:G,2,false)</f>
        <v>NP</v>
      </c>
      <c r="E3762" s="65" t="s">
        <v>2688</v>
      </c>
      <c r="F3762" s="83">
        <v>0.34375</v>
      </c>
      <c r="G3762" s="83">
        <v>0.375</v>
      </c>
      <c r="H3762" s="83">
        <v>0.03125</v>
      </c>
      <c r="I3762" s="84">
        <v>44511.0</v>
      </c>
      <c r="J3762" s="65" t="b">
        <v>1</v>
      </c>
      <c r="K3762" s="65"/>
      <c r="L3762" s="85" t="b">
        <f>IF(VLOOKUP(C3762,Projetos!A:L,12,false)=TRUE,TRUE,FALSE)</f>
        <v>1</v>
      </c>
      <c r="M3762" s="74">
        <v>52.48434411075036</v>
      </c>
      <c r="N3762" s="74">
        <f t="shared" si="1"/>
        <v>39.36325808</v>
      </c>
      <c r="O3762" s="74" t="b">
        <v>1</v>
      </c>
    </row>
    <row r="3763" hidden="1">
      <c r="A3763" s="82"/>
      <c r="B3763" s="65" t="s">
        <v>411</v>
      </c>
      <c r="C3763" s="65" t="s">
        <v>132</v>
      </c>
      <c r="D3763" s="65"/>
      <c r="E3763" s="65" t="s">
        <v>2687</v>
      </c>
      <c r="F3763" s="83">
        <v>0.375</v>
      </c>
      <c r="G3763" s="83">
        <v>0.3958333333333333</v>
      </c>
      <c r="H3763" s="83">
        <v>0.020833333333333332</v>
      </c>
      <c r="I3763" s="84">
        <v>44511.0</v>
      </c>
      <c r="J3763" s="65" t="b">
        <v>1</v>
      </c>
      <c r="K3763" s="65"/>
      <c r="L3763" s="85" t="b">
        <f>IF(VLOOKUP(C3763,Projetos!A:L,12,false)=TRUE,TRUE,FALSE)</f>
        <v>0</v>
      </c>
      <c r="M3763" s="74">
        <v>52.48434411075036</v>
      </c>
      <c r="N3763" s="74">
        <f t="shared" si="1"/>
        <v>0</v>
      </c>
      <c r="O3763" s="74" t="b">
        <v>0</v>
      </c>
    </row>
    <row r="3764" hidden="1">
      <c r="A3764" s="82"/>
      <c r="B3764" s="65" t="s">
        <v>411</v>
      </c>
      <c r="C3764" s="65" t="s">
        <v>117</v>
      </c>
      <c r="D3764" s="65" t="str">
        <f>vlookup(C3764,'Classificação p pessoal'!F:G,2,false)</f>
        <v>NP</v>
      </c>
      <c r="E3764" s="65" t="s">
        <v>2689</v>
      </c>
      <c r="F3764" s="83">
        <v>0.3958333333333333</v>
      </c>
      <c r="G3764" s="83">
        <v>0.5208333333333334</v>
      </c>
      <c r="H3764" s="83">
        <v>0.125</v>
      </c>
      <c r="I3764" s="84">
        <v>44511.0</v>
      </c>
      <c r="J3764" s="65" t="b">
        <v>1</v>
      </c>
      <c r="K3764" s="65"/>
      <c r="L3764" s="85" t="b">
        <f>IF(VLOOKUP(C3764,Projetos!A:L,12,false)=TRUE,TRUE,FALSE)</f>
        <v>1</v>
      </c>
      <c r="M3764" s="74">
        <v>52.48434411075036</v>
      </c>
      <c r="N3764" s="74">
        <f t="shared" si="1"/>
        <v>157.4530323</v>
      </c>
      <c r="O3764" s="74" t="b">
        <v>1</v>
      </c>
    </row>
    <row r="3765" hidden="1">
      <c r="A3765" s="82"/>
      <c r="B3765" s="65" t="s">
        <v>411</v>
      </c>
      <c r="C3765" s="65" t="s">
        <v>132</v>
      </c>
      <c r="D3765" s="65"/>
      <c r="E3765" s="65" t="s">
        <v>2690</v>
      </c>
      <c r="F3765" s="83">
        <v>0.34375</v>
      </c>
      <c r="G3765" s="83">
        <v>0.5416666666666666</v>
      </c>
      <c r="H3765" s="83">
        <v>0.19791666666666666</v>
      </c>
      <c r="I3765" s="84">
        <v>44512.0</v>
      </c>
      <c r="J3765" s="65" t="b">
        <v>1</v>
      </c>
      <c r="K3765" s="65"/>
      <c r="L3765" s="85" t="b">
        <f>IF(VLOOKUP(C3765,Projetos!A:L,12,false)=TRUE,TRUE,FALSE)</f>
        <v>0</v>
      </c>
      <c r="M3765" s="74">
        <v>52.48434411075036</v>
      </c>
      <c r="N3765" s="74">
        <f t="shared" si="1"/>
        <v>0</v>
      </c>
      <c r="O3765" s="74" t="b">
        <v>0</v>
      </c>
    </row>
    <row r="3766" hidden="1">
      <c r="A3766" s="82"/>
      <c r="B3766" s="65" t="s">
        <v>411</v>
      </c>
      <c r="C3766" s="65" t="s">
        <v>117</v>
      </c>
      <c r="D3766" s="65" t="str">
        <f>vlookup(C3766,'Classificação p pessoal'!F:G,2,false)</f>
        <v>NP</v>
      </c>
      <c r="E3766" s="65" t="s">
        <v>2691</v>
      </c>
      <c r="F3766" s="83">
        <v>0.5416666666666666</v>
      </c>
      <c r="G3766" s="83">
        <v>0.5833333333333334</v>
      </c>
      <c r="H3766" s="83">
        <v>0.041666666666666664</v>
      </c>
      <c r="I3766" s="84">
        <v>44512.0</v>
      </c>
      <c r="J3766" s="65" t="b">
        <v>1</v>
      </c>
      <c r="K3766" s="65"/>
      <c r="L3766" s="85" t="b">
        <f>IF(VLOOKUP(C3766,Projetos!A:L,12,false)=TRUE,TRUE,FALSE)</f>
        <v>1</v>
      </c>
      <c r="M3766" s="74">
        <v>52.48434411075036</v>
      </c>
      <c r="N3766" s="74">
        <f t="shared" si="1"/>
        <v>52.48434411</v>
      </c>
      <c r="O3766" s="74" t="b">
        <v>1</v>
      </c>
    </row>
    <row r="3767" hidden="1">
      <c r="A3767" s="82"/>
      <c r="B3767" s="65" t="s">
        <v>411</v>
      </c>
      <c r="C3767" s="65" t="s">
        <v>125</v>
      </c>
      <c r="D3767" s="65" t="str">
        <f>vlookup(C3767,'Classificação p pessoal'!F:G,2,false)</f>
        <v>MProduto</v>
      </c>
      <c r="E3767" s="65" t="s">
        <v>1944</v>
      </c>
      <c r="F3767" s="83">
        <v>0.625</v>
      </c>
      <c r="G3767" s="83">
        <v>0.6666666666666666</v>
      </c>
      <c r="H3767" s="83">
        <v>0.041666666666666664</v>
      </c>
      <c r="I3767" s="84">
        <v>44512.0</v>
      </c>
      <c r="J3767" s="65" t="b">
        <v>1</v>
      </c>
      <c r="K3767" s="65"/>
      <c r="L3767" s="85" t="b">
        <f>IF(VLOOKUP(C3767,Projetos!A:L,12,false)=TRUE,TRUE,FALSE)</f>
        <v>1</v>
      </c>
      <c r="M3767" s="74">
        <v>52.48434411075036</v>
      </c>
      <c r="N3767" s="74">
        <f t="shared" si="1"/>
        <v>52.48434411</v>
      </c>
      <c r="O3767" s="74" t="b">
        <v>1</v>
      </c>
    </row>
    <row r="3768" hidden="1">
      <c r="A3768" s="82"/>
      <c r="B3768" s="65" t="s">
        <v>411</v>
      </c>
      <c r="C3768" s="65" t="s">
        <v>92</v>
      </c>
      <c r="D3768" s="65" t="str">
        <f>vlookup(C3768,'Classificação p pessoal'!F:G,2,false)</f>
        <v/>
      </c>
      <c r="E3768" s="65" t="s">
        <v>2692</v>
      </c>
      <c r="F3768" s="83">
        <v>0.6666666666666666</v>
      </c>
      <c r="G3768" s="83">
        <v>0.6875</v>
      </c>
      <c r="H3768" s="83">
        <v>0.020833333333333332</v>
      </c>
      <c r="I3768" s="84">
        <v>44512.0</v>
      </c>
      <c r="J3768" s="65" t="b">
        <v>1</v>
      </c>
      <c r="K3768" s="65"/>
      <c r="L3768" s="85" t="b">
        <f>IF(VLOOKUP(C3768,Projetos!A:L,12,false)=TRUE,TRUE,FALSE)</f>
        <v>1</v>
      </c>
      <c r="M3768" s="74">
        <v>52.48434411075036</v>
      </c>
      <c r="N3768" s="74">
        <f t="shared" si="1"/>
        <v>26.24217206</v>
      </c>
      <c r="O3768" s="74" t="b">
        <v>1</v>
      </c>
    </row>
    <row r="3769" hidden="1">
      <c r="A3769" s="82"/>
      <c r="B3769" s="65" t="s">
        <v>411</v>
      </c>
      <c r="C3769" s="65" t="s">
        <v>132</v>
      </c>
      <c r="D3769" s="65"/>
      <c r="E3769" s="65" t="s">
        <v>2693</v>
      </c>
      <c r="F3769" s="83">
        <v>0.34375</v>
      </c>
      <c r="G3769" s="83">
        <v>0.3854166666666667</v>
      </c>
      <c r="H3769" s="83">
        <v>0.041666666666666664</v>
      </c>
      <c r="I3769" s="84">
        <v>44516.0</v>
      </c>
      <c r="J3769" s="65" t="b">
        <v>1</v>
      </c>
      <c r="K3769" s="65"/>
      <c r="L3769" s="85" t="b">
        <f>IF(VLOOKUP(C3769,Projetos!A:L,12,false)=TRUE,TRUE,FALSE)</f>
        <v>0</v>
      </c>
      <c r="M3769" s="74">
        <v>52.48434411075036</v>
      </c>
      <c r="N3769" s="74">
        <f t="shared" si="1"/>
        <v>0</v>
      </c>
      <c r="O3769" s="74" t="b">
        <v>0</v>
      </c>
    </row>
    <row r="3770" hidden="1">
      <c r="A3770" s="82"/>
      <c r="B3770" s="65" t="s">
        <v>411</v>
      </c>
      <c r="C3770" s="65" t="s">
        <v>92</v>
      </c>
      <c r="D3770" s="65" t="str">
        <f>vlookup(C3770,'Classificação p pessoal'!F:G,2,false)</f>
        <v/>
      </c>
      <c r="E3770" s="65" t="s">
        <v>2694</v>
      </c>
      <c r="F3770" s="83">
        <v>0.4375</v>
      </c>
      <c r="G3770" s="83">
        <v>0.5</v>
      </c>
      <c r="H3770" s="83">
        <v>0.0625</v>
      </c>
      <c r="I3770" s="84">
        <v>44516.0</v>
      </c>
      <c r="J3770" s="65" t="b">
        <v>1</v>
      </c>
      <c r="K3770" s="65"/>
      <c r="L3770" s="85" t="b">
        <f>IF(VLOOKUP(C3770,Projetos!A:L,12,false)=TRUE,TRUE,FALSE)</f>
        <v>1</v>
      </c>
      <c r="M3770" s="74">
        <v>52.48434411075036</v>
      </c>
      <c r="N3770" s="74">
        <f t="shared" si="1"/>
        <v>78.72651617</v>
      </c>
      <c r="O3770" s="74" t="b">
        <v>1</v>
      </c>
    </row>
    <row r="3771" hidden="1">
      <c r="A3771" s="82"/>
      <c r="B3771" s="65" t="s">
        <v>411</v>
      </c>
      <c r="C3771" s="65" t="s">
        <v>84</v>
      </c>
      <c r="D3771" s="65"/>
      <c r="E3771" s="65" t="s">
        <v>2695</v>
      </c>
      <c r="F3771" s="83">
        <v>0.5</v>
      </c>
      <c r="G3771" s="83">
        <v>0.5416666666666666</v>
      </c>
      <c r="H3771" s="83">
        <v>0.041666666666666664</v>
      </c>
      <c r="I3771" s="84">
        <v>44516.0</v>
      </c>
      <c r="J3771" s="65" t="b">
        <v>0</v>
      </c>
      <c r="K3771" s="65"/>
      <c r="L3771" s="85" t="b">
        <f>IF(VLOOKUP(C3771,Projetos!A:L,12,false)=TRUE,TRUE,FALSE)</f>
        <v>0</v>
      </c>
      <c r="M3771" s="74">
        <v>52.48434411075036</v>
      </c>
      <c r="N3771" s="74">
        <f t="shared" si="1"/>
        <v>0</v>
      </c>
      <c r="O3771" s="74" t="b">
        <v>0</v>
      </c>
    </row>
    <row r="3772" hidden="1">
      <c r="A3772" s="82"/>
      <c r="B3772" s="65" t="s">
        <v>411</v>
      </c>
      <c r="C3772" s="65" t="s">
        <v>117</v>
      </c>
      <c r="D3772" s="65"/>
      <c r="E3772" s="65" t="s">
        <v>2696</v>
      </c>
      <c r="F3772" s="83">
        <v>0.5833333333333334</v>
      </c>
      <c r="G3772" s="83">
        <v>0.6666666666666666</v>
      </c>
      <c r="H3772" s="83">
        <v>0.08333333333333333</v>
      </c>
      <c r="I3772" s="84">
        <v>44516.0</v>
      </c>
      <c r="J3772" s="65" t="b">
        <v>0</v>
      </c>
      <c r="K3772" s="65" t="s">
        <v>150</v>
      </c>
      <c r="L3772" s="85" t="b">
        <f>IF(VLOOKUP(C3772,Projetos!A:L,12,false)=TRUE,TRUE,FALSE)</f>
        <v>1</v>
      </c>
      <c r="M3772" s="74">
        <v>52.48434411075036</v>
      </c>
      <c r="N3772" s="74">
        <f t="shared" si="1"/>
        <v>0</v>
      </c>
      <c r="O3772" s="74" t="b">
        <v>1</v>
      </c>
    </row>
    <row r="3773" hidden="1">
      <c r="A3773" s="82"/>
      <c r="B3773" s="65" t="s">
        <v>411</v>
      </c>
      <c r="C3773" s="65" t="s">
        <v>92</v>
      </c>
      <c r="D3773" s="65" t="str">
        <f>vlookup(C3773,'Classificação p pessoal'!F:G,2,false)</f>
        <v/>
      </c>
      <c r="E3773" s="65" t="s">
        <v>2697</v>
      </c>
      <c r="F3773" s="83">
        <v>0.6666666666666666</v>
      </c>
      <c r="G3773" s="83">
        <v>0.6875</v>
      </c>
      <c r="H3773" s="83">
        <v>0.020833333333333332</v>
      </c>
      <c r="I3773" s="84">
        <v>44516.0</v>
      </c>
      <c r="J3773" s="65" t="b">
        <v>1</v>
      </c>
      <c r="K3773" s="65"/>
      <c r="L3773" s="85" t="b">
        <f>IF(VLOOKUP(C3773,Projetos!A:L,12,false)=TRUE,TRUE,FALSE)</f>
        <v>1</v>
      </c>
      <c r="M3773" s="74">
        <v>52.48434411075036</v>
      </c>
      <c r="N3773" s="74">
        <f t="shared" si="1"/>
        <v>26.24217206</v>
      </c>
      <c r="O3773" s="74" t="b">
        <v>1</v>
      </c>
    </row>
    <row r="3774" hidden="1">
      <c r="A3774" s="82"/>
      <c r="B3774" s="65" t="s">
        <v>411</v>
      </c>
      <c r="C3774" s="65" t="s">
        <v>117</v>
      </c>
      <c r="D3774" s="65" t="str">
        <f>vlookup(C3774,'Classificação p pessoal'!F:G,2,false)</f>
        <v>NP</v>
      </c>
      <c r="E3774" s="65" t="s">
        <v>2698</v>
      </c>
      <c r="F3774" s="83">
        <v>0.34375</v>
      </c>
      <c r="G3774" s="83">
        <v>0.4166666666666667</v>
      </c>
      <c r="H3774" s="83">
        <v>0.07291666666666667</v>
      </c>
      <c r="I3774" s="84">
        <v>44517.0</v>
      </c>
      <c r="J3774" s="65" t="b">
        <v>1</v>
      </c>
      <c r="K3774" s="65"/>
      <c r="L3774" s="85" t="b">
        <f>IF(VLOOKUP(C3774,Projetos!A:L,12,false)=TRUE,TRUE,FALSE)</f>
        <v>1</v>
      </c>
      <c r="M3774" s="74">
        <v>52.48434411075036</v>
      </c>
      <c r="N3774" s="74">
        <f t="shared" si="1"/>
        <v>91.84760219</v>
      </c>
      <c r="O3774" s="74" t="b">
        <v>1</v>
      </c>
    </row>
    <row r="3775" hidden="1">
      <c r="A3775" s="82"/>
      <c r="B3775" s="65" t="s">
        <v>411</v>
      </c>
      <c r="C3775" s="65" t="s">
        <v>92</v>
      </c>
      <c r="D3775" s="65" t="str">
        <f>vlookup(C3775,'Classificação p pessoal'!F:G,2,false)</f>
        <v/>
      </c>
      <c r="E3775" s="65" t="s">
        <v>2699</v>
      </c>
      <c r="F3775" s="83">
        <v>0.4166666666666667</v>
      </c>
      <c r="G3775" s="83">
        <v>0.625</v>
      </c>
      <c r="H3775" s="83">
        <v>0.20833333333333334</v>
      </c>
      <c r="I3775" s="84">
        <v>44517.0</v>
      </c>
      <c r="J3775" s="65" t="b">
        <v>1</v>
      </c>
      <c r="K3775" s="65"/>
      <c r="L3775" s="85" t="b">
        <f>IF(VLOOKUP(C3775,Projetos!A:L,12,false)=TRUE,TRUE,FALSE)</f>
        <v>1</v>
      </c>
      <c r="M3775" s="74">
        <v>52.48434411075036</v>
      </c>
      <c r="N3775" s="74">
        <f t="shared" si="1"/>
        <v>262.4217206</v>
      </c>
      <c r="O3775" s="74" t="b">
        <v>1</v>
      </c>
    </row>
    <row r="3776" hidden="1">
      <c r="A3776" s="82"/>
      <c r="B3776" s="65" t="s">
        <v>411</v>
      </c>
      <c r="C3776" s="65" t="s">
        <v>120</v>
      </c>
      <c r="D3776" s="65"/>
      <c r="E3776" s="65" t="s">
        <v>2700</v>
      </c>
      <c r="F3776" s="83">
        <v>0.3958333333333333</v>
      </c>
      <c r="G3776" s="83">
        <v>0.5625</v>
      </c>
      <c r="H3776" s="83">
        <v>0.16666666666666666</v>
      </c>
      <c r="I3776" s="84">
        <v>44257.0</v>
      </c>
      <c r="J3776" s="65" t="b">
        <v>0</v>
      </c>
      <c r="K3776" s="65"/>
      <c r="L3776" s="85" t="b">
        <f>IF(VLOOKUP(C3776,Projetos!A:L,12,false)=TRUE,TRUE,FALSE)</f>
        <v>0</v>
      </c>
      <c r="M3776" s="74">
        <v>52.48434411075036</v>
      </c>
      <c r="N3776" s="74">
        <f t="shared" si="1"/>
        <v>0</v>
      </c>
      <c r="O3776" s="74" t="b">
        <v>0</v>
      </c>
    </row>
    <row r="3777" hidden="1">
      <c r="A3777" s="82"/>
      <c r="B3777" s="65" t="s">
        <v>411</v>
      </c>
      <c r="C3777" s="65" t="s">
        <v>92</v>
      </c>
      <c r="D3777" s="65" t="str">
        <f>vlookup(C3777,'Classificação p pessoal'!F:G,2,false)</f>
        <v/>
      </c>
      <c r="E3777" s="65" t="s">
        <v>2701</v>
      </c>
      <c r="F3777" s="83">
        <v>0.34375</v>
      </c>
      <c r="G3777" s="83">
        <v>0.4166666666666667</v>
      </c>
      <c r="H3777" s="83">
        <v>0.07291666666666667</v>
      </c>
      <c r="I3777" s="84">
        <v>44518.0</v>
      </c>
      <c r="J3777" s="65" t="b">
        <v>1</v>
      </c>
      <c r="K3777" s="65"/>
      <c r="L3777" s="85" t="b">
        <f>IF(VLOOKUP(C3777,Projetos!A:L,12,false)=TRUE,TRUE,FALSE)</f>
        <v>1</v>
      </c>
      <c r="M3777" s="74">
        <v>52.48434411075036</v>
      </c>
      <c r="N3777" s="74">
        <f t="shared" si="1"/>
        <v>91.84760219</v>
      </c>
      <c r="O3777" s="74" t="b">
        <v>1</v>
      </c>
    </row>
    <row r="3778" hidden="1">
      <c r="A3778" s="82"/>
      <c r="B3778" s="65" t="s">
        <v>411</v>
      </c>
      <c r="C3778" s="65" t="s">
        <v>132</v>
      </c>
      <c r="D3778" s="65"/>
      <c r="E3778" s="65" t="s">
        <v>2702</v>
      </c>
      <c r="F3778" s="83">
        <v>0.4166666666666667</v>
      </c>
      <c r="G3778" s="83">
        <v>0.4375</v>
      </c>
      <c r="H3778" s="83">
        <v>0.020833333333333332</v>
      </c>
      <c r="I3778" s="84">
        <v>44518.0</v>
      </c>
      <c r="J3778" s="65" t="b">
        <v>1</v>
      </c>
      <c r="K3778" s="65"/>
      <c r="L3778" s="85" t="b">
        <f>IF(VLOOKUP(C3778,Projetos!A:L,12,false)=TRUE,TRUE,FALSE)</f>
        <v>0</v>
      </c>
      <c r="M3778" s="74">
        <v>52.48434411075036</v>
      </c>
      <c r="N3778" s="74">
        <f t="shared" si="1"/>
        <v>0</v>
      </c>
      <c r="O3778" s="74" t="b">
        <v>0</v>
      </c>
    </row>
    <row r="3779" hidden="1">
      <c r="A3779" s="82"/>
      <c r="B3779" s="65" t="s">
        <v>411</v>
      </c>
      <c r="C3779" s="65" t="s">
        <v>92</v>
      </c>
      <c r="D3779" s="65" t="str">
        <f>vlookup(C3779,'Classificação p pessoal'!F:G,2,false)</f>
        <v/>
      </c>
      <c r="E3779" s="65" t="s">
        <v>2703</v>
      </c>
      <c r="F3779" s="83">
        <v>0.4375</v>
      </c>
      <c r="G3779" s="83">
        <v>0.5833333333333334</v>
      </c>
      <c r="H3779" s="83">
        <v>0.14583333333333334</v>
      </c>
      <c r="I3779" s="84">
        <v>44518.0</v>
      </c>
      <c r="J3779" s="65" t="b">
        <v>1</v>
      </c>
      <c r="K3779" s="65"/>
      <c r="L3779" s="85" t="b">
        <f>IF(VLOOKUP(C3779,Projetos!A:L,12,false)=TRUE,TRUE,FALSE)</f>
        <v>1</v>
      </c>
      <c r="M3779" s="74">
        <v>52.48434411075036</v>
      </c>
      <c r="N3779" s="74">
        <f t="shared" si="1"/>
        <v>183.6952044</v>
      </c>
      <c r="O3779" s="74" t="b">
        <v>1</v>
      </c>
    </row>
    <row r="3780" hidden="1">
      <c r="A3780" s="82"/>
      <c r="B3780" s="65" t="s">
        <v>411</v>
      </c>
      <c r="C3780" s="65" t="s">
        <v>132</v>
      </c>
      <c r="D3780" s="65"/>
      <c r="E3780" s="65" t="s">
        <v>2704</v>
      </c>
      <c r="F3780" s="83">
        <v>0.625</v>
      </c>
      <c r="G3780" s="83">
        <v>0.6666666666666666</v>
      </c>
      <c r="H3780" s="83">
        <v>0.041666666666666664</v>
      </c>
      <c r="I3780" s="84">
        <v>44518.0</v>
      </c>
      <c r="J3780" s="65" t="b">
        <v>1</v>
      </c>
      <c r="K3780" s="65"/>
      <c r="L3780" s="85" t="b">
        <f>IF(VLOOKUP(C3780,Projetos!A:L,12,false)=TRUE,TRUE,FALSE)</f>
        <v>0</v>
      </c>
      <c r="M3780" s="74">
        <v>52.48434411075036</v>
      </c>
      <c r="N3780" s="74">
        <f t="shared" si="1"/>
        <v>0</v>
      </c>
      <c r="O3780" s="74" t="b">
        <v>0</v>
      </c>
    </row>
    <row r="3781" hidden="1">
      <c r="A3781" s="82"/>
      <c r="B3781" s="65" t="s">
        <v>411</v>
      </c>
      <c r="C3781" s="65" t="s">
        <v>92</v>
      </c>
      <c r="D3781" s="65" t="str">
        <f>vlookup(C3781,'Classificação p pessoal'!F:G,2,false)</f>
        <v/>
      </c>
      <c r="E3781" s="65" t="s">
        <v>2705</v>
      </c>
      <c r="F3781" s="83">
        <v>0.6666666666666666</v>
      </c>
      <c r="G3781" s="83">
        <v>0.75</v>
      </c>
      <c r="H3781" s="83">
        <v>0.08333333333333333</v>
      </c>
      <c r="I3781" s="84">
        <v>44518.0</v>
      </c>
      <c r="J3781" s="65" t="b">
        <v>1</v>
      </c>
      <c r="K3781" s="65"/>
      <c r="L3781" s="85" t="b">
        <f>IF(VLOOKUP(C3781,Projetos!A:L,12,false)=TRUE,TRUE,FALSE)</f>
        <v>1</v>
      </c>
      <c r="M3781" s="74">
        <v>52.48434411075036</v>
      </c>
      <c r="N3781" s="74">
        <f t="shared" si="1"/>
        <v>104.9686882</v>
      </c>
      <c r="O3781" s="74" t="b">
        <v>1</v>
      </c>
    </row>
    <row r="3782" hidden="1">
      <c r="A3782" s="82"/>
      <c r="B3782" s="65" t="s">
        <v>411</v>
      </c>
      <c r="C3782" s="65" t="s">
        <v>92</v>
      </c>
      <c r="D3782" s="65"/>
      <c r="E3782" s="65" t="s">
        <v>2706</v>
      </c>
      <c r="F3782" s="83">
        <v>0.34375</v>
      </c>
      <c r="G3782" s="83">
        <v>0.375</v>
      </c>
      <c r="H3782" s="83">
        <v>0.03125</v>
      </c>
      <c r="I3782" s="84">
        <v>44519.0</v>
      </c>
      <c r="J3782" s="65" t="b">
        <v>0</v>
      </c>
      <c r="K3782" s="65" t="s">
        <v>150</v>
      </c>
      <c r="L3782" s="85" t="b">
        <f>IF(VLOOKUP(C3782,Projetos!A:L,12,false)=TRUE,TRUE,FALSE)</f>
        <v>1</v>
      </c>
      <c r="M3782" s="74">
        <v>52.48434411075036</v>
      </c>
      <c r="N3782" s="74">
        <f t="shared" si="1"/>
        <v>0</v>
      </c>
      <c r="O3782" s="74" t="b">
        <v>1</v>
      </c>
    </row>
    <row r="3783" hidden="1">
      <c r="A3783" s="82"/>
      <c r="B3783" s="65" t="s">
        <v>411</v>
      </c>
      <c r="C3783" s="65" t="s">
        <v>117</v>
      </c>
      <c r="D3783" s="65" t="str">
        <f>vlookup(C3783,'Classificação p pessoal'!F:G,2,false)</f>
        <v>NP</v>
      </c>
      <c r="E3783" s="65" t="s">
        <v>2707</v>
      </c>
      <c r="F3783" s="83">
        <v>0.375</v>
      </c>
      <c r="G3783" s="83">
        <v>0.4791666666666667</v>
      </c>
      <c r="H3783" s="83">
        <v>0.10416666666666667</v>
      </c>
      <c r="I3783" s="84">
        <v>44519.0</v>
      </c>
      <c r="J3783" s="65" t="b">
        <v>1</v>
      </c>
      <c r="K3783" s="65"/>
      <c r="L3783" s="85" t="b">
        <f>IF(VLOOKUP(C3783,Projetos!A:L,12,false)=TRUE,TRUE,FALSE)</f>
        <v>1</v>
      </c>
      <c r="M3783" s="74">
        <v>52.48434411075036</v>
      </c>
      <c r="N3783" s="74">
        <f t="shared" si="1"/>
        <v>131.2108603</v>
      </c>
      <c r="O3783" s="74" t="b">
        <v>1</v>
      </c>
    </row>
    <row r="3784" hidden="1">
      <c r="A3784" s="82"/>
      <c r="B3784" s="65" t="s">
        <v>411</v>
      </c>
      <c r="C3784" s="65" t="s">
        <v>117</v>
      </c>
      <c r="D3784" s="65" t="str">
        <f>vlookup(C3784,'Classificação p pessoal'!F:G,2,false)</f>
        <v>NP</v>
      </c>
      <c r="E3784" s="65" t="s">
        <v>2708</v>
      </c>
      <c r="F3784" s="83">
        <v>0.6041666666666666</v>
      </c>
      <c r="G3784" s="83">
        <v>0.6458333333333334</v>
      </c>
      <c r="H3784" s="83">
        <v>0.041666666666666664</v>
      </c>
      <c r="I3784" s="84">
        <v>44519.0</v>
      </c>
      <c r="J3784" s="65" t="b">
        <v>1</v>
      </c>
      <c r="K3784" s="65"/>
      <c r="L3784" s="85" t="b">
        <f>IF(VLOOKUP(C3784,Projetos!A:L,12,false)=TRUE,TRUE,FALSE)</f>
        <v>1</v>
      </c>
      <c r="M3784" s="74">
        <v>52.48434411075036</v>
      </c>
      <c r="N3784" s="74">
        <f t="shared" si="1"/>
        <v>52.48434411</v>
      </c>
      <c r="O3784" s="74" t="b">
        <v>1</v>
      </c>
    </row>
    <row r="3785" hidden="1">
      <c r="A3785" s="82"/>
      <c r="B3785" s="65" t="s">
        <v>411</v>
      </c>
      <c r="C3785" s="65" t="s">
        <v>132</v>
      </c>
      <c r="D3785" s="65"/>
      <c r="E3785" s="65" t="s">
        <v>2240</v>
      </c>
      <c r="F3785" s="83">
        <v>0.6458333333333334</v>
      </c>
      <c r="G3785" s="83">
        <v>0.7083333333333334</v>
      </c>
      <c r="H3785" s="83">
        <v>0.0625</v>
      </c>
      <c r="I3785" s="84">
        <v>44519.0</v>
      </c>
      <c r="J3785" s="65" t="b">
        <v>1</v>
      </c>
      <c r="K3785" s="65"/>
      <c r="L3785" s="85" t="b">
        <f>IF(VLOOKUP(C3785,Projetos!A:L,12,false)=TRUE,TRUE,FALSE)</f>
        <v>0</v>
      </c>
      <c r="M3785" s="74">
        <v>52.48434411075036</v>
      </c>
      <c r="N3785" s="74">
        <f t="shared" si="1"/>
        <v>0</v>
      </c>
      <c r="O3785" s="74" t="b">
        <v>0</v>
      </c>
    </row>
    <row r="3786" hidden="1">
      <c r="A3786" s="82"/>
      <c r="B3786" s="65" t="s">
        <v>411</v>
      </c>
      <c r="C3786" s="65" t="s">
        <v>92</v>
      </c>
      <c r="D3786" s="65" t="str">
        <f>vlookup(C3786,'Classificação p pessoal'!F:G,2,false)</f>
        <v/>
      </c>
      <c r="E3786" s="65" t="s">
        <v>2705</v>
      </c>
      <c r="F3786" s="83">
        <v>0.7083333333333334</v>
      </c>
      <c r="G3786" s="83">
        <v>0.75</v>
      </c>
      <c r="H3786" s="83">
        <v>0.041666666666666664</v>
      </c>
      <c r="I3786" s="84">
        <v>44519.0</v>
      </c>
      <c r="J3786" s="65" t="b">
        <v>1</v>
      </c>
      <c r="K3786" s="65"/>
      <c r="L3786" s="85" t="b">
        <f>IF(VLOOKUP(C3786,Projetos!A:L,12,false)=TRUE,TRUE,FALSE)</f>
        <v>1</v>
      </c>
      <c r="M3786" s="74">
        <v>52.48434411075036</v>
      </c>
      <c r="N3786" s="74">
        <f t="shared" si="1"/>
        <v>52.48434411</v>
      </c>
      <c r="O3786" s="74" t="b">
        <v>1</v>
      </c>
    </row>
    <row r="3787" hidden="1">
      <c r="A3787" s="82"/>
      <c r="B3787" s="65" t="s">
        <v>411</v>
      </c>
      <c r="C3787" s="65" t="s">
        <v>117</v>
      </c>
      <c r="D3787" s="65" t="str">
        <f>vlookup(C3787,'Classificação p pessoal'!F:G,2,false)</f>
        <v>NP</v>
      </c>
      <c r="E3787" s="65" t="s">
        <v>2709</v>
      </c>
      <c r="F3787" s="83">
        <v>0.34375</v>
      </c>
      <c r="G3787" s="83">
        <v>0.4166666666666667</v>
      </c>
      <c r="H3787" s="83">
        <v>0.07291666666666667</v>
      </c>
      <c r="I3787" s="84">
        <v>44543.0</v>
      </c>
      <c r="J3787" s="65" t="b">
        <v>1</v>
      </c>
      <c r="K3787" s="65"/>
      <c r="L3787" s="85" t="b">
        <f>IF(VLOOKUP(C3787,Projetos!A:L,12,false)=TRUE,TRUE,FALSE)</f>
        <v>1</v>
      </c>
      <c r="M3787" s="74">
        <v>52.48434411075036</v>
      </c>
      <c r="N3787" s="74">
        <f t="shared" si="1"/>
        <v>91.84760219</v>
      </c>
      <c r="O3787" s="74" t="b">
        <v>1</v>
      </c>
    </row>
    <row r="3788" hidden="1">
      <c r="A3788" s="82"/>
      <c r="B3788" s="65" t="s">
        <v>411</v>
      </c>
      <c r="C3788" s="65" t="s">
        <v>92</v>
      </c>
      <c r="D3788" s="65" t="str">
        <f>vlookup(C3788,'Classificação p pessoal'!F:G,2,false)</f>
        <v/>
      </c>
      <c r="E3788" s="65" t="s">
        <v>2710</v>
      </c>
      <c r="F3788" s="83">
        <v>0.4166666666666667</v>
      </c>
      <c r="G3788" s="83">
        <v>0.4583333333333333</v>
      </c>
      <c r="H3788" s="83">
        <v>0.041666666666666664</v>
      </c>
      <c r="I3788" s="84">
        <v>44908.0</v>
      </c>
      <c r="J3788" s="65" t="b">
        <v>1</v>
      </c>
      <c r="K3788" s="65"/>
      <c r="L3788" s="85" t="b">
        <f>IF(VLOOKUP(C3788,Projetos!A:L,12,false)=TRUE,TRUE,FALSE)</f>
        <v>1</v>
      </c>
      <c r="M3788" s="74">
        <v>52.48434411075036</v>
      </c>
      <c r="N3788" s="74">
        <f t="shared" si="1"/>
        <v>52.48434411</v>
      </c>
      <c r="O3788" s="74" t="b">
        <v>1</v>
      </c>
    </row>
    <row r="3789" hidden="1">
      <c r="A3789" s="82"/>
      <c r="B3789" s="65" t="s">
        <v>411</v>
      </c>
      <c r="C3789" s="65" t="s">
        <v>92</v>
      </c>
      <c r="D3789" s="65" t="str">
        <f>vlookup(C3789,'Classificação p pessoal'!F:G,2,false)</f>
        <v/>
      </c>
      <c r="E3789" s="65" t="s">
        <v>2711</v>
      </c>
      <c r="F3789" s="83">
        <v>0.6458333333333334</v>
      </c>
      <c r="G3789" s="83">
        <v>0.75</v>
      </c>
      <c r="H3789" s="83">
        <v>0.10416666666666667</v>
      </c>
      <c r="I3789" s="84">
        <v>44543.0</v>
      </c>
      <c r="J3789" s="65" t="b">
        <v>1</v>
      </c>
      <c r="K3789" s="65"/>
      <c r="L3789" s="85" t="b">
        <f>IF(VLOOKUP(C3789,Projetos!A:L,12,false)=TRUE,TRUE,FALSE)</f>
        <v>1</v>
      </c>
      <c r="M3789" s="74">
        <v>52.48434411075036</v>
      </c>
      <c r="N3789" s="74">
        <f t="shared" si="1"/>
        <v>131.2108603</v>
      </c>
      <c r="O3789" s="74" t="b">
        <v>1</v>
      </c>
    </row>
    <row r="3790" hidden="1">
      <c r="A3790" s="82"/>
      <c r="B3790" s="65" t="s">
        <v>411</v>
      </c>
      <c r="C3790" s="65" t="s">
        <v>120</v>
      </c>
      <c r="D3790" s="65"/>
      <c r="E3790" s="65" t="s">
        <v>2712</v>
      </c>
      <c r="F3790" s="83">
        <v>0.34375</v>
      </c>
      <c r="G3790" s="83">
        <v>0.375</v>
      </c>
      <c r="H3790" s="83">
        <v>0.03125</v>
      </c>
      <c r="I3790" s="84">
        <v>44544.0</v>
      </c>
      <c r="J3790" s="65" t="b">
        <v>0</v>
      </c>
      <c r="K3790" s="65"/>
      <c r="L3790" s="85" t="b">
        <f>IF(VLOOKUP(C3790,Projetos!A:L,12,false)=TRUE,TRUE,FALSE)</f>
        <v>0</v>
      </c>
      <c r="M3790" s="74">
        <v>52.48434411075036</v>
      </c>
      <c r="N3790" s="74">
        <f t="shared" si="1"/>
        <v>0</v>
      </c>
      <c r="O3790" s="74" t="b">
        <v>0</v>
      </c>
    </row>
    <row r="3791" hidden="1">
      <c r="A3791" s="82"/>
      <c r="B3791" s="65" t="s">
        <v>411</v>
      </c>
      <c r="C3791" s="65" t="s">
        <v>120</v>
      </c>
      <c r="D3791" s="65"/>
      <c r="E3791" s="65" t="s">
        <v>2713</v>
      </c>
      <c r="F3791" s="83">
        <v>0.4375</v>
      </c>
      <c r="G3791" s="83">
        <v>0.5833333333333334</v>
      </c>
      <c r="H3791" s="83">
        <v>0.14583333333333334</v>
      </c>
      <c r="I3791" s="84">
        <v>44258.0</v>
      </c>
      <c r="J3791" s="65" t="b">
        <v>0</v>
      </c>
      <c r="K3791" s="65"/>
      <c r="L3791" s="85" t="b">
        <f>IF(VLOOKUP(C3791,Projetos!A:L,12,false)=TRUE,TRUE,FALSE)</f>
        <v>0</v>
      </c>
      <c r="M3791" s="74">
        <v>52.48434411075036</v>
      </c>
      <c r="N3791" s="74">
        <f t="shared" si="1"/>
        <v>0</v>
      </c>
      <c r="O3791" s="74" t="b">
        <v>0</v>
      </c>
    </row>
    <row r="3792" hidden="1">
      <c r="A3792" s="82"/>
      <c r="B3792" s="65" t="s">
        <v>411</v>
      </c>
      <c r="C3792" s="65" t="s">
        <v>92</v>
      </c>
      <c r="D3792" s="65"/>
      <c r="E3792" s="65" t="s">
        <v>2714</v>
      </c>
      <c r="F3792" s="83">
        <v>0.4583333333333333</v>
      </c>
      <c r="G3792" s="83">
        <v>0.5</v>
      </c>
      <c r="H3792" s="83">
        <v>0.041666666666666664</v>
      </c>
      <c r="I3792" s="84">
        <v>44544.0</v>
      </c>
      <c r="J3792" s="65" t="b">
        <v>0</v>
      </c>
      <c r="K3792" s="65" t="s">
        <v>150</v>
      </c>
      <c r="L3792" s="85" t="b">
        <f>IF(VLOOKUP(C3792,Projetos!A:L,12,false)=TRUE,TRUE,FALSE)</f>
        <v>1</v>
      </c>
      <c r="M3792" s="74">
        <v>52.48434411075036</v>
      </c>
      <c r="N3792" s="74">
        <f t="shared" si="1"/>
        <v>0</v>
      </c>
      <c r="O3792" s="74" t="b">
        <v>1</v>
      </c>
    </row>
    <row r="3793" hidden="1">
      <c r="A3793" s="82"/>
      <c r="B3793" s="65" t="s">
        <v>411</v>
      </c>
      <c r="C3793" s="65" t="s">
        <v>152</v>
      </c>
      <c r="D3793" s="65"/>
      <c r="E3793" s="65" t="s">
        <v>270</v>
      </c>
      <c r="F3793" s="83">
        <v>0.5</v>
      </c>
      <c r="G3793" s="83">
        <v>0.5416666666666666</v>
      </c>
      <c r="H3793" s="83">
        <v>0.041666666666666664</v>
      </c>
      <c r="I3793" s="84">
        <v>44544.0</v>
      </c>
      <c r="J3793" s="65" t="b">
        <v>0</v>
      </c>
      <c r="K3793" s="65" t="s">
        <v>150</v>
      </c>
      <c r="L3793" s="85" t="b">
        <f>IF(VLOOKUP(C3793,Projetos!A:L,12,false)=TRUE,TRUE,FALSE)</f>
        <v>1</v>
      </c>
      <c r="M3793" s="74">
        <v>52.48434411075036</v>
      </c>
      <c r="N3793" s="74">
        <f t="shared" si="1"/>
        <v>0</v>
      </c>
      <c r="O3793" s="74" t="b">
        <v>1</v>
      </c>
    </row>
    <row r="3794" hidden="1">
      <c r="A3794" s="82"/>
      <c r="B3794" s="65" t="s">
        <v>411</v>
      </c>
      <c r="C3794" s="65" t="s">
        <v>117</v>
      </c>
      <c r="D3794" s="65"/>
      <c r="E3794" s="65" t="s">
        <v>2715</v>
      </c>
      <c r="F3794" s="83">
        <v>0.5833333333333334</v>
      </c>
      <c r="G3794" s="83">
        <v>0.75</v>
      </c>
      <c r="H3794" s="83">
        <v>0.16666666666666666</v>
      </c>
      <c r="I3794" s="84">
        <v>44544.0</v>
      </c>
      <c r="J3794" s="65" t="b">
        <v>0</v>
      </c>
      <c r="K3794" s="65" t="s">
        <v>150</v>
      </c>
      <c r="L3794" s="85" t="b">
        <f>IF(VLOOKUP(C3794,Projetos!A:L,12,false)=TRUE,TRUE,FALSE)</f>
        <v>1</v>
      </c>
      <c r="M3794" s="74">
        <v>52.48434411075036</v>
      </c>
      <c r="N3794" s="74">
        <f t="shared" si="1"/>
        <v>0</v>
      </c>
      <c r="O3794" s="74" t="b">
        <v>1</v>
      </c>
    </row>
    <row r="3795" hidden="1">
      <c r="A3795" s="82"/>
      <c r="B3795" s="65" t="s">
        <v>411</v>
      </c>
      <c r="C3795" s="65" t="s">
        <v>117</v>
      </c>
      <c r="D3795" s="65" t="str">
        <f>vlookup(C3795,'Classificação p pessoal'!F:G,2,false)</f>
        <v>NP</v>
      </c>
      <c r="E3795" s="65" t="s">
        <v>2716</v>
      </c>
      <c r="F3795" s="83">
        <v>0.34375</v>
      </c>
      <c r="G3795" s="83">
        <v>0.4166666666666667</v>
      </c>
      <c r="H3795" s="83">
        <v>0.07291666666666667</v>
      </c>
      <c r="I3795" s="84">
        <v>44545.0</v>
      </c>
      <c r="J3795" s="65" t="b">
        <v>1</v>
      </c>
      <c r="K3795" s="65"/>
      <c r="L3795" s="85" t="b">
        <f>IF(VLOOKUP(C3795,Projetos!A:L,12,false)=TRUE,TRUE,FALSE)</f>
        <v>1</v>
      </c>
      <c r="M3795" s="74">
        <v>52.48434411075036</v>
      </c>
      <c r="N3795" s="74">
        <f t="shared" si="1"/>
        <v>91.84760219</v>
      </c>
      <c r="O3795" s="74" t="b">
        <v>1</v>
      </c>
    </row>
    <row r="3796">
      <c r="A3796" s="82"/>
      <c r="B3796" s="65" t="s">
        <v>411</v>
      </c>
      <c r="C3796" s="65" t="s">
        <v>108</v>
      </c>
      <c r="D3796" s="65" t="str">
        <f>vlookup(C3796,'Classificação p pessoal'!F:G,2,false)</f>
        <v>NP</v>
      </c>
      <c r="E3796" s="65" t="s">
        <v>2717</v>
      </c>
      <c r="F3796" s="83">
        <v>0.4166666666666667</v>
      </c>
      <c r="G3796" s="83">
        <v>0.4375</v>
      </c>
      <c r="H3796" s="83">
        <v>0.020833333333333332</v>
      </c>
      <c r="I3796" s="84">
        <v>44545.0</v>
      </c>
      <c r="J3796" s="65" t="b">
        <v>1</v>
      </c>
      <c r="K3796" s="65"/>
      <c r="L3796" s="85" t="b">
        <f>IF(VLOOKUP(C3796,Projetos!A:L,12,false)=TRUE,TRUE,FALSE)</f>
        <v>1</v>
      </c>
      <c r="M3796" s="74">
        <v>52.48434411075036</v>
      </c>
      <c r="N3796" s="74">
        <f t="shared" si="1"/>
        <v>26.24217206</v>
      </c>
      <c r="O3796" s="74" t="b">
        <v>1</v>
      </c>
    </row>
    <row r="3797" hidden="1">
      <c r="A3797" s="82"/>
      <c r="B3797" s="65" t="s">
        <v>411</v>
      </c>
      <c r="C3797" s="65" t="s">
        <v>125</v>
      </c>
      <c r="D3797" s="65"/>
      <c r="E3797" s="65" t="s">
        <v>2718</v>
      </c>
      <c r="F3797" s="83">
        <v>0.4375</v>
      </c>
      <c r="G3797" s="83">
        <v>0.4583333333333333</v>
      </c>
      <c r="H3797" s="83">
        <v>0.020833333333333332</v>
      </c>
      <c r="I3797" s="84">
        <v>44545.0</v>
      </c>
      <c r="J3797" s="65" t="b">
        <v>0</v>
      </c>
      <c r="K3797" s="65" t="s">
        <v>150</v>
      </c>
      <c r="L3797" s="85" t="b">
        <f>IF(VLOOKUP(C3797,Projetos!A:L,12,false)=TRUE,TRUE,FALSE)</f>
        <v>1</v>
      </c>
      <c r="M3797" s="74">
        <v>52.48434411075036</v>
      </c>
      <c r="N3797" s="74">
        <f t="shared" si="1"/>
        <v>0</v>
      </c>
      <c r="O3797" s="74" t="b">
        <v>1</v>
      </c>
    </row>
    <row r="3798" hidden="1">
      <c r="A3798" s="82"/>
      <c r="B3798" s="65" t="s">
        <v>411</v>
      </c>
      <c r="C3798" s="65" t="s">
        <v>92</v>
      </c>
      <c r="D3798" s="65" t="str">
        <f>vlookup(C3798,'Classificação p pessoal'!F:G,2,false)</f>
        <v/>
      </c>
      <c r="E3798" s="65" t="s">
        <v>2719</v>
      </c>
      <c r="F3798" s="83">
        <v>0.4583333333333333</v>
      </c>
      <c r="G3798" s="83">
        <v>0.5208333333333334</v>
      </c>
      <c r="H3798" s="83">
        <v>0.0625</v>
      </c>
      <c r="I3798" s="84">
        <v>44545.0</v>
      </c>
      <c r="J3798" s="65" t="b">
        <v>1</v>
      </c>
      <c r="K3798" s="65"/>
      <c r="L3798" s="85" t="b">
        <f>IF(VLOOKUP(C3798,Projetos!A:L,12,false)=TRUE,TRUE,FALSE)</f>
        <v>1</v>
      </c>
      <c r="M3798" s="74">
        <v>52.48434411075036</v>
      </c>
      <c r="N3798" s="74">
        <f t="shared" si="1"/>
        <v>78.72651617</v>
      </c>
      <c r="O3798" s="74" t="b">
        <v>1</v>
      </c>
    </row>
    <row r="3799" hidden="1">
      <c r="A3799" s="82"/>
      <c r="B3799" s="65" t="s">
        <v>411</v>
      </c>
      <c r="C3799" s="65" t="s">
        <v>117</v>
      </c>
      <c r="D3799" s="65" t="str">
        <f>vlookup(C3799,'Classificação p pessoal'!F:G,2,false)</f>
        <v>NP</v>
      </c>
      <c r="E3799" s="65" t="s">
        <v>2720</v>
      </c>
      <c r="F3799" s="83">
        <v>0.5625</v>
      </c>
      <c r="G3799" s="83">
        <v>0.75</v>
      </c>
      <c r="H3799" s="83">
        <v>0.1875</v>
      </c>
      <c r="I3799" s="84">
        <v>44545.0</v>
      </c>
      <c r="J3799" s="65" t="b">
        <v>1</v>
      </c>
      <c r="K3799" s="65"/>
      <c r="L3799" s="85" t="b">
        <f>IF(VLOOKUP(C3799,Projetos!A:L,12,false)=TRUE,TRUE,FALSE)</f>
        <v>1</v>
      </c>
      <c r="M3799" s="74">
        <v>52.48434411075036</v>
      </c>
      <c r="N3799" s="74">
        <f t="shared" si="1"/>
        <v>236.1795485</v>
      </c>
      <c r="O3799" s="74" t="b">
        <v>1</v>
      </c>
    </row>
    <row r="3800" hidden="1">
      <c r="A3800" s="82"/>
      <c r="B3800" s="65" t="s">
        <v>411</v>
      </c>
      <c r="C3800" s="65" t="s">
        <v>91</v>
      </c>
      <c r="D3800" s="65" t="str">
        <f>vlookup(C3800,'Classificação p pessoal'!F:G,2,false)</f>
        <v>NP</v>
      </c>
      <c r="E3800" s="65" t="s">
        <v>2721</v>
      </c>
      <c r="F3800" s="83">
        <v>0.34375</v>
      </c>
      <c r="G3800" s="83">
        <v>0.375</v>
      </c>
      <c r="H3800" s="83">
        <v>0.03125</v>
      </c>
      <c r="I3800" s="84">
        <v>44546.0</v>
      </c>
      <c r="J3800" s="65" t="b">
        <v>1</v>
      </c>
      <c r="K3800" s="65"/>
      <c r="L3800" s="85" t="b">
        <f>IF(VLOOKUP(C3800,Projetos!A:L,12,false)=TRUE,TRUE,FALSE)</f>
        <v>1</v>
      </c>
      <c r="M3800" s="74">
        <v>52.48434411075036</v>
      </c>
      <c r="N3800" s="74">
        <f t="shared" si="1"/>
        <v>39.36325808</v>
      </c>
      <c r="O3800" s="74" t="b">
        <v>1</v>
      </c>
    </row>
    <row r="3801" hidden="1">
      <c r="A3801" s="82"/>
      <c r="B3801" s="65" t="s">
        <v>411</v>
      </c>
      <c r="C3801" s="65" t="s">
        <v>114</v>
      </c>
      <c r="D3801" s="65" t="str">
        <f>vlookup(C3801,'Classificação p pessoal'!F:G,2,false)</f>
        <v>NP</v>
      </c>
      <c r="E3801" s="65" t="s">
        <v>2722</v>
      </c>
      <c r="F3801" s="83">
        <v>0.375</v>
      </c>
      <c r="G3801" s="83">
        <v>0.3958333333333333</v>
      </c>
      <c r="H3801" s="83">
        <v>0.020833333333333332</v>
      </c>
      <c r="I3801" s="84">
        <v>44546.0</v>
      </c>
      <c r="J3801" s="65" t="b">
        <v>1</v>
      </c>
      <c r="K3801" s="65"/>
      <c r="L3801" s="85" t="b">
        <f>IF(VLOOKUP(C3801,Projetos!A:L,12,false)=TRUE,TRUE,FALSE)</f>
        <v>1</v>
      </c>
      <c r="M3801" s="74">
        <v>52.48434411075036</v>
      </c>
      <c r="N3801" s="74">
        <f t="shared" si="1"/>
        <v>26.24217206</v>
      </c>
      <c r="O3801" s="74" t="b">
        <v>1</v>
      </c>
    </row>
    <row r="3802" hidden="1">
      <c r="A3802" s="82"/>
      <c r="B3802" s="65" t="s">
        <v>411</v>
      </c>
      <c r="C3802" s="65" t="s">
        <v>117</v>
      </c>
      <c r="D3802" s="65" t="str">
        <f>vlookup(C3802,'Classificação p pessoal'!F:G,2,false)</f>
        <v>NP</v>
      </c>
      <c r="E3802" s="65" t="s">
        <v>2723</v>
      </c>
      <c r="F3802" s="83">
        <v>0.3958333333333333</v>
      </c>
      <c r="G3802" s="83">
        <v>0.4583333333333333</v>
      </c>
      <c r="H3802" s="83">
        <v>0.0625</v>
      </c>
      <c r="I3802" s="84">
        <v>44546.0</v>
      </c>
      <c r="J3802" s="65" t="b">
        <v>1</v>
      </c>
      <c r="K3802" s="65"/>
      <c r="L3802" s="85" t="b">
        <f>IF(VLOOKUP(C3802,Projetos!A:L,12,false)=TRUE,TRUE,FALSE)</f>
        <v>1</v>
      </c>
      <c r="M3802" s="74">
        <v>52.48434411075036</v>
      </c>
      <c r="N3802" s="74">
        <f t="shared" si="1"/>
        <v>78.72651617</v>
      </c>
      <c r="O3802" s="74" t="b">
        <v>1</v>
      </c>
    </row>
    <row r="3803" hidden="1">
      <c r="A3803" s="82"/>
      <c r="B3803" s="65" t="s">
        <v>411</v>
      </c>
      <c r="C3803" s="65" t="s">
        <v>117</v>
      </c>
      <c r="D3803" s="65" t="str">
        <f>vlookup(C3803,'Classificação p pessoal'!F:G,2,false)</f>
        <v>NP</v>
      </c>
      <c r="E3803" s="65" t="s">
        <v>2724</v>
      </c>
      <c r="F3803" s="83">
        <v>0.5</v>
      </c>
      <c r="G3803" s="83">
        <v>0.5416666666666666</v>
      </c>
      <c r="H3803" s="83">
        <v>0.041666666666666664</v>
      </c>
      <c r="I3803" s="84">
        <v>44546.0</v>
      </c>
      <c r="J3803" s="65" t="b">
        <v>1</v>
      </c>
      <c r="K3803" s="65"/>
      <c r="L3803" s="85" t="b">
        <f>IF(VLOOKUP(C3803,Projetos!A:L,12,false)=TRUE,TRUE,FALSE)</f>
        <v>1</v>
      </c>
      <c r="M3803" s="74">
        <v>52.48434411075036</v>
      </c>
      <c r="N3803" s="74">
        <f t="shared" si="1"/>
        <v>52.48434411</v>
      </c>
      <c r="O3803" s="74" t="b">
        <v>1</v>
      </c>
    </row>
    <row r="3804" hidden="1">
      <c r="A3804" s="82"/>
      <c r="B3804" s="65" t="s">
        <v>411</v>
      </c>
      <c r="C3804" s="65" t="s">
        <v>117</v>
      </c>
      <c r="D3804" s="65" t="str">
        <f>vlookup(C3804,'Classificação p pessoal'!F:G,2,false)</f>
        <v>NP</v>
      </c>
      <c r="E3804" s="65" t="s">
        <v>2725</v>
      </c>
      <c r="F3804" s="83">
        <v>0.625</v>
      </c>
      <c r="G3804" s="83">
        <v>0.75</v>
      </c>
      <c r="H3804" s="83">
        <v>0.125</v>
      </c>
      <c r="I3804" s="84">
        <v>44546.0</v>
      </c>
      <c r="J3804" s="65" t="b">
        <v>1</v>
      </c>
      <c r="K3804" s="65"/>
      <c r="L3804" s="85" t="b">
        <f>IF(VLOOKUP(C3804,Projetos!A:L,12,false)=TRUE,TRUE,FALSE)</f>
        <v>1</v>
      </c>
      <c r="M3804" s="74">
        <v>52.48434411075036</v>
      </c>
      <c r="N3804" s="74">
        <f t="shared" si="1"/>
        <v>157.4530323</v>
      </c>
      <c r="O3804" s="74" t="b">
        <v>1</v>
      </c>
    </row>
    <row r="3805" hidden="1">
      <c r="A3805" s="82"/>
      <c r="B3805" s="65" t="s">
        <v>411</v>
      </c>
      <c r="C3805" s="65" t="s">
        <v>117</v>
      </c>
      <c r="D3805" s="65"/>
      <c r="E3805" s="65" t="s">
        <v>2726</v>
      </c>
      <c r="F3805" s="83">
        <v>0.34375</v>
      </c>
      <c r="G3805" s="83">
        <v>0.4166666666666667</v>
      </c>
      <c r="H3805" s="83">
        <v>0.07291666666666667</v>
      </c>
      <c r="I3805" s="84">
        <v>44550.0</v>
      </c>
      <c r="J3805" s="65" t="b">
        <v>0</v>
      </c>
      <c r="K3805" s="65" t="s">
        <v>150</v>
      </c>
      <c r="L3805" s="85" t="b">
        <f>IF(VLOOKUP(C3805,Projetos!A:L,12,false)=TRUE,TRUE,FALSE)</f>
        <v>1</v>
      </c>
      <c r="M3805" s="74">
        <v>52.48434411075036</v>
      </c>
      <c r="N3805" s="74">
        <f t="shared" si="1"/>
        <v>0</v>
      </c>
      <c r="O3805" s="74" t="b">
        <v>1</v>
      </c>
    </row>
    <row r="3806" hidden="1">
      <c r="A3806" s="82"/>
      <c r="B3806" s="65" t="s">
        <v>411</v>
      </c>
      <c r="C3806" s="65" t="s">
        <v>92</v>
      </c>
      <c r="D3806" s="65" t="str">
        <f>vlookup(C3806,'Classificação p pessoal'!F:G,2,false)</f>
        <v/>
      </c>
      <c r="E3806" s="65" t="s">
        <v>2727</v>
      </c>
      <c r="F3806" s="83">
        <v>0.4166666666666667</v>
      </c>
      <c r="G3806" s="83">
        <v>0.5416666666666666</v>
      </c>
      <c r="H3806" s="83">
        <v>0.125</v>
      </c>
      <c r="I3806" s="84">
        <v>44550.0</v>
      </c>
      <c r="J3806" s="65" t="b">
        <v>1</v>
      </c>
      <c r="K3806" s="65"/>
      <c r="L3806" s="85" t="b">
        <f>IF(VLOOKUP(C3806,Projetos!A:L,12,false)=TRUE,TRUE,FALSE)</f>
        <v>1</v>
      </c>
      <c r="M3806" s="74">
        <v>52.48434411075036</v>
      </c>
      <c r="N3806" s="74">
        <f t="shared" si="1"/>
        <v>157.4530323</v>
      </c>
      <c r="O3806" s="74" t="b">
        <v>1</v>
      </c>
    </row>
    <row r="3807" hidden="1">
      <c r="A3807" s="82"/>
      <c r="B3807" s="65" t="s">
        <v>411</v>
      </c>
      <c r="C3807" s="65" t="s">
        <v>117</v>
      </c>
      <c r="D3807" s="65" t="str">
        <f>vlookup(C3807,'Classificação p pessoal'!F:G,2,false)</f>
        <v>NP</v>
      </c>
      <c r="E3807" s="65" t="s">
        <v>2728</v>
      </c>
      <c r="F3807" s="83">
        <v>0.5833333333333334</v>
      </c>
      <c r="G3807" s="83">
        <v>0.625</v>
      </c>
      <c r="H3807" s="83">
        <v>0.041666666666666664</v>
      </c>
      <c r="I3807" s="84">
        <v>44550.0</v>
      </c>
      <c r="J3807" s="65" t="b">
        <v>1</v>
      </c>
      <c r="K3807" s="65"/>
      <c r="L3807" s="85" t="b">
        <f>IF(VLOOKUP(C3807,Projetos!A:L,12,false)=TRUE,TRUE,FALSE)</f>
        <v>1</v>
      </c>
      <c r="M3807" s="74">
        <v>52.48434411075036</v>
      </c>
      <c r="N3807" s="74">
        <f t="shared" si="1"/>
        <v>52.48434411</v>
      </c>
      <c r="O3807" s="74" t="b">
        <v>1</v>
      </c>
    </row>
    <row r="3808" hidden="1">
      <c r="A3808" s="82"/>
      <c r="B3808" s="65" t="s">
        <v>411</v>
      </c>
      <c r="C3808" s="65" t="s">
        <v>92</v>
      </c>
      <c r="D3808" s="65" t="str">
        <f>vlookup(C3808,'Classificação p pessoal'!F:G,2,false)</f>
        <v/>
      </c>
      <c r="E3808" s="65" t="s">
        <v>2729</v>
      </c>
      <c r="F3808" s="83">
        <v>0.625</v>
      </c>
      <c r="G3808" s="83">
        <v>0.75</v>
      </c>
      <c r="H3808" s="83">
        <v>0.125</v>
      </c>
      <c r="I3808" s="84">
        <v>44550.0</v>
      </c>
      <c r="J3808" s="65" t="b">
        <v>1</v>
      </c>
      <c r="K3808" s="65"/>
      <c r="L3808" s="85" t="b">
        <f>IF(VLOOKUP(C3808,Projetos!A:L,12,false)=TRUE,TRUE,FALSE)</f>
        <v>1</v>
      </c>
      <c r="M3808" s="74">
        <v>52.48434411075036</v>
      </c>
      <c r="N3808" s="74">
        <f t="shared" si="1"/>
        <v>157.4530323</v>
      </c>
      <c r="O3808" s="74" t="b">
        <v>1</v>
      </c>
    </row>
    <row r="3809" hidden="1">
      <c r="A3809" s="82"/>
      <c r="B3809" s="65" t="s">
        <v>411</v>
      </c>
      <c r="C3809" s="65" t="s">
        <v>92</v>
      </c>
      <c r="D3809" s="65" t="str">
        <f>vlookup(C3809,'Classificação p pessoal'!F:G,2,false)</f>
        <v/>
      </c>
      <c r="E3809" s="65" t="s">
        <v>2729</v>
      </c>
      <c r="F3809" s="83">
        <v>0.34375</v>
      </c>
      <c r="G3809" s="83">
        <v>0.4166666666666667</v>
      </c>
      <c r="H3809" s="83">
        <v>0.07291666666666667</v>
      </c>
      <c r="I3809" s="84">
        <v>44551.0</v>
      </c>
      <c r="J3809" s="65" t="b">
        <v>1</v>
      </c>
      <c r="K3809" s="65"/>
      <c r="L3809" s="85" t="b">
        <f>IF(VLOOKUP(C3809,Projetos!A:L,12,false)=TRUE,TRUE,FALSE)</f>
        <v>1</v>
      </c>
      <c r="M3809" s="74">
        <v>52.48434411075036</v>
      </c>
      <c r="N3809" s="74">
        <f t="shared" si="1"/>
        <v>91.84760219</v>
      </c>
      <c r="O3809" s="74" t="b">
        <v>1</v>
      </c>
    </row>
    <row r="3810" hidden="1">
      <c r="A3810" s="82"/>
      <c r="B3810" s="65" t="s">
        <v>411</v>
      </c>
      <c r="C3810" s="65" t="s">
        <v>117</v>
      </c>
      <c r="D3810" s="65" t="str">
        <f>vlookup(C3810,'Classificação p pessoal'!F:G,2,false)</f>
        <v>NP</v>
      </c>
      <c r="E3810" s="65" t="s">
        <v>2730</v>
      </c>
      <c r="F3810" s="83">
        <v>0.4166666666666667</v>
      </c>
      <c r="G3810" s="83">
        <v>0.5416666666666666</v>
      </c>
      <c r="H3810" s="83">
        <v>0.125</v>
      </c>
      <c r="I3810" s="84">
        <v>44551.0</v>
      </c>
      <c r="J3810" s="65" t="b">
        <v>1</v>
      </c>
      <c r="K3810" s="65"/>
      <c r="L3810" s="85" t="b">
        <f>IF(VLOOKUP(C3810,Projetos!A:L,12,false)=TRUE,TRUE,FALSE)</f>
        <v>1</v>
      </c>
      <c r="M3810" s="74">
        <v>52.48434411075036</v>
      </c>
      <c r="N3810" s="74">
        <f t="shared" si="1"/>
        <v>157.4530323</v>
      </c>
      <c r="O3810" s="74" t="b">
        <v>1</v>
      </c>
    </row>
    <row r="3811" hidden="1">
      <c r="A3811" s="82"/>
      <c r="B3811" s="65" t="s">
        <v>411</v>
      </c>
      <c r="C3811" s="65" t="s">
        <v>117</v>
      </c>
      <c r="D3811" s="65" t="str">
        <f>vlookup(C3811,'Classificação p pessoal'!F:G,2,false)</f>
        <v>NP</v>
      </c>
      <c r="E3811" s="65" t="s">
        <v>2731</v>
      </c>
      <c r="F3811" s="83">
        <v>0.5833333333333334</v>
      </c>
      <c r="G3811" s="83">
        <v>0.6458333333333334</v>
      </c>
      <c r="H3811" s="83">
        <v>0.0625</v>
      </c>
      <c r="I3811" s="84">
        <v>44551.0</v>
      </c>
      <c r="J3811" s="65" t="b">
        <v>1</v>
      </c>
      <c r="K3811" s="65"/>
      <c r="L3811" s="85" t="b">
        <f>IF(VLOOKUP(C3811,Projetos!A:L,12,false)=TRUE,TRUE,FALSE)</f>
        <v>1</v>
      </c>
      <c r="M3811" s="74">
        <v>52.48434411075036</v>
      </c>
      <c r="N3811" s="74">
        <f t="shared" si="1"/>
        <v>78.72651617</v>
      </c>
      <c r="O3811" s="74" t="b">
        <v>1</v>
      </c>
    </row>
    <row r="3812" hidden="1">
      <c r="A3812" s="82"/>
      <c r="B3812" s="65" t="s">
        <v>411</v>
      </c>
      <c r="C3812" s="65" t="s">
        <v>117</v>
      </c>
      <c r="D3812" s="65" t="str">
        <f>vlookup(C3812,'Classificação p pessoal'!F:G,2,false)</f>
        <v>NP</v>
      </c>
      <c r="E3812" s="65" t="s">
        <v>2732</v>
      </c>
      <c r="F3812" s="83">
        <v>0.6666666666666666</v>
      </c>
      <c r="G3812" s="83">
        <v>0.75</v>
      </c>
      <c r="H3812" s="83">
        <v>0.08333333333333333</v>
      </c>
      <c r="I3812" s="84">
        <v>44551.0</v>
      </c>
      <c r="J3812" s="65" t="b">
        <v>1</v>
      </c>
      <c r="K3812" s="65"/>
      <c r="L3812" s="85" t="b">
        <f>IF(VLOOKUP(C3812,Projetos!A:L,12,false)=TRUE,TRUE,FALSE)</f>
        <v>1</v>
      </c>
      <c r="M3812" s="74">
        <v>52.48434411075036</v>
      </c>
      <c r="N3812" s="74">
        <f t="shared" si="1"/>
        <v>104.9686882</v>
      </c>
      <c r="O3812" s="74" t="b">
        <v>1</v>
      </c>
    </row>
    <row r="3813" hidden="1">
      <c r="A3813" s="82"/>
      <c r="B3813" s="65" t="s">
        <v>411</v>
      </c>
      <c r="C3813" s="65" t="s">
        <v>117</v>
      </c>
      <c r="D3813" s="65"/>
      <c r="E3813" s="65" t="s">
        <v>2733</v>
      </c>
      <c r="F3813" s="83">
        <v>0.34375</v>
      </c>
      <c r="G3813" s="83">
        <v>0.5625</v>
      </c>
      <c r="H3813" s="83">
        <v>0.21875</v>
      </c>
      <c r="I3813" s="84">
        <v>44552.0</v>
      </c>
      <c r="J3813" s="65" t="b">
        <v>0</v>
      </c>
      <c r="K3813" s="65" t="s">
        <v>150</v>
      </c>
      <c r="L3813" s="85" t="b">
        <f>IF(VLOOKUP(C3813,Projetos!A:L,12,false)=TRUE,TRUE,FALSE)</f>
        <v>1</v>
      </c>
      <c r="M3813" s="74">
        <v>52.48434411075036</v>
      </c>
      <c r="N3813" s="74">
        <f t="shared" si="1"/>
        <v>0</v>
      </c>
      <c r="O3813" s="74" t="b">
        <v>1</v>
      </c>
    </row>
    <row r="3814" hidden="1">
      <c r="A3814" s="82"/>
      <c r="B3814" s="65" t="s">
        <v>411</v>
      </c>
      <c r="C3814" s="65" t="s">
        <v>117</v>
      </c>
      <c r="D3814" s="65"/>
      <c r="E3814" s="65" t="s">
        <v>2734</v>
      </c>
      <c r="F3814" s="83">
        <v>0.6041666666666666</v>
      </c>
      <c r="G3814" s="83">
        <v>0.75</v>
      </c>
      <c r="H3814" s="83">
        <v>0.14583333333333334</v>
      </c>
      <c r="I3814" s="84">
        <v>44552.0</v>
      </c>
      <c r="J3814" s="65" t="b">
        <v>0</v>
      </c>
      <c r="K3814" s="65" t="s">
        <v>150</v>
      </c>
      <c r="L3814" s="85" t="b">
        <f>IF(VLOOKUP(C3814,Projetos!A:L,12,false)=TRUE,TRUE,FALSE)</f>
        <v>1</v>
      </c>
      <c r="M3814" s="74">
        <v>52.48434411075036</v>
      </c>
      <c r="N3814" s="74">
        <f t="shared" si="1"/>
        <v>0</v>
      </c>
      <c r="O3814" s="74" t="b">
        <v>1</v>
      </c>
    </row>
    <row r="3815" hidden="1">
      <c r="A3815" s="82"/>
      <c r="B3815" s="65" t="s">
        <v>411</v>
      </c>
      <c r="C3815" s="65" t="s">
        <v>132</v>
      </c>
      <c r="D3815" s="65"/>
      <c r="E3815" s="65" t="s">
        <v>2735</v>
      </c>
      <c r="F3815" s="83">
        <v>0.34375</v>
      </c>
      <c r="G3815" s="83">
        <v>0.3958333333333333</v>
      </c>
      <c r="H3815" s="83">
        <v>0.052083333333333336</v>
      </c>
      <c r="I3815" s="84">
        <v>44553.0</v>
      </c>
      <c r="J3815" s="65" t="b">
        <v>1</v>
      </c>
      <c r="K3815" s="65"/>
      <c r="L3815" s="85" t="b">
        <f>IF(VLOOKUP(C3815,Projetos!A:L,12,false)=TRUE,TRUE,FALSE)</f>
        <v>0</v>
      </c>
      <c r="M3815" s="74">
        <v>52.48434411075036</v>
      </c>
      <c r="N3815" s="74">
        <f t="shared" si="1"/>
        <v>0</v>
      </c>
      <c r="O3815" s="74" t="b">
        <v>0</v>
      </c>
    </row>
    <row r="3816" hidden="1">
      <c r="A3816" s="82"/>
      <c r="B3816" s="65" t="s">
        <v>411</v>
      </c>
      <c r="C3816" s="65" t="s">
        <v>117</v>
      </c>
      <c r="D3816" s="65" t="str">
        <f>vlookup(C3816,'Classificação p pessoal'!F:G,2,false)</f>
        <v>NP</v>
      </c>
      <c r="E3816" s="65" t="s">
        <v>2736</v>
      </c>
      <c r="F3816" s="83">
        <v>0.3958333333333333</v>
      </c>
      <c r="G3816" s="83">
        <v>0.5</v>
      </c>
      <c r="H3816" s="83">
        <v>0.10416666666666667</v>
      </c>
      <c r="I3816" s="84">
        <v>44553.0</v>
      </c>
      <c r="J3816" s="65" t="b">
        <v>1</v>
      </c>
      <c r="K3816" s="65"/>
      <c r="L3816" s="85" t="b">
        <f>IF(VLOOKUP(C3816,Projetos!A:L,12,false)=TRUE,TRUE,FALSE)</f>
        <v>1</v>
      </c>
      <c r="M3816" s="74">
        <v>52.48434411075036</v>
      </c>
      <c r="N3816" s="74">
        <f t="shared" si="1"/>
        <v>131.2108603</v>
      </c>
      <c r="O3816" s="74" t="b">
        <v>1</v>
      </c>
    </row>
    <row r="3817" hidden="1">
      <c r="A3817" s="82"/>
      <c r="B3817" s="65" t="s">
        <v>411</v>
      </c>
      <c r="C3817" s="65" t="s">
        <v>92</v>
      </c>
      <c r="D3817" s="65" t="str">
        <f>vlookup(C3817,'Classificação p pessoal'!F:G,2,false)</f>
        <v/>
      </c>
      <c r="E3817" s="65" t="s">
        <v>2729</v>
      </c>
      <c r="F3817" s="83">
        <v>0.5</v>
      </c>
      <c r="G3817" s="83">
        <v>0.5625</v>
      </c>
      <c r="H3817" s="83">
        <v>0.0625</v>
      </c>
      <c r="I3817" s="84">
        <v>44553.0</v>
      </c>
      <c r="J3817" s="65" t="b">
        <v>1</v>
      </c>
      <c r="K3817" s="65"/>
      <c r="L3817" s="85" t="b">
        <f>IF(VLOOKUP(C3817,Projetos!A:L,12,false)=TRUE,TRUE,FALSE)</f>
        <v>1</v>
      </c>
      <c r="M3817" s="74">
        <v>52.48434411075036</v>
      </c>
      <c r="N3817" s="74">
        <f t="shared" si="1"/>
        <v>78.72651617</v>
      </c>
      <c r="O3817" s="74" t="b">
        <v>1</v>
      </c>
    </row>
    <row r="3818" hidden="1">
      <c r="A3818" s="82"/>
      <c r="B3818" s="65" t="s">
        <v>411</v>
      </c>
      <c r="C3818" s="65" t="s">
        <v>132</v>
      </c>
      <c r="D3818" s="65"/>
      <c r="E3818" s="65" t="s">
        <v>270</v>
      </c>
      <c r="F3818" s="83">
        <v>0.6041666666666666</v>
      </c>
      <c r="G3818" s="83">
        <v>0.7291666666666666</v>
      </c>
      <c r="H3818" s="83">
        <v>0.125</v>
      </c>
      <c r="I3818" s="84">
        <v>44553.0</v>
      </c>
      <c r="J3818" s="65" t="b">
        <v>0</v>
      </c>
      <c r="K3818" s="65" t="s">
        <v>150</v>
      </c>
      <c r="L3818" s="85" t="b">
        <f>IF(VLOOKUP(C3818,Projetos!A:L,12,false)=TRUE,TRUE,FALSE)</f>
        <v>0</v>
      </c>
      <c r="M3818" s="74">
        <v>52.48434411075036</v>
      </c>
      <c r="N3818" s="74">
        <f t="shared" si="1"/>
        <v>0</v>
      </c>
      <c r="O3818" s="74" t="b">
        <v>0</v>
      </c>
    </row>
    <row r="3819" hidden="1">
      <c r="A3819" s="82"/>
      <c r="B3819" s="65" t="s">
        <v>411</v>
      </c>
      <c r="C3819" s="65" t="s">
        <v>117</v>
      </c>
      <c r="D3819" s="65" t="str">
        <f>vlookup(C3819,'Classificação p pessoal'!F:G,2,false)</f>
        <v>NP</v>
      </c>
      <c r="E3819" s="65" t="s">
        <v>2737</v>
      </c>
      <c r="F3819" s="83">
        <v>0.34375</v>
      </c>
      <c r="G3819" s="83">
        <v>0.4583333333333333</v>
      </c>
      <c r="H3819" s="83">
        <v>0.11458333333333333</v>
      </c>
      <c r="I3819" s="84">
        <v>44557.0</v>
      </c>
      <c r="J3819" s="65" t="b">
        <v>1</v>
      </c>
      <c r="K3819" s="65"/>
      <c r="L3819" s="85" t="b">
        <f>IF(VLOOKUP(C3819,Projetos!A:L,12,false)=TRUE,TRUE,FALSE)</f>
        <v>1</v>
      </c>
      <c r="M3819" s="74">
        <v>52.48434411075036</v>
      </c>
      <c r="N3819" s="74">
        <f t="shared" si="1"/>
        <v>144.3319463</v>
      </c>
      <c r="O3819" s="74" t="b">
        <v>1</v>
      </c>
    </row>
    <row r="3820" hidden="1">
      <c r="A3820" s="82"/>
      <c r="B3820" s="65" t="s">
        <v>411</v>
      </c>
      <c r="C3820" s="65" t="s">
        <v>85</v>
      </c>
      <c r="D3820" s="65" t="str">
        <f>vlookup(C3820,'Classificação p pessoal'!F:G,2,false)</f>
        <v>NP</v>
      </c>
      <c r="E3820" s="65" t="s">
        <v>2738</v>
      </c>
      <c r="F3820" s="83">
        <v>0.4583333333333333</v>
      </c>
      <c r="G3820" s="83">
        <v>0.5</v>
      </c>
      <c r="H3820" s="83">
        <v>0.041666666666666664</v>
      </c>
      <c r="I3820" s="84">
        <v>44557.0</v>
      </c>
      <c r="J3820" s="65" t="b">
        <v>1</v>
      </c>
      <c r="K3820" s="65"/>
      <c r="L3820" s="85" t="b">
        <f>IF(VLOOKUP(C3820,Projetos!A:L,12,false)=TRUE,TRUE,FALSE)</f>
        <v>1</v>
      </c>
      <c r="M3820" s="74">
        <v>52.48434411075036</v>
      </c>
      <c r="N3820" s="74">
        <f t="shared" si="1"/>
        <v>52.48434411</v>
      </c>
      <c r="O3820" s="74" t="b">
        <v>1</v>
      </c>
    </row>
    <row r="3821" hidden="1">
      <c r="A3821" s="82"/>
      <c r="B3821" s="65" t="s">
        <v>411</v>
      </c>
      <c r="C3821" s="65" t="s">
        <v>132</v>
      </c>
      <c r="D3821" s="65"/>
      <c r="E3821" s="65" t="s">
        <v>2739</v>
      </c>
      <c r="F3821" s="83">
        <v>0.5</v>
      </c>
      <c r="G3821" s="83">
        <v>0.5416666666666666</v>
      </c>
      <c r="H3821" s="83">
        <v>0.041666666666666664</v>
      </c>
      <c r="I3821" s="84">
        <v>44557.0</v>
      </c>
      <c r="J3821" s="65" t="b">
        <v>1</v>
      </c>
      <c r="K3821" s="65"/>
      <c r="L3821" s="85" t="b">
        <f>IF(VLOOKUP(C3821,Projetos!A:L,12,false)=TRUE,TRUE,FALSE)</f>
        <v>0</v>
      </c>
      <c r="M3821" s="74">
        <v>52.48434411075036</v>
      </c>
      <c r="N3821" s="74">
        <f t="shared" si="1"/>
        <v>0</v>
      </c>
      <c r="O3821" s="74" t="b">
        <v>0</v>
      </c>
    </row>
    <row r="3822" hidden="1">
      <c r="A3822" s="82"/>
      <c r="B3822" s="65" t="s">
        <v>411</v>
      </c>
      <c r="C3822" s="65" t="s">
        <v>117</v>
      </c>
      <c r="D3822" s="65" t="str">
        <f>vlookup(C3822,'Classificação p pessoal'!F:G,2,false)</f>
        <v>NP</v>
      </c>
      <c r="E3822" s="65" t="s">
        <v>2740</v>
      </c>
      <c r="F3822" s="83">
        <v>0.4166666666666667</v>
      </c>
      <c r="G3822" s="83">
        <v>0.5416666666666666</v>
      </c>
      <c r="H3822" s="83">
        <v>0.125</v>
      </c>
      <c r="I3822" s="84">
        <v>44349.0</v>
      </c>
      <c r="J3822" s="65" t="b">
        <v>1</v>
      </c>
      <c r="K3822" s="65"/>
      <c r="L3822" s="85" t="b">
        <f>IF(VLOOKUP(C3822,Projetos!A:L,12,false)=TRUE,TRUE,FALSE)</f>
        <v>1</v>
      </c>
      <c r="M3822" s="74">
        <v>52.48434411075036</v>
      </c>
      <c r="N3822" s="74">
        <f t="shared" si="1"/>
        <v>157.4530323</v>
      </c>
      <c r="O3822" s="74" t="b">
        <v>1</v>
      </c>
    </row>
    <row r="3823" hidden="1">
      <c r="A3823" s="82"/>
      <c r="B3823" s="65" t="s">
        <v>411</v>
      </c>
      <c r="C3823" s="65" t="s">
        <v>117</v>
      </c>
      <c r="D3823" s="65" t="str">
        <f>vlookup(C3823,'Classificação p pessoal'!F:G,2,false)</f>
        <v>NP</v>
      </c>
      <c r="E3823" s="65" t="s">
        <v>2741</v>
      </c>
      <c r="F3823" s="83">
        <v>0.34375</v>
      </c>
      <c r="G3823" s="83">
        <v>0.4375</v>
      </c>
      <c r="H3823" s="83">
        <v>0.09375</v>
      </c>
      <c r="I3823" s="84">
        <v>44558.0</v>
      </c>
      <c r="J3823" s="65" t="b">
        <v>1</v>
      </c>
      <c r="K3823" s="65"/>
      <c r="L3823" s="85" t="b">
        <f>IF(VLOOKUP(C3823,Projetos!A:L,12,false)=TRUE,TRUE,FALSE)</f>
        <v>1</v>
      </c>
      <c r="M3823" s="74">
        <v>52.48434411075036</v>
      </c>
      <c r="N3823" s="74">
        <f t="shared" si="1"/>
        <v>118.0897742</v>
      </c>
      <c r="O3823" s="74" t="b">
        <v>1</v>
      </c>
    </row>
    <row r="3824" hidden="1">
      <c r="A3824" s="82"/>
      <c r="B3824" s="65" t="s">
        <v>411</v>
      </c>
      <c r="C3824" s="65" t="s">
        <v>125</v>
      </c>
      <c r="D3824" s="65" t="str">
        <f>vlookup(C3824,'Classificação p pessoal'!F:G,2,false)</f>
        <v>MProduto</v>
      </c>
      <c r="E3824" s="65" t="s">
        <v>2742</v>
      </c>
      <c r="F3824" s="83">
        <v>0.5</v>
      </c>
      <c r="G3824" s="83">
        <v>0.5416666666666666</v>
      </c>
      <c r="H3824" s="83">
        <v>0.041666666666666664</v>
      </c>
      <c r="I3824" s="84">
        <v>44558.0</v>
      </c>
      <c r="J3824" s="65" t="b">
        <v>1</v>
      </c>
      <c r="K3824" s="65"/>
      <c r="L3824" s="85" t="b">
        <f>IF(VLOOKUP(C3824,Projetos!A:L,12,false)=TRUE,TRUE,FALSE)</f>
        <v>1</v>
      </c>
      <c r="M3824" s="74">
        <v>52.48434411075036</v>
      </c>
      <c r="N3824" s="74">
        <f t="shared" si="1"/>
        <v>52.48434411</v>
      </c>
      <c r="O3824" s="74" t="b">
        <v>1</v>
      </c>
    </row>
    <row r="3825" hidden="1">
      <c r="A3825" s="82"/>
      <c r="B3825" s="65" t="s">
        <v>411</v>
      </c>
      <c r="C3825" s="65" t="s">
        <v>117</v>
      </c>
      <c r="D3825" s="65"/>
      <c r="E3825" s="65" t="s">
        <v>2743</v>
      </c>
      <c r="F3825" s="83">
        <v>0.5833333333333334</v>
      </c>
      <c r="G3825" s="83">
        <v>0.75</v>
      </c>
      <c r="H3825" s="83">
        <v>0.16666666666666666</v>
      </c>
      <c r="I3825" s="84">
        <v>44558.0</v>
      </c>
      <c r="J3825" s="65" t="b">
        <v>0</v>
      </c>
      <c r="K3825" s="65" t="s">
        <v>150</v>
      </c>
      <c r="L3825" s="85" t="b">
        <f>IF(VLOOKUP(C3825,Projetos!A:L,12,false)=TRUE,TRUE,FALSE)</f>
        <v>1</v>
      </c>
      <c r="M3825" s="74">
        <v>52.48434411075036</v>
      </c>
      <c r="N3825" s="74">
        <f t="shared" si="1"/>
        <v>0</v>
      </c>
      <c r="O3825" s="74" t="b">
        <v>1</v>
      </c>
    </row>
    <row r="3826" hidden="1">
      <c r="A3826" s="82"/>
      <c r="B3826" s="65" t="s">
        <v>411</v>
      </c>
      <c r="C3826" s="65" t="s">
        <v>125</v>
      </c>
      <c r="D3826" s="65" t="str">
        <f>vlookup(C3826,'Classificação p pessoal'!F:G,2,false)</f>
        <v>MProduto</v>
      </c>
      <c r="E3826" s="65" t="s">
        <v>2744</v>
      </c>
      <c r="F3826" s="83">
        <v>0.34375</v>
      </c>
      <c r="G3826" s="83">
        <v>0.4375</v>
      </c>
      <c r="H3826" s="83">
        <v>0.09375</v>
      </c>
      <c r="I3826" s="84">
        <v>44559.0</v>
      </c>
      <c r="J3826" s="65" t="b">
        <v>1</v>
      </c>
      <c r="K3826" s="65"/>
      <c r="L3826" s="85" t="b">
        <f>IF(VLOOKUP(C3826,Projetos!A:L,12,false)=TRUE,TRUE,FALSE)</f>
        <v>1</v>
      </c>
      <c r="M3826" s="74">
        <v>52.48434411075036</v>
      </c>
      <c r="N3826" s="74">
        <f t="shared" si="1"/>
        <v>118.0897742</v>
      </c>
      <c r="O3826" s="74" t="b">
        <v>1</v>
      </c>
    </row>
    <row r="3827" hidden="1">
      <c r="A3827" s="82"/>
      <c r="B3827" s="65" t="s">
        <v>411</v>
      </c>
      <c r="C3827" s="65" t="s">
        <v>117</v>
      </c>
      <c r="D3827" s="65" t="str">
        <f>vlookup(C3827,'Classificação p pessoal'!F:G,2,false)</f>
        <v>NP</v>
      </c>
      <c r="E3827" s="65" t="s">
        <v>2745</v>
      </c>
      <c r="F3827" s="83">
        <v>0.4375</v>
      </c>
      <c r="G3827" s="83">
        <v>0.4791666666666667</v>
      </c>
      <c r="H3827" s="83">
        <v>0.041666666666666664</v>
      </c>
      <c r="I3827" s="84">
        <v>44559.0</v>
      </c>
      <c r="J3827" s="65" t="b">
        <v>1</v>
      </c>
      <c r="K3827" s="65"/>
      <c r="L3827" s="85" t="b">
        <f>IF(VLOOKUP(C3827,Projetos!A:L,12,false)=TRUE,TRUE,FALSE)</f>
        <v>1</v>
      </c>
      <c r="M3827" s="74">
        <v>52.48434411075036</v>
      </c>
      <c r="N3827" s="74">
        <f t="shared" si="1"/>
        <v>52.48434411</v>
      </c>
      <c r="O3827" s="74" t="b">
        <v>1</v>
      </c>
    </row>
    <row r="3828" hidden="1">
      <c r="A3828" s="82"/>
      <c r="B3828" s="65" t="s">
        <v>411</v>
      </c>
      <c r="C3828" s="65" t="s">
        <v>132</v>
      </c>
      <c r="D3828" s="65"/>
      <c r="E3828" s="65" t="s">
        <v>2746</v>
      </c>
      <c r="F3828" s="83">
        <v>0.4791666666666667</v>
      </c>
      <c r="G3828" s="83">
        <v>0.5208333333333334</v>
      </c>
      <c r="H3828" s="83">
        <v>0.041666666666666664</v>
      </c>
      <c r="I3828" s="84">
        <v>44559.0</v>
      </c>
      <c r="J3828" s="65" t="b">
        <v>0</v>
      </c>
      <c r="K3828" s="65" t="s">
        <v>150</v>
      </c>
      <c r="L3828" s="85" t="b">
        <f>IF(VLOOKUP(C3828,Projetos!A:L,12,false)=TRUE,TRUE,FALSE)</f>
        <v>0</v>
      </c>
      <c r="M3828" s="74">
        <v>52.48434411075036</v>
      </c>
      <c r="N3828" s="74">
        <f t="shared" si="1"/>
        <v>0</v>
      </c>
      <c r="O3828" s="74" t="b">
        <v>0</v>
      </c>
    </row>
    <row r="3829" hidden="1">
      <c r="A3829" s="82"/>
      <c r="B3829" s="65" t="s">
        <v>411</v>
      </c>
      <c r="C3829" s="65" t="s">
        <v>92</v>
      </c>
      <c r="D3829" s="65" t="str">
        <f>vlookup(C3829,'Classificação p pessoal'!F:G,2,false)</f>
        <v/>
      </c>
      <c r="E3829" s="65" t="s">
        <v>2747</v>
      </c>
      <c r="F3829" s="83">
        <v>0.5208333333333334</v>
      </c>
      <c r="G3829" s="83">
        <v>0.5625</v>
      </c>
      <c r="H3829" s="83">
        <v>0.041666666666666664</v>
      </c>
      <c r="I3829" s="84">
        <v>44559.0</v>
      </c>
      <c r="J3829" s="65" t="b">
        <v>1</v>
      </c>
      <c r="K3829" s="65"/>
      <c r="L3829" s="85" t="b">
        <f>IF(VLOOKUP(C3829,Projetos!A:L,12,false)=TRUE,TRUE,FALSE)</f>
        <v>1</v>
      </c>
      <c r="M3829" s="74">
        <v>52.48434411075036</v>
      </c>
      <c r="N3829" s="74">
        <f t="shared" si="1"/>
        <v>52.48434411</v>
      </c>
      <c r="O3829" s="74" t="b">
        <v>1</v>
      </c>
    </row>
    <row r="3830" hidden="1">
      <c r="A3830" s="82"/>
      <c r="B3830" s="65" t="s">
        <v>411</v>
      </c>
      <c r="C3830" s="65" t="s">
        <v>117</v>
      </c>
      <c r="D3830" s="65" t="str">
        <f>vlookup(C3830,'Classificação p pessoal'!F:G,2,false)</f>
        <v>NP</v>
      </c>
      <c r="E3830" s="65" t="s">
        <v>2748</v>
      </c>
      <c r="F3830" s="83">
        <v>0.6041666666666666</v>
      </c>
      <c r="G3830" s="83">
        <v>0.75</v>
      </c>
      <c r="H3830" s="83">
        <v>0.14583333333333334</v>
      </c>
      <c r="I3830" s="84">
        <v>44559.0</v>
      </c>
      <c r="J3830" s="65" t="b">
        <v>1</v>
      </c>
      <c r="K3830" s="65"/>
      <c r="L3830" s="85" t="b">
        <f>IF(VLOOKUP(C3830,Projetos!A:L,12,false)=TRUE,TRUE,FALSE)</f>
        <v>1</v>
      </c>
      <c r="M3830" s="74">
        <v>52.48434411075036</v>
      </c>
      <c r="N3830" s="74">
        <f t="shared" si="1"/>
        <v>183.6952044</v>
      </c>
      <c r="O3830" s="74" t="b">
        <v>1</v>
      </c>
    </row>
    <row r="3831" hidden="1">
      <c r="A3831" s="82"/>
      <c r="B3831" s="65" t="s">
        <v>411</v>
      </c>
      <c r="C3831" s="65" t="s">
        <v>125</v>
      </c>
      <c r="D3831" s="65" t="str">
        <f>vlookup(C3831,'Classificação p pessoal'!F:G,2,false)</f>
        <v>MProduto</v>
      </c>
      <c r="E3831" s="65" t="s">
        <v>2749</v>
      </c>
      <c r="F3831" s="83">
        <v>0.375</v>
      </c>
      <c r="G3831" s="83">
        <v>0.5833333333333334</v>
      </c>
      <c r="H3831" s="83">
        <v>0.20833333333333334</v>
      </c>
      <c r="I3831" s="84">
        <v>44925.0</v>
      </c>
      <c r="J3831" s="65" t="b">
        <v>1</v>
      </c>
      <c r="K3831" s="65"/>
      <c r="L3831" s="85" t="b">
        <f>IF(VLOOKUP(C3831,Projetos!A:L,12,false)=TRUE,TRUE,FALSE)</f>
        <v>1</v>
      </c>
      <c r="M3831" s="74">
        <v>52.48434411075036</v>
      </c>
      <c r="N3831" s="74">
        <f t="shared" si="1"/>
        <v>262.4217206</v>
      </c>
      <c r="O3831" s="74" t="b">
        <v>1</v>
      </c>
    </row>
    <row r="3832" hidden="1">
      <c r="A3832" s="82"/>
      <c r="B3832" s="65" t="s">
        <v>411</v>
      </c>
      <c r="C3832" s="65" t="s">
        <v>132</v>
      </c>
      <c r="D3832" s="65"/>
      <c r="E3832" s="65" t="s">
        <v>2750</v>
      </c>
      <c r="F3832" s="83">
        <v>0.625</v>
      </c>
      <c r="G3832" s="83">
        <v>0.6666666666666666</v>
      </c>
      <c r="H3832" s="83">
        <v>0.041666666666666664</v>
      </c>
      <c r="I3832" s="84">
        <v>44560.0</v>
      </c>
      <c r="J3832" s="65" t="b">
        <v>1</v>
      </c>
      <c r="K3832" s="65"/>
      <c r="L3832" s="85" t="b">
        <f>IF(VLOOKUP(C3832,Projetos!A:L,12,false)=TRUE,TRUE,FALSE)</f>
        <v>0</v>
      </c>
      <c r="M3832" s="74">
        <v>52.48434411075036</v>
      </c>
      <c r="N3832" s="74">
        <f t="shared" si="1"/>
        <v>0</v>
      </c>
      <c r="O3832" s="74" t="b">
        <v>0</v>
      </c>
    </row>
    <row r="3833" hidden="1">
      <c r="A3833" s="82"/>
      <c r="B3833" s="65" t="s">
        <v>411</v>
      </c>
      <c r="C3833" s="65" t="s">
        <v>117</v>
      </c>
      <c r="D3833" s="65" t="str">
        <f>vlookup(C3833,'Classificação p pessoal'!F:G,2,false)</f>
        <v>NP</v>
      </c>
      <c r="E3833" s="65" t="s">
        <v>2751</v>
      </c>
      <c r="F3833" s="83">
        <v>0.6666666666666666</v>
      </c>
      <c r="G3833" s="83">
        <v>0.75</v>
      </c>
      <c r="H3833" s="83">
        <v>0.08333333333333333</v>
      </c>
      <c r="I3833" s="84">
        <v>44560.0</v>
      </c>
      <c r="J3833" s="65" t="b">
        <v>1</v>
      </c>
      <c r="K3833" s="65"/>
      <c r="L3833" s="85" t="b">
        <f>IF(VLOOKUP(C3833,Projetos!A:L,12,false)=TRUE,TRUE,FALSE)</f>
        <v>1</v>
      </c>
      <c r="M3833" s="74">
        <v>52.48434411075036</v>
      </c>
      <c r="N3833" s="74">
        <f t="shared" si="1"/>
        <v>104.9686882</v>
      </c>
      <c r="O3833" s="74" t="b">
        <v>1</v>
      </c>
    </row>
    <row r="3834" hidden="1">
      <c r="A3834" s="82"/>
      <c r="B3834" s="65" t="s">
        <v>467</v>
      </c>
      <c r="C3834" s="65" t="s">
        <v>88</v>
      </c>
      <c r="D3834" s="65" t="str">
        <f>vlookup(C3834,'Classificação p pessoal'!F:G,2,false)</f>
        <v>MProduto</v>
      </c>
      <c r="E3834" s="65" t="s">
        <v>2752</v>
      </c>
      <c r="F3834" s="83">
        <v>0.375</v>
      </c>
      <c r="G3834" s="83">
        <v>0.4166666666666667</v>
      </c>
      <c r="H3834" s="83">
        <v>0.041666666666666664</v>
      </c>
      <c r="I3834" s="84">
        <v>44348.0</v>
      </c>
      <c r="J3834" s="65" t="b">
        <v>1</v>
      </c>
      <c r="K3834" s="65"/>
      <c r="L3834" s="85" t="b">
        <f>IF(VLOOKUP(C3834,Projetos!A:L,12,false)=TRUE,TRUE,FALSE)</f>
        <v>1</v>
      </c>
      <c r="M3834" s="74">
        <v>52.1518759018759</v>
      </c>
      <c r="N3834" s="74">
        <f t="shared" si="1"/>
        <v>52.1518759</v>
      </c>
      <c r="O3834" s="74" t="b">
        <v>1</v>
      </c>
    </row>
    <row r="3835" hidden="1">
      <c r="A3835" s="82"/>
      <c r="B3835" s="65" t="s">
        <v>467</v>
      </c>
      <c r="C3835" s="65" t="s">
        <v>113</v>
      </c>
      <c r="D3835" s="65" t="str">
        <f>vlookup(C3835,'Classificação p pessoal'!F:G,2,false)</f>
        <v>NP</v>
      </c>
      <c r="E3835" s="65" t="s">
        <v>2753</v>
      </c>
      <c r="F3835" s="83">
        <v>0.6666666666666666</v>
      </c>
      <c r="G3835" s="83">
        <v>0.6875</v>
      </c>
      <c r="H3835" s="83">
        <v>0.020833333333333332</v>
      </c>
      <c r="I3835" s="84">
        <v>44463.0</v>
      </c>
      <c r="J3835" s="65" t="b">
        <v>1</v>
      </c>
      <c r="K3835" s="65"/>
      <c r="L3835" s="85" t="b">
        <f>IF(VLOOKUP(C3835,Projetos!A:L,12,false)=TRUE,TRUE,FALSE)</f>
        <v>1</v>
      </c>
      <c r="M3835" s="74">
        <v>52.1518759018759</v>
      </c>
      <c r="N3835" s="74">
        <f t="shared" si="1"/>
        <v>26.07593795</v>
      </c>
      <c r="O3835" s="74" t="b">
        <v>1</v>
      </c>
    </row>
    <row r="3836" hidden="1">
      <c r="A3836" s="82"/>
      <c r="B3836" s="65" t="s">
        <v>467</v>
      </c>
      <c r="C3836" s="65" t="s">
        <v>120</v>
      </c>
      <c r="D3836" s="65"/>
      <c r="E3836" s="65" t="s">
        <v>2754</v>
      </c>
      <c r="F3836" s="83">
        <v>0.3958333333333333</v>
      </c>
      <c r="G3836" s="83">
        <v>0.4375</v>
      </c>
      <c r="H3836" s="83">
        <v>0.041666666666666664</v>
      </c>
      <c r="I3836" s="84">
        <v>44445.0</v>
      </c>
      <c r="J3836" s="65" t="b">
        <v>0</v>
      </c>
      <c r="K3836" s="65" t="s">
        <v>187</v>
      </c>
      <c r="L3836" s="85" t="b">
        <f>IF(VLOOKUP(C3836,Projetos!A:L,12,false)=TRUE,TRUE,FALSE)</f>
        <v>0</v>
      </c>
      <c r="M3836" s="74">
        <v>52.1518759018759</v>
      </c>
      <c r="N3836" s="74">
        <f t="shared" si="1"/>
        <v>0</v>
      </c>
      <c r="O3836" s="74" t="b">
        <v>0</v>
      </c>
    </row>
    <row r="3837" hidden="1">
      <c r="A3837" s="82"/>
      <c r="B3837" s="65" t="s">
        <v>467</v>
      </c>
      <c r="C3837" s="65" t="s">
        <v>88</v>
      </c>
      <c r="D3837" s="65" t="str">
        <f>vlookup(C3837,'Classificação p pessoal'!F:G,2,false)</f>
        <v>MProduto</v>
      </c>
      <c r="E3837" s="65" t="s">
        <v>2755</v>
      </c>
      <c r="F3837" s="83">
        <v>0.7222222222222222</v>
      </c>
      <c r="G3837" s="83">
        <v>0.75</v>
      </c>
      <c r="H3837" s="83">
        <v>0.027777777777777776</v>
      </c>
      <c r="I3837" s="84">
        <v>44287.0</v>
      </c>
      <c r="J3837" s="65" t="b">
        <v>1</v>
      </c>
      <c r="K3837" s="65"/>
      <c r="L3837" s="85" t="b">
        <f>IF(VLOOKUP(C3837,Projetos!A:L,12,false)=TRUE,TRUE,FALSE)</f>
        <v>1</v>
      </c>
      <c r="M3837" s="74">
        <v>52.1518759018759</v>
      </c>
      <c r="N3837" s="74">
        <f t="shared" si="1"/>
        <v>34.76791727</v>
      </c>
      <c r="O3837" s="74" t="b">
        <v>1</v>
      </c>
    </row>
    <row r="3838" hidden="1">
      <c r="A3838" s="82"/>
      <c r="B3838" s="65" t="s">
        <v>467</v>
      </c>
      <c r="C3838" s="65" t="s">
        <v>130</v>
      </c>
      <c r="D3838" s="65"/>
      <c r="E3838" s="65" t="s">
        <v>2756</v>
      </c>
      <c r="F3838" s="83">
        <v>0.6458333333333334</v>
      </c>
      <c r="G3838" s="83">
        <v>0.6666666666666666</v>
      </c>
      <c r="H3838" s="83">
        <v>0.020833333333333332</v>
      </c>
      <c r="I3838" s="84">
        <v>44348.0</v>
      </c>
      <c r="J3838" s="65" t="b">
        <v>0</v>
      </c>
      <c r="K3838" s="65" t="s">
        <v>150</v>
      </c>
      <c r="L3838" s="85" t="b">
        <f>IF(VLOOKUP(C3838,Projetos!A:L,12,false)=TRUE,TRUE,FALSE)</f>
        <v>1</v>
      </c>
      <c r="M3838" s="74">
        <v>52.1518759018759</v>
      </c>
      <c r="N3838" s="74">
        <f t="shared" si="1"/>
        <v>0</v>
      </c>
      <c r="O3838" s="74" t="b">
        <v>1</v>
      </c>
    </row>
    <row r="3839" hidden="1">
      <c r="A3839" s="82"/>
      <c r="B3839" s="65" t="s">
        <v>467</v>
      </c>
      <c r="C3839" s="65" t="s">
        <v>92</v>
      </c>
      <c r="D3839" s="65" t="str">
        <f>vlookup(C3839,'Classificação p pessoal'!F:G,2,false)</f>
        <v/>
      </c>
      <c r="E3839" s="65" t="s">
        <v>2757</v>
      </c>
      <c r="F3839" s="83">
        <v>0.6666666666666666</v>
      </c>
      <c r="G3839" s="83">
        <v>0.7083333333333334</v>
      </c>
      <c r="H3839" s="83">
        <v>0.041666666666666664</v>
      </c>
      <c r="I3839" s="84">
        <v>44293.0</v>
      </c>
      <c r="J3839" s="65" t="b">
        <v>1</v>
      </c>
      <c r="K3839" s="65"/>
      <c r="L3839" s="85" t="b">
        <f>IF(VLOOKUP(C3839,Projetos!A:L,12,false)=TRUE,TRUE,FALSE)</f>
        <v>1</v>
      </c>
      <c r="M3839" s="74">
        <v>52.1518759018759</v>
      </c>
      <c r="N3839" s="74">
        <f t="shared" si="1"/>
        <v>52.1518759</v>
      </c>
      <c r="O3839" s="74" t="b">
        <v>1</v>
      </c>
    </row>
    <row r="3840" hidden="1">
      <c r="A3840" s="82"/>
      <c r="B3840" s="65" t="s">
        <v>467</v>
      </c>
      <c r="C3840" s="65" t="s">
        <v>92</v>
      </c>
      <c r="D3840" s="65" t="str">
        <f>vlookup(C3840,'Classificação p pessoal'!F:G,2,false)</f>
        <v/>
      </c>
      <c r="E3840" s="65" t="s">
        <v>2758</v>
      </c>
      <c r="F3840" s="83">
        <v>0.34375</v>
      </c>
      <c r="G3840" s="83">
        <v>0.5</v>
      </c>
      <c r="H3840" s="83">
        <v>0.15625</v>
      </c>
      <c r="I3840" s="84">
        <v>44230.0</v>
      </c>
      <c r="J3840" s="65" t="b">
        <v>1</v>
      </c>
      <c r="K3840" s="65"/>
      <c r="L3840" s="85" t="b">
        <f>IF(VLOOKUP(C3840,Projetos!A:L,12,false)=TRUE,TRUE,FALSE)</f>
        <v>1</v>
      </c>
      <c r="M3840" s="74">
        <v>52.1518759018759</v>
      </c>
      <c r="N3840" s="74">
        <f t="shared" si="1"/>
        <v>195.5695346</v>
      </c>
      <c r="O3840" s="74" t="b">
        <v>1</v>
      </c>
    </row>
    <row r="3841" hidden="1">
      <c r="A3841" s="82"/>
      <c r="B3841" s="65" t="s">
        <v>467</v>
      </c>
      <c r="C3841" s="65" t="s">
        <v>92</v>
      </c>
      <c r="D3841" s="65" t="str">
        <f>vlookup(C3841,'Classificação p pessoal'!F:G,2,false)</f>
        <v/>
      </c>
      <c r="E3841" s="65" t="s">
        <v>2759</v>
      </c>
      <c r="F3841" s="83">
        <v>0.5416666666666666</v>
      </c>
      <c r="G3841" s="83">
        <v>0.6666666666666666</v>
      </c>
      <c r="H3841" s="83">
        <v>0.125</v>
      </c>
      <c r="I3841" s="84">
        <v>44228.0</v>
      </c>
      <c r="J3841" s="65" t="b">
        <v>1</v>
      </c>
      <c r="K3841" s="65"/>
      <c r="L3841" s="85" t="b">
        <f>IF(VLOOKUP(C3841,Projetos!A:L,12,false)=TRUE,TRUE,FALSE)</f>
        <v>1</v>
      </c>
      <c r="M3841" s="74">
        <v>52.1518759018759</v>
      </c>
      <c r="N3841" s="74">
        <f t="shared" si="1"/>
        <v>156.4556277</v>
      </c>
      <c r="O3841" s="74" t="b">
        <v>1</v>
      </c>
    </row>
    <row r="3842" hidden="1">
      <c r="A3842" s="82"/>
      <c r="B3842" s="65" t="s">
        <v>467</v>
      </c>
      <c r="C3842" s="65" t="s">
        <v>92</v>
      </c>
      <c r="D3842" s="65" t="str">
        <f>vlookup(C3842,'Classificação p pessoal'!F:G,2,false)</f>
        <v/>
      </c>
      <c r="E3842" s="65" t="s">
        <v>2760</v>
      </c>
      <c r="F3842" s="83">
        <v>0.34375</v>
      </c>
      <c r="G3842" s="83">
        <v>0.4791666666666667</v>
      </c>
      <c r="H3842" s="83">
        <v>0.13541666666666666</v>
      </c>
      <c r="I3842" s="84">
        <v>44229.0</v>
      </c>
      <c r="J3842" s="65" t="b">
        <v>1</v>
      </c>
      <c r="K3842" s="65"/>
      <c r="L3842" s="85" t="b">
        <f>IF(VLOOKUP(C3842,Projetos!A:L,12,false)=TRUE,TRUE,FALSE)</f>
        <v>1</v>
      </c>
      <c r="M3842" s="74">
        <v>52.1518759018759</v>
      </c>
      <c r="N3842" s="74">
        <f t="shared" si="1"/>
        <v>169.4935967</v>
      </c>
      <c r="O3842" s="74" t="b">
        <v>1</v>
      </c>
    </row>
    <row r="3843" hidden="1">
      <c r="A3843" s="82"/>
      <c r="B3843" s="65" t="s">
        <v>467</v>
      </c>
      <c r="C3843" s="65" t="s">
        <v>92</v>
      </c>
      <c r="D3843" s="65" t="str">
        <f>vlookup(C3843,'Classificação p pessoal'!F:G,2,false)</f>
        <v/>
      </c>
      <c r="E3843" s="65" t="s">
        <v>2761</v>
      </c>
      <c r="F3843" s="83">
        <v>0.34375</v>
      </c>
      <c r="G3843" s="83">
        <v>0.4131944444444444</v>
      </c>
      <c r="H3843" s="83">
        <v>0.06944444444444445</v>
      </c>
      <c r="I3843" s="84">
        <v>44228.0</v>
      </c>
      <c r="J3843" s="65" t="b">
        <v>1</v>
      </c>
      <c r="K3843" s="65"/>
      <c r="L3843" s="85" t="b">
        <f>IF(VLOOKUP(C3843,Projetos!A:L,12,false)=TRUE,TRUE,FALSE)</f>
        <v>1</v>
      </c>
      <c r="M3843" s="74">
        <v>52.1518759018759</v>
      </c>
      <c r="N3843" s="74">
        <f t="shared" si="1"/>
        <v>86.91979317</v>
      </c>
      <c r="O3843" s="74" t="b">
        <v>1</v>
      </c>
    </row>
    <row r="3844" hidden="1">
      <c r="A3844" s="82"/>
      <c r="B3844" s="65" t="s">
        <v>467</v>
      </c>
      <c r="C3844" s="65" t="s">
        <v>92</v>
      </c>
      <c r="D3844" s="65" t="str">
        <f>vlookup(C3844,'Classificação p pessoal'!F:G,2,false)</f>
        <v/>
      </c>
      <c r="E3844" s="65" t="s">
        <v>2762</v>
      </c>
      <c r="F3844" s="83">
        <v>0.5833333333333334</v>
      </c>
      <c r="G3844" s="83">
        <v>0.75</v>
      </c>
      <c r="H3844" s="83">
        <v>0.16666666666666666</v>
      </c>
      <c r="I3844" s="84">
        <v>44229.0</v>
      </c>
      <c r="J3844" s="65" t="b">
        <v>1</v>
      </c>
      <c r="K3844" s="65"/>
      <c r="L3844" s="85" t="b">
        <f>IF(VLOOKUP(C3844,Projetos!A:L,12,false)=TRUE,TRUE,FALSE)</f>
        <v>1</v>
      </c>
      <c r="M3844" s="74">
        <v>52.1518759018759</v>
      </c>
      <c r="N3844" s="74">
        <f t="shared" si="1"/>
        <v>208.6075036</v>
      </c>
      <c r="O3844" s="74" t="b">
        <v>1</v>
      </c>
    </row>
    <row r="3845" hidden="1">
      <c r="A3845" s="82"/>
      <c r="B3845" s="65" t="s">
        <v>467</v>
      </c>
      <c r="C3845" s="65" t="s">
        <v>88</v>
      </c>
      <c r="D3845" s="65" t="str">
        <f>vlookup(C3845,'Classificação p pessoal'!F:G,2,false)</f>
        <v>MProduto</v>
      </c>
      <c r="E3845" s="65" t="s">
        <v>2763</v>
      </c>
      <c r="F3845" s="83">
        <v>0.3541666666666667</v>
      </c>
      <c r="G3845" s="83">
        <v>0.4166666666666667</v>
      </c>
      <c r="H3845" s="83">
        <v>0.0625</v>
      </c>
      <c r="I3845" s="84">
        <v>44341.0</v>
      </c>
      <c r="J3845" s="65" t="b">
        <v>1</v>
      </c>
      <c r="K3845" s="65"/>
      <c r="L3845" s="85" t="b">
        <f>IF(VLOOKUP(C3845,Projetos!A:L,12,false)=TRUE,TRUE,FALSE)</f>
        <v>1</v>
      </c>
      <c r="M3845" s="74">
        <v>52.1518759018759</v>
      </c>
      <c r="N3845" s="74">
        <f t="shared" si="1"/>
        <v>78.22781385</v>
      </c>
      <c r="O3845" s="74" t="b">
        <v>1</v>
      </c>
    </row>
    <row r="3846" hidden="1">
      <c r="A3846" s="82"/>
      <c r="B3846" s="65" t="s">
        <v>467</v>
      </c>
      <c r="C3846" s="65" t="s">
        <v>130</v>
      </c>
      <c r="D3846" s="65"/>
      <c r="E3846" s="65" t="s">
        <v>2764</v>
      </c>
      <c r="F3846" s="83">
        <v>0.5833333333333334</v>
      </c>
      <c r="G3846" s="83">
        <v>0.6666666666666666</v>
      </c>
      <c r="H3846" s="83">
        <v>0.08333333333333333</v>
      </c>
      <c r="I3846" s="84">
        <v>44517.0</v>
      </c>
      <c r="J3846" s="65" t="b">
        <v>0</v>
      </c>
      <c r="K3846" s="65"/>
      <c r="L3846" s="85" t="b">
        <f>IF(VLOOKUP(C3846,Projetos!A:L,12,false)=TRUE,TRUE,FALSE)</f>
        <v>1</v>
      </c>
      <c r="M3846" s="74">
        <v>52.1518759018759</v>
      </c>
      <c r="N3846" s="74">
        <f t="shared" si="1"/>
        <v>0</v>
      </c>
      <c r="O3846" s="74" t="b">
        <v>1</v>
      </c>
    </row>
    <row r="3847" hidden="1">
      <c r="A3847" s="82"/>
      <c r="B3847" s="65" t="s">
        <v>467</v>
      </c>
      <c r="C3847" s="65" t="s">
        <v>88</v>
      </c>
      <c r="D3847" s="65" t="str">
        <f>vlookup(C3847,'Classificação p pessoal'!F:G,2,false)</f>
        <v>MProduto</v>
      </c>
      <c r="E3847" s="65" t="s">
        <v>2765</v>
      </c>
      <c r="F3847" s="83">
        <v>0.6041666666666666</v>
      </c>
      <c r="G3847" s="83">
        <v>0.6666666666666666</v>
      </c>
      <c r="H3847" s="83">
        <v>0.0625</v>
      </c>
      <c r="I3847" s="84">
        <v>44214.0</v>
      </c>
      <c r="J3847" s="65" t="b">
        <v>1</v>
      </c>
      <c r="K3847" s="65"/>
      <c r="L3847" s="85" t="b">
        <f>IF(VLOOKUP(C3847,Projetos!A:L,12,false)=TRUE,TRUE,FALSE)</f>
        <v>1</v>
      </c>
      <c r="M3847" s="74">
        <v>52.1518759018759</v>
      </c>
      <c r="N3847" s="74">
        <f t="shared" si="1"/>
        <v>78.22781385</v>
      </c>
      <c r="O3847" s="74" t="b">
        <v>1</v>
      </c>
    </row>
    <row r="3848" hidden="1">
      <c r="A3848" s="82"/>
      <c r="B3848" s="65" t="s">
        <v>467</v>
      </c>
      <c r="C3848" s="65" t="s">
        <v>104</v>
      </c>
      <c r="D3848" s="65" t="str">
        <f>vlookup(C3848,'Classificação p pessoal'!F:G,2,false)</f>
        <v>NP</v>
      </c>
      <c r="E3848" s="65" t="s">
        <v>2765</v>
      </c>
      <c r="F3848" s="83">
        <v>0.4375</v>
      </c>
      <c r="G3848" s="83">
        <v>0.5</v>
      </c>
      <c r="H3848" s="83">
        <v>0.0625</v>
      </c>
      <c r="I3848" s="84">
        <v>44216.0</v>
      </c>
      <c r="J3848" s="65" t="b">
        <v>1</v>
      </c>
      <c r="K3848" s="65"/>
      <c r="L3848" s="85" t="b">
        <f>IF(VLOOKUP(C3848,Projetos!A:L,12,false)=TRUE,TRUE,FALSE)</f>
        <v>1</v>
      </c>
      <c r="M3848" s="74">
        <v>52.1518759018759</v>
      </c>
      <c r="N3848" s="74">
        <f t="shared" si="1"/>
        <v>78.22781385</v>
      </c>
      <c r="O3848" s="74" t="b">
        <v>1</v>
      </c>
    </row>
    <row r="3849" hidden="1">
      <c r="A3849" s="82"/>
      <c r="B3849" s="65" t="s">
        <v>467</v>
      </c>
      <c r="C3849" s="65" t="s">
        <v>92</v>
      </c>
      <c r="D3849" s="65"/>
      <c r="E3849" s="65" t="s">
        <v>2766</v>
      </c>
      <c r="F3849" s="83">
        <v>0.4166666666666667</v>
      </c>
      <c r="G3849" s="83">
        <v>0.4270833333333333</v>
      </c>
      <c r="H3849" s="83">
        <v>0.010416666666666666</v>
      </c>
      <c r="I3849" s="84">
        <v>44412.0</v>
      </c>
      <c r="J3849" s="65" t="b">
        <v>0</v>
      </c>
      <c r="K3849" s="65"/>
      <c r="L3849" s="85" t="b">
        <f>IF(VLOOKUP(C3849,Projetos!A:L,12,false)=TRUE,TRUE,FALSE)</f>
        <v>1</v>
      </c>
      <c r="M3849" s="74">
        <v>52.1518759018759</v>
      </c>
      <c r="N3849" s="74">
        <f t="shared" si="1"/>
        <v>0</v>
      </c>
      <c r="O3849" s="74" t="b">
        <v>1</v>
      </c>
    </row>
    <row r="3850" hidden="1">
      <c r="A3850" s="82"/>
      <c r="B3850" s="65" t="s">
        <v>467</v>
      </c>
      <c r="C3850" s="65" t="s">
        <v>84</v>
      </c>
      <c r="D3850" s="65"/>
      <c r="E3850" s="65" t="s">
        <v>2767</v>
      </c>
      <c r="F3850" s="83">
        <v>0.34375</v>
      </c>
      <c r="G3850" s="83">
        <v>0.4166666666666667</v>
      </c>
      <c r="H3850" s="83">
        <v>0.07291666666666667</v>
      </c>
      <c r="I3850" s="84">
        <v>44539.0</v>
      </c>
      <c r="J3850" s="65" t="b">
        <v>0</v>
      </c>
      <c r="K3850" s="65"/>
      <c r="L3850" s="85" t="b">
        <f>IF(VLOOKUP(C3850,Projetos!A:L,12,false)=TRUE,TRUE,FALSE)</f>
        <v>0</v>
      </c>
      <c r="M3850" s="74">
        <v>52.1518759018759</v>
      </c>
      <c r="N3850" s="74">
        <f t="shared" si="1"/>
        <v>0</v>
      </c>
      <c r="O3850" s="74" t="b">
        <v>0</v>
      </c>
    </row>
    <row r="3851" hidden="1">
      <c r="A3851" s="82"/>
      <c r="B3851" s="65" t="s">
        <v>467</v>
      </c>
      <c r="C3851" s="65" t="s">
        <v>122</v>
      </c>
      <c r="D3851" s="65" t="str">
        <f>vlookup(C3851,'Classificação p pessoal'!F:G,2,false)</f>
        <v>NP</v>
      </c>
      <c r="E3851" s="65" t="s">
        <v>2768</v>
      </c>
      <c r="F3851" s="83">
        <v>0.3541666666666667</v>
      </c>
      <c r="G3851" s="83">
        <v>0.3958333333333333</v>
      </c>
      <c r="H3851" s="83">
        <v>0.041666666666666664</v>
      </c>
      <c r="I3851" s="84">
        <v>44413.0</v>
      </c>
      <c r="J3851" s="65" t="b">
        <v>1</v>
      </c>
      <c r="K3851" s="65"/>
      <c r="L3851" s="85" t="b">
        <f>IF(VLOOKUP(C3851,Projetos!A:L,12,false)=TRUE,TRUE,FALSE)</f>
        <v>1</v>
      </c>
      <c r="M3851" s="74">
        <v>52.1518759018759</v>
      </c>
      <c r="N3851" s="74">
        <f t="shared" si="1"/>
        <v>52.1518759</v>
      </c>
      <c r="O3851" s="74" t="b">
        <v>1</v>
      </c>
    </row>
    <row r="3852" hidden="1">
      <c r="A3852" s="82"/>
      <c r="B3852" s="65" t="s">
        <v>467</v>
      </c>
      <c r="C3852" s="65" t="s">
        <v>113</v>
      </c>
      <c r="D3852" s="65" t="str">
        <f>vlookup(C3852,'Classificação p pessoal'!F:G,2,false)</f>
        <v>NP</v>
      </c>
      <c r="E3852" s="65" t="s">
        <v>2769</v>
      </c>
      <c r="F3852" s="83">
        <v>0.5</v>
      </c>
      <c r="G3852" s="83">
        <v>0.5208333333333334</v>
      </c>
      <c r="H3852" s="83">
        <v>0.020833333333333332</v>
      </c>
      <c r="I3852" s="84">
        <v>44412.0</v>
      </c>
      <c r="J3852" s="65" t="b">
        <v>1</v>
      </c>
      <c r="K3852" s="65"/>
      <c r="L3852" s="85" t="b">
        <f>IF(VLOOKUP(C3852,Projetos!A:L,12,false)=TRUE,TRUE,FALSE)</f>
        <v>1</v>
      </c>
      <c r="M3852" s="74">
        <v>52.1518759018759</v>
      </c>
      <c r="N3852" s="74">
        <f t="shared" si="1"/>
        <v>26.07593795</v>
      </c>
      <c r="O3852" s="74" t="b">
        <v>1</v>
      </c>
    </row>
    <row r="3853" hidden="1">
      <c r="A3853" s="82"/>
      <c r="B3853" s="65" t="s">
        <v>467</v>
      </c>
      <c r="C3853" s="65" t="s">
        <v>84</v>
      </c>
      <c r="D3853" s="65"/>
      <c r="E3853" s="65" t="s">
        <v>2770</v>
      </c>
      <c r="F3853" s="83">
        <v>0.4583333333333333</v>
      </c>
      <c r="G3853" s="83">
        <v>0.4791666666666667</v>
      </c>
      <c r="H3853" s="83">
        <v>0.020833333333333332</v>
      </c>
      <c r="I3853" s="84">
        <v>44537.0</v>
      </c>
      <c r="J3853" s="65" t="b">
        <v>0</v>
      </c>
      <c r="K3853" s="65"/>
      <c r="L3853" s="85" t="b">
        <f>IF(VLOOKUP(C3853,Projetos!A:L,12,false)=TRUE,TRUE,FALSE)</f>
        <v>0</v>
      </c>
      <c r="M3853" s="74">
        <v>52.1518759018759</v>
      </c>
      <c r="N3853" s="74">
        <f t="shared" si="1"/>
        <v>0</v>
      </c>
      <c r="O3853" s="74" t="b">
        <v>0</v>
      </c>
    </row>
    <row r="3854" hidden="1">
      <c r="A3854" s="82"/>
      <c r="B3854" s="65" t="s">
        <v>467</v>
      </c>
      <c r="C3854" s="65" t="s">
        <v>113</v>
      </c>
      <c r="D3854" s="65"/>
      <c r="E3854" s="65" t="s">
        <v>2771</v>
      </c>
      <c r="F3854" s="83">
        <v>0.5833333333333334</v>
      </c>
      <c r="G3854" s="83">
        <v>0.6041666666666666</v>
      </c>
      <c r="H3854" s="83">
        <v>0.020833333333333332</v>
      </c>
      <c r="I3854" s="84">
        <v>44417.0</v>
      </c>
      <c r="J3854" s="65" t="b">
        <v>0</v>
      </c>
      <c r="K3854" s="65" t="s">
        <v>150</v>
      </c>
      <c r="L3854" s="85" t="b">
        <f>IF(VLOOKUP(C3854,Projetos!A:L,12,false)=TRUE,TRUE,FALSE)</f>
        <v>1</v>
      </c>
      <c r="M3854" s="74">
        <v>52.1518759018759</v>
      </c>
      <c r="N3854" s="74">
        <f t="shared" si="1"/>
        <v>0</v>
      </c>
      <c r="O3854" s="74" t="b">
        <v>1</v>
      </c>
    </row>
    <row r="3855" hidden="1">
      <c r="A3855" s="82"/>
      <c r="B3855" s="65" t="s">
        <v>467</v>
      </c>
      <c r="C3855" s="65" t="s">
        <v>130</v>
      </c>
      <c r="D3855" s="65" t="str">
        <f>vlookup(C3855,'Classificação p pessoal'!F:G,2,false)</f>
        <v>NP</v>
      </c>
      <c r="E3855" s="65" t="s">
        <v>2772</v>
      </c>
      <c r="F3855" s="83">
        <v>0.3541666666666667</v>
      </c>
      <c r="G3855" s="83">
        <v>0.4583333333333333</v>
      </c>
      <c r="H3855" s="83">
        <v>0.10416666666666667</v>
      </c>
      <c r="I3855" s="84">
        <v>44322.0</v>
      </c>
      <c r="J3855" s="65" t="b">
        <v>1</v>
      </c>
      <c r="K3855" s="65"/>
      <c r="L3855" s="85" t="b">
        <f>IF(VLOOKUP(C3855,Projetos!A:L,12,false)=TRUE,TRUE,FALSE)</f>
        <v>1</v>
      </c>
      <c r="M3855" s="74">
        <v>52.1518759018759</v>
      </c>
      <c r="N3855" s="74">
        <f t="shared" si="1"/>
        <v>130.3796898</v>
      </c>
      <c r="O3855" s="74" t="b">
        <v>1</v>
      </c>
    </row>
    <row r="3856" hidden="1">
      <c r="A3856" s="82"/>
      <c r="B3856" s="65" t="s">
        <v>467</v>
      </c>
      <c r="C3856" s="65" t="s">
        <v>113</v>
      </c>
      <c r="D3856" s="65" t="str">
        <f>vlookup(C3856,'Classificação p pessoal'!F:G,2,false)</f>
        <v>NP</v>
      </c>
      <c r="E3856" s="65" t="s">
        <v>2773</v>
      </c>
      <c r="F3856" s="83">
        <v>0.3541666666666667</v>
      </c>
      <c r="G3856" s="83">
        <v>0.3958333333333333</v>
      </c>
      <c r="H3856" s="83">
        <v>0.041666666666666664</v>
      </c>
      <c r="I3856" s="84">
        <v>44414.0</v>
      </c>
      <c r="J3856" s="65" t="b">
        <v>1</v>
      </c>
      <c r="K3856" s="65"/>
      <c r="L3856" s="85" t="b">
        <f>IF(VLOOKUP(C3856,Projetos!A:L,12,false)=TRUE,TRUE,FALSE)</f>
        <v>1</v>
      </c>
      <c r="M3856" s="74">
        <v>52.1518759018759</v>
      </c>
      <c r="N3856" s="74">
        <f t="shared" si="1"/>
        <v>52.1518759</v>
      </c>
      <c r="O3856" s="74" t="b">
        <v>1</v>
      </c>
    </row>
    <row r="3857" hidden="1">
      <c r="A3857" s="82"/>
      <c r="B3857" s="65" t="s">
        <v>467</v>
      </c>
      <c r="C3857" s="65" t="s">
        <v>130</v>
      </c>
      <c r="D3857" s="65" t="str">
        <f>vlookup(C3857,'Classificação p pessoal'!F:G,2,false)</f>
        <v>NP</v>
      </c>
      <c r="E3857" s="65" t="s">
        <v>2774</v>
      </c>
      <c r="F3857" s="83">
        <v>0.5625</v>
      </c>
      <c r="G3857" s="83">
        <v>0.5833333333333334</v>
      </c>
      <c r="H3857" s="83">
        <v>0.020833333333333332</v>
      </c>
      <c r="I3857" s="84">
        <v>44399.0</v>
      </c>
      <c r="J3857" s="65" t="b">
        <v>1</v>
      </c>
      <c r="K3857" s="65"/>
      <c r="L3857" s="85" t="b">
        <f>IF(VLOOKUP(C3857,Projetos!A:L,12,false)=TRUE,TRUE,FALSE)</f>
        <v>1</v>
      </c>
      <c r="M3857" s="74">
        <v>52.1518759018759</v>
      </c>
      <c r="N3857" s="74">
        <f t="shared" si="1"/>
        <v>26.07593795</v>
      </c>
      <c r="O3857" s="74" t="b">
        <v>1</v>
      </c>
    </row>
    <row r="3858" hidden="1">
      <c r="A3858" s="82"/>
      <c r="B3858" s="65" t="s">
        <v>467</v>
      </c>
      <c r="C3858" s="65" t="s">
        <v>130</v>
      </c>
      <c r="D3858" s="65" t="str">
        <f>vlookup(C3858,'Classificação p pessoal'!F:G,2,false)</f>
        <v>NP</v>
      </c>
      <c r="E3858" s="65" t="s">
        <v>2775</v>
      </c>
      <c r="F3858" s="83">
        <v>0.625</v>
      </c>
      <c r="G3858" s="83">
        <v>0.6458333333333334</v>
      </c>
      <c r="H3858" s="83">
        <v>0.020833333333333332</v>
      </c>
      <c r="I3858" s="84">
        <v>44552.0</v>
      </c>
      <c r="J3858" s="65" t="b">
        <v>1</v>
      </c>
      <c r="K3858" s="65"/>
      <c r="L3858" s="85" t="b">
        <f>IF(VLOOKUP(C3858,Projetos!A:L,12,false)=TRUE,TRUE,FALSE)</f>
        <v>1</v>
      </c>
      <c r="M3858" s="74">
        <v>52.1518759018759</v>
      </c>
      <c r="N3858" s="74">
        <f t="shared" si="1"/>
        <v>26.07593795</v>
      </c>
      <c r="O3858" s="74" t="b">
        <v>1</v>
      </c>
    </row>
    <row r="3859" hidden="1">
      <c r="A3859" s="82"/>
      <c r="B3859" s="65" t="s">
        <v>467</v>
      </c>
      <c r="C3859" s="65" t="s">
        <v>122</v>
      </c>
      <c r="D3859" s="65" t="str">
        <f>vlookup(C3859,'Classificação p pessoal'!F:G,2,false)</f>
        <v>NP</v>
      </c>
      <c r="E3859" s="65" t="s">
        <v>2776</v>
      </c>
      <c r="F3859" s="83">
        <v>0.3541666666666667</v>
      </c>
      <c r="G3859" s="83">
        <v>0.4166666666666667</v>
      </c>
      <c r="H3859" s="83">
        <v>0.0625</v>
      </c>
      <c r="I3859" s="84">
        <v>44417.0</v>
      </c>
      <c r="J3859" s="65" t="b">
        <v>1</v>
      </c>
      <c r="K3859" s="65"/>
      <c r="L3859" s="85" t="b">
        <f>IF(VLOOKUP(C3859,Projetos!A:L,12,false)=TRUE,TRUE,FALSE)</f>
        <v>1</v>
      </c>
      <c r="M3859" s="74">
        <v>52.1518759018759</v>
      </c>
      <c r="N3859" s="74">
        <f t="shared" si="1"/>
        <v>78.22781385</v>
      </c>
      <c r="O3859" s="74" t="b">
        <v>1</v>
      </c>
    </row>
    <row r="3860" hidden="1">
      <c r="A3860" s="82"/>
      <c r="B3860" s="65" t="s">
        <v>467</v>
      </c>
      <c r="C3860" s="65" t="s">
        <v>122</v>
      </c>
      <c r="D3860" s="65" t="str">
        <f>vlookup(C3860,'Classificação p pessoal'!F:G,2,false)</f>
        <v>NP</v>
      </c>
      <c r="E3860" s="65" t="s">
        <v>2777</v>
      </c>
      <c r="F3860" s="83">
        <v>0.375</v>
      </c>
      <c r="G3860" s="83">
        <v>0.3958333333333333</v>
      </c>
      <c r="H3860" s="83">
        <v>0.020833333333333332</v>
      </c>
      <c r="I3860" s="84">
        <v>44396.0</v>
      </c>
      <c r="J3860" s="65" t="b">
        <v>1</v>
      </c>
      <c r="K3860" s="65"/>
      <c r="L3860" s="85" t="b">
        <f>IF(VLOOKUP(C3860,Projetos!A:L,12,false)=TRUE,TRUE,FALSE)</f>
        <v>1</v>
      </c>
      <c r="M3860" s="74">
        <v>52.1518759018759</v>
      </c>
      <c r="N3860" s="74">
        <f t="shared" si="1"/>
        <v>26.07593795</v>
      </c>
      <c r="O3860" s="74" t="b">
        <v>1</v>
      </c>
    </row>
    <row r="3861" hidden="1">
      <c r="A3861" s="82"/>
      <c r="B3861" s="65" t="s">
        <v>467</v>
      </c>
      <c r="C3861" s="65" t="s">
        <v>121</v>
      </c>
      <c r="D3861" s="65" t="str">
        <f>vlookup(C3861,'Classificação p pessoal'!F:G,2,false)</f>
        <v>NP</v>
      </c>
      <c r="E3861" s="65" t="s">
        <v>2778</v>
      </c>
      <c r="F3861" s="83">
        <v>0.3541666666666667</v>
      </c>
      <c r="G3861" s="83">
        <v>0.4583333333333333</v>
      </c>
      <c r="H3861" s="83">
        <v>0.10416666666666667</v>
      </c>
      <c r="I3861" s="84">
        <v>44538.0</v>
      </c>
      <c r="J3861" s="65" t="b">
        <v>1</v>
      </c>
      <c r="K3861" s="65"/>
      <c r="L3861" s="85" t="b">
        <f>IF(VLOOKUP(C3861,Projetos!A:L,12,false)=TRUE,TRUE,FALSE)</f>
        <v>1</v>
      </c>
      <c r="M3861" s="74">
        <v>52.1518759018759</v>
      </c>
      <c r="N3861" s="74">
        <f t="shared" si="1"/>
        <v>130.3796898</v>
      </c>
      <c r="O3861" s="74" t="b">
        <v>1</v>
      </c>
    </row>
    <row r="3862" hidden="1">
      <c r="A3862" s="82"/>
      <c r="B3862" s="65" t="s">
        <v>467</v>
      </c>
      <c r="C3862" s="65" t="s">
        <v>121</v>
      </c>
      <c r="D3862" s="65" t="str">
        <f>vlookup(C3862,'Classificação p pessoal'!F:G,2,false)</f>
        <v>NP</v>
      </c>
      <c r="E3862" s="65" t="s">
        <v>2779</v>
      </c>
      <c r="F3862" s="83">
        <v>0.5833333333333334</v>
      </c>
      <c r="G3862" s="83">
        <v>0.6458333333333334</v>
      </c>
      <c r="H3862" s="83">
        <v>0.0625</v>
      </c>
      <c r="I3862" s="84">
        <v>44480.0</v>
      </c>
      <c r="J3862" s="65" t="b">
        <v>1</v>
      </c>
      <c r="K3862" s="65"/>
      <c r="L3862" s="85" t="b">
        <f>IF(VLOOKUP(C3862,Projetos!A:L,12,false)=TRUE,TRUE,FALSE)</f>
        <v>1</v>
      </c>
      <c r="M3862" s="74">
        <v>52.1518759018759</v>
      </c>
      <c r="N3862" s="74">
        <f t="shared" si="1"/>
        <v>78.22781385</v>
      </c>
      <c r="O3862" s="74" t="b">
        <v>1</v>
      </c>
    </row>
    <row r="3863" hidden="1">
      <c r="A3863" s="82"/>
      <c r="B3863" s="65" t="s">
        <v>467</v>
      </c>
      <c r="C3863" s="65" t="s">
        <v>92</v>
      </c>
      <c r="D3863" s="65" t="str">
        <f>vlookup(C3863,'Classificação p pessoal'!F:G,2,false)</f>
        <v/>
      </c>
      <c r="E3863" s="65" t="s">
        <v>2780</v>
      </c>
      <c r="F3863" s="83">
        <v>0.34375</v>
      </c>
      <c r="G3863" s="83">
        <v>0.4166666666666667</v>
      </c>
      <c r="H3863" s="83">
        <v>0.07291666666666667</v>
      </c>
      <c r="I3863" s="84">
        <v>44337.0</v>
      </c>
      <c r="J3863" s="65" t="b">
        <v>1</v>
      </c>
      <c r="K3863" s="65"/>
      <c r="L3863" s="85" t="b">
        <f>IF(VLOOKUP(C3863,Projetos!A:L,12,false)=TRUE,TRUE,FALSE)</f>
        <v>1</v>
      </c>
      <c r="M3863" s="74">
        <v>52.1518759018759</v>
      </c>
      <c r="N3863" s="74">
        <f t="shared" si="1"/>
        <v>91.26578283</v>
      </c>
      <c r="O3863" s="74" t="b">
        <v>1</v>
      </c>
    </row>
    <row r="3864" hidden="1">
      <c r="A3864" s="82"/>
      <c r="B3864" s="65" t="s">
        <v>467</v>
      </c>
      <c r="C3864" s="65" t="s">
        <v>92</v>
      </c>
      <c r="D3864" s="65" t="str">
        <f>vlookup(C3864,'Classificação p pessoal'!F:G,2,false)</f>
        <v/>
      </c>
      <c r="E3864" s="65" t="s">
        <v>2781</v>
      </c>
      <c r="F3864" s="83">
        <v>0.6041666666666666</v>
      </c>
      <c r="G3864" s="83">
        <v>0.7291666666666666</v>
      </c>
      <c r="H3864" s="83">
        <v>0.125</v>
      </c>
      <c r="I3864" s="84">
        <v>44211.0</v>
      </c>
      <c r="J3864" s="65" t="b">
        <v>1</v>
      </c>
      <c r="K3864" s="65"/>
      <c r="L3864" s="85" t="b">
        <f>IF(VLOOKUP(C3864,Projetos!A:L,12,false)=TRUE,TRUE,FALSE)</f>
        <v>1</v>
      </c>
      <c r="M3864" s="74">
        <v>52.1518759018759</v>
      </c>
      <c r="N3864" s="74">
        <f t="shared" si="1"/>
        <v>156.4556277</v>
      </c>
      <c r="O3864" s="74" t="b">
        <v>1</v>
      </c>
    </row>
    <row r="3865" hidden="1">
      <c r="A3865" s="82"/>
      <c r="B3865" s="65" t="s">
        <v>467</v>
      </c>
      <c r="C3865" s="65" t="s">
        <v>92</v>
      </c>
      <c r="D3865" s="65" t="str">
        <f>vlookup(C3865,'Classificação p pessoal'!F:G,2,false)</f>
        <v/>
      </c>
      <c r="E3865" s="65" t="s">
        <v>2782</v>
      </c>
      <c r="F3865" s="83">
        <v>0.3541666666666667</v>
      </c>
      <c r="G3865" s="83">
        <v>0.4375</v>
      </c>
      <c r="H3865" s="83">
        <v>0.08333333333333333</v>
      </c>
      <c r="I3865" s="84">
        <v>44470.0</v>
      </c>
      <c r="J3865" s="65" t="b">
        <v>1</v>
      </c>
      <c r="K3865" s="65"/>
      <c r="L3865" s="85" t="b">
        <f>IF(VLOOKUP(C3865,Projetos!A:L,12,false)=TRUE,TRUE,FALSE)</f>
        <v>1</v>
      </c>
      <c r="M3865" s="74">
        <v>52.1518759018759</v>
      </c>
      <c r="N3865" s="74">
        <f t="shared" si="1"/>
        <v>104.3037518</v>
      </c>
      <c r="O3865" s="74" t="b">
        <v>1</v>
      </c>
    </row>
    <row r="3866" hidden="1">
      <c r="A3866" s="82"/>
      <c r="B3866" s="65" t="s">
        <v>467</v>
      </c>
      <c r="C3866" s="65" t="s">
        <v>122</v>
      </c>
      <c r="D3866" s="65" t="str">
        <f>vlookup(C3866,'Classificação p pessoal'!F:G,2,false)</f>
        <v>NP</v>
      </c>
      <c r="E3866" s="65" t="s">
        <v>2783</v>
      </c>
      <c r="F3866" s="83">
        <v>0.6666666666666666</v>
      </c>
      <c r="G3866" s="83">
        <v>0.7291666666666666</v>
      </c>
      <c r="H3866" s="83">
        <v>0.0625</v>
      </c>
      <c r="I3866" s="84">
        <v>44432.0</v>
      </c>
      <c r="J3866" s="65" t="b">
        <v>1</v>
      </c>
      <c r="K3866" s="65"/>
      <c r="L3866" s="85" t="b">
        <f>IF(VLOOKUP(C3866,Projetos!A:L,12,false)=TRUE,TRUE,FALSE)</f>
        <v>1</v>
      </c>
      <c r="M3866" s="74">
        <v>52.1518759018759</v>
      </c>
      <c r="N3866" s="74">
        <f t="shared" si="1"/>
        <v>78.22781385</v>
      </c>
      <c r="O3866" s="74" t="b">
        <v>1</v>
      </c>
    </row>
    <row r="3867" hidden="1">
      <c r="A3867" s="82"/>
      <c r="B3867" s="65" t="s">
        <v>467</v>
      </c>
      <c r="C3867" s="65" t="s">
        <v>121</v>
      </c>
      <c r="D3867" s="65" t="str">
        <f>vlookup(C3867,'Classificação p pessoal'!F:G,2,false)</f>
        <v>NP</v>
      </c>
      <c r="E3867" s="65" t="s">
        <v>2784</v>
      </c>
      <c r="F3867" s="83">
        <v>0.5625</v>
      </c>
      <c r="G3867" s="83">
        <v>0.6041666666666666</v>
      </c>
      <c r="H3867" s="83">
        <v>0.041666666666666664</v>
      </c>
      <c r="I3867" s="84">
        <v>44545.0</v>
      </c>
      <c r="J3867" s="65" t="b">
        <v>1</v>
      </c>
      <c r="K3867" s="65"/>
      <c r="L3867" s="85" t="b">
        <f>IF(VLOOKUP(C3867,Projetos!A:L,12,false)=TRUE,TRUE,FALSE)</f>
        <v>1</v>
      </c>
      <c r="M3867" s="74">
        <v>52.1518759018759</v>
      </c>
      <c r="N3867" s="74">
        <f t="shared" si="1"/>
        <v>52.1518759</v>
      </c>
      <c r="O3867" s="74" t="b">
        <v>1</v>
      </c>
    </row>
    <row r="3868" hidden="1">
      <c r="A3868" s="82"/>
      <c r="B3868" s="65" t="s">
        <v>467</v>
      </c>
      <c r="C3868" s="65" t="s">
        <v>92</v>
      </c>
      <c r="D3868" s="65" t="str">
        <f>vlookup(C3868,'Classificação p pessoal'!F:G,2,false)</f>
        <v/>
      </c>
      <c r="E3868" s="65" t="s">
        <v>2785</v>
      </c>
      <c r="F3868" s="83">
        <v>0.375</v>
      </c>
      <c r="G3868" s="83">
        <v>0.3958333333333333</v>
      </c>
      <c r="H3868" s="83">
        <v>0.020833333333333332</v>
      </c>
      <c r="I3868" s="84">
        <v>44441.0</v>
      </c>
      <c r="J3868" s="65" t="b">
        <v>1</v>
      </c>
      <c r="K3868" s="65"/>
      <c r="L3868" s="85" t="b">
        <f>IF(VLOOKUP(C3868,Projetos!A:L,12,false)=TRUE,TRUE,FALSE)</f>
        <v>1</v>
      </c>
      <c r="M3868" s="74">
        <v>52.1518759018759</v>
      </c>
      <c r="N3868" s="74">
        <f t="shared" si="1"/>
        <v>26.07593795</v>
      </c>
      <c r="O3868" s="74" t="b">
        <v>1</v>
      </c>
    </row>
    <row r="3869" hidden="1">
      <c r="A3869" s="82"/>
      <c r="B3869" s="65" t="s">
        <v>467</v>
      </c>
      <c r="C3869" s="65" t="s">
        <v>92</v>
      </c>
      <c r="D3869" s="65" t="str">
        <f>vlookup(C3869,'Classificação p pessoal'!F:G,2,false)</f>
        <v/>
      </c>
      <c r="E3869" s="65" t="s">
        <v>2786</v>
      </c>
      <c r="F3869" s="83">
        <v>0.3541666666666667</v>
      </c>
      <c r="G3869" s="83">
        <v>0.375</v>
      </c>
      <c r="H3869" s="83">
        <v>0.020833333333333332</v>
      </c>
      <c r="I3869" s="84">
        <v>44391.0</v>
      </c>
      <c r="J3869" s="65" t="b">
        <v>1</v>
      </c>
      <c r="K3869" s="65"/>
      <c r="L3869" s="85" t="b">
        <f>IF(VLOOKUP(C3869,Projetos!A:L,12,false)=TRUE,TRUE,FALSE)</f>
        <v>1</v>
      </c>
      <c r="M3869" s="74">
        <v>52.1518759018759</v>
      </c>
      <c r="N3869" s="74">
        <f t="shared" si="1"/>
        <v>26.07593795</v>
      </c>
      <c r="O3869" s="74" t="b">
        <v>1</v>
      </c>
    </row>
    <row r="3870" hidden="1">
      <c r="A3870" s="82"/>
      <c r="B3870" s="65" t="s">
        <v>467</v>
      </c>
      <c r="C3870" s="65" t="s">
        <v>92</v>
      </c>
      <c r="D3870" s="65" t="str">
        <f>vlookup(C3870,'Classificação p pessoal'!F:G,2,false)</f>
        <v/>
      </c>
      <c r="E3870" s="65" t="s">
        <v>2787</v>
      </c>
      <c r="F3870" s="83">
        <v>0.59375</v>
      </c>
      <c r="G3870" s="83">
        <v>0.6041666666666666</v>
      </c>
      <c r="H3870" s="83">
        <v>0.010416666666666666</v>
      </c>
      <c r="I3870" s="84">
        <v>44390.0</v>
      </c>
      <c r="J3870" s="65" t="b">
        <v>1</v>
      </c>
      <c r="K3870" s="65"/>
      <c r="L3870" s="85" t="b">
        <f>IF(VLOOKUP(C3870,Projetos!A:L,12,false)=TRUE,TRUE,FALSE)</f>
        <v>1</v>
      </c>
      <c r="M3870" s="74">
        <v>52.1518759018759</v>
      </c>
      <c r="N3870" s="74">
        <f t="shared" si="1"/>
        <v>13.03796898</v>
      </c>
      <c r="O3870" s="74" t="b">
        <v>1</v>
      </c>
    </row>
    <row r="3871" hidden="1">
      <c r="A3871" s="82"/>
      <c r="B3871" s="65" t="s">
        <v>467</v>
      </c>
      <c r="C3871" s="65" t="s">
        <v>92</v>
      </c>
      <c r="D3871" s="65"/>
      <c r="E3871" s="65" t="s">
        <v>2788</v>
      </c>
      <c r="F3871" s="83">
        <v>0.3541666666666667</v>
      </c>
      <c r="G3871" s="83">
        <v>0.375</v>
      </c>
      <c r="H3871" s="83">
        <v>0.020833333333333332</v>
      </c>
      <c r="I3871" s="84">
        <v>44511.0</v>
      </c>
      <c r="J3871" s="65" t="b">
        <v>0</v>
      </c>
      <c r="K3871" s="65"/>
      <c r="L3871" s="85" t="b">
        <f>IF(VLOOKUP(C3871,Projetos!A:L,12,false)=TRUE,TRUE,FALSE)</f>
        <v>1</v>
      </c>
      <c r="M3871" s="74">
        <v>52.1518759018759</v>
      </c>
      <c r="N3871" s="74">
        <f t="shared" si="1"/>
        <v>0</v>
      </c>
      <c r="O3871" s="74" t="b">
        <v>1</v>
      </c>
    </row>
    <row r="3872" hidden="1">
      <c r="A3872" s="82"/>
      <c r="B3872" s="65" t="s">
        <v>467</v>
      </c>
      <c r="C3872" s="65" t="s">
        <v>92</v>
      </c>
      <c r="D3872" s="65"/>
      <c r="E3872" s="65" t="s">
        <v>2789</v>
      </c>
      <c r="F3872" s="83">
        <v>0.5625</v>
      </c>
      <c r="G3872" s="83">
        <v>0.5833333333333334</v>
      </c>
      <c r="H3872" s="83">
        <v>0.020833333333333332</v>
      </c>
      <c r="I3872" s="84">
        <v>44510.0</v>
      </c>
      <c r="J3872" s="65" t="b">
        <v>0</v>
      </c>
      <c r="K3872" s="65"/>
      <c r="L3872" s="85" t="b">
        <f>IF(VLOOKUP(C3872,Projetos!A:L,12,false)=TRUE,TRUE,FALSE)</f>
        <v>1</v>
      </c>
      <c r="M3872" s="74">
        <v>52.1518759018759</v>
      </c>
      <c r="N3872" s="74">
        <f t="shared" si="1"/>
        <v>0</v>
      </c>
      <c r="O3872" s="74" t="b">
        <v>1</v>
      </c>
    </row>
    <row r="3873" hidden="1">
      <c r="A3873" s="82"/>
      <c r="B3873" s="65" t="s">
        <v>467</v>
      </c>
      <c r="C3873" s="65" t="s">
        <v>122</v>
      </c>
      <c r="D3873" s="65" t="str">
        <f>vlookup(C3873,'Classificação p pessoal'!F:G,2,false)</f>
        <v>NP</v>
      </c>
      <c r="E3873" s="65" t="s">
        <v>2790</v>
      </c>
      <c r="F3873" s="83">
        <v>0.3541666666666667</v>
      </c>
      <c r="G3873" s="83">
        <v>0.375</v>
      </c>
      <c r="H3873" s="83">
        <v>0.020833333333333332</v>
      </c>
      <c r="I3873" s="84">
        <v>44426.0</v>
      </c>
      <c r="J3873" s="65" t="b">
        <v>1</v>
      </c>
      <c r="K3873" s="65"/>
      <c r="L3873" s="85" t="b">
        <f>IF(VLOOKUP(C3873,Projetos!A:L,12,false)=TRUE,TRUE,FALSE)</f>
        <v>1</v>
      </c>
      <c r="M3873" s="74">
        <v>52.1518759018759</v>
      </c>
      <c r="N3873" s="74">
        <f t="shared" si="1"/>
        <v>26.07593795</v>
      </c>
      <c r="O3873" s="74" t="b">
        <v>1</v>
      </c>
    </row>
    <row r="3874" hidden="1">
      <c r="A3874" s="82"/>
      <c r="B3874" s="65" t="s">
        <v>467</v>
      </c>
      <c r="C3874" s="65" t="s">
        <v>92</v>
      </c>
      <c r="D3874" s="65" t="str">
        <f>vlookup(C3874,'Classificação p pessoal'!F:G,2,false)</f>
        <v/>
      </c>
      <c r="E3874" s="65" t="s">
        <v>2791</v>
      </c>
      <c r="F3874" s="83">
        <v>0.3541666666666667</v>
      </c>
      <c r="G3874" s="83">
        <v>0.375</v>
      </c>
      <c r="H3874" s="83">
        <v>0.020833333333333332</v>
      </c>
      <c r="I3874" s="84">
        <v>44397.0</v>
      </c>
      <c r="J3874" s="65" t="b">
        <v>1</v>
      </c>
      <c r="K3874" s="65"/>
      <c r="L3874" s="85" t="b">
        <f>IF(VLOOKUP(C3874,Projetos!A:L,12,false)=TRUE,TRUE,FALSE)</f>
        <v>1</v>
      </c>
      <c r="M3874" s="74">
        <v>52.1518759018759</v>
      </c>
      <c r="N3874" s="74">
        <f t="shared" si="1"/>
        <v>26.07593795</v>
      </c>
      <c r="O3874" s="74" t="b">
        <v>1</v>
      </c>
    </row>
    <row r="3875" hidden="1">
      <c r="A3875" s="82"/>
      <c r="B3875" s="65" t="s">
        <v>467</v>
      </c>
      <c r="C3875" s="65" t="s">
        <v>92</v>
      </c>
      <c r="D3875" s="65" t="str">
        <f>vlookup(C3875,'Classificação p pessoal'!F:G,2,false)</f>
        <v/>
      </c>
      <c r="E3875" s="65" t="s">
        <v>2792</v>
      </c>
      <c r="F3875" s="83">
        <v>0.4375</v>
      </c>
      <c r="G3875" s="83">
        <v>0.4791666666666667</v>
      </c>
      <c r="H3875" s="83">
        <v>0.041666666666666664</v>
      </c>
      <c r="I3875" s="84">
        <v>44470.0</v>
      </c>
      <c r="J3875" s="65" t="b">
        <v>1</v>
      </c>
      <c r="K3875" s="65"/>
      <c r="L3875" s="85" t="b">
        <f>IF(VLOOKUP(C3875,Projetos!A:L,12,false)=TRUE,TRUE,FALSE)</f>
        <v>1</v>
      </c>
      <c r="M3875" s="74">
        <v>52.1518759018759</v>
      </c>
      <c r="N3875" s="74">
        <f t="shared" si="1"/>
        <v>52.1518759</v>
      </c>
      <c r="O3875" s="74" t="b">
        <v>1</v>
      </c>
    </row>
    <row r="3876" hidden="1">
      <c r="A3876" s="82"/>
      <c r="B3876" s="65" t="s">
        <v>467</v>
      </c>
      <c r="C3876" s="65" t="s">
        <v>92</v>
      </c>
      <c r="D3876" s="65" t="str">
        <f>vlookup(C3876,'Classificação p pessoal'!F:G,2,false)</f>
        <v/>
      </c>
      <c r="E3876" s="65" t="s">
        <v>2793</v>
      </c>
      <c r="F3876" s="83">
        <v>0.4166666666666667</v>
      </c>
      <c r="G3876" s="83">
        <v>0.5</v>
      </c>
      <c r="H3876" s="83">
        <v>0.08333333333333333</v>
      </c>
      <c r="I3876" s="84">
        <v>44425.0</v>
      </c>
      <c r="J3876" s="65" t="b">
        <v>1</v>
      </c>
      <c r="K3876" s="65"/>
      <c r="L3876" s="85" t="b">
        <f>IF(VLOOKUP(C3876,Projetos!A:L,12,false)=TRUE,TRUE,FALSE)</f>
        <v>1</v>
      </c>
      <c r="M3876" s="74">
        <v>52.1518759018759</v>
      </c>
      <c r="N3876" s="74">
        <f t="shared" si="1"/>
        <v>104.3037518</v>
      </c>
      <c r="O3876" s="74" t="b">
        <v>1</v>
      </c>
    </row>
    <row r="3877" hidden="1">
      <c r="A3877" s="82"/>
      <c r="B3877" s="65" t="s">
        <v>467</v>
      </c>
      <c r="C3877" s="65" t="s">
        <v>121</v>
      </c>
      <c r="D3877" s="65" t="str">
        <f>vlookup(C3877,'Classificação p pessoal'!F:G,2,false)</f>
        <v>NP</v>
      </c>
      <c r="E3877" s="65" t="s">
        <v>2794</v>
      </c>
      <c r="F3877" s="83">
        <v>0.4375</v>
      </c>
      <c r="G3877" s="83">
        <v>0.4791666666666667</v>
      </c>
      <c r="H3877" s="83">
        <v>0.041666666666666664</v>
      </c>
      <c r="I3877" s="84">
        <v>44557.0</v>
      </c>
      <c r="J3877" s="65" t="b">
        <v>1</v>
      </c>
      <c r="K3877" s="65"/>
      <c r="L3877" s="85" t="b">
        <f>IF(VLOOKUP(C3877,Projetos!A:L,12,false)=TRUE,TRUE,FALSE)</f>
        <v>1</v>
      </c>
      <c r="M3877" s="74">
        <v>52.1518759018759</v>
      </c>
      <c r="N3877" s="74">
        <f t="shared" si="1"/>
        <v>52.1518759</v>
      </c>
      <c r="O3877" s="74" t="b">
        <v>1</v>
      </c>
    </row>
    <row r="3878" hidden="1">
      <c r="A3878" s="82"/>
      <c r="B3878" s="65" t="s">
        <v>467</v>
      </c>
      <c r="C3878" s="65" t="s">
        <v>92</v>
      </c>
      <c r="D3878" s="65" t="str">
        <f>vlookup(C3878,'Classificação p pessoal'!F:G,2,false)</f>
        <v/>
      </c>
      <c r="E3878" s="65" t="s">
        <v>2795</v>
      </c>
      <c r="F3878" s="83">
        <v>0.375</v>
      </c>
      <c r="G3878" s="83">
        <v>0.4166666666666667</v>
      </c>
      <c r="H3878" s="83">
        <v>0.041666666666666664</v>
      </c>
      <c r="I3878" s="84">
        <v>44411.0</v>
      </c>
      <c r="J3878" s="65" t="b">
        <v>1</v>
      </c>
      <c r="K3878" s="65"/>
      <c r="L3878" s="85" t="b">
        <f>IF(VLOOKUP(C3878,Projetos!A:L,12,false)=TRUE,TRUE,FALSE)</f>
        <v>1</v>
      </c>
      <c r="M3878" s="74">
        <v>52.1518759018759</v>
      </c>
      <c r="N3878" s="74">
        <f t="shared" si="1"/>
        <v>52.1518759</v>
      </c>
      <c r="O3878" s="74" t="b">
        <v>1</v>
      </c>
    </row>
    <row r="3879" hidden="1">
      <c r="A3879" s="82"/>
      <c r="B3879" s="65" t="s">
        <v>467</v>
      </c>
      <c r="C3879" s="65" t="s">
        <v>113</v>
      </c>
      <c r="D3879" s="65" t="str">
        <f>vlookup(C3879,'Classificação p pessoal'!F:G,2,false)</f>
        <v>NP</v>
      </c>
      <c r="E3879" s="65" t="s">
        <v>2796</v>
      </c>
      <c r="F3879" s="83">
        <v>0.625</v>
      </c>
      <c r="G3879" s="83">
        <v>0.6458333333333334</v>
      </c>
      <c r="H3879" s="83">
        <v>0.020833333333333332</v>
      </c>
      <c r="I3879" s="84">
        <v>44419.0</v>
      </c>
      <c r="J3879" s="65" t="b">
        <v>1</v>
      </c>
      <c r="K3879" s="65"/>
      <c r="L3879" s="85" t="b">
        <f>IF(VLOOKUP(C3879,Projetos!A:L,12,false)=TRUE,TRUE,FALSE)</f>
        <v>1</v>
      </c>
      <c r="M3879" s="74">
        <v>52.1518759018759</v>
      </c>
      <c r="N3879" s="74">
        <f t="shared" si="1"/>
        <v>26.07593795</v>
      </c>
      <c r="O3879" s="74" t="b">
        <v>1</v>
      </c>
    </row>
    <row r="3880" hidden="1">
      <c r="A3880" s="82"/>
      <c r="B3880" s="65" t="s">
        <v>467</v>
      </c>
      <c r="C3880" s="65" t="s">
        <v>92</v>
      </c>
      <c r="D3880" s="65" t="str">
        <f>vlookup(C3880,'Classificação p pessoal'!F:G,2,false)</f>
        <v/>
      </c>
      <c r="E3880" s="65" t="s">
        <v>2797</v>
      </c>
      <c r="F3880" s="83">
        <v>0.4166666666666667</v>
      </c>
      <c r="G3880" s="83">
        <v>0.4791666666666667</v>
      </c>
      <c r="H3880" s="83">
        <v>0.0625</v>
      </c>
      <c r="I3880" s="84">
        <v>44323.0</v>
      </c>
      <c r="J3880" s="65" t="b">
        <v>1</v>
      </c>
      <c r="K3880" s="65"/>
      <c r="L3880" s="85" t="b">
        <f>IF(VLOOKUP(C3880,Projetos!A:L,12,false)=TRUE,TRUE,FALSE)</f>
        <v>1</v>
      </c>
      <c r="M3880" s="74">
        <v>52.1518759018759</v>
      </c>
      <c r="N3880" s="74">
        <f t="shared" si="1"/>
        <v>78.22781385</v>
      </c>
      <c r="O3880" s="74" t="b">
        <v>1</v>
      </c>
    </row>
    <row r="3881" hidden="1">
      <c r="A3881" s="82"/>
      <c r="B3881" s="65" t="s">
        <v>467</v>
      </c>
      <c r="C3881" s="65" t="s">
        <v>113</v>
      </c>
      <c r="D3881" s="65" t="str">
        <f>vlookup(C3881,'Classificação p pessoal'!F:G,2,false)</f>
        <v>NP</v>
      </c>
      <c r="E3881" s="65" t="s">
        <v>2798</v>
      </c>
      <c r="F3881" s="83">
        <v>0.3333333333333333</v>
      </c>
      <c r="G3881" s="83">
        <v>0.75</v>
      </c>
      <c r="H3881" s="83">
        <v>0.4166666666666667</v>
      </c>
      <c r="I3881" s="84">
        <v>44488.0</v>
      </c>
      <c r="J3881" s="65" t="b">
        <v>1</v>
      </c>
      <c r="K3881" s="65"/>
      <c r="L3881" s="85" t="b">
        <f>IF(VLOOKUP(C3881,Projetos!A:L,12,false)=TRUE,TRUE,FALSE)</f>
        <v>1</v>
      </c>
      <c r="M3881" s="74">
        <v>52.1518759018759</v>
      </c>
      <c r="N3881" s="74">
        <f t="shared" si="1"/>
        <v>521.518759</v>
      </c>
      <c r="O3881" s="74" t="b">
        <v>1</v>
      </c>
    </row>
    <row r="3882" hidden="1">
      <c r="A3882" s="82"/>
      <c r="B3882" s="65" t="s">
        <v>467</v>
      </c>
      <c r="C3882" s="65" t="s">
        <v>113</v>
      </c>
      <c r="D3882" s="65" t="str">
        <f>vlookup(C3882,'Classificação p pessoal'!F:G,2,false)</f>
        <v>NP</v>
      </c>
      <c r="E3882" s="65" t="s">
        <v>2798</v>
      </c>
      <c r="F3882" s="83">
        <v>0.3333333333333333</v>
      </c>
      <c r="G3882" s="83">
        <v>0.75</v>
      </c>
      <c r="H3882" s="83">
        <v>0.4166666666666667</v>
      </c>
      <c r="I3882" s="84">
        <v>44489.0</v>
      </c>
      <c r="J3882" s="65" t="b">
        <v>1</v>
      </c>
      <c r="K3882" s="65"/>
      <c r="L3882" s="85" t="b">
        <f>IF(VLOOKUP(C3882,Projetos!A:L,12,false)=TRUE,TRUE,FALSE)</f>
        <v>1</v>
      </c>
      <c r="M3882" s="74">
        <v>52.1518759018759</v>
      </c>
      <c r="N3882" s="74">
        <f t="shared" si="1"/>
        <v>521.518759</v>
      </c>
      <c r="O3882" s="74" t="b">
        <v>1</v>
      </c>
    </row>
    <row r="3883" hidden="1">
      <c r="A3883" s="82"/>
      <c r="B3883" s="65" t="s">
        <v>467</v>
      </c>
      <c r="C3883" s="65" t="s">
        <v>84</v>
      </c>
      <c r="D3883" s="65"/>
      <c r="E3883" s="65" t="s">
        <v>2799</v>
      </c>
      <c r="F3883" s="83">
        <v>0.6458333333333334</v>
      </c>
      <c r="G3883" s="83">
        <v>0.7291666666666666</v>
      </c>
      <c r="H3883" s="83">
        <v>0.08333333333333333</v>
      </c>
      <c r="I3883" s="84">
        <v>44441.0</v>
      </c>
      <c r="J3883" s="65" t="b">
        <v>0</v>
      </c>
      <c r="K3883" s="65"/>
      <c r="L3883" s="85" t="b">
        <f>IF(VLOOKUP(C3883,Projetos!A:L,12,false)=TRUE,TRUE,FALSE)</f>
        <v>0</v>
      </c>
      <c r="M3883" s="74">
        <v>52.1518759018759</v>
      </c>
      <c r="N3883" s="74">
        <f t="shared" si="1"/>
        <v>0</v>
      </c>
      <c r="O3883" s="74" t="b">
        <v>0</v>
      </c>
    </row>
    <row r="3884" hidden="1">
      <c r="A3884" s="82"/>
      <c r="B3884" s="65" t="s">
        <v>467</v>
      </c>
      <c r="C3884" s="65" t="s">
        <v>84</v>
      </c>
      <c r="D3884" s="65"/>
      <c r="E3884" s="65" t="s">
        <v>2799</v>
      </c>
      <c r="F3884" s="83">
        <v>0.6666666666666666</v>
      </c>
      <c r="G3884" s="83">
        <v>0.7291666666666666</v>
      </c>
      <c r="H3884" s="83">
        <v>0.0625</v>
      </c>
      <c r="I3884" s="84">
        <v>44442.0</v>
      </c>
      <c r="J3884" s="65" t="b">
        <v>0</v>
      </c>
      <c r="K3884" s="65"/>
      <c r="L3884" s="85" t="b">
        <f>IF(VLOOKUP(C3884,Projetos!A:L,12,false)=TRUE,TRUE,FALSE)</f>
        <v>0</v>
      </c>
      <c r="M3884" s="74">
        <v>52.1518759018759</v>
      </c>
      <c r="N3884" s="74">
        <f t="shared" si="1"/>
        <v>0</v>
      </c>
      <c r="O3884" s="74" t="b">
        <v>0</v>
      </c>
    </row>
    <row r="3885" hidden="1">
      <c r="A3885" s="82"/>
      <c r="B3885" s="65" t="s">
        <v>467</v>
      </c>
      <c r="C3885" s="65" t="s">
        <v>117</v>
      </c>
      <c r="D3885" s="65" t="str">
        <f>vlookup(C3885,'Classificação p pessoal'!F:G,2,false)</f>
        <v>NP</v>
      </c>
      <c r="E3885" s="65" t="s">
        <v>2800</v>
      </c>
      <c r="F3885" s="83">
        <v>0.3541666666666667</v>
      </c>
      <c r="G3885" s="83">
        <v>0.4375</v>
      </c>
      <c r="H3885" s="83">
        <v>0.08333333333333333</v>
      </c>
      <c r="I3885" s="84">
        <v>44207.0</v>
      </c>
      <c r="J3885" s="65" t="b">
        <v>1</v>
      </c>
      <c r="K3885" s="65"/>
      <c r="L3885" s="85" t="b">
        <f>IF(VLOOKUP(C3885,Projetos!A:L,12,false)=TRUE,TRUE,FALSE)</f>
        <v>1</v>
      </c>
      <c r="M3885" s="74">
        <v>52.1518759018759</v>
      </c>
      <c r="N3885" s="74">
        <f t="shared" si="1"/>
        <v>104.3037518</v>
      </c>
      <c r="O3885" s="74" t="b">
        <v>1</v>
      </c>
    </row>
    <row r="3886" hidden="1">
      <c r="A3886" s="82"/>
      <c r="B3886" s="65" t="s">
        <v>467</v>
      </c>
      <c r="C3886" s="65" t="s">
        <v>101</v>
      </c>
      <c r="D3886" s="65" t="str">
        <f>vlookup(C3886,'Classificação p pessoal'!F:G,2,false)</f>
        <v>NP</v>
      </c>
      <c r="E3886" s="65" t="s">
        <v>2801</v>
      </c>
      <c r="F3886" s="83">
        <v>0.4375</v>
      </c>
      <c r="G3886" s="83">
        <v>0.5</v>
      </c>
      <c r="H3886" s="83">
        <v>0.0625</v>
      </c>
      <c r="I3886" s="84">
        <v>44207.0</v>
      </c>
      <c r="J3886" s="65" t="b">
        <v>1</v>
      </c>
      <c r="K3886" s="65"/>
      <c r="L3886" s="85" t="b">
        <f>IF(VLOOKUP(C3886,Projetos!A:L,12,false)=TRUE,TRUE,FALSE)</f>
        <v>1</v>
      </c>
      <c r="M3886" s="74">
        <v>52.1518759018759</v>
      </c>
      <c r="N3886" s="74">
        <f t="shared" si="1"/>
        <v>78.22781385</v>
      </c>
      <c r="O3886" s="74" t="b">
        <v>1</v>
      </c>
    </row>
    <row r="3887" hidden="1">
      <c r="A3887" s="82"/>
      <c r="B3887" s="65" t="s">
        <v>467</v>
      </c>
      <c r="C3887" s="65" t="s">
        <v>130</v>
      </c>
      <c r="D3887" s="65" t="str">
        <f>vlookup(C3887,'Classificação p pessoal'!F:G,2,false)</f>
        <v>NP</v>
      </c>
      <c r="E3887" s="65" t="s">
        <v>2802</v>
      </c>
      <c r="F3887" s="83">
        <v>0.3541666666666667</v>
      </c>
      <c r="G3887" s="83">
        <v>0.4375</v>
      </c>
      <c r="H3887" s="83">
        <v>0.08333333333333333</v>
      </c>
      <c r="I3887" s="84">
        <v>44209.0</v>
      </c>
      <c r="J3887" s="65" t="b">
        <v>1</v>
      </c>
      <c r="K3887" s="65"/>
      <c r="L3887" s="85" t="b">
        <f>IF(VLOOKUP(C3887,Projetos!A:L,12,false)=TRUE,TRUE,FALSE)</f>
        <v>1</v>
      </c>
      <c r="M3887" s="74">
        <v>52.1518759018759</v>
      </c>
      <c r="N3887" s="74">
        <f t="shared" si="1"/>
        <v>104.3037518</v>
      </c>
      <c r="O3887" s="74" t="b">
        <v>1</v>
      </c>
    </row>
    <row r="3888" hidden="1">
      <c r="A3888" s="82"/>
      <c r="B3888" s="65" t="s">
        <v>467</v>
      </c>
      <c r="C3888" s="65" t="s">
        <v>92</v>
      </c>
      <c r="D3888" s="65" t="str">
        <f>vlookup(C3888,'Classificação p pessoal'!F:G,2,false)</f>
        <v/>
      </c>
      <c r="E3888" s="65" t="s">
        <v>2803</v>
      </c>
      <c r="F3888" s="83">
        <v>0.6041666666666666</v>
      </c>
      <c r="G3888" s="83">
        <v>0.6666666666666666</v>
      </c>
      <c r="H3888" s="83">
        <v>0.0625</v>
      </c>
      <c r="I3888" s="84">
        <v>44242.0</v>
      </c>
      <c r="J3888" s="65" t="b">
        <v>1</v>
      </c>
      <c r="K3888" s="65"/>
      <c r="L3888" s="85" t="b">
        <f>IF(VLOOKUP(C3888,Projetos!A:L,12,false)=TRUE,TRUE,FALSE)</f>
        <v>1</v>
      </c>
      <c r="M3888" s="74">
        <v>52.1518759018759</v>
      </c>
      <c r="N3888" s="74">
        <f t="shared" si="1"/>
        <v>78.22781385</v>
      </c>
      <c r="O3888" s="74" t="b">
        <v>1</v>
      </c>
    </row>
    <row r="3889" hidden="1">
      <c r="A3889" s="82"/>
      <c r="B3889" s="65" t="s">
        <v>467</v>
      </c>
      <c r="C3889" s="65" t="s">
        <v>104</v>
      </c>
      <c r="D3889" s="65" t="str">
        <f>vlookup(C3889,'Classificação p pessoal'!F:G,2,false)</f>
        <v>NP</v>
      </c>
      <c r="E3889" s="65" t="s">
        <v>2804</v>
      </c>
      <c r="F3889" s="83">
        <v>0.6875</v>
      </c>
      <c r="G3889" s="83">
        <v>0.7291666666666666</v>
      </c>
      <c r="H3889" s="83">
        <v>0.041666666666666664</v>
      </c>
      <c r="I3889" s="84">
        <v>44216.0</v>
      </c>
      <c r="J3889" s="65" t="b">
        <v>1</v>
      </c>
      <c r="K3889" s="65"/>
      <c r="L3889" s="85" t="b">
        <f>IF(VLOOKUP(C3889,Projetos!A:L,12,false)=TRUE,TRUE,FALSE)</f>
        <v>1</v>
      </c>
      <c r="M3889" s="74">
        <v>52.1518759018759</v>
      </c>
      <c r="N3889" s="74">
        <f t="shared" si="1"/>
        <v>52.1518759</v>
      </c>
      <c r="O3889" s="74" t="b">
        <v>1</v>
      </c>
    </row>
    <row r="3890" hidden="1">
      <c r="A3890" s="82"/>
      <c r="B3890" s="65" t="s">
        <v>467</v>
      </c>
      <c r="C3890" s="65" t="s">
        <v>106</v>
      </c>
      <c r="D3890" s="65" t="str">
        <f>vlookup(C3890,'Classificação p pessoal'!F:G,2,false)</f>
        <v>MProcesso</v>
      </c>
      <c r="E3890" s="65" t="s">
        <v>2805</v>
      </c>
      <c r="F3890" s="83">
        <v>0.4375</v>
      </c>
      <c r="G3890" s="83">
        <v>0.4895833333333333</v>
      </c>
      <c r="H3890" s="83">
        <v>0.052083333333333336</v>
      </c>
      <c r="I3890" s="84">
        <v>44217.0</v>
      </c>
      <c r="J3890" s="65" t="b">
        <v>1</v>
      </c>
      <c r="K3890" s="65"/>
      <c r="L3890" s="85" t="b">
        <f>IF(VLOOKUP(C3890,Projetos!A:L,12,false)=TRUE,TRUE,FALSE)</f>
        <v>1</v>
      </c>
      <c r="M3890" s="74">
        <v>52.1518759018759</v>
      </c>
      <c r="N3890" s="74">
        <f t="shared" si="1"/>
        <v>65.18984488</v>
      </c>
      <c r="O3890" s="74" t="b">
        <v>1</v>
      </c>
    </row>
    <row r="3891" hidden="1">
      <c r="A3891" s="82"/>
      <c r="B3891" s="65" t="s">
        <v>467</v>
      </c>
      <c r="C3891" s="65" t="s">
        <v>92</v>
      </c>
      <c r="D3891" s="65" t="str">
        <f>vlookup(C3891,'Classificação p pessoal'!F:G,2,false)</f>
        <v/>
      </c>
      <c r="E3891" s="65" t="s">
        <v>2806</v>
      </c>
      <c r="F3891" s="83">
        <v>0.3541666666666667</v>
      </c>
      <c r="G3891" s="83">
        <v>0.3958333333333333</v>
      </c>
      <c r="H3891" s="83">
        <v>0.041666666666666664</v>
      </c>
      <c r="I3891" s="84">
        <v>44218.0</v>
      </c>
      <c r="J3891" s="65" t="b">
        <v>1</v>
      </c>
      <c r="K3891" s="65"/>
      <c r="L3891" s="85" t="b">
        <f>IF(VLOOKUP(C3891,Projetos!A:L,12,false)=TRUE,TRUE,FALSE)</f>
        <v>1</v>
      </c>
      <c r="M3891" s="74">
        <v>52.1518759018759</v>
      </c>
      <c r="N3891" s="74">
        <f t="shared" si="1"/>
        <v>52.1518759</v>
      </c>
      <c r="O3891" s="74" t="b">
        <v>1</v>
      </c>
    </row>
    <row r="3892" hidden="1">
      <c r="A3892" s="82"/>
      <c r="B3892" s="65" t="s">
        <v>467</v>
      </c>
      <c r="C3892" s="65" t="s">
        <v>101</v>
      </c>
      <c r="D3892" s="65" t="str">
        <f>vlookup(C3892,'Classificação p pessoal'!F:G,2,false)</f>
        <v>NP</v>
      </c>
      <c r="E3892" s="65" t="s">
        <v>2807</v>
      </c>
      <c r="F3892" s="83">
        <v>0.3541666666666667</v>
      </c>
      <c r="G3892" s="83">
        <v>0.5</v>
      </c>
      <c r="H3892" s="83">
        <v>0.14583333333333334</v>
      </c>
      <c r="I3892" s="84">
        <v>44207.0</v>
      </c>
      <c r="J3892" s="65" t="b">
        <v>1</v>
      </c>
      <c r="K3892" s="65"/>
      <c r="L3892" s="85" t="b">
        <f>IF(VLOOKUP(C3892,Projetos!A:L,12,false)=TRUE,TRUE,FALSE)</f>
        <v>1</v>
      </c>
      <c r="M3892" s="74">
        <v>52.1518759018759</v>
      </c>
      <c r="N3892" s="74">
        <f t="shared" si="1"/>
        <v>182.5315657</v>
      </c>
      <c r="O3892" s="74" t="b">
        <v>1</v>
      </c>
    </row>
    <row r="3893" hidden="1">
      <c r="A3893" s="82"/>
      <c r="B3893" s="65" t="s">
        <v>467</v>
      </c>
      <c r="C3893" s="65" t="s">
        <v>117</v>
      </c>
      <c r="D3893" s="65" t="str">
        <f>vlookup(C3893,'Classificação p pessoal'!F:G,2,false)</f>
        <v>NP</v>
      </c>
      <c r="E3893" s="65" t="s">
        <v>2808</v>
      </c>
      <c r="F3893" s="83">
        <v>0.3541666666666667</v>
      </c>
      <c r="G3893" s="83">
        <v>0.4791666666666667</v>
      </c>
      <c r="H3893" s="83">
        <v>0.125</v>
      </c>
      <c r="I3893" s="84">
        <v>44209.0</v>
      </c>
      <c r="J3893" s="65" t="b">
        <v>1</v>
      </c>
      <c r="K3893" s="65"/>
      <c r="L3893" s="85" t="b">
        <f>IF(VLOOKUP(C3893,Projetos!A:L,12,false)=TRUE,TRUE,FALSE)</f>
        <v>1</v>
      </c>
      <c r="M3893" s="74">
        <v>52.1518759018759</v>
      </c>
      <c r="N3893" s="74">
        <f t="shared" si="1"/>
        <v>156.4556277</v>
      </c>
      <c r="O3893" s="74" t="b">
        <v>1</v>
      </c>
    </row>
    <row r="3894" hidden="1">
      <c r="A3894" s="82"/>
      <c r="B3894" s="65" t="s">
        <v>467</v>
      </c>
      <c r="C3894" s="65" t="s">
        <v>101</v>
      </c>
      <c r="D3894" s="65" t="str">
        <f>vlookup(C3894,'Classificação p pessoal'!F:G,2,false)</f>
        <v>NP</v>
      </c>
      <c r="E3894" s="65" t="s">
        <v>2809</v>
      </c>
      <c r="F3894" s="83">
        <v>0.4375</v>
      </c>
      <c r="G3894" s="83">
        <v>0.5208333333333334</v>
      </c>
      <c r="H3894" s="83">
        <v>0.08333333333333333</v>
      </c>
      <c r="I3894" s="84">
        <v>44209.0</v>
      </c>
      <c r="J3894" s="65" t="b">
        <v>1</v>
      </c>
      <c r="K3894" s="65"/>
      <c r="L3894" s="85" t="b">
        <f>IF(VLOOKUP(C3894,Projetos!A:L,12,false)=TRUE,TRUE,FALSE)</f>
        <v>1</v>
      </c>
      <c r="M3894" s="74">
        <v>52.1518759018759</v>
      </c>
      <c r="N3894" s="74">
        <f t="shared" si="1"/>
        <v>104.3037518</v>
      </c>
      <c r="O3894" s="74" t="b">
        <v>1</v>
      </c>
    </row>
    <row r="3895" hidden="1">
      <c r="A3895" s="82"/>
      <c r="B3895" s="65" t="s">
        <v>467</v>
      </c>
      <c r="C3895" s="65" t="s">
        <v>101</v>
      </c>
      <c r="D3895" s="65" t="str">
        <f>vlookup(C3895,'Classificação p pessoal'!F:G,2,false)</f>
        <v>NP</v>
      </c>
      <c r="E3895" s="65" t="s">
        <v>2810</v>
      </c>
      <c r="F3895" s="83">
        <v>0.4375</v>
      </c>
      <c r="G3895" s="83">
        <v>0.5</v>
      </c>
      <c r="H3895" s="83">
        <v>0.0625</v>
      </c>
      <c r="I3895" s="84">
        <v>44209.0</v>
      </c>
      <c r="J3895" s="65" t="b">
        <v>1</v>
      </c>
      <c r="K3895" s="65"/>
      <c r="L3895" s="85" t="b">
        <f>IF(VLOOKUP(C3895,Projetos!A:L,12,false)=TRUE,TRUE,FALSE)</f>
        <v>1</v>
      </c>
      <c r="M3895" s="74">
        <v>52.1518759018759</v>
      </c>
      <c r="N3895" s="74">
        <f t="shared" si="1"/>
        <v>78.22781385</v>
      </c>
      <c r="O3895" s="74" t="b">
        <v>1</v>
      </c>
    </row>
    <row r="3896" hidden="1">
      <c r="A3896" s="82"/>
      <c r="B3896" s="65" t="s">
        <v>467</v>
      </c>
      <c r="C3896" s="65" t="s">
        <v>92</v>
      </c>
      <c r="D3896" s="65" t="str">
        <f>vlookup(C3896,'Classificação p pessoal'!F:G,2,false)</f>
        <v/>
      </c>
      <c r="E3896" s="65" t="s">
        <v>2811</v>
      </c>
      <c r="F3896" s="83">
        <v>0.3541666666666667</v>
      </c>
      <c r="G3896" s="83">
        <v>0.5833333333333334</v>
      </c>
      <c r="H3896" s="83">
        <v>0.22916666666666666</v>
      </c>
      <c r="I3896" s="84">
        <v>44210.0</v>
      </c>
      <c r="J3896" s="65" t="b">
        <v>1</v>
      </c>
      <c r="K3896" s="65"/>
      <c r="L3896" s="85" t="b">
        <f>IF(VLOOKUP(C3896,Projetos!A:L,12,false)=TRUE,TRUE,FALSE)</f>
        <v>1</v>
      </c>
      <c r="M3896" s="74">
        <v>52.1518759018759</v>
      </c>
      <c r="N3896" s="74">
        <f t="shared" si="1"/>
        <v>286.8353175</v>
      </c>
      <c r="O3896" s="74" t="b">
        <v>1</v>
      </c>
    </row>
    <row r="3897" hidden="1">
      <c r="A3897" s="82"/>
      <c r="B3897" s="65" t="s">
        <v>467</v>
      </c>
      <c r="C3897" s="65" t="s">
        <v>92</v>
      </c>
      <c r="D3897" s="65" t="str">
        <f>vlookup(C3897,'Classificação p pessoal'!F:G,2,false)</f>
        <v/>
      </c>
      <c r="E3897" s="65" t="s">
        <v>2812</v>
      </c>
      <c r="F3897" s="83">
        <v>0.6458333333333334</v>
      </c>
      <c r="G3897" s="83">
        <v>0.6875</v>
      </c>
      <c r="H3897" s="83">
        <v>0.041666666666666664</v>
      </c>
      <c r="I3897" s="84">
        <v>44215.0</v>
      </c>
      <c r="J3897" s="65" t="b">
        <v>1</v>
      </c>
      <c r="K3897" s="65"/>
      <c r="L3897" s="85" t="b">
        <f>IF(VLOOKUP(C3897,Projetos!A:L,12,false)=TRUE,TRUE,FALSE)</f>
        <v>1</v>
      </c>
      <c r="M3897" s="74">
        <v>52.1518759018759</v>
      </c>
      <c r="N3897" s="74">
        <f t="shared" si="1"/>
        <v>52.1518759</v>
      </c>
      <c r="O3897" s="74" t="b">
        <v>1</v>
      </c>
    </row>
    <row r="3898" hidden="1">
      <c r="A3898" s="82"/>
      <c r="B3898" s="65" t="s">
        <v>467</v>
      </c>
      <c r="C3898" s="65" t="s">
        <v>88</v>
      </c>
      <c r="D3898" s="65" t="str">
        <f>vlookup(C3898,'Classificação p pessoal'!F:G,2,false)</f>
        <v>MProduto</v>
      </c>
      <c r="E3898" s="65" t="s">
        <v>2813</v>
      </c>
      <c r="F3898" s="83">
        <v>0.5625</v>
      </c>
      <c r="G3898" s="83">
        <v>0.6736111111111112</v>
      </c>
      <c r="H3898" s="83">
        <v>0.1111111111111111</v>
      </c>
      <c r="I3898" s="84">
        <v>44218.0</v>
      </c>
      <c r="J3898" s="65" t="b">
        <v>1</v>
      </c>
      <c r="K3898" s="65"/>
      <c r="L3898" s="85" t="b">
        <f>IF(VLOOKUP(C3898,Projetos!A:L,12,false)=TRUE,TRUE,FALSE)</f>
        <v>1</v>
      </c>
      <c r="M3898" s="74">
        <v>52.1518759018759</v>
      </c>
      <c r="N3898" s="74">
        <f t="shared" si="1"/>
        <v>139.0716691</v>
      </c>
      <c r="O3898" s="74" t="b">
        <v>1</v>
      </c>
    </row>
    <row r="3899" hidden="1">
      <c r="A3899" s="82"/>
      <c r="B3899" s="65" t="s">
        <v>467</v>
      </c>
      <c r="C3899" s="65" t="s">
        <v>130</v>
      </c>
      <c r="D3899" s="65" t="str">
        <f>vlookup(C3899,'Classificação p pessoal'!F:G,2,false)</f>
        <v>NP</v>
      </c>
      <c r="E3899" s="65" t="s">
        <v>2814</v>
      </c>
      <c r="F3899" s="83">
        <v>0.4375</v>
      </c>
      <c r="G3899" s="83">
        <v>0.7083333333333334</v>
      </c>
      <c r="H3899" s="83">
        <v>0.2708333333333333</v>
      </c>
      <c r="I3899" s="84">
        <v>44211.0</v>
      </c>
      <c r="J3899" s="65" t="b">
        <v>1</v>
      </c>
      <c r="K3899" s="65"/>
      <c r="L3899" s="85" t="b">
        <f>IF(VLOOKUP(C3899,Projetos!A:L,12,false)=TRUE,TRUE,FALSE)</f>
        <v>1</v>
      </c>
      <c r="M3899" s="74">
        <v>52.1518759018759</v>
      </c>
      <c r="N3899" s="74">
        <f t="shared" si="1"/>
        <v>338.9871934</v>
      </c>
      <c r="O3899" s="74" t="b">
        <v>1</v>
      </c>
    </row>
    <row r="3900" hidden="1">
      <c r="A3900" s="82"/>
      <c r="B3900" s="65" t="s">
        <v>467</v>
      </c>
      <c r="C3900" s="65" t="s">
        <v>92</v>
      </c>
      <c r="D3900" s="65" t="str">
        <f>vlookup(C3900,'Classificação p pessoal'!F:G,2,false)</f>
        <v/>
      </c>
      <c r="E3900" s="65" t="s">
        <v>2815</v>
      </c>
      <c r="F3900" s="83">
        <v>0.3541666666666667</v>
      </c>
      <c r="G3900" s="83">
        <v>0.4375</v>
      </c>
      <c r="H3900" s="83">
        <v>0.08333333333333333</v>
      </c>
      <c r="I3900" s="84">
        <v>44221.0</v>
      </c>
      <c r="J3900" s="65" t="b">
        <v>1</v>
      </c>
      <c r="K3900" s="65"/>
      <c r="L3900" s="85" t="b">
        <f>IF(VLOOKUP(C3900,Projetos!A:L,12,false)=TRUE,TRUE,FALSE)</f>
        <v>1</v>
      </c>
      <c r="M3900" s="74">
        <v>52.1518759018759</v>
      </c>
      <c r="N3900" s="74">
        <f t="shared" si="1"/>
        <v>104.3037518</v>
      </c>
      <c r="O3900" s="74" t="b">
        <v>1</v>
      </c>
    </row>
    <row r="3901" hidden="1">
      <c r="A3901" s="82"/>
      <c r="B3901" s="65" t="s">
        <v>467</v>
      </c>
      <c r="C3901" s="65" t="s">
        <v>106</v>
      </c>
      <c r="D3901" s="65" t="str">
        <f>vlookup(C3901,'Classificação p pessoal'!F:G,2,false)</f>
        <v>MProcesso</v>
      </c>
      <c r="E3901" s="65" t="s">
        <v>800</v>
      </c>
      <c r="F3901" s="83">
        <v>0.4375</v>
      </c>
      <c r="G3901" s="83">
        <v>0.4791666666666667</v>
      </c>
      <c r="H3901" s="83">
        <v>0.041666666666666664</v>
      </c>
      <c r="I3901" s="84">
        <v>44221.0</v>
      </c>
      <c r="J3901" s="65" t="b">
        <v>1</v>
      </c>
      <c r="K3901" s="65"/>
      <c r="L3901" s="85" t="b">
        <f>IF(VLOOKUP(C3901,Projetos!A:L,12,false)=TRUE,TRUE,FALSE)</f>
        <v>1</v>
      </c>
      <c r="M3901" s="74">
        <v>52.1518759018759</v>
      </c>
      <c r="N3901" s="74">
        <f t="shared" si="1"/>
        <v>52.1518759</v>
      </c>
      <c r="O3901" s="74" t="b">
        <v>1</v>
      </c>
    </row>
    <row r="3902" hidden="1">
      <c r="A3902" s="82"/>
      <c r="B3902" s="65" t="s">
        <v>467</v>
      </c>
      <c r="C3902" s="65" t="s">
        <v>106</v>
      </c>
      <c r="D3902" s="65" t="str">
        <f>vlookup(C3902,'Classificação p pessoal'!F:G,2,false)</f>
        <v>MProcesso</v>
      </c>
      <c r="E3902" s="65" t="s">
        <v>2816</v>
      </c>
      <c r="F3902" s="83">
        <v>0.5416666666666666</v>
      </c>
      <c r="G3902" s="83">
        <v>0.7083333333333334</v>
      </c>
      <c r="H3902" s="83">
        <v>0.16666666666666666</v>
      </c>
      <c r="I3902" s="84">
        <v>44222.0</v>
      </c>
      <c r="J3902" s="65" t="b">
        <v>1</v>
      </c>
      <c r="K3902" s="65"/>
      <c r="L3902" s="85" t="b">
        <f>IF(VLOOKUP(C3902,Projetos!A:L,12,false)=TRUE,TRUE,FALSE)</f>
        <v>1</v>
      </c>
      <c r="M3902" s="74">
        <v>52.1518759018759</v>
      </c>
      <c r="N3902" s="74">
        <f t="shared" si="1"/>
        <v>208.6075036</v>
      </c>
      <c r="O3902" s="74" t="b">
        <v>1</v>
      </c>
    </row>
    <row r="3903" hidden="1">
      <c r="A3903" s="82"/>
      <c r="B3903" s="65" t="s">
        <v>467</v>
      </c>
      <c r="C3903" s="65" t="s">
        <v>92</v>
      </c>
      <c r="D3903" s="65" t="str">
        <f>vlookup(C3903,'Classificação p pessoal'!F:G,2,false)</f>
        <v/>
      </c>
      <c r="E3903" s="65" t="s">
        <v>2817</v>
      </c>
      <c r="F3903" s="83">
        <v>0.34375</v>
      </c>
      <c r="G3903" s="83">
        <v>0.5</v>
      </c>
      <c r="H3903" s="83">
        <v>0.15625</v>
      </c>
      <c r="I3903" s="84">
        <v>44222.0</v>
      </c>
      <c r="J3903" s="65" t="b">
        <v>1</v>
      </c>
      <c r="K3903" s="65"/>
      <c r="L3903" s="85" t="b">
        <f>IF(VLOOKUP(C3903,Projetos!A:L,12,false)=TRUE,TRUE,FALSE)</f>
        <v>1</v>
      </c>
      <c r="M3903" s="74">
        <v>52.1518759018759</v>
      </c>
      <c r="N3903" s="74">
        <f t="shared" si="1"/>
        <v>195.5695346</v>
      </c>
      <c r="O3903" s="74" t="b">
        <v>1</v>
      </c>
    </row>
    <row r="3904" hidden="1">
      <c r="A3904" s="82"/>
      <c r="B3904" s="65" t="s">
        <v>467</v>
      </c>
      <c r="C3904" s="65" t="s">
        <v>92</v>
      </c>
      <c r="D3904" s="65" t="str">
        <f>vlookup(C3904,'Classificação p pessoal'!F:G,2,false)</f>
        <v/>
      </c>
      <c r="E3904" s="65" t="s">
        <v>2818</v>
      </c>
      <c r="F3904" s="83">
        <v>0.5833333333333334</v>
      </c>
      <c r="G3904" s="83">
        <v>0.625</v>
      </c>
      <c r="H3904" s="83">
        <v>0.041666666666666664</v>
      </c>
      <c r="I3904" s="84">
        <v>44223.0</v>
      </c>
      <c r="J3904" s="65" t="b">
        <v>1</v>
      </c>
      <c r="K3904" s="65"/>
      <c r="L3904" s="85" t="b">
        <f>IF(VLOOKUP(C3904,Projetos!A:L,12,false)=TRUE,TRUE,FALSE)</f>
        <v>1</v>
      </c>
      <c r="M3904" s="74">
        <v>52.1518759018759</v>
      </c>
      <c r="N3904" s="74">
        <f t="shared" si="1"/>
        <v>52.1518759</v>
      </c>
      <c r="O3904" s="74" t="b">
        <v>1</v>
      </c>
    </row>
    <row r="3905" hidden="1">
      <c r="A3905" s="82"/>
      <c r="B3905" s="65" t="s">
        <v>467</v>
      </c>
      <c r="C3905" s="65" t="s">
        <v>88</v>
      </c>
      <c r="D3905" s="65" t="str">
        <f>vlookup(C3905,'Classificação p pessoal'!F:G,2,false)</f>
        <v>MProduto</v>
      </c>
      <c r="E3905" s="65" t="s">
        <v>2819</v>
      </c>
      <c r="F3905" s="83">
        <v>0.3541666666666667</v>
      </c>
      <c r="G3905" s="83">
        <v>0.3958333333333333</v>
      </c>
      <c r="H3905" s="83">
        <v>0.041666666666666664</v>
      </c>
      <c r="I3905" s="84">
        <v>44223.0</v>
      </c>
      <c r="J3905" s="65" t="b">
        <v>1</v>
      </c>
      <c r="K3905" s="65"/>
      <c r="L3905" s="85" t="b">
        <f>IF(VLOOKUP(C3905,Projetos!A:L,12,false)=TRUE,TRUE,FALSE)</f>
        <v>1</v>
      </c>
      <c r="M3905" s="74">
        <v>52.1518759018759</v>
      </c>
      <c r="N3905" s="74">
        <f t="shared" si="1"/>
        <v>52.1518759</v>
      </c>
      <c r="O3905" s="74" t="b">
        <v>1</v>
      </c>
    </row>
    <row r="3906" hidden="1">
      <c r="A3906" s="82"/>
      <c r="B3906" s="65" t="s">
        <v>467</v>
      </c>
      <c r="C3906" s="65" t="s">
        <v>92</v>
      </c>
      <c r="D3906" s="65" t="str">
        <f>vlookup(C3906,'Classificação p pessoal'!F:G,2,false)</f>
        <v/>
      </c>
      <c r="E3906" s="65" t="s">
        <v>2820</v>
      </c>
      <c r="F3906" s="83">
        <v>0.5833333333333334</v>
      </c>
      <c r="G3906" s="83">
        <v>0.6458333333333334</v>
      </c>
      <c r="H3906" s="83">
        <v>0.0625</v>
      </c>
      <c r="I3906" s="84">
        <v>44223.0</v>
      </c>
      <c r="J3906" s="65" t="b">
        <v>1</v>
      </c>
      <c r="K3906" s="65"/>
      <c r="L3906" s="85" t="b">
        <f>IF(VLOOKUP(C3906,Projetos!A:L,12,false)=TRUE,TRUE,FALSE)</f>
        <v>1</v>
      </c>
      <c r="M3906" s="74">
        <v>52.1518759018759</v>
      </c>
      <c r="N3906" s="74">
        <f t="shared" si="1"/>
        <v>78.22781385</v>
      </c>
      <c r="O3906" s="74" t="b">
        <v>1</v>
      </c>
    </row>
    <row r="3907" hidden="1">
      <c r="A3907" s="82"/>
      <c r="B3907" s="65" t="s">
        <v>467</v>
      </c>
      <c r="C3907" s="65" t="s">
        <v>92</v>
      </c>
      <c r="D3907" s="65" t="str">
        <f>vlookup(C3907,'Classificação p pessoal'!F:G,2,false)</f>
        <v/>
      </c>
      <c r="E3907" s="65" t="s">
        <v>2821</v>
      </c>
      <c r="F3907" s="83">
        <v>0.6458333333333334</v>
      </c>
      <c r="G3907" s="83">
        <v>0.75</v>
      </c>
      <c r="H3907" s="83">
        <v>0.10416666666666667</v>
      </c>
      <c r="I3907" s="84">
        <v>44223.0</v>
      </c>
      <c r="J3907" s="65" t="b">
        <v>1</v>
      </c>
      <c r="K3907" s="65"/>
      <c r="L3907" s="85" t="b">
        <f>IF(VLOOKUP(C3907,Projetos!A:L,12,false)=TRUE,TRUE,FALSE)</f>
        <v>1</v>
      </c>
      <c r="M3907" s="74">
        <v>52.1518759018759</v>
      </c>
      <c r="N3907" s="74">
        <f t="shared" si="1"/>
        <v>130.3796898</v>
      </c>
      <c r="O3907" s="74" t="b">
        <v>1</v>
      </c>
    </row>
    <row r="3908" hidden="1">
      <c r="A3908" s="82"/>
      <c r="B3908" s="65" t="s">
        <v>467</v>
      </c>
      <c r="C3908" s="65" t="s">
        <v>88</v>
      </c>
      <c r="D3908" s="65" t="str">
        <f>vlookup(C3908,'Classificação p pessoal'!F:G,2,false)</f>
        <v>MProduto</v>
      </c>
      <c r="E3908" s="65" t="s">
        <v>2822</v>
      </c>
      <c r="F3908" s="83">
        <v>0.4166666666666667</v>
      </c>
      <c r="G3908" s="83">
        <v>0.4583333333333333</v>
      </c>
      <c r="H3908" s="83">
        <v>0.041666666666666664</v>
      </c>
      <c r="I3908" s="84">
        <v>44224.0</v>
      </c>
      <c r="J3908" s="65" t="b">
        <v>1</v>
      </c>
      <c r="K3908" s="65"/>
      <c r="L3908" s="85" t="b">
        <f>IF(VLOOKUP(C3908,Projetos!A:L,12,false)=TRUE,TRUE,FALSE)</f>
        <v>1</v>
      </c>
      <c r="M3908" s="74">
        <v>52.1518759018759</v>
      </c>
      <c r="N3908" s="74">
        <f t="shared" si="1"/>
        <v>52.1518759</v>
      </c>
      <c r="O3908" s="74" t="b">
        <v>1</v>
      </c>
    </row>
    <row r="3909" hidden="1">
      <c r="A3909" s="82"/>
      <c r="B3909" s="65" t="s">
        <v>467</v>
      </c>
      <c r="C3909" s="65" t="s">
        <v>118</v>
      </c>
      <c r="D3909" s="65" t="str">
        <f>vlookup(C3909,'Classificação p pessoal'!F:G,2,false)</f>
        <v>MProduto</v>
      </c>
      <c r="E3909" s="65" t="s">
        <v>2823</v>
      </c>
      <c r="F3909" s="83">
        <v>0.4375</v>
      </c>
      <c r="G3909" s="83">
        <v>0.46875</v>
      </c>
      <c r="H3909" s="83">
        <v>0.03125</v>
      </c>
      <c r="I3909" s="84">
        <v>44225.0</v>
      </c>
      <c r="J3909" s="65" t="b">
        <v>1</v>
      </c>
      <c r="K3909" s="65"/>
      <c r="L3909" s="85" t="b">
        <f>IF(VLOOKUP(C3909,Projetos!A:L,12,false)=TRUE,TRUE,FALSE)</f>
        <v>1</v>
      </c>
      <c r="M3909" s="74">
        <v>52.1518759018759</v>
      </c>
      <c r="N3909" s="74">
        <f t="shared" si="1"/>
        <v>39.11390693</v>
      </c>
      <c r="O3909" s="74" t="b">
        <v>1</v>
      </c>
    </row>
    <row r="3910" hidden="1">
      <c r="A3910" s="82"/>
      <c r="B3910" s="65" t="s">
        <v>467</v>
      </c>
      <c r="C3910" s="65" t="s">
        <v>106</v>
      </c>
      <c r="D3910" s="65" t="str">
        <f>vlookup(C3910,'Classificação p pessoal'!F:G,2,false)</f>
        <v>MProcesso</v>
      </c>
      <c r="E3910" s="65" t="s">
        <v>2824</v>
      </c>
      <c r="F3910" s="83">
        <v>0.7083333333333334</v>
      </c>
      <c r="G3910" s="83">
        <v>0.75</v>
      </c>
      <c r="H3910" s="83">
        <v>0.041666666666666664</v>
      </c>
      <c r="I3910" s="84">
        <v>44225.0</v>
      </c>
      <c r="J3910" s="65" t="b">
        <v>1</v>
      </c>
      <c r="K3910" s="65"/>
      <c r="L3910" s="85" t="b">
        <f>IF(VLOOKUP(C3910,Projetos!A:L,12,false)=TRUE,TRUE,FALSE)</f>
        <v>1</v>
      </c>
      <c r="M3910" s="74">
        <v>52.1518759018759</v>
      </c>
      <c r="N3910" s="74">
        <f t="shared" si="1"/>
        <v>52.1518759</v>
      </c>
      <c r="O3910" s="74" t="b">
        <v>1</v>
      </c>
    </row>
    <row r="3911" hidden="1">
      <c r="A3911" s="82"/>
      <c r="B3911" s="65" t="s">
        <v>467</v>
      </c>
      <c r="C3911" s="65" t="s">
        <v>92</v>
      </c>
      <c r="D3911" s="65" t="str">
        <f>vlookup(C3911,'Classificação p pessoal'!F:G,2,false)</f>
        <v/>
      </c>
      <c r="E3911" s="65" t="s">
        <v>2825</v>
      </c>
      <c r="F3911" s="83">
        <v>0.5833333333333334</v>
      </c>
      <c r="G3911" s="83">
        <v>0.6875</v>
      </c>
      <c r="H3911" s="83">
        <v>0.10416666666666667</v>
      </c>
      <c r="I3911" s="84">
        <v>44225.0</v>
      </c>
      <c r="J3911" s="65" t="b">
        <v>1</v>
      </c>
      <c r="K3911" s="65"/>
      <c r="L3911" s="85" t="b">
        <f>IF(VLOOKUP(C3911,Projetos!A:L,12,false)=TRUE,TRUE,FALSE)</f>
        <v>1</v>
      </c>
      <c r="M3911" s="74">
        <v>52.1518759018759</v>
      </c>
      <c r="N3911" s="74">
        <f t="shared" si="1"/>
        <v>130.3796898</v>
      </c>
      <c r="O3911" s="74" t="b">
        <v>1</v>
      </c>
    </row>
    <row r="3912" hidden="1">
      <c r="A3912" s="82"/>
      <c r="B3912" s="65" t="s">
        <v>467</v>
      </c>
      <c r="C3912" s="65" t="s">
        <v>130</v>
      </c>
      <c r="D3912" s="65" t="str">
        <f>vlookup(C3912,'Classificação p pessoal'!F:G,2,false)</f>
        <v>NP</v>
      </c>
      <c r="E3912" s="65" t="s">
        <v>2826</v>
      </c>
      <c r="F3912" s="83">
        <v>0.4166666666666667</v>
      </c>
      <c r="G3912" s="83">
        <v>0.4583333333333333</v>
      </c>
      <c r="H3912" s="83">
        <v>0.041666666666666664</v>
      </c>
      <c r="I3912" s="84">
        <v>44228.0</v>
      </c>
      <c r="J3912" s="65" t="b">
        <v>1</v>
      </c>
      <c r="K3912" s="65"/>
      <c r="L3912" s="85" t="b">
        <f>IF(VLOOKUP(C3912,Projetos!A:L,12,false)=TRUE,TRUE,FALSE)</f>
        <v>1</v>
      </c>
      <c r="M3912" s="74">
        <v>52.1518759018759</v>
      </c>
      <c r="N3912" s="74">
        <f t="shared" si="1"/>
        <v>52.1518759</v>
      </c>
      <c r="O3912" s="74" t="b">
        <v>1</v>
      </c>
    </row>
    <row r="3913" hidden="1">
      <c r="A3913" s="82"/>
      <c r="B3913" s="65" t="s">
        <v>467</v>
      </c>
      <c r="C3913" s="65" t="s">
        <v>106</v>
      </c>
      <c r="D3913" s="65" t="str">
        <f>vlookup(C3913,'Classificação p pessoal'!F:G,2,false)</f>
        <v>MProcesso</v>
      </c>
      <c r="E3913" s="65" t="s">
        <v>2827</v>
      </c>
      <c r="F3913" s="83">
        <v>0.4791666666666667</v>
      </c>
      <c r="G3913" s="83">
        <v>0.5208333333333334</v>
      </c>
      <c r="H3913" s="83">
        <v>0.041666666666666664</v>
      </c>
      <c r="I3913" s="84">
        <v>44229.0</v>
      </c>
      <c r="J3913" s="65" t="b">
        <v>1</v>
      </c>
      <c r="K3913" s="65"/>
      <c r="L3913" s="85" t="b">
        <f>IF(VLOOKUP(C3913,Projetos!A:L,12,false)=TRUE,TRUE,FALSE)</f>
        <v>1</v>
      </c>
      <c r="M3913" s="74">
        <v>52.1518759018759</v>
      </c>
      <c r="N3913" s="74">
        <f t="shared" si="1"/>
        <v>52.1518759</v>
      </c>
      <c r="O3913" s="74" t="b">
        <v>1</v>
      </c>
    </row>
    <row r="3914" hidden="1">
      <c r="A3914" s="82"/>
      <c r="B3914" s="65" t="s">
        <v>467</v>
      </c>
      <c r="C3914" s="65" t="s">
        <v>92</v>
      </c>
      <c r="D3914" s="65" t="str">
        <f>vlookup(C3914,'Classificação p pessoal'!F:G,2,false)</f>
        <v/>
      </c>
      <c r="E3914" s="65" t="s">
        <v>2828</v>
      </c>
      <c r="F3914" s="83">
        <v>0.5833333333333334</v>
      </c>
      <c r="G3914" s="83">
        <v>0.6666666666666666</v>
      </c>
      <c r="H3914" s="83">
        <v>0.08333333333333333</v>
      </c>
      <c r="I3914" s="84">
        <v>44230.0</v>
      </c>
      <c r="J3914" s="65" t="b">
        <v>1</v>
      </c>
      <c r="K3914" s="65"/>
      <c r="L3914" s="85" t="b">
        <f>IF(VLOOKUP(C3914,Projetos!A:L,12,false)=TRUE,TRUE,FALSE)</f>
        <v>1</v>
      </c>
      <c r="M3914" s="74">
        <v>52.1518759018759</v>
      </c>
      <c r="N3914" s="74">
        <f t="shared" si="1"/>
        <v>104.3037518</v>
      </c>
      <c r="O3914" s="74" t="b">
        <v>1</v>
      </c>
    </row>
    <row r="3915" hidden="1">
      <c r="A3915" s="82"/>
      <c r="B3915" s="65" t="s">
        <v>469</v>
      </c>
      <c r="C3915" s="65" t="s">
        <v>106</v>
      </c>
      <c r="D3915" s="65"/>
      <c r="E3915" s="65" t="s">
        <v>2829</v>
      </c>
      <c r="F3915" s="83">
        <v>0.34375</v>
      </c>
      <c r="G3915" s="83">
        <v>0.75</v>
      </c>
      <c r="H3915" s="83">
        <v>0.40625</v>
      </c>
      <c r="I3915" s="84">
        <v>44337.0</v>
      </c>
      <c r="J3915" s="65" t="b">
        <v>0</v>
      </c>
      <c r="K3915" s="65"/>
      <c r="L3915" s="85" t="b">
        <f>IF(VLOOKUP(C3915,Projetos!A:L,12,false)=TRUE,TRUE,FALSE)</f>
        <v>1</v>
      </c>
      <c r="M3915" s="74">
        <v>37.50928062469937</v>
      </c>
      <c r="N3915" s="74">
        <f t="shared" si="1"/>
        <v>0</v>
      </c>
      <c r="O3915" s="74" t="b">
        <v>1</v>
      </c>
    </row>
    <row r="3916" hidden="1">
      <c r="A3916" s="82"/>
      <c r="B3916" s="65" t="s">
        <v>467</v>
      </c>
      <c r="C3916" s="65" t="s">
        <v>113</v>
      </c>
      <c r="D3916" s="65" t="str">
        <f>vlookup(C3916,'Classificação p pessoal'!F:G,2,false)</f>
        <v>NP</v>
      </c>
      <c r="E3916" s="65" t="s">
        <v>2830</v>
      </c>
      <c r="F3916" s="83">
        <v>0.5416666666666666</v>
      </c>
      <c r="G3916" s="83">
        <v>0.5625</v>
      </c>
      <c r="H3916" s="83">
        <v>0.020833333333333332</v>
      </c>
      <c r="I3916" s="84">
        <v>44230.0</v>
      </c>
      <c r="J3916" s="65" t="b">
        <v>1</v>
      </c>
      <c r="K3916" s="65"/>
      <c r="L3916" s="85" t="b">
        <f>IF(VLOOKUP(C3916,Projetos!A:L,12,false)=TRUE,TRUE,FALSE)</f>
        <v>1</v>
      </c>
      <c r="M3916" s="74">
        <v>52.1518759018759</v>
      </c>
      <c r="N3916" s="74">
        <f t="shared" si="1"/>
        <v>26.07593795</v>
      </c>
      <c r="O3916" s="74" t="b">
        <v>1</v>
      </c>
    </row>
    <row r="3917" hidden="1">
      <c r="A3917" s="82"/>
      <c r="B3917" s="65" t="s">
        <v>467</v>
      </c>
      <c r="C3917" s="65" t="s">
        <v>92</v>
      </c>
      <c r="D3917" s="65" t="str">
        <f>vlookup(C3917,'Classificação p pessoal'!F:G,2,false)</f>
        <v/>
      </c>
      <c r="E3917" s="65" t="s">
        <v>2831</v>
      </c>
      <c r="F3917" s="83">
        <v>0.34375</v>
      </c>
      <c r="G3917" s="83">
        <v>0.4583333333333333</v>
      </c>
      <c r="H3917" s="83">
        <v>0.11458333333333333</v>
      </c>
      <c r="I3917" s="84">
        <v>44231.0</v>
      </c>
      <c r="J3917" s="65" t="b">
        <v>1</v>
      </c>
      <c r="K3917" s="65"/>
      <c r="L3917" s="85" t="b">
        <f>IF(VLOOKUP(C3917,Projetos!A:L,12,false)=TRUE,TRUE,FALSE)</f>
        <v>1</v>
      </c>
      <c r="M3917" s="74">
        <v>52.1518759018759</v>
      </c>
      <c r="N3917" s="74">
        <f t="shared" si="1"/>
        <v>143.4176587</v>
      </c>
      <c r="O3917" s="74" t="b">
        <v>1</v>
      </c>
    </row>
    <row r="3918" hidden="1">
      <c r="A3918" s="82"/>
      <c r="B3918" s="65" t="s">
        <v>467</v>
      </c>
      <c r="C3918" s="65" t="s">
        <v>92</v>
      </c>
      <c r="D3918" s="65" t="str">
        <f>vlookup(C3918,'Classificação p pessoal'!F:G,2,false)</f>
        <v/>
      </c>
      <c r="E3918" s="65" t="s">
        <v>2832</v>
      </c>
      <c r="F3918" s="83">
        <v>0.5416666666666666</v>
      </c>
      <c r="G3918" s="83">
        <v>0.6180555555555556</v>
      </c>
      <c r="H3918" s="83">
        <v>0.0763888888888889</v>
      </c>
      <c r="I3918" s="84">
        <v>44231.0</v>
      </c>
      <c r="J3918" s="65" t="b">
        <v>1</v>
      </c>
      <c r="K3918" s="65"/>
      <c r="L3918" s="85" t="b">
        <f>IF(VLOOKUP(C3918,Projetos!A:L,12,false)=TRUE,TRUE,FALSE)</f>
        <v>1</v>
      </c>
      <c r="M3918" s="74">
        <v>52.1518759018759</v>
      </c>
      <c r="N3918" s="74">
        <f t="shared" si="1"/>
        <v>95.61177249</v>
      </c>
      <c r="O3918" s="74" t="b">
        <v>1</v>
      </c>
    </row>
    <row r="3919" hidden="1">
      <c r="A3919" s="82"/>
      <c r="B3919" s="65" t="s">
        <v>467</v>
      </c>
      <c r="C3919" s="65" t="s">
        <v>92</v>
      </c>
      <c r="D3919" s="65" t="str">
        <f>vlookup(C3919,'Classificação p pessoal'!F:G,2,false)</f>
        <v/>
      </c>
      <c r="E3919" s="65" t="s">
        <v>2833</v>
      </c>
      <c r="F3919" s="83">
        <v>0.625</v>
      </c>
      <c r="G3919" s="83">
        <v>0.6875</v>
      </c>
      <c r="H3919" s="83">
        <v>0.0625</v>
      </c>
      <c r="I3919" s="84">
        <v>44231.0</v>
      </c>
      <c r="J3919" s="65" t="b">
        <v>1</v>
      </c>
      <c r="K3919" s="65"/>
      <c r="L3919" s="85" t="b">
        <f>IF(VLOOKUP(C3919,Projetos!A:L,12,false)=TRUE,TRUE,FALSE)</f>
        <v>1</v>
      </c>
      <c r="M3919" s="74">
        <v>52.1518759018759</v>
      </c>
      <c r="N3919" s="74">
        <f t="shared" si="1"/>
        <v>78.22781385</v>
      </c>
      <c r="O3919" s="74" t="b">
        <v>1</v>
      </c>
    </row>
    <row r="3920" hidden="1">
      <c r="A3920" s="82"/>
      <c r="B3920" s="65" t="s">
        <v>467</v>
      </c>
      <c r="C3920" s="65" t="s">
        <v>92</v>
      </c>
      <c r="D3920" s="65" t="str">
        <f>vlookup(C3920,'Classificação p pessoal'!F:G,2,false)</f>
        <v/>
      </c>
      <c r="E3920" s="65" t="s">
        <v>2834</v>
      </c>
      <c r="F3920" s="83">
        <v>0.34375</v>
      </c>
      <c r="G3920" s="83">
        <v>0.5416666666666666</v>
      </c>
      <c r="H3920" s="83">
        <v>0.19791666666666666</v>
      </c>
      <c r="I3920" s="84">
        <v>44232.0</v>
      </c>
      <c r="J3920" s="65" t="b">
        <v>1</v>
      </c>
      <c r="K3920" s="65"/>
      <c r="L3920" s="85" t="b">
        <f>IF(VLOOKUP(C3920,Projetos!A:L,12,false)=TRUE,TRUE,FALSE)</f>
        <v>1</v>
      </c>
      <c r="M3920" s="74">
        <v>52.1518759018759</v>
      </c>
      <c r="N3920" s="74">
        <f t="shared" si="1"/>
        <v>247.7214105</v>
      </c>
      <c r="O3920" s="74" t="b">
        <v>1</v>
      </c>
    </row>
    <row r="3921" hidden="1">
      <c r="A3921" s="82"/>
      <c r="B3921" s="65" t="s">
        <v>469</v>
      </c>
      <c r="C3921" s="65" t="s">
        <v>106</v>
      </c>
      <c r="D3921" s="65"/>
      <c r="E3921" s="65" t="s">
        <v>2829</v>
      </c>
      <c r="F3921" s="83">
        <v>0.34375</v>
      </c>
      <c r="G3921" s="83">
        <v>0.75</v>
      </c>
      <c r="H3921" s="83">
        <v>0.40625</v>
      </c>
      <c r="I3921" s="84">
        <v>44337.0</v>
      </c>
      <c r="J3921" s="65" t="b">
        <v>0</v>
      </c>
      <c r="K3921" s="65"/>
      <c r="L3921" s="85" t="b">
        <f>IF(VLOOKUP(C3921,Projetos!A:L,12,false)=TRUE,TRUE,FALSE)</f>
        <v>1</v>
      </c>
      <c r="M3921" s="74">
        <v>37.50928062469937</v>
      </c>
      <c r="N3921" s="74">
        <f t="shared" si="1"/>
        <v>0</v>
      </c>
      <c r="O3921" s="74" t="b">
        <v>1</v>
      </c>
    </row>
    <row r="3922" hidden="1">
      <c r="A3922" s="82"/>
      <c r="B3922" s="65" t="s">
        <v>467</v>
      </c>
      <c r="C3922" s="65" t="s">
        <v>92</v>
      </c>
      <c r="D3922" s="65" t="str">
        <f>vlookup(C3922,'Classificação p pessoal'!F:G,2,false)</f>
        <v/>
      </c>
      <c r="E3922" s="65" t="s">
        <v>2835</v>
      </c>
      <c r="F3922" s="83">
        <v>0.3333333333333333</v>
      </c>
      <c r="G3922" s="83">
        <v>0.5</v>
      </c>
      <c r="H3922" s="83">
        <v>0.16666666666666666</v>
      </c>
      <c r="I3922" s="84">
        <v>44236.0</v>
      </c>
      <c r="J3922" s="65" t="b">
        <v>1</v>
      </c>
      <c r="K3922" s="65"/>
      <c r="L3922" s="85" t="b">
        <f>IF(VLOOKUP(C3922,Projetos!A:L,12,false)=TRUE,TRUE,FALSE)</f>
        <v>1</v>
      </c>
      <c r="M3922" s="74">
        <v>52.1518759018759</v>
      </c>
      <c r="N3922" s="74">
        <f t="shared" si="1"/>
        <v>208.6075036</v>
      </c>
      <c r="O3922" s="74" t="b">
        <v>1</v>
      </c>
    </row>
    <row r="3923" hidden="1">
      <c r="A3923" s="82"/>
      <c r="B3923" s="65" t="s">
        <v>467</v>
      </c>
      <c r="C3923" s="65" t="s">
        <v>92</v>
      </c>
      <c r="D3923" s="65" t="str">
        <f>vlookup(C3923,'Classificação p pessoal'!F:G,2,false)</f>
        <v/>
      </c>
      <c r="E3923" s="65" t="s">
        <v>2836</v>
      </c>
      <c r="F3923" s="83">
        <v>0.5416666666666666</v>
      </c>
      <c r="G3923" s="83">
        <v>0.625</v>
      </c>
      <c r="H3923" s="83">
        <v>0.08333333333333333</v>
      </c>
      <c r="I3923" s="84">
        <v>44236.0</v>
      </c>
      <c r="J3923" s="65" t="b">
        <v>1</v>
      </c>
      <c r="K3923" s="65"/>
      <c r="L3923" s="85" t="b">
        <f>IF(VLOOKUP(C3923,Projetos!A:L,12,false)=TRUE,TRUE,FALSE)</f>
        <v>1</v>
      </c>
      <c r="M3923" s="74">
        <v>52.1518759018759</v>
      </c>
      <c r="N3923" s="74">
        <f t="shared" si="1"/>
        <v>104.3037518</v>
      </c>
      <c r="O3923" s="74" t="b">
        <v>1</v>
      </c>
    </row>
    <row r="3924" hidden="1">
      <c r="A3924" s="82"/>
      <c r="B3924" s="65" t="s">
        <v>411</v>
      </c>
      <c r="C3924" s="65" t="s">
        <v>125</v>
      </c>
      <c r="D3924" s="65"/>
      <c r="E3924" s="65" t="s">
        <v>2837</v>
      </c>
      <c r="F3924" s="83">
        <v>0.6875</v>
      </c>
      <c r="G3924" s="83">
        <v>0.7083333333333334</v>
      </c>
      <c r="H3924" s="83">
        <v>0.020833333333333332</v>
      </c>
      <c r="I3924" s="84">
        <v>44448.0</v>
      </c>
      <c r="J3924" s="65" t="b">
        <v>0</v>
      </c>
      <c r="K3924" s="65" t="s">
        <v>150</v>
      </c>
      <c r="L3924" s="85" t="b">
        <f>IF(VLOOKUP(C3924,Projetos!A:L,12,false)=TRUE,TRUE,FALSE)</f>
        <v>1</v>
      </c>
      <c r="M3924" s="74">
        <v>52.48434411075036</v>
      </c>
      <c r="N3924" s="74">
        <f t="shared" si="1"/>
        <v>0</v>
      </c>
      <c r="O3924" s="74" t="b">
        <v>1</v>
      </c>
    </row>
    <row r="3925" hidden="1">
      <c r="A3925" s="82"/>
      <c r="B3925" s="65" t="s">
        <v>467</v>
      </c>
      <c r="C3925" s="65" t="s">
        <v>101</v>
      </c>
      <c r="D3925" s="65" t="str">
        <f>vlookup(C3925,'Classificação p pessoal'!F:G,2,false)</f>
        <v>NP</v>
      </c>
      <c r="E3925" s="65" t="s">
        <v>2838</v>
      </c>
      <c r="F3925" s="83">
        <v>0.6875</v>
      </c>
      <c r="G3925" s="83">
        <v>0.7291666666666666</v>
      </c>
      <c r="H3925" s="83">
        <v>0.041666666666666664</v>
      </c>
      <c r="I3925" s="84">
        <v>44236.0</v>
      </c>
      <c r="J3925" s="65" t="b">
        <v>1</v>
      </c>
      <c r="K3925" s="65"/>
      <c r="L3925" s="85" t="b">
        <f>IF(VLOOKUP(C3925,Projetos!A:L,12,false)=TRUE,TRUE,FALSE)</f>
        <v>1</v>
      </c>
      <c r="M3925" s="74">
        <v>52.1518759018759</v>
      </c>
      <c r="N3925" s="74">
        <f t="shared" si="1"/>
        <v>52.1518759</v>
      </c>
      <c r="O3925" s="74" t="b">
        <v>1</v>
      </c>
    </row>
    <row r="3926" hidden="1">
      <c r="A3926" s="82"/>
      <c r="B3926" s="65" t="s">
        <v>467</v>
      </c>
      <c r="C3926" s="65" t="s">
        <v>92</v>
      </c>
      <c r="D3926" s="65" t="str">
        <f>vlookup(C3926,'Classificação p pessoal'!F:G,2,false)</f>
        <v/>
      </c>
      <c r="E3926" s="65" t="s">
        <v>2839</v>
      </c>
      <c r="F3926" s="83">
        <v>0.3541666666666667</v>
      </c>
      <c r="G3926" s="83">
        <v>0.5</v>
      </c>
      <c r="H3926" s="83">
        <v>0.14583333333333334</v>
      </c>
      <c r="I3926" s="84">
        <v>44237.0</v>
      </c>
      <c r="J3926" s="65" t="b">
        <v>1</v>
      </c>
      <c r="K3926" s="65"/>
      <c r="L3926" s="85" t="b">
        <f>IF(VLOOKUP(C3926,Projetos!A:L,12,false)=TRUE,TRUE,FALSE)</f>
        <v>1</v>
      </c>
      <c r="M3926" s="74">
        <v>52.1518759018759</v>
      </c>
      <c r="N3926" s="74">
        <f t="shared" si="1"/>
        <v>182.5315657</v>
      </c>
      <c r="O3926" s="74" t="b">
        <v>1</v>
      </c>
    </row>
    <row r="3927" hidden="1">
      <c r="A3927" s="82"/>
      <c r="B3927" s="65" t="s">
        <v>467</v>
      </c>
      <c r="C3927" s="65" t="s">
        <v>92</v>
      </c>
      <c r="D3927" s="65" t="str">
        <f>vlookup(C3927,'Classificação p pessoal'!F:G,2,false)</f>
        <v/>
      </c>
      <c r="E3927" s="65" t="s">
        <v>2840</v>
      </c>
      <c r="F3927" s="83">
        <v>0.5416666666666666</v>
      </c>
      <c r="G3927" s="83">
        <v>0.7083333333333334</v>
      </c>
      <c r="H3927" s="83">
        <v>0.16666666666666666</v>
      </c>
      <c r="I3927" s="84">
        <v>44239.0</v>
      </c>
      <c r="J3927" s="65" t="b">
        <v>1</v>
      </c>
      <c r="K3927" s="65"/>
      <c r="L3927" s="85" t="b">
        <f>IF(VLOOKUP(C3927,Projetos!A:L,12,false)=TRUE,TRUE,FALSE)</f>
        <v>1</v>
      </c>
      <c r="M3927" s="74">
        <v>52.1518759018759</v>
      </c>
      <c r="N3927" s="74">
        <f t="shared" si="1"/>
        <v>208.6075036</v>
      </c>
      <c r="O3927" s="74" t="b">
        <v>1</v>
      </c>
    </row>
    <row r="3928" hidden="1">
      <c r="A3928" s="82"/>
      <c r="B3928" s="65" t="s">
        <v>467</v>
      </c>
      <c r="C3928" s="65" t="s">
        <v>92</v>
      </c>
      <c r="D3928" s="65" t="str">
        <f>vlookup(C3928,'Classificação p pessoal'!F:G,2,false)</f>
        <v/>
      </c>
      <c r="E3928" s="65" t="s">
        <v>2841</v>
      </c>
      <c r="F3928" s="83">
        <v>0.5416666666666666</v>
      </c>
      <c r="G3928" s="83">
        <v>0.75</v>
      </c>
      <c r="H3928" s="83">
        <v>0.20833333333333334</v>
      </c>
      <c r="I3928" s="84">
        <v>44244.0</v>
      </c>
      <c r="J3928" s="65" t="b">
        <v>1</v>
      </c>
      <c r="K3928" s="65"/>
      <c r="L3928" s="85" t="b">
        <f>IF(VLOOKUP(C3928,Projetos!A:L,12,false)=TRUE,TRUE,FALSE)</f>
        <v>1</v>
      </c>
      <c r="M3928" s="74">
        <v>52.1518759018759</v>
      </c>
      <c r="N3928" s="74">
        <f t="shared" si="1"/>
        <v>260.7593795</v>
      </c>
      <c r="O3928" s="74" t="b">
        <v>1</v>
      </c>
    </row>
    <row r="3929" hidden="1">
      <c r="A3929" s="82"/>
      <c r="B3929" s="65" t="s">
        <v>467</v>
      </c>
      <c r="C3929" s="65" t="s">
        <v>92</v>
      </c>
      <c r="D3929" s="65" t="str">
        <f>vlookup(C3929,'Classificação p pessoal'!F:G,2,false)</f>
        <v/>
      </c>
      <c r="E3929" s="65" t="s">
        <v>2842</v>
      </c>
      <c r="F3929" s="83">
        <v>0.3541666666666667</v>
      </c>
      <c r="G3929" s="83">
        <v>0.5</v>
      </c>
      <c r="H3929" s="83">
        <v>0.14583333333333334</v>
      </c>
      <c r="I3929" s="84">
        <v>44245.0</v>
      </c>
      <c r="J3929" s="65" t="b">
        <v>1</v>
      </c>
      <c r="K3929" s="65"/>
      <c r="L3929" s="85" t="b">
        <f>IF(VLOOKUP(C3929,Projetos!A:L,12,false)=TRUE,TRUE,FALSE)</f>
        <v>1</v>
      </c>
      <c r="M3929" s="74">
        <v>52.1518759018759</v>
      </c>
      <c r="N3929" s="74">
        <f t="shared" si="1"/>
        <v>182.5315657</v>
      </c>
      <c r="O3929" s="74" t="b">
        <v>1</v>
      </c>
    </row>
    <row r="3930" hidden="1">
      <c r="A3930" s="82"/>
      <c r="B3930" s="65" t="s">
        <v>467</v>
      </c>
      <c r="C3930" s="65" t="s">
        <v>130</v>
      </c>
      <c r="D3930" s="65" t="str">
        <f>vlookup(C3930,'Classificação p pessoal'!F:G,2,false)</f>
        <v>NP</v>
      </c>
      <c r="E3930" s="65" t="s">
        <v>2843</v>
      </c>
      <c r="F3930" s="83">
        <v>0.4166666666666667</v>
      </c>
      <c r="G3930" s="83">
        <v>0.4791666666666667</v>
      </c>
      <c r="H3930" s="83">
        <v>0.0625</v>
      </c>
      <c r="I3930" s="84">
        <v>44249.0</v>
      </c>
      <c r="J3930" s="65" t="b">
        <v>1</v>
      </c>
      <c r="K3930" s="65"/>
      <c r="L3930" s="85" t="b">
        <f>IF(VLOOKUP(C3930,Projetos!A:L,12,false)=TRUE,TRUE,FALSE)</f>
        <v>1</v>
      </c>
      <c r="M3930" s="74">
        <v>52.1518759018759</v>
      </c>
      <c r="N3930" s="74">
        <f t="shared" si="1"/>
        <v>78.22781385</v>
      </c>
      <c r="O3930" s="74" t="b">
        <v>1</v>
      </c>
    </row>
    <row r="3931" hidden="1">
      <c r="A3931" s="82"/>
      <c r="B3931" s="65" t="s">
        <v>467</v>
      </c>
      <c r="C3931" s="65" t="s">
        <v>130</v>
      </c>
      <c r="D3931" s="65" t="str">
        <f>vlookup(C3931,'Classificação p pessoal'!F:G,2,false)</f>
        <v>NP</v>
      </c>
      <c r="E3931" s="65" t="s">
        <v>2844</v>
      </c>
      <c r="F3931" s="83">
        <v>0.6666666666666666</v>
      </c>
      <c r="G3931" s="83">
        <v>0.7291666666666666</v>
      </c>
      <c r="H3931" s="83">
        <v>0.0625</v>
      </c>
      <c r="I3931" s="84">
        <v>44249.0</v>
      </c>
      <c r="J3931" s="65" t="b">
        <v>1</v>
      </c>
      <c r="K3931" s="65"/>
      <c r="L3931" s="85" t="b">
        <f>IF(VLOOKUP(C3931,Projetos!A:L,12,false)=TRUE,TRUE,FALSE)</f>
        <v>1</v>
      </c>
      <c r="M3931" s="74">
        <v>52.1518759018759</v>
      </c>
      <c r="N3931" s="74">
        <f t="shared" si="1"/>
        <v>78.22781385</v>
      </c>
      <c r="O3931" s="74" t="b">
        <v>1</v>
      </c>
    </row>
    <row r="3932" hidden="1">
      <c r="A3932" s="82"/>
      <c r="B3932" s="65" t="s">
        <v>467</v>
      </c>
      <c r="C3932" s="65" t="s">
        <v>92</v>
      </c>
      <c r="D3932" s="65" t="str">
        <f>vlookup(C3932,'Classificação p pessoal'!F:G,2,false)</f>
        <v/>
      </c>
      <c r="E3932" s="65" t="s">
        <v>2845</v>
      </c>
      <c r="F3932" s="83">
        <v>0.4166666666666667</v>
      </c>
      <c r="G3932" s="83">
        <v>0.5</v>
      </c>
      <c r="H3932" s="83">
        <v>0.08333333333333333</v>
      </c>
      <c r="I3932" s="84">
        <v>44251.0</v>
      </c>
      <c r="J3932" s="65" t="b">
        <v>1</v>
      </c>
      <c r="K3932" s="65"/>
      <c r="L3932" s="85" t="b">
        <f>IF(VLOOKUP(C3932,Projetos!A:L,12,false)=TRUE,TRUE,FALSE)</f>
        <v>1</v>
      </c>
      <c r="M3932" s="74">
        <v>52.1518759018759</v>
      </c>
      <c r="N3932" s="74">
        <f t="shared" si="1"/>
        <v>104.3037518</v>
      </c>
      <c r="O3932" s="74" t="b">
        <v>1</v>
      </c>
    </row>
    <row r="3933" hidden="1">
      <c r="A3933" s="82"/>
      <c r="B3933" s="65" t="s">
        <v>467</v>
      </c>
      <c r="C3933" s="65" t="s">
        <v>92</v>
      </c>
      <c r="D3933" s="65" t="str">
        <f>vlookup(C3933,'Classificação p pessoal'!F:G,2,false)</f>
        <v/>
      </c>
      <c r="E3933" s="65" t="s">
        <v>2846</v>
      </c>
      <c r="F3933" s="83">
        <v>0.5416666666666666</v>
      </c>
      <c r="G3933" s="83">
        <v>0.625</v>
      </c>
      <c r="H3933" s="83">
        <v>0.08333333333333333</v>
      </c>
      <c r="I3933" s="84">
        <v>44251.0</v>
      </c>
      <c r="J3933" s="65" t="b">
        <v>1</v>
      </c>
      <c r="K3933" s="65"/>
      <c r="L3933" s="85" t="b">
        <f>IF(VLOOKUP(C3933,Projetos!A:L,12,false)=TRUE,TRUE,FALSE)</f>
        <v>1</v>
      </c>
      <c r="M3933" s="74">
        <v>52.1518759018759</v>
      </c>
      <c r="N3933" s="74">
        <f t="shared" si="1"/>
        <v>104.3037518</v>
      </c>
      <c r="O3933" s="74" t="b">
        <v>1</v>
      </c>
    </row>
    <row r="3934" hidden="1">
      <c r="A3934" s="82"/>
      <c r="B3934" s="65" t="s">
        <v>467</v>
      </c>
      <c r="C3934" s="65" t="s">
        <v>92</v>
      </c>
      <c r="D3934" s="65" t="str">
        <f>vlookup(C3934,'Classificação p pessoal'!F:G,2,false)</f>
        <v/>
      </c>
      <c r="E3934" s="65" t="s">
        <v>2847</v>
      </c>
      <c r="F3934" s="83">
        <v>0.3541666666666667</v>
      </c>
      <c r="G3934" s="83">
        <v>0.4791666666666667</v>
      </c>
      <c r="H3934" s="83">
        <v>0.125</v>
      </c>
      <c r="I3934" s="84">
        <v>44252.0</v>
      </c>
      <c r="J3934" s="65" t="b">
        <v>1</v>
      </c>
      <c r="K3934" s="65"/>
      <c r="L3934" s="85" t="b">
        <f>IF(VLOOKUP(C3934,Projetos!A:L,12,false)=TRUE,TRUE,FALSE)</f>
        <v>1</v>
      </c>
      <c r="M3934" s="74">
        <v>52.1518759018759</v>
      </c>
      <c r="N3934" s="74">
        <f t="shared" si="1"/>
        <v>156.4556277</v>
      </c>
      <c r="O3934" s="74" t="b">
        <v>1</v>
      </c>
    </row>
    <row r="3935" hidden="1">
      <c r="A3935" s="82"/>
      <c r="B3935" s="65" t="s">
        <v>467</v>
      </c>
      <c r="C3935" s="65" t="s">
        <v>92</v>
      </c>
      <c r="D3935" s="65" t="str">
        <f>vlookup(C3935,'Classificação p pessoal'!F:G,2,false)</f>
        <v/>
      </c>
      <c r="E3935" s="65" t="s">
        <v>2848</v>
      </c>
      <c r="F3935" s="83">
        <v>0.4166666666666667</v>
      </c>
      <c r="G3935" s="83">
        <v>0.4791666666666667</v>
      </c>
      <c r="H3935" s="83">
        <v>0.0625</v>
      </c>
      <c r="I3935" s="84">
        <v>44253.0</v>
      </c>
      <c r="J3935" s="65" t="b">
        <v>1</v>
      </c>
      <c r="K3935" s="65"/>
      <c r="L3935" s="85" t="b">
        <f>IF(VLOOKUP(C3935,Projetos!A:L,12,false)=TRUE,TRUE,FALSE)</f>
        <v>1</v>
      </c>
      <c r="M3935" s="74">
        <v>52.1518759018759</v>
      </c>
      <c r="N3935" s="74">
        <f t="shared" si="1"/>
        <v>78.22781385</v>
      </c>
      <c r="O3935" s="74" t="b">
        <v>1</v>
      </c>
    </row>
    <row r="3936" hidden="1">
      <c r="A3936" s="82"/>
      <c r="B3936" s="65" t="s">
        <v>467</v>
      </c>
      <c r="C3936" s="65" t="s">
        <v>92</v>
      </c>
      <c r="D3936" s="65" t="str">
        <f>vlookup(C3936,'Classificação p pessoal'!F:G,2,false)</f>
        <v/>
      </c>
      <c r="E3936" s="65" t="s">
        <v>2849</v>
      </c>
      <c r="F3936" s="83">
        <v>0.6666666666666666</v>
      </c>
      <c r="G3936" s="83">
        <v>0.71875</v>
      </c>
      <c r="H3936" s="83">
        <v>0.052083333333333336</v>
      </c>
      <c r="I3936" s="84">
        <v>44253.0</v>
      </c>
      <c r="J3936" s="65" t="b">
        <v>1</v>
      </c>
      <c r="K3936" s="65"/>
      <c r="L3936" s="85" t="b">
        <f>IF(VLOOKUP(C3936,Projetos!A:L,12,false)=TRUE,TRUE,FALSE)</f>
        <v>1</v>
      </c>
      <c r="M3936" s="74">
        <v>52.1518759018759</v>
      </c>
      <c r="N3936" s="74">
        <f t="shared" si="1"/>
        <v>65.18984488</v>
      </c>
      <c r="O3936" s="74" t="b">
        <v>1</v>
      </c>
    </row>
    <row r="3937" hidden="1">
      <c r="A3937" s="82"/>
      <c r="B3937" s="65" t="s">
        <v>467</v>
      </c>
      <c r="C3937" s="65" t="s">
        <v>92</v>
      </c>
      <c r="D3937" s="65"/>
      <c r="E3937" s="65" t="s">
        <v>2850</v>
      </c>
      <c r="F3937" s="83">
        <v>0.7222222222222222</v>
      </c>
      <c r="G3937" s="83">
        <v>0.7326388888888888</v>
      </c>
      <c r="H3937" s="83">
        <v>0.010416666666666666</v>
      </c>
      <c r="I3937" s="84">
        <v>44253.0</v>
      </c>
      <c r="J3937" s="65" t="b">
        <v>0</v>
      </c>
      <c r="K3937" s="65" t="s">
        <v>150</v>
      </c>
      <c r="L3937" s="85" t="b">
        <f>IF(VLOOKUP(C3937,Projetos!A:L,12,false)=TRUE,TRUE,FALSE)</f>
        <v>1</v>
      </c>
      <c r="M3937" s="74">
        <v>52.1518759018759</v>
      </c>
      <c r="N3937" s="74">
        <f t="shared" si="1"/>
        <v>0</v>
      </c>
      <c r="O3937" s="74" t="b">
        <v>1</v>
      </c>
    </row>
    <row r="3938" hidden="1">
      <c r="A3938" s="82"/>
      <c r="B3938" s="65" t="s">
        <v>467</v>
      </c>
      <c r="C3938" s="65" t="s">
        <v>88</v>
      </c>
      <c r="D3938" s="65" t="str">
        <f>vlookup(C3938,'Classificação p pessoal'!F:G,2,false)</f>
        <v>MProduto</v>
      </c>
      <c r="E3938" s="65" t="s">
        <v>2851</v>
      </c>
      <c r="F3938" s="83">
        <v>0.5833333333333334</v>
      </c>
      <c r="G3938" s="83">
        <v>0.625</v>
      </c>
      <c r="H3938" s="83">
        <v>0.041666666666666664</v>
      </c>
      <c r="I3938" s="84">
        <v>44256.0</v>
      </c>
      <c r="J3938" s="65" t="b">
        <v>1</v>
      </c>
      <c r="K3938" s="65"/>
      <c r="L3938" s="85" t="b">
        <f>IF(VLOOKUP(C3938,Projetos!A:L,12,false)=TRUE,TRUE,FALSE)</f>
        <v>1</v>
      </c>
      <c r="M3938" s="74">
        <v>52.1518759018759</v>
      </c>
      <c r="N3938" s="74">
        <f t="shared" si="1"/>
        <v>52.1518759</v>
      </c>
      <c r="O3938" s="74" t="b">
        <v>1</v>
      </c>
    </row>
    <row r="3939" hidden="1">
      <c r="A3939" s="82"/>
      <c r="B3939" s="65" t="s">
        <v>467</v>
      </c>
      <c r="C3939" s="65" t="s">
        <v>122</v>
      </c>
      <c r="D3939" s="65" t="str">
        <f>vlookup(C3939,'Classificação p pessoal'!F:G,2,false)</f>
        <v>NP</v>
      </c>
      <c r="E3939" s="65" t="s">
        <v>2852</v>
      </c>
      <c r="F3939" s="83">
        <v>0.6875</v>
      </c>
      <c r="G3939" s="83">
        <v>0.7083333333333334</v>
      </c>
      <c r="H3939" s="83">
        <v>0.020833333333333332</v>
      </c>
      <c r="I3939" s="84">
        <v>44256.0</v>
      </c>
      <c r="J3939" s="65" t="b">
        <v>1</v>
      </c>
      <c r="K3939" s="65"/>
      <c r="L3939" s="85" t="b">
        <f>IF(VLOOKUP(C3939,Projetos!A:L,12,false)=TRUE,TRUE,FALSE)</f>
        <v>1</v>
      </c>
      <c r="M3939" s="74">
        <v>52.1518759018759</v>
      </c>
      <c r="N3939" s="74">
        <f t="shared" si="1"/>
        <v>26.07593795</v>
      </c>
      <c r="O3939" s="74" t="b">
        <v>1</v>
      </c>
    </row>
    <row r="3940" hidden="1">
      <c r="A3940" s="82"/>
      <c r="B3940" s="65" t="s">
        <v>467</v>
      </c>
      <c r="C3940" s="65" t="s">
        <v>92</v>
      </c>
      <c r="D3940" s="65" t="str">
        <f>vlookup(C3940,'Classificação p pessoal'!F:G,2,false)</f>
        <v/>
      </c>
      <c r="E3940" s="65" t="s">
        <v>2853</v>
      </c>
      <c r="F3940" s="83">
        <v>0.6666666666666666</v>
      </c>
      <c r="G3940" s="83">
        <v>0.6875</v>
      </c>
      <c r="H3940" s="83">
        <v>0.020833333333333332</v>
      </c>
      <c r="I3940" s="84">
        <v>44256.0</v>
      </c>
      <c r="J3940" s="65" t="b">
        <v>1</v>
      </c>
      <c r="K3940" s="65"/>
      <c r="L3940" s="85" t="b">
        <f>IF(VLOOKUP(C3940,Projetos!A:L,12,false)=TRUE,TRUE,FALSE)</f>
        <v>1</v>
      </c>
      <c r="M3940" s="74">
        <v>52.1518759018759</v>
      </c>
      <c r="N3940" s="74">
        <f t="shared" si="1"/>
        <v>26.07593795</v>
      </c>
      <c r="O3940" s="74" t="b">
        <v>1</v>
      </c>
    </row>
    <row r="3941" hidden="1">
      <c r="A3941" s="82"/>
      <c r="B3941" s="65" t="s">
        <v>467</v>
      </c>
      <c r="C3941" s="65" t="s">
        <v>92</v>
      </c>
      <c r="D3941" s="65" t="str">
        <f>vlookup(C3941,'Classificação p pessoal'!F:G,2,false)</f>
        <v/>
      </c>
      <c r="E3941" s="65" t="s">
        <v>2854</v>
      </c>
      <c r="F3941" s="83">
        <v>0.4166666666666667</v>
      </c>
      <c r="G3941" s="83">
        <v>0.5416666666666666</v>
      </c>
      <c r="H3941" s="83">
        <v>0.125</v>
      </c>
      <c r="I3941" s="84">
        <v>44256.0</v>
      </c>
      <c r="J3941" s="65" t="b">
        <v>1</v>
      </c>
      <c r="K3941" s="65"/>
      <c r="L3941" s="85" t="b">
        <f>IF(VLOOKUP(C3941,Projetos!A:L,12,false)=TRUE,TRUE,FALSE)</f>
        <v>1</v>
      </c>
      <c r="M3941" s="74">
        <v>52.1518759018759</v>
      </c>
      <c r="N3941" s="74">
        <f t="shared" si="1"/>
        <v>156.4556277</v>
      </c>
      <c r="O3941" s="74" t="b">
        <v>1</v>
      </c>
    </row>
    <row r="3942" hidden="1">
      <c r="A3942" s="82"/>
      <c r="B3942" s="65" t="s">
        <v>467</v>
      </c>
      <c r="C3942" s="65" t="s">
        <v>92</v>
      </c>
      <c r="D3942" s="65" t="str">
        <f>vlookup(C3942,'Classificação p pessoal'!F:G,2,false)</f>
        <v/>
      </c>
      <c r="E3942" s="65" t="s">
        <v>2855</v>
      </c>
      <c r="F3942" s="83">
        <v>0.34375</v>
      </c>
      <c r="G3942" s="83">
        <v>0.4166666666666667</v>
      </c>
      <c r="H3942" s="83">
        <v>0.07291666666666667</v>
      </c>
      <c r="I3942" s="84">
        <v>44256.0</v>
      </c>
      <c r="J3942" s="65" t="b">
        <v>1</v>
      </c>
      <c r="K3942" s="65"/>
      <c r="L3942" s="85" t="b">
        <f>IF(VLOOKUP(C3942,Projetos!A:L,12,false)=TRUE,TRUE,FALSE)</f>
        <v>1</v>
      </c>
      <c r="M3942" s="74">
        <v>52.1518759018759</v>
      </c>
      <c r="N3942" s="74">
        <f t="shared" si="1"/>
        <v>91.26578283</v>
      </c>
      <c r="O3942" s="74" t="b">
        <v>1</v>
      </c>
    </row>
    <row r="3943" hidden="1">
      <c r="A3943" s="82"/>
      <c r="B3943" s="65" t="s">
        <v>467</v>
      </c>
      <c r="C3943" s="65" t="s">
        <v>122</v>
      </c>
      <c r="D3943" s="65" t="str">
        <f>vlookup(C3943,'Classificação p pessoal'!F:G,2,false)</f>
        <v>NP</v>
      </c>
      <c r="E3943" s="65" t="s">
        <v>2856</v>
      </c>
      <c r="F3943" s="83">
        <v>0.34375</v>
      </c>
      <c r="G3943" s="83">
        <v>0.5</v>
      </c>
      <c r="H3943" s="83">
        <v>0.15625</v>
      </c>
      <c r="I3943" s="84">
        <v>44257.0</v>
      </c>
      <c r="J3943" s="65" t="b">
        <v>1</v>
      </c>
      <c r="K3943" s="65"/>
      <c r="L3943" s="85" t="b">
        <f>IF(VLOOKUP(C3943,Projetos!A:L,12,false)=TRUE,TRUE,FALSE)</f>
        <v>1</v>
      </c>
      <c r="M3943" s="74">
        <v>52.1518759018759</v>
      </c>
      <c r="N3943" s="74">
        <f t="shared" si="1"/>
        <v>195.5695346</v>
      </c>
      <c r="O3943" s="74" t="b">
        <v>1</v>
      </c>
    </row>
    <row r="3944" hidden="1">
      <c r="A3944" s="82"/>
      <c r="B3944" s="65" t="s">
        <v>467</v>
      </c>
      <c r="C3944" s="65" t="s">
        <v>92</v>
      </c>
      <c r="D3944" s="65" t="str">
        <f>vlookup(C3944,'Classificação p pessoal'!F:G,2,false)</f>
        <v/>
      </c>
      <c r="E3944" s="65" t="s">
        <v>2857</v>
      </c>
      <c r="F3944" s="83">
        <v>0.5833333333333334</v>
      </c>
      <c r="G3944" s="83">
        <v>0.6666666666666666</v>
      </c>
      <c r="H3944" s="83">
        <v>0.08333333333333333</v>
      </c>
      <c r="I3944" s="84">
        <v>44257.0</v>
      </c>
      <c r="J3944" s="65" t="b">
        <v>1</v>
      </c>
      <c r="K3944" s="65"/>
      <c r="L3944" s="85" t="b">
        <f>IF(VLOOKUP(C3944,Projetos!A:L,12,false)=TRUE,TRUE,FALSE)</f>
        <v>1</v>
      </c>
      <c r="M3944" s="74">
        <v>52.1518759018759</v>
      </c>
      <c r="N3944" s="74">
        <f t="shared" si="1"/>
        <v>104.3037518</v>
      </c>
      <c r="O3944" s="74" t="b">
        <v>1</v>
      </c>
    </row>
    <row r="3945" hidden="1">
      <c r="A3945" s="82"/>
      <c r="B3945" s="65" t="s">
        <v>467</v>
      </c>
      <c r="C3945" s="65" t="s">
        <v>88</v>
      </c>
      <c r="D3945" s="65" t="str">
        <f>vlookup(C3945,'Classificação p pessoal'!F:G,2,false)</f>
        <v>MProduto</v>
      </c>
      <c r="E3945" s="65" t="s">
        <v>2858</v>
      </c>
      <c r="F3945" s="83">
        <v>0.5833333333333334</v>
      </c>
      <c r="G3945" s="83">
        <v>0.6666666666666666</v>
      </c>
      <c r="H3945" s="83">
        <v>0.08333333333333333</v>
      </c>
      <c r="I3945" s="84">
        <v>44258.0</v>
      </c>
      <c r="J3945" s="65" t="b">
        <v>1</v>
      </c>
      <c r="K3945" s="65"/>
      <c r="L3945" s="85" t="b">
        <f>IF(VLOOKUP(C3945,Projetos!A:L,12,false)=TRUE,TRUE,FALSE)</f>
        <v>1</v>
      </c>
      <c r="M3945" s="74">
        <v>52.1518759018759</v>
      </c>
      <c r="N3945" s="74">
        <f t="shared" si="1"/>
        <v>104.3037518</v>
      </c>
      <c r="O3945" s="74" t="b">
        <v>1</v>
      </c>
    </row>
    <row r="3946" hidden="1">
      <c r="A3946" s="82"/>
      <c r="B3946" s="65" t="s">
        <v>467</v>
      </c>
      <c r="C3946" s="65" t="s">
        <v>122</v>
      </c>
      <c r="D3946" s="65" t="str">
        <f>vlookup(C3946,'Classificação p pessoal'!F:G,2,false)</f>
        <v>NP</v>
      </c>
      <c r="E3946" s="65" t="s">
        <v>2859</v>
      </c>
      <c r="F3946" s="83">
        <v>0.6666666666666666</v>
      </c>
      <c r="G3946" s="83">
        <v>0.75</v>
      </c>
      <c r="H3946" s="83">
        <v>0.08333333333333333</v>
      </c>
      <c r="I3946" s="84">
        <v>44258.0</v>
      </c>
      <c r="J3946" s="65" t="b">
        <v>1</v>
      </c>
      <c r="K3946" s="65"/>
      <c r="L3946" s="85" t="b">
        <f>IF(VLOOKUP(C3946,Projetos!A:L,12,false)=TRUE,TRUE,FALSE)</f>
        <v>1</v>
      </c>
      <c r="M3946" s="74">
        <v>52.1518759018759</v>
      </c>
      <c r="N3946" s="74">
        <f t="shared" si="1"/>
        <v>104.3037518</v>
      </c>
      <c r="O3946" s="74" t="b">
        <v>1</v>
      </c>
    </row>
    <row r="3947" hidden="1">
      <c r="A3947" s="82"/>
      <c r="B3947" s="65" t="s">
        <v>467</v>
      </c>
      <c r="C3947" s="65" t="s">
        <v>122</v>
      </c>
      <c r="D3947" s="65" t="str">
        <f>vlookup(C3947,'Classificação p pessoal'!F:G,2,false)</f>
        <v>NP</v>
      </c>
      <c r="E3947" s="65" t="s">
        <v>2860</v>
      </c>
      <c r="F3947" s="83">
        <v>0.3541666666666667</v>
      </c>
      <c r="G3947" s="83">
        <v>0.3958333333333333</v>
      </c>
      <c r="H3947" s="83">
        <v>0.041666666666666664</v>
      </c>
      <c r="I3947" s="84">
        <v>44260.0</v>
      </c>
      <c r="J3947" s="65" t="b">
        <v>1</v>
      </c>
      <c r="K3947" s="65"/>
      <c r="L3947" s="85" t="b">
        <f>IF(VLOOKUP(C3947,Projetos!A:L,12,false)=TRUE,TRUE,FALSE)</f>
        <v>1</v>
      </c>
      <c r="M3947" s="74">
        <v>52.1518759018759</v>
      </c>
      <c r="N3947" s="74">
        <f t="shared" si="1"/>
        <v>52.1518759</v>
      </c>
      <c r="O3947" s="74" t="b">
        <v>1</v>
      </c>
    </row>
    <row r="3948" hidden="1">
      <c r="A3948" s="82"/>
      <c r="B3948" s="65" t="s">
        <v>467</v>
      </c>
      <c r="C3948" s="65" t="s">
        <v>113</v>
      </c>
      <c r="D3948" s="65" t="str">
        <f>vlookup(C3948,'Classificação p pessoal'!F:G,2,false)</f>
        <v>NP</v>
      </c>
      <c r="E3948" s="65" t="s">
        <v>2861</v>
      </c>
      <c r="F3948" s="83">
        <v>0.4375</v>
      </c>
      <c r="G3948" s="83">
        <v>0.4791666666666667</v>
      </c>
      <c r="H3948" s="83">
        <v>0.041666666666666664</v>
      </c>
      <c r="I3948" s="84">
        <v>44260.0</v>
      </c>
      <c r="J3948" s="65" t="b">
        <v>1</v>
      </c>
      <c r="K3948" s="65"/>
      <c r="L3948" s="85" t="b">
        <f>IF(VLOOKUP(C3948,Projetos!A:L,12,false)=TRUE,TRUE,FALSE)</f>
        <v>1</v>
      </c>
      <c r="M3948" s="74">
        <v>52.1518759018759</v>
      </c>
      <c r="N3948" s="74">
        <f t="shared" si="1"/>
        <v>52.1518759</v>
      </c>
      <c r="O3948" s="74" t="b">
        <v>1</v>
      </c>
    </row>
    <row r="3949" hidden="1">
      <c r="A3949" s="82"/>
      <c r="B3949" s="65" t="s">
        <v>467</v>
      </c>
      <c r="C3949" s="65" t="s">
        <v>113</v>
      </c>
      <c r="D3949" s="65" t="str">
        <f>vlookup(C3949,'Classificação p pessoal'!F:G,2,false)</f>
        <v>NP</v>
      </c>
      <c r="E3949" s="65" t="s">
        <v>2862</v>
      </c>
      <c r="F3949" s="83">
        <v>0.5833333333333334</v>
      </c>
      <c r="G3949" s="83">
        <v>0.6666666666666666</v>
      </c>
      <c r="H3949" s="83">
        <v>0.08333333333333333</v>
      </c>
      <c r="I3949" s="84">
        <v>44260.0</v>
      </c>
      <c r="J3949" s="65" t="b">
        <v>1</v>
      </c>
      <c r="K3949" s="65"/>
      <c r="L3949" s="85" t="b">
        <f>IF(VLOOKUP(C3949,Projetos!A:L,12,false)=TRUE,TRUE,FALSE)</f>
        <v>1</v>
      </c>
      <c r="M3949" s="74">
        <v>52.1518759018759</v>
      </c>
      <c r="N3949" s="74">
        <f t="shared" si="1"/>
        <v>104.3037518</v>
      </c>
      <c r="O3949" s="74" t="b">
        <v>1</v>
      </c>
    </row>
    <row r="3950" hidden="1">
      <c r="A3950" s="82"/>
      <c r="B3950" s="65" t="s">
        <v>467</v>
      </c>
      <c r="C3950" s="65" t="s">
        <v>92</v>
      </c>
      <c r="D3950" s="65" t="str">
        <f>vlookup(C3950,'Classificação p pessoal'!F:G,2,false)</f>
        <v/>
      </c>
      <c r="E3950" s="65" t="s">
        <v>2863</v>
      </c>
      <c r="F3950" s="83">
        <v>0.6736111111111112</v>
      </c>
      <c r="G3950" s="83">
        <v>0.7083333333333334</v>
      </c>
      <c r="H3950" s="83">
        <v>0.034722222222222224</v>
      </c>
      <c r="I3950" s="84">
        <v>44260.0</v>
      </c>
      <c r="J3950" s="65" t="b">
        <v>1</v>
      </c>
      <c r="K3950" s="65"/>
      <c r="L3950" s="85" t="b">
        <f>IF(VLOOKUP(C3950,Projetos!A:L,12,false)=TRUE,TRUE,FALSE)</f>
        <v>1</v>
      </c>
      <c r="M3950" s="74">
        <v>52.1518759018759</v>
      </c>
      <c r="N3950" s="74">
        <f t="shared" si="1"/>
        <v>43.45989658</v>
      </c>
      <c r="O3950" s="74" t="b">
        <v>1</v>
      </c>
    </row>
    <row r="3951" hidden="1">
      <c r="A3951" s="82"/>
      <c r="B3951" s="65" t="s">
        <v>467</v>
      </c>
      <c r="C3951" s="65" t="s">
        <v>88</v>
      </c>
      <c r="D3951" s="65" t="str">
        <f>vlookup(C3951,'Classificação p pessoal'!F:G,2,false)</f>
        <v>MProduto</v>
      </c>
      <c r="E3951" s="65" t="s">
        <v>2864</v>
      </c>
      <c r="F3951" s="83">
        <v>0.3541666666666667</v>
      </c>
      <c r="G3951" s="83">
        <v>0.4166666666666667</v>
      </c>
      <c r="H3951" s="83">
        <v>0.0625</v>
      </c>
      <c r="I3951" s="84">
        <v>44263.0</v>
      </c>
      <c r="J3951" s="65" t="b">
        <v>1</v>
      </c>
      <c r="K3951" s="65"/>
      <c r="L3951" s="85" t="b">
        <f>IF(VLOOKUP(C3951,Projetos!A:L,12,false)=TRUE,TRUE,FALSE)</f>
        <v>1</v>
      </c>
      <c r="M3951" s="74">
        <v>52.1518759018759</v>
      </c>
      <c r="N3951" s="74">
        <f t="shared" si="1"/>
        <v>78.22781385</v>
      </c>
      <c r="O3951" s="74" t="b">
        <v>1</v>
      </c>
    </row>
    <row r="3952" hidden="1">
      <c r="A3952" s="82"/>
      <c r="B3952" s="65" t="s">
        <v>467</v>
      </c>
      <c r="C3952" s="65" t="s">
        <v>117</v>
      </c>
      <c r="D3952" s="65" t="str">
        <f>vlookup(C3952,'Classificação p pessoal'!F:G,2,false)</f>
        <v>NP</v>
      </c>
      <c r="E3952" s="65" t="s">
        <v>2865</v>
      </c>
      <c r="F3952" s="83">
        <v>0.4166666666666667</v>
      </c>
      <c r="G3952" s="83">
        <v>0.4583333333333333</v>
      </c>
      <c r="H3952" s="83">
        <v>0.041666666666666664</v>
      </c>
      <c r="I3952" s="84">
        <v>44263.0</v>
      </c>
      <c r="J3952" s="65" t="b">
        <v>1</v>
      </c>
      <c r="K3952" s="65"/>
      <c r="L3952" s="85" t="b">
        <f>IF(VLOOKUP(C3952,Projetos!A:L,12,false)=TRUE,TRUE,FALSE)</f>
        <v>1</v>
      </c>
      <c r="M3952" s="74">
        <v>52.1518759018759</v>
      </c>
      <c r="N3952" s="74">
        <f t="shared" si="1"/>
        <v>52.1518759</v>
      </c>
      <c r="O3952" s="74" t="b">
        <v>1</v>
      </c>
    </row>
    <row r="3953" hidden="1">
      <c r="A3953" s="82"/>
      <c r="B3953" s="65" t="s">
        <v>467</v>
      </c>
      <c r="C3953" s="65" t="s">
        <v>92</v>
      </c>
      <c r="D3953" s="65" t="str">
        <f>vlookup(C3953,'Classificação p pessoal'!F:G,2,false)</f>
        <v/>
      </c>
      <c r="E3953" s="65" t="s">
        <v>2866</v>
      </c>
      <c r="F3953" s="83">
        <v>0.5833333333333334</v>
      </c>
      <c r="G3953" s="83">
        <v>0.625</v>
      </c>
      <c r="H3953" s="83">
        <v>0.041666666666666664</v>
      </c>
      <c r="I3953" s="84">
        <v>44263.0</v>
      </c>
      <c r="J3953" s="65" t="b">
        <v>1</v>
      </c>
      <c r="K3953" s="65"/>
      <c r="L3953" s="85" t="b">
        <f>IF(VLOOKUP(C3953,Projetos!A:L,12,false)=TRUE,TRUE,FALSE)</f>
        <v>1</v>
      </c>
      <c r="M3953" s="74">
        <v>52.1518759018759</v>
      </c>
      <c r="N3953" s="74">
        <f t="shared" si="1"/>
        <v>52.1518759</v>
      </c>
      <c r="O3953" s="74" t="b">
        <v>1</v>
      </c>
    </row>
    <row r="3954" hidden="1">
      <c r="A3954" s="82"/>
      <c r="B3954" s="65" t="s">
        <v>467</v>
      </c>
      <c r="C3954" s="65" t="s">
        <v>92</v>
      </c>
      <c r="D3954" s="65" t="str">
        <f>vlookup(C3954,'Classificação p pessoal'!F:G,2,false)</f>
        <v/>
      </c>
      <c r="E3954" s="65" t="s">
        <v>2867</v>
      </c>
      <c r="F3954" s="83">
        <v>0.6666666666666666</v>
      </c>
      <c r="G3954" s="83">
        <v>0.6875</v>
      </c>
      <c r="H3954" s="83">
        <v>0.020833333333333332</v>
      </c>
      <c r="I3954" s="84">
        <v>44263.0</v>
      </c>
      <c r="J3954" s="65" t="b">
        <v>1</v>
      </c>
      <c r="K3954" s="65"/>
      <c r="L3954" s="85" t="b">
        <f>IF(VLOOKUP(C3954,Projetos!A:L,12,false)=TRUE,TRUE,FALSE)</f>
        <v>1</v>
      </c>
      <c r="M3954" s="74">
        <v>52.1518759018759</v>
      </c>
      <c r="N3954" s="74">
        <f t="shared" si="1"/>
        <v>26.07593795</v>
      </c>
      <c r="O3954" s="74" t="b">
        <v>1</v>
      </c>
    </row>
    <row r="3955" hidden="1">
      <c r="A3955" s="82"/>
      <c r="B3955" s="65" t="s">
        <v>467</v>
      </c>
      <c r="C3955" s="65" t="s">
        <v>113</v>
      </c>
      <c r="D3955" s="65" t="str">
        <f>vlookup(C3955,'Classificação p pessoal'!F:G,2,false)</f>
        <v>NP</v>
      </c>
      <c r="E3955" s="65" t="s">
        <v>2868</v>
      </c>
      <c r="F3955" s="83">
        <v>0.7083333333333334</v>
      </c>
      <c r="G3955" s="83">
        <v>0.75</v>
      </c>
      <c r="H3955" s="83">
        <v>0.041666666666666664</v>
      </c>
      <c r="I3955" s="84">
        <v>44263.0</v>
      </c>
      <c r="J3955" s="65" t="b">
        <v>1</v>
      </c>
      <c r="K3955" s="65"/>
      <c r="L3955" s="85" t="b">
        <f>IF(VLOOKUP(C3955,Projetos!A:L,12,false)=TRUE,TRUE,FALSE)</f>
        <v>1</v>
      </c>
      <c r="M3955" s="74">
        <v>52.1518759018759</v>
      </c>
      <c r="N3955" s="74">
        <f t="shared" si="1"/>
        <v>52.1518759</v>
      </c>
      <c r="O3955" s="74" t="b">
        <v>1</v>
      </c>
    </row>
    <row r="3956" hidden="1">
      <c r="A3956" s="82"/>
      <c r="B3956" s="65" t="s">
        <v>467</v>
      </c>
      <c r="C3956" s="65" t="s">
        <v>118</v>
      </c>
      <c r="D3956" s="65" t="str">
        <f>vlookup(C3956,'Classificação p pessoal'!F:G,2,false)</f>
        <v>MProduto</v>
      </c>
      <c r="E3956" s="65" t="s">
        <v>2869</v>
      </c>
      <c r="F3956" s="83">
        <v>0.375</v>
      </c>
      <c r="G3956" s="83">
        <v>0.4375</v>
      </c>
      <c r="H3956" s="83">
        <v>0.0625</v>
      </c>
      <c r="I3956" s="84">
        <v>44264.0</v>
      </c>
      <c r="J3956" s="65" t="b">
        <v>1</v>
      </c>
      <c r="K3956" s="65"/>
      <c r="L3956" s="85" t="b">
        <f>IF(VLOOKUP(C3956,Projetos!A:L,12,false)=TRUE,TRUE,FALSE)</f>
        <v>1</v>
      </c>
      <c r="M3956" s="74">
        <v>52.1518759018759</v>
      </c>
      <c r="N3956" s="74">
        <f t="shared" si="1"/>
        <v>78.22781385</v>
      </c>
      <c r="O3956" s="74" t="b">
        <v>1</v>
      </c>
    </row>
    <row r="3957" hidden="1">
      <c r="A3957" s="82"/>
      <c r="B3957" s="65" t="s">
        <v>467</v>
      </c>
      <c r="C3957" s="65" t="s">
        <v>92</v>
      </c>
      <c r="D3957" s="65" t="str">
        <f>vlookup(C3957,'Classificação p pessoal'!F:G,2,false)</f>
        <v/>
      </c>
      <c r="E3957" s="65" t="s">
        <v>2870</v>
      </c>
      <c r="F3957" s="83">
        <v>0.4375</v>
      </c>
      <c r="G3957" s="83">
        <v>0.5208333333333334</v>
      </c>
      <c r="H3957" s="83">
        <v>0.08333333333333333</v>
      </c>
      <c r="I3957" s="84">
        <v>44264.0</v>
      </c>
      <c r="J3957" s="65" t="b">
        <v>1</v>
      </c>
      <c r="K3957" s="65"/>
      <c r="L3957" s="85" t="b">
        <f>IF(VLOOKUP(C3957,Projetos!A:L,12,false)=TRUE,TRUE,FALSE)</f>
        <v>1</v>
      </c>
      <c r="M3957" s="74">
        <v>52.1518759018759</v>
      </c>
      <c r="N3957" s="74">
        <f t="shared" si="1"/>
        <v>104.3037518</v>
      </c>
      <c r="O3957" s="74" t="b">
        <v>1</v>
      </c>
    </row>
    <row r="3958" hidden="1">
      <c r="A3958" s="82"/>
      <c r="B3958" s="65" t="s">
        <v>467</v>
      </c>
      <c r="C3958" s="65" t="s">
        <v>113</v>
      </c>
      <c r="D3958" s="65" t="str">
        <f>vlookup(C3958,'Classificação p pessoal'!F:G,2,false)</f>
        <v>NP</v>
      </c>
      <c r="E3958" s="65" t="s">
        <v>2871</v>
      </c>
      <c r="F3958" s="83">
        <v>0.6666666666666666</v>
      </c>
      <c r="G3958" s="83">
        <v>0.7083333333333334</v>
      </c>
      <c r="H3958" s="83">
        <v>0.041666666666666664</v>
      </c>
      <c r="I3958" s="84">
        <v>44264.0</v>
      </c>
      <c r="J3958" s="65" t="b">
        <v>1</v>
      </c>
      <c r="K3958" s="65"/>
      <c r="L3958" s="85" t="b">
        <f>IF(VLOOKUP(C3958,Projetos!A:L,12,false)=TRUE,TRUE,FALSE)</f>
        <v>1</v>
      </c>
      <c r="M3958" s="74">
        <v>52.1518759018759</v>
      </c>
      <c r="N3958" s="74">
        <f t="shared" si="1"/>
        <v>52.1518759</v>
      </c>
      <c r="O3958" s="74" t="b">
        <v>1</v>
      </c>
    </row>
    <row r="3959" hidden="1">
      <c r="A3959" s="82"/>
      <c r="B3959" s="65" t="s">
        <v>467</v>
      </c>
      <c r="C3959" s="65" t="s">
        <v>92</v>
      </c>
      <c r="D3959" s="65" t="str">
        <f>vlookup(C3959,'Classificação p pessoal'!F:G,2,false)</f>
        <v/>
      </c>
      <c r="E3959" s="65" t="s">
        <v>2872</v>
      </c>
      <c r="F3959" s="83">
        <v>0.5833333333333334</v>
      </c>
      <c r="G3959" s="83">
        <v>0.6041666666666666</v>
      </c>
      <c r="H3959" s="83">
        <v>0.020833333333333332</v>
      </c>
      <c r="I3959" s="84">
        <v>44264.0</v>
      </c>
      <c r="J3959" s="65" t="b">
        <v>1</v>
      </c>
      <c r="K3959" s="65"/>
      <c r="L3959" s="85" t="b">
        <f>IF(VLOOKUP(C3959,Projetos!A:L,12,false)=TRUE,TRUE,FALSE)</f>
        <v>1</v>
      </c>
      <c r="M3959" s="74">
        <v>52.1518759018759</v>
      </c>
      <c r="N3959" s="74">
        <f t="shared" si="1"/>
        <v>26.07593795</v>
      </c>
      <c r="O3959" s="74" t="b">
        <v>1</v>
      </c>
    </row>
    <row r="3960" hidden="1">
      <c r="A3960" s="82"/>
      <c r="B3960" s="65" t="s">
        <v>467</v>
      </c>
      <c r="C3960" s="65" t="s">
        <v>88</v>
      </c>
      <c r="D3960" s="65" t="str">
        <f>vlookup(C3960,'Classificação p pessoal'!F:G,2,false)</f>
        <v>MProduto</v>
      </c>
      <c r="E3960" s="65" t="s">
        <v>2873</v>
      </c>
      <c r="F3960" s="83">
        <v>0.3541666666666667</v>
      </c>
      <c r="G3960" s="83">
        <v>0.3958333333333333</v>
      </c>
      <c r="H3960" s="83">
        <v>0.041666666666666664</v>
      </c>
      <c r="I3960" s="84">
        <v>44266.0</v>
      </c>
      <c r="J3960" s="65" t="b">
        <v>1</v>
      </c>
      <c r="K3960" s="65"/>
      <c r="L3960" s="85" t="b">
        <f>IF(VLOOKUP(C3960,Projetos!A:L,12,false)=TRUE,TRUE,FALSE)</f>
        <v>1</v>
      </c>
      <c r="M3960" s="74">
        <v>52.1518759018759</v>
      </c>
      <c r="N3960" s="74">
        <f t="shared" si="1"/>
        <v>52.1518759</v>
      </c>
      <c r="O3960" s="74" t="b">
        <v>1</v>
      </c>
    </row>
    <row r="3961" hidden="1">
      <c r="A3961" s="82"/>
      <c r="B3961" s="65" t="s">
        <v>467</v>
      </c>
      <c r="C3961" s="65" t="s">
        <v>122</v>
      </c>
      <c r="D3961" s="65" t="str">
        <f>vlookup(C3961,'Classificação p pessoal'!F:G,2,false)</f>
        <v>NP</v>
      </c>
      <c r="E3961" s="65" t="s">
        <v>2874</v>
      </c>
      <c r="F3961" s="83">
        <v>0.4375</v>
      </c>
      <c r="G3961" s="83">
        <v>0.4791666666666667</v>
      </c>
      <c r="H3961" s="83">
        <v>0.041666666666666664</v>
      </c>
      <c r="I3961" s="84">
        <v>44266.0</v>
      </c>
      <c r="J3961" s="65" t="b">
        <v>1</v>
      </c>
      <c r="K3961" s="65"/>
      <c r="L3961" s="85" t="b">
        <f>IF(VLOOKUP(C3961,Projetos!A:L,12,false)=TRUE,TRUE,FALSE)</f>
        <v>1</v>
      </c>
      <c r="M3961" s="74">
        <v>52.1518759018759</v>
      </c>
      <c r="N3961" s="74">
        <f t="shared" si="1"/>
        <v>52.1518759</v>
      </c>
      <c r="O3961" s="74" t="b">
        <v>1</v>
      </c>
    </row>
    <row r="3962" hidden="1">
      <c r="A3962" s="82"/>
      <c r="B3962" s="65" t="s">
        <v>467</v>
      </c>
      <c r="C3962" s="65" t="s">
        <v>113</v>
      </c>
      <c r="D3962" s="65" t="str">
        <f>vlookup(C3962,'Classificação p pessoal'!F:G,2,false)</f>
        <v>NP</v>
      </c>
      <c r="E3962" s="65" t="s">
        <v>2875</v>
      </c>
      <c r="F3962" s="83">
        <v>0.7083333333333334</v>
      </c>
      <c r="G3962" s="83">
        <v>0.75</v>
      </c>
      <c r="H3962" s="83">
        <v>0.041666666666666664</v>
      </c>
      <c r="I3962" s="84">
        <v>44266.0</v>
      </c>
      <c r="J3962" s="65" t="b">
        <v>1</v>
      </c>
      <c r="K3962" s="65"/>
      <c r="L3962" s="85" t="b">
        <f>IF(VLOOKUP(C3962,Projetos!A:L,12,false)=TRUE,TRUE,FALSE)</f>
        <v>1</v>
      </c>
      <c r="M3962" s="74">
        <v>52.1518759018759</v>
      </c>
      <c r="N3962" s="74">
        <f t="shared" si="1"/>
        <v>52.1518759</v>
      </c>
      <c r="O3962" s="74" t="b">
        <v>1</v>
      </c>
    </row>
    <row r="3963" hidden="1">
      <c r="A3963" s="82"/>
      <c r="B3963" s="65" t="s">
        <v>467</v>
      </c>
      <c r="C3963" s="65" t="s">
        <v>122</v>
      </c>
      <c r="D3963" s="65" t="str">
        <f>vlookup(C3963,'Classificação p pessoal'!F:G,2,false)</f>
        <v>NP</v>
      </c>
      <c r="E3963" s="65" t="s">
        <v>2876</v>
      </c>
      <c r="F3963" s="83">
        <v>0.3541666666666667</v>
      </c>
      <c r="G3963" s="83">
        <v>0.4375</v>
      </c>
      <c r="H3963" s="83">
        <v>0.08333333333333333</v>
      </c>
      <c r="I3963" s="84">
        <v>44267.0</v>
      </c>
      <c r="J3963" s="65" t="b">
        <v>1</v>
      </c>
      <c r="K3963" s="65"/>
      <c r="L3963" s="85" t="b">
        <f>IF(VLOOKUP(C3963,Projetos!A:L,12,false)=TRUE,TRUE,FALSE)</f>
        <v>1</v>
      </c>
      <c r="M3963" s="74">
        <v>52.1518759018759</v>
      </c>
      <c r="N3963" s="74">
        <f t="shared" si="1"/>
        <v>104.3037518</v>
      </c>
      <c r="O3963" s="74" t="b">
        <v>1</v>
      </c>
    </row>
    <row r="3964" hidden="1">
      <c r="A3964" s="82"/>
      <c r="B3964" s="65" t="s">
        <v>467</v>
      </c>
      <c r="C3964" s="65" t="s">
        <v>92</v>
      </c>
      <c r="D3964" s="65"/>
      <c r="E3964" s="65" t="s">
        <v>2877</v>
      </c>
      <c r="F3964" s="83">
        <v>0.4375</v>
      </c>
      <c r="G3964" s="83">
        <v>0.5</v>
      </c>
      <c r="H3964" s="83">
        <v>0.0625</v>
      </c>
      <c r="I3964" s="84">
        <v>44267.0</v>
      </c>
      <c r="J3964" s="65" t="b">
        <v>0</v>
      </c>
      <c r="K3964" s="65" t="s">
        <v>150</v>
      </c>
      <c r="L3964" s="85" t="b">
        <f>IF(VLOOKUP(C3964,Projetos!A:L,12,false)=TRUE,TRUE,FALSE)</f>
        <v>1</v>
      </c>
      <c r="M3964" s="74">
        <v>52.1518759018759</v>
      </c>
      <c r="N3964" s="74">
        <f t="shared" si="1"/>
        <v>0</v>
      </c>
      <c r="O3964" s="74" t="b">
        <v>1</v>
      </c>
    </row>
    <row r="3965" hidden="1">
      <c r="A3965" s="82"/>
      <c r="B3965" s="65" t="s">
        <v>467</v>
      </c>
      <c r="C3965" s="65" t="s">
        <v>92</v>
      </c>
      <c r="D3965" s="65" t="str">
        <f>vlookup(C3965,'Classificação p pessoal'!F:G,2,false)</f>
        <v/>
      </c>
      <c r="E3965" s="65" t="s">
        <v>2878</v>
      </c>
      <c r="F3965" s="83">
        <v>0.5833333333333334</v>
      </c>
      <c r="G3965" s="83">
        <v>0.625</v>
      </c>
      <c r="H3965" s="83">
        <v>0.041666666666666664</v>
      </c>
      <c r="I3965" s="84">
        <v>44267.0</v>
      </c>
      <c r="J3965" s="65" t="b">
        <v>1</v>
      </c>
      <c r="K3965" s="65"/>
      <c r="L3965" s="85" t="b">
        <f>IF(VLOOKUP(C3965,Projetos!A:L,12,false)=TRUE,TRUE,FALSE)</f>
        <v>1</v>
      </c>
      <c r="M3965" s="74">
        <v>52.1518759018759</v>
      </c>
      <c r="N3965" s="74">
        <f t="shared" si="1"/>
        <v>52.1518759</v>
      </c>
      <c r="O3965" s="74" t="b">
        <v>1</v>
      </c>
    </row>
    <row r="3966" hidden="1">
      <c r="A3966" s="82"/>
      <c r="B3966" s="65" t="s">
        <v>467</v>
      </c>
      <c r="C3966" s="65" t="s">
        <v>92</v>
      </c>
      <c r="D3966" s="65" t="str">
        <f>vlookup(C3966,'Classificação p pessoal'!F:G,2,false)</f>
        <v/>
      </c>
      <c r="E3966" s="65" t="s">
        <v>2879</v>
      </c>
      <c r="F3966" s="83">
        <v>0.6458333333333334</v>
      </c>
      <c r="G3966" s="83">
        <v>0.7083333333333334</v>
      </c>
      <c r="H3966" s="83">
        <v>0.0625</v>
      </c>
      <c r="I3966" s="84">
        <v>44267.0</v>
      </c>
      <c r="J3966" s="65" t="b">
        <v>1</v>
      </c>
      <c r="K3966" s="65"/>
      <c r="L3966" s="85" t="b">
        <f>IF(VLOOKUP(C3966,Projetos!A:L,12,false)=TRUE,TRUE,FALSE)</f>
        <v>1</v>
      </c>
      <c r="M3966" s="74">
        <v>52.1518759018759</v>
      </c>
      <c r="N3966" s="74">
        <f t="shared" si="1"/>
        <v>78.22781385</v>
      </c>
      <c r="O3966" s="74" t="b">
        <v>1</v>
      </c>
    </row>
    <row r="3967" hidden="1">
      <c r="A3967" s="82"/>
      <c r="B3967" s="65" t="s">
        <v>467</v>
      </c>
      <c r="C3967" s="65" t="s">
        <v>92</v>
      </c>
      <c r="D3967" s="65" t="str">
        <f>vlookup(C3967,'Classificação p pessoal'!F:G,2,false)</f>
        <v/>
      </c>
      <c r="E3967" s="65" t="s">
        <v>2880</v>
      </c>
      <c r="F3967" s="83">
        <v>0.3541666666666667</v>
      </c>
      <c r="G3967" s="83">
        <v>0.3958333333333333</v>
      </c>
      <c r="H3967" s="83">
        <v>0.041666666666666664</v>
      </c>
      <c r="I3967" s="84">
        <v>44270.0</v>
      </c>
      <c r="J3967" s="65" t="b">
        <v>1</v>
      </c>
      <c r="K3967" s="65"/>
      <c r="L3967" s="85" t="b">
        <f>IF(VLOOKUP(C3967,Projetos!A:L,12,false)=TRUE,TRUE,FALSE)</f>
        <v>1</v>
      </c>
      <c r="M3967" s="74">
        <v>52.1518759018759</v>
      </c>
      <c r="N3967" s="74">
        <f t="shared" si="1"/>
        <v>52.1518759</v>
      </c>
      <c r="O3967" s="74" t="b">
        <v>1</v>
      </c>
    </row>
    <row r="3968" hidden="1">
      <c r="A3968" s="82"/>
      <c r="B3968" s="65" t="s">
        <v>467</v>
      </c>
      <c r="C3968" s="65" t="s">
        <v>92</v>
      </c>
      <c r="D3968" s="65" t="str">
        <f>vlookup(C3968,'Classificação p pessoal'!F:G,2,false)</f>
        <v/>
      </c>
      <c r="E3968" s="65" t="s">
        <v>2881</v>
      </c>
      <c r="F3968" s="83">
        <v>0.4791666666666667</v>
      </c>
      <c r="G3968" s="83">
        <v>0.5208333333333334</v>
      </c>
      <c r="H3968" s="83">
        <v>0.041666666666666664</v>
      </c>
      <c r="I3968" s="84">
        <v>44270.0</v>
      </c>
      <c r="J3968" s="65" t="b">
        <v>1</v>
      </c>
      <c r="K3968" s="65"/>
      <c r="L3968" s="85" t="b">
        <f>IF(VLOOKUP(C3968,Projetos!A:L,12,false)=TRUE,TRUE,FALSE)</f>
        <v>1</v>
      </c>
      <c r="M3968" s="74">
        <v>52.1518759018759</v>
      </c>
      <c r="N3968" s="74">
        <f t="shared" si="1"/>
        <v>52.1518759</v>
      </c>
      <c r="O3968" s="74" t="b">
        <v>1</v>
      </c>
    </row>
    <row r="3969" hidden="1">
      <c r="A3969" s="82"/>
      <c r="B3969" s="65" t="s">
        <v>467</v>
      </c>
      <c r="C3969" s="65" t="s">
        <v>88</v>
      </c>
      <c r="D3969" s="65" t="str">
        <f>vlookup(C3969,'Classificação p pessoal'!F:G,2,false)</f>
        <v>MProduto</v>
      </c>
      <c r="E3969" s="65" t="s">
        <v>2882</v>
      </c>
      <c r="F3969" s="83">
        <v>0.375</v>
      </c>
      <c r="G3969" s="83">
        <v>0.4583333333333333</v>
      </c>
      <c r="H3969" s="83">
        <v>0.08333333333333333</v>
      </c>
      <c r="I3969" s="84">
        <v>44271.0</v>
      </c>
      <c r="J3969" s="65" t="b">
        <v>1</v>
      </c>
      <c r="K3969" s="65"/>
      <c r="L3969" s="85" t="b">
        <f>IF(VLOOKUP(C3969,Projetos!A:L,12,false)=TRUE,TRUE,FALSE)</f>
        <v>1</v>
      </c>
      <c r="M3969" s="74">
        <v>52.1518759018759</v>
      </c>
      <c r="N3969" s="74">
        <f t="shared" si="1"/>
        <v>104.3037518</v>
      </c>
      <c r="O3969" s="74" t="b">
        <v>1</v>
      </c>
    </row>
    <row r="3970" hidden="1">
      <c r="A3970" s="82"/>
      <c r="B3970" s="65" t="s">
        <v>467</v>
      </c>
      <c r="C3970" s="65" t="s">
        <v>92</v>
      </c>
      <c r="D3970" s="65" t="str">
        <f>vlookup(C3970,'Classificação p pessoal'!F:G,2,false)</f>
        <v/>
      </c>
      <c r="E3970" s="65" t="s">
        <v>2883</v>
      </c>
      <c r="F3970" s="83">
        <v>0.5833333333333334</v>
      </c>
      <c r="G3970" s="83">
        <v>0.6458333333333334</v>
      </c>
      <c r="H3970" s="83">
        <v>0.0625</v>
      </c>
      <c r="I3970" s="84">
        <v>44271.0</v>
      </c>
      <c r="J3970" s="65" t="b">
        <v>1</v>
      </c>
      <c r="K3970" s="65"/>
      <c r="L3970" s="85" t="b">
        <f>IF(VLOOKUP(C3970,Projetos!A:L,12,false)=TRUE,TRUE,FALSE)</f>
        <v>1</v>
      </c>
      <c r="M3970" s="74">
        <v>52.1518759018759</v>
      </c>
      <c r="N3970" s="74">
        <f t="shared" si="1"/>
        <v>78.22781385</v>
      </c>
      <c r="O3970" s="74" t="b">
        <v>1</v>
      </c>
    </row>
    <row r="3971" hidden="1">
      <c r="A3971" s="82"/>
      <c r="B3971" s="65" t="s">
        <v>467</v>
      </c>
      <c r="C3971" s="65" t="s">
        <v>113</v>
      </c>
      <c r="D3971" s="65" t="str">
        <f>vlookup(C3971,'Classificação p pessoal'!F:G,2,false)</f>
        <v>NP</v>
      </c>
      <c r="E3971" s="65" t="s">
        <v>2884</v>
      </c>
      <c r="F3971" s="83">
        <v>0.6666666666666666</v>
      </c>
      <c r="G3971" s="83">
        <v>0.7083333333333334</v>
      </c>
      <c r="H3971" s="83">
        <v>0.041666666666666664</v>
      </c>
      <c r="I3971" s="84">
        <v>44271.0</v>
      </c>
      <c r="J3971" s="65" t="b">
        <v>1</v>
      </c>
      <c r="K3971" s="65"/>
      <c r="L3971" s="85" t="b">
        <f>IF(VLOOKUP(C3971,Projetos!A:L,12,false)=TRUE,TRUE,FALSE)</f>
        <v>1</v>
      </c>
      <c r="M3971" s="74">
        <v>52.1518759018759</v>
      </c>
      <c r="N3971" s="74">
        <f t="shared" si="1"/>
        <v>52.1518759</v>
      </c>
      <c r="O3971" s="74" t="b">
        <v>1</v>
      </c>
    </row>
    <row r="3972" hidden="1">
      <c r="A3972" s="82"/>
      <c r="B3972" s="65" t="s">
        <v>467</v>
      </c>
      <c r="C3972" s="65" t="s">
        <v>88</v>
      </c>
      <c r="D3972" s="65" t="str">
        <f>vlookup(C3972,'Classificação p pessoal'!F:G,2,false)</f>
        <v>MProduto</v>
      </c>
      <c r="E3972" s="65" t="s">
        <v>2885</v>
      </c>
      <c r="F3972" s="83">
        <v>0.34375</v>
      </c>
      <c r="G3972" s="83">
        <v>0.3854166666666667</v>
      </c>
      <c r="H3972" s="83">
        <v>0.041666666666666664</v>
      </c>
      <c r="I3972" s="84">
        <v>44272.0</v>
      </c>
      <c r="J3972" s="65" t="b">
        <v>1</v>
      </c>
      <c r="K3972" s="65"/>
      <c r="L3972" s="85" t="b">
        <f>IF(VLOOKUP(C3972,Projetos!A:L,12,false)=TRUE,TRUE,FALSE)</f>
        <v>1</v>
      </c>
      <c r="M3972" s="74">
        <v>52.1518759018759</v>
      </c>
      <c r="N3972" s="74">
        <f t="shared" si="1"/>
        <v>52.1518759</v>
      </c>
      <c r="O3972" s="74" t="b">
        <v>1</v>
      </c>
    </row>
    <row r="3973" hidden="1">
      <c r="A3973" s="82"/>
      <c r="B3973" s="65" t="s">
        <v>467</v>
      </c>
      <c r="C3973" s="65" t="s">
        <v>92</v>
      </c>
      <c r="D3973" s="65" t="str">
        <f>vlookup(C3973,'Classificação p pessoal'!F:G,2,false)</f>
        <v/>
      </c>
      <c r="E3973" s="65" t="s">
        <v>2886</v>
      </c>
      <c r="F3973" s="83">
        <v>0.6458333333333334</v>
      </c>
      <c r="G3973" s="83">
        <v>0.7083333333333334</v>
      </c>
      <c r="H3973" s="83">
        <v>0.0625</v>
      </c>
      <c r="I3973" s="84">
        <v>44270.0</v>
      </c>
      <c r="J3973" s="65" t="b">
        <v>1</v>
      </c>
      <c r="K3973" s="65"/>
      <c r="L3973" s="85" t="b">
        <f>IF(VLOOKUP(C3973,Projetos!A:L,12,false)=TRUE,TRUE,FALSE)</f>
        <v>1</v>
      </c>
      <c r="M3973" s="74">
        <v>52.1518759018759</v>
      </c>
      <c r="N3973" s="74">
        <f t="shared" si="1"/>
        <v>78.22781385</v>
      </c>
      <c r="O3973" s="74" t="b">
        <v>1</v>
      </c>
    </row>
    <row r="3974" hidden="1">
      <c r="A3974" s="82"/>
      <c r="B3974" s="65" t="s">
        <v>467</v>
      </c>
      <c r="C3974" s="65" t="s">
        <v>92</v>
      </c>
      <c r="D3974" s="65" t="str">
        <f>vlookup(C3974,'Classificação p pessoal'!F:G,2,false)</f>
        <v/>
      </c>
      <c r="E3974" s="65" t="s">
        <v>2887</v>
      </c>
      <c r="F3974" s="83">
        <v>0.4583333333333333</v>
      </c>
      <c r="G3974" s="83">
        <v>0.5</v>
      </c>
      <c r="H3974" s="83">
        <v>0.041666666666666664</v>
      </c>
      <c r="I3974" s="84">
        <v>44271.0</v>
      </c>
      <c r="J3974" s="65" t="b">
        <v>1</v>
      </c>
      <c r="K3974" s="65"/>
      <c r="L3974" s="85" t="b">
        <f>IF(VLOOKUP(C3974,Projetos!A:L,12,false)=TRUE,TRUE,FALSE)</f>
        <v>1</v>
      </c>
      <c r="M3974" s="74">
        <v>52.1518759018759</v>
      </c>
      <c r="N3974" s="74">
        <f t="shared" si="1"/>
        <v>52.1518759</v>
      </c>
      <c r="O3974" s="74" t="b">
        <v>1</v>
      </c>
    </row>
    <row r="3975" hidden="1">
      <c r="A3975" s="82"/>
      <c r="B3975" s="65" t="s">
        <v>467</v>
      </c>
      <c r="C3975" s="65" t="s">
        <v>92</v>
      </c>
      <c r="D3975" s="65" t="str">
        <f>vlookup(C3975,'Classificação p pessoal'!F:G,2,false)</f>
        <v/>
      </c>
      <c r="E3975" s="65" t="s">
        <v>2888</v>
      </c>
      <c r="F3975" s="83">
        <v>0.6666666666666666</v>
      </c>
      <c r="G3975" s="83">
        <v>0.75</v>
      </c>
      <c r="H3975" s="83">
        <v>0.08333333333333333</v>
      </c>
      <c r="I3975" s="84">
        <v>44272.0</v>
      </c>
      <c r="J3975" s="65" t="b">
        <v>1</v>
      </c>
      <c r="K3975" s="65"/>
      <c r="L3975" s="85" t="b">
        <f>IF(VLOOKUP(C3975,Projetos!A:L,12,false)=TRUE,TRUE,FALSE)</f>
        <v>1</v>
      </c>
      <c r="M3975" s="74">
        <v>52.1518759018759</v>
      </c>
      <c r="N3975" s="74">
        <f t="shared" si="1"/>
        <v>104.3037518</v>
      </c>
      <c r="O3975" s="74" t="b">
        <v>1</v>
      </c>
    </row>
    <row r="3976" hidden="1">
      <c r="A3976" s="82"/>
      <c r="B3976" s="65" t="s">
        <v>467</v>
      </c>
      <c r="C3976" s="65" t="s">
        <v>92</v>
      </c>
      <c r="D3976" s="65" t="str">
        <f>vlookup(C3976,'Classificação p pessoal'!F:G,2,false)</f>
        <v/>
      </c>
      <c r="E3976" s="65" t="s">
        <v>2889</v>
      </c>
      <c r="F3976" s="83">
        <v>0.4375</v>
      </c>
      <c r="G3976" s="83">
        <v>0.5</v>
      </c>
      <c r="H3976" s="83">
        <v>0.0625</v>
      </c>
      <c r="I3976" s="84">
        <v>44272.0</v>
      </c>
      <c r="J3976" s="65" t="b">
        <v>1</v>
      </c>
      <c r="K3976" s="65"/>
      <c r="L3976" s="85" t="b">
        <f>IF(VLOOKUP(C3976,Projetos!A:L,12,false)=TRUE,TRUE,FALSE)</f>
        <v>1</v>
      </c>
      <c r="M3976" s="74">
        <v>52.1518759018759</v>
      </c>
      <c r="N3976" s="74">
        <f t="shared" si="1"/>
        <v>78.22781385</v>
      </c>
      <c r="O3976" s="74" t="b">
        <v>1</v>
      </c>
    </row>
    <row r="3977" hidden="1">
      <c r="A3977" s="82"/>
      <c r="B3977" s="65" t="s">
        <v>467</v>
      </c>
      <c r="C3977" s="65" t="s">
        <v>88</v>
      </c>
      <c r="D3977" s="65" t="str">
        <f>vlookup(C3977,'Classificação p pessoal'!F:G,2,false)</f>
        <v>MProduto</v>
      </c>
      <c r="E3977" s="65" t="s">
        <v>2890</v>
      </c>
      <c r="F3977" s="83">
        <v>0.3541666666666667</v>
      </c>
      <c r="G3977" s="83">
        <v>0.3958333333333333</v>
      </c>
      <c r="H3977" s="83">
        <v>0.041666666666666664</v>
      </c>
      <c r="I3977" s="84">
        <v>44273.0</v>
      </c>
      <c r="J3977" s="65" t="b">
        <v>1</v>
      </c>
      <c r="K3977" s="65"/>
      <c r="L3977" s="85" t="b">
        <f>IF(VLOOKUP(C3977,Projetos!A:L,12,false)=TRUE,TRUE,FALSE)</f>
        <v>1</v>
      </c>
      <c r="M3977" s="74">
        <v>52.1518759018759</v>
      </c>
      <c r="N3977" s="74">
        <f t="shared" si="1"/>
        <v>52.1518759</v>
      </c>
      <c r="O3977" s="74" t="b">
        <v>1</v>
      </c>
    </row>
    <row r="3978" hidden="1">
      <c r="A3978" s="82"/>
      <c r="B3978" s="65" t="s">
        <v>467</v>
      </c>
      <c r="C3978" s="65" t="s">
        <v>130</v>
      </c>
      <c r="D3978" s="65" t="str">
        <f>vlookup(C3978,'Classificação p pessoal'!F:G,2,false)</f>
        <v>NP</v>
      </c>
      <c r="E3978" s="65" t="s">
        <v>2891</v>
      </c>
      <c r="F3978" s="83">
        <v>0.4166666666666667</v>
      </c>
      <c r="G3978" s="83">
        <v>0.6666666666666666</v>
      </c>
      <c r="H3978" s="83">
        <v>0.25</v>
      </c>
      <c r="I3978" s="84">
        <v>44273.0</v>
      </c>
      <c r="J3978" s="65" t="b">
        <v>1</v>
      </c>
      <c r="K3978" s="65"/>
      <c r="L3978" s="85" t="b">
        <f>IF(VLOOKUP(C3978,Projetos!A:L,12,false)=TRUE,TRUE,FALSE)</f>
        <v>1</v>
      </c>
      <c r="M3978" s="74">
        <v>52.1518759018759</v>
      </c>
      <c r="N3978" s="74">
        <f t="shared" si="1"/>
        <v>312.9112554</v>
      </c>
      <c r="O3978" s="74" t="b">
        <v>1</v>
      </c>
    </row>
    <row r="3979" hidden="1">
      <c r="A3979" s="82"/>
      <c r="B3979" s="65" t="s">
        <v>467</v>
      </c>
      <c r="C3979" s="65" t="s">
        <v>92</v>
      </c>
      <c r="D3979" s="65" t="str">
        <f>vlookup(C3979,'Classificação p pessoal'!F:G,2,false)</f>
        <v/>
      </c>
      <c r="E3979" s="65" t="s">
        <v>2892</v>
      </c>
      <c r="F3979" s="83">
        <v>0.5416666666666666</v>
      </c>
      <c r="G3979" s="83">
        <v>0.625</v>
      </c>
      <c r="H3979" s="83">
        <v>0.08333333333333333</v>
      </c>
      <c r="I3979" s="84">
        <v>44274.0</v>
      </c>
      <c r="J3979" s="65" t="b">
        <v>1</v>
      </c>
      <c r="K3979" s="65"/>
      <c r="L3979" s="85" t="b">
        <f>IF(VLOOKUP(C3979,Projetos!A:L,12,false)=TRUE,TRUE,FALSE)</f>
        <v>1</v>
      </c>
      <c r="M3979" s="74">
        <v>52.1518759018759</v>
      </c>
      <c r="N3979" s="74">
        <f t="shared" si="1"/>
        <v>104.3037518</v>
      </c>
      <c r="O3979" s="74" t="b">
        <v>1</v>
      </c>
    </row>
    <row r="3980" hidden="1">
      <c r="A3980" s="82"/>
      <c r="B3980" s="65" t="s">
        <v>467</v>
      </c>
      <c r="C3980" s="65" t="s">
        <v>113</v>
      </c>
      <c r="D3980" s="65" t="str">
        <f>vlookup(C3980,'Classificação p pessoal'!F:G,2,false)</f>
        <v>NP</v>
      </c>
      <c r="E3980" s="65" t="s">
        <v>2893</v>
      </c>
      <c r="F3980" s="83">
        <v>0.6458333333333334</v>
      </c>
      <c r="G3980" s="83">
        <v>0.6875</v>
      </c>
      <c r="H3980" s="83">
        <v>0.041666666666666664</v>
      </c>
      <c r="I3980" s="84">
        <v>44274.0</v>
      </c>
      <c r="J3980" s="65" t="b">
        <v>1</v>
      </c>
      <c r="K3980" s="65"/>
      <c r="L3980" s="85" t="b">
        <f>IF(VLOOKUP(C3980,Projetos!A:L,12,false)=TRUE,TRUE,FALSE)</f>
        <v>1</v>
      </c>
      <c r="M3980" s="74">
        <v>52.1518759018759</v>
      </c>
      <c r="N3980" s="74">
        <f t="shared" si="1"/>
        <v>52.1518759</v>
      </c>
      <c r="O3980" s="74" t="b">
        <v>1</v>
      </c>
    </row>
    <row r="3981" hidden="1">
      <c r="A3981" s="82"/>
      <c r="B3981" s="65" t="s">
        <v>467</v>
      </c>
      <c r="C3981" s="65" t="s">
        <v>92</v>
      </c>
      <c r="D3981" s="65" t="str">
        <f>vlookup(C3981,'Classificação p pessoal'!F:G,2,false)</f>
        <v/>
      </c>
      <c r="E3981" s="65" t="s">
        <v>2894</v>
      </c>
      <c r="F3981" s="83">
        <v>0.3541666666666667</v>
      </c>
      <c r="G3981" s="83">
        <v>0.4375</v>
      </c>
      <c r="H3981" s="83">
        <v>0.08333333333333333</v>
      </c>
      <c r="I3981" s="84">
        <v>44277.0</v>
      </c>
      <c r="J3981" s="65" t="b">
        <v>1</v>
      </c>
      <c r="K3981" s="65"/>
      <c r="L3981" s="85" t="b">
        <f>IF(VLOOKUP(C3981,Projetos!A:L,12,false)=TRUE,TRUE,FALSE)</f>
        <v>1</v>
      </c>
      <c r="M3981" s="74">
        <v>52.1518759018759</v>
      </c>
      <c r="N3981" s="74">
        <f t="shared" si="1"/>
        <v>104.3037518</v>
      </c>
      <c r="O3981" s="74" t="b">
        <v>1</v>
      </c>
    </row>
    <row r="3982" hidden="1">
      <c r="A3982" s="82"/>
      <c r="B3982" s="65" t="s">
        <v>467</v>
      </c>
      <c r="C3982" s="65" t="s">
        <v>92</v>
      </c>
      <c r="D3982" s="65" t="str">
        <f>vlookup(C3982,'Classificação p pessoal'!F:G,2,false)</f>
        <v/>
      </c>
      <c r="E3982" s="65" t="s">
        <v>2895</v>
      </c>
      <c r="F3982" s="83">
        <v>0.5833333333333334</v>
      </c>
      <c r="G3982" s="83">
        <v>0.6666666666666666</v>
      </c>
      <c r="H3982" s="83">
        <v>0.08333333333333333</v>
      </c>
      <c r="I3982" s="84">
        <v>44277.0</v>
      </c>
      <c r="J3982" s="65" t="b">
        <v>1</v>
      </c>
      <c r="K3982" s="65"/>
      <c r="L3982" s="85" t="b">
        <f>IF(VLOOKUP(C3982,Projetos!A:L,12,false)=TRUE,TRUE,FALSE)</f>
        <v>1</v>
      </c>
      <c r="M3982" s="74">
        <v>52.1518759018759</v>
      </c>
      <c r="N3982" s="74">
        <f t="shared" si="1"/>
        <v>104.3037518</v>
      </c>
      <c r="O3982" s="74" t="b">
        <v>1</v>
      </c>
    </row>
    <row r="3983" hidden="1">
      <c r="A3983" s="82"/>
      <c r="B3983" s="65" t="s">
        <v>467</v>
      </c>
      <c r="C3983" s="65" t="s">
        <v>122</v>
      </c>
      <c r="D3983" s="65" t="str">
        <f>vlookup(C3983,'Classificação p pessoal'!F:G,2,false)</f>
        <v>NP</v>
      </c>
      <c r="E3983" s="65" t="s">
        <v>2896</v>
      </c>
      <c r="F3983" s="83">
        <v>0.6666666666666666</v>
      </c>
      <c r="G3983" s="83">
        <v>0.7291666666666666</v>
      </c>
      <c r="H3983" s="83">
        <v>0.0625</v>
      </c>
      <c r="I3983" s="84">
        <v>44277.0</v>
      </c>
      <c r="J3983" s="65" t="b">
        <v>1</v>
      </c>
      <c r="K3983" s="65"/>
      <c r="L3983" s="85" t="b">
        <f>IF(VLOOKUP(C3983,Projetos!A:L,12,false)=TRUE,TRUE,FALSE)</f>
        <v>1</v>
      </c>
      <c r="M3983" s="74">
        <v>52.1518759018759</v>
      </c>
      <c r="N3983" s="74">
        <f t="shared" si="1"/>
        <v>78.22781385</v>
      </c>
      <c r="O3983" s="74" t="b">
        <v>1</v>
      </c>
    </row>
    <row r="3984" hidden="1">
      <c r="A3984" s="82"/>
      <c r="B3984" s="65" t="s">
        <v>467</v>
      </c>
      <c r="C3984" s="65" t="s">
        <v>92</v>
      </c>
      <c r="D3984" s="65" t="str">
        <f>vlookup(C3984,'Classificação p pessoal'!F:G,2,false)</f>
        <v/>
      </c>
      <c r="E3984" s="65" t="s">
        <v>2897</v>
      </c>
      <c r="F3984" s="83">
        <v>0.3541666666666667</v>
      </c>
      <c r="G3984" s="83">
        <v>0.5</v>
      </c>
      <c r="H3984" s="83">
        <v>0.14583333333333334</v>
      </c>
      <c r="I3984" s="84">
        <v>44278.0</v>
      </c>
      <c r="J3984" s="65" t="b">
        <v>1</v>
      </c>
      <c r="K3984" s="65"/>
      <c r="L3984" s="85" t="b">
        <f>IF(VLOOKUP(C3984,Projetos!A:L,12,false)=TRUE,TRUE,FALSE)</f>
        <v>1</v>
      </c>
      <c r="M3984" s="74">
        <v>52.1518759018759</v>
      </c>
      <c r="N3984" s="74">
        <f t="shared" si="1"/>
        <v>182.5315657</v>
      </c>
      <c r="O3984" s="74" t="b">
        <v>1</v>
      </c>
    </row>
    <row r="3985" hidden="1">
      <c r="A3985" s="82"/>
      <c r="B3985" s="65" t="s">
        <v>467</v>
      </c>
      <c r="C3985" s="65" t="s">
        <v>88</v>
      </c>
      <c r="D3985" s="65" t="str">
        <f>vlookup(C3985,'Classificação p pessoal'!F:G,2,false)</f>
        <v>MProduto</v>
      </c>
      <c r="E3985" s="65" t="s">
        <v>2898</v>
      </c>
      <c r="F3985" s="83">
        <v>0.5833333333333334</v>
      </c>
      <c r="G3985" s="83">
        <v>0.6458333333333334</v>
      </c>
      <c r="H3985" s="83">
        <v>0.0625</v>
      </c>
      <c r="I3985" s="84">
        <v>44278.0</v>
      </c>
      <c r="J3985" s="65" t="b">
        <v>1</v>
      </c>
      <c r="K3985" s="65"/>
      <c r="L3985" s="85" t="b">
        <f>IF(VLOOKUP(C3985,Projetos!A:L,12,false)=TRUE,TRUE,FALSE)</f>
        <v>1</v>
      </c>
      <c r="M3985" s="74">
        <v>52.1518759018759</v>
      </c>
      <c r="N3985" s="74">
        <f t="shared" si="1"/>
        <v>78.22781385</v>
      </c>
      <c r="O3985" s="74" t="b">
        <v>1</v>
      </c>
    </row>
    <row r="3986" hidden="1">
      <c r="A3986" s="82"/>
      <c r="B3986" s="65" t="s">
        <v>467</v>
      </c>
      <c r="C3986" s="65" t="s">
        <v>122</v>
      </c>
      <c r="D3986" s="65" t="str">
        <f>vlookup(C3986,'Classificação p pessoal'!F:G,2,false)</f>
        <v>NP</v>
      </c>
      <c r="E3986" s="65" t="s">
        <v>2899</v>
      </c>
      <c r="F3986" s="83">
        <v>0.6458333333333334</v>
      </c>
      <c r="G3986" s="83">
        <v>0.65625</v>
      </c>
      <c r="H3986" s="83">
        <v>0.010416666666666666</v>
      </c>
      <c r="I3986" s="84">
        <v>44278.0</v>
      </c>
      <c r="J3986" s="65" t="b">
        <v>1</v>
      </c>
      <c r="K3986" s="65"/>
      <c r="L3986" s="85" t="b">
        <f>IF(VLOOKUP(C3986,Projetos!A:L,12,false)=TRUE,TRUE,FALSE)</f>
        <v>1</v>
      </c>
      <c r="M3986" s="74">
        <v>52.1518759018759</v>
      </c>
      <c r="N3986" s="74">
        <f t="shared" si="1"/>
        <v>13.03796898</v>
      </c>
      <c r="O3986" s="74" t="b">
        <v>1</v>
      </c>
    </row>
    <row r="3987" hidden="1">
      <c r="A3987" s="82"/>
      <c r="B3987" s="65" t="s">
        <v>467</v>
      </c>
      <c r="C3987" s="65" t="s">
        <v>122</v>
      </c>
      <c r="D3987" s="65" t="str">
        <f>vlookup(C3987,'Classificação p pessoal'!F:G,2,false)</f>
        <v>NP</v>
      </c>
      <c r="E3987" s="65" t="s">
        <v>2900</v>
      </c>
      <c r="F3987" s="83">
        <v>0.5833333333333334</v>
      </c>
      <c r="G3987" s="83">
        <v>0.625</v>
      </c>
      <c r="H3987" s="83">
        <v>0.041666666666666664</v>
      </c>
      <c r="I3987" s="84">
        <v>44279.0</v>
      </c>
      <c r="J3987" s="65" t="b">
        <v>1</v>
      </c>
      <c r="K3987" s="65"/>
      <c r="L3987" s="85" t="b">
        <f>IF(VLOOKUP(C3987,Projetos!A:L,12,false)=TRUE,TRUE,FALSE)</f>
        <v>1</v>
      </c>
      <c r="M3987" s="74">
        <v>52.1518759018759</v>
      </c>
      <c r="N3987" s="74">
        <f t="shared" si="1"/>
        <v>52.1518759</v>
      </c>
      <c r="O3987" s="74" t="b">
        <v>1</v>
      </c>
    </row>
    <row r="3988" hidden="1">
      <c r="A3988" s="82"/>
      <c r="B3988" s="65" t="s">
        <v>467</v>
      </c>
      <c r="C3988" s="65" t="s">
        <v>122</v>
      </c>
      <c r="D3988" s="65" t="str">
        <f>vlookup(C3988,'Classificação p pessoal'!F:G,2,false)</f>
        <v>NP</v>
      </c>
      <c r="E3988" s="65" t="s">
        <v>2901</v>
      </c>
      <c r="F3988" s="83">
        <v>0.6458333333333334</v>
      </c>
      <c r="G3988" s="83">
        <v>0.7083333333333334</v>
      </c>
      <c r="H3988" s="83">
        <v>0.0625</v>
      </c>
      <c r="I3988" s="84">
        <v>44279.0</v>
      </c>
      <c r="J3988" s="65" t="b">
        <v>1</v>
      </c>
      <c r="K3988" s="65"/>
      <c r="L3988" s="85" t="b">
        <f>IF(VLOOKUP(C3988,Projetos!A:L,12,false)=TRUE,TRUE,FALSE)</f>
        <v>1</v>
      </c>
      <c r="M3988" s="74">
        <v>52.1518759018759</v>
      </c>
      <c r="N3988" s="74">
        <f t="shared" si="1"/>
        <v>78.22781385</v>
      </c>
      <c r="O3988" s="74" t="b">
        <v>1</v>
      </c>
    </row>
    <row r="3989" hidden="1">
      <c r="A3989" s="82"/>
      <c r="B3989" s="65" t="s">
        <v>467</v>
      </c>
      <c r="C3989" s="65" t="s">
        <v>113</v>
      </c>
      <c r="D3989" s="65" t="str">
        <f>vlookup(C3989,'Classificação p pessoal'!F:G,2,false)</f>
        <v>NP</v>
      </c>
      <c r="E3989" s="65" t="s">
        <v>2902</v>
      </c>
      <c r="F3989" s="83">
        <v>0.4375</v>
      </c>
      <c r="G3989" s="83">
        <v>0.5</v>
      </c>
      <c r="H3989" s="83">
        <v>0.0625</v>
      </c>
      <c r="I3989" s="84">
        <v>44279.0</v>
      </c>
      <c r="J3989" s="65" t="b">
        <v>1</v>
      </c>
      <c r="K3989" s="65"/>
      <c r="L3989" s="85" t="b">
        <f>IF(VLOOKUP(C3989,Projetos!A:L,12,false)=TRUE,TRUE,FALSE)</f>
        <v>1</v>
      </c>
      <c r="M3989" s="74">
        <v>52.1518759018759</v>
      </c>
      <c r="N3989" s="74">
        <f t="shared" si="1"/>
        <v>78.22781385</v>
      </c>
      <c r="O3989" s="74" t="b">
        <v>1</v>
      </c>
    </row>
    <row r="3990" hidden="1">
      <c r="A3990" s="82"/>
      <c r="B3990" s="65" t="s">
        <v>467</v>
      </c>
      <c r="C3990" s="65" t="s">
        <v>120</v>
      </c>
      <c r="D3990" s="65"/>
      <c r="E3990" s="65" t="s">
        <v>2903</v>
      </c>
      <c r="F3990" s="83">
        <v>0.6666666666666666</v>
      </c>
      <c r="G3990" s="83">
        <v>0.7083333333333334</v>
      </c>
      <c r="H3990" s="83">
        <v>0.041666666666666664</v>
      </c>
      <c r="I3990" s="84">
        <v>44279.0</v>
      </c>
      <c r="J3990" s="65" t="b">
        <v>0</v>
      </c>
      <c r="K3990" s="65"/>
      <c r="L3990" s="85" t="b">
        <f>IF(VLOOKUP(C3990,Projetos!A:L,12,false)=TRUE,TRUE,FALSE)</f>
        <v>0</v>
      </c>
      <c r="M3990" s="74">
        <v>52.1518759018759</v>
      </c>
      <c r="N3990" s="74">
        <f t="shared" si="1"/>
        <v>0</v>
      </c>
      <c r="O3990" s="74" t="b">
        <v>0</v>
      </c>
    </row>
    <row r="3991" hidden="1">
      <c r="A3991" s="82"/>
      <c r="B3991" s="65" t="s">
        <v>467</v>
      </c>
      <c r="C3991" s="65" t="s">
        <v>92</v>
      </c>
      <c r="D3991" s="65" t="str">
        <f>vlookup(C3991,'Classificação p pessoal'!F:G,2,false)</f>
        <v/>
      </c>
      <c r="E3991" s="65" t="s">
        <v>2904</v>
      </c>
      <c r="F3991" s="83">
        <v>0.4583333333333333</v>
      </c>
      <c r="G3991" s="83">
        <v>0.5</v>
      </c>
      <c r="H3991" s="83">
        <v>0.041666666666666664</v>
      </c>
      <c r="I3991" s="84">
        <v>44280.0</v>
      </c>
      <c r="J3991" s="65" t="b">
        <v>1</v>
      </c>
      <c r="K3991" s="65"/>
      <c r="L3991" s="85" t="b">
        <f>IF(VLOOKUP(C3991,Projetos!A:L,12,false)=TRUE,TRUE,FALSE)</f>
        <v>1</v>
      </c>
      <c r="M3991" s="74">
        <v>52.1518759018759</v>
      </c>
      <c r="N3991" s="74">
        <f t="shared" si="1"/>
        <v>52.1518759</v>
      </c>
      <c r="O3991" s="74" t="b">
        <v>1</v>
      </c>
    </row>
    <row r="3992" hidden="1">
      <c r="A3992" s="82"/>
      <c r="B3992" s="65" t="s">
        <v>467</v>
      </c>
      <c r="C3992" s="65" t="s">
        <v>113</v>
      </c>
      <c r="D3992" s="65" t="str">
        <f>vlookup(C3992,'Classificação p pessoal'!F:G,2,false)</f>
        <v>NP</v>
      </c>
      <c r="E3992" s="65" t="s">
        <v>2905</v>
      </c>
      <c r="F3992" s="83">
        <v>0.5833333333333334</v>
      </c>
      <c r="G3992" s="83">
        <v>0.6666666666666666</v>
      </c>
      <c r="H3992" s="83">
        <v>0.08333333333333333</v>
      </c>
      <c r="I3992" s="84">
        <v>44280.0</v>
      </c>
      <c r="J3992" s="65" t="b">
        <v>1</v>
      </c>
      <c r="K3992" s="65"/>
      <c r="L3992" s="85" t="b">
        <f>IF(VLOOKUP(C3992,Projetos!A:L,12,false)=TRUE,TRUE,FALSE)</f>
        <v>1</v>
      </c>
      <c r="M3992" s="74">
        <v>52.1518759018759</v>
      </c>
      <c r="N3992" s="74">
        <f t="shared" si="1"/>
        <v>104.3037518</v>
      </c>
      <c r="O3992" s="74" t="b">
        <v>1</v>
      </c>
    </row>
    <row r="3993" hidden="1">
      <c r="A3993" s="82"/>
      <c r="B3993" s="65" t="s">
        <v>467</v>
      </c>
      <c r="C3993" s="65" t="s">
        <v>92</v>
      </c>
      <c r="D3993" s="65" t="str">
        <f>vlookup(C3993,'Classificação p pessoal'!F:G,2,false)</f>
        <v/>
      </c>
      <c r="E3993" s="65" t="s">
        <v>2906</v>
      </c>
      <c r="F3993" s="83">
        <v>0.6666666666666666</v>
      </c>
      <c r="G3993" s="83">
        <v>0.7083333333333334</v>
      </c>
      <c r="H3993" s="83">
        <v>0.041666666666666664</v>
      </c>
      <c r="I3993" s="84">
        <v>44280.0</v>
      </c>
      <c r="J3993" s="65" t="b">
        <v>1</v>
      </c>
      <c r="K3993" s="65"/>
      <c r="L3993" s="85" t="b">
        <f>IF(VLOOKUP(C3993,Projetos!A:L,12,false)=TRUE,TRUE,FALSE)</f>
        <v>1</v>
      </c>
      <c r="M3993" s="74">
        <v>52.1518759018759</v>
      </c>
      <c r="N3993" s="74">
        <f t="shared" si="1"/>
        <v>52.1518759</v>
      </c>
      <c r="O3993" s="74" t="b">
        <v>1</v>
      </c>
    </row>
    <row r="3994" hidden="1">
      <c r="A3994" s="82"/>
      <c r="B3994" s="65" t="s">
        <v>467</v>
      </c>
      <c r="C3994" s="65" t="s">
        <v>92</v>
      </c>
      <c r="D3994" s="65" t="str">
        <f>vlookup(C3994,'Classificação p pessoal'!F:G,2,false)</f>
        <v/>
      </c>
      <c r="E3994" s="65" t="s">
        <v>2907</v>
      </c>
      <c r="F3994" s="83">
        <v>0.7083333333333334</v>
      </c>
      <c r="G3994" s="83">
        <v>0.75</v>
      </c>
      <c r="H3994" s="83">
        <v>0.041666666666666664</v>
      </c>
      <c r="I3994" s="84">
        <v>44280.0</v>
      </c>
      <c r="J3994" s="65" t="b">
        <v>1</v>
      </c>
      <c r="K3994" s="65"/>
      <c r="L3994" s="85" t="b">
        <f>IF(VLOOKUP(C3994,Projetos!A:L,12,false)=TRUE,TRUE,FALSE)</f>
        <v>1</v>
      </c>
      <c r="M3994" s="74">
        <v>52.1518759018759</v>
      </c>
      <c r="N3994" s="74">
        <f t="shared" si="1"/>
        <v>52.1518759</v>
      </c>
      <c r="O3994" s="74" t="b">
        <v>1</v>
      </c>
    </row>
    <row r="3995" hidden="1">
      <c r="A3995" s="82"/>
      <c r="B3995" s="65" t="s">
        <v>467</v>
      </c>
      <c r="C3995" s="65" t="s">
        <v>92</v>
      </c>
      <c r="D3995" s="65" t="str">
        <f>vlookup(C3995,'Classificação p pessoal'!F:G,2,false)</f>
        <v/>
      </c>
      <c r="E3995" s="65" t="s">
        <v>2908</v>
      </c>
      <c r="F3995" s="83">
        <v>0.4583333333333333</v>
      </c>
      <c r="G3995" s="83">
        <v>0.5</v>
      </c>
      <c r="H3995" s="83">
        <v>0.041666666666666664</v>
      </c>
      <c r="I3995" s="84">
        <v>44281.0</v>
      </c>
      <c r="J3995" s="65" t="b">
        <v>1</v>
      </c>
      <c r="K3995" s="65"/>
      <c r="L3995" s="85" t="b">
        <f>IF(VLOOKUP(C3995,Projetos!A:L,12,false)=TRUE,TRUE,FALSE)</f>
        <v>1</v>
      </c>
      <c r="M3995" s="74">
        <v>52.1518759018759</v>
      </c>
      <c r="N3995" s="74">
        <f t="shared" si="1"/>
        <v>52.1518759</v>
      </c>
      <c r="O3995" s="74" t="b">
        <v>1</v>
      </c>
    </row>
    <row r="3996" hidden="1">
      <c r="A3996" s="82"/>
      <c r="B3996" s="65" t="s">
        <v>467</v>
      </c>
      <c r="C3996" s="65" t="s">
        <v>130</v>
      </c>
      <c r="D3996" s="65" t="str">
        <f>vlookup(C3996,'Classificação p pessoal'!F:G,2,false)</f>
        <v>NP</v>
      </c>
      <c r="E3996" s="65" t="s">
        <v>2909</v>
      </c>
      <c r="F3996" s="83">
        <v>0.5833333333333334</v>
      </c>
      <c r="G3996" s="83">
        <v>0.6666666666666666</v>
      </c>
      <c r="H3996" s="83">
        <v>0.08333333333333333</v>
      </c>
      <c r="I3996" s="84">
        <v>44281.0</v>
      </c>
      <c r="J3996" s="65" t="b">
        <v>1</v>
      </c>
      <c r="K3996" s="65"/>
      <c r="L3996" s="85" t="b">
        <f>IF(VLOOKUP(C3996,Projetos!A:L,12,false)=TRUE,TRUE,FALSE)</f>
        <v>1</v>
      </c>
      <c r="M3996" s="74">
        <v>52.1518759018759</v>
      </c>
      <c r="N3996" s="74">
        <f t="shared" si="1"/>
        <v>104.3037518</v>
      </c>
      <c r="O3996" s="74" t="b">
        <v>1</v>
      </c>
    </row>
    <row r="3997" hidden="1">
      <c r="A3997" s="82"/>
      <c r="B3997" s="65" t="s">
        <v>467</v>
      </c>
      <c r="C3997" s="65" t="s">
        <v>113</v>
      </c>
      <c r="D3997" s="65" t="str">
        <f>vlookup(C3997,'Classificação p pessoal'!F:G,2,false)</f>
        <v>NP</v>
      </c>
      <c r="E3997" s="65" t="s">
        <v>2910</v>
      </c>
      <c r="F3997" s="83">
        <v>0.6666666666666666</v>
      </c>
      <c r="G3997" s="83">
        <v>0.7291666666666666</v>
      </c>
      <c r="H3997" s="83">
        <v>0.0625</v>
      </c>
      <c r="I3997" s="84">
        <v>44281.0</v>
      </c>
      <c r="J3997" s="65" t="b">
        <v>1</v>
      </c>
      <c r="K3997" s="65"/>
      <c r="L3997" s="85" t="b">
        <f>IF(VLOOKUP(C3997,Projetos!A:L,12,false)=TRUE,TRUE,FALSE)</f>
        <v>1</v>
      </c>
      <c r="M3997" s="74">
        <v>52.1518759018759</v>
      </c>
      <c r="N3997" s="74">
        <f t="shared" si="1"/>
        <v>78.22781385</v>
      </c>
      <c r="O3997" s="74" t="b">
        <v>1</v>
      </c>
    </row>
    <row r="3998" hidden="1">
      <c r="A3998" s="82"/>
      <c r="B3998" s="65" t="s">
        <v>467</v>
      </c>
      <c r="C3998" s="65" t="s">
        <v>92</v>
      </c>
      <c r="D3998" s="65" t="str">
        <f>vlookup(C3998,'Classificação p pessoal'!F:G,2,false)</f>
        <v/>
      </c>
      <c r="E3998" s="65" t="s">
        <v>2911</v>
      </c>
      <c r="F3998" s="83">
        <v>0.3472222222222222</v>
      </c>
      <c r="G3998" s="83">
        <v>0.4375</v>
      </c>
      <c r="H3998" s="83">
        <v>0.09027777777777778</v>
      </c>
      <c r="I3998" s="84">
        <v>44284.0</v>
      </c>
      <c r="J3998" s="65" t="b">
        <v>1</v>
      </c>
      <c r="K3998" s="65"/>
      <c r="L3998" s="85" t="b">
        <f>IF(VLOOKUP(C3998,Projetos!A:L,12,false)=TRUE,TRUE,FALSE)</f>
        <v>1</v>
      </c>
      <c r="M3998" s="74">
        <v>52.1518759018759</v>
      </c>
      <c r="N3998" s="74">
        <f t="shared" si="1"/>
        <v>112.9957311</v>
      </c>
      <c r="O3998" s="74" t="b">
        <v>1</v>
      </c>
    </row>
    <row r="3999" hidden="1">
      <c r="A3999" s="82"/>
      <c r="B3999" s="65" t="s">
        <v>467</v>
      </c>
      <c r="C3999" s="65" t="s">
        <v>122</v>
      </c>
      <c r="D3999" s="65" t="str">
        <f>vlookup(C3999,'Classificação p pessoal'!F:G,2,false)</f>
        <v>NP</v>
      </c>
      <c r="E3999" s="65" t="s">
        <v>2912</v>
      </c>
      <c r="F3999" s="83">
        <v>0.4375</v>
      </c>
      <c r="G3999" s="83">
        <v>0.4583333333333333</v>
      </c>
      <c r="H3999" s="83">
        <v>0.020833333333333332</v>
      </c>
      <c r="I3999" s="84">
        <v>44284.0</v>
      </c>
      <c r="J3999" s="65" t="b">
        <v>1</v>
      </c>
      <c r="K3999" s="65"/>
      <c r="L3999" s="85" t="b">
        <f>IF(VLOOKUP(C3999,Projetos!A:L,12,false)=TRUE,TRUE,FALSE)</f>
        <v>1</v>
      </c>
      <c r="M3999" s="74">
        <v>52.1518759018759</v>
      </c>
      <c r="N3999" s="74">
        <f t="shared" si="1"/>
        <v>26.07593795</v>
      </c>
      <c r="O3999" s="74" t="b">
        <v>1</v>
      </c>
    </row>
    <row r="4000" hidden="1">
      <c r="A4000" s="82"/>
      <c r="B4000" s="65" t="s">
        <v>467</v>
      </c>
      <c r="C4000" s="65" t="s">
        <v>113</v>
      </c>
      <c r="D4000" s="65" t="str">
        <f>vlookup(C4000,'Classificação p pessoal'!F:G,2,false)</f>
        <v>NP</v>
      </c>
      <c r="E4000" s="65" t="s">
        <v>2913</v>
      </c>
      <c r="F4000" s="83">
        <v>0.4583333333333333</v>
      </c>
      <c r="G4000" s="83">
        <v>0.5</v>
      </c>
      <c r="H4000" s="83">
        <v>0.041666666666666664</v>
      </c>
      <c r="I4000" s="84">
        <v>44284.0</v>
      </c>
      <c r="J4000" s="65" t="b">
        <v>1</v>
      </c>
      <c r="K4000" s="65"/>
      <c r="L4000" s="85" t="b">
        <f>IF(VLOOKUP(C4000,Projetos!A:L,12,false)=TRUE,TRUE,FALSE)</f>
        <v>1</v>
      </c>
      <c r="M4000" s="74">
        <v>52.1518759018759</v>
      </c>
      <c r="N4000" s="74">
        <f t="shared" si="1"/>
        <v>52.1518759</v>
      </c>
      <c r="O4000" s="74" t="b">
        <v>1</v>
      </c>
    </row>
    <row r="4001" hidden="1">
      <c r="A4001" s="82"/>
      <c r="B4001" s="65" t="s">
        <v>467</v>
      </c>
      <c r="C4001" s="65" t="s">
        <v>120</v>
      </c>
      <c r="D4001" s="65"/>
      <c r="E4001" s="65" t="s">
        <v>2914</v>
      </c>
      <c r="F4001" s="83">
        <v>0.6041666666666666</v>
      </c>
      <c r="G4001" s="83">
        <v>0.6458333333333334</v>
      </c>
      <c r="H4001" s="83">
        <v>0.041666666666666664</v>
      </c>
      <c r="I4001" s="84">
        <v>44284.0</v>
      </c>
      <c r="J4001" s="65" t="b">
        <v>0</v>
      </c>
      <c r="K4001" s="65"/>
      <c r="L4001" s="85" t="b">
        <f>IF(VLOOKUP(C4001,Projetos!A:L,12,false)=TRUE,TRUE,FALSE)</f>
        <v>0</v>
      </c>
      <c r="M4001" s="74">
        <v>52.1518759018759</v>
      </c>
      <c r="N4001" s="74">
        <f t="shared" si="1"/>
        <v>0</v>
      </c>
      <c r="O4001" s="74" t="b">
        <v>0</v>
      </c>
    </row>
    <row r="4002" hidden="1">
      <c r="A4002" s="82"/>
      <c r="B4002" s="65" t="s">
        <v>467</v>
      </c>
      <c r="C4002" s="65" t="s">
        <v>92</v>
      </c>
      <c r="D4002" s="65" t="str">
        <f>vlookup(C4002,'Classificação p pessoal'!F:G,2,false)</f>
        <v/>
      </c>
      <c r="E4002" s="65" t="s">
        <v>2915</v>
      </c>
      <c r="F4002" s="83">
        <v>0.6458333333333334</v>
      </c>
      <c r="G4002" s="83">
        <v>0.7083333333333334</v>
      </c>
      <c r="H4002" s="83">
        <v>0.0625</v>
      </c>
      <c r="I4002" s="84">
        <v>44284.0</v>
      </c>
      <c r="J4002" s="65" t="b">
        <v>1</v>
      </c>
      <c r="K4002" s="65"/>
      <c r="L4002" s="85" t="b">
        <f>IF(VLOOKUP(C4002,Projetos!A:L,12,false)=TRUE,TRUE,FALSE)</f>
        <v>1</v>
      </c>
      <c r="M4002" s="74">
        <v>52.1518759018759</v>
      </c>
      <c r="N4002" s="74">
        <f t="shared" si="1"/>
        <v>78.22781385</v>
      </c>
      <c r="O4002" s="74" t="b">
        <v>1</v>
      </c>
    </row>
    <row r="4003" hidden="1">
      <c r="A4003" s="82"/>
      <c r="B4003" s="65" t="s">
        <v>467</v>
      </c>
      <c r="C4003" s="65" t="s">
        <v>92</v>
      </c>
      <c r="D4003" s="65" t="str">
        <f>vlookup(C4003,'Classificação p pessoal'!F:G,2,false)</f>
        <v/>
      </c>
      <c r="E4003" s="65" t="s">
        <v>2916</v>
      </c>
      <c r="F4003" s="83">
        <v>0.375</v>
      </c>
      <c r="G4003" s="83">
        <v>0.4791666666666667</v>
      </c>
      <c r="H4003" s="83">
        <v>0.10416666666666667</v>
      </c>
      <c r="I4003" s="84">
        <v>44285.0</v>
      </c>
      <c r="J4003" s="65" t="b">
        <v>1</v>
      </c>
      <c r="K4003" s="65"/>
      <c r="L4003" s="85" t="b">
        <f>IF(VLOOKUP(C4003,Projetos!A:L,12,false)=TRUE,TRUE,FALSE)</f>
        <v>1</v>
      </c>
      <c r="M4003" s="74">
        <v>52.1518759018759</v>
      </c>
      <c r="N4003" s="74">
        <f t="shared" si="1"/>
        <v>130.3796898</v>
      </c>
      <c r="O4003" s="74" t="b">
        <v>1</v>
      </c>
    </row>
    <row r="4004" hidden="1">
      <c r="A4004" s="82"/>
      <c r="B4004" s="65" t="s">
        <v>467</v>
      </c>
      <c r="C4004" s="65" t="s">
        <v>113</v>
      </c>
      <c r="D4004" s="65" t="str">
        <f>vlookup(C4004,'Classificação p pessoal'!F:G,2,false)</f>
        <v>NP</v>
      </c>
      <c r="E4004" s="65" t="s">
        <v>2917</v>
      </c>
      <c r="F4004" s="83">
        <v>0.5833333333333334</v>
      </c>
      <c r="G4004" s="83">
        <v>0.625</v>
      </c>
      <c r="H4004" s="83">
        <v>0.041666666666666664</v>
      </c>
      <c r="I4004" s="84">
        <v>44285.0</v>
      </c>
      <c r="J4004" s="65" t="b">
        <v>1</v>
      </c>
      <c r="K4004" s="65"/>
      <c r="L4004" s="85" t="b">
        <f>IF(VLOOKUP(C4004,Projetos!A:L,12,false)=TRUE,TRUE,FALSE)</f>
        <v>1</v>
      </c>
      <c r="M4004" s="74">
        <v>52.1518759018759</v>
      </c>
      <c r="N4004" s="74">
        <f t="shared" si="1"/>
        <v>52.1518759</v>
      </c>
      <c r="O4004" s="74" t="b">
        <v>1</v>
      </c>
    </row>
    <row r="4005" hidden="1">
      <c r="A4005" s="82"/>
      <c r="B4005" s="65" t="s">
        <v>467</v>
      </c>
      <c r="C4005" s="65" t="s">
        <v>92</v>
      </c>
      <c r="D4005" s="65" t="str">
        <f>vlookup(C4005,'Classificação p pessoal'!F:G,2,false)</f>
        <v/>
      </c>
      <c r="E4005" s="65" t="s">
        <v>2918</v>
      </c>
      <c r="F4005" s="83">
        <v>0.625</v>
      </c>
      <c r="G4005" s="83">
        <v>0.7083333333333334</v>
      </c>
      <c r="H4005" s="83">
        <v>0.08333333333333333</v>
      </c>
      <c r="I4005" s="84">
        <v>44285.0</v>
      </c>
      <c r="J4005" s="65" t="b">
        <v>1</v>
      </c>
      <c r="K4005" s="65"/>
      <c r="L4005" s="85" t="b">
        <f>IF(VLOOKUP(C4005,Projetos!A:L,12,false)=TRUE,TRUE,FALSE)</f>
        <v>1</v>
      </c>
      <c r="M4005" s="74">
        <v>52.1518759018759</v>
      </c>
      <c r="N4005" s="74">
        <f t="shared" si="1"/>
        <v>104.3037518</v>
      </c>
      <c r="O4005" s="74" t="b">
        <v>1</v>
      </c>
    </row>
    <row r="4006" hidden="1">
      <c r="A4006" s="82"/>
      <c r="B4006" s="65" t="s">
        <v>467</v>
      </c>
      <c r="C4006" s="65" t="s">
        <v>92</v>
      </c>
      <c r="D4006" s="65" t="str">
        <f>vlookup(C4006,'Classificação p pessoal'!F:G,2,false)</f>
        <v/>
      </c>
      <c r="E4006" s="65" t="s">
        <v>2919</v>
      </c>
      <c r="F4006" s="83">
        <v>0.7083333333333334</v>
      </c>
      <c r="G4006" s="83">
        <v>0.75</v>
      </c>
      <c r="H4006" s="83">
        <v>0.041666666666666664</v>
      </c>
      <c r="I4006" s="84">
        <v>44285.0</v>
      </c>
      <c r="J4006" s="65" t="b">
        <v>1</v>
      </c>
      <c r="K4006" s="65"/>
      <c r="L4006" s="85" t="b">
        <f>IF(VLOOKUP(C4006,Projetos!A:L,12,false)=TRUE,TRUE,FALSE)</f>
        <v>1</v>
      </c>
      <c r="M4006" s="74">
        <v>52.1518759018759</v>
      </c>
      <c r="N4006" s="74">
        <f t="shared" si="1"/>
        <v>52.1518759</v>
      </c>
      <c r="O4006" s="74" t="b">
        <v>1</v>
      </c>
    </row>
    <row r="4007" hidden="1">
      <c r="A4007" s="82"/>
      <c r="B4007" s="65" t="s">
        <v>467</v>
      </c>
      <c r="C4007" s="65" t="s">
        <v>92</v>
      </c>
      <c r="D4007" s="65" t="str">
        <f>vlookup(C4007,'Classificação p pessoal'!F:G,2,false)</f>
        <v/>
      </c>
      <c r="E4007" s="65" t="s">
        <v>2920</v>
      </c>
      <c r="F4007" s="83">
        <v>0.3541666666666667</v>
      </c>
      <c r="G4007" s="83">
        <v>0.5208333333333334</v>
      </c>
      <c r="H4007" s="83">
        <v>0.16666666666666666</v>
      </c>
      <c r="I4007" s="84">
        <v>44287.0</v>
      </c>
      <c r="J4007" s="65" t="b">
        <v>1</v>
      </c>
      <c r="K4007" s="65"/>
      <c r="L4007" s="85" t="b">
        <f>IF(VLOOKUP(C4007,Projetos!A:L,12,false)=TRUE,TRUE,FALSE)</f>
        <v>1</v>
      </c>
      <c r="M4007" s="74">
        <v>52.1518759018759</v>
      </c>
      <c r="N4007" s="74">
        <f t="shared" si="1"/>
        <v>208.6075036</v>
      </c>
      <c r="O4007" s="74" t="b">
        <v>1</v>
      </c>
    </row>
    <row r="4008" hidden="1">
      <c r="A4008" s="82"/>
      <c r="B4008" s="65" t="s">
        <v>467</v>
      </c>
      <c r="C4008" s="65" t="s">
        <v>122</v>
      </c>
      <c r="D4008" s="65"/>
      <c r="E4008" s="65" t="s">
        <v>2921</v>
      </c>
      <c r="F4008" s="83">
        <v>0.6041666666666666</v>
      </c>
      <c r="G4008" s="83">
        <v>0.6458333333333334</v>
      </c>
      <c r="H4008" s="83">
        <v>0.041666666666666664</v>
      </c>
      <c r="I4008" s="84">
        <v>44287.0</v>
      </c>
      <c r="J4008" s="65" t="b">
        <v>0</v>
      </c>
      <c r="K4008" s="65" t="s">
        <v>150</v>
      </c>
      <c r="L4008" s="85" t="b">
        <f>IF(VLOOKUP(C4008,Projetos!A:L,12,false)=TRUE,TRUE,FALSE)</f>
        <v>1</v>
      </c>
      <c r="M4008" s="74">
        <v>52.1518759018759</v>
      </c>
      <c r="N4008" s="74">
        <f t="shared" si="1"/>
        <v>0</v>
      </c>
      <c r="O4008" s="74" t="b">
        <v>1</v>
      </c>
    </row>
    <row r="4009" hidden="1">
      <c r="A4009" s="82"/>
      <c r="B4009" s="65" t="s">
        <v>467</v>
      </c>
      <c r="C4009" s="65" t="s">
        <v>92</v>
      </c>
      <c r="D4009" s="65" t="str">
        <f>vlookup(C4009,'Classificação p pessoal'!F:G,2,false)</f>
        <v/>
      </c>
      <c r="E4009" s="65" t="s">
        <v>2922</v>
      </c>
      <c r="F4009" s="83">
        <v>0.65625</v>
      </c>
      <c r="G4009" s="83">
        <v>0.7083333333333334</v>
      </c>
      <c r="H4009" s="83">
        <v>0.052083333333333336</v>
      </c>
      <c r="I4009" s="84">
        <v>44287.0</v>
      </c>
      <c r="J4009" s="65" t="b">
        <v>1</v>
      </c>
      <c r="K4009" s="65"/>
      <c r="L4009" s="85" t="b">
        <f>IF(VLOOKUP(C4009,Projetos!A:L,12,false)=TRUE,TRUE,FALSE)</f>
        <v>1</v>
      </c>
      <c r="M4009" s="74">
        <v>52.1518759018759</v>
      </c>
      <c r="N4009" s="74">
        <f t="shared" si="1"/>
        <v>65.18984488</v>
      </c>
      <c r="O4009" s="74" t="b">
        <v>1</v>
      </c>
    </row>
    <row r="4010" hidden="1">
      <c r="A4010" s="82"/>
      <c r="B4010" s="65" t="s">
        <v>467</v>
      </c>
      <c r="C4010" s="65" t="s">
        <v>122</v>
      </c>
      <c r="D4010" s="65" t="str">
        <f>vlookup(C4010,'Classificação p pessoal'!F:G,2,false)</f>
        <v>NP</v>
      </c>
      <c r="E4010" s="65" t="s">
        <v>2923</v>
      </c>
      <c r="F4010" s="83">
        <v>0.7083333333333334</v>
      </c>
      <c r="G4010" s="83">
        <v>0.7222222222222222</v>
      </c>
      <c r="H4010" s="83">
        <v>0.013888888888888888</v>
      </c>
      <c r="I4010" s="84">
        <v>44287.0</v>
      </c>
      <c r="J4010" s="65" t="b">
        <v>1</v>
      </c>
      <c r="K4010" s="65"/>
      <c r="L4010" s="85" t="b">
        <f>IF(VLOOKUP(C4010,Projetos!A:L,12,false)=TRUE,TRUE,FALSE)</f>
        <v>1</v>
      </c>
      <c r="M4010" s="74">
        <v>52.1518759018759</v>
      </c>
      <c r="N4010" s="74">
        <f t="shared" si="1"/>
        <v>17.38395863</v>
      </c>
      <c r="O4010" s="74" t="b">
        <v>1</v>
      </c>
    </row>
    <row r="4011" hidden="1">
      <c r="A4011" s="82"/>
      <c r="B4011" s="65" t="s">
        <v>467</v>
      </c>
      <c r="C4011" s="65" t="s">
        <v>92</v>
      </c>
      <c r="D4011" s="65" t="str">
        <f>vlookup(C4011,'Classificação p pessoal'!F:G,2,false)</f>
        <v/>
      </c>
      <c r="E4011" s="65" t="s">
        <v>2924</v>
      </c>
      <c r="F4011" s="83">
        <v>0.625</v>
      </c>
      <c r="G4011" s="83">
        <v>0.7083333333333334</v>
      </c>
      <c r="H4011" s="83">
        <v>0.08333333333333333</v>
      </c>
      <c r="I4011" s="84">
        <v>44288.0</v>
      </c>
      <c r="J4011" s="65" t="b">
        <v>1</v>
      </c>
      <c r="K4011" s="65"/>
      <c r="L4011" s="85" t="b">
        <f>IF(VLOOKUP(C4011,Projetos!A:L,12,false)=TRUE,TRUE,FALSE)</f>
        <v>1</v>
      </c>
      <c r="M4011" s="74">
        <v>52.1518759018759</v>
      </c>
      <c r="N4011" s="74">
        <f t="shared" si="1"/>
        <v>104.3037518</v>
      </c>
      <c r="O4011" s="74" t="b">
        <v>1</v>
      </c>
    </row>
    <row r="4012" hidden="1">
      <c r="A4012" s="82"/>
      <c r="B4012" s="65" t="s">
        <v>467</v>
      </c>
      <c r="C4012" s="65" t="s">
        <v>122</v>
      </c>
      <c r="D4012" s="65" t="str">
        <f>vlookup(C4012,'Classificação p pessoal'!F:G,2,false)</f>
        <v>NP</v>
      </c>
      <c r="E4012" s="65" t="s">
        <v>2925</v>
      </c>
      <c r="F4012" s="83">
        <v>0.5833333333333334</v>
      </c>
      <c r="G4012" s="83">
        <v>0.625</v>
      </c>
      <c r="H4012" s="83">
        <v>0.041666666666666664</v>
      </c>
      <c r="I4012" s="84">
        <v>44288.0</v>
      </c>
      <c r="J4012" s="65" t="b">
        <v>1</v>
      </c>
      <c r="K4012" s="65"/>
      <c r="L4012" s="85" t="b">
        <f>IF(VLOOKUP(C4012,Projetos!A:L,12,false)=TRUE,TRUE,FALSE)</f>
        <v>1</v>
      </c>
      <c r="M4012" s="74">
        <v>52.1518759018759</v>
      </c>
      <c r="N4012" s="74">
        <f t="shared" si="1"/>
        <v>52.1518759</v>
      </c>
      <c r="O4012" s="74" t="b">
        <v>1</v>
      </c>
    </row>
    <row r="4013" hidden="1">
      <c r="A4013" s="82"/>
      <c r="B4013" s="65" t="s">
        <v>467</v>
      </c>
      <c r="C4013" s="65" t="s">
        <v>113</v>
      </c>
      <c r="D4013" s="65"/>
      <c r="E4013" s="65" t="s">
        <v>2926</v>
      </c>
      <c r="F4013" s="83">
        <v>0.5416666666666666</v>
      </c>
      <c r="G4013" s="83">
        <v>0.5833333333333334</v>
      </c>
      <c r="H4013" s="83">
        <v>0.041666666666666664</v>
      </c>
      <c r="I4013" s="84">
        <v>44291.0</v>
      </c>
      <c r="J4013" s="65" t="b">
        <v>0</v>
      </c>
      <c r="K4013" s="65" t="s">
        <v>150</v>
      </c>
      <c r="L4013" s="85" t="b">
        <f>IF(VLOOKUP(C4013,Projetos!A:L,12,false)=TRUE,TRUE,FALSE)</f>
        <v>1</v>
      </c>
      <c r="M4013" s="74">
        <v>52.1518759018759</v>
      </c>
      <c r="N4013" s="74">
        <f t="shared" si="1"/>
        <v>0</v>
      </c>
      <c r="O4013" s="74" t="b">
        <v>1</v>
      </c>
    </row>
    <row r="4014" hidden="1">
      <c r="A4014" s="82"/>
      <c r="B4014" s="65" t="s">
        <v>467</v>
      </c>
      <c r="C4014" s="65" t="s">
        <v>92</v>
      </c>
      <c r="D4014" s="65" t="str">
        <f>vlookup(C4014,'Classificação p pessoal'!F:G,2,false)</f>
        <v/>
      </c>
      <c r="E4014" s="65" t="s">
        <v>2927</v>
      </c>
      <c r="F4014" s="83">
        <v>0.4166666666666667</v>
      </c>
      <c r="G4014" s="83">
        <v>0.5</v>
      </c>
      <c r="H4014" s="83">
        <v>0.08333333333333333</v>
      </c>
      <c r="I4014" s="84">
        <v>44291.0</v>
      </c>
      <c r="J4014" s="65" t="b">
        <v>1</v>
      </c>
      <c r="K4014" s="65"/>
      <c r="L4014" s="85" t="b">
        <f>IF(VLOOKUP(C4014,Projetos!A:L,12,false)=TRUE,TRUE,FALSE)</f>
        <v>1</v>
      </c>
      <c r="M4014" s="74">
        <v>52.1518759018759</v>
      </c>
      <c r="N4014" s="74">
        <f t="shared" si="1"/>
        <v>104.3037518</v>
      </c>
      <c r="O4014" s="74" t="b">
        <v>1</v>
      </c>
    </row>
    <row r="4015" hidden="1">
      <c r="A4015" s="82"/>
      <c r="B4015" s="65" t="s">
        <v>467</v>
      </c>
      <c r="C4015" s="65" t="s">
        <v>117</v>
      </c>
      <c r="D4015" s="65" t="str">
        <f>vlookup(C4015,'Classificação p pessoal'!F:G,2,false)</f>
        <v>NP</v>
      </c>
      <c r="E4015" s="65" t="s">
        <v>2928</v>
      </c>
      <c r="F4015" s="83">
        <v>0.6041666666666666</v>
      </c>
      <c r="G4015" s="83">
        <v>0.7083333333333334</v>
      </c>
      <c r="H4015" s="83">
        <v>0.10416666666666667</v>
      </c>
      <c r="I4015" s="84">
        <v>44291.0</v>
      </c>
      <c r="J4015" s="65" t="b">
        <v>1</v>
      </c>
      <c r="K4015" s="65"/>
      <c r="L4015" s="85" t="b">
        <f>IF(VLOOKUP(C4015,Projetos!A:L,12,false)=TRUE,TRUE,FALSE)</f>
        <v>1</v>
      </c>
      <c r="M4015" s="74">
        <v>52.1518759018759</v>
      </c>
      <c r="N4015" s="74">
        <f t="shared" si="1"/>
        <v>130.3796898</v>
      </c>
      <c r="O4015" s="74" t="b">
        <v>1</v>
      </c>
    </row>
    <row r="4016" hidden="1">
      <c r="A4016" s="82"/>
      <c r="B4016" s="65" t="s">
        <v>467</v>
      </c>
      <c r="C4016" s="65" t="s">
        <v>92</v>
      </c>
      <c r="D4016" s="65" t="str">
        <f>vlookup(C4016,'Classificação p pessoal'!F:G,2,false)</f>
        <v/>
      </c>
      <c r="E4016" s="65" t="s">
        <v>2929</v>
      </c>
      <c r="F4016" s="83">
        <v>0.375</v>
      </c>
      <c r="G4016" s="83">
        <v>0.4375</v>
      </c>
      <c r="H4016" s="83">
        <v>0.0625</v>
      </c>
      <c r="I4016" s="84">
        <v>44292.0</v>
      </c>
      <c r="J4016" s="65" t="b">
        <v>1</v>
      </c>
      <c r="K4016" s="65"/>
      <c r="L4016" s="85" t="b">
        <f>IF(VLOOKUP(C4016,Projetos!A:L,12,false)=TRUE,TRUE,FALSE)</f>
        <v>1</v>
      </c>
      <c r="M4016" s="74">
        <v>52.1518759018759</v>
      </c>
      <c r="N4016" s="74">
        <f t="shared" si="1"/>
        <v>78.22781385</v>
      </c>
      <c r="O4016" s="74" t="b">
        <v>1</v>
      </c>
    </row>
    <row r="4017" hidden="1">
      <c r="A4017" s="82"/>
      <c r="B4017" s="65" t="s">
        <v>467</v>
      </c>
      <c r="C4017" s="65" t="s">
        <v>92</v>
      </c>
      <c r="D4017" s="65" t="str">
        <f>vlookup(C4017,'Classificação p pessoal'!F:G,2,false)</f>
        <v/>
      </c>
      <c r="E4017" s="65" t="s">
        <v>2930</v>
      </c>
      <c r="F4017" s="83">
        <v>0.4375</v>
      </c>
      <c r="G4017" s="83">
        <v>0.5</v>
      </c>
      <c r="H4017" s="83">
        <v>0.0625</v>
      </c>
      <c r="I4017" s="84">
        <v>44292.0</v>
      </c>
      <c r="J4017" s="65" t="b">
        <v>1</v>
      </c>
      <c r="K4017" s="65"/>
      <c r="L4017" s="85" t="b">
        <f>IF(VLOOKUP(C4017,Projetos!A:L,12,false)=TRUE,TRUE,FALSE)</f>
        <v>1</v>
      </c>
      <c r="M4017" s="74">
        <v>52.1518759018759</v>
      </c>
      <c r="N4017" s="74">
        <f t="shared" si="1"/>
        <v>78.22781385</v>
      </c>
      <c r="O4017" s="74" t="b">
        <v>1</v>
      </c>
    </row>
    <row r="4018" hidden="1">
      <c r="A4018" s="82"/>
      <c r="B4018" s="65" t="s">
        <v>467</v>
      </c>
      <c r="C4018" s="65" t="s">
        <v>92</v>
      </c>
      <c r="D4018" s="65" t="str">
        <f>vlookup(C4018,'Classificação p pessoal'!F:G,2,false)</f>
        <v/>
      </c>
      <c r="E4018" s="65" t="s">
        <v>2931</v>
      </c>
      <c r="F4018" s="83">
        <v>0.625</v>
      </c>
      <c r="G4018" s="83">
        <v>0.7083333333333334</v>
      </c>
      <c r="H4018" s="83">
        <v>0.08333333333333333</v>
      </c>
      <c r="I4018" s="84">
        <v>44292.0</v>
      </c>
      <c r="J4018" s="65" t="b">
        <v>1</v>
      </c>
      <c r="K4018" s="65"/>
      <c r="L4018" s="85" t="b">
        <f>IF(VLOOKUP(C4018,Projetos!A:L,12,false)=TRUE,TRUE,FALSE)</f>
        <v>1</v>
      </c>
      <c r="M4018" s="74">
        <v>52.1518759018759</v>
      </c>
      <c r="N4018" s="74">
        <f t="shared" si="1"/>
        <v>104.3037518</v>
      </c>
      <c r="O4018" s="74" t="b">
        <v>1</v>
      </c>
    </row>
    <row r="4019" hidden="1">
      <c r="A4019" s="82"/>
      <c r="B4019" s="65" t="s">
        <v>467</v>
      </c>
      <c r="C4019" s="65" t="s">
        <v>122</v>
      </c>
      <c r="D4019" s="65" t="str">
        <f>vlookup(C4019,'Classificação p pessoal'!F:G,2,false)</f>
        <v>NP</v>
      </c>
      <c r="E4019" s="65" t="s">
        <v>2932</v>
      </c>
      <c r="F4019" s="83">
        <v>0.7083333333333334</v>
      </c>
      <c r="G4019" s="83">
        <v>0.75</v>
      </c>
      <c r="H4019" s="83">
        <v>0.041666666666666664</v>
      </c>
      <c r="I4019" s="84">
        <v>44292.0</v>
      </c>
      <c r="J4019" s="65" t="b">
        <v>1</v>
      </c>
      <c r="K4019" s="65"/>
      <c r="L4019" s="85" t="b">
        <f>IF(VLOOKUP(C4019,Projetos!A:L,12,false)=TRUE,TRUE,FALSE)</f>
        <v>1</v>
      </c>
      <c r="M4019" s="74">
        <v>52.1518759018759</v>
      </c>
      <c r="N4019" s="74">
        <f t="shared" si="1"/>
        <v>52.1518759</v>
      </c>
      <c r="O4019" s="74" t="b">
        <v>1</v>
      </c>
    </row>
    <row r="4020" hidden="1">
      <c r="A4020" s="82"/>
      <c r="B4020" s="65" t="s">
        <v>467</v>
      </c>
      <c r="C4020" s="65" t="s">
        <v>92</v>
      </c>
      <c r="D4020" s="65" t="str">
        <f>vlookup(C4020,'Classificação p pessoal'!F:G,2,false)</f>
        <v/>
      </c>
      <c r="E4020" s="65" t="s">
        <v>2933</v>
      </c>
      <c r="F4020" s="83">
        <v>0.4166666666666667</v>
      </c>
      <c r="G4020" s="83">
        <v>0.4583333333333333</v>
      </c>
      <c r="H4020" s="83">
        <v>0.041666666666666664</v>
      </c>
      <c r="I4020" s="84">
        <v>44293.0</v>
      </c>
      <c r="J4020" s="65" t="b">
        <v>1</v>
      </c>
      <c r="K4020" s="65"/>
      <c r="L4020" s="85" t="b">
        <f>IF(VLOOKUP(C4020,Projetos!A:L,12,false)=TRUE,TRUE,FALSE)</f>
        <v>1</v>
      </c>
      <c r="M4020" s="74">
        <v>52.1518759018759</v>
      </c>
      <c r="N4020" s="74">
        <f t="shared" si="1"/>
        <v>52.1518759</v>
      </c>
      <c r="O4020" s="74" t="b">
        <v>1</v>
      </c>
    </row>
    <row r="4021" hidden="1">
      <c r="A4021" s="82"/>
      <c r="B4021" s="65" t="s">
        <v>467</v>
      </c>
      <c r="C4021" s="65" t="s">
        <v>117</v>
      </c>
      <c r="D4021" s="65" t="str">
        <f>vlookup(C4021,'Classificação p pessoal'!F:G,2,false)</f>
        <v>NP</v>
      </c>
      <c r="E4021" s="65" t="s">
        <v>2934</v>
      </c>
      <c r="F4021" s="83">
        <v>0.5625</v>
      </c>
      <c r="G4021" s="83">
        <v>0.6041666666666666</v>
      </c>
      <c r="H4021" s="83">
        <v>0.041666666666666664</v>
      </c>
      <c r="I4021" s="84">
        <v>44293.0</v>
      </c>
      <c r="J4021" s="65" t="b">
        <v>1</v>
      </c>
      <c r="K4021" s="65"/>
      <c r="L4021" s="85" t="b">
        <f>IF(VLOOKUP(C4021,Projetos!A:L,12,false)=TRUE,TRUE,FALSE)</f>
        <v>1</v>
      </c>
      <c r="M4021" s="74">
        <v>52.1518759018759</v>
      </c>
      <c r="N4021" s="74">
        <f t="shared" si="1"/>
        <v>52.1518759</v>
      </c>
      <c r="O4021" s="74" t="b">
        <v>1</v>
      </c>
    </row>
    <row r="4022" hidden="1">
      <c r="A4022" s="82"/>
      <c r="B4022" s="65" t="s">
        <v>467</v>
      </c>
      <c r="C4022" s="65" t="s">
        <v>92</v>
      </c>
      <c r="D4022" s="65" t="str">
        <f>vlookup(C4022,'Classificação p pessoal'!F:G,2,false)</f>
        <v/>
      </c>
      <c r="E4022" s="65" t="s">
        <v>2935</v>
      </c>
      <c r="F4022" s="83">
        <v>0.3541666666666667</v>
      </c>
      <c r="G4022" s="83">
        <v>0.4166666666666667</v>
      </c>
      <c r="H4022" s="83">
        <v>0.0625</v>
      </c>
      <c r="I4022" s="84">
        <v>44293.0</v>
      </c>
      <c r="J4022" s="65" t="b">
        <v>1</v>
      </c>
      <c r="K4022" s="65"/>
      <c r="L4022" s="85" t="b">
        <f>IF(VLOOKUP(C4022,Projetos!A:L,12,false)=TRUE,TRUE,FALSE)</f>
        <v>1</v>
      </c>
      <c r="M4022" s="74">
        <v>52.1518759018759</v>
      </c>
      <c r="N4022" s="74">
        <f t="shared" si="1"/>
        <v>78.22781385</v>
      </c>
      <c r="O4022" s="74" t="b">
        <v>1</v>
      </c>
    </row>
    <row r="4023" hidden="1">
      <c r="A4023" s="82"/>
      <c r="B4023" s="65" t="s">
        <v>467</v>
      </c>
      <c r="C4023" s="65" t="s">
        <v>92</v>
      </c>
      <c r="D4023" s="65" t="str">
        <f>vlookup(C4023,'Classificação p pessoal'!F:G,2,false)</f>
        <v/>
      </c>
      <c r="E4023" s="65" t="s">
        <v>2936</v>
      </c>
      <c r="F4023" s="83">
        <v>0.3541666666666667</v>
      </c>
      <c r="G4023" s="83">
        <v>0.5208333333333334</v>
      </c>
      <c r="H4023" s="83">
        <v>0.16666666666666666</v>
      </c>
      <c r="I4023" s="84">
        <v>44294.0</v>
      </c>
      <c r="J4023" s="65" t="b">
        <v>1</v>
      </c>
      <c r="K4023" s="65"/>
      <c r="L4023" s="85" t="b">
        <f>IF(VLOOKUP(C4023,Projetos!A:L,12,false)=TRUE,TRUE,FALSE)</f>
        <v>1</v>
      </c>
      <c r="M4023" s="74">
        <v>52.1518759018759</v>
      </c>
      <c r="N4023" s="74">
        <f t="shared" si="1"/>
        <v>208.6075036</v>
      </c>
      <c r="O4023" s="74" t="b">
        <v>1</v>
      </c>
    </row>
    <row r="4024" hidden="1">
      <c r="A4024" s="82"/>
      <c r="B4024" s="65" t="s">
        <v>467</v>
      </c>
      <c r="C4024" s="65" t="s">
        <v>122</v>
      </c>
      <c r="D4024" s="65" t="str">
        <f>vlookup(C4024,'Classificação p pessoal'!F:G,2,false)</f>
        <v>NP</v>
      </c>
      <c r="E4024" s="65" t="s">
        <v>2937</v>
      </c>
      <c r="F4024" s="83">
        <v>0.4166666666666667</v>
      </c>
      <c r="G4024" s="83">
        <v>0.5</v>
      </c>
      <c r="H4024" s="83">
        <v>0.08333333333333333</v>
      </c>
      <c r="I4024" s="84">
        <v>44295.0</v>
      </c>
      <c r="J4024" s="65" t="b">
        <v>1</v>
      </c>
      <c r="K4024" s="65"/>
      <c r="L4024" s="85" t="b">
        <f>IF(VLOOKUP(C4024,Projetos!A:L,12,false)=TRUE,TRUE,FALSE)</f>
        <v>1</v>
      </c>
      <c r="M4024" s="74">
        <v>52.1518759018759</v>
      </c>
      <c r="N4024" s="74">
        <f t="shared" si="1"/>
        <v>104.3037518</v>
      </c>
      <c r="O4024" s="74" t="b">
        <v>1</v>
      </c>
    </row>
    <row r="4025" hidden="1">
      <c r="A4025" s="82"/>
      <c r="B4025" s="65" t="s">
        <v>467</v>
      </c>
      <c r="C4025" s="65" t="s">
        <v>117</v>
      </c>
      <c r="D4025" s="65" t="str">
        <f>vlookup(C4025,'Classificação p pessoal'!F:G,2,false)</f>
        <v>NP</v>
      </c>
      <c r="E4025" s="65" t="s">
        <v>2938</v>
      </c>
      <c r="F4025" s="83">
        <v>0.5833333333333334</v>
      </c>
      <c r="G4025" s="83">
        <v>0.625</v>
      </c>
      <c r="H4025" s="83">
        <v>0.041666666666666664</v>
      </c>
      <c r="I4025" s="84">
        <v>44295.0</v>
      </c>
      <c r="J4025" s="65" t="b">
        <v>1</v>
      </c>
      <c r="K4025" s="65"/>
      <c r="L4025" s="85" t="b">
        <f>IF(VLOOKUP(C4025,Projetos!A:L,12,false)=TRUE,TRUE,FALSE)</f>
        <v>1</v>
      </c>
      <c r="M4025" s="74">
        <v>52.1518759018759</v>
      </c>
      <c r="N4025" s="74">
        <f t="shared" si="1"/>
        <v>52.1518759</v>
      </c>
      <c r="O4025" s="74" t="b">
        <v>1</v>
      </c>
    </row>
    <row r="4026" hidden="1">
      <c r="A4026" s="82"/>
      <c r="B4026" s="65" t="s">
        <v>467</v>
      </c>
      <c r="C4026" s="65" t="s">
        <v>92</v>
      </c>
      <c r="D4026" s="65" t="str">
        <f>vlookup(C4026,'Classificação p pessoal'!F:G,2,false)</f>
        <v/>
      </c>
      <c r="E4026" s="65" t="s">
        <v>2939</v>
      </c>
      <c r="F4026" s="83">
        <v>0.6666666666666666</v>
      </c>
      <c r="G4026" s="83">
        <v>0.7083333333333334</v>
      </c>
      <c r="H4026" s="83">
        <v>0.041666666666666664</v>
      </c>
      <c r="I4026" s="84">
        <v>44295.0</v>
      </c>
      <c r="J4026" s="65" t="b">
        <v>1</v>
      </c>
      <c r="K4026" s="65"/>
      <c r="L4026" s="85" t="b">
        <f>IF(VLOOKUP(C4026,Projetos!A:L,12,false)=TRUE,TRUE,FALSE)</f>
        <v>1</v>
      </c>
      <c r="M4026" s="74">
        <v>52.1518759018759</v>
      </c>
      <c r="N4026" s="74">
        <f t="shared" si="1"/>
        <v>52.1518759</v>
      </c>
      <c r="O4026" s="74" t="b">
        <v>1</v>
      </c>
    </row>
    <row r="4027" hidden="1">
      <c r="A4027" s="82"/>
      <c r="B4027" s="65" t="s">
        <v>467</v>
      </c>
      <c r="C4027" s="65" t="s">
        <v>113</v>
      </c>
      <c r="D4027" s="65" t="str">
        <f>vlookup(C4027,'Classificação p pessoal'!F:G,2,false)</f>
        <v>NP</v>
      </c>
      <c r="E4027" s="65" t="s">
        <v>2940</v>
      </c>
      <c r="F4027" s="83">
        <v>0.3541666666666667</v>
      </c>
      <c r="G4027" s="83">
        <v>0.5</v>
      </c>
      <c r="H4027" s="83">
        <v>0.14583333333333334</v>
      </c>
      <c r="I4027" s="84">
        <v>44297.0</v>
      </c>
      <c r="J4027" s="65" t="b">
        <v>1</v>
      </c>
      <c r="K4027" s="65"/>
      <c r="L4027" s="85" t="b">
        <f>IF(VLOOKUP(C4027,Projetos!A:L,12,false)=TRUE,TRUE,FALSE)</f>
        <v>1</v>
      </c>
      <c r="M4027" s="74">
        <v>52.1518759018759</v>
      </c>
      <c r="N4027" s="74">
        <f t="shared" si="1"/>
        <v>182.5315657</v>
      </c>
      <c r="O4027" s="74" t="b">
        <v>1</v>
      </c>
    </row>
    <row r="4028" hidden="1">
      <c r="A4028" s="82"/>
      <c r="B4028" s="65" t="s">
        <v>467</v>
      </c>
      <c r="C4028" s="65" t="s">
        <v>113</v>
      </c>
      <c r="D4028" s="65"/>
      <c r="E4028" s="65" t="s">
        <v>2941</v>
      </c>
      <c r="F4028" s="83">
        <v>0.5833333333333334</v>
      </c>
      <c r="G4028" s="83">
        <v>0.625</v>
      </c>
      <c r="H4028" s="83">
        <v>0.041666666666666664</v>
      </c>
      <c r="I4028" s="84">
        <v>44297.0</v>
      </c>
      <c r="J4028" s="65" t="b">
        <v>0</v>
      </c>
      <c r="K4028" s="65" t="s">
        <v>150</v>
      </c>
      <c r="L4028" s="85" t="b">
        <f>IF(VLOOKUP(C4028,Projetos!A:L,12,false)=TRUE,TRUE,FALSE)</f>
        <v>1</v>
      </c>
      <c r="M4028" s="74">
        <v>52.1518759018759</v>
      </c>
      <c r="N4028" s="74">
        <f t="shared" si="1"/>
        <v>0</v>
      </c>
      <c r="O4028" s="74" t="b">
        <v>1</v>
      </c>
    </row>
    <row r="4029" hidden="1">
      <c r="A4029" s="82"/>
      <c r="B4029" s="65" t="s">
        <v>467</v>
      </c>
      <c r="C4029" s="65" t="s">
        <v>92</v>
      </c>
      <c r="D4029" s="65" t="str">
        <f>vlookup(C4029,'Classificação p pessoal'!F:G,2,false)</f>
        <v/>
      </c>
      <c r="E4029" s="65" t="s">
        <v>2942</v>
      </c>
      <c r="F4029" s="83">
        <v>0.625</v>
      </c>
      <c r="G4029" s="83">
        <v>0.6458333333333334</v>
      </c>
      <c r="H4029" s="83">
        <v>0.020833333333333332</v>
      </c>
      <c r="I4029" s="84">
        <v>44297.0</v>
      </c>
      <c r="J4029" s="65" t="b">
        <v>1</v>
      </c>
      <c r="K4029" s="65"/>
      <c r="L4029" s="85" t="b">
        <f>IF(VLOOKUP(C4029,Projetos!A:L,12,false)=TRUE,TRUE,FALSE)</f>
        <v>1</v>
      </c>
      <c r="M4029" s="74">
        <v>52.1518759018759</v>
      </c>
      <c r="N4029" s="74">
        <f t="shared" si="1"/>
        <v>26.07593795</v>
      </c>
      <c r="O4029" s="74" t="b">
        <v>1</v>
      </c>
    </row>
    <row r="4030" hidden="1">
      <c r="A4030" s="82"/>
      <c r="B4030" s="65" t="s">
        <v>467</v>
      </c>
      <c r="C4030" s="65" t="s">
        <v>122</v>
      </c>
      <c r="D4030" s="65"/>
      <c r="E4030" s="65" t="s">
        <v>2943</v>
      </c>
      <c r="F4030" s="83">
        <v>0.4166666666666667</v>
      </c>
      <c r="G4030" s="83">
        <v>0.5</v>
      </c>
      <c r="H4030" s="83">
        <v>0.08333333333333333</v>
      </c>
      <c r="I4030" s="84">
        <v>44298.0</v>
      </c>
      <c r="J4030" s="65" t="b">
        <v>0</v>
      </c>
      <c r="K4030" s="65" t="s">
        <v>150</v>
      </c>
      <c r="L4030" s="85" t="b">
        <f>IF(VLOOKUP(C4030,Projetos!A:L,12,false)=TRUE,TRUE,FALSE)</f>
        <v>1</v>
      </c>
      <c r="M4030" s="74">
        <v>52.1518759018759</v>
      </c>
      <c r="N4030" s="74">
        <f t="shared" si="1"/>
        <v>0</v>
      </c>
      <c r="O4030" s="74" t="b">
        <v>1</v>
      </c>
    </row>
    <row r="4031" hidden="1">
      <c r="A4031" s="82"/>
      <c r="B4031" s="65" t="s">
        <v>467</v>
      </c>
      <c r="C4031" s="65" t="s">
        <v>113</v>
      </c>
      <c r="D4031" s="65" t="str">
        <f>vlookup(C4031,'Classificação p pessoal'!F:G,2,false)</f>
        <v>NP</v>
      </c>
      <c r="E4031" s="65" t="s">
        <v>2944</v>
      </c>
      <c r="F4031" s="83">
        <v>0.5833333333333334</v>
      </c>
      <c r="G4031" s="83">
        <v>0.7291666666666666</v>
      </c>
      <c r="H4031" s="83">
        <v>0.14583333333333334</v>
      </c>
      <c r="I4031" s="84">
        <v>44298.0</v>
      </c>
      <c r="J4031" s="65" t="b">
        <v>1</v>
      </c>
      <c r="K4031" s="65"/>
      <c r="L4031" s="85" t="b">
        <f>IF(VLOOKUP(C4031,Projetos!A:L,12,false)=TRUE,TRUE,FALSE)</f>
        <v>1</v>
      </c>
      <c r="M4031" s="74">
        <v>52.1518759018759</v>
      </c>
      <c r="N4031" s="74">
        <f t="shared" si="1"/>
        <v>182.5315657</v>
      </c>
      <c r="O4031" s="74" t="b">
        <v>1</v>
      </c>
    </row>
    <row r="4032" hidden="1">
      <c r="A4032" s="82"/>
      <c r="B4032" s="65" t="s">
        <v>467</v>
      </c>
      <c r="C4032" s="65" t="s">
        <v>113</v>
      </c>
      <c r="D4032" s="65" t="str">
        <f>vlookup(C4032,'Classificação p pessoal'!F:G,2,false)</f>
        <v>NP</v>
      </c>
      <c r="E4032" s="65" t="s">
        <v>2945</v>
      </c>
      <c r="F4032" s="83">
        <v>0.3541666666666667</v>
      </c>
      <c r="G4032" s="83">
        <v>0.4166666666666667</v>
      </c>
      <c r="H4032" s="83">
        <v>0.0625</v>
      </c>
      <c r="I4032" s="84">
        <v>44298.0</v>
      </c>
      <c r="J4032" s="65" t="b">
        <v>1</v>
      </c>
      <c r="K4032" s="65"/>
      <c r="L4032" s="85" t="b">
        <f>IF(VLOOKUP(C4032,Projetos!A:L,12,false)=TRUE,TRUE,FALSE)</f>
        <v>1</v>
      </c>
      <c r="M4032" s="74">
        <v>52.1518759018759</v>
      </c>
      <c r="N4032" s="74">
        <f t="shared" si="1"/>
        <v>78.22781385</v>
      </c>
      <c r="O4032" s="74" t="b">
        <v>1</v>
      </c>
    </row>
    <row r="4033" hidden="1">
      <c r="A4033" s="82"/>
      <c r="B4033" s="65" t="s">
        <v>467</v>
      </c>
      <c r="C4033" s="65" t="s">
        <v>113</v>
      </c>
      <c r="D4033" s="65" t="str">
        <f>vlookup(C4033,'Classificação p pessoal'!F:G,2,false)</f>
        <v>NP</v>
      </c>
      <c r="E4033" s="65" t="s">
        <v>2946</v>
      </c>
      <c r="F4033" s="83">
        <v>0.4375</v>
      </c>
      <c r="G4033" s="83">
        <v>0.4791666666666667</v>
      </c>
      <c r="H4033" s="83">
        <v>0.041666666666666664</v>
      </c>
      <c r="I4033" s="84">
        <v>44299.0</v>
      </c>
      <c r="J4033" s="65" t="b">
        <v>1</v>
      </c>
      <c r="K4033" s="65"/>
      <c r="L4033" s="85" t="b">
        <f>IF(VLOOKUP(C4033,Projetos!A:L,12,false)=TRUE,TRUE,FALSE)</f>
        <v>1</v>
      </c>
      <c r="M4033" s="74">
        <v>52.1518759018759</v>
      </c>
      <c r="N4033" s="74">
        <f t="shared" si="1"/>
        <v>52.1518759</v>
      </c>
      <c r="O4033" s="74" t="b">
        <v>1</v>
      </c>
    </row>
    <row r="4034" hidden="1">
      <c r="A4034" s="82"/>
      <c r="B4034" s="65" t="s">
        <v>467</v>
      </c>
      <c r="C4034" s="65" t="s">
        <v>92</v>
      </c>
      <c r="D4034" s="65" t="str">
        <f>vlookup(C4034,'Classificação p pessoal'!F:G,2,false)</f>
        <v/>
      </c>
      <c r="E4034" s="65" t="s">
        <v>2947</v>
      </c>
      <c r="F4034" s="83">
        <v>0.625</v>
      </c>
      <c r="G4034" s="83">
        <v>0.6666666666666666</v>
      </c>
      <c r="H4034" s="83">
        <v>0.041666666666666664</v>
      </c>
      <c r="I4034" s="84">
        <v>44299.0</v>
      </c>
      <c r="J4034" s="65" t="b">
        <v>1</v>
      </c>
      <c r="K4034" s="65"/>
      <c r="L4034" s="85" t="b">
        <f>IF(VLOOKUP(C4034,Projetos!A:L,12,false)=TRUE,TRUE,FALSE)</f>
        <v>1</v>
      </c>
      <c r="M4034" s="74">
        <v>52.1518759018759</v>
      </c>
      <c r="N4034" s="74">
        <f t="shared" si="1"/>
        <v>52.1518759</v>
      </c>
      <c r="O4034" s="74" t="b">
        <v>1</v>
      </c>
    </row>
    <row r="4035" hidden="1">
      <c r="A4035" s="82"/>
      <c r="B4035" s="65" t="s">
        <v>467</v>
      </c>
      <c r="C4035" s="65" t="s">
        <v>113</v>
      </c>
      <c r="D4035" s="65" t="str">
        <f>vlookup(C4035,'Classificação p pessoal'!F:G,2,false)</f>
        <v>NP</v>
      </c>
      <c r="E4035" s="65" t="s">
        <v>2948</v>
      </c>
      <c r="F4035" s="83">
        <v>0.3541666666666667</v>
      </c>
      <c r="G4035" s="83">
        <v>0.4375</v>
      </c>
      <c r="H4035" s="83">
        <v>0.08333333333333333</v>
      </c>
      <c r="I4035" s="84">
        <v>44300.0</v>
      </c>
      <c r="J4035" s="65" t="b">
        <v>1</v>
      </c>
      <c r="K4035" s="65"/>
      <c r="L4035" s="85" t="b">
        <f>IF(VLOOKUP(C4035,Projetos!A:L,12,false)=TRUE,TRUE,FALSE)</f>
        <v>1</v>
      </c>
      <c r="M4035" s="74">
        <v>52.1518759018759</v>
      </c>
      <c r="N4035" s="74">
        <f t="shared" si="1"/>
        <v>104.3037518</v>
      </c>
      <c r="O4035" s="74" t="b">
        <v>1</v>
      </c>
    </row>
    <row r="4036" hidden="1">
      <c r="A4036" s="82"/>
      <c r="B4036" s="65" t="s">
        <v>467</v>
      </c>
      <c r="C4036" s="65" t="s">
        <v>113</v>
      </c>
      <c r="D4036" s="65" t="str">
        <f>vlookup(C4036,'Classificação p pessoal'!F:G,2,false)</f>
        <v>NP</v>
      </c>
      <c r="E4036" s="65" t="s">
        <v>2949</v>
      </c>
      <c r="F4036" s="83">
        <v>0.4375</v>
      </c>
      <c r="G4036" s="83">
        <v>0.5</v>
      </c>
      <c r="H4036" s="83">
        <v>0.0625</v>
      </c>
      <c r="I4036" s="84">
        <v>44300.0</v>
      </c>
      <c r="J4036" s="65" t="b">
        <v>1</v>
      </c>
      <c r="K4036" s="65"/>
      <c r="L4036" s="85" t="b">
        <f>IF(VLOOKUP(C4036,Projetos!A:L,12,false)=TRUE,TRUE,FALSE)</f>
        <v>1</v>
      </c>
      <c r="M4036" s="74">
        <v>52.1518759018759</v>
      </c>
      <c r="N4036" s="74">
        <f t="shared" si="1"/>
        <v>78.22781385</v>
      </c>
      <c r="O4036" s="74" t="b">
        <v>1</v>
      </c>
    </row>
    <row r="4037" hidden="1">
      <c r="A4037" s="82"/>
      <c r="B4037" s="65" t="s">
        <v>467</v>
      </c>
      <c r="C4037" s="65" t="s">
        <v>113</v>
      </c>
      <c r="D4037" s="65" t="str">
        <f>vlookup(C4037,'Classificação p pessoal'!F:G,2,false)</f>
        <v>NP</v>
      </c>
      <c r="E4037" s="65" t="s">
        <v>2950</v>
      </c>
      <c r="F4037" s="83">
        <v>0.3541666666666667</v>
      </c>
      <c r="G4037" s="83">
        <v>0.4166666666666667</v>
      </c>
      <c r="H4037" s="83">
        <v>0.0625</v>
      </c>
      <c r="I4037" s="84">
        <v>44301.0</v>
      </c>
      <c r="J4037" s="65" t="b">
        <v>1</v>
      </c>
      <c r="K4037" s="65"/>
      <c r="L4037" s="85" t="b">
        <f>IF(VLOOKUP(C4037,Projetos!A:L,12,false)=TRUE,TRUE,FALSE)</f>
        <v>1</v>
      </c>
      <c r="M4037" s="74">
        <v>52.1518759018759</v>
      </c>
      <c r="N4037" s="74">
        <f t="shared" si="1"/>
        <v>78.22781385</v>
      </c>
      <c r="O4037" s="74" t="b">
        <v>1</v>
      </c>
    </row>
    <row r="4038" hidden="1">
      <c r="A4038" s="82"/>
      <c r="B4038" s="65" t="s">
        <v>467</v>
      </c>
      <c r="C4038" s="65" t="s">
        <v>92</v>
      </c>
      <c r="D4038" s="65" t="str">
        <f>vlookup(C4038,'Classificação p pessoal'!F:G,2,false)</f>
        <v/>
      </c>
      <c r="E4038" s="65" t="s">
        <v>2951</v>
      </c>
      <c r="F4038" s="83">
        <v>0.4166666666666667</v>
      </c>
      <c r="G4038" s="83">
        <v>0.4583333333333333</v>
      </c>
      <c r="H4038" s="83">
        <v>0.041666666666666664</v>
      </c>
      <c r="I4038" s="84">
        <v>44301.0</v>
      </c>
      <c r="J4038" s="65" t="b">
        <v>1</v>
      </c>
      <c r="K4038" s="65"/>
      <c r="L4038" s="85" t="b">
        <f>IF(VLOOKUP(C4038,Projetos!A:L,12,false)=TRUE,TRUE,FALSE)</f>
        <v>1</v>
      </c>
      <c r="M4038" s="74">
        <v>52.1518759018759</v>
      </c>
      <c r="N4038" s="74">
        <f t="shared" si="1"/>
        <v>52.1518759</v>
      </c>
      <c r="O4038" s="74" t="b">
        <v>1</v>
      </c>
    </row>
    <row r="4039" hidden="1">
      <c r="A4039" s="82"/>
      <c r="B4039" s="65" t="s">
        <v>467</v>
      </c>
      <c r="C4039" s="65" t="s">
        <v>113</v>
      </c>
      <c r="D4039" s="65" t="str">
        <f>vlookup(C4039,'Classificação p pessoal'!F:G,2,false)</f>
        <v>NP</v>
      </c>
      <c r="E4039" s="65" t="s">
        <v>2952</v>
      </c>
      <c r="F4039" s="83">
        <v>0.6666666666666666</v>
      </c>
      <c r="G4039" s="83">
        <v>0.7083333333333334</v>
      </c>
      <c r="H4039" s="83">
        <v>0.041666666666666664</v>
      </c>
      <c r="I4039" s="84">
        <v>44300.0</v>
      </c>
      <c r="J4039" s="65" t="b">
        <v>1</v>
      </c>
      <c r="K4039" s="65"/>
      <c r="L4039" s="85" t="b">
        <f>IF(VLOOKUP(C4039,Projetos!A:L,12,false)=TRUE,TRUE,FALSE)</f>
        <v>1</v>
      </c>
      <c r="M4039" s="74">
        <v>52.1518759018759</v>
      </c>
      <c r="N4039" s="74">
        <f t="shared" si="1"/>
        <v>52.1518759</v>
      </c>
      <c r="O4039" s="74" t="b">
        <v>1</v>
      </c>
    </row>
    <row r="4040" hidden="1">
      <c r="A4040" s="82"/>
      <c r="B4040" s="65" t="s">
        <v>467</v>
      </c>
      <c r="C4040" s="65" t="s">
        <v>113</v>
      </c>
      <c r="D4040" s="65" t="str">
        <f>vlookup(C4040,'Classificação p pessoal'!F:G,2,false)</f>
        <v>NP</v>
      </c>
      <c r="E4040" s="65" t="s">
        <v>2953</v>
      </c>
      <c r="F4040" s="83">
        <v>0.5833333333333334</v>
      </c>
      <c r="G4040" s="83">
        <v>0.6041666666666666</v>
      </c>
      <c r="H4040" s="83">
        <v>0.020833333333333332</v>
      </c>
      <c r="I4040" s="84">
        <v>44301.0</v>
      </c>
      <c r="J4040" s="65" t="b">
        <v>1</v>
      </c>
      <c r="K4040" s="65"/>
      <c r="L4040" s="85" t="b">
        <f>IF(VLOOKUP(C4040,Projetos!A:L,12,false)=TRUE,TRUE,FALSE)</f>
        <v>1</v>
      </c>
      <c r="M4040" s="74">
        <v>52.1518759018759</v>
      </c>
      <c r="N4040" s="74">
        <f t="shared" si="1"/>
        <v>26.07593795</v>
      </c>
      <c r="O4040" s="74" t="b">
        <v>1</v>
      </c>
    </row>
    <row r="4041" hidden="1">
      <c r="A4041" s="82"/>
      <c r="B4041" s="65" t="s">
        <v>467</v>
      </c>
      <c r="C4041" s="65" t="s">
        <v>92</v>
      </c>
      <c r="D4041" s="65" t="str">
        <f>vlookup(C4041,'Classificação p pessoal'!F:G,2,false)</f>
        <v/>
      </c>
      <c r="E4041" s="65" t="s">
        <v>2954</v>
      </c>
      <c r="F4041" s="83">
        <v>0.3541666666666667</v>
      </c>
      <c r="G4041" s="83">
        <v>0.4166666666666667</v>
      </c>
      <c r="H4041" s="83">
        <v>0.0625</v>
      </c>
      <c r="I4041" s="84">
        <v>44302.0</v>
      </c>
      <c r="J4041" s="65" t="b">
        <v>1</v>
      </c>
      <c r="K4041" s="65"/>
      <c r="L4041" s="85" t="b">
        <f>IF(VLOOKUP(C4041,Projetos!A:L,12,false)=TRUE,TRUE,FALSE)</f>
        <v>1</v>
      </c>
      <c r="M4041" s="74">
        <v>52.1518759018759</v>
      </c>
      <c r="N4041" s="74">
        <f t="shared" si="1"/>
        <v>78.22781385</v>
      </c>
      <c r="O4041" s="74" t="b">
        <v>1</v>
      </c>
    </row>
    <row r="4042" hidden="1">
      <c r="A4042" s="82"/>
      <c r="B4042" s="65" t="s">
        <v>467</v>
      </c>
      <c r="C4042" s="65" t="s">
        <v>113</v>
      </c>
      <c r="D4042" s="65" t="str">
        <f>vlookup(C4042,'Classificação p pessoal'!F:G,2,false)</f>
        <v>NP</v>
      </c>
      <c r="E4042" s="65" t="s">
        <v>2955</v>
      </c>
      <c r="F4042" s="83">
        <v>0.5833333333333334</v>
      </c>
      <c r="G4042" s="83">
        <v>0.6458333333333334</v>
      </c>
      <c r="H4042" s="83">
        <v>0.0625</v>
      </c>
      <c r="I4042" s="84">
        <v>44302.0</v>
      </c>
      <c r="J4042" s="65" t="b">
        <v>1</v>
      </c>
      <c r="K4042" s="65"/>
      <c r="L4042" s="85" t="b">
        <f>IF(VLOOKUP(C4042,Projetos!A:L,12,false)=TRUE,TRUE,FALSE)</f>
        <v>1</v>
      </c>
      <c r="M4042" s="74">
        <v>52.1518759018759</v>
      </c>
      <c r="N4042" s="74">
        <f t="shared" si="1"/>
        <v>78.22781385</v>
      </c>
      <c r="O4042" s="74" t="b">
        <v>1</v>
      </c>
    </row>
    <row r="4043" hidden="1">
      <c r="A4043" s="82"/>
      <c r="B4043" s="65" t="s">
        <v>467</v>
      </c>
      <c r="C4043" s="65" t="s">
        <v>113</v>
      </c>
      <c r="D4043" s="65"/>
      <c r="E4043" s="65" t="s">
        <v>2956</v>
      </c>
      <c r="F4043" s="83">
        <v>0.3541666666666667</v>
      </c>
      <c r="G4043" s="83">
        <v>0.4375</v>
      </c>
      <c r="H4043" s="83">
        <v>0.08333333333333333</v>
      </c>
      <c r="I4043" s="84">
        <v>44305.0</v>
      </c>
      <c r="J4043" s="65" t="b">
        <v>0</v>
      </c>
      <c r="K4043" s="65" t="s">
        <v>150</v>
      </c>
      <c r="L4043" s="85" t="b">
        <f>IF(VLOOKUP(C4043,Projetos!A:L,12,false)=TRUE,TRUE,FALSE)</f>
        <v>1</v>
      </c>
      <c r="M4043" s="74">
        <v>52.1518759018759</v>
      </c>
      <c r="N4043" s="74">
        <f t="shared" si="1"/>
        <v>0</v>
      </c>
      <c r="O4043" s="74" t="b">
        <v>1</v>
      </c>
    </row>
    <row r="4044" hidden="1">
      <c r="A4044" s="82"/>
      <c r="B4044" s="65" t="s">
        <v>467</v>
      </c>
      <c r="C4044" s="65" t="s">
        <v>122</v>
      </c>
      <c r="D4044" s="65"/>
      <c r="E4044" s="65" t="s">
        <v>2957</v>
      </c>
      <c r="F4044" s="83">
        <v>0.4375</v>
      </c>
      <c r="G4044" s="83">
        <v>0.4791666666666667</v>
      </c>
      <c r="H4044" s="83">
        <v>0.041666666666666664</v>
      </c>
      <c r="I4044" s="84">
        <v>44305.0</v>
      </c>
      <c r="J4044" s="65" t="b">
        <v>0</v>
      </c>
      <c r="K4044" s="65" t="s">
        <v>150</v>
      </c>
      <c r="L4044" s="85" t="b">
        <f>IF(VLOOKUP(C4044,Projetos!A:L,12,false)=TRUE,TRUE,FALSE)</f>
        <v>1</v>
      </c>
      <c r="M4044" s="74">
        <v>52.1518759018759</v>
      </c>
      <c r="N4044" s="74">
        <f t="shared" si="1"/>
        <v>0</v>
      </c>
      <c r="O4044" s="74" t="b">
        <v>1</v>
      </c>
    </row>
    <row r="4045" hidden="1">
      <c r="A4045" s="82"/>
      <c r="B4045" s="65" t="s">
        <v>467</v>
      </c>
      <c r="C4045" s="65" t="s">
        <v>113</v>
      </c>
      <c r="D4045" s="65" t="str">
        <f>vlookup(C4045,'Classificação p pessoal'!F:G,2,false)</f>
        <v>NP</v>
      </c>
      <c r="E4045" s="65" t="s">
        <v>2958</v>
      </c>
      <c r="F4045" s="83">
        <v>0.4791666666666667</v>
      </c>
      <c r="G4045" s="83">
        <v>0.5625</v>
      </c>
      <c r="H4045" s="83">
        <v>0.08333333333333333</v>
      </c>
      <c r="I4045" s="84">
        <v>44305.0</v>
      </c>
      <c r="J4045" s="65" t="b">
        <v>1</v>
      </c>
      <c r="K4045" s="65"/>
      <c r="L4045" s="85" t="b">
        <f>IF(VLOOKUP(C4045,Projetos!A:L,12,false)=TRUE,TRUE,FALSE)</f>
        <v>1</v>
      </c>
      <c r="M4045" s="74">
        <v>52.1518759018759</v>
      </c>
      <c r="N4045" s="74">
        <f t="shared" si="1"/>
        <v>104.3037518</v>
      </c>
      <c r="O4045" s="74" t="b">
        <v>1</v>
      </c>
    </row>
    <row r="4046" hidden="1">
      <c r="A4046" s="82"/>
      <c r="B4046" s="65" t="s">
        <v>467</v>
      </c>
      <c r="C4046" s="65" t="s">
        <v>122</v>
      </c>
      <c r="D4046" s="65" t="str">
        <f>vlookup(C4046,'Classificação p pessoal'!F:G,2,false)</f>
        <v>NP</v>
      </c>
      <c r="E4046" s="65" t="s">
        <v>2959</v>
      </c>
      <c r="F4046" s="83">
        <v>0.6041666666666666</v>
      </c>
      <c r="G4046" s="83">
        <v>0.6458333333333334</v>
      </c>
      <c r="H4046" s="83">
        <v>0.041666666666666664</v>
      </c>
      <c r="I4046" s="84">
        <v>44305.0</v>
      </c>
      <c r="J4046" s="65" t="b">
        <v>1</v>
      </c>
      <c r="K4046" s="65"/>
      <c r="L4046" s="85" t="b">
        <f>IF(VLOOKUP(C4046,Projetos!A:L,12,false)=TRUE,TRUE,FALSE)</f>
        <v>1</v>
      </c>
      <c r="M4046" s="74">
        <v>52.1518759018759</v>
      </c>
      <c r="N4046" s="74">
        <f t="shared" si="1"/>
        <v>52.1518759</v>
      </c>
      <c r="O4046" s="74" t="b">
        <v>1</v>
      </c>
    </row>
    <row r="4047" hidden="1">
      <c r="A4047" s="82"/>
      <c r="B4047" s="65" t="s">
        <v>467</v>
      </c>
      <c r="C4047" s="65" t="s">
        <v>113</v>
      </c>
      <c r="D4047" s="65" t="str">
        <f>vlookup(C4047,'Classificação p pessoal'!F:G,2,false)</f>
        <v>NP</v>
      </c>
      <c r="E4047" s="65" t="s">
        <v>2960</v>
      </c>
      <c r="F4047" s="83">
        <v>0.4375</v>
      </c>
      <c r="G4047" s="83">
        <v>0.4791666666666667</v>
      </c>
      <c r="H4047" s="83">
        <v>0.041666666666666664</v>
      </c>
      <c r="I4047" s="84">
        <v>44306.0</v>
      </c>
      <c r="J4047" s="65" t="b">
        <v>1</v>
      </c>
      <c r="K4047" s="65"/>
      <c r="L4047" s="85" t="b">
        <f>IF(VLOOKUP(C4047,Projetos!A:L,12,false)=TRUE,TRUE,FALSE)</f>
        <v>1</v>
      </c>
      <c r="M4047" s="74">
        <v>52.1518759018759</v>
      </c>
      <c r="N4047" s="74">
        <f t="shared" si="1"/>
        <v>52.1518759</v>
      </c>
      <c r="O4047" s="74" t="b">
        <v>1</v>
      </c>
    </row>
    <row r="4048" hidden="1">
      <c r="A4048" s="82"/>
      <c r="B4048" s="65" t="s">
        <v>467</v>
      </c>
      <c r="C4048" s="65" t="s">
        <v>92</v>
      </c>
      <c r="D4048" s="65" t="str">
        <f>vlookup(C4048,'Classificação p pessoal'!F:G,2,false)</f>
        <v/>
      </c>
      <c r="E4048" s="65" t="s">
        <v>2961</v>
      </c>
      <c r="F4048" s="83">
        <v>0.625</v>
      </c>
      <c r="G4048" s="83">
        <v>0.6666666666666666</v>
      </c>
      <c r="H4048" s="83">
        <v>0.041666666666666664</v>
      </c>
      <c r="I4048" s="84">
        <v>44306.0</v>
      </c>
      <c r="J4048" s="65" t="b">
        <v>1</v>
      </c>
      <c r="K4048" s="65"/>
      <c r="L4048" s="85" t="b">
        <f>IF(VLOOKUP(C4048,Projetos!A:L,12,false)=TRUE,TRUE,FALSE)</f>
        <v>1</v>
      </c>
      <c r="M4048" s="74">
        <v>52.1518759018759</v>
      </c>
      <c r="N4048" s="74">
        <f t="shared" si="1"/>
        <v>52.1518759</v>
      </c>
      <c r="O4048" s="74" t="b">
        <v>1</v>
      </c>
    </row>
    <row r="4049" hidden="1">
      <c r="A4049" s="82"/>
      <c r="B4049" s="65" t="s">
        <v>467</v>
      </c>
      <c r="C4049" s="65" t="s">
        <v>113</v>
      </c>
      <c r="D4049" s="65" t="str">
        <f>vlookup(C4049,'Classificação p pessoal'!F:G,2,false)</f>
        <v>NP</v>
      </c>
      <c r="E4049" s="65" t="s">
        <v>2962</v>
      </c>
      <c r="F4049" s="83">
        <v>0.34375</v>
      </c>
      <c r="G4049" s="83">
        <v>0.6666666666666666</v>
      </c>
      <c r="H4049" s="83">
        <v>0.3229166666666667</v>
      </c>
      <c r="I4049" s="84">
        <v>44308.0</v>
      </c>
      <c r="J4049" s="65" t="b">
        <v>1</v>
      </c>
      <c r="K4049" s="65"/>
      <c r="L4049" s="85" t="b">
        <f>IF(VLOOKUP(C4049,Projetos!A:L,12,false)=TRUE,TRUE,FALSE)</f>
        <v>1</v>
      </c>
      <c r="M4049" s="74">
        <v>52.1518759018759</v>
      </c>
      <c r="N4049" s="74">
        <f t="shared" si="1"/>
        <v>404.1770382</v>
      </c>
      <c r="O4049" s="74" t="b">
        <v>1</v>
      </c>
    </row>
    <row r="4050" hidden="1">
      <c r="A4050" s="82"/>
      <c r="B4050" s="65" t="s">
        <v>467</v>
      </c>
      <c r="C4050" s="65" t="s">
        <v>113</v>
      </c>
      <c r="D4050" s="65" t="str">
        <f>vlookup(C4050,'Classificação p pessoal'!F:G,2,false)</f>
        <v>NP</v>
      </c>
      <c r="E4050" s="65" t="s">
        <v>2963</v>
      </c>
      <c r="F4050" s="83">
        <v>0.6666666666666666</v>
      </c>
      <c r="G4050" s="83">
        <v>0.75</v>
      </c>
      <c r="H4050" s="83">
        <v>0.08333333333333333</v>
      </c>
      <c r="I4050" s="84">
        <v>44308.0</v>
      </c>
      <c r="J4050" s="65" t="b">
        <v>1</v>
      </c>
      <c r="K4050" s="65"/>
      <c r="L4050" s="85" t="b">
        <f>IF(VLOOKUP(C4050,Projetos!A:L,12,false)=TRUE,TRUE,FALSE)</f>
        <v>1</v>
      </c>
      <c r="M4050" s="74">
        <v>52.1518759018759</v>
      </c>
      <c r="N4050" s="74">
        <f t="shared" si="1"/>
        <v>104.3037518</v>
      </c>
      <c r="O4050" s="74" t="b">
        <v>1</v>
      </c>
    </row>
    <row r="4051" hidden="1">
      <c r="A4051" s="82"/>
      <c r="B4051" s="65" t="s">
        <v>467</v>
      </c>
      <c r="C4051" s="65" t="s">
        <v>113</v>
      </c>
      <c r="D4051" s="65" t="str">
        <f>vlookup(C4051,'Classificação p pessoal'!F:G,2,false)</f>
        <v>NP</v>
      </c>
      <c r="E4051" s="65" t="s">
        <v>2964</v>
      </c>
      <c r="F4051" s="83">
        <v>0.34375</v>
      </c>
      <c r="G4051" s="83">
        <v>0.625</v>
      </c>
      <c r="H4051" s="83">
        <v>0.28125</v>
      </c>
      <c r="I4051" s="84">
        <v>44309.0</v>
      </c>
      <c r="J4051" s="65" t="b">
        <v>1</v>
      </c>
      <c r="K4051" s="65"/>
      <c r="L4051" s="85" t="b">
        <f>IF(VLOOKUP(C4051,Projetos!A:L,12,false)=TRUE,TRUE,FALSE)</f>
        <v>1</v>
      </c>
      <c r="M4051" s="74">
        <v>52.1518759018759</v>
      </c>
      <c r="N4051" s="74">
        <f t="shared" si="1"/>
        <v>352.0251623</v>
      </c>
      <c r="O4051" s="74" t="b">
        <v>1</v>
      </c>
    </row>
    <row r="4052" hidden="1">
      <c r="A4052" s="82"/>
      <c r="B4052" s="65" t="s">
        <v>467</v>
      </c>
      <c r="C4052" s="65" t="s">
        <v>113</v>
      </c>
      <c r="D4052" s="65" t="str">
        <f>vlookup(C4052,'Classificação p pessoal'!F:G,2,false)</f>
        <v>NP</v>
      </c>
      <c r="E4052" s="65" t="s">
        <v>2965</v>
      </c>
      <c r="F4052" s="83">
        <v>0.625</v>
      </c>
      <c r="G4052" s="83">
        <v>0.6875</v>
      </c>
      <c r="H4052" s="83">
        <v>0.0625</v>
      </c>
      <c r="I4052" s="84">
        <v>44309.0</v>
      </c>
      <c r="J4052" s="65" t="b">
        <v>1</v>
      </c>
      <c r="K4052" s="65"/>
      <c r="L4052" s="85" t="b">
        <f>IF(VLOOKUP(C4052,Projetos!A:L,12,false)=TRUE,TRUE,FALSE)</f>
        <v>1</v>
      </c>
      <c r="M4052" s="74">
        <v>52.1518759018759</v>
      </c>
      <c r="N4052" s="74">
        <f t="shared" si="1"/>
        <v>78.22781385</v>
      </c>
      <c r="O4052" s="74" t="b">
        <v>1</v>
      </c>
    </row>
    <row r="4053" hidden="1">
      <c r="A4053" s="82"/>
      <c r="B4053" s="65" t="s">
        <v>467</v>
      </c>
      <c r="C4053" s="65" t="s">
        <v>117</v>
      </c>
      <c r="D4053" s="65" t="str">
        <f>vlookup(C4053,'Classificação p pessoal'!F:G,2,false)</f>
        <v>NP</v>
      </c>
      <c r="E4053" s="65" t="s">
        <v>2966</v>
      </c>
      <c r="F4053" s="83">
        <v>0.4166666666666667</v>
      </c>
      <c r="G4053" s="83">
        <v>0.4583333333333333</v>
      </c>
      <c r="H4053" s="83">
        <v>0.041666666666666664</v>
      </c>
      <c r="I4053" s="84">
        <v>44312.0</v>
      </c>
      <c r="J4053" s="65" t="b">
        <v>1</v>
      </c>
      <c r="K4053" s="65"/>
      <c r="L4053" s="85" t="b">
        <f>IF(VLOOKUP(C4053,Projetos!A:L,12,false)=TRUE,TRUE,FALSE)</f>
        <v>1</v>
      </c>
      <c r="M4053" s="74">
        <v>52.1518759018759</v>
      </c>
      <c r="N4053" s="74">
        <f t="shared" si="1"/>
        <v>52.1518759</v>
      </c>
      <c r="O4053" s="74" t="b">
        <v>1</v>
      </c>
    </row>
    <row r="4054" hidden="1">
      <c r="A4054" s="82"/>
      <c r="B4054" s="65" t="s">
        <v>467</v>
      </c>
      <c r="C4054" s="65" t="s">
        <v>92</v>
      </c>
      <c r="D4054" s="65" t="str">
        <f>vlookup(C4054,'Classificação p pessoal'!F:G,2,false)</f>
        <v/>
      </c>
      <c r="E4054" s="65" t="s">
        <v>2967</v>
      </c>
      <c r="F4054" s="83">
        <v>0.5833333333333334</v>
      </c>
      <c r="G4054" s="83">
        <v>0.6458333333333334</v>
      </c>
      <c r="H4054" s="83">
        <v>0.0625</v>
      </c>
      <c r="I4054" s="84">
        <v>44312.0</v>
      </c>
      <c r="J4054" s="65" t="b">
        <v>1</v>
      </c>
      <c r="K4054" s="65"/>
      <c r="L4054" s="85" t="b">
        <f>IF(VLOOKUP(C4054,Projetos!A:L,12,false)=TRUE,TRUE,FALSE)</f>
        <v>1</v>
      </c>
      <c r="M4054" s="74">
        <v>52.1518759018759</v>
      </c>
      <c r="N4054" s="74">
        <f t="shared" si="1"/>
        <v>78.22781385</v>
      </c>
      <c r="O4054" s="74" t="b">
        <v>1</v>
      </c>
    </row>
    <row r="4055" hidden="1">
      <c r="A4055" s="82"/>
      <c r="B4055" s="65" t="s">
        <v>467</v>
      </c>
      <c r="C4055" s="65" t="s">
        <v>113</v>
      </c>
      <c r="D4055" s="65" t="str">
        <f>vlookup(C4055,'Classificação p pessoal'!F:G,2,false)</f>
        <v>NP</v>
      </c>
      <c r="E4055" s="65" t="s">
        <v>2968</v>
      </c>
      <c r="F4055" s="83">
        <v>0.3541666666666667</v>
      </c>
      <c r="G4055" s="83">
        <v>0.4375</v>
      </c>
      <c r="H4055" s="83">
        <v>0.08333333333333333</v>
      </c>
      <c r="I4055" s="84">
        <v>44312.0</v>
      </c>
      <c r="J4055" s="65" t="b">
        <v>1</v>
      </c>
      <c r="K4055" s="65"/>
      <c r="L4055" s="85" t="b">
        <f>IF(VLOOKUP(C4055,Projetos!A:L,12,false)=TRUE,TRUE,FALSE)</f>
        <v>1</v>
      </c>
      <c r="M4055" s="74">
        <v>52.1518759018759</v>
      </c>
      <c r="N4055" s="74">
        <f t="shared" si="1"/>
        <v>104.3037518</v>
      </c>
      <c r="O4055" s="74" t="b">
        <v>1</v>
      </c>
    </row>
    <row r="4056" hidden="1">
      <c r="A4056" s="82"/>
      <c r="B4056" s="65" t="s">
        <v>467</v>
      </c>
      <c r="C4056" s="65" t="s">
        <v>113</v>
      </c>
      <c r="D4056" s="65" t="str">
        <f>vlookup(C4056,'Classificação p pessoal'!F:G,2,false)</f>
        <v>NP</v>
      </c>
      <c r="E4056" s="65" t="s">
        <v>2969</v>
      </c>
      <c r="F4056" s="83">
        <v>0.4375</v>
      </c>
      <c r="G4056" s="83">
        <v>0.5</v>
      </c>
      <c r="H4056" s="83">
        <v>0.0625</v>
      </c>
      <c r="I4056" s="84">
        <v>44312.0</v>
      </c>
      <c r="J4056" s="65" t="b">
        <v>1</v>
      </c>
      <c r="K4056" s="65"/>
      <c r="L4056" s="85" t="b">
        <f>IF(VLOOKUP(C4056,Projetos!A:L,12,false)=TRUE,TRUE,FALSE)</f>
        <v>1</v>
      </c>
      <c r="M4056" s="74">
        <v>52.1518759018759</v>
      </c>
      <c r="N4056" s="74">
        <f t="shared" si="1"/>
        <v>78.22781385</v>
      </c>
      <c r="O4056" s="74" t="b">
        <v>1</v>
      </c>
    </row>
    <row r="4057" hidden="1">
      <c r="A4057" s="82"/>
      <c r="B4057" s="65" t="s">
        <v>467</v>
      </c>
      <c r="C4057" s="65" t="s">
        <v>113</v>
      </c>
      <c r="D4057" s="65" t="str">
        <f>vlookup(C4057,'Classificação p pessoal'!F:G,2,false)</f>
        <v>NP</v>
      </c>
      <c r="E4057" s="65" t="s">
        <v>2970</v>
      </c>
      <c r="F4057" s="83">
        <v>0.5833333333333334</v>
      </c>
      <c r="G4057" s="83">
        <v>0.6458333333333334</v>
      </c>
      <c r="H4057" s="83">
        <v>0.0625</v>
      </c>
      <c r="I4057" s="84">
        <v>44312.0</v>
      </c>
      <c r="J4057" s="65" t="b">
        <v>1</v>
      </c>
      <c r="K4057" s="65"/>
      <c r="L4057" s="85" t="b">
        <f>IF(VLOOKUP(C4057,Projetos!A:L,12,false)=TRUE,TRUE,FALSE)</f>
        <v>1</v>
      </c>
      <c r="M4057" s="74">
        <v>52.1518759018759</v>
      </c>
      <c r="N4057" s="74">
        <f t="shared" si="1"/>
        <v>78.22781385</v>
      </c>
      <c r="O4057" s="74" t="b">
        <v>1</v>
      </c>
    </row>
    <row r="4058" hidden="1">
      <c r="A4058" s="82"/>
      <c r="B4058" s="65" t="s">
        <v>467</v>
      </c>
      <c r="C4058" s="65" t="s">
        <v>92</v>
      </c>
      <c r="D4058" s="65" t="str">
        <f>vlookup(C4058,'Classificação p pessoal'!F:G,2,false)</f>
        <v/>
      </c>
      <c r="E4058" s="65" t="s">
        <v>2971</v>
      </c>
      <c r="F4058" s="83">
        <v>0.6666666666666666</v>
      </c>
      <c r="G4058" s="83">
        <v>0.7083333333333334</v>
      </c>
      <c r="H4058" s="83">
        <v>0.041666666666666664</v>
      </c>
      <c r="I4058" s="84">
        <v>44312.0</v>
      </c>
      <c r="J4058" s="65" t="b">
        <v>1</v>
      </c>
      <c r="K4058" s="65"/>
      <c r="L4058" s="85" t="b">
        <f>IF(VLOOKUP(C4058,Projetos!A:L,12,false)=TRUE,TRUE,FALSE)</f>
        <v>1</v>
      </c>
      <c r="M4058" s="74">
        <v>52.1518759018759</v>
      </c>
      <c r="N4058" s="74">
        <f t="shared" si="1"/>
        <v>52.1518759</v>
      </c>
      <c r="O4058" s="74" t="b">
        <v>1</v>
      </c>
    </row>
    <row r="4059" hidden="1">
      <c r="A4059" s="82"/>
      <c r="B4059" s="65" t="s">
        <v>467</v>
      </c>
      <c r="C4059" s="65" t="s">
        <v>117</v>
      </c>
      <c r="D4059" s="65" t="str">
        <f>vlookup(C4059,'Classificação p pessoal'!F:G,2,false)</f>
        <v>NP</v>
      </c>
      <c r="E4059" s="65" t="s">
        <v>2972</v>
      </c>
      <c r="F4059" s="83">
        <v>0.3125</v>
      </c>
      <c r="G4059" s="83">
        <v>0.6875</v>
      </c>
      <c r="H4059" s="83">
        <v>0.375</v>
      </c>
      <c r="I4059" s="84">
        <v>44313.0</v>
      </c>
      <c r="J4059" s="65" t="b">
        <v>1</v>
      </c>
      <c r="K4059" s="65"/>
      <c r="L4059" s="85" t="b">
        <f>IF(VLOOKUP(C4059,Projetos!A:L,12,false)=TRUE,TRUE,FALSE)</f>
        <v>1</v>
      </c>
      <c r="M4059" s="74">
        <v>52.1518759018759</v>
      </c>
      <c r="N4059" s="74">
        <f t="shared" si="1"/>
        <v>469.3668831</v>
      </c>
      <c r="O4059" s="74" t="b">
        <v>1</v>
      </c>
    </row>
    <row r="4060" hidden="1">
      <c r="A4060" s="82"/>
      <c r="B4060" s="65" t="s">
        <v>467</v>
      </c>
      <c r="C4060" s="65" t="s">
        <v>117</v>
      </c>
      <c r="D4060" s="65" t="str">
        <f>vlookup(C4060,'Classificação p pessoal'!F:G,2,false)</f>
        <v>NP</v>
      </c>
      <c r="E4060" s="65" t="s">
        <v>2972</v>
      </c>
      <c r="F4060" s="83">
        <v>0.2916666666666667</v>
      </c>
      <c r="G4060" s="83">
        <v>0.6666666666666666</v>
      </c>
      <c r="H4060" s="83">
        <v>0.375</v>
      </c>
      <c r="I4060" s="84">
        <v>44314.0</v>
      </c>
      <c r="J4060" s="65" t="b">
        <v>1</v>
      </c>
      <c r="K4060" s="65"/>
      <c r="L4060" s="85" t="b">
        <f>IF(VLOOKUP(C4060,Projetos!A:L,12,false)=TRUE,TRUE,FALSE)</f>
        <v>1</v>
      </c>
      <c r="M4060" s="74">
        <v>52.1518759018759</v>
      </c>
      <c r="N4060" s="74">
        <f t="shared" si="1"/>
        <v>469.3668831</v>
      </c>
      <c r="O4060" s="74" t="b">
        <v>1</v>
      </c>
    </row>
    <row r="4061" hidden="1">
      <c r="A4061" s="82"/>
      <c r="B4061" s="65" t="s">
        <v>467</v>
      </c>
      <c r="C4061" s="65" t="s">
        <v>117</v>
      </c>
      <c r="D4061" s="65" t="str">
        <f>vlookup(C4061,'Classificação p pessoal'!F:G,2,false)</f>
        <v>NP</v>
      </c>
      <c r="E4061" s="65" t="s">
        <v>2973</v>
      </c>
      <c r="F4061" s="83">
        <v>0.6875</v>
      </c>
      <c r="G4061" s="83">
        <v>0.75</v>
      </c>
      <c r="H4061" s="83">
        <v>0.0625</v>
      </c>
      <c r="I4061" s="84">
        <v>44314.0</v>
      </c>
      <c r="J4061" s="65" t="b">
        <v>1</v>
      </c>
      <c r="K4061" s="65"/>
      <c r="L4061" s="85" t="b">
        <f>IF(VLOOKUP(C4061,Projetos!A:L,12,false)=TRUE,TRUE,FALSE)</f>
        <v>1</v>
      </c>
      <c r="M4061" s="74">
        <v>52.1518759018759</v>
      </c>
      <c r="N4061" s="74">
        <f t="shared" si="1"/>
        <v>78.22781385</v>
      </c>
      <c r="O4061" s="74" t="b">
        <v>1</v>
      </c>
    </row>
    <row r="4062" hidden="1">
      <c r="A4062" s="82"/>
      <c r="B4062" s="65" t="s">
        <v>467</v>
      </c>
      <c r="C4062" s="65" t="s">
        <v>117</v>
      </c>
      <c r="D4062" s="65" t="str">
        <f>vlookup(C4062,'Classificação p pessoal'!F:G,2,false)</f>
        <v>NP</v>
      </c>
      <c r="E4062" s="65" t="s">
        <v>2974</v>
      </c>
      <c r="F4062" s="83">
        <v>0.3125</v>
      </c>
      <c r="G4062" s="83">
        <v>0.4791666666666667</v>
      </c>
      <c r="H4062" s="83">
        <v>0.16666666666666666</v>
      </c>
      <c r="I4062" s="84">
        <v>44315.0</v>
      </c>
      <c r="J4062" s="65" t="b">
        <v>1</v>
      </c>
      <c r="K4062" s="65"/>
      <c r="L4062" s="85" t="b">
        <f>IF(VLOOKUP(C4062,Projetos!A:L,12,false)=TRUE,TRUE,FALSE)</f>
        <v>1</v>
      </c>
      <c r="M4062" s="74">
        <v>52.1518759018759</v>
      </c>
      <c r="N4062" s="74">
        <f t="shared" si="1"/>
        <v>208.6075036</v>
      </c>
      <c r="O4062" s="74" t="b">
        <v>1</v>
      </c>
    </row>
    <row r="4063" hidden="1">
      <c r="A4063" s="82"/>
      <c r="B4063" s="65" t="s">
        <v>467</v>
      </c>
      <c r="C4063" s="65" t="s">
        <v>88</v>
      </c>
      <c r="D4063" s="65" t="str">
        <f>vlookup(C4063,'Classificação p pessoal'!F:G,2,false)</f>
        <v>MProduto</v>
      </c>
      <c r="E4063" s="65" t="s">
        <v>2975</v>
      </c>
      <c r="F4063" s="83">
        <v>0.5833333333333334</v>
      </c>
      <c r="G4063" s="83">
        <v>0.6666666666666666</v>
      </c>
      <c r="H4063" s="83">
        <v>0.08333333333333333</v>
      </c>
      <c r="I4063" s="84">
        <v>44315.0</v>
      </c>
      <c r="J4063" s="65" t="b">
        <v>1</v>
      </c>
      <c r="K4063" s="65"/>
      <c r="L4063" s="85" t="b">
        <f>IF(VLOOKUP(C4063,Projetos!A:L,12,false)=TRUE,TRUE,FALSE)</f>
        <v>1</v>
      </c>
      <c r="M4063" s="74">
        <v>52.1518759018759</v>
      </c>
      <c r="N4063" s="74">
        <f t="shared" si="1"/>
        <v>104.3037518</v>
      </c>
      <c r="O4063" s="74" t="b">
        <v>1</v>
      </c>
    </row>
    <row r="4064" hidden="1">
      <c r="A4064" s="82"/>
      <c r="B4064" s="65" t="s">
        <v>467</v>
      </c>
      <c r="C4064" s="65" t="s">
        <v>88</v>
      </c>
      <c r="D4064" s="65"/>
      <c r="E4064" s="65" t="s">
        <v>2976</v>
      </c>
      <c r="F4064" s="83">
        <v>0.5833333333333334</v>
      </c>
      <c r="G4064" s="83">
        <v>0.625</v>
      </c>
      <c r="H4064" s="83">
        <v>0.041666666666666664</v>
      </c>
      <c r="I4064" s="84">
        <v>44316.0</v>
      </c>
      <c r="J4064" s="65" t="b">
        <v>0</v>
      </c>
      <c r="K4064" s="65" t="s">
        <v>150</v>
      </c>
      <c r="L4064" s="85" t="b">
        <f>IF(VLOOKUP(C4064,Projetos!A:L,12,false)=TRUE,TRUE,FALSE)</f>
        <v>1</v>
      </c>
      <c r="M4064" s="74">
        <v>52.1518759018759</v>
      </c>
      <c r="N4064" s="74">
        <f t="shared" si="1"/>
        <v>0</v>
      </c>
      <c r="O4064" s="74" t="b">
        <v>1</v>
      </c>
    </row>
    <row r="4065" hidden="1">
      <c r="A4065" s="82"/>
      <c r="B4065" s="65" t="s">
        <v>467</v>
      </c>
      <c r="C4065" s="65" t="s">
        <v>92</v>
      </c>
      <c r="D4065" s="65" t="str">
        <f>vlookup(C4065,'Classificação p pessoal'!F:G,2,false)</f>
        <v/>
      </c>
      <c r="E4065" s="65" t="s">
        <v>2977</v>
      </c>
      <c r="F4065" s="83">
        <v>0.4791666666666667</v>
      </c>
      <c r="G4065" s="83">
        <v>0.5</v>
      </c>
      <c r="H4065" s="83">
        <v>0.020833333333333332</v>
      </c>
      <c r="I4065" s="84">
        <v>44316.0</v>
      </c>
      <c r="J4065" s="65" t="b">
        <v>1</v>
      </c>
      <c r="K4065" s="65"/>
      <c r="L4065" s="85" t="b">
        <f>IF(VLOOKUP(C4065,Projetos!A:L,12,false)=TRUE,TRUE,FALSE)</f>
        <v>1</v>
      </c>
      <c r="M4065" s="74">
        <v>52.1518759018759</v>
      </c>
      <c r="N4065" s="74">
        <f t="shared" si="1"/>
        <v>26.07593795</v>
      </c>
      <c r="O4065" s="74" t="b">
        <v>1</v>
      </c>
    </row>
    <row r="4066" hidden="1">
      <c r="A4066" s="82"/>
      <c r="B4066" s="65" t="s">
        <v>467</v>
      </c>
      <c r="C4066" s="65" t="s">
        <v>92</v>
      </c>
      <c r="D4066" s="65" t="str">
        <f>vlookup(C4066,'Classificação p pessoal'!F:G,2,false)</f>
        <v/>
      </c>
      <c r="E4066" s="65" t="s">
        <v>2978</v>
      </c>
      <c r="F4066" s="83">
        <v>0.375</v>
      </c>
      <c r="G4066" s="83">
        <v>0.4166666666666667</v>
      </c>
      <c r="H4066" s="83">
        <v>0.041666666666666664</v>
      </c>
      <c r="I4066" s="84">
        <v>44316.0</v>
      </c>
      <c r="J4066" s="65" t="b">
        <v>1</v>
      </c>
      <c r="K4066" s="65"/>
      <c r="L4066" s="85" t="b">
        <f>IF(VLOOKUP(C4066,Projetos!A:L,12,false)=TRUE,TRUE,FALSE)</f>
        <v>1</v>
      </c>
      <c r="M4066" s="74">
        <v>52.1518759018759</v>
      </c>
      <c r="N4066" s="74">
        <f t="shared" si="1"/>
        <v>52.1518759</v>
      </c>
      <c r="O4066" s="74" t="b">
        <v>1</v>
      </c>
    </row>
    <row r="4067" hidden="1">
      <c r="A4067" s="82"/>
      <c r="B4067" s="65" t="s">
        <v>467</v>
      </c>
      <c r="C4067" s="65" t="s">
        <v>118</v>
      </c>
      <c r="D4067" s="65" t="str">
        <f>vlookup(C4067,'Classificação p pessoal'!F:G,2,false)</f>
        <v>MProduto</v>
      </c>
      <c r="E4067" s="65" t="s">
        <v>2979</v>
      </c>
      <c r="F4067" s="83">
        <v>0.4166666666666667</v>
      </c>
      <c r="G4067" s="83">
        <v>0.4583333333333333</v>
      </c>
      <c r="H4067" s="83">
        <v>0.041666666666666664</v>
      </c>
      <c r="I4067" s="84">
        <v>44316.0</v>
      </c>
      <c r="J4067" s="65" t="b">
        <v>1</v>
      </c>
      <c r="K4067" s="65"/>
      <c r="L4067" s="85" t="b">
        <f>IF(VLOOKUP(C4067,Projetos!A:L,12,false)=TRUE,TRUE,FALSE)</f>
        <v>1</v>
      </c>
      <c r="M4067" s="74">
        <v>52.1518759018759</v>
      </c>
      <c r="N4067" s="74">
        <f t="shared" si="1"/>
        <v>52.1518759</v>
      </c>
      <c r="O4067" s="74" t="b">
        <v>1</v>
      </c>
    </row>
    <row r="4068" hidden="1">
      <c r="A4068" s="82"/>
      <c r="B4068" s="65" t="s">
        <v>467</v>
      </c>
      <c r="C4068" s="65" t="s">
        <v>113</v>
      </c>
      <c r="D4068" s="65" t="str">
        <f>vlookup(C4068,'Classificação p pessoal'!F:G,2,false)</f>
        <v>NP</v>
      </c>
      <c r="E4068" s="65" t="s">
        <v>2980</v>
      </c>
      <c r="F4068" s="83">
        <v>0.5833333333333334</v>
      </c>
      <c r="G4068" s="83">
        <v>0.6041666666666666</v>
      </c>
      <c r="H4068" s="83">
        <v>0.020833333333333332</v>
      </c>
      <c r="I4068" s="84">
        <v>44316.0</v>
      </c>
      <c r="J4068" s="65" t="b">
        <v>1</v>
      </c>
      <c r="K4068" s="65"/>
      <c r="L4068" s="85" t="b">
        <f>IF(VLOOKUP(C4068,Projetos!A:L,12,false)=TRUE,TRUE,FALSE)</f>
        <v>1</v>
      </c>
      <c r="M4068" s="74">
        <v>52.1518759018759</v>
      </c>
      <c r="N4068" s="74">
        <f t="shared" si="1"/>
        <v>26.07593795</v>
      </c>
      <c r="O4068" s="74" t="b">
        <v>1</v>
      </c>
    </row>
    <row r="4069" hidden="1">
      <c r="A4069" s="82"/>
      <c r="B4069" s="65" t="s">
        <v>467</v>
      </c>
      <c r="C4069" s="65" t="s">
        <v>88</v>
      </c>
      <c r="D4069" s="65" t="str">
        <f>vlookup(C4069,'Classificação p pessoal'!F:G,2,false)</f>
        <v>MProduto</v>
      </c>
      <c r="E4069" s="65" t="s">
        <v>2981</v>
      </c>
      <c r="F4069" s="83">
        <v>0.4166666666666667</v>
      </c>
      <c r="G4069" s="83">
        <v>0.4791666666666667</v>
      </c>
      <c r="H4069" s="83">
        <v>0.0625</v>
      </c>
      <c r="I4069" s="84">
        <v>44319.0</v>
      </c>
      <c r="J4069" s="65" t="b">
        <v>1</v>
      </c>
      <c r="K4069" s="65"/>
      <c r="L4069" s="85" t="b">
        <f>IF(VLOOKUP(C4069,Projetos!A:L,12,false)=TRUE,TRUE,FALSE)</f>
        <v>1</v>
      </c>
      <c r="M4069" s="74">
        <v>52.1518759018759</v>
      </c>
      <c r="N4069" s="74">
        <f t="shared" si="1"/>
        <v>78.22781385</v>
      </c>
      <c r="O4069" s="74" t="b">
        <v>1</v>
      </c>
    </row>
    <row r="4070" hidden="1">
      <c r="A4070" s="82"/>
      <c r="B4070" s="65" t="s">
        <v>467</v>
      </c>
      <c r="C4070" s="65" t="s">
        <v>92</v>
      </c>
      <c r="D4070" s="65"/>
      <c r="E4070" s="65" t="s">
        <v>2982</v>
      </c>
      <c r="F4070" s="83">
        <v>0.5833333333333334</v>
      </c>
      <c r="G4070" s="83">
        <v>0.625</v>
      </c>
      <c r="H4070" s="83">
        <v>0.041666666666666664</v>
      </c>
      <c r="I4070" s="84">
        <v>44319.0</v>
      </c>
      <c r="J4070" s="65" t="b">
        <v>0</v>
      </c>
      <c r="K4070" s="65" t="s">
        <v>150</v>
      </c>
      <c r="L4070" s="85" t="b">
        <f>IF(VLOOKUP(C4070,Projetos!A:L,12,false)=TRUE,TRUE,FALSE)</f>
        <v>1</v>
      </c>
      <c r="M4070" s="74">
        <v>52.1518759018759</v>
      </c>
      <c r="N4070" s="74">
        <f t="shared" si="1"/>
        <v>0</v>
      </c>
      <c r="O4070" s="74" t="b">
        <v>1</v>
      </c>
    </row>
    <row r="4071" hidden="1">
      <c r="A4071" s="82"/>
      <c r="B4071" s="65" t="s">
        <v>467</v>
      </c>
      <c r="C4071" s="65" t="s">
        <v>117</v>
      </c>
      <c r="D4071" s="65" t="str">
        <f>vlookup(C4071,'Classificação p pessoal'!F:G,2,false)</f>
        <v>NP</v>
      </c>
      <c r="E4071" s="65" t="s">
        <v>2983</v>
      </c>
      <c r="F4071" s="83">
        <v>0.375</v>
      </c>
      <c r="G4071" s="83">
        <v>0.4166666666666667</v>
      </c>
      <c r="H4071" s="83">
        <v>0.041666666666666664</v>
      </c>
      <c r="I4071" s="84">
        <v>44319.0</v>
      </c>
      <c r="J4071" s="65" t="b">
        <v>1</v>
      </c>
      <c r="K4071" s="65"/>
      <c r="L4071" s="85" t="b">
        <f>IF(VLOOKUP(C4071,Projetos!A:L,12,false)=TRUE,TRUE,FALSE)</f>
        <v>1</v>
      </c>
      <c r="M4071" s="74">
        <v>52.1518759018759</v>
      </c>
      <c r="N4071" s="74">
        <f t="shared" si="1"/>
        <v>52.1518759</v>
      </c>
      <c r="O4071" s="74" t="b">
        <v>1</v>
      </c>
    </row>
    <row r="4072" hidden="1">
      <c r="A4072" s="82"/>
      <c r="B4072" s="65" t="s">
        <v>467</v>
      </c>
      <c r="C4072" s="65" t="s">
        <v>117</v>
      </c>
      <c r="D4072" s="65" t="str">
        <f>vlookup(C4072,'Classificação p pessoal'!F:G,2,false)</f>
        <v>NP</v>
      </c>
      <c r="E4072" s="65" t="s">
        <v>2984</v>
      </c>
      <c r="F4072" s="83">
        <v>0.4583333333333333</v>
      </c>
      <c r="G4072" s="83">
        <v>0.5208333333333334</v>
      </c>
      <c r="H4072" s="83">
        <v>0.0625</v>
      </c>
      <c r="I4072" s="84">
        <v>44319.0</v>
      </c>
      <c r="J4072" s="65" t="b">
        <v>1</v>
      </c>
      <c r="K4072" s="65"/>
      <c r="L4072" s="85" t="b">
        <f>IF(VLOOKUP(C4072,Projetos!A:L,12,false)=TRUE,TRUE,FALSE)</f>
        <v>1</v>
      </c>
      <c r="M4072" s="74">
        <v>52.1518759018759</v>
      </c>
      <c r="N4072" s="74">
        <f t="shared" si="1"/>
        <v>78.22781385</v>
      </c>
      <c r="O4072" s="74" t="b">
        <v>1</v>
      </c>
    </row>
    <row r="4073" hidden="1">
      <c r="A4073" s="82"/>
      <c r="B4073" s="65" t="s">
        <v>467</v>
      </c>
      <c r="C4073" s="65" t="s">
        <v>113</v>
      </c>
      <c r="D4073" s="65" t="str">
        <f>vlookup(C4073,'Classificação p pessoal'!F:G,2,false)</f>
        <v>NP</v>
      </c>
      <c r="E4073" s="65" t="s">
        <v>2985</v>
      </c>
      <c r="F4073" s="83">
        <v>0.6458333333333334</v>
      </c>
      <c r="G4073" s="83">
        <v>0.6666666666666666</v>
      </c>
      <c r="H4073" s="83">
        <v>0.020833333333333332</v>
      </c>
      <c r="I4073" s="84">
        <v>44319.0</v>
      </c>
      <c r="J4073" s="65" t="b">
        <v>1</v>
      </c>
      <c r="K4073" s="65"/>
      <c r="L4073" s="85" t="b">
        <f>IF(VLOOKUP(C4073,Projetos!A:L,12,false)=TRUE,TRUE,FALSE)</f>
        <v>1</v>
      </c>
      <c r="M4073" s="74">
        <v>52.1518759018759</v>
      </c>
      <c r="N4073" s="74">
        <f t="shared" si="1"/>
        <v>26.07593795</v>
      </c>
      <c r="O4073" s="74" t="b">
        <v>1</v>
      </c>
    </row>
    <row r="4074" hidden="1">
      <c r="A4074" s="82"/>
      <c r="B4074" s="65" t="s">
        <v>467</v>
      </c>
      <c r="C4074" s="65" t="s">
        <v>92</v>
      </c>
      <c r="D4074" s="65" t="str">
        <f>vlookup(C4074,'Classificação p pessoal'!F:G,2,false)</f>
        <v/>
      </c>
      <c r="E4074" s="65" t="s">
        <v>2986</v>
      </c>
      <c r="F4074" s="83">
        <v>0.34375</v>
      </c>
      <c r="G4074" s="83">
        <v>0.375</v>
      </c>
      <c r="H4074" s="83">
        <v>0.03125</v>
      </c>
      <c r="I4074" s="84">
        <v>44320.0</v>
      </c>
      <c r="J4074" s="65" t="b">
        <v>1</v>
      </c>
      <c r="K4074" s="65"/>
      <c r="L4074" s="85" t="b">
        <f>IF(VLOOKUP(C4074,Projetos!A:L,12,false)=TRUE,TRUE,FALSE)</f>
        <v>1</v>
      </c>
      <c r="M4074" s="74">
        <v>52.1518759018759</v>
      </c>
      <c r="N4074" s="74">
        <f t="shared" si="1"/>
        <v>39.11390693</v>
      </c>
      <c r="O4074" s="74" t="b">
        <v>1</v>
      </c>
    </row>
    <row r="4075" hidden="1">
      <c r="A4075" s="82"/>
      <c r="B4075" s="65" t="s">
        <v>467</v>
      </c>
      <c r="C4075" s="65" t="s">
        <v>92</v>
      </c>
      <c r="D4075" s="65"/>
      <c r="E4075" s="65" t="s">
        <v>2987</v>
      </c>
      <c r="F4075" s="83">
        <v>0.375</v>
      </c>
      <c r="G4075" s="83">
        <v>0.3958333333333333</v>
      </c>
      <c r="H4075" s="83">
        <v>0.020833333333333332</v>
      </c>
      <c r="I4075" s="84">
        <v>44320.0</v>
      </c>
      <c r="J4075" s="65" t="b">
        <v>0</v>
      </c>
      <c r="K4075" s="65" t="s">
        <v>150</v>
      </c>
      <c r="L4075" s="85" t="b">
        <f>IF(VLOOKUP(C4075,Projetos!A:L,12,false)=TRUE,TRUE,FALSE)</f>
        <v>1</v>
      </c>
      <c r="M4075" s="74">
        <v>52.1518759018759</v>
      </c>
      <c r="N4075" s="74">
        <f t="shared" si="1"/>
        <v>0</v>
      </c>
      <c r="O4075" s="74" t="b">
        <v>1</v>
      </c>
    </row>
    <row r="4076" hidden="1">
      <c r="A4076" s="82"/>
      <c r="B4076" s="65" t="s">
        <v>467</v>
      </c>
      <c r="C4076" s="65" t="s">
        <v>113</v>
      </c>
      <c r="D4076" s="65" t="str">
        <f>vlookup(C4076,'Classificação p pessoal'!F:G,2,false)</f>
        <v>NP</v>
      </c>
      <c r="E4076" s="65" t="s">
        <v>2988</v>
      </c>
      <c r="F4076" s="83">
        <v>0.4166666666666667</v>
      </c>
      <c r="G4076" s="83">
        <v>0.4270833333333333</v>
      </c>
      <c r="H4076" s="83">
        <v>0.010416666666666666</v>
      </c>
      <c r="I4076" s="84">
        <v>44320.0</v>
      </c>
      <c r="J4076" s="65" t="b">
        <v>1</v>
      </c>
      <c r="K4076" s="65"/>
      <c r="L4076" s="85" t="b">
        <f>IF(VLOOKUP(C4076,Projetos!A:L,12,false)=TRUE,TRUE,FALSE)</f>
        <v>1</v>
      </c>
      <c r="M4076" s="74">
        <v>52.1518759018759</v>
      </c>
      <c r="N4076" s="74">
        <f t="shared" si="1"/>
        <v>13.03796898</v>
      </c>
      <c r="O4076" s="74" t="b">
        <v>1</v>
      </c>
    </row>
    <row r="4077" hidden="1">
      <c r="A4077" s="82"/>
      <c r="B4077" s="65" t="s">
        <v>467</v>
      </c>
      <c r="C4077" s="65" t="s">
        <v>113</v>
      </c>
      <c r="D4077" s="65" t="str">
        <f>vlookup(C4077,'Classificação p pessoal'!F:G,2,false)</f>
        <v>NP</v>
      </c>
      <c r="E4077" s="65" t="s">
        <v>2989</v>
      </c>
      <c r="F4077" s="83">
        <v>0.4270833333333333</v>
      </c>
      <c r="G4077" s="83">
        <v>0.5</v>
      </c>
      <c r="H4077" s="83">
        <v>0.07291666666666667</v>
      </c>
      <c r="I4077" s="84">
        <v>44320.0</v>
      </c>
      <c r="J4077" s="65" t="b">
        <v>1</v>
      </c>
      <c r="K4077" s="65"/>
      <c r="L4077" s="85" t="b">
        <f>IF(VLOOKUP(C4077,Projetos!A:L,12,false)=TRUE,TRUE,FALSE)</f>
        <v>1</v>
      </c>
      <c r="M4077" s="74">
        <v>52.1518759018759</v>
      </c>
      <c r="N4077" s="74">
        <f t="shared" si="1"/>
        <v>91.26578283</v>
      </c>
      <c r="O4077" s="74" t="b">
        <v>1</v>
      </c>
    </row>
    <row r="4078" hidden="1">
      <c r="A4078" s="82"/>
      <c r="B4078" s="65" t="s">
        <v>411</v>
      </c>
      <c r="C4078" s="65" t="s">
        <v>100</v>
      </c>
      <c r="D4078" s="65"/>
      <c r="E4078" s="65" t="s">
        <v>2837</v>
      </c>
      <c r="F4078" s="83">
        <v>0.7083333333333334</v>
      </c>
      <c r="G4078" s="83">
        <v>0.7291666666666666</v>
      </c>
      <c r="H4078" s="83">
        <v>0.020833333333333332</v>
      </c>
      <c r="I4078" s="84">
        <v>44448.0</v>
      </c>
      <c r="J4078" s="65" t="b">
        <v>0</v>
      </c>
      <c r="K4078" s="65" t="s">
        <v>150</v>
      </c>
      <c r="L4078" s="85" t="b">
        <f>IF(VLOOKUP(C4078,Projetos!A:L,12,false)=TRUE,TRUE,FALSE)</f>
        <v>1</v>
      </c>
      <c r="M4078" s="74">
        <v>52.48434411075036</v>
      </c>
      <c r="N4078" s="74">
        <f t="shared" si="1"/>
        <v>0</v>
      </c>
      <c r="O4078" s="74" t="b">
        <v>1</v>
      </c>
    </row>
    <row r="4079">
      <c r="A4079" s="82"/>
      <c r="B4079" s="65" t="s">
        <v>411</v>
      </c>
      <c r="C4079" s="65" t="s">
        <v>108</v>
      </c>
      <c r="D4079" s="65"/>
      <c r="E4079" s="65" t="s">
        <v>2990</v>
      </c>
      <c r="F4079" s="83">
        <v>0.625</v>
      </c>
      <c r="G4079" s="83">
        <v>0.6458333333333334</v>
      </c>
      <c r="H4079" s="83">
        <v>0.020833333333333332</v>
      </c>
      <c r="I4079" s="84">
        <v>44448.0</v>
      </c>
      <c r="J4079" s="65" t="b">
        <v>0</v>
      </c>
      <c r="K4079" s="65" t="s">
        <v>150</v>
      </c>
      <c r="L4079" s="85" t="b">
        <f>IF(VLOOKUP(C4079,Projetos!A:L,12,false)=TRUE,TRUE,FALSE)</f>
        <v>1</v>
      </c>
      <c r="M4079" s="74">
        <v>52.48434411075036</v>
      </c>
      <c r="N4079" s="74">
        <f t="shared" si="1"/>
        <v>0</v>
      </c>
      <c r="O4079" s="74" t="b">
        <v>1</v>
      </c>
    </row>
    <row r="4080" hidden="1">
      <c r="A4080" s="82"/>
      <c r="B4080" s="65" t="s">
        <v>411</v>
      </c>
      <c r="C4080" s="65" t="s">
        <v>117</v>
      </c>
      <c r="D4080" s="65" t="str">
        <f>vlookup(C4080,'Classificação p pessoal'!F:G,2,false)</f>
        <v>NP</v>
      </c>
      <c r="E4080" s="65" t="s">
        <v>2991</v>
      </c>
      <c r="F4080" s="83">
        <v>0.6458333333333334</v>
      </c>
      <c r="G4080" s="83">
        <v>0.6875</v>
      </c>
      <c r="H4080" s="83">
        <v>0.041666666666666664</v>
      </c>
      <c r="I4080" s="84">
        <v>44428.0</v>
      </c>
      <c r="J4080" s="65" t="b">
        <v>1</v>
      </c>
      <c r="K4080" s="65"/>
      <c r="L4080" s="85" t="b">
        <f>IF(VLOOKUP(C4080,Projetos!A:L,12,false)=TRUE,TRUE,FALSE)</f>
        <v>1</v>
      </c>
      <c r="M4080" s="74">
        <v>52.48434411075036</v>
      </c>
      <c r="N4080" s="74">
        <f t="shared" si="1"/>
        <v>52.48434411</v>
      </c>
      <c r="O4080" s="74" t="b">
        <v>1</v>
      </c>
    </row>
    <row r="4081" hidden="1">
      <c r="A4081" s="82"/>
      <c r="B4081" s="65" t="s">
        <v>467</v>
      </c>
      <c r="C4081" s="65" t="s">
        <v>88</v>
      </c>
      <c r="D4081" s="65" t="str">
        <f>vlookup(C4081,'Classificação p pessoal'!F:G,2,false)</f>
        <v>MProduto</v>
      </c>
      <c r="E4081" s="65" t="s">
        <v>2992</v>
      </c>
      <c r="F4081" s="83">
        <v>0.34375</v>
      </c>
      <c r="G4081" s="83">
        <v>0.3854166666666667</v>
      </c>
      <c r="H4081" s="83">
        <v>0.041666666666666664</v>
      </c>
      <c r="I4081" s="84">
        <v>44321.0</v>
      </c>
      <c r="J4081" s="65" t="b">
        <v>1</v>
      </c>
      <c r="K4081" s="65"/>
      <c r="L4081" s="85" t="b">
        <f>IF(VLOOKUP(C4081,Projetos!A:L,12,false)=TRUE,TRUE,FALSE)</f>
        <v>1</v>
      </c>
      <c r="M4081" s="74">
        <v>52.1518759018759</v>
      </c>
      <c r="N4081" s="74">
        <f t="shared" si="1"/>
        <v>52.1518759</v>
      </c>
      <c r="O4081" s="74" t="b">
        <v>1</v>
      </c>
    </row>
    <row r="4082" hidden="1">
      <c r="A4082" s="82"/>
      <c r="B4082" s="65" t="s">
        <v>467</v>
      </c>
      <c r="C4082" s="65" t="s">
        <v>130</v>
      </c>
      <c r="D4082" s="65" t="str">
        <f>vlookup(C4082,'Classificação p pessoal'!F:G,2,false)</f>
        <v>NP</v>
      </c>
      <c r="E4082" s="65" t="s">
        <v>2993</v>
      </c>
      <c r="F4082" s="83">
        <v>0.3958333333333333</v>
      </c>
      <c r="G4082" s="83">
        <v>0.4583333333333333</v>
      </c>
      <c r="H4082" s="83">
        <v>0.0625</v>
      </c>
      <c r="I4082" s="84">
        <v>44321.0</v>
      </c>
      <c r="J4082" s="65" t="b">
        <v>1</v>
      </c>
      <c r="K4082" s="65"/>
      <c r="L4082" s="85" t="b">
        <f>IF(VLOOKUP(C4082,Projetos!A:L,12,false)=TRUE,TRUE,FALSE)</f>
        <v>1</v>
      </c>
      <c r="M4082" s="74">
        <v>52.1518759018759</v>
      </c>
      <c r="N4082" s="74">
        <f t="shared" si="1"/>
        <v>78.22781385</v>
      </c>
      <c r="O4082" s="74" t="b">
        <v>1</v>
      </c>
    </row>
    <row r="4083" hidden="1">
      <c r="A4083" s="82"/>
      <c r="B4083" s="65" t="s">
        <v>467</v>
      </c>
      <c r="C4083" s="65" t="s">
        <v>88</v>
      </c>
      <c r="D4083" s="65" t="str">
        <f>vlookup(C4083,'Classificação p pessoal'!F:G,2,false)</f>
        <v>MProduto</v>
      </c>
      <c r="E4083" s="65" t="s">
        <v>2994</v>
      </c>
      <c r="F4083" s="83">
        <v>0.4583333333333333</v>
      </c>
      <c r="G4083" s="83">
        <v>0.4791666666666667</v>
      </c>
      <c r="H4083" s="83">
        <v>0.020833333333333332</v>
      </c>
      <c r="I4083" s="84">
        <v>44321.0</v>
      </c>
      <c r="J4083" s="65" t="b">
        <v>1</v>
      </c>
      <c r="K4083" s="65"/>
      <c r="L4083" s="85" t="b">
        <f>IF(VLOOKUP(C4083,Projetos!A:L,12,false)=TRUE,TRUE,FALSE)</f>
        <v>1</v>
      </c>
      <c r="M4083" s="74">
        <v>52.1518759018759</v>
      </c>
      <c r="N4083" s="74">
        <f t="shared" si="1"/>
        <v>26.07593795</v>
      </c>
      <c r="O4083" s="74" t="b">
        <v>1</v>
      </c>
    </row>
    <row r="4084" hidden="1">
      <c r="A4084" s="82"/>
      <c r="B4084" s="65" t="s">
        <v>411</v>
      </c>
      <c r="C4084" s="65" t="s">
        <v>92</v>
      </c>
      <c r="D4084" s="65"/>
      <c r="E4084" s="65" t="s">
        <v>2995</v>
      </c>
      <c r="F4084" s="83">
        <v>0.3958333333333333</v>
      </c>
      <c r="G4084" s="83">
        <v>0.4375</v>
      </c>
      <c r="H4084" s="83">
        <v>0.041666666666666664</v>
      </c>
      <c r="I4084" s="84">
        <v>44320.0</v>
      </c>
      <c r="J4084" s="65" t="b">
        <v>0</v>
      </c>
      <c r="K4084" s="65"/>
      <c r="L4084" s="85" t="b">
        <f>IF(VLOOKUP(C4084,Projetos!A:L,12,false)=TRUE,TRUE,FALSE)</f>
        <v>1</v>
      </c>
      <c r="M4084" s="74">
        <v>52.48434411075036</v>
      </c>
      <c r="N4084" s="74">
        <f t="shared" si="1"/>
        <v>0</v>
      </c>
      <c r="O4084" s="74" t="b">
        <v>1</v>
      </c>
    </row>
    <row r="4085" hidden="1">
      <c r="A4085" s="82"/>
      <c r="B4085" s="65" t="s">
        <v>467</v>
      </c>
      <c r="C4085" s="65" t="s">
        <v>117</v>
      </c>
      <c r="D4085" s="65" t="str">
        <f>vlookup(C4085,'Classificação p pessoal'!F:G,2,false)</f>
        <v>NP</v>
      </c>
      <c r="E4085" s="65" t="s">
        <v>2996</v>
      </c>
      <c r="F4085" s="83">
        <v>0.6458333333333334</v>
      </c>
      <c r="G4085" s="83">
        <v>0.7291666666666666</v>
      </c>
      <c r="H4085" s="83">
        <v>0.08333333333333333</v>
      </c>
      <c r="I4085" s="84">
        <v>44321.0</v>
      </c>
      <c r="J4085" s="65" t="b">
        <v>1</v>
      </c>
      <c r="K4085" s="65"/>
      <c r="L4085" s="85" t="b">
        <f>IF(VLOOKUP(C4085,Projetos!A:L,12,false)=TRUE,TRUE,FALSE)</f>
        <v>1</v>
      </c>
      <c r="M4085" s="74">
        <v>52.1518759018759</v>
      </c>
      <c r="N4085" s="74">
        <f t="shared" si="1"/>
        <v>104.3037518</v>
      </c>
      <c r="O4085" s="74" t="b">
        <v>1</v>
      </c>
    </row>
    <row r="4086" hidden="1">
      <c r="A4086" s="82"/>
      <c r="B4086" s="65" t="s">
        <v>467</v>
      </c>
      <c r="C4086" s="65" t="s">
        <v>92</v>
      </c>
      <c r="D4086" s="65" t="str">
        <f>vlookup(C4086,'Classificação p pessoal'!F:G,2,false)</f>
        <v/>
      </c>
      <c r="E4086" s="65" t="s">
        <v>2997</v>
      </c>
      <c r="F4086" s="83">
        <v>0.4583333333333333</v>
      </c>
      <c r="G4086" s="83">
        <v>0.5</v>
      </c>
      <c r="H4086" s="83">
        <v>0.041666666666666664</v>
      </c>
      <c r="I4086" s="84">
        <v>44322.0</v>
      </c>
      <c r="J4086" s="65" t="b">
        <v>1</v>
      </c>
      <c r="K4086" s="65"/>
      <c r="L4086" s="85" t="b">
        <f>IF(VLOOKUP(C4086,Projetos!A:L,12,false)=TRUE,TRUE,FALSE)</f>
        <v>1</v>
      </c>
      <c r="M4086" s="74">
        <v>52.1518759018759</v>
      </c>
      <c r="N4086" s="74">
        <f t="shared" si="1"/>
        <v>52.1518759</v>
      </c>
      <c r="O4086" s="74" t="b">
        <v>1</v>
      </c>
    </row>
    <row r="4087" hidden="1">
      <c r="A4087" s="82"/>
      <c r="B4087" s="65" t="s">
        <v>467</v>
      </c>
      <c r="C4087" s="65" t="s">
        <v>92</v>
      </c>
      <c r="D4087" s="65" t="str">
        <f>vlookup(C4087,'Classificação p pessoal'!F:G,2,false)</f>
        <v/>
      </c>
      <c r="E4087" s="65" t="s">
        <v>2998</v>
      </c>
      <c r="F4087" s="83">
        <v>0.5069444444444444</v>
      </c>
      <c r="G4087" s="83">
        <v>0.5208333333333334</v>
      </c>
      <c r="H4087" s="83">
        <v>0.013888888888888888</v>
      </c>
      <c r="I4087" s="84">
        <v>44322.0</v>
      </c>
      <c r="J4087" s="65" t="b">
        <v>1</v>
      </c>
      <c r="K4087" s="65"/>
      <c r="L4087" s="85" t="b">
        <f>IF(VLOOKUP(C4087,Projetos!A:L,12,false)=TRUE,TRUE,FALSE)</f>
        <v>1</v>
      </c>
      <c r="M4087" s="74">
        <v>52.1518759018759</v>
      </c>
      <c r="N4087" s="74">
        <f t="shared" si="1"/>
        <v>17.38395863</v>
      </c>
      <c r="O4087" s="74" t="b">
        <v>1</v>
      </c>
    </row>
    <row r="4088" hidden="1">
      <c r="A4088" s="82"/>
      <c r="B4088" s="65" t="s">
        <v>467</v>
      </c>
      <c r="C4088" s="65" t="s">
        <v>113</v>
      </c>
      <c r="D4088" s="65" t="str">
        <f>vlookup(C4088,'Classificação p pessoal'!F:G,2,false)</f>
        <v>NP</v>
      </c>
      <c r="E4088" s="65" t="s">
        <v>2999</v>
      </c>
      <c r="F4088" s="83">
        <v>0.5833333333333334</v>
      </c>
      <c r="G4088" s="83">
        <v>0.625</v>
      </c>
      <c r="H4088" s="83">
        <v>0.041666666666666664</v>
      </c>
      <c r="I4088" s="84">
        <v>44322.0</v>
      </c>
      <c r="J4088" s="65" t="b">
        <v>1</v>
      </c>
      <c r="K4088" s="65"/>
      <c r="L4088" s="85" t="b">
        <f>IF(VLOOKUP(C4088,Projetos!A:L,12,false)=TRUE,TRUE,FALSE)</f>
        <v>1</v>
      </c>
      <c r="M4088" s="74">
        <v>52.1518759018759</v>
      </c>
      <c r="N4088" s="74">
        <f t="shared" si="1"/>
        <v>52.1518759</v>
      </c>
      <c r="O4088" s="74" t="b">
        <v>1</v>
      </c>
    </row>
    <row r="4089" hidden="1">
      <c r="A4089" s="82"/>
      <c r="B4089" s="65" t="s">
        <v>467</v>
      </c>
      <c r="C4089" s="65" t="s">
        <v>113</v>
      </c>
      <c r="D4089" s="65" t="str">
        <f>vlookup(C4089,'Classificação p pessoal'!F:G,2,false)</f>
        <v>NP</v>
      </c>
      <c r="E4089" s="65" t="s">
        <v>3000</v>
      </c>
      <c r="F4089" s="83">
        <v>0.625</v>
      </c>
      <c r="G4089" s="83">
        <v>0.6388888888888888</v>
      </c>
      <c r="H4089" s="83">
        <v>0.013888888888888888</v>
      </c>
      <c r="I4089" s="84">
        <v>44322.0</v>
      </c>
      <c r="J4089" s="65" t="b">
        <v>1</v>
      </c>
      <c r="K4089" s="65"/>
      <c r="L4089" s="85" t="b">
        <f>IF(VLOOKUP(C4089,Projetos!A:L,12,false)=TRUE,TRUE,FALSE)</f>
        <v>1</v>
      </c>
      <c r="M4089" s="74">
        <v>52.1518759018759</v>
      </c>
      <c r="N4089" s="74">
        <f t="shared" si="1"/>
        <v>17.38395863</v>
      </c>
      <c r="O4089" s="74" t="b">
        <v>1</v>
      </c>
    </row>
    <row r="4090" hidden="1">
      <c r="A4090" s="82"/>
      <c r="B4090" s="65" t="s">
        <v>467</v>
      </c>
      <c r="C4090" s="65" t="s">
        <v>92</v>
      </c>
      <c r="D4090" s="65" t="str">
        <f>vlookup(C4090,'Classificação p pessoal'!F:G,2,false)</f>
        <v/>
      </c>
      <c r="E4090" s="65" t="s">
        <v>3001</v>
      </c>
      <c r="F4090" s="83">
        <v>0.6458333333333334</v>
      </c>
      <c r="G4090" s="83">
        <v>0.7083333333333334</v>
      </c>
      <c r="H4090" s="83">
        <v>0.0625</v>
      </c>
      <c r="I4090" s="84">
        <v>44322.0</v>
      </c>
      <c r="J4090" s="65" t="b">
        <v>1</v>
      </c>
      <c r="K4090" s="65"/>
      <c r="L4090" s="85" t="b">
        <f>IF(VLOOKUP(C4090,Projetos!A:L,12,false)=TRUE,TRUE,FALSE)</f>
        <v>1</v>
      </c>
      <c r="M4090" s="74">
        <v>52.1518759018759</v>
      </c>
      <c r="N4090" s="74">
        <f t="shared" si="1"/>
        <v>78.22781385</v>
      </c>
      <c r="O4090" s="74" t="b">
        <v>1</v>
      </c>
    </row>
    <row r="4091" hidden="1">
      <c r="A4091" s="82"/>
      <c r="B4091" s="65" t="s">
        <v>467</v>
      </c>
      <c r="C4091" s="65" t="s">
        <v>113</v>
      </c>
      <c r="D4091" s="65" t="str">
        <f>vlookup(C4091,'Classificação p pessoal'!F:G,2,false)</f>
        <v>NP</v>
      </c>
      <c r="E4091" s="65" t="s">
        <v>3002</v>
      </c>
      <c r="F4091" s="83">
        <v>0.3472222222222222</v>
      </c>
      <c r="G4091" s="83">
        <v>0.40625</v>
      </c>
      <c r="H4091" s="83">
        <v>0.059027777777777776</v>
      </c>
      <c r="I4091" s="84">
        <v>44323.0</v>
      </c>
      <c r="J4091" s="65" t="b">
        <v>1</v>
      </c>
      <c r="K4091" s="65"/>
      <c r="L4091" s="85" t="b">
        <f>IF(VLOOKUP(C4091,Projetos!A:L,12,false)=TRUE,TRUE,FALSE)</f>
        <v>1</v>
      </c>
      <c r="M4091" s="74">
        <v>52.1518759018759</v>
      </c>
      <c r="N4091" s="74">
        <f t="shared" si="1"/>
        <v>73.88182419</v>
      </c>
      <c r="O4091" s="74" t="b">
        <v>1</v>
      </c>
    </row>
    <row r="4092" hidden="1">
      <c r="A4092" s="82"/>
      <c r="B4092" s="65" t="s">
        <v>467</v>
      </c>
      <c r="C4092" s="65" t="s">
        <v>92</v>
      </c>
      <c r="D4092" s="65" t="str">
        <f>vlookup(C4092,'Classificação p pessoal'!F:G,2,false)</f>
        <v/>
      </c>
      <c r="E4092" s="65" t="s">
        <v>3003</v>
      </c>
      <c r="F4092" s="83">
        <v>0.5833333333333334</v>
      </c>
      <c r="G4092" s="83">
        <v>0.6458333333333334</v>
      </c>
      <c r="H4092" s="83">
        <v>0.0625</v>
      </c>
      <c r="I4092" s="84">
        <v>44323.0</v>
      </c>
      <c r="J4092" s="65" t="b">
        <v>1</v>
      </c>
      <c r="K4092" s="65"/>
      <c r="L4092" s="85" t="b">
        <f>IF(VLOOKUP(C4092,Projetos!A:L,12,false)=TRUE,TRUE,FALSE)</f>
        <v>1</v>
      </c>
      <c r="M4092" s="74">
        <v>52.1518759018759</v>
      </c>
      <c r="N4092" s="74">
        <f t="shared" si="1"/>
        <v>78.22781385</v>
      </c>
      <c r="O4092" s="74" t="b">
        <v>1</v>
      </c>
    </row>
    <row r="4093" hidden="1">
      <c r="A4093" s="82"/>
      <c r="B4093" s="65" t="s">
        <v>467</v>
      </c>
      <c r="C4093" s="65" t="s">
        <v>113</v>
      </c>
      <c r="D4093" s="65" t="str">
        <f>vlookup(C4093,'Classificação p pessoal'!F:G,2,false)</f>
        <v>NP</v>
      </c>
      <c r="E4093" s="65" t="s">
        <v>3004</v>
      </c>
      <c r="F4093" s="83">
        <v>0.6666666666666666</v>
      </c>
      <c r="G4093" s="83">
        <v>0.7291666666666666</v>
      </c>
      <c r="H4093" s="83">
        <v>0.0625</v>
      </c>
      <c r="I4093" s="84">
        <v>44323.0</v>
      </c>
      <c r="J4093" s="65" t="b">
        <v>1</v>
      </c>
      <c r="K4093" s="65"/>
      <c r="L4093" s="85" t="b">
        <f>IF(VLOOKUP(C4093,Projetos!A:L,12,false)=TRUE,TRUE,FALSE)</f>
        <v>1</v>
      </c>
      <c r="M4093" s="74">
        <v>52.1518759018759</v>
      </c>
      <c r="N4093" s="74">
        <f t="shared" si="1"/>
        <v>78.22781385</v>
      </c>
      <c r="O4093" s="74" t="b">
        <v>1</v>
      </c>
    </row>
    <row r="4094" hidden="1">
      <c r="A4094" s="82"/>
      <c r="B4094" s="65" t="s">
        <v>467</v>
      </c>
      <c r="C4094" s="65" t="s">
        <v>92</v>
      </c>
      <c r="D4094" s="65" t="str">
        <f>vlookup(C4094,'Classificação p pessoal'!F:G,2,false)</f>
        <v/>
      </c>
      <c r="E4094" s="65" t="s">
        <v>3005</v>
      </c>
      <c r="F4094" s="83">
        <v>0.3541666666666667</v>
      </c>
      <c r="G4094" s="83">
        <v>0.3958333333333333</v>
      </c>
      <c r="H4094" s="83">
        <v>0.041666666666666664</v>
      </c>
      <c r="I4094" s="84">
        <v>44326.0</v>
      </c>
      <c r="J4094" s="65" t="b">
        <v>1</v>
      </c>
      <c r="K4094" s="65"/>
      <c r="L4094" s="85" t="b">
        <f>IF(VLOOKUP(C4094,Projetos!A:L,12,false)=TRUE,TRUE,FALSE)</f>
        <v>1</v>
      </c>
      <c r="M4094" s="74">
        <v>52.1518759018759</v>
      </c>
      <c r="N4094" s="74">
        <f t="shared" si="1"/>
        <v>52.1518759</v>
      </c>
      <c r="O4094" s="74" t="b">
        <v>1</v>
      </c>
    </row>
    <row r="4095" hidden="1">
      <c r="A4095" s="82"/>
      <c r="B4095" s="65" t="s">
        <v>467</v>
      </c>
      <c r="C4095" s="65" t="s">
        <v>92</v>
      </c>
      <c r="D4095" s="65" t="str">
        <f>vlookup(C4095,'Classificação p pessoal'!F:G,2,false)</f>
        <v/>
      </c>
      <c r="E4095" s="65" t="s">
        <v>3006</v>
      </c>
      <c r="F4095" s="83">
        <v>0.3958333333333333</v>
      </c>
      <c r="G4095" s="83">
        <v>0.4166666666666667</v>
      </c>
      <c r="H4095" s="83">
        <v>0.020833333333333332</v>
      </c>
      <c r="I4095" s="84">
        <v>44326.0</v>
      </c>
      <c r="J4095" s="65" t="b">
        <v>1</v>
      </c>
      <c r="K4095" s="65"/>
      <c r="L4095" s="85" t="b">
        <f>IF(VLOOKUP(C4095,Projetos!A:L,12,false)=TRUE,TRUE,FALSE)</f>
        <v>1</v>
      </c>
      <c r="M4095" s="74">
        <v>52.1518759018759</v>
      </c>
      <c r="N4095" s="74">
        <f t="shared" si="1"/>
        <v>26.07593795</v>
      </c>
      <c r="O4095" s="74" t="b">
        <v>1</v>
      </c>
    </row>
    <row r="4096" hidden="1">
      <c r="A4096" s="82"/>
      <c r="B4096" s="65" t="s">
        <v>467</v>
      </c>
      <c r="C4096" s="65" t="s">
        <v>92</v>
      </c>
      <c r="D4096" s="65"/>
      <c r="E4096" s="65" t="s">
        <v>3007</v>
      </c>
      <c r="F4096" s="83">
        <v>0.4166666666666667</v>
      </c>
      <c r="G4096" s="83">
        <v>0.5416666666666666</v>
      </c>
      <c r="H4096" s="83">
        <v>0.125</v>
      </c>
      <c r="I4096" s="84">
        <v>44326.0</v>
      </c>
      <c r="J4096" s="65" t="b">
        <v>0</v>
      </c>
      <c r="K4096" s="65" t="s">
        <v>150</v>
      </c>
      <c r="L4096" s="85" t="b">
        <f>IF(VLOOKUP(C4096,Projetos!A:L,12,false)=TRUE,TRUE,FALSE)</f>
        <v>1</v>
      </c>
      <c r="M4096" s="74">
        <v>52.1518759018759</v>
      </c>
      <c r="N4096" s="74">
        <f t="shared" si="1"/>
        <v>0</v>
      </c>
      <c r="O4096" s="74" t="b">
        <v>1</v>
      </c>
    </row>
    <row r="4097" hidden="1">
      <c r="A4097" s="82"/>
      <c r="B4097" s="65" t="s">
        <v>467</v>
      </c>
      <c r="C4097" s="65" t="s">
        <v>88</v>
      </c>
      <c r="D4097" s="65" t="str">
        <f>vlookup(C4097,'Classificação p pessoal'!F:G,2,false)</f>
        <v>MProduto</v>
      </c>
      <c r="E4097" s="65" t="s">
        <v>3008</v>
      </c>
      <c r="F4097" s="83">
        <v>0.5833333333333334</v>
      </c>
      <c r="G4097" s="83">
        <v>0.6041666666666666</v>
      </c>
      <c r="H4097" s="83">
        <v>0.020833333333333332</v>
      </c>
      <c r="I4097" s="84">
        <v>44326.0</v>
      </c>
      <c r="J4097" s="65" t="b">
        <v>1</v>
      </c>
      <c r="K4097" s="65"/>
      <c r="L4097" s="85" t="b">
        <f>IF(VLOOKUP(C4097,Projetos!A:L,12,false)=TRUE,TRUE,FALSE)</f>
        <v>1</v>
      </c>
      <c r="M4097" s="74">
        <v>52.1518759018759</v>
      </c>
      <c r="N4097" s="74">
        <f t="shared" si="1"/>
        <v>26.07593795</v>
      </c>
      <c r="O4097" s="74" t="b">
        <v>1</v>
      </c>
    </row>
    <row r="4098" hidden="1">
      <c r="A4098" s="82"/>
      <c r="B4098" s="65" t="s">
        <v>467</v>
      </c>
      <c r="C4098" s="65" t="s">
        <v>92</v>
      </c>
      <c r="D4098" s="65" t="str">
        <f>vlookup(C4098,'Classificação p pessoal'!F:G,2,false)</f>
        <v/>
      </c>
      <c r="E4098" s="65" t="s">
        <v>3009</v>
      </c>
      <c r="F4098" s="83">
        <v>0.625</v>
      </c>
      <c r="G4098" s="83">
        <v>0.6458333333333334</v>
      </c>
      <c r="H4098" s="83">
        <v>0.020833333333333332</v>
      </c>
      <c r="I4098" s="84">
        <v>44326.0</v>
      </c>
      <c r="J4098" s="65" t="b">
        <v>1</v>
      </c>
      <c r="K4098" s="65"/>
      <c r="L4098" s="85" t="b">
        <f>IF(VLOOKUP(C4098,Projetos!A:L,12,false)=TRUE,TRUE,FALSE)</f>
        <v>1</v>
      </c>
      <c r="M4098" s="74">
        <v>52.1518759018759</v>
      </c>
      <c r="N4098" s="74">
        <f t="shared" si="1"/>
        <v>26.07593795</v>
      </c>
      <c r="O4098" s="74" t="b">
        <v>1</v>
      </c>
    </row>
    <row r="4099" hidden="1">
      <c r="A4099" s="82"/>
      <c r="B4099" s="65" t="s">
        <v>467</v>
      </c>
      <c r="C4099" s="65" t="s">
        <v>92</v>
      </c>
      <c r="D4099" s="65" t="str">
        <f>vlookup(C4099,'Classificação p pessoal'!F:G,2,false)</f>
        <v/>
      </c>
      <c r="E4099" s="65" t="s">
        <v>3010</v>
      </c>
      <c r="F4099" s="83">
        <v>0.3541666666666667</v>
      </c>
      <c r="G4099" s="83">
        <v>0.4166666666666667</v>
      </c>
      <c r="H4099" s="83">
        <v>0.0625</v>
      </c>
      <c r="I4099" s="84">
        <v>44327.0</v>
      </c>
      <c r="J4099" s="65" t="b">
        <v>1</v>
      </c>
      <c r="K4099" s="65"/>
      <c r="L4099" s="85" t="b">
        <f>IF(VLOOKUP(C4099,Projetos!A:L,12,false)=TRUE,TRUE,FALSE)</f>
        <v>1</v>
      </c>
      <c r="M4099" s="74">
        <v>52.1518759018759</v>
      </c>
      <c r="N4099" s="74">
        <f t="shared" si="1"/>
        <v>78.22781385</v>
      </c>
      <c r="O4099" s="74" t="b">
        <v>1</v>
      </c>
    </row>
    <row r="4100" hidden="1">
      <c r="A4100" s="82"/>
      <c r="B4100" s="65" t="s">
        <v>467</v>
      </c>
      <c r="C4100" s="65" t="s">
        <v>130</v>
      </c>
      <c r="D4100" s="65" t="str">
        <f>vlookup(C4100,'Classificação p pessoal'!F:G,2,false)</f>
        <v>NP</v>
      </c>
      <c r="E4100" s="65" t="s">
        <v>3011</v>
      </c>
      <c r="F4100" s="83">
        <v>0.4236111111111111</v>
      </c>
      <c r="G4100" s="83">
        <v>0.5416666666666666</v>
      </c>
      <c r="H4100" s="83">
        <v>0.11805555555555555</v>
      </c>
      <c r="I4100" s="84">
        <v>44327.0</v>
      </c>
      <c r="J4100" s="65" t="b">
        <v>1</v>
      </c>
      <c r="K4100" s="65"/>
      <c r="L4100" s="85" t="b">
        <f>IF(VLOOKUP(C4100,Projetos!A:L,12,false)=TRUE,TRUE,FALSE)</f>
        <v>1</v>
      </c>
      <c r="M4100" s="74">
        <v>52.1518759018759</v>
      </c>
      <c r="N4100" s="74">
        <f t="shared" si="1"/>
        <v>147.7636484</v>
      </c>
      <c r="O4100" s="74" t="b">
        <v>1</v>
      </c>
    </row>
    <row r="4101" hidden="1">
      <c r="A4101" s="82"/>
      <c r="B4101" s="65" t="s">
        <v>467</v>
      </c>
      <c r="C4101" s="65" t="s">
        <v>92</v>
      </c>
      <c r="D4101" s="65"/>
      <c r="E4101" s="65" t="s">
        <v>3012</v>
      </c>
      <c r="F4101" s="83">
        <v>0.5833333333333334</v>
      </c>
      <c r="G4101" s="83">
        <v>0.7291666666666666</v>
      </c>
      <c r="H4101" s="83">
        <v>0.14583333333333334</v>
      </c>
      <c r="I4101" s="84">
        <v>44327.0</v>
      </c>
      <c r="J4101" s="65" t="b">
        <v>0</v>
      </c>
      <c r="K4101" s="65" t="s">
        <v>150</v>
      </c>
      <c r="L4101" s="85" t="b">
        <f>IF(VLOOKUP(C4101,Projetos!A:L,12,false)=TRUE,TRUE,FALSE)</f>
        <v>1</v>
      </c>
      <c r="M4101" s="74">
        <v>52.1518759018759</v>
      </c>
      <c r="N4101" s="74">
        <f t="shared" si="1"/>
        <v>0</v>
      </c>
      <c r="O4101" s="74" t="b">
        <v>1</v>
      </c>
    </row>
    <row r="4102">
      <c r="A4102" s="82"/>
      <c r="B4102" s="65" t="s">
        <v>469</v>
      </c>
      <c r="C4102" s="65" t="s">
        <v>108</v>
      </c>
      <c r="D4102" s="65" t="str">
        <f>vlookup(C4102,'Classificação p pessoal'!F:G,2,false)</f>
        <v>NP</v>
      </c>
      <c r="E4102" s="65" t="s">
        <v>3013</v>
      </c>
      <c r="F4102" s="83">
        <v>0.34375</v>
      </c>
      <c r="G4102" s="83">
        <v>0.75</v>
      </c>
      <c r="H4102" s="83">
        <v>0.40625</v>
      </c>
      <c r="I4102" s="84">
        <v>44208.0</v>
      </c>
      <c r="J4102" s="65" t="b">
        <v>1</v>
      </c>
      <c r="K4102" s="65"/>
      <c r="L4102" s="85" t="b">
        <f>IF(VLOOKUP(C4102,Projetos!A:L,12,false)=TRUE,TRUE,FALSE)</f>
        <v>1</v>
      </c>
      <c r="M4102" s="74">
        <v>37.50928062469937</v>
      </c>
      <c r="N4102" s="74">
        <f t="shared" si="1"/>
        <v>365.7154861</v>
      </c>
      <c r="O4102" s="74" t="b">
        <v>1</v>
      </c>
    </row>
    <row r="4103" hidden="1">
      <c r="A4103" s="82"/>
      <c r="B4103" s="65" t="s">
        <v>467</v>
      </c>
      <c r="C4103" s="65" t="s">
        <v>92</v>
      </c>
      <c r="D4103" s="65" t="str">
        <f>vlookup(C4103,'Classificação p pessoal'!F:G,2,false)</f>
        <v/>
      </c>
      <c r="E4103" s="65" t="s">
        <v>3014</v>
      </c>
      <c r="F4103" s="83">
        <v>0.4166666666666667</v>
      </c>
      <c r="G4103" s="83">
        <v>0.4375</v>
      </c>
      <c r="H4103" s="83">
        <v>0.020833333333333332</v>
      </c>
      <c r="I4103" s="84">
        <v>44328.0</v>
      </c>
      <c r="J4103" s="65" t="b">
        <v>1</v>
      </c>
      <c r="K4103" s="65"/>
      <c r="L4103" s="85" t="b">
        <f>IF(VLOOKUP(C4103,Projetos!A:L,12,false)=TRUE,TRUE,FALSE)</f>
        <v>1</v>
      </c>
      <c r="M4103" s="74">
        <v>52.1518759018759</v>
      </c>
      <c r="N4103" s="74">
        <f t="shared" si="1"/>
        <v>26.07593795</v>
      </c>
      <c r="O4103" s="74" t="b">
        <v>1</v>
      </c>
    </row>
    <row r="4104" hidden="1">
      <c r="A4104" s="82"/>
      <c r="B4104" s="65" t="s">
        <v>467</v>
      </c>
      <c r="C4104" s="65" t="s">
        <v>92</v>
      </c>
      <c r="D4104" s="65" t="str">
        <f>vlookup(C4104,'Classificação p pessoal'!F:G,2,false)</f>
        <v/>
      </c>
      <c r="E4104" s="65" t="s">
        <v>3015</v>
      </c>
      <c r="F4104" s="83">
        <v>0.4409722222222222</v>
      </c>
      <c r="G4104" s="83">
        <v>0.5</v>
      </c>
      <c r="H4104" s="83">
        <v>0.059027777777777776</v>
      </c>
      <c r="I4104" s="84">
        <v>44328.0</v>
      </c>
      <c r="J4104" s="65" t="b">
        <v>1</v>
      </c>
      <c r="K4104" s="65"/>
      <c r="L4104" s="85" t="b">
        <f>IF(VLOOKUP(C4104,Projetos!A:L,12,false)=TRUE,TRUE,FALSE)</f>
        <v>1</v>
      </c>
      <c r="M4104" s="74">
        <v>52.1518759018759</v>
      </c>
      <c r="N4104" s="74">
        <f t="shared" si="1"/>
        <v>73.88182419</v>
      </c>
      <c r="O4104" s="74" t="b">
        <v>1</v>
      </c>
    </row>
    <row r="4105">
      <c r="A4105" s="82"/>
      <c r="B4105" s="65" t="s">
        <v>469</v>
      </c>
      <c r="C4105" s="65" t="s">
        <v>108</v>
      </c>
      <c r="D4105" s="65" t="str">
        <f>vlookup(C4105,'Classificação p pessoal'!F:G,2,false)</f>
        <v>NP</v>
      </c>
      <c r="E4105" s="65" t="s">
        <v>3013</v>
      </c>
      <c r="F4105" s="83">
        <v>0.34375</v>
      </c>
      <c r="G4105" s="83">
        <v>0.75</v>
      </c>
      <c r="H4105" s="83">
        <v>0.40625</v>
      </c>
      <c r="I4105" s="84">
        <v>44209.0</v>
      </c>
      <c r="J4105" s="65" t="b">
        <v>1</v>
      </c>
      <c r="K4105" s="65"/>
      <c r="L4105" s="85" t="b">
        <f>IF(VLOOKUP(C4105,Projetos!A:L,12,false)=TRUE,TRUE,FALSE)</f>
        <v>1</v>
      </c>
      <c r="M4105" s="74">
        <v>37.50928062469937</v>
      </c>
      <c r="N4105" s="74">
        <f t="shared" si="1"/>
        <v>365.7154861</v>
      </c>
      <c r="O4105" s="74" t="b">
        <v>1</v>
      </c>
    </row>
    <row r="4106" hidden="1">
      <c r="A4106" s="82"/>
      <c r="B4106" s="65" t="s">
        <v>467</v>
      </c>
      <c r="C4106" s="65" t="s">
        <v>92</v>
      </c>
      <c r="D4106" s="65" t="str">
        <f>vlookup(C4106,'Classificação p pessoal'!F:G,2,false)</f>
        <v/>
      </c>
      <c r="E4106" s="65" t="s">
        <v>3016</v>
      </c>
      <c r="F4106" s="83">
        <v>0.5902777777777778</v>
      </c>
      <c r="G4106" s="83">
        <v>0.6666666666666666</v>
      </c>
      <c r="H4106" s="83">
        <v>0.0763888888888889</v>
      </c>
      <c r="I4106" s="84">
        <v>44328.0</v>
      </c>
      <c r="J4106" s="65" t="b">
        <v>1</v>
      </c>
      <c r="K4106" s="65"/>
      <c r="L4106" s="85" t="b">
        <f>IF(VLOOKUP(C4106,Projetos!A:L,12,false)=TRUE,TRUE,FALSE)</f>
        <v>1</v>
      </c>
      <c r="M4106" s="74">
        <v>52.1518759018759</v>
      </c>
      <c r="N4106" s="74">
        <f t="shared" si="1"/>
        <v>95.61177249</v>
      </c>
      <c r="O4106" s="74" t="b">
        <v>1</v>
      </c>
    </row>
    <row r="4107" hidden="1">
      <c r="A4107" s="82"/>
      <c r="B4107" s="65" t="s">
        <v>467</v>
      </c>
      <c r="C4107" s="65" t="s">
        <v>92</v>
      </c>
      <c r="D4107" s="65" t="str">
        <f>vlookup(C4107,'Classificação p pessoal'!F:G,2,false)</f>
        <v/>
      </c>
      <c r="E4107" s="65" t="s">
        <v>3017</v>
      </c>
      <c r="F4107" s="83">
        <v>0.3472222222222222</v>
      </c>
      <c r="G4107" s="83">
        <v>0.4166666666666667</v>
      </c>
      <c r="H4107" s="83">
        <v>0.06944444444444445</v>
      </c>
      <c r="I4107" s="84">
        <v>44329.0</v>
      </c>
      <c r="J4107" s="65" t="b">
        <v>1</v>
      </c>
      <c r="K4107" s="65"/>
      <c r="L4107" s="85" t="b">
        <f>IF(VLOOKUP(C4107,Projetos!A:L,12,false)=TRUE,TRUE,FALSE)</f>
        <v>1</v>
      </c>
      <c r="M4107" s="74">
        <v>52.1518759018759</v>
      </c>
      <c r="N4107" s="74">
        <f t="shared" si="1"/>
        <v>86.91979317</v>
      </c>
      <c r="O4107" s="74" t="b">
        <v>1</v>
      </c>
    </row>
    <row r="4108" hidden="1">
      <c r="A4108" s="82"/>
      <c r="B4108" s="65" t="s">
        <v>467</v>
      </c>
      <c r="C4108" s="65" t="s">
        <v>113</v>
      </c>
      <c r="D4108" s="65" t="str">
        <f>vlookup(C4108,'Classificação p pessoal'!F:G,2,false)</f>
        <v>NP</v>
      </c>
      <c r="E4108" s="65" t="s">
        <v>3018</v>
      </c>
      <c r="F4108" s="83">
        <v>0.4236111111111111</v>
      </c>
      <c r="G4108" s="83">
        <v>0.4895833333333333</v>
      </c>
      <c r="H4108" s="83">
        <v>0.06597222222222222</v>
      </c>
      <c r="I4108" s="84">
        <v>44329.0</v>
      </c>
      <c r="J4108" s="65" t="b">
        <v>1</v>
      </c>
      <c r="K4108" s="65"/>
      <c r="L4108" s="85" t="b">
        <f>IF(VLOOKUP(C4108,Projetos!A:L,12,false)=TRUE,TRUE,FALSE)</f>
        <v>1</v>
      </c>
      <c r="M4108" s="74">
        <v>52.1518759018759</v>
      </c>
      <c r="N4108" s="74">
        <f t="shared" si="1"/>
        <v>82.57380351</v>
      </c>
      <c r="O4108" s="74" t="b">
        <v>1</v>
      </c>
    </row>
    <row r="4109" hidden="1">
      <c r="A4109" s="82"/>
      <c r="B4109" s="65" t="s">
        <v>467</v>
      </c>
      <c r="C4109" s="65" t="s">
        <v>113</v>
      </c>
      <c r="D4109" s="65" t="str">
        <f>vlookup(C4109,'Classificação p pessoal'!F:G,2,false)</f>
        <v>NP</v>
      </c>
      <c r="E4109" s="65" t="s">
        <v>3019</v>
      </c>
      <c r="F4109" s="83">
        <v>0.5833333333333334</v>
      </c>
      <c r="G4109" s="83">
        <v>0.7083333333333334</v>
      </c>
      <c r="H4109" s="83">
        <v>0.125</v>
      </c>
      <c r="I4109" s="84">
        <v>44329.0</v>
      </c>
      <c r="J4109" s="65" t="b">
        <v>1</v>
      </c>
      <c r="K4109" s="65"/>
      <c r="L4109" s="85" t="b">
        <f>IF(VLOOKUP(C4109,Projetos!A:L,12,false)=TRUE,TRUE,FALSE)</f>
        <v>1</v>
      </c>
      <c r="M4109" s="74">
        <v>52.1518759018759</v>
      </c>
      <c r="N4109" s="74">
        <f t="shared" si="1"/>
        <v>156.4556277</v>
      </c>
      <c r="O4109" s="74" t="b">
        <v>1</v>
      </c>
    </row>
    <row r="4110" hidden="1">
      <c r="A4110" s="82"/>
      <c r="B4110" s="65" t="s">
        <v>467</v>
      </c>
      <c r="C4110" s="65" t="s">
        <v>113</v>
      </c>
      <c r="D4110" s="65"/>
      <c r="E4110" s="65" t="s">
        <v>3020</v>
      </c>
      <c r="F4110" s="83">
        <v>0.3541666666666667</v>
      </c>
      <c r="G4110" s="83">
        <v>0.3958333333333333</v>
      </c>
      <c r="H4110" s="83">
        <v>0.041666666666666664</v>
      </c>
      <c r="I4110" s="84">
        <v>44330.0</v>
      </c>
      <c r="J4110" s="65" t="b">
        <v>0</v>
      </c>
      <c r="K4110" s="65" t="s">
        <v>150</v>
      </c>
      <c r="L4110" s="85" t="b">
        <f>IF(VLOOKUP(C4110,Projetos!A:L,12,false)=TRUE,TRUE,FALSE)</f>
        <v>1</v>
      </c>
      <c r="M4110" s="74">
        <v>52.1518759018759</v>
      </c>
      <c r="N4110" s="74">
        <f t="shared" si="1"/>
        <v>0</v>
      </c>
      <c r="O4110" s="74" t="b">
        <v>1</v>
      </c>
    </row>
    <row r="4111" hidden="1">
      <c r="A4111" s="82"/>
      <c r="B4111" s="65" t="s">
        <v>467</v>
      </c>
      <c r="C4111" s="65" t="s">
        <v>113</v>
      </c>
      <c r="D4111" s="65" t="str">
        <f>vlookup(C4111,'Classificação p pessoal'!F:G,2,false)</f>
        <v>NP</v>
      </c>
      <c r="E4111" s="65" t="s">
        <v>3021</v>
      </c>
      <c r="F4111" s="83">
        <v>0.3958333333333333</v>
      </c>
      <c r="G4111" s="83">
        <v>0.5</v>
      </c>
      <c r="H4111" s="83">
        <v>0.10416666666666667</v>
      </c>
      <c r="I4111" s="84">
        <v>44330.0</v>
      </c>
      <c r="J4111" s="65" t="b">
        <v>1</v>
      </c>
      <c r="K4111" s="65"/>
      <c r="L4111" s="85" t="b">
        <f>IF(VLOOKUP(C4111,Projetos!A:L,12,false)=TRUE,TRUE,FALSE)</f>
        <v>1</v>
      </c>
      <c r="M4111" s="74">
        <v>52.1518759018759</v>
      </c>
      <c r="N4111" s="74">
        <f t="shared" si="1"/>
        <v>130.3796898</v>
      </c>
      <c r="O4111" s="74" t="b">
        <v>1</v>
      </c>
    </row>
    <row r="4112" hidden="1">
      <c r="A4112" s="82"/>
      <c r="B4112" s="65" t="s">
        <v>467</v>
      </c>
      <c r="C4112" s="65" t="s">
        <v>92</v>
      </c>
      <c r="D4112" s="65" t="str">
        <f>vlookup(C4112,'Classificação p pessoal'!F:G,2,false)</f>
        <v/>
      </c>
      <c r="E4112" s="65" t="s">
        <v>3022</v>
      </c>
      <c r="F4112" s="83">
        <v>0.5833333333333334</v>
      </c>
      <c r="G4112" s="83">
        <v>0.6458333333333334</v>
      </c>
      <c r="H4112" s="83">
        <v>0.0625</v>
      </c>
      <c r="I4112" s="84">
        <v>44330.0</v>
      </c>
      <c r="J4112" s="65" t="b">
        <v>1</v>
      </c>
      <c r="K4112" s="65"/>
      <c r="L4112" s="85" t="b">
        <f>IF(VLOOKUP(C4112,Projetos!A:L,12,false)=TRUE,TRUE,FALSE)</f>
        <v>1</v>
      </c>
      <c r="M4112" s="74">
        <v>52.1518759018759</v>
      </c>
      <c r="N4112" s="74">
        <f t="shared" si="1"/>
        <v>78.22781385</v>
      </c>
      <c r="O4112" s="74" t="b">
        <v>1</v>
      </c>
    </row>
    <row r="4113" hidden="1">
      <c r="A4113" s="82"/>
      <c r="B4113" s="65" t="s">
        <v>467</v>
      </c>
      <c r="C4113" s="65" t="s">
        <v>113</v>
      </c>
      <c r="D4113" s="65" t="str">
        <f>vlookup(C4113,'Classificação p pessoal'!F:G,2,false)</f>
        <v>NP</v>
      </c>
      <c r="E4113" s="65" t="s">
        <v>3023</v>
      </c>
      <c r="F4113" s="83">
        <v>0.34375</v>
      </c>
      <c r="G4113" s="83">
        <v>0.4166666666666667</v>
      </c>
      <c r="H4113" s="83">
        <v>0.07291666666666667</v>
      </c>
      <c r="I4113" s="84">
        <v>44333.0</v>
      </c>
      <c r="J4113" s="65" t="b">
        <v>1</v>
      </c>
      <c r="K4113" s="65"/>
      <c r="L4113" s="85" t="b">
        <f>IF(VLOOKUP(C4113,Projetos!A:L,12,false)=TRUE,TRUE,FALSE)</f>
        <v>1</v>
      </c>
      <c r="M4113" s="74">
        <v>52.1518759018759</v>
      </c>
      <c r="N4113" s="74">
        <f t="shared" si="1"/>
        <v>91.26578283</v>
      </c>
      <c r="O4113" s="74" t="b">
        <v>1</v>
      </c>
    </row>
    <row r="4114" hidden="1">
      <c r="A4114" s="82"/>
      <c r="B4114" s="65" t="s">
        <v>467</v>
      </c>
      <c r="C4114" s="65" t="s">
        <v>130</v>
      </c>
      <c r="D4114" s="65" t="str">
        <f>vlookup(C4114,'Classificação p pessoal'!F:G,2,false)</f>
        <v>NP</v>
      </c>
      <c r="E4114" s="65" t="s">
        <v>3024</v>
      </c>
      <c r="F4114" s="83">
        <v>0.4375</v>
      </c>
      <c r="G4114" s="83">
        <v>0.5</v>
      </c>
      <c r="H4114" s="83">
        <v>0.0625</v>
      </c>
      <c r="I4114" s="84">
        <v>44333.0</v>
      </c>
      <c r="J4114" s="65" t="b">
        <v>1</v>
      </c>
      <c r="K4114" s="65"/>
      <c r="L4114" s="85" t="b">
        <f>IF(VLOOKUP(C4114,Projetos!A:L,12,false)=TRUE,TRUE,FALSE)</f>
        <v>1</v>
      </c>
      <c r="M4114" s="74">
        <v>52.1518759018759</v>
      </c>
      <c r="N4114" s="74">
        <f t="shared" si="1"/>
        <v>78.22781385</v>
      </c>
      <c r="O4114" s="74" t="b">
        <v>1</v>
      </c>
    </row>
    <row r="4115" hidden="1">
      <c r="A4115" s="82"/>
      <c r="B4115" s="65" t="s">
        <v>467</v>
      </c>
      <c r="C4115" s="65" t="s">
        <v>92</v>
      </c>
      <c r="D4115" s="65" t="str">
        <f>vlookup(C4115,'Classificação p pessoal'!F:G,2,false)</f>
        <v/>
      </c>
      <c r="E4115" s="65" t="s">
        <v>3025</v>
      </c>
      <c r="F4115" s="83">
        <v>0.5416666666666666</v>
      </c>
      <c r="G4115" s="83">
        <v>0.5625</v>
      </c>
      <c r="H4115" s="83">
        <v>0.020833333333333332</v>
      </c>
      <c r="I4115" s="84">
        <v>44333.0</v>
      </c>
      <c r="J4115" s="65" t="b">
        <v>1</v>
      </c>
      <c r="K4115" s="65"/>
      <c r="L4115" s="85" t="b">
        <f>IF(VLOOKUP(C4115,Projetos!A:L,12,false)=TRUE,TRUE,FALSE)</f>
        <v>1</v>
      </c>
      <c r="M4115" s="74">
        <v>52.1518759018759</v>
      </c>
      <c r="N4115" s="74">
        <f t="shared" si="1"/>
        <v>26.07593795</v>
      </c>
      <c r="O4115" s="74" t="b">
        <v>1</v>
      </c>
    </row>
    <row r="4116" hidden="1">
      <c r="A4116" s="82"/>
      <c r="B4116" s="65" t="s">
        <v>467</v>
      </c>
      <c r="C4116" s="65" t="s">
        <v>130</v>
      </c>
      <c r="D4116" s="65" t="str">
        <f>vlookup(C4116,'Classificação p pessoal'!F:G,2,false)</f>
        <v>NP</v>
      </c>
      <c r="E4116" s="65" t="s">
        <v>3026</v>
      </c>
      <c r="F4116" s="83">
        <v>0.3541666666666667</v>
      </c>
      <c r="G4116" s="83">
        <v>0.40625</v>
      </c>
      <c r="H4116" s="83">
        <v>0.052083333333333336</v>
      </c>
      <c r="I4116" s="84">
        <v>44334.0</v>
      </c>
      <c r="J4116" s="65" t="b">
        <v>1</v>
      </c>
      <c r="K4116" s="65"/>
      <c r="L4116" s="85" t="b">
        <f>IF(VLOOKUP(C4116,Projetos!A:L,12,false)=TRUE,TRUE,FALSE)</f>
        <v>1</v>
      </c>
      <c r="M4116" s="74">
        <v>52.1518759018759</v>
      </c>
      <c r="N4116" s="74">
        <f t="shared" si="1"/>
        <v>65.18984488</v>
      </c>
      <c r="O4116" s="74" t="b">
        <v>1</v>
      </c>
    </row>
    <row r="4117" hidden="1">
      <c r="A4117" s="82"/>
      <c r="B4117" s="65" t="s">
        <v>467</v>
      </c>
      <c r="C4117" s="65" t="s">
        <v>92</v>
      </c>
      <c r="D4117" s="65" t="str">
        <f>vlookup(C4117,'Classificação p pessoal'!F:G,2,false)</f>
        <v/>
      </c>
      <c r="E4117" s="65" t="s">
        <v>3027</v>
      </c>
      <c r="F4117" s="83">
        <v>0.4166666666666667</v>
      </c>
      <c r="G4117" s="83">
        <v>0.5</v>
      </c>
      <c r="H4117" s="83">
        <v>0.08333333333333333</v>
      </c>
      <c r="I4117" s="84">
        <v>44334.0</v>
      </c>
      <c r="J4117" s="65" t="b">
        <v>1</v>
      </c>
      <c r="K4117" s="65"/>
      <c r="L4117" s="85" t="b">
        <f>IF(VLOOKUP(C4117,Projetos!A:L,12,false)=TRUE,TRUE,FALSE)</f>
        <v>1</v>
      </c>
      <c r="M4117" s="74">
        <v>52.1518759018759</v>
      </c>
      <c r="N4117" s="74">
        <f t="shared" si="1"/>
        <v>104.3037518</v>
      </c>
      <c r="O4117" s="74" t="b">
        <v>1</v>
      </c>
    </row>
    <row r="4118" hidden="1">
      <c r="A4118" s="82"/>
      <c r="B4118" s="65" t="s">
        <v>467</v>
      </c>
      <c r="C4118" s="65" t="s">
        <v>113</v>
      </c>
      <c r="D4118" s="65" t="str">
        <f>vlookup(C4118,'Classificação p pessoal'!F:G,2,false)</f>
        <v>NP</v>
      </c>
      <c r="E4118" s="65" t="s">
        <v>3028</v>
      </c>
      <c r="F4118" s="83">
        <v>0.3541666666666667</v>
      </c>
      <c r="G4118" s="83">
        <v>0.4375</v>
      </c>
      <c r="H4118" s="83">
        <v>0.08333333333333333</v>
      </c>
      <c r="I4118" s="84">
        <v>44335.0</v>
      </c>
      <c r="J4118" s="65" t="b">
        <v>1</v>
      </c>
      <c r="K4118" s="65"/>
      <c r="L4118" s="85" t="b">
        <f>IF(VLOOKUP(C4118,Projetos!A:L,12,false)=TRUE,TRUE,FALSE)</f>
        <v>1</v>
      </c>
      <c r="M4118" s="74">
        <v>52.1518759018759</v>
      </c>
      <c r="N4118" s="74">
        <f t="shared" si="1"/>
        <v>104.3037518</v>
      </c>
      <c r="O4118" s="74" t="b">
        <v>1</v>
      </c>
    </row>
    <row r="4119" hidden="1">
      <c r="A4119" s="82"/>
      <c r="B4119" s="65" t="s">
        <v>467</v>
      </c>
      <c r="C4119" s="65" t="s">
        <v>113</v>
      </c>
      <c r="D4119" s="65" t="str">
        <f>vlookup(C4119,'Classificação p pessoal'!F:G,2,false)</f>
        <v>NP</v>
      </c>
      <c r="E4119" s="65" t="s">
        <v>3029</v>
      </c>
      <c r="F4119" s="83">
        <v>0.4583333333333333</v>
      </c>
      <c r="G4119" s="83">
        <v>0.5416666666666666</v>
      </c>
      <c r="H4119" s="83">
        <v>0.08333333333333333</v>
      </c>
      <c r="I4119" s="84">
        <v>44335.0</v>
      </c>
      <c r="J4119" s="65" t="b">
        <v>1</v>
      </c>
      <c r="K4119" s="65"/>
      <c r="L4119" s="85" t="b">
        <f>IF(VLOOKUP(C4119,Projetos!A:L,12,false)=TRUE,TRUE,FALSE)</f>
        <v>1</v>
      </c>
      <c r="M4119" s="74">
        <v>52.1518759018759</v>
      </c>
      <c r="N4119" s="74">
        <f t="shared" si="1"/>
        <v>104.3037518</v>
      </c>
      <c r="O4119" s="74" t="b">
        <v>1</v>
      </c>
    </row>
    <row r="4120" hidden="1">
      <c r="A4120" s="82"/>
      <c r="B4120" s="65" t="s">
        <v>467</v>
      </c>
      <c r="C4120" s="65" t="s">
        <v>130</v>
      </c>
      <c r="D4120" s="65" t="str">
        <f>vlookup(C4120,'Classificação p pessoal'!F:G,2,false)</f>
        <v>NP</v>
      </c>
      <c r="E4120" s="65" t="s">
        <v>3030</v>
      </c>
      <c r="F4120" s="83">
        <v>0.5833333333333334</v>
      </c>
      <c r="G4120" s="83">
        <v>0.6875</v>
      </c>
      <c r="H4120" s="83">
        <v>0.10416666666666667</v>
      </c>
      <c r="I4120" s="84">
        <v>44335.0</v>
      </c>
      <c r="J4120" s="65" t="b">
        <v>1</v>
      </c>
      <c r="K4120" s="65"/>
      <c r="L4120" s="85" t="b">
        <f>IF(VLOOKUP(C4120,Projetos!A:L,12,false)=TRUE,TRUE,FALSE)</f>
        <v>1</v>
      </c>
      <c r="M4120" s="74">
        <v>52.1518759018759</v>
      </c>
      <c r="N4120" s="74">
        <f t="shared" si="1"/>
        <v>130.3796898</v>
      </c>
      <c r="O4120" s="74" t="b">
        <v>1</v>
      </c>
    </row>
    <row r="4121" hidden="1">
      <c r="A4121" s="82"/>
      <c r="B4121" s="65" t="s">
        <v>467</v>
      </c>
      <c r="C4121" s="65" t="s">
        <v>88</v>
      </c>
      <c r="D4121" s="65" t="str">
        <f>vlookup(C4121,'Classificação p pessoal'!F:G,2,false)</f>
        <v>MProduto</v>
      </c>
      <c r="E4121" s="65" t="s">
        <v>3031</v>
      </c>
      <c r="F4121" s="83">
        <v>0.3541666666666667</v>
      </c>
      <c r="G4121" s="83">
        <v>0.4166666666666667</v>
      </c>
      <c r="H4121" s="83">
        <v>0.0625</v>
      </c>
      <c r="I4121" s="84">
        <v>44336.0</v>
      </c>
      <c r="J4121" s="65" t="b">
        <v>1</v>
      </c>
      <c r="K4121" s="65"/>
      <c r="L4121" s="85" t="b">
        <f>IF(VLOOKUP(C4121,Projetos!A:L,12,false)=TRUE,TRUE,FALSE)</f>
        <v>1</v>
      </c>
      <c r="M4121" s="74">
        <v>52.1518759018759</v>
      </c>
      <c r="N4121" s="74">
        <f t="shared" si="1"/>
        <v>78.22781385</v>
      </c>
      <c r="O4121" s="74" t="b">
        <v>1</v>
      </c>
    </row>
    <row r="4122" hidden="1">
      <c r="A4122" s="82"/>
      <c r="B4122" s="65" t="s">
        <v>467</v>
      </c>
      <c r="C4122" s="65" t="s">
        <v>88</v>
      </c>
      <c r="D4122" s="65" t="str">
        <f>vlookup(C4122,'Classificação p pessoal'!F:G,2,false)</f>
        <v>MProduto</v>
      </c>
      <c r="E4122" s="65" t="s">
        <v>3032</v>
      </c>
      <c r="F4122" s="83">
        <v>0.4166666666666667</v>
      </c>
      <c r="G4122" s="83">
        <v>0.4583333333333333</v>
      </c>
      <c r="H4122" s="83">
        <v>0.041666666666666664</v>
      </c>
      <c r="I4122" s="84">
        <v>44336.0</v>
      </c>
      <c r="J4122" s="65" t="b">
        <v>1</v>
      </c>
      <c r="K4122" s="65"/>
      <c r="L4122" s="85" t="b">
        <f>IF(VLOOKUP(C4122,Projetos!A:L,12,false)=TRUE,TRUE,FALSE)</f>
        <v>1</v>
      </c>
      <c r="M4122" s="74">
        <v>52.1518759018759</v>
      </c>
      <c r="N4122" s="74">
        <f t="shared" si="1"/>
        <v>52.1518759</v>
      </c>
      <c r="O4122" s="74" t="b">
        <v>1</v>
      </c>
    </row>
    <row r="4123" hidden="1">
      <c r="A4123" s="82"/>
      <c r="B4123" s="65" t="s">
        <v>467</v>
      </c>
      <c r="C4123" s="65" t="s">
        <v>113</v>
      </c>
      <c r="D4123" s="65" t="str">
        <f>vlookup(C4123,'Classificação p pessoal'!F:G,2,false)</f>
        <v>NP</v>
      </c>
      <c r="E4123" s="65" t="s">
        <v>3033</v>
      </c>
      <c r="F4123" s="83">
        <v>0.5833333333333334</v>
      </c>
      <c r="G4123" s="83">
        <v>0.6666666666666666</v>
      </c>
      <c r="H4123" s="83">
        <v>0.08333333333333333</v>
      </c>
      <c r="I4123" s="84">
        <v>44336.0</v>
      </c>
      <c r="J4123" s="65" t="b">
        <v>1</v>
      </c>
      <c r="K4123" s="65"/>
      <c r="L4123" s="85" t="b">
        <f>IF(VLOOKUP(C4123,Projetos!A:L,12,false)=TRUE,TRUE,FALSE)</f>
        <v>1</v>
      </c>
      <c r="M4123" s="74">
        <v>52.1518759018759</v>
      </c>
      <c r="N4123" s="74">
        <f t="shared" si="1"/>
        <v>104.3037518</v>
      </c>
      <c r="O4123" s="74" t="b">
        <v>1</v>
      </c>
    </row>
    <row r="4124" hidden="1">
      <c r="A4124" s="82"/>
      <c r="B4124" s="65" t="s">
        <v>467</v>
      </c>
      <c r="C4124" s="65" t="s">
        <v>92</v>
      </c>
      <c r="D4124" s="65" t="str">
        <f>vlookup(C4124,'Classificação p pessoal'!F:G,2,false)</f>
        <v/>
      </c>
      <c r="E4124" s="65" t="s">
        <v>3034</v>
      </c>
      <c r="F4124" s="83">
        <v>0.4166666666666667</v>
      </c>
      <c r="G4124" s="83">
        <v>0.5</v>
      </c>
      <c r="H4124" s="83">
        <v>0.08333333333333333</v>
      </c>
      <c r="I4124" s="84">
        <v>44337.0</v>
      </c>
      <c r="J4124" s="65" t="b">
        <v>1</v>
      </c>
      <c r="K4124" s="65"/>
      <c r="L4124" s="85" t="b">
        <f>IF(VLOOKUP(C4124,Projetos!A:L,12,false)=TRUE,TRUE,FALSE)</f>
        <v>1</v>
      </c>
      <c r="M4124" s="74">
        <v>52.1518759018759</v>
      </c>
      <c r="N4124" s="74">
        <f t="shared" si="1"/>
        <v>104.3037518</v>
      </c>
      <c r="O4124" s="74" t="b">
        <v>1</v>
      </c>
    </row>
    <row r="4125" hidden="1">
      <c r="A4125" s="82"/>
      <c r="B4125" s="65" t="s">
        <v>467</v>
      </c>
      <c r="C4125" s="65" t="s">
        <v>113</v>
      </c>
      <c r="D4125" s="65" t="str">
        <f>vlookup(C4125,'Classificação p pessoal'!F:G,2,false)</f>
        <v>NP</v>
      </c>
      <c r="E4125" s="65" t="s">
        <v>3035</v>
      </c>
      <c r="F4125" s="83">
        <v>0.5833333333333334</v>
      </c>
      <c r="G4125" s="83">
        <v>0.625</v>
      </c>
      <c r="H4125" s="83">
        <v>0.041666666666666664</v>
      </c>
      <c r="I4125" s="84">
        <v>44337.0</v>
      </c>
      <c r="J4125" s="65" t="b">
        <v>1</v>
      </c>
      <c r="K4125" s="65"/>
      <c r="L4125" s="85" t="b">
        <f>IF(VLOOKUP(C4125,Projetos!A:L,12,false)=TRUE,TRUE,FALSE)</f>
        <v>1</v>
      </c>
      <c r="M4125" s="74">
        <v>52.1518759018759</v>
      </c>
      <c r="N4125" s="74">
        <f t="shared" si="1"/>
        <v>52.1518759</v>
      </c>
      <c r="O4125" s="74" t="b">
        <v>1</v>
      </c>
    </row>
    <row r="4126" hidden="1">
      <c r="A4126" s="82"/>
      <c r="B4126" s="65" t="s">
        <v>467</v>
      </c>
      <c r="C4126" s="65" t="s">
        <v>113</v>
      </c>
      <c r="D4126" s="65" t="str">
        <f>vlookup(C4126,'Classificação p pessoal'!F:G,2,false)</f>
        <v>NP</v>
      </c>
      <c r="E4126" s="65" t="s">
        <v>3036</v>
      </c>
      <c r="F4126" s="83">
        <v>0.6875</v>
      </c>
      <c r="G4126" s="83">
        <v>0.75</v>
      </c>
      <c r="H4126" s="83">
        <v>0.0625</v>
      </c>
      <c r="I4126" s="84">
        <v>44337.0</v>
      </c>
      <c r="J4126" s="65" t="b">
        <v>1</v>
      </c>
      <c r="K4126" s="65"/>
      <c r="L4126" s="85" t="b">
        <f>IF(VLOOKUP(C4126,Projetos!A:L,12,false)=TRUE,TRUE,FALSE)</f>
        <v>1</v>
      </c>
      <c r="M4126" s="74">
        <v>52.1518759018759</v>
      </c>
      <c r="N4126" s="74">
        <f t="shared" si="1"/>
        <v>78.22781385</v>
      </c>
      <c r="O4126" s="74" t="b">
        <v>1</v>
      </c>
    </row>
    <row r="4127" hidden="1">
      <c r="A4127" s="82"/>
      <c r="B4127" s="65" t="s">
        <v>467</v>
      </c>
      <c r="C4127" s="65" t="s">
        <v>113</v>
      </c>
      <c r="D4127" s="65" t="str">
        <f>vlookup(C4127,'Classificação p pessoal'!F:G,2,false)</f>
        <v>NP</v>
      </c>
      <c r="E4127" s="65" t="s">
        <v>3037</v>
      </c>
      <c r="F4127" s="83">
        <v>0.3541666666666667</v>
      </c>
      <c r="G4127" s="83">
        <v>0.4375</v>
      </c>
      <c r="H4127" s="83">
        <v>0.08333333333333333</v>
      </c>
      <c r="I4127" s="84">
        <v>44340.0</v>
      </c>
      <c r="J4127" s="65" t="b">
        <v>1</v>
      </c>
      <c r="K4127" s="65"/>
      <c r="L4127" s="85" t="b">
        <f>IF(VLOOKUP(C4127,Projetos!A:L,12,false)=TRUE,TRUE,FALSE)</f>
        <v>1</v>
      </c>
      <c r="M4127" s="74">
        <v>52.1518759018759</v>
      </c>
      <c r="N4127" s="74">
        <f t="shared" si="1"/>
        <v>104.3037518</v>
      </c>
      <c r="O4127" s="74" t="b">
        <v>1</v>
      </c>
    </row>
    <row r="4128" hidden="1">
      <c r="A4128" s="82"/>
      <c r="B4128" s="65" t="s">
        <v>467</v>
      </c>
      <c r="C4128" s="65" t="s">
        <v>113</v>
      </c>
      <c r="D4128" s="65" t="str">
        <f>vlookup(C4128,'Classificação p pessoal'!F:G,2,false)</f>
        <v>NP</v>
      </c>
      <c r="E4128" s="65" t="s">
        <v>3038</v>
      </c>
      <c r="F4128" s="83">
        <v>0.4375</v>
      </c>
      <c r="G4128" s="83">
        <v>0.4791666666666667</v>
      </c>
      <c r="H4128" s="83">
        <v>0.041666666666666664</v>
      </c>
      <c r="I4128" s="84">
        <v>44340.0</v>
      </c>
      <c r="J4128" s="65" t="b">
        <v>1</v>
      </c>
      <c r="K4128" s="65"/>
      <c r="L4128" s="85" t="b">
        <f>IF(VLOOKUP(C4128,Projetos!A:L,12,false)=TRUE,TRUE,FALSE)</f>
        <v>1</v>
      </c>
      <c r="M4128" s="74">
        <v>52.1518759018759</v>
      </c>
      <c r="N4128" s="74">
        <f t="shared" si="1"/>
        <v>52.1518759</v>
      </c>
      <c r="O4128" s="74" t="b">
        <v>1</v>
      </c>
    </row>
    <row r="4129" hidden="1">
      <c r="A4129" s="82"/>
      <c r="B4129" s="65" t="s">
        <v>467</v>
      </c>
      <c r="C4129" s="65" t="s">
        <v>113</v>
      </c>
      <c r="D4129" s="65" t="str">
        <f>vlookup(C4129,'Classificação p pessoal'!F:G,2,false)</f>
        <v>NP</v>
      </c>
      <c r="E4129" s="65" t="s">
        <v>3039</v>
      </c>
      <c r="F4129" s="83">
        <v>0.4791666666666667</v>
      </c>
      <c r="G4129" s="83">
        <v>0.5208333333333334</v>
      </c>
      <c r="H4129" s="83">
        <v>0.041666666666666664</v>
      </c>
      <c r="I4129" s="84">
        <v>44340.0</v>
      </c>
      <c r="J4129" s="65" t="b">
        <v>1</v>
      </c>
      <c r="K4129" s="65"/>
      <c r="L4129" s="85" t="b">
        <f>IF(VLOOKUP(C4129,Projetos!A:L,12,false)=TRUE,TRUE,FALSE)</f>
        <v>1</v>
      </c>
      <c r="M4129" s="74">
        <v>52.1518759018759</v>
      </c>
      <c r="N4129" s="74">
        <f t="shared" si="1"/>
        <v>52.1518759</v>
      </c>
      <c r="O4129" s="74" t="b">
        <v>1</v>
      </c>
    </row>
    <row r="4130" hidden="1">
      <c r="A4130" s="82"/>
      <c r="B4130" s="65" t="s">
        <v>467</v>
      </c>
      <c r="C4130" s="65" t="s">
        <v>113</v>
      </c>
      <c r="D4130" s="65" t="str">
        <f>vlookup(C4130,'Classificação p pessoal'!F:G,2,false)</f>
        <v>NP</v>
      </c>
      <c r="E4130" s="65" t="s">
        <v>3040</v>
      </c>
      <c r="F4130" s="83">
        <v>0.6458333333333334</v>
      </c>
      <c r="G4130" s="83">
        <v>0.7083333333333334</v>
      </c>
      <c r="H4130" s="83">
        <v>0.0625</v>
      </c>
      <c r="I4130" s="84">
        <v>44340.0</v>
      </c>
      <c r="J4130" s="65" t="b">
        <v>1</v>
      </c>
      <c r="K4130" s="65"/>
      <c r="L4130" s="85" t="b">
        <f>IF(VLOOKUP(C4130,Projetos!A:L,12,false)=TRUE,TRUE,FALSE)</f>
        <v>1</v>
      </c>
      <c r="M4130" s="74">
        <v>52.1518759018759</v>
      </c>
      <c r="N4130" s="74">
        <f t="shared" si="1"/>
        <v>78.22781385</v>
      </c>
      <c r="O4130" s="74" t="b">
        <v>1</v>
      </c>
    </row>
    <row r="4131" hidden="1">
      <c r="A4131" s="82"/>
      <c r="B4131" s="65" t="s">
        <v>467</v>
      </c>
      <c r="C4131" s="65" t="s">
        <v>92</v>
      </c>
      <c r="D4131" s="65" t="str">
        <f>vlookup(C4131,'Classificação p pessoal'!F:G,2,false)</f>
        <v/>
      </c>
      <c r="E4131" s="65" t="s">
        <v>3041</v>
      </c>
      <c r="F4131" s="83">
        <v>0.4166666666666667</v>
      </c>
      <c r="G4131" s="83">
        <v>0.5</v>
      </c>
      <c r="H4131" s="83">
        <v>0.08333333333333333</v>
      </c>
      <c r="I4131" s="84">
        <v>44341.0</v>
      </c>
      <c r="J4131" s="65" t="b">
        <v>1</v>
      </c>
      <c r="K4131" s="65"/>
      <c r="L4131" s="85" t="b">
        <f>IF(VLOOKUP(C4131,Projetos!A:L,12,false)=TRUE,TRUE,FALSE)</f>
        <v>1</v>
      </c>
      <c r="M4131" s="74">
        <v>52.1518759018759</v>
      </c>
      <c r="N4131" s="74">
        <f t="shared" si="1"/>
        <v>104.3037518</v>
      </c>
      <c r="O4131" s="74" t="b">
        <v>1</v>
      </c>
    </row>
    <row r="4132" hidden="1">
      <c r="A4132" s="82"/>
      <c r="B4132" s="65" t="s">
        <v>467</v>
      </c>
      <c r="C4132" s="65" t="s">
        <v>130</v>
      </c>
      <c r="D4132" s="65" t="str">
        <f>vlookup(C4132,'Classificação p pessoal'!F:G,2,false)</f>
        <v>NP</v>
      </c>
      <c r="E4132" s="65" t="s">
        <v>3042</v>
      </c>
      <c r="F4132" s="83">
        <v>0.3541666666666667</v>
      </c>
      <c r="G4132" s="83">
        <v>0.4375</v>
      </c>
      <c r="H4132" s="83">
        <v>0.08333333333333333</v>
      </c>
      <c r="I4132" s="84">
        <v>44328.0</v>
      </c>
      <c r="J4132" s="65" t="b">
        <v>1</v>
      </c>
      <c r="K4132" s="65"/>
      <c r="L4132" s="85" t="b">
        <f>IF(VLOOKUP(C4132,Projetos!A:L,12,false)=TRUE,TRUE,FALSE)</f>
        <v>1</v>
      </c>
      <c r="M4132" s="74">
        <v>52.1518759018759</v>
      </c>
      <c r="N4132" s="74">
        <f t="shared" si="1"/>
        <v>104.3037518</v>
      </c>
      <c r="O4132" s="74" t="b">
        <v>1</v>
      </c>
    </row>
    <row r="4133" hidden="1">
      <c r="A4133" s="82"/>
      <c r="B4133" s="65" t="s">
        <v>467</v>
      </c>
      <c r="C4133" s="65" t="s">
        <v>88</v>
      </c>
      <c r="D4133" s="65" t="str">
        <f>vlookup(C4133,'Classificação p pessoal'!F:G,2,false)</f>
        <v>MProduto</v>
      </c>
      <c r="E4133" s="65" t="s">
        <v>3043</v>
      </c>
      <c r="F4133" s="83">
        <v>0.625</v>
      </c>
      <c r="G4133" s="83">
        <v>0.6666666666666666</v>
      </c>
      <c r="H4133" s="83">
        <v>0.041666666666666664</v>
      </c>
      <c r="I4133" s="84">
        <v>44341.0</v>
      </c>
      <c r="J4133" s="65" t="b">
        <v>1</v>
      </c>
      <c r="K4133" s="65"/>
      <c r="L4133" s="85" t="b">
        <f>IF(VLOOKUP(C4133,Projetos!A:L,12,false)=TRUE,TRUE,FALSE)</f>
        <v>1</v>
      </c>
      <c r="M4133" s="74">
        <v>52.1518759018759</v>
      </c>
      <c r="N4133" s="74">
        <f t="shared" si="1"/>
        <v>52.1518759</v>
      </c>
      <c r="O4133" s="74" t="b">
        <v>1</v>
      </c>
    </row>
    <row r="4134" hidden="1">
      <c r="A4134" s="82"/>
      <c r="B4134" s="65" t="s">
        <v>467</v>
      </c>
      <c r="C4134" s="65" t="s">
        <v>92</v>
      </c>
      <c r="D4134" s="65" t="str">
        <f>vlookup(C4134,'Classificação p pessoal'!F:G,2,false)</f>
        <v/>
      </c>
      <c r="E4134" s="65" t="s">
        <v>3044</v>
      </c>
      <c r="F4134" s="83">
        <v>0.3541666666666667</v>
      </c>
      <c r="G4134" s="83">
        <v>0.375</v>
      </c>
      <c r="H4134" s="83">
        <v>0.020833333333333332</v>
      </c>
      <c r="I4134" s="84">
        <v>44342.0</v>
      </c>
      <c r="J4134" s="65" t="b">
        <v>1</v>
      </c>
      <c r="K4134" s="65"/>
      <c r="L4134" s="85" t="b">
        <f>IF(VLOOKUP(C4134,Projetos!A:L,12,false)=TRUE,TRUE,FALSE)</f>
        <v>1</v>
      </c>
      <c r="M4134" s="74">
        <v>52.1518759018759</v>
      </c>
      <c r="N4134" s="74">
        <f t="shared" si="1"/>
        <v>26.07593795</v>
      </c>
      <c r="O4134" s="74" t="b">
        <v>1</v>
      </c>
    </row>
    <row r="4135" hidden="1">
      <c r="A4135" s="82"/>
      <c r="B4135" s="65" t="s">
        <v>467</v>
      </c>
      <c r="C4135" s="65" t="s">
        <v>92</v>
      </c>
      <c r="D4135" s="65" t="str">
        <f>vlookup(C4135,'Classificação p pessoal'!F:G,2,false)</f>
        <v/>
      </c>
      <c r="E4135" s="65" t="s">
        <v>3045</v>
      </c>
      <c r="F4135" s="83">
        <v>0.375</v>
      </c>
      <c r="G4135" s="83">
        <v>0.5</v>
      </c>
      <c r="H4135" s="83">
        <v>0.125</v>
      </c>
      <c r="I4135" s="84">
        <v>44342.0</v>
      </c>
      <c r="J4135" s="65" t="b">
        <v>1</v>
      </c>
      <c r="K4135" s="65"/>
      <c r="L4135" s="85" t="b">
        <f>IF(VLOOKUP(C4135,Projetos!A:L,12,false)=TRUE,TRUE,FALSE)</f>
        <v>1</v>
      </c>
      <c r="M4135" s="74">
        <v>52.1518759018759</v>
      </c>
      <c r="N4135" s="74">
        <f t="shared" si="1"/>
        <v>156.4556277</v>
      </c>
      <c r="O4135" s="74" t="b">
        <v>1</v>
      </c>
    </row>
    <row r="4136" hidden="1">
      <c r="A4136" s="82"/>
      <c r="B4136" s="65" t="s">
        <v>467</v>
      </c>
      <c r="C4136" s="65" t="s">
        <v>113</v>
      </c>
      <c r="D4136" s="65" t="str">
        <f>vlookup(C4136,'Classificação p pessoal'!F:G,2,false)</f>
        <v>NP</v>
      </c>
      <c r="E4136" s="65" t="s">
        <v>3046</v>
      </c>
      <c r="F4136" s="83">
        <v>0.5416666666666666</v>
      </c>
      <c r="G4136" s="83">
        <v>0.5833333333333334</v>
      </c>
      <c r="H4136" s="83">
        <v>0.041666666666666664</v>
      </c>
      <c r="I4136" s="84">
        <v>44342.0</v>
      </c>
      <c r="J4136" s="65" t="b">
        <v>1</v>
      </c>
      <c r="K4136" s="65"/>
      <c r="L4136" s="85" t="b">
        <f>IF(VLOOKUP(C4136,Projetos!A:L,12,false)=TRUE,TRUE,FALSE)</f>
        <v>1</v>
      </c>
      <c r="M4136" s="74">
        <v>52.1518759018759</v>
      </c>
      <c r="N4136" s="74">
        <f t="shared" si="1"/>
        <v>52.1518759</v>
      </c>
      <c r="O4136" s="74" t="b">
        <v>1</v>
      </c>
    </row>
    <row r="4137" hidden="1">
      <c r="A4137" s="82"/>
      <c r="B4137" s="65" t="s">
        <v>467</v>
      </c>
      <c r="C4137" s="65" t="s">
        <v>88</v>
      </c>
      <c r="D4137" s="65" t="str">
        <f>vlookup(C4137,'Classificação p pessoal'!F:G,2,false)</f>
        <v>MProduto</v>
      </c>
      <c r="E4137" s="65" t="s">
        <v>3047</v>
      </c>
      <c r="F4137" s="83">
        <v>0.5833333333333334</v>
      </c>
      <c r="G4137" s="83">
        <v>0.59375</v>
      </c>
      <c r="H4137" s="83">
        <v>0.010416666666666666</v>
      </c>
      <c r="I4137" s="84">
        <v>44342.0</v>
      </c>
      <c r="J4137" s="65" t="b">
        <v>1</v>
      </c>
      <c r="K4137" s="65"/>
      <c r="L4137" s="85" t="b">
        <f>IF(VLOOKUP(C4137,Projetos!A:L,12,false)=TRUE,TRUE,FALSE)</f>
        <v>1</v>
      </c>
      <c r="M4137" s="74">
        <v>52.1518759018759</v>
      </c>
      <c r="N4137" s="74">
        <f t="shared" si="1"/>
        <v>13.03796898</v>
      </c>
      <c r="O4137" s="74" t="b">
        <v>1</v>
      </c>
    </row>
    <row r="4138" hidden="1">
      <c r="A4138" s="82"/>
      <c r="B4138" s="65" t="s">
        <v>467</v>
      </c>
      <c r="C4138" s="65" t="s">
        <v>113</v>
      </c>
      <c r="D4138" s="65" t="str">
        <f>vlookup(C4138,'Classificação p pessoal'!F:G,2,false)</f>
        <v>NP</v>
      </c>
      <c r="E4138" s="65" t="s">
        <v>3048</v>
      </c>
      <c r="F4138" s="83">
        <v>0.375</v>
      </c>
      <c r="G4138" s="83">
        <v>0.4166666666666667</v>
      </c>
      <c r="H4138" s="83">
        <v>0.041666666666666664</v>
      </c>
      <c r="I4138" s="84">
        <v>44343.0</v>
      </c>
      <c r="J4138" s="65" t="b">
        <v>1</v>
      </c>
      <c r="K4138" s="65"/>
      <c r="L4138" s="85" t="b">
        <f>IF(VLOOKUP(C4138,Projetos!A:L,12,false)=TRUE,TRUE,FALSE)</f>
        <v>1</v>
      </c>
      <c r="M4138" s="74">
        <v>52.1518759018759</v>
      </c>
      <c r="N4138" s="74">
        <f t="shared" si="1"/>
        <v>52.1518759</v>
      </c>
      <c r="O4138" s="74" t="b">
        <v>1</v>
      </c>
    </row>
    <row r="4139" hidden="1">
      <c r="A4139" s="82"/>
      <c r="B4139" s="65" t="s">
        <v>467</v>
      </c>
      <c r="C4139" s="65" t="s">
        <v>130</v>
      </c>
      <c r="D4139" s="65" t="str">
        <f>vlookup(C4139,'Classificação p pessoal'!F:G,2,false)</f>
        <v>NP</v>
      </c>
      <c r="E4139" s="65" t="s">
        <v>3049</v>
      </c>
      <c r="F4139" s="83">
        <v>0.7083333333333334</v>
      </c>
      <c r="G4139" s="83">
        <v>0.75</v>
      </c>
      <c r="H4139" s="83">
        <v>0.041666666666666664</v>
      </c>
      <c r="I4139" s="84">
        <v>44341.0</v>
      </c>
      <c r="J4139" s="65" t="b">
        <v>1</v>
      </c>
      <c r="K4139" s="65"/>
      <c r="L4139" s="85" t="b">
        <f>IF(VLOOKUP(C4139,Projetos!A:L,12,false)=TRUE,TRUE,FALSE)</f>
        <v>1</v>
      </c>
      <c r="M4139" s="74">
        <v>52.1518759018759</v>
      </c>
      <c r="N4139" s="74">
        <f t="shared" si="1"/>
        <v>52.1518759</v>
      </c>
      <c r="O4139" s="74" t="b">
        <v>1</v>
      </c>
    </row>
    <row r="4140" hidden="1">
      <c r="A4140" s="82"/>
      <c r="B4140" s="65" t="s">
        <v>467</v>
      </c>
      <c r="C4140" s="65" t="s">
        <v>92</v>
      </c>
      <c r="D4140" s="65" t="str">
        <f>vlookup(C4140,'Classificação p pessoal'!F:G,2,false)</f>
        <v/>
      </c>
      <c r="E4140" s="65" t="s">
        <v>3050</v>
      </c>
      <c r="F4140" s="83">
        <v>0.4375</v>
      </c>
      <c r="G4140" s="83">
        <v>0.5</v>
      </c>
      <c r="H4140" s="83">
        <v>0.0625</v>
      </c>
      <c r="I4140" s="84">
        <v>44343.0</v>
      </c>
      <c r="J4140" s="65" t="b">
        <v>1</v>
      </c>
      <c r="K4140" s="65"/>
      <c r="L4140" s="85" t="b">
        <f>IF(VLOOKUP(C4140,Projetos!A:L,12,false)=TRUE,TRUE,FALSE)</f>
        <v>1</v>
      </c>
      <c r="M4140" s="74">
        <v>52.1518759018759</v>
      </c>
      <c r="N4140" s="74">
        <f t="shared" si="1"/>
        <v>78.22781385</v>
      </c>
      <c r="O4140" s="74" t="b">
        <v>1</v>
      </c>
    </row>
    <row r="4141" hidden="1">
      <c r="A4141" s="82"/>
      <c r="B4141" s="65" t="s">
        <v>467</v>
      </c>
      <c r="C4141" s="65" t="s">
        <v>92</v>
      </c>
      <c r="D4141" s="65" t="str">
        <f>vlookup(C4141,'Classificação p pessoal'!F:G,2,false)</f>
        <v/>
      </c>
      <c r="E4141" s="65" t="s">
        <v>3051</v>
      </c>
      <c r="F4141" s="83">
        <v>0.5833333333333334</v>
      </c>
      <c r="G4141" s="83">
        <v>0.625</v>
      </c>
      <c r="H4141" s="83">
        <v>0.041666666666666664</v>
      </c>
      <c r="I4141" s="84">
        <v>44343.0</v>
      </c>
      <c r="J4141" s="65" t="b">
        <v>1</v>
      </c>
      <c r="K4141" s="65"/>
      <c r="L4141" s="85" t="b">
        <f>IF(VLOOKUP(C4141,Projetos!A:L,12,false)=TRUE,TRUE,FALSE)</f>
        <v>1</v>
      </c>
      <c r="M4141" s="74">
        <v>52.1518759018759</v>
      </c>
      <c r="N4141" s="74">
        <f t="shared" si="1"/>
        <v>52.1518759</v>
      </c>
      <c r="O4141" s="74" t="b">
        <v>1</v>
      </c>
    </row>
    <row r="4142" hidden="1">
      <c r="A4142" s="82"/>
      <c r="B4142" s="65" t="s">
        <v>467</v>
      </c>
      <c r="C4142" s="65" t="s">
        <v>113</v>
      </c>
      <c r="D4142" s="65" t="str">
        <f>vlookup(C4142,'Classificação p pessoal'!F:G,2,false)</f>
        <v>NP</v>
      </c>
      <c r="E4142" s="65" t="s">
        <v>3052</v>
      </c>
      <c r="F4142" s="83">
        <v>0.6666666666666666</v>
      </c>
      <c r="G4142" s="83">
        <v>0.7083333333333334</v>
      </c>
      <c r="H4142" s="83">
        <v>0.041666666666666664</v>
      </c>
      <c r="I4142" s="84">
        <v>44343.0</v>
      </c>
      <c r="J4142" s="65" t="b">
        <v>1</v>
      </c>
      <c r="K4142" s="65"/>
      <c r="L4142" s="85" t="b">
        <f>IF(VLOOKUP(C4142,Projetos!A:L,12,false)=TRUE,TRUE,FALSE)</f>
        <v>1</v>
      </c>
      <c r="M4142" s="74">
        <v>52.1518759018759</v>
      </c>
      <c r="N4142" s="74">
        <f t="shared" si="1"/>
        <v>52.1518759</v>
      </c>
      <c r="O4142" s="74" t="b">
        <v>1</v>
      </c>
    </row>
    <row r="4143" hidden="1">
      <c r="A4143" s="82"/>
      <c r="B4143" s="65" t="s">
        <v>467</v>
      </c>
      <c r="C4143" s="65" t="s">
        <v>88</v>
      </c>
      <c r="D4143" s="65" t="str">
        <f>vlookup(C4143,'Classificação p pessoal'!F:G,2,false)</f>
        <v>MProduto</v>
      </c>
      <c r="E4143" s="65" t="s">
        <v>3053</v>
      </c>
      <c r="F4143" s="83">
        <v>0.3541666666666667</v>
      </c>
      <c r="G4143" s="83">
        <v>0.375</v>
      </c>
      <c r="H4143" s="83">
        <v>0.020833333333333332</v>
      </c>
      <c r="I4143" s="84">
        <v>44344.0</v>
      </c>
      <c r="J4143" s="65" t="b">
        <v>1</v>
      </c>
      <c r="K4143" s="65"/>
      <c r="L4143" s="85" t="b">
        <f>IF(VLOOKUP(C4143,Projetos!A:L,12,false)=TRUE,TRUE,FALSE)</f>
        <v>1</v>
      </c>
      <c r="M4143" s="74">
        <v>52.1518759018759</v>
      </c>
      <c r="N4143" s="74">
        <f t="shared" si="1"/>
        <v>26.07593795</v>
      </c>
      <c r="O4143" s="74" t="b">
        <v>1</v>
      </c>
    </row>
    <row r="4144" hidden="1">
      <c r="A4144" s="82"/>
      <c r="B4144" s="65" t="s">
        <v>467</v>
      </c>
      <c r="C4144" s="65" t="s">
        <v>113</v>
      </c>
      <c r="D4144" s="65" t="str">
        <f>vlookup(C4144,'Classificação p pessoal'!F:G,2,false)</f>
        <v>NP</v>
      </c>
      <c r="E4144" s="65" t="s">
        <v>3054</v>
      </c>
      <c r="F4144" s="83">
        <v>0.375</v>
      </c>
      <c r="G4144" s="83">
        <v>0.3958333333333333</v>
      </c>
      <c r="H4144" s="83">
        <v>0.020833333333333332</v>
      </c>
      <c r="I4144" s="84">
        <v>44344.0</v>
      </c>
      <c r="J4144" s="65" t="b">
        <v>1</v>
      </c>
      <c r="K4144" s="65"/>
      <c r="L4144" s="85" t="b">
        <f>IF(VLOOKUP(C4144,Projetos!A:L,12,false)=TRUE,TRUE,FALSE)</f>
        <v>1</v>
      </c>
      <c r="M4144" s="74">
        <v>52.1518759018759</v>
      </c>
      <c r="N4144" s="74">
        <f t="shared" si="1"/>
        <v>26.07593795</v>
      </c>
      <c r="O4144" s="74" t="b">
        <v>1</v>
      </c>
    </row>
    <row r="4145" hidden="1">
      <c r="A4145" s="82"/>
      <c r="B4145" s="65" t="s">
        <v>467</v>
      </c>
      <c r="C4145" s="65" t="s">
        <v>113</v>
      </c>
      <c r="D4145" s="65" t="str">
        <f>vlookup(C4145,'Classificação p pessoal'!F:G,2,false)</f>
        <v>NP</v>
      </c>
      <c r="E4145" s="65" t="s">
        <v>3055</v>
      </c>
      <c r="F4145" s="83">
        <v>0.4166666666666667</v>
      </c>
      <c r="G4145" s="83">
        <v>0.4791666666666667</v>
      </c>
      <c r="H4145" s="83">
        <v>0.0625</v>
      </c>
      <c r="I4145" s="84">
        <v>44344.0</v>
      </c>
      <c r="J4145" s="65" t="b">
        <v>1</v>
      </c>
      <c r="K4145" s="65"/>
      <c r="L4145" s="85" t="b">
        <f>IF(VLOOKUP(C4145,Projetos!A:L,12,false)=TRUE,TRUE,FALSE)</f>
        <v>1</v>
      </c>
      <c r="M4145" s="74">
        <v>52.1518759018759</v>
      </c>
      <c r="N4145" s="74">
        <f t="shared" si="1"/>
        <v>78.22781385</v>
      </c>
      <c r="O4145" s="74" t="b">
        <v>1</v>
      </c>
    </row>
    <row r="4146" hidden="1">
      <c r="A4146" s="82"/>
      <c r="B4146" s="65" t="s">
        <v>467</v>
      </c>
      <c r="C4146" s="65" t="s">
        <v>92</v>
      </c>
      <c r="D4146" s="65" t="str">
        <f>vlookup(C4146,'Classificação p pessoal'!F:G,2,false)</f>
        <v/>
      </c>
      <c r="E4146" s="65" t="s">
        <v>3056</v>
      </c>
      <c r="F4146" s="83">
        <v>0.5416666666666666</v>
      </c>
      <c r="G4146" s="83">
        <v>0.625</v>
      </c>
      <c r="H4146" s="83">
        <v>0.08333333333333333</v>
      </c>
      <c r="I4146" s="84">
        <v>44344.0</v>
      </c>
      <c r="J4146" s="65" t="b">
        <v>1</v>
      </c>
      <c r="K4146" s="65"/>
      <c r="L4146" s="85" t="b">
        <f>IF(VLOOKUP(C4146,Projetos!A:L,12,false)=TRUE,TRUE,FALSE)</f>
        <v>1</v>
      </c>
      <c r="M4146" s="74">
        <v>52.1518759018759</v>
      </c>
      <c r="N4146" s="74">
        <f t="shared" si="1"/>
        <v>104.3037518</v>
      </c>
      <c r="O4146" s="74" t="b">
        <v>1</v>
      </c>
    </row>
    <row r="4147" hidden="1">
      <c r="A4147" s="82"/>
      <c r="B4147" s="65" t="s">
        <v>467</v>
      </c>
      <c r="C4147" s="65" t="s">
        <v>92</v>
      </c>
      <c r="D4147" s="65" t="str">
        <f>vlookup(C4147,'Classificação p pessoal'!F:G,2,false)</f>
        <v/>
      </c>
      <c r="E4147" s="65" t="s">
        <v>3057</v>
      </c>
      <c r="F4147" s="83">
        <v>0.3541666666666667</v>
      </c>
      <c r="G4147" s="83">
        <v>0.3958333333333333</v>
      </c>
      <c r="H4147" s="83">
        <v>0.041666666666666664</v>
      </c>
      <c r="I4147" s="84">
        <v>44347.0</v>
      </c>
      <c r="J4147" s="65" t="b">
        <v>1</v>
      </c>
      <c r="K4147" s="65"/>
      <c r="L4147" s="85" t="b">
        <f>IF(VLOOKUP(C4147,Projetos!A:L,12,false)=TRUE,TRUE,FALSE)</f>
        <v>1</v>
      </c>
      <c r="M4147" s="74">
        <v>52.1518759018759</v>
      </c>
      <c r="N4147" s="74">
        <f t="shared" si="1"/>
        <v>52.1518759</v>
      </c>
      <c r="O4147" s="74" t="b">
        <v>1</v>
      </c>
    </row>
    <row r="4148" hidden="1">
      <c r="A4148" s="82"/>
      <c r="B4148" s="65" t="s">
        <v>467</v>
      </c>
      <c r="C4148" s="65" t="s">
        <v>92</v>
      </c>
      <c r="D4148" s="65" t="str">
        <f>vlookup(C4148,'Classificação p pessoal'!F:G,2,false)</f>
        <v/>
      </c>
      <c r="E4148" s="65" t="s">
        <v>3058</v>
      </c>
      <c r="F4148" s="83">
        <v>0.3958333333333333</v>
      </c>
      <c r="G4148" s="83">
        <v>0.4375</v>
      </c>
      <c r="H4148" s="83">
        <v>0.041666666666666664</v>
      </c>
      <c r="I4148" s="84">
        <v>44347.0</v>
      </c>
      <c r="J4148" s="65" t="b">
        <v>1</v>
      </c>
      <c r="K4148" s="65"/>
      <c r="L4148" s="85" t="b">
        <f>IF(VLOOKUP(C4148,Projetos!A:L,12,false)=TRUE,TRUE,FALSE)</f>
        <v>1</v>
      </c>
      <c r="M4148" s="74">
        <v>52.1518759018759</v>
      </c>
      <c r="N4148" s="74">
        <f t="shared" si="1"/>
        <v>52.1518759</v>
      </c>
      <c r="O4148" s="74" t="b">
        <v>1</v>
      </c>
    </row>
    <row r="4149" hidden="1">
      <c r="A4149" s="82"/>
      <c r="B4149" s="65" t="s">
        <v>467</v>
      </c>
      <c r="C4149" s="65" t="s">
        <v>113</v>
      </c>
      <c r="D4149" s="65" t="str">
        <f>vlookup(C4149,'Classificação p pessoal'!F:G,2,false)</f>
        <v>NP</v>
      </c>
      <c r="E4149" s="65" t="s">
        <v>3059</v>
      </c>
      <c r="F4149" s="83">
        <v>0.4791666666666667</v>
      </c>
      <c r="G4149" s="83">
        <v>0.5</v>
      </c>
      <c r="H4149" s="83">
        <v>0.020833333333333332</v>
      </c>
      <c r="I4149" s="84">
        <v>44347.0</v>
      </c>
      <c r="J4149" s="65" t="b">
        <v>1</v>
      </c>
      <c r="K4149" s="65"/>
      <c r="L4149" s="85" t="b">
        <f>IF(VLOOKUP(C4149,Projetos!A:L,12,false)=TRUE,TRUE,FALSE)</f>
        <v>1</v>
      </c>
      <c r="M4149" s="74">
        <v>52.1518759018759</v>
      </c>
      <c r="N4149" s="74">
        <f t="shared" si="1"/>
        <v>26.07593795</v>
      </c>
      <c r="O4149" s="74" t="b">
        <v>1</v>
      </c>
    </row>
    <row r="4150" hidden="1">
      <c r="A4150" s="82"/>
      <c r="B4150" s="65" t="s">
        <v>467</v>
      </c>
      <c r="C4150" s="65" t="s">
        <v>130</v>
      </c>
      <c r="D4150" s="65" t="str">
        <f>vlookup(C4150,'Classificação p pessoal'!F:G,2,false)</f>
        <v>NP</v>
      </c>
      <c r="E4150" s="65" t="s">
        <v>3060</v>
      </c>
      <c r="F4150" s="83">
        <v>0.5416666666666666</v>
      </c>
      <c r="G4150" s="83">
        <v>0.5833333333333334</v>
      </c>
      <c r="H4150" s="83">
        <v>0.041666666666666664</v>
      </c>
      <c r="I4150" s="84">
        <v>44347.0</v>
      </c>
      <c r="J4150" s="65" t="b">
        <v>1</v>
      </c>
      <c r="K4150" s="65"/>
      <c r="L4150" s="85" t="b">
        <f>IF(VLOOKUP(C4150,Projetos!A:L,12,false)=TRUE,TRUE,FALSE)</f>
        <v>1</v>
      </c>
      <c r="M4150" s="74">
        <v>52.1518759018759</v>
      </c>
      <c r="N4150" s="74">
        <f t="shared" si="1"/>
        <v>52.1518759</v>
      </c>
      <c r="O4150" s="74" t="b">
        <v>1</v>
      </c>
    </row>
    <row r="4151" hidden="1">
      <c r="A4151" s="82"/>
      <c r="B4151" s="65" t="s">
        <v>467</v>
      </c>
      <c r="C4151" s="65" t="s">
        <v>92</v>
      </c>
      <c r="D4151" s="65"/>
      <c r="E4151" s="65" t="s">
        <v>3061</v>
      </c>
      <c r="F4151" s="83">
        <v>0.4166666666666667</v>
      </c>
      <c r="G4151" s="83">
        <v>0.4270833333333333</v>
      </c>
      <c r="H4151" s="83">
        <v>0.010416666666666666</v>
      </c>
      <c r="I4151" s="84">
        <v>44348.0</v>
      </c>
      <c r="J4151" s="65" t="b">
        <v>0</v>
      </c>
      <c r="K4151" s="65" t="s">
        <v>150</v>
      </c>
      <c r="L4151" s="85" t="b">
        <f>IF(VLOOKUP(C4151,Projetos!A:L,12,false)=TRUE,TRUE,FALSE)</f>
        <v>1</v>
      </c>
      <c r="M4151" s="74">
        <v>52.1518759018759</v>
      </c>
      <c r="N4151" s="74">
        <f t="shared" si="1"/>
        <v>0</v>
      </c>
      <c r="O4151" s="74" t="b">
        <v>1</v>
      </c>
    </row>
    <row r="4152" hidden="1">
      <c r="A4152" s="82"/>
      <c r="B4152" s="65" t="s">
        <v>467</v>
      </c>
      <c r="C4152" s="65" t="s">
        <v>92</v>
      </c>
      <c r="D4152" s="65" t="str">
        <f>vlookup(C4152,'Classificação p pessoal'!F:G,2,false)</f>
        <v/>
      </c>
      <c r="E4152" s="65" t="s">
        <v>3062</v>
      </c>
      <c r="F4152" s="83">
        <v>0.5833333333333334</v>
      </c>
      <c r="G4152" s="83">
        <v>0.6458333333333334</v>
      </c>
      <c r="H4152" s="83">
        <v>0.0625</v>
      </c>
      <c r="I4152" s="84">
        <v>44348.0</v>
      </c>
      <c r="J4152" s="65" t="b">
        <v>1</v>
      </c>
      <c r="K4152" s="65"/>
      <c r="L4152" s="85" t="b">
        <f>IF(VLOOKUP(C4152,Projetos!A:L,12,false)=TRUE,TRUE,FALSE)</f>
        <v>1</v>
      </c>
      <c r="M4152" s="74">
        <v>52.1518759018759</v>
      </c>
      <c r="N4152" s="74">
        <f t="shared" si="1"/>
        <v>78.22781385</v>
      </c>
      <c r="O4152" s="74" t="b">
        <v>1</v>
      </c>
    </row>
    <row r="4153" hidden="1">
      <c r="A4153" s="82"/>
      <c r="B4153" s="65" t="s">
        <v>467</v>
      </c>
      <c r="C4153" s="65" t="s">
        <v>92</v>
      </c>
      <c r="D4153" s="65" t="str">
        <f>vlookup(C4153,'Classificação p pessoal'!F:G,2,false)</f>
        <v/>
      </c>
      <c r="E4153" s="65" t="s">
        <v>3063</v>
      </c>
      <c r="F4153" s="83">
        <v>0.6666666666666666</v>
      </c>
      <c r="G4153" s="83">
        <v>0.75</v>
      </c>
      <c r="H4153" s="83">
        <v>0.08333333333333333</v>
      </c>
      <c r="I4153" s="84">
        <v>44348.0</v>
      </c>
      <c r="J4153" s="65" t="b">
        <v>1</v>
      </c>
      <c r="K4153" s="65"/>
      <c r="L4153" s="85" t="b">
        <f>IF(VLOOKUP(C4153,Projetos!A:L,12,false)=TRUE,TRUE,FALSE)</f>
        <v>1</v>
      </c>
      <c r="M4153" s="74">
        <v>52.1518759018759</v>
      </c>
      <c r="N4153" s="74">
        <f t="shared" si="1"/>
        <v>104.3037518</v>
      </c>
      <c r="O4153" s="74" t="b">
        <v>1</v>
      </c>
    </row>
    <row r="4154" hidden="1">
      <c r="A4154" s="82"/>
      <c r="B4154" s="65" t="s">
        <v>467</v>
      </c>
      <c r="C4154" s="65" t="s">
        <v>92</v>
      </c>
      <c r="D4154" s="65" t="str">
        <f>vlookup(C4154,'Classificação p pessoal'!F:G,2,false)</f>
        <v/>
      </c>
      <c r="E4154" s="65" t="s">
        <v>3064</v>
      </c>
      <c r="F4154" s="83">
        <v>0.375</v>
      </c>
      <c r="G4154" s="83">
        <v>0.4166666666666667</v>
      </c>
      <c r="H4154" s="83">
        <v>0.041666666666666664</v>
      </c>
      <c r="I4154" s="84">
        <v>44350.0</v>
      </c>
      <c r="J4154" s="65" t="b">
        <v>1</v>
      </c>
      <c r="K4154" s="65"/>
      <c r="L4154" s="85" t="b">
        <f>IF(VLOOKUP(C4154,Projetos!A:L,12,false)=TRUE,TRUE,FALSE)</f>
        <v>1</v>
      </c>
      <c r="M4154" s="74">
        <v>52.1518759018759</v>
      </c>
      <c r="N4154" s="74">
        <f t="shared" si="1"/>
        <v>52.1518759</v>
      </c>
      <c r="O4154" s="74" t="b">
        <v>1</v>
      </c>
    </row>
    <row r="4155" hidden="1">
      <c r="A4155" s="82"/>
      <c r="B4155" s="65" t="s">
        <v>467</v>
      </c>
      <c r="C4155" s="65" t="s">
        <v>113</v>
      </c>
      <c r="D4155" s="65" t="str">
        <f>vlookup(C4155,'Classificação p pessoal'!F:G,2,false)</f>
        <v>NP</v>
      </c>
      <c r="E4155" s="65" t="s">
        <v>3065</v>
      </c>
      <c r="F4155" s="83">
        <v>0.4166666666666667</v>
      </c>
      <c r="G4155" s="83">
        <v>0.5</v>
      </c>
      <c r="H4155" s="83">
        <v>0.08333333333333333</v>
      </c>
      <c r="I4155" s="84">
        <v>44350.0</v>
      </c>
      <c r="J4155" s="65" t="b">
        <v>1</v>
      </c>
      <c r="K4155" s="65"/>
      <c r="L4155" s="85" t="b">
        <f>IF(VLOOKUP(C4155,Projetos!A:L,12,false)=TRUE,TRUE,FALSE)</f>
        <v>1</v>
      </c>
      <c r="M4155" s="74">
        <v>52.1518759018759</v>
      </c>
      <c r="N4155" s="74">
        <f t="shared" si="1"/>
        <v>104.3037518</v>
      </c>
      <c r="O4155" s="74" t="b">
        <v>1</v>
      </c>
    </row>
    <row r="4156" hidden="1">
      <c r="A4156" s="82"/>
      <c r="B4156" s="65" t="s">
        <v>467</v>
      </c>
      <c r="C4156" s="65" t="s">
        <v>92</v>
      </c>
      <c r="D4156" s="65" t="str">
        <f>vlookup(C4156,'Classificação p pessoal'!F:G,2,false)</f>
        <v/>
      </c>
      <c r="E4156" s="65" t="s">
        <v>3066</v>
      </c>
      <c r="F4156" s="83">
        <v>0.5833333333333334</v>
      </c>
      <c r="G4156" s="83">
        <v>0.625</v>
      </c>
      <c r="H4156" s="83">
        <v>0.041666666666666664</v>
      </c>
      <c r="I4156" s="84">
        <v>44350.0</v>
      </c>
      <c r="J4156" s="65" t="b">
        <v>1</v>
      </c>
      <c r="K4156" s="65"/>
      <c r="L4156" s="85" t="b">
        <f>IF(VLOOKUP(C4156,Projetos!A:L,12,false)=TRUE,TRUE,FALSE)</f>
        <v>1</v>
      </c>
      <c r="M4156" s="74">
        <v>52.1518759018759</v>
      </c>
      <c r="N4156" s="74">
        <f t="shared" si="1"/>
        <v>52.1518759</v>
      </c>
      <c r="O4156" s="74" t="b">
        <v>1</v>
      </c>
    </row>
    <row r="4157" hidden="1">
      <c r="A4157" s="82"/>
      <c r="B4157" s="65" t="s">
        <v>467</v>
      </c>
      <c r="C4157" s="65" t="s">
        <v>92</v>
      </c>
      <c r="D4157" s="65" t="str">
        <f>vlookup(C4157,'Classificação p pessoal'!F:G,2,false)</f>
        <v/>
      </c>
      <c r="E4157" s="65" t="s">
        <v>3067</v>
      </c>
      <c r="F4157" s="83">
        <v>0.3472222222222222</v>
      </c>
      <c r="G4157" s="83">
        <v>0.4375</v>
      </c>
      <c r="H4157" s="83">
        <v>0.09027777777777778</v>
      </c>
      <c r="I4157" s="84">
        <v>44354.0</v>
      </c>
      <c r="J4157" s="65" t="b">
        <v>1</v>
      </c>
      <c r="K4157" s="65"/>
      <c r="L4157" s="85" t="b">
        <f>IF(VLOOKUP(C4157,Projetos!A:L,12,false)=TRUE,TRUE,FALSE)</f>
        <v>1</v>
      </c>
      <c r="M4157" s="74">
        <v>52.1518759018759</v>
      </c>
      <c r="N4157" s="74">
        <f t="shared" si="1"/>
        <v>112.9957311</v>
      </c>
      <c r="O4157" s="74" t="b">
        <v>1</v>
      </c>
    </row>
    <row r="4158" hidden="1">
      <c r="A4158" s="82"/>
      <c r="B4158" s="65" t="s">
        <v>467</v>
      </c>
      <c r="C4158" s="65" t="s">
        <v>130</v>
      </c>
      <c r="D4158" s="65" t="str">
        <f>vlookup(C4158,'Classificação p pessoal'!F:G,2,false)</f>
        <v>NP</v>
      </c>
      <c r="E4158" s="65" t="s">
        <v>3068</v>
      </c>
      <c r="F4158" s="83">
        <v>0.4409722222222222</v>
      </c>
      <c r="G4158" s="83">
        <v>0.4583333333333333</v>
      </c>
      <c r="H4158" s="83">
        <v>0.017361111111111112</v>
      </c>
      <c r="I4158" s="84">
        <v>44354.0</v>
      </c>
      <c r="J4158" s="65" t="b">
        <v>1</v>
      </c>
      <c r="K4158" s="65"/>
      <c r="L4158" s="85" t="b">
        <f>IF(VLOOKUP(C4158,Projetos!A:L,12,false)=TRUE,TRUE,FALSE)</f>
        <v>1</v>
      </c>
      <c r="M4158" s="74">
        <v>52.1518759018759</v>
      </c>
      <c r="N4158" s="74">
        <f t="shared" si="1"/>
        <v>21.72994829</v>
      </c>
      <c r="O4158" s="74" t="b">
        <v>1</v>
      </c>
    </row>
    <row r="4159" hidden="1">
      <c r="A4159" s="82"/>
      <c r="B4159" s="65" t="s">
        <v>467</v>
      </c>
      <c r="C4159" s="65" t="s">
        <v>92</v>
      </c>
      <c r="D4159" s="65" t="str">
        <f>vlookup(C4159,'Classificação p pessoal'!F:G,2,false)</f>
        <v/>
      </c>
      <c r="E4159" s="65" t="s">
        <v>3069</v>
      </c>
      <c r="F4159" s="83">
        <v>0.5833333333333334</v>
      </c>
      <c r="G4159" s="83">
        <v>0.6666666666666666</v>
      </c>
      <c r="H4159" s="83">
        <v>0.08333333333333333</v>
      </c>
      <c r="I4159" s="84">
        <v>44354.0</v>
      </c>
      <c r="J4159" s="65" t="b">
        <v>1</v>
      </c>
      <c r="K4159" s="65"/>
      <c r="L4159" s="85" t="b">
        <f>IF(VLOOKUP(C4159,Projetos!A:L,12,false)=TRUE,TRUE,FALSE)</f>
        <v>1</v>
      </c>
      <c r="M4159" s="74">
        <v>52.1518759018759</v>
      </c>
      <c r="N4159" s="74">
        <f t="shared" si="1"/>
        <v>104.3037518</v>
      </c>
      <c r="O4159" s="74" t="b">
        <v>1</v>
      </c>
    </row>
    <row r="4160" hidden="1">
      <c r="A4160" s="82"/>
      <c r="B4160" s="65" t="s">
        <v>467</v>
      </c>
      <c r="C4160" s="65" t="s">
        <v>92</v>
      </c>
      <c r="D4160" s="65" t="str">
        <f>vlookup(C4160,'Classificação p pessoal'!F:G,2,false)</f>
        <v/>
      </c>
      <c r="E4160" s="65" t="s">
        <v>3070</v>
      </c>
      <c r="F4160" s="83">
        <v>0.6666666666666666</v>
      </c>
      <c r="G4160" s="83">
        <v>0.7083333333333334</v>
      </c>
      <c r="H4160" s="83">
        <v>0.041666666666666664</v>
      </c>
      <c r="I4160" s="84">
        <v>44354.0</v>
      </c>
      <c r="J4160" s="65" t="b">
        <v>1</v>
      </c>
      <c r="K4160" s="65"/>
      <c r="L4160" s="85" t="b">
        <f>IF(VLOOKUP(C4160,Projetos!A:L,12,false)=TRUE,TRUE,FALSE)</f>
        <v>1</v>
      </c>
      <c r="M4160" s="74">
        <v>52.1518759018759</v>
      </c>
      <c r="N4160" s="74">
        <f t="shared" si="1"/>
        <v>52.1518759</v>
      </c>
      <c r="O4160" s="74" t="b">
        <v>1</v>
      </c>
    </row>
    <row r="4161" hidden="1">
      <c r="A4161" s="82"/>
      <c r="B4161" s="65" t="s">
        <v>467</v>
      </c>
      <c r="C4161" s="65" t="s">
        <v>92</v>
      </c>
      <c r="D4161" s="65" t="str">
        <f>vlookup(C4161,'Classificação p pessoal'!F:G,2,false)</f>
        <v/>
      </c>
      <c r="E4161" s="65" t="s">
        <v>3071</v>
      </c>
      <c r="F4161" s="83">
        <v>0.3541666666666667</v>
      </c>
      <c r="G4161" s="83">
        <v>0.4166666666666667</v>
      </c>
      <c r="H4161" s="83">
        <v>0.0625</v>
      </c>
      <c r="I4161" s="84">
        <v>44355.0</v>
      </c>
      <c r="J4161" s="65" t="b">
        <v>1</v>
      </c>
      <c r="K4161" s="65"/>
      <c r="L4161" s="85" t="b">
        <f>IF(VLOOKUP(C4161,Projetos!A:L,12,false)=TRUE,TRUE,FALSE)</f>
        <v>1</v>
      </c>
      <c r="M4161" s="74">
        <v>52.1518759018759</v>
      </c>
      <c r="N4161" s="74">
        <f t="shared" si="1"/>
        <v>78.22781385</v>
      </c>
      <c r="O4161" s="74" t="b">
        <v>1</v>
      </c>
    </row>
    <row r="4162" hidden="1">
      <c r="A4162" s="82"/>
      <c r="B4162" s="65" t="s">
        <v>467</v>
      </c>
      <c r="C4162" s="65" t="s">
        <v>130</v>
      </c>
      <c r="D4162" s="65" t="str">
        <f>vlookup(C4162,'Classificação p pessoal'!F:G,2,false)</f>
        <v>NP</v>
      </c>
      <c r="E4162" s="65" t="s">
        <v>3072</v>
      </c>
      <c r="F4162" s="83">
        <v>0.4166666666666667</v>
      </c>
      <c r="G4162" s="83">
        <v>0.4583333333333333</v>
      </c>
      <c r="H4162" s="83">
        <v>0.041666666666666664</v>
      </c>
      <c r="I4162" s="84">
        <v>44355.0</v>
      </c>
      <c r="J4162" s="65" t="b">
        <v>1</v>
      </c>
      <c r="K4162" s="65"/>
      <c r="L4162" s="85" t="b">
        <f>IF(VLOOKUP(C4162,Projetos!A:L,12,false)=TRUE,TRUE,FALSE)</f>
        <v>1</v>
      </c>
      <c r="M4162" s="74">
        <v>52.1518759018759</v>
      </c>
      <c r="N4162" s="74">
        <f t="shared" si="1"/>
        <v>52.1518759</v>
      </c>
      <c r="O4162" s="74" t="b">
        <v>1</v>
      </c>
    </row>
    <row r="4163" hidden="1">
      <c r="A4163" s="82"/>
      <c r="B4163" s="65" t="s">
        <v>467</v>
      </c>
      <c r="C4163" s="65" t="s">
        <v>113</v>
      </c>
      <c r="D4163" s="65" t="str">
        <f>vlookup(C4163,'Classificação p pessoal'!F:G,2,false)</f>
        <v>NP</v>
      </c>
      <c r="E4163" s="65" t="s">
        <v>3073</v>
      </c>
      <c r="F4163" s="83">
        <v>0.4583333333333333</v>
      </c>
      <c r="G4163" s="83">
        <v>0.5</v>
      </c>
      <c r="H4163" s="83">
        <v>0.041666666666666664</v>
      </c>
      <c r="I4163" s="84">
        <v>44355.0</v>
      </c>
      <c r="J4163" s="65" t="b">
        <v>1</v>
      </c>
      <c r="K4163" s="65"/>
      <c r="L4163" s="85" t="b">
        <f>IF(VLOOKUP(C4163,Projetos!A:L,12,false)=TRUE,TRUE,FALSE)</f>
        <v>1</v>
      </c>
      <c r="M4163" s="74">
        <v>52.1518759018759</v>
      </c>
      <c r="N4163" s="74">
        <f t="shared" si="1"/>
        <v>52.1518759</v>
      </c>
      <c r="O4163" s="74" t="b">
        <v>1</v>
      </c>
    </row>
    <row r="4164" hidden="1">
      <c r="A4164" s="82"/>
      <c r="B4164" s="65" t="s">
        <v>467</v>
      </c>
      <c r="C4164" s="65" t="s">
        <v>92</v>
      </c>
      <c r="D4164" s="65" t="str">
        <f>vlookup(C4164,'Classificação p pessoal'!F:G,2,false)</f>
        <v/>
      </c>
      <c r="E4164" s="65" t="s">
        <v>3071</v>
      </c>
      <c r="F4164" s="83">
        <v>0.5833333333333334</v>
      </c>
      <c r="G4164" s="83">
        <v>0.7083333333333334</v>
      </c>
      <c r="H4164" s="83">
        <v>0.125</v>
      </c>
      <c r="I4164" s="84">
        <v>44355.0</v>
      </c>
      <c r="J4164" s="65" t="b">
        <v>1</v>
      </c>
      <c r="K4164" s="65"/>
      <c r="L4164" s="85" t="b">
        <f>IF(VLOOKUP(C4164,Projetos!A:L,12,false)=TRUE,TRUE,FALSE)</f>
        <v>1</v>
      </c>
      <c r="M4164" s="74">
        <v>52.1518759018759</v>
      </c>
      <c r="N4164" s="74">
        <f t="shared" si="1"/>
        <v>156.4556277</v>
      </c>
      <c r="O4164" s="74" t="b">
        <v>1</v>
      </c>
    </row>
    <row r="4165" hidden="1">
      <c r="A4165" s="82"/>
      <c r="B4165" s="65" t="s">
        <v>467</v>
      </c>
      <c r="C4165" s="65" t="s">
        <v>120</v>
      </c>
      <c r="D4165" s="65"/>
      <c r="E4165" s="65" t="s">
        <v>3074</v>
      </c>
      <c r="F4165" s="83">
        <v>0.7083333333333334</v>
      </c>
      <c r="G4165" s="83">
        <v>0.71875</v>
      </c>
      <c r="H4165" s="83">
        <v>0.010416666666666666</v>
      </c>
      <c r="I4165" s="84">
        <v>44355.0</v>
      </c>
      <c r="J4165" s="65" t="b">
        <v>0</v>
      </c>
      <c r="K4165" s="65" t="s">
        <v>150</v>
      </c>
      <c r="L4165" s="85" t="b">
        <f>IF(VLOOKUP(C4165,Projetos!A:L,12,false)=TRUE,TRUE,FALSE)</f>
        <v>0</v>
      </c>
      <c r="M4165" s="74">
        <v>52.1518759018759</v>
      </c>
      <c r="N4165" s="74">
        <f t="shared" si="1"/>
        <v>0</v>
      </c>
      <c r="O4165" s="74" t="b">
        <v>0</v>
      </c>
    </row>
    <row r="4166" hidden="1">
      <c r="A4166" s="82"/>
      <c r="B4166" s="65" t="s">
        <v>467</v>
      </c>
      <c r="C4166" s="65" t="s">
        <v>88</v>
      </c>
      <c r="D4166" s="65" t="str">
        <f>vlookup(C4166,'Classificação p pessoal'!F:G,2,false)</f>
        <v>MProduto</v>
      </c>
      <c r="E4166" s="65" t="s">
        <v>3075</v>
      </c>
      <c r="F4166" s="83">
        <v>0.3472222222222222</v>
      </c>
      <c r="G4166" s="83">
        <v>0.375</v>
      </c>
      <c r="H4166" s="83">
        <v>0.027777777777777776</v>
      </c>
      <c r="I4166" s="84">
        <v>44356.0</v>
      </c>
      <c r="J4166" s="65" t="b">
        <v>1</v>
      </c>
      <c r="K4166" s="65"/>
      <c r="L4166" s="85" t="b">
        <f>IF(VLOOKUP(C4166,Projetos!A:L,12,false)=TRUE,TRUE,FALSE)</f>
        <v>1</v>
      </c>
      <c r="M4166" s="74">
        <v>52.1518759018759</v>
      </c>
      <c r="N4166" s="74">
        <f t="shared" si="1"/>
        <v>34.76791727</v>
      </c>
      <c r="O4166" s="74" t="b">
        <v>1</v>
      </c>
    </row>
    <row r="4167" hidden="1">
      <c r="A4167" s="82"/>
      <c r="B4167" s="65" t="s">
        <v>467</v>
      </c>
      <c r="C4167" s="65" t="s">
        <v>120</v>
      </c>
      <c r="D4167" s="65"/>
      <c r="E4167" s="65" t="s">
        <v>3076</v>
      </c>
      <c r="F4167" s="83">
        <v>0.4166666666666667</v>
      </c>
      <c r="G4167" s="83">
        <v>0.4583333333333333</v>
      </c>
      <c r="H4167" s="83">
        <v>0.041666666666666664</v>
      </c>
      <c r="I4167" s="84">
        <v>44356.0</v>
      </c>
      <c r="J4167" s="65" t="b">
        <v>0</v>
      </c>
      <c r="K4167" s="65" t="s">
        <v>150</v>
      </c>
      <c r="L4167" s="85" t="b">
        <f>IF(VLOOKUP(C4167,Projetos!A:L,12,false)=TRUE,TRUE,FALSE)</f>
        <v>0</v>
      </c>
      <c r="M4167" s="74">
        <v>52.1518759018759</v>
      </c>
      <c r="N4167" s="74">
        <f t="shared" si="1"/>
        <v>0</v>
      </c>
      <c r="O4167" s="74" t="b">
        <v>0</v>
      </c>
    </row>
    <row r="4168" hidden="1">
      <c r="A4168" s="82"/>
      <c r="B4168" s="65" t="s">
        <v>467</v>
      </c>
      <c r="C4168" s="65" t="s">
        <v>120</v>
      </c>
      <c r="D4168" s="65"/>
      <c r="E4168" s="65" t="s">
        <v>3077</v>
      </c>
      <c r="F4168" s="83">
        <v>0.5833333333333334</v>
      </c>
      <c r="G4168" s="83">
        <v>0.625</v>
      </c>
      <c r="H4168" s="83">
        <v>0.041666666666666664</v>
      </c>
      <c r="I4168" s="84">
        <v>44356.0</v>
      </c>
      <c r="J4168" s="65" t="b">
        <v>0</v>
      </c>
      <c r="K4168" s="65"/>
      <c r="L4168" s="85" t="b">
        <f>IF(VLOOKUP(C4168,Projetos!A:L,12,false)=TRUE,TRUE,FALSE)</f>
        <v>0</v>
      </c>
      <c r="M4168" s="74">
        <v>52.1518759018759</v>
      </c>
      <c r="N4168" s="74">
        <f t="shared" si="1"/>
        <v>0</v>
      </c>
      <c r="O4168" s="74" t="b">
        <v>0</v>
      </c>
    </row>
    <row r="4169" hidden="1">
      <c r="A4169" s="82"/>
      <c r="B4169" s="65" t="s">
        <v>467</v>
      </c>
      <c r="C4169" s="65" t="s">
        <v>130</v>
      </c>
      <c r="D4169" s="65" t="str">
        <f>vlookup(C4169,'Classificação p pessoal'!F:G,2,false)</f>
        <v>NP</v>
      </c>
      <c r="E4169" s="65" t="s">
        <v>3078</v>
      </c>
      <c r="F4169" s="83">
        <v>0.3125</v>
      </c>
      <c r="G4169" s="83">
        <v>0.75</v>
      </c>
      <c r="H4169" s="83">
        <v>0.4375</v>
      </c>
      <c r="I4169" s="84">
        <v>44357.0</v>
      </c>
      <c r="J4169" s="65" t="b">
        <v>1</v>
      </c>
      <c r="K4169" s="65"/>
      <c r="L4169" s="85" t="b">
        <f>IF(VLOOKUP(C4169,Projetos!A:L,12,false)=TRUE,TRUE,FALSE)</f>
        <v>1</v>
      </c>
      <c r="M4169" s="74">
        <v>52.1518759018759</v>
      </c>
      <c r="N4169" s="74">
        <f t="shared" si="1"/>
        <v>547.594697</v>
      </c>
      <c r="O4169" s="74" t="b">
        <v>1</v>
      </c>
    </row>
    <row r="4170" hidden="1">
      <c r="A4170" s="82"/>
      <c r="B4170" s="65" t="s">
        <v>467</v>
      </c>
      <c r="C4170" s="65" t="s">
        <v>92</v>
      </c>
      <c r="D4170" s="65" t="str">
        <f>vlookup(C4170,'Classificação p pessoal'!F:G,2,false)</f>
        <v/>
      </c>
      <c r="E4170" s="65" t="s">
        <v>3079</v>
      </c>
      <c r="F4170" s="83">
        <v>0.3541666666666667</v>
      </c>
      <c r="G4170" s="83">
        <v>0.4166666666666667</v>
      </c>
      <c r="H4170" s="83">
        <v>0.0625</v>
      </c>
      <c r="I4170" s="84">
        <v>44358.0</v>
      </c>
      <c r="J4170" s="65" t="b">
        <v>1</v>
      </c>
      <c r="K4170" s="65"/>
      <c r="L4170" s="85" t="b">
        <f>IF(VLOOKUP(C4170,Projetos!A:L,12,false)=TRUE,TRUE,FALSE)</f>
        <v>1</v>
      </c>
      <c r="M4170" s="74">
        <v>52.1518759018759</v>
      </c>
      <c r="N4170" s="74">
        <f t="shared" si="1"/>
        <v>78.22781385</v>
      </c>
      <c r="O4170" s="74" t="b">
        <v>1</v>
      </c>
    </row>
    <row r="4171" hidden="1">
      <c r="A4171" s="82"/>
      <c r="B4171" s="65" t="s">
        <v>467</v>
      </c>
      <c r="C4171" s="65" t="s">
        <v>130</v>
      </c>
      <c r="D4171" s="65" t="str">
        <f>vlookup(C4171,'Classificação p pessoal'!F:G,2,false)</f>
        <v>NP</v>
      </c>
      <c r="E4171" s="65" t="s">
        <v>3080</v>
      </c>
      <c r="F4171" s="83">
        <v>0.4166666666666667</v>
      </c>
      <c r="G4171" s="83">
        <v>0.5416666666666666</v>
      </c>
      <c r="H4171" s="83">
        <v>0.125</v>
      </c>
      <c r="I4171" s="84">
        <v>44358.0</v>
      </c>
      <c r="J4171" s="65" t="b">
        <v>1</v>
      </c>
      <c r="K4171" s="65"/>
      <c r="L4171" s="85" t="b">
        <f>IF(VLOOKUP(C4171,Projetos!A:L,12,false)=TRUE,TRUE,FALSE)</f>
        <v>1</v>
      </c>
      <c r="M4171" s="74">
        <v>52.1518759018759</v>
      </c>
      <c r="N4171" s="74">
        <f t="shared" si="1"/>
        <v>156.4556277</v>
      </c>
      <c r="O4171" s="74" t="b">
        <v>1</v>
      </c>
    </row>
    <row r="4172" hidden="1">
      <c r="A4172" s="82"/>
      <c r="B4172" s="65" t="s">
        <v>467</v>
      </c>
      <c r="C4172" s="65" t="s">
        <v>92</v>
      </c>
      <c r="D4172" s="65" t="str">
        <f>vlookup(C4172,'Classificação p pessoal'!F:G,2,false)</f>
        <v/>
      </c>
      <c r="E4172" s="65" t="s">
        <v>3081</v>
      </c>
      <c r="F4172" s="83">
        <v>0.5833333333333334</v>
      </c>
      <c r="G4172" s="83">
        <v>0.7083333333333334</v>
      </c>
      <c r="H4172" s="83">
        <v>0.125</v>
      </c>
      <c r="I4172" s="84">
        <v>44358.0</v>
      </c>
      <c r="J4172" s="65" t="b">
        <v>1</v>
      </c>
      <c r="K4172" s="65"/>
      <c r="L4172" s="85" t="b">
        <f>IF(VLOOKUP(C4172,Projetos!A:L,12,false)=TRUE,TRUE,FALSE)</f>
        <v>1</v>
      </c>
      <c r="M4172" s="74">
        <v>52.1518759018759</v>
      </c>
      <c r="N4172" s="74">
        <f t="shared" si="1"/>
        <v>156.4556277</v>
      </c>
      <c r="O4172" s="74" t="b">
        <v>1</v>
      </c>
    </row>
    <row r="4173" hidden="1">
      <c r="A4173" s="82"/>
      <c r="B4173" s="65" t="s">
        <v>467</v>
      </c>
      <c r="C4173" s="65" t="s">
        <v>88</v>
      </c>
      <c r="D4173" s="65"/>
      <c r="E4173" s="65" t="s">
        <v>3082</v>
      </c>
      <c r="F4173" s="83">
        <v>0.3472222222222222</v>
      </c>
      <c r="G4173" s="83">
        <v>0.375</v>
      </c>
      <c r="H4173" s="83">
        <v>0.027777777777777776</v>
      </c>
      <c r="I4173" s="84">
        <v>44362.0</v>
      </c>
      <c r="J4173" s="65" t="b">
        <v>0</v>
      </c>
      <c r="K4173" s="65" t="s">
        <v>150</v>
      </c>
      <c r="L4173" s="85" t="b">
        <f>IF(VLOOKUP(C4173,Projetos!A:L,12,false)=TRUE,TRUE,FALSE)</f>
        <v>1</v>
      </c>
      <c r="M4173" s="74">
        <v>52.1518759018759</v>
      </c>
      <c r="N4173" s="74">
        <f t="shared" si="1"/>
        <v>0</v>
      </c>
      <c r="O4173" s="74" t="b">
        <v>1</v>
      </c>
    </row>
    <row r="4174" hidden="1">
      <c r="A4174" s="82"/>
      <c r="B4174" s="65" t="s">
        <v>467</v>
      </c>
      <c r="C4174" s="65" t="s">
        <v>92</v>
      </c>
      <c r="D4174" s="65" t="str">
        <f>vlookup(C4174,'Classificação p pessoal'!F:G,2,false)</f>
        <v/>
      </c>
      <c r="E4174" s="65" t="s">
        <v>3083</v>
      </c>
      <c r="F4174" s="83">
        <v>0.375</v>
      </c>
      <c r="G4174" s="83">
        <v>0.4166666666666667</v>
      </c>
      <c r="H4174" s="83">
        <v>0.041666666666666664</v>
      </c>
      <c r="I4174" s="84">
        <v>44362.0</v>
      </c>
      <c r="J4174" s="65" t="b">
        <v>1</v>
      </c>
      <c r="K4174" s="65"/>
      <c r="L4174" s="85" t="b">
        <f>IF(VLOOKUP(C4174,Projetos!A:L,12,false)=TRUE,TRUE,FALSE)</f>
        <v>1</v>
      </c>
      <c r="M4174" s="74">
        <v>52.1518759018759</v>
      </c>
      <c r="N4174" s="74">
        <f t="shared" si="1"/>
        <v>52.1518759</v>
      </c>
      <c r="O4174" s="74" t="b">
        <v>1</v>
      </c>
    </row>
    <row r="4175" hidden="1">
      <c r="A4175" s="82"/>
      <c r="B4175" s="65" t="s">
        <v>467</v>
      </c>
      <c r="C4175" s="65" t="s">
        <v>130</v>
      </c>
      <c r="D4175" s="65" t="str">
        <f>vlookup(C4175,'Classificação p pessoal'!F:G,2,false)</f>
        <v>NP</v>
      </c>
      <c r="E4175" s="65" t="s">
        <v>3084</v>
      </c>
      <c r="F4175" s="83">
        <v>0.4166666666666667</v>
      </c>
      <c r="G4175" s="83">
        <v>0.4583333333333333</v>
      </c>
      <c r="H4175" s="83">
        <v>0.041666666666666664</v>
      </c>
      <c r="I4175" s="84">
        <v>44362.0</v>
      </c>
      <c r="J4175" s="65" t="b">
        <v>1</v>
      </c>
      <c r="K4175" s="65"/>
      <c r="L4175" s="85" t="b">
        <f>IF(VLOOKUP(C4175,Projetos!A:L,12,false)=TRUE,TRUE,FALSE)</f>
        <v>1</v>
      </c>
      <c r="M4175" s="74">
        <v>52.1518759018759</v>
      </c>
      <c r="N4175" s="74">
        <f t="shared" si="1"/>
        <v>52.1518759</v>
      </c>
      <c r="O4175" s="74" t="b">
        <v>1</v>
      </c>
    </row>
    <row r="4176" hidden="1">
      <c r="A4176" s="82"/>
      <c r="B4176" s="65" t="s">
        <v>467</v>
      </c>
      <c r="C4176" s="65" t="s">
        <v>88</v>
      </c>
      <c r="D4176" s="65" t="str">
        <f>vlookup(C4176,'Classificação p pessoal'!F:G,2,false)</f>
        <v>MProduto</v>
      </c>
      <c r="E4176" s="65" t="s">
        <v>3085</v>
      </c>
      <c r="F4176" s="83">
        <v>0.5833333333333334</v>
      </c>
      <c r="G4176" s="83">
        <v>0.6666666666666666</v>
      </c>
      <c r="H4176" s="83">
        <v>0.08333333333333333</v>
      </c>
      <c r="I4176" s="84">
        <v>44362.0</v>
      </c>
      <c r="J4176" s="65" t="b">
        <v>1</v>
      </c>
      <c r="K4176" s="65"/>
      <c r="L4176" s="85" t="b">
        <f>IF(VLOOKUP(C4176,Projetos!A:L,12,false)=TRUE,TRUE,FALSE)</f>
        <v>1</v>
      </c>
      <c r="M4176" s="74">
        <v>52.1518759018759</v>
      </c>
      <c r="N4176" s="74">
        <f t="shared" si="1"/>
        <v>104.3037518</v>
      </c>
      <c r="O4176" s="74" t="b">
        <v>1</v>
      </c>
    </row>
    <row r="4177" hidden="1">
      <c r="A4177" s="82"/>
      <c r="B4177" s="65" t="s">
        <v>467</v>
      </c>
      <c r="C4177" s="65" t="s">
        <v>92</v>
      </c>
      <c r="D4177" s="65" t="str">
        <f>vlookup(C4177,'Classificação p pessoal'!F:G,2,false)</f>
        <v/>
      </c>
      <c r="E4177" s="65" t="s">
        <v>3086</v>
      </c>
      <c r="F4177" s="83">
        <v>0.3541666666666667</v>
      </c>
      <c r="G4177" s="83">
        <v>0.4375</v>
      </c>
      <c r="H4177" s="83">
        <v>0.08333333333333333</v>
      </c>
      <c r="I4177" s="84">
        <v>44363.0</v>
      </c>
      <c r="J4177" s="65" t="b">
        <v>1</v>
      </c>
      <c r="K4177" s="65"/>
      <c r="L4177" s="85" t="b">
        <f>IF(VLOOKUP(C4177,Projetos!A:L,12,false)=TRUE,TRUE,FALSE)</f>
        <v>1</v>
      </c>
      <c r="M4177" s="74">
        <v>52.1518759018759</v>
      </c>
      <c r="N4177" s="74">
        <f t="shared" si="1"/>
        <v>104.3037518</v>
      </c>
      <c r="O4177" s="74" t="b">
        <v>1</v>
      </c>
    </row>
    <row r="4178" hidden="1">
      <c r="A4178" s="82"/>
      <c r="B4178" s="65" t="s">
        <v>467</v>
      </c>
      <c r="C4178" s="65" t="s">
        <v>120</v>
      </c>
      <c r="D4178" s="65"/>
      <c r="E4178" s="65" t="s">
        <v>3087</v>
      </c>
      <c r="F4178" s="83">
        <v>0.5833333333333334</v>
      </c>
      <c r="G4178" s="83">
        <v>0.75</v>
      </c>
      <c r="H4178" s="83">
        <v>0.16666666666666666</v>
      </c>
      <c r="I4178" s="84">
        <v>44363.0</v>
      </c>
      <c r="J4178" s="65" t="b">
        <v>0</v>
      </c>
      <c r="K4178" s="65" t="s">
        <v>150</v>
      </c>
      <c r="L4178" s="85" t="b">
        <f>IF(VLOOKUP(C4178,Projetos!A:L,12,false)=TRUE,TRUE,FALSE)</f>
        <v>0</v>
      </c>
      <c r="M4178" s="74">
        <v>52.1518759018759</v>
      </c>
      <c r="N4178" s="74">
        <f t="shared" si="1"/>
        <v>0</v>
      </c>
      <c r="O4178" s="74" t="b">
        <v>0</v>
      </c>
    </row>
    <row r="4179" hidden="1">
      <c r="A4179" s="82"/>
      <c r="B4179" s="65" t="s">
        <v>467</v>
      </c>
      <c r="C4179" s="65" t="s">
        <v>113</v>
      </c>
      <c r="D4179" s="65" t="str">
        <f>vlookup(C4179,'Classificação p pessoal'!F:G,2,false)</f>
        <v>NP</v>
      </c>
      <c r="E4179" s="65" t="s">
        <v>3088</v>
      </c>
      <c r="F4179" s="83">
        <v>0.3472222222222222</v>
      </c>
      <c r="G4179" s="83">
        <v>0.375</v>
      </c>
      <c r="H4179" s="83">
        <v>0.027777777777777776</v>
      </c>
      <c r="I4179" s="84">
        <v>44364.0</v>
      </c>
      <c r="J4179" s="65" t="b">
        <v>1</v>
      </c>
      <c r="K4179" s="65"/>
      <c r="L4179" s="85" t="b">
        <f>IF(VLOOKUP(C4179,Projetos!A:L,12,false)=TRUE,TRUE,FALSE)</f>
        <v>1</v>
      </c>
      <c r="M4179" s="74">
        <v>52.1518759018759</v>
      </c>
      <c r="N4179" s="74">
        <f t="shared" si="1"/>
        <v>34.76791727</v>
      </c>
      <c r="O4179" s="74" t="b">
        <v>1</v>
      </c>
    </row>
    <row r="4180" hidden="1">
      <c r="A4180" s="82"/>
      <c r="B4180" s="65" t="s">
        <v>467</v>
      </c>
      <c r="C4180" s="65" t="s">
        <v>92</v>
      </c>
      <c r="D4180" s="65"/>
      <c r="E4180" s="65" t="s">
        <v>3089</v>
      </c>
      <c r="F4180" s="83">
        <v>0.375</v>
      </c>
      <c r="G4180" s="83">
        <v>0.4166666666666667</v>
      </c>
      <c r="H4180" s="83">
        <v>0.041666666666666664</v>
      </c>
      <c r="I4180" s="84">
        <v>44364.0</v>
      </c>
      <c r="J4180" s="65" t="b">
        <v>0</v>
      </c>
      <c r="K4180" s="65" t="s">
        <v>150</v>
      </c>
      <c r="L4180" s="85" t="b">
        <f>IF(VLOOKUP(C4180,Projetos!A:L,12,false)=TRUE,TRUE,FALSE)</f>
        <v>1</v>
      </c>
      <c r="M4180" s="74">
        <v>52.1518759018759</v>
      </c>
      <c r="N4180" s="74">
        <f t="shared" si="1"/>
        <v>0</v>
      </c>
      <c r="O4180" s="74" t="b">
        <v>1</v>
      </c>
    </row>
    <row r="4181" hidden="1">
      <c r="A4181" s="82"/>
      <c r="B4181" s="65" t="s">
        <v>467</v>
      </c>
      <c r="C4181" s="65" t="s">
        <v>113</v>
      </c>
      <c r="D4181" s="65" t="str">
        <f>vlookup(C4181,'Classificação p pessoal'!F:G,2,false)</f>
        <v>NP</v>
      </c>
      <c r="E4181" s="65" t="s">
        <v>3090</v>
      </c>
      <c r="F4181" s="83">
        <v>0.4166666666666667</v>
      </c>
      <c r="G4181" s="83">
        <v>0.4791666666666667</v>
      </c>
      <c r="H4181" s="83">
        <v>0.0625</v>
      </c>
      <c r="I4181" s="84">
        <v>44364.0</v>
      </c>
      <c r="J4181" s="65" t="b">
        <v>1</v>
      </c>
      <c r="K4181" s="65"/>
      <c r="L4181" s="85" t="b">
        <f>IF(VLOOKUP(C4181,Projetos!A:L,12,false)=TRUE,TRUE,FALSE)</f>
        <v>1</v>
      </c>
      <c r="M4181" s="74">
        <v>52.1518759018759</v>
      </c>
      <c r="N4181" s="74">
        <f t="shared" si="1"/>
        <v>78.22781385</v>
      </c>
      <c r="O4181" s="74" t="b">
        <v>1</v>
      </c>
    </row>
    <row r="4182" hidden="1">
      <c r="A4182" s="82"/>
      <c r="B4182" s="65" t="s">
        <v>467</v>
      </c>
      <c r="C4182" s="65" t="s">
        <v>92</v>
      </c>
      <c r="D4182" s="65" t="str">
        <f>vlookup(C4182,'Classificação p pessoal'!F:G,2,false)</f>
        <v/>
      </c>
      <c r="E4182" s="65" t="s">
        <v>3091</v>
      </c>
      <c r="F4182" s="83">
        <v>0.375</v>
      </c>
      <c r="G4182" s="83">
        <v>0.4791666666666667</v>
      </c>
      <c r="H4182" s="83">
        <v>0.10416666666666667</v>
      </c>
      <c r="I4182" s="84">
        <v>44365.0</v>
      </c>
      <c r="J4182" s="65" t="b">
        <v>1</v>
      </c>
      <c r="K4182" s="65"/>
      <c r="L4182" s="85" t="b">
        <f>IF(VLOOKUP(C4182,Projetos!A:L,12,false)=TRUE,TRUE,FALSE)</f>
        <v>1</v>
      </c>
      <c r="M4182" s="74">
        <v>52.1518759018759</v>
      </c>
      <c r="N4182" s="74">
        <f t="shared" si="1"/>
        <v>130.3796898</v>
      </c>
      <c r="O4182" s="74" t="b">
        <v>1</v>
      </c>
    </row>
    <row r="4183" hidden="1">
      <c r="A4183" s="82"/>
      <c r="B4183" s="65" t="s">
        <v>467</v>
      </c>
      <c r="C4183" s="65" t="s">
        <v>120</v>
      </c>
      <c r="D4183" s="65"/>
      <c r="E4183" s="65" t="s">
        <v>3087</v>
      </c>
      <c r="F4183" s="83">
        <v>0.5833333333333334</v>
      </c>
      <c r="G4183" s="83">
        <v>0.75</v>
      </c>
      <c r="H4183" s="83">
        <v>0.16666666666666666</v>
      </c>
      <c r="I4183" s="84">
        <v>44365.0</v>
      </c>
      <c r="J4183" s="65" t="b">
        <v>0</v>
      </c>
      <c r="K4183" s="65" t="s">
        <v>150</v>
      </c>
      <c r="L4183" s="85" t="b">
        <f>IF(VLOOKUP(C4183,Projetos!A:L,12,false)=TRUE,TRUE,FALSE)</f>
        <v>0</v>
      </c>
      <c r="M4183" s="74">
        <v>52.1518759018759</v>
      </c>
      <c r="N4183" s="74">
        <f t="shared" si="1"/>
        <v>0</v>
      </c>
      <c r="O4183" s="74" t="b">
        <v>0</v>
      </c>
    </row>
    <row r="4184" hidden="1">
      <c r="A4184" s="82"/>
      <c r="B4184" s="65" t="s">
        <v>467</v>
      </c>
      <c r="C4184" s="65" t="s">
        <v>88</v>
      </c>
      <c r="D4184" s="65" t="str">
        <f>vlookup(C4184,'Classificação p pessoal'!F:G,2,false)</f>
        <v>MProduto</v>
      </c>
      <c r="E4184" s="65" t="s">
        <v>3092</v>
      </c>
      <c r="F4184" s="83">
        <v>0.3541666666666667</v>
      </c>
      <c r="G4184" s="83">
        <v>0.375</v>
      </c>
      <c r="H4184" s="83">
        <v>0.020833333333333332</v>
      </c>
      <c r="I4184" s="84">
        <v>44368.0</v>
      </c>
      <c r="J4184" s="65" t="b">
        <v>1</v>
      </c>
      <c r="K4184" s="65"/>
      <c r="L4184" s="85" t="b">
        <f>IF(VLOOKUP(C4184,Projetos!A:L,12,false)=TRUE,TRUE,FALSE)</f>
        <v>1</v>
      </c>
      <c r="M4184" s="74">
        <v>52.1518759018759</v>
      </c>
      <c r="N4184" s="74">
        <f t="shared" si="1"/>
        <v>26.07593795</v>
      </c>
      <c r="O4184" s="74" t="b">
        <v>1</v>
      </c>
    </row>
    <row r="4185" hidden="1">
      <c r="A4185" s="82"/>
      <c r="B4185" s="65" t="s">
        <v>467</v>
      </c>
      <c r="C4185" s="65" t="s">
        <v>113</v>
      </c>
      <c r="D4185" s="65" t="str">
        <f>vlookup(C4185,'Classificação p pessoal'!F:G,2,false)</f>
        <v>NP</v>
      </c>
      <c r="E4185" s="65" t="s">
        <v>3093</v>
      </c>
      <c r="F4185" s="83">
        <v>0.375</v>
      </c>
      <c r="G4185" s="83">
        <v>0.4583333333333333</v>
      </c>
      <c r="H4185" s="83">
        <v>0.08333333333333333</v>
      </c>
      <c r="I4185" s="84">
        <v>44368.0</v>
      </c>
      <c r="J4185" s="65" t="b">
        <v>1</v>
      </c>
      <c r="K4185" s="65"/>
      <c r="L4185" s="85" t="b">
        <f>IF(VLOOKUP(C4185,Projetos!A:L,12,false)=TRUE,TRUE,FALSE)</f>
        <v>1</v>
      </c>
      <c r="M4185" s="74">
        <v>52.1518759018759</v>
      </c>
      <c r="N4185" s="74">
        <f t="shared" si="1"/>
        <v>104.3037518</v>
      </c>
      <c r="O4185" s="74" t="b">
        <v>1</v>
      </c>
    </row>
    <row r="4186" hidden="1">
      <c r="A4186" s="82"/>
      <c r="B4186" s="65" t="s">
        <v>467</v>
      </c>
      <c r="C4186" s="65" t="s">
        <v>120</v>
      </c>
      <c r="D4186" s="65"/>
      <c r="E4186" s="65" t="s">
        <v>3094</v>
      </c>
      <c r="F4186" s="83">
        <v>0.5</v>
      </c>
      <c r="G4186" s="83">
        <v>0.5416666666666666</v>
      </c>
      <c r="H4186" s="83">
        <v>0.041666666666666664</v>
      </c>
      <c r="I4186" s="84">
        <v>44368.0</v>
      </c>
      <c r="J4186" s="65" t="b">
        <v>0</v>
      </c>
      <c r="K4186" s="65"/>
      <c r="L4186" s="85" t="b">
        <f>IF(VLOOKUP(C4186,Projetos!A:L,12,false)=TRUE,TRUE,FALSE)</f>
        <v>0</v>
      </c>
      <c r="M4186" s="74">
        <v>52.1518759018759</v>
      </c>
      <c r="N4186" s="74">
        <f t="shared" si="1"/>
        <v>0</v>
      </c>
      <c r="O4186" s="74" t="b">
        <v>0</v>
      </c>
    </row>
    <row r="4187" hidden="1">
      <c r="A4187" s="82"/>
      <c r="B4187" s="65" t="s">
        <v>467</v>
      </c>
      <c r="C4187" s="65" t="s">
        <v>120</v>
      </c>
      <c r="D4187" s="65"/>
      <c r="E4187" s="65" t="s">
        <v>3095</v>
      </c>
      <c r="F4187" s="83">
        <v>0.625</v>
      </c>
      <c r="G4187" s="83">
        <v>0.7916666666666666</v>
      </c>
      <c r="H4187" s="83">
        <v>0.16666666666666666</v>
      </c>
      <c r="I4187" s="84">
        <v>44368.0</v>
      </c>
      <c r="J4187" s="65" t="b">
        <v>0</v>
      </c>
      <c r="K4187" s="65" t="s">
        <v>150</v>
      </c>
      <c r="L4187" s="85" t="b">
        <f>IF(VLOOKUP(C4187,Projetos!A:L,12,false)=TRUE,TRUE,FALSE)</f>
        <v>0</v>
      </c>
      <c r="M4187" s="74">
        <v>52.1518759018759</v>
      </c>
      <c r="N4187" s="74">
        <f t="shared" si="1"/>
        <v>0</v>
      </c>
      <c r="O4187" s="74" t="b">
        <v>0</v>
      </c>
    </row>
    <row r="4188" hidden="1">
      <c r="A4188" s="82"/>
      <c r="B4188" s="65" t="s">
        <v>467</v>
      </c>
      <c r="C4188" s="65" t="s">
        <v>88</v>
      </c>
      <c r="D4188" s="65" t="str">
        <f>vlookup(C4188,'Classificação p pessoal'!F:G,2,false)</f>
        <v>MProduto</v>
      </c>
      <c r="E4188" s="65" t="s">
        <v>3096</v>
      </c>
      <c r="F4188" s="83">
        <v>0.3541666666666667</v>
      </c>
      <c r="G4188" s="83">
        <v>0.3645833333333333</v>
      </c>
      <c r="H4188" s="83">
        <v>0.010416666666666666</v>
      </c>
      <c r="I4188" s="84">
        <v>44369.0</v>
      </c>
      <c r="J4188" s="65" t="b">
        <v>1</v>
      </c>
      <c r="K4188" s="65"/>
      <c r="L4188" s="85" t="b">
        <f>IF(VLOOKUP(C4188,Projetos!A:L,12,false)=TRUE,TRUE,FALSE)</f>
        <v>1</v>
      </c>
      <c r="M4188" s="74">
        <v>52.1518759018759</v>
      </c>
      <c r="N4188" s="74">
        <f t="shared" si="1"/>
        <v>13.03796898</v>
      </c>
      <c r="O4188" s="74" t="b">
        <v>1</v>
      </c>
    </row>
    <row r="4189" hidden="1">
      <c r="A4189" s="82"/>
      <c r="B4189" s="65" t="s">
        <v>467</v>
      </c>
      <c r="C4189" s="65" t="s">
        <v>92</v>
      </c>
      <c r="D4189" s="65" t="str">
        <f>vlookup(C4189,'Classificação p pessoal'!F:G,2,false)</f>
        <v/>
      </c>
      <c r="E4189" s="65" t="s">
        <v>3097</v>
      </c>
      <c r="F4189" s="83">
        <v>0.375</v>
      </c>
      <c r="G4189" s="83">
        <v>0.4583333333333333</v>
      </c>
      <c r="H4189" s="83">
        <v>0.08333333333333333</v>
      </c>
      <c r="I4189" s="84">
        <v>44369.0</v>
      </c>
      <c r="J4189" s="65" t="b">
        <v>1</v>
      </c>
      <c r="K4189" s="65"/>
      <c r="L4189" s="85" t="b">
        <f>IF(VLOOKUP(C4189,Projetos!A:L,12,false)=TRUE,TRUE,FALSE)</f>
        <v>1</v>
      </c>
      <c r="M4189" s="74">
        <v>52.1518759018759</v>
      </c>
      <c r="N4189" s="74">
        <f t="shared" si="1"/>
        <v>104.3037518</v>
      </c>
      <c r="O4189" s="74" t="b">
        <v>1</v>
      </c>
    </row>
    <row r="4190" hidden="1">
      <c r="A4190" s="82"/>
      <c r="B4190" s="65" t="s">
        <v>467</v>
      </c>
      <c r="C4190" s="65" t="s">
        <v>113</v>
      </c>
      <c r="D4190" s="65"/>
      <c r="E4190" s="65" t="s">
        <v>3098</v>
      </c>
      <c r="F4190" s="83">
        <v>0.5833333333333334</v>
      </c>
      <c r="G4190" s="83">
        <v>0.625</v>
      </c>
      <c r="H4190" s="83">
        <v>0.041666666666666664</v>
      </c>
      <c r="I4190" s="84">
        <v>44369.0</v>
      </c>
      <c r="J4190" s="65" t="b">
        <v>0</v>
      </c>
      <c r="K4190" s="65" t="s">
        <v>150</v>
      </c>
      <c r="L4190" s="85" t="b">
        <f>IF(VLOOKUP(C4190,Projetos!A:L,12,false)=TRUE,TRUE,FALSE)</f>
        <v>1</v>
      </c>
      <c r="M4190" s="74">
        <v>52.1518759018759</v>
      </c>
      <c r="N4190" s="74">
        <f t="shared" si="1"/>
        <v>0</v>
      </c>
      <c r="O4190" s="74" t="b">
        <v>1</v>
      </c>
    </row>
    <row r="4191" hidden="1">
      <c r="A4191" s="82"/>
      <c r="B4191" s="65" t="s">
        <v>467</v>
      </c>
      <c r="C4191" s="65" t="s">
        <v>92</v>
      </c>
      <c r="D4191" s="65" t="str">
        <f>vlookup(C4191,'Classificação p pessoal'!F:G,2,false)</f>
        <v/>
      </c>
      <c r="E4191" s="65" t="s">
        <v>3099</v>
      </c>
      <c r="F4191" s="83">
        <v>0.625</v>
      </c>
      <c r="G4191" s="83">
        <v>0.6666666666666666</v>
      </c>
      <c r="H4191" s="83">
        <v>0.041666666666666664</v>
      </c>
      <c r="I4191" s="84">
        <v>44369.0</v>
      </c>
      <c r="J4191" s="65" t="b">
        <v>1</v>
      </c>
      <c r="K4191" s="65"/>
      <c r="L4191" s="85" t="b">
        <f>IF(VLOOKUP(C4191,Projetos!A:L,12,false)=TRUE,TRUE,FALSE)</f>
        <v>1</v>
      </c>
      <c r="M4191" s="74">
        <v>52.1518759018759</v>
      </c>
      <c r="N4191" s="74">
        <f t="shared" si="1"/>
        <v>52.1518759</v>
      </c>
      <c r="O4191" s="74" t="b">
        <v>1</v>
      </c>
    </row>
    <row r="4192" hidden="1">
      <c r="A4192" s="82"/>
      <c r="B4192" s="65" t="s">
        <v>467</v>
      </c>
      <c r="C4192" s="65" t="s">
        <v>92</v>
      </c>
      <c r="D4192" s="65" t="str">
        <f>vlookup(C4192,'Classificação p pessoal'!F:G,2,false)</f>
        <v/>
      </c>
      <c r="E4192" s="65" t="s">
        <v>3100</v>
      </c>
      <c r="F4192" s="83">
        <v>0.7083333333333334</v>
      </c>
      <c r="G4192" s="83">
        <v>0.75</v>
      </c>
      <c r="H4192" s="83">
        <v>0.041666666666666664</v>
      </c>
      <c r="I4192" s="84">
        <v>44369.0</v>
      </c>
      <c r="J4192" s="65" t="b">
        <v>1</v>
      </c>
      <c r="K4192" s="65"/>
      <c r="L4192" s="85" t="b">
        <f>IF(VLOOKUP(C4192,Projetos!A:L,12,false)=TRUE,TRUE,FALSE)</f>
        <v>1</v>
      </c>
      <c r="M4192" s="74">
        <v>52.1518759018759</v>
      </c>
      <c r="N4192" s="74">
        <f t="shared" si="1"/>
        <v>52.1518759</v>
      </c>
      <c r="O4192" s="74" t="b">
        <v>1</v>
      </c>
    </row>
    <row r="4193" hidden="1">
      <c r="A4193" s="82"/>
      <c r="B4193" s="65" t="s">
        <v>467</v>
      </c>
      <c r="C4193" s="65" t="s">
        <v>92</v>
      </c>
      <c r="D4193" s="65" t="str">
        <f>vlookup(C4193,'Classificação p pessoal'!F:G,2,false)</f>
        <v/>
      </c>
      <c r="E4193" s="65" t="s">
        <v>3101</v>
      </c>
      <c r="F4193" s="83">
        <v>0.3541666666666667</v>
      </c>
      <c r="G4193" s="83">
        <v>0.4166666666666667</v>
      </c>
      <c r="H4193" s="83">
        <v>0.0625</v>
      </c>
      <c r="I4193" s="84">
        <v>44370.0</v>
      </c>
      <c r="J4193" s="65" t="b">
        <v>1</v>
      </c>
      <c r="K4193" s="65"/>
      <c r="L4193" s="85" t="b">
        <f>IF(VLOOKUP(C4193,Projetos!A:L,12,false)=TRUE,TRUE,FALSE)</f>
        <v>1</v>
      </c>
      <c r="M4193" s="74">
        <v>52.1518759018759</v>
      </c>
      <c r="N4193" s="74">
        <f t="shared" si="1"/>
        <v>78.22781385</v>
      </c>
      <c r="O4193" s="74" t="b">
        <v>1</v>
      </c>
    </row>
    <row r="4194" hidden="1">
      <c r="A4194" s="82"/>
      <c r="B4194" s="65" t="s">
        <v>411</v>
      </c>
      <c r="C4194" s="65" t="s">
        <v>117</v>
      </c>
      <c r="D4194" s="65"/>
      <c r="E4194" s="65" t="s">
        <v>3102</v>
      </c>
      <c r="F4194" s="83">
        <v>0.4479166666666667</v>
      </c>
      <c r="G4194" s="83">
        <v>0.4791666666666667</v>
      </c>
      <c r="H4194" s="83">
        <v>0.03125</v>
      </c>
      <c r="I4194" s="84">
        <v>44201.0</v>
      </c>
      <c r="J4194" s="65" t="b">
        <v>0</v>
      </c>
      <c r="K4194" s="65" t="s">
        <v>150</v>
      </c>
      <c r="L4194" s="85" t="b">
        <f>IF(VLOOKUP(C4194,Projetos!A:L,12,false)=TRUE,TRUE,FALSE)</f>
        <v>1</v>
      </c>
      <c r="M4194" s="74">
        <v>52.48434411075036</v>
      </c>
      <c r="N4194" s="74">
        <f t="shared" si="1"/>
        <v>0</v>
      </c>
      <c r="O4194" s="74" t="b">
        <v>1</v>
      </c>
    </row>
    <row r="4195" hidden="1">
      <c r="A4195" s="82"/>
      <c r="B4195" s="65" t="s">
        <v>467</v>
      </c>
      <c r="C4195" s="65" t="s">
        <v>92</v>
      </c>
      <c r="D4195" s="65" t="str">
        <f>vlookup(C4195,'Classificação p pessoal'!F:G,2,false)</f>
        <v/>
      </c>
      <c r="E4195" s="65" t="s">
        <v>3103</v>
      </c>
      <c r="F4195" s="83">
        <v>0.4583333333333333</v>
      </c>
      <c r="G4195" s="83">
        <v>0.5</v>
      </c>
      <c r="H4195" s="83">
        <v>0.041666666666666664</v>
      </c>
      <c r="I4195" s="84">
        <v>44370.0</v>
      </c>
      <c r="J4195" s="65" t="b">
        <v>1</v>
      </c>
      <c r="K4195" s="65"/>
      <c r="L4195" s="85" t="b">
        <f>IF(VLOOKUP(C4195,Projetos!A:L,12,false)=TRUE,TRUE,FALSE)</f>
        <v>1</v>
      </c>
      <c r="M4195" s="74">
        <v>52.1518759018759</v>
      </c>
      <c r="N4195" s="74">
        <f t="shared" si="1"/>
        <v>52.1518759</v>
      </c>
      <c r="O4195" s="74" t="b">
        <v>1</v>
      </c>
    </row>
    <row r="4196" hidden="1">
      <c r="A4196" s="82"/>
      <c r="B4196" s="65" t="s">
        <v>467</v>
      </c>
      <c r="C4196" s="65" t="s">
        <v>88</v>
      </c>
      <c r="D4196" s="65" t="str">
        <f>vlookup(C4196,'Classificação p pessoal'!F:G,2,false)</f>
        <v>MProduto</v>
      </c>
      <c r="E4196" s="65" t="s">
        <v>3104</v>
      </c>
      <c r="F4196" s="83">
        <v>0.5833333333333334</v>
      </c>
      <c r="G4196" s="83">
        <v>0.625</v>
      </c>
      <c r="H4196" s="83">
        <v>0.041666666666666664</v>
      </c>
      <c r="I4196" s="84">
        <v>44370.0</v>
      </c>
      <c r="J4196" s="65" t="b">
        <v>1</v>
      </c>
      <c r="K4196" s="65"/>
      <c r="L4196" s="85" t="b">
        <f>IF(VLOOKUP(C4196,Projetos!A:L,12,false)=TRUE,TRUE,FALSE)</f>
        <v>1</v>
      </c>
      <c r="M4196" s="74">
        <v>52.1518759018759</v>
      </c>
      <c r="N4196" s="74">
        <f t="shared" si="1"/>
        <v>52.1518759</v>
      </c>
      <c r="O4196" s="74" t="b">
        <v>1</v>
      </c>
    </row>
    <row r="4197" hidden="1">
      <c r="A4197" s="82"/>
      <c r="B4197" s="65" t="s">
        <v>467</v>
      </c>
      <c r="C4197" s="65" t="s">
        <v>120</v>
      </c>
      <c r="D4197" s="65"/>
      <c r="E4197" s="65" t="s">
        <v>3095</v>
      </c>
      <c r="F4197" s="83">
        <v>0.625</v>
      </c>
      <c r="G4197" s="83">
        <v>0.7916666666666666</v>
      </c>
      <c r="H4197" s="83">
        <v>0.16666666666666666</v>
      </c>
      <c r="I4197" s="84">
        <v>44370.0</v>
      </c>
      <c r="J4197" s="65" t="b">
        <v>0</v>
      </c>
      <c r="K4197" s="65" t="s">
        <v>150</v>
      </c>
      <c r="L4197" s="85" t="b">
        <f>IF(VLOOKUP(C4197,Projetos!A:L,12,false)=TRUE,TRUE,FALSE)</f>
        <v>0</v>
      </c>
      <c r="M4197" s="74">
        <v>52.1518759018759</v>
      </c>
      <c r="N4197" s="74">
        <f t="shared" si="1"/>
        <v>0</v>
      </c>
      <c r="O4197" s="74" t="b">
        <v>0</v>
      </c>
    </row>
    <row r="4198" hidden="1">
      <c r="A4198" s="82"/>
      <c r="B4198" s="65" t="s">
        <v>467</v>
      </c>
      <c r="C4198" s="65" t="s">
        <v>88</v>
      </c>
      <c r="D4198" s="65" t="str">
        <f>vlookup(C4198,'Classificação p pessoal'!F:G,2,false)</f>
        <v>MProduto</v>
      </c>
      <c r="E4198" s="65" t="s">
        <v>3105</v>
      </c>
      <c r="F4198" s="83">
        <v>0.3333333333333333</v>
      </c>
      <c r="G4198" s="83">
        <v>0.3888888888888889</v>
      </c>
      <c r="H4198" s="83">
        <v>0.05555555555555555</v>
      </c>
      <c r="I4198" s="84">
        <v>44371.0</v>
      </c>
      <c r="J4198" s="65" t="b">
        <v>1</v>
      </c>
      <c r="K4198" s="65"/>
      <c r="L4198" s="85" t="b">
        <f>IF(VLOOKUP(C4198,Projetos!A:L,12,false)=TRUE,TRUE,FALSE)</f>
        <v>1</v>
      </c>
      <c r="M4198" s="74">
        <v>52.1518759018759</v>
      </c>
      <c r="N4198" s="74">
        <f t="shared" si="1"/>
        <v>69.53583454</v>
      </c>
      <c r="O4198" s="74" t="b">
        <v>1</v>
      </c>
    </row>
    <row r="4199" hidden="1">
      <c r="A4199" s="82"/>
      <c r="B4199" s="65" t="s">
        <v>411</v>
      </c>
      <c r="C4199" s="65" t="s">
        <v>130</v>
      </c>
      <c r="D4199" s="65"/>
      <c r="E4199" s="65" t="s">
        <v>3106</v>
      </c>
      <c r="F4199" s="83">
        <v>0.3854166666666667</v>
      </c>
      <c r="G4199" s="83">
        <v>0.3958333333333333</v>
      </c>
      <c r="H4199" s="83">
        <v>0.010416666666666666</v>
      </c>
      <c r="I4199" s="84">
        <v>44215.0</v>
      </c>
      <c r="J4199" s="65" t="b">
        <v>0</v>
      </c>
      <c r="K4199" s="65" t="s">
        <v>150</v>
      </c>
      <c r="L4199" s="85" t="b">
        <f>IF(VLOOKUP(C4199,Projetos!A:L,12,false)=TRUE,TRUE,FALSE)</f>
        <v>1</v>
      </c>
      <c r="M4199" s="74">
        <v>52.48434411075036</v>
      </c>
      <c r="N4199" s="74">
        <f t="shared" si="1"/>
        <v>0</v>
      </c>
      <c r="O4199" s="74" t="b">
        <v>1</v>
      </c>
    </row>
    <row r="4200" hidden="1">
      <c r="A4200" s="82"/>
      <c r="B4200" s="65" t="s">
        <v>467</v>
      </c>
      <c r="C4200" s="65" t="s">
        <v>92</v>
      </c>
      <c r="D4200" s="65" t="str">
        <f>vlookup(C4200,'Classificação p pessoal'!F:G,2,false)</f>
        <v/>
      </c>
      <c r="E4200" s="65" t="s">
        <v>3107</v>
      </c>
      <c r="F4200" s="83">
        <v>0.3958333333333333</v>
      </c>
      <c r="G4200" s="83">
        <v>0.4583333333333333</v>
      </c>
      <c r="H4200" s="83">
        <v>0.0625</v>
      </c>
      <c r="I4200" s="84">
        <v>44371.0</v>
      </c>
      <c r="J4200" s="65" t="b">
        <v>1</v>
      </c>
      <c r="K4200" s="65"/>
      <c r="L4200" s="85" t="b">
        <f>IF(VLOOKUP(C4200,Projetos!A:L,12,false)=TRUE,TRUE,FALSE)</f>
        <v>1</v>
      </c>
      <c r="M4200" s="74">
        <v>52.1518759018759</v>
      </c>
      <c r="N4200" s="74">
        <f t="shared" si="1"/>
        <v>78.22781385</v>
      </c>
      <c r="O4200" s="74" t="b">
        <v>1</v>
      </c>
    </row>
    <row r="4201" hidden="1">
      <c r="A4201" s="82"/>
      <c r="B4201" s="65" t="s">
        <v>467</v>
      </c>
      <c r="C4201" s="65" t="s">
        <v>113</v>
      </c>
      <c r="D4201" s="65"/>
      <c r="E4201" s="65" t="s">
        <v>3108</v>
      </c>
      <c r="F4201" s="83">
        <v>0.4583333333333333</v>
      </c>
      <c r="G4201" s="83">
        <v>0.4791666666666667</v>
      </c>
      <c r="H4201" s="83">
        <v>0.020833333333333332</v>
      </c>
      <c r="I4201" s="84">
        <v>44371.0</v>
      </c>
      <c r="J4201" s="65" t="b">
        <v>0</v>
      </c>
      <c r="K4201" s="65" t="s">
        <v>150</v>
      </c>
      <c r="L4201" s="85" t="b">
        <f>IF(VLOOKUP(C4201,Projetos!A:L,12,false)=TRUE,TRUE,FALSE)</f>
        <v>1</v>
      </c>
      <c r="M4201" s="74">
        <v>52.1518759018759</v>
      </c>
      <c r="N4201" s="74">
        <f t="shared" si="1"/>
        <v>0</v>
      </c>
      <c r="O4201" s="74" t="b">
        <v>1</v>
      </c>
    </row>
    <row r="4202" hidden="1">
      <c r="A4202" s="82"/>
      <c r="B4202" s="65" t="s">
        <v>467</v>
      </c>
      <c r="C4202" s="65" t="s">
        <v>113</v>
      </c>
      <c r="D4202" s="65" t="str">
        <f>vlookup(C4202,'Classificação p pessoal'!F:G,2,false)</f>
        <v>NP</v>
      </c>
      <c r="E4202" s="65" t="s">
        <v>3109</v>
      </c>
      <c r="F4202" s="83">
        <v>0.5833333333333334</v>
      </c>
      <c r="G4202" s="83">
        <v>0.7083333333333334</v>
      </c>
      <c r="H4202" s="83">
        <v>0.125</v>
      </c>
      <c r="I4202" s="84">
        <v>44371.0</v>
      </c>
      <c r="J4202" s="65" t="b">
        <v>1</v>
      </c>
      <c r="K4202" s="65"/>
      <c r="L4202" s="85" t="b">
        <f>IF(VLOOKUP(C4202,Projetos!A:L,12,false)=TRUE,TRUE,FALSE)</f>
        <v>1</v>
      </c>
      <c r="M4202" s="74">
        <v>52.1518759018759</v>
      </c>
      <c r="N4202" s="74">
        <f t="shared" si="1"/>
        <v>156.4556277</v>
      </c>
      <c r="O4202" s="74" t="b">
        <v>1</v>
      </c>
    </row>
    <row r="4203" hidden="1">
      <c r="A4203" s="82"/>
      <c r="B4203" s="65" t="s">
        <v>467</v>
      </c>
      <c r="C4203" s="65" t="s">
        <v>88</v>
      </c>
      <c r="D4203" s="65" t="str">
        <f>vlookup(C4203,'Classificação p pessoal'!F:G,2,false)</f>
        <v>MProduto</v>
      </c>
      <c r="E4203" s="65" t="s">
        <v>3110</v>
      </c>
      <c r="F4203" s="83">
        <v>0.3472222222222222</v>
      </c>
      <c r="G4203" s="83">
        <v>0.3958333333333333</v>
      </c>
      <c r="H4203" s="83">
        <v>0.04861111111111111</v>
      </c>
      <c r="I4203" s="84">
        <v>44372.0</v>
      </c>
      <c r="J4203" s="65" t="b">
        <v>1</v>
      </c>
      <c r="K4203" s="65"/>
      <c r="L4203" s="85" t="b">
        <f>IF(VLOOKUP(C4203,Projetos!A:L,12,false)=TRUE,TRUE,FALSE)</f>
        <v>1</v>
      </c>
      <c r="M4203" s="74">
        <v>52.1518759018759</v>
      </c>
      <c r="N4203" s="74">
        <f t="shared" si="1"/>
        <v>60.84385522</v>
      </c>
      <c r="O4203" s="74" t="b">
        <v>1</v>
      </c>
    </row>
    <row r="4204" hidden="1">
      <c r="A4204" s="82"/>
      <c r="B4204" s="65" t="s">
        <v>467</v>
      </c>
      <c r="C4204" s="65" t="s">
        <v>92</v>
      </c>
      <c r="D4204" s="65" t="str">
        <f>vlookup(C4204,'Classificação p pessoal'!F:G,2,false)</f>
        <v/>
      </c>
      <c r="E4204" s="65" t="s">
        <v>3111</v>
      </c>
      <c r="F4204" s="83">
        <v>0.3958333333333333</v>
      </c>
      <c r="G4204" s="83">
        <v>0.4583333333333333</v>
      </c>
      <c r="H4204" s="83">
        <v>0.0625</v>
      </c>
      <c r="I4204" s="84">
        <v>44372.0</v>
      </c>
      <c r="J4204" s="65" t="b">
        <v>1</v>
      </c>
      <c r="K4204" s="65"/>
      <c r="L4204" s="85" t="b">
        <f>IF(VLOOKUP(C4204,Projetos!A:L,12,false)=TRUE,TRUE,FALSE)</f>
        <v>1</v>
      </c>
      <c r="M4204" s="74">
        <v>52.1518759018759</v>
      </c>
      <c r="N4204" s="74">
        <f t="shared" si="1"/>
        <v>78.22781385</v>
      </c>
      <c r="O4204" s="74" t="b">
        <v>1</v>
      </c>
    </row>
    <row r="4205" hidden="1">
      <c r="A4205" s="82"/>
      <c r="B4205" s="65" t="s">
        <v>467</v>
      </c>
      <c r="C4205" s="65" t="s">
        <v>120</v>
      </c>
      <c r="D4205" s="65"/>
      <c r="E4205" s="65" t="s">
        <v>3095</v>
      </c>
      <c r="F4205" s="83">
        <v>0.625</v>
      </c>
      <c r="G4205" s="83">
        <v>0.7916666666666666</v>
      </c>
      <c r="H4205" s="83">
        <v>0.16666666666666666</v>
      </c>
      <c r="I4205" s="84">
        <v>44372.0</v>
      </c>
      <c r="J4205" s="65" t="b">
        <v>0</v>
      </c>
      <c r="K4205" s="65" t="s">
        <v>150</v>
      </c>
      <c r="L4205" s="85" t="b">
        <f>IF(VLOOKUP(C4205,Projetos!A:L,12,false)=TRUE,TRUE,FALSE)</f>
        <v>0</v>
      </c>
      <c r="M4205" s="74">
        <v>52.1518759018759</v>
      </c>
      <c r="N4205" s="74">
        <f t="shared" si="1"/>
        <v>0</v>
      </c>
      <c r="O4205" s="74" t="b">
        <v>0</v>
      </c>
    </row>
    <row r="4206" hidden="1">
      <c r="A4206" s="82"/>
      <c r="B4206" s="65" t="s">
        <v>467</v>
      </c>
      <c r="C4206" s="65" t="s">
        <v>92</v>
      </c>
      <c r="D4206" s="65"/>
      <c r="E4206" s="65" t="s">
        <v>3112</v>
      </c>
      <c r="F4206" s="83">
        <v>0.5833333333333334</v>
      </c>
      <c r="G4206" s="83">
        <v>0.625</v>
      </c>
      <c r="H4206" s="83">
        <v>0.041666666666666664</v>
      </c>
      <c r="I4206" s="84">
        <v>44372.0</v>
      </c>
      <c r="J4206" s="65" t="b">
        <v>0</v>
      </c>
      <c r="K4206" s="65" t="s">
        <v>150</v>
      </c>
      <c r="L4206" s="85" t="b">
        <f>IF(VLOOKUP(C4206,Projetos!A:L,12,false)=TRUE,TRUE,FALSE)</f>
        <v>1</v>
      </c>
      <c r="M4206" s="74">
        <v>52.1518759018759</v>
      </c>
      <c r="N4206" s="74">
        <f t="shared" si="1"/>
        <v>0</v>
      </c>
      <c r="O4206" s="74" t="b">
        <v>1</v>
      </c>
    </row>
    <row r="4207" hidden="1">
      <c r="A4207" s="82"/>
      <c r="B4207" s="65" t="s">
        <v>467</v>
      </c>
      <c r="C4207" s="65" t="s">
        <v>92</v>
      </c>
      <c r="D4207" s="65" t="str">
        <f>vlookup(C4207,'Classificação p pessoal'!F:G,2,false)</f>
        <v/>
      </c>
      <c r="E4207" s="65" t="s">
        <v>3113</v>
      </c>
      <c r="F4207" s="83">
        <v>0.3958333333333333</v>
      </c>
      <c r="G4207" s="83">
        <v>0.4375</v>
      </c>
      <c r="H4207" s="83">
        <v>0.041666666666666664</v>
      </c>
      <c r="I4207" s="84">
        <v>44375.0</v>
      </c>
      <c r="J4207" s="65" t="b">
        <v>1</v>
      </c>
      <c r="K4207" s="65"/>
      <c r="L4207" s="85" t="b">
        <f>IF(VLOOKUP(C4207,Projetos!A:L,12,false)=TRUE,TRUE,FALSE)</f>
        <v>1</v>
      </c>
      <c r="M4207" s="74">
        <v>52.1518759018759</v>
      </c>
      <c r="N4207" s="74">
        <f t="shared" si="1"/>
        <v>52.1518759</v>
      </c>
      <c r="O4207" s="74" t="b">
        <v>1</v>
      </c>
    </row>
    <row r="4208" hidden="1">
      <c r="A4208" s="82"/>
      <c r="B4208" s="65" t="s">
        <v>467</v>
      </c>
      <c r="C4208" s="65" t="s">
        <v>92</v>
      </c>
      <c r="D4208" s="65"/>
      <c r="E4208" s="65" t="s">
        <v>3114</v>
      </c>
      <c r="F4208" s="83">
        <v>0.4375</v>
      </c>
      <c r="G4208" s="83">
        <v>0.5</v>
      </c>
      <c r="H4208" s="83">
        <v>0.0625</v>
      </c>
      <c r="I4208" s="84">
        <v>44375.0</v>
      </c>
      <c r="J4208" s="65" t="b">
        <v>0</v>
      </c>
      <c r="K4208" s="65" t="s">
        <v>150</v>
      </c>
      <c r="L4208" s="85" t="b">
        <f>IF(VLOOKUP(C4208,Projetos!A:L,12,false)=TRUE,TRUE,FALSE)</f>
        <v>1</v>
      </c>
      <c r="M4208" s="74">
        <v>52.1518759018759</v>
      </c>
      <c r="N4208" s="74">
        <f t="shared" si="1"/>
        <v>0</v>
      </c>
      <c r="O4208" s="74" t="b">
        <v>1</v>
      </c>
    </row>
    <row r="4209" hidden="1">
      <c r="A4209" s="82"/>
      <c r="B4209" s="65" t="s">
        <v>467</v>
      </c>
      <c r="C4209" s="65" t="s">
        <v>120</v>
      </c>
      <c r="D4209" s="65"/>
      <c r="E4209" s="65" t="s">
        <v>3095</v>
      </c>
      <c r="F4209" s="83">
        <v>0.7083333333333334</v>
      </c>
      <c r="G4209" s="83">
        <v>0.7916666666666666</v>
      </c>
      <c r="H4209" s="83">
        <v>0.08333333333333333</v>
      </c>
      <c r="I4209" s="84">
        <v>44375.0</v>
      </c>
      <c r="J4209" s="65" t="b">
        <v>0</v>
      </c>
      <c r="K4209" s="65" t="s">
        <v>150</v>
      </c>
      <c r="L4209" s="85" t="b">
        <f>IF(VLOOKUP(C4209,Projetos!A:L,12,false)=TRUE,TRUE,FALSE)</f>
        <v>0</v>
      </c>
      <c r="M4209" s="74">
        <v>52.1518759018759</v>
      </c>
      <c r="N4209" s="74">
        <f t="shared" si="1"/>
        <v>0</v>
      </c>
      <c r="O4209" s="74" t="b">
        <v>0</v>
      </c>
    </row>
    <row r="4210" hidden="1">
      <c r="A4210" s="82"/>
      <c r="B4210" s="65" t="s">
        <v>467</v>
      </c>
      <c r="C4210" s="65" t="s">
        <v>88</v>
      </c>
      <c r="D4210" s="65" t="str">
        <f>vlookup(C4210,'Classificação p pessoal'!F:G,2,false)</f>
        <v>MProduto</v>
      </c>
      <c r="E4210" s="65" t="s">
        <v>3115</v>
      </c>
      <c r="F4210" s="83">
        <v>0.375</v>
      </c>
      <c r="G4210" s="83">
        <v>0.3958333333333333</v>
      </c>
      <c r="H4210" s="83">
        <v>0.020833333333333332</v>
      </c>
      <c r="I4210" s="84">
        <v>44375.0</v>
      </c>
      <c r="J4210" s="65" t="b">
        <v>1</v>
      </c>
      <c r="K4210" s="65"/>
      <c r="L4210" s="85" t="b">
        <f>IF(VLOOKUP(C4210,Projetos!A:L,12,false)=TRUE,TRUE,FALSE)</f>
        <v>1</v>
      </c>
      <c r="M4210" s="74">
        <v>52.1518759018759</v>
      </c>
      <c r="N4210" s="74">
        <f t="shared" si="1"/>
        <v>26.07593795</v>
      </c>
      <c r="O4210" s="74" t="b">
        <v>1</v>
      </c>
    </row>
    <row r="4211" hidden="1">
      <c r="A4211" s="82"/>
      <c r="B4211" s="65" t="s">
        <v>467</v>
      </c>
      <c r="C4211" s="65" t="s">
        <v>113</v>
      </c>
      <c r="D4211" s="65" t="str">
        <f>vlookup(C4211,'Classificação p pessoal'!F:G,2,false)</f>
        <v>NP</v>
      </c>
      <c r="E4211" s="65" t="s">
        <v>3116</v>
      </c>
      <c r="F4211" s="83">
        <v>0.3541666666666667</v>
      </c>
      <c r="G4211" s="83">
        <v>0.4166666666666667</v>
      </c>
      <c r="H4211" s="83">
        <v>0.0625</v>
      </c>
      <c r="I4211" s="84">
        <v>44376.0</v>
      </c>
      <c r="J4211" s="65" t="b">
        <v>1</v>
      </c>
      <c r="K4211" s="65"/>
      <c r="L4211" s="85" t="b">
        <f>IF(VLOOKUP(C4211,Projetos!A:L,12,false)=TRUE,TRUE,FALSE)</f>
        <v>1</v>
      </c>
      <c r="M4211" s="74">
        <v>52.1518759018759</v>
      </c>
      <c r="N4211" s="74">
        <f t="shared" si="1"/>
        <v>78.22781385</v>
      </c>
      <c r="O4211" s="74" t="b">
        <v>1</v>
      </c>
    </row>
    <row r="4212" hidden="1">
      <c r="A4212" s="82"/>
      <c r="B4212" s="65" t="s">
        <v>467</v>
      </c>
      <c r="C4212" s="65" t="s">
        <v>113</v>
      </c>
      <c r="D4212" s="65"/>
      <c r="E4212" s="65" t="s">
        <v>3117</v>
      </c>
      <c r="F4212" s="83">
        <v>0.4166666666666667</v>
      </c>
      <c r="G4212" s="83">
        <v>0.4722222222222222</v>
      </c>
      <c r="H4212" s="83">
        <v>0.05555555555555555</v>
      </c>
      <c r="I4212" s="84">
        <v>44376.0</v>
      </c>
      <c r="J4212" s="65" t="b">
        <v>0</v>
      </c>
      <c r="K4212" s="65" t="s">
        <v>150</v>
      </c>
      <c r="L4212" s="85" t="b">
        <f>IF(VLOOKUP(C4212,Projetos!A:L,12,false)=TRUE,TRUE,FALSE)</f>
        <v>1</v>
      </c>
      <c r="M4212" s="74">
        <v>52.1518759018759</v>
      </c>
      <c r="N4212" s="74">
        <f t="shared" si="1"/>
        <v>0</v>
      </c>
      <c r="O4212" s="74" t="b">
        <v>1</v>
      </c>
    </row>
    <row r="4213" hidden="1">
      <c r="A4213" s="82"/>
      <c r="B4213" s="65" t="s">
        <v>467</v>
      </c>
      <c r="C4213" s="65" t="s">
        <v>88</v>
      </c>
      <c r="D4213" s="65" t="str">
        <f>vlookup(C4213,'Classificação p pessoal'!F:G,2,false)</f>
        <v>MProduto</v>
      </c>
      <c r="E4213" s="65" t="s">
        <v>3118</v>
      </c>
      <c r="F4213" s="83">
        <v>0.5833333333333334</v>
      </c>
      <c r="G4213" s="83">
        <v>0.6666666666666666</v>
      </c>
      <c r="H4213" s="83">
        <v>0.08333333333333333</v>
      </c>
      <c r="I4213" s="84">
        <v>44376.0</v>
      </c>
      <c r="J4213" s="65" t="b">
        <v>1</v>
      </c>
      <c r="K4213" s="65"/>
      <c r="L4213" s="85" t="b">
        <f>IF(VLOOKUP(C4213,Projetos!A:L,12,false)=TRUE,TRUE,FALSE)</f>
        <v>1</v>
      </c>
      <c r="M4213" s="74">
        <v>52.1518759018759</v>
      </c>
      <c r="N4213" s="74">
        <f t="shared" si="1"/>
        <v>104.3037518</v>
      </c>
      <c r="O4213" s="74" t="b">
        <v>1</v>
      </c>
    </row>
    <row r="4214" hidden="1">
      <c r="A4214" s="82"/>
      <c r="B4214" s="65" t="s">
        <v>467</v>
      </c>
      <c r="C4214" s="65" t="s">
        <v>92</v>
      </c>
      <c r="D4214" s="65" t="str">
        <f>vlookup(C4214,'Classificação p pessoal'!F:G,2,false)</f>
        <v/>
      </c>
      <c r="E4214" s="65" t="s">
        <v>3119</v>
      </c>
      <c r="F4214" s="83">
        <v>0.3472222222222222</v>
      </c>
      <c r="G4214" s="83">
        <v>0.375</v>
      </c>
      <c r="H4214" s="83">
        <v>0.027777777777777776</v>
      </c>
      <c r="I4214" s="84">
        <v>44377.0</v>
      </c>
      <c r="J4214" s="65" t="b">
        <v>1</v>
      </c>
      <c r="K4214" s="65"/>
      <c r="L4214" s="85" t="b">
        <f>IF(VLOOKUP(C4214,Projetos!A:L,12,false)=TRUE,TRUE,FALSE)</f>
        <v>1</v>
      </c>
      <c r="M4214" s="74">
        <v>52.1518759018759</v>
      </c>
      <c r="N4214" s="74">
        <f t="shared" si="1"/>
        <v>34.76791727</v>
      </c>
      <c r="O4214" s="74" t="b">
        <v>1</v>
      </c>
    </row>
    <row r="4215" hidden="1">
      <c r="A4215" s="82"/>
      <c r="B4215" s="65" t="s">
        <v>467</v>
      </c>
      <c r="C4215" s="65" t="s">
        <v>113</v>
      </c>
      <c r="D4215" s="65" t="str">
        <f>vlookup(C4215,'Classificação p pessoal'!F:G,2,false)</f>
        <v>NP</v>
      </c>
      <c r="E4215" s="65" t="s">
        <v>3120</v>
      </c>
      <c r="F4215" s="83">
        <v>0.5833333333333334</v>
      </c>
      <c r="G4215" s="83">
        <v>0.7291666666666666</v>
      </c>
      <c r="H4215" s="83">
        <v>0.14583333333333334</v>
      </c>
      <c r="I4215" s="84">
        <v>44377.0</v>
      </c>
      <c r="J4215" s="65" t="b">
        <v>1</v>
      </c>
      <c r="K4215" s="65"/>
      <c r="L4215" s="85" t="b">
        <f>IF(VLOOKUP(C4215,Projetos!A:L,12,false)=TRUE,TRUE,FALSE)</f>
        <v>1</v>
      </c>
      <c r="M4215" s="74">
        <v>52.1518759018759</v>
      </c>
      <c r="N4215" s="74">
        <f t="shared" si="1"/>
        <v>182.5315657</v>
      </c>
      <c r="O4215" s="74" t="b">
        <v>1</v>
      </c>
    </row>
    <row r="4216" hidden="1">
      <c r="A4216" s="82"/>
      <c r="B4216" s="65" t="s">
        <v>467</v>
      </c>
      <c r="C4216" s="65" t="s">
        <v>88</v>
      </c>
      <c r="D4216" s="65" t="str">
        <f>vlookup(C4216,'Classificação p pessoal'!F:G,2,false)</f>
        <v>MProduto</v>
      </c>
      <c r="E4216" s="65" t="s">
        <v>3121</v>
      </c>
      <c r="F4216" s="83">
        <v>0.375</v>
      </c>
      <c r="G4216" s="83">
        <v>0.4375</v>
      </c>
      <c r="H4216" s="83">
        <v>0.0625</v>
      </c>
      <c r="I4216" s="84">
        <v>44378.0</v>
      </c>
      <c r="J4216" s="65" t="b">
        <v>1</v>
      </c>
      <c r="K4216" s="65"/>
      <c r="L4216" s="85" t="b">
        <f>IF(VLOOKUP(C4216,Projetos!A:L,12,false)=TRUE,TRUE,FALSE)</f>
        <v>1</v>
      </c>
      <c r="M4216" s="74">
        <v>52.1518759018759</v>
      </c>
      <c r="N4216" s="74">
        <f t="shared" si="1"/>
        <v>78.22781385</v>
      </c>
      <c r="O4216" s="74" t="b">
        <v>1</v>
      </c>
    </row>
    <row r="4217" hidden="1">
      <c r="A4217" s="82"/>
      <c r="B4217" s="65" t="s">
        <v>467</v>
      </c>
      <c r="C4217" s="65" t="s">
        <v>88</v>
      </c>
      <c r="D4217" s="65" t="str">
        <f>vlookup(C4217,'Classificação p pessoal'!F:G,2,false)</f>
        <v>MProduto</v>
      </c>
      <c r="E4217" s="65" t="s">
        <v>3122</v>
      </c>
      <c r="F4217" s="83">
        <v>0.4375</v>
      </c>
      <c r="G4217" s="83">
        <v>0.4479166666666667</v>
      </c>
      <c r="H4217" s="83">
        <v>0.010416666666666666</v>
      </c>
      <c r="I4217" s="84">
        <v>44378.0</v>
      </c>
      <c r="J4217" s="65" t="b">
        <v>1</v>
      </c>
      <c r="K4217" s="65"/>
      <c r="L4217" s="85" t="b">
        <f>IF(VLOOKUP(C4217,Projetos!A:L,12,false)=TRUE,TRUE,FALSE)</f>
        <v>1</v>
      </c>
      <c r="M4217" s="74">
        <v>52.1518759018759</v>
      </c>
      <c r="N4217" s="74">
        <f t="shared" si="1"/>
        <v>13.03796898</v>
      </c>
      <c r="O4217" s="74" t="b">
        <v>1</v>
      </c>
    </row>
    <row r="4218" hidden="1">
      <c r="A4218" s="82"/>
      <c r="B4218" s="65" t="s">
        <v>467</v>
      </c>
      <c r="C4218" s="65" t="s">
        <v>113</v>
      </c>
      <c r="D4218" s="65"/>
      <c r="E4218" s="65" t="s">
        <v>3123</v>
      </c>
      <c r="F4218" s="83">
        <v>0.4479166666666667</v>
      </c>
      <c r="G4218" s="83">
        <v>0.4895833333333333</v>
      </c>
      <c r="H4218" s="83">
        <v>0.041666666666666664</v>
      </c>
      <c r="I4218" s="84">
        <v>44378.0</v>
      </c>
      <c r="J4218" s="65" t="b">
        <v>0</v>
      </c>
      <c r="K4218" s="65" t="s">
        <v>150</v>
      </c>
      <c r="L4218" s="85" t="b">
        <f>IF(VLOOKUP(C4218,Projetos!A:L,12,false)=TRUE,TRUE,FALSE)</f>
        <v>1</v>
      </c>
      <c r="M4218" s="74">
        <v>52.1518759018759</v>
      </c>
      <c r="N4218" s="74">
        <f t="shared" si="1"/>
        <v>0</v>
      </c>
      <c r="O4218" s="74" t="b">
        <v>1</v>
      </c>
    </row>
    <row r="4219" hidden="1">
      <c r="A4219" s="82"/>
      <c r="B4219" s="65" t="s">
        <v>467</v>
      </c>
      <c r="C4219" s="65" t="s">
        <v>92</v>
      </c>
      <c r="D4219" s="65" t="str">
        <f>vlookup(C4219,'Classificação p pessoal'!F:G,2,false)</f>
        <v/>
      </c>
      <c r="E4219" s="65" t="s">
        <v>3124</v>
      </c>
      <c r="F4219" s="83">
        <v>0.5</v>
      </c>
      <c r="G4219" s="83">
        <v>0.5833333333333334</v>
      </c>
      <c r="H4219" s="83">
        <v>0.08333333333333333</v>
      </c>
      <c r="I4219" s="84">
        <v>44378.0</v>
      </c>
      <c r="J4219" s="65" t="b">
        <v>1</v>
      </c>
      <c r="K4219" s="65"/>
      <c r="L4219" s="85" t="b">
        <f>IF(VLOOKUP(C4219,Projetos!A:L,12,false)=TRUE,TRUE,FALSE)</f>
        <v>1</v>
      </c>
      <c r="M4219" s="74">
        <v>52.1518759018759</v>
      </c>
      <c r="N4219" s="74">
        <f t="shared" si="1"/>
        <v>104.3037518</v>
      </c>
      <c r="O4219" s="74" t="b">
        <v>1</v>
      </c>
    </row>
    <row r="4220" hidden="1">
      <c r="A4220" s="82"/>
      <c r="B4220" s="65" t="s">
        <v>467</v>
      </c>
      <c r="C4220" s="65" t="s">
        <v>92</v>
      </c>
      <c r="D4220" s="65" t="str">
        <f>vlookup(C4220,'Classificação p pessoal'!F:G,2,false)</f>
        <v/>
      </c>
      <c r="E4220" s="65" t="s">
        <v>3125</v>
      </c>
      <c r="F4220" s="83">
        <v>0.5833333333333334</v>
      </c>
      <c r="G4220" s="83">
        <v>0.625</v>
      </c>
      <c r="H4220" s="83">
        <v>0.041666666666666664</v>
      </c>
      <c r="I4220" s="84">
        <v>44378.0</v>
      </c>
      <c r="J4220" s="65" t="b">
        <v>1</v>
      </c>
      <c r="K4220" s="65"/>
      <c r="L4220" s="85" t="b">
        <f>IF(VLOOKUP(C4220,Projetos!A:L,12,false)=TRUE,TRUE,FALSE)</f>
        <v>1</v>
      </c>
      <c r="M4220" s="74">
        <v>52.1518759018759</v>
      </c>
      <c r="N4220" s="74">
        <f t="shared" si="1"/>
        <v>52.1518759</v>
      </c>
      <c r="O4220" s="74" t="b">
        <v>1</v>
      </c>
    </row>
    <row r="4221" hidden="1">
      <c r="A4221" s="82"/>
      <c r="B4221" s="65" t="s">
        <v>467</v>
      </c>
      <c r="C4221" s="65" t="s">
        <v>88</v>
      </c>
      <c r="D4221" s="65" t="str">
        <f>vlookup(C4221,'Classificação p pessoal'!F:G,2,false)</f>
        <v>MProduto</v>
      </c>
      <c r="E4221" s="65" t="s">
        <v>3126</v>
      </c>
      <c r="F4221" s="83">
        <v>0.375</v>
      </c>
      <c r="G4221" s="83">
        <v>0.3888888888888889</v>
      </c>
      <c r="H4221" s="83">
        <v>0.013888888888888888</v>
      </c>
      <c r="I4221" s="84">
        <v>44379.0</v>
      </c>
      <c r="J4221" s="65" t="b">
        <v>1</v>
      </c>
      <c r="K4221" s="65"/>
      <c r="L4221" s="85" t="b">
        <f>IF(VLOOKUP(C4221,Projetos!A:L,12,false)=TRUE,TRUE,FALSE)</f>
        <v>1</v>
      </c>
      <c r="M4221" s="74">
        <v>52.1518759018759</v>
      </c>
      <c r="N4221" s="74">
        <f t="shared" si="1"/>
        <v>17.38395863</v>
      </c>
      <c r="O4221" s="74" t="b">
        <v>1</v>
      </c>
    </row>
    <row r="4222" hidden="1">
      <c r="A4222" s="82"/>
      <c r="B4222" s="65" t="s">
        <v>467</v>
      </c>
      <c r="C4222" s="65" t="s">
        <v>113</v>
      </c>
      <c r="D4222" s="65" t="str">
        <f>vlookup(C4222,'Classificação p pessoal'!F:G,2,false)</f>
        <v>NP</v>
      </c>
      <c r="E4222" s="65" t="s">
        <v>3127</v>
      </c>
      <c r="F4222" s="83">
        <v>0.4166666666666667</v>
      </c>
      <c r="G4222" s="83">
        <v>0.5</v>
      </c>
      <c r="H4222" s="83">
        <v>0.08333333333333333</v>
      </c>
      <c r="I4222" s="84">
        <v>44379.0</v>
      </c>
      <c r="J4222" s="65" t="b">
        <v>1</v>
      </c>
      <c r="K4222" s="65"/>
      <c r="L4222" s="85" t="b">
        <f>IF(VLOOKUP(C4222,Projetos!A:L,12,false)=TRUE,TRUE,FALSE)</f>
        <v>1</v>
      </c>
      <c r="M4222" s="74">
        <v>52.1518759018759</v>
      </c>
      <c r="N4222" s="74">
        <f t="shared" si="1"/>
        <v>104.3037518</v>
      </c>
      <c r="O4222" s="74" t="b">
        <v>1</v>
      </c>
    </row>
    <row r="4223" hidden="1">
      <c r="A4223" s="82"/>
      <c r="B4223" s="65" t="s">
        <v>467</v>
      </c>
      <c r="C4223" s="65" t="s">
        <v>92</v>
      </c>
      <c r="D4223" s="65" t="str">
        <f>vlookup(C4223,'Classificação p pessoal'!F:G,2,false)</f>
        <v/>
      </c>
      <c r="E4223" s="65" t="s">
        <v>3128</v>
      </c>
      <c r="F4223" s="83">
        <v>0.5833333333333334</v>
      </c>
      <c r="G4223" s="83">
        <v>0.6666666666666666</v>
      </c>
      <c r="H4223" s="83">
        <v>0.08333333333333333</v>
      </c>
      <c r="I4223" s="84">
        <v>44379.0</v>
      </c>
      <c r="J4223" s="65" t="b">
        <v>1</v>
      </c>
      <c r="K4223" s="65"/>
      <c r="L4223" s="85" t="b">
        <f>IF(VLOOKUP(C4223,Projetos!A:L,12,false)=TRUE,TRUE,FALSE)</f>
        <v>1</v>
      </c>
      <c r="M4223" s="74">
        <v>52.1518759018759</v>
      </c>
      <c r="N4223" s="74">
        <f t="shared" si="1"/>
        <v>104.3037518</v>
      </c>
      <c r="O4223" s="74" t="b">
        <v>1</v>
      </c>
    </row>
    <row r="4224" hidden="1">
      <c r="A4224" s="82"/>
      <c r="B4224" s="65" t="s">
        <v>467</v>
      </c>
      <c r="C4224" s="65" t="s">
        <v>88</v>
      </c>
      <c r="D4224" s="65" t="str">
        <f>vlookup(C4224,'Classificação p pessoal'!F:G,2,false)</f>
        <v>MProduto</v>
      </c>
      <c r="E4224" s="65" t="s">
        <v>3129</v>
      </c>
      <c r="F4224" s="83">
        <v>0.3472222222222222</v>
      </c>
      <c r="G4224" s="83">
        <v>0.4166666666666667</v>
      </c>
      <c r="H4224" s="83">
        <v>0.06944444444444445</v>
      </c>
      <c r="I4224" s="84">
        <v>44382.0</v>
      </c>
      <c r="J4224" s="65" t="b">
        <v>1</v>
      </c>
      <c r="K4224" s="65"/>
      <c r="L4224" s="85" t="b">
        <f>IF(VLOOKUP(C4224,Projetos!A:L,12,false)=TRUE,TRUE,FALSE)</f>
        <v>1</v>
      </c>
      <c r="M4224" s="74">
        <v>52.1518759018759</v>
      </c>
      <c r="N4224" s="74">
        <f t="shared" si="1"/>
        <v>86.91979317</v>
      </c>
      <c r="O4224" s="74" t="b">
        <v>1</v>
      </c>
    </row>
    <row r="4225" hidden="1">
      <c r="A4225" s="82"/>
      <c r="B4225" s="65" t="s">
        <v>467</v>
      </c>
      <c r="C4225" s="65" t="s">
        <v>113</v>
      </c>
      <c r="D4225" s="65" t="str">
        <f>vlookup(C4225,'Classificação p pessoal'!F:G,2,false)</f>
        <v>NP</v>
      </c>
      <c r="E4225" s="65" t="s">
        <v>3130</v>
      </c>
      <c r="F4225" s="83">
        <v>0.4166666666666667</v>
      </c>
      <c r="G4225" s="83">
        <v>0.5</v>
      </c>
      <c r="H4225" s="83">
        <v>0.08333333333333333</v>
      </c>
      <c r="I4225" s="84">
        <v>44382.0</v>
      </c>
      <c r="J4225" s="65" t="b">
        <v>1</v>
      </c>
      <c r="K4225" s="65"/>
      <c r="L4225" s="85" t="b">
        <f>IF(VLOOKUP(C4225,Projetos!A:L,12,false)=TRUE,TRUE,FALSE)</f>
        <v>1</v>
      </c>
      <c r="M4225" s="74">
        <v>52.1518759018759</v>
      </c>
      <c r="N4225" s="74">
        <f t="shared" si="1"/>
        <v>104.3037518</v>
      </c>
      <c r="O4225" s="74" t="b">
        <v>1</v>
      </c>
    </row>
    <row r="4226" hidden="1">
      <c r="A4226" s="82"/>
      <c r="B4226" s="65" t="s">
        <v>467</v>
      </c>
      <c r="C4226" s="65" t="s">
        <v>92</v>
      </c>
      <c r="D4226" s="65" t="str">
        <f>vlookup(C4226,'Classificação p pessoal'!F:G,2,false)</f>
        <v/>
      </c>
      <c r="E4226" s="65" t="s">
        <v>3131</v>
      </c>
      <c r="F4226" s="83">
        <v>0.5</v>
      </c>
      <c r="G4226" s="83">
        <v>0.5104166666666666</v>
      </c>
      <c r="H4226" s="83">
        <v>0.010416666666666666</v>
      </c>
      <c r="I4226" s="84">
        <v>44382.0</v>
      </c>
      <c r="J4226" s="65" t="b">
        <v>1</v>
      </c>
      <c r="K4226" s="65"/>
      <c r="L4226" s="85" t="b">
        <f>IF(VLOOKUP(C4226,Projetos!A:L,12,false)=TRUE,TRUE,FALSE)</f>
        <v>1</v>
      </c>
      <c r="M4226" s="74">
        <v>52.1518759018759</v>
      </c>
      <c r="N4226" s="74">
        <f t="shared" si="1"/>
        <v>13.03796898</v>
      </c>
      <c r="O4226" s="74" t="b">
        <v>1</v>
      </c>
    </row>
    <row r="4227" hidden="1">
      <c r="A4227" s="82"/>
      <c r="B4227" s="65" t="s">
        <v>467</v>
      </c>
      <c r="C4227" s="65" t="s">
        <v>113</v>
      </c>
      <c r="D4227" s="65" t="str">
        <f>vlookup(C4227,'Classificação p pessoal'!F:G,2,false)</f>
        <v>NP</v>
      </c>
      <c r="E4227" s="65" t="s">
        <v>3132</v>
      </c>
      <c r="F4227" s="83">
        <v>0.5833333333333334</v>
      </c>
      <c r="G4227" s="83">
        <v>0.6041666666666666</v>
      </c>
      <c r="H4227" s="83">
        <v>0.020833333333333332</v>
      </c>
      <c r="I4227" s="84">
        <v>44382.0</v>
      </c>
      <c r="J4227" s="65" t="b">
        <v>1</v>
      </c>
      <c r="K4227" s="65"/>
      <c r="L4227" s="85" t="b">
        <f>IF(VLOOKUP(C4227,Projetos!A:L,12,false)=TRUE,TRUE,FALSE)</f>
        <v>1</v>
      </c>
      <c r="M4227" s="74">
        <v>52.1518759018759</v>
      </c>
      <c r="N4227" s="74">
        <f t="shared" si="1"/>
        <v>26.07593795</v>
      </c>
      <c r="O4227" s="74" t="b">
        <v>1</v>
      </c>
    </row>
    <row r="4228" hidden="1">
      <c r="A4228" s="82"/>
      <c r="B4228" s="65" t="s">
        <v>467</v>
      </c>
      <c r="C4228" s="65" t="s">
        <v>113</v>
      </c>
      <c r="D4228" s="65" t="str">
        <f>vlookup(C4228,'Classificação p pessoal'!F:G,2,false)</f>
        <v>NP</v>
      </c>
      <c r="E4228" s="65" t="s">
        <v>3133</v>
      </c>
      <c r="F4228" s="83">
        <v>0.6041666666666666</v>
      </c>
      <c r="G4228" s="83">
        <v>0.6666666666666666</v>
      </c>
      <c r="H4228" s="83">
        <v>0.0625</v>
      </c>
      <c r="I4228" s="84">
        <v>44382.0</v>
      </c>
      <c r="J4228" s="65" t="b">
        <v>1</v>
      </c>
      <c r="K4228" s="65"/>
      <c r="L4228" s="85" t="b">
        <f>IF(VLOOKUP(C4228,Projetos!A:L,12,false)=TRUE,TRUE,FALSE)</f>
        <v>1</v>
      </c>
      <c r="M4228" s="74">
        <v>52.1518759018759</v>
      </c>
      <c r="N4228" s="74">
        <f t="shared" si="1"/>
        <v>78.22781385</v>
      </c>
      <c r="O4228" s="74" t="b">
        <v>1</v>
      </c>
    </row>
    <row r="4229" hidden="1">
      <c r="A4229" s="82"/>
      <c r="B4229" s="65" t="s">
        <v>467</v>
      </c>
      <c r="C4229" s="65" t="s">
        <v>113</v>
      </c>
      <c r="D4229" s="65"/>
      <c r="E4229" s="65" t="s">
        <v>3134</v>
      </c>
      <c r="F4229" s="83">
        <v>0.3472222222222222</v>
      </c>
      <c r="G4229" s="83">
        <v>0.375</v>
      </c>
      <c r="H4229" s="83">
        <v>0.027777777777777776</v>
      </c>
      <c r="I4229" s="84">
        <v>44383.0</v>
      </c>
      <c r="J4229" s="65" t="b">
        <v>0</v>
      </c>
      <c r="K4229" s="65" t="s">
        <v>150</v>
      </c>
      <c r="L4229" s="85" t="b">
        <f>IF(VLOOKUP(C4229,Projetos!A:L,12,false)=TRUE,TRUE,FALSE)</f>
        <v>1</v>
      </c>
      <c r="M4229" s="74">
        <v>52.1518759018759</v>
      </c>
      <c r="N4229" s="74">
        <f t="shared" si="1"/>
        <v>0</v>
      </c>
      <c r="O4229" s="74" t="b">
        <v>1</v>
      </c>
    </row>
    <row r="4230" hidden="1">
      <c r="A4230" s="82"/>
      <c r="B4230" s="65" t="s">
        <v>467</v>
      </c>
      <c r="C4230" s="65" t="s">
        <v>113</v>
      </c>
      <c r="D4230" s="65" t="str">
        <f>vlookup(C4230,'Classificação p pessoal'!F:G,2,false)</f>
        <v>NP</v>
      </c>
      <c r="E4230" s="65" t="s">
        <v>3135</v>
      </c>
      <c r="F4230" s="83">
        <v>0.375</v>
      </c>
      <c r="G4230" s="83">
        <v>0.3958333333333333</v>
      </c>
      <c r="H4230" s="83">
        <v>0.020833333333333332</v>
      </c>
      <c r="I4230" s="84">
        <v>44383.0</v>
      </c>
      <c r="J4230" s="65" t="b">
        <v>1</v>
      </c>
      <c r="K4230" s="65"/>
      <c r="L4230" s="85" t="b">
        <f>IF(VLOOKUP(C4230,Projetos!A:L,12,false)=TRUE,TRUE,FALSE)</f>
        <v>1</v>
      </c>
      <c r="M4230" s="74">
        <v>52.1518759018759</v>
      </c>
      <c r="N4230" s="74">
        <f t="shared" si="1"/>
        <v>26.07593795</v>
      </c>
      <c r="O4230" s="74" t="b">
        <v>1</v>
      </c>
    </row>
    <row r="4231" hidden="1">
      <c r="A4231" s="82"/>
      <c r="B4231" s="65" t="s">
        <v>467</v>
      </c>
      <c r="C4231" s="65" t="s">
        <v>92</v>
      </c>
      <c r="D4231" s="65" t="str">
        <f>vlookup(C4231,'Classificação p pessoal'!F:G,2,false)</f>
        <v/>
      </c>
      <c r="E4231" s="65" t="s">
        <v>3136</v>
      </c>
      <c r="F4231" s="83">
        <v>0.3958333333333333</v>
      </c>
      <c r="G4231" s="83">
        <v>0.4166666666666667</v>
      </c>
      <c r="H4231" s="83">
        <v>0.020833333333333332</v>
      </c>
      <c r="I4231" s="84">
        <v>44383.0</v>
      </c>
      <c r="J4231" s="65" t="b">
        <v>1</v>
      </c>
      <c r="K4231" s="65"/>
      <c r="L4231" s="85" t="b">
        <f>IF(VLOOKUP(C4231,Projetos!A:L,12,false)=TRUE,TRUE,FALSE)</f>
        <v>1</v>
      </c>
      <c r="M4231" s="74">
        <v>52.1518759018759</v>
      </c>
      <c r="N4231" s="74">
        <f t="shared" si="1"/>
        <v>26.07593795</v>
      </c>
      <c r="O4231" s="74" t="b">
        <v>1</v>
      </c>
    </row>
    <row r="4232" hidden="1">
      <c r="A4232" s="82"/>
      <c r="B4232" s="65" t="s">
        <v>467</v>
      </c>
      <c r="C4232" s="65" t="s">
        <v>88</v>
      </c>
      <c r="D4232" s="65" t="str">
        <f>vlookup(C4232,'Classificação p pessoal'!F:G,2,false)</f>
        <v>MProduto</v>
      </c>
      <c r="E4232" s="65" t="s">
        <v>3137</v>
      </c>
      <c r="F4232" s="83">
        <v>0.4166666666666667</v>
      </c>
      <c r="G4232" s="83">
        <v>0.4375</v>
      </c>
      <c r="H4232" s="83">
        <v>0.020833333333333332</v>
      </c>
      <c r="I4232" s="84">
        <v>44383.0</v>
      </c>
      <c r="J4232" s="65" t="b">
        <v>1</v>
      </c>
      <c r="K4232" s="65"/>
      <c r="L4232" s="85" t="b">
        <f>IF(VLOOKUP(C4232,Projetos!A:L,12,false)=TRUE,TRUE,FALSE)</f>
        <v>1</v>
      </c>
      <c r="M4232" s="74">
        <v>52.1518759018759</v>
      </c>
      <c r="N4232" s="74">
        <f t="shared" si="1"/>
        <v>26.07593795</v>
      </c>
      <c r="O4232" s="74" t="b">
        <v>1</v>
      </c>
    </row>
    <row r="4233" hidden="1">
      <c r="A4233" s="82"/>
      <c r="B4233" s="65" t="s">
        <v>467</v>
      </c>
      <c r="C4233" s="65" t="s">
        <v>113</v>
      </c>
      <c r="D4233" s="65" t="str">
        <f>vlookup(C4233,'Classificação p pessoal'!F:G,2,false)</f>
        <v>NP</v>
      </c>
      <c r="E4233" s="65" t="s">
        <v>3138</v>
      </c>
      <c r="F4233" s="83">
        <v>0.4375</v>
      </c>
      <c r="G4233" s="83">
        <v>0.5</v>
      </c>
      <c r="H4233" s="83">
        <v>0.0625</v>
      </c>
      <c r="I4233" s="84">
        <v>44383.0</v>
      </c>
      <c r="J4233" s="65" t="b">
        <v>1</v>
      </c>
      <c r="K4233" s="65"/>
      <c r="L4233" s="85" t="b">
        <f>IF(VLOOKUP(C4233,Projetos!A:L,12,false)=TRUE,TRUE,FALSE)</f>
        <v>1</v>
      </c>
      <c r="M4233" s="74">
        <v>52.1518759018759</v>
      </c>
      <c r="N4233" s="74">
        <f t="shared" si="1"/>
        <v>78.22781385</v>
      </c>
      <c r="O4233" s="74" t="b">
        <v>1</v>
      </c>
    </row>
    <row r="4234" hidden="1">
      <c r="A4234" s="82"/>
      <c r="B4234" s="65" t="s">
        <v>467</v>
      </c>
      <c r="C4234" s="65" t="s">
        <v>130</v>
      </c>
      <c r="D4234" s="65" t="str">
        <f>vlookup(C4234,'Classificação p pessoal'!F:G,2,false)</f>
        <v>NP</v>
      </c>
      <c r="E4234" s="65" t="s">
        <v>3139</v>
      </c>
      <c r="F4234" s="83">
        <v>0.3541666666666667</v>
      </c>
      <c r="G4234" s="83">
        <v>0.3645833333333333</v>
      </c>
      <c r="H4234" s="83">
        <v>0.010416666666666666</v>
      </c>
      <c r="I4234" s="84">
        <v>44384.0</v>
      </c>
      <c r="J4234" s="65" t="b">
        <v>1</v>
      </c>
      <c r="K4234" s="65"/>
      <c r="L4234" s="85" t="b">
        <f>IF(VLOOKUP(C4234,Projetos!A:L,12,false)=TRUE,TRUE,FALSE)</f>
        <v>1</v>
      </c>
      <c r="M4234" s="74">
        <v>52.1518759018759</v>
      </c>
      <c r="N4234" s="74">
        <f t="shared" si="1"/>
        <v>13.03796898</v>
      </c>
      <c r="O4234" s="74" t="b">
        <v>1</v>
      </c>
    </row>
    <row r="4235" hidden="1">
      <c r="A4235" s="82"/>
      <c r="B4235" s="65" t="s">
        <v>467</v>
      </c>
      <c r="C4235" s="65" t="s">
        <v>113</v>
      </c>
      <c r="D4235" s="65" t="str">
        <f>vlookup(C4235,'Classificação p pessoal'!F:G,2,false)</f>
        <v>NP</v>
      </c>
      <c r="E4235" s="65" t="s">
        <v>3140</v>
      </c>
      <c r="F4235" s="83">
        <v>0.3958333333333333</v>
      </c>
      <c r="G4235" s="83">
        <v>0.5</v>
      </c>
      <c r="H4235" s="83">
        <v>0.10416666666666667</v>
      </c>
      <c r="I4235" s="84">
        <v>44384.0</v>
      </c>
      <c r="J4235" s="65" t="b">
        <v>1</v>
      </c>
      <c r="K4235" s="65"/>
      <c r="L4235" s="85" t="b">
        <f>IF(VLOOKUP(C4235,Projetos!A:L,12,false)=TRUE,TRUE,FALSE)</f>
        <v>1</v>
      </c>
      <c r="M4235" s="74">
        <v>52.1518759018759</v>
      </c>
      <c r="N4235" s="74">
        <f t="shared" si="1"/>
        <v>130.3796898</v>
      </c>
      <c r="O4235" s="74" t="b">
        <v>1</v>
      </c>
    </row>
    <row r="4236" hidden="1">
      <c r="A4236" s="82"/>
      <c r="B4236" s="65" t="s">
        <v>467</v>
      </c>
      <c r="C4236" s="65" t="s">
        <v>113</v>
      </c>
      <c r="D4236" s="65" t="str">
        <f>vlookup(C4236,'Classificação p pessoal'!F:G,2,false)</f>
        <v>NP</v>
      </c>
      <c r="E4236" s="65" t="s">
        <v>3141</v>
      </c>
      <c r="F4236" s="83">
        <v>0.5</v>
      </c>
      <c r="G4236" s="83">
        <v>0.5208333333333334</v>
      </c>
      <c r="H4236" s="83">
        <v>0.020833333333333332</v>
      </c>
      <c r="I4236" s="84">
        <v>44384.0</v>
      </c>
      <c r="J4236" s="65" t="b">
        <v>1</v>
      </c>
      <c r="K4236" s="65"/>
      <c r="L4236" s="85" t="b">
        <f>IF(VLOOKUP(C4236,Projetos!A:L,12,false)=TRUE,TRUE,FALSE)</f>
        <v>1</v>
      </c>
      <c r="M4236" s="74">
        <v>52.1518759018759</v>
      </c>
      <c r="N4236" s="74">
        <f t="shared" si="1"/>
        <v>26.07593795</v>
      </c>
      <c r="O4236" s="74" t="b">
        <v>1</v>
      </c>
    </row>
    <row r="4237" hidden="1">
      <c r="A4237" s="82"/>
      <c r="B4237" s="65" t="s">
        <v>467</v>
      </c>
      <c r="C4237" s="65" t="s">
        <v>92</v>
      </c>
      <c r="D4237" s="65" t="str">
        <f>vlookup(C4237,'Classificação p pessoal'!F:G,2,false)</f>
        <v/>
      </c>
      <c r="E4237" s="65" t="s">
        <v>3142</v>
      </c>
      <c r="F4237" s="83">
        <v>0.5833333333333334</v>
      </c>
      <c r="G4237" s="83">
        <v>0.59375</v>
      </c>
      <c r="H4237" s="83">
        <v>0.010416666666666666</v>
      </c>
      <c r="I4237" s="84">
        <v>44384.0</v>
      </c>
      <c r="J4237" s="65" t="b">
        <v>1</v>
      </c>
      <c r="K4237" s="65"/>
      <c r="L4237" s="85" t="b">
        <f>IF(VLOOKUP(C4237,Projetos!A:L,12,false)=TRUE,TRUE,FALSE)</f>
        <v>1</v>
      </c>
      <c r="M4237" s="74">
        <v>52.1518759018759</v>
      </c>
      <c r="N4237" s="74">
        <f t="shared" si="1"/>
        <v>13.03796898</v>
      </c>
      <c r="O4237" s="74" t="b">
        <v>1</v>
      </c>
    </row>
    <row r="4238" hidden="1">
      <c r="A4238" s="82"/>
      <c r="B4238" s="65" t="s">
        <v>467</v>
      </c>
      <c r="C4238" s="65" t="s">
        <v>88</v>
      </c>
      <c r="D4238" s="65"/>
      <c r="E4238" s="65" t="s">
        <v>3143</v>
      </c>
      <c r="F4238" s="83">
        <v>0.59375</v>
      </c>
      <c r="G4238" s="83">
        <v>0.625</v>
      </c>
      <c r="H4238" s="83">
        <v>0.03125</v>
      </c>
      <c r="I4238" s="84">
        <v>44384.0</v>
      </c>
      <c r="J4238" s="65" t="b">
        <v>0</v>
      </c>
      <c r="K4238" s="65" t="s">
        <v>150</v>
      </c>
      <c r="L4238" s="85" t="b">
        <f>IF(VLOOKUP(C4238,Projetos!A:L,12,false)=TRUE,TRUE,FALSE)</f>
        <v>1</v>
      </c>
      <c r="M4238" s="74">
        <v>52.1518759018759</v>
      </c>
      <c r="N4238" s="74">
        <f t="shared" si="1"/>
        <v>0</v>
      </c>
      <c r="O4238" s="74" t="b">
        <v>1</v>
      </c>
    </row>
    <row r="4239" hidden="1">
      <c r="A4239" s="82"/>
      <c r="B4239" s="65" t="s">
        <v>467</v>
      </c>
      <c r="C4239" s="65" t="s">
        <v>120</v>
      </c>
      <c r="D4239" s="65"/>
      <c r="E4239" s="65" t="s">
        <v>3095</v>
      </c>
      <c r="F4239" s="83">
        <v>0.625</v>
      </c>
      <c r="G4239" s="83">
        <v>0.7916666666666666</v>
      </c>
      <c r="H4239" s="83">
        <v>0.16666666666666666</v>
      </c>
      <c r="I4239" s="84">
        <v>44384.0</v>
      </c>
      <c r="J4239" s="65" t="b">
        <v>0</v>
      </c>
      <c r="K4239" s="65" t="s">
        <v>150</v>
      </c>
      <c r="L4239" s="85" t="b">
        <f>IF(VLOOKUP(C4239,Projetos!A:L,12,false)=TRUE,TRUE,FALSE)</f>
        <v>0</v>
      </c>
      <c r="M4239" s="74">
        <v>52.1518759018759</v>
      </c>
      <c r="N4239" s="74">
        <f t="shared" si="1"/>
        <v>0</v>
      </c>
      <c r="O4239" s="74" t="b">
        <v>0</v>
      </c>
    </row>
    <row r="4240" hidden="1">
      <c r="A4240" s="82"/>
      <c r="B4240" s="65" t="s">
        <v>467</v>
      </c>
      <c r="C4240" s="65" t="s">
        <v>113</v>
      </c>
      <c r="D4240" s="65" t="str">
        <f>vlookup(C4240,'Classificação p pessoal'!F:G,2,false)</f>
        <v>NP</v>
      </c>
      <c r="E4240" s="65" t="s">
        <v>3144</v>
      </c>
      <c r="F4240" s="83">
        <v>0.3472222222222222</v>
      </c>
      <c r="G4240" s="83">
        <v>0.4375</v>
      </c>
      <c r="H4240" s="83">
        <v>0.09027777777777778</v>
      </c>
      <c r="I4240" s="84">
        <v>44385.0</v>
      </c>
      <c r="J4240" s="65" t="b">
        <v>1</v>
      </c>
      <c r="K4240" s="65"/>
      <c r="L4240" s="85" t="b">
        <f>IF(VLOOKUP(C4240,Projetos!A:L,12,false)=TRUE,TRUE,FALSE)</f>
        <v>1</v>
      </c>
      <c r="M4240" s="74">
        <v>52.1518759018759</v>
      </c>
      <c r="N4240" s="74">
        <f t="shared" si="1"/>
        <v>112.9957311</v>
      </c>
      <c r="O4240" s="74" t="b">
        <v>1</v>
      </c>
    </row>
    <row r="4241" hidden="1">
      <c r="A4241" s="82"/>
      <c r="B4241" s="65" t="s">
        <v>467</v>
      </c>
      <c r="C4241" s="65" t="s">
        <v>92</v>
      </c>
      <c r="D4241" s="65"/>
      <c r="E4241" s="65" t="s">
        <v>3145</v>
      </c>
      <c r="F4241" s="83">
        <v>0.4375</v>
      </c>
      <c r="G4241" s="83">
        <v>0.4791666666666667</v>
      </c>
      <c r="H4241" s="83">
        <v>0.041666666666666664</v>
      </c>
      <c r="I4241" s="84">
        <v>44385.0</v>
      </c>
      <c r="J4241" s="65" t="b">
        <v>0</v>
      </c>
      <c r="K4241" s="65" t="s">
        <v>150</v>
      </c>
      <c r="L4241" s="85" t="b">
        <f>IF(VLOOKUP(C4241,Projetos!A:L,12,false)=TRUE,TRUE,FALSE)</f>
        <v>1</v>
      </c>
      <c r="M4241" s="74">
        <v>52.1518759018759</v>
      </c>
      <c r="N4241" s="74">
        <f t="shared" si="1"/>
        <v>0</v>
      </c>
      <c r="O4241" s="74" t="b">
        <v>1</v>
      </c>
    </row>
    <row r="4242" hidden="1">
      <c r="A4242" s="82"/>
      <c r="B4242" s="65" t="s">
        <v>467</v>
      </c>
      <c r="C4242" s="65" t="s">
        <v>88</v>
      </c>
      <c r="D4242" s="65" t="str">
        <f>vlookup(C4242,'Classificação p pessoal'!F:G,2,false)</f>
        <v>MProduto</v>
      </c>
      <c r="E4242" s="65" t="s">
        <v>3146</v>
      </c>
      <c r="F4242" s="83">
        <v>0.5833333333333334</v>
      </c>
      <c r="G4242" s="83">
        <v>0.625</v>
      </c>
      <c r="H4242" s="83">
        <v>0.041666666666666664</v>
      </c>
      <c r="I4242" s="84">
        <v>44385.0</v>
      </c>
      <c r="J4242" s="65" t="b">
        <v>1</v>
      </c>
      <c r="K4242" s="65"/>
      <c r="L4242" s="85" t="b">
        <f>IF(VLOOKUP(C4242,Projetos!A:L,12,false)=TRUE,TRUE,FALSE)</f>
        <v>1</v>
      </c>
      <c r="M4242" s="74">
        <v>52.1518759018759</v>
      </c>
      <c r="N4242" s="74">
        <f t="shared" si="1"/>
        <v>52.1518759</v>
      </c>
      <c r="O4242" s="74" t="b">
        <v>1</v>
      </c>
    </row>
    <row r="4243" hidden="1">
      <c r="A4243" s="82"/>
      <c r="B4243" s="65" t="s">
        <v>467</v>
      </c>
      <c r="C4243" s="65" t="s">
        <v>92</v>
      </c>
      <c r="D4243" s="65" t="str">
        <f>vlookup(C4243,'Classificação p pessoal'!F:G,2,false)</f>
        <v/>
      </c>
      <c r="E4243" s="65" t="s">
        <v>3147</v>
      </c>
      <c r="F4243" s="83">
        <v>0.4166666666666667</v>
      </c>
      <c r="G4243" s="83">
        <v>0.4583333333333333</v>
      </c>
      <c r="H4243" s="83">
        <v>0.041666666666666664</v>
      </c>
      <c r="I4243" s="84">
        <v>44386.0</v>
      </c>
      <c r="J4243" s="65" t="b">
        <v>1</v>
      </c>
      <c r="K4243" s="65"/>
      <c r="L4243" s="85" t="b">
        <f>IF(VLOOKUP(C4243,Projetos!A:L,12,false)=TRUE,TRUE,FALSE)</f>
        <v>1</v>
      </c>
      <c r="M4243" s="74">
        <v>52.1518759018759</v>
      </c>
      <c r="N4243" s="74">
        <f t="shared" si="1"/>
        <v>52.1518759</v>
      </c>
      <c r="O4243" s="74" t="b">
        <v>1</v>
      </c>
    </row>
    <row r="4244" hidden="1">
      <c r="A4244" s="82"/>
      <c r="B4244" s="65" t="s">
        <v>467</v>
      </c>
      <c r="C4244" s="65" t="s">
        <v>113</v>
      </c>
      <c r="D4244" s="65" t="str">
        <f>vlookup(C4244,'Classificação p pessoal'!F:G,2,false)</f>
        <v>NP</v>
      </c>
      <c r="E4244" s="65" t="s">
        <v>3148</v>
      </c>
      <c r="F4244" s="83">
        <v>0.5416666666666666</v>
      </c>
      <c r="G4244" s="83">
        <v>0.5833333333333334</v>
      </c>
      <c r="H4244" s="83">
        <v>0.041666666666666664</v>
      </c>
      <c r="I4244" s="84">
        <v>44386.0</v>
      </c>
      <c r="J4244" s="65" t="b">
        <v>1</v>
      </c>
      <c r="K4244" s="65"/>
      <c r="L4244" s="85" t="b">
        <f>IF(VLOOKUP(C4244,Projetos!A:L,12,false)=TRUE,TRUE,FALSE)</f>
        <v>1</v>
      </c>
      <c r="M4244" s="74">
        <v>52.1518759018759</v>
      </c>
      <c r="N4244" s="74">
        <f t="shared" si="1"/>
        <v>52.1518759</v>
      </c>
      <c r="O4244" s="74" t="b">
        <v>1</v>
      </c>
    </row>
    <row r="4245" hidden="1">
      <c r="A4245" s="82"/>
      <c r="B4245" s="65" t="s">
        <v>467</v>
      </c>
      <c r="C4245" s="65" t="s">
        <v>120</v>
      </c>
      <c r="D4245" s="65"/>
      <c r="E4245" s="65" t="s">
        <v>3095</v>
      </c>
      <c r="F4245" s="83">
        <v>0.625</v>
      </c>
      <c r="G4245" s="83">
        <v>0.7916666666666666</v>
      </c>
      <c r="H4245" s="83">
        <v>0.16666666666666666</v>
      </c>
      <c r="I4245" s="84">
        <v>44386.0</v>
      </c>
      <c r="J4245" s="65" t="b">
        <v>0</v>
      </c>
      <c r="K4245" s="65" t="s">
        <v>150</v>
      </c>
      <c r="L4245" s="85" t="b">
        <f>IF(VLOOKUP(C4245,Projetos!A:L,12,false)=TRUE,TRUE,FALSE)</f>
        <v>0</v>
      </c>
      <c r="M4245" s="74">
        <v>52.1518759018759</v>
      </c>
      <c r="N4245" s="74">
        <f t="shared" si="1"/>
        <v>0</v>
      </c>
      <c r="O4245" s="74" t="b">
        <v>0</v>
      </c>
    </row>
    <row r="4246" hidden="1">
      <c r="A4246" s="82"/>
      <c r="B4246" s="65" t="s">
        <v>467</v>
      </c>
      <c r="C4246" s="65" t="s">
        <v>88</v>
      </c>
      <c r="D4246" s="65"/>
      <c r="E4246" s="65" t="s">
        <v>3149</v>
      </c>
      <c r="F4246" s="83">
        <v>0.34375</v>
      </c>
      <c r="G4246" s="83">
        <v>0.4166666666666667</v>
      </c>
      <c r="H4246" s="83">
        <v>0.07291666666666667</v>
      </c>
      <c r="I4246" s="84">
        <v>44388.0</v>
      </c>
      <c r="J4246" s="65" t="b">
        <v>0</v>
      </c>
      <c r="K4246" s="65" t="s">
        <v>150</v>
      </c>
      <c r="L4246" s="85" t="b">
        <f>IF(VLOOKUP(C4246,Projetos!A:L,12,false)=TRUE,TRUE,FALSE)</f>
        <v>1</v>
      </c>
      <c r="M4246" s="74">
        <v>52.1518759018759</v>
      </c>
      <c r="N4246" s="74">
        <f t="shared" si="1"/>
        <v>0</v>
      </c>
      <c r="O4246" s="74" t="b">
        <v>1</v>
      </c>
    </row>
    <row r="4247" hidden="1">
      <c r="A4247" s="82"/>
      <c r="B4247" s="65" t="s">
        <v>467</v>
      </c>
      <c r="C4247" s="65" t="s">
        <v>122</v>
      </c>
      <c r="D4247" s="65" t="str">
        <f>vlookup(C4247,'Classificação p pessoal'!F:G,2,false)</f>
        <v>NP</v>
      </c>
      <c r="E4247" s="65" t="s">
        <v>3150</v>
      </c>
      <c r="F4247" s="83">
        <v>0.4166666666666667</v>
      </c>
      <c r="G4247" s="83">
        <v>0.4305555555555556</v>
      </c>
      <c r="H4247" s="83">
        <v>0.013888888888888888</v>
      </c>
      <c r="I4247" s="84">
        <v>44388.0</v>
      </c>
      <c r="J4247" s="65" t="b">
        <v>1</v>
      </c>
      <c r="K4247" s="65"/>
      <c r="L4247" s="85" t="b">
        <f>IF(VLOOKUP(C4247,Projetos!A:L,12,false)=TRUE,TRUE,FALSE)</f>
        <v>1</v>
      </c>
      <c r="M4247" s="74">
        <v>52.1518759018759</v>
      </c>
      <c r="N4247" s="74">
        <f t="shared" si="1"/>
        <v>17.38395863</v>
      </c>
      <c r="O4247" s="74" t="b">
        <v>1</v>
      </c>
    </row>
    <row r="4248" hidden="1">
      <c r="A4248" s="82"/>
      <c r="B4248" s="65" t="s">
        <v>467</v>
      </c>
      <c r="C4248" s="65" t="s">
        <v>120</v>
      </c>
      <c r="D4248" s="65"/>
      <c r="E4248" s="65" t="s">
        <v>3095</v>
      </c>
      <c r="F4248" s="83">
        <v>0.625</v>
      </c>
      <c r="G4248" s="83">
        <v>0.7916666666666666</v>
      </c>
      <c r="H4248" s="83">
        <v>0.16666666666666666</v>
      </c>
      <c r="I4248" s="84">
        <v>44388.0</v>
      </c>
      <c r="J4248" s="65" t="b">
        <v>0</v>
      </c>
      <c r="K4248" s="65" t="s">
        <v>150</v>
      </c>
      <c r="L4248" s="85" t="b">
        <f>IF(VLOOKUP(C4248,Projetos!A:L,12,false)=TRUE,TRUE,FALSE)</f>
        <v>0</v>
      </c>
      <c r="M4248" s="74">
        <v>52.1518759018759</v>
      </c>
      <c r="N4248" s="74">
        <f t="shared" si="1"/>
        <v>0</v>
      </c>
      <c r="O4248" s="74" t="b">
        <v>0</v>
      </c>
    </row>
    <row r="4249" hidden="1">
      <c r="A4249" s="82"/>
      <c r="B4249" s="65" t="s">
        <v>467</v>
      </c>
      <c r="C4249" s="65" t="s">
        <v>130</v>
      </c>
      <c r="D4249" s="65"/>
      <c r="E4249" s="65" t="s">
        <v>3151</v>
      </c>
      <c r="F4249" s="83">
        <v>0.34375</v>
      </c>
      <c r="G4249" s="83">
        <v>0.3645833333333333</v>
      </c>
      <c r="H4249" s="83">
        <v>0.020833333333333332</v>
      </c>
      <c r="I4249" s="84">
        <v>44389.0</v>
      </c>
      <c r="J4249" s="65" t="b">
        <v>0</v>
      </c>
      <c r="K4249" s="65" t="s">
        <v>150</v>
      </c>
      <c r="L4249" s="85" t="b">
        <f>IF(VLOOKUP(C4249,Projetos!A:L,12,false)=TRUE,TRUE,FALSE)</f>
        <v>1</v>
      </c>
      <c r="M4249" s="74">
        <v>52.1518759018759</v>
      </c>
      <c r="N4249" s="74">
        <f t="shared" si="1"/>
        <v>0</v>
      </c>
      <c r="O4249" s="74" t="b">
        <v>1</v>
      </c>
    </row>
    <row r="4250" hidden="1">
      <c r="A4250" s="82"/>
      <c r="B4250" s="65" t="s">
        <v>467</v>
      </c>
      <c r="C4250" s="65" t="s">
        <v>88</v>
      </c>
      <c r="D4250" s="65" t="str">
        <f>vlookup(C4250,'Classificação p pessoal'!F:G,2,false)</f>
        <v>MProduto</v>
      </c>
      <c r="E4250" s="65" t="s">
        <v>3152</v>
      </c>
      <c r="F4250" s="83">
        <v>0.4166666666666667</v>
      </c>
      <c r="G4250" s="83">
        <v>0.5</v>
      </c>
      <c r="H4250" s="83">
        <v>0.08333333333333333</v>
      </c>
      <c r="I4250" s="84">
        <v>44389.0</v>
      </c>
      <c r="J4250" s="65" t="b">
        <v>1</v>
      </c>
      <c r="K4250" s="65"/>
      <c r="L4250" s="85" t="b">
        <f>IF(VLOOKUP(C4250,Projetos!A:L,12,false)=TRUE,TRUE,FALSE)</f>
        <v>1</v>
      </c>
      <c r="M4250" s="74">
        <v>52.1518759018759</v>
      </c>
      <c r="N4250" s="74">
        <f t="shared" si="1"/>
        <v>104.3037518</v>
      </c>
      <c r="O4250" s="74" t="b">
        <v>1</v>
      </c>
    </row>
    <row r="4251" hidden="1">
      <c r="A4251" s="82"/>
      <c r="B4251" s="65" t="s">
        <v>467</v>
      </c>
      <c r="C4251" s="65" t="s">
        <v>120</v>
      </c>
      <c r="D4251" s="65"/>
      <c r="E4251" s="65" t="s">
        <v>3153</v>
      </c>
      <c r="F4251" s="83">
        <v>0.5833333333333334</v>
      </c>
      <c r="G4251" s="83">
        <v>0.7083333333333334</v>
      </c>
      <c r="H4251" s="83">
        <v>0.125</v>
      </c>
      <c r="I4251" s="84">
        <v>44389.0</v>
      </c>
      <c r="J4251" s="65" t="b">
        <v>0</v>
      </c>
      <c r="K4251" s="65" t="s">
        <v>150</v>
      </c>
      <c r="L4251" s="85" t="b">
        <f>IF(VLOOKUP(C4251,Projetos!A:L,12,false)=TRUE,TRUE,FALSE)</f>
        <v>0</v>
      </c>
      <c r="M4251" s="74">
        <v>52.1518759018759</v>
      </c>
      <c r="N4251" s="74">
        <f t="shared" si="1"/>
        <v>0</v>
      </c>
      <c r="O4251" s="74" t="b">
        <v>0</v>
      </c>
    </row>
    <row r="4252" hidden="1">
      <c r="A4252" s="82"/>
      <c r="B4252" s="65" t="s">
        <v>467</v>
      </c>
      <c r="C4252" s="65" t="s">
        <v>130</v>
      </c>
      <c r="D4252" s="65" t="str">
        <f>vlookup(C4252,'Classificação p pessoal'!F:G,2,false)</f>
        <v>NP</v>
      </c>
      <c r="E4252" s="65" t="s">
        <v>3154</v>
      </c>
      <c r="F4252" s="83">
        <v>0.7083333333333334</v>
      </c>
      <c r="G4252" s="83">
        <v>0.7291666666666666</v>
      </c>
      <c r="H4252" s="83">
        <v>0.020833333333333332</v>
      </c>
      <c r="I4252" s="84">
        <v>44389.0</v>
      </c>
      <c r="J4252" s="65" t="b">
        <v>1</v>
      </c>
      <c r="K4252" s="65"/>
      <c r="L4252" s="85" t="b">
        <f>IF(VLOOKUP(C4252,Projetos!A:L,12,false)=TRUE,TRUE,FALSE)</f>
        <v>1</v>
      </c>
      <c r="M4252" s="74">
        <v>52.1518759018759</v>
      </c>
      <c r="N4252" s="74">
        <f t="shared" si="1"/>
        <v>26.07593795</v>
      </c>
      <c r="O4252" s="74" t="b">
        <v>1</v>
      </c>
    </row>
    <row r="4253" hidden="1">
      <c r="A4253" s="82"/>
      <c r="B4253" s="65" t="s">
        <v>467</v>
      </c>
      <c r="C4253" s="65" t="s">
        <v>88</v>
      </c>
      <c r="D4253" s="65" t="str">
        <f>vlookup(C4253,'Classificação p pessoal'!F:G,2,false)</f>
        <v>MProduto</v>
      </c>
      <c r="E4253" s="65" t="s">
        <v>3155</v>
      </c>
      <c r="F4253" s="83">
        <v>0.3541666666666667</v>
      </c>
      <c r="G4253" s="83">
        <v>0.375</v>
      </c>
      <c r="H4253" s="83">
        <v>0.020833333333333332</v>
      </c>
      <c r="I4253" s="84">
        <v>44390.0</v>
      </c>
      <c r="J4253" s="65" t="b">
        <v>1</v>
      </c>
      <c r="K4253" s="65"/>
      <c r="L4253" s="85" t="b">
        <f>IF(VLOOKUP(C4253,Projetos!A:L,12,false)=TRUE,TRUE,FALSE)</f>
        <v>1</v>
      </c>
      <c r="M4253" s="74">
        <v>52.1518759018759</v>
      </c>
      <c r="N4253" s="74">
        <f t="shared" si="1"/>
        <v>26.07593795</v>
      </c>
      <c r="O4253" s="74" t="b">
        <v>1</v>
      </c>
    </row>
    <row r="4254" hidden="1">
      <c r="A4254" s="82"/>
      <c r="B4254" s="65" t="s">
        <v>467</v>
      </c>
      <c r="C4254" s="65" t="s">
        <v>122</v>
      </c>
      <c r="D4254" s="65" t="str">
        <f>vlookup(C4254,'Classificação p pessoal'!F:G,2,false)</f>
        <v>NP</v>
      </c>
      <c r="E4254" s="65" t="s">
        <v>3156</v>
      </c>
      <c r="F4254" s="83">
        <v>0.375</v>
      </c>
      <c r="G4254" s="83">
        <v>0.3958333333333333</v>
      </c>
      <c r="H4254" s="83">
        <v>0.020833333333333332</v>
      </c>
      <c r="I4254" s="84">
        <v>44390.0</v>
      </c>
      <c r="J4254" s="65" t="b">
        <v>1</v>
      </c>
      <c r="K4254" s="65"/>
      <c r="L4254" s="85" t="b">
        <f>IF(VLOOKUP(C4254,Projetos!A:L,12,false)=TRUE,TRUE,FALSE)</f>
        <v>1</v>
      </c>
      <c r="M4254" s="74">
        <v>52.1518759018759</v>
      </c>
      <c r="N4254" s="74">
        <f t="shared" si="1"/>
        <v>26.07593795</v>
      </c>
      <c r="O4254" s="74" t="b">
        <v>1</v>
      </c>
    </row>
    <row r="4255" hidden="1">
      <c r="A4255" s="82"/>
      <c r="B4255" s="65" t="s">
        <v>467</v>
      </c>
      <c r="C4255" s="65" t="s">
        <v>88</v>
      </c>
      <c r="D4255" s="65" t="str">
        <f>vlookup(C4255,'Classificação p pessoal'!F:G,2,false)</f>
        <v>MProduto</v>
      </c>
      <c r="E4255" s="65" t="s">
        <v>3157</v>
      </c>
      <c r="F4255" s="83">
        <v>0.4166666666666667</v>
      </c>
      <c r="G4255" s="83">
        <v>0.5</v>
      </c>
      <c r="H4255" s="83">
        <v>0.08333333333333333</v>
      </c>
      <c r="I4255" s="84">
        <v>44390.0</v>
      </c>
      <c r="J4255" s="65" t="b">
        <v>1</v>
      </c>
      <c r="K4255" s="65"/>
      <c r="L4255" s="85" t="b">
        <f>IF(VLOOKUP(C4255,Projetos!A:L,12,false)=TRUE,TRUE,FALSE)</f>
        <v>1</v>
      </c>
      <c r="M4255" s="74">
        <v>52.1518759018759</v>
      </c>
      <c r="N4255" s="74">
        <f t="shared" si="1"/>
        <v>104.3037518</v>
      </c>
      <c r="O4255" s="74" t="b">
        <v>1</v>
      </c>
    </row>
    <row r="4256" hidden="1">
      <c r="A4256" s="82"/>
      <c r="B4256" s="65" t="s">
        <v>467</v>
      </c>
      <c r="C4256" s="65" t="s">
        <v>92</v>
      </c>
      <c r="D4256" s="65" t="str">
        <f>vlookup(C4256,'Classificação p pessoal'!F:G,2,false)</f>
        <v/>
      </c>
      <c r="E4256" s="65" t="s">
        <v>3158</v>
      </c>
      <c r="F4256" s="83">
        <v>0.5416666666666666</v>
      </c>
      <c r="G4256" s="83">
        <v>0.5833333333333334</v>
      </c>
      <c r="H4256" s="83">
        <v>0.041666666666666664</v>
      </c>
      <c r="I4256" s="84">
        <v>44390.0</v>
      </c>
      <c r="J4256" s="65" t="b">
        <v>1</v>
      </c>
      <c r="K4256" s="65"/>
      <c r="L4256" s="85" t="b">
        <f>IF(VLOOKUP(C4256,Projetos!A:L,12,false)=TRUE,TRUE,FALSE)</f>
        <v>1</v>
      </c>
      <c r="M4256" s="74">
        <v>52.1518759018759</v>
      </c>
      <c r="N4256" s="74">
        <f t="shared" si="1"/>
        <v>52.1518759</v>
      </c>
      <c r="O4256" s="74" t="b">
        <v>1</v>
      </c>
    </row>
    <row r="4257" hidden="1">
      <c r="A4257" s="82"/>
      <c r="B4257" s="65" t="s">
        <v>467</v>
      </c>
      <c r="C4257" s="65" t="s">
        <v>92</v>
      </c>
      <c r="D4257" s="65" t="str">
        <f>vlookup(C4257,'Classificação p pessoal'!F:G,2,false)</f>
        <v/>
      </c>
      <c r="E4257" s="65" t="s">
        <v>3159</v>
      </c>
      <c r="F4257" s="83">
        <v>0.5833333333333334</v>
      </c>
      <c r="G4257" s="83">
        <v>0.59375</v>
      </c>
      <c r="H4257" s="83">
        <v>0.010416666666666666</v>
      </c>
      <c r="I4257" s="84">
        <v>44390.0</v>
      </c>
      <c r="J4257" s="65" t="b">
        <v>1</v>
      </c>
      <c r="K4257" s="65"/>
      <c r="L4257" s="85" t="b">
        <f>IF(VLOOKUP(C4257,Projetos!A:L,12,false)=TRUE,TRUE,FALSE)</f>
        <v>1</v>
      </c>
      <c r="M4257" s="74">
        <v>52.1518759018759</v>
      </c>
      <c r="N4257" s="74">
        <f t="shared" si="1"/>
        <v>13.03796898</v>
      </c>
      <c r="O4257" s="74" t="b">
        <v>1</v>
      </c>
    </row>
    <row r="4258" hidden="1">
      <c r="A4258" s="82"/>
      <c r="B4258" s="65" t="s">
        <v>467</v>
      </c>
      <c r="C4258" s="65" t="s">
        <v>92</v>
      </c>
      <c r="D4258" s="65" t="str">
        <f>vlookup(C4258,'Classificação p pessoal'!F:G,2,false)</f>
        <v/>
      </c>
      <c r="E4258" s="65" t="s">
        <v>3160</v>
      </c>
      <c r="F4258" s="83">
        <v>0.375</v>
      </c>
      <c r="G4258" s="83">
        <v>0.4166666666666667</v>
      </c>
      <c r="H4258" s="83">
        <v>0.041666666666666664</v>
      </c>
      <c r="I4258" s="84">
        <v>44391.0</v>
      </c>
      <c r="J4258" s="65" t="b">
        <v>1</v>
      </c>
      <c r="K4258" s="65"/>
      <c r="L4258" s="85" t="b">
        <f>IF(VLOOKUP(C4258,Projetos!A:L,12,false)=TRUE,TRUE,FALSE)</f>
        <v>1</v>
      </c>
      <c r="M4258" s="74">
        <v>52.1518759018759</v>
      </c>
      <c r="N4258" s="74">
        <f t="shared" si="1"/>
        <v>52.1518759</v>
      </c>
      <c r="O4258" s="74" t="b">
        <v>1</v>
      </c>
    </row>
    <row r="4259" hidden="1">
      <c r="A4259" s="82"/>
      <c r="B4259" s="65" t="s">
        <v>467</v>
      </c>
      <c r="C4259" s="65" t="s">
        <v>117</v>
      </c>
      <c r="D4259" s="65" t="str">
        <f>vlookup(C4259,'Classificação p pessoal'!F:G,2,false)</f>
        <v>NP</v>
      </c>
      <c r="E4259" s="65" t="s">
        <v>3161</v>
      </c>
      <c r="F4259" s="83">
        <v>0.4166666666666667</v>
      </c>
      <c r="G4259" s="83">
        <v>0.5</v>
      </c>
      <c r="H4259" s="83">
        <v>0.08333333333333333</v>
      </c>
      <c r="I4259" s="84">
        <v>44391.0</v>
      </c>
      <c r="J4259" s="65" t="b">
        <v>1</v>
      </c>
      <c r="K4259" s="65"/>
      <c r="L4259" s="85" t="b">
        <f>IF(VLOOKUP(C4259,Projetos!A:L,12,false)=TRUE,TRUE,FALSE)</f>
        <v>1</v>
      </c>
      <c r="M4259" s="74">
        <v>52.1518759018759</v>
      </c>
      <c r="N4259" s="74">
        <f t="shared" si="1"/>
        <v>104.3037518</v>
      </c>
      <c r="O4259" s="74" t="b">
        <v>1</v>
      </c>
    </row>
    <row r="4260" hidden="1">
      <c r="A4260" s="82"/>
      <c r="B4260" s="65" t="s">
        <v>467</v>
      </c>
      <c r="C4260" s="65" t="s">
        <v>117</v>
      </c>
      <c r="D4260" s="65" t="str">
        <f>vlookup(C4260,'Classificação p pessoal'!F:G,2,false)</f>
        <v>NP</v>
      </c>
      <c r="E4260" s="65" t="s">
        <v>3161</v>
      </c>
      <c r="F4260" s="83">
        <v>0.5416666666666666</v>
      </c>
      <c r="G4260" s="83">
        <v>0.625</v>
      </c>
      <c r="H4260" s="83">
        <v>0.08333333333333333</v>
      </c>
      <c r="I4260" s="84">
        <v>44391.0</v>
      </c>
      <c r="J4260" s="65" t="b">
        <v>1</v>
      </c>
      <c r="K4260" s="65"/>
      <c r="L4260" s="85" t="b">
        <f>IF(VLOOKUP(C4260,Projetos!A:L,12,false)=TRUE,TRUE,FALSE)</f>
        <v>1</v>
      </c>
      <c r="M4260" s="74">
        <v>52.1518759018759</v>
      </c>
      <c r="N4260" s="74">
        <f t="shared" si="1"/>
        <v>104.3037518</v>
      </c>
      <c r="O4260" s="74" t="b">
        <v>1</v>
      </c>
    </row>
    <row r="4261" hidden="1">
      <c r="A4261" s="82"/>
      <c r="B4261" s="65" t="s">
        <v>467</v>
      </c>
      <c r="C4261" s="65" t="s">
        <v>120</v>
      </c>
      <c r="D4261" s="65"/>
      <c r="E4261" s="65" t="s">
        <v>3095</v>
      </c>
      <c r="F4261" s="83">
        <v>0.625</v>
      </c>
      <c r="G4261" s="83">
        <v>0.7916666666666666</v>
      </c>
      <c r="H4261" s="83">
        <v>0.16666666666666666</v>
      </c>
      <c r="I4261" s="84">
        <v>44391.0</v>
      </c>
      <c r="J4261" s="65" t="b">
        <v>0</v>
      </c>
      <c r="K4261" s="65" t="s">
        <v>150</v>
      </c>
      <c r="L4261" s="85" t="b">
        <f>IF(VLOOKUP(C4261,Projetos!A:L,12,false)=TRUE,TRUE,FALSE)</f>
        <v>0</v>
      </c>
      <c r="M4261" s="74">
        <v>52.1518759018759</v>
      </c>
      <c r="N4261" s="74">
        <f t="shared" si="1"/>
        <v>0</v>
      </c>
      <c r="O4261" s="74" t="b">
        <v>0</v>
      </c>
    </row>
    <row r="4262" hidden="1">
      <c r="A4262" s="82"/>
      <c r="B4262" s="65" t="s">
        <v>467</v>
      </c>
      <c r="C4262" s="65" t="s">
        <v>88</v>
      </c>
      <c r="D4262" s="65" t="str">
        <f>vlookup(C4262,'Classificação p pessoal'!F:G,2,false)</f>
        <v>MProduto</v>
      </c>
      <c r="E4262" s="65" t="s">
        <v>3162</v>
      </c>
      <c r="F4262" s="83">
        <v>0.34375</v>
      </c>
      <c r="G4262" s="83">
        <v>0.3958333333333333</v>
      </c>
      <c r="H4262" s="83">
        <v>0.052083333333333336</v>
      </c>
      <c r="I4262" s="84">
        <v>44392.0</v>
      </c>
      <c r="J4262" s="65" t="b">
        <v>1</v>
      </c>
      <c r="K4262" s="65"/>
      <c r="L4262" s="85" t="b">
        <f>IF(VLOOKUP(C4262,Projetos!A:L,12,false)=TRUE,TRUE,FALSE)</f>
        <v>1</v>
      </c>
      <c r="M4262" s="74">
        <v>52.1518759018759</v>
      </c>
      <c r="N4262" s="74">
        <f t="shared" si="1"/>
        <v>65.18984488</v>
      </c>
      <c r="O4262" s="74" t="b">
        <v>1</v>
      </c>
    </row>
    <row r="4263" hidden="1">
      <c r="A4263" s="82"/>
      <c r="B4263" s="65" t="s">
        <v>467</v>
      </c>
      <c r="C4263" s="65" t="s">
        <v>130</v>
      </c>
      <c r="D4263" s="65" t="str">
        <f>vlookup(C4263,'Classificação p pessoal'!F:G,2,false)</f>
        <v>NP</v>
      </c>
      <c r="E4263" s="65" t="s">
        <v>3163</v>
      </c>
      <c r="F4263" s="83">
        <v>0.4166666666666667</v>
      </c>
      <c r="G4263" s="83">
        <v>0.4375</v>
      </c>
      <c r="H4263" s="83">
        <v>0.020833333333333332</v>
      </c>
      <c r="I4263" s="84">
        <v>44392.0</v>
      </c>
      <c r="J4263" s="65" t="b">
        <v>1</v>
      </c>
      <c r="K4263" s="65"/>
      <c r="L4263" s="85" t="b">
        <f>IF(VLOOKUP(C4263,Projetos!A:L,12,false)=TRUE,TRUE,FALSE)</f>
        <v>1</v>
      </c>
      <c r="M4263" s="74">
        <v>52.1518759018759</v>
      </c>
      <c r="N4263" s="74">
        <f t="shared" si="1"/>
        <v>26.07593795</v>
      </c>
      <c r="O4263" s="74" t="b">
        <v>1</v>
      </c>
    </row>
    <row r="4264" hidden="1">
      <c r="A4264" s="82"/>
      <c r="B4264" s="65" t="s">
        <v>467</v>
      </c>
      <c r="C4264" s="65" t="s">
        <v>130</v>
      </c>
      <c r="D4264" s="65" t="str">
        <f>vlookup(C4264,'Classificação p pessoal'!F:G,2,false)</f>
        <v>NP</v>
      </c>
      <c r="E4264" s="65" t="s">
        <v>3164</v>
      </c>
      <c r="F4264" s="83">
        <v>0.4375</v>
      </c>
      <c r="G4264" s="83">
        <v>0.5208333333333334</v>
      </c>
      <c r="H4264" s="83">
        <v>0.08333333333333333</v>
      </c>
      <c r="I4264" s="84">
        <v>44392.0</v>
      </c>
      <c r="J4264" s="65" t="b">
        <v>1</v>
      </c>
      <c r="K4264" s="65"/>
      <c r="L4264" s="85" t="b">
        <f>IF(VLOOKUP(C4264,Projetos!A:L,12,false)=TRUE,TRUE,FALSE)</f>
        <v>1</v>
      </c>
      <c r="M4264" s="74">
        <v>52.1518759018759</v>
      </c>
      <c r="N4264" s="74">
        <f t="shared" si="1"/>
        <v>104.3037518</v>
      </c>
      <c r="O4264" s="74" t="b">
        <v>1</v>
      </c>
    </row>
    <row r="4265" hidden="1">
      <c r="A4265" s="82"/>
      <c r="B4265" s="65" t="s">
        <v>467</v>
      </c>
      <c r="C4265" s="65" t="s">
        <v>130</v>
      </c>
      <c r="D4265" s="65" t="str">
        <f>vlookup(C4265,'Classificação p pessoal'!F:G,2,false)</f>
        <v>NP</v>
      </c>
      <c r="E4265" s="65" t="s">
        <v>3165</v>
      </c>
      <c r="F4265" s="83">
        <v>0.5625</v>
      </c>
      <c r="G4265" s="83">
        <v>0.6666666666666666</v>
      </c>
      <c r="H4265" s="83">
        <v>0.10416666666666667</v>
      </c>
      <c r="I4265" s="84">
        <v>44392.0</v>
      </c>
      <c r="J4265" s="65" t="b">
        <v>1</v>
      </c>
      <c r="K4265" s="65"/>
      <c r="L4265" s="85" t="b">
        <f>IF(VLOOKUP(C4265,Projetos!A:L,12,false)=TRUE,TRUE,FALSE)</f>
        <v>1</v>
      </c>
      <c r="M4265" s="74">
        <v>52.1518759018759</v>
      </c>
      <c r="N4265" s="74">
        <f t="shared" si="1"/>
        <v>130.3796898</v>
      </c>
      <c r="O4265" s="74" t="b">
        <v>1</v>
      </c>
    </row>
    <row r="4266" hidden="1">
      <c r="A4266" s="82"/>
      <c r="B4266" s="65" t="s">
        <v>467</v>
      </c>
      <c r="C4266" s="65" t="s">
        <v>113</v>
      </c>
      <c r="D4266" s="65" t="str">
        <f>vlookup(C4266,'Classificação p pessoal'!F:G,2,false)</f>
        <v>NP</v>
      </c>
      <c r="E4266" s="65" t="s">
        <v>3166</v>
      </c>
      <c r="F4266" s="83">
        <v>0.6666666666666666</v>
      </c>
      <c r="G4266" s="83">
        <v>0.75</v>
      </c>
      <c r="H4266" s="83">
        <v>0.08333333333333333</v>
      </c>
      <c r="I4266" s="84">
        <v>44392.0</v>
      </c>
      <c r="J4266" s="65" t="b">
        <v>1</v>
      </c>
      <c r="K4266" s="65"/>
      <c r="L4266" s="85" t="b">
        <f>IF(VLOOKUP(C4266,Projetos!A:L,12,false)=TRUE,TRUE,FALSE)</f>
        <v>1</v>
      </c>
      <c r="M4266" s="74">
        <v>52.1518759018759</v>
      </c>
      <c r="N4266" s="74">
        <f t="shared" si="1"/>
        <v>104.3037518</v>
      </c>
      <c r="O4266" s="74" t="b">
        <v>1</v>
      </c>
    </row>
    <row r="4267" hidden="1">
      <c r="A4267" s="82"/>
      <c r="B4267" s="65" t="s">
        <v>467</v>
      </c>
      <c r="C4267" s="65" t="s">
        <v>113</v>
      </c>
      <c r="D4267" s="65" t="str">
        <f>vlookup(C4267,'Classificação p pessoal'!F:G,2,false)</f>
        <v>NP</v>
      </c>
      <c r="E4267" s="65" t="s">
        <v>3167</v>
      </c>
      <c r="F4267" s="83">
        <v>0.34375</v>
      </c>
      <c r="G4267" s="83">
        <v>0.3854166666666667</v>
      </c>
      <c r="H4267" s="83">
        <v>0.041666666666666664</v>
      </c>
      <c r="I4267" s="84">
        <v>44393.0</v>
      </c>
      <c r="J4267" s="65" t="b">
        <v>1</v>
      </c>
      <c r="K4267" s="65"/>
      <c r="L4267" s="85" t="b">
        <f>IF(VLOOKUP(C4267,Projetos!A:L,12,false)=TRUE,TRUE,FALSE)</f>
        <v>1</v>
      </c>
      <c r="M4267" s="74">
        <v>52.1518759018759</v>
      </c>
      <c r="N4267" s="74">
        <f t="shared" si="1"/>
        <v>52.1518759</v>
      </c>
      <c r="O4267" s="74" t="b">
        <v>1</v>
      </c>
    </row>
    <row r="4268" hidden="1">
      <c r="A4268" s="82"/>
      <c r="B4268" s="65" t="s">
        <v>467</v>
      </c>
      <c r="C4268" s="65" t="s">
        <v>130</v>
      </c>
      <c r="D4268" s="65" t="str">
        <f>vlookup(C4268,'Classificação p pessoal'!F:G,2,false)</f>
        <v>NP</v>
      </c>
      <c r="E4268" s="65" t="s">
        <v>3168</v>
      </c>
      <c r="F4268" s="83">
        <v>0.4166666666666667</v>
      </c>
      <c r="G4268" s="83">
        <v>0.4791666666666667</v>
      </c>
      <c r="H4268" s="83">
        <v>0.0625</v>
      </c>
      <c r="I4268" s="84">
        <v>44393.0</v>
      </c>
      <c r="J4268" s="65" t="b">
        <v>1</v>
      </c>
      <c r="K4268" s="65"/>
      <c r="L4268" s="85" t="b">
        <f>IF(VLOOKUP(C4268,Projetos!A:L,12,false)=TRUE,TRUE,FALSE)</f>
        <v>1</v>
      </c>
      <c r="M4268" s="74">
        <v>52.1518759018759</v>
      </c>
      <c r="N4268" s="74">
        <f t="shared" si="1"/>
        <v>78.22781385</v>
      </c>
      <c r="O4268" s="74" t="b">
        <v>1</v>
      </c>
    </row>
    <row r="4269" hidden="1">
      <c r="A4269" s="82"/>
      <c r="B4269" s="65" t="s">
        <v>467</v>
      </c>
      <c r="C4269" s="65" t="s">
        <v>130</v>
      </c>
      <c r="D4269" s="65" t="str">
        <f>vlookup(C4269,'Classificação p pessoal'!F:G,2,false)</f>
        <v>NP</v>
      </c>
      <c r="E4269" s="65" t="s">
        <v>3169</v>
      </c>
      <c r="F4269" s="83">
        <v>0.4791666666666667</v>
      </c>
      <c r="G4269" s="83">
        <v>0.5208333333333334</v>
      </c>
      <c r="H4269" s="83">
        <v>0.041666666666666664</v>
      </c>
      <c r="I4269" s="84">
        <v>44393.0</v>
      </c>
      <c r="J4269" s="65" t="b">
        <v>1</v>
      </c>
      <c r="K4269" s="65"/>
      <c r="L4269" s="85" t="b">
        <f>IF(VLOOKUP(C4269,Projetos!A:L,12,false)=TRUE,TRUE,FALSE)</f>
        <v>1</v>
      </c>
      <c r="M4269" s="74">
        <v>52.1518759018759</v>
      </c>
      <c r="N4269" s="74">
        <f t="shared" si="1"/>
        <v>52.1518759</v>
      </c>
      <c r="O4269" s="74" t="b">
        <v>1</v>
      </c>
    </row>
    <row r="4270" hidden="1">
      <c r="A4270" s="82"/>
      <c r="B4270" s="65" t="s">
        <v>467</v>
      </c>
      <c r="C4270" s="65" t="s">
        <v>120</v>
      </c>
      <c r="D4270" s="65"/>
      <c r="E4270" s="65" t="s">
        <v>3095</v>
      </c>
      <c r="F4270" s="83">
        <v>0.625</v>
      </c>
      <c r="G4270" s="83">
        <v>0.7916666666666666</v>
      </c>
      <c r="H4270" s="83">
        <v>0.16666666666666666</v>
      </c>
      <c r="I4270" s="84">
        <v>44393.0</v>
      </c>
      <c r="J4270" s="65" t="b">
        <v>0</v>
      </c>
      <c r="K4270" s="65" t="s">
        <v>150</v>
      </c>
      <c r="L4270" s="85" t="b">
        <f>IF(VLOOKUP(C4270,Projetos!A:L,12,false)=TRUE,TRUE,FALSE)</f>
        <v>0</v>
      </c>
      <c r="M4270" s="74">
        <v>52.1518759018759</v>
      </c>
      <c r="N4270" s="74">
        <f t="shared" si="1"/>
        <v>0</v>
      </c>
      <c r="O4270" s="74" t="b">
        <v>0</v>
      </c>
    </row>
    <row r="4271" hidden="1">
      <c r="A4271" s="82"/>
      <c r="B4271" s="65" t="s">
        <v>467</v>
      </c>
      <c r="C4271" s="65" t="s">
        <v>92</v>
      </c>
      <c r="D4271" s="65" t="str">
        <f>vlookup(C4271,'Classificação p pessoal'!F:G,2,false)</f>
        <v/>
      </c>
      <c r="E4271" s="65" t="s">
        <v>3170</v>
      </c>
      <c r="F4271" s="83">
        <v>0.3541666666666667</v>
      </c>
      <c r="G4271" s="83">
        <v>0.375</v>
      </c>
      <c r="H4271" s="83">
        <v>0.020833333333333332</v>
      </c>
      <c r="I4271" s="84">
        <v>44396.0</v>
      </c>
      <c r="J4271" s="65" t="b">
        <v>1</v>
      </c>
      <c r="K4271" s="65"/>
      <c r="L4271" s="85" t="b">
        <f>IF(VLOOKUP(C4271,Projetos!A:L,12,false)=TRUE,TRUE,FALSE)</f>
        <v>1</v>
      </c>
      <c r="M4271" s="74">
        <v>52.1518759018759</v>
      </c>
      <c r="N4271" s="74">
        <f t="shared" si="1"/>
        <v>26.07593795</v>
      </c>
      <c r="O4271" s="74" t="b">
        <v>1</v>
      </c>
    </row>
    <row r="4272" hidden="1">
      <c r="A4272" s="82"/>
      <c r="B4272" s="65" t="s">
        <v>467</v>
      </c>
      <c r="C4272" s="65" t="s">
        <v>120</v>
      </c>
      <c r="D4272" s="65"/>
      <c r="E4272" s="65" t="s">
        <v>3095</v>
      </c>
      <c r="F4272" s="83">
        <v>0.625</v>
      </c>
      <c r="G4272" s="83">
        <v>0.7916666666666666</v>
      </c>
      <c r="H4272" s="83">
        <v>0.16666666666666666</v>
      </c>
      <c r="I4272" s="84">
        <v>44396.0</v>
      </c>
      <c r="J4272" s="65" t="b">
        <v>0</v>
      </c>
      <c r="K4272" s="65" t="s">
        <v>150</v>
      </c>
      <c r="L4272" s="85" t="b">
        <f>IF(VLOOKUP(C4272,Projetos!A:L,12,false)=TRUE,TRUE,FALSE)</f>
        <v>0</v>
      </c>
      <c r="M4272" s="74">
        <v>52.1518759018759</v>
      </c>
      <c r="N4272" s="74">
        <f t="shared" si="1"/>
        <v>0</v>
      </c>
      <c r="O4272" s="74" t="b">
        <v>0</v>
      </c>
    </row>
    <row r="4273" hidden="1">
      <c r="A4273" s="82"/>
      <c r="B4273" s="65" t="s">
        <v>467</v>
      </c>
      <c r="C4273" s="65" t="s">
        <v>92</v>
      </c>
      <c r="D4273" s="65"/>
      <c r="E4273" s="65" t="s">
        <v>3171</v>
      </c>
      <c r="F4273" s="83">
        <v>0.375</v>
      </c>
      <c r="G4273" s="83">
        <v>0.4583333333333333</v>
      </c>
      <c r="H4273" s="83">
        <v>0.08333333333333333</v>
      </c>
      <c r="I4273" s="84">
        <v>44397.0</v>
      </c>
      <c r="J4273" s="65" t="b">
        <v>0</v>
      </c>
      <c r="K4273" s="65" t="s">
        <v>150</v>
      </c>
      <c r="L4273" s="85" t="b">
        <f>IF(VLOOKUP(C4273,Projetos!A:L,12,false)=TRUE,TRUE,FALSE)</f>
        <v>1</v>
      </c>
      <c r="M4273" s="74">
        <v>52.1518759018759</v>
      </c>
      <c r="N4273" s="74">
        <f t="shared" si="1"/>
        <v>0</v>
      </c>
      <c r="O4273" s="74" t="b">
        <v>1</v>
      </c>
    </row>
    <row r="4274" hidden="1">
      <c r="A4274" s="82"/>
      <c r="B4274" s="65" t="s">
        <v>467</v>
      </c>
      <c r="C4274" s="65" t="s">
        <v>92</v>
      </c>
      <c r="D4274" s="65" t="str">
        <f>vlookup(C4274,'Classificação p pessoal'!F:G,2,false)</f>
        <v/>
      </c>
      <c r="E4274" s="65" t="s">
        <v>3172</v>
      </c>
      <c r="F4274" s="83">
        <v>0.4583333333333333</v>
      </c>
      <c r="G4274" s="83">
        <v>0.5</v>
      </c>
      <c r="H4274" s="83">
        <v>0.041666666666666664</v>
      </c>
      <c r="I4274" s="84">
        <v>44397.0</v>
      </c>
      <c r="J4274" s="65" t="b">
        <v>1</v>
      </c>
      <c r="K4274" s="65"/>
      <c r="L4274" s="85" t="b">
        <f>IF(VLOOKUP(C4274,Projetos!A:L,12,false)=TRUE,TRUE,FALSE)</f>
        <v>1</v>
      </c>
      <c r="M4274" s="74">
        <v>52.1518759018759</v>
      </c>
      <c r="N4274" s="74">
        <f t="shared" si="1"/>
        <v>52.1518759</v>
      </c>
      <c r="O4274" s="74" t="b">
        <v>1</v>
      </c>
    </row>
    <row r="4275" hidden="1">
      <c r="A4275" s="82"/>
      <c r="B4275" s="65" t="s">
        <v>467</v>
      </c>
      <c r="C4275" s="65" t="s">
        <v>113</v>
      </c>
      <c r="D4275" s="65" t="str">
        <f>vlookup(C4275,'Classificação p pessoal'!F:G,2,false)</f>
        <v>NP</v>
      </c>
      <c r="E4275" s="65" t="s">
        <v>3173</v>
      </c>
      <c r="F4275" s="83">
        <v>0.5625</v>
      </c>
      <c r="G4275" s="83">
        <v>0.6041666666666666</v>
      </c>
      <c r="H4275" s="83">
        <v>0.041666666666666664</v>
      </c>
      <c r="I4275" s="84">
        <v>44397.0</v>
      </c>
      <c r="J4275" s="65" t="b">
        <v>1</v>
      </c>
      <c r="K4275" s="65"/>
      <c r="L4275" s="85" t="b">
        <f>IF(VLOOKUP(C4275,Projetos!A:L,12,false)=TRUE,TRUE,FALSE)</f>
        <v>1</v>
      </c>
      <c r="M4275" s="74">
        <v>52.1518759018759</v>
      </c>
      <c r="N4275" s="74">
        <f t="shared" si="1"/>
        <v>52.1518759</v>
      </c>
      <c r="O4275" s="74" t="b">
        <v>1</v>
      </c>
    </row>
    <row r="4276" hidden="1">
      <c r="A4276" s="82"/>
      <c r="B4276" s="65" t="s">
        <v>467</v>
      </c>
      <c r="C4276" s="65" t="s">
        <v>113</v>
      </c>
      <c r="D4276" s="65" t="str">
        <f>vlookup(C4276,'Classificação p pessoal'!F:G,2,false)</f>
        <v>NP</v>
      </c>
      <c r="E4276" s="65" t="s">
        <v>3174</v>
      </c>
      <c r="F4276" s="83">
        <v>0.625</v>
      </c>
      <c r="G4276" s="83">
        <v>0.6666666666666666</v>
      </c>
      <c r="H4276" s="83">
        <v>0.041666666666666664</v>
      </c>
      <c r="I4276" s="84">
        <v>44397.0</v>
      </c>
      <c r="J4276" s="65" t="b">
        <v>1</v>
      </c>
      <c r="K4276" s="65"/>
      <c r="L4276" s="85" t="b">
        <f>IF(VLOOKUP(C4276,Projetos!A:L,12,false)=TRUE,TRUE,FALSE)</f>
        <v>1</v>
      </c>
      <c r="M4276" s="74">
        <v>52.1518759018759</v>
      </c>
      <c r="N4276" s="74">
        <f t="shared" si="1"/>
        <v>52.1518759</v>
      </c>
      <c r="O4276" s="74" t="b">
        <v>1</v>
      </c>
    </row>
    <row r="4277" hidden="1">
      <c r="A4277" s="82"/>
      <c r="B4277" s="65" t="s">
        <v>467</v>
      </c>
      <c r="C4277" s="65" t="s">
        <v>130</v>
      </c>
      <c r="D4277" s="65" t="str">
        <f>vlookup(C4277,'Classificação p pessoal'!F:G,2,false)</f>
        <v>NP</v>
      </c>
      <c r="E4277" s="65" t="s">
        <v>3175</v>
      </c>
      <c r="F4277" s="83">
        <v>0.3541666666666667</v>
      </c>
      <c r="G4277" s="83">
        <v>0.3958333333333333</v>
      </c>
      <c r="H4277" s="83">
        <v>0.041666666666666664</v>
      </c>
      <c r="I4277" s="84">
        <v>44398.0</v>
      </c>
      <c r="J4277" s="65" t="b">
        <v>1</v>
      </c>
      <c r="K4277" s="65"/>
      <c r="L4277" s="85" t="b">
        <f>IF(VLOOKUP(C4277,Projetos!A:L,12,false)=TRUE,TRUE,FALSE)</f>
        <v>1</v>
      </c>
      <c r="M4277" s="74">
        <v>52.1518759018759</v>
      </c>
      <c r="N4277" s="74">
        <f t="shared" si="1"/>
        <v>52.1518759</v>
      </c>
      <c r="O4277" s="74" t="b">
        <v>1</v>
      </c>
    </row>
    <row r="4278" hidden="1">
      <c r="A4278" s="82"/>
      <c r="B4278" s="65" t="s">
        <v>411</v>
      </c>
      <c r="C4278" s="65" t="s">
        <v>117</v>
      </c>
      <c r="D4278" s="65"/>
      <c r="E4278" s="65" t="s">
        <v>3176</v>
      </c>
      <c r="F4278" s="83">
        <v>0.375</v>
      </c>
      <c r="G4278" s="83">
        <v>0.3854166666666667</v>
      </c>
      <c r="H4278" s="83">
        <v>0.010416666666666666</v>
      </c>
      <c r="I4278" s="84">
        <v>44215.0</v>
      </c>
      <c r="J4278" s="65" t="b">
        <v>0</v>
      </c>
      <c r="K4278" s="65" t="s">
        <v>150</v>
      </c>
      <c r="L4278" s="85" t="b">
        <f>IF(VLOOKUP(C4278,Projetos!A:L,12,false)=TRUE,TRUE,FALSE)</f>
        <v>1</v>
      </c>
      <c r="M4278" s="74">
        <v>52.48434411075036</v>
      </c>
      <c r="N4278" s="74">
        <f t="shared" si="1"/>
        <v>0</v>
      </c>
      <c r="O4278" s="74" t="b">
        <v>1</v>
      </c>
    </row>
    <row r="4279" hidden="1">
      <c r="A4279" s="82"/>
      <c r="B4279" s="65" t="s">
        <v>411</v>
      </c>
      <c r="C4279" s="65" t="s">
        <v>117</v>
      </c>
      <c r="D4279" s="65"/>
      <c r="E4279" s="65" t="s">
        <v>3176</v>
      </c>
      <c r="F4279" s="83">
        <v>0.375</v>
      </c>
      <c r="G4279" s="83">
        <v>0.3958333333333333</v>
      </c>
      <c r="H4279" s="83">
        <v>0.020833333333333332</v>
      </c>
      <c r="I4279" s="84">
        <v>44217.0</v>
      </c>
      <c r="J4279" s="65" t="b">
        <v>0</v>
      </c>
      <c r="K4279" s="65" t="s">
        <v>150</v>
      </c>
      <c r="L4279" s="85" t="b">
        <f>IF(VLOOKUP(C4279,Projetos!A:L,12,false)=TRUE,TRUE,FALSE)</f>
        <v>1</v>
      </c>
      <c r="M4279" s="74">
        <v>52.48434411075036</v>
      </c>
      <c r="N4279" s="74">
        <f t="shared" si="1"/>
        <v>0</v>
      </c>
      <c r="O4279" s="74" t="b">
        <v>1</v>
      </c>
    </row>
    <row r="4280" hidden="1">
      <c r="A4280" s="82"/>
      <c r="B4280" s="65" t="s">
        <v>467</v>
      </c>
      <c r="C4280" s="65" t="s">
        <v>120</v>
      </c>
      <c r="D4280" s="65"/>
      <c r="E4280" s="65" t="s">
        <v>3095</v>
      </c>
      <c r="F4280" s="83">
        <v>0.625</v>
      </c>
      <c r="G4280" s="83">
        <v>0.75</v>
      </c>
      <c r="H4280" s="83">
        <v>0.125</v>
      </c>
      <c r="I4280" s="84">
        <v>44398.0</v>
      </c>
      <c r="J4280" s="65" t="b">
        <v>0</v>
      </c>
      <c r="K4280" s="65" t="s">
        <v>150</v>
      </c>
      <c r="L4280" s="85" t="b">
        <f>IF(VLOOKUP(C4280,Projetos!A:L,12,false)=TRUE,TRUE,FALSE)</f>
        <v>0</v>
      </c>
      <c r="M4280" s="74">
        <v>52.1518759018759</v>
      </c>
      <c r="N4280" s="74">
        <f t="shared" si="1"/>
        <v>0</v>
      </c>
      <c r="O4280" s="74" t="b">
        <v>0</v>
      </c>
    </row>
    <row r="4281" hidden="1">
      <c r="A4281" s="82"/>
      <c r="B4281" s="65" t="s">
        <v>467</v>
      </c>
      <c r="C4281" s="65" t="s">
        <v>113</v>
      </c>
      <c r="D4281" s="65" t="str">
        <f>vlookup(C4281,'Classificação p pessoal'!F:G,2,false)</f>
        <v>NP</v>
      </c>
      <c r="E4281" s="65" t="s">
        <v>3177</v>
      </c>
      <c r="F4281" s="83">
        <v>0.3541666666666667</v>
      </c>
      <c r="G4281" s="83">
        <v>0.375</v>
      </c>
      <c r="H4281" s="83">
        <v>0.020833333333333332</v>
      </c>
      <c r="I4281" s="84">
        <v>44399.0</v>
      </c>
      <c r="J4281" s="65" t="b">
        <v>1</v>
      </c>
      <c r="K4281" s="65"/>
      <c r="L4281" s="85" t="b">
        <f>IF(VLOOKUP(C4281,Projetos!A:L,12,false)=TRUE,TRUE,FALSE)</f>
        <v>1</v>
      </c>
      <c r="M4281" s="74">
        <v>52.1518759018759</v>
      </c>
      <c r="N4281" s="74">
        <f t="shared" si="1"/>
        <v>26.07593795</v>
      </c>
      <c r="O4281" s="74" t="b">
        <v>1</v>
      </c>
    </row>
    <row r="4282" hidden="1">
      <c r="A4282" s="82"/>
      <c r="B4282" s="65" t="s">
        <v>467</v>
      </c>
      <c r="C4282" s="65" t="s">
        <v>88</v>
      </c>
      <c r="D4282" s="65" t="str">
        <f>vlookup(C4282,'Classificação p pessoal'!F:G,2,false)</f>
        <v>MProduto</v>
      </c>
      <c r="E4282" s="65" t="s">
        <v>3178</v>
      </c>
      <c r="F4282" s="83">
        <v>0.375</v>
      </c>
      <c r="G4282" s="83">
        <v>0.4166666666666667</v>
      </c>
      <c r="H4282" s="83">
        <v>0.041666666666666664</v>
      </c>
      <c r="I4282" s="84">
        <v>44399.0</v>
      </c>
      <c r="J4282" s="65" t="b">
        <v>1</v>
      </c>
      <c r="K4282" s="65"/>
      <c r="L4282" s="85" t="b">
        <f>IF(VLOOKUP(C4282,Projetos!A:L,12,false)=TRUE,TRUE,FALSE)</f>
        <v>1</v>
      </c>
      <c r="M4282" s="74">
        <v>52.1518759018759</v>
      </c>
      <c r="N4282" s="74">
        <f t="shared" si="1"/>
        <v>52.1518759</v>
      </c>
      <c r="O4282" s="74" t="b">
        <v>1</v>
      </c>
    </row>
    <row r="4283" hidden="1">
      <c r="A4283" s="82"/>
      <c r="B4283" s="65" t="s">
        <v>467</v>
      </c>
      <c r="C4283" s="65" t="s">
        <v>113</v>
      </c>
      <c r="D4283" s="65"/>
      <c r="E4283" s="65" t="s">
        <v>3179</v>
      </c>
      <c r="F4283" s="83">
        <v>0.4166666666666667</v>
      </c>
      <c r="G4283" s="83">
        <v>0.5208333333333334</v>
      </c>
      <c r="H4283" s="83">
        <v>0.10416666666666667</v>
      </c>
      <c r="I4283" s="84">
        <v>44399.0</v>
      </c>
      <c r="J4283" s="65" t="b">
        <v>0</v>
      </c>
      <c r="K4283" s="65" t="s">
        <v>150</v>
      </c>
      <c r="L4283" s="85" t="b">
        <f>IF(VLOOKUP(C4283,Projetos!A:L,12,false)=TRUE,TRUE,FALSE)</f>
        <v>1</v>
      </c>
      <c r="M4283" s="74">
        <v>52.1518759018759</v>
      </c>
      <c r="N4283" s="74">
        <f t="shared" si="1"/>
        <v>0</v>
      </c>
      <c r="O4283" s="74" t="b">
        <v>1</v>
      </c>
    </row>
    <row r="4284" hidden="1">
      <c r="A4284" s="82"/>
      <c r="B4284" s="65" t="s">
        <v>467</v>
      </c>
      <c r="C4284" s="65" t="s">
        <v>120</v>
      </c>
      <c r="D4284" s="65"/>
      <c r="E4284" s="65" t="s">
        <v>3180</v>
      </c>
      <c r="F4284" s="83">
        <v>0.4166666666666667</v>
      </c>
      <c r="G4284" s="83">
        <v>0.4583333333333333</v>
      </c>
      <c r="H4284" s="83">
        <v>0.041666666666666664</v>
      </c>
      <c r="I4284" s="84">
        <v>44398.0</v>
      </c>
      <c r="J4284" s="65" t="b">
        <v>0</v>
      </c>
      <c r="K4284" s="65"/>
      <c r="L4284" s="85" t="b">
        <f>IF(VLOOKUP(C4284,Projetos!A:L,12,false)=TRUE,TRUE,FALSE)</f>
        <v>0</v>
      </c>
      <c r="M4284" s="74">
        <v>52.1518759018759</v>
      </c>
      <c r="N4284" s="74">
        <f t="shared" si="1"/>
        <v>0</v>
      </c>
      <c r="O4284" s="74" t="b">
        <v>0</v>
      </c>
    </row>
    <row r="4285" hidden="1">
      <c r="A4285" s="82"/>
      <c r="B4285" s="65" t="s">
        <v>467</v>
      </c>
      <c r="C4285" s="65" t="s">
        <v>113</v>
      </c>
      <c r="D4285" s="65" t="str">
        <f>vlookup(C4285,'Classificação p pessoal'!F:G,2,false)</f>
        <v>NP</v>
      </c>
      <c r="E4285" s="65" t="s">
        <v>3181</v>
      </c>
      <c r="F4285" s="83">
        <v>0.625</v>
      </c>
      <c r="G4285" s="83">
        <v>0.7083333333333334</v>
      </c>
      <c r="H4285" s="83">
        <v>0.08333333333333333</v>
      </c>
      <c r="I4285" s="84">
        <v>44399.0</v>
      </c>
      <c r="J4285" s="65" t="b">
        <v>1</v>
      </c>
      <c r="K4285" s="65"/>
      <c r="L4285" s="85" t="b">
        <f>IF(VLOOKUP(C4285,Projetos!A:L,12,false)=TRUE,TRUE,FALSE)</f>
        <v>1</v>
      </c>
      <c r="M4285" s="74">
        <v>52.1518759018759</v>
      </c>
      <c r="N4285" s="74">
        <f t="shared" si="1"/>
        <v>104.3037518</v>
      </c>
      <c r="O4285" s="74" t="b">
        <v>1</v>
      </c>
    </row>
    <row r="4286" hidden="1">
      <c r="A4286" s="82"/>
      <c r="B4286" s="65" t="s">
        <v>467</v>
      </c>
      <c r="C4286" s="65" t="s">
        <v>92</v>
      </c>
      <c r="D4286" s="65" t="str">
        <f>vlookup(C4286,'Classificação p pessoal'!F:G,2,false)</f>
        <v/>
      </c>
      <c r="E4286" s="65" t="s">
        <v>3182</v>
      </c>
      <c r="F4286" s="83">
        <v>0.3541666666666667</v>
      </c>
      <c r="G4286" s="83">
        <v>0.375</v>
      </c>
      <c r="H4286" s="83">
        <v>0.020833333333333332</v>
      </c>
      <c r="I4286" s="84">
        <v>44400.0</v>
      </c>
      <c r="J4286" s="65" t="b">
        <v>1</v>
      </c>
      <c r="K4286" s="65"/>
      <c r="L4286" s="85" t="b">
        <f>IF(VLOOKUP(C4286,Projetos!A:L,12,false)=TRUE,TRUE,FALSE)</f>
        <v>1</v>
      </c>
      <c r="M4286" s="74">
        <v>52.1518759018759</v>
      </c>
      <c r="N4286" s="74">
        <f t="shared" si="1"/>
        <v>26.07593795</v>
      </c>
      <c r="O4286" s="74" t="b">
        <v>1</v>
      </c>
    </row>
    <row r="4287" hidden="1">
      <c r="A4287" s="82"/>
      <c r="B4287" s="65" t="s">
        <v>467</v>
      </c>
      <c r="C4287" s="65" t="s">
        <v>113</v>
      </c>
      <c r="D4287" s="65" t="str">
        <f>vlookup(C4287,'Classificação p pessoal'!F:G,2,false)</f>
        <v>NP</v>
      </c>
      <c r="E4287" s="65" t="s">
        <v>3183</v>
      </c>
      <c r="F4287" s="83">
        <v>0.4166666666666667</v>
      </c>
      <c r="G4287" s="83">
        <v>0.5208333333333334</v>
      </c>
      <c r="H4287" s="83">
        <v>0.10416666666666667</v>
      </c>
      <c r="I4287" s="84">
        <v>44400.0</v>
      </c>
      <c r="J4287" s="65" t="b">
        <v>1</v>
      </c>
      <c r="K4287" s="65"/>
      <c r="L4287" s="85" t="b">
        <f>IF(VLOOKUP(C4287,Projetos!A:L,12,false)=TRUE,TRUE,FALSE)</f>
        <v>1</v>
      </c>
      <c r="M4287" s="74">
        <v>52.1518759018759</v>
      </c>
      <c r="N4287" s="74">
        <f t="shared" si="1"/>
        <v>130.3796898</v>
      </c>
      <c r="O4287" s="74" t="b">
        <v>1</v>
      </c>
    </row>
    <row r="4288" hidden="1">
      <c r="A4288" s="82"/>
      <c r="B4288" s="65" t="s">
        <v>467</v>
      </c>
      <c r="C4288" s="65" t="s">
        <v>92</v>
      </c>
      <c r="D4288" s="65" t="str">
        <f>vlookup(C4288,'Classificação p pessoal'!F:G,2,false)</f>
        <v/>
      </c>
      <c r="E4288" s="65" t="s">
        <v>3184</v>
      </c>
      <c r="F4288" s="83">
        <v>0.5833333333333334</v>
      </c>
      <c r="G4288" s="83">
        <v>0.7083333333333334</v>
      </c>
      <c r="H4288" s="83">
        <v>0.125</v>
      </c>
      <c r="I4288" s="84">
        <v>44400.0</v>
      </c>
      <c r="J4288" s="65" t="b">
        <v>1</v>
      </c>
      <c r="K4288" s="65"/>
      <c r="L4288" s="85" t="b">
        <f>IF(VLOOKUP(C4288,Projetos!A:L,12,false)=TRUE,TRUE,FALSE)</f>
        <v>1</v>
      </c>
      <c r="M4288" s="74">
        <v>52.1518759018759</v>
      </c>
      <c r="N4288" s="74">
        <f t="shared" si="1"/>
        <v>156.4556277</v>
      </c>
      <c r="O4288" s="74" t="b">
        <v>1</v>
      </c>
    </row>
    <row r="4289" hidden="1">
      <c r="A4289" s="82"/>
      <c r="B4289" s="65" t="s">
        <v>467</v>
      </c>
      <c r="C4289" s="65" t="s">
        <v>130</v>
      </c>
      <c r="D4289" s="65" t="str">
        <f>vlookup(C4289,'Classificação p pessoal'!F:G,2,false)</f>
        <v>NP</v>
      </c>
      <c r="E4289" s="65" t="s">
        <v>3185</v>
      </c>
      <c r="F4289" s="83">
        <v>0.34375</v>
      </c>
      <c r="G4289" s="83">
        <v>0.375</v>
      </c>
      <c r="H4289" s="83">
        <v>0.03125</v>
      </c>
      <c r="I4289" s="84">
        <v>44403.0</v>
      </c>
      <c r="J4289" s="65" t="b">
        <v>1</v>
      </c>
      <c r="K4289" s="65"/>
      <c r="L4289" s="85" t="b">
        <f>IF(VLOOKUP(C4289,Projetos!A:L,12,false)=TRUE,TRUE,FALSE)</f>
        <v>1</v>
      </c>
      <c r="M4289" s="74">
        <v>52.1518759018759</v>
      </c>
      <c r="N4289" s="74">
        <f t="shared" si="1"/>
        <v>39.11390693</v>
      </c>
      <c r="O4289" s="74" t="b">
        <v>1</v>
      </c>
    </row>
    <row r="4290" hidden="1">
      <c r="A4290" s="82"/>
      <c r="B4290" s="65" t="s">
        <v>467</v>
      </c>
      <c r="C4290" s="65" t="s">
        <v>92</v>
      </c>
      <c r="D4290" s="65" t="str">
        <f>vlookup(C4290,'Classificação p pessoal'!F:G,2,false)</f>
        <v/>
      </c>
      <c r="E4290" s="65" t="s">
        <v>3186</v>
      </c>
      <c r="F4290" s="83">
        <v>0.375</v>
      </c>
      <c r="G4290" s="83">
        <v>0.4166666666666667</v>
      </c>
      <c r="H4290" s="83">
        <v>0.041666666666666664</v>
      </c>
      <c r="I4290" s="84">
        <v>44403.0</v>
      </c>
      <c r="J4290" s="65" t="b">
        <v>1</v>
      </c>
      <c r="K4290" s="65"/>
      <c r="L4290" s="85" t="b">
        <f>IF(VLOOKUP(C4290,Projetos!A:L,12,false)=TRUE,TRUE,FALSE)</f>
        <v>1</v>
      </c>
      <c r="M4290" s="74">
        <v>52.1518759018759</v>
      </c>
      <c r="N4290" s="74">
        <f t="shared" si="1"/>
        <v>52.1518759</v>
      </c>
      <c r="O4290" s="74" t="b">
        <v>1</v>
      </c>
    </row>
    <row r="4291" hidden="1">
      <c r="A4291" s="82"/>
      <c r="B4291" s="65" t="s">
        <v>467</v>
      </c>
      <c r="C4291" s="65" t="s">
        <v>92</v>
      </c>
      <c r="D4291" s="65" t="str">
        <f>vlookup(C4291,'Classificação p pessoal'!F:G,2,false)</f>
        <v/>
      </c>
      <c r="E4291" s="65" t="s">
        <v>3187</v>
      </c>
      <c r="F4291" s="83">
        <v>0.4166666666666667</v>
      </c>
      <c r="G4291" s="83">
        <v>0.4375</v>
      </c>
      <c r="H4291" s="83">
        <v>0.020833333333333332</v>
      </c>
      <c r="I4291" s="84">
        <v>44403.0</v>
      </c>
      <c r="J4291" s="65" t="b">
        <v>1</v>
      </c>
      <c r="K4291" s="65"/>
      <c r="L4291" s="85" t="b">
        <f>IF(VLOOKUP(C4291,Projetos!A:L,12,false)=TRUE,TRUE,FALSE)</f>
        <v>1</v>
      </c>
      <c r="M4291" s="74">
        <v>52.1518759018759</v>
      </c>
      <c r="N4291" s="74">
        <f t="shared" si="1"/>
        <v>26.07593795</v>
      </c>
      <c r="O4291" s="74" t="b">
        <v>1</v>
      </c>
    </row>
    <row r="4292" hidden="1">
      <c r="A4292" s="82"/>
      <c r="B4292" s="65" t="s">
        <v>467</v>
      </c>
      <c r="C4292" s="65" t="s">
        <v>113</v>
      </c>
      <c r="D4292" s="65" t="str">
        <f>vlookup(C4292,'Classificação p pessoal'!F:G,2,false)</f>
        <v>NP</v>
      </c>
      <c r="E4292" s="65" t="s">
        <v>3188</v>
      </c>
      <c r="F4292" s="83">
        <v>0.4375</v>
      </c>
      <c r="G4292" s="83">
        <v>0.4583333333333333</v>
      </c>
      <c r="H4292" s="83">
        <v>0.020833333333333332</v>
      </c>
      <c r="I4292" s="84">
        <v>44403.0</v>
      </c>
      <c r="J4292" s="65" t="b">
        <v>1</v>
      </c>
      <c r="K4292" s="65"/>
      <c r="L4292" s="85" t="b">
        <f>IF(VLOOKUP(C4292,Projetos!A:L,12,false)=TRUE,TRUE,FALSE)</f>
        <v>1</v>
      </c>
      <c r="M4292" s="74">
        <v>52.1518759018759</v>
      </c>
      <c r="N4292" s="74">
        <f t="shared" si="1"/>
        <v>26.07593795</v>
      </c>
      <c r="O4292" s="74" t="b">
        <v>1</v>
      </c>
    </row>
    <row r="4293" hidden="1">
      <c r="A4293" s="82"/>
      <c r="B4293" s="65" t="s">
        <v>467</v>
      </c>
      <c r="C4293" s="65" t="s">
        <v>130</v>
      </c>
      <c r="D4293" s="65" t="str">
        <f>vlookup(C4293,'Classificação p pessoal'!F:G,2,false)</f>
        <v>NP</v>
      </c>
      <c r="E4293" s="65" t="s">
        <v>3189</v>
      </c>
      <c r="F4293" s="83">
        <v>0.625</v>
      </c>
      <c r="G4293" s="83">
        <v>0.7083333333333334</v>
      </c>
      <c r="H4293" s="83">
        <v>0.08333333333333333</v>
      </c>
      <c r="I4293" s="84">
        <v>44403.0</v>
      </c>
      <c r="J4293" s="65" t="b">
        <v>1</v>
      </c>
      <c r="K4293" s="65"/>
      <c r="L4293" s="85" t="b">
        <f>IF(VLOOKUP(C4293,Projetos!A:L,12,false)=TRUE,TRUE,FALSE)</f>
        <v>1</v>
      </c>
      <c r="M4293" s="74">
        <v>52.1518759018759</v>
      </c>
      <c r="N4293" s="74">
        <f t="shared" si="1"/>
        <v>104.3037518</v>
      </c>
      <c r="O4293" s="74" t="b">
        <v>1</v>
      </c>
    </row>
    <row r="4294" hidden="1">
      <c r="A4294" s="82"/>
      <c r="B4294" s="65" t="s">
        <v>467</v>
      </c>
      <c r="C4294" s="65" t="s">
        <v>88</v>
      </c>
      <c r="D4294" s="65"/>
      <c r="E4294" s="65" t="s">
        <v>3190</v>
      </c>
      <c r="F4294" s="83">
        <v>0.5833333333333334</v>
      </c>
      <c r="G4294" s="83">
        <v>0.625</v>
      </c>
      <c r="H4294" s="83">
        <v>0.041666666666666664</v>
      </c>
      <c r="I4294" s="84">
        <v>44403.0</v>
      </c>
      <c r="J4294" s="65" t="b">
        <v>0</v>
      </c>
      <c r="K4294" s="65" t="s">
        <v>150</v>
      </c>
      <c r="L4294" s="85" t="b">
        <f>IF(VLOOKUP(C4294,Projetos!A:L,12,false)=TRUE,TRUE,FALSE)</f>
        <v>1</v>
      </c>
      <c r="M4294" s="74">
        <v>52.1518759018759</v>
      </c>
      <c r="N4294" s="74">
        <f t="shared" si="1"/>
        <v>0</v>
      </c>
      <c r="O4294" s="74" t="b">
        <v>1</v>
      </c>
    </row>
    <row r="4295" hidden="1">
      <c r="A4295" s="82"/>
      <c r="B4295" s="65" t="s">
        <v>467</v>
      </c>
      <c r="C4295" s="65" t="s">
        <v>92</v>
      </c>
      <c r="D4295" s="65" t="str">
        <f>vlookup(C4295,'Classificação p pessoal'!F:G,2,false)</f>
        <v/>
      </c>
      <c r="E4295" s="65" t="s">
        <v>3191</v>
      </c>
      <c r="F4295" s="83">
        <v>0.7083333333333334</v>
      </c>
      <c r="G4295" s="83">
        <v>0.7291666666666666</v>
      </c>
      <c r="H4295" s="83">
        <v>0.020833333333333332</v>
      </c>
      <c r="I4295" s="84">
        <v>44403.0</v>
      </c>
      <c r="J4295" s="65" t="b">
        <v>1</v>
      </c>
      <c r="K4295" s="65"/>
      <c r="L4295" s="85" t="b">
        <f>IF(VLOOKUP(C4295,Projetos!A:L,12,false)=TRUE,TRUE,FALSE)</f>
        <v>1</v>
      </c>
      <c r="M4295" s="74">
        <v>52.1518759018759</v>
      </c>
      <c r="N4295" s="74">
        <f t="shared" si="1"/>
        <v>26.07593795</v>
      </c>
      <c r="O4295" s="74" t="b">
        <v>1</v>
      </c>
    </row>
    <row r="4296" hidden="1">
      <c r="A4296" s="82"/>
      <c r="B4296" s="65" t="s">
        <v>467</v>
      </c>
      <c r="C4296" s="65" t="s">
        <v>92</v>
      </c>
      <c r="D4296" s="65"/>
      <c r="E4296" s="65" t="s">
        <v>3151</v>
      </c>
      <c r="F4296" s="83">
        <v>0.34375</v>
      </c>
      <c r="G4296" s="83">
        <v>0.3645833333333333</v>
      </c>
      <c r="H4296" s="83">
        <v>0.020833333333333332</v>
      </c>
      <c r="I4296" s="84">
        <v>44404.0</v>
      </c>
      <c r="J4296" s="65" t="b">
        <v>0</v>
      </c>
      <c r="K4296" s="65" t="s">
        <v>150</v>
      </c>
      <c r="L4296" s="85" t="b">
        <f>IF(VLOOKUP(C4296,Projetos!A:L,12,false)=TRUE,TRUE,FALSE)</f>
        <v>1</v>
      </c>
      <c r="M4296" s="74">
        <v>52.1518759018759</v>
      </c>
      <c r="N4296" s="74">
        <f t="shared" si="1"/>
        <v>0</v>
      </c>
      <c r="O4296" s="74" t="b">
        <v>1</v>
      </c>
    </row>
    <row r="4297" hidden="1">
      <c r="A4297" s="82"/>
      <c r="B4297" s="65" t="s">
        <v>467</v>
      </c>
      <c r="C4297" s="65" t="s">
        <v>92</v>
      </c>
      <c r="D4297" s="65" t="str">
        <f>vlookup(C4297,'Classificação p pessoal'!F:G,2,false)</f>
        <v/>
      </c>
      <c r="E4297" s="65" t="s">
        <v>3192</v>
      </c>
      <c r="F4297" s="83">
        <v>0.3645833333333333</v>
      </c>
      <c r="G4297" s="83">
        <v>0.3958333333333333</v>
      </c>
      <c r="H4297" s="83">
        <v>0.03125</v>
      </c>
      <c r="I4297" s="84">
        <v>44404.0</v>
      </c>
      <c r="J4297" s="65" t="b">
        <v>1</v>
      </c>
      <c r="K4297" s="65"/>
      <c r="L4297" s="85" t="b">
        <f>IF(VLOOKUP(C4297,Projetos!A:L,12,false)=TRUE,TRUE,FALSE)</f>
        <v>1</v>
      </c>
      <c r="M4297" s="74">
        <v>52.1518759018759</v>
      </c>
      <c r="N4297" s="74">
        <f t="shared" si="1"/>
        <v>39.11390693</v>
      </c>
      <c r="O4297" s="74" t="b">
        <v>1</v>
      </c>
    </row>
    <row r="4298" hidden="1">
      <c r="A4298" s="82"/>
      <c r="B4298" s="65" t="s">
        <v>467</v>
      </c>
      <c r="C4298" s="65" t="s">
        <v>92</v>
      </c>
      <c r="D4298" s="65" t="str">
        <f>vlookup(C4298,'Classificação p pessoal'!F:G,2,false)</f>
        <v/>
      </c>
      <c r="E4298" s="65" t="s">
        <v>3193</v>
      </c>
      <c r="F4298" s="83">
        <v>0.3958333333333333</v>
      </c>
      <c r="G4298" s="83">
        <v>0.4375</v>
      </c>
      <c r="H4298" s="83">
        <v>0.041666666666666664</v>
      </c>
      <c r="I4298" s="84">
        <v>44404.0</v>
      </c>
      <c r="J4298" s="65" t="b">
        <v>1</v>
      </c>
      <c r="K4298" s="65"/>
      <c r="L4298" s="85" t="b">
        <f>IF(VLOOKUP(C4298,Projetos!A:L,12,false)=TRUE,TRUE,FALSE)</f>
        <v>1</v>
      </c>
      <c r="M4298" s="74">
        <v>52.1518759018759</v>
      </c>
      <c r="N4298" s="74">
        <f t="shared" si="1"/>
        <v>52.1518759</v>
      </c>
      <c r="O4298" s="74" t="b">
        <v>1</v>
      </c>
    </row>
    <row r="4299" hidden="1">
      <c r="A4299" s="82"/>
      <c r="B4299" s="65" t="s">
        <v>467</v>
      </c>
      <c r="C4299" s="65" t="s">
        <v>113</v>
      </c>
      <c r="D4299" s="65" t="str">
        <f>vlookup(C4299,'Classificação p pessoal'!F:G,2,false)</f>
        <v>NP</v>
      </c>
      <c r="E4299" s="65" t="s">
        <v>3194</v>
      </c>
      <c r="F4299" s="83">
        <v>0.5833333333333334</v>
      </c>
      <c r="G4299" s="83">
        <v>0.625</v>
      </c>
      <c r="H4299" s="83">
        <v>0.041666666666666664</v>
      </c>
      <c r="I4299" s="84">
        <v>44404.0</v>
      </c>
      <c r="J4299" s="65" t="b">
        <v>1</v>
      </c>
      <c r="K4299" s="65"/>
      <c r="L4299" s="85" t="b">
        <f>IF(VLOOKUP(C4299,Projetos!A:L,12,false)=TRUE,TRUE,FALSE)</f>
        <v>1</v>
      </c>
      <c r="M4299" s="74">
        <v>52.1518759018759</v>
      </c>
      <c r="N4299" s="74">
        <f t="shared" si="1"/>
        <v>52.1518759</v>
      </c>
      <c r="O4299" s="74" t="b">
        <v>1</v>
      </c>
    </row>
    <row r="4300" hidden="1">
      <c r="A4300" s="82"/>
      <c r="B4300" s="65" t="s">
        <v>467</v>
      </c>
      <c r="C4300" s="65" t="s">
        <v>130</v>
      </c>
      <c r="D4300" s="65" t="str">
        <f>vlookup(C4300,'Classificação p pessoal'!F:G,2,false)</f>
        <v>NP</v>
      </c>
      <c r="E4300" s="65" t="s">
        <v>3195</v>
      </c>
      <c r="F4300" s="83">
        <v>0.375</v>
      </c>
      <c r="G4300" s="83">
        <v>0.5208333333333334</v>
      </c>
      <c r="H4300" s="83">
        <v>0.14583333333333334</v>
      </c>
      <c r="I4300" s="84">
        <v>44405.0</v>
      </c>
      <c r="J4300" s="65" t="b">
        <v>1</v>
      </c>
      <c r="K4300" s="65"/>
      <c r="L4300" s="85" t="b">
        <f>IF(VLOOKUP(C4300,Projetos!A:L,12,false)=TRUE,TRUE,FALSE)</f>
        <v>1</v>
      </c>
      <c r="M4300" s="74">
        <v>52.1518759018759</v>
      </c>
      <c r="N4300" s="74">
        <f t="shared" si="1"/>
        <v>182.5315657</v>
      </c>
      <c r="O4300" s="74" t="b">
        <v>1</v>
      </c>
    </row>
    <row r="4301" hidden="1">
      <c r="A4301" s="82"/>
      <c r="B4301" s="65" t="s">
        <v>467</v>
      </c>
      <c r="C4301" s="65" t="s">
        <v>130</v>
      </c>
      <c r="D4301" s="65" t="str">
        <f>vlookup(C4301,'Classificação p pessoal'!F:G,2,false)</f>
        <v>NP</v>
      </c>
      <c r="E4301" s="65" t="s">
        <v>3196</v>
      </c>
      <c r="F4301" s="83">
        <v>0.5625</v>
      </c>
      <c r="G4301" s="83">
        <v>0.7083333333333334</v>
      </c>
      <c r="H4301" s="83">
        <v>0.14583333333333334</v>
      </c>
      <c r="I4301" s="84">
        <v>44405.0</v>
      </c>
      <c r="J4301" s="65" t="b">
        <v>1</v>
      </c>
      <c r="K4301" s="65"/>
      <c r="L4301" s="85" t="b">
        <f>IF(VLOOKUP(C4301,Projetos!A:L,12,false)=TRUE,TRUE,FALSE)</f>
        <v>1</v>
      </c>
      <c r="M4301" s="74">
        <v>52.1518759018759</v>
      </c>
      <c r="N4301" s="74">
        <f t="shared" si="1"/>
        <v>182.5315657</v>
      </c>
      <c r="O4301" s="74" t="b">
        <v>1</v>
      </c>
    </row>
    <row r="4302" hidden="1">
      <c r="A4302" s="82"/>
      <c r="B4302" s="65" t="s">
        <v>467</v>
      </c>
      <c r="C4302" s="65" t="s">
        <v>113</v>
      </c>
      <c r="D4302" s="65" t="str">
        <f>vlookup(C4302,'Classificação p pessoal'!F:G,2,false)</f>
        <v>NP</v>
      </c>
      <c r="E4302" s="65" t="s">
        <v>3197</v>
      </c>
      <c r="F4302" s="83">
        <v>0.34375</v>
      </c>
      <c r="G4302" s="83">
        <v>0.375</v>
      </c>
      <c r="H4302" s="83">
        <v>0.03125</v>
      </c>
      <c r="I4302" s="84">
        <v>44406.0</v>
      </c>
      <c r="J4302" s="65" t="b">
        <v>1</v>
      </c>
      <c r="K4302" s="65"/>
      <c r="L4302" s="85" t="b">
        <f>IF(VLOOKUP(C4302,Projetos!A:L,12,false)=TRUE,TRUE,FALSE)</f>
        <v>1</v>
      </c>
      <c r="M4302" s="74">
        <v>52.1518759018759</v>
      </c>
      <c r="N4302" s="74">
        <f t="shared" si="1"/>
        <v>39.11390693</v>
      </c>
      <c r="O4302" s="74" t="b">
        <v>1</v>
      </c>
    </row>
    <row r="4303" hidden="1">
      <c r="A4303" s="82"/>
      <c r="B4303" s="65" t="s">
        <v>467</v>
      </c>
      <c r="C4303" s="65" t="s">
        <v>113</v>
      </c>
      <c r="D4303" s="65" t="str">
        <f>vlookup(C4303,'Classificação p pessoal'!F:G,2,false)</f>
        <v>NP</v>
      </c>
      <c r="E4303" s="65" t="s">
        <v>3198</v>
      </c>
      <c r="F4303" s="83">
        <v>0.375</v>
      </c>
      <c r="G4303" s="83">
        <v>0.5208333333333334</v>
      </c>
      <c r="H4303" s="83">
        <v>0.14583333333333334</v>
      </c>
      <c r="I4303" s="84">
        <v>44406.0</v>
      </c>
      <c r="J4303" s="65" t="b">
        <v>1</v>
      </c>
      <c r="K4303" s="65"/>
      <c r="L4303" s="85" t="b">
        <f>IF(VLOOKUP(C4303,Projetos!A:L,12,false)=TRUE,TRUE,FALSE)</f>
        <v>1</v>
      </c>
      <c r="M4303" s="74">
        <v>52.1518759018759</v>
      </c>
      <c r="N4303" s="74">
        <f t="shared" si="1"/>
        <v>182.5315657</v>
      </c>
      <c r="O4303" s="74" t="b">
        <v>1</v>
      </c>
    </row>
    <row r="4304" hidden="1">
      <c r="A4304" s="82"/>
      <c r="B4304" s="65" t="s">
        <v>467</v>
      </c>
      <c r="C4304" s="65" t="s">
        <v>113</v>
      </c>
      <c r="D4304" s="65" t="str">
        <f>vlookup(C4304,'Classificação p pessoal'!F:G,2,false)</f>
        <v>NP</v>
      </c>
      <c r="E4304" s="65" t="s">
        <v>3199</v>
      </c>
      <c r="F4304" s="83">
        <v>0.5625</v>
      </c>
      <c r="G4304" s="83">
        <v>0.7291666666666666</v>
      </c>
      <c r="H4304" s="83">
        <v>0.16666666666666666</v>
      </c>
      <c r="I4304" s="84">
        <v>44406.0</v>
      </c>
      <c r="J4304" s="65" t="b">
        <v>1</v>
      </c>
      <c r="K4304" s="65"/>
      <c r="L4304" s="85" t="b">
        <f>IF(VLOOKUP(C4304,Projetos!A:L,12,false)=TRUE,TRUE,FALSE)</f>
        <v>1</v>
      </c>
      <c r="M4304" s="74">
        <v>52.1518759018759</v>
      </c>
      <c r="N4304" s="74">
        <f t="shared" si="1"/>
        <v>208.6075036</v>
      </c>
      <c r="O4304" s="74" t="b">
        <v>1</v>
      </c>
    </row>
    <row r="4305" hidden="1">
      <c r="A4305" s="82"/>
      <c r="B4305" s="65" t="s">
        <v>467</v>
      </c>
      <c r="C4305" s="65" t="s">
        <v>113</v>
      </c>
      <c r="D4305" s="65" t="str">
        <f>vlookup(C4305,'Classificação p pessoal'!F:G,2,false)</f>
        <v>NP</v>
      </c>
      <c r="E4305" s="65" t="s">
        <v>3200</v>
      </c>
      <c r="F4305" s="83">
        <v>0.3541666666666667</v>
      </c>
      <c r="G4305" s="83">
        <v>0.4583333333333333</v>
      </c>
      <c r="H4305" s="83">
        <v>0.10416666666666667</v>
      </c>
      <c r="I4305" s="84">
        <v>44407.0</v>
      </c>
      <c r="J4305" s="65" t="b">
        <v>1</v>
      </c>
      <c r="K4305" s="65"/>
      <c r="L4305" s="85" t="b">
        <f>IF(VLOOKUP(C4305,Projetos!A:L,12,false)=TRUE,TRUE,FALSE)</f>
        <v>1</v>
      </c>
      <c r="M4305" s="74">
        <v>52.1518759018759</v>
      </c>
      <c r="N4305" s="74">
        <f t="shared" si="1"/>
        <v>130.3796898</v>
      </c>
      <c r="O4305" s="74" t="b">
        <v>1</v>
      </c>
    </row>
    <row r="4306" hidden="1">
      <c r="A4306" s="82"/>
      <c r="B4306" s="65" t="s">
        <v>467</v>
      </c>
      <c r="C4306" s="65" t="s">
        <v>130</v>
      </c>
      <c r="D4306" s="65" t="str">
        <f>vlookup(C4306,'Classificação p pessoal'!F:G,2,false)</f>
        <v>NP</v>
      </c>
      <c r="E4306" s="65" t="s">
        <v>3201</v>
      </c>
      <c r="F4306" s="83">
        <v>0.4583333333333333</v>
      </c>
      <c r="G4306" s="83">
        <v>0.4791666666666667</v>
      </c>
      <c r="H4306" s="83">
        <v>0.020833333333333332</v>
      </c>
      <c r="I4306" s="84">
        <v>44407.0</v>
      </c>
      <c r="J4306" s="65" t="b">
        <v>1</v>
      </c>
      <c r="K4306" s="65"/>
      <c r="L4306" s="85" t="b">
        <f>IF(VLOOKUP(C4306,Projetos!A:L,12,false)=TRUE,TRUE,FALSE)</f>
        <v>1</v>
      </c>
      <c r="M4306" s="74">
        <v>52.1518759018759</v>
      </c>
      <c r="N4306" s="74">
        <f t="shared" si="1"/>
        <v>26.07593795</v>
      </c>
      <c r="O4306" s="74" t="b">
        <v>1</v>
      </c>
    </row>
    <row r="4307" hidden="1">
      <c r="A4307" s="82"/>
      <c r="B4307" s="65" t="s">
        <v>467</v>
      </c>
      <c r="C4307" s="65" t="s">
        <v>92</v>
      </c>
      <c r="D4307" s="65" t="str">
        <f>vlookup(C4307,'Classificação p pessoal'!F:G,2,false)</f>
        <v/>
      </c>
      <c r="E4307" s="65" t="s">
        <v>3202</v>
      </c>
      <c r="F4307" s="83">
        <v>0.4791666666666667</v>
      </c>
      <c r="G4307" s="83">
        <v>0.5</v>
      </c>
      <c r="H4307" s="83">
        <v>0.020833333333333332</v>
      </c>
      <c r="I4307" s="84">
        <v>44407.0</v>
      </c>
      <c r="J4307" s="65" t="b">
        <v>1</v>
      </c>
      <c r="K4307" s="65"/>
      <c r="L4307" s="85" t="b">
        <f>IF(VLOOKUP(C4307,Projetos!A:L,12,false)=TRUE,TRUE,FALSE)</f>
        <v>1</v>
      </c>
      <c r="M4307" s="74">
        <v>52.1518759018759</v>
      </c>
      <c r="N4307" s="74">
        <f t="shared" si="1"/>
        <v>26.07593795</v>
      </c>
      <c r="O4307" s="74" t="b">
        <v>1</v>
      </c>
    </row>
    <row r="4308" hidden="1">
      <c r="A4308" s="82"/>
      <c r="B4308" s="65" t="s">
        <v>467</v>
      </c>
      <c r="C4308" s="65" t="s">
        <v>92</v>
      </c>
      <c r="D4308" s="65" t="str">
        <f>vlookup(C4308,'Classificação p pessoal'!F:G,2,false)</f>
        <v/>
      </c>
      <c r="E4308" s="65" t="s">
        <v>3203</v>
      </c>
      <c r="F4308" s="83">
        <v>0.5</v>
      </c>
      <c r="G4308" s="83">
        <v>0.5208333333333334</v>
      </c>
      <c r="H4308" s="83">
        <v>0.020833333333333332</v>
      </c>
      <c r="I4308" s="84">
        <v>44407.0</v>
      </c>
      <c r="J4308" s="65" t="b">
        <v>1</v>
      </c>
      <c r="K4308" s="65"/>
      <c r="L4308" s="85" t="b">
        <f>IF(VLOOKUP(C4308,Projetos!A:L,12,false)=TRUE,TRUE,FALSE)</f>
        <v>1</v>
      </c>
      <c r="M4308" s="74">
        <v>52.1518759018759</v>
      </c>
      <c r="N4308" s="74">
        <f t="shared" si="1"/>
        <v>26.07593795</v>
      </c>
      <c r="O4308" s="74" t="b">
        <v>1</v>
      </c>
    </row>
    <row r="4309" hidden="1">
      <c r="A4309" s="82"/>
      <c r="B4309" s="65" t="s">
        <v>467</v>
      </c>
      <c r="C4309" s="65" t="s">
        <v>92</v>
      </c>
      <c r="D4309" s="65" t="str">
        <f>vlookup(C4309,'Classificação p pessoal'!F:G,2,false)</f>
        <v/>
      </c>
      <c r="E4309" s="65" t="s">
        <v>3204</v>
      </c>
      <c r="F4309" s="83">
        <v>0.5833333333333334</v>
      </c>
      <c r="G4309" s="83">
        <v>0.625</v>
      </c>
      <c r="H4309" s="83">
        <v>0.041666666666666664</v>
      </c>
      <c r="I4309" s="84">
        <v>44407.0</v>
      </c>
      <c r="J4309" s="65" t="b">
        <v>1</v>
      </c>
      <c r="K4309" s="65"/>
      <c r="L4309" s="85" t="b">
        <f>IF(VLOOKUP(C4309,Projetos!A:L,12,false)=TRUE,TRUE,FALSE)</f>
        <v>1</v>
      </c>
      <c r="M4309" s="74">
        <v>52.1518759018759</v>
      </c>
      <c r="N4309" s="74">
        <f t="shared" si="1"/>
        <v>52.1518759</v>
      </c>
      <c r="O4309" s="74" t="b">
        <v>1</v>
      </c>
    </row>
    <row r="4310" hidden="1">
      <c r="A4310" s="82"/>
      <c r="B4310" s="65" t="s">
        <v>467</v>
      </c>
      <c r="C4310" s="65" t="s">
        <v>113</v>
      </c>
      <c r="D4310" s="65" t="str">
        <f>vlookup(C4310,'Classificação p pessoal'!F:G,2,false)</f>
        <v>NP</v>
      </c>
      <c r="E4310" s="65" t="s">
        <v>3205</v>
      </c>
      <c r="F4310" s="83">
        <v>0.6666666666666666</v>
      </c>
      <c r="G4310" s="83">
        <v>0.75</v>
      </c>
      <c r="H4310" s="83">
        <v>0.08333333333333333</v>
      </c>
      <c r="I4310" s="84">
        <v>44407.0</v>
      </c>
      <c r="J4310" s="65" t="b">
        <v>1</v>
      </c>
      <c r="K4310" s="65"/>
      <c r="L4310" s="85" t="b">
        <f>IF(VLOOKUP(C4310,Projetos!A:L,12,false)=TRUE,TRUE,FALSE)</f>
        <v>1</v>
      </c>
      <c r="M4310" s="74">
        <v>52.1518759018759</v>
      </c>
      <c r="N4310" s="74">
        <f t="shared" si="1"/>
        <v>104.3037518</v>
      </c>
      <c r="O4310" s="74" t="b">
        <v>1</v>
      </c>
    </row>
    <row r="4311" hidden="1">
      <c r="A4311" s="82"/>
      <c r="B4311" s="65" t="s">
        <v>467</v>
      </c>
      <c r="C4311" s="65" t="s">
        <v>113</v>
      </c>
      <c r="D4311" s="65" t="str">
        <f>vlookup(C4311,'Classificação p pessoal'!F:G,2,false)</f>
        <v>NP</v>
      </c>
      <c r="E4311" s="65" t="s">
        <v>3206</v>
      </c>
      <c r="F4311" s="83">
        <v>0.3541666666666667</v>
      </c>
      <c r="G4311" s="83">
        <v>0.375</v>
      </c>
      <c r="H4311" s="83">
        <v>0.020833333333333332</v>
      </c>
      <c r="I4311" s="84">
        <v>44410.0</v>
      </c>
      <c r="J4311" s="65" t="b">
        <v>1</v>
      </c>
      <c r="K4311" s="65"/>
      <c r="L4311" s="85" t="b">
        <f>IF(VLOOKUP(C4311,Projetos!A:L,12,false)=TRUE,TRUE,FALSE)</f>
        <v>1</v>
      </c>
      <c r="M4311" s="74">
        <v>52.1518759018759</v>
      </c>
      <c r="N4311" s="74">
        <f t="shared" si="1"/>
        <v>26.07593795</v>
      </c>
      <c r="O4311" s="74" t="b">
        <v>1</v>
      </c>
    </row>
    <row r="4312" hidden="1">
      <c r="A4312" s="82"/>
      <c r="B4312" s="65" t="s">
        <v>467</v>
      </c>
      <c r="C4312" s="65" t="s">
        <v>113</v>
      </c>
      <c r="D4312" s="65" t="str">
        <f>vlookup(C4312,'Classificação p pessoal'!F:G,2,false)</f>
        <v>NP</v>
      </c>
      <c r="E4312" s="65" t="s">
        <v>3207</v>
      </c>
      <c r="F4312" s="83">
        <v>0.375</v>
      </c>
      <c r="G4312" s="83">
        <v>0.4375</v>
      </c>
      <c r="H4312" s="83">
        <v>0.0625</v>
      </c>
      <c r="I4312" s="84">
        <v>44410.0</v>
      </c>
      <c r="J4312" s="65" t="b">
        <v>1</v>
      </c>
      <c r="K4312" s="65"/>
      <c r="L4312" s="85" t="b">
        <f>IF(VLOOKUP(C4312,Projetos!A:L,12,false)=TRUE,TRUE,FALSE)</f>
        <v>1</v>
      </c>
      <c r="M4312" s="74">
        <v>52.1518759018759</v>
      </c>
      <c r="N4312" s="74">
        <f t="shared" si="1"/>
        <v>78.22781385</v>
      </c>
      <c r="O4312" s="74" t="b">
        <v>1</v>
      </c>
    </row>
    <row r="4313" hidden="1">
      <c r="A4313" s="82"/>
      <c r="B4313" s="65" t="s">
        <v>467</v>
      </c>
      <c r="C4313" s="65" t="s">
        <v>92</v>
      </c>
      <c r="D4313" s="65" t="str">
        <f>vlookup(C4313,'Classificação p pessoal'!F:G,2,false)</f>
        <v/>
      </c>
      <c r="E4313" s="65" t="s">
        <v>3208</v>
      </c>
      <c r="F4313" s="83">
        <v>0.4409722222222222</v>
      </c>
      <c r="G4313" s="83">
        <v>0.4791666666666667</v>
      </c>
      <c r="H4313" s="83">
        <v>0.03819444444444445</v>
      </c>
      <c r="I4313" s="84">
        <v>44410.0</v>
      </c>
      <c r="J4313" s="65" t="b">
        <v>1</v>
      </c>
      <c r="K4313" s="65"/>
      <c r="L4313" s="85" t="b">
        <f>IF(VLOOKUP(C4313,Projetos!A:L,12,false)=TRUE,TRUE,FALSE)</f>
        <v>1</v>
      </c>
      <c r="M4313" s="74">
        <v>52.1518759018759</v>
      </c>
      <c r="N4313" s="74">
        <f t="shared" si="1"/>
        <v>47.80588624</v>
      </c>
      <c r="O4313" s="74" t="b">
        <v>1</v>
      </c>
    </row>
    <row r="4314" hidden="1">
      <c r="A4314" s="82"/>
      <c r="B4314" s="65" t="s">
        <v>467</v>
      </c>
      <c r="C4314" s="65" t="s">
        <v>122</v>
      </c>
      <c r="D4314" s="65" t="str">
        <f>vlookup(C4314,'Classificação p pessoal'!F:G,2,false)</f>
        <v>NP</v>
      </c>
      <c r="E4314" s="65" t="s">
        <v>3209</v>
      </c>
      <c r="F4314" s="83">
        <v>0.4791666666666667</v>
      </c>
      <c r="G4314" s="83">
        <v>0.5208333333333334</v>
      </c>
      <c r="H4314" s="83">
        <v>0.041666666666666664</v>
      </c>
      <c r="I4314" s="84">
        <v>44410.0</v>
      </c>
      <c r="J4314" s="65" t="b">
        <v>1</v>
      </c>
      <c r="K4314" s="65"/>
      <c r="L4314" s="85" t="b">
        <f>IF(VLOOKUP(C4314,Projetos!A:L,12,false)=TRUE,TRUE,FALSE)</f>
        <v>1</v>
      </c>
      <c r="M4314" s="74">
        <v>52.1518759018759</v>
      </c>
      <c r="N4314" s="74">
        <f t="shared" si="1"/>
        <v>52.1518759</v>
      </c>
      <c r="O4314" s="74" t="b">
        <v>1</v>
      </c>
    </row>
    <row r="4315" hidden="1">
      <c r="A4315" s="82"/>
      <c r="B4315" s="65" t="s">
        <v>467</v>
      </c>
      <c r="C4315" s="65" t="s">
        <v>92</v>
      </c>
      <c r="D4315" s="65" t="str">
        <f>vlookup(C4315,'Classificação p pessoal'!F:G,2,false)</f>
        <v/>
      </c>
      <c r="E4315" s="65" t="s">
        <v>3210</v>
      </c>
      <c r="F4315" s="83">
        <v>0.5694444444444444</v>
      </c>
      <c r="G4315" s="83">
        <v>0.5833333333333334</v>
      </c>
      <c r="H4315" s="83">
        <v>0.013888888888888888</v>
      </c>
      <c r="I4315" s="84">
        <v>44410.0</v>
      </c>
      <c r="J4315" s="65" t="b">
        <v>1</v>
      </c>
      <c r="K4315" s="65"/>
      <c r="L4315" s="85" t="b">
        <f>IF(VLOOKUP(C4315,Projetos!A:L,12,false)=TRUE,TRUE,FALSE)</f>
        <v>1</v>
      </c>
      <c r="M4315" s="74">
        <v>52.1518759018759</v>
      </c>
      <c r="N4315" s="74">
        <f t="shared" si="1"/>
        <v>17.38395863</v>
      </c>
      <c r="O4315" s="74" t="b">
        <v>1</v>
      </c>
    </row>
    <row r="4316" hidden="1">
      <c r="A4316" s="82"/>
      <c r="B4316" s="65" t="s">
        <v>467</v>
      </c>
      <c r="C4316" s="65" t="s">
        <v>113</v>
      </c>
      <c r="D4316" s="65" t="str">
        <f>vlookup(C4316,'Classificação p pessoal'!F:G,2,false)</f>
        <v>NP</v>
      </c>
      <c r="E4316" s="65" t="s">
        <v>3211</v>
      </c>
      <c r="F4316" s="83">
        <v>0.5833333333333334</v>
      </c>
      <c r="G4316" s="83">
        <v>0.625</v>
      </c>
      <c r="H4316" s="83">
        <v>0.041666666666666664</v>
      </c>
      <c r="I4316" s="84">
        <v>44410.0</v>
      </c>
      <c r="J4316" s="65" t="b">
        <v>1</v>
      </c>
      <c r="K4316" s="65"/>
      <c r="L4316" s="85" t="b">
        <f>IF(VLOOKUP(C4316,Projetos!A:L,12,false)=TRUE,TRUE,FALSE)</f>
        <v>1</v>
      </c>
      <c r="M4316" s="74">
        <v>52.1518759018759</v>
      </c>
      <c r="N4316" s="74">
        <f t="shared" si="1"/>
        <v>52.1518759</v>
      </c>
      <c r="O4316" s="74" t="b">
        <v>1</v>
      </c>
    </row>
    <row r="4317" hidden="1">
      <c r="A4317" s="82"/>
      <c r="B4317" s="65" t="s">
        <v>467</v>
      </c>
      <c r="C4317" s="65" t="s">
        <v>113</v>
      </c>
      <c r="D4317" s="65"/>
      <c r="E4317" s="65" t="s">
        <v>3212</v>
      </c>
      <c r="F4317" s="83">
        <v>0.625</v>
      </c>
      <c r="G4317" s="83">
        <v>0.6458333333333334</v>
      </c>
      <c r="H4317" s="83">
        <v>0.020833333333333332</v>
      </c>
      <c r="I4317" s="84">
        <v>44410.0</v>
      </c>
      <c r="J4317" s="65" t="b">
        <v>0</v>
      </c>
      <c r="K4317" s="65" t="s">
        <v>150</v>
      </c>
      <c r="L4317" s="85" t="b">
        <f>IF(VLOOKUP(C4317,Projetos!A:L,12,false)=TRUE,TRUE,FALSE)</f>
        <v>1</v>
      </c>
      <c r="M4317" s="74">
        <v>52.1518759018759</v>
      </c>
      <c r="N4317" s="74">
        <f t="shared" si="1"/>
        <v>0</v>
      </c>
      <c r="O4317" s="74" t="b">
        <v>1</v>
      </c>
    </row>
    <row r="4318" hidden="1">
      <c r="A4318" s="82"/>
      <c r="B4318" s="65" t="s">
        <v>467</v>
      </c>
      <c r="C4318" s="65" t="s">
        <v>88</v>
      </c>
      <c r="D4318" s="65" t="str">
        <f>vlookup(C4318,'Classificação p pessoal'!F:G,2,false)</f>
        <v>MProduto</v>
      </c>
      <c r="E4318" s="65" t="s">
        <v>3213</v>
      </c>
      <c r="F4318" s="83">
        <v>0.6458333333333334</v>
      </c>
      <c r="G4318" s="83">
        <v>0.7083333333333334</v>
      </c>
      <c r="H4318" s="83">
        <v>0.0625</v>
      </c>
      <c r="I4318" s="84">
        <v>44410.0</v>
      </c>
      <c r="J4318" s="65" t="b">
        <v>1</v>
      </c>
      <c r="K4318" s="65"/>
      <c r="L4318" s="85" t="b">
        <f>IF(VLOOKUP(C4318,Projetos!A:L,12,false)=TRUE,TRUE,FALSE)</f>
        <v>1</v>
      </c>
      <c r="M4318" s="74">
        <v>52.1518759018759</v>
      </c>
      <c r="N4318" s="74">
        <f t="shared" si="1"/>
        <v>78.22781385</v>
      </c>
      <c r="O4318" s="74" t="b">
        <v>1</v>
      </c>
    </row>
    <row r="4319" hidden="1">
      <c r="A4319" s="82"/>
      <c r="B4319" s="65" t="s">
        <v>467</v>
      </c>
      <c r="C4319" s="65" t="s">
        <v>113</v>
      </c>
      <c r="D4319" s="65" t="str">
        <f>vlookup(C4319,'Classificação p pessoal'!F:G,2,false)</f>
        <v>NP</v>
      </c>
      <c r="E4319" s="65" t="s">
        <v>3214</v>
      </c>
      <c r="F4319" s="83">
        <v>0.3541666666666667</v>
      </c>
      <c r="G4319" s="83">
        <v>0.375</v>
      </c>
      <c r="H4319" s="83">
        <v>0.020833333333333332</v>
      </c>
      <c r="I4319" s="84">
        <v>44411.0</v>
      </c>
      <c r="J4319" s="65" t="b">
        <v>1</v>
      </c>
      <c r="K4319" s="65"/>
      <c r="L4319" s="85" t="b">
        <f>IF(VLOOKUP(C4319,Projetos!A:L,12,false)=TRUE,TRUE,FALSE)</f>
        <v>1</v>
      </c>
      <c r="M4319" s="74">
        <v>52.1518759018759</v>
      </c>
      <c r="N4319" s="74">
        <f t="shared" si="1"/>
        <v>26.07593795</v>
      </c>
      <c r="O4319" s="74" t="b">
        <v>1</v>
      </c>
    </row>
    <row r="4320" hidden="1">
      <c r="A4320" s="82"/>
      <c r="B4320" s="65" t="s">
        <v>467</v>
      </c>
      <c r="C4320" s="65" t="s">
        <v>92</v>
      </c>
      <c r="D4320" s="65" t="str">
        <f>vlookup(C4320,'Classificação p pessoal'!F:G,2,false)</f>
        <v/>
      </c>
      <c r="E4320" s="65" t="s">
        <v>3215</v>
      </c>
      <c r="F4320" s="83">
        <v>0.4166666666666667</v>
      </c>
      <c r="G4320" s="83">
        <v>0.5</v>
      </c>
      <c r="H4320" s="83">
        <v>0.08333333333333333</v>
      </c>
      <c r="I4320" s="84">
        <v>44411.0</v>
      </c>
      <c r="J4320" s="65" t="b">
        <v>1</v>
      </c>
      <c r="K4320" s="65"/>
      <c r="L4320" s="85" t="b">
        <f>IF(VLOOKUP(C4320,Projetos!A:L,12,false)=TRUE,TRUE,FALSE)</f>
        <v>1</v>
      </c>
      <c r="M4320" s="74">
        <v>52.1518759018759</v>
      </c>
      <c r="N4320" s="74">
        <f t="shared" si="1"/>
        <v>104.3037518</v>
      </c>
      <c r="O4320" s="74" t="b">
        <v>1</v>
      </c>
    </row>
    <row r="4321" hidden="1">
      <c r="A4321" s="82"/>
      <c r="B4321" s="65" t="s">
        <v>467</v>
      </c>
      <c r="C4321" s="65" t="s">
        <v>92</v>
      </c>
      <c r="D4321" s="65" t="str">
        <f>vlookup(C4321,'Classificação p pessoal'!F:G,2,false)</f>
        <v/>
      </c>
      <c r="E4321" s="65" t="s">
        <v>3216</v>
      </c>
      <c r="F4321" s="83">
        <v>0.5416666666666666</v>
      </c>
      <c r="G4321" s="83">
        <v>0.625</v>
      </c>
      <c r="H4321" s="83">
        <v>0.08333333333333333</v>
      </c>
      <c r="I4321" s="84">
        <v>44411.0</v>
      </c>
      <c r="J4321" s="65" t="b">
        <v>1</v>
      </c>
      <c r="K4321" s="65"/>
      <c r="L4321" s="85" t="b">
        <f>IF(VLOOKUP(C4321,Projetos!A:L,12,false)=TRUE,TRUE,FALSE)</f>
        <v>1</v>
      </c>
      <c r="M4321" s="74">
        <v>52.1518759018759</v>
      </c>
      <c r="N4321" s="74">
        <f t="shared" si="1"/>
        <v>104.3037518</v>
      </c>
      <c r="O4321" s="74" t="b">
        <v>1</v>
      </c>
    </row>
    <row r="4322" hidden="1">
      <c r="A4322" s="82"/>
      <c r="B4322" s="65" t="s">
        <v>467</v>
      </c>
      <c r="C4322" s="65" t="s">
        <v>113</v>
      </c>
      <c r="D4322" s="65" t="str">
        <f>vlookup(C4322,'Classificação p pessoal'!F:G,2,false)</f>
        <v>NP</v>
      </c>
      <c r="E4322" s="65" t="s">
        <v>3217</v>
      </c>
      <c r="F4322" s="83">
        <v>0.3541666666666667</v>
      </c>
      <c r="G4322" s="83">
        <v>0.3958333333333333</v>
      </c>
      <c r="H4322" s="83">
        <v>0.041666666666666664</v>
      </c>
      <c r="I4322" s="84">
        <v>44412.0</v>
      </c>
      <c r="J4322" s="65" t="b">
        <v>1</v>
      </c>
      <c r="K4322" s="65"/>
      <c r="L4322" s="85" t="b">
        <f>IF(VLOOKUP(C4322,Projetos!A:L,12,false)=TRUE,TRUE,FALSE)</f>
        <v>1</v>
      </c>
      <c r="M4322" s="74">
        <v>52.1518759018759</v>
      </c>
      <c r="N4322" s="74">
        <f t="shared" si="1"/>
        <v>52.1518759</v>
      </c>
      <c r="O4322" s="74" t="b">
        <v>1</v>
      </c>
    </row>
    <row r="4323" hidden="1">
      <c r="A4323" s="82"/>
      <c r="B4323" s="65" t="s">
        <v>467</v>
      </c>
      <c r="C4323" s="65" t="s">
        <v>92</v>
      </c>
      <c r="D4323" s="65" t="str">
        <f>vlookup(C4323,'Classificação p pessoal'!F:G,2,false)</f>
        <v/>
      </c>
      <c r="E4323" s="65" t="s">
        <v>3218</v>
      </c>
      <c r="F4323" s="83">
        <v>0.3958333333333333</v>
      </c>
      <c r="G4323" s="83">
        <v>0.4166666666666667</v>
      </c>
      <c r="H4323" s="83">
        <v>0.020833333333333332</v>
      </c>
      <c r="I4323" s="84">
        <v>44412.0</v>
      </c>
      <c r="J4323" s="65" t="b">
        <v>1</v>
      </c>
      <c r="K4323" s="65"/>
      <c r="L4323" s="85" t="b">
        <f>IF(VLOOKUP(C4323,Projetos!A:L,12,false)=TRUE,TRUE,FALSE)</f>
        <v>1</v>
      </c>
      <c r="M4323" s="74">
        <v>52.1518759018759</v>
      </c>
      <c r="N4323" s="74">
        <f t="shared" si="1"/>
        <v>26.07593795</v>
      </c>
      <c r="O4323" s="74" t="b">
        <v>1</v>
      </c>
    </row>
    <row r="4324" hidden="1">
      <c r="A4324" s="82"/>
      <c r="B4324" s="65" t="s">
        <v>467</v>
      </c>
      <c r="C4324" s="65" t="s">
        <v>122</v>
      </c>
      <c r="D4324" s="65"/>
      <c r="E4324" s="65" t="s">
        <v>3219</v>
      </c>
      <c r="F4324" s="83">
        <v>0.4270833333333333</v>
      </c>
      <c r="G4324" s="83">
        <v>0.5</v>
      </c>
      <c r="H4324" s="83">
        <v>0.07291666666666667</v>
      </c>
      <c r="I4324" s="84">
        <v>44412.0</v>
      </c>
      <c r="J4324" s="65" t="b">
        <v>0</v>
      </c>
      <c r="K4324" s="65" t="s">
        <v>150</v>
      </c>
      <c r="L4324" s="85" t="b">
        <f>IF(VLOOKUP(C4324,Projetos!A:L,12,false)=TRUE,TRUE,FALSE)</f>
        <v>1</v>
      </c>
      <c r="M4324" s="74">
        <v>52.1518759018759</v>
      </c>
      <c r="N4324" s="74">
        <f t="shared" si="1"/>
        <v>0</v>
      </c>
      <c r="O4324" s="74" t="b">
        <v>1</v>
      </c>
    </row>
    <row r="4325" hidden="1">
      <c r="A4325" s="82"/>
      <c r="B4325" s="65" t="s">
        <v>467</v>
      </c>
      <c r="C4325" s="65" t="s">
        <v>92</v>
      </c>
      <c r="D4325" s="65"/>
      <c r="E4325" s="65" t="s">
        <v>3220</v>
      </c>
      <c r="F4325" s="83">
        <v>0.5833333333333334</v>
      </c>
      <c r="G4325" s="83">
        <v>0.6041666666666666</v>
      </c>
      <c r="H4325" s="83">
        <v>0.020833333333333332</v>
      </c>
      <c r="I4325" s="84">
        <v>44412.0</v>
      </c>
      <c r="J4325" s="65" t="b">
        <v>0</v>
      </c>
      <c r="K4325" s="65" t="s">
        <v>150</v>
      </c>
      <c r="L4325" s="85" t="b">
        <f>IF(VLOOKUP(C4325,Projetos!A:L,12,false)=TRUE,TRUE,FALSE)</f>
        <v>1</v>
      </c>
      <c r="M4325" s="74">
        <v>52.1518759018759</v>
      </c>
      <c r="N4325" s="74">
        <f t="shared" si="1"/>
        <v>0</v>
      </c>
      <c r="O4325" s="74" t="b">
        <v>1</v>
      </c>
    </row>
    <row r="4326" hidden="1">
      <c r="A4326" s="82"/>
      <c r="B4326" s="65" t="s">
        <v>467</v>
      </c>
      <c r="C4326" s="65" t="s">
        <v>92</v>
      </c>
      <c r="D4326" s="65"/>
      <c r="E4326" s="65" t="s">
        <v>3221</v>
      </c>
      <c r="F4326" s="83">
        <v>0.6041666666666666</v>
      </c>
      <c r="G4326" s="83">
        <v>0.625</v>
      </c>
      <c r="H4326" s="83">
        <v>0.020833333333333332</v>
      </c>
      <c r="I4326" s="84">
        <v>44412.0</v>
      </c>
      <c r="J4326" s="65" t="b">
        <v>0</v>
      </c>
      <c r="K4326" s="65" t="s">
        <v>150</v>
      </c>
      <c r="L4326" s="85" t="b">
        <f>IF(VLOOKUP(C4326,Projetos!A:L,12,false)=TRUE,TRUE,FALSE)</f>
        <v>1</v>
      </c>
      <c r="M4326" s="74">
        <v>52.1518759018759</v>
      </c>
      <c r="N4326" s="74">
        <f t="shared" si="1"/>
        <v>0</v>
      </c>
      <c r="O4326" s="74" t="b">
        <v>1</v>
      </c>
    </row>
    <row r="4327" hidden="1">
      <c r="A4327" s="82"/>
      <c r="B4327" s="65" t="s">
        <v>467</v>
      </c>
      <c r="C4327" s="65" t="s">
        <v>122</v>
      </c>
      <c r="D4327" s="65"/>
      <c r="E4327" s="65" t="s">
        <v>3222</v>
      </c>
      <c r="F4327" s="83">
        <v>0.3958333333333333</v>
      </c>
      <c r="G4327" s="83">
        <v>0.4375</v>
      </c>
      <c r="H4327" s="83">
        <v>0.041666666666666664</v>
      </c>
      <c r="I4327" s="84">
        <v>44413.0</v>
      </c>
      <c r="J4327" s="65" t="b">
        <v>0</v>
      </c>
      <c r="K4327" s="65" t="s">
        <v>150</v>
      </c>
      <c r="L4327" s="85" t="b">
        <f>IF(VLOOKUP(C4327,Projetos!A:L,12,false)=TRUE,TRUE,FALSE)</f>
        <v>1</v>
      </c>
      <c r="M4327" s="74">
        <v>52.1518759018759</v>
      </c>
      <c r="N4327" s="74">
        <f t="shared" si="1"/>
        <v>0</v>
      </c>
      <c r="O4327" s="74" t="b">
        <v>1</v>
      </c>
    </row>
    <row r="4328" hidden="1">
      <c r="A4328" s="82"/>
      <c r="B4328" s="65" t="s">
        <v>467</v>
      </c>
      <c r="C4328" s="65" t="s">
        <v>122</v>
      </c>
      <c r="D4328" s="65" t="str">
        <f>vlookup(C4328,'Classificação p pessoal'!F:G,2,false)</f>
        <v>NP</v>
      </c>
      <c r="E4328" s="65" t="s">
        <v>3223</v>
      </c>
      <c r="F4328" s="83">
        <v>0.4375</v>
      </c>
      <c r="G4328" s="83">
        <v>0.4791666666666667</v>
      </c>
      <c r="H4328" s="83">
        <v>0.041666666666666664</v>
      </c>
      <c r="I4328" s="84">
        <v>44413.0</v>
      </c>
      <c r="J4328" s="65" t="b">
        <v>1</v>
      </c>
      <c r="K4328" s="65"/>
      <c r="L4328" s="85" t="b">
        <f>IF(VLOOKUP(C4328,Projetos!A:L,12,false)=TRUE,TRUE,FALSE)</f>
        <v>1</v>
      </c>
      <c r="M4328" s="74">
        <v>52.1518759018759</v>
      </c>
      <c r="N4328" s="74">
        <f t="shared" si="1"/>
        <v>52.1518759</v>
      </c>
      <c r="O4328" s="74" t="b">
        <v>1</v>
      </c>
    </row>
    <row r="4329" hidden="1">
      <c r="A4329" s="82"/>
      <c r="B4329" s="65" t="s">
        <v>467</v>
      </c>
      <c r="C4329" s="65" t="s">
        <v>120</v>
      </c>
      <c r="D4329" s="65"/>
      <c r="E4329" s="65" t="s">
        <v>3224</v>
      </c>
      <c r="F4329" s="83">
        <v>0.625</v>
      </c>
      <c r="G4329" s="83">
        <v>0.75</v>
      </c>
      <c r="H4329" s="83">
        <v>0.125</v>
      </c>
      <c r="I4329" s="84">
        <v>44412.0</v>
      </c>
      <c r="J4329" s="65" t="b">
        <v>0</v>
      </c>
      <c r="K4329" s="65"/>
      <c r="L4329" s="85" t="b">
        <f>IF(VLOOKUP(C4329,Projetos!A:L,12,false)=TRUE,TRUE,FALSE)</f>
        <v>0</v>
      </c>
      <c r="M4329" s="74">
        <v>52.1518759018759</v>
      </c>
      <c r="N4329" s="74">
        <f t="shared" si="1"/>
        <v>0</v>
      </c>
      <c r="O4329" s="74" t="b">
        <v>0</v>
      </c>
    </row>
    <row r="4330" hidden="1">
      <c r="A4330" s="82"/>
      <c r="B4330" s="65" t="s">
        <v>467</v>
      </c>
      <c r="C4330" s="65" t="s">
        <v>88</v>
      </c>
      <c r="D4330" s="65"/>
      <c r="E4330" s="65" t="s">
        <v>3225</v>
      </c>
      <c r="F4330" s="83">
        <v>0.4791666666666667</v>
      </c>
      <c r="G4330" s="83">
        <v>0.5277777777777778</v>
      </c>
      <c r="H4330" s="83">
        <v>0.04861111111111111</v>
      </c>
      <c r="I4330" s="84">
        <v>44413.0</v>
      </c>
      <c r="J4330" s="65" t="b">
        <v>0</v>
      </c>
      <c r="K4330" s="65" t="s">
        <v>150</v>
      </c>
      <c r="L4330" s="85" t="b">
        <f>IF(VLOOKUP(C4330,Projetos!A:L,12,false)=TRUE,TRUE,FALSE)</f>
        <v>1</v>
      </c>
      <c r="M4330" s="74">
        <v>52.1518759018759</v>
      </c>
      <c r="N4330" s="74">
        <f t="shared" si="1"/>
        <v>0</v>
      </c>
      <c r="O4330" s="74" t="b">
        <v>1</v>
      </c>
    </row>
    <row r="4331" hidden="1">
      <c r="A4331" s="82"/>
      <c r="B4331" s="65" t="s">
        <v>467</v>
      </c>
      <c r="C4331" s="65" t="s">
        <v>113</v>
      </c>
      <c r="D4331" s="65"/>
      <c r="E4331" s="65" t="s">
        <v>3226</v>
      </c>
      <c r="F4331" s="83">
        <v>0.5833333333333334</v>
      </c>
      <c r="G4331" s="83">
        <v>0.6666666666666666</v>
      </c>
      <c r="H4331" s="83">
        <v>0.08333333333333333</v>
      </c>
      <c r="I4331" s="84">
        <v>44413.0</v>
      </c>
      <c r="J4331" s="65" t="b">
        <v>0</v>
      </c>
      <c r="K4331" s="65" t="s">
        <v>150</v>
      </c>
      <c r="L4331" s="85" t="b">
        <f>IF(VLOOKUP(C4331,Projetos!A:L,12,false)=TRUE,TRUE,FALSE)</f>
        <v>1</v>
      </c>
      <c r="M4331" s="74">
        <v>52.1518759018759</v>
      </c>
      <c r="N4331" s="74">
        <f t="shared" si="1"/>
        <v>0</v>
      </c>
      <c r="O4331" s="74" t="b">
        <v>1</v>
      </c>
    </row>
    <row r="4332" hidden="1">
      <c r="A4332" s="82"/>
      <c r="B4332" s="65" t="s">
        <v>411</v>
      </c>
      <c r="C4332" s="65" t="s">
        <v>117</v>
      </c>
      <c r="D4332" s="65"/>
      <c r="E4332" s="65" t="s">
        <v>3227</v>
      </c>
      <c r="F4332" s="83">
        <v>0.625</v>
      </c>
      <c r="G4332" s="83">
        <v>0.6875</v>
      </c>
      <c r="H4332" s="83">
        <v>0.0625</v>
      </c>
      <c r="I4332" s="84">
        <v>44208.0</v>
      </c>
      <c r="J4332" s="65" t="b">
        <v>0</v>
      </c>
      <c r="K4332" s="65" t="s">
        <v>150</v>
      </c>
      <c r="L4332" s="85" t="b">
        <f>IF(VLOOKUP(C4332,Projetos!A:L,12,false)=TRUE,TRUE,FALSE)</f>
        <v>1</v>
      </c>
      <c r="M4332" s="74">
        <v>52.48434411075036</v>
      </c>
      <c r="N4332" s="74">
        <f t="shared" si="1"/>
        <v>0</v>
      </c>
      <c r="O4332" s="74" t="b">
        <v>1</v>
      </c>
    </row>
    <row r="4333" hidden="1">
      <c r="A4333" s="82"/>
      <c r="B4333" s="65" t="s">
        <v>467</v>
      </c>
      <c r="C4333" s="65" t="s">
        <v>92</v>
      </c>
      <c r="D4333" s="65" t="str">
        <f>vlookup(C4333,'Classificação p pessoal'!F:G,2,false)</f>
        <v/>
      </c>
      <c r="E4333" s="65" t="s">
        <v>3228</v>
      </c>
      <c r="F4333" s="83">
        <v>0.4375</v>
      </c>
      <c r="G4333" s="83">
        <v>0.5208333333333334</v>
      </c>
      <c r="H4333" s="83">
        <v>0.08333333333333333</v>
      </c>
      <c r="I4333" s="84">
        <v>44414.0</v>
      </c>
      <c r="J4333" s="65" t="b">
        <v>1</v>
      </c>
      <c r="K4333" s="65"/>
      <c r="L4333" s="85" t="b">
        <f>IF(VLOOKUP(C4333,Projetos!A:L,12,false)=TRUE,TRUE,FALSE)</f>
        <v>1</v>
      </c>
      <c r="M4333" s="74">
        <v>52.1518759018759</v>
      </c>
      <c r="N4333" s="74">
        <f t="shared" si="1"/>
        <v>104.3037518</v>
      </c>
      <c r="O4333" s="74" t="b">
        <v>1</v>
      </c>
    </row>
    <row r="4334" hidden="1">
      <c r="A4334" s="82"/>
      <c r="B4334" s="65" t="s">
        <v>467</v>
      </c>
      <c r="C4334" s="65" t="s">
        <v>130</v>
      </c>
      <c r="D4334" s="65" t="str">
        <f>vlookup(C4334,'Classificação p pessoal'!F:G,2,false)</f>
        <v>NP</v>
      </c>
      <c r="E4334" s="65" t="s">
        <v>3229</v>
      </c>
      <c r="F4334" s="83">
        <v>0.5833333333333334</v>
      </c>
      <c r="G4334" s="83">
        <v>0.625</v>
      </c>
      <c r="H4334" s="83">
        <v>0.041666666666666664</v>
      </c>
      <c r="I4334" s="84">
        <v>44414.0</v>
      </c>
      <c r="J4334" s="65" t="b">
        <v>1</v>
      </c>
      <c r="K4334" s="65"/>
      <c r="L4334" s="85" t="b">
        <f>IF(VLOOKUP(C4334,Projetos!A:L,12,false)=TRUE,TRUE,FALSE)</f>
        <v>1</v>
      </c>
      <c r="M4334" s="74">
        <v>52.1518759018759</v>
      </c>
      <c r="N4334" s="74">
        <f t="shared" si="1"/>
        <v>52.1518759</v>
      </c>
      <c r="O4334" s="74" t="b">
        <v>1</v>
      </c>
    </row>
    <row r="4335" hidden="1">
      <c r="A4335" s="82"/>
      <c r="B4335" s="65" t="s">
        <v>467</v>
      </c>
      <c r="C4335" s="65" t="s">
        <v>130</v>
      </c>
      <c r="D4335" s="65" t="str">
        <f>vlookup(C4335,'Classificação p pessoal'!F:G,2,false)</f>
        <v>NP</v>
      </c>
      <c r="E4335" s="65" t="s">
        <v>3230</v>
      </c>
      <c r="F4335" s="83">
        <v>0.625</v>
      </c>
      <c r="G4335" s="83">
        <v>0.7083333333333334</v>
      </c>
      <c r="H4335" s="83">
        <v>0.08333333333333333</v>
      </c>
      <c r="I4335" s="84">
        <v>44414.0</v>
      </c>
      <c r="J4335" s="65" t="b">
        <v>1</v>
      </c>
      <c r="K4335" s="65"/>
      <c r="L4335" s="85" t="b">
        <f>IF(VLOOKUP(C4335,Projetos!A:L,12,false)=TRUE,TRUE,FALSE)</f>
        <v>1</v>
      </c>
      <c r="M4335" s="74">
        <v>52.1518759018759</v>
      </c>
      <c r="N4335" s="74">
        <f t="shared" si="1"/>
        <v>104.3037518</v>
      </c>
      <c r="O4335" s="74" t="b">
        <v>1</v>
      </c>
    </row>
    <row r="4336" hidden="1">
      <c r="A4336" s="82"/>
      <c r="B4336" s="65" t="s">
        <v>467</v>
      </c>
      <c r="C4336" s="65" t="s">
        <v>88</v>
      </c>
      <c r="D4336" s="65" t="str">
        <f>vlookup(C4336,'Classificação p pessoal'!F:G,2,false)</f>
        <v>MProduto</v>
      </c>
      <c r="E4336" s="65" t="s">
        <v>3231</v>
      </c>
      <c r="F4336" s="83">
        <v>0.7083333333333334</v>
      </c>
      <c r="G4336" s="83">
        <v>0.75</v>
      </c>
      <c r="H4336" s="83">
        <v>0.041666666666666664</v>
      </c>
      <c r="I4336" s="84">
        <v>44414.0</v>
      </c>
      <c r="J4336" s="65" t="b">
        <v>1</v>
      </c>
      <c r="K4336" s="65"/>
      <c r="L4336" s="85" t="b">
        <f>IF(VLOOKUP(C4336,Projetos!A:L,12,false)=TRUE,TRUE,FALSE)</f>
        <v>1</v>
      </c>
      <c r="M4336" s="74">
        <v>52.1518759018759</v>
      </c>
      <c r="N4336" s="74">
        <f t="shared" si="1"/>
        <v>52.1518759</v>
      </c>
      <c r="O4336" s="74" t="b">
        <v>1</v>
      </c>
    </row>
    <row r="4337" hidden="1">
      <c r="A4337" s="82"/>
      <c r="B4337" s="65" t="s">
        <v>467</v>
      </c>
      <c r="C4337" s="65" t="s">
        <v>121</v>
      </c>
      <c r="D4337" s="65" t="str">
        <f>vlookup(C4337,'Classificação p pessoal'!F:G,2,false)</f>
        <v>NP</v>
      </c>
      <c r="E4337" s="65" t="s">
        <v>3232</v>
      </c>
      <c r="F4337" s="83">
        <v>0.4166666666666667</v>
      </c>
      <c r="G4337" s="83">
        <v>0.5208333333333334</v>
      </c>
      <c r="H4337" s="83">
        <v>0.10416666666666667</v>
      </c>
      <c r="I4337" s="84">
        <v>44417.0</v>
      </c>
      <c r="J4337" s="65" t="b">
        <v>1</v>
      </c>
      <c r="K4337" s="65"/>
      <c r="L4337" s="85" t="b">
        <f>IF(VLOOKUP(C4337,Projetos!A:L,12,false)=TRUE,TRUE,FALSE)</f>
        <v>1</v>
      </c>
      <c r="M4337" s="74">
        <v>52.1518759018759</v>
      </c>
      <c r="N4337" s="74">
        <f t="shared" si="1"/>
        <v>130.3796898</v>
      </c>
      <c r="O4337" s="74" t="b">
        <v>1</v>
      </c>
    </row>
    <row r="4338" hidden="1">
      <c r="A4338" s="82"/>
      <c r="B4338" s="65" t="s">
        <v>467</v>
      </c>
      <c r="C4338" s="65" t="s">
        <v>92</v>
      </c>
      <c r="D4338" s="65" t="str">
        <f>vlookup(C4338,'Classificação p pessoal'!F:G,2,false)</f>
        <v/>
      </c>
      <c r="E4338" s="65" t="s">
        <v>3233</v>
      </c>
      <c r="F4338" s="83">
        <v>0.5625</v>
      </c>
      <c r="G4338" s="83">
        <v>0.5833333333333334</v>
      </c>
      <c r="H4338" s="83">
        <v>0.020833333333333332</v>
      </c>
      <c r="I4338" s="84">
        <v>44417.0</v>
      </c>
      <c r="J4338" s="65" t="b">
        <v>1</v>
      </c>
      <c r="K4338" s="65"/>
      <c r="L4338" s="85" t="b">
        <f>IF(VLOOKUP(C4338,Projetos!A:L,12,false)=TRUE,TRUE,FALSE)</f>
        <v>1</v>
      </c>
      <c r="M4338" s="74">
        <v>52.1518759018759</v>
      </c>
      <c r="N4338" s="74">
        <f t="shared" si="1"/>
        <v>26.07593795</v>
      </c>
      <c r="O4338" s="74" t="b">
        <v>1</v>
      </c>
    </row>
    <row r="4339" hidden="1">
      <c r="A4339" s="82"/>
      <c r="B4339" s="65" t="s">
        <v>467</v>
      </c>
      <c r="C4339" s="65" t="s">
        <v>120</v>
      </c>
      <c r="D4339" s="65"/>
      <c r="E4339" s="65" t="s">
        <v>3234</v>
      </c>
      <c r="F4339" s="83">
        <v>0.6041666666666666</v>
      </c>
      <c r="G4339" s="83">
        <v>0.6666666666666666</v>
      </c>
      <c r="H4339" s="83">
        <v>0.0625</v>
      </c>
      <c r="I4339" s="84">
        <v>44417.0</v>
      </c>
      <c r="J4339" s="65" t="b">
        <v>0</v>
      </c>
      <c r="K4339" s="65" t="s">
        <v>150</v>
      </c>
      <c r="L4339" s="85" t="b">
        <f>IF(VLOOKUP(C4339,Projetos!A:L,12,false)=TRUE,TRUE,FALSE)</f>
        <v>0</v>
      </c>
      <c r="M4339" s="74">
        <v>52.1518759018759</v>
      </c>
      <c r="N4339" s="74">
        <f t="shared" si="1"/>
        <v>0</v>
      </c>
      <c r="O4339" s="74" t="b">
        <v>0</v>
      </c>
    </row>
    <row r="4340" hidden="1">
      <c r="A4340" s="82"/>
      <c r="B4340" s="65" t="s">
        <v>467</v>
      </c>
      <c r="C4340" s="65" t="s">
        <v>122</v>
      </c>
      <c r="D4340" s="65" t="str">
        <f>vlookup(C4340,'Classificação p pessoal'!F:G,2,false)</f>
        <v>NP</v>
      </c>
      <c r="E4340" s="65" t="s">
        <v>3235</v>
      </c>
      <c r="F4340" s="83">
        <v>0.6666666666666666</v>
      </c>
      <c r="G4340" s="83">
        <v>0.7083333333333334</v>
      </c>
      <c r="H4340" s="83">
        <v>0.041666666666666664</v>
      </c>
      <c r="I4340" s="84">
        <v>44417.0</v>
      </c>
      <c r="J4340" s="65" t="b">
        <v>1</v>
      </c>
      <c r="K4340" s="65"/>
      <c r="L4340" s="85" t="b">
        <f>IF(VLOOKUP(C4340,Projetos!A:L,12,false)=TRUE,TRUE,FALSE)</f>
        <v>1</v>
      </c>
      <c r="M4340" s="74">
        <v>52.1518759018759</v>
      </c>
      <c r="N4340" s="74">
        <f t="shared" si="1"/>
        <v>52.1518759</v>
      </c>
      <c r="O4340" s="74" t="b">
        <v>1</v>
      </c>
    </row>
    <row r="4341" hidden="1">
      <c r="A4341" s="82"/>
      <c r="B4341" s="65" t="s">
        <v>467</v>
      </c>
      <c r="C4341" s="65" t="s">
        <v>113</v>
      </c>
      <c r="D4341" s="65"/>
      <c r="E4341" s="65" t="s">
        <v>3236</v>
      </c>
      <c r="F4341" s="83">
        <v>0.3541666666666667</v>
      </c>
      <c r="G4341" s="83">
        <v>0.375</v>
      </c>
      <c r="H4341" s="83">
        <v>0.020833333333333332</v>
      </c>
      <c r="I4341" s="84">
        <v>44418.0</v>
      </c>
      <c r="J4341" s="65" t="b">
        <v>0</v>
      </c>
      <c r="K4341" s="65" t="s">
        <v>150</v>
      </c>
      <c r="L4341" s="85" t="b">
        <f>IF(VLOOKUP(C4341,Projetos!A:L,12,false)=TRUE,TRUE,FALSE)</f>
        <v>1</v>
      </c>
      <c r="M4341" s="74">
        <v>52.1518759018759</v>
      </c>
      <c r="N4341" s="74">
        <f t="shared" si="1"/>
        <v>0</v>
      </c>
      <c r="O4341" s="74" t="b">
        <v>1</v>
      </c>
    </row>
    <row r="4342" hidden="1">
      <c r="A4342" s="82"/>
      <c r="B4342" s="65" t="s">
        <v>467</v>
      </c>
      <c r="C4342" s="65" t="s">
        <v>120</v>
      </c>
      <c r="D4342" s="65"/>
      <c r="E4342" s="65" t="s">
        <v>3237</v>
      </c>
      <c r="F4342" s="83">
        <v>0.375</v>
      </c>
      <c r="G4342" s="83">
        <v>0.4375</v>
      </c>
      <c r="H4342" s="83">
        <v>0.0625</v>
      </c>
      <c r="I4342" s="84">
        <v>44418.0</v>
      </c>
      <c r="J4342" s="65" t="b">
        <v>0</v>
      </c>
      <c r="K4342" s="65"/>
      <c r="L4342" s="85" t="b">
        <f>IF(VLOOKUP(C4342,Projetos!A:L,12,false)=TRUE,TRUE,FALSE)</f>
        <v>0</v>
      </c>
      <c r="M4342" s="74">
        <v>52.1518759018759</v>
      </c>
      <c r="N4342" s="74">
        <f t="shared" si="1"/>
        <v>0</v>
      </c>
      <c r="O4342" s="74" t="b">
        <v>0</v>
      </c>
    </row>
    <row r="4343" hidden="1">
      <c r="A4343" s="82"/>
      <c r="B4343" s="65" t="s">
        <v>467</v>
      </c>
      <c r="C4343" s="65" t="s">
        <v>92</v>
      </c>
      <c r="D4343" s="65" t="str">
        <f>vlookup(C4343,'Classificação p pessoal'!F:G,2,false)</f>
        <v/>
      </c>
      <c r="E4343" s="65" t="s">
        <v>3238</v>
      </c>
      <c r="F4343" s="83">
        <v>0.4375</v>
      </c>
      <c r="G4343" s="83">
        <v>0.4583333333333333</v>
      </c>
      <c r="H4343" s="83">
        <v>0.020833333333333332</v>
      </c>
      <c r="I4343" s="84">
        <v>44418.0</v>
      </c>
      <c r="J4343" s="65" t="b">
        <v>1</v>
      </c>
      <c r="K4343" s="65"/>
      <c r="L4343" s="85" t="b">
        <f>IF(VLOOKUP(C4343,Projetos!A:L,12,false)=TRUE,TRUE,FALSE)</f>
        <v>1</v>
      </c>
      <c r="M4343" s="74">
        <v>52.1518759018759</v>
      </c>
      <c r="N4343" s="74">
        <f t="shared" si="1"/>
        <v>26.07593795</v>
      </c>
      <c r="O4343" s="74" t="b">
        <v>1</v>
      </c>
    </row>
    <row r="4344" hidden="1">
      <c r="A4344" s="82"/>
      <c r="B4344" s="65" t="s">
        <v>467</v>
      </c>
      <c r="C4344" s="65" t="s">
        <v>121</v>
      </c>
      <c r="D4344" s="65" t="str">
        <f>vlookup(C4344,'Classificação p pessoal'!F:G,2,false)</f>
        <v>NP</v>
      </c>
      <c r="E4344" s="65" t="s">
        <v>3239</v>
      </c>
      <c r="F4344" s="83">
        <v>0.4583333333333333</v>
      </c>
      <c r="G4344" s="83">
        <v>0.5</v>
      </c>
      <c r="H4344" s="83">
        <v>0.041666666666666664</v>
      </c>
      <c r="I4344" s="84">
        <v>44418.0</v>
      </c>
      <c r="J4344" s="65" t="b">
        <v>1</v>
      </c>
      <c r="K4344" s="65"/>
      <c r="L4344" s="85" t="b">
        <f>IF(VLOOKUP(C4344,Projetos!A:L,12,false)=TRUE,TRUE,FALSE)</f>
        <v>1</v>
      </c>
      <c r="M4344" s="74">
        <v>52.1518759018759</v>
      </c>
      <c r="N4344" s="74">
        <f t="shared" si="1"/>
        <v>52.1518759</v>
      </c>
      <c r="O4344" s="74" t="b">
        <v>1</v>
      </c>
    </row>
    <row r="4345" hidden="1">
      <c r="A4345" s="82"/>
      <c r="B4345" s="65" t="s">
        <v>467</v>
      </c>
      <c r="C4345" s="65" t="s">
        <v>92</v>
      </c>
      <c r="D4345" s="65" t="str">
        <f>vlookup(C4345,'Classificação p pessoal'!F:G,2,false)</f>
        <v/>
      </c>
      <c r="E4345" s="65" t="s">
        <v>3240</v>
      </c>
      <c r="F4345" s="83">
        <v>0.5625</v>
      </c>
      <c r="G4345" s="83">
        <v>0.6041666666666666</v>
      </c>
      <c r="H4345" s="83">
        <v>0.041666666666666664</v>
      </c>
      <c r="I4345" s="84">
        <v>44418.0</v>
      </c>
      <c r="J4345" s="65" t="b">
        <v>1</v>
      </c>
      <c r="K4345" s="65"/>
      <c r="L4345" s="85" t="b">
        <f>IF(VLOOKUP(C4345,Projetos!A:L,12,false)=TRUE,TRUE,FALSE)</f>
        <v>1</v>
      </c>
      <c r="M4345" s="74">
        <v>52.1518759018759</v>
      </c>
      <c r="N4345" s="74">
        <f t="shared" si="1"/>
        <v>52.1518759</v>
      </c>
      <c r="O4345" s="74" t="b">
        <v>1</v>
      </c>
    </row>
    <row r="4346" hidden="1">
      <c r="A4346" s="82"/>
      <c r="B4346" s="65" t="s">
        <v>467</v>
      </c>
      <c r="C4346" s="65" t="s">
        <v>113</v>
      </c>
      <c r="D4346" s="65" t="str">
        <f>vlookup(C4346,'Classificação p pessoal'!F:G,2,false)</f>
        <v>NP</v>
      </c>
      <c r="E4346" s="65" t="s">
        <v>3241</v>
      </c>
      <c r="F4346" s="83">
        <v>0.6041666666666666</v>
      </c>
      <c r="G4346" s="83">
        <v>0.625</v>
      </c>
      <c r="H4346" s="83">
        <v>0.020833333333333332</v>
      </c>
      <c r="I4346" s="84">
        <v>44418.0</v>
      </c>
      <c r="J4346" s="65" t="b">
        <v>1</v>
      </c>
      <c r="K4346" s="65"/>
      <c r="L4346" s="85" t="b">
        <f>IF(VLOOKUP(C4346,Projetos!A:L,12,false)=TRUE,TRUE,FALSE)</f>
        <v>1</v>
      </c>
      <c r="M4346" s="74">
        <v>52.1518759018759</v>
      </c>
      <c r="N4346" s="74">
        <f t="shared" si="1"/>
        <v>26.07593795</v>
      </c>
      <c r="O4346" s="74" t="b">
        <v>1</v>
      </c>
    </row>
    <row r="4347" hidden="1">
      <c r="A4347" s="82"/>
      <c r="B4347" s="65" t="s">
        <v>467</v>
      </c>
      <c r="C4347" s="65" t="s">
        <v>113</v>
      </c>
      <c r="D4347" s="65"/>
      <c r="E4347" s="65" t="s">
        <v>3242</v>
      </c>
      <c r="F4347" s="83">
        <v>0.625</v>
      </c>
      <c r="G4347" s="83">
        <v>0.6666666666666666</v>
      </c>
      <c r="H4347" s="83">
        <v>0.041666666666666664</v>
      </c>
      <c r="I4347" s="84">
        <v>44418.0</v>
      </c>
      <c r="J4347" s="65" t="b">
        <v>0</v>
      </c>
      <c r="K4347" s="65" t="s">
        <v>150</v>
      </c>
      <c r="L4347" s="85" t="b">
        <f>IF(VLOOKUP(C4347,Projetos!A:L,12,false)=TRUE,TRUE,FALSE)</f>
        <v>1</v>
      </c>
      <c r="M4347" s="74">
        <v>52.1518759018759</v>
      </c>
      <c r="N4347" s="74">
        <f t="shared" si="1"/>
        <v>0</v>
      </c>
      <c r="O4347" s="74" t="b">
        <v>1</v>
      </c>
    </row>
    <row r="4348" hidden="1">
      <c r="A4348" s="82"/>
      <c r="B4348" s="65" t="s">
        <v>467</v>
      </c>
      <c r="C4348" s="65" t="s">
        <v>113</v>
      </c>
      <c r="D4348" s="65" t="str">
        <f>vlookup(C4348,'Classificação p pessoal'!F:G,2,false)</f>
        <v>NP</v>
      </c>
      <c r="E4348" s="65" t="s">
        <v>3243</v>
      </c>
      <c r="F4348" s="83">
        <v>0.3541666666666667</v>
      </c>
      <c r="G4348" s="83">
        <v>0.4166666666666667</v>
      </c>
      <c r="H4348" s="83">
        <v>0.0625</v>
      </c>
      <c r="I4348" s="84">
        <v>44419.0</v>
      </c>
      <c r="J4348" s="65" t="b">
        <v>1</v>
      </c>
      <c r="K4348" s="65"/>
      <c r="L4348" s="85" t="b">
        <f>IF(VLOOKUP(C4348,Projetos!A:L,12,false)=TRUE,TRUE,FALSE)</f>
        <v>1</v>
      </c>
      <c r="M4348" s="74">
        <v>52.1518759018759</v>
      </c>
      <c r="N4348" s="74">
        <f t="shared" si="1"/>
        <v>78.22781385</v>
      </c>
      <c r="O4348" s="74" t="b">
        <v>1</v>
      </c>
    </row>
    <row r="4349" hidden="1">
      <c r="A4349" s="82"/>
      <c r="B4349" s="65" t="s">
        <v>467</v>
      </c>
      <c r="C4349" s="65" t="s">
        <v>88</v>
      </c>
      <c r="D4349" s="65" t="str">
        <f>vlookup(C4349,'Classificação p pessoal'!F:G,2,false)</f>
        <v>MProduto</v>
      </c>
      <c r="E4349" s="65" t="s">
        <v>3244</v>
      </c>
      <c r="F4349" s="83">
        <v>0.4166666666666667</v>
      </c>
      <c r="G4349" s="83">
        <v>0.4583333333333333</v>
      </c>
      <c r="H4349" s="83">
        <v>0.041666666666666664</v>
      </c>
      <c r="I4349" s="84">
        <v>44419.0</v>
      </c>
      <c r="J4349" s="65" t="b">
        <v>1</v>
      </c>
      <c r="K4349" s="65"/>
      <c r="L4349" s="85" t="b">
        <f>IF(VLOOKUP(C4349,Projetos!A:L,12,false)=TRUE,TRUE,FALSE)</f>
        <v>1</v>
      </c>
      <c r="M4349" s="74">
        <v>52.1518759018759</v>
      </c>
      <c r="N4349" s="74">
        <f t="shared" si="1"/>
        <v>52.1518759</v>
      </c>
      <c r="O4349" s="74" t="b">
        <v>1</v>
      </c>
    </row>
    <row r="4350" hidden="1">
      <c r="A4350" s="82"/>
      <c r="B4350" s="65" t="s">
        <v>467</v>
      </c>
      <c r="C4350" s="65" t="s">
        <v>122</v>
      </c>
      <c r="D4350" s="65"/>
      <c r="E4350" s="65" t="s">
        <v>3245</v>
      </c>
      <c r="F4350" s="83">
        <v>0.4583333333333333</v>
      </c>
      <c r="G4350" s="83">
        <v>0.5208333333333334</v>
      </c>
      <c r="H4350" s="83">
        <v>0.0625</v>
      </c>
      <c r="I4350" s="84">
        <v>44419.0</v>
      </c>
      <c r="J4350" s="65" t="b">
        <v>0</v>
      </c>
      <c r="K4350" s="65" t="s">
        <v>150</v>
      </c>
      <c r="L4350" s="85" t="b">
        <f>IF(VLOOKUP(C4350,Projetos!A:L,12,false)=TRUE,TRUE,FALSE)</f>
        <v>1</v>
      </c>
      <c r="M4350" s="74">
        <v>52.1518759018759</v>
      </c>
      <c r="N4350" s="74">
        <f t="shared" si="1"/>
        <v>0</v>
      </c>
      <c r="O4350" s="74" t="b">
        <v>1</v>
      </c>
    </row>
    <row r="4351" hidden="1">
      <c r="A4351" s="82"/>
      <c r="B4351" s="65" t="s">
        <v>467</v>
      </c>
      <c r="C4351" s="65" t="s">
        <v>122</v>
      </c>
      <c r="D4351" s="65" t="str">
        <f>vlookup(C4351,'Classificação p pessoal'!F:G,2,false)</f>
        <v>NP</v>
      </c>
      <c r="E4351" s="65" t="s">
        <v>3246</v>
      </c>
      <c r="F4351" s="83">
        <v>0.5833333333333334</v>
      </c>
      <c r="G4351" s="83">
        <v>0.625</v>
      </c>
      <c r="H4351" s="83">
        <v>0.041666666666666664</v>
      </c>
      <c r="I4351" s="84">
        <v>44419.0</v>
      </c>
      <c r="J4351" s="65" t="b">
        <v>1</v>
      </c>
      <c r="K4351" s="65"/>
      <c r="L4351" s="85" t="b">
        <f>IF(VLOOKUP(C4351,Projetos!A:L,12,false)=TRUE,TRUE,FALSE)</f>
        <v>1</v>
      </c>
      <c r="M4351" s="74">
        <v>52.1518759018759</v>
      </c>
      <c r="N4351" s="74">
        <f t="shared" si="1"/>
        <v>52.1518759</v>
      </c>
      <c r="O4351" s="74" t="b">
        <v>1</v>
      </c>
    </row>
    <row r="4352" hidden="1">
      <c r="A4352" s="82"/>
      <c r="B4352" s="65" t="s">
        <v>467</v>
      </c>
      <c r="C4352" s="65" t="s">
        <v>120</v>
      </c>
      <c r="D4352" s="65"/>
      <c r="E4352" s="65" t="s">
        <v>3247</v>
      </c>
      <c r="F4352" s="83">
        <v>0.3541666666666667</v>
      </c>
      <c r="G4352" s="83">
        <v>0.4166666666666667</v>
      </c>
      <c r="H4352" s="83">
        <v>0.0625</v>
      </c>
      <c r="I4352" s="84">
        <v>44420.0</v>
      </c>
      <c r="J4352" s="65" t="b">
        <v>0</v>
      </c>
      <c r="K4352" s="65"/>
      <c r="L4352" s="85" t="b">
        <f>IF(VLOOKUP(C4352,Projetos!A:L,12,false)=TRUE,TRUE,FALSE)</f>
        <v>0</v>
      </c>
      <c r="M4352" s="74">
        <v>52.1518759018759</v>
      </c>
      <c r="N4352" s="74">
        <f t="shared" si="1"/>
        <v>0</v>
      </c>
      <c r="O4352" s="74" t="b">
        <v>0</v>
      </c>
    </row>
    <row r="4353" hidden="1">
      <c r="A4353" s="82"/>
      <c r="B4353" s="65" t="s">
        <v>467</v>
      </c>
      <c r="C4353" s="65" t="s">
        <v>92</v>
      </c>
      <c r="D4353" s="65" t="str">
        <f>vlookup(C4353,'Classificação p pessoal'!F:G,2,false)</f>
        <v/>
      </c>
      <c r="E4353" s="65" t="s">
        <v>3248</v>
      </c>
      <c r="F4353" s="83">
        <v>0.4166666666666667</v>
      </c>
      <c r="G4353" s="83">
        <v>0.5</v>
      </c>
      <c r="H4353" s="83">
        <v>0.08333333333333333</v>
      </c>
      <c r="I4353" s="84">
        <v>44420.0</v>
      </c>
      <c r="J4353" s="65" t="b">
        <v>1</v>
      </c>
      <c r="K4353" s="65"/>
      <c r="L4353" s="85" t="b">
        <f>IF(VLOOKUP(C4353,Projetos!A:L,12,false)=TRUE,TRUE,FALSE)</f>
        <v>1</v>
      </c>
      <c r="M4353" s="74">
        <v>52.1518759018759</v>
      </c>
      <c r="N4353" s="74">
        <f t="shared" si="1"/>
        <v>104.3037518</v>
      </c>
      <c r="O4353" s="74" t="b">
        <v>1</v>
      </c>
    </row>
    <row r="4354" hidden="1">
      <c r="A4354" s="82"/>
      <c r="B4354" s="65" t="s">
        <v>467</v>
      </c>
      <c r="C4354" s="65" t="s">
        <v>92</v>
      </c>
      <c r="D4354" s="65" t="str">
        <f>vlookup(C4354,'Classificação p pessoal'!F:G,2,false)</f>
        <v/>
      </c>
      <c r="E4354" s="65" t="s">
        <v>3249</v>
      </c>
      <c r="F4354" s="83">
        <v>0.5833333333333334</v>
      </c>
      <c r="G4354" s="83">
        <v>0.6666666666666666</v>
      </c>
      <c r="H4354" s="83">
        <v>0.08333333333333333</v>
      </c>
      <c r="I4354" s="84">
        <v>44420.0</v>
      </c>
      <c r="J4354" s="65" t="b">
        <v>1</v>
      </c>
      <c r="K4354" s="65"/>
      <c r="L4354" s="85" t="b">
        <f>IF(VLOOKUP(C4354,Projetos!A:L,12,false)=TRUE,TRUE,FALSE)</f>
        <v>1</v>
      </c>
      <c r="M4354" s="74">
        <v>52.1518759018759</v>
      </c>
      <c r="N4354" s="74">
        <f t="shared" si="1"/>
        <v>104.3037518</v>
      </c>
      <c r="O4354" s="74" t="b">
        <v>1</v>
      </c>
    </row>
    <row r="4355" hidden="1">
      <c r="A4355" s="82"/>
      <c r="B4355" s="65" t="s">
        <v>467</v>
      </c>
      <c r="C4355" s="65" t="s">
        <v>92</v>
      </c>
      <c r="D4355" s="65" t="str">
        <f>vlookup(C4355,'Classificação p pessoal'!F:G,2,false)</f>
        <v/>
      </c>
      <c r="E4355" s="65" t="s">
        <v>3250</v>
      </c>
      <c r="F4355" s="83">
        <v>0.375</v>
      </c>
      <c r="G4355" s="83">
        <v>0.4166666666666667</v>
      </c>
      <c r="H4355" s="83">
        <v>0.041666666666666664</v>
      </c>
      <c r="I4355" s="84">
        <v>44421.0</v>
      </c>
      <c r="J4355" s="65" t="b">
        <v>1</v>
      </c>
      <c r="K4355" s="65"/>
      <c r="L4355" s="85" t="b">
        <f>IF(VLOOKUP(C4355,Projetos!A:L,12,false)=TRUE,TRUE,FALSE)</f>
        <v>1</v>
      </c>
      <c r="M4355" s="74">
        <v>52.1518759018759</v>
      </c>
      <c r="N4355" s="74">
        <f t="shared" si="1"/>
        <v>52.1518759</v>
      </c>
      <c r="O4355" s="74" t="b">
        <v>1</v>
      </c>
    </row>
    <row r="4356" hidden="1">
      <c r="A4356" s="82"/>
      <c r="B4356" s="65" t="s">
        <v>467</v>
      </c>
      <c r="C4356" s="65" t="s">
        <v>113</v>
      </c>
      <c r="D4356" s="65" t="str">
        <f>vlookup(C4356,'Classificação p pessoal'!F:G,2,false)</f>
        <v>NP</v>
      </c>
      <c r="E4356" s="65" t="s">
        <v>3251</v>
      </c>
      <c r="F4356" s="83">
        <v>0.4166666666666667</v>
      </c>
      <c r="G4356" s="83">
        <v>0.46875</v>
      </c>
      <c r="H4356" s="83">
        <v>0.052083333333333336</v>
      </c>
      <c r="I4356" s="84">
        <v>44421.0</v>
      </c>
      <c r="J4356" s="65" t="b">
        <v>1</v>
      </c>
      <c r="K4356" s="65"/>
      <c r="L4356" s="85" t="b">
        <f>IF(VLOOKUP(C4356,Projetos!A:L,12,false)=TRUE,TRUE,FALSE)</f>
        <v>1</v>
      </c>
      <c r="M4356" s="74">
        <v>52.1518759018759</v>
      </c>
      <c r="N4356" s="74">
        <f t="shared" si="1"/>
        <v>65.18984488</v>
      </c>
      <c r="O4356" s="74" t="b">
        <v>1</v>
      </c>
    </row>
    <row r="4357" hidden="1">
      <c r="A4357" s="82"/>
      <c r="B4357" s="65" t="s">
        <v>467</v>
      </c>
      <c r="C4357" s="65" t="s">
        <v>130</v>
      </c>
      <c r="D4357" s="65" t="str">
        <f>vlookup(C4357,'Classificação p pessoal'!F:G,2,false)</f>
        <v>NP</v>
      </c>
      <c r="E4357" s="65" t="s">
        <v>3252</v>
      </c>
      <c r="F4357" s="83">
        <v>0.46875</v>
      </c>
      <c r="G4357" s="83">
        <v>0.4791666666666667</v>
      </c>
      <c r="H4357" s="83">
        <v>0.010416666666666666</v>
      </c>
      <c r="I4357" s="84">
        <v>44421.0</v>
      </c>
      <c r="J4357" s="65" t="b">
        <v>1</v>
      </c>
      <c r="K4357" s="65"/>
      <c r="L4357" s="85" t="b">
        <f>IF(VLOOKUP(C4357,Projetos!A:L,12,false)=TRUE,TRUE,FALSE)</f>
        <v>1</v>
      </c>
      <c r="M4357" s="74">
        <v>52.1518759018759</v>
      </c>
      <c r="N4357" s="74">
        <f t="shared" si="1"/>
        <v>13.03796898</v>
      </c>
      <c r="O4357" s="74" t="b">
        <v>1</v>
      </c>
    </row>
    <row r="4358" hidden="1">
      <c r="A4358" s="82"/>
      <c r="B4358" s="65" t="s">
        <v>467</v>
      </c>
      <c r="C4358" s="65" t="s">
        <v>117</v>
      </c>
      <c r="D4358" s="65" t="str">
        <f>vlookup(C4358,'Classificação p pessoal'!F:G,2,false)</f>
        <v>NP</v>
      </c>
      <c r="E4358" s="65" t="s">
        <v>3253</v>
      </c>
      <c r="F4358" s="83">
        <v>0.6666666666666666</v>
      </c>
      <c r="G4358" s="83">
        <v>0.7083333333333334</v>
      </c>
      <c r="H4358" s="83">
        <v>0.041666666666666664</v>
      </c>
      <c r="I4358" s="84">
        <v>44421.0</v>
      </c>
      <c r="J4358" s="65" t="b">
        <v>1</v>
      </c>
      <c r="K4358" s="65"/>
      <c r="L4358" s="85" t="b">
        <f>IF(VLOOKUP(C4358,Projetos!A:L,12,false)=TRUE,TRUE,FALSE)</f>
        <v>1</v>
      </c>
      <c r="M4358" s="74">
        <v>52.1518759018759</v>
      </c>
      <c r="N4358" s="74">
        <f t="shared" si="1"/>
        <v>52.1518759</v>
      </c>
      <c r="O4358" s="74" t="b">
        <v>1</v>
      </c>
    </row>
    <row r="4359" hidden="1">
      <c r="A4359" s="82"/>
      <c r="B4359" s="65" t="s">
        <v>467</v>
      </c>
      <c r="C4359" s="65" t="s">
        <v>130</v>
      </c>
      <c r="D4359" s="65" t="str">
        <f>vlookup(C4359,'Classificação p pessoal'!F:G,2,false)</f>
        <v>NP</v>
      </c>
      <c r="E4359" s="65" t="s">
        <v>3254</v>
      </c>
      <c r="F4359" s="83">
        <v>0.3541666666666667</v>
      </c>
      <c r="G4359" s="83">
        <v>0.3958333333333333</v>
      </c>
      <c r="H4359" s="83">
        <v>0.041666666666666664</v>
      </c>
      <c r="I4359" s="84">
        <v>44424.0</v>
      </c>
      <c r="J4359" s="65" t="b">
        <v>1</v>
      </c>
      <c r="K4359" s="65"/>
      <c r="L4359" s="85" t="b">
        <f>IF(VLOOKUP(C4359,Projetos!A:L,12,false)=TRUE,TRUE,FALSE)</f>
        <v>1</v>
      </c>
      <c r="M4359" s="74">
        <v>52.1518759018759</v>
      </c>
      <c r="N4359" s="74">
        <f t="shared" si="1"/>
        <v>52.1518759</v>
      </c>
      <c r="O4359" s="74" t="b">
        <v>1</v>
      </c>
    </row>
    <row r="4360" hidden="1">
      <c r="A4360" s="82"/>
      <c r="B4360" s="65" t="s">
        <v>467</v>
      </c>
      <c r="C4360" s="65" t="s">
        <v>122</v>
      </c>
      <c r="D4360" s="65"/>
      <c r="E4360" s="65" t="s">
        <v>3255</v>
      </c>
      <c r="F4360" s="83">
        <v>0.3958333333333333</v>
      </c>
      <c r="G4360" s="83">
        <v>0.4583333333333333</v>
      </c>
      <c r="H4360" s="83">
        <v>0.0625</v>
      </c>
      <c r="I4360" s="84">
        <v>44424.0</v>
      </c>
      <c r="J4360" s="65" t="b">
        <v>0</v>
      </c>
      <c r="K4360" s="65" t="s">
        <v>150</v>
      </c>
      <c r="L4360" s="85" t="b">
        <f>IF(VLOOKUP(C4360,Projetos!A:L,12,false)=TRUE,TRUE,FALSE)</f>
        <v>1</v>
      </c>
      <c r="M4360" s="74">
        <v>52.1518759018759</v>
      </c>
      <c r="N4360" s="74">
        <f t="shared" si="1"/>
        <v>0</v>
      </c>
      <c r="O4360" s="74" t="b">
        <v>1</v>
      </c>
    </row>
    <row r="4361" hidden="1">
      <c r="A4361" s="82"/>
      <c r="B4361" s="65" t="s">
        <v>467</v>
      </c>
      <c r="C4361" s="65" t="s">
        <v>92</v>
      </c>
      <c r="D4361" s="65" t="str">
        <f>vlookup(C4361,'Classificação p pessoal'!F:G,2,false)</f>
        <v/>
      </c>
      <c r="E4361" s="65" t="s">
        <v>3256</v>
      </c>
      <c r="F4361" s="83">
        <v>0.4583333333333333</v>
      </c>
      <c r="G4361" s="83">
        <v>0.4791666666666667</v>
      </c>
      <c r="H4361" s="83">
        <v>0.020833333333333332</v>
      </c>
      <c r="I4361" s="84">
        <v>44424.0</v>
      </c>
      <c r="J4361" s="65" t="b">
        <v>1</v>
      </c>
      <c r="K4361" s="65"/>
      <c r="L4361" s="85" t="b">
        <f>IF(VLOOKUP(C4361,Projetos!A:L,12,false)=TRUE,TRUE,FALSE)</f>
        <v>1</v>
      </c>
      <c r="M4361" s="74">
        <v>52.1518759018759</v>
      </c>
      <c r="N4361" s="74">
        <f t="shared" si="1"/>
        <v>26.07593795</v>
      </c>
      <c r="O4361" s="74" t="b">
        <v>1</v>
      </c>
    </row>
    <row r="4362" hidden="1">
      <c r="A4362" s="82"/>
      <c r="B4362" s="65" t="s">
        <v>467</v>
      </c>
      <c r="C4362" s="65" t="s">
        <v>130</v>
      </c>
      <c r="D4362" s="65" t="str">
        <f>vlookup(C4362,'Classificação p pessoal'!F:G,2,false)</f>
        <v>NP</v>
      </c>
      <c r="E4362" s="65" t="s">
        <v>3257</v>
      </c>
      <c r="F4362" s="83">
        <v>0.4791666666666667</v>
      </c>
      <c r="G4362" s="83">
        <v>0.5</v>
      </c>
      <c r="H4362" s="83">
        <v>0.020833333333333332</v>
      </c>
      <c r="I4362" s="84">
        <v>44424.0</v>
      </c>
      <c r="J4362" s="65" t="b">
        <v>1</v>
      </c>
      <c r="K4362" s="65"/>
      <c r="L4362" s="85" t="b">
        <f>IF(VLOOKUP(C4362,Projetos!A:L,12,false)=TRUE,TRUE,FALSE)</f>
        <v>1</v>
      </c>
      <c r="M4362" s="74">
        <v>52.1518759018759</v>
      </c>
      <c r="N4362" s="74">
        <f t="shared" si="1"/>
        <v>26.07593795</v>
      </c>
      <c r="O4362" s="74" t="b">
        <v>1</v>
      </c>
    </row>
    <row r="4363" hidden="1">
      <c r="A4363" s="82"/>
      <c r="B4363" s="65" t="s">
        <v>467</v>
      </c>
      <c r="C4363" s="65" t="s">
        <v>92</v>
      </c>
      <c r="D4363" s="65" t="str">
        <f>vlookup(C4363,'Classificação p pessoal'!F:G,2,false)</f>
        <v/>
      </c>
      <c r="E4363" s="65" t="s">
        <v>3258</v>
      </c>
      <c r="F4363" s="83">
        <v>0.5</v>
      </c>
      <c r="G4363" s="83">
        <v>0.5208333333333334</v>
      </c>
      <c r="H4363" s="83">
        <v>0.020833333333333332</v>
      </c>
      <c r="I4363" s="84">
        <v>44424.0</v>
      </c>
      <c r="J4363" s="65" t="b">
        <v>1</v>
      </c>
      <c r="K4363" s="65"/>
      <c r="L4363" s="85" t="b">
        <f>IF(VLOOKUP(C4363,Projetos!A:L,12,false)=TRUE,TRUE,FALSE)</f>
        <v>1</v>
      </c>
      <c r="M4363" s="74">
        <v>52.1518759018759</v>
      </c>
      <c r="N4363" s="74">
        <f t="shared" si="1"/>
        <v>26.07593795</v>
      </c>
      <c r="O4363" s="74" t="b">
        <v>1</v>
      </c>
    </row>
    <row r="4364" hidden="1">
      <c r="A4364" s="82"/>
      <c r="B4364" s="65" t="s">
        <v>467</v>
      </c>
      <c r="C4364" s="65" t="s">
        <v>113</v>
      </c>
      <c r="D4364" s="65" t="str">
        <f>vlookup(C4364,'Classificação p pessoal'!F:G,2,false)</f>
        <v>NP</v>
      </c>
      <c r="E4364" s="65" t="s">
        <v>3259</v>
      </c>
      <c r="F4364" s="83">
        <v>0.5833333333333334</v>
      </c>
      <c r="G4364" s="83">
        <v>0.75</v>
      </c>
      <c r="H4364" s="83">
        <v>0.16666666666666666</v>
      </c>
      <c r="I4364" s="84">
        <v>44424.0</v>
      </c>
      <c r="J4364" s="65" t="b">
        <v>1</v>
      </c>
      <c r="K4364" s="65"/>
      <c r="L4364" s="85" t="b">
        <f>IF(VLOOKUP(C4364,Projetos!A:L,12,false)=TRUE,TRUE,FALSE)</f>
        <v>1</v>
      </c>
      <c r="M4364" s="74">
        <v>52.1518759018759</v>
      </c>
      <c r="N4364" s="74">
        <f t="shared" si="1"/>
        <v>208.6075036</v>
      </c>
      <c r="O4364" s="74" t="b">
        <v>1</v>
      </c>
    </row>
    <row r="4365" hidden="1">
      <c r="A4365" s="82"/>
      <c r="B4365" s="65" t="s">
        <v>467</v>
      </c>
      <c r="C4365" s="65" t="s">
        <v>88</v>
      </c>
      <c r="D4365" s="65" t="str">
        <f>vlookup(C4365,'Classificação p pessoal'!F:G,2,false)</f>
        <v>MProduto</v>
      </c>
      <c r="E4365" s="65" t="s">
        <v>3260</v>
      </c>
      <c r="F4365" s="83">
        <v>0.3541666666666667</v>
      </c>
      <c r="G4365" s="83">
        <v>0.4166666666666667</v>
      </c>
      <c r="H4365" s="83">
        <v>0.0625</v>
      </c>
      <c r="I4365" s="84">
        <v>44425.0</v>
      </c>
      <c r="J4365" s="65" t="b">
        <v>1</v>
      </c>
      <c r="K4365" s="65"/>
      <c r="L4365" s="85" t="b">
        <f>IF(VLOOKUP(C4365,Projetos!A:L,12,false)=TRUE,TRUE,FALSE)</f>
        <v>1</v>
      </c>
      <c r="M4365" s="74">
        <v>52.1518759018759</v>
      </c>
      <c r="N4365" s="74">
        <f t="shared" si="1"/>
        <v>78.22781385</v>
      </c>
      <c r="O4365" s="74" t="b">
        <v>1</v>
      </c>
    </row>
    <row r="4366" hidden="1">
      <c r="A4366" s="82"/>
      <c r="B4366" s="65" t="s">
        <v>467</v>
      </c>
      <c r="C4366" s="65" t="s">
        <v>113</v>
      </c>
      <c r="D4366" s="65"/>
      <c r="E4366" s="65" t="s">
        <v>3261</v>
      </c>
      <c r="F4366" s="83">
        <v>0.5416666666666666</v>
      </c>
      <c r="G4366" s="83">
        <v>0.5833333333333334</v>
      </c>
      <c r="H4366" s="83">
        <v>0.041666666666666664</v>
      </c>
      <c r="I4366" s="84">
        <v>44425.0</v>
      </c>
      <c r="J4366" s="65" t="b">
        <v>0</v>
      </c>
      <c r="K4366" s="65" t="s">
        <v>150</v>
      </c>
      <c r="L4366" s="85" t="b">
        <f>IF(VLOOKUP(C4366,Projetos!A:L,12,false)=TRUE,TRUE,FALSE)</f>
        <v>1</v>
      </c>
      <c r="M4366" s="74">
        <v>52.1518759018759</v>
      </c>
      <c r="N4366" s="74">
        <f t="shared" si="1"/>
        <v>0</v>
      </c>
      <c r="O4366" s="74" t="b">
        <v>1</v>
      </c>
    </row>
    <row r="4367" hidden="1">
      <c r="A4367" s="82"/>
      <c r="B4367" s="65" t="s">
        <v>467</v>
      </c>
      <c r="C4367" s="65" t="s">
        <v>92</v>
      </c>
      <c r="D4367" s="65" t="str">
        <f>vlookup(C4367,'Classificação p pessoal'!F:G,2,false)</f>
        <v/>
      </c>
      <c r="E4367" s="65" t="s">
        <v>3262</v>
      </c>
      <c r="F4367" s="83">
        <v>0.5833333333333334</v>
      </c>
      <c r="G4367" s="83">
        <v>0.625</v>
      </c>
      <c r="H4367" s="83">
        <v>0.041666666666666664</v>
      </c>
      <c r="I4367" s="84">
        <v>44425.0</v>
      </c>
      <c r="J4367" s="65" t="b">
        <v>1</v>
      </c>
      <c r="K4367" s="65"/>
      <c r="L4367" s="85" t="b">
        <f>IF(VLOOKUP(C4367,Projetos!A:L,12,false)=TRUE,TRUE,FALSE)</f>
        <v>1</v>
      </c>
      <c r="M4367" s="74">
        <v>52.1518759018759</v>
      </c>
      <c r="N4367" s="74">
        <f t="shared" si="1"/>
        <v>52.1518759</v>
      </c>
      <c r="O4367" s="74" t="b">
        <v>1</v>
      </c>
    </row>
    <row r="4368" hidden="1">
      <c r="A4368" s="82"/>
      <c r="B4368" s="65" t="s">
        <v>467</v>
      </c>
      <c r="C4368" s="65" t="s">
        <v>92</v>
      </c>
      <c r="D4368" s="65" t="str">
        <f>vlookup(C4368,'Classificação p pessoal'!F:G,2,false)</f>
        <v/>
      </c>
      <c r="E4368" s="65" t="s">
        <v>3263</v>
      </c>
      <c r="F4368" s="83">
        <v>0.5833333333333334</v>
      </c>
      <c r="G4368" s="83">
        <v>0.75</v>
      </c>
      <c r="H4368" s="83">
        <v>0.16666666666666666</v>
      </c>
      <c r="I4368" s="84">
        <v>44426.0</v>
      </c>
      <c r="J4368" s="65" t="b">
        <v>1</v>
      </c>
      <c r="K4368" s="65"/>
      <c r="L4368" s="85" t="b">
        <f>IF(VLOOKUP(C4368,Projetos!A:L,12,false)=TRUE,TRUE,FALSE)</f>
        <v>1</v>
      </c>
      <c r="M4368" s="74">
        <v>52.1518759018759</v>
      </c>
      <c r="N4368" s="74">
        <f t="shared" si="1"/>
        <v>208.6075036</v>
      </c>
      <c r="O4368" s="74" t="b">
        <v>1</v>
      </c>
    </row>
    <row r="4369" hidden="1">
      <c r="A4369" s="82"/>
      <c r="B4369" s="65" t="s">
        <v>467</v>
      </c>
      <c r="C4369" s="65" t="s">
        <v>92</v>
      </c>
      <c r="D4369" s="65" t="str">
        <f>vlookup(C4369,'Classificação p pessoal'!F:G,2,false)</f>
        <v/>
      </c>
      <c r="E4369" s="65" t="s">
        <v>3264</v>
      </c>
      <c r="F4369" s="83">
        <v>0.5833333333333334</v>
      </c>
      <c r="G4369" s="83">
        <v>0.625</v>
      </c>
      <c r="H4369" s="83">
        <v>0.041666666666666664</v>
      </c>
      <c r="I4369" s="84">
        <v>44427.0</v>
      </c>
      <c r="J4369" s="65" t="b">
        <v>1</v>
      </c>
      <c r="K4369" s="65"/>
      <c r="L4369" s="85" t="b">
        <f>IF(VLOOKUP(C4369,Projetos!A:L,12,false)=TRUE,TRUE,FALSE)</f>
        <v>1</v>
      </c>
      <c r="M4369" s="74">
        <v>52.1518759018759</v>
      </c>
      <c r="N4369" s="74">
        <f t="shared" si="1"/>
        <v>52.1518759</v>
      </c>
      <c r="O4369" s="74" t="b">
        <v>1</v>
      </c>
    </row>
    <row r="4370" hidden="1">
      <c r="A4370" s="82"/>
      <c r="B4370" s="65" t="s">
        <v>467</v>
      </c>
      <c r="C4370" s="65" t="s">
        <v>113</v>
      </c>
      <c r="D4370" s="65" t="str">
        <f>vlookup(C4370,'Classificação p pessoal'!F:G,2,false)</f>
        <v>NP</v>
      </c>
      <c r="E4370" s="65" t="s">
        <v>3265</v>
      </c>
      <c r="F4370" s="83">
        <v>0.625</v>
      </c>
      <c r="G4370" s="83">
        <v>0.6666666666666666</v>
      </c>
      <c r="H4370" s="83">
        <v>0.041666666666666664</v>
      </c>
      <c r="I4370" s="84">
        <v>44427.0</v>
      </c>
      <c r="J4370" s="65" t="b">
        <v>1</v>
      </c>
      <c r="K4370" s="65"/>
      <c r="L4370" s="85" t="b">
        <f>IF(VLOOKUP(C4370,Projetos!A:L,12,false)=TRUE,TRUE,FALSE)</f>
        <v>1</v>
      </c>
      <c r="M4370" s="74">
        <v>52.1518759018759</v>
      </c>
      <c r="N4370" s="74">
        <f t="shared" si="1"/>
        <v>52.1518759</v>
      </c>
      <c r="O4370" s="74" t="b">
        <v>1</v>
      </c>
    </row>
    <row r="4371" hidden="1">
      <c r="A4371" s="82"/>
      <c r="B4371" s="65" t="s">
        <v>467</v>
      </c>
      <c r="C4371" s="65" t="s">
        <v>92</v>
      </c>
      <c r="D4371" s="65" t="str">
        <f>vlookup(C4371,'Classificação p pessoal'!F:G,2,false)</f>
        <v/>
      </c>
      <c r="E4371" s="65" t="s">
        <v>3266</v>
      </c>
      <c r="F4371" s="83">
        <v>0.3541666666666667</v>
      </c>
      <c r="G4371" s="83">
        <v>0.3958333333333333</v>
      </c>
      <c r="H4371" s="83">
        <v>0.041666666666666664</v>
      </c>
      <c r="I4371" s="84">
        <v>44428.0</v>
      </c>
      <c r="J4371" s="65" t="b">
        <v>1</v>
      </c>
      <c r="K4371" s="65"/>
      <c r="L4371" s="85" t="b">
        <f>IF(VLOOKUP(C4371,Projetos!A:L,12,false)=TRUE,TRUE,FALSE)</f>
        <v>1</v>
      </c>
      <c r="M4371" s="74">
        <v>52.1518759018759</v>
      </c>
      <c r="N4371" s="74">
        <f t="shared" si="1"/>
        <v>52.1518759</v>
      </c>
      <c r="O4371" s="74" t="b">
        <v>1</v>
      </c>
    </row>
    <row r="4372" hidden="1">
      <c r="A4372" s="82"/>
      <c r="B4372" s="65" t="s">
        <v>467</v>
      </c>
      <c r="C4372" s="65" t="s">
        <v>84</v>
      </c>
      <c r="D4372" s="65"/>
      <c r="E4372" s="65" t="s">
        <v>3267</v>
      </c>
      <c r="F4372" s="83">
        <v>0.3541666666666667</v>
      </c>
      <c r="G4372" s="83">
        <v>0.5</v>
      </c>
      <c r="H4372" s="83">
        <v>0.14583333333333334</v>
      </c>
      <c r="I4372" s="84">
        <v>44427.0</v>
      </c>
      <c r="J4372" s="65" t="b">
        <v>0</v>
      </c>
      <c r="K4372" s="65" t="s">
        <v>150</v>
      </c>
      <c r="L4372" s="85" t="b">
        <f>IF(VLOOKUP(C4372,Projetos!A:L,12,false)=TRUE,TRUE,FALSE)</f>
        <v>0</v>
      </c>
      <c r="M4372" s="74">
        <v>52.1518759018759</v>
      </c>
      <c r="N4372" s="74">
        <f t="shared" si="1"/>
        <v>0</v>
      </c>
      <c r="O4372" s="74" t="b">
        <v>0</v>
      </c>
    </row>
    <row r="4373" hidden="1">
      <c r="A4373" s="82"/>
      <c r="B4373" s="65" t="s">
        <v>467</v>
      </c>
      <c r="C4373" s="65" t="s">
        <v>92</v>
      </c>
      <c r="D4373" s="65" t="str">
        <f>vlookup(C4373,'Classificação p pessoal'!F:G,2,false)</f>
        <v/>
      </c>
      <c r="E4373" s="65" t="s">
        <v>3268</v>
      </c>
      <c r="F4373" s="83">
        <v>0.4375</v>
      </c>
      <c r="G4373" s="83">
        <v>0.5</v>
      </c>
      <c r="H4373" s="83">
        <v>0.0625</v>
      </c>
      <c r="I4373" s="84">
        <v>44428.0</v>
      </c>
      <c r="J4373" s="65" t="b">
        <v>1</v>
      </c>
      <c r="K4373" s="65"/>
      <c r="L4373" s="85" t="b">
        <f>IF(VLOOKUP(C4373,Projetos!A:L,12,false)=TRUE,TRUE,FALSE)</f>
        <v>1</v>
      </c>
      <c r="M4373" s="74">
        <v>52.1518759018759</v>
      </c>
      <c r="N4373" s="74">
        <f t="shared" si="1"/>
        <v>78.22781385</v>
      </c>
      <c r="O4373" s="74" t="b">
        <v>1</v>
      </c>
    </row>
    <row r="4374" hidden="1">
      <c r="A4374" s="82"/>
      <c r="B4374" s="65" t="s">
        <v>467</v>
      </c>
      <c r="C4374" s="65" t="s">
        <v>92</v>
      </c>
      <c r="D4374" s="65" t="str">
        <f>vlookup(C4374,'Classificação p pessoal'!F:G,2,false)</f>
        <v/>
      </c>
      <c r="E4374" s="65" t="s">
        <v>3269</v>
      </c>
      <c r="F4374" s="83">
        <v>0.5833333333333334</v>
      </c>
      <c r="G4374" s="83">
        <v>0.6666666666666666</v>
      </c>
      <c r="H4374" s="83">
        <v>0.08333333333333333</v>
      </c>
      <c r="I4374" s="84">
        <v>44428.0</v>
      </c>
      <c r="J4374" s="65" t="b">
        <v>1</v>
      </c>
      <c r="K4374" s="65"/>
      <c r="L4374" s="85" t="b">
        <f>IF(VLOOKUP(C4374,Projetos!A:L,12,false)=TRUE,TRUE,FALSE)</f>
        <v>1</v>
      </c>
      <c r="M4374" s="74">
        <v>52.1518759018759</v>
      </c>
      <c r="N4374" s="74">
        <f t="shared" si="1"/>
        <v>104.3037518</v>
      </c>
      <c r="O4374" s="74" t="b">
        <v>1</v>
      </c>
    </row>
    <row r="4375" hidden="1">
      <c r="A4375" s="82"/>
      <c r="B4375" s="65" t="s">
        <v>467</v>
      </c>
      <c r="C4375" s="65" t="s">
        <v>122</v>
      </c>
      <c r="D4375" s="65" t="str">
        <f>vlookup(C4375,'Classificação p pessoal'!F:G,2,false)</f>
        <v>NP</v>
      </c>
      <c r="E4375" s="65" t="s">
        <v>3270</v>
      </c>
      <c r="F4375" s="83">
        <v>0.25</v>
      </c>
      <c r="G4375" s="83">
        <v>0.8541666666666666</v>
      </c>
      <c r="H4375" s="83">
        <v>0.6041666666666666</v>
      </c>
      <c r="I4375" s="84">
        <v>44431.0</v>
      </c>
      <c r="J4375" s="65" t="b">
        <v>1</v>
      </c>
      <c r="K4375" s="65"/>
      <c r="L4375" s="85" t="b">
        <f>IF(VLOOKUP(C4375,Projetos!A:L,12,false)=TRUE,TRUE,FALSE)</f>
        <v>1</v>
      </c>
      <c r="M4375" s="74">
        <v>52.1518759018759</v>
      </c>
      <c r="N4375" s="74">
        <f t="shared" si="1"/>
        <v>756.2022006</v>
      </c>
      <c r="O4375" s="74" t="b">
        <v>1</v>
      </c>
    </row>
    <row r="4376" hidden="1">
      <c r="A4376" s="82"/>
      <c r="B4376" s="65" t="s">
        <v>467</v>
      </c>
      <c r="C4376" s="65" t="s">
        <v>88</v>
      </c>
      <c r="D4376" s="65" t="str">
        <f>vlookup(C4376,'Classificação p pessoal'!F:G,2,false)</f>
        <v>MProduto</v>
      </c>
      <c r="E4376" s="65" t="s">
        <v>3271</v>
      </c>
      <c r="F4376" s="83">
        <v>0.3541666666666667</v>
      </c>
      <c r="G4376" s="83">
        <v>0.3645833333333333</v>
      </c>
      <c r="H4376" s="83">
        <v>0.010416666666666666</v>
      </c>
      <c r="I4376" s="84">
        <v>44432.0</v>
      </c>
      <c r="J4376" s="65" t="b">
        <v>1</v>
      </c>
      <c r="K4376" s="65"/>
      <c r="L4376" s="85" t="b">
        <f>IF(VLOOKUP(C4376,Projetos!A:L,12,false)=TRUE,TRUE,FALSE)</f>
        <v>1</v>
      </c>
      <c r="M4376" s="74">
        <v>52.1518759018759</v>
      </c>
      <c r="N4376" s="74">
        <f t="shared" si="1"/>
        <v>13.03796898</v>
      </c>
      <c r="O4376" s="74" t="b">
        <v>1</v>
      </c>
    </row>
    <row r="4377" hidden="1">
      <c r="A4377" s="82"/>
      <c r="B4377" s="65" t="s">
        <v>467</v>
      </c>
      <c r="C4377" s="65" t="s">
        <v>122</v>
      </c>
      <c r="D4377" s="65"/>
      <c r="E4377" s="65" t="s">
        <v>3272</v>
      </c>
      <c r="F4377" s="83">
        <v>0.375</v>
      </c>
      <c r="G4377" s="83">
        <v>0.5</v>
      </c>
      <c r="H4377" s="83">
        <v>0.125</v>
      </c>
      <c r="I4377" s="84">
        <v>44432.0</v>
      </c>
      <c r="J4377" s="65" t="b">
        <v>0</v>
      </c>
      <c r="K4377" s="65" t="s">
        <v>150</v>
      </c>
      <c r="L4377" s="85" t="b">
        <f>IF(VLOOKUP(C4377,Projetos!A:L,12,false)=TRUE,TRUE,FALSE)</f>
        <v>1</v>
      </c>
      <c r="M4377" s="74">
        <v>52.1518759018759</v>
      </c>
      <c r="N4377" s="74">
        <f t="shared" si="1"/>
        <v>0</v>
      </c>
      <c r="O4377" s="74" t="b">
        <v>1</v>
      </c>
    </row>
    <row r="4378" hidden="1">
      <c r="A4378" s="82"/>
      <c r="B4378" s="65" t="s">
        <v>467</v>
      </c>
      <c r="C4378" s="65" t="s">
        <v>130</v>
      </c>
      <c r="D4378" s="65" t="str">
        <f>vlookup(C4378,'Classificação p pessoal'!F:G,2,false)</f>
        <v>NP</v>
      </c>
      <c r="E4378" s="65" t="s">
        <v>3273</v>
      </c>
      <c r="F4378" s="83">
        <v>0.625</v>
      </c>
      <c r="G4378" s="83">
        <v>0.6666666666666666</v>
      </c>
      <c r="H4378" s="83">
        <v>0.041666666666666664</v>
      </c>
      <c r="I4378" s="84">
        <v>44432.0</v>
      </c>
      <c r="J4378" s="65" t="b">
        <v>1</v>
      </c>
      <c r="K4378" s="65"/>
      <c r="L4378" s="85" t="b">
        <f>IF(VLOOKUP(C4378,Projetos!A:L,12,false)=TRUE,TRUE,FALSE)</f>
        <v>1</v>
      </c>
      <c r="M4378" s="74">
        <v>52.1518759018759</v>
      </c>
      <c r="N4378" s="74">
        <f t="shared" si="1"/>
        <v>52.1518759</v>
      </c>
      <c r="O4378" s="74" t="b">
        <v>1</v>
      </c>
    </row>
    <row r="4379" hidden="1">
      <c r="A4379" s="82"/>
      <c r="B4379" s="65" t="s">
        <v>467</v>
      </c>
      <c r="C4379" s="65" t="s">
        <v>92</v>
      </c>
      <c r="D4379" s="65" t="str">
        <f>vlookup(C4379,'Classificação p pessoal'!F:G,2,false)</f>
        <v/>
      </c>
      <c r="E4379" s="65" t="s">
        <v>3274</v>
      </c>
      <c r="F4379" s="83">
        <v>0.3541666666666667</v>
      </c>
      <c r="G4379" s="83">
        <v>0.4375</v>
      </c>
      <c r="H4379" s="83">
        <v>0.08333333333333333</v>
      </c>
      <c r="I4379" s="84">
        <v>44433.0</v>
      </c>
      <c r="J4379" s="65" t="b">
        <v>1</v>
      </c>
      <c r="K4379" s="65"/>
      <c r="L4379" s="85" t="b">
        <f>IF(VLOOKUP(C4379,Projetos!A:L,12,false)=TRUE,TRUE,FALSE)</f>
        <v>1</v>
      </c>
      <c r="M4379" s="74">
        <v>52.1518759018759</v>
      </c>
      <c r="N4379" s="74">
        <f t="shared" si="1"/>
        <v>104.3037518</v>
      </c>
      <c r="O4379" s="74" t="b">
        <v>1</v>
      </c>
    </row>
    <row r="4380" hidden="1">
      <c r="A4380" s="82"/>
      <c r="B4380" s="65" t="s">
        <v>467</v>
      </c>
      <c r="C4380" s="65" t="s">
        <v>122</v>
      </c>
      <c r="D4380" s="65" t="str">
        <f>vlookup(C4380,'Classificação p pessoal'!F:G,2,false)</f>
        <v>NP</v>
      </c>
      <c r="E4380" s="65" t="s">
        <v>3275</v>
      </c>
      <c r="F4380" s="83">
        <v>0.4375</v>
      </c>
      <c r="G4380" s="83">
        <v>0.4791666666666667</v>
      </c>
      <c r="H4380" s="83">
        <v>0.041666666666666664</v>
      </c>
      <c r="I4380" s="84">
        <v>44433.0</v>
      </c>
      <c r="J4380" s="65" t="b">
        <v>1</v>
      </c>
      <c r="K4380" s="65"/>
      <c r="L4380" s="85" t="b">
        <f>IF(VLOOKUP(C4380,Projetos!A:L,12,false)=TRUE,TRUE,FALSE)</f>
        <v>1</v>
      </c>
      <c r="M4380" s="74">
        <v>52.1518759018759</v>
      </c>
      <c r="N4380" s="74">
        <f t="shared" si="1"/>
        <v>52.1518759</v>
      </c>
      <c r="O4380" s="74" t="b">
        <v>1</v>
      </c>
    </row>
    <row r="4381" hidden="1">
      <c r="A4381" s="82"/>
      <c r="B4381" s="65" t="s">
        <v>467</v>
      </c>
      <c r="C4381" s="65" t="s">
        <v>122</v>
      </c>
      <c r="D4381" s="65" t="str">
        <f>vlookup(C4381,'Classificação p pessoal'!F:G,2,false)</f>
        <v>NP</v>
      </c>
      <c r="E4381" s="65" t="s">
        <v>3276</v>
      </c>
      <c r="F4381" s="83">
        <v>0.5625</v>
      </c>
      <c r="G4381" s="83">
        <v>0.625</v>
      </c>
      <c r="H4381" s="83">
        <v>0.0625</v>
      </c>
      <c r="I4381" s="84">
        <v>44433.0</v>
      </c>
      <c r="J4381" s="65" t="b">
        <v>1</v>
      </c>
      <c r="K4381" s="65"/>
      <c r="L4381" s="85" t="b">
        <f>IF(VLOOKUP(C4381,Projetos!A:L,12,false)=TRUE,TRUE,FALSE)</f>
        <v>1</v>
      </c>
      <c r="M4381" s="74">
        <v>52.1518759018759</v>
      </c>
      <c r="N4381" s="74">
        <f t="shared" si="1"/>
        <v>78.22781385</v>
      </c>
      <c r="O4381" s="74" t="b">
        <v>1</v>
      </c>
    </row>
    <row r="4382" hidden="1">
      <c r="A4382" s="82"/>
      <c r="B4382" s="65" t="s">
        <v>467</v>
      </c>
      <c r="C4382" s="65" t="s">
        <v>113</v>
      </c>
      <c r="D4382" s="65" t="str">
        <f>vlookup(C4382,'Classificação p pessoal'!F:G,2,false)</f>
        <v>NP</v>
      </c>
      <c r="E4382" s="65" t="s">
        <v>3277</v>
      </c>
      <c r="F4382" s="83">
        <v>0.625</v>
      </c>
      <c r="G4382" s="83">
        <v>0.6666666666666666</v>
      </c>
      <c r="H4382" s="83">
        <v>0.041666666666666664</v>
      </c>
      <c r="I4382" s="84">
        <v>44433.0</v>
      </c>
      <c r="J4382" s="65" t="b">
        <v>1</v>
      </c>
      <c r="K4382" s="65"/>
      <c r="L4382" s="85" t="b">
        <f>IF(VLOOKUP(C4382,Projetos!A:L,12,false)=TRUE,TRUE,FALSE)</f>
        <v>1</v>
      </c>
      <c r="M4382" s="74">
        <v>52.1518759018759</v>
      </c>
      <c r="N4382" s="74">
        <f t="shared" si="1"/>
        <v>52.1518759</v>
      </c>
      <c r="O4382" s="74" t="b">
        <v>1</v>
      </c>
    </row>
    <row r="4383" hidden="1">
      <c r="A4383" s="82"/>
      <c r="B4383" s="65" t="s">
        <v>467</v>
      </c>
      <c r="C4383" s="65" t="s">
        <v>92</v>
      </c>
      <c r="D4383" s="65" t="str">
        <f>vlookup(C4383,'Classificação p pessoal'!F:G,2,false)</f>
        <v/>
      </c>
      <c r="E4383" s="65" t="s">
        <v>3278</v>
      </c>
      <c r="F4383" s="83">
        <v>0.3541666666666667</v>
      </c>
      <c r="G4383" s="83">
        <v>0.4166666666666667</v>
      </c>
      <c r="H4383" s="83">
        <v>0.0625</v>
      </c>
      <c r="I4383" s="84">
        <v>44434.0</v>
      </c>
      <c r="J4383" s="65" t="b">
        <v>1</v>
      </c>
      <c r="K4383" s="65"/>
      <c r="L4383" s="85" t="b">
        <f>IF(VLOOKUP(C4383,Projetos!A:L,12,false)=TRUE,TRUE,FALSE)</f>
        <v>1</v>
      </c>
      <c r="M4383" s="74">
        <v>52.1518759018759</v>
      </c>
      <c r="N4383" s="74">
        <f t="shared" si="1"/>
        <v>78.22781385</v>
      </c>
      <c r="O4383" s="74" t="b">
        <v>1</v>
      </c>
    </row>
    <row r="4384" hidden="1">
      <c r="A4384" s="82"/>
      <c r="B4384" s="65" t="s">
        <v>467</v>
      </c>
      <c r="C4384" s="65" t="s">
        <v>92</v>
      </c>
      <c r="D4384" s="65" t="str">
        <f>vlookup(C4384,'Classificação p pessoal'!F:G,2,false)</f>
        <v/>
      </c>
      <c r="E4384" s="65" t="s">
        <v>3279</v>
      </c>
      <c r="F4384" s="83">
        <v>0.4166666666666667</v>
      </c>
      <c r="G4384" s="83">
        <v>0.4583333333333333</v>
      </c>
      <c r="H4384" s="83">
        <v>0.041666666666666664</v>
      </c>
      <c r="I4384" s="84">
        <v>44434.0</v>
      </c>
      <c r="J4384" s="65" t="b">
        <v>1</v>
      </c>
      <c r="K4384" s="65"/>
      <c r="L4384" s="85" t="b">
        <f>IF(VLOOKUP(C4384,Projetos!A:L,12,false)=TRUE,TRUE,FALSE)</f>
        <v>1</v>
      </c>
      <c r="M4384" s="74">
        <v>52.1518759018759</v>
      </c>
      <c r="N4384" s="74">
        <f t="shared" si="1"/>
        <v>52.1518759</v>
      </c>
      <c r="O4384" s="74" t="b">
        <v>1</v>
      </c>
    </row>
    <row r="4385" hidden="1">
      <c r="A4385" s="82"/>
      <c r="B4385" s="65" t="s">
        <v>467</v>
      </c>
      <c r="C4385" s="65" t="s">
        <v>122</v>
      </c>
      <c r="D4385" s="65" t="str">
        <f>vlookup(C4385,'Classificação p pessoal'!F:G,2,false)</f>
        <v>NP</v>
      </c>
      <c r="E4385" s="65" t="s">
        <v>3280</v>
      </c>
      <c r="F4385" s="83">
        <v>0.4583333333333333</v>
      </c>
      <c r="G4385" s="83">
        <v>0.5208333333333334</v>
      </c>
      <c r="H4385" s="83">
        <v>0.0625</v>
      </c>
      <c r="I4385" s="84">
        <v>44434.0</v>
      </c>
      <c r="J4385" s="65" t="b">
        <v>1</v>
      </c>
      <c r="K4385" s="65"/>
      <c r="L4385" s="85" t="b">
        <f>IF(VLOOKUP(C4385,Projetos!A:L,12,false)=TRUE,TRUE,FALSE)</f>
        <v>1</v>
      </c>
      <c r="M4385" s="74">
        <v>52.1518759018759</v>
      </c>
      <c r="N4385" s="74">
        <f t="shared" si="1"/>
        <v>78.22781385</v>
      </c>
      <c r="O4385" s="74" t="b">
        <v>1</v>
      </c>
    </row>
    <row r="4386" hidden="1">
      <c r="A4386" s="82"/>
      <c r="B4386" s="65" t="s">
        <v>467</v>
      </c>
      <c r="C4386" s="65" t="s">
        <v>122</v>
      </c>
      <c r="D4386" s="65" t="str">
        <f>vlookup(C4386,'Classificação p pessoal'!F:G,2,false)</f>
        <v>NP</v>
      </c>
      <c r="E4386" s="65" t="s">
        <v>3281</v>
      </c>
      <c r="F4386" s="83">
        <v>0.5625</v>
      </c>
      <c r="G4386" s="83">
        <v>0.7291666666666666</v>
      </c>
      <c r="H4386" s="83">
        <v>0.16666666666666666</v>
      </c>
      <c r="I4386" s="84">
        <v>44434.0</v>
      </c>
      <c r="J4386" s="65" t="b">
        <v>1</v>
      </c>
      <c r="K4386" s="65"/>
      <c r="L4386" s="85" t="b">
        <f>IF(VLOOKUP(C4386,Projetos!A:L,12,false)=TRUE,TRUE,FALSE)</f>
        <v>1</v>
      </c>
      <c r="M4386" s="74">
        <v>52.1518759018759</v>
      </c>
      <c r="N4386" s="74">
        <f t="shared" si="1"/>
        <v>208.6075036</v>
      </c>
      <c r="O4386" s="74" t="b">
        <v>1</v>
      </c>
    </row>
    <row r="4387" hidden="1">
      <c r="A4387" s="82"/>
      <c r="B4387" s="65" t="s">
        <v>467</v>
      </c>
      <c r="C4387" s="65" t="s">
        <v>113</v>
      </c>
      <c r="D4387" s="65"/>
      <c r="E4387" s="65" t="s">
        <v>3282</v>
      </c>
      <c r="F4387" s="83">
        <v>0.3541666666666667</v>
      </c>
      <c r="G4387" s="83">
        <v>0.4166666666666667</v>
      </c>
      <c r="H4387" s="83">
        <v>0.0625</v>
      </c>
      <c r="I4387" s="84">
        <v>44435.0</v>
      </c>
      <c r="J4387" s="65" t="b">
        <v>0</v>
      </c>
      <c r="K4387" s="65" t="s">
        <v>150</v>
      </c>
      <c r="L4387" s="85" t="b">
        <f>IF(VLOOKUP(C4387,Projetos!A:L,12,false)=TRUE,TRUE,FALSE)</f>
        <v>1</v>
      </c>
      <c r="M4387" s="74">
        <v>52.1518759018759</v>
      </c>
      <c r="N4387" s="74">
        <f t="shared" si="1"/>
        <v>0</v>
      </c>
      <c r="O4387" s="74" t="b">
        <v>1</v>
      </c>
    </row>
    <row r="4388" hidden="1">
      <c r="A4388" s="82"/>
      <c r="B4388" s="65" t="s">
        <v>467</v>
      </c>
      <c r="C4388" s="65" t="s">
        <v>92</v>
      </c>
      <c r="D4388" s="65" t="str">
        <f>vlookup(C4388,'Classificação p pessoal'!F:G,2,false)</f>
        <v/>
      </c>
      <c r="E4388" s="65" t="s">
        <v>3283</v>
      </c>
      <c r="F4388" s="83">
        <v>0.4166666666666667</v>
      </c>
      <c r="G4388" s="83">
        <v>0.4583333333333333</v>
      </c>
      <c r="H4388" s="83">
        <v>0.041666666666666664</v>
      </c>
      <c r="I4388" s="84">
        <v>44435.0</v>
      </c>
      <c r="J4388" s="65" t="b">
        <v>1</v>
      </c>
      <c r="K4388" s="65"/>
      <c r="L4388" s="85" t="b">
        <f>IF(VLOOKUP(C4388,Projetos!A:L,12,false)=TRUE,TRUE,FALSE)</f>
        <v>1</v>
      </c>
      <c r="M4388" s="74">
        <v>52.1518759018759</v>
      </c>
      <c r="N4388" s="74">
        <f t="shared" si="1"/>
        <v>52.1518759</v>
      </c>
      <c r="O4388" s="74" t="b">
        <v>1</v>
      </c>
    </row>
    <row r="4389" hidden="1">
      <c r="A4389" s="82"/>
      <c r="B4389" s="65" t="s">
        <v>467</v>
      </c>
      <c r="C4389" s="65" t="s">
        <v>122</v>
      </c>
      <c r="D4389" s="65" t="str">
        <f>vlookup(C4389,'Classificação p pessoal'!F:G,2,false)</f>
        <v>NP</v>
      </c>
      <c r="E4389" s="65" t="s">
        <v>3284</v>
      </c>
      <c r="F4389" s="83">
        <v>0.5833333333333334</v>
      </c>
      <c r="G4389" s="83">
        <v>0.625</v>
      </c>
      <c r="H4389" s="83">
        <v>0.041666666666666664</v>
      </c>
      <c r="I4389" s="84">
        <v>44435.0</v>
      </c>
      <c r="J4389" s="65" t="b">
        <v>1</v>
      </c>
      <c r="K4389" s="65"/>
      <c r="L4389" s="85" t="b">
        <f>IF(VLOOKUP(C4389,Projetos!A:L,12,false)=TRUE,TRUE,FALSE)</f>
        <v>1</v>
      </c>
      <c r="M4389" s="74">
        <v>52.1518759018759</v>
      </c>
      <c r="N4389" s="74">
        <f t="shared" si="1"/>
        <v>52.1518759</v>
      </c>
      <c r="O4389" s="74" t="b">
        <v>1</v>
      </c>
    </row>
    <row r="4390" hidden="1">
      <c r="A4390" s="82"/>
      <c r="B4390" s="65" t="s">
        <v>467</v>
      </c>
      <c r="C4390" s="65" t="s">
        <v>92</v>
      </c>
      <c r="D4390" s="65" t="str">
        <f>vlookup(C4390,'Classificação p pessoal'!F:G,2,false)</f>
        <v/>
      </c>
      <c r="E4390" s="65" t="s">
        <v>3285</v>
      </c>
      <c r="F4390" s="83">
        <v>0.3541666666666667</v>
      </c>
      <c r="G4390" s="83">
        <v>0.3958333333333333</v>
      </c>
      <c r="H4390" s="83">
        <v>0.041666666666666664</v>
      </c>
      <c r="I4390" s="84">
        <v>44438.0</v>
      </c>
      <c r="J4390" s="65" t="b">
        <v>1</v>
      </c>
      <c r="K4390" s="65"/>
      <c r="L4390" s="85" t="b">
        <f>IF(VLOOKUP(C4390,Projetos!A:L,12,false)=TRUE,TRUE,FALSE)</f>
        <v>1</v>
      </c>
      <c r="M4390" s="74">
        <v>52.1518759018759</v>
      </c>
      <c r="N4390" s="74">
        <f t="shared" si="1"/>
        <v>52.1518759</v>
      </c>
      <c r="O4390" s="74" t="b">
        <v>1</v>
      </c>
    </row>
    <row r="4391" hidden="1">
      <c r="A4391" s="82"/>
      <c r="B4391" s="65" t="s">
        <v>411</v>
      </c>
      <c r="C4391" s="65" t="s">
        <v>130</v>
      </c>
      <c r="D4391" s="65"/>
      <c r="E4391" s="65" t="s">
        <v>3286</v>
      </c>
      <c r="F4391" s="83">
        <v>0.4375</v>
      </c>
      <c r="G4391" s="83">
        <v>0.4791666666666667</v>
      </c>
      <c r="H4391" s="83">
        <v>0.041666666666666664</v>
      </c>
      <c r="I4391" s="84">
        <v>44256.0</v>
      </c>
      <c r="J4391" s="65" t="b">
        <v>0</v>
      </c>
      <c r="K4391" s="65" t="s">
        <v>150</v>
      </c>
      <c r="L4391" s="85" t="b">
        <f>IF(VLOOKUP(C4391,Projetos!A:L,12,false)=TRUE,TRUE,FALSE)</f>
        <v>1</v>
      </c>
      <c r="M4391" s="74">
        <v>52.48434411075036</v>
      </c>
      <c r="N4391" s="74">
        <f t="shared" si="1"/>
        <v>0</v>
      </c>
      <c r="O4391" s="74" t="b">
        <v>1</v>
      </c>
    </row>
    <row r="4392" hidden="1">
      <c r="A4392" s="82"/>
      <c r="B4392" s="65" t="s">
        <v>411</v>
      </c>
      <c r="C4392" s="65" t="s">
        <v>92</v>
      </c>
      <c r="D4392" s="65"/>
      <c r="E4392" s="65" t="s">
        <v>3287</v>
      </c>
      <c r="F4392" s="83">
        <v>0.7083333333333334</v>
      </c>
      <c r="G4392" s="83">
        <v>0.7291666666666666</v>
      </c>
      <c r="H4392" s="83">
        <v>0.020833333333333332</v>
      </c>
      <c r="I4392" s="84">
        <v>44326.0</v>
      </c>
      <c r="J4392" s="65" t="b">
        <v>0</v>
      </c>
      <c r="K4392" s="65" t="s">
        <v>150</v>
      </c>
      <c r="L4392" s="85" t="b">
        <f>IF(VLOOKUP(C4392,Projetos!A:L,12,false)=TRUE,TRUE,FALSE)</f>
        <v>1</v>
      </c>
      <c r="M4392" s="74">
        <v>52.48434411075036</v>
      </c>
      <c r="N4392" s="74">
        <f t="shared" si="1"/>
        <v>0</v>
      </c>
      <c r="O4392" s="74" t="b">
        <v>1</v>
      </c>
    </row>
    <row r="4393" hidden="1">
      <c r="A4393" s="82"/>
      <c r="B4393" s="65" t="s">
        <v>467</v>
      </c>
      <c r="C4393" s="65" t="s">
        <v>113</v>
      </c>
      <c r="D4393" s="65" t="str">
        <f>vlookup(C4393,'Classificação p pessoal'!F:G,2,false)</f>
        <v>NP</v>
      </c>
      <c r="E4393" s="65" t="s">
        <v>3288</v>
      </c>
      <c r="F4393" s="83">
        <v>0.3541666666666667</v>
      </c>
      <c r="G4393" s="83">
        <v>0.375</v>
      </c>
      <c r="H4393" s="83">
        <v>0.020833333333333332</v>
      </c>
      <c r="I4393" s="84">
        <v>44439.0</v>
      </c>
      <c r="J4393" s="65" t="b">
        <v>1</v>
      </c>
      <c r="K4393" s="65"/>
      <c r="L4393" s="85" t="b">
        <f>IF(VLOOKUP(C4393,Projetos!A:L,12,false)=TRUE,TRUE,FALSE)</f>
        <v>1</v>
      </c>
      <c r="M4393" s="74">
        <v>52.1518759018759</v>
      </c>
      <c r="N4393" s="74">
        <f t="shared" si="1"/>
        <v>26.07593795</v>
      </c>
      <c r="O4393" s="74" t="b">
        <v>1</v>
      </c>
    </row>
    <row r="4394" hidden="1">
      <c r="A4394" s="82"/>
      <c r="B4394" s="65" t="s">
        <v>467</v>
      </c>
      <c r="C4394" s="65" t="s">
        <v>113</v>
      </c>
      <c r="D4394" s="65" t="str">
        <f>vlookup(C4394,'Classificação p pessoal'!F:G,2,false)</f>
        <v>NP</v>
      </c>
      <c r="E4394" s="65" t="s">
        <v>3289</v>
      </c>
      <c r="F4394" s="83">
        <v>0.4166666666666667</v>
      </c>
      <c r="G4394" s="83">
        <v>0.4791666666666667</v>
      </c>
      <c r="H4394" s="83">
        <v>0.0625</v>
      </c>
      <c r="I4394" s="84">
        <v>44439.0</v>
      </c>
      <c r="J4394" s="65" t="b">
        <v>1</v>
      </c>
      <c r="K4394" s="65"/>
      <c r="L4394" s="85" t="b">
        <f>IF(VLOOKUP(C4394,Projetos!A:L,12,false)=TRUE,TRUE,FALSE)</f>
        <v>1</v>
      </c>
      <c r="M4394" s="74">
        <v>52.1518759018759</v>
      </c>
      <c r="N4394" s="74">
        <f t="shared" si="1"/>
        <v>78.22781385</v>
      </c>
      <c r="O4394" s="74" t="b">
        <v>1</v>
      </c>
    </row>
    <row r="4395" hidden="1">
      <c r="A4395" s="82"/>
      <c r="B4395" s="65" t="s">
        <v>495</v>
      </c>
      <c r="C4395" s="65" t="s">
        <v>92</v>
      </c>
      <c r="D4395" s="65" t="str">
        <f>vlookup(C4395,'Classificação p pessoal'!F:G,2,false)</f>
        <v/>
      </c>
      <c r="E4395" s="65" t="s">
        <v>3290</v>
      </c>
      <c r="F4395" s="83">
        <v>0.6944444444444444</v>
      </c>
      <c r="G4395" s="83">
        <v>0.75</v>
      </c>
      <c r="H4395" s="83">
        <v>0.05555555555555555</v>
      </c>
      <c r="I4395" s="84">
        <v>44494.0</v>
      </c>
      <c r="J4395" s="65" t="b">
        <v>1</v>
      </c>
      <c r="K4395" s="65"/>
      <c r="L4395" s="85" t="b">
        <f>IF(VLOOKUP(C4395,Projetos!A:L,12,false)=TRUE,TRUE,FALSE)</f>
        <v>1</v>
      </c>
      <c r="M4395" s="74">
        <v>73.7079846079846</v>
      </c>
      <c r="N4395" s="74">
        <f t="shared" si="1"/>
        <v>98.27731281</v>
      </c>
      <c r="O4395" s="74" t="b">
        <v>1</v>
      </c>
    </row>
    <row r="4396" hidden="1">
      <c r="A4396" s="82"/>
      <c r="B4396" s="65" t="s">
        <v>467</v>
      </c>
      <c r="C4396" s="65" t="s">
        <v>92</v>
      </c>
      <c r="D4396" s="65" t="str">
        <f>vlookup(C4396,'Classificação p pessoal'!F:G,2,false)</f>
        <v/>
      </c>
      <c r="E4396" s="65" t="s">
        <v>3291</v>
      </c>
      <c r="F4396" s="83">
        <v>0.7083333333333334</v>
      </c>
      <c r="G4396" s="83">
        <v>0.75</v>
      </c>
      <c r="H4396" s="83">
        <v>0.041666666666666664</v>
      </c>
      <c r="I4396" s="84">
        <v>44439.0</v>
      </c>
      <c r="J4396" s="65" t="b">
        <v>1</v>
      </c>
      <c r="K4396" s="65"/>
      <c r="L4396" s="85" t="b">
        <f>IF(VLOOKUP(C4396,Projetos!A:L,12,false)=TRUE,TRUE,FALSE)</f>
        <v>1</v>
      </c>
      <c r="M4396" s="74">
        <v>52.1518759018759</v>
      </c>
      <c r="N4396" s="74">
        <f t="shared" si="1"/>
        <v>52.1518759</v>
      </c>
      <c r="O4396" s="74" t="b">
        <v>1</v>
      </c>
    </row>
    <row r="4397" hidden="1">
      <c r="A4397" s="82"/>
      <c r="B4397" s="65" t="s">
        <v>467</v>
      </c>
      <c r="C4397" s="65" t="s">
        <v>84</v>
      </c>
      <c r="D4397" s="65"/>
      <c r="E4397" s="65" t="s">
        <v>3292</v>
      </c>
      <c r="F4397" s="83">
        <v>0.34375</v>
      </c>
      <c r="G4397" s="83">
        <v>0.4027777777777778</v>
      </c>
      <c r="H4397" s="83">
        <v>0.059027777777777776</v>
      </c>
      <c r="I4397" s="84">
        <v>44440.0</v>
      </c>
      <c r="J4397" s="65" t="b">
        <v>0</v>
      </c>
      <c r="K4397" s="65"/>
      <c r="L4397" s="85" t="b">
        <f>IF(VLOOKUP(C4397,Projetos!A:L,12,false)=TRUE,TRUE,FALSE)</f>
        <v>0</v>
      </c>
      <c r="M4397" s="74">
        <v>52.1518759018759</v>
      </c>
      <c r="N4397" s="74">
        <f t="shared" si="1"/>
        <v>0</v>
      </c>
      <c r="O4397" s="74" t="b">
        <v>0</v>
      </c>
    </row>
    <row r="4398" hidden="1">
      <c r="A4398" s="82"/>
      <c r="B4398" s="65" t="s">
        <v>467</v>
      </c>
      <c r="C4398" s="65" t="s">
        <v>122</v>
      </c>
      <c r="D4398" s="65" t="str">
        <f>vlookup(C4398,'Classificação p pessoal'!F:G,2,false)</f>
        <v>NP</v>
      </c>
      <c r="E4398" s="65" t="s">
        <v>3293</v>
      </c>
      <c r="F4398" s="83">
        <v>0.4166666666666667</v>
      </c>
      <c r="G4398" s="83">
        <v>0.4583333333333333</v>
      </c>
      <c r="H4398" s="83">
        <v>0.041666666666666664</v>
      </c>
      <c r="I4398" s="84">
        <v>44440.0</v>
      </c>
      <c r="J4398" s="65" t="b">
        <v>1</v>
      </c>
      <c r="K4398" s="65"/>
      <c r="L4398" s="85" t="b">
        <f>IF(VLOOKUP(C4398,Projetos!A:L,12,false)=TRUE,TRUE,FALSE)</f>
        <v>1</v>
      </c>
      <c r="M4398" s="74">
        <v>52.1518759018759</v>
      </c>
      <c r="N4398" s="74">
        <f t="shared" si="1"/>
        <v>52.1518759</v>
      </c>
      <c r="O4398" s="74" t="b">
        <v>1</v>
      </c>
    </row>
    <row r="4399" hidden="1">
      <c r="A4399" s="82"/>
      <c r="B4399" s="65" t="s">
        <v>467</v>
      </c>
      <c r="C4399" s="65" t="s">
        <v>113</v>
      </c>
      <c r="D4399" s="65" t="str">
        <f>vlookup(C4399,'Classificação p pessoal'!F:G,2,false)</f>
        <v>NP</v>
      </c>
      <c r="E4399" s="65" t="s">
        <v>3294</v>
      </c>
      <c r="F4399" s="83">
        <v>0.4583333333333333</v>
      </c>
      <c r="G4399" s="83">
        <v>0.5208333333333334</v>
      </c>
      <c r="H4399" s="83">
        <v>0.0625</v>
      </c>
      <c r="I4399" s="84">
        <v>44440.0</v>
      </c>
      <c r="J4399" s="65" t="b">
        <v>1</v>
      </c>
      <c r="K4399" s="65"/>
      <c r="L4399" s="85" t="b">
        <f>IF(VLOOKUP(C4399,Projetos!A:L,12,false)=TRUE,TRUE,FALSE)</f>
        <v>1</v>
      </c>
      <c r="M4399" s="74">
        <v>52.1518759018759</v>
      </c>
      <c r="N4399" s="74">
        <f t="shared" si="1"/>
        <v>78.22781385</v>
      </c>
      <c r="O4399" s="74" t="b">
        <v>1</v>
      </c>
    </row>
    <row r="4400" hidden="1">
      <c r="A4400" s="82"/>
      <c r="B4400" s="65" t="s">
        <v>467</v>
      </c>
      <c r="C4400" s="65" t="s">
        <v>113</v>
      </c>
      <c r="D4400" s="65" t="str">
        <f>vlookup(C4400,'Classificação p pessoal'!F:G,2,false)</f>
        <v>NP</v>
      </c>
      <c r="E4400" s="65" t="s">
        <v>3295</v>
      </c>
      <c r="F4400" s="83">
        <v>0.625</v>
      </c>
      <c r="G4400" s="83">
        <v>0.7083333333333334</v>
      </c>
      <c r="H4400" s="83">
        <v>0.08333333333333333</v>
      </c>
      <c r="I4400" s="84">
        <v>44440.0</v>
      </c>
      <c r="J4400" s="65" t="b">
        <v>1</v>
      </c>
      <c r="K4400" s="65"/>
      <c r="L4400" s="85" t="b">
        <f>IF(VLOOKUP(C4400,Projetos!A:L,12,false)=TRUE,TRUE,FALSE)</f>
        <v>1</v>
      </c>
      <c r="M4400" s="74">
        <v>52.1518759018759</v>
      </c>
      <c r="N4400" s="74">
        <f t="shared" si="1"/>
        <v>104.3037518</v>
      </c>
      <c r="O4400" s="74" t="b">
        <v>1</v>
      </c>
    </row>
    <row r="4401" hidden="1">
      <c r="A4401" s="82"/>
      <c r="B4401" s="65" t="s">
        <v>467</v>
      </c>
      <c r="C4401" s="65" t="s">
        <v>113</v>
      </c>
      <c r="D4401" s="65" t="str">
        <f>vlookup(C4401,'Classificação p pessoal'!F:G,2,false)</f>
        <v>NP</v>
      </c>
      <c r="E4401" s="65" t="s">
        <v>3296</v>
      </c>
      <c r="F4401" s="83">
        <v>0.5833333333333334</v>
      </c>
      <c r="G4401" s="83">
        <v>0.625</v>
      </c>
      <c r="H4401" s="83">
        <v>0.041666666666666664</v>
      </c>
      <c r="I4401" s="84">
        <v>44440.0</v>
      </c>
      <c r="J4401" s="65" t="b">
        <v>1</v>
      </c>
      <c r="K4401" s="65"/>
      <c r="L4401" s="85" t="b">
        <f>IF(VLOOKUP(C4401,Projetos!A:L,12,false)=TRUE,TRUE,FALSE)</f>
        <v>1</v>
      </c>
      <c r="M4401" s="74">
        <v>52.1518759018759</v>
      </c>
      <c r="N4401" s="74">
        <f t="shared" si="1"/>
        <v>52.1518759</v>
      </c>
      <c r="O4401" s="74" t="b">
        <v>1</v>
      </c>
    </row>
    <row r="4402" hidden="1">
      <c r="A4402" s="82"/>
      <c r="B4402" s="65" t="s">
        <v>467</v>
      </c>
      <c r="C4402" s="65" t="s">
        <v>113</v>
      </c>
      <c r="D4402" s="65" t="str">
        <f>vlookup(C4402,'Classificação p pessoal'!F:G,2,false)</f>
        <v>NP</v>
      </c>
      <c r="E4402" s="65" t="s">
        <v>3297</v>
      </c>
      <c r="F4402" s="83">
        <v>0.3541666666666667</v>
      </c>
      <c r="G4402" s="83">
        <v>0.375</v>
      </c>
      <c r="H4402" s="83">
        <v>0.020833333333333332</v>
      </c>
      <c r="I4402" s="84">
        <v>44441.0</v>
      </c>
      <c r="J4402" s="65" t="b">
        <v>1</v>
      </c>
      <c r="K4402" s="65"/>
      <c r="L4402" s="85" t="b">
        <f>IF(VLOOKUP(C4402,Projetos!A:L,12,false)=TRUE,TRUE,FALSE)</f>
        <v>1</v>
      </c>
      <c r="M4402" s="74">
        <v>52.1518759018759</v>
      </c>
      <c r="N4402" s="74">
        <f t="shared" si="1"/>
        <v>26.07593795</v>
      </c>
      <c r="O4402" s="74" t="b">
        <v>1</v>
      </c>
    </row>
    <row r="4403" hidden="1">
      <c r="A4403" s="82"/>
      <c r="B4403" s="65" t="s">
        <v>467</v>
      </c>
      <c r="C4403" s="65" t="s">
        <v>117</v>
      </c>
      <c r="D4403" s="65" t="str">
        <f>vlookup(C4403,'Classificação p pessoal'!F:G,2,false)</f>
        <v>NP</v>
      </c>
      <c r="E4403" s="65" t="s">
        <v>3298</v>
      </c>
      <c r="F4403" s="83">
        <v>0.4583333333333333</v>
      </c>
      <c r="G4403" s="83">
        <v>0.5</v>
      </c>
      <c r="H4403" s="83">
        <v>0.041666666666666664</v>
      </c>
      <c r="I4403" s="84">
        <v>44441.0</v>
      </c>
      <c r="J4403" s="65" t="b">
        <v>1</v>
      </c>
      <c r="K4403" s="65"/>
      <c r="L4403" s="85" t="b">
        <f>IF(VLOOKUP(C4403,Projetos!A:L,12,false)=TRUE,TRUE,FALSE)</f>
        <v>1</v>
      </c>
      <c r="M4403" s="74">
        <v>52.1518759018759</v>
      </c>
      <c r="N4403" s="74">
        <f t="shared" si="1"/>
        <v>52.1518759</v>
      </c>
      <c r="O4403" s="74" t="b">
        <v>1</v>
      </c>
    </row>
    <row r="4404" hidden="1">
      <c r="A4404" s="82"/>
      <c r="B4404" s="65" t="s">
        <v>467</v>
      </c>
      <c r="C4404" s="65" t="s">
        <v>92</v>
      </c>
      <c r="D4404" s="65" t="str">
        <f>vlookup(C4404,'Classificação p pessoal'!F:G,2,false)</f>
        <v/>
      </c>
      <c r="E4404" s="65" t="s">
        <v>3299</v>
      </c>
      <c r="F4404" s="83">
        <v>0.5833333333333334</v>
      </c>
      <c r="G4404" s="83">
        <v>0.625</v>
      </c>
      <c r="H4404" s="83">
        <v>0.041666666666666664</v>
      </c>
      <c r="I4404" s="84">
        <v>44441.0</v>
      </c>
      <c r="J4404" s="65" t="b">
        <v>1</v>
      </c>
      <c r="K4404" s="65"/>
      <c r="L4404" s="85" t="b">
        <f>IF(VLOOKUP(C4404,Projetos!A:L,12,false)=TRUE,TRUE,FALSE)</f>
        <v>1</v>
      </c>
      <c r="M4404" s="74">
        <v>52.1518759018759</v>
      </c>
      <c r="N4404" s="74">
        <f t="shared" si="1"/>
        <v>52.1518759</v>
      </c>
      <c r="O4404" s="74" t="b">
        <v>1</v>
      </c>
    </row>
    <row r="4405" hidden="1">
      <c r="A4405" s="82"/>
      <c r="B4405" s="65" t="s">
        <v>467</v>
      </c>
      <c r="C4405" s="65" t="s">
        <v>92</v>
      </c>
      <c r="D4405" s="65" t="str">
        <f>vlookup(C4405,'Classificação p pessoal'!F:G,2,false)</f>
        <v/>
      </c>
      <c r="E4405" s="65" t="s">
        <v>3300</v>
      </c>
      <c r="F4405" s="83">
        <v>0.7291666666666666</v>
      </c>
      <c r="G4405" s="83">
        <v>0.75</v>
      </c>
      <c r="H4405" s="83">
        <v>0.020833333333333332</v>
      </c>
      <c r="I4405" s="84">
        <v>44441.0</v>
      </c>
      <c r="J4405" s="65" t="b">
        <v>1</v>
      </c>
      <c r="K4405" s="65"/>
      <c r="L4405" s="85" t="b">
        <f>IF(VLOOKUP(C4405,Projetos!A:L,12,false)=TRUE,TRUE,FALSE)</f>
        <v>1</v>
      </c>
      <c r="M4405" s="74">
        <v>52.1518759018759</v>
      </c>
      <c r="N4405" s="74">
        <f t="shared" si="1"/>
        <v>26.07593795</v>
      </c>
      <c r="O4405" s="74" t="b">
        <v>1</v>
      </c>
    </row>
    <row r="4406" hidden="1">
      <c r="A4406" s="82"/>
      <c r="B4406" s="65" t="s">
        <v>467</v>
      </c>
      <c r="C4406" s="65" t="s">
        <v>113</v>
      </c>
      <c r="D4406" s="65" t="str">
        <f>vlookup(C4406,'Classificação p pessoal'!F:G,2,false)</f>
        <v>NP</v>
      </c>
      <c r="E4406" s="65" t="s">
        <v>3301</v>
      </c>
      <c r="F4406" s="83">
        <v>0.34375</v>
      </c>
      <c r="G4406" s="83">
        <v>0.375</v>
      </c>
      <c r="H4406" s="83">
        <v>0.03125</v>
      </c>
      <c r="I4406" s="84">
        <v>44442.0</v>
      </c>
      <c r="J4406" s="65" t="b">
        <v>1</v>
      </c>
      <c r="K4406" s="65"/>
      <c r="L4406" s="85" t="b">
        <f>IF(VLOOKUP(C4406,Projetos!A:L,12,false)=TRUE,TRUE,FALSE)</f>
        <v>1</v>
      </c>
      <c r="M4406" s="74">
        <v>52.1518759018759</v>
      </c>
      <c r="N4406" s="74">
        <f t="shared" si="1"/>
        <v>39.11390693</v>
      </c>
      <c r="O4406" s="74" t="b">
        <v>1</v>
      </c>
    </row>
    <row r="4407" hidden="1">
      <c r="A4407" s="82"/>
      <c r="B4407" s="65" t="s">
        <v>467</v>
      </c>
      <c r="C4407" s="65" t="s">
        <v>130</v>
      </c>
      <c r="D4407" s="65" t="str">
        <f>vlookup(C4407,'Classificação p pessoal'!F:G,2,false)</f>
        <v>NP</v>
      </c>
      <c r="E4407" s="65" t="s">
        <v>3302</v>
      </c>
      <c r="F4407" s="83">
        <v>0.375</v>
      </c>
      <c r="G4407" s="83">
        <v>0.4166666666666667</v>
      </c>
      <c r="H4407" s="83">
        <v>0.041666666666666664</v>
      </c>
      <c r="I4407" s="84">
        <v>44442.0</v>
      </c>
      <c r="J4407" s="65" t="b">
        <v>1</v>
      </c>
      <c r="K4407" s="65"/>
      <c r="L4407" s="85" t="b">
        <f>IF(VLOOKUP(C4407,Projetos!A:L,12,false)=TRUE,TRUE,FALSE)</f>
        <v>1</v>
      </c>
      <c r="M4407" s="74">
        <v>52.1518759018759</v>
      </c>
      <c r="N4407" s="74">
        <f t="shared" si="1"/>
        <v>52.1518759</v>
      </c>
      <c r="O4407" s="74" t="b">
        <v>1</v>
      </c>
    </row>
    <row r="4408" hidden="1">
      <c r="A4408" s="82"/>
      <c r="B4408" s="65" t="s">
        <v>467</v>
      </c>
      <c r="C4408" s="65" t="s">
        <v>130</v>
      </c>
      <c r="D4408" s="65" t="str">
        <f>vlookup(C4408,'Classificação p pessoal'!F:G,2,false)</f>
        <v>NP</v>
      </c>
      <c r="E4408" s="65" t="s">
        <v>3303</v>
      </c>
      <c r="F4408" s="83">
        <v>0.4166666666666667</v>
      </c>
      <c r="G4408" s="83">
        <v>0.4583333333333333</v>
      </c>
      <c r="H4408" s="83">
        <v>0.041666666666666664</v>
      </c>
      <c r="I4408" s="84">
        <v>44442.0</v>
      </c>
      <c r="J4408" s="65" t="b">
        <v>1</v>
      </c>
      <c r="K4408" s="65"/>
      <c r="L4408" s="85" t="b">
        <f>IF(VLOOKUP(C4408,Projetos!A:L,12,false)=TRUE,TRUE,FALSE)</f>
        <v>1</v>
      </c>
      <c r="M4408" s="74">
        <v>52.1518759018759</v>
      </c>
      <c r="N4408" s="74">
        <f t="shared" si="1"/>
        <v>52.1518759</v>
      </c>
      <c r="O4408" s="74" t="b">
        <v>1</v>
      </c>
    </row>
    <row r="4409" hidden="1">
      <c r="A4409" s="82"/>
      <c r="B4409" s="65" t="s">
        <v>467</v>
      </c>
      <c r="C4409" s="65" t="s">
        <v>121</v>
      </c>
      <c r="D4409" s="65" t="str">
        <f>vlookup(C4409,'Classificação p pessoal'!F:G,2,false)</f>
        <v>NP</v>
      </c>
      <c r="E4409" s="65" t="s">
        <v>3304</v>
      </c>
      <c r="F4409" s="83">
        <v>0.5833333333333334</v>
      </c>
      <c r="G4409" s="83">
        <v>0.6666666666666666</v>
      </c>
      <c r="H4409" s="83">
        <v>0.08333333333333333</v>
      </c>
      <c r="I4409" s="84">
        <v>44442.0</v>
      </c>
      <c r="J4409" s="65" t="b">
        <v>1</v>
      </c>
      <c r="K4409" s="65"/>
      <c r="L4409" s="85" t="b">
        <f>IF(VLOOKUP(C4409,Projetos!A:L,12,false)=TRUE,TRUE,FALSE)</f>
        <v>1</v>
      </c>
      <c r="M4409" s="74">
        <v>52.1518759018759</v>
      </c>
      <c r="N4409" s="74">
        <f t="shared" si="1"/>
        <v>104.3037518</v>
      </c>
      <c r="O4409" s="74" t="b">
        <v>1</v>
      </c>
    </row>
    <row r="4410" hidden="1">
      <c r="A4410" s="82"/>
      <c r="B4410" s="65" t="s">
        <v>467</v>
      </c>
      <c r="C4410" s="65" t="s">
        <v>92</v>
      </c>
      <c r="D4410" s="65" t="str">
        <f>vlookup(C4410,'Classificação p pessoal'!F:G,2,false)</f>
        <v/>
      </c>
      <c r="E4410" s="65" t="s">
        <v>3305</v>
      </c>
      <c r="F4410" s="83">
        <v>0.34375</v>
      </c>
      <c r="G4410" s="83">
        <v>0.3958333333333333</v>
      </c>
      <c r="H4410" s="83">
        <v>0.052083333333333336</v>
      </c>
      <c r="I4410" s="84">
        <v>44445.0</v>
      </c>
      <c r="J4410" s="65" t="b">
        <v>1</v>
      </c>
      <c r="K4410" s="65"/>
      <c r="L4410" s="85" t="b">
        <f>IF(VLOOKUP(C4410,Projetos!A:L,12,false)=TRUE,TRUE,FALSE)</f>
        <v>1</v>
      </c>
      <c r="M4410" s="74">
        <v>52.1518759018759</v>
      </c>
      <c r="N4410" s="74">
        <f t="shared" si="1"/>
        <v>65.18984488</v>
      </c>
      <c r="O4410" s="74" t="b">
        <v>1</v>
      </c>
    </row>
    <row r="4411" hidden="1">
      <c r="A4411" s="82"/>
      <c r="B4411" s="65" t="s">
        <v>467</v>
      </c>
      <c r="C4411" s="65" t="s">
        <v>121</v>
      </c>
      <c r="D4411" s="65" t="str">
        <f>vlookup(C4411,'Classificação p pessoal'!F:G,2,false)</f>
        <v>NP</v>
      </c>
      <c r="E4411" s="65" t="s">
        <v>3306</v>
      </c>
      <c r="F4411" s="83">
        <v>0.4375</v>
      </c>
      <c r="G4411" s="83">
        <v>0.4791666666666667</v>
      </c>
      <c r="H4411" s="83">
        <v>0.041666666666666664</v>
      </c>
      <c r="I4411" s="84">
        <v>44445.0</v>
      </c>
      <c r="J4411" s="65" t="b">
        <v>1</v>
      </c>
      <c r="K4411" s="65"/>
      <c r="L4411" s="85" t="b">
        <f>IF(VLOOKUP(C4411,Projetos!A:L,12,false)=TRUE,TRUE,FALSE)</f>
        <v>1</v>
      </c>
      <c r="M4411" s="74">
        <v>52.1518759018759</v>
      </c>
      <c r="N4411" s="74">
        <f t="shared" si="1"/>
        <v>52.1518759</v>
      </c>
      <c r="O4411" s="74" t="b">
        <v>1</v>
      </c>
    </row>
    <row r="4412" hidden="1">
      <c r="A4412" s="82"/>
      <c r="B4412" s="65" t="s">
        <v>467</v>
      </c>
      <c r="C4412" s="65" t="s">
        <v>92</v>
      </c>
      <c r="D4412" s="65" t="str">
        <f>vlookup(C4412,'Classificação p pessoal'!F:G,2,false)</f>
        <v/>
      </c>
      <c r="E4412" s="65" t="s">
        <v>3307</v>
      </c>
      <c r="F4412" s="83">
        <v>0.5833333333333334</v>
      </c>
      <c r="G4412" s="83">
        <v>0.75</v>
      </c>
      <c r="H4412" s="83">
        <v>0.16666666666666666</v>
      </c>
      <c r="I4412" s="84">
        <v>44445.0</v>
      </c>
      <c r="J4412" s="65" t="b">
        <v>1</v>
      </c>
      <c r="K4412" s="65"/>
      <c r="L4412" s="85" t="b">
        <f>IF(VLOOKUP(C4412,Projetos!A:L,12,false)=TRUE,TRUE,FALSE)</f>
        <v>1</v>
      </c>
      <c r="M4412" s="74">
        <v>52.1518759018759</v>
      </c>
      <c r="N4412" s="74">
        <f t="shared" si="1"/>
        <v>208.6075036</v>
      </c>
      <c r="O4412" s="74" t="b">
        <v>1</v>
      </c>
    </row>
    <row r="4413" hidden="1">
      <c r="A4413" s="82"/>
      <c r="B4413" s="65" t="s">
        <v>467</v>
      </c>
      <c r="C4413" s="65" t="s">
        <v>84</v>
      </c>
      <c r="D4413" s="65"/>
      <c r="E4413" s="65" t="s">
        <v>3308</v>
      </c>
      <c r="F4413" s="83">
        <v>0.625</v>
      </c>
      <c r="G4413" s="83">
        <v>0.7083333333333334</v>
      </c>
      <c r="H4413" s="83">
        <v>0.08333333333333333</v>
      </c>
      <c r="I4413" s="84">
        <v>44448.0</v>
      </c>
      <c r="J4413" s="65" t="b">
        <v>0</v>
      </c>
      <c r="K4413" s="65"/>
      <c r="L4413" s="85" t="b">
        <f>IF(VLOOKUP(C4413,Projetos!A:L,12,false)=TRUE,TRUE,FALSE)</f>
        <v>0</v>
      </c>
      <c r="M4413" s="74">
        <v>52.1518759018759</v>
      </c>
      <c r="N4413" s="74">
        <f t="shared" si="1"/>
        <v>0</v>
      </c>
      <c r="O4413" s="74" t="b">
        <v>0</v>
      </c>
    </row>
    <row r="4414" hidden="1">
      <c r="A4414" s="82"/>
      <c r="B4414" s="65" t="s">
        <v>467</v>
      </c>
      <c r="C4414" s="65" t="s">
        <v>120</v>
      </c>
      <c r="D4414" s="65"/>
      <c r="E4414" s="65" t="s">
        <v>3309</v>
      </c>
      <c r="F4414" s="83">
        <v>0.3958333333333333</v>
      </c>
      <c r="G4414" s="83">
        <v>0.4583333333333333</v>
      </c>
      <c r="H4414" s="83">
        <v>0.0625</v>
      </c>
      <c r="I4414" s="84">
        <v>44448.0</v>
      </c>
      <c r="J4414" s="65" t="b">
        <v>0</v>
      </c>
      <c r="K4414" s="65" t="s">
        <v>150</v>
      </c>
      <c r="L4414" s="85" t="b">
        <f>IF(VLOOKUP(C4414,Projetos!A:L,12,false)=TRUE,TRUE,FALSE)</f>
        <v>0</v>
      </c>
      <c r="M4414" s="74">
        <v>52.1518759018759</v>
      </c>
      <c r="N4414" s="74">
        <f t="shared" si="1"/>
        <v>0</v>
      </c>
      <c r="O4414" s="74" t="b">
        <v>0</v>
      </c>
    </row>
    <row r="4415" hidden="1">
      <c r="A4415" s="82"/>
      <c r="B4415" s="65" t="s">
        <v>467</v>
      </c>
      <c r="C4415" s="65" t="s">
        <v>84</v>
      </c>
      <c r="D4415" s="65"/>
      <c r="E4415" s="65" t="s">
        <v>3310</v>
      </c>
      <c r="F4415" s="83">
        <v>0.7083333333333334</v>
      </c>
      <c r="G4415" s="83">
        <v>0.75</v>
      </c>
      <c r="H4415" s="83">
        <v>0.041666666666666664</v>
      </c>
      <c r="I4415" s="84">
        <v>44448.0</v>
      </c>
      <c r="J4415" s="65" t="b">
        <v>0</v>
      </c>
      <c r="K4415" s="65"/>
      <c r="L4415" s="85" t="b">
        <f>IF(VLOOKUP(C4415,Projetos!A:L,12,false)=TRUE,TRUE,FALSE)</f>
        <v>0</v>
      </c>
      <c r="M4415" s="74">
        <v>52.1518759018759</v>
      </c>
      <c r="N4415" s="74">
        <f t="shared" si="1"/>
        <v>0</v>
      </c>
      <c r="O4415" s="74" t="b">
        <v>0</v>
      </c>
    </row>
    <row r="4416" hidden="1">
      <c r="A4416" s="82"/>
      <c r="B4416" s="65" t="s">
        <v>467</v>
      </c>
      <c r="C4416" s="65" t="s">
        <v>130</v>
      </c>
      <c r="D4416" s="65" t="str">
        <f>vlookup(C4416,'Classificação p pessoal'!F:G,2,false)</f>
        <v>NP</v>
      </c>
      <c r="E4416" s="65" t="s">
        <v>3311</v>
      </c>
      <c r="F4416" s="83">
        <v>0.3541666666666667</v>
      </c>
      <c r="G4416" s="83">
        <v>0.375</v>
      </c>
      <c r="H4416" s="83">
        <v>0.020833333333333332</v>
      </c>
      <c r="I4416" s="84">
        <v>44449.0</v>
      </c>
      <c r="J4416" s="65" t="b">
        <v>1</v>
      </c>
      <c r="K4416" s="65"/>
      <c r="L4416" s="85" t="b">
        <f>IF(VLOOKUP(C4416,Projetos!A:L,12,false)=TRUE,TRUE,FALSE)</f>
        <v>1</v>
      </c>
      <c r="M4416" s="74">
        <v>52.1518759018759</v>
      </c>
      <c r="N4416" s="74">
        <f t="shared" si="1"/>
        <v>26.07593795</v>
      </c>
      <c r="O4416" s="74" t="b">
        <v>1</v>
      </c>
    </row>
    <row r="4417" hidden="1">
      <c r="A4417" s="82"/>
      <c r="B4417" s="65" t="s">
        <v>495</v>
      </c>
      <c r="C4417" s="65" t="s">
        <v>92</v>
      </c>
      <c r="D4417" s="65" t="str">
        <f>vlookup(C4417,'Classificação p pessoal'!F:G,2,false)</f>
        <v/>
      </c>
      <c r="E4417" s="65" t="s">
        <v>3290</v>
      </c>
      <c r="F4417" s="83">
        <v>0.3541666666666667</v>
      </c>
      <c r="G4417" s="83">
        <v>0.3958333333333333</v>
      </c>
      <c r="H4417" s="83">
        <v>0.041666666666666664</v>
      </c>
      <c r="I4417" s="84">
        <v>44495.0</v>
      </c>
      <c r="J4417" s="65" t="b">
        <v>1</v>
      </c>
      <c r="K4417" s="65"/>
      <c r="L4417" s="85" t="b">
        <f>IF(VLOOKUP(C4417,Projetos!A:L,12,false)=TRUE,TRUE,FALSE)</f>
        <v>1</v>
      </c>
      <c r="M4417" s="74">
        <v>73.7079846079846</v>
      </c>
      <c r="N4417" s="74">
        <f t="shared" si="1"/>
        <v>73.70798461</v>
      </c>
      <c r="O4417" s="74" t="b">
        <v>1</v>
      </c>
    </row>
    <row r="4418" hidden="1">
      <c r="A4418" s="82"/>
      <c r="B4418" s="65" t="s">
        <v>467</v>
      </c>
      <c r="C4418" s="65" t="s">
        <v>113</v>
      </c>
      <c r="D4418" s="65" t="str">
        <f>vlookup(C4418,'Classificação p pessoal'!F:G,2,false)</f>
        <v>NP</v>
      </c>
      <c r="E4418" s="65" t="s">
        <v>3312</v>
      </c>
      <c r="F4418" s="83">
        <v>0.5833333333333334</v>
      </c>
      <c r="G4418" s="83">
        <v>0.625</v>
      </c>
      <c r="H4418" s="83">
        <v>0.041666666666666664</v>
      </c>
      <c r="I4418" s="84">
        <v>44449.0</v>
      </c>
      <c r="J4418" s="65" t="b">
        <v>1</v>
      </c>
      <c r="K4418" s="65"/>
      <c r="L4418" s="85" t="b">
        <f>IF(VLOOKUP(C4418,Projetos!A:L,12,false)=TRUE,TRUE,FALSE)</f>
        <v>1</v>
      </c>
      <c r="M4418" s="74">
        <v>52.1518759018759</v>
      </c>
      <c r="N4418" s="74">
        <f t="shared" si="1"/>
        <v>52.1518759</v>
      </c>
      <c r="O4418" s="74" t="b">
        <v>1</v>
      </c>
    </row>
    <row r="4419" hidden="1">
      <c r="A4419" s="82"/>
      <c r="B4419" s="65" t="s">
        <v>467</v>
      </c>
      <c r="C4419" s="65" t="s">
        <v>92</v>
      </c>
      <c r="D4419" s="65" t="str">
        <f>vlookup(C4419,'Classificação p pessoal'!F:G,2,false)</f>
        <v/>
      </c>
      <c r="E4419" s="65" t="s">
        <v>3313</v>
      </c>
      <c r="F4419" s="83">
        <v>0.4166666666666667</v>
      </c>
      <c r="G4419" s="83">
        <v>0.4583333333333333</v>
      </c>
      <c r="H4419" s="83">
        <v>0.041666666666666664</v>
      </c>
      <c r="I4419" s="84">
        <v>44449.0</v>
      </c>
      <c r="J4419" s="65" t="b">
        <v>1</v>
      </c>
      <c r="K4419" s="65"/>
      <c r="L4419" s="85" t="b">
        <f>IF(VLOOKUP(C4419,Projetos!A:L,12,false)=TRUE,TRUE,FALSE)</f>
        <v>1</v>
      </c>
      <c r="M4419" s="74">
        <v>52.1518759018759</v>
      </c>
      <c r="N4419" s="74">
        <f t="shared" si="1"/>
        <v>52.1518759</v>
      </c>
      <c r="O4419" s="74" t="b">
        <v>1</v>
      </c>
    </row>
    <row r="4420" hidden="1">
      <c r="A4420" s="82"/>
      <c r="B4420" s="65" t="s">
        <v>467</v>
      </c>
      <c r="C4420" s="65" t="s">
        <v>92</v>
      </c>
      <c r="D4420" s="65" t="str">
        <f>vlookup(C4420,'Classificação p pessoal'!F:G,2,false)</f>
        <v/>
      </c>
      <c r="E4420" s="65" t="s">
        <v>3314</v>
      </c>
      <c r="F4420" s="83">
        <v>0.375</v>
      </c>
      <c r="G4420" s="83">
        <v>0.4166666666666667</v>
      </c>
      <c r="H4420" s="83">
        <v>0.041666666666666664</v>
      </c>
      <c r="I4420" s="84">
        <v>44452.0</v>
      </c>
      <c r="J4420" s="65" t="b">
        <v>1</v>
      </c>
      <c r="K4420" s="65"/>
      <c r="L4420" s="85" t="b">
        <f>IF(VLOOKUP(C4420,Projetos!A:L,12,false)=TRUE,TRUE,FALSE)</f>
        <v>1</v>
      </c>
      <c r="M4420" s="74">
        <v>52.1518759018759</v>
      </c>
      <c r="N4420" s="74">
        <f t="shared" si="1"/>
        <v>52.1518759</v>
      </c>
      <c r="O4420" s="74" t="b">
        <v>1</v>
      </c>
    </row>
    <row r="4421" hidden="1">
      <c r="A4421" s="82"/>
      <c r="B4421" s="65" t="s">
        <v>467</v>
      </c>
      <c r="C4421" s="65" t="s">
        <v>113</v>
      </c>
      <c r="D4421" s="65" t="str">
        <f>vlookup(C4421,'Classificação p pessoal'!F:G,2,false)</f>
        <v>NP</v>
      </c>
      <c r="E4421" s="65" t="s">
        <v>3315</v>
      </c>
      <c r="F4421" s="83">
        <v>0.4166666666666667</v>
      </c>
      <c r="G4421" s="83">
        <v>0.5</v>
      </c>
      <c r="H4421" s="83">
        <v>0.08333333333333333</v>
      </c>
      <c r="I4421" s="84">
        <v>44452.0</v>
      </c>
      <c r="J4421" s="65" t="b">
        <v>1</v>
      </c>
      <c r="K4421" s="65"/>
      <c r="L4421" s="85" t="b">
        <f>IF(VLOOKUP(C4421,Projetos!A:L,12,false)=TRUE,TRUE,FALSE)</f>
        <v>1</v>
      </c>
      <c r="M4421" s="74">
        <v>52.1518759018759</v>
      </c>
      <c r="N4421" s="74">
        <f t="shared" si="1"/>
        <v>104.3037518</v>
      </c>
      <c r="O4421" s="74" t="b">
        <v>1</v>
      </c>
    </row>
    <row r="4422" hidden="1">
      <c r="A4422" s="82"/>
      <c r="B4422" s="65" t="s">
        <v>467</v>
      </c>
      <c r="C4422" s="65" t="s">
        <v>113</v>
      </c>
      <c r="D4422" s="65" t="str">
        <f>vlookup(C4422,'Classificação p pessoal'!F:G,2,false)</f>
        <v>NP</v>
      </c>
      <c r="E4422" s="65" t="s">
        <v>3316</v>
      </c>
      <c r="F4422" s="83">
        <v>0.5625</v>
      </c>
      <c r="G4422" s="83">
        <v>0.6041666666666666</v>
      </c>
      <c r="H4422" s="83">
        <v>0.041666666666666664</v>
      </c>
      <c r="I4422" s="84">
        <v>44452.0</v>
      </c>
      <c r="J4422" s="65" t="b">
        <v>1</v>
      </c>
      <c r="K4422" s="65"/>
      <c r="L4422" s="85" t="b">
        <f>IF(VLOOKUP(C4422,Projetos!A:L,12,false)=TRUE,TRUE,FALSE)</f>
        <v>1</v>
      </c>
      <c r="M4422" s="74">
        <v>52.1518759018759</v>
      </c>
      <c r="N4422" s="74">
        <f t="shared" si="1"/>
        <v>52.1518759</v>
      </c>
      <c r="O4422" s="74" t="b">
        <v>1</v>
      </c>
    </row>
    <row r="4423" hidden="1">
      <c r="A4423" s="82"/>
      <c r="B4423" s="65" t="s">
        <v>467</v>
      </c>
      <c r="C4423" s="65" t="s">
        <v>92</v>
      </c>
      <c r="D4423" s="65" t="str">
        <f>vlookup(C4423,'Classificação p pessoal'!F:G,2,false)</f>
        <v/>
      </c>
      <c r="E4423" s="65" t="s">
        <v>3317</v>
      </c>
      <c r="F4423" s="83">
        <v>0.6041666666666666</v>
      </c>
      <c r="G4423" s="83">
        <v>0.625</v>
      </c>
      <c r="H4423" s="83">
        <v>0.020833333333333332</v>
      </c>
      <c r="I4423" s="84">
        <v>44452.0</v>
      </c>
      <c r="J4423" s="65" t="b">
        <v>1</v>
      </c>
      <c r="K4423" s="65"/>
      <c r="L4423" s="85" t="b">
        <f>IF(VLOOKUP(C4423,Projetos!A:L,12,false)=TRUE,TRUE,FALSE)</f>
        <v>1</v>
      </c>
      <c r="M4423" s="74">
        <v>52.1518759018759</v>
      </c>
      <c r="N4423" s="74">
        <f t="shared" si="1"/>
        <v>26.07593795</v>
      </c>
      <c r="O4423" s="74" t="b">
        <v>1</v>
      </c>
    </row>
    <row r="4424" hidden="1">
      <c r="A4424" s="82"/>
      <c r="B4424" s="65" t="s">
        <v>467</v>
      </c>
      <c r="C4424" s="65" t="s">
        <v>92</v>
      </c>
      <c r="D4424" s="65" t="str">
        <f>vlookup(C4424,'Classificação p pessoal'!F:G,2,false)</f>
        <v/>
      </c>
      <c r="E4424" s="65" t="s">
        <v>3318</v>
      </c>
      <c r="F4424" s="83">
        <v>0.6666666666666666</v>
      </c>
      <c r="G4424" s="83">
        <v>0.7083333333333334</v>
      </c>
      <c r="H4424" s="83">
        <v>0.041666666666666664</v>
      </c>
      <c r="I4424" s="84">
        <v>44452.0</v>
      </c>
      <c r="J4424" s="65" t="b">
        <v>1</v>
      </c>
      <c r="K4424" s="65"/>
      <c r="L4424" s="85" t="b">
        <f>IF(VLOOKUP(C4424,Projetos!A:L,12,false)=TRUE,TRUE,FALSE)</f>
        <v>1</v>
      </c>
      <c r="M4424" s="74">
        <v>52.1518759018759</v>
      </c>
      <c r="N4424" s="74">
        <f t="shared" si="1"/>
        <v>52.1518759</v>
      </c>
      <c r="O4424" s="74" t="b">
        <v>1</v>
      </c>
    </row>
    <row r="4425" hidden="1">
      <c r="A4425" s="82"/>
      <c r="B4425" s="65" t="s">
        <v>467</v>
      </c>
      <c r="C4425" s="65" t="s">
        <v>113</v>
      </c>
      <c r="D4425" s="65" t="str">
        <f>vlookup(C4425,'Classificação p pessoal'!F:G,2,false)</f>
        <v>NP</v>
      </c>
      <c r="E4425" s="65" t="s">
        <v>3319</v>
      </c>
      <c r="F4425" s="83">
        <v>0.625</v>
      </c>
      <c r="G4425" s="83">
        <v>0.6666666666666666</v>
      </c>
      <c r="H4425" s="83">
        <v>0.041666666666666664</v>
      </c>
      <c r="I4425" s="84">
        <v>44452.0</v>
      </c>
      <c r="J4425" s="65" t="b">
        <v>1</v>
      </c>
      <c r="K4425" s="65"/>
      <c r="L4425" s="85" t="b">
        <f>IF(VLOOKUP(C4425,Projetos!A:L,12,false)=TRUE,TRUE,FALSE)</f>
        <v>1</v>
      </c>
      <c r="M4425" s="74">
        <v>52.1518759018759</v>
      </c>
      <c r="N4425" s="74">
        <f t="shared" si="1"/>
        <v>52.1518759</v>
      </c>
      <c r="O4425" s="74" t="b">
        <v>1</v>
      </c>
    </row>
    <row r="4426" hidden="1">
      <c r="A4426" s="82"/>
      <c r="B4426" s="65" t="s">
        <v>467</v>
      </c>
      <c r="C4426" s="65" t="s">
        <v>92</v>
      </c>
      <c r="D4426" s="65" t="str">
        <f>vlookup(C4426,'Classificação p pessoal'!F:G,2,false)</f>
        <v/>
      </c>
      <c r="E4426" s="65" t="s">
        <v>3320</v>
      </c>
      <c r="F4426" s="83">
        <v>0.34375</v>
      </c>
      <c r="G4426" s="83">
        <v>0.3854166666666667</v>
      </c>
      <c r="H4426" s="83">
        <v>0.041666666666666664</v>
      </c>
      <c r="I4426" s="84">
        <v>44453.0</v>
      </c>
      <c r="J4426" s="65" t="b">
        <v>1</v>
      </c>
      <c r="K4426" s="65"/>
      <c r="L4426" s="85" t="b">
        <f>IF(VLOOKUP(C4426,Projetos!A:L,12,false)=TRUE,TRUE,FALSE)</f>
        <v>1</v>
      </c>
      <c r="M4426" s="74">
        <v>52.1518759018759</v>
      </c>
      <c r="N4426" s="74">
        <f t="shared" si="1"/>
        <v>52.1518759</v>
      </c>
      <c r="O4426" s="74" t="b">
        <v>1</v>
      </c>
    </row>
    <row r="4427" hidden="1">
      <c r="A4427" s="82"/>
      <c r="B4427" s="65" t="s">
        <v>467</v>
      </c>
      <c r="C4427" s="65" t="s">
        <v>92</v>
      </c>
      <c r="D4427" s="65" t="str">
        <f>vlookup(C4427,'Classificação p pessoal'!F:G,2,false)</f>
        <v/>
      </c>
      <c r="E4427" s="65" t="s">
        <v>3321</v>
      </c>
      <c r="F4427" s="83">
        <v>0.4166666666666667</v>
      </c>
      <c r="G4427" s="83">
        <v>0.5</v>
      </c>
      <c r="H4427" s="83">
        <v>0.08333333333333333</v>
      </c>
      <c r="I4427" s="84">
        <v>44453.0</v>
      </c>
      <c r="J4427" s="65" t="b">
        <v>1</v>
      </c>
      <c r="K4427" s="65"/>
      <c r="L4427" s="85" t="b">
        <f>IF(VLOOKUP(C4427,Projetos!A:L,12,false)=TRUE,TRUE,FALSE)</f>
        <v>1</v>
      </c>
      <c r="M4427" s="74">
        <v>52.1518759018759</v>
      </c>
      <c r="N4427" s="74">
        <f t="shared" si="1"/>
        <v>104.3037518</v>
      </c>
      <c r="O4427" s="74" t="b">
        <v>1</v>
      </c>
    </row>
    <row r="4428" hidden="1">
      <c r="A4428" s="82"/>
      <c r="B4428" s="65" t="s">
        <v>467</v>
      </c>
      <c r="C4428" s="65" t="s">
        <v>92</v>
      </c>
      <c r="D4428" s="65" t="str">
        <f>vlookup(C4428,'Classificação p pessoal'!F:G,2,false)</f>
        <v/>
      </c>
      <c r="E4428" s="65" t="s">
        <v>3322</v>
      </c>
      <c r="F4428" s="83">
        <v>0.3541666666666667</v>
      </c>
      <c r="G4428" s="83">
        <v>0.5</v>
      </c>
      <c r="H4428" s="83">
        <v>0.14583333333333334</v>
      </c>
      <c r="I4428" s="84">
        <v>44454.0</v>
      </c>
      <c r="J4428" s="65" t="b">
        <v>1</v>
      </c>
      <c r="K4428" s="65"/>
      <c r="L4428" s="85" t="b">
        <f>IF(VLOOKUP(C4428,Projetos!A:L,12,false)=TRUE,TRUE,FALSE)</f>
        <v>1</v>
      </c>
      <c r="M4428" s="74">
        <v>52.1518759018759</v>
      </c>
      <c r="N4428" s="74">
        <f t="shared" si="1"/>
        <v>182.5315657</v>
      </c>
      <c r="O4428" s="74" t="b">
        <v>1</v>
      </c>
    </row>
    <row r="4429" hidden="1">
      <c r="A4429" s="82"/>
      <c r="B4429" s="65" t="s">
        <v>467</v>
      </c>
      <c r="C4429" s="65" t="s">
        <v>92</v>
      </c>
      <c r="D4429" s="65" t="str">
        <f>vlookup(C4429,'Classificação p pessoal'!F:G,2,false)</f>
        <v/>
      </c>
      <c r="E4429" s="65" t="s">
        <v>3323</v>
      </c>
      <c r="F4429" s="83">
        <v>0.625</v>
      </c>
      <c r="G4429" s="83">
        <v>0.6875</v>
      </c>
      <c r="H4429" s="83">
        <v>0.0625</v>
      </c>
      <c r="I4429" s="84">
        <v>44454.0</v>
      </c>
      <c r="J4429" s="65" t="b">
        <v>1</v>
      </c>
      <c r="K4429" s="65"/>
      <c r="L4429" s="85" t="b">
        <f>IF(VLOOKUP(C4429,Projetos!A:L,12,false)=TRUE,TRUE,FALSE)</f>
        <v>1</v>
      </c>
      <c r="M4429" s="74">
        <v>52.1518759018759</v>
      </c>
      <c r="N4429" s="74">
        <f t="shared" si="1"/>
        <v>78.22781385</v>
      </c>
      <c r="O4429" s="74" t="b">
        <v>1</v>
      </c>
    </row>
    <row r="4430" hidden="1">
      <c r="A4430" s="82"/>
      <c r="B4430" s="65" t="s">
        <v>467</v>
      </c>
      <c r="C4430" s="65" t="s">
        <v>120</v>
      </c>
      <c r="D4430" s="65"/>
      <c r="E4430" s="65" t="s">
        <v>3324</v>
      </c>
      <c r="F4430" s="83">
        <v>0.6875</v>
      </c>
      <c r="G4430" s="83">
        <v>0.7291666666666666</v>
      </c>
      <c r="H4430" s="83">
        <v>0.041666666666666664</v>
      </c>
      <c r="I4430" s="84">
        <v>44454.0</v>
      </c>
      <c r="J4430" s="65" t="b">
        <v>0</v>
      </c>
      <c r="K4430" s="65"/>
      <c r="L4430" s="85" t="b">
        <f>IF(VLOOKUP(C4430,Projetos!A:L,12,false)=TRUE,TRUE,FALSE)</f>
        <v>0</v>
      </c>
      <c r="M4430" s="74">
        <v>52.1518759018759</v>
      </c>
      <c r="N4430" s="74">
        <f t="shared" si="1"/>
        <v>0</v>
      </c>
      <c r="O4430" s="74" t="b">
        <v>0</v>
      </c>
    </row>
    <row r="4431" hidden="1">
      <c r="A4431" s="82"/>
      <c r="B4431" s="65" t="s">
        <v>467</v>
      </c>
      <c r="C4431" s="65" t="s">
        <v>117</v>
      </c>
      <c r="D4431" s="65" t="str">
        <f>vlookup(C4431,'Classificação p pessoal'!F:G,2,false)</f>
        <v>NP</v>
      </c>
      <c r="E4431" s="65" t="s">
        <v>3325</v>
      </c>
      <c r="F4431" s="83">
        <v>0.3541666666666667</v>
      </c>
      <c r="G4431" s="83">
        <v>0.5</v>
      </c>
      <c r="H4431" s="83">
        <v>0.14583333333333334</v>
      </c>
      <c r="I4431" s="84">
        <v>44455.0</v>
      </c>
      <c r="J4431" s="65" t="b">
        <v>1</v>
      </c>
      <c r="K4431" s="65"/>
      <c r="L4431" s="85" t="b">
        <f>IF(VLOOKUP(C4431,Projetos!A:L,12,false)=TRUE,TRUE,FALSE)</f>
        <v>1</v>
      </c>
      <c r="M4431" s="74">
        <v>52.1518759018759</v>
      </c>
      <c r="N4431" s="74">
        <f t="shared" si="1"/>
        <v>182.5315657</v>
      </c>
      <c r="O4431" s="74" t="b">
        <v>1</v>
      </c>
    </row>
    <row r="4432" hidden="1">
      <c r="A4432" s="82"/>
      <c r="B4432" s="65" t="s">
        <v>467</v>
      </c>
      <c r="C4432" s="65" t="s">
        <v>84</v>
      </c>
      <c r="D4432" s="65"/>
      <c r="E4432" s="65" t="s">
        <v>3326</v>
      </c>
      <c r="F4432" s="83">
        <v>0.5833333333333334</v>
      </c>
      <c r="G4432" s="83">
        <v>0.7291666666666666</v>
      </c>
      <c r="H4432" s="83">
        <v>0.14583333333333334</v>
      </c>
      <c r="I4432" s="84">
        <v>44455.0</v>
      </c>
      <c r="J4432" s="65" t="b">
        <v>0</v>
      </c>
      <c r="K4432" s="65" t="s">
        <v>150</v>
      </c>
      <c r="L4432" s="85" t="b">
        <f>IF(VLOOKUP(C4432,Projetos!A:L,12,false)=TRUE,TRUE,FALSE)</f>
        <v>0</v>
      </c>
      <c r="M4432" s="74">
        <v>52.1518759018759</v>
      </c>
      <c r="N4432" s="74">
        <f t="shared" si="1"/>
        <v>0</v>
      </c>
      <c r="O4432" s="74" t="b">
        <v>0</v>
      </c>
    </row>
    <row r="4433" hidden="1">
      <c r="A4433" s="82"/>
      <c r="B4433" s="65" t="s">
        <v>467</v>
      </c>
      <c r="C4433" s="65" t="s">
        <v>92</v>
      </c>
      <c r="D4433" s="65"/>
      <c r="E4433" s="65" t="s">
        <v>3327</v>
      </c>
      <c r="F4433" s="83">
        <v>0.3541666666666667</v>
      </c>
      <c r="G4433" s="83">
        <v>0.4375</v>
      </c>
      <c r="H4433" s="83">
        <v>0.08333333333333333</v>
      </c>
      <c r="I4433" s="84">
        <v>44456.0</v>
      </c>
      <c r="J4433" s="65" t="b">
        <v>0</v>
      </c>
      <c r="K4433" s="65" t="s">
        <v>150</v>
      </c>
      <c r="L4433" s="85" t="b">
        <f>IF(VLOOKUP(C4433,Projetos!A:L,12,false)=TRUE,TRUE,FALSE)</f>
        <v>1</v>
      </c>
      <c r="M4433" s="74">
        <v>52.1518759018759</v>
      </c>
      <c r="N4433" s="74">
        <f t="shared" si="1"/>
        <v>0</v>
      </c>
      <c r="O4433" s="74" t="b">
        <v>1</v>
      </c>
    </row>
    <row r="4434" hidden="1">
      <c r="A4434" s="82"/>
      <c r="B4434" s="65" t="s">
        <v>467</v>
      </c>
      <c r="C4434" s="65" t="s">
        <v>113</v>
      </c>
      <c r="D4434" s="65" t="str">
        <f>vlookup(C4434,'Classificação p pessoal'!F:G,2,false)</f>
        <v>NP</v>
      </c>
      <c r="E4434" s="65" t="s">
        <v>3328</v>
      </c>
      <c r="F4434" s="83">
        <v>0.3541666666666667</v>
      </c>
      <c r="G4434" s="83">
        <v>0.4375</v>
      </c>
      <c r="H4434" s="83">
        <v>0.08333333333333333</v>
      </c>
      <c r="I4434" s="84">
        <v>44459.0</v>
      </c>
      <c r="J4434" s="65" t="b">
        <v>1</v>
      </c>
      <c r="K4434" s="65"/>
      <c r="L4434" s="85" t="b">
        <f>IF(VLOOKUP(C4434,Projetos!A:L,12,false)=TRUE,TRUE,FALSE)</f>
        <v>1</v>
      </c>
      <c r="M4434" s="74">
        <v>52.1518759018759</v>
      </c>
      <c r="N4434" s="74">
        <f t="shared" si="1"/>
        <v>104.3037518</v>
      </c>
      <c r="O4434" s="74" t="b">
        <v>1</v>
      </c>
    </row>
    <row r="4435" hidden="1">
      <c r="A4435" s="82"/>
      <c r="B4435" s="65" t="s">
        <v>467</v>
      </c>
      <c r="C4435" s="65" t="s">
        <v>92</v>
      </c>
      <c r="D4435" s="65" t="str">
        <f>vlookup(C4435,'Classificação p pessoal'!F:G,2,false)</f>
        <v/>
      </c>
      <c r="E4435" s="65" t="s">
        <v>3329</v>
      </c>
      <c r="F4435" s="83">
        <v>0.4375</v>
      </c>
      <c r="G4435" s="83">
        <v>0.4583333333333333</v>
      </c>
      <c r="H4435" s="83">
        <v>0.020833333333333332</v>
      </c>
      <c r="I4435" s="84">
        <v>44459.0</v>
      </c>
      <c r="J4435" s="65" t="b">
        <v>1</v>
      </c>
      <c r="K4435" s="65"/>
      <c r="L4435" s="85" t="b">
        <f>IF(VLOOKUP(C4435,Projetos!A:L,12,false)=TRUE,TRUE,FALSE)</f>
        <v>1</v>
      </c>
      <c r="M4435" s="74">
        <v>52.1518759018759</v>
      </c>
      <c r="N4435" s="74">
        <f t="shared" si="1"/>
        <v>26.07593795</v>
      </c>
      <c r="O4435" s="74" t="b">
        <v>1</v>
      </c>
    </row>
    <row r="4436" hidden="1">
      <c r="A4436" s="82"/>
      <c r="B4436" s="65" t="s">
        <v>467</v>
      </c>
      <c r="C4436" s="65" t="s">
        <v>92</v>
      </c>
      <c r="D4436" s="65" t="str">
        <f>vlookup(C4436,'Classificação p pessoal'!F:G,2,false)</f>
        <v/>
      </c>
      <c r="E4436" s="65" t="s">
        <v>3330</v>
      </c>
      <c r="F4436" s="83">
        <v>0.5833333333333334</v>
      </c>
      <c r="G4436" s="83">
        <v>0.75</v>
      </c>
      <c r="H4436" s="83">
        <v>0.16666666666666666</v>
      </c>
      <c r="I4436" s="84">
        <v>44456.0</v>
      </c>
      <c r="J4436" s="65" t="b">
        <v>1</v>
      </c>
      <c r="K4436" s="65"/>
      <c r="L4436" s="85" t="b">
        <f>IF(VLOOKUP(C4436,Projetos!A:L,12,false)=TRUE,TRUE,FALSE)</f>
        <v>1</v>
      </c>
      <c r="M4436" s="74">
        <v>52.1518759018759</v>
      </c>
      <c r="N4436" s="74">
        <f t="shared" si="1"/>
        <v>208.6075036</v>
      </c>
      <c r="O4436" s="74" t="b">
        <v>1</v>
      </c>
    </row>
    <row r="4437" hidden="1">
      <c r="A4437" s="82"/>
      <c r="B4437" s="65" t="s">
        <v>467</v>
      </c>
      <c r="C4437" s="65" t="s">
        <v>92</v>
      </c>
      <c r="D4437" s="65" t="str">
        <f>vlookup(C4437,'Classificação p pessoal'!F:G,2,false)</f>
        <v/>
      </c>
      <c r="E4437" s="65" t="s">
        <v>3331</v>
      </c>
      <c r="F4437" s="83">
        <v>0.4583333333333333</v>
      </c>
      <c r="G4437" s="83">
        <v>0.5</v>
      </c>
      <c r="H4437" s="83">
        <v>0.041666666666666664</v>
      </c>
      <c r="I4437" s="84">
        <v>44459.0</v>
      </c>
      <c r="J4437" s="65" t="b">
        <v>1</v>
      </c>
      <c r="K4437" s="65"/>
      <c r="L4437" s="85" t="b">
        <f>IF(VLOOKUP(C4437,Projetos!A:L,12,false)=TRUE,TRUE,FALSE)</f>
        <v>1</v>
      </c>
      <c r="M4437" s="74">
        <v>52.1518759018759</v>
      </c>
      <c r="N4437" s="74">
        <f t="shared" si="1"/>
        <v>52.1518759</v>
      </c>
      <c r="O4437" s="74" t="b">
        <v>1</v>
      </c>
    </row>
    <row r="4438" hidden="1">
      <c r="A4438" s="82"/>
      <c r="B4438" s="65" t="s">
        <v>467</v>
      </c>
      <c r="C4438" s="65" t="s">
        <v>120</v>
      </c>
      <c r="D4438" s="65"/>
      <c r="E4438" s="65" t="s">
        <v>3332</v>
      </c>
      <c r="F4438" s="83">
        <v>0.5833333333333334</v>
      </c>
      <c r="G4438" s="83">
        <v>0.6666666666666666</v>
      </c>
      <c r="H4438" s="83">
        <v>0.08333333333333333</v>
      </c>
      <c r="I4438" s="84">
        <v>44459.0</v>
      </c>
      <c r="J4438" s="65" t="b">
        <v>0</v>
      </c>
      <c r="K4438" s="65"/>
      <c r="L4438" s="85" t="b">
        <f>IF(VLOOKUP(C4438,Projetos!A:L,12,false)=TRUE,TRUE,FALSE)</f>
        <v>0</v>
      </c>
      <c r="M4438" s="74">
        <v>52.1518759018759</v>
      </c>
      <c r="N4438" s="74">
        <f t="shared" si="1"/>
        <v>0</v>
      </c>
      <c r="O4438" s="74" t="b">
        <v>0</v>
      </c>
    </row>
    <row r="4439" hidden="1">
      <c r="A4439" s="82"/>
      <c r="B4439" s="65" t="s">
        <v>467</v>
      </c>
      <c r="C4439" s="65" t="s">
        <v>113</v>
      </c>
      <c r="D4439" s="65" t="str">
        <f>vlookup(C4439,'Classificação p pessoal'!F:G,2,false)</f>
        <v>NP</v>
      </c>
      <c r="E4439" s="65" t="s">
        <v>3333</v>
      </c>
      <c r="F4439" s="83">
        <v>0.3541666666666667</v>
      </c>
      <c r="G4439" s="83">
        <v>0.3958333333333333</v>
      </c>
      <c r="H4439" s="83">
        <v>0.041666666666666664</v>
      </c>
      <c r="I4439" s="84">
        <v>44460.0</v>
      </c>
      <c r="J4439" s="65" t="b">
        <v>1</v>
      </c>
      <c r="K4439" s="65"/>
      <c r="L4439" s="85" t="b">
        <f>IF(VLOOKUP(C4439,Projetos!A:L,12,false)=TRUE,TRUE,FALSE)</f>
        <v>1</v>
      </c>
      <c r="M4439" s="74">
        <v>52.1518759018759</v>
      </c>
      <c r="N4439" s="74">
        <f t="shared" si="1"/>
        <v>52.1518759</v>
      </c>
      <c r="O4439" s="74" t="b">
        <v>1</v>
      </c>
    </row>
    <row r="4440" hidden="1">
      <c r="A4440" s="82"/>
      <c r="B4440" s="65" t="s">
        <v>467</v>
      </c>
      <c r="C4440" s="65" t="s">
        <v>92</v>
      </c>
      <c r="D4440" s="65" t="str">
        <f>vlookup(C4440,'Classificação p pessoal'!F:G,2,false)</f>
        <v/>
      </c>
      <c r="E4440" s="65" t="s">
        <v>3334</v>
      </c>
      <c r="F4440" s="83">
        <v>0.4166666666666667</v>
      </c>
      <c r="G4440" s="83">
        <v>0.5</v>
      </c>
      <c r="H4440" s="83">
        <v>0.08333333333333333</v>
      </c>
      <c r="I4440" s="84">
        <v>44460.0</v>
      </c>
      <c r="J4440" s="65" t="b">
        <v>1</v>
      </c>
      <c r="K4440" s="65"/>
      <c r="L4440" s="85" t="b">
        <f>IF(VLOOKUP(C4440,Projetos!A:L,12,false)=TRUE,TRUE,FALSE)</f>
        <v>1</v>
      </c>
      <c r="M4440" s="74">
        <v>52.1518759018759</v>
      </c>
      <c r="N4440" s="74">
        <f t="shared" si="1"/>
        <v>104.3037518</v>
      </c>
      <c r="O4440" s="74" t="b">
        <v>1</v>
      </c>
    </row>
    <row r="4441" hidden="1">
      <c r="A4441" s="82"/>
      <c r="B4441" s="65" t="s">
        <v>467</v>
      </c>
      <c r="C4441" s="65" t="s">
        <v>92</v>
      </c>
      <c r="D4441" s="65" t="str">
        <f>vlookup(C4441,'Classificação p pessoal'!F:G,2,false)</f>
        <v/>
      </c>
      <c r="E4441" s="65" t="s">
        <v>3334</v>
      </c>
      <c r="F4441" s="83">
        <v>0.5833333333333334</v>
      </c>
      <c r="G4441" s="83">
        <v>0.6666666666666666</v>
      </c>
      <c r="H4441" s="83">
        <v>0.08333333333333333</v>
      </c>
      <c r="I4441" s="84">
        <v>44460.0</v>
      </c>
      <c r="J4441" s="65" t="b">
        <v>1</v>
      </c>
      <c r="K4441" s="65"/>
      <c r="L4441" s="85" t="b">
        <f>IF(VLOOKUP(C4441,Projetos!A:L,12,false)=TRUE,TRUE,FALSE)</f>
        <v>1</v>
      </c>
      <c r="M4441" s="74">
        <v>52.1518759018759</v>
      </c>
      <c r="N4441" s="74">
        <f t="shared" si="1"/>
        <v>104.3037518</v>
      </c>
      <c r="O4441" s="74" t="b">
        <v>1</v>
      </c>
    </row>
    <row r="4442" hidden="1">
      <c r="A4442" s="82"/>
      <c r="B4442" s="65" t="s">
        <v>467</v>
      </c>
      <c r="C4442" s="65" t="s">
        <v>120</v>
      </c>
      <c r="D4442" s="65"/>
      <c r="E4442" s="65" t="s">
        <v>3335</v>
      </c>
      <c r="F4442" s="83">
        <v>0.3541666666666667</v>
      </c>
      <c r="G4442" s="83">
        <v>0.4583333333333333</v>
      </c>
      <c r="H4442" s="83">
        <v>0.10416666666666667</v>
      </c>
      <c r="I4442" s="84">
        <v>44461.0</v>
      </c>
      <c r="J4442" s="65" t="b">
        <v>0</v>
      </c>
      <c r="K4442" s="65" t="s">
        <v>150</v>
      </c>
      <c r="L4442" s="85" t="b">
        <f>IF(VLOOKUP(C4442,Projetos!A:L,12,false)=TRUE,TRUE,FALSE)</f>
        <v>0</v>
      </c>
      <c r="M4442" s="74">
        <v>52.1518759018759</v>
      </c>
      <c r="N4442" s="74">
        <f t="shared" si="1"/>
        <v>0</v>
      </c>
      <c r="O4442" s="74" t="b">
        <v>0</v>
      </c>
    </row>
    <row r="4443" hidden="1">
      <c r="A4443" s="82"/>
      <c r="B4443" s="65" t="s">
        <v>467</v>
      </c>
      <c r="C4443" s="65" t="s">
        <v>120</v>
      </c>
      <c r="D4443" s="65"/>
      <c r="E4443" s="65" t="s">
        <v>3336</v>
      </c>
      <c r="F4443" s="83">
        <v>0.4583333333333333</v>
      </c>
      <c r="G4443" s="83">
        <v>0.5</v>
      </c>
      <c r="H4443" s="83">
        <v>0.041666666666666664</v>
      </c>
      <c r="I4443" s="84">
        <v>44462.0</v>
      </c>
      <c r="J4443" s="65" t="b">
        <v>0</v>
      </c>
      <c r="K4443" s="65"/>
      <c r="L4443" s="85" t="b">
        <f>IF(VLOOKUP(C4443,Projetos!A:L,12,false)=TRUE,TRUE,FALSE)</f>
        <v>0</v>
      </c>
      <c r="M4443" s="74">
        <v>52.1518759018759</v>
      </c>
      <c r="N4443" s="74">
        <f t="shared" si="1"/>
        <v>0</v>
      </c>
      <c r="O4443" s="74" t="b">
        <v>0</v>
      </c>
    </row>
    <row r="4444" hidden="1">
      <c r="A4444" s="82"/>
      <c r="B4444" s="65" t="s">
        <v>467</v>
      </c>
      <c r="C4444" s="65" t="s">
        <v>92</v>
      </c>
      <c r="D4444" s="65" t="str">
        <f>vlookup(C4444,'Classificação p pessoal'!F:G,2,false)</f>
        <v/>
      </c>
      <c r="E4444" s="65" t="s">
        <v>3334</v>
      </c>
      <c r="F4444" s="83">
        <v>0.5833333333333334</v>
      </c>
      <c r="G4444" s="83">
        <v>0.6666666666666666</v>
      </c>
      <c r="H4444" s="83">
        <v>0.08333333333333333</v>
      </c>
      <c r="I4444" s="84">
        <v>44461.0</v>
      </c>
      <c r="J4444" s="65" t="b">
        <v>1</v>
      </c>
      <c r="K4444" s="65"/>
      <c r="L4444" s="85" t="b">
        <f>IF(VLOOKUP(C4444,Projetos!A:L,12,false)=TRUE,TRUE,FALSE)</f>
        <v>1</v>
      </c>
      <c r="M4444" s="74">
        <v>52.1518759018759</v>
      </c>
      <c r="N4444" s="74">
        <f t="shared" si="1"/>
        <v>104.3037518</v>
      </c>
      <c r="O4444" s="74" t="b">
        <v>1</v>
      </c>
    </row>
    <row r="4445" hidden="1">
      <c r="A4445" s="82"/>
      <c r="B4445" s="65" t="s">
        <v>467</v>
      </c>
      <c r="C4445" s="65" t="s">
        <v>113</v>
      </c>
      <c r="D4445" s="65"/>
      <c r="E4445" s="65" t="s">
        <v>3337</v>
      </c>
      <c r="F4445" s="83">
        <v>0.6666666666666666</v>
      </c>
      <c r="G4445" s="83">
        <v>0.7083333333333334</v>
      </c>
      <c r="H4445" s="83">
        <v>0.041666666666666664</v>
      </c>
      <c r="I4445" s="84">
        <v>44462.0</v>
      </c>
      <c r="J4445" s="65" t="b">
        <v>0</v>
      </c>
      <c r="K4445" s="65" t="s">
        <v>150</v>
      </c>
      <c r="L4445" s="85" t="b">
        <f>IF(VLOOKUP(C4445,Projetos!A:L,12,false)=TRUE,TRUE,FALSE)</f>
        <v>1</v>
      </c>
      <c r="M4445" s="74">
        <v>52.1518759018759</v>
      </c>
      <c r="N4445" s="74">
        <f t="shared" si="1"/>
        <v>0</v>
      </c>
      <c r="O4445" s="74" t="b">
        <v>1</v>
      </c>
    </row>
    <row r="4446" hidden="1">
      <c r="A4446" s="82"/>
      <c r="B4446" s="65" t="s">
        <v>467</v>
      </c>
      <c r="C4446" s="65" t="s">
        <v>120</v>
      </c>
      <c r="D4446" s="65"/>
      <c r="E4446" s="65" t="s">
        <v>3338</v>
      </c>
      <c r="F4446" s="83">
        <v>0.4166666666666667</v>
      </c>
      <c r="G4446" s="83">
        <v>0.4583333333333333</v>
      </c>
      <c r="H4446" s="83">
        <v>0.041666666666666664</v>
      </c>
      <c r="I4446" s="84">
        <v>44463.0</v>
      </c>
      <c r="J4446" s="65" t="b">
        <v>0</v>
      </c>
      <c r="K4446" s="65" t="s">
        <v>150</v>
      </c>
      <c r="L4446" s="85" t="b">
        <f>IF(VLOOKUP(C4446,Projetos!A:L,12,false)=TRUE,TRUE,FALSE)</f>
        <v>0</v>
      </c>
      <c r="M4446" s="74">
        <v>52.1518759018759</v>
      </c>
      <c r="N4446" s="74">
        <f t="shared" si="1"/>
        <v>0</v>
      </c>
      <c r="O4446" s="74" t="b">
        <v>0</v>
      </c>
    </row>
    <row r="4447" hidden="1">
      <c r="A4447" s="82"/>
      <c r="B4447" s="65" t="s">
        <v>467</v>
      </c>
      <c r="C4447" s="65" t="s">
        <v>84</v>
      </c>
      <c r="D4447" s="65"/>
      <c r="E4447" s="65" t="s">
        <v>3339</v>
      </c>
      <c r="F4447" s="83">
        <v>0.4583333333333333</v>
      </c>
      <c r="G4447" s="83">
        <v>0.4791666666666667</v>
      </c>
      <c r="H4447" s="83">
        <v>0.020833333333333332</v>
      </c>
      <c r="I4447" s="84">
        <v>44463.0</v>
      </c>
      <c r="J4447" s="65" t="b">
        <v>0</v>
      </c>
      <c r="K4447" s="65" t="s">
        <v>150</v>
      </c>
      <c r="L4447" s="85" t="b">
        <f>IF(VLOOKUP(C4447,Projetos!A:L,12,false)=TRUE,TRUE,FALSE)</f>
        <v>0</v>
      </c>
      <c r="M4447" s="74">
        <v>52.1518759018759</v>
      </c>
      <c r="N4447" s="74">
        <f t="shared" si="1"/>
        <v>0</v>
      </c>
      <c r="O4447" s="74" t="b">
        <v>0</v>
      </c>
    </row>
    <row r="4448" hidden="1">
      <c r="A4448" s="82"/>
      <c r="B4448" s="65" t="s">
        <v>467</v>
      </c>
      <c r="C4448" s="65" t="s">
        <v>88</v>
      </c>
      <c r="D4448" s="65" t="str">
        <f>vlookup(C4448,'Classificação p pessoal'!F:G,2,false)</f>
        <v>MProduto</v>
      </c>
      <c r="E4448" s="65" t="s">
        <v>3340</v>
      </c>
      <c r="F4448" s="83">
        <v>0.6041666666666666</v>
      </c>
      <c r="G4448" s="83">
        <v>0.6666666666666666</v>
      </c>
      <c r="H4448" s="83">
        <v>0.0625</v>
      </c>
      <c r="I4448" s="84">
        <v>44463.0</v>
      </c>
      <c r="J4448" s="65" t="b">
        <v>1</v>
      </c>
      <c r="K4448" s="65"/>
      <c r="L4448" s="85" t="b">
        <f>IF(VLOOKUP(C4448,Projetos!A:L,12,false)=TRUE,TRUE,FALSE)</f>
        <v>1</v>
      </c>
      <c r="M4448" s="74">
        <v>52.1518759018759</v>
      </c>
      <c r="N4448" s="74">
        <f t="shared" si="1"/>
        <v>78.22781385</v>
      </c>
      <c r="O4448" s="74" t="b">
        <v>1</v>
      </c>
    </row>
    <row r="4449" hidden="1">
      <c r="A4449" s="82"/>
      <c r="B4449" s="65" t="s">
        <v>467</v>
      </c>
      <c r="C4449" s="65" t="s">
        <v>113</v>
      </c>
      <c r="D4449" s="65"/>
      <c r="E4449" s="65" t="s">
        <v>3341</v>
      </c>
      <c r="F4449" s="83">
        <v>0.3541666666666667</v>
      </c>
      <c r="G4449" s="83">
        <v>0.4166666666666667</v>
      </c>
      <c r="H4449" s="83">
        <v>0.0625</v>
      </c>
      <c r="I4449" s="84">
        <v>44466.0</v>
      </c>
      <c r="J4449" s="65" t="b">
        <v>0</v>
      </c>
      <c r="K4449" s="65" t="s">
        <v>150</v>
      </c>
      <c r="L4449" s="85" t="b">
        <f>IF(VLOOKUP(C4449,Projetos!A:L,12,false)=TRUE,TRUE,FALSE)</f>
        <v>1</v>
      </c>
      <c r="M4449" s="74">
        <v>52.1518759018759</v>
      </c>
      <c r="N4449" s="74">
        <f t="shared" si="1"/>
        <v>0</v>
      </c>
      <c r="O4449" s="74" t="b">
        <v>1</v>
      </c>
    </row>
    <row r="4450" hidden="1">
      <c r="A4450" s="82"/>
      <c r="B4450" s="65" t="s">
        <v>467</v>
      </c>
      <c r="C4450" s="65" t="s">
        <v>120</v>
      </c>
      <c r="D4450" s="65"/>
      <c r="E4450" s="65" t="s">
        <v>3332</v>
      </c>
      <c r="F4450" s="83">
        <v>0.5833333333333334</v>
      </c>
      <c r="G4450" s="83">
        <v>0.6666666666666666</v>
      </c>
      <c r="H4450" s="83">
        <v>0.08333333333333333</v>
      </c>
      <c r="I4450" s="84">
        <v>44466.0</v>
      </c>
      <c r="J4450" s="65" t="b">
        <v>0</v>
      </c>
      <c r="K4450" s="65"/>
      <c r="L4450" s="85" t="b">
        <f>IF(VLOOKUP(C4450,Projetos!A:L,12,false)=TRUE,TRUE,FALSE)</f>
        <v>0</v>
      </c>
      <c r="M4450" s="74">
        <v>52.1518759018759</v>
      </c>
      <c r="N4450" s="74">
        <f t="shared" si="1"/>
        <v>0</v>
      </c>
      <c r="O4450" s="74" t="b">
        <v>0</v>
      </c>
    </row>
    <row r="4451" hidden="1">
      <c r="A4451" s="82"/>
      <c r="B4451" s="65" t="s">
        <v>467</v>
      </c>
      <c r="C4451" s="65" t="s">
        <v>120</v>
      </c>
      <c r="D4451" s="65"/>
      <c r="E4451" s="65" t="s">
        <v>3342</v>
      </c>
      <c r="F4451" s="83">
        <v>0.4166666666666667</v>
      </c>
      <c r="G4451" s="83">
        <v>0.4791666666666667</v>
      </c>
      <c r="H4451" s="83">
        <v>0.0625</v>
      </c>
      <c r="I4451" s="84">
        <v>44467.0</v>
      </c>
      <c r="J4451" s="65" t="b">
        <v>0</v>
      </c>
      <c r="K4451" s="65" t="s">
        <v>150</v>
      </c>
      <c r="L4451" s="85" t="b">
        <f>IF(VLOOKUP(C4451,Projetos!A:L,12,false)=TRUE,TRUE,FALSE)</f>
        <v>0</v>
      </c>
      <c r="M4451" s="74">
        <v>52.1518759018759</v>
      </c>
      <c r="N4451" s="74">
        <f t="shared" si="1"/>
        <v>0</v>
      </c>
      <c r="O4451" s="74" t="b">
        <v>0</v>
      </c>
    </row>
    <row r="4452" hidden="1">
      <c r="A4452" s="82"/>
      <c r="B4452" s="65" t="s">
        <v>467</v>
      </c>
      <c r="C4452" s="65" t="s">
        <v>113</v>
      </c>
      <c r="D4452" s="65" t="str">
        <f>vlookup(C4452,'Classificação p pessoal'!F:G,2,false)</f>
        <v>NP</v>
      </c>
      <c r="E4452" s="65" t="s">
        <v>3343</v>
      </c>
      <c r="F4452" s="83">
        <v>0.5833333333333334</v>
      </c>
      <c r="G4452" s="83">
        <v>0.6875</v>
      </c>
      <c r="H4452" s="83">
        <v>0.10416666666666667</v>
      </c>
      <c r="I4452" s="84">
        <v>44467.0</v>
      </c>
      <c r="J4452" s="65" t="b">
        <v>1</v>
      </c>
      <c r="K4452" s="65"/>
      <c r="L4452" s="85" t="b">
        <f>IF(VLOOKUP(C4452,Projetos!A:L,12,false)=TRUE,TRUE,FALSE)</f>
        <v>1</v>
      </c>
      <c r="M4452" s="74">
        <v>52.1518759018759</v>
      </c>
      <c r="N4452" s="74">
        <f t="shared" si="1"/>
        <v>130.3796898</v>
      </c>
      <c r="O4452" s="74" t="b">
        <v>1</v>
      </c>
    </row>
    <row r="4453" hidden="1">
      <c r="A4453" s="82"/>
      <c r="B4453" s="65" t="s">
        <v>467</v>
      </c>
      <c r="C4453" s="65" t="s">
        <v>113</v>
      </c>
      <c r="D4453" s="65" t="str">
        <f>vlookup(C4453,'Classificação p pessoal'!F:G,2,false)</f>
        <v>NP</v>
      </c>
      <c r="E4453" s="65" t="s">
        <v>3344</v>
      </c>
      <c r="F4453" s="83">
        <v>0.6875</v>
      </c>
      <c r="G4453" s="83">
        <v>0.7291666666666666</v>
      </c>
      <c r="H4453" s="83">
        <v>0.041666666666666664</v>
      </c>
      <c r="I4453" s="84">
        <v>44467.0</v>
      </c>
      <c r="J4453" s="65" t="b">
        <v>1</v>
      </c>
      <c r="K4453" s="65"/>
      <c r="L4453" s="85" t="b">
        <f>IF(VLOOKUP(C4453,Projetos!A:L,12,false)=TRUE,TRUE,FALSE)</f>
        <v>1</v>
      </c>
      <c r="M4453" s="74">
        <v>52.1518759018759</v>
      </c>
      <c r="N4453" s="74">
        <f t="shared" si="1"/>
        <v>52.1518759</v>
      </c>
      <c r="O4453" s="74" t="b">
        <v>1</v>
      </c>
    </row>
    <row r="4454" hidden="1">
      <c r="A4454" s="82"/>
      <c r="B4454" s="65" t="s">
        <v>467</v>
      </c>
      <c r="C4454" s="65" t="s">
        <v>92</v>
      </c>
      <c r="D4454" s="65" t="str">
        <f>vlookup(C4454,'Classificação p pessoal'!F:G,2,false)</f>
        <v/>
      </c>
      <c r="E4454" s="65" t="s">
        <v>3345</v>
      </c>
      <c r="F4454" s="83">
        <v>0.3541666666666667</v>
      </c>
      <c r="G4454" s="83">
        <v>0.3958333333333333</v>
      </c>
      <c r="H4454" s="83">
        <v>0.041666666666666664</v>
      </c>
      <c r="I4454" s="84">
        <v>44468.0</v>
      </c>
      <c r="J4454" s="65" t="b">
        <v>1</v>
      </c>
      <c r="K4454" s="65"/>
      <c r="L4454" s="85" t="b">
        <f>IF(VLOOKUP(C4454,Projetos!A:L,12,false)=TRUE,TRUE,FALSE)</f>
        <v>1</v>
      </c>
      <c r="M4454" s="74">
        <v>52.1518759018759</v>
      </c>
      <c r="N4454" s="74">
        <f t="shared" si="1"/>
        <v>52.1518759</v>
      </c>
      <c r="O4454" s="74" t="b">
        <v>1</v>
      </c>
    </row>
    <row r="4455" hidden="1">
      <c r="A4455" s="82"/>
      <c r="B4455" s="65" t="s">
        <v>467</v>
      </c>
      <c r="C4455" s="65" t="s">
        <v>113</v>
      </c>
      <c r="D4455" s="65" t="str">
        <f>vlookup(C4455,'Classificação p pessoal'!F:G,2,false)</f>
        <v>NP</v>
      </c>
      <c r="E4455" s="65" t="s">
        <v>3346</v>
      </c>
      <c r="F4455" s="83">
        <v>0.5833333333333334</v>
      </c>
      <c r="G4455" s="83">
        <v>0.75</v>
      </c>
      <c r="H4455" s="83">
        <v>0.16666666666666666</v>
      </c>
      <c r="I4455" s="84">
        <v>44468.0</v>
      </c>
      <c r="J4455" s="65" t="b">
        <v>1</v>
      </c>
      <c r="K4455" s="65"/>
      <c r="L4455" s="85" t="b">
        <f>IF(VLOOKUP(C4455,Projetos!A:L,12,false)=TRUE,TRUE,FALSE)</f>
        <v>1</v>
      </c>
      <c r="M4455" s="74">
        <v>52.1518759018759</v>
      </c>
      <c r="N4455" s="74">
        <f t="shared" si="1"/>
        <v>208.6075036</v>
      </c>
      <c r="O4455" s="74" t="b">
        <v>1</v>
      </c>
    </row>
    <row r="4456" hidden="1">
      <c r="A4456" s="82"/>
      <c r="B4456" s="65" t="s">
        <v>411</v>
      </c>
      <c r="C4456" s="65" t="s">
        <v>92</v>
      </c>
      <c r="D4456" s="65" t="str">
        <f>vlookup(C4456,'Classificação p pessoal'!F:G,2,false)</f>
        <v/>
      </c>
      <c r="E4456" s="65" t="s">
        <v>3347</v>
      </c>
      <c r="F4456" s="83">
        <v>0.34375</v>
      </c>
      <c r="G4456" s="83">
        <v>0.3958333333333333</v>
      </c>
      <c r="H4456" s="83">
        <v>0.052083333333333336</v>
      </c>
      <c r="I4456" s="84">
        <v>44232.0</v>
      </c>
      <c r="J4456" s="65" t="b">
        <v>1</v>
      </c>
      <c r="K4456" s="65"/>
      <c r="L4456" s="85" t="b">
        <f>IF(VLOOKUP(C4456,Projetos!A:L,12,false)=TRUE,TRUE,FALSE)</f>
        <v>1</v>
      </c>
      <c r="M4456" s="74">
        <v>52.48434411075036</v>
      </c>
      <c r="N4456" s="74">
        <f t="shared" si="1"/>
        <v>65.60543014</v>
      </c>
      <c r="O4456" s="74" t="b">
        <v>1</v>
      </c>
    </row>
    <row r="4457" hidden="1">
      <c r="A4457" s="82"/>
      <c r="B4457" s="65" t="s">
        <v>467</v>
      </c>
      <c r="C4457" s="65" t="s">
        <v>113</v>
      </c>
      <c r="D4457" s="65" t="str">
        <f>vlookup(C4457,'Classificação p pessoal'!F:G,2,false)</f>
        <v>NP</v>
      </c>
      <c r="E4457" s="65" t="s">
        <v>3348</v>
      </c>
      <c r="F4457" s="83">
        <v>0.5833333333333334</v>
      </c>
      <c r="G4457" s="83">
        <v>0.625</v>
      </c>
      <c r="H4457" s="83">
        <v>0.041666666666666664</v>
      </c>
      <c r="I4457" s="84">
        <v>44469.0</v>
      </c>
      <c r="J4457" s="65" t="b">
        <v>1</v>
      </c>
      <c r="K4457" s="65"/>
      <c r="L4457" s="85" t="b">
        <f>IF(VLOOKUP(C4457,Projetos!A:L,12,false)=TRUE,TRUE,FALSE)</f>
        <v>1</v>
      </c>
      <c r="M4457" s="74">
        <v>52.1518759018759</v>
      </c>
      <c r="N4457" s="74">
        <f t="shared" si="1"/>
        <v>52.1518759</v>
      </c>
      <c r="O4457" s="74" t="b">
        <v>1</v>
      </c>
    </row>
    <row r="4458" hidden="1">
      <c r="A4458" s="82"/>
      <c r="B4458" s="65" t="s">
        <v>467</v>
      </c>
      <c r="C4458" s="65" t="s">
        <v>113</v>
      </c>
      <c r="D4458" s="65"/>
      <c r="E4458" s="65" t="s">
        <v>3349</v>
      </c>
      <c r="F4458" s="83">
        <v>0.625</v>
      </c>
      <c r="G4458" s="83">
        <v>0.6666666666666666</v>
      </c>
      <c r="H4458" s="83">
        <v>0.041666666666666664</v>
      </c>
      <c r="I4458" s="84">
        <v>44469.0</v>
      </c>
      <c r="J4458" s="65" t="b">
        <v>0</v>
      </c>
      <c r="K4458" s="65" t="s">
        <v>150</v>
      </c>
      <c r="L4458" s="85" t="b">
        <f>IF(VLOOKUP(C4458,Projetos!A:L,12,false)=TRUE,TRUE,FALSE)</f>
        <v>1</v>
      </c>
      <c r="M4458" s="74">
        <v>52.1518759018759</v>
      </c>
      <c r="N4458" s="74">
        <f t="shared" si="1"/>
        <v>0</v>
      </c>
      <c r="O4458" s="74" t="b">
        <v>1</v>
      </c>
    </row>
    <row r="4459" hidden="1">
      <c r="A4459" s="82"/>
      <c r="B4459" s="65" t="s">
        <v>467</v>
      </c>
      <c r="C4459" s="65" t="s">
        <v>120</v>
      </c>
      <c r="D4459" s="65"/>
      <c r="E4459" s="65" t="s">
        <v>3350</v>
      </c>
      <c r="F4459" s="83">
        <v>0.6666666666666666</v>
      </c>
      <c r="G4459" s="83">
        <v>0.7083333333333334</v>
      </c>
      <c r="H4459" s="83">
        <v>0.041666666666666664</v>
      </c>
      <c r="I4459" s="84">
        <v>44469.0</v>
      </c>
      <c r="J4459" s="65" t="b">
        <v>0</v>
      </c>
      <c r="K4459" s="65"/>
      <c r="L4459" s="85" t="b">
        <f>IF(VLOOKUP(C4459,Projetos!A:L,12,false)=TRUE,TRUE,FALSE)</f>
        <v>0</v>
      </c>
      <c r="M4459" s="74">
        <v>52.1518759018759</v>
      </c>
      <c r="N4459" s="74">
        <f t="shared" si="1"/>
        <v>0</v>
      </c>
      <c r="O4459" s="74" t="b">
        <v>0</v>
      </c>
    </row>
    <row r="4460" hidden="1">
      <c r="A4460" s="82"/>
      <c r="B4460" s="65" t="s">
        <v>467</v>
      </c>
      <c r="C4460" s="65" t="s">
        <v>92</v>
      </c>
      <c r="D4460" s="65" t="str">
        <f>vlookup(C4460,'Classificação p pessoal'!F:G,2,false)</f>
        <v/>
      </c>
      <c r="E4460" s="65" t="s">
        <v>3351</v>
      </c>
      <c r="F4460" s="83">
        <v>0.4791666666666667</v>
      </c>
      <c r="G4460" s="83">
        <v>0.5208333333333334</v>
      </c>
      <c r="H4460" s="83">
        <v>0.041666666666666664</v>
      </c>
      <c r="I4460" s="84">
        <v>44470.0</v>
      </c>
      <c r="J4460" s="65" t="b">
        <v>1</v>
      </c>
      <c r="K4460" s="65"/>
      <c r="L4460" s="85" t="b">
        <f>IF(VLOOKUP(C4460,Projetos!A:L,12,false)=TRUE,TRUE,FALSE)</f>
        <v>1</v>
      </c>
      <c r="M4460" s="74">
        <v>52.1518759018759</v>
      </c>
      <c r="N4460" s="74">
        <f t="shared" si="1"/>
        <v>52.1518759</v>
      </c>
      <c r="O4460" s="74" t="b">
        <v>1</v>
      </c>
    </row>
    <row r="4461" hidden="1">
      <c r="A4461" s="82"/>
      <c r="B4461" s="65" t="s">
        <v>467</v>
      </c>
      <c r="C4461" s="65" t="s">
        <v>120</v>
      </c>
      <c r="D4461" s="65"/>
      <c r="E4461" s="65" t="s">
        <v>3352</v>
      </c>
      <c r="F4461" s="83">
        <v>0.5833333333333334</v>
      </c>
      <c r="G4461" s="83">
        <v>0.6666666666666666</v>
      </c>
      <c r="H4461" s="83">
        <v>0.08333333333333333</v>
      </c>
      <c r="I4461" s="84">
        <v>44470.0</v>
      </c>
      <c r="J4461" s="65" t="b">
        <v>0</v>
      </c>
      <c r="K4461" s="65" t="s">
        <v>150</v>
      </c>
      <c r="L4461" s="85" t="b">
        <f>IF(VLOOKUP(C4461,Projetos!A:L,12,false)=TRUE,TRUE,FALSE)</f>
        <v>0</v>
      </c>
      <c r="M4461" s="74">
        <v>52.1518759018759</v>
      </c>
      <c r="N4461" s="74">
        <f t="shared" si="1"/>
        <v>0</v>
      </c>
      <c r="O4461" s="74" t="b">
        <v>0</v>
      </c>
    </row>
    <row r="4462" hidden="1">
      <c r="A4462" s="82"/>
      <c r="B4462" s="65" t="s">
        <v>467</v>
      </c>
      <c r="C4462" s="65" t="s">
        <v>120</v>
      </c>
      <c r="D4462" s="65"/>
      <c r="E4462" s="65" t="s">
        <v>3353</v>
      </c>
      <c r="F4462" s="83">
        <v>0.6666666666666666</v>
      </c>
      <c r="G4462" s="83">
        <v>0.7083333333333334</v>
      </c>
      <c r="H4462" s="83">
        <v>0.041666666666666664</v>
      </c>
      <c r="I4462" s="84">
        <v>44470.0</v>
      </c>
      <c r="J4462" s="65" t="b">
        <v>0</v>
      </c>
      <c r="K4462" s="65" t="s">
        <v>150</v>
      </c>
      <c r="L4462" s="85" t="b">
        <f>IF(VLOOKUP(C4462,Projetos!A:L,12,false)=TRUE,TRUE,FALSE)</f>
        <v>0</v>
      </c>
      <c r="M4462" s="74">
        <v>52.1518759018759</v>
      </c>
      <c r="N4462" s="74">
        <f t="shared" si="1"/>
        <v>0</v>
      </c>
      <c r="O4462" s="74" t="b">
        <v>0</v>
      </c>
    </row>
    <row r="4463" hidden="1">
      <c r="A4463" s="82"/>
      <c r="B4463" s="65" t="s">
        <v>467</v>
      </c>
      <c r="C4463" s="65" t="s">
        <v>121</v>
      </c>
      <c r="D4463" s="65" t="str">
        <f>vlookup(C4463,'Classificação p pessoal'!F:G,2,false)</f>
        <v>NP</v>
      </c>
      <c r="E4463" s="65" t="s">
        <v>3354</v>
      </c>
      <c r="F4463" s="83">
        <v>0.3541666666666667</v>
      </c>
      <c r="G4463" s="83">
        <v>0.4375</v>
      </c>
      <c r="H4463" s="83">
        <v>0.08333333333333333</v>
      </c>
      <c r="I4463" s="84">
        <v>44473.0</v>
      </c>
      <c r="J4463" s="65" t="b">
        <v>1</v>
      </c>
      <c r="K4463" s="65"/>
      <c r="L4463" s="85" t="b">
        <f>IF(VLOOKUP(C4463,Projetos!A:L,12,false)=TRUE,TRUE,FALSE)</f>
        <v>1</v>
      </c>
      <c r="M4463" s="74">
        <v>52.1518759018759</v>
      </c>
      <c r="N4463" s="74">
        <f t="shared" si="1"/>
        <v>104.3037518</v>
      </c>
      <c r="O4463" s="74" t="b">
        <v>1</v>
      </c>
    </row>
    <row r="4464" hidden="1">
      <c r="A4464" s="82"/>
      <c r="B4464" s="65" t="s">
        <v>467</v>
      </c>
      <c r="C4464" s="65" t="s">
        <v>120</v>
      </c>
      <c r="D4464" s="65"/>
      <c r="E4464" s="65" t="s">
        <v>3355</v>
      </c>
      <c r="F4464" s="83">
        <v>0.5833333333333334</v>
      </c>
      <c r="G4464" s="83">
        <v>0.6458333333333334</v>
      </c>
      <c r="H4464" s="83">
        <v>0.0625</v>
      </c>
      <c r="I4464" s="84">
        <v>44473.0</v>
      </c>
      <c r="J4464" s="65" t="b">
        <v>0</v>
      </c>
      <c r="K4464" s="65" t="s">
        <v>150</v>
      </c>
      <c r="L4464" s="85" t="b">
        <f>IF(VLOOKUP(C4464,Projetos!A:L,12,false)=TRUE,TRUE,FALSE)</f>
        <v>0</v>
      </c>
      <c r="M4464" s="74">
        <v>52.1518759018759</v>
      </c>
      <c r="N4464" s="74">
        <f t="shared" si="1"/>
        <v>0</v>
      </c>
      <c r="O4464" s="74" t="b">
        <v>0</v>
      </c>
    </row>
    <row r="4465" hidden="1">
      <c r="A4465" s="82"/>
      <c r="B4465" s="65" t="s">
        <v>467</v>
      </c>
      <c r="C4465" s="65" t="s">
        <v>130</v>
      </c>
      <c r="D4465" s="65" t="str">
        <f>vlookup(C4465,'Classificação p pessoal'!F:G,2,false)</f>
        <v>NP</v>
      </c>
      <c r="E4465" s="65" t="s">
        <v>3354</v>
      </c>
      <c r="F4465" s="83">
        <v>0.6666666666666666</v>
      </c>
      <c r="G4465" s="83">
        <v>0.7083333333333334</v>
      </c>
      <c r="H4465" s="83">
        <v>0.041666666666666664</v>
      </c>
      <c r="I4465" s="84">
        <v>44473.0</v>
      </c>
      <c r="J4465" s="65" t="b">
        <v>1</v>
      </c>
      <c r="K4465" s="65"/>
      <c r="L4465" s="85" t="b">
        <f>IF(VLOOKUP(C4465,Projetos!A:L,12,false)=TRUE,TRUE,FALSE)</f>
        <v>1</v>
      </c>
      <c r="M4465" s="74">
        <v>52.1518759018759</v>
      </c>
      <c r="N4465" s="74">
        <f t="shared" si="1"/>
        <v>52.1518759</v>
      </c>
      <c r="O4465" s="74" t="b">
        <v>1</v>
      </c>
    </row>
    <row r="4466" hidden="1">
      <c r="A4466" s="82"/>
      <c r="B4466" s="65" t="s">
        <v>467</v>
      </c>
      <c r="C4466" s="65" t="s">
        <v>92</v>
      </c>
      <c r="D4466" s="65" t="str">
        <f>vlookup(C4466,'Classificação p pessoal'!F:G,2,false)</f>
        <v/>
      </c>
      <c r="E4466" s="65" t="s">
        <v>3351</v>
      </c>
      <c r="F4466" s="83">
        <v>0.3541666666666667</v>
      </c>
      <c r="G4466" s="83">
        <v>0.4375</v>
      </c>
      <c r="H4466" s="83">
        <v>0.08333333333333333</v>
      </c>
      <c r="I4466" s="84">
        <v>44474.0</v>
      </c>
      <c r="J4466" s="65" t="b">
        <v>1</v>
      </c>
      <c r="K4466" s="65"/>
      <c r="L4466" s="85" t="b">
        <f>IF(VLOOKUP(C4466,Projetos!A:L,12,false)=TRUE,TRUE,FALSE)</f>
        <v>1</v>
      </c>
      <c r="M4466" s="74">
        <v>52.1518759018759</v>
      </c>
      <c r="N4466" s="74">
        <f t="shared" si="1"/>
        <v>104.3037518</v>
      </c>
      <c r="O4466" s="74" t="b">
        <v>1</v>
      </c>
    </row>
    <row r="4467" hidden="1">
      <c r="A4467" s="82"/>
      <c r="B4467" s="65" t="s">
        <v>467</v>
      </c>
      <c r="C4467" s="65" t="s">
        <v>121</v>
      </c>
      <c r="D4467" s="65" t="str">
        <f>vlookup(C4467,'Classificação p pessoal'!F:G,2,false)</f>
        <v>NP</v>
      </c>
      <c r="E4467" s="65" t="s">
        <v>3356</v>
      </c>
      <c r="F4467" s="83">
        <v>0.4375</v>
      </c>
      <c r="G4467" s="83">
        <v>0.4583333333333333</v>
      </c>
      <c r="H4467" s="83">
        <v>0.020833333333333332</v>
      </c>
      <c r="I4467" s="84">
        <v>44474.0</v>
      </c>
      <c r="J4467" s="65" t="b">
        <v>1</v>
      </c>
      <c r="K4467" s="65"/>
      <c r="L4467" s="85" t="b">
        <f>IF(VLOOKUP(C4467,Projetos!A:L,12,false)=TRUE,TRUE,FALSE)</f>
        <v>1</v>
      </c>
      <c r="M4467" s="74">
        <v>52.1518759018759</v>
      </c>
      <c r="N4467" s="74">
        <f t="shared" si="1"/>
        <v>26.07593795</v>
      </c>
      <c r="O4467" s="74" t="b">
        <v>1</v>
      </c>
    </row>
    <row r="4468" hidden="1">
      <c r="A4468" s="82"/>
      <c r="B4468" s="65" t="s">
        <v>467</v>
      </c>
      <c r="C4468" s="65" t="s">
        <v>120</v>
      </c>
      <c r="D4468" s="65"/>
      <c r="E4468" s="65" t="s">
        <v>3357</v>
      </c>
      <c r="F4468" s="83">
        <v>0.625</v>
      </c>
      <c r="G4468" s="83">
        <v>0.6666666666666666</v>
      </c>
      <c r="H4468" s="83">
        <v>0.041666666666666664</v>
      </c>
      <c r="I4468" s="84">
        <v>44474.0</v>
      </c>
      <c r="J4468" s="65" t="b">
        <v>0</v>
      </c>
      <c r="K4468" s="65"/>
      <c r="L4468" s="85" t="b">
        <f>IF(VLOOKUP(C4468,Projetos!A:L,12,false)=TRUE,TRUE,FALSE)</f>
        <v>0</v>
      </c>
      <c r="M4468" s="74">
        <v>52.1518759018759</v>
      </c>
      <c r="N4468" s="74">
        <f t="shared" si="1"/>
        <v>0</v>
      </c>
      <c r="O4468" s="74" t="b">
        <v>0</v>
      </c>
    </row>
    <row r="4469" hidden="1">
      <c r="A4469" s="82"/>
      <c r="B4469" s="65" t="s">
        <v>467</v>
      </c>
      <c r="C4469" s="65" t="s">
        <v>122</v>
      </c>
      <c r="D4469" s="65" t="str">
        <f>vlookup(C4469,'Classificação p pessoal'!F:G,2,false)</f>
        <v>NP</v>
      </c>
      <c r="E4469" s="65" t="s">
        <v>3358</v>
      </c>
      <c r="F4469" s="83">
        <v>0.3541666666666667</v>
      </c>
      <c r="G4469" s="83">
        <v>0.3958333333333333</v>
      </c>
      <c r="H4469" s="83">
        <v>0.041666666666666664</v>
      </c>
      <c r="I4469" s="84">
        <v>44475.0</v>
      </c>
      <c r="J4469" s="65" t="b">
        <v>1</v>
      </c>
      <c r="K4469" s="65"/>
      <c r="L4469" s="85" t="b">
        <f>IF(VLOOKUP(C4469,Projetos!A:L,12,false)=TRUE,TRUE,FALSE)</f>
        <v>1</v>
      </c>
      <c r="M4469" s="74">
        <v>52.1518759018759</v>
      </c>
      <c r="N4469" s="74">
        <f t="shared" si="1"/>
        <v>52.1518759</v>
      </c>
      <c r="O4469" s="74" t="b">
        <v>1</v>
      </c>
    </row>
    <row r="4470" hidden="1">
      <c r="A4470" s="82"/>
      <c r="B4470" s="65" t="s">
        <v>467</v>
      </c>
      <c r="C4470" s="65" t="s">
        <v>122</v>
      </c>
      <c r="D4470" s="65" t="str">
        <f>vlookup(C4470,'Classificação p pessoal'!F:G,2,false)</f>
        <v>NP</v>
      </c>
      <c r="E4470" s="65" t="s">
        <v>3359</v>
      </c>
      <c r="F4470" s="83">
        <v>0.3958333333333333</v>
      </c>
      <c r="G4470" s="83">
        <v>0.4166666666666667</v>
      </c>
      <c r="H4470" s="83">
        <v>0.020833333333333332</v>
      </c>
      <c r="I4470" s="84">
        <v>44475.0</v>
      </c>
      <c r="J4470" s="65" t="b">
        <v>1</v>
      </c>
      <c r="K4470" s="65"/>
      <c r="L4470" s="85" t="b">
        <f>IF(VLOOKUP(C4470,Projetos!A:L,12,false)=TRUE,TRUE,FALSE)</f>
        <v>1</v>
      </c>
      <c r="M4470" s="74">
        <v>52.1518759018759</v>
      </c>
      <c r="N4470" s="74">
        <f t="shared" si="1"/>
        <v>26.07593795</v>
      </c>
      <c r="O4470" s="74" t="b">
        <v>1</v>
      </c>
    </row>
    <row r="4471" hidden="1">
      <c r="A4471" s="82"/>
      <c r="B4471" s="65" t="s">
        <v>467</v>
      </c>
      <c r="C4471" s="65" t="s">
        <v>120</v>
      </c>
      <c r="D4471" s="65"/>
      <c r="E4471" s="65" t="s">
        <v>3360</v>
      </c>
      <c r="F4471" s="83">
        <v>0.4166666666666667</v>
      </c>
      <c r="G4471" s="83">
        <v>0.4722222222222222</v>
      </c>
      <c r="H4471" s="83">
        <v>0.05555555555555555</v>
      </c>
      <c r="I4471" s="84">
        <v>44475.0</v>
      </c>
      <c r="J4471" s="65" t="b">
        <v>0</v>
      </c>
      <c r="K4471" s="65" t="s">
        <v>150</v>
      </c>
      <c r="L4471" s="85" t="b">
        <f>IF(VLOOKUP(C4471,Projetos!A:L,12,false)=TRUE,TRUE,FALSE)</f>
        <v>0</v>
      </c>
      <c r="M4471" s="74">
        <v>52.1518759018759</v>
      </c>
      <c r="N4471" s="74">
        <f t="shared" si="1"/>
        <v>0</v>
      </c>
      <c r="O4471" s="74" t="b">
        <v>0</v>
      </c>
    </row>
    <row r="4472" hidden="1">
      <c r="A4472" s="82"/>
      <c r="B4472" s="65" t="s">
        <v>467</v>
      </c>
      <c r="C4472" s="65" t="s">
        <v>92</v>
      </c>
      <c r="D4472" s="65" t="str">
        <f>vlookup(C4472,'Classificação p pessoal'!F:G,2,false)</f>
        <v/>
      </c>
      <c r="E4472" s="65" t="s">
        <v>3361</v>
      </c>
      <c r="F4472" s="83">
        <v>0.3333333333333333</v>
      </c>
      <c r="G4472" s="83">
        <v>0.75</v>
      </c>
      <c r="H4472" s="83">
        <v>0.4166666666666667</v>
      </c>
      <c r="I4472" s="84">
        <v>44476.0</v>
      </c>
      <c r="J4472" s="65" t="b">
        <v>1</v>
      </c>
      <c r="K4472" s="65"/>
      <c r="L4472" s="85" t="b">
        <f>IF(VLOOKUP(C4472,Projetos!A:L,12,false)=TRUE,TRUE,FALSE)</f>
        <v>1</v>
      </c>
      <c r="M4472" s="74">
        <v>52.1518759018759</v>
      </c>
      <c r="N4472" s="74">
        <f t="shared" si="1"/>
        <v>521.518759</v>
      </c>
      <c r="O4472" s="74" t="b">
        <v>1</v>
      </c>
    </row>
    <row r="4473" hidden="1">
      <c r="A4473" s="82"/>
      <c r="B4473" s="65" t="s">
        <v>467</v>
      </c>
      <c r="C4473" s="65" t="s">
        <v>113</v>
      </c>
      <c r="D4473" s="65" t="str">
        <f>vlookup(C4473,'Classificação p pessoal'!F:G,2,false)</f>
        <v>NP</v>
      </c>
      <c r="E4473" s="65" t="s">
        <v>3362</v>
      </c>
      <c r="F4473" s="83">
        <v>0.3541666666666667</v>
      </c>
      <c r="G4473" s="83">
        <v>0.4375</v>
      </c>
      <c r="H4473" s="83">
        <v>0.08333333333333333</v>
      </c>
      <c r="I4473" s="84">
        <v>44477.0</v>
      </c>
      <c r="J4473" s="65" t="b">
        <v>1</v>
      </c>
      <c r="K4473" s="65"/>
      <c r="L4473" s="85" t="b">
        <f>IF(VLOOKUP(C4473,Projetos!A:L,12,false)=TRUE,TRUE,FALSE)</f>
        <v>1</v>
      </c>
      <c r="M4473" s="74">
        <v>52.1518759018759</v>
      </c>
      <c r="N4473" s="74">
        <f t="shared" si="1"/>
        <v>104.3037518</v>
      </c>
      <c r="O4473" s="74" t="b">
        <v>1</v>
      </c>
    </row>
    <row r="4474" hidden="1">
      <c r="A4474" s="82"/>
      <c r="B4474" s="65" t="s">
        <v>467</v>
      </c>
      <c r="C4474" s="65" t="s">
        <v>120</v>
      </c>
      <c r="D4474" s="65"/>
      <c r="E4474" s="65" t="s">
        <v>3363</v>
      </c>
      <c r="F4474" s="83">
        <v>0.4375</v>
      </c>
      <c r="G4474" s="83">
        <v>0.5</v>
      </c>
      <c r="H4474" s="83">
        <v>0.0625</v>
      </c>
      <c r="I4474" s="84">
        <v>44477.0</v>
      </c>
      <c r="J4474" s="65" t="b">
        <v>0</v>
      </c>
      <c r="K4474" s="65"/>
      <c r="L4474" s="85" t="b">
        <f>IF(VLOOKUP(C4474,Projetos!A:L,12,false)=TRUE,TRUE,FALSE)</f>
        <v>0</v>
      </c>
      <c r="M4474" s="74">
        <v>52.1518759018759</v>
      </c>
      <c r="N4474" s="74">
        <f t="shared" si="1"/>
        <v>0</v>
      </c>
      <c r="O4474" s="74" t="b">
        <v>0</v>
      </c>
    </row>
    <row r="4475" hidden="1">
      <c r="A4475" s="82"/>
      <c r="B4475" s="65" t="s">
        <v>467</v>
      </c>
      <c r="C4475" s="65" t="s">
        <v>120</v>
      </c>
      <c r="D4475" s="65"/>
      <c r="E4475" s="65" t="s">
        <v>3364</v>
      </c>
      <c r="F4475" s="83">
        <v>0.3958333333333333</v>
      </c>
      <c r="G4475" s="83">
        <v>0.4895833333333333</v>
      </c>
      <c r="H4475" s="83">
        <v>0.09375</v>
      </c>
      <c r="I4475" s="84">
        <v>44480.0</v>
      </c>
      <c r="J4475" s="65" t="b">
        <v>0</v>
      </c>
      <c r="K4475" s="65" t="s">
        <v>150</v>
      </c>
      <c r="L4475" s="85" t="b">
        <f>IF(VLOOKUP(C4475,Projetos!A:L,12,false)=TRUE,TRUE,FALSE)</f>
        <v>0</v>
      </c>
      <c r="M4475" s="74">
        <v>52.1518759018759</v>
      </c>
      <c r="N4475" s="74">
        <f t="shared" si="1"/>
        <v>0</v>
      </c>
      <c r="O4475" s="74" t="b">
        <v>0</v>
      </c>
    </row>
    <row r="4476" hidden="1">
      <c r="A4476" s="82"/>
      <c r="B4476" s="65" t="s">
        <v>467</v>
      </c>
      <c r="C4476" s="65" t="s">
        <v>92</v>
      </c>
      <c r="D4476" s="65" t="str">
        <f>vlookup(C4476,'Classificação p pessoal'!F:G,2,false)</f>
        <v/>
      </c>
      <c r="E4476" s="65" t="s">
        <v>3365</v>
      </c>
      <c r="F4476" s="83">
        <v>0.5833333333333334</v>
      </c>
      <c r="G4476" s="83">
        <v>0.625</v>
      </c>
      <c r="H4476" s="83">
        <v>0.041666666666666664</v>
      </c>
      <c r="I4476" s="84">
        <v>44477.0</v>
      </c>
      <c r="J4476" s="65" t="b">
        <v>1</v>
      </c>
      <c r="K4476" s="65"/>
      <c r="L4476" s="85" t="b">
        <f>IF(VLOOKUP(C4476,Projetos!A:L,12,false)=TRUE,TRUE,FALSE)</f>
        <v>1</v>
      </c>
      <c r="M4476" s="74">
        <v>52.1518759018759</v>
      </c>
      <c r="N4476" s="74">
        <f t="shared" si="1"/>
        <v>52.1518759</v>
      </c>
      <c r="O4476" s="74" t="b">
        <v>1</v>
      </c>
    </row>
    <row r="4477" hidden="1">
      <c r="A4477" s="82"/>
      <c r="B4477" s="65" t="s">
        <v>467</v>
      </c>
      <c r="C4477" s="65" t="s">
        <v>92</v>
      </c>
      <c r="D4477" s="65" t="str">
        <f>vlookup(C4477,'Classificação p pessoal'!F:G,2,false)</f>
        <v/>
      </c>
      <c r="E4477" s="65" t="s">
        <v>3366</v>
      </c>
      <c r="F4477" s="83">
        <v>0.4895833333333333</v>
      </c>
      <c r="G4477" s="83">
        <v>0.5416666666666666</v>
      </c>
      <c r="H4477" s="83">
        <v>0.052083333333333336</v>
      </c>
      <c r="I4477" s="84">
        <v>44480.0</v>
      </c>
      <c r="J4477" s="65" t="b">
        <v>1</v>
      </c>
      <c r="K4477" s="65"/>
      <c r="L4477" s="85" t="b">
        <f>IF(VLOOKUP(C4477,Projetos!A:L,12,false)=TRUE,TRUE,FALSE)</f>
        <v>1</v>
      </c>
      <c r="M4477" s="74">
        <v>52.1518759018759</v>
      </c>
      <c r="N4477" s="74">
        <f t="shared" si="1"/>
        <v>65.18984488</v>
      </c>
      <c r="O4477" s="74" t="b">
        <v>1</v>
      </c>
    </row>
    <row r="4478" hidden="1">
      <c r="A4478" s="82"/>
      <c r="B4478" s="65" t="s">
        <v>467</v>
      </c>
      <c r="C4478" s="65" t="s">
        <v>92</v>
      </c>
      <c r="D4478" s="65" t="str">
        <f>vlookup(C4478,'Classificação p pessoal'!F:G,2,false)</f>
        <v/>
      </c>
      <c r="E4478" s="65" t="s">
        <v>3367</v>
      </c>
      <c r="F4478" s="83">
        <v>0.4791666666666667</v>
      </c>
      <c r="G4478" s="83">
        <v>0.5416666666666666</v>
      </c>
      <c r="H4478" s="83">
        <v>0.0625</v>
      </c>
      <c r="I4478" s="84">
        <v>44482.0</v>
      </c>
      <c r="J4478" s="65" t="b">
        <v>1</v>
      </c>
      <c r="K4478" s="65"/>
      <c r="L4478" s="85" t="b">
        <f>IF(VLOOKUP(C4478,Projetos!A:L,12,false)=TRUE,TRUE,FALSE)</f>
        <v>1</v>
      </c>
      <c r="M4478" s="74">
        <v>52.1518759018759</v>
      </c>
      <c r="N4478" s="74">
        <f t="shared" si="1"/>
        <v>78.22781385</v>
      </c>
      <c r="O4478" s="74" t="b">
        <v>1</v>
      </c>
    </row>
    <row r="4479" hidden="1">
      <c r="A4479" s="82"/>
      <c r="B4479" s="65" t="s">
        <v>467</v>
      </c>
      <c r="C4479" s="65" t="s">
        <v>88</v>
      </c>
      <c r="D4479" s="65" t="str">
        <f>vlookup(C4479,'Classificação p pessoal'!F:G,2,false)</f>
        <v>MProduto</v>
      </c>
      <c r="E4479" s="65" t="s">
        <v>3368</v>
      </c>
      <c r="F4479" s="83">
        <v>0.5833333333333334</v>
      </c>
      <c r="G4479" s="83">
        <v>0.625</v>
      </c>
      <c r="H4479" s="83">
        <v>0.041666666666666664</v>
      </c>
      <c r="I4479" s="84">
        <v>44482.0</v>
      </c>
      <c r="J4479" s="65" t="b">
        <v>1</v>
      </c>
      <c r="K4479" s="65"/>
      <c r="L4479" s="85" t="b">
        <f>IF(VLOOKUP(C4479,Projetos!A:L,12,false)=TRUE,TRUE,FALSE)</f>
        <v>1</v>
      </c>
      <c r="M4479" s="74">
        <v>52.1518759018759</v>
      </c>
      <c r="N4479" s="74">
        <f t="shared" si="1"/>
        <v>52.1518759</v>
      </c>
      <c r="O4479" s="74" t="b">
        <v>1</v>
      </c>
    </row>
    <row r="4480" hidden="1">
      <c r="A4480" s="82"/>
      <c r="B4480" s="65" t="s">
        <v>467</v>
      </c>
      <c r="C4480" s="65" t="s">
        <v>92</v>
      </c>
      <c r="D4480" s="65" t="str">
        <f>vlookup(C4480,'Classificação p pessoal'!F:G,2,false)</f>
        <v/>
      </c>
      <c r="E4480" s="65" t="s">
        <v>3369</v>
      </c>
      <c r="F4480" s="83">
        <v>0.3645833333333333</v>
      </c>
      <c r="G4480" s="83">
        <v>0.375</v>
      </c>
      <c r="H4480" s="83">
        <v>0.010416666666666666</v>
      </c>
      <c r="I4480" s="84">
        <v>44483.0</v>
      </c>
      <c r="J4480" s="65" t="b">
        <v>1</v>
      </c>
      <c r="K4480" s="65"/>
      <c r="L4480" s="85" t="b">
        <f>IF(VLOOKUP(C4480,Projetos!A:L,12,false)=TRUE,TRUE,FALSE)</f>
        <v>1</v>
      </c>
      <c r="M4480" s="74">
        <v>52.1518759018759</v>
      </c>
      <c r="N4480" s="74">
        <f t="shared" si="1"/>
        <v>13.03796898</v>
      </c>
      <c r="O4480" s="74" t="b">
        <v>1</v>
      </c>
    </row>
    <row r="4481" hidden="1">
      <c r="A4481" s="82"/>
      <c r="B4481" s="65" t="s">
        <v>467</v>
      </c>
      <c r="C4481" s="65" t="s">
        <v>92</v>
      </c>
      <c r="D4481" s="65" t="str">
        <f>vlookup(C4481,'Classificação p pessoal'!F:G,2,false)</f>
        <v/>
      </c>
      <c r="E4481" s="65" t="s">
        <v>3370</v>
      </c>
      <c r="F4481" s="83">
        <v>0.4375</v>
      </c>
      <c r="G4481" s="83">
        <v>0.5</v>
      </c>
      <c r="H4481" s="83">
        <v>0.0625</v>
      </c>
      <c r="I4481" s="84">
        <v>44483.0</v>
      </c>
      <c r="J4481" s="65" t="b">
        <v>1</v>
      </c>
      <c r="K4481" s="65"/>
      <c r="L4481" s="85" t="b">
        <f>IF(VLOOKUP(C4481,Projetos!A:L,12,false)=TRUE,TRUE,FALSE)</f>
        <v>1</v>
      </c>
      <c r="M4481" s="74">
        <v>52.1518759018759</v>
      </c>
      <c r="N4481" s="74">
        <f t="shared" si="1"/>
        <v>78.22781385</v>
      </c>
      <c r="O4481" s="74" t="b">
        <v>1</v>
      </c>
    </row>
    <row r="4482" hidden="1">
      <c r="A4482" s="82"/>
      <c r="B4482" s="65" t="s">
        <v>467</v>
      </c>
      <c r="C4482" s="65" t="s">
        <v>121</v>
      </c>
      <c r="D4482" s="65" t="str">
        <f>vlookup(C4482,'Classificação p pessoal'!F:G,2,false)</f>
        <v>NP</v>
      </c>
      <c r="E4482" s="65" t="s">
        <v>3371</v>
      </c>
      <c r="F4482" s="83">
        <v>0.3541666666666667</v>
      </c>
      <c r="G4482" s="83">
        <v>0.3958333333333333</v>
      </c>
      <c r="H4482" s="83">
        <v>0.041666666666666664</v>
      </c>
      <c r="I4482" s="84">
        <v>44484.0</v>
      </c>
      <c r="J4482" s="65" t="b">
        <v>1</v>
      </c>
      <c r="K4482" s="65"/>
      <c r="L4482" s="85" t="b">
        <f>IF(VLOOKUP(C4482,Projetos!A:L,12,false)=TRUE,TRUE,FALSE)</f>
        <v>1</v>
      </c>
      <c r="M4482" s="74">
        <v>52.1518759018759</v>
      </c>
      <c r="N4482" s="74">
        <f t="shared" si="1"/>
        <v>52.1518759</v>
      </c>
      <c r="O4482" s="74" t="b">
        <v>1</v>
      </c>
    </row>
    <row r="4483" hidden="1">
      <c r="A4483" s="82"/>
      <c r="B4483" s="65" t="s">
        <v>467</v>
      </c>
      <c r="C4483" s="65" t="s">
        <v>121</v>
      </c>
      <c r="D4483" s="65" t="str">
        <f>vlookup(C4483,'Classificação p pessoal'!F:G,2,false)</f>
        <v>NP</v>
      </c>
      <c r="E4483" s="65" t="s">
        <v>3372</v>
      </c>
      <c r="F4483" s="83">
        <v>0.3958333333333333</v>
      </c>
      <c r="G4483" s="83">
        <v>0.4166666666666667</v>
      </c>
      <c r="H4483" s="83">
        <v>0.020833333333333332</v>
      </c>
      <c r="I4483" s="84">
        <v>44484.0</v>
      </c>
      <c r="J4483" s="65" t="b">
        <v>1</v>
      </c>
      <c r="K4483" s="65"/>
      <c r="L4483" s="85" t="b">
        <f>IF(VLOOKUP(C4483,Projetos!A:L,12,false)=TRUE,TRUE,FALSE)</f>
        <v>1</v>
      </c>
      <c r="M4483" s="74">
        <v>52.1518759018759</v>
      </c>
      <c r="N4483" s="74">
        <f t="shared" si="1"/>
        <v>26.07593795</v>
      </c>
      <c r="O4483" s="74" t="b">
        <v>1</v>
      </c>
    </row>
    <row r="4484" hidden="1">
      <c r="A4484" s="82"/>
      <c r="B4484" s="65" t="s">
        <v>467</v>
      </c>
      <c r="C4484" s="65" t="s">
        <v>120</v>
      </c>
      <c r="D4484" s="65"/>
      <c r="E4484" s="65" t="s">
        <v>3373</v>
      </c>
      <c r="F4484" s="83">
        <v>0.4375</v>
      </c>
      <c r="G4484" s="83">
        <v>0.5</v>
      </c>
      <c r="H4484" s="83">
        <v>0.0625</v>
      </c>
      <c r="I4484" s="84">
        <v>44484.0</v>
      </c>
      <c r="J4484" s="65" t="b">
        <v>0</v>
      </c>
      <c r="K4484" s="65" t="s">
        <v>150</v>
      </c>
      <c r="L4484" s="85" t="b">
        <f>IF(VLOOKUP(C4484,Projetos!A:L,12,false)=TRUE,TRUE,FALSE)</f>
        <v>0</v>
      </c>
      <c r="M4484" s="74">
        <v>52.1518759018759</v>
      </c>
      <c r="N4484" s="74">
        <f t="shared" si="1"/>
        <v>0</v>
      </c>
      <c r="O4484" s="74" t="b">
        <v>0</v>
      </c>
    </row>
    <row r="4485" hidden="1">
      <c r="A4485" s="82"/>
      <c r="B4485" s="65" t="s">
        <v>467</v>
      </c>
      <c r="C4485" s="65" t="s">
        <v>121</v>
      </c>
      <c r="D4485" s="65" t="str">
        <f>vlookup(C4485,'Classificação p pessoal'!F:G,2,false)</f>
        <v>NP</v>
      </c>
      <c r="E4485" s="65" t="s">
        <v>3374</v>
      </c>
      <c r="F4485" s="83">
        <v>0.3541666666666667</v>
      </c>
      <c r="G4485" s="83">
        <v>0.4166666666666667</v>
      </c>
      <c r="H4485" s="83">
        <v>0.0625</v>
      </c>
      <c r="I4485" s="84">
        <v>44487.0</v>
      </c>
      <c r="J4485" s="65" t="b">
        <v>1</v>
      </c>
      <c r="K4485" s="65"/>
      <c r="L4485" s="85" t="b">
        <f>IF(VLOOKUP(C4485,Projetos!A:L,12,false)=TRUE,TRUE,FALSE)</f>
        <v>1</v>
      </c>
      <c r="M4485" s="74">
        <v>52.1518759018759</v>
      </c>
      <c r="N4485" s="74">
        <f t="shared" si="1"/>
        <v>78.22781385</v>
      </c>
      <c r="O4485" s="74" t="b">
        <v>1</v>
      </c>
    </row>
    <row r="4486" hidden="1">
      <c r="A4486" s="82"/>
      <c r="B4486" s="65" t="s">
        <v>467</v>
      </c>
      <c r="C4486" s="65" t="s">
        <v>121</v>
      </c>
      <c r="D4486" s="65"/>
      <c r="E4486" s="65" t="s">
        <v>3375</v>
      </c>
      <c r="F4486" s="83">
        <v>0.4166666666666667</v>
      </c>
      <c r="G4486" s="83">
        <v>0.4583333333333333</v>
      </c>
      <c r="H4486" s="83">
        <v>0.041666666666666664</v>
      </c>
      <c r="I4486" s="84">
        <v>44487.0</v>
      </c>
      <c r="J4486" s="65" t="b">
        <v>0</v>
      </c>
      <c r="K4486" s="65" t="s">
        <v>150</v>
      </c>
      <c r="L4486" s="85" t="b">
        <f>IF(VLOOKUP(C4486,Projetos!A:L,12,false)=TRUE,TRUE,FALSE)</f>
        <v>1</v>
      </c>
      <c r="M4486" s="74">
        <v>52.1518759018759</v>
      </c>
      <c r="N4486" s="74">
        <f t="shared" si="1"/>
        <v>0</v>
      </c>
      <c r="O4486" s="74" t="b">
        <v>1</v>
      </c>
    </row>
    <row r="4487" hidden="1">
      <c r="A4487" s="82"/>
      <c r="B4487" s="65" t="s">
        <v>467</v>
      </c>
      <c r="C4487" s="65" t="s">
        <v>120</v>
      </c>
      <c r="D4487" s="65"/>
      <c r="E4487" s="65" t="s">
        <v>3376</v>
      </c>
      <c r="F4487" s="83">
        <v>0.5416666666666666</v>
      </c>
      <c r="G4487" s="83">
        <v>0.625</v>
      </c>
      <c r="H4487" s="83">
        <v>0.08333333333333333</v>
      </c>
      <c r="I4487" s="84">
        <v>44487.0</v>
      </c>
      <c r="J4487" s="65" t="b">
        <v>0</v>
      </c>
      <c r="K4487" s="65" t="s">
        <v>150</v>
      </c>
      <c r="L4487" s="85" t="b">
        <f>IF(VLOOKUP(C4487,Projetos!A:L,12,false)=TRUE,TRUE,FALSE)</f>
        <v>0</v>
      </c>
      <c r="M4487" s="74">
        <v>52.1518759018759</v>
      </c>
      <c r="N4487" s="74">
        <f t="shared" si="1"/>
        <v>0</v>
      </c>
      <c r="O4487" s="74" t="b">
        <v>0</v>
      </c>
    </row>
    <row r="4488" hidden="1">
      <c r="A4488" s="82"/>
      <c r="B4488" s="65" t="s">
        <v>177</v>
      </c>
      <c r="C4488" s="65" t="s">
        <v>100</v>
      </c>
      <c r="D4488" s="65"/>
      <c r="E4488" s="65" t="s">
        <v>3377</v>
      </c>
      <c r="F4488" s="83">
        <v>0.5208333333333334</v>
      </c>
      <c r="G4488" s="83">
        <v>0.5833333333333334</v>
      </c>
      <c r="H4488" s="83">
        <v>0.0625</v>
      </c>
      <c r="I4488" s="84">
        <v>44484.0</v>
      </c>
      <c r="J4488" s="65" t="b">
        <v>0</v>
      </c>
      <c r="K4488" s="65"/>
      <c r="L4488" s="85" t="b">
        <f>IF(VLOOKUP(C4488,Projetos!A:L,12,false)=TRUE,TRUE,FALSE)</f>
        <v>1</v>
      </c>
      <c r="M4488" s="74">
        <v>31.02923620430495</v>
      </c>
      <c r="N4488" s="74">
        <f t="shared" si="1"/>
        <v>0</v>
      </c>
      <c r="O4488" s="74" t="b">
        <v>1</v>
      </c>
    </row>
    <row r="4489" hidden="1">
      <c r="A4489" s="82"/>
      <c r="B4489" s="65" t="s">
        <v>467</v>
      </c>
      <c r="C4489" s="65" t="s">
        <v>121</v>
      </c>
      <c r="D4489" s="65" t="str">
        <f>vlookup(C4489,'Classificação p pessoal'!F:G,2,false)</f>
        <v>NP</v>
      </c>
      <c r="E4489" s="65" t="s">
        <v>3378</v>
      </c>
      <c r="F4489" s="83">
        <v>0.34375</v>
      </c>
      <c r="G4489" s="83">
        <v>0.75</v>
      </c>
      <c r="H4489" s="83">
        <v>0.40625</v>
      </c>
      <c r="I4489" s="84">
        <v>44491.0</v>
      </c>
      <c r="J4489" s="65" t="b">
        <v>1</v>
      </c>
      <c r="K4489" s="65"/>
      <c r="L4489" s="85" t="b">
        <f>IF(VLOOKUP(C4489,Projetos!A:L,12,false)=TRUE,TRUE,FALSE)</f>
        <v>1</v>
      </c>
      <c r="M4489" s="74">
        <v>52.1518759018759</v>
      </c>
      <c r="N4489" s="74">
        <f t="shared" si="1"/>
        <v>508.48079</v>
      </c>
      <c r="O4489" s="74" t="b">
        <v>1</v>
      </c>
    </row>
    <row r="4490" hidden="1">
      <c r="A4490" s="82"/>
      <c r="B4490" s="65" t="s">
        <v>467</v>
      </c>
      <c r="C4490" s="65" t="s">
        <v>121</v>
      </c>
      <c r="D4490" s="65" t="str">
        <f>vlookup(C4490,'Classificação p pessoal'!F:G,2,false)</f>
        <v>NP</v>
      </c>
      <c r="E4490" s="65" t="s">
        <v>3379</v>
      </c>
      <c r="F4490" s="83">
        <v>0.3541666666666667</v>
      </c>
      <c r="G4490" s="83">
        <v>0.4166666666666667</v>
      </c>
      <c r="H4490" s="83">
        <v>0.0625</v>
      </c>
      <c r="I4490" s="84">
        <v>44494.0</v>
      </c>
      <c r="J4490" s="65" t="b">
        <v>1</v>
      </c>
      <c r="K4490" s="65"/>
      <c r="L4490" s="85" t="b">
        <f>IF(VLOOKUP(C4490,Projetos!A:L,12,false)=TRUE,TRUE,FALSE)</f>
        <v>1</v>
      </c>
      <c r="M4490" s="74">
        <v>52.1518759018759</v>
      </c>
      <c r="N4490" s="74">
        <f t="shared" si="1"/>
        <v>78.22781385</v>
      </c>
      <c r="O4490" s="74" t="b">
        <v>1</v>
      </c>
    </row>
    <row r="4491" hidden="1">
      <c r="A4491" s="82"/>
      <c r="B4491" s="65" t="s">
        <v>467</v>
      </c>
      <c r="C4491" s="65" t="s">
        <v>121</v>
      </c>
      <c r="D4491" s="65" t="str">
        <f>vlookup(C4491,'Classificação p pessoal'!F:G,2,false)</f>
        <v>NP</v>
      </c>
      <c r="E4491" s="65" t="s">
        <v>3380</v>
      </c>
      <c r="F4491" s="83">
        <v>0.4375</v>
      </c>
      <c r="G4491" s="83">
        <v>0.7083333333333334</v>
      </c>
      <c r="H4491" s="83">
        <v>0.2708333333333333</v>
      </c>
      <c r="I4491" s="84">
        <v>44494.0</v>
      </c>
      <c r="J4491" s="65" t="b">
        <v>1</v>
      </c>
      <c r="K4491" s="65"/>
      <c r="L4491" s="85" t="b">
        <f>IF(VLOOKUP(C4491,Projetos!A:L,12,false)=TRUE,TRUE,FALSE)</f>
        <v>1</v>
      </c>
      <c r="M4491" s="74">
        <v>52.1518759018759</v>
      </c>
      <c r="N4491" s="74">
        <f t="shared" si="1"/>
        <v>338.9871934</v>
      </c>
      <c r="O4491" s="74" t="b">
        <v>1</v>
      </c>
    </row>
    <row r="4492" hidden="1">
      <c r="A4492" s="82"/>
      <c r="B4492" s="65" t="s">
        <v>467</v>
      </c>
      <c r="C4492" s="65" t="s">
        <v>120</v>
      </c>
      <c r="D4492" s="65"/>
      <c r="E4492" s="65" t="s">
        <v>3381</v>
      </c>
      <c r="F4492" s="83">
        <v>0.3541666666666667</v>
      </c>
      <c r="G4492" s="83">
        <v>0.4375</v>
      </c>
      <c r="H4492" s="83">
        <v>0.08333333333333333</v>
      </c>
      <c r="I4492" s="84">
        <v>44495.0</v>
      </c>
      <c r="J4492" s="65" t="b">
        <v>0</v>
      </c>
      <c r="K4492" s="65"/>
      <c r="L4492" s="85" t="b">
        <f>IF(VLOOKUP(C4492,Projetos!A:L,12,false)=TRUE,TRUE,FALSE)</f>
        <v>0</v>
      </c>
      <c r="M4492" s="74">
        <v>52.1518759018759</v>
      </c>
      <c r="N4492" s="74">
        <f t="shared" si="1"/>
        <v>0</v>
      </c>
      <c r="O4492" s="74" t="b">
        <v>0</v>
      </c>
    </row>
    <row r="4493" hidden="1">
      <c r="A4493" s="82"/>
      <c r="B4493" s="65" t="s">
        <v>467</v>
      </c>
      <c r="C4493" s="65" t="s">
        <v>120</v>
      </c>
      <c r="D4493" s="65"/>
      <c r="E4493" s="65" t="s">
        <v>3382</v>
      </c>
      <c r="F4493" s="83">
        <v>0.4375</v>
      </c>
      <c r="G4493" s="83">
        <v>0.4791666666666667</v>
      </c>
      <c r="H4493" s="83">
        <v>0.041666666666666664</v>
      </c>
      <c r="I4493" s="84">
        <v>44495.0</v>
      </c>
      <c r="J4493" s="65" t="b">
        <v>0</v>
      </c>
      <c r="K4493" s="65"/>
      <c r="L4493" s="85" t="b">
        <f>IF(VLOOKUP(C4493,Projetos!A:L,12,false)=TRUE,TRUE,FALSE)</f>
        <v>0</v>
      </c>
      <c r="M4493" s="74">
        <v>52.1518759018759</v>
      </c>
      <c r="N4493" s="74">
        <f t="shared" si="1"/>
        <v>0</v>
      </c>
      <c r="O4493" s="74" t="b">
        <v>0</v>
      </c>
    </row>
    <row r="4494" hidden="1">
      <c r="A4494" s="82"/>
      <c r="B4494" s="65" t="s">
        <v>467</v>
      </c>
      <c r="C4494" s="65" t="s">
        <v>121</v>
      </c>
      <c r="D4494" s="65" t="str">
        <f>vlookup(C4494,'Classificação p pessoal'!F:G,2,false)</f>
        <v>NP</v>
      </c>
      <c r="E4494" s="65" t="s">
        <v>3383</v>
      </c>
      <c r="F4494" s="83">
        <v>0.4791666666666667</v>
      </c>
      <c r="G4494" s="83">
        <v>0.5</v>
      </c>
      <c r="H4494" s="83">
        <v>0.020833333333333332</v>
      </c>
      <c r="I4494" s="84">
        <v>44495.0</v>
      </c>
      <c r="J4494" s="65" t="b">
        <v>1</v>
      </c>
      <c r="K4494" s="65"/>
      <c r="L4494" s="85" t="b">
        <f>IF(VLOOKUP(C4494,Projetos!A:L,12,false)=TRUE,TRUE,FALSE)</f>
        <v>1</v>
      </c>
      <c r="M4494" s="74">
        <v>52.1518759018759</v>
      </c>
      <c r="N4494" s="74">
        <f t="shared" si="1"/>
        <v>26.07593795</v>
      </c>
      <c r="O4494" s="74" t="b">
        <v>1</v>
      </c>
    </row>
    <row r="4495" hidden="1">
      <c r="A4495" s="82"/>
      <c r="B4495" s="65" t="s">
        <v>467</v>
      </c>
      <c r="C4495" s="65" t="s">
        <v>92</v>
      </c>
      <c r="D4495" s="65" t="str">
        <f>vlookup(C4495,'Classificação p pessoal'!F:G,2,false)</f>
        <v/>
      </c>
      <c r="E4495" s="65" t="s">
        <v>3384</v>
      </c>
      <c r="F4495" s="83">
        <v>0.5833333333333334</v>
      </c>
      <c r="G4495" s="83">
        <v>0.75</v>
      </c>
      <c r="H4495" s="83">
        <v>0.16666666666666666</v>
      </c>
      <c r="I4495" s="84">
        <v>44495.0</v>
      </c>
      <c r="J4495" s="65" t="b">
        <v>1</v>
      </c>
      <c r="K4495" s="65"/>
      <c r="L4495" s="85" t="b">
        <f>IF(VLOOKUP(C4495,Projetos!A:L,12,false)=TRUE,TRUE,FALSE)</f>
        <v>1</v>
      </c>
      <c r="M4495" s="74">
        <v>52.1518759018759</v>
      </c>
      <c r="N4495" s="74">
        <f t="shared" si="1"/>
        <v>208.6075036</v>
      </c>
      <c r="O4495" s="74" t="b">
        <v>1</v>
      </c>
    </row>
    <row r="4496" hidden="1">
      <c r="A4496" s="82"/>
      <c r="B4496" s="65" t="s">
        <v>467</v>
      </c>
      <c r="C4496" s="65" t="s">
        <v>92</v>
      </c>
      <c r="D4496" s="65" t="str">
        <f>vlookup(C4496,'Classificação p pessoal'!F:G,2,false)</f>
        <v/>
      </c>
      <c r="E4496" s="65" t="s">
        <v>3385</v>
      </c>
      <c r="F4496" s="83">
        <v>0.3541666666666667</v>
      </c>
      <c r="G4496" s="83">
        <v>0.4166666666666667</v>
      </c>
      <c r="H4496" s="83">
        <v>0.0625</v>
      </c>
      <c r="I4496" s="84">
        <v>44496.0</v>
      </c>
      <c r="J4496" s="65" t="b">
        <v>1</v>
      </c>
      <c r="K4496" s="65"/>
      <c r="L4496" s="85" t="b">
        <f>IF(VLOOKUP(C4496,Projetos!A:L,12,false)=TRUE,TRUE,FALSE)</f>
        <v>1</v>
      </c>
      <c r="M4496" s="74">
        <v>52.1518759018759</v>
      </c>
      <c r="N4496" s="74">
        <f t="shared" si="1"/>
        <v>78.22781385</v>
      </c>
      <c r="O4496" s="74" t="b">
        <v>1</v>
      </c>
    </row>
    <row r="4497" hidden="1">
      <c r="A4497" s="82"/>
      <c r="B4497" s="65" t="s">
        <v>467</v>
      </c>
      <c r="C4497" s="65" t="s">
        <v>120</v>
      </c>
      <c r="D4497" s="65"/>
      <c r="E4497" s="65" t="s">
        <v>3386</v>
      </c>
      <c r="F4497" s="83">
        <v>0.4375</v>
      </c>
      <c r="G4497" s="83">
        <v>0.5416666666666666</v>
      </c>
      <c r="H4497" s="83">
        <v>0.10416666666666667</v>
      </c>
      <c r="I4497" s="84">
        <v>44496.0</v>
      </c>
      <c r="J4497" s="65" t="b">
        <v>0</v>
      </c>
      <c r="K4497" s="65" t="s">
        <v>150</v>
      </c>
      <c r="L4497" s="85" t="b">
        <f>IF(VLOOKUP(C4497,Projetos!A:L,12,false)=TRUE,TRUE,FALSE)</f>
        <v>0</v>
      </c>
      <c r="M4497" s="74">
        <v>52.1518759018759</v>
      </c>
      <c r="N4497" s="74">
        <f t="shared" si="1"/>
        <v>0</v>
      </c>
      <c r="O4497" s="74" t="b">
        <v>0</v>
      </c>
    </row>
    <row r="4498" hidden="1">
      <c r="A4498" s="82"/>
      <c r="B4498" s="65" t="s">
        <v>467</v>
      </c>
      <c r="C4498" s="65" t="s">
        <v>120</v>
      </c>
      <c r="D4498" s="65"/>
      <c r="E4498" s="65" t="s">
        <v>3387</v>
      </c>
      <c r="F4498" s="83">
        <v>0.5833333333333334</v>
      </c>
      <c r="G4498" s="83">
        <v>0.625</v>
      </c>
      <c r="H4498" s="83">
        <v>0.041666666666666664</v>
      </c>
      <c r="I4498" s="84">
        <v>44496.0</v>
      </c>
      <c r="J4498" s="65" t="b">
        <v>0</v>
      </c>
      <c r="K4498" s="65"/>
      <c r="L4498" s="85" t="b">
        <f>IF(VLOOKUP(C4498,Projetos!A:L,12,false)=TRUE,TRUE,FALSE)</f>
        <v>0</v>
      </c>
      <c r="M4498" s="74">
        <v>52.1518759018759</v>
      </c>
      <c r="N4498" s="74">
        <f t="shared" si="1"/>
        <v>0</v>
      </c>
      <c r="O4498" s="74" t="b">
        <v>0</v>
      </c>
    </row>
    <row r="4499" hidden="1">
      <c r="A4499" s="82"/>
      <c r="B4499" s="65" t="s">
        <v>467</v>
      </c>
      <c r="C4499" s="65" t="s">
        <v>121</v>
      </c>
      <c r="D4499" s="65" t="str">
        <f>vlookup(C4499,'Classificação p pessoal'!F:G,2,false)</f>
        <v>NP</v>
      </c>
      <c r="E4499" s="65" t="s">
        <v>3388</v>
      </c>
      <c r="F4499" s="83">
        <v>0.625</v>
      </c>
      <c r="G4499" s="83">
        <v>0.75</v>
      </c>
      <c r="H4499" s="83">
        <v>0.125</v>
      </c>
      <c r="I4499" s="84">
        <v>44496.0</v>
      </c>
      <c r="J4499" s="65" t="b">
        <v>1</v>
      </c>
      <c r="K4499" s="65"/>
      <c r="L4499" s="85" t="b">
        <f>IF(VLOOKUP(C4499,Projetos!A:L,12,false)=TRUE,TRUE,FALSE)</f>
        <v>1</v>
      </c>
      <c r="M4499" s="74">
        <v>52.1518759018759</v>
      </c>
      <c r="N4499" s="74">
        <f t="shared" si="1"/>
        <v>156.4556277</v>
      </c>
      <c r="O4499" s="74" t="b">
        <v>1</v>
      </c>
    </row>
    <row r="4500" hidden="1">
      <c r="A4500" s="82"/>
      <c r="B4500" s="65" t="s">
        <v>467</v>
      </c>
      <c r="C4500" s="65" t="s">
        <v>121</v>
      </c>
      <c r="D4500" s="65" t="str">
        <f>vlookup(C4500,'Classificação p pessoal'!F:G,2,false)</f>
        <v>NP</v>
      </c>
      <c r="E4500" s="65" t="s">
        <v>3389</v>
      </c>
      <c r="F4500" s="83">
        <v>0.3333333333333333</v>
      </c>
      <c r="G4500" s="83">
        <v>0.75</v>
      </c>
      <c r="H4500" s="83">
        <v>0.4166666666666667</v>
      </c>
      <c r="I4500" s="84">
        <v>44497.0</v>
      </c>
      <c r="J4500" s="65" t="b">
        <v>1</v>
      </c>
      <c r="K4500" s="65"/>
      <c r="L4500" s="85" t="b">
        <f>IF(VLOOKUP(C4500,Projetos!A:L,12,false)=TRUE,TRUE,FALSE)</f>
        <v>1</v>
      </c>
      <c r="M4500" s="74">
        <v>52.1518759018759</v>
      </c>
      <c r="N4500" s="74">
        <f t="shared" si="1"/>
        <v>521.518759</v>
      </c>
      <c r="O4500" s="74" t="b">
        <v>1</v>
      </c>
    </row>
    <row r="4501" hidden="1">
      <c r="A4501" s="82"/>
      <c r="B4501" s="65" t="s">
        <v>467</v>
      </c>
      <c r="C4501" s="65" t="s">
        <v>130</v>
      </c>
      <c r="D4501" s="65" t="str">
        <f>vlookup(C4501,'Classificação p pessoal'!F:G,2,false)</f>
        <v>NP</v>
      </c>
      <c r="E4501" s="65" t="s">
        <v>3390</v>
      </c>
      <c r="F4501" s="83">
        <v>0.3333333333333333</v>
      </c>
      <c r="G4501" s="83">
        <v>0.75</v>
      </c>
      <c r="H4501" s="83">
        <v>0.4166666666666667</v>
      </c>
      <c r="I4501" s="84">
        <v>44498.0</v>
      </c>
      <c r="J4501" s="65" t="b">
        <v>1</v>
      </c>
      <c r="K4501" s="65"/>
      <c r="L4501" s="85" t="b">
        <f>IF(VLOOKUP(C4501,Projetos!A:L,12,false)=TRUE,TRUE,FALSE)</f>
        <v>1</v>
      </c>
      <c r="M4501" s="74">
        <v>52.1518759018759</v>
      </c>
      <c r="N4501" s="74">
        <f t="shared" si="1"/>
        <v>521.518759</v>
      </c>
      <c r="O4501" s="74" t="b">
        <v>1</v>
      </c>
    </row>
    <row r="4502" hidden="1">
      <c r="A4502" s="82"/>
      <c r="B4502" s="65" t="s">
        <v>467</v>
      </c>
      <c r="C4502" s="65" t="s">
        <v>106</v>
      </c>
      <c r="D4502" s="65" t="str">
        <f>vlookup(C4502,'Classificação p pessoal'!F:G,2,false)</f>
        <v>MProcesso</v>
      </c>
      <c r="E4502" s="65" t="s">
        <v>3391</v>
      </c>
      <c r="F4502" s="83">
        <v>0.375</v>
      </c>
      <c r="G4502" s="83">
        <v>0.4166666666666667</v>
      </c>
      <c r="H4502" s="83">
        <v>0.041666666666666664</v>
      </c>
      <c r="I4502" s="84">
        <v>44501.0</v>
      </c>
      <c r="J4502" s="65" t="b">
        <v>1</v>
      </c>
      <c r="K4502" s="65"/>
      <c r="L4502" s="85" t="b">
        <f>IF(VLOOKUP(C4502,Projetos!A:L,12,false)=TRUE,TRUE,FALSE)</f>
        <v>1</v>
      </c>
      <c r="M4502" s="74">
        <v>52.1518759018759</v>
      </c>
      <c r="N4502" s="74">
        <f t="shared" si="1"/>
        <v>52.1518759</v>
      </c>
      <c r="O4502" s="74" t="b">
        <v>1</v>
      </c>
    </row>
    <row r="4503" hidden="1">
      <c r="A4503" s="82"/>
      <c r="B4503" s="65" t="s">
        <v>467</v>
      </c>
      <c r="C4503" s="65" t="s">
        <v>106</v>
      </c>
      <c r="D4503" s="65" t="str">
        <f>vlookup(C4503,'Classificação p pessoal'!F:G,2,false)</f>
        <v>MProcesso</v>
      </c>
      <c r="E4503" s="65" t="s">
        <v>3392</v>
      </c>
      <c r="F4503" s="83">
        <v>0.4166666666666667</v>
      </c>
      <c r="G4503" s="83">
        <v>0.4375</v>
      </c>
      <c r="H4503" s="83">
        <v>0.020833333333333332</v>
      </c>
      <c r="I4503" s="84">
        <v>44501.0</v>
      </c>
      <c r="J4503" s="65" t="b">
        <v>1</v>
      </c>
      <c r="K4503" s="65"/>
      <c r="L4503" s="85" t="b">
        <f>IF(VLOOKUP(C4503,Projetos!A:L,12,false)=TRUE,TRUE,FALSE)</f>
        <v>1</v>
      </c>
      <c r="M4503" s="74">
        <v>52.1518759018759</v>
      </c>
      <c r="N4503" s="74">
        <f t="shared" si="1"/>
        <v>26.07593795</v>
      </c>
      <c r="O4503" s="74" t="b">
        <v>1</v>
      </c>
    </row>
    <row r="4504" hidden="1">
      <c r="A4504" s="82"/>
      <c r="B4504" s="65" t="s">
        <v>467</v>
      </c>
      <c r="C4504" s="65" t="s">
        <v>120</v>
      </c>
      <c r="D4504" s="65"/>
      <c r="E4504" s="65" t="s">
        <v>3393</v>
      </c>
      <c r="F4504" s="83">
        <v>0.5833333333333334</v>
      </c>
      <c r="G4504" s="83">
        <v>0.6666666666666666</v>
      </c>
      <c r="H4504" s="83">
        <v>0.08333333333333333</v>
      </c>
      <c r="I4504" s="84">
        <v>44501.0</v>
      </c>
      <c r="J4504" s="65" t="b">
        <v>0</v>
      </c>
      <c r="K4504" s="65" t="s">
        <v>150</v>
      </c>
      <c r="L4504" s="85" t="b">
        <f>IF(VLOOKUP(C4504,Projetos!A:L,12,false)=TRUE,TRUE,FALSE)</f>
        <v>0</v>
      </c>
      <c r="M4504" s="74">
        <v>52.1518759018759</v>
      </c>
      <c r="N4504" s="74">
        <f t="shared" si="1"/>
        <v>0</v>
      </c>
      <c r="O4504" s="74" t="b">
        <v>0</v>
      </c>
    </row>
    <row r="4505" hidden="1">
      <c r="A4505" s="82"/>
      <c r="B4505" s="65" t="s">
        <v>467</v>
      </c>
      <c r="C4505" s="65" t="s">
        <v>113</v>
      </c>
      <c r="D4505" s="65" t="str">
        <f>vlookup(C4505,'Classificação p pessoal'!F:G,2,false)</f>
        <v>NP</v>
      </c>
      <c r="E4505" s="65" t="s">
        <v>3394</v>
      </c>
      <c r="F4505" s="83">
        <v>0.375</v>
      </c>
      <c r="G4505" s="83">
        <v>0.4166666666666667</v>
      </c>
      <c r="H4505" s="83">
        <v>0.041666666666666664</v>
      </c>
      <c r="I4505" s="84">
        <v>44503.0</v>
      </c>
      <c r="J4505" s="65" t="b">
        <v>1</v>
      </c>
      <c r="K4505" s="65"/>
      <c r="L4505" s="85" t="b">
        <f>IF(VLOOKUP(C4505,Projetos!A:L,12,false)=TRUE,TRUE,FALSE)</f>
        <v>1</v>
      </c>
      <c r="M4505" s="74">
        <v>52.1518759018759</v>
      </c>
      <c r="N4505" s="74">
        <f t="shared" si="1"/>
        <v>52.1518759</v>
      </c>
      <c r="O4505" s="74" t="b">
        <v>1</v>
      </c>
    </row>
    <row r="4506" hidden="1">
      <c r="A4506" s="82"/>
      <c r="B4506" s="65" t="s">
        <v>467</v>
      </c>
      <c r="C4506" s="65" t="s">
        <v>106</v>
      </c>
      <c r="D4506" s="65" t="str">
        <f>vlookup(C4506,'Classificação p pessoal'!F:G,2,false)</f>
        <v>MProcesso</v>
      </c>
      <c r="E4506" s="65" t="s">
        <v>3395</v>
      </c>
      <c r="F4506" s="83">
        <v>0.34375</v>
      </c>
      <c r="G4506" s="83">
        <v>0.375</v>
      </c>
      <c r="H4506" s="83">
        <v>0.03125</v>
      </c>
      <c r="I4506" s="84">
        <v>44503.0</v>
      </c>
      <c r="J4506" s="65" t="b">
        <v>1</v>
      </c>
      <c r="K4506" s="65"/>
      <c r="L4506" s="85" t="b">
        <f>IF(VLOOKUP(C4506,Projetos!A:L,12,false)=TRUE,TRUE,FALSE)</f>
        <v>1</v>
      </c>
      <c r="M4506" s="74">
        <v>52.1518759018759</v>
      </c>
      <c r="N4506" s="74">
        <f t="shared" si="1"/>
        <v>39.11390693</v>
      </c>
      <c r="O4506" s="74" t="b">
        <v>1</v>
      </c>
    </row>
    <row r="4507" hidden="1">
      <c r="A4507" s="82"/>
      <c r="B4507" s="65" t="s">
        <v>467</v>
      </c>
      <c r="C4507" s="65" t="s">
        <v>92</v>
      </c>
      <c r="D4507" s="65"/>
      <c r="E4507" s="65" t="s">
        <v>3396</v>
      </c>
      <c r="F4507" s="83">
        <v>0.4166666666666667</v>
      </c>
      <c r="G4507" s="83">
        <v>0.5</v>
      </c>
      <c r="H4507" s="83">
        <v>0.08333333333333333</v>
      </c>
      <c r="I4507" s="84">
        <v>44503.0</v>
      </c>
      <c r="J4507" s="65" t="b">
        <v>0</v>
      </c>
      <c r="K4507" s="65" t="s">
        <v>150</v>
      </c>
      <c r="L4507" s="85" t="b">
        <f>IF(VLOOKUP(C4507,Projetos!A:L,12,false)=TRUE,TRUE,FALSE)</f>
        <v>1</v>
      </c>
      <c r="M4507" s="74">
        <v>52.1518759018759</v>
      </c>
      <c r="N4507" s="74">
        <f t="shared" si="1"/>
        <v>0</v>
      </c>
      <c r="O4507" s="74" t="b">
        <v>1</v>
      </c>
    </row>
    <row r="4508" hidden="1">
      <c r="A4508" s="82"/>
      <c r="B4508" s="65" t="s">
        <v>467</v>
      </c>
      <c r="C4508" s="65" t="s">
        <v>92</v>
      </c>
      <c r="D4508" s="65" t="str">
        <f>vlookup(C4508,'Classificação p pessoal'!F:G,2,false)</f>
        <v/>
      </c>
      <c r="E4508" s="65" t="s">
        <v>3397</v>
      </c>
      <c r="F4508" s="83">
        <v>0.5</v>
      </c>
      <c r="G4508" s="83">
        <v>0.5208333333333334</v>
      </c>
      <c r="H4508" s="83">
        <v>0.020833333333333332</v>
      </c>
      <c r="I4508" s="84">
        <v>44503.0</v>
      </c>
      <c r="J4508" s="65" t="b">
        <v>1</v>
      </c>
      <c r="K4508" s="65"/>
      <c r="L4508" s="85" t="b">
        <f>IF(VLOOKUP(C4508,Projetos!A:L,12,false)=TRUE,TRUE,FALSE)</f>
        <v>1</v>
      </c>
      <c r="M4508" s="74">
        <v>52.1518759018759</v>
      </c>
      <c r="N4508" s="74">
        <f t="shared" si="1"/>
        <v>26.07593795</v>
      </c>
      <c r="O4508" s="74" t="b">
        <v>1</v>
      </c>
    </row>
    <row r="4509" hidden="1">
      <c r="A4509" s="82"/>
      <c r="B4509" s="65" t="s">
        <v>467</v>
      </c>
      <c r="C4509" s="65" t="s">
        <v>121</v>
      </c>
      <c r="D4509" s="65" t="str">
        <f>vlookup(C4509,'Classificação p pessoal'!F:G,2,false)</f>
        <v>NP</v>
      </c>
      <c r="E4509" s="65" t="s">
        <v>3398</v>
      </c>
      <c r="F4509" s="83">
        <v>0.375</v>
      </c>
      <c r="G4509" s="83">
        <v>0.4583333333333333</v>
      </c>
      <c r="H4509" s="83">
        <v>0.08333333333333333</v>
      </c>
      <c r="I4509" s="84">
        <v>44504.0</v>
      </c>
      <c r="J4509" s="65" t="b">
        <v>1</v>
      </c>
      <c r="K4509" s="65"/>
      <c r="L4509" s="85" t="b">
        <f>IF(VLOOKUP(C4509,Projetos!A:L,12,false)=TRUE,TRUE,FALSE)</f>
        <v>1</v>
      </c>
      <c r="M4509" s="74">
        <v>52.1518759018759</v>
      </c>
      <c r="N4509" s="74">
        <f t="shared" si="1"/>
        <v>104.3037518</v>
      </c>
      <c r="O4509" s="74" t="b">
        <v>1</v>
      </c>
    </row>
    <row r="4510" hidden="1">
      <c r="A4510" s="82"/>
      <c r="B4510" s="65" t="s">
        <v>467</v>
      </c>
      <c r="C4510" s="65" t="s">
        <v>130</v>
      </c>
      <c r="D4510" s="65" t="str">
        <f>vlookup(C4510,'Classificação p pessoal'!F:G,2,false)</f>
        <v>NP</v>
      </c>
      <c r="E4510" s="65" t="s">
        <v>3399</v>
      </c>
      <c r="F4510" s="83">
        <v>0.4583333333333333</v>
      </c>
      <c r="G4510" s="83">
        <v>0.5208333333333334</v>
      </c>
      <c r="H4510" s="83">
        <v>0.0625</v>
      </c>
      <c r="I4510" s="84">
        <v>44504.0</v>
      </c>
      <c r="J4510" s="65" t="b">
        <v>1</v>
      </c>
      <c r="K4510" s="65"/>
      <c r="L4510" s="85" t="b">
        <f>IF(VLOOKUP(C4510,Projetos!A:L,12,false)=TRUE,TRUE,FALSE)</f>
        <v>1</v>
      </c>
      <c r="M4510" s="74">
        <v>52.1518759018759</v>
      </c>
      <c r="N4510" s="74">
        <f t="shared" si="1"/>
        <v>78.22781385</v>
      </c>
      <c r="O4510" s="74" t="b">
        <v>1</v>
      </c>
    </row>
    <row r="4511" hidden="1">
      <c r="A4511" s="82"/>
      <c r="B4511" s="65" t="s">
        <v>467</v>
      </c>
      <c r="C4511" s="65" t="s">
        <v>130</v>
      </c>
      <c r="D4511" s="65" t="str">
        <f>vlookup(C4511,'Classificação p pessoal'!F:G,2,false)</f>
        <v>NP</v>
      </c>
      <c r="E4511" s="65" t="s">
        <v>3400</v>
      </c>
      <c r="F4511" s="83">
        <v>0.5833333333333334</v>
      </c>
      <c r="G4511" s="83">
        <v>0.6666666666666666</v>
      </c>
      <c r="H4511" s="83">
        <v>0.08333333333333333</v>
      </c>
      <c r="I4511" s="84">
        <v>44504.0</v>
      </c>
      <c r="J4511" s="65" t="b">
        <v>1</v>
      </c>
      <c r="K4511" s="65"/>
      <c r="L4511" s="85" t="b">
        <f>IF(VLOOKUP(C4511,Projetos!A:L,12,false)=TRUE,TRUE,FALSE)</f>
        <v>1</v>
      </c>
      <c r="M4511" s="74">
        <v>52.1518759018759</v>
      </c>
      <c r="N4511" s="74">
        <f t="shared" si="1"/>
        <v>104.3037518</v>
      </c>
      <c r="O4511" s="74" t="b">
        <v>1</v>
      </c>
    </row>
    <row r="4512" hidden="1">
      <c r="A4512" s="82"/>
      <c r="B4512" s="65" t="s">
        <v>467</v>
      </c>
      <c r="C4512" s="65" t="s">
        <v>130</v>
      </c>
      <c r="D4512" s="65" t="str">
        <f>vlookup(C4512,'Classificação p pessoal'!F:G,2,false)</f>
        <v>NP</v>
      </c>
      <c r="E4512" s="65" t="s">
        <v>3401</v>
      </c>
      <c r="F4512" s="83">
        <v>0.5833333333333334</v>
      </c>
      <c r="G4512" s="83">
        <v>0.625</v>
      </c>
      <c r="H4512" s="83">
        <v>0.041666666666666664</v>
      </c>
      <c r="I4512" s="84">
        <v>44503.0</v>
      </c>
      <c r="J4512" s="65" t="b">
        <v>1</v>
      </c>
      <c r="K4512" s="65"/>
      <c r="L4512" s="85" t="b">
        <f>IF(VLOOKUP(C4512,Projetos!A:L,12,false)=TRUE,TRUE,FALSE)</f>
        <v>1</v>
      </c>
      <c r="M4512" s="74">
        <v>52.1518759018759</v>
      </c>
      <c r="N4512" s="74">
        <f t="shared" si="1"/>
        <v>52.1518759</v>
      </c>
      <c r="O4512" s="74" t="b">
        <v>1</v>
      </c>
    </row>
    <row r="4513" hidden="1">
      <c r="A4513" s="82"/>
      <c r="B4513" s="65" t="s">
        <v>467</v>
      </c>
      <c r="C4513" s="65" t="s">
        <v>106</v>
      </c>
      <c r="D4513" s="65"/>
      <c r="E4513" s="65" t="s">
        <v>3402</v>
      </c>
      <c r="F4513" s="83">
        <v>0.34375</v>
      </c>
      <c r="G4513" s="83">
        <v>0.375</v>
      </c>
      <c r="H4513" s="83">
        <v>0.03125</v>
      </c>
      <c r="I4513" s="84">
        <v>44505.0</v>
      </c>
      <c r="J4513" s="65" t="b">
        <v>0</v>
      </c>
      <c r="K4513" s="65" t="s">
        <v>150</v>
      </c>
      <c r="L4513" s="85" t="b">
        <f>IF(VLOOKUP(C4513,Projetos!A:L,12,false)=TRUE,TRUE,FALSE)</f>
        <v>1</v>
      </c>
      <c r="M4513" s="74">
        <v>52.1518759018759</v>
      </c>
      <c r="N4513" s="74">
        <f t="shared" si="1"/>
        <v>0</v>
      </c>
      <c r="O4513" s="74" t="b">
        <v>1</v>
      </c>
    </row>
    <row r="4514" hidden="1">
      <c r="A4514" s="82"/>
      <c r="B4514" s="65" t="s">
        <v>177</v>
      </c>
      <c r="C4514" s="65" t="s">
        <v>106</v>
      </c>
      <c r="D4514" s="65"/>
      <c r="E4514" s="65" t="s">
        <v>3403</v>
      </c>
      <c r="F4514" s="83">
        <v>0.3541666666666667</v>
      </c>
      <c r="G4514" s="83">
        <v>0.5208333333333334</v>
      </c>
      <c r="H4514" s="83">
        <v>0.16666666666666666</v>
      </c>
      <c r="I4514" s="84">
        <v>44484.0</v>
      </c>
      <c r="J4514" s="65" t="b">
        <v>0</v>
      </c>
      <c r="K4514" s="65"/>
      <c r="L4514" s="85" t="b">
        <f>IF(VLOOKUP(C4514,Projetos!A:L,12,false)=TRUE,TRUE,FALSE)</f>
        <v>1</v>
      </c>
      <c r="M4514" s="74">
        <v>31.02923620430495</v>
      </c>
      <c r="N4514" s="74">
        <f t="shared" si="1"/>
        <v>0</v>
      </c>
      <c r="O4514" s="74" t="b">
        <v>1</v>
      </c>
    </row>
    <row r="4515" hidden="1">
      <c r="A4515" s="82"/>
      <c r="B4515" s="65" t="s">
        <v>467</v>
      </c>
      <c r="C4515" s="65" t="s">
        <v>106</v>
      </c>
      <c r="D4515" s="65" t="str">
        <f>vlookup(C4515,'Classificação p pessoal'!F:G,2,false)</f>
        <v>MProcesso</v>
      </c>
      <c r="E4515" s="65" t="s">
        <v>3404</v>
      </c>
      <c r="F4515" s="83">
        <v>0.4583333333333333</v>
      </c>
      <c r="G4515" s="83">
        <v>0.4791666666666667</v>
      </c>
      <c r="H4515" s="83">
        <v>0.020833333333333332</v>
      </c>
      <c r="I4515" s="84">
        <v>44505.0</v>
      </c>
      <c r="J4515" s="65" t="b">
        <v>1</v>
      </c>
      <c r="K4515" s="65"/>
      <c r="L4515" s="85" t="b">
        <f>IF(VLOOKUP(C4515,Projetos!A:L,12,false)=TRUE,TRUE,FALSE)</f>
        <v>1</v>
      </c>
      <c r="M4515" s="74">
        <v>52.1518759018759</v>
      </c>
      <c r="N4515" s="74">
        <f t="shared" si="1"/>
        <v>26.07593795</v>
      </c>
      <c r="O4515" s="74" t="b">
        <v>1</v>
      </c>
    </row>
    <row r="4516" hidden="1">
      <c r="A4516" s="82"/>
      <c r="B4516" s="65" t="s">
        <v>467</v>
      </c>
      <c r="C4516" s="65" t="s">
        <v>92</v>
      </c>
      <c r="D4516" s="65" t="str">
        <f>vlookup(C4516,'Classificação p pessoal'!F:G,2,false)</f>
        <v/>
      </c>
      <c r="E4516" s="65" t="s">
        <v>3405</v>
      </c>
      <c r="F4516" s="83">
        <v>0.4791666666666667</v>
      </c>
      <c r="G4516" s="83">
        <v>0.5</v>
      </c>
      <c r="H4516" s="83">
        <v>0.020833333333333332</v>
      </c>
      <c r="I4516" s="84">
        <v>44505.0</v>
      </c>
      <c r="J4516" s="65" t="b">
        <v>1</v>
      </c>
      <c r="K4516" s="65"/>
      <c r="L4516" s="85" t="b">
        <f>IF(VLOOKUP(C4516,Projetos!A:L,12,false)=TRUE,TRUE,FALSE)</f>
        <v>1</v>
      </c>
      <c r="M4516" s="74">
        <v>52.1518759018759</v>
      </c>
      <c r="N4516" s="74">
        <f t="shared" si="1"/>
        <v>26.07593795</v>
      </c>
      <c r="O4516" s="74" t="b">
        <v>1</v>
      </c>
    </row>
    <row r="4517" hidden="1">
      <c r="A4517" s="82"/>
      <c r="B4517" s="65" t="s">
        <v>467</v>
      </c>
      <c r="C4517" s="65" t="s">
        <v>130</v>
      </c>
      <c r="D4517" s="65" t="str">
        <f>vlookup(C4517,'Classificação p pessoal'!F:G,2,false)</f>
        <v>NP</v>
      </c>
      <c r="E4517" s="65" t="s">
        <v>3406</v>
      </c>
      <c r="F4517" s="83">
        <v>0.5833333333333334</v>
      </c>
      <c r="G4517" s="83">
        <v>0.625</v>
      </c>
      <c r="H4517" s="83">
        <v>0.041666666666666664</v>
      </c>
      <c r="I4517" s="84">
        <v>44505.0</v>
      </c>
      <c r="J4517" s="65" t="b">
        <v>1</v>
      </c>
      <c r="K4517" s="65"/>
      <c r="L4517" s="85" t="b">
        <f>IF(VLOOKUP(C4517,Projetos!A:L,12,false)=TRUE,TRUE,FALSE)</f>
        <v>1</v>
      </c>
      <c r="M4517" s="74">
        <v>52.1518759018759</v>
      </c>
      <c r="N4517" s="74">
        <f t="shared" si="1"/>
        <v>52.1518759</v>
      </c>
      <c r="O4517" s="74" t="b">
        <v>1</v>
      </c>
    </row>
    <row r="4518" hidden="1">
      <c r="A4518" s="82"/>
      <c r="B4518" s="65" t="s">
        <v>467</v>
      </c>
      <c r="C4518" s="65" t="s">
        <v>121</v>
      </c>
      <c r="D4518" s="65" t="str">
        <f>vlookup(C4518,'Classificação p pessoal'!F:G,2,false)</f>
        <v>NP</v>
      </c>
      <c r="E4518" s="65" t="s">
        <v>3407</v>
      </c>
      <c r="F4518" s="83">
        <v>0.625</v>
      </c>
      <c r="G4518" s="83">
        <v>0.6458333333333334</v>
      </c>
      <c r="H4518" s="83">
        <v>0.020833333333333332</v>
      </c>
      <c r="I4518" s="84">
        <v>44505.0</v>
      </c>
      <c r="J4518" s="65" t="b">
        <v>1</v>
      </c>
      <c r="K4518" s="65"/>
      <c r="L4518" s="85" t="b">
        <f>IF(VLOOKUP(C4518,Projetos!A:L,12,false)=TRUE,TRUE,FALSE)</f>
        <v>1</v>
      </c>
      <c r="M4518" s="74">
        <v>52.1518759018759</v>
      </c>
      <c r="N4518" s="74">
        <f t="shared" si="1"/>
        <v>26.07593795</v>
      </c>
      <c r="O4518" s="74" t="b">
        <v>1</v>
      </c>
    </row>
    <row r="4519" hidden="1">
      <c r="A4519" s="82"/>
      <c r="B4519" s="65" t="s">
        <v>467</v>
      </c>
      <c r="C4519" s="65" t="s">
        <v>92</v>
      </c>
      <c r="D4519" s="65" t="str">
        <f>vlookup(C4519,'Classificação p pessoal'!F:G,2,false)</f>
        <v/>
      </c>
      <c r="E4519" s="65" t="s">
        <v>3408</v>
      </c>
      <c r="F4519" s="83">
        <v>0.6458333333333334</v>
      </c>
      <c r="G4519" s="83">
        <v>0.6666666666666666</v>
      </c>
      <c r="H4519" s="83">
        <v>0.020833333333333332</v>
      </c>
      <c r="I4519" s="84">
        <v>44505.0</v>
      </c>
      <c r="J4519" s="65" t="b">
        <v>1</v>
      </c>
      <c r="K4519" s="65"/>
      <c r="L4519" s="85" t="b">
        <f>IF(VLOOKUP(C4519,Projetos!A:L,12,false)=TRUE,TRUE,FALSE)</f>
        <v>1</v>
      </c>
      <c r="M4519" s="74">
        <v>52.1518759018759</v>
      </c>
      <c r="N4519" s="74">
        <f t="shared" si="1"/>
        <v>26.07593795</v>
      </c>
      <c r="O4519" s="74" t="b">
        <v>1</v>
      </c>
    </row>
    <row r="4520" hidden="1">
      <c r="A4520" s="82"/>
      <c r="B4520" s="65" t="s">
        <v>467</v>
      </c>
      <c r="C4520" s="65" t="s">
        <v>120</v>
      </c>
      <c r="D4520" s="65"/>
      <c r="E4520" s="65" t="s">
        <v>3409</v>
      </c>
      <c r="F4520" s="83">
        <v>0.3472222222222222</v>
      </c>
      <c r="G4520" s="83">
        <v>0.5</v>
      </c>
      <c r="H4520" s="83">
        <v>0.1527777777777778</v>
      </c>
      <c r="I4520" s="84">
        <v>44508.0</v>
      </c>
      <c r="J4520" s="65" t="b">
        <v>0</v>
      </c>
      <c r="K4520" s="65" t="s">
        <v>150</v>
      </c>
      <c r="L4520" s="85" t="b">
        <f>IF(VLOOKUP(C4520,Projetos!A:L,12,false)=TRUE,TRUE,FALSE)</f>
        <v>0</v>
      </c>
      <c r="M4520" s="74">
        <v>52.1518759018759</v>
      </c>
      <c r="N4520" s="74">
        <f t="shared" si="1"/>
        <v>0</v>
      </c>
      <c r="O4520" s="74" t="b">
        <v>0</v>
      </c>
    </row>
    <row r="4521" hidden="1">
      <c r="A4521" s="82"/>
      <c r="B4521" s="65" t="s">
        <v>467</v>
      </c>
      <c r="C4521" s="65" t="s">
        <v>106</v>
      </c>
      <c r="D4521" s="65" t="str">
        <f>vlookup(C4521,'Classificação p pessoal'!F:G,2,false)</f>
        <v>MProcesso</v>
      </c>
      <c r="E4521" s="65" t="s">
        <v>3410</v>
      </c>
      <c r="F4521" s="83">
        <v>0.5833333333333334</v>
      </c>
      <c r="G4521" s="83">
        <v>0.6666666666666666</v>
      </c>
      <c r="H4521" s="83">
        <v>0.08333333333333333</v>
      </c>
      <c r="I4521" s="84">
        <v>44508.0</v>
      </c>
      <c r="J4521" s="65" t="b">
        <v>1</v>
      </c>
      <c r="K4521" s="65"/>
      <c r="L4521" s="85" t="b">
        <f>IF(VLOOKUP(C4521,Projetos!A:L,12,false)=TRUE,TRUE,FALSE)</f>
        <v>1</v>
      </c>
      <c r="M4521" s="74">
        <v>52.1518759018759</v>
      </c>
      <c r="N4521" s="74">
        <f t="shared" si="1"/>
        <v>104.3037518</v>
      </c>
      <c r="O4521" s="74" t="b">
        <v>1</v>
      </c>
    </row>
    <row r="4522" hidden="1">
      <c r="A4522" s="82"/>
      <c r="B4522" s="65" t="s">
        <v>467</v>
      </c>
      <c r="C4522" s="65" t="s">
        <v>106</v>
      </c>
      <c r="D4522" s="65" t="str">
        <f>vlookup(C4522,'Classificação p pessoal'!F:G,2,false)</f>
        <v>MProcesso</v>
      </c>
      <c r="E4522" s="65" t="s">
        <v>3395</v>
      </c>
      <c r="F4522" s="83">
        <v>0.34375</v>
      </c>
      <c r="G4522" s="83">
        <v>0.375</v>
      </c>
      <c r="H4522" s="83">
        <v>0.03125</v>
      </c>
      <c r="I4522" s="84">
        <v>44509.0</v>
      </c>
      <c r="J4522" s="65" t="b">
        <v>1</v>
      </c>
      <c r="K4522" s="65"/>
      <c r="L4522" s="85" t="b">
        <f>IF(VLOOKUP(C4522,Projetos!A:L,12,false)=TRUE,TRUE,FALSE)</f>
        <v>1</v>
      </c>
      <c r="M4522" s="74">
        <v>52.1518759018759</v>
      </c>
      <c r="N4522" s="74">
        <f t="shared" si="1"/>
        <v>39.11390693</v>
      </c>
      <c r="O4522" s="74" t="b">
        <v>1</v>
      </c>
    </row>
    <row r="4523" hidden="1">
      <c r="A4523" s="82"/>
      <c r="B4523" s="65" t="s">
        <v>411</v>
      </c>
      <c r="C4523" s="65" t="s">
        <v>114</v>
      </c>
      <c r="D4523" s="65"/>
      <c r="E4523" s="65" t="s">
        <v>3411</v>
      </c>
      <c r="F4523" s="83">
        <v>0.6458333333333334</v>
      </c>
      <c r="G4523" s="83">
        <v>0.6666666666666666</v>
      </c>
      <c r="H4523" s="83">
        <v>0.020833333333333332</v>
      </c>
      <c r="I4523" s="84">
        <v>44424.0</v>
      </c>
      <c r="J4523" s="65" t="b">
        <v>0</v>
      </c>
      <c r="K4523" s="65"/>
      <c r="L4523" s="85" t="b">
        <f>IF(VLOOKUP(C4523,Projetos!A:L,12,false)=TRUE,TRUE,FALSE)</f>
        <v>1</v>
      </c>
      <c r="M4523" s="74">
        <v>52.48434411075036</v>
      </c>
      <c r="N4523" s="74">
        <f t="shared" si="1"/>
        <v>0</v>
      </c>
      <c r="O4523" s="74" t="b">
        <v>1</v>
      </c>
    </row>
    <row r="4524" hidden="1">
      <c r="A4524" s="82"/>
      <c r="B4524" s="65" t="s">
        <v>467</v>
      </c>
      <c r="C4524" s="65" t="s">
        <v>130</v>
      </c>
      <c r="D4524" s="65" t="str">
        <f>vlookup(C4524,'Classificação p pessoal'!F:G,2,false)</f>
        <v>NP</v>
      </c>
      <c r="E4524" s="65" t="s">
        <v>3412</v>
      </c>
      <c r="F4524" s="83">
        <v>0.4375</v>
      </c>
      <c r="G4524" s="83">
        <v>0.5</v>
      </c>
      <c r="H4524" s="83">
        <v>0.0625</v>
      </c>
      <c r="I4524" s="84">
        <v>44509.0</v>
      </c>
      <c r="J4524" s="65" t="b">
        <v>1</v>
      </c>
      <c r="K4524" s="65"/>
      <c r="L4524" s="85" t="b">
        <f>IF(VLOOKUP(C4524,Projetos!A:L,12,false)=TRUE,TRUE,FALSE)</f>
        <v>1</v>
      </c>
      <c r="M4524" s="74">
        <v>52.1518759018759</v>
      </c>
      <c r="N4524" s="74">
        <f t="shared" si="1"/>
        <v>78.22781385</v>
      </c>
      <c r="O4524" s="74" t="b">
        <v>1</v>
      </c>
    </row>
    <row r="4525" hidden="1">
      <c r="A4525" s="82"/>
      <c r="B4525" s="65" t="s">
        <v>467</v>
      </c>
      <c r="C4525" s="65" t="s">
        <v>92</v>
      </c>
      <c r="D4525" s="65" t="str">
        <f>vlookup(C4525,'Classificação p pessoal'!F:G,2,false)</f>
        <v/>
      </c>
      <c r="E4525" s="65" t="s">
        <v>3413</v>
      </c>
      <c r="F4525" s="83">
        <v>0.5833333333333334</v>
      </c>
      <c r="G4525" s="83">
        <v>0.625</v>
      </c>
      <c r="H4525" s="83">
        <v>0.041666666666666664</v>
      </c>
      <c r="I4525" s="84">
        <v>44509.0</v>
      </c>
      <c r="J4525" s="65" t="b">
        <v>1</v>
      </c>
      <c r="K4525" s="65"/>
      <c r="L4525" s="85" t="b">
        <f>IF(VLOOKUP(C4525,Projetos!A:L,12,false)=TRUE,TRUE,FALSE)</f>
        <v>1</v>
      </c>
      <c r="M4525" s="74">
        <v>52.1518759018759</v>
      </c>
      <c r="N4525" s="74">
        <f t="shared" si="1"/>
        <v>52.1518759</v>
      </c>
      <c r="O4525" s="74" t="b">
        <v>1</v>
      </c>
    </row>
    <row r="4526" hidden="1">
      <c r="A4526" s="82"/>
      <c r="B4526" s="65" t="s">
        <v>467</v>
      </c>
      <c r="C4526" s="65" t="s">
        <v>113</v>
      </c>
      <c r="D4526" s="65" t="str">
        <f>vlookup(C4526,'Classificação p pessoal'!F:G,2,false)</f>
        <v>NP</v>
      </c>
      <c r="E4526" s="65" t="s">
        <v>3414</v>
      </c>
      <c r="F4526" s="83">
        <v>0.4791666666666667</v>
      </c>
      <c r="G4526" s="83">
        <v>0.5208333333333334</v>
      </c>
      <c r="H4526" s="83">
        <v>0.041666666666666664</v>
      </c>
      <c r="I4526" s="84">
        <v>44510.0</v>
      </c>
      <c r="J4526" s="65" t="b">
        <v>1</v>
      </c>
      <c r="K4526" s="65"/>
      <c r="L4526" s="85" t="b">
        <f>IF(VLOOKUP(C4526,Projetos!A:L,12,false)=TRUE,TRUE,FALSE)</f>
        <v>1</v>
      </c>
      <c r="M4526" s="74">
        <v>52.1518759018759</v>
      </c>
      <c r="N4526" s="74">
        <f t="shared" si="1"/>
        <v>52.1518759</v>
      </c>
      <c r="O4526" s="74" t="b">
        <v>1</v>
      </c>
    </row>
    <row r="4527" hidden="1">
      <c r="A4527" s="82"/>
      <c r="B4527" s="65" t="s">
        <v>467</v>
      </c>
      <c r="C4527" s="65" t="s">
        <v>92</v>
      </c>
      <c r="D4527" s="65" t="str">
        <f>vlookup(C4527,'Classificação p pessoal'!F:G,2,false)</f>
        <v/>
      </c>
      <c r="E4527" s="65" t="s">
        <v>3415</v>
      </c>
      <c r="F4527" s="83">
        <v>0.3645833333333333</v>
      </c>
      <c r="G4527" s="83">
        <v>0.3958333333333333</v>
      </c>
      <c r="H4527" s="83">
        <v>0.03125</v>
      </c>
      <c r="I4527" s="84">
        <v>44510.0</v>
      </c>
      <c r="J4527" s="65" t="b">
        <v>1</v>
      </c>
      <c r="K4527" s="65"/>
      <c r="L4527" s="85" t="b">
        <f>IF(VLOOKUP(C4527,Projetos!A:L,12,false)=TRUE,TRUE,FALSE)</f>
        <v>1</v>
      </c>
      <c r="M4527" s="74">
        <v>52.1518759018759</v>
      </c>
      <c r="N4527" s="74">
        <f t="shared" si="1"/>
        <v>39.11390693</v>
      </c>
      <c r="O4527" s="74" t="b">
        <v>1</v>
      </c>
    </row>
    <row r="4528" hidden="1">
      <c r="A4528" s="82"/>
      <c r="B4528" s="65" t="s">
        <v>467</v>
      </c>
      <c r="C4528" s="65" t="s">
        <v>92</v>
      </c>
      <c r="D4528" s="65"/>
      <c r="E4528" s="65" t="s">
        <v>3416</v>
      </c>
      <c r="F4528" s="83">
        <v>0.5833333333333334</v>
      </c>
      <c r="G4528" s="83">
        <v>0.6666666666666666</v>
      </c>
      <c r="H4528" s="83">
        <v>0.08333333333333333</v>
      </c>
      <c r="I4528" s="84">
        <v>44510.0</v>
      </c>
      <c r="J4528" s="65" t="b">
        <v>0</v>
      </c>
      <c r="K4528" s="65" t="s">
        <v>150</v>
      </c>
      <c r="L4528" s="85" t="b">
        <f>IF(VLOOKUP(C4528,Projetos!A:L,12,false)=TRUE,TRUE,FALSE)</f>
        <v>1</v>
      </c>
      <c r="M4528" s="74">
        <v>52.1518759018759</v>
      </c>
      <c r="N4528" s="74">
        <f t="shared" si="1"/>
        <v>0</v>
      </c>
      <c r="O4528" s="74" t="b">
        <v>1</v>
      </c>
    </row>
    <row r="4529" hidden="1">
      <c r="A4529" s="82"/>
      <c r="B4529" s="65" t="s">
        <v>467</v>
      </c>
      <c r="C4529" s="65" t="s">
        <v>113</v>
      </c>
      <c r="D4529" s="65" t="str">
        <f>vlookup(C4529,'Classificação p pessoal'!F:G,2,false)</f>
        <v>NP</v>
      </c>
      <c r="E4529" s="65" t="s">
        <v>3417</v>
      </c>
      <c r="F4529" s="83">
        <v>0.5833333333333334</v>
      </c>
      <c r="G4529" s="83">
        <v>0.7916666666666666</v>
      </c>
      <c r="H4529" s="83">
        <v>0.20833333333333334</v>
      </c>
      <c r="I4529" s="84">
        <v>44511.0</v>
      </c>
      <c r="J4529" s="65" t="b">
        <v>1</v>
      </c>
      <c r="K4529" s="65"/>
      <c r="L4529" s="85" t="b">
        <f>IF(VLOOKUP(C4529,Projetos!A:L,12,false)=TRUE,TRUE,FALSE)</f>
        <v>1</v>
      </c>
      <c r="M4529" s="74">
        <v>52.1518759018759</v>
      </c>
      <c r="N4529" s="74">
        <f t="shared" si="1"/>
        <v>260.7593795</v>
      </c>
      <c r="O4529" s="74" t="b">
        <v>1</v>
      </c>
    </row>
    <row r="4530" hidden="1">
      <c r="A4530" s="82"/>
      <c r="B4530" s="65" t="s">
        <v>467</v>
      </c>
      <c r="C4530" s="65" t="s">
        <v>120</v>
      </c>
      <c r="D4530" s="65"/>
      <c r="E4530" s="65" t="s">
        <v>3418</v>
      </c>
      <c r="F4530" s="83">
        <v>0.375</v>
      </c>
      <c r="G4530" s="83">
        <v>0.5</v>
      </c>
      <c r="H4530" s="83">
        <v>0.125</v>
      </c>
      <c r="I4530" s="84">
        <v>44511.0</v>
      </c>
      <c r="J4530" s="65" t="b">
        <v>0</v>
      </c>
      <c r="K4530" s="65"/>
      <c r="L4530" s="85" t="b">
        <f>IF(VLOOKUP(C4530,Projetos!A:L,12,false)=TRUE,TRUE,FALSE)</f>
        <v>0</v>
      </c>
      <c r="M4530" s="74">
        <v>52.1518759018759</v>
      </c>
      <c r="N4530" s="74">
        <f t="shared" si="1"/>
        <v>0</v>
      </c>
      <c r="O4530" s="74" t="b">
        <v>0</v>
      </c>
    </row>
    <row r="4531" hidden="1">
      <c r="A4531" s="82"/>
      <c r="B4531" s="65" t="s">
        <v>467</v>
      </c>
      <c r="C4531" s="65" t="s">
        <v>120</v>
      </c>
      <c r="D4531" s="65"/>
      <c r="E4531" s="65" t="s">
        <v>3419</v>
      </c>
      <c r="F4531" s="83">
        <v>0.375</v>
      </c>
      <c r="G4531" s="83">
        <v>0.5</v>
      </c>
      <c r="H4531" s="83">
        <v>0.125</v>
      </c>
      <c r="I4531" s="84">
        <v>44512.0</v>
      </c>
      <c r="J4531" s="65" t="b">
        <v>0</v>
      </c>
      <c r="K4531" s="65"/>
      <c r="L4531" s="85" t="b">
        <f>IF(VLOOKUP(C4531,Projetos!A:L,12,false)=TRUE,TRUE,FALSE)</f>
        <v>0</v>
      </c>
      <c r="M4531" s="74">
        <v>52.1518759018759</v>
      </c>
      <c r="N4531" s="74">
        <f t="shared" si="1"/>
        <v>0</v>
      </c>
      <c r="O4531" s="74" t="b">
        <v>0</v>
      </c>
    </row>
    <row r="4532" hidden="1">
      <c r="A4532" s="82"/>
      <c r="B4532" s="65" t="s">
        <v>467</v>
      </c>
      <c r="C4532" s="65" t="s">
        <v>117</v>
      </c>
      <c r="D4532" s="65" t="str">
        <f>vlookup(C4532,'Classificação p pessoal'!F:G,2,false)</f>
        <v>NP</v>
      </c>
      <c r="E4532" s="65" t="s">
        <v>3420</v>
      </c>
      <c r="F4532" s="83">
        <v>0.4375</v>
      </c>
      <c r="G4532" s="83">
        <v>0.4791666666666667</v>
      </c>
      <c r="H4532" s="83">
        <v>0.041666666666666664</v>
      </c>
      <c r="I4532" s="84">
        <v>44510.0</v>
      </c>
      <c r="J4532" s="65" t="b">
        <v>1</v>
      </c>
      <c r="K4532" s="65"/>
      <c r="L4532" s="85" t="b">
        <f>IF(VLOOKUP(C4532,Projetos!A:L,12,false)=TRUE,TRUE,FALSE)</f>
        <v>1</v>
      </c>
      <c r="M4532" s="74">
        <v>52.1518759018759</v>
      </c>
      <c r="N4532" s="74">
        <f t="shared" si="1"/>
        <v>52.1518759</v>
      </c>
      <c r="O4532" s="74" t="b">
        <v>1</v>
      </c>
    </row>
    <row r="4533" hidden="1">
      <c r="A4533" s="82"/>
      <c r="B4533" s="65" t="s">
        <v>467</v>
      </c>
      <c r="C4533" s="65" t="s">
        <v>120</v>
      </c>
      <c r="D4533" s="65"/>
      <c r="E4533" s="65" t="s">
        <v>3421</v>
      </c>
      <c r="F4533" s="83">
        <v>0.5833333333333334</v>
      </c>
      <c r="G4533" s="83">
        <v>0.6666666666666666</v>
      </c>
      <c r="H4533" s="83">
        <v>0.08333333333333333</v>
      </c>
      <c r="I4533" s="84">
        <v>44512.0</v>
      </c>
      <c r="J4533" s="65" t="b">
        <v>0</v>
      </c>
      <c r="K4533" s="65"/>
      <c r="L4533" s="85" t="b">
        <f>IF(VLOOKUP(C4533,Projetos!A:L,12,false)=TRUE,TRUE,FALSE)</f>
        <v>0</v>
      </c>
      <c r="M4533" s="74">
        <v>52.1518759018759</v>
      </c>
      <c r="N4533" s="74">
        <f t="shared" si="1"/>
        <v>0</v>
      </c>
      <c r="O4533" s="74" t="b">
        <v>0</v>
      </c>
    </row>
    <row r="4534" hidden="1">
      <c r="A4534" s="82"/>
      <c r="B4534" s="65" t="s">
        <v>467</v>
      </c>
      <c r="C4534" s="65" t="s">
        <v>92</v>
      </c>
      <c r="D4534" s="65" t="str">
        <f>vlookup(C4534,'Classificação p pessoal'!F:G,2,false)</f>
        <v/>
      </c>
      <c r="E4534" s="65" t="s">
        <v>3422</v>
      </c>
      <c r="F4534" s="83">
        <v>0.34375</v>
      </c>
      <c r="G4534" s="83">
        <v>0.3645833333333333</v>
      </c>
      <c r="H4534" s="83">
        <v>0.020833333333333332</v>
      </c>
      <c r="I4534" s="84">
        <v>44516.0</v>
      </c>
      <c r="J4534" s="65" t="b">
        <v>1</v>
      </c>
      <c r="K4534" s="65"/>
      <c r="L4534" s="85" t="b">
        <f>IF(VLOOKUP(C4534,Projetos!A:L,12,false)=TRUE,TRUE,FALSE)</f>
        <v>1</v>
      </c>
      <c r="M4534" s="74">
        <v>52.1518759018759</v>
      </c>
      <c r="N4534" s="74">
        <f t="shared" si="1"/>
        <v>26.07593795</v>
      </c>
      <c r="O4534" s="74" t="b">
        <v>1</v>
      </c>
    </row>
    <row r="4535" hidden="1">
      <c r="A4535" s="82"/>
      <c r="B4535" s="65" t="s">
        <v>467</v>
      </c>
      <c r="C4535" s="65" t="s">
        <v>106</v>
      </c>
      <c r="D4535" s="65" t="str">
        <f>vlookup(C4535,'Classificação p pessoal'!F:G,2,false)</f>
        <v>MProcesso</v>
      </c>
      <c r="E4535" s="65" t="s">
        <v>675</v>
      </c>
      <c r="F4535" s="83">
        <v>0.3645833333333333</v>
      </c>
      <c r="G4535" s="83">
        <v>0.3958333333333333</v>
      </c>
      <c r="H4535" s="83">
        <v>0.03125</v>
      </c>
      <c r="I4535" s="84">
        <v>44516.0</v>
      </c>
      <c r="J4535" s="65" t="b">
        <v>1</v>
      </c>
      <c r="K4535" s="65"/>
      <c r="L4535" s="85" t="b">
        <f>IF(VLOOKUP(C4535,Projetos!A:L,12,false)=TRUE,TRUE,FALSE)</f>
        <v>1</v>
      </c>
      <c r="M4535" s="74">
        <v>52.1518759018759</v>
      </c>
      <c r="N4535" s="74">
        <f t="shared" si="1"/>
        <v>39.11390693</v>
      </c>
      <c r="O4535" s="74" t="b">
        <v>1</v>
      </c>
    </row>
    <row r="4536" hidden="1">
      <c r="A4536" s="82"/>
      <c r="B4536" s="65" t="s">
        <v>467</v>
      </c>
      <c r="C4536" s="65" t="s">
        <v>106</v>
      </c>
      <c r="D4536" s="65" t="str">
        <f>vlookup(C4536,'Classificação p pessoal'!F:G,2,false)</f>
        <v>MProcesso</v>
      </c>
      <c r="E4536" s="65" t="s">
        <v>3423</v>
      </c>
      <c r="F4536" s="83">
        <v>0.3958333333333333</v>
      </c>
      <c r="G4536" s="83">
        <v>0.4375</v>
      </c>
      <c r="H4536" s="83">
        <v>0.041666666666666664</v>
      </c>
      <c r="I4536" s="84">
        <v>44516.0</v>
      </c>
      <c r="J4536" s="65" t="b">
        <v>1</v>
      </c>
      <c r="K4536" s="65"/>
      <c r="L4536" s="85" t="b">
        <f>IF(VLOOKUP(C4536,Projetos!A:L,12,false)=TRUE,TRUE,FALSE)</f>
        <v>1</v>
      </c>
      <c r="M4536" s="74">
        <v>52.1518759018759</v>
      </c>
      <c r="N4536" s="74">
        <f t="shared" si="1"/>
        <v>52.1518759</v>
      </c>
      <c r="O4536" s="74" t="b">
        <v>1</v>
      </c>
    </row>
    <row r="4537" hidden="1">
      <c r="A4537" s="82"/>
      <c r="B4537" s="65" t="s">
        <v>467</v>
      </c>
      <c r="C4537" s="65" t="s">
        <v>92</v>
      </c>
      <c r="D4537" s="65" t="str">
        <f>vlookup(C4537,'Classificação p pessoal'!F:G,2,false)</f>
        <v/>
      </c>
      <c r="E4537" s="65" t="s">
        <v>3424</v>
      </c>
      <c r="F4537" s="83">
        <v>0.4375</v>
      </c>
      <c r="G4537" s="83">
        <v>0.4791666666666667</v>
      </c>
      <c r="H4537" s="83">
        <v>0.041666666666666664</v>
      </c>
      <c r="I4537" s="84">
        <v>44516.0</v>
      </c>
      <c r="J4537" s="65" t="b">
        <v>1</v>
      </c>
      <c r="K4537" s="65"/>
      <c r="L4537" s="85" t="b">
        <f>IF(VLOOKUP(C4537,Projetos!A:L,12,false)=TRUE,TRUE,FALSE)</f>
        <v>1</v>
      </c>
      <c r="M4537" s="74">
        <v>52.1518759018759</v>
      </c>
      <c r="N4537" s="74">
        <f t="shared" si="1"/>
        <v>52.1518759</v>
      </c>
      <c r="O4537" s="74" t="b">
        <v>1</v>
      </c>
    </row>
    <row r="4538" hidden="1">
      <c r="A4538" s="82"/>
      <c r="B4538" s="65" t="s">
        <v>177</v>
      </c>
      <c r="C4538" s="65" t="s">
        <v>106</v>
      </c>
      <c r="D4538" s="65"/>
      <c r="E4538" s="65" t="s">
        <v>3425</v>
      </c>
      <c r="F4538" s="83">
        <v>0.34375</v>
      </c>
      <c r="G4538" s="83">
        <v>0.3541666666666667</v>
      </c>
      <c r="H4538" s="83">
        <v>0.010416666666666666</v>
      </c>
      <c r="I4538" s="84">
        <v>44428.0</v>
      </c>
      <c r="J4538" s="65" t="b">
        <v>0</v>
      </c>
      <c r="K4538" s="65"/>
      <c r="L4538" s="85" t="b">
        <f>IF(VLOOKUP(C4538,Projetos!A:L,12,false)=TRUE,TRUE,FALSE)</f>
        <v>1</v>
      </c>
      <c r="M4538" s="74">
        <v>31.02923620430495</v>
      </c>
      <c r="N4538" s="74">
        <f t="shared" si="1"/>
        <v>0</v>
      </c>
      <c r="O4538" s="74" t="b">
        <v>1</v>
      </c>
    </row>
    <row r="4539" hidden="1">
      <c r="A4539" s="82"/>
      <c r="B4539" s="65" t="s">
        <v>467</v>
      </c>
      <c r="C4539" s="65" t="s">
        <v>130</v>
      </c>
      <c r="D4539" s="65" t="str">
        <f>vlookup(C4539,'Classificação p pessoal'!F:G,2,false)</f>
        <v>NP</v>
      </c>
      <c r="E4539" s="65" t="s">
        <v>3426</v>
      </c>
      <c r="F4539" s="83">
        <v>0.4791666666666667</v>
      </c>
      <c r="G4539" s="83">
        <v>0.5208333333333334</v>
      </c>
      <c r="H4539" s="83">
        <v>0.041666666666666664</v>
      </c>
      <c r="I4539" s="84">
        <v>44517.0</v>
      </c>
      <c r="J4539" s="65" t="b">
        <v>1</v>
      </c>
      <c r="K4539" s="65"/>
      <c r="L4539" s="85" t="b">
        <f>IF(VLOOKUP(C4539,Projetos!A:L,12,false)=TRUE,TRUE,FALSE)</f>
        <v>1</v>
      </c>
      <c r="M4539" s="74">
        <v>52.1518759018759</v>
      </c>
      <c r="N4539" s="74">
        <f t="shared" si="1"/>
        <v>52.1518759</v>
      </c>
      <c r="O4539" s="74" t="b">
        <v>1</v>
      </c>
    </row>
    <row r="4540" hidden="1">
      <c r="A4540" s="82"/>
      <c r="B4540" s="65" t="s">
        <v>177</v>
      </c>
      <c r="C4540" s="65" t="s">
        <v>130</v>
      </c>
      <c r="D4540" s="65"/>
      <c r="E4540" s="65" t="s">
        <v>3427</v>
      </c>
      <c r="F4540" s="83">
        <v>0.4479166666666667</v>
      </c>
      <c r="G4540" s="83">
        <v>0.5104166666666666</v>
      </c>
      <c r="H4540" s="83">
        <v>0.0625</v>
      </c>
      <c r="I4540" s="84">
        <v>44433.0</v>
      </c>
      <c r="J4540" s="65" t="b">
        <v>0</v>
      </c>
      <c r="K4540" s="65"/>
      <c r="L4540" s="85" t="b">
        <f>IF(VLOOKUP(C4540,Projetos!A:L,12,false)=TRUE,TRUE,FALSE)</f>
        <v>1</v>
      </c>
      <c r="M4540" s="74">
        <v>31.02923620430495</v>
      </c>
      <c r="N4540" s="74">
        <f t="shared" si="1"/>
        <v>0</v>
      </c>
      <c r="O4540" s="74" t="b">
        <v>1</v>
      </c>
    </row>
    <row r="4541" hidden="1">
      <c r="A4541" s="82"/>
      <c r="B4541" s="65" t="s">
        <v>177</v>
      </c>
      <c r="C4541" s="65" t="s">
        <v>118</v>
      </c>
      <c r="D4541" s="65"/>
      <c r="E4541" s="65" t="s">
        <v>3428</v>
      </c>
      <c r="F4541" s="83">
        <v>0.7083333333333334</v>
      </c>
      <c r="G4541" s="83">
        <v>0.7395833333333334</v>
      </c>
      <c r="H4541" s="83">
        <v>0.03125</v>
      </c>
      <c r="I4541" s="84">
        <v>44509.0</v>
      </c>
      <c r="J4541" s="65" t="b">
        <v>0</v>
      </c>
      <c r="K4541" s="65"/>
      <c r="L4541" s="85" t="b">
        <f>IF(VLOOKUP(C4541,Projetos!A:L,12,false)=TRUE,TRUE,FALSE)</f>
        <v>1</v>
      </c>
      <c r="M4541" s="74">
        <v>31.02923620430495</v>
      </c>
      <c r="N4541" s="74">
        <f t="shared" si="1"/>
        <v>0</v>
      </c>
      <c r="O4541" s="74" t="b">
        <v>1</v>
      </c>
    </row>
    <row r="4542" hidden="1">
      <c r="A4542" s="82"/>
      <c r="B4542" s="65" t="s">
        <v>467</v>
      </c>
      <c r="C4542" s="65" t="s">
        <v>113</v>
      </c>
      <c r="D4542" s="65" t="str">
        <f>vlookup(C4542,'Classificação p pessoal'!F:G,2,false)</f>
        <v>NP</v>
      </c>
      <c r="E4542" s="65" t="s">
        <v>3429</v>
      </c>
      <c r="F4542" s="83">
        <v>0.3541666666666667</v>
      </c>
      <c r="G4542" s="83">
        <v>0.4166666666666667</v>
      </c>
      <c r="H4542" s="83">
        <v>0.0625</v>
      </c>
      <c r="I4542" s="84">
        <v>44519.0</v>
      </c>
      <c r="J4542" s="65" t="b">
        <v>1</v>
      </c>
      <c r="K4542" s="65"/>
      <c r="L4542" s="85" t="b">
        <f>IF(VLOOKUP(C4542,Projetos!A:L,12,false)=TRUE,TRUE,FALSE)</f>
        <v>1</v>
      </c>
      <c r="M4542" s="74">
        <v>52.1518759018759</v>
      </c>
      <c r="N4542" s="74">
        <f t="shared" si="1"/>
        <v>78.22781385</v>
      </c>
      <c r="O4542" s="74" t="b">
        <v>1</v>
      </c>
    </row>
    <row r="4543" hidden="1">
      <c r="A4543" s="82"/>
      <c r="B4543" s="65" t="s">
        <v>467</v>
      </c>
      <c r="C4543" s="65" t="s">
        <v>88</v>
      </c>
      <c r="D4543" s="65" t="str">
        <f>vlookup(C4543,'Classificação p pessoal'!F:G,2,false)</f>
        <v>MProduto</v>
      </c>
      <c r="E4543" s="65" t="s">
        <v>3430</v>
      </c>
      <c r="F4543" s="83">
        <v>0.4166666666666667</v>
      </c>
      <c r="G4543" s="83">
        <v>0.4375</v>
      </c>
      <c r="H4543" s="83">
        <v>0.020833333333333332</v>
      </c>
      <c r="I4543" s="84">
        <v>44519.0</v>
      </c>
      <c r="J4543" s="65" t="b">
        <v>1</v>
      </c>
      <c r="K4543" s="65"/>
      <c r="L4543" s="85" t="b">
        <f>IF(VLOOKUP(C4543,Projetos!A:L,12,false)=TRUE,TRUE,FALSE)</f>
        <v>1</v>
      </c>
      <c r="M4543" s="74">
        <v>52.1518759018759</v>
      </c>
      <c r="N4543" s="74">
        <f t="shared" si="1"/>
        <v>26.07593795</v>
      </c>
      <c r="O4543" s="74" t="b">
        <v>1</v>
      </c>
    </row>
    <row r="4544" hidden="1">
      <c r="A4544" s="82"/>
      <c r="B4544" s="65" t="s">
        <v>467</v>
      </c>
      <c r="C4544" s="65" t="s">
        <v>120</v>
      </c>
      <c r="D4544" s="65"/>
      <c r="E4544" s="65" t="s">
        <v>3431</v>
      </c>
      <c r="F4544" s="83">
        <v>0.4375</v>
      </c>
      <c r="G4544" s="83">
        <v>0.5208333333333334</v>
      </c>
      <c r="H4544" s="83">
        <v>0.08333333333333333</v>
      </c>
      <c r="I4544" s="84">
        <v>44519.0</v>
      </c>
      <c r="J4544" s="65" t="b">
        <v>0</v>
      </c>
      <c r="K4544" s="65"/>
      <c r="L4544" s="85" t="b">
        <f>IF(VLOOKUP(C4544,Projetos!A:L,12,false)=TRUE,TRUE,FALSE)</f>
        <v>0</v>
      </c>
      <c r="M4544" s="74">
        <v>52.1518759018759</v>
      </c>
      <c r="N4544" s="74">
        <f t="shared" si="1"/>
        <v>0</v>
      </c>
      <c r="O4544" s="74" t="b">
        <v>0</v>
      </c>
    </row>
    <row r="4545" hidden="1">
      <c r="A4545" s="82"/>
      <c r="B4545" s="65" t="s">
        <v>467</v>
      </c>
      <c r="C4545" s="65" t="s">
        <v>121</v>
      </c>
      <c r="D4545" s="65" t="str">
        <f>vlookup(C4545,'Classificação p pessoal'!F:G,2,false)</f>
        <v>NP</v>
      </c>
      <c r="E4545" s="65" t="s">
        <v>3432</v>
      </c>
      <c r="F4545" s="83">
        <v>0.5833333333333334</v>
      </c>
      <c r="G4545" s="83">
        <v>0.7569444444444444</v>
      </c>
      <c r="H4545" s="83">
        <v>0.1736111111111111</v>
      </c>
      <c r="I4545" s="84">
        <v>44519.0</v>
      </c>
      <c r="J4545" s="65" t="b">
        <v>1</v>
      </c>
      <c r="K4545" s="65"/>
      <c r="L4545" s="85" t="b">
        <f>IF(VLOOKUP(C4545,Projetos!A:L,12,false)=TRUE,TRUE,FALSE)</f>
        <v>1</v>
      </c>
      <c r="M4545" s="74">
        <v>52.1518759018759</v>
      </c>
      <c r="N4545" s="74">
        <f t="shared" si="1"/>
        <v>217.2994829</v>
      </c>
      <c r="O4545" s="74" t="b">
        <v>1</v>
      </c>
    </row>
    <row r="4546" hidden="1">
      <c r="A4546" s="82"/>
      <c r="B4546" s="65" t="s">
        <v>467</v>
      </c>
      <c r="C4546" s="65" t="s">
        <v>88</v>
      </c>
      <c r="D4546" s="65" t="str">
        <f>vlookup(C4546,'Classificação p pessoal'!F:G,2,false)</f>
        <v>MProduto</v>
      </c>
      <c r="E4546" s="65" t="s">
        <v>3433</v>
      </c>
      <c r="F4546" s="83">
        <v>0.3541666666666667</v>
      </c>
      <c r="G4546" s="83">
        <v>0.3958333333333333</v>
      </c>
      <c r="H4546" s="83">
        <v>0.041666666666666664</v>
      </c>
      <c r="I4546" s="84">
        <v>44522.0</v>
      </c>
      <c r="J4546" s="65" t="b">
        <v>1</v>
      </c>
      <c r="K4546" s="65"/>
      <c r="L4546" s="85" t="b">
        <f>IF(VLOOKUP(C4546,Projetos!A:L,12,false)=TRUE,TRUE,FALSE)</f>
        <v>1</v>
      </c>
      <c r="M4546" s="74">
        <v>52.1518759018759</v>
      </c>
      <c r="N4546" s="74">
        <f t="shared" si="1"/>
        <v>52.1518759</v>
      </c>
      <c r="O4546" s="74" t="b">
        <v>1</v>
      </c>
    </row>
    <row r="4547" hidden="1">
      <c r="A4547" s="82"/>
      <c r="B4547" s="65" t="s">
        <v>467</v>
      </c>
      <c r="C4547" s="65" t="s">
        <v>120</v>
      </c>
      <c r="D4547" s="65"/>
      <c r="E4547" s="65" t="s">
        <v>3434</v>
      </c>
      <c r="F4547" s="83">
        <v>0.3958333333333333</v>
      </c>
      <c r="G4547" s="83">
        <v>0.4166666666666667</v>
      </c>
      <c r="H4547" s="83">
        <v>0.020833333333333332</v>
      </c>
      <c r="I4547" s="84">
        <v>44522.0</v>
      </c>
      <c r="J4547" s="65" t="b">
        <v>0</v>
      </c>
      <c r="K4547" s="65" t="s">
        <v>150</v>
      </c>
      <c r="L4547" s="85" t="b">
        <f>IF(VLOOKUP(C4547,Projetos!A:L,12,false)=TRUE,TRUE,FALSE)</f>
        <v>0</v>
      </c>
      <c r="M4547" s="74">
        <v>52.1518759018759</v>
      </c>
      <c r="N4547" s="74">
        <f t="shared" si="1"/>
        <v>0</v>
      </c>
      <c r="O4547" s="74" t="b">
        <v>0</v>
      </c>
    </row>
    <row r="4548" hidden="1">
      <c r="A4548" s="82"/>
      <c r="B4548" s="65" t="s">
        <v>467</v>
      </c>
      <c r="C4548" s="65" t="s">
        <v>113</v>
      </c>
      <c r="D4548" s="65" t="str">
        <f>vlookup(C4548,'Classificação p pessoal'!F:G,2,false)</f>
        <v>NP</v>
      </c>
      <c r="E4548" s="65" t="s">
        <v>3435</v>
      </c>
      <c r="F4548" s="83">
        <v>0.4166666666666667</v>
      </c>
      <c r="G4548" s="83">
        <v>0.5208333333333334</v>
      </c>
      <c r="H4548" s="83">
        <v>0.10416666666666667</v>
      </c>
      <c r="I4548" s="84">
        <v>44522.0</v>
      </c>
      <c r="J4548" s="65" t="b">
        <v>1</v>
      </c>
      <c r="K4548" s="65"/>
      <c r="L4548" s="85" t="b">
        <f>IF(VLOOKUP(C4548,Projetos!A:L,12,false)=TRUE,TRUE,FALSE)</f>
        <v>1</v>
      </c>
      <c r="M4548" s="74">
        <v>52.1518759018759</v>
      </c>
      <c r="N4548" s="74">
        <f t="shared" si="1"/>
        <v>130.3796898</v>
      </c>
      <c r="O4548" s="74" t="b">
        <v>1</v>
      </c>
    </row>
    <row r="4549" hidden="1">
      <c r="A4549" s="82"/>
      <c r="B4549" s="65" t="s">
        <v>467</v>
      </c>
      <c r="C4549" s="65" t="s">
        <v>92</v>
      </c>
      <c r="D4549" s="65" t="str">
        <f>vlookup(C4549,'Classificação p pessoal'!F:G,2,false)</f>
        <v/>
      </c>
      <c r="E4549" s="65" t="s">
        <v>3436</v>
      </c>
      <c r="F4549" s="83">
        <v>0.5833333333333334</v>
      </c>
      <c r="G4549" s="83">
        <v>0.625</v>
      </c>
      <c r="H4549" s="83">
        <v>0.041666666666666664</v>
      </c>
      <c r="I4549" s="84">
        <v>44522.0</v>
      </c>
      <c r="J4549" s="65" t="b">
        <v>1</v>
      </c>
      <c r="K4549" s="65"/>
      <c r="L4549" s="85" t="b">
        <f>IF(VLOOKUP(C4549,Projetos!A:L,12,false)=TRUE,TRUE,FALSE)</f>
        <v>1</v>
      </c>
      <c r="M4549" s="74">
        <v>52.1518759018759</v>
      </c>
      <c r="N4549" s="74">
        <f t="shared" si="1"/>
        <v>52.1518759</v>
      </c>
      <c r="O4549" s="74" t="b">
        <v>1</v>
      </c>
    </row>
    <row r="4550" hidden="1">
      <c r="A4550" s="82"/>
      <c r="B4550" s="65" t="s">
        <v>467</v>
      </c>
      <c r="C4550" s="65" t="s">
        <v>129</v>
      </c>
      <c r="D4550" s="65"/>
      <c r="E4550" s="65" t="s">
        <v>3437</v>
      </c>
      <c r="F4550" s="83">
        <v>0.625</v>
      </c>
      <c r="G4550" s="83">
        <v>0.6458333333333334</v>
      </c>
      <c r="H4550" s="83">
        <v>0.020833333333333332</v>
      </c>
      <c r="I4550" s="84">
        <v>44522.0</v>
      </c>
      <c r="J4550" s="65" t="b">
        <v>0</v>
      </c>
      <c r="K4550" s="65" t="s">
        <v>150</v>
      </c>
      <c r="L4550" s="85" t="b">
        <f>IF(VLOOKUP(C4550,Projetos!A:L,12,false)=TRUE,TRUE,FALSE)</f>
        <v>1</v>
      </c>
      <c r="M4550" s="74">
        <v>52.1518759018759</v>
      </c>
      <c r="N4550" s="74">
        <f t="shared" si="1"/>
        <v>0</v>
      </c>
      <c r="O4550" s="74" t="b">
        <v>1</v>
      </c>
    </row>
    <row r="4551" hidden="1">
      <c r="A4551" s="82"/>
      <c r="B4551" s="65" t="s">
        <v>467</v>
      </c>
      <c r="C4551" s="65" t="s">
        <v>92</v>
      </c>
      <c r="D4551" s="65" t="str">
        <f>vlookup(C4551,'Classificação p pessoal'!F:G,2,false)</f>
        <v/>
      </c>
      <c r="E4551" s="65" t="s">
        <v>3438</v>
      </c>
      <c r="F4551" s="83">
        <v>0.6458333333333334</v>
      </c>
      <c r="G4551" s="83">
        <v>0.6875</v>
      </c>
      <c r="H4551" s="83">
        <v>0.041666666666666664</v>
      </c>
      <c r="I4551" s="84">
        <v>44522.0</v>
      </c>
      <c r="J4551" s="65" t="b">
        <v>1</v>
      </c>
      <c r="K4551" s="65"/>
      <c r="L4551" s="85" t="b">
        <f>IF(VLOOKUP(C4551,Projetos!A:L,12,false)=TRUE,TRUE,FALSE)</f>
        <v>1</v>
      </c>
      <c r="M4551" s="74">
        <v>52.1518759018759</v>
      </c>
      <c r="N4551" s="74">
        <f t="shared" si="1"/>
        <v>52.1518759</v>
      </c>
      <c r="O4551" s="74" t="b">
        <v>1</v>
      </c>
    </row>
    <row r="4552" hidden="1">
      <c r="A4552" s="82"/>
      <c r="B4552" s="65" t="s">
        <v>467</v>
      </c>
      <c r="C4552" s="65" t="s">
        <v>92</v>
      </c>
      <c r="D4552" s="65" t="str">
        <f>vlookup(C4552,'Classificação p pessoal'!F:G,2,false)</f>
        <v/>
      </c>
      <c r="E4552" s="65" t="s">
        <v>3439</v>
      </c>
      <c r="F4552" s="83">
        <v>0.3541666666666667</v>
      </c>
      <c r="G4552" s="83">
        <v>0.3645833333333333</v>
      </c>
      <c r="H4552" s="83">
        <v>0.010416666666666666</v>
      </c>
      <c r="I4552" s="84">
        <v>44523.0</v>
      </c>
      <c r="J4552" s="65" t="b">
        <v>1</v>
      </c>
      <c r="K4552" s="65"/>
      <c r="L4552" s="85" t="b">
        <f>IF(VLOOKUP(C4552,Projetos!A:L,12,false)=TRUE,TRUE,FALSE)</f>
        <v>1</v>
      </c>
      <c r="M4552" s="74">
        <v>52.1518759018759</v>
      </c>
      <c r="N4552" s="74">
        <f t="shared" si="1"/>
        <v>13.03796898</v>
      </c>
      <c r="O4552" s="74" t="b">
        <v>1</v>
      </c>
    </row>
    <row r="4553" hidden="1">
      <c r="A4553" s="82"/>
      <c r="B4553" s="65" t="s">
        <v>467</v>
      </c>
      <c r="C4553" s="65" t="s">
        <v>113</v>
      </c>
      <c r="D4553" s="65" t="str">
        <f>vlookup(C4553,'Classificação p pessoal'!F:G,2,false)</f>
        <v>NP</v>
      </c>
      <c r="E4553" s="65" t="s">
        <v>675</v>
      </c>
      <c r="F4553" s="83">
        <v>0.3645833333333333</v>
      </c>
      <c r="G4553" s="83">
        <v>0.3958333333333333</v>
      </c>
      <c r="H4553" s="83">
        <v>0.03125</v>
      </c>
      <c r="I4553" s="84">
        <v>44523.0</v>
      </c>
      <c r="J4553" s="65" t="b">
        <v>1</v>
      </c>
      <c r="K4553" s="65"/>
      <c r="L4553" s="85" t="b">
        <f>IF(VLOOKUP(C4553,Projetos!A:L,12,false)=TRUE,TRUE,FALSE)</f>
        <v>1</v>
      </c>
      <c r="M4553" s="74">
        <v>52.1518759018759</v>
      </c>
      <c r="N4553" s="74">
        <f t="shared" si="1"/>
        <v>39.11390693</v>
      </c>
      <c r="O4553" s="74" t="b">
        <v>1</v>
      </c>
    </row>
    <row r="4554" hidden="1">
      <c r="A4554" s="82"/>
      <c r="B4554" s="65" t="s">
        <v>467</v>
      </c>
      <c r="C4554" s="65" t="s">
        <v>129</v>
      </c>
      <c r="D4554" s="65" t="str">
        <f>vlookup(C4554,'Classificação p pessoal'!F:G,2,false)</f>
        <v>NP</v>
      </c>
      <c r="E4554" s="65" t="s">
        <v>3440</v>
      </c>
      <c r="F4554" s="83">
        <v>0.3958333333333333</v>
      </c>
      <c r="G4554" s="83">
        <v>0.5208333333333334</v>
      </c>
      <c r="H4554" s="83">
        <v>0.125</v>
      </c>
      <c r="I4554" s="84">
        <v>44523.0</v>
      </c>
      <c r="J4554" s="65" t="b">
        <v>1</v>
      </c>
      <c r="K4554" s="65"/>
      <c r="L4554" s="85" t="b">
        <f>IF(VLOOKUP(C4554,Projetos!A:L,12,false)=TRUE,TRUE,FALSE)</f>
        <v>1</v>
      </c>
      <c r="M4554" s="74">
        <v>52.1518759018759</v>
      </c>
      <c r="N4554" s="74">
        <f t="shared" si="1"/>
        <v>156.4556277</v>
      </c>
      <c r="O4554" s="74" t="b">
        <v>1</v>
      </c>
    </row>
    <row r="4555" hidden="1">
      <c r="A4555" s="82"/>
      <c r="B4555" s="65" t="s">
        <v>467</v>
      </c>
      <c r="C4555" s="65" t="s">
        <v>130</v>
      </c>
      <c r="D4555" s="65" t="str">
        <f>vlookup(C4555,'Classificação p pessoal'!F:G,2,false)</f>
        <v>NP</v>
      </c>
      <c r="E4555" s="65" t="s">
        <v>3441</v>
      </c>
      <c r="F4555" s="83">
        <v>0.5625</v>
      </c>
      <c r="G4555" s="83">
        <v>0.625</v>
      </c>
      <c r="H4555" s="83">
        <v>0.0625</v>
      </c>
      <c r="I4555" s="84">
        <v>44523.0</v>
      </c>
      <c r="J4555" s="65" t="b">
        <v>1</v>
      </c>
      <c r="K4555" s="65"/>
      <c r="L4555" s="85" t="b">
        <f>IF(VLOOKUP(C4555,Projetos!A:L,12,false)=TRUE,TRUE,FALSE)</f>
        <v>1</v>
      </c>
      <c r="M4555" s="74">
        <v>52.1518759018759</v>
      </c>
      <c r="N4555" s="74">
        <f t="shared" si="1"/>
        <v>78.22781385</v>
      </c>
      <c r="O4555" s="74" t="b">
        <v>1</v>
      </c>
    </row>
    <row r="4556" hidden="1">
      <c r="A4556" s="82"/>
      <c r="B4556" s="65" t="s">
        <v>467</v>
      </c>
      <c r="C4556" s="65" t="s">
        <v>121</v>
      </c>
      <c r="D4556" s="65" t="str">
        <f>vlookup(C4556,'Classificação p pessoal'!F:G,2,false)</f>
        <v>NP</v>
      </c>
      <c r="E4556" s="65" t="s">
        <v>3442</v>
      </c>
      <c r="F4556" s="83">
        <v>0.625</v>
      </c>
      <c r="G4556" s="83">
        <v>0.7083333333333334</v>
      </c>
      <c r="H4556" s="83">
        <v>0.08333333333333333</v>
      </c>
      <c r="I4556" s="84">
        <v>44523.0</v>
      </c>
      <c r="J4556" s="65" t="b">
        <v>1</v>
      </c>
      <c r="K4556" s="65"/>
      <c r="L4556" s="85" t="b">
        <f>IF(VLOOKUP(C4556,Projetos!A:L,12,false)=TRUE,TRUE,FALSE)</f>
        <v>1</v>
      </c>
      <c r="M4556" s="74">
        <v>52.1518759018759</v>
      </c>
      <c r="N4556" s="74">
        <f t="shared" si="1"/>
        <v>104.3037518</v>
      </c>
      <c r="O4556" s="74" t="b">
        <v>1</v>
      </c>
    </row>
    <row r="4557" hidden="1">
      <c r="A4557" s="82"/>
      <c r="B4557" s="65" t="s">
        <v>467</v>
      </c>
      <c r="C4557" s="65" t="s">
        <v>130</v>
      </c>
      <c r="D4557" s="65"/>
      <c r="E4557" s="65" t="s">
        <v>3443</v>
      </c>
      <c r="F4557" s="83">
        <v>0.3541666666666667</v>
      </c>
      <c r="G4557" s="83">
        <v>0.4166666666666667</v>
      </c>
      <c r="H4557" s="83">
        <v>0.0625</v>
      </c>
      <c r="I4557" s="84">
        <v>44524.0</v>
      </c>
      <c r="J4557" s="65" t="b">
        <v>0</v>
      </c>
      <c r="K4557" s="65" t="s">
        <v>150</v>
      </c>
      <c r="L4557" s="85" t="b">
        <f>IF(VLOOKUP(C4557,Projetos!A:L,12,false)=TRUE,TRUE,FALSE)</f>
        <v>1</v>
      </c>
      <c r="M4557" s="74">
        <v>52.1518759018759</v>
      </c>
      <c r="N4557" s="74">
        <f t="shared" si="1"/>
        <v>0</v>
      </c>
      <c r="O4557" s="74" t="b">
        <v>1</v>
      </c>
    </row>
    <row r="4558" hidden="1">
      <c r="A4558" s="82"/>
      <c r="B4558" s="65" t="s">
        <v>411</v>
      </c>
      <c r="C4558" s="65" t="s">
        <v>92</v>
      </c>
      <c r="D4558" s="65"/>
      <c r="E4558" s="65" t="s">
        <v>3444</v>
      </c>
      <c r="F4558" s="83">
        <v>0.5625</v>
      </c>
      <c r="G4558" s="83">
        <v>0.625</v>
      </c>
      <c r="H4558" s="83">
        <v>0.0625</v>
      </c>
      <c r="I4558" s="84">
        <v>44421.0</v>
      </c>
      <c r="J4558" s="65" t="b">
        <v>0</v>
      </c>
      <c r="K4558" s="65"/>
      <c r="L4558" s="85" t="b">
        <f>IF(VLOOKUP(C4558,Projetos!A:L,12,false)=TRUE,TRUE,FALSE)</f>
        <v>1</v>
      </c>
      <c r="M4558" s="74">
        <v>52.48434411075036</v>
      </c>
      <c r="N4558" s="74">
        <f t="shared" si="1"/>
        <v>0</v>
      </c>
      <c r="O4558" s="74" t="b">
        <v>1</v>
      </c>
    </row>
    <row r="4559" hidden="1">
      <c r="A4559" s="82"/>
      <c r="B4559" s="65" t="s">
        <v>467</v>
      </c>
      <c r="C4559" s="65" t="s">
        <v>113</v>
      </c>
      <c r="D4559" s="65"/>
      <c r="E4559" s="65" t="s">
        <v>3445</v>
      </c>
      <c r="F4559" s="83">
        <v>0.5833333333333334</v>
      </c>
      <c r="G4559" s="83">
        <v>0.6666666666666666</v>
      </c>
      <c r="H4559" s="83">
        <v>0.08333333333333333</v>
      </c>
      <c r="I4559" s="84">
        <v>44524.0</v>
      </c>
      <c r="J4559" s="65" t="b">
        <v>0</v>
      </c>
      <c r="K4559" s="65" t="s">
        <v>150</v>
      </c>
      <c r="L4559" s="85" t="b">
        <f>IF(VLOOKUP(C4559,Projetos!A:L,12,false)=TRUE,TRUE,FALSE)</f>
        <v>1</v>
      </c>
      <c r="M4559" s="74">
        <v>52.1518759018759</v>
      </c>
      <c r="N4559" s="74">
        <f t="shared" si="1"/>
        <v>0</v>
      </c>
      <c r="O4559" s="74" t="b">
        <v>1</v>
      </c>
    </row>
    <row r="4560" hidden="1">
      <c r="A4560" s="82"/>
      <c r="B4560" s="65" t="s">
        <v>467</v>
      </c>
      <c r="C4560" s="65" t="s">
        <v>88</v>
      </c>
      <c r="D4560" s="65" t="str">
        <f>vlookup(C4560,'Classificação p pessoal'!F:G,2,false)</f>
        <v>MProduto</v>
      </c>
      <c r="E4560" s="65" t="s">
        <v>3446</v>
      </c>
      <c r="F4560" s="83">
        <v>0.6666666666666666</v>
      </c>
      <c r="G4560" s="83">
        <v>0.7083333333333334</v>
      </c>
      <c r="H4560" s="83">
        <v>0.041666666666666664</v>
      </c>
      <c r="I4560" s="84">
        <v>44524.0</v>
      </c>
      <c r="J4560" s="65" t="b">
        <v>1</v>
      </c>
      <c r="K4560" s="65"/>
      <c r="L4560" s="85" t="b">
        <f>IF(VLOOKUP(C4560,Projetos!A:L,12,false)=TRUE,TRUE,FALSE)</f>
        <v>1</v>
      </c>
      <c r="M4560" s="74">
        <v>52.1518759018759</v>
      </c>
      <c r="N4560" s="74">
        <f t="shared" si="1"/>
        <v>52.1518759</v>
      </c>
      <c r="O4560" s="74" t="b">
        <v>1</v>
      </c>
    </row>
    <row r="4561" hidden="1">
      <c r="A4561" s="82"/>
      <c r="B4561" s="65" t="s">
        <v>467</v>
      </c>
      <c r="C4561" s="65" t="s">
        <v>120</v>
      </c>
      <c r="D4561" s="65"/>
      <c r="E4561" s="65" t="s">
        <v>3447</v>
      </c>
      <c r="F4561" s="83">
        <v>0.3541666666666667</v>
      </c>
      <c r="G4561" s="83">
        <v>0.375</v>
      </c>
      <c r="H4561" s="83">
        <v>0.020833333333333332</v>
      </c>
      <c r="I4561" s="84">
        <v>44525.0</v>
      </c>
      <c r="J4561" s="65" t="b">
        <v>0</v>
      </c>
      <c r="K4561" s="65"/>
      <c r="L4561" s="85" t="b">
        <f>IF(VLOOKUP(C4561,Projetos!A:L,12,false)=TRUE,TRUE,FALSE)</f>
        <v>0</v>
      </c>
      <c r="M4561" s="74">
        <v>52.1518759018759</v>
      </c>
      <c r="N4561" s="74">
        <f t="shared" si="1"/>
        <v>0</v>
      </c>
      <c r="O4561" s="74" t="b">
        <v>0</v>
      </c>
    </row>
    <row r="4562" hidden="1">
      <c r="A4562" s="82"/>
      <c r="B4562" s="65" t="s">
        <v>467</v>
      </c>
      <c r="C4562" s="65" t="s">
        <v>92</v>
      </c>
      <c r="D4562" s="65" t="str">
        <f>vlookup(C4562,'Classificação p pessoal'!F:G,2,false)</f>
        <v/>
      </c>
      <c r="E4562" s="65" t="s">
        <v>3448</v>
      </c>
      <c r="F4562" s="83">
        <v>0.375</v>
      </c>
      <c r="G4562" s="83">
        <v>0.3958333333333333</v>
      </c>
      <c r="H4562" s="83">
        <v>0.020833333333333332</v>
      </c>
      <c r="I4562" s="84">
        <v>44525.0</v>
      </c>
      <c r="J4562" s="65" t="b">
        <v>1</v>
      </c>
      <c r="K4562" s="65"/>
      <c r="L4562" s="85" t="b">
        <f>IF(VLOOKUP(C4562,Projetos!A:L,12,false)=TRUE,TRUE,FALSE)</f>
        <v>1</v>
      </c>
      <c r="M4562" s="74">
        <v>52.1518759018759</v>
      </c>
      <c r="N4562" s="74">
        <f t="shared" si="1"/>
        <v>26.07593795</v>
      </c>
      <c r="O4562" s="74" t="b">
        <v>1</v>
      </c>
    </row>
    <row r="4563" hidden="1">
      <c r="A4563" s="82"/>
      <c r="B4563" s="65" t="s">
        <v>467</v>
      </c>
      <c r="C4563" s="65" t="s">
        <v>92</v>
      </c>
      <c r="D4563" s="65" t="str">
        <f>vlookup(C4563,'Classificação p pessoal'!F:G,2,false)</f>
        <v/>
      </c>
      <c r="E4563" s="65" t="s">
        <v>3449</v>
      </c>
      <c r="F4563" s="83">
        <v>0.3958333333333333</v>
      </c>
      <c r="G4563" s="83">
        <v>0.4583333333333333</v>
      </c>
      <c r="H4563" s="83">
        <v>0.0625</v>
      </c>
      <c r="I4563" s="84">
        <v>44525.0</v>
      </c>
      <c r="J4563" s="65" t="b">
        <v>1</v>
      </c>
      <c r="K4563" s="65"/>
      <c r="L4563" s="85" t="b">
        <f>IF(VLOOKUP(C4563,Projetos!A:L,12,false)=TRUE,TRUE,FALSE)</f>
        <v>1</v>
      </c>
      <c r="M4563" s="74">
        <v>52.1518759018759</v>
      </c>
      <c r="N4563" s="74">
        <f t="shared" si="1"/>
        <v>78.22781385</v>
      </c>
      <c r="O4563" s="74" t="b">
        <v>1</v>
      </c>
    </row>
    <row r="4564" hidden="1">
      <c r="A4564" s="82"/>
      <c r="B4564" s="65" t="s">
        <v>467</v>
      </c>
      <c r="C4564" s="65" t="s">
        <v>120</v>
      </c>
      <c r="D4564" s="65"/>
      <c r="E4564" s="65" t="s">
        <v>3450</v>
      </c>
      <c r="F4564" s="83">
        <v>0.5833333333333334</v>
      </c>
      <c r="G4564" s="83">
        <v>0.6666666666666666</v>
      </c>
      <c r="H4564" s="83">
        <v>0.08333333333333333</v>
      </c>
      <c r="I4564" s="84">
        <v>44525.0</v>
      </c>
      <c r="J4564" s="65" t="b">
        <v>0</v>
      </c>
      <c r="K4564" s="65" t="s">
        <v>150</v>
      </c>
      <c r="L4564" s="85" t="b">
        <f>IF(VLOOKUP(C4564,Projetos!A:L,12,false)=TRUE,TRUE,FALSE)</f>
        <v>0</v>
      </c>
      <c r="M4564" s="74">
        <v>52.1518759018759</v>
      </c>
      <c r="N4564" s="74">
        <f t="shared" si="1"/>
        <v>0</v>
      </c>
      <c r="O4564" s="74" t="b">
        <v>0</v>
      </c>
    </row>
    <row r="4565" hidden="1">
      <c r="A4565" s="82"/>
      <c r="B4565" s="65" t="s">
        <v>467</v>
      </c>
      <c r="C4565" s="65" t="s">
        <v>120</v>
      </c>
      <c r="D4565" s="65"/>
      <c r="E4565" s="65" t="s">
        <v>3451</v>
      </c>
      <c r="F4565" s="83">
        <v>0.3958333333333333</v>
      </c>
      <c r="G4565" s="83">
        <v>0.4375</v>
      </c>
      <c r="H4565" s="83">
        <v>0.041666666666666664</v>
      </c>
      <c r="I4565" s="84">
        <v>44526.0</v>
      </c>
      <c r="J4565" s="65" t="b">
        <v>0</v>
      </c>
      <c r="K4565" s="65"/>
      <c r="L4565" s="85" t="b">
        <f>IF(VLOOKUP(C4565,Projetos!A:L,12,false)=TRUE,TRUE,FALSE)</f>
        <v>0</v>
      </c>
      <c r="M4565" s="74">
        <v>52.1518759018759</v>
      </c>
      <c r="N4565" s="74">
        <f t="shared" si="1"/>
        <v>0</v>
      </c>
      <c r="O4565" s="74" t="b">
        <v>0</v>
      </c>
    </row>
    <row r="4566" hidden="1">
      <c r="A4566" s="82"/>
      <c r="B4566" s="65" t="s">
        <v>467</v>
      </c>
      <c r="C4566" s="65" t="s">
        <v>113</v>
      </c>
      <c r="D4566" s="65" t="str">
        <f>vlookup(C4566,'Classificação p pessoal'!F:G,2,false)</f>
        <v>NP</v>
      </c>
      <c r="E4566" s="65" t="s">
        <v>3452</v>
      </c>
      <c r="F4566" s="83">
        <v>0.4375</v>
      </c>
      <c r="G4566" s="83">
        <v>0.4791666666666667</v>
      </c>
      <c r="H4566" s="83">
        <v>0.041666666666666664</v>
      </c>
      <c r="I4566" s="84">
        <v>44526.0</v>
      </c>
      <c r="J4566" s="65" t="b">
        <v>1</v>
      </c>
      <c r="K4566" s="65"/>
      <c r="L4566" s="85" t="b">
        <f>IF(VLOOKUP(C4566,Projetos!A:L,12,false)=TRUE,TRUE,FALSE)</f>
        <v>1</v>
      </c>
      <c r="M4566" s="74">
        <v>52.1518759018759</v>
      </c>
      <c r="N4566" s="74">
        <f t="shared" si="1"/>
        <v>52.1518759</v>
      </c>
      <c r="O4566" s="74" t="b">
        <v>1</v>
      </c>
    </row>
    <row r="4567" hidden="1">
      <c r="A4567" s="82"/>
      <c r="B4567" s="65" t="s">
        <v>467</v>
      </c>
      <c r="C4567" s="65" t="s">
        <v>92</v>
      </c>
      <c r="D4567" s="65" t="str">
        <f>vlookup(C4567,'Classificação p pessoal'!F:G,2,false)</f>
        <v/>
      </c>
      <c r="E4567" s="65" t="s">
        <v>3453</v>
      </c>
      <c r="F4567" s="83">
        <v>0.5625</v>
      </c>
      <c r="G4567" s="83">
        <v>0.75</v>
      </c>
      <c r="H4567" s="83">
        <v>0.1875</v>
      </c>
      <c r="I4567" s="84">
        <v>44526.0</v>
      </c>
      <c r="J4567" s="65" t="b">
        <v>1</v>
      </c>
      <c r="K4567" s="65"/>
      <c r="L4567" s="85" t="b">
        <f>IF(VLOOKUP(C4567,Projetos!A:L,12,false)=TRUE,TRUE,FALSE)</f>
        <v>1</v>
      </c>
      <c r="M4567" s="74">
        <v>52.1518759018759</v>
      </c>
      <c r="N4567" s="74">
        <f t="shared" si="1"/>
        <v>234.6834416</v>
      </c>
      <c r="O4567" s="74" t="b">
        <v>1</v>
      </c>
    </row>
    <row r="4568" hidden="1">
      <c r="A4568" s="82"/>
      <c r="B4568" s="65" t="s">
        <v>467</v>
      </c>
      <c r="C4568" s="65" t="s">
        <v>130</v>
      </c>
      <c r="D4568" s="65" t="str">
        <f>vlookup(C4568,'Classificação p pessoal'!F:G,2,false)</f>
        <v>NP</v>
      </c>
      <c r="E4568" s="65" t="s">
        <v>3454</v>
      </c>
      <c r="F4568" s="83">
        <v>0.3541666666666667</v>
      </c>
      <c r="G4568" s="83">
        <v>0.3958333333333333</v>
      </c>
      <c r="H4568" s="83">
        <v>0.041666666666666664</v>
      </c>
      <c r="I4568" s="84">
        <v>44529.0</v>
      </c>
      <c r="J4568" s="65" t="b">
        <v>1</v>
      </c>
      <c r="K4568" s="65"/>
      <c r="L4568" s="85" t="b">
        <f>IF(VLOOKUP(C4568,Projetos!A:L,12,false)=TRUE,TRUE,FALSE)</f>
        <v>1</v>
      </c>
      <c r="M4568" s="74">
        <v>52.1518759018759</v>
      </c>
      <c r="N4568" s="74">
        <f t="shared" si="1"/>
        <v>52.1518759</v>
      </c>
      <c r="O4568" s="74" t="b">
        <v>1</v>
      </c>
    </row>
    <row r="4569" hidden="1">
      <c r="A4569" s="82"/>
      <c r="B4569" s="65" t="s">
        <v>495</v>
      </c>
      <c r="C4569" s="65" t="s">
        <v>92</v>
      </c>
      <c r="D4569" s="65"/>
      <c r="E4569" s="65" t="s">
        <v>3455</v>
      </c>
      <c r="F4569" s="83">
        <v>0.4375</v>
      </c>
      <c r="G4569" s="83">
        <v>0.4583333333333333</v>
      </c>
      <c r="H4569" s="83">
        <v>0.020833333333333332</v>
      </c>
      <c r="I4569" s="84">
        <v>44494.0</v>
      </c>
      <c r="J4569" s="65" t="b">
        <v>0</v>
      </c>
      <c r="K4569" s="65"/>
      <c r="L4569" s="85" t="b">
        <f>IF(VLOOKUP(C4569,Projetos!A:L,12,false)=TRUE,TRUE,FALSE)</f>
        <v>1</v>
      </c>
      <c r="M4569" s="74">
        <v>73.7079846079846</v>
      </c>
      <c r="N4569" s="74">
        <f t="shared" si="1"/>
        <v>0</v>
      </c>
      <c r="O4569" s="74" t="b">
        <v>1</v>
      </c>
    </row>
    <row r="4570" hidden="1">
      <c r="A4570" s="82"/>
      <c r="B4570" s="65" t="s">
        <v>467</v>
      </c>
      <c r="C4570" s="65" t="s">
        <v>92</v>
      </c>
      <c r="D4570" s="65" t="str">
        <f>vlookup(C4570,'Classificação p pessoal'!F:G,2,false)</f>
        <v/>
      </c>
      <c r="E4570" s="65" t="s">
        <v>3456</v>
      </c>
      <c r="F4570" s="83">
        <v>0.4583333333333333</v>
      </c>
      <c r="G4570" s="83">
        <v>0.5208333333333334</v>
      </c>
      <c r="H4570" s="83">
        <v>0.0625</v>
      </c>
      <c r="I4570" s="84">
        <v>44529.0</v>
      </c>
      <c r="J4570" s="65" t="b">
        <v>1</v>
      </c>
      <c r="K4570" s="65"/>
      <c r="L4570" s="85" t="b">
        <f>IF(VLOOKUP(C4570,Projetos!A:L,12,false)=TRUE,TRUE,FALSE)</f>
        <v>1</v>
      </c>
      <c r="M4570" s="74">
        <v>52.1518759018759</v>
      </c>
      <c r="N4570" s="74">
        <f t="shared" si="1"/>
        <v>78.22781385</v>
      </c>
      <c r="O4570" s="74" t="b">
        <v>1</v>
      </c>
    </row>
    <row r="4571" hidden="1">
      <c r="A4571" s="82"/>
      <c r="B4571" s="65" t="s">
        <v>467</v>
      </c>
      <c r="C4571" s="65" t="s">
        <v>92</v>
      </c>
      <c r="D4571" s="65" t="str">
        <f>vlookup(C4571,'Classificação p pessoal'!F:G,2,false)</f>
        <v/>
      </c>
      <c r="E4571" s="65" t="s">
        <v>3457</v>
      </c>
      <c r="F4571" s="83">
        <v>0.5833333333333334</v>
      </c>
      <c r="G4571" s="83">
        <v>0.625</v>
      </c>
      <c r="H4571" s="83">
        <v>0.041666666666666664</v>
      </c>
      <c r="I4571" s="84">
        <v>44529.0</v>
      </c>
      <c r="J4571" s="65" t="b">
        <v>1</v>
      </c>
      <c r="K4571" s="65"/>
      <c r="L4571" s="85" t="b">
        <f>IF(VLOOKUP(C4571,Projetos!A:L,12,false)=TRUE,TRUE,FALSE)</f>
        <v>1</v>
      </c>
      <c r="M4571" s="74">
        <v>52.1518759018759</v>
      </c>
      <c r="N4571" s="74">
        <f t="shared" si="1"/>
        <v>52.1518759</v>
      </c>
      <c r="O4571" s="74" t="b">
        <v>1</v>
      </c>
    </row>
    <row r="4572" hidden="1">
      <c r="A4572" s="82"/>
      <c r="B4572" s="65" t="s">
        <v>467</v>
      </c>
      <c r="C4572" s="65" t="s">
        <v>92</v>
      </c>
      <c r="D4572" s="65" t="str">
        <f>vlookup(C4572,'Classificação p pessoal'!F:G,2,false)</f>
        <v/>
      </c>
      <c r="E4572" s="65" t="s">
        <v>3458</v>
      </c>
      <c r="F4572" s="83">
        <v>0.625</v>
      </c>
      <c r="G4572" s="83">
        <v>0.6666666666666666</v>
      </c>
      <c r="H4572" s="83">
        <v>0.041666666666666664</v>
      </c>
      <c r="I4572" s="84">
        <v>44529.0</v>
      </c>
      <c r="J4572" s="65" t="b">
        <v>1</v>
      </c>
      <c r="K4572" s="65"/>
      <c r="L4572" s="85" t="b">
        <f>IF(VLOOKUP(C4572,Projetos!A:L,12,false)=TRUE,TRUE,FALSE)</f>
        <v>1</v>
      </c>
      <c r="M4572" s="74">
        <v>52.1518759018759</v>
      </c>
      <c r="N4572" s="74">
        <f t="shared" si="1"/>
        <v>52.1518759</v>
      </c>
      <c r="O4572" s="74" t="b">
        <v>1</v>
      </c>
    </row>
    <row r="4573" hidden="1">
      <c r="A4573" s="82"/>
      <c r="B4573" s="65" t="s">
        <v>467</v>
      </c>
      <c r="C4573" s="65" t="s">
        <v>92</v>
      </c>
      <c r="D4573" s="65" t="str">
        <f>vlookup(C4573,'Classificação p pessoal'!F:G,2,false)</f>
        <v/>
      </c>
      <c r="E4573" s="65" t="s">
        <v>3459</v>
      </c>
      <c r="F4573" s="83">
        <v>0.6666666666666666</v>
      </c>
      <c r="G4573" s="83">
        <v>0.6805555555555556</v>
      </c>
      <c r="H4573" s="83">
        <v>0.013888888888888888</v>
      </c>
      <c r="I4573" s="84">
        <v>44529.0</v>
      </c>
      <c r="J4573" s="65" t="b">
        <v>1</v>
      </c>
      <c r="K4573" s="65"/>
      <c r="L4573" s="85" t="b">
        <f>IF(VLOOKUP(C4573,Projetos!A:L,12,false)=TRUE,TRUE,FALSE)</f>
        <v>1</v>
      </c>
      <c r="M4573" s="74">
        <v>52.1518759018759</v>
      </c>
      <c r="N4573" s="74">
        <f t="shared" si="1"/>
        <v>17.38395863</v>
      </c>
      <c r="O4573" s="74" t="b">
        <v>1</v>
      </c>
    </row>
    <row r="4574" hidden="1">
      <c r="A4574" s="82"/>
      <c r="B4574" s="65" t="s">
        <v>467</v>
      </c>
      <c r="C4574" s="65" t="s">
        <v>92</v>
      </c>
      <c r="D4574" s="65" t="str">
        <f>vlookup(C4574,'Classificação p pessoal'!F:G,2,false)</f>
        <v/>
      </c>
      <c r="E4574" s="65" t="s">
        <v>3460</v>
      </c>
      <c r="F4574" s="83">
        <v>0.6875</v>
      </c>
      <c r="G4574" s="83">
        <v>0.75</v>
      </c>
      <c r="H4574" s="83">
        <v>0.0625</v>
      </c>
      <c r="I4574" s="84">
        <v>44529.0</v>
      </c>
      <c r="J4574" s="65" t="b">
        <v>1</v>
      </c>
      <c r="K4574" s="65"/>
      <c r="L4574" s="85" t="b">
        <f>IF(VLOOKUP(C4574,Projetos!A:L,12,false)=TRUE,TRUE,FALSE)</f>
        <v>1</v>
      </c>
      <c r="M4574" s="74">
        <v>52.1518759018759</v>
      </c>
      <c r="N4574" s="74">
        <f t="shared" si="1"/>
        <v>78.22781385</v>
      </c>
      <c r="O4574" s="74" t="b">
        <v>1</v>
      </c>
    </row>
    <row r="4575" hidden="1">
      <c r="A4575" s="82"/>
      <c r="B4575" s="65" t="s">
        <v>467</v>
      </c>
      <c r="C4575" s="65" t="s">
        <v>113</v>
      </c>
      <c r="D4575" s="65"/>
      <c r="E4575" s="65" t="s">
        <v>3461</v>
      </c>
      <c r="F4575" s="83">
        <v>0.3645833333333333</v>
      </c>
      <c r="G4575" s="83">
        <v>0.4583333333333333</v>
      </c>
      <c r="H4575" s="83">
        <v>0.09375</v>
      </c>
      <c r="I4575" s="84">
        <v>44530.0</v>
      </c>
      <c r="J4575" s="65" t="b">
        <v>0</v>
      </c>
      <c r="K4575" s="65" t="s">
        <v>150</v>
      </c>
      <c r="L4575" s="85" t="b">
        <f>IF(VLOOKUP(C4575,Projetos!A:L,12,false)=TRUE,TRUE,FALSE)</f>
        <v>1</v>
      </c>
      <c r="M4575" s="74">
        <v>52.1518759018759</v>
      </c>
      <c r="N4575" s="74">
        <f t="shared" si="1"/>
        <v>0</v>
      </c>
      <c r="O4575" s="74" t="b">
        <v>1</v>
      </c>
    </row>
    <row r="4576" hidden="1">
      <c r="A4576" s="82"/>
      <c r="B4576" s="65" t="s">
        <v>467</v>
      </c>
      <c r="C4576" s="65" t="s">
        <v>113</v>
      </c>
      <c r="D4576" s="65" t="str">
        <f>vlookup(C4576,'Classificação p pessoal'!F:G,2,false)</f>
        <v>NP</v>
      </c>
      <c r="E4576" s="65" t="s">
        <v>675</v>
      </c>
      <c r="F4576" s="83">
        <v>0.34375</v>
      </c>
      <c r="G4576" s="83">
        <v>0.3645833333333333</v>
      </c>
      <c r="H4576" s="83">
        <v>0.020833333333333332</v>
      </c>
      <c r="I4576" s="84">
        <v>44530.0</v>
      </c>
      <c r="J4576" s="65" t="b">
        <v>1</v>
      </c>
      <c r="K4576" s="65"/>
      <c r="L4576" s="85" t="b">
        <f>IF(VLOOKUP(C4576,Projetos!A:L,12,false)=TRUE,TRUE,FALSE)</f>
        <v>1</v>
      </c>
      <c r="M4576" s="74">
        <v>52.1518759018759</v>
      </c>
      <c r="N4576" s="74">
        <f t="shared" si="1"/>
        <v>26.07593795</v>
      </c>
      <c r="O4576" s="74" t="b">
        <v>1</v>
      </c>
    </row>
    <row r="4577" hidden="1">
      <c r="A4577" s="82"/>
      <c r="B4577" s="65" t="s">
        <v>467</v>
      </c>
      <c r="C4577" s="65" t="s">
        <v>92</v>
      </c>
      <c r="D4577" s="65" t="str">
        <f>vlookup(C4577,'Classificação p pessoal'!F:G,2,false)</f>
        <v/>
      </c>
      <c r="E4577" s="65" t="s">
        <v>3462</v>
      </c>
      <c r="F4577" s="83">
        <v>0.4583333333333333</v>
      </c>
      <c r="G4577" s="83">
        <v>0.5</v>
      </c>
      <c r="H4577" s="83">
        <v>0.041666666666666664</v>
      </c>
      <c r="I4577" s="84">
        <v>44530.0</v>
      </c>
      <c r="J4577" s="65" t="b">
        <v>1</v>
      </c>
      <c r="K4577" s="65"/>
      <c r="L4577" s="85" t="b">
        <f>IF(VLOOKUP(C4577,Projetos!A:L,12,false)=TRUE,TRUE,FALSE)</f>
        <v>1</v>
      </c>
      <c r="M4577" s="74">
        <v>52.1518759018759</v>
      </c>
      <c r="N4577" s="74">
        <f t="shared" si="1"/>
        <v>52.1518759</v>
      </c>
      <c r="O4577" s="74" t="b">
        <v>1</v>
      </c>
    </row>
    <row r="4578" hidden="1">
      <c r="A4578" s="82"/>
      <c r="B4578" s="65" t="s">
        <v>467</v>
      </c>
      <c r="C4578" s="65" t="s">
        <v>130</v>
      </c>
      <c r="D4578" s="65" t="str">
        <f>vlookup(C4578,'Classificação p pessoal'!F:G,2,false)</f>
        <v>NP</v>
      </c>
      <c r="E4578" s="65" t="s">
        <v>3463</v>
      </c>
      <c r="F4578" s="83">
        <v>0.5833333333333334</v>
      </c>
      <c r="G4578" s="83">
        <v>0.6041666666666666</v>
      </c>
      <c r="H4578" s="83">
        <v>0.020833333333333332</v>
      </c>
      <c r="I4578" s="84">
        <v>44530.0</v>
      </c>
      <c r="J4578" s="65" t="b">
        <v>1</v>
      </c>
      <c r="K4578" s="65"/>
      <c r="L4578" s="85" t="b">
        <f>IF(VLOOKUP(C4578,Projetos!A:L,12,false)=TRUE,TRUE,FALSE)</f>
        <v>1</v>
      </c>
      <c r="M4578" s="74">
        <v>52.1518759018759</v>
      </c>
      <c r="N4578" s="74">
        <f t="shared" si="1"/>
        <v>26.07593795</v>
      </c>
      <c r="O4578" s="74" t="b">
        <v>1</v>
      </c>
    </row>
    <row r="4579" hidden="1">
      <c r="A4579" s="82"/>
      <c r="B4579" s="65" t="s">
        <v>467</v>
      </c>
      <c r="C4579" s="65" t="s">
        <v>113</v>
      </c>
      <c r="D4579" s="65" t="str">
        <f>vlookup(C4579,'Classificação p pessoal'!F:G,2,false)</f>
        <v>NP</v>
      </c>
      <c r="E4579" s="65" t="s">
        <v>3464</v>
      </c>
      <c r="F4579" s="83">
        <v>0.6666666666666666</v>
      </c>
      <c r="G4579" s="83">
        <v>0.7083333333333334</v>
      </c>
      <c r="H4579" s="83">
        <v>0.041666666666666664</v>
      </c>
      <c r="I4579" s="84">
        <v>44530.0</v>
      </c>
      <c r="J4579" s="65" t="b">
        <v>1</v>
      </c>
      <c r="K4579" s="65"/>
      <c r="L4579" s="85" t="b">
        <f>IF(VLOOKUP(C4579,Projetos!A:L,12,false)=TRUE,TRUE,FALSE)</f>
        <v>1</v>
      </c>
      <c r="M4579" s="74">
        <v>52.1518759018759</v>
      </c>
      <c r="N4579" s="74">
        <f t="shared" si="1"/>
        <v>52.1518759</v>
      </c>
      <c r="O4579" s="74" t="b">
        <v>1</v>
      </c>
    </row>
    <row r="4580" hidden="1">
      <c r="A4580" s="82"/>
      <c r="B4580" s="65" t="s">
        <v>467</v>
      </c>
      <c r="C4580" s="65" t="s">
        <v>92</v>
      </c>
      <c r="D4580" s="65" t="str">
        <f>vlookup(C4580,'Classificação p pessoal'!F:G,2,false)</f>
        <v/>
      </c>
      <c r="E4580" s="65" t="s">
        <v>3465</v>
      </c>
      <c r="F4580" s="83">
        <v>0.3541666666666667</v>
      </c>
      <c r="G4580" s="83">
        <v>0.375</v>
      </c>
      <c r="H4580" s="83">
        <v>0.020833333333333332</v>
      </c>
      <c r="I4580" s="84">
        <v>44531.0</v>
      </c>
      <c r="J4580" s="65" t="b">
        <v>1</v>
      </c>
      <c r="K4580" s="65"/>
      <c r="L4580" s="85" t="b">
        <f>IF(VLOOKUP(C4580,Projetos!A:L,12,false)=TRUE,TRUE,FALSE)</f>
        <v>1</v>
      </c>
      <c r="M4580" s="74">
        <v>52.1518759018759</v>
      </c>
      <c r="N4580" s="74">
        <f t="shared" si="1"/>
        <v>26.07593795</v>
      </c>
      <c r="O4580" s="74" t="b">
        <v>1</v>
      </c>
    </row>
    <row r="4581" hidden="1">
      <c r="A4581" s="82"/>
      <c r="B4581" s="65" t="s">
        <v>467</v>
      </c>
      <c r="C4581" s="65" t="s">
        <v>113</v>
      </c>
      <c r="D4581" s="65"/>
      <c r="E4581" s="65" t="s">
        <v>3466</v>
      </c>
      <c r="F4581" s="83">
        <v>0.3819444444444444</v>
      </c>
      <c r="G4581" s="83">
        <v>0.4375</v>
      </c>
      <c r="H4581" s="83">
        <v>0.05555555555555555</v>
      </c>
      <c r="I4581" s="84">
        <v>44531.0</v>
      </c>
      <c r="J4581" s="65" t="b">
        <v>0</v>
      </c>
      <c r="K4581" s="65" t="s">
        <v>150</v>
      </c>
      <c r="L4581" s="85" t="b">
        <f>IF(VLOOKUP(C4581,Projetos!A:L,12,false)=TRUE,TRUE,FALSE)</f>
        <v>1</v>
      </c>
      <c r="M4581" s="74">
        <v>52.1518759018759</v>
      </c>
      <c r="N4581" s="74">
        <f t="shared" si="1"/>
        <v>0</v>
      </c>
      <c r="O4581" s="74" t="b">
        <v>1</v>
      </c>
    </row>
    <row r="4582" hidden="1">
      <c r="A4582" s="82"/>
      <c r="B4582" s="65" t="s">
        <v>467</v>
      </c>
      <c r="C4582" s="65" t="s">
        <v>92</v>
      </c>
      <c r="D4582" s="65" t="str">
        <f>vlookup(C4582,'Classificação p pessoal'!F:G,2,false)</f>
        <v/>
      </c>
      <c r="E4582" s="65" t="s">
        <v>3467</v>
      </c>
      <c r="F4582" s="83">
        <v>0.5833333333333334</v>
      </c>
      <c r="G4582" s="83">
        <v>0.625</v>
      </c>
      <c r="H4582" s="83">
        <v>0.041666666666666664</v>
      </c>
      <c r="I4582" s="84">
        <v>44896.0</v>
      </c>
      <c r="J4582" s="65" t="b">
        <v>1</v>
      </c>
      <c r="K4582" s="65"/>
      <c r="L4582" s="85" t="b">
        <f>IF(VLOOKUP(C4582,Projetos!A:L,12,false)=TRUE,TRUE,FALSE)</f>
        <v>1</v>
      </c>
      <c r="M4582" s="74">
        <v>52.1518759018759</v>
      </c>
      <c r="N4582" s="74">
        <f t="shared" si="1"/>
        <v>52.1518759</v>
      </c>
      <c r="O4582" s="74" t="b">
        <v>1</v>
      </c>
    </row>
    <row r="4583" hidden="1">
      <c r="A4583" s="82"/>
      <c r="B4583" s="65" t="s">
        <v>467</v>
      </c>
      <c r="C4583" s="65" t="s">
        <v>84</v>
      </c>
      <c r="D4583" s="65"/>
      <c r="E4583" s="65" t="s">
        <v>3468</v>
      </c>
      <c r="F4583" s="83">
        <v>0.375</v>
      </c>
      <c r="G4583" s="83">
        <v>0.5</v>
      </c>
      <c r="H4583" s="83">
        <v>0.125</v>
      </c>
      <c r="I4583" s="84">
        <v>44532.0</v>
      </c>
      <c r="J4583" s="65" t="b">
        <v>0</v>
      </c>
      <c r="K4583" s="65"/>
      <c r="L4583" s="85" t="b">
        <f>IF(VLOOKUP(C4583,Projetos!A:L,12,false)=TRUE,TRUE,FALSE)</f>
        <v>0</v>
      </c>
      <c r="M4583" s="74">
        <v>52.1518759018759</v>
      </c>
      <c r="N4583" s="74">
        <f t="shared" si="1"/>
        <v>0</v>
      </c>
      <c r="O4583" s="74" t="b">
        <v>0</v>
      </c>
    </row>
    <row r="4584" hidden="1">
      <c r="A4584" s="82"/>
      <c r="B4584" s="65" t="s">
        <v>467</v>
      </c>
      <c r="C4584" s="65" t="s">
        <v>120</v>
      </c>
      <c r="D4584" s="65"/>
      <c r="E4584" s="65" t="s">
        <v>3469</v>
      </c>
      <c r="F4584" s="83">
        <v>0.5833333333333334</v>
      </c>
      <c r="G4584" s="83">
        <v>0.6666666666666666</v>
      </c>
      <c r="H4584" s="83">
        <v>0.08333333333333333</v>
      </c>
      <c r="I4584" s="84">
        <v>44532.0</v>
      </c>
      <c r="J4584" s="65" t="b">
        <v>0</v>
      </c>
      <c r="K4584" s="65" t="s">
        <v>150</v>
      </c>
      <c r="L4584" s="85" t="b">
        <f>IF(VLOOKUP(C4584,Projetos!A:L,12,false)=TRUE,TRUE,FALSE)</f>
        <v>0</v>
      </c>
      <c r="M4584" s="74">
        <v>52.1518759018759</v>
      </c>
      <c r="N4584" s="74">
        <f t="shared" si="1"/>
        <v>0</v>
      </c>
      <c r="O4584" s="74" t="b">
        <v>0</v>
      </c>
    </row>
    <row r="4585" hidden="1">
      <c r="A4585" s="82"/>
      <c r="B4585" s="65" t="s">
        <v>467</v>
      </c>
      <c r="C4585" s="65" t="s">
        <v>113</v>
      </c>
      <c r="D4585" s="65" t="str">
        <f>vlookup(C4585,'Classificação p pessoal'!F:G,2,false)</f>
        <v>NP</v>
      </c>
      <c r="E4585" s="65" t="s">
        <v>3470</v>
      </c>
      <c r="F4585" s="83">
        <v>0.6666666666666666</v>
      </c>
      <c r="G4585" s="83">
        <v>0.7083333333333334</v>
      </c>
      <c r="H4585" s="83">
        <v>0.041666666666666664</v>
      </c>
      <c r="I4585" s="84">
        <v>44532.0</v>
      </c>
      <c r="J4585" s="65" t="b">
        <v>1</v>
      </c>
      <c r="K4585" s="65"/>
      <c r="L4585" s="85" t="b">
        <f>IF(VLOOKUP(C4585,Projetos!A:L,12,false)=TRUE,TRUE,FALSE)</f>
        <v>1</v>
      </c>
      <c r="M4585" s="74">
        <v>52.1518759018759</v>
      </c>
      <c r="N4585" s="74">
        <f t="shared" si="1"/>
        <v>52.1518759</v>
      </c>
      <c r="O4585" s="74" t="b">
        <v>1</v>
      </c>
    </row>
    <row r="4586" hidden="1">
      <c r="A4586" s="82"/>
      <c r="B4586" s="65" t="s">
        <v>467</v>
      </c>
      <c r="C4586" s="65" t="s">
        <v>113</v>
      </c>
      <c r="D4586" s="65"/>
      <c r="E4586" s="65" t="s">
        <v>3471</v>
      </c>
      <c r="F4586" s="83">
        <v>0.34375</v>
      </c>
      <c r="G4586" s="83">
        <v>0.4166666666666667</v>
      </c>
      <c r="H4586" s="83">
        <v>0.07291666666666667</v>
      </c>
      <c r="I4586" s="84">
        <v>44533.0</v>
      </c>
      <c r="J4586" s="65" t="b">
        <v>0</v>
      </c>
      <c r="K4586" s="65" t="s">
        <v>150</v>
      </c>
      <c r="L4586" s="85" t="b">
        <f>IF(VLOOKUP(C4586,Projetos!A:L,12,false)=TRUE,TRUE,FALSE)</f>
        <v>1</v>
      </c>
      <c r="M4586" s="74">
        <v>52.1518759018759</v>
      </c>
      <c r="N4586" s="74">
        <f t="shared" si="1"/>
        <v>0</v>
      </c>
      <c r="O4586" s="74" t="b">
        <v>1</v>
      </c>
    </row>
    <row r="4587" hidden="1">
      <c r="A4587" s="82"/>
      <c r="B4587" s="65" t="s">
        <v>467</v>
      </c>
      <c r="C4587" s="65" t="s">
        <v>92</v>
      </c>
      <c r="D4587" s="65" t="str">
        <f>vlookup(C4587,'Classificação p pessoal'!F:G,2,false)</f>
        <v/>
      </c>
      <c r="E4587" s="65" t="s">
        <v>3472</v>
      </c>
      <c r="F4587" s="83">
        <v>0.4583333333333333</v>
      </c>
      <c r="G4587" s="83">
        <v>0.5</v>
      </c>
      <c r="H4587" s="83">
        <v>0.041666666666666664</v>
      </c>
      <c r="I4587" s="84">
        <v>44533.0</v>
      </c>
      <c r="J4587" s="65" t="b">
        <v>1</v>
      </c>
      <c r="K4587" s="65"/>
      <c r="L4587" s="85" t="b">
        <f>IF(VLOOKUP(C4587,Projetos!A:L,12,false)=TRUE,TRUE,FALSE)</f>
        <v>1</v>
      </c>
      <c r="M4587" s="74">
        <v>52.1518759018759</v>
      </c>
      <c r="N4587" s="74">
        <f t="shared" si="1"/>
        <v>52.1518759</v>
      </c>
      <c r="O4587" s="74" t="b">
        <v>1</v>
      </c>
    </row>
    <row r="4588" hidden="1">
      <c r="A4588" s="82"/>
      <c r="B4588" s="65" t="s">
        <v>467</v>
      </c>
      <c r="C4588" s="65" t="s">
        <v>92</v>
      </c>
      <c r="D4588" s="65"/>
      <c r="E4588" s="65" t="s">
        <v>3473</v>
      </c>
      <c r="F4588" s="83">
        <v>0.5625</v>
      </c>
      <c r="G4588" s="83">
        <v>0.6666666666666666</v>
      </c>
      <c r="H4588" s="83">
        <v>0.10416666666666667</v>
      </c>
      <c r="I4588" s="84">
        <v>44533.0</v>
      </c>
      <c r="J4588" s="65" t="b">
        <v>0</v>
      </c>
      <c r="K4588" s="65" t="s">
        <v>150</v>
      </c>
      <c r="L4588" s="85" t="b">
        <f>IF(VLOOKUP(C4588,Projetos!A:L,12,false)=TRUE,TRUE,FALSE)</f>
        <v>1</v>
      </c>
      <c r="M4588" s="74">
        <v>52.1518759018759</v>
      </c>
      <c r="N4588" s="74">
        <f t="shared" si="1"/>
        <v>0</v>
      </c>
      <c r="O4588" s="74" t="b">
        <v>1</v>
      </c>
    </row>
    <row r="4589" hidden="1">
      <c r="A4589" s="82"/>
      <c r="B4589" s="65" t="s">
        <v>467</v>
      </c>
      <c r="C4589" s="65" t="s">
        <v>88</v>
      </c>
      <c r="D4589" s="65" t="str">
        <f>vlookup(C4589,'Classificação p pessoal'!F:G,2,false)</f>
        <v>MProduto</v>
      </c>
      <c r="E4589" s="65" t="s">
        <v>3474</v>
      </c>
      <c r="F4589" s="83">
        <v>0.6666666666666666</v>
      </c>
      <c r="G4589" s="83">
        <v>0.6875</v>
      </c>
      <c r="H4589" s="83">
        <v>0.020833333333333332</v>
      </c>
      <c r="I4589" s="84">
        <v>44533.0</v>
      </c>
      <c r="J4589" s="65" t="b">
        <v>1</v>
      </c>
      <c r="K4589" s="65"/>
      <c r="L4589" s="85" t="b">
        <f>IF(VLOOKUP(C4589,Projetos!A:L,12,false)=TRUE,TRUE,FALSE)</f>
        <v>1</v>
      </c>
      <c r="M4589" s="74">
        <v>52.1518759018759</v>
      </c>
      <c r="N4589" s="74">
        <f t="shared" si="1"/>
        <v>26.07593795</v>
      </c>
      <c r="O4589" s="74" t="b">
        <v>1</v>
      </c>
    </row>
    <row r="4590" hidden="1">
      <c r="A4590" s="82"/>
      <c r="B4590" s="65" t="s">
        <v>467</v>
      </c>
      <c r="C4590" s="65" t="s">
        <v>113</v>
      </c>
      <c r="D4590" s="65"/>
      <c r="E4590" s="65" t="s">
        <v>3475</v>
      </c>
      <c r="F4590" s="83">
        <v>0.4166666666666667</v>
      </c>
      <c r="G4590" s="83">
        <v>0.4583333333333333</v>
      </c>
      <c r="H4590" s="83">
        <v>0.041666666666666664</v>
      </c>
      <c r="I4590" s="84">
        <v>44533.0</v>
      </c>
      <c r="J4590" s="65" t="b">
        <v>0</v>
      </c>
      <c r="K4590" s="65" t="s">
        <v>150</v>
      </c>
      <c r="L4590" s="85" t="b">
        <f>IF(VLOOKUP(C4590,Projetos!A:L,12,false)=TRUE,TRUE,FALSE)</f>
        <v>1</v>
      </c>
      <c r="M4590" s="74">
        <v>52.1518759018759</v>
      </c>
      <c r="N4590" s="74">
        <f t="shared" si="1"/>
        <v>0</v>
      </c>
      <c r="O4590" s="74" t="b">
        <v>1</v>
      </c>
    </row>
    <row r="4591" hidden="1">
      <c r="A4591" s="82"/>
      <c r="B4591" s="65" t="s">
        <v>467</v>
      </c>
      <c r="C4591" s="65" t="s">
        <v>84</v>
      </c>
      <c r="D4591" s="65"/>
      <c r="E4591" s="65" t="s">
        <v>3476</v>
      </c>
      <c r="F4591" s="83">
        <v>0.3541666666666667</v>
      </c>
      <c r="G4591" s="83">
        <v>0.4583333333333333</v>
      </c>
      <c r="H4591" s="83">
        <v>0.10416666666666667</v>
      </c>
      <c r="I4591" s="84">
        <v>44536.0</v>
      </c>
      <c r="J4591" s="65" t="b">
        <v>0</v>
      </c>
      <c r="K4591" s="65"/>
      <c r="L4591" s="85" t="b">
        <f>IF(VLOOKUP(C4591,Projetos!A:L,12,false)=TRUE,TRUE,FALSE)</f>
        <v>0</v>
      </c>
      <c r="M4591" s="74">
        <v>52.1518759018759</v>
      </c>
      <c r="N4591" s="74">
        <f t="shared" si="1"/>
        <v>0</v>
      </c>
      <c r="O4591" s="74" t="b">
        <v>0</v>
      </c>
    </row>
    <row r="4592" hidden="1">
      <c r="A4592" s="82"/>
      <c r="B4592" s="65" t="s">
        <v>467</v>
      </c>
      <c r="C4592" s="65" t="s">
        <v>92</v>
      </c>
      <c r="D4592" s="65" t="str">
        <f>vlookup(C4592,'Classificação p pessoal'!F:G,2,false)</f>
        <v/>
      </c>
      <c r="E4592" s="65" t="s">
        <v>3477</v>
      </c>
      <c r="F4592" s="83">
        <v>0.5833333333333334</v>
      </c>
      <c r="G4592" s="83">
        <v>0.7083333333333334</v>
      </c>
      <c r="H4592" s="83">
        <v>0.125</v>
      </c>
      <c r="I4592" s="84">
        <v>44536.0</v>
      </c>
      <c r="J4592" s="65" t="b">
        <v>1</v>
      </c>
      <c r="K4592" s="65"/>
      <c r="L4592" s="85" t="b">
        <f>IF(VLOOKUP(C4592,Projetos!A:L,12,false)=TRUE,TRUE,FALSE)</f>
        <v>1</v>
      </c>
      <c r="M4592" s="74">
        <v>52.1518759018759</v>
      </c>
      <c r="N4592" s="74">
        <f t="shared" si="1"/>
        <v>156.4556277</v>
      </c>
      <c r="O4592" s="74" t="b">
        <v>1</v>
      </c>
    </row>
    <row r="4593" hidden="1">
      <c r="A4593" s="82"/>
      <c r="B4593" s="65" t="s">
        <v>467</v>
      </c>
      <c r="C4593" s="65" t="s">
        <v>84</v>
      </c>
      <c r="D4593" s="65"/>
      <c r="E4593" s="65" t="s">
        <v>3478</v>
      </c>
      <c r="F4593" s="83">
        <v>0.3541666666666667</v>
      </c>
      <c r="G4593" s="83">
        <v>0.4375</v>
      </c>
      <c r="H4593" s="83">
        <v>0.08333333333333333</v>
      </c>
      <c r="I4593" s="84">
        <v>44537.0</v>
      </c>
      <c r="J4593" s="65" t="b">
        <v>0</v>
      </c>
      <c r="K4593" s="65"/>
      <c r="L4593" s="85" t="b">
        <f>IF(VLOOKUP(C4593,Projetos!A:L,12,false)=TRUE,TRUE,FALSE)</f>
        <v>0</v>
      </c>
      <c r="M4593" s="74">
        <v>52.1518759018759</v>
      </c>
      <c r="N4593" s="74">
        <f t="shared" si="1"/>
        <v>0</v>
      </c>
      <c r="O4593" s="74" t="b">
        <v>0</v>
      </c>
    </row>
    <row r="4594" hidden="1">
      <c r="A4594" s="82"/>
      <c r="B4594" s="65" t="s">
        <v>495</v>
      </c>
      <c r="C4594" s="65" t="s">
        <v>91</v>
      </c>
      <c r="D4594" s="65"/>
      <c r="E4594" s="65" t="s">
        <v>3479</v>
      </c>
      <c r="F4594" s="83">
        <v>0.3541666666666667</v>
      </c>
      <c r="G4594" s="83">
        <v>0.4166666666666667</v>
      </c>
      <c r="H4594" s="83">
        <v>0.0625</v>
      </c>
      <c r="I4594" s="84">
        <v>44523.0</v>
      </c>
      <c r="J4594" s="65" t="b">
        <v>0</v>
      </c>
      <c r="K4594" s="65"/>
      <c r="L4594" s="85" t="b">
        <f>IF(VLOOKUP(C4594,Projetos!A:L,12,false)=TRUE,TRUE,FALSE)</f>
        <v>1</v>
      </c>
      <c r="M4594" s="74">
        <v>73.7079846079846</v>
      </c>
      <c r="N4594" s="74">
        <f t="shared" si="1"/>
        <v>0</v>
      </c>
      <c r="O4594" s="74" t="b">
        <v>1</v>
      </c>
    </row>
    <row r="4595" hidden="1">
      <c r="A4595" s="82"/>
      <c r="B4595" s="65" t="s">
        <v>467</v>
      </c>
      <c r="C4595" s="65" t="s">
        <v>84</v>
      </c>
      <c r="D4595" s="65"/>
      <c r="E4595" s="65" t="s">
        <v>3480</v>
      </c>
      <c r="F4595" s="83">
        <v>0.5833333333333334</v>
      </c>
      <c r="G4595" s="83">
        <v>0.625</v>
      </c>
      <c r="H4595" s="83">
        <v>0.041666666666666664</v>
      </c>
      <c r="I4595" s="84">
        <v>44537.0</v>
      </c>
      <c r="J4595" s="65" t="b">
        <v>0</v>
      </c>
      <c r="K4595" s="65"/>
      <c r="L4595" s="85" t="b">
        <f>IF(VLOOKUP(C4595,Projetos!A:L,12,false)=TRUE,TRUE,FALSE)</f>
        <v>0</v>
      </c>
      <c r="M4595" s="74">
        <v>52.1518759018759</v>
      </c>
      <c r="N4595" s="74">
        <f t="shared" si="1"/>
        <v>0</v>
      </c>
      <c r="O4595" s="74" t="b">
        <v>0</v>
      </c>
    </row>
    <row r="4596" hidden="1">
      <c r="A4596" s="82"/>
      <c r="B4596" s="65" t="s">
        <v>467</v>
      </c>
      <c r="C4596" s="65" t="s">
        <v>120</v>
      </c>
      <c r="D4596" s="65"/>
      <c r="E4596" s="65" t="s">
        <v>3469</v>
      </c>
      <c r="F4596" s="83">
        <v>0.5833333333333334</v>
      </c>
      <c r="G4596" s="83">
        <v>0.7083333333333334</v>
      </c>
      <c r="H4596" s="83">
        <v>0.125</v>
      </c>
      <c r="I4596" s="84">
        <v>44538.0</v>
      </c>
      <c r="J4596" s="65" t="b">
        <v>0</v>
      </c>
      <c r="K4596" s="65" t="s">
        <v>150</v>
      </c>
      <c r="L4596" s="85" t="b">
        <f>IF(VLOOKUP(C4596,Projetos!A:L,12,false)=TRUE,TRUE,FALSE)</f>
        <v>0</v>
      </c>
      <c r="M4596" s="74">
        <v>52.1518759018759</v>
      </c>
      <c r="N4596" s="74">
        <f t="shared" si="1"/>
        <v>0</v>
      </c>
      <c r="O4596" s="74" t="b">
        <v>0</v>
      </c>
    </row>
    <row r="4597">
      <c r="A4597" s="82"/>
      <c r="B4597" s="65" t="s">
        <v>495</v>
      </c>
      <c r="C4597" s="65" t="s">
        <v>108</v>
      </c>
      <c r="D4597" s="65"/>
      <c r="E4597" s="65" t="s">
        <v>3481</v>
      </c>
      <c r="F4597" s="83">
        <v>0.3541666666666667</v>
      </c>
      <c r="G4597" s="83">
        <v>0.4166666666666667</v>
      </c>
      <c r="H4597" s="83">
        <v>0.0625</v>
      </c>
      <c r="I4597" s="84">
        <v>44461.0</v>
      </c>
      <c r="J4597" s="65" t="b">
        <v>0</v>
      </c>
      <c r="K4597" s="65"/>
      <c r="L4597" s="85" t="b">
        <f>IF(VLOOKUP(C4597,Projetos!A:L,12,false)=TRUE,TRUE,FALSE)</f>
        <v>1</v>
      </c>
      <c r="M4597" s="74">
        <v>73.7079846079846</v>
      </c>
      <c r="N4597" s="74">
        <f t="shared" si="1"/>
        <v>0</v>
      </c>
      <c r="O4597" s="74" t="b">
        <v>1</v>
      </c>
    </row>
    <row r="4598" hidden="1">
      <c r="A4598" s="82"/>
      <c r="B4598" s="65" t="s">
        <v>467</v>
      </c>
      <c r="C4598" s="65" t="s">
        <v>120</v>
      </c>
      <c r="D4598" s="65"/>
      <c r="E4598" s="65" t="s">
        <v>3469</v>
      </c>
      <c r="F4598" s="83">
        <v>0.5833333333333334</v>
      </c>
      <c r="G4598" s="83">
        <v>0.6909722222222222</v>
      </c>
      <c r="H4598" s="83">
        <v>0.1076388888888889</v>
      </c>
      <c r="I4598" s="84">
        <v>44539.0</v>
      </c>
      <c r="J4598" s="65" t="b">
        <v>0</v>
      </c>
      <c r="K4598" s="65" t="s">
        <v>150</v>
      </c>
      <c r="L4598" s="85" t="b">
        <f>IF(VLOOKUP(C4598,Projetos!A:L,12,false)=TRUE,TRUE,FALSE)</f>
        <v>0</v>
      </c>
      <c r="M4598" s="74">
        <v>52.1518759018759</v>
      </c>
      <c r="N4598" s="74">
        <f t="shared" si="1"/>
        <v>0</v>
      </c>
      <c r="O4598" s="74" t="b">
        <v>0</v>
      </c>
    </row>
    <row r="4599" hidden="1">
      <c r="A4599" s="82"/>
      <c r="B4599" s="65" t="s">
        <v>467</v>
      </c>
      <c r="C4599" s="65" t="s">
        <v>84</v>
      </c>
      <c r="D4599" s="65"/>
      <c r="E4599" s="65" t="s">
        <v>3482</v>
      </c>
      <c r="F4599" s="83">
        <v>0.3541666666666667</v>
      </c>
      <c r="G4599" s="83">
        <v>0.375</v>
      </c>
      <c r="H4599" s="83">
        <v>0.020833333333333332</v>
      </c>
      <c r="I4599" s="84">
        <v>44905.0</v>
      </c>
      <c r="J4599" s="65" t="b">
        <v>0</v>
      </c>
      <c r="K4599" s="65" t="s">
        <v>150</v>
      </c>
      <c r="L4599" s="85" t="b">
        <f>IF(VLOOKUP(C4599,Projetos!A:L,12,false)=TRUE,TRUE,FALSE)</f>
        <v>0</v>
      </c>
      <c r="M4599" s="74">
        <v>52.1518759018759</v>
      </c>
      <c r="N4599" s="74">
        <f t="shared" si="1"/>
        <v>0</v>
      </c>
      <c r="O4599" s="74" t="b">
        <v>0</v>
      </c>
    </row>
    <row r="4600" hidden="1">
      <c r="A4600" s="82"/>
      <c r="B4600" s="65" t="s">
        <v>467</v>
      </c>
      <c r="C4600" s="65" t="s">
        <v>120</v>
      </c>
      <c r="D4600" s="65"/>
      <c r="E4600" s="65" t="s">
        <v>3469</v>
      </c>
      <c r="F4600" s="83">
        <v>0.375</v>
      </c>
      <c r="G4600" s="83">
        <v>0.5</v>
      </c>
      <c r="H4600" s="83">
        <v>0.125</v>
      </c>
      <c r="I4600" s="84">
        <v>44540.0</v>
      </c>
      <c r="J4600" s="65" t="b">
        <v>0</v>
      </c>
      <c r="K4600" s="65" t="s">
        <v>150</v>
      </c>
      <c r="L4600" s="85" t="b">
        <f>IF(VLOOKUP(C4600,Projetos!A:L,12,false)=TRUE,TRUE,FALSE)</f>
        <v>0</v>
      </c>
      <c r="M4600" s="74">
        <v>52.1518759018759</v>
      </c>
      <c r="N4600" s="74">
        <f t="shared" si="1"/>
        <v>0</v>
      </c>
      <c r="O4600" s="74" t="b">
        <v>0</v>
      </c>
    </row>
    <row r="4601" hidden="1">
      <c r="A4601" s="82"/>
      <c r="B4601" s="65" t="s">
        <v>467</v>
      </c>
      <c r="C4601" s="65" t="s">
        <v>121</v>
      </c>
      <c r="D4601" s="65" t="str">
        <f>vlookup(C4601,'Classificação p pessoal'!F:G,2,false)</f>
        <v>NP</v>
      </c>
      <c r="E4601" s="65" t="s">
        <v>3483</v>
      </c>
      <c r="F4601" s="83">
        <v>0.5625</v>
      </c>
      <c r="G4601" s="83">
        <v>0.75</v>
      </c>
      <c r="H4601" s="83">
        <v>0.1875</v>
      </c>
      <c r="I4601" s="84">
        <v>44540.0</v>
      </c>
      <c r="J4601" s="65" t="b">
        <v>1</v>
      </c>
      <c r="K4601" s="65"/>
      <c r="L4601" s="85" t="b">
        <f>IF(VLOOKUP(C4601,Projetos!A:L,12,false)=TRUE,TRUE,FALSE)</f>
        <v>1</v>
      </c>
      <c r="M4601" s="74">
        <v>52.1518759018759</v>
      </c>
      <c r="N4601" s="74">
        <f t="shared" si="1"/>
        <v>234.6834416</v>
      </c>
      <c r="O4601" s="74" t="b">
        <v>1</v>
      </c>
    </row>
    <row r="4602" hidden="1">
      <c r="A4602" s="82"/>
      <c r="B4602" s="65" t="s">
        <v>467</v>
      </c>
      <c r="C4602" s="65" t="s">
        <v>84</v>
      </c>
      <c r="D4602" s="65"/>
      <c r="E4602" s="65" t="s">
        <v>3484</v>
      </c>
      <c r="F4602" s="83">
        <v>0.3611111111111111</v>
      </c>
      <c r="G4602" s="83">
        <v>0.4166666666666667</v>
      </c>
      <c r="H4602" s="83">
        <v>0.05555555555555555</v>
      </c>
      <c r="I4602" s="84">
        <v>44543.0</v>
      </c>
      <c r="J4602" s="65" t="b">
        <v>0</v>
      </c>
      <c r="K4602" s="65"/>
      <c r="L4602" s="85" t="b">
        <f>IF(VLOOKUP(C4602,Projetos!A:L,12,false)=TRUE,TRUE,FALSE)</f>
        <v>0</v>
      </c>
      <c r="M4602" s="74">
        <v>52.1518759018759</v>
      </c>
      <c r="N4602" s="74">
        <f t="shared" si="1"/>
        <v>0</v>
      </c>
      <c r="O4602" s="74" t="b">
        <v>0</v>
      </c>
    </row>
    <row r="4603" hidden="1">
      <c r="A4603" s="82"/>
      <c r="B4603" s="65" t="s">
        <v>467</v>
      </c>
      <c r="C4603" s="65" t="s">
        <v>84</v>
      </c>
      <c r="D4603" s="65"/>
      <c r="E4603" s="65" t="s">
        <v>3485</v>
      </c>
      <c r="F4603" s="83">
        <v>0.4166666666666667</v>
      </c>
      <c r="G4603" s="83">
        <v>0.5</v>
      </c>
      <c r="H4603" s="83">
        <v>0.08333333333333333</v>
      </c>
      <c r="I4603" s="84">
        <v>44543.0</v>
      </c>
      <c r="J4603" s="65" t="b">
        <v>0</v>
      </c>
      <c r="K4603" s="65"/>
      <c r="L4603" s="85" t="b">
        <f>IF(VLOOKUP(C4603,Projetos!A:L,12,false)=TRUE,TRUE,FALSE)</f>
        <v>0</v>
      </c>
      <c r="M4603" s="74">
        <v>52.1518759018759</v>
      </c>
      <c r="N4603" s="74">
        <f t="shared" si="1"/>
        <v>0</v>
      </c>
      <c r="O4603" s="74" t="b">
        <v>0</v>
      </c>
    </row>
    <row r="4604" hidden="1">
      <c r="A4604" s="82"/>
      <c r="B4604" s="65" t="s">
        <v>467</v>
      </c>
      <c r="C4604" s="65" t="s">
        <v>92</v>
      </c>
      <c r="D4604" s="65" t="str">
        <f>vlookup(C4604,'Classificação p pessoal'!F:G,2,false)</f>
        <v/>
      </c>
      <c r="E4604" s="65" t="s">
        <v>3486</v>
      </c>
      <c r="F4604" s="83">
        <v>0.5625</v>
      </c>
      <c r="G4604" s="83">
        <v>0.6041666666666666</v>
      </c>
      <c r="H4604" s="83">
        <v>0.041666666666666664</v>
      </c>
      <c r="I4604" s="84">
        <v>44543.0</v>
      </c>
      <c r="J4604" s="65" t="b">
        <v>1</v>
      </c>
      <c r="K4604" s="65"/>
      <c r="L4604" s="85" t="b">
        <f>IF(VLOOKUP(C4604,Projetos!A:L,12,false)=TRUE,TRUE,FALSE)</f>
        <v>1</v>
      </c>
      <c r="M4604" s="74">
        <v>52.1518759018759</v>
      </c>
      <c r="N4604" s="74">
        <f t="shared" si="1"/>
        <v>52.1518759</v>
      </c>
      <c r="O4604" s="74" t="b">
        <v>1</v>
      </c>
    </row>
    <row r="4605" hidden="1">
      <c r="A4605" s="82"/>
      <c r="B4605" s="65" t="s">
        <v>467</v>
      </c>
      <c r="C4605" s="65" t="s">
        <v>120</v>
      </c>
      <c r="D4605" s="65"/>
      <c r="E4605" s="65" t="s">
        <v>3469</v>
      </c>
      <c r="F4605" s="83">
        <v>0.625</v>
      </c>
      <c r="G4605" s="83">
        <v>0.7083333333333334</v>
      </c>
      <c r="H4605" s="83">
        <v>0.08333333333333333</v>
      </c>
      <c r="I4605" s="84">
        <v>44543.0</v>
      </c>
      <c r="J4605" s="65" t="b">
        <v>0</v>
      </c>
      <c r="K4605" s="65" t="s">
        <v>150</v>
      </c>
      <c r="L4605" s="85" t="b">
        <f>IF(VLOOKUP(C4605,Projetos!A:L,12,false)=TRUE,TRUE,FALSE)</f>
        <v>0</v>
      </c>
      <c r="M4605" s="74">
        <v>52.1518759018759</v>
      </c>
      <c r="N4605" s="74">
        <f t="shared" si="1"/>
        <v>0</v>
      </c>
      <c r="O4605" s="74" t="b">
        <v>0</v>
      </c>
    </row>
    <row r="4606" hidden="1">
      <c r="A4606" s="82"/>
      <c r="B4606" s="65" t="s">
        <v>467</v>
      </c>
      <c r="C4606" s="65" t="s">
        <v>92</v>
      </c>
      <c r="D4606" s="65" t="str">
        <f>vlookup(C4606,'Classificação p pessoal'!F:G,2,false)</f>
        <v/>
      </c>
      <c r="E4606" s="65" t="s">
        <v>3487</v>
      </c>
      <c r="F4606" s="83">
        <v>0.3541666666666667</v>
      </c>
      <c r="G4606" s="83">
        <v>0.4583333333333333</v>
      </c>
      <c r="H4606" s="83">
        <v>0.10416666666666667</v>
      </c>
      <c r="I4606" s="84">
        <v>44544.0</v>
      </c>
      <c r="J4606" s="65" t="b">
        <v>1</v>
      </c>
      <c r="K4606" s="65"/>
      <c r="L4606" s="85" t="b">
        <f>IF(VLOOKUP(C4606,Projetos!A:L,12,false)=TRUE,TRUE,FALSE)</f>
        <v>1</v>
      </c>
      <c r="M4606" s="74">
        <v>52.1518759018759</v>
      </c>
      <c r="N4606" s="74">
        <f t="shared" si="1"/>
        <v>130.3796898</v>
      </c>
      <c r="O4606" s="74" t="b">
        <v>1</v>
      </c>
    </row>
    <row r="4607" hidden="1">
      <c r="A4607" s="82"/>
      <c r="B4607" s="65" t="s">
        <v>467</v>
      </c>
      <c r="C4607" s="65" t="s">
        <v>92</v>
      </c>
      <c r="D4607" s="65" t="str">
        <f>vlookup(C4607,'Classificação p pessoal'!F:G,2,false)</f>
        <v/>
      </c>
      <c r="E4607" s="65" t="s">
        <v>3488</v>
      </c>
      <c r="F4607" s="83">
        <v>0.5625</v>
      </c>
      <c r="G4607" s="83">
        <v>0.5833333333333334</v>
      </c>
      <c r="H4607" s="83">
        <v>0.020833333333333332</v>
      </c>
      <c r="I4607" s="84">
        <v>44544.0</v>
      </c>
      <c r="J4607" s="65" t="b">
        <v>1</v>
      </c>
      <c r="K4607" s="65"/>
      <c r="L4607" s="85" t="b">
        <f>IF(VLOOKUP(C4607,Projetos!A:L,12,false)=TRUE,TRUE,FALSE)</f>
        <v>1</v>
      </c>
      <c r="M4607" s="74">
        <v>52.1518759018759</v>
      </c>
      <c r="N4607" s="74">
        <f t="shared" si="1"/>
        <v>26.07593795</v>
      </c>
      <c r="O4607" s="74" t="b">
        <v>1</v>
      </c>
    </row>
    <row r="4608" hidden="1">
      <c r="A4608" s="82"/>
      <c r="B4608" s="65" t="s">
        <v>467</v>
      </c>
      <c r="C4608" s="65" t="s">
        <v>120</v>
      </c>
      <c r="D4608" s="65"/>
      <c r="E4608" s="65" t="s">
        <v>3469</v>
      </c>
      <c r="F4608" s="83">
        <v>0.6458333333333334</v>
      </c>
      <c r="G4608" s="83">
        <v>0.7395833333333334</v>
      </c>
      <c r="H4608" s="83">
        <v>0.09375</v>
      </c>
      <c r="I4608" s="84">
        <v>44544.0</v>
      </c>
      <c r="J4608" s="65" t="b">
        <v>0</v>
      </c>
      <c r="K4608" s="65" t="s">
        <v>150</v>
      </c>
      <c r="L4608" s="85" t="b">
        <f>IF(VLOOKUP(C4608,Projetos!A:L,12,false)=TRUE,TRUE,FALSE)</f>
        <v>0</v>
      </c>
      <c r="M4608" s="74">
        <v>52.1518759018759</v>
      </c>
      <c r="N4608" s="74">
        <f t="shared" si="1"/>
        <v>0</v>
      </c>
      <c r="O4608" s="74" t="b">
        <v>0</v>
      </c>
    </row>
    <row r="4609" hidden="1">
      <c r="A4609" s="82"/>
      <c r="B4609" s="65" t="s">
        <v>467</v>
      </c>
      <c r="C4609" s="65" t="s">
        <v>84</v>
      </c>
      <c r="D4609" s="65"/>
      <c r="E4609" s="65" t="s">
        <v>1531</v>
      </c>
      <c r="F4609" s="83">
        <v>0.4583333333333333</v>
      </c>
      <c r="G4609" s="83">
        <v>0.5</v>
      </c>
      <c r="H4609" s="83">
        <v>0.041666666666666664</v>
      </c>
      <c r="I4609" s="84">
        <v>44544.0</v>
      </c>
      <c r="J4609" s="65" t="b">
        <v>0</v>
      </c>
      <c r="K4609" s="65"/>
      <c r="L4609" s="85" t="b">
        <f>IF(VLOOKUP(C4609,Projetos!A:L,12,false)=TRUE,TRUE,FALSE)</f>
        <v>0</v>
      </c>
      <c r="M4609" s="74">
        <v>52.1518759018759</v>
      </c>
      <c r="N4609" s="74">
        <f t="shared" si="1"/>
        <v>0</v>
      </c>
      <c r="O4609" s="74" t="b">
        <v>0</v>
      </c>
    </row>
    <row r="4610" hidden="1">
      <c r="A4610" s="82"/>
      <c r="B4610" s="65" t="s">
        <v>467</v>
      </c>
      <c r="C4610" s="65" t="s">
        <v>88</v>
      </c>
      <c r="D4610" s="65" t="str">
        <f>vlookup(C4610,'Classificação p pessoal'!F:G,2,false)</f>
        <v>MProduto</v>
      </c>
      <c r="E4610" s="65" t="s">
        <v>3489</v>
      </c>
      <c r="F4610" s="83">
        <v>0.3541666666666667</v>
      </c>
      <c r="G4610" s="83">
        <v>0.3958333333333333</v>
      </c>
      <c r="H4610" s="83">
        <v>0.041666666666666664</v>
      </c>
      <c r="I4610" s="84">
        <v>44545.0</v>
      </c>
      <c r="J4610" s="65" t="b">
        <v>1</v>
      </c>
      <c r="K4610" s="65"/>
      <c r="L4610" s="85" t="b">
        <f>IF(VLOOKUP(C4610,Projetos!A:L,12,false)=TRUE,TRUE,FALSE)</f>
        <v>1</v>
      </c>
      <c r="M4610" s="74">
        <v>52.1518759018759</v>
      </c>
      <c r="N4610" s="74">
        <f t="shared" si="1"/>
        <v>52.1518759</v>
      </c>
      <c r="O4610" s="74" t="b">
        <v>1</v>
      </c>
    </row>
    <row r="4611" hidden="1">
      <c r="A4611" s="82"/>
      <c r="B4611" s="65" t="s">
        <v>467</v>
      </c>
      <c r="C4611" s="65" t="s">
        <v>130</v>
      </c>
      <c r="D4611" s="65" t="str">
        <f>vlookup(C4611,'Classificação p pessoal'!F:G,2,false)</f>
        <v>NP</v>
      </c>
      <c r="E4611" s="65" t="s">
        <v>3490</v>
      </c>
      <c r="F4611" s="83">
        <v>0.3958333333333333</v>
      </c>
      <c r="G4611" s="83">
        <v>0.5</v>
      </c>
      <c r="H4611" s="83">
        <v>0.10416666666666667</v>
      </c>
      <c r="I4611" s="84">
        <v>44545.0</v>
      </c>
      <c r="J4611" s="65" t="b">
        <v>1</v>
      </c>
      <c r="K4611" s="65"/>
      <c r="L4611" s="85" t="b">
        <f>IF(VLOOKUP(C4611,Projetos!A:L,12,false)=TRUE,TRUE,FALSE)</f>
        <v>1</v>
      </c>
      <c r="M4611" s="74">
        <v>52.1518759018759</v>
      </c>
      <c r="N4611" s="74">
        <f t="shared" si="1"/>
        <v>130.3796898</v>
      </c>
      <c r="O4611" s="74" t="b">
        <v>1</v>
      </c>
    </row>
    <row r="4612" hidden="1">
      <c r="A4612" s="82"/>
      <c r="B4612" s="65" t="s">
        <v>467</v>
      </c>
      <c r="C4612" s="65" t="s">
        <v>92</v>
      </c>
      <c r="D4612" s="65"/>
      <c r="E4612" s="65" t="s">
        <v>3469</v>
      </c>
      <c r="F4612" s="83">
        <v>0.6041666666666666</v>
      </c>
      <c r="G4612" s="83">
        <v>0.7083333333333334</v>
      </c>
      <c r="H4612" s="83">
        <v>0.10416666666666667</v>
      </c>
      <c r="I4612" s="84">
        <v>44545.0</v>
      </c>
      <c r="J4612" s="65" t="b">
        <v>0</v>
      </c>
      <c r="K4612" s="65" t="s">
        <v>150</v>
      </c>
      <c r="L4612" s="85" t="b">
        <f>IF(VLOOKUP(C4612,Projetos!A:L,12,false)=TRUE,TRUE,FALSE)</f>
        <v>1</v>
      </c>
      <c r="M4612" s="74">
        <v>52.1518759018759</v>
      </c>
      <c r="N4612" s="74">
        <f t="shared" si="1"/>
        <v>0</v>
      </c>
      <c r="O4612" s="74" t="b">
        <v>1</v>
      </c>
    </row>
    <row r="4613" hidden="1">
      <c r="A4613" s="82"/>
      <c r="B4613" s="65" t="s">
        <v>467</v>
      </c>
      <c r="C4613" s="65" t="s">
        <v>92</v>
      </c>
      <c r="D4613" s="65" t="str">
        <f>vlookup(C4613,'Classificação p pessoal'!F:G,2,false)</f>
        <v/>
      </c>
      <c r="E4613" s="65" t="s">
        <v>3491</v>
      </c>
      <c r="F4613" s="83">
        <v>0.3541666666666667</v>
      </c>
      <c r="G4613" s="83">
        <v>0.3958333333333333</v>
      </c>
      <c r="H4613" s="83">
        <v>0.041666666666666664</v>
      </c>
      <c r="I4613" s="84">
        <v>44546.0</v>
      </c>
      <c r="J4613" s="65" t="b">
        <v>1</v>
      </c>
      <c r="K4613" s="65"/>
      <c r="L4613" s="85" t="b">
        <f>IF(VLOOKUP(C4613,Projetos!A:L,12,false)=TRUE,TRUE,FALSE)</f>
        <v>1</v>
      </c>
      <c r="M4613" s="74">
        <v>52.1518759018759</v>
      </c>
      <c r="N4613" s="74">
        <f t="shared" si="1"/>
        <v>52.1518759</v>
      </c>
      <c r="O4613" s="74" t="b">
        <v>1</v>
      </c>
    </row>
    <row r="4614" hidden="1">
      <c r="A4614" s="82"/>
      <c r="B4614" s="65" t="s">
        <v>467</v>
      </c>
      <c r="C4614" s="65" t="s">
        <v>120</v>
      </c>
      <c r="D4614" s="65"/>
      <c r="E4614" s="65" t="s">
        <v>3469</v>
      </c>
      <c r="F4614" s="83">
        <v>0.4166666666666667</v>
      </c>
      <c r="G4614" s="83">
        <v>0.4791666666666667</v>
      </c>
      <c r="H4614" s="83">
        <v>0.0625</v>
      </c>
      <c r="I4614" s="84">
        <v>44546.0</v>
      </c>
      <c r="J4614" s="65" t="b">
        <v>0</v>
      </c>
      <c r="K4614" s="65" t="s">
        <v>150</v>
      </c>
      <c r="L4614" s="85" t="b">
        <f>IF(VLOOKUP(C4614,Projetos!A:L,12,false)=TRUE,TRUE,FALSE)</f>
        <v>0</v>
      </c>
      <c r="M4614" s="74">
        <v>52.1518759018759</v>
      </c>
      <c r="N4614" s="74">
        <f t="shared" si="1"/>
        <v>0</v>
      </c>
      <c r="O4614" s="74" t="b">
        <v>0</v>
      </c>
    </row>
    <row r="4615" hidden="1">
      <c r="A4615" s="82"/>
      <c r="B4615" s="65" t="s">
        <v>495</v>
      </c>
      <c r="C4615" s="65" t="s">
        <v>92</v>
      </c>
      <c r="D4615" s="65"/>
      <c r="E4615" s="65" t="s">
        <v>3492</v>
      </c>
      <c r="F4615" s="83">
        <v>0.3333333333333333</v>
      </c>
      <c r="G4615" s="83">
        <v>0.4791666666666667</v>
      </c>
      <c r="H4615" s="83">
        <v>0.14583333333333334</v>
      </c>
      <c r="I4615" s="84">
        <v>44524.0</v>
      </c>
      <c r="J4615" s="65" t="b">
        <v>0</v>
      </c>
      <c r="K4615" s="65" t="s">
        <v>150</v>
      </c>
      <c r="L4615" s="85" t="b">
        <f>IF(VLOOKUP(C4615,Projetos!A:L,12,false)=TRUE,TRUE,FALSE)</f>
        <v>1</v>
      </c>
      <c r="M4615" s="74">
        <v>73.7079846079846</v>
      </c>
      <c r="N4615" s="74">
        <f t="shared" si="1"/>
        <v>0</v>
      </c>
      <c r="O4615" s="74" t="b">
        <v>1</v>
      </c>
    </row>
    <row r="4616" hidden="1">
      <c r="A4616" s="82"/>
      <c r="B4616" s="65" t="s">
        <v>467</v>
      </c>
      <c r="C4616" s="65" t="s">
        <v>92</v>
      </c>
      <c r="D4616" s="65" t="str">
        <f>vlookup(C4616,'Classificação p pessoal'!F:G,2,false)</f>
        <v/>
      </c>
      <c r="E4616" s="65" t="s">
        <v>3493</v>
      </c>
      <c r="F4616" s="83">
        <v>0.3958333333333333</v>
      </c>
      <c r="G4616" s="83">
        <v>0.5</v>
      </c>
      <c r="H4616" s="83">
        <v>0.10416666666666667</v>
      </c>
      <c r="I4616" s="84">
        <v>44550.0</v>
      </c>
      <c r="J4616" s="65" t="b">
        <v>1</v>
      </c>
      <c r="K4616" s="65"/>
      <c r="L4616" s="85" t="b">
        <f>IF(VLOOKUP(C4616,Projetos!A:L,12,false)=TRUE,TRUE,FALSE)</f>
        <v>1</v>
      </c>
      <c r="M4616" s="74">
        <v>52.1518759018759</v>
      </c>
      <c r="N4616" s="74">
        <f t="shared" si="1"/>
        <v>130.3796898</v>
      </c>
      <c r="O4616" s="74" t="b">
        <v>1</v>
      </c>
    </row>
    <row r="4617" hidden="1">
      <c r="A4617" s="82"/>
      <c r="B4617" s="65" t="s">
        <v>467</v>
      </c>
      <c r="C4617" s="65" t="s">
        <v>84</v>
      </c>
      <c r="D4617" s="65"/>
      <c r="E4617" s="65" t="s">
        <v>3494</v>
      </c>
      <c r="F4617" s="83">
        <v>0.375</v>
      </c>
      <c r="G4617" s="83">
        <v>0.3958333333333333</v>
      </c>
      <c r="H4617" s="83">
        <v>0.020833333333333332</v>
      </c>
      <c r="I4617" s="84">
        <v>44550.0</v>
      </c>
      <c r="J4617" s="65" t="b">
        <v>0</v>
      </c>
      <c r="K4617" s="65"/>
      <c r="L4617" s="85" t="b">
        <f>IF(VLOOKUP(C4617,Projetos!A:L,12,false)=TRUE,TRUE,FALSE)</f>
        <v>0</v>
      </c>
      <c r="M4617" s="74">
        <v>52.1518759018759</v>
      </c>
      <c r="N4617" s="74">
        <f t="shared" si="1"/>
        <v>0</v>
      </c>
      <c r="O4617" s="74" t="b">
        <v>0</v>
      </c>
    </row>
    <row r="4618" hidden="1">
      <c r="A4618" s="82"/>
      <c r="B4618" s="65" t="s">
        <v>467</v>
      </c>
      <c r="C4618" s="65" t="s">
        <v>120</v>
      </c>
      <c r="D4618" s="65"/>
      <c r="E4618" s="65" t="s">
        <v>3469</v>
      </c>
      <c r="F4618" s="83">
        <v>0.5625</v>
      </c>
      <c r="G4618" s="83">
        <v>0.625</v>
      </c>
      <c r="H4618" s="83">
        <v>0.0625</v>
      </c>
      <c r="I4618" s="84">
        <v>44550.0</v>
      </c>
      <c r="J4618" s="65" t="b">
        <v>0</v>
      </c>
      <c r="K4618" s="65" t="s">
        <v>150</v>
      </c>
      <c r="L4618" s="85" t="b">
        <f>IF(VLOOKUP(C4618,Projetos!A:L,12,false)=TRUE,TRUE,FALSE)</f>
        <v>0</v>
      </c>
      <c r="M4618" s="74">
        <v>52.1518759018759</v>
      </c>
      <c r="N4618" s="74">
        <f t="shared" si="1"/>
        <v>0</v>
      </c>
      <c r="O4618" s="74" t="b">
        <v>0</v>
      </c>
    </row>
    <row r="4619" hidden="1">
      <c r="A4619" s="82"/>
      <c r="B4619" s="65" t="s">
        <v>467</v>
      </c>
      <c r="C4619" s="65" t="s">
        <v>130</v>
      </c>
      <c r="D4619" s="65" t="str">
        <f>vlookup(C4619,'Classificação p pessoal'!F:G,2,false)</f>
        <v>NP</v>
      </c>
      <c r="E4619" s="65" t="s">
        <v>3495</v>
      </c>
      <c r="F4619" s="83">
        <v>0.625</v>
      </c>
      <c r="G4619" s="83">
        <v>0.6666666666666666</v>
      </c>
      <c r="H4619" s="83">
        <v>0.041666666666666664</v>
      </c>
      <c r="I4619" s="84">
        <v>44550.0</v>
      </c>
      <c r="J4619" s="65" t="b">
        <v>1</v>
      </c>
      <c r="K4619" s="65"/>
      <c r="L4619" s="85" t="b">
        <f>IF(VLOOKUP(C4619,Projetos!A:L,12,false)=TRUE,TRUE,FALSE)</f>
        <v>1</v>
      </c>
      <c r="M4619" s="74">
        <v>52.1518759018759</v>
      </c>
      <c r="N4619" s="74">
        <f t="shared" si="1"/>
        <v>52.1518759</v>
      </c>
      <c r="O4619" s="74" t="b">
        <v>1</v>
      </c>
    </row>
    <row r="4620" hidden="1">
      <c r="A4620" s="82"/>
      <c r="B4620" s="65" t="s">
        <v>467</v>
      </c>
      <c r="C4620" s="65" t="s">
        <v>92</v>
      </c>
      <c r="D4620" s="65" t="str">
        <f>vlookup(C4620,'Classificação p pessoal'!F:G,2,false)</f>
        <v/>
      </c>
      <c r="E4620" s="65" t="s">
        <v>3496</v>
      </c>
      <c r="F4620" s="83">
        <v>0.3541666666666667</v>
      </c>
      <c r="G4620" s="83">
        <v>0.4375</v>
      </c>
      <c r="H4620" s="83">
        <v>0.08333333333333333</v>
      </c>
      <c r="I4620" s="84">
        <v>44551.0</v>
      </c>
      <c r="J4620" s="65" t="b">
        <v>1</v>
      </c>
      <c r="K4620" s="65"/>
      <c r="L4620" s="85" t="b">
        <f>IF(VLOOKUP(C4620,Projetos!A:L,12,false)=TRUE,TRUE,FALSE)</f>
        <v>1</v>
      </c>
      <c r="M4620" s="74">
        <v>52.1518759018759</v>
      </c>
      <c r="N4620" s="74">
        <f t="shared" si="1"/>
        <v>104.3037518</v>
      </c>
      <c r="O4620" s="74" t="b">
        <v>1</v>
      </c>
    </row>
    <row r="4621" hidden="1">
      <c r="A4621" s="82"/>
      <c r="B4621" s="65" t="s">
        <v>467</v>
      </c>
      <c r="C4621" s="65" t="s">
        <v>130</v>
      </c>
      <c r="D4621" s="65" t="str">
        <f>vlookup(C4621,'Classificação p pessoal'!F:G,2,false)</f>
        <v>NP</v>
      </c>
      <c r="E4621" s="65" t="s">
        <v>3497</v>
      </c>
      <c r="F4621" s="83">
        <v>0.4375</v>
      </c>
      <c r="G4621" s="83">
        <v>0.5208333333333334</v>
      </c>
      <c r="H4621" s="83">
        <v>0.08333333333333333</v>
      </c>
      <c r="I4621" s="84">
        <v>44551.0</v>
      </c>
      <c r="J4621" s="65" t="b">
        <v>1</v>
      </c>
      <c r="K4621" s="65"/>
      <c r="L4621" s="85" t="b">
        <f>IF(VLOOKUP(C4621,Projetos!A:L,12,false)=TRUE,TRUE,FALSE)</f>
        <v>1</v>
      </c>
      <c r="M4621" s="74">
        <v>52.1518759018759</v>
      </c>
      <c r="N4621" s="74">
        <f t="shared" si="1"/>
        <v>104.3037518</v>
      </c>
      <c r="O4621" s="74" t="b">
        <v>1</v>
      </c>
    </row>
    <row r="4622" hidden="1">
      <c r="A4622" s="82"/>
      <c r="B4622" s="65" t="s">
        <v>467</v>
      </c>
      <c r="C4622" s="65" t="s">
        <v>120</v>
      </c>
      <c r="D4622" s="65"/>
      <c r="E4622" s="65" t="s">
        <v>3469</v>
      </c>
      <c r="F4622" s="83">
        <v>0.5625</v>
      </c>
      <c r="G4622" s="83">
        <v>0.6458333333333334</v>
      </c>
      <c r="H4622" s="83">
        <v>0.08333333333333333</v>
      </c>
      <c r="I4622" s="84">
        <v>44551.0</v>
      </c>
      <c r="J4622" s="65" t="b">
        <v>0</v>
      </c>
      <c r="K4622" s="65" t="s">
        <v>150</v>
      </c>
      <c r="L4622" s="85" t="b">
        <f>IF(VLOOKUP(C4622,Projetos!A:L,12,false)=TRUE,TRUE,FALSE)</f>
        <v>0</v>
      </c>
      <c r="M4622" s="74">
        <v>52.1518759018759</v>
      </c>
      <c r="N4622" s="74">
        <f t="shared" si="1"/>
        <v>0</v>
      </c>
      <c r="O4622" s="74" t="b">
        <v>0</v>
      </c>
    </row>
    <row r="4623" hidden="1">
      <c r="A4623" s="82"/>
      <c r="B4623" s="65" t="s">
        <v>467</v>
      </c>
      <c r="C4623" s="65" t="s">
        <v>84</v>
      </c>
      <c r="D4623" s="65"/>
      <c r="E4623" s="65" t="s">
        <v>3498</v>
      </c>
      <c r="F4623" s="83">
        <v>0.6666666666666666</v>
      </c>
      <c r="G4623" s="83">
        <v>0.75</v>
      </c>
      <c r="H4623" s="83">
        <v>0.08333333333333333</v>
      </c>
      <c r="I4623" s="84">
        <v>44551.0</v>
      </c>
      <c r="J4623" s="65" t="b">
        <v>0</v>
      </c>
      <c r="K4623" s="65"/>
      <c r="L4623" s="85" t="b">
        <f>IF(VLOOKUP(C4623,Projetos!A:L,12,false)=TRUE,TRUE,FALSE)</f>
        <v>0</v>
      </c>
      <c r="M4623" s="74">
        <v>52.1518759018759</v>
      </c>
      <c r="N4623" s="74">
        <f t="shared" si="1"/>
        <v>0</v>
      </c>
      <c r="O4623" s="74" t="b">
        <v>0</v>
      </c>
    </row>
    <row r="4624" hidden="1">
      <c r="A4624" s="82"/>
      <c r="B4624" s="65" t="s">
        <v>467</v>
      </c>
      <c r="C4624" s="65" t="s">
        <v>92</v>
      </c>
      <c r="D4624" s="65" t="str">
        <f>vlookup(C4624,'Classificação p pessoal'!F:G,2,false)</f>
        <v/>
      </c>
      <c r="E4624" s="65" t="s">
        <v>3499</v>
      </c>
      <c r="F4624" s="83">
        <v>0.3541666666666667</v>
      </c>
      <c r="G4624" s="83">
        <v>0.4166666666666667</v>
      </c>
      <c r="H4624" s="83">
        <v>0.0625</v>
      </c>
      <c r="I4624" s="84">
        <v>44552.0</v>
      </c>
      <c r="J4624" s="65" t="b">
        <v>1</v>
      </c>
      <c r="K4624" s="65"/>
      <c r="L4624" s="85" t="b">
        <f>IF(VLOOKUP(C4624,Projetos!A:L,12,false)=TRUE,TRUE,FALSE)</f>
        <v>1</v>
      </c>
      <c r="M4624" s="74">
        <v>52.1518759018759</v>
      </c>
      <c r="N4624" s="74">
        <f t="shared" si="1"/>
        <v>78.22781385</v>
      </c>
      <c r="O4624" s="74" t="b">
        <v>1</v>
      </c>
    </row>
    <row r="4625" hidden="1">
      <c r="A4625" s="82"/>
      <c r="B4625" s="65" t="s">
        <v>467</v>
      </c>
      <c r="C4625" s="65" t="s">
        <v>92</v>
      </c>
      <c r="D4625" s="65" t="str">
        <f>vlookup(C4625,'Classificação p pessoal'!F:G,2,false)</f>
        <v/>
      </c>
      <c r="E4625" s="65" t="s">
        <v>3500</v>
      </c>
      <c r="F4625" s="83">
        <v>0.4166666666666667</v>
      </c>
      <c r="G4625" s="83">
        <v>0.4791666666666667</v>
      </c>
      <c r="H4625" s="83">
        <v>0.0625</v>
      </c>
      <c r="I4625" s="84">
        <v>44552.0</v>
      </c>
      <c r="J4625" s="65" t="b">
        <v>1</v>
      </c>
      <c r="K4625" s="65"/>
      <c r="L4625" s="85" t="b">
        <f>IF(VLOOKUP(C4625,Projetos!A:L,12,false)=TRUE,TRUE,FALSE)</f>
        <v>1</v>
      </c>
      <c r="M4625" s="74">
        <v>52.1518759018759</v>
      </c>
      <c r="N4625" s="74">
        <f t="shared" si="1"/>
        <v>78.22781385</v>
      </c>
      <c r="O4625" s="74" t="b">
        <v>1</v>
      </c>
    </row>
    <row r="4626" hidden="1">
      <c r="A4626" s="82"/>
      <c r="B4626" s="65" t="s">
        <v>495</v>
      </c>
      <c r="C4626" s="65" t="s">
        <v>92</v>
      </c>
      <c r="D4626" s="65"/>
      <c r="E4626" s="65" t="s">
        <v>3501</v>
      </c>
      <c r="F4626" s="83">
        <v>0.4375</v>
      </c>
      <c r="G4626" s="83">
        <v>0.5</v>
      </c>
      <c r="H4626" s="83">
        <v>0.0625</v>
      </c>
      <c r="I4626" s="84">
        <v>44379.0</v>
      </c>
      <c r="J4626" s="65" t="b">
        <v>0</v>
      </c>
      <c r="K4626" s="65"/>
      <c r="L4626" s="85" t="b">
        <f>IF(VLOOKUP(C4626,Projetos!A:L,12,false)=TRUE,TRUE,FALSE)</f>
        <v>1</v>
      </c>
      <c r="M4626" s="74">
        <v>73.7079846079846</v>
      </c>
      <c r="N4626" s="74">
        <f t="shared" si="1"/>
        <v>0</v>
      </c>
      <c r="O4626" s="74" t="b">
        <v>1</v>
      </c>
    </row>
    <row r="4627" hidden="1">
      <c r="A4627" s="82"/>
      <c r="B4627" s="65" t="s">
        <v>467</v>
      </c>
      <c r="C4627" s="65" t="s">
        <v>120</v>
      </c>
      <c r="D4627" s="65"/>
      <c r="E4627" s="65" t="s">
        <v>3469</v>
      </c>
      <c r="F4627" s="83">
        <v>0.6666666666666666</v>
      </c>
      <c r="G4627" s="83">
        <v>0.75</v>
      </c>
      <c r="H4627" s="83">
        <v>0.08333333333333333</v>
      </c>
      <c r="I4627" s="84">
        <v>44552.0</v>
      </c>
      <c r="J4627" s="65" t="b">
        <v>0</v>
      </c>
      <c r="K4627" s="65" t="s">
        <v>150</v>
      </c>
      <c r="L4627" s="85" t="b">
        <f>IF(VLOOKUP(C4627,Projetos!A:L,12,false)=TRUE,TRUE,FALSE)</f>
        <v>0</v>
      </c>
      <c r="M4627" s="74">
        <v>52.1518759018759</v>
      </c>
      <c r="N4627" s="74">
        <f t="shared" si="1"/>
        <v>0</v>
      </c>
      <c r="O4627" s="74" t="b">
        <v>0</v>
      </c>
    </row>
    <row r="4628" hidden="1">
      <c r="A4628" s="82"/>
      <c r="B4628" s="65" t="s">
        <v>467</v>
      </c>
      <c r="C4628" s="65" t="s">
        <v>113</v>
      </c>
      <c r="D4628" s="65" t="str">
        <f>vlookup(C4628,'Classificação p pessoal'!F:G,2,false)</f>
        <v>NP</v>
      </c>
      <c r="E4628" s="65" t="s">
        <v>3502</v>
      </c>
      <c r="F4628" s="83">
        <v>0.3541666666666667</v>
      </c>
      <c r="G4628" s="83">
        <v>0.375</v>
      </c>
      <c r="H4628" s="83">
        <v>0.020833333333333332</v>
      </c>
      <c r="I4628" s="84">
        <v>44553.0</v>
      </c>
      <c r="J4628" s="65" t="b">
        <v>1</v>
      </c>
      <c r="K4628" s="65"/>
      <c r="L4628" s="85" t="b">
        <f>IF(VLOOKUP(C4628,Projetos!A:L,12,false)=TRUE,TRUE,FALSE)</f>
        <v>1</v>
      </c>
      <c r="M4628" s="74">
        <v>52.1518759018759</v>
      </c>
      <c r="N4628" s="74">
        <f t="shared" si="1"/>
        <v>26.07593795</v>
      </c>
      <c r="O4628" s="74" t="b">
        <v>1</v>
      </c>
    </row>
    <row r="4629" hidden="1">
      <c r="A4629" s="82"/>
      <c r="B4629" s="65" t="s">
        <v>467</v>
      </c>
      <c r="C4629" s="65" t="s">
        <v>92</v>
      </c>
      <c r="D4629" s="65" t="str">
        <f>vlookup(C4629,'Classificação p pessoal'!F:G,2,false)</f>
        <v/>
      </c>
      <c r="E4629" s="65" t="s">
        <v>3503</v>
      </c>
      <c r="F4629" s="83">
        <v>0.3958333333333333</v>
      </c>
      <c r="G4629" s="83">
        <v>0.4375</v>
      </c>
      <c r="H4629" s="83">
        <v>0.041666666666666664</v>
      </c>
      <c r="I4629" s="84">
        <v>44553.0</v>
      </c>
      <c r="J4629" s="65" t="b">
        <v>1</v>
      </c>
      <c r="K4629" s="65"/>
      <c r="L4629" s="85" t="b">
        <f>IF(VLOOKUP(C4629,Projetos!A:L,12,false)=TRUE,TRUE,FALSE)</f>
        <v>1</v>
      </c>
      <c r="M4629" s="74">
        <v>52.1518759018759</v>
      </c>
      <c r="N4629" s="74">
        <f t="shared" si="1"/>
        <v>52.1518759</v>
      </c>
      <c r="O4629" s="74" t="b">
        <v>1</v>
      </c>
    </row>
    <row r="4630" hidden="1">
      <c r="A4630" s="82"/>
      <c r="B4630" s="65" t="s">
        <v>467</v>
      </c>
      <c r="C4630" s="65" t="s">
        <v>120</v>
      </c>
      <c r="D4630" s="65"/>
      <c r="E4630" s="65" t="s">
        <v>3469</v>
      </c>
      <c r="F4630" s="83">
        <v>0.625</v>
      </c>
      <c r="G4630" s="83">
        <v>0.75</v>
      </c>
      <c r="H4630" s="83">
        <v>0.125</v>
      </c>
      <c r="I4630" s="84">
        <v>44553.0</v>
      </c>
      <c r="J4630" s="65" t="b">
        <v>0</v>
      </c>
      <c r="K4630" s="65" t="s">
        <v>150</v>
      </c>
      <c r="L4630" s="85" t="b">
        <f>IF(VLOOKUP(C4630,Projetos!A:L,12,false)=TRUE,TRUE,FALSE)</f>
        <v>0</v>
      </c>
      <c r="M4630" s="74">
        <v>52.1518759018759</v>
      </c>
      <c r="N4630" s="74">
        <f t="shared" si="1"/>
        <v>0</v>
      </c>
      <c r="O4630" s="74" t="b">
        <v>0</v>
      </c>
    </row>
    <row r="4631" hidden="1">
      <c r="A4631" s="82"/>
      <c r="B4631" s="65" t="s">
        <v>467</v>
      </c>
      <c r="C4631" s="65" t="s">
        <v>92</v>
      </c>
      <c r="D4631" s="65" t="str">
        <f>vlookup(C4631,'Classificação p pessoal'!F:G,2,false)</f>
        <v/>
      </c>
      <c r="E4631" s="65" t="s">
        <v>3504</v>
      </c>
      <c r="F4631" s="83">
        <v>0.5625</v>
      </c>
      <c r="G4631" s="83">
        <v>0.6041666666666666</v>
      </c>
      <c r="H4631" s="83">
        <v>0.041666666666666664</v>
      </c>
      <c r="I4631" s="84">
        <v>44553.0</v>
      </c>
      <c r="J4631" s="65" t="b">
        <v>1</v>
      </c>
      <c r="K4631" s="65"/>
      <c r="L4631" s="85" t="b">
        <f>IF(VLOOKUP(C4631,Projetos!A:L,12,false)=TRUE,TRUE,FALSE)</f>
        <v>1</v>
      </c>
      <c r="M4631" s="74">
        <v>52.1518759018759</v>
      </c>
      <c r="N4631" s="74">
        <f t="shared" si="1"/>
        <v>52.1518759</v>
      </c>
      <c r="O4631" s="74" t="b">
        <v>1</v>
      </c>
    </row>
    <row r="4632" hidden="1">
      <c r="A4632" s="82"/>
      <c r="B4632" s="65" t="s">
        <v>467</v>
      </c>
      <c r="C4632" s="65" t="s">
        <v>120</v>
      </c>
      <c r="D4632" s="65"/>
      <c r="E4632" s="65" t="s">
        <v>3505</v>
      </c>
      <c r="F4632" s="83">
        <v>0.375</v>
      </c>
      <c r="G4632" s="83">
        <v>0.4166666666666667</v>
      </c>
      <c r="H4632" s="83">
        <v>0.041666666666666664</v>
      </c>
      <c r="I4632" s="84">
        <v>44557.0</v>
      </c>
      <c r="J4632" s="65" t="b">
        <v>0</v>
      </c>
      <c r="K4632" s="65"/>
      <c r="L4632" s="85" t="b">
        <f>IF(VLOOKUP(C4632,Projetos!A:L,12,false)=TRUE,TRUE,FALSE)</f>
        <v>0</v>
      </c>
      <c r="M4632" s="74">
        <v>52.1518759018759</v>
      </c>
      <c r="N4632" s="74">
        <f t="shared" si="1"/>
        <v>0</v>
      </c>
      <c r="O4632" s="74" t="b">
        <v>0</v>
      </c>
    </row>
    <row r="4633" hidden="1">
      <c r="A4633" s="82"/>
      <c r="B4633" s="65" t="s">
        <v>467</v>
      </c>
      <c r="C4633" s="65" t="s">
        <v>84</v>
      </c>
      <c r="D4633" s="65"/>
      <c r="E4633" s="65" t="s">
        <v>3506</v>
      </c>
      <c r="F4633" s="83">
        <v>0.4166666666666667</v>
      </c>
      <c r="G4633" s="83">
        <v>0.4375</v>
      </c>
      <c r="H4633" s="83">
        <v>0.020833333333333332</v>
      </c>
      <c r="I4633" s="84">
        <v>44557.0</v>
      </c>
      <c r="J4633" s="65" t="b">
        <v>0</v>
      </c>
      <c r="K4633" s="65"/>
      <c r="L4633" s="85" t="b">
        <f>IF(VLOOKUP(C4633,Projetos!A:L,12,false)=TRUE,TRUE,FALSE)</f>
        <v>0</v>
      </c>
      <c r="M4633" s="74">
        <v>52.1518759018759</v>
      </c>
      <c r="N4633" s="74">
        <f t="shared" si="1"/>
        <v>0</v>
      </c>
      <c r="O4633" s="74" t="b">
        <v>0</v>
      </c>
    </row>
    <row r="4634" hidden="1">
      <c r="A4634" s="82"/>
      <c r="B4634" s="65" t="s">
        <v>467</v>
      </c>
      <c r="C4634" s="65" t="s">
        <v>120</v>
      </c>
      <c r="D4634" s="65"/>
      <c r="E4634" s="65" t="s">
        <v>3469</v>
      </c>
      <c r="F4634" s="83">
        <v>0.5833333333333334</v>
      </c>
      <c r="G4634" s="83">
        <v>0.75</v>
      </c>
      <c r="H4634" s="83">
        <v>0.16666666666666666</v>
      </c>
      <c r="I4634" s="84">
        <v>44557.0</v>
      </c>
      <c r="J4634" s="65" t="b">
        <v>0</v>
      </c>
      <c r="K4634" s="65" t="s">
        <v>150</v>
      </c>
      <c r="L4634" s="85" t="b">
        <f>IF(VLOOKUP(C4634,Projetos!A:L,12,false)=TRUE,TRUE,FALSE)</f>
        <v>0</v>
      </c>
      <c r="M4634" s="74">
        <v>52.1518759018759</v>
      </c>
      <c r="N4634" s="74">
        <f t="shared" si="1"/>
        <v>0</v>
      </c>
      <c r="O4634" s="74" t="b">
        <v>0</v>
      </c>
    </row>
    <row r="4635" hidden="1">
      <c r="A4635" s="82"/>
      <c r="B4635" s="65" t="s">
        <v>467</v>
      </c>
      <c r="C4635" s="65" t="s">
        <v>92</v>
      </c>
      <c r="D4635" s="65"/>
      <c r="E4635" s="65" t="s">
        <v>3507</v>
      </c>
      <c r="F4635" s="83">
        <v>0.34375</v>
      </c>
      <c r="G4635" s="83">
        <v>0.4375</v>
      </c>
      <c r="H4635" s="83">
        <v>0.09375</v>
      </c>
      <c r="I4635" s="84">
        <v>44558.0</v>
      </c>
      <c r="J4635" s="65" t="b">
        <v>0</v>
      </c>
      <c r="K4635" s="65" t="s">
        <v>150</v>
      </c>
      <c r="L4635" s="85" t="b">
        <f>IF(VLOOKUP(C4635,Projetos!A:L,12,false)=TRUE,TRUE,FALSE)</f>
        <v>1</v>
      </c>
      <c r="M4635" s="74">
        <v>52.1518759018759</v>
      </c>
      <c r="N4635" s="74">
        <f t="shared" si="1"/>
        <v>0</v>
      </c>
      <c r="O4635" s="74" t="b">
        <v>1</v>
      </c>
    </row>
    <row r="4636" hidden="1">
      <c r="A4636" s="82"/>
      <c r="B4636" s="65" t="s">
        <v>467</v>
      </c>
      <c r="C4636" s="65" t="s">
        <v>84</v>
      </c>
      <c r="D4636" s="65"/>
      <c r="E4636" s="65" t="s">
        <v>3508</v>
      </c>
      <c r="F4636" s="83">
        <v>0.4375</v>
      </c>
      <c r="G4636" s="83">
        <v>0.5</v>
      </c>
      <c r="H4636" s="83">
        <v>0.0625</v>
      </c>
      <c r="I4636" s="84">
        <v>44558.0</v>
      </c>
      <c r="J4636" s="65" t="b">
        <v>0</v>
      </c>
      <c r="K4636" s="65"/>
      <c r="L4636" s="85" t="b">
        <f>IF(VLOOKUP(C4636,Projetos!A:L,12,false)=TRUE,TRUE,FALSE)</f>
        <v>0</v>
      </c>
      <c r="M4636" s="74">
        <v>52.1518759018759</v>
      </c>
      <c r="N4636" s="74">
        <f t="shared" si="1"/>
        <v>0</v>
      </c>
      <c r="O4636" s="74" t="b">
        <v>0</v>
      </c>
    </row>
    <row r="4637" hidden="1">
      <c r="A4637" s="82"/>
      <c r="B4637" s="65" t="s">
        <v>467</v>
      </c>
      <c r="C4637" s="65" t="s">
        <v>120</v>
      </c>
      <c r="D4637" s="65"/>
      <c r="E4637" s="65" t="s">
        <v>3469</v>
      </c>
      <c r="F4637" s="83">
        <v>0.5833333333333334</v>
      </c>
      <c r="G4637" s="83">
        <v>0.75</v>
      </c>
      <c r="H4637" s="83">
        <v>0.16666666666666666</v>
      </c>
      <c r="I4637" s="84">
        <v>44558.0</v>
      </c>
      <c r="J4637" s="65" t="b">
        <v>0</v>
      </c>
      <c r="K4637" s="65" t="s">
        <v>150</v>
      </c>
      <c r="L4637" s="85" t="b">
        <f>IF(VLOOKUP(C4637,Projetos!A:L,12,false)=TRUE,TRUE,FALSE)</f>
        <v>0</v>
      </c>
      <c r="M4637" s="74">
        <v>52.1518759018759</v>
      </c>
      <c r="N4637" s="74">
        <f t="shared" si="1"/>
        <v>0</v>
      </c>
      <c r="O4637" s="74" t="b">
        <v>0</v>
      </c>
    </row>
    <row r="4638" hidden="1">
      <c r="A4638" s="82"/>
      <c r="B4638" s="65" t="s">
        <v>467</v>
      </c>
      <c r="C4638" s="65" t="s">
        <v>120</v>
      </c>
      <c r="D4638" s="65"/>
      <c r="E4638" s="65" t="s">
        <v>3509</v>
      </c>
      <c r="F4638" s="83">
        <v>0.3958333333333333</v>
      </c>
      <c r="G4638" s="83">
        <v>0.4375</v>
      </c>
      <c r="H4638" s="83">
        <v>0.041666666666666664</v>
      </c>
      <c r="I4638" s="84">
        <v>44560.0</v>
      </c>
      <c r="J4638" s="65" t="b">
        <v>0</v>
      </c>
      <c r="K4638" s="65"/>
      <c r="L4638" s="85" t="b">
        <f>IF(VLOOKUP(C4638,Projetos!A:L,12,false)=TRUE,TRUE,FALSE)</f>
        <v>0</v>
      </c>
      <c r="M4638" s="74">
        <v>52.1518759018759</v>
      </c>
      <c r="N4638" s="74">
        <f t="shared" si="1"/>
        <v>0</v>
      </c>
      <c r="O4638" s="74" t="b">
        <v>0</v>
      </c>
    </row>
    <row r="4639" hidden="1">
      <c r="A4639" s="82"/>
      <c r="B4639" s="65" t="s">
        <v>467</v>
      </c>
      <c r="C4639" s="65" t="s">
        <v>92</v>
      </c>
      <c r="D4639" s="65" t="str">
        <f>vlookup(C4639,'Classificação p pessoal'!F:G,2,false)</f>
        <v/>
      </c>
      <c r="E4639" s="65" t="s">
        <v>3510</v>
      </c>
      <c r="F4639" s="83">
        <v>0.4375</v>
      </c>
      <c r="G4639" s="83">
        <v>0.4791666666666667</v>
      </c>
      <c r="H4639" s="83">
        <v>0.041666666666666664</v>
      </c>
      <c r="I4639" s="84">
        <v>44560.0</v>
      </c>
      <c r="J4639" s="65" t="b">
        <v>1</v>
      </c>
      <c r="K4639" s="65"/>
      <c r="L4639" s="85" t="b">
        <f>IF(VLOOKUP(C4639,Projetos!A:L,12,false)=TRUE,TRUE,FALSE)</f>
        <v>1</v>
      </c>
      <c r="M4639" s="74">
        <v>52.1518759018759</v>
      </c>
      <c r="N4639" s="74">
        <f t="shared" si="1"/>
        <v>52.1518759</v>
      </c>
      <c r="O4639" s="74" t="b">
        <v>1</v>
      </c>
    </row>
    <row r="4640" hidden="1">
      <c r="A4640" s="82"/>
      <c r="B4640" s="65" t="s">
        <v>467</v>
      </c>
      <c r="C4640" s="65" t="s">
        <v>92</v>
      </c>
      <c r="D4640" s="65" t="str">
        <f>vlookup(C4640,'Classificação p pessoal'!F:G,2,false)</f>
        <v/>
      </c>
      <c r="E4640" s="65" t="s">
        <v>3511</v>
      </c>
      <c r="F4640" s="83">
        <v>0.5</v>
      </c>
      <c r="G4640" s="83">
        <v>0.5416666666666666</v>
      </c>
      <c r="H4640" s="83">
        <v>0.041666666666666664</v>
      </c>
      <c r="I4640" s="84">
        <v>44560.0</v>
      </c>
      <c r="J4640" s="65" t="b">
        <v>1</v>
      </c>
      <c r="K4640" s="65"/>
      <c r="L4640" s="85" t="b">
        <f>IF(VLOOKUP(C4640,Projetos!A:L,12,false)=TRUE,TRUE,FALSE)</f>
        <v>1</v>
      </c>
      <c r="M4640" s="74">
        <v>52.1518759018759</v>
      </c>
      <c r="N4640" s="74">
        <f t="shared" si="1"/>
        <v>52.1518759</v>
      </c>
      <c r="O4640" s="74" t="b">
        <v>1</v>
      </c>
    </row>
    <row r="4641" hidden="1">
      <c r="A4641" s="82"/>
      <c r="B4641" s="65" t="s">
        <v>467</v>
      </c>
      <c r="C4641" s="65" t="s">
        <v>120</v>
      </c>
      <c r="D4641" s="65"/>
      <c r="E4641" s="65" t="s">
        <v>3469</v>
      </c>
      <c r="F4641" s="83">
        <v>0.5833333333333334</v>
      </c>
      <c r="G4641" s="83">
        <v>0.7083333333333334</v>
      </c>
      <c r="H4641" s="83">
        <v>0.125</v>
      </c>
      <c r="I4641" s="84">
        <v>44560.0</v>
      </c>
      <c r="J4641" s="65" t="b">
        <v>0</v>
      </c>
      <c r="K4641" s="65" t="s">
        <v>150</v>
      </c>
      <c r="L4641" s="85" t="b">
        <f>IF(VLOOKUP(C4641,Projetos!A:L,12,false)=TRUE,TRUE,FALSE)</f>
        <v>0</v>
      </c>
      <c r="M4641" s="74">
        <v>52.1518759018759</v>
      </c>
      <c r="N4641" s="74">
        <f t="shared" si="1"/>
        <v>0</v>
      </c>
      <c r="O4641" s="74" t="b">
        <v>0</v>
      </c>
    </row>
  </sheetData>
  <autoFilter ref="$A$6:$O$4641">
    <filterColumn colId="2">
      <filters>
        <filter val="InstanTH Neo"/>
      </filters>
    </filterColumn>
    <filterColumn colId="9">
      <filters>
        <filter val="TRUE"/>
      </filters>
    </filterColumn>
    <filterColumn colId="14">
      <filters>
        <filter val="TRUE"/>
      </filters>
    </filterColumn>
    <sortState ref="A6:O4641">
      <sortCondition ref="E6:E4641"/>
    </sortState>
  </autoFilter>
  <customSheetViews>
    <customSheetView guid="{FB697474-A6FB-4E1A-ADFE-7AF7D371867C}" filter="1" showAutoFilter="1">
      <autoFilter ref="$A$2:$O$4626"/>
    </customSheetView>
  </customSheetView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 ht="11.25" customHeight="1">
      <c r="A1" s="60"/>
      <c r="B1" s="60"/>
      <c r="C1" s="60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>
      <c r="A2" s="62" t="s">
        <v>3513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40"/>
      <c r="T3" s="61"/>
      <c r="U3" s="61"/>
      <c r="V3" s="61"/>
    </row>
    <row r="4">
      <c r="A4" s="86" t="s">
        <v>3514</v>
      </c>
      <c r="B4" s="87"/>
      <c r="C4" s="87"/>
      <c r="D4" s="87"/>
      <c r="E4" s="87"/>
      <c r="F4" s="87"/>
      <c r="G4" s="88" t="s">
        <v>3515</v>
      </c>
      <c r="H4" s="88" t="s">
        <v>3515</v>
      </c>
      <c r="I4" s="88" t="s">
        <v>3515</v>
      </c>
      <c r="J4" s="88" t="s">
        <v>3515</v>
      </c>
      <c r="K4" s="88" t="s">
        <v>3515</v>
      </c>
      <c r="L4" s="88" t="s">
        <v>3515</v>
      </c>
      <c r="M4" s="88" t="s">
        <v>3515</v>
      </c>
      <c r="N4" s="88" t="s">
        <v>3515</v>
      </c>
      <c r="O4" s="88" t="s">
        <v>3515</v>
      </c>
      <c r="P4" s="88" t="s">
        <v>3515</v>
      </c>
      <c r="Q4" s="88" t="s">
        <v>3516</v>
      </c>
      <c r="R4" s="88" t="s">
        <v>3516</v>
      </c>
      <c r="S4" s="89">
        <f>(T4/12)*24</f>
        <v>170</v>
      </c>
      <c r="T4" s="70">
        <f>(SUM(G27:R27)*8)/24</f>
        <v>85</v>
      </c>
      <c r="U4" s="61"/>
      <c r="V4" s="61"/>
    </row>
    <row r="5">
      <c r="A5" s="90" t="s">
        <v>3517</v>
      </c>
      <c r="B5" s="90" t="s">
        <v>3518</v>
      </c>
      <c r="C5" s="91" t="s">
        <v>3519</v>
      </c>
      <c r="D5" s="90" t="s">
        <v>3520</v>
      </c>
      <c r="E5" s="90" t="s">
        <v>3521</v>
      </c>
      <c r="F5" s="90" t="s">
        <v>79</v>
      </c>
      <c r="G5" s="92" t="s">
        <v>3522</v>
      </c>
      <c r="H5" s="92" t="s">
        <v>3523</v>
      </c>
      <c r="I5" s="92" t="s">
        <v>3524</v>
      </c>
      <c r="J5" s="92" t="s">
        <v>3525</v>
      </c>
      <c r="K5" s="92" t="s">
        <v>3526</v>
      </c>
      <c r="L5" s="92" t="s">
        <v>3527</v>
      </c>
      <c r="M5" s="92" t="s">
        <v>3528</v>
      </c>
      <c r="N5" s="92" t="s">
        <v>3529</v>
      </c>
      <c r="O5" s="92" t="s">
        <v>3530</v>
      </c>
      <c r="P5" s="92" t="s">
        <v>3531</v>
      </c>
      <c r="Q5" s="92" t="s">
        <v>3532</v>
      </c>
      <c r="R5" s="92" t="s">
        <v>3533</v>
      </c>
      <c r="S5" s="81" t="s">
        <v>3534</v>
      </c>
      <c r="T5" s="81" t="s">
        <v>3535</v>
      </c>
      <c r="U5" s="81" t="s">
        <v>3536</v>
      </c>
      <c r="V5" s="93" t="s">
        <v>3537</v>
      </c>
    </row>
    <row r="6">
      <c r="A6" s="94" t="s">
        <v>146</v>
      </c>
      <c r="B6" s="95" t="s">
        <v>3538</v>
      </c>
      <c r="C6" s="95"/>
      <c r="D6" s="95" t="s">
        <v>3539</v>
      </c>
      <c r="E6" s="24" t="s">
        <v>50</v>
      </c>
      <c r="F6" s="95"/>
      <c r="G6" s="96">
        <v>3599.04</v>
      </c>
      <c r="H6" s="96">
        <v>3599.04</v>
      </c>
      <c r="I6" s="96">
        <v>3599.04</v>
      </c>
      <c r="J6" s="96">
        <v>3599.04</v>
      </c>
      <c r="K6" s="96">
        <v>3814.98</v>
      </c>
      <c r="L6" s="96">
        <v>3814.98</v>
      </c>
      <c r="M6" s="96">
        <v>3814.98</v>
      </c>
      <c r="N6" s="96">
        <v>3814.98</v>
      </c>
      <c r="O6" s="96">
        <v>3814.98</v>
      </c>
      <c r="P6" s="96">
        <v>3814.98</v>
      </c>
      <c r="Q6" s="96">
        <v>3814.98</v>
      </c>
      <c r="R6" s="96">
        <v>3814.98</v>
      </c>
      <c r="S6" s="97">
        <f>IFERROR(__xludf.DUMMYFUNCTION("IFERROR(if(V6=true, SUM(FILTER(Timesheet!$H:$H,Timesheet!J:J = TRUE,Timesheet!O:O = TRUE,Timesheet!B:B = A6,Timesheet!F:F &lt; DATE(2022,1,1))),0),0)"),48.062499999999964)</f>
        <v>48.0625</v>
      </c>
      <c r="T6" s="98">
        <f t="shared" ref="T6:T18" si="1">S6/$T$4</f>
        <v>0.5654411765</v>
      </c>
      <c r="U6" s="99" t="str">
        <f t="shared" ref="U6:U18" si="2">IF(T6&lt;80%,"Parcial","Exclusivo")</f>
        <v>Parcial</v>
      </c>
      <c r="V6" s="65" t="b">
        <v>1</v>
      </c>
    </row>
    <row r="7">
      <c r="A7" s="95" t="s">
        <v>3540</v>
      </c>
      <c r="B7" s="95" t="s">
        <v>3541</v>
      </c>
      <c r="C7" s="95"/>
      <c r="D7" s="95" t="s">
        <v>3542</v>
      </c>
      <c r="E7" s="100" t="s">
        <v>49</v>
      </c>
      <c r="F7" s="95" t="s">
        <v>3543</v>
      </c>
      <c r="G7" s="96">
        <v>31767.65</v>
      </c>
      <c r="H7" s="96">
        <v>31767.65</v>
      </c>
      <c r="I7" s="96">
        <v>316767.65</v>
      </c>
      <c r="J7" s="96">
        <v>31767.65</v>
      </c>
      <c r="K7" s="96">
        <v>31767.65</v>
      </c>
      <c r="L7" s="96">
        <v>31767.65</v>
      </c>
      <c r="M7" s="96">
        <v>31767.65</v>
      </c>
      <c r="N7" s="96">
        <v>31767.65</v>
      </c>
      <c r="O7" s="96">
        <v>31767.65</v>
      </c>
      <c r="P7" s="96">
        <v>31767.65</v>
      </c>
      <c r="Q7" s="96">
        <v>31767.65</v>
      </c>
      <c r="R7" s="96">
        <v>31767.65</v>
      </c>
      <c r="S7" s="97">
        <f>IFERROR(__xludf.DUMMYFUNCTION("IFERROR(if(V7=true, SUM(FILTER(Timesheet!$H:$H,Timesheet!J:J = TRUE,Timesheet!O:O = TRUE,Timesheet!B:B = A7,Timesheet!F:F &lt; DATE(2022,1,1))),0),0)"),0.0)</f>
        <v>0</v>
      </c>
      <c r="T7" s="98">
        <f t="shared" si="1"/>
        <v>0</v>
      </c>
      <c r="U7" s="99" t="str">
        <f t="shared" si="2"/>
        <v>Parcial</v>
      </c>
      <c r="V7" s="65" t="b">
        <v>1</v>
      </c>
    </row>
    <row r="8">
      <c r="A8" s="95" t="s">
        <v>168</v>
      </c>
      <c r="B8" s="95" t="s">
        <v>3544</v>
      </c>
      <c r="C8" s="95"/>
      <c r="D8" s="95" t="s">
        <v>3545</v>
      </c>
      <c r="E8" s="100" t="s">
        <v>49</v>
      </c>
      <c r="F8" s="95"/>
      <c r="G8" s="96">
        <v>8878.45</v>
      </c>
      <c r="H8" s="96">
        <v>8878.45</v>
      </c>
      <c r="I8" s="96">
        <v>8878.45</v>
      </c>
      <c r="J8" s="96">
        <v>10095.0</v>
      </c>
      <c r="K8" s="96">
        <v>10700.7</v>
      </c>
      <c r="L8" s="96">
        <v>10700.7</v>
      </c>
      <c r="M8" s="96">
        <v>10700.7</v>
      </c>
      <c r="N8" s="96">
        <v>10700.7</v>
      </c>
      <c r="O8" s="96">
        <v>10700.7</v>
      </c>
      <c r="P8" s="96">
        <v>10700.7</v>
      </c>
      <c r="Q8" s="96">
        <v>10700.7</v>
      </c>
      <c r="R8" s="96">
        <v>10700.7</v>
      </c>
      <c r="S8" s="97">
        <f>IFERROR(__xludf.DUMMYFUNCTION("IFERROR(if(V8=true, SUM(FILTER(Timesheet!$H:$H,Timesheet!J:J = TRUE,Timesheet!O:O = TRUE,Timesheet!B:B = A8,Timesheet!F:F &lt; DATE(2022,1,1))),0),0)"),1.2916666666666667)</f>
        <v>1.291666667</v>
      </c>
      <c r="T8" s="98">
        <f t="shared" si="1"/>
        <v>0.01519607843</v>
      </c>
      <c r="U8" s="99" t="str">
        <f t="shared" si="2"/>
        <v>Parcial</v>
      </c>
      <c r="V8" s="65" t="b">
        <v>1</v>
      </c>
    </row>
    <row r="9">
      <c r="A9" s="95" t="s">
        <v>177</v>
      </c>
      <c r="B9" s="95" t="s">
        <v>3546</v>
      </c>
      <c r="C9" s="95"/>
      <c r="D9" s="95" t="s">
        <v>3547</v>
      </c>
      <c r="E9" s="101" t="s">
        <v>48</v>
      </c>
      <c r="F9" s="95"/>
      <c r="G9" s="96">
        <v>2816.69</v>
      </c>
      <c r="H9" s="96">
        <v>2816.69</v>
      </c>
      <c r="I9" s="96">
        <v>2816.69</v>
      </c>
      <c r="J9" s="96">
        <v>3367.8</v>
      </c>
      <c r="K9" s="96">
        <v>3569.87</v>
      </c>
      <c r="L9" s="96">
        <v>3569.87</v>
      </c>
      <c r="M9" s="96">
        <v>3568.87</v>
      </c>
      <c r="N9" s="96">
        <v>3569.87</v>
      </c>
      <c r="O9" s="96">
        <v>3569.87</v>
      </c>
      <c r="P9" s="96">
        <v>3569.87</v>
      </c>
      <c r="Q9" s="96">
        <v>3569.87</v>
      </c>
      <c r="R9" s="96">
        <v>3569.87</v>
      </c>
      <c r="S9" s="97">
        <f>IFERROR(__xludf.DUMMYFUNCTION("IFERROR(if(V9=true, SUM(FILTER(Timesheet!$H:$H,Timesheet!J:J = TRUE,Timesheet!O:O = TRUE,Timesheet!B:B = A9,Timesheet!F:F &lt; DATE(2022,1,1))),0),0)"),27.11111111111111)</f>
        <v>27.11111111</v>
      </c>
      <c r="T9" s="98">
        <f t="shared" si="1"/>
        <v>0.3189542484</v>
      </c>
      <c r="U9" s="99" t="str">
        <f t="shared" si="2"/>
        <v>Parcial</v>
      </c>
      <c r="V9" s="65" t="b">
        <v>1</v>
      </c>
    </row>
    <row r="10">
      <c r="A10" s="95" t="s">
        <v>750</v>
      </c>
      <c r="B10" s="95" t="s">
        <v>3548</v>
      </c>
      <c r="C10" s="95"/>
      <c r="D10" s="95" t="s">
        <v>3539</v>
      </c>
      <c r="E10" s="101" t="s">
        <v>48</v>
      </c>
      <c r="F10" s="95"/>
      <c r="G10" s="96">
        <v>3773.89</v>
      </c>
      <c r="H10" s="96">
        <v>3773.89</v>
      </c>
      <c r="I10" s="96">
        <v>3773.89</v>
      </c>
      <c r="J10" s="96">
        <v>3773.89</v>
      </c>
      <c r="K10" s="96">
        <v>4000.32</v>
      </c>
      <c r="L10" s="96">
        <v>4000.32</v>
      </c>
      <c r="M10" s="96">
        <v>4000.32</v>
      </c>
      <c r="N10" s="96">
        <v>4000.32</v>
      </c>
      <c r="O10" s="96">
        <v>4000.32</v>
      </c>
      <c r="P10" s="96">
        <v>4000.32</v>
      </c>
      <c r="Q10" s="96">
        <v>4000.32</v>
      </c>
      <c r="R10" s="96">
        <v>4000.32</v>
      </c>
      <c r="S10" s="97">
        <f>IFERROR(__xludf.DUMMYFUNCTION("IFERROR(if(V10=true, SUM(FILTER(Timesheet!$H:$H,Timesheet!J:J = TRUE,Timesheet!O:O = TRUE,Timesheet!B:B = A10,Timesheet!F:F &lt; DATE(2022,1,1))),0),0)"),27.85416666666664)</f>
        <v>27.85416667</v>
      </c>
      <c r="T10" s="98">
        <f t="shared" si="1"/>
        <v>0.3276960784</v>
      </c>
      <c r="U10" s="99" t="str">
        <f t="shared" si="2"/>
        <v>Parcial</v>
      </c>
      <c r="V10" s="65" t="b">
        <v>1</v>
      </c>
    </row>
    <row r="11">
      <c r="A11" s="95" t="s">
        <v>3549</v>
      </c>
      <c r="B11" s="95" t="s">
        <v>3550</v>
      </c>
      <c r="C11" s="95"/>
      <c r="D11" s="95" t="s">
        <v>3551</v>
      </c>
      <c r="E11" s="95" t="s">
        <v>50</v>
      </c>
      <c r="F11" s="95"/>
      <c r="G11" s="96">
        <v>12487.72</v>
      </c>
      <c r="H11" s="96">
        <v>12487.72</v>
      </c>
      <c r="I11" s="96">
        <v>12487.72</v>
      </c>
      <c r="J11" s="96">
        <v>12487.72</v>
      </c>
      <c r="K11" s="96">
        <v>13236.98</v>
      </c>
      <c r="L11" s="96">
        <v>13236.98</v>
      </c>
      <c r="M11" s="96">
        <v>13236.98</v>
      </c>
      <c r="N11" s="96">
        <v>13236.98</v>
      </c>
      <c r="O11" s="96">
        <v>14358.3</v>
      </c>
      <c r="P11" s="96">
        <v>14358.3</v>
      </c>
      <c r="Q11" s="96">
        <v>14358.3</v>
      </c>
      <c r="R11" s="96">
        <v>14358.3</v>
      </c>
      <c r="S11" s="97">
        <f>IFERROR(__xludf.DUMMYFUNCTION("IFERROR(if(V11=true, SUM(FILTER(Timesheet!$H:$H,Timesheet!J:J = TRUE,Timesheet!O:O = TRUE,Timesheet!B:B = A11,Timesheet!F:F &lt; DATE(2022,1,1))),0),0)"),0.0)</f>
        <v>0</v>
      </c>
      <c r="T11" s="98">
        <f t="shared" si="1"/>
        <v>0</v>
      </c>
      <c r="U11" s="99" t="str">
        <f t="shared" si="2"/>
        <v>Parcial</v>
      </c>
      <c r="V11" s="65" t="b">
        <v>1</v>
      </c>
    </row>
    <row r="12">
      <c r="A12" s="94" t="s">
        <v>495</v>
      </c>
      <c r="B12" s="94" t="s">
        <v>3552</v>
      </c>
      <c r="C12" s="95"/>
      <c r="D12" s="94" t="s">
        <v>3553</v>
      </c>
      <c r="E12" s="102" t="s">
        <v>49</v>
      </c>
      <c r="F12" s="95"/>
      <c r="G12" s="96">
        <v>8000.0</v>
      </c>
      <c r="H12" s="96">
        <v>8000.0</v>
      </c>
      <c r="I12" s="96">
        <v>8000.0</v>
      </c>
      <c r="J12" s="96">
        <v>8000.0</v>
      </c>
      <c r="K12" s="96">
        <v>8480.0</v>
      </c>
      <c r="L12" s="96">
        <v>8480.0</v>
      </c>
      <c r="M12" s="96">
        <v>8480.0</v>
      </c>
      <c r="N12" s="96">
        <v>8480.0</v>
      </c>
      <c r="O12" s="96">
        <v>8480.0</v>
      </c>
      <c r="P12" s="96">
        <v>8480.0</v>
      </c>
      <c r="Q12" s="96">
        <v>8480.0</v>
      </c>
      <c r="R12" s="96">
        <v>8480.0</v>
      </c>
      <c r="S12" s="97">
        <f>IFERROR(__xludf.DUMMYFUNCTION("IFERROR(if(V12=true, SUM(FILTER(Timesheet!$H:$H,Timesheet!J:J = TRUE,Timesheet!O:O = TRUE,Timesheet!B:B = A12,Timesheet!F:F &lt; DATE(2022,1,1))),0),0)"),64.8902777777778)</f>
        <v>64.89027778</v>
      </c>
      <c r="T12" s="98">
        <f t="shared" si="1"/>
        <v>0.7634150327</v>
      </c>
      <c r="U12" s="99" t="str">
        <f t="shared" si="2"/>
        <v>Parcial</v>
      </c>
      <c r="V12" s="65" t="b">
        <v>1</v>
      </c>
    </row>
    <row r="13">
      <c r="A13" s="95" t="s">
        <v>469</v>
      </c>
      <c r="B13" s="95" t="s">
        <v>3554</v>
      </c>
      <c r="C13" s="95"/>
      <c r="D13" s="95" t="s">
        <v>3555</v>
      </c>
      <c r="E13" s="100" t="s">
        <v>49</v>
      </c>
      <c r="F13" s="95"/>
      <c r="G13" s="96">
        <v>4071.12</v>
      </c>
      <c r="H13" s="96">
        <v>4071.12</v>
      </c>
      <c r="I13" s="96">
        <v>4071.12</v>
      </c>
      <c r="J13" s="96">
        <v>4071.12</v>
      </c>
      <c r="K13" s="96">
        <v>4315.39</v>
      </c>
      <c r="L13" s="96">
        <v>4315.39</v>
      </c>
      <c r="M13" s="96">
        <v>4315.39</v>
      </c>
      <c r="N13" s="96">
        <v>4315.39</v>
      </c>
      <c r="O13" s="96">
        <v>4315.39</v>
      </c>
      <c r="P13" s="96">
        <v>4315.39</v>
      </c>
      <c r="Q13" s="96">
        <v>4315.39</v>
      </c>
      <c r="R13" s="96">
        <v>4315.39</v>
      </c>
      <c r="S13" s="97">
        <f>IFERROR(__xludf.DUMMYFUNCTION("IFERROR(if(V13=true, SUM(FILTER(Timesheet!$H:$H,Timesheet!J:J = TRUE,Timesheet!O:O = TRUE,Timesheet!B:B = A13,Timesheet!F:F &lt; DATE(2022,1,1))),0),0)"),30.357638888888886)</f>
        <v>30.35763889</v>
      </c>
      <c r="T13" s="98">
        <f t="shared" si="1"/>
        <v>0.3571486928</v>
      </c>
      <c r="U13" s="99" t="str">
        <f t="shared" si="2"/>
        <v>Parcial</v>
      </c>
      <c r="V13" s="65" t="b">
        <v>1</v>
      </c>
    </row>
    <row r="14">
      <c r="A14" s="95" t="s">
        <v>411</v>
      </c>
      <c r="B14" s="95" t="s">
        <v>3556</v>
      </c>
      <c r="C14" s="95"/>
      <c r="D14" s="95" t="s">
        <v>3557</v>
      </c>
      <c r="E14" s="101" t="s">
        <v>48</v>
      </c>
      <c r="F14" s="95"/>
      <c r="G14" s="96">
        <v>4995.55</v>
      </c>
      <c r="H14" s="96">
        <v>4995.55</v>
      </c>
      <c r="I14" s="96">
        <v>4995.55</v>
      </c>
      <c r="J14" s="96">
        <v>4995.55</v>
      </c>
      <c r="K14" s="96">
        <v>5295.28</v>
      </c>
      <c r="L14" s="96">
        <v>5295.28</v>
      </c>
      <c r="M14" s="96">
        <v>5295.28</v>
      </c>
      <c r="N14" s="96">
        <v>5295.28</v>
      </c>
      <c r="O14" s="96">
        <v>6038.25</v>
      </c>
      <c r="P14" s="96">
        <v>6038.25</v>
      </c>
      <c r="Q14" s="96">
        <v>6038.25</v>
      </c>
      <c r="R14" s="96">
        <v>6038.25</v>
      </c>
      <c r="S14" s="97">
        <f>IFERROR(__xludf.DUMMYFUNCTION("IFERROR(if(V14=true, SUM(FILTER(Timesheet!$H:$H,Timesheet!J:J = TRUE,Timesheet!O:O = TRUE,Timesheet!B:B = A14,Timesheet!F:F &lt; DATE(2022,1,1))),0),0)"),60.95833333333327)</f>
        <v>60.95833333</v>
      </c>
      <c r="T14" s="98">
        <f t="shared" si="1"/>
        <v>0.7171568627</v>
      </c>
      <c r="U14" s="99" t="str">
        <f t="shared" si="2"/>
        <v>Parcial</v>
      </c>
      <c r="V14" s="65" t="b">
        <v>1</v>
      </c>
    </row>
    <row r="15">
      <c r="A15" s="95" t="s">
        <v>3558</v>
      </c>
      <c r="B15" s="95" t="s">
        <v>3559</v>
      </c>
      <c r="C15" s="95"/>
      <c r="D15" s="95" t="s">
        <v>3560</v>
      </c>
      <c r="E15" s="61" t="s">
        <v>49</v>
      </c>
      <c r="F15" s="95"/>
      <c r="G15" s="96">
        <v>17611.04</v>
      </c>
      <c r="H15" s="96">
        <v>17611.04</v>
      </c>
      <c r="I15" s="96">
        <v>17611.04</v>
      </c>
      <c r="J15" s="96">
        <v>17611.04</v>
      </c>
      <c r="K15" s="96">
        <v>17611.04</v>
      </c>
      <c r="L15" s="96">
        <v>17611.04</v>
      </c>
      <c r="M15" s="96">
        <v>18667.7</v>
      </c>
      <c r="N15" s="96">
        <v>18667.7</v>
      </c>
      <c r="O15" s="96">
        <v>18667.7</v>
      </c>
      <c r="P15" s="96">
        <v>18668.0</v>
      </c>
      <c r="Q15" s="96">
        <v>18668.0</v>
      </c>
      <c r="R15" s="96">
        <v>18668.0</v>
      </c>
      <c r="S15" s="97">
        <f>IFERROR(__xludf.DUMMYFUNCTION("IFERROR(if(V15=true, SUM(FILTER(Timesheet!$H:$H,Timesheet!J:J = TRUE,Timesheet!O:O = TRUE,Timesheet!B:B = A15,Timesheet!F:F &lt; DATE(2022,1,1))),0),0)"),0.0)</f>
        <v>0</v>
      </c>
      <c r="T15" s="98">
        <f t="shared" si="1"/>
        <v>0</v>
      </c>
      <c r="U15" s="99" t="str">
        <f t="shared" si="2"/>
        <v>Parcial</v>
      </c>
      <c r="V15" s="65" t="b">
        <v>1</v>
      </c>
    </row>
    <row r="16">
      <c r="A16" s="94" t="s">
        <v>467</v>
      </c>
      <c r="B16" s="94" t="s">
        <v>3561</v>
      </c>
      <c r="C16" s="95"/>
      <c r="D16" s="94" t="s">
        <v>3562</v>
      </c>
      <c r="E16" s="102" t="s">
        <v>49</v>
      </c>
      <c r="F16" s="95"/>
      <c r="G16" s="96">
        <v>5500.0</v>
      </c>
      <c r="H16" s="96">
        <v>5500.0</v>
      </c>
      <c r="I16" s="96">
        <v>5500.0</v>
      </c>
      <c r="J16" s="96">
        <v>5500.0</v>
      </c>
      <c r="K16" s="96">
        <v>6000.0</v>
      </c>
      <c r="L16" s="96">
        <v>6000.0</v>
      </c>
      <c r="M16" s="96">
        <v>6000.0</v>
      </c>
      <c r="N16" s="96">
        <v>6000.0</v>
      </c>
      <c r="O16" s="96">
        <v>6000.0</v>
      </c>
      <c r="P16" s="96">
        <v>6000.0</v>
      </c>
      <c r="Q16" s="96">
        <v>6000.0</v>
      </c>
      <c r="R16" s="96">
        <v>6000.0</v>
      </c>
      <c r="S16" s="97">
        <f>IFERROR(__xludf.DUMMYFUNCTION("IFERROR(if(V16=true, SUM(FILTER(Timesheet!$H:$H,Timesheet!J:J = TRUE,Timesheet!O:O = TRUE,Timesheet!B:B = A16,Timesheet!F:F &lt; DATE(2022,1,1))),0),0)"),42.29861111111107)</f>
        <v>42.29861111</v>
      </c>
      <c r="T16" s="98">
        <f t="shared" si="1"/>
        <v>0.497630719</v>
      </c>
      <c r="U16" s="99" t="str">
        <f t="shared" si="2"/>
        <v>Parcial</v>
      </c>
      <c r="V16" s="65" t="b">
        <v>1</v>
      </c>
    </row>
    <row r="17">
      <c r="A17" s="95" t="s">
        <v>3563</v>
      </c>
      <c r="B17" s="95" t="s">
        <v>3564</v>
      </c>
      <c r="C17" s="95"/>
      <c r="D17" s="95" t="s">
        <v>3565</v>
      </c>
      <c r="E17" s="100" t="s">
        <v>49</v>
      </c>
      <c r="F17" s="95"/>
      <c r="G17" s="96">
        <v>5093.12</v>
      </c>
      <c r="H17" s="96">
        <v>5093.12</v>
      </c>
      <c r="I17" s="96">
        <v>5093.12</v>
      </c>
      <c r="J17" s="96">
        <v>5093.12</v>
      </c>
      <c r="K17" s="96">
        <v>5398.71</v>
      </c>
      <c r="L17" s="96">
        <v>5398.71</v>
      </c>
      <c r="M17" s="96">
        <v>5978.0</v>
      </c>
      <c r="N17" s="96">
        <v>5978.0</v>
      </c>
      <c r="O17" s="96">
        <v>5978.0</v>
      </c>
      <c r="P17" s="96">
        <v>5978.0</v>
      </c>
      <c r="Q17" s="96">
        <v>5978.0</v>
      </c>
      <c r="R17" s="96">
        <v>5978.0</v>
      </c>
      <c r="S17" s="97">
        <f>IFERROR(__xludf.DUMMYFUNCTION("IFERROR(if(V17=true, SUM(FILTER(Timesheet!$H:$H,Timesheet!J:J = TRUE,Timesheet!O:O = TRUE,Timesheet!B:B = A17,Timesheet!F:F &lt; DATE(2022,1,1))),0),0)"),0.0)</f>
        <v>0</v>
      </c>
      <c r="T17" s="98">
        <f t="shared" si="1"/>
        <v>0</v>
      </c>
      <c r="U17" s="99" t="str">
        <f t="shared" si="2"/>
        <v>Parcial</v>
      </c>
      <c r="V17" s="65" t="b">
        <v>1</v>
      </c>
    </row>
    <row r="18">
      <c r="A18" s="95" t="s">
        <v>3566</v>
      </c>
      <c r="B18" s="95" t="s">
        <v>3567</v>
      </c>
      <c r="C18" s="95"/>
      <c r="D18" s="95" t="s">
        <v>3568</v>
      </c>
      <c r="E18" s="100" t="s">
        <v>49</v>
      </c>
      <c r="F18" s="95"/>
      <c r="G18" s="96">
        <v>3963.02</v>
      </c>
      <c r="H18" s="96">
        <v>3963.02</v>
      </c>
      <c r="I18" s="96">
        <v>3963.02</v>
      </c>
      <c r="J18" s="96">
        <v>3963.02</v>
      </c>
      <c r="K18" s="96">
        <v>3963.02</v>
      </c>
      <c r="L18" s="96">
        <v>3963.02</v>
      </c>
      <c r="M18" s="96">
        <v>4200.8</v>
      </c>
      <c r="N18" s="96">
        <v>4200.8</v>
      </c>
      <c r="O18" s="96">
        <v>4200.8</v>
      </c>
      <c r="P18" s="96">
        <v>4454.72</v>
      </c>
      <c r="Q18" s="96">
        <v>4454.72</v>
      </c>
      <c r="R18" s="96">
        <v>4454.72</v>
      </c>
      <c r="S18" s="97">
        <f>IFERROR(__xludf.DUMMYFUNCTION("IFERROR(if(V18=true, SUM(FILTER(Timesheet!$H:$H,Timesheet!J:J = TRUE,Timesheet!O:O = TRUE,Timesheet!B:B = A18,Timesheet!F:F &lt; DATE(2022,1,1))),0),0)"),0.0)</f>
        <v>0</v>
      </c>
      <c r="T18" s="98">
        <f t="shared" si="1"/>
        <v>0</v>
      </c>
      <c r="U18" s="99" t="str">
        <f t="shared" si="2"/>
        <v>Parcial</v>
      </c>
      <c r="V18" s="65" t="b">
        <v>1</v>
      </c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>
      <c r="A21" s="63" t="s">
        <v>3569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103" t="s">
        <v>3570</v>
      </c>
      <c r="B23" s="104"/>
      <c r="C23" s="104"/>
      <c r="D23" s="104"/>
      <c r="E23" s="105"/>
      <c r="F23" s="106"/>
      <c r="G23" s="107"/>
      <c r="H23" s="108" t="s">
        <v>3571</v>
      </c>
      <c r="I23" s="109" t="s">
        <v>3572</v>
      </c>
      <c r="J23" s="110">
        <v>0.2</v>
      </c>
      <c r="K23" s="61"/>
      <c r="L23" s="61"/>
      <c r="M23" s="61"/>
      <c r="N23" s="61"/>
      <c r="O23" s="61"/>
      <c r="P23" s="61"/>
      <c r="Q23" s="61"/>
      <c r="R23" s="61"/>
      <c r="S23" s="61"/>
      <c r="T23" s="40"/>
      <c r="U23" s="111"/>
      <c r="V23" s="111"/>
    </row>
    <row r="24">
      <c r="A24" s="112" t="s">
        <v>3571</v>
      </c>
      <c r="B24" s="113" t="s">
        <v>3573</v>
      </c>
      <c r="C24" s="113" t="s">
        <v>3574</v>
      </c>
      <c r="D24" s="113" t="s">
        <v>3575</v>
      </c>
      <c r="E24" s="114" t="s">
        <v>3576</v>
      </c>
      <c r="F24" s="115"/>
      <c r="G24" s="107"/>
      <c r="H24" s="116"/>
      <c r="I24" s="117" t="s">
        <v>11</v>
      </c>
      <c r="J24" s="118">
        <v>0.058</v>
      </c>
      <c r="K24" s="61"/>
      <c r="L24" s="61"/>
      <c r="M24" s="61"/>
      <c r="N24" s="61"/>
      <c r="O24" s="61"/>
      <c r="P24" s="61"/>
      <c r="Q24" s="61"/>
      <c r="R24" s="61"/>
      <c r="S24" s="40"/>
      <c r="T24" s="111">
        <f>IFERROR(__xludf.DUMMYFUNCTION("sum(FILTER(T29:T39,match(A29:A39,FILTER(A6:A18,U6:U18 = ""Parcial""))))"),356413.40177364694)</f>
        <v>356413.4018</v>
      </c>
      <c r="U24" s="111"/>
      <c r="V24" s="111"/>
    </row>
    <row r="25">
      <c r="A25" s="119">
        <f>sum(J23:J25)</f>
        <v>0.273</v>
      </c>
      <c r="B25" s="120">
        <v>0.08</v>
      </c>
      <c r="C25" s="121">
        <f>((1+(1/3))+A25+B25)/12</f>
        <v>0.1405277778</v>
      </c>
      <c r="D25" s="121">
        <f>(1+A25+B25)/12</f>
        <v>0.11275</v>
      </c>
      <c r="E25" s="122">
        <f>sum(A25:D25)</f>
        <v>0.6062777778</v>
      </c>
      <c r="F25" s="106"/>
      <c r="G25" s="107"/>
      <c r="H25" s="123"/>
      <c r="I25" s="117" t="s">
        <v>3577</v>
      </c>
      <c r="J25" s="118">
        <v>0.015</v>
      </c>
      <c r="K25" s="61"/>
      <c r="L25" s="61"/>
      <c r="M25" s="61"/>
      <c r="N25" s="61"/>
      <c r="O25" s="61"/>
      <c r="P25" s="61"/>
      <c r="Q25" s="61"/>
      <c r="R25" s="61"/>
      <c r="S25" s="40"/>
      <c r="T25" s="111">
        <f>IFERROR(__xludf.DUMMYFUNCTION("IFERROR(sum(FILTER(T29:T39,match(A29:A39,FILTER(A6:A18,U6:U18 = ""Exclusivo"")))),0)"),0.0)</f>
        <v>0</v>
      </c>
      <c r="U25" s="111"/>
      <c r="V25" s="111"/>
    </row>
    <row r="26">
      <c r="A26" s="119"/>
      <c r="B26" s="119"/>
      <c r="C26" s="119"/>
      <c r="D26" s="119"/>
      <c r="E26" s="124"/>
      <c r="F26" s="106"/>
      <c r="G26" s="106"/>
      <c r="H26" s="125"/>
      <c r="I26" s="126"/>
      <c r="J26" s="127"/>
      <c r="K26" s="61"/>
      <c r="L26" s="61"/>
      <c r="M26" s="61"/>
      <c r="N26" s="61"/>
      <c r="O26" s="61"/>
      <c r="P26" s="61"/>
      <c r="Q26" s="61"/>
      <c r="R26" s="61"/>
      <c r="S26" s="40"/>
      <c r="T26" s="111"/>
      <c r="U26" s="111"/>
      <c r="V26" s="111"/>
    </row>
    <row r="27">
      <c r="A27" s="61"/>
      <c r="B27" s="61"/>
      <c r="C27" s="61"/>
      <c r="D27" s="61"/>
      <c r="E27" s="61"/>
      <c r="F27" s="61"/>
      <c r="G27" s="61">
        <f t="shared" ref="G27:R27" si="3">NETWORKDAYS(DATE(2021,(LEFT(G$28,2)+0),1),DATE(2021,(LEFT(G$28,2)+0)+1,0),$A$45:$A$53)</f>
        <v>21</v>
      </c>
      <c r="H27" s="61">
        <f t="shared" si="3"/>
        <v>20</v>
      </c>
      <c r="I27" s="61">
        <f t="shared" si="3"/>
        <v>21</v>
      </c>
      <c r="J27" s="61">
        <f t="shared" si="3"/>
        <v>22</v>
      </c>
      <c r="K27" s="61">
        <f t="shared" si="3"/>
        <v>21</v>
      </c>
      <c r="L27" s="61">
        <f t="shared" si="3"/>
        <v>22</v>
      </c>
      <c r="M27" s="61">
        <f t="shared" si="3"/>
        <v>21</v>
      </c>
      <c r="N27" s="61">
        <f t="shared" si="3"/>
        <v>21</v>
      </c>
      <c r="O27" s="61">
        <f t="shared" si="3"/>
        <v>22</v>
      </c>
      <c r="P27" s="61">
        <f t="shared" si="3"/>
        <v>21</v>
      </c>
      <c r="Q27" s="61">
        <f t="shared" si="3"/>
        <v>22</v>
      </c>
      <c r="R27" s="61">
        <f t="shared" si="3"/>
        <v>21</v>
      </c>
      <c r="S27" s="111">
        <f t="shared" ref="S27:T27" si="4">sum(S29:S39)</f>
        <v>356413.4018</v>
      </c>
      <c r="T27" s="111">
        <f t="shared" si="4"/>
        <v>356413.4018</v>
      </c>
      <c r="U27" s="128">
        <f>T27-S27</f>
        <v>0</v>
      </c>
      <c r="V27" s="128"/>
    </row>
    <row r="28">
      <c r="A28" s="64" t="s">
        <v>3517</v>
      </c>
      <c r="B28" s="64"/>
      <c r="C28" s="64"/>
      <c r="D28" s="64" t="str">
        <f t="array" ref="D28:D41">U5:U18</f>
        <v>Classificação</v>
      </c>
      <c r="E28" s="64" t="str">
        <f t="array" ref="E28:E41">E5:E18</f>
        <v>Formação</v>
      </c>
      <c r="F28" s="64" t="s">
        <v>3578</v>
      </c>
      <c r="G28" s="129">
        <v>44227.0</v>
      </c>
      <c r="H28" s="129">
        <v>44255.0</v>
      </c>
      <c r="I28" s="129">
        <v>44286.0</v>
      </c>
      <c r="J28" s="129">
        <v>44316.0</v>
      </c>
      <c r="K28" s="129">
        <v>44347.0</v>
      </c>
      <c r="L28" s="129">
        <v>44377.0</v>
      </c>
      <c r="M28" s="129">
        <v>44408.0</v>
      </c>
      <c r="N28" s="129">
        <v>44439.0</v>
      </c>
      <c r="O28" s="129">
        <v>44469.0</v>
      </c>
      <c r="P28" s="129">
        <v>44500.0</v>
      </c>
      <c r="Q28" s="129">
        <v>44530.0</v>
      </c>
      <c r="R28" s="129">
        <v>44561.0</v>
      </c>
      <c r="S28" s="81" t="s">
        <v>3579</v>
      </c>
      <c r="T28" s="81" t="s">
        <v>3580</v>
      </c>
      <c r="U28" s="93" t="s">
        <v>3537</v>
      </c>
      <c r="V28" s="130"/>
    </row>
    <row r="29">
      <c r="A29" s="65" t="str">
        <f t="array" ref="A29:A41">unique(A6:A18)</f>
        <v>Ana Claudia Zanini</v>
      </c>
      <c r="B29" s="61"/>
      <c r="C29" s="61"/>
      <c r="D29" s="61" t="s">
        <v>133</v>
      </c>
      <c r="E29" s="61" t="s">
        <v>50</v>
      </c>
      <c r="F29" s="40"/>
      <c r="G29" s="72">
        <f t="shared" ref="G29:R29" si="5">vlookup($A29,$A$6:$R$18,month(G$28)+6)*(1+$E$25)/(G$27*8.8)</f>
        <v>31.28278124</v>
      </c>
      <c r="H29" s="72">
        <f t="shared" si="5"/>
        <v>32.8469203</v>
      </c>
      <c r="I29" s="72">
        <f t="shared" si="5"/>
        <v>31.28278124</v>
      </c>
      <c r="J29" s="72">
        <f t="shared" si="5"/>
        <v>29.86083664</v>
      </c>
      <c r="K29" s="72">
        <f t="shared" si="5"/>
        <v>33.15972725</v>
      </c>
      <c r="L29" s="72">
        <f t="shared" si="5"/>
        <v>31.65246692</v>
      </c>
      <c r="M29" s="72">
        <f t="shared" si="5"/>
        <v>33.15972725</v>
      </c>
      <c r="N29" s="72">
        <f t="shared" si="5"/>
        <v>33.15972725</v>
      </c>
      <c r="O29" s="72">
        <f t="shared" si="5"/>
        <v>31.65246692</v>
      </c>
      <c r="P29" s="72">
        <f t="shared" si="5"/>
        <v>33.15972725</v>
      </c>
      <c r="Q29" s="72">
        <f t="shared" si="5"/>
        <v>31.65246692</v>
      </c>
      <c r="R29" s="72">
        <f t="shared" si="5"/>
        <v>33.15972725</v>
      </c>
      <c r="S29" s="111">
        <f>SUMIF(Timesheet!B:B,A29,Timesheet!N:N)</f>
        <v>38249.74539</v>
      </c>
      <c r="T29" s="111">
        <f t="shared" ref="T29:T41" si="7">SUMIF(U29,TRUE,S29)</f>
        <v>38249.74539</v>
      </c>
      <c r="U29" s="65" t="b">
        <v>1</v>
      </c>
      <c r="V29" s="65"/>
    </row>
    <row r="30">
      <c r="A30" s="131" t="s">
        <v>3540</v>
      </c>
      <c r="B30" s="132"/>
      <c r="C30" s="132"/>
      <c r="D30" s="132" t="s">
        <v>133</v>
      </c>
      <c r="E30" s="132" t="s">
        <v>49</v>
      </c>
      <c r="F30" s="131"/>
      <c r="G30" s="133">
        <f t="shared" ref="G30:R30" si="6">G7*(((1/3)*1/12)+1)/(G27*(44/5))</f>
        <v>176.6779476</v>
      </c>
      <c r="H30" s="133">
        <f t="shared" si="6"/>
        <v>185.511845</v>
      </c>
      <c r="I30" s="133">
        <f t="shared" si="6"/>
        <v>1761.724845</v>
      </c>
      <c r="J30" s="133">
        <f t="shared" si="6"/>
        <v>168.6471318</v>
      </c>
      <c r="K30" s="133">
        <f t="shared" si="6"/>
        <v>176.6779476</v>
      </c>
      <c r="L30" s="133">
        <f t="shared" si="6"/>
        <v>168.6471318</v>
      </c>
      <c r="M30" s="133">
        <f t="shared" si="6"/>
        <v>176.6779476</v>
      </c>
      <c r="N30" s="133">
        <f t="shared" si="6"/>
        <v>176.6779476</v>
      </c>
      <c r="O30" s="133">
        <f t="shared" si="6"/>
        <v>168.6471318</v>
      </c>
      <c r="P30" s="133">
        <f t="shared" si="6"/>
        <v>176.6779476</v>
      </c>
      <c r="Q30" s="133">
        <f t="shared" si="6"/>
        <v>168.6471318</v>
      </c>
      <c r="R30" s="133">
        <f t="shared" si="6"/>
        <v>176.6779476</v>
      </c>
      <c r="S30" s="111">
        <f>SUMIF(Timesheet!B:B,A30,Timesheet!N:N)</f>
        <v>0</v>
      </c>
      <c r="T30" s="111">
        <f t="shared" si="7"/>
        <v>0</v>
      </c>
      <c r="U30" s="65" t="b">
        <v>1</v>
      </c>
      <c r="V30" s="65"/>
    </row>
    <row r="31">
      <c r="A31" s="40" t="s">
        <v>168</v>
      </c>
      <c r="B31" s="61"/>
      <c r="C31" s="61"/>
      <c r="D31" s="61" t="s">
        <v>133</v>
      </c>
      <c r="E31" s="61" t="s">
        <v>49</v>
      </c>
      <c r="F31" s="61"/>
      <c r="G31" s="72">
        <f t="shared" ref="G31:R31" si="8">vlookup($A31,$A$6:$R$18,month(G$28)+6)*(1+$E$25)/(G$27*8.8)</f>
        <v>77.17130377</v>
      </c>
      <c r="H31" s="72">
        <f t="shared" si="8"/>
        <v>81.02986896</v>
      </c>
      <c r="I31" s="72">
        <f t="shared" si="8"/>
        <v>77.17130377</v>
      </c>
      <c r="J31" s="72">
        <f t="shared" si="8"/>
        <v>83.75709797</v>
      </c>
      <c r="K31" s="72">
        <f t="shared" si="8"/>
        <v>93.01026308</v>
      </c>
      <c r="L31" s="72">
        <f t="shared" si="8"/>
        <v>88.78252385</v>
      </c>
      <c r="M31" s="72">
        <f t="shared" si="8"/>
        <v>93.01026308</v>
      </c>
      <c r="N31" s="72">
        <f t="shared" si="8"/>
        <v>93.01026308</v>
      </c>
      <c r="O31" s="72">
        <f t="shared" si="8"/>
        <v>88.78252385</v>
      </c>
      <c r="P31" s="72">
        <f t="shared" si="8"/>
        <v>93.01026308</v>
      </c>
      <c r="Q31" s="72">
        <f t="shared" si="8"/>
        <v>88.78252385</v>
      </c>
      <c r="R31" s="72">
        <f t="shared" si="8"/>
        <v>93.01026308</v>
      </c>
      <c r="S31" s="111">
        <f>SUMIF(Timesheet!B:B,A31,Timesheet!N:N)</f>
        <v>2883.318155</v>
      </c>
      <c r="T31" s="111">
        <f t="shared" si="7"/>
        <v>2883.318155</v>
      </c>
      <c r="U31" s="65" t="b">
        <v>1</v>
      </c>
      <c r="V31" s="65"/>
    </row>
    <row r="32">
      <c r="A32" s="40" t="s">
        <v>177</v>
      </c>
      <c r="B32" s="61"/>
      <c r="C32" s="61"/>
      <c r="D32" s="61" t="s">
        <v>133</v>
      </c>
      <c r="E32" s="61" t="s">
        <v>48</v>
      </c>
      <c r="F32" s="61"/>
      <c r="G32" s="72">
        <f t="shared" ref="G32:R32" si="9">vlookup($A32,$A$6:$R$18,month(G$28)+6)*(1+$E$25)/(G$27*8.8)</f>
        <v>24.48261122</v>
      </c>
      <c r="H32" s="72">
        <f t="shared" si="9"/>
        <v>25.70674178</v>
      </c>
      <c r="I32" s="72">
        <f t="shared" si="9"/>
        <v>24.48261122</v>
      </c>
      <c r="J32" s="72">
        <f t="shared" si="9"/>
        <v>27.94226395</v>
      </c>
      <c r="K32" s="72">
        <f t="shared" si="9"/>
        <v>31.0292362</v>
      </c>
      <c r="L32" s="72">
        <f t="shared" si="9"/>
        <v>29.61881638</v>
      </c>
      <c r="M32" s="72">
        <f t="shared" si="9"/>
        <v>31.02054422</v>
      </c>
      <c r="N32" s="72">
        <f t="shared" si="9"/>
        <v>31.0292362</v>
      </c>
      <c r="O32" s="72">
        <f t="shared" si="9"/>
        <v>29.61881638</v>
      </c>
      <c r="P32" s="72">
        <f t="shared" si="9"/>
        <v>31.0292362</v>
      </c>
      <c r="Q32" s="72">
        <f t="shared" si="9"/>
        <v>29.61881638</v>
      </c>
      <c r="R32" s="72">
        <f t="shared" si="9"/>
        <v>31.0292362</v>
      </c>
      <c r="S32" s="111">
        <f>SUMIF(Timesheet!B:B,A32,Timesheet!N:N)</f>
        <v>20189.68969</v>
      </c>
      <c r="T32" s="111">
        <f t="shared" si="7"/>
        <v>20189.68969</v>
      </c>
      <c r="U32" s="65" t="b">
        <v>1</v>
      </c>
      <c r="V32" s="65"/>
    </row>
    <row r="33">
      <c r="A33" s="40" t="s">
        <v>750</v>
      </c>
      <c r="B33" s="61"/>
      <c r="C33" s="61"/>
      <c r="D33" s="61" t="s">
        <v>133</v>
      </c>
      <c r="E33" s="61" t="s">
        <v>48</v>
      </c>
      <c r="F33" s="40"/>
      <c r="G33" s="72">
        <f t="shared" ref="G33:R33" si="10">vlookup($A33,$A$6:$R$18,month(G$28)+6)*(1+$E$25)/(G$27*8.8)</f>
        <v>32.80257382</v>
      </c>
      <c r="H33" s="72">
        <f t="shared" si="10"/>
        <v>34.44270252</v>
      </c>
      <c r="I33" s="72">
        <f t="shared" si="10"/>
        <v>32.80257382</v>
      </c>
      <c r="J33" s="72">
        <f t="shared" si="10"/>
        <v>31.31154774</v>
      </c>
      <c r="K33" s="72">
        <f t="shared" si="10"/>
        <v>34.7706987</v>
      </c>
      <c r="L33" s="72">
        <f t="shared" si="10"/>
        <v>33.1902124</v>
      </c>
      <c r="M33" s="72">
        <f t="shared" si="10"/>
        <v>34.7706987</v>
      </c>
      <c r="N33" s="72">
        <f t="shared" si="10"/>
        <v>34.7706987</v>
      </c>
      <c r="O33" s="72">
        <f t="shared" si="10"/>
        <v>33.1902124</v>
      </c>
      <c r="P33" s="72">
        <f t="shared" si="10"/>
        <v>34.7706987</v>
      </c>
      <c r="Q33" s="72">
        <f t="shared" si="10"/>
        <v>33.1902124</v>
      </c>
      <c r="R33" s="72">
        <f t="shared" si="10"/>
        <v>34.7706987</v>
      </c>
      <c r="S33" s="111">
        <f>SUMIF(Timesheet!B:B,A33,Timesheet!N:N)</f>
        <v>23244.21208</v>
      </c>
      <c r="T33" s="111">
        <f t="shared" si="7"/>
        <v>23244.21208</v>
      </c>
      <c r="U33" s="65" t="b">
        <v>1</v>
      </c>
      <c r="V33" s="65"/>
    </row>
    <row r="34">
      <c r="A34" s="61" t="s">
        <v>3549</v>
      </c>
      <c r="B34" s="61"/>
      <c r="C34" s="61"/>
      <c r="D34" s="61" t="s">
        <v>133</v>
      </c>
      <c r="E34" s="61" t="s">
        <v>50</v>
      </c>
      <c r="F34" s="61"/>
      <c r="G34" s="72">
        <f t="shared" ref="G34:R34" si="11">vlookup($A34,$A$6:$R$18,month(G$28)+6)*(1+$E$25)/(G$27*8.8)</f>
        <v>108.543004</v>
      </c>
      <c r="H34" s="72">
        <f t="shared" si="11"/>
        <v>113.9701542</v>
      </c>
      <c r="I34" s="72">
        <f t="shared" si="11"/>
        <v>108.543004</v>
      </c>
      <c r="J34" s="72">
        <f t="shared" si="11"/>
        <v>103.609231</v>
      </c>
      <c r="K34" s="72">
        <f t="shared" si="11"/>
        <v>115.0555564</v>
      </c>
      <c r="L34" s="72">
        <f t="shared" si="11"/>
        <v>109.8257584</v>
      </c>
      <c r="M34" s="72">
        <f t="shared" si="11"/>
        <v>115.0555564</v>
      </c>
      <c r="N34" s="72">
        <f t="shared" si="11"/>
        <v>115.0555564</v>
      </c>
      <c r="O34" s="72">
        <f t="shared" si="11"/>
        <v>119.1292263</v>
      </c>
      <c r="P34" s="72">
        <f t="shared" si="11"/>
        <v>124.8020466</v>
      </c>
      <c r="Q34" s="72">
        <f t="shared" si="11"/>
        <v>119.1292263</v>
      </c>
      <c r="R34" s="72">
        <f t="shared" si="11"/>
        <v>124.8020466</v>
      </c>
      <c r="S34" s="111">
        <f>SUMIF(Timesheet!B:B,A34,Timesheet!N:N)</f>
        <v>0</v>
      </c>
      <c r="T34" s="111">
        <f t="shared" si="7"/>
        <v>0</v>
      </c>
      <c r="U34" s="65" t="b">
        <v>1</v>
      </c>
      <c r="V34" s="65"/>
    </row>
    <row r="35">
      <c r="A35" s="61" t="s">
        <v>495</v>
      </c>
      <c r="B35" s="61"/>
      <c r="C35" s="61"/>
      <c r="D35" s="61" t="s">
        <v>133</v>
      </c>
      <c r="E35" s="61" t="s">
        <v>49</v>
      </c>
      <c r="F35" s="61"/>
      <c r="G35" s="72">
        <f t="shared" ref="G35:R35" si="12">vlookup($A35,$A$6:$R$18,month(G$28)+6)*(1+$E$25)/(G$27*8.8)</f>
        <v>69.53583454</v>
      </c>
      <c r="H35" s="72">
        <f t="shared" si="12"/>
        <v>73.01262626</v>
      </c>
      <c r="I35" s="72">
        <f t="shared" si="12"/>
        <v>69.53583454</v>
      </c>
      <c r="J35" s="72">
        <f t="shared" si="12"/>
        <v>66.37511478</v>
      </c>
      <c r="K35" s="72">
        <f t="shared" si="12"/>
        <v>73.70798461</v>
      </c>
      <c r="L35" s="72">
        <f t="shared" si="12"/>
        <v>70.35762167</v>
      </c>
      <c r="M35" s="72">
        <f t="shared" si="12"/>
        <v>73.70798461</v>
      </c>
      <c r="N35" s="72">
        <f t="shared" si="12"/>
        <v>73.70798461</v>
      </c>
      <c r="O35" s="72">
        <f t="shared" si="12"/>
        <v>70.35762167</v>
      </c>
      <c r="P35" s="72">
        <f t="shared" si="12"/>
        <v>73.70798461</v>
      </c>
      <c r="Q35" s="72">
        <f t="shared" si="12"/>
        <v>70.35762167</v>
      </c>
      <c r="R35" s="72">
        <f t="shared" si="12"/>
        <v>73.70798461</v>
      </c>
      <c r="S35" s="111">
        <f>SUMIF(Timesheet!B:B,A35,Timesheet!N:N)</f>
        <v>114790.3583</v>
      </c>
      <c r="T35" s="111">
        <f t="shared" si="7"/>
        <v>114790.3583</v>
      </c>
      <c r="U35" s="65" t="b">
        <v>1</v>
      </c>
      <c r="V35" s="65"/>
    </row>
    <row r="36">
      <c r="A36" s="61" t="s">
        <v>469</v>
      </c>
      <c r="B36" s="61"/>
      <c r="C36" s="61"/>
      <c r="D36" s="61" t="s">
        <v>133</v>
      </c>
      <c r="E36" s="61" t="s">
        <v>49</v>
      </c>
      <c r="F36" s="61"/>
      <c r="G36" s="72">
        <f t="shared" ref="G36:R36" si="13">vlookup($A36,$A$6:$R$18,month(G$28)+6)*(1+$E$25)/(G$27*8.8)</f>
        <v>35.38609084</v>
      </c>
      <c r="H36" s="72">
        <f t="shared" si="13"/>
        <v>37.15539538</v>
      </c>
      <c r="I36" s="72">
        <f t="shared" si="13"/>
        <v>35.38609084</v>
      </c>
      <c r="J36" s="72">
        <f t="shared" si="13"/>
        <v>33.77763216</v>
      </c>
      <c r="K36" s="72">
        <f t="shared" si="13"/>
        <v>37.50928062</v>
      </c>
      <c r="L36" s="72">
        <f t="shared" si="13"/>
        <v>35.80431332</v>
      </c>
      <c r="M36" s="72">
        <f t="shared" si="13"/>
        <v>37.50928062</v>
      </c>
      <c r="N36" s="72">
        <f t="shared" si="13"/>
        <v>37.50928062</v>
      </c>
      <c r="O36" s="72">
        <f t="shared" si="13"/>
        <v>35.80431332</v>
      </c>
      <c r="P36" s="72">
        <f t="shared" si="13"/>
        <v>37.50928062</v>
      </c>
      <c r="Q36" s="72">
        <f t="shared" si="13"/>
        <v>35.80431332</v>
      </c>
      <c r="R36" s="72">
        <f t="shared" si="13"/>
        <v>37.50928062</v>
      </c>
      <c r="S36" s="111">
        <f>SUMIF(Timesheet!B:B,A36,Timesheet!N:N)</f>
        <v>27328.63671</v>
      </c>
      <c r="T36" s="111">
        <f t="shared" si="7"/>
        <v>27328.63671</v>
      </c>
      <c r="U36" s="65" t="b">
        <v>1</v>
      </c>
      <c r="V36" s="65"/>
    </row>
    <row r="37">
      <c r="A37" s="61" t="s">
        <v>411</v>
      </c>
      <c r="B37" s="61"/>
      <c r="C37" s="61"/>
      <c r="D37" s="61" t="s">
        <v>133</v>
      </c>
      <c r="E37" s="61" t="s">
        <v>48</v>
      </c>
      <c r="F37" s="61"/>
      <c r="G37" s="72">
        <f t="shared" ref="G37:R37" si="14">vlookup($A37,$A$6:$R$18,month(G$28)+6)*(1+$E$25)/(G$27*8.8)</f>
        <v>43.42121728</v>
      </c>
      <c r="H37" s="72">
        <f t="shared" si="14"/>
        <v>45.59227814</v>
      </c>
      <c r="I37" s="72">
        <f t="shared" si="14"/>
        <v>43.42121728</v>
      </c>
      <c r="J37" s="72">
        <f t="shared" si="14"/>
        <v>41.44752558</v>
      </c>
      <c r="K37" s="72">
        <f t="shared" si="14"/>
        <v>46.02646424</v>
      </c>
      <c r="L37" s="72">
        <f t="shared" si="14"/>
        <v>43.93435223</v>
      </c>
      <c r="M37" s="72">
        <f t="shared" si="14"/>
        <v>46.02646424</v>
      </c>
      <c r="N37" s="72">
        <f t="shared" si="14"/>
        <v>46.02646424</v>
      </c>
      <c r="O37" s="72">
        <f t="shared" si="14"/>
        <v>50.09869211</v>
      </c>
      <c r="P37" s="72">
        <f t="shared" si="14"/>
        <v>52.48434411</v>
      </c>
      <c r="Q37" s="72">
        <f t="shared" si="14"/>
        <v>50.09869211</v>
      </c>
      <c r="R37" s="72">
        <f t="shared" si="14"/>
        <v>52.48434411</v>
      </c>
      <c r="S37" s="111">
        <f>SUMIF(Timesheet!B:B,A37,Timesheet!N:N)</f>
        <v>76784.59543</v>
      </c>
      <c r="T37" s="111">
        <f t="shared" si="7"/>
        <v>76784.59543</v>
      </c>
      <c r="U37" s="65" t="b">
        <v>1</v>
      </c>
      <c r="V37" s="65"/>
    </row>
    <row r="38">
      <c r="A38" s="61" t="s">
        <v>3558</v>
      </c>
      <c r="B38" s="61"/>
      <c r="C38" s="61"/>
      <c r="D38" s="61" t="s">
        <v>133</v>
      </c>
      <c r="E38" s="61" t="s">
        <v>49</v>
      </c>
      <c r="F38" s="61"/>
      <c r="G38" s="72">
        <f t="shared" ref="G38:R38" si="15">vlookup($A38,$A$6:$R$18,month(G$28)+6)*(1+$E$25)/(G$27*8.8)</f>
        <v>153.0747954</v>
      </c>
      <c r="H38" s="72">
        <f t="shared" si="15"/>
        <v>160.7285352</v>
      </c>
      <c r="I38" s="72">
        <f t="shared" si="15"/>
        <v>153.0747954</v>
      </c>
      <c r="J38" s="72">
        <f t="shared" si="15"/>
        <v>146.1168502</v>
      </c>
      <c r="K38" s="72">
        <f t="shared" si="15"/>
        <v>153.0747954</v>
      </c>
      <c r="L38" s="72">
        <f t="shared" si="15"/>
        <v>146.1168502</v>
      </c>
      <c r="M38" s="72">
        <f t="shared" si="15"/>
        <v>162.2592623</v>
      </c>
      <c r="N38" s="72">
        <f t="shared" si="15"/>
        <v>162.2592623</v>
      </c>
      <c r="O38" s="72">
        <f t="shared" si="15"/>
        <v>154.8838413</v>
      </c>
      <c r="P38" s="72">
        <f t="shared" si="15"/>
        <v>162.2618699</v>
      </c>
      <c r="Q38" s="72">
        <f t="shared" si="15"/>
        <v>154.8863303</v>
      </c>
      <c r="R38" s="72">
        <f t="shared" si="15"/>
        <v>162.2618699</v>
      </c>
      <c r="S38" s="111">
        <f>SUMIF(Timesheet!B:B,A38,Timesheet!N:N)</f>
        <v>0</v>
      </c>
      <c r="T38" s="111">
        <f t="shared" si="7"/>
        <v>0</v>
      </c>
      <c r="U38" s="65" t="b">
        <v>1</v>
      </c>
      <c r="V38" s="65"/>
    </row>
    <row r="39">
      <c r="A39" s="61" t="s">
        <v>467</v>
      </c>
      <c r="B39" s="61"/>
      <c r="C39" s="61"/>
      <c r="D39" s="61" t="s">
        <v>133</v>
      </c>
      <c r="E39" s="61" t="s">
        <v>49</v>
      </c>
      <c r="F39" s="61"/>
      <c r="G39" s="72">
        <f t="shared" ref="G39:R39" si="16">vlookup($A39,$A$6:$R$18,month(G$28)+6)*(1+$E$25)/(G$27*8.8)</f>
        <v>47.80588624</v>
      </c>
      <c r="H39" s="72">
        <f t="shared" si="16"/>
        <v>50.19618056</v>
      </c>
      <c r="I39" s="72">
        <f t="shared" si="16"/>
        <v>47.80588624</v>
      </c>
      <c r="J39" s="72">
        <f t="shared" si="16"/>
        <v>45.63289141</v>
      </c>
      <c r="K39" s="72">
        <f t="shared" si="16"/>
        <v>52.1518759</v>
      </c>
      <c r="L39" s="72">
        <f t="shared" si="16"/>
        <v>49.78133609</v>
      </c>
      <c r="M39" s="72">
        <f t="shared" si="16"/>
        <v>52.1518759</v>
      </c>
      <c r="N39" s="72">
        <f t="shared" si="16"/>
        <v>52.1518759</v>
      </c>
      <c r="O39" s="72">
        <f t="shared" si="16"/>
        <v>49.78133609</v>
      </c>
      <c r="P39" s="72">
        <f t="shared" si="16"/>
        <v>52.1518759</v>
      </c>
      <c r="Q39" s="72">
        <f t="shared" si="16"/>
        <v>49.78133609</v>
      </c>
      <c r="R39" s="72">
        <f t="shared" si="16"/>
        <v>52.1518759</v>
      </c>
      <c r="S39" s="111">
        <f>SUMIF(Timesheet!B:B,A39,Timesheet!N:N)</f>
        <v>52942.84602</v>
      </c>
      <c r="T39" s="111">
        <f t="shared" si="7"/>
        <v>52942.84602</v>
      </c>
      <c r="U39" s="65" t="b">
        <v>1</v>
      </c>
      <c r="V39" s="65"/>
    </row>
    <row r="40">
      <c r="A40" s="61" t="s">
        <v>3563</v>
      </c>
      <c r="B40" s="61"/>
      <c r="C40" s="61"/>
      <c r="D40" s="61" t="s">
        <v>133</v>
      </c>
      <c r="E40" s="61" t="s">
        <v>49</v>
      </c>
      <c r="F40" s="61"/>
      <c r="G40" s="72">
        <f t="shared" ref="G40:R40" si="17">vlookup($A40,$A$6:$R$18,month(G$28)+6)*(1+$E$25)/(G$27*8.8)</f>
        <v>44.2692937</v>
      </c>
      <c r="H40" s="72">
        <f t="shared" si="17"/>
        <v>46.48275838</v>
      </c>
      <c r="I40" s="72">
        <f t="shared" si="17"/>
        <v>44.2692937</v>
      </c>
      <c r="J40" s="72">
        <f t="shared" si="17"/>
        <v>42.25705308</v>
      </c>
      <c r="K40" s="72">
        <f t="shared" si="17"/>
        <v>46.92547566</v>
      </c>
      <c r="L40" s="72">
        <f t="shared" si="17"/>
        <v>44.79249949</v>
      </c>
      <c r="M40" s="72">
        <f t="shared" si="17"/>
        <v>51.96065236</v>
      </c>
      <c r="N40" s="72">
        <f t="shared" si="17"/>
        <v>51.96065236</v>
      </c>
      <c r="O40" s="72">
        <f t="shared" si="17"/>
        <v>49.59880452</v>
      </c>
      <c r="P40" s="72">
        <f t="shared" si="17"/>
        <v>51.96065236</v>
      </c>
      <c r="Q40" s="72">
        <f t="shared" si="17"/>
        <v>49.59880452</v>
      </c>
      <c r="R40" s="72">
        <f t="shared" si="17"/>
        <v>51.96065236</v>
      </c>
      <c r="S40" s="111">
        <f>SUMIF(Timesheet!B:B,A40,Timesheet!N:N)</f>
        <v>0</v>
      </c>
      <c r="T40" s="111">
        <f t="shared" si="7"/>
        <v>0</v>
      </c>
      <c r="U40" s="65" t="b">
        <v>1</v>
      </c>
      <c r="V40" s="65"/>
    </row>
    <row r="41">
      <c r="A41" s="61" t="s">
        <v>3566</v>
      </c>
      <c r="B41" s="61"/>
      <c r="C41" s="61"/>
      <c r="D41" s="61" t="s">
        <v>133</v>
      </c>
      <c r="E41" s="61" t="s">
        <v>49</v>
      </c>
      <c r="F41" s="61"/>
      <c r="G41" s="72">
        <f t="shared" ref="G41:R41" si="18">vlookup($A41,$A$6:$R$18,month(G$28)+6)*(1+$E$25)/(G$27*8.8)</f>
        <v>34.44648787</v>
      </c>
      <c r="H41" s="72">
        <f t="shared" si="18"/>
        <v>36.16881227</v>
      </c>
      <c r="I41" s="72">
        <f t="shared" si="18"/>
        <v>34.44648787</v>
      </c>
      <c r="J41" s="72">
        <f t="shared" si="18"/>
        <v>32.88073842</v>
      </c>
      <c r="K41" s="72">
        <f t="shared" si="18"/>
        <v>34.44648787</v>
      </c>
      <c r="L41" s="72">
        <f t="shared" si="18"/>
        <v>32.88073842</v>
      </c>
      <c r="M41" s="72">
        <f t="shared" si="18"/>
        <v>36.51326671</v>
      </c>
      <c r="N41" s="72">
        <f t="shared" si="18"/>
        <v>36.51326671</v>
      </c>
      <c r="O41" s="72">
        <f t="shared" si="18"/>
        <v>34.85357277</v>
      </c>
      <c r="P41" s="72">
        <f t="shared" si="18"/>
        <v>38.7203341</v>
      </c>
      <c r="Q41" s="72">
        <f t="shared" si="18"/>
        <v>36.96031892</v>
      </c>
      <c r="R41" s="72">
        <f t="shared" si="18"/>
        <v>38.7203341</v>
      </c>
      <c r="S41" s="111">
        <f>SUMIF(Timesheet!B:B,A41,Timesheet!N:N)</f>
        <v>0</v>
      </c>
      <c r="T41" s="111">
        <f t="shared" si="7"/>
        <v>0</v>
      </c>
      <c r="U41" s="65" t="b">
        <v>1</v>
      </c>
      <c r="V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>
      <c r="A43" s="63" t="s">
        <v>3581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>
      <c r="A44" s="61"/>
      <c r="B44" s="61"/>
      <c r="C44" s="61"/>
      <c r="D44" s="61"/>
      <c r="E44" s="61"/>
      <c r="F44" s="61"/>
      <c r="G44" s="134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>
      <c r="A45" s="135">
        <v>44197.0</v>
      </c>
      <c r="B45" s="136" t="s">
        <v>3582</v>
      </c>
      <c r="C45" s="136" t="s">
        <v>3583</v>
      </c>
      <c r="D45" s="136"/>
      <c r="E45" s="61"/>
      <c r="F45" s="65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>
      <c r="A46" s="137">
        <v>44288.0</v>
      </c>
      <c r="B46" s="138" t="s">
        <v>3582</v>
      </c>
      <c r="C46" s="138" t="s">
        <v>3584</v>
      </c>
      <c r="D46" s="138"/>
      <c r="E46" s="61"/>
      <c r="F46" s="65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>
      <c r="A47" s="135">
        <v>44307.0</v>
      </c>
      <c r="B47" s="136" t="s">
        <v>3585</v>
      </c>
      <c r="C47" s="136" t="s">
        <v>3586</v>
      </c>
      <c r="D47" s="136"/>
      <c r="E47" s="61"/>
      <c r="F47" s="65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>
      <c r="A48" s="137">
        <v>44350.0</v>
      </c>
      <c r="B48" s="138" t="s">
        <v>3587</v>
      </c>
      <c r="C48" s="138" t="s">
        <v>3588</v>
      </c>
      <c r="D48" s="138"/>
      <c r="E48" s="61"/>
      <c r="F48" s="65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>
      <c r="A49" s="135">
        <v>44446.0</v>
      </c>
      <c r="B49" s="136" t="s">
        <v>3589</v>
      </c>
      <c r="C49" s="136" t="s">
        <v>3590</v>
      </c>
      <c r="D49" s="136"/>
      <c r="E49" s="61"/>
      <c r="F49" s="65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>
      <c r="A50" s="137">
        <v>44447.0</v>
      </c>
      <c r="B50" s="138" t="s">
        <v>3585</v>
      </c>
      <c r="C50" s="138" t="s">
        <v>3591</v>
      </c>
      <c r="D50" s="138"/>
      <c r="E50" s="61"/>
      <c r="F50" s="65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>
      <c r="A51" s="139">
        <v>44481.0</v>
      </c>
      <c r="B51" s="140" t="s">
        <v>3589</v>
      </c>
      <c r="C51" s="140" t="s">
        <v>3592</v>
      </c>
      <c r="D51" s="140"/>
      <c r="E51" s="61"/>
      <c r="F51" s="65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</row>
    <row r="52">
      <c r="A52" s="137">
        <v>44502.0</v>
      </c>
      <c r="B52" s="138" t="s">
        <v>3589</v>
      </c>
      <c r="C52" s="138" t="s">
        <v>3593</v>
      </c>
      <c r="D52" s="138"/>
      <c r="E52" s="61"/>
      <c r="F52" s="65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</row>
    <row r="53">
      <c r="A53" s="135">
        <v>44515.0</v>
      </c>
      <c r="B53" s="136" t="s">
        <v>3594</v>
      </c>
      <c r="C53" s="136" t="s">
        <v>3595</v>
      </c>
      <c r="D53" s="136"/>
      <c r="E53" s="61"/>
      <c r="F53" s="65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</row>
  </sheetData>
  <mergeCells count="2">
    <mergeCell ref="A23:E23"/>
    <mergeCell ref="H23:H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2" max="2" width="51.88"/>
    <col customWidth="1" min="3" max="3" width="19.5"/>
    <col customWidth="1" min="4" max="4" width="15.88"/>
    <col customWidth="1" min="5" max="5" width="15.0"/>
    <col customWidth="1" min="6" max="6" width="15.5"/>
    <col customWidth="1" min="7" max="7" width="21.25"/>
    <col customWidth="1" min="8" max="8" width="18.25"/>
    <col customWidth="1" min="9" max="9" width="7.25"/>
    <col customWidth="1" min="10" max="10" width="29.13"/>
    <col customWidth="1" min="11" max="11" width="7.25"/>
  </cols>
  <sheetData>
    <row r="1">
      <c r="B1" s="141" t="s">
        <v>3596</v>
      </c>
      <c r="E1" s="142">
        <f>IFERROR(__xludf.DUMMYFUNCTION("iferror(SUM(FILTER(Investimentos!H:H,Investimentos!J:J = TRUE,Investimentos!L:L = ""Material"")),0)"),0.0)</f>
        <v>0</v>
      </c>
      <c r="F1" s="143">
        <f>E1+E2</f>
        <v>740679.72</v>
      </c>
    </row>
    <row r="2">
      <c r="B2" s="141" t="s">
        <v>3597</v>
      </c>
      <c r="E2" s="142">
        <f>SUM(E6:E33)</f>
        <v>740679.72</v>
      </c>
    </row>
    <row r="4">
      <c r="B4" s="141"/>
      <c r="F4" s="144" t="s">
        <v>3598</v>
      </c>
      <c r="G4" s="144" t="s">
        <v>3599</v>
      </c>
      <c r="H4" s="144" t="s">
        <v>3600</v>
      </c>
    </row>
    <row r="5">
      <c r="B5" s="141" t="s">
        <v>3601</v>
      </c>
      <c r="C5" s="141" t="s">
        <v>3602</v>
      </c>
      <c r="D5" s="141" t="s">
        <v>3603</v>
      </c>
      <c r="E5" s="145" t="s">
        <v>3604</v>
      </c>
      <c r="F5" s="146" t="s">
        <v>59</v>
      </c>
      <c r="G5" s="146" t="s">
        <v>63</v>
      </c>
      <c r="H5" s="146" t="s">
        <v>3605</v>
      </c>
      <c r="J5" s="141" t="s">
        <v>78</v>
      </c>
    </row>
    <row r="6">
      <c r="B6" s="147" t="s">
        <v>3606</v>
      </c>
      <c r="C6" s="148" t="s">
        <v>3607</v>
      </c>
      <c r="D6" s="147" t="s">
        <v>3608</v>
      </c>
      <c r="E6" s="149">
        <v>1872.0</v>
      </c>
      <c r="F6" s="149">
        <f>IFERROR(__xludf.DUMMYFUNCTION("sum(filter(Investimentos!$M:$M,Investimentos!$C:$C=$B6,Investimentos!$J:$J=TRUE))"),5550.04)</f>
        <v>5550.04</v>
      </c>
      <c r="G6" s="149">
        <f>IFERROR(__xludf.DUMMYFUNCTION("sum(filter(Investimentos!$O:$O,Investimentos!$C:$C=$B6,Investimentos!$J:$J=TRUE))"),574.8)</f>
        <v>574.8</v>
      </c>
      <c r="H6" s="149">
        <f>IFERROR(__xludf.DUMMYFUNCTION("sum(filter(Investimentos!$P:$P,Investimentos!$C:$C=$B6,Investimentos!$J:$J=TRUE))"),0.0)</f>
        <v>0</v>
      </c>
      <c r="I6" s="147"/>
      <c r="J6" s="150" t="s">
        <v>3609</v>
      </c>
    </row>
    <row r="7">
      <c r="B7" s="147" t="s">
        <v>3610</v>
      </c>
      <c r="C7" s="148" t="s">
        <v>3607</v>
      </c>
      <c r="D7" s="147" t="s">
        <v>3608</v>
      </c>
      <c r="E7" s="149">
        <v>2216.5</v>
      </c>
      <c r="F7" s="147" t="str">
        <f>IFERROR(__xludf.DUMMYFUNCTION("sum(filter(Investimentos!$M:$M,Investimentos!$C:$C=$B7,Investimentos!$J:$J=TRUE))"),"#N/A")</f>
        <v>#N/A</v>
      </c>
      <c r="G7" s="147" t="str">
        <f>IFERROR(__xludf.DUMMYFUNCTION("sum(filter(Investimentos!$O:$O,Investimentos!$C:$C=$B7,Investimentos!$J:$J=TRUE))"),"#N/A")</f>
        <v>#N/A</v>
      </c>
      <c r="H7" s="147" t="str">
        <f>IFERROR(__xludf.DUMMYFUNCTION("sum(filter(Investimentos!$P:$P,Investimentos!$C:$C=$B7,Investimentos!$J:$J=TRUE))"),"#N/A")</f>
        <v>#N/A</v>
      </c>
      <c r="I7" s="147"/>
      <c r="J7" s="150" t="s">
        <v>3609</v>
      </c>
    </row>
    <row r="8">
      <c r="B8" s="151" t="s">
        <v>3558</v>
      </c>
      <c r="C8" s="152" t="s">
        <v>3611</v>
      </c>
      <c r="D8" s="151" t="s">
        <v>3559</v>
      </c>
      <c r="E8" s="153">
        <v>2087.64</v>
      </c>
      <c r="F8" s="151" t="str">
        <f>IFERROR(__xludf.DUMMYFUNCTION("sum(filter(Investimentos!$M:$M,Investimentos!$C:$C=$B8,Investimentos!$J:$J=TRUE))"),"#N/A")</f>
        <v>#N/A</v>
      </c>
      <c r="G8" s="151" t="str">
        <f>IFERROR(__xludf.DUMMYFUNCTION("sum(filter(Investimentos!$O:$O,Investimentos!$C:$C=$B8,Investimentos!$J:$J=TRUE))"),"#N/A")</f>
        <v>#N/A</v>
      </c>
      <c r="H8" s="151" t="str">
        <f>IFERROR(__xludf.DUMMYFUNCTION("sum(filter(Investimentos!$P:$P,Investimentos!$C:$C=$B8,Investimentos!$J:$J=TRUE))"),"#N/A")</f>
        <v>#N/A</v>
      </c>
      <c r="I8" s="151"/>
      <c r="J8" s="154" t="s">
        <v>3612</v>
      </c>
    </row>
    <row r="9">
      <c r="B9" s="151" t="s">
        <v>411</v>
      </c>
      <c r="C9" s="152" t="s">
        <v>3611</v>
      </c>
      <c r="D9" s="151" t="s">
        <v>3556</v>
      </c>
      <c r="E9" s="153">
        <v>2478.7299999999996</v>
      </c>
      <c r="F9" s="151" t="str">
        <f>IFERROR(__xludf.DUMMYFUNCTION("sum(filter(Investimentos!$M:$M,Investimentos!$C:$C=$B9,Investimentos!$J:$J=TRUE))"),"#N/A")</f>
        <v>#N/A</v>
      </c>
      <c r="G9" s="151" t="str">
        <f>IFERROR(__xludf.DUMMYFUNCTION("sum(filter(Investimentos!$O:$O,Investimentos!$C:$C=$B9,Investimentos!$J:$J=TRUE))"),"#N/A")</f>
        <v>#N/A</v>
      </c>
      <c r="H9" s="151" t="str">
        <f>IFERROR(__xludf.DUMMYFUNCTION("sum(filter(Investimentos!$P:$P,Investimentos!$C:$C=$B9,Investimentos!$J:$J=TRUE))"),"#N/A")</f>
        <v>#N/A</v>
      </c>
      <c r="I9" s="151"/>
      <c r="J9" s="154" t="s">
        <v>3612</v>
      </c>
    </row>
    <row r="10">
      <c r="B10" s="151" t="s">
        <v>3613</v>
      </c>
      <c r="C10" s="152" t="s">
        <v>3611</v>
      </c>
      <c r="D10" s="151" t="s">
        <v>3561</v>
      </c>
      <c r="E10" s="153">
        <v>2353.9400000000005</v>
      </c>
      <c r="F10" s="153">
        <f>IFERROR(__xludf.DUMMYFUNCTION("sum(filter(Investimentos!$M:$M,Investimentos!$C:$C=$B10,Investimentos!$J:$J=TRUE))"),5503.77)</f>
        <v>5503.77</v>
      </c>
      <c r="G10" s="153">
        <f>IFERROR(__xludf.DUMMYFUNCTION("sum(filter(Investimentos!$O:$O,Investimentos!$C:$C=$B10,Investimentos!$J:$J=TRUE))"),0.0)</f>
        <v>0</v>
      </c>
      <c r="H10" s="153">
        <f>IFERROR(__xludf.DUMMYFUNCTION("sum(filter(Investimentos!$P:$P,Investimentos!$C:$C=$B10,Investimentos!$J:$J=TRUE))"),0.0)</f>
        <v>0</v>
      </c>
      <c r="I10" s="151"/>
      <c r="J10" s="154" t="s">
        <v>3612</v>
      </c>
    </row>
    <row r="11">
      <c r="B11" s="155" t="s">
        <v>3614</v>
      </c>
      <c r="C11" s="156" t="s">
        <v>3615</v>
      </c>
      <c r="D11" s="155" t="s">
        <v>3616</v>
      </c>
      <c r="E11" s="157">
        <v>69.5</v>
      </c>
      <c r="F11" s="155" t="str">
        <f>IFERROR(__xludf.DUMMYFUNCTION("sum(filter(Investimentos!$M:$M,Investimentos!$C:$C=$B11,Investimentos!$J:$J=TRUE))"),"#N/A")</f>
        <v>#N/A</v>
      </c>
      <c r="G11" s="155" t="str">
        <f>IFERROR(__xludf.DUMMYFUNCTION("sum(filter(Investimentos!$O:$O,Investimentos!$C:$C=$B11,Investimentos!$J:$J=TRUE))"),"#N/A")</f>
        <v>#N/A</v>
      </c>
      <c r="H11" s="155" t="str">
        <f>IFERROR(__xludf.DUMMYFUNCTION("sum(filter(Investimentos!$P:$P,Investimentos!$C:$C=$B11,Investimentos!$J:$J=TRUE))"),"#N/A")</f>
        <v>#N/A</v>
      </c>
      <c r="I11" s="155"/>
      <c r="J11" s="158" t="s">
        <v>3617</v>
      </c>
    </row>
    <row r="12">
      <c r="B12" s="155" t="s">
        <v>3618</v>
      </c>
      <c r="C12" s="156" t="s">
        <v>3615</v>
      </c>
      <c r="D12" s="155" t="s">
        <v>3619</v>
      </c>
      <c r="E12" s="157">
        <v>124.99</v>
      </c>
      <c r="F12" s="155" t="str">
        <f>IFERROR(__xludf.DUMMYFUNCTION("sum(filter(Investimentos!$M:$M,Investimentos!$C:$C=$B12,Investimentos!$J:$J=TRUE))"),"#N/A")</f>
        <v>#N/A</v>
      </c>
      <c r="G12" s="155" t="str">
        <f>IFERROR(__xludf.DUMMYFUNCTION("sum(filter(Investimentos!$O:$O,Investimentos!$C:$C=$B12,Investimentos!$J:$J=TRUE))"),"#N/A")</f>
        <v>#N/A</v>
      </c>
      <c r="H12" s="155" t="str">
        <f>IFERROR(__xludf.DUMMYFUNCTION("sum(filter(Investimentos!$P:$P,Investimentos!$C:$C=$B12,Investimentos!$J:$J=TRUE))"),"#N/A")</f>
        <v>#N/A</v>
      </c>
      <c r="I12" s="155"/>
      <c r="J12" s="158" t="s">
        <v>3617</v>
      </c>
    </row>
    <row r="13">
      <c r="B13" s="155" t="s">
        <v>3620</v>
      </c>
      <c r="C13" s="156" t="s">
        <v>3615</v>
      </c>
      <c r="D13" s="155" t="s">
        <v>3621</v>
      </c>
      <c r="E13" s="157">
        <v>107.84</v>
      </c>
      <c r="F13" s="155" t="str">
        <f>IFERROR(__xludf.DUMMYFUNCTION("sum(filter(Investimentos!$M:$M,Investimentos!$C:$C=$B13,Investimentos!$J:$J=TRUE))"),"#N/A")</f>
        <v>#N/A</v>
      </c>
      <c r="G13" s="155" t="str">
        <f>IFERROR(__xludf.DUMMYFUNCTION("sum(filter(Investimentos!$O:$O,Investimentos!$C:$C=$B13,Investimentos!$J:$J=TRUE))"),"#N/A")</f>
        <v>#N/A</v>
      </c>
      <c r="H13" s="155" t="str">
        <f>IFERROR(__xludf.DUMMYFUNCTION("sum(filter(Investimentos!$P:$P,Investimentos!$C:$C=$B13,Investimentos!$J:$J=TRUE))"),"#N/A")</f>
        <v>#N/A</v>
      </c>
      <c r="I13" s="155"/>
      <c r="J13" s="158" t="s">
        <v>3617</v>
      </c>
    </row>
    <row r="14">
      <c r="B14" s="155" t="s">
        <v>3622</v>
      </c>
      <c r="C14" s="156" t="s">
        <v>3615</v>
      </c>
      <c r="D14" s="155" t="s">
        <v>3623</v>
      </c>
      <c r="E14" s="157">
        <v>6734.39</v>
      </c>
      <c r="F14" s="157" t="str">
        <f>IFERROR(__xludf.DUMMYFUNCTION("sum(filter(Investimentos!$M:$M,Investimentos!$C:$C=$B14,Investimentos!$J:$J=TRUE))"),"#N/A")</f>
        <v>#N/A</v>
      </c>
      <c r="G14" s="157" t="str">
        <f>IFERROR(__xludf.DUMMYFUNCTION("sum(filter(Investimentos!$O:$O,Investimentos!$C:$C=$B14,Investimentos!$J:$J=TRUE))"),"#N/A")</f>
        <v>#N/A</v>
      </c>
      <c r="H14" s="157" t="str">
        <f>IFERROR(__xludf.DUMMYFUNCTION("sum(filter(Investimentos!$P:$P,Investimentos!$C:$C=$B14,Investimentos!$J:$J=TRUE))"),"#N/A")</f>
        <v>#N/A</v>
      </c>
      <c r="I14" s="155"/>
      <c r="J14" s="158" t="s">
        <v>3624</v>
      </c>
    </row>
    <row r="15">
      <c r="B15" s="159" t="s">
        <v>3625</v>
      </c>
      <c r="C15" s="160" t="s">
        <v>3626</v>
      </c>
      <c r="D15" s="159" t="s">
        <v>3627</v>
      </c>
      <c r="E15" s="161">
        <v>63139.61</v>
      </c>
      <c r="F15" s="159" t="str">
        <f>IFERROR(__xludf.DUMMYFUNCTION("sum(filter(Investimentos!$M:$M,Investimentos!$C:$C=$B15,Investimentos!$J:$J=TRUE))"),"#N/A")</f>
        <v>#N/A</v>
      </c>
      <c r="G15" s="159" t="str">
        <f>IFERROR(__xludf.DUMMYFUNCTION("sum(filter(Investimentos!$O:$O,Investimentos!$C:$C=$B15,Investimentos!$J:$J=TRUE))"),"#N/A")</f>
        <v>#N/A</v>
      </c>
      <c r="H15" s="159" t="str">
        <f>IFERROR(__xludf.DUMMYFUNCTION("sum(filter(Investimentos!$P:$P,Investimentos!$C:$C=$B15,Investimentos!$J:$J=TRUE))"),"#N/A")</f>
        <v>#N/A</v>
      </c>
      <c r="J15" s="162" t="s">
        <v>3628</v>
      </c>
    </row>
    <row r="16">
      <c r="B16" s="159" t="s">
        <v>3629</v>
      </c>
      <c r="C16" s="160" t="s">
        <v>3626</v>
      </c>
      <c r="D16" s="159" t="s">
        <v>3630</v>
      </c>
      <c r="E16" s="161">
        <v>56470.0</v>
      </c>
      <c r="F16" s="161">
        <f>IFERROR(__xludf.DUMMYFUNCTION("sum(filter(Investimentos!$M:$M,Investimentos!$C:$C=$B16,Investimentos!$J:$J=TRUE))"),63386.72)</f>
        <v>63386.72</v>
      </c>
      <c r="G16" s="161">
        <f>IFERROR(__xludf.DUMMYFUNCTION("sum(filter(Investimentos!$O:$O,Investimentos!$C:$C=$B16,Investimentos!$J:$J=TRUE))"),61345.920000000006)</f>
        <v>61345.92</v>
      </c>
      <c r="H16" s="161">
        <f>IFERROR(__xludf.DUMMYFUNCTION("sum(filter(Investimentos!$P:$P,Investimentos!$C:$C=$B16,Investimentos!$J:$J=TRUE))"),1334.96)</f>
        <v>1334.96</v>
      </c>
      <c r="J16" s="162" t="s">
        <v>3631</v>
      </c>
    </row>
    <row r="17">
      <c r="B17" s="159" t="s">
        <v>3632</v>
      </c>
      <c r="C17" s="163" t="s">
        <v>3626</v>
      </c>
      <c r="D17" s="159" t="s">
        <v>3633</v>
      </c>
      <c r="E17" s="161">
        <v>449589.35999999987</v>
      </c>
      <c r="F17" s="161">
        <f>IFERROR(__xludf.DUMMYFUNCTION("sum(filter(Investimentos!$M:$M,Investimentos!$C:$C=$B17,Investimentos!$J:$J=TRUE))"),33116.19)</f>
        <v>33116.19</v>
      </c>
      <c r="G17" s="161">
        <f>IFERROR(__xludf.DUMMYFUNCTION("sum(filter(Investimentos!$O:$O,Investimentos!$C:$C=$B17,Investimentos!$J:$J=TRUE))"),45915.32)</f>
        <v>45915.32</v>
      </c>
      <c r="H17" s="161">
        <f>IFERROR(__xludf.DUMMYFUNCTION("sum(filter(Investimentos!$P:$P,Investimentos!$C:$C=$B17,Investimentos!$J:$J=TRUE))"),2461.3399999999997)</f>
        <v>2461.34</v>
      </c>
      <c r="J17" s="162" t="s">
        <v>3634</v>
      </c>
    </row>
    <row r="18">
      <c r="B18" s="159" t="s">
        <v>3635</v>
      </c>
      <c r="C18" s="163" t="s">
        <v>3626</v>
      </c>
      <c r="D18" s="159" t="s">
        <v>3636</v>
      </c>
      <c r="E18" s="161">
        <v>50733.5</v>
      </c>
      <c r="F18" s="161">
        <f>IFERROR(__xludf.DUMMYFUNCTION("sum(filter(Investimentos!$M:$M,Investimentos!$C:$C=$B18,Investimentos!$J:$J=TRUE))"),2677.92)</f>
        <v>2677.92</v>
      </c>
      <c r="G18" s="161">
        <f>IFERROR(__xludf.DUMMYFUNCTION("sum(filter(Investimentos!$O:$O,Investimentos!$C:$C=$B18,Investimentos!$J:$J=TRUE))"),5888.85)</f>
        <v>5888.85</v>
      </c>
      <c r="H18" s="161">
        <f>IFERROR(__xludf.DUMMYFUNCTION("sum(filter(Investimentos!$P:$P,Investimentos!$C:$C=$B18,Investimentos!$J:$J=TRUE))"),2023.14)</f>
        <v>2023.14</v>
      </c>
      <c r="J18" s="162" t="s">
        <v>3637</v>
      </c>
    </row>
    <row r="19">
      <c r="B19" s="159" t="s">
        <v>3638</v>
      </c>
      <c r="C19" s="163" t="s">
        <v>3626</v>
      </c>
      <c r="D19" s="159" t="s">
        <v>3639</v>
      </c>
      <c r="E19" s="161">
        <v>3200.0</v>
      </c>
      <c r="F19" s="159" t="str">
        <f>IFERROR(__xludf.DUMMYFUNCTION("sum(filter(Investimentos!$M:$M,Investimentos!$C:$C=$B19,Investimentos!$J:$J=TRUE))"),"#N/A")</f>
        <v>#N/A</v>
      </c>
      <c r="G19" s="159" t="str">
        <f>IFERROR(__xludf.DUMMYFUNCTION("sum(filter(Investimentos!$O:$O,Investimentos!$C:$C=$B19,Investimentos!$J:$J=TRUE))"),"#N/A")</f>
        <v>#N/A</v>
      </c>
      <c r="H19" s="159" t="str">
        <f>IFERROR(__xludf.DUMMYFUNCTION("sum(filter(Investimentos!$P:$P,Investimentos!$C:$C=$B19,Investimentos!$J:$J=TRUE))"),"#N/A")</f>
        <v>#N/A</v>
      </c>
      <c r="J19" s="162" t="s">
        <v>3640</v>
      </c>
    </row>
    <row r="20">
      <c r="B20" s="159" t="s">
        <v>3641</v>
      </c>
      <c r="C20" s="163" t="s">
        <v>3626</v>
      </c>
      <c r="D20" s="159" t="s">
        <v>3642</v>
      </c>
      <c r="E20" s="161">
        <v>240.0</v>
      </c>
      <c r="F20" s="159" t="str">
        <f>IFERROR(__xludf.DUMMYFUNCTION("sum(filter(Investimentos!$M:$M,Investimentos!$C:$C=$B20,Investimentos!$J:$J=TRUE))"),"#N/A")</f>
        <v>#N/A</v>
      </c>
      <c r="G20" s="159" t="str">
        <f>IFERROR(__xludf.DUMMYFUNCTION("sum(filter(Investimentos!$O:$O,Investimentos!$C:$C=$B20,Investimentos!$J:$J=TRUE))"),"#N/A")</f>
        <v>#N/A</v>
      </c>
      <c r="H20" s="159" t="str">
        <f>IFERROR(__xludf.DUMMYFUNCTION("sum(filter(Investimentos!$P:$P,Investimentos!$C:$C=$B20,Investimentos!$J:$J=TRUE))"),"#N/A")</f>
        <v>#N/A</v>
      </c>
      <c r="J20" s="164" t="s">
        <v>3643</v>
      </c>
    </row>
    <row r="21">
      <c r="B21" s="159" t="s">
        <v>3644</v>
      </c>
      <c r="C21" s="163" t="s">
        <v>3626</v>
      </c>
      <c r="D21" s="159" t="s">
        <v>3645</v>
      </c>
      <c r="E21" s="161">
        <v>373.02</v>
      </c>
      <c r="F21" s="159" t="str">
        <f>IFERROR(__xludf.DUMMYFUNCTION("sum(filter(Investimentos!$M:$M,Investimentos!$C:$C=$B21,Investimentos!$J:$J=TRUE))"),"#N/A")</f>
        <v>#N/A</v>
      </c>
      <c r="G21" s="159" t="str">
        <f>IFERROR(__xludf.DUMMYFUNCTION("sum(filter(Investimentos!$O:$O,Investimentos!$C:$C=$B21,Investimentos!$J:$J=TRUE))"),"#N/A")</f>
        <v>#N/A</v>
      </c>
      <c r="H21" s="159" t="str">
        <f>IFERROR(__xludf.DUMMYFUNCTION("sum(filter(Investimentos!$P:$P,Investimentos!$C:$C=$B21,Investimentos!$J:$J=TRUE))"),"#N/A")</f>
        <v>#N/A</v>
      </c>
      <c r="J21" s="164" t="s">
        <v>3646</v>
      </c>
    </row>
    <row r="22">
      <c r="B22" s="159" t="s">
        <v>3647</v>
      </c>
      <c r="C22" s="163" t="s">
        <v>3626</v>
      </c>
      <c r="D22" s="159" t="s">
        <v>3648</v>
      </c>
      <c r="E22" s="161">
        <v>173.5</v>
      </c>
      <c r="F22" s="159" t="str">
        <f>IFERROR(__xludf.DUMMYFUNCTION("sum(filter(Investimentos!$M:$M,Investimentos!$C:$C=$B22,Investimentos!$J:$J=TRUE))"),"#N/A")</f>
        <v>#N/A</v>
      </c>
      <c r="G22" s="159" t="str">
        <f>IFERROR(__xludf.DUMMYFUNCTION("sum(filter(Investimentos!$O:$O,Investimentos!$C:$C=$B22,Investimentos!$J:$J=TRUE))"),"#N/A")</f>
        <v>#N/A</v>
      </c>
      <c r="H22" s="159" t="str">
        <f>IFERROR(__xludf.DUMMYFUNCTION("sum(filter(Investimentos!$P:$P,Investimentos!$C:$C=$B22,Investimentos!$J:$J=TRUE))"),"#N/A")</f>
        <v>#N/A</v>
      </c>
      <c r="J22" s="164" t="s">
        <v>3649</v>
      </c>
    </row>
    <row r="23">
      <c r="B23" s="159" t="s">
        <v>3650</v>
      </c>
      <c r="C23" s="163" t="s">
        <v>3626</v>
      </c>
      <c r="D23" s="159" t="s">
        <v>3651</v>
      </c>
      <c r="E23" s="161">
        <v>94.0</v>
      </c>
      <c r="F23" s="159" t="str">
        <f>IFERROR(__xludf.DUMMYFUNCTION("sum(filter(Investimentos!$M:$M,Investimentos!$C:$C=$B23,Investimentos!$J:$J=TRUE))"),"#N/A")</f>
        <v>#N/A</v>
      </c>
      <c r="G23" s="159" t="str">
        <f>IFERROR(__xludf.DUMMYFUNCTION("sum(filter(Investimentos!$O:$O,Investimentos!$C:$C=$B23,Investimentos!$J:$J=TRUE))"),"#N/A")</f>
        <v>#N/A</v>
      </c>
      <c r="H23" s="159" t="str">
        <f>IFERROR(__xludf.DUMMYFUNCTION("sum(filter(Investimentos!$P:$P,Investimentos!$C:$C=$B23,Investimentos!$J:$J=TRUE))"),"#N/A")</f>
        <v>#N/A</v>
      </c>
      <c r="J23" s="164" t="s">
        <v>3652</v>
      </c>
    </row>
    <row r="24">
      <c r="B24" s="159" t="s">
        <v>3653</v>
      </c>
      <c r="C24" s="163" t="s">
        <v>3626</v>
      </c>
      <c r="D24" s="159" t="s">
        <v>3654</v>
      </c>
      <c r="E24" s="161">
        <v>69970.85</v>
      </c>
      <c r="F24" s="159" t="str">
        <f>IFERROR(__xludf.DUMMYFUNCTION("sum(filter(Investimentos!$M:$M,Investimentos!$C:$C=$B24,Investimentos!$J:$J=TRUE))"),"#N/A")</f>
        <v>#N/A</v>
      </c>
      <c r="G24" s="159" t="str">
        <f>IFERROR(__xludf.DUMMYFUNCTION("sum(filter(Investimentos!$O:$O,Investimentos!$C:$C=$B24,Investimentos!$J:$J=TRUE))"),"#N/A")</f>
        <v>#N/A</v>
      </c>
      <c r="H24" s="159" t="str">
        <f>IFERROR(__xludf.DUMMYFUNCTION("sum(filter(Investimentos!$P:$P,Investimentos!$C:$C=$B24,Investimentos!$J:$J=TRUE))"),"#N/A")</f>
        <v>#N/A</v>
      </c>
      <c r="J24" s="164" t="s">
        <v>3655</v>
      </c>
    </row>
    <row r="25">
      <c r="B25" s="159" t="s">
        <v>3656</v>
      </c>
      <c r="C25" s="163" t="s">
        <v>3626</v>
      </c>
      <c r="D25" s="159" t="s">
        <v>3657</v>
      </c>
      <c r="E25" s="161">
        <v>406.04</v>
      </c>
      <c r="F25" s="159" t="str">
        <f>IFERROR(__xludf.DUMMYFUNCTION("sum(filter(Investimentos!$M:$M,Investimentos!$C:$C=$B25,Investimentos!$J:$J=TRUE))"),"#N/A")</f>
        <v>#N/A</v>
      </c>
      <c r="G25" s="159" t="str">
        <f>IFERROR(__xludf.DUMMYFUNCTION("sum(filter(Investimentos!$O:$O,Investimentos!$C:$C=$B25,Investimentos!$J:$J=TRUE))"),"#N/A")</f>
        <v>#N/A</v>
      </c>
      <c r="H25" s="159" t="str">
        <f>IFERROR(__xludf.DUMMYFUNCTION("sum(filter(Investimentos!$P:$P,Investimentos!$C:$C=$B25,Investimentos!$J:$J=TRUE))"),"#N/A")</f>
        <v>#N/A</v>
      </c>
      <c r="J25" s="164" t="s">
        <v>3658</v>
      </c>
    </row>
    <row r="26">
      <c r="B26" s="159" t="s">
        <v>3659</v>
      </c>
      <c r="C26" s="163" t="s">
        <v>3626</v>
      </c>
      <c r="D26" s="159" t="s">
        <v>3660</v>
      </c>
      <c r="E26" s="161">
        <v>1980.0</v>
      </c>
      <c r="F26" s="161">
        <f>IFERROR(__xludf.DUMMYFUNCTION("sum(filter(Investimentos!$M:$M,Investimentos!$C:$C=$B26,Investimentos!$J:$J=TRUE))"),295.95)</f>
        <v>295.95</v>
      </c>
      <c r="G26" s="161">
        <f>IFERROR(__xludf.DUMMYFUNCTION("sum(filter(Investimentos!$O:$O,Investimentos!$C:$C=$B26,Investimentos!$J:$J=TRUE))"),2779.8599999999997)</f>
        <v>2779.86</v>
      </c>
      <c r="H26" s="161">
        <f>IFERROR(__xludf.DUMMYFUNCTION("sum(filter(Investimentos!$P:$P,Investimentos!$C:$C=$B26,Investimentos!$J:$J=TRUE))"),0.0)</f>
        <v>0</v>
      </c>
      <c r="J26" s="162" t="s">
        <v>3661</v>
      </c>
    </row>
    <row r="27">
      <c r="B27" s="159" t="s">
        <v>3662</v>
      </c>
      <c r="C27" s="163" t="s">
        <v>3626</v>
      </c>
      <c r="D27" s="159" t="s">
        <v>3663</v>
      </c>
      <c r="E27" s="161">
        <v>2300.0</v>
      </c>
      <c r="F27" s="159" t="str">
        <f>IFERROR(__xludf.DUMMYFUNCTION("sum(filter(Investimentos!$M:$M,Investimentos!$C:$C=$B27,Investimentos!$J:$J=TRUE))"),"#N/A")</f>
        <v>#N/A</v>
      </c>
      <c r="G27" s="159" t="str">
        <f>IFERROR(__xludf.DUMMYFUNCTION("sum(filter(Investimentos!$O:$O,Investimentos!$C:$C=$B27,Investimentos!$J:$J=TRUE))"),"#N/A")</f>
        <v>#N/A</v>
      </c>
      <c r="H27" s="159" t="str">
        <f>IFERROR(__xludf.DUMMYFUNCTION("sum(filter(Investimentos!$P:$P,Investimentos!$C:$C=$B27,Investimentos!$J:$J=TRUE))"),"#N/A")</f>
        <v>#N/A</v>
      </c>
      <c r="J27" s="164" t="s">
        <v>3664</v>
      </c>
    </row>
    <row r="28">
      <c r="B28" s="159" t="s">
        <v>3665</v>
      </c>
      <c r="C28" s="163" t="s">
        <v>3626</v>
      </c>
      <c r="D28" s="159" t="s">
        <v>3666</v>
      </c>
      <c r="E28" s="161">
        <v>1800.0</v>
      </c>
      <c r="F28" s="159" t="str">
        <f>IFERROR(__xludf.DUMMYFUNCTION("sum(filter(Investimentos!$M:$M,Investimentos!$C:$C=$B28,Investimentos!$J:$J=TRUE))"),"#N/A")</f>
        <v>#N/A</v>
      </c>
      <c r="G28" s="159" t="str">
        <f>IFERROR(__xludf.DUMMYFUNCTION("sum(filter(Investimentos!$O:$O,Investimentos!$C:$C=$B28,Investimentos!$J:$J=TRUE))"),"#N/A")</f>
        <v>#N/A</v>
      </c>
      <c r="H28" s="159" t="str">
        <f>IFERROR(__xludf.DUMMYFUNCTION("sum(filter(Investimentos!$P:$P,Investimentos!$C:$C=$B28,Investimentos!$J:$J=TRUE))"),"#N/A")</f>
        <v>#N/A</v>
      </c>
      <c r="J28" s="162" t="s">
        <v>3667</v>
      </c>
    </row>
    <row r="29">
      <c r="B29" s="159" t="s">
        <v>3668</v>
      </c>
      <c r="C29" s="163" t="s">
        <v>3626</v>
      </c>
      <c r="D29" s="159" t="s">
        <v>3669</v>
      </c>
      <c r="E29" s="165">
        <v>6525.0</v>
      </c>
      <c r="F29" s="159" t="str">
        <f>IFERROR(__xludf.DUMMYFUNCTION("sum(filter(Investimentos!$M:$M,Investimentos!$C:$C=$B29,Investimentos!$J:$J=TRUE))"),"#N/A")</f>
        <v>#N/A</v>
      </c>
      <c r="G29" s="159" t="str">
        <f>IFERROR(__xludf.DUMMYFUNCTION("sum(filter(Investimentos!$O:$O,Investimentos!$C:$C=$B29,Investimentos!$J:$J=TRUE))"),"#N/A")</f>
        <v>#N/A</v>
      </c>
      <c r="H29" s="159" t="str">
        <f>IFERROR(__xludf.DUMMYFUNCTION("sum(filter(Investimentos!$P:$P,Investimentos!$C:$C=$B29,Investimentos!$J:$J=TRUE))"),"#N/A")</f>
        <v>#N/A</v>
      </c>
      <c r="J29" s="162" t="s">
        <v>3670</v>
      </c>
    </row>
    <row r="30">
      <c r="B30" s="159" t="s">
        <v>3671</v>
      </c>
      <c r="C30" s="163" t="s">
        <v>3626</v>
      </c>
      <c r="D30" s="159" t="s">
        <v>3672</v>
      </c>
      <c r="E30" s="161">
        <v>4389.3099999999995</v>
      </c>
      <c r="F30" s="159" t="str">
        <f>IFERROR(__xludf.DUMMYFUNCTION("sum(filter(Investimentos!$M:$M,Investimentos!$C:$C=$B30,Investimentos!$J:$J=TRUE))"),"#N/A")</f>
        <v>#N/A</v>
      </c>
      <c r="G30" s="159" t="str">
        <f>IFERROR(__xludf.DUMMYFUNCTION("sum(filter(Investimentos!$O:$O,Investimentos!$C:$C=$B30,Investimentos!$J:$J=TRUE))"),"#N/A")</f>
        <v>#N/A</v>
      </c>
      <c r="H30" s="159" t="str">
        <f>IFERROR(__xludf.DUMMYFUNCTION("sum(filter(Investimentos!$P:$P,Investimentos!$C:$C=$B30,Investimentos!$J:$J=TRUE))"),"#N/A")</f>
        <v>#N/A</v>
      </c>
      <c r="J30" s="162" t="s">
        <v>3673</v>
      </c>
    </row>
    <row r="31">
      <c r="B31" s="159" t="s">
        <v>3674</v>
      </c>
      <c r="C31" s="163" t="s">
        <v>3626</v>
      </c>
      <c r="D31" s="159" t="s">
        <v>3675</v>
      </c>
      <c r="E31" s="161">
        <v>5000.0</v>
      </c>
      <c r="F31" s="159" t="str">
        <f>IFERROR(__xludf.DUMMYFUNCTION("sum(filter(Investimentos!$M:$M,Investimentos!$C:$C=$B31,Investimentos!$J:$J=TRUE))"),"#N/A")</f>
        <v>#N/A</v>
      </c>
      <c r="G31" s="159" t="str">
        <f>IFERROR(__xludf.DUMMYFUNCTION("sum(filter(Investimentos!$O:$O,Investimentos!$C:$C=$B31,Investimentos!$J:$J=TRUE))"),"#N/A")</f>
        <v>#N/A</v>
      </c>
      <c r="H31" s="159" t="str">
        <f>IFERROR(__xludf.DUMMYFUNCTION("sum(filter(Investimentos!$P:$P,Investimentos!$C:$C=$B31,Investimentos!$J:$J=TRUE))"),"#N/A")</f>
        <v>#N/A</v>
      </c>
      <c r="J31" s="164" t="s">
        <v>3676</v>
      </c>
    </row>
    <row r="32">
      <c r="B32" s="159" t="s">
        <v>3677</v>
      </c>
      <c r="C32" s="163" t="s">
        <v>3626</v>
      </c>
      <c r="D32" s="159" t="s">
        <v>3678</v>
      </c>
      <c r="E32" s="161">
        <v>2250.0</v>
      </c>
      <c r="F32" s="159" t="str">
        <f>IFERROR(__xludf.DUMMYFUNCTION("sum(filter(Investimentos!$M:$M,Investimentos!$C:$C=$B32,Investimentos!$J:$J=TRUE))"),"#N/A")</f>
        <v>#N/A</v>
      </c>
      <c r="G32" s="159" t="str">
        <f>IFERROR(__xludf.DUMMYFUNCTION("sum(filter(Investimentos!$O:$O,Investimentos!$C:$C=$B32,Investimentos!$J:$J=TRUE))"),"#N/A")</f>
        <v>#N/A</v>
      </c>
      <c r="H32" s="159" t="str">
        <f>IFERROR(__xludf.DUMMYFUNCTION("sum(filter(Investimentos!$P:$P,Investimentos!$C:$C=$B32,Investimentos!$J:$J=TRUE))"),"#N/A")</f>
        <v>#N/A</v>
      </c>
      <c r="J32" s="162" t="s">
        <v>3609</v>
      </c>
    </row>
    <row r="33">
      <c r="B33" s="159" t="s">
        <v>3679</v>
      </c>
      <c r="C33" s="163" t="s">
        <v>3626</v>
      </c>
      <c r="D33" s="160" t="s">
        <v>3680</v>
      </c>
      <c r="E33" s="161">
        <v>4000.0</v>
      </c>
      <c r="F33" s="159" t="str">
        <f>IFERROR(__xludf.DUMMYFUNCTION("sum(filter(Investimentos!$M:$M,Investimentos!$C:$C=$B33,Investimentos!$J:$J=TRUE))"),"#N/A")</f>
        <v>#N/A</v>
      </c>
      <c r="G33" s="159" t="str">
        <f>IFERROR(__xludf.DUMMYFUNCTION("sum(filter(Investimentos!$O:$O,Investimentos!$C:$C=$B33,Investimentos!$J:$J=TRUE))"),"#N/A")</f>
        <v>#N/A</v>
      </c>
      <c r="H33" s="159" t="str">
        <f>IFERROR(__xludf.DUMMYFUNCTION("sum(filter(Investimentos!$P:$P,Investimentos!$C:$C=$B33,Investimentos!$J:$J=TRUE))"),"#N/A")</f>
        <v>#N/A</v>
      </c>
      <c r="J33" s="164" t="s">
        <v>3681</v>
      </c>
    </row>
    <row r="34">
      <c r="C34" s="161"/>
    </row>
    <row r="35">
      <c r="C35" s="161"/>
    </row>
    <row r="36">
      <c r="B36" s="141" t="s">
        <v>3682</v>
      </c>
      <c r="C36" s="161"/>
      <c r="F36" s="144" t="s">
        <v>3598</v>
      </c>
      <c r="H36" s="144" t="s">
        <v>3599</v>
      </c>
      <c r="J36" s="144" t="s">
        <v>3600</v>
      </c>
    </row>
    <row r="37">
      <c r="A37" s="166"/>
      <c r="B37" s="159" t="str">
        <f t="array" ref="B37:K53">'Classificação p pessoal'!J1:S17</f>
        <v/>
      </c>
      <c r="C37" s="159"/>
      <c r="D37" s="159"/>
      <c r="E37" s="159"/>
      <c r="F37" s="167" t="s">
        <v>60</v>
      </c>
      <c r="G37" s="168"/>
      <c r="H37" s="167" t="s">
        <v>3683</v>
      </c>
      <c r="I37" s="168"/>
      <c r="J37" s="167" t="s">
        <v>3684</v>
      </c>
      <c r="K37" s="168"/>
    </row>
    <row r="38">
      <c r="B38" s="141" t="s">
        <v>3685</v>
      </c>
      <c r="C38" s="166" t="s">
        <v>137</v>
      </c>
      <c r="D38" s="141" t="s">
        <v>3518</v>
      </c>
      <c r="E38" s="166" t="s">
        <v>3521</v>
      </c>
      <c r="F38" s="169" t="s">
        <v>3604</v>
      </c>
      <c r="G38" s="170" t="s">
        <v>45</v>
      </c>
      <c r="H38" s="169" t="s">
        <v>3604</v>
      </c>
      <c r="I38" s="170" t="s">
        <v>45</v>
      </c>
      <c r="J38" s="169" t="s">
        <v>3604</v>
      </c>
      <c r="K38" s="170" t="s">
        <v>45</v>
      </c>
    </row>
    <row r="39">
      <c r="B39" s="159" t="s">
        <v>133</v>
      </c>
      <c r="C39" s="159" t="s">
        <v>146</v>
      </c>
      <c r="D39" s="159" t="s">
        <v>3538</v>
      </c>
      <c r="E39" s="159" t="s">
        <v>50</v>
      </c>
      <c r="F39" s="171">
        <v>21238.805306628758</v>
      </c>
      <c r="G39" s="172">
        <v>640.4999999999998</v>
      </c>
      <c r="H39" s="171">
        <v>17010.940081655823</v>
      </c>
      <c r="I39" s="172">
        <v>512.9999999999998</v>
      </c>
      <c r="J39" s="171"/>
      <c r="K39" s="172">
        <v>0.0</v>
      </c>
    </row>
    <row r="40">
      <c r="B40" s="159" t="s">
        <v>133</v>
      </c>
      <c r="C40" s="159" t="s">
        <v>168</v>
      </c>
      <c r="D40" s="159" t="s">
        <v>3544</v>
      </c>
      <c r="E40" s="159" t="s">
        <v>49</v>
      </c>
      <c r="F40" s="171">
        <v>2697.297629238817</v>
      </c>
      <c r="G40" s="172">
        <v>29.0</v>
      </c>
      <c r="H40" s="171">
        <v>186.02052615440113</v>
      </c>
      <c r="I40" s="172">
        <v>2.0</v>
      </c>
      <c r="J40" s="171"/>
      <c r="K40" s="172">
        <v>0.0</v>
      </c>
    </row>
    <row r="41">
      <c r="B41" s="159" t="s">
        <v>133</v>
      </c>
      <c r="C41" s="159" t="s">
        <v>177</v>
      </c>
      <c r="D41" s="159" t="s">
        <v>3546</v>
      </c>
      <c r="E41" s="159" t="s">
        <v>48</v>
      </c>
      <c r="F41" s="171">
        <v>15699.682084337666</v>
      </c>
      <c r="G41" s="172">
        <v>505.9641810377379</v>
      </c>
      <c r="H41" s="171">
        <v>1208.6658773248391</v>
      </c>
      <c r="I41" s="172">
        <v>38.95248562892923</v>
      </c>
      <c r="J41" s="171">
        <v>3281.3417286052495</v>
      </c>
      <c r="K41" s="172">
        <v>105.75000000000004</v>
      </c>
    </row>
    <row r="42">
      <c r="B42" s="159" t="s">
        <v>133</v>
      </c>
      <c r="C42" s="159" t="s">
        <v>411</v>
      </c>
      <c r="D42" s="159" t="s">
        <v>3556</v>
      </c>
      <c r="E42" s="159" t="s">
        <v>48</v>
      </c>
      <c r="F42" s="171">
        <v>67615.09433009496</v>
      </c>
      <c r="G42" s="172">
        <v>1288.2907365178487</v>
      </c>
      <c r="H42" s="171">
        <v>8802.110695157711</v>
      </c>
      <c r="I42" s="172">
        <v>167.70926348215093</v>
      </c>
      <c r="J42" s="171">
        <v>367.3904087752526</v>
      </c>
      <c r="K42" s="172">
        <v>7.0</v>
      </c>
    </row>
    <row r="43">
      <c r="B43" s="159" t="s">
        <v>133</v>
      </c>
      <c r="C43" s="159" t="s">
        <v>467</v>
      </c>
      <c r="D43" s="159" t="s">
        <v>3561</v>
      </c>
      <c r="E43" s="159" t="s">
        <v>49</v>
      </c>
      <c r="F43" s="171">
        <v>44211.46352954651</v>
      </c>
      <c r="G43" s="172">
        <v>847.7444533870771</v>
      </c>
      <c r="H43" s="171">
        <v>7714.420910088008</v>
      </c>
      <c r="I43" s="172">
        <v>147.92221327959004</v>
      </c>
      <c r="J43" s="171">
        <v>1016.9615800865798</v>
      </c>
      <c r="K43" s="172">
        <v>19.500000000000004</v>
      </c>
    </row>
    <row r="44">
      <c r="B44" s="159" t="s">
        <v>133</v>
      </c>
      <c r="C44" s="159" t="s">
        <v>469</v>
      </c>
      <c r="D44" s="159" t="s">
        <v>3554</v>
      </c>
      <c r="E44" s="159" t="s">
        <v>49</v>
      </c>
      <c r="F44" s="171">
        <v>8235.135684727024</v>
      </c>
      <c r="G44" s="172">
        <v>219.54928347264257</v>
      </c>
      <c r="H44" s="171">
        <v>18205.781382300647</v>
      </c>
      <c r="I44" s="172">
        <v>485.3673831940241</v>
      </c>
      <c r="J44" s="171">
        <v>887.7196414512185</v>
      </c>
      <c r="K44" s="172">
        <v>23.66666666666667</v>
      </c>
    </row>
    <row r="45">
      <c r="B45" s="159" t="s">
        <v>133</v>
      </c>
      <c r="C45" s="159" t="s">
        <v>495</v>
      </c>
      <c r="D45" s="159" t="s">
        <v>3552</v>
      </c>
      <c r="E45" s="159" t="s">
        <v>49</v>
      </c>
      <c r="F45" s="171">
        <v>97214.16345810794</v>
      </c>
      <c r="G45" s="172">
        <v>1318.909531648988</v>
      </c>
      <c r="H45" s="171">
        <v>15794.918542854268</v>
      </c>
      <c r="I45" s="172">
        <v>214.2904683510124</v>
      </c>
      <c r="J45" s="171">
        <v>1781.2762946929613</v>
      </c>
      <c r="K45" s="172">
        <v>24.16666666666667</v>
      </c>
    </row>
    <row r="46">
      <c r="B46" s="159" t="s">
        <v>133</v>
      </c>
      <c r="C46" s="159" t="s">
        <v>750</v>
      </c>
      <c r="D46" s="159" t="s">
        <v>3548</v>
      </c>
      <c r="E46" s="159" t="s">
        <v>48</v>
      </c>
      <c r="F46" s="171">
        <v>23237.233027921084</v>
      </c>
      <c r="G46" s="172">
        <v>668.2992834726421</v>
      </c>
      <c r="H46" s="171">
        <v>6.979053897114981</v>
      </c>
      <c r="I46" s="172">
        <v>0.20071652735739562</v>
      </c>
      <c r="J46" s="171"/>
      <c r="K46" s="172">
        <v>0.0</v>
      </c>
    </row>
    <row r="47">
      <c r="B47" s="159"/>
      <c r="C47" s="159"/>
      <c r="D47" s="159"/>
      <c r="E47" s="159"/>
      <c r="F47" s="173">
        <v>280148.8750506027</v>
      </c>
      <c r="G47" s="174">
        <v>5518.257469536936</v>
      </c>
      <c r="H47" s="173">
        <v>68929.83706943282</v>
      </c>
      <c r="I47" s="174">
        <v>1569.4425304630638</v>
      </c>
      <c r="J47" s="173">
        <v>7334.689653611262</v>
      </c>
      <c r="K47" s="174">
        <v>180.08333333333343</v>
      </c>
    </row>
    <row r="48">
      <c r="B48" s="159"/>
      <c r="C48" s="161"/>
      <c r="D48" s="159"/>
      <c r="E48" s="159"/>
      <c r="F48" s="159"/>
      <c r="G48" s="159"/>
      <c r="H48" s="159"/>
      <c r="I48" s="159"/>
      <c r="J48" s="159"/>
      <c r="K48" s="159"/>
    </row>
    <row r="49">
      <c r="B49" s="159"/>
      <c r="C49" s="161"/>
      <c r="D49" s="159"/>
      <c r="E49" s="159"/>
      <c r="F49" s="159"/>
      <c r="G49" s="159"/>
      <c r="H49" s="159"/>
      <c r="I49" s="159"/>
      <c r="J49" s="159" t="s">
        <v>3686</v>
      </c>
      <c r="K49" s="175">
        <v>356413.4017736468</v>
      </c>
    </row>
    <row r="50">
      <c r="B50" s="159"/>
      <c r="C50" s="161"/>
      <c r="D50" s="159"/>
      <c r="E50" s="159"/>
      <c r="F50" s="159"/>
      <c r="G50" s="159"/>
      <c r="H50" s="159"/>
      <c r="I50" s="159"/>
      <c r="J50" s="159" t="s">
        <v>3687</v>
      </c>
      <c r="K50" s="176">
        <v>7267.783333333333</v>
      </c>
    </row>
    <row r="51">
      <c r="B51" s="159"/>
      <c r="C51" s="161"/>
      <c r="D51" s="159"/>
      <c r="E51" s="159"/>
      <c r="F51" s="159"/>
      <c r="G51" s="159"/>
      <c r="H51" s="159"/>
      <c r="I51" s="159"/>
      <c r="J51" s="159" t="s">
        <v>3688</v>
      </c>
      <c r="K51" s="177"/>
    </row>
    <row r="52">
      <c r="B52" s="159"/>
      <c r="C52" s="161"/>
      <c r="D52" s="159"/>
      <c r="E52" s="159"/>
      <c r="F52" s="159"/>
      <c r="G52" s="159"/>
      <c r="H52" s="159"/>
      <c r="I52" s="159"/>
      <c r="J52" s="159" t="s">
        <v>3689</v>
      </c>
      <c r="K52" s="175">
        <v>356413.401773647</v>
      </c>
    </row>
    <row r="53">
      <c r="B53" s="159"/>
      <c r="C53" s="161"/>
      <c r="D53" s="159"/>
      <c r="E53" s="159"/>
      <c r="F53" s="159"/>
      <c r="G53" s="159"/>
      <c r="H53" s="159"/>
      <c r="I53" s="159"/>
      <c r="J53" s="159" t="s">
        <v>3690</v>
      </c>
      <c r="K53" s="178">
        <v>7267.78333333333</v>
      </c>
    </row>
    <row r="54">
      <c r="C54" s="161"/>
    </row>
    <row r="55">
      <c r="C55" s="161"/>
    </row>
    <row r="56">
      <c r="C56" s="179"/>
      <c r="D56" s="180"/>
      <c r="E56" s="180"/>
      <c r="F56" s="180"/>
      <c r="G56" s="181"/>
    </row>
    <row r="57">
      <c r="C57" s="182"/>
      <c r="D57" s="183" t="s">
        <v>3691</v>
      </c>
      <c r="E57" s="183" t="s">
        <v>3692</v>
      </c>
      <c r="F57" s="184">
        <v>1.31443338E8</v>
      </c>
      <c r="G57" s="185"/>
    </row>
    <row r="58">
      <c r="C58" s="182"/>
      <c r="D58" s="183" t="s">
        <v>3693</v>
      </c>
      <c r="E58" s="183" t="s">
        <v>3694</v>
      </c>
      <c r="F58" s="184">
        <v>-2.453751039E7</v>
      </c>
      <c r="G58" s="185"/>
    </row>
    <row r="59">
      <c r="C59" s="182"/>
      <c r="G59" s="185"/>
    </row>
    <row r="60">
      <c r="C60" s="182"/>
      <c r="D60" s="141" t="s">
        <v>3695</v>
      </c>
      <c r="F60" s="142">
        <f>F57+F58</f>
        <v>106905827.6</v>
      </c>
      <c r="G60" s="185"/>
    </row>
    <row r="61">
      <c r="C61" s="186"/>
      <c r="D61" s="187"/>
      <c r="E61" s="187"/>
      <c r="F61" s="187"/>
      <c r="G61" s="188"/>
    </row>
    <row r="62">
      <c r="C62" s="161"/>
    </row>
    <row r="63">
      <c r="C63" s="161"/>
    </row>
    <row r="64">
      <c r="C64" s="161"/>
    </row>
    <row r="65">
      <c r="C65" s="161"/>
    </row>
    <row r="66">
      <c r="C66" s="161"/>
    </row>
    <row r="67">
      <c r="C67" s="161"/>
    </row>
    <row r="68">
      <c r="C68" s="161"/>
    </row>
    <row r="69">
      <c r="C69" s="161"/>
    </row>
    <row r="70">
      <c r="C70" s="161"/>
    </row>
    <row r="71">
      <c r="C71" s="161"/>
    </row>
    <row r="72">
      <c r="C72" s="161"/>
    </row>
    <row r="73">
      <c r="C73" s="161"/>
    </row>
    <row r="74">
      <c r="C74" s="161"/>
    </row>
    <row r="75">
      <c r="C75" s="161"/>
    </row>
    <row r="76">
      <c r="C76" s="161"/>
    </row>
    <row r="77">
      <c r="C77" s="161"/>
    </row>
    <row r="78">
      <c r="C78" s="161"/>
    </row>
    <row r="79">
      <c r="C79" s="161"/>
    </row>
    <row r="80">
      <c r="C80" s="161"/>
    </row>
    <row r="81">
      <c r="C81" s="161"/>
    </row>
    <row r="82">
      <c r="C82" s="161"/>
    </row>
    <row r="83">
      <c r="C83" s="161"/>
    </row>
    <row r="84">
      <c r="C84" s="161"/>
    </row>
    <row r="85">
      <c r="C85" s="161"/>
    </row>
    <row r="86">
      <c r="C86" s="161"/>
    </row>
    <row r="87">
      <c r="C87" s="161"/>
    </row>
    <row r="88">
      <c r="C88" s="161"/>
    </row>
    <row r="89">
      <c r="C89" s="161"/>
    </row>
    <row r="90">
      <c r="C90" s="161"/>
    </row>
    <row r="91">
      <c r="C91" s="161"/>
    </row>
    <row r="92">
      <c r="C92" s="161"/>
    </row>
    <row r="93">
      <c r="C93" s="161"/>
    </row>
    <row r="94">
      <c r="C94" s="161"/>
    </row>
    <row r="95">
      <c r="C95" s="161"/>
    </row>
    <row r="96">
      <c r="C96" s="161"/>
    </row>
    <row r="97">
      <c r="C97" s="161"/>
    </row>
    <row r="98">
      <c r="C98" s="161"/>
    </row>
    <row r="99">
      <c r="C99" s="161"/>
    </row>
    <row r="100">
      <c r="C100" s="161"/>
    </row>
    <row r="101">
      <c r="C101" s="161"/>
    </row>
    <row r="102">
      <c r="C102" s="161"/>
    </row>
    <row r="103">
      <c r="C103" s="161"/>
    </row>
    <row r="104">
      <c r="C104" s="161"/>
    </row>
    <row r="105">
      <c r="C105" s="161"/>
    </row>
    <row r="106">
      <c r="C106" s="161"/>
    </row>
    <row r="107">
      <c r="C107" s="161"/>
    </row>
    <row r="108">
      <c r="C108" s="161"/>
    </row>
    <row r="109">
      <c r="C109" s="161"/>
    </row>
    <row r="110">
      <c r="C110" s="161"/>
    </row>
    <row r="111">
      <c r="C111" s="161"/>
    </row>
    <row r="112">
      <c r="C112" s="161"/>
    </row>
    <row r="113">
      <c r="C113" s="161"/>
    </row>
    <row r="114">
      <c r="C114" s="161"/>
    </row>
    <row r="115">
      <c r="C115" s="161"/>
    </row>
    <row r="116">
      <c r="C116" s="161"/>
    </row>
    <row r="117">
      <c r="C117" s="161"/>
    </row>
    <row r="118">
      <c r="C118" s="161"/>
    </row>
    <row r="119">
      <c r="C119" s="161"/>
    </row>
    <row r="120">
      <c r="C120" s="161"/>
    </row>
    <row r="121">
      <c r="C121" s="161"/>
    </row>
    <row r="122">
      <c r="C122" s="161"/>
    </row>
    <row r="123">
      <c r="C123" s="161"/>
    </row>
    <row r="124">
      <c r="C124" s="161"/>
    </row>
    <row r="125">
      <c r="C125" s="161"/>
    </row>
    <row r="126">
      <c r="C126" s="161"/>
    </row>
    <row r="127">
      <c r="C127" s="161"/>
    </row>
    <row r="128">
      <c r="C128" s="161"/>
    </row>
    <row r="129">
      <c r="C129" s="161"/>
    </row>
    <row r="130">
      <c r="C130" s="161"/>
    </row>
    <row r="131">
      <c r="C131" s="161"/>
    </row>
    <row r="132">
      <c r="C132" s="161"/>
    </row>
    <row r="133">
      <c r="C133" s="161"/>
    </row>
    <row r="134">
      <c r="C134" s="161"/>
    </row>
    <row r="135">
      <c r="C135" s="161"/>
    </row>
    <row r="136">
      <c r="C136" s="161"/>
    </row>
    <row r="137">
      <c r="C137" s="161"/>
    </row>
    <row r="138">
      <c r="C138" s="161"/>
    </row>
    <row r="139">
      <c r="C139" s="161"/>
    </row>
    <row r="140">
      <c r="C140" s="161"/>
    </row>
    <row r="141">
      <c r="C141" s="161"/>
    </row>
    <row r="142">
      <c r="C142" s="161"/>
    </row>
    <row r="143">
      <c r="C143" s="161"/>
    </row>
    <row r="144">
      <c r="C144" s="161"/>
    </row>
    <row r="145">
      <c r="C145" s="161"/>
    </row>
    <row r="146">
      <c r="C146" s="161"/>
    </row>
    <row r="147">
      <c r="C147" s="161"/>
    </row>
    <row r="148">
      <c r="C148" s="161"/>
    </row>
    <row r="149">
      <c r="C149" s="161"/>
    </row>
    <row r="150">
      <c r="C150" s="161"/>
    </row>
    <row r="151">
      <c r="C151" s="161"/>
    </row>
    <row r="152">
      <c r="C152" s="161"/>
    </row>
    <row r="153">
      <c r="C153" s="161"/>
    </row>
    <row r="154">
      <c r="C154" s="161"/>
    </row>
    <row r="155">
      <c r="C155" s="161"/>
    </row>
    <row r="156">
      <c r="C156" s="161"/>
    </row>
    <row r="157">
      <c r="C157" s="161"/>
    </row>
    <row r="158">
      <c r="C158" s="161"/>
    </row>
    <row r="159">
      <c r="C159" s="161"/>
    </row>
    <row r="160">
      <c r="C160" s="161"/>
    </row>
    <row r="161">
      <c r="C161" s="161"/>
    </row>
    <row r="162">
      <c r="C162" s="161"/>
    </row>
    <row r="163">
      <c r="C163" s="161"/>
    </row>
    <row r="164">
      <c r="C164" s="161"/>
    </row>
    <row r="165">
      <c r="C165" s="161"/>
    </row>
    <row r="166">
      <c r="C166" s="161"/>
    </row>
    <row r="167">
      <c r="C167" s="161"/>
    </row>
    <row r="168">
      <c r="C168" s="161"/>
    </row>
    <row r="169">
      <c r="C169" s="161"/>
    </row>
    <row r="170">
      <c r="C170" s="161"/>
    </row>
    <row r="171">
      <c r="C171" s="161"/>
    </row>
    <row r="172">
      <c r="C172" s="161"/>
    </row>
    <row r="173">
      <c r="C173" s="161"/>
    </row>
    <row r="174">
      <c r="C174" s="161"/>
    </row>
    <row r="175">
      <c r="C175" s="161"/>
    </row>
    <row r="176">
      <c r="C176" s="161"/>
    </row>
    <row r="177">
      <c r="C177" s="161"/>
    </row>
    <row r="178">
      <c r="C178" s="161"/>
    </row>
    <row r="179">
      <c r="C179" s="161"/>
    </row>
    <row r="180">
      <c r="C180" s="161"/>
    </row>
    <row r="181">
      <c r="C181" s="161"/>
    </row>
    <row r="182">
      <c r="C182" s="161"/>
    </row>
    <row r="183">
      <c r="C183" s="161"/>
    </row>
    <row r="184">
      <c r="C184" s="161"/>
    </row>
    <row r="185">
      <c r="C185" s="161"/>
    </row>
    <row r="186">
      <c r="C186" s="161"/>
    </row>
    <row r="187">
      <c r="C187" s="161"/>
    </row>
    <row r="188">
      <c r="C188" s="161"/>
    </row>
    <row r="189">
      <c r="C189" s="161"/>
    </row>
    <row r="190">
      <c r="C190" s="161"/>
    </row>
    <row r="191">
      <c r="C191" s="161"/>
    </row>
    <row r="192">
      <c r="C192" s="161"/>
    </row>
    <row r="193">
      <c r="C193" s="161"/>
    </row>
    <row r="194">
      <c r="C194" s="161"/>
    </row>
    <row r="195">
      <c r="C195" s="161"/>
    </row>
    <row r="196">
      <c r="C196" s="161"/>
    </row>
    <row r="197">
      <c r="C197" s="161"/>
    </row>
    <row r="198">
      <c r="C198" s="161"/>
    </row>
    <row r="199">
      <c r="C199" s="161"/>
    </row>
    <row r="200">
      <c r="C200" s="161"/>
    </row>
    <row r="201">
      <c r="C201" s="161"/>
    </row>
    <row r="202">
      <c r="C202" s="161"/>
    </row>
    <row r="203">
      <c r="C203" s="161"/>
    </row>
    <row r="204">
      <c r="C204" s="161"/>
    </row>
    <row r="205">
      <c r="C205" s="161"/>
    </row>
    <row r="206">
      <c r="C206" s="161"/>
    </row>
    <row r="207">
      <c r="C207" s="161"/>
    </row>
    <row r="208">
      <c r="C208" s="161"/>
    </row>
    <row r="209">
      <c r="C209" s="161"/>
    </row>
    <row r="210">
      <c r="C210" s="161"/>
    </row>
    <row r="211">
      <c r="C211" s="161"/>
    </row>
    <row r="212">
      <c r="C212" s="161"/>
    </row>
    <row r="213">
      <c r="C213" s="161"/>
    </row>
    <row r="214">
      <c r="C214" s="161"/>
    </row>
    <row r="215">
      <c r="C215" s="161"/>
    </row>
    <row r="216">
      <c r="C216" s="161"/>
    </row>
    <row r="217">
      <c r="C217" s="161"/>
    </row>
    <row r="218">
      <c r="C218" s="161"/>
    </row>
    <row r="219">
      <c r="C219" s="161"/>
    </row>
    <row r="220">
      <c r="C220" s="161"/>
    </row>
    <row r="221">
      <c r="C221" s="161"/>
    </row>
    <row r="222">
      <c r="C222" s="161"/>
    </row>
    <row r="223">
      <c r="C223" s="161"/>
    </row>
    <row r="224">
      <c r="C224" s="161"/>
    </row>
    <row r="225">
      <c r="C225" s="161"/>
    </row>
    <row r="226">
      <c r="C226" s="161"/>
    </row>
    <row r="227">
      <c r="C227" s="161"/>
    </row>
    <row r="228">
      <c r="C228" s="161"/>
    </row>
    <row r="229">
      <c r="C229" s="161"/>
    </row>
    <row r="230">
      <c r="C230" s="161"/>
    </row>
    <row r="231">
      <c r="C231" s="161"/>
    </row>
    <row r="232">
      <c r="C232" s="161"/>
    </row>
    <row r="233">
      <c r="C233" s="161"/>
    </row>
    <row r="234">
      <c r="C234" s="161"/>
    </row>
    <row r="235">
      <c r="C235" s="161"/>
    </row>
    <row r="236">
      <c r="C236" s="161"/>
    </row>
    <row r="237">
      <c r="C237" s="161"/>
    </row>
    <row r="238">
      <c r="C238" s="161"/>
    </row>
    <row r="239">
      <c r="C239" s="161"/>
    </row>
    <row r="240">
      <c r="C240" s="161"/>
    </row>
    <row r="241">
      <c r="C241" s="161"/>
    </row>
    <row r="242">
      <c r="C242" s="161"/>
    </row>
    <row r="243">
      <c r="C243" s="161"/>
    </row>
    <row r="244">
      <c r="C244" s="161"/>
    </row>
    <row r="245">
      <c r="C245" s="161"/>
    </row>
    <row r="246">
      <c r="C246" s="161"/>
    </row>
    <row r="247">
      <c r="C247" s="161"/>
    </row>
    <row r="248">
      <c r="C248" s="161"/>
    </row>
    <row r="249">
      <c r="C249" s="161"/>
    </row>
    <row r="250">
      <c r="C250" s="161"/>
    </row>
    <row r="251">
      <c r="C251" s="161"/>
    </row>
    <row r="252">
      <c r="C252" s="161"/>
    </row>
    <row r="253">
      <c r="C253" s="161"/>
    </row>
    <row r="254">
      <c r="C254" s="161"/>
    </row>
    <row r="255">
      <c r="C255" s="161"/>
    </row>
    <row r="256">
      <c r="C256" s="161"/>
    </row>
    <row r="257">
      <c r="C257" s="161"/>
    </row>
    <row r="258">
      <c r="C258" s="161"/>
    </row>
    <row r="259">
      <c r="C259" s="161"/>
    </row>
    <row r="260">
      <c r="C260" s="161"/>
    </row>
    <row r="261">
      <c r="C261" s="161"/>
    </row>
    <row r="262">
      <c r="C262" s="161"/>
    </row>
    <row r="263">
      <c r="C263" s="161"/>
    </row>
    <row r="264">
      <c r="C264" s="161"/>
    </row>
    <row r="265">
      <c r="C265" s="161"/>
    </row>
    <row r="266">
      <c r="C266" s="161"/>
    </row>
    <row r="267">
      <c r="C267" s="161"/>
    </row>
    <row r="268">
      <c r="C268" s="161"/>
    </row>
    <row r="269">
      <c r="C269" s="161"/>
    </row>
    <row r="270">
      <c r="C270" s="161"/>
    </row>
    <row r="271">
      <c r="C271" s="161"/>
    </row>
    <row r="272">
      <c r="C272" s="161"/>
    </row>
    <row r="273">
      <c r="C273" s="161"/>
    </row>
    <row r="274">
      <c r="C274" s="161"/>
    </row>
    <row r="275">
      <c r="C275" s="161"/>
    </row>
    <row r="276">
      <c r="C276" s="161"/>
    </row>
    <row r="277">
      <c r="C277" s="161"/>
    </row>
    <row r="278">
      <c r="C278" s="161"/>
    </row>
    <row r="279">
      <c r="C279" s="161"/>
    </row>
    <row r="280">
      <c r="C280" s="161"/>
    </row>
    <row r="281">
      <c r="C281" s="161"/>
    </row>
    <row r="282">
      <c r="C282" s="161"/>
    </row>
    <row r="283">
      <c r="C283" s="161"/>
    </row>
    <row r="284">
      <c r="C284" s="161"/>
    </row>
    <row r="285">
      <c r="C285" s="161"/>
    </row>
    <row r="286">
      <c r="C286" s="161"/>
    </row>
    <row r="287">
      <c r="C287" s="161"/>
    </row>
    <row r="288">
      <c r="C288" s="161"/>
    </row>
    <row r="289">
      <c r="C289" s="161"/>
    </row>
    <row r="290">
      <c r="C290" s="161"/>
    </row>
    <row r="291">
      <c r="C291" s="161"/>
    </row>
    <row r="292">
      <c r="C292" s="161"/>
    </row>
    <row r="293">
      <c r="C293" s="161"/>
    </row>
    <row r="294">
      <c r="C294" s="161"/>
    </row>
    <row r="295">
      <c r="C295" s="161"/>
    </row>
    <row r="296">
      <c r="C296" s="161"/>
    </row>
    <row r="297">
      <c r="C297" s="161"/>
    </row>
    <row r="298">
      <c r="C298" s="161"/>
    </row>
    <row r="299">
      <c r="C299" s="161"/>
    </row>
    <row r="300">
      <c r="C300" s="161"/>
    </row>
    <row r="301">
      <c r="C301" s="161"/>
    </row>
    <row r="302">
      <c r="C302" s="161"/>
    </row>
    <row r="303">
      <c r="C303" s="161"/>
    </row>
    <row r="304">
      <c r="C304" s="161"/>
    </row>
    <row r="305">
      <c r="C305" s="161"/>
    </row>
    <row r="306">
      <c r="C306" s="161"/>
    </row>
    <row r="307">
      <c r="C307" s="161"/>
    </row>
    <row r="308">
      <c r="C308" s="161"/>
    </row>
    <row r="309">
      <c r="C309" s="161"/>
    </row>
    <row r="310">
      <c r="C310" s="161"/>
    </row>
    <row r="311">
      <c r="C311" s="161"/>
    </row>
    <row r="312">
      <c r="C312" s="161"/>
    </row>
    <row r="313">
      <c r="C313" s="161"/>
    </row>
    <row r="314">
      <c r="C314" s="161"/>
    </row>
    <row r="315">
      <c r="C315" s="161"/>
    </row>
    <row r="316">
      <c r="C316" s="161"/>
    </row>
    <row r="317">
      <c r="C317" s="161"/>
    </row>
    <row r="318">
      <c r="C318" s="161"/>
    </row>
    <row r="319">
      <c r="C319" s="161"/>
    </row>
    <row r="320">
      <c r="C320" s="161"/>
    </row>
    <row r="321">
      <c r="C321" s="161"/>
    </row>
    <row r="322">
      <c r="C322" s="161"/>
    </row>
    <row r="323">
      <c r="C323" s="161"/>
    </row>
    <row r="324">
      <c r="C324" s="161"/>
    </row>
    <row r="325">
      <c r="C325" s="161"/>
    </row>
    <row r="326">
      <c r="C326" s="161"/>
    </row>
    <row r="327">
      <c r="C327" s="161"/>
    </row>
    <row r="328">
      <c r="C328" s="161"/>
    </row>
    <row r="329">
      <c r="C329" s="161"/>
    </row>
    <row r="330">
      <c r="C330" s="161"/>
    </row>
    <row r="331">
      <c r="C331" s="161"/>
    </row>
    <row r="332">
      <c r="C332" s="161"/>
    </row>
    <row r="333">
      <c r="C333" s="161"/>
    </row>
    <row r="334">
      <c r="C334" s="161"/>
    </row>
    <row r="335">
      <c r="C335" s="161"/>
    </row>
    <row r="336">
      <c r="C336" s="161"/>
    </row>
    <row r="337">
      <c r="C337" s="161"/>
    </row>
    <row r="338">
      <c r="C338" s="161"/>
    </row>
    <row r="339">
      <c r="C339" s="161"/>
    </row>
    <row r="340">
      <c r="C340" s="161"/>
    </row>
    <row r="341">
      <c r="C341" s="161"/>
    </row>
    <row r="342">
      <c r="C342" s="161"/>
    </row>
    <row r="343">
      <c r="C343" s="161"/>
    </row>
    <row r="344">
      <c r="C344" s="161"/>
    </row>
    <row r="345">
      <c r="C345" s="161"/>
    </row>
    <row r="346">
      <c r="C346" s="161"/>
    </row>
    <row r="347">
      <c r="C347" s="161"/>
    </row>
    <row r="348">
      <c r="C348" s="161"/>
    </row>
    <row r="349">
      <c r="C349" s="161"/>
    </row>
    <row r="350">
      <c r="C350" s="161"/>
    </row>
    <row r="351">
      <c r="C351" s="161"/>
    </row>
    <row r="352">
      <c r="C352" s="161"/>
    </row>
    <row r="353">
      <c r="C353" s="161"/>
    </row>
    <row r="354">
      <c r="C354" s="161"/>
    </row>
    <row r="355">
      <c r="C355" s="161"/>
    </row>
    <row r="356">
      <c r="C356" s="161"/>
    </row>
    <row r="357">
      <c r="C357" s="161"/>
    </row>
    <row r="358">
      <c r="C358" s="161"/>
    </row>
    <row r="359">
      <c r="C359" s="161"/>
    </row>
    <row r="360">
      <c r="C360" s="161"/>
    </row>
    <row r="361">
      <c r="C361" s="161"/>
    </row>
    <row r="362">
      <c r="C362" s="161"/>
    </row>
    <row r="363">
      <c r="C363" s="161"/>
    </row>
    <row r="364">
      <c r="C364" s="161"/>
    </row>
    <row r="365">
      <c r="C365" s="161"/>
    </row>
    <row r="366">
      <c r="C366" s="161"/>
    </row>
    <row r="367">
      <c r="C367" s="161"/>
    </row>
    <row r="368">
      <c r="C368" s="161"/>
    </row>
    <row r="369">
      <c r="C369" s="161"/>
    </row>
    <row r="370">
      <c r="C370" s="161"/>
    </row>
    <row r="371">
      <c r="C371" s="161"/>
    </row>
    <row r="372">
      <c r="C372" s="161"/>
    </row>
    <row r="373">
      <c r="C373" s="161"/>
    </row>
    <row r="374">
      <c r="C374" s="161"/>
    </row>
    <row r="375">
      <c r="C375" s="161"/>
    </row>
    <row r="376">
      <c r="C376" s="161"/>
    </row>
    <row r="377">
      <c r="C377" s="161"/>
    </row>
    <row r="378">
      <c r="C378" s="161"/>
    </row>
    <row r="379">
      <c r="C379" s="161"/>
    </row>
    <row r="380">
      <c r="C380" s="161"/>
    </row>
    <row r="381">
      <c r="C381" s="161"/>
    </row>
    <row r="382">
      <c r="C382" s="161"/>
    </row>
    <row r="383">
      <c r="C383" s="161"/>
    </row>
    <row r="384">
      <c r="C384" s="161"/>
    </row>
    <row r="385">
      <c r="C385" s="161"/>
    </row>
    <row r="386">
      <c r="C386" s="161"/>
    </row>
    <row r="387">
      <c r="C387" s="161"/>
    </row>
    <row r="388">
      <c r="C388" s="161"/>
    </row>
    <row r="389">
      <c r="C389" s="161"/>
    </row>
    <row r="390">
      <c r="C390" s="161"/>
    </row>
    <row r="391">
      <c r="C391" s="161"/>
    </row>
    <row r="392">
      <c r="C392" s="161"/>
    </row>
    <row r="393">
      <c r="C393" s="161"/>
    </row>
    <row r="394">
      <c r="C394" s="161"/>
    </row>
    <row r="395">
      <c r="C395" s="161"/>
    </row>
    <row r="396">
      <c r="C396" s="161"/>
    </row>
    <row r="397">
      <c r="C397" s="161"/>
    </row>
    <row r="398">
      <c r="C398" s="161"/>
    </row>
    <row r="399">
      <c r="C399" s="161"/>
    </row>
    <row r="400">
      <c r="C400" s="161"/>
    </row>
    <row r="401">
      <c r="C401" s="161"/>
    </row>
    <row r="402">
      <c r="C402" s="161"/>
    </row>
    <row r="403">
      <c r="C403" s="161"/>
    </row>
    <row r="404">
      <c r="C404" s="161"/>
    </row>
    <row r="405">
      <c r="C405" s="161"/>
    </row>
    <row r="406">
      <c r="C406" s="161"/>
    </row>
    <row r="407">
      <c r="C407" s="161"/>
    </row>
    <row r="408">
      <c r="C408" s="161"/>
    </row>
    <row r="409">
      <c r="C409" s="161"/>
    </row>
    <row r="410">
      <c r="C410" s="161"/>
    </row>
    <row r="411">
      <c r="C411" s="161"/>
    </row>
    <row r="412">
      <c r="C412" s="161"/>
    </row>
    <row r="413">
      <c r="C413" s="161"/>
    </row>
    <row r="414">
      <c r="C414" s="161"/>
    </row>
    <row r="415">
      <c r="C415" s="161"/>
    </row>
    <row r="416">
      <c r="C416" s="161"/>
    </row>
    <row r="417">
      <c r="C417" s="161"/>
    </row>
    <row r="418">
      <c r="C418" s="161"/>
    </row>
    <row r="419">
      <c r="C419" s="161"/>
    </row>
    <row r="420">
      <c r="C420" s="161"/>
    </row>
    <row r="421">
      <c r="C421" s="161"/>
    </row>
    <row r="422">
      <c r="C422" s="161"/>
    </row>
    <row r="423">
      <c r="C423" s="161"/>
    </row>
    <row r="424">
      <c r="C424" s="161"/>
    </row>
    <row r="425">
      <c r="C425" s="161"/>
    </row>
    <row r="426">
      <c r="C426" s="161"/>
    </row>
    <row r="427">
      <c r="C427" s="161"/>
    </row>
    <row r="428">
      <c r="C428" s="161"/>
    </row>
    <row r="429">
      <c r="C429" s="161"/>
    </row>
    <row r="430">
      <c r="C430" s="161"/>
    </row>
    <row r="431">
      <c r="C431" s="161"/>
    </row>
    <row r="432">
      <c r="C432" s="161"/>
    </row>
    <row r="433">
      <c r="C433" s="161"/>
    </row>
    <row r="434">
      <c r="C434" s="161"/>
    </row>
    <row r="435">
      <c r="C435" s="161"/>
    </row>
    <row r="436">
      <c r="C436" s="161"/>
    </row>
    <row r="437">
      <c r="C437" s="161"/>
    </row>
    <row r="438">
      <c r="C438" s="161"/>
    </row>
    <row r="439">
      <c r="C439" s="161"/>
    </row>
    <row r="440">
      <c r="C440" s="161"/>
    </row>
    <row r="441">
      <c r="C441" s="161"/>
    </row>
    <row r="442">
      <c r="C442" s="161"/>
    </row>
    <row r="443">
      <c r="C443" s="161"/>
    </row>
    <row r="444">
      <c r="C444" s="161"/>
    </row>
    <row r="445">
      <c r="C445" s="161"/>
    </row>
    <row r="446">
      <c r="C446" s="161"/>
    </row>
    <row r="447">
      <c r="C447" s="161"/>
    </row>
    <row r="448">
      <c r="C448" s="161"/>
    </row>
    <row r="449">
      <c r="C449" s="161"/>
    </row>
    <row r="450">
      <c r="C450" s="161"/>
    </row>
    <row r="451">
      <c r="C451" s="161"/>
    </row>
    <row r="452">
      <c r="C452" s="161"/>
    </row>
    <row r="453">
      <c r="C453" s="161"/>
    </row>
    <row r="454">
      <c r="C454" s="161"/>
    </row>
    <row r="455">
      <c r="C455" s="161"/>
    </row>
    <row r="456">
      <c r="C456" s="161"/>
    </row>
    <row r="457">
      <c r="C457" s="161"/>
    </row>
    <row r="458">
      <c r="C458" s="161"/>
    </row>
    <row r="459">
      <c r="C459" s="161"/>
    </row>
    <row r="460">
      <c r="C460" s="161"/>
    </row>
    <row r="461">
      <c r="C461" s="161"/>
    </row>
    <row r="462">
      <c r="C462" s="161"/>
    </row>
    <row r="463">
      <c r="C463" s="161"/>
    </row>
    <row r="464">
      <c r="C464" s="161"/>
    </row>
    <row r="465">
      <c r="C465" s="161"/>
    </row>
    <row r="466">
      <c r="C466" s="161"/>
    </row>
    <row r="467">
      <c r="C467" s="161"/>
    </row>
    <row r="468">
      <c r="C468" s="161"/>
    </row>
    <row r="469">
      <c r="C469" s="161"/>
    </row>
    <row r="470">
      <c r="C470" s="161"/>
    </row>
    <row r="471">
      <c r="C471" s="161"/>
    </row>
    <row r="472">
      <c r="C472" s="161"/>
    </row>
    <row r="473">
      <c r="C473" s="161"/>
    </row>
    <row r="474">
      <c r="C474" s="161"/>
    </row>
    <row r="475">
      <c r="C475" s="161"/>
    </row>
    <row r="476">
      <c r="C476" s="161"/>
    </row>
    <row r="477">
      <c r="C477" s="161"/>
    </row>
    <row r="478">
      <c r="C478" s="161"/>
    </row>
    <row r="479">
      <c r="C479" s="161"/>
    </row>
    <row r="480">
      <c r="C480" s="161"/>
    </row>
    <row r="481">
      <c r="C481" s="161"/>
    </row>
    <row r="482">
      <c r="C482" s="161"/>
    </row>
    <row r="483">
      <c r="C483" s="161"/>
    </row>
    <row r="484">
      <c r="C484" s="161"/>
    </row>
    <row r="485">
      <c r="C485" s="161"/>
    </row>
    <row r="486">
      <c r="C486" s="161"/>
    </row>
    <row r="487">
      <c r="C487" s="161"/>
    </row>
    <row r="488">
      <c r="C488" s="161"/>
    </row>
    <row r="489">
      <c r="C489" s="161"/>
    </row>
    <row r="490">
      <c r="C490" s="161"/>
    </row>
    <row r="491">
      <c r="C491" s="161"/>
    </row>
    <row r="492">
      <c r="C492" s="161"/>
    </row>
    <row r="493">
      <c r="C493" s="161"/>
    </row>
    <row r="494">
      <c r="C494" s="161"/>
    </row>
    <row r="495">
      <c r="C495" s="161"/>
    </row>
    <row r="496">
      <c r="C496" s="161"/>
    </row>
    <row r="497">
      <c r="C497" s="161"/>
    </row>
    <row r="498">
      <c r="C498" s="161"/>
    </row>
    <row r="499">
      <c r="C499" s="161"/>
    </row>
    <row r="500">
      <c r="C500" s="161"/>
    </row>
    <row r="501">
      <c r="C501" s="161"/>
    </row>
    <row r="502">
      <c r="C502" s="161"/>
    </row>
    <row r="503">
      <c r="C503" s="161"/>
    </row>
    <row r="504">
      <c r="C504" s="161"/>
    </row>
    <row r="505">
      <c r="C505" s="161"/>
    </row>
    <row r="506">
      <c r="C506" s="161"/>
    </row>
    <row r="507">
      <c r="C507" s="161"/>
    </row>
    <row r="508">
      <c r="C508" s="161"/>
    </row>
    <row r="509">
      <c r="C509" s="161"/>
    </row>
    <row r="510">
      <c r="C510" s="161"/>
    </row>
    <row r="511">
      <c r="C511" s="161"/>
    </row>
    <row r="512">
      <c r="C512" s="161"/>
    </row>
    <row r="513">
      <c r="C513" s="161"/>
    </row>
    <row r="514">
      <c r="C514" s="161"/>
    </row>
    <row r="515">
      <c r="C515" s="161"/>
    </row>
    <row r="516">
      <c r="C516" s="161"/>
    </row>
    <row r="517">
      <c r="C517" s="161"/>
    </row>
    <row r="518">
      <c r="C518" s="161"/>
    </row>
    <row r="519">
      <c r="C519" s="161"/>
    </row>
    <row r="520">
      <c r="C520" s="161"/>
    </row>
    <row r="521">
      <c r="C521" s="161"/>
    </row>
    <row r="522">
      <c r="C522" s="161"/>
    </row>
    <row r="523">
      <c r="C523" s="161"/>
    </row>
    <row r="524">
      <c r="C524" s="161"/>
    </row>
    <row r="525">
      <c r="C525" s="161"/>
    </row>
    <row r="526">
      <c r="C526" s="161"/>
    </row>
    <row r="527">
      <c r="C527" s="161"/>
    </row>
    <row r="528">
      <c r="C528" s="161"/>
    </row>
    <row r="529">
      <c r="C529" s="161"/>
    </row>
    <row r="530">
      <c r="C530" s="161"/>
    </row>
    <row r="531">
      <c r="C531" s="161"/>
    </row>
    <row r="532">
      <c r="C532" s="161"/>
    </row>
    <row r="533">
      <c r="C533" s="161"/>
    </row>
    <row r="534">
      <c r="C534" s="161"/>
    </row>
    <row r="535">
      <c r="C535" s="161"/>
    </row>
    <row r="536">
      <c r="C536" s="161"/>
    </row>
  </sheetData>
  <autoFilter ref="$B$5:$J$33">
    <sortState ref="B5:J33">
      <sortCondition ref="C5:C33"/>
    </sortState>
  </autoFilter>
  <mergeCells count="8">
    <mergeCell ref="F1:F2"/>
    <mergeCell ref="F36:G36"/>
    <mergeCell ref="H36:I36"/>
    <mergeCell ref="J36:K36"/>
    <mergeCell ref="F37:G37"/>
    <mergeCell ref="H37:I37"/>
    <mergeCell ref="J37:K37"/>
    <mergeCell ref="D60:E6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6.75"/>
    <col customWidth="1" min="3" max="3" width="18.0"/>
    <col customWidth="1" min="4" max="4" width="19.0"/>
    <col customWidth="1" min="6" max="6" width="30.88"/>
    <col customWidth="1" min="11" max="13" width="20.5"/>
  </cols>
  <sheetData>
    <row r="1">
      <c r="A1" s="141"/>
      <c r="B1" s="141" t="s">
        <v>3696</v>
      </c>
      <c r="C1" s="141" t="s">
        <v>3697</v>
      </c>
      <c r="D1" s="141" t="s">
        <v>3698</v>
      </c>
      <c r="F1" s="141" t="s">
        <v>3699</v>
      </c>
      <c r="G1" s="141" t="s">
        <v>3536</v>
      </c>
      <c r="H1" s="160" t="s">
        <v>3686</v>
      </c>
      <c r="N1" s="167" t="s">
        <v>60</v>
      </c>
      <c r="O1" s="168"/>
      <c r="P1" s="167" t="s">
        <v>3683</v>
      </c>
      <c r="Q1" s="168"/>
      <c r="R1" s="167" t="s">
        <v>3684</v>
      </c>
      <c r="S1" s="168"/>
    </row>
    <row r="2">
      <c r="B2" s="160" t="s">
        <v>3700</v>
      </c>
      <c r="C2" s="160" t="s">
        <v>125</v>
      </c>
      <c r="D2" s="160" t="s">
        <v>3701</v>
      </c>
      <c r="F2" s="159" t="s">
        <v>130</v>
      </c>
      <c r="G2" s="160" t="s">
        <v>60</v>
      </c>
      <c r="H2" s="161">
        <f>IFERROR(__xludf.DUMMYFUNCTION("sum(filter(Timesheet!$N:$N,Timesheet!$C:$C=$F2))"),16988.953893813134)</f>
        <v>16988.95389</v>
      </c>
      <c r="I2" s="141"/>
      <c r="J2" s="141" t="s">
        <v>3685</v>
      </c>
      <c r="K2" s="166" t="s">
        <v>137</v>
      </c>
      <c r="L2" s="141" t="s">
        <v>3518</v>
      </c>
      <c r="M2" s="166" t="s">
        <v>3521</v>
      </c>
      <c r="N2" s="169" t="s">
        <v>3604</v>
      </c>
      <c r="O2" s="170" t="s">
        <v>45</v>
      </c>
      <c r="P2" s="169" t="s">
        <v>3604</v>
      </c>
      <c r="Q2" s="170" t="s">
        <v>45</v>
      </c>
      <c r="R2" s="169" t="s">
        <v>3604</v>
      </c>
      <c r="S2" s="170" t="s">
        <v>45</v>
      </c>
    </row>
    <row r="3">
      <c r="B3" s="160" t="s">
        <v>3702</v>
      </c>
      <c r="C3" s="160" t="s">
        <v>3703</v>
      </c>
      <c r="D3" s="160" t="s">
        <v>3704</v>
      </c>
      <c r="F3" s="159" t="s">
        <v>121</v>
      </c>
      <c r="G3" s="160" t="s">
        <v>60</v>
      </c>
      <c r="H3" s="161">
        <f>IFERROR(__xludf.DUMMYFUNCTION("sum(filter(Timesheet!$N:$N,Timesheet!$C:$C=$F3))"),5659.8717437449895)</f>
        <v>5659.871744</v>
      </c>
      <c r="J3" s="159" t="str">
        <f>vlookup(K3,Pessoal!$A$6:$U$18,21)</f>
        <v>Parcial</v>
      </c>
      <c r="K3" s="159" t="s">
        <v>146</v>
      </c>
      <c r="L3" s="159" t="str">
        <f>vlookup(K3,Pessoal!$A$6:$B$18,2,false)</f>
        <v>076.046.519-33</v>
      </c>
      <c r="M3" s="159" t="str">
        <f>vlookup(K3,Pessoal!$A$6:$E$18,5,false)</f>
        <v>Mestrado</v>
      </c>
      <c r="N3" s="171">
        <f>IFERROR(__xludf.DUMMYFUNCTION("iferror(sum(filter(Timesheet!$N:$N,Timesheet!$D:$D=""NP"",Timesheet!$J:$J=TRUE,Timesheet!$B:$B=$K3)))+N21"),21238.805306628758)</f>
        <v>21238.80531</v>
      </c>
      <c r="O3" s="172">
        <f>IFERROR(__xludf.DUMMYFUNCTION("(iferror(sum(filter(Timesheet!$H:$H,Timesheet!$D:$D=""NP"",Timesheet!$J:$J=TRUE,Timesheet!$B:$B=$K3)))*24)+O21"),640.4999999999998)</f>
        <v>640.5</v>
      </c>
      <c r="P3" s="171">
        <f>IFERROR(__xludf.DUMMYFUNCTION("iferror(sum(filter(Timesheet!$N:$N,Timesheet!$D:$D=""MProduto"",Timesheet!$J:$J=TRUE,Timesheet!$B:$B=$K3)))+P21"),17010.940081655823)</f>
        <v>17010.94008</v>
      </c>
      <c r="Q3" s="172">
        <f>IFERROR(__xludf.DUMMYFUNCTION("(IFERROR(SUM(filter(Timesheet!$H:$H,Timesheet!$D:$D=""MProduto"",Timesheet!$J:$J=TRUE,Timesheet!$B:$B=$K3)))*24)+Q21"),512.9999999999998)</f>
        <v>513</v>
      </c>
      <c r="R3" s="171" t="str">
        <f>IFERROR(__xludf.DUMMYFUNCTION("iferror(sum(filter(Timesheet!$N:$N,Timesheet!$D:$D=""MProcesso"",Timesheet!$J:$J=TRUE,Timesheet!$B:$B=$K3)))"),"")</f>
        <v/>
      </c>
      <c r="S3" s="172">
        <f>IFERROR(__xludf.DUMMYFUNCTION("iferror(sum(filter(Timesheet!$H:$H,Timesheet!$D:$D=""MProcesso"",Timesheet!$J:$J=TRUE,Timesheet!$B:$B=$K3)))*24"),0.0)</f>
        <v>0</v>
      </c>
    </row>
    <row r="4">
      <c r="B4" s="160" t="s">
        <v>130</v>
      </c>
      <c r="C4" s="160" t="s">
        <v>3705</v>
      </c>
      <c r="F4" s="159" t="s">
        <v>108</v>
      </c>
      <c r="G4" s="160" t="s">
        <v>60</v>
      </c>
      <c r="H4" s="161">
        <f>IFERROR(__xludf.DUMMYFUNCTION("sum(filter(Timesheet!$N:$N,Timesheet!$C:$C=$F4))"),15829.923570509913)</f>
        <v>15829.92357</v>
      </c>
      <c r="J4" s="159" t="str">
        <f>vlookup(K4,Pessoal!$A$6:$U$18,21)</f>
        <v>Parcial</v>
      </c>
      <c r="K4" s="159" t="s">
        <v>168</v>
      </c>
      <c r="L4" s="159" t="str">
        <f>vlookup(K4,Pessoal!$A$6:$B$18,2,false)</f>
        <v>066.466.799-67</v>
      </c>
      <c r="M4" s="159" t="str">
        <f>vlookup(K4,Pessoal!$A$6:$E$18,5,false)</f>
        <v>Pós graduado</v>
      </c>
      <c r="N4" s="171">
        <f>IFERROR(__xludf.DUMMYFUNCTION("iferror(sum(filter(Timesheet!$N:$N,Timesheet!$D:$D=""NP"",Timesheet!$J:$J=TRUE,Timesheet!$B:$B=$K4)))+N22"),2697.297629238817)</f>
        <v>2697.297629</v>
      </c>
      <c r="O4" s="172">
        <f>IFERROR(__xludf.DUMMYFUNCTION("(iferror(sum(filter(Timesheet!$H:$H,Timesheet!$D:$D=""NP"",Timesheet!$J:$J=TRUE,Timesheet!$B:$B=$K4)))*24)+O22"),29.0)</f>
        <v>29</v>
      </c>
      <c r="P4" s="171">
        <f>IFERROR(__xludf.DUMMYFUNCTION("iferror(sum(filter(Timesheet!$N:$N,Timesheet!$D:$D=""MProduto"",Timesheet!$J:$J=TRUE,Timesheet!$B:$B=$K4)))+P22"),186.02052615440113)</f>
        <v>186.0205262</v>
      </c>
      <c r="Q4" s="172">
        <f>IFERROR(__xludf.DUMMYFUNCTION("(IFERROR(SUM(filter(Timesheet!$H:$H,Timesheet!$D:$D=""MProduto"",Timesheet!$J:$J=TRUE,Timesheet!$B:$B=$K4)))*24)+Q22"),2.0)</f>
        <v>2</v>
      </c>
      <c r="R4" s="171" t="str">
        <f>IFERROR(__xludf.DUMMYFUNCTION("iferror(sum(filter(Timesheet!$N:$N,Timesheet!$D:$D=""MProcesso"",Timesheet!$J:$J=TRUE,Timesheet!$B:$B=$K4)))"),"")</f>
        <v/>
      </c>
      <c r="S4" s="172">
        <f>IFERROR(__xludf.DUMMYFUNCTION("iferror(sum(filter(Timesheet!$H:$H,Timesheet!$D:$D=""MProcesso"",Timesheet!$J:$J=TRUE,Timesheet!$B:$B=$K4)))*24"),0.0)</f>
        <v>0</v>
      </c>
    </row>
    <row r="5">
      <c r="B5" s="160" t="s">
        <v>99</v>
      </c>
      <c r="F5" s="159" t="s">
        <v>127</v>
      </c>
      <c r="G5" s="160" t="s">
        <v>60</v>
      </c>
      <c r="H5" s="161">
        <f>IFERROR(__xludf.DUMMYFUNCTION("sum(filter(Timesheet!$N:$N,Timesheet!$C:$C=$F5))"),4876.61226626533)</f>
        <v>4876.612266</v>
      </c>
      <c r="J5" s="159" t="str">
        <f>vlookup(K5,Pessoal!$A$6:$U$18,21)</f>
        <v>Parcial</v>
      </c>
      <c r="K5" s="159" t="s">
        <v>177</v>
      </c>
      <c r="L5" s="159" t="str">
        <f>vlookup(K5,Pessoal!$A$6:$B$18,2,false)</f>
        <v>083.832.289-10</v>
      </c>
      <c r="M5" s="159" t="str">
        <f>vlookup(K5,Pessoal!$A$6:$E$18,5,false)</f>
        <v>Superior Completo</v>
      </c>
      <c r="N5" s="171">
        <f>IFERROR(__xludf.DUMMYFUNCTION("iferror(sum(filter(Timesheet!$N:$N,Timesheet!$D:$D=""NP"",Timesheet!$J:$J=TRUE,Timesheet!$B:$B=$K5)))+N23"),15699.682084337666)</f>
        <v>15699.68208</v>
      </c>
      <c r="O5" s="172">
        <f>IFERROR(__xludf.DUMMYFUNCTION("(iferror(sum(filter(Timesheet!$H:$H,Timesheet!$D:$D=""NP"",Timesheet!$J:$J=TRUE,Timesheet!$B:$B=$K5)))*24)+O23"),505.9641810377379)</f>
        <v>505.964181</v>
      </c>
      <c r="P5" s="171">
        <f>IFERROR(__xludf.DUMMYFUNCTION("iferror(sum(filter(Timesheet!$N:$N,Timesheet!$D:$D=""MProduto"",Timesheet!$J:$J=TRUE,Timesheet!$B:$B=$K5)))+P23"),1208.6658773248391)</f>
        <v>1208.665877</v>
      </c>
      <c r="Q5" s="172">
        <f>IFERROR(__xludf.DUMMYFUNCTION("(IFERROR(SUM(filter(Timesheet!$H:$H,Timesheet!$D:$D=""MProduto"",Timesheet!$J:$J=TRUE,Timesheet!$B:$B=$K5)))*24)+Q23"),38.95248562892923)</f>
        <v>38.95248563</v>
      </c>
      <c r="R5" s="171">
        <f>IFERROR(__xludf.DUMMYFUNCTION("iferror(sum(filter(Timesheet!$N:$N,Timesheet!$D:$D=""MProcesso"",Timesheet!$J:$J=TRUE,Timesheet!$B:$B=$K5)))"),3281.3417286052495)</f>
        <v>3281.341729</v>
      </c>
      <c r="S5" s="172">
        <f>IFERROR(__xludf.DUMMYFUNCTION("iferror(sum(filter(Timesheet!$H:$H,Timesheet!$D:$D=""MProcesso"",Timesheet!$J:$J=TRUE,Timesheet!$B:$B=$K5)))*24"),105.75000000000004)</f>
        <v>105.75</v>
      </c>
    </row>
    <row r="6">
      <c r="B6" s="160" t="s">
        <v>3706</v>
      </c>
      <c r="F6" s="159" t="s">
        <v>88</v>
      </c>
      <c r="G6" s="160" t="s">
        <v>3683</v>
      </c>
      <c r="H6" s="161">
        <f>IFERROR(__xludf.DUMMYFUNCTION("sum(filter(Timesheet!$N:$N,Timesheet!$C:$C=$F6))"),16906.927945758165)</f>
        <v>16906.92795</v>
      </c>
      <c r="J6" s="159" t="str">
        <f>vlookup(K6,Pessoal!$A$6:$U$18,21)</f>
        <v>Parcial</v>
      </c>
      <c r="K6" s="159" t="s">
        <v>411</v>
      </c>
      <c r="L6" s="159" t="str">
        <f>vlookup(K6,Pessoal!$A$6:$B$18,2,false)</f>
        <v>052.485.199-93</v>
      </c>
      <c r="M6" s="159" t="str">
        <f>vlookup(K6,Pessoal!$A$6:$E$18,5,false)</f>
        <v>Superior Completo</v>
      </c>
      <c r="N6" s="171">
        <f>IFERROR(__xludf.DUMMYFUNCTION("iferror(sum(filter(Timesheet!$N:$N,Timesheet!$D:$D=""NP"",Timesheet!$J:$J=TRUE,Timesheet!$B:$B=$K6)))+N24"),67615.09433009496)</f>
        <v>67615.09433</v>
      </c>
      <c r="O6" s="172">
        <f>IFERROR(__xludf.DUMMYFUNCTION("(iferror(sum(filter(Timesheet!$H:$H,Timesheet!$D:$D=""NP"",Timesheet!$J:$J=TRUE,Timesheet!$B:$B=$K6)))*24)+O24"),1288.2907365178487)</f>
        <v>1288.290737</v>
      </c>
      <c r="P6" s="171">
        <f>IFERROR(__xludf.DUMMYFUNCTION("iferror(sum(filter(Timesheet!$N:$N,Timesheet!$D:$D=""MProduto"",Timesheet!$J:$J=TRUE,Timesheet!$B:$B=$K6)))+P24"),8802.110695157711)</f>
        <v>8802.110695</v>
      </c>
      <c r="Q6" s="172">
        <f>IFERROR(__xludf.DUMMYFUNCTION("(IFERROR(SUM(filter(Timesheet!$H:$H,Timesheet!$D:$D=""MProduto"",Timesheet!$J:$J=TRUE,Timesheet!$B:$B=$K6)))*24)+Q24"),167.70926348215093)</f>
        <v>167.7092635</v>
      </c>
      <c r="R6" s="171">
        <f>IFERROR(__xludf.DUMMYFUNCTION("iferror(sum(filter(Timesheet!$N:$N,Timesheet!$D:$D=""MProcesso"",Timesheet!$J:$J=TRUE,Timesheet!$B:$B=$K6)))"),367.3904087752526)</f>
        <v>367.3904088</v>
      </c>
      <c r="S6" s="172">
        <f>IFERROR(__xludf.DUMMYFUNCTION("iferror(sum(filter(Timesheet!$H:$H,Timesheet!$D:$D=""MProcesso"",Timesheet!$J:$J=TRUE,Timesheet!$B:$B=$K6)))*24"),7.0)</f>
        <v>7</v>
      </c>
    </row>
    <row r="7">
      <c r="B7" s="160" t="s">
        <v>3707</v>
      </c>
      <c r="F7" s="159" t="s">
        <v>118</v>
      </c>
      <c r="G7" s="160" t="s">
        <v>3683</v>
      </c>
      <c r="H7" s="161">
        <f>IFERROR(__xludf.DUMMYFUNCTION("sum(filter(Timesheet!$N:$N,Timesheet!$C:$C=$F7))"),20900.759744359275)</f>
        <v>20900.75974</v>
      </c>
      <c r="J7" s="159" t="str">
        <f>vlookup(K7,Pessoal!$A$6:$U$18,21)</f>
        <v>Parcial</v>
      </c>
      <c r="K7" s="159" t="s">
        <v>467</v>
      </c>
      <c r="L7" s="159" t="str">
        <f>vlookup(K7,Pessoal!$A$6:$B$18,2,false)</f>
        <v>088.869.216-16</v>
      </c>
      <c r="M7" s="159" t="str">
        <f>vlookup(K7,Pessoal!$A$6:$E$18,5,false)</f>
        <v>Pós graduado</v>
      </c>
      <c r="N7" s="171">
        <f>IFERROR(__xludf.DUMMYFUNCTION("iferror(sum(filter(Timesheet!$N:$N,Timesheet!$D:$D=""NP"",Timesheet!$J:$J=TRUE,Timesheet!$B:$B=$K7)))+N25"),44211.46352954651)</f>
        <v>44211.46353</v>
      </c>
      <c r="O7" s="172">
        <f>IFERROR(__xludf.DUMMYFUNCTION("(iferror(sum(filter(Timesheet!$H:$H,Timesheet!$D:$D=""NP"",Timesheet!$J:$J=TRUE,Timesheet!$B:$B=$K7)))*24)+O25"),847.7444533870771)</f>
        <v>847.7444534</v>
      </c>
      <c r="P7" s="171">
        <f>IFERROR(__xludf.DUMMYFUNCTION("iferror(sum(filter(Timesheet!$N:$N,Timesheet!$D:$D=""MProduto"",Timesheet!$J:$J=TRUE,Timesheet!$B:$B=$K7)))+P25"),7714.420910088008)</f>
        <v>7714.42091</v>
      </c>
      <c r="Q7" s="172">
        <f>IFERROR(__xludf.DUMMYFUNCTION("(IFERROR(SUM(filter(Timesheet!$H:$H,Timesheet!$D:$D=""MProduto"",Timesheet!$J:$J=TRUE,Timesheet!$B:$B=$K7)))*24)+Q25"),147.92221327959004)</f>
        <v>147.9222133</v>
      </c>
      <c r="R7" s="171">
        <f>IFERROR(__xludf.DUMMYFUNCTION("iferror(sum(filter(Timesheet!$N:$N,Timesheet!$D:$D=""MProcesso"",Timesheet!$J:$J=TRUE,Timesheet!$B:$B=$K7)))"),1016.9615800865798)</f>
        <v>1016.96158</v>
      </c>
      <c r="S7" s="172">
        <f>IFERROR(__xludf.DUMMYFUNCTION("iferror(sum(filter(Timesheet!$H:$H,Timesheet!$D:$D=""MProcesso"",Timesheet!$J:$J=TRUE,Timesheet!$B:$B=$K7)))*24"),19.500000000000004)</f>
        <v>19.5</v>
      </c>
    </row>
    <row r="8">
      <c r="B8" s="160" t="s">
        <v>100</v>
      </c>
      <c r="F8" s="159" t="s">
        <v>117</v>
      </c>
      <c r="G8" s="160" t="s">
        <v>60</v>
      </c>
      <c r="H8" s="161">
        <f>IFERROR(__xludf.DUMMYFUNCTION("sum(filter(Timesheet!$N:$N,Timesheet!$C:$C=$F8))"),71600.39919750144)</f>
        <v>71600.3992</v>
      </c>
      <c r="J8" s="159" t="str">
        <f>vlookup(K8,Pessoal!$A$6:$U$18,21)</f>
        <v>Parcial</v>
      </c>
      <c r="K8" s="159" t="s">
        <v>469</v>
      </c>
      <c r="L8" s="159" t="str">
        <f>vlookup(K8,Pessoal!$A$6:$B$18,2,false)</f>
        <v>077.680.169-47</v>
      </c>
      <c r="M8" s="159" t="str">
        <f>vlookup(K8,Pessoal!$A$6:$E$18,5,false)</f>
        <v>Pós graduado</v>
      </c>
      <c r="N8" s="171">
        <f>IFERROR(__xludf.DUMMYFUNCTION("iferror(sum(filter(Timesheet!$N:$N,Timesheet!$D:$D=""NP"",Timesheet!$J:$J=TRUE,Timesheet!$B:$B=$K8)))+N26"),8235.135684727024)</f>
        <v>8235.135685</v>
      </c>
      <c r="O8" s="172">
        <f>IFERROR(__xludf.DUMMYFUNCTION("(iferror(sum(filter(Timesheet!$H:$H,Timesheet!$D:$D=""NP"",Timesheet!$J:$J=TRUE,Timesheet!$B:$B=$K8)))*24)+O26"),219.54928347264257)</f>
        <v>219.5492835</v>
      </c>
      <c r="P8" s="171">
        <f>IFERROR(__xludf.DUMMYFUNCTION("iferror(sum(filter(Timesheet!$N:$N,Timesheet!$D:$D=""MProduto"",Timesheet!$J:$J=TRUE,Timesheet!$B:$B=$K8)))+P26"),18205.781382300647)</f>
        <v>18205.78138</v>
      </c>
      <c r="Q8" s="172">
        <f>IFERROR(__xludf.DUMMYFUNCTION("(IFERROR(SUM(filter(Timesheet!$H:$H,Timesheet!$D:$D=""MProduto"",Timesheet!$J:$J=TRUE,Timesheet!$B:$B=$K8)))*24)+Q26"),485.3673831940241)</f>
        <v>485.3673832</v>
      </c>
      <c r="R8" s="171">
        <f>IFERROR(__xludf.DUMMYFUNCTION("iferror(sum(filter(Timesheet!$N:$N,Timesheet!$D:$D=""MProcesso"",Timesheet!$J:$J=TRUE,Timesheet!$B:$B=$K8)))"),887.7196414512185)</f>
        <v>887.7196415</v>
      </c>
      <c r="S8" s="172">
        <f>IFERROR(__xludf.DUMMYFUNCTION("iferror(sum(filter(Timesheet!$H:$H,Timesheet!$D:$D=""MProcesso"",Timesheet!$J:$J=TRUE,Timesheet!$B:$B=$K8)))*24"),23.66666666666667)</f>
        <v>23.66666667</v>
      </c>
    </row>
    <row r="9">
      <c r="B9" s="160" t="s">
        <v>98</v>
      </c>
      <c r="F9" s="159" t="s">
        <v>152</v>
      </c>
      <c r="G9" s="160" t="s">
        <v>3683</v>
      </c>
      <c r="H9" s="161">
        <f>IFERROR(__xludf.DUMMYFUNCTION("sum(filter(Timesheet!$N:$N,Timesheet!$C:$C=$F9))"),1608.9957669535129)</f>
        <v>1608.995767</v>
      </c>
      <c r="J9" s="159" t="str">
        <f>vlookup(K9,Pessoal!$A$6:$U$18,21)</f>
        <v>Parcial</v>
      </c>
      <c r="K9" s="159" t="s">
        <v>495</v>
      </c>
      <c r="L9" s="159" t="str">
        <f>vlookup(K9,Pessoal!$A$6:$B$18,2,false)</f>
        <v>317.875.738-42</v>
      </c>
      <c r="M9" s="159" t="str">
        <f>vlookup(K9,Pessoal!$A$6:$E$18,5,false)</f>
        <v>Pós graduado</v>
      </c>
      <c r="N9" s="171">
        <f>IFERROR(__xludf.DUMMYFUNCTION("iferror(sum(filter(Timesheet!$N:$N,Timesheet!$D:$D=""NP"",Timesheet!$J:$J=TRUE,Timesheet!$B:$B=$K9)))+N27"),97214.16345810794)</f>
        <v>97214.16346</v>
      </c>
      <c r="O9" s="172">
        <f>IFERROR(__xludf.DUMMYFUNCTION("(iferror(sum(filter(Timesheet!$H:$H,Timesheet!$D:$D=""NP"",Timesheet!$J:$J=TRUE,Timesheet!$B:$B=$K9)))*24)+O27"),1318.909531648988)</f>
        <v>1318.909532</v>
      </c>
      <c r="P9" s="171">
        <f>IFERROR(__xludf.DUMMYFUNCTION("iferror(sum(filter(Timesheet!$N:$N,Timesheet!$D:$D=""MProduto"",Timesheet!$J:$J=TRUE,Timesheet!$B:$B=$K9)))+P27"),15794.918542854268)</f>
        <v>15794.91854</v>
      </c>
      <c r="Q9" s="172">
        <f>IFERROR(__xludf.DUMMYFUNCTION("(IFERROR(SUM(filter(Timesheet!$H:$H,Timesheet!$D:$D=""MProduto"",Timesheet!$J:$J=TRUE,Timesheet!$B:$B=$K9)))*24)+Q27"),214.2904683510124)</f>
        <v>214.2904684</v>
      </c>
      <c r="R9" s="171">
        <f>IFERROR(__xludf.DUMMYFUNCTION("iferror(sum(filter(Timesheet!$N:$N,Timesheet!$D:$D=""MProcesso"",Timesheet!$J:$J=TRUE,Timesheet!$B:$B=$K9)))"),1781.2762946929613)</f>
        <v>1781.276295</v>
      </c>
      <c r="S9" s="172">
        <f>IFERROR(__xludf.DUMMYFUNCTION("iferror(sum(filter(Timesheet!$H:$H,Timesheet!$D:$D=""MProcesso"",Timesheet!$J:$J=TRUE,Timesheet!$B:$B=$K9)))*24"),24.16666666666667)</f>
        <v>24.16666667</v>
      </c>
    </row>
    <row r="10">
      <c r="B10" s="160" t="s">
        <v>111</v>
      </c>
      <c r="F10" s="159" t="s">
        <v>122</v>
      </c>
      <c r="G10" s="160" t="s">
        <v>60</v>
      </c>
      <c r="H10" s="161">
        <f>IFERROR(__xludf.DUMMYFUNCTION("sum(filter(Timesheet!$N:$N,Timesheet!$C:$C=$F10))"),5109.1659773215815)</f>
        <v>5109.165977</v>
      </c>
      <c r="J10" s="159" t="str">
        <f>vlookup(K10,Pessoal!$A$6:$U$18,21)</f>
        <v>Parcial</v>
      </c>
      <c r="K10" s="159" t="s">
        <v>750</v>
      </c>
      <c r="L10" s="159" t="str">
        <f>vlookup(K10,Pessoal!$A$6:$B$18,2,false)</f>
        <v>087.823.469-17</v>
      </c>
      <c r="M10" s="159" t="str">
        <f>vlookup(K10,Pessoal!$A$6:$E$18,5,false)</f>
        <v>Superior Completo</v>
      </c>
      <c r="N10" s="171">
        <f>IFERROR(__xludf.DUMMYFUNCTION("iferror(sum(filter(Timesheet!$N:$N,Timesheet!$D:$D=""NP"",Timesheet!$J:$J=TRUE,Timesheet!$B:$B=$K10)))+N28"),23237.233027921084)</f>
        <v>23237.23303</v>
      </c>
      <c r="O10" s="172">
        <f>IFERROR(__xludf.DUMMYFUNCTION("(iferror(sum(filter(Timesheet!$H:$H,Timesheet!$D:$D=""NP"",Timesheet!$J:$J=TRUE,Timesheet!$B:$B=$K10)))*24)+O28"),668.2992834726421)</f>
        <v>668.2992835</v>
      </c>
      <c r="P10" s="171">
        <f>IFERROR(__xludf.DUMMYFUNCTION("iferror(sum(filter(Timesheet!$N:$N,Timesheet!$D:$D=""MProduto"",Timesheet!$J:$J=TRUE,Timesheet!$B:$B=$K10)))+P28"),6.979053897114981)</f>
        <v>6.979053897</v>
      </c>
      <c r="Q10" s="172">
        <f>IFERROR(__xludf.DUMMYFUNCTION("(IFERROR(SUM(filter(Timesheet!$H:$H,Timesheet!$D:$D=""MProduto"",Timesheet!$J:$J=TRUE,Timesheet!$B:$B=$K10)))*24)+Q28"),0.20071652735739562)</f>
        <v>0.2007165274</v>
      </c>
      <c r="R10" s="171" t="str">
        <f>IFERROR(__xludf.DUMMYFUNCTION("iferror(sum(filter(Timesheet!$N:$N,Timesheet!$D:$D=""MProcesso"",Timesheet!$J:$J=TRUE,Timesheet!$B:$B=$K10)))"),"")</f>
        <v/>
      </c>
      <c r="S10" s="172">
        <f>IFERROR(__xludf.DUMMYFUNCTION("iferror(sum(filter(Timesheet!$H:$H,Timesheet!$D:$D=""MProcesso"",Timesheet!$J:$J=TRUE,Timesheet!$B:$B=$K10)))*24"),0.0)</f>
        <v>0</v>
      </c>
    </row>
    <row r="11">
      <c r="B11" s="160" t="s">
        <v>3708</v>
      </c>
      <c r="F11" s="159" t="s">
        <v>89</v>
      </c>
      <c r="G11" s="160" t="s">
        <v>60</v>
      </c>
      <c r="H11" s="161">
        <f>IFERROR(__xludf.DUMMYFUNCTION("sum(filter(Timesheet!$N:$N,Timesheet!$C:$C=$F11))"),1990.952708943602)</f>
        <v>1990.952709</v>
      </c>
      <c r="N11" s="173">
        <f t="shared" ref="N11:S11" si="1">sum(N3:N10)</f>
        <v>280148.8751</v>
      </c>
      <c r="O11" s="174">
        <f t="shared" si="1"/>
        <v>5518.25747</v>
      </c>
      <c r="P11" s="173">
        <f t="shared" si="1"/>
        <v>68929.83707</v>
      </c>
      <c r="Q11" s="174">
        <f t="shared" si="1"/>
        <v>1569.44253</v>
      </c>
      <c r="R11" s="173">
        <f t="shared" si="1"/>
        <v>7334.689654</v>
      </c>
      <c r="S11" s="174">
        <f t="shared" si="1"/>
        <v>180.0833333</v>
      </c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</row>
    <row r="12">
      <c r="B12" s="160" t="s">
        <v>89</v>
      </c>
      <c r="F12" s="159" t="s">
        <v>87</v>
      </c>
      <c r="G12" s="160" t="s">
        <v>3683</v>
      </c>
      <c r="H12" s="161">
        <f>IFERROR(__xludf.DUMMYFUNCTION("sum(filter(Timesheet!$N:$N,Timesheet!$C:$C=$F12))"),3349.1324527236643)</f>
        <v>3349.132453</v>
      </c>
      <c r="N12" s="177"/>
      <c r="O12" s="177"/>
      <c r="P12" s="177"/>
      <c r="Q12" s="177"/>
      <c r="R12" s="177"/>
    </row>
    <row r="13">
      <c r="B13" s="160" t="s">
        <v>91</v>
      </c>
      <c r="F13" s="159" t="s">
        <v>107</v>
      </c>
      <c r="G13" s="160" t="s">
        <v>60</v>
      </c>
      <c r="H13" s="161">
        <f>IFERROR(__xludf.DUMMYFUNCTION("sum(filter(Timesheet!$N:$N,Timesheet!$C:$C=$F13))"),13353.31288410496)</f>
        <v>13353.31288</v>
      </c>
      <c r="N13" s="177"/>
      <c r="O13" s="177"/>
      <c r="P13" s="177"/>
      <c r="Q13" s="177"/>
      <c r="R13" s="189" t="s">
        <v>3686</v>
      </c>
      <c r="S13" s="161">
        <f>sum(N11,P11,R11)</f>
        <v>356413.4018</v>
      </c>
    </row>
    <row r="14">
      <c r="B14" s="160" t="s">
        <v>3709</v>
      </c>
      <c r="F14" s="159" t="s">
        <v>100</v>
      </c>
      <c r="G14" s="160" t="s">
        <v>60</v>
      </c>
      <c r="H14" s="161">
        <f>IFERROR(__xludf.DUMMYFUNCTION("sum(filter(Timesheet!$N:$N,Timesheet!$C:$C=$F14))"),7527.4481659156045)</f>
        <v>7527.448166</v>
      </c>
      <c r="N14" s="177"/>
      <c r="O14" s="177"/>
      <c r="P14" s="177"/>
      <c r="Q14" s="177"/>
      <c r="R14" s="189" t="s">
        <v>3687</v>
      </c>
      <c r="S14" s="178">
        <f>sum(O11,Q11,S11)</f>
        <v>7267.783333</v>
      </c>
    </row>
    <row r="15">
      <c r="F15" s="159" t="s">
        <v>92</v>
      </c>
      <c r="H15" s="161">
        <f>IFERROR(__xludf.DUMMYFUNCTION("sum(filter(Timesheet!$N:$N,Timesheet!$C:$C=$F15))"),119218.19869362672)</f>
        <v>119218.1987</v>
      </c>
      <c r="I15" s="160" t="s">
        <v>3710</v>
      </c>
      <c r="N15" s="177"/>
      <c r="O15" s="177"/>
      <c r="P15" s="177"/>
      <c r="Q15" s="177"/>
      <c r="R15" s="189" t="s">
        <v>3688</v>
      </c>
      <c r="T15" s="190"/>
    </row>
    <row r="16">
      <c r="F16" s="159" t="s">
        <v>91</v>
      </c>
      <c r="G16" s="160" t="s">
        <v>60</v>
      </c>
      <c r="H16" s="161">
        <f>IFERROR(__xludf.DUMMYFUNCTION("sum(filter(Timesheet!$N:$N,Timesheet!$C:$C=$F16))"),2685.9614846237673)</f>
        <v>2685.961485</v>
      </c>
      <c r="N16" s="177"/>
      <c r="O16" s="177"/>
      <c r="P16" s="177"/>
      <c r="Q16" s="177"/>
      <c r="R16" s="189" t="s">
        <v>3689</v>
      </c>
      <c r="S16" s="161">
        <v>356413.401773647</v>
      </c>
    </row>
    <row r="17">
      <c r="F17" s="159" t="s">
        <v>101</v>
      </c>
      <c r="G17" s="160" t="s">
        <v>60</v>
      </c>
      <c r="H17" s="161">
        <f>IFERROR(__xludf.DUMMYFUNCTION("sum(filter(Timesheet!$N:$N,Timesheet!$C:$C=$F17))"),4860.454564830097)</f>
        <v>4860.454565</v>
      </c>
      <c r="N17" s="177"/>
      <c r="O17" s="177"/>
      <c r="P17" s="177"/>
      <c r="Q17" s="177"/>
      <c r="R17" s="189" t="s">
        <v>3690</v>
      </c>
      <c r="S17" s="178">
        <v>7267.78333333333</v>
      </c>
    </row>
    <row r="18">
      <c r="F18" s="159" t="s">
        <v>106</v>
      </c>
      <c r="G18" s="160" t="s">
        <v>3684</v>
      </c>
      <c r="H18" s="161">
        <f>IFERROR(__xludf.DUMMYFUNCTION("sum(filter(Timesheet!$N:$N,Timesheet!$C:$C=$F18))"),7334.6896536112645)</f>
        <v>7334.689654</v>
      </c>
      <c r="J18" s="191"/>
      <c r="N18" s="167" t="s">
        <v>60</v>
      </c>
      <c r="O18" s="168"/>
      <c r="P18" s="167" t="s">
        <v>3683</v>
      </c>
      <c r="Q18" s="168"/>
      <c r="R18" s="177"/>
    </row>
    <row r="19">
      <c r="F19" s="159" t="s">
        <v>119</v>
      </c>
      <c r="G19" s="160" t="s">
        <v>60</v>
      </c>
      <c r="H19" s="161">
        <f>IFERROR(__xludf.DUMMYFUNCTION("sum(filter(Timesheet!$N:$N,Timesheet!$C:$C=$F19))"),1476.7422313244047)</f>
        <v>1476.742231</v>
      </c>
      <c r="I19" s="160" t="s">
        <v>3710</v>
      </c>
      <c r="J19" s="192" t="s">
        <v>3711</v>
      </c>
      <c r="N19" s="169" t="s">
        <v>3604</v>
      </c>
      <c r="O19" s="170" t="s">
        <v>45</v>
      </c>
      <c r="P19" s="169" t="s">
        <v>3604</v>
      </c>
      <c r="Q19" s="170" t="s">
        <v>45</v>
      </c>
      <c r="R19" s="177"/>
    </row>
    <row r="20">
      <c r="F20" s="159" t="s">
        <v>113</v>
      </c>
      <c r="G20" s="160" t="s">
        <v>60</v>
      </c>
      <c r="H20" s="161">
        <f>IFERROR(__xludf.DUMMYFUNCTION("sum(filter(Timesheet!$N:$N,Timesheet!$C:$C=$F20))"),12611.989736858935)</f>
        <v>12611.98974</v>
      </c>
      <c r="J20" s="192" t="s">
        <v>3685</v>
      </c>
      <c r="K20" s="166" t="s">
        <v>137</v>
      </c>
      <c r="L20" s="141" t="s">
        <v>3518</v>
      </c>
      <c r="M20" s="166" t="s">
        <v>3521</v>
      </c>
      <c r="N20" s="171" t="str">
        <f>IFERROR(__xludf.DUMMYFUNCTION("iferror(sum(filter(Timesheet!$N:$N,Timesheet!$D:$D=""NP"",Timesheet!$J:$J=TRUE,Timesheet!$B:$B=$K20)))"),"")</f>
        <v/>
      </c>
      <c r="O20" s="172"/>
      <c r="P20" s="171" t="str">
        <f>IFERROR(__xludf.DUMMYFUNCTION("iferror(sum(filter(Timesheet!$N:$N,Timesheet!$D:$D=""MProduto"",Timesheet!$J:$J=TRUE,Timesheet!$B:$B=$K20)))"),"")</f>
        <v/>
      </c>
      <c r="Q20" s="172"/>
      <c r="R20" s="189" t="s">
        <v>3712</v>
      </c>
      <c r="S20" s="189" t="s">
        <v>3713</v>
      </c>
    </row>
    <row r="21">
      <c r="F21" s="160" t="s">
        <v>99</v>
      </c>
      <c r="G21" s="160" t="s">
        <v>60</v>
      </c>
      <c r="H21" s="161">
        <f>IFERROR(__xludf.DUMMYFUNCTION("sum(filter(Timesheet!$N:$N,Timesheet!$C:$C=$F21))"),224.68757842412217)</f>
        <v>224.6875784</v>
      </c>
      <c r="J21" s="191" t="str">
        <f>vlookup(K21,Pessoal!$A$6:$U$18,21)</f>
        <v>Parcial</v>
      </c>
      <c r="K21" s="159" t="s">
        <v>146</v>
      </c>
      <c r="L21" s="159" t="str">
        <f>vlookup(K21,Pessoal!$A$6:$B$18,2,false)</f>
        <v>076.046.519-33</v>
      </c>
      <c r="M21" s="159" t="str">
        <f>vlookup(K21,Pessoal!$A$6:$E$18,5,false)</f>
        <v>Mestrado</v>
      </c>
      <c r="N21" s="171">
        <f t="shared" ref="N21:N28" si="2">$R21*(N$31/($N$31+$P$31))</f>
        <v>0</v>
      </c>
      <c r="O21" s="172">
        <f t="shared" ref="O21:O28" si="3">$S21*(N$31/($N$31+$P$31))</f>
        <v>0</v>
      </c>
      <c r="P21" s="171">
        <f t="shared" ref="P21:P28" si="4">$R21*(P$31/($N$31+$P$31))</f>
        <v>0</v>
      </c>
      <c r="Q21" s="172">
        <f t="shared" ref="Q21:Q28" si="5">$S21*(P$31/($N$31+$P$31))</f>
        <v>0</v>
      </c>
      <c r="R21" s="193" t="str">
        <f>IFERROR(__xludf.DUMMYFUNCTION("iferror(sum(filter(Timesheet!$N:$N,Timesheet!$C:$C=""EE - 2020"",Timesheet!$J:$J=TRUE,Timesheet!$B:$B=$K21)))"),"")</f>
        <v/>
      </c>
      <c r="S21" s="194">
        <f>IFERROR(__xludf.DUMMYFUNCTION("IFERROR(SUM(filter(Timesheet!$H:$H,Timesheet!$C:$C=""EE - 2020"",Timesheet!$J:$J=TRUE,Timesheet!$B:$B=$K21)))*24"),0.0)</f>
        <v>0</v>
      </c>
    </row>
    <row r="22">
      <c r="F22" s="159" t="s">
        <v>98</v>
      </c>
      <c r="G22" s="160" t="s">
        <v>60</v>
      </c>
      <c r="H22" s="161">
        <f>IFERROR(__xludf.DUMMYFUNCTION("sum(filter(Timesheet!$N:$N,Timesheet!$C:$C=$F22))"),3112.6664600468957)</f>
        <v>3112.66646</v>
      </c>
      <c r="J22" s="191" t="str">
        <f>vlookup(K22,Pessoal!$A$6:$U$18,21)</f>
        <v>Parcial</v>
      </c>
      <c r="K22" s="159" t="s">
        <v>168</v>
      </c>
      <c r="L22" s="159" t="str">
        <f>vlookup(K22,Pessoal!$A$6:$B$18,2,false)</f>
        <v>066.466.799-67</v>
      </c>
      <c r="M22" s="159" t="str">
        <f>vlookup(K22,Pessoal!$A$6:$E$18,5,false)</f>
        <v>Pós graduado</v>
      </c>
      <c r="N22" s="171">
        <f t="shared" si="2"/>
        <v>0</v>
      </c>
      <c r="O22" s="172">
        <f t="shared" si="3"/>
        <v>0</v>
      </c>
      <c r="P22" s="171">
        <f t="shared" si="4"/>
        <v>0</v>
      </c>
      <c r="Q22" s="172">
        <f t="shared" si="5"/>
        <v>0</v>
      </c>
      <c r="R22" s="195" t="str">
        <f>IFERROR(__xludf.DUMMYFUNCTION("iferror(sum(filter(Timesheet!$N:$N,Timesheet!$C:$C=""EE - 2020"",Timesheet!$J:$J=TRUE,Timesheet!$B:$B=$K22)))"),"")</f>
        <v/>
      </c>
      <c r="S22" s="196">
        <f>IFERROR(__xludf.DUMMYFUNCTION("IFERROR(SUM(filter(Timesheet!$H:$H,Timesheet!$C:$C=""EE - 2020"",Timesheet!$J:$J=TRUE,Timesheet!$B:$B=$K22)))*24"),0.0)</f>
        <v>0</v>
      </c>
    </row>
    <row r="23">
      <c r="F23" s="159" t="s">
        <v>85</v>
      </c>
      <c r="G23" s="160" t="s">
        <v>60</v>
      </c>
      <c r="H23" s="161">
        <f>IFERROR(__xludf.DUMMYFUNCTION("sum(filter(Timesheet!$N:$N,Timesheet!$C:$C=$F23))"),8234.753434032284)</f>
        <v>8234.753434</v>
      </c>
      <c r="J23" s="191" t="str">
        <f>vlookup(K23,Pessoal!$A$6:$U$18,21)</f>
        <v>Parcial</v>
      </c>
      <c r="K23" s="159" t="s">
        <v>177</v>
      </c>
      <c r="L23" s="159" t="str">
        <f>vlookup(K23,Pessoal!$A$6:$B$18,2,false)</f>
        <v>083.832.289-10</v>
      </c>
      <c r="M23" s="159" t="str">
        <f>vlookup(K23,Pessoal!$A$6:$E$18,5,false)</f>
        <v>Superior Completo</v>
      </c>
      <c r="N23" s="171">
        <f t="shared" si="2"/>
        <v>1816.684653</v>
      </c>
      <c r="O23" s="172">
        <f t="shared" si="3"/>
        <v>58.54751437</v>
      </c>
      <c r="P23" s="171">
        <f t="shared" si="4"/>
        <v>456.2068994</v>
      </c>
      <c r="Q23" s="172">
        <f t="shared" si="5"/>
        <v>14.70248563</v>
      </c>
      <c r="R23" s="195">
        <f>IFERROR(__xludf.DUMMYFUNCTION("iferror(sum(filter(Timesheet!$N:$N,Timesheet!$C:$C=""EE - 2020"",Timesheet!$J:$J=TRUE,Timesheet!$B:$B=$K23)))"),2272.8915519653383)</f>
        <v>2272.891552</v>
      </c>
      <c r="S23" s="196">
        <f>IFERROR(__xludf.DUMMYFUNCTION("IFERROR(SUM(filter(Timesheet!$H:$H,Timesheet!$C:$C=""EE - 2020"",Timesheet!$J:$J=TRUE,Timesheet!$B:$B=$K23)))*24"),73.25000000000001)</f>
        <v>73.25</v>
      </c>
    </row>
    <row r="24">
      <c r="F24" s="159" t="s">
        <v>126</v>
      </c>
      <c r="G24" s="160" t="s">
        <v>60</v>
      </c>
      <c r="H24" s="161">
        <f>IFERROR(__xludf.DUMMYFUNCTION("sum(filter(Timesheet!$N:$N,Timesheet!$C:$C=$F24))"),69.5413974025974)</f>
        <v>69.5413974</v>
      </c>
      <c r="J24" s="191" t="str">
        <f>vlookup(K24,Pessoal!$A$6:$U$18,21)</f>
        <v>Parcial</v>
      </c>
      <c r="K24" s="159" t="s">
        <v>411</v>
      </c>
      <c r="L24" s="159" t="str">
        <f>vlookup(K24,Pessoal!$A$6:$B$18,2,false)</f>
        <v>052.485.199-93</v>
      </c>
      <c r="M24" s="159" t="str">
        <f>vlookup(K24,Pessoal!$A$6:$E$18,5,false)</f>
        <v>Superior Completo</v>
      </c>
      <c r="N24" s="171">
        <f t="shared" si="2"/>
        <v>15178.86087</v>
      </c>
      <c r="O24" s="172">
        <f t="shared" si="3"/>
        <v>289.2074032</v>
      </c>
      <c r="P24" s="171">
        <f t="shared" si="4"/>
        <v>3811.724309</v>
      </c>
      <c r="Q24" s="172">
        <f t="shared" si="5"/>
        <v>72.62593015</v>
      </c>
      <c r="R24" s="195">
        <f>IFERROR(__xludf.DUMMYFUNCTION("iferror(sum(filter(Timesheet!$N:$N,Timesheet!$C:$C=""EE - 2020"",Timesheet!$J:$J=TRUE,Timesheet!$B:$B=$K24)))"),18990.585177406498)</f>
        <v>18990.58518</v>
      </c>
      <c r="S24" s="196">
        <f>IFERROR(__xludf.DUMMYFUNCTION("IFERROR(SUM(filter(Timesheet!$H:$H,Timesheet!$C:$C=""EE - 2020"",Timesheet!$J:$J=TRUE,Timesheet!$B:$B=$K24)))*24"),361.8333333333332)</f>
        <v>361.8333333</v>
      </c>
    </row>
    <row r="25">
      <c r="F25" s="159" t="s">
        <v>102</v>
      </c>
      <c r="G25" s="197" t="s">
        <v>60</v>
      </c>
      <c r="H25" s="161">
        <f>IFERROR(__xludf.DUMMYFUNCTION("sum(filter(Timesheet!$N:$N,Timesheet!$C:$C=$F25))"),382.4776857142856)</f>
        <v>382.4776857</v>
      </c>
      <c r="I25" s="160" t="s">
        <v>3710</v>
      </c>
      <c r="J25" s="191" t="str">
        <f>vlookup(K25,Pessoal!$A$6:$U$18,21)</f>
        <v>Parcial</v>
      </c>
      <c r="K25" s="159" t="s">
        <v>467</v>
      </c>
      <c r="L25" s="159" t="str">
        <f>vlookup(K25,Pessoal!$A$6:$B$18,2,false)</f>
        <v>088.869.216-16</v>
      </c>
      <c r="M25" s="159" t="str">
        <f>vlookup(K25,Pessoal!$A$6:$E$18,5,false)</f>
        <v>Pós graduado</v>
      </c>
      <c r="N25" s="171">
        <f t="shared" si="2"/>
        <v>16805.65274</v>
      </c>
      <c r="O25" s="172">
        <f t="shared" si="3"/>
        <v>322.2444534</v>
      </c>
      <c r="P25" s="171">
        <f t="shared" si="4"/>
        <v>4220.245225</v>
      </c>
      <c r="Q25" s="172">
        <f t="shared" si="5"/>
        <v>80.92221328</v>
      </c>
      <c r="R25" s="195">
        <f>IFERROR(__xludf.DUMMYFUNCTION("iferror(sum(filter(Timesheet!$N:$N,Timesheet!$C:$C=""EE - 2020"",Timesheet!$J:$J=TRUE,Timesheet!$B:$B=$K25)))"),21025.897967773013)</f>
        <v>21025.89797</v>
      </c>
      <c r="S25" s="196">
        <f>IFERROR(__xludf.DUMMYFUNCTION("IFERROR(SUM(filter(Timesheet!$H:$H,Timesheet!$C:$C=""EE - 2020"",Timesheet!$J:$J=TRUE,Timesheet!$B:$B=$K25)))*24"),403.16666666666686)</f>
        <v>403.1666667</v>
      </c>
    </row>
    <row r="26">
      <c r="F26" s="159" t="s">
        <v>115</v>
      </c>
      <c r="G26" s="197" t="s">
        <v>60</v>
      </c>
      <c r="H26" s="161">
        <f>IFERROR(__xludf.DUMMYFUNCTION("sum(filter(Timesheet!$N:$N,Timesheet!$C:$C=$F26))"),799.7260701298701)</f>
        <v>799.7260701</v>
      </c>
      <c r="J26" s="191" t="str">
        <f>vlookup(K26,Pessoal!$A$6:$U$18,21)</f>
        <v>Parcial</v>
      </c>
      <c r="K26" s="159" t="s">
        <v>469</v>
      </c>
      <c r="L26" s="159" t="str">
        <f>vlookup(K26,Pessoal!$A$6:$B$18,2,false)</f>
        <v>077.680.169-47</v>
      </c>
      <c r="M26" s="159" t="str">
        <f>vlookup(K26,Pessoal!$A$6:$E$18,5,false)</f>
        <v>Pós graduado</v>
      </c>
      <c r="N26" s="171">
        <f t="shared" si="2"/>
        <v>29.98054807</v>
      </c>
      <c r="O26" s="172">
        <f t="shared" si="3"/>
        <v>0.7992834726</v>
      </c>
      <c r="P26" s="171">
        <f t="shared" si="4"/>
        <v>7.528732551</v>
      </c>
      <c r="Q26" s="172">
        <f t="shared" si="5"/>
        <v>0.2007165274</v>
      </c>
      <c r="R26" s="195">
        <f>IFERROR(__xludf.DUMMYFUNCTION("iferror(sum(filter(Timesheet!$N:$N,Timesheet!$C:$C=""EE - 2020"",Timesheet!$J:$J=TRUE,Timesheet!$B:$B=$K26)))"),37.50928062469937)</f>
        <v>37.50928062</v>
      </c>
      <c r="S26" s="196">
        <f>IFERROR(__xludf.DUMMYFUNCTION("IFERROR(SUM(filter(Timesheet!$H:$H,Timesheet!$C:$C=""EE - 2020"",Timesheet!$J:$J=TRUE,Timesheet!$B:$B=$K26)))*24"),1.0)</f>
        <v>1</v>
      </c>
    </row>
    <row r="27">
      <c r="F27" s="159" t="s">
        <v>104</v>
      </c>
      <c r="G27" s="197" t="s">
        <v>60</v>
      </c>
      <c r="H27" s="161">
        <f>IFERROR(__xludf.DUMMYFUNCTION("sum(filter(Timesheet!$N:$N,Timesheet!$C:$C=$F27))"),503.93814435275374)</f>
        <v>503.9381444</v>
      </c>
      <c r="I27" s="160" t="s">
        <v>3710</v>
      </c>
      <c r="J27" s="191" t="str">
        <f>vlookup(K27,Pessoal!$A$6:$U$18,21)</f>
        <v>Parcial</v>
      </c>
      <c r="K27" s="159" t="s">
        <v>495</v>
      </c>
      <c r="L27" s="159" t="str">
        <f>vlookup(K27,Pessoal!$A$6:$B$18,2,false)</f>
        <v>317.875.738-42</v>
      </c>
      <c r="M27" s="159" t="str">
        <f>vlookup(K27,Pessoal!$A$6:$E$18,5,false)</f>
        <v>Pós graduado</v>
      </c>
      <c r="N27" s="171">
        <f t="shared" si="2"/>
        <v>61430.1654</v>
      </c>
      <c r="O27" s="172">
        <f t="shared" si="3"/>
        <v>833.4261983</v>
      </c>
      <c r="P27" s="171">
        <f t="shared" si="4"/>
        <v>15426.37862</v>
      </c>
      <c r="Q27" s="172">
        <f t="shared" si="5"/>
        <v>209.2904684</v>
      </c>
      <c r="R27" s="195">
        <f>IFERROR(__xludf.DUMMYFUNCTION("iferror(sum(filter(Timesheet!$N:$N,Timesheet!$C:$C=""EE - 2020"",Timesheet!$J:$J=TRUE,Timesheet!$B:$B=$K27)))"),76856.54401715586)</f>
        <v>76856.54402</v>
      </c>
      <c r="S27" s="196">
        <f>IFERROR(__xludf.DUMMYFUNCTION("IFERROR(SUM(filter(Timesheet!$H:$H,Timesheet!$C:$C=""EE - 2020"",Timesheet!$J:$J=TRUE,Timesheet!$B:$B=$K27)))*24"),1042.716666666667)</f>
        <v>1042.716667</v>
      </c>
    </row>
    <row r="28">
      <c r="F28" s="159" t="s">
        <v>114</v>
      </c>
      <c r="G28" s="197" t="s">
        <v>60</v>
      </c>
      <c r="H28" s="161">
        <f>IFERROR(__xludf.DUMMYFUNCTION("sum(filter(Timesheet!$N:$N,Timesheet!$C:$C=$F28))"),1797.161249060546)</f>
        <v>1797.161249</v>
      </c>
      <c r="J28" s="191" t="str">
        <f>vlookup(K28,Pessoal!$A$6:$U$18,21)</f>
        <v>Parcial</v>
      </c>
      <c r="K28" s="159" t="s">
        <v>750</v>
      </c>
      <c r="L28" s="159" t="str">
        <f>vlookup(K28,Pessoal!$A$6:$B$18,2,false)</f>
        <v>087.823.469-17</v>
      </c>
      <c r="M28" s="159" t="str">
        <f>vlookup(K28,Pessoal!$A$6:$E$18,5,false)</f>
        <v>Superior Completo</v>
      </c>
      <c r="N28" s="171">
        <f t="shared" si="2"/>
        <v>27.7916448</v>
      </c>
      <c r="O28" s="172">
        <f t="shared" si="3"/>
        <v>0.7992834726</v>
      </c>
      <c r="P28" s="171">
        <f t="shared" si="4"/>
        <v>6.979053897</v>
      </c>
      <c r="Q28" s="172">
        <f t="shared" si="5"/>
        <v>0.2007165274</v>
      </c>
      <c r="R28" s="198">
        <f>IFERROR(__xludf.DUMMYFUNCTION("iferror(sum(filter(Timesheet!$N:$N,Timesheet!$C:$C=""EE - 2020"",Timesheet!$J:$J=TRUE,Timesheet!$B:$B=$K28)))"),34.7706987012987)</f>
        <v>34.7706987</v>
      </c>
      <c r="S28" s="199">
        <f>IFERROR(__xludf.DUMMYFUNCTION("IFERROR(SUM(filter(Timesheet!$H:$H,Timesheet!$C:$C=""EE - 2020"",Timesheet!$J:$J=TRUE,Timesheet!$B:$B=$K28)))*24"),1.0)</f>
        <v>1</v>
      </c>
    </row>
    <row r="29">
      <c r="F29" s="159" t="s">
        <v>105</v>
      </c>
      <c r="G29" s="197" t="s">
        <v>60</v>
      </c>
      <c r="H29" s="161">
        <f>IFERROR(__xludf.DUMMYFUNCTION("sum(filter(Timesheet!$N:$N,Timesheet!$C:$C=$F29))"),783.9153162923882)</f>
        <v>783.9153163</v>
      </c>
      <c r="I29" s="160" t="s">
        <v>3710</v>
      </c>
      <c r="J29" s="191"/>
      <c r="N29" s="173">
        <f t="shared" ref="N29:Q29" si="6">sum(N20:N28)</f>
        <v>95289.13585</v>
      </c>
      <c r="O29" s="174">
        <f t="shared" si="6"/>
        <v>1505.024136</v>
      </c>
      <c r="P29" s="173">
        <f t="shared" si="6"/>
        <v>23929.06284</v>
      </c>
      <c r="Q29" s="174">
        <f t="shared" si="6"/>
        <v>377.9425305</v>
      </c>
      <c r="R29" s="177"/>
    </row>
    <row r="30">
      <c r="F30" s="159" t="s">
        <v>125</v>
      </c>
      <c r="G30" s="160" t="s">
        <v>3683</v>
      </c>
      <c r="H30" s="161">
        <f>IFERROR(__xludf.DUMMYFUNCTION("sum(filter(Timesheet!$N:$N,Timesheet!$C:$C=$F30))"),2234.9583200494526)</f>
        <v>2234.95832</v>
      </c>
      <c r="J30" s="191"/>
      <c r="N30" s="177"/>
      <c r="O30" s="177"/>
      <c r="P30" s="177"/>
      <c r="Q30" s="177"/>
      <c r="R30" s="177"/>
    </row>
    <row r="31">
      <c r="F31" s="159" t="s">
        <v>123</v>
      </c>
      <c r="G31" s="197" t="s">
        <v>60</v>
      </c>
      <c r="H31" s="161">
        <f>IFERROR(__xludf.DUMMYFUNCTION("sum(filter(Timesheet!$N:$N,Timesheet!$C:$C=$F31))"),2079.875286257666)</f>
        <v>2079.875286</v>
      </c>
      <c r="J31" s="191"/>
      <c r="M31" s="189" t="s">
        <v>3714</v>
      </c>
      <c r="N31" s="200">
        <v>179199.8674528198</v>
      </c>
      <c r="O31" s="201">
        <v>3880.233333333334</v>
      </c>
      <c r="P31" s="200">
        <v>45000.77422984406</v>
      </c>
      <c r="Q31" s="201">
        <v>1191.4999999999998</v>
      </c>
      <c r="R31" s="177"/>
    </row>
    <row r="32">
      <c r="F32" s="159" t="s">
        <v>109</v>
      </c>
      <c r="G32" s="197" t="s">
        <v>60</v>
      </c>
      <c r="H32" s="161">
        <f>IFERROR(__xludf.DUMMYFUNCTION("sum(filter(Timesheet!$N:$N,Timesheet!$C:$C=$F32))"),419.87475288600285)</f>
        <v>419.8747529</v>
      </c>
      <c r="N32" s="177"/>
      <c r="O32" s="177"/>
      <c r="P32" s="177"/>
      <c r="Q32" s="177"/>
      <c r="R32" s="177"/>
    </row>
    <row r="33">
      <c r="F33" s="159" t="s">
        <v>128</v>
      </c>
      <c r="G33" s="197" t="s">
        <v>60</v>
      </c>
      <c r="H33" s="161">
        <f>IFERROR(__xludf.DUMMYFUNCTION("sum(filter(Timesheet!$N:$N,Timesheet!$C:$C=$F33))"),131.2108602768759)</f>
        <v>131.2108603</v>
      </c>
      <c r="N33" s="177"/>
      <c r="O33" s="177"/>
      <c r="P33" s="177"/>
      <c r="Q33" s="177"/>
      <c r="R33" s="177"/>
    </row>
    <row r="34">
      <c r="F34" s="159" t="s">
        <v>129</v>
      </c>
      <c r="G34" s="197" t="s">
        <v>60</v>
      </c>
      <c r="H34" s="161">
        <f>IFERROR(__xludf.DUMMYFUNCTION("sum(filter(Timesheet!$N:$N,Timesheet!$C:$C=$F34))"),156.4556277056277)</f>
        <v>156.4556277</v>
      </c>
      <c r="N34" s="177"/>
      <c r="O34" s="177"/>
      <c r="P34" s="177"/>
      <c r="Q34" s="177"/>
      <c r="R34" s="177"/>
    </row>
    <row r="35">
      <c r="F35" s="160" t="s">
        <v>86</v>
      </c>
      <c r="G35" s="160" t="s">
        <v>60</v>
      </c>
      <c r="H35" s="161">
        <f>IFERROR(__xludf.DUMMYFUNCTION("sum(filter(Timesheet!$N:$N,Timesheet!$C:$C=$F35))"),1591.666908225108)</f>
        <v>1591.666908</v>
      </c>
      <c r="N35" s="177"/>
      <c r="O35" s="177"/>
      <c r="P35" s="177"/>
      <c r="Q35" s="177"/>
      <c r="R35" s="177"/>
    </row>
    <row r="36">
      <c r="H36" s="161">
        <f>sum(H2:H35)</f>
        <v>356413.4018</v>
      </c>
      <c r="N36" s="177"/>
      <c r="O36" s="177"/>
      <c r="P36" s="177"/>
      <c r="Q36" s="177"/>
      <c r="R36" s="177"/>
    </row>
    <row r="37">
      <c r="N37" s="177"/>
      <c r="O37" s="177"/>
      <c r="P37" s="177"/>
      <c r="Q37" s="177"/>
      <c r="R37" s="177"/>
    </row>
    <row r="38">
      <c r="N38" s="177"/>
      <c r="O38" s="177"/>
      <c r="P38" s="177"/>
      <c r="Q38" s="177"/>
      <c r="R38" s="177"/>
    </row>
    <row r="39">
      <c r="N39" s="177"/>
      <c r="O39" s="177"/>
      <c r="P39" s="177"/>
      <c r="Q39" s="177"/>
      <c r="R39" s="177"/>
    </row>
    <row r="40">
      <c r="N40" s="177"/>
      <c r="O40" s="177"/>
      <c r="P40" s="177"/>
      <c r="Q40" s="177"/>
      <c r="R40" s="177"/>
    </row>
    <row r="41">
      <c r="N41" s="177"/>
      <c r="O41" s="177"/>
      <c r="P41" s="177"/>
      <c r="Q41" s="177"/>
      <c r="R41" s="177"/>
    </row>
    <row r="42">
      <c r="N42" s="177"/>
      <c r="O42" s="177"/>
      <c r="P42" s="177"/>
      <c r="Q42" s="177"/>
      <c r="R42" s="177"/>
    </row>
    <row r="43">
      <c r="N43" s="177"/>
      <c r="O43" s="177"/>
      <c r="P43" s="177"/>
      <c r="Q43" s="177"/>
      <c r="R43" s="177"/>
    </row>
    <row r="44">
      <c r="N44" s="177"/>
      <c r="O44" s="177"/>
      <c r="P44" s="177"/>
      <c r="Q44" s="177"/>
      <c r="R44" s="177"/>
    </row>
    <row r="45">
      <c r="N45" s="177"/>
      <c r="O45" s="177"/>
      <c r="P45" s="177"/>
      <c r="Q45" s="177"/>
      <c r="R45" s="177"/>
    </row>
    <row r="46">
      <c r="N46" s="177"/>
      <c r="O46" s="177"/>
      <c r="P46" s="177"/>
      <c r="Q46" s="177"/>
      <c r="R46" s="177"/>
    </row>
    <row r="47">
      <c r="N47" s="177"/>
      <c r="O47" s="177"/>
      <c r="P47" s="177"/>
      <c r="Q47" s="177"/>
      <c r="R47" s="177"/>
    </row>
    <row r="48">
      <c r="N48" s="177"/>
      <c r="O48" s="177"/>
      <c r="P48" s="177"/>
      <c r="Q48" s="177"/>
      <c r="R48" s="177"/>
    </row>
    <row r="49">
      <c r="N49" s="177"/>
      <c r="O49" s="177"/>
      <c r="P49" s="177"/>
      <c r="Q49" s="177"/>
      <c r="R49" s="177"/>
    </row>
    <row r="50">
      <c r="N50" s="177"/>
      <c r="O50" s="177"/>
      <c r="P50" s="177"/>
      <c r="Q50" s="177"/>
      <c r="R50" s="177"/>
    </row>
    <row r="51">
      <c r="N51" s="177"/>
      <c r="O51" s="177"/>
      <c r="P51" s="177"/>
      <c r="Q51" s="177"/>
      <c r="R51" s="177"/>
    </row>
    <row r="52">
      <c r="N52" s="177"/>
      <c r="O52" s="177"/>
      <c r="P52" s="177"/>
      <c r="Q52" s="177"/>
      <c r="R52" s="177"/>
    </row>
    <row r="53">
      <c r="N53" s="177"/>
      <c r="O53" s="177"/>
      <c r="P53" s="177"/>
      <c r="Q53" s="177"/>
      <c r="R53" s="177"/>
    </row>
    <row r="54">
      <c r="N54" s="177"/>
      <c r="O54" s="177"/>
      <c r="P54" s="177"/>
      <c r="Q54" s="177"/>
      <c r="R54" s="177"/>
    </row>
    <row r="55">
      <c r="N55" s="177"/>
      <c r="O55" s="177"/>
      <c r="P55" s="177"/>
      <c r="Q55" s="177"/>
      <c r="R55" s="177"/>
    </row>
    <row r="56">
      <c r="N56" s="177"/>
      <c r="O56" s="177"/>
      <c r="P56" s="177"/>
      <c r="Q56" s="177"/>
      <c r="R56" s="177"/>
    </row>
    <row r="57">
      <c r="N57" s="177"/>
      <c r="O57" s="177"/>
      <c r="P57" s="177"/>
      <c r="Q57" s="177"/>
      <c r="R57" s="177"/>
    </row>
    <row r="58">
      <c r="N58" s="177"/>
      <c r="O58" s="177"/>
      <c r="P58" s="177"/>
      <c r="Q58" s="177"/>
      <c r="R58" s="177"/>
    </row>
    <row r="59">
      <c r="N59" s="177"/>
      <c r="O59" s="177"/>
      <c r="P59" s="177"/>
      <c r="Q59" s="177"/>
      <c r="R59" s="177"/>
    </row>
    <row r="60">
      <c r="N60" s="177"/>
      <c r="O60" s="177"/>
      <c r="P60" s="177"/>
      <c r="Q60" s="177"/>
      <c r="R60" s="177"/>
    </row>
    <row r="61">
      <c r="N61" s="177"/>
      <c r="O61" s="177"/>
      <c r="P61" s="177"/>
      <c r="Q61" s="177"/>
      <c r="R61" s="177"/>
    </row>
    <row r="62">
      <c r="N62" s="177"/>
      <c r="O62" s="177"/>
      <c r="P62" s="177"/>
      <c r="Q62" s="177"/>
      <c r="R62" s="177"/>
    </row>
    <row r="63">
      <c r="N63" s="177"/>
      <c r="O63" s="177"/>
      <c r="P63" s="177"/>
      <c r="Q63" s="177"/>
      <c r="R63" s="177"/>
    </row>
    <row r="64">
      <c r="N64" s="177"/>
      <c r="O64" s="177"/>
      <c r="P64" s="177"/>
      <c r="Q64" s="177"/>
      <c r="R64" s="177"/>
    </row>
    <row r="65">
      <c r="N65" s="177"/>
      <c r="O65" s="177"/>
      <c r="P65" s="177"/>
      <c r="Q65" s="177"/>
      <c r="R65" s="177"/>
    </row>
    <row r="66">
      <c r="N66" s="177"/>
      <c r="O66" s="177"/>
      <c r="P66" s="177"/>
      <c r="Q66" s="177"/>
      <c r="R66" s="177"/>
    </row>
    <row r="67">
      <c r="N67" s="177"/>
      <c r="O67" s="177"/>
      <c r="P67" s="177"/>
      <c r="Q67" s="177"/>
      <c r="R67" s="177"/>
    </row>
    <row r="68">
      <c r="N68" s="177"/>
      <c r="O68" s="177"/>
      <c r="P68" s="177"/>
      <c r="Q68" s="177"/>
      <c r="R68" s="177"/>
    </row>
    <row r="69">
      <c r="N69" s="177"/>
      <c r="O69" s="177"/>
      <c r="P69" s="177"/>
      <c r="Q69" s="177"/>
      <c r="R69" s="177"/>
    </row>
    <row r="70">
      <c r="N70" s="177"/>
      <c r="O70" s="177"/>
      <c r="P70" s="177"/>
      <c r="Q70" s="177"/>
      <c r="R70" s="177"/>
    </row>
    <row r="71">
      <c r="N71" s="177"/>
      <c r="O71" s="177"/>
      <c r="P71" s="177"/>
      <c r="Q71" s="177"/>
      <c r="R71" s="177"/>
    </row>
    <row r="72">
      <c r="N72" s="177"/>
      <c r="O72" s="177"/>
      <c r="P72" s="177"/>
      <c r="Q72" s="177"/>
      <c r="R72" s="177"/>
    </row>
    <row r="73">
      <c r="N73" s="177"/>
      <c r="O73" s="177"/>
      <c r="P73" s="177"/>
      <c r="Q73" s="177"/>
      <c r="R73" s="177"/>
    </row>
    <row r="74">
      <c r="N74" s="177"/>
      <c r="O74" s="177"/>
      <c r="P74" s="177"/>
      <c r="Q74" s="177"/>
      <c r="R74" s="177"/>
    </row>
    <row r="75">
      <c r="N75" s="177"/>
      <c r="O75" s="177"/>
      <c r="P75" s="177"/>
      <c r="Q75" s="177"/>
      <c r="R75" s="177"/>
    </row>
    <row r="76">
      <c r="N76" s="177"/>
      <c r="O76" s="177"/>
      <c r="P76" s="177"/>
      <c r="Q76" s="177"/>
      <c r="R76" s="177"/>
    </row>
    <row r="77">
      <c r="N77" s="177"/>
      <c r="O77" s="177"/>
      <c r="P77" s="177"/>
      <c r="Q77" s="177"/>
      <c r="R77" s="177"/>
    </row>
    <row r="78">
      <c r="N78" s="177"/>
      <c r="O78" s="177"/>
      <c r="P78" s="177"/>
      <c r="Q78" s="177"/>
      <c r="R78" s="177"/>
    </row>
    <row r="79">
      <c r="N79" s="177"/>
      <c r="O79" s="177"/>
      <c r="P79" s="177"/>
      <c r="Q79" s="177"/>
      <c r="R79" s="177"/>
    </row>
    <row r="80">
      <c r="N80" s="177"/>
      <c r="O80" s="177"/>
      <c r="P80" s="177"/>
      <c r="Q80" s="177"/>
      <c r="R80" s="177"/>
    </row>
    <row r="81">
      <c r="N81" s="177"/>
      <c r="O81" s="177"/>
      <c r="P81" s="177"/>
      <c r="Q81" s="177"/>
      <c r="R81" s="177"/>
    </row>
    <row r="82">
      <c r="N82" s="177"/>
      <c r="O82" s="177"/>
      <c r="P82" s="177"/>
      <c r="Q82" s="177"/>
      <c r="R82" s="177"/>
    </row>
    <row r="83">
      <c r="N83" s="177"/>
      <c r="O83" s="177"/>
      <c r="P83" s="177"/>
      <c r="Q83" s="177"/>
      <c r="R83" s="177"/>
    </row>
    <row r="84">
      <c r="N84" s="177"/>
      <c r="O84" s="177"/>
      <c r="P84" s="177"/>
      <c r="Q84" s="177"/>
      <c r="R84" s="177"/>
    </row>
    <row r="85">
      <c r="N85" s="177"/>
      <c r="O85" s="177"/>
      <c r="P85" s="177"/>
      <c r="Q85" s="177"/>
      <c r="R85" s="177"/>
    </row>
    <row r="86">
      <c r="N86" s="177"/>
      <c r="O86" s="177"/>
      <c r="P86" s="177"/>
      <c r="Q86" s="177"/>
      <c r="R86" s="177"/>
    </row>
    <row r="87">
      <c r="N87" s="177"/>
      <c r="O87" s="177"/>
      <c r="P87" s="177"/>
      <c r="Q87" s="177"/>
      <c r="R87" s="177"/>
    </row>
    <row r="88">
      <c r="N88" s="177"/>
      <c r="O88" s="177"/>
      <c r="P88" s="177"/>
      <c r="Q88" s="177"/>
      <c r="R88" s="177"/>
    </row>
    <row r="89">
      <c r="N89" s="177"/>
      <c r="O89" s="177"/>
      <c r="P89" s="177"/>
      <c r="Q89" s="177"/>
      <c r="R89" s="177"/>
    </row>
    <row r="90">
      <c r="N90" s="177"/>
      <c r="O90" s="177"/>
      <c r="P90" s="177"/>
      <c r="Q90" s="177"/>
      <c r="R90" s="177"/>
    </row>
    <row r="91">
      <c r="N91" s="177"/>
      <c r="O91" s="177"/>
      <c r="P91" s="177"/>
      <c r="Q91" s="177"/>
      <c r="R91" s="177"/>
    </row>
    <row r="92">
      <c r="N92" s="177"/>
      <c r="O92" s="177"/>
      <c r="P92" s="177"/>
      <c r="Q92" s="177"/>
      <c r="R92" s="177"/>
    </row>
    <row r="93">
      <c r="N93" s="177"/>
      <c r="O93" s="177"/>
      <c r="P93" s="177"/>
      <c r="Q93" s="177"/>
      <c r="R93" s="177"/>
    </row>
    <row r="94">
      <c r="N94" s="177"/>
      <c r="O94" s="177"/>
      <c r="P94" s="177"/>
      <c r="Q94" s="177"/>
      <c r="R94" s="177"/>
    </row>
    <row r="95">
      <c r="N95" s="177"/>
      <c r="O95" s="177"/>
      <c r="P95" s="177"/>
      <c r="Q95" s="177"/>
      <c r="R95" s="177"/>
    </row>
    <row r="96">
      <c r="N96" s="177"/>
      <c r="O96" s="177"/>
      <c r="P96" s="177"/>
      <c r="Q96" s="177"/>
      <c r="R96" s="177"/>
    </row>
    <row r="97">
      <c r="N97" s="177"/>
      <c r="O97" s="177"/>
      <c r="P97" s="177"/>
      <c r="Q97" s="177"/>
      <c r="R97" s="177"/>
    </row>
    <row r="98">
      <c r="N98" s="177"/>
      <c r="O98" s="177"/>
      <c r="P98" s="177"/>
      <c r="Q98" s="177"/>
      <c r="R98" s="177"/>
    </row>
    <row r="99">
      <c r="N99" s="177"/>
      <c r="O99" s="177"/>
      <c r="P99" s="177"/>
      <c r="Q99" s="177"/>
      <c r="R99" s="177"/>
    </row>
    <row r="100">
      <c r="N100" s="177"/>
      <c r="O100" s="177"/>
      <c r="P100" s="177"/>
      <c r="Q100" s="177"/>
      <c r="R100" s="177"/>
    </row>
    <row r="101">
      <c r="N101" s="177"/>
      <c r="O101" s="177"/>
      <c r="P101" s="177"/>
      <c r="Q101" s="177"/>
      <c r="R101" s="177"/>
    </row>
    <row r="102">
      <c r="N102" s="177"/>
      <c r="O102" s="177"/>
      <c r="P102" s="177"/>
      <c r="Q102" s="177"/>
      <c r="R102" s="177"/>
    </row>
    <row r="103">
      <c r="N103" s="177"/>
      <c r="O103" s="177"/>
      <c r="P103" s="177"/>
      <c r="Q103" s="177"/>
      <c r="R103" s="177"/>
    </row>
    <row r="104">
      <c r="N104" s="177"/>
      <c r="O104" s="177"/>
      <c r="P104" s="177"/>
      <c r="Q104" s="177"/>
      <c r="R104" s="177"/>
    </row>
    <row r="105">
      <c r="N105" s="177"/>
      <c r="O105" s="177"/>
      <c r="P105" s="177"/>
      <c r="Q105" s="177"/>
      <c r="R105" s="177"/>
    </row>
    <row r="106">
      <c r="N106" s="177"/>
      <c r="O106" s="177"/>
      <c r="P106" s="177"/>
      <c r="Q106" s="177"/>
      <c r="R106" s="177"/>
    </row>
    <row r="107">
      <c r="N107" s="177"/>
      <c r="O107" s="177"/>
      <c r="P107" s="177"/>
      <c r="Q107" s="177"/>
      <c r="R107" s="177"/>
    </row>
    <row r="108">
      <c r="N108" s="177"/>
      <c r="O108" s="177"/>
      <c r="P108" s="177"/>
      <c r="Q108" s="177"/>
      <c r="R108" s="177"/>
    </row>
    <row r="109">
      <c r="N109" s="177"/>
      <c r="O109" s="177"/>
      <c r="P109" s="177"/>
      <c r="Q109" s="177"/>
      <c r="R109" s="177"/>
    </row>
    <row r="110">
      <c r="N110" s="177"/>
      <c r="O110" s="177"/>
      <c r="P110" s="177"/>
      <c r="Q110" s="177"/>
      <c r="R110" s="177"/>
    </row>
    <row r="111">
      <c r="N111" s="177"/>
      <c r="O111" s="177"/>
      <c r="P111" s="177"/>
      <c r="Q111" s="177"/>
      <c r="R111" s="177"/>
    </row>
    <row r="112">
      <c r="N112" s="177"/>
      <c r="O112" s="177"/>
      <c r="P112" s="177"/>
      <c r="Q112" s="177"/>
      <c r="R112" s="177"/>
    </row>
    <row r="113">
      <c r="N113" s="177"/>
      <c r="O113" s="177"/>
      <c r="P113" s="177"/>
      <c r="Q113" s="177"/>
      <c r="R113" s="177"/>
    </row>
    <row r="114">
      <c r="N114" s="177"/>
      <c r="O114" s="177"/>
      <c r="P114" s="177"/>
      <c r="Q114" s="177"/>
      <c r="R114" s="177"/>
    </row>
    <row r="115">
      <c r="N115" s="177"/>
      <c r="O115" s="177"/>
      <c r="P115" s="177"/>
      <c r="Q115" s="177"/>
      <c r="R115" s="177"/>
    </row>
    <row r="116">
      <c r="N116" s="177"/>
      <c r="O116" s="177"/>
      <c r="P116" s="177"/>
      <c r="Q116" s="177"/>
      <c r="R116" s="177"/>
    </row>
    <row r="117">
      <c r="N117" s="177"/>
      <c r="O117" s="177"/>
      <c r="P117" s="177"/>
      <c r="Q117" s="177"/>
      <c r="R117" s="177"/>
    </row>
    <row r="118">
      <c r="N118" s="177"/>
      <c r="O118" s="177"/>
      <c r="P118" s="177"/>
      <c r="Q118" s="177"/>
      <c r="R118" s="177"/>
    </row>
    <row r="119">
      <c r="N119" s="177"/>
      <c r="O119" s="177"/>
      <c r="P119" s="177"/>
      <c r="Q119" s="177"/>
      <c r="R119" s="177"/>
    </row>
    <row r="120">
      <c r="N120" s="177"/>
      <c r="O120" s="177"/>
      <c r="P120" s="177"/>
      <c r="Q120" s="177"/>
      <c r="R120" s="177"/>
    </row>
    <row r="121">
      <c r="N121" s="177"/>
      <c r="O121" s="177"/>
      <c r="P121" s="177"/>
      <c r="Q121" s="177"/>
      <c r="R121" s="177"/>
    </row>
    <row r="122">
      <c r="N122" s="177"/>
      <c r="O122" s="177"/>
      <c r="P122" s="177"/>
      <c r="Q122" s="177"/>
      <c r="R122" s="177"/>
    </row>
    <row r="123">
      <c r="N123" s="177"/>
      <c r="O123" s="177"/>
      <c r="P123" s="177"/>
      <c r="Q123" s="177"/>
      <c r="R123" s="177"/>
    </row>
    <row r="124">
      <c r="N124" s="177"/>
      <c r="O124" s="177"/>
      <c r="P124" s="177"/>
      <c r="Q124" s="177"/>
      <c r="R124" s="177"/>
    </row>
    <row r="125">
      <c r="N125" s="177"/>
      <c r="O125" s="177"/>
      <c r="P125" s="177"/>
      <c r="Q125" s="177"/>
      <c r="R125" s="177"/>
    </row>
    <row r="126">
      <c r="N126" s="177"/>
      <c r="O126" s="177"/>
      <c r="P126" s="177"/>
      <c r="Q126" s="177"/>
      <c r="R126" s="177"/>
    </row>
    <row r="127">
      <c r="N127" s="177"/>
      <c r="O127" s="177"/>
      <c r="P127" s="177"/>
      <c r="Q127" s="177"/>
      <c r="R127" s="177"/>
    </row>
    <row r="128">
      <c r="N128" s="177"/>
      <c r="O128" s="177"/>
      <c r="P128" s="177"/>
      <c r="Q128" s="177"/>
      <c r="R128" s="177"/>
    </row>
    <row r="129">
      <c r="N129" s="177"/>
      <c r="O129" s="177"/>
      <c r="P129" s="177"/>
      <c r="Q129" s="177"/>
      <c r="R129" s="177"/>
    </row>
    <row r="130">
      <c r="N130" s="177"/>
      <c r="O130" s="177"/>
      <c r="P130" s="177"/>
      <c r="Q130" s="177"/>
      <c r="R130" s="177"/>
    </row>
    <row r="131">
      <c r="N131" s="177"/>
      <c r="O131" s="177"/>
      <c r="P131" s="177"/>
      <c r="Q131" s="177"/>
      <c r="R131" s="177"/>
    </row>
    <row r="132">
      <c r="N132" s="177"/>
      <c r="O132" s="177"/>
      <c r="P132" s="177"/>
      <c r="Q132" s="177"/>
      <c r="R132" s="177"/>
    </row>
    <row r="133">
      <c r="N133" s="177"/>
      <c r="O133" s="177"/>
      <c r="P133" s="177"/>
      <c r="Q133" s="177"/>
      <c r="R133" s="177"/>
    </row>
    <row r="134">
      <c r="N134" s="177"/>
      <c r="O134" s="177"/>
      <c r="P134" s="177"/>
      <c r="Q134" s="177"/>
      <c r="R134" s="177"/>
    </row>
    <row r="135">
      <c r="N135" s="177"/>
      <c r="O135" s="177"/>
      <c r="P135" s="177"/>
      <c r="Q135" s="177"/>
      <c r="R135" s="177"/>
    </row>
    <row r="136">
      <c r="N136" s="177"/>
      <c r="O136" s="177"/>
      <c r="P136" s="177"/>
      <c r="Q136" s="177"/>
      <c r="R136" s="177"/>
    </row>
    <row r="137">
      <c r="N137" s="177"/>
      <c r="O137" s="177"/>
      <c r="P137" s="177"/>
      <c r="Q137" s="177"/>
      <c r="R137" s="177"/>
    </row>
    <row r="138">
      <c r="N138" s="177"/>
      <c r="O138" s="177"/>
      <c r="P138" s="177"/>
      <c r="Q138" s="177"/>
      <c r="R138" s="177"/>
    </row>
    <row r="139">
      <c r="N139" s="177"/>
      <c r="O139" s="177"/>
      <c r="P139" s="177"/>
      <c r="Q139" s="177"/>
      <c r="R139" s="177"/>
    </row>
    <row r="140">
      <c r="N140" s="177"/>
      <c r="O140" s="177"/>
      <c r="P140" s="177"/>
      <c r="Q140" s="177"/>
      <c r="R140" s="177"/>
    </row>
    <row r="141">
      <c r="N141" s="177"/>
      <c r="O141" s="177"/>
      <c r="P141" s="177"/>
      <c r="Q141" s="177"/>
      <c r="R141" s="177"/>
    </row>
    <row r="142">
      <c r="N142" s="177"/>
      <c r="O142" s="177"/>
      <c r="P142" s="177"/>
      <c r="Q142" s="177"/>
      <c r="R142" s="177"/>
    </row>
    <row r="143">
      <c r="N143" s="177"/>
      <c r="O143" s="177"/>
      <c r="P143" s="177"/>
      <c r="Q143" s="177"/>
      <c r="R143" s="177"/>
    </row>
    <row r="144">
      <c r="N144" s="177"/>
      <c r="O144" s="177"/>
      <c r="P144" s="177"/>
      <c r="Q144" s="177"/>
      <c r="R144" s="177"/>
    </row>
    <row r="145">
      <c r="N145" s="177"/>
      <c r="O145" s="177"/>
      <c r="P145" s="177"/>
      <c r="Q145" s="177"/>
      <c r="R145" s="177"/>
    </row>
    <row r="146">
      <c r="N146" s="177"/>
      <c r="O146" s="177"/>
      <c r="P146" s="177"/>
      <c r="Q146" s="177"/>
      <c r="R146" s="177"/>
    </row>
    <row r="147">
      <c r="N147" s="177"/>
      <c r="O147" s="177"/>
      <c r="P147" s="177"/>
      <c r="Q147" s="177"/>
      <c r="R147" s="177"/>
    </row>
    <row r="148">
      <c r="N148" s="177"/>
      <c r="O148" s="177"/>
      <c r="P148" s="177"/>
      <c r="Q148" s="177"/>
      <c r="R148" s="177"/>
    </row>
    <row r="149">
      <c r="N149" s="177"/>
      <c r="O149" s="177"/>
      <c r="P149" s="177"/>
      <c r="Q149" s="177"/>
      <c r="R149" s="177"/>
    </row>
    <row r="150">
      <c r="N150" s="177"/>
      <c r="O150" s="177"/>
      <c r="P150" s="177"/>
      <c r="Q150" s="177"/>
      <c r="R150" s="177"/>
    </row>
    <row r="151">
      <c r="N151" s="177"/>
      <c r="O151" s="177"/>
      <c r="P151" s="177"/>
      <c r="Q151" s="177"/>
      <c r="R151" s="177"/>
    </row>
    <row r="152">
      <c r="N152" s="177"/>
      <c r="O152" s="177"/>
      <c r="P152" s="177"/>
      <c r="Q152" s="177"/>
      <c r="R152" s="177"/>
    </row>
    <row r="153">
      <c r="N153" s="177"/>
      <c r="O153" s="177"/>
      <c r="P153" s="177"/>
      <c r="Q153" s="177"/>
      <c r="R153" s="177"/>
    </row>
    <row r="154">
      <c r="N154" s="177"/>
      <c r="O154" s="177"/>
      <c r="P154" s="177"/>
      <c r="Q154" s="177"/>
      <c r="R154" s="177"/>
    </row>
    <row r="155">
      <c r="N155" s="177"/>
      <c r="O155" s="177"/>
      <c r="P155" s="177"/>
      <c r="Q155" s="177"/>
      <c r="R155" s="177"/>
    </row>
    <row r="156">
      <c r="N156" s="177"/>
      <c r="O156" s="177"/>
      <c r="P156" s="177"/>
      <c r="Q156" s="177"/>
      <c r="R156" s="177"/>
    </row>
    <row r="157">
      <c r="N157" s="177"/>
      <c r="O157" s="177"/>
      <c r="P157" s="177"/>
      <c r="Q157" s="177"/>
      <c r="R157" s="177"/>
    </row>
    <row r="158">
      <c r="N158" s="177"/>
      <c r="O158" s="177"/>
      <c r="P158" s="177"/>
      <c r="Q158" s="177"/>
      <c r="R158" s="177"/>
    </row>
    <row r="159">
      <c r="N159" s="177"/>
      <c r="O159" s="177"/>
      <c r="P159" s="177"/>
      <c r="Q159" s="177"/>
      <c r="R159" s="177"/>
    </row>
    <row r="160">
      <c r="N160" s="177"/>
      <c r="O160" s="177"/>
      <c r="P160" s="177"/>
      <c r="Q160" s="177"/>
      <c r="R160" s="177"/>
    </row>
    <row r="161">
      <c r="N161" s="177"/>
      <c r="O161" s="177"/>
      <c r="P161" s="177"/>
      <c r="Q161" s="177"/>
      <c r="R161" s="177"/>
    </row>
    <row r="162">
      <c r="N162" s="177"/>
      <c r="O162" s="177"/>
      <c r="P162" s="177"/>
      <c r="Q162" s="177"/>
      <c r="R162" s="177"/>
    </row>
    <row r="163">
      <c r="N163" s="177"/>
      <c r="O163" s="177"/>
      <c r="P163" s="177"/>
      <c r="Q163" s="177"/>
      <c r="R163" s="177"/>
    </row>
    <row r="164">
      <c r="N164" s="177"/>
      <c r="O164" s="177"/>
      <c r="P164" s="177"/>
      <c r="Q164" s="177"/>
      <c r="R164" s="177"/>
    </row>
    <row r="165">
      <c r="N165" s="177"/>
      <c r="O165" s="177"/>
      <c r="P165" s="177"/>
      <c r="Q165" s="177"/>
      <c r="R165" s="177"/>
    </row>
    <row r="166">
      <c r="N166" s="177"/>
      <c r="O166" s="177"/>
      <c r="P166" s="177"/>
      <c r="Q166" s="177"/>
      <c r="R166" s="177"/>
    </row>
    <row r="167">
      <c r="N167" s="177"/>
      <c r="O167" s="177"/>
      <c r="P167" s="177"/>
      <c r="Q167" s="177"/>
      <c r="R167" s="177"/>
    </row>
    <row r="168">
      <c r="N168" s="177"/>
      <c r="O168" s="177"/>
      <c r="P168" s="177"/>
      <c r="Q168" s="177"/>
      <c r="R168" s="177"/>
    </row>
    <row r="169">
      <c r="N169" s="177"/>
      <c r="O169" s="177"/>
      <c r="P169" s="177"/>
      <c r="Q169" s="177"/>
      <c r="R169" s="177"/>
    </row>
    <row r="170">
      <c r="N170" s="177"/>
      <c r="O170" s="177"/>
      <c r="P170" s="177"/>
      <c r="Q170" s="177"/>
      <c r="R170" s="177"/>
    </row>
    <row r="171">
      <c r="N171" s="177"/>
      <c r="O171" s="177"/>
      <c r="P171" s="177"/>
      <c r="Q171" s="177"/>
      <c r="R171" s="177"/>
    </row>
    <row r="172">
      <c r="N172" s="177"/>
      <c r="O172" s="177"/>
      <c r="P172" s="177"/>
      <c r="Q172" s="177"/>
      <c r="R172" s="177"/>
    </row>
    <row r="173">
      <c r="N173" s="177"/>
      <c r="O173" s="177"/>
      <c r="P173" s="177"/>
      <c r="Q173" s="177"/>
      <c r="R173" s="177"/>
    </row>
    <row r="174">
      <c r="N174" s="177"/>
      <c r="O174" s="177"/>
      <c r="P174" s="177"/>
      <c r="Q174" s="177"/>
      <c r="R174" s="177"/>
    </row>
    <row r="175">
      <c r="N175" s="177"/>
      <c r="O175" s="177"/>
      <c r="P175" s="177"/>
      <c r="Q175" s="177"/>
      <c r="R175" s="177"/>
    </row>
    <row r="176">
      <c r="N176" s="177"/>
      <c r="O176" s="177"/>
      <c r="P176" s="177"/>
      <c r="Q176" s="177"/>
      <c r="R176" s="177"/>
    </row>
    <row r="177">
      <c r="N177" s="177"/>
      <c r="O177" s="177"/>
      <c r="P177" s="177"/>
      <c r="Q177" s="177"/>
      <c r="R177" s="177"/>
    </row>
    <row r="178">
      <c r="N178" s="177"/>
      <c r="O178" s="177"/>
      <c r="P178" s="177"/>
      <c r="Q178" s="177"/>
      <c r="R178" s="177"/>
    </row>
    <row r="179">
      <c r="N179" s="177"/>
      <c r="O179" s="177"/>
      <c r="P179" s="177"/>
      <c r="Q179" s="177"/>
      <c r="R179" s="177"/>
    </row>
    <row r="180">
      <c r="N180" s="177"/>
      <c r="O180" s="177"/>
      <c r="P180" s="177"/>
      <c r="Q180" s="177"/>
      <c r="R180" s="177"/>
    </row>
    <row r="181">
      <c r="N181" s="177"/>
      <c r="O181" s="177"/>
      <c r="P181" s="177"/>
      <c r="Q181" s="177"/>
      <c r="R181" s="177"/>
    </row>
    <row r="182">
      <c r="N182" s="177"/>
      <c r="O182" s="177"/>
      <c r="P182" s="177"/>
      <c r="Q182" s="177"/>
      <c r="R182" s="177"/>
    </row>
    <row r="183">
      <c r="N183" s="177"/>
      <c r="O183" s="177"/>
      <c r="P183" s="177"/>
      <c r="Q183" s="177"/>
      <c r="R183" s="177"/>
    </row>
    <row r="184">
      <c r="N184" s="177"/>
      <c r="O184" s="177"/>
      <c r="P184" s="177"/>
      <c r="Q184" s="177"/>
      <c r="R184" s="177"/>
    </row>
    <row r="185">
      <c r="N185" s="177"/>
      <c r="O185" s="177"/>
      <c r="P185" s="177"/>
      <c r="Q185" s="177"/>
      <c r="R185" s="177"/>
    </row>
    <row r="186">
      <c r="N186" s="177"/>
      <c r="O186" s="177"/>
      <c r="P186" s="177"/>
      <c r="Q186" s="177"/>
      <c r="R186" s="177"/>
    </row>
    <row r="187">
      <c r="N187" s="177"/>
      <c r="O187" s="177"/>
      <c r="P187" s="177"/>
      <c r="Q187" s="177"/>
      <c r="R187" s="177"/>
    </row>
    <row r="188">
      <c r="N188" s="177"/>
      <c r="O188" s="177"/>
      <c r="P188" s="177"/>
      <c r="Q188" s="177"/>
      <c r="R188" s="177"/>
    </row>
    <row r="189">
      <c r="N189" s="177"/>
      <c r="O189" s="177"/>
      <c r="P189" s="177"/>
      <c r="Q189" s="177"/>
      <c r="R189" s="177"/>
    </row>
    <row r="190">
      <c r="N190" s="177"/>
      <c r="O190" s="177"/>
      <c r="P190" s="177"/>
      <c r="Q190" s="177"/>
      <c r="R190" s="177"/>
    </row>
    <row r="191">
      <c r="N191" s="177"/>
      <c r="O191" s="177"/>
      <c r="P191" s="177"/>
      <c r="Q191" s="177"/>
      <c r="R191" s="177"/>
    </row>
    <row r="192">
      <c r="N192" s="177"/>
      <c r="O192" s="177"/>
      <c r="P192" s="177"/>
      <c r="Q192" s="177"/>
      <c r="R192" s="177"/>
    </row>
    <row r="193">
      <c r="N193" s="177"/>
      <c r="O193" s="177"/>
      <c r="P193" s="177"/>
      <c r="Q193" s="177"/>
      <c r="R193" s="177"/>
    </row>
    <row r="194">
      <c r="N194" s="177"/>
      <c r="O194" s="177"/>
      <c r="P194" s="177"/>
      <c r="Q194" s="177"/>
      <c r="R194" s="177"/>
    </row>
    <row r="195">
      <c r="N195" s="177"/>
      <c r="O195" s="177"/>
      <c r="P195" s="177"/>
      <c r="Q195" s="177"/>
      <c r="R195" s="177"/>
    </row>
    <row r="196">
      <c r="N196" s="177"/>
      <c r="O196" s="177"/>
      <c r="P196" s="177"/>
      <c r="Q196" s="177"/>
      <c r="R196" s="177"/>
    </row>
    <row r="197">
      <c r="N197" s="177"/>
      <c r="O197" s="177"/>
      <c r="P197" s="177"/>
      <c r="Q197" s="177"/>
      <c r="R197" s="177"/>
    </row>
    <row r="198">
      <c r="N198" s="177"/>
      <c r="O198" s="177"/>
      <c r="P198" s="177"/>
      <c r="Q198" s="177"/>
      <c r="R198" s="177"/>
    </row>
    <row r="199">
      <c r="N199" s="177"/>
      <c r="O199" s="177"/>
      <c r="P199" s="177"/>
      <c r="Q199" s="177"/>
      <c r="R199" s="177"/>
    </row>
    <row r="200">
      <c r="N200" s="177"/>
      <c r="O200" s="177"/>
      <c r="P200" s="177"/>
      <c r="Q200" s="177"/>
      <c r="R200" s="177"/>
    </row>
    <row r="201">
      <c r="N201" s="177"/>
      <c r="O201" s="177"/>
      <c r="P201" s="177"/>
      <c r="Q201" s="177"/>
      <c r="R201" s="177"/>
    </row>
    <row r="202">
      <c r="N202" s="177"/>
      <c r="O202" s="177"/>
      <c r="P202" s="177"/>
      <c r="Q202" s="177"/>
      <c r="R202" s="177"/>
    </row>
    <row r="203">
      <c r="N203" s="177"/>
      <c r="O203" s="177"/>
      <c r="P203" s="177"/>
      <c r="Q203" s="177"/>
      <c r="R203" s="177"/>
    </row>
    <row r="204">
      <c r="N204" s="177"/>
      <c r="O204" s="177"/>
      <c r="P204" s="177"/>
      <c r="Q204" s="177"/>
      <c r="R204" s="177"/>
    </row>
    <row r="205">
      <c r="N205" s="177"/>
      <c r="O205" s="177"/>
      <c r="P205" s="177"/>
      <c r="Q205" s="177"/>
      <c r="R205" s="177"/>
    </row>
    <row r="206">
      <c r="N206" s="177"/>
      <c r="O206" s="177"/>
      <c r="P206" s="177"/>
      <c r="Q206" s="177"/>
      <c r="R206" s="177"/>
    </row>
    <row r="207">
      <c r="N207" s="177"/>
      <c r="O207" s="177"/>
      <c r="P207" s="177"/>
      <c r="Q207" s="177"/>
      <c r="R207" s="177"/>
    </row>
    <row r="208">
      <c r="N208" s="177"/>
      <c r="O208" s="177"/>
      <c r="P208" s="177"/>
      <c r="Q208" s="177"/>
      <c r="R208" s="177"/>
    </row>
    <row r="209">
      <c r="N209" s="177"/>
      <c r="O209" s="177"/>
      <c r="P209" s="177"/>
      <c r="Q209" s="177"/>
      <c r="R209" s="177"/>
    </row>
    <row r="210">
      <c r="N210" s="177"/>
      <c r="O210" s="177"/>
      <c r="P210" s="177"/>
      <c r="Q210" s="177"/>
      <c r="R210" s="177"/>
    </row>
    <row r="211">
      <c r="N211" s="177"/>
      <c r="O211" s="177"/>
      <c r="P211" s="177"/>
      <c r="Q211" s="177"/>
      <c r="R211" s="177"/>
    </row>
    <row r="212">
      <c r="N212" s="177"/>
      <c r="O212" s="177"/>
      <c r="P212" s="177"/>
      <c r="Q212" s="177"/>
      <c r="R212" s="177"/>
    </row>
    <row r="213">
      <c r="N213" s="177"/>
      <c r="O213" s="177"/>
      <c r="P213" s="177"/>
      <c r="Q213" s="177"/>
      <c r="R213" s="177"/>
    </row>
    <row r="214">
      <c r="N214" s="177"/>
      <c r="O214" s="177"/>
      <c r="P214" s="177"/>
      <c r="Q214" s="177"/>
      <c r="R214" s="177"/>
    </row>
    <row r="215">
      <c r="N215" s="177"/>
      <c r="O215" s="177"/>
      <c r="P215" s="177"/>
      <c r="Q215" s="177"/>
      <c r="R215" s="177"/>
    </row>
    <row r="216">
      <c r="N216" s="177"/>
      <c r="O216" s="177"/>
      <c r="P216" s="177"/>
      <c r="Q216" s="177"/>
      <c r="R216" s="177"/>
    </row>
    <row r="217">
      <c r="N217" s="177"/>
      <c r="O217" s="177"/>
      <c r="P217" s="177"/>
      <c r="Q217" s="177"/>
      <c r="R217" s="177"/>
    </row>
    <row r="218">
      <c r="N218" s="177"/>
      <c r="O218" s="177"/>
      <c r="P218" s="177"/>
      <c r="Q218" s="177"/>
      <c r="R218" s="177"/>
    </row>
    <row r="219">
      <c r="N219" s="177"/>
      <c r="O219" s="177"/>
      <c r="P219" s="177"/>
      <c r="Q219" s="177"/>
      <c r="R219" s="177"/>
    </row>
    <row r="220">
      <c r="N220" s="177"/>
      <c r="O220" s="177"/>
      <c r="P220" s="177"/>
      <c r="Q220" s="177"/>
      <c r="R220" s="177"/>
    </row>
    <row r="221">
      <c r="N221" s="177"/>
      <c r="O221" s="177"/>
      <c r="P221" s="177"/>
      <c r="Q221" s="177"/>
      <c r="R221" s="177"/>
    </row>
    <row r="222">
      <c r="N222" s="177"/>
      <c r="O222" s="177"/>
      <c r="P222" s="177"/>
      <c r="Q222" s="177"/>
      <c r="R222" s="177"/>
    </row>
    <row r="223">
      <c r="N223" s="177"/>
      <c r="O223" s="177"/>
      <c r="P223" s="177"/>
      <c r="Q223" s="177"/>
      <c r="R223" s="177"/>
    </row>
    <row r="224">
      <c r="N224" s="177"/>
      <c r="O224" s="177"/>
      <c r="P224" s="177"/>
      <c r="Q224" s="177"/>
      <c r="R224" s="177"/>
    </row>
    <row r="225">
      <c r="N225" s="177"/>
      <c r="O225" s="177"/>
      <c r="P225" s="177"/>
      <c r="Q225" s="177"/>
      <c r="R225" s="177"/>
    </row>
    <row r="226">
      <c r="N226" s="177"/>
      <c r="O226" s="177"/>
      <c r="P226" s="177"/>
      <c r="Q226" s="177"/>
      <c r="R226" s="177"/>
    </row>
    <row r="227">
      <c r="N227" s="177"/>
      <c r="O227" s="177"/>
      <c r="P227" s="177"/>
      <c r="Q227" s="177"/>
      <c r="R227" s="177"/>
    </row>
    <row r="228">
      <c r="N228" s="177"/>
      <c r="O228" s="177"/>
      <c r="P228" s="177"/>
      <c r="Q228" s="177"/>
      <c r="R228" s="177"/>
    </row>
    <row r="229">
      <c r="N229" s="177"/>
      <c r="O229" s="177"/>
      <c r="P229" s="177"/>
      <c r="Q229" s="177"/>
      <c r="R229" s="177"/>
    </row>
    <row r="230">
      <c r="N230" s="177"/>
      <c r="O230" s="177"/>
      <c r="P230" s="177"/>
      <c r="Q230" s="177"/>
      <c r="R230" s="177"/>
    </row>
    <row r="231">
      <c r="N231" s="177"/>
      <c r="O231" s="177"/>
      <c r="P231" s="177"/>
      <c r="Q231" s="177"/>
      <c r="R231" s="177"/>
    </row>
    <row r="232">
      <c r="N232" s="177"/>
      <c r="O232" s="177"/>
      <c r="P232" s="177"/>
      <c r="Q232" s="177"/>
      <c r="R232" s="177"/>
    </row>
    <row r="233">
      <c r="N233" s="177"/>
      <c r="O233" s="177"/>
      <c r="P233" s="177"/>
      <c r="Q233" s="177"/>
      <c r="R233" s="177"/>
    </row>
    <row r="234">
      <c r="N234" s="177"/>
      <c r="O234" s="177"/>
      <c r="P234" s="177"/>
      <c r="Q234" s="177"/>
      <c r="R234" s="177"/>
    </row>
    <row r="235">
      <c r="N235" s="177"/>
      <c r="O235" s="177"/>
      <c r="P235" s="177"/>
      <c r="Q235" s="177"/>
      <c r="R235" s="177"/>
    </row>
    <row r="236">
      <c r="N236" s="177"/>
      <c r="O236" s="177"/>
      <c r="P236" s="177"/>
      <c r="Q236" s="177"/>
      <c r="R236" s="177"/>
    </row>
    <row r="237">
      <c r="N237" s="177"/>
      <c r="O237" s="177"/>
      <c r="P237" s="177"/>
      <c r="Q237" s="177"/>
      <c r="R237" s="177"/>
    </row>
    <row r="238">
      <c r="N238" s="177"/>
      <c r="O238" s="177"/>
      <c r="P238" s="177"/>
      <c r="Q238" s="177"/>
      <c r="R238" s="177"/>
    </row>
    <row r="239">
      <c r="N239" s="177"/>
      <c r="O239" s="177"/>
      <c r="P239" s="177"/>
      <c r="Q239" s="177"/>
      <c r="R239" s="177"/>
    </row>
    <row r="240">
      <c r="N240" s="177"/>
      <c r="O240" s="177"/>
      <c r="P240" s="177"/>
      <c r="Q240" s="177"/>
      <c r="R240" s="177"/>
    </row>
    <row r="241">
      <c r="N241" s="177"/>
      <c r="O241" s="177"/>
      <c r="P241" s="177"/>
      <c r="Q241" s="177"/>
      <c r="R241" s="177"/>
    </row>
    <row r="242">
      <c r="N242" s="177"/>
      <c r="O242" s="177"/>
      <c r="P242" s="177"/>
      <c r="Q242" s="177"/>
      <c r="R242" s="177"/>
    </row>
    <row r="243">
      <c r="N243" s="177"/>
      <c r="O243" s="177"/>
      <c r="P243" s="177"/>
      <c r="Q243" s="177"/>
      <c r="R243" s="177"/>
    </row>
    <row r="244">
      <c r="N244" s="177"/>
      <c r="O244" s="177"/>
      <c r="P244" s="177"/>
      <c r="Q244" s="177"/>
      <c r="R244" s="177"/>
    </row>
    <row r="245">
      <c r="N245" s="177"/>
      <c r="O245" s="177"/>
      <c r="P245" s="177"/>
      <c r="Q245" s="177"/>
      <c r="R245" s="177"/>
    </row>
    <row r="246">
      <c r="N246" s="177"/>
      <c r="O246" s="177"/>
      <c r="P246" s="177"/>
      <c r="Q246" s="177"/>
      <c r="R246" s="177"/>
    </row>
    <row r="247">
      <c r="N247" s="177"/>
      <c r="O247" s="177"/>
      <c r="P247" s="177"/>
      <c r="Q247" s="177"/>
      <c r="R247" s="177"/>
    </row>
    <row r="248">
      <c r="N248" s="177"/>
      <c r="O248" s="177"/>
      <c r="P248" s="177"/>
      <c r="Q248" s="177"/>
      <c r="R248" s="177"/>
    </row>
    <row r="249">
      <c r="N249" s="177"/>
      <c r="O249" s="177"/>
      <c r="P249" s="177"/>
      <c r="Q249" s="177"/>
      <c r="R249" s="177"/>
    </row>
    <row r="250">
      <c r="N250" s="177"/>
      <c r="O250" s="177"/>
      <c r="P250" s="177"/>
      <c r="Q250" s="177"/>
      <c r="R250" s="177"/>
    </row>
    <row r="251">
      <c r="N251" s="177"/>
      <c r="O251" s="177"/>
      <c r="P251" s="177"/>
      <c r="Q251" s="177"/>
      <c r="R251" s="177"/>
    </row>
    <row r="252">
      <c r="N252" s="177"/>
      <c r="O252" s="177"/>
      <c r="P252" s="177"/>
      <c r="Q252" s="177"/>
      <c r="R252" s="177"/>
    </row>
    <row r="253">
      <c r="N253" s="177"/>
      <c r="O253" s="177"/>
      <c r="P253" s="177"/>
      <c r="Q253" s="177"/>
      <c r="R253" s="177"/>
    </row>
    <row r="254">
      <c r="N254" s="177"/>
      <c r="O254" s="177"/>
      <c r="P254" s="177"/>
      <c r="Q254" s="177"/>
      <c r="R254" s="177"/>
    </row>
    <row r="255">
      <c r="N255" s="177"/>
      <c r="O255" s="177"/>
      <c r="P255" s="177"/>
      <c r="Q255" s="177"/>
      <c r="R255" s="177"/>
    </row>
    <row r="256">
      <c r="N256" s="177"/>
      <c r="O256" s="177"/>
      <c r="P256" s="177"/>
      <c r="Q256" s="177"/>
      <c r="R256" s="177"/>
    </row>
    <row r="257">
      <c r="N257" s="177"/>
      <c r="O257" s="177"/>
      <c r="P257" s="177"/>
      <c r="Q257" s="177"/>
      <c r="R257" s="177"/>
    </row>
    <row r="258">
      <c r="N258" s="177"/>
      <c r="O258" s="177"/>
      <c r="P258" s="177"/>
      <c r="Q258" s="177"/>
      <c r="R258" s="177"/>
    </row>
    <row r="259">
      <c r="N259" s="177"/>
      <c r="O259" s="177"/>
      <c r="P259" s="177"/>
      <c r="Q259" s="177"/>
      <c r="R259" s="177"/>
    </row>
    <row r="260">
      <c r="N260" s="177"/>
      <c r="O260" s="177"/>
      <c r="P260" s="177"/>
      <c r="Q260" s="177"/>
      <c r="R260" s="177"/>
    </row>
    <row r="261">
      <c r="N261" s="177"/>
      <c r="O261" s="177"/>
      <c r="P261" s="177"/>
      <c r="Q261" s="177"/>
      <c r="R261" s="177"/>
    </row>
    <row r="262">
      <c r="N262" s="177"/>
      <c r="O262" s="177"/>
      <c r="P262" s="177"/>
      <c r="Q262" s="177"/>
      <c r="R262" s="177"/>
    </row>
    <row r="263">
      <c r="N263" s="177"/>
      <c r="O263" s="177"/>
      <c r="P263" s="177"/>
      <c r="Q263" s="177"/>
      <c r="R263" s="177"/>
    </row>
    <row r="264">
      <c r="N264" s="177"/>
      <c r="O264" s="177"/>
      <c r="P264" s="177"/>
      <c r="Q264" s="177"/>
      <c r="R264" s="177"/>
    </row>
    <row r="265">
      <c r="N265" s="177"/>
      <c r="O265" s="177"/>
      <c r="P265" s="177"/>
      <c r="Q265" s="177"/>
      <c r="R265" s="177"/>
    </row>
    <row r="266">
      <c r="N266" s="177"/>
      <c r="O266" s="177"/>
      <c r="P266" s="177"/>
      <c r="Q266" s="177"/>
      <c r="R266" s="177"/>
    </row>
    <row r="267">
      <c r="N267" s="177"/>
      <c r="O267" s="177"/>
      <c r="P267" s="177"/>
      <c r="Q267" s="177"/>
      <c r="R267" s="177"/>
    </row>
    <row r="268">
      <c r="N268" s="177"/>
      <c r="O268" s="177"/>
      <c r="P268" s="177"/>
      <c r="Q268" s="177"/>
      <c r="R268" s="177"/>
    </row>
    <row r="269">
      <c r="N269" s="177"/>
      <c r="O269" s="177"/>
      <c r="P269" s="177"/>
      <c r="Q269" s="177"/>
      <c r="R269" s="177"/>
    </row>
    <row r="270">
      <c r="N270" s="177"/>
      <c r="O270" s="177"/>
      <c r="P270" s="177"/>
      <c r="Q270" s="177"/>
      <c r="R270" s="177"/>
    </row>
    <row r="271">
      <c r="N271" s="177"/>
      <c r="O271" s="177"/>
      <c r="P271" s="177"/>
      <c r="Q271" s="177"/>
      <c r="R271" s="177"/>
    </row>
    <row r="272">
      <c r="N272" s="177"/>
      <c r="O272" s="177"/>
      <c r="P272" s="177"/>
      <c r="Q272" s="177"/>
      <c r="R272" s="177"/>
    </row>
    <row r="273">
      <c r="N273" s="177"/>
      <c r="O273" s="177"/>
      <c r="P273" s="177"/>
      <c r="Q273" s="177"/>
      <c r="R273" s="177"/>
    </row>
    <row r="274">
      <c r="N274" s="177"/>
      <c r="O274" s="177"/>
      <c r="P274" s="177"/>
      <c r="Q274" s="177"/>
      <c r="R274" s="177"/>
    </row>
    <row r="275">
      <c r="N275" s="177"/>
      <c r="O275" s="177"/>
      <c r="P275" s="177"/>
      <c r="Q275" s="177"/>
      <c r="R275" s="177"/>
    </row>
    <row r="276">
      <c r="N276" s="177"/>
      <c r="O276" s="177"/>
      <c r="P276" s="177"/>
      <c r="Q276" s="177"/>
      <c r="R276" s="177"/>
    </row>
    <row r="277">
      <c r="N277" s="177"/>
      <c r="O277" s="177"/>
      <c r="P277" s="177"/>
      <c r="Q277" s="177"/>
      <c r="R277" s="177"/>
    </row>
    <row r="278">
      <c r="N278" s="177"/>
      <c r="O278" s="177"/>
      <c r="P278" s="177"/>
      <c r="Q278" s="177"/>
      <c r="R278" s="177"/>
    </row>
    <row r="279">
      <c r="N279" s="177"/>
      <c r="O279" s="177"/>
      <c r="P279" s="177"/>
      <c r="Q279" s="177"/>
      <c r="R279" s="177"/>
    </row>
    <row r="280">
      <c r="N280" s="177"/>
      <c r="O280" s="177"/>
      <c r="P280" s="177"/>
      <c r="Q280" s="177"/>
      <c r="R280" s="177"/>
    </row>
    <row r="281">
      <c r="N281" s="177"/>
      <c r="O281" s="177"/>
      <c r="P281" s="177"/>
      <c r="Q281" s="177"/>
      <c r="R281" s="177"/>
    </row>
    <row r="282">
      <c r="N282" s="177"/>
      <c r="O282" s="177"/>
      <c r="P282" s="177"/>
      <c r="Q282" s="177"/>
      <c r="R282" s="177"/>
    </row>
    <row r="283">
      <c r="N283" s="177"/>
      <c r="O283" s="177"/>
      <c r="P283" s="177"/>
      <c r="Q283" s="177"/>
      <c r="R283" s="177"/>
    </row>
    <row r="284">
      <c r="N284" s="177"/>
      <c r="O284" s="177"/>
      <c r="P284" s="177"/>
      <c r="Q284" s="177"/>
      <c r="R284" s="177"/>
    </row>
    <row r="285">
      <c r="N285" s="177"/>
      <c r="O285" s="177"/>
      <c r="P285" s="177"/>
      <c r="Q285" s="177"/>
      <c r="R285" s="177"/>
    </row>
    <row r="286">
      <c r="N286" s="177"/>
      <c r="O286" s="177"/>
      <c r="P286" s="177"/>
      <c r="Q286" s="177"/>
      <c r="R286" s="177"/>
    </row>
    <row r="287">
      <c r="N287" s="177"/>
      <c r="O287" s="177"/>
      <c r="P287" s="177"/>
      <c r="Q287" s="177"/>
      <c r="R287" s="177"/>
    </row>
    <row r="288">
      <c r="N288" s="177"/>
      <c r="O288" s="177"/>
      <c r="P288" s="177"/>
      <c r="Q288" s="177"/>
      <c r="R288" s="177"/>
    </row>
    <row r="289">
      <c r="N289" s="177"/>
      <c r="O289" s="177"/>
      <c r="P289" s="177"/>
      <c r="Q289" s="177"/>
      <c r="R289" s="177"/>
    </row>
    <row r="290">
      <c r="N290" s="177"/>
      <c r="O290" s="177"/>
      <c r="P290" s="177"/>
      <c r="Q290" s="177"/>
      <c r="R290" s="177"/>
    </row>
    <row r="291">
      <c r="N291" s="177"/>
      <c r="O291" s="177"/>
      <c r="P291" s="177"/>
      <c r="Q291" s="177"/>
      <c r="R291" s="177"/>
    </row>
    <row r="292">
      <c r="N292" s="177"/>
      <c r="O292" s="177"/>
      <c r="P292" s="177"/>
      <c r="Q292" s="177"/>
      <c r="R292" s="177"/>
    </row>
    <row r="293">
      <c r="N293" s="177"/>
      <c r="O293" s="177"/>
      <c r="P293" s="177"/>
      <c r="Q293" s="177"/>
      <c r="R293" s="177"/>
    </row>
    <row r="294">
      <c r="N294" s="177"/>
      <c r="O294" s="177"/>
      <c r="P294" s="177"/>
      <c r="Q294" s="177"/>
      <c r="R294" s="177"/>
    </row>
    <row r="295">
      <c r="N295" s="177"/>
      <c r="O295" s="177"/>
      <c r="P295" s="177"/>
      <c r="Q295" s="177"/>
      <c r="R295" s="177"/>
    </row>
    <row r="296">
      <c r="N296" s="177"/>
      <c r="O296" s="177"/>
      <c r="P296" s="177"/>
      <c r="Q296" s="177"/>
      <c r="R296" s="177"/>
    </row>
    <row r="297">
      <c r="N297" s="177"/>
      <c r="O297" s="177"/>
      <c r="P297" s="177"/>
      <c r="Q297" s="177"/>
      <c r="R297" s="177"/>
    </row>
    <row r="298">
      <c r="N298" s="177"/>
      <c r="O298" s="177"/>
      <c r="P298" s="177"/>
      <c r="Q298" s="177"/>
      <c r="R298" s="177"/>
    </row>
    <row r="299">
      <c r="N299" s="177"/>
      <c r="O299" s="177"/>
      <c r="P299" s="177"/>
      <c r="Q299" s="177"/>
      <c r="R299" s="177"/>
    </row>
    <row r="300">
      <c r="N300" s="177"/>
      <c r="O300" s="177"/>
      <c r="P300" s="177"/>
      <c r="Q300" s="177"/>
      <c r="R300" s="177"/>
    </row>
    <row r="301">
      <c r="N301" s="177"/>
      <c r="O301" s="177"/>
      <c r="P301" s="177"/>
      <c r="Q301" s="177"/>
      <c r="R301" s="177"/>
    </row>
    <row r="302">
      <c r="N302" s="177"/>
      <c r="O302" s="177"/>
      <c r="P302" s="177"/>
      <c r="Q302" s="177"/>
      <c r="R302" s="177"/>
    </row>
    <row r="303">
      <c r="N303" s="177"/>
      <c r="O303" s="177"/>
      <c r="P303" s="177"/>
      <c r="Q303" s="177"/>
      <c r="R303" s="177"/>
    </row>
    <row r="304">
      <c r="N304" s="177"/>
      <c r="O304" s="177"/>
      <c r="P304" s="177"/>
      <c r="Q304" s="177"/>
      <c r="R304" s="177"/>
    </row>
    <row r="305">
      <c r="N305" s="177"/>
      <c r="O305" s="177"/>
      <c r="P305" s="177"/>
      <c r="Q305" s="177"/>
      <c r="R305" s="177"/>
    </row>
    <row r="306">
      <c r="N306" s="177"/>
      <c r="O306" s="177"/>
      <c r="P306" s="177"/>
      <c r="Q306" s="177"/>
      <c r="R306" s="177"/>
    </row>
    <row r="307">
      <c r="N307" s="177"/>
      <c r="O307" s="177"/>
      <c r="P307" s="177"/>
      <c r="Q307" s="177"/>
      <c r="R307" s="177"/>
    </row>
    <row r="308">
      <c r="N308" s="177"/>
      <c r="O308" s="177"/>
      <c r="P308" s="177"/>
      <c r="Q308" s="177"/>
      <c r="R308" s="177"/>
    </row>
    <row r="309">
      <c r="N309" s="177"/>
      <c r="O309" s="177"/>
      <c r="P309" s="177"/>
      <c r="Q309" s="177"/>
      <c r="R309" s="177"/>
    </row>
    <row r="310">
      <c r="N310" s="177"/>
      <c r="O310" s="177"/>
      <c r="P310" s="177"/>
      <c r="Q310" s="177"/>
      <c r="R310" s="177"/>
    </row>
    <row r="311">
      <c r="N311" s="177"/>
      <c r="O311" s="177"/>
      <c r="P311" s="177"/>
      <c r="Q311" s="177"/>
      <c r="R311" s="177"/>
    </row>
    <row r="312">
      <c r="N312" s="177"/>
      <c r="O312" s="177"/>
      <c r="P312" s="177"/>
      <c r="Q312" s="177"/>
      <c r="R312" s="177"/>
    </row>
    <row r="313">
      <c r="N313" s="177"/>
      <c r="O313" s="177"/>
      <c r="P313" s="177"/>
      <c r="Q313" s="177"/>
      <c r="R313" s="177"/>
    </row>
    <row r="314">
      <c r="N314" s="177"/>
      <c r="O314" s="177"/>
      <c r="P314" s="177"/>
      <c r="Q314" s="177"/>
      <c r="R314" s="177"/>
    </row>
    <row r="315">
      <c r="N315" s="177"/>
      <c r="O315" s="177"/>
      <c r="P315" s="177"/>
      <c r="Q315" s="177"/>
      <c r="R315" s="177"/>
    </row>
    <row r="316">
      <c r="N316" s="177"/>
      <c r="O316" s="177"/>
      <c r="P316" s="177"/>
      <c r="Q316" s="177"/>
      <c r="R316" s="177"/>
    </row>
    <row r="317">
      <c r="N317" s="177"/>
      <c r="O317" s="177"/>
      <c r="P317" s="177"/>
      <c r="Q317" s="177"/>
      <c r="R317" s="177"/>
    </row>
    <row r="318">
      <c r="N318" s="177"/>
      <c r="O318" s="177"/>
      <c r="P318" s="177"/>
      <c r="Q318" s="177"/>
      <c r="R318" s="177"/>
    </row>
    <row r="319">
      <c r="N319" s="177"/>
      <c r="O319" s="177"/>
      <c r="P319" s="177"/>
      <c r="Q319" s="177"/>
      <c r="R319" s="177"/>
    </row>
    <row r="320">
      <c r="N320" s="177"/>
      <c r="O320" s="177"/>
      <c r="P320" s="177"/>
      <c r="Q320" s="177"/>
      <c r="R320" s="177"/>
    </row>
    <row r="321">
      <c r="N321" s="177"/>
      <c r="O321" s="177"/>
      <c r="P321" s="177"/>
      <c r="Q321" s="177"/>
      <c r="R321" s="177"/>
    </row>
    <row r="322">
      <c r="N322" s="177"/>
      <c r="O322" s="177"/>
      <c r="P322" s="177"/>
      <c r="Q322" s="177"/>
      <c r="R322" s="177"/>
    </row>
    <row r="323">
      <c r="N323" s="177"/>
      <c r="O323" s="177"/>
      <c r="P323" s="177"/>
      <c r="Q323" s="177"/>
      <c r="R323" s="177"/>
    </row>
    <row r="324">
      <c r="N324" s="177"/>
      <c r="O324" s="177"/>
      <c r="P324" s="177"/>
      <c r="Q324" s="177"/>
      <c r="R324" s="177"/>
    </row>
    <row r="325">
      <c r="N325" s="177"/>
      <c r="O325" s="177"/>
      <c r="P325" s="177"/>
      <c r="Q325" s="177"/>
      <c r="R325" s="177"/>
    </row>
    <row r="326">
      <c r="N326" s="177"/>
      <c r="O326" s="177"/>
      <c r="P326" s="177"/>
      <c r="Q326" s="177"/>
      <c r="R326" s="177"/>
    </row>
    <row r="327">
      <c r="N327" s="177"/>
      <c r="O327" s="177"/>
      <c r="P327" s="177"/>
      <c r="Q327" s="177"/>
      <c r="R327" s="177"/>
    </row>
    <row r="328">
      <c r="N328" s="177"/>
      <c r="O328" s="177"/>
      <c r="P328" s="177"/>
      <c r="Q328" s="177"/>
      <c r="R328" s="177"/>
    </row>
    <row r="329">
      <c r="N329" s="177"/>
      <c r="O329" s="177"/>
      <c r="P329" s="177"/>
      <c r="Q329" s="177"/>
      <c r="R329" s="177"/>
    </row>
    <row r="330">
      <c r="N330" s="177"/>
      <c r="O330" s="177"/>
      <c r="P330" s="177"/>
      <c r="Q330" s="177"/>
      <c r="R330" s="177"/>
    </row>
    <row r="331">
      <c r="N331" s="177"/>
      <c r="O331" s="177"/>
      <c r="P331" s="177"/>
      <c r="Q331" s="177"/>
      <c r="R331" s="177"/>
    </row>
    <row r="332">
      <c r="N332" s="177"/>
      <c r="O332" s="177"/>
      <c r="P332" s="177"/>
      <c r="Q332" s="177"/>
      <c r="R332" s="177"/>
    </row>
    <row r="333">
      <c r="N333" s="177"/>
      <c r="O333" s="177"/>
      <c r="P333" s="177"/>
      <c r="Q333" s="177"/>
      <c r="R333" s="177"/>
    </row>
    <row r="334">
      <c r="N334" s="177"/>
      <c r="O334" s="177"/>
      <c r="P334" s="177"/>
      <c r="Q334" s="177"/>
      <c r="R334" s="177"/>
    </row>
    <row r="335">
      <c r="N335" s="177"/>
      <c r="O335" s="177"/>
      <c r="P335" s="177"/>
      <c r="Q335" s="177"/>
      <c r="R335" s="177"/>
    </row>
    <row r="336">
      <c r="N336" s="177"/>
      <c r="O336" s="177"/>
      <c r="P336" s="177"/>
      <c r="Q336" s="177"/>
      <c r="R336" s="177"/>
    </row>
    <row r="337">
      <c r="N337" s="177"/>
      <c r="O337" s="177"/>
      <c r="P337" s="177"/>
      <c r="Q337" s="177"/>
      <c r="R337" s="177"/>
    </row>
    <row r="338">
      <c r="N338" s="177"/>
      <c r="O338" s="177"/>
      <c r="P338" s="177"/>
      <c r="Q338" s="177"/>
      <c r="R338" s="177"/>
    </row>
    <row r="339">
      <c r="N339" s="177"/>
      <c r="O339" s="177"/>
      <c r="P339" s="177"/>
      <c r="Q339" s="177"/>
      <c r="R339" s="177"/>
    </row>
    <row r="340">
      <c r="N340" s="177"/>
      <c r="O340" s="177"/>
      <c r="P340" s="177"/>
      <c r="Q340" s="177"/>
      <c r="R340" s="177"/>
    </row>
    <row r="341">
      <c r="N341" s="177"/>
      <c r="O341" s="177"/>
      <c r="P341" s="177"/>
      <c r="Q341" s="177"/>
      <c r="R341" s="177"/>
    </row>
    <row r="342">
      <c r="N342" s="177"/>
      <c r="O342" s="177"/>
      <c r="P342" s="177"/>
      <c r="Q342" s="177"/>
      <c r="R342" s="177"/>
    </row>
    <row r="343">
      <c r="N343" s="177"/>
      <c r="O343" s="177"/>
      <c r="P343" s="177"/>
      <c r="Q343" s="177"/>
      <c r="R343" s="177"/>
    </row>
    <row r="344">
      <c r="N344" s="177"/>
      <c r="O344" s="177"/>
      <c r="P344" s="177"/>
      <c r="Q344" s="177"/>
      <c r="R344" s="177"/>
    </row>
    <row r="345">
      <c r="N345" s="177"/>
      <c r="O345" s="177"/>
      <c r="P345" s="177"/>
      <c r="Q345" s="177"/>
      <c r="R345" s="177"/>
    </row>
    <row r="346">
      <c r="N346" s="177"/>
      <c r="O346" s="177"/>
      <c r="P346" s="177"/>
      <c r="Q346" s="177"/>
      <c r="R346" s="177"/>
    </row>
    <row r="347">
      <c r="N347" s="177"/>
      <c r="O347" s="177"/>
      <c r="P347" s="177"/>
      <c r="Q347" s="177"/>
      <c r="R347" s="177"/>
    </row>
    <row r="348">
      <c r="N348" s="177"/>
      <c r="O348" s="177"/>
      <c r="P348" s="177"/>
      <c r="Q348" s="177"/>
      <c r="R348" s="177"/>
    </row>
    <row r="349">
      <c r="N349" s="177"/>
      <c r="O349" s="177"/>
      <c r="P349" s="177"/>
      <c r="Q349" s="177"/>
      <c r="R349" s="177"/>
    </row>
    <row r="350">
      <c r="N350" s="177"/>
      <c r="O350" s="177"/>
      <c r="P350" s="177"/>
      <c r="Q350" s="177"/>
      <c r="R350" s="177"/>
    </row>
    <row r="351">
      <c r="N351" s="177"/>
      <c r="O351" s="177"/>
      <c r="P351" s="177"/>
      <c r="Q351" s="177"/>
      <c r="R351" s="177"/>
    </row>
    <row r="352">
      <c r="N352" s="177"/>
      <c r="O352" s="177"/>
      <c r="P352" s="177"/>
      <c r="Q352" s="177"/>
      <c r="R352" s="177"/>
    </row>
    <row r="353">
      <c r="N353" s="177"/>
      <c r="O353" s="177"/>
      <c r="P353" s="177"/>
      <c r="Q353" s="177"/>
      <c r="R353" s="177"/>
    </row>
    <row r="354">
      <c r="N354" s="177"/>
      <c r="O354" s="177"/>
      <c r="P354" s="177"/>
      <c r="Q354" s="177"/>
      <c r="R354" s="177"/>
    </row>
    <row r="355">
      <c r="N355" s="177"/>
      <c r="O355" s="177"/>
      <c r="P355" s="177"/>
      <c r="Q355" s="177"/>
      <c r="R355" s="177"/>
    </row>
    <row r="356">
      <c r="N356" s="177"/>
      <c r="O356" s="177"/>
      <c r="P356" s="177"/>
      <c r="Q356" s="177"/>
      <c r="R356" s="177"/>
    </row>
    <row r="357">
      <c r="N357" s="177"/>
      <c r="O357" s="177"/>
      <c r="P357" s="177"/>
      <c r="Q357" s="177"/>
      <c r="R357" s="177"/>
    </row>
    <row r="358">
      <c r="N358" s="177"/>
      <c r="O358" s="177"/>
      <c r="P358" s="177"/>
      <c r="Q358" s="177"/>
      <c r="R358" s="177"/>
    </row>
    <row r="359">
      <c r="N359" s="177"/>
      <c r="O359" s="177"/>
      <c r="P359" s="177"/>
      <c r="Q359" s="177"/>
      <c r="R359" s="177"/>
    </row>
    <row r="360">
      <c r="N360" s="177"/>
      <c r="O360" s="177"/>
      <c r="P360" s="177"/>
      <c r="Q360" s="177"/>
      <c r="R360" s="177"/>
    </row>
    <row r="361">
      <c r="N361" s="177"/>
      <c r="O361" s="177"/>
      <c r="P361" s="177"/>
      <c r="Q361" s="177"/>
      <c r="R361" s="177"/>
    </row>
    <row r="362">
      <c r="N362" s="177"/>
      <c r="O362" s="177"/>
      <c r="P362" s="177"/>
      <c r="Q362" s="177"/>
      <c r="R362" s="177"/>
    </row>
    <row r="363">
      <c r="N363" s="177"/>
      <c r="O363" s="177"/>
      <c r="P363" s="177"/>
      <c r="Q363" s="177"/>
      <c r="R363" s="177"/>
    </row>
    <row r="364">
      <c r="N364" s="177"/>
      <c r="O364" s="177"/>
      <c r="P364" s="177"/>
      <c r="Q364" s="177"/>
      <c r="R364" s="177"/>
    </row>
    <row r="365">
      <c r="N365" s="177"/>
      <c r="O365" s="177"/>
      <c r="P365" s="177"/>
      <c r="Q365" s="177"/>
      <c r="R365" s="177"/>
    </row>
    <row r="366">
      <c r="N366" s="177"/>
      <c r="O366" s="177"/>
      <c r="P366" s="177"/>
      <c r="Q366" s="177"/>
      <c r="R366" s="177"/>
    </row>
    <row r="367">
      <c r="N367" s="177"/>
      <c r="O367" s="177"/>
      <c r="P367" s="177"/>
      <c r="Q367" s="177"/>
      <c r="R367" s="177"/>
    </row>
    <row r="368">
      <c r="N368" s="177"/>
      <c r="O368" s="177"/>
      <c r="P368" s="177"/>
      <c r="Q368" s="177"/>
      <c r="R368" s="177"/>
    </row>
    <row r="369">
      <c r="N369" s="177"/>
      <c r="O369" s="177"/>
      <c r="P369" s="177"/>
      <c r="Q369" s="177"/>
      <c r="R369" s="177"/>
    </row>
    <row r="370">
      <c r="N370" s="177"/>
      <c r="O370" s="177"/>
      <c r="P370" s="177"/>
      <c r="Q370" s="177"/>
      <c r="R370" s="177"/>
    </row>
    <row r="371">
      <c r="N371" s="177"/>
      <c r="O371" s="177"/>
      <c r="P371" s="177"/>
      <c r="Q371" s="177"/>
      <c r="R371" s="177"/>
    </row>
    <row r="372">
      <c r="N372" s="177"/>
      <c r="O372" s="177"/>
      <c r="P372" s="177"/>
      <c r="Q372" s="177"/>
      <c r="R372" s="177"/>
    </row>
    <row r="373">
      <c r="N373" s="177"/>
      <c r="O373" s="177"/>
      <c r="P373" s="177"/>
      <c r="Q373" s="177"/>
      <c r="R373" s="177"/>
    </row>
    <row r="374">
      <c r="N374" s="177"/>
      <c r="O374" s="177"/>
      <c r="P374" s="177"/>
      <c r="Q374" s="177"/>
      <c r="R374" s="177"/>
    </row>
    <row r="375">
      <c r="N375" s="177"/>
      <c r="O375" s="177"/>
      <c r="P375" s="177"/>
      <c r="Q375" s="177"/>
      <c r="R375" s="177"/>
    </row>
    <row r="376">
      <c r="N376" s="177"/>
      <c r="O376" s="177"/>
      <c r="P376" s="177"/>
      <c r="Q376" s="177"/>
      <c r="R376" s="177"/>
    </row>
    <row r="377">
      <c r="N377" s="177"/>
      <c r="O377" s="177"/>
      <c r="P377" s="177"/>
      <c r="Q377" s="177"/>
      <c r="R377" s="177"/>
    </row>
    <row r="378">
      <c r="N378" s="177"/>
      <c r="O378" s="177"/>
      <c r="P378" s="177"/>
      <c r="Q378" s="177"/>
      <c r="R378" s="177"/>
    </row>
    <row r="379">
      <c r="N379" s="177"/>
      <c r="O379" s="177"/>
      <c r="P379" s="177"/>
      <c r="Q379" s="177"/>
      <c r="R379" s="177"/>
    </row>
    <row r="380">
      <c r="N380" s="177"/>
      <c r="O380" s="177"/>
      <c r="P380" s="177"/>
      <c r="Q380" s="177"/>
      <c r="R380" s="177"/>
    </row>
    <row r="381">
      <c r="N381" s="177"/>
      <c r="O381" s="177"/>
      <c r="P381" s="177"/>
      <c r="Q381" s="177"/>
      <c r="R381" s="177"/>
    </row>
    <row r="382">
      <c r="N382" s="177"/>
      <c r="O382" s="177"/>
      <c r="P382" s="177"/>
      <c r="Q382" s="177"/>
      <c r="R382" s="177"/>
    </row>
    <row r="383">
      <c r="N383" s="177"/>
      <c r="O383" s="177"/>
      <c r="P383" s="177"/>
      <c r="Q383" s="177"/>
      <c r="R383" s="177"/>
    </row>
    <row r="384">
      <c r="N384" s="177"/>
      <c r="O384" s="177"/>
      <c r="P384" s="177"/>
      <c r="Q384" s="177"/>
      <c r="R384" s="177"/>
    </row>
    <row r="385">
      <c r="N385" s="177"/>
      <c r="O385" s="177"/>
      <c r="P385" s="177"/>
      <c r="Q385" s="177"/>
      <c r="R385" s="177"/>
    </row>
    <row r="386">
      <c r="N386" s="177"/>
      <c r="O386" s="177"/>
      <c r="P386" s="177"/>
      <c r="Q386" s="177"/>
      <c r="R386" s="177"/>
    </row>
    <row r="387">
      <c r="N387" s="177"/>
      <c r="O387" s="177"/>
      <c r="P387" s="177"/>
      <c r="Q387" s="177"/>
      <c r="R387" s="177"/>
    </row>
    <row r="388">
      <c r="N388" s="177"/>
      <c r="O388" s="177"/>
      <c r="P388" s="177"/>
      <c r="Q388" s="177"/>
      <c r="R388" s="177"/>
    </row>
    <row r="389">
      <c r="N389" s="177"/>
      <c r="O389" s="177"/>
      <c r="P389" s="177"/>
      <c r="Q389" s="177"/>
      <c r="R389" s="177"/>
    </row>
    <row r="390">
      <c r="N390" s="177"/>
      <c r="O390" s="177"/>
      <c r="P390" s="177"/>
      <c r="Q390" s="177"/>
      <c r="R390" s="177"/>
    </row>
    <row r="391">
      <c r="N391" s="177"/>
      <c r="O391" s="177"/>
      <c r="P391" s="177"/>
      <c r="Q391" s="177"/>
      <c r="R391" s="177"/>
    </row>
    <row r="392">
      <c r="N392" s="177"/>
      <c r="O392" s="177"/>
      <c r="P392" s="177"/>
      <c r="Q392" s="177"/>
      <c r="R392" s="177"/>
    </row>
    <row r="393">
      <c r="N393" s="177"/>
      <c r="O393" s="177"/>
      <c r="P393" s="177"/>
      <c r="Q393" s="177"/>
      <c r="R393" s="177"/>
    </row>
    <row r="394">
      <c r="N394" s="177"/>
      <c r="O394" s="177"/>
      <c r="P394" s="177"/>
      <c r="Q394" s="177"/>
      <c r="R394" s="177"/>
    </row>
    <row r="395">
      <c r="N395" s="177"/>
      <c r="O395" s="177"/>
      <c r="P395" s="177"/>
      <c r="Q395" s="177"/>
      <c r="R395" s="177"/>
    </row>
    <row r="396">
      <c r="N396" s="177"/>
      <c r="O396" s="177"/>
      <c r="P396" s="177"/>
      <c r="Q396" s="177"/>
      <c r="R396" s="177"/>
    </row>
    <row r="397">
      <c r="N397" s="177"/>
      <c r="O397" s="177"/>
      <c r="P397" s="177"/>
      <c r="Q397" s="177"/>
      <c r="R397" s="177"/>
    </row>
    <row r="398">
      <c r="N398" s="177"/>
      <c r="O398" s="177"/>
      <c r="P398" s="177"/>
      <c r="Q398" s="177"/>
      <c r="R398" s="177"/>
    </row>
    <row r="399">
      <c r="N399" s="177"/>
      <c r="O399" s="177"/>
      <c r="P399" s="177"/>
      <c r="Q399" s="177"/>
      <c r="R399" s="177"/>
    </row>
    <row r="400">
      <c r="N400" s="177"/>
      <c r="O400" s="177"/>
      <c r="P400" s="177"/>
      <c r="Q400" s="177"/>
      <c r="R400" s="177"/>
    </row>
    <row r="401">
      <c r="N401" s="177"/>
      <c r="O401" s="177"/>
      <c r="P401" s="177"/>
      <c r="Q401" s="177"/>
      <c r="R401" s="177"/>
    </row>
    <row r="402">
      <c r="N402" s="177"/>
      <c r="O402" s="177"/>
      <c r="P402" s="177"/>
      <c r="Q402" s="177"/>
      <c r="R402" s="177"/>
    </row>
    <row r="403">
      <c r="N403" s="177"/>
      <c r="O403" s="177"/>
      <c r="P403" s="177"/>
      <c r="Q403" s="177"/>
      <c r="R403" s="177"/>
    </row>
    <row r="404">
      <c r="N404" s="177"/>
      <c r="O404" s="177"/>
      <c r="P404" s="177"/>
      <c r="Q404" s="177"/>
      <c r="R404" s="177"/>
    </row>
    <row r="405">
      <c r="N405" s="177"/>
      <c r="O405" s="177"/>
      <c r="P405" s="177"/>
      <c r="Q405" s="177"/>
      <c r="R405" s="177"/>
    </row>
    <row r="406">
      <c r="N406" s="177"/>
      <c r="O406" s="177"/>
      <c r="P406" s="177"/>
      <c r="Q406" s="177"/>
      <c r="R406" s="177"/>
    </row>
    <row r="407">
      <c r="N407" s="177"/>
      <c r="O407" s="177"/>
      <c r="P407" s="177"/>
      <c r="Q407" s="177"/>
      <c r="R407" s="177"/>
    </row>
    <row r="408">
      <c r="N408" s="177"/>
      <c r="O408" s="177"/>
      <c r="P408" s="177"/>
      <c r="Q408" s="177"/>
      <c r="R408" s="177"/>
    </row>
    <row r="409">
      <c r="N409" s="177"/>
      <c r="O409" s="177"/>
      <c r="P409" s="177"/>
      <c r="Q409" s="177"/>
      <c r="R409" s="177"/>
    </row>
    <row r="410">
      <c r="N410" s="177"/>
      <c r="O410" s="177"/>
      <c r="P410" s="177"/>
      <c r="Q410" s="177"/>
      <c r="R410" s="177"/>
    </row>
    <row r="411">
      <c r="N411" s="177"/>
      <c r="O411" s="177"/>
      <c r="P411" s="177"/>
      <c r="Q411" s="177"/>
      <c r="R411" s="177"/>
    </row>
    <row r="412">
      <c r="N412" s="177"/>
      <c r="O412" s="177"/>
      <c r="P412" s="177"/>
      <c r="Q412" s="177"/>
      <c r="R412" s="177"/>
    </row>
    <row r="413">
      <c r="N413" s="177"/>
      <c r="O413" s="177"/>
      <c r="P413" s="177"/>
      <c r="Q413" s="177"/>
      <c r="R413" s="177"/>
    </row>
    <row r="414">
      <c r="N414" s="177"/>
      <c r="O414" s="177"/>
      <c r="P414" s="177"/>
      <c r="Q414" s="177"/>
      <c r="R414" s="177"/>
    </row>
    <row r="415">
      <c r="N415" s="177"/>
      <c r="O415" s="177"/>
      <c r="P415" s="177"/>
      <c r="Q415" s="177"/>
      <c r="R415" s="177"/>
    </row>
    <row r="416">
      <c r="N416" s="177"/>
      <c r="O416" s="177"/>
      <c r="P416" s="177"/>
      <c r="Q416" s="177"/>
      <c r="R416" s="177"/>
    </row>
    <row r="417">
      <c r="N417" s="177"/>
      <c r="O417" s="177"/>
      <c r="P417" s="177"/>
      <c r="Q417" s="177"/>
      <c r="R417" s="177"/>
    </row>
    <row r="418">
      <c r="N418" s="177"/>
      <c r="O418" s="177"/>
      <c r="P418" s="177"/>
      <c r="Q418" s="177"/>
      <c r="R418" s="177"/>
    </row>
    <row r="419">
      <c r="N419" s="177"/>
      <c r="O419" s="177"/>
      <c r="P419" s="177"/>
      <c r="Q419" s="177"/>
      <c r="R419" s="177"/>
    </row>
    <row r="420">
      <c r="N420" s="177"/>
      <c r="O420" s="177"/>
      <c r="P420" s="177"/>
      <c r="Q420" s="177"/>
      <c r="R420" s="177"/>
    </row>
    <row r="421">
      <c r="N421" s="177"/>
      <c r="O421" s="177"/>
      <c r="P421" s="177"/>
      <c r="Q421" s="177"/>
      <c r="R421" s="177"/>
    </row>
    <row r="422">
      <c r="N422" s="177"/>
      <c r="O422" s="177"/>
      <c r="P422" s="177"/>
      <c r="Q422" s="177"/>
      <c r="R422" s="177"/>
    </row>
    <row r="423">
      <c r="N423" s="177"/>
      <c r="O423" s="177"/>
      <c r="P423" s="177"/>
      <c r="Q423" s="177"/>
      <c r="R423" s="177"/>
    </row>
    <row r="424">
      <c r="N424" s="177"/>
      <c r="O424" s="177"/>
      <c r="P424" s="177"/>
      <c r="Q424" s="177"/>
      <c r="R424" s="177"/>
    </row>
    <row r="425">
      <c r="N425" s="177"/>
      <c r="O425" s="177"/>
      <c r="P425" s="177"/>
      <c r="Q425" s="177"/>
      <c r="R425" s="177"/>
    </row>
    <row r="426">
      <c r="N426" s="177"/>
      <c r="O426" s="177"/>
      <c r="P426" s="177"/>
      <c r="Q426" s="177"/>
      <c r="R426" s="177"/>
    </row>
    <row r="427">
      <c r="N427" s="177"/>
      <c r="O427" s="177"/>
      <c r="P427" s="177"/>
      <c r="Q427" s="177"/>
      <c r="R427" s="177"/>
    </row>
    <row r="428">
      <c r="N428" s="177"/>
      <c r="O428" s="177"/>
      <c r="P428" s="177"/>
      <c r="Q428" s="177"/>
      <c r="R428" s="177"/>
    </row>
    <row r="429">
      <c r="N429" s="177"/>
      <c r="O429" s="177"/>
      <c r="P429" s="177"/>
      <c r="Q429" s="177"/>
      <c r="R429" s="177"/>
    </row>
    <row r="430">
      <c r="N430" s="177"/>
      <c r="O430" s="177"/>
      <c r="P430" s="177"/>
      <c r="Q430" s="177"/>
      <c r="R430" s="177"/>
    </row>
    <row r="431">
      <c r="N431" s="177"/>
      <c r="O431" s="177"/>
      <c r="P431" s="177"/>
      <c r="Q431" s="177"/>
      <c r="R431" s="177"/>
    </row>
    <row r="432">
      <c r="N432" s="177"/>
      <c r="O432" s="177"/>
      <c r="P432" s="177"/>
      <c r="Q432" s="177"/>
      <c r="R432" s="177"/>
    </row>
    <row r="433">
      <c r="N433" s="177"/>
      <c r="O433" s="177"/>
      <c r="P433" s="177"/>
      <c r="Q433" s="177"/>
      <c r="R433" s="177"/>
    </row>
    <row r="434">
      <c r="N434" s="177"/>
      <c r="O434" s="177"/>
      <c r="P434" s="177"/>
      <c r="Q434" s="177"/>
      <c r="R434" s="177"/>
    </row>
    <row r="435">
      <c r="N435" s="177"/>
      <c r="O435" s="177"/>
      <c r="P435" s="177"/>
      <c r="Q435" s="177"/>
      <c r="R435" s="177"/>
    </row>
    <row r="436">
      <c r="N436" s="177"/>
      <c r="O436" s="177"/>
      <c r="P436" s="177"/>
      <c r="Q436" s="177"/>
      <c r="R436" s="177"/>
    </row>
    <row r="437">
      <c r="N437" s="177"/>
      <c r="O437" s="177"/>
      <c r="P437" s="177"/>
      <c r="Q437" s="177"/>
      <c r="R437" s="177"/>
    </row>
    <row r="438">
      <c r="N438" s="177"/>
      <c r="O438" s="177"/>
      <c r="P438" s="177"/>
      <c r="Q438" s="177"/>
      <c r="R438" s="177"/>
    </row>
    <row r="439">
      <c r="N439" s="177"/>
      <c r="O439" s="177"/>
      <c r="P439" s="177"/>
      <c r="Q439" s="177"/>
      <c r="R439" s="177"/>
    </row>
    <row r="440">
      <c r="N440" s="177"/>
      <c r="O440" s="177"/>
      <c r="P440" s="177"/>
      <c r="Q440" s="177"/>
      <c r="R440" s="177"/>
    </row>
    <row r="441">
      <c r="N441" s="177"/>
      <c r="O441" s="177"/>
      <c r="P441" s="177"/>
      <c r="Q441" s="177"/>
      <c r="R441" s="177"/>
    </row>
    <row r="442">
      <c r="N442" s="177"/>
      <c r="O442" s="177"/>
      <c r="P442" s="177"/>
      <c r="Q442" s="177"/>
      <c r="R442" s="177"/>
    </row>
    <row r="443">
      <c r="N443" s="177"/>
      <c r="O443" s="177"/>
      <c r="P443" s="177"/>
      <c r="Q443" s="177"/>
      <c r="R443" s="177"/>
    </row>
    <row r="444">
      <c r="N444" s="177"/>
      <c r="O444" s="177"/>
      <c r="P444" s="177"/>
      <c r="Q444" s="177"/>
      <c r="R444" s="177"/>
    </row>
    <row r="445">
      <c r="N445" s="177"/>
      <c r="O445" s="177"/>
      <c r="P445" s="177"/>
      <c r="Q445" s="177"/>
      <c r="R445" s="177"/>
    </row>
    <row r="446">
      <c r="N446" s="177"/>
      <c r="O446" s="177"/>
      <c r="P446" s="177"/>
      <c r="Q446" s="177"/>
      <c r="R446" s="177"/>
    </row>
    <row r="447">
      <c r="N447" s="177"/>
      <c r="O447" s="177"/>
      <c r="P447" s="177"/>
      <c r="Q447" s="177"/>
      <c r="R447" s="177"/>
    </row>
    <row r="448">
      <c r="N448" s="177"/>
      <c r="O448" s="177"/>
      <c r="P448" s="177"/>
      <c r="Q448" s="177"/>
      <c r="R448" s="177"/>
    </row>
    <row r="449">
      <c r="N449" s="177"/>
      <c r="O449" s="177"/>
      <c r="P449" s="177"/>
      <c r="Q449" s="177"/>
      <c r="R449" s="177"/>
    </row>
    <row r="450">
      <c r="N450" s="177"/>
      <c r="O450" s="177"/>
      <c r="P450" s="177"/>
      <c r="Q450" s="177"/>
      <c r="R450" s="177"/>
    </row>
    <row r="451">
      <c r="N451" s="177"/>
      <c r="O451" s="177"/>
      <c r="P451" s="177"/>
      <c r="Q451" s="177"/>
      <c r="R451" s="177"/>
    </row>
    <row r="452">
      <c r="N452" s="177"/>
      <c r="O452" s="177"/>
      <c r="P452" s="177"/>
      <c r="Q452" s="177"/>
      <c r="R452" s="177"/>
    </row>
    <row r="453">
      <c r="N453" s="177"/>
      <c r="O453" s="177"/>
      <c r="P453" s="177"/>
      <c r="Q453" s="177"/>
      <c r="R453" s="177"/>
    </row>
    <row r="454">
      <c r="N454" s="177"/>
      <c r="O454" s="177"/>
      <c r="P454" s="177"/>
      <c r="Q454" s="177"/>
      <c r="R454" s="177"/>
    </row>
    <row r="455">
      <c r="N455" s="177"/>
      <c r="O455" s="177"/>
      <c r="P455" s="177"/>
      <c r="Q455" s="177"/>
      <c r="R455" s="177"/>
    </row>
    <row r="456">
      <c r="N456" s="177"/>
      <c r="O456" s="177"/>
      <c r="P456" s="177"/>
      <c r="Q456" s="177"/>
      <c r="R456" s="177"/>
    </row>
    <row r="457">
      <c r="N457" s="177"/>
      <c r="O457" s="177"/>
      <c r="P457" s="177"/>
      <c r="Q457" s="177"/>
      <c r="R457" s="177"/>
    </row>
    <row r="458">
      <c r="N458" s="177"/>
      <c r="O458" s="177"/>
      <c r="P458" s="177"/>
      <c r="Q458" s="177"/>
      <c r="R458" s="177"/>
    </row>
    <row r="459">
      <c r="N459" s="177"/>
      <c r="O459" s="177"/>
      <c r="P459" s="177"/>
      <c r="Q459" s="177"/>
      <c r="R459" s="177"/>
    </row>
    <row r="460">
      <c r="N460" s="177"/>
      <c r="O460" s="177"/>
      <c r="P460" s="177"/>
      <c r="Q460" s="177"/>
      <c r="R460" s="177"/>
    </row>
    <row r="461">
      <c r="N461" s="177"/>
      <c r="O461" s="177"/>
      <c r="P461" s="177"/>
      <c r="Q461" s="177"/>
      <c r="R461" s="177"/>
    </row>
    <row r="462">
      <c r="N462" s="177"/>
      <c r="O462" s="177"/>
      <c r="P462" s="177"/>
      <c r="Q462" s="177"/>
      <c r="R462" s="177"/>
    </row>
    <row r="463">
      <c r="N463" s="177"/>
      <c r="O463" s="177"/>
      <c r="P463" s="177"/>
      <c r="Q463" s="177"/>
      <c r="R463" s="177"/>
    </row>
    <row r="464">
      <c r="N464" s="177"/>
      <c r="O464" s="177"/>
      <c r="P464" s="177"/>
      <c r="Q464" s="177"/>
      <c r="R464" s="177"/>
    </row>
    <row r="465">
      <c r="N465" s="177"/>
      <c r="O465" s="177"/>
      <c r="P465" s="177"/>
      <c r="Q465" s="177"/>
      <c r="R465" s="177"/>
    </row>
    <row r="466">
      <c r="N466" s="177"/>
      <c r="O466" s="177"/>
      <c r="P466" s="177"/>
      <c r="Q466" s="177"/>
      <c r="R466" s="177"/>
    </row>
    <row r="467">
      <c r="N467" s="177"/>
      <c r="O467" s="177"/>
      <c r="P467" s="177"/>
      <c r="Q467" s="177"/>
      <c r="R467" s="177"/>
    </row>
    <row r="468">
      <c r="N468" s="177"/>
      <c r="O468" s="177"/>
      <c r="P468" s="177"/>
      <c r="Q468" s="177"/>
      <c r="R468" s="177"/>
    </row>
    <row r="469">
      <c r="N469" s="177"/>
      <c r="O469" s="177"/>
      <c r="P469" s="177"/>
      <c r="Q469" s="177"/>
      <c r="R469" s="177"/>
    </row>
    <row r="470">
      <c r="N470" s="177"/>
      <c r="O470" s="177"/>
      <c r="P470" s="177"/>
      <c r="Q470" s="177"/>
      <c r="R470" s="177"/>
    </row>
    <row r="471">
      <c r="N471" s="177"/>
      <c r="O471" s="177"/>
      <c r="P471" s="177"/>
      <c r="Q471" s="177"/>
      <c r="R471" s="177"/>
    </row>
    <row r="472">
      <c r="N472" s="177"/>
      <c r="O472" s="177"/>
      <c r="P472" s="177"/>
      <c r="Q472" s="177"/>
      <c r="R472" s="177"/>
    </row>
    <row r="473">
      <c r="N473" s="177"/>
      <c r="O473" s="177"/>
      <c r="P473" s="177"/>
      <c r="Q473" s="177"/>
      <c r="R473" s="177"/>
    </row>
    <row r="474">
      <c r="N474" s="177"/>
      <c r="O474" s="177"/>
      <c r="P474" s="177"/>
      <c r="Q474" s="177"/>
      <c r="R474" s="177"/>
    </row>
    <row r="475">
      <c r="N475" s="177"/>
      <c r="O475" s="177"/>
      <c r="P475" s="177"/>
      <c r="Q475" s="177"/>
      <c r="R475" s="177"/>
    </row>
    <row r="476">
      <c r="N476" s="177"/>
      <c r="O476" s="177"/>
      <c r="P476" s="177"/>
      <c r="Q476" s="177"/>
      <c r="R476" s="177"/>
    </row>
    <row r="477">
      <c r="N477" s="177"/>
      <c r="O477" s="177"/>
      <c r="P477" s="177"/>
      <c r="Q477" s="177"/>
      <c r="R477" s="177"/>
    </row>
    <row r="478">
      <c r="N478" s="177"/>
      <c r="O478" s="177"/>
      <c r="P478" s="177"/>
      <c r="Q478" s="177"/>
      <c r="R478" s="177"/>
    </row>
    <row r="479">
      <c r="N479" s="177"/>
      <c r="O479" s="177"/>
      <c r="P479" s="177"/>
      <c r="Q479" s="177"/>
      <c r="R479" s="177"/>
    </row>
    <row r="480">
      <c r="N480" s="177"/>
      <c r="O480" s="177"/>
      <c r="P480" s="177"/>
      <c r="Q480" s="177"/>
      <c r="R480" s="177"/>
    </row>
    <row r="481">
      <c r="N481" s="177"/>
      <c r="O481" s="177"/>
      <c r="P481" s="177"/>
      <c r="Q481" s="177"/>
      <c r="R481" s="177"/>
    </row>
    <row r="482">
      <c r="N482" s="177"/>
      <c r="O482" s="177"/>
      <c r="P482" s="177"/>
      <c r="Q482" s="177"/>
      <c r="R482" s="177"/>
    </row>
    <row r="483">
      <c r="N483" s="177"/>
      <c r="O483" s="177"/>
      <c r="P483" s="177"/>
      <c r="Q483" s="177"/>
      <c r="R483" s="177"/>
    </row>
    <row r="484">
      <c r="N484" s="177"/>
      <c r="O484" s="177"/>
      <c r="P484" s="177"/>
      <c r="Q484" s="177"/>
      <c r="R484" s="177"/>
    </row>
    <row r="485">
      <c r="N485" s="177"/>
      <c r="O485" s="177"/>
      <c r="P485" s="177"/>
      <c r="Q485" s="177"/>
      <c r="R485" s="177"/>
    </row>
    <row r="486">
      <c r="N486" s="177"/>
      <c r="O486" s="177"/>
      <c r="P486" s="177"/>
      <c r="Q486" s="177"/>
      <c r="R486" s="177"/>
    </row>
    <row r="487">
      <c r="N487" s="177"/>
      <c r="O487" s="177"/>
      <c r="P487" s="177"/>
      <c r="Q487" s="177"/>
      <c r="R487" s="177"/>
    </row>
    <row r="488">
      <c r="N488" s="177"/>
      <c r="O488" s="177"/>
      <c r="P488" s="177"/>
      <c r="Q488" s="177"/>
      <c r="R488" s="177"/>
    </row>
    <row r="489">
      <c r="N489" s="177"/>
      <c r="O489" s="177"/>
      <c r="P489" s="177"/>
      <c r="Q489" s="177"/>
      <c r="R489" s="177"/>
    </row>
    <row r="490">
      <c r="N490" s="177"/>
      <c r="O490" s="177"/>
      <c r="P490" s="177"/>
      <c r="Q490" s="177"/>
      <c r="R490" s="177"/>
    </row>
    <row r="491">
      <c r="N491" s="177"/>
      <c r="O491" s="177"/>
      <c r="P491" s="177"/>
      <c r="Q491" s="177"/>
      <c r="R491" s="177"/>
    </row>
    <row r="492">
      <c r="N492" s="177"/>
      <c r="O492" s="177"/>
      <c r="P492" s="177"/>
      <c r="Q492" s="177"/>
      <c r="R492" s="177"/>
    </row>
    <row r="493">
      <c r="N493" s="177"/>
      <c r="O493" s="177"/>
      <c r="P493" s="177"/>
      <c r="Q493" s="177"/>
      <c r="R493" s="177"/>
    </row>
    <row r="494">
      <c r="N494" s="177"/>
      <c r="O494" s="177"/>
      <c r="P494" s="177"/>
      <c r="Q494" s="177"/>
      <c r="R494" s="177"/>
    </row>
    <row r="495">
      <c r="N495" s="177"/>
      <c r="O495" s="177"/>
      <c r="P495" s="177"/>
      <c r="Q495" s="177"/>
      <c r="R495" s="177"/>
    </row>
    <row r="496">
      <c r="N496" s="177"/>
      <c r="O496" s="177"/>
      <c r="P496" s="177"/>
      <c r="Q496" s="177"/>
      <c r="R496" s="177"/>
    </row>
    <row r="497">
      <c r="N497" s="177"/>
      <c r="O497" s="177"/>
      <c r="P497" s="177"/>
      <c r="Q497" s="177"/>
      <c r="R497" s="177"/>
    </row>
    <row r="498">
      <c r="N498" s="177"/>
      <c r="O498" s="177"/>
      <c r="P498" s="177"/>
      <c r="Q498" s="177"/>
      <c r="R498" s="177"/>
    </row>
    <row r="499">
      <c r="N499" s="177"/>
      <c r="O499" s="177"/>
      <c r="P499" s="177"/>
      <c r="Q499" s="177"/>
      <c r="R499" s="177"/>
    </row>
    <row r="500">
      <c r="N500" s="177"/>
      <c r="O500" s="177"/>
      <c r="P500" s="177"/>
      <c r="Q500" s="177"/>
      <c r="R500" s="177"/>
    </row>
    <row r="501">
      <c r="N501" s="177"/>
      <c r="O501" s="177"/>
      <c r="P501" s="177"/>
      <c r="Q501" s="177"/>
      <c r="R501" s="177"/>
    </row>
    <row r="502">
      <c r="N502" s="177"/>
      <c r="O502" s="177"/>
      <c r="P502" s="177"/>
      <c r="Q502" s="177"/>
      <c r="R502" s="177"/>
    </row>
    <row r="503">
      <c r="N503" s="177"/>
      <c r="O503" s="177"/>
      <c r="P503" s="177"/>
      <c r="Q503" s="177"/>
      <c r="R503" s="177"/>
    </row>
    <row r="504">
      <c r="N504" s="177"/>
      <c r="O504" s="177"/>
      <c r="P504" s="177"/>
      <c r="Q504" s="177"/>
      <c r="R504" s="177"/>
    </row>
    <row r="505">
      <c r="N505" s="177"/>
      <c r="O505" s="177"/>
      <c r="P505" s="177"/>
      <c r="Q505" s="177"/>
      <c r="R505" s="177"/>
    </row>
    <row r="506">
      <c r="N506" s="177"/>
      <c r="O506" s="177"/>
      <c r="P506" s="177"/>
      <c r="Q506" s="177"/>
      <c r="R506" s="177"/>
    </row>
    <row r="507">
      <c r="N507" s="177"/>
      <c r="O507" s="177"/>
      <c r="P507" s="177"/>
      <c r="Q507" s="177"/>
      <c r="R507" s="177"/>
    </row>
    <row r="508">
      <c r="N508" s="177"/>
      <c r="O508" s="177"/>
      <c r="P508" s="177"/>
      <c r="Q508" s="177"/>
      <c r="R508" s="177"/>
    </row>
    <row r="509">
      <c r="N509" s="177"/>
      <c r="O509" s="177"/>
      <c r="P509" s="177"/>
      <c r="Q509" s="177"/>
      <c r="R509" s="177"/>
    </row>
    <row r="510">
      <c r="N510" s="177"/>
      <c r="O510" s="177"/>
      <c r="P510" s="177"/>
      <c r="Q510" s="177"/>
      <c r="R510" s="177"/>
    </row>
    <row r="511">
      <c r="N511" s="177"/>
      <c r="O511" s="177"/>
      <c r="P511" s="177"/>
      <c r="Q511" s="177"/>
      <c r="R511" s="177"/>
    </row>
    <row r="512">
      <c r="N512" s="177"/>
      <c r="O512" s="177"/>
      <c r="P512" s="177"/>
      <c r="Q512" s="177"/>
      <c r="R512" s="177"/>
    </row>
    <row r="513">
      <c r="N513" s="177"/>
      <c r="O513" s="177"/>
      <c r="P513" s="177"/>
      <c r="Q513" s="177"/>
      <c r="R513" s="177"/>
    </row>
    <row r="514">
      <c r="N514" s="177"/>
      <c r="O514" s="177"/>
      <c r="P514" s="177"/>
      <c r="Q514" s="177"/>
      <c r="R514" s="177"/>
    </row>
    <row r="515">
      <c r="N515" s="177"/>
      <c r="O515" s="177"/>
      <c r="P515" s="177"/>
      <c r="Q515" s="177"/>
      <c r="R515" s="177"/>
    </row>
    <row r="516">
      <c r="N516" s="177"/>
      <c r="O516" s="177"/>
      <c r="P516" s="177"/>
      <c r="Q516" s="177"/>
      <c r="R516" s="177"/>
    </row>
    <row r="517">
      <c r="N517" s="177"/>
      <c r="O517" s="177"/>
      <c r="P517" s="177"/>
      <c r="Q517" s="177"/>
      <c r="R517" s="177"/>
    </row>
    <row r="518">
      <c r="N518" s="177"/>
      <c r="O518" s="177"/>
      <c r="P518" s="177"/>
      <c r="Q518" s="177"/>
      <c r="R518" s="177"/>
    </row>
    <row r="519">
      <c r="N519" s="177"/>
      <c r="O519" s="177"/>
      <c r="P519" s="177"/>
      <c r="Q519" s="177"/>
      <c r="R519" s="177"/>
    </row>
    <row r="520">
      <c r="N520" s="177"/>
      <c r="O520" s="177"/>
      <c r="P520" s="177"/>
      <c r="Q520" s="177"/>
      <c r="R520" s="177"/>
    </row>
    <row r="521">
      <c r="N521" s="177"/>
      <c r="O521" s="177"/>
      <c r="P521" s="177"/>
      <c r="Q521" s="177"/>
      <c r="R521" s="177"/>
    </row>
    <row r="522">
      <c r="N522" s="177"/>
      <c r="O522" s="177"/>
      <c r="P522" s="177"/>
      <c r="Q522" s="177"/>
      <c r="R522" s="177"/>
    </row>
    <row r="523">
      <c r="N523" s="177"/>
      <c r="O523" s="177"/>
      <c r="P523" s="177"/>
      <c r="Q523" s="177"/>
      <c r="R523" s="177"/>
    </row>
    <row r="524">
      <c r="N524" s="177"/>
      <c r="O524" s="177"/>
      <c r="P524" s="177"/>
      <c r="Q524" s="177"/>
      <c r="R524" s="177"/>
    </row>
    <row r="525">
      <c r="N525" s="177"/>
      <c r="O525" s="177"/>
      <c r="P525" s="177"/>
      <c r="Q525" s="177"/>
      <c r="R525" s="177"/>
    </row>
    <row r="526">
      <c r="N526" s="177"/>
      <c r="O526" s="177"/>
      <c r="P526" s="177"/>
      <c r="Q526" s="177"/>
      <c r="R526" s="177"/>
    </row>
    <row r="527">
      <c r="N527" s="177"/>
      <c r="O527" s="177"/>
      <c r="P527" s="177"/>
      <c r="Q527" s="177"/>
      <c r="R527" s="177"/>
    </row>
    <row r="528">
      <c r="N528" s="177"/>
      <c r="O528" s="177"/>
      <c r="P528" s="177"/>
      <c r="Q528" s="177"/>
      <c r="R528" s="177"/>
    </row>
    <row r="529">
      <c r="N529" s="177"/>
      <c r="O529" s="177"/>
      <c r="P529" s="177"/>
      <c r="Q529" s="177"/>
      <c r="R529" s="177"/>
    </row>
    <row r="530">
      <c r="N530" s="177"/>
      <c r="O530" s="177"/>
      <c r="P530" s="177"/>
      <c r="Q530" s="177"/>
      <c r="R530" s="177"/>
    </row>
    <row r="531">
      <c r="N531" s="177"/>
      <c r="O531" s="177"/>
      <c r="P531" s="177"/>
      <c r="Q531" s="177"/>
      <c r="R531" s="177"/>
    </row>
    <row r="532">
      <c r="N532" s="177"/>
      <c r="O532" s="177"/>
      <c r="P532" s="177"/>
      <c r="Q532" s="177"/>
      <c r="R532" s="177"/>
    </row>
    <row r="533">
      <c r="N533" s="177"/>
      <c r="O533" s="177"/>
      <c r="P533" s="177"/>
      <c r="Q533" s="177"/>
      <c r="R533" s="177"/>
    </row>
    <row r="534">
      <c r="N534" s="177"/>
      <c r="O534" s="177"/>
      <c r="P534" s="177"/>
      <c r="Q534" s="177"/>
      <c r="R534" s="177"/>
    </row>
    <row r="535">
      <c r="N535" s="177"/>
      <c r="O535" s="177"/>
      <c r="P535" s="177"/>
      <c r="Q535" s="177"/>
      <c r="R535" s="177"/>
    </row>
    <row r="536">
      <c r="N536" s="177"/>
      <c r="O536" s="177"/>
      <c r="P536" s="177"/>
      <c r="Q536" s="177"/>
      <c r="R536" s="177"/>
    </row>
    <row r="537">
      <c r="N537" s="177"/>
      <c r="O537" s="177"/>
      <c r="P537" s="177"/>
      <c r="Q537" s="177"/>
      <c r="R537" s="177"/>
    </row>
    <row r="538">
      <c r="N538" s="177"/>
      <c r="O538" s="177"/>
      <c r="P538" s="177"/>
      <c r="Q538" s="177"/>
      <c r="R538" s="177"/>
    </row>
    <row r="539">
      <c r="N539" s="177"/>
      <c r="O539" s="177"/>
      <c r="P539" s="177"/>
      <c r="Q539" s="177"/>
      <c r="R539" s="177"/>
    </row>
    <row r="540">
      <c r="N540" s="177"/>
      <c r="O540" s="177"/>
      <c r="P540" s="177"/>
      <c r="Q540" s="177"/>
      <c r="R540" s="177"/>
    </row>
    <row r="541">
      <c r="N541" s="177"/>
      <c r="O541" s="177"/>
      <c r="P541" s="177"/>
      <c r="Q541" s="177"/>
      <c r="R541" s="177"/>
    </row>
    <row r="542">
      <c r="N542" s="177"/>
      <c r="O542" s="177"/>
      <c r="P542" s="177"/>
      <c r="Q542" s="177"/>
      <c r="R542" s="177"/>
    </row>
    <row r="543">
      <c r="N543" s="177"/>
      <c r="O543" s="177"/>
      <c r="P543" s="177"/>
      <c r="Q543" s="177"/>
      <c r="R543" s="177"/>
    </row>
    <row r="544">
      <c r="N544" s="177"/>
      <c r="O544" s="177"/>
      <c r="P544" s="177"/>
      <c r="Q544" s="177"/>
      <c r="R544" s="177"/>
    </row>
    <row r="545">
      <c r="N545" s="177"/>
      <c r="O545" s="177"/>
      <c r="P545" s="177"/>
      <c r="Q545" s="177"/>
      <c r="R545" s="177"/>
    </row>
    <row r="546">
      <c r="N546" s="177"/>
      <c r="O546" s="177"/>
      <c r="P546" s="177"/>
      <c r="Q546" s="177"/>
      <c r="R546" s="177"/>
    </row>
    <row r="547">
      <c r="N547" s="177"/>
      <c r="O547" s="177"/>
      <c r="P547" s="177"/>
      <c r="Q547" s="177"/>
      <c r="R547" s="177"/>
    </row>
    <row r="548">
      <c r="N548" s="177"/>
      <c r="O548" s="177"/>
      <c r="P548" s="177"/>
      <c r="Q548" s="177"/>
      <c r="R548" s="177"/>
    </row>
    <row r="549">
      <c r="N549" s="177"/>
      <c r="O549" s="177"/>
      <c r="P549" s="177"/>
      <c r="Q549" s="177"/>
      <c r="R549" s="177"/>
    </row>
    <row r="550">
      <c r="N550" s="177"/>
      <c r="O550" s="177"/>
      <c r="P550" s="177"/>
      <c r="Q550" s="177"/>
      <c r="R550" s="177"/>
    </row>
    <row r="551">
      <c r="N551" s="177"/>
      <c r="O551" s="177"/>
      <c r="P551" s="177"/>
      <c r="Q551" s="177"/>
      <c r="R551" s="177"/>
    </row>
    <row r="552">
      <c r="N552" s="177"/>
      <c r="O552" s="177"/>
      <c r="P552" s="177"/>
      <c r="Q552" s="177"/>
      <c r="R552" s="177"/>
    </row>
    <row r="553">
      <c r="N553" s="177"/>
      <c r="O553" s="177"/>
      <c r="P553" s="177"/>
      <c r="Q553" s="177"/>
      <c r="R553" s="177"/>
    </row>
    <row r="554">
      <c r="N554" s="177"/>
      <c r="O554" s="177"/>
      <c r="P554" s="177"/>
      <c r="Q554" s="177"/>
      <c r="R554" s="177"/>
    </row>
    <row r="555">
      <c r="N555" s="177"/>
      <c r="O555" s="177"/>
      <c r="P555" s="177"/>
      <c r="Q555" s="177"/>
      <c r="R555" s="177"/>
    </row>
    <row r="556">
      <c r="N556" s="177"/>
      <c r="O556" s="177"/>
      <c r="P556" s="177"/>
      <c r="Q556" s="177"/>
      <c r="R556" s="177"/>
    </row>
    <row r="557">
      <c r="N557" s="177"/>
      <c r="O557" s="177"/>
      <c r="P557" s="177"/>
      <c r="Q557" s="177"/>
      <c r="R557" s="177"/>
    </row>
    <row r="558">
      <c r="N558" s="177"/>
      <c r="O558" s="177"/>
      <c r="P558" s="177"/>
      <c r="Q558" s="177"/>
      <c r="R558" s="177"/>
    </row>
    <row r="559">
      <c r="N559" s="177"/>
      <c r="O559" s="177"/>
      <c r="P559" s="177"/>
      <c r="Q559" s="177"/>
      <c r="R559" s="177"/>
    </row>
    <row r="560">
      <c r="N560" s="177"/>
      <c r="O560" s="177"/>
      <c r="P560" s="177"/>
      <c r="Q560" s="177"/>
      <c r="R560" s="177"/>
    </row>
    <row r="561">
      <c r="N561" s="177"/>
      <c r="O561" s="177"/>
      <c r="P561" s="177"/>
      <c r="Q561" s="177"/>
      <c r="R561" s="177"/>
    </row>
    <row r="562">
      <c r="N562" s="177"/>
      <c r="O562" s="177"/>
      <c r="P562" s="177"/>
      <c r="Q562" s="177"/>
      <c r="R562" s="177"/>
    </row>
    <row r="563">
      <c r="N563" s="177"/>
      <c r="O563" s="177"/>
      <c r="P563" s="177"/>
      <c r="Q563" s="177"/>
      <c r="R563" s="177"/>
    </row>
    <row r="564">
      <c r="N564" s="177"/>
      <c r="O564" s="177"/>
      <c r="P564" s="177"/>
      <c r="Q564" s="177"/>
      <c r="R564" s="177"/>
    </row>
    <row r="565">
      <c r="N565" s="177"/>
      <c r="O565" s="177"/>
      <c r="P565" s="177"/>
      <c r="Q565" s="177"/>
      <c r="R565" s="177"/>
    </row>
    <row r="566">
      <c r="N566" s="177"/>
      <c r="O566" s="177"/>
      <c r="P566" s="177"/>
      <c r="Q566" s="177"/>
      <c r="R566" s="177"/>
    </row>
    <row r="567">
      <c r="N567" s="177"/>
      <c r="O567" s="177"/>
      <c r="P567" s="177"/>
      <c r="Q567" s="177"/>
      <c r="R567" s="177"/>
    </row>
    <row r="568">
      <c r="N568" s="177"/>
      <c r="O568" s="177"/>
      <c r="P568" s="177"/>
      <c r="Q568" s="177"/>
      <c r="R568" s="177"/>
    </row>
    <row r="569">
      <c r="N569" s="177"/>
      <c r="O569" s="177"/>
      <c r="P569" s="177"/>
      <c r="Q569" s="177"/>
      <c r="R569" s="177"/>
    </row>
    <row r="570">
      <c r="N570" s="177"/>
      <c r="O570" s="177"/>
      <c r="P570" s="177"/>
      <c r="Q570" s="177"/>
      <c r="R570" s="177"/>
    </row>
    <row r="571">
      <c r="N571" s="177"/>
      <c r="O571" s="177"/>
      <c r="P571" s="177"/>
      <c r="Q571" s="177"/>
      <c r="R571" s="177"/>
    </row>
    <row r="572">
      <c r="N572" s="177"/>
      <c r="O572" s="177"/>
      <c r="P572" s="177"/>
      <c r="Q572" s="177"/>
      <c r="R572" s="177"/>
    </row>
    <row r="573">
      <c r="N573" s="177"/>
      <c r="O573" s="177"/>
      <c r="P573" s="177"/>
      <c r="Q573" s="177"/>
      <c r="R573" s="177"/>
    </row>
    <row r="574">
      <c r="N574" s="177"/>
      <c r="O574" s="177"/>
      <c r="P574" s="177"/>
      <c r="Q574" s="177"/>
      <c r="R574" s="177"/>
    </row>
    <row r="575">
      <c r="N575" s="177"/>
      <c r="O575" s="177"/>
      <c r="P575" s="177"/>
      <c r="Q575" s="177"/>
      <c r="R575" s="177"/>
    </row>
    <row r="576">
      <c r="N576" s="177"/>
      <c r="O576" s="177"/>
      <c r="P576" s="177"/>
      <c r="Q576" s="177"/>
      <c r="R576" s="177"/>
    </row>
    <row r="577">
      <c r="N577" s="177"/>
      <c r="O577" s="177"/>
      <c r="P577" s="177"/>
      <c r="Q577" s="177"/>
      <c r="R577" s="177"/>
    </row>
    <row r="578">
      <c r="N578" s="177"/>
      <c r="O578" s="177"/>
      <c r="P578" s="177"/>
      <c r="Q578" s="177"/>
      <c r="R578" s="177"/>
    </row>
    <row r="579">
      <c r="N579" s="177"/>
      <c r="O579" s="177"/>
      <c r="P579" s="177"/>
      <c r="Q579" s="177"/>
      <c r="R579" s="177"/>
    </row>
    <row r="580">
      <c r="N580" s="177"/>
      <c r="O580" s="177"/>
      <c r="P580" s="177"/>
      <c r="Q580" s="177"/>
      <c r="R580" s="177"/>
    </row>
    <row r="581">
      <c r="N581" s="177"/>
      <c r="O581" s="177"/>
      <c r="P581" s="177"/>
      <c r="Q581" s="177"/>
      <c r="R581" s="177"/>
    </row>
    <row r="582">
      <c r="N582" s="177"/>
      <c r="O582" s="177"/>
      <c r="P582" s="177"/>
      <c r="Q582" s="177"/>
      <c r="R582" s="177"/>
    </row>
    <row r="583">
      <c r="N583" s="177"/>
      <c r="O583" s="177"/>
      <c r="P583" s="177"/>
      <c r="Q583" s="177"/>
      <c r="R583" s="177"/>
    </row>
    <row r="584">
      <c r="N584" s="177"/>
      <c r="O584" s="177"/>
      <c r="P584" s="177"/>
      <c r="Q584" s="177"/>
      <c r="R584" s="177"/>
    </row>
    <row r="585">
      <c r="N585" s="177"/>
      <c r="O585" s="177"/>
      <c r="P585" s="177"/>
      <c r="Q585" s="177"/>
      <c r="R585" s="177"/>
    </row>
    <row r="586">
      <c r="N586" s="177"/>
      <c r="O586" s="177"/>
      <c r="P586" s="177"/>
      <c r="Q586" s="177"/>
      <c r="R586" s="177"/>
    </row>
    <row r="587">
      <c r="N587" s="177"/>
      <c r="O587" s="177"/>
      <c r="P587" s="177"/>
      <c r="Q587" s="177"/>
      <c r="R587" s="177"/>
    </row>
    <row r="588">
      <c r="N588" s="177"/>
      <c r="O588" s="177"/>
      <c r="P588" s="177"/>
      <c r="Q588" s="177"/>
      <c r="R588" s="177"/>
    </row>
    <row r="589">
      <c r="N589" s="177"/>
      <c r="O589" s="177"/>
      <c r="P589" s="177"/>
      <c r="Q589" s="177"/>
      <c r="R589" s="177"/>
    </row>
    <row r="590">
      <c r="N590" s="177"/>
      <c r="O590" s="177"/>
      <c r="P590" s="177"/>
      <c r="Q590" s="177"/>
      <c r="R590" s="177"/>
    </row>
    <row r="591">
      <c r="N591" s="177"/>
      <c r="O591" s="177"/>
      <c r="P591" s="177"/>
      <c r="Q591" s="177"/>
      <c r="R591" s="177"/>
    </row>
    <row r="592">
      <c r="N592" s="177"/>
      <c r="O592" s="177"/>
      <c r="P592" s="177"/>
      <c r="Q592" s="177"/>
      <c r="R592" s="177"/>
    </row>
    <row r="593">
      <c r="N593" s="177"/>
      <c r="O593" s="177"/>
      <c r="P593" s="177"/>
      <c r="Q593" s="177"/>
      <c r="R593" s="177"/>
    </row>
    <row r="594">
      <c r="N594" s="177"/>
      <c r="O594" s="177"/>
      <c r="P594" s="177"/>
      <c r="Q594" s="177"/>
      <c r="R594" s="177"/>
    </row>
    <row r="595">
      <c r="N595" s="177"/>
      <c r="O595" s="177"/>
      <c r="P595" s="177"/>
      <c r="Q595" s="177"/>
      <c r="R595" s="177"/>
    </row>
    <row r="596">
      <c r="N596" s="177"/>
      <c r="O596" s="177"/>
      <c r="P596" s="177"/>
      <c r="Q596" s="177"/>
      <c r="R596" s="177"/>
    </row>
    <row r="597">
      <c r="N597" s="177"/>
      <c r="O597" s="177"/>
      <c r="P597" s="177"/>
      <c r="Q597" s="177"/>
      <c r="R597" s="177"/>
    </row>
    <row r="598">
      <c r="N598" s="177"/>
      <c r="O598" s="177"/>
      <c r="P598" s="177"/>
      <c r="Q598" s="177"/>
      <c r="R598" s="177"/>
    </row>
    <row r="599">
      <c r="N599" s="177"/>
      <c r="O599" s="177"/>
      <c r="P599" s="177"/>
      <c r="Q599" s="177"/>
      <c r="R599" s="177"/>
    </row>
    <row r="600">
      <c r="N600" s="177"/>
      <c r="O600" s="177"/>
      <c r="P600" s="177"/>
      <c r="Q600" s="177"/>
      <c r="R600" s="177"/>
    </row>
    <row r="601">
      <c r="N601" s="177"/>
      <c r="O601" s="177"/>
      <c r="P601" s="177"/>
      <c r="Q601" s="177"/>
      <c r="R601" s="177"/>
    </row>
    <row r="602">
      <c r="N602" s="177"/>
      <c r="O602" s="177"/>
      <c r="P602" s="177"/>
      <c r="Q602" s="177"/>
      <c r="R602" s="177"/>
    </row>
    <row r="603">
      <c r="N603" s="177"/>
      <c r="O603" s="177"/>
      <c r="P603" s="177"/>
      <c r="Q603" s="177"/>
      <c r="R603" s="177"/>
    </row>
    <row r="604">
      <c r="N604" s="177"/>
      <c r="O604" s="177"/>
      <c r="P604" s="177"/>
      <c r="Q604" s="177"/>
      <c r="R604" s="177"/>
    </row>
    <row r="605">
      <c r="N605" s="177"/>
      <c r="O605" s="177"/>
      <c r="P605" s="177"/>
      <c r="Q605" s="177"/>
      <c r="R605" s="177"/>
    </row>
    <row r="606">
      <c r="N606" s="177"/>
      <c r="O606" s="177"/>
      <c r="P606" s="177"/>
      <c r="Q606" s="177"/>
      <c r="R606" s="177"/>
    </row>
    <row r="607">
      <c r="N607" s="177"/>
      <c r="O607" s="177"/>
      <c r="P607" s="177"/>
      <c r="Q607" s="177"/>
      <c r="R607" s="177"/>
    </row>
    <row r="608">
      <c r="N608" s="177"/>
      <c r="O608" s="177"/>
      <c r="P608" s="177"/>
      <c r="Q608" s="177"/>
      <c r="R608" s="177"/>
    </row>
    <row r="609">
      <c r="N609" s="177"/>
      <c r="O609" s="177"/>
      <c r="P609" s="177"/>
      <c r="Q609" s="177"/>
      <c r="R609" s="177"/>
    </row>
    <row r="610">
      <c r="N610" s="177"/>
      <c r="O610" s="177"/>
      <c r="P610" s="177"/>
      <c r="Q610" s="177"/>
      <c r="R610" s="177"/>
    </row>
    <row r="611">
      <c r="N611" s="177"/>
      <c r="O611" s="177"/>
      <c r="P611" s="177"/>
      <c r="Q611" s="177"/>
      <c r="R611" s="177"/>
    </row>
    <row r="612">
      <c r="N612" s="177"/>
      <c r="O612" s="177"/>
      <c r="P612" s="177"/>
      <c r="Q612" s="177"/>
      <c r="R612" s="177"/>
    </row>
    <row r="613">
      <c r="N613" s="177"/>
      <c r="O613" s="177"/>
      <c r="P613" s="177"/>
      <c r="Q613" s="177"/>
      <c r="R613" s="177"/>
    </row>
    <row r="614">
      <c r="N614" s="177"/>
      <c r="O614" s="177"/>
      <c r="P614" s="177"/>
      <c r="Q614" s="177"/>
      <c r="R614" s="177"/>
    </row>
    <row r="615">
      <c r="N615" s="177"/>
      <c r="O615" s="177"/>
      <c r="P615" s="177"/>
      <c r="Q615" s="177"/>
      <c r="R615" s="177"/>
    </row>
    <row r="616">
      <c r="N616" s="177"/>
      <c r="O616" s="177"/>
      <c r="P616" s="177"/>
      <c r="Q616" s="177"/>
      <c r="R616" s="177"/>
    </row>
    <row r="617">
      <c r="N617" s="177"/>
      <c r="O617" s="177"/>
      <c r="P617" s="177"/>
      <c r="Q617" s="177"/>
      <c r="R617" s="177"/>
    </row>
    <row r="618">
      <c r="N618" s="177"/>
      <c r="O618" s="177"/>
      <c r="P618" s="177"/>
      <c r="Q618" s="177"/>
      <c r="R618" s="177"/>
    </row>
    <row r="619">
      <c r="N619" s="177"/>
      <c r="O619" s="177"/>
      <c r="P619" s="177"/>
      <c r="Q619" s="177"/>
      <c r="R619" s="177"/>
    </row>
    <row r="620">
      <c r="N620" s="177"/>
      <c r="O620" s="177"/>
      <c r="P620" s="177"/>
      <c r="Q620" s="177"/>
      <c r="R620" s="177"/>
    </row>
    <row r="621">
      <c r="N621" s="177"/>
      <c r="O621" s="177"/>
      <c r="P621" s="177"/>
      <c r="Q621" s="177"/>
      <c r="R621" s="177"/>
    </row>
    <row r="622">
      <c r="N622" s="177"/>
      <c r="O622" s="177"/>
      <c r="P622" s="177"/>
      <c r="Q622" s="177"/>
      <c r="R622" s="177"/>
    </row>
    <row r="623">
      <c r="N623" s="177"/>
      <c r="O623" s="177"/>
      <c r="P623" s="177"/>
      <c r="Q623" s="177"/>
      <c r="R623" s="177"/>
    </row>
    <row r="624">
      <c r="N624" s="177"/>
      <c r="O624" s="177"/>
      <c r="P624" s="177"/>
      <c r="Q624" s="177"/>
      <c r="R624" s="177"/>
    </row>
    <row r="625">
      <c r="N625" s="177"/>
      <c r="O625" s="177"/>
      <c r="P625" s="177"/>
      <c r="Q625" s="177"/>
      <c r="R625" s="177"/>
    </row>
    <row r="626">
      <c r="N626" s="177"/>
      <c r="O626" s="177"/>
      <c r="P626" s="177"/>
      <c r="Q626" s="177"/>
      <c r="R626" s="177"/>
    </row>
    <row r="627">
      <c r="N627" s="177"/>
      <c r="O627" s="177"/>
      <c r="P627" s="177"/>
      <c r="Q627" s="177"/>
      <c r="R627" s="177"/>
    </row>
    <row r="628">
      <c r="N628" s="177"/>
      <c r="O628" s="177"/>
      <c r="P628" s="177"/>
      <c r="Q628" s="177"/>
      <c r="R628" s="177"/>
    </row>
    <row r="629">
      <c r="N629" s="177"/>
      <c r="O629" s="177"/>
      <c r="P629" s="177"/>
      <c r="Q629" s="177"/>
      <c r="R629" s="177"/>
    </row>
    <row r="630">
      <c r="N630" s="177"/>
      <c r="O630" s="177"/>
      <c r="P630" s="177"/>
      <c r="Q630" s="177"/>
      <c r="R630" s="177"/>
    </row>
    <row r="631">
      <c r="N631" s="177"/>
      <c r="O631" s="177"/>
      <c r="P631" s="177"/>
      <c r="Q631" s="177"/>
      <c r="R631" s="177"/>
    </row>
    <row r="632">
      <c r="N632" s="177"/>
      <c r="O632" s="177"/>
      <c r="P632" s="177"/>
      <c r="Q632" s="177"/>
      <c r="R632" s="177"/>
    </row>
    <row r="633">
      <c r="N633" s="177"/>
      <c r="O633" s="177"/>
      <c r="P633" s="177"/>
      <c r="Q633" s="177"/>
      <c r="R633" s="177"/>
    </row>
    <row r="634">
      <c r="N634" s="177"/>
      <c r="O634" s="177"/>
      <c r="P634" s="177"/>
      <c r="Q634" s="177"/>
      <c r="R634" s="177"/>
    </row>
    <row r="635">
      <c r="N635" s="177"/>
      <c r="O635" s="177"/>
      <c r="P635" s="177"/>
      <c r="Q635" s="177"/>
      <c r="R635" s="177"/>
    </row>
    <row r="636">
      <c r="N636" s="177"/>
      <c r="O636" s="177"/>
      <c r="P636" s="177"/>
      <c r="Q636" s="177"/>
      <c r="R636" s="177"/>
    </row>
    <row r="637">
      <c r="N637" s="177"/>
      <c r="O637" s="177"/>
      <c r="P637" s="177"/>
      <c r="Q637" s="177"/>
      <c r="R637" s="177"/>
    </row>
    <row r="638">
      <c r="N638" s="177"/>
      <c r="O638" s="177"/>
      <c r="P638" s="177"/>
      <c r="Q638" s="177"/>
      <c r="R638" s="177"/>
    </row>
    <row r="639">
      <c r="N639" s="177"/>
      <c r="O639" s="177"/>
      <c r="P639" s="177"/>
      <c r="Q639" s="177"/>
      <c r="R639" s="177"/>
    </row>
    <row r="640">
      <c r="N640" s="177"/>
      <c r="O640" s="177"/>
      <c r="P640" s="177"/>
      <c r="Q640" s="177"/>
      <c r="R640" s="177"/>
    </row>
    <row r="641">
      <c r="N641" s="177"/>
      <c r="O641" s="177"/>
      <c r="P641" s="177"/>
      <c r="Q641" s="177"/>
      <c r="R641" s="177"/>
    </row>
    <row r="642">
      <c r="N642" s="177"/>
      <c r="O642" s="177"/>
      <c r="P642" s="177"/>
      <c r="Q642" s="177"/>
      <c r="R642" s="177"/>
    </row>
    <row r="643">
      <c r="N643" s="177"/>
      <c r="O643" s="177"/>
      <c r="P643" s="177"/>
      <c r="Q643" s="177"/>
      <c r="R643" s="177"/>
    </row>
    <row r="644">
      <c r="N644" s="177"/>
      <c r="O644" s="177"/>
      <c r="P644" s="177"/>
      <c r="Q644" s="177"/>
      <c r="R644" s="177"/>
    </row>
    <row r="645">
      <c r="N645" s="177"/>
      <c r="O645" s="177"/>
      <c r="P645" s="177"/>
      <c r="Q645" s="177"/>
      <c r="R645" s="177"/>
    </row>
    <row r="646">
      <c r="N646" s="177"/>
      <c r="O646" s="177"/>
      <c r="P646" s="177"/>
      <c r="Q646" s="177"/>
      <c r="R646" s="177"/>
    </row>
    <row r="647">
      <c r="N647" s="177"/>
      <c r="O647" s="177"/>
      <c r="P647" s="177"/>
      <c r="Q647" s="177"/>
      <c r="R647" s="177"/>
    </row>
    <row r="648">
      <c r="N648" s="177"/>
      <c r="O648" s="177"/>
      <c r="P648" s="177"/>
      <c r="Q648" s="177"/>
      <c r="R648" s="177"/>
    </row>
    <row r="649">
      <c r="N649" s="177"/>
      <c r="O649" s="177"/>
      <c r="P649" s="177"/>
      <c r="Q649" s="177"/>
      <c r="R649" s="177"/>
    </row>
    <row r="650">
      <c r="N650" s="177"/>
      <c r="O650" s="177"/>
      <c r="P650" s="177"/>
      <c r="Q650" s="177"/>
      <c r="R650" s="177"/>
    </row>
    <row r="651">
      <c r="N651" s="177"/>
      <c r="O651" s="177"/>
      <c r="P651" s="177"/>
      <c r="Q651" s="177"/>
      <c r="R651" s="177"/>
    </row>
    <row r="652">
      <c r="N652" s="177"/>
      <c r="O652" s="177"/>
      <c r="P652" s="177"/>
      <c r="Q652" s="177"/>
      <c r="R652" s="177"/>
    </row>
    <row r="653">
      <c r="N653" s="177"/>
      <c r="O653" s="177"/>
      <c r="P653" s="177"/>
      <c r="Q653" s="177"/>
      <c r="R653" s="177"/>
    </row>
    <row r="654">
      <c r="N654" s="177"/>
      <c r="O654" s="177"/>
      <c r="P654" s="177"/>
      <c r="Q654" s="177"/>
      <c r="R654" s="177"/>
    </row>
    <row r="655">
      <c r="N655" s="177"/>
      <c r="O655" s="177"/>
      <c r="P655" s="177"/>
      <c r="Q655" s="177"/>
      <c r="R655" s="177"/>
    </row>
    <row r="656">
      <c r="N656" s="177"/>
      <c r="O656" s="177"/>
      <c r="P656" s="177"/>
      <c r="Q656" s="177"/>
      <c r="R656" s="177"/>
    </row>
    <row r="657">
      <c r="N657" s="177"/>
      <c r="O657" s="177"/>
      <c r="P657" s="177"/>
      <c r="Q657" s="177"/>
      <c r="R657" s="177"/>
    </row>
    <row r="658">
      <c r="N658" s="177"/>
      <c r="O658" s="177"/>
      <c r="P658" s="177"/>
      <c r="Q658" s="177"/>
      <c r="R658" s="177"/>
    </row>
    <row r="659">
      <c r="N659" s="177"/>
      <c r="O659" s="177"/>
      <c r="P659" s="177"/>
      <c r="Q659" s="177"/>
      <c r="R659" s="177"/>
    </row>
    <row r="660">
      <c r="N660" s="177"/>
      <c r="O660" s="177"/>
      <c r="P660" s="177"/>
      <c r="Q660" s="177"/>
      <c r="R660" s="177"/>
    </row>
    <row r="661">
      <c r="N661" s="177"/>
      <c r="O661" s="177"/>
      <c r="P661" s="177"/>
      <c r="Q661" s="177"/>
      <c r="R661" s="177"/>
    </row>
    <row r="662">
      <c r="N662" s="177"/>
      <c r="O662" s="177"/>
      <c r="P662" s="177"/>
      <c r="Q662" s="177"/>
      <c r="R662" s="177"/>
    </row>
    <row r="663">
      <c r="N663" s="177"/>
      <c r="O663" s="177"/>
      <c r="P663" s="177"/>
      <c r="Q663" s="177"/>
      <c r="R663" s="177"/>
    </row>
    <row r="664">
      <c r="N664" s="177"/>
      <c r="O664" s="177"/>
      <c r="P664" s="177"/>
      <c r="Q664" s="177"/>
      <c r="R664" s="177"/>
    </row>
    <row r="665">
      <c r="N665" s="177"/>
      <c r="O665" s="177"/>
      <c r="P665" s="177"/>
      <c r="Q665" s="177"/>
      <c r="R665" s="177"/>
    </row>
    <row r="666">
      <c r="N666" s="177"/>
      <c r="O666" s="177"/>
      <c r="P666" s="177"/>
      <c r="Q666" s="177"/>
      <c r="R666" s="177"/>
    </row>
    <row r="667">
      <c r="N667" s="177"/>
      <c r="O667" s="177"/>
      <c r="P667" s="177"/>
      <c r="Q667" s="177"/>
      <c r="R667" s="177"/>
    </row>
    <row r="668">
      <c r="N668" s="177"/>
      <c r="O668" s="177"/>
      <c r="P668" s="177"/>
      <c r="Q668" s="177"/>
      <c r="R668" s="177"/>
    </row>
    <row r="669">
      <c r="N669" s="177"/>
      <c r="O669" s="177"/>
      <c r="P669" s="177"/>
      <c r="Q669" s="177"/>
      <c r="R669" s="177"/>
    </row>
    <row r="670">
      <c r="N670" s="177"/>
      <c r="O670" s="177"/>
      <c r="P670" s="177"/>
      <c r="Q670" s="177"/>
      <c r="R670" s="177"/>
    </row>
    <row r="671">
      <c r="N671" s="177"/>
      <c r="O671" s="177"/>
      <c r="P671" s="177"/>
      <c r="Q671" s="177"/>
      <c r="R671" s="177"/>
    </row>
    <row r="672">
      <c r="N672" s="177"/>
      <c r="O672" s="177"/>
      <c r="P672" s="177"/>
      <c r="Q672" s="177"/>
      <c r="R672" s="177"/>
    </row>
    <row r="673">
      <c r="N673" s="177"/>
      <c r="O673" s="177"/>
      <c r="P673" s="177"/>
      <c r="Q673" s="177"/>
      <c r="R673" s="177"/>
    </row>
    <row r="674">
      <c r="N674" s="177"/>
      <c r="O674" s="177"/>
      <c r="P674" s="177"/>
      <c r="Q674" s="177"/>
      <c r="R674" s="177"/>
    </row>
    <row r="675">
      <c r="N675" s="177"/>
      <c r="O675" s="177"/>
      <c r="P675" s="177"/>
      <c r="Q675" s="177"/>
      <c r="R675" s="177"/>
    </row>
    <row r="676">
      <c r="N676" s="177"/>
      <c r="O676" s="177"/>
      <c r="P676" s="177"/>
      <c r="Q676" s="177"/>
      <c r="R676" s="177"/>
    </row>
    <row r="677">
      <c r="N677" s="177"/>
      <c r="O677" s="177"/>
      <c r="P677" s="177"/>
      <c r="Q677" s="177"/>
      <c r="R677" s="177"/>
    </row>
    <row r="678">
      <c r="N678" s="177"/>
      <c r="O678" s="177"/>
      <c r="P678" s="177"/>
      <c r="Q678" s="177"/>
      <c r="R678" s="177"/>
    </row>
    <row r="679">
      <c r="N679" s="177"/>
      <c r="O679" s="177"/>
      <c r="P679" s="177"/>
      <c r="Q679" s="177"/>
      <c r="R679" s="177"/>
    </row>
    <row r="680">
      <c r="N680" s="177"/>
      <c r="O680" s="177"/>
      <c r="P680" s="177"/>
      <c r="Q680" s="177"/>
      <c r="R680" s="177"/>
    </row>
    <row r="681">
      <c r="N681" s="177"/>
      <c r="O681" s="177"/>
      <c r="P681" s="177"/>
      <c r="Q681" s="177"/>
      <c r="R681" s="177"/>
    </row>
    <row r="682">
      <c r="N682" s="177"/>
      <c r="O682" s="177"/>
      <c r="P682" s="177"/>
      <c r="Q682" s="177"/>
      <c r="R682" s="177"/>
    </row>
    <row r="683">
      <c r="N683" s="177"/>
      <c r="O683" s="177"/>
      <c r="P683" s="177"/>
      <c r="Q683" s="177"/>
      <c r="R683" s="177"/>
    </row>
    <row r="684">
      <c r="N684" s="177"/>
      <c r="O684" s="177"/>
      <c r="P684" s="177"/>
      <c r="Q684" s="177"/>
      <c r="R684" s="177"/>
    </row>
    <row r="685">
      <c r="N685" s="177"/>
      <c r="O685" s="177"/>
      <c r="P685" s="177"/>
      <c r="Q685" s="177"/>
      <c r="R685" s="177"/>
    </row>
    <row r="686">
      <c r="N686" s="177"/>
      <c r="O686" s="177"/>
      <c r="P686" s="177"/>
      <c r="Q686" s="177"/>
      <c r="R686" s="177"/>
    </row>
    <row r="687">
      <c r="N687" s="177"/>
      <c r="O687" s="177"/>
      <c r="P687" s="177"/>
      <c r="Q687" s="177"/>
      <c r="R687" s="177"/>
    </row>
    <row r="688">
      <c r="N688" s="177"/>
      <c r="O688" s="177"/>
      <c r="P688" s="177"/>
      <c r="Q688" s="177"/>
      <c r="R688" s="177"/>
    </row>
    <row r="689">
      <c r="N689" s="177"/>
      <c r="O689" s="177"/>
      <c r="P689" s="177"/>
      <c r="Q689" s="177"/>
      <c r="R689" s="177"/>
    </row>
    <row r="690">
      <c r="N690" s="177"/>
      <c r="O690" s="177"/>
      <c r="P690" s="177"/>
      <c r="Q690" s="177"/>
      <c r="R690" s="177"/>
    </row>
    <row r="691">
      <c r="N691" s="177"/>
      <c r="O691" s="177"/>
      <c r="P691" s="177"/>
      <c r="Q691" s="177"/>
      <c r="R691" s="177"/>
    </row>
    <row r="692">
      <c r="N692" s="177"/>
      <c r="O692" s="177"/>
      <c r="P692" s="177"/>
      <c r="Q692" s="177"/>
      <c r="R692" s="177"/>
    </row>
    <row r="693">
      <c r="N693" s="177"/>
      <c r="O693" s="177"/>
      <c r="P693" s="177"/>
      <c r="Q693" s="177"/>
      <c r="R693" s="177"/>
    </row>
    <row r="694">
      <c r="N694" s="177"/>
      <c r="O694" s="177"/>
      <c r="P694" s="177"/>
      <c r="Q694" s="177"/>
      <c r="R694" s="177"/>
    </row>
    <row r="695">
      <c r="N695" s="177"/>
      <c r="O695" s="177"/>
      <c r="P695" s="177"/>
      <c r="Q695" s="177"/>
      <c r="R695" s="177"/>
    </row>
    <row r="696">
      <c r="N696" s="177"/>
      <c r="O696" s="177"/>
      <c r="P696" s="177"/>
      <c r="Q696" s="177"/>
      <c r="R696" s="177"/>
    </row>
    <row r="697">
      <c r="N697" s="177"/>
      <c r="O697" s="177"/>
      <c r="P697" s="177"/>
      <c r="Q697" s="177"/>
      <c r="R697" s="177"/>
    </row>
    <row r="698">
      <c r="N698" s="177"/>
      <c r="O698" s="177"/>
      <c r="P698" s="177"/>
      <c r="Q698" s="177"/>
      <c r="R698" s="177"/>
    </row>
    <row r="699">
      <c r="N699" s="177"/>
      <c r="O699" s="177"/>
      <c r="P699" s="177"/>
      <c r="Q699" s="177"/>
      <c r="R699" s="177"/>
    </row>
    <row r="700">
      <c r="N700" s="177"/>
      <c r="O700" s="177"/>
      <c r="P700" s="177"/>
      <c r="Q700" s="177"/>
      <c r="R700" s="177"/>
    </row>
    <row r="701">
      <c r="N701" s="177"/>
      <c r="O701" s="177"/>
      <c r="P701" s="177"/>
      <c r="Q701" s="177"/>
      <c r="R701" s="177"/>
    </row>
    <row r="702">
      <c r="N702" s="177"/>
      <c r="O702" s="177"/>
      <c r="P702" s="177"/>
      <c r="Q702" s="177"/>
      <c r="R702" s="177"/>
    </row>
    <row r="703">
      <c r="N703" s="177"/>
      <c r="O703" s="177"/>
      <c r="P703" s="177"/>
      <c r="Q703" s="177"/>
      <c r="R703" s="177"/>
    </row>
    <row r="704">
      <c r="N704" s="177"/>
      <c r="O704" s="177"/>
      <c r="P704" s="177"/>
      <c r="Q704" s="177"/>
      <c r="R704" s="177"/>
    </row>
    <row r="705">
      <c r="N705" s="177"/>
      <c r="O705" s="177"/>
      <c r="P705" s="177"/>
      <c r="Q705" s="177"/>
      <c r="R705" s="177"/>
    </row>
    <row r="706">
      <c r="N706" s="177"/>
      <c r="O706" s="177"/>
      <c r="P706" s="177"/>
      <c r="Q706" s="177"/>
      <c r="R706" s="177"/>
    </row>
    <row r="707">
      <c r="N707" s="177"/>
      <c r="O707" s="177"/>
      <c r="P707" s="177"/>
      <c r="Q707" s="177"/>
      <c r="R707" s="177"/>
    </row>
    <row r="708">
      <c r="N708" s="177"/>
      <c r="O708" s="177"/>
      <c r="P708" s="177"/>
      <c r="Q708" s="177"/>
      <c r="R708" s="177"/>
    </row>
    <row r="709">
      <c r="N709" s="177"/>
      <c r="O709" s="177"/>
      <c r="P709" s="177"/>
      <c r="Q709" s="177"/>
      <c r="R709" s="177"/>
    </row>
    <row r="710">
      <c r="N710" s="177"/>
      <c r="O710" s="177"/>
      <c r="P710" s="177"/>
      <c r="Q710" s="177"/>
      <c r="R710" s="177"/>
    </row>
    <row r="711">
      <c r="N711" s="177"/>
      <c r="O711" s="177"/>
      <c r="P711" s="177"/>
      <c r="Q711" s="177"/>
      <c r="R711" s="177"/>
    </row>
    <row r="712">
      <c r="N712" s="177"/>
      <c r="O712" s="177"/>
      <c r="P712" s="177"/>
      <c r="Q712" s="177"/>
      <c r="R712" s="177"/>
    </row>
    <row r="713">
      <c r="N713" s="177"/>
      <c r="O713" s="177"/>
      <c r="P713" s="177"/>
      <c r="Q713" s="177"/>
      <c r="R713" s="177"/>
    </row>
    <row r="714">
      <c r="N714" s="177"/>
      <c r="O714" s="177"/>
      <c r="P714" s="177"/>
      <c r="Q714" s="177"/>
      <c r="R714" s="177"/>
    </row>
    <row r="715">
      <c r="N715" s="177"/>
      <c r="O715" s="177"/>
      <c r="P715" s="177"/>
      <c r="Q715" s="177"/>
      <c r="R715" s="177"/>
    </row>
    <row r="716">
      <c r="N716" s="177"/>
      <c r="O716" s="177"/>
      <c r="P716" s="177"/>
      <c r="Q716" s="177"/>
      <c r="R716" s="177"/>
    </row>
    <row r="717">
      <c r="N717" s="177"/>
      <c r="O717" s="177"/>
      <c r="P717" s="177"/>
      <c r="Q717" s="177"/>
      <c r="R717" s="177"/>
    </row>
    <row r="718">
      <c r="N718" s="177"/>
      <c r="O718" s="177"/>
      <c r="P718" s="177"/>
      <c r="Q718" s="177"/>
      <c r="R718" s="177"/>
    </row>
    <row r="719">
      <c r="N719" s="177"/>
      <c r="O719" s="177"/>
      <c r="P719" s="177"/>
      <c r="Q719" s="177"/>
      <c r="R719" s="177"/>
    </row>
    <row r="720">
      <c r="N720" s="177"/>
      <c r="O720" s="177"/>
      <c r="P720" s="177"/>
      <c r="Q720" s="177"/>
      <c r="R720" s="177"/>
    </row>
    <row r="721">
      <c r="N721" s="177"/>
      <c r="O721" s="177"/>
      <c r="P721" s="177"/>
      <c r="Q721" s="177"/>
      <c r="R721" s="177"/>
    </row>
    <row r="722">
      <c r="N722" s="177"/>
      <c r="O722" s="177"/>
      <c r="P722" s="177"/>
      <c r="Q722" s="177"/>
      <c r="R722" s="177"/>
    </row>
    <row r="723">
      <c r="N723" s="177"/>
      <c r="O723" s="177"/>
      <c r="P723" s="177"/>
      <c r="Q723" s="177"/>
      <c r="R723" s="177"/>
    </row>
    <row r="724">
      <c r="N724" s="177"/>
      <c r="O724" s="177"/>
      <c r="P724" s="177"/>
      <c r="Q724" s="177"/>
      <c r="R724" s="177"/>
    </row>
    <row r="725">
      <c r="N725" s="177"/>
      <c r="O725" s="177"/>
      <c r="P725" s="177"/>
      <c r="Q725" s="177"/>
      <c r="R725" s="177"/>
    </row>
    <row r="726">
      <c r="N726" s="177"/>
      <c r="O726" s="177"/>
      <c r="P726" s="177"/>
      <c r="Q726" s="177"/>
      <c r="R726" s="177"/>
    </row>
    <row r="727">
      <c r="N727" s="177"/>
      <c r="O727" s="177"/>
      <c r="P727" s="177"/>
      <c r="Q727" s="177"/>
      <c r="R727" s="177"/>
    </row>
    <row r="728">
      <c r="N728" s="177"/>
      <c r="O728" s="177"/>
      <c r="P728" s="177"/>
      <c r="Q728" s="177"/>
      <c r="R728" s="177"/>
    </row>
    <row r="729">
      <c r="N729" s="177"/>
      <c r="O729" s="177"/>
      <c r="P729" s="177"/>
      <c r="Q729" s="177"/>
      <c r="R729" s="177"/>
    </row>
    <row r="730">
      <c r="N730" s="177"/>
      <c r="O730" s="177"/>
      <c r="P730" s="177"/>
      <c r="Q730" s="177"/>
      <c r="R730" s="177"/>
    </row>
    <row r="731">
      <c r="N731" s="177"/>
      <c r="O731" s="177"/>
      <c r="P731" s="177"/>
      <c r="Q731" s="177"/>
      <c r="R731" s="177"/>
    </row>
    <row r="732">
      <c r="N732" s="177"/>
      <c r="O732" s="177"/>
      <c r="P732" s="177"/>
      <c r="Q732" s="177"/>
      <c r="R732" s="177"/>
    </row>
    <row r="733">
      <c r="N733" s="177"/>
      <c r="O733" s="177"/>
      <c r="P733" s="177"/>
      <c r="Q733" s="177"/>
      <c r="R733" s="177"/>
    </row>
    <row r="734">
      <c r="N734" s="177"/>
      <c r="O734" s="177"/>
      <c r="P734" s="177"/>
      <c r="Q734" s="177"/>
      <c r="R734" s="177"/>
    </row>
    <row r="735">
      <c r="N735" s="177"/>
      <c r="O735" s="177"/>
      <c r="P735" s="177"/>
      <c r="Q735" s="177"/>
      <c r="R735" s="177"/>
    </row>
    <row r="736">
      <c r="N736" s="177"/>
      <c r="O736" s="177"/>
      <c r="P736" s="177"/>
      <c r="Q736" s="177"/>
      <c r="R736" s="177"/>
    </row>
    <row r="737">
      <c r="N737" s="177"/>
      <c r="O737" s="177"/>
      <c r="P737" s="177"/>
      <c r="Q737" s="177"/>
      <c r="R737" s="177"/>
    </row>
    <row r="738">
      <c r="N738" s="177"/>
      <c r="O738" s="177"/>
      <c r="P738" s="177"/>
      <c r="Q738" s="177"/>
      <c r="R738" s="177"/>
    </row>
    <row r="739">
      <c r="N739" s="177"/>
      <c r="O739" s="177"/>
      <c r="P739" s="177"/>
      <c r="Q739" s="177"/>
      <c r="R739" s="177"/>
    </row>
    <row r="740">
      <c r="N740" s="177"/>
      <c r="O740" s="177"/>
      <c r="P740" s="177"/>
      <c r="Q740" s="177"/>
      <c r="R740" s="177"/>
    </row>
    <row r="741">
      <c r="N741" s="177"/>
      <c r="O741" s="177"/>
      <c r="P741" s="177"/>
      <c r="Q741" s="177"/>
      <c r="R741" s="177"/>
    </row>
    <row r="742">
      <c r="N742" s="177"/>
      <c r="O742" s="177"/>
      <c r="P742" s="177"/>
      <c r="Q742" s="177"/>
      <c r="R742" s="177"/>
    </row>
    <row r="743">
      <c r="N743" s="177"/>
      <c r="O743" s="177"/>
      <c r="P743" s="177"/>
      <c r="Q743" s="177"/>
      <c r="R743" s="177"/>
    </row>
    <row r="744">
      <c r="N744" s="177"/>
      <c r="O744" s="177"/>
      <c r="P744" s="177"/>
      <c r="Q744" s="177"/>
      <c r="R744" s="177"/>
    </row>
    <row r="745">
      <c r="N745" s="177"/>
      <c r="O745" s="177"/>
      <c r="P745" s="177"/>
      <c r="Q745" s="177"/>
      <c r="R745" s="177"/>
    </row>
    <row r="746">
      <c r="N746" s="177"/>
      <c r="O746" s="177"/>
      <c r="P746" s="177"/>
      <c r="Q746" s="177"/>
      <c r="R746" s="177"/>
    </row>
    <row r="747">
      <c r="N747" s="177"/>
      <c r="O747" s="177"/>
      <c r="P747" s="177"/>
      <c r="Q747" s="177"/>
      <c r="R747" s="177"/>
    </row>
    <row r="748">
      <c r="N748" s="177"/>
      <c r="O748" s="177"/>
      <c r="P748" s="177"/>
      <c r="Q748" s="177"/>
      <c r="R748" s="177"/>
    </row>
    <row r="749">
      <c r="N749" s="177"/>
      <c r="O749" s="177"/>
      <c r="P749" s="177"/>
      <c r="Q749" s="177"/>
      <c r="R749" s="177"/>
    </row>
    <row r="750">
      <c r="N750" s="177"/>
      <c r="O750" s="177"/>
      <c r="P750" s="177"/>
      <c r="Q750" s="177"/>
      <c r="R750" s="177"/>
    </row>
    <row r="751">
      <c r="N751" s="177"/>
      <c r="O751" s="177"/>
      <c r="P751" s="177"/>
      <c r="Q751" s="177"/>
      <c r="R751" s="177"/>
    </row>
    <row r="752">
      <c r="N752" s="177"/>
      <c r="O752" s="177"/>
      <c r="P752" s="177"/>
      <c r="Q752" s="177"/>
      <c r="R752" s="177"/>
    </row>
    <row r="753">
      <c r="N753" s="177"/>
      <c r="O753" s="177"/>
      <c r="P753" s="177"/>
      <c r="Q753" s="177"/>
      <c r="R753" s="177"/>
    </row>
    <row r="754">
      <c r="N754" s="177"/>
      <c r="O754" s="177"/>
      <c r="P754" s="177"/>
      <c r="Q754" s="177"/>
      <c r="R754" s="177"/>
    </row>
    <row r="755">
      <c r="N755" s="177"/>
      <c r="O755" s="177"/>
      <c r="P755" s="177"/>
      <c r="Q755" s="177"/>
      <c r="R755" s="177"/>
    </row>
    <row r="756">
      <c r="N756" s="177"/>
      <c r="O756" s="177"/>
      <c r="P756" s="177"/>
      <c r="Q756" s="177"/>
      <c r="R756" s="177"/>
    </row>
    <row r="757">
      <c r="N757" s="177"/>
      <c r="O757" s="177"/>
      <c r="P757" s="177"/>
      <c r="Q757" s="177"/>
      <c r="R757" s="177"/>
    </row>
    <row r="758">
      <c r="N758" s="177"/>
      <c r="O758" s="177"/>
      <c r="P758" s="177"/>
      <c r="Q758" s="177"/>
      <c r="R758" s="177"/>
    </row>
    <row r="759">
      <c r="N759" s="177"/>
      <c r="O759" s="177"/>
      <c r="P759" s="177"/>
      <c r="Q759" s="177"/>
      <c r="R759" s="177"/>
    </row>
    <row r="760">
      <c r="N760" s="177"/>
      <c r="O760" s="177"/>
      <c r="P760" s="177"/>
      <c r="Q760" s="177"/>
      <c r="R760" s="177"/>
    </row>
    <row r="761">
      <c r="N761" s="177"/>
      <c r="O761" s="177"/>
      <c r="P761" s="177"/>
      <c r="Q761" s="177"/>
      <c r="R761" s="177"/>
    </row>
    <row r="762">
      <c r="N762" s="177"/>
      <c r="O762" s="177"/>
      <c r="P762" s="177"/>
      <c r="Q762" s="177"/>
      <c r="R762" s="177"/>
    </row>
    <row r="763">
      <c r="N763" s="177"/>
      <c r="O763" s="177"/>
      <c r="P763" s="177"/>
      <c r="Q763" s="177"/>
      <c r="R763" s="177"/>
    </row>
    <row r="764">
      <c r="N764" s="177"/>
      <c r="O764" s="177"/>
      <c r="P764" s="177"/>
      <c r="Q764" s="177"/>
      <c r="R764" s="177"/>
    </row>
    <row r="765">
      <c r="N765" s="177"/>
      <c r="O765" s="177"/>
      <c r="P765" s="177"/>
      <c r="Q765" s="177"/>
      <c r="R765" s="177"/>
    </row>
    <row r="766">
      <c r="N766" s="177"/>
      <c r="O766" s="177"/>
      <c r="P766" s="177"/>
      <c r="Q766" s="177"/>
      <c r="R766" s="177"/>
    </row>
    <row r="767">
      <c r="N767" s="177"/>
      <c r="O767" s="177"/>
      <c r="P767" s="177"/>
      <c r="Q767" s="177"/>
      <c r="R767" s="177"/>
    </row>
    <row r="768">
      <c r="N768" s="177"/>
      <c r="O768" s="177"/>
      <c r="P768" s="177"/>
      <c r="Q768" s="177"/>
      <c r="R768" s="177"/>
    </row>
    <row r="769">
      <c r="N769" s="177"/>
      <c r="O769" s="177"/>
      <c r="P769" s="177"/>
      <c r="Q769" s="177"/>
      <c r="R769" s="177"/>
    </row>
    <row r="770">
      <c r="N770" s="177"/>
      <c r="O770" s="177"/>
      <c r="P770" s="177"/>
      <c r="Q770" s="177"/>
      <c r="R770" s="177"/>
    </row>
    <row r="771">
      <c r="N771" s="177"/>
      <c r="O771" s="177"/>
      <c r="P771" s="177"/>
      <c r="Q771" s="177"/>
      <c r="R771" s="177"/>
    </row>
    <row r="772">
      <c r="N772" s="177"/>
      <c r="O772" s="177"/>
      <c r="P772" s="177"/>
      <c r="Q772" s="177"/>
      <c r="R772" s="177"/>
    </row>
    <row r="773">
      <c r="N773" s="177"/>
      <c r="O773" s="177"/>
      <c r="P773" s="177"/>
      <c r="Q773" s="177"/>
      <c r="R773" s="177"/>
    </row>
    <row r="774">
      <c r="N774" s="177"/>
      <c r="O774" s="177"/>
      <c r="P774" s="177"/>
      <c r="Q774" s="177"/>
      <c r="R774" s="177"/>
    </row>
    <row r="775">
      <c r="N775" s="177"/>
      <c r="O775" s="177"/>
      <c r="P775" s="177"/>
      <c r="Q775" s="177"/>
      <c r="R775" s="177"/>
    </row>
    <row r="776">
      <c r="N776" s="177"/>
      <c r="O776" s="177"/>
      <c r="P776" s="177"/>
      <c r="Q776" s="177"/>
      <c r="R776" s="177"/>
    </row>
    <row r="777">
      <c r="N777" s="177"/>
      <c r="O777" s="177"/>
      <c r="P777" s="177"/>
      <c r="Q777" s="177"/>
      <c r="R777" s="177"/>
    </row>
    <row r="778">
      <c r="N778" s="177"/>
      <c r="O778" s="177"/>
      <c r="P778" s="177"/>
      <c r="Q778" s="177"/>
      <c r="R778" s="177"/>
    </row>
    <row r="779">
      <c r="N779" s="177"/>
      <c r="O779" s="177"/>
      <c r="P779" s="177"/>
      <c r="Q779" s="177"/>
      <c r="R779" s="177"/>
    </row>
    <row r="780">
      <c r="N780" s="177"/>
      <c r="O780" s="177"/>
      <c r="P780" s="177"/>
      <c r="Q780" s="177"/>
      <c r="R780" s="177"/>
    </row>
    <row r="781">
      <c r="N781" s="177"/>
      <c r="O781" s="177"/>
      <c r="P781" s="177"/>
      <c r="Q781" s="177"/>
      <c r="R781" s="177"/>
    </row>
    <row r="782">
      <c r="N782" s="177"/>
      <c r="O782" s="177"/>
      <c r="P782" s="177"/>
      <c r="Q782" s="177"/>
      <c r="R782" s="177"/>
    </row>
    <row r="783">
      <c r="N783" s="177"/>
      <c r="O783" s="177"/>
      <c r="P783" s="177"/>
      <c r="Q783" s="177"/>
      <c r="R783" s="177"/>
    </row>
    <row r="784">
      <c r="N784" s="177"/>
      <c r="O784" s="177"/>
      <c r="P784" s="177"/>
      <c r="Q784" s="177"/>
      <c r="R784" s="177"/>
    </row>
    <row r="785">
      <c r="N785" s="177"/>
      <c r="O785" s="177"/>
      <c r="P785" s="177"/>
      <c r="Q785" s="177"/>
      <c r="R785" s="177"/>
    </row>
    <row r="786">
      <c r="N786" s="177"/>
      <c r="O786" s="177"/>
      <c r="P786" s="177"/>
      <c r="Q786" s="177"/>
      <c r="R786" s="177"/>
    </row>
    <row r="787">
      <c r="N787" s="177"/>
      <c r="O787" s="177"/>
      <c r="P787" s="177"/>
      <c r="Q787" s="177"/>
      <c r="R787" s="177"/>
    </row>
    <row r="788">
      <c r="N788" s="177"/>
      <c r="O788" s="177"/>
      <c r="P788" s="177"/>
      <c r="Q788" s="177"/>
      <c r="R788" s="177"/>
    </row>
    <row r="789">
      <c r="N789" s="177"/>
      <c r="O789" s="177"/>
      <c r="P789" s="177"/>
      <c r="Q789" s="177"/>
      <c r="R789" s="177"/>
    </row>
    <row r="790">
      <c r="N790" s="177"/>
      <c r="O790" s="177"/>
      <c r="P790" s="177"/>
      <c r="Q790" s="177"/>
      <c r="R790" s="177"/>
    </row>
    <row r="791">
      <c r="N791" s="177"/>
      <c r="O791" s="177"/>
      <c r="P791" s="177"/>
      <c r="Q791" s="177"/>
      <c r="R791" s="177"/>
    </row>
    <row r="792">
      <c r="N792" s="177"/>
      <c r="O792" s="177"/>
      <c r="P792" s="177"/>
      <c r="Q792" s="177"/>
      <c r="R792" s="177"/>
    </row>
    <row r="793">
      <c r="N793" s="177"/>
      <c r="O793" s="177"/>
      <c r="P793" s="177"/>
      <c r="Q793" s="177"/>
      <c r="R793" s="177"/>
    </row>
    <row r="794">
      <c r="N794" s="177"/>
      <c r="O794" s="177"/>
      <c r="P794" s="177"/>
      <c r="Q794" s="177"/>
      <c r="R794" s="177"/>
    </row>
    <row r="795">
      <c r="N795" s="177"/>
      <c r="O795" s="177"/>
      <c r="P795" s="177"/>
      <c r="Q795" s="177"/>
      <c r="R795" s="177"/>
    </row>
    <row r="796">
      <c r="N796" s="177"/>
      <c r="O796" s="177"/>
      <c r="P796" s="177"/>
      <c r="Q796" s="177"/>
      <c r="R796" s="177"/>
    </row>
    <row r="797">
      <c r="N797" s="177"/>
      <c r="O797" s="177"/>
      <c r="P797" s="177"/>
      <c r="Q797" s="177"/>
      <c r="R797" s="177"/>
    </row>
    <row r="798">
      <c r="N798" s="177"/>
      <c r="O798" s="177"/>
      <c r="P798" s="177"/>
      <c r="Q798" s="177"/>
      <c r="R798" s="177"/>
    </row>
    <row r="799">
      <c r="N799" s="177"/>
      <c r="O799" s="177"/>
      <c r="P799" s="177"/>
      <c r="Q799" s="177"/>
      <c r="R799" s="177"/>
    </row>
    <row r="800">
      <c r="N800" s="177"/>
      <c r="O800" s="177"/>
      <c r="P800" s="177"/>
      <c r="Q800" s="177"/>
      <c r="R800" s="177"/>
    </row>
    <row r="801">
      <c r="N801" s="177"/>
      <c r="O801" s="177"/>
      <c r="P801" s="177"/>
      <c r="Q801" s="177"/>
      <c r="R801" s="177"/>
    </row>
    <row r="802">
      <c r="N802" s="177"/>
      <c r="O802" s="177"/>
      <c r="P802" s="177"/>
      <c r="Q802" s="177"/>
      <c r="R802" s="177"/>
    </row>
    <row r="803">
      <c r="N803" s="177"/>
      <c r="O803" s="177"/>
      <c r="P803" s="177"/>
      <c r="Q803" s="177"/>
      <c r="R803" s="177"/>
    </row>
    <row r="804">
      <c r="N804" s="177"/>
      <c r="O804" s="177"/>
      <c r="P804" s="177"/>
      <c r="Q804" s="177"/>
      <c r="R804" s="177"/>
    </row>
    <row r="805">
      <c r="N805" s="177"/>
      <c r="O805" s="177"/>
      <c r="P805" s="177"/>
      <c r="Q805" s="177"/>
      <c r="R805" s="177"/>
    </row>
    <row r="806">
      <c r="N806" s="177"/>
      <c r="O806" s="177"/>
      <c r="P806" s="177"/>
      <c r="Q806" s="177"/>
      <c r="R806" s="177"/>
    </row>
    <row r="807">
      <c r="N807" s="177"/>
      <c r="O807" s="177"/>
      <c r="P807" s="177"/>
      <c r="Q807" s="177"/>
      <c r="R807" s="177"/>
    </row>
    <row r="808">
      <c r="N808" s="177"/>
      <c r="O808" s="177"/>
      <c r="P808" s="177"/>
      <c r="Q808" s="177"/>
      <c r="R808" s="177"/>
    </row>
    <row r="809">
      <c r="N809" s="177"/>
      <c r="O809" s="177"/>
      <c r="P809" s="177"/>
      <c r="Q809" s="177"/>
      <c r="R809" s="177"/>
    </row>
    <row r="810">
      <c r="N810" s="177"/>
      <c r="O810" s="177"/>
      <c r="P810" s="177"/>
      <c r="Q810" s="177"/>
      <c r="R810" s="177"/>
    </row>
    <row r="811">
      <c r="N811" s="177"/>
      <c r="O811" s="177"/>
      <c r="P811" s="177"/>
      <c r="Q811" s="177"/>
      <c r="R811" s="177"/>
    </row>
    <row r="812">
      <c r="N812" s="177"/>
      <c r="O812" s="177"/>
      <c r="P812" s="177"/>
      <c r="Q812" s="177"/>
      <c r="R812" s="177"/>
    </row>
    <row r="813">
      <c r="N813" s="177"/>
      <c r="O813" s="177"/>
      <c r="P813" s="177"/>
      <c r="Q813" s="177"/>
      <c r="R813" s="177"/>
    </row>
    <row r="814">
      <c r="N814" s="177"/>
      <c r="O814" s="177"/>
      <c r="P814" s="177"/>
      <c r="Q814" s="177"/>
      <c r="R814" s="177"/>
    </row>
    <row r="815">
      <c r="N815" s="177"/>
      <c r="O815" s="177"/>
      <c r="P815" s="177"/>
      <c r="Q815" s="177"/>
      <c r="R815" s="177"/>
    </row>
    <row r="816">
      <c r="N816" s="177"/>
      <c r="O816" s="177"/>
      <c r="P816" s="177"/>
      <c r="Q816" s="177"/>
      <c r="R816" s="177"/>
    </row>
    <row r="817">
      <c r="N817" s="177"/>
      <c r="O817" s="177"/>
      <c r="P817" s="177"/>
      <c r="Q817" s="177"/>
      <c r="R817" s="177"/>
    </row>
    <row r="818">
      <c r="N818" s="177"/>
      <c r="O818" s="177"/>
      <c r="P818" s="177"/>
      <c r="Q818" s="177"/>
      <c r="R818" s="177"/>
    </row>
    <row r="819">
      <c r="N819" s="177"/>
      <c r="O819" s="177"/>
      <c r="P819" s="177"/>
      <c r="Q819" s="177"/>
      <c r="R819" s="177"/>
    </row>
    <row r="820">
      <c r="N820" s="177"/>
      <c r="O820" s="177"/>
      <c r="P820" s="177"/>
      <c r="Q820" s="177"/>
      <c r="R820" s="177"/>
    </row>
    <row r="821">
      <c r="N821" s="177"/>
      <c r="O821" s="177"/>
      <c r="P821" s="177"/>
      <c r="Q821" s="177"/>
      <c r="R821" s="177"/>
    </row>
    <row r="822">
      <c r="N822" s="177"/>
      <c r="O822" s="177"/>
      <c r="P822" s="177"/>
      <c r="Q822" s="177"/>
      <c r="R822" s="177"/>
    </row>
    <row r="823">
      <c r="N823" s="177"/>
      <c r="O823" s="177"/>
      <c r="P823" s="177"/>
      <c r="Q823" s="177"/>
      <c r="R823" s="177"/>
    </row>
    <row r="824">
      <c r="N824" s="177"/>
      <c r="O824" s="177"/>
      <c r="P824" s="177"/>
      <c r="Q824" s="177"/>
      <c r="R824" s="177"/>
    </row>
    <row r="825">
      <c r="N825" s="177"/>
      <c r="O825" s="177"/>
      <c r="P825" s="177"/>
      <c r="Q825" s="177"/>
      <c r="R825" s="177"/>
    </row>
    <row r="826">
      <c r="N826" s="177"/>
      <c r="O826" s="177"/>
      <c r="P826" s="177"/>
      <c r="Q826" s="177"/>
      <c r="R826" s="177"/>
    </row>
    <row r="827">
      <c r="N827" s="177"/>
      <c r="O827" s="177"/>
      <c r="P827" s="177"/>
      <c r="Q827" s="177"/>
      <c r="R827" s="177"/>
    </row>
    <row r="828">
      <c r="N828" s="177"/>
      <c r="O828" s="177"/>
      <c r="P828" s="177"/>
      <c r="Q828" s="177"/>
      <c r="R828" s="177"/>
    </row>
    <row r="829">
      <c r="N829" s="177"/>
      <c r="O829" s="177"/>
      <c r="P829" s="177"/>
      <c r="Q829" s="177"/>
      <c r="R829" s="177"/>
    </row>
    <row r="830">
      <c r="N830" s="177"/>
      <c r="O830" s="177"/>
      <c r="P830" s="177"/>
      <c r="Q830" s="177"/>
      <c r="R830" s="177"/>
    </row>
    <row r="831">
      <c r="N831" s="177"/>
      <c r="O831" s="177"/>
      <c r="P831" s="177"/>
      <c r="Q831" s="177"/>
      <c r="R831" s="177"/>
    </row>
    <row r="832">
      <c r="N832" s="177"/>
      <c r="O832" s="177"/>
      <c r="P832" s="177"/>
      <c r="Q832" s="177"/>
      <c r="R832" s="177"/>
    </row>
    <row r="833">
      <c r="N833" s="177"/>
      <c r="O833" s="177"/>
      <c r="P833" s="177"/>
      <c r="Q833" s="177"/>
      <c r="R833" s="177"/>
    </row>
    <row r="834">
      <c r="N834" s="177"/>
      <c r="O834" s="177"/>
      <c r="P834" s="177"/>
      <c r="Q834" s="177"/>
      <c r="R834" s="177"/>
    </row>
    <row r="835">
      <c r="N835" s="177"/>
      <c r="O835" s="177"/>
      <c r="P835" s="177"/>
      <c r="Q835" s="177"/>
      <c r="R835" s="177"/>
    </row>
    <row r="836">
      <c r="N836" s="177"/>
      <c r="O836" s="177"/>
      <c r="P836" s="177"/>
      <c r="Q836" s="177"/>
      <c r="R836" s="177"/>
    </row>
    <row r="837">
      <c r="N837" s="177"/>
      <c r="O837" s="177"/>
      <c r="P837" s="177"/>
      <c r="Q837" s="177"/>
      <c r="R837" s="177"/>
    </row>
    <row r="838">
      <c r="N838" s="177"/>
      <c r="O838" s="177"/>
      <c r="P838" s="177"/>
      <c r="Q838" s="177"/>
      <c r="R838" s="177"/>
    </row>
    <row r="839">
      <c r="N839" s="177"/>
      <c r="O839" s="177"/>
      <c r="P839" s="177"/>
      <c r="Q839" s="177"/>
      <c r="R839" s="177"/>
    </row>
    <row r="840">
      <c r="N840" s="177"/>
      <c r="O840" s="177"/>
      <c r="P840" s="177"/>
      <c r="Q840" s="177"/>
      <c r="R840" s="177"/>
    </row>
    <row r="841">
      <c r="N841" s="177"/>
      <c r="O841" s="177"/>
      <c r="P841" s="177"/>
      <c r="Q841" s="177"/>
      <c r="R841" s="177"/>
    </row>
    <row r="842">
      <c r="N842" s="177"/>
      <c r="O842" s="177"/>
      <c r="P842" s="177"/>
      <c r="Q842" s="177"/>
      <c r="R842" s="177"/>
    </row>
    <row r="843">
      <c r="N843" s="177"/>
      <c r="O843" s="177"/>
      <c r="P843" s="177"/>
      <c r="Q843" s="177"/>
      <c r="R843" s="177"/>
    </row>
    <row r="844">
      <c r="N844" s="177"/>
      <c r="O844" s="177"/>
      <c r="P844" s="177"/>
      <c r="Q844" s="177"/>
      <c r="R844" s="177"/>
    </row>
    <row r="845">
      <c r="N845" s="177"/>
      <c r="O845" s="177"/>
      <c r="P845" s="177"/>
      <c r="Q845" s="177"/>
      <c r="R845" s="177"/>
    </row>
    <row r="846">
      <c r="N846" s="177"/>
      <c r="O846" s="177"/>
      <c r="P846" s="177"/>
      <c r="Q846" s="177"/>
      <c r="R846" s="177"/>
    </row>
    <row r="847">
      <c r="N847" s="177"/>
      <c r="O847" s="177"/>
      <c r="P847" s="177"/>
      <c r="Q847" s="177"/>
      <c r="R847" s="177"/>
    </row>
    <row r="848">
      <c r="N848" s="177"/>
      <c r="O848" s="177"/>
      <c r="P848" s="177"/>
      <c r="Q848" s="177"/>
      <c r="R848" s="177"/>
    </row>
    <row r="849">
      <c r="N849" s="177"/>
      <c r="O849" s="177"/>
      <c r="P849" s="177"/>
      <c r="Q849" s="177"/>
      <c r="R849" s="177"/>
    </row>
    <row r="850">
      <c r="N850" s="177"/>
      <c r="O850" s="177"/>
      <c r="P850" s="177"/>
      <c r="Q850" s="177"/>
      <c r="R850" s="177"/>
    </row>
    <row r="851">
      <c r="N851" s="177"/>
      <c r="O851" s="177"/>
      <c r="P851" s="177"/>
      <c r="Q851" s="177"/>
      <c r="R851" s="177"/>
    </row>
    <row r="852">
      <c r="N852" s="177"/>
      <c r="O852" s="177"/>
      <c r="P852" s="177"/>
      <c r="Q852" s="177"/>
      <c r="R852" s="177"/>
    </row>
    <row r="853">
      <c r="N853" s="177"/>
      <c r="O853" s="177"/>
      <c r="P853" s="177"/>
      <c r="Q853" s="177"/>
      <c r="R853" s="177"/>
    </row>
    <row r="854">
      <c r="N854" s="177"/>
      <c r="O854" s="177"/>
      <c r="P854" s="177"/>
      <c r="Q854" s="177"/>
      <c r="R854" s="177"/>
    </row>
    <row r="855">
      <c r="N855" s="177"/>
      <c r="O855" s="177"/>
      <c r="P855" s="177"/>
      <c r="Q855" s="177"/>
      <c r="R855" s="177"/>
    </row>
    <row r="856">
      <c r="N856" s="177"/>
      <c r="O856" s="177"/>
      <c r="P856" s="177"/>
      <c r="Q856" s="177"/>
      <c r="R856" s="177"/>
    </row>
    <row r="857">
      <c r="N857" s="177"/>
      <c r="O857" s="177"/>
      <c r="P857" s="177"/>
      <c r="Q857" s="177"/>
      <c r="R857" s="177"/>
    </row>
    <row r="858">
      <c r="N858" s="177"/>
      <c r="O858" s="177"/>
      <c r="P858" s="177"/>
      <c r="Q858" s="177"/>
      <c r="R858" s="177"/>
    </row>
    <row r="859">
      <c r="N859" s="177"/>
      <c r="O859" s="177"/>
      <c r="P859" s="177"/>
      <c r="Q859" s="177"/>
      <c r="R859" s="177"/>
    </row>
    <row r="860">
      <c r="N860" s="177"/>
      <c r="O860" s="177"/>
      <c r="P860" s="177"/>
      <c r="Q860" s="177"/>
      <c r="R860" s="177"/>
    </row>
    <row r="861">
      <c r="N861" s="177"/>
      <c r="O861" s="177"/>
      <c r="P861" s="177"/>
      <c r="Q861" s="177"/>
      <c r="R861" s="177"/>
    </row>
    <row r="862">
      <c r="N862" s="177"/>
      <c r="O862" s="177"/>
      <c r="P862" s="177"/>
      <c r="Q862" s="177"/>
      <c r="R862" s="177"/>
    </row>
    <row r="863">
      <c r="N863" s="177"/>
      <c r="O863" s="177"/>
      <c r="P863" s="177"/>
      <c r="Q863" s="177"/>
      <c r="R863" s="177"/>
    </row>
    <row r="864">
      <c r="N864" s="177"/>
      <c r="O864" s="177"/>
      <c r="P864" s="177"/>
      <c r="Q864" s="177"/>
      <c r="R864" s="177"/>
    </row>
    <row r="865">
      <c r="N865" s="177"/>
      <c r="O865" s="177"/>
      <c r="P865" s="177"/>
      <c r="Q865" s="177"/>
      <c r="R865" s="177"/>
    </row>
    <row r="866">
      <c r="N866" s="177"/>
      <c r="O866" s="177"/>
      <c r="P866" s="177"/>
      <c r="Q866" s="177"/>
      <c r="R866" s="177"/>
    </row>
    <row r="867">
      <c r="N867" s="177"/>
      <c r="O867" s="177"/>
      <c r="P867" s="177"/>
      <c r="Q867" s="177"/>
      <c r="R867" s="177"/>
    </row>
    <row r="868">
      <c r="N868" s="177"/>
      <c r="O868" s="177"/>
      <c r="P868" s="177"/>
      <c r="Q868" s="177"/>
      <c r="R868" s="177"/>
    </row>
    <row r="869">
      <c r="N869" s="177"/>
      <c r="O869" s="177"/>
      <c r="P869" s="177"/>
      <c r="Q869" s="177"/>
      <c r="R869" s="177"/>
    </row>
    <row r="870">
      <c r="N870" s="177"/>
      <c r="O870" s="177"/>
      <c r="P870" s="177"/>
      <c r="Q870" s="177"/>
      <c r="R870" s="177"/>
    </row>
    <row r="871">
      <c r="N871" s="177"/>
      <c r="O871" s="177"/>
      <c r="P871" s="177"/>
      <c r="Q871" s="177"/>
      <c r="R871" s="177"/>
    </row>
    <row r="872">
      <c r="N872" s="177"/>
      <c r="O872" s="177"/>
      <c r="P872" s="177"/>
      <c r="Q872" s="177"/>
      <c r="R872" s="177"/>
    </row>
    <row r="873">
      <c r="N873" s="177"/>
      <c r="O873" s="177"/>
      <c r="P873" s="177"/>
      <c r="Q873" s="177"/>
      <c r="R873" s="177"/>
    </row>
    <row r="874">
      <c r="N874" s="177"/>
      <c r="O874" s="177"/>
      <c r="P874" s="177"/>
      <c r="Q874" s="177"/>
      <c r="R874" s="177"/>
    </row>
    <row r="875">
      <c r="N875" s="177"/>
      <c r="O875" s="177"/>
      <c r="P875" s="177"/>
      <c r="Q875" s="177"/>
      <c r="R875" s="177"/>
    </row>
    <row r="876">
      <c r="N876" s="177"/>
      <c r="O876" s="177"/>
      <c r="P876" s="177"/>
      <c r="Q876" s="177"/>
      <c r="R876" s="177"/>
    </row>
    <row r="877">
      <c r="N877" s="177"/>
      <c r="O877" s="177"/>
      <c r="P877" s="177"/>
      <c r="Q877" s="177"/>
      <c r="R877" s="177"/>
    </row>
    <row r="878">
      <c r="N878" s="177"/>
      <c r="O878" s="177"/>
      <c r="P878" s="177"/>
      <c r="Q878" s="177"/>
      <c r="R878" s="177"/>
    </row>
    <row r="879">
      <c r="N879" s="177"/>
      <c r="O879" s="177"/>
      <c r="P879" s="177"/>
      <c r="Q879" s="177"/>
      <c r="R879" s="177"/>
    </row>
    <row r="880">
      <c r="N880" s="177"/>
      <c r="O880" s="177"/>
      <c r="P880" s="177"/>
      <c r="Q880" s="177"/>
      <c r="R880" s="177"/>
    </row>
    <row r="881">
      <c r="N881" s="177"/>
      <c r="O881" s="177"/>
      <c r="P881" s="177"/>
      <c r="Q881" s="177"/>
      <c r="R881" s="177"/>
    </row>
    <row r="882">
      <c r="N882" s="177"/>
      <c r="O882" s="177"/>
      <c r="P882" s="177"/>
      <c r="Q882" s="177"/>
      <c r="R882" s="177"/>
    </row>
    <row r="883">
      <c r="N883" s="177"/>
      <c r="O883" s="177"/>
      <c r="P883" s="177"/>
      <c r="Q883" s="177"/>
      <c r="R883" s="177"/>
    </row>
    <row r="884">
      <c r="N884" s="177"/>
      <c r="O884" s="177"/>
      <c r="P884" s="177"/>
      <c r="Q884" s="177"/>
      <c r="R884" s="177"/>
    </row>
    <row r="885">
      <c r="N885" s="177"/>
      <c r="O885" s="177"/>
      <c r="P885" s="177"/>
      <c r="Q885" s="177"/>
      <c r="R885" s="177"/>
    </row>
    <row r="886">
      <c r="N886" s="177"/>
      <c r="O886" s="177"/>
      <c r="P886" s="177"/>
      <c r="Q886" s="177"/>
      <c r="R886" s="177"/>
    </row>
    <row r="887">
      <c r="N887" s="177"/>
      <c r="O887" s="177"/>
      <c r="P887" s="177"/>
      <c r="Q887" s="177"/>
      <c r="R887" s="177"/>
    </row>
    <row r="888">
      <c r="N888" s="177"/>
      <c r="O888" s="177"/>
      <c r="P888" s="177"/>
      <c r="Q888" s="177"/>
      <c r="R888" s="177"/>
    </row>
    <row r="889">
      <c r="N889" s="177"/>
      <c r="O889" s="177"/>
      <c r="P889" s="177"/>
      <c r="Q889" s="177"/>
      <c r="R889" s="177"/>
    </row>
    <row r="890">
      <c r="N890" s="177"/>
      <c r="O890" s="177"/>
      <c r="P890" s="177"/>
      <c r="Q890" s="177"/>
      <c r="R890" s="177"/>
    </row>
    <row r="891">
      <c r="N891" s="177"/>
      <c r="O891" s="177"/>
      <c r="P891" s="177"/>
      <c r="Q891" s="177"/>
      <c r="R891" s="177"/>
    </row>
    <row r="892">
      <c r="N892" s="177"/>
      <c r="O892" s="177"/>
      <c r="P892" s="177"/>
      <c r="Q892" s="177"/>
      <c r="R892" s="177"/>
    </row>
    <row r="893">
      <c r="N893" s="177"/>
      <c r="O893" s="177"/>
      <c r="P893" s="177"/>
      <c r="Q893" s="177"/>
      <c r="R893" s="177"/>
    </row>
    <row r="894">
      <c r="N894" s="177"/>
      <c r="O894" s="177"/>
      <c r="P894" s="177"/>
      <c r="Q894" s="177"/>
      <c r="R894" s="177"/>
    </row>
    <row r="895">
      <c r="N895" s="177"/>
      <c r="O895" s="177"/>
      <c r="P895" s="177"/>
      <c r="Q895" s="177"/>
      <c r="R895" s="177"/>
    </row>
    <row r="896">
      <c r="N896" s="177"/>
      <c r="O896" s="177"/>
      <c r="P896" s="177"/>
      <c r="Q896" s="177"/>
      <c r="R896" s="177"/>
    </row>
    <row r="897">
      <c r="N897" s="177"/>
      <c r="O897" s="177"/>
      <c r="P897" s="177"/>
      <c r="Q897" s="177"/>
      <c r="R897" s="177"/>
    </row>
    <row r="898">
      <c r="N898" s="177"/>
      <c r="O898" s="177"/>
      <c r="P898" s="177"/>
      <c r="Q898" s="177"/>
      <c r="R898" s="177"/>
    </row>
    <row r="899">
      <c r="N899" s="177"/>
      <c r="O899" s="177"/>
      <c r="P899" s="177"/>
      <c r="Q899" s="177"/>
      <c r="R899" s="177"/>
    </row>
    <row r="900">
      <c r="N900" s="177"/>
      <c r="O900" s="177"/>
      <c r="P900" s="177"/>
      <c r="Q900" s="177"/>
      <c r="R900" s="177"/>
    </row>
    <row r="901">
      <c r="N901" s="177"/>
      <c r="O901" s="177"/>
      <c r="P901" s="177"/>
      <c r="Q901" s="177"/>
      <c r="R901" s="177"/>
    </row>
    <row r="902">
      <c r="N902" s="177"/>
      <c r="O902" s="177"/>
      <c r="P902" s="177"/>
      <c r="Q902" s="177"/>
      <c r="R902" s="177"/>
    </row>
    <row r="903">
      <c r="N903" s="177"/>
      <c r="O903" s="177"/>
      <c r="P903" s="177"/>
      <c r="Q903" s="177"/>
      <c r="R903" s="177"/>
    </row>
    <row r="904">
      <c r="N904" s="177"/>
      <c r="O904" s="177"/>
      <c r="P904" s="177"/>
      <c r="Q904" s="177"/>
      <c r="R904" s="177"/>
    </row>
    <row r="905">
      <c r="N905" s="177"/>
      <c r="O905" s="177"/>
      <c r="P905" s="177"/>
      <c r="Q905" s="177"/>
      <c r="R905" s="177"/>
    </row>
    <row r="906">
      <c r="N906" s="177"/>
      <c r="O906" s="177"/>
      <c r="P906" s="177"/>
      <c r="Q906" s="177"/>
      <c r="R906" s="177"/>
    </row>
    <row r="907">
      <c r="N907" s="177"/>
      <c r="O907" s="177"/>
      <c r="P907" s="177"/>
      <c r="Q907" s="177"/>
      <c r="R907" s="177"/>
    </row>
    <row r="908">
      <c r="N908" s="177"/>
      <c r="O908" s="177"/>
      <c r="P908" s="177"/>
      <c r="Q908" s="177"/>
      <c r="R908" s="177"/>
    </row>
    <row r="909">
      <c r="N909" s="177"/>
      <c r="O909" s="177"/>
      <c r="P909" s="177"/>
      <c r="Q909" s="177"/>
      <c r="R909" s="177"/>
    </row>
    <row r="910">
      <c r="N910" s="177"/>
      <c r="O910" s="177"/>
      <c r="P910" s="177"/>
      <c r="Q910" s="177"/>
      <c r="R910" s="177"/>
    </row>
    <row r="911">
      <c r="N911" s="177"/>
      <c r="O911" s="177"/>
      <c r="P911" s="177"/>
      <c r="Q911" s="177"/>
      <c r="R911" s="177"/>
    </row>
    <row r="912">
      <c r="N912" s="177"/>
      <c r="O912" s="177"/>
      <c r="P912" s="177"/>
      <c r="Q912" s="177"/>
      <c r="R912" s="177"/>
    </row>
    <row r="913">
      <c r="N913" s="177"/>
      <c r="O913" s="177"/>
      <c r="P913" s="177"/>
      <c r="Q913" s="177"/>
      <c r="R913" s="177"/>
    </row>
    <row r="914">
      <c r="N914" s="177"/>
      <c r="O914" s="177"/>
      <c r="P914" s="177"/>
      <c r="Q914" s="177"/>
      <c r="R914" s="177"/>
    </row>
    <row r="915">
      <c r="N915" s="177"/>
      <c r="O915" s="177"/>
      <c r="P915" s="177"/>
      <c r="Q915" s="177"/>
      <c r="R915" s="177"/>
    </row>
    <row r="916">
      <c r="N916" s="177"/>
      <c r="O916" s="177"/>
      <c r="P916" s="177"/>
      <c r="Q916" s="177"/>
      <c r="R916" s="177"/>
    </row>
    <row r="917">
      <c r="N917" s="177"/>
      <c r="O917" s="177"/>
      <c r="P917" s="177"/>
      <c r="Q917" s="177"/>
      <c r="R917" s="177"/>
    </row>
    <row r="918">
      <c r="N918" s="177"/>
      <c r="O918" s="177"/>
      <c r="P918" s="177"/>
      <c r="Q918" s="177"/>
      <c r="R918" s="177"/>
    </row>
    <row r="919">
      <c r="N919" s="177"/>
      <c r="O919" s="177"/>
      <c r="P919" s="177"/>
      <c r="Q919" s="177"/>
      <c r="R919" s="177"/>
    </row>
    <row r="920">
      <c r="N920" s="177"/>
      <c r="O920" s="177"/>
      <c r="P920" s="177"/>
      <c r="Q920" s="177"/>
      <c r="R920" s="177"/>
    </row>
    <row r="921">
      <c r="N921" s="177"/>
      <c r="O921" s="177"/>
      <c r="P921" s="177"/>
      <c r="Q921" s="177"/>
      <c r="R921" s="177"/>
    </row>
    <row r="922">
      <c r="N922" s="177"/>
      <c r="O922" s="177"/>
      <c r="P922" s="177"/>
      <c r="Q922" s="177"/>
      <c r="R922" s="177"/>
    </row>
    <row r="923">
      <c r="N923" s="177"/>
      <c r="O923" s="177"/>
      <c r="P923" s="177"/>
      <c r="Q923" s="177"/>
      <c r="R923" s="177"/>
    </row>
    <row r="924">
      <c r="N924" s="177"/>
      <c r="O924" s="177"/>
      <c r="P924" s="177"/>
      <c r="Q924" s="177"/>
      <c r="R924" s="177"/>
    </row>
    <row r="925">
      <c r="N925" s="177"/>
      <c r="O925" s="177"/>
      <c r="P925" s="177"/>
      <c r="Q925" s="177"/>
      <c r="R925" s="177"/>
    </row>
    <row r="926">
      <c r="N926" s="177"/>
      <c r="O926" s="177"/>
      <c r="P926" s="177"/>
      <c r="Q926" s="177"/>
      <c r="R926" s="177"/>
    </row>
    <row r="927">
      <c r="N927" s="177"/>
      <c r="O927" s="177"/>
      <c r="P927" s="177"/>
      <c r="Q927" s="177"/>
      <c r="R927" s="177"/>
    </row>
    <row r="928">
      <c r="N928" s="177"/>
      <c r="O928" s="177"/>
      <c r="P928" s="177"/>
      <c r="Q928" s="177"/>
      <c r="R928" s="177"/>
    </row>
    <row r="929">
      <c r="N929" s="177"/>
      <c r="O929" s="177"/>
      <c r="P929" s="177"/>
      <c r="Q929" s="177"/>
      <c r="R929" s="177"/>
    </row>
    <row r="930">
      <c r="N930" s="177"/>
      <c r="O930" s="177"/>
      <c r="P930" s="177"/>
      <c r="Q930" s="177"/>
      <c r="R930" s="177"/>
    </row>
    <row r="931">
      <c r="N931" s="177"/>
      <c r="O931" s="177"/>
      <c r="P931" s="177"/>
      <c r="Q931" s="177"/>
      <c r="R931" s="177"/>
    </row>
    <row r="932">
      <c r="N932" s="177"/>
      <c r="O932" s="177"/>
      <c r="P932" s="177"/>
      <c r="Q932" s="177"/>
      <c r="R932" s="177"/>
    </row>
    <row r="933">
      <c r="N933" s="177"/>
      <c r="O933" s="177"/>
      <c r="P933" s="177"/>
      <c r="Q933" s="177"/>
      <c r="R933" s="177"/>
    </row>
    <row r="934">
      <c r="N934" s="177"/>
      <c r="O934" s="177"/>
      <c r="P934" s="177"/>
      <c r="Q934" s="177"/>
      <c r="R934" s="177"/>
    </row>
    <row r="935">
      <c r="N935" s="177"/>
      <c r="O935" s="177"/>
      <c r="P935" s="177"/>
      <c r="Q935" s="177"/>
      <c r="R935" s="177"/>
    </row>
    <row r="936">
      <c r="N936" s="177"/>
      <c r="O936" s="177"/>
      <c r="P936" s="177"/>
      <c r="Q936" s="177"/>
      <c r="R936" s="177"/>
    </row>
    <row r="937">
      <c r="N937" s="177"/>
      <c r="O937" s="177"/>
      <c r="P937" s="177"/>
      <c r="Q937" s="177"/>
      <c r="R937" s="177"/>
    </row>
    <row r="938">
      <c r="N938" s="177"/>
      <c r="O938" s="177"/>
      <c r="P938" s="177"/>
      <c r="Q938" s="177"/>
      <c r="R938" s="177"/>
    </row>
    <row r="939">
      <c r="N939" s="177"/>
      <c r="O939" s="177"/>
      <c r="P939" s="177"/>
      <c r="Q939" s="177"/>
      <c r="R939" s="177"/>
    </row>
    <row r="940">
      <c r="N940" s="177"/>
      <c r="O940" s="177"/>
      <c r="P940" s="177"/>
      <c r="Q940" s="177"/>
      <c r="R940" s="177"/>
    </row>
    <row r="941">
      <c r="N941" s="177"/>
      <c r="O941" s="177"/>
      <c r="P941" s="177"/>
      <c r="Q941" s="177"/>
      <c r="R941" s="177"/>
    </row>
    <row r="942">
      <c r="N942" s="177"/>
      <c r="O942" s="177"/>
      <c r="P942" s="177"/>
      <c r="Q942" s="177"/>
      <c r="R942" s="177"/>
    </row>
    <row r="943">
      <c r="N943" s="177"/>
      <c r="O943" s="177"/>
      <c r="P943" s="177"/>
      <c r="Q943" s="177"/>
      <c r="R943" s="177"/>
    </row>
    <row r="944">
      <c r="N944" s="177"/>
      <c r="O944" s="177"/>
      <c r="P944" s="177"/>
      <c r="Q944" s="177"/>
      <c r="R944" s="177"/>
    </row>
    <row r="945">
      <c r="N945" s="177"/>
      <c r="O945" s="177"/>
      <c r="P945" s="177"/>
      <c r="Q945" s="177"/>
      <c r="R945" s="177"/>
    </row>
    <row r="946">
      <c r="N946" s="177"/>
      <c r="O946" s="177"/>
      <c r="P946" s="177"/>
      <c r="Q946" s="177"/>
      <c r="R946" s="177"/>
    </row>
    <row r="947">
      <c r="N947" s="177"/>
      <c r="O947" s="177"/>
      <c r="P947" s="177"/>
      <c r="Q947" s="177"/>
      <c r="R947" s="177"/>
    </row>
    <row r="948">
      <c r="N948" s="177"/>
      <c r="O948" s="177"/>
      <c r="P948" s="177"/>
      <c r="Q948" s="177"/>
      <c r="R948" s="177"/>
    </row>
    <row r="949">
      <c r="N949" s="177"/>
      <c r="O949" s="177"/>
      <c r="P949" s="177"/>
      <c r="Q949" s="177"/>
      <c r="R949" s="177"/>
    </row>
    <row r="950">
      <c r="N950" s="177"/>
      <c r="O950" s="177"/>
      <c r="P950" s="177"/>
      <c r="Q950" s="177"/>
      <c r="R950" s="177"/>
    </row>
    <row r="951">
      <c r="N951" s="177"/>
      <c r="O951" s="177"/>
      <c r="P951" s="177"/>
      <c r="Q951" s="177"/>
      <c r="R951" s="177"/>
    </row>
    <row r="952">
      <c r="N952" s="177"/>
      <c r="O952" s="177"/>
      <c r="P952" s="177"/>
      <c r="Q952" s="177"/>
      <c r="R952" s="177"/>
    </row>
    <row r="953">
      <c r="N953" s="177"/>
      <c r="O953" s="177"/>
      <c r="P953" s="177"/>
      <c r="Q953" s="177"/>
      <c r="R953" s="177"/>
    </row>
    <row r="954">
      <c r="N954" s="177"/>
      <c r="O954" s="177"/>
      <c r="P954" s="177"/>
      <c r="Q954" s="177"/>
      <c r="R954" s="177"/>
    </row>
    <row r="955">
      <c r="N955" s="177"/>
      <c r="O955" s="177"/>
      <c r="P955" s="177"/>
      <c r="Q955" s="177"/>
      <c r="R955" s="177"/>
    </row>
    <row r="956">
      <c r="N956" s="177"/>
      <c r="O956" s="177"/>
      <c r="P956" s="177"/>
      <c r="Q956" s="177"/>
      <c r="R956" s="177"/>
    </row>
    <row r="957">
      <c r="N957" s="177"/>
      <c r="O957" s="177"/>
      <c r="P957" s="177"/>
      <c r="Q957" s="177"/>
      <c r="R957" s="177"/>
    </row>
    <row r="958">
      <c r="N958" s="177"/>
      <c r="O958" s="177"/>
      <c r="P958" s="177"/>
      <c r="Q958" s="177"/>
      <c r="R958" s="177"/>
    </row>
    <row r="959">
      <c r="N959" s="177"/>
      <c r="O959" s="177"/>
      <c r="P959" s="177"/>
      <c r="Q959" s="177"/>
      <c r="R959" s="177"/>
    </row>
    <row r="960">
      <c r="N960" s="177"/>
      <c r="O960" s="177"/>
      <c r="P960" s="177"/>
      <c r="Q960" s="177"/>
      <c r="R960" s="177"/>
    </row>
    <row r="961">
      <c r="N961" s="177"/>
      <c r="O961" s="177"/>
      <c r="P961" s="177"/>
      <c r="Q961" s="177"/>
      <c r="R961" s="177"/>
    </row>
    <row r="962">
      <c r="N962" s="177"/>
      <c r="O962" s="177"/>
      <c r="P962" s="177"/>
      <c r="Q962" s="177"/>
      <c r="R962" s="177"/>
    </row>
    <row r="963">
      <c r="N963" s="177"/>
      <c r="O963" s="177"/>
      <c r="P963" s="177"/>
      <c r="Q963" s="177"/>
      <c r="R963" s="177"/>
    </row>
    <row r="964">
      <c r="N964" s="177"/>
      <c r="O964" s="177"/>
      <c r="P964" s="177"/>
      <c r="Q964" s="177"/>
      <c r="R964" s="177"/>
    </row>
    <row r="965">
      <c r="N965" s="177"/>
      <c r="O965" s="177"/>
      <c r="P965" s="177"/>
      <c r="Q965" s="177"/>
      <c r="R965" s="177"/>
    </row>
    <row r="966">
      <c r="N966" s="177"/>
      <c r="O966" s="177"/>
      <c r="P966" s="177"/>
      <c r="Q966" s="177"/>
      <c r="R966" s="177"/>
    </row>
    <row r="967">
      <c r="N967" s="177"/>
      <c r="O967" s="177"/>
      <c r="P967" s="177"/>
      <c r="Q967" s="177"/>
      <c r="R967" s="177"/>
    </row>
    <row r="968">
      <c r="N968" s="177"/>
      <c r="O968" s="177"/>
      <c r="P968" s="177"/>
      <c r="Q968" s="177"/>
      <c r="R968" s="177"/>
    </row>
    <row r="969">
      <c r="N969" s="177"/>
      <c r="O969" s="177"/>
      <c r="P969" s="177"/>
      <c r="Q969" s="177"/>
      <c r="R969" s="177"/>
    </row>
    <row r="970">
      <c r="N970" s="177"/>
      <c r="O970" s="177"/>
      <c r="P970" s="177"/>
      <c r="Q970" s="177"/>
      <c r="R970" s="177"/>
    </row>
    <row r="971">
      <c r="N971" s="177"/>
      <c r="O971" s="177"/>
      <c r="P971" s="177"/>
      <c r="Q971" s="177"/>
      <c r="R971" s="177"/>
    </row>
    <row r="972">
      <c r="N972" s="177"/>
      <c r="O972" s="177"/>
      <c r="P972" s="177"/>
      <c r="Q972" s="177"/>
      <c r="R972" s="177"/>
    </row>
    <row r="973">
      <c r="N973" s="177"/>
      <c r="O973" s="177"/>
      <c r="P973" s="177"/>
      <c r="Q973" s="177"/>
      <c r="R973" s="177"/>
    </row>
    <row r="974">
      <c r="N974" s="177"/>
      <c r="O974" s="177"/>
      <c r="P974" s="177"/>
      <c r="Q974" s="177"/>
      <c r="R974" s="177"/>
    </row>
    <row r="975">
      <c r="N975" s="177"/>
      <c r="O975" s="177"/>
      <c r="P975" s="177"/>
      <c r="Q975" s="177"/>
      <c r="R975" s="177"/>
    </row>
    <row r="976">
      <c r="N976" s="177"/>
      <c r="O976" s="177"/>
      <c r="P976" s="177"/>
      <c r="Q976" s="177"/>
      <c r="R976" s="177"/>
    </row>
    <row r="977">
      <c r="N977" s="177"/>
      <c r="O977" s="177"/>
      <c r="P977" s="177"/>
      <c r="Q977" s="177"/>
      <c r="R977" s="177"/>
    </row>
    <row r="978">
      <c r="N978" s="177"/>
      <c r="O978" s="177"/>
      <c r="P978" s="177"/>
      <c r="Q978" s="177"/>
      <c r="R978" s="177"/>
    </row>
    <row r="979">
      <c r="N979" s="177"/>
      <c r="O979" s="177"/>
      <c r="P979" s="177"/>
      <c r="Q979" s="177"/>
      <c r="R979" s="177"/>
    </row>
    <row r="980">
      <c r="N980" s="177"/>
      <c r="O980" s="177"/>
      <c r="P980" s="177"/>
      <c r="Q980" s="177"/>
      <c r="R980" s="177"/>
    </row>
    <row r="981">
      <c r="N981" s="177"/>
      <c r="O981" s="177"/>
      <c r="P981" s="177"/>
      <c r="Q981" s="177"/>
      <c r="R981" s="177"/>
    </row>
    <row r="982">
      <c r="N982" s="177"/>
      <c r="O982" s="177"/>
      <c r="P982" s="177"/>
      <c r="Q982" s="177"/>
      <c r="R982" s="177"/>
    </row>
    <row r="983">
      <c r="N983" s="177"/>
      <c r="O983" s="177"/>
      <c r="P983" s="177"/>
      <c r="Q983" s="177"/>
      <c r="R983" s="177"/>
    </row>
    <row r="984">
      <c r="N984" s="177"/>
      <c r="O984" s="177"/>
      <c r="P984" s="177"/>
      <c r="Q984" s="177"/>
      <c r="R984" s="177"/>
    </row>
    <row r="985">
      <c r="N985" s="177"/>
      <c r="O985" s="177"/>
      <c r="P985" s="177"/>
      <c r="Q985" s="177"/>
      <c r="R985" s="177"/>
    </row>
    <row r="986">
      <c r="N986" s="177"/>
      <c r="O986" s="177"/>
      <c r="P986" s="177"/>
      <c r="Q986" s="177"/>
      <c r="R986" s="177"/>
    </row>
    <row r="987">
      <c r="N987" s="177"/>
      <c r="O987" s="177"/>
      <c r="P987" s="177"/>
      <c r="Q987" s="177"/>
      <c r="R987" s="177"/>
    </row>
    <row r="988">
      <c r="N988" s="177"/>
      <c r="O988" s="177"/>
      <c r="P988" s="177"/>
      <c r="Q988" s="177"/>
      <c r="R988" s="177"/>
    </row>
    <row r="989">
      <c r="N989" s="177"/>
      <c r="O989" s="177"/>
      <c r="P989" s="177"/>
      <c r="Q989" s="177"/>
      <c r="R989" s="177"/>
    </row>
    <row r="990">
      <c r="N990" s="177"/>
      <c r="O990" s="177"/>
      <c r="P990" s="177"/>
      <c r="Q990" s="177"/>
      <c r="R990" s="177"/>
    </row>
    <row r="991">
      <c r="N991" s="177"/>
      <c r="O991" s="177"/>
      <c r="P991" s="177"/>
      <c r="Q991" s="177"/>
      <c r="R991" s="177"/>
    </row>
    <row r="992">
      <c r="N992" s="177"/>
      <c r="O992" s="177"/>
      <c r="P992" s="177"/>
      <c r="Q992" s="177"/>
      <c r="R992" s="177"/>
    </row>
    <row r="993">
      <c r="N993" s="177"/>
      <c r="O993" s="177"/>
      <c r="P993" s="177"/>
      <c r="Q993" s="177"/>
      <c r="R993" s="177"/>
    </row>
    <row r="994">
      <c r="N994" s="177"/>
      <c r="O994" s="177"/>
      <c r="P994" s="177"/>
      <c r="Q994" s="177"/>
      <c r="R994" s="177"/>
    </row>
    <row r="995">
      <c r="N995" s="177"/>
      <c r="O995" s="177"/>
      <c r="P995" s="177"/>
      <c r="Q995" s="177"/>
      <c r="R995" s="177"/>
    </row>
    <row r="996">
      <c r="N996" s="177"/>
      <c r="O996" s="177"/>
      <c r="P996" s="177"/>
      <c r="Q996" s="177"/>
      <c r="R996" s="177"/>
    </row>
    <row r="997">
      <c r="N997" s="177"/>
      <c r="O997" s="177"/>
      <c r="P997" s="177"/>
      <c r="Q997" s="177"/>
      <c r="R997" s="177"/>
    </row>
    <row r="998">
      <c r="N998" s="177"/>
      <c r="O998" s="177"/>
      <c r="P998" s="177"/>
      <c r="Q998" s="177"/>
      <c r="R998" s="177"/>
    </row>
    <row r="999">
      <c r="N999" s="177"/>
      <c r="O999" s="177"/>
      <c r="P999" s="177"/>
      <c r="Q999" s="177"/>
      <c r="R999" s="177"/>
    </row>
    <row r="1000">
      <c r="N1000" s="177"/>
      <c r="O1000" s="177"/>
      <c r="P1000" s="177"/>
      <c r="Q1000" s="177"/>
      <c r="R1000" s="177"/>
    </row>
  </sheetData>
  <mergeCells count="5">
    <mergeCell ref="N1:O1"/>
    <mergeCell ref="P1:Q1"/>
    <mergeCell ref="R1:S1"/>
    <mergeCell ref="N18:O18"/>
    <mergeCell ref="P18:Q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5.13"/>
    <col customWidth="1" min="3" max="3" width="46.0"/>
    <col customWidth="1" min="4" max="4" width="17.63"/>
    <col customWidth="1" min="5" max="5" width="35.38"/>
    <col customWidth="1" min="6" max="6" width="12.75"/>
    <col customWidth="1" min="12" max="12" width="14.63"/>
    <col customWidth="1" min="18" max="18" width="17.13"/>
    <col customWidth="1" min="19" max="19" width="49.63"/>
    <col customWidth="1" hidden="1" min="20" max="20" width="24.13"/>
    <col customWidth="1" min="21" max="21" width="12.25"/>
    <col customWidth="1" min="22" max="23" width="8.88"/>
  </cols>
  <sheetData>
    <row r="1" ht="12.0" customHeight="1">
      <c r="A1" s="60"/>
      <c r="B1" s="60"/>
      <c r="C1" s="60"/>
      <c r="D1" s="60"/>
      <c r="E1" s="61"/>
      <c r="F1" s="202"/>
      <c r="G1" s="203"/>
      <c r="H1" s="203"/>
      <c r="I1" s="204"/>
      <c r="J1" s="61"/>
      <c r="K1" s="61"/>
      <c r="L1" s="61"/>
      <c r="M1" s="61"/>
      <c r="N1" s="61"/>
      <c r="O1" s="61"/>
      <c r="P1" s="61"/>
      <c r="Q1" s="61"/>
      <c r="R1" s="61"/>
      <c r="S1" s="61"/>
      <c r="T1" s="205"/>
      <c r="U1" s="61"/>
      <c r="V1" s="61"/>
      <c r="W1" s="61"/>
    </row>
    <row r="2">
      <c r="A2" s="62" t="s">
        <v>3715</v>
      </c>
      <c r="B2" s="62"/>
      <c r="C2" s="61"/>
      <c r="D2" s="61"/>
      <c r="E2" s="61"/>
      <c r="F2" s="202"/>
      <c r="G2" s="203"/>
      <c r="H2" s="203"/>
      <c r="I2" s="204"/>
      <c r="J2" s="61"/>
      <c r="K2" s="61"/>
      <c r="L2" s="61"/>
      <c r="M2" s="61"/>
      <c r="N2" s="61"/>
      <c r="O2" s="61"/>
      <c r="P2" s="61"/>
      <c r="Q2" s="61"/>
      <c r="R2" s="85">
        <v>740679.72</v>
      </c>
      <c r="S2" s="61"/>
      <c r="T2" s="205"/>
      <c r="U2" s="61"/>
      <c r="V2" s="61"/>
      <c r="W2" s="61"/>
    </row>
    <row r="3">
      <c r="A3" s="63"/>
      <c r="B3" s="63"/>
      <c r="C3" s="61"/>
      <c r="D3" s="61"/>
      <c r="E3" s="61"/>
      <c r="F3" s="202"/>
      <c r="G3" s="203"/>
      <c r="H3" s="203"/>
      <c r="I3" s="204"/>
      <c r="J3" s="61"/>
      <c r="K3" s="61"/>
      <c r="L3" s="61"/>
      <c r="M3" s="203">
        <f t="shared" ref="M3:Q3" si="1">SUMIFS(M7:M137,$J$7:$J137,TRUE,$U$7:$U137,TRUE)</f>
        <v>239212.73</v>
      </c>
      <c r="N3" s="203">
        <f t="shared" si="1"/>
        <v>0</v>
      </c>
      <c r="O3" s="203">
        <f t="shared" si="1"/>
        <v>243517.55</v>
      </c>
      <c r="P3" s="203">
        <f t="shared" si="1"/>
        <v>20849.44</v>
      </c>
      <c r="Q3" s="203">
        <f t="shared" si="1"/>
        <v>0</v>
      </c>
      <c r="R3" s="206">
        <f>SUM(M3:Q3)</f>
        <v>503579.72</v>
      </c>
      <c r="S3" s="61"/>
      <c r="T3" s="205"/>
      <c r="U3" s="61"/>
      <c r="V3" s="61"/>
      <c r="W3" s="61"/>
    </row>
    <row r="4">
      <c r="A4" s="63"/>
      <c r="B4" s="63"/>
      <c r="C4" s="61"/>
      <c r="D4" s="61"/>
      <c r="E4" s="61"/>
      <c r="F4" s="202"/>
      <c r="G4" s="207">
        <f t="shared" ref="G4:H4" si="2">SUM(G6:G137)</f>
        <v>739470.82</v>
      </c>
      <c r="H4" s="207">
        <f t="shared" si="2"/>
        <v>608065.64</v>
      </c>
      <c r="I4" s="204"/>
      <c r="J4" s="61"/>
      <c r="K4" s="61"/>
      <c r="L4" s="61"/>
      <c r="M4" s="207">
        <f t="shared" ref="M4:Q4" si="3">SUM(M7:M137)</f>
        <v>239674.48</v>
      </c>
      <c r="N4" s="207">
        <f t="shared" si="3"/>
        <v>0</v>
      </c>
      <c r="O4" s="207">
        <f t="shared" si="3"/>
        <v>243517.55</v>
      </c>
      <c r="P4" s="207">
        <f t="shared" si="3"/>
        <v>20849.44</v>
      </c>
      <c r="Q4" s="207">
        <f t="shared" si="3"/>
        <v>0</v>
      </c>
      <c r="R4" s="89">
        <f>R2-R3</f>
        <v>237100</v>
      </c>
      <c r="S4" s="61"/>
      <c r="T4" s="205"/>
      <c r="U4" s="61"/>
      <c r="V4" s="61"/>
      <c r="W4" s="61"/>
    </row>
    <row r="5">
      <c r="A5" s="64" t="s">
        <v>136</v>
      </c>
      <c r="B5" s="64"/>
      <c r="C5" s="64" t="s">
        <v>3716</v>
      </c>
      <c r="D5" s="64" t="s">
        <v>3603</v>
      </c>
      <c r="E5" s="64" t="s">
        <v>78</v>
      </c>
      <c r="F5" s="79" t="s">
        <v>3717</v>
      </c>
      <c r="G5" s="208" t="s">
        <v>3718</v>
      </c>
      <c r="H5" s="208" t="s">
        <v>3719</v>
      </c>
      <c r="I5" s="209" t="s">
        <v>141</v>
      </c>
      <c r="J5" s="79" t="s">
        <v>3720</v>
      </c>
      <c r="K5" s="64" t="s">
        <v>79</v>
      </c>
      <c r="L5" s="64" t="s">
        <v>3721</v>
      </c>
      <c r="M5" s="210" t="s">
        <v>59</v>
      </c>
      <c r="N5" s="210" t="s">
        <v>3722</v>
      </c>
      <c r="O5" s="210" t="s">
        <v>63</v>
      </c>
      <c r="P5" s="210" t="s">
        <v>3605</v>
      </c>
      <c r="Q5" s="210" t="s">
        <v>67</v>
      </c>
      <c r="R5" s="64" t="s">
        <v>3723</v>
      </c>
      <c r="S5" s="64" t="s">
        <v>70</v>
      </c>
      <c r="T5" s="211" t="s">
        <v>70</v>
      </c>
      <c r="U5" s="212" t="s">
        <v>3724</v>
      </c>
      <c r="V5" s="61"/>
      <c r="W5" s="61"/>
    </row>
    <row r="6">
      <c r="A6" s="213" t="s">
        <v>3725</v>
      </c>
      <c r="B6" s="202"/>
      <c r="C6" s="65"/>
      <c r="D6" s="65"/>
      <c r="E6" s="65"/>
      <c r="F6" s="214"/>
      <c r="G6" s="215"/>
      <c r="H6" s="216"/>
      <c r="I6" s="217"/>
      <c r="J6" s="94"/>
      <c r="K6" s="95"/>
      <c r="L6" s="65"/>
      <c r="M6" s="218"/>
      <c r="N6" s="218"/>
      <c r="O6" s="218"/>
      <c r="P6" s="218"/>
      <c r="Q6" s="218"/>
      <c r="R6" s="65"/>
      <c r="S6" s="65"/>
      <c r="T6" s="219"/>
      <c r="U6" s="61" t="b">
        <v>0</v>
      </c>
      <c r="V6" s="61"/>
      <c r="W6" s="61"/>
    </row>
    <row r="7">
      <c r="A7" s="214">
        <v>1.0</v>
      </c>
      <c r="B7" s="202"/>
      <c r="C7" s="61" t="s">
        <v>3726</v>
      </c>
      <c r="D7" s="61" t="s">
        <v>3727</v>
      </c>
      <c r="E7" s="220" t="s">
        <v>3728</v>
      </c>
      <c r="F7" s="214">
        <v>47078.0</v>
      </c>
      <c r="G7" s="221">
        <v>193.01</v>
      </c>
      <c r="H7" s="221">
        <v>193.01</v>
      </c>
      <c r="I7" s="217">
        <v>44200.0</v>
      </c>
      <c r="J7" s="222" t="b">
        <v>1</v>
      </c>
      <c r="K7" s="95"/>
      <c r="L7" s="65" t="s">
        <v>3729</v>
      </c>
      <c r="M7" s="218" t="s">
        <v>3730</v>
      </c>
      <c r="N7" s="218" t="s">
        <v>3730</v>
      </c>
      <c r="O7" s="218">
        <v>241.44</v>
      </c>
      <c r="P7" s="218">
        <v>74.6</v>
      </c>
      <c r="Q7" s="218"/>
      <c r="R7" s="65" t="s">
        <v>3731</v>
      </c>
      <c r="S7" s="65" t="s">
        <v>3732</v>
      </c>
      <c r="T7" s="219" t="s">
        <v>3733</v>
      </c>
      <c r="U7" s="65" t="b">
        <v>1</v>
      </c>
      <c r="V7" s="61"/>
      <c r="W7" s="61"/>
    </row>
    <row r="8">
      <c r="A8" s="214">
        <v>2.0</v>
      </c>
      <c r="B8" s="202"/>
      <c r="C8" s="61" t="s">
        <v>3632</v>
      </c>
      <c r="D8" s="61" t="s">
        <v>3633</v>
      </c>
      <c r="E8" s="223" t="s">
        <v>3734</v>
      </c>
      <c r="F8" s="214">
        <v>68453.0</v>
      </c>
      <c r="G8" s="224">
        <v>2010.8</v>
      </c>
      <c r="H8" s="224">
        <v>2010.8</v>
      </c>
      <c r="I8" s="217">
        <v>44201.0</v>
      </c>
      <c r="J8" s="222" t="b">
        <v>1</v>
      </c>
      <c r="K8" s="95"/>
      <c r="L8" s="65" t="s">
        <v>3729</v>
      </c>
      <c r="M8" s="218">
        <v>131.88</v>
      </c>
      <c r="N8" s="218" t="s">
        <v>3730</v>
      </c>
      <c r="O8" s="218">
        <v>1115.74</v>
      </c>
      <c r="P8" s="218" t="s">
        <v>3730</v>
      </c>
      <c r="Q8" s="218"/>
      <c r="R8" s="65" t="s">
        <v>3731</v>
      </c>
      <c r="S8" s="65" t="s">
        <v>3735</v>
      </c>
      <c r="T8" s="65"/>
      <c r="U8" s="65" t="b">
        <v>1</v>
      </c>
      <c r="V8" s="61"/>
      <c r="W8" s="61"/>
    </row>
    <row r="9">
      <c r="A9" s="214">
        <v>3.0</v>
      </c>
      <c r="B9" s="202"/>
      <c r="C9" s="40" t="s">
        <v>3736</v>
      </c>
      <c r="D9" s="61"/>
      <c r="E9" s="223" t="s">
        <v>3737</v>
      </c>
      <c r="F9" s="214">
        <v>123287.0</v>
      </c>
      <c r="G9" s="224">
        <v>3208.5</v>
      </c>
      <c r="H9" s="224">
        <v>3208.5</v>
      </c>
      <c r="I9" s="217">
        <v>44203.0</v>
      </c>
      <c r="J9" s="222" t="b">
        <v>1</v>
      </c>
      <c r="K9" s="95"/>
      <c r="L9" s="65" t="s">
        <v>3729</v>
      </c>
      <c r="M9" s="218">
        <v>823.0</v>
      </c>
      <c r="N9" s="218" t="s">
        <v>3730</v>
      </c>
      <c r="O9" s="218">
        <v>823.0</v>
      </c>
      <c r="P9" s="218" t="s">
        <v>3730</v>
      </c>
      <c r="Q9" s="218"/>
      <c r="R9" s="65" t="s">
        <v>3731</v>
      </c>
      <c r="S9" s="65" t="s">
        <v>3738</v>
      </c>
      <c r="T9" s="61"/>
      <c r="U9" s="65" t="b">
        <v>1</v>
      </c>
      <c r="V9" s="61"/>
      <c r="W9" s="61"/>
    </row>
    <row r="10">
      <c r="A10" s="214">
        <v>4.0</v>
      </c>
      <c r="B10" s="202"/>
      <c r="C10" s="40" t="s">
        <v>3629</v>
      </c>
      <c r="D10" s="61" t="s">
        <v>3630</v>
      </c>
      <c r="E10" s="223" t="s">
        <v>3739</v>
      </c>
      <c r="F10" s="214">
        <v>123266.0</v>
      </c>
      <c r="G10" s="224">
        <v>6170.0</v>
      </c>
      <c r="H10" s="224">
        <v>6170.0</v>
      </c>
      <c r="I10" s="217">
        <v>44203.0</v>
      </c>
      <c r="J10" s="222" t="b">
        <v>1</v>
      </c>
      <c r="K10" s="95"/>
      <c r="L10" s="65" t="s">
        <v>3729</v>
      </c>
      <c r="M10" s="218">
        <v>667.0</v>
      </c>
      <c r="N10" s="218" t="s">
        <v>3730</v>
      </c>
      <c r="O10" s="218">
        <v>667.0</v>
      </c>
      <c r="P10" s="218" t="s">
        <v>3730</v>
      </c>
      <c r="Q10" s="218"/>
      <c r="R10" s="65" t="s">
        <v>3731</v>
      </c>
      <c r="S10" s="65" t="s">
        <v>3738</v>
      </c>
      <c r="T10" s="61"/>
      <c r="U10" s="65" t="b">
        <v>1</v>
      </c>
      <c r="V10" s="61"/>
      <c r="W10" s="61"/>
    </row>
    <row r="11">
      <c r="A11" s="214">
        <v>5.0</v>
      </c>
      <c r="B11" s="202"/>
      <c r="C11" s="61" t="s">
        <v>3629</v>
      </c>
      <c r="D11" s="61" t="s">
        <v>3630</v>
      </c>
      <c r="E11" s="223" t="s">
        <v>3739</v>
      </c>
      <c r="F11" s="214">
        <v>3.434319092E9</v>
      </c>
      <c r="G11" s="224">
        <v>1234.0</v>
      </c>
      <c r="H11" s="224">
        <v>1234.0</v>
      </c>
      <c r="I11" s="217">
        <v>44200.0</v>
      </c>
      <c r="J11" s="222" t="b">
        <v>1</v>
      </c>
      <c r="K11" s="94" t="s">
        <v>150</v>
      </c>
      <c r="L11" s="65" t="s">
        <v>3729</v>
      </c>
      <c r="M11" s="218">
        <v>1911.51</v>
      </c>
      <c r="N11" s="218" t="s">
        <v>3730</v>
      </c>
      <c r="O11" s="218" t="s">
        <v>3730</v>
      </c>
      <c r="P11" s="218" t="s">
        <v>3730</v>
      </c>
      <c r="Q11" s="218"/>
      <c r="R11" s="65" t="s">
        <v>3731</v>
      </c>
      <c r="S11" s="65" t="s">
        <v>3740</v>
      </c>
      <c r="T11" s="205" t="s">
        <v>3741</v>
      </c>
      <c r="U11" s="65" t="b">
        <v>1</v>
      </c>
      <c r="V11" s="61"/>
      <c r="W11" s="61"/>
    </row>
    <row r="12">
      <c r="A12" s="214">
        <v>6.0</v>
      </c>
      <c r="B12" s="202"/>
      <c r="C12" s="61" t="s">
        <v>3632</v>
      </c>
      <c r="D12" s="61" t="s">
        <v>3633</v>
      </c>
      <c r="E12" s="223" t="s">
        <v>3742</v>
      </c>
      <c r="F12" s="214">
        <v>68933.0</v>
      </c>
      <c r="G12" s="224">
        <v>13299.57</v>
      </c>
      <c r="H12" s="224">
        <v>13299.57</v>
      </c>
      <c r="I12" s="217">
        <v>44211.0</v>
      </c>
      <c r="J12" s="222" t="b">
        <v>1</v>
      </c>
      <c r="K12" s="95"/>
      <c r="L12" s="65" t="s">
        <v>3729</v>
      </c>
      <c r="M12" s="218" t="s">
        <v>3730</v>
      </c>
      <c r="N12" s="218" t="s">
        <v>3730</v>
      </c>
      <c r="O12" s="218">
        <v>259.14</v>
      </c>
      <c r="P12" s="218" t="s">
        <v>3730</v>
      </c>
      <c r="Q12" s="218"/>
      <c r="R12" s="65" t="s">
        <v>3731</v>
      </c>
      <c r="S12" s="65" t="s">
        <v>94</v>
      </c>
      <c r="T12" s="219" t="s">
        <v>3743</v>
      </c>
      <c r="U12" s="61" t="b">
        <v>1</v>
      </c>
      <c r="V12" s="61"/>
      <c r="W12" s="61"/>
    </row>
    <row r="13">
      <c r="A13" s="214">
        <v>7.0</v>
      </c>
      <c r="B13" s="202"/>
      <c r="C13" s="61" t="s">
        <v>3635</v>
      </c>
      <c r="D13" s="61" t="s">
        <v>3636</v>
      </c>
      <c r="E13" s="225" t="s">
        <v>3744</v>
      </c>
      <c r="F13" s="214">
        <v>47650.0</v>
      </c>
      <c r="G13" s="224">
        <v>5800.0</v>
      </c>
      <c r="H13" s="224">
        <v>5800.0</v>
      </c>
      <c r="I13" s="217">
        <v>44215.0</v>
      </c>
      <c r="J13" s="222" t="b">
        <v>1</v>
      </c>
      <c r="K13" s="95"/>
      <c r="L13" s="65" t="s">
        <v>3729</v>
      </c>
      <c r="M13" s="218" t="s">
        <v>3730</v>
      </c>
      <c r="N13" s="218" t="s">
        <v>3730</v>
      </c>
      <c r="O13" s="218">
        <v>196.95</v>
      </c>
      <c r="P13" s="218" t="s">
        <v>3730</v>
      </c>
      <c r="Q13" s="218"/>
      <c r="R13" s="65" t="s">
        <v>3731</v>
      </c>
      <c r="S13" s="65" t="s">
        <v>3745</v>
      </c>
      <c r="T13" s="219" t="s">
        <v>3743</v>
      </c>
      <c r="U13" s="65" t="b">
        <v>1</v>
      </c>
      <c r="V13" s="61"/>
      <c r="W13" s="61"/>
    </row>
    <row r="14">
      <c r="A14" s="214">
        <v>8.0</v>
      </c>
      <c r="B14" s="202"/>
      <c r="C14" s="61" t="s">
        <v>3632</v>
      </c>
      <c r="D14" s="61" t="s">
        <v>3633</v>
      </c>
      <c r="E14" s="223" t="s">
        <v>3746</v>
      </c>
      <c r="F14" s="214">
        <v>154760.0</v>
      </c>
      <c r="G14" s="224">
        <v>43159.0</v>
      </c>
      <c r="H14" s="224">
        <v>43159.0</v>
      </c>
      <c r="I14" s="217">
        <v>44215.0</v>
      </c>
      <c r="J14" s="222" t="b">
        <v>1</v>
      </c>
      <c r="K14" s="95"/>
      <c r="L14" s="65" t="s">
        <v>3729</v>
      </c>
      <c r="M14" s="218" t="s">
        <v>3730</v>
      </c>
      <c r="N14" s="218" t="s">
        <v>3730</v>
      </c>
      <c r="O14" s="218">
        <v>246.8</v>
      </c>
      <c r="P14" s="218" t="s">
        <v>3730</v>
      </c>
      <c r="Q14" s="218"/>
      <c r="R14" s="65" t="s">
        <v>3731</v>
      </c>
      <c r="S14" s="65" t="s">
        <v>3747</v>
      </c>
      <c r="T14" s="219" t="s">
        <v>3743</v>
      </c>
      <c r="U14" s="65" t="b">
        <v>1</v>
      </c>
      <c r="V14" s="61"/>
      <c r="W14" s="61"/>
    </row>
    <row r="15">
      <c r="A15" s="214">
        <v>9.0</v>
      </c>
      <c r="B15" s="202"/>
      <c r="C15" s="61" t="s">
        <v>3635</v>
      </c>
      <c r="D15" s="61" t="s">
        <v>3636</v>
      </c>
      <c r="E15" s="225" t="s">
        <v>3748</v>
      </c>
      <c r="F15" s="214">
        <v>68740.0</v>
      </c>
      <c r="G15" s="224">
        <v>5800.0</v>
      </c>
      <c r="H15" s="224">
        <v>5800.0</v>
      </c>
      <c r="I15" s="217">
        <v>44208.0</v>
      </c>
      <c r="J15" s="222" t="b">
        <v>1</v>
      </c>
      <c r="K15" s="95"/>
      <c r="L15" s="65" t="s">
        <v>3729</v>
      </c>
      <c r="M15" s="218">
        <v>395.64</v>
      </c>
      <c r="N15" s="218" t="s">
        <v>3730</v>
      </c>
      <c r="O15" s="218">
        <v>1982.9</v>
      </c>
      <c r="P15" s="218" t="s">
        <v>3730</v>
      </c>
      <c r="Q15" s="218"/>
      <c r="R15" s="65" t="s">
        <v>3731</v>
      </c>
      <c r="S15" s="65" t="s">
        <v>3749</v>
      </c>
      <c r="T15" s="219" t="s">
        <v>3743</v>
      </c>
      <c r="U15" s="65" t="b">
        <v>1</v>
      </c>
      <c r="V15" s="61"/>
      <c r="W15" s="61"/>
    </row>
    <row r="16">
      <c r="A16" s="214">
        <v>10.0</v>
      </c>
      <c r="B16" s="202"/>
      <c r="C16" s="61" t="s">
        <v>3750</v>
      </c>
      <c r="D16" s="61"/>
      <c r="E16" s="223" t="s">
        <v>3751</v>
      </c>
      <c r="F16" s="214">
        <v>123478.0</v>
      </c>
      <c r="G16" s="224">
        <v>1440.0</v>
      </c>
      <c r="H16" s="224">
        <v>1440.0</v>
      </c>
      <c r="I16" s="217">
        <v>44215.0</v>
      </c>
      <c r="J16" s="222" t="b">
        <v>1</v>
      </c>
      <c r="K16" s="95"/>
      <c r="L16" s="65" t="s">
        <v>3729</v>
      </c>
      <c r="M16" s="218" t="s">
        <v>3730</v>
      </c>
      <c r="N16" s="218" t="s">
        <v>3730</v>
      </c>
      <c r="O16" s="218">
        <v>2001.0</v>
      </c>
      <c r="P16" s="218" t="s">
        <v>3730</v>
      </c>
      <c r="Q16" s="218"/>
      <c r="R16" s="65" t="s">
        <v>3731</v>
      </c>
      <c r="S16" s="65" t="s">
        <v>3752</v>
      </c>
      <c r="T16" s="219" t="s">
        <v>3743</v>
      </c>
      <c r="U16" s="65" t="b">
        <v>1</v>
      </c>
      <c r="V16" s="61"/>
      <c r="W16" s="61"/>
    </row>
    <row r="17">
      <c r="A17" s="214">
        <v>11.0</v>
      </c>
      <c r="B17" s="202"/>
      <c r="C17" s="61" t="s">
        <v>3613</v>
      </c>
      <c r="D17" s="61" t="s">
        <v>3561</v>
      </c>
      <c r="E17" s="223" t="s">
        <v>3753</v>
      </c>
      <c r="F17" s="214" t="s">
        <v>3754</v>
      </c>
      <c r="G17" s="224">
        <v>682.2</v>
      </c>
      <c r="H17" s="224">
        <v>682.2</v>
      </c>
      <c r="I17" s="217">
        <v>44211.0</v>
      </c>
      <c r="J17" s="222" t="b">
        <v>1</v>
      </c>
      <c r="K17" s="95"/>
      <c r="L17" s="65" t="s">
        <v>3729</v>
      </c>
      <c r="M17" s="218">
        <v>359.77</v>
      </c>
      <c r="N17" s="218" t="s">
        <v>3730</v>
      </c>
      <c r="O17" s="218" t="s">
        <v>3730</v>
      </c>
      <c r="P17" s="218" t="s">
        <v>3730</v>
      </c>
      <c r="Q17" s="218"/>
      <c r="R17" s="65" t="s">
        <v>3731</v>
      </c>
      <c r="S17" s="65" t="s">
        <v>3755</v>
      </c>
      <c r="T17" s="205" t="s">
        <v>3756</v>
      </c>
      <c r="U17" s="65" t="b">
        <v>1</v>
      </c>
      <c r="V17" s="61"/>
      <c r="W17" s="61"/>
    </row>
    <row r="18">
      <c r="A18" s="214">
        <v>12.0</v>
      </c>
      <c r="B18" s="202"/>
      <c r="C18" s="40" t="s">
        <v>3757</v>
      </c>
      <c r="D18" s="61"/>
      <c r="E18" s="223" t="s">
        <v>3758</v>
      </c>
      <c r="F18" s="214" t="s">
        <v>3759</v>
      </c>
      <c r="G18" s="224">
        <v>906.0</v>
      </c>
      <c r="H18" s="224">
        <v>906.0</v>
      </c>
      <c r="I18" s="217">
        <v>44211.0</v>
      </c>
      <c r="J18" s="222" t="b">
        <v>1</v>
      </c>
      <c r="K18" s="94" t="s">
        <v>150</v>
      </c>
      <c r="L18" s="65" t="s">
        <v>3729</v>
      </c>
      <c r="M18" s="218">
        <v>1603.03</v>
      </c>
      <c r="N18" s="218" t="s">
        <v>3730</v>
      </c>
      <c r="O18" s="218" t="s">
        <v>3730</v>
      </c>
      <c r="P18" s="218" t="s">
        <v>3730</v>
      </c>
      <c r="Q18" s="218"/>
      <c r="R18" s="65" t="s">
        <v>3731</v>
      </c>
      <c r="S18" s="65" t="s">
        <v>3740</v>
      </c>
      <c r="T18" s="61"/>
      <c r="U18" s="65" t="b">
        <v>1</v>
      </c>
      <c r="V18" s="61"/>
      <c r="W18" s="61"/>
    </row>
    <row r="19">
      <c r="A19" s="214">
        <v>13.0</v>
      </c>
      <c r="B19" s="202"/>
      <c r="C19" s="40" t="s">
        <v>177</v>
      </c>
      <c r="D19" s="61"/>
      <c r="E19" s="223" t="s">
        <v>3760</v>
      </c>
      <c r="F19" s="214">
        <v>69328.0</v>
      </c>
      <c r="G19" s="224">
        <v>233.8</v>
      </c>
      <c r="H19" s="224">
        <v>233.8</v>
      </c>
      <c r="I19" s="217">
        <v>44221.0</v>
      </c>
      <c r="J19" s="222" t="b">
        <v>1</v>
      </c>
      <c r="K19" s="95"/>
      <c r="L19" s="65" t="s">
        <v>3729</v>
      </c>
      <c r="M19" s="218" t="s">
        <v>3730</v>
      </c>
      <c r="N19" s="218" t="s">
        <v>3730</v>
      </c>
      <c r="O19" s="218">
        <v>829.08</v>
      </c>
      <c r="P19" s="218" t="s">
        <v>3730</v>
      </c>
      <c r="Q19" s="218"/>
      <c r="R19" s="65" t="s">
        <v>3731</v>
      </c>
      <c r="S19" s="65" t="s">
        <v>94</v>
      </c>
      <c r="T19" s="65"/>
      <c r="U19" s="61" t="b">
        <v>1</v>
      </c>
      <c r="V19" s="61"/>
      <c r="W19" s="61"/>
    </row>
    <row r="20">
      <c r="A20" s="214">
        <v>14.0</v>
      </c>
      <c r="B20" s="202"/>
      <c r="C20" s="61" t="s">
        <v>3613</v>
      </c>
      <c r="D20" s="61" t="s">
        <v>3561</v>
      </c>
      <c r="E20" s="223" t="s">
        <v>3753</v>
      </c>
      <c r="F20" s="214">
        <v>2.02100000000122E14</v>
      </c>
      <c r="G20" s="224">
        <v>448.0</v>
      </c>
      <c r="H20" s="224">
        <v>448.0</v>
      </c>
      <c r="I20" s="217">
        <v>44222.0</v>
      </c>
      <c r="J20" s="222" t="b">
        <v>1</v>
      </c>
      <c r="K20" s="95"/>
      <c r="L20" s="65" t="s">
        <v>3729</v>
      </c>
      <c r="M20" s="218">
        <v>5144.0</v>
      </c>
      <c r="N20" s="218" t="s">
        <v>3730</v>
      </c>
      <c r="O20" s="218" t="s">
        <v>3730</v>
      </c>
      <c r="P20" s="218" t="s">
        <v>3730</v>
      </c>
      <c r="Q20" s="218"/>
      <c r="R20" s="65" t="s">
        <v>3731</v>
      </c>
      <c r="S20" s="65" t="s">
        <v>3740</v>
      </c>
      <c r="T20" s="205" t="s">
        <v>3761</v>
      </c>
      <c r="U20" s="65" t="b">
        <v>1</v>
      </c>
      <c r="V20" s="61"/>
      <c r="W20" s="61"/>
    </row>
    <row r="21">
      <c r="A21" s="214">
        <v>15.0</v>
      </c>
      <c r="B21" s="202"/>
      <c r="C21" s="40" t="s">
        <v>3762</v>
      </c>
      <c r="D21" s="61"/>
      <c r="E21" s="225" t="s">
        <v>3763</v>
      </c>
      <c r="F21" s="214">
        <v>8.0</v>
      </c>
      <c r="G21" s="224">
        <v>312.93</v>
      </c>
      <c r="H21" s="224">
        <v>312.93</v>
      </c>
      <c r="I21" s="217">
        <v>44227.0</v>
      </c>
      <c r="J21" s="222" t="b">
        <v>1</v>
      </c>
      <c r="K21" s="95"/>
      <c r="L21" s="65" t="s">
        <v>3729</v>
      </c>
      <c r="M21" s="218" t="s">
        <v>3730</v>
      </c>
      <c r="N21" s="218" t="s">
        <v>3730</v>
      </c>
      <c r="O21" s="218">
        <v>3200.0</v>
      </c>
      <c r="P21" s="218" t="s">
        <v>3730</v>
      </c>
      <c r="Q21" s="218"/>
      <c r="R21" s="65" t="s">
        <v>3731</v>
      </c>
      <c r="S21" s="65" t="s">
        <v>3764</v>
      </c>
      <c r="T21" s="65"/>
      <c r="U21" s="65" t="b">
        <v>1</v>
      </c>
      <c r="V21" s="65" t="s">
        <v>3765</v>
      </c>
      <c r="W21" s="61"/>
    </row>
    <row r="22">
      <c r="A22" s="214">
        <v>16.0</v>
      </c>
      <c r="B22" s="202"/>
      <c r="C22" s="40" t="s">
        <v>3726</v>
      </c>
      <c r="D22" s="61" t="s">
        <v>3727</v>
      </c>
      <c r="E22" s="223" t="s">
        <v>3728</v>
      </c>
      <c r="F22" s="214">
        <v>1423.0</v>
      </c>
      <c r="G22" s="224">
        <v>79.1</v>
      </c>
      <c r="H22" s="224">
        <v>79.1</v>
      </c>
      <c r="I22" s="217">
        <v>44228.0</v>
      </c>
      <c r="J22" s="222" t="b">
        <v>1</v>
      </c>
      <c r="K22" s="94" t="s">
        <v>150</v>
      </c>
      <c r="L22" s="65" t="s">
        <v>3729</v>
      </c>
      <c r="M22" s="218">
        <v>4500.0</v>
      </c>
      <c r="N22" s="218" t="s">
        <v>3730</v>
      </c>
      <c r="O22" s="218" t="s">
        <v>3730</v>
      </c>
      <c r="P22" s="218" t="s">
        <v>3730</v>
      </c>
      <c r="Q22" s="218"/>
      <c r="R22" s="65" t="s">
        <v>3731</v>
      </c>
      <c r="S22" s="65" t="s">
        <v>3766</v>
      </c>
      <c r="T22" s="65"/>
      <c r="U22" s="65" t="b">
        <v>1</v>
      </c>
      <c r="V22" s="61"/>
      <c r="W22" s="61"/>
    </row>
    <row r="23">
      <c r="A23" s="214">
        <v>17.0</v>
      </c>
      <c r="B23" s="202"/>
      <c r="C23" s="40" t="s">
        <v>3632</v>
      </c>
      <c r="D23" s="61" t="s">
        <v>3633</v>
      </c>
      <c r="E23" s="223" t="s">
        <v>3767</v>
      </c>
      <c r="F23" s="214">
        <v>48081.0</v>
      </c>
      <c r="G23" s="224">
        <v>195.54</v>
      </c>
      <c r="H23" s="224">
        <v>195.54</v>
      </c>
      <c r="I23" s="217">
        <v>44230.0</v>
      </c>
      <c r="J23" s="222" t="b">
        <v>1</v>
      </c>
      <c r="K23" s="95"/>
      <c r="L23" s="65" t="s">
        <v>3729</v>
      </c>
      <c r="M23" s="218">
        <v>54.76</v>
      </c>
      <c r="N23" s="218" t="s">
        <v>3730</v>
      </c>
      <c r="O23" s="218">
        <v>140.69</v>
      </c>
      <c r="P23" s="218" t="s">
        <v>3730</v>
      </c>
      <c r="Q23" s="218"/>
      <c r="R23" s="65" t="s">
        <v>3731</v>
      </c>
      <c r="S23" s="65" t="s">
        <v>3768</v>
      </c>
      <c r="T23" s="65"/>
      <c r="U23" s="65" t="b">
        <v>1</v>
      </c>
      <c r="V23" s="61"/>
      <c r="W23" s="61"/>
    </row>
    <row r="24">
      <c r="A24" s="214">
        <v>18.0</v>
      </c>
      <c r="B24" s="202"/>
      <c r="C24" s="40" t="s">
        <v>3629</v>
      </c>
      <c r="D24" s="61" t="s">
        <v>3630</v>
      </c>
      <c r="E24" s="223" t="s">
        <v>3769</v>
      </c>
      <c r="F24" s="214">
        <v>104700.0</v>
      </c>
      <c r="G24" s="224">
        <v>550.0</v>
      </c>
      <c r="H24" s="224">
        <v>550.0</v>
      </c>
      <c r="I24" s="217">
        <v>44223.0</v>
      </c>
      <c r="J24" s="222" t="b">
        <v>1</v>
      </c>
      <c r="K24" s="95"/>
      <c r="L24" s="65" t="s">
        <v>3729</v>
      </c>
      <c r="M24" s="218">
        <v>6734.39</v>
      </c>
      <c r="N24" s="218" t="s">
        <v>3730</v>
      </c>
      <c r="O24" s="218" t="s">
        <v>3730</v>
      </c>
      <c r="P24" s="218" t="s">
        <v>3730</v>
      </c>
      <c r="Q24" s="218"/>
      <c r="R24" s="65" t="s">
        <v>3731</v>
      </c>
      <c r="S24" s="65" t="s">
        <v>3770</v>
      </c>
      <c r="T24" s="65"/>
      <c r="U24" s="65" t="b">
        <v>1</v>
      </c>
      <c r="V24" s="65" t="s">
        <v>3765</v>
      </c>
      <c r="W24" s="61"/>
    </row>
    <row r="25">
      <c r="A25" s="214">
        <v>19.0</v>
      </c>
      <c r="B25" s="202"/>
      <c r="C25" s="40" t="s">
        <v>3632</v>
      </c>
      <c r="D25" s="61" t="s">
        <v>3633</v>
      </c>
      <c r="E25" s="223" t="s">
        <v>3771</v>
      </c>
      <c r="F25" s="214">
        <v>65055.0</v>
      </c>
      <c r="G25" s="224">
        <v>12979.17</v>
      </c>
      <c r="H25" s="224">
        <v>12979.17</v>
      </c>
      <c r="I25" s="217">
        <v>44207.0</v>
      </c>
      <c r="J25" s="222" t="b">
        <v>1</v>
      </c>
      <c r="K25" s="94" t="s">
        <v>150</v>
      </c>
      <c r="L25" s="65" t="s">
        <v>3729</v>
      </c>
      <c r="M25" s="218">
        <v>97.5</v>
      </c>
      <c r="N25" s="218" t="s">
        <v>3730</v>
      </c>
      <c r="O25" s="218" t="s">
        <v>3730</v>
      </c>
      <c r="P25" s="218" t="s">
        <v>3730</v>
      </c>
      <c r="Q25" s="218"/>
      <c r="R25" s="65" t="s">
        <v>3731</v>
      </c>
      <c r="S25" s="65" t="s">
        <v>3772</v>
      </c>
      <c r="T25" s="61"/>
      <c r="U25" s="65" t="b">
        <v>1</v>
      </c>
      <c r="V25" s="61"/>
      <c r="W25" s="61"/>
    </row>
    <row r="26">
      <c r="A26" s="226">
        <v>20.0</v>
      </c>
      <c r="B26" s="227"/>
      <c r="C26" s="228" t="s">
        <v>3629</v>
      </c>
      <c r="D26" s="228" t="s">
        <v>3630</v>
      </c>
      <c r="E26" s="223" t="s">
        <v>3773</v>
      </c>
      <c r="F26" s="226">
        <v>123727.0</v>
      </c>
      <c r="G26" s="224">
        <v>1405.0</v>
      </c>
      <c r="H26" s="224">
        <v>1405.0</v>
      </c>
      <c r="I26" s="229">
        <v>44232.0</v>
      </c>
      <c r="J26" s="222" t="b">
        <v>1</v>
      </c>
      <c r="K26" s="230"/>
      <c r="L26" s="231" t="s">
        <v>3729</v>
      </c>
      <c r="M26" s="232">
        <v>2196.86</v>
      </c>
      <c r="N26" s="232" t="s">
        <v>3730</v>
      </c>
      <c r="O26" s="232" t="s">
        <v>3730</v>
      </c>
      <c r="P26" s="232" t="s">
        <v>3730</v>
      </c>
      <c r="Q26" s="232"/>
      <c r="R26" s="231" t="s">
        <v>3731</v>
      </c>
      <c r="S26" s="231" t="s">
        <v>3708</v>
      </c>
      <c r="T26" s="231"/>
      <c r="U26" s="233" t="b">
        <v>1</v>
      </c>
      <c r="V26" s="228"/>
      <c r="W26" s="228"/>
    </row>
    <row r="27">
      <c r="A27" s="214">
        <v>21.0</v>
      </c>
      <c r="B27" s="202"/>
      <c r="C27" s="40" t="s">
        <v>3774</v>
      </c>
      <c r="D27" s="61"/>
      <c r="E27" s="223" t="s">
        <v>3775</v>
      </c>
      <c r="F27" s="214">
        <v>155988.0</v>
      </c>
      <c r="G27" s="224">
        <v>397.0</v>
      </c>
      <c r="H27" s="224">
        <v>397.0</v>
      </c>
      <c r="I27" s="217">
        <v>44235.0</v>
      </c>
      <c r="J27" s="222" t="b">
        <v>1</v>
      </c>
      <c r="K27" s="95"/>
      <c r="L27" s="65" t="s">
        <v>3729</v>
      </c>
      <c r="M27" s="218" t="s">
        <v>3730</v>
      </c>
      <c r="N27" s="218" t="s">
        <v>3730</v>
      </c>
      <c r="O27" s="218">
        <v>991.2</v>
      </c>
      <c r="P27" s="218" t="s">
        <v>3730</v>
      </c>
      <c r="Q27" s="218"/>
      <c r="R27" s="65" t="s">
        <v>3731</v>
      </c>
      <c r="S27" s="65" t="s">
        <v>3747</v>
      </c>
      <c r="T27" s="65"/>
      <c r="U27" s="65" t="b">
        <v>1</v>
      </c>
      <c r="V27" s="61"/>
      <c r="W27" s="61"/>
    </row>
    <row r="28">
      <c r="A28" s="214">
        <v>22.0</v>
      </c>
      <c r="B28" s="202"/>
      <c r="C28" s="61" t="s">
        <v>3632</v>
      </c>
      <c r="D28" s="61" t="s">
        <v>3633</v>
      </c>
      <c r="E28" s="223" t="s">
        <v>3776</v>
      </c>
      <c r="F28" s="214">
        <v>65405.0</v>
      </c>
      <c r="G28" s="224">
        <v>10878.21</v>
      </c>
      <c r="H28" s="224">
        <v>10878.21</v>
      </c>
      <c r="I28" s="217">
        <v>44235.0</v>
      </c>
      <c r="J28" s="222" t="b">
        <v>1</v>
      </c>
      <c r="K28" s="94" t="s">
        <v>150</v>
      </c>
      <c r="L28" s="65" t="s">
        <v>3729</v>
      </c>
      <c r="M28" s="218">
        <v>97.5</v>
      </c>
      <c r="N28" s="218" t="s">
        <v>3730</v>
      </c>
      <c r="O28" s="218" t="s">
        <v>3730</v>
      </c>
      <c r="P28" s="218" t="s">
        <v>3730</v>
      </c>
      <c r="Q28" s="218"/>
      <c r="R28" s="65" t="s">
        <v>3731</v>
      </c>
      <c r="S28" s="65" t="s">
        <v>3772</v>
      </c>
      <c r="T28" s="65"/>
      <c r="U28" s="65" t="b">
        <v>1</v>
      </c>
      <c r="V28" s="61"/>
      <c r="W28" s="61"/>
    </row>
    <row r="29">
      <c r="A29" s="214">
        <v>23.0</v>
      </c>
      <c r="B29" s="202"/>
      <c r="C29" s="61" t="s">
        <v>3632</v>
      </c>
      <c r="D29" s="61" t="s">
        <v>3633</v>
      </c>
      <c r="E29" s="223" t="s">
        <v>3777</v>
      </c>
      <c r="F29" s="214">
        <v>69962.0</v>
      </c>
      <c r="G29" s="224">
        <v>12982.29</v>
      </c>
      <c r="H29" s="224">
        <v>12982.29</v>
      </c>
      <c r="I29" s="217">
        <v>44236.0</v>
      </c>
      <c r="J29" s="222" t="b">
        <v>1</v>
      </c>
      <c r="K29" s="95"/>
      <c r="L29" s="65" t="s">
        <v>3729</v>
      </c>
      <c r="M29" s="218" t="s">
        <v>3730</v>
      </c>
      <c r="N29" s="218" t="s">
        <v>3730</v>
      </c>
      <c r="O29" s="218" t="s">
        <v>3730</v>
      </c>
      <c r="P29" s="218">
        <v>2255.64</v>
      </c>
      <c r="Q29" s="218"/>
      <c r="R29" s="65" t="s">
        <v>3731</v>
      </c>
      <c r="S29" s="65" t="s">
        <v>3778</v>
      </c>
      <c r="T29" s="65"/>
      <c r="U29" s="65" t="b">
        <v>1</v>
      </c>
      <c r="V29" s="65" t="s">
        <v>3765</v>
      </c>
      <c r="W29" s="61"/>
    </row>
    <row r="30">
      <c r="A30" s="214">
        <v>24.0</v>
      </c>
      <c r="B30" s="202"/>
      <c r="C30" s="61" t="s">
        <v>3779</v>
      </c>
      <c r="D30" s="61"/>
      <c r="E30" s="223" t="s">
        <v>3780</v>
      </c>
      <c r="F30" s="214">
        <v>156512.0</v>
      </c>
      <c r="G30" s="224">
        <v>774.38</v>
      </c>
      <c r="H30" s="224">
        <v>774.38</v>
      </c>
      <c r="I30" s="217">
        <v>44243.0</v>
      </c>
      <c r="J30" s="222" t="b">
        <v>1</v>
      </c>
      <c r="K30" s="95"/>
      <c r="L30" s="65" t="s">
        <v>3729</v>
      </c>
      <c r="M30" s="218" t="s">
        <v>3730</v>
      </c>
      <c r="N30" s="218" t="s">
        <v>3730</v>
      </c>
      <c r="O30" s="218">
        <v>6829.6</v>
      </c>
      <c r="P30" s="218" t="s">
        <v>3730</v>
      </c>
      <c r="Q30" s="218"/>
      <c r="R30" s="65" t="s">
        <v>3731</v>
      </c>
      <c r="S30" s="65" t="s">
        <v>3781</v>
      </c>
      <c r="T30" s="65"/>
      <c r="U30" s="65" t="b">
        <v>1</v>
      </c>
      <c r="V30" s="61"/>
      <c r="W30" s="61"/>
    </row>
    <row r="31">
      <c r="A31" s="214">
        <v>25.0</v>
      </c>
      <c r="B31" s="202"/>
      <c r="C31" s="40" t="s">
        <v>3779</v>
      </c>
      <c r="D31" s="61"/>
      <c r="E31" s="223" t="s">
        <v>3782</v>
      </c>
      <c r="F31" s="214">
        <v>156456.0</v>
      </c>
      <c r="G31" s="224">
        <v>724.21</v>
      </c>
      <c r="H31" s="224">
        <v>724.21</v>
      </c>
      <c r="I31" s="217">
        <v>44242.0</v>
      </c>
      <c r="J31" s="222" t="b">
        <v>1</v>
      </c>
      <c r="K31" s="95"/>
      <c r="L31" s="65" t="s">
        <v>3729</v>
      </c>
      <c r="M31" s="218" t="s">
        <v>3730</v>
      </c>
      <c r="N31" s="218" t="s">
        <v>3730</v>
      </c>
      <c r="O31" s="218">
        <v>233.1</v>
      </c>
      <c r="P31" s="218" t="s">
        <v>3730</v>
      </c>
      <c r="Q31" s="218"/>
      <c r="R31" s="65" t="s">
        <v>3731</v>
      </c>
      <c r="S31" s="65" t="s">
        <v>95</v>
      </c>
      <c r="T31" s="65"/>
      <c r="U31" s="61" t="b">
        <v>1</v>
      </c>
      <c r="V31" s="61"/>
      <c r="W31" s="61"/>
    </row>
    <row r="32">
      <c r="A32" s="214">
        <v>26.0</v>
      </c>
      <c r="B32" s="202"/>
      <c r="C32" s="61" t="s">
        <v>3783</v>
      </c>
      <c r="D32" s="61"/>
      <c r="E32" s="225" t="s">
        <v>3784</v>
      </c>
      <c r="F32" s="214">
        <v>2.02100000000207E14</v>
      </c>
      <c r="G32" s="224">
        <v>28.0</v>
      </c>
      <c r="H32" s="224">
        <v>28.0</v>
      </c>
      <c r="I32" s="217">
        <v>44237.0</v>
      </c>
      <c r="J32" s="222" t="b">
        <v>1</v>
      </c>
      <c r="K32" s="95"/>
      <c r="L32" s="65" t="s">
        <v>3729</v>
      </c>
      <c r="M32" s="218">
        <v>5144.0</v>
      </c>
      <c r="N32" s="218" t="s">
        <v>3730</v>
      </c>
      <c r="O32" s="218" t="s">
        <v>3730</v>
      </c>
      <c r="P32" s="218" t="s">
        <v>3730</v>
      </c>
      <c r="Q32" s="218"/>
      <c r="R32" s="65" t="s">
        <v>3731</v>
      </c>
      <c r="S32" s="65" t="s">
        <v>3740</v>
      </c>
      <c r="T32" s="205" t="s">
        <v>3696</v>
      </c>
      <c r="U32" s="65" t="b">
        <v>1</v>
      </c>
      <c r="V32" s="61"/>
      <c r="W32" s="61"/>
    </row>
    <row r="33">
      <c r="A33" s="214">
        <v>27.0</v>
      </c>
      <c r="B33" s="202"/>
      <c r="C33" s="40" t="s">
        <v>3785</v>
      </c>
      <c r="D33" s="61"/>
      <c r="E33" s="225" t="s">
        <v>3786</v>
      </c>
      <c r="F33" s="214">
        <v>21318.0</v>
      </c>
      <c r="G33" s="224">
        <v>149.03</v>
      </c>
      <c r="H33" s="224">
        <v>149.03</v>
      </c>
      <c r="I33" s="217">
        <v>44236.0</v>
      </c>
      <c r="J33" s="222" t="b">
        <v>1</v>
      </c>
      <c r="K33" s="95"/>
      <c r="L33" s="65" t="s">
        <v>3729</v>
      </c>
      <c r="M33" s="218">
        <v>120.0</v>
      </c>
      <c r="N33" s="218" t="s">
        <v>3730</v>
      </c>
      <c r="O33" s="218">
        <v>120.0</v>
      </c>
      <c r="P33" s="218" t="s">
        <v>3730</v>
      </c>
      <c r="Q33" s="218"/>
      <c r="R33" s="65" t="s">
        <v>3731</v>
      </c>
      <c r="S33" s="65" t="s">
        <v>3764</v>
      </c>
      <c r="T33" s="65"/>
      <c r="U33" s="65" t="b">
        <v>1</v>
      </c>
      <c r="V33" s="65" t="s">
        <v>3765</v>
      </c>
      <c r="W33" s="61"/>
    </row>
    <row r="34">
      <c r="A34" s="214">
        <v>28.0</v>
      </c>
      <c r="B34" s="202"/>
      <c r="C34" s="40" t="s">
        <v>3787</v>
      </c>
      <c r="D34" s="61"/>
      <c r="E34" s="225" t="s">
        <v>3784</v>
      </c>
      <c r="F34" s="214">
        <v>123927.0</v>
      </c>
      <c r="G34" s="224">
        <v>58.97</v>
      </c>
      <c r="H34" s="224">
        <v>58.97</v>
      </c>
      <c r="I34" s="217">
        <v>44239.0</v>
      </c>
      <c r="J34" s="222" t="b">
        <v>1</v>
      </c>
      <c r="K34" s="95"/>
      <c r="L34" s="65" t="s">
        <v>3729</v>
      </c>
      <c r="M34" s="218" t="s">
        <v>3730</v>
      </c>
      <c r="N34" s="218" t="s">
        <v>3730</v>
      </c>
      <c r="O34" s="218">
        <v>3505.0</v>
      </c>
      <c r="P34" s="218" t="s">
        <v>3730</v>
      </c>
      <c r="Q34" s="218"/>
      <c r="R34" s="65" t="s">
        <v>3731</v>
      </c>
      <c r="S34" s="65" t="s">
        <v>3788</v>
      </c>
      <c r="T34" s="65"/>
      <c r="U34" s="65" t="b">
        <v>1</v>
      </c>
      <c r="V34" s="61"/>
      <c r="W34" s="61"/>
    </row>
    <row r="35">
      <c r="A35" s="214">
        <v>29.0</v>
      </c>
      <c r="B35" s="202"/>
      <c r="C35" s="40" t="s">
        <v>3789</v>
      </c>
      <c r="D35" s="61"/>
      <c r="E35" s="223" t="s">
        <v>3790</v>
      </c>
      <c r="F35" s="214">
        <v>123937.0</v>
      </c>
      <c r="G35" s="224">
        <v>804.63</v>
      </c>
      <c r="H35" s="224">
        <v>804.63</v>
      </c>
      <c r="I35" s="217">
        <v>44239.0</v>
      </c>
      <c r="J35" s="222" t="b">
        <v>1</v>
      </c>
      <c r="K35" s="95"/>
      <c r="L35" s="65" t="s">
        <v>3729</v>
      </c>
      <c r="M35" s="218" t="s">
        <v>3730</v>
      </c>
      <c r="N35" s="218" t="s">
        <v>3730</v>
      </c>
      <c r="O35" s="218">
        <v>701.0</v>
      </c>
      <c r="P35" s="218" t="s">
        <v>3730</v>
      </c>
      <c r="Q35" s="218"/>
      <c r="R35" s="65" t="s">
        <v>3731</v>
      </c>
      <c r="S35" s="65" t="s">
        <v>97</v>
      </c>
      <c r="T35" s="65"/>
      <c r="U35" s="61" t="b">
        <v>1</v>
      </c>
      <c r="V35" s="61"/>
      <c r="W35" s="61"/>
    </row>
    <row r="36">
      <c r="A36" s="214">
        <v>30.0</v>
      </c>
      <c r="B36" s="202"/>
      <c r="C36" s="61" t="s">
        <v>3789</v>
      </c>
      <c r="D36" s="61"/>
      <c r="E36" s="223" t="s">
        <v>3791</v>
      </c>
      <c r="F36" s="214">
        <v>156661.0</v>
      </c>
      <c r="G36" s="224">
        <v>804.63</v>
      </c>
      <c r="H36" s="224">
        <v>804.63</v>
      </c>
      <c r="I36" s="217">
        <v>44244.0</v>
      </c>
      <c r="J36" s="222" t="b">
        <v>1</v>
      </c>
      <c r="K36" s="95"/>
      <c r="L36" s="65" t="s">
        <v>3729</v>
      </c>
      <c r="M36" s="218" t="s">
        <v>3730</v>
      </c>
      <c r="N36" s="218" t="s">
        <v>3730</v>
      </c>
      <c r="O36" s="218">
        <v>5957.54</v>
      </c>
      <c r="P36" s="218" t="s">
        <v>3730</v>
      </c>
      <c r="Q36" s="218"/>
      <c r="R36" s="65" t="s">
        <v>3731</v>
      </c>
      <c r="S36" s="65" t="s">
        <v>97</v>
      </c>
      <c r="T36" s="65"/>
      <c r="U36" s="61" t="b">
        <v>1</v>
      </c>
      <c r="V36" s="61"/>
      <c r="W36" s="61"/>
    </row>
    <row r="37">
      <c r="A37" s="214">
        <v>31.0</v>
      </c>
      <c r="B37" s="202"/>
      <c r="C37" s="61" t="s">
        <v>3632</v>
      </c>
      <c r="D37" s="61" t="s">
        <v>3633</v>
      </c>
      <c r="E37" s="223" t="s">
        <v>3792</v>
      </c>
      <c r="F37" s="214">
        <v>48524.0</v>
      </c>
      <c r="G37" s="224">
        <v>55054.02</v>
      </c>
      <c r="H37" s="224">
        <v>55054.02</v>
      </c>
      <c r="I37" s="217">
        <v>44244.0</v>
      </c>
      <c r="J37" s="222" t="b">
        <v>1</v>
      </c>
      <c r="K37" s="95"/>
      <c r="L37" s="65" t="s">
        <v>3729</v>
      </c>
      <c r="M37" s="218">
        <v>104.45</v>
      </c>
      <c r="N37" s="218" t="s">
        <v>3730</v>
      </c>
      <c r="O37" s="218" t="s">
        <v>3730</v>
      </c>
      <c r="P37" s="218" t="s">
        <v>3730</v>
      </c>
      <c r="Q37" s="218"/>
      <c r="R37" s="65" t="s">
        <v>3731</v>
      </c>
      <c r="S37" s="65" t="s">
        <v>3708</v>
      </c>
      <c r="T37" s="65"/>
      <c r="U37" s="61" t="b">
        <v>1</v>
      </c>
      <c r="V37" s="61"/>
      <c r="W37" s="61"/>
    </row>
    <row r="38">
      <c r="A38" s="214">
        <v>32.0</v>
      </c>
      <c r="B38" s="202"/>
      <c r="C38" s="61" t="s">
        <v>3793</v>
      </c>
      <c r="D38" s="61" t="s">
        <v>3794</v>
      </c>
      <c r="E38" s="223" t="s">
        <v>3795</v>
      </c>
      <c r="F38" s="214">
        <v>156764.0</v>
      </c>
      <c r="G38" s="224">
        <v>7200.0</v>
      </c>
      <c r="H38" s="224">
        <v>7200.0</v>
      </c>
      <c r="I38" s="217">
        <v>44245.0</v>
      </c>
      <c r="J38" s="222" t="b">
        <v>1</v>
      </c>
      <c r="K38" s="95"/>
      <c r="L38" s="65" t="s">
        <v>3729</v>
      </c>
      <c r="M38" s="218" t="s">
        <v>3730</v>
      </c>
      <c r="N38" s="218" t="s">
        <v>3730</v>
      </c>
      <c r="O38" s="218">
        <v>16224.02</v>
      </c>
      <c r="P38" s="218" t="s">
        <v>3730</v>
      </c>
      <c r="Q38" s="218"/>
      <c r="R38" s="65" t="s">
        <v>3731</v>
      </c>
      <c r="S38" s="65" t="s">
        <v>3796</v>
      </c>
      <c r="T38" s="65"/>
      <c r="U38" s="65" t="b">
        <v>1</v>
      </c>
      <c r="V38" s="61"/>
      <c r="W38" s="61"/>
    </row>
    <row r="39">
      <c r="A39" s="214">
        <v>33.0</v>
      </c>
      <c r="B39" s="202"/>
      <c r="C39" s="61" t="s">
        <v>3629</v>
      </c>
      <c r="D39" s="61" t="s">
        <v>3630</v>
      </c>
      <c r="E39" s="225" t="s">
        <v>3797</v>
      </c>
      <c r="F39" s="214">
        <v>156878.0</v>
      </c>
      <c r="G39" s="224">
        <v>5000.0</v>
      </c>
      <c r="H39" s="224">
        <v>5000.0</v>
      </c>
      <c r="I39" s="217">
        <v>44246.0</v>
      </c>
      <c r="J39" s="222" t="b">
        <v>1</v>
      </c>
      <c r="K39" s="95"/>
      <c r="L39" s="65" t="s">
        <v>3729</v>
      </c>
      <c r="M39" s="218" t="s">
        <v>3730</v>
      </c>
      <c r="N39" s="218" t="s">
        <v>3730</v>
      </c>
      <c r="O39" s="218">
        <v>546.0</v>
      </c>
      <c r="P39" s="218" t="s">
        <v>3730</v>
      </c>
      <c r="Q39" s="218"/>
      <c r="R39" s="65" t="s">
        <v>3731</v>
      </c>
      <c r="S39" s="65" t="s">
        <v>97</v>
      </c>
      <c r="T39" s="65"/>
      <c r="U39" s="61" t="b">
        <v>1</v>
      </c>
      <c r="V39" s="61"/>
      <c r="W39" s="61"/>
    </row>
    <row r="40">
      <c r="A40" s="214">
        <v>34.0</v>
      </c>
      <c r="B40" s="202"/>
      <c r="C40" s="61" t="s">
        <v>3632</v>
      </c>
      <c r="D40" s="61" t="s">
        <v>3633</v>
      </c>
      <c r="E40" s="225" t="s">
        <v>3798</v>
      </c>
      <c r="F40" s="214">
        <v>124111.0</v>
      </c>
      <c r="G40" s="224">
        <v>36223.97</v>
      </c>
      <c r="H40" s="224">
        <v>36223.97</v>
      </c>
      <c r="I40" s="217">
        <v>44245.0</v>
      </c>
      <c r="J40" s="222" t="b">
        <v>1</v>
      </c>
      <c r="K40" s="95"/>
      <c r="L40" s="65" t="s">
        <v>3729</v>
      </c>
      <c r="M40" s="218" t="s">
        <v>3730</v>
      </c>
      <c r="N40" s="218" t="s">
        <v>3730</v>
      </c>
      <c r="O40" s="218">
        <v>3335.0</v>
      </c>
      <c r="P40" s="218" t="s">
        <v>3730</v>
      </c>
      <c r="Q40" s="218"/>
      <c r="R40" s="65" t="s">
        <v>3731</v>
      </c>
      <c r="S40" s="65" t="s">
        <v>3799</v>
      </c>
      <c r="T40" s="65"/>
      <c r="U40" s="65" t="b">
        <v>1</v>
      </c>
      <c r="V40" s="61"/>
      <c r="W40" s="61"/>
    </row>
    <row r="41">
      <c r="A41" s="214">
        <v>35.0</v>
      </c>
      <c r="B41" s="202"/>
      <c r="C41" s="40" t="s">
        <v>3726</v>
      </c>
      <c r="D41" s="61" t="s">
        <v>3727</v>
      </c>
      <c r="E41" s="223" t="s">
        <v>3728</v>
      </c>
      <c r="F41" s="214">
        <v>157010.0</v>
      </c>
      <c r="G41" s="224">
        <v>285.66</v>
      </c>
      <c r="H41" s="224">
        <v>285.66</v>
      </c>
      <c r="I41" s="217">
        <v>44249.0</v>
      </c>
      <c r="J41" s="222" t="b">
        <v>1</v>
      </c>
      <c r="K41" s="95"/>
      <c r="L41" s="65" t="s">
        <v>3729</v>
      </c>
      <c r="M41" s="218" t="s">
        <v>3730</v>
      </c>
      <c r="N41" s="218" t="s">
        <v>3730</v>
      </c>
      <c r="O41" s="218">
        <v>246.8</v>
      </c>
      <c r="P41" s="218" t="s">
        <v>3730</v>
      </c>
      <c r="Q41" s="218"/>
      <c r="R41" s="65" t="s">
        <v>3731</v>
      </c>
      <c r="S41" s="65" t="s">
        <v>95</v>
      </c>
      <c r="T41" s="65"/>
      <c r="U41" s="61" t="b">
        <v>1</v>
      </c>
      <c r="V41" s="61"/>
      <c r="W41" s="61"/>
    </row>
    <row r="42">
      <c r="A42" s="214">
        <v>36.0</v>
      </c>
      <c r="B42" s="202"/>
      <c r="C42" s="40" t="s">
        <v>3800</v>
      </c>
      <c r="D42" s="61"/>
      <c r="E42" s="223" t="s">
        <v>3801</v>
      </c>
      <c r="F42" s="214">
        <v>157030.0</v>
      </c>
      <c r="G42" s="224">
        <v>711.88</v>
      </c>
      <c r="H42" s="224">
        <v>711.88</v>
      </c>
      <c r="I42" s="217">
        <v>44249.0</v>
      </c>
      <c r="J42" s="222" t="b">
        <v>1</v>
      </c>
      <c r="K42" s="95"/>
      <c r="L42" s="65" t="s">
        <v>3729</v>
      </c>
      <c r="M42" s="218" t="s">
        <v>3730</v>
      </c>
      <c r="N42" s="218" t="s">
        <v>3730</v>
      </c>
      <c r="O42" s="218">
        <v>32225.2</v>
      </c>
      <c r="P42" s="218" t="s">
        <v>3730</v>
      </c>
      <c r="Q42" s="218"/>
      <c r="R42" s="65" t="s">
        <v>3731</v>
      </c>
      <c r="S42" s="65" t="s">
        <v>3781</v>
      </c>
      <c r="T42" s="65"/>
      <c r="U42" s="65" t="b">
        <v>1</v>
      </c>
      <c r="V42" s="61"/>
      <c r="W42" s="61"/>
    </row>
    <row r="43">
      <c r="A43" s="214">
        <v>37.0</v>
      </c>
      <c r="B43" s="202"/>
      <c r="C43" s="40" t="s">
        <v>3632</v>
      </c>
      <c r="D43" s="61" t="s">
        <v>3633</v>
      </c>
      <c r="E43" s="223" t="s">
        <v>3802</v>
      </c>
      <c r="F43" s="214">
        <v>157187.0</v>
      </c>
      <c r="G43" s="224">
        <v>12554.79</v>
      </c>
      <c r="H43" s="224">
        <v>12554.79</v>
      </c>
      <c r="I43" s="217">
        <v>44251.0</v>
      </c>
      <c r="J43" s="222" t="b">
        <v>1</v>
      </c>
      <c r="K43" s="95"/>
      <c r="L43" s="65" t="s">
        <v>3729</v>
      </c>
      <c r="M43" s="218" t="s">
        <v>3730</v>
      </c>
      <c r="N43" s="218" t="s">
        <v>3730</v>
      </c>
      <c r="O43" s="218">
        <v>2753.7</v>
      </c>
      <c r="P43" s="218" t="s">
        <v>3730</v>
      </c>
      <c r="Q43" s="218"/>
      <c r="R43" s="65" t="s">
        <v>3731</v>
      </c>
      <c r="S43" s="65" t="s">
        <v>3803</v>
      </c>
      <c r="T43" s="65"/>
      <c r="U43" s="65" t="b">
        <v>1</v>
      </c>
      <c r="V43" s="61"/>
      <c r="W43" s="61"/>
    </row>
    <row r="44">
      <c r="A44" s="214">
        <v>38.0</v>
      </c>
      <c r="B44" s="202"/>
      <c r="C44" s="61" t="s">
        <v>3632</v>
      </c>
      <c r="D44" s="61" t="s">
        <v>3633</v>
      </c>
      <c r="E44" s="223" t="s">
        <v>3802</v>
      </c>
      <c r="F44" s="214">
        <v>157251.0</v>
      </c>
      <c r="G44" s="224">
        <v>13961.66</v>
      </c>
      <c r="H44" s="224">
        <v>0.0</v>
      </c>
      <c r="I44" s="217">
        <v>44252.0</v>
      </c>
      <c r="J44" s="222" t="b">
        <v>1</v>
      </c>
      <c r="K44" s="94"/>
      <c r="L44" s="65" t="s">
        <v>3729</v>
      </c>
      <c r="M44" s="218" t="s">
        <v>3730</v>
      </c>
      <c r="N44" s="218" t="s">
        <v>3730</v>
      </c>
      <c r="O44" s="218">
        <v>7715.68</v>
      </c>
      <c r="P44" s="218" t="s">
        <v>3730</v>
      </c>
      <c r="Q44" s="218"/>
      <c r="R44" s="65" t="s">
        <v>3731</v>
      </c>
      <c r="S44" s="65" t="s">
        <v>3804</v>
      </c>
      <c r="T44" s="205" t="s">
        <v>3805</v>
      </c>
      <c r="U44" s="65" t="b">
        <v>1</v>
      </c>
      <c r="V44" s="61"/>
      <c r="W44" s="61"/>
    </row>
    <row r="45">
      <c r="A45" s="214">
        <v>39.0</v>
      </c>
      <c r="B45" s="202"/>
      <c r="C45" s="40" t="s">
        <v>3793</v>
      </c>
      <c r="D45" s="61" t="s">
        <v>3794</v>
      </c>
      <c r="E45" s="223" t="s">
        <v>3795</v>
      </c>
      <c r="F45" s="214">
        <v>157225.0</v>
      </c>
      <c r="G45" s="224">
        <v>7200.0</v>
      </c>
      <c r="H45" s="224">
        <v>7200.0</v>
      </c>
      <c r="I45" s="217">
        <v>44252.0</v>
      </c>
      <c r="J45" s="222" t="b">
        <v>1</v>
      </c>
      <c r="K45" s="95"/>
      <c r="L45" s="65" t="s">
        <v>3729</v>
      </c>
      <c r="M45" s="218" t="s">
        <v>3730</v>
      </c>
      <c r="N45" s="218" t="s">
        <v>3730</v>
      </c>
      <c r="O45" s="218">
        <v>3007.9</v>
      </c>
      <c r="P45" s="218" t="s">
        <v>3730</v>
      </c>
      <c r="Q45" s="218"/>
      <c r="R45" s="65" t="s">
        <v>3731</v>
      </c>
      <c r="S45" s="65" t="s">
        <v>3806</v>
      </c>
      <c r="T45" s="205" t="s">
        <v>3807</v>
      </c>
      <c r="U45" s="65" t="b">
        <v>1</v>
      </c>
      <c r="V45" s="61"/>
      <c r="W45" s="61"/>
    </row>
    <row r="46">
      <c r="A46" s="214">
        <v>40.0</v>
      </c>
      <c r="B46" s="202"/>
      <c r="C46" s="40" t="s">
        <v>3793</v>
      </c>
      <c r="D46" s="61" t="s">
        <v>3794</v>
      </c>
      <c r="E46" s="223" t="s">
        <v>3795</v>
      </c>
      <c r="F46" s="214">
        <v>157400.0</v>
      </c>
      <c r="G46" s="224">
        <v>7200.0</v>
      </c>
      <c r="H46" s="224">
        <v>7200.0</v>
      </c>
      <c r="I46" s="217">
        <v>44256.0</v>
      </c>
      <c r="J46" s="222" t="b">
        <v>1</v>
      </c>
      <c r="K46" s="95"/>
      <c r="L46" s="65" t="s">
        <v>3729</v>
      </c>
      <c r="M46" s="218" t="s">
        <v>3730</v>
      </c>
      <c r="N46" s="218" t="s">
        <v>3730</v>
      </c>
      <c r="O46" s="218">
        <v>5958.8</v>
      </c>
      <c r="P46" s="218" t="s">
        <v>3730</v>
      </c>
      <c r="Q46" s="218"/>
      <c r="R46" s="65" t="s">
        <v>3731</v>
      </c>
      <c r="S46" s="65" t="s">
        <v>3781</v>
      </c>
      <c r="T46" s="205" t="s">
        <v>3807</v>
      </c>
      <c r="U46" s="65" t="b">
        <v>1</v>
      </c>
      <c r="V46" s="61"/>
      <c r="W46" s="61"/>
    </row>
    <row r="47">
      <c r="A47" s="214">
        <v>41.0</v>
      </c>
      <c r="B47" s="202"/>
      <c r="C47" s="40" t="s">
        <v>3808</v>
      </c>
      <c r="D47" s="61"/>
      <c r="E47" s="223" t="s">
        <v>3809</v>
      </c>
      <c r="F47" s="214">
        <v>70804.0</v>
      </c>
      <c r="G47" s="224">
        <v>2888.5</v>
      </c>
      <c r="H47" s="224">
        <v>2888.5</v>
      </c>
      <c r="I47" s="217">
        <v>44256.0</v>
      </c>
      <c r="J47" s="222" t="b">
        <v>1</v>
      </c>
      <c r="K47" s="95"/>
      <c r="L47" s="65" t="s">
        <v>3729</v>
      </c>
      <c r="M47" s="218" t="s">
        <v>3730</v>
      </c>
      <c r="N47" s="218" t="s">
        <v>3730</v>
      </c>
      <c r="O47" s="218" t="s">
        <v>3730</v>
      </c>
      <c r="P47" s="218">
        <v>9465.46</v>
      </c>
      <c r="Q47" s="218"/>
      <c r="R47" s="65" t="s">
        <v>3731</v>
      </c>
      <c r="S47" s="65" t="s">
        <v>3708</v>
      </c>
      <c r="T47" s="61"/>
      <c r="U47" s="61" t="b">
        <v>1</v>
      </c>
      <c r="V47" s="61"/>
      <c r="W47" s="61"/>
    </row>
    <row r="48">
      <c r="A48" s="214">
        <v>42.0</v>
      </c>
      <c r="B48" s="202"/>
      <c r="C48" s="61" t="s">
        <v>3810</v>
      </c>
      <c r="D48" s="61"/>
      <c r="E48" s="223" t="s">
        <v>3811</v>
      </c>
      <c r="F48" s="214">
        <v>71194.0</v>
      </c>
      <c r="G48" s="224">
        <v>471.8</v>
      </c>
      <c r="H48" s="224">
        <v>471.8</v>
      </c>
      <c r="I48" s="217">
        <v>44263.0</v>
      </c>
      <c r="J48" s="222" t="b">
        <v>1</v>
      </c>
      <c r="K48" s="95"/>
      <c r="L48" s="65" t="s">
        <v>3729</v>
      </c>
      <c r="M48" s="218" t="s">
        <v>3730</v>
      </c>
      <c r="N48" s="218" t="s">
        <v>3730</v>
      </c>
      <c r="O48" s="218">
        <v>229.63</v>
      </c>
      <c r="P48" s="218">
        <v>4434.24</v>
      </c>
      <c r="Q48" s="218"/>
      <c r="R48" s="65" t="s">
        <v>3731</v>
      </c>
      <c r="S48" s="65" t="s">
        <v>3812</v>
      </c>
      <c r="T48" s="61"/>
      <c r="U48" s="65" t="b">
        <v>1</v>
      </c>
      <c r="V48" s="61"/>
      <c r="W48" s="61"/>
    </row>
    <row r="49">
      <c r="A49" s="214">
        <v>43.0</v>
      </c>
      <c r="B49" s="202"/>
      <c r="C49" s="40" t="s">
        <v>3813</v>
      </c>
      <c r="D49" s="61"/>
      <c r="E49" s="223" t="s">
        <v>3814</v>
      </c>
      <c r="F49" s="214">
        <v>157844.0</v>
      </c>
      <c r="G49" s="224">
        <v>341.66</v>
      </c>
      <c r="H49" s="224">
        <v>341.66</v>
      </c>
      <c r="I49" s="217">
        <v>44260.0</v>
      </c>
      <c r="J49" s="222" t="b">
        <v>1</v>
      </c>
      <c r="K49" s="95"/>
      <c r="L49" s="65" t="s">
        <v>3729</v>
      </c>
      <c r="M49" s="218" t="s">
        <v>3730</v>
      </c>
      <c r="N49" s="218" t="s">
        <v>3730</v>
      </c>
      <c r="O49" s="218">
        <v>105.0</v>
      </c>
      <c r="P49" s="218" t="s">
        <v>3730</v>
      </c>
      <c r="Q49" s="218"/>
      <c r="R49" s="65" t="s">
        <v>3731</v>
      </c>
      <c r="S49" s="65" t="s">
        <v>3815</v>
      </c>
      <c r="T49" s="61"/>
      <c r="U49" s="61" t="b">
        <v>1</v>
      </c>
      <c r="V49" s="61"/>
      <c r="W49" s="61"/>
    </row>
    <row r="50">
      <c r="A50" s="214">
        <v>44.0</v>
      </c>
      <c r="B50" s="202"/>
      <c r="C50" s="61" t="s">
        <v>3629</v>
      </c>
      <c r="D50" s="61" t="s">
        <v>3630</v>
      </c>
      <c r="E50" s="223" t="s">
        <v>3816</v>
      </c>
      <c r="F50" s="214">
        <v>70999.0</v>
      </c>
      <c r="G50" s="224">
        <v>1405.0</v>
      </c>
      <c r="H50" s="224">
        <v>1405.0</v>
      </c>
      <c r="I50" s="217">
        <v>44258.0</v>
      </c>
      <c r="J50" s="222" t="b">
        <v>1</v>
      </c>
      <c r="K50" s="95"/>
      <c r="L50" s="65" t="s">
        <v>3729</v>
      </c>
      <c r="M50" s="218">
        <f>829.08+259.14</f>
        <v>1088.22</v>
      </c>
      <c r="N50" s="218" t="s">
        <v>3730</v>
      </c>
      <c r="O50" s="218">
        <v>527.73</v>
      </c>
      <c r="P50" s="218" t="s">
        <v>3730</v>
      </c>
      <c r="Q50" s="218"/>
      <c r="R50" s="65" t="s">
        <v>3731</v>
      </c>
      <c r="S50" s="65" t="s">
        <v>3817</v>
      </c>
      <c r="T50" s="219" t="s">
        <v>3818</v>
      </c>
      <c r="U50" s="65" t="b">
        <v>1</v>
      </c>
      <c r="V50" s="61"/>
      <c r="W50" s="61"/>
    </row>
    <row r="51">
      <c r="A51" s="214">
        <v>45.0</v>
      </c>
      <c r="B51" s="202"/>
      <c r="C51" s="61" t="s">
        <v>3659</v>
      </c>
      <c r="D51" s="61" t="s">
        <v>3660</v>
      </c>
      <c r="E51" s="223" t="s">
        <v>3819</v>
      </c>
      <c r="F51" s="214">
        <v>65774.0</v>
      </c>
      <c r="G51" s="224">
        <v>762.3</v>
      </c>
      <c r="H51" s="224">
        <v>762.3</v>
      </c>
      <c r="I51" s="217">
        <v>44263.0</v>
      </c>
      <c r="J51" s="222" t="b">
        <v>1</v>
      </c>
      <c r="K51" s="94" t="s">
        <v>150</v>
      </c>
      <c r="L51" s="65" t="s">
        <v>3729</v>
      </c>
      <c r="M51" s="218">
        <v>200.0</v>
      </c>
      <c r="N51" s="218" t="s">
        <v>3730</v>
      </c>
      <c r="O51" s="218" t="s">
        <v>3730</v>
      </c>
      <c r="P51" s="218" t="s">
        <v>3730</v>
      </c>
      <c r="Q51" s="218"/>
      <c r="R51" s="65" t="s">
        <v>3731</v>
      </c>
      <c r="S51" s="65" t="s">
        <v>3772</v>
      </c>
      <c r="T51" s="219" t="s">
        <v>3818</v>
      </c>
      <c r="U51" s="65" t="b">
        <v>1</v>
      </c>
      <c r="V51" s="61"/>
      <c r="W51" s="61"/>
    </row>
    <row r="52">
      <c r="A52" s="214">
        <v>46.0</v>
      </c>
      <c r="B52" s="202"/>
      <c r="C52" s="61" t="s">
        <v>3726</v>
      </c>
      <c r="D52" s="61" t="s">
        <v>3727</v>
      </c>
      <c r="E52" s="223" t="s">
        <v>3728</v>
      </c>
      <c r="F52" s="214">
        <v>48845.0</v>
      </c>
      <c r="G52" s="224">
        <v>147.5</v>
      </c>
      <c r="H52" s="224">
        <v>147.5</v>
      </c>
      <c r="I52" s="217">
        <v>44257.0</v>
      </c>
      <c r="J52" s="222" t="b">
        <v>1</v>
      </c>
      <c r="K52" s="95"/>
      <c r="L52" s="65" t="s">
        <v>3729</v>
      </c>
      <c r="M52" s="218">
        <v>60.35</v>
      </c>
      <c r="N52" s="218" t="s">
        <v>3730</v>
      </c>
      <c r="O52" s="218" t="s">
        <v>3730</v>
      </c>
      <c r="P52" s="218">
        <v>227.55</v>
      </c>
      <c r="Q52" s="218"/>
      <c r="R52" s="65" t="s">
        <v>3731</v>
      </c>
      <c r="S52" s="65" t="s">
        <v>3820</v>
      </c>
      <c r="T52" s="219" t="s">
        <v>3818</v>
      </c>
      <c r="U52" s="65" t="b">
        <v>1</v>
      </c>
      <c r="V52" s="61"/>
      <c r="W52" s="61"/>
    </row>
    <row r="53">
      <c r="A53" s="214">
        <v>47.0</v>
      </c>
      <c r="B53" s="202"/>
      <c r="C53" s="61" t="s">
        <v>3606</v>
      </c>
      <c r="D53" s="61"/>
      <c r="E53" s="223" t="s">
        <v>3821</v>
      </c>
      <c r="F53" s="214">
        <v>2.02100000000342E14</v>
      </c>
      <c r="G53" s="224">
        <v>777.0</v>
      </c>
      <c r="H53" s="224">
        <v>777.0</v>
      </c>
      <c r="I53" s="217">
        <v>44265.0</v>
      </c>
      <c r="J53" s="222" t="b">
        <v>1</v>
      </c>
      <c r="K53" s="95"/>
      <c r="L53" s="65" t="s">
        <v>3729</v>
      </c>
      <c r="M53" s="218">
        <v>5144.0</v>
      </c>
      <c r="N53" s="218" t="s">
        <v>3730</v>
      </c>
      <c r="O53" s="218" t="s">
        <v>3730</v>
      </c>
      <c r="P53" s="218" t="s">
        <v>3730</v>
      </c>
      <c r="Q53" s="218"/>
      <c r="R53" s="65" t="s">
        <v>3731</v>
      </c>
      <c r="S53" s="65" t="s">
        <v>3740</v>
      </c>
      <c r="T53" s="65"/>
      <c r="U53" s="65" t="b">
        <v>1</v>
      </c>
      <c r="V53" s="61"/>
      <c r="W53" s="61"/>
    </row>
    <row r="54">
      <c r="A54" s="214">
        <v>48.0</v>
      </c>
      <c r="B54" s="202"/>
      <c r="C54" s="40" t="s">
        <v>495</v>
      </c>
      <c r="D54" s="61"/>
      <c r="E54" s="223" t="s">
        <v>3801</v>
      </c>
      <c r="F54" s="214">
        <v>107973.0</v>
      </c>
      <c r="G54" s="224">
        <v>388.27</v>
      </c>
      <c r="H54" s="224">
        <v>388.27</v>
      </c>
      <c r="I54" s="217">
        <v>44271.0</v>
      </c>
      <c r="J54" s="222" t="b">
        <v>1</v>
      </c>
      <c r="K54" s="95"/>
      <c r="L54" s="65" t="s">
        <v>3729</v>
      </c>
      <c r="M54" s="218">
        <v>373.02</v>
      </c>
      <c r="N54" s="218" t="s">
        <v>3730</v>
      </c>
      <c r="O54" s="218" t="s">
        <v>3730</v>
      </c>
      <c r="P54" s="218" t="s">
        <v>3730</v>
      </c>
      <c r="Q54" s="218"/>
      <c r="R54" s="65" t="s">
        <v>3731</v>
      </c>
      <c r="S54" s="65" t="s">
        <v>3708</v>
      </c>
      <c r="T54" s="61"/>
      <c r="U54" s="61" t="b">
        <v>1</v>
      </c>
      <c r="V54" s="61"/>
      <c r="W54" s="61"/>
    </row>
    <row r="55">
      <c r="A55" s="214">
        <v>49.0</v>
      </c>
      <c r="B55" s="202"/>
      <c r="C55" s="40" t="s">
        <v>3822</v>
      </c>
      <c r="D55" s="61"/>
      <c r="E55" s="223" t="s">
        <v>3801</v>
      </c>
      <c r="F55" s="214">
        <v>49307.0</v>
      </c>
      <c r="G55" s="224">
        <v>1970.56</v>
      </c>
      <c r="H55" s="224">
        <v>1970.56</v>
      </c>
      <c r="I55" s="217">
        <v>44273.0</v>
      </c>
      <c r="J55" s="222" t="b">
        <v>1</v>
      </c>
      <c r="K55" s="95"/>
      <c r="L55" s="65" t="s">
        <v>3729</v>
      </c>
      <c r="M55" s="218">
        <v>64.75</v>
      </c>
      <c r="N55" s="218" t="s">
        <v>3730</v>
      </c>
      <c r="O55" s="218" t="s">
        <v>3730</v>
      </c>
      <c r="P55" s="218" t="s">
        <v>3730</v>
      </c>
      <c r="Q55" s="218"/>
      <c r="R55" s="65" t="s">
        <v>3731</v>
      </c>
      <c r="S55" s="65" t="s">
        <v>3805</v>
      </c>
      <c r="T55" s="65"/>
      <c r="U55" s="61" t="b">
        <v>0</v>
      </c>
      <c r="V55" s="61"/>
      <c r="W55" s="61"/>
    </row>
    <row r="56">
      <c r="A56" s="214">
        <v>50.0</v>
      </c>
      <c r="B56" s="202"/>
      <c r="C56" s="40" t="s">
        <v>3635</v>
      </c>
      <c r="D56" s="61" t="s">
        <v>3636</v>
      </c>
      <c r="E56" s="225" t="s">
        <v>3823</v>
      </c>
      <c r="F56" s="214">
        <v>71636.0</v>
      </c>
      <c r="G56" s="224">
        <v>10000.0</v>
      </c>
      <c r="H56" s="224">
        <v>10000.0</v>
      </c>
      <c r="I56" s="217">
        <v>44273.0</v>
      </c>
      <c r="J56" s="222" t="b">
        <v>1</v>
      </c>
      <c r="K56" s="95"/>
      <c r="L56" s="65" t="s">
        <v>3729</v>
      </c>
      <c r="M56" s="218">
        <v>2023.14</v>
      </c>
      <c r="N56" s="218" t="s">
        <v>3730</v>
      </c>
      <c r="O56" s="218" t="s">
        <v>3730</v>
      </c>
      <c r="P56" s="218">
        <v>2023.14</v>
      </c>
      <c r="Q56" s="218"/>
      <c r="R56" s="65" t="s">
        <v>3731</v>
      </c>
      <c r="S56" s="65" t="s">
        <v>3824</v>
      </c>
      <c r="T56" s="61"/>
      <c r="U56" s="65" t="b">
        <v>1</v>
      </c>
      <c r="V56" s="61"/>
      <c r="W56" s="61"/>
    </row>
    <row r="57">
      <c r="A57" s="214">
        <v>51.0</v>
      </c>
      <c r="B57" s="202"/>
      <c r="C57" s="40" t="s">
        <v>3789</v>
      </c>
      <c r="D57" s="61"/>
      <c r="E57" s="225" t="s">
        <v>3825</v>
      </c>
      <c r="F57" s="214">
        <v>3762.0</v>
      </c>
      <c r="G57" s="224">
        <v>1336.84</v>
      </c>
      <c r="H57" s="224">
        <v>1336.84</v>
      </c>
      <c r="I57" s="217">
        <v>44271.0</v>
      </c>
      <c r="J57" s="222" t="b">
        <v>1</v>
      </c>
      <c r="K57" s="95"/>
      <c r="L57" s="65" t="s">
        <v>3729</v>
      </c>
      <c r="M57" s="218">
        <v>173.5</v>
      </c>
      <c r="N57" s="218" t="s">
        <v>3730</v>
      </c>
      <c r="O57" s="218" t="s">
        <v>3730</v>
      </c>
      <c r="P57" s="218" t="s">
        <v>3730</v>
      </c>
      <c r="Q57" s="218"/>
      <c r="R57" s="65" t="s">
        <v>3731</v>
      </c>
      <c r="S57" s="65" t="s">
        <v>3826</v>
      </c>
      <c r="T57" s="205" t="s">
        <v>3827</v>
      </c>
      <c r="U57" s="65" t="b">
        <v>1</v>
      </c>
      <c r="V57" s="61"/>
      <c r="W57" s="61"/>
    </row>
    <row r="58">
      <c r="A58" s="214">
        <v>52.0</v>
      </c>
      <c r="B58" s="202"/>
      <c r="C58" s="40" t="s">
        <v>3726</v>
      </c>
      <c r="D58" s="61" t="s">
        <v>3727</v>
      </c>
      <c r="E58" s="223" t="s">
        <v>3728</v>
      </c>
      <c r="F58" s="214">
        <v>124960.0</v>
      </c>
      <c r="G58" s="224">
        <v>100.33</v>
      </c>
      <c r="H58" s="224">
        <v>0.0</v>
      </c>
      <c r="I58" s="217">
        <v>44274.0</v>
      </c>
      <c r="J58" s="222" t="b">
        <v>1</v>
      </c>
      <c r="K58" s="95"/>
      <c r="L58" s="65" t="s">
        <v>3729</v>
      </c>
      <c r="M58" s="218">
        <v>701.0</v>
      </c>
      <c r="N58" s="218" t="s">
        <v>3730</v>
      </c>
      <c r="O58" s="218" t="s">
        <v>3730</v>
      </c>
      <c r="P58" s="218" t="s">
        <v>3730</v>
      </c>
      <c r="Q58" s="218"/>
      <c r="R58" s="65" t="s">
        <v>3731</v>
      </c>
      <c r="S58" s="65" t="s">
        <v>3708</v>
      </c>
      <c r="T58" s="61"/>
      <c r="U58" s="61" t="b">
        <v>1</v>
      </c>
      <c r="V58" s="61"/>
      <c r="W58" s="61"/>
    </row>
    <row r="59">
      <c r="A59" s="214">
        <v>53.0</v>
      </c>
      <c r="B59" s="202"/>
      <c r="C59" s="40" t="s">
        <v>3629</v>
      </c>
      <c r="D59" s="61" t="s">
        <v>3630</v>
      </c>
      <c r="E59" s="223" t="s">
        <v>3828</v>
      </c>
      <c r="F59" s="214">
        <v>159096.0</v>
      </c>
      <c r="G59" s="224">
        <v>797.0</v>
      </c>
      <c r="H59" s="224">
        <v>0.0</v>
      </c>
      <c r="I59" s="217">
        <v>44277.0</v>
      </c>
      <c r="J59" s="222" t="b">
        <v>1</v>
      </c>
      <c r="K59" s="95"/>
      <c r="L59" s="65" t="s">
        <v>3729</v>
      </c>
      <c r="M59" s="218" t="s">
        <v>3730</v>
      </c>
      <c r="N59" s="218" t="s">
        <v>3730</v>
      </c>
      <c r="O59" s="218">
        <v>3798.48</v>
      </c>
      <c r="P59" s="218" t="s">
        <v>3730</v>
      </c>
      <c r="Q59" s="218"/>
      <c r="R59" s="65" t="s">
        <v>3731</v>
      </c>
      <c r="S59" s="65" t="s">
        <v>3781</v>
      </c>
      <c r="T59" s="65"/>
      <c r="U59" s="65" t="b">
        <v>1</v>
      </c>
      <c r="V59" s="61"/>
      <c r="W59" s="61"/>
    </row>
    <row r="60">
      <c r="A60" s="214">
        <v>54.0</v>
      </c>
      <c r="B60" s="202"/>
      <c r="C60" s="40" t="s">
        <v>3829</v>
      </c>
      <c r="D60" s="61"/>
      <c r="E60" s="223" t="s">
        <v>3830</v>
      </c>
      <c r="F60" s="214">
        <v>125083.0</v>
      </c>
      <c r="G60" s="224">
        <v>8856.0</v>
      </c>
      <c r="H60" s="224">
        <v>8856.0</v>
      </c>
      <c r="I60" s="217">
        <v>44280.0</v>
      </c>
      <c r="J60" s="222" t="b">
        <v>1</v>
      </c>
      <c r="K60" s="95"/>
      <c r="L60" s="65" t="s">
        <v>3729</v>
      </c>
      <c r="M60" s="218" t="s">
        <v>3730</v>
      </c>
      <c r="N60" s="218" t="s">
        <v>3730</v>
      </c>
      <c r="O60" s="218" t="s">
        <v>3730</v>
      </c>
      <c r="P60" s="218">
        <v>701.0</v>
      </c>
      <c r="Q60" s="218"/>
      <c r="R60" s="65" t="s">
        <v>3731</v>
      </c>
      <c r="S60" s="65" t="s">
        <v>3831</v>
      </c>
      <c r="T60" s="65"/>
      <c r="U60" s="65" t="b">
        <v>1</v>
      </c>
      <c r="V60" s="61"/>
      <c r="W60" s="61"/>
    </row>
    <row r="61">
      <c r="A61" s="214">
        <v>55.0</v>
      </c>
      <c r="B61" s="202"/>
      <c r="C61" s="40" t="s">
        <v>3635</v>
      </c>
      <c r="D61" s="61" t="s">
        <v>3636</v>
      </c>
      <c r="E61" s="225" t="s">
        <v>3832</v>
      </c>
      <c r="F61" s="214">
        <v>71755.0</v>
      </c>
      <c r="G61" s="224">
        <v>10000.0</v>
      </c>
      <c r="H61" s="224">
        <v>10000.0</v>
      </c>
      <c r="I61" s="217">
        <v>44277.0</v>
      </c>
      <c r="J61" s="222" t="b">
        <v>1</v>
      </c>
      <c r="K61" s="95"/>
      <c r="L61" s="65" t="s">
        <v>3729</v>
      </c>
      <c r="M61" s="218">
        <v>259.14</v>
      </c>
      <c r="N61" s="218" t="s">
        <v>3730</v>
      </c>
      <c r="O61" s="218" t="s">
        <v>3730</v>
      </c>
      <c r="P61" s="218" t="s">
        <v>3730</v>
      </c>
      <c r="Q61" s="218"/>
      <c r="R61" s="65" t="s">
        <v>3731</v>
      </c>
      <c r="S61" s="65" t="s">
        <v>3833</v>
      </c>
      <c r="T61" s="61"/>
      <c r="U61" s="65" t="b">
        <v>1</v>
      </c>
      <c r="V61" s="61"/>
      <c r="W61" s="61"/>
    </row>
    <row r="62">
      <c r="A62" s="214">
        <v>56.0</v>
      </c>
      <c r="B62" s="202"/>
      <c r="C62" s="40" t="s">
        <v>3834</v>
      </c>
      <c r="D62" s="61"/>
      <c r="E62" s="223" t="s">
        <v>3835</v>
      </c>
      <c r="F62" s="214">
        <v>1.0</v>
      </c>
      <c r="G62" s="224">
        <v>482.11</v>
      </c>
      <c r="H62" s="224">
        <v>482.11</v>
      </c>
      <c r="I62" s="217">
        <v>44283.0</v>
      </c>
      <c r="J62" s="222" t="b">
        <v>1</v>
      </c>
      <c r="K62" s="94" t="s">
        <v>150</v>
      </c>
      <c r="L62" s="65" t="s">
        <v>3729</v>
      </c>
      <c r="M62" s="218">
        <v>5000.0</v>
      </c>
      <c r="N62" s="218" t="s">
        <v>3730</v>
      </c>
      <c r="O62" s="218" t="s">
        <v>3730</v>
      </c>
      <c r="P62" s="218" t="s">
        <v>3730</v>
      </c>
      <c r="Q62" s="218"/>
      <c r="R62" s="65" t="s">
        <v>3731</v>
      </c>
      <c r="S62" s="65" t="s">
        <v>3836</v>
      </c>
      <c r="T62" s="205" t="s">
        <v>3837</v>
      </c>
      <c r="U62" s="65" t="b">
        <v>1</v>
      </c>
      <c r="V62" s="61"/>
      <c r="W62" s="61"/>
    </row>
    <row r="63">
      <c r="A63" s="214">
        <v>57.0</v>
      </c>
      <c r="B63" s="202"/>
      <c r="C63" s="40" t="s">
        <v>3632</v>
      </c>
      <c r="D63" s="61" t="s">
        <v>3633</v>
      </c>
      <c r="E63" s="225" t="s">
        <v>3838</v>
      </c>
      <c r="F63" s="214">
        <v>125080.0</v>
      </c>
      <c r="G63" s="224">
        <v>2066.62</v>
      </c>
      <c r="H63" s="224">
        <v>2066.62</v>
      </c>
      <c r="I63" s="217">
        <v>44280.0</v>
      </c>
      <c r="J63" s="222" t="b">
        <v>1</v>
      </c>
      <c r="K63" s="94"/>
      <c r="L63" s="65" t="s">
        <v>3729</v>
      </c>
      <c r="M63" s="218">
        <v>701.0</v>
      </c>
      <c r="N63" s="218" t="s">
        <v>3730</v>
      </c>
      <c r="O63" s="218" t="s">
        <v>3730</v>
      </c>
      <c r="P63" s="218" t="s">
        <v>3730</v>
      </c>
      <c r="Q63" s="218"/>
      <c r="R63" s="65" t="s">
        <v>3731</v>
      </c>
      <c r="S63" s="65" t="s">
        <v>3708</v>
      </c>
      <c r="T63" s="219"/>
      <c r="U63" s="61" t="b">
        <v>1</v>
      </c>
      <c r="V63" s="61"/>
      <c r="W63" s="61"/>
    </row>
    <row r="64">
      <c r="A64" s="214">
        <v>58.0</v>
      </c>
      <c r="B64" s="202"/>
      <c r="C64" s="40" t="s">
        <v>3632</v>
      </c>
      <c r="D64" s="61" t="s">
        <v>3633</v>
      </c>
      <c r="E64" s="225" t="s">
        <v>3839</v>
      </c>
      <c r="F64" s="214">
        <v>159589.0</v>
      </c>
      <c r="G64" s="224">
        <v>41570.82</v>
      </c>
      <c r="H64" s="224">
        <v>41570.82</v>
      </c>
      <c r="I64" s="217">
        <v>44285.0</v>
      </c>
      <c r="J64" s="222" t="b">
        <v>1</v>
      </c>
      <c r="K64" s="95"/>
      <c r="L64" s="65" t="s">
        <v>3729</v>
      </c>
      <c r="M64" s="218" t="s">
        <v>3730</v>
      </c>
      <c r="N64" s="218" t="s">
        <v>3730</v>
      </c>
      <c r="O64" s="218">
        <v>1003.91</v>
      </c>
      <c r="P64" s="218" t="s">
        <v>3730</v>
      </c>
      <c r="Q64" s="218"/>
      <c r="R64" s="65" t="s">
        <v>3731</v>
      </c>
      <c r="S64" s="65" t="s">
        <v>3747</v>
      </c>
      <c r="T64" s="205" t="s">
        <v>94</v>
      </c>
      <c r="U64" s="65" t="b">
        <v>1</v>
      </c>
      <c r="V64" s="61"/>
      <c r="W64" s="61"/>
    </row>
    <row r="65">
      <c r="A65" s="214">
        <v>59.0</v>
      </c>
      <c r="B65" s="202"/>
      <c r="C65" s="40" t="s">
        <v>3632</v>
      </c>
      <c r="D65" s="61" t="s">
        <v>3633</v>
      </c>
      <c r="E65" s="225" t="s">
        <v>3840</v>
      </c>
      <c r="F65" s="214">
        <v>159663.0</v>
      </c>
      <c r="G65" s="224">
        <v>14438.49</v>
      </c>
      <c r="H65" s="224">
        <v>0.0</v>
      </c>
      <c r="I65" s="217">
        <v>44287.0</v>
      </c>
      <c r="J65" s="222" t="b">
        <v>1</v>
      </c>
      <c r="K65" s="95"/>
      <c r="L65" s="65" t="s">
        <v>3729</v>
      </c>
      <c r="M65" s="218" t="s">
        <v>3730</v>
      </c>
      <c r="N65" s="218" t="s">
        <v>3730</v>
      </c>
      <c r="O65" s="218">
        <v>4456.64</v>
      </c>
      <c r="P65" s="218" t="s">
        <v>3730</v>
      </c>
      <c r="Q65" s="218"/>
      <c r="R65" s="65" t="s">
        <v>3731</v>
      </c>
      <c r="S65" s="65" t="s">
        <v>3781</v>
      </c>
      <c r="T65" s="65"/>
      <c r="U65" s="65" t="b">
        <v>1</v>
      </c>
      <c r="V65" s="61"/>
      <c r="W65" s="61"/>
    </row>
    <row r="66">
      <c r="A66" s="214">
        <v>60.0</v>
      </c>
      <c r="B66" s="202"/>
      <c r="C66" s="61" t="s">
        <v>3726</v>
      </c>
      <c r="D66" s="61" t="s">
        <v>3727</v>
      </c>
      <c r="E66" s="223" t="s">
        <v>3841</v>
      </c>
      <c r="F66" s="214">
        <v>1526.0</v>
      </c>
      <c r="G66" s="224">
        <v>58.36</v>
      </c>
      <c r="H66" s="224">
        <v>58.36</v>
      </c>
      <c r="I66" s="217">
        <v>44287.0</v>
      </c>
      <c r="J66" s="222" t="b">
        <v>1</v>
      </c>
      <c r="K66" s="94" t="s">
        <v>150</v>
      </c>
      <c r="L66" s="65" t="s">
        <v>3729</v>
      </c>
      <c r="M66" s="218">
        <v>3000.0</v>
      </c>
      <c r="N66" s="218" t="s">
        <v>3730</v>
      </c>
      <c r="O66" s="218" t="s">
        <v>3730</v>
      </c>
      <c r="P66" s="218" t="s">
        <v>3730</v>
      </c>
      <c r="Q66" s="218"/>
      <c r="R66" s="65" t="s">
        <v>3731</v>
      </c>
      <c r="S66" s="65" t="s">
        <v>3842</v>
      </c>
      <c r="T66" s="65"/>
      <c r="U66" s="65" t="b">
        <v>1</v>
      </c>
      <c r="V66" s="61"/>
      <c r="W66" s="61"/>
    </row>
    <row r="67">
      <c r="A67" s="214">
        <v>61.0</v>
      </c>
      <c r="B67" s="202"/>
      <c r="C67" s="61" t="s">
        <v>3629</v>
      </c>
      <c r="D67" s="61" t="s">
        <v>3630</v>
      </c>
      <c r="E67" s="223" t="s">
        <v>3843</v>
      </c>
      <c r="F67" s="214">
        <v>2.02100000000508E14</v>
      </c>
      <c r="G67" s="224">
        <v>4215.0</v>
      </c>
      <c r="H67" s="224">
        <v>4215.0</v>
      </c>
      <c r="I67" s="217">
        <v>44295.0</v>
      </c>
      <c r="J67" s="222" t="b">
        <v>1</v>
      </c>
      <c r="L67" s="65" t="s">
        <v>3729</v>
      </c>
      <c r="M67" s="218">
        <v>5144.0</v>
      </c>
      <c r="N67" s="218" t="s">
        <v>3730</v>
      </c>
      <c r="O67" s="218" t="s">
        <v>3730</v>
      </c>
      <c r="P67" s="218" t="s">
        <v>3730</v>
      </c>
      <c r="Q67" s="218"/>
      <c r="R67" s="65" t="s">
        <v>3731</v>
      </c>
      <c r="S67" s="65" t="s">
        <v>3740</v>
      </c>
      <c r="T67" s="219" t="s">
        <v>3844</v>
      </c>
      <c r="U67" s="65" t="b">
        <v>1</v>
      </c>
      <c r="V67" s="61"/>
      <c r="W67" s="61"/>
    </row>
    <row r="68">
      <c r="A68" s="214">
        <v>62.0</v>
      </c>
      <c r="B68" s="202"/>
      <c r="C68" s="61" t="s">
        <v>3793</v>
      </c>
      <c r="D68" s="61" t="s">
        <v>3794</v>
      </c>
      <c r="E68" s="223" t="s">
        <v>3845</v>
      </c>
      <c r="F68" s="214">
        <v>405124.0</v>
      </c>
      <c r="G68" s="224">
        <v>7200.0</v>
      </c>
      <c r="H68" s="224">
        <v>7200.0</v>
      </c>
      <c r="I68" s="217">
        <v>44294.0</v>
      </c>
      <c r="J68" s="222" t="b">
        <v>1</v>
      </c>
      <c r="K68" s="95"/>
      <c r="L68" s="65" t="s">
        <v>3729</v>
      </c>
      <c r="M68" s="218">
        <v>1402.0</v>
      </c>
      <c r="N68" s="218" t="s">
        <v>3730</v>
      </c>
      <c r="O68" s="218" t="s">
        <v>3730</v>
      </c>
      <c r="P68" s="218" t="s">
        <v>3730</v>
      </c>
      <c r="Q68" s="218"/>
      <c r="R68" s="65" t="s">
        <v>3731</v>
      </c>
      <c r="S68" s="65" t="s">
        <v>3846</v>
      </c>
      <c r="T68" s="205" t="s">
        <v>3847</v>
      </c>
      <c r="U68" s="65" t="b">
        <v>1</v>
      </c>
      <c r="V68" s="61"/>
      <c r="W68" s="61"/>
    </row>
    <row r="69">
      <c r="A69" s="214">
        <v>63.0</v>
      </c>
      <c r="B69" s="202"/>
      <c r="C69" s="61" t="s">
        <v>3632</v>
      </c>
      <c r="D69" s="61" t="s">
        <v>3633</v>
      </c>
      <c r="E69" s="225" t="s">
        <v>3848</v>
      </c>
      <c r="F69" s="214">
        <v>72407.0</v>
      </c>
      <c r="G69" s="224">
        <v>14865.99</v>
      </c>
      <c r="H69" s="224">
        <v>0.0</v>
      </c>
      <c r="I69" s="217">
        <v>44295.0</v>
      </c>
      <c r="J69" s="222" t="b">
        <v>1</v>
      </c>
      <c r="K69" s="95"/>
      <c r="L69" s="65" t="s">
        <v>3729</v>
      </c>
      <c r="M69" s="218">
        <v>259.14</v>
      </c>
      <c r="N69" s="218" t="s">
        <v>3730</v>
      </c>
      <c r="O69" s="218">
        <v>4273.68</v>
      </c>
      <c r="P69" s="218" t="s">
        <v>3730</v>
      </c>
      <c r="Q69" s="218"/>
      <c r="R69" s="65" t="s">
        <v>3731</v>
      </c>
      <c r="S69" s="65" t="s">
        <v>3849</v>
      </c>
      <c r="T69" s="205" t="s">
        <v>3747</v>
      </c>
      <c r="U69" s="65" t="b">
        <v>1</v>
      </c>
      <c r="V69" s="61"/>
      <c r="W69" s="61"/>
    </row>
    <row r="70">
      <c r="A70" s="214">
        <v>64.0</v>
      </c>
      <c r="B70" s="202"/>
      <c r="C70" s="61" t="s">
        <v>3629</v>
      </c>
      <c r="D70" s="61" t="s">
        <v>3630</v>
      </c>
      <c r="E70" s="223" t="s">
        <v>3828</v>
      </c>
      <c r="F70" s="214">
        <v>72239.0</v>
      </c>
      <c r="G70" s="224">
        <v>730.0</v>
      </c>
      <c r="H70" s="224">
        <v>0.0</v>
      </c>
      <c r="I70" s="217">
        <v>44291.0</v>
      </c>
      <c r="J70" s="222" t="b">
        <v>1</v>
      </c>
      <c r="K70" s="95"/>
      <c r="L70" s="65" t="s">
        <v>3729</v>
      </c>
      <c r="M70" s="218" t="s">
        <v>3730</v>
      </c>
      <c r="N70" s="218" t="s">
        <v>3730</v>
      </c>
      <c r="O70" s="218">
        <v>5427.24</v>
      </c>
      <c r="P70" s="218" t="s">
        <v>3730</v>
      </c>
      <c r="Q70" s="218"/>
      <c r="R70" s="65" t="s">
        <v>3731</v>
      </c>
      <c r="S70" s="65" t="s">
        <v>3850</v>
      </c>
      <c r="T70" s="219" t="s">
        <v>3851</v>
      </c>
      <c r="U70" s="65" t="b">
        <v>1</v>
      </c>
      <c r="V70" s="65" t="s">
        <v>3765</v>
      </c>
      <c r="W70" s="61"/>
    </row>
    <row r="71">
      <c r="A71" s="214">
        <v>65.0</v>
      </c>
      <c r="B71" s="202"/>
      <c r="C71" s="61" t="s">
        <v>3659</v>
      </c>
      <c r="D71" s="61" t="s">
        <v>3660</v>
      </c>
      <c r="E71" s="223" t="s">
        <v>3852</v>
      </c>
      <c r="F71" s="214">
        <v>160216.0</v>
      </c>
      <c r="G71" s="224">
        <v>260.0</v>
      </c>
      <c r="H71" s="224">
        <v>0.0</v>
      </c>
      <c r="I71" s="217">
        <v>44293.0</v>
      </c>
      <c r="J71" s="222" t="b">
        <v>1</v>
      </c>
      <c r="K71" s="95"/>
      <c r="L71" s="65" t="s">
        <v>3729</v>
      </c>
      <c r="M71" s="218" t="s">
        <v>3730</v>
      </c>
      <c r="N71" s="218" t="s">
        <v>3730</v>
      </c>
      <c r="O71" s="218">
        <v>2683.91</v>
      </c>
      <c r="P71" s="218" t="s">
        <v>3730</v>
      </c>
      <c r="Q71" s="218"/>
      <c r="R71" s="65" t="s">
        <v>3731</v>
      </c>
      <c r="S71" s="65" t="s">
        <v>3853</v>
      </c>
      <c r="T71" s="205" t="s">
        <v>3747</v>
      </c>
      <c r="U71" s="65" t="b">
        <v>1</v>
      </c>
      <c r="V71" s="61"/>
      <c r="W71" s="61"/>
    </row>
    <row r="72">
      <c r="A72" s="214">
        <v>66.0</v>
      </c>
      <c r="B72" s="202"/>
      <c r="C72" s="61" t="s">
        <v>3829</v>
      </c>
      <c r="D72" s="61"/>
      <c r="E72" s="223" t="s">
        <v>3830</v>
      </c>
      <c r="F72" s="214">
        <v>160034.0</v>
      </c>
      <c r="G72" s="224">
        <v>8856.0</v>
      </c>
      <c r="H72" s="224">
        <v>8856.0</v>
      </c>
      <c r="I72" s="217">
        <v>44291.0</v>
      </c>
      <c r="J72" s="222" t="b">
        <v>1</v>
      </c>
      <c r="K72" s="95"/>
      <c r="L72" s="65" t="s">
        <v>3729</v>
      </c>
      <c r="M72" s="218" t="s">
        <v>3730</v>
      </c>
      <c r="N72" s="218" t="s">
        <v>3730</v>
      </c>
      <c r="O72" s="218">
        <v>9848.1</v>
      </c>
      <c r="P72" s="218" t="s">
        <v>3730</v>
      </c>
      <c r="Q72" s="218"/>
      <c r="R72" s="65" t="s">
        <v>3731</v>
      </c>
      <c r="S72" s="65" t="s">
        <v>3853</v>
      </c>
      <c r="T72" s="205" t="s">
        <v>3854</v>
      </c>
      <c r="U72" s="65" t="b">
        <v>1</v>
      </c>
      <c r="V72" s="61"/>
      <c r="W72" s="61"/>
    </row>
    <row r="73">
      <c r="A73" s="214">
        <v>67.0</v>
      </c>
      <c r="B73" s="202"/>
      <c r="C73" s="61" t="s">
        <v>3855</v>
      </c>
      <c r="D73" s="61"/>
      <c r="E73" s="225" t="s">
        <v>3856</v>
      </c>
      <c r="F73" s="214" t="s">
        <v>3857</v>
      </c>
      <c r="G73" s="224">
        <v>2158.55</v>
      </c>
      <c r="H73" s="224">
        <v>2158.55</v>
      </c>
      <c r="I73" s="217">
        <v>44293.0</v>
      </c>
      <c r="J73" s="222" t="b">
        <v>1</v>
      </c>
      <c r="K73" s="94" t="s">
        <v>150</v>
      </c>
      <c r="L73" s="65" t="s">
        <v>3729</v>
      </c>
      <c r="M73" s="218">
        <v>1840.0</v>
      </c>
      <c r="N73" s="218" t="s">
        <v>3730</v>
      </c>
      <c r="O73" s="218" t="s">
        <v>3730</v>
      </c>
      <c r="P73" s="218" t="s">
        <v>3730</v>
      </c>
      <c r="Q73" s="218"/>
      <c r="R73" s="65" t="s">
        <v>3731</v>
      </c>
      <c r="S73" s="65" t="s">
        <v>88</v>
      </c>
      <c r="T73" s="205" t="s">
        <v>3858</v>
      </c>
      <c r="U73" s="65" t="b">
        <v>1</v>
      </c>
      <c r="V73" s="61"/>
      <c r="W73" s="61"/>
    </row>
    <row r="74">
      <c r="A74" s="214">
        <v>68.0</v>
      </c>
      <c r="B74" s="202"/>
      <c r="C74" s="40" t="s">
        <v>3859</v>
      </c>
      <c r="D74" s="61"/>
      <c r="E74" s="223" t="s">
        <v>3860</v>
      </c>
      <c r="F74" s="214">
        <v>49705.0</v>
      </c>
      <c r="G74" s="224">
        <v>27988.34</v>
      </c>
      <c r="H74" s="224">
        <v>27988.34</v>
      </c>
      <c r="I74" s="217">
        <v>44291.0</v>
      </c>
      <c r="J74" s="222" t="b">
        <v>1</v>
      </c>
      <c r="K74" s="95"/>
      <c r="L74" s="65" t="s">
        <v>3729</v>
      </c>
      <c r="M74" s="218" t="s">
        <v>3730</v>
      </c>
      <c r="N74" s="218" t="s">
        <v>3730</v>
      </c>
      <c r="O74" s="218" t="s">
        <v>3730</v>
      </c>
      <c r="P74" s="218">
        <v>127.15</v>
      </c>
      <c r="Q74" s="218"/>
      <c r="R74" s="65" t="s">
        <v>3731</v>
      </c>
      <c r="S74" s="65" t="s">
        <v>3831</v>
      </c>
      <c r="T74" s="65"/>
      <c r="U74" s="65" t="b">
        <v>1</v>
      </c>
      <c r="V74" s="61"/>
      <c r="W74" s="61"/>
    </row>
    <row r="75">
      <c r="A75" s="214">
        <v>69.0</v>
      </c>
      <c r="B75" s="202"/>
      <c r="C75" s="40" t="s">
        <v>3632</v>
      </c>
      <c r="D75" s="61" t="s">
        <v>3633</v>
      </c>
      <c r="E75" s="223" t="s">
        <v>3861</v>
      </c>
      <c r="F75" s="214">
        <v>72542.0</v>
      </c>
      <c r="G75" s="224">
        <v>222.12</v>
      </c>
      <c r="H75" s="224">
        <v>0.0</v>
      </c>
      <c r="I75" s="217">
        <v>44298.0</v>
      </c>
      <c r="J75" s="222" t="b">
        <v>1</v>
      </c>
      <c r="K75" s="95"/>
      <c r="L75" s="65" t="s">
        <v>3729</v>
      </c>
      <c r="M75" s="218" t="s">
        <v>3730</v>
      </c>
      <c r="N75" s="218" t="s">
        <v>3730</v>
      </c>
      <c r="O75" s="218">
        <v>16281.72</v>
      </c>
      <c r="P75" s="218" t="s">
        <v>3730</v>
      </c>
      <c r="Q75" s="218"/>
      <c r="R75" s="65" t="s">
        <v>3731</v>
      </c>
      <c r="S75" s="65" t="s">
        <v>3862</v>
      </c>
      <c r="T75" s="65"/>
      <c r="U75" s="65" t="b">
        <v>1</v>
      </c>
      <c r="V75" s="65" t="s">
        <v>3765</v>
      </c>
      <c r="W75" s="61"/>
    </row>
    <row r="76">
      <c r="A76" s="214">
        <v>70.0</v>
      </c>
      <c r="B76" s="202"/>
      <c r="C76" s="61" t="s">
        <v>3629</v>
      </c>
      <c r="D76" s="61" t="s">
        <v>3630</v>
      </c>
      <c r="E76" s="223" t="s">
        <v>3863</v>
      </c>
      <c r="F76" s="214">
        <v>125637.0</v>
      </c>
      <c r="G76" s="224">
        <v>730.0</v>
      </c>
      <c r="H76" s="224">
        <v>730.0</v>
      </c>
      <c r="I76" s="217">
        <v>44300.0</v>
      </c>
      <c r="J76" s="222" t="b">
        <v>1</v>
      </c>
      <c r="K76" s="95"/>
      <c r="L76" s="65" t="s">
        <v>3729</v>
      </c>
      <c r="M76" s="218">
        <v>1402.0</v>
      </c>
      <c r="N76" s="218" t="s">
        <v>3730</v>
      </c>
      <c r="O76" s="218" t="s">
        <v>3730</v>
      </c>
      <c r="P76" s="218" t="s">
        <v>3730</v>
      </c>
      <c r="Q76" s="218"/>
      <c r="R76" s="65" t="s">
        <v>3731</v>
      </c>
      <c r="S76" s="65" t="s">
        <v>3740</v>
      </c>
      <c r="T76" s="205" t="s">
        <v>3864</v>
      </c>
      <c r="U76" s="65" t="b">
        <v>1</v>
      </c>
      <c r="V76" s="61"/>
      <c r="W76" s="61"/>
    </row>
    <row r="77">
      <c r="A77" s="226">
        <v>71.0</v>
      </c>
      <c r="B77" s="227"/>
      <c r="C77" s="228" t="s">
        <v>3726</v>
      </c>
      <c r="D77" s="228" t="s">
        <v>3727</v>
      </c>
      <c r="E77" s="223" t="s">
        <v>3728</v>
      </c>
      <c r="F77" s="226">
        <v>211060.0</v>
      </c>
      <c r="G77" s="224">
        <v>42.0</v>
      </c>
      <c r="H77" s="224">
        <v>0.0</v>
      </c>
      <c r="I77" s="229">
        <v>44305.0</v>
      </c>
      <c r="J77" s="222" t="b">
        <v>1</v>
      </c>
      <c r="K77" s="230"/>
      <c r="L77" s="231" t="s">
        <v>3729</v>
      </c>
      <c r="M77" s="232">
        <v>18140.73</v>
      </c>
      <c r="N77" s="232" t="s">
        <v>3730</v>
      </c>
      <c r="O77" s="232" t="s">
        <v>3730</v>
      </c>
      <c r="P77" s="232" t="s">
        <v>3730</v>
      </c>
      <c r="Q77" s="232"/>
      <c r="R77" s="231" t="s">
        <v>3731</v>
      </c>
      <c r="S77" s="231" t="s">
        <v>3708</v>
      </c>
      <c r="T77" s="228" t="s">
        <v>3805</v>
      </c>
      <c r="U77" s="233" t="b">
        <v>1</v>
      </c>
      <c r="V77" s="228"/>
      <c r="W77" s="228"/>
    </row>
    <row r="78">
      <c r="A78" s="214">
        <v>72.0</v>
      </c>
      <c r="B78" s="202"/>
      <c r="C78" s="61" t="s">
        <v>3726</v>
      </c>
      <c r="D78" s="61" t="s">
        <v>3727</v>
      </c>
      <c r="E78" s="223" t="s">
        <v>3728</v>
      </c>
      <c r="F78" s="214">
        <v>160945.0</v>
      </c>
      <c r="G78" s="224">
        <v>133.0</v>
      </c>
      <c r="H78" s="224">
        <v>133.0</v>
      </c>
      <c r="I78" s="217">
        <v>44302.0</v>
      </c>
      <c r="J78" s="222" t="b">
        <v>1</v>
      </c>
      <c r="K78" s="95"/>
      <c r="L78" s="65" t="s">
        <v>3729</v>
      </c>
      <c r="M78" s="218" t="s">
        <v>3730</v>
      </c>
      <c r="N78" s="218" t="s">
        <v>3730</v>
      </c>
      <c r="O78" s="218">
        <v>3486.9</v>
      </c>
      <c r="P78" s="218" t="s">
        <v>3730</v>
      </c>
      <c r="Q78" s="218"/>
      <c r="R78" s="65" t="s">
        <v>3731</v>
      </c>
      <c r="S78" s="65" t="s">
        <v>3853</v>
      </c>
      <c r="T78" s="65"/>
      <c r="U78" s="65" t="b">
        <v>1</v>
      </c>
      <c r="V78" s="61"/>
      <c r="W78" s="61"/>
    </row>
    <row r="79">
      <c r="A79" s="214">
        <v>73.0</v>
      </c>
      <c r="B79" s="202"/>
      <c r="C79" s="40" t="s">
        <v>3855</v>
      </c>
      <c r="D79" s="61"/>
      <c r="E79" s="225" t="s">
        <v>3865</v>
      </c>
      <c r="F79" s="214">
        <v>50184.0</v>
      </c>
      <c r="G79" s="224">
        <v>3000.0</v>
      </c>
      <c r="H79" s="224">
        <v>3000.0</v>
      </c>
      <c r="I79" s="217">
        <v>44305.0</v>
      </c>
      <c r="J79" s="222" t="b">
        <v>1</v>
      </c>
      <c r="K79" s="95"/>
      <c r="L79" s="65" t="s">
        <v>3729</v>
      </c>
      <c r="M79" s="218">
        <v>202.8</v>
      </c>
      <c r="N79" s="218" t="s">
        <v>3730</v>
      </c>
      <c r="O79" s="218">
        <v>126.35</v>
      </c>
      <c r="P79" s="218" t="s">
        <v>3730</v>
      </c>
      <c r="Q79" s="218"/>
      <c r="R79" s="65" t="s">
        <v>3731</v>
      </c>
      <c r="S79" s="65" t="s">
        <v>3866</v>
      </c>
      <c r="T79" s="65"/>
      <c r="U79" s="65" t="b">
        <v>1</v>
      </c>
      <c r="V79" s="61"/>
      <c r="W79" s="61"/>
    </row>
    <row r="80">
      <c r="A80" s="214">
        <v>74.0</v>
      </c>
      <c r="B80" s="202"/>
      <c r="C80" s="40" t="s">
        <v>3635</v>
      </c>
      <c r="D80" s="61" t="s">
        <v>3636</v>
      </c>
      <c r="E80" s="225" t="s">
        <v>3867</v>
      </c>
      <c r="F80" s="214">
        <v>72991.0</v>
      </c>
      <c r="G80" s="224">
        <v>10000.0</v>
      </c>
      <c r="H80" s="224">
        <v>10000.0</v>
      </c>
      <c r="I80" s="217">
        <v>44306.0</v>
      </c>
      <c r="J80" s="222" t="b">
        <v>1</v>
      </c>
      <c r="K80" s="95"/>
      <c r="L80" s="65" t="s">
        <v>3729</v>
      </c>
      <c r="M80" s="218" t="s">
        <v>3730</v>
      </c>
      <c r="N80" s="218" t="s">
        <v>3730</v>
      </c>
      <c r="O80" s="218">
        <v>3709.0</v>
      </c>
      <c r="P80" s="218" t="s">
        <v>3730</v>
      </c>
      <c r="Q80" s="218"/>
      <c r="R80" s="65" t="s">
        <v>3731</v>
      </c>
      <c r="S80" s="65" t="s">
        <v>3862</v>
      </c>
      <c r="T80" s="61"/>
      <c r="U80" s="65" t="b">
        <v>1</v>
      </c>
      <c r="V80" s="65" t="s">
        <v>3765</v>
      </c>
      <c r="W80" s="61"/>
    </row>
    <row r="81">
      <c r="A81" s="214">
        <v>75.0</v>
      </c>
      <c r="B81" s="202"/>
      <c r="C81" s="40" t="s">
        <v>3632</v>
      </c>
      <c r="D81" s="61" t="s">
        <v>3633</v>
      </c>
      <c r="E81" s="225" t="s">
        <v>3868</v>
      </c>
      <c r="F81" s="214">
        <v>27.0</v>
      </c>
      <c r="G81" s="224">
        <v>6539.76</v>
      </c>
      <c r="H81" s="224">
        <v>6539.76</v>
      </c>
      <c r="I81" s="217">
        <v>44296.0</v>
      </c>
      <c r="J81" s="222" t="b">
        <v>1</v>
      </c>
      <c r="K81" s="94" t="s">
        <v>150</v>
      </c>
      <c r="L81" s="65" t="s">
        <v>3729</v>
      </c>
      <c r="M81" s="218" t="s">
        <v>3730</v>
      </c>
      <c r="N81" s="218" t="s">
        <v>3730</v>
      </c>
      <c r="O81" s="218">
        <v>624.33</v>
      </c>
      <c r="P81" s="218" t="s">
        <v>3730</v>
      </c>
      <c r="Q81" s="218"/>
      <c r="R81" s="65" t="s">
        <v>3731</v>
      </c>
      <c r="S81" s="65" t="s">
        <v>3869</v>
      </c>
      <c r="T81" s="65"/>
      <c r="U81" s="65" t="b">
        <v>1</v>
      </c>
      <c r="V81" s="61"/>
      <c r="W81" s="61"/>
    </row>
    <row r="82">
      <c r="A82" s="214">
        <v>76.0</v>
      </c>
      <c r="B82" s="202"/>
      <c r="C82" s="40" t="s">
        <v>3726</v>
      </c>
      <c r="D82" s="61" t="s">
        <v>3727</v>
      </c>
      <c r="E82" s="223" t="s">
        <v>3728</v>
      </c>
      <c r="F82" s="214">
        <v>4997.0</v>
      </c>
      <c r="G82" s="224">
        <v>62.7</v>
      </c>
      <c r="H82" s="224">
        <v>0.0</v>
      </c>
      <c r="I82" s="217">
        <v>44314.0</v>
      </c>
      <c r="J82" s="222" t="b">
        <v>1</v>
      </c>
      <c r="K82" s="94" t="s">
        <v>150</v>
      </c>
      <c r="L82" s="65" t="s">
        <v>3729</v>
      </c>
      <c r="M82" s="218">
        <v>397.0</v>
      </c>
      <c r="N82" s="218" t="s">
        <v>3730</v>
      </c>
      <c r="O82" s="218" t="s">
        <v>3730</v>
      </c>
      <c r="P82" s="218" t="s">
        <v>3730</v>
      </c>
      <c r="Q82" s="218"/>
      <c r="R82" s="234" t="s">
        <v>3731</v>
      </c>
      <c r="S82" s="61"/>
      <c r="T82" s="61"/>
      <c r="U82" s="61" t="b">
        <v>0</v>
      </c>
      <c r="V82" s="61"/>
      <c r="W82" s="61"/>
    </row>
    <row r="83">
      <c r="A83" s="214">
        <v>77.0</v>
      </c>
      <c r="B83" s="202"/>
      <c r="C83" s="40" t="s">
        <v>3829</v>
      </c>
      <c r="D83" s="61"/>
      <c r="E83" s="223" t="s">
        <v>3830</v>
      </c>
      <c r="F83" s="214">
        <v>1123.0</v>
      </c>
      <c r="G83" s="224">
        <v>1476.0</v>
      </c>
      <c r="H83" s="224">
        <v>1476.0</v>
      </c>
      <c r="I83" s="217">
        <v>44314.0</v>
      </c>
      <c r="J83" s="222" t="b">
        <v>1</v>
      </c>
      <c r="K83" s="94"/>
      <c r="L83" s="65" t="s">
        <v>3729</v>
      </c>
      <c r="M83" s="218">
        <v>37.6</v>
      </c>
      <c r="N83" s="218" t="s">
        <v>3730</v>
      </c>
      <c r="O83" s="218">
        <v>56.4</v>
      </c>
      <c r="P83" s="218" t="s">
        <v>3730</v>
      </c>
      <c r="Q83" s="218"/>
      <c r="R83" s="65" t="s">
        <v>3731</v>
      </c>
      <c r="S83" s="65" t="s">
        <v>3870</v>
      </c>
      <c r="T83" s="61"/>
      <c r="U83" s="65" t="b">
        <v>1</v>
      </c>
      <c r="V83" s="61"/>
      <c r="W83" s="61"/>
    </row>
    <row r="84">
      <c r="A84" s="214">
        <v>78.0</v>
      </c>
      <c r="B84" s="202"/>
      <c r="C84" s="40" t="s">
        <v>3632</v>
      </c>
      <c r="D84" s="61" t="s">
        <v>3633</v>
      </c>
      <c r="E84" s="225" t="s">
        <v>3871</v>
      </c>
      <c r="F84" s="214">
        <v>2022.0</v>
      </c>
      <c r="G84" s="224">
        <v>21374.52</v>
      </c>
      <c r="H84" s="224">
        <v>21374.52</v>
      </c>
      <c r="I84" s="217">
        <v>44315.0</v>
      </c>
      <c r="J84" s="222" t="b">
        <v>1</v>
      </c>
      <c r="K84" s="95"/>
      <c r="L84" s="65" t="s">
        <v>3729</v>
      </c>
      <c r="M84" s="218" t="s">
        <v>3730</v>
      </c>
      <c r="N84" s="218" t="s">
        <v>3730</v>
      </c>
      <c r="O84" s="218">
        <v>69.5</v>
      </c>
      <c r="P84" s="218" t="s">
        <v>3730</v>
      </c>
      <c r="Q84" s="218"/>
      <c r="R84" s="65" t="s">
        <v>3731</v>
      </c>
      <c r="S84" s="65" t="s">
        <v>3709</v>
      </c>
      <c r="T84" s="205" t="s">
        <v>3837</v>
      </c>
      <c r="U84" s="65" t="b">
        <v>1</v>
      </c>
      <c r="V84" s="61"/>
      <c r="W84" s="61"/>
    </row>
    <row r="85">
      <c r="A85" s="214">
        <v>79.0</v>
      </c>
      <c r="B85" s="202"/>
      <c r="C85" s="61" t="s">
        <v>3632</v>
      </c>
      <c r="D85" s="61" t="s">
        <v>3633</v>
      </c>
      <c r="E85" s="223" t="s">
        <v>3872</v>
      </c>
      <c r="F85" s="214">
        <v>55545.0</v>
      </c>
      <c r="G85" s="224">
        <v>2105.82</v>
      </c>
      <c r="H85" s="224">
        <v>0.0</v>
      </c>
      <c r="I85" s="217">
        <v>44315.0</v>
      </c>
      <c r="J85" s="222" t="b">
        <v>1</v>
      </c>
      <c r="K85" s="95"/>
      <c r="L85" s="65" t="s">
        <v>3729</v>
      </c>
      <c r="M85" s="218" t="s">
        <v>3730</v>
      </c>
      <c r="N85" s="218" t="s">
        <v>3730</v>
      </c>
      <c r="O85" s="218">
        <v>124.99</v>
      </c>
      <c r="P85" s="218" t="s">
        <v>3730</v>
      </c>
      <c r="Q85" s="218"/>
      <c r="R85" s="65" t="s">
        <v>3731</v>
      </c>
      <c r="S85" s="65" t="s">
        <v>3709</v>
      </c>
      <c r="T85" s="205" t="s">
        <v>3873</v>
      </c>
      <c r="U85" s="65" t="b">
        <v>1</v>
      </c>
      <c r="V85" s="61"/>
      <c r="W85" s="61"/>
    </row>
    <row r="86">
      <c r="A86" s="214">
        <v>80.0</v>
      </c>
      <c r="B86" s="202"/>
      <c r="C86" s="61" t="s">
        <v>3789</v>
      </c>
      <c r="D86" s="61"/>
      <c r="E86" s="223" t="s">
        <v>3874</v>
      </c>
      <c r="F86" s="214">
        <v>7389.0</v>
      </c>
      <c r="G86" s="224">
        <v>778.9</v>
      </c>
      <c r="H86" s="224">
        <v>778.9</v>
      </c>
      <c r="I86" s="217">
        <v>44315.0</v>
      </c>
      <c r="J86" s="222" t="b">
        <v>1</v>
      </c>
      <c r="K86" s="95"/>
      <c r="L86" s="65" t="s">
        <v>3729</v>
      </c>
      <c r="M86" s="218" t="s">
        <v>3730</v>
      </c>
      <c r="N86" s="218" t="s">
        <v>3730</v>
      </c>
      <c r="O86" s="218">
        <v>107.84</v>
      </c>
      <c r="P86" s="218" t="s">
        <v>3730</v>
      </c>
      <c r="Q86" s="218"/>
      <c r="R86" s="65" t="s">
        <v>3731</v>
      </c>
      <c r="S86" s="65" t="s">
        <v>3709</v>
      </c>
      <c r="T86" s="219" t="s">
        <v>3875</v>
      </c>
      <c r="U86" s="65" t="b">
        <v>1</v>
      </c>
      <c r="V86" s="61"/>
      <c r="W86" s="61"/>
    </row>
    <row r="87">
      <c r="A87" s="214">
        <v>81.0</v>
      </c>
      <c r="B87" s="202"/>
      <c r="C87" s="61" t="s">
        <v>3789</v>
      </c>
      <c r="D87" s="61"/>
      <c r="E87" s="223" t="s">
        <v>3876</v>
      </c>
      <c r="F87" s="214">
        <v>19394.0</v>
      </c>
      <c r="G87" s="224">
        <v>1053.8</v>
      </c>
      <c r="H87" s="224">
        <v>1053.8</v>
      </c>
      <c r="I87" s="217">
        <v>44314.0</v>
      </c>
      <c r="J87" s="222" t="b">
        <v>1</v>
      </c>
      <c r="K87" s="95"/>
      <c r="L87" s="65" t="s">
        <v>3729</v>
      </c>
      <c r="M87" s="218">
        <v>27988.34</v>
      </c>
      <c r="N87" s="218" t="s">
        <v>3730</v>
      </c>
      <c r="O87" s="218" t="s">
        <v>3730</v>
      </c>
      <c r="P87" s="218" t="s">
        <v>3730</v>
      </c>
      <c r="Q87" s="218"/>
      <c r="R87" s="65" t="s">
        <v>3731</v>
      </c>
      <c r="S87" s="65" t="s">
        <v>3877</v>
      </c>
      <c r="T87" s="65"/>
      <c r="U87" s="65" t="b">
        <v>1</v>
      </c>
      <c r="V87" s="61"/>
      <c r="W87" s="61"/>
    </row>
    <row r="88">
      <c r="A88" s="214">
        <v>82.0</v>
      </c>
      <c r="B88" s="202"/>
      <c r="C88" s="40" t="s">
        <v>3726</v>
      </c>
      <c r="D88" s="61" t="s">
        <v>3727</v>
      </c>
      <c r="E88" s="223" t="s">
        <v>3728</v>
      </c>
      <c r="F88" s="214" t="s">
        <v>3623</v>
      </c>
      <c r="G88" s="224">
        <v>340.85</v>
      </c>
      <c r="H88" s="224">
        <v>227.23</v>
      </c>
      <c r="I88" s="217">
        <v>44308.0</v>
      </c>
      <c r="J88" s="222" t="b">
        <v>1</v>
      </c>
      <c r="K88" s="94"/>
      <c r="L88" s="65" t="s">
        <v>3729</v>
      </c>
      <c r="M88" s="218">
        <v>349.4</v>
      </c>
      <c r="N88" s="218" t="s">
        <v>3730</v>
      </c>
      <c r="O88" s="218" t="s">
        <v>3730</v>
      </c>
      <c r="P88" s="218" t="s">
        <v>3730</v>
      </c>
      <c r="Q88" s="218"/>
      <c r="R88" s="65" t="s">
        <v>3878</v>
      </c>
      <c r="S88" s="65" t="s">
        <v>3877</v>
      </c>
      <c r="T88" s="65"/>
      <c r="U88" s="65" t="b">
        <v>1</v>
      </c>
      <c r="V88" s="61"/>
      <c r="W88" s="61"/>
    </row>
    <row r="89">
      <c r="A89" s="214">
        <v>83.0</v>
      </c>
      <c r="B89" s="202"/>
      <c r="C89" s="61" t="s">
        <v>3629</v>
      </c>
      <c r="D89" s="61" t="s">
        <v>3630</v>
      </c>
      <c r="E89" s="223" t="s">
        <v>3879</v>
      </c>
      <c r="F89" s="214">
        <v>73091.0</v>
      </c>
      <c r="G89" s="224">
        <v>1405.0</v>
      </c>
      <c r="H89" s="224">
        <v>0.0</v>
      </c>
      <c r="I89" s="217">
        <v>44309.0</v>
      </c>
      <c r="J89" s="222" t="b">
        <v>1</v>
      </c>
      <c r="K89" s="95"/>
      <c r="L89" s="65" t="s">
        <v>3729</v>
      </c>
      <c r="M89" s="218">
        <v>393.44</v>
      </c>
      <c r="N89" s="218" t="s">
        <v>3730</v>
      </c>
      <c r="O89" s="218">
        <v>393.44</v>
      </c>
      <c r="P89" s="218" t="s">
        <v>3730</v>
      </c>
      <c r="Q89" s="218"/>
      <c r="R89" s="65" t="s">
        <v>3731</v>
      </c>
      <c r="S89" s="65" t="s">
        <v>3880</v>
      </c>
      <c r="T89" s="205" t="s">
        <v>3881</v>
      </c>
      <c r="U89" s="65" t="b">
        <v>1</v>
      </c>
      <c r="V89" s="61"/>
      <c r="W89" s="61"/>
    </row>
    <row r="90">
      <c r="A90" s="214">
        <v>84.0</v>
      </c>
      <c r="B90" s="202"/>
      <c r="C90" s="40" t="s">
        <v>3632</v>
      </c>
      <c r="D90" s="61" t="s">
        <v>3633</v>
      </c>
      <c r="E90" s="223" t="s">
        <v>3882</v>
      </c>
      <c r="F90" s="214">
        <v>161940.0</v>
      </c>
      <c r="G90" s="224">
        <v>5651.1</v>
      </c>
      <c r="H90" s="224">
        <v>2825.55</v>
      </c>
      <c r="I90" s="217">
        <v>44319.0</v>
      </c>
      <c r="J90" s="222" t="b">
        <v>1</v>
      </c>
      <c r="K90" s="95"/>
      <c r="L90" s="65" t="s">
        <v>3729</v>
      </c>
      <c r="M90" s="218">
        <v>406.8</v>
      </c>
      <c r="N90" s="218" t="s">
        <v>3730</v>
      </c>
      <c r="O90" s="218" t="s">
        <v>3730</v>
      </c>
      <c r="P90" s="218" t="s">
        <v>3730</v>
      </c>
      <c r="Q90" s="218"/>
      <c r="R90" s="65" t="s">
        <v>3731</v>
      </c>
      <c r="S90" s="65" t="s">
        <v>3883</v>
      </c>
      <c r="T90" s="205" t="s">
        <v>94</v>
      </c>
      <c r="U90" s="65" t="b">
        <v>1</v>
      </c>
      <c r="V90" s="65" t="s">
        <v>3765</v>
      </c>
      <c r="W90" s="61"/>
    </row>
    <row r="91">
      <c r="A91" s="214">
        <v>85.0</v>
      </c>
      <c r="B91" s="202"/>
      <c r="C91" s="61" t="s">
        <v>3859</v>
      </c>
      <c r="D91" s="61"/>
      <c r="E91" s="223" t="s">
        <v>3860</v>
      </c>
      <c r="F91" s="214" t="s">
        <v>3623</v>
      </c>
      <c r="G91" s="224">
        <v>27988.34</v>
      </c>
      <c r="H91" s="224">
        <v>27988.34</v>
      </c>
      <c r="I91" s="217">
        <v>44308.0</v>
      </c>
      <c r="J91" s="222" t="b">
        <v>1</v>
      </c>
      <c r="K91" s="94"/>
      <c r="L91" s="65" t="s">
        <v>3729</v>
      </c>
      <c r="M91" s="218">
        <v>442.92</v>
      </c>
      <c r="N91" s="218" t="s">
        <v>3730</v>
      </c>
      <c r="O91" s="218" t="s">
        <v>3730</v>
      </c>
      <c r="P91" s="218" t="s">
        <v>3730</v>
      </c>
      <c r="Q91" s="218"/>
      <c r="R91" s="65" t="s">
        <v>3878</v>
      </c>
      <c r="S91" s="65" t="s">
        <v>3740</v>
      </c>
      <c r="T91" s="205" t="s">
        <v>3884</v>
      </c>
      <c r="U91" s="65" t="b">
        <v>1</v>
      </c>
      <c r="V91" s="61"/>
      <c r="W91" s="61"/>
    </row>
    <row r="92">
      <c r="A92" s="214">
        <v>86.0</v>
      </c>
      <c r="B92" s="202"/>
      <c r="C92" s="61" t="s">
        <v>3885</v>
      </c>
      <c r="D92" s="61"/>
      <c r="E92" s="223" t="s">
        <v>3886</v>
      </c>
      <c r="F92" s="214" t="s">
        <v>3623</v>
      </c>
      <c r="G92" s="224">
        <v>290.15</v>
      </c>
      <c r="H92" s="224">
        <v>290.15</v>
      </c>
      <c r="I92" s="217">
        <v>44308.0</v>
      </c>
      <c r="J92" s="222" t="b">
        <v>1</v>
      </c>
      <c r="K92" s="94"/>
      <c r="L92" s="65" t="s">
        <v>3729</v>
      </c>
      <c r="M92" s="218">
        <v>699.92</v>
      </c>
      <c r="N92" s="218" t="s">
        <v>3730</v>
      </c>
      <c r="O92" s="218" t="s">
        <v>3730</v>
      </c>
      <c r="P92" s="218" t="s">
        <v>3730</v>
      </c>
      <c r="Q92" s="218"/>
      <c r="R92" s="65" t="s">
        <v>3878</v>
      </c>
      <c r="S92" s="65" t="s">
        <v>3740</v>
      </c>
      <c r="T92" s="205" t="s">
        <v>3887</v>
      </c>
      <c r="U92" s="65" t="b">
        <v>1</v>
      </c>
      <c r="V92" s="61"/>
      <c r="W92" s="61"/>
    </row>
    <row r="93">
      <c r="A93" s="214">
        <v>87.0</v>
      </c>
      <c r="B93" s="202"/>
      <c r="C93" s="61" t="s">
        <v>3606</v>
      </c>
      <c r="D93" s="61"/>
      <c r="E93" s="223" t="s">
        <v>3888</v>
      </c>
      <c r="F93" s="214">
        <v>160588.0</v>
      </c>
      <c r="G93" s="224">
        <v>777.0</v>
      </c>
      <c r="H93" s="224">
        <v>777.0</v>
      </c>
      <c r="I93" s="217">
        <v>44309.0</v>
      </c>
      <c r="J93" s="222" t="b">
        <v>1</v>
      </c>
      <c r="K93" s="95"/>
      <c r="L93" s="65" t="s">
        <v>3729</v>
      </c>
      <c r="M93" s="218">
        <v>406.04</v>
      </c>
      <c r="N93" s="218" t="s">
        <v>3730</v>
      </c>
      <c r="O93" s="218" t="s">
        <v>3730</v>
      </c>
      <c r="P93" s="218" t="s">
        <v>3730</v>
      </c>
      <c r="Q93" s="218"/>
      <c r="R93" s="65" t="s">
        <v>3731</v>
      </c>
      <c r="S93" s="65" t="s">
        <v>3877</v>
      </c>
      <c r="T93" s="219" t="s">
        <v>3889</v>
      </c>
      <c r="U93" s="65" t="b">
        <v>1</v>
      </c>
      <c r="V93" s="61"/>
      <c r="W93" s="61"/>
    </row>
    <row r="94">
      <c r="A94" s="214">
        <v>88.0</v>
      </c>
      <c r="B94" s="202"/>
      <c r="C94" s="61" t="s">
        <v>3632</v>
      </c>
      <c r="D94" s="61" t="s">
        <v>3633</v>
      </c>
      <c r="E94" s="223" t="s">
        <v>3890</v>
      </c>
      <c r="F94" s="214" t="s">
        <v>3623</v>
      </c>
      <c r="G94" s="224">
        <v>12554.79</v>
      </c>
      <c r="H94" s="224">
        <v>0.0</v>
      </c>
      <c r="I94" s="217">
        <v>44308.0</v>
      </c>
      <c r="J94" s="222" t="b">
        <v>1</v>
      </c>
      <c r="K94" s="94"/>
      <c r="L94" s="65" t="s">
        <v>3729</v>
      </c>
      <c r="M94" s="218">
        <v>84.8</v>
      </c>
      <c r="N94" s="218" t="s">
        <v>3730</v>
      </c>
      <c r="O94" s="218" t="s">
        <v>3730</v>
      </c>
      <c r="P94" s="218" t="s">
        <v>3730</v>
      </c>
      <c r="Q94" s="218"/>
      <c r="R94" s="65" t="s">
        <v>3878</v>
      </c>
      <c r="S94" s="65" t="s">
        <v>3877</v>
      </c>
      <c r="T94" s="219" t="s">
        <v>3891</v>
      </c>
      <c r="U94" s="65" t="b">
        <v>1</v>
      </c>
      <c r="V94" s="61"/>
      <c r="W94" s="61"/>
    </row>
    <row r="95">
      <c r="A95" s="214">
        <v>89.0</v>
      </c>
      <c r="B95" s="202"/>
      <c r="C95" s="61" t="s">
        <v>3632</v>
      </c>
      <c r="D95" s="61" t="s">
        <v>3633</v>
      </c>
      <c r="E95" s="223" t="s">
        <v>3892</v>
      </c>
      <c r="F95" s="214" t="s">
        <v>3623</v>
      </c>
      <c r="G95" s="224">
        <v>15112.74</v>
      </c>
      <c r="H95" s="224">
        <v>15112.74</v>
      </c>
      <c r="I95" s="217">
        <v>44315.0</v>
      </c>
      <c r="J95" s="222" t="b">
        <v>1</v>
      </c>
      <c r="K95" s="94"/>
      <c r="L95" s="65" t="s">
        <v>3729</v>
      </c>
      <c r="M95" s="218">
        <v>50.24</v>
      </c>
      <c r="N95" s="218" t="s">
        <v>3730</v>
      </c>
      <c r="O95" s="218" t="s">
        <v>3730</v>
      </c>
      <c r="P95" s="218" t="s">
        <v>3730</v>
      </c>
      <c r="Q95" s="218"/>
      <c r="R95" s="65" t="s">
        <v>3878</v>
      </c>
      <c r="S95" s="65" t="s">
        <v>3740</v>
      </c>
      <c r="T95" s="205" t="s">
        <v>3847</v>
      </c>
      <c r="U95" s="65" t="b">
        <v>1</v>
      </c>
      <c r="V95" s="61"/>
      <c r="W95" s="61"/>
    </row>
    <row r="96">
      <c r="A96" s="214">
        <v>90.0</v>
      </c>
      <c r="B96" s="202"/>
      <c r="C96" s="61" t="s">
        <v>3726</v>
      </c>
      <c r="D96" s="61" t="s">
        <v>3727</v>
      </c>
      <c r="E96" s="223" t="s">
        <v>3728</v>
      </c>
      <c r="F96" s="214" t="s">
        <v>3623</v>
      </c>
      <c r="G96" s="224">
        <v>62.7</v>
      </c>
      <c r="H96" s="224">
        <v>62.7</v>
      </c>
      <c r="I96" s="217">
        <v>44308.0</v>
      </c>
      <c r="J96" s="222" t="b">
        <v>1</v>
      </c>
      <c r="K96" s="94"/>
      <c r="L96" s="65" t="s">
        <v>3729</v>
      </c>
      <c r="M96" s="218">
        <v>56.13</v>
      </c>
      <c r="N96" s="218" t="s">
        <v>3730</v>
      </c>
      <c r="O96" s="218" t="s">
        <v>3730</v>
      </c>
      <c r="P96" s="218" t="s">
        <v>3730</v>
      </c>
      <c r="Q96" s="218"/>
      <c r="R96" s="65" t="s">
        <v>3878</v>
      </c>
      <c r="S96" s="65" t="s">
        <v>3877</v>
      </c>
      <c r="T96" s="205" t="s">
        <v>3805</v>
      </c>
      <c r="U96" s="65" t="b">
        <v>1</v>
      </c>
      <c r="V96" s="61"/>
      <c r="W96" s="61"/>
    </row>
    <row r="97">
      <c r="A97" s="214">
        <v>91.0</v>
      </c>
      <c r="B97" s="202"/>
      <c r="C97" s="61" t="s">
        <v>3855</v>
      </c>
      <c r="D97" s="61"/>
      <c r="E97" s="225" t="s">
        <v>3865</v>
      </c>
      <c r="F97" s="214" t="s">
        <v>3623</v>
      </c>
      <c r="G97" s="224">
        <v>3100.0</v>
      </c>
      <c r="H97" s="224">
        <v>3100.0</v>
      </c>
      <c r="I97" s="217">
        <v>44309.0</v>
      </c>
      <c r="J97" s="222" t="b">
        <v>1</v>
      </c>
      <c r="K97" s="94"/>
      <c r="L97" s="65" t="s">
        <v>3729</v>
      </c>
      <c r="M97" s="218">
        <v>52.05</v>
      </c>
      <c r="N97" s="218" t="s">
        <v>3730</v>
      </c>
      <c r="O97" s="218" t="s">
        <v>3730</v>
      </c>
      <c r="P97" s="218" t="s">
        <v>3730</v>
      </c>
      <c r="Q97" s="218"/>
      <c r="R97" s="65" t="s">
        <v>3878</v>
      </c>
      <c r="S97" s="65" t="s">
        <v>3877</v>
      </c>
      <c r="T97" s="219" t="s">
        <v>3743</v>
      </c>
      <c r="U97" s="65" t="b">
        <v>1</v>
      </c>
      <c r="V97" s="61"/>
      <c r="W97" s="61"/>
    </row>
    <row r="98">
      <c r="A98" s="214">
        <v>92.0</v>
      </c>
      <c r="B98" s="202"/>
      <c r="C98" s="61" t="s">
        <v>3893</v>
      </c>
      <c r="D98" s="61"/>
      <c r="E98" s="223" t="s">
        <v>3894</v>
      </c>
      <c r="F98" s="214" t="s">
        <v>3623</v>
      </c>
      <c r="G98" s="224">
        <v>1528.67</v>
      </c>
      <c r="H98" s="224">
        <v>0.0</v>
      </c>
      <c r="I98" s="217">
        <v>44312.0</v>
      </c>
      <c r="J98" s="222" t="b">
        <v>1</v>
      </c>
      <c r="K98" s="94"/>
      <c r="L98" s="65" t="s">
        <v>3729</v>
      </c>
      <c r="M98" s="218">
        <v>156.24</v>
      </c>
      <c r="N98" s="218" t="s">
        <v>3730</v>
      </c>
      <c r="O98" s="218" t="s">
        <v>3730</v>
      </c>
      <c r="P98" s="218" t="s">
        <v>3730</v>
      </c>
      <c r="Q98" s="218"/>
      <c r="R98" s="65" t="s">
        <v>3878</v>
      </c>
      <c r="S98" s="65" t="s">
        <v>3740</v>
      </c>
      <c r="T98" s="219" t="s">
        <v>3844</v>
      </c>
      <c r="U98" s="65" t="b">
        <v>1</v>
      </c>
      <c r="V98" s="61"/>
      <c r="W98" s="61"/>
    </row>
    <row r="99">
      <c r="A99" s="214">
        <v>93.0</v>
      </c>
      <c r="B99" s="202"/>
      <c r="C99" s="61" t="s">
        <v>3632</v>
      </c>
      <c r="D99" s="61" t="s">
        <v>3633</v>
      </c>
      <c r="E99" s="225" t="s">
        <v>3895</v>
      </c>
      <c r="F99" s="214">
        <v>162105.0</v>
      </c>
      <c r="G99" s="224">
        <v>22654.17</v>
      </c>
      <c r="H99" s="224">
        <v>11327.09</v>
      </c>
      <c r="I99" s="217">
        <v>44321.0</v>
      </c>
      <c r="J99" s="222" t="b">
        <v>1</v>
      </c>
      <c r="K99" s="95"/>
      <c r="L99" s="65" t="s">
        <v>3729</v>
      </c>
      <c r="M99" s="218">
        <v>2010.8</v>
      </c>
      <c r="N99" s="218" t="s">
        <v>3730</v>
      </c>
      <c r="O99" s="218" t="s">
        <v>3730</v>
      </c>
      <c r="P99" s="218" t="s">
        <v>3730</v>
      </c>
      <c r="Q99" s="218"/>
      <c r="R99" s="65" t="s">
        <v>3731</v>
      </c>
      <c r="S99" s="65" t="s">
        <v>3896</v>
      </c>
      <c r="T99" s="219" t="s">
        <v>3897</v>
      </c>
      <c r="U99" s="65" t="b">
        <v>1</v>
      </c>
      <c r="V99" s="61"/>
      <c r="W99" s="61"/>
    </row>
    <row r="100">
      <c r="A100" s="214">
        <v>94.0</v>
      </c>
      <c r="B100" s="202"/>
      <c r="C100" s="40" t="s">
        <v>3659</v>
      </c>
      <c r="D100" s="61" t="s">
        <v>3660</v>
      </c>
      <c r="E100" s="225" t="s">
        <v>3898</v>
      </c>
      <c r="F100" s="214">
        <v>50685.0</v>
      </c>
      <c r="G100" s="224">
        <v>762.3</v>
      </c>
      <c r="H100" s="224">
        <v>762.3</v>
      </c>
      <c r="I100" s="217">
        <v>44321.0</v>
      </c>
      <c r="J100" s="222" t="b">
        <v>1</v>
      </c>
      <c r="K100" s="95"/>
      <c r="L100" s="65" t="s">
        <v>3729</v>
      </c>
      <c r="M100" s="218">
        <v>95.95</v>
      </c>
      <c r="N100" s="218" t="s">
        <v>3730</v>
      </c>
      <c r="O100" s="218">
        <v>95.95</v>
      </c>
      <c r="P100" s="218" t="s">
        <v>3730</v>
      </c>
      <c r="Q100" s="218"/>
      <c r="R100" s="65" t="s">
        <v>3731</v>
      </c>
      <c r="S100" s="65" t="s">
        <v>3880</v>
      </c>
      <c r="T100" s="65"/>
      <c r="U100" s="65" t="b">
        <v>1</v>
      </c>
      <c r="V100" s="61"/>
      <c r="W100" s="61"/>
    </row>
    <row r="101">
      <c r="A101" s="214">
        <v>95.0</v>
      </c>
      <c r="B101" s="202"/>
      <c r="C101" s="40" t="s">
        <v>3632</v>
      </c>
      <c r="D101" s="61" t="s">
        <v>3633</v>
      </c>
      <c r="E101" s="225" t="s">
        <v>3899</v>
      </c>
      <c r="F101" s="214">
        <v>42195.0</v>
      </c>
      <c r="G101" s="224">
        <v>37134.85</v>
      </c>
      <c r="H101" s="224">
        <v>18567.43</v>
      </c>
      <c r="I101" s="217">
        <v>44321.0</v>
      </c>
      <c r="J101" s="222" t="b">
        <v>1</v>
      </c>
      <c r="K101" s="95"/>
      <c r="L101" s="65" t="s">
        <v>3729</v>
      </c>
      <c r="M101" s="218">
        <v>45.0</v>
      </c>
      <c r="N101" s="218" t="s">
        <v>3730</v>
      </c>
      <c r="O101" s="218">
        <v>135.0</v>
      </c>
      <c r="P101" s="218" t="s">
        <v>3730</v>
      </c>
      <c r="Q101" s="218"/>
      <c r="R101" s="65" t="s">
        <v>3731</v>
      </c>
      <c r="S101" s="65" t="s">
        <v>3900</v>
      </c>
      <c r="T101" s="65"/>
      <c r="U101" s="65" t="b">
        <v>1</v>
      </c>
      <c r="V101" s="61"/>
      <c r="W101" s="61"/>
    </row>
    <row r="102">
      <c r="A102" s="214">
        <v>96.0</v>
      </c>
      <c r="B102" s="202"/>
      <c r="C102" s="40" t="s">
        <v>3629</v>
      </c>
      <c r="D102" s="61" t="s">
        <v>3630</v>
      </c>
      <c r="E102" s="223" t="s">
        <v>3901</v>
      </c>
      <c r="F102" s="235">
        <v>21228.0</v>
      </c>
      <c r="G102" s="224">
        <v>797.0</v>
      </c>
      <c r="H102" s="224">
        <v>0.0</v>
      </c>
      <c r="I102" s="217">
        <v>44323.0</v>
      </c>
      <c r="J102" s="222" t="b">
        <v>1</v>
      </c>
      <c r="K102" s="94" t="s">
        <v>3902</v>
      </c>
      <c r="L102" s="65" t="s">
        <v>3729</v>
      </c>
      <c r="M102" s="218">
        <v>10552.95</v>
      </c>
      <c r="N102" s="218" t="s">
        <v>3730</v>
      </c>
      <c r="O102" s="218">
        <v>10552.95</v>
      </c>
      <c r="P102" s="218" t="s">
        <v>3730</v>
      </c>
      <c r="Q102" s="218"/>
      <c r="R102" s="65" t="s">
        <v>3731</v>
      </c>
      <c r="S102" s="65" t="s">
        <v>3903</v>
      </c>
      <c r="T102" s="65"/>
      <c r="U102" s="65" t="b">
        <v>1</v>
      </c>
      <c r="V102" s="65" t="s">
        <v>3765</v>
      </c>
      <c r="W102" s="65"/>
    </row>
    <row r="103">
      <c r="A103" s="214">
        <v>97.0</v>
      </c>
      <c r="B103" s="202"/>
      <c r="C103" s="40" t="s">
        <v>3629</v>
      </c>
      <c r="D103" s="61" t="s">
        <v>3630</v>
      </c>
      <c r="E103" s="223" t="s">
        <v>3816</v>
      </c>
      <c r="F103" s="214">
        <v>126169.0</v>
      </c>
      <c r="G103" s="224">
        <v>1405.0</v>
      </c>
      <c r="H103" s="224">
        <v>1405.0</v>
      </c>
      <c r="I103" s="217">
        <v>44323.0</v>
      </c>
      <c r="J103" s="222" t="b">
        <v>1</v>
      </c>
      <c r="K103" s="95"/>
      <c r="L103" s="65" t="s">
        <v>3729</v>
      </c>
      <c r="M103" s="236">
        <f>H103</f>
        <v>1405</v>
      </c>
      <c r="N103" s="218" t="s">
        <v>3730</v>
      </c>
      <c r="O103" s="218" t="s">
        <v>3730</v>
      </c>
      <c r="P103" s="218" t="s">
        <v>3730</v>
      </c>
      <c r="Q103" s="218"/>
      <c r="R103" s="65" t="s">
        <v>3731</v>
      </c>
      <c r="S103" s="65" t="s">
        <v>3904</v>
      </c>
      <c r="T103" s="65"/>
      <c r="U103" s="65" t="b">
        <v>1</v>
      </c>
      <c r="V103" s="61"/>
      <c r="W103" s="61"/>
    </row>
    <row r="104">
      <c r="A104" s="214">
        <v>98.0</v>
      </c>
      <c r="B104" s="202"/>
      <c r="C104" s="61" t="s">
        <v>3629</v>
      </c>
      <c r="D104" s="61" t="s">
        <v>3630</v>
      </c>
      <c r="E104" s="223" t="s">
        <v>3816</v>
      </c>
      <c r="F104" s="214">
        <v>162219.0</v>
      </c>
      <c r="G104" s="224">
        <v>2810.0</v>
      </c>
      <c r="H104" s="224">
        <v>2810.0</v>
      </c>
      <c r="I104" s="217">
        <v>44323.0</v>
      </c>
      <c r="J104" s="222" t="b">
        <v>1</v>
      </c>
      <c r="K104" s="95"/>
      <c r="L104" s="65" t="s">
        <v>3729</v>
      </c>
      <c r="M104" s="218">
        <v>17544.44</v>
      </c>
      <c r="N104" s="218" t="s">
        <v>3730</v>
      </c>
      <c r="O104" s="218" t="s">
        <v>3730</v>
      </c>
      <c r="P104" s="218" t="s">
        <v>3730</v>
      </c>
      <c r="Q104" s="218"/>
      <c r="R104" s="65" t="s">
        <v>3731</v>
      </c>
      <c r="S104" s="65" t="s">
        <v>3740</v>
      </c>
      <c r="T104" s="205" t="s">
        <v>3905</v>
      </c>
      <c r="U104" s="65" t="b">
        <v>1</v>
      </c>
      <c r="V104" s="61"/>
      <c r="W104" s="61"/>
    </row>
    <row r="105">
      <c r="A105" s="214">
        <v>99.0</v>
      </c>
      <c r="B105" s="202"/>
      <c r="C105" s="61" t="s">
        <v>3632</v>
      </c>
      <c r="D105" s="61" t="s">
        <v>3633</v>
      </c>
      <c r="E105" s="225" t="s">
        <v>3906</v>
      </c>
      <c r="F105" s="214">
        <v>126085.0</v>
      </c>
      <c r="G105" s="224">
        <v>41825.76</v>
      </c>
      <c r="H105" s="224">
        <v>41825.76</v>
      </c>
      <c r="I105" s="217">
        <v>44322.0</v>
      </c>
      <c r="J105" s="222" t="b">
        <v>1</v>
      </c>
      <c r="K105" s="95"/>
      <c r="L105" s="65" t="s">
        <v>3729</v>
      </c>
      <c r="M105" s="218" t="s">
        <v>3730</v>
      </c>
      <c r="N105" s="218" t="s">
        <v>3730</v>
      </c>
      <c r="O105" s="218">
        <v>2103.0</v>
      </c>
      <c r="P105" s="218" t="s">
        <v>3730</v>
      </c>
      <c r="Q105" s="218"/>
      <c r="R105" s="65" t="s">
        <v>3731</v>
      </c>
      <c r="S105" s="65" t="s">
        <v>3907</v>
      </c>
      <c r="T105" s="219" t="s">
        <v>3908</v>
      </c>
      <c r="U105" s="65" t="b">
        <v>1</v>
      </c>
      <c r="V105" s="61"/>
      <c r="W105" s="61"/>
    </row>
    <row r="106">
      <c r="A106" s="214">
        <v>100.0</v>
      </c>
      <c r="B106" s="202"/>
      <c r="C106" s="61" t="s">
        <v>3909</v>
      </c>
      <c r="D106" s="61"/>
      <c r="E106" s="225" t="s">
        <v>3910</v>
      </c>
      <c r="F106" s="214">
        <v>126084.0</v>
      </c>
      <c r="G106" s="224">
        <v>876.75</v>
      </c>
      <c r="H106" s="224">
        <v>876.75</v>
      </c>
      <c r="I106" s="217">
        <v>44322.0</v>
      </c>
      <c r="J106" s="222" t="b">
        <v>1</v>
      </c>
      <c r="K106" s="95"/>
      <c r="L106" s="65" t="s">
        <v>3729</v>
      </c>
      <c r="M106" s="218">
        <v>1402.0</v>
      </c>
      <c r="N106" s="218" t="s">
        <v>3730</v>
      </c>
      <c r="O106" s="218" t="s">
        <v>3730</v>
      </c>
      <c r="P106" s="218" t="s">
        <v>3730</v>
      </c>
      <c r="Q106" s="218"/>
      <c r="R106" s="65" t="s">
        <v>3731</v>
      </c>
      <c r="S106" s="65" t="s">
        <v>3911</v>
      </c>
      <c r="T106" s="219" t="s">
        <v>3912</v>
      </c>
      <c r="U106" s="61" t="b">
        <v>1</v>
      </c>
      <c r="V106" s="61"/>
      <c r="W106" s="61"/>
    </row>
    <row r="107">
      <c r="A107" s="214">
        <v>101.0</v>
      </c>
      <c r="B107" s="202"/>
      <c r="C107" s="61" t="s">
        <v>3913</v>
      </c>
      <c r="D107" s="61"/>
      <c r="E107" s="225" t="s">
        <v>3914</v>
      </c>
      <c r="F107" s="214">
        <v>73724.0</v>
      </c>
      <c r="G107" s="224">
        <v>309.3</v>
      </c>
      <c r="H107" s="224">
        <v>309.3</v>
      </c>
      <c r="I107" s="217">
        <v>44328.0</v>
      </c>
      <c r="J107" s="222" t="b">
        <v>1</v>
      </c>
      <c r="K107" s="95"/>
      <c r="L107" s="65" t="s">
        <v>3729</v>
      </c>
      <c r="M107" s="218">
        <v>4046.28</v>
      </c>
      <c r="N107" s="218" t="s">
        <v>3730</v>
      </c>
      <c r="O107" s="218" t="s">
        <v>3730</v>
      </c>
      <c r="P107" s="218" t="s">
        <v>3730</v>
      </c>
      <c r="Q107" s="218"/>
      <c r="R107" s="65" t="s">
        <v>3731</v>
      </c>
      <c r="S107" s="65" t="s">
        <v>3911</v>
      </c>
      <c r="T107" s="65"/>
      <c r="U107" s="61" t="b">
        <v>1</v>
      </c>
      <c r="V107" s="61"/>
      <c r="W107" s="61"/>
    </row>
    <row r="108">
      <c r="A108" s="214">
        <v>102.0</v>
      </c>
      <c r="B108" s="202"/>
      <c r="C108" s="61" t="s">
        <v>3726</v>
      </c>
      <c r="D108" s="61" t="s">
        <v>3727</v>
      </c>
      <c r="E108" s="223" t="s">
        <v>3728</v>
      </c>
      <c r="F108" s="214">
        <v>162366.0</v>
      </c>
      <c r="G108" s="224">
        <v>125.46</v>
      </c>
      <c r="H108" s="224">
        <v>62.73</v>
      </c>
      <c r="I108" s="217">
        <v>44326.0</v>
      </c>
      <c r="J108" s="222" t="b">
        <v>1</v>
      </c>
      <c r="K108" s="95"/>
      <c r="L108" s="65" t="s">
        <v>3729</v>
      </c>
      <c r="M108" s="218" t="s">
        <v>3730</v>
      </c>
      <c r="N108" s="218" t="s">
        <v>3730</v>
      </c>
      <c r="O108" s="218">
        <v>7097.0</v>
      </c>
      <c r="P108" s="218" t="s">
        <v>3730</v>
      </c>
      <c r="Q108" s="218"/>
      <c r="R108" s="65" t="s">
        <v>3731</v>
      </c>
      <c r="S108" s="65" t="s">
        <v>3915</v>
      </c>
      <c r="T108" s="205" t="s">
        <v>3916</v>
      </c>
      <c r="U108" s="65" t="b">
        <v>1</v>
      </c>
      <c r="V108" s="61"/>
      <c r="W108" s="61"/>
    </row>
    <row r="109">
      <c r="A109" s="214">
        <v>103.0</v>
      </c>
      <c r="B109" s="202"/>
      <c r="C109" s="61" t="s">
        <v>3629</v>
      </c>
      <c r="D109" s="61" t="s">
        <v>3630</v>
      </c>
      <c r="E109" s="223" t="s">
        <v>3816</v>
      </c>
      <c r="F109" s="214">
        <v>73544.0</v>
      </c>
      <c r="G109" s="224">
        <v>4215.0</v>
      </c>
      <c r="H109" s="224">
        <v>4215.0</v>
      </c>
      <c r="I109" s="217">
        <v>44323.0</v>
      </c>
      <c r="J109" s="222" t="b">
        <v>1</v>
      </c>
      <c r="K109" s="95"/>
      <c r="L109" s="65" t="s">
        <v>3729</v>
      </c>
      <c r="M109" s="218" t="s">
        <v>3730</v>
      </c>
      <c r="N109" s="218" t="s">
        <v>3730</v>
      </c>
      <c r="O109" s="218" t="s">
        <v>3730</v>
      </c>
      <c r="P109" s="218">
        <v>1334.96</v>
      </c>
      <c r="Q109" s="218"/>
      <c r="R109" s="65" t="s">
        <v>3731</v>
      </c>
      <c r="S109" s="65" t="s">
        <v>3778</v>
      </c>
      <c r="T109" s="219" t="s">
        <v>3917</v>
      </c>
      <c r="U109" s="65" t="b">
        <v>1</v>
      </c>
      <c r="V109" s="65" t="s">
        <v>3765</v>
      </c>
      <c r="W109" s="61"/>
    </row>
    <row r="110">
      <c r="A110" s="214">
        <v>104.0</v>
      </c>
      <c r="B110" s="202"/>
      <c r="C110" s="61" t="s">
        <v>3632</v>
      </c>
      <c r="D110" s="61" t="s">
        <v>3633</v>
      </c>
      <c r="E110" s="223" t="s">
        <v>3918</v>
      </c>
      <c r="F110" s="214">
        <v>162790.0</v>
      </c>
      <c r="G110" s="224">
        <v>467.46</v>
      </c>
      <c r="H110" s="224">
        <v>467.46</v>
      </c>
      <c r="I110" s="217">
        <v>44329.0</v>
      </c>
      <c r="J110" s="222" t="b">
        <v>1</v>
      </c>
      <c r="K110" s="95"/>
      <c r="L110" s="65" t="s">
        <v>3729</v>
      </c>
      <c r="M110" s="218">
        <v>271.2</v>
      </c>
      <c r="N110" s="218" t="s">
        <v>3730</v>
      </c>
      <c r="O110" s="218" t="s">
        <v>3730</v>
      </c>
      <c r="P110" s="218" t="s">
        <v>3730</v>
      </c>
      <c r="Q110" s="218"/>
      <c r="R110" s="65" t="s">
        <v>3731</v>
      </c>
      <c r="S110" s="65" t="s">
        <v>3883</v>
      </c>
      <c r="T110" s="219" t="s">
        <v>3919</v>
      </c>
      <c r="U110" s="65" t="b">
        <v>1</v>
      </c>
      <c r="V110" s="65" t="s">
        <v>3765</v>
      </c>
      <c r="W110" s="61"/>
    </row>
    <row r="111">
      <c r="A111" s="214">
        <v>105.0</v>
      </c>
      <c r="B111" s="202"/>
      <c r="C111" s="61" t="s">
        <v>3855</v>
      </c>
      <c r="D111" s="61"/>
      <c r="E111" s="225" t="s">
        <v>3920</v>
      </c>
      <c r="F111" s="214">
        <v>1352.0</v>
      </c>
      <c r="G111" s="224">
        <v>3378.6</v>
      </c>
      <c r="H111" s="224">
        <v>3378.6</v>
      </c>
      <c r="I111" s="217">
        <v>44327.0</v>
      </c>
      <c r="J111" s="222" t="b">
        <v>1</v>
      </c>
      <c r="K111" s="95"/>
      <c r="L111" s="65" t="s">
        <v>3729</v>
      </c>
      <c r="M111" s="218">
        <v>2300.0</v>
      </c>
      <c r="N111" s="218" t="s">
        <v>3730</v>
      </c>
      <c r="O111" s="218" t="s">
        <v>3730</v>
      </c>
      <c r="P111" s="218" t="s">
        <v>3730</v>
      </c>
      <c r="Q111" s="218"/>
      <c r="R111" s="65" t="s">
        <v>3731</v>
      </c>
      <c r="S111" s="65" t="s">
        <v>83</v>
      </c>
      <c r="T111" s="205" t="s">
        <v>3741</v>
      </c>
      <c r="U111" s="61" t="b">
        <v>1</v>
      </c>
      <c r="V111" s="61"/>
      <c r="W111" s="61"/>
    </row>
    <row r="112">
      <c r="A112" s="214">
        <v>106.0</v>
      </c>
      <c r="B112" s="202"/>
      <c r="C112" s="61" t="s">
        <v>3834</v>
      </c>
      <c r="D112" s="61"/>
      <c r="E112" s="223" t="s">
        <v>3921</v>
      </c>
      <c r="F112" s="214">
        <v>162716.0</v>
      </c>
      <c r="G112" s="224">
        <v>927.07</v>
      </c>
      <c r="H112" s="224">
        <v>927.07</v>
      </c>
      <c r="I112" s="217">
        <v>44329.0</v>
      </c>
      <c r="J112" s="222" t="b">
        <v>1</v>
      </c>
      <c r="K112" s="94"/>
      <c r="L112" s="65" t="s">
        <v>3729</v>
      </c>
      <c r="M112" s="218">
        <v>19013.76</v>
      </c>
      <c r="N112" s="218" t="s">
        <v>3730</v>
      </c>
      <c r="O112" s="218" t="s">
        <v>3730</v>
      </c>
      <c r="P112" s="218" t="s">
        <v>3730</v>
      </c>
      <c r="Q112" s="218"/>
      <c r="R112" s="65" t="s">
        <v>3731</v>
      </c>
      <c r="S112" s="65" t="s">
        <v>3740</v>
      </c>
      <c r="T112" s="205" t="s">
        <v>3922</v>
      </c>
      <c r="U112" s="65" t="b">
        <v>1</v>
      </c>
      <c r="V112" s="61"/>
      <c r="W112" s="61"/>
    </row>
    <row r="113">
      <c r="A113" s="214">
        <v>107.0</v>
      </c>
      <c r="B113" s="202"/>
      <c r="C113" s="61" t="s">
        <v>3829</v>
      </c>
      <c r="D113" s="61"/>
      <c r="E113" s="223" t="s">
        <v>3830</v>
      </c>
      <c r="F113" s="214">
        <v>163055.0</v>
      </c>
      <c r="G113" s="224">
        <v>1476.0</v>
      </c>
      <c r="H113" s="224">
        <v>1476.0</v>
      </c>
      <c r="I113" s="217">
        <v>44333.0</v>
      </c>
      <c r="J113" s="222" t="b">
        <v>1</v>
      </c>
      <c r="K113" s="95"/>
      <c r="L113" s="65" t="s">
        <v>3729</v>
      </c>
      <c r="M113" s="218">
        <v>2209.4</v>
      </c>
      <c r="N113" s="218" t="s">
        <v>3730</v>
      </c>
      <c r="O113" s="218" t="s">
        <v>3730</v>
      </c>
      <c r="P113" s="218" t="s">
        <v>3730</v>
      </c>
      <c r="Q113" s="218"/>
      <c r="R113" s="65" t="s">
        <v>3731</v>
      </c>
      <c r="S113" s="65" t="s">
        <v>152</v>
      </c>
      <c r="T113" s="205" t="s">
        <v>3881</v>
      </c>
      <c r="U113" s="61" t="b">
        <v>1</v>
      </c>
      <c r="V113" s="61"/>
      <c r="W113" s="61"/>
    </row>
    <row r="114">
      <c r="A114" s="214">
        <v>108.0</v>
      </c>
      <c r="B114" s="202"/>
      <c r="C114" s="61" t="s">
        <v>3632</v>
      </c>
      <c r="D114" s="61" t="s">
        <v>3633</v>
      </c>
      <c r="E114" s="223" t="s">
        <v>3923</v>
      </c>
      <c r="F114" s="214">
        <v>51022.0</v>
      </c>
      <c r="G114" s="224">
        <v>4171.13</v>
      </c>
      <c r="H114" s="224">
        <v>4171.13</v>
      </c>
      <c r="I114" s="217">
        <v>44334.0</v>
      </c>
      <c r="J114" s="222" t="b">
        <v>1</v>
      </c>
      <c r="K114" s="95"/>
      <c r="L114" s="65" t="s">
        <v>3729</v>
      </c>
      <c r="M114" s="218">
        <v>4.2</v>
      </c>
      <c r="N114" s="218" t="s">
        <v>3730</v>
      </c>
      <c r="O114" s="218" t="s">
        <v>3730</v>
      </c>
      <c r="P114" s="218">
        <v>205.7</v>
      </c>
      <c r="Q114" s="218"/>
      <c r="R114" s="65" t="s">
        <v>3731</v>
      </c>
      <c r="S114" s="65" t="s">
        <v>3924</v>
      </c>
      <c r="T114" s="205" t="s">
        <v>3925</v>
      </c>
      <c r="U114" s="65" t="b">
        <v>1</v>
      </c>
      <c r="V114" s="61"/>
      <c r="W114" s="61"/>
    </row>
    <row r="115">
      <c r="A115" s="214">
        <v>109.0</v>
      </c>
      <c r="B115" s="202"/>
      <c r="C115" s="61" t="s">
        <v>3926</v>
      </c>
      <c r="D115" s="61"/>
      <c r="E115" s="223" t="s">
        <v>86</v>
      </c>
      <c r="F115" s="214">
        <v>126673.0</v>
      </c>
      <c r="G115" s="224">
        <v>2948.45</v>
      </c>
      <c r="H115" s="224">
        <v>2948.45</v>
      </c>
      <c r="I115" s="217">
        <v>44340.0</v>
      </c>
      <c r="J115" s="222" t="b">
        <v>1</v>
      </c>
      <c r="K115" s="95"/>
      <c r="L115" s="65" t="s">
        <v>3729</v>
      </c>
      <c r="M115" s="218">
        <v>701.0</v>
      </c>
      <c r="N115" s="218" t="s">
        <v>3730</v>
      </c>
      <c r="O115" s="218" t="s">
        <v>3730</v>
      </c>
      <c r="P115" s="218" t="s">
        <v>3730</v>
      </c>
      <c r="Q115" s="218"/>
      <c r="R115" s="65" t="s">
        <v>3731</v>
      </c>
      <c r="S115" s="65" t="s">
        <v>100</v>
      </c>
      <c r="T115" s="219" t="s">
        <v>3927</v>
      </c>
      <c r="U115" s="61" t="b">
        <v>1</v>
      </c>
      <c r="V115" s="61"/>
      <c r="W115" s="61"/>
    </row>
    <row r="116">
      <c r="A116" s="214">
        <v>110.0</v>
      </c>
      <c r="B116" s="202"/>
      <c r="C116" s="61" t="s">
        <v>3928</v>
      </c>
      <c r="D116" s="61"/>
      <c r="E116" s="223" t="s">
        <v>3929</v>
      </c>
      <c r="F116" s="214" t="s">
        <v>3623</v>
      </c>
      <c r="G116" s="224">
        <v>2655.3</v>
      </c>
      <c r="H116" s="224">
        <v>2655.3</v>
      </c>
      <c r="I116" s="217">
        <v>44334.0</v>
      </c>
      <c r="J116" s="222" t="b">
        <v>1</v>
      </c>
      <c r="K116" s="94"/>
      <c r="L116" s="65" t="s">
        <v>3729</v>
      </c>
      <c r="M116" s="218">
        <v>2428.49</v>
      </c>
      <c r="N116" s="218" t="s">
        <v>3730</v>
      </c>
      <c r="O116" s="218" t="s">
        <v>3730</v>
      </c>
      <c r="P116" s="218" t="s">
        <v>3730</v>
      </c>
      <c r="Q116" s="218"/>
      <c r="R116" s="65" t="s">
        <v>3878</v>
      </c>
      <c r="S116" s="65" t="s">
        <v>3740</v>
      </c>
      <c r="T116" s="205" t="s">
        <v>3930</v>
      </c>
      <c r="U116" s="65" t="b">
        <v>1</v>
      </c>
      <c r="V116" s="61"/>
      <c r="W116" s="61"/>
    </row>
    <row r="117">
      <c r="A117" s="214">
        <v>111.0</v>
      </c>
      <c r="B117" s="202"/>
      <c r="C117" s="61" t="s">
        <v>3931</v>
      </c>
      <c r="D117" s="61"/>
      <c r="E117" s="223" t="s">
        <v>3932</v>
      </c>
      <c r="F117" s="214">
        <v>42366.0</v>
      </c>
      <c r="G117" s="224">
        <v>471.32</v>
      </c>
      <c r="H117" s="224">
        <v>0.0</v>
      </c>
      <c r="I117" s="217">
        <v>44341.0</v>
      </c>
      <c r="J117" s="222" t="b">
        <v>1</v>
      </c>
      <c r="K117" s="95"/>
      <c r="L117" s="65" t="s">
        <v>3729</v>
      </c>
      <c r="M117" s="218" t="s">
        <v>3730</v>
      </c>
      <c r="N117" s="218" t="s">
        <v>3730</v>
      </c>
      <c r="O117" s="218">
        <v>75.0</v>
      </c>
      <c r="P117" s="218" t="s">
        <v>3730</v>
      </c>
      <c r="Q117" s="218"/>
      <c r="R117" s="65" t="s">
        <v>3731</v>
      </c>
      <c r="S117" s="65" t="s">
        <v>83</v>
      </c>
      <c r="T117" s="205" t="s">
        <v>3933</v>
      </c>
      <c r="U117" s="61" t="b">
        <v>1</v>
      </c>
      <c r="V117" s="61"/>
      <c r="W117" s="61"/>
    </row>
    <row r="118">
      <c r="A118" s="214">
        <v>112.0</v>
      </c>
      <c r="B118" s="202"/>
      <c r="C118" s="61" t="s">
        <v>3934</v>
      </c>
      <c r="D118" s="61"/>
      <c r="E118" s="223" t="s">
        <v>3935</v>
      </c>
      <c r="F118" s="214">
        <v>163840.0</v>
      </c>
      <c r="G118" s="224">
        <v>7007.58</v>
      </c>
      <c r="H118" s="224">
        <v>7007.58</v>
      </c>
      <c r="I118" s="217">
        <v>44342.0</v>
      </c>
      <c r="J118" s="222" t="b">
        <v>1</v>
      </c>
      <c r="K118" s="95"/>
      <c r="L118" s="65" t="s">
        <v>3729</v>
      </c>
      <c r="M118" s="218" t="s">
        <v>3730</v>
      </c>
      <c r="N118" s="218" t="s">
        <v>3730</v>
      </c>
      <c r="O118" s="218">
        <v>14490.46</v>
      </c>
      <c r="P118" s="218" t="s">
        <v>3730</v>
      </c>
      <c r="Q118" s="218"/>
      <c r="R118" s="65" t="s">
        <v>3731</v>
      </c>
      <c r="S118" s="65" t="s">
        <v>3837</v>
      </c>
      <c r="T118" s="205" t="s">
        <v>3936</v>
      </c>
      <c r="U118" s="65" t="b">
        <v>1</v>
      </c>
      <c r="V118" s="61"/>
      <c r="W118" s="61"/>
    </row>
    <row r="119">
      <c r="A119" s="214">
        <v>113.0</v>
      </c>
      <c r="B119" s="202"/>
      <c r="C119" s="61" t="s">
        <v>3937</v>
      </c>
      <c r="D119" s="61"/>
      <c r="E119" s="223" t="s">
        <v>3938</v>
      </c>
      <c r="F119" s="214">
        <v>66.0</v>
      </c>
      <c r="G119" s="224">
        <v>1610.0</v>
      </c>
      <c r="H119" s="224">
        <v>1610.0</v>
      </c>
      <c r="I119" s="217">
        <v>44337.0</v>
      </c>
      <c r="J119" s="222" t="b">
        <v>1</v>
      </c>
      <c r="K119" s="95"/>
      <c r="L119" s="65" t="s">
        <v>3729</v>
      </c>
      <c r="M119" s="218">
        <v>1800.0</v>
      </c>
      <c r="N119" s="218" t="s">
        <v>3730</v>
      </c>
      <c r="O119" s="218" t="s">
        <v>3730</v>
      </c>
      <c r="P119" s="218" t="s">
        <v>3730</v>
      </c>
      <c r="Q119" s="218"/>
      <c r="R119" s="65" t="s">
        <v>3731</v>
      </c>
      <c r="S119" s="65" t="s">
        <v>88</v>
      </c>
      <c r="T119" s="65"/>
      <c r="U119" s="61" t="b">
        <v>1</v>
      </c>
      <c r="V119" s="61"/>
      <c r="W119" s="61"/>
    </row>
    <row r="120">
      <c r="A120" s="214">
        <v>114.0</v>
      </c>
      <c r="B120" s="202"/>
      <c r="C120" s="61" t="s">
        <v>3926</v>
      </c>
      <c r="D120" s="61"/>
      <c r="E120" s="223" t="s">
        <v>3939</v>
      </c>
      <c r="F120" s="214">
        <v>164031.0</v>
      </c>
      <c r="G120" s="224">
        <v>556.15</v>
      </c>
      <c r="H120" s="224">
        <v>0.0</v>
      </c>
      <c r="I120" s="217">
        <v>44348.0</v>
      </c>
      <c r="J120" s="222" t="b">
        <v>1</v>
      </c>
      <c r="K120" s="95"/>
      <c r="L120" s="65" t="s">
        <v>3729</v>
      </c>
      <c r="M120" s="218">
        <v>6594.4</v>
      </c>
      <c r="N120" s="218" t="s">
        <v>3730</v>
      </c>
      <c r="O120" s="218" t="s">
        <v>3730</v>
      </c>
      <c r="P120" s="218" t="s">
        <v>3730</v>
      </c>
      <c r="Q120" s="218"/>
      <c r="R120" s="65" t="s">
        <v>3731</v>
      </c>
      <c r="S120" s="65" t="s">
        <v>3877</v>
      </c>
      <c r="T120" s="219" t="s">
        <v>3940</v>
      </c>
      <c r="U120" s="65" t="b">
        <v>1</v>
      </c>
      <c r="V120" s="61"/>
      <c r="W120" s="61"/>
    </row>
    <row r="121">
      <c r="A121" s="214">
        <v>115.0</v>
      </c>
      <c r="B121" s="202"/>
      <c r="C121" s="61" t="s">
        <v>3941</v>
      </c>
      <c r="D121" s="61"/>
      <c r="E121" s="223" t="s">
        <v>3942</v>
      </c>
      <c r="F121" s="214">
        <v>164207.0</v>
      </c>
      <c r="G121" s="224">
        <v>350.0</v>
      </c>
      <c r="H121" s="224">
        <v>350.0</v>
      </c>
      <c r="I121" s="217">
        <v>44348.0</v>
      </c>
      <c r="J121" s="222" t="b">
        <v>1</v>
      </c>
      <c r="K121" s="95"/>
      <c r="L121" s="65" t="s">
        <v>3729</v>
      </c>
      <c r="M121" s="218" t="s">
        <v>3730</v>
      </c>
      <c r="N121" s="218" t="s">
        <v>3730</v>
      </c>
      <c r="O121" s="218">
        <v>1296.54</v>
      </c>
      <c r="P121" s="218" t="s">
        <v>3730</v>
      </c>
      <c r="Q121" s="218"/>
      <c r="R121" s="65" t="s">
        <v>3731</v>
      </c>
      <c r="S121" s="65" t="s">
        <v>3853</v>
      </c>
      <c r="T121" s="65"/>
      <c r="U121" s="65" t="b">
        <v>1</v>
      </c>
      <c r="V121" s="61"/>
      <c r="W121" s="61"/>
    </row>
    <row r="122">
      <c r="A122" s="214">
        <v>116.0</v>
      </c>
      <c r="B122" s="202"/>
      <c r="C122" s="61" t="s">
        <v>3943</v>
      </c>
      <c r="D122" s="61"/>
      <c r="E122" s="223" t="s">
        <v>3944</v>
      </c>
      <c r="F122" s="214">
        <v>42429.0</v>
      </c>
      <c r="G122" s="224">
        <v>1867.93</v>
      </c>
      <c r="H122" s="224">
        <v>1867.93</v>
      </c>
      <c r="I122" s="217">
        <v>44348.0</v>
      </c>
      <c r="J122" s="222" t="b">
        <v>1</v>
      </c>
      <c r="K122" s="95"/>
      <c r="L122" s="65" t="s">
        <v>3729</v>
      </c>
      <c r="M122" s="218" t="s">
        <v>3730</v>
      </c>
      <c r="N122" s="218" t="s">
        <v>3730</v>
      </c>
      <c r="O122" s="218">
        <v>75.0</v>
      </c>
      <c r="P122" s="218" t="s">
        <v>3730</v>
      </c>
      <c r="Q122" s="218"/>
      <c r="R122" s="65" t="s">
        <v>3731</v>
      </c>
      <c r="S122" s="65" t="s">
        <v>116</v>
      </c>
      <c r="T122" s="205" t="s">
        <v>3747</v>
      </c>
      <c r="U122" s="61" t="b">
        <v>1</v>
      </c>
      <c r="V122" s="61"/>
      <c r="W122" s="61"/>
    </row>
    <row r="123">
      <c r="A123" s="214">
        <v>117.0</v>
      </c>
      <c r="B123" s="202"/>
      <c r="C123" s="61" t="s">
        <v>3945</v>
      </c>
      <c r="D123" s="61"/>
      <c r="E123" s="223" t="s">
        <v>3946</v>
      </c>
      <c r="F123" s="214">
        <v>1623.0</v>
      </c>
      <c r="G123" s="224">
        <v>978.87</v>
      </c>
      <c r="H123" s="224">
        <v>978.87</v>
      </c>
      <c r="I123" s="217">
        <v>44348.0</v>
      </c>
      <c r="J123" s="222" t="b">
        <v>1</v>
      </c>
      <c r="K123" s="94"/>
      <c r="L123" s="65" t="s">
        <v>3729</v>
      </c>
      <c r="M123" s="218">
        <v>2500.0</v>
      </c>
      <c r="N123" s="218" t="s">
        <v>3730</v>
      </c>
      <c r="O123" s="218" t="s">
        <v>3730</v>
      </c>
      <c r="P123" s="218" t="s">
        <v>3730</v>
      </c>
      <c r="Q123" s="218"/>
      <c r="R123" s="65" t="s">
        <v>3731</v>
      </c>
      <c r="S123" s="65" t="s">
        <v>100</v>
      </c>
      <c r="T123" s="205" t="s">
        <v>3947</v>
      </c>
      <c r="U123" s="65" t="b">
        <v>1</v>
      </c>
      <c r="V123" s="61"/>
      <c r="W123" s="61"/>
    </row>
    <row r="124">
      <c r="A124" s="214">
        <v>118.0</v>
      </c>
      <c r="B124" s="202"/>
      <c r="C124" s="61" t="s">
        <v>3948</v>
      </c>
      <c r="D124" s="61"/>
      <c r="E124" s="223" t="s">
        <v>3949</v>
      </c>
      <c r="F124" s="214">
        <v>51487.0</v>
      </c>
      <c r="G124" s="224">
        <v>831.11</v>
      </c>
      <c r="H124" s="224">
        <v>0.0</v>
      </c>
      <c r="I124" s="217">
        <v>44351.0</v>
      </c>
      <c r="J124" s="222" t="b">
        <v>1</v>
      </c>
      <c r="K124" s="95"/>
      <c r="L124" s="65" t="s">
        <v>3729</v>
      </c>
      <c r="M124" s="218" t="s">
        <v>3730</v>
      </c>
      <c r="N124" s="218" t="s">
        <v>3730</v>
      </c>
      <c r="O124" s="218">
        <v>38.0</v>
      </c>
      <c r="P124" s="218" t="s">
        <v>3730</v>
      </c>
      <c r="Q124" s="218"/>
      <c r="R124" s="65" t="s">
        <v>3731</v>
      </c>
      <c r="S124" s="65" t="s">
        <v>116</v>
      </c>
      <c r="T124" s="65"/>
      <c r="U124" s="61" t="b">
        <v>1</v>
      </c>
      <c r="V124" s="61"/>
      <c r="W124" s="61"/>
    </row>
    <row r="125">
      <c r="A125" s="214">
        <v>119.0</v>
      </c>
      <c r="B125" s="202"/>
      <c r="C125" s="61" t="s">
        <v>3950</v>
      </c>
      <c r="D125" s="61"/>
      <c r="E125" s="223" t="s">
        <v>3951</v>
      </c>
      <c r="F125" s="214">
        <v>126868.0</v>
      </c>
      <c r="G125" s="224">
        <v>3654.29</v>
      </c>
      <c r="H125" s="224">
        <v>0.0</v>
      </c>
      <c r="I125" s="217">
        <v>44351.0</v>
      </c>
      <c r="J125" s="222" t="b">
        <v>1</v>
      </c>
      <c r="K125" s="95"/>
      <c r="L125" s="65" t="s">
        <v>3729</v>
      </c>
      <c r="M125" s="218">
        <v>1402.0</v>
      </c>
      <c r="N125" s="218" t="s">
        <v>3730</v>
      </c>
      <c r="O125" s="218" t="s">
        <v>3730</v>
      </c>
      <c r="P125" s="218" t="s">
        <v>3730</v>
      </c>
      <c r="Q125" s="218"/>
      <c r="R125" s="65" t="s">
        <v>3731</v>
      </c>
      <c r="S125" s="65" t="s">
        <v>3877</v>
      </c>
      <c r="T125" s="205" t="s">
        <v>3952</v>
      </c>
      <c r="U125" s="65" t="b">
        <v>1</v>
      </c>
      <c r="V125" s="61"/>
      <c r="W125" s="61"/>
    </row>
    <row r="126">
      <c r="A126" s="214">
        <v>120.0</v>
      </c>
      <c r="B126" s="202"/>
      <c r="C126" s="61" t="s">
        <v>146</v>
      </c>
      <c r="D126" s="61"/>
      <c r="E126" s="223" t="s">
        <v>3953</v>
      </c>
      <c r="F126" s="214">
        <v>126855.0</v>
      </c>
      <c r="G126" s="224">
        <v>526.98</v>
      </c>
      <c r="H126" s="224">
        <v>526.98</v>
      </c>
      <c r="I126" s="217">
        <v>44351.0</v>
      </c>
      <c r="J126" s="222" t="b">
        <v>1</v>
      </c>
      <c r="K126" s="95"/>
      <c r="L126" s="65" t="s">
        <v>3729</v>
      </c>
      <c r="M126" s="218" t="s">
        <v>3730</v>
      </c>
      <c r="N126" s="218" t="s">
        <v>3730</v>
      </c>
      <c r="O126" s="218">
        <v>701.0</v>
      </c>
      <c r="P126" s="218" t="s">
        <v>3730</v>
      </c>
      <c r="Q126" s="218"/>
      <c r="R126" s="65" t="s">
        <v>3731</v>
      </c>
      <c r="S126" s="65" t="s">
        <v>3837</v>
      </c>
      <c r="T126" s="205" t="s">
        <v>3884</v>
      </c>
      <c r="U126" s="65" t="b">
        <v>1</v>
      </c>
      <c r="V126" s="61"/>
      <c r="W126" s="61"/>
    </row>
    <row r="127">
      <c r="A127" s="214">
        <v>121.0</v>
      </c>
      <c r="B127" s="202"/>
      <c r="C127" s="61" t="s">
        <v>3829</v>
      </c>
      <c r="D127" s="61"/>
      <c r="E127" s="223" t="s">
        <v>3830</v>
      </c>
      <c r="F127" s="214">
        <v>126849.0</v>
      </c>
      <c r="G127" s="224">
        <v>1476.0</v>
      </c>
      <c r="H127" s="224">
        <v>1476.0</v>
      </c>
      <c r="I127" s="217">
        <v>44351.0</v>
      </c>
      <c r="J127" s="222" t="b">
        <v>1</v>
      </c>
      <c r="K127" s="95"/>
      <c r="L127" s="65" t="s">
        <v>3729</v>
      </c>
      <c r="M127" s="218">
        <v>1051.5</v>
      </c>
      <c r="N127" s="218" t="s">
        <v>3730</v>
      </c>
      <c r="O127" s="218">
        <v>1051.5</v>
      </c>
      <c r="P127" s="218" t="s">
        <v>3730</v>
      </c>
      <c r="Q127" s="218"/>
      <c r="R127" s="65" t="s">
        <v>3731</v>
      </c>
      <c r="S127" s="65" t="s">
        <v>3880</v>
      </c>
      <c r="T127" s="65"/>
      <c r="U127" s="65" t="b">
        <v>1</v>
      </c>
      <c r="V127" s="61"/>
      <c r="W127" s="61"/>
    </row>
    <row r="128">
      <c r="A128" s="214">
        <v>122.0</v>
      </c>
      <c r="B128" s="202"/>
      <c r="C128" s="61" t="s">
        <v>3632</v>
      </c>
      <c r="D128" s="61" t="s">
        <v>3633</v>
      </c>
      <c r="E128" s="223" t="s">
        <v>3954</v>
      </c>
      <c r="F128" s="214">
        <v>164334.0</v>
      </c>
      <c r="G128" s="224">
        <v>682.08</v>
      </c>
      <c r="H128" s="224">
        <v>682.08</v>
      </c>
      <c r="I128" s="217">
        <v>44349.0</v>
      </c>
      <c r="J128" s="222" t="b">
        <v>1</v>
      </c>
      <c r="K128" s="95"/>
      <c r="L128" s="65" t="s">
        <v>3729</v>
      </c>
      <c r="M128" s="218">
        <v>25992.92</v>
      </c>
      <c r="N128" s="218" t="s">
        <v>3730</v>
      </c>
      <c r="O128" s="218" t="s">
        <v>3730</v>
      </c>
      <c r="P128" s="218" t="s">
        <v>3730</v>
      </c>
      <c r="Q128" s="218"/>
      <c r="R128" s="65" t="s">
        <v>3731</v>
      </c>
      <c r="S128" s="65" t="s">
        <v>3877</v>
      </c>
      <c r="T128" s="65"/>
      <c r="U128" s="65" t="b">
        <v>1</v>
      </c>
      <c r="V128" s="61"/>
      <c r="W128" s="61"/>
    </row>
    <row r="129">
      <c r="A129" s="214">
        <v>123.0</v>
      </c>
      <c r="B129" s="202"/>
      <c r="C129" s="61" t="s">
        <v>3855</v>
      </c>
      <c r="D129" s="61"/>
      <c r="E129" s="225" t="s">
        <v>3920</v>
      </c>
      <c r="F129" s="214">
        <v>164266.0</v>
      </c>
      <c r="G129" s="224">
        <v>3200.0</v>
      </c>
      <c r="H129" s="224">
        <v>3200.0</v>
      </c>
      <c r="I129" s="217">
        <v>44349.0</v>
      </c>
      <c r="J129" s="222" t="b">
        <v>1</v>
      </c>
      <c r="K129" s="95"/>
      <c r="L129" s="65" t="s">
        <v>3729</v>
      </c>
      <c r="M129" s="218" t="s">
        <v>3730</v>
      </c>
      <c r="N129" s="218" t="s">
        <v>3730</v>
      </c>
      <c r="O129" s="218">
        <v>5133.4</v>
      </c>
      <c r="P129" s="218" t="s">
        <v>3730</v>
      </c>
      <c r="Q129" s="218"/>
      <c r="R129" s="65" t="s">
        <v>3731</v>
      </c>
      <c r="S129" s="65" t="s">
        <v>3955</v>
      </c>
      <c r="T129" s="205" t="s">
        <v>3884</v>
      </c>
      <c r="U129" s="65" t="b">
        <v>1</v>
      </c>
      <c r="V129" s="61"/>
      <c r="W129" s="61"/>
    </row>
    <row r="130">
      <c r="A130" s="214">
        <v>124.0</v>
      </c>
      <c r="B130" s="214"/>
      <c r="C130" s="40" t="s">
        <v>3632</v>
      </c>
      <c r="D130" s="61" t="s">
        <v>3633</v>
      </c>
      <c r="E130" s="225" t="s">
        <v>3956</v>
      </c>
      <c r="F130" s="214">
        <v>127063.0</v>
      </c>
      <c r="G130" s="224">
        <v>1694.68</v>
      </c>
      <c r="H130" s="224">
        <v>1694.68</v>
      </c>
      <c r="I130" s="217">
        <v>44357.0</v>
      </c>
      <c r="J130" s="222" t="b">
        <v>1</v>
      </c>
      <c r="K130" s="95"/>
      <c r="L130" s="65" t="s">
        <v>3729</v>
      </c>
      <c r="M130" s="218">
        <v>2804.0</v>
      </c>
      <c r="N130" s="218" t="s">
        <v>3730</v>
      </c>
      <c r="O130" s="218">
        <v>701.0</v>
      </c>
      <c r="P130" s="218" t="s">
        <v>3730</v>
      </c>
      <c r="Q130" s="218"/>
      <c r="R130" s="65" t="s">
        <v>3731</v>
      </c>
      <c r="S130" s="65" t="s">
        <v>3957</v>
      </c>
      <c r="T130" s="65"/>
      <c r="U130" s="65" t="b">
        <v>1</v>
      </c>
      <c r="V130" s="61"/>
      <c r="W130" s="61"/>
    </row>
    <row r="131">
      <c r="A131" s="214">
        <v>125.0</v>
      </c>
      <c r="B131" s="214"/>
      <c r="C131" s="40" t="s">
        <v>3606</v>
      </c>
      <c r="D131" s="61"/>
      <c r="E131" s="223" t="s">
        <v>3958</v>
      </c>
      <c r="F131" s="214">
        <v>164875.0</v>
      </c>
      <c r="G131" s="224">
        <v>259.0</v>
      </c>
      <c r="H131" s="224">
        <v>259.0</v>
      </c>
      <c r="I131" s="217">
        <v>44357.0</v>
      </c>
      <c r="J131" s="222" t="b">
        <v>1</v>
      </c>
      <c r="K131" s="95"/>
      <c r="L131" s="65" t="s">
        <v>3729</v>
      </c>
      <c r="M131" s="218" t="s">
        <v>3730</v>
      </c>
      <c r="N131" s="218" t="s">
        <v>3730</v>
      </c>
      <c r="O131" s="218">
        <v>574.8</v>
      </c>
      <c r="P131" s="218" t="s">
        <v>3730</v>
      </c>
      <c r="Q131" s="218"/>
      <c r="R131" s="65" t="s">
        <v>3731</v>
      </c>
      <c r="S131" s="65" t="s">
        <v>83</v>
      </c>
      <c r="T131" s="61"/>
      <c r="U131" s="61" t="b">
        <v>1</v>
      </c>
      <c r="V131" s="61"/>
      <c r="W131" s="61"/>
    </row>
    <row r="132">
      <c r="A132" s="214">
        <v>126.0</v>
      </c>
      <c r="B132" s="202"/>
      <c r="C132" s="61" t="s">
        <v>3726</v>
      </c>
      <c r="D132" s="61" t="s">
        <v>3727</v>
      </c>
      <c r="E132" s="223" t="s">
        <v>3728</v>
      </c>
      <c r="F132" s="214">
        <v>164963.0</v>
      </c>
      <c r="G132" s="224">
        <v>272.94</v>
      </c>
      <c r="H132" s="224">
        <v>272.94</v>
      </c>
      <c r="I132" s="217">
        <v>44358.0</v>
      </c>
      <c r="J132" s="222" t="b">
        <v>1</v>
      </c>
      <c r="K132" s="95"/>
      <c r="L132" s="65" t="s">
        <v>3729</v>
      </c>
      <c r="M132" s="218">
        <v>10367.28</v>
      </c>
      <c r="N132" s="218" t="s">
        <v>3730</v>
      </c>
      <c r="O132" s="218" t="s">
        <v>3730</v>
      </c>
      <c r="P132" s="218" t="s">
        <v>3730</v>
      </c>
      <c r="Q132" s="218"/>
      <c r="R132" s="65" t="s">
        <v>3731</v>
      </c>
      <c r="S132" s="65" t="s">
        <v>3740</v>
      </c>
      <c r="T132" s="205" t="s">
        <v>3854</v>
      </c>
      <c r="U132" s="65" t="b">
        <v>1</v>
      </c>
      <c r="V132" s="61"/>
      <c r="W132" s="61"/>
    </row>
    <row r="133">
      <c r="A133" s="214">
        <v>127.0</v>
      </c>
      <c r="B133" s="214"/>
      <c r="C133" s="40" t="s">
        <v>3632</v>
      </c>
      <c r="D133" s="61" t="s">
        <v>3633</v>
      </c>
      <c r="E133" s="223" t="s">
        <v>3959</v>
      </c>
      <c r="F133" s="214">
        <v>165920.0</v>
      </c>
      <c r="G133" s="224">
        <v>24665.34</v>
      </c>
      <c r="H133" s="224">
        <v>0.0</v>
      </c>
      <c r="I133" s="217">
        <v>44368.0</v>
      </c>
      <c r="J133" s="222" t="b">
        <v>1</v>
      </c>
      <c r="K133" s="95"/>
      <c r="L133" s="65" t="s">
        <v>3729</v>
      </c>
      <c r="M133" s="218" t="s">
        <v>3730</v>
      </c>
      <c r="N133" s="218" t="s">
        <v>3730</v>
      </c>
      <c r="O133" s="218">
        <v>574.8</v>
      </c>
      <c r="P133" s="218" t="s">
        <v>3730</v>
      </c>
      <c r="Q133" s="218"/>
      <c r="R133" s="65" t="s">
        <v>3731</v>
      </c>
      <c r="S133" s="65" t="s">
        <v>116</v>
      </c>
      <c r="T133" s="61"/>
      <c r="U133" s="61" t="b">
        <v>1</v>
      </c>
      <c r="V133" s="61"/>
      <c r="W133" s="61"/>
    </row>
    <row r="134">
      <c r="A134" s="214">
        <v>128.0</v>
      </c>
      <c r="B134" s="214"/>
      <c r="C134" s="40" t="s">
        <v>3629</v>
      </c>
      <c r="D134" s="61" t="s">
        <v>3630</v>
      </c>
      <c r="E134" s="223" t="s">
        <v>3960</v>
      </c>
      <c r="F134" s="214">
        <v>165847.0</v>
      </c>
      <c r="G134" s="224">
        <v>1405.0</v>
      </c>
      <c r="H134" s="224">
        <v>0.0</v>
      </c>
      <c r="I134" s="217">
        <v>44365.0</v>
      </c>
      <c r="J134" s="222" t="b">
        <v>1</v>
      </c>
      <c r="K134" s="95"/>
      <c r="L134" s="65" t="s">
        <v>3729</v>
      </c>
      <c r="M134" s="218" t="s">
        <v>3730</v>
      </c>
      <c r="N134" s="218" t="s">
        <v>3730</v>
      </c>
      <c r="O134" s="218">
        <v>39433.08</v>
      </c>
      <c r="P134" s="218" t="s">
        <v>3730</v>
      </c>
      <c r="Q134" s="218"/>
      <c r="R134" s="65" t="s">
        <v>3731</v>
      </c>
      <c r="S134" s="65" t="s">
        <v>3915</v>
      </c>
      <c r="T134" s="65"/>
      <c r="U134" s="65" t="b">
        <v>1</v>
      </c>
      <c r="V134" s="61"/>
      <c r="W134" s="61"/>
    </row>
    <row r="135">
      <c r="A135" s="214">
        <v>129.0</v>
      </c>
      <c r="B135" s="202"/>
      <c r="C135" s="61" t="s">
        <v>3629</v>
      </c>
      <c r="D135" s="61" t="s">
        <v>3630</v>
      </c>
      <c r="E135" s="223" t="s">
        <v>3961</v>
      </c>
      <c r="F135" s="214">
        <v>165775.0</v>
      </c>
      <c r="G135" s="224">
        <v>1594.0</v>
      </c>
      <c r="H135" s="224">
        <v>0.0</v>
      </c>
      <c r="I135" s="217">
        <v>44365.0</v>
      </c>
      <c r="J135" s="222" t="b">
        <v>1</v>
      </c>
      <c r="K135" s="95"/>
      <c r="L135" s="65" t="s">
        <v>3729</v>
      </c>
      <c r="M135" s="218">
        <v>246.8</v>
      </c>
      <c r="N135" s="218" t="s">
        <v>3730</v>
      </c>
      <c r="O135" s="218" t="s">
        <v>3730</v>
      </c>
      <c r="P135" s="218" t="s">
        <v>3730</v>
      </c>
      <c r="Q135" s="218"/>
      <c r="R135" s="65" t="s">
        <v>3731</v>
      </c>
      <c r="S135" s="65" t="s">
        <v>3962</v>
      </c>
      <c r="T135" s="205" t="s">
        <v>3837</v>
      </c>
      <c r="U135" s="65" t="b">
        <v>1</v>
      </c>
      <c r="V135" s="61"/>
      <c r="W135" s="61"/>
    </row>
    <row r="136">
      <c r="A136" s="214">
        <v>130.0</v>
      </c>
      <c r="B136" s="202"/>
      <c r="C136" s="61" t="s">
        <v>3629</v>
      </c>
      <c r="D136" s="61" t="s">
        <v>3630</v>
      </c>
      <c r="E136" s="225" t="s">
        <v>3963</v>
      </c>
      <c r="F136" s="214" t="s">
        <v>3623</v>
      </c>
      <c r="G136" s="224">
        <v>1460.0</v>
      </c>
      <c r="H136" s="224">
        <v>0.0</v>
      </c>
      <c r="I136" s="217">
        <v>44364.0</v>
      </c>
      <c r="J136" s="222" t="b">
        <v>1</v>
      </c>
      <c r="K136" s="94"/>
      <c r="L136" s="65" t="s">
        <v>3729</v>
      </c>
      <c r="M136" s="218">
        <v>105.94</v>
      </c>
      <c r="N136" s="218" t="s">
        <v>3730</v>
      </c>
      <c r="O136" s="218" t="s">
        <v>3730</v>
      </c>
      <c r="P136" s="218" t="s">
        <v>3730</v>
      </c>
      <c r="Q136" s="218"/>
      <c r="R136" s="65" t="s">
        <v>3878</v>
      </c>
      <c r="S136" s="65" t="s">
        <v>3807</v>
      </c>
      <c r="T136" s="205" t="s">
        <v>59</v>
      </c>
      <c r="U136" s="65" t="b">
        <v>1</v>
      </c>
      <c r="V136" s="61"/>
      <c r="W136" s="61"/>
    </row>
    <row r="137">
      <c r="A137" s="214">
        <v>131.0</v>
      </c>
      <c r="B137" s="202"/>
      <c r="C137" s="61" t="s">
        <v>3629</v>
      </c>
      <c r="D137" s="61" t="s">
        <v>3630</v>
      </c>
      <c r="E137" s="223" t="s">
        <v>3964</v>
      </c>
      <c r="F137" s="214">
        <v>19661.0</v>
      </c>
      <c r="G137" s="224">
        <v>1405.0</v>
      </c>
      <c r="H137" s="224">
        <v>1405.0</v>
      </c>
      <c r="I137" s="217">
        <v>44363.0</v>
      </c>
      <c r="J137" s="222" t="b">
        <v>1</v>
      </c>
      <c r="K137" s="95"/>
      <c r="L137" s="65" t="s">
        <v>3729</v>
      </c>
      <c r="M137" s="218">
        <v>13994.17</v>
      </c>
      <c r="N137" s="218" t="s">
        <v>3730</v>
      </c>
      <c r="O137" s="218" t="s">
        <v>3730</v>
      </c>
      <c r="P137" s="218" t="s">
        <v>3730</v>
      </c>
      <c r="Q137" s="218"/>
      <c r="R137" s="65" t="s">
        <v>3731</v>
      </c>
      <c r="S137" s="65" t="s">
        <v>3807</v>
      </c>
      <c r="T137" s="205" t="s">
        <v>59</v>
      </c>
      <c r="U137" s="65" t="b">
        <v>1</v>
      </c>
      <c r="V137" s="61"/>
      <c r="W137" s="61"/>
    </row>
  </sheetData>
  <autoFilter ref="$A$5:$V$137"/>
  <customSheetViews>
    <customSheetView guid="{4D7FC94B-7382-46AE-98F4-F866EE4EC7F6}" filter="1" showAutoFilter="1">
      <autoFilter ref="$A$5:$U$137">
        <filterColumn colId="9">
          <filters blank="1">
            <filter val="TRUE"/>
          </filters>
        </filterColumn>
        <filterColumn colId="20">
          <filters>
            <filter val="FALSE"/>
          </filters>
        </filterColumn>
      </autoFilter>
    </customSheetView>
    <customSheetView guid="{FB697474-A6FB-4E1A-ADFE-7AF7D371867C}" filter="1" showAutoFilter="1">
      <autoFilter ref="$A$2:$U$106"/>
    </customSheetView>
  </customSheetView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38"/>
  </cols>
  <sheetData>
    <row r="3">
      <c r="B3" s="237" t="s">
        <v>3726</v>
      </c>
      <c r="C3" s="159" t="s">
        <v>3727</v>
      </c>
    </row>
    <row r="4">
      <c r="B4" s="238" t="s">
        <v>3632</v>
      </c>
      <c r="C4" s="159" t="s">
        <v>3633</v>
      </c>
    </row>
    <row r="5">
      <c r="B5" s="238" t="s">
        <v>3736</v>
      </c>
    </row>
    <row r="6">
      <c r="B6" s="238" t="s">
        <v>3629</v>
      </c>
      <c r="C6" s="159" t="s">
        <v>3630</v>
      </c>
    </row>
    <row r="7">
      <c r="B7" s="238" t="s">
        <v>3629</v>
      </c>
      <c r="C7" s="159" t="s">
        <v>3630</v>
      </c>
    </row>
    <row r="8">
      <c r="B8" s="238" t="s">
        <v>3632</v>
      </c>
      <c r="C8" s="159" t="s">
        <v>3633</v>
      </c>
    </row>
    <row r="9">
      <c r="B9" s="238" t="s">
        <v>3635</v>
      </c>
      <c r="C9" s="159" t="s">
        <v>3636</v>
      </c>
    </row>
    <row r="10">
      <c r="B10" s="238" t="s">
        <v>3632</v>
      </c>
      <c r="C10" s="159" t="s">
        <v>3633</v>
      </c>
    </row>
    <row r="11">
      <c r="B11" s="238" t="s">
        <v>3635</v>
      </c>
      <c r="C11" s="159" t="s">
        <v>3636</v>
      </c>
    </row>
    <row r="12">
      <c r="B12" s="238" t="s">
        <v>3750</v>
      </c>
    </row>
    <row r="13">
      <c r="B13" s="238" t="s">
        <v>3613</v>
      </c>
      <c r="C13" s="159" t="s">
        <v>3561</v>
      </c>
    </row>
    <row r="14">
      <c r="B14" s="238" t="s">
        <v>3757</v>
      </c>
    </row>
    <row r="15">
      <c r="B15" s="238" t="s">
        <v>177</v>
      </c>
    </row>
    <row r="16">
      <c r="B16" s="238" t="s">
        <v>3613</v>
      </c>
      <c r="C16" s="159" t="s">
        <v>3561</v>
      </c>
    </row>
    <row r="17">
      <c r="B17" s="238" t="s">
        <v>3762</v>
      </c>
    </row>
    <row r="18">
      <c r="B18" s="238" t="s">
        <v>3726</v>
      </c>
      <c r="C18" s="159" t="s">
        <v>3727</v>
      </c>
    </row>
    <row r="19">
      <c r="B19" s="238" t="s">
        <v>3632</v>
      </c>
      <c r="C19" s="159" t="s">
        <v>3633</v>
      </c>
    </row>
    <row r="20">
      <c r="B20" s="238" t="s">
        <v>3629</v>
      </c>
      <c r="C20" s="159" t="s">
        <v>3630</v>
      </c>
    </row>
    <row r="21">
      <c r="B21" s="238" t="s">
        <v>3632</v>
      </c>
      <c r="C21" s="159" t="s">
        <v>3633</v>
      </c>
    </row>
    <row r="22">
      <c r="B22" s="238" t="s">
        <v>3629</v>
      </c>
      <c r="C22" s="159" t="s">
        <v>3630</v>
      </c>
    </row>
    <row r="23">
      <c r="B23" s="238" t="s">
        <v>3774</v>
      </c>
    </row>
    <row r="24">
      <c r="B24" s="238" t="s">
        <v>3632</v>
      </c>
      <c r="C24" s="159" t="s">
        <v>3633</v>
      </c>
    </row>
    <row r="25">
      <c r="B25" s="238" t="s">
        <v>3632</v>
      </c>
      <c r="C25" s="159" t="s">
        <v>3633</v>
      </c>
    </row>
    <row r="26">
      <c r="B26" s="238" t="s">
        <v>3779</v>
      </c>
    </row>
    <row r="27">
      <c r="B27" s="238" t="s">
        <v>3779</v>
      </c>
    </row>
    <row r="28">
      <c r="B28" s="238" t="s">
        <v>3783</v>
      </c>
    </row>
    <row r="29">
      <c r="B29" s="238" t="s">
        <v>3785</v>
      </c>
    </row>
    <row r="30">
      <c r="B30" s="238" t="s">
        <v>3787</v>
      </c>
    </row>
    <row r="31">
      <c r="B31" s="238" t="s">
        <v>3789</v>
      </c>
    </row>
    <row r="32">
      <c r="B32" s="238" t="s">
        <v>3789</v>
      </c>
    </row>
    <row r="33">
      <c r="B33" s="238" t="s">
        <v>3632</v>
      </c>
      <c r="C33" s="159" t="s">
        <v>3633</v>
      </c>
    </row>
    <row r="34">
      <c r="B34" s="238" t="s">
        <v>3793</v>
      </c>
      <c r="C34" s="159" t="s">
        <v>3794</v>
      </c>
    </row>
    <row r="35">
      <c r="B35" s="238" t="s">
        <v>3629</v>
      </c>
      <c r="C35" s="159" t="s">
        <v>3630</v>
      </c>
    </row>
    <row r="36">
      <c r="B36" s="238" t="s">
        <v>3632</v>
      </c>
      <c r="C36" s="159" t="s">
        <v>3633</v>
      </c>
    </row>
    <row r="37">
      <c r="B37" s="238" t="s">
        <v>3726</v>
      </c>
      <c r="C37" s="159" t="s">
        <v>3727</v>
      </c>
    </row>
    <row r="38">
      <c r="B38" s="238" t="s">
        <v>3800</v>
      </c>
    </row>
    <row r="39">
      <c r="B39" s="238" t="s">
        <v>3632</v>
      </c>
      <c r="C39" s="159" t="s">
        <v>3633</v>
      </c>
    </row>
    <row r="40">
      <c r="B40" s="238" t="s">
        <v>3632</v>
      </c>
      <c r="C40" s="159" t="s">
        <v>3633</v>
      </c>
    </row>
    <row r="41">
      <c r="B41" s="238" t="s">
        <v>3793</v>
      </c>
      <c r="C41" s="159" t="s">
        <v>3794</v>
      </c>
    </row>
    <row r="42">
      <c r="B42" s="238" t="s">
        <v>3793</v>
      </c>
      <c r="C42" s="159" t="s">
        <v>3794</v>
      </c>
    </row>
    <row r="43">
      <c r="B43" s="238" t="s">
        <v>3808</v>
      </c>
    </row>
    <row r="44">
      <c r="B44" s="238" t="s">
        <v>3810</v>
      </c>
    </row>
    <row r="45">
      <c r="B45" s="238" t="s">
        <v>3813</v>
      </c>
    </row>
    <row r="46">
      <c r="B46" s="238" t="s">
        <v>3629</v>
      </c>
      <c r="C46" s="159" t="s">
        <v>3630</v>
      </c>
    </row>
    <row r="47">
      <c r="B47" s="238" t="s">
        <v>3659</v>
      </c>
      <c r="C47" s="159" t="s">
        <v>3660</v>
      </c>
    </row>
    <row r="48">
      <c r="B48" s="238" t="s">
        <v>3726</v>
      </c>
      <c r="C48" s="159" t="s">
        <v>3727</v>
      </c>
    </row>
    <row r="49">
      <c r="B49" s="238" t="s">
        <v>3606</v>
      </c>
    </row>
    <row r="50">
      <c r="B50" s="238" t="s">
        <v>495</v>
      </c>
    </row>
    <row r="51">
      <c r="B51" s="238" t="s">
        <v>3822</v>
      </c>
    </row>
    <row r="52">
      <c r="B52" s="238" t="s">
        <v>3635</v>
      </c>
      <c r="C52" s="159" t="s">
        <v>3636</v>
      </c>
    </row>
    <row r="53">
      <c r="B53" s="238" t="s">
        <v>3789</v>
      </c>
    </row>
    <row r="54">
      <c r="B54" s="238" t="s">
        <v>3726</v>
      </c>
      <c r="C54" s="159" t="s">
        <v>3727</v>
      </c>
    </row>
    <row r="55">
      <c r="B55" s="238" t="s">
        <v>3629</v>
      </c>
      <c r="C55" s="159" t="s">
        <v>3630</v>
      </c>
    </row>
    <row r="56">
      <c r="B56" s="238" t="s">
        <v>3829</v>
      </c>
    </row>
    <row r="57">
      <c r="B57" s="238" t="s">
        <v>3635</v>
      </c>
      <c r="C57" s="159" t="s">
        <v>3636</v>
      </c>
    </row>
    <row r="58">
      <c r="B58" s="238" t="s">
        <v>3834</v>
      </c>
    </row>
    <row r="59">
      <c r="B59" s="238" t="s">
        <v>3632</v>
      </c>
      <c r="C59" s="159" t="s">
        <v>3633</v>
      </c>
    </row>
    <row r="60">
      <c r="B60" s="238" t="s">
        <v>3632</v>
      </c>
      <c r="C60" s="159" t="s">
        <v>3633</v>
      </c>
    </row>
    <row r="61">
      <c r="B61" s="238" t="s">
        <v>3632</v>
      </c>
      <c r="C61" s="159" t="s">
        <v>3633</v>
      </c>
    </row>
    <row r="62">
      <c r="B62" s="238" t="s">
        <v>3726</v>
      </c>
      <c r="C62" s="159" t="s">
        <v>3727</v>
      </c>
    </row>
    <row r="63">
      <c r="B63" s="238" t="s">
        <v>3629</v>
      </c>
      <c r="C63" s="159" t="s">
        <v>3630</v>
      </c>
    </row>
    <row r="64">
      <c r="B64" s="238" t="s">
        <v>3793</v>
      </c>
      <c r="C64" s="159" t="s">
        <v>3794</v>
      </c>
    </row>
    <row r="65">
      <c r="B65" s="238" t="s">
        <v>3632</v>
      </c>
      <c r="C65" s="159" t="s">
        <v>3633</v>
      </c>
    </row>
    <row r="66">
      <c r="B66" s="238" t="s">
        <v>3629</v>
      </c>
      <c r="C66" s="159" t="s">
        <v>3630</v>
      </c>
    </row>
    <row r="67">
      <c r="B67" s="238" t="s">
        <v>3659</v>
      </c>
      <c r="C67" s="159" t="s">
        <v>3660</v>
      </c>
    </row>
    <row r="68">
      <c r="B68" s="238" t="s">
        <v>3829</v>
      </c>
    </row>
    <row r="69">
      <c r="B69" s="238" t="s">
        <v>3855</v>
      </c>
    </row>
    <row r="70">
      <c r="B70" s="238" t="s">
        <v>3859</v>
      </c>
    </row>
    <row r="71">
      <c r="B71" s="238" t="s">
        <v>3632</v>
      </c>
      <c r="C71" s="159" t="s">
        <v>3633</v>
      </c>
    </row>
    <row r="72">
      <c r="B72" s="238" t="s">
        <v>3629</v>
      </c>
      <c r="C72" s="159" t="s">
        <v>3630</v>
      </c>
    </row>
    <row r="73">
      <c r="B73" s="238" t="s">
        <v>3726</v>
      </c>
      <c r="C73" s="159" t="s">
        <v>3727</v>
      </c>
    </row>
    <row r="74">
      <c r="B74" s="238" t="s">
        <v>3726</v>
      </c>
      <c r="C74" s="159" t="s">
        <v>3727</v>
      </c>
    </row>
    <row r="75">
      <c r="B75" s="238" t="s">
        <v>3855</v>
      </c>
    </row>
    <row r="76">
      <c r="B76" s="238" t="s">
        <v>3635</v>
      </c>
      <c r="C76" s="159" t="s">
        <v>3636</v>
      </c>
    </row>
    <row r="77">
      <c r="B77" s="238" t="s">
        <v>3632</v>
      </c>
      <c r="C77" s="159" t="s">
        <v>3633</v>
      </c>
    </row>
    <row r="78">
      <c r="B78" s="238" t="s">
        <v>3726</v>
      </c>
      <c r="C78" s="159" t="s">
        <v>3727</v>
      </c>
    </row>
    <row r="79">
      <c r="B79" s="238" t="s">
        <v>3829</v>
      </c>
    </row>
    <row r="80">
      <c r="B80" s="238" t="s">
        <v>3632</v>
      </c>
      <c r="C80" s="159" t="s">
        <v>3633</v>
      </c>
    </row>
    <row r="81">
      <c r="B81" s="238" t="s">
        <v>3632</v>
      </c>
      <c r="C81" s="159" t="s">
        <v>3633</v>
      </c>
    </row>
    <row r="82">
      <c r="B82" s="238" t="s">
        <v>3789</v>
      </c>
    </row>
    <row r="83">
      <c r="B83" s="238" t="s">
        <v>3789</v>
      </c>
    </row>
    <row r="84">
      <c r="B84" s="238" t="s">
        <v>3726</v>
      </c>
      <c r="C84" s="159" t="s">
        <v>3727</v>
      </c>
    </row>
    <row r="85">
      <c r="B85" s="238" t="s">
        <v>3629</v>
      </c>
      <c r="C85" s="159" t="s">
        <v>3630</v>
      </c>
    </row>
    <row r="86">
      <c r="B86" s="238" t="s">
        <v>3632</v>
      </c>
      <c r="C86" s="159" t="s">
        <v>3633</v>
      </c>
    </row>
    <row r="87">
      <c r="B87" s="238" t="s">
        <v>3859</v>
      </c>
    </row>
    <row r="88">
      <c r="B88" s="238" t="s">
        <v>3885</v>
      </c>
    </row>
    <row r="89">
      <c r="B89" s="238" t="s">
        <v>3606</v>
      </c>
    </row>
    <row r="90">
      <c r="B90" s="238" t="s">
        <v>3632</v>
      </c>
      <c r="C90" s="159" t="s">
        <v>3633</v>
      </c>
    </row>
    <row r="91">
      <c r="B91" s="238" t="s">
        <v>3632</v>
      </c>
      <c r="C91" s="159" t="s">
        <v>3633</v>
      </c>
    </row>
    <row r="92">
      <c r="B92" s="238" t="s">
        <v>3726</v>
      </c>
      <c r="C92" s="159" t="s">
        <v>3727</v>
      </c>
    </row>
    <row r="93">
      <c r="B93" s="238" t="s">
        <v>3855</v>
      </c>
    </row>
    <row r="94">
      <c r="B94" s="238" t="s">
        <v>3893</v>
      </c>
    </row>
    <row r="95">
      <c r="B95" s="238" t="s">
        <v>3632</v>
      </c>
      <c r="C95" s="159" t="s">
        <v>3633</v>
      </c>
    </row>
    <row r="96">
      <c r="B96" s="238" t="s">
        <v>3659</v>
      </c>
      <c r="C96" s="159" t="s">
        <v>3660</v>
      </c>
    </row>
    <row r="97">
      <c r="B97" s="238" t="s">
        <v>3632</v>
      </c>
      <c r="C97" s="159" t="s">
        <v>3633</v>
      </c>
    </row>
    <row r="98">
      <c r="B98" s="238" t="s">
        <v>3629</v>
      </c>
      <c r="C98" s="159" t="s">
        <v>3630</v>
      </c>
    </row>
    <row r="99">
      <c r="B99" s="238" t="s">
        <v>3629</v>
      </c>
      <c r="C99" s="159" t="s">
        <v>3630</v>
      </c>
    </row>
    <row r="100">
      <c r="B100" s="238" t="s">
        <v>3629</v>
      </c>
      <c r="C100" s="159" t="s">
        <v>3630</v>
      </c>
    </row>
    <row r="101">
      <c r="B101" s="238" t="s">
        <v>3632</v>
      </c>
      <c r="C101" s="159" t="s">
        <v>3633</v>
      </c>
    </row>
    <row r="102">
      <c r="B102" s="238" t="s">
        <v>3909</v>
      </c>
    </row>
    <row r="103">
      <c r="B103" s="238" t="s">
        <v>3913</v>
      </c>
    </row>
    <row r="104">
      <c r="B104" s="238" t="s">
        <v>3726</v>
      </c>
      <c r="C104" s="159" t="s">
        <v>3727</v>
      </c>
    </row>
    <row r="105">
      <c r="B105" s="238" t="s">
        <v>3629</v>
      </c>
      <c r="C105" s="159" t="s">
        <v>3630</v>
      </c>
    </row>
    <row r="106">
      <c r="B106" s="238" t="s">
        <v>3632</v>
      </c>
      <c r="C106" s="159" t="s">
        <v>3633</v>
      </c>
    </row>
    <row r="107">
      <c r="B107" s="238" t="s">
        <v>3855</v>
      </c>
    </row>
    <row r="108">
      <c r="B108" s="238" t="s">
        <v>3834</v>
      </c>
    </row>
    <row r="109">
      <c r="B109" s="238" t="s">
        <v>3829</v>
      </c>
    </row>
    <row r="110">
      <c r="B110" s="238" t="s">
        <v>3632</v>
      </c>
      <c r="C110" s="159" t="s">
        <v>3633</v>
      </c>
    </row>
    <row r="111">
      <c r="B111" s="238" t="s">
        <v>3926</v>
      </c>
    </row>
    <row r="112">
      <c r="B112" s="238" t="s">
        <v>3928</v>
      </c>
    </row>
    <row r="113">
      <c r="B113" s="238" t="s">
        <v>3931</v>
      </c>
    </row>
    <row r="114">
      <c r="B114" s="238" t="s">
        <v>3934</v>
      </c>
    </row>
    <row r="115">
      <c r="B115" s="238" t="s">
        <v>3937</v>
      </c>
    </row>
    <row r="116">
      <c r="B116" s="238" t="s">
        <v>3926</v>
      </c>
    </row>
    <row r="117">
      <c r="B117" s="238" t="s">
        <v>3941</v>
      </c>
    </row>
    <row r="118">
      <c r="B118" s="238" t="s">
        <v>3943</v>
      </c>
    </row>
    <row r="119">
      <c r="B119" s="238" t="s">
        <v>3945</v>
      </c>
    </row>
    <row r="120">
      <c r="B120" s="238" t="s">
        <v>3948</v>
      </c>
    </row>
    <row r="121">
      <c r="B121" s="238" t="s">
        <v>3950</v>
      </c>
    </row>
    <row r="122">
      <c r="B122" s="238" t="s">
        <v>146</v>
      </c>
    </row>
    <row r="123">
      <c r="B123" s="238" t="s">
        <v>3829</v>
      </c>
    </row>
    <row r="124">
      <c r="B124" s="238" t="s">
        <v>3632</v>
      </c>
      <c r="C124" s="159" t="s">
        <v>3633</v>
      </c>
    </row>
    <row r="125">
      <c r="B125" s="238" t="s">
        <v>3855</v>
      </c>
    </row>
    <row r="126">
      <c r="B126" s="238" t="s">
        <v>3632</v>
      </c>
      <c r="C126" s="159" t="s">
        <v>3633</v>
      </c>
    </row>
    <row r="127">
      <c r="B127" s="238" t="s">
        <v>3606</v>
      </c>
    </row>
    <row r="128">
      <c r="B128" s="238" t="s">
        <v>3726</v>
      </c>
      <c r="C128" s="159" t="s">
        <v>3727</v>
      </c>
    </row>
    <row r="129">
      <c r="B129" s="238" t="s">
        <v>3632</v>
      </c>
      <c r="C129" s="159" t="s">
        <v>3633</v>
      </c>
    </row>
    <row r="130">
      <c r="B130" s="238" t="s">
        <v>3629</v>
      </c>
      <c r="C130" s="159" t="s">
        <v>3630</v>
      </c>
    </row>
    <row r="131">
      <c r="B131" s="238" t="s">
        <v>3629</v>
      </c>
      <c r="C131" s="159" t="s">
        <v>3630</v>
      </c>
    </row>
    <row r="132">
      <c r="B132" s="238" t="s">
        <v>3629</v>
      </c>
      <c r="C132" s="159" t="s">
        <v>3630</v>
      </c>
    </row>
    <row r="133">
      <c r="B133" s="238" t="s">
        <v>3629</v>
      </c>
      <c r="C133" s="159" t="s">
        <v>3630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3922</v>
      </c>
    </row>
    <row r="2">
      <c r="A2" s="65" t="s">
        <v>94</v>
      </c>
    </row>
    <row r="3">
      <c r="A3" s="65" t="s">
        <v>124</v>
      </c>
    </row>
    <row r="4">
      <c r="A4" s="65" t="s">
        <v>97</v>
      </c>
    </row>
    <row r="5">
      <c r="A5" s="65" t="s">
        <v>93</v>
      </c>
    </row>
    <row r="6">
      <c r="A6" s="65" t="s">
        <v>95</v>
      </c>
    </row>
    <row r="7">
      <c r="A7" s="65" t="s">
        <v>96</v>
      </c>
    </row>
    <row r="8">
      <c r="A8" s="65" t="s">
        <v>103</v>
      </c>
    </row>
    <row r="9">
      <c r="A9" s="65" t="s">
        <v>116</v>
      </c>
    </row>
    <row r="10">
      <c r="A10" s="65" t="s">
        <v>83</v>
      </c>
    </row>
  </sheetData>
  <drawing r:id="rId1"/>
</worksheet>
</file>